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esktop\"/>
    </mc:Choice>
  </mc:AlternateContent>
  <xr:revisionPtr revIDLastSave="0" documentId="8_{E6540680-A916-4B72-81C5-E48F627B44BC}" xr6:coauthVersionLast="47" xr6:coauthVersionMax="47" xr10:uidLastSave="{00000000-0000-0000-0000-000000000000}"/>
  <bookViews>
    <workbookView xWindow="-110" yWindow="-110" windowWidth="19420" windowHeight="11500" tabRatio="857" firstSheet="1" activeTab="4" xr2:uid="{9A7E6C89-AE52-4959-957C-CC05D88C42E2}"/>
  </bookViews>
  <sheets>
    <sheet name="HƯƠNG DẪN" sheetId="3" state="hidden" r:id="rId1"/>
    <sheet name="COI 7-18" sheetId="25" r:id="rId2"/>
    <sheet name="STOCK FAB" sheetId="26" r:id="rId3"/>
    <sheet name="Input Data" sheetId="16" r:id="rId4"/>
    <sheet name="Output_Expected" sheetId="19" r:id="rId5"/>
    <sheet name="References" sheetId="17" state="hidden" r:id="rId6"/>
    <sheet name="DATA" sheetId="20" r:id="rId7"/>
    <sheet name="XUẤT" sheetId="32" r:id="rId8"/>
    <sheet name="#ALL" sheetId="33" r:id="rId9"/>
    <sheet name="NHẬP LV FM " sheetId="27" state="hidden" r:id="rId10"/>
    <sheet name="XUẤT LV FM" sheetId="28" state="hidden" r:id="rId11"/>
    <sheet name="NHẬP LV GK" sheetId="29" r:id="rId12"/>
    <sheet name="XUẤT LV GK" sheetId="31" r:id="rId13"/>
  </sheets>
  <functionGroups builtInGroupCount="19"/>
  <definedNames>
    <definedName name="_xlnm._FilterDatabase" localSheetId="1" hidden="1">'COI 7-18'!$A$1:$AB$1</definedName>
    <definedName name="_xlnm._FilterDatabase" localSheetId="7" hidden="1">XUẤT!$A$4:$W$341</definedName>
    <definedName name="_xlnm._FilterDatabase" localSheetId="10" hidden="1">'XUẤT LV FM'!$A$5:$R$949</definedName>
    <definedName name="_xlnm._FilterDatabase" localSheetId="12" hidden="1">'XUẤT LV GK'!$A$2:$N$5800</definedName>
    <definedName name="_xleta.CODE" hidden="1" xlm="1">#NAME?</definedName>
    <definedName name="_xleta.T" hidden="1" xlm="1">#NAME?</definedName>
    <definedName name="_xlpm.dòng_cuối" hidden="1" xlm="1">#NAME?</definedName>
    <definedName name="_xlpm.kết_quả" hidden="1" xlm="1">#NAME?</definedName>
    <definedName name="_xlpm.òng_cuối" hidden="1" xlm="1">#NAME?</definedName>
    <definedName name="_xlpm.vùng_điều_kiện" hidden="1" xlm="1">#NAME?</definedName>
    <definedName name="_xlpm.vùng_quét" hidden="1" xlm="1">#NAME?</definedName>
    <definedName name="ExternalData_1" localSheetId="4" hidden="1">Output_Expected!$E$8:$W$10</definedName>
    <definedName name="ListCODE">OFFSET(#REF!,0,0,COUNTA(#REF!),1)</definedName>
    <definedName name="ListCOLOR">OFFSET(#REF!,0,0,COUNTA(#REF!),1)</definedName>
    <definedName name="ListJO">OFFSET(#REF!,0,0,COUNTA(#REF!),1)</definedName>
    <definedName name="pCODE">Output_Expected!$A$9</definedName>
    <definedName name="pCOLOR">Output_Expected!$B$9</definedName>
    <definedName name="pJO">Output_Expected!$C$9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5" i="32" l="1"/>
  <c r="A3" i="32"/>
  <c r="AG6" i="27"/>
  <c r="P7" i="32"/>
  <c r="V1" i="32"/>
  <c r="V2" i="32"/>
  <c r="A2" i="32"/>
  <c r="A1" i="32"/>
  <c r="B10" i="32"/>
  <c r="V6" i="32"/>
  <c r="W6" i="32"/>
  <c r="X6" i="32"/>
  <c r="Y6" i="32"/>
  <c r="Z6" i="32"/>
  <c r="AA6" i="32"/>
  <c r="AD6" i="32"/>
  <c r="AF6" i="32"/>
  <c r="AG6" i="32"/>
  <c r="AH6" i="32"/>
  <c r="AK6" i="32"/>
  <c r="AL6" i="32"/>
  <c r="AM6" i="32"/>
  <c r="V7" i="32"/>
  <c r="W7" i="32"/>
  <c r="X7" i="32"/>
  <c r="Y7" i="32"/>
  <c r="Z7" i="32"/>
  <c r="AA7" i="32"/>
  <c r="AD7" i="32"/>
  <c r="AF7" i="32"/>
  <c r="AG7" i="32"/>
  <c r="AH7" i="32"/>
  <c r="AH341" i="32" s="1"/>
  <c r="AK7" i="32"/>
  <c r="AL7" i="32"/>
  <c r="AM7" i="32"/>
  <c r="V8" i="32"/>
  <c r="W8" i="32"/>
  <c r="X8" i="32"/>
  <c r="Y8" i="32"/>
  <c r="Z8" i="32"/>
  <c r="AA8" i="32"/>
  <c r="AD8" i="32"/>
  <c r="AF8" i="32"/>
  <c r="AG8" i="32"/>
  <c r="AH8" i="32"/>
  <c r="AK8" i="32"/>
  <c r="AL8" i="32"/>
  <c r="AM8" i="32"/>
  <c r="V9" i="32"/>
  <c r="W9" i="32"/>
  <c r="X9" i="32"/>
  <c r="Y9" i="32"/>
  <c r="Z9" i="32"/>
  <c r="AA9" i="32"/>
  <c r="AD9" i="32"/>
  <c r="AF9" i="32"/>
  <c r="AF341" i="32" s="1"/>
  <c r="AG9" i="32"/>
  <c r="AH9" i="32"/>
  <c r="AK9" i="32"/>
  <c r="AL9" i="32"/>
  <c r="AM9" i="32"/>
  <c r="V10" i="32"/>
  <c r="W10" i="32"/>
  <c r="X10" i="32"/>
  <c r="Y10" i="32"/>
  <c r="Z10" i="32"/>
  <c r="AA10" i="32"/>
  <c r="AD10" i="32"/>
  <c r="AF10" i="32"/>
  <c r="AG10" i="32"/>
  <c r="AH10" i="32"/>
  <c r="AK10" i="32"/>
  <c r="AL10" i="32"/>
  <c r="AM10" i="32"/>
  <c r="V11" i="32"/>
  <c r="W11" i="32"/>
  <c r="X11" i="32"/>
  <c r="Y11" i="32"/>
  <c r="Z11" i="32"/>
  <c r="AA11" i="32"/>
  <c r="AD11" i="32"/>
  <c r="AF11" i="32"/>
  <c r="AG11" i="32"/>
  <c r="AH11" i="32"/>
  <c r="AK11" i="32"/>
  <c r="AL11" i="32"/>
  <c r="AM11" i="32"/>
  <c r="V12" i="32"/>
  <c r="W12" i="32"/>
  <c r="X12" i="32"/>
  <c r="Y12" i="32"/>
  <c r="Z12" i="32"/>
  <c r="AA12" i="32"/>
  <c r="AD12" i="32"/>
  <c r="AF12" i="32"/>
  <c r="AG12" i="32"/>
  <c r="AG341" i="32" s="1"/>
  <c r="AH12" i="32"/>
  <c r="AK12" i="32"/>
  <c r="AL12" i="32"/>
  <c r="AM12" i="32"/>
  <c r="V13" i="32"/>
  <c r="W13" i="32"/>
  <c r="X13" i="32"/>
  <c r="Y13" i="32"/>
  <c r="Z13" i="32"/>
  <c r="AA13" i="32"/>
  <c r="AD13" i="32"/>
  <c r="AF13" i="32"/>
  <c r="AG13" i="32"/>
  <c r="AH13" i="32"/>
  <c r="AK13" i="32"/>
  <c r="AL13" i="32"/>
  <c r="AM13" i="32"/>
  <c r="V14" i="32"/>
  <c r="W14" i="32"/>
  <c r="X14" i="32"/>
  <c r="Y14" i="32"/>
  <c r="Z14" i="32"/>
  <c r="AA14" i="32"/>
  <c r="AD14" i="32"/>
  <c r="AF14" i="32"/>
  <c r="AG14" i="32"/>
  <c r="AH14" i="32"/>
  <c r="AK14" i="32"/>
  <c r="AL14" i="32"/>
  <c r="AM14" i="32"/>
  <c r="V15" i="32"/>
  <c r="W15" i="32"/>
  <c r="X15" i="32"/>
  <c r="Y15" i="32"/>
  <c r="Z15" i="32"/>
  <c r="AA15" i="32"/>
  <c r="AD15" i="32"/>
  <c r="AF15" i="32"/>
  <c r="AG15" i="32"/>
  <c r="AH15" i="32"/>
  <c r="AK15" i="32"/>
  <c r="AL15" i="32"/>
  <c r="AM15" i="32"/>
  <c r="V16" i="32"/>
  <c r="W16" i="32"/>
  <c r="X16" i="32"/>
  <c r="Y16" i="32"/>
  <c r="Z16" i="32"/>
  <c r="AA16" i="32"/>
  <c r="AD16" i="32"/>
  <c r="AF16" i="32"/>
  <c r="AG16" i="32"/>
  <c r="AH16" i="32"/>
  <c r="AK16" i="32"/>
  <c r="AL16" i="32"/>
  <c r="AM16" i="32"/>
  <c r="V17" i="32"/>
  <c r="W17" i="32"/>
  <c r="X17" i="32"/>
  <c r="Y17" i="32"/>
  <c r="Z17" i="32"/>
  <c r="AA17" i="32"/>
  <c r="AD17" i="32"/>
  <c r="AF17" i="32"/>
  <c r="AG17" i="32"/>
  <c r="AH17" i="32"/>
  <c r="AK17" i="32"/>
  <c r="AL17" i="32"/>
  <c r="AM17" i="32"/>
  <c r="V18" i="32"/>
  <c r="W18" i="32"/>
  <c r="X18" i="32"/>
  <c r="Y18" i="32"/>
  <c r="Z18" i="32"/>
  <c r="AA18" i="32"/>
  <c r="AD18" i="32"/>
  <c r="AF18" i="32"/>
  <c r="AG18" i="32"/>
  <c r="AH18" i="32"/>
  <c r="AK18" i="32"/>
  <c r="AL18" i="32"/>
  <c r="AM18" i="32"/>
  <c r="V19" i="32"/>
  <c r="W19" i="32"/>
  <c r="X19" i="32"/>
  <c r="Y19" i="32"/>
  <c r="Z19" i="32"/>
  <c r="AA19" i="32"/>
  <c r="AD19" i="32"/>
  <c r="AF19" i="32"/>
  <c r="AG19" i="32"/>
  <c r="AH19" i="32"/>
  <c r="AK19" i="32"/>
  <c r="AL19" i="32"/>
  <c r="AM19" i="32"/>
  <c r="V20" i="32"/>
  <c r="W20" i="32"/>
  <c r="X20" i="32"/>
  <c r="Y20" i="32"/>
  <c r="Z20" i="32"/>
  <c r="AA20" i="32"/>
  <c r="AD20" i="32"/>
  <c r="AF20" i="32"/>
  <c r="AG20" i="32"/>
  <c r="AH20" i="32"/>
  <c r="AK20" i="32"/>
  <c r="AL20" i="32"/>
  <c r="AM20" i="32"/>
  <c r="V21" i="32"/>
  <c r="W21" i="32"/>
  <c r="X21" i="32"/>
  <c r="Y21" i="32"/>
  <c r="Z21" i="32"/>
  <c r="AA21" i="32"/>
  <c r="AD21" i="32"/>
  <c r="AF21" i="32"/>
  <c r="AG21" i="32"/>
  <c r="AH21" i="32"/>
  <c r="AK21" i="32"/>
  <c r="AL21" i="32"/>
  <c r="AM21" i="32"/>
  <c r="V22" i="32"/>
  <c r="W22" i="32"/>
  <c r="X22" i="32"/>
  <c r="Y22" i="32"/>
  <c r="Z22" i="32"/>
  <c r="AA22" i="32"/>
  <c r="AD22" i="32"/>
  <c r="AF22" i="32"/>
  <c r="AG22" i="32"/>
  <c r="AH22" i="32"/>
  <c r="AK22" i="32"/>
  <c r="AL22" i="32"/>
  <c r="AM22" i="32"/>
  <c r="V23" i="32"/>
  <c r="W23" i="32"/>
  <c r="X23" i="32"/>
  <c r="Y23" i="32"/>
  <c r="Z23" i="32"/>
  <c r="AA23" i="32"/>
  <c r="AD23" i="32"/>
  <c r="AF23" i="32"/>
  <c r="AG23" i="32"/>
  <c r="AH23" i="32"/>
  <c r="AK23" i="32"/>
  <c r="AL23" i="32"/>
  <c r="AM23" i="32"/>
  <c r="V24" i="32"/>
  <c r="W24" i="32"/>
  <c r="X24" i="32"/>
  <c r="Y24" i="32"/>
  <c r="Z24" i="32"/>
  <c r="AA24" i="32"/>
  <c r="AD24" i="32"/>
  <c r="AF24" i="32"/>
  <c r="AG24" i="32"/>
  <c r="AH24" i="32"/>
  <c r="AK24" i="32"/>
  <c r="AL24" i="32"/>
  <c r="AM24" i="32"/>
  <c r="V25" i="32"/>
  <c r="W25" i="32"/>
  <c r="X25" i="32"/>
  <c r="Y25" i="32"/>
  <c r="Z25" i="32"/>
  <c r="AA25" i="32"/>
  <c r="AD25" i="32"/>
  <c r="AF25" i="32"/>
  <c r="AG25" i="32"/>
  <c r="AH25" i="32"/>
  <c r="AK25" i="32"/>
  <c r="AL25" i="32"/>
  <c r="AM25" i="32"/>
  <c r="V26" i="32"/>
  <c r="W26" i="32"/>
  <c r="X26" i="32"/>
  <c r="Y26" i="32"/>
  <c r="Z26" i="32"/>
  <c r="AA26" i="32"/>
  <c r="AD26" i="32"/>
  <c r="AF26" i="32"/>
  <c r="AG26" i="32"/>
  <c r="AH26" i="32"/>
  <c r="AK26" i="32"/>
  <c r="AL26" i="32"/>
  <c r="AM26" i="32"/>
  <c r="V27" i="32"/>
  <c r="W27" i="32"/>
  <c r="X27" i="32"/>
  <c r="Y27" i="32"/>
  <c r="Z27" i="32"/>
  <c r="AA27" i="32"/>
  <c r="AD27" i="32"/>
  <c r="AF27" i="32"/>
  <c r="AG27" i="32"/>
  <c r="AH27" i="32"/>
  <c r="AK27" i="32"/>
  <c r="AL27" i="32"/>
  <c r="AM27" i="32"/>
  <c r="V28" i="32"/>
  <c r="W28" i="32"/>
  <c r="X28" i="32"/>
  <c r="Y28" i="32"/>
  <c r="Z28" i="32"/>
  <c r="AA28" i="32"/>
  <c r="AD28" i="32"/>
  <c r="AF28" i="32"/>
  <c r="AG28" i="32"/>
  <c r="AH28" i="32"/>
  <c r="AK28" i="32"/>
  <c r="AL28" i="32"/>
  <c r="AM28" i="32"/>
  <c r="V29" i="32"/>
  <c r="W29" i="32"/>
  <c r="X29" i="32"/>
  <c r="Y29" i="32"/>
  <c r="Z29" i="32"/>
  <c r="AA29" i="32"/>
  <c r="AD29" i="32"/>
  <c r="AF29" i="32"/>
  <c r="AG29" i="32"/>
  <c r="AH29" i="32"/>
  <c r="AK29" i="32"/>
  <c r="AL29" i="32"/>
  <c r="AM29" i="32"/>
  <c r="V30" i="32"/>
  <c r="W30" i="32"/>
  <c r="X30" i="32"/>
  <c r="Y30" i="32"/>
  <c r="Z30" i="32"/>
  <c r="AA30" i="32"/>
  <c r="AD30" i="32"/>
  <c r="AF30" i="32"/>
  <c r="AG30" i="32"/>
  <c r="AH30" i="32"/>
  <c r="AK30" i="32"/>
  <c r="AL30" i="32"/>
  <c r="AM30" i="32"/>
  <c r="V31" i="32"/>
  <c r="W31" i="32"/>
  <c r="X31" i="32"/>
  <c r="Y31" i="32"/>
  <c r="Z31" i="32"/>
  <c r="AA31" i="32"/>
  <c r="AD31" i="32"/>
  <c r="AF31" i="32"/>
  <c r="AG31" i="32"/>
  <c r="AH31" i="32"/>
  <c r="AK31" i="32"/>
  <c r="AL31" i="32"/>
  <c r="AM31" i="32"/>
  <c r="V32" i="32"/>
  <c r="W32" i="32"/>
  <c r="X32" i="32"/>
  <c r="Y32" i="32"/>
  <c r="Z32" i="32"/>
  <c r="AA32" i="32"/>
  <c r="AD32" i="32"/>
  <c r="AF32" i="32"/>
  <c r="AG32" i="32"/>
  <c r="AH32" i="32"/>
  <c r="AK32" i="32"/>
  <c r="AL32" i="32"/>
  <c r="AM32" i="32"/>
  <c r="V33" i="32"/>
  <c r="W33" i="32"/>
  <c r="X33" i="32"/>
  <c r="Y33" i="32"/>
  <c r="Z33" i="32"/>
  <c r="AA33" i="32"/>
  <c r="AD33" i="32"/>
  <c r="AF33" i="32"/>
  <c r="AG33" i="32"/>
  <c r="AH33" i="32"/>
  <c r="AK33" i="32"/>
  <c r="AL33" i="32"/>
  <c r="AM33" i="32"/>
  <c r="V34" i="32"/>
  <c r="W34" i="32"/>
  <c r="X34" i="32"/>
  <c r="Y34" i="32"/>
  <c r="Z34" i="32"/>
  <c r="AA34" i="32"/>
  <c r="AD34" i="32"/>
  <c r="AF34" i="32"/>
  <c r="AG34" i="32"/>
  <c r="AH34" i="32"/>
  <c r="AK34" i="32"/>
  <c r="AL34" i="32"/>
  <c r="AM34" i="32"/>
  <c r="V35" i="32"/>
  <c r="W35" i="32"/>
  <c r="X35" i="32"/>
  <c r="Y35" i="32"/>
  <c r="Z35" i="32"/>
  <c r="AA35" i="32"/>
  <c r="AD35" i="32"/>
  <c r="AF35" i="32"/>
  <c r="AG35" i="32"/>
  <c r="AH35" i="32"/>
  <c r="AK35" i="32"/>
  <c r="AL35" i="32"/>
  <c r="AM35" i="32"/>
  <c r="V36" i="32"/>
  <c r="W36" i="32"/>
  <c r="X36" i="32"/>
  <c r="Y36" i="32"/>
  <c r="Z36" i="32"/>
  <c r="AA36" i="32"/>
  <c r="AD36" i="32"/>
  <c r="AF36" i="32"/>
  <c r="AG36" i="32"/>
  <c r="AH36" i="32"/>
  <c r="AK36" i="32"/>
  <c r="AL36" i="32"/>
  <c r="AM36" i="32"/>
  <c r="V37" i="32"/>
  <c r="W37" i="32"/>
  <c r="X37" i="32"/>
  <c r="Y37" i="32"/>
  <c r="Z37" i="32"/>
  <c r="AA37" i="32"/>
  <c r="AD37" i="32"/>
  <c r="AF37" i="32"/>
  <c r="AG37" i="32"/>
  <c r="AH37" i="32"/>
  <c r="AK37" i="32"/>
  <c r="AL37" i="32"/>
  <c r="AM37" i="32"/>
  <c r="V38" i="32"/>
  <c r="W38" i="32"/>
  <c r="X38" i="32"/>
  <c r="Y38" i="32"/>
  <c r="Z38" i="32"/>
  <c r="AA38" i="32"/>
  <c r="AD38" i="32"/>
  <c r="AF38" i="32"/>
  <c r="AG38" i="32"/>
  <c r="AH38" i="32"/>
  <c r="AK38" i="32"/>
  <c r="AL38" i="32"/>
  <c r="AM38" i="32"/>
  <c r="V39" i="32"/>
  <c r="W39" i="32"/>
  <c r="X39" i="32"/>
  <c r="Y39" i="32"/>
  <c r="Z39" i="32"/>
  <c r="AA39" i="32"/>
  <c r="AD39" i="32"/>
  <c r="AF39" i="32"/>
  <c r="AG39" i="32"/>
  <c r="AH39" i="32"/>
  <c r="AK39" i="32"/>
  <c r="AL39" i="32"/>
  <c r="AM39" i="32"/>
  <c r="V40" i="32"/>
  <c r="W40" i="32"/>
  <c r="X40" i="32"/>
  <c r="Y40" i="32"/>
  <c r="Z40" i="32"/>
  <c r="AA40" i="32"/>
  <c r="AD40" i="32"/>
  <c r="AF40" i="32"/>
  <c r="AG40" i="32"/>
  <c r="AH40" i="32"/>
  <c r="AK40" i="32"/>
  <c r="AL40" i="32"/>
  <c r="AM40" i="32"/>
  <c r="V41" i="32"/>
  <c r="W41" i="32"/>
  <c r="X41" i="32"/>
  <c r="Y41" i="32"/>
  <c r="Z41" i="32"/>
  <c r="AA41" i="32"/>
  <c r="AD41" i="32"/>
  <c r="AF41" i="32"/>
  <c r="AG41" i="32"/>
  <c r="AH41" i="32"/>
  <c r="AK41" i="32"/>
  <c r="AL41" i="32"/>
  <c r="AM41" i="32"/>
  <c r="V42" i="32"/>
  <c r="W42" i="32"/>
  <c r="X42" i="32"/>
  <c r="Y42" i="32"/>
  <c r="Z42" i="32"/>
  <c r="AA42" i="32"/>
  <c r="AD42" i="32"/>
  <c r="AF42" i="32"/>
  <c r="AG42" i="32"/>
  <c r="AH42" i="32"/>
  <c r="AK42" i="32"/>
  <c r="AL42" i="32"/>
  <c r="AM42" i="32"/>
  <c r="V43" i="32"/>
  <c r="W43" i="32"/>
  <c r="X43" i="32"/>
  <c r="Y43" i="32"/>
  <c r="Z43" i="32"/>
  <c r="AA43" i="32"/>
  <c r="AD43" i="32"/>
  <c r="AF43" i="32"/>
  <c r="AG43" i="32"/>
  <c r="AH43" i="32"/>
  <c r="AK43" i="32"/>
  <c r="AL43" i="32"/>
  <c r="AM43" i="32"/>
  <c r="V44" i="32"/>
  <c r="W44" i="32"/>
  <c r="X44" i="32"/>
  <c r="Y44" i="32"/>
  <c r="Z44" i="32"/>
  <c r="AA44" i="32"/>
  <c r="AD44" i="32"/>
  <c r="AF44" i="32"/>
  <c r="AG44" i="32"/>
  <c r="AH44" i="32"/>
  <c r="AK44" i="32"/>
  <c r="AL44" i="32"/>
  <c r="AM44" i="32"/>
  <c r="V45" i="32"/>
  <c r="W45" i="32"/>
  <c r="X45" i="32"/>
  <c r="Y45" i="32"/>
  <c r="Z45" i="32"/>
  <c r="AA45" i="32"/>
  <c r="AD45" i="32"/>
  <c r="AF45" i="32"/>
  <c r="AG45" i="32"/>
  <c r="AH45" i="32"/>
  <c r="AK45" i="32"/>
  <c r="AL45" i="32"/>
  <c r="AM45" i="32"/>
  <c r="V46" i="32"/>
  <c r="W46" i="32"/>
  <c r="X46" i="32"/>
  <c r="Y46" i="32"/>
  <c r="Z46" i="32"/>
  <c r="AA46" i="32"/>
  <c r="AD46" i="32"/>
  <c r="AF46" i="32"/>
  <c r="AG46" i="32"/>
  <c r="AH46" i="32"/>
  <c r="AK46" i="32"/>
  <c r="AL46" i="32"/>
  <c r="AM46" i="32"/>
  <c r="V47" i="32"/>
  <c r="W47" i="32"/>
  <c r="X47" i="32"/>
  <c r="Y47" i="32"/>
  <c r="Z47" i="32"/>
  <c r="AA47" i="32"/>
  <c r="AD47" i="32"/>
  <c r="AF47" i="32"/>
  <c r="AG47" i="32"/>
  <c r="AH47" i="32"/>
  <c r="AK47" i="32"/>
  <c r="AL47" i="32"/>
  <c r="AM47" i="32"/>
  <c r="V48" i="32"/>
  <c r="W48" i="32"/>
  <c r="X48" i="32"/>
  <c r="Y48" i="32"/>
  <c r="Z48" i="32"/>
  <c r="AA48" i="32"/>
  <c r="AD48" i="32"/>
  <c r="AF48" i="32"/>
  <c r="AG48" i="32"/>
  <c r="AH48" i="32"/>
  <c r="AK48" i="32"/>
  <c r="AL48" i="32"/>
  <c r="AM48" i="32"/>
  <c r="V49" i="32"/>
  <c r="W49" i="32"/>
  <c r="X49" i="32"/>
  <c r="Y49" i="32"/>
  <c r="Z49" i="32"/>
  <c r="AA49" i="32"/>
  <c r="AD49" i="32"/>
  <c r="AF49" i="32"/>
  <c r="AG49" i="32"/>
  <c r="AH49" i="32"/>
  <c r="AK49" i="32"/>
  <c r="AL49" i="32"/>
  <c r="AM49" i="32"/>
  <c r="V50" i="32"/>
  <c r="W50" i="32"/>
  <c r="X50" i="32"/>
  <c r="Y50" i="32"/>
  <c r="Z50" i="32"/>
  <c r="AA50" i="32"/>
  <c r="AD50" i="32"/>
  <c r="AF50" i="32"/>
  <c r="AG50" i="32"/>
  <c r="AH50" i="32"/>
  <c r="AK50" i="32"/>
  <c r="AL50" i="32"/>
  <c r="AM50" i="32"/>
  <c r="V51" i="32"/>
  <c r="W51" i="32"/>
  <c r="X51" i="32"/>
  <c r="Y51" i="32"/>
  <c r="Z51" i="32"/>
  <c r="AA51" i="32"/>
  <c r="AD51" i="32"/>
  <c r="AF51" i="32"/>
  <c r="AG51" i="32"/>
  <c r="AH51" i="32"/>
  <c r="AK51" i="32"/>
  <c r="AL51" i="32"/>
  <c r="AM51" i="32"/>
  <c r="V52" i="32"/>
  <c r="W52" i="32"/>
  <c r="X52" i="32"/>
  <c r="Y52" i="32"/>
  <c r="Z52" i="32"/>
  <c r="AA52" i="32"/>
  <c r="AD52" i="32"/>
  <c r="AF52" i="32"/>
  <c r="AG52" i="32"/>
  <c r="AH52" i="32"/>
  <c r="AK52" i="32"/>
  <c r="AL52" i="32"/>
  <c r="AM52" i="32"/>
  <c r="V53" i="32"/>
  <c r="W53" i="32"/>
  <c r="X53" i="32"/>
  <c r="Y53" i="32"/>
  <c r="Z53" i="32"/>
  <c r="AA53" i="32"/>
  <c r="AD53" i="32"/>
  <c r="AF53" i="32"/>
  <c r="AG53" i="32"/>
  <c r="AH53" i="32"/>
  <c r="AK53" i="32"/>
  <c r="AL53" i="32"/>
  <c r="AM53" i="32"/>
  <c r="V54" i="32"/>
  <c r="W54" i="32"/>
  <c r="X54" i="32"/>
  <c r="Y54" i="32"/>
  <c r="Z54" i="32"/>
  <c r="AA54" i="32"/>
  <c r="AD54" i="32"/>
  <c r="AF54" i="32"/>
  <c r="AG54" i="32"/>
  <c r="AH54" i="32"/>
  <c r="AK54" i="32"/>
  <c r="AL54" i="32"/>
  <c r="AM54" i="32"/>
  <c r="V55" i="32"/>
  <c r="W55" i="32"/>
  <c r="X55" i="32"/>
  <c r="Y55" i="32"/>
  <c r="Z55" i="32"/>
  <c r="AA55" i="32"/>
  <c r="AD55" i="32"/>
  <c r="AF55" i="32"/>
  <c r="AG55" i="32"/>
  <c r="AH55" i="32"/>
  <c r="AK55" i="32"/>
  <c r="AL55" i="32"/>
  <c r="AM55" i="32"/>
  <c r="V56" i="32"/>
  <c r="W56" i="32"/>
  <c r="X56" i="32"/>
  <c r="Y56" i="32"/>
  <c r="Z56" i="32"/>
  <c r="AA56" i="32"/>
  <c r="AD56" i="32"/>
  <c r="AF56" i="32"/>
  <c r="AG56" i="32"/>
  <c r="AH56" i="32"/>
  <c r="AK56" i="32"/>
  <c r="AL56" i="32"/>
  <c r="AM56" i="32"/>
  <c r="V57" i="32"/>
  <c r="W57" i="32"/>
  <c r="X57" i="32"/>
  <c r="Y57" i="32"/>
  <c r="Z57" i="32"/>
  <c r="AA57" i="32"/>
  <c r="AD57" i="32"/>
  <c r="AF57" i="32"/>
  <c r="AG57" i="32"/>
  <c r="AH57" i="32"/>
  <c r="AK57" i="32"/>
  <c r="AL57" i="32"/>
  <c r="AM57" i="32"/>
  <c r="V58" i="32"/>
  <c r="W58" i="32"/>
  <c r="X58" i="32"/>
  <c r="Y58" i="32"/>
  <c r="Z58" i="32"/>
  <c r="AA58" i="32"/>
  <c r="AD58" i="32"/>
  <c r="AF58" i="32"/>
  <c r="AG58" i="32"/>
  <c r="AH58" i="32"/>
  <c r="AK58" i="32"/>
  <c r="AL58" i="32"/>
  <c r="AM58" i="32"/>
  <c r="V59" i="32"/>
  <c r="W59" i="32"/>
  <c r="X59" i="32"/>
  <c r="Y59" i="32"/>
  <c r="Z59" i="32"/>
  <c r="AA59" i="32"/>
  <c r="AD59" i="32"/>
  <c r="AF59" i="32"/>
  <c r="AG59" i="32"/>
  <c r="AH59" i="32"/>
  <c r="AK59" i="32"/>
  <c r="AL59" i="32"/>
  <c r="AM59" i="32"/>
  <c r="V60" i="32"/>
  <c r="W60" i="32"/>
  <c r="X60" i="32"/>
  <c r="Y60" i="32"/>
  <c r="Z60" i="32"/>
  <c r="AA60" i="32"/>
  <c r="AD60" i="32"/>
  <c r="AF60" i="32"/>
  <c r="AG60" i="32"/>
  <c r="AH60" i="32"/>
  <c r="AK60" i="32"/>
  <c r="AL60" i="32"/>
  <c r="AM60" i="32"/>
  <c r="V61" i="32"/>
  <c r="W61" i="32"/>
  <c r="X61" i="32"/>
  <c r="Y61" i="32"/>
  <c r="Z61" i="32"/>
  <c r="AA61" i="32"/>
  <c r="AD61" i="32"/>
  <c r="AF61" i="32"/>
  <c r="AG61" i="32"/>
  <c r="AH61" i="32"/>
  <c r="AK61" i="32"/>
  <c r="AL61" i="32"/>
  <c r="AM61" i="32"/>
  <c r="V62" i="32"/>
  <c r="W62" i="32"/>
  <c r="X62" i="32"/>
  <c r="Y62" i="32"/>
  <c r="Z62" i="32"/>
  <c r="AA62" i="32"/>
  <c r="AD62" i="32"/>
  <c r="AF62" i="32"/>
  <c r="AG62" i="32"/>
  <c r="AH62" i="32"/>
  <c r="AK62" i="32"/>
  <c r="AL62" i="32"/>
  <c r="AM62" i="32"/>
  <c r="V63" i="32"/>
  <c r="W63" i="32"/>
  <c r="X63" i="32"/>
  <c r="Y63" i="32"/>
  <c r="Z63" i="32"/>
  <c r="AA63" i="32"/>
  <c r="AD63" i="32"/>
  <c r="AF63" i="32"/>
  <c r="AG63" i="32"/>
  <c r="AH63" i="32"/>
  <c r="AK63" i="32"/>
  <c r="AL63" i="32"/>
  <c r="AM63" i="32"/>
  <c r="V64" i="32"/>
  <c r="W64" i="32"/>
  <c r="X64" i="32"/>
  <c r="Y64" i="32"/>
  <c r="Z64" i="32"/>
  <c r="AA64" i="32"/>
  <c r="AD64" i="32"/>
  <c r="AF64" i="32"/>
  <c r="AG64" i="32"/>
  <c r="AH64" i="32"/>
  <c r="AK64" i="32"/>
  <c r="AL64" i="32"/>
  <c r="AM64" i="32"/>
  <c r="V65" i="32"/>
  <c r="W65" i="32"/>
  <c r="X65" i="32"/>
  <c r="Y65" i="32"/>
  <c r="Z65" i="32"/>
  <c r="AA65" i="32"/>
  <c r="AD65" i="32"/>
  <c r="AF65" i="32"/>
  <c r="AG65" i="32"/>
  <c r="AH65" i="32"/>
  <c r="AK65" i="32"/>
  <c r="AL65" i="32"/>
  <c r="AM65" i="32"/>
  <c r="V66" i="32"/>
  <c r="W66" i="32"/>
  <c r="X66" i="32"/>
  <c r="Y66" i="32"/>
  <c r="Z66" i="32"/>
  <c r="AA66" i="32"/>
  <c r="AD66" i="32"/>
  <c r="AF66" i="32"/>
  <c r="AG66" i="32"/>
  <c r="AH66" i="32"/>
  <c r="AK66" i="32"/>
  <c r="AL66" i="32"/>
  <c r="AM66" i="32"/>
  <c r="V67" i="32"/>
  <c r="W67" i="32"/>
  <c r="X67" i="32"/>
  <c r="Y67" i="32"/>
  <c r="Z67" i="32"/>
  <c r="AA67" i="32"/>
  <c r="AD67" i="32"/>
  <c r="AF67" i="32"/>
  <c r="AG67" i="32"/>
  <c r="AH67" i="32"/>
  <c r="AK67" i="32"/>
  <c r="AL67" i="32"/>
  <c r="AM67" i="32"/>
  <c r="V68" i="32"/>
  <c r="W68" i="32"/>
  <c r="X68" i="32"/>
  <c r="Y68" i="32"/>
  <c r="Z68" i="32"/>
  <c r="AA68" i="32"/>
  <c r="AD68" i="32"/>
  <c r="AF68" i="32"/>
  <c r="AG68" i="32"/>
  <c r="AH68" i="32"/>
  <c r="AK68" i="32"/>
  <c r="AL68" i="32"/>
  <c r="AM68" i="32"/>
  <c r="V69" i="32"/>
  <c r="W69" i="32"/>
  <c r="X69" i="32"/>
  <c r="Y69" i="32"/>
  <c r="Z69" i="32"/>
  <c r="AA69" i="32"/>
  <c r="AD69" i="32"/>
  <c r="AF69" i="32"/>
  <c r="AG69" i="32"/>
  <c r="AH69" i="32"/>
  <c r="AK69" i="32"/>
  <c r="AL69" i="32"/>
  <c r="AM69" i="32"/>
  <c r="V70" i="32"/>
  <c r="W70" i="32"/>
  <c r="X70" i="32"/>
  <c r="Y70" i="32"/>
  <c r="Z70" i="32"/>
  <c r="AA70" i="32"/>
  <c r="AD70" i="32"/>
  <c r="AF70" i="32"/>
  <c r="AG70" i="32"/>
  <c r="AH70" i="32"/>
  <c r="AK70" i="32"/>
  <c r="AL70" i="32"/>
  <c r="AM70" i="32"/>
  <c r="V71" i="32"/>
  <c r="W71" i="32"/>
  <c r="X71" i="32"/>
  <c r="Y71" i="32"/>
  <c r="Z71" i="32"/>
  <c r="AA71" i="32"/>
  <c r="AD71" i="32"/>
  <c r="AF71" i="32"/>
  <c r="AG71" i="32"/>
  <c r="AH71" i="32"/>
  <c r="AK71" i="32"/>
  <c r="AL71" i="32"/>
  <c r="AM71" i="32"/>
  <c r="V72" i="32"/>
  <c r="W72" i="32"/>
  <c r="X72" i="32"/>
  <c r="Y72" i="32"/>
  <c r="Z72" i="32"/>
  <c r="AA72" i="32"/>
  <c r="AD72" i="32"/>
  <c r="AF72" i="32"/>
  <c r="AG72" i="32"/>
  <c r="AH72" i="32"/>
  <c r="AK72" i="32"/>
  <c r="AL72" i="32"/>
  <c r="AM72" i="32"/>
  <c r="V73" i="32"/>
  <c r="W73" i="32"/>
  <c r="X73" i="32"/>
  <c r="Y73" i="32"/>
  <c r="Z73" i="32"/>
  <c r="AA73" i="32"/>
  <c r="AD73" i="32"/>
  <c r="AF73" i="32"/>
  <c r="AG73" i="32"/>
  <c r="AH73" i="32"/>
  <c r="AK73" i="32"/>
  <c r="AL73" i="32"/>
  <c r="AM73" i="32"/>
  <c r="V74" i="32"/>
  <c r="W74" i="32"/>
  <c r="X74" i="32"/>
  <c r="Y74" i="32"/>
  <c r="Z74" i="32"/>
  <c r="AA74" i="32"/>
  <c r="AD74" i="32"/>
  <c r="AF74" i="32"/>
  <c r="AG74" i="32"/>
  <c r="AH74" i="32"/>
  <c r="AK74" i="32"/>
  <c r="AL74" i="32"/>
  <c r="AM74" i="32"/>
  <c r="V75" i="32"/>
  <c r="W75" i="32"/>
  <c r="X75" i="32"/>
  <c r="Y75" i="32"/>
  <c r="Z75" i="32"/>
  <c r="AA75" i="32"/>
  <c r="AD75" i="32"/>
  <c r="AF75" i="32"/>
  <c r="AG75" i="32"/>
  <c r="AH75" i="32"/>
  <c r="AK75" i="32"/>
  <c r="AL75" i="32"/>
  <c r="AM75" i="32"/>
  <c r="V76" i="32"/>
  <c r="W76" i="32"/>
  <c r="X76" i="32"/>
  <c r="Y76" i="32"/>
  <c r="Z76" i="32"/>
  <c r="AA76" i="32"/>
  <c r="AD76" i="32"/>
  <c r="AF76" i="32"/>
  <c r="AG76" i="32"/>
  <c r="AH76" i="32"/>
  <c r="AK76" i="32"/>
  <c r="AL76" i="32"/>
  <c r="AM76" i="32"/>
  <c r="V77" i="32"/>
  <c r="W77" i="32"/>
  <c r="X77" i="32"/>
  <c r="Y77" i="32"/>
  <c r="Z77" i="32"/>
  <c r="AA77" i="32"/>
  <c r="AD77" i="32"/>
  <c r="AF77" i="32"/>
  <c r="AG77" i="32"/>
  <c r="AH77" i="32"/>
  <c r="AK77" i="32"/>
  <c r="AL77" i="32"/>
  <c r="AM77" i="32"/>
  <c r="V78" i="32"/>
  <c r="W78" i="32"/>
  <c r="X78" i="32"/>
  <c r="Y78" i="32"/>
  <c r="Z78" i="32"/>
  <c r="AA78" i="32"/>
  <c r="AD78" i="32"/>
  <c r="AF78" i="32"/>
  <c r="AG78" i="32"/>
  <c r="AH78" i="32"/>
  <c r="AK78" i="32"/>
  <c r="AL78" i="32"/>
  <c r="AM78" i="32"/>
  <c r="V79" i="32"/>
  <c r="W79" i="32"/>
  <c r="X79" i="32"/>
  <c r="Y79" i="32"/>
  <c r="Z79" i="32"/>
  <c r="AA79" i="32"/>
  <c r="AD79" i="32"/>
  <c r="AF79" i="32"/>
  <c r="AG79" i="32"/>
  <c r="AH79" i="32"/>
  <c r="AK79" i="32"/>
  <c r="AL79" i="32"/>
  <c r="AM79" i="32"/>
  <c r="V80" i="32"/>
  <c r="W80" i="32"/>
  <c r="X80" i="32"/>
  <c r="Y80" i="32"/>
  <c r="Z80" i="32"/>
  <c r="AA80" i="32"/>
  <c r="AD80" i="32"/>
  <c r="AF80" i="32"/>
  <c r="AG80" i="32"/>
  <c r="AH80" i="32"/>
  <c r="AK80" i="32"/>
  <c r="AL80" i="32"/>
  <c r="AM80" i="32"/>
  <c r="V81" i="32"/>
  <c r="W81" i="32"/>
  <c r="X81" i="32"/>
  <c r="Y81" i="32"/>
  <c r="Z81" i="32"/>
  <c r="AA81" i="32"/>
  <c r="AD81" i="32"/>
  <c r="AF81" i="32"/>
  <c r="AG81" i="32"/>
  <c r="AH81" i="32"/>
  <c r="AK81" i="32"/>
  <c r="AL81" i="32"/>
  <c r="AM81" i="32"/>
  <c r="V82" i="32"/>
  <c r="W82" i="32"/>
  <c r="X82" i="32"/>
  <c r="Y82" i="32"/>
  <c r="Z82" i="32"/>
  <c r="AA82" i="32"/>
  <c r="AD82" i="32"/>
  <c r="AF82" i="32"/>
  <c r="AG82" i="32"/>
  <c r="AH82" i="32"/>
  <c r="AK82" i="32"/>
  <c r="AL82" i="32"/>
  <c r="AM82" i="32"/>
  <c r="V83" i="32"/>
  <c r="W83" i="32"/>
  <c r="X83" i="32"/>
  <c r="Y83" i="32"/>
  <c r="Z83" i="32"/>
  <c r="AA83" i="32"/>
  <c r="AD83" i="32"/>
  <c r="AF83" i="32"/>
  <c r="AG83" i="32"/>
  <c r="AH83" i="32"/>
  <c r="AK83" i="32"/>
  <c r="AL83" i="32"/>
  <c r="AM83" i="32"/>
  <c r="V84" i="32"/>
  <c r="W84" i="32"/>
  <c r="X84" i="32"/>
  <c r="Y84" i="32"/>
  <c r="Z84" i="32"/>
  <c r="AA84" i="32"/>
  <c r="AD84" i="32"/>
  <c r="AF84" i="32"/>
  <c r="AG84" i="32"/>
  <c r="AH84" i="32"/>
  <c r="AK84" i="32"/>
  <c r="AL84" i="32"/>
  <c r="AM84" i="32"/>
  <c r="V85" i="32"/>
  <c r="W85" i="32"/>
  <c r="X85" i="32"/>
  <c r="Y85" i="32"/>
  <c r="Z85" i="32"/>
  <c r="AA85" i="32"/>
  <c r="AD85" i="32"/>
  <c r="AF85" i="32"/>
  <c r="AG85" i="32"/>
  <c r="AH85" i="32"/>
  <c r="AK85" i="32"/>
  <c r="AL85" i="32"/>
  <c r="AM85" i="32"/>
  <c r="V86" i="32"/>
  <c r="W86" i="32"/>
  <c r="X86" i="32"/>
  <c r="Y86" i="32"/>
  <c r="Z86" i="32"/>
  <c r="AA86" i="32"/>
  <c r="AD86" i="32"/>
  <c r="AF86" i="32"/>
  <c r="AG86" i="32"/>
  <c r="AH86" i="32"/>
  <c r="AK86" i="32"/>
  <c r="AL86" i="32"/>
  <c r="AM86" i="32"/>
  <c r="V87" i="32"/>
  <c r="W87" i="32"/>
  <c r="X87" i="32"/>
  <c r="Y87" i="32"/>
  <c r="Z87" i="32"/>
  <c r="AA87" i="32"/>
  <c r="AD87" i="32"/>
  <c r="AF87" i="32"/>
  <c r="AG87" i="32"/>
  <c r="AH87" i="32"/>
  <c r="AK87" i="32"/>
  <c r="AL87" i="32"/>
  <c r="AM87" i="32"/>
  <c r="V88" i="32"/>
  <c r="W88" i="32"/>
  <c r="X88" i="32"/>
  <c r="Y88" i="32"/>
  <c r="Z88" i="32"/>
  <c r="AA88" i="32"/>
  <c r="AD88" i="32"/>
  <c r="AF88" i="32"/>
  <c r="AG88" i="32"/>
  <c r="AH88" i="32"/>
  <c r="AK88" i="32"/>
  <c r="AL88" i="32"/>
  <c r="AM88" i="32"/>
  <c r="V89" i="32"/>
  <c r="W89" i="32"/>
  <c r="X89" i="32"/>
  <c r="Y89" i="32"/>
  <c r="Z89" i="32"/>
  <c r="AA89" i="32"/>
  <c r="AD89" i="32"/>
  <c r="AF89" i="32"/>
  <c r="AG89" i="32"/>
  <c r="AH89" i="32"/>
  <c r="AK89" i="32"/>
  <c r="AL89" i="32"/>
  <c r="AM89" i="32"/>
  <c r="V90" i="32"/>
  <c r="W90" i="32"/>
  <c r="X90" i="32"/>
  <c r="Y90" i="32"/>
  <c r="Z90" i="32"/>
  <c r="AA90" i="32"/>
  <c r="AD90" i="32"/>
  <c r="AF90" i="32"/>
  <c r="AG90" i="32"/>
  <c r="AH90" i="32"/>
  <c r="AK90" i="32"/>
  <c r="AL90" i="32"/>
  <c r="AM90" i="32"/>
  <c r="V91" i="32"/>
  <c r="W91" i="32"/>
  <c r="X91" i="32"/>
  <c r="Y91" i="32"/>
  <c r="Z91" i="32"/>
  <c r="AA91" i="32"/>
  <c r="AD91" i="32"/>
  <c r="AF91" i="32"/>
  <c r="AG91" i="32"/>
  <c r="AH91" i="32"/>
  <c r="AK91" i="32"/>
  <c r="AL91" i="32"/>
  <c r="AM91" i="32"/>
  <c r="V92" i="32"/>
  <c r="W92" i="32"/>
  <c r="X92" i="32"/>
  <c r="Y92" i="32"/>
  <c r="Z92" i="32"/>
  <c r="AA92" i="32"/>
  <c r="AD92" i="32"/>
  <c r="AF92" i="32"/>
  <c r="AG92" i="32"/>
  <c r="AH92" i="32"/>
  <c r="AK92" i="32"/>
  <c r="AL92" i="32"/>
  <c r="AM92" i="32"/>
  <c r="V93" i="32"/>
  <c r="W93" i="32"/>
  <c r="X93" i="32"/>
  <c r="Y93" i="32"/>
  <c r="Z93" i="32"/>
  <c r="AA93" i="32"/>
  <c r="AD93" i="32"/>
  <c r="AF93" i="32"/>
  <c r="AG93" i="32"/>
  <c r="AH93" i="32"/>
  <c r="AK93" i="32"/>
  <c r="AL93" i="32"/>
  <c r="AM93" i="32"/>
  <c r="V94" i="32"/>
  <c r="W94" i="32"/>
  <c r="X94" i="32"/>
  <c r="Y94" i="32"/>
  <c r="Z94" i="32"/>
  <c r="AA94" i="32"/>
  <c r="AD94" i="32"/>
  <c r="AF94" i="32"/>
  <c r="AG94" i="32"/>
  <c r="AH94" i="32"/>
  <c r="AK94" i="32"/>
  <c r="AL94" i="32"/>
  <c r="AM94" i="32"/>
  <c r="V95" i="32"/>
  <c r="W95" i="32"/>
  <c r="X95" i="32"/>
  <c r="Y95" i="32"/>
  <c r="Z95" i="32"/>
  <c r="AA95" i="32"/>
  <c r="AD95" i="32"/>
  <c r="AF95" i="32"/>
  <c r="AG95" i="32"/>
  <c r="AH95" i="32"/>
  <c r="AK95" i="32"/>
  <c r="AL95" i="32"/>
  <c r="AM95" i="32"/>
  <c r="V96" i="32"/>
  <c r="W96" i="32"/>
  <c r="X96" i="32"/>
  <c r="Y96" i="32"/>
  <c r="Z96" i="32"/>
  <c r="AA96" i="32"/>
  <c r="AD96" i="32"/>
  <c r="AF96" i="32"/>
  <c r="AG96" i="32"/>
  <c r="AH96" i="32"/>
  <c r="AK96" i="32"/>
  <c r="AL96" i="32"/>
  <c r="AM96" i="32"/>
  <c r="V97" i="32"/>
  <c r="W97" i="32"/>
  <c r="X97" i="32"/>
  <c r="Y97" i="32"/>
  <c r="Z97" i="32"/>
  <c r="AA97" i="32"/>
  <c r="AD97" i="32"/>
  <c r="AF97" i="32"/>
  <c r="AG97" i="32"/>
  <c r="AH97" i="32"/>
  <c r="AK97" i="32"/>
  <c r="AL97" i="32"/>
  <c r="AM97" i="32"/>
  <c r="V98" i="32"/>
  <c r="W98" i="32"/>
  <c r="X98" i="32"/>
  <c r="Y98" i="32"/>
  <c r="Z98" i="32"/>
  <c r="AA98" i="32"/>
  <c r="AD98" i="32"/>
  <c r="AF98" i="32"/>
  <c r="AG98" i="32"/>
  <c r="AH98" i="32"/>
  <c r="AK98" i="32"/>
  <c r="AL98" i="32"/>
  <c r="AM98" i="32"/>
  <c r="V99" i="32"/>
  <c r="W99" i="32"/>
  <c r="X99" i="32"/>
  <c r="Y99" i="32"/>
  <c r="Z99" i="32"/>
  <c r="AA99" i="32"/>
  <c r="AD99" i="32"/>
  <c r="AF99" i="32"/>
  <c r="AG99" i="32"/>
  <c r="AH99" i="32"/>
  <c r="AK99" i="32"/>
  <c r="AL99" i="32"/>
  <c r="AM99" i="32"/>
  <c r="V100" i="32"/>
  <c r="W100" i="32"/>
  <c r="X100" i="32"/>
  <c r="Y100" i="32"/>
  <c r="Z100" i="32"/>
  <c r="AA100" i="32"/>
  <c r="AD100" i="32"/>
  <c r="AF100" i="32"/>
  <c r="AG100" i="32"/>
  <c r="AH100" i="32"/>
  <c r="AK100" i="32"/>
  <c r="AL100" i="32"/>
  <c r="AM100" i="32"/>
  <c r="V101" i="32"/>
  <c r="W101" i="32"/>
  <c r="X101" i="32"/>
  <c r="Y101" i="32"/>
  <c r="Z101" i="32"/>
  <c r="AA101" i="32"/>
  <c r="AD101" i="32"/>
  <c r="AF101" i="32"/>
  <c r="AG101" i="32"/>
  <c r="AH101" i="32"/>
  <c r="AK101" i="32"/>
  <c r="AL101" i="32"/>
  <c r="AM101" i="32"/>
  <c r="V102" i="32"/>
  <c r="W102" i="32"/>
  <c r="X102" i="32"/>
  <c r="Y102" i="32"/>
  <c r="Z102" i="32"/>
  <c r="AA102" i="32"/>
  <c r="AD102" i="32"/>
  <c r="AF102" i="32"/>
  <c r="AG102" i="32"/>
  <c r="AH102" i="32"/>
  <c r="AK102" i="32"/>
  <c r="AL102" i="32"/>
  <c r="AM102" i="32"/>
  <c r="V103" i="32"/>
  <c r="W103" i="32"/>
  <c r="X103" i="32"/>
  <c r="Y103" i="32"/>
  <c r="Z103" i="32"/>
  <c r="AA103" i="32"/>
  <c r="AD103" i="32"/>
  <c r="AF103" i="32"/>
  <c r="AG103" i="32"/>
  <c r="AH103" i="32"/>
  <c r="AK103" i="32"/>
  <c r="AL103" i="32"/>
  <c r="AM103" i="32"/>
  <c r="V104" i="32"/>
  <c r="W104" i="32"/>
  <c r="X104" i="32"/>
  <c r="Y104" i="32"/>
  <c r="Z104" i="32"/>
  <c r="AA104" i="32"/>
  <c r="AD104" i="32"/>
  <c r="AF104" i="32"/>
  <c r="AG104" i="32"/>
  <c r="AH104" i="32"/>
  <c r="AK104" i="32"/>
  <c r="AL104" i="32"/>
  <c r="AM104" i="32"/>
  <c r="V105" i="32"/>
  <c r="W105" i="32"/>
  <c r="X105" i="32"/>
  <c r="Y105" i="32"/>
  <c r="Z105" i="32"/>
  <c r="AA105" i="32"/>
  <c r="AD105" i="32"/>
  <c r="AF105" i="32"/>
  <c r="AG105" i="32"/>
  <c r="AH105" i="32"/>
  <c r="AK105" i="32"/>
  <c r="AL105" i="32"/>
  <c r="AM105" i="32"/>
  <c r="V106" i="32"/>
  <c r="W106" i="32"/>
  <c r="X106" i="32"/>
  <c r="Y106" i="32"/>
  <c r="Z106" i="32"/>
  <c r="AA106" i="32"/>
  <c r="AD106" i="32"/>
  <c r="AF106" i="32"/>
  <c r="AG106" i="32"/>
  <c r="AH106" i="32"/>
  <c r="AK106" i="32"/>
  <c r="AL106" i="32"/>
  <c r="AM106" i="32"/>
  <c r="V107" i="32"/>
  <c r="W107" i="32"/>
  <c r="X107" i="32"/>
  <c r="Y107" i="32"/>
  <c r="Z107" i="32"/>
  <c r="AA107" i="32"/>
  <c r="AD107" i="32"/>
  <c r="AF107" i="32"/>
  <c r="AG107" i="32"/>
  <c r="AH107" i="32"/>
  <c r="AK107" i="32"/>
  <c r="AL107" i="32"/>
  <c r="AM107" i="32"/>
  <c r="V108" i="32"/>
  <c r="W108" i="32"/>
  <c r="X108" i="32"/>
  <c r="Y108" i="32"/>
  <c r="Z108" i="32"/>
  <c r="AA108" i="32"/>
  <c r="AD108" i="32"/>
  <c r="AF108" i="32"/>
  <c r="AG108" i="32"/>
  <c r="AH108" i="32"/>
  <c r="AK108" i="32"/>
  <c r="AL108" i="32"/>
  <c r="AM108" i="32"/>
  <c r="V109" i="32"/>
  <c r="W109" i="32"/>
  <c r="X109" i="32"/>
  <c r="Y109" i="32"/>
  <c r="Z109" i="32"/>
  <c r="AA109" i="32"/>
  <c r="AD109" i="32"/>
  <c r="AF109" i="32"/>
  <c r="AG109" i="32"/>
  <c r="AH109" i="32"/>
  <c r="AK109" i="32"/>
  <c r="AL109" i="32"/>
  <c r="AM109" i="32"/>
  <c r="V110" i="32"/>
  <c r="W110" i="32"/>
  <c r="X110" i="32"/>
  <c r="Y110" i="32"/>
  <c r="Z110" i="32"/>
  <c r="AA110" i="32"/>
  <c r="AD110" i="32"/>
  <c r="AF110" i="32"/>
  <c r="AG110" i="32"/>
  <c r="AH110" i="32"/>
  <c r="AK110" i="32"/>
  <c r="AL110" i="32"/>
  <c r="AM110" i="32"/>
  <c r="V111" i="32"/>
  <c r="W111" i="32"/>
  <c r="X111" i="32"/>
  <c r="Y111" i="32"/>
  <c r="Z111" i="32"/>
  <c r="AA111" i="32"/>
  <c r="AD111" i="32"/>
  <c r="AF111" i="32"/>
  <c r="AG111" i="32"/>
  <c r="AH111" i="32"/>
  <c r="AK111" i="32"/>
  <c r="AL111" i="32"/>
  <c r="AM111" i="32"/>
  <c r="V112" i="32"/>
  <c r="W112" i="32"/>
  <c r="X112" i="32"/>
  <c r="Y112" i="32"/>
  <c r="Z112" i="32"/>
  <c r="AA112" i="32"/>
  <c r="AD112" i="32"/>
  <c r="AF112" i="32"/>
  <c r="AG112" i="32"/>
  <c r="AH112" i="32"/>
  <c r="AK112" i="32"/>
  <c r="AL112" i="32"/>
  <c r="AM112" i="32"/>
  <c r="V113" i="32"/>
  <c r="W113" i="32"/>
  <c r="X113" i="32"/>
  <c r="Y113" i="32"/>
  <c r="Z113" i="32"/>
  <c r="AA113" i="32"/>
  <c r="AD113" i="32"/>
  <c r="AF113" i="32"/>
  <c r="AG113" i="32"/>
  <c r="AH113" i="32"/>
  <c r="AK113" i="32"/>
  <c r="AL113" i="32"/>
  <c r="AM113" i="32"/>
  <c r="V114" i="32"/>
  <c r="W114" i="32"/>
  <c r="X114" i="32"/>
  <c r="Y114" i="32"/>
  <c r="Z114" i="32"/>
  <c r="AA114" i="32"/>
  <c r="AD114" i="32"/>
  <c r="AF114" i="32"/>
  <c r="AG114" i="32"/>
  <c r="AH114" i="32"/>
  <c r="AK114" i="32"/>
  <c r="AL114" i="32"/>
  <c r="AM114" i="32"/>
  <c r="V115" i="32"/>
  <c r="W115" i="32"/>
  <c r="X115" i="32"/>
  <c r="Y115" i="32"/>
  <c r="Z115" i="32"/>
  <c r="AA115" i="32"/>
  <c r="AD115" i="32"/>
  <c r="AF115" i="32"/>
  <c r="AG115" i="32"/>
  <c r="AH115" i="32"/>
  <c r="AK115" i="32"/>
  <c r="AL115" i="32"/>
  <c r="AM115" i="32"/>
  <c r="V116" i="32"/>
  <c r="W116" i="32"/>
  <c r="X116" i="32"/>
  <c r="Y116" i="32"/>
  <c r="Z116" i="32"/>
  <c r="AA116" i="32"/>
  <c r="AD116" i="32"/>
  <c r="AF116" i="32"/>
  <c r="AG116" i="32"/>
  <c r="AH116" i="32"/>
  <c r="AK116" i="32"/>
  <c r="AL116" i="32"/>
  <c r="AM116" i="32"/>
  <c r="V117" i="32"/>
  <c r="W117" i="32"/>
  <c r="X117" i="32"/>
  <c r="Y117" i="32"/>
  <c r="Z117" i="32"/>
  <c r="AA117" i="32"/>
  <c r="AD117" i="32"/>
  <c r="AF117" i="32"/>
  <c r="AG117" i="32"/>
  <c r="AH117" i="32"/>
  <c r="AK117" i="32"/>
  <c r="AL117" i="32"/>
  <c r="AM117" i="32"/>
  <c r="V118" i="32"/>
  <c r="W118" i="32"/>
  <c r="X118" i="32"/>
  <c r="Y118" i="32"/>
  <c r="Z118" i="32"/>
  <c r="AA118" i="32"/>
  <c r="AD118" i="32"/>
  <c r="AF118" i="32"/>
  <c r="AG118" i="32"/>
  <c r="AH118" i="32"/>
  <c r="AK118" i="32"/>
  <c r="AL118" i="32"/>
  <c r="AM118" i="32"/>
  <c r="V119" i="32"/>
  <c r="W119" i="32"/>
  <c r="X119" i="32"/>
  <c r="Y119" i="32"/>
  <c r="Z119" i="32"/>
  <c r="AA119" i="32"/>
  <c r="AD119" i="32"/>
  <c r="AF119" i="32"/>
  <c r="AG119" i="32"/>
  <c r="AH119" i="32"/>
  <c r="AK119" i="32"/>
  <c r="AL119" i="32"/>
  <c r="AM119" i="32"/>
  <c r="V120" i="32"/>
  <c r="W120" i="32"/>
  <c r="X120" i="32"/>
  <c r="Y120" i="32"/>
  <c r="Z120" i="32"/>
  <c r="AA120" i="32"/>
  <c r="AD120" i="32"/>
  <c r="AF120" i="32"/>
  <c r="AG120" i="32"/>
  <c r="AH120" i="32"/>
  <c r="AK120" i="32"/>
  <c r="AL120" i="32"/>
  <c r="AM120" i="32"/>
  <c r="V121" i="32"/>
  <c r="W121" i="32"/>
  <c r="X121" i="32"/>
  <c r="Y121" i="32"/>
  <c r="Z121" i="32"/>
  <c r="AA121" i="32"/>
  <c r="AD121" i="32"/>
  <c r="AF121" i="32"/>
  <c r="AG121" i="32"/>
  <c r="AH121" i="32"/>
  <c r="AK121" i="32"/>
  <c r="AL121" i="32"/>
  <c r="AM121" i="32"/>
  <c r="V122" i="32"/>
  <c r="W122" i="32"/>
  <c r="X122" i="32"/>
  <c r="Y122" i="32"/>
  <c r="Z122" i="32"/>
  <c r="AA122" i="32"/>
  <c r="AD122" i="32"/>
  <c r="AF122" i="32"/>
  <c r="AG122" i="32"/>
  <c r="AH122" i="32"/>
  <c r="AK122" i="32"/>
  <c r="AL122" i="32"/>
  <c r="AM122" i="32"/>
  <c r="V123" i="32"/>
  <c r="W123" i="32"/>
  <c r="X123" i="32"/>
  <c r="Y123" i="32"/>
  <c r="Z123" i="32"/>
  <c r="AA123" i="32"/>
  <c r="AD123" i="32"/>
  <c r="AF123" i="32"/>
  <c r="AG123" i="32"/>
  <c r="AH123" i="32"/>
  <c r="AK123" i="32"/>
  <c r="AL123" i="32"/>
  <c r="AM123" i="32"/>
  <c r="V124" i="32"/>
  <c r="W124" i="32"/>
  <c r="X124" i="32"/>
  <c r="Y124" i="32"/>
  <c r="Z124" i="32"/>
  <c r="AA124" i="32"/>
  <c r="AD124" i="32"/>
  <c r="AF124" i="32"/>
  <c r="AG124" i="32"/>
  <c r="AH124" i="32"/>
  <c r="AK124" i="32"/>
  <c r="AL124" i="32"/>
  <c r="AM124" i="32"/>
  <c r="V125" i="32"/>
  <c r="W125" i="32"/>
  <c r="X125" i="32"/>
  <c r="Y125" i="32"/>
  <c r="Z125" i="32"/>
  <c r="AA125" i="32"/>
  <c r="AD125" i="32"/>
  <c r="AF125" i="32"/>
  <c r="AG125" i="32"/>
  <c r="AH125" i="32"/>
  <c r="AK125" i="32"/>
  <c r="AL125" i="32"/>
  <c r="AM125" i="32"/>
  <c r="V126" i="32"/>
  <c r="W126" i="32"/>
  <c r="X126" i="32"/>
  <c r="Y126" i="32"/>
  <c r="Z126" i="32"/>
  <c r="AA126" i="32"/>
  <c r="AD126" i="32"/>
  <c r="AF126" i="32"/>
  <c r="AG126" i="32"/>
  <c r="AH126" i="32"/>
  <c r="AK126" i="32"/>
  <c r="AL126" i="32"/>
  <c r="AM126" i="32"/>
  <c r="V127" i="32"/>
  <c r="W127" i="32"/>
  <c r="X127" i="32"/>
  <c r="Y127" i="32"/>
  <c r="Z127" i="32"/>
  <c r="AA127" i="32"/>
  <c r="AD127" i="32"/>
  <c r="AF127" i="32"/>
  <c r="AG127" i="32"/>
  <c r="AH127" i="32"/>
  <c r="AK127" i="32"/>
  <c r="AL127" i="32"/>
  <c r="AM127" i="32"/>
  <c r="V128" i="32"/>
  <c r="W128" i="32"/>
  <c r="X128" i="32"/>
  <c r="Y128" i="32"/>
  <c r="Z128" i="32"/>
  <c r="AA128" i="32"/>
  <c r="AD128" i="32"/>
  <c r="AF128" i="32"/>
  <c r="AG128" i="32"/>
  <c r="AH128" i="32"/>
  <c r="AK128" i="32"/>
  <c r="AL128" i="32"/>
  <c r="AM128" i="32"/>
  <c r="V129" i="32"/>
  <c r="W129" i="32"/>
  <c r="X129" i="32"/>
  <c r="Y129" i="32"/>
  <c r="Z129" i="32"/>
  <c r="AA129" i="32"/>
  <c r="AD129" i="32"/>
  <c r="AF129" i="32"/>
  <c r="AG129" i="32"/>
  <c r="AH129" i="32"/>
  <c r="AK129" i="32"/>
  <c r="AL129" i="32"/>
  <c r="AM129" i="32"/>
  <c r="V130" i="32"/>
  <c r="W130" i="32"/>
  <c r="X130" i="32"/>
  <c r="Y130" i="32"/>
  <c r="Z130" i="32"/>
  <c r="AA130" i="32"/>
  <c r="AD130" i="32"/>
  <c r="AF130" i="32"/>
  <c r="AG130" i="32"/>
  <c r="AH130" i="32"/>
  <c r="AK130" i="32"/>
  <c r="AL130" i="32"/>
  <c r="AM130" i="32"/>
  <c r="V131" i="32"/>
  <c r="W131" i="32"/>
  <c r="X131" i="32"/>
  <c r="Y131" i="32"/>
  <c r="Z131" i="32"/>
  <c r="AA131" i="32"/>
  <c r="AD131" i="32"/>
  <c r="AF131" i="32"/>
  <c r="AG131" i="32"/>
  <c r="AH131" i="32"/>
  <c r="AK131" i="32"/>
  <c r="AL131" i="32"/>
  <c r="AM131" i="32"/>
  <c r="V132" i="32"/>
  <c r="W132" i="32"/>
  <c r="X132" i="32"/>
  <c r="Y132" i="32"/>
  <c r="Z132" i="32"/>
  <c r="AA132" i="32"/>
  <c r="AD132" i="32"/>
  <c r="AF132" i="32"/>
  <c r="AG132" i="32"/>
  <c r="AH132" i="32"/>
  <c r="AK132" i="32"/>
  <c r="AL132" i="32"/>
  <c r="AM132" i="32"/>
  <c r="V133" i="32"/>
  <c r="W133" i="32"/>
  <c r="X133" i="32"/>
  <c r="Y133" i="32"/>
  <c r="Z133" i="32"/>
  <c r="AA133" i="32"/>
  <c r="AD133" i="32"/>
  <c r="AF133" i="32"/>
  <c r="AG133" i="32"/>
  <c r="AH133" i="32"/>
  <c r="AK133" i="32"/>
  <c r="AL133" i="32"/>
  <c r="AM133" i="32"/>
  <c r="V134" i="32"/>
  <c r="W134" i="32"/>
  <c r="X134" i="32"/>
  <c r="Y134" i="32"/>
  <c r="Z134" i="32"/>
  <c r="AA134" i="32"/>
  <c r="AD134" i="32"/>
  <c r="AF134" i="32"/>
  <c r="AG134" i="32"/>
  <c r="AH134" i="32"/>
  <c r="AK134" i="32"/>
  <c r="AL134" i="32"/>
  <c r="AM134" i="32"/>
  <c r="V135" i="32"/>
  <c r="W135" i="32"/>
  <c r="X135" i="32"/>
  <c r="Y135" i="32"/>
  <c r="Z135" i="32"/>
  <c r="AA135" i="32"/>
  <c r="AD135" i="32"/>
  <c r="AF135" i="32"/>
  <c r="AG135" i="32"/>
  <c r="AH135" i="32"/>
  <c r="AK135" i="32"/>
  <c r="AL135" i="32"/>
  <c r="AM135" i="32"/>
  <c r="V136" i="32"/>
  <c r="W136" i="32"/>
  <c r="X136" i="32"/>
  <c r="Y136" i="32"/>
  <c r="Z136" i="32"/>
  <c r="AA136" i="32"/>
  <c r="AD136" i="32"/>
  <c r="AF136" i="32"/>
  <c r="AG136" i="32"/>
  <c r="AH136" i="32"/>
  <c r="AK136" i="32"/>
  <c r="AL136" i="32"/>
  <c r="AM136" i="32"/>
  <c r="V137" i="32"/>
  <c r="W137" i="32"/>
  <c r="X137" i="32"/>
  <c r="Y137" i="32"/>
  <c r="Z137" i="32"/>
  <c r="AA137" i="32"/>
  <c r="AD137" i="32"/>
  <c r="AF137" i="32"/>
  <c r="AG137" i="32"/>
  <c r="AH137" i="32"/>
  <c r="AK137" i="32"/>
  <c r="AL137" i="32"/>
  <c r="AM137" i="32"/>
  <c r="V138" i="32"/>
  <c r="W138" i="32"/>
  <c r="X138" i="32"/>
  <c r="Y138" i="32"/>
  <c r="Z138" i="32"/>
  <c r="AA138" i="32"/>
  <c r="AD138" i="32"/>
  <c r="AF138" i="32"/>
  <c r="AG138" i="32"/>
  <c r="AH138" i="32"/>
  <c r="AK138" i="32"/>
  <c r="AL138" i="32"/>
  <c r="AM138" i="32"/>
  <c r="V139" i="32"/>
  <c r="W139" i="32"/>
  <c r="X139" i="32"/>
  <c r="Y139" i="32"/>
  <c r="Z139" i="32"/>
  <c r="AA139" i="32"/>
  <c r="AD139" i="32"/>
  <c r="AF139" i="32"/>
  <c r="AG139" i="32"/>
  <c r="AH139" i="32"/>
  <c r="AK139" i="32"/>
  <c r="AL139" i="32"/>
  <c r="AM139" i="32"/>
  <c r="V140" i="32"/>
  <c r="W140" i="32"/>
  <c r="X140" i="32"/>
  <c r="Y140" i="32"/>
  <c r="Z140" i="32"/>
  <c r="AA140" i="32"/>
  <c r="AD140" i="32"/>
  <c r="AF140" i="32"/>
  <c r="AG140" i="32"/>
  <c r="AH140" i="32"/>
  <c r="AK140" i="32"/>
  <c r="AL140" i="32"/>
  <c r="AM140" i="32"/>
  <c r="V141" i="32"/>
  <c r="W141" i="32"/>
  <c r="X141" i="32"/>
  <c r="Y141" i="32"/>
  <c r="Z141" i="32"/>
  <c r="AA141" i="32"/>
  <c r="AD141" i="32"/>
  <c r="AF141" i="32"/>
  <c r="AG141" i="32"/>
  <c r="AH141" i="32"/>
  <c r="AK141" i="32"/>
  <c r="AL141" i="32"/>
  <c r="AM141" i="32"/>
  <c r="V142" i="32"/>
  <c r="W142" i="32"/>
  <c r="X142" i="32"/>
  <c r="Y142" i="32"/>
  <c r="Z142" i="32"/>
  <c r="AA142" i="32"/>
  <c r="AD142" i="32"/>
  <c r="AF142" i="32"/>
  <c r="AG142" i="32"/>
  <c r="AH142" i="32"/>
  <c r="AK142" i="32"/>
  <c r="AL142" i="32"/>
  <c r="AM142" i="32"/>
  <c r="V143" i="32"/>
  <c r="W143" i="32"/>
  <c r="X143" i="32"/>
  <c r="Y143" i="32"/>
  <c r="Z143" i="32"/>
  <c r="AA143" i="32"/>
  <c r="AD143" i="32"/>
  <c r="AF143" i="32"/>
  <c r="AG143" i="32"/>
  <c r="AH143" i="32"/>
  <c r="AK143" i="32"/>
  <c r="AL143" i="32"/>
  <c r="AM143" i="32"/>
  <c r="V144" i="32"/>
  <c r="W144" i="32"/>
  <c r="X144" i="32"/>
  <c r="Y144" i="32"/>
  <c r="Z144" i="32"/>
  <c r="AA144" i="32"/>
  <c r="AD144" i="32"/>
  <c r="AF144" i="32"/>
  <c r="AG144" i="32"/>
  <c r="AH144" i="32"/>
  <c r="AK144" i="32"/>
  <c r="AL144" i="32"/>
  <c r="AM144" i="32"/>
  <c r="V145" i="32"/>
  <c r="W145" i="32"/>
  <c r="X145" i="32"/>
  <c r="Y145" i="32"/>
  <c r="Z145" i="32"/>
  <c r="AA145" i="32"/>
  <c r="AD145" i="32"/>
  <c r="AF145" i="32"/>
  <c r="AG145" i="32"/>
  <c r="AH145" i="32"/>
  <c r="AK145" i="32"/>
  <c r="AL145" i="32"/>
  <c r="AM145" i="32"/>
  <c r="V146" i="32"/>
  <c r="W146" i="32"/>
  <c r="X146" i="32"/>
  <c r="Y146" i="32"/>
  <c r="Z146" i="32"/>
  <c r="AA146" i="32"/>
  <c r="AD146" i="32"/>
  <c r="AF146" i="32"/>
  <c r="AG146" i="32"/>
  <c r="AH146" i="32"/>
  <c r="AK146" i="32"/>
  <c r="AL146" i="32"/>
  <c r="AM146" i="32"/>
  <c r="V147" i="32"/>
  <c r="W147" i="32"/>
  <c r="X147" i="32"/>
  <c r="Y147" i="32"/>
  <c r="Z147" i="32"/>
  <c r="AA147" i="32"/>
  <c r="AD147" i="32"/>
  <c r="AF147" i="32"/>
  <c r="AG147" i="32"/>
  <c r="AH147" i="32"/>
  <c r="AK147" i="32"/>
  <c r="AL147" i="32"/>
  <c r="AM147" i="32"/>
  <c r="V148" i="32"/>
  <c r="W148" i="32"/>
  <c r="X148" i="32"/>
  <c r="Y148" i="32"/>
  <c r="Z148" i="32"/>
  <c r="AA148" i="32"/>
  <c r="AD148" i="32"/>
  <c r="AF148" i="32"/>
  <c r="AG148" i="32"/>
  <c r="AH148" i="32"/>
  <c r="AK148" i="32"/>
  <c r="AL148" i="32"/>
  <c r="AM148" i="32"/>
  <c r="V149" i="32"/>
  <c r="W149" i="32"/>
  <c r="X149" i="32"/>
  <c r="Y149" i="32"/>
  <c r="Z149" i="32"/>
  <c r="AA149" i="32"/>
  <c r="AD149" i="32"/>
  <c r="AF149" i="32"/>
  <c r="AG149" i="32"/>
  <c r="AH149" i="32"/>
  <c r="AK149" i="32"/>
  <c r="AL149" i="32"/>
  <c r="AM149" i="32"/>
  <c r="V150" i="32"/>
  <c r="W150" i="32"/>
  <c r="X150" i="32"/>
  <c r="Y150" i="32"/>
  <c r="Z150" i="32"/>
  <c r="AA150" i="32"/>
  <c r="AD150" i="32"/>
  <c r="AF150" i="32"/>
  <c r="AG150" i="32"/>
  <c r="AH150" i="32"/>
  <c r="AK150" i="32"/>
  <c r="AL150" i="32"/>
  <c r="AM150" i="32"/>
  <c r="V151" i="32"/>
  <c r="W151" i="32"/>
  <c r="X151" i="32"/>
  <c r="Y151" i="32"/>
  <c r="Z151" i="32"/>
  <c r="AA151" i="32"/>
  <c r="AD151" i="32"/>
  <c r="AF151" i="32"/>
  <c r="AG151" i="32"/>
  <c r="AH151" i="32"/>
  <c r="AK151" i="32"/>
  <c r="AL151" i="32"/>
  <c r="AM151" i="32"/>
  <c r="V152" i="32"/>
  <c r="W152" i="32"/>
  <c r="X152" i="32"/>
  <c r="Y152" i="32"/>
  <c r="Z152" i="32"/>
  <c r="AA152" i="32"/>
  <c r="AD152" i="32"/>
  <c r="AF152" i="32"/>
  <c r="AG152" i="32"/>
  <c r="AH152" i="32"/>
  <c r="AK152" i="32"/>
  <c r="AL152" i="32"/>
  <c r="AM152" i="32"/>
  <c r="V153" i="32"/>
  <c r="W153" i="32"/>
  <c r="X153" i="32"/>
  <c r="Y153" i="32"/>
  <c r="Z153" i="32"/>
  <c r="AA153" i="32"/>
  <c r="AD153" i="32"/>
  <c r="AF153" i="32"/>
  <c r="AG153" i="32"/>
  <c r="AH153" i="32"/>
  <c r="AK153" i="32"/>
  <c r="AL153" i="32"/>
  <c r="AM153" i="32"/>
  <c r="V154" i="32"/>
  <c r="W154" i="32"/>
  <c r="X154" i="32"/>
  <c r="Y154" i="32"/>
  <c r="Z154" i="32"/>
  <c r="AA154" i="32"/>
  <c r="AD154" i="32"/>
  <c r="AF154" i="32"/>
  <c r="AG154" i="32"/>
  <c r="AH154" i="32"/>
  <c r="AK154" i="32"/>
  <c r="AL154" i="32"/>
  <c r="AM154" i="32"/>
  <c r="V155" i="32"/>
  <c r="W155" i="32"/>
  <c r="X155" i="32"/>
  <c r="Y155" i="32"/>
  <c r="Z155" i="32"/>
  <c r="AA155" i="32"/>
  <c r="AD155" i="32"/>
  <c r="AF155" i="32"/>
  <c r="AG155" i="32"/>
  <c r="AH155" i="32"/>
  <c r="AK155" i="32"/>
  <c r="AL155" i="32"/>
  <c r="AM155" i="32"/>
  <c r="V156" i="32"/>
  <c r="W156" i="32"/>
  <c r="X156" i="32"/>
  <c r="Y156" i="32"/>
  <c r="Z156" i="32"/>
  <c r="AA156" i="32"/>
  <c r="AD156" i="32"/>
  <c r="AF156" i="32"/>
  <c r="AG156" i="32"/>
  <c r="AH156" i="32"/>
  <c r="AK156" i="32"/>
  <c r="AL156" i="32"/>
  <c r="AM156" i="32"/>
  <c r="V157" i="32"/>
  <c r="W157" i="32"/>
  <c r="X157" i="32"/>
  <c r="Y157" i="32"/>
  <c r="Z157" i="32"/>
  <c r="AA157" i="32"/>
  <c r="AD157" i="32"/>
  <c r="AF157" i="32"/>
  <c r="AG157" i="32"/>
  <c r="AH157" i="32"/>
  <c r="AK157" i="32"/>
  <c r="AL157" i="32"/>
  <c r="AM157" i="32"/>
  <c r="V158" i="32"/>
  <c r="W158" i="32"/>
  <c r="X158" i="32"/>
  <c r="Y158" i="32"/>
  <c r="Z158" i="32"/>
  <c r="AA158" i="32"/>
  <c r="AD158" i="32"/>
  <c r="AF158" i="32"/>
  <c r="AG158" i="32"/>
  <c r="AH158" i="32"/>
  <c r="AK158" i="32"/>
  <c r="AL158" i="32"/>
  <c r="AM158" i="32"/>
  <c r="V159" i="32"/>
  <c r="W159" i="32"/>
  <c r="X159" i="32"/>
  <c r="Y159" i="32"/>
  <c r="Z159" i="32"/>
  <c r="AA159" i="32"/>
  <c r="AD159" i="32"/>
  <c r="AF159" i="32"/>
  <c r="AG159" i="32"/>
  <c r="AH159" i="32"/>
  <c r="AK159" i="32"/>
  <c r="AL159" i="32"/>
  <c r="AM159" i="32"/>
  <c r="V160" i="32"/>
  <c r="W160" i="32"/>
  <c r="X160" i="32"/>
  <c r="Y160" i="32"/>
  <c r="Z160" i="32"/>
  <c r="AA160" i="32"/>
  <c r="AD160" i="32"/>
  <c r="AF160" i="32"/>
  <c r="AG160" i="32"/>
  <c r="AH160" i="32"/>
  <c r="AK160" i="32"/>
  <c r="AL160" i="32"/>
  <c r="AM160" i="32"/>
  <c r="V161" i="32"/>
  <c r="W161" i="32"/>
  <c r="X161" i="32"/>
  <c r="Y161" i="32"/>
  <c r="Z161" i="32"/>
  <c r="AA161" i="32"/>
  <c r="AD161" i="32"/>
  <c r="AF161" i="32"/>
  <c r="AG161" i="32"/>
  <c r="AH161" i="32"/>
  <c r="AK161" i="32"/>
  <c r="AL161" i="32"/>
  <c r="AM161" i="32"/>
  <c r="V162" i="32"/>
  <c r="W162" i="32"/>
  <c r="X162" i="32"/>
  <c r="Y162" i="32"/>
  <c r="Z162" i="32"/>
  <c r="AA162" i="32"/>
  <c r="AD162" i="32"/>
  <c r="AF162" i="32"/>
  <c r="AG162" i="32"/>
  <c r="AH162" i="32"/>
  <c r="AK162" i="32"/>
  <c r="AL162" i="32"/>
  <c r="AM162" i="32"/>
  <c r="V163" i="32"/>
  <c r="W163" i="32"/>
  <c r="X163" i="32"/>
  <c r="Y163" i="32"/>
  <c r="Z163" i="32"/>
  <c r="AA163" i="32"/>
  <c r="AD163" i="32"/>
  <c r="AF163" i="32"/>
  <c r="AG163" i="32"/>
  <c r="AH163" i="32"/>
  <c r="AK163" i="32"/>
  <c r="AL163" i="32"/>
  <c r="AM163" i="32"/>
  <c r="V164" i="32"/>
  <c r="W164" i="32"/>
  <c r="X164" i="32"/>
  <c r="Y164" i="32"/>
  <c r="Z164" i="32"/>
  <c r="AA164" i="32"/>
  <c r="AD164" i="32"/>
  <c r="AF164" i="32"/>
  <c r="AG164" i="32"/>
  <c r="AH164" i="32"/>
  <c r="AK164" i="32"/>
  <c r="AL164" i="32"/>
  <c r="AM164" i="32"/>
  <c r="V165" i="32"/>
  <c r="W165" i="32"/>
  <c r="X165" i="32"/>
  <c r="Y165" i="32"/>
  <c r="Z165" i="32"/>
  <c r="AA165" i="32"/>
  <c r="AD165" i="32"/>
  <c r="AF165" i="32"/>
  <c r="AG165" i="32"/>
  <c r="AH165" i="32"/>
  <c r="AK165" i="32"/>
  <c r="AL165" i="32"/>
  <c r="AM165" i="32"/>
  <c r="V166" i="32"/>
  <c r="W166" i="32"/>
  <c r="X166" i="32"/>
  <c r="Y166" i="32"/>
  <c r="Z166" i="32"/>
  <c r="AA166" i="32"/>
  <c r="AD166" i="32"/>
  <c r="AF166" i="32"/>
  <c r="AG166" i="32"/>
  <c r="AH166" i="32"/>
  <c r="AK166" i="32"/>
  <c r="AL166" i="32"/>
  <c r="AM166" i="32"/>
  <c r="V167" i="32"/>
  <c r="W167" i="32"/>
  <c r="X167" i="32"/>
  <c r="Y167" i="32"/>
  <c r="Z167" i="32"/>
  <c r="AA167" i="32"/>
  <c r="AD167" i="32"/>
  <c r="AF167" i="32"/>
  <c r="AG167" i="32"/>
  <c r="AH167" i="32"/>
  <c r="AK167" i="32"/>
  <c r="AL167" i="32"/>
  <c r="AM167" i="32"/>
  <c r="V168" i="32"/>
  <c r="W168" i="32"/>
  <c r="X168" i="32"/>
  <c r="Y168" i="32"/>
  <c r="Z168" i="32"/>
  <c r="AA168" i="32"/>
  <c r="AD168" i="32"/>
  <c r="AF168" i="32"/>
  <c r="AG168" i="32"/>
  <c r="AH168" i="32"/>
  <c r="AK168" i="32"/>
  <c r="AL168" i="32"/>
  <c r="AM168" i="32"/>
  <c r="V169" i="32"/>
  <c r="W169" i="32"/>
  <c r="X169" i="32"/>
  <c r="Y169" i="32"/>
  <c r="Z169" i="32"/>
  <c r="AA169" i="32"/>
  <c r="AD169" i="32"/>
  <c r="AF169" i="32"/>
  <c r="AG169" i="32"/>
  <c r="AH169" i="32"/>
  <c r="AK169" i="32"/>
  <c r="AL169" i="32"/>
  <c r="AM169" i="32"/>
  <c r="V170" i="32"/>
  <c r="W170" i="32"/>
  <c r="X170" i="32"/>
  <c r="Y170" i="32"/>
  <c r="Z170" i="32"/>
  <c r="AA170" i="32"/>
  <c r="AD170" i="32"/>
  <c r="AF170" i="32"/>
  <c r="AG170" i="32"/>
  <c r="AH170" i="32"/>
  <c r="AK170" i="32"/>
  <c r="AL170" i="32"/>
  <c r="AM170" i="32"/>
  <c r="V171" i="32"/>
  <c r="W171" i="32"/>
  <c r="X171" i="32"/>
  <c r="Y171" i="32"/>
  <c r="Z171" i="32"/>
  <c r="AA171" i="32"/>
  <c r="AD171" i="32"/>
  <c r="AF171" i="32"/>
  <c r="AG171" i="32"/>
  <c r="AH171" i="32"/>
  <c r="AK171" i="32"/>
  <c r="AL171" i="32"/>
  <c r="AM171" i="32"/>
  <c r="V172" i="32"/>
  <c r="W172" i="32"/>
  <c r="X172" i="32"/>
  <c r="Y172" i="32"/>
  <c r="Z172" i="32"/>
  <c r="AA172" i="32"/>
  <c r="AD172" i="32"/>
  <c r="AF172" i="32"/>
  <c r="AG172" i="32"/>
  <c r="AH172" i="32"/>
  <c r="AK172" i="32"/>
  <c r="AL172" i="32"/>
  <c r="AM172" i="32"/>
  <c r="V173" i="32"/>
  <c r="W173" i="32"/>
  <c r="X173" i="32"/>
  <c r="Y173" i="32"/>
  <c r="Z173" i="32"/>
  <c r="AA173" i="32"/>
  <c r="AD173" i="32"/>
  <c r="AF173" i="32"/>
  <c r="AG173" i="32"/>
  <c r="AH173" i="32"/>
  <c r="AK173" i="32"/>
  <c r="AL173" i="32"/>
  <c r="AM173" i="32"/>
  <c r="V174" i="32"/>
  <c r="W174" i="32"/>
  <c r="X174" i="32"/>
  <c r="Y174" i="32"/>
  <c r="Z174" i="32"/>
  <c r="AA174" i="32"/>
  <c r="AD174" i="32"/>
  <c r="AF174" i="32"/>
  <c r="AG174" i="32"/>
  <c r="AH174" i="32"/>
  <c r="AK174" i="32"/>
  <c r="AL174" i="32"/>
  <c r="AM174" i="32"/>
  <c r="V175" i="32"/>
  <c r="W175" i="32"/>
  <c r="X175" i="32"/>
  <c r="Y175" i="32"/>
  <c r="Z175" i="32"/>
  <c r="AA175" i="32"/>
  <c r="AD175" i="32"/>
  <c r="AF175" i="32"/>
  <c r="AG175" i="32"/>
  <c r="AH175" i="32"/>
  <c r="AK175" i="32"/>
  <c r="AL175" i="32"/>
  <c r="AM175" i="32"/>
  <c r="V176" i="32"/>
  <c r="W176" i="32"/>
  <c r="X176" i="32"/>
  <c r="Y176" i="32"/>
  <c r="Z176" i="32"/>
  <c r="AA176" i="32"/>
  <c r="AD176" i="32"/>
  <c r="AF176" i="32"/>
  <c r="AG176" i="32"/>
  <c r="AH176" i="32"/>
  <c r="AK176" i="32"/>
  <c r="AL176" i="32"/>
  <c r="AM176" i="32"/>
  <c r="V177" i="32"/>
  <c r="W177" i="32"/>
  <c r="X177" i="32"/>
  <c r="Y177" i="32"/>
  <c r="Z177" i="32"/>
  <c r="AA177" i="32"/>
  <c r="AD177" i="32"/>
  <c r="AF177" i="32"/>
  <c r="AG177" i="32"/>
  <c r="AH177" i="32"/>
  <c r="AK177" i="32"/>
  <c r="AL177" i="32"/>
  <c r="AM177" i="32"/>
  <c r="V178" i="32"/>
  <c r="W178" i="32"/>
  <c r="X178" i="32"/>
  <c r="Y178" i="32"/>
  <c r="Z178" i="32"/>
  <c r="AA178" i="32"/>
  <c r="AD178" i="32"/>
  <c r="AF178" i="32"/>
  <c r="AG178" i="32"/>
  <c r="AH178" i="32"/>
  <c r="AK178" i="32"/>
  <c r="AL178" i="32"/>
  <c r="AM178" i="32"/>
  <c r="V179" i="32"/>
  <c r="W179" i="32"/>
  <c r="X179" i="32"/>
  <c r="Y179" i="32"/>
  <c r="Z179" i="32"/>
  <c r="AA179" i="32"/>
  <c r="AD179" i="32"/>
  <c r="AF179" i="32"/>
  <c r="AG179" i="32"/>
  <c r="AH179" i="32"/>
  <c r="AK179" i="32"/>
  <c r="AL179" i="32"/>
  <c r="AM179" i="32"/>
  <c r="V180" i="32"/>
  <c r="W180" i="32"/>
  <c r="X180" i="32"/>
  <c r="Y180" i="32"/>
  <c r="Z180" i="32"/>
  <c r="AA180" i="32"/>
  <c r="AD180" i="32"/>
  <c r="AF180" i="32"/>
  <c r="AG180" i="32"/>
  <c r="AH180" i="32"/>
  <c r="AK180" i="32"/>
  <c r="AL180" i="32"/>
  <c r="AM180" i="32"/>
  <c r="V181" i="32"/>
  <c r="W181" i="32"/>
  <c r="X181" i="32"/>
  <c r="Y181" i="32"/>
  <c r="Z181" i="32"/>
  <c r="AA181" i="32"/>
  <c r="AD181" i="32"/>
  <c r="AF181" i="32"/>
  <c r="AG181" i="32"/>
  <c r="AH181" i="32"/>
  <c r="AK181" i="32"/>
  <c r="AL181" i="32"/>
  <c r="AM181" i="32"/>
  <c r="V182" i="32"/>
  <c r="W182" i="32"/>
  <c r="X182" i="32"/>
  <c r="Y182" i="32"/>
  <c r="Z182" i="32"/>
  <c r="AA182" i="32"/>
  <c r="AD182" i="32"/>
  <c r="AF182" i="32"/>
  <c r="AG182" i="32"/>
  <c r="AH182" i="32"/>
  <c r="AK182" i="32"/>
  <c r="AL182" i="32"/>
  <c r="AM182" i="32"/>
  <c r="V183" i="32"/>
  <c r="W183" i="32"/>
  <c r="X183" i="32"/>
  <c r="Y183" i="32"/>
  <c r="Z183" i="32"/>
  <c r="AA183" i="32"/>
  <c r="AD183" i="32"/>
  <c r="AF183" i="32"/>
  <c r="AG183" i="32"/>
  <c r="AH183" i="32"/>
  <c r="AK183" i="32"/>
  <c r="AL183" i="32"/>
  <c r="AM183" i="32"/>
  <c r="V184" i="32"/>
  <c r="W184" i="32"/>
  <c r="X184" i="32"/>
  <c r="Y184" i="32"/>
  <c r="Z184" i="32"/>
  <c r="AA184" i="32"/>
  <c r="AD184" i="32"/>
  <c r="AF184" i="32"/>
  <c r="AG184" i="32"/>
  <c r="AH184" i="32"/>
  <c r="AK184" i="32"/>
  <c r="AL184" i="32"/>
  <c r="AM184" i="32"/>
  <c r="V185" i="32"/>
  <c r="W185" i="32"/>
  <c r="X185" i="32"/>
  <c r="Y185" i="32"/>
  <c r="Z185" i="32"/>
  <c r="AA185" i="32"/>
  <c r="AD185" i="32"/>
  <c r="AF185" i="32"/>
  <c r="AG185" i="32"/>
  <c r="AH185" i="32"/>
  <c r="AK185" i="32"/>
  <c r="AL185" i="32"/>
  <c r="AM185" i="32"/>
  <c r="V186" i="32"/>
  <c r="W186" i="32"/>
  <c r="X186" i="32"/>
  <c r="Y186" i="32"/>
  <c r="Z186" i="32"/>
  <c r="AA186" i="32"/>
  <c r="AD186" i="32"/>
  <c r="AF186" i="32"/>
  <c r="AG186" i="32"/>
  <c r="AH186" i="32"/>
  <c r="AK186" i="32"/>
  <c r="AL186" i="32"/>
  <c r="AM186" i="32"/>
  <c r="V187" i="32"/>
  <c r="W187" i="32"/>
  <c r="X187" i="32"/>
  <c r="Y187" i="32"/>
  <c r="Z187" i="32"/>
  <c r="AA187" i="32"/>
  <c r="AD187" i="32"/>
  <c r="AF187" i="32"/>
  <c r="AG187" i="32"/>
  <c r="AH187" i="32"/>
  <c r="AK187" i="32"/>
  <c r="AL187" i="32"/>
  <c r="AM187" i="32"/>
  <c r="V188" i="32"/>
  <c r="W188" i="32"/>
  <c r="X188" i="32"/>
  <c r="Y188" i="32"/>
  <c r="Z188" i="32"/>
  <c r="AA188" i="32"/>
  <c r="AD188" i="32"/>
  <c r="AF188" i="32"/>
  <c r="AG188" i="32"/>
  <c r="AH188" i="32"/>
  <c r="AK188" i="32"/>
  <c r="AL188" i="32"/>
  <c r="AM188" i="32"/>
  <c r="V189" i="32"/>
  <c r="W189" i="32"/>
  <c r="X189" i="32"/>
  <c r="Y189" i="32"/>
  <c r="Z189" i="32"/>
  <c r="AA189" i="32"/>
  <c r="AD189" i="32"/>
  <c r="AF189" i="32"/>
  <c r="AG189" i="32"/>
  <c r="AH189" i="32"/>
  <c r="AK189" i="32"/>
  <c r="AL189" i="32"/>
  <c r="AM189" i="32"/>
  <c r="V190" i="32"/>
  <c r="W190" i="32"/>
  <c r="X190" i="32"/>
  <c r="Y190" i="32"/>
  <c r="Z190" i="32"/>
  <c r="AA190" i="32"/>
  <c r="AD190" i="32"/>
  <c r="AF190" i="32"/>
  <c r="AG190" i="32"/>
  <c r="AH190" i="32"/>
  <c r="AK190" i="32"/>
  <c r="AL190" i="32"/>
  <c r="AM190" i="32"/>
  <c r="V191" i="32"/>
  <c r="W191" i="32"/>
  <c r="X191" i="32"/>
  <c r="Y191" i="32"/>
  <c r="Z191" i="32"/>
  <c r="AA191" i="32"/>
  <c r="AD191" i="32"/>
  <c r="AF191" i="32"/>
  <c r="AG191" i="32"/>
  <c r="AH191" i="32"/>
  <c r="AK191" i="32"/>
  <c r="AL191" i="32"/>
  <c r="AM191" i="32"/>
  <c r="V192" i="32"/>
  <c r="W192" i="32"/>
  <c r="X192" i="32"/>
  <c r="Y192" i="32"/>
  <c r="Z192" i="32"/>
  <c r="AA192" i="32"/>
  <c r="AD192" i="32"/>
  <c r="AF192" i="32"/>
  <c r="AG192" i="32"/>
  <c r="AH192" i="32"/>
  <c r="AK192" i="32"/>
  <c r="AL192" i="32"/>
  <c r="AM192" i="32"/>
  <c r="V193" i="32"/>
  <c r="W193" i="32"/>
  <c r="X193" i="32"/>
  <c r="Y193" i="32"/>
  <c r="Z193" i="32"/>
  <c r="AA193" i="32"/>
  <c r="AD193" i="32"/>
  <c r="AF193" i="32"/>
  <c r="AG193" i="32"/>
  <c r="AH193" i="32"/>
  <c r="AK193" i="32"/>
  <c r="AL193" i="32"/>
  <c r="AM193" i="32"/>
  <c r="V194" i="32"/>
  <c r="W194" i="32"/>
  <c r="X194" i="32"/>
  <c r="Y194" i="32"/>
  <c r="Z194" i="32"/>
  <c r="AA194" i="32"/>
  <c r="AD194" i="32"/>
  <c r="AF194" i="32"/>
  <c r="AG194" i="32"/>
  <c r="AH194" i="32"/>
  <c r="AK194" i="32"/>
  <c r="AL194" i="32"/>
  <c r="AM194" i="32"/>
  <c r="V195" i="32"/>
  <c r="W195" i="32"/>
  <c r="X195" i="32"/>
  <c r="Y195" i="32"/>
  <c r="Z195" i="32"/>
  <c r="AA195" i="32"/>
  <c r="AD195" i="32"/>
  <c r="AF195" i="32"/>
  <c r="AG195" i="32"/>
  <c r="AH195" i="32"/>
  <c r="AK195" i="32"/>
  <c r="AL195" i="32"/>
  <c r="AM195" i="32"/>
  <c r="V196" i="32"/>
  <c r="W196" i="32"/>
  <c r="X196" i="32"/>
  <c r="Y196" i="32"/>
  <c r="Z196" i="32"/>
  <c r="AA196" i="32"/>
  <c r="AD196" i="32"/>
  <c r="AF196" i="32"/>
  <c r="AG196" i="32"/>
  <c r="AH196" i="32"/>
  <c r="AK196" i="32"/>
  <c r="AL196" i="32"/>
  <c r="AM196" i="32"/>
  <c r="V197" i="32"/>
  <c r="W197" i="32"/>
  <c r="X197" i="32"/>
  <c r="Y197" i="32"/>
  <c r="Z197" i="32"/>
  <c r="AA197" i="32"/>
  <c r="AD197" i="32"/>
  <c r="AF197" i="32"/>
  <c r="AG197" i="32"/>
  <c r="AH197" i="32"/>
  <c r="AK197" i="32"/>
  <c r="AL197" i="32"/>
  <c r="AM197" i="32"/>
  <c r="V198" i="32"/>
  <c r="W198" i="32"/>
  <c r="X198" i="32"/>
  <c r="Y198" i="32"/>
  <c r="Z198" i="32"/>
  <c r="AA198" i="32"/>
  <c r="AD198" i="32"/>
  <c r="AF198" i="32"/>
  <c r="AG198" i="32"/>
  <c r="AH198" i="32"/>
  <c r="AK198" i="32"/>
  <c r="AL198" i="32"/>
  <c r="AM198" i="32"/>
  <c r="V199" i="32"/>
  <c r="W199" i="32"/>
  <c r="X199" i="32"/>
  <c r="Y199" i="32"/>
  <c r="Z199" i="32"/>
  <c r="AA199" i="32"/>
  <c r="AD199" i="32"/>
  <c r="AF199" i="32"/>
  <c r="AG199" i="32"/>
  <c r="AH199" i="32"/>
  <c r="AK199" i="32"/>
  <c r="AL199" i="32"/>
  <c r="AM199" i="32"/>
  <c r="V200" i="32"/>
  <c r="W200" i="32"/>
  <c r="X200" i="32"/>
  <c r="Y200" i="32"/>
  <c r="Z200" i="32"/>
  <c r="AA200" i="32"/>
  <c r="AD200" i="32"/>
  <c r="AF200" i="32"/>
  <c r="AG200" i="32"/>
  <c r="AH200" i="32"/>
  <c r="AK200" i="32"/>
  <c r="AL200" i="32"/>
  <c r="AM200" i="32"/>
  <c r="V201" i="32"/>
  <c r="W201" i="32"/>
  <c r="X201" i="32"/>
  <c r="Y201" i="32"/>
  <c r="Z201" i="32"/>
  <c r="AA201" i="32"/>
  <c r="AD201" i="32"/>
  <c r="AF201" i="32"/>
  <c r="AG201" i="32"/>
  <c r="AH201" i="32"/>
  <c r="AK201" i="32"/>
  <c r="AL201" i="32"/>
  <c r="AM201" i="32"/>
  <c r="V202" i="32"/>
  <c r="W202" i="32"/>
  <c r="X202" i="32"/>
  <c r="Y202" i="32"/>
  <c r="Z202" i="32"/>
  <c r="AA202" i="32"/>
  <c r="AD202" i="32"/>
  <c r="AF202" i="32"/>
  <c r="AG202" i="32"/>
  <c r="AH202" i="32"/>
  <c r="AK202" i="32"/>
  <c r="AL202" i="32"/>
  <c r="AM202" i="32"/>
  <c r="V203" i="32"/>
  <c r="W203" i="32"/>
  <c r="X203" i="32"/>
  <c r="Y203" i="32"/>
  <c r="Z203" i="32"/>
  <c r="AA203" i="32"/>
  <c r="AD203" i="32"/>
  <c r="AF203" i="32"/>
  <c r="AG203" i="32"/>
  <c r="AH203" i="32"/>
  <c r="AK203" i="32"/>
  <c r="AL203" i="32"/>
  <c r="AM203" i="32"/>
  <c r="V204" i="32"/>
  <c r="W204" i="32"/>
  <c r="X204" i="32"/>
  <c r="Y204" i="32"/>
  <c r="Z204" i="32"/>
  <c r="AA204" i="32"/>
  <c r="AD204" i="32"/>
  <c r="AF204" i="32"/>
  <c r="AG204" i="32"/>
  <c r="AH204" i="32"/>
  <c r="AK204" i="32"/>
  <c r="AL204" i="32"/>
  <c r="AM204" i="32"/>
  <c r="V205" i="32"/>
  <c r="W205" i="32"/>
  <c r="X205" i="32"/>
  <c r="Y205" i="32"/>
  <c r="Z205" i="32"/>
  <c r="AA205" i="32"/>
  <c r="AD205" i="32"/>
  <c r="AF205" i="32"/>
  <c r="AG205" i="32"/>
  <c r="AH205" i="32"/>
  <c r="AK205" i="32"/>
  <c r="AL205" i="32"/>
  <c r="AM205" i="32"/>
  <c r="V206" i="32"/>
  <c r="W206" i="32"/>
  <c r="X206" i="32"/>
  <c r="Y206" i="32"/>
  <c r="Z206" i="32"/>
  <c r="AA206" i="32"/>
  <c r="AD206" i="32"/>
  <c r="AF206" i="32"/>
  <c r="AG206" i="32"/>
  <c r="AH206" i="32"/>
  <c r="AK206" i="32"/>
  <c r="AL206" i="32"/>
  <c r="AM206" i="32"/>
  <c r="V207" i="32"/>
  <c r="W207" i="32"/>
  <c r="X207" i="32"/>
  <c r="Y207" i="32"/>
  <c r="Z207" i="32"/>
  <c r="AA207" i="32"/>
  <c r="AD207" i="32"/>
  <c r="AF207" i="32"/>
  <c r="AG207" i="32"/>
  <c r="AH207" i="32"/>
  <c r="AK207" i="32"/>
  <c r="AL207" i="32"/>
  <c r="AM207" i="32"/>
  <c r="V208" i="32"/>
  <c r="W208" i="32"/>
  <c r="X208" i="32"/>
  <c r="Y208" i="32"/>
  <c r="Z208" i="32"/>
  <c r="AA208" i="32"/>
  <c r="AD208" i="32"/>
  <c r="AF208" i="32"/>
  <c r="AG208" i="32"/>
  <c r="AH208" i="32"/>
  <c r="AK208" i="32"/>
  <c r="AL208" i="32"/>
  <c r="AM208" i="32"/>
  <c r="V209" i="32"/>
  <c r="W209" i="32"/>
  <c r="X209" i="32"/>
  <c r="Y209" i="32"/>
  <c r="Z209" i="32"/>
  <c r="AA209" i="32"/>
  <c r="AD209" i="32"/>
  <c r="AF209" i="32"/>
  <c r="AG209" i="32"/>
  <c r="AH209" i="32"/>
  <c r="AK209" i="32"/>
  <c r="AL209" i="32"/>
  <c r="AM209" i="32"/>
  <c r="V210" i="32"/>
  <c r="W210" i="32"/>
  <c r="X210" i="32"/>
  <c r="Y210" i="32"/>
  <c r="Z210" i="32"/>
  <c r="AA210" i="32"/>
  <c r="AD210" i="32"/>
  <c r="AF210" i="32"/>
  <c r="AG210" i="32"/>
  <c r="AH210" i="32"/>
  <c r="AK210" i="32"/>
  <c r="AL210" i="32"/>
  <c r="AM210" i="32"/>
  <c r="V211" i="32"/>
  <c r="W211" i="32"/>
  <c r="X211" i="32"/>
  <c r="Y211" i="32"/>
  <c r="Z211" i="32"/>
  <c r="AA211" i="32"/>
  <c r="AD211" i="32"/>
  <c r="AF211" i="32"/>
  <c r="AG211" i="32"/>
  <c r="AH211" i="32"/>
  <c r="AK211" i="32"/>
  <c r="AL211" i="32"/>
  <c r="AM211" i="32"/>
  <c r="V212" i="32"/>
  <c r="W212" i="32"/>
  <c r="X212" i="32"/>
  <c r="Y212" i="32"/>
  <c r="Z212" i="32"/>
  <c r="AA212" i="32"/>
  <c r="AD212" i="32"/>
  <c r="AF212" i="32"/>
  <c r="AG212" i="32"/>
  <c r="AH212" i="32"/>
  <c r="AK212" i="32"/>
  <c r="AL212" i="32"/>
  <c r="AM212" i="32"/>
  <c r="V213" i="32"/>
  <c r="W213" i="32"/>
  <c r="X213" i="32"/>
  <c r="Y213" i="32"/>
  <c r="Z213" i="32"/>
  <c r="AA213" i="32"/>
  <c r="AD213" i="32"/>
  <c r="AF213" i="32"/>
  <c r="AG213" i="32"/>
  <c r="AH213" i="32"/>
  <c r="AK213" i="32"/>
  <c r="AL213" i="32"/>
  <c r="AM213" i="32"/>
  <c r="V214" i="32"/>
  <c r="W214" i="32"/>
  <c r="X214" i="32"/>
  <c r="Y214" i="32"/>
  <c r="Z214" i="32"/>
  <c r="AA214" i="32"/>
  <c r="AD214" i="32"/>
  <c r="AF214" i="32"/>
  <c r="AG214" i="32"/>
  <c r="AH214" i="32"/>
  <c r="AK214" i="32"/>
  <c r="AL214" i="32"/>
  <c r="AM214" i="32"/>
  <c r="V215" i="32"/>
  <c r="W215" i="32"/>
  <c r="X215" i="32"/>
  <c r="Y215" i="32"/>
  <c r="Z215" i="32"/>
  <c r="AA215" i="32"/>
  <c r="AD215" i="32"/>
  <c r="AF215" i="32"/>
  <c r="AG215" i="32"/>
  <c r="AH215" i="32"/>
  <c r="AK215" i="32"/>
  <c r="AL215" i="32"/>
  <c r="AM215" i="32"/>
  <c r="V216" i="32"/>
  <c r="W216" i="32"/>
  <c r="X216" i="32"/>
  <c r="Y216" i="32"/>
  <c r="Z216" i="32"/>
  <c r="AA216" i="32"/>
  <c r="AD216" i="32"/>
  <c r="AF216" i="32"/>
  <c r="AG216" i="32"/>
  <c r="AH216" i="32"/>
  <c r="AK216" i="32"/>
  <c r="AL216" i="32"/>
  <c r="AM216" i="32"/>
  <c r="V217" i="32"/>
  <c r="W217" i="32"/>
  <c r="X217" i="32"/>
  <c r="Y217" i="32"/>
  <c r="Z217" i="32"/>
  <c r="AA217" i="32"/>
  <c r="AD217" i="32"/>
  <c r="AF217" i="32"/>
  <c r="AG217" i="32"/>
  <c r="AH217" i="32"/>
  <c r="AK217" i="32"/>
  <c r="AL217" i="32"/>
  <c r="AM217" i="32"/>
  <c r="V218" i="32"/>
  <c r="W218" i="32"/>
  <c r="X218" i="32"/>
  <c r="Y218" i="32"/>
  <c r="Z218" i="32"/>
  <c r="AA218" i="32"/>
  <c r="AD218" i="32"/>
  <c r="AF218" i="32"/>
  <c r="AG218" i="32"/>
  <c r="AH218" i="32"/>
  <c r="AK218" i="32"/>
  <c r="AL218" i="32"/>
  <c r="AM218" i="32"/>
  <c r="V219" i="32"/>
  <c r="W219" i="32"/>
  <c r="X219" i="32"/>
  <c r="Y219" i="32"/>
  <c r="Z219" i="32"/>
  <c r="AA219" i="32"/>
  <c r="AD219" i="32"/>
  <c r="AF219" i="32"/>
  <c r="AG219" i="32"/>
  <c r="AH219" i="32"/>
  <c r="AK219" i="32"/>
  <c r="AL219" i="32"/>
  <c r="AM219" i="32"/>
  <c r="V220" i="32"/>
  <c r="W220" i="32"/>
  <c r="X220" i="32"/>
  <c r="Y220" i="32"/>
  <c r="Z220" i="32"/>
  <c r="AA220" i="32"/>
  <c r="AD220" i="32"/>
  <c r="AF220" i="32"/>
  <c r="AG220" i="32"/>
  <c r="AH220" i="32"/>
  <c r="AK220" i="32"/>
  <c r="AL220" i="32"/>
  <c r="AM220" i="32"/>
  <c r="V221" i="32"/>
  <c r="W221" i="32"/>
  <c r="X221" i="32"/>
  <c r="Y221" i="32"/>
  <c r="Z221" i="32"/>
  <c r="AA221" i="32"/>
  <c r="AD221" i="32"/>
  <c r="AF221" i="32"/>
  <c r="AG221" i="32"/>
  <c r="AH221" i="32"/>
  <c r="AK221" i="32"/>
  <c r="AL221" i="32"/>
  <c r="AM221" i="32"/>
  <c r="V222" i="32"/>
  <c r="W222" i="32"/>
  <c r="X222" i="32"/>
  <c r="Y222" i="32"/>
  <c r="Z222" i="32"/>
  <c r="AA222" i="32"/>
  <c r="AD222" i="32"/>
  <c r="AF222" i="32"/>
  <c r="AG222" i="32"/>
  <c r="AH222" i="32"/>
  <c r="AK222" i="32"/>
  <c r="AL222" i="32"/>
  <c r="AM222" i="32"/>
  <c r="V223" i="32"/>
  <c r="W223" i="32"/>
  <c r="X223" i="32"/>
  <c r="Y223" i="32"/>
  <c r="Z223" i="32"/>
  <c r="AA223" i="32"/>
  <c r="AD223" i="32"/>
  <c r="AF223" i="32"/>
  <c r="AG223" i="32"/>
  <c r="AH223" i="32"/>
  <c r="AK223" i="32"/>
  <c r="AL223" i="32"/>
  <c r="AM223" i="32"/>
  <c r="V224" i="32"/>
  <c r="W224" i="32"/>
  <c r="X224" i="32"/>
  <c r="Y224" i="32"/>
  <c r="Z224" i="32"/>
  <c r="AA224" i="32"/>
  <c r="AD224" i="32"/>
  <c r="AF224" i="32"/>
  <c r="AG224" i="32"/>
  <c r="AH224" i="32"/>
  <c r="AK224" i="32"/>
  <c r="AL224" i="32"/>
  <c r="AM224" i="32"/>
  <c r="V225" i="32"/>
  <c r="W225" i="32"/>
  <c r="X225" i="32"/>
  <c r="Y225" i="32"/>
  <c r="Z225" i="32"/>
  <c r="AA225" i="32"/>
  <c r="AD225" i="32"/>
  <c r="AF225" i="32"/>
  <c r="AG225" i="32"/>
  <c r="AH225" i="32"/>
  <c r="AK225" i="32"/>
  <c r="AL225" i="32"/>
  <c r="AM225" i="32"/>
  <c r="V226" i="32"/>
  <c r="W226" i="32"/>
  <c r="X226" i="32"/>
  <c r="Y226" i="32"/>
  <c r="Z226" i="32"/>
  <c r="AA226" i="32"/>
  <c r="AD226" i="32"/>
  <c r="AF226" i="32"/>
  <c r="AG226" i="32"/>
  <c r="AH226" i="32"/>
  <c r="AK226" i="32"/>
  <c r="AL226" i="32"/>
  <c r="AM226" i="32"/>
  <c r="V227" i="32"/>
  <c r="W227" i="32"/>
  <c r="X227" i="32"/>
  <c r="Y227" i="32"/>
  <c r="Z227" i="32"/>
  <c r="AA227" i="32"/>
  <c r="AD227" i="32"/>
  <c r="AF227" i="32"/>
  <c r="AG227" i="32"/>
  <c r="AH227" i="32"/>
  <c r="AK227" i="32"/>
  <c r="AL227" i="32"/>
  <c r="AM227" i="32"/>
  <c r="V228" i="32"/>
  <c r="W228" i="32"/>
  <c r="X228" i="32"/>
  <c r="Y228" i="32"/>
  <c r="Z228" i="32"/>
  <c r="AA228" i="32"/>
  <c r="AD228" i="32"/>
  <c r="AF228" i="32"/>
  <c r="AG228" i="32"/>
  <c r="AH228" i="32"/>
  <c r="AK228" i="32"/>
  <c r="AL228" i="32"/>
  <c r="AM228" i="32"/>
  <c r="V229" i="32"/>
  <c r="W229" i="32"/>
  <c r="X229" i="32"/>
  <c r="Y229" i="32"/>
  <c r="Z229" i="32"/>
  <c r="AA229" i="32"/>
  <c r="AD229" i="32"/>
  <c r="AF229" i="32"/>
  <c r="AG229" i="32"/>
  <c r="AH229" i="32"/>
  <c r="AK229" i="32"/>
  <c r="AL229" i="32"/>
  <c r="AM229" i="32"/>
  <c r="V230" i="32"/>
  <c r="W230" i="32"/>
  <c r="X230" i="32"/>
  <c r="Y230" i="32"/>
  <c r="Z230" i="32"/>
  <c r="AA230" i="32"/>
  <c r="AD230" i="32"/>
  <c r="AF230" i="32"/>
  <c r="AG230" i="32"/>
  <c r="AH230" i="32"/>
  <c r="AK230" i="32"/>
  <c r="AL230" i="32"/>
  <c r="AM230" i="32"/>
  <c r="V231" i="32"/>
  <c r="W231" i="32"/>
  <c r="X231" i="32"/>
  <c r="Y231" i="32"/>
  <c r="Z231" i="32"/>
  <c r="AA231" i="32"/>
  <c r="AD231" i="32"/>
  <c r="AF231" i="32"/>
  <c r="AG231" i="32"/>
  <c r="AH231" i="32"/>
  <c r="AK231" i="32"/>
  <c r="AL231" i="32"/>
  <c r="AM231" i="32"/>
  <c r="V232" i="32"/>
  <c r="W232" i="32"/>
  <c r="X232" i="32"/>
  <c r="Y232" i="32"/>
  <c r="Z232" i="32"/>
  <c r="AA232" i="32"/>
  <c r="AD232" i="32"/>
  <c r="AF232" i="32"/>
  <c r="AG232" i="32"/>
  <c r="AH232" i="32"/>
  <c r="AK232" i="32"/>
  <c r="AL232" i="32"/>
  <c r="AM232" i="32"/>
  <c r="V233" i="32"/>
  <c r="W233" i="32"/>
  <c r="X233" i="32"/>
  <c r="Y233" i="32"/>
  <c r="Z233" i="32"/>
  <c r="AA233" i="32"/>
  <c r="AD233" i="32"/>
  <c r="AF233" i="32"/>
  <c r="AG233" i="32"/>
  <c r="AH233" i="32"/>
  <c r="AK233" i="32"/>
  <c r="AL233" i="32"/>
  <c r="AM233" i="32"/>
  <c r="V234" i="32"/>
  <c r="W234" i="32"/>
  <c r="X234" i="32"/>
  <c r="Y234" i="32"/>
  <c r="Z234" i="32"/>
  <c r="AA234" i="32"/>
  <c r="AD234" i="32"/>
  <c r="AF234" i="32"/>
  <c r="AG234" i="32"/>
  <c r="AH234" i="32"/>
  <c r="AK234" i="32"/>
  <c r="AL234" i="32"/>
  <c r="AM234" i="32"/>
  <c r="V235" i="32"/>
  <c r="W235" i="32"/>
  <c r="X235" i="32"/>
  <c r="Y235" i="32"/>
  <c r="Z235" i="32"/>
  <c r="AA235" i="32"/>
  <c r="AD235" i="32"/>
  <c r="AF235" i="32"/>
  <c r="AG235" i="32"/>
  <c r="AH235" i="32"/>
  <c r="AK235" i="32"/>
  <c r="AL235" i="32"/>
  <c r="AM235" i="32"/>
  <c r="V236" i="32"/>
  <c r="W236" i="32"/>
  <c r="X236" i="32"/>
  <c r="Y236" i="32"/>
  <c r="Z236" i="32"/>
  <c r="AA236" i="32"/>
  <c r="AD236" i="32"/>
  <c r="AF236" i="32"/>
  <c r="AG236" i="32"/>
  <c r="AH236" i="32"/>
  <c r="AK236" i="32"/>
  <c r="AL236" i="32"/>
  <c r="AM236" i="32"/>
  <c r="V237" i="32"/>
  <c r="W237" i="32"/>
  <c r="X237" i="32"/>
  <c r="Y237" i="32"/>
  <c r="Z237" i="32"/>
  <c r="AA237" i="32"/>
  <c r="AD237" i="32"/>
  <c r="AF237" i="32"/>
  <c r="AG237" i="32"/>
  <c r="AH237" i="32"/>
  <c r="AK237" i="32"/>
  <c r="AL237" i="32"/>
  <c r="AM237" i="32"/>
  <c r="V238" i="32"/>
  <c r="W238" i="32"/>
  <c r="X238" i="32"/>
  <c r="Y238" i="32"/>
  <c r="Z238" i="32"/>
  <c r="AA238" i="32"/>
  <c r="AD238" i="32"/>
  <c r="AF238" i="32"/>
  <c r="AG238" i="32"/>
  <c r="AH238" i="32"/>
  <c r="AK238" i="32"/>
  <c r="AL238" i="32"/>
  <c r="AM238" i="32"/>
  <c r="V239" i="32"/>
  <c r="W239" i="32"/>
  <c r="X239" i="32"/>
  <c r="Y239" i="32"/>
  <c r="Z239" i="32"/>
  <c r="AA239" i="32"/>
  <c r="AD239" i="32"/>
  <c r="AF239" i="32"/>
  <c r="AG239" i="32"/>
  <c r="AH239" i="32"/>
  <c r="AK239" i="32"/>
  <c r="AL239" i="32"/>
  <c r="AM239" i="32"/>
  <c r="V240" i="32"/>
  <c r="W240" i="32"/>
  <c r="X240" i="32"/>
  <c r="Y240" i="32"/>
  <c r="Z240" i="32"/>
  <c r="AA240" i="32"/>
  <c r="AD240" i="32"/>
  <c r="AF240" i="32"/>
  <c r="AG240" i="32"/>
  <c r="AH240" i="32"/>
  <c r="AK240" i="32"/>
  <c r="AL240" i="32"/>
  <c r="AM240" i="32"/>
  <c r="V241" i="32"/>
  <c r="W241" i="32"/>
  <c r="X241" i="32"/>
  <c r="Y241" i="32"/>
  <c r="Z241" i="32"/>
  <c r="AA241" i="32"/>
  <c r="AD241" i="32"/>
  <c r="AF241" i="32"/>
  <c r="AG241" i="32"/>
  <c r="AH241" i="32"/>
  <c r="AK241" i="32"/>
  <c r="AL241" i="32"/>
  <c r="AM241" i="32"/>
  <c r="V242" i="32"/>
  <c r="W242" i="32"/>
  <c r="X242" i="32"/>
  <c r="Y242" i="32"/>
  <c r="Z242" i="32"/>
  <c r="AA242" i="32"/>
  <c r="AD242" i="32"/>
  <c r="AF242" i="32"/>
  <c r="AG242" i="32"/>
  <c r="AH242" i="32"/>
  <c r="AK242" i="32"/>
  <c r="AL242" i="32"/>
  <c r="AM242" i="32"/>
  <c r="V243" i="32"/>
  <c r="W243" i="32"/>
  <c r="X243" i="32"/>
  <c r="Y243" i="32"/>
  <c r="Z243" i="32"/>
  <c r="AA243" i="32"/>
  <c r="AD243" i="32"/>
  <c r="AF243" i="32"/>
  <c r="AG243" i="32"/>
  <c r="AH243" i="32"/>
  <c r="AK243" i="32"/>
  <c r="AL243" i="32"/>
  <c r="AM243" i="32"/>
  <c r="V244" i="32"/>
  <c r="W244" i="32"/>
  <c r="X244" i="32"/>
  <c r="Y244" i="32"/>
  <c r="Z244" i="32"/>
  <c r="AA244" i="32"/>
  <c r="AD244" i="32"/>
  <c r="AF244" i="32"/>
  <c r="AG244" i="32"/>
  <c r="AH244" i="32"/>
  <c r="AK244" i="32"/>
  <c r="AL244" i="32"/>
  <c r="AM244" i="32"/>
  <c r="V245" i="32"/>
  <c r="W245" i="32"/>
  <c r="X245" i="32"/>
  <c r="Y245" i="32"/>
  <c r="Z245" i="32"/>
  <c r="AA245" i="32"/>
  <c r="AD245" i="32"/>
  <c r="AF245" i="32"/>
  <c r="AG245" i="32"/>
  <c r="AH245" i="32"/>
  <c r="AK245" i="32"/>
  <c r="AL245" i="32"/>
  <c r="AM245" i="32"/>
  <c r="V246" i="32"/>
  <c r="W246" i="32"/>
  <c r="X246" i="32"/>
  <c r="Y246" i="32"/>
  <c r="Z246" i="32"/>
  <c r="AA246" i="32"/>
  <c r="AD246" i="32"/>
  <c r="AF246" i="32"/>
  <c r="AG246" i="32"/>
  <c r="AH246" i="32"/>
  <c r="AK246" i="32"/>
  <c r="AL246" i="32"/>
  <c r="AM246" i="32"/>
  <c r="V247" i="32"/>
  <c r="W247" i="32"/>
  <c r="X247" i="32"/>
  <c r="Y247" i="32"/>
  <c r="Z247" i="32"/>
  <c r="AA247" i="32"/>
  <c r="AD247" i="32"/>
  <c r="AF247" i="32"/>
  <c r="AG247" i="32"/>
  <c r="AH247" i="32"/>
  <c r="AK247" i="32"/>
  <c r="AL247" i="32"/>
  <c r="AM247" i="32"/>
  <c r="V248" i="32"/>
  <c r="W248" i="32"/>
  <c r="X248" i="32"/>
  <c r="Y248" i="32"/>
  <c r="Z248" i="32"/>
  <c r="AA248" i="32"/>
  <c r="AD248" i="32"/>
  <c r="AF248" i="32"/>
  <c r="AG248" i="32"/>
  <c r="AH248" i="32"/>
  <c r="AK248" i="32"/>
  <c r="AL248" i="32"/>
  <c r="AM248" i="32"/>
  <c r="V249" i="32"/>
  <c r="W249" i="32"/>
  <c r="X249" i="32"/>
  <c r="Y249" i="32"/>
  <c r="Z249" i="32"/>
  <c r="AA249" i="32"/>
  <c r="AD249" i="32"/>
  <c r="AF249" i="32"/>
  <c r="AG249" i="32"/>
  <c r="AH249" i="32"/>
  <c r="AK249" i="32"/>
  <c r="AL249" i="32"/>
  <c r="AM249" i="32"/>
  <c r="V250" i="32"/>
  <c r="W250" i="32"/>
  <c r="X250" i="32"/>
  <c r="Y250" i="32"/>
  <c r="Z250" i="32"/>
  <c r="AA250" i="32"/>
  <c r="AD250" i="32"/>
  <c r="AF250" i="32"/>
  <c r="AG250" i="32"/>
  <c r="AH250" i="32"/>
  <c r="AK250" i="32"/>
  <c r="AL250" i="32"/>
  <c r="AM250" i="32"/>
  <c r="V251" i="32"/>
  <c r="W251" i="32"/>
  <c r="X251" i="32"/>
  <c r="Y251" i="32"/>
  <c r="Z251" i="32"/>
  <c r="AA251" i="32"/>
  <c r="AD251" i="32"/>
  <c r="AF251" i="32"/>
  <c r="AG251" i="32"/>
  <c r="AH251" i="32"/>
  <c r="AK251" i="32"/>
  <c r="AL251" i="32"/>
  <c r="AM251" i="32"/>
  <c r="V252" i="32"/>
  <c r="W252" i="32"/>
  <c r="X252" i="32"/>
  <c r="Y252" i="32"/>
  <c r="Z252" i="32"/>
  <c r="AA252" i="32"/>
  <c r="AD252" i="32"/>
  <c r="AF252" i="32"/>
  <c r="AG252" i="32"/>
  <c r="AH252" i="32"/>
  <c r="AK252" i="32"/>
  <c r="AL252" i="32"/>
  <c r="AM252" i="32"/>
  <c r="V253" i="32"/>
  <c r="W253" i="32"/>
  <c r="X253" i="32"/>
  <c r="Y253" i="32"/>
  <c r="Z253" i="32"/>
  <c r="AA253" i="32"/>
  <c r="AD253" i="32"/>
  <c r="AF253" i="32"/>
  <c r="AG253" i="32"/>
  <c r="AH253" i="32"/>
  <c r="AK253" i="32"/>
  <c r="AL253" i="32"/>
  <c r="AM253" i="32"/>
  <c r="V254" i="32"/>
  <c r="W254" i="32"/>
  <c r="X254" i="32"/>
  <c r="Y254" i="32"/>
  <c r="Z254" i="32"/>
  <c r="AA254" i="32"/>
  <c r="AD254" i="32"/>
  <c r="AF254" i="32"/>
  <c r="AG254" i="32"/>
  <c r="AH254" i="32"/>
  <c r="AK254" i="32"/>
  <c r="AL254" i="32"/>
  <c r="AM254" i="32"/>
  <c r="V255" i="32"/>
  <c r="W255" i="32"/>
  <c r="X255" i="32"/>
  <c r="Y255" i="32"/>
  <c r="Z255" i="32"/>
  <c r="AA255" i="32"/>
  <c r="AD255" i="32"/>
  <c r="AF255" i="32"/>
  <c r="AG255" i="32"/>
  <c r="AH255" i="32"/>
  <c r="AK255" i="32"/>
  <c r="AL255" i="32"/>
  <c r="AM255" i="32"/>
  <c r="V256" i="32"/>
  <c r="W256" i="32"/>
  <c r="X256" i="32"/>
  <c r="Y256" i="32"/>
  <c r="Z256" i="32"/>
  <c r="AA256" i="32"/>
  <c r="AD256" i="32"/>
  <c r="AF256" i="32"/>
  <c r="AG256" i="32"/>
  <c r="AH256" i="32"/>
  <c r="AK256" i="32"/>
  <c r="AL256" i="32"/>
  <c r="AM256" i="32"/>
  <c r="V257" i="32"/>
  <c r="W257" i="32"/>
  <c r="X257" i="32"/>
  <c r="Y257" i="32"/>
  <c r="Z257" i="32"/>
  <c r="AA257" i="32"/>
  <c r="AD257" i="32"/>
  <c r="AF257" i="32"/>
  <c r="AG257" i="32"/>
  <c r="AH257" i="32"/>
  <c r="AK257" i="32"/>
  <c r="AL257" i="32"/>
  <c r="AM257" i="32"/>
  <c r="V258" i="32"/>
  <c r="W258" i="32"/>
  <c r="X258" i="32"/>
  <c r="Y258" i="32"/>
  <c r="Z258" i="32"/>
  <c r="AA258" i="32"/>
  <c r="AD258" i="32"/>
  <c r="AF258" i="32"/>
  <c r="AG258" i="32"/>
  <c r="AH258" i="32"/>
  <c r="AK258" i="32"/>
  <c r="AL258" i="32"/>
  <c r="AM258" i="32"/>
  <c r="V259" i="32"/>
  <c r="W259" i="32"/>
  <c r="X259" i="32"/>
  <c r="Y259" i="32"/>
  <c r="Z259" i="32"/>
  <c r="AA259" i="32"/>
  <c r="AD259" i="32"/>
  <c r="AF259" i="32"/>
  <c r="AG259" i="32"/>
  <c r="AH259" i="32"/>
  <c r="AK259" i="32"/>
  <c r="AL259" i="32"/>
  <c r="AM259" i="32"/>
  <c r="V260" i="32"/>
  <c r="W260" i="32"/>
  <c r="X260" i="32"/>
  <c r="Y260" i="32"/>
  <c r="Z260" i="32"/>
  <c r="AA260" i="32"/>
  <c r="AD260" i="32"/>
  <c r="AF260" i="32"/>
  <c r="AG260" i="32"/>
  <c r="AH260" i="32"/>
  <c r="AK260" i="32"/>
  <c r="AL260" i="32"/>
  <c r="AM260" i="32"/>
  <c r="V261" i="32"/>
  <c r="W261" i="32"/>
  <c r="X261" i="32"/>
  <c r="Y261" i="32"/>
  <c r="Z261" i="32"/>
  <c r="AA261" i="32"/>
  <c r="AD261" i="32"/>
  <c r="AF261" i="32"/>
  <c r="AG261" i="32"/>
  <c r="AH261" i="32"/>
  <c r="AK261" i="32"/>
  <c r="AL261" i="32"/>
  <c r="AM261" i="32"/>
  <c r="V262" i="32"/>
  <c r="W262" i="32"/>
  <c r="X262" i="32"/>
  <c r="Y262" i="32"/>
  <c r="Z262" i="32"/>
  <c r="AA262" i="32"/>
  <c r="AD262" i="32"/>
  <c r="AF262" i="32"/>
  <c r="AG262" i="32"/>
  <c r="AH262" i="32"/>
  <c r="AK262" i="32"/>
  <c r="AL262" i="32"/>
  <c r="AM262" i="32"/>
  <c r="V263" i="32"/>
  <c r="W263" i="32"/>
  <c r="X263" i="32"/>
  <c r="Y263" i="32"/>
  <c r="Z263" i="32"/>
  <c r="AA263" i="32"/>
  <c r="AD263" i="32"/>
  <c r="AF263" i="32"/>
  <c r="AG263" i="32"/>
  <c r="AH263" i="32"/>
  <c r="AK263" i="32"/>
  <c r="AL263" i="32"/>
  <c r="AM263" i="32"/>
  <c r="V264" i="32"/>
  <c r="W264" i="32"/>
  <c r="X264" i="32"/>
  <c r="Y264" i="32"/>
  <c r="Z264" i="32"/>
  <c r="AA264" i="32"/>
  <c r="AD264" i="32"/>
  <c r="AF264" i="32"/>
  <c r="AG264" i="32"/>
  <c r="AH264" i="32"/>
  <c r="AK264" i="32"/>
  <c r="AL264" i="32"/>
  <c r="AM264" i="32"/>
  <c r="V265" i="32"/>
  <c r="W265" i="32"/>
  <c r="X265" i="32"/>
  <c r="Y265" i="32"/>
  <c r="Z265" i="32"/>
  <c r="AA265" i="32"/>
  <c r="AD265" i="32"/>
  <c r="AF265" i="32"/>
  <c r="AG265" i="32"/>
  <c r="AH265" i="32"/>
  <c r="AK265" i="32"/>
  <c r="AL265" i="32"/>
  <c r="AM265" i="32"/>
  <c r="V266" i="32"/>
  <c r="W266" i="32"/>
  <c r="X266" i="32"/>
  <c r="Y266" i="32"/>
  <c r="Z266" i="32"/>
  <c r="AA266" i="32"/>
  <c r="AD266" i="32"/>
  <c r="AF266" i="32"/>
  <c r="AG266" i="32"/>
  <c r="AH266" i="32"/>
  <c r="AK266" i="32"/>
  <c r="AL266" i="32"/>
  <c r="AM266" i="32"/>
  <c r="V267" i="32"/>
  <c r="W267" i="32"/>
  <c r="X267" i="32"/>
  <c r="Y267" i="32"/>
  <c r="Z267" i="32"/>
  <c r="AA267" i="32"/>
  <c r="AD267" i="32"/>
  <c r="AF267" i="32"/>
  <c r="AG267" i="32"/>
  <c r="AH267" i="32"/>
  <c r="AK267" i="32"/>
  <c r="AL267" i="32"/>
  <c r="AM267" i="32"/>
  <c r="V268" i="32"/>
  <c r="W268" i="32"/>
  <c r="X268" i="32"/>
  <c r="Y268" i="32"/>
  <c r="Z268" i="32"/>
  <c r="AA268" i="32"/>
  <c r="AD268" i="32"/>
  <c r="AF268" i="32"/>
  <c r="AG268" i="32"/>
  <c r="AH268" i="32"/>
  <c r="AK268" i="32"/>
  <c r="AL268" i="32"/>
  <c r="AM268" i="32"/>
  <c r="V269" i="32"/>
  <c r="W269" i="32"/>
  <c r="X269" i="32"/>
  <c r="Y269" i="32"/>
  <c r="Z269" i="32"/>
  <c r="AA269" i="32"/>
  <c r="AD269" i="32"/>
  <c r="AF269" i="32"/>
  <c r="AG269" i="32"/>
  <c r="AH269" i="32"/>
  <c r="AK269" i="32"/>
  <c r="AL269" i="32"/>
  <c r="AM269" i="32"/>
  <c r="V270" i="32"/>
  <c r="W270" i="32"/>
  <c r="X270" i="32"/>
  <c r="Y270" i="32"/>
  <c r="Z270" i="32"/>
  <c r="AA270" i="32"/>
  <c r="AD270" i="32"/>
  <c r="AF270" i="32"/>
  <c r="AG270" i="32"/>
  <c r="AH270" i="32"/>
  <c r="AK270" i="32"/>
  <c r="AL270" i="32"/>
  <c r="AM270" i="32"/>
  <c r="V271" i="32"/>
  <c r="W271" i="32"/>
  <c r="X271" i="32"/>
  <c r="Y271" i="32"/>
  <c r="Z271" i="32"/>
  <c r="AA271" i="32"/>
  <c r="AD271" i="32"/>
  <c r="AF271" i="32"/>
  <c r="AG271" i="32"/>
  <c r="AH271" i="32"/>
  <c r="AK271" i="32"/>
  <c r="AL271" i="32"/>
  <c r="AM271" i="32"/>
  <c r="V272" i="32"/>
  <c r="W272" i="32"/>
  <c r="X272" i="32"/>
  <c r="Y272" i="32"/>
  <c r="Z272" i="32"/>
  <c r="AA272" i="32"/>
  <c r="AD272" i="32"/>
  <c r="AF272" i="32"/>
  <c r="AG272" i="32"/>
  <c r="AH272" i="32"/>
  <c r="AK272" i="32"/>
  <c r="AL272" i="32"/>
  <c r="AM272" i="32"/>
  <c r="V273" i="32"/>
  <c r="W273" i="32"/>
  <c r="X273" i="32"/>
  <c r="Y273" i="32"/>
  <c r="Z273" i="32"/>
  <c r="AA273" i="32"/>
  <c r="AD273" i="32"/>
  <c r="AF273" i="32"/>
  <c r="AG273" i="32"/>
  <c r="AH273" i="32"/>
  <c r="AK273" i="32"/>
  <c r="AL273" i="32"/>
  <c r="AM273" i="32"/>
  <c r="V274" i="32"/>
  <c r="W274" i="32"/>
  <c r="X274" i="32"/>
  <c r="Y274" i="32"/>
  <c r="Z274" i="32"/>
  <c r="AA274" i="32"/>
  <c r="AD274" i="32"/>
  <c r="AF274" i="32"/>
  <c r="AG274" i="32"/>
  <c r="AH274" i="32"/>
  <c r="AK274" i="32"/>
  <c r="AL274" i="32"/>
  <c r="AM274" i="32"/>
  <c r="V275" i="32"/>
  <c r="W275" i="32"/>
  <c r="X275" i="32"/>
  <c r="Y275" i="32"/>
  <c r="Z275" i="32"/>
  <c r="AA275" i="32"/>
  <c r="AD275" i="32"/>
  <c r="AF275" i="32"/>
  <c r="AG275" i="32"/>
  <c r="AH275" i="32"/>
  <c r="AK275" i="32"/>
  <c r="AL275" i="32"/>
  <c r="AM275" i="32"/>
  <c r="V276" i="32"/>
  <c r="W276" i="32"/>
  <c r="X276" i="32"/>
  <c r="Y276" i="32"/>
  <c r="Z276" i="32"/>
  <c r="AA276" i="32"/>
  <c r="AD276" i="32"/>
  <c r="AF276" i="32"/>
  <c r="AG276" i="32"/>
  <c r="AH276" i="32"/>
  <c r="AK276" i="32"/>
  <c r="AL276" i="32"/>
  <c r="AM276" i="32"/>
  <c r="V277" i="32"/>
  <c r="W277" i="32"/>
  <c r="X277" i="32"/>
  <c r="Y277" i="32"/>
  <c r="Z277" i="32"/>
  <c r="AA277" i="32"/>
  <c r="AD277" i="32"/>
  <c r="AF277" i="32"/>
  <c r="AG277" i="32"/>
  <c r="AH277" i="32"/>
  <c r="AK277" i="32"/>
  <c r="AL277" i="32"/>
  <c r="AM277" i="32"/>
  <c r="V278" i="32"/>
  <c r="W278" i="32"/>
  <c r="X278" i="32"/>
  <c r="Y278" i="32"/>
  <c r="Z278" i="32"/>
  <c r="AA278" i="32"/>
  <c r="AD278" i="32"/>
  <c r="AF278" i="32"/>
  <c r="AG278" i="32"/>
  <c r="AH278" i="32"/>
  <c r="AK278" i="32"/>
  <c r="AL278" i="32"/>
  <c r="AM278" i="32"/>
  <c r="V279" i="32"/>
  <c r="W279" i="32"/>
  <c r="X279" i="32"/>
  <c r="Y279" i="32"/>
  <c r="Z279" i="32"/>
  <c r="AA279" i="32"/>
  <c r="AD279" i="32"/>
  <c r="AF279" i="32"/>
  <c r="AG279" i="32"/>
  <c r="AH279" i="32"/>
  <c r="AK279" i="32"/>
  <c r="AL279" i="32"/>
  <c r="AM279" i="32"/>
  <c r="V280" i="32"/>
  <c r="W280" i="32"/>
  <c r="X280" i="32"/>
  <c r="Y280" i="32"/>
  <c r="Z280" i="32"/>
  <c r="AA280" i="32"/>
  <c r="AD280" i="32"/>
  <c r="AF280" i="32"/>
  <c r="AG280" i="32"/>
  <c r="AH280" i="32"/>
  <c r="AK280" i="32"/>
  <c r="AL280" i="32"/>
  <c r="AM280" i="32"/>
  <c r="V281" i="32"/>
  <c r="W281" i="32"/>
  <c r="X281" i="32"/>
  <c r="Y281" i="32"/>
  <c r="Z281" i="32"/>
  <c r="AA281" i="32"/>
  <c r="AD281" i="32"/>
  <c r="AF281" i="32"/>
  <c r="AG281" i="32"/>
  <c r="AH281" i="32"/>
  <c r="AK281" i="32"/>
  <c r="AL281" i="32"/>
  <c r="AM281" i="32"/>
  <c r="V282" i="32"/>
  <c r="W282" i="32"/>
  <c r="X282" i="32"/>
  <c r="Y282" i="32"/>
  <c r="Z282" i="32"/>
  <c r="AA282" i="32"/>
  <c r="AD282" i="32"/>
  <c r="AF282" i="32"/>
  <c r="AG282" i="32"/>
  <c r="AH282" i="32"/>
  <c r="AK282" i="32"/>
  <c r="AL282" i="32"/>
  <c r="AM282" i="32"/>
  <c r="V283" i="32"/>
  <c r="W283" i="32"/>
  <c r="X283" i="32"/>
  <c r="Y283" i="32"/>
  <c r="Z283" i="32"/>
  <c r="AA283" i="32"/>
  <c r="AD283" i="32"/>
  <c r="AF283" i="32"/>
  <c r="AG283" i="32"/>
  <c r="AH283" i="32"/>
  <c r="AK283" i="32"/>
  <c r="AL283" i="32"/>
  <c r="AM283" i="32"/>
  <c r="V284" i="32"/>
  <c r="W284" i="32"/>
  <c r="X284" i="32"/>
  <c r="Y284" i="32"/>
  <c r="Z284" i="32"/>
  <c r="AA284" i="32"/>
  <c r="AD284" i="32"/>
  <c r="AF284" i="32"/>
  <c r="AG284" i="32"/>
  <c r="AH284" i="32"/>
  <c r="AK284" i="32"/>
  <c r="AL284" i="32"/>
  <c r="AM284" i="32"/>
  <c r="V285" i="32"/>
  <c r="W285" i="32"/>
  <c r="X285" i="32"/>
  <c r="Y285" i="32"/>
  <c r="Z285" i="32"/>
  <c r="AA285" i="32"/>
  <c r="AD285" i="32"/>
  <c r="AF285" i="32"/>
  <c r="AG285" i="32"/>
  <c r="AH285" i="32"/>
  <c r="AK285" i="32"/>
  <c r="AL285" i="32"/>
  <c r="AM285" i="32"/>
  <c r="V286" i="32"/>
  <c r="W286" i="32"/>
  <c r="X286" i="32"/>
  <c r="Y286" i="32"/>
  <c r="Z286" i="32"/>
  <c r="AA286" i="32"/>
  <c r="AD286" i="32"/>
  <c r="AF286" i="32"/>
  <c r="AG286" i="32"/>
  <c r="AH286" i="32"/>
  <c r="AK286" i="32"/>
  <c r="AL286" i="32"/>
  <c r="AM286" i="32"/>
  <c r="V287" i="32"/>
  <c r="W287" i="32"/>
  <c r="X287" i="32"/>
  <c r="Y287" i="32"/>
  <c r="Z287" i="32"/>
  <c r="AA287" i="32"/>
  <c r="AD287" i="32"/>
  <c r="AF287" i="32"/>
  <c r="AG287" i="32"/>
  <c r="AH287" i="32"/>
  <c r="AK287" i="32"/>
  <c r="AL287" i="32"/>
  <c r="AM287" i="32"/>
  <c r="V288" i="32"/>
  <c r="W288" i="32"/>
  <c r="X288" i="32"/>
  <c r="Y288" i="32"/>
  <c r="Z288" i="32"/>
  <c r="AA288" i="32"/>
  <c r="AD288" i="32"/>
  <c r="AF288" i="32"/>
  <c r="AG288" i="32"/>
  <c r="AH288" i="32"/>
  <c r="AK288" i="32"/>
  <c r="AL288" i="32"/>
  <c r="AM288" i="32"/>
  <c r="V289" i="32"/>
  <c r="W289" i="32"/>
  <c r="X289" i="32"/>
  <c r="Y289" i="32"/>
  <c r="Z289" i="32"/>
  <c r="AA289" i="32"/>
  <c r="AD289" i="32"/>
  <c r="AF289" i="32"/>
  <c r="AG289" i="32"/>
  <c r="AH289" i="32"/>
  <c r="AK289" i="32"/>
  <c r="AL289" i="32"/>
  <c r="AM289" i="32"/>
  <c r="V290" i="32"/>
  <c r="W290" i="32"/>
  <c r="X290" i="32"/>
  <c r="Y290" i="32"/>
  <c r="Z290" i="32"/>
  <c r="AA290" i="32"/>
  <c r="AD290" i="32"/>
  <c r="AF290" i="32"/>
  <c r="AG290" i="32"/>
  <c r="AH290" i="32"/>
  <c r="AK290" i="32"/>
  <c r="AL290" i="32"/>
  <c r="AM290" i="32"/>
  <c r="V291" i="32"/>
  <c r="W291" i="32"/>
  <c r="X291" i="32"/>
  <c r="Y291" i="32"/>
  <c r="Z291" i="32"/>
  <c r="AA291" i="32"/>
  <c r="AD291" i="32"/>
  <c r="AF291" i="32"/>
  <c r="AG291" i="32"/>
  <c r="AH291" i="32"/>
  <c r="AK291" i="32"/>
  <c r="AL291" i="32"/>
  <c r="AM291" i="32"/>
  <c r="V292" i="32"/>
  <c r="W292" i="32"/>
  <c r="X292" i="32"/>
  <c r="Y292" i="32"/>
  <c r="Z292" i="32"/>
  <c r="AA292" i="32"/>
  <c r="AD292" i="32"/>
  <c r="AF292" i="32"/>
  <c r="AG292" i="32"/>
  <c r="AH292" i="32"/>
  <c r="AK292" i="32"/>
  <c r="AL292" i="32"/>
  <c r="AM292" i="32"/>
  <c r="V293" i="32"/>
  <c r="W293" i="32"/>
  <c r="X293" i="32"/>
  <c r="Y293" i="32"/>
  <c r="Z293" i="32"/>
  <c r="AA293" i="32"/>
  <c r="AD293" i="32"/>
  <c r="AF293" i="32"/>
  <c r="AG293" i="32"/>
  <c r="AH293" i="32"/>
  <c r="AK293" i="32"/>
  <c r="AL293" i="32"/>
  <c r="AM293" i="32"/>
  <c r="V294" i="32"/>
  <c r="W294" i="32"/>
  <c r="X294" i="32"/>
  <c r="Y294" i="32"/>
  <c r="Z294" i="32"/>
  <c r="AA294" i="32"/>
  <c r="AD294" i="32"/>
  <c r="AF294" i="32"/>
  <c r="AG294" i="32"/>
  <c r="AH294" i="32"/>
  <c r="AK294" i="32"/>
  <c r="AL294" i="32"/>
  <c r="AM294" i="32"/>
  <c r="V295" i="32"/>
  <c r="W295" i="32"/>
  <c r="X295" i="32"/>
  <c r="Y295" i="32"/>
  <c r="Z295" i="32"/>
  <c r="AA295" i="32"/>
  <c r="AD295" i="32"/>
  <c r="AF295" i="32"/>
  <c r="AG295" i="32"/>
  <c r="AH295" i="32"/>
  <c r="AK295" i="32"/>
  <c r="AL295" i="32"/>
  <c r="AM295" i="32"/>
  <c r="V296" i="32"/>
  <c r="W296" i="32"/>
  <c r="X296" i="32"/>
  <c r="Y296" i="32"/>
  <c r="Z296" i="32"/>
  <c r="AA296" i="32"/>
  <c r="AD296" i="32"/>
  <c r="AF296" i="32"/>
  <c r="AG296" i="32"/>
  <c r="AH296" i="32"/>
  <c r="AK296" i="32"/>
  <c r="AL296" i="32"/>
  <c r="AM296" i="32"/>
  <c r="V297" i="32"/>
  <c r="W297" i="32"/>
  <c r="X297" i="32"/>
  <c r="Y297" i="32"/>
  <c r="Z297" i="32"/>
  <c r="AA297" i="32"/>
  <c r="AD297" i="32"/>
  <c r="AF297" i="32"/>
  <c r="AG297" i="32"/>
  <c r="AH297" i="32"/>
  <c r="AK297" i="32"/>
  <c r="AL297" i="32"/>
  <c r="AM297" i="32"/>
  <c r="V298" i="32"/>
  <c r="W298" i="32"/>
  <c r="X298" i="32"/>
  <c r="Y298" i="32"/>
  <c r="Z298" i="32"/>
  <c r="AA298" i="32"/>
  <c r="AD298" i="32"/>
  <c r="AF298" i="32"/>
  <c r="AG298" i="32"/>
  <c r="AH298" i="32"/>
  <c r="AK298" i="32"/>
  <c r="AL298" i="32"/>
  <c r="AM298" i="32"/>
  <c r="V299" i="32"/>
  <c r="W299" i="32"/>
  <c r="X299" i="32"/>
  <c r="Y299" i="32"/>
  <c r="Z299" i="32"/>
  <c r="AA299" i="32"/>
  <c r="AD299" i="32"/>
  <c r="AF299" i="32"/>
  <c r="AG299" i="32"/>
  <c r="AH299" i="32"/>
  <c r="AK299" i="32"/>
  <c r="AL299" i="32"/>
  <c r="AM299" i="32"/>
  <c r="V300" i="32"/>
  <c r="W300" i="32"/>
  <c r="X300" i="32"/>
  <c r="Y300" i="32"/>
  <c r="Z300" i="32"/>
  <c r="AA300" i="32"/>
  <c r="AD300" i="32"/>
  <c r="AF300" i="32"/>
  <c r="AG300" i="32"/>
  <c r="AH300" i="32"/>
  <c r="AK300" i="32"/>
  <c r="AL300" i="32"/>
  <c r="AM300" i="32"/>
  <c r="V301" i="32"/>
  <c r="W301" i="32"/>
  <c r="X301" i="32"/>
  <c r="Y301" i="32"/>
  <c r="Z301" i="32"/>
  <c r="AA301" i="32"/>
  <c r="AD301" i="32"/>
  <c r="AF301" i="32"/>
  <c r="AG301" i="32"/>
  <c r="AH301" i="32"/>
  <c r="AK301" i="32"/>
  <c r="AL301" i="32"/>
  <c r="AM301" i="32"/>
  <c r="V302" i="32"/>
  <c r="W302" i="32"/>
  <c r="X302" i="32"/>
  <c r="Y302" i="32"/>
  <c r="Z302" i="32"/>
  <c r="AA302" i="32"/>
  <c r="AD302" i="32"/>
  <c r="AF302" i="32"/>
  <c r="AG302" i="32"/>
  <c r="AH302" i="32"/>
  <c r="AK302" i="32"/>
  <c r="AL302" i="32"/>
  <c r="AM302" i="32"/>
  <c r="V303" i="32"/>
  <c r="W303" i="32"/>
  <c r="X303" i="32"/>
  <c r="Y303" i="32"/>
  <c r="Z303" i="32"/>
  <c r="AA303" i="32"/>
  <c r="AD303" i="32"/>
  <c r="AF303" i="32"/>
  <c r="AG303" i="32"/>
  <c r="AH303" i="32"/>
  <c r="AK303" i="32"/>
  <c r="AL303" i="32"/>
  <c r="AM303" i="32"/>
  <c r="V304" i="32"/>
  <c r="W304" i="32"/>
  <c r="X304" i="32"/>
  <c r="Y304" i="32"/>
  <c r="Z304" i="32"/>
  <c r="AA304" i="32"/>
  <c r="AD304" i="32"/>
  <c r="AF304" i="32"/>
  <c r="AG304" i="32"/>
  <c r="AH304" i="32"/>
  <c r="AK304" i="32"/>
  <c r="AL304" i="32"/>
  <c r="AM304" i="32"/>
  <c r="V305" i="32"/>
  <c r="W305" i="32"/>
  <c r="X305" i="32"/>
  <c r="Y305" i="32"/>
  <c r="Z305" i="32"/>
  <c r="AA305" i="32"/>
  <c r="AD305" i="32"/>
  <c r="AF305" i="32"/>
  <c r="AG305" i="32"/>
  <c r="AH305" i="32"/>
  <c r="AK305" i="32"/>
  <c r="AL305" i="32"/>
  <c r="AM305" i="32"/>
  <c r="V306" i="32"/>
  <c r="W306" i="32"/>
  <c r="X306" i="32"/>
  <c r="Y306" i="32"/>
  <c r="Z306" i="32"/>
  <c r="AA306" i="32"/>
  <c r="AD306" i="32"/>
  <c r="AF306" i="32"/>
  <c r="AG306" i="32"/>
  <c r="AH306" i="32"/>
  <c r="AK306" i="32"/>
  <c r="AL306" i="32"/>
  <c r="AM306" i="32"/>
  <c r="V307" i="32"/>
  <c r="W307" i="32"/>
  <c r="X307" i="32"/>
  <c r="Y307" i="32"/>
  <c r="Z307" i="32"/>
  <c r="AA307" i="32"/>
  <c r="AD307" i="32"/>
  <c r="AF307" i="32"/>
  <c r="AG307" i="32"/>
  <c r="AH307" i="32"/>
  <c r="AK307" i="32"/>
  <c r="AL307" i="32"/>
  <c r="AM307" i="32"/>
  <c r="V308" i="32"/>
  <c r="W308" i="32"/>
  <c r="X308" i="32"/>
  <c r="Y308" i="32"/>
  <c r="Z308" i="32"/>
  <c r="AA308" i="32"/>
  <c r="AD308" i="32"/>
  <c r="AF308" i="32"/>
  <c r="AG308" i="32"/>
  <c r="AH308" i="32"/>
  <c r="AK308" i="32"/>
  <c r="AL308" i="32"/>
  <c r="AM308" i="32"/>
  <c r="V309" i="32"/>
  <c r="W309" i="32"/>
  <c r="X309" i="32"/>
  <c r="Y309" i="32"/>
  <c r="Z309" i="32"/>
  <c r="AA309" i="32"/>
  <c r="AD309" i="32"/>
  <c r="AF309" i="32"/>
  <c r="AG309" i="32"/>
  <c r="AH309" i="32"/>
  <c r="AK309" i="32"/>
  <c r="AL309" i="32"/>
  <c r="AM309" i="32"/>
  <c r="V310" i="32"/>
  <c r="W310" i="32"/>
  <c r="X310" i="32"/>
  <c r="Y310" i="32"/>
  <c r="Z310" i="32"/>
  <c r="AA310" i="32"/>
  <c r="AD310" i="32"/>
  <c r="AF310" i="32"/>
  <c r="AG310" i="32"/>
  <c r="AH310" i="32"/>
  <c r="AK310" i="32"/>
  <c r="AL310" i="32"/>
  <c r="AM310" i="32"/>
  <c r="V311" i="32"/>
  <c r="W311" i="32"/>
  <c r="X311" i="32"/>
  <c r="Y311" i="32"/>
  <c r="Z311" i="32"/>
  <c r="AA311" i="32"/>
  <c r="AD311" i="32"/>
  <c r="AF311" i="32"/>
  <c r="AG311" i="32"/>
  <c r="AH311" i="32"/>
  <c r="AK311" i="32"/>
  <c r="AL311" i="32"/>
  <c r="AM311" i="32"/>
  <c r="V312" i="32"/>
  <c r="W312" i="32"/>
  <c r="X312" i="32"/>
  <c r="Y312" i="32"/>
  <c r="Z312" i="32"/>
  <c r="AA312" i="32"/>
  <c r="AD312" i="32"/>
  <c r="AF312" i="32"/>
  <c r="AG312" i="32"/>
  <c r="AH312" i="32"/>
  <c r="AK312" i="32"/>
  <c r="AL312" i="32"/>
  <c r="AM312" i="32"/>
  <c r="V313" i="32"/>
  <c r="W313" i="32"/>
  <c r="X313" i="32"/>
  <c r="Y313" i="32"/>
  <c r="Z313" i="32"/>
  <c r="AA313" i="32"/>
  <c r="AD313" i="32"/>
  <c r="AF313" i="32"/>
  <c r="AG313" i="32"/>
  <c r="AH313" i="32"/>
  <c r="AK313" i="32"/>
  <c r="AL313" i="32"/>
  <c r="AM313" i="32"/>
  <c r="V314" i="32"/>
  <c r="W314" i="32"/>
  <c r="X314" i="32"/>
  <c r="Y314" i="32"/>
  <c r="Z314" i="32"/>
  <c r="AA314" i="32"/>
  <c r="AD314" i="32"/>
  <c r="AF314" i="32"/>
  <c r="AG314" i="32"/>
  <c r="AH314" i="32"/>
  <c r="AK314" i="32"/>
  <c r="AL314" i="32"/>
  <c r="AM314" i="32"/>
  <c r="V315" i="32"/>
  <c r="W315" i="32"/>
  <c r="X315" i="32"/>
  <c r="Y315" i="32"/>
  <c r="Z315" i="32"/>
  <c r="AA315" i="32"/>
  <c r="AD315" i="32"/>
  <c r="AF315" i="32"/>
  <c r="AG315" i="32"/>
  <c r="AH315" i="32"/>
  <c r="AK315" i="32"/>
  <c r="AL315" i="32"/>
  <c r="AM315" i="32"/>
  <c r="V316" i="32"/>
  <c r="W316" i="32"/>
  <c r="X316" i="32"/>
  <c r="Y316" i="32"/>
  <c r="Z316" i="32"/>
  <c r="AA316" i="32"/>
  <c r="AD316" i="32"/>
  <c r="AF316" i="32"/>
  <c r="AG316" i="32"/>
  <c r="AH316" i="32"/>
  <c r="AK316" i="32"/>
  <c r="AL316" i="32"/>
  <c r="AM316" i="32"/>
  <c r="V317" i="32"/>
  <c r="W317" i="32"/>
  <c r="X317" i="32"/>
  <c r="Y317" i="32"/>
  <c r="Z317" i="32"/>
  <c r="AA317" i="32"/>
  <c r="AD317" i="32"/>
  <c r="AF317" i="32"/>
  <c r="AG317" i="32"/>
  <c r="AH317" i="32"/>
  <c r="AK317" i="32"/>
  <c r="AL317" i="32"/>
  <c r="AM317" i="32"/>
  <c r="V318" i="32"/>
  <c r="W318" i="32"/>
  <c r="X318" i="32"/>
  <c r="Y318" i="32"/>
  <c r="Z318" i="32"/>
  <c r="AA318" i="32"/>
  <c r="AD318" i="32"/>
  <c r="AF318" i="32"/>
  <c r="AG318" i="32"/>
  <c r="AH318" i="32"/>
  <c r="AK318" i="32"/>
  <c r="AL318" i="32"/>
  <c r="AM318" i="32"/>
  <c r="V319" i="32"/>
  <c r="W319" i="32"/>
  <c r="X319" i="32"/>
  <c r="Y319" i="32"/>
  <c r="Z319" i="32"/>
  <c r="AA319" i="32"/>
  <c r="AD319" i="32"/>
  <c r="AF319" i="32"/>
  <c r="AG319" i="32"/>
  <c r="AH319" i="32"/>
  <c r="AK319" i="32"/>
  <c r="AL319" i="32"/>
  <c r="AM319" i="32"/>
  <c r="V320" i="32"/>
  <c r="W320" i="32"/>
  <c r="X320" i="32"/>
  <c r="Y320" i="32"/>
  <c r="Z320" i="32"/>
  <c r="AA320" i="32"/>
  <c r="AD320" i="32"/>
  <c r="AF320" i="32"/>
  <c r="AG320" i="32"/>
  <c r="AH320" i="32"/>
  <c r="AK320" i="32"/>
  <c r="AL320" i="32"/>
  <c r="AM320" i="32"/>
  <c r="V321" i="32"/>
  <c r="W321" i="32"/>
  <c r="X321" i="32"/>
  <c r="Y321" i="32"/>
  <c r="Z321" i="32"/>
  <c r="AA321" i="32"/>
  <c r="AD321" i="32"/>
  <c r="AF321" i="32"/>
  <c r="AG321" i="32"/>
  <c r="AH321" i="32"/>
  <c r="AK321" i="32"/>
  <c r="AL321" i="32"/>
  <c r="AM321" i="32"/>
  <c r="V322" i="32"/>
  <c r="W322" i="32"/>
  <c r="X322" i="32"/>
  <c r="Y322" i="32"/>
  <c r="Z322" i="32"/>
  <c r="AA322" i="32"/>
  <c r="AD322" i="32"/>
  <c r="AF322" i="32"/>
  <c r="AG322" i="32"/>
  <c r="AH322" i="32"/>
  <c r="AK322" i="32"/>
  <c r="AL322" i="32"/>
  <c r="AM322" i="32"/>
  <c r="V323" i="32"/>
  <c r="W323" i="32"/>
  <c r="X323" i="32"/>
  <c r="Y323" i="32"/>
  <c r="Z323" i="32"/>
  <c r="AA323" i="32"/>
  <c r="AD323" i="32"/>
  <c r="AF323" i="32"/>
  <c r="AG323" i="32"/>
  <c r="AH323" i="32"/>
  <c r="AK323" i="32"/>
  <c r="AL323" i="32"/>
  <c r="AM323" i="32"/>
  <c r="V324" i="32"/>
  <c r="W324" i="32"/>
  <c r="X324" i="32"/>
  <c r="Y324" i="32"/>
  <c r="Z324" i="32"/>
  <c r="AA324" i="32"/>
  <c r="AD324" i="32"/>
  <c r="AF324" i="32"/>
  <c r="AG324" i="32"/>
  <c r="AH324" i="32"/>
  <c r="AK324" i="32"/>
  <c r="AL324" i="32"/>
  <c r="AM324" i="32"/>
  <c r="V325" i="32"/>
  <c r="W325" i="32"/>
  <c r="X325" i="32"/>
  <c r="Y325" i="32"/>
  <c r="Z325" i="32"/>
  <c r="AA325" i="32"/>
  <c r="AD325" i="32"/>
  <c r="AF325" i="32"/>
  <c r="AG325" i="32"/>
  <c r="AH325" i="32"/>
  <c r="AK325" i="32"/>
  <c r="AL325" i="32"/>
  <c r="AM325" i="32"/>
  <c r="V326" i="32"/>
  <c r="W326" i="32"/>
  <c r="X326" i="32"/>
  <c r="Y326" i="32"/>
  <c r="Z326" i="32"/>
  <c r="AA326" i="32"/>
  <c r="AD326" i="32"/>
  <c r="AF326" i="32"/>
  <c r="AG326" i="32"/>
  <c r="AH326" i="32"/>
  <c r="AK326" i="32"/>
  <c r="AL326" i="32"/>
  <c r="AM326" i="32"/>
  <c r="V327" i="32"/>
  <c r="W327" i="32"/>
  <c r="X327" i="32"/>
  <c r="Y327" i="32"/>
  <c r="Z327" i="32"/>
  <c r="AA327" i="32"/>
  <c r="AD327" i="32"/>
  <c r="AF327" i="32"/>
  <c r="AG327" i="32"/>
  <c r="AH327" i="32"/>
  <c r="AK327" i="32"/>
  <c r="AL327" i="32"/>
  <c r="AM327" i="32"/>
  <c r="V328" i="32"/>
  <c r="W328" i="32"/>
  <c r="X328" i="32"/>
  <c r="Y328" i="32"/>
  <c r="Z328" i="32"/>
  <c r="AA328" i="32"/>
  <c r="AD328" i="32"/>
  <c r="AF328" i="32"/>
  <c r="AG328" i="32"/>
  <c r="AH328" i="32"/>
  <c r="AK328" i="32"/>
  <c r="AL328" i="32"/>
  <c r="AM328" i="32"/>
  <c r="V329" i="32"/>
  <c r="W329" i="32"/>
  <c r="X329" i="32"/>
  <c r="Y329" i="32"/>
  <c r="Z329" i="32"/>
  <c r="AA329" i="32"/>
  <c r="AD329" i="32"/>
  <c r="AF329" i="32"/>
  <c r="AG329" i="32"/>
  <c r="AH329" i="32"/>
  <c r="AK329" i="32"/>
  <c r="AL329" i="32"/>
  <c r="AM329" i="32"/>
  <c r="V330" i="32"/>
  <c r="W330" i="32"/>
  <c r="X330" i="32"/>
  <c r="Y330" i="32"/>
  <c r="Z330" i="32"/>
  <c r="AA330" i="32"/>
  <c r="AD330" i="32"/>
  <c r="AF330" i="32"/>
  <c r="AG330" i="32"/>
  <c r="AH330" i="32"/>
  <c r="AK330" i="32"/>
  <c r="AL330" i="32"/>
  <c r="AM330" i="32"/>
  <c r="V331" i="32"/>
  <c r="W331" i="32"/>
  <c r="X331" i="32"/>
  <c r="Y331" i="32"/>
  <c r="Z331" i="32"/>
  <c r="AA331" i="32"/>
  <c r="AD331" i="32"/>
  <c r="AF331" i="32"/>
  <c r="AG331" i="32"/>
  <c r="AH331" i="32"/>
  <c r="AK331" i="32"/>
  <c r="AL331" i="32"/>
  <c r="AM331" i="32"/>
  <c r="V332" i="32"/>
  <c r="W332" i="32"/>
  <c r="X332" i="32"/>
  <c r="Y332" i="32"/>
  <c r="Z332" i="32"/>
  <c r="AA332" i="32"/>
  <c r="AD332" i="32"/>
  <c r="AF332" i="32"/>
  <c r="AG332" i="32"/>
  <c r="AH332" i="32"/>
  <c r="AK332" i="32"/>
  <c r="AL332" i="32"/>
  <c r="AM332" i="32"/>
  <c r="V333" i="32"/>
  <c r="W333" i="32"/>
  <c r="X333" i="32"/>
  <c r="Y333" i="32"/>
  <c r="Z333" i="32"/>
  <c r="AA333" i="32"/>
  <c r="AD333" i="32"/>
  <c r="AF333" i="32"/>
  <c r="AG333" i="32"/>
  <c r="AH333" i="32"/>
  <c r="AK333" i="32"/>
  <c r="AL333" i="32"/>
  <c r="AM333" i="32"/>
  <c r="V334" i="32"/>
  <c r="W334" i="32"/>
  <c r="X334" i="32"/>
  <c r="Y334" i="32"/>
  <c r="Z334" i="32"/>
  <c r="AA334" i="32"/>
  <c r="AD334" i="32"/>
  <c r="AF334" i="32"/>
  <c r="AG334" i="32"/>
  <c r="AH334" i="32"/>
  <c r="AK334" i="32"/>
  <c r="AL334" i="32"/>
  <c r="AM334" i="32"/>
  <c r="V335" i="32"/>
  <c r="W335" i="32"/>
  <c r="X335" i="32"/>
  <c r="Y335" i="32"/>
  <c r="Z335" i="32"/>
  <c r="AA335" i="32"/>
  <c r="AD335" i="32"/>
  <c r="AF335" i="32"/>
  <c r="AG335" i="32"/>
  <c r="AH335" i="32"/>
  <c r="AK335" i="32"/>
  <c r="AL335" i="32"/>
  <c r="AM335" i="32"/>
  <c r="V336" i="32"/>
  <c r="W336" i="32"/>
  <c r="X336" i="32"/>
  <c r="Y336" i="32"/>
  <c r="Z336" i="32"/>
  <c r="AA336" i="32"/>
  <c r="AD336" i="32"/>
  <c r="AF336" i="32"/>
  <c r="AG336" i="32"/>
  <c r="AH336" i="32"/>
  <c r="AK336" i="32"/>
  <c r="AL336" i="32"/>
  <c r="AM336" i="32"/>
  <c r="V337" i="32"/>
  <c r="W337" i="32"/>
  <c r="X337" i="32"/>
  <c r="Y337" i="32"/>
  <c r="Z337" i="32"/>
  <c r="AA337" i="32"/>
  <c r="AD337" i="32"/>
  <c r="AF337" i="32"/>
  <c r="AG337" i="32"/>
  <c r="AH337" i="32"/>
  <c r="AK337" i="32"/>
  <c r="AL337" i="32"/>
  <c r="AM337" i="32"/>
  <c r="V338" i="32"/>
  <c r="W338" i="32"/>
  <c r="X338" i="32"/>
  <c r="Y338" i="32"/>
  <c r="Z338" i="32"/>
  <c r="AA338" i="32"/>
  <c r="AD338" i="32"/>
  <c r="AF338" i="32"/>
  <c r="AG338" i="32"/>
  <c r="AH338" i="32"/>
  <c r="AK338" i="32"/>
  <c r="AL338" i="32"/>
  <c r="AM338" i="32"/>
  <c r="V339" i="32"/>
  <c r="W339" i="32"/>
  <c r="X339" i="32"/>
  <c r="Y339" i="32"/>
  <c r="Z339" i="32"/>
  <c r="AA339" i="32"/>
  <c r="AD339" i="32"/>
  <c r="AF339" i="32"/>
  <c r="AG339" i="32"/>
  <c r="AH339" i="32"/>
  <c r="AK339" i="32"/>
  <c r="AL339" i="32"/>
  <c r="AM339" i="32"/>
  <c r="V340" i="32"/>
  <c r="W340" i="32"/>
  <c r="X340" i="32"/>
  <c r="Y340" i="32"/>
  <c r="Z340" i="32"/>
  <c r="AA340" i="32"/>
  <c r="AD340" i="32"/>
  <c r="AF340" i="32"/>
  <c r="AG340" i="32"/>
  <c r="AH340" i="32"/>
  <c r="AK340" i="32"/>
  <c r="AL340" i="32"/>
  <c r="AM340" i="32"/>
  <c r="A6" i="32"/>
  <c r="B6" i="32"/>
  <c r="C6" i="32"/>
  <c r="D6" i="32"/>
  <c r="E6" i="32"/>
  <c r="F6" i="32"/>
  <c r="I6" i="32"/>
  <c r="K6" i="32"/>
  <c r="L6" i="32"/>
  <c r="M6" i="32"/>
  <c r="P6" i="32"/>
  <c r="Q6" i="32"/>
  <c r="R6" i="32"/>
  <c r="A7" i="32"/>
  <c r="B7" i="32"/>
  <c r="C7" i="32"/>
  <c r="D7" i="32"/>
  <c r="E7" i="32"/>
  <c r="F7" i="32"/>
  <c r="I7" i="32"/>
  <c r="K7" i="32"/>
  <c r="L7" i="32"/>
  <c r="M7" i="32"/>
  <c r="Q7" i="32"/>
  <c r="R7" i="32"/>
  <c r="A8" i="32"/>
  <c r="B8" i="32"/>
  <c r="C8" i="32"/>
  <c r="D8" i="32"/>
  <c r="E8" i="32"/>
  <c r="F8" i="32"/>
  <c r="I8" i="32"/>
  <c r="K8" i="32"/>
  <c r="L8" i="32"/>
  <c r="M8" i="32"/>
  <c r="P8" i="32"/>
  <c r="Q8" i="32"/>
  <c r="R8" i="32"/>
  <c r="A9" i="32"/>
  <c r="B9" i="32"/>
  <c r="C9" i="32"/>
  <c r="D9" i="32"/>
  <c r="E9" i="32"/>
  <c r="F9" i="32"/>
  <c r="I9" i="32"/>
  <c r="K9" i="32"/>
  <c r="L9" i="32"/>
  <c r="M9" i="32"/>
  <c r="P9" i="32"/>
  <c r="Q9" i="32"/>
  <c r="R9" i="32"/>
  <c r="A10" i="32"/>
  <c r="C10" i="32"/>
  <c r="D10" i="32"/>
  <c r="E10" i="32"/>
  <c r="F10" i="32"/>
  <c r="I10" i="32"/>
  <c r="K10" i="32"/>
  <c r="L10" i="32"/>
  <c r="M10" i="32"/>
  <c r="M341" i="32" s="1"/>
  <c r="P10" i="32"/>
  <c r="Q10" i="32"/>
  <c r="R10" i="32"/>
  <c r="A11" i="32"/>
  <c r="B11" i="32"/>
  <c r="C11" i="32"/>
  <c r="D11" i="32"/>
  <c r="E11" i="32"/>
  <c r="F11" i="32"/>
  <c r="I11" i="32"/>
  <c r="K11" i="32"/>
  <c r="L11" i="32"/>
  <c r="M11" i="32"/>
  <c r="P11" i="32"/>
  <c r="Q11" i="32"/>
  <c r="R11" i="32"/>
  <c r="A12" i="32"/>
  <c r="B12" i="32"/>
  <c r="C12" i="32"/>
  <c r="D12" i="32"/>
  <c r="E12" i="32"/>
  <c r="F12" i="32"/>
  <c r="I12" i="32"/>
  <c r="K12" i="32"/>
  <c r="L12" i="32"/>
  <c r="M12" i="32"/>
  <c r="P12" i="32"/>
  <c r="Q12" i="32"/>
  <c r="R12" i="32"/>
  <c r="A13" i="32"/>
  <c r="B13" i="32"/>
  <c r="C13" i="32"/>
  <c r="D13" i="32"/>
  <c r="E13" i="32"/>
  <c r="F13" i="32"/>
  <c r="I13" i="32"/>
  <c r="K13" i="32"/>
  <c r="L13" i="32"/>
  <c r="M13" i="32"/>
  <c r="P13" i="32"/>
  <c r="Q13" i="32"/>
  <c r="R13" i="32"/>
  <c r="A14" i="32"/>
  <c r="B14" i="32"/>
  <c r="C14" i="32"/>
  <c r="D14" i="32"/>
  <c r="E14" i="32"/>
  <c r="F14" i="32"/>
  <c r="I14" i="32"/>
  <c r="K14" i="32"/>
  <c r="L14" i="32"/>
  <c r="M14" i="32"/>
  <c r="P14" i="32"/>
  <c r="Q14" i="32"/>
  <c r="R14" i="32"/>
  <c r="A15" i="32"/>
  <c r="B15" i="32"/>
  <c r="C15" i="32"/>
  <c r="D15" i="32"/>
  <c r="E15" i="32"/>
  <c r="F15" i="32"/>
  <c r="I15" i="32"/>
  <c r="K15" i="32"/>
  <c r="L15" i="32"/>
  <c r="M15" i="32"/>
  <c r="P15" i="32"/>
  <c r="Q15" i="32"/>
  <c r="R15" i="32"/>
  <c r="A16" i="32"/>
  <c r="B16" i="32"/>
  <c r="C16" i="32"/>
  <c r="D16" i="32"/>
  <c r="E16" i="32"/>
  <c r="F16" i="32"/>
  <c r="I16" i="32"/>
  <c r="K16" i="32"/>
  <c r="L16" i="32"/>
  <c r="M16" i="32"/>
  <c r="P16" i="32"/>
  <c r="Q16" i="32"/>
  <c r="R16" i="32"/>
  <c r="A17" i="32"/>
  <c r="B17" i="32"/>
  <c r="C17" i="32"/>
  <c r="D17" i="32"/>
  <c r="E17" i="32"/>
  <c r="F17" i="32"/>
  <c r="I17" i="32"/>
  <c r="K17" i="32"/>
  <c r="L17" i="32"/>
  <c r="M17" i="32"/>
  <c r="P17" i="32"/>
  <c r="Q17" i="32"/>
  <c r="R17" i="32"/>
  <c r="A18" i="32"/>
  <c r="B18" i="32"/>
  <c r="C18" i="32"/>
  <c r="D18" i="32"/>
  <c r="E18" i="32"/>
  <c r="F18" i="32"/>
  <c r="I18" i="32"/>
  <c r="K18" i="32"/>
  <c r="L18" i="32"/>
  <c r="M18" i="32"/>
  <c r="P18" i="32"/>
  <c r="Q18" i="32"/>
  <c r="R18" i="32"/>
  <c r="A19" i="32"/>
  <c r="B19" i="32"/>
  <c r="C19" i="32"/>
  <c r="D19" i="32"/>
  <c r="E19" i="32"/>
  <c r="F19" i="32"/>
  <c r="I19" i="32"/>
  <c r="K19" i="32"/>
  <c r="L19" i="32"/>
  <c r="M19" i="32"/>
  <c r="P19" i="32"/>
  <c r="Q19" i="32"/>
  <c r="R19" i="32"/>
  <c r="A20" i="32"/>
  <c r="B20" i="32"/>
  <c r="C20" i="32"/>
  <c r="D20" i="32"/>
  <c r="E20" i="32"/>
  <c r="F20" i="32"/>
  <c r="I20" i="32"/>
  <c r="K20" i="32"/>
  <c r="L20" i="32"/>
  <c r="M20" i="32"/>
  <c r="P20" i="32"/>
  <c r="Q20" i="32"/>
  <c r="R20" i="32"/>
  <c r="A21" i="32"/>
  <c r="B21" i="32"/>
  <c r="C21" i="32"/>
  <c r="D21" i="32"/>
  <c r="E21" i="32"/>
  <c r="F21" i="32"/>
  <c r="I21" i="32"/>
  <c r="K21" i="32"/>
  <c r="L21" i="32"/>
  <c r="M21" i="32"/>
  <c r="P21" i="32"/>
  <c r="Q21" i="32"/>
  <c r="R21" i="32"/>
  <c r="A22" i="32"/>
  <c r="B22" i="32"/>
  <c r="C22" i="32"/>
  <c r="D22" i="32"/>
  <c r="E22" i="32"/>
  <c r="F22" i="32"/>
  <c r="I22" i="32"/>
  <c r="K22" i="32"/>
  <c r="L22" i="32"/>
  <c r="M22" i="32"/>
  <c r="P22" i="32"/>
  <c r="Q22" i="32"/>
  <c r="R22" i="32"/>
  <c r="A23" i="32"/>
  <c r="B23" i="32"/>
  <c r="C23" i="32"/>
  <c r="D23" i="32"/>
  <c r="E23" i="32"/>
  <c r="F23" i="32"/>
  <c r="I23" i="32"/>
  <c r="K23" i="32"/>
  <c r="L23" i="32"/>
  <c r="M23" i="32"/>
  <c r="P23" i="32"/>
  <c r="Q23" i="32"/>
  <c r="R23" i="32"/>
  <c r="A24" i="32"/>
  <c r="B24" i="32"/>
  <c r="C24" i="32"/>
  <c r="D24" i="32"/>
  <c r="E24" i="32"/>
  <c r="F24" i="32"/>
  <c r="I24" i="32"/>
  <c r="K24" i="32"/>
  <c r="L24" i="32"/>
  <c r="M24" i="32"/>
  <c r="P24" i="32"/>
  <c r="Q24" i="32"/>
  <c r="R24" i="32"/>
  <c r="A25" i="32"/>
  <c r="B25" i="32"/>
  <c r="C25" i="32"/>
  <c r="D25" i="32"/>
  <c r="E25" i="32"/>
  <c r="F25" i="32"/>
  <c r="I25" i="32"/>
  <c r="K25" i="32"/>
  <c r="L25" i="32"/>
  <c r="M25" i="32"/>
  <c r="P25" i="32"/>
  <c r="Q25" i="32"/>
  <c r="R25" i="32"/>
  <c r="A26" i="32"/>
  <c r="B26" i="32"/>
  <c r="C26" i="32"/>
  <c r="D26" i="32"/>
  <c r="E26" i="32"/>
  <c r="F26" i="32"/>
  <c r="I26" i="32"/>
  <c r="K26" i="32"/>
  <c r="L26" i="32"/>
  <c r="M26" i="32"/>
  <c r="P26" i="32"/>
  <c r="Q26" i="32"/>
  <c r="R26" i="32"/>
  <c r="A27" i="32"/>
  <c r="B27" i="32"/>
  <c r="C27" i="32"/>
  <c r="D27" i="32"/>
  <c r="E27" i="32"/>
  <c r="F27" i="32"/>
  <c r="I27" i="32"/>
  <c r="K27" i="32"/>
  <c r="L27" i="32"/>
  <c r="M27" i="32"/>
  <c r="P27" i="32"/>
  <c r="Q27" i="32"/>
  <c r="R27" i="32"/>
  <c r="A28" i="32"/>
  <c r="B28" i="32"/>
  <c r="C28" i="32"/>
  <c r="D28" i="32"/>
  <c r="E28" i="32"/>
  <c r="F28" i="32"/>
  <c r="I28" i="32"/>
  <c r="K28" i="32"/>
  <c r="L28" i="32"/>
  <c r="M28" i="32"/>
  <c r="P28" i="32"/>
  <c r="Q28" i="32"/>
  <c r="R28" i="32"/>
  <c r="A29" i="32"/>
  <c r="B29" i="32"/>
  <c r="C29" i="32"/>
  <c r="D29" i="32"/>
  <c r="E29" i="32"/>
  <c r="F29" i="32"/>
  <c r="I29" i="32"/>
  <c r="K29" i="32"/>
  <c r="L29" i="32"/>
  <c r="M29" i="32"/>
  <c r="P29" i="32"/>
  <c r="Q29" i="32"/>
  <c r="R29" i="32"/>
  <c r="A30" i="32"/>
  <c r="B30" i="32"/>
  <c r="C30" i="32"/>
  <c r="D30" i="32"/>
  <c r="E30" i="32"/>
  <c r="F30" i="32"/>
  <c r="I30" i="32"/>
  <c r="K30" i="32"/>
  <c r="L30" i="32"/>
  <c r="M30" i="32"/>
  <c r="P30" i="32"/>
  <c r="Q30" i="32"/>
  <c r="R30" i="32"/>
  <c r="A31" i="32"/>
  <c r="B31" i="32"/>
  <c r="C31" i="32"/>
  <c r="D31" i="32"/>
  <c r="E31" i="32"/>
  <c r="F31" i="32"/>
  <c r="I31" i="32"/>
  <c r="K31" i="32"/>
  <c r="L31" i="32"/>
  <c r="M31" i="32"/>
  <c r="P31" i="32"/>
  <c r="Q31" i="32"/>
  <c r="R31" i="32"/>
  <c r="A32" i="32"/>
  <c r="B32" i="32"/>
  <c r="C32" i="32"/>
  <c r="D32" i="32"/>
  <c r="E32" i="32"/>
  <c r="F32" i="32"/>
  <c r="I32" i="32"/>
  <c r="K32" i="32"/>
  <c r="L32" i="32"/>
  <c r="M32" i="32"/>
  <c r="P32" i="32"/>
  <c r="Q32" i="32"/>
  <c r="R32" i="32"/>
  <c r="A33" i="32"/>
  <c r="B33" i="32"/>
  <c r="C33" i="32"/>
  <c r="D33" i="32"/>
  <c r="E33" i="32"/>
  <c r="F33" i="32"/>
  <c r="I33" i="32"/>
  <c r="K33" i="32"/>
  <c r="L33" i="32"/>
  <c r="M33" i="32"/>
  <c r="P33" i="32"/>
  <c r="Q33" i="32"/>
  <c r="R33" i="32"/>
  <c r="A34" i="32"/>
  <c r="B34" i="32"/>
  <c r="C34" i="32"/>
  <c r="D34" i="32"/>
  <c r="E34" i="32"/>
  <c r="F34" i="32"/>
  <c r="I34" i="32"/>
  <c r="K34" i="32"/>
  <c r="L34" i="32"/>
  <c r="M34" i="32"/>
  <c r="P34" i="32"/>
  <c r="Q34" i="32"/>
  <c r="R34" i="32"/>
  <c r="A35" i="32"/>
  <c r="B35" i="32"/>
  <c r="C35" i="32"/>
  <c r="D35" i="32"/>
  <c r="E35" i="32"/>
  <c r="F35" i="32"/>
  <c r="I35" i="32"/>
  <c r="K35" i="32"/>
  <c r="L35" i="32"/>
  <c r="M35" i="32"/>
  <c r="P35" i="32"/>
  <c r="Q35" i="32"/>
  <c r="R35" i="32"/>
  <c r="A36" i="32"/>
  <c r="B36" i="32"/>
  <c r="C36" i="32"/>
  <c r="D36" i="32"/>
  <c r="E36" i="32"/>
  <c r="F36" i="32"/>
  <c r="I36" i="32"/>
  <c r="K36" i="32"/>
  <c r="L36" i="32"/>
  <c r="M36" i="32"/>
  <c r="P36" i="32"/>
  <c r="Q36" i="32"/>
  <c r="R36" i="32"/>
  <c r="A37" i="32"/>
  <c r="B37" i="32"/>
  <c r="C37" i="32"/>
  <c r="D37" i="32"/>
  <c r="E37" i="32"/>
  <c r="F37" i="32"/>
  <c r="I37" i="32"/>
  <c r="K37" i="32"/>
  <c r="L37" i="32"/>
  <c r="M37" i="32"/>
  <c r="P37" i="32"/>
  <c r="Q37" i="32"/>
  <c r="R37" i="32"/>
  <c r="A38" i="32"/>
  <c r="B38" i="32"/>
  <c r="C38" i="32"/>
  <c r="D38" i="32"/>
  <c r="E38" i="32"/>
  <c r="F38" i="32"/>
  <c r="I38" i="32"/>
  <c r="K38" i="32"/>
  <c r="L38" i="32"/>
  <c r="M38" i="32"/>
  <c r="P38" i="32"/>
  <c r="Q38" i="32"/>
  <c r="R38" i="32"/>
  <c r="A39" i="32"/>
  <c r="B39" i="32"/>
  <c r="C39" i="32"/>
  <c r="D39" i="32"/>
  <c r="E39" i="32"/>
  <c r="F39" i="32"/>
  <c r="I39" i="32"/>
  <c r="K39" i="32"/>
  <c r="L39" i="32"/>
  <c r="M39" i="32"/>
  <c r="P39" i="32"/>
  <c r="Q39" i="32"/>
  <c r="R39" i="32"/>
  <c r="A40" i="32"/>
  <c r="B40" i="32"/>
  <c r="C40" i="32"/>
  <c r="D40" i="32"/>
  <c r="E40" i="32"/>
  <c r="F40" i="32"/>
  <c r="I40" i="32"/>
  <c r="K40" i="32"/>
  <c r="L40" i="32"/>
  <c r="M40" i="32"/>
  <c r="P40" i="32"/>
  <c r="Q40" i="32"/>
  <c r="R40" i="32"/>
  <c r="A41" i="32"/>
  <c r="B41" i="32"/>
  <c r="C41" i="32"/>
  <c r="D41" i="32"/>
  <c r="E41" i="32"/>
  <c r="F41" i="32"/>
  <c r="I41" i="32"/>
  <c r="K41" i="32"/>
  <c r="L41" i="32"/>
  <c r="M41" i="32"/>
  <c r="P41" i="32"/>
  <c r="Q41" i="32"/>
  <c r="R41" i="32"/>
  <c r="A42" i="32"/>
  <c r="B42" i="32"/>
  <c r="C42" i="32"/>
  <c r="D42" i="32"/>
  <c r="E42" i="32"/>
  <c r="F42" i="32"/>
  <c r="I42" i="32"/>
  <c r="K42" i="32"/>
  <c r="L42" i="32"/>
  <c r="M42" i="32"/>
  <c r="P42" i="32"/>
  <c r="Q42" i="32"/>
  <c r="R42" i="32"/>
  <c r="A43" i="32"/>
  <c r="B43" i="32"/>
  <c r="C43" i="32"/>
  <c r="D43" i="32"/>
  <c r="E43" i="32"/>
  <c r="F43" i="32"/>
  <c r="I43" i="32"/>
  <c r="K43" i="32"/>
  <c r="L43" i="32"/>
  <c r="M43" i="32"/>
  <c r="P43" i="32"/>
  <c r="Q43" i="32"/>
  <c r="R43" i="32"/>
  <c r="A44" i="32"/>
  <c r="B44" i="32"/>
  <c r="C44" i="32"/>
  <c r="D44" i="32"/>
  <c r="E44" i="32"/>
  <c r="F44" i="32"/>
  <c r="I44" i="32"/>
  <c r="K44" i="32"/>
  <c r="L44" i="32"/>
  <c r="M44" i="32"/>
  <c r="P44" i="32"/>
  <c r="Q44" i="32"/>
  <c r="R44" i="32"/>
  <c r="A45" i="32"/>
  <c r="B45" i="32"/>
  <c r="C45" i="32"/>
  <c r="D45" i="32"/>
  <c r="E45" i="32"/>
  <c r="F45" i="32"/>
  <c r="I45" i="32"/>
  <c r="K45" i="32"/>
  <c r="L45" i="32"/>
  <c r="M45" i="32"/>
  <c r="P45" i="32"/>
  <c r="Q45" i="32"/>
  <c r="R45" i="32"/>
  <c r="A46" i="32"/>
  <c r="B46" i="32"/>
  <c r="C46" i="32"/>
  <c r="D46" i="32"/>
  <c r="E46" i="32"/>
  <c r="F46" i="32"/>
  <c r="I46" i="32"/>
  <c r="K46" i="32"/>
  <c r="L46" i="32"/>
  <c r="M46" i="32"/>
  <c r="P46" i="32"/>
  <c r="Q46" i="32"/>
  <c r="R46" i="32"/>
  <c r="A47" i="32"/>
  <c r="B47" i="32"/>
  <c r="C47" i="32"/>
  <c r="D47" i="32"/>
  <c r="E47" i="32"/>
  <c r="F47" i="32"/>
  <c r="I47" i="32"/>
  <c r="K47" i="32"/>
  <c r="L47" i="32"/>
  <c r="M47" i="32"/>
  <c r="P47" i="32"/>
  <c r="Q47" i="32"/>
  <c r="R47" i="32"/>
  <c r="A48" i="32"/>
  <c r="B48" i="32"/>
  <c r="C48" i="32"/>
  <c r="D48" i="32"/>
  <c r="E48" i="32"/>
  <c r="F48" i="32"/>
  <c r="I48" i="32"/>
  <c r="K48" i="32"/>
  <c r="L48" i="32"/>
  <c r="M48" i="32"/>
  <c r="P48" i="32"/>
  <c r="Q48" i="32"/>
  <c r="R48" i="32"/>
  <c r="A49" i="32"/>
  <c r="B49" i="32"/>
  <c r="C49" i="32"/>
  <c r="D49" i="32"/>
  <c r="E49" i="32"/>
  <c r="F49" i="32"/>
  <c r="I49" i="32"/>
  <c r="K49" i="32"/>
  <c r="L49" i="32"/>
  <c r="M49" i="32"/>
  <c r="P49" i="32"/>
  <c r="Q49" i="32"/>
  <c r="R49" i="32"/>
  <c r="A50" i="32"/>
  <c r="B50" i="32"/>
  <c r="C50" i="32"/>
  <c r="D50" i="32"/>
  <c r="E50" i="32"/>
  <c r="F50" i="32"/>
  <c r="I50" i="32"/>
  <c r="K50" i="32"/>
  <c r="L50" i="32"/>
  <c r="M50" i="32"/>
  <c r="P50" i="32"/>
  <c r="Q50" i="32"/>
  <c r="R50" i="32"/>
  <c r="A51" i="32"/>
  <c r="B51" i="32"/>
  <c r="C51" i="32"/>
  <c r="D51" i="32"/>
  <c r="E51" i="32"/>
  <c r="F51" i="32"/>
  <c r="I51" i="32"/>
  <c r="K51" i="32"/>
  <c r="L51" i="32"/>
  <c r="M51" i="32"/>
  <c r="P51" i="32"/>
  <c r="Q51" i="32"/>
  <c r="R51" i="32"/>
  <c r="A52" i="32"/>
  <c r="B52" i="32"/>
  <c r="C52" i="32"/>
  <c r="D52" i="32"/>
  <c r="E52" i="32"/>
  <c r="F52" i="32"/>
  <c r="I52" i="32"/>
  <c r="K52" i="32"/>
  <c r="L52" i="32"/>
  <c r="M52" i="32"/>
  <c r="P52" i="32"/>
  <c r="Q52" i="32"/>
  <c r="R52" i="32"/>
  <c r="A53" i="32"/>
  <c r="B53" i="32"/>
  <c r="C53" i="32"/>
  <c r="D53" i="32"/>
  <c r="E53" i="32"/>
  <c r="F53" i="32"/>
  <c r="I53" i="32"/>
  <c r="K53" i="32"/>
  <c r="L53" i="32"/>
  <c r="M53" i="32"/>
  <c r="P53" i="32"/>
  <c r="Q53" i="32"/>
  <c r="R53" i="32"/>
  <c r="A54" i="32"/>
  <c r="B54" i="32"/>
  <c r="C54" i="32"/>
  <c r="D54" i="32"/>
  <c r="E54" i="32"/>
  <c r="F54" i="32"/>
  <c r="I54" i="32"/>
  <c r="K54" i="32"/>
  <c r="L54" i="32"/>
  <c r="M54" i="32"/>
  <c r="P54" i="32"/>
  <c r="Q54" i="32"/>
  <c r="R54" i="32"/>
  <c r="A55" i="32"/>
  <c r="B55" i="32"/>
  <c r="C55" i="32"/>
  <c r="D55" i="32"/>
  <c r="E55" i="32"/>
  <c r="F55" i="32"/>
  <c r="I55" i="32"/>
  <c r="K55" i="32"/>
  <c r="L55" i="32"/>
  <c r="M55" i="32"/>
  <c r="P55" i="32"/>
  <c r="Q55" i="32"/>
  <c r="R55" i="32"/>
  <c r="A56" i="32"/>
  <c r="B56" i="32"/>
  <c r="C56" i="32"/>
  <c r="D56" i="32"/>
  <c r="E56" i="32"/>
  <c r="F56" i="32"/>
  <c r="I56" i="32"/>
  <c r="K56" i="32"/>
  <c r="L56" i="32"/>
  <c r="M56" i="32"/>
  <c r="P56" i="32"/>
  <c r="Q56" i="32"/>
  <c r="R56" i="32"/>
  <c r="A57" i="32"/>
  <c r="B57" i="32"/>
  <c r="C57" i="32"/>
  <c r="D57" i="32"/>
  <c r="E57" i="32"/>
  <c r="F57" i="32"/>
  <c r="I57" i="32"/>
  <c r="K57" i="32"/>
  <c r="L57" i="32"/>
  <c r="M57" i="32"/>
  <c r="P57" i="32"/>
  <c r="Q57" i="32"/>
  <c r="R57" i="32"/>
  <c r="A58" i="32"/>
  <c r="B58" i="32"/>
  <c r="C58" i="32"/>
  <c r="D58" i="32"/>
  <c r="E58" i="32"/>
  <c r="F58" i="32"/>
  <c r="I58" i="32"/>
  <c r="K58" i="32"/>
  <c r="L58" i="32"/>
  <c r="M58" i="32"/>
  <c r="P58" i="32"/>
  <c r="Q58" i="32"/>
  <c r="R58" i="32"/>
  <c r="A59" i="32"/>
  <c r="B59" i="32"/>
  <c r="C59" i="32"/>
  <c r="D59" i="32"/>
  <c r="E59" i="32"/>
  <c r="F59" i="32"/>
  <c r="I59" i="32"/>
  <c r="K59" i="32"/>
  <c r="L59" i="32"/>
  <c r="M59" i="32"/>
  <c r="P59" i="32"/>
  <c r="Q59" i="32"/>
  <c r="R59" i="32"/>
  <c r="A60" i="32"/>
  <c r="B60" i="32"/>
  <c r="C60" i="32"/>
  <c r="D60" i="32"/>
  <c r="E60" i="32"/>
  <c r="F60" i="32"/>
  <c r="I60" i="32"/>
  <c r="K60" i="32"/>
  <c r="L60" i="32"/>
  <c r="M60" i="32"/>
  <c r="P60" i="32"/>
  <c r="Q60" i="32"/>
  <c r="R60" i="32"/>
  <c r="A61" i="32"/>
  <c r="B61" i="32"/>
  <c r="C61" i="32"/>
  <c r="D61" i="32"/>
  <c r="E61" i="32"/>
  <c r="F61" i="32"/>
  <c r="I61" i="32"/>
  <c r="K61" i="32"/>
  <c r="L61" i="32"/>
  <c r="M61" i="32"/>
  <c r="P61" i="32"/>
  <c r="Q61" i="32"/>
  <c r="R61" i="32"/>
  <c r="A62" i="32"/>
  <c r="B62" i="32"/>
  <c r="C62" i="32"/>
  <c r="D62" i="32"/>
  <c r="E62" i="32"/>
  <c r="F62" i="32"/>
  <c r="I62" i="32"/>
  <c r="K62" i="32"/>
  <c r="L62" i="32"/>
  <c r="M62" i="32"/>
  <c r="P62" i="32"/>
  <c r="Q62" i="32"/>
  <c r="R62" i="32"/>
  <c r="A63" i="32"/>
  <c r="B63" i="32"/>
  <c r="C63" i="32"/>
  <c r="D63" i="32"/>
  <c r="E63" i="32"/>
  <c r="F63" i="32"/>
  <c r="I63" i="32"/>
  <c r="K63" i="32"/>
  <c r="L63" i="32"/>
  <c r="M63" i="32"/>
  <c r="P63" i="32"/>
  <c r="Q63" i="32"/>
  <c r="R63" i="32"/>
  <c r="A64" i="32"/>
  <c r="B64" i="32"/>
  <c r="C64" i="32"/>
  <c r="D64" i="32"/>
  <c r="E64" i="32"/>
  <c r="F64" i="32"/>
  <c r="I64" i="32"/>
  <c r="K64" i="32"/>
  <c r="L64" i="32"/>
  <c r="M64" i="32"/>
  <c r="P64" i="32"/>
  <c r="Q64" i="32"/>
  <c r="R64" i="32"/>
  <c r="A65" i="32"/>
  <c r="B65" i="32"/>
  <c r="C65" i="32"/>
  <c r="D65" i="32"/>
  <c r="E65" i="32"/>
  <c r="F65" i="32"/>
  <c r="I65" i="32"/>
  <c r="K65" i="32"/>
  <c r="L65" i="32"/>
  <c r="M65" i="32"/>
  <c r="P65" i="32"/>
  <c r="Q65" i="32"/>
  <c r="R65" i="32"/>
  <c r="A66" i="32"/>
  <c r="B66" i="32"/>
  <c r="C66" i="32"/>
  <c r="D66" i="32"/>
  <c r="E66" i="32"/>
  <c r="F66" i="32"/>
  <c r="I66" i="32"/>
  <c r="K66" i="32"/>
  <c r="L66" i="32"/>
  <c r="M66" i="32"/>
  <c r="P66" i="32"/>
  <c r="Q66" i="32"/>
  <c r="R66" i="32"/>
  <c r="A67" i="32"/>
  <c r="B67" i="32"/>
  <c r="C67" i="32"/>
  <c r="D67" i="32"/>
  <c r="E67" i="32"/>
  <c r="F67" i="32"/>
  <c r="I67" i="32"/>
  <c r="K67" i="32"/>
  <c r="L67" i="32"/>
  <c r="M67" i="32"/>
  <c r="P67" i="32"/>
  <c r="Q67" i="32"/>
  <c r="R67" i="32"/>
  <c r="A68" i="32"/>
  <c r="B68" i="32"/>
  <c r="C68" i="32"/>
  <c r="D68" i="32"/>
  <c r="E68" i="32"/>
  <c r="F68" i="32"/>
  <c r="I68" i="32"/>
  <c r="K68" i="32"/>
  <c r="L68" i="32"/>
  <c r="M68" i="32"/>
  <c r="P68" i="32"/>
  <c r="Q68" i="32"/>
  <c r="R68" i="32"/>
  <c r="A69" i="32"/>
  <c r="B69" i="32"/>
  <c r="C69" i="32"/>
  <c r="D69" i="32"/>
  <c r="E69" i="32"/>
  <c r="F69" i="32"/>
  <c r="I69" i="32"/>
  <c r="K69" i="32"/>
  <c r="L69" i="32"/>
  <c r="M69" i="32"/>
  <c r="P69" i="32"/>
  <c r="Q69" i="32"/>
  <c r="R69" i="32"/>
  <c r="A70" i="32"/>
  <c r="B70" i="32"/>
  <c r="C70" i="32"/>
  <c r="D70" i="32"/>
  <c r="E70" i="32"/>
  <c r="F70" i="32"/>
  <c r="I70" i="32"/>
  <c r="K70" i="32"/>
  <c r="L70" i="32"/>
  <c r="M70" i="32"/>
  <c r="P70" i="32"/>
  <c r="Q70" i="32"/>
  <c r="R70" i="32"/>
  <c r="A71" i="32"/>
  <c r="B71" i="32"/>
  <c r="C71" i="32"/>
  <c r="D71" i="32"/>
  <c r="E71" i="32"/>
  <c r="F71" i="32"/>
  <c r="I71" i="32"/>
  <c r="K71" i="32"/>
  <c r="L71" i="32"/>
  <c r="M71" i="32"/>
  <c r="P71" i="32"/>
  <c r="Q71" i="32"/>
  <c r="R71" i="32"/>
  <c r="A72" i="32"/>
  <c r="B72" i="32"/>
  <c r="C72" i="32"/>
  <c r="D72" i="32"/>
  <c r="E72" i="32"/>
  <c r="F72" i="32"/>
  <c r="I72" i="32"/>
  <c r="K72" i="32"/>
  <c r="L72" i="32"/>
  <c r="M72" i="32"/>
  <c r="P72" i="32"/>
  <c r="Q72" i="32"/>
  <c r="R72" i="32"/>
  <c r="A73" i="32"/>
  <c r="B73" i="32"/>
  <c r="C73" i="32"/>
  <c r="D73" i="32"/>
  <c r="E73" i="32"/>
  <c r="F73" i="32"/>
  <c r="I73" i="32"/>
  <c r="K73" i="32"/>
  <c r="L73" i="32"/>
  <c r="M73" i="32"/>
  <c r="P73" i="32"/>
  <c r="Q73" i="32"/>
  <c r="R73" i="32"/>
  <c r="A74" i="32"/>
  <c r="B74" i="32"/>
  <c r="C74" i="32"/>
  <c r="D74" i="32"/>
  <c r="E74" i="32"/>
  <c r="F74" i="32"/>
  <c r="I74" i="32"/>
  <c r="K74" i="32"/>
  <c r="L74" i="32"/>
  <c r="M74" i="32"/>
  <c r="P74" i="32"/>
  <c r="Q74" i="32"/>
  <c r="R74" i="32"/>
  <c r="A75" i="32"/>
  <c r="B75" i="32"/>
  <c r="C75" i="32"/>
  <c r="D75" i="32"/>
  <c r="E75" i="32"/>
  <c r="F75" i="32"/>
  <c r="I75" i="32"/>
  <c r="K75" i="32"/>
  <c r="L75" i="32"/>
  <c r="M75" i="32"/>
  <c r="P75" i="32"/>
  <c r="Q75" i="32"/>
  <c r="R75" i="32"/>
  <c r="A76" i="32"/>
  <c r="B76" i="32"/>
  <c r="C76" i="32"/>
  <c r="D76" i="32"/>
  <c r="E76" i="32"/>
  <c r="F76" i="32"/>
  <c r="I76" i="32"/>
  <c r="K76" i="32"/>
  <c r="L76" i="32"/>
  <c r="M76" i="32"/>
  <c r="P76" i="32"/>
  <c r="Q76" i="32"/>
  <c r="R76" i="32"/>
  <c r="A77" i="32"/>
  <c r="B77" i="32"/>
  <c r="C77" i="32"/>
  <c r="D77" i="32"/>
  <c r="E77" i="32"/>
  <c r="F77" i="32"/>
  <c r="I77" i="32"/>
  <c r="K77" i="32"/>
  <c r="L77" i="32"/>
  <c r="M77" i="32"/>
  <c r="P77" i="32"/>
  <c r="Q77" i="32"/>
  <c r="R77" i="32"/>
  <c r="A78" i="32"/>
  <c r="B78" i="32"/>
  <c r="C78" i="32"/>
  <c r="D78" i="32"/>
  <c r="E78" i="32"/>
  <c r="F78" i="32"/>
  <c r="I78" i="32"/>
  <c r="K78" i="32"/>
  <c r="L78" i="32"/>
  <c r="M78" i="32"/>
  <c r="P78" i="32"/>
  <c r="Q78" i="32"/>
  <c r="R78" i="32"/>
  <c r="A79" i="32"/>
  <c r="B79" i="32"/>
  <c r="C79" i="32"/>
  <c r="D79" i="32"/>
  <c r="E79" i="32"/>
  <c r="F79" i="32"/>
  <c r="I79" i="32"/>
  <c r="K79" i="32"/>
  <c r="L79" i="32"/>
  <c r="M79" i="32"/>
  <c r="P79" i="32"/>
  <c r="Q79" i="32"/>
  <c r="R79" i="32"/>
  <c r="A80" i="32"/>
  <c r="B80" i="32"/>
  <c r="C80" i="32"/>
  <c r="D80" i="32"/>
  <c r="E80" i="32"/>
  <c r="F80" i="32"/>
  <c r="I80" i="32"/>
  <c r="K80" i="32"/>
  <c r="L80" i="32"/>
  <c r="M80" i="32"/>
  <c r="P80" i="32"/>
  <c r="Q80" i="32"/>
  <c r="R80" i="32"/>
  <c r="A81" i="32"/>
  <c r="B81" i="32"/>
  <c r="C81" i="32"/>
  <c r="D81" i="32"/>
  <c r="E81" i="32"/>
  <c r="F81" i="32"/>
  <c r="I81" i="32"/>
  <c r="K81" i="32"/>
  <c r="L81" i="32"/>
  <c r="M81" i="32"/>
  <c r="P81" i="32"/>
  <c r="Q81" i="32"/>
  <c r="R81" i="32"/>
  <c r="A82" i="32"/>
  <c r="B82" i="32"/>
  <c r="C82" i="32"/>
  <c r="D82" i="32"/>
  <c r="E82" i="32"/>
  <c r="F82" i="32"/>
  <c r="I82" i="32"/>
  <c r="K82" i="32"/>
  <c r="L82" i="32"/>
  <c r="M82" i="32"/>
  <c r="P82" i="32"/>
  <c r="Q82" i="32"/>
  <c r="R82" i="32"/>
  <c r="A83" i="32"/>
  <c r="B83" i="32"/>
  <c r="C83" i="32"/>
  <c r="D83" i="32"/>
  <c r="E83" i="32"/>
  <c r="F83" i="32"/>
  <c r="I83" i="32"/>
  <c r="K83" i="32"/>
  <c r="L83" i="32"/>
  <c r="M83" i="32"/>
  <c r="P83" i="32"/>
  <c r="Q83" i="32"/>
  <c r="R83" i="32"/>
  <c r="A84" i="32"/>
  <c r="B84" i="32"/>
  <c r="C84" i="32"/>
  <c r="D84" i="32"/>
  <c r="E84" i="32"/>
  <c r="F84" i="32"/>
  <c r="I84" i="32"/>
  <c r="K84" i="32"/>
  <c r="L84" i="32"/>
  <c r="M84" i="32"/>
  <c r="P84" i="32"/>
  <c r="Q84" i="32"/>
  <c r="R84" i="32"/>
  <c r="A85" i="32"/>
  <c r="B85" i="32"/>
  <c r="C85" i="32"/>
  <c r="D85" i="32"/>
  <c r="E85" i="32"/>
  <c r="F85" i="32"/>
  <c r="I85" i="32"/>
  <c r="K85" i="32"/>
  <c r="L85" i="32"/>
  <c r="M85" i="32"/>
  <c r="P85" i="32"/>
  <c r="Q85" i="32"/>
  <c r="R85" i="32"/>
  <c r="A86" i="32"/>
  <c r="B86" i="32"/>
  <c r="C86" i="32"/>
  <c r="D86" i="32"/>
  <c r="E86" i="32"/>
  <c r="F86" i="32"/>
  <c r="I86" i="32"/>
  <c r="K86" i="32"/>
  <c r="L86" i="32"/>
  <c r="M86" i="32"/>
  <c r="P86" i="32"/>
  <c r="Q86" i="32"/>
  <c r="R86" i="32"/>
  <c r="A87" i="32"/>
  <c r="B87" i="32"/>
  <c r="C87" i="32"/>
  <c r="D87" i="32"/>
  <c r="E87" i="32"/>
  <c r="F87" i="32"/>
  <c r="I87" i="32"/>
  <c r="K87" i="32"/>
  <c r="L87" i="32"/>
  <c r="M87" i="32"/>
  <c r="P87" i="32"/>
  <c r="Q87" i="32"/>
  <c r="R87" i="32"/>
  <c r="A88" i="32"/>
  <c r="B88" i="32"/>
  <c r="C88" i="32"/>
  <c r="D88" i="32"/>
  <c r="E88" i="32"/>
  <c r="F88" i="32"/>
  <c r="I88" i="32"/>
  <c r="K88" i="32"/>
  <c r="L88" i="32"/>
  <c r="M88" i="32"/>
  <c r="P88" i="32"/>
  <c r="Q88" i="32"/>
  <c r="R88" i="32"/>
  <c r="A89" i="32"/>
  <c r="B89" i="32"/>
  <c r="C89" i="32"/>
  <c r="D89" i="32"/>
  <c r="E89" i="32"/>
  <c r="F89" i="32"/>
  <c r="I89" i="32"/>
  <c r="K89" i="32"/>
  <c r="L89" i="32"/>
  <c r="M89" i="32"/>
  <c r="P89" i="32"/>
  <c r="Q89" i="32"/>
  <c r="R89" i="32"/>
  <c r="A90" i="32"/>
  <c r="B90" i="32"/>
  <c r="C90" i="32"/>
  <c r="D90" i="32"/>
  <c r="E90" i="32"/>
  <c r="F90" i="32"/>
  <c r="I90" i="32"/>
  <c r="K90" i="32"/>
  <c r="L90" i="32"/>
  <c r="M90" i="32"/>
  <c r="P90" i="32"/>
  <c r="Q90" i="32"/>
  <c r="R90" i="32"/>
  <c r="A91" i="32"/>
  <c r="B91" i="32"/>
  <c r="C91" i="32"/>
  <c r="D91" i="32"/>
  <c r="E91" i="32"/>
  <c r="F91" i="32"/>
  <c r="I91" i="32"/>
  <c r="K91" i="32"/>
  <c r="L91" i="32"/>
  <c r="M91" i="32"/>
  <c r="P91" i="32"/>
  <c r="Q91" i="32"/>
  <c r="R91" i="32"/>
  <c r="A92" i="32"/>
  <c r="B92" i="32"/>
  <c r="C92" i="32"/>
  <c r="D92" i="32"/>
  <c r="E92" i="32"/>
  <c r="F92" i="32"/>
  <c r="I92" i="32"/>
  <c r="K92" i="32"/>
  <c r="L92" i="32"/>
  <c r="M92" i="32"/>
  <c r="P92" i="32"/>
  <c r="Q92" i="32"/>
  <c r="R92" i="32"/>
  <c r="A93" i="32"/>
  <c r="B93" i="32"/>
  <c r="C93" i="32"/>
  <c r="D93" i="32"/>
  <c r="E93" i="32"/>
  <c r="F93" i="32"/>
  <c r="I93" i="32"/>
  <c r="K93" i="32"/>
  <c r="L93" i="32"/>
  <c r="M93" i="32"/>
  <c r="P93" i="32"/>
  <c r="Q93" i="32"/>
  <c r="R93" i="32"/>
  <c r="A94" i="32"/>
  <c r="B94" i="32"/>
  <c r="C94" i="32"/>
  <c r="D94" i="32"/>
  <c r="E94" i="32"/>
  <c r="F94" i="32"/>
  <c r="I94" i="32"/>
  <c r="K94" i="32"/>
  <c r="L94" i="32"/>
  <c r="M94" i="32"/>
  <c r="P94" i="32"/>
  <c r="Q94" i="32"/>
  <c r="R94" i="32"/>
  <c r="A95" i="32"/>
  <c r="B95" i="32"/>
  <c r="C95" i="32"/>
  <c r="D95" i="32"/>
  <c r="E95" i="32"/>
  <c r="F95" i="32"/>
  <c r="I95" i="32"/>
  <c r="K95" i="32"/>
  <c r="L95" i="32"/>
  <c r="M95" i="32"/>
  <c r="P95" i="32"/>
  <c r="Q95" i="32"/>
  <c r="R95" i="32"/>
  <c r="A96" i="32"/>
  <c r="B96" i="32"/>
  <c r="C96" i="32"/>
  <c r="D96" i="32"/>
  <c r="E96" i="32"/>
  <c r="F96" i="32"/>
  <c r="I96" i="32"/>
  <c r="K96" i="32"/>
  <c r="L96" i="32"/>
  <c r="M96" i="32"/>
  <c r="P96" i="32"/>
  <c r="Q96" i="32"/>
  <c r="R96" i="32"/>
  <c r="A97" i="32"/>
  <c r="B97" i="32"/>
  <c r="C97" i="32"/>
  <c r="D97" i="32"/>
  <c r="E97" i="32"/>
  <c r="F97" i="32"/>
  <c r="I97" i="32"/>
  <c r="K97" i="32"/>
  <c r="L97" i="32"/>
  <c r="M97" i="32"/>
  <c r="P97" i="32"/>
  <c r="Q97" i="32"/>
  <c r="R97" i="32"/>
  <c r="A98" i="32"/>
  <c r="B98" i="32"/>
  <c r="C98" i="32"/>
  <c r="D98" i="32"/>
  <c r="E98" i="32"/>
  <c r="F98" i="32"/>
  <c r="I98" i="32"/>
  <c r="K98" i="32"/>
  <c r="L98" i="32"/>
  <c r="M98" i="32"/>
  <c r="P98" i="32"/>
  <c r="Q98" i="32"/>
  <c r="R98" i="32"/>
  <c r="A99" i="32"/>
  <c r="B99" i="32"/>
  <c r="C99" i="32"/>
  <c r="D99" i="32"/>
  <c r="E99" i="32"/>
  <c r="F99" i="32"/>
  <c r="I99" i="32"/>
  <c r="K99" i="32"/>
  <c r="L99" i="32"/>
  <c r="M99" i="32"/>
  <c r="P99" i="32"/>
  <c r="Q99" i="32"/>
  <c r="R99" i="32"/>
  <c r="A100" i="32"/>
  <c r="B100" i="32"/>
  <c r="C100" i="32"/>
  <c r="D100" i="32"/>
  <c r="E100" i="32"/>
  <c r="F100" i="32"/>
  <c r="I100" i="32"/>
  <c r="K100" i="32"/>
  <c r="L100" i="32"/>
  <c r="M100" i="32"/>
  <c r="P100" i="32"/>
  <c r="Q100" i="32"/>
  <c r="R100" i="32"/>
  <c r="A101" i="32"/>
  <c r="B101" i="32"/>
  <c r="C101" i="32"/>
  <c r="D101" i="32"/>
  <c r="E101" i="32"/>
  <c r="F101" i="32"/>
  <c r="I101" i="32"/>
  <c r="K101" i="32"/>
  <c r="L101" i="32"/>
  <c r="M101" i="32"/>
  <c r="P101" i="32"/>
  <c r="Q101" i="32"/>
  <c r="R101" i="32"/>
  <c r="A102" i="32"/>
  <c r="B102" i="32"/>
  <c r="C102" i="32"/>
  <c r="D102" i="32"/>
  <c r="E102" i="32"/>
  <c r="F102" i="32"/>
  <c r="I102" i="32"/>
  <c r="K102" i="32"/>
  <c r="L102" i="32"/>
  <c r="M102" i="32"/>
  <c r="P102" i="32"/>
  <c r="Q102" i="32"/>
  <c r="R102" i="32"/>
  <c r="A103" i="32"/>
  <c r="B103" i="32"/>
  <c r="C103" i="32"/>
  <c r="D103" i="32"/>
  <c r="E103" i="32"/>
  <c r="F103" i="32"/>
  <c r="I103" i="32"/>
  <c r="K103" i="32"/>
  <c r="L103" i="32"/>
  <c r="M103" i="32"/>
  <c r="P103" i="32"/>
  <c r="Q103" i="32"/>
  <c r="R103" i="32"/>
  <c r="A104" i="32"/>
  <c r="B104" i="32"/>
  <c r="C104" i="32"/>
  <c r="D104" i="32"/>
  <c r="E104" i="32"/>
  <c r="F104" i="32"/>
  <c r="I104" i="32"/>
  <c r="K104" i="32"/>
  <c r="L104" i="32"/>
  <c r="M104" i="32"/>
  <c r="P104" i="32"/>
  <c r="Q104" i="32"/>
  <c r="R104" i="32"/>
  <c r="A105" i="32"/>
  <c r="B105" i="32"/>
  <c r="C105" i="32"/>
  <c r="D105" i="32"/>
  <c r="E105" i="32"/>
  <c r="F105" i="32"/>
  <c r="I105" i="32"/>
  <c r="K105" i="32"/>
  <c r="L105" i="32"/>
  <c r="M105" i="32"/>
  <c r="P105" i="32"/>
  <c r="Q105" i="32"/>
  <c r="R105" i="32"/>
  <c r="A106" i="32"/>
  <c r="B106" i="32"/>
  <c r="C106" i="32"/>
  <c r="D106" i="32"/>
  <c r="E106" i="32"/>
  <c r="F106" i="32"/>
  <c r="I106" i="32"/>
  <c r="K106" i="32"/>
  <c r="L106" i="32"/>
  <c r="M106" i="32"/>
  <c r="P106" i="32"/>
  <c r="Q106" i="32"/>
  <c r="R106" i="32"/>
  <c r="A107" i="32"/>
  <c r="B107" i="32"/>
  <c r="C107" i="32"/>
  <c r="D107" i="32"/>
  <c r="E107" i="32"/>
  <c r="F107" i="32"/>
  <c r="I107" i="32"/>
  <c r="K107" i="32"/>
  <c r="L107" i="32"/>
  <c r="M107" i="32"/>
  <c r="P107" i="32"/>
  <c r="Q107" i="32"/>
  <c r="R107" i="32"/>
  <c r="A108" i="32"/>
  <c r="B108" i="32"/>
  <c r="C108" i="32"/>
  <c r="D108" i="32"/>
  <c r="E108" i="32"/>
  <c r="F108" i="32"/>
  <c r="I108" i="32"/>
  <c r="K108" i="32"/>
  <c r="L108" i="32"/>
  <c r="M108" i="32"/>
  <c r="P108" i="32"/>
  <c r="Q108" i="32"/>
  <c r="R108" i="32"/>
  <c r="A109" i="32"/>
  <c r="B109" i="32"/>
  <c r="C109" i="32"/>
  <c r="D109" i="32"/>
  <c r="E109" i="32"/>
  <c r="F109" i="32"/>
  <c r="I109" i="32"/>
  <c r="K109" i="32"/>
  <c r="L109" i="32"/>
  <c r="M109" i="32"/>
  <c r="P109" i="32"/>
  <c r="Q109" i="32"/>
  <c r="R109" i="32"/>
  <c r="A110" i="32"/>
  <c r="B110" i="32"/>
  <c r="C110" i="32"/>
  <c r="D110" i="32"/>
  <c r="E110" i="32"/>
  <c r="F110" i="32"/>
  <c r="I110" i="32"/>
  <c r="K110" i="32"/>
  <c r="L110" i="32"/>
  <c r="M110" i="32"/>
  <c r="P110" i="32"/>
  <c r="Q110" i="32"/>
  <c r="R110" i="32"/>
  <c r="A111" i="32"/>
  <c r="B111" i="32"/>
  <c r="C111" i="32"/>
  <c r="D111" i="32"/>
  <c r="E111" i="32"/>
  <c r="F111" i="32"/>
  <c r="I111" i="32"/>
  <c r="K111" i="32"/>
  <c r="L111" i="32"/>
  <c r="M111" i="32"/>
  <c r="P111" i="32"/>
  <c r="Q111" i="32"/>
  <c r="R111" i="32"/>
  <c r="A112" i="32"/>
  <c r="B112" i="32"/>
  <c r="C112" i="32"/>
  <c r="D112" i="32"/>
  <c r="E112" i="32"/>
  <c r="F112" i="32"/>
  <c r="I112" i="32"/>
  <c r="K112" i="32"/>
  <c r="L112" i="32"/>
  <c r="M112" i="32"/>
  <c r="P112" i="32"/>
  <c r="Q112" i="32"/>
  <c r="R112" i="32"/>
  <c r="A113" i="32"/>
  <c r="B113" i="32"/>
  <c r="C113" i="32"/>
  <c r="D113" i="32"/>
  <c r="E113" i="32"/>
  <c r="F113" i="32"/>
  <c r="I113" i="32"/>
  <c r="K113" i="32"/>
  <c r="L113" i="32"/>
  <c r="M113" i="32"/>
  <c r="P113" i="32"/>
  <c r="Q113" i="32"/>
  <c r="R113" i="32"/>
  <c r="A114" i="32"/>
  <c r="B114" i="32"/>
  <c r="C114" i="32"/>
  <c r="D114" i="32"/>
  <c r="E114" i="32"/>
  <c r="F114" i="32"/>
  <c r="I114" i="32"/>
  <c r="K114" i="32"/>
  <c r="L114" i="32"/>
  <c r="M114" i="32"/>
  <c r="P114" i="32"/>
  <c r="Q114" i="32"/>
  <c r="R114" i="32"/>
  <c r="A115" i="32"/>
  <c r="B115" i="32"/>
  <c r="C115" i="32"/>
  <c r="D115" i="32"/>
  <c r="E115" i="32"/>
  <c r="F115" i="32"/>
  <c r="I115" i="32"/>
  <c r="K115" i="32"/>
  <c r="L115" i="32"/>
  <c r="M115" i="32"/>
  <c r="P115" i="32"/>
  <c r="Q115" i="32"/>
  <c r="R115" i="32"/>
  <c r="A116" i="32"/>
  <c r="B116" i="32"/>
  <c r="C116" i="32"/>
  <c r="D116" i="32"/>
  <c r="E116" i="32"/>
  <c r="F116" i="32"/>
  <c r="I116" i="32"/>
  <c r="K116" i="32"/>
  <c r="L116" i="32"/>
  <c r="M116" i="32"/>
  <c r="P116" i="32"/>
  <c r="Q116" i="32"/>
  <c r="R116" i="32"/>
  <c r="A117" i="32"/>
  <c r="B117" i="32"/>
  <c r="C117" i="32"/>
  <c r="D117" i="32"/>
  <c r="E117" i="32"/>
  <c r="F117" i="32"/>
  <c r="I117" i="32"/>
  <c r="K117" i="32"/>
  <c r="L117" i="32"/>
  <c r="M117" i="32"/>
  <c r="P117" i="32"/>
  <c r="Q117" i="32"/>
  <c r="R117" i="32"/>
  <c r="A118" i="32"/>
  <c r="B118" i="32"/>
  <c r="C118" i="32"/>
  <c r="D118" i="32"/>
  <c r="E118" i="32"/>
  <c r="F118" i="32"/>
  <c r="I118" i="32"/>
  <c r="K118" i="32"/>
  <c r="L118" i="32"/>
  <c r="M118" i="32"/>
  <c r="P118" i="32"/>
  <c r="Q118" i="32"/>
  <c r="R118" i="32"/>
  <c r="A119" i="32"/>
  <c r="B119" i="32"/>
  <c r="C119" i="32"/>
  <c r="D119" i="32"/>
  <c r="E119" i="32"/>
  <c r="F119" i="32"/>
  <c r="I119" i="32"/>
  <c r="K119" i="32"/>
  <c r="L119" i="32"/>
  <c r="M119" i="32"/>
  <c r="P119" i="32"/>
  <c r="Q119" i="32"/>
  <c r="R119" i="32"/>
  <c r="A120" i="32"/>
  <c r="B120" i="32"/>
  <c r="C120" i="32"/>
  <c r="D120" i="32"/>
  <c r="E120" i="32"/>
  <c r="F120" i="32"/>
  <c r="I120" i="32"/>
  <c r="K120" i="32"/>
  <c r="L120" i="32"/>
  <c r="M120" i="32"/>
  <c r="P120" i="32"/>
  <c r="Q120" i="32"/>
  <c r="R120" i="32"/>
  <c r="A121" i="32"/>
  <c r="B121" i="32"/>
  <c r="C121" i="32"/>
  <c r="D121" i="32"/>
  <c r="E121" i="32"/>
  <c r="F121" i="32"/>
  <c r="I121" i="32"/>
  <c r="K121" i="32"/>
  <c r="L121" i="32"/>
  <c r="M121" i="32"/>
  <c r="P121" i="32"/>
  <c r="Q121" i="32"/>
  <c r="R121" i="32"/>
  <c r="A122" i="32"/>
  <c r="B122" i="32"/>
  <c r="C122" i="32"/>
  <c r="D122" i="32"/>
  <c r="E122" i="32"/>
  <c r="F122" i="32"/>
  <c r="I122" i="32"/>
  <c r="K122" i="32"/>
  <c r="L122" i="32"/>
  <c r="M122" i="32"/>
  <c r="P122" i="32"/>
  <c r="Q122" i="32"/>
  <c r="R122" i="32"/>
  <c r="A123" i="32"/>
  <c r="B123" i="32"/>
  <c r="C123" i="32"/>
  <c r="D123" i="32"/>
  <c r="E123" i="32"/>
  <c r="F123" i="32"/>
  <c r="I123" i="32"/>
  <c r="K123" i="32"/>
  <c r="L123" i="32"/>
  <c r="M123" i="32"/>
  <c r="P123" i="32"/>
  <c r="Q123" i="32"/>
  <c r="R123" i="32"/>
  <c r="A124" i="32"/>
  <c r="B124" i="32"/>
  <c r="C124" i="32"/>
  <c r="D124" i="32"/>
  <c r="E124" i="32"/>
  <c r="F124" i="32"/>
  <c r="I124" i="32"/>
  <c r="K124" i="32"/>
  <c r="L124" i="32"/>
  <c r="M124" i="32"/>
  <c r="P124" i="32"/>
  <c r="Q124" i="32"/>
  <c r="R124" i="32"/>
  <c r="A125" i="32"/>
  <c r="B125" i="32"/>
  <c r="C125" i="32"/>
  <c r="D125" i="32"/>
  <c r="E125" i="32"/>
  <c r="F125" i="32"/>
  <c r="I125" i="32"/>
  <c r="K125" i="32"/>
  <c r="L125" i="32"/>
  <c r="M125" i="32"/>
  <c r="P125" i="32"/>
  <c r="Q125" i="32"/>
  <c r="R125" i="32"/>
  <c r="A126" i="32"/>
  <c r="B126" i="32"/>
  <c r="C126" i="32"/>
  <c r="D126" i="32"/>
  <c r="E126" i="32"/>
  <c r="F126" i="32"/>
  <c r="I126" i="32"/>
  <c r="K126" i="32"/>
  <c r="L126" i="32"/>
  <c r="M126" i="32"/>
  <c r="P126" i="32"/>
  <c r="Q126" i="32"/>
  <c r="R126" i="32"/>
  <c r="A127" i="32"/>
  <c r="B127" i="32"/>
  <c r="C127" i="32"/>
  <c r="D127" i="32"/>
  <c r="E127" i="32"/>
  <c r="F127" i="32"/>
  <c r="I127" i="32"/>
  <c r="K127" i="32"/>
  <c r="L127" i="32"/>
  <c r="M127" i="32"/>
  <c r="P127" i="32"/>
  <c r="Q127" i="32"/>
  <c r="R127" i="32"/>
  <c r="A128" i="32"/>
  <c r="B128" i="32"/>
  <c r="C128" i="32"/>
  <c r="D128" i="32"/>
  <c r="E128" i="32"/>
  <c r="F128" i="32"/>
  <c r="I128" i="32"/>
  <c r="K128" i="32"/>
  <c r="L128" i="32"/>
  <c r="M128" i="32"/>
  <c r="P128" i="32"/>
  <c r="Q128" i="32"/>
  <c r="R128" i="32"/>
  <c r="A129" i="32"/>
  <c r="B129" i="32"/>
  <c r="C129" i="32"/>
  <c r="D129" i="32"/>
  <c r="E129" i="32"/>
  <c r="F129" i="32"/>
  <c r="I129" i="32"/>
  <c r="K129" i="32"/>
  <c r="L129" i="32"/>
  <c r="M129" i="32"/>
  <c r="P129" i="32"/>
  <c r="Q129" i="32"/>
  <c r="R129" i="32"/>
  <c r="A130" i="32"/>
  <c r="B130" i="32"/>
  <c r="C130" i="32"/>
  <c r="D130" i="32"/>
  <c r="E130" i="32"/>
  <c r="F130" i="32"/>
  <c r="I130" i="32"/>
  <c r="K130" i="32"/>
  <c r="L130" i="32"/>
  <c r="M130" i="32"/>
  <c r="P130" i="32"/>
  <c r="Q130" i="32"/>
  <c r="R130" i="32"/>
  <c r="A131" i="32"/>
  <c r="B131" i="32"/>
  <c r="C131" i="32"/>
  <c r="D131" i="32"/>
  <c r="E131" i="32"/>
  <c r="F131" i="32"/>
  <c r="I131" i="32"/>
  <c r="K131" i="32"/>
  <c r="L131" i="32"/>
  <c r="M131" i="32"/>
  <c r="P131" i="32"/>
  <c r="Q131" i="32"/>
  <c r="R131" i="32"/>
  <c r="A132" i="32"/>
  <c r="B132" i="32"/>
  <c r="C132" i="32"/>
  <c r="D132" i="32"/>
  <c r="E132" i="32"/>
  <c r="F132" i="32"/>
  <c r="I132" i="32"/>
  <c r="K132" i="32"/>
  <c r="L132" i="32"/>
  <c r="M132" i="32"/>
  <c r="P132" i="32"/>
  <c r="Q132" i="32"/>
  <c r="R132" i="32"/>
  <c r="A133" i="32"/>
  <c r="B133" i="32"/>
  <c r="C133" i="32"/>
  <c r="D133" i="32"/>
  <c r="E133" i="32"/>
  <c r="F133" i="32"/>
  <c r="I133" i="32"/>
  <c r="K133" i="32"/>
  <c r="L133" i="32"/>
  <c r="M133" i="32"/>
  <c r="P133" i="32"/>
  <c r="Q133" i="32"/>
  <c r="R133" i="32"/>
  <c r="A134" i="32"/>
  <c r="B134" i="32"/>
  <c r="C134" i="32"/>
  <c r="D134" i="32"/>
  <c r="E134" i="32"/>
  <c r="F134" i="32"/>
  <c r="I134" i="32"/>
  <c r="K134" i="32"/>
  <c r="L134" i="32"/>
  <c r="M134" i="32"/>
  <c r="P134" i="32"/>
  <c r="Q134" i="32"/>
  <c r="R134" i="32"/>
  <c r="A135" i="32"/>
  <c r="B135" i="32"/>
  <c r="C135" i="32"/>
  <c r="D135" i="32"/>
  <c r="E135" i="32"/>
  <c r="F135" i="32"/>
  <c r="I135" i="32"/>
  <c r="K135" i="32"/>
  <c r="L135" i="32"/>
  <c r="M135" i="32"/>
  <c r="P135" i="32"/>
  <c r="Q135" i="32"/>
  <c r="R135" i="32"/>
  <c r="A136" i="32"/>
  <c r="B136" i="32"/>
  <c r="C136" i="32"/>
  <c r="D136" i="32"/>
  <c r="E136" i="32"/>
  <c r="F136" i="32"/>
  <c r="I136" i="32"/>
  <c r="K136" i="32"/>
  <c r="L136" i="32"/>
  <c r="M136" i="32"/>
  <c r="P136" i="32"/>
  <c r="Q136" i="32"/>
  <c r="R136" i="32"/>
  <c r="A137" i="32"/>
  <c r="B137" i="32"/>
  <c r="C137" i="32"/>
  <c r="D137" i="32"/>
  <c r="E137" i="32"/>
  <c r="F137" i="32"/>
  <c r="I137" i="32"/>
  <c r="K137" i="32"/>
  <c r="L137" i="32"/>
  <c r="M137" i="32"/>
  <c r="P137" i="32"/>
  <c r="Q137" i="32"/>
  <c r="R137" i="32"/>
  <c r="A138" i="32"/>
  <c r="B138" i="32"/>
  <c r="C138" i="32"/>
  <c r="D138" i="32"/>
  <c r="E138" i="32"/>
  <c r="F138" i="32"/>
  <c r="I138" i="32"/>
  <c r="K138" i="32"/>
  <c r="L138" i="32"/>
  <c r="M138" i="32"/>
  <c r="P138" i="32"/>
  <c r="Q138" i="32"/>
  <c r="R138" i="32"/>
  <c r="A139" i="32"/>
  <c r="B139" i="32"/>
  <c r="C139" i="32"/>
  <c r="D139" i="32"/>
  <c r="E139" i="32"/>
  <c r="F139" i="32"/>
  <c r="I139" i="32"/>
  <c r="K139" i="32"/>
  <c r="L139" i="32"/>
  <c r="M139" i="32"/>
  <c r="P139" i="32"/>
  <c r="Q139" i="32"/>
  <c r="R139" i="32"/>
  <c r="A140" i="32"/>
  <c r="B140" i="32"/>
  <c r="C140" i="32"/>
  <c r="D140" i="32"/>
  <c r="E140" i="32"/>
  <c r="F140" i="32"/>
  <c r="I140" i="32"/>
  <c r="K140" i="32"/>
  <c r="L140" i="32"/>
  <c r="M140" i="32"/>
  <c r="P140" i="32"/>
  <c r="Q140" i="32"/>
  <c r="R140" i="32"/>
  <c r="A141" i="32"/>
  <c r="B141" i="32"/>
  <c r="C141" i="32"/>
  <c r="D141" i="32"/>
  <c r="E141" i="32"/>
  <c r="F141" i="32"/>
  <c r="I141" i="32"/>
  <c r="K141" i="32"/>
  <c r="L141" i="32"/>
  <c r="M141" i="32"/>
  <c r="P141" i="32"/>
  <c r="Q141" i="32"/>
  <c r="R141" i="32"/>
  <c r="A142" i="32"/>
  <c r="B142" i="32"/>
  <c r="C142" i="32"/>
  <c r="D142" i="32"/>
  <c r="E142" i="32"/>
  <c r="F142" i="32"/>
  <c r="I142" i="32"/>
  <c r="K142" i="32"/>
  <c r="L142" i="32"/>
  <c r="M142" i="32"/>
  <c r="P142" i="32"/>
  <c r="Q142" i="32"/>
  <c r="R142" i="32"/>
  <c r="A143" i="32"/>
  <c r="B143" i="32"/>
  <c r="C143" i="32"/>
  <c r="D143" i="32"/>
  <c r="E143" i="32"/>
  <c r="F143" i="32"/>
  <c r="I143" i="32"/>
  <c r="K143" i="32"/>
  <c r="L143" i="32"/>
  <c r="M143" i="32"/>
  <c r="P143" i="32"/>
  <c r="Q143" i="32"/>
  <c r="R143" i="32"/>
  <c r="A144" i="32"/>
  <c r="B144" i="32"/>
  <c r="C144" i="32"/>
  <c r="D144" i="32"/>
  <c r="E144" i="32"/>
  <c r="F144" i="32"/>
  <c r="I144" i="32"/>
  <c r="K144" i="32"/>
  <c r="L144" i="32"/>
  <c r="M144" i="32"/>
  <c r="P144" i="32"/>
  <c r="Q144" i="32"/>
  <c r="R144" i="32"/>
  <c r="A145" i="32"/>
  <c r="B145" i="32"/>
  <c r="C145" i="32"/>
  <c r="D145" i="32"/>
  <c r="E145" i="32"/>
  <c r="F145" i="32"/>
  <c r="I145" i="32"/>
  <c r="K145" i="32"/>
  <c r="L145" i="32"/>
  <c r="M145" i="32"/>
  <c r="P145" i="32"/>
  <c r="Q145" i="32"/>
  <c r="R145" i="32"/>
  <c r="A146" i="32"/>
  <c r="B146" i="32"/>
  <c r="C146" i="32"/>
  <c r="D146" i="32"/>
  <c r="E146" i="32"/>
  <c r="F146" i="32"/>
  <c r="I146" i="32"/>
  <c r="K146" i="32"/>
  <c r="L146" i="32"/>
  <c r="M146" i="32"/>
  <c r="P146" i="32"/>
  <c r="Q146" i="32"/>
  <c r="R146" i="32"/>
  <c r="A147" i="32"/>
  <c r="B147" i="32"/>
  <c r="C147" i="32"/>
  <c r="D147" i="32"/>
  <c r="E147" i="32"/>
  <c r="F147" i="32"/>
  <c r="I147" i="32"/>
  <c r="K147" i="32"/>
  <c r="L147" i="32"/>
  <c r="M147" i="32"/>
  <c r="P147" i="32"/>
  <c r="Q147" i="32"/>
  <c r="R147" i="32"/>
  <c r="A148" i="32"/>
  <c r="B148" i="32"/>
  <c r="C148" i="32"/>
  <c r="D148" i="32"/>
  <c r="E148" i="32"/>
  <c r="F148" i="32"/>
  <c r="I148" i="32"/>
  <c r="K148" i="32"/>
  <c r="L148" i="32"/>
  <c r="M148" i="32"/>
  <c r="P148" i="32"/>
  <c r="Q148" i="32"/>
  <c r="R148" i="32"/>
  <c r="A149" i="32"/>
  <c r="B149" i="32"/>
  <c r="C149" i="32"/>
  <c r="D149" i="32"/>
  <c r="E149" i="32"/>
  <c r="F149" i="32"/>
  <c r="I149" i="32"/>
  <c r="K149" i="32"/>
  <c r="L149" i="32"/>
  <c r="M149" i="32"/>
  <c r="P149" i="32"/>
  <c r="Q149" i="32"/>
  <c r="R149" i="32"/>
  <c r="A150" i="32"/>
  <c r="B150" i="32"/>
  <c r="C150" i="32"/>
  <c r="D150" i="32"/>
  <c r="E150" i="32"/>
  <c r="F150" i="32"/>
  <c r="I150" i="32"/>
  <c r="K150" i="32"/>
  <c r="L150" i="32"/>
  <c r="M150" i="32"/>
  <c r="P150" i="32"/>
  <c r="Q150" i="32"/>
  <c r="R150" i="32"/>
  <c r="A151" i="32"/>
  <c r="B151" i="32"/>
  <c r="C151" i="32"/>
  <c r="D151" i="32"/>
  <c r="E151" i="32"/>
  <c r="F151" i="32"/>
  <c r="I151" i="32"/>
  <c r="K151" i="32"/>
  <c r="L151" i="32"/>
  <c r="M151" i="32"/>
  <c r="P151" i="32"/>
  <c r="Q151" i="32"/>
  <c r="R151" i="32"/>
  <c r="A152" i="32"/>
  <c r="B152" i="32"/>
  <c r="C152" i="32"/>
  <c r="D152" i="32"/>
  <c r="E152" i="32"/>
  <c r="F152" i="32"/>
  <c r="I152" i="32"/>
  <c r="K152" i="32"/>
  <c r="L152" i="32"/>
  <c r="M152" i="32"/>
  <c r="P152" i="32"/>
  <c r="Q152" i="32"/>
  <c r="R152" i="32"/>
  <c r="A153" i="32"/>
  <c r="B153" i="32"/>
  <c r="C153" i="32"/>
  <c r="D153" i="32"/>
  <c r="E153" i="32"/>
  <c r="F153" i="32"/>
  <c r="I153" i="32"/>
  <c r="K153" i="32"/>
  <c r="L153" i="32"/>
  <c r="M153" i="32"/>
  <c r="P153" i="32"/>
  <c r="Q153" i="32"/>
  <c r="R153" i="32"/>
  <c r="A154" i="32"/>
  <c r="B154" i="32"/>
  <c r="C154" i="32"/>
  <c r="D154" i="32"/>
  <c r="E154" i="32"/>
  <c r="F154" i="32"/>
  <c r="I154" i="32"/>
  <c r="K154" i="32"/>
  <c r="L154" i="32"/>
  <c r="M154" i="32"/>
  <c r="P154" i="32"/>
  <c r="Q154" i="32"/>
  <c r="R154" i="32"/>
  <c r="A155" i="32"/>
  <c r="B155" i="32"/>
  <c r="C155" i="32"/>
  <c r="D155" i="32"/>
  <c r="E155" i="32"/>
  <c r="F155" i="32"/>
  <c r="I155" i="32"/>
  <c r="K155" i="32"/>
  <c r="L155" i="32"/>
  <c r="M155" i="32"/>
  <c r="P155" i="32"/>
  <c r="Q155" i="32"/>
  <c r="R155" i="32"/>
  <c r="A156" i="32"/>
  <c r="B156" i="32"/>
  <c r="C156" i="32"/>
  <c r="D156" i="32"/>
  <c r="E156" i="32"/>
  <c r="F156" i="32"/>
  <c r="I156" i="32"/>
  <c r="K156" i="32"/>
  <c r="L156" i="32"/>
  <c r="M156" i="32"/>
  <c r="P156" i="32"/>
  <c r="Q156" i="32"/>
  <c r="R156" i="32"/>
  <c r="A157" i="32"/>
  <c r="B157" i="32"/>
  <c r="C157" i="32"/>
  <c r="D157" i="32"/>
  <c r="E157" i="32"/>
  <c r="F157" i="32"/>
  <c r="I157" i="32"/>
  <c r="K157" i="32"/>
  <c r="L157" i="32"/>
  <c r="M157" i="32"/>
  <c r="P157" i="32"/>
  <c r="Q157" i="32"/>
  <c r="R157" i="32"/>
  <c r="A158" i="32"/>
  <c r="B158" i="32"/>
  <c r="C158" i="32"/>
  <c r="D158" i="32"/>
  <c r="E158" i="32"/>
  <c r="F158" i="32"/>
  <c r="I158" i="32"/>
  <c r="K158" i="32"/>
  <c r="L158" i="32"/>
  <c r="M158" i="32"/>
  <c r="P158" i="32"/>
  <c r="Q158" i="32"/>
  <c r="R158" i="32"/>
  <c r="A159" i="32"/>
  <c r="B159" i="32"/>
  <c r="C159" i="32"/>
  <c r="D159" i="32"/>
  <c r="E159" i="32"/>
  <c r="F159" i="32"/>
  <c r="I159" i="32"/>
  <c r="K159" i="32"/>
  <c r="L159" i="32"/>
  <c r="M159" i="32"/>
  <c r="P159" i="32"/>
  <c r="Q159" i="32"/>
  <c r="R159" i="32"/>
  <c r="A160" i="32"/>
  <c r="B160" i="32"/>
  <c r="C160" i="32"/>
  <c r="D160" i="32"/>
  <c r="E160" i="32"/>
  <c r="F160" i="32"/>
  <c r="I160" i="32"/>
  <c r="K160" i="32"/>
  <c r="L160" i="32"/>
  <c r="M160" i="32"/>
  <c r="P160" i="32"/>
  <c r="Q160" i="32"/>
  <c r="R160" i="32"/>
  <c r="A161" i="32"/>
  <c r="B161" i="32"/>
  <c r="C161" i="32"/>
  <c r="D161" i="32"/>
  <c r="E161" i="32"/>
  <c r="F161" i="32"/>
  <c r="I161" i="32"/>
  <c r="K161" i="32"/>
  <c r="L161" i="32"/>
  <c r="M161" i="32"/>
  <c r="P161" i="32"/>
  <c r="Q161" i="32"/>
  <c r="R161" i="32"/>
  <c r="A162" i="32"/>
  <c r="B162" i="32"/>
  <c r="C162" i="32"/>
  <c r="D162" i="32"/>
  <c r="E162" i="32"/>
  <c r="F162" i="32"/>
  <c r="I162" i="32"/>
  <c r="K162" i="32"/>
  <c r="L162" i="32"/>
  <c r="M162" i="32"/>
  <c r="P162" i="32"/>
  <c r="Q162" i="32"/>
  <c r="R162" i="32"/>
  <c r="A163" i="32"/>
  <c r="B163" i="32"/>
  <c r="C163" i="32"/>
  <c r="D163" i="32"/>
  <c r="E163" i="32"/>
  <c r="F163" i="32"/>
  <c r="I163" i="32"/>
  <c r="K163" i="32"/>
  <c r="L163" i="32"/>
  <c r="M163" i="32"/>
  <c r="P163" i="32"/>
  <c r="Q163" i="32"/>
  <c r="R163" i="32"/>
  <c r="A164" i="32"/>
  <c r="B164" i="32"/>
  <c r="C164" i="32"/>
  <c r="D164" i="32"/>
  <c r="E164" i="32"/>
  <c r="F164" i="32"/>
  <c r="I164" i="32"/>
  <c r="K164" i="32"/>
  <c r="L164" i="32"/>
  <c r="M164" i="32"/>
  <c r="P164" i="32"/>
  <c r="Q164" i="32"/>
  <c r="R164" i="32"/>
  <c r="A165" i="32"/>
  <c r="B165" i="32"/>
  <c r="C165" i="32"/>
  <c r="D165" i="32"/>
  <c r="E165" i="32"/>
  <c r="F165" i="32"/>
  <c r="I165" i="32"/>
  <c r="K165" i="32"/>
  <c r="L165" i="32"/>
  <c r="M165" i="32"/>
  <c r="P165" i="32"/>
  <c r="Q165" i="32"/>
  <c r="R165" i="32"/>
  <c r="A166" i="32"/>
  <c r="B166" i="32"/>
  <c r="C166" i="32"/>
  <c r="D166" i="32"/>
  <c r="E166" i="32"/>
  <c r="F166" i="32"/>
  <c r="I166" i="32"/>
  <c r="K166" i="32"/>
  <c r="L166" i="32"/>
  <c r="M166" i="32"/>
  <c r="P166" i="32"/>
  <c r="Q166" i="32"/>
  <c r="R166" i="32"/>
  <c r="A167" i="32"/>
  <c r="B167" i="32"/>
  <c r="C167" i="32"/>
  <c r="D167" i="32"/>
  <c r="E167" i="32"/>
  <c r="F167" i="32"/>
  <c r="I167" i="32"/>
  <c r="K167" i="32"/>
  <c r="L167" i="32"/>
  <c r="M167" i="32"/>
  <c r="P167" i="32"/>
  <c r="Q167" i="32"/>
  <c r="R167" i="32"/>
  <c r="A168" i="32"/>
  <c r="B168" i="32"/>
  <c r="C168" i="32"/>
  <c r="D168" i="32"/>
  <c r="E168" i="32"/>
  <c r="F168" i="32"/>
  <c r="I168" i="32"/>
  <c r="K168" i="32"/>
  <c r="L168" i="32"/>
  <c r="M168" i="32"/>
  <c r="P168" i="32"/>
  <c r="Q168" i="32"/>
  <c r="R168" i="32"/>
  <c r="A169" i="32"/>
  <c r="B169" i="32"/>
  <c r="C169" i="32"/>
  <c r="D169" i="32"/>
  <c r="E169" i="32"/>
  <c r="F169" i="32"/>
  <c r="I169" i="32"/>
  <c r="K169" i="32"/>
  <c r="L169" i="32"/>
  <c r="M169" i="32"/>
  <c r="P169" i="32"/>
  <c r="Q169" i="32"/>
  <c r="R169" i="32"/>
  <c r="A170" i="32"/>
  <c r="B170" i="32"/>
  <c r="C170" i="32"/>
  <c r="D170" i="32"/>
  <c r="E170" i="32"/>
  <c r="F170" i="32"/>
  <c r="I170" i="32"/>
  <c r="K170" i="32"/>
  <c r="L170" i="32"/>
  <c r="M170" i="32"/>
  <c r="P170" i="32"/>
  <c r="Q170" i="32"/>
  <c r="R170" i="32"/>
  <c r="A171" i="32"/>
  <c r="B171" i="32"/>
  <c r="C171" i="32"/>
  <c r="D171" i="32"/>
  <c r="E171" i="32"/>
  <c r="F171" i="32"/>
  <c r="I171" i="32"/>
  <c r="K171" i="32"/>
  <c r="L171" i="32"/>
  <c r="M171" i="32"/>
  <c r="P171" i="32"/>
  <c r="Q171" i="32"/>
  <c r="R171" i="32"/>
  <c r="A172" i="32"/>
  <c r="B172" i="32"/>
  <c r="C172" i="32"/>
  <c r="D172" i="32"/>
  <c r="E172" i="32"/>
  <c r="F172" i="32"/>
  <c r="I172" i="32"/>
  <c r="K172" i="32"/>
  <c r="L172" i="32"/>
  <c r="M172" i="32"/>
  <c r="P172" i="32"/>
  <c r="Q172" i="32"/>
  <c r="R172" i="32"/>
  <c r="A173" i="32"/>
  <c r="B173" i="32"/>
  <c r="C173" i="32"/>
  <c r="D173" i="32"/>
  <c r="E173" i="32"/>
  <c r="F173" i="32"/>
  <c r="I173" i="32"/>
  <c r="K173" i="32"/>
  <c r="L173" i="32"/>
  <c r="M173" i="32"/>
  <c r="P173" i="32"/>
  <c r="Q173" i="32"/>
  <c r="R173" i="32"/>
  <c r="A174" i="32"/>
  <c r="B174" i="32"/>
  <c r="C174" i="32"/>
  <c r="D174" i="32"/>
  <c r="E174" i="32"/>
  <c r="F174" i="32"/>
  <c r="I174" i="32"/>
  <c r="K174" i="32"/>
  <c r="L174" i="32"/>
  <c r="M174" i="32"/>
  <c r="P174" i="32"/>
  <c r="Q174" i="32"/>
  <c r="R174" i="32"/>
  <c r="A175" i="32"/>
  <c r="B175" i="32"/>
  <c r="C175" i="32"/>
  <c r="D175" i="32"/>
  <c r="E175" i="32"/>
  <c r="F175" i="32"/>
  <c r="I175" i="32"/>
  <c r="K175" i="32"/>
  <c r="L175" i="32"/>
  <c r="M175" i="32"/>
  <c r="P175" i="32"/>
  <c r="Q175" i="32"/>
  <c r="R175" i="32"/>
  <c r="A176" i="32"/>
  <c r="B176" i="32"/>
  <c r="C176" i="32"/>
  <c r="D176" i="32"/>
  <c r="E176" i="32"/>
  <c r="F176" i="32"/>
  <c r="I176" i="32"/>
  <c r="K176" i="32"/>
  <c r="L176" i="32"/>
  <c r="M176" i="32"/>
  <c r="P176" i="32"/>
  <c r="Q176" i="32"/>
  <c r="R176" i="32"/>
  <c r="A177" i="32"/>
  <c r="B177" i="32"/>
  <c r="C177" i="32"/>
  <c r="D177" i="32"/>
  <c r="E177" i="32"/>
  <c r="F177" i="32"/>
  <c r="I177" i="32"/>
  <c r="K177" i="32"/>
  <c r="L177" i="32"/>
  <c r="M177" i="32"/>
  <c r="P177" i="32"/>
  <c r="Q177" i="32"/>
  <c r="R177" i="32"/>
  <c r="A178" i="32"/>
  <c r="B178" i="32"/>
  <c r="C178" i="32"/>
  <c r="D178" i="32"/>
  <c r="E178" i="32"/>
  <c r="F178" i="32"/>
  <c r="I178" i="32"/>
  <c r="K178" i="32"/>
  <c r="L178" i="32"/>
  <c r="M178" i="32"/>
  <c r="P178" i="32"/>
  <c r="Q178" i="32"/>
  <c r="R178" i="32"/>
  <c r="A179" i="32"/>
  <c r="B179" i="32"/>
  <c r="C179" i="32"/>
  <c r="D179" i="32"/>
  <c r="E179" i="32"/>
  <c r="F179" i="32"/>
  <c r="I179" i="32"/>
  <c r="K179" i="32"/>
  <c r="L179" i="32"/>
  <c r="M179" i="32"/>
  <c r="P179" i="32"/>
  <c r="Q179" i="32"/>
  <c r="R179" i="32"/>
  <c r="A180" i="32"/>
  <c r="B180" i="32"/>
  <c r="C180" i="32"/>
  <c r="D180" i="32"/>
  <c r="E180" i="32"/>
  <c r="F180" i="32"/>
  <c r="I180" i="32"/>
  <c r="K180" i="32"/>
  <c r="L180" i="32"/>
  <c r="M180" i="32"/>
  <c r="P180" i="32"/>
  <c r="Q180" i="32"/>
  <c r="R180" i="32"/>
  <c r="A181" i="32"/>
  <c r="B181" i="32"/>
  <c r="C181" i="32"/>
  <c r="D181" i="32"/>
  <c r="E181" i="32"/>
  <c r="F181" i="32"/>
  <c r="I181" i="32"/>
  <c r="K181" i="32"/>
  <c r="L181" i="32"/>
  <c r="M181" i="32"/>
  <c r="P181" i="32"/>
  <c r="Q181" i="32"/>
  <c r="R181" i="32"/>
  <c r="A182" i="32"/>
  <c r="B182" i="32"/>
  <c r="C182" i="32"/>
  <c r="D182" i="32"/>
  <c r="E182" i="32"/>
  <c r="F182" i="32"/>
  <c r="I182" i="32"/>
  <c r="K182" i="32"/>
  <c r="L182" i="32"/>
  <c r="M182" i="32"/>
  <c r="P182" i="32"/>
  <c r="Q182" i="32"/>
  <c r="R182" i="32"/>
  <c r="A183" i="32"/>
  <c r="B183" i="32"/>
  <c r="C183" i="32"/>
  <c r="D183" i="32"/>
  <c r="E183" i="32"/>
  <c r="F183" i="32"/>
  <c r="I183" i="32"/>
  <c r="K183" i="32"/>
  <c r="L183" i="32"/>
  <c r="M183" i="32"/>
  <c r="P183" i="32"/>
  <c r="Q183" i="32"/>
  <c r="R183" i="32"/>
  <c r="A184" i="32"/>
  <c r="B184" i="32"/>
  <c r="C184" i="32"/>
  <c r="D184" i="32"/>
  <c r="E184" i="32"/>
  <c r="F184" i="32"/>
  <c r="I184" i="32"/>
  <c r="K184" i="32"/>
  <c r="L184" i="32"/>
  <c r="M184" i="32"/>
  <c r="P184" i="32"/>
  <c r="Q184" i="32"/>
  <c r="R184" i="32"/>
  <c r="A185" i="32"/>
  <c r="B185" i="32"/>
  <c r="C185" i="32"/>
  <c r="D185" i="32"/>
  <c r="E185" i="32"/>
  <c r="F185" i="32"/>
  <c r="I185" i="32"/>
  <c r="K185" i="32"/>
  <c r="L185" i="32"/>
  <c r="M185" i="32"/>
  <c r="P185" i="32"/>
  <c r="Q185" i="32"/>
  <c r="R185" i="32"/>
  <c r="A186" i="32"/>
  <c r="B186" i="32"/>
  <c r="C186" i="32"/>
  <c r="D186" i="32"/>
  <c r="E186" i="32"/>
  <c r="F186" i="32"/>
  <c r="I186" i="32"/>
  <c r="K186" i="32"/>
  <c r="L186" i="32"/>
  <c r="M186" i="32"/>
  <c r="P186" i="32"/>
  <c r="Q186" i="32"/>
  <c r="R186" i="32"/>
  <c r="A187" i="32"/>
  <c r="B187" i="32"/>
  <c r="C187" i="32"/>
  <c r="D187" i="32"/>
  <c r="E187" i="32"/>
  <c r="F187" i="32"/>
  <c r="I187" i="32"/>
  <c r="K187" i="32"/>
  <c r="L187" i="32"/>
  <c r="M187" i="32"/>
  <c r="P187" i="32"/>
  <c r="Q187" i="32"/>
  <c r="R187" i="32"/>
  <c r="A188" i="32"/>
  <c r="B188" i="32"/>
  <c r="C188" i="32"/>
  <c r="D188" i="32"/>
  <c r="E188" i="32"/>
  <c r="F188" i="32"/>
  <c r="I188" i="32"/>
  <c r="K188" i="32"/>
  <c r="L188" i="32"/>
  <c r="M188" i="32"/>
  <c r="P188" i="32"/>
  <c r="Q188" i="32"/>
  <c r="R188" i="32"/>
  <c r="A189" i="32"/>
  <c r="B189" i="32"/>
  <c r="C189" i="32"/>
  <c r="D189" i="32"/>
  <c r="E189" i="32"/>
  <c r="F189" i="32"/>
  <c r="I189" i="32"/>
  <c r="K189" i="32"/>
  <c r="L189" i="32"/>
  <c r="M189" i="32"/>
  <c r="P189" i="32"/>
  <c r="Q189" i="32"/>
  <c r="R189" i="32"/>
  <c r="A190" i="32"/>
  <c r="B190" i="32"/>
  <c r="C190" i="32"/>
  <c r="D190" i="32"/>
  <c r="E190" i="32"/>
  <c r="F190" i="32"/>
  <c r="I190" i="32"/>
  <c r="K190" i="32"/>
  <c r="L190" i="32"/>
  <c r="M190" i="32"/>
  <c r="P190" i="32"/>
  <c r="Q190" i="32"/>
  <c r="R190" i="32"/>
  <c r="A191" i="32"/>
  <c r="B191" i="32"/>
  <c r="C191" i="32"/>
  <c r="D191" i="32"/>
  <c r="E191" i="32"/>
  <c r="F191" i="32"/>
  <c r="I191" i="32"/>
  <c r="K191" i="32"/>
  <c r="L191" i="32"/>
  <c r="M191" i="32"/>
  <c r="P191" i="32"/>
  <c r="Q191" i="32"/>
  <c r="R191" i="32"/>
  <c r="A192" i="32"/>
  <c r="B192" i="32"/>
  <c r="C192" i="32"/>
  <c r="D192" i="32"/>
  <c r="E192" i="32"/>
  <c r="F192" i="32"/>
  <c r="I192" i="32"/>
  <c r="K192" i="32"/>
  <c r="L192" i="32"/>
  <c r="M192" i="32"/>
  <c r="P192" i="32"/>
  <c r="Q192" i="32"/>
  <c r="R192" i="32"/>
  <c r="A193" i="32"/>
  <c r="B193" i="32"/>
  <c r="C193" i="32"/>
  <c r="D193" i="32"/>
  <c r="E193" i="32"/>
  <c r="F193" i="32"/>
  <c r="I193" i="32"/>
  <c r="K193" i="32"/>
  <c r="L193" i="32"/>
  <c r="M193" i="32"/>
  <c r="P193" i="32"/>
  <c r="Q193" i="32"/>
  <c r="R193" i="32"/>
  <c r="A194" i="32"/>
  <c r="B194" i="32"/>
  <c r="C194" i="32"/>
  <c r="D194" i="32"/>
  <c r="E194" i="32"/>
  <c r="F194" i="32"/>
  <c r="I194" i="32"/>
  <c r="K194" i="32"/>
  <c r="L194" i="32"/>
  <c r="M194" i="32"/>
  <c r="P194" i="32"/>
  <c r="Q194" i="32"/>
  <c r="R194" i="32"/>
  <c r="A195" i="32"/>
  <c r="B195" i="32"/>
  <c r="C195" i="32"/>
  <c r="D195" i="32"/>
  <c r="E195" i="32"/>
  <c r="F195" i="32"/>
  <c r="I195" i="32"/>
  <c r="K195" i="32"/>
  <c r="L195" i="32"/>
  <c r="M195" i="32"/>
  <c r="P195" i="32"/>
  <c r="Q195" i="32"/>
  <c r="R195" i="32"/>
  <c r="A196" i="32"/>
  <c r="B196" i="32"/>
  <c r="C196" i="32"/>
  <c r="D196" i="32"/>
  <c r="E196" i="32"/>
  <c r="F196" i="32"/>
  <c r="I196" i="32"/>
  <c r="K196" i="32"/>
  <c r="L196" i="32"/>
  <c r="M196" i="32"/>
  <c r="P196" i="32"/>
  <c r="Q196" i="32"/>
  <c r="R196" i="32"/>
  <c r="A197" i="32"/>
  <c r="B197" i="32"/>
  <c r="C197" i="32"/>
  <c r="D197" i="32"/>
  <c r="E197" i="32"/>
  <c r="F197" i="32"/>
  <c r="I197" i="32"/>
  <c r="K197" i="32"/>
  <c r="L197" i="32"/>
  <c r="M197" i="32"/>
  <c r="P197" i="32"/>
  <c r="Q197" i="32"/>
  <c r="R197" i="32"/>
  <c r="A198" i="32"/>
  <c r="B198" i="32"/>
  <c r="C198" i="32"/>
  <c r="D198" i="32"/>
  <c r="E198" i="32"/>
  <c r="F198" i="32"/>
  <c r="I198" i="32"/>
  <c r="K198" i="32"/>
  <c r="L198" i="32"/>
  <c r="M198" i="32"/>
  <c r="P198" i="32"/>
  <c r="Q198" i="32"/>
  <c r="R198" i="32"/>
  <c r="A199" i="32"/>
  <c r="B199" i="32"/>
  <c r="C199" i="32"/>
  <c r="D199" i="32"/>
  <c r="E199" i="32"/>
  <c r="F199" i="32"/>
  <c r="I199" i="32"/>
  <c r="K199" i="32"/>
  <c r="L199" i="32"/>
  <c r="M199" i="32"/>
  <c r="P199" i="32"/>
  <c r="Q199" i="32"/>
  <c r="R199" i="32"/>
  <c r="A200" i="32"/>
  <c r="B200" i="32"/>
  <c r="C200" i="32"/>
  <c r="D200" i="32"/>
  <c r="E200" i="32"/>
  <c r="F200" i="32"/>
  <c r="I200" i="32"/>
  <c r="K200" i="32"/>
  <c r="L200" i="32"/>
  <c r="M200" i="32"/>
  <c r="P200" i="32"/>
  <c r="Q200" i="32"/>
  <c r="R200" i="32"/>
  <c r="A201" i="32"/>
  <c r="B201" i="32"/>
  <c r="C201" i="32"/>
  <c r="D201" i="32"/>
  <c r="E201" i="32"/>
  <c r="F201" i="32"/>
  <c r="I201" i="32"/>
  <c r="K201" i="32"/>
  <c r="L201" i="32"/>
  <c r="M201" i="32"/>
  <c r="P201" i="32"/>
  <c r="Q201" i="32"/>
  <c r="R201" i="32"/>
  <c r="A202" i="32"/>
  <c r="B202" i="32"/>
  <c r="C202" i="32"/>
  <c r="D202" i="32"/>
  <c r="E202" i="32"/>
  <c r="F202" i="32"/>
  <c r="I202" i="32"/>
  <c r="K202" i="32"/>
  <c r="L202" i="32"/>
  <c r="M202" i="32"/>
  <c r="P202" i="32"/>
  <c r="Q202" i="32"/>
  <c r="R202" i="32"/>
  <c r="A203" i="32"/>
  <c r="B203" i="32"/>
  <c r="C203" i="32"/>
  <c r="D203" i="32"/>
  <c r="E203" i="32"/>
  <c r="F203" i="32"/>
  <c r="I203" i="32"/>
  <c r="K203" i="32"/>
  <c r="L203" i="32"/>
  <c r="M203" i="32"/>
  <c r="P203" i="32"/>
  <c r="Q203" i="32"/>
  <c r="R203" i="32"/>
  <c r="A204" i="32"/>
  <c r="B204" i="32"/>
  <c r="C204" i="32"/>
  <c r="D204" i="32"/>
  <c r="E204" i="32"/>
  <c r="F204" i="32"/>
  <c r="I204" i="32"/>
  <c r="K204" i="32"/>
  <c r="L204" i="32"/>
  <c r="M204" i="32"/>
  <c r="P204" i="32"/>
  <c r="Q204" i="32"/>
  <c r="R204" i="32"/>
  <c r="A205" i="32"/>
  <c r="B205" i="32"/>
  <c r="C205" i="32"/>
  <c r="D205" i="32"/>
  <c r="E205" i="32"/>
  <c r="F205" i="32"/>
  <c r="I205" i="32"/>
  <c r="K205" i="32"/>
  <c r="L205" i="32"/>
  <c r="M205" i="32"/>
  <c r="P205" i="32"/>
  <c r="Q205" i="32"/>
  <c r="R205" i="32"/>
  <c r="A206" i="32"/>
  <c r="B206" i="32"/>
  <c r="C206" i="32"/>
  <c r="D206" i="32"/>
  <c r="E206" i="32"/>
  <c r="F206" i="32"/>
  <c r="I206" i="32"/>
  <c r="K206" i="32"/>
  <c r="L206" i="32"/>
  <c r="M206" i="32"/>
  <c r="P206" i="32"/>
  <c r="Q206" i="32"/>
  <c r="R206" i="32"/>
  <c r="A207" i="32"/>
  <c r="B207" i="32"/>
  <c r="C207" i="32"/>
  <c r="D207" i="32"/>
  <c r="E207" i="32"/>
  <c r="F207" i="32"/>
  <c r="I207" i="32"/>
  <c r="K207" i="32"/>
  <c r="L207" i="32"/>
  <c r="M207" i="32"/>
  <c r="P207" i="32"/>
  <c r="Q207" i="32"/>
  <c r="R207" i="32"/>
  <c r="A208" i="32"/>
  <c r="B208" i="32"/>
  <c r="C208" i="32"/>
  <c r="D208" i="32"/>
  <c r="E208" i="32"/>
  <c r="F208" i="32"/>
  <c r="I208" i="32"/>
  <c r="K208" i="32"/>
  <c r="L208" i="32"/>
  <c r="M208" i="32"/>
  <c r="P208" i="32"/>
  <c r="Q208" i="32"/>
  <c r="R208" i="32"/>
  <c r="A209" i="32"/>
  <c r="B209" i="32"/>
  <c r="C209" i="32"/>
  <c r="D209" i="32"/>
  <c r="E209" i="32"/>
  <c r="F209" i="32"/>
  <c r="I209" i="32"/>
  <c r="K209" i="32"/>
  <c r="L209" i="32"/>
  <c r="M209" i="32"/>
  <c r="P209" i="32"/>
  <c r="Q209" i="32"/>
  <c r="R209" i="32"/>
  <c r="A210" i="32"/>
  <c r="B210" i="32"/>
  <c r="C210" i="32"/>
  <c r="D210" i="32"/>
  <c r="E210" i="32"/>
  <c r="F210" i="32"/>
  <c r="I210" i="32"/>
  <c r="K210" i="32"/>
  <c r="L210" i="32"/>
  <c r="M210" i="32"/>
  <c r="P210" i="32"/>
  <c r="Q210" i="32"/>
  <c r="R210" i="32"/>
  <c r="A211" i="32"/>
  <c r="B211" i="32"/>
  <c r="C211" i="32"/>
  <c r="D211" i="32"/>
  <c r="E211" i="32"/>
  <c r="F211" i="32"/>
  <c r="I211" i="32"/>
  <c r="K211" i="32"/>
  <c r="L211" i="32"/>
  <c r="M211" i="32"/>
  <c r="P211" i="32"/>
  <c r="Q211" i="32"/>
  <c r="R211" i="32"/>
  <c r="A212" i="32"/>
  <c r="B212" i="32"/>
  <c r="C212" i="32"/>
  <c r="D212" i="32"/>
  <c r="E212" i="32"/>
  <c r="F212" i="32"/>
  <c r="I212" i="32"/>
  <c r="K212" i="32"/>
  <c r="L212" i="32"/>
  <c r="M212" i="32"/>
  <c r="P212" i="32"/>
  <c r="Q212" i="32"/>
  <c r="R212" i="32"/>
  <c r="A213" i="32"/>
  <c r="B213" i="32"/>
  <c r="C213" i="32"/>
  <c r="D213" i="32"/>
  <c r="E213" i="32"/>
  <c r="F213" i="32"/>
  <c r="I213" i="32"/>
  <c r="K213" i="32"/>
  <c r="L213" i="32"/>
  <c r="M213" i="32"/>
  <c r="P213" i="32"/>
  <c r="Q213" i="32"/>
  <c r="R213" i="32"/>
  <c r="A214" i="32"/>
  <c r="B214" i="32"/>
  <c r="C214" i="32"/>
  <c r="D214" i="32"/>
  <c r="E214" i="32"/>
  <c r="F214" i="32"/>
  <c r="I214" i="32"/>
  <c r="K214" i="32"/>
  <c r="L214" i="32"/>
  <c r="M214" i="32"/>
  <c r="P214" i="32"/>
  <c r="Q214" i="32"/>
  <c r="R214" i="32"/>
  <c r="A215" i="32"/>
  <c r="B215" i="32"/>
  <c r="C215" i="32"/>
  <c r="D215" i="32"/>
  <c r="E215" i="32"/>
  <c r="F215" i="32"/>
  <c r="I215" i="32"/>
  <c r="K215" i="32"/>
  <c r="L215" i="32"/>
  <c r="M215" i="32"/>
  <c r="P215" i="32"/>
  <c r="Q215" i="32"/>
  <c r="R215" i="32"/>
  <c r="A216" i="32"/>
  <c r="B216" i="32"/>
  <c r="C216" i="32"/>
  <c r="D216" i="32"/>
  <c r="E216" i="32"/>
  <c r="F216" i="32"/>
  <c r="I216" i="32"/>
  <c r="K216" i="32"/>
  <c r="L216" i="32"/>
  <c r="M216" i="32"/>
  <c r="P216" i="32"/>
  <c r="Q216" i="32"/>
  <c r="R216" i="32"/>
  <c r="A217" i="32"/>
  <c r="B217" i="32"/>
  <c r="C217" i="32"/>
  <c r="D217" i="32"/>
  <c r="E217" i="32"/>
  <c r="F217" i="32"/>
  <c r="I217" i="32"/>
  <c r="K217" i="32"/>
  <c r="L217" i="32"/>
  <c r="M217" i="32"/>
  <c r="P217" i="32"/>
  <c r="Q217" i="32"/>
  <c r="R217" i="32"/>
  <c r="A218" i="32"/>
  <c r="B218" i="32"/>
  <c r="C218" i="32"/>
  <c r="D218" i="32"/>
  <c r="E218" i="32"/>
  <c r="F218" i="32"/>
  <c r="I218" i="32"/>
  <c r="K218" i="32"/>
  <c r="L218" i="32"/>
  <c r="M218" i="32"/>
  <c r="P218" i="32"/>
  <c r="Q218" i="32"/>
  <c r="R218" i="32"/>
  <c r="A219" i="32"/>
  <c r="B219" i="32"/>
  <c r="C219" i="32"/>
  <c r="D219" i="32"/>
  <c r="E219" i="32"/>
  <c r="F219" i="32"/>
  <c r="I219" i="32"/>
  <c r="K219" i="32"/>
  <c r="L219" i="32"/>
  <c r="M219" i="32"/>
  <c r="P219" i="32"/>
  <c r="Q219" i="32"/>
  <c r="R219" i="32"/>
  <c r="A220" i="32"/>
  <c r="B220" i="32"/>
  <c r="C220" i="32"/>
  <c r="D220" i="32"/>
  <c r="E220" i="32"/>
  <c r="F220" i="32"/>
  <c r="I220" i="32"/>
  <c r="K220" i="32"/>
  <c r="L220" i="32"/>
  <c r="M220" i="32"/>
  <c r="P220" i="32"/>
  <c r="Q220" i="32"/>
  <c r="R220" i="32"/>
  <c r="A221" i="32"/>
  <c r="B221" i="32"/>
  <c r="C221" i="32"/>
  <c r="D221" i="32"/>
  <c r="E221" i="32"/>
  <c r="F221" i="32"/>
  <c r="I221" i="32"/>
  <c r="K221" i="32"/>
  <c r="L221" i="32"/>
  <c r="M221" i="32"/>
  <c r="P221" i="32"/>
  <c r="Q221" i="32"/>
  <c r="R221" i="32"/>
  <c r="A222" i="32"/>
  <c r="B222" i="32"/>
  <c r="C222" i="32"/>
  <c r="D222" i="32"/>
  <c r="E222" i="32"/>
  <c r="F222" i="32"/>
  <c r="I222" i="32"/>
  <c r="K222" i="32"/>
  <c r="L222" i="32"/>
  <c r="M222" i="32"/>
  <c r="P222" i="32"/>
  <c r="Q222" i="32"/>
  <c r="R222" i="32"/>
  <c r="A223" i="32"/>
  <c r="B223" i="32"/>
  <c r="C223" i="32"/>
  <c r="D223" i="32"/>
  <c r="E223" i="32"/>
  <c r="F223" i="32"/>
  <c r="I223" i="32"/>
  <c r="K223" i="32"/>
  <c r="L223" i="32"/>
  <c r="M223" i="32"/>
  <c r="P223" i="32"/>
  <c r="Q223" i="32"/>
  <c r="R223" i="32"/>
  <c r="A224" i="32"/>
  <c r="B224" i="32"/>
  <c r="C224" i="32"/>
  <c r="D224" i="32"/>
  <c r="E224" i="32"/>
  <c r="F224" i="32"/>
  <c r="I224" i="32"/>
  <c r="K224" i="32"/>
  <c r="L224" i="32"/>
  <c r="M224" i="32"/>
  <c r="P224" i="32"/>
  <c r="Q224" i="32"/>
  <c r="R224" i="32"/>
  <c r="A225" i="32"/>
  <c r="B225" i="32"/>
  <c r="C225" i="32"/>
  <c r="D225" i="32"/>
  <c r="E225" i="32"/>
  <c r="F225" i="32"/>
  <c r="I225" i="32"/>
  <c r="K225" i="32"/>
  <c r="L225" i="32"/>
  <c r="M225" i="32"/>
  <c r="P225" i="32"/>
  <c r="Q225" i="32"/>
  <c r="R225" i="32"/>
  <c r="A226" i="32"/>
  <c r="B226" i="32"/>
  <c r="C226" i="32"/>
  <c r="D226" i="32"/>
  <c r="E226" i="32"/>
  <c r="F226" i="32"/>
  <c r="I226" i="32"/>
  <c r="K226" i="32"/>
  <c r="L226" i="32"/>
  <c r="M226" i="32"/>
  <c r="P226" i="32"/>
  <c r="Q226" i="32"/>
  <c r="R226" i="32"/>
  <c r="A227" i="32"/>
  <c r="B227" i="32"/>
  <c r="C227" i="32"/>
  <c r="D227" i="32"/>
  <c r="E227" i="32"/>
  <c r="F227" i="32"/>
  <c r="I227" i="32"/>
  <c r="K227" i="32"/>
  <c r="L227" i="32"/>
  <c r="M227" i="32"/>
  <c r="P227" i="32"/>
  <c r="Q227" i="32"/>
  <c r="R227" i="32"/>
  <c r="A228" i="32"/>
  <c r="B228" i="32"/>
  <c r="C228" i="32"/>
  <c r="D228" i="32"/>
  <c r="E228" i="32"/>
  <c r="F228" i="32"/>
  <c r="I228" i="32"/>
  <c r="K228" i="32"/>
  <c r="L228" i="32"/>
  <c r="M228" i="32"/>
  <c r="P228" i="32"/>
  <c r="Q228" i="32"/>
  <c r="R228" i="32"/>
  <c r="A229" i="32"/>
  <c r="B229" i="32"/>
  <c r="C229" i="32"/>
  <c r="D229" i="32"/>
  <c r="E229" i="32"/>
  <c r="F229" i="32"/>
  <c r="I229" i="32"/>
  <c r="K229" i="32"/>
  <c r="L229" i="32"/>
  <c r="M229" i="32"/>
  <c r="P229" i="32"/>
  <c r="Q229" i="32"/>
  <c r="R229" i="32"/>
  <c r="A230" i="32"/>
  <c r="B230" i="32"/>
  <c r="C230" i="32"/>
  <c r="D230" i="32"/>
  <c r="E230" i="32"/>
  <c r="F230" i="32"/>
  <c r="I230" i="32"/>
  <c r="K230" i="32"/>
  <c r="L230" i="32"/>
  <c r="M230" i="32"/>
  <c r="P230" i="32"/>
  <c r="Q230" i="32"/>
  <c r="R230" i="32"/>
  <c r="A231" i="32"/>
  <c r="B231" i="32"/>
  <c r="C231" i="32"/>
  <c r="D231" i="32"/>
  <c r="E231" i="32"/>
  <c r="F231" i="32"/>
  <c r="I231" i="32"/>
  <c r="K231" i="32"/>
  <c r="L231" i="32"/>
  <c r="M231" i="32"/>
  <c r="P231" i="32"/>
  <c r="Q231" i="32"/>
  <c r="R231" i="32"/>
  <c r="A232" i="32"/>
  <c r="B232" i="32"/>
  <c r="C232" i="32"/>
  <c r="D232" i="32"/>
  <c r="E232" i="32"/>
  <c r="F232" i="32"/>
  <c r="I232" i="32"/>
  <c r="K232" i="32"/>
  <c r="L232" i="32"/>
  <c r="M232" i="32"/>
  <c r="P232" i="32"/>
  <c r="Q232" i="32"/>
  <c r="R232" i="32"/>
  <c r="A233" i="32"/>
  <c r="B233" i="32"/>
  <c r="C233" i="32"/>
  <c r="D233" i="32"/>
  <c r="E233" i="32"/>
  <c r="F233" i="32"/>
  <c r="I233" i="32"/>
  <c r="K233" i="32"/>
  <c r="L233" i="32"/>
  <c r="M233" i="32"/>
  <c r="P233" i="32"/>
  <c r="Q233" i="32"/>
  <c r="R233" i="32"/>
  <c r="A234" i="32"/>
  <c r="B234" i="32"/>
  <c r="C234" i="32"/>
  <c r="D234" i="32"/>
  <c r="E234" i="32"/>
  <c r="F234" i="32"/>
  <c r="I234" i="32"/>
  <c r="K234" i="32"/>
  <c r="L234" i="32"/>
  <c r="M234" i="32"/>
  <c r="P234" i="32"/>
  <c r="Q234" i="32"/>
  <c r="R234" i="32"/>
  <c r="A235" i="32"/>
  <c r="B235" i="32"/>
  <c r="C235" i="32"/>
  <c r="D235" i="32"/>
  <c r="E235" i="32"/>
  <c r="F235" i="32"/>
  <c r="I235" i="32"/>
  <c r="K235" i="32"/>
  <c r="L235" i="32"/>
  <c r="M235" i="32"/>
  <c r="P235" i="32"/>
  <c r="Q235" i="32"/>
  <c r="R235" i="32"/>
  <c r="A236" i="32"/>
  <c r="B236" i="32"/>
  <c r="C236" i="32"/>
  <c r="D236" i="32"/>
  <c r="E236" i="32"/>
  <c r="F236" i="32"/>
  <c r="I236" i="32"/>
  <c r="K236" i="32"/>
  <c r="L236" i="32"/>
  <c r="M236" i="32"/>
  <c r="P236" i="32"/>
  <c r="Q236" i="32"/>
  <c r="R236" i="32"/>
  <c r="A237" i="32"/>
  <c r="B237" i="32"/>
  <c r="C237" i="32"/>
  <c r="D237" i="32"/>
  <c r="E237" i="32"/>
  <c r="F237" i="32"/>
  <c r="I237" i="32"/>
  <c r="K237" i="32"/>
  <c r="L237" i="32"/>
  <c r="M237" i="32"/>
  <c r="P237" i="32"/>
  <c r="Q237" i="32"/>
  <c r="R237" i="32"/>
  <c r="A238" i="32"/>
  <c r="B238" i="32"/>
  <c r="C238" i="32"/>
  <c r="D238" i="32"/>
  <c r="E238" i="32"/>
  <c r="F238" i="32"/>
  <c r="I238" i="32"/>
  <c r="K238" i="32"/>
  <c r="L238" i="32"/>
  <c r="M238" i="32"/>
  <c r="P238" i="32"/>
  <c r="Q238" i="32"/>
  <c r="R238" i="32"/>
  <c r="A239" i="32"/>
  <c r="B239" i="32"/>
  <c r="C239" i="32"/>
  <c r="D239" i="32"/>
  <c r="E239" i="32"/>
  <c r="F239" i="32"/>
  <c r="I239" i="32"/>
  <c r="K239" i="32"/>
  <c r="L239" i="32"/>
  <c r="M239" i="32"/>
  <c r="P239" i="32"/>
  <c r="Q239" i="32"/>
  <c r="R239" i="32"/>
  <c r="A240" i="32"/>
  <c r="B240" i="32"/>
  <c r="C240" i="32"/>
  <c r="D240" i="32"/>
  <c r="E240" i="32"/>
  <c r="F240" i="32"/>
  <c r="I240" i="32"/>
  <c r="K240" i="32"/>
  <c r="L240" i="32"/>
  <c r="M240" i="32"/>
  <c r="P240" i="32"/>
  <c r="Q240" i="32"/>
  <c r="R240" i="32"/>
  <c r="A241" i="32"/>
  <c r="B241" i="32"/>
  <c r="C241" i="32"/>
  <c r="D241" i="32"/>
  <c r="E241" i="32"/>
  <c r="F241" i="32"/>
  <c r="I241" i="32"/>
  <c r="K241" i="32"/>
  <c r="L241" i="32"/>
  <c r="M241" i="32"/>
  <c r="P241" i="32"/>
  <c r="Q241" i="32"/>
  <c r="R241" i="32"/>
  <c r="A242" i="32"/>
  <c r="B242" i="32"/>
  <c r="C242" i="32"/>
  <c r="D242" i="32"/>
  <c r="E242" i="32"/>
  <c r="F242" i="32"/>
  <c r="I242" i="32"/>
  <c r="K242" i="32"/>
  <c r="L242" i="32"/>
  <c r="M242" i="32"/>
  <c r="P242" i="32"/>
  <c r="Q242" i="32"/>
  <c r="R242" i="32"/>
  <c r="A243" i="32"/>
  <c r="B243" i="32"/>
  <c r="C243" i="32"/>
  <c r="D243" i="32"/>
  <c r="E243" i="32"/>
  <c r="F243" i="32"/>
  <c r="I243" i="32"/>
  <c r="K243" i="32"/>
  <c r="L243" i="32"/>
  <c r="M243" i="32"/>
  <c r="P243" i="32"/>
  <c r="Q243" i="32"/>
  <c r="R243" i="32"/>
  <c r="A244" i="32"/>
  <c r="B244" i="32"/>
  <c r="C244" i="32"/>
  <c r="D244" i="32"/>
  <c r="E244" i="32"/>
  <c r="F244" i="32"/>
  <c r="I244" i="32"/>
  <c r="K244" i="32"/>
  <c r="L244" i="32"/>
  <c r="M244" i="32"/>
  <c r="P244" i="32"/>
  <c r="Q244" i="32"/>
  <c r="R244" i="32"/>
  <c r="A245" i="32"/>
  <c r="B245" i="32"/>
  <c r="C245" i="32"/>
  <c r="D245" i="32"/>
  <c r="E245" i="32"/>
  <c r="F245" i="32"/>
  <c r="I245" i="32"/>
  <c r="K245" i="32"/>
  <c r="L245" i="32"/>
  <c r="M245" i="32"/>
  <c r="P245" i="32"/>
  <c r="Q245" i="32"/>
  <c r="R245" i="32"/>
  <c r="A246" i="32"/>
  <c r="B246" i="32"/>
  <c r="C246" i="32"/>
  <c r="D246" i="32"/>
  <c r="E246" i="32"/>
  <c r="F246" i="32"/>
  <c r="I246" i="32"/>
  <c r="K246" i="32"/>
  <c r="L246" i="32"/>
  <c r="M246" i="32"/>
  <c r="P246" i="32"/>
  <c r="Q246" i="32"/>
  <c r="R246" i="32"/>
  <c r="A247" i="32"/>
  <c r="B247" i="32"/>
  <c r="C247" i="32"/>
  <c r="D247" i="32"/>
  <c r="E247" i="32"/>
  <c r="F247" i="32"/>
  <c r="I247" i="32"/>
  <c r="K247" i="32"/>
  <c r="L247" i="32"/>
  <c r="M247" i="32"/>
  <c r="P247" i="32"/>
  <c r="Q247" i="32"/>
  <c r="R247" i="32"/>
  <c r="A248" i="32"/>
  <c r="B248" i="32"/>
  <c r="C248" i="32"/>
  <c r="D248" i="32"/>
  <c r="E248" i="32"/>
  <c r="F248" i="32"/>
  <c r="I248" i="32"/>
  <c r="K248" i="32"/>
  <c r="L248" i="32"/>
  <c r="M248" i="32"/>
  <c r="P248" i="32"/>
  <c r="Q248" i="32"/>
  <c r="R248" i="32"/>
  <c r="A249" i="32"/>
  <c r="B249" i="32"/>
  <c r="C249" i="32"/>
  <c r="D249" i="32"/>
  <c r="E249" i="32"/>
  <c r="F249" i="32"/>
  <c r="I249" i="32"/>
  <c r="K249" i="32"/>
  <c r="L249" i="32"/>
  <c r="M249" i="32"/>
  <c r="P249" i="32"/>
  <c r="Q249" i="32"/>
  <c r="R249" i="32"/>
  <c r="A250" i="32"/>
  <c r="B250" i="32"/>
  <c r="C250" i="32"/>
  <c r="D250" i="32"/>
  <c r="E250" i="32"/>
  <c r="F250" i="32"/>
  <c r="I250" i="32"/>
  <c r="K250" i="32"/>
  <c r="L250" i="32"/>
  <c r="M250" i="32"/>
  <c r="P250" i="32"/>
  <c r="Q250" i="32"/>
  <c r="R250" i="32"/>
  <c r="A251" i="32"/>
  <c r="B251" i="32"/>
  <c r="C251" i="32"/>
  <c r="D251" i="32"/>
  <c r="E251" i="32"/>
  <c r="F251" i="32"/>
  <c r="I251" i="32"/>
  <c r="K251" i="32"/>
  <c r="L251" i="32"/>
  <c r="M251" i="32"/>
  <c r="P251" i="32"/>
  <c r="Q251" i="32"/>
  <c r="R251" i="32"/>
  <c r="A252" i="32"/>
  <c r="B252" i="32"/>
  <c r="C252" i="32"/>
  <c r="D252" i="32"/>
  <c r="E252" i="32"/>
  <c r="F252" i="32"/>
  <c r="I252" i="32"/>
  <c r="K252" i="32"/>
  <c r="L252" i="32"/>
  <c r="M252" i="32"/>
  <c r="P252" i="32"/>
  <c r="Q252" i="32"/>
  <c r="R252" i="32"/>
  <c r="A253" i="32"/>
  <c r="B253" i="32"/>
  <c r="C253" i="32"/>
  <c r="D253" i="32"/>
  <c r="E253" i="32"/>
  <c r="F253" i="32"/>
  <c r="I253" i="32"/>
  <c r="K253" i="32"/>
  <c r="L253" i="32"/>
  <c r="M253" i="32"/>
  <c r="P253" i="32"/>
  <c r="Q253" i="32"/>
  <c r="R253" i="32"/>
  <c r="A254" i="32"/>
  <c r="B254" i="32"/>
  <c r="C254" i="32"/>
  <c r="D254" i="32"/>
  <c r="E254" i="32"/>
  <c r="F254" i="32"/>
  <c r="I254" i="32"/>
  <c r="K254" i="32"/>
  <c r="L254" i="32"/>
  <c r="M254" i="32"/>
  <c r="P254" i="32"/>
  <c r="Q254" i="32"/>
  <c r="R254" i="32"/>
  <c r="A255" i="32"/>
  <c r="B255" i="32"/>
  <c r="C255" i="32"/>
  <c r="D255" i="32"/>
  <c r="E255" i="32"/>
  <c r="F255" i="32"/>
  <c r="I255" i="32"/>
  <c r="K255" i="32"/>
  <c r="L255" i="32"/>
  <c r="M255" i="32"/>
  <c r="P255" i="32"/>
  <c r="Q255" i="32"/>
  <c r="R255" i="32"/>
  <c r="A256" i="32"/>
  <c r="B256" i="32"/>
  <c r="C256" i="32"/>
  <c r="D256" i="32"/>
  <c r="E256" i="32"/>
  <c r="F256" i="32"/>
  <c r="I256" i="32"/>
  <c r="K256" i="32"/>
  <c r="L256" i="32"/>
  <c r="M256" i="32"/>
  <c r="P256" i="32"/>
  <c r="Q256" i="32"/>
  <c r="R256" i="32"/>
  <c r="A257" i="32"/>
  <c r="B257" i="32"/>
  <c r="C257" i="32"/>
  <c r="D257" i="32"/>
  <c r="E257" i="32"/>
  <c r="F257" i="32"/>
  <c r="I257" i="32"/>
  <c r="K257" i="32"/>
  <c r="L257" i="32"/>
  <c r="M257" i="32"/>
  <c r="P257" i="32"/>
  <c r="Q257" i="32"/>
  <c r="R257" i="32"/>
  <c r="A258" i="32"/>
  <c r="B258" i="32"/>
  <c r="C258" i="32"/>
  <c r="D258" i="32"/>
  <c r="E258" i="32"/>
  <c r="F258" i="32"/>
  <c r="I258" i="32"/>
  <c r="K258" i="32"/>
  <c r="L258" i="32"/>
  <c r="M258" i="32"/>
  <c r="P258" i="32"/>
  <c r="Q258" i="32"/>
  <c r="R258" i="32"/>
  <c r="A259" i="32"/>
  <c r="B259" i="32"/>
  <c r="C259" i="32"/>
  <c r="D259" i="32"/>
  <c r="E259" i="32"/>
  <c r="F259" i="32"/>
  <c r="I259" i="32"/>
  <c r="K259" i="32"/>
  <c r="L259" i="32"/>
  <c r="M259" i="32"/>
  <c r="P259" i="32"/>
  <c r="Q259" i="32"/>
  <c r="R259" i="32"/>
  <c r="A260" i="32"/>
  <c r="B260" i="32"/>
  <c r="C260" i="32"/>
  <c r="D260" i="32"/>
  <c r="E260" i="32"/>
  <c r="F260" i="32"/>
  <c r="I260" i="32"/>
  <c r="K260" i="32"/>
  <c r="L260" i="32"/>
  <c r="M260" i="32"/>
  <c r="P260" i="32"/>
  <c r="Q260" i="32"/>
  <c r="R260" i="32"/>
  <c r="A261" i="32"/>
  <c r="B261" i="32"/>
  <c r="C261" i="32"/>
  <c r="D261" i="32"/>
  <c r="E261" i="32"/>
  <c r="F261" i="32"/>
  <c r="I261" i="32"/>
  <c r="K261" i="32"/>
  <c r="L261" i="32"/>
  <c r="M261" i="32"/>
  <c r="P261" i="32"/>
  <c r="Q261" i="32"/>
  <c r="R261" i="32"/>
  <c r="A262" i="32"/>
  <c r="B262" i="32"/>
  <c r="C262" i="32"/>
  <c r="D262" i="32"/>
  <c r="E262" i="32"/>
  <c r="F262" i="32"/>
  <c r="I262" i="32"/>
  <c r="K262" i="32"/>
  <c r="L262" i="32"/>
  <c r="M262" i="32"/>
  <c r="P262" i="32"/>
  <c r="Q262" i="32"/>
  <c r="R262" i="32"/>
  <c r="A263" i="32"/>
  <c r="B263" i="32"/>
  <c r="C263" i="32"/>
  <c r="D263" i="32"/>
  <c r="E263" i="32"/>
  <c r="F263" i="32"/>
  <c r="I263" i="32"/>
  <c r="K263" i="32"/>
  <c r="L263" i="32"/>
  <c r="M263" i="32"/>
  <c r="P263" i="32"/>
  <c r="Q263" i="32"/>
  <c r="R263" i="32"/>
  <c r="A264" i="32"/>
  <c r="B264" i="32"/>
  <c r="C264" i="32"/>
  <c r="D264" i="32"/>
  <c r="E264" i="32"/>
  <c r="F264" i="32"/>
  <c r="I264" i="32"/>
  <c r="K264" i="32"/>
  <c r="L264" i="32"/>
  <c r="M264" i="32"/>
  <c r="P264" i="32"/>
  <c r="Q264" i="32"/>
  <c r="R264" i="32"/>
  <c r="A265" i="32"/>
  <c r="B265" i="32"/>
  <c r="C265" i="32"/>
  <c r="D265" i="32"/>
  <c r="E265" i="32"/>
  <c r="F265" i="32"/>
  <c r="I265" i="32"/>
  <c r="K265" i="32"/>
  <c r="L265" i="32"/>
  <c r="M265" i="32"/>
  <c r="P265" i="32"/>
  <c r="Q265" i="32"/>
  <c r="R265" i="32"/>
  <c r="A266" i="32"/>
  <c r="B266" i="32"/>
  <c r="C266" i="32"/>
  <c r="D266" i="32"/>
  <c r="E266" i="32"/>
  <c r="F266" i="32"/>
  <c r="I266" i="32"/>
  <c r="K266" i="32"/>
  <c r="L266" i="32"/>
  <c r="M266" i="32"/>
  <c r="P266" i="32"/>
  <c r="Q266" i="32"/>
  <c r="R266" i="32"/>
  <c r="A267" i="32"/>
  <c r="B267" i="32"/>
  <c r="C267" i="32"/>
  <c r="D267" i="32"/>
  <c r="E267" i="32"/>
  <c r="F267" i="32"/>
  <c r="I267" i="32"/>
  <c r="K267" i="32"/>
  <c r="L267" i="32"/>
  <c r="M267" i="32"/>
  <c r="P267" i="32"/>
  <c r="Q267" i="32"/>
  <c r="R267" i="32"/>
  <c r="A268" i="32"/>
  <c r="B268" i="32"/>
  <c r="C268" i="32"/>
  <c r="D268" i="32"/>
  <c r="E268" i="32"/>
  <c r="F268" i="32"/>
  <c r="I268" i="32"/>
  <c r="K268" i="32"/>
  <c r="L268" i="32"/>
  <c r="M268" i="32"/>
  <c r="P268" i="32"/>
  <c r="Q268" i="32"/>
  <c r="R268" i="32"/>
  <c r="A269" i="32"/>
  <c r="B269" i="32"/>
  <c r="C269" i="32"/>
  <c r="D269" i="32"/>
  <c r="E269" i="32"/>
  <c r="F269" i="32"/>
  <c r="I269" i="32"/>
  <c r="K269" i="32"/>
  <c r="L269" i="32"/>
  <c r="M269" i="32"/>
  <c r="P269" i="32"/>
  <c r="Q269" i="32"/>
  <c r="R269" i="32"/>
  <c r="A270" i="32"/>
  <c r="B270" i="32"/>
  <c r="C270" i="32"/>
  <c r="D270" i="32"/>
  <c r="E270" i="32"/>
  <c r="F270" i="32"/>
  <c r="I270" i="32"/>
  <c r="K270" i="32"/>
  <c r="L270" i="32"/>
  <c r="M270" i="32"/>
  <c r="P270" i="32"/>
  <c r="Q270" i="32"/>
  <c r="R270" i="32"/>
  <c r="A271" i="32"/>
  <c r="B271" i="32"/>
  <c r="C271" i="32"/>
  <c r="D271" i="32"/>
  <c r="E271" i="32"/>
  <c r="F271" i="32"/>
  <c r="I271" i="32"/>
  <c r="K271" i="32"/>
  <c r="L271" i="32"/>
  <c r="M271" i="32"/>
  <c r="P271" i="32"/>
  <c r="Q271" i="32"/>
  <c r="R271" i="32"/>
  <c r="A272" i="32"/>
  <c r="B272" i="32"/>
  <c r="C272" i="32"/>
  <c r="D272" i="32"/>
  <c r="E272" i="32"/>
  <c r="F272" i="32"/>
  <c r="I272" i="32"/>
  <c r="K272" i="32"/>
  <c r="L272" i="32"/>
  <c r="M272" i="32"/>
  <c r="P272" i="32"/>
  <c r="Q272" i="32"/>
  <c r="R272" i="32"/>
  <c r="A273" i="32"/>
  <c r="B273" i="32"/>
  <c r="C273" i="32"/>
  <c r="D273" i="32"/>
  <c r="E273" i="32"/>
  <c r="F273" i="32"/>
  <c r="I273" i="32"/>
  <c r="K273" i="32"/>
  <c r="L273" i="32"/>
  <c r="M273" i="32"/>
  <c r="P273" i="32"/>
  <c r="Q273" i="32"/>
  <c r="R273" i="32"/>
  <c r="A274" i="32"/>
  <c r="B274" i="32"/>
  <c r="C274" i="32"/>
  <c r="D274" i="32"/>
  <c r="E274" i="32"/>
  <c r="F274" i="32"/>
  <c r="I274" i="32"/>
  <c r="K274" i="32"/>
  <c r="L274" i="32"/>
  <c r="M274" i="32"/>
  <c r="P274" i="32"/>
  <c r="Q274" i="32"/>
  <c r="R274" i="32"/>
  <c r="A275" i="32"/>
  <c r="B275" i="32"/>
  <c r="C275" i="32"/>
  <c r="D275" i="32"/>
  <c r="E275" i="32"/>
  <c r="F275" i="32"/>
  <c r="I275" i="32"/>
  <c r="K275" i="32"/>
  <c r="L275" i="32"/>
  <c r="M275" i="32"/>
  <c r="P275" i="32"/>
  <c r="Q275" i="32"/>
  <c r="R275" i="32"/>
  <c r="A276" i="32"/>
  <c r="B276" i="32"/>
  <c r="C276" i="32"/>
  <c r="D276" i="32"/>
  <c r="E276" i="32"/>
  <c r="F276" i="32"/>
  <c r="I276" i="32"/>
  <c r="K276" i="32"/>
  <c r="L276" i="32"/>
  <c r="M276" i="32"/>
  <c r="P276" i="32"/>
  <c r="Q276" i="32"/>
  <c r="R276" i="32"/>
  <c r="A277" i="32"/>
  <c r="B277" i="32"/>
  <c r="C277" i="32"/>
  <c r="D277" i="32"/>
  <c r="E277" i="32"/>
  <c r="F277" i="32"/>
  <c r="I277" i="32"/>
  <c r="K277" i="32"/>
  <c r="L277" i="32"/>
  <c r="M277" i="32"/>
  <c r="P277" i="32"/>
  <c r="Q277" i="32"/>
  <c r="R277" i="32"/>
  <c r="A278" i="32"/>
  <c r="B278" i="32"/>
  <c r="C278" i="32"/>
  <c r="D278" i="32"/>
  <c r="E278" i="32"/>
  <c r="F278" i="32"/>
  <c r="I278" i="32"/>
  <c r="K278" i="32"/>
  <c r="L278" i="32"/>
  <c r="M278" i="32"/>
  <c r="P278" i="32"/>
  <c r="Q278" i="32"/>
  <c r="R278" i="32"/>
  <c r="A279" i="32"/>
  <c r="B279" i="32"/>
  <c r="C279" i="32"/>
  <c r="D279" i="32"/>
  <c r="E279" i="32"/>
  <c r="F279" i="32"/>
  <c r="I279" i="32"/>
  <c r="K279" i="32"/>
  <c r="L279" i="32"/>
  <c r="M279" i="32"/>
  <c r="P279" i="32"/>
  <c r="Q279" i="32"/>
  <c r="R279" i="32"/>
  <c r="A280" i="32"/>
  <c r="B280" i="32"/>
  <c r="C280" i="32"/>
  <c r="D280" i="32"/>
  <c r="E280" i="32"/>
  <c r="F280" i="32"/>
  <c r="I280" i="32"/>
  <c r="K280" i="32"/>
  <c r="L280" i="32"/>
  <c r="M280" i="32"/>
  <c r="P280" i="32"/>
  <c r="Q280" i="32"/>
  <c r="R280" i="32"/>
  <c r="A281" i="32"/>
  <c r="B281" i="32"/>
  <c r="C281" i="32"/>
  <c r="D281" i="32"/>
  <c r="E281" i="32"/>
  <c r="F281" i="32"/>
  <c r="I281" i="32"/>
  <c r="K281" i="32"/>
  <c r="L281" i="32"/>
  <c r="M281" i="32"/>
  <c r="P281" i="32"/>
  <c r="Q281" i="32"/>
  <c r="R281" i="32"/>
  <c r="A282" i="32"/>
  <c r="B282" i="32"/>
  <c r="C282" i="32"/>
  <c r="D282" i="32"/>
  <c r="E282" i="32"/>
  <c r="F282" i="32"/>
  <c r="I282" i="32"/>
  <c r="K282" i="32"/>
  <c r="L282" i="32"/>
  <c r="M282" i="32"/>
  <c r="P282" i="32"/>
  <c r="Q282" i="32"/>
  <c r="R282" i="32"/>
  <c r="A283" i="32"/>
  <c r="B283" i="32"/>
  <c r="C283" i="32"/>
  <c r="D283" i="32"/>
  <c r="E283" i="32"/>
  <c r="F283" i="32"/>
  <c r="I283" i="32"/>
  <c r="K283" i="32"/>
  <c r="L283" i="32"/>
  <c r="M283" i="32"/>
  <c r="P283" i="32"/>
  <c r="Q283" i="32"/>
  <c r="R283" i="32"/>
  <c r="A284" i="32"/>
  <c r="B284" i="32"/>
  <c r="C284" i="32"/>
  <c r="D284" i="32"/>
  <c r="E284" i="32"/>
  <c r="F284" i="32"/>
  <c r="I284" i="32"/>
  <c r="K284" i="32"/>
  <c r="L284" i="32"/>
  <c r="M284" i="32"/>
  <c r="P284" i="32"/>
  <c r="Q284" i="32"/>
  <c r="R284" i="32"/>
  <c r="A285" i="32"/>
  <c r="B285" i="32"/>
  <c r="C285" i="32"/>
  <c r="D285" i="32"/>
  <c r="E285" i="32"/>
  <c r="F285" i="32"/>
  <c r="I285" i="32"/>
  <c r="K285" i="32"/>
  <c r="L285" i="32"/>
  <c r="M285" i="32"/>
  <c r="P285" i="32"/>
  <c r="Q285" i="32"/>
  <c r="R285" i="32"/>
  <c r="A286" i="32"/>
  <c r="B286" i="32"/>
  <c r="C286" i="32"/>
  <c r="D286" i="32"/>
  <c r="E286" i="32"/>
  <c r="F286" i="32"/>
  <c r="I286" i="32"/>
  <c r="K286" i="32"/>
  <c r="L286" i="32"/>
  <c r="M286" i="32"/>
  <c r="P286" i="32"/>
  <c r="Q286" i="32"/>
  <c r="R286" i="32"/>
  <c r="A287" i="32"/>
  <c r="B287" i="32"/>
  <c r="C287" i="32"/>
  <c r="D287" i="32"/>
  <c r="E287" i="32"/>
  <c r="F287" i="32"/>
  <c r="I287" i="32"/>
  <c r="K287" i="32"/>
  <c r="L287" i="32"/>
  <c r="M287" i="32"/>
  <c r="P287" i="32"/>
  <c r="Q287" i="32"/>
  <c r="R287" i="32"/>
  <c r="A288" i="32"/>
  <c r="B288" i="32"/>
  <c r="C288" i="32"/>
  <c r="D288" i="32"/>
  <c r="E288" i="32"/>
  <c r="F288" i="32"/>
  <c r="I288" i="32"/>
  <c r="K288" i="32"/>
  <c r="L288" i="32"/>
  <c r="M288" i="32"/>
  <c r="P288" i="32"/>
  <c r="Q288" i="32"/>
  <c r="R288" i="32"/>
  <c r="A289" i="32"/>
  <c r="B289" i="32"/>
  <c r="C289" i="32"/>
  <c r="D289" i="32"/>
  <c r="E289" i="32"/>
  <c r="F289" i="32"/>
  <c r="I289" i="32"/>
  <c r="K289" i="32"/>
  <c r="L289" i="32"/>
  <c r="M289" i="32"/>
  <c r="P289" i="32"/>
  <c r="Q289" i="32"/>
  <c r="R289" i="32"/>
  <c r="A290" i="32"/>
  <c r="B290" i="32"/>
  <c r="C290" i="32"/>
  <c r="D290" i="32"/>
  <c r="E290" i="32"/>
  <c r="F290" i="32"/>
  <c r="I290" i="32"/>
  <c r="K290" i="32"/>
  <c r="L290" i="32"/>
  <c r="M290" i="32"/>
  <c r="P290" i="32"/>
  <c r="Q290" i="32"/>
  <c r="R290" i="32"/>
  <c r="A291" i="32"/>
  <c r="B291" i="32"/>
  <c r="C291" i="32"/>
  <c r="D291" i="32"/>
  <c r="E291" i="32"/>
  <c r="F291" i="32"/>
  <c r="I291" i="32"/>
  <c r="K291" i="32"/>
  <c r="L291" i="32"/>
  <c r="M291" i="32"/>
  <c r="P291" i="32"/>
  <c r="Q291" i="32"/>
  <c r="R291" i="32"/>
  <c r="A292" i="32"/>
  <c r="B292" i="32"/>
  <c r="C292" i="32"/>
  <c r="D292" i="32"/>
  <c r="E292" i="32"/>
  <c r="F292" i="32"/>
  <c r="I292" i="32"/>
  <c r="K292" i="32"/>
  <c r="L292" i="32"/>
  <c r="M292" i="32"/>
  <c r="P292" i="32"/>
  <c r="Q292" i="32"/>
  <c r="R292" i="32"/>
  <c r="A293" i="32"/>
  <c r="B293" i="32"/>
  <c r="C293" i="32"/>
  <c r="D293" i="32"/>
  <c r="E293" i="32"/>
  <c r="F293" i="32"/>
  <c r="I293" i="32"/>
  <c r="K293" i="32"/>
  <c r="L293" i="32"/>
  <c r="M293" i="32"/>
  <c r="P293" i="32"/>
  <c r="Q293" i="32"/>
  <c r="R293" i="32"/>
  <c r="A294" i="32"/>
  <c r="B294" i="32"/>
  <c r="C294" i="32"/>
  <c r="D294" i="32"/>
  <c r="E294" i="32"/>
  <c r="F294" i="32"/>
  <c r="I294" i="32"/>
  <c r="K294" i="32"/>
  <c r="L294" i="32"/>
  <c r="M294" i="32"/>
  <c r="P294" i="32"/>
  <c r="Q294" i="32"/>
  <c r="R294" i="32"/>
  <c r="A295" i="32"/>
  <c r="B295" i="32"/>
  <c r="C295" i="32"/>
  <c r="D295" i="32"/>
  <c r="E295" i="32"/>
  <c r="F295" i="32"/>
  <c r="I295" i="32"/>
  <c r="K295" i="32"/>
  <c r="L295" i="32"/>
  <c r="M295" i="32"/>
  <c r="P295" i="32"/>
  <c r="Q295" i="32"/>
  <c r="R295" i="32"/>
  <c r="A296" i="32"/>
  <c r="B296" i="32"/>
  <c r="C296" i="32"/>
  <c r="D296" i="32"/>
  <c r="E296" i="32"/>
  <c r="F296" i="32"/>
  <c r="I296" i="32"/>
  <c r="K296" i="32"/>
  <c r="L296" i="32"/>
  <c r="M296" i="32"/>
  <c r="P296" i="32"/>
  <c r="Q296" i="32"/>
  <c r="R296" i="32"/>
  <c r="A297" i="32"/>
  <c r="B297" i="32"/>
  <c r="C297" i="32"/>
  <c r="D297" i="32"/>
  <c r="E297" i="32"/>
  <c r="F297" i="32"/>
  <c r="I297" i="32"/>
  <c r="K297" i="32"/>
  <c r="L297" i="32"/>
  <c r="M297" i="32"/>
  <c r="P297" i="32"/>
  <c r="Q297" i="32"/>
  <c r="R297" i="32"/>
  <c r="A298" i="32"/>
  <c r="B298" i="32"/>
  <c r="C298" i="32"/>
  <c r="D298" i="32"/>
  <c r="E298" i="32"/>
  <c r="F298" i="32"/>
  <c r="I298" i="32"/>
  <c r="K298" i="32"/>
  <c r="L298" i="32"/>
  <c r="M298" i="32"/>
  <c r="P298" i="32"/>
  <c r="Q298" i="32"/>
  <c r="R298" i="32"/>
  <c r="A299" i="32"/>
  <c r="B299" i="32"/>
  <c r="C299" i="32"/>
  <c r="D299" i="32"/>
  <c r="E299" i="32"/>
  <c r="F299" i="32"/>
  <c r="I299" i="32"/>
  <c r="K299" i="32"/>
  <c r="L299" i="32"/>
  <c r="M299" i="32"/>
  <c r="P299" i="32"/>
  <c r="Q299" i="32"/>
  <c r="R299" i="32"/>
  <c r="A300" i="32"/>
  <c r="B300" i="32"/>
  <c r="C300" i="32"/>
  <c r="D300" i="32"/>
  <c r="E300" i="32"/>
  <c r="F300" i="32"/>
  <c r="I300" i="32"/>
  <c r="K300" i="32"/>
  <c r="L300" i="32"/>
  <c r="M300" i="32"/>
  <c r="P300" i="32"/>
  <c r="Q300" i="32"/>
  <c r="R300" i="32"/>
  <c r="A301" i="32"/>
  <c r="B301" i="32"/>
  <c r="C301" i="32"/>
  <c r="D301" i="32"/>
  <c r="E301" i="32"/>
  <c r="F301" i="32"/>
  <c r="I301" i="32"/>
  <c r="K301" i="32"/>
  <c r="L301" i="32"/>
  <c r="M301" i="32"/>
  <c r="P301" i="32"/>
  <c r="Q301" i="32"/>
  <c r="R301" i="32"/>
  <c r="A302" i="32"/>
  <c r="B302" i="32"/>
  <c r="C302" i="32"/>
  <c r="D302" i="32"/>
  <c r="E302" i="32"/>
  <c r="F302" i="32"/>
  <c r="I302" i="32"/>
  <c r="K302" i="32"/>
  <c r="L302" i="32"/>
  <c r="M302" i="32"/>
  <c r="P302" i="32"/>
  <c r="Q302" i="32"/>
  <c r="R302" i="32"/>
  <c r="A303" i="32"/>
  <c r="B303" i="32"/>
  <c r="C303" i="32"/>
  <c r="D303" i="32"/>
  <c r="E303" i="32"/>
  <c r="F303" i="32"/>
  <c r="I303" i="32"/>
  <c r="K303" i="32"/>
  <c r="L303" i="32"/>
  <c r="M303" i="32"/>
  <c r="P303" i="32"/>
  <c r="Q303" i="32"/>
  <c r="R303" i="32"/>
  <c r="A304" i="32"/>
  <c r="B304" i="32"/>
  <c r="C304" i="32"/>
  <c r="D304" i="32"/>
  <c r="E304" i="32"/>
  <c r="F304" i="32"/>
  <c r="I304" i="32"/>
  <c r="K304" i="32"/>
  <c r="L304" i="32"/>
  <c r="M304" i="32"/>
  <c r="P304" i="32"/>
  <c r="Q304" i="32"/>
  <c r="R304" i="32"/>
  <c r="A305" i="32"/>
  <c r="B305" i="32"/>
  <c r="C305" i="32"/>
  <c r="D305" i="32"/>
  <c r="E305" i="32"/>
  <c r="F305" i="32"/>
  <c r="I305" i="32"/>
  <c r="K305" i="32"/>
  <c r="L305" i="32"/>
  <c r="M305" i="32"/>
  <c r="P305" i="32"/>
  <c r="Q305" i="32"/>
  <c r="R305" i="32"/>
  <c r="A306" i="32"/>
  <c r="B306" i="32"/>
  <c r="C306" i="32"/>
  <c r="D306" i="32"/>
  <c r="E306" i="32"/>
  <c r="F306" i="32"/>
  <c r="I306" i="32"/>
  <c r="K306" i="32"/>
  <c r="L306" i="32"/>
  <c r="M306" i="32"/>
  <c r="P306" i="32"/>
  <c r="Q306" i="32"/>
  <c r="R306" i="32"/>
  <c r="A307" i="32"/>
  <c r="B307" i="32"/>
  <c r="C307" i="32"/>
  <c r="D307" i="32"/>
  <c r="E307" i="32"/>
  <c r="F307" i="32"/>
  <c r="I307" i="32"/>
  <c r="K307" i="32"/>
  <c r="L307" i="32"/>
  <c r="M307" i="32"/>
  <c r="P307" i="32"/>
  <c r="Q307" i="32"/>
  <c r="R307" i="32"/>
  <c r="A308" i="32"/>
  <c r="B308" i="32"/>
  <c r="C308" i="32"/>
  <c r="D308" i="32"/>
  <c r="E308" i="32"/>
  <c r="F308" i="32"/>
  <c r="I308" i="32"/>
  <c r="K308" i="32"/>
  <c r="L308" i="32"/>
  <c r="M308" i="32"/>
  <c r="P308" i="32"/>
  <c r="Q308" i="32"/>
  <c r="R308" i="32"/>
  <c r="A309" i="32"/>
  <c r="B309" i="32"/>
  <c r="C309" i="32"/>
  <c r="D309" i="32"/>
  <c r="E309" i="32"/>
  <c r="F309" i="32"/>
  <c r="I309" i="32"/>
  <c r="K309" i="32"/>
  <c r="L309" i="32"/>
  <c r="M309" i="32"/>
  <c r="P309" i="32"/>
  <c r="Q309" i="32"/>
  <c r="R309" i="32"/>
  <c r="A310" i="32"/>
  <c r="B310" i="32"/>
  <c r="C310" i="32"/>
  <c r="D310" i="32"/>
  <c r="E310" i="32"/>
  <c r="F310" i="32"/>
  <c r="I310" i="32"/>
  <c r="K310" i="32"/>
  <c r="L310" i="32"/>
  <c r="M310" i="32"/>
  <c r="P310" i="32"/>
  <c r="Q310" i="32"/>
  <c r="R310" i="32"/>
  <c r="A311" i="32"/>
  <c r="B311" i="32"/>
  <c r="C311" i="32"/>
  <c r="D311" i="32"/>
  <c r="E311" i="32"/>
  <c r="F311" i="32"/>
  <c r="I311" i="32"/>
  <c r="K311" i="32"/>
  <c r="L311" i="32"/>
  <c r="M311" i="32"/>
  <c r="P311" i="32"/>
  <c r="Q311" i="32"/>
  <c r="R311" i="32"/>
  <c r="A312" i="32"/>
  <c r="B312" i="32"/>
  <c r="C312" i="32"/>
  <c r="D312" i="32"/>
  <c r="E312" i="32"/>
  <c r="F312" i="32"/>
  <c r="I312" i="32"/>
  <c r="K312" i="32"/>
  <c r="L312" i="32"/>
  <c r="M312" i="32"/>
  <c r="P312" i="32"/>
  <c r="Q312" i="32"/>
  <c r="R312" i="32"/>
  <c r="A313" i="32"/>
  <c r="B313" i="32"/>
  <c r="C313" i="32"/>
  <c r="D313" i="32"/>
  <c r="E313" i="32"/>
  <c r="F313" i="32"/>
  <c r="I313" i="32"/>
  <c r="K313" i="32"/>
  <c r="L313" i="32"/>
  <c r="M313" i="32"/>
  <c r="P313" i="32"/>
  <c r="Q313" i="32"/>
  <c r="R313" i="32"/>
  <c r="A314" i="32"/>
  <c r="B314" i="32"/>
  <c r="C314" i="32"/>
  <c r="D314" i="32"/>
  <c r="E314" i="32"/>
  <c r="F314" i="32"/>
  <c r="I314" i="32"/>
  <c r="K314" i="32"/>
  <c r="L314" i="32"/>
  <c r="M314" i="32"/>
  <c r="P314" i="32"/>
  <c r="Q314" i="32"/>
  <c r="R314" i="32"/>
  <c r="A315" i="32"/>
  <c r="B315" i="32"/>
  <c r="C315" i="32"/>
  <c r="D315" i="32"/>
  <c r="E315" i="32"/>
  <c r="F315" i="32"/>
  <c r="I315" i="32"/>
  <c r="K315" i="32"/>
  <c r="L315" i="32"/>
  <c r="M315" i="32"/>
  <c r="P315" i="32"/>
  <c r="Q315" i="32"/>
  <c r="R315" i="32"/>
  <c r="A316" i="32"/>
  <c r="B316" i="32"/>
  <c r="C316" i="32"/>
  <c r="D316" i="32"/>
  <c r="E316" i="32"/>
  <c r="F316" i="32"/>
  <c r="I316" i="32"/>
  <c r="K316" i="32"/>
  <c r="L316" i="32"/>
  <c r="M316" i="32"/>
  <c r="P316" i="32"/>
  <c r="Q316" i="32"/>
  <c r="R316" i="32"/>
  <c r="A317" i="32"/>
  <c r="B317" i="32"/>
  <c r="C317" i="32"/>
  <c r="D317" i="32"/>
  <c r="E317" i="32"/>
  <c r="F317" i="32"/>
  <c r="I317" i="32"/>
  <c r="K317" i="32"/>
  <c r="L317" i="32"/>
  <c r="M317" i="32"/>
  <c r="P317" i="32"/>
  <c r="Q317" i="32"/>
  <c r="R317" i="32"/>
  <c r="A318" i="32"/>
  <c r="B318" i="32"/>
  <c r="C318" i="32"/>
  <c r="D318" i="32"/>
  <c r="E318" i="32"/>
  <c r="F318" i="32"/>
  <c r="I318" i="32"/>
  <c r="K318" i="32"/>
  <c r="L318" i="32"/>
  <c r="M318" i="32"/>
  <c r="P318" i="32"/>
  <c r="Q318" i="32"/>
  <c r="R318" i="32"/>
  <c r="A319" i="32"/>
  <c r="B319" i="32"/>
  <c r="C319" i="32"/>
  <c r="D319" i="32"/>
  <c r="E319" i="32"/>
  <c r="F319" i="32"/>
  <c r="I319" i="32"/>
  <c r="K319" i="32"/>
  <c r="L319" i="32"/>
  <c r="M319" i="32"/>
  <c r="P319" i="32"/>
  <c r="Q319" i="32"/>
  <c r="R319" i="32"/>
  <c r="A320" i="32"/>
  <c r="B320" i="32"/>
  <c r="C320" i="32"/>
  <c r="D320" i="32"/>
  <c r="E320" i="32"/>
  <c r="F320" i="32"/>
  <c r="I320" i="32"/>
  <c r="K320" i="32"/>
  <c r="L320" i="32"/>
  <c r="M320" i="32"/>
  <c r="P320" i="32"/>
  <c r="Q320" i="32"/>
  <c r="R320" i="32"/>
  <c r="A321" i="32"/>
  <c r="B321" i="32"/>
  <c r="C321" i="32"/>
  <c r="D321" i="32"/>
  <c r="E321" i="32"/>
  <c r="F321" i="32"/>
  <c r="I321" i="32"/>
  <c r="K321" i="32"/>
  <c r="L321" i="32"/>
  <c r="M321" i="32"/>
  <c r="P321" i="32"/>
  <c r="Q321" i="32"/>
  <c r="R321" i="32"/>
  <c r="A322" i="32"/>
  <c r="B322" i="32"/>
  <c r="C322" i="32"/>
  <c r="D322" i="32"/>
  <c r="E322" i="32"/>
  <c r="F322" i="32"/>
  <c r="I322" i="32"/>
  <c r="K322" i="32"/>
  <c r="L322" i="32"/>
  <c r="M322" i="32"/>
  <c r="P322" i="32"/>
  <c r="Q322" i="32"/>
  <c r="R322" i="32"/>
  <c r="A323" i="32"/>
  <c r="B323" i="32"/>
  <c r="C323" i="32"/>
  <c r="D323" i="32"/>
  <c r="E323" i="32"/>
  <c r="F323" i="32"/>
  <c r="I323" i="32"/>
  <c r="K323" i="32"/>
  <c r="L323" i="32"/>
  <c r="M323" i="32"/>
  <c r="P323" i="32"/>
  <c r="Q323" i="32"/>
  <c r="R323" i="32"/>
  <c r="A324" i="32"/>
  <c r="B324" i="32"/>
  <c r="C324" i="32"/>
  <c r="D324" i="32"/>
  <c r="E324" i="32"/>
  <c r="F324" i="32"/>
  <c r="I324" i="32"/>
  <c r="K324" i="32"/>
  <c r="L324" i="32"/>
  <c r="M324" i="32"/>
  <c r="P324" i="32"/>
  <c r="Q324" i="32"/>
  <c r="R324" i="32"/>
  <c r="A325" i="32"/>
  <c r="B325" i="32"/>
  <c r="C325" i="32"/>
  <c r="D325" i="32"/>
  <c r="E325" i="32"/>
  <c r="F325" i="32"/>
  <c r="I325" i="32"/>
  <c r="K325" i="32"/>
  <c r="L325" i="32"/>
  <c r="M325" i="32"/>
  <c r="P325" i="32"/>
  <c r="Q325" i="32"/>
  <c r="R325" i="32"/>
  <c r="A326" i="32"/>
  <c r="B326" i="32"/>
  <c r="C326" i="32"/>
  <c r="D326" i="32"/>
  <c r="E326" i="32"/>
  <c r="F326" i="32"/>
  <c r="I326" i="32"/>
  <c r="K326" i="32"/>
  <c r="L326" i="32"/>
  <c r="M326" i="32"/>
  <c r="P326" i="32"/>
  <c r="Q326" i="32"/>
  <c r="R326" i="32"/>
  <c r="A327" i="32"/>
  <c r="B327" i="32"/>
  <c r="C327" i="32"/>
  <c r="D327" i="32"/>
  <c r="E327" i="32"/>
  <c r="F327" i="32"/>
  <c r="I327" i="32"/>
  <c r="K327" i="32"/>
  <c r="L327" i="32"/>
  <c r="M327" i="32"/>
  <c r="P327" i="32"/>
  <c r="Q327" i="32"/>
  <c r="R327" i="32"/>
  <c r="A328" i="32"/>
  <c r="B328" i="32"/>
  <c r="C328" i="32"/>
  <c r="D328" i="32"/>
  <c r="E328" i="32"/>
  <c r="F328" i="32"/>
  <c r="I328" i="32"/>
  <c r="K328" i="32"/>
  <c r="L328" i="32"/>
  <c r="M328" i="32"/>
  <c r="P328" i="32"/>
  <c r="Q328" i="32"/>
  <c r="R328" i="32"/>
  <c r="A329" i="32"/>
  <c r="B329" i="32"/>
  <c r="C329" i="32"/>
  <c r="D329" i="32"/>
  <c r="E329" i="32"/>
  <c r="F329" i="32"/>
  <c r="I329" i="32"/>
  <c r="K329" i="32"/>
  <c r="L329" i="32"/>
  <c r="M329" i="32"/>
  <c r="P329" i="32"/>
  <c r="Q329" i="32"/>
  <c r="R329" i="32"/>
  <c r="A330" i="32"/>
  <c r="B330" i="32"/>
  <c r="C330" i="32"/>
  <c r="D330" i="32"/>
  <c r="E330" i="32"/>
  <c r="F330" i="32"/>
  <c r="I330" i="32"/>
  <c r="K330" i="32"/>
  <c r="L330" i="32"/>
  <c r="M330" i="32"/>
  <c r="P330" i="32"/>
  <c r="Q330" i="32"/>
  <c r="R330" i="32"/>
  <c r="A331" i="32"/>
  <c r="B331" i="32"/>
  <c r="C331" i="32"/>
  <c r="D331" i="32"/>
  <c r="E331" i="32"/>
  <c r="F331" i="32"/>
  <c r="I331" i="32"/>
  <c r="K331" i="32"/>
  <c r="L331" i="32"/>
  <c r="M331" i="32"/>
  <c r="P331" i="32"/>
  <c r="Q331" i="32"/>
  <c r="R331" i="32"/>
  <c r="A332" i="32"/>
  <c r="B332" i="32"/>
  <c r="C332" i="32"/>
  <c r="D332" i="32"/>
  <c r="E332" i="32"/>
  <c r="F332" i="32"/>
  <c r="I332" i="32"/>
  <c r="K332" i="32"/>
  <c r="L332" i="32"/>
  <c r="M332" i="32"/>
  <c r="P332" i="32"/>
  <c r="Q332" i="32"/>
  <c r="R332" i="32"/>
  <c r="A333" i="32"/>
  <c r="B333" i="32"/>
  <c r="C333" i="32"/>
  <c r="D333" i="32"/>
  <c r="E333" i="32"/>
  <c r="F333" i="32"/>
  <c r="I333" i="32"/>
  <c r="K333" i="32"/>
  <c r="L333" i="32"/>
  <c r="M333" i="32"/>
  <c r="P333" i="32"/>
  <c r="Q333" i="32"/>
  <c r="R333" i="32"/>
  <c r="A334" i="32"/>
  <c r="B334" i="32"/>
  <c r="C334" i="32"/>
  <c r="D334" i="32"/>
  <c r="E334" i="32"/>
  <c r="F334" i="32"/>
  <c r="I334" i="32"/>
  <c r="K334" i="32"/>
  <c r="L334" i="32"/>
  <c r="M334" i="32"/>
  <c r="P334" i="32"/>
  <c r="Q334" i="32"/>
  <c r="R334" i="32"/>
  <c r="A335" i="32"/>
  <c r="B335" i="32"/>
  <c r="C335" i="32"/>
  <c r="D335" i="32"/>
  <c r="E335" i="32"/>
  <c r="F335" i="32"/>
  <c r="I335" i="32"/>
  <c r="K335" i="32"/>
  <c r="L335" i="32"/>
  <c r="M335" i="32"/>
  <c r="P335" i="32"/>
  <c r="Q335" i="32"/>
  <c r="R335" i="32"/>
  <c r="A336" i="32"/>
  <c r="B336" i="32"/>
  <c r="C336" i="32"/>
  <c r="D336" i="32"/>
  <c r="E336" i="32"/>
  <c r="F336" i="32"/>
  <c r="I336" i="32"/>
  <c r="K336" i="32"/>
  <c r="L336" i="32"/>
  <c r="M336" i="32"/>
  <c r="P336" i="32"/>
  <c r="Q336" i="32"/>
  <c r="R336" i="32"/>
  <c r="A337" i="32"/>
  <c r="B337" i="32"/>
  <c r="C337" i="32"/>
  <c r="D337" i="32"/>
  <c r="E337" i="32"/>
  <c r="F337" i="32"/>
  <c r="I337" i="32"/>
  <c r="K337" i="32"/>
  <c r="L337" i="32"/>
  <c r="M337" i="32"/>
  <c r="P337" i="32"/>
  <c r="Q337" i="32"/>
  <c r="R337" i="32"/>
  <c r="A338" i="32"/>
  <c r="B338" i="32"/>
  <c r="C338" i="32"/>
  <c r="D338" i="32"/>
  <c r="E338" i="32"/>
  <c r="F338" i="32"/>
  <c r="I338" i="32"/>
  <c r="K338" i="32"/>
  <c r="L338" i="32"/>
  <c r="M338" i="32"/>
  <c r="P338" i="32"/>
  <c r="Q338" i="32"/>
  <c r="R338" i="32"/>
  <c r="A339" i="32"/>
  <c r="B339" i="32"/>
  <c r="C339" i="32"/>
  <c r="D339" i="32"/>
  <c r="E339" i="32"/>
  <c r="F339" i="32"/>
  <c r="I339" i="32"/>
  <c r="K339" i="32"/>
  <c r="L339" i="32"/>
  <c r="M339" i="32"/>
  <c r="P339" i="32"/>
  <c r="Q339" i="32"/>
  <c r="R339" i="32"/>
  <c r="A340" i="32"/>
  <c r="B340" i="32"/>
  <c r="C340" i="32"/>
  <c r="D340" i="32"/>
  <c r="E340" i="32"/>
  <c r="F340" i="32"/>
  <c r="I340" i="32"/>
  <c r="K340" i="32"/>
  <c r="L340" i="32"/>
  <c r="M340" i="32"/>
  <c r="P340" i="32"/>
  <c r="Q340" i="32"/>
  <c r="R340" i="32"/>
  <c r="AM5" i="32"/>
  <c r="AL5" i="32"/>
  <c r="AK5" i="32"/>
  <c r="AH5" i="32"/>
  <c r="AG5" i="32"/>
  <c r="AF5" i="32"/>
  <c r="AD5" i="32"/>
  <c r="AA5" i="32"/>
  <c r="Z5" i="32"/>
  <c r="X5" i="32"/>
  <c r="W5" i="32"/>
  <c r="V5" i="32"/>
  <c r="A5" i="32"/>
  <c r="R5" i="32"/>
  <c r="Q5" i="32"/>
  <c r="P5" i="32"/>
  <c r="M5" i="32"/>
  <c r="L5" i="32"/>
  <c r="K5" i="32"/>
  <c r="I5" i="32"/>
  <c r="F5" i="32"/>
  <c r="E5" i="32"/>
  <c r="D5" i="32"/>
  <c r="C5" i="32"/>
  <c r="B5" i="32"/>
  <c r="L3" i="31" a="1"/>
  <c r="K3" i="31" a="1"/>
  <c r="J3" i="31" a="1"/>
  <c r="I3" i="31" a="1"/>
  <c r="H3" i="31" a="1"/>
  <c r="G3" i="31" a="1"/>
  <c r="F3" i="31" a="1"/>
  <c r="E3" i="31" a="1"/>
  <c r="D3" i="31" a="1"/>
  <c r="C3" i="31" a="1"/>
  <c r="B3" i="31" a="1"/>
  <c r="A3" i="31" a="1"/>
  <c r="N3" i="31" a="1"/>
  <c r="M3" i="31" a="1"/>
  <c r="L341" i="32"/>
  <c r="A6" i="28" a="1"/>
  <c r="R6" i="28" a="1"/>
  <c r="P6" i="28" a="1"/>
  <c r="B6" i="28" a="1"/>
  <c r="C6" i="28" a="1"/>
  <c r="I6" i="28" a="1"/>
  <c r="Q6" i="28" a="1"/>
  <c r="O6" i="28" a="1"/>
  <c r="F6" i="28" a="1"/>
  <c r="AE2" i="19" a="1"/>
  <c r="L6" i="28" a="1"/>
  <c r="E6" i="28" a="1"/>
  <c r="AF2" i="19" a="1"/>
  <c r="AD2" i="19" a="1"/>
  <c r="D6" i="28" a="1"/>
  <c r="G6" i="28" a="1"/>
  <c r="M6" i="28" a="1"/>
  <c r="H6" i="28" a="1"/>
  <c r="J6" i="28" a="1"/>
  <c r="N6" i="28" a="1"/>
  <c r="K341" i="3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tc={8CA5DC26-30C8-4EDB-ABDE-258684EBA359}</author>
  </authors>
  <commentList>
    <comment ref="A1" authorId="0" shapeId="0" xr:uid="{8CA5DC26-30C8-4EDB-ABDE-258684EBA35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BẤM Ctrl+L để check 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tc={84424BCE-5F1F-46EB-82DB-7637C48DE075}</author>
  </authors>
  <commentList>
    <comment ref="A1" authorId="0" shapeId="0" xr:uid="{84424BCE-5F1F-46EB-82DB-7637C48DE07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BẤM Ctrl+L để check 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3E436C9-D328-4CC9-B295-3017387F78CF}" keepAlive="1" name="Query - Output_Expected" description="Connection to the 'Output_Expected' query in the workbook." type="5" refreshedVersion="8" background="1" saveData="1">
    <dbPr connection="Provider=Microsoft.Mashup.OleDb.1;Data Source=$Workbook$;Location=Output_Expected;Extended Properties=&quot;&quot;" command="SELECT * FROM [Output_Expected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<sst xmlns="http://schemas.openxmlformats.org/spreadsheetml/2006/main" count="27583" uniqueCount="2359">
  <si>
    <t xml:space="preserve">BƯỚC 1: </t>
  </si>
  <si>
    <t>XÓA DỮ LIỆU TRONG FILE DATA</t>
  </si>
  <si>
    <t xml:space="preserve">BƯỚC 2: </t>
  </si>
  <si>
    <t>COPY DỮ LIỆU VÀO Ô A1</t>
  </si>
  <si>
    <t xml:space="preserve">BƯỚC 3: </t>
  </si>
  <si>
    <t>XEM LẠI DỮ LIỆU TRÊN FILE XUẤT</t>
  </si>
  <si>
    <t xml:space="preserve">LƯU Ý: KHI COPY DỮ LIỆU PHẢI PASS </t>
  </si>
  <si>
    <t>COLOR_CODE</t>
  </si>
  <si>
    <t>COLOR_DESC</t>
  </si>
  <si>
    <t>PPO</t>
  </si>
  <si>
    <t>PPO Q'ty</t>
  </si>
  <si>
    <t>B</t>
  </si>
  <si>
    <t>NAVY</t>
  </si>
  <si>
    <t>Bước 1: Copy COI của PPC vào sheet "COI PPC"</t>
  </si>
  <si>
    <t>Bước 2: Copy bảng COI vào sheet "Input Data" =&gt; Bôi đen toàn bảng =&gt; Ctr + T =&gt; Đặt tên bảng là Table1</t>
  </si>
  <si>
    <t>Bước 3: Bấm nút "Refresh"</t>
  </si>
  <si>
    <t>Bước 4: Chọn ":CODE" , "COLOR_CODE", JO muốn làm CFC</t>
  </si>
  <si>
    <t>Bước 5: Điền thông tin từ CMD</t>
  </si>
  <si>
    <t>Bước 6: Bấm nút save</t>
  </si>
  <si>
    <t>CODE</t>
  </si>
  <si>
    <t>JO</t>
  </si>
  <si>
    <t>DATE</t>
  </si>
  <si>
    <t>BUYER</t>
  </si>
  <si>
    <t>SGO</t>
  </si>
  <si>
    <t>ORDER</t>
  </si>
  <si>
    <t>PPO Marker YY</t>
  </si>
  <si>
    <t>PPO YY KHÔNG NHẬP</t>
  </si>
  <si>
    <t>Net YY</t>
  </si>
  <si>
    <t>Bulk YY</t>
  </si>
  <si>
    <t>Wastage ratio</t>
  </si>
  <si>
    <t>Allocate fabric</t>
  </si>
  <si>
    <t>Forecast (%)</t>
  </si>
  <si>
    <t>Bulk YY/PPO YY</t>
  </si>
  <si>
    <t>vải nhận/PPO đặt vải</t>
  </si>
  <si>
    <t>pcs cắt được</t>
  </si>
  <si>
    <t xml:space="preserve">ACCOUT HOLDER </t>
  </si>
  <si>
    <t>CUT PLANNER</t>
  </si>
  <si>
    <t>%vải về</t>
  </si>
  <si>
    <t>yds cần đạt max ship</t>
  </si>
  <si>
    <t>NHÀ MÁY VẢI</t>
  </si>
  <si>
    <t>ACTUAL CUT</t>
  </si>
  <si>
    <t>VẢI CÒN LẠI</t>
  </si>
  <si>
    <t>STATUS</t>
  </si>
  <si>
    <t>% ACTUAL CUT</t>
  </si>
  <si>
    <t>NGÀY CHỐT BC</t>
  </si>
  <si>
    <t>% VẢI DƯ</t>
  </si>
  <si>
    <t>GROUP</t>
  </si>
  <si>
    <t>MAX SHIP</t>
  </si>
  <si>
    <t>SUBJECT MAIL</t>
  </si>
  <si>
    <t>REMARK</t>
  </si>
  <si>
    <t>PPO YY
KHÔNG NHẬP</t>
  </si>
  <si>
    <t>GAZMAN</t>
  </si>
  <si>
    <t>S25V04887</t>
  </si>
  <si>
    <t>TAUPE</t>
  </si>
  <si>
    <t>ALL</t>
  </si>
  <si>
    <t>PKGK25VE0004887A</t>
  </si>
  <si>
    <t>Sunny Uyen/Keris Tú</t>
  </si>
  <si>
    <t>HANG</t>
  </si>
  <si>
    <t/>
  </si>
  <si>
    <t>GEK</t>
  </si>
  <si>
    <t>CFC-GAZMAN-S25V04887</t>
  </si>
  <si>
    <t>M2</t>
  </si>
  <si>
    <t>off white</t>
  </si>
  <si>
    <t>R</t>
  </si>
  <si>
    <t>SWTW26003 TAUPE</t>
  </si>
  <si>
    <t>440 NAVY</t>
  </si>
  <si>
    <t>Job Order No</t>
  </si>
  <si>
    <t>Color Code</t>
  </si>
  <si>
    <t>Cut Lot No</t>
  </si>
  <si>
    <t>Plys</t>
  </si>
  <si>
    <t>Gmt Qty</t>
  </si>
  <si>
    <t>Fab Req</t>
  </si>
  <si>
    <t>Fab Req + Wastage</t>
  </si>
  <si>
    <t>Batch No#</t>
  </si>
  <si>
    <t>Size Ratio#</t>
  </si>
  <si>
    <t>Marker Name</t>
  </si>
  <si>
    <t>CV Yard</t>
  </si>
  <si>
    <t>Yard</t>
  </si>
  <si>
    <t>Inch</t>
  </si>
  <si>
    <t xml:space="preserve">GROUP   / LINE </t>
  </si>
  <si>
    <t>STOCK</t>
  </si>
  <si>
    <t>STT</t>
  </si>
  <si>
    <t>ISSUE</t>
  </si>
  <si>
    <t>VẢI TRẢI</t>
  </si>
  <si>
    <t>NGƯỜI TRÃI</t>
  </si>
  <si>
    <t xml:space="preserve">CUT PLANNER: </t>
  </si>
  <si>
    <t>Allocate Fabric - PPC</t>
  </si>
  <si>
    <t>Fabric Issue</t>
  </si>
  <si>
    <t>Delta</t>
  </si>
  <si>
    <t>Delta = [Allocate Fabric - PPC] - [Fabric Issue]</t>
  </si>
  <si>
    <t>số vải mà chị Diễm Lấy</t>
  </si>
  <si>
    <t>Số vải mà PPC Allocate</t>
  </si>
  <si>
    <t>Nhập từ CMD</t>
  </si>
  <si>
    <t>SRN</t>
  </si>
  <si>
    <t>Buyer</t>
  </si>
  <si>
    <t>CT</t>
  </si>
  <si>
    <t>Colour</t>
  </si>
  <si>
    <t>Q 'TY
(yds)</t>
  </si>
  <si>
    <t>Q'TY
( pcs)</t>
  </si>
  <si>
    <t>CUT DATE</t>
  </si>
  <si>
    <t>Remark</t>
  </si>
  <si>
    <t>Update cột subject mail thêm Buyer</t>
  </si>
  <si>
    <t>Version 3</t>
  </si>
  <si>
    <t>update logic loop các dòng trong bảng slicer</t>
  </si>
  <si>
    <t>FM FEEDBACK LOOP REPORT</t>
  </si>
  <si>
    <t>GO#</t>
  </si>
  <si>
    <t>Buyer name</t>
  </si>
  <si>
    <t>PPO_NO</t>
  </si>
  <si>
    <t>Color</t>
  </si>
  <si>
    <t>Garment Code</t>
  </si>
  <si>
    <t>Job Order</t>
  </si>
  <si>
    <t>Quality Code</t>
  </si>
  <si>
    <t>Usage</t>
  </si>
  <si>
    <t>Roll_NO</t>
  </si>
  <si>
    <t>Grade</t>
  </si>
  <si>
    <t>Actual weight</t>
  </si>
  <si>
    <t>Actual length</t>
  </si>
  <si>
    <t>FOC</t>
  </si>
  <si>
    <t>Request width</t>
  </si>
  <si>
    <t>Actual width</t>
  </si>
  <si>
    <t>YY Normal</t>
  </si>
  <si>
    <t>YY New</t>
  </si>
  <si>
    <t>Change marker</t>
  </si>
  <si>
    <t>Defect name</t>
  </si>
  <si>
    <t>Defect Positions</t>
  </si>
  <si>
    <t>Slanting</t>
  </si>
  <si>
    <t>Process Method</t>
  </si>
  <si>
    <t>In date</t>
  </si>
  <si>
    <t>M1</t>
  </si>
  <si>
    <t>A</t>
  </si>
  <si>
    <t>Foreign Yarn [异纤]</t>
  </si>
  <si>
    <t>0</t>
  </si>
  <si>
    <t>White mark [白印]</t>
  </si>
  <si>
    <t>Hole (KN) [针织破洞]</t>
  </si>
  <si>
    <t>Oil (PD) [匹染油污]</t>
  </si>
  <si>
    <t>Friction Mark (PD) [匹染擦痕]</t>
  </si>
  <si>
    <t>Crease Mark [折痕]</t>
  </si>
  <si>
    <t>4</t>
  </si>
  <si>
    <t>5</t>
  </si>
  <si>
    <t>Piece-up(FN) [后整接口]</t>
  </si>
  <si>
    <t>loose yarn [跳纱]</t>
  </si>
  <si>
    <t>Color Mark (PD) [PD沾色]</t>
  </si>
  <si>
    <t>Needle Line [针路]</t>
  </si>
  <si>
    <t>Dirt [针织污渍]</t>
  </si>
  <si>
    <t>Unever Dye Hole [染花破洞]</t>
  </si>
  <si>
    <t>3</t>
  </si>
  <si>
    <t>1</t>
  </si>
  <si>
    <t>Broken Selvedge (FN) [FN烂边]</t>
  </si>
  <si>
    <t>thick yarn</t>
  </si>
  <si>
    <t>Broken Selvedge (PD) [PD烂边]</t>
  </si>
  <si>
    <t>A*</t>
  </si>
  <si>
    <t>hẹp khổ 1''</t>
  </si>
  <si>
    <t>C</t>
  </si>
  <si>
    <t>F</t>
  </si>
  <si>
    <t>O</t>
  </si>
  <si>
    <t>Item</t>
  </si>
  <si>
    <t>Customer</t>
  </si>
  <si>
    <t>GO</t>
  </si>
  <si>
    <t>Ppo_No</t>
  </si>
  <si>
    <t>Garment Factory</t>
  </si>
  <si>
    <t>Batch_No</t>
  </si>
  <si>
    <t>Color_Grade</t>
  </si>
  <si>
    <t>Fabric_No</t>
  </si>
  <si>
    <t>Weight</t>
  </si>
  <si>
    <t>Yarn</t>
  </si>
  <si>
    <t>FOC_Quantity</t>
  </si>
  <si>
    <t>Request Fabric Width</t>
  </si>
  <si>
    <t>Final Inspection Width</t>
  </si>
  <si>
    <t>Issue</t>
  </si>
  <si>
    <t>Defect Name</t>
  </si>
  <si>
    <t>Defect Position</t>
  </si>
  <si>
    <t>Defect Remark</t>
  </si>
  <si>
    <t>Process_Method</t>
  </si>
  <si>
    <t>Detail</t>
  </si>
  <si>
    <t>Operate Time</t>
  </si>
  <si>
    <t>Inform Time</t>
  </si>
  <si>
    <t>GK_NO</t>
  </si>
  <si>
    <t>类型</t>
  </si>
  <si>
    <t>客户</t>
  </si>
  <si>
    <t>制衣厂</t>
  </si>
  <si>
    <t>颜色</t>
  </si>
  <si>
    <t>用途</t>
  </si>
  <si>
    <t>缸号</t>
  </si>
  <si>
    <t>色级</t>
  </si>
  <si>
    <t>卷号</t>
  </si>
  <si>
    <t>重量</t>
  </si>
  <si>
    <t>码长</t>
  </si>
  <si>
    <t>FOC数量</t>
  </si>
  <si>
    <t>要求幅宽</t>
  </si>
  <si>
    <t>验布幅宽</t>
  </si>
  <si>
    <t>问题</t>
  </si>
  <si>
    <t>疵点名</t>
  </si>
  <si>
    <t>疵点位置</t>
  </si>
  <si>
    <t>疵点备注</t>
  </si>
  <si>
    <t>处理方式</t>
  </si>
  <si>
    <t>备注</t>
  </si>
  <si>
    <t>明细</t>
  </si>
  <si>
    <t>操作时间</t>
  </si>
  <si>
    <t>通知时间</t>
  </si>
  <si>
    <t>品名</t>
  </si>
  <si>
    <t>Fabric</t>
  </si>
  <si>
    <t>KITITAN CO., LTD</t>
  </si>
  <si>
    <t>S26V01447</t>
  </si>
  <si>
    <t>PKGK26VE0001447B</t>
  </si>
  <si>
    <t>120-171742-000@00 White SS</t>
  </si>
  <si>
    <t>Mainbody , sleeve, neck bindding , placket</t>
  </si>
  <si>
    <t>DQ307610</t>
  </si>
  <si>
    <t>CP3082900102</t>
  </si>
  <si>
    <t>Wrong Width</t>
  </si>
  <si>
    <t>FN门幅小2"A*</t>
  </si>
  <si>
    <t>BPT26P358279-002</t>
  </si>
  <si>
    <t>布面</t>
  </si>
  <si>
    <t>CP3082900202</t>
  </si>
  <si>
    <t>CP3082900302</t>
  </si>
  <si>
    <t>FN门幅小3"A*</t>
  </si>
  <si>
    <t>CP3082903001</t>
  </si>
  <si>
    <t>CP3082903101</t>
  </si>
  <si>
    <t>CP3082903102</t>
  </si>
  <si>
    <t>DQ30759A</t>
  </si>
  <si>
    <t>CP3083000204</t>
  </si>
  <si>
    <t>Avoid cutting</t>
  </si>
  <si>
    <t>(*级原因:FN门幅小(位置：2.00);:*级原因)</t>
  </si>
  <si>
    <t>DQ307570</t>
  </si>
  <si>
    <t>CP3083000502</t>
  </si>
  <si>
    <t>(*级原因:FN门幅小(位置：1.00);:*级原因)</t>
  </si>
  <si>
    <t>CP3083001502</t>
  </si>
  <si>
    <t>CP3083002702</t>
  </si>
  <si>
    <t>[$:A*影响门幅:$](*级原因:FN门幅小(位置：1.00);:*级原因)</t>
  </si>
  <si>
    <t>CP3083002704</t>
  </si>
  <si>
    <t>CP3083003001</t>
  </si>
  <si>
    <t>CP3083005301</t>
  </si>
  <si>
    <t>CP3083005401</t>
  </si>
  <si>
    <t>CP3083005501</t>
  </si>
  <si>
    <t>CP3083005601</t>
  </si>
  <si>
    <t>CP3083005801</t>
  </si>
  <si>
    <t>CP3083005901</t>
  </si>
  <si>
    <t>CP3083006001</t>
  </si>
  <si>
    <t>CP3083006101</t>
  </si>
  <si>
    <t>CP3083006301</t>
  </si>
  <si>
    <t>CP3083006401</t>
  </si>
  <si>
    <t>CP3083006501</t>
  </si>
  <si>
    <t>CP3083006601</t>
  </si>
  <si>
    <t>CP3083006701</t>
  </si>
  <si>
    <t>CP3083006801</t>
  </si>
  <si>
    <t>CP3083006901</t>
  </si>
  <si>
    <t>120-171647-056@Green</t>
  </si>
  <si>
    <t>DQ307510</t>
  </si>
  <si>
    <t>CP3083101601</t>
  </si>
  <si>
    <t>[$:修改翻验:$](*级原因:FN门幅小(位置：1.00);:*级原因)(合染缸:DQ304240/DQ307510/:合染缸)</t>
  </si>
  <si>
    <t>BPT30P358277-027</t>
  </si>
  <si>
    <t>CP3083101901</t>
  </si>
  <si>
    <t>120-171647-043@43 Black SS</t>
  </si>
  <si>
    <t>DQ307550</t>
  </si>
  <si>
    <t>CP3083102901</t>
  </si>
  <si>
    <t>BPT30P358277-030</t>
  </si>
  <si>
    <t>CP3083103401</t>
  </si>
  <si>
    <t>CP3083103501</t>
  </si>
  <si>
    <t>[$:回修:$](*级原因:FN门幅小(位置：2.00);:*级原因)</t>
  </si>
  <si>
    <t>CP3083105401</t>
  </si>
  <si>
    <t>CP3083105601</t>
  </si>
  <si>
    <t>CP3083105701</t>
  </si>
  <si>
    <t>CP3083105801</t>
  </si>
  <si>
    <t>CP3083105901</t>
  </si>
  <si>
    <t>CP3083106001</t>
  </si>
  <si>
    <t>CP3083106101</t>
  </si>
  <si>
    <t>CP3083106201</t>
  </si>
  <si>
    <t>CP3083106301</t>
  </si>
  <si>
    <t>CP3083106401</t>
  </si>
  <si>
    <t>CP3083106501</t>
  </si>
  <si>
    <t>CP3083106601</t>
  </si>
  <si>
    <t>CP3083106701</t>
  </si>
  <si>
    <t>120-171647-040@40 Navy SS</t>
  </si>
  <si>
    <t>DQ307540</t>
  </si>
  <si>
    <t>CP3083108402</t>
  </si>
  <si>
    <t>BPT30P358277-029</t>
  </si>
  <si>
    <t>CP3083110301</t>
  </si>
  <si>
    <t>CP3083501901</t>
  </si>
  <si>
    <t>CP3083502001</t>
  </si>
  <si>
    <t>120-171719-17A@Dark Red</t>
  </si>
  <si>
    <t>DQ307470</t>
  </si>
  <si>
    <t>CP3083502201</t>
  </si>
  <si>
    <t>门幅不齐65-67(*级原因:FN门幅小(位置：2.00);:*级原因)</t>
  </si>
  <si>
    <t>BPT30P358277-028</t>
  </si>
  <si>
    <t>CP3083504001</t>
  </si>
  <si>
    <t>CP3083504101</t>
  </si>
  <si>
    <t>CP3083504401</t>
  </si>
  <si>
    <t>120-171731-13E@13E light Brown SS</t>
  </si>
  <si>
    <t>DQ307460</t>
  </si>
  <si>
    <t>CP3083604101</t>
  </si>
  <si>
    <t>[$:修改翻验;A*影响门幅:$](*级原因:FN门幅小(位置：2.00);:*级原因)</t>
  </si>
  <si>
    <t>BPT30P358277-032</t>
  </si>
  <si>
    <t>CP3083604801</t>
  </si>
  <si>
    <t>[$:A*影响门幅:$](*级原因:FN门幅小(位置：2.00);:*级原因)</t>
  </si>
  <si>
    <t>CP3083604802</t>
  </si>
  <si>
    <t>CP3083604803</t>
  </si>
  <si>
    <t>CP3083604804</t>
  </si>
  <si>
    <t>CP3083605001</t>
  </si>
  <si>
    <t>CP3083605101</t>
  </si>
  <si>
    <t>CP3083605201</t>
  </si>
  <si>
    <t>CP3083605301</t>
  </si>
  <si>
    <t>CP3083605401</t>
  </si>
  <si>
    <t>CP3083605501</t>
  </si>
  <si>
    <t>CP3083605601</t>
  </si>
  <si>
    <t>CP3083605701</t>
  </si>
  <si>
    <t>CP3083605901</t>
  </si>
  <si>
    <t>CP3083606001</t>
  </si>
  <si>
    <t>布皱OKBY 郭东华(*级原因:FN门幅小(位置：1.00);:*级原因)</t>
  </si>
  <si>
    <t>CP3083606101</t>
  </si>
  <si>
    <t>120-171686-009@09 Beige</t>
  </si>
  <si>
    <t>WQ305060</t>
  </si>
  <si>
    <t>CP3126403701</t>
  </si>
  <si>
    <t>BPP30H358773-002</t>
  </si>
  <si>
    <t>120-171697 44E@Light Grey</t>
  </si>
  <si>
    <t>WQ305070</t>
  </si>
  <si>
    <t>CP3209100903</t>
  </si>
  <si>
    <t>[$:修改翻验:$](*级原因:FN门幅小(位置：1.00);:*级原因)</t>
  </si>
  <si>
    <t>BPP30H358773-003</t>
  </si>
  <si>
    <t>CP3209101001</t>
  </si>
  <si>
    <t>CP3209101101</t>
  </si>
  <si>
    <t>CP3209101201</t>
  </si>
  <si>
    <t>CP3209101301</t>
  </si>
  <si>
    <t>[$:修改翻验:$](*级原因:FN门幅小(位置：2.00);:*级原因)</t>
  </si>
  <si>
    <t>120-171991-44D@Medium Grey</t>
  </si>
  <si>
    <t>WQ305080</t>
  </si>
  <si>
    <t>CP4009500101</t>
  </si>
  <si>
    <t>[$:A*影响门幅:$](*级原因:FN门幅小(位置：3.00);:*级原因)</t>
  </si>
  <si>
    <t>BPP30H358773-004</t>
  </si>
  <si>
    <t>#total</t>
  </si>
  <si>
    <t>EGV</t>
  </si>
  <si>
    <t>(RTR 色差)RTR shading</t>
  </si>
  <si>
    <t>打NO纸生产(numbring in cutting)</t>
  </si>
  <si>
    <t>对色</t>
  </si>
  <si>
    <t>WQ306580</t>
  </si>
  <si>
    <t>DQ30757A</t>
  </si>
  <si>
    <t>跟0缸打编号</t>
  </si>
  <si>
    <t>WQ402040</t>
  </si>
  <si>
    <t>DQ307580</t>
  </si>
  <si>
    <t>THÔNG TIN LỖI</t>
  </si>
  <si>
    <t>S25V10883</t>
  </si>
  <si>
    <t>AUSTIN CLOTHING COMPANY PTY LTD</t>
  </si>
  <si>
    <t>PKEK25VE0010883A</t>
  </si>
  <si>
    <t>PEACH</t>
  </si>
  <si>
    <t>807</t>
  </si>
  <si>
    <t>FV012282301</t>
  </si>
  <si>
    <t>C1500427</t>
  </si>
  <si>
    <t>CF003100862</t>
  </si>
  <si>
    <t>63/65"</t>
  </si>
  <si>
    <t>CF003100863</t>
  </si>
  <si>
    <t>CF003100864</t>
  </si>
  <si>
    <t>CF003100865</t>
  </si>
  <si>
    <t>CF003101099</t>
  </si>
  <si>
    <t>CF003101100</t>
  </si>
  <si>
    <t>CF003101101</t>
  </si>
  <si>
    <t>CF003101102</t>
  </si>
  <si>
    <t>CF003101103</t>
  </si>
  <si>
    <t>FV012281501</t>
  </si>
  <si>
    <t>C1500428</t>
  </si>
  <si>
    <t>CF003101253</t>
  </si>
  <si>
    <t>58/60"</t>
  </si>
  <si>
    <t>DEEP SEA</t>
  </si>
  <si>
    <t>365</t>
  </si>
  <si>
    <t>FV012281201</t>
  </si>
  <si>
    <t>CF003103801</t>
  </si>
  <si>
    <t>SURF</t>
  </si>
  <si>
    <t>484</t>
  </si>
  <si>
    <t>FV012282701</t>
  </si>
  <si>
    <t>CF003108346</t>
  </si>
  <si>
    <t>CF003108347</t>
  </si>
  <si>
    <t>CF003108348</t>
  </si>
  <si>
    <t>CF003108349</t>
  </si>
  <si>
    <t>CF003108350</t>
  </si>
  <si>
    <t>CF003108356</t>
  </si>
  <si>
    <t>CF003108357</t>
  </si>
  <si>
    <t>CF003108358</t>
  </si>
  <si>
    <t>CF003108359</t>
  </si>
  <si>
    <t>CF003108360</t>
  </si>
  <si>
    <t>CF003108361</t>
  </si>
  <si>
    <t>CF003108362</t>
  </si>
  <si>
    <t>CF003108363</t>
  </si>
  <si>
    <t>CF003108364</t>
  </si>
  <si>
    <t>CF003108365</t>
  </si>
  <si>
    <t>CF003108375</t>
  </si>
  <si>
    <t>CF003108386</t>
  </si>
  <si>
    <t>CF003108387</t>
  </si>
  <si>
    <t>CF003108388</t>
  </si>
  <si>
    <t>CF003108389</t>
  </si>
  <si>
    <t>CF003108390</t>
  </si>
  <si>
    <t>CF003108391</t>
  </si>
  <si>
    <t>CF003108392</t>
  </si>
  <si>
    <t>CF003108393</t>
  </si>
  <si>
    <t>CF003108394</t>
  </si>
  <si>
    <t>CF003108395</t>
  </si>
  <si>
    <t>CF003108432</t>
  </si>
  <si>
    <t>CF003108433</t>
  </si>
  <si>
    <t>CF003108434</t>
  </si>
  <si>
    <t>CF003108435</t>
  </si>
  <si>
    <t>CF003108466</t>
  </si>
  <si>
    <t>CF003108467</t>
  </si>
  <si>
    <t>CF003108468</t>
  </si>
  <si>
    <t>CF003108469</t>
  </si>
  <si>
    <t>CF003108470</t>
  </si>
  <si>
    <t>CF003108477</t>
  </si>
  <si>
    <t>CF003108478</t>
  </si>
  <si>
    <t>CF003108479</t>
  </si>
  <si>
    <t>CF003108480</t>
  </si>
  <si>
    <t>CF003108481</t>
  </si>
  <si>
    <t>MAGENTA</t>
  </si>
  <si>
    <t>604</t>
  </si>
  <si>
    <t>FV012282101</t>
  </si>
  <si>
    <t>CF003109741</t>
  </si>
  <si>
    <t>khác màu rằn ri biên trái 3''</t>
  </si>
  <si>
    <t>né biên trái vào 3'' do khác màu rằn ri</t>
  </si>
  <si>
    <t>CF003109742</t>
  </si>
  <si>
    <t>CF003109743</t>
  </si>
  <si>
    <t>CF003109744</t>
  </si>
  <si>
    <t>CF003109745</t>
  </si>
  <si>
    <t>CF003109746</t>
  </si>
  <si>
    <t>CF003109747</t>
  </si>
  <si>
    <t>CF003109748</t>
  </si>
  <si>
    <t>CF003109749</t>
  </si>
  <si>
    <t>CF003109750</t>
  </si>
  <si>
    <t>CF003109751</t>
  </si>
  <si>
    <t>CF003109752</t>
  </si>
  <si>
    <t>CF003109753</t>
  </si>
  <si>
    <t>CF003109754</t>
  </si>
  <si>
    <t>CF003109755</t>
  </si>
  <si>
    <t>CF003109756</t>
  </si>
  <si>
    <t>CF003109757</t>
  </si>
  <si>
    <t>CF003109758</t>
  </si>
  <si>
    <t>CF003109759</t>
  </si>
  <si>
    <t>CF003109760</t>
  </si>
  <si>
    <t>CF003109761</t>
  </si>
  <si>
    <t>CF003109762</t>
  </si>
  <si>
    <t>CF003109763</t>
  </si>
  <si>
    <t>CF003109764</t>
  </si>
  <si>
    <t>CF003109765</t>
  </si>
  <si>
    <t>CF003109766</t>
  </si>
  <si>
    <t>CF003109767</t>
  </si>
  <si>
    <t>CF003109768</t>
  </si>
  <si>
    <t>CF003109769</t>
  </si>
  <si>
    <t>CF003109770</t>
  </si>
  <si>
    <t>CF003109771</t>
  </si>
  <si>
    <t>CF003109772</t>
  </si>
  <si>
    <t>CF003109773</t>
  </si>
  <si>
    <t>CF003109774</t>
  </si>
  <si>
    <t>FV012280901</t>
  </si>
  <si>
    <t>CF003109789</t>
  </si>
  <si>
    <t>LAGOON</t>
  </si>
  <si>
    <t>457</t>
  </si>
  <si>
    <t>FV012281401</t>
  </si>
  <si>
    <t>CF003112371</t>
  </si>
  <si>
    <t>FV012283101</t>
  </si>
  <si>
    <t>CF003113564</t>
  </si>
  <si>
    <t>không đều mau nhẹ</t>
  </si>
  <si>
    <t>CF003113565</t>
  </si>
  <si>
    <t>CF003113592</t>
  </si>
  <si>
    <t>không đều mau nhẹ + ma sát phải vào 24''</t>
  </si>
  <si>
    <t>né biên phải vào 24''</t>
  </si>
  <si>
    <t>CF003113593</t>
  </si>
  <si>
    <t>CF003113594</t>
  </si>
  <si>
    <t>CF003113595</t>
  </si>
  <si>
    <t>CF003113596</t>
  </si>
  <si>
    <t>CF003113597</t>
  </si>
  <si>
    <t>CF003113598</t>
  </si>
  <si>
    <t>CF003113602</t>
  </si>
  <si>
    <t>CF003113603</t>
  </si>
  <si>
    <t>CF003113604</t>
  </si>
  <si>
    <t>CF003113605</t>
  </si>
  <si>
    <t>CF003113611</t>
  </si>
  <si>
    <t>CF003113614</t>
  </si>
  <si>
    <t>CF003113615</t>
  </si>
  <si>
    <t>CF003113616</t>
  </si>
  <si>
    <t>CF003113617</t>
  </si>
  <si>
    <t>CF003113618</t>
  </si>
  <si>
    <t>Color Mark (FN) [FN沾色]</t>
  </si>
  <si>
    <t>PALE YELLOW</t>
  </si>
  <si>
    <t>702</t>
  </si>
  <si>
    <t>FV012282401</t>
  </si>
  <si>
    <t>CF003113623</t>
  </si>
  <si>
    <t>CF003113624</t>
  </si>
  <si>
    <t>CF003113625</t>
  </si>
  <si>
    <t>CF003113631</t>
  </si>
  <si>
    <t>CF003113632</t>
  </si>
  <si>
    <t>CF003113633</t>
  </si>
  <si>
    <t>CF003113634</t>
  </si>
  <si>
    <t>CF003113635</t>
  </si>
  <si>
    <t>CF003113641</t>
  </si>
  <si>
    <t>CF003113642</t>
  </si>
  <si>
    <t>CF003113643</t>
  </si>
  <si>
    <t>CF003113644</t>
  </si>
  <si>
    <t>CF003113645</t>
  </si>
  <si>
    <t>CF003113656</t>
  </si>
  <si>
    <t>CF003113657</t>
  </si>
  <si>
    <t>CF003113658</t>
  </si>
  <si>
    <t>CF003113659</t>
  </si>
  <si>
    <t>CF003113660</t>
  </si>
  <si>
    <t>BERRY</t>
  </si>
  <si>
    <t>652</t>
  </si>
  <si>
    <t>FV012282601</t>
  </si>
  <si>
    <t>CF003113663</t>
  </si>
  <si>
    <t>CF003113664</t>
  </si>
  <si>
    <t>CF003113665</t>
  </si>
  <si>
    <t>CF003113666</t>
  </si>
  <si>
    <t>CF003113667</t>
  </si>
  <si>
    <t>CF003113668</t>
  </si>
  <si>
    <t>CF003113669</t>
  </si>
  <si>
    <t>CF003113670</t>
  </si>
  <si>
    <t>CF003113671</t>
  </si>
  <si>
    <t>CF003113672</t>
  </si>
  <si>
    <t>CF003113673</t>
  </si>
  <si>
    <t>CF003113674</t>
  </si>
  <si>
    <t>CF003113676</t>
  </si>
  <si>
    <t>CF003113677</t>
  </si>
  <si>
    <t>CF003113678</t>
  </si>
  <si>
    <t>CF003113679</t>
  </si>
  <si>
    <t>CF003113680</t>
  </si>
  <si>
    <t>CF003113681</t>
  </si>
  <si>
    <t>CF003113682</t>
  </si>
  <si>
    <t>CF003113683</t>
  </si>
  <si>
    <t>CF003113684</t>
  </si>
  <si>
    <t>CF003113685</t>
  </si>
  <si>
    <t>CF003113686</t>
  </si>
  <si>
    <t>CF003113687</t>
  </si>
  <si>
    <t>CF003113688</t>
  </si>
  <si>
    <t>CF003113689</t>
  </si>
  <si>
    <t>CF003113690</t>
  </si>
  <si>
    <t>CF003113691</t>
  </si>
  <si>
    <t>CF003113692</t>
  </si>
  <si>
    <t>CF003113693</t>
  </si>
  <si>
    <t>CF003113694</t>
  </si>
  <si>
    <t>CF003113695</t>
  </si>
  <si>
    <t>CF003113701</t>
  </si>
  <si>
    <t>CF003113702</t>
  </si>
  <si>
    <t>CF003113703</t>
  </si>
  <si>
    <t>CF003113704</t>
  </si>
  <si>
    <t>CF003113705</t>
  </si>
  <si>
    <t>CF003113706</t>
  </si>
  <si>
    <t>CF003113707</t>
  </si>
  <si>
    <t>CF003113708</t>
  </si>
  <si>
    <t>CF003113709</t>
  </si>
  <si>
    <t>CF003113710</t>
  </si>
  <si>
    <t>CF003113711</t>
  </si>
  <si>
    <t>CF003113712</t>
  </si>
  <si>
    <t>CF003113713</t>
  </si>
  <si>
    <t>CF003113714</t>
  </si>
  <si>
    <t>CF003113715</t>
  </si>
  <si>
    <t>CF003113716</t>
  </si>
  <si>
    <t>CF003113717</t>
  </si>
  <si>
    <t>CF003113718</t>
  </si>
  <si>
    <t>CF003113719</t>
  </si>
  <si>
    <t>CF003113720</t>
  </si>
  <si>
    <t>CF003113721</t>
  </si>
  <si>
    <t>CF003113722</t>
  </si>
  <si>
    <t>CF003113723</t>
  </si>
  <si>
    <t>CF003113724</t>
  </si>
  <si>
    <t>CF003113725</t>
  </si>
  <si>
    <t>CF003113726</t>
  </si>
  <si>
    <t>FV012281601</t>
  </si>
  <si>
    <t>CF003113766</t>
  </si>
  <si>
    <t>FV012280501</t>
  </si>
  <si>
    <t>CF003113767</t>
  </si>
  <si>
    <t>CF003114125</t>
  </si>
  <si>
    <t>FV012281101</t>
  </si>
  <si>
    <t>CF003114627</t>
  </si>
  <si>
    <t>CABERNET</t>
  </si>
  <si>
    <t>617</t>
  </si>
  <si>
    <t>FV012282501</t>
  </si>
  <si>
    <t>CF003116961</t>
  </si>
  <si>
    <t>CF003116962</t>
  </si>
  <si>
    <t>CF003116963</t>
  </si>
  <si>
    <t>CF003116964</t>
  </si>
  <si>
    <t>CF003116965</t>
  </si>
  <si>
    <t>CF003116976</t>
  </si>
  <si>
    <t>CF003116977</t>
  </si>
  <si>
    <t>CF003116978</t>
  </si>
  <si>
    <t>CF003116979</t>
  </si>
  <si>
    <t>CF003116980</t>
  </si>
  <si>
    <t>CF003116981</t>
  </si>
  <si>
    <t>CF003116982</t>
  </si>
  <si>
    <t>CF003116983</t>
  </si>
  <si>
    <t>CF003116984</t>
  </si>
  <si>
    <t>CF003116985</t>
  </si>
  <si>
    <t>CF003116986</t>
  </si>
  <si>
    <t>CF003116987</t>
  </si>
  <si>
    <t>CF003116988</t>
  </si>
  <si>
    <t>CF003116989</t>
  </si>
  <si>
    <t>CF003116990</t>
  </si>
  <si>
    <t>CF003116991</t>
  </si>
  <si>
    <t>CF003116992</t>
  </si>
  <si>
    <t>CF003116993</t>
  </si>
  <si>
    <t>CF003116994</t>
  </si>
  <si>
    <t>CF003116995</t>
  </si>
  <si>
    <t>CF003116996</t>
  </si>
  <si>
    <t>CF003116997</t>
  </si>
  <si>
    <t>CF003116998</t>
  </si>
  <si>
    <t>CF003116999</t>
  </si>
  <si>
    <t>CF003117000</t>
  </si>
  <si>
    <t>CF003117001</t>
  </si>
  <si>
    <t>CF003117002</t>
  </si>
  <si>
    <t>CF003117003</t>
  </si>
  <si>
    <t>CF003117004</t>
  </si>
  <si>
    <t>CF003117005</t>
  </si>
  <si>
    <t>CF003117006</t>
  </si>
  <si>
    <t>MOCHA</t>
  </si>
  <si>
    <t>292</t>
  </si>
  <si>
    <t>FV012283001</t>
  </si>
  <si>
    <t>CF003117616</t>
  </si>
  <si>
    <t>CF003117617</t>
  </si>
  <si>
    <t>CF003117618</t>
  </si>
  <si>
    <t>CF003117619</t>
  </si>
  <si>
    <t>CF003117620</t>
  </si>
  <si>
    <t>CF003117621</t>
  </si>
  <si>
    <t>CF003117622</t>
  </si>
  <si>
    <t>CF003117623</t>
  </si>
  <si>
    <t>CF003117624</t>
  </si>
  <si>
    <t>CF003117625</t>
  </si>
  <si>
    <t>CF003117631</t>
  </si>
  <si>
    <t>CF003117632</t>
  </si>
  <si>
    <t>CF003117633</t>
  </si>
  <si>
    <t>CF003117634</t>
  </si>
  <si>
    <t>CF003117635</t>
  </si>
  <si>
    <t>CF003117636</t>
  </si>
  <si>
    <t>CF003117637</t>
  </si>
  <si>
    <t>CF003117638</t>
  </si>
  <si>
    <t>CF003117639</t>
  </si>
  <si>
    <t>CF003117640</t>
  </si>
  <si>
    <t>CF003117641</t>
  </si>
  <si>
    <t>CF003117642</t>
  </si>
  <si>
    <t>CF003117643</t>
  </si>
  <si>
    <t>CF003117644</t>
  </si>
  <si>
    <t>CF003117645</t>
  </si>
  <si>
    <t>CF003117646</t>
  </si>
  <si>
    <t>CF003117647</t>
  </si>
  <si>
    <t>CF003117648</t>
  </si>
  <si>
    <t>CF003117649</t>
  </si>
  <si>
    <t>CF003117650</t>
  </si>
  <si>
    <t>CF003117674</t>
  </si>
  <si>
    <t>CF003117675</t>
  </si>
  <si>
    <t>CF003117676</t>
  </si>
  <si>
    <t>CF003117677</t>
  </si>
  <si>
    <t>CF003117678</t>
  </si>
  <si>
    <t>CF003117679</t>
  </si>
  <si>
    <t>CF003117680</t>
  </si>
  <si>
    <t>CF003117681</t>
  </si>
  <si>
    <t>CF003117682</t>
  </si>
  <si>
    <t>CF003117683</t>
  </si>
  <si>
    <t>CF003117684</t>
  </si>
  <si>
    <t>CF003117685</t>
  </si>
  <si>
    <t>CF003117691</t>
  </si>
  <si>
    <t>CF003117692</t>
  </si>
  <si>
    <t>CF003117693</t>
  </si>
  <si>
    <t>CF003117694</t>
  </si>
  <si>
    <t>CF003117695</t>
  </si>
  <si>
    <t>CF003117696</t>
  </si>
  <si>
    <t>CF003118337</t>
  </si>
  <si>
    <t>FV012280801</t>
  </si>
  <si>
    <t>CF003118818</t>
  </si>
  <si>
    <t>FV012280601</t>
  </si>
  <si>
    <t>CF003118862</t>
  </si>
  <si>
    <t>FV012282001A</t>
  </si>
  <si>
    <t>CF003120194</t>
  </si>
  <si>
    <t>khác màu hai biên mỗi biên vào 2 inch+ bên trái vao 4 in</t>
  </si>
  <si>
    <t>balance Marker khác màu hai biên, né ben trái vào 4 in</t>
  </si>
  <si>
    <t>CF003120195</t>
  </si>
  <si>
    <t>khác màu hai biên mỗi biên vào 2 inch</t>
  </si>
  <si>
    <t>balance Marker khác màu hai biên</t>
  </si>
  <si>
    <t>CF003120196</t>
  </si>
  <si>
    <t>CF003120197</t>
  </si>
  <si>
    <t>CF003120198</t>
  </si>
  <si>
    <t>CF003120199</t>
  </si>
  <si>
    <t>CF003120200</t>
  </si>
  <si>
    <t>CF003120201</t>
  </si>
  <si>
    <t>CF003120202</t>
  </si>
  <si>
    <t>CF003120203</t>
  </si>
  <si>
    <t>CF003120204</t>
  </si>
  <si>
    <t>CF003120205</t>
  </si>
  <si>
    <t>CF003120206</t>
  </si>
  <si>
    <t>CF003120207</t>
  </si>
  <si>
    <t>khác màu hai biên mỗi biên vào 2 inch, ma satsbeen phải vào 4in</t>
  </si>
  <si>
    <t>balance Marker khác màu hai biên, né beên phải 4 in</t>
  </si>
  <si>
    <t>CF003120208</t>
  </si>
  <si>
    <t>2</t>
  </si>
  <si>
    <t>khác màu hai biên mỗi biên vào 2 inch, ma saát bên phải vào 4 in.</t>
  </si>
  <si>
    <t>balance Marker khác màu hai biên, né biên phải vào 4 in.</t>
  </si>
  <si>
    <t>CF003120209</t>
  </si>
  <si>
    <t>CF003120210</t>
  </si>
  <si>
    <t>CF003120211</t>
  </si>
  <si>
    <t>CF003120212</t>
  </si>
  <si>
    <t>CF003120213</t>
  </si>
  <si>
    <t>CF003120214</t>
  </si>
  <si>
    <t>CF003120215</t>
  </si>
  <si>
    <t>CF003120216</t>
  </si>
  <si>
    <t>CF003120217</t>
  </si>
  <si>
    <t>CF003120218</t>
  </si>
  <si>
    <t>CF003120219</t>
  </si>
  <si>
    <t>CF003120220</t>
  </si>
  <si>
    <t>CF003120221</t>
  </si>
  <si>
    <t>CF003120222</t>
  </si>
  <si>
    <t>CF003120223</t>
  </si>
  <si>
    <t>CF003120224</t>
  </si>
  <si>
    <t>CF003120225</t>
  </si>
  <si>
    <t>CF003120226</t>
  </si>
  <si>
    <t>CF003120227</t>
  </si>
  <si>
    <t>CF003120228</t>
  </si>
  <si>
    <t>CF003120229</t>
  </si>
  <si>
    <t>CF003120230</t>
  </si>
  <si>
    <t>CF003120231</t>
  </si>
  <si>
    <t>CF003120232</t>
  </si>
  <si>
    <t>CF003120233</t>
  </si>
  <si>
    <t>CF003120234</t>
  </si>
  <si>
    <t>CF003120235</t>
  </si>
  <si>
    <t>Air Force Blue</t>
  </si>
  <si>
    <t>957</t>
  </si>
  <si>
    <t>FV012281301</t>
  </si>
  <si>
    <t>CF003122552</t>
  </si>
  <si>
    <t>LEAF</t>
  </si>
  <si>
    <t>396</t>
  </si>
  <si>
    <t>FV012280701</t>
  </si>
  <si>
    <t>CF003124291</t>
  </si>
  <si>
    <t>CF003124292</t>
  </si>
  <si>
    <t>FV012282901</t>
  </si>
  <si>
    <t>CF003124926</t>
  </si>
  <si>
    <t>CF003124927</t>
  </si>
  <si>
    <t>CF003124928</t>
  </si>
  <si>
    <t>CF003124929</t>
  </si>
  <si>
    <t>CF003124930</t>
  </si>
  <si>
    <t>CF003124931</t>
  </si>
  <si>
    <t>CF003124932</t>
  </si>
  <si>
    <t>CF003124933</t>
  </si>
  <si>
    <t>CF003124934</t>
  </si>
  <si>
    <t>CF003124935</t>
  </si>
  <si>
    <t>CF003124936</t>
  </si>
  <si>
    <t>CF003124937</t>
  </si>
  <si>
    <t>CF003124938</t>
  </si>
  <si>
    <t>CF003124939</t>
  </si>
  <si>
    <t>CF003124940</t>
  </si>
  <si>
    <t>CF003124941</t>
  </si>
  <si>
    <t>CF003124942</t>
  </si>
  <si>
    <t>CF003124943</t>
  </si>
  <si>
    <t>CF003124944</t>
  </si>
  <si>
    <t>CF003124945</t>
  </si>
  <si>
    <t>CF003124946</t>
  </si>
  <si>
    <t>CF003124947</t>
  </si>
  <si>
    <t>CF003124948</t>
  </si>
  <si>
    <t>CF003124949</t>
  </si>
  <si>
    <t>CF003124950</t>
  </si>
  <si>
    <t>CF003124951</t>
  </si>
  <si>
    <t>CF003124952</t>
  </si>
  <si>
    <t>CF003124953</t>
  </si>
  <si>
    <t>CF003124954</t>
  </si>
  <si>
    <t>CF003124955</t>
  </si>
  <si>
    <t>CF003124956</t>
  </si>
  <si>
    <t>CF003124957</t>
  </si>
  <si>
    <t>CF003124958</t>
  </si>
  <si>
    <t>CF003124959</t>
  </si>
  <si>
    <t>CF003124960</t>
  </si>
  <si>
    <t>CF003124961</t>
  </si>
  <si>
    <t>CF003124962</t>
  </si>
  <si>
    <t>CF003124963</t>
  </si>
  <si>
    <t>CF003124964</t>
  </si>
  <si>
    <t>CF003124965</t>
  </si>
  <si>
    <t>CF003124966</t>
  </si>
  <si>
    <t>CF003124967</t>
  </si>
  <si>
    <t>CF003124968</t>
  </si>
  <si>
    <t>CF003124969</t>
  </si>
  <si>
    <t>CF003124970</t>
  </si>
  <si>
    <t>CF003124971</t>
  </si>
  <si>
    <t>CF003124972</t>
  </si>
  <si>
    <t>CF003124973</t>
  </si>
  <si>
    <t>CF003124974</t>
  </si>
  <si>
    <t>CF003124975</t>
  </si>
  <si>
    <t>CANVAS</t>
  </si>
  <si>
    <t>286</t>
  </si>
  <si>
    <t>FV012282201</t>
  </si>
  <si>
    <t>CF003124976</t>
  </si>
  <si>
    <t>CF003124977</t>
  </si>
  <si>
    <t>CF003124978</t>
  </si>
  <si>
    <t>CF003124979</t>
  </si>
  <si>
    <t>CF003124980</t>
  </si>
  <si>
    <t>CF003124981</t>
  </si>
  <si>
    <t>CF003124982</t>
  </si>
  <si>
    <t>CF003124983</t>
  </si>
  <si>
    <t>CF003124984</t>
  </si>
  <si>
    <t>CF003124985</t>
  </si>
  <si>
    <t>CF003124986</t>
  </si>
  <si>
    <t>CF003124987</t>
  </si>
  <si>
    <t>CF003124988</t>
  </si>
  <si>
    <t>CF003124989</t>
  </si>
  <si>
    <t>CF003124990</t>
  </si>
  <si>
    <t>CF003124991</t>
  </si>
  <si>
    <t>CF003124992</t>
  </si>
  <si>
    <t>CF003124993</t>
  </si>
  <si>
    <t>CF003124994</t>
  </si>
  <si>
    <t>CF003124995</t>
  </si>
  <si>
    <t>CF003124996</t>
  </si>
  <si>
    <t>CF003124997</t>
  </si>
  <si>
    <t>CF003124998</t>
  </si>
  <si>
    <t>CF003124999</t>
  </si>
  <si>
    <t>CF003125000</t>
  </si>
  <si>
    <t>CF003125001</t>
  </si>
  <si>
    <t>CF003125002</t>
  </si>
  <si>
    <t>CF003125003</t>
  </si>
  <si>
    <t>CF003125004</t>
  </si>
  <si>
    <t>CF003125005</t>
  </si>
  <si>
    <t>CF003125006</t>
  </si>
  <si>
    <t>CF003125007</t>
  </si>
  <si>
    <t>BLUE MELANGE</t>
  </si>
  <si>
    <t>468</t>
  </si>
  <si>
    <t>FV012280102</t>
  </si>
  <si>
    <t>C1600074</t>
  </si>
  <si>
    <t>CF003126181</t>
  </si>
  <si>
    <t>CF003126182</t>
  </si>
  <si>
    <t>CF003126183</t>
  </si>
  <si>
    <t>CF003126184</t>
  </si>
  <si>
    <t>CF003126185</t>
  </si>
  <si>
    <t>CF003126191</t>
  </si>
  <si>
    <t>CF003126192</t>
  </si>
  <si>
    <t>CF003126193</t>
  </si>
  <si>
    <t>CF003126194</t>
  </si>
  <si>
    <t>CF003126195</t>
  </si>
  <si>
    <t>CF003126196</t>
  </si>
  <si>
    <t>CF003126197</t>
  </si>
  <si>
    <t>CF003126198</t>
  </si>
  <si>
    <t>CF003126199</t>
  </si>
  <si>
    <t>CF003126200</t>
  </si>
  <si>
    <t>CF003126201</t>
  </si>
  <si>
    <t>CF003126202</t>
  </si>
  <si>
    <t>CF003126203</t>
  </si>
  <si>
    <t>CF003126204</t>
  </si>
  <si>
    <t>CF003126205</t>
  </si>
  <si>
    <t>CF003126206</t>
  </si>
  <si>
    <t>CF003126207</t>
  </si>
  <si>
    <t>FV012282003B</t>
  </si>
  <si>
    <t>CF003126353</t>
  </si>
  <si>
    <t>CF003126354</t>
  </si>
  <si>
    <t>CF003126362</t>
  </si>
  <si>
    <t>FV012526201</t>
  </si>
  <si>
    <t>CF003126451</t>
  </si>
  <si>
    <t>FV012281001</t>
  </si>
  <si>
    <t>CF003126452</t>
  </si>
  <si>
    <t>CF003127284</t>
  </si>
  <si>
    <t>D</t>
  </si>
  <si>
    <t>CF003127285</t>
  </si>
  <si>
    <t>FV012279901</t>
  </si>
  <si>
    <t>C1600075</t>
  </si>
  <si>
    <t>CF003127627</t>
  </si>
  <si>
    <t>CF003127628</t>
  </si>
  <si>
    <t>FV012282801</t>
  </si>
  <si>
    <t>CF003127629</t>
  </si>
  <si>
    <t>Vết trắng 10%, vêt trắng tech không sử lý thêm được.</t>
  </si>
  <si>
    <t>sort out BTP VẾT Trắng</t>
  </si>
  <si>
    <t>CF003127630</t>
  </si>
  <si>
    <t>CF003127631</t>
  </si>
  <si>
    <t>CF003127632</t>
  </si>
  <si>
    <t>CF003127633</t>
  </si>
  <si>
    <t>CF003127634</t>
  </si>
  <si>
    <t>CF003127635</t>
  </si>
  <si>
    <t>CF003127636</t>
  </si>
  <si>
    <t>CF003127637</t>
  </si>
  <si>
    <t>CF003127638</t>
  </si>
  <si>
    <t>CF003127639</t>
  </si>
  <si>
    <t>CF003127640</t>
  </si>
  <si>
    <t>CF003127641</t>
  </si>
  <si>
    <t>CF003127642</t>
  </si>
  <si>
    <t>CF003127643</t>
  </si>
  <si>
    <t>CF003127644</t>
  </si>
  <si>
    <t>CF003127645</t>
  </si>
  <si>
    <t>CF003127646</t>
  </si>
  <si>
    <t>CF003127647</t>
  </si>
  <si>
    <t>CF003127648</t>
  </si>
  <si>
    <t>CF003127649</t>
  </si>
  <si>
    <t>CF003127650</t>
  </si>
  <si>
    <t>CF003127656</t>
  </si>
  <si>
    <t>CF003127661</t>
  </si>
  <si>
    <t>CF003127662</t>
  </si>
  <si>
    <t>CF003127663</t>
  </si>
  <si>
    <t>CF003127664</t>
  </si>
  <si>
    <t>CF003127665</t>
  </si>
  <si>
    <t>CF003127666</t>
  </si>
  <si>
    <t>CF003127667</t>
  </si>
  <si>
    <t>CF003127668</t>
  </si>
  <si>
    <t>CF003127669</t>
  </si>
  <si>
    <t>CF003127670</t>
  </si>
  <si>
    <t>CF003127672</t>
  </si>
  <si>
    <t>CF003127673</t>
  </si>
  <si>
    <t>CF003127675</t>
  </si>
  <si>
    <t>CF003127676</t>
  </si>
  <si>
    <t>CF003127677</t>
  </si>
  <si>
    <t>CF003127678</t>
  </si>
  <si>
    <t>CF003127679</t>
  </si>
  <si>
    <t>CF003127680</t>
  </si>
  <si>
    <t>CF003127681</t>
  </si>
  <si>
    <t>CF003127682</t>
  </si>
  <si>
    <t>CF003127683</t>
  </si>
  <si>
    <t>CF003127684</t>
  </si>
  <si>
    <t>CF003127714</t>
  </si>
  <si>
    <t>FV012280101</t>
  </si>
  <si>
    <t>CF003128339</t>
  </si>
  <si>
    <t>CF003128340</t>
  </si>
  <si>
    <t>CF003128341</t>
  </si>
  <si>
    <t>CF003128342</t>
  </si>
  <si>
    <t>CF003128343</t>
  </si>
  <si>
    <t>CF003128344</t>
  </si>
  <si>
    <t>CF003128345</t>
  </si>
  <si>
    <t>CF003128351</t>
  </si>
  <si>
    <t>CF003128352</t>
  </si>
  <si>
    <t>CF003128353</t>
  </si>
  <si>
    <t>CF003128354</t>
  </si>
  <si>
    <t>CF003128355</t>
  </si>
  <si>
    <t>CF003128361</t>
  </si>
  <si>
    <t>CF003128362</t>
  </si>
  <si>
    <t>CF003128363</t>
  </si>
  <si>
    <t>CF003128364</t>
  </si>
  <si>
    <t>CF003128365</t>
  </si>
  <si>
    <t>CF003128366</t>
  </si>
  <si>
    <t>CF003128367</t>
  </si>
  <si>
    <t>CF003128368</t>
  </si>
  <si>
    <t>CF003128369</t>
  </si>
  <si>
    <t>CF003128370</t>
  </si>
  <si>
    <t>CF003128371</t>
  </si>
  <si>
    <t>CF003128372</t>
  </si>
  <si>
    <t>CF003128373</t>
  </si>
  <si>
    <t>CF003128374</t>
  </si>
  <si>
    <t>CF003128375</t>
  </si>
  <si>
    <t>CF003128376</t>
  </si>
  <si>
    <t>CF003128377</t>
  </si>
  <si>
    <t>CF003128378</t>
  </si>
  <si>
    <t>CF003128379</t>
  </si>
  <si>
    <t>CF003128380</t>
  </si>
  <si>
    <t>CF003128386</t>
  </si>
  <si>
    <t>CF003128387</t>
  </si>
  <si>
    <t>CF003128388</t>
  </si>
  <si>
    <t>CF003128389</t>
  </si>
  <si>
    <t>CF003128390</t>
  </si>
  <si>
    <t>CF003128391</t>
  </si>
  <si>
    <t>CF003128392</t>
  </si>
  <si>
    <t>CF003128393</t>
  </si>
  <si>
    <t>CF003128394</t>
  </si>
  <si>
    <t>CF003128395</t>
  </si>
  <si>
    <t>CF003128411</t>
  </si>
  <si>
    <t>CF003128412</t>
  </si>
  <si>
    <t>CF003128413</t>
  </si>
  <si>
    <t>CF003128414</t>
  </si>
  <si>
    <t>FV012282602</t>
  </si>
  <si>
    <t>CF003128700</t>
  </si>
  <si>
    <t>CF003128701</t>
  </si>
  <si>
    <t>CF003128702</t>
  </si>
  <si>
    <t>CF003128703</t>
  </si>
  <si>
    <t>CF003128704</t>
  </si>
  <si>
    <t>CF003128705</t>
  </si>
  <si>
    <t>CF003128706</t>
  </si>
  <si>
    <t>CF003128707</t>
  </si>
  <si>
    <t>CF003128708</t>
  </si>
  <si>
    <t>CF003128709</t>
  </si>
  <si>
    <t>CF003128710</t>
  </si>
  <si>
    <t>CF003128711</t>
  </si>
  <si>
    <t>CF003128712</t>
  </si>
  <si>
    <t>CF003128713</t>
  </si>
  <si>
    <t>CF003128714</t>
  </si>
  <si>
    <t>CF003128715</t>
  </si>
  <si>
    <t>CF003128716</t>
  </si>
  <si>
    <t>CF003128717</t>
  </si>
  <si>
    <t>CF003128718</t>
  </si>
  <si>
    <t>CF003128719</t>
  </si>
  <si>
    <t>CF003128720</t>
  </si>
  <si>
    <t>CF003128721</t>
  </si>
  <si>
    <t>CF003128722</t>
  </si>
  <si>
    <t>CF003128723</t>
  </si>
  <si>
    <t>CF003128724</t>
  </si>
  <si>
    <t>CF003128725</t>
  </si>
  <si>
    <t>CF003128726</t>
  </si>
  <si>
    <t>CF003128727</t>
  </si>
  <si>
    <t>CF003128728</t>
  </si>
  <si>
    <t>CF003128729</t>
  </si>
  <si>
    <t>CF003128730</t>
  </si>
  <si>
    <t>CF003128731</t>
  </si>
  <si>
    <t>CF003128732</t>
  </si>
  <si>
    <t>CF003128733</t>
  </si>
  <si>
    <t>CF003128734</t>
  </si>
  <si>
    <t>CF003128735</t>
  </si>
  <si>
    <t>CF003128736</t>
  </si>
  <si>
    <t>FV012282902</t>
  </si>
  <si>
    <t>CF003130442</t>
  </si>
  <si>
    <t>CF003130443</t>
  </si>
  <si>
    <t>CF003130444</t>
  </si>
  <si>
    <t>CF003130445</t>
  </si>
  <si>
    <t>CF003130446</t>
  </si>
  <si>
    <t>CF003130447</t>
  </si>
  <si>
    <t>CF003130448</t>
  </si>
  <si>
    <t>CF003130449</t>
  </si>
  <si>
    <t>CF003130450</t>
  </si>
  <si>
    <t>CF003130451</t>
  </si>
  <si>
    <t>CF003130452</t>
  </si>
  <si>
    <t>CF003130453</t>
  </si>
  <si>
    <t>CF003130454</t>
  </si>
  <si>
    <t>CF003130455</t>
  </si>
  <si>
    <t>CF003130456</t>
  </si>
  <si>
    <t>CF003130457</t>
  </si>
  <si>
    <t>CF003130458</t>
  </si>
  <si>
    <t>CF003130459</t>
  </si>
  <si>
    <t>CF003130460</t>
  </si>
  <si>
    <t>CF003130461</t>
  </si>
  <si>
    <t>CF003130462</t>
  </si>
  <si>
    <t>CF003130463</t>
  </si>
  <si>
    <t>CF003130464</t>
  </si>
  <si>
    <t>CF003130465</t>
  </si>
  <si>
    <t>CF003130466</t>
  </si>
  <si>
    <t>CF003130467</t>
  </si>
  <si>
    <t>CF003130468</t>
  </si>
  <si>
    <t>CF003130469</t>
  </si>
  <si>
    <t>CF003130470</t>
  </si>
  <si>
    <t>CF003130471</t>
  </si>
  <si>
    <t>CF003130472</t>
  </si>
  <si>
    <t>CF003130473</t>
  </si>
  <si>
    <t>CF003130474</t>
  </si>
  <si>
    <t>CF003130475</t>
  </si>
  <si>
    <t>CF003130476</t>
  </si>
  <si>
    <t>CF003130477</t>
  </si>
  <si>
    <t>CF003130478</t>
  </si>
  <si>
    <t>CF003130479</t>
  </si>
  <si>
    <t>CF003130480</t>
  </si>
  <si>
    <t>CF003130481</t>
  </si>
  <si>
    <t>CF003130482</t>
  </si>
  <si>
    <t>CF003130483</t>
  </si>
  <si>
    <t>CF003130484</t>
  </si>
  <si>
    <t>CF003130485</t>
  </si>
  <si>
    <t>CF003130486</t>
  </si>
  <si>
    <t>CF003130487</t>
  </si>
  <si>
    <t>CF003130488</t>
  </si>
  <si>
    <t>CF003130489</t>
  </si>
  <si>
    <t>CF003130490</t>
  </si>
  <si>
    <t>CF003130557</t>
  </si>
  <si>
    <t>CF003130558</t>
  </si>
  <si>
    <t>CF003130560</t>
  </si>
  <si>
    <t>CF003133655</t>
  </si>
  <si>
    <t>CF003133702</t>
  </si>
  <si>
    <t>CF003133891</t>
  </si>
  <si>
    <t>CF003134011</t>
  </si>
  <si>
    <t>CF003134475</t>
  </si>
  <si>
    <t>CF003134487</t>
  </si>
  <si>
    <t>CF003134489</t>
  </si>
  <si>
    <t>CF003135303</t>
  </si>
  <si>
    <t>CF003135304</t>
  </si>
  <si>
    <t>CF003135326</t>
  </si>
  <si>
    <t>CF003135367</t>
  </si>
  <si>
    <t>CF003135369</t>
  </si>
  <si>
    <t>CF003135446</t>
  </si>
  <si>
    <t>CF003135448</t>
  </si>
  <si>
    <t>CF003135450</t>
  </si>
  <si>
    <t>CF003135637</t>
  </si>
  <si>
    <t>CF003135639</t>
  </si>
  <si>
    <t>CF003135640</t>
  </si>
  <si>
    <t>FV012282002</t>
  </si>
  <si>
    <t>CF003136452</t>
  </si>
  <si>
    <t>CF003136453</t>
  </si>
  <si>
    <t>CF003136454</t>
  </si>
  <si>
    <t>CF003136455</t>
  </si>
  <si>
    <t>CF003136456</t>
  </si>
  <si>
    <t>CF003136457</t>
  </si>
  <si>
    <t>CF003136458</t>
  </si>
  <si>
    <t>CF003136459</t>
  </si>
  <si>
    <t>CF003136460</t>
  </si>
  <si>
    <t>CF003136461</t>
  </si>
  <si>
    <t>CF003136462</t>
  </si>
  <si>
    <t>CF003136463</t>
  </si>
  <si>
    <t>CF003136464</t>
  </si>
  <si>
    <t>CF003136465</t>
  </si>
  <si>
    <t>CF003136466</t>
  </si>
  <si>
    <t>CF003136467</t>
  </si>
  <si>
    <t>CF003136468</t>
  </si>
  <si>
    <t>CF003136469</t>
  </si>
  <si>
    <t>CF003136470</t>
  </si>
  <si>
    <t>CF003136471</t>
  </si>
  <si>
    <t>CF003136472</t>
  </si>
  <si>
    <t>CF003136473</t>
  </si>
  <si>
    <t>CF003136474</t>
  </si>
  <si>
    <t>CF003136475</t>
  </si>
  <si>
    <t>CF003136476</t>
  </si>
  <si>
    <t>CF003136477</t>
  </si>
  <si>
    <t>CF003136481</t>
  </si>
  <si>
    <t>CF003136482</t>
  </si>
  <si>
    <t>CF003136483</t>
  </si>
  <si>
    <t>CF003136484</t>
  </si>
  <si>
    <t>CF003136496</t>
  </si>
  <si>
    <t>CF003136497</t>
  </si>
  <si>
    <t>CF003136498</t>
  </si>
  <si>
    <t>CF003136499</t>
  </si>
  <si>
    <t>CF003136500</t>
  </si>
  <si>
    <t>CF003136501</t>
  </si>
  <si>
    <t>CF003136502</t>
  </si>
  <si>
    <t>CF003136503</t>
  </si>
  <si>
    <t>CF003136504</t>
  </si>
  <si>
    <t>CF003136505</t>
  </si>
  <si>
    <t>CF003136506</t>
  </si>
  <si>
    <t>CF003136507</t>
  </si>
  <si>
    <t>CF003136508</t>
  </si>
  <si>
    <t>CF003136513</t>
  </si>
  <si>
    <t>CF003136514</t>
  </si>
  <si>
    <t>FV012282502</t>
  </si>
  <si>
    <t>CF003138107</t>
  </si>
  <si>
    <t>rằn ri biên phải vào 3'' + vết trắng 15%</t>
  </si>
  <si>
    <t>vết trắng sort uot trên btp +trừ biên phải vào 3''</t>
  </si>
  <si>
    <t>CF003138108</t>
  </si>
  <si>
    <t>CF003138109</t>
  </si>
  <si>
    <t>rằn ri biên trái vào 3'' + vết trắng 15%</t>
  </si>
  <si>
    <t>vết trắng sort uot trên btp +trừ biên trái vào 3''</t>
  </si>
  <si>
    <t>CF003138110</t>
  </si>
  <si>
    <t>CF003138111</t>
  </si>
  <si>
    <t>CF003138112</t>
  </si>
  <si>
    <t>CF003138113</t>
  </si>
  <si>
    <t>CF003138114</t>
  </si>
  <si>
    <t>CF003138115</t>
  </si>
  <si>
    <t>CF003138116</t>
  </si>
  <si>
    <t>CF003138117</t>
  </si>
  <si>
    <t>CF003138118</t>
  </si>
  <si>
    <t>CF003138119</t>
  </si>
  <si>
    <t>CF003138120</t>
  </si>
  <si>
    <t>CF003138121</t>
  </si>
  <si>
    <t>rằn ri biên trái vào 3'' + vết trắng 15% + ma sát biên trái 11'' biên phải 10''</t>
  </si>
  <si>
    <t>vết trắng sort uot trên btp +trừ biên trái vào 3'' + biên trái 11'' + phải 10''</t>
  </si>
  <si>
    <t>CF003138122</t>
  </si>
  <si>
    <t>CF003138123</t>
  </si>
  <si>
    <t>CF003138124</t>
  </si>
  <si>
    <t>CF003138125</t>
  </si>
  <si>
    <t>CF003138127</t>
  </si>
  <si>
    <t>CF003138128</t>
  </si>
  <si>
    <t>CF003138129</t>
  </si>
  <si>
    <t>CF003138130</t>
  </si>
  <si>
    <t>CF003138131</t>
  </si>
  <si>
    <t>CF003138132</t>
  </si>
  <si>
    <t>CF003138133</t>
  </si>
  <si>
    <t>CF003138134</t>
  </si>
  <si>
    <t>CF003138136</t>
  </si>
  <si>
    <t>CF003138137</t>
  </si>
  <si>
    <t>CF003138138</t>
  </si>
  <si>
    <t>CF003138139</t>
  </si>
  <si>
    <t>CF003138140</t>
  </si>
  <si>
    <t>CF003138141</t>
  </si>
  <si>
    <t>CF003138142</t>
  </si>
  <si>
    <t>CF003138143</t>
  </si>
  <si>
    <t>rằn ri biên phải vào 3'' + vết trắng 15%+ ma sát 2 biên mỗi biên 10''</t>
  </si>
  <si>
    <t>vết trắng sort uot trên btp +trừ biên phải vào 3'' + nè 2 biên mỗi biên 10''</t>
  </si>
  <si>
    <t>CF003138144</t>
  </si>
  <si>
    <t>CF003138145</t>
  </si>
  <si>
    <t>CF003138146</t>
  </si>
  <si>
    <t>CF003138147</t>
  </si>
  <si>
    <t>CF003138148</t>
  </si>
  <si>
    <t>CF003138149</t>
  </si>
  <si>
    <t>CF003138150</t>
  </si>
  <si>
    <t>CF003138151</t>
  </si>
  <si>
    <t>CF003138152</t>
  </si>
  <si>
    <t>FV012282202</t>
  </si>
  <si>
    <t>CF003150698</t>
  </si>
  <si>
    <t>CF003150699</t>
  </si>
  <si>
    <t>CF003150700</t>
  </si>
  <si>
    <t>CF003150701</t>
  </si>
  <si>
    <t>CF003150702</t>
  </si>
  <si>
    <t>CF003150703</t>
  </si>
  <si>
    <t>CF003150704</t>
  </si>
  <si>
    <t>CF003150705</t>
  </si>
  <si>
    <t>CF003150706</t>
  </si>
  <si>
    <t>CF003150707</t>
  </si>
  <si>
    <t>CF003150708</t>
  </si>
  <si>
    <t>CF003150709</t>
  </si>
  <si>
    <t>CF003150710</t>
  </si>
  <si>
    <t>CF003150711</t>
  </si>
  <si>
    <t>CF003150712</t>
  </si>
  <si>
    <t>CF003150713</t>
  </si>
  <si>
    <t>CF003150714</t>
  </si>
  <si>
    <t>CF003150715</t>
  </si>
  <si>
    <t>CF003150716</t>
  </si>
  <si>
    <t>CF003150717</t>
  </si>
  <si>
    <t>CF003150718</t>
  </si>
  <si>
    <t>CF003150719</t>
  </si>
  <si>
    <t>CF003150720</t>
  </si>
  <si>
    <t>CF003150721</t>
  </si>
  <si>
    <t>CF003150722</t>
  </si>
  <si>
    <t>CF003150723</t>
  </si>
  <si>
    <t>FV012282603</t>
  </si>
  <si>
    <t>CF003158668</t>
  </si>
  <si>
    <t>rằn ri biên phải 4" cả đơn</t>
  </si>
  <si>
    <t>sort out htp+né biên phải vào 4"</t>
  </si>
  <si>
    <t>CF003158669</t>
  </si>
  <si>
    <t>CF003158670</t>
  </si>
  <si>
    <t>CF003158671</t>
  </si>
  <si>
    <t>CF003158672</t>
  </si>
  <si>
    <t>CF003158673</t>
  </si>
  <si>
    <t>CF003158674</t>
  </si>
  <si>
    <t>CF003158675</t>
  </si>
  <si>
    <t>CF003158676</t>
  </si>
  <si>
    <t>CF003158677</t>
  </si>
  <si>
    <t>CF003158678</t>
  </si>
  <si>
    <t>CF003158679</t>
  </si>
  <si>
    <t>CF003158680</t>
  </si>
  <si>
    <t>CF003158681</t>
  </si>
  <si>
    <t>CF003158682</t>
  </si>
  <si>
    <t>CF003158683</t>
  </si>
  <si>
    <t>6</t>
  </si>
  <si>
    <t>CF003158684</t>
  </si>
  <si>
    <t>CF003158685</t>
  </si>
  <si>
    <t>CF003158686</t>
  </si>
  <si>
    <t>CF003158687</t>
  </si>
  <si>
    <t>CF003158688</t>
  </si>
  <si>
    <t>CF003158689</t>
  </si>
  <si>
    <t>CF003158690</t>
  </si>
  <si>
    <t>CF003158691</t>
  </si>
  <si>
    <t>CF003158692</t>
  </si>
  <si>
    <t>CF003158693</t>
  </si>
  <si>
    <t>CF003158694</t>
  </si>
  <si>
    <t>FV012283102A</t>
  </si>
  <si>
    <t>CF003160826</t>
  </si>
  <si>
    <t>Ma sát biên phải 1in= khác màu 2 biên 2in mỗi bên</t>
  </si>
  <si>
    <t>Trừ 2 biên mỗi bên vào 2 in =balane marter</t>
  </si>
  <si>
    <t>CF003160827</t>
  </si>
  <si>
    <t>CF003160828</t>
  </si>
  <si>
    <t>CF003160829</t>
  </si>
  <si>
    <t>CF003160830</t>
  </si>
  <si>
    <t>CF003160831</t>
  </si>
  <si>
    <t>CF003160832</t>
  </si>
  <si>
    <t>CF003160833</t>
  </si>
  <si>
    <t>CF003160834</t>
  </si>
  <si>
    <t>CF003160835</t>
  </si>
  <si>
    <t>CF003160836</t>
  </si>
  <si>
    <t>CF003160837</t>
  </si>
  <si>
    <t>CF003160838</t>
  </si>
  <si>
    <t>CF003160839</t>
  </si>
  <si>
    <t>CF003160840</t>
  </si>
  <si>
    <t>CF003160841</t>
  </si>
  <si>
    <t>CF003160842</t>
  </si>
  <si>
    <t>CF003160843</t>
  </si>
  <si>
    <t>CF003160844</t>
  </si>
  <si>
    <t>CF003160845</t>
  </si>
  <si>
    <t>CF003160846</t>
  </si>
  <si>
    <t>CF003160847</t>
  </si>
  <si>
    <t>CF003160848</t>
  </si>
  <si>
    <t>CF003160849</t>
  </si>
  <si>
    <t>CF003160850</t>
  </si>
  <si>
    <t>CF003160851</t>
  </si>
  <si>
    <t>CF003160852</t>
  </si>
  <si>
    <t>FV012283103A</t>
  </si>
  <si>
    <t>CF003166066</t>
  </si>
  <si>
    <t>CF003166067</t>
  </si>
  <si>
    <t>FV012283002</t>
  </si>
  <si>
    <t>CF003166235</t>
  </si>
  <si>
    <t>CF003166251</t>
  </si>
  <si>
    <t>CF003166252</t>
  </si>
  <si>
    <t>CF003166253</t>
  </si>
  <si>
    <t>CF003166254</t>
  </si>
  <si>
    <t>CF003166255</t>
  </si>
  <si>
    <t>CF003166256</t>
  </si>
  <si>
    <t>CF003166257</t>
  </si>
  <si>
    <t>CF003166258</t>
  </si>
  <si>
    <t>CF003166259</t>
  </si>
  <si>
    <t>CF003166260</t>
  </si>
  <si>
    <t>CF003166261</t>
  </si>
  <si>
    <t>CF003166262</t>
  </si>
  <si>
    <t>CF003166263</t>
  </si>
  <si>
    <t>CF003166264</t>
  </si>
  <si>
    <t>CF003166461</t>
  </si>
  <si>
    <t>CF003166462</t>
  </si>
  <si>
    <t>CF003166463</t>
  </si>
  <si>
    <t>CF003166464</t>
  </si>
  <si>
    <t>CF003166465</t>
  </si>
  <si>
    <t>CF003166471</t>
  </si>
  <si>
    <t>CF003166472</t>
  </si>
  <si>
    <t>CF003166473</t>
  </si>
  <si>
    <t>CF003166474</t>
  </si>
  <si>
    <t>CF003166475</t>
  </si>
  <si>
    <t>CF003166476</t>
  </si>
  <si>
    <t>CF003166477</t>
  </si>
  <si>
    <t>CF003166478</t>
  </si>
  <si>
    <t>CF003166479</t>
  </si>
  <si>
    <t>CF003166480</t>
  </si>
  <si>
    <t>FV012282802</t>
  </si>
  <si>
    <t>CF003168545</t>
  </si>
  <si>
    <t>rằn ri biên trái vào 3inch</t>
  </si>
  <si>
    <t>né biên trái vào 3inch</t>
  </si>
  <si>
    <t>CF003168546</t>
  </si>
  <si>
    <t>CF003168547</t>
  </si>
  <si>
    <t>CF003168548</t>
  </si>
  <si>
    <t>CF003168549</t>
  </si>
  <si>
    <t>dơ 2 biên mỗi biên vào 4inch</t>
  </si>
  <si>
    <t>né 2 biên mỗi biên vào 4inch</t>
  </si>
  <si>
    <t>CF003168550</t>
  </si>
  <si>
    <t>CF003168551</t>
  </si>
  <si>
    <t>CF003168552</t>
  </si>
  <si>
    <t>CF003172571</t>
  </si>
  <si>
    <t>CF003172572</t>
  </si>
  <si>
    <t>CF003172573</t>
  </si>
  <si>
    <t>CF003172574</t>
  </si>
  <si>
    <t>CF003172575</t>
  </si>
  <si>
    <t>CF003172576</t>
  </si>
  <si>
    <t>CF003172577</t>
  </si>
  <si>
    <t>CF003172578</t>
  </si>
  <si>
    <t>CF003172579</t>
  </si>
  <si>
    <t>CF003172580</t>
  </si>
  <si>
    <t>CF003172601</t>
  </si>
  <si>
    <t>CF003172602</t>
  </si>
  <si>
    <t>CF003172603</t>
  </si>
  <si>
    <t>CF003172604</t>
  </si>
  <si>
    <t>CF003172605</t>
  </si>
  <si>
    <t>CF003172616</t>
  </si>
  <si>
    <t>CF003172617</t>
  </si>
  <si>
    <t>CF003172618</t>
  </si>
  <si>
    <t>CF003172761</t>
  </si>
  <si>
    <t>CF003172762</t>
  </si>
  <si>
    <t>CF003172763</t>
  </si>
  <si>
    <t>CF003172764</t>
  </si>
  <si>
    <t>CF003172765</t>
  </si>
  <si>
    <t>CF003172766</t>
  </si>
  <si>
    <t>CF003172767</t>
  </si>
  <si>
    <t>CF003172773</t>
  </si>
  <si>
    <t>CF003172774</t>
  </si>
  <si>
    <t>CF003172775</t>
  </si>
  <si>
    <t>CF003172776</t>
  </si>
  <si>
    <t>CF003172777</t>
  </si>
  <si>
    <t>CF003172778</t>
  </si>
  <si>
    <t>CF003173701</t>
  </si>
  <si>
    <t>CF003173702</t>
  </si>
  <si>
    <t>Oil (FN) [后整油污]</t>
  </si>
  <si>
    <t>CF003174155</t>
  </si>
  <si>
    <t>CF003174171</t>
  </si>
  <si>
    <t>CF003174172</t>
  </si>
  <si>
    <t>CF003174173</t>
  </si>
  <si>
    <t>CF003174174</t>
  </si>
  <si>
    <t>CF003174175</t>
  </si>
  <si>
    <t>CF003174176</t>
  </si>
  <si>
    <t>CF003174177</t>
  </si>
  <si>
    <t>CF003174178</t>
  </si>
  <si>
    <t>CF003174644</t>
  </si>
  <si>
    <t>CF003175211</t>
  </si>
  <si>
    <t>CF003175212</t>
  </si>
  <si>
    <t>CF003175213</t>
  </si>
  <si>
    <t>CF003175214</t>
  </si>
  <si>
    <t>CF003175215</t>
  </si>
  <si>
    <t>CF003175231</t>
  </si>
  <si>
    <t>CF003175232</t>
  </si>
  <si>
    <t>CF003175233</t>
  </si>
  <si>
    <t>CF003175234</t>
  </si>
  <si>
    <t>CF003175235</t>
  </si>
  <si>
    <t>CF003175236</t>
  </si>
  <si>
    <t>CF003175237</t>
  </si>
  <si>
    <t>CF003175238</t>
  </si>
  <si>
    <t>FV012282102</t>
  </si>
  <si>
    <t>CF003175281</t>
  </si>
  <si>
    <t>CF003175282</t>
  </si>
  <si>
    <t>CF003175283</t>
  </si>
  <si>
    <t>CF003175284</t>
  </si>
  <si>
    <t>CF003175298</t>
  </si>
  <si>
    <t>CF003175299</t>
  </si>
  <si>
    <t>CF003175300</t>
  </si>
  <si>
    <t>CF003175316</t>
  </si>
  <si>
    <t>FV012675901A</t>
  </si>
  <si>
    <t>CF003175996</t>
  </si>
  <si>
    <t>CF003175997</t>
  </si>
  <si>
    <t>CF003175998</t>
  </si>
  <si>
    <t>CF003175999</t>
  </si>
  <si>
    <t>CF003176000</t>
  </si>
  <si>
    <t>CF003176001</t>
  </si>
  <si>
    <t>CF003176002</t>
  </si>
  <si>
    <t>FV012735501</t>
  </si>
  <si>
    <t>CF003176174</t>
  </si>
  <si>
    <t>khác màu 2 biên mỗi biên 2"</t>
  </si>
  <si>
    <t>trừ 2 biên mỗi biên vào 2"+ Balane Marker</t>
  </si>
  <si>
    <t>CF003176175</t>
  </si>
  <si>
    <t>CF003176181</t>
  </si>
  <si>
    <t>CF003176182</t>
  </si>
  <si>
    <t>CF003176183</t>
  </si>
  <si>
    <t>CF003176184</t>
  </si>
  <si>
    <t>FV012282503</t>
  </si>
  <si>
    <t>CF003177480</t>
  </si>
  <si>
    <t>rằn ri biên trái 3in</t>
  </si>
  <si>
    <t>né biên trái vào 3in+balane marker+sort out BTP</t>
  </si>
  <si>
    <t>CF003177486</t>
  </si>
  <si>
    <t>CF003177487</t>
  </si>
  <si>
    <t>CF003177488</t>
  </si>
  <si>
    <t>CF003177489</t>
  </si>
  <si>
    <t>CF003177490</t>
  </si>
  <si>
    <t>CF003177491</t>
  </si>
  <si>
    <t>CF003177492</t>
  </si>
  <si>
    <t>CF003177493</t>
  </si>
  <si>
    <t>rằn ri biên phải 3in</t>
  </si>
  <si>
    <t>né biên phải vào 3in+balane maker sort out BTP</t>
  </si>
  <si>
    <t>FV012735401</t>
  </si>
  <si>
    <t>CF003177494</t>
  </si>
  <si>
    <t>rằn ri biên phải vào 3in</t>
  </si>
  <si>
    <t>CF003177495</t>
  </si>
  <si>
    <t>CF003177496</t>
  </si>
  <si>
    <t>CF003177497</t>
  </si>
  <si>
    <t>CF003177498</t>
  </si>
  <si>
    <t>Rằn ri biên trái 3in</t>
  </si>
  <si>
    <t>né biên trái vào 3in+balane maker+sort out BTP</t>
  </si>
  <si>
    <t>CF003177499</t>
  </si>
  <si>
    <t>CF003177500</t>
  </si>
  <si>
    <t>CF003177501</t>
  </si>
  <si>
    <t>CF003180452</t>
  </si>
  <si>
    <t>CF003180453</t>
  </si>
  <si>
    <t>CF003180454</t>
  </si>
  <si>
    <t>CF003180455</t>
  </si>
  <si>
    <t>CF003180461</t>
  </si>
  <si>
    <t>CF003180462</t>
  </si>
  <si>
    <t>CF003180463</t>
  </si>
  <si>
    <t>CF003180464</t>
  </si>
  <si>
    <t>CF003180465</t>
  </si>
  <si>
    <t>CF003180476</t>
  </si>
  <si>
    <t>CF003180477</t>
  </si>
  <si>
    <t>CF003180478</t>
  </si>
  <si>
    <t>CF003180479</t>
  </si>
  <si>
    <t>CF003180480</t>
  </si>
  <si>
    <t>CF003180481</t>
  </si>
  <si>
    <t>CF003180482</t>
  </si>
  <si>
    <t>CF003180483</t>
  </si>
  <si>
    <t>CF003180484</t>
  </si>
  <si>
    <t>CF003180485</t>
  </si>
  <si>
    <t>CF003184941</t>
  </si>
  <si>
    <t>CF003184942</t>
  </si>
  <si>
    <t>CF003184943</t>
  </si>
  <si>
    <t>CF003184944</t>
  </si>
  <si>
    <t>CF003184945</t>
  </si>
  <si>
    <t>CF003184946</t>
  </si>
  <si>
    <t>CF003184947</t>
  </si>
  <si>
    <t>CF003184948</t>
  </si>
  <si>
    <t>CF003184949</t>
  </si>
  <si>
    <t>CF003184950</t>
  </si>
  <si>
    <t>CF003184951</t>
  </si>
  <si>
    <t>CF003184952</t>
  </si>
  <si>
    <t>CF003184953</t>
  </si>
  <si>
    <t>CF003184954</t>
  </si>
  <si>
    <t>CF003184955</t>
  </si>
  <si>
    <t>CF003184956</t>
  </si>
  <si>
    <t>CF003184957</t>
  </si>
  <si>
    <t>CF003184958</t>
  </si>
  <si>
    <t>CF003184959</t>
  </si>
  <si>
    <t>CF003184960</t>
  </si>
  <si>
    <t>CF003184961</t>
  </si>
  <si>
    <t>FV012278401</t>
  </si>
  <si>
    <t>F2002742</t>
  </si>
  <si>
    <t>FF003121401</t>
  </si>
  <si>
    <t>FF003121402</t>
  </si>
  <si>
    <t>FF003121403</t>
  </si>
  <si>
    <t>FF003121404</t>
  </si>
  <si>
    <t>FF003121405</t>
  </si>
  <si>
    <t>FF003121406</t>
  </si>
  <si>
    <t>FF003121407</t>
  </si>
  <si>
    <t>FF003121408</t>
  </si>
  <si>
    <t>FF003121409</t>
  </si>
  <si>
    <t>FF003121410</t>
  </si>
  <si>
    <t>FF003121411</t>
  </si>
  <si>
    <t>FF003121412</t>
  </si>
  <si>
    <t>FF003121413</t>
  </si>
  <si>
    <t>FF003121414</t>
  </si>
  <si>
    <t>FF003121415</t>
  </si>
  <si>
    <t>FF003121416</t>
  </si>
  <si>
    <t>FF003121417</t>
  </si>
  <si>
    <t>FF003121418</t>
  </si>
  <si>
    <t>FF003121419</t>
  </si>
  <si>
    <t>FF003121420</t>
  </si>
  <si>
    <t>FF003121421</t>
  </si>
  <si>
    <t>FF003121422</t>
  </si>
  <si>
    <t>FF003121423</t>
  </si>
  <si>
    <t>FF003121424</t>
  </si>
  <si>
    <t>FF003121425</t>
  </si>
  <si>
    <t>FF003121426</t>
  </si>
  <si>
    <t>FF003121427</t>
  </si>
  <si>
    <t>FF003121428</t>
  </si>
  <si>
    <t>FF003121429</t>
  </si>
  <si>
    <t>FF003121430</t>
  </si>
  <si>
    <t>FF003121431</t>
  </si>
  <si>
    <t>FF003121432</t>
  </si>
  <si>
    <t>FF003121433</t>
  </si>
  <si>
    <t>FF003121434</t>
  </si>
  <si>
    <t>FF003121435</t>
  </si>
  <si>
    <t>FF003121436</t>
  </si>
  <si>
    <t>FF003121437</t>
  </si>
  <si>
    <t>FF003121438</t>
  </si>
  <si>
    <t>FV012279601</t>
  </si>
  <si>
    <t>F1603221</t>
  </si>
  <si>
    <t>FF003121477</t>
  </si>
  <si>
    <t>FF003121478</t>
  </si>
  <si>
    <t>FF003121479</t>
  </si>
  <si>
    <t>FF003121481</t>
  </si>
  <si>
    <t>FF003121482</t>
  </si>
  <si>
    <t>FF003121484</t>
  </si>
  <si>
    <t>FF003121485</t>
  </si>
  <si>
    <t>FF003121486</t>
  </si>
  <si>
    <t>FF003121487</t>
  </si>
  <si>
    <t>FF003121488</t>
  </si>
  <si>
    <t>FF003121489</t>
  </si>
  <si>
    <t>FF003121490</t>
  </si>
  <si>
    <t>FF003121491</t>
  </si>
  <si>
    <t>FF003121492</t>
  </si>
  <si>
    <t>FF003121493</t>
  </si>
  <si>
    <t>FF003121494</t>
  </si>
  <si>
    <t>FF003121495</t>
  </si>
  <si>
    <t>FF003121496</t>
  </si>
  <si>
    <t>FF003121497</t>
  </si>
  <si>
    <t>FF003121498</t>
  </si>
  <si>
    <t>FF003121500</t>
  </si>
  <si>
    <t>FF003121501</t>
  </si>
  <si>
    <t>FF003121502</t>
  </si>
  <si>
    <t>FF003121503</t>
  </si>
  <si>
    <t>FF003121504</t>
  </si>
  <si>
    <t>FF003121505</t>
  </si>
  <si>
    <t>FF003121506</t>
  </si>
  <si>
    <t>FF003121507</t>
  </si>
  <si>
    <t>FF003121508</t>
  </si>
  <si>
    <t>FF003121509</t>
  </si>
  <si>
    <t>FF003121510</t>
  </si>
  <si>
    <t>FF003121511</t>
  </si>
  <si>
    <t>FF003121512</t>
  </si>
  <si>
    <t>FF003121513</t>
  </si>
  <si>
    <t>FF003121514</t>
  </si>
  <si>
    <t>FF003124825</t>
  </si>
  <si>
    <t>FV012295602</t>
  </si>
  <si>
    <t>F2100391</t>
  </si>
  <si>
    <t>FF003126890</t>
  </si>
  <si>
    <t>FF003126891</t>
  </si>
  <si>
    <t>FF003126892</t>
  </si>
  <si>
    <t>FF003126893</t>
  </si>
  <si>
    <t>FF003126894</t>
  </si>
  <si>
    <t>FF003126895</t>
  </si>
  <si>
    <t>FF003126896</t>
  </si>
  <si>
    <t>FF003126897</t>
  </si>
  <si>
    <t>FF003126898</t>
  </si>
  <si>
    <t>FF003126899</t>
  </si>
  <si>
    <t>FV012295802</t>
  </si>
  <si>
    <t>F1603241</t>
  </si>
  <si>
    <t>FF003126900</t>
  </si>
  <si>
    <t>FF003126906</t>
  </si>
  <si>
    <t>FF003126907</t>
  </si>
  <si>
    <t>FF003126908</t>
  </si>
  <si>
    <t>FF003126909</t>
  </si>
  <si>
    <t>FF003126910</t>
  </si>
  <si>
    <t>FF003126911</t>
  </si>
  <si>
    <t>FF003126912</t>
  </si>
  <si>
    <t>FF003126913</t>
  </si>
  <si>
    <t>FF003126914</t>
  </si>
  <si>
    <t>FV012278301</t>
  </si>
  <si>
    <t>FF003128526</t>
  </si>
  <si>
    <t>FF003128527</t>
  </si>
  <si>
    <t>FF003128528</t>
  </si>
  <si>
    <t>FF003128529</t>
  </si>
  <si>
    <t>FF003128530</t>
  </si>
  <si>
    <t>FF003128531</t>
  </si>
  <si>
    <t>FF003128532</t>
  </si>
  <si>
    <t>FF003128533</t>
  </si>
  <si>
    <t>FF003128534</t>
  </si>
  <si>
    <t>FF003128535</t>
  </si>
  <si>
    <t>FF003128536</t>
  </si>
  <si>
    <t>FF003128537</t>
  </si>
  <si>
    <t>FF003128538</t>
  </si>
  <si>
    <t>FF003128539</t>
  </si>
  <si>
    <t>FF003128540</t>
  </si>
  <si>
    <t>FF003128541</t>
  </si>
  <si>
    <t>FF003128542</t>
  </si>
  <si>
    <t>FF003128543</t>
  </si>
  <si>
    <t>FF003128544</t>
  </si>
  <si>
    <t>FF003128545</t>
  </si>
  <si>
    <t>FF003128546</t>
  </si>
  <si>
    <t>FF003128547</t>
  </si>
  <si>
    <t>FF003128548</t>
  </si>
  <si>
    <t>FF003128549</t>
  </si>
  <si>
    <t>FF003128550</t>
  </si>
  <si>
    <t>FF003128551</t>
  </si>
  <si>
    <t>FF003128552</t>
  </si>
  <si>
    <t>FF003128553</t>
  </si>
  <si>
    <t>FF003128554</t>
  </si>
  <si>
    <t>FV012279401</t>
  </si>
  <si>
    <t>FF003128556</t>
  </si>
  <si>
    <t>FF003128557</t>
  </si>
  <si>
    <t>FF003128558</t>
  </si>
  <si>
    <t>FF003128559</t>
  </si>
  <si>
    <t>FF003128560</t>
  </si>
  <si>
    <t>FF003128561</t>
  </si>
  <si>
    <t>FF003128562</t>
  </si>
  <si>
    <t>FF003128563</t>
  </si>
  <si>
    <t>FF003128564</t>
  </si>
  <si>
    <t>FF003128565</t>
  </si>
  <si>
    <t>FF003128566</t>
  </si>
  <si>
    <t>FF003128567</t>
  </si>
  <si>
    <t>FF003128568</t>
  </si>
  <si>
    <t>FF003128569</t>
  </si>
  <si>
    <t>FF003128570</t>
  </si>
  <si>
    <t>FF003128571</t>
  </si>
  <si>
    <t>FF003128572</t>
  </si>
  <si>
    <t>FF003128573</t>
  </si>
  <si>
    <t>FF003128574</t>
  </si>
  <si>
    <t>FF003128575</t>
  </si>
  <si>
    <t>FF003128576</t>
  </si>
  <si>
    <t>FF003128577</t>
  </si>
  <si>
    <t>FF003128578</t>
  </si>
  <si>
    <t>FF003128579</t>
  </si>
  <si>
    <t>FF003128580</t>
  </si>
  <si>
    <t>FF003128581</t>
  </si>
  <si>
    <t>FF003128582</t>
  </si>
  <si>
    <t>FF003128583</t>
  </si>
  <si>
    <t>FF003128584</t>
  </si>
  <si>
    <t>FF003133591</t>
  </si>
  <si>
    <t>FF003133601</t>
  </si>
  <si>
    <t>FF003133602</t>
  </si>
  <si>
    <t>FF003133603</t>
  </si>
  <si>
    <t>FF003133604</t>
  </si>
  <si>
    <t>FF003133605</t>
  </si>
  <si>
    <t>FF003133652</t>
  </si>
  <si>
    <t>FF003133653</t>
  </si>
  <si>
    <t>FV012278601</t>
  </si>
  <si>
    <t>FF003134765</t>
  </si>
  <si>
    <t>FF003134766</t>
  </si>
  <si>
    <t>FF003134767</t>
  </si>
  <si>
    <t>FF003134768</t>
  </si>
  <si>
    <t>FF003134769</t>
  </si>
  <si>
    <t>FF003134770</t>
  </si>
  <si>
    <t>FF003134771</t>
  </si>
  <si>
    <t>FF003134772</t>
  </si>
  <si>
    <t>FF003134773</t>
  </si>
  <si>
    <t>FF003134774</t>
  </si>
  <si>
    <t>FF003134775</t>
  </si>
  <si>
    <t>FF003134776</t>
  </si>
  <si>
    <t>FF003134777</t>
  </si>
  <si>
    <t>FF003134778</t>
  </si>
  <si>
    <t>FF003134779</t>
  </si>
  <si>
    <t>FF003134780</t>
  </si>
  <si>
    <t>FF003134781</t>
  </si>
  <si>
    <t>FF003134782</t>
  </si>
  <si>
    <t>FF003134783</t>
  </si>
  <si>
    <t>FF003134784</t>
  </si>
  <si>
    <t>FF003134785</t>
  </si>
  <si>
    <t>FF003134786</t>
  </si>
  <si>
    <t>FF003134787</t>
  </si>
  <si>
    <t>FF003134788</t>
  </si>
  <si>
    <t>FF003134789</t>
  </si>
  <si>
    <t>FF003134790</t>
  </si>
  <si>
    <t>FF003134791</t>
  </si>
  <si>
    <t>FF003134792</t>
  </si>
  <si>
    <t>FF003134793</t>
  </si>
  <si>
    <t>FF003134794</t>
  </si>
  <si>
    <t>FF003134795</t>
  </si>
  <si>
    <t>FF003134796</t>
  </si>
  <si>
    <t>FF003134797</t>
  </si>
  <si>
    <t>FF003134798</t>
  </si>
  <si>
    <t>FF003134799</t>
  </si>
  <si>
    <t>FF003134800</t>
  </si>
  <si>
    <t>FF003134801</t>
  </si>
  <si>
    <t>FF003134802</t>
  </si>
  <si>
    <t>FF003134803</t>
  </si>
  <si>
    <t>FF003134804</t>
  </si>
  <si>
    <t>FF003134805</t>
  </si>
  <si>
    <t>FF003134806</t>
  </si>
  <si>
    <t>FV012279301</t>
  </si>
  <si>
    <t>FF003134839</t>
  </si>
  <si>
    <t>FF003134840</t>
  </si>
  <si>
    <t>FF003134841</t>
  </si>
  <si>
    <t>FF003134842</t>
  </si>
  <si>
    <t>FF003134843</t>
  </si>
  <si>
    <t>FF003134844</t>
  </si>
  <si>
    <t>FF003134845</t>
  </si>
  <si>
    <t>FF003134846</t>
  </si>
  <si>
    <t>FF003134847</t>
  </si>
  <si>
    <t>FF003134848</t>
  </si>
  <si>
    <t>FF003134849</t>
  </si>
  <si>
    <t>FF003134850</t>
  </si>
  <si>
    <t>FF003134851</t>
  </si>
  <si>
    <t>FF003134852</t>
  </si>
  <si>
    <t>FF003134853</t>
  </si>
  <si>
    <t>FF003134854</t>
  </si>
  <si>
    <t>FF003134855</t>
  </si>
  <si>
    <t>FF003134856</t>
  </si>
  <si>
    <t>FF003134857</t>
  </si>
  <si>
    <t>FF003134858</t>
  </si>
  <si>
    <t>FF003134859</t>
  </si>
  <si>
    <t>FF003134860</t>
  </si>
  <si>
    <t>FF003134861</t>
  </si>
  <si>
    <t>FF003134862</t>
  </si>
  <si>
    <t>FF003134863</t>
  </si>
  <si>
    <t>FF003134864</t>
  </si>
  <si>
    <t>FF003134865</t>
  </si>
  <si>
    <t>FF003134866</t>
  </si>
  <si>
    <t>FF003134867</t>
  </si>
  <si>
    <t>FF003134868</t>
  </si>
  <si>
    <t>FF003134869</t>
  </si>
  <si>
    <t>FF003134870</t>
  </si>
  <si>
    <t>FF003134871</t>
  </si>
  <si>
    <t>FF003134872</t>
  </si>
  <si>
    <t>FF003134873</t>
  </si>
  <si>
    <t>FF003134874</t>
  </si>
  <si>
    <t>FF003134875</t>
  </si>
  <si>
    <t>FF003134876</t>
  </si>
  <si>
    <t>FF003134877</t>
  </si>
  <si>
    <t>FF003134878</t>
  </si>
  <si>
    <t>FF003134879</t>
  </si>
  <si>
    <t>FF003134880</t>
  </si>
  <si>
    <t>FF003134881</t>
  </si>
  <si>
    <t>FV012295601</t>
  </si>
  <si>
    <t>FF003134916</t>
  </si>
  <si>
    <t>FF003134917</t>
  </si>
  <si>
    <t>FF003134918</t>
  </si>
  <si>
    <t>FF003134919</t>
  </si>
  <si>
    <t>FF003134920</t>
  </si>
  <si>
    <t>FF003134921</t>
  </si>
  <si>
    <t>FF003134922</t>
  </si>
  <si>
    <t>FF003134923</t>
  </si>
  <si>
    <t>FF003134924</t>
  </si>
  <si>
    <t>FF003134925</t>
  </si>
  <si>
    <t>FF003134926</t>
  </si>
  <si>
    <t>FF003134927</t>
  </si>
  <si>
    <t>FF003134928</t>
  </si>
  <si>
    <t>FF003134929</t>
  </si>
  <si>
    <t>FF003134930</t>
  </si>
  <si>
    <t>FF003134931</t>
  </si>
  <si>
    <t>FF003134932</t>
  </si>
  <si>
    <t>FV012295801</t>
  </si>
  <si>
    <t>FF003134933</t>
  </si>
  <si>
    <t>FF003134934</t>
  </si>
  <si>
    <t>FF003134935</t>
  </si>
  <si>
    <t>FF003134936</t>
  </si>
  <si>
    <t>FF003134937</t>
  </si>
  <si>
    <t>FF003134938</t>
  </si>
  <si>
    <t>FF003134939</t>
  </si>
  <si>
    <t>FF003134940</t>
  </si>
  <si>
    <t>FF003134941</t>
  </si>
  <si>
    <t>FF003134942</t>
  </si>
  <si>
    <t>FF003134943</t>
  </si>
  <si>
    <t>FF003134944</t>
  </si>
  <si>
    <t>FF003134945</t>
  </si>
  <si>
    <t>FF003134946</t>
  </si>
  <si>
    <t>FF003134947</t>
  </si>
  <si>
    <t>FF003134948</t>
  </si>
  <si>
    <t>FF003134949</t>
  </si>
  <si>
    <t>FF003135926</t>
  </si>
  <si>
    <t>FF003135927</t>
  </si>
  <si>
    <t>FV012278201A</t>
  </si>
  <si>
    <t>FF003137597</t>
  </si>
  <si>
    <t>FF003137598</t>
  </si>
  <si>
    <t>FF003137599</t>
  </si>
  <si>
    <t>FF003137600</t>
  </si>
  <si>
    <t>FF003137601</t>
  </si>
  <si>
    <t>FF003137602</t>
  </si>
  <si>
    <t>FF003137603</t>
  </si>
  <si>
    <t>FF003137604</t>
  </si>
  <si>
    <t>FF003137605</t>
  </si>
  <si>
    <t>FF003137611</t>
  </si>
  <si>
    <t>FF003137612</t>
  </si>
  <si>
    <t>FF003137613</t>
  </si>
  <si>
    <t>FF003137614</t>
  </si>
  <si>
    <t>FF003137615</t>
  </si>
  <si>
    <t>FF003137616</t>
  </si>
  <si>
    <t>FF003137617</t>
  </si>
  <si>
    <t>FF003137618</t>
  </si>
  <si>
    <t>FF003137619</t>
  </si>
  <si>
    <t>FF003137620</t>
  </si>
  <si>
    <t>FF003137621</t>
  </si>
  <si>
    <t>FF003137622</t>
  </si>
  <si>
    <t>FF003137623</t>
  </si>
  <si>
    <t>FF003137624</t>
  </si>
  <si>
    <t>FF003137625</t>
  </si>
  <si>
    <t>FF003137631</t>
  </si>
  <si>
    <t>FF003137632</t>
  </si>
  <si>
    <t>FF003137633</t>
  </si>
  <si>
    <t>FF003137634</t>
  </si>
  <si>
    <t>FF003137635</t>
  </si>
  <si>
    <t>FF003137636</t>
  </si>
  <si>
    <t>FF003137637</t>
  </si>
  <si>
    <t>FF003137638</t>
  </si>
  <si>
    <t>FF003137639</t>
  </si>
  <si>
    <t>FF003137640</t>
  </si>
  <si>
    <t>FF003137641</t>
  </si>
  <si>
    <t>FF003137642</t>
  </si>
  <si>
    <t>FF003137643</t>
  </si>
  <si>
    <t>FF003137644</t>
  </si>
  <si>
    <t>FF003137645</t>
  </si>
  <si>
    <t>FF003137652</t>
  </si>
  <si>
    <t>FF003137653</t>
  </si>
  <si>
    <t>FF003137654</t>
  </si>
  <si>
    <t>FF003137655</t>
  </si>
  <si>
    <t>FF003137661</t>
  </si>
  <si>
    <t>FF003137662</t>
  </si>
  <si>
    <t>FF003137663</t>
  </si>
  <si>
    <t>FF003137664</t>
  </si>
  <si>
    <t>FF003137665</t>
  </si>
  <si>
    <t>FF003137666</t>
  </si>
  <si>
    <t>FF003137667</t>
  </si>
  <si>
    <t>FF003137668</t>
  </si>
  <si>
    <t>FF003137669</t>
  </si>
  <si>
    <t>FV012279501A</t>
  </si>
  <si>
    <t>FF003137704</t>
  </si>
  <si>
    <t>FF003137705</t>
  </si>
  <si>
    <t>FF003137706</t>
  </si>
  <si>
    <t>FF003137707</t>
  </si>
  <si>
    <t>FF003137708</t>
  </si>
  <si>
    <t>FF003137709</t>
  </si>
  <si>
    <t>FF003137710</t>
  </si>
  <si>
    <t>FF003137711</t>
  </si>
  <si>
    <t>FF003137712</t>
  </si>
  <si>
    <t>FF003137713</t>
  </si>
  <si>
    <t>FF003137714</t>
  </si>
  <si>
    <t>FF003137715</t>
  </si>
  <si>
    <t>FF003137716</t>
  </si>
  <si>
    <t>FF003137717</t>
  </si>
  <si>
    <t>FF003137718</t>
  </si>
  <si>
    <t>FF003137719</t>
  </si>
  <si>
    <t>FF003137720</t>
  </si>
  <si>
    <t>FF003137721</t>
  </si>
  <si>
    <t>FF003137722</t>
  </si>
  <si>
    <t>FF003137723</t>
  </si>
  <si>
    <t>FF003137724</t>
  </si>
  <si>
    <t>FF003137725</t>
  </si>
  <si>
    <t>FF003137726</t>
  </si>
  <si>
    <t>FF003137727</t>
  </si>
  <si>
    <t>FF003137728</t>
  </si>
  <si>
    <t>FF003137729</t>
  </si>
  <si>
    <t>FF003137730</t>
  </si>
  <si>
    <t>FF003137731</t>
  </si>
  <si>
    <t>FF003137732</t>
  </si>
  <si>
    <t>FF003137733</t>
  </si>
  <si>
    <t>FF003137734</t>
  </si>
  <si>
    <t>FF003137735</t>
  </si>
  <si>
    <t>FF003137736</t>
  </si>
  <si>
    <t>FF003137737</t>
  </si>
  <si>
    <t>FF003137738</t>
  </si>
  <si>
    <t>FF003137739</t>
  </si>
  <si>
    <t>FF003137740</t>
  </si>
  <si>
    <t>FF003137741</t>
  </si>
  <si>
    <t>FF003137742</t>
  </si>
  <si>
    <t>FF003137743</t>
  </si>
  <si>
    <t>FF003137744</t>
  </si>
  <si>
    <t>FF003137745</t>
  </si>
  <si>
    <t>FF003137751</t>
  </si>
  <si>
    <t>FF003137752</t>
  </si>
  <si>
    <t>FF003137753</t>
  </si>
  <si>
    <t>FF003137754</t>
  </si>
  <si>
    <t>FF003137755</t>
  </si>
  <si>
    <t>FF003137756</t>
  </si>
  <si>
    <t>FF003137757</t>
  </si>
  <si>
    <t>FF003137758</t>
  </si>
  <si>
    <t>FF003139265</t>
  </si>
  <si>
    <t>FF003139333</t>
  </si>
  <si>
    <t>FF003139421</t>
  </si>
  <si>
    <t>FV012277701</t>
  </si>
  <si>
    <t>FF003141635</t>
  </si>
  <si>
    <t>FF003141636</t>
  </si>
  <si>
    <t>FF003141637</t>
  </si>
  <si>
    <t>FF003141638</t>
  </si>
  <si>
    <t>FF003141639</t>
  </si>
  <si>
    <t>FF003141640</t>
  </si>
  <si>
    <t>FF003141641</t>
  </si>
  <si>
    <t>FF003141642</t>
  </si>
  <si>
    <t>FF003141643</t>
  </si>
  <si>
    <t>FF003141644</t>
  </si>
  <si>
    <t>FF003141645</t>
  </si>
  <si>
    <t>FF003141646</t>
  </si>
  <si>
    <t>FF003141647</t>
  </si>
  <si>
    <t>FF003141648</t>
  </si>
  <si>
    <t>FF003141649</t>
  </si>
  <si>
    <t>FF003141650</t>
  </si>
  <si>
    <t>FF003141651</t>
  </si>
  <si>
    <t>FF003141652</t>
  </si>
  <si>
    <t>FF003141653</t>
  </si>
  <si>
    <t>FF003141654</t>
  </si>
  <si>
    <t>FF003141655</t>
  </si>
  <si>
    <t>FF003141656</t>
  </si>
  <si>
    <t>FV012279001</t>
  </si>
  <si>
    <t>FF003141671</t>
  </si>
  <si>
    <t>FF003141673</t>
  </si>
  <si>
    <t>FF003141674</t>
  </si>
  <si>
    <t>FF003141675</t>
  </si>
  <si>
    <t>FF003141676</t>
  </si>
  <si>
    <t>FF003141677</t>
  </si>
  <si>
    <t>FF003141678</t>
  </si>
  <si>
    <t>FF003141679</t>
  </si>
  <si>
    <t>FF003141680</t>
  </si>
  <si>
    <t>FF003141681</t>
  </si>
  <si>
    <t>FF003141682</t>
  </si>
  <si>
    <t>FF003141683</t>
  </si>
  <si>
    <t>FF003141684</t>
  </si>
  <si>
    <t>FF003141685</t>
  </si>
  <si>
    <t>FF003141686</t>
  </si>
  <si>
    <t>FF003141687</t>
  </si>
  <si>
    <t>FF003141688</t>
  </si>
  <si>
    <t>FF003141689</t>
  </si>
  <si>
    <t>FF003141690</t>
  </si>
  <si>
    <t>FF003141691</t>
  </si>
  <si>
    <t>FF003141692</t>
  </si>
  <si>
    <t>FF003141693</t>
  </si>
  <si>
    <t>FF003145657</t>
  </si>
  <si>
    <t>FV012277101</t>
  </si>
  <si>
    <t>F2501445</t>
  </si>
  <si>
    <t>FF003153752</t>
  </si>
  <si>
    <t>FF003153753</t>
  </si>
  <si>
    <t>FF003153754</t>
  </si>
  <si>
    <t>FF003153755</t>
  </si>
  <si>
    <t>FF003153756</t>
  </si>
  <si>
    <t>FF003153757</t>
  </si>
  <si>
    <t>FF003153758</t>
  </si>
  <si>
    <t>FF003153759</t>
  </si>
  <si>
    <t>FF003153760</t>
  </si>
  <si>
    <t>FF003153761</t>
  </si>
  <si>
    <t>FF003153762</t>
  </si>
  <si>
    <t>FF003153763</t>
  </si>
  <si>
    <t>FF003153764</t>
  </si>
  <si>
    <t>FF003153765</t>
  </si>
  <si>
    <t>FF003153766</t>
  </si>
  <si>
    <t>FF003153767</t>
  </si>
  <si>
    <t>FF003153768</t>
  </si>
  <si>
    <t>FF003153769</t>
  </si>
  <si>
    <t>FF003153770</t>
  </si>
  <si>
    <t>FF003153771</t>
  </si>
  <si>
    <t>FF003153772</t>
  </si>
  <si>
    <t>FF003153773</t>
  </si>
  <si>
    <t>FF003153774</t>
  </si>
  <si>
    <t>FF003153775</t>
  </si>
  <si>
    <t>FF003153786</t>
  </si>
  <si>
    <t>FF003153787</t>
  </si>
  <si>
    <t>FF003153788</t>
  </si>
  <si>
    <t>FF003153789</t>
  </si>
  <si>
    <t>FF003153790</t>
  </si>
  <si>
    <t>FF003153796</t>
  </si>
  <si>
    <t>FF003153797</t>
  </si>
  <si>
    <t>FF003153798</t>
  </si>
  <si>
    <t>FF003153799</t>
  </si>
  <si>
    <t>FF003153800</t>
  </si>
  <si>
    <t>FF003153806</t>
  </si>
  <si>
    <t>FF003153807</t>
  </si>
  <si>
    <t>FF003153808</t>
  </si>
  <si>
    <t>FF003153809</t>
  </si>
  <si>
    <t>FF003153810</t>
  </si>
  <si>
    <t>FF003153821</t>
  </si>
  <si>
    <t>FF003153822</t>
  </si>
  <si>
    <t>FV012277501</t>
  </si>
  <si>
    <t>F2501444</t>
  </si>
  <si>
    <t>FF003153823</t>
  </si>
  <si>
    <t>FF003153824</t>
  </si>
  <si>
    <t>FF003153825</t>
  </si>
  <si>
    <t>FF003153831</t>
  </si>
  <si>
    <t>FF003153832</t>
  </si>
  <si>
    <t>FF003153833</t>
  </si>
  <si>
    <t>FF003153834</t>
  </si>
  <si>
    <t>FF003153835</t>
  </si>
  <si>
    <t>FF003153841</t>
  </si>
  <si>
    <t>FF003153842</t>
  </si>
  <si>
    <t>FF003153843</t>
  </si>
  <si>
    <t>FF003153844</t>
  </si>
  <si>
    <t>FF003153845</t>
  </si>
  <si>
    <t>FF003153851</t>
  </si>
  <si>
    <t>FF003153852</t>
  </si>
  <si>
    <t>FF003153853</t>
  </si>
  <si>
    <t>FF003153854</t>
  </si>
  <si>
    <t>FF003153855</t>
  </si>
  <si>
    <t>FF003153856</t>
  </si>
  <si>
    <t>FF003153857</t>
  </si>
  <si>
    <t>FF003153858</t>
  </si>
  <si>
    <t>FF003153859</t>
  </si>
  <si>
    <t>FF003153860</t>
  </si>
  <si>
    <t>FF003153861</t>
  </si>
  <si>
    <t>FF003153862</t>
  </si>
  <si>
    <t>FF003153863</t>
  </si>
  <si>
    <t>FF003153864</t>
  </si>
  <si>
    <t>FF003153865</t>
  </si>
  <si>
    <t>FF003153866</t>
  </si>
  <si>
    <t>FF003153867</t>
  </si>
  <si>
    <t>FF003153868</t>
  </si>
  <si>
    <t>FF003153869</t>
  </si>
  <si>
    <t>FF003153870</t>
  </si>
  <si>
    <t>FF003153871</t>
  </si>
  <si>
    <t>FF003153872</t>
  </si>
  <si>
    <t>FF003153873</t>
  </si>
  <si>
    <t>FF003153874</t>
  </si>
  <si>
    <t>FF003153875</t>
  </si>
  <si>
    <t>FF003153876</t>
  </si>
  <si>
    <t>FV012278101A</t>
  </si>
  <si>
    <t>FF003155388</t>
  </si>
  <si>
    <t>FF003155389</t>
  </si>
  <si>
    <t>FF003155390</t>
  </si>
  <si>
    <t>FF003155391</t>
  </si>
  <si>
    <t>FF003155392</t>
  </si>
  <si>
    <t>FF003155393</t>
  </si>
  <si>
    <t>FF003155394</t>
  </si>
  <si>
    <t>FF003155395</t>
  </si>
  <si>
    <t>FF003155396</t>
  </si>
  <si>
    <t>FF003155397</t>
  </si>
  <si>
    <t>FF003155398</t>
  </si>
  <si>
    <t>FF003155399</t>
  </si>
  <si>
    <t>FF003155400</t>
  </si>
  <si>
    <t>FF003155401</t>
  </si>
  <si>
    <t>FF003155402</t>
  </si>
  <si>
    <t>FF003155403</t>
  </si>
  <si>
    <t>FF003155404</t>
  </si>
  <si>
    <t>FF003155405</t>
  </si>
  <si>
    <t>FF003155406</t>
  </si>
  <si>
    <t>FF003155407</t>
  </si>
  <si>
    <t>FF003155408</t>
  </si>
  <si>
    <t>FF003155409</t>
  </si>
  <si>
    <t>FF003155410</t>
  </si>
  <si>
    <t>FF003155411</t>
  </si>
  <si>
    <t>FF003155412</t>
  </si>
  <si>
    <t>FF003155413</t>
  </si>
  <si>
    <t>FF003155414</t>
  </si>
  <si>
    <t>FF003155415</t>
  </si>
  <si>
    <t>FF003155416</t>
  </si>
  <si>
    <t>FF003155417</t>
  </si>
  <si>
    <t>FF003155418</t>
  </si>
  <si>
    <t>FF003155419</t>
  </si>
  <si>
    <t>FF003155420</t>
  </si>
  <si>
    <t>FF003155421</t>
  </si>
  <si>
    <t>FF003155422</t>
  </si>
  <si>
    <t>FF003155423</t>
  </si>
  <si>
    <t>FF003155424</t>
  </si>
  <si>
    <t>FF003155425</t>
  </si>
  <si>
    <t>FV012278801A</t>
  </si>
  <si>
    <t>FF003155431</t>
  </si>
  <si>
    <t>FF003155432</t>
  </si>
  <si>
    <t>FF003155433</t>
  </si>
  <si>
    <t>FF003155434</t>
  </si>
  <si>
    <t>FF003155435</t>
  </si>
  <si>
    <t>FF003155436</t>
  </si>
  <si>
    <t>FF003155437</t>
  </si>
  <si>
    <t>FF003155438</t>
  </si>
  <si>
    <t>FF003155439</t>
  </si>
  <si>
    <t>FF003155440</t>
  </si>
  <si>
    <t>FF003155441</t>
  </si>
  <si>
    <t>FF003155442</t>
  </si>
  <si>
    <t>FF003155443</t>
  </si>
  <si>
    <t>FF003155444</t>
  </si>
  <si>
    <t>FF003155445</t>
  </si>
  <si>
    <t>FF003155446</t>
  </si>
  <si>
    <t>FF003155447</t>
  </si>
  <si>
    <t>FF003155448</t>
  </si>
  <si>
    <t>FF003155449</t>
  </si>
  <si>
    <t>FF003155450</t>
  </si>
  <si>
    <t>FF003155451</t>
  </si>
  <si>
    <t>FF003155452</t>
  </si>
  <si>
    <t>FF003155453</t>
  </si>
  <si>
    <t>FF003155455</t>
  </si>
  <si>
    <t>FF003155456</t>
  </si>
  <si>
    <t>FF003155457</t>
  </si>
  <si>
    <t>FF003155458</t>
  </si>
  <si>
    <t>FF003155459</t>
  </si>
  <si>
    <t>FF003155460</t>
  </si>
  <si>
    <t>FF003155466</t>
  </si>
  <si>
    <t>FF003155467</t>
  </si>
  <si>
    <t>FF003155468</t>
  </si>
  <si>
    <t>FF003155469</t>
  </si>
  <si>
    <t>FF003155470</t>
  </si>
  <si>
    <t>FF003155471</t>
  </si>
  <si>
    <t>FF003155472</t>
  </si>
  <si>
    <t>FF003155473</t>
  </si>
  <si>
    <t>FV012278501</t>
  </si>
  <si>
    <t>FF003157948</t>
  </si>
  <si>
    <t>FF003157949</t>
  </si>
  <si>
    <t>FF003157950</t>
  </si>
  <si>
    <t>FF003157956</t>
  </si>
  <si>
    <t>FF003157957</t>
  </si>
  <si>
    <t>FF003157958</t>
  </si>
  <si>
    <t>FF003157959</t>
  </si>
  <si>
    <t>FF003157960</t>
  </si>
  <si>
    <t>FF003157966</t>
  </si>
  <si>
    <t>FF003157967</t>
  </si>
  <si>
    <t>FF003157968</t>
  </si>
  <si>
    <t>FF003157969</t>
  </si>
  <si>
    <t>FF003157970</t>
  </si>
  <si>
    <t>FF003157976</t>
  </si>
  <si>
    <t>FF003157977</t>
  </si>
  <si>
    <t>FF003158001</t>
  </si>
  <si>
    <t>FF003158002</t>
  </si>
  <si>
    <t>FF003158003</t>
  </si>
  <si>
    <t>FF003158004</t>
  </si>
  <si>
    <t>FF003158005</t>
  </si>
  <si>
    <t>FF003158011</t>
  </si>
  <si>
    <t>FF003158012</t>
  </si>
  <si>
    <t>FF003158013</t>
  </si>
  <si>
    <t>FV012278901</t>
  </si>
  <si>
    <t>FF003158014</t>
  </si>
  <si>
    <t>FF003158015</t>
  </si>
  <si>
    <t>FF003158021</t>
  </si>
  <si>
    <t>FF003158022</t>
  </si>
  <si>
    <t>FF003158023</t>
  </si>
  <si>
    <t>FF003158024</t>
  </si>
  <si>
    <t>FF003158025</t>
  </si>
  <si>
    <t>FF003158031</t>
  </si>
  <si>
    <t>FF003158032</t>
  </si>
  <si>
    <t>FF003158033</t>
  </si>
  <si>
    <t>FF003158034</t>
  </si>
  <si>
    <t>FF003158035</t>
  </si>
  <si>
    <t>FF003158141</t>
  </si>
  <si>
    <t>FF003158142</t>
  </si>
  <si>
    <t>FF003158143</t>
  </si>
  <si>
    <t>FF003158144</t>
  </si>
  <si>
    <t>FF003158145</t>
  </si>
  <si>
    <t>FF003158156</t>
  </si>
  <si>
    <t>FF003158157</t>
  </si>
  <si>
    <t>FF003158158</t>
  </si>
  <si>
    <t>FF003158159</t>
  </si>
  <si>
    <t>FF003158160</t>
  </si>
  <si>
    <t>FF003158186</t>
  </si>
  <si>
    <t>FF003159878</t>
  </si>
  <si>
    <t>FF003159879</t>
  </si>
  <si>
    <t>FF003159882</t>
  </si>
  <si>
    <t>FF003159883</t>
  </si>
  <si>
    <t>FF003159884</t>
  </si>
  <si>
    <t>FF003159885</t>
  </si>
  <si>
    <t>FF003159886</t>
  </si>
  <si>
    <t>FF003159887</t>
  </si>
  <si>
    <t>FF003159888</t>
  </si>
  <si>
    <t>FF003159889</t>
  </si>
  <si>
    <t>FF003159890</t>
  </si>
  <si>
    <t>FF003159931</t>
  </si>
  <si>
    <t>FF003159932</t>
  </si>
  <si>
    <t>FV012277901</t>
  </si>
  <si>
    <t>FF003166218</t>
  </si>
  <si>
    <t>FF003166219</t>
  </si>
  <si>
    <t>FF003166220</t>
  </si>
  <si>
    <t>FF003166226</t>
  </si>
  <si>
    <t>FF003166227</t>
  </si>
  <si>
    <t>FF003166228</t>
  </si>
  <si>
    <t>FF003166236</t>
  </si>
  <si>
    <t>FF003166237</t>
  </si>
  <si>
    <t>FF003166238</t>
  </si>
  <si>
    <t>FF003166239</t>
  </si>
  <si>
    <t>FF003166240</t>
  </si>
  <si>
    <t>FF003166241</t>
  </si>
  <si>
    <t>FF003166242</t>
  </si>
  <si>
    <t>FF003166244</t>
  </si>
  <si>
    <t>FF003166245</t>
  </si>
  <si>
    <t>FF003166246</t>
  </si>
  <si>
    <t>FV012279101</t>
  </si>
  <si>
    <t>FF003166526</t>
  </si>
  <si>
    <t>FF003166527</t>
  </si>
  <si>
    <t>FF003166528</t>
  </si>
  <si>
    <t>FF003166529</t>
  </si>
  <si>
    <t>FF003166530</t>
  </si>
  <si>
    <t>FF003166531</t>
  </si>
  <si>
    <t>FF003166532</t>
  </si>
  <si>
    <t>FF003166533</t>
  </si>
  <si>
    <t>FF003166534</t>
  </si>
  <si>
    <t>FF003166535</t>
  </si>
  <si>
    <t>FF003166536</t>
  </si>
  <si>
    <t>FF003166537</t>
  </si>
  <si>
    <t>FF003166538</t>
  </si>
  <si>
    <t>FF003166539</t>
  </si>
  <si>
    <t>FF003166540</t>
  </si>
  <si>
    <t>FF003166541</t>
  </si>
  <si>
    <t>FV012277801</t>
  </si>
  <si>
    <t>FF003166973</t>
  </si>
  <si>
    <t>FF003166974</t>
  </si>
  <si>
    <t>FF003166975</t>
  </si>
  <si>
    <t>FF003166976</t>
  </si>
  <si>
    <t>FF003166977</t>
  </si>
  <si>
    <t>FF003166978</t>
  </si>
  <si>
    <t>FF003166979</t>
  </si>
  <si>
    <t>FF003166980</t>
  </si>
  <si>
    <t>FF003166981</t>
  </si>
  <si>
    <t>FF003166982</t>
  </si>
  <si>
    <t>FF003166983</t>
  </si>
  <si>
    <t>FF003166984</t>
  </si>
  <si>
    <t>FF003166985</t>
  </si>
  <si>
    <t>FF003166986</t>
  </si>
  <si>
    <t>FF003166987</t>
  </si>
  <si>
    <t>FF003166988</t>
  </si>
  <si>
    <t>FF003166989</t>
  </si>
  <si>
    <t>FV012279701</t>
  </si>
  <si>
    <t>FF003167012</t>
  </si>
  <si>
    <t>FF003167013</t>
  </si>
  <si>
    <t>FF003167014</t>
  </si>
  <si>
    <t>FF003167015</t>
  </si>
  <si>
    <t>FF003167016</t>
  </si>
  <si>
    <t>FF003167017</t>
  </si>
  <si>
    <t>FF003167018</t>
  </si>
  <si>
    <t>FF003167019</t>
  </si>
  <si>
    <t>FF003167020</t>
  </si>
  <si>
    <t>FF003167021</t>
  </si>
  <si>
    <t>FF003167022</t>
  </si>
  <si>
    <t>FF003167023</t>
  </si>
  <si>
    <t>FF003167024</t>
  </si>
  <si>
    <t>FF003167026</t>
  </si>
  <si>
    <t>FF003167027</t>
  </si>
  <si>
    <t>FF003167029</t>
  </si>
  <si>
    <t>FF003167036</t>
  </si>
  <si>
    <t>FV012277201A</t>
  </si>
  <si>
    <t>FF003168064</t>
  </si>
  <si>
    <t>FF003168065</t>
  </si>
  <si>
    <t>FF003168066</t>
  </si>
  <si>
    <t>FF003168067</t>
  </si>
  <si>
    <t>FF003168068</t>
  </si>
  <si>
    <t>FF003168069</t>
  </si>
  <si>
    <t>FF003168070</t>
  </si>
  <si>
    <t>FF003168076</t>
  </si>
  <si>
    <t>FF003168077</t>
  </si>
  <si>
    <t>FF003168078</t>
  </si>
  <si>
    <t>FF003168079</t>
  </si>
  <si>
    <t>FF003168081</t>
  </si>
  <si>
    <t>FF003168082</t>
  </si>
  <si>
    <t>FF003168083</t>
  </si>
  <si>
    <t>FF003168084</t>
  </si>
  <si>
    <t>FF003168085</t>
  </si>
  <si>
    <t>FF003168086</t>
  </si>
  <si>
    <t>FF003168087</t>
  </si>
  <si>
    <t>FF003168088</t>
  </si>
  <si>
    <t>FV012277401A</t>
  </si>
  <si>
    <t>FF003168090</t>
  </si>
  <si>
    <t>FF003168091</t>
  </si>
  <si>
    <t>FF003168092</t>
  </si>
  <si>
    <t>FF003168093</t>
  </si>
  <si>
    <t>FF003168094</t>
  </si>
  <si>
    <t>FF003168095</t>
  </si>
  <si>
    <t>FF003168096</t>
  </si>
  <si>
    <t>FF003168097</t>
  </si>
  <si>
    <t>FF003168098</t>
  </si>
  <si>
    <t>FF003168099</t>
  </si>
  <si>
    <t>FF003168100</t>
  </si>
  <si>
    <t>FF003168102</t>
  </si>
  <si>
    <t>FF003168103</t>
  </si>
  <si>
    <t>FF003168104</t>
  </si>
  <si>
    <t>FF003168105</t>
  </si>
  <si>
    <t>FF003168126</t>
  </si>
  <si>
    <t>FF003168127</t>
  </si>
  <si>
    <t>FF003168128</t>
  </si>
  <si>
    <t>FF003168129</t>
  </si>
  <si>
    <t>FV012278001A</t>
  </si>
  <si>
    <t>FF003170497</t>
  </si>
  <si>
    <t>FF003170498</t>
  </si>
  <si>
    <t>FF003170499</t>
  </si>
  <si>
    <t>FF003170500</t>
  </si>
  <si>
    <t>FF003170506</t>
  </si>
  <si>
    <t>FF003170507</t>
  </si>
  <si>
    <t>FF003170508</t>
  </si>
  <si>
    <t>FF003170509</t>
  </si>
  <si>
    <t>FF003170510</t>
  </si>
  <si>
    <t>FF003170511</t>
  </si>
  <si>
    <t>FF003170512</t>
  </si>
  <si>
    <t>FF003170513</t>
  </si>
  <si>
    <t>FF003170514</t>
  </si>
  <si>
    <t>FF003170515</t>
  </si>
  <si>
    <t>FF003170516</t>
  </si>
  <si>
    <t>FF003170517</t>
  </si>
  <si>
    <t>FF003170518</t>
  </si>
  <si>
    <t>FF003170519</t>
  </si>
  <si>
    <t>FF003170520</t>
  </si>
  <si>
    <t>FF003170521</t>
  </si>
  <si>
    <t>FF003170522</t>
  </si>
  <si>
    <t>FF003170523</t>
  </si>
  <si>
    <t>FF003170524</t>
  </si>
  <si>
    <t>FV012279201A</t>
  </si>
  <si>
    <t>FF003170558</t>
  </si>
  <si>
    <t>FF003170559</t>
  </si>
  <si>
    <t>FF003170560</t>
  </si>
  <si>
    <t>FF003170571</t>
  </si>
  <si>
    <t>FF003170572</t>
  </si>
  <si>
    <t>FF003170573</t>
  </si>
  <si>
    <t>FF003170574</t>
  </si>
  <si>
    <t>FF003170575</t>
  </si>
  <si>
    <t>FF003170576</t>
  </si>
  <si>
    <t>FF003170577</t>
  </si>
  <si>
    <t>FF003170578</t>
  </si>
  <si>
    <t>FF003170579</t>
  </si>
  <si>
    <t>FF003170580</t>
  </si>
  <si>
    <t>FF003170581</t>
  </si>
  <si>
    <t>FF003170582</t>
  </si>
  <si>
    <t>FF003170583</t>
  </si>
  <si>
    <t>FF003170584</t>
  </si>
  <si>
    <t>FF003170585</t>
  </si>
  <si>
    <t>FF003170586</t>
  </si>
  <si>
    <t>FF003170587</t>
  </si>
  <si>
    <t>FF003170588</t>
  </si>
  <si>
    <t>FF003170589</t>
  </si>
  <si>
    <t>FF003170590</t>
  </si>
  <si>
    <t>FV012713001</t>
  </si>
  <si>
    <t>FF003174027</t>
  </si>
  <si>
    <t>FF003174028</t>
  </si>
  <si>
    <t>FF003174029</t>
  </si>
  <si>
    <t>FV012713201</t>
  </si>
  <si>
    <t>FF003174030</t>
  </si>
  <si>
    <t>FF003174031</t>
  </si>
  <si>
    <t>FF003174032</t>
  </si>
  <si>
    <t>FF003175241</t>
  </si>
  <si>
    <t>FF003175242</t>
  </si>
  <si>
    <t>FF003175256</t>
  </si>
  <si>
    <t>FF003175257</t>
  </si>
  <si>
    <t>FF003175258</t>
  </si>
  <si>
    <t>FF003175259</t>
  </si>
  <si>
    <t>FF003175260</t>
  </si>
  <si>
    <t>FF003175266</t>
  </si>
  <si>
    <t>FF003175267</t>
  </si>
  <si>
    <t>FF003175268</t>
  </si>
  <si>
    <t>FF003175269</t>
  </si>
  <si>
    <t>FF003175270</t>
  </si>
  <si>
    <t>FV012676001</t>
  </si>
  <si>
    <t>FF003183369</t>
  </si>
  <si>
    <t>FF003183370</t>
  </si>
  <si>
    <t>FF003183371</t>
  </si>
  <si>
    <t>FV012676201</t>
  </si>
  <si>
    <t>FF003183375</t>
  </si>
  <si>
    <t>FF003183376</t>
  </si>
  <si>
    <t>FF003183377</t>
  </si>
  <si>
    <t>MÀU #</t>
  </si>
  <si>
    <t>L14:#SNOW WHITE: 1200 PCS 
#DARK SAPPHIRE: 1200 PCS</t>
  </si>
  <si>
    <t>Type</t>
  </si>
  <si>
    <t>FABRIC COLOR (For piecing only)</t>
  </si>
  <si>
    <t>JOB ORDER NO</t>
  </si>
  <si>
    <t>- %</t>
  </si>
  <si>
    <t>+%</t>
  </si>
  <si>
    <t>Qty</t>
  </si>
  <si>
    <t>BUYER_PO_DEL_DATE</t>
  </si>
  <si>
    <t>Marker YY</t>
  </si>
  <si>
    <t>PPO YY</t>
  </si>
  <si>
    <t>Require YY</t>
  </si>
  <si>
    <t>Rcv Q'ty (PPO)</t>
  </si>
  <si>
    <t>Allocate Q'ty (Lot)</t>
  </si>
  <si>
    <t>Allocate %</t>
  </si>
  <si>
    <t>Exclude FOC</t>
  </si>
  <si>
    <t>FOC (PPO)</t>
  </si>
  <si>
    <t>Sum condition</t>
  </si>
  <si>
    <t>Plan allocate %</t>
  </si>
  <si>
    <t>Accumulate demand</t>
  </si>
  <si>
    <t>PPO Q'ty2</t>
  </si>
  <si>
    <t>Bal require</t>
  </si>
  <si>
    <t>On hand Q'ty</t>
  </si>
  <si>
    <t>On hand %</t>
  </si>
  <si>
    <t>Fab order %</t>
  </si>
  <si>
    <t>Dark Sapphire</t>
  </si>
  <si>
    <t>DARK SAPPHIRE</t>
  </si>
  <si>
    <t>26V04441VN01</t>
  </si>
  <si>
    <t>PKGK26VB0004441A</t>
  </si>
  <si>
    <t>DarkSapphire</t>
  </si>
  <si>
    <t>Snow White</t>
  </si>
  <si>
    <t>SNOW WHITE</t>
  </si>
  <si>
    <t>SnowWhite</t>
  </si>
  <si>
    <t>EGV-F-SRN-202607-1972</t>
  </si>
  <si>
    <t>RTN</t>
  </si>
  <si>
    <t>26V04441</t>
  </si>
  <si>
    <t>EGV-F-SRN-202607-1973</t>
  </si>
  <si>
    <t>CÒN VẢI</t>
  </si>
  <si>
    <t>DQ600250 RAP A SH 10</t>
  </si>
  <si>
    <t>DQ600240 RAP A SH 10</t>
  </si>
  <si>
    <t>Spreading Planning Summary Report</t>
  </si>
  <si>
    <t>MO No</t>
  </si>
  <si>
    <t>Styling</t>
  </si>
  <si>
    <t>Marker Length</t>
  </si>
  <si>
    <t>Qty Lay</t>
  </si>
  <si>
    <t>Qty Roll</t>
  </si>
  <si>
    <t>Size Num</t>
  </si>
  <si>
    <t>Circumference</t>
  </si>
  <si>
    <t>Marker ID</t>
  </si>
  <si>
    <t>Fabric Width</t>
  </si>
  <si>
    <t>Fabric Desc</t>
  </si>
  <si>
    <t>S26V04441BODY1-002</t>
  </si>
  <si>
    <t>ROUTINE</t>
  </si>
  <si>
    <t>S(-)*1;M(-)*2;L(-)*2;XL(-)*1</t>
  </si>
  <si>
    <t>ROU04441-S1M2L2XL1-655-A</t>
  </si>
  <si>
    <t>Spreading Planning Summary Report === ROUTINE === S26V04441</t>
  </si>
  <si>
    <t>MÀU #DARK SAPPHIRE</t>
  </si>
  <si>
    <t xml:space="preserve">S26V04441BODY1-002 === PKGK26VB0004441A ĐH CHƯA MAXSHIP DƯ VẢI TRẢI THÊM </t>
  </si>
  <si>
    <t>GROUP 3/ LINE 11</t>
  </si>
  <si>
    <t>KHỔ 65</t>
  </si>
  <si>
    <t xml:space="preserve">CUT PLANNER:THỦY </t>
  </si>
  <si>
    <t>CUỐI</t>
  </si>
  <si>
    <t>STCOK KEO</t>
  </si>
  <si>
    <t>#BLACK</t>
  </si>
  <si>
    <t>32Y</t>
  </si>
  <si>
    <t xml:space="preserve">#OFF WHITE </t>
  </si>
  <si>
    <t>S26V04441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</si>
</sst>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m/d/yy;@"/>
    <numFmt numFmtId="165" formatCode="00000"/>
    <numFmt numFmtId="166" formatCode="0.0%"/>
    <numFmt numFmtId="167" formatCode="[$-409]d\-mmm;@"/>
    <numFmt numFmtId="168" formatCode="[$-10409]m/d/yyyy\ h:mm:ss\ AM/PM"/>
    <numFmt numFmtId="169" formatCode="[$-10409]0.00"/>
    <numFmt numFmtId="170" formatCode="[$-10409]m/d/yyyy"/>
  </numFmts>
  <fonts count="41" x14ac:knownFonts="1"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2"/>
      <color rgb="FFFF0000"/>
      <name val="Aptos Narrow"/>
      <family val="2"/>
      <scheme val="minor"/>
    </font>
    <font>
      <sz val="10"/>
      <name val="Arial"/>
      <family val="2"/>
    </font>
    <font>
      <b/>
      <sz val="11"/>
      <color rgb="FFFF0000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3.5"/>
      <color theme="1"/>
      <name val="Arial"/>
      <family val="2"/>
    </font>
    <font>
      <sz val="9"/>
      <color theme="1"/>
      <name val="Arial"/>
      <family val="2"/>
    </font>
    <font>
      <b/>
      <sz val="20"/>
      <color theme="1"/>
      <name val="Arial"/>
      <family val="2"/>
    </font>
    <font>
      <sz val="20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8"/>
      <color theme="1"/>
      <name val="Arial"/>
      <family val="2"/>
    </font>
    <font>
      <sz val="18"/>
      <color theme="1"/>
      <name val="Arial"/>
      <family val="2"/>
    </font>
    <font>
      <b/>
      <sz val="12"/>
      <color theme="4"/>
      <name val="Aptos Narrow"/>
      <family val="2"/>
      <scheme val="minor"/>
    </font>
    <font>
      <i/>
      <sz val="11"/>
      <color theme="2" tint="-0.249977111117893"/>
      <name val="Aptos Narrow"/>
      <family val="2"/>
      <scheme val="minor"/>
    </font>
    <font>
      <sz val="11"/>
      <color theme="3"/>
      <name val="Aptos Narrow"/>
      <family val="2"/>
      <scheme val="minor"/>
    </font>
    <font>
      <sz val="20"/>
      <name val="Arial"/>
      <family val="2"/>
    </font>
    <font>
      <b/>
      <sz val="14"/>
      <color rgb="FF0000FF"/>
      <name val="Arial"/>
      <family val="2"/>
    </font>
    <font>
      <sz val="20"/>
      <color indexed="8"/>
      <name val="Arial"/>
      <family val="2"/>
    </font>
    <font>
      <i/>
      <sz val="11"/>
      <color theme="0" tint="-0.249977111117893"/>
      <name val="Aptos Narrow"/>
      <family val="2"/>
      <scheme val="minor"/>
    </font>
    <font>
      <sz val="11"/>
      <name val="Calibri"/>
      <family val="2"/>
    </font>
    <font>
      <b/>
      <sz val="16"/>
      <color rgb="FF000000"/>
      <name val="Arial"/>
      <family val="2"/>
    </font>
    <font>
      <sz val="10"/>
      <color rgb="FF000000"/>
      <name val="Arial"/>
      <family val="2"/>
    </font>
    <font>
      <sz val="9"/>
      <color rgb="FF000000"/>
      <name val="Arial"/>
      <family val="2"/>
    </font>
    <font>
      <sz val="20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22"/>
      <color theme="1"/>
      <name val="Aptos Narrow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24"/>
      <color theme="1"/>
      <name val="Arial"/>
      <family val="2"/>
    </font>
    <font>
      <sz val="6"/>
      <color theme="1"/>
      <name val="Arial"/>
      <family val="2"/>
    </font>
    <font>
      <b/>
      <sz val="20"/>
      <color rgb="FFFF0000"/>
      <name val="Arial"/>
      <family val="2"/>
    </font>
    <font>
      <sz val="20"/>
      <color rgb="FFFF0000"/>
      <name val="Arial"/>
      <family val="2"/>
    </font>
    <font>
      <sz val="20"/>
      <name val="Aptos Narrow"/>
      <family val="2"/>
      <scheme val="minor"/>
    </font>
    <font>
      <sz val="8"/>
      <color theme="1"/>
      <name val="Arial"/>
      <family val="2"/>
    </font>
    <font>
      <b/>
      <sz val="8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FEFE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7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/>
      <right style="thin">
        <color rgb="FFD3D3D3"/>
      </right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00CC66"/>
      </left>
      <right style="medium">
        <color rgb="FF00CC66"/>
      </right>
      <top style="medium">
        <color rgb="FF00CC66"/>
      </top>
      <bottom/>
      <diagonal/>
    </border>
    <border>
      <left style="medium">
        <color rgb="FF00CC66"/>
      </left>
      <right style="medium">
        <color rgb="FF00CC66"/>
      </right>
      <top/>
      <bottom style="medium">
        <color rgb="FF00CC66"/>
      </bottom>
      <diagonal/>
    </border>
    <border>
      <left style="medium">
        <color rgb="FF00CC66"/>
      </left>
      <right style="medium">
        <color rgb="FF00CC66"/>
      </right>
      <top style="medium">
        <color rgb="FF00CC66"/>
      </top>
      <bottom style="medium">
        <color rgb="FF00CC66"/>
      </bottom>
      <diagonal/>
    </border>
    <border>
      <left style="medium">
        <color rgb="FF00CC66"/>
      </left>
      <right/>
      <top style="medium">
        <color rgb="FF00CC66"/>
      </top>
      <bottom style="medium">
        <color rgb="FF00CC66"/>
      </bottom>
      <diagonal/>
    </border>
    <border>
      <left/>
      <right/>
      <top style="medium">
        <color rgb="FF00CC66"/>
      </top>
      <bottom style="medium">
        <color rgb="FF00CC66"/>
      </bottom>
      <diagonal/>
    </border>
    <border>
      <left/>
      <right style="medium">
        <color rgb="FF00CC66"/>
      </right>
      <top style="medium">
        <color rgb="FF00CC66"/>
      </top>
      <bottom style="medium">
        <color rgb="FF00CC6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9" fontId="5" fillId="0" borderId="0" applyFont="0" applyFill="0" applyBorder="0" applyAlignment="0" applyProtection="0"/>
    <xf numFmtId="0" fontId="3" fillId="0" borderId="0"/>
  </cellStyleXfs>
  <cellXfs count="183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164" fontId="2" fillId="3" borderId="1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 wrapText="1"/>
    </xf>
    <xf numFmtId="165" fontId="6" fillId="3" borderId="3" xfId="0" applyNumberFormat="1" applyFont="1" applyFill="1" applyBorder="1" applyAlignment="1">
      <alignment horizontal="left" vertical="center" wrapText="1"/>
    </xf>
    <xf numFmtId="0" fontId="4" fillId="3" borderId="1" xfId="0" applyFont="1" applyFill="1" applyBorder="1" applyAlignment="1">
      <alignment horizontal="center" vertical="center" wrapText="1"/>
    </xf>
    <xf numFmtId="166" fontId="6" fillId="3" borderId="1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wrapText="1"/>
    </xf>
    <xf numFmtId="10" fontId="6" fillId="3" borderId="1" xfId="0" applyNumberFormat="1" applyFont="1" applyFill="1" applyBorder="1" applyAlignment="1">
      <alignment horizontal="center" vertical="center" wrapText="1"/>
    </xf>
    <xf numFmtId="166" fontId="6" fillId="2" borderId="1" xfId="0" applyNumberFormat="1" applyFont="1" applyFill="1" applyBorder="1" applyAlignment="1">
      <alignment horizontal="center" vertical="center" wrapText="1"/>
    </xf>
    <xf numFmtId="9" fontId="6" fillId="3" borderId="1" xfId="2" applyFont="1" applyFill="1" applyBorder="1" applyAlignment="1">
      <alignment horizontal="center" vertical="center" wrapText="1"/>
    </xf>
    <xf numFmtId="1" fontId="6" fillId="3" borderId="1" xfId="0" applyNumberFormat="1" applyFont="1" applyFill="1" applyBorder="1" applyAlignment="1">
      <alignment horizontal="center" vertical="center" wrapText="1"/>
    </xf>
    <xf numFmtId="3" fontId="6" fillId="3" borderId="1" xfId="0" applyNumberFormat="1" applyFont="1" applyFill="1" applyBorder="1" applyAlignment="1">
      <alignment horizontal="center" vertical="center" wrapText="1"/>
    </xf>
    <xf numFmtId="14" fontId="6" fillId="3" borderId="1" xfId="0" applyNumberFormat="1" applyFont="1" applyFill="1" applyBorder="1" applyAlignment="1">
      <alignment horizontal="center" vertical="center" wrapText="1"/>
    </xf>
    <xf numFmtId="164" fontId="6" fillId="0" borderId="1" xfId="0" applyNumberFormat="1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1" xfId="0" applyFont="1" applyBorder="1" applyAlignment="1">
      <alignment horizontal="center" vertical="center"/>
    </xf>
    <xf numFmtId="165" fontId="6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center"/>
    </xf>
    <xf numFmtId="166" fontId="6" fillId="0" borderId="1" xfId="0" applyNumberFormat="1" applyFont="1" applyBorder="1" applyAlignment="1">
      <alignment horizontal="left" vertical="center"/>
    </xf>
    <xf numFmtId="4" fontId="6" fillId="0" borderId="1" xfId="0" applyNumberFormat="1" applyFont="1" applyBorder="1"/>
    <xf numFmtId="10" fontId="6" fillId="0" borderId="1" xfId="2" applyNumberFormat="1" applyFont="1" applyBorder="1" applyAlignment="1">
      <alignment horizontal="center" vertical="center"/>
    </xf>
    <xf numFmtId="166" fontId="6" fillId="0" borderId="5" xfId="2" applyNumberFormat="1" applyFont="1" applyBorder="1" applyAlignment="1">
      <alignment horizontal="center" vertical="center"/>
    </xf>
    <xf numFmtId="1" fontId="6" fillId="0" borderId="4" xfId="0" applyNumberFormat="1" applyFont="1" applyBorder="1" applyAlignment="1">
      <alignment horizontal="center" vertical="center"/>
    </xf>
    <xf numFmtId="0" fontId="6" fillId="0" borderId="4" xfId="2" applyNumberFormat="1" applyFont="1" applyFill="1" applyBorder="1" applyAlignment="1">
      <alignment horizontal="center" vertical="center"/>
    </xf>
    <xf numFmtId="9" fontId="6" fillId="0" borderId="4" xfId="2" applyFont="1" applyBorder="1"/>
    <xf numFmtId="1" fontId="6" fillId="0" borderId="4" xfId="2" applyNumberFormat="1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3" fontId="6" fillId="0" borderId="1" xfId="0" applyNumberFormat="1" applyFont="1" applyBorder="1" applyAlignment="1">
      <alignment horizontal="center" vertical="center"/>
    </xf>
    <xf numFmtId="10" fontId="6" fillId="0" borderId="1" xfId="2" applyNumberFormat="1" applyFont="1" applyBorder="1"/>
    <xf numFmtId="14" fontId="6" fillId="0" borderId="4" xfId="0" applyNumberFormat="1" applyFont="1" applyBorder="1" applyAlignment="1">
      <alignment horizontal="center" vertical="center"/>
    </xf>
    <xf numFmtId="0" fontId="6" fillId="0" borderId="1" xfId="0" applyFont="1" applyBorder="1"/>
    <xf numFmtId="0" fontId="0" fillId="4" borderId="0" xfId="0" applyFill="1"/>
    <xf numFmtId="0" fontId="10" fillId="0" borderId="12" xfId="0" applyFont="1" applyBorder="1" applyAlignment="1">
      <alignment vertical="center" wrapText="1"/>
    </xf>
    <xf numFmtId="0" fontId="10" fillId="0" borderId="12" xfId="0" applyFont="1" applyBorder="1" applyAlignment="1">
      <alignment horizontal="right" vertical="center" wrapText="1"/>
    </xf>
    <xf numFmtId="0" fontId="10" fillId="0" borderId="12" xfId="0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0" fontId="14" fillId="0" borderId="1" xfId="0" applyFont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0" xfId="0" applyFont="1"/>
    <xf numFmtId="4" fontId="10" fillId="0" borderId="12" xfId="0" applyNumberFormat="1" applyFont="1" applyBorder="1" applyAlignment="1">
      <alignment horizontal="right" vertical="center" wrapText="1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0" fontId="13" fillId="0" borderId="16" xfId="0" applyFont="1" applyBorder="1" applyAlignment="1">
      <alignment horizontal="center" vertical="center"/>
    </xf>
    <xf numFmtId="0" fontId="18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19" fillId="0" borderId="0" xfId="0" applyFont="1" applyAlignment="1">
      <alignment horizontal="center"/>
    </xf>
    <xf numFmtId="14" fontId="19" fillId="0" borderId="0" xfId="0" applyNumberFormat="1" applyFont="1" applyAlignment="1">
      <alignment horizontal="center"/>
    </xf>
    <xf numFmtId="0" fontId="20" fillId="6" borderId="0" xfId="0" applyFont="1" applyFill="1" applyAlignment="1">
      <alignment horizontal="center"/>
    </xf>
    <xf numFmtId="0" fontId="21" fillId="0" borderId="1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167" fontId="21" fillId="0" borderId="0" xfId="0" applyNumberFormat="1" applyFont="1" applyAlignment="1">
      <alignment horizontal="center" vertical="center"/>
    </xf>
    <xf numFmtId="0" fontId="21" fillId="0" borderId="0" xfId="0" applyFont="1"/>
    <xf numFmtId="0" fontId="3" fillId="0" borderId="0" xfId="0" applyFont="1"/>
    <xf numFmtId="0" fontId="21" fillId="0" borderId="1" xfId="0" applyFont="1" applyBorder="1" applyAlignment="1">
      <alignment horizontal="center" vertical="center" wrapText="1"/>
    </xf>
    <xf numFmtId="167" fontId="22" fillId="0" borderId="0" xfId="0" applyNumberFormat="1" applyFont="1"/>
    <xf numFmtId="0" fontId="12" fillId="0" borderId="1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1" fillId="0" borderId="1" xfId="1" applyFont="1" applyBorder="1" applyAlignment="1">
      <alignment horizontal="center" vertical="center"/>
    </xf>
    <xf numFmtId="0" fontId="12" fillId="0" borderId="1" xfId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1" fillId="0" borderId="1" xfId="0" applyFont="1" applyBorder="1" applyAlignment="1">
      <alignment vertical="center"/>
    </xf>
    <xf numFmtId="0" fontId="21" fillId="0" borderId="1" xfId="0" applyFont="1" applyBorder="1" applyAlignment="1">
      <alignment horizontal="left" vertical="center"/>
    </xf>
    <xf numFmtId="0" fontId="21" fillId="7" borderId="1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6" fillId="0" borderId="0" xfId="0" applyFont="1" applyAlignment="1">
      <alignment horizontal="center" vertical="center"/>
    </xf>
    <xf numFmtId="0" fontId="24" fillId="0" borderId="0" xfId="0" applyFont="1"/>
    <xf numFmtId="49" fontId="7" fillId="0" borderId="0" xfId="0" applyNumberFormat="1" applyFont="1" applyAlignment="1">
      <alignment horizontal="center" vertical="center"/>
    </xf>
    <xf numFmtId="49" fontId="7" fillId="0" borderId="0" xfId="0" applyNumberFormat="1" applyFont="1" applyAlignment="1">
      <alignment horizontal="center" vertical="center" wrapText="1"/>
    </xf>
    <xf numFmtId="0" fontId="25" fillId="0" borderId="0" xfId="0" applyFont="1"/>
    <xf numFmtId="0" fontId="28" fillId="0" borderId="17" xfId="0" applyFont="1" applyBorder="1" applyAlignment="1">
      <alignment vertical="top" wrapText="1" readingOrder="1"/>
    </xf>
    <xf numFmtId="169" fontId="28" fillId="0" borderId="17" xfId="0" applyNumberFormat="1" applyFont="1" applyBorder="1" applyAlignment="1">
      <alignment vertical="top" wrapText="1" readingOrder="1"/>
    </xf>
    <xf numFmtId="170" fontId="28" fillId="0" borderId="17" xfId="0" applyNumberFormat="1" applyFont="1" applyBorder="1" applyAlignment="1">
      <alignment vertical="top" wrapText="1" readingOrder="1"/>
    </xf>
    <xf numFmtId="0" fontId="32" fillId="8" borderId="25" xfId="0" applyFont="1" applyFill="1" applyBorder="1" applyAlignment="1">
      <alignment horizontal="center" vertical="center" wrapText="1"/>
    </xf>
    <xf numFmtId="0" fontId="33" fillId="0" borderId="0" xfId="0" applyFont="1"/>
    <xf numFmtId="0" fontId="32" fillId="8" borderId="26" xfId="0" applyFont="1" applyFill="1" applyBorder="1" applyAlignment="1">
      <alignment horizontal="center" vertical="center" wrapText="1"/>
    </xf>
    <xf numFmtId="0" fontId="33" fillId="2" borderId="27" xfId="0" applyFont="1" applyFill="1" applyBorder="1"/>
    <xf numFmtId="0" fontId="0" fillId="2" borderId="0" xfId="0" applyFill="1"/>
    <xf numFmtId="0" fontId="33" fillId="9" borderId="27" xfId="0" applyFont="1" applyFill="1" applyBorder="1"/>
    <xf numFmtId="0" fontId="29" fillId="0" borderId="0" xfId="0" applyFont="1" applyAlignment="1" applyProtection="1">
      <alignment horizontal="center" vertical="center"/>
      <protection locked="0"/>
    </xf>
    <xf numFmtId="0" fontId="31" fillId="0" borderId="1" xfId="0" applyFont="1" applyBorder="1" applyAlignment="1" applyProtection="1">
      <alignment horizontal="center" vertical="center"/>
      <protection locked="0"/>
    </xf>
    <xf numFmtId="0" fontId="31" fillId="0" borderId="1" xfId="0" applyFont="1" applyBorder="1" applyAlignment="1" applyProtection="1">
      <alignment horizontal="center" vertical="center" wrapText="1"/>
      <protection locked="0"/>
    </xf>
    <xf numFmtId="14" fontId="31" fillId="0" borderId="1" xfId="0" applyNumberFormat="1" applyFont="1" applyBorder="1" applyAlignment="1" applyProtection="1">
      <alignment horizontal="center" vertical="center"/>
      <protection locked="0"/>
    </xf>
    <xf numFmtId="0" fontId="29" fillId="0" borderId="1" xfId="0" applyFont="1" applyBorder="1" applyAlignment="1" applyProtection="1">
      <alignment horizontal="center" vertical="center"/>
      <protection locked="0"/>
    </xf>
    <xf numFmtId="0" fontId="29" fillId="0" borderId="1" xfId="0" applyFont="1" applyBorder="1" applyAlignment="1" applyProtection="1">
      <alignment horizontal="center" vertical="center" wrapText="1"/>
      <protection locked="0"/>
    </xf>
    <xf numFmtId="14" fontId="29" fillId="0" borderId="1" xfId="0" applyNumberFormat="1" applyFont="1" applyBorder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9" fillId="0" borderId="1" xfId="0" applyFont="1" applyBorder="1" applyAlignment="1">
      <alignment horizontal="center" vertical="center" wrapText="1"/>
    </xf>
    <xf numFmtId="14" fontId="29" fillId="0" borderId="1" xfId="0" applyNumberFormat="1" applyFont="1" applyBorder="1" applyAlignment="1">
      <alignment horizontal="center" vertical="center"/>
    </xf>
    <xf numFmtId="0" fontId="33" fillId="9" borderId="0" xfId="0" applyFont="1" applyFill="1" applyProtection="1">
      <protection locked="0"/>
    </xf>
    <xf numFmtId="0" fontId="11" fillId="2" borderId="25" xfId="0" applyFont="1" applyFill="1" applyBorder="1" applyAlignment="1" applyProtection="1">
      <alignment horizontal="center" vertical="center" wrapText="1"/>
      <protection locked="0"/>
    </xf>
    <xf numFmtId="0" fontId="12" fillId="9" borderId="27" xfId="0" applyFont="1" applyFill="1" applyBorder="1" applyAlignment="1" applyProtection="1">
      <alignment horizontal="center" vertical="center" wrapText="1"/>
      <protection locked="0"/>
    </xf>
    <xf numFmtId="0" fontId="12" fillId="9" borderId="28" xfId="0" applyFont="1" applyFill="1" applyBorder="1" applyAlignment="1" applyProtection="1">
      <alignment horizontal="center" vertical="center" wrapText="1"/>
      <protection locked="0"/>
    </xf>
    <xf numFmtId="0" fontId="0" fillId="9" borderId="0" xfId="0" applyFill="1" applyProtection="1">
      <protection locked="0"/>
    </xf>
    <xf numFmtId="0" fontId="0" fillId="9" borderId="0" xfId="0" applyFill="1" applyAlignment="1" applyProtection="1">
      <alignment vertical="center"/>
      <protection locked="0"/>
    </xf>
    <xf numFmtId="0" fontId="12" fillId="9" borderId="27" xfId="0" applyFont="1" applyFill="1" applyBorder="1" applyAlignment="1" applyProtection="1">
      <alignment horizontal="center" vertical="center" wrapText="1"/>
      <protection hidden="1"/>
    </xf>
    <xf numFmtId="0" fontId="12" fillId="9" borderId="28" xfId="0" applyFont="1" applyFill="1" applyBorder="1" applyAlignment="1" applyProtection="1">
      <alignment horizontal="center" vertical="center" wrapText="1"/>
      <protection hidden="1"/>
    </xf>
    <xf numFmtId="0" fontId="33" fillId="0" borderId="27" xfId="0" applyFont="1" applyBorder="1" applyAlignment="1">
      <alignment wrapText="1"/>
    </xf>
    <xf numFmtId="22" fontId="33" fillId="0" borderId="27" xfId="0" applyNumberFormat="1" applyFont="1" applyBorder="1" applyAlignment="1">
      <alignment wrapText="1"/>
    </xf>
    <xf numFmtId="0" fontId="33" fillId="0" borderId="27" xfId="0" applyFont="1" applyBorder="1"/>
    <xf numFmtId="0" fontId="13" fillId="5" borderId="14" xfId="0" applyFont="1" applyFill="1" applyBorder="1" applyAlignment="1">
      <alignment horizontal="center" vertical="center" wrapText="1"/>
    </xf>
    <xf numFmtId="0" fontId="13" fillId="5" borderId="1" xfId="0" applyFont="1" applyFill="1" applyBorder="1" applyAlignment="1">
      <alignment horizontal="center" vertical="center" wrapText="1"/>
    </xf>
    <xf numFmtId="0" fontId="13" fillId="5" borderId="15" xfId="0" applyFont="1" applyFill="1" applyBorder="1" applyAlignment="1">
      <alignment horizontal="center" vertical="center" wrapText="1"/>
    </xf>
    <xf numFmtId="0" fontId="35" fillId="0" borderId="12" xfId="0" applyFont="1" applyBorder="1" applyAlignment="1">
      <alignment vertical="center" wrapText="1"/>
    </xf>
    <xf numFmtId="0" fontId="35" fillId="0" borderId="12" xfId="0" applyFont="1" applyBorder="1" applyAlignment="1">
      <alignment horizontal="right" vertical="center" wrapText="1"/>
    </xf>
    <xf numFmtId="0" fontId="35" fillId="0" borderId="12" xfId="0" applyFont="1" applyBorder="1" applyAlignment="1">
      <alignment horizontal="center" vertical="center" wrapText="1"/>
    </xf>
    <xf numFmtId="0" fontId="0" fillId="10" borderId="0" xfId="0" applyFill="1"/>
    <xf numFmtId="0" fontId="35" fillId="10" borderId="12" xfId="0" applyFont="1" applyFill="1" applyBorder="1" applyAlignment="1">
      <alignment vertical="center" wrapText="1"/>
    </xf>
    <xf numFmtId="0" fontId="35" fillId="10" borderId="12" xfId="0" applyFont="1" applyFill="1" applyBorder="1" applyAlignment="1">
      <alignment horizontal="right" vertical="center" wrapText="1"/>
    </xf>
    <xf numFmtId="0" fontId="35" fillId="10" borderId="12" xfId="0" applyFont="1" applyFill="1" applyBorder="1" applyAlignment="1">
      <alignment horizontal="center" vertical="center" wrapText="1"/>
    </xf>
    <xf numFmtId="0" fontId="6" fillId="9" borderId="0" xfId="0" applyFont="1" applyFill="1" applyAlignment="1">
      <alignment horizontal="center" vertical="center"/>
    </xf>
    <xf numFmtId="0" fontId="6" fillId="9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37" fillId="0" borderId="1" xfId="0" applyFont="1" applyBorder="1" applyAlignment="1">
      <alignment horizontal="center" vertical="center"/>
    </xf>
    <xf numFmtId="0" fontId="38" fillId="0" borderId="1" xfId="0" applyFont="1" applyBorder="1" applyAlignment="1">
      <alignment horizontal="center" vertical="center"/>
    </xf>
    <xf numFmtId="16" fontId="21" fillId="0" borderId="1" xfId="0" applyNumberFormat="1" applyFont="1" applyBorder="1" applyAlignment="1">
      <alignment horizontal="center" vertical="center"/>
    </xf>
    <xf numFmtId="0" fontId="40" fillId="5" borderId="12" xfId="0" applyFont="1" applyFill="1" applyBorder="1" applyAlignment="1">
      <alignment vertical="center" wrapText="1"/>
    </xf>
    <xf numFmtId="0" fontId="6" fillId="0" borderId="3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4" fillId="2" borderId="24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9" borderId="14" xfId="0" applyFont="1" applyFill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66" fontId="6" fillId="0" borderId="31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11" fillId="0" borderId="13" xfId="0" applyFont="1" applyBorder="1" applyAlignment="1">
      <alignment horizontal="center" vertical="center" wrapText="1"/>
    </xf>
    <xf numFmtId="0" fontId="14" fillId="0" borderId="14" xfId="0" applyFont="1" applyBorder="1" applyAlignment="1">
      <alignment horizontal="center" vertical="center" wrapText="1"/>
    </xf>
    <xf numFmtId="0" fontId="14" fillId="0" borderId="31" xfId="0" applyFont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 wrapText="1"/>
    </xf>
    <xf numFmtId="0" fontId="36" fillId="2" borderId="2" xfId="0" applyFont="1" applyFill="1" applyBorder="1" applyAlignment="1">
      <alignment horizontal="center" vertical="center" wrapText="1"/>
    </xf>
    <xf numFmtId="0" fontId="36" fillId="2" borderId="32" xfId="0" applyFont="1" applyFill="1" applyBorder="1" applyAlignment="1">
      <alignment horizontal="center" vertical="center" wrapText="1"/>
    </xf>
    <xf numFmtId="0" fontId="36" fillId="2" borderId="3" xfId="0" applyFont="1" applyFill="1" applyBorder="1" applyAlignment="1">
      <alignment horizontal="center" vertical="center" wrapText="1"/>
    </xf>
    <xf numFmtId="0" fontId="40" fillId="5" borderId="7" xfId="0" applyFont="1" applyFill="1" applyBorder="1" applyAlignment="1">
      <alignment vertical="center" wrapText="1"/>
    </xf>
    <xf numFmtId="0" fontId="40" fillId="5" borderId="11" xfId="0" applyFont="1" applyFill="1" applyBorder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39" fillId="0" borderId="0" xfId="0" applyFont="1" applyAlignment="1">
      <alignment vertical="center" wrapText="1"/>
    </xf>
    <xf numFmtId="0" fontId="39" fillId="0" borderId="6" xfId="0" applyFont="1" applyBorder="1" applyAlignment="1">
      <alignment vertical="center" wrapText="1"/>
    </xf>
    <xf numFmtId="0" fontId="40" fillId="5" borderId="8" xfId="0" applyFont="1" applyFill="1" applyBorder="1" applyAlignment="1">
      <alignment horizontal="center" vertical="center" wrapText="1"/>
    </xf>
    <xf numFmtId="0" fontId="40" fillId="5" borderId="9" xfId="0" applyFont="1" applyFill="1" applyBorder="1" applyAlignment="1">
      <alignment horizontal="center" vertical="center" wrapText="1"/>
    </xf>
    <xf numFmtId="0" fontId="40" fillId="5" borderId="10" xfId="0" applyFont="1" applyFill="1" applyBorder="1" applyAlignment="1">
      <alignment horizontal="center" vertical="center" wrapText="1"/>
    </xf>
    <xf numFmtId="0" fontId="28" fillId="0" borderId="17" xfId="0" applyFont="1" applyBorder="1" applyAlignment="1">
      <alignment vertical="top" wrapText="1" readingOrder="1"/>
    </xf>
    <xf numFmtId="0" fontId="25" fillId="0" borderId="18" xfId="0" applyFont="1" applyBorder="1" applyAlignment="1">
      <alignment vertical="top" wrapText="1"/>
    </xf>
    <xf numFmtId="169" fontId="28" fillId="0" borderId="17" xfId="0" applyNumberFormat="1" applyFont="1" applyBorder="1" applyAlignment="1">
      <alignment vertical="top" wrapText="1" readingOrder="1"/>
    </xf>
    <xf numFmtId="0" fontId="25" fillId="0" borderId="19" xfId="0" applyFont="1" applyBorder="1" applyAlignment="1">
      <alignment vertical="top" wrapText="1"/>
    </xf>
    <xf numFmtId="0" fontId="26" fillId="0" borderId="0" xfId="0" applyFont="1" applyAlignment="1">
      <alignment horizontal="center" vertical="center" wrapText="1" readingOrder="1"/>
    </xf>
    <xf numFmtId="0" fontId="25" fillId="0" borderId="0" xfId="0" applyFont="1"/>
    <xf numFmtId="168" fontId="27" fillId="0" borderId="0" xfId="0" applyNumberFormat="1" applyFont="1" applyAlignment="1">
      <alignment horizontal="right" vertical="top" wrapText="1" readingOrder="1"/>
    </xf>
    <xf numFmtId="0" fontId="30" fillId="3" borderId="20" xfId="0" applyFont="1" applyFill="1" applyBorder="1" applyAlignment="1" applyProtection="1">
      <alignment horizontal="center" vertical="center"/>
      <protection locked="0"/>
    </xf>
    <xf numFmtId="0" fontId="30" fillId="3" borderId="16" xfId="0" applyFont="1" applyFill="1" applyBorder="1" applyAlignment="1" applyProtection="1">
      <alignment horizontal="center" vertical="center"/>
      <protection locked="0"/>
    </xf>
    <xf numFmtId="0" fontId="30" fillId="3" borderId="15" xfId="0" applyFont="1" applyFill="1" applyBorder="1" applyAlignment="1" applyProtection="1">
      <alignment horizontal="center" vertical="center"/>
      <protection locked="0"/>
    </xf>
    <xf numFmtId="0" fontId="30" fillId="3" borderId="21" xfId="0" applyFont="1" applyFill="1" applyBorder="1" applyAlignment="1" applyProtection="1">
      <alignment horizontal="center" vertical="center"/>
      <protection locked="0"/>
    </xf>
    <xf numFmtId="0" fontId="30" fillId="3" borderId="0" xfId="0" applyFont="1" applyFill="1" applyAlignment="1" applyProtection="1">
      <alignment horizontal="center" vertical="center"/>
      <protection locked="0"/>
    </xf>
    <xf numFmtId="0" fontId="30" fillId="3" borderId="22" xfId="0" applyFont="1" applyFill="1" applyBorder="1" applyAlignment="1" applyProtection="1">
      <alignment horizontal="center" vertical="center"/>
      <protection locked="0"/>
    </xf>
    <xf numFmtId="0" fontId="30" fillId="3" borderId="23" xfId="0" applyFont="1" applyFill="1" applyBorder="1" applyAlignment="1" applyProtection="1">
      <alignment horizontal="center" vertical="center"/>
      <protection locked="0"/>
    </xf>
    <xf numFmtId="0" fontId="30" fillId="3" borderId="13" xfId="0" applyFont="1" applyFill="1" applyBorder="1" applyAlignment="1" applyProtection="1">
      <alignment horizontal="center" vertical="center"/>
      <protection locked="0"/>
    </xf>
    <xf numFmtId="0" fontId="30" fillId="3" borderId="24" xfId="0" applyFont="1" applyFill="1" applyBorder="1" applyAlignment="1" applyProtection="1">
      <alignment horizontal="center" vertical="center"/>
      <protection locked="0"/>
    </xf>
    <xf numFmtId="0" fontId="32" fillId="8" borderId="25" xfId="0" applyFont="1" applyFill="1" applyBorder="1" applyAlignment="1">
      <alignment horizontal="center" vertical="center" wrapText="1"/>
    </xf>
    <xf numFmtId="0" fontId="32" fillId="8" borderId="26" xfId="0" applyFont="1" applyFill="1" applyBorder="1" applyAlignment="1">
      <alignment horizontal="center" vertical="center" wrapText="1"/>
    </xf>
    <xf numFmtId="0" fontId="34" fillId="9" borderId="28" xfId="0" applyFont="1" applyFill="1" applyBorder="1" applyAlignment="1" applyProtection="1">
      <alignment horizontal="center" vertical="center" wrapText="1"/>
      <protection locked="0"/>
    </xf>
    <xf numFmtId="0" fontId="34" fillId="9" borderId="29" xfId="0" applyFont="1" applyFill="1" applyBorder="1" applyAlignment="1" applyProtection="1">
      <alignment horizontal="center" vertical="center" wrapText="1"/>
      <protection locked="0"/>
    </xf>
    <xf numFmtId="0" fontId="34" fillId="9" borderId="30" xfId="0" applyFont="1" applyFill="1" applyBorder="1" applyAlignment="1" applyProtection="1">
      <alignment horizontal="center" vertical="center" wrapText="1"/>
      <protection locked="0"/>
    </xf>
  </cellXfs>
  <cellStyles count="4">
    <cellStyle name="Normal" xfId="0" builtinId="0"/>
    <cellStyle name="Normal 2 4" xfId="1" xr:uid="{6EE614CE-9FD5-4CFC-89A8-AF7611639DC9}"/>
    <cellStyle name="Percent" xfId="2" builtinId="5"/>
    <cellStyle name="常规 16" xfId="3" xr:uid="{D3094633-70DB-4E33-80D5-6CE519A22271}"/>
  </cellStyles>
  <dxfs count="72">
    <dxf>
      <border>
        <left/>
        <right/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theme="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7" tint="0.39994506668294322"/>
        </patternFill>
      </fill>
    </dxf>
    <dxf>
      <font>
        <color auto="1"/>
      </font>
      <fill>
        <patternFill>
          <fgColor auto="1"/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4" formatCode="0.00%"/>
      <alignment horizontal="center" vertical="center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7</xdr:row>
      <xdr:rowOff>76200</xdr:rowOff>
    </xdr:from>
    <xdr:to>
      <xdr:col>8</xdr:col>
      <xdr:colOff>378854</xdr:colOff>
      <xdr:row>12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523FED1-A8A1-E22D-347A-FE0FA9659D3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9043" t="16701" b="20890"/>
        <a:stretch>
          <a:fillRect/>
        </a:stretch>
      </xdr:blipFill>
      <xdr:spPr>
        <a:xfrm>
          <a:off x="4343400" y="1402080"/>
          <a:ext cx="912254" cy="9220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86803</xdr:colOff>
      <xdr:row>1</xdr:row>
      <xdr:rowOff>138321</xdr:rowOff>
    </xdr:from>
    <xdr:to>
      <xdr:col>0</xdr:col>
      <xdr:colOff>980098</xdr:colOff>
      <xdr:row>4</xdr:row>
      <xdr:rowOff>1297</xdr:rowOff>
    </xdr:to>
    <xdr:sp macro="[0]!Clear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E421740D-1F71-42A2-BBB0-3FD31A81DC97}"/>
            </a:ext>
          </a:extLst>
        </xdr:cNvPr>
        <xdr:cNvSpPr/>
      </xdr:nvSpPr>
      <xdr:spPr>
        <a:xfrm>
          <a:off x="86803" y="321494"/>
          <a:ext cx="893295" cy="412495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1. Clear</a:t>
          </a:r>
        </a:p>
      </xdr:txBody>
    </xdr:sp>
    <xdr:clientData/>
  </xdr:twoCellAnchor>
  <xdr:twoCellAnchor>
    <xdr:from>
      <xdr:col>0</xdr:col>
      <xdr:colOff>1153603</xdr:colOff>
      <xdr:row>1</xdr:row>
      <xdr:rowOff>144670</xdr:rowOff>
    </xdr:from>
    <xdr:to>
      <xdr:col>1</xdr:col>
      <xdr:colOff>837223</xdr:colOff>
      <xdr:row>4</xdr:row>
      <xdr:rowOff>9185</xdr:rowOff>
    </xdr:to>
    <xdr:sp macro="[0]!RefreshData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29ABCF35-5449-29B9-21C2-98B51D22ABB6}"/>
            </a:ext>
          </a:extLst>
        </xdr:cNvPr>
        <xdr:cNvSpPr/>
      </xdr:nvSpPr>
      <xdr:spPr>
        <a:xfrm>
          <a:off x="1153603" y="327843"/>
          <a:ext cx="892562" cy="414034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2.</a:t>
          </a:r>
          <a:r>
            <a:rPr lang="en-US" sz="1200" baseline="0"/>
            <a:t> Refresh</a:t>
          </a:r>
          <a:endParaRPr lang="en-US" sz="1200"/>
        </a:p>
      </xdr:txBody>
    </xdr:sp>
    <xdr:clientData/>
  </xdr:twoCellAnchor>
  <xdr:twoCellAnchor>
    <xdr:from>
      <xdr:col>2</xdr:col>
      <xdr:colOff>77278</xdr:colOff>
      <xdr:row>1</xdr:row>
      <xdr:rowOff>154195</xdr:rowOff>
    </xdr:from>
    <xdr:to>
      <xdr:col>2</xdr:col>
      <xdr:colOff>973748</xdr:colOff>
      <xdr:row>4</xdr:row>
      <xdr:rowOff>21982</xdr:rowOff>
    </xdr:to>
    <xdr:sp macro="[0]!SaveToCFC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98719253-6F0E-156F-4C37-7574E8F8E693}"/>
            </a:ext>
          </a:extLst>
        </xdr:cNvPr>
        <xdr:cNvSpPr/>
      </xdr:nvSpPr>
      <xdr:spPr>
        <a:xfrm>
          <a:off x="2216740" y="337368"/>
          <a:ext cx="896470" cy="417306"/>
        </a:xfrm>
        <a:prstGeom prst="round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3. Save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ruc, Nguyen Thi Thanh /TGV/Cutting" id="{86FFD26D-36BC-42D7-ACB3-69408E0156D0}" userId="S::Truc.TT.Nguyen@esquel.com::8f07d49d-f3a1-44ea-8566-bbe7131a3f39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818E6B36-9DCB-49BC-AB25-B60C14FEB006}" autoFormatId="16" applyNumberFormats="0" applyBorderFormats="0" applyFontFormats="0" applyPatternFormats="0" applyAlignmentFormats="0" applyWidthHeightFormats="0">
  <queryTableRefresh nextId="56">
    <queryTableFields count="19">
      <queryTableField id="12" name="SGO" tableColumnId="12"/>
      <queryTableField id="1" name="CODE" tableColumnId="1"/>
      <queryTableField id="2" name="COLOR_CODE" tableColumnId="2"/>
      <queryTableField id="3" name="COLOR_DESC" tableColumnId="3"/>
      <queryTableField id="4" name="JO" tableColumnId="4"/>
      <queryTableField id="5" name="ORDER" tableColumnId="5"/>
      <queryTableField id="6" name="PPO" tableColumnId="6"/>
      <queryTableField id="7" name="PPO Marker YY" tableColumnId="7"/>
      <queryTableField id="13" name="PPO YY KHÔNG NHẬP" tableColumnId="13"/>
      <queryTableField id="8" name="PPO Q'ty" tableColumnId="8"/>
      <queryTableField id="14" name="Net YY" tableColumnId="14"/>
      <queryTableField id="38" name="Bulk YY" tableColumnId="32"/>
      <queryTableField id="15" name="Wastage ratio" tableColumnId="15"/>
      <queryTableField id="48" name="Allocate Fabric - PPC" tableColumnId="9"/>
      <queryTableField id="49" name="Fabric Issue" tableColumnId="36"/>
      <queryTableField id="50" name="Delta" tableColumnId="37"/>
      <queryTableField id="39" name="Forecast (%)" tableColumnId="33"/>
      <queryTableField id="40" name="Bulk YY/PPO YY" tableColumnId="34"/>
      <queryTableField id="31" name="REMARK" tableColumnId="31"/>
    </queryTableFields>
    <queryTableDeletedFields count="1">
      <deletedField name="SUBJECT MAIL"/>
    </queryTableDeleted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B893E84-0C63-4D8D-BB72-E89FEEFCF282}" name="Table1" displayName="Table1" ref="A1:AB3" totalsRowShown="0" headerRowDxfId="71" dataDxfId="69" headerRowBorderDxfId="70" tableBorderDxfId="68" totalsRowBorderDxfId="67">
  <autoFilter ref="A1:AB3" xr:uid="{BB893E84-0C63-4D8D-BB72-E89FEEFCF282}"/>
  <tableColumns count="28">
    <tableColumn id="1" xr3:uid="{D03C2210-A4A2-4B5C-8225-F2009A027D47}" name="Type" dataDxfId="66"/>
    <tableColumn id="2" xr3:uid="{CA7D163F-B625-4C02-90A3-8305B85F68CF}" name="COLOR_CODE" dataDxfId="65"/>
    <tableColumn id="3" xr3:uid="{48658A39-4233-4FBB-8D70-BA83A638A899}" name="COLOR_DESC" dataDxfId="64"/>
    <tableColumn id="4" xr3:uid="{375E0C38-0DE1-4FE1-9537-494EB1245833}" name="FABRIC COLOR (For piecing only)" dataDxfId="63"/>
    <tableColumn id="5" xr3:uid="{B847558D-8E45-463B-A20C-7060215DBADE}" name="JOB ORDER NO" dataDxfId="62"/>
    <tableColumn id="6" xr3:uid="{908CA240-47C8-4978-B7EF-AAE5510D8B66}" name="- %" dataDxfId="61"/>
    <tableColumn id="7" xr3:uid="{9159608D-028D-4D9E-AFDC-C2BD944F67F7}" name="+%" dataDxfId="60"/>
    <tableColumn id="8" xr3:uid="{3EC2DCAF-930B-40F8-964D-F6A5D4E5ACA9}" name="Qty" dataDxfId="59"/>
    <tableColumn id="9" xr3:uid="{DE16AD7D-4582-46D3-9DED-3041274B981A}" name="BUYER_PO_DEL_DATE" dataDxfId="58"/>
    <tableColumn id="10" xr3:uid="{D2BFDF31-49CA-403E-8E9E-342C780AA12D}" name="PPO" dataDxfId="57"/>
    <tableColumn id="11" xr3:uid="{8332A37A-C79A-434F-A6F1-8C8F32C6C119}" name="Marker YY" dataDxfId="56"/>
    <tableColumn id="12" xr3:uid="{004F49EF-5FFF-42A8-904C-E0FEF6E2326B}" name="PPO YY" dataDxfId="55"/>
    <tableColumn id="13" xr3:uid="{E855470A-957B-46B8-9238-5DFCDE475CAA}" name="Require YY" dataDxfId="54"/>
    <tableColumn id="14" xr3:uid="{D100164C-EFF5-4096-897A-49FC698185AA}" name="PPO Q'ty" dataDxfId="53"/>
    <tableColumn id="15" xr3:uid="{2E6BD20E-E18B-4DAE-A32E-80601581F241}" name="Rcv Q'ty (PPO)" dataDxfId="52"/>
    <tableColumn id="16" xr3:uid="{D99EFF09-2DDF-49D0-9651-0824F3B33D72}" name="Allocate Q'ty (Lot)" dataDxfId="51"/>
    <tableColumn id="17" xr3:uid="{1D27B108-283E-4E51-8B0E-5261F6CFB337}" name="Allocate %" dataDxfId="50"/>
    <tableColumn id="18" xr3:uid="{352013DB-B143-42D7-A8C9-1F0FD451E9EB}" name="Exclude FOC" dataDxfId="49"/>
    <tableColumn id="19" xr3:uid="{D0813469-2AE4-43C4-96B0-18210C7EEA25}" name="FOC (PPO)" dataDxfId="48"/>
    <tableColumn id="20" xr3:uid="{C3D73A78-5796-4E1A-A27A-61807D40ABA2}" name="Sum condition" dataDxfId="47"/>
    <tableColumn id="21" xr3:uid="{F07FB01A-D566-4609-AED1-4EF0C90B6D74}" name="Plan allocate %" dataDxfId="46"/>
    <tableColumn id="22" xr3:uid="{2C3B7A54-65D2-4678-A09E-0C2A8BAE7838}" name="Accumulate demand" dataDxfId="45"/>
    <tableColumn id="23" xr3:uid="{77F99780-1360-4DF6-82D4-292AF74FF89A}" name="PPO Q'ty2" dataDxfId="44"/>
    <tableColumn id="24" xr3:uid="{575B961B-47A0-43C1-AB84-1602CF7B7D43}" name="Bal require" dataDxfId="43"/>
    <tableColumn id="25" xr3:uid="{456FF479-AB9C-47E9-8D4B-6B91C82A8545}" name="On hand Q'ty" dataDxfId="42"/>
    <tableColumn id="26" xr3:uid="{6DDAFBEC-686C-4378-A726-81B467DDF63D}" name="On hand %" dataDxfId="41"/>
    <tableColumn id="27" xr3:uid="{ACE5E6E8-2191-44EE-9F8A-887AAD169127}" name="Fab order %" dataDxfId="40"/>
    <tableColumn id="28" xr3:uid="{0BBFE84C-A413-4AD9-AFFE-8D6911F976DB}" name="Remark" dataDxfId="3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D9DAA46-B1FB-497F-9D0C-680EAFD0AE59}" name="Slicer" displayName="Slicer" ref="A8:C28" totalsRowShown="0" headerRowDxfId="36" dataDxfId="35">
  <tableColumns count="3">
    <tableColumn id="1" xr3:uid="{7710334D-C102-4B63-A502-E6D9A00CC88D}" name="CODE" dataDxfId="34"/>
    <tableColumn id="2" xr3:uid="{2BA62364-925C-4C5F-9DED-87744767B0A2}" name="COLOR_CODE" dataDxfId="33"/>
    <tableColumn id="3" xr3:uid="{31DA1950-C03C-4A3F-8A16-B69751E381D5}" name="JO" dataDxfId="32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F95E49C-7082-4C1A-809D-E06BF6159C0F}" name="Output_Expected" displayName="Output_Expected" ref="E8:W10" tableType="queryTable" totalsRowShown="0" headerRowDxfId="31" dataDxfId="30">
  <autoFilter ref="E8:W10" xr:uid="{1F95E49C-7082-4C1A-809D-E06BF6159C0F}"/>
  <tableColumns count="19">
    <tableColumn id="12" xr3:uid="{0F8C7D26-3636-4D3D-B150-DDA3A5C4669C}" uniqueName="12" name="SGO" queryTableFieldId="12" dataDxfId="29"/>
    <tableColumn id="1" xr3:uid="{59ECCF8D-F933-4AEF-A007-2988DFCE38CC}" uniqueName="1" name="CODE" queryTableFieldId="1" dataDxfId="28"/>
    <tableColumn id="2" xr3:uid="{C23C3B9E-37D1-48DD-9F79-5422508CD5B7}" uniqueName="2" name="COLOR_CODE" queryTableFieldId="2" dataDxfId="27"/>
    <tableColumn id="3" xr3:uid="{70A2C1DB-3EF4-442B-A744-1C71A4009802}" uniqueName="3" name="COLOR_DESC" queryTableFieldId="3" dataDxfId="26"/>
    <tableColumn id="4" xr3:uid="{585F9280-D580-4C2C-8B93-BBD11BA1BF38}" uniqueName="4" name="JO" queryTableFieldId="4" dataDxfId="25"/>
    <tableColumn id="5" xr3:uid="{A2FE4B1B-64EC-4946-95AA-1D47C5BB062B}" uniqueName="5" name="ORDER" queryTableFieldId="5" dataDxfId="24"/>
    <tableColumn id="6" xr3:uid="{B3A7A175-F61A-473F-AE49-9F3B34CFEF3F}" uniqueName="6" name="PPO" queryTableFieldId="6" dataDxfId="23"/>
    <tableColumn id="7" xr3:uid="{76B9460E-B97F-40E7-8D2D-778BF604857A}" uniqueName="7" name="PPO Marker YY" queryTableFieldId="7" dataDxfId="22"/>
    <tableColumn id="13" xr3:uid="{9135B9EB-720E-43F6-BD26-093041743DFB}" uniqueName="13" name="PPO YY KHÔNG NHẬP" queryTableFieldId="13" dataDxfId="21"/>
    <tableColumn id="8" xr3:uid="{34715F8A-C751-4251-95F8-B614906EC913}" uniqueName="8" name="PPO Q'ty" queryTableFieldId="8" dataDxfId="20"/>
    <tableColumn id="14" xr3:uid="{72E529E3-8F50-435F-BB41-47F284C9C82C}" uniqueName="14" name="Net YY" queryTableFieldId="14" dataDxfId="19"/>
    <tableColumn id="32" xr3:uid="{C98DCBED-ADAB-4577-8CEF-420832F372D2}" uniqueName="32" name="Bulk YY" queryTableFieldId="38" dataDxfId="18"/>
    <tableColumn id="15" xr3:uid="{E6BF39AB-43AF-4588-BABB-2972ED61CEEE}" uniqueName="15" name="Wastage ratio" queryTableFieldId="15" dataDxfId="17"/>
    <tableColumn id="9" xr3:uid="{22036EEC-F5F1-43F9-AC66-95DDA525C620}" uniqueName="9" name="Allocate Fabric - PPC" queryTableFieldId="48" dataDxfId="16"/>
    <tableColumn id="36" xr3:uid="{4A3A4168-81BD-4CB8-9081-70C0E873057C}" uniqueName="36" name="Fabric Issue" queryTableFieldId="49" dataDxfId="15"/>
    <tableColumn id="37" xr3:uid="{7C15C807-8FD9-4AD1-B5B5-14D966B072C2}" uniqueName="37" name="Delta" queryTableFieldId="50" dataDxfId="14"/>
    <tableColumn id="33" xr3:uid="{3A75BF4E-843F-4BFA-AFBE-160599685AA8}" uniqueName="33" name="Forecast (%)" queryTableFieldId="39" dataDxfId="13"/>
    <tableColumn id="34" xr3:uid="{4B110A0D-DF39-45F1-8AF2-0E70E3B2264D}" uniqueName="34" name="Bulk YY/PPO YY" queryTableFieldId="40" dataDxfId="12"/>
    <tableColumn id="31" xr3:uid="{2FE07C50-3040-499A-953E-45933D1416D1}" uniqueName="31" name="REMARK" queryTableFieldId="31" dataDxfId="11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6-05-26T05:11:52.35" personId="{86FFD26D-36BC-42D7-ACB3-69408E0156D0}" id="{8CA5DC26-30C8-4EDB-ABDE-258684EBA359}">
    <text xml:space="preserve">BẤM Ctrl+L để check 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1" dT="2026-05-26T05:11:52.35" personId="{86FFD26D-36BC-42D7-ACB3-69408E0156D0}" id="{84424BCE-5F1F-46EB-82DB-7637C48DE075}">
    <text xml:space="preserve">BẤM Ctrl+L để check 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5B94C-42EE-493B-9D08-0C69EDBE56DF}">
  <sheetPr codeName="Sheet1"/>
  <dimension ref="D5:E10"/>
  <sheetViews>
    <sheetView workbookViewId="0">
      <selection activeCell="O14" sqref="O14"/>
    </sheetView>
  </sheetViews>
  <sheetFormatPr defaultRowHeight="14.5" x14ac:dyDescent="0.35"/>
  <sheetData>
    <row r="5" spans="4:5" ht="16" x14ac:dyDescent="0.4">
      <c r="D5" s="1" t="s">
        <v>0</v>
      </c>
      <c r="E5" s="1" t="s">
        <v>1</v>
      </c>
    </row>
    <row r="6" spans="4:5" ht="16" x14ac:dyDescent="0.4">
      <c r="D6" s="1" t="s">
        <v>2</v>
      </c>
      <c r="E6" s="1" t="s">
        <v>3</v>
      </c>
    </row>
    <row r="7" spans="4:5" ht="16" x14ac:dyDescent="0.4">
      <c r="D7" s="1" t="s">
        <v>4</v>
      </c>
      <c r="E7" s="1" t="s">
        <v>5</v>
      </c>
    </row>
    <row r="10" spans="4:5" ht="16" x14ac:dyDescent="0.4">
      <c r="D10" s="2" t="s">
        <v>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6CB3D-86F9-4875-901C-E23C129DBE6D}">
  <sheetPr codeName="Sheet2"/>
  <dimension ref="A1:AB3"/>
  <sheetViews>
    <sheetView topLeftCell="K1" zoomScale="85" zoomScaleNormal="85" workbookViewId="0">
      <selection activeCell="J6" sqref="J6"/>
    </sheetView>
  </sheetViews>
  <sheetFormatPr defaultColWidth="8.81640625" defaultRowHeight="30" customHeight="1" x14ac:dyDescent="0.35"/>
  <cols>
    <col min="1" max="2" width="8.81640625" style="76"/>
    <col min="3" max="3" width="19.1796875" style="76" customWidth="1"/>
    <col min="4" max="4" width="19.54296875" style="76" customWidth="1"/>
    <col min="5" max="5" width="16" style="76" customWidth="1"/>
    <col min="6" max="7" width="8.81640625" style="76"/>
    <col min="8" max="8" width="17.81640625" style="76" customWidth="1"/>
    <col min="9" max="9" width="8.81640625" style="76"/>
    <col min="10" max="10" width="21.54296875" style="76" customWidth="1"/>
    <col min="11" max="15" width="8.81640625" style="76" customWidth="1"/>
    <col min="16" max="16" width="8.81640625" style="127" customWidth="1"/>
    <col min="17" max="17" width="8.81640625" style="122"/>
    <col min="18" max="19" width="8.81640625" style="76"/>
    <col min="20" max="20" width="9.54296875" style="76" customWidth="1"/>
    <col min="21" max="21" width="8.81640625" style="76"/>
    <col min="22" max="22" width="15.1796875" style="122" customWidth="1"/>
    <col min="23" max="16384" width="8.81640625" style="76"/>
  </cols>
  <sheetData>
    <row r="1" spans="1:28" s="125" customFormat="1" ht="30" customHeight="1" x14ac:dyDescent="0.35">
      <c r="A1" s="124" t="s">
        <v>2294</v>
      </c>
      <c r="B1" s="124" t="s">
        <v>7</v>
      </c>
      <c r="C1" s="124" t="s">
        <v>8</v>
      </c>
      <c r="D1" s="124" t="s">
        <v>2295</v>
      </c>
      <c r="E1" s="124" t="s">
        <v>2296</v>
      </c>
      <c r="F1" s="124" t="s">
        <v>2297</v>
      </c>
      <c r="G1" s="124" t="s">
        <v>2298</v>
      </c>
      <c r="H1" s="124" t="s">
        <v>2299</v>
      </c>
      <c r="I1" s="124" t="s">
        <v>2300</v>
      </c>
      <c r="J1" s="124" t="s">
        <v>9</v>
      </c>
      <c r="K1" s="124" t="s">
        <v>2301</v>
      </c>
      <c r="L1" s="124" t="s">
        <v>2302</v>
      </c>
      <c r="M1" s="124" t="s">
        <v>2303</v>
      </c>
      <c r="N1" s="124" t="s">
        <v>10</v>
      </c>
      <c r="O1" s="124" t="s">
        <v>2304</v>
      </c>
      <c r="P1" s="124" t="s">
        <v>2305</v>
      </c>
      <c r="Q1" s="124" t="s">
        <v>2306</v>
      </c>
      <c r="R1" s="124" t="s">
        <v>2307</v>
      </c>
      <c r="S1" s="124" t="s">
        <v>2308</v>
      </c>
      <c r="T1" s="124" t="s">
        <v>2309</v>
      </c>
      <c r="U1" s="124" t="s">
        <v>2310</v>
      </c>
      <c r="V1" s="124" t="s">
        <v>2311</v>
      </c>
      <c r="W1" s="124" t="s">
        <v>2312</v>
      </c>
      <c r="X1" s="124" t="s">
        <v>2313</v>
      </c>
      <c r="Y1" s="124" t="s">
        <v>2314</v>
      </c>
      <c r="Z1" s="124" t="s">
        <v>2315</v>
      </c>
      <c r="AA1" s="124" t="s">
        <v>2316</v>
      </c>
      <c r="AB1" s="124" t="s">
        <v>100</v>
      </c>
    </row>
    <row r="2" spans="1:28" ht="30" customHeight="1" x14ac:dyDescent="0.35">
      <c r="A2" s="20" t="s">
        <v>11</v>
      </c>
      <c r="B2" s="20" t="s">
        <v>2317</v>
      </c>
      <c r="C2" s="20" t="s">
        <v>2318</v>
      </c>
      <c r="D2" s="20" t="s">
        <v>2318</v>
      </c>
      <c r="E2" s="20" t="s">
        <v>2319</v>
      </c>
      <c r="F2" s="20">
        <v>5</v>
      </c>
      <c r="G2" s="20">
        <v>5</v>
      </c>
      <c r="H2" s="20">
        <v>1200</v>
      </c>
      <c r="I2" s="20">
        <v>46249</v>
      </c>
      <c r="J2" s="20" t="s">
        <v>2320</v>
      </c>
      <c r="K2" s="20">
        <v>0.70609999999999995</v>
      </c>
      <c r="L2" s="20">
        <v>0.71540000000000004</v>
      </c>
      <c r="M2" s="20">
        <v>858.48</v>
      </c>
      <c r="N2" s="20">
        <v>876</v>
      </c>
      <c r="O2" s="20">
        <v>920</v>
      </c>
      <c r="P2" s="126">
        <v>897</v>
      </c>
      <c r="Q2" s="123">
        <v>1.0448700027956388</v>
      </c>
      <c r="R2" s="20">
        <v>1.0448700027956388</v>
      </c>
      <c r="S2" s="20">
        <v>0</v>
      </c>
      <c r="T2" s="20" t="s">
        <v>2321</v>
      </c>
      <c r="U2" s="20">
        <v>1.0716615413288604</v>
      </c>
      <c r="V2" s="123">
        <v>1</v>
      </c>
      <c r="W2" s="20">
        <v>858.48</v>
      </c>
      <c r="X2" s="20">
        <v>858.48</v>
      </c>
      <c r="Y2" s="20">
        <v>920</v>
      </c>
      <c r="Z2" s="20">
        <v>1.0716615413288604</v>
      </c>
      <c r="AA2" s="20">
        <v>1.0204081632653061</v>
      </c>
      <c r="AB2" s="20"/>
    </row>
    <row r="3" spans="1:28" ht="30" customHeight="1" x14ac:dyDescent="0.35">
      <c r="A3" s="20" t="s">
        <v>11</v>
      </c>
      <c r="B3" s="20" t="s">
        <v>2322</v>
      </c>
      <c r="C3" s="20" t="s">
        <v>2323</v>
      </c>
      <c r="D3" s="20" t="s">
        <v>2323</v>
      </c>
      <c r="E3" s="20" t="s">
        <v>2319</v>
      </c>
      <c r="F3" s="20">
        <v>5</v>
      </c>
      <c r="G3" s="20">
        <v>5</v>
      </c>
      <c r="H3" s="20">
        <v>1200</v>
      </c>
      <c r="I3" s="20">
        <v>46249</v>
      </c>
      <c r="J3" s="20" t="s">
        <v>2320</v>
      </c>
      <c r="K3" s="20">
        <v>0.70609999999999995</v>
      </c>
      <c r="L3" s="20">
        <v>0.71540000000000004</v>
      </c>
      <c r="M3" s="20">
        <v>858.48</v>
      </c>
      <c r="N3" s="20">
        <v>876</v>
      </c>
      <c r="O3" s="20">
        <v>897.5</v>
      </c>
      <c r="P3" s="126">
        <v>897</v>
      </c>
      <c r="Q3" s="123">
        <v>1.0448700027956388</v>
      </c>
      <c r="R3" s="20">
        <v>1.0448700027956388</v>
      </c>
      <c r="S3" s="20">
        <v>0</v>
      </c>
      <c r="T3" s="20" t="s">
        <v>2324</v>
      </c>
      <c r="U3" s="20">
        <v>1.045452427546361</v>
      </c>
      <c r="V3" s="123">
        <v>1</v>
      </c>
      <c r="W3" s="20">
        <v>858.48</v>
      </c>
      <c r="X3" s="20">
        <v>858.48</v>
      </c>
      <c r="Y3" s="20">
        <v>897.5</v>
      </c>
      <c r="Z3" s="20">
        <v>1.045452427546361</v>
      </c>
      <c r="AA3" s="20">
        <v>1.0204081632653061</v>
      </c>
      <c r="AB3" s="20"/>
    </row>
  </sheetData>
  <autoFilter ref="A1:AB1" xr:uid="{CF16CB3D-86F9-4875-901C-E23C129DBE6D}"/>
  <pageMargins left="0.7" right="0.7" top="0.75" bottom="0.75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B3ACB-7DD9-45F7-986C-4CC0EE33E86F}">
  <sheetPr codeName="Sheet4"/>
  <dimension ref="A1:IR22"/>
  <sheetViews>
    <sheetView zoomScale="55" zoomScaleNormal="55" workbookViewId="0">
      <pane ySplit="2" topLeftCell="A3" activePane="bottomLeft" state="frozen"/>
      <selection pane="bottomLeft" activeCell="B8" sqref="B8"/>
    </sheetView>
  </sheetViews>
  <sheetFormatPr defaultColWidth="9" defaultRowHeight="40" customHeight="1" x14ac:dyDescent="0.5"/>
  <cols>
    <col min="1" max="1" width="16.81640625" style="61" customWidth="1"/>
    <col min="2" max="2" width="50.1796875" style="61" customWidth="1"/>
    <col min="3" max="3" width="15.1796875" style="61" customWidth="1"/>
    <col min="4" max="4" width="24.81640625" style="61" customWidth="1"/>
    <col min="5" max="5" width="6.1796875" style="61" customWidth="1"/>
    <col min="6" max="6" width="39.81640625" style="61" customWidth="1"/>
    <col min="7" max="7" width="19.1796875" style="61" customWidth="1"/>
    <col min="8" max="8" width="18.81640625" style="61" customWidth="1"/>
    <col min="9" max="9" width="21.81640625" style="61" customWidth="1"/>
    <col min="10" max="10" width="27.1796875" style="61" customWidth="1"/>
    <col min="11" max="14" width="9" style="61"/>
    <col min="15" max="15" width="15.1796875" style="62" customWidth="1"/>
    <col min="16" max="18" width="9" style="61"/>
    <col min="19" max="19" width="24.1796875" style="61" customWidth="1"/>
    <col min="20" max="20" width="19.54296875" style="61" customWidth="1"/>
    <col min="21" max="21" width="22.1796875" style="61" customWidth="1"/>
    <col min="22" max="22" width="19.1796875" style="61" customWidth="1"/>
    <col min="23" max="251" width="9" style="61"/>
    <col min="252" max="252" width="9" style="63"/>
    <col min="253" max="254" width="9" style="64"/>
    <col min="255" max="255" width="16.81640625" style="64" customWidth="1"/>
    <col min="256" max="256" width="50.1796875" style="64" customWidth="1"/>
    <col min="257" max="257" width="15.1796875" style="64" customWidth="1"/>
    <col min="258" max="258" width="21.453125" style="64" customWidth="1"/>
    <col min="259" max="259" width="20" style="64" customWidth="1"/>
    <col min="260" max="260" width="19.1796875" style="64" customWidth="1"/>
    <col min="261" max="261" width="12.81640625" style="64" customWidth="1"/>
    <col min="262" max="262" width="21.81640625" style="64" customWidth="1"/>
    <col min="263" max="263" width="20.453125" style="64" customWidth="1"/>
    <col min="264" max="510" width="9" style="64"/>
    <col min="511" max="511" width="16.81640625" style="64" customWidth="1"/>
    <col min="512" max="512" width="50.1796875" style="64" customWidth="1"/>
    <col min="513" max="513" width="15.1796875" style="64" customWidth="1"/>
    <col min="514" max="514" width="21.453125" style="64" customWidth="1"/>
    <col min="515" max="515" width="20" style="64" customWidth="1"/>
    <col min="516" max="516" width="19.1796875" style="64" customWidth="1"/>
    <col min="517" max="517" width="12.81640625" style="64" customWidth="1"/>
    <col min="518" max="518" width="21.81640625" style="64" customWidth="1"/>
    <col min="519" max="519" width="20.453125" style="64" customWidth="1"/>
    <col min="520" max="766" width="9" style="64"/>
    <col min="767" max="767" width="16.81640625" style="64" customWidth="1"/>
    <col min="768" max="768" width="50.1796875" style="64" customWidth="1"/>
    <col min="769" max="769" width="15.1796875" style="64" customWidth="1"/>
    <col min="770" max="770" width="21.453125" style="64" customWidth="1"/>
    <col min="771" max="771" width="20" style="64" customWidth="1"/>
    <col min="772" max="772" width="19.1796875" style="64" customWidth="1"/>
    <col min="773" max="773" width="12.81640625" style="64" customWidth="1"/>
    <col min="774" max="774" width="21.81640625" style="64" customWidth="1"/>
    <col min="775" max="775" width="20.453125" style="64" customWidth="1"/>
    <col min="776" max="1022" width="9" style="64"/>
    <col min="1023" max="1023" width="16.81640625" style="64" customWidth="1"/>
    <col min="1024" max="1024" width="50.1796875" style="64" customWidth="1"/>
    <col min="1025" max="1025" width="15.1796875" style="64" customWidth="1"/>
    <col min="1026" max="1026" width="21.453125" style="64" customWidth="1"/>
    <col min="1027" max="1027" width="20" style="64" customWidth="1"/>
    <col min="1028" max="1028" width="19.1796875" style="64" customWidth="1"/>
    <col min="1029" max="1029" width="12.81640625" style="64" customWidth="1"/>
    <col min="1030" max="1030" width="21.81640625" style="64" customWidth="1"/>
    <col min="1031" max="1031" width="20.453125" style="64" customWidth="1"/>
    <col min="1032" max="1278" width="9" style="64"/>
    <col min="1279" max="1279" width="16.81640625" style="64" customWidth="1"/>
    <col min="1280" max="1280" width="50.1796875" style="64" customWidth="1"/>
    <col min="1281" max="1281" width="15.1796875" style="64" customWidth="1"/>
    <col min="1282" max="1282" width="21.453125" style="64" customWidth="1"/>
    <col min="1283" max="1283" width="20" style="64" customWidth="1"/>
    <col min="1284" max="1284" width="19.1796875" style="64" customWidth="1"/>
    <col min="1285" max="1285" width="12.81640625" style="64" customWidth="1"/>
    <col min="1286" max="1286" width="21.81640625" style="64" customWidth="1"/>
    <col min="1287" max="1287" width="20.453125" style="64" customWidth="1"/>
    <col min="1288" max="1534" width="9" style="64"/>
    <col min="1535" max="1535" width="16.81640625" style="64" customWidth="1"/>
    <col min="1536" max="1536" width="50.1796875" style="64" customWidth="1"/>
    <col min="1537" max="1537" width="15.1796875" style="64" customWidth="1"/>
    <col min="1538" max="1538" width="21.453125" style="64" customWidth="1"/>
    <col min="1539" max="1539" width="20" style="64" customWidth="1"/>
    <col min="1540" max="1540" width="19.1796875" style="64" customWidth="1"/>
    <col min="1541" max="1541" width="12.81640625" style="64" customWidth="1"/>
    <col min="1542" max="1542" width="21.81640625" style="64" customWidth="1"/>
    <col min="1543" max="1543" width="20.453125" style="64" customWidth="1"/>
    <col min="1544" max="1790" width="9" style="64"/>
    <col min="1791" max="1791" width="16.81640625" style="64" customWidth="1"/>
    <col min="1792" max="1792" width="50.1796875" style="64" customWidth="1"/>
    <col min="1793" max="1793" width="15.1796875" style="64" customWidth="1"/>
    <col min="1794" max="1794" width="21.453125" style="64" customWidth="1"/>
    <col min="1795" max="1795" width="20" style="64" customWidth="1"/>
    <col min="1796" max="1796" width="19.1796875" style="64" customWidth="1"/>
    <col min="1797" max="1797" width="12.81640625" style="64" customWidth="1"/>
    <col min="1798" max="1798" width="21.81640625" style="64" customWidth="1"/>
    <col min="1799" max="1799" width="20.453125" style="64" customWidth="1"/>
    <col min="1800" max="2046" width="9" style="64"/>
    <col min="2047" max="2047" width="16.81640625" style="64" customWidth="1"/>
    <col min="2048" max="2048" width="50.1796875" style="64" customWidth="1"/>
    <col min="2049" max="2049" width="15.1796875" style="64" customWidth="1"/>
    <col min="2050" max="2050" width="21.453125" style="64" customWidth="1"/>
    <col min="2051" max="2051" width="20" style="64" customWidth="1"/>
    <col min="2052" max="2052" width="19.1796875" style="64" customWidth="1"/>
    <col min="2053" max="2053" width="12.81640625" style="64" customWidth="1"/>
    <col min="2054" max="2054" width="21.81640625" style="64" customWidth="1"/>
    <col min="2055" max="2055" width="20.453125" style="64" customWidth="1"/>
    <col min="2056" max="2302" width="9" style="64"/>
    <col min="2303" max="2303" width="16.81640625" style="64" customWidth="1"/>
    <col min="2304" max="2304" width="50.1796875" style="64" customWidth="1"/>
    <col min="2305" max="2305" width="15.1796875" style="64" customWidth="1"/>
    <col min="2306" max="2306" width="21.453125" style="64" customWidth="1"/>
    <col min="2307" max="2307" width="20" style="64" customWidth="1"/>
    <col min="2308" max="2308" width="19.1796875" style="64" customWidth="1"/>
    <col min="2309" max="2309" width="12.81640625" style="64" customWidth="1"/>
    <col min="2310" max="2310" width="21.81640625" style="64" customWidth="1"/>
    <col min="2311" max="2311" width="20.453125" style="64" customWidth="1"/>
    <col min="2312" max="2558" width="9" style="64"/>
    <col min="2559" max="2559" width="16.81640625" style="64" customWidth="1"/>
    <col min="2560" max="2560" width="50.1796875" style="64" customWidth="1"/>
    <col min="2561" max="2561" width="15.1796875" style="64" customWidth="1"/>
    <col min="2562" max="2562" width="21.453125" style="64" customWidth="1"/>
    <col min="2563" max="2563" width="20" style="64" customWidth="1"/>
    <col min="2564" max="2564" width="19.1796875" style="64" customWidth="1"/>
    <col min="2565" max="2565" width="12.81640625" style="64" customWidth="1"/>
    <col min="2566" max="2566" width="21.81640625" style="64" customWidth="1"/>
    <col min="2567" max="2567" width="20.453125" style="64" customWidth="1"/>
    <col min="2568" max="2814" width="9" style="64"/>
    <col min="2815" max="2815" width="16.81640625" style="64" customWidth="1"/>
    <col min="2816" max="2816" width="50.1796875" style="64" customWidth="1"/>
    <col min="2817" max="2817" width="15.1796875" style="64" customWidth="1"/>
    <col min="2818" max="2818" width="21.453125" style="64" customWidth="1"/>
    <col min="2819" max="2819" width="20" style="64" customWidth="1"/>
    <col min="2820" max="2820" width="19.1796875" style="64" customWidth="1"/>
    <col min="2821" max="2821" width="12.81640625" style="64" customWidth="1"/>
    <col min="2822" max="2822" width="21.81640625" style="64" customWidth="1"/>
    <col min="2823" max="2823" width="20.453125" style="64" customWidth="1"/>
    <col min="2824" max="3070" width="9" style="64"/>
    <col min="3071" max="3071" width="16.81640625" style="64" customWidth="1"/>
    <col min="3072" max="3072" width="50.1796875" style="64" customWidth="1"/>
    <col min="3073" max="3073" width="15.1796875" style="64" customWidth="1"/>
    <col min="3074" max="3074" width="21.453125" style="64" customWidth="1"/>
    <col min="3075" max="3075" width="20" style="64" customWidth="1"/>
    <col min="3076" max="3076" width="19.1796875" style="64" customWidth="1"/>
    <col min="3077" max="3077" width="12.81640625" style="64" customWidth="1"/>
    <col min="3078" max="3078" width="21.81640625" style="64" customWidth="1"/>
    <col min="3079" max="3079" width="20.453125" style="64" customWidth="1"/>
    <col min="3080" max="3326" width="9" style="64"/>
    <col min="3327" max="3327" width="16.81640625" style="64" customWidth="1"/>
    <col min="3328" max="3328" width="50.1796875" style="64" customWidth="1"/>
    <col min="3329" max="3329" width="15.1796875" style="64" customWidth="1"/>
    <col min="3330" max="3330" width="21.453125" style="64" customWidth="1"/>
    <col min="3331" max="3331" width="20" style="64" customWidth="1"/>
    <col min="3332" max="3332" width="19.1796875" style="64" customWidth="1"/>
    <col min="3333" max="3333" width="12.81640625" style="64" customWidth="1"/>
    <col min="3334" max="3334" width="21.81640625" style="64" customWidth="1"/>
    <col min="3335" max="3335" width="20.453125" style="64" customWidth="1"/>
    <col min="3336" max="3582" width="9" style="64"/>
    <col min="3583" max="3583" width="16.81640625" style="64" customWidth="1"/>
    <col min="3584" max="3584" width="50.1796875" style="64" customWidth="1"/>
    <col min="3585" max="3585" width="15.1796875" style="64" customWidth="1"/>
    <col min="3586" max="3586" width="21.453125" style="64" customWidth="1"/>
    <col min="3587" max="3587" width="20" style="64" customWidth="1"/>
    <col min="3588" max="3588" width="19.1796875" style="64" customWidth="1"/>
    <col min="3589" max="3589" width="12.81640625" style="64" customWidth="1"/>
    <col min="3590" max="3590" width="21.81640625" style="64" customWidth="1"/>
    <col min="3591" max="3591" width="20.453125" style="64" customWidth="1"/>
    <col min="3592" max="3838" width="9" style="64"/>
    <col min="3839" max="3839" width="16.81640625" style="64" customWidth="1"/>
    <col min="3840" max="3840" width="50.1796875" style="64" customWidth="1"/>
    <col min="3841" max="3841" width="15.1796875" style="64" customWidth="1"/>
    <col min="3842" max="3842" width="21.453125" style="64" customWidth="1"/>
    <col min="3843" max="3843" width="20" style="64" customWidth="1"/>
    <col min="3844" max="3844" width="19.1796875" style="64" customWidth="1"/>
    <col min="3845" max="3845" width="12.81640625" style="64" customWidth="1"/>
    <col min="3846" max="3846" width="21.81640625" style="64" customWidth="1"/>
    <col min="3847" max="3847" width="20.453125" style="64" customWidth="1"/>
    <col min="3848" max="4094" width="9" style="64"/>
    <col min="4095" max="4095" width="16.81640625" style="64" customWidth="1"/>
    <col min="4096" max="4096" width="50.1796875" style="64" customWidth="1"/>
    <col min="4097" max="4097" width="15.1796875" style="64" customWidth="1"/>
    <col min="4098" max="4098" width="21.453125" style="64" customWidth="1"/>
    <col min="4099" max="4099" width="20" style="64" customWidth="1"/>
    <col min="4100" max="4100" width="19.1796875" style="64" customWidth="1"/>
    <col min="4101" max="4101" width="12.81640625" style="64" customWidth="1"/>
    <col min="4102" max="4102" width="21.81640625" style="64" customWidth="1"/>
    <col min="4103" max="4103" width="20.453125" style="64" customWidth="1"/>
    <col min="4104" max="4350" width="9" style="64"/>
    <col min="4351" max="4351" width="16.81640625" style="64" customWidth="1"/>
    <col min="4352" max="4352" width="50.1796875" style="64" customWidth="1"/>
    <col min="4353" max="4353" width="15.1796875" style="64" customWidth="1"/>
    <col min="4354" max="4354" width="21.453125" style="64" customWidth="1"/>
    <col min="4355" max="4355" width="20" style="64" customWidth="1"/>
    <col min="4356" max="4356" width="19.1796875" style="64" customWidth="1"/>
    <col min="4357" max="4357" width="12.81640625" style="64" customWidth="1"/>
    <col min="4358" max="4358" width="21.81640625" style="64" customWidth="1"/>
    <col min="4359" max="4359" width="20.453125" style="64" customWidth="1"/>
    <col min="4360" max="4606" width="9" style="64"/>
    <col min="4607" max="4607" width="16.81640625" style="64" customWidth="1"/>
    <col min="4608" max="4608" width="50.1796875" style="64" customWidth="1"/>
    <col min="4609" max="4609" width="15.1796875" style="64" customWidth="1"/>
    <col min="4610" max="4610" width="21.453125" style="64" customWidth="1"/>
    <col min="4611" max="4611" width="20" style="64" customWidth="1"/>
    <col min="4612" max="4612" width="19.1796875" style="64" customWidth="1"/>
    <col min="4613" max="4613" width="12.81640625" style="64" customWidth="1"/>
    <col min="4614" max="4614" width="21.81640625" style="64" customWidth="1"/>
    <col min="4615" max="4615" width="20.453125" style="64" customWidth="1"/>
    <col min="4616" max="4862" width="9" style="64"/>
    <col min="4863" max="4863" width="16.81640625" style="64" customWidth="1"/>
    <col min="4864" max="4864" width="50.1796875" style="64" customWidth="1"/>
    <col min="4865" max="4865" width="15.1796875" style="64" customWidth="1"/>
    <col min="4866" max="4866" width="21.453125" style="64" customWidth="1"/>
    <col min="4867" max="4867" width="20" style="64" customWidth="1"/>
    <col min="4868" max="4868" width="19.1796875" style="64" customWidth="1"/>
    <col min="4869" max="4869" width="12.81640625" style="64" customWidth="1"/>
    <col min="4870" max="4870" width="21.81640625" style="64" customWidth="1"/>
    <col min="4871" max="4871" width="20.453125" style="64" customWidth="1"/>
    <col min="4872" max="5118" width="9" style="64"/>
    <col min="5119" max="5119" width="16.81640625" style="64" customWidth="1"/>
    <col min="5120" max="5120" width="50.1796875" style="64" customWidth="1"/>
    <col min="5121" max="5121" width="15.1796875" style="64" customWidth="1"/>
    <col min="5122" max="5122" width="21.453125" style="64" customWidth="1"/>
    <col min="5123" max="5123" width="20" style="64" customWidth="1"/>
    <col min="5124" max="5124" width="19.1796875" style="64" customWidth="1"/>
    <col min="5125" max="5125" width="12.81640625" style="64" customWidth="1"/>
    <col min="5126" max="5126" width="21.81640625" style="64" customWidth="1"/>
    <col min="5127" max="5127" width="20.453125" style="64" customWidth="1"/>
    <col min="5128" max="5374" width="9" style="64"/>
    <col min="5375" max="5375" width="16.81640625" style="64" customWidth="1"/>
    <col min="5376" max="5376" width="50.1796875" style="64" customWidth="1"/>
    <col min="5377" max="5377" width="15.1796875" style="64" customWidth="1"/>
    <col min="5378" max="5378" width="21.453125" style="64" customWidth="1"/>
    <col min="5379" max="5379" width="20" style="64" customWidth="1"/>
    <col min="5380" max="5380" width="19.1796875" style="64" customWidth="1"/>
    <col min="5381" max="5381" width="12.81640625" style="64" customWidth="1"/>
    <col min="5382" max="5382" width="21.81640625" style="64" customWidth="1"/>
    <col min="5383" max="5383" width="20.453125" style="64" customWidth="1"/>
    <col min="5384" max="5630" width="9" style="64"/>
    <col min="5631" max="5631" width="16.81640625" style="64" customWidth="1"/>
    <col min="5632" max="5632" width="50.1796875" style="64" customWidth="1"/>
    <col min="5633" max="5633" width="15.1796875" style="64" customWidth="1"/>
    <col min="5634" max="5634" width="21.453125" style="64" customWidth="1"/>
    <col min="5635" max="5635" width="20" style="64" customWidth="1"/>
    <col min="5636" max="5636" width="19.1796875" style="64" customWidth="1"/>
    <col min="5637" max="5637" width="12.81640625" style="64" customWidth="1"/>
    <col min="5638" max="5638" width="21.81640625" style="64" customWidth="1"/>
    <col min="5639" max="5639" width="20.453125" style="64" customWidth="1"/>
    <col min="5640" max="5886" width="9" style="64"/>
    <col min="5887" max="5887" width="16.81640625" style="64" customWidth="1"/>
    <col min="5888" max="5888" width="50.1796875" style="64" customWidth="1"/>
    <col min="5889" max="5889" width="15.1796875" style="64" customWidth="1"/>
    <col min="5890" max="5890" width="21.453125" style="64" customWidth="1"/>
    <col min="5891" max="5891" width="20" style="64" customWidth="1"/>
    <col min="5892" max="5892" width="19.1796875" style="64" customWidth="1"/>
    <col min="5893" max="5893" width="12.81640625" style="64" customWidth="1"/>
    <col min="5894" max="5894" width="21.81640625" style="64" customWidth="1"/>
    <col min="5895" max="5895" width="20.453125" style="64" customWidth="1"/>
    <col min="5896" max="6142" width="9" style="64"/>
    <col min="6143" max="6143" width="16.81640625" style="64" customWidth="1"/>
    <col min="6144" max="6144" width="50.1796875" style="64" customWidth="1"/>
    <col min="6145" max="6145" width="15.1796875" style="64" customWidth="1"/>
    <col min="6146" max="6146" width="21.453125" style="64" customWidth="1"/>
    <col min="6147" max="6147" width="20" style="64" customWidth="1"/>
    <col min="6148" max="6148" width="19.1796875" style="64" customWidth="1"/>
    <col min="6149" max="6149" width="12.81640625" style="64" customWidth="1"/>
    <col min="6150" max="6150" width="21.81640625" style="64" customWidth="1"/>
    <col min="6151" max="6151" width="20.453125" style="64" customWidth="1"/>
    <col min="6152" max="6398" width="9" style="64"/>
    <col min="6399" max="6399" width="16.81640625" style="64" customWidth="1"/>
    <col min="6400" max="6400" width="50.1796875" style="64" customWidth="1"/>
    <col min="6401" max="6401" width="15.1796875" style="64" customWidth="1"/>
    <col min="6402" max="6402" width="21.453125" style="64" customWidth="1"/>
    <col min="6403" max="6403" width="20" style="64" customWidth="1"/>
    <col min="6404" max="6404" width="19.1796875" style="64" customWidth="1"/>
    <col min="6405" max="6405" width="12.81640625" style="64" customWidth="1"/>
    <col min="6406" max="6406" width="21.81640625" style="64" customWidth="1"/>
    <col min="6407" max="6407" width="20.453125" style="64" customWidth="1"/>
    <col min="6408" max="6654" width="9" style="64"/>
    <col min="6655" max="6655" width="16.81640625" style="64" customWidth="1"/>
    <col min="6656" max="6656" width="50.1796875" style="64" customWidth="1"/>
    <col min="6657" max="6657" width="15.1796875" style="64" customWidth="1"/>
    <col min="6658" max="6658" width="21.453125" style="64" customWidth="1"/>
    <col min="6659" max="6659" width="20" style="64" customWidth="1"/>
    <col min="6660" max="6660" width="19.1796875" style="64" customWidth="1"/>
    <col min="6661" max="6661" width="12.81640625" style="64" customWidth="1"/>
    <col min="6662" max="6662" width="21.81640625" style="64" customWidth="1"/>
    <col min="6663" max="6663" width="20.453125" style="64" customWidth="1"/>
    <col min="6664" max="6910" width="9" style="64"/>
    <col min="6911" max="6911" width="16.81640625" style="64" customWidth="1"/>
    <col min="6912" max="6912" width="50.1796875" style="64" customWidth="1"/>
    <col min="6913" max="6913" width="15.1796875" style="64" customWidth="1"/>
    <col min="6914" max="6914" width="21.453125" style="64" customWidth="1"/>
    <col min="6915" max="6915" width="20" style="64" customWidth="1"/>
    <col min="6916" max="6916" width="19.1796875" style="64" customWidth="1"/>
    <col min="6917" max="6917" width="12.81640625" style="64" customWidth="1"/>
    <col min="6918" max="6918" width="21.81640625" style="64" customWidth="1"/>
    <col min="6919" max="6919" width="20.453125" style="64" customWidth="1"/>
    <col min="6920" max="7166" width="9" style="64"/>
    <col min="7167" max="7167" width="16.81640625" style="64" customWidth="1"/>
    <col min="7168" max="7168" width="50.1796875" style="64" customWidth="1"/>
    <col min="7169" max="7169" width="15.1796875" style="64" customWidth="1"/>
    <col min="7170" max="7170" width="21.453125" style="64" customWidth="1"/>
    <col min="7171" max="7171" width="20" style="64" customWidth="1"/>
    <col min="7172" max="7172" width="19.1796875" style="64" customWidth="1"/>
    <col min="7173" max="7173" width="12.81640625" style="64" customWidth="1"/>
    <col min="7174" max="7174" width="21.81640625" style="64" customWidth="1"/>
    <col min="7175" max="7175" width="20.453125" style="64" customWidth="1"/>
    <col min="7176" max="7422" width="9" style="64"/>
    <col min="7423" max="7423" width="16.81640625" style="64" customWidth="1"/>
    <col min="7424" max="7424" width="50.1796875" style="64" customWidth="1"/>
    <col min="7425" max="7425" width="15.1796875" style="64" customWidth="1"/>
    <col min="7426" max="7426" width="21.453125" style="64" customWidth="1"/>
    <col min="7427" max="7427" width="20" style="64" customWidth="1"/>
    <col min="7428" max="7428" width="19.1796875" style="64" customWidth="1"/>
    <col min="7429" max="7429" width="12.81640625" style="64" customWidth="1"/>
    <col min="7430" max="7430" width="21.81640625" style="64" customWidth="1"/>
    <col min="7431" max="7431" width="20.453125" style="64" customWidth="1"/>
    <col min="7432" max="7678" width="9" style="64"/>
    <col min="7679" max="7679" width="16.81640625" style="64" customWidth="1"/>
    <col min="7680" max="7680" width="50.1796875" style="64" customWidth="1"/>
    <col min="7681" max="7681" width="15.1796875" style="64" customWidth="1"/>
    <col min="7682" max="7682" width="21.453125" style="64" customWidth="1"/>
    <col min="7683" max="7683" width="20" style="64" customWidth="1"/>
    <col min="7684" max="7684" width="19.1796875" style="64" customWidth="1"/>
    <col min="7685" max="7685" width="12.81640625" style="64" customWidth="1"/>
    <col min="7686" max="7686" width="21.81640625" style="64" customWidth="1"/>
    <col min="7687" max="7687" width="20.453125" style="64" customWidth="1"/>
    <col min="7688" max="7934" width="9" style="64"/>
    <col min="7935" max="7935" width="16.81640625" style="64" customWidth="1"/>
    <col min="7936" max="7936" width="50.1796875" style="64" customWidth="1"/>
    <col min="7937" max="7937" width="15.1796875" style="64" customWidth="1"/>
    <col min="7938" max="7938" width="21.453125" style="64" customWidth="1"/>
    <col min="7939" max="7939" width="20" style="64" customWidth="1"/>
    <col min="7940" max="7940" width="19.1796875" style="64" customWidth="1"/>
    <col min="7941" max="7941" width="12.81640625" style="64" customWidth="1"/>
    <col min="7942" max="7942" width="21.81640625" style="64" customWidth="1"/>
    <col min="7943" max="7943" width="20.453125" style="64" customWidth="1"/>
    <col min="7944" max="8190" width="9" style="64"/>
    <col min="8191" max="8191" width="16.81640625" style="64" customWidth="1"/>
    <col min="8192" max="8192" width="50.1796875" style="64" customWidth="1"/>
    <col min="8193" max="8193" width="15.1796875" style="64" customWidth="1"/>
    <col min="8194" max="8194" width="21.453125" style="64" customWidth="1"/>
    <col min="8195" max="8195" width="20" style="64" customWidth="1"/>
    <col min="8196" max="8196" width="19.1796875" style="64" customWidth="1"/>
    <col min="8197" max="8197" width="12.81640625" style="64" customWidth="1"/>
    <col min="8198" max="8198" width="21.81640625" style="64" customWidth="1"/>
    <col min="8199" max="8199" width="20.453125" style="64" customWidth="1"/>
    <col min="8200" max="8446" width="9" style="64"/>
    <col min="8447" max="8447" width="16.81640625" style="64" customWidth="1"/>
    <col min="8448" max="8448" width="50.1796875" style="64" customWidth="1"/>
    <col min="8449" max="8449" width="15.1796875" style="64" customWidth="1"/>
    <col min="8450" max="8450" width="21.453125" style="64" customWidth="1"/>
    <col min="8451" max="8451" width="20" style="64" customWidth="1"/>
    <col min="8452" max="8452" width="19.1796875" style="64" customWidth="1"/>
    <col min="8453" max="8453" width="12.81640625" style="64" customWidth="1"/>
    <col min="8454" max="8454" width="21.81640625" style="64" customWidth="1"/>
    <col min="8455" max="8455" width="20.453125" style="64" customWidth="1"/>
    <col min="8456" max="8702" width="9" style="64"/>
    <col min="8703" max="8703" width="16.81640625" style="64" customWidth="1"/>
    <col min="8704" max="8704" width="50.1796875" style="64" customWidth="1"/>
    <col min="8705" max="8705" width="15.1796875" style="64" customWidth="1"/>
    <col min="8706" max="8706" width="21.453125" style="64" customWidth="1"/>
    <col min="8707" max="8707" width="20" style="64" customWidth="1"/>
    <col min="8708" max="8708" width="19.1796875" style="64" customWidth="1"/>
    <col min="8709" max="8709" width="12.81640625" style="64" customWidth="1"/>
    <col min="8710" max="8710" width="21.81640625" style="64" customWidth="1"/>
    <col min="8711" max="8711" width="20.453125" style="64" customWidth="1"/>
    <col min="8712" max="8958" width="9" style="64"/>
    <col min="8959" max="8959" width="16.81640625" style="64" customWidth="1"/>
    <col min="8960" max="8960" width="50.1796875" style="64" customWidth="1"/>
    <col min="8961" max="8961" width="15.1796875" style="64" customWidth="1"/>
    <col min="8962" max="8962" width="21.453125" style="64" customWidth="1"/>
    <col min="8963" max="8963" width="20" style="64" customWidth="1"/>
    <col min="8964" max="8964" width="19.1796875" style="64" customWidth="1"/>
    <col min="8965" max="8965" width="12.81640625" style="64" customWidth="1"/>
    <col min="8966" max="8966" width="21.81640625" style="64" customWidth="1"/>
    <col min="8967" max="8967" width="20.453125" style="64" customWidth="1"/>
    <col min="8968" max="9214" width="9" style="64"/>
    <col min="9215" max="9215" width="16.81640625" style="64" customWidth="1"/>
    <col min="9216" max="9216" width="50.1796875" style="64" customWidth="1"/>
    <col min="9217" max="9217" width="15.1796875" style="64" customWidth="1"/>
    <col min="9218" max="9218" width="21.453125" style="64" customWidth="1"/>
    <col min="9219" max="9219" width="20" style="64" customWidth="1"/>
    <col min="9220" max="9220" width="19.1796875" style="64" customWidth="1"/>
    <col min="9221" max="9221" width="12.81640625" style="64" customWidth="1"/>
    <col min="9222" max="9222" width="21.81640625" style="64" customWidth="1"/>
    <col min="9223" max="9223" width="20.453125" style="64" customWidth="1"/>
    <col min="9224" max="9470" width="9" style="64"/>
    <col min="9471" max="9471" width="16.81640625" style="64" customWidth="1"/>
    <col min="9472" max="9472" width="50.1796875" style="64" customWidth="1"/>
    <col min="9473" max="9473" width="15.1796875" style="64" customWidth="1"/>
    <col min="9474" max="9474" width="21.453125" style="64" customWidth="1"/>
    <col min="9475" max="9475" width="20" style="64" customWidth="1"/>
    <col min="9476" max="9476" width="19.1796875" style="64" customWidth="1"/>
    <col min="9477" max="9477" width="12.81640625" style="64" customWidth="1"/>
    <col min="9478" max="9478" width="21.81640625" style="64" customWidth="1"/>
    <col min="9479" max="9479" width="20.453125" style="64" customWidth="1"/>
    <col min="9480" max="9726" width="9" style="64"/>
    <col min="9727" max="9727" width="16.81640625" style="64" customWidth="1"/>
    <col min="9728" max="9728" width="50.1796875" style="64" customWidth="1"/>
    <col min="9729" max="9729" width="15.1796875" style="64" customWidth="1"/>
    <col min="9730" max="9730" width="21.453125" style="64" customWidth="1"/>
    <col min="9731" max="9731" width="20" style="64" customWidth="1"/>
    <col min="9732" max="9732" width="19.1796875" style="64" customWidth="1"/>
    <col min="9733" max="9733" width="12.81640625" style="64" customWidth="1"/>
    <col min="9734" max="9734" width="21.81640625" style="64" customWidth="1"/>
    <col min="9735" max="9735" width="20.453125" style="64" customWidth="1"/>
    <col min="9736" max="9982" width="9" style="64"/>
    <col min="9983" max="9983" width="16.81640625" style="64" customWidth="1"/>
    <col min="9984" max="9984" width="50.1796875" style="64" customWidth="1"/>
    <col min="9985" max="9985" width="15.1796875" style="64" customWidth="1"/>
    <col min="9986" max="9986" width="21.453125" style="64" customWidth="1"/>
    <col min="9987" max="9987" width="20" style="64" customWidth="1"/>
    <col min="9988" max="9988" width="19.1796875" style="64" customWidth="1"/>
    <col min="9989" max="9989" width="12.81640625" style="64" customWidth="1"/>
    <col min="9990" max="9990" width="21.81640625" style="64" customWidth="1"/>
    <col min="9991" max="9991" width="20.453125" style="64" customWidth="1"/>
    <col min="9992" max="10238" width="9" style="64"/>
    <col min="10239" max="10239" width="16.81640625" style="64" customWidth="1"/>
    <col min="10240" max="10240" width="50.1796875" style="64" customWidth="1"/>
    <col min="10241" max="10241" width="15.1796875" style="64" customWidth="1"/>
    <col min="10242" max="10242" width="21.453125" style="64" customWidth="1"/>
    <col min="10243" max="10243" width="20" style="64" customWidth="1"/>
    <col min="10244" max="10244" width="19.1796875" style="64" customWidth="1"/>
    <col min="10245" max="10245" width="12.81640625" style="64" customWidth="1"/>
    <col min="10246" max="10246" width="21.81640625" style="64" customWidth="1"/>
    <col min="10247" max="10247" width="20.453125" style="64" customWidth="1"/>
    <col min="10248" max="10494" width="9" style="64"/>
    <col min="10495" max="10495" width="16.81640625" style="64" customWidth="1"/>
    <col min="10496" max="10496" width="50.1796875" style="64" customWidth="1"/>
    <col min="10497" max="10497" width="15.1796875" style="64" customWidth="1"/>
    <col min="10498" max="10498" width="21.453125" style="64" customWidth="1"/>
    <col min="10499" max="10499" width="20" style="64" customWidth="1"/>
    <col min="10500" max="10500" width="19.1796875" style="64" customWidth="1"/>
    <col min="10501" max="10501" width="12.81640625" style="64" customWidth="1"/>
    <col min="10502" max="10502" width="21.81640625" style="64" customWidth="1"/>
    <col min="10503" max="10503" width="20.453125" style="64" customWidth="1"/>
    <col min="10504" max="10750" width="9" style="64"/>
    <col min="10751" max="10751" width="16.81640625" style="64" customWidth="1"/>
    <col min="10752" max="10752" width="50.1796875" style="64" customWidth="1"/>
    <col min="10753" max="10753" width="15.1796875" style="64" customWidth="1"/>
    <col min="10754" max="10754" width="21.453125" style="64" customWidth="1"/>
    <col min="10755" max="10755" width="20" style="64" customWidth="1"/>
    <col min="10756" max="10756" width="19.1796875" style="64" customWidth="1"/>
    <col min="10757" max="10757" width="12.81640625" style="64" customWidth="1"/>
    <col min="10758" max="10758" width="21.81640625" style="64" customWidth="1"/>
    <col min="10759" max="10759" width="20.453125" style="64" customWidth="1"/>
    <col min="10760" max="11006" width="9" style="64"/>
    <col min="11007" max="11007" width="16.81640625" style="64" customWidth="1"/>
    <col min="11008" max="11008" width="50.1796875" style="64" customWidth="1"/>
    <col min="11009" max="11009" width="15.1796875" style="64" customWidth="1"/>
    <col min="11010" max="11010" width="21.453125" style="64" customWidth="1"/>
    <col min="11011" max="11011" width="20" style="64" customWidth="1"/>
    <col min="11012" max="11012" width="19.1796875" style="64" customWidth="1"/>
    <col min="11013" max="11013" width="12.81640625" style="64" customWidth="1"/>
    <col min="11014" max="11014" width="21.81640625" style="64" customWidth="1"/>
    <col min="11015" max="11015" width="20.453125" style="64" customWidth="1"/>
    <col min="11016" max="11262" width="9" style="64"/>
    <col min="11263" max="11263" width="16.81640625" style="64" customWidth="1"/>
    <col min="11264" max="11264" width="50.1796875" style="64" customWidth="1"/>
    <col min="11265" max="11265" width="15.1796875" style="64" customWidth="1"/>
    <col min="11266" max="11266" width="21.453125" style="64" customWidth="1"/>
    <col min="11267" max="11267" width="20" style="64" customWidth="1"/>
    <col min="11268" max="11268" width="19.1796875" style="64" customWidth="1"/>
    <col min="11269" max="11269" width="12.81640625" style="64" customWidth="1"/>
    <col min="11270" max="11270" width="21.81640625" style="64" customWidth="1"/>
    <col min="11271" max="11271" width="20.453125" style="64" customWidth="1"/>
    <col min="11272" max="11518" width="9" style="64"/>
    <col min="11519" max="11519" width="16.81640625" style="64" customWidth="1"/>
    <col min="11520" max="11520" width="50.1796875" style="64" customWidth="1"/>
    <col min="11521" max="11521" width="15.1796875" style="64" customWidth="1"/>
    <col min="11522" max="11522" width="21.453125" style="64" customWidth="1"/>
    <col min="11523" max="11523" width="20" style="64" customWidth="1"/>
    <col min="11524" max="11524" width="19.1796875" style="64" customWidth="1"/>
    <col min="11525" max="11525" width="12.81640625" style="64" customWidth="1"/>
    <col min="11526" max="11526" width="21.81640625" style="64" customWidth="1"/>
    <col min="11527" max="11527" width="20.453125" style="64" customWidth="1"/>
    <col min="11528" max="11774" width="9" style="64"/>
    <col min="11775" max="11775" width="16.81640625" style="64" customWidth="1"/>
    <col min="11776" max="11776" width="50.1796875" style="64" customWidth="1"/>
    <col min="11777" max="11777" width="15.1796875" style="64" customWidth="1"/>
    <col min="11778" max="11778" width="21.453125" style="64" customWidth="1"/>
    <col min="11779" max="11779" width="20" style="64" customWidth="1"/>
    <col min="11780" max="11780" width="19.1796875" style="64" customWidth="1"/>
    <col min="11781" max="11781" width="12.81640625" style="64" customWidth="1"/>
    <col min="11782" max="11782" width="21.81640625" style="64" customWidth="1"/>
    <col min="11783" max="11783" width="20.453125" style="64" customWidth="1"/>
    <col min="11784" max="12030" width="9" style="64"/>
    <col min="12031" max="12031" width="16.81640625" style="64" customWidth="1"/>
    <col min="12032" max="12032" width="50.1796875" style="64" customWidth="1"/>
    <col min="12033" max="12033" width="15.1796875" style="64" customWidth="1"/>
    <col min="12034" max="12034" width="21.453125" style="64" customWidth="1"/>
    <col min="12035" max="12035" width="20" style="64" customWidth="1"/>
    <col min="12036" max="12036" width="19.1796875" style="64" customWidth="1"/>
    <col min="12037" max="12037" width="12.81640625" style="64" customWidth="1"/>
    <col min="12038" max="12038" width="21.81640625" style="64" customWidth="1"/>
    <col min="12039" max="12039" width="20.453125" style="64" customWidth="1"/>
    <col min="12040" max="12286" width="9" style="64"/>
    <col min="12287" max="12287" width="16.81640625" style="64" customWidth="1"/>
    <col min="12288" max="12288" width="50.1796875" style="64" customWidth="1"/>
    <col min="12289" max="12289" width="15.1796875" style="64" customWidth="1"/>
    <col min="12290" max="12290" width="21.453125" style="64" customWidth="1"/>
    <col min="12291" max="12291" width="20" style="64" customWidth="1"/>
    <col min="12292" max="12292" width="19.1796875" style="64" customWidth="1"/>
    <col min="12293" max="12293" width="12.81640625" style="64" customWidth="1"/>
    <col min="12294" max="12294" width="21.81640625" style="64" customWidth="1"/>
    <col min="12295" max="12295" width="20.453125" style="64" customWidth="1"/>
    <col min="12296" max="12542" width="9" style="64"/>
    <col min="12543" max="12543" width="16.81640625" style="64" customWidth="1"/>
    <col min="12544" max="12544" width="50.1796875" style="64" customWidth="1"/>
    <col min="12545" max="12545" width="15.1796875" style="64" customWidth="1"/>
    <col min="12546" max="12546" width="21.453125" style="64" customWidth="1"/>
    <col min="12547" max="12547" width="20" style="64" customWidth="1"/>
    <col min="12548" max="12548" width="19.1796875" style="64" customWidth="1"/>
    <col min="12549" max="12549" width="12.81640625" style="64" customWidth="1"/>
    <col min="12550" max="12550" width="21.81640625" style="64" customWidth="1"/>
    <col min="12551" max="12551" width="20.453125" style="64" customWidth="1"/>
    <col min="12552" max="12798" width="9" style="64"/>
    <col min="12799" max="12799" width="16.81640625" style="64" customWidth="1"/>
    <col min="12800" max="12800" width="50.1796875" style="64" customWidth="1"/>
    <col min="12801" max="12801" width="15.1796875" style="64" customWidth="1"/>
    <col min="12802" max="12802" width="21.453125" style="64" customWidth="1"/>
    <col min="12803" max="12803" width="20" style="64" customWidth="1"/>
    <col min="12804" max="12804" width="19.1796875" style="64" customWidth="1"/>
    <col min="12805" max="12805" width="12.81640625" style="64" customWidth="1"/>
    <col min="12806" max="12806" width="21.81640625" style="64" customWidth="1"/>
    <col min="12807" max="12807" width="20.453125" style="64" customWidth="1"/>
    <col min="12808" max="13054" width="9" style="64"/>
    <col min="13055" max="13055" width="16.81640625" style="64" customWidth="1"/>
    <col min="13056" max="13056" width="50.1796875" style="64" customWidth="1"/>
    <col min="13057" max="13057" width="15.1796875" style="64" customWidth="1"/>
    <col min="13058" max="13058" width="21.453125" style="64" customWidth="1"/>
    <col min="13059" max="13059" width="20" style="64" customWidth="1"/>
    <col min="13060" max="13060" width="19.1796875" style="64" customWidth="1"/>
    <col min="13061" max="13061" width="12.81640625" style="64" customWidth="1"/>
    <col min="13062" max="13062" width="21.81640625" style="64" customWidth="1"/>
    <col min="13063" max="13063" width="20.453125" style="64" customWidth="1"/>
    <col min="13064" max="13310" width="9" style="64"/>
    <col min="13311" max="13311" width="16.81640625" style="64" customWidth="1"/>
    <col min="13312" max="13312" width="50.1796875" style="64" customWidth="1"/>
    <col min="13313" max="13313" width="15.1796875" style="64" customWidth="1"/>
    <col min="13314" max="13314" width="21.453125" style="64" customWidth="1"/>
    <col min="13315" max="13315" width="20" style="64" customWidth="1"/>
    <col min="13316" max="13316" width="19.1796875" style="64" customWidth="1"/>
    <col min="13317" max="13317" width="12.81640625" style="64" customWidth="1"/>
    <col min="13318" max="13318" width="21.81640625" style="64" customWidth="1"/>
    <col min="13319" max="13319" width="20.453125" style="64" customWidth="1"/>
    <col min="13320" max="13566" width="9" style="64"/>
    <col min="13567" max="13567" width="16.81640625" style="64" customWidth="1"/>
    <col min="13568" max="13568" width="50.1796875" style="64" customWidth="1"/>
    <col min="13569" max="13569" width="15.1796875" style="64" customWidth="1"/>
    <col min="13570" max="13570" width="21.453125" style="64" customWidth="1"/>
    <col min="13571" max="13571" width="20" style="64" customWidth="1"/>
    <col min="13572" max="13572" width="19.1796875" style="64" customWidth="1"/>
    <col min="13573" max="13573" width="12.81640625" style="64" customWidth="1"/>
    <col min="13574" max="13574" width="21.81640625" style="64" customWidth="1"/>
    <col min="13575" max="13575" width="20.453125" style="64" customWidth="1"/>
    <col min="13576" max="13822" width="9" style="64"/>
    <col min="13823" max="13823" width="16.81640625" style="64" customWidth="1"/>
    <col min="13824" max="13824" width="50.1796875" style="64" customWidth="1"/>
    <col min="13825" max="13825" width="15.1796875" style="64" customWidth="1"/>
    <col min="13826" max="13826" width="21.453125" style="64" customWidth="1"/>
    <col min="13827" max="13827" width="20" style="64" customWidth="1"/>
    <col min="13828" max="13828" width="19.1796875" style="64" customWidth="1"/>
    <col min="13829" max="13829" width="12.81640625" style="64" customWidth="1"/>
    <col min="13830" max="13830" width="21.81640625" style="64" customWidth="1"/>
    <col min="13831" max="13831" width="20.453125" style="64" customWidth="1"/>
    <col min="13832" max="14078" width="9" style="64"/>
    <col min="14079" max="14079" width="16.81640625" style="64" customWidth="1"/>
    <col min="14080" max="14080" width="50.1796875" style="64" customWidth="1"/>
    <col min="14081" max="14081" width="15.1796875" style="64" customWidth="1"/>
    <col min="14082" max="14082" width="21.453125" style="64" customWidth="1"/>
    <col min="14083" max="14083" width="20" style="64" customWidth="1"/>
    <col min="14084" max="14084" width="19.1796875" style="64" customWidth="1"/>
    <col min="14085" max="14085" width="12.81640625" style="64" customWidth="1"/>
    <col min="14086" max="14086" width="21.81640625" style="64" customWidth="1"/>
    <col min="14087" max="14087" width="20.453125" style="64" customWidth="1"/>
    <col min="14088" max="14334" width="9" style="64"/>
    <col min="14335" max="14335" width="16.81640625" style="64" customWidth="1"/>
    <col min="14336" max="14336" width="50.1796875" style="64" customWidth="1"/>
    <col min="14337" max="14337" width="15.1796875" style="64" customWidth="1"/>
    <col min="14338" max="14338" width="21.453125" style="64" customWidth="1"/>
    <col min="14339" max="14339" width="20" style="64" customWidth="1"/>
    <col min="14340" max="14340" width="19.1796875" style="64" customWidth="1"/>
    <col min="14341" max="14341" width="12.81640625" style="64" customWidth="1"/>
    <col min="14342" max="14342" width="21.81640625" style="64" customWidth="1"/>
    <col min="14343" max="14343" width="20.453125" style="64" customWidth="1"/>
    <col min="14344" max="14590" width="9" style="64"/>
    <col min="14591" max="14591" width="16.81640625" style="64" customWidth="1"/>
    <col min="14592" max="14592" width="50.1796875" style="64" customWidth="1"/>
    <col min="14593" max="14593" width="15.1796875" style="64" customWidth="1"/>
    <col min="14594" max="14594" width="21.453125" style="64" customWidth="1"/>
    <col min="14595" max="14595" width="20" style="64" customWidth="1"/>
    <col min="14596" max="14596" width="19.1796875" style="64" customWidth="1"/>
    <col min="14597" max="14597" width="12.81640625" style="64" customWidth="1"/>
    <col min="14598" max="14598" width="21.81640625" style="64" customWidth="1"/>
    <col min="14599" max="14599" width="20.453125" style="64" customWidth="1"/>
    <col min="14600" max="14846" width="9" style="64"/>
    <col min="14847" max="14847" width="16.81640625" style="64" customWidth="1"/>
    <col min="14848" max="14848" width="50.1796875" style="64" customWidth="1"/>
    <col min="14849" max="14849" width="15.1796875" style="64" customWidth="1"/>
    <col min="14850" max="14850" width="21.453125" style="64" customWidth="1"/>
    <col min="14851" max="14851" width="20" style="64" customWidth="1"/>
    <col min="14852" max="14852" width="19.1796875" style="64" customWidth="1"/>
    <col min="14853" max="14853" width="12.81640625" style="64" customWidth="1"/>
    <col min="14854" max="14854" width="21.81640625" style="64" customWidth="1"/>
    <col min="14855" max="14855" width="20.453125" style="64" customWidth="1"/>
    <col min="14856" max="15102" width="9" style="64"/>
    <col min="15103" max="15103" width="16.81640625" style="64" customWidth="1"/>
    <col min="15104" max="15104" width="50.1796875" style="64" customWidth="1"/>
    <col min="15105" max="15105" width="15.1796875" style="64" customWidth="1"/>
    <col min="15106" max="15106" width="21.453125" style="64" customWidth="1"/>
    <col min="15107" max="15107" width="20" style="64" customWidth="1"/>
    <col min="15108" max="15108" width="19.1796875" style="64" customWidth="1"/>
    <col min="15109" max="15109" width="12.81640625" style="64" customWidth="1"/>
    <col min="15110" max="15110" width="21.81640625" style="64" customWidth="1"/>
    <col min="15111" max="15111" width="20.453125" style="64" customWidth="1"/>
    <col min="15112" max="15358" width="9" style="64"/>
    <col min="15359" max="15359" width="16.81640625" style="64" customWidth="1"/>
    <col min="15360" max="15360" width="50.1796875" style="64" customWidth="1"/>
    <col min="15361" max="15361" width="15.1796875" style="64" customWidth="1"/>
    <col min="15362" max="15362" width="21.453125" style="64" customWidth="1"/>
    <col min="15363" max="15363" width="20" style="64" customWidth="1"/>
    <col min="15364" max="15364" width="19.1796875" style="64" customWidth="1"/>
    <col min="15365" max="15365" width="12.81640625" style="64" customWidth="1"/>
    <col min="15366" max="15366" width="21.81640625" style="64" customWidth="1"/>
    <col min="15367" max="15367" width="20.453125" style="64" customWidth="1"/>
    <col min="15368" max="15614" width="9" style="64"/>
    <col min="15615" max="15615" width="16.81640625" style="64" customWidth="1"/>
    <col min="15616" max="15616" width="50.1796875" style="64" customWidth="1"/>
    <col min="15617" max="15617" width="15.1796875" style="64" customWidth="1"/>
    <col min="15618" max="15618" width="21.453125" style="64" customWidth="1"/>
    <col min="15619" max="15619" width="20" style="64" customWidth="1"/>
    <col min="15620" max="15620" width="19.1796875" style="64" customWidth="1"/>
    <col min="15621" max="15621" width="12.81640625" style="64" customWidth="1"/>
    <col min="15622" max="15622" width="21.81640625" style="64" customWidth="1"/>
    <col min="15623" max="15623" width="20.453125" style="64" customWidth="1"/>
    <col min="15624" max="15870" width="9" style="64"/>
    <col min="15871" max="15871" width="16.81640625" style="64" customWidth="1"/>
    <col min="15872" max="15872" width="50.1796875" style="64" customWidth="1"/>
    <col min="15873" max="15873" width="15.1796875" style="64" customWidth="1"/>
    <col min="15874" max="15874" width="21.453125" style="64" customWidth="1"/>
    <col min="15875" max="15875" width="20" style="64" customWidth="1"/>
    <col min="15876" max="15876" width="19.1796875" style="64" customWidth="1"/>
    <col min="15877" max="15877" width="12.81640625" style="64" customWidth="1"/>
    <col min="15878" max="15878" width="21.81640625" style="64" customWidth="1"/>
    <col min="15879" max="15879" width="20.453125" style="64" customWidth="1"/>
    <col min="15880" max="16126" width="9" style="64"/>
    <col min="16127" max="16127" width="16.81640625" style="64" customWidth="1"/>
    <col min="16128" max="16128" width="50.1796875" style="64" customWidth="1"/>
    <col min="16129" max="16129" width="15.1796875" style="64" customWidth="1"/>
    <col min="16130" max="16130" width="21.453125" style="64" customWidth="1"/>
    <col min="16131" max="16131" width="20" style="64" customWidth="1"/>
    <col min="16132" max="16132" width="19.1796875" style="64" customWidth="1"/>
    <col min="16133" max="16133" width="12.81640625" style="64" customWidth="1"/>
    <col min="16134" max="16134" width="21.81640625" style="64" customWidth="1"/>
    <col min="16135" max="16135" width="20.453125" style="64" customWidth="1"/>
    <col min="16136" max="16384" width="9" style="64"/>
  </cols>
  <sheetData>
    <row r="1" spans="1:15" ht="40" customHeight="1" x14ac:dyDescent="0.5">
      <c r="A1" s="60"/>
      <c r="B1" s="60"/>
      <c r="C1" s="60"/>
      <c r="D1" s="60"/>
      <c r="E1" s="60"/>
      <c r="F1" s="60"/>
      <c r="G1" s="60"/>
      <c r="H1" s="60"/>
      <c r="I1" s="60"/>
      <c r="J1" s="60"/>
    </row>
    <row r="2" spans="1:15" ht="62.15" customHeight="1" x14ac:dyDescent="0.5">
      <c r="A2" s="65"/>
      <c r="B2" s="60" t="s">
        <v>93</v>
      </c>
      <c r="C2" s="60" t="s">
        <v>94</v>
      </c>
      <c r="D2" s="60" t="s">
        <v>95</v>
      </c>
      <c r="E2" s="60"/>
      <c r="F2" s="60" t="s">
        <v>96</v>
      </c>
      <c r="G2" s="65" t="s">
        <v>97</v>
      </c>
      <c r="H2" s="65" t="s">
        <v>98</v>
      </c>
      <c r="I2" s="60" t="s">
        <v>99</v>
      </c>
      <c r="J2" s="60" t="s">
        <v>100</v>
      </c>
      <c r="O2" s="66"/>
    </row>
    <row r="3" spans="1:15" ht="73.5" customHeight="1" x14ac:dyDescent="0.5">
      <c r="A3" s="151" t="s">
        <v>2293</v>
      </c>
      <c r="B3" s="152"/>
      <c r="C3" s="152"/>
      <c r="D3" s="152"/>
      <c r="E3" s="152"/>
      <c r="F3" s="152"/>
      <c r="G3" s="152"/>
      <c r="H3" s="152"/>
      <c r="I3" s="152"/>
      <c r="J3" s="153"/>
    </row>
    <row r="4" spans="1:15" ht="40" customHeight="1" x14ac:dyDescent="0.5">
      <c r="A4" s="60"/>
      <c r="B4" s="60" t="s">
        <v>2325</v>
      </c>
      <c r="C4" s="60" t="s">
        <v>2326</v>
      </c>
      <c r="D4" s="60" t="s">
        <v>2327</v>
      </c>
      <c r="E4" s="60"/>
      <c r="F4" s="60" t="s">
        <v>2323</v>
      </c>
      <c r="G4" s="60">
        <v>894</v>
      </c>
      <c r="H4" s="60">
        <v>1200</v>
      </c>
      <c r="I4" s="130">
        <v>46223</v>
      </c>
      <c r="J4" s="60" t="s">
        <v>2330</v>
      </c>
    </row>
    <row r="5" spans="1:15" ht="40" customHeight="1" x14ac:dyDescent="0.5">
      <c r="A5" s="60"/>
      <c r="B5" s="60"/>
      <c r="C5" s="60"/>
      <c r="D5" s="60"/>
      <c r="E5" s="60"/>
      <c r="F5" s="60"/>
      <c r="G5" s="65"/>
      <c r="H5" s="65"/>
      <c r="I5" s="60"/>
      <c r="J5" s="68"/>
    </row>
    <row r="6" spans="1:15" ht="40" customHeight="1" x14ac:dyDescent="0.5">
      <c r="A6" s="60"/>
      <c r="B6" s="60" t="s">
        <v>2328</v>
      </c>
      <c r="C6" s="60" t="s">
        <v>2326</v>
      </c>
      <c r="D6" s="60" t="s">
        <v>2327</v>
      </c>
      <c r="E6" s="60"/>
      <c r="F6" s="129" t="s">
        <v>2318</v>
      </c>
      <c r="G6" s="65">
        <v>897</v>
      </c>
      <c r="H6" s="65">
        <v>1200</v>
      </c>
      <c r="I6" s="130">
        <v>46224</v>
      </c>
      <c r="J6" s="60" t="s">
        <v>2331</v>
      </c>
    </row>
    <row r="7" spans="1:15" ht="40" customHeight="1" x14ac:dyDescent="0.5">
      <c r="A7" s="60"/>
      <c r="B7" s="60"/>
      <c r="C7" s="60"/>
      <c r="D7" s="60"/>
      <c r="E7" s="60"/>
      <c r="F7" s="128" t="s">
        <v>2329</v>
      </c>
      <c r="G7" s="65"/>
      <c r="H7" s="65"/>
      <c r="I7" s="60"/>
      <c r="J7" s="60"/>
    </row>
    <row r="8" spans="1:15" ht="40" customHeight="1" x14ac:dyDescent="0.5">
      <c r="A8" s="60"/>
      <c r="B8" s="60"/>
      <c r="C8" s="60"/>
      <c r="D8" s="60"/>
      <c r="E8" s="60"/>
      <c r="F8" s="60"/>
      <c r="G8" s="60"/>
      <c r="H8" s="60"/>
      <c r="I8" s="60"/>
      <c r="J8" s="60"/>
    </row>
    <row r="9" spans="1:15" ht="40" customHeight="1" x14ac:dyDescent="0.5">
      <c r="A9" s="60"/>
      <c r="B9" s="60"/>
      <c r="C9" s="60"/>
      <c r="D9" s="60"/>
      <c r="E9" s="60"/>
      <c r="F9" s="60"/>
      <c r="G9" s="65"/>
      <c r="H9" s="65"/>
      <c r="I9" s="68"/>
      <c r="J9" s="68"/>
    </row>
    <row r="10" spans="1:15" ht="40" customHeight="1" x14ac:dyDescent="0.5">
      <c r="A10" s="60"/>
      <c r="B10" s="60"/>
      <c r="C10" s="60"/>
      <c r="D10" s="60"/>
      <c r="E10" s="60"/>
      <c r="F10" s="60"/>
      <c r="G10" s="60"/>
      <c r="H10" s="60"/>
      <c r="I10" s="68"/>
      <c r="J10" s="68"/>
    </row>
    <row r="11" spans="1:15" ht="40" customHeight="1" x14ac:dyDescent="0.5">
      <c r="A11" s="60"/>
      <c r="B11" s="60"/>
      <c r="C11" s="60"/>
      <c r="D11" s="60"/>
      <c r="E11" s="60"/>
      <c r="F11" s="60"/>
      <c r="G11" s="65"/>
      <c r="H11" s="65"/>
      <c r="I11" s="68"/>
      <c r="J11" s="68"/>
    </row>
    <row r="12" spans="1:15" ht="40" customHeight="1" x14ac:dyDescent="0.5">
      <c r="A12" s="60"/>
      <c r="B12" s="70"/>
      <c r="C12" s="69"/>
      <c r="D12" s="69"/>
      <c r="E12" s="69"/>
      <c r="F12" s="69"/>
      <c r="G12" s="70"/>
      <c r="H12" s="70"/>
      <c r="I12" s="60"/>
      <c r="J12" s="68"/>
    </row>
    <row r="13" spans="1:15" ht="40" customHeight="1" x14ac:dyDescent="0.5">
      <c r="A13" s="60"/>
      <c r="B13" s="60"/>
      <c r="C13" s="60"/>
      <c r="D13" s="60"/>
      <c r="E13" s="60"/>
      <c r="F13" s="60"/>
      <c r="G13" s="60"/>
      <c r="H13" s="60"/>
      <c r="I13" s="60"/>
      <c r="J13" s="60"/>
    </row>
    <row r="14" spans="1:15" ht="40" customHeight="1" x14ac:dyDescent="0.5">
      <c r="A14" s="60"/>
      <c r="B14" s="60"/>
      <c r="C14" s="60"/>
      <c r="D14" s="60"/>
      <c r="E14" s="60"/>
      <c r="F14" s="60"/>
      <c r="G14" s="60"/>
      <c r="H14" s="60"/>
      <c r="I14" s="60"/>
      <c r="J14" s="68"/>
    </row>
    <row r="15" spans="1:15" ht="40" customHeight="1" x14ac:dyDescent="0.5">
      <c r="A15" s="60"/>
      <c r="B15" s="60"/>
      <c r="C15" s="60"/>
      <c r="D15" s="60"/>
      <c r="E15" s="60"/>
      <c r="F15" s="60"/>
      <c r="G15" s="60"/>
      <c r="H15" s="60"/>
      <c r="I15" s="68"/>
      <c r="J15" s="68"/>
    </row>
    <row r="16" spans="1:15" ht="40" customHeight="1" x14ac:dyDescent="0.5">
      <c r="A16" s="60"/>
      <c r="B16" s="70"/>
      <c r="C16" s="69"/>
      <c r="D16" s="69"/>
      <c r="E16" s="69"/>
      <c r="F16" s="69"/>
      <c r="G16" s="70"/>
      <c r="H16" s="70"/>
      <c r="I16" s="68"/>
      <c r="J16" s="68"/>
    </row>
    <row r="17" spans="1:13" ht="40" customHeight="1" x14ac:dyDescent="0.5">
      <c r="A17" s="60"/>
      <c r="B17" s="70"/>
      <c r="C17" s="60"/>
      <c r="D17" s="60"/>
      <c r="E17" s="60"/>
      <c r="F17" s="60"/>
      <c r="G17" s="60"/>
      <c r="H17" s="60"/>
      <c r="I17" s="60"/>
      <c r="J17" s="60"/>
      <c r="K17" s="71"/>
      <c r="L17" s="71"/>
      <c r="M17" s="71"/>
    </row>
    <row r="18" spans="1:13" ht="40" customHeight="1" x14ac:dyDescent="0.5">
      <c r="A18" s="60"/>
      <c r="B18" s="60"/>
      <c r="C18" s="60"/>
      <c r="D18" s="60"/>
      <c r="E18" s="60"/>
      <c r="F18" s="72"/>
      <c r="G18" s="60"/>
      <c r="H18" s="60"/>
      <c r="I18" s="68"/>
      <c r="J18" s="68"/>
    </row>
    <row r="19" spans="1:13" ht="40" customHeight="1" x14ac:dyDescent="0.5">
      <c r="A19" s="60"/>
      <c r="B19" s="69"/>
      <c r="C19" s="60"/>
      <c r="D19" s="69"/>
      <c r="E19" s="69"/>
      <c r="F19" s="69"/>
      <c r="G19" s="69"/>
      <c r="H19" s="69"/>
      <c r="I19" s="68"/>
      <c r="J19" s="68"/>
    </row>
    <row r="20" spans="1:13" ht="40" customHeight="1" x14ac:dyDescent="0.5">
      <c r="A20" s="60"/>
      <c r="B20" s="60"/>
      <c r="C20" s="60"/>
      <c r="D20" s="60"/>
      <c r="E20" s="60"/>
      <c r="F20" s="72"/>
      <c r="G20" s="60"/>
      <c r="H20" s="73"/>
      <c r="I20" s="68"/>
      <c r="J20" s="68"/>
    </row>
    <row r="21" spans="1:13" ht="40" customHeight="1" x14ac:dyDescent="0.5">
      <c r="A21" s="60"/>
      <c r="B21" s="67"/>
      <c r="C21" s="60"/>
      <c r="D21" s="60"/>
      <c r="E21" s="60"/>
      <c r="F21" s="60"/>
      <c r="G21" s="67"/>
      <c r="H21" s="67"/>
      <c r="I21" s="60"/>
      <c r="J21" s="60"/>
    </row>
    <row r="22" spans="1:13" ht="40" customHeight="1" x14ac:dyDescent="0.5">
      <c r="A22" s="74"/>
      <c r="B22" s="74"/>
      <c r="C22" s="74"/>
      <c r="D22" s="74"/>
      <c r="E22" s="74"/>
      <c r="F22" s="74"/>
      <c r="G22" s="74"/>
      <c r="H22" s="74"/>
      <c r="I22" s="74"/>
      <c r="J22" s="74"/>
    </row>
  </sheetData>
  <mergeCells count="1">
    <mergeCell ref="A3:J3"/>
  </mergeCells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43964-8AC6-49DC-85E7-AC49E8CAC4E1}">
  <sheetPr codeName="Sheet5">
    <tabColor theme="8" tint="-0.249977111117893"/>
  </sheetPr>
  <dimension ref="A1:AB3"/>
  <sheetViews>
    <sheetView topLeftCell="H1" zoomScale="85" zoomScaleNormal="85" workbookViewId="0">
      <selection activeCell="O13" sqref="O13"/>
    </sheetView>
  </sheetViews>
  <sheetFormatPr defaultRowHeight="14.5" x14ac:dyDescent="0.35"/>
  <cols>
    <col min="1" max="1" width="29.1796875" customWidth="1"/>
    <col min="2" max="2" width="15.26953125" customWidth="1"/>
    <col min="3" max="3" width="29.81640625" customWidth="1"/>
    <col min="4" max="4" width="30.54296875" customWidth="1"/>
    <col min="5" max="5" width="15.81640625" customWidth="1"/>
    <col min="6" max="6" width="20.453125" customWidth="1"/>
    <col min="7" max="7" width="31.1796875" customWidth="1"/>
    <col min="8" max="8" width="21" customWidth="1"/>
    <col min="9" max="9" width="21.54296875" customWidth="1"/>
    <col min="10" max="10" width="11.1796875" customWidth="1"/>
    <col min="11" max="11" width="11.453125" customWidth="1"/>
    <col min="12" max="12" width="21.453125" customWidth="1"/>
    <col min="13" max="13" width="17.1796875" customWidth="1"/>
    <col min="14" max="14" width="14.81640625" customWidth="1"/>
    <col min="15" max="15" width="17.54296875" customWidth="1"/>
    <col min="16" max="16" width="18.1796875" customWidth="1"/>
    <col min="17" max="17" width="14.1796875" customWidth="1"/>
    <col min="18" max="18" width="16" customWidth="1"/>
    <col min="19" max="19" width="19.1796875" customWidth="1"/>
    <col min="20" max="20" width="15" customWidth="1"/>
    <col min="21" max="21" width="15.81640625" customWidth="1"/>
    <col min="22" max="22" width="20.26953125" customWidth="1"/>
    <col min="23" max="23" width="20.1796875" customWidth="1"/>
    <col min="24" max="24" width="15.81640625" customWidth="1"/>
    <col min="25" max="25" width="20.453125" customWidth="1"/>
    <col min="26" max="26" width="13.453125" customWidth="1"/>
    <col min="27" max="27" width="13" customWidth="1"/>
    <col min="28" max="28" width="14.54296875" customWidth="1"/>
    <col min="29" max="29" width="11.81640625" customWidth="1"/>
    <col min="30" max="30" width="20.54296875" customWidth="1"/>
    <col min="31" max="31" width="9.453125" customWidth="1"/>
  </cols>
  <sheetData>
    <row r="1" spans="1:28" x14ac:dyDescent="0.35">
      <c r="A1" s="134" t="s">
        <v>2294</v>
      </c>
      <c r="B1" s="135" t="s">
        <v>7</v>
      </c>
      <c r="C1" s="135" t="s">
        <v>8</v>
      </c>
      <c r="D1" s="135" t="s">
        <v>2295</v>
      </c>
      <c r="E1" s="135" t="s">
        <v>2296</v>
      </c>
      <c r="F1" s="135" t="s">
        <v>2297</v>
      </c>
      <c r="G1" s="135" t="s">
        <v>2298</v>
      </c>
      <c r="H1" s="135" t="s">
        <v>2299</v>
      </c>
      <c r="I1" s="135" t="s">
        <v>2300</v>
      </c>
      <c r="J1" s="135" t="s">
        <v>9</v>
      </c>
      <c r="K1" s="135" t="s">
        <v>2301</v>
      </c>
      <c r="L1" s="135" t="s">
        <v>2302</v>
      </c>
      <c r="M1" s="135" t="s">
        <v>2303</v>
      </c>
      <c r="N1" s="135" t="s">
        <v>10</v>
      </c>
      <c r="O1" s="135" t="s">
        <v>2304</v>
      </c>
      <c r="P1" s="135" t="s">
        <v>2305</v>
      </c>
      <c r="Q1" s="135" t="s">
        <v>2306</v>
      </c>
      <c r="R1" s="135" t="s">
        <v>2307</v>
      </c>
      <c r="S1" s="135" t="s">
        <v>2308</v>
      </c>
      <c r="T1" s="135" t="s">
        <v>2309</v>
      </c>
      <c r="U1" s="135" t="s">
        <v>2310</v>
      </c>
      <c r="V1" s="135" t="s">
        <v>2311</v>
      </c>
      <c r="W1" s="135" t="s">
        <v>2312</v>
      </c>
      <c r="X1" s="135" t="s">
        <v>2313</v>
      </c>
      <c r="Y1" s="135" t="s">
        <v>2314</v>
      </c>
      <c r="Z1" s="135" t="s">
        <v>2315</v>
      </c>
      <c r="AA1" s="135" t="s">
        <v>2316</v>
      </c>
      <c r="AB1" s="136" t="s">
        <v>100</v>
      </c>
    </row>
    <row r="2" spans="1:28" x14ac:dyDescent="0.35">
      <c r="A2" s="132" t="s">
        <v>11</v>
      </c>
      <c r="B2" s="20" t="s">
        <v>2317</v>
      </c>
      <c r="C2" s="20" t="s">
        <v>2318</v>
      </c>
      <c r="D2" s="20" t="s">
        <v>2318</v>
      </c>
      <c r="E2" s="20" t="s">
        <v>2319</v>
      </c>
      <c r="F2" s="20">
        <v>5</v>
      </c>
      <c r="G2" s="20">
        <v>5</v>
      </c>
      <c r="H2" s="20">
        <v>1200</v>
      </c>
      <c r="I2" s="20">
        <v>46249</v>
      </c>
      <c r="J2" s="20" t="s">
        <v>2320</v>
      </c>
      <c r="K2" s="20">
        <v>0.70609999999999995</v>
      </c>
      <c r="L2" s="20">
        <v>0.71540000000000004</v>
      </c>
      <c r="M2" s="20">
        <v>858.48</v>
      </c>
      <c r="N2" s="20">
        <v>876</v>
      </c>
      <c r="O2" s="20">
        <v>920</v>
      </c>
      <c r="P2" s="126">
        <v>897</v>
      </c>
      <c r="Q2" s="123">
        <v>1.0448700027956388</v>
      </c>
      <c r="R2" s="20">
        <v>1.0448700027956388</v>
      </c>
      <c r="S2" s="20">
        <v>0</v>
      </c>
      <c r="T2" s="20" t="s">
        <v>2321</v>
      </c>
      <c r="U2" s="20">
        <v>1.0716615413288604</v>
      </c>
      <c r="V2" s="123">
        <v>1</v>
      </c>
      <c r="W2" s="20">
        <v>858.48</v>
      </c>
      <c r="X2" s="20">
        <v>858.48</v>
      </c>
      <c r="Y2" s="20">
        <v>920</v>
      </c>
      <c r="Z2" s="20">
        <v>1.0716615413288604</v>
      </c>
      <c r="AA2" s="20">
        <v>1.0204081632653061</v>
      </c>
      <c r="AB2" s="133"/>
    </row>
    <row r="3" spans="1:28" x14ac:dyDescent="0.35">
      <c r="A3" s="137" t="s">
        <v>11</v>
      </c>
      <c r="B3" s="138" t="s">
        <v>2322</v>
      </c>
      <c r="C3" s="138" t="s">
        <v>2323</v>
      </c>
      <c r="D3" s="138" t="s">
        <v>2323</v>
      </c>
      <c r="E3" s="138" t="s">
        <v>2319</v>
      </c>
      <c r="F3" s="138">
        <v>5</v>
      </c>
      <c r="G3" s="138">
        <v>5</v>
      </c>
      <c r="H3" s="138">
        <v>1200</v>
      </c>
      <c r="I3" s="138">
        <v>46249</v>
      </c>
      <c r="J3" s="138" t="s">
        <v>2320</v>
      </c>
      <c r="K3" s="138">
        <v>0.70609999999999995</v>
      </c>
      <c r="L3" s="138">
        <v>0.71540000000000004</v>
      </c>
      <c r="M3" s="138">
        <v>858.48</v>
      </c>
      <c r="N3" s="138">
        <v>876</v>
      </c>
      <c r="O3" s="138">
        <v>897.5</v>
      </c>
      <c r="P3" s="139">
        <v>897</v>
      </c>
      <c r="Q3" s="140">
        <v>1.0448700027956388</v>
      </c>
      <c r="R3" s="138">
        <v>1.0448700027956388</v>
      </c>
      <c r="S3" s="138">
        <v>0</v>
      </c>
      <c r="T3" s="138" t="s">
        <v>2324</v>
      </c>
      <c r="U3" s="138">
        <v>1.045452427546361</v>
      </c>
      <c r="V3" s="140">
        <v>1</v>
      </c>
      <c r="W3" s="138">
        <v>858.48</v>
      </c>
      <c r="X3" s="138">
        <v>858.48</v>
      </c>
      <c r="Y3" s="138">
        <v>897.5</v>
      </c>
      <c r="Z3" s="138">
        <v>1.045452427546361</v>
      </c>
      <c r="AA3" s="138">
        <v>1.0204081632653061</v>
      </c>
      <c r="AB3" s="141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EBD0C-443B-4611-961D-1B1BFF953543}">
  <sheetPr codeName="Sheet15">
    <tabColor rgb="FF7030A0"/>
  </sheetPr>
  <dimension ref="A1:AF37"/>
  <sheetViews>
    <sheetView tabSelected="1" zoomScale="70" zoomScaleNormal="70" workbookViewId="0">
      <pane xSplit="3" ySplit="8" topLeftCell="G9" activePane="bottomRight" state="frozen"/>
      <selection pane="topRight" activeCell="D1" sqref="D1"/>
      <selection pane="bottomLeft" activeCell="A3" sqref="A3"/>
      <selection pane="bottomRight" activeCell="G13" sqref="G13"/>
    </sheetView>
  </sheetViews>
  <sheetFormatPr defaultRowHeight="14.5" x14ac:dyDescent="0.35"/>
  <cols>
    <col min="1" max="1" width="17.1796875" customWidth="1"/>
    <col min="2" max="2" width="15" bestFit="1" customWidth="1"/>
    <col min="3" max="3" width="16.1796875" customWidth="1"/>
    <col min="5" max="5" width="13.54296875" bestFit="1" customWidth="1"/>
    <col min="6" max="6" width="14.81640625" bestFit="1" customWidth="1"/>
    <col min="7" max="7" width="24.81640625" bestFit="1" customWidth="1"/>
    <col min="8" max="8" width="24.54296875" bestFit="1" customWidth="1"/>
    <col min="9" max="9" width="11.453125" bestFit="1" customWidth="1"/>
    <col min="10" max="10" width="16.453125" bestFit="1" customWidth="1"/>
    <col min="11" max="11" width="22.54296875" style="4" bestFit="1" customWidth="1"/>
    <col min="12" max="12" width="25.7265625" bestFit="1" customWidth="1"/>
    <col min="13" max="13" width="33.54296875" bestFit="1" customWidth="1"/>
    <col min="14" max="14" width="18.54296875" bestFit="1" customWidth="1"/>
    <col min="15" max="15" width="16" bestFit="1" customWidth="1"/>
    <col min="16" max="16" width="17.1796875" bestFit="1" customWidth="1"/>
    <col min="17" max="17" width="24" style="37" bestFit="1" customWidth="1"/>
    <col min="18" max="18" width="33.453125" style="37" bestFit="1" customWidth="1"/>
    <col min="19" max="19" width="22" style="37" bestFit="1" customWidth="1"/>
    <col min="20" max="20" width="14.26953125" bestFit="1" customWidth="1"/>
    <col min="21" max="21" width="22.54296875" bestFit="1" customWidth="1"/>
    <col min="22" max="22" width="27.1796875" bestFit="1" customWidth="1"/>
    <col min="23" max="23" width="18.1796875" bestFit="1" customWidth="1"/>
    <col min="24" max="24" width="17" bestFit="1" customWidth="1"/>
    <col min="25" max="25" width="17.54296875" bestFit="1" customWidth="1"/>
    <col min="26" max="26" width="13.1796875" bestFit="1" customWidth="1"/>
    <col min="27" max="27" width="17.54296875" bestFit="1" customWidth="1"/>
    <col min="28" max="28" width="13.1796875" bestFit="1" customWidth="1"/>
    <col min="29" max="29" width="9.54296875" customWidth="1"/>
    <col min="30" max="31" width="7.54296875" customWidth="1"/>
    <col min="32" max="32" width="7.54296875" style="75" customWidth="1"/>
  </cols>
  <sheetData>
    <row r="1" spans="1:32" ht="16" x14ac:dyDescent="0.4">
      <c r="G1" s="54" t="s">
        <v>13</v>
      </c>
      <c r="AD1" t="s">
        <v>54</v>
      </c>
      <c r="AE1" t="s">
        <v>54</v>
      </c>
      <c r="AF1" s="75" t="s">
        <v>54</v>
      </c>
    </row>
    <row r="2" spans="1:32" ht="16" x14ac:dyDescent="0.4">
      <c r="G2" s="54" t="s">
        <v>14</v>
      </c>
      <c r="O2" s="57" t="s">
        <v>102</v>
      </c>
      <c r="P2" s="77" t="s">
        <v>101</v>
      </c>
      <c r="AD2" t="str" cm="1">
        <f t="array" aca="1" ref="AD2" ca="1">IFERROR(_xlfn.UNIQUE(INDIRECT("Table1[Type]")),"")</f>
        <v>B</v>
      </c>
      <c r="AE2" t="str" cm="1">
        <f t="array" aca="1" ref="AE2:AE3" ca="1">IFERROR(_xlfn.UNIQUE(INDIRECT("Table1[COLOR_CODE]")),"")</f>
        <v>Dark Sapphire</v>
      </c>
      <c r="AF2" s="75" t="str" cm="1">
        <f t="array" aca="1" ref="AF2" ca="1">IFERROR(_xlfn.UNIQUE(RIGHT(INDIRECT("Table1[JOB ORDER NO]"),4)),"")</f>
        <v>VN01</v>
      </c>
    </row>
    <row r="3" spans="1:32" ht="16" x14ac:dyDescent="0.4">
      <c r="G3" s="54" t="s">
        <v>15</v>
      </c>
      <c r="O3" s="58">
        <v>46163</v>
      </c>
      <c r="P3" s="77" t="s">
        <v>103</v>
      </c>
      <c r="AE3" t="str">
        <f ca="1"/>
        <v>Snow White</v>
      </c>
    </row>
    <row r="4" spans="1:32" ht="16" x14ac:dyDescent="0.4">
      <c r="G4" s="54" t="s">
        <v>16</v>
      </c>
    </row>
    <row r="5" spans="1:32" ht="16" x14ac:dyDescent="0.4">
      <c r="G5" s="54" t="s">
        <v>17</v>
      </c>
    </row>
    <row r="6" spans="1:32" ht="16" x14ac:dyDescent="0.4">
      <c r="G6" s="54" t="s">
        <v>18</v>
      </c>
      <c r="O6" t="s">
        <v>92</v>
      </c>
      <c r="Q6"/>
      <c r="R6" t="s">
        <v>91</v>
      </c>
      <c r="S6" t="s">
        <v>90</v>
      </c>
      <c r="T6" t="s">
        <v>89</v>
      </c>
    </row>
    <row r="7" spans="1:32" x14ac:dyDescent="0.35">
      <c r="Q7"/>
      <c r="R7"/>
      <c r="S7"/>
    </row>
    <row r="8" spans="1:32" s="55" customFormat="1" x14ac:dyDescent="0.35">
      <c r="A8" s="3" t="s">
        <v>19</v>
      </c>
      <c r="B8" s="3" t="s">
        <v>7</v>
      </c>
      <c r="C8" s="3" t="s">
        <v>20</v>
      </c>
      <c r="E8" s="55" t="s">
        <v>23</v>
      </c>
      <c r="F8" s="55" t="s">
        <v>19</v>
      </c>
      <c r="G8" s="55" t="s">
        <v>7</v>
      </c>
      <c r="H8" s="55" t="s">
        <v>8</v>
      </c>
      <c r="I8" s="56" t="s">
        <v>20</v>
      </c>
      <c r="J8" s="55" t="s">
        <v>24</v>
      </c>
      <c r="K8" s="55" t="s">
        <v>9</v>
      </c>
      <c r="L8" s="55" t="s">
        <v>25</v>
      </c>
      <c r="M8" s="55" t="s">
        <v>26</v>
      </c>
      <c r="N8" s="55" t="s">
        <v>10</v>
      </c>
      <c r="O8" s="59" t="s">
        <v>27</v>
      </c>
      <c r="P8" s="59" t="s">
        <v>28</v>
      </c>
      <c r="Q8" s="59" t="s">
        <v>29</v>
      </c>
      <c r="R8" s="55" t="s">
        <v>86</v>
      </c>
      <c r="S8" s="59" t="s">
        <v>87</v>
      </c>
      <c r="T8" s="55" t="s">
        <v>88</v>
      </c>
      <c r="U8" s="55" t="s">
        <v>31</v>
      </c>
      <c r="V8" s="55" t="s">
        <v>32</v>
      </c>
      <c r="W8" s="55" t="s">
        <v>49</v>
      </c>
      <c r="AC8" s="75"/>
    </row>
    <row r="9" spans="1:32" ht="16" x14ac:dyDescent="0.35">
      <c r="A9" s="78"/>
      <c r="B9" s="78" t="s">
        <v>54</v>
      </c>
      <c r="C9" s="79"/>
      <c r="E9" s="3" t="s">
        <v>2358</v>
      </c>
      <c r="F9" s="3" t="s">
        <v>11</v>
      </c>
      <c r="G9" s="3" t="s">
        <v>2317</v>
      </c>
      <c r="H9" s="3" t="s">
        <v>2318</v>
      </c>
      <c r="I9" s="142" t="s">
        <v>54</v>
      </c>
      <c r="J9" s="3">
        <v>1200</v>
      </c>
      <c r="K9" s="3" t="s">
        <v>2320</v>
      </c>
      <c r="L9" s="3">
        <v>0.70609999999999995</v>
      </c>
      <c r="M9" s="3"/>
      <c r="N9" s="3">
        <v>876</v>
      </c>
      <c r="O9">
        <v>0.71</v>
      </c>
      <c r="P9" s="143">
        <v>0.73271999999999993</v>
      </c>
      <c r="Q9" s="145">
        <v>3.2000000000000001E-2</v>
      </c>
      <c r="R9" s="55">
        <v>897</v>
      </c>
      <c r="S9" s="55">
        <v>897</v>
      </c>
      <c r="T9" s="55">
        <v>0</v>
      </c>
      <c r="U9" s="144">
        <v>1.0201714160934601</v>
      </c>
      <c r="V9" s="3">
        <v>5.5232969834301303E-3</v>
      </c>
      <c r="W9" s="3"/>
      <c r="AC9" s="75"/>
      <c r="AF9"/>
    </row>
    <row r="10" spans="1:32" ht="16" x14ac:dyDescent="0.35">
      <c r="A10" s="78"/>
      <c r="B10" s="78"/>
      <c r="C10" s="79"/>
      <c r="E10" s="3" t="s">
        <v>2358</v>
      </c>
      <c r="F10" s="3" t="s">
        <v>11</v>
      </c>
      <c r="G10" s="3" t="s">
        <v>2322</v>
      </c>
      <c r="H10" s="3" t="s">
        <v>2323</v>
      </c>
      <c r="I10" s="142" t="s">
        <v>54</v>
      </c>
      <c r="J10" s="3">
        <v>1200</v>
      </c>
      <c r="K10" s="3" t="s">
        <v>2320</v>
      </c>
      <c r="L10" s="3">
        <v>0.70609999999999995</v>
      </c>
      <c r="M10" s="3"/>
      <c r="N10" s="3">
        <v>876</v>
      </c>
      <c r="O10">
        <v>0.71</v>
      </c>
      <c r="P10" s="143">
        <v>0.73271999999999993</v>
      </c>
      <c r="Q10" s="145">
        <v>3.2000000000000001E-2</v>
      </c>
      <c r="R10" s="55">
        <v>897</v>
      </c>
      <c r="S10" s="55">
        <v>894</v>
      </c>
      <c r="T10" s="55">
        <v>3</v>
      </c>
      <c r="U10" s="144">
        <v>1.0167594715580304</v>
      </c>
      <c r="V10" s="3">
        <v>5.5232969834301303E-3</v>
      </c>
      <c r="W10" s="3"/>
    </row>
    <row r="11" spans="1:32" ht="16" x14ac:dyDescent="0.35">
      <c r="A11" s="78"/>
      <c r="B11" s="78"/>
      <c r="C11" s="79"/>
    </row>
    <row r="12" spans="1:32" ht="16" x14ac:dyDescent="0.35">
      <c r="A12" s="78"/>
      <c r="B12" s="78"/>
      <c r="C12" s="79"/>
    </row>
    <row r="13" spans="1:32" ht="16" x14ac:dyDescent="0.35">
      <c r="A13" s="78"/>
      <c r="B13" s="78"/>
      <c r="C13" s="79"/>
    </row>
    <row r="14" spans="1:32" ht="16" x14ac:dyDescent="0.35">
      <c r="A14" s="78"/>
      <c r="B14" s="78"/>
      <c r="C14" s="79"/>
    </row>
    <row r="15" spans="1:32" ht="16" x14ac:dyDescent="0.35">
      <c r="A15" s="78"/>
      <c r="B15" s="78"/>
      <c r="C15" s="79"/>
      <c r="J15" s="4"/>
      <c r="K15"/>
    </row>
    <row r="16" spans="1:32" ht="16" x14ac:dyDescent="0.35">
      <c r="A16" s="78"/>
      <c r="B16" s="78"/>
      <c r="C16" s="79"/>
    </row>
    <row r="17" spans="1:3" ht="16" x14ac:dyDescent="0.35">
      <c r="A17" s="78"/>
      <c r="B17" s="78"/>
      <c r="C17" s="79"/>
    </row>
    <row r="18" spans="1:3" ht="16" x14ac:dyDescent="0.35">
      <c r="A18" s="78"/>
      <c r="B18" s="78"/>
      <c r="C18" s="79"/>
    </row>
    <row r="19" spans="1:3" ht="16" x14ac:dyDescent="0.35">
      <c r="A19" s="78"/>
      <c r="B19" s="78"/>
      <c r="C19" s="79"/>
    </row>
    <row r="20" spans="1:3" ht="16" x14ac:dyDescent="0.35">
      <c r="A20" s="78"/>
      <c r="B20" s="78"/>
      <c r="C20" s="79"/>
    </row>
    <row r="21" spans="1:3" ht="16" x14ac:dyDescent="0.35">
      <c r="A21" s="78"/>
      <c r="B21" s="78"/>
      <c r="C21" s="79"/>
    </row>
    <row r="22" spans="1:3" ht="16" x14ac:dyDescent="0.35">
      <c r="A22" s="78"/>
      <c r="B22" s="78"/>
      <c r="C22" s="79"/>
    </row>
    <row r="23" spans="1:3" ht="16" x14ac:dyDescent="0.35">
      <c r="A23" s="78"/>
      <c r="B23" s="78"/>
      <c r="C23" s="79"/>
    </row>
    <row r="24" spans="1:3" ht="16" x14ac:dyDescent="0.35">
      <c r="A24" s="78"/>
      <c r="B24" s="78"/>
      <c r="C24" s="79"/>
    </row>
    <row r="25" spans="1:3" ht="16" x14ac:dyDescent="0.35">
      <c r="A25" s="78"/>
      <c r="B25" s="78"/>
      <c r="C25" s="79"/>
    </row>
    <row r="26" spans="1:3" ht="16" x14ac:dyDescent="0.35">
      <c r="A26" s="78"/>
      <c r="B26" s="78"/>
      <c r="C26" s="79"/>
    </row>
    <row r="27" spans="1:3" ht="16" x14ac:dyDescent="0.35">
      <c r="A27" s="78"/>
      <c r="B27" s="78"/>
      <c r="C27" s="79"/>
    </row>
    <row r="28" spans="1:3" ht="16" x14ac:dyDescent="0.35">
      <c r="A28" s="78"/>
      <c r="B28" s="78"/>
      <c r="C28" s="79"/>
    </row>
    <row r="29" spans="1:3" ht="16" x14ac:dyDescent="0.35">
      <c r="A29" s="78"/>
      <c r="B29" s="78"/>
      <c r="C29" s="79"/>
    </row>
    <row r="30" spans="1:3" ht="16" x14ac:dyDescent="0.35">
      <c r="A30" s="78"/>
      <c r="B30" s="78"/>
      <c r="C30" s="79"/>
    </row>
    <row r="31" spans="1:3" ht="16" x14ac:dyDescent="0.35">
      <c r="A31" s="78"/>
      <c r="B31" s="78"/>
      <c r="C31" s="79"/>
    </row>
    <row r="37" spans="1:1" x14ac:dyDescent="0.35">
      <c r="A37" s="4"/>
    </row>
  </sheetData>
  <dataConsolidate/>
  <phoneticPr fontId="8" type="noConversion"/>
  <conditionalFormatting sqref="V16:V1048576 U15 V11:V14 T8:T10">
    <cfRule type="cellIs" dxfId="38" priority="2" operator="greaterThan">
      <formula>0</formula>
    </cfRule>
  </conditionalFormatting>
  <conditionalFormatting sqref="U9:U1048576">
    <cfRule type="cellIs" dxfId="37" priority="1" operator="lessThan">
      <formula>1</formula>
    </cfRule>
  </conditionalFormatting>
  <dataValidations count="3">
    <dataValidation type="list" allowBlank="1" showInputMessage="1" showErrorMessage="1" sqref="C9:C28" xr:uid="{0A5E2CA8-941F-430E-B783-4D58D9DDA98C}">
      <formula1>$AF:$AF</formula1>
    </dataValidation>
    <dataValidation type="list" allowBlank="1" showInputMessage="1" showErrorMessage="1" sqref="A9:A28" xr:uid="{AE5B05E7-CCEB-4EE6-83AF-0A6A2A0A1E41}">
      <formula1>$AD:$AD</formula1>
    </dataValidation>
    <dataValidation type="list" allowBlank="1" showInputMessage="1" showErrorMessage="1" sqref="B9:B28" xr:uid="{BA7B0319-275E-43AF-86A7-BB307C4A52D6}">
      <formula1>$AE:$AE</formula1>
    </dataValidation>
  </dataValidations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C553-C55F-47DD-8FA7-614B5C46E7B1}">
  <sheetPr codeName="Sheet7">
    <tabColor theme="2" tint="-0.749992370372631"/>
  </sheetPr>
  <dimension ref="A1:AH7"/>
  <sheetViews>
    <sheetView topLeftCell="E1" zoomScale="115" zoomScaleNormal="115" workbookViewId="0">
      <selection activeCell="H20" sqref="H20"/>
    </sheetView>
  </sheetViews>
  <sheetFormatPr defaultRowHeight="14.5" x14ac:dyDescent="0.35"/>
  <cols>
    <col min="2" max="2" width="8.1796875" bestFit="1" customWidth="1"/>
    <col min="3" max="3" width="10.54296875" bestFit="1" customWidth="1"/>
    <col min="6" max="6" width="8.54296875" bestFit="1" customWidth="1"/>
    <col min="9" max="9" width="21.81640625" customWidth="1"/>
  </cols>
  <sheetData>
    <row r="1" spans="1:34" ht="43.5" x14ac:dyDescent="0.35">
      <c r="A1" s="5" t="s">
        <v>21</v>
      </c>
      <c r="B1" s="6" t="s">
        <v>22</v>
      </c>
      <c r="C1" s="6" t="s">
        <v>23</v>
      </c>
      <c r="D1" s="7" t="s">
        <v>19</v>
      </c>
      <c r="E1" s="6" t="s">
        <v>7</v>
      </c>
      <c r="F1" s="8" t="s">
        <v>8</v>
      </c>
      <c r="G1" s="6" t="s">
        <v>20</v>
      </c>
      <c r="H1" s="6" t="s">
        <v>24</v>
      </c>
      <c r="I1" s="6" t="s">
        <v>9</v>
      </c>
      <c r="J1" s="6" t="s">
        <v>25</v>
      </c>
      <c r="K1" s="9" t="s">
        <v>50</v>
      </c>
      <c r="L1" s="6" t="s">
        <v>10</v>
      </c>
      <c r="M1" s="6" t="s">
        <v>27</v>
      </c>
      <c r="N1" s="6" t="s">
        <v>28</v>
      </c>
      <c r="O1" s="10" t="s">
        <v>29</v>
      </c>
      <c r="P1" s="11" t="s">
        <v>30</v>
      </c>
      <c r="Q1" s="12" t="s">
        <v>31</v>
      </c>
      <c r="R1" s="12" t="s">
        <v>32</v>
      </c>
      <c r="S1" s="13" t="s">
        <v>33</v>
      </c>
      <c r="T1" s="10" t="s">
        <v>34</v>
      </c>
      <c r="U1" s="10" t="s">
        <v>35</v>
      </c>
      <c r="V1" s="6" t="s">
        <v>36</v>
      </c>
      <c r="W1" s="14" t="s">
        <v>37</v>
      </c>
      <c r="X1" s="15" t="s">
        <v>38</v>
      </c>
      <c r="Y1" s="6" t="s">
        <v>39</v>
      </c>
      <c r="Z1" s="16" t="s">
        <v>40</v>
      </c>
      <c r="AA1" s="16" t="s">
        <v>41</v>
      </c>
      <c r="AB1" s="6" t="s">
        <v>42</v>
      </c>
      <c r="AC1" s="6" t="s">
        <v>43</v>
      </c>
      <c r="AD1" s="17" t="s">
        <v>44</v>
      </c>
      <c r="AE1" s="6" t="s">
        <v>45</v>
      </c>
      <c r="AF1" s="6" t="s">
        <v>46</v>
      </c>
      <c r="AG1" s="14" t="s">
        <v>47</v>
      </c>
      <c r="AH1" s="14" t="s">
        <v>48</v>
      </c>
    </row>
    <row r="2" spans="1:34" x14ac:dyDescent="0.35">
      <c r="A2" s="18">
        <v>45952</v>
      </c>
      <c r="B2" s="19" t="s">
        <v>51</v>
      </c>
      <c r="C2" s="20" t="s">
        <v>52</v>
      </c>
      <c r="D2" s="20" t="s">
        <v>11</v>
      </c>
      <c r="E2" s="20">
        <v>212</v>
      </c>
      <c r="F2" s="21" t="s">
        <v>53</v>
      </c>
      <c r="G2" s="22" t="s">
        <v>54</v>
      </c>
      <c r="H2" s="22">
        <v>1840</v>
      </c>
      <c r="I2" s="22" t="s">
        <v>55</v>
      </c>
      <c r="J2" s="20">
        <v>1.1471</v>
      </c>
      <c r="K2" s="20"/>
      <c r="L2" s="23">
        <v>2193</v>
      </c>
      <c r="M2" s="20">
        <v>1.206</v>
      </c>
      <c r="N2" s="23">
        <v>1.233738</v>
      </c>
      <c r="O2" s="24">
        <v>2.3E-2</v>
      </c>
      <c r="P2" s="25">
        <v>2421.5</v>
      </c>
      <c r="Q2" s="26">
        <v>1.0667034724517297</v>
      </c>
      <c r="R2" s="26">
        <v>5.1346874727573821E-2</v>
      </c>
      <c r="S2" s="27">
        <v>1.1041951664386684</v>
      </c>
      <c r="T2" s="28">
        <v>1962.7343893111827</v>
      </c>
      <c r="U2" s="29" t="s">
        <v>56</v>
      </c>
      <c r="V2" s="29" t="s">
        <v>57</v>
      </c>
      <c r="W2" s="30">
        <v>1.1041951664386684</v>
      </c>
      <c r="X2" s="31" t="s">
        <v>58</v>
      </c>
      <c r="Y2" s="32" t="s">
        <v>59</v>
      </c>
      <c r="Z2" s="33"/>
      <c r="AA2" s="33"/>
      <c r="AB2" s="20"/>
      <c r="AC2" s="34">
        <v>0</v>
      </c>
      <c r="AD2" s="35" t="s">
        <v>58</v>
      </c>
      <c r="AE2" s="34"/>
      <c r="AF2" s="34" t="e">
        <v>#N/A</v>
      </c>
      <c r="AG2" s="30" t="s">
        <v>58</v>
      </c>
      <c r="AH2" s="30" t="s">
        <v>60</v>
      </c>
    </row>
    <row r="3" spans="1:34" x14ac:dyDescent="0.35">
      <c r="A3" s="18">
        <v>45952</v>
      </c>
      <c r="B3" s="19" t="s">
        <v>51</v>
      </c>
      <c r="C3" s="20" t="s">
        <v>52</v>
      </c>
      <c r="D3" s="20" t="s">
        <v>11</v>
      </c>
      <c r="E3" s="20">
        <v>440</v>
      </c>
      <c r="F3" s="21" t="s">
        <v>12</v>
      </c>
      <c r="G3" s="22" t="s">
        <v>54</v>
      </c>
      <c r="H3" s="22">
        <v>3249</v>
      </c>
      <c r="I3" s="22" t="s">
        <v>55</v>
      </c>
      <c r="J3" s="20">
        <v>1.1431</v>
      </c>
      <c r="K3" s="20"/>
      <c r="L3" s="23">
        <v>3835</v>
      </c>
      <c r="M3" s="20">
        <v>1.1216999999999999</v>
      </c>
      <c r="N3" s="23">
        <v>1.1474990999999999</v>
      </c>
      <c r="O3" s="24">
        <v>2.3E-2</v>
      </c>
      <c r="P3" s="25">
        <v>3939.5</v>
      </c>
      <c r="Q3" s="26">
        <v>1.0566691785322504</v>
      </c>
      <c r="R3" s="26">
        <v>-1.8721021782871161E-2</v>
      </c>
      <c r="S3" s="27">
        <v>1.0272490221642765</v>
      </c>
      <c r="T3" s="28">
        <v>3433.1181610512813</v>
      </c>
      <c r="U3" s="29" t="s">
        <v>56</v>
      </c>
      <c r="V3" s="29" t="s">
        <v>57</v>
      </c>
      <c r="W3" s="30">
        <v>1.0272490221642765</v>
      </c>
      <c r="X3" s="31" t="s">
        <v>58</v>
      </c>
      <c r="Y3" s="32" t="s">
        <v>59</v>
      </c>
      <c r="Z3" s="33"/>
      <c r="AA3" s="33"/>
      <c r="AB3" s="20"/>
      <c r="AC3" s="34">
        <v>0</v>
      </c>
      <c r="AD3" s="35" t="s">
        <v>58</v>
      </c>
      <c r="AE3" s="34"/>
      <c r="AF3" s="34" t="e">
        <v>#N/A</v>
      </c>
      <c r="AG3" s="30" t="s">
        <v>58</v>
      </c>
      <c r="AH3" s="30" t="s">
        <v>60</v>
      </c>
    </row>
    <row r="4" spans="1:34" x14ac:dyDescent="0.35">
      <c r="A4" s="18">
        <v>45952</v>
      </c>
      <c r="B4" s="19" t="s">
        <v>51</v>
      </c>
      <c r="C4" s="20" t="s">
        <v>52</v>
      </c>
      <c r="D4" s="20" t="s">
        <v>61</v>
      </c>
      <c r="E4" s="20">
        <v>212</v>
      </c>
      <c r="F4" s="21" t="s">
        <v>62</v>
      </c>
      <c r="G4" s="22" t="s">
        <v>54</v>
      </c>
      <c r="H4" s="22">
        <v>1840</v>
      </c>
      <c r="I4" s="22" t="s">
        <v>55</v>
      </c>
      <c r="J4" s="20">
        <v>0.15440000000000001</v>
      </c>
      <c r="K4" s="20"/>
      <c r="L4" s="23">
        <v>302</v>
      </c>
      <c r="M4" s="20">
        <v>0.1353</v>
      </c>
      <c r="N4" s="23">
        <v>0.1384119</v>
      </c>
      <c r="O4" s="24">
        <v>2.3E-2</v>
      </c>
      <c r="P4" s="36">
        <v>312.5</v>
      </c>
      <c r="Q4" s="26">
        <v>1.2270401354344469</v>
      </c>
      <c r="R4" s="26">
        <v>-0.12370466321243523</v>
      </c>
      <c r="S4" s="27">
        <v>1.0347682119205297</v>
      </c>
      <c r="T4" s="28">
        <v>2257.7538491993823</v>
      </c>
      <c r="U4" s="29" t="s">
        <v>56</v>
      </c>
      <c r="V4" s="29" t="s">
        <v>57</v>
      </c>
      <c r="W4" s="30">
        <v>1.0347682119205297</v>
      </c>
      <c r="X4" s="31" t="s">
        <v>58</v>
      </c>
      <c r="Y4" s="32" t="s">
        <v>59</v>
      </c>
      <c r="Z4" s="33"/>
      <c r="AA4" s="33"/>
      <c r="AB4" s="20"/>
      <c r="AC4" s="34">
        <v>0</v>
      </c>
      <c r="AD4" s="35" t="s">
        <v>58</v>
      </c>
      <c r="AE4" s="34"/>
      <c r="AF4" s="34" t="e">
        <v>#N/A</v>
      </c>
      <c r="AG4" s="30" t="s">
        <v>58</v>
      </c>
      <c r="AH4" s="30" t="s">
        <v>60</v>
      </c>
    </row>
    <row r="5" spans="1:34" x14ac:dyDescent="0.35">
      <c r="A5" s="18">
        <v>45952</v>
      </c>
      <c r="B5" s="19" t="s">
        <v>51</v>
      </c>
      <c r="C5" s="20" t="s">
        <v>52</v>
      </c>
      <c r="D5" s="20" t="s">
        <v>61</v>
      </c>
      <c r="E5" s="20">
        <v>440</v>
      </c>
      <c r="F5" s="21" t="s">
        <v>62</v>
      </c>
      <c r="G5" s="22" t="s">
        <v>54</v>
      </c>
      <c r="H5" s="22">
        <v>3249</v>
      </c>
      <c r="I5" s="22" t="s">
        <v>55</v>
      </c>
      <c r="J5" s="20">
        <v>0.15440000000000001</v>
      </c>
      <c r="K5" s="20"/>
      <c r="L5" s="23">
        <v>525</v>
      </c>
      <c r="M5" s="20">
        <v>0.1353</v>
      </c>
      <c r="N5" s="23">
        <v>0.1384119</v>
      </c>
      <c r="O5" s="24">
        <v>2.3E-2</v>
      </c>
      <c r="P5" s="36">
        <v>540.5</v>
      </c>
      <c r="Q5" s="26">
        <v>1.2019116828486462</v>
      </c>
      <c r="R5" s="26">
        <v>-0.12370466321243523</v>
      </c>
      <c r="S5" s="27">
        <v>1.0295238095238095</v>
      </c>
      <c r="T5" s="28">
        <v>3905.0110575752519</v>
      </c>
      <c r="U5" s="29" t="s">
        <v>56</v>
      </c>
      <c r="V5" s="29" t="s">
        <v>57</v>
      </c>
      <c r="W5" s="30">
        <v>1.0295238095238095</v>
      </c>
      <c r="X5" s="31" t="s">
        <v>58</v>
      </c>
      <c r="Y5" s="32" t="s">
        <v>59</v>
      </c>
      <c r="Z5" s="33"/>
      <c r="AA5" s="33"/>
      <c r="AB5" s="20"/>
      <c r="AC5" s="34">
        <v>0</v>
      </c>
      <c r="AD5" s="35" t="s">
        <v>58</v>
      </c>
      <c r="AE5" s="34"/>
      <c r="AF5" s="34" t="e">
        <v>#N/A</v>
      </c>
      <c r="AG5" s="30" t="s">
        <v>58</v>
      </c>
      <c r="AH5" s="30" t="s">
        <v>60</v>
      </c>
    </row>
    <row r="6" spans="1:34" ht="43.5" x14ac:dyDescent="0.35">
      <c r="A6" s="18">
        <v>45952</v>
      </c>
      <c r="B6" s="19" t="s">
        <v>51</v>
      </c>
      <c r="C6" s="20" t="s">
        <v>52</v>
      </c>
      <c r="D6" s="20" t="s">
        <v>63</v>
      </c>
      <c r="E6" s="20">
        <v>212</v>
      </c>
      <c r="F6" s="21" t="s">
        <v>64</v>
      </c>
      <c r="G6" s="22" t="s">
        <v>54</v>
      </c>
      <c r="H6" s="22">
        <v>1840</v>
      </c>
      <c r="I6" s="22" t="s">
        <v>55</v>
      </c>
      <c r="J6" s="20">
        <v>6.2899999999999998E-2</v>
      </c>
      <c r="K6" s="20"/>
      <c r="L6" s="23">
        <v>129</v>
      </c>
      <c r="M6" s="20">
        <v>6.9099999999999995E-2</v>
      </c>
      <c r="N6" s="23">
        <v>7.0689299999999997E-2</v>
      </c>
      <c r="O6" s="24">
        <v>2.3E-2</v>
      </c>
      <c r="P6" s="36">
        <v>165.5</v>
      </c>
      <c r="Q6" s="26">
        <v>1.2724083018775549</v>
      </c>
      <c r="R6" s="26">
        <v>9.856915739268679E-2</v>
      </c>
      <c r="S6" s="27">
        <v>1.2829457364341086</v>
      </c>
      <c r="T6" s="28">
        <v>2341.2312754547011</v>
      </c>
      <c r="U6" s="29" t="s">
        <v>56</v>
      </c>
      <c r="V6" s="29" t="s">
        <v>57</v>
      </c>
      <c r="W6" s="30">
        <v>1.2829457364341086</v>
      </c>
      <c r="X6" s="31" t="s">
        <v>58</v>
      </c>
      <c r="Y6" s="32" t="s">
        <v>59</v>
      </c>
      <c r="Z6" s="33"/>
      <c r="AA6" s="33"/>
      <c r="AB6" s="20"/>
      <c r="AC6" s="34">
        <v>0</v>
      </c>
      <c r="AD6" s="35" t="s">
        <v>58</v>
      </c>
      <c r="AE6" s="34"/>
      <c r="AF6" s="34" t="e">
        <v>#N/A</v>
      </c>
      <c r="AG6" s="30" t="s">
        <v>58</v>
      </c>
      <c r="AH6" s="30" t="s">
        <v>60</v>
      </c>
    </row>
    <row r="7" spans="1:34" ht="29" x14ac:dyDescent="0.35">
      <c r="A7" s="18">
        <v>45952</v>
      </c>
      <c r="B7" s="19" t="s">
        <v>51</v>
      </c>
      <c r="C7" s="20" t="s">
        <v>52</v>
      </c>
      <c r="D7" s="20" t="s">
        <v>63</v>
      </c>
      <c r="E7" s="20">
        <v>440</v>
      </c>
      <c r="F7" s="21" t="s">
        <v>65</v>
      </c>
      <c r="G7" s="22" t="s">
        <v>54</v>
      </c>
      <c r="H7" s="22">
        <v>3249</v>
      </c>
      <c r="I7" s="22" t="s">
        <v>55</v>
      </c>
      <c r="J7" s="20">
        <v>6.2899999999999998E-2</v>
      </c>
      <c r="K7" s="20"/>
      <c r="L7" s="23">
        <v>221</v>
      </c>
      <c r="M7" s="20">
        <v>6.2300000000000001E-2</v>
      </c>
      <c r="N7" s="23">
        <v>6.3732899999999995E-2</v>
      </c>
      <c r="O7" s="24">
        <v>2.3E-2</v>
      </c>
      <c r="P7" s="36">
        <v>227.5</v>
      </c>
      <c r="Q7" s="26">
        <v>1.0986718804698543</v>
      </c>
      <c r="R7" s="26">
        <v>-9.5389507154212128E-3</v>
      </c>
      <c r="S7" s="27">
        <v>1.0294117647058822</v>
      </c>
      <c r="T7" s="28">
        <v>3569.5849396465564</v>
      </c>
      <c r="U7" s="29" t="s">
        <v>56</v>
      </c>
      <c r="V7" s="29" t="s">
        <v>57</v>
      </c>
      <c r="W7" s="30">
        <v>1.0294117647058822</v>
      </c>
      <c r="X7" s="31" t="s">
        <v>58</v>
      </c>
      <c r="Y7" s="32" t="s">
        <v>59</v>
      </c>
      <c r="Z7" s="33"/>
      <c r="AA7" s="33"/>
      <c r="AB7" s="20"/>
      <c r="AC7" s="34">
        <v>0</v>
      </c>
      <c r="AD7" s="35" t="s">
        <v>58</v>
      </c>
      <c r="AE7" s="34"/>
      <c r="AF7" s="34" t="e">
        <v>#N/A</v>
      </c>
      <c r="AG7" s="30" t="s">
        <v>58</v>
      </c>
      <c r="AH7" s="30" t="s">
        <v>60</v>
      </c>
    </row>
  </sheetData>
  <conditionalFormatting sqref="Q1:Q7">
    <cfRule type="cellIs" dxfId="10" priority="4" operator="lessThan">
      <formula>1.01</formula>
    </cfRule>
  </conditionalFormatting>
  <conditionalFormatting sqref="R1:R7">
    <cfRule type="cellIs" dxfId="9" priority="6" operator="greaterThan">
      <formula>0</formula>
    </cfRule>
    <cfRule type="cellIs" dxfId="8" priority="7" operator="greaterThan">
      <formula>0</formula>
    </cfRule>
  </conditionalFormatting>
  <conditionalFormatting sqref="R1:R7">
    <cfRule type="cellIs" dxfId="7" priority="8" operator="greaterThan">
      <formula>0</formula>
    </cfRule>
    <cfRule type="cellIs" dxfId="6" priority="9" operator="greaterThan">
      <formula>0</formula>
    </cfRule>
    <cfRule type="cellIs" dxfId="5" priority="10" operator="greaterThan">
      <formula>0</formula>
    </cfRule>
  </conditionalFormatting>
  <conditionalFormatting sqref="AC1:AC7">
    <cfRule type="cellIs" dxfId="4" priority="5" operator="lessThan">
      <formula>1</formula>
    </cfRule>
  </conditionalFormatting>
  <conditionalFormatting sqref="S2:S7">
    <cfRule type="cellIs" dxfId="3" priority="2" operator="lessThan">
      <formula>1.01</formula>
    </cfRule>
  </conditionalFormatting>
  <conditionalFormatting sqref="Z2:AB7">
    <cfRule type="expression" dxfId="2" priority="1" stopIfTrue="1">
      <formula>$AB2="D"</formula>
    </cfRule>
  </conditionalFormatting>
  <conditionalFormatting sqref="AC2:AC7">
    <cfRule type="cellIs" dxfId="1" priority="3" operator="greaterThan">
      <formula>1.06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3055B-F819-4CAF-9711-78868CB85F7E}">
  <sheetPr codeName="Sheet3">
    <tabColor theme="9"/>
  </sheetPr>
  <dimension ref="A1:AN61"/>
  <sheetViews>
    <sheetView zoomScale="40" zoomScaleNormal="40" workbookViewId="0">
      <selection sqref="A1:W11"/>
    </sheetView>
  </sheetViews>
  <sheetFormatPr defaultRowHeight="14.5" x14ac:dyDescent="0.35"/>
  <sheetData>
    <row r="1" spans="1:40" ht="17.25" customHeight="1" x14ac:dyDescent="0.35">
      <c r="A1" s="156" t="s">
        <v>2332</v>
      </c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56"/>
      <c r="Q1" s="156"/>
      <c r="R1" s="156"/>
      <c r="S1" s="156"/>
      <c r="T1" s="156"/>
      <c r="U1" s="156"/>
      <c r="V1" s="156"/>
      <c r="W1" s="156"/>
    </row>
    <row r="2" spans="1:40" x14ac:dyDescent="0.35">
      <c r="A2" s="157"/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</row>
    <row r="3" spans="1:40" x14ac:dyDescent="0.35">
      <c r="A3" s="158"/>
      <c r="B3" s="158"/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8"/>
      <c r="R3" s="158"/>
      <c r="S3" s="158"/>
      <c r="T3" s="158"/>
      <c r="U3" s="158"/>
      <c r="V3" s="158"/>
      <c r="W3" s="158"/>
    </row>
    <row r="4" spans="1:40" ht="14.5" customHeight="1" x14ac:dyDescent="0.35">
      <c r="A4" s="154" t="s">
        <v>2333</v>
      </c>
      <c r="B4" s="154" t="s">
        <v>156</v>
      </c>
      <c r="C4" s="154" t="s">
        <v>66</v>
      </c>
      <c r="D4" s="154" t="s">
        <v>67</v>
      </c>
      <c r="E4" s="154" t="s">
        <v>2334</v>
      </c>
      <c r="F4" s="154" t="s">
        <v>68</v>
      </c>
      <c r="G4" s="159" t="s">
        <v>2335</v>
      </c>
      <c r="H4" s="160"/>
      <c r="I4" s="161"/>
      <c r="J4" s="154" t="s">
        <v>2336</v>
      </c>
      <c r="K4" s="154" t="s">
        <v>2337</v>
      </c>
      <c r="L4" s="154" t="s">
        <v>69</v>
      </c>
      <c r="M4" s="154" t="s">
        <v>2338</v>
      </c>
      <c r="N4" s="154" t="s">
        <v>2339</v>
      </c>
      <c r="O4" s="154" t="s">
        <v>70</v>
      </c>
      <c r="P4" s="154" t="s">
        <v>2340</v>
      </c>
      <c r="Q4" s="154" t="s">
        <v>71</v>
      </c>
      <c r="R4" s="154" t="s">
        <v>72</v>
      </c>
      <c r="S4" s="154" t="s">
        <v>2341</v>
      </c>
      <c r="T4" s="154" t="s">
        <v>2342</v>
      </c>
      <c r="U4" s="154" t="s">
        <v>73</v>
      </c>
      <c r="V4" s="154" t="s">
        <v>74</v>
      </c>
      <c r="W4" s="154" t="s">
        <v>75</v>
      </c>
      <c r="X4" s="118"/>
      <c r="Y4" s="118"/>
      <c r="Z4" s="118"/>
      <c r="AA4" s="118"/>
      <c r="AE4" s="118"/>
      <c r="AF4" s="118"/>
      <c r="AG4" s="118"/>
      <c r="AH4" s="118"/>
      <c r="AI4" s="118"/>
      <c r="AJ4" s="118"/>
      <c r="AK4" s="118"/>
      <c r="AL4" s="118"/>
      <c r="AM4" s="118"/>
      <c r="AN4" s="118"/>
    </row>
    <row r="5" spans="1:40" x14ac:dyDescent="0.35">
      <c r="A5" s="155"/>
      <c r="B5" s="155"/>
      <c r="C5" s="155"/>
      <c r="D5" s="155"/>
      <c r="E5" s="155"/>
      <c r="F5" s="155"/>
      <c r="G5" s="131" t="s">
        <v>76</v>
      </c>
      <c r="H5" s="131" t="s">
        <v>77</v>
      </c>
      <c r="I5" s="131" t="s">
        <v>78</v>
      </c>
      <c r="J5" s="155"/>
      <c r="K5" s="155"/>
      <c r="L5" s="155"/>
      <c r="M5" s="155"/>
      <c r="N5" s="155"/>
      <c r="O5" s="155"/>
      <c r="P5" s="155"/>
      <c r="Q5" s="155"/>
      <c r="R5" s="155"/>
      <c r="S5" s="155"/>
      <c r="T5" s="155"/>
      <c r="U5" s="155"/>
      <c r="V5" s="155"/>
      <c r="W5" s="155"/>
      <c r="AD5" s="118"/>
    </row>
    <row r="6" spans="1:40" ht="46" x14ac:dyDescent="0.35">
      <c r="A6" s="38" t="s">
        <v>2343</v>
      </c>
      <c r="B6" s="38" t="s">
        <v>2344</v>
      </c>
      <c r="C6" s="38" t="s">
        <v>2319</v>
      </c>
      <c r="D6" s="39" t="s">
        <v>2318</v>
      </c>
      <c r="E6" s="38"/>
      <c r="F6" s="38">
        <v>2001</v>
      </c>
      <c r="G6" s="40">
        <v>4.26</v>
      </c>
      <c r="H6" s="40">
        <v>4</v>
      </c>
      <c r="I6" s="40">
        <v>9.3699999999999992</v>
      </c>
      <c r="J6" s="38"/>
      <c r="K6" s="38"/>
      <c r="L6" s="39">
        <v>100</v>
      </c>
      <c r="M6" s="39">
        <v>6</v>
      </c>
      <c r="N6" s="39">
        <v>2033.37</v>
      </c>
      <c r="O6" s="39">
        <v>600</v>
      </c>
      <c r="P6" s="40">
        <v>992983</v>
      </c>
      <c r="Q6" s="39">
        <v>426.03</v>
      </c>
      <c r="R6" s="39">
        <v>439.66</v>
      </c>
      <c r="S6" s="40">
        <v>65.5</v>
      </c>
      <c r="T6" s="38" t="s">
        <v>2320</v>
      </c>
      <c r="U6" s="40" t="s">
        <v>2331</v>
      </c>
      <c r="V6" s="38" t="s">
        <v>2345</v>
      </c>
      <c r="W6" s="38" t="s">
        <v>2346</v>
      </c>
      <c r="X6" s="118"/>
      <c r="Y6" s="118"/>
      <c r="AA6" s="118"/>
      <c r="AD6" s="118"/>
      <c r="AG6" s="118"/>
      <c r="AH6" s="118"/>
      <c r="AI6" s="118"/>
      <c r="AJ6" s="118"/>
      <c r="AK6" s="118"/>
      <c r="AL6" s="118"/>
      <c r="AM6" s="118"/>
      <c r="AN6" s="118"/>
    </row>
    <row r="7" spans="1:40" ht="46" x14ac:dyDescent="0.35">
      <c r="A7" s="38" t="s">
        <v>2343</v>
      </c>
      <c r="B7" s="38" t="s">
        <v>2344</v>
      </c>
      <c r="C7" s="38" t="s">
        <v>2319</v>
      </c>
      <c r="D7" s="39" t="s">
        <v>2318</v>
      </c>
      <c r="E7" s="38"/>
      <c r="F7" s="38">
        <v>2002</v>
      </c>
      <c r="G7" s="40">
        <v>4.26</v>
      </c>
      <c r="H7" s="40">
        <v>4</v>
      </c>
      <c r="I7" s="40">
        <v>9.3699999999999992</v>
      </c>
      <c r="J7" s="38"/>
      <c r="K7" s="38"/>
      <c r="L7" s="39">
        <v>100</v>
      </c>
      <c r="M7" s="39">
        <v>6</v>
      </c>
      <c r="N7" s="39">
        <v>2033.37</v>
      </c>
      <c r="O7" s="39">
        <v>600</v>
      </c>
      <c r="P7" s="40">
        <v>992983</v>
      </c>
      <c r="Q7" s="39">
        <v>426.03</v>
      </c>
      <c r="R7" s="39">
        <v>439.66</v>
      </c>
      <c r="S7" s="40">
        <v>65.5</v>
      </c>
      <c r="T7" s="38" t="s">
        <v>2320</v>
      </c>
      <c r="U7" s="40" t="s">
        <v>2331</v>
      </c>
      <c r="V7" s="38" t="s">
        <v>2345</v>
      </c>
      <c r="W7" s="38" t="s">
        <v>2346</v>
      </c>
      <c r="X7" s="118"/>
      <c r="Y7" s="118"/>
      <c r="AA7" s="118"/>
      <c r="AD7" s="118"/>
      <c r="AG7" s="118"/>
      <c r="AH7" s="118"/>
      <c r="AI7" s="118"/>
      <c r="AJ7" s="118"/>
      <c r="AK7" s="118"/>
      <c r="AL7" s="118"/>
      <c r="AM7" s="118"/>
      <c r="AN7" s="118"/>
    </row>
    <row r="8" spans="1:40" ht="46" x14ac:dyDescent="0.35">
      <c r="A8" s="38" t="s">
        <v>2343</v>
      </c>
      <c r="B8" s="38" t="s">
        <v>2344</v>
      </c>
      <c r="C8" s="38" t="s">
        <v>2319</v>
      </c>
      <c r="D8" s="39" t="s">
        <v>2318</v>
      </c>
      <c r="E8" s="38"/>
      <c r="F8" s="38">
        <v>2003</v>
      </c>
      <c r="G8" s="40">
        <v>4.26</v>
      </c>
      <c r="H8" s="40">
        <v>4</v>
      </c>
      <c r="I8" s="40">
        <v>9.3699999999999992</v>
      </c>
      <c r="J8" s="38"/>
      <c r="K8" s="38"/>
      <c r="L8" s="39">
        <v>4</v>
      </c>
      <c r="M8" s="39">
        <v>6</v>
      </c>
      <c r="N8" s="39">
        <v>2033.37</v>
      </c>
      <c r="O8" s="39">
        <v>24</v>
      </c>
      <c r="P8" s="40">
        <v>992983</v>
      </c>
      <c r="Q8" s="39">
        <v>17.04</v>
      </c>
      <c r="R8" s="39">
        <v>17.59</v>
      </c>
      <c r="S8" s="40">
        <v>65.5</v>
      </c>
      <c r="T8" s="38" t="s">
        <v>2320</v>
      </c>
      <c r="U8" s="40" t="s">
        <v>2331</v>
      </c>
      <c r="V8" s="38" t="s">
        <v>2345</v>
      </c>
      <c r="W8" s="38" t="s">
        <v>2346</v>
      </c>
      <c r="X8" s="118"/>
      <c r="Y8" s="118"/>
      <c r="AA8" s="118"/>
      <c r="AD8" s="118"/>
      <c r="AG8" s="118"/>
      <c r="AH8" s="118"/>
      <c r="AI8" s="118"/>
      <c r="AJ8" s="118"/>
      <c r="AK8" s="118"/>
      <c r="AL8" s="118"/>
      <c r="AM8" s="118"/>
      <c r="AN8" s="118"/>
    </row>
    <row r="9" spans="1:40" ht="46" x14ac:dyDescent="0.35">
      <c r="A9" s="38" t="s">
        <v>2343</v>
      </c>
      <c r="B9" s="38" t="s">
        <v>2344</v>
      </c>
      <c r="C9" s="38" t="s">
        <v>2319</v>
      </c>
      <c r="D9" s="39" t="s">
        <v>2323</v>
      </c>
      <c r="E9" s="38"/>
      <c r="F9" s="38">
        <v>2004</v>
      </c>
      <c r="G9" s="40">
        <v>4.26</v>
      </c>
      <c r="H9" s="40">
        <v>4</v>
      </c>
      <c r="I9" s="40">
        <v>9.3699999999999992</v>
      </c>
      <c r="J9" s="38"/>
      <c r="K9" s="38"/>
      <c r="L9" s="39">
        <v>100</v>
      </c>
      <c r="M9" s="39">
        <v>6</v>
      </c>
      <c r="N9" s="39">
        <v>2033.37</v>
      </c>
      <c r="O9" s="39">
        <v>600</v>
      </c>
      <c r="P9" s="40">
        <v>992984</v>
      </c>
      <c r="Q9" s="39">
        <v>426.03</v>
      </c>
      <c r="R9" s="39">
        <v>439.66</v>
      </c>
      <c r="S9" s="40">
        <v>65.5</v>
      </c>
      <c r="T9" s="38" t="s">
        <v>2320</v>
      </c>
      <c r="U9" s="40" t="s">
        <v>2330</v>
      </c>
      <c r="V9" s="38" t="s">
        <v>2345</v>
      </c>
      <c r="W9" s="38" t="s">
        <v>2346</v>
      </c>
      <c r="X9" s="118"/>
      <c r="Y9" s="118"/>
      <c r="AA9" s="118"/>
      <c r="AD9" s="118"/>
      <c r="AG9" s="118"/>
      <c r="AH9" s="118"/>
      <c r="AI9" s="118"/>
      <c r="AJ9" s="118"/>
      <c r="AK9" s="118"/>
      <c r="AL9" s="118"/>
      <c r="AM9" s="118"/>
      <c r="AN9" s="118"/>
    </row>
    <row r="10" spans="1:40" ht="46" x14ac:dyDescent="0.35">
      <c r="A10" s="38" t="s">
        <v>2343</v>
      </c>
      <c r="B10" s="38" t="s">
        <v>2344</v>
      </c>
      <c r="C10" s="38" t="s">
        <v>2319</v>
      </c>
      <c r="D10" s="39" t="s">
        <v>2323</v>
      </c>
      <c r="E10" s="38"/>
      <c r="F10" s="38">
        <v>2005</v>
      </c>
      <c r="G10" s="40">
        <v>4.26</v>
      </c>
      <c r="H10" s="40">
        <v>4</v>
      </c>
      <c r="I10" s="40">
        <v>9.3699999999999992</v>
      </c>
      <c r="J10" s="38"/>
      <c r="K10" s="38"/>
      <c r="L10" s="39">
        <v>100</v>
      </c>
      <c r="M10" s="39">
        <v>6</v>
      </c>
      <c r="N10" s="39">
        <v>2033.37</v>
      </c>
      <c r="O10" s="39">
        <v>600</v>
      </c>
      <c r="P10" s="40">
        <v>992984</v>
      </c>
      <c r="Q10" s="39">
        <v>426.03</v>
      </c>
      <c r="R10" s="39">
        <v>439.66</v>
      </c>
      <c r="S10" s="40">
        <v>65.5</v>
      </c>
      <c r="T10" s="38" t="s">
        <v>2320</v>
      </c>
      <c r="U10" s="40" t="s">
        <v>2330</v>
      </c>
      <c r="V10" s="38" t="s">
        <v>2345</v>
      </c>
      <c r="W10" s="38" t="s">
        <v>2346</v>
      </c>
      <c r="X10" s="118"/>
      <c r="Y10" s="118"/>
      <c r="AA10" s="118"/>
      <c r="AD10" s="118"/>
      <c r="AG10" s="118"/>
      <c r="AH10" s="118"/>
      <c r="AI10" s="118"/>
      <c r="AJ10" s="118"/>
      <c r="AK10" s="118"/>
      <c r="AL10" s="118"/>
      <c r="AM10" s="118"/>
      <c r="AN10" s="118"/>
    </row>
    <row r="11" spans="1:40" ht="46" x14ac:dyDescent="0.35">
      <c r="A11" s="38" t="s">
        <v>2343</v>
      </c>
      <c r="B11" s="38" t="s">
        <v>2344</v>
      </c>
      <c r="C11" s="38" t="s">
        <v>2319</v>
      </c>
      <c r="D11" s="39" t="s">
        <v>2323</v>
      </c>
      <c r="E11" s="38"/>
      <c r="F11" s="38">
        <v>2006</v>
      </c>
      <c r="G11" s="40">
        <v>4.26</v>
      </c>
      <c r="H11" s="40">
        <v>4</v>
      </c>
      <c r="I11" s="40">
        <v>9.3699999999999992</v>
      </c>
      <c r="J11" s="38"/>
      <c r="K11" s="38"/>
      <c r="L11" s="39">
        <v>3</v>
      </c>
      <c r="M11" s="39">
        <v>6</v>
      </c>
      <c r="N11" s="39">
        <v>2033.37</v>
      </c>
      <c r="O11" s="39">
        <v>18</v>
      </c>
      <c r="P11" s="40">
        <v>992984</v>
      </c>
      <c r="Q11" s="39">
        <v>12.78</v>
      </c>
      <c r="R11" s="39">
        <v>13.19</v>
      </c>
      <c r="S11" s="40">
        <v>65.5</v>
      </c>
      <c r="T11" s="38" t="s">
        <v>2320</v>
      </c>
      <c r="U11" s="40" t="s">
        <v>2330</v>
      </c>
      <c r="V11" s="38" t="s">
        <v>2345</v>
      </c>
      <c r="W11" s="38" t="s">
        <v>2346</v>
      </c>
      <c r="X11" s="118"/>
      <c r="Y11" s="118"/>
      <c r="AA11" s="118"/>
      <c r="AD11" s="118"/>
      <c r="AG11" s="118"/>
      <c r="AH11" s="118"/>
      <c r="AI11" s="118"/>
      <c r="AJ11" s="118"/>
      <c r="AK11" s="118"/>
      <c r="AL11" s="118"/>
      <c r="AM11" s="118"/>
      <c r="AN11" s="118"/>
    </row>
    <row r="12" spans="1:40" x14ac:dyDescent="0.35">
      <c r="A12" s="115"/>
      <c r="B12" s="115"/>
      <c r="C12" s="115"/>
      <c r="D12" s="116"/>
      <c r="E12" s="115"/>
      <c r="F12" s="115"/>
      <c r="G12" s="117"/>
      <c r="H12" s="117"/>
      <c r="I12" s="117"/>
      <c r="J12" s="115"/>
      <c r="K12" s="115"/>
      <c r="L12" s="116"/>
      <c r="M12" s="116"/>
      <c r="N12" s="116"/>
      <c r="O12" s="116"/>
      <c r="P12" s="117"/>
      <c r="Q12" s="116"/>
      <c r="R12" s="116"/>
      <c r="S12" s="117"/>
      <c r="T12" s="115"/>
      <c r="U12" s="117"/>
      <c r="V12" s="115"/>
      <c r="W12" s="115"/>
      <c r="X12" s="118"/>
      <c r="Y12" s="118"/>
      <c r="AA12" s="118"/>
      <c r="AD12" s="118"/>
      <c r="AG12" s="118"/>
      <c r="AH12" s="118"/>
      <c r="AI12" s="118"/>
      <c r="AJ12" s="118"/>
      <c r="AK12" s="118"/>
      <c r="AL12" s="118"/>
      <c r="AM12" s="118"/>
      <c r="AN12" s="118"/>
    </row>
    <row r="13" spans="1:40" x14ac:dyDescent="0.35">
      <c r="A13" s="115"/>
      <c r="B13" s="115"/>
      <c r="C13" s="115"/>
      <c r="D13" s="116"/>
      <c r="E13" s="115"/>
      <c r="F13" s="115"/>
      <c r="G13" s="117"/>
      <c r="H13" s="117"/>
      <c r="I13" s="117"/>
      <c r="J13" s="115"/>
      <c r="K13" s="115"/>
      <c r="L13" s="116"/>
      <c r="M13" s="116"/>
      <c r="N13" s="116"/>
      <c r="O13" s="116"/>
      <c r="P13" s="117"/>
      <c r="Q13" s="116"/>
      <c r="R13" s="116"/>
      <c r="S13" s="117"/>
      <c r="T13" s="115"/>
      <c r="U13" s="117"/>
      <c r="V13" s="115"/>
      <c r="W13" s="115"/>
      <c r="X13" s="118"/>
      <c r="Y13" s="118"/>
      <c r="AA13" s="118"/>
      <c r="AD13" s="118"/>
      <c r="AG13" s="118"/>
      <c r="AH13" s="118"/>
      <c r="AJ13" s="118"/>
      <c r="AK13" s="118"/>
      <c r="AL13" s="118"/>
      <c r="AM13" s="118"/>
      <c r="AN13" s="118"/>
    </row>
    <row r="14" spans="1:40" x14ac:dyDescent="0.35">
      <c r="A14" s="119"/>
      <c r="B14" s="119"/>
      <c r="C14" s="119"/>
      <c r="D14" s="120"/>
      <c r="E14" s="115"/>
      <c r="F14" s="119"/>
      <c r="G14" s="117"/>
      <c r="H14" s="117"/>
      <c r="I14" s="121"/>
      <c r="J14" s="115"/>
      <c r="K14" s="115"/>
      <c r="L14" s="120"/>
      <c r="M14" s="120"/>
      <c r="N14" s="116"/>
      <c r="O14" s="120"/>
      <c r="P14" s="121"/>
      <c r="Q14" s="120"/>
      <c r="R14" s="120"/>
      <c r="S14" s="121"/>
      <c r="T14" s="115"/>
      <c r="U14" s="117"/>
      <c r="V14" s="119"/>
      <c r="W14" s="119"/>
      <c r="X14" s="118"/>
      <c r="Y14" s="118"/>
      <c r="AA14" s="118"/>
      <c r="AD14" s="118"/>
      <c r="AG14" s="118"/>
      <c r="AH14" s="118"/>
      <c r="AJ14" s="118"/>
      <c r="AK14" s="118"/>
      <c r="AL14" s="118"/>
      <c r="AM14" s="118"/>
      <c r="AN14" s="118"/>
    </row>
    <row r="15" spans="1:40" x14ac:dyDescent="0.35">
      <c r="A15" s="38"/>
      <c r="B15" s="38"/>
      <c r="C15" s="38"/>
      <c r="D15" s="39"/>
      <c r="E15" s="38"/>
      <c r="F15" s="38"/>
      <c r="G15" s="40"/>
      <c r="H15" s="40"/>
      <c r="I15" s="40"/>
      <c r="J15" s="38"/>
      <c r="K15" s="38"/>
      <c r="L15" s="39"/>
      <c r="M15" s="39"/>
      <c r="N15" s="39"/>
      <c r="O15" s="39"/>
      <c r="P15" s="40"/>
      <c r="Q15" s="39"/>
      <c r="R15" s="39"/>
      <c r="S15" s="40"/>
      <c r="T15" s="38"/>
      <c r="U15" s="40"/>
      <c r="V15" s="38"/>
      <c r="W15" s="38"/>
    </row>
    <row r="16" spans="1:40" x14ac:dyDescent="0.35">
      <c r="A16" s="38"/>
      <c r="B16" s="38"/>
      <c r="C16" s="38"/>
      <c r="D16" s="39"/>
      <c r="E16" s="38"/>
      <c r="F16" s="38"/>
      <c r="G16" s="40"/>
      <c r="H16" s="40"/>
      <c r="I16" s="40"/>
      <c r="J16" s="38"/>
      <c r="K16" s="38"/>
      <c r="L16" s="39"/>
      <c r="M16" s="39"/>
      <c r="N16" s="39"/>
      <c r="O16" s="39"/>
      <c r="P16" s="40"/>
      <c r="Q16" s="39"/>
      <c r="R16" s="39"/>
      <c r="S16" s="40"/>
      <c r="T16" s="38"/>
      <c r="U16" s="40"/>
      <c r="V16" s="38"/>
      <c r="W16" s="38"/>
    </row>
    <row r="17" spans="1:23" x14ac:dyDescent="0.35">
      <c r="A17" s="38"/>
      <c r="B17" s="38"/>
      <c r="C17" s="38"/>
      <c r="D17" s="39"/>
      <c r="E17" s="38"/>
      <c r="F17" s="38"/>
      <c r="G17" s="40"/>
      <c r="H17" s="40"/>
      <c r="I17" s="40"/>
      <c r="J17" s="38"/>
      <c r="K17" s="38"/>
      <c r="L17" s="39"/>
      <c r="M17" s="39"/>
      <c r="N17" s="39"/>
      <c r="O17" s="39"/>
      <c r="P17" s="40"/>
      <c r="Q17" s="39"/>
      <c r="R17" s="39"/>
      <c r="S17" s="40"/>
      <c r="T17" s="38"/>
      <c r="U17" s="40"/>
      <c r="V17" s="38"/>
      <c r="W17" s="38"/>
    </row>
    <row r="18" spans="1:23" x14ac:dyDescent="0.35">
      <c r="A18" s="38"/>
      <c r="B18" s="38"/>
      <c r="C18" s="38"/>
      <c r="D18" s="39"/>
      <c r="E18" s="38"/>
      <c r="F18" s="38"/>
      <c r="G18" s="40"/>
      <c r="H18" s="40"/>
      <c r="I18" s="40"/>
      <c r="J18" s="38"/>
      <c r="K18" s="38"/>
      <c r="L18" s="39"/>
      <c r="M18" s="39"/>
      <c r="N18" s="39"/>
      <c r="O18" s="39"/>
      <c r="P18" s="40"/>
      <c r="Q18" s="39"/>
      <c r="R18" s="39"/>
      <c r="S18" s="40"/>
      <c r="T18" s="38"/>
      <c r="U18" s="40"/>
      <c r="V18" s="38"/>
      <c r="W18" s="38"/>
    </row>
    <row r="19" spans="1:23" x14ac:dyDescent="0.35">
      <c r="A19" s="38"/>
      <c r="B19" s="38"/>
      <c r="C19" s="38"/>
      <c r="D19" s="39"/>
      <c r="E19" s="38"/>
      <c r="F19" s="38"/>
      <c r="G19" s="40"/>
      <c r="H19" s="40"/>
      <c r="I19" s="40"/>
      <c r="J19" s="38"/>
      <c r="K19" s="38"/>
      <c r="L19" s="39"/>
      <c r="M19" s="39"/>
      <c r="N19" s="39"/>
      <c r="O19" s="39"/>
      <c r="P19" s="40"/>
      <c r="Q19" s="39"/>
      <c r="R19" s="39"/>
      <c r="S19" s="40"/>
      <c r="T19" s="38"/>
      <c r="U19" s="40"/>
      <c r="V19" s="38"/>
      <c r="W19" s="38"/>
    </row>
    <row r="20" spans="1:23" x14ac:dyDescent="0.35">
      <c r="A20" s="38"/>
      <c r="B20" s="38"/>
      <c r="C20" s="38"/>
      <c r="D20" s="39"/>
      <c r="E20" s="38"/>
      <c r="F20" s="38"/>
      <c r="G20" s="40"/>
      <c r="H20" s="40"/>
      <c r="I20" s="40"/>
      <c r="J20" s="38"/>
      <c r="K20" s="38"/>
      <c r="L20" s="39"/>
      <c r="M20" s="39"/>
      <c r="N20" s="39"/>
      <c r="O20" s="39"/>
      <c r="P20" s="40"/>
      <c r="Q20" s="39"/>
      <c r="R20" s="39"/>
      <c r="S20" s="40"/>
      <c r="T20" s="38"/>
      <c r="U20" s="40"/>
      <c r="V20" s="38"/>
      <c r="W20" s="38"/>
    </row>
    <row r="21" spans="1:23" x14ac:dyDescent="0.35">
      <c r="A21" s="38"/>
      <c r="B21" s="38"/>
      <c r="C21" s="38"/>
      <c r="D21" s="39"/>
      <c r="E21" s="38"/>
      <c r="F21" s="38"/>
      <c r="G21" s="40"/>
      <c r="H21" s="40"/>
      <c r="I21" s="40"/>
      <c r="J21" s="38"/>
      <c r="K21" s="38"/>
      <c r="L21" s="39"/>
      <c r="M21" s="39"/>
      <c r="N21" s="39"/>
      <c r="O21" s="39"/>
      <c r="P21" s="40"/>
      <c r="Q21" s="39"/>
      <c r="R21" s="39"/>
      <c r="S21" s="40"/>
      <c r="T21" s="38"/>
      <c r="U21" s="40"/>
      <c r="V21" s="38"/>
      <c r="W21" s="38"/>
    </row>
    <row r="22" spans="1:23" x14ac:dyDescent="0.35">
      <c r="A22" s="38"/>
      <c r="B22" s="38"/>
      <c r="C22" s="38"/>
      <c r="D22" s="39"/>
      <c r="E22" s="38"/>
      <c r="F22" s="38"/>
      <c r="G22" s="40"/>
      <c r="H22" s="40"/>
      <c r="I22" s="40"/>
      <c r="J22" s="38"/>
      <c r="K22" s="38"/>
      <c r="L22" s="39"/>
      <c r="M22" s="39"/>
      <c r="N22" s="39"/>
      <c r="O22" s="39"/>
      <c r="P22" s="40"/>
      <c r="Q22" s="39"/>
      <c r="R22" s="39"/>
      <c r="S22" s="40"/>
      <c r="T22" s="38"/>
      <c r="U22" s="40"/>
      <c r="V22" s="38"/>
      <c r="W22" s="38"/>
    </row>
    <row r="23" spans="1:23" x14ac:dyDescent="0.35">
      <c r="A23" s="38"/>
      <c r="B23" s="38"/>
      <c r="C23" s="38"/>
      <c r="D23" s="39"/>
      <c r="E23" s="38"/>
      <c r="F23" s="38"/>
      <c r="G23" s="40"/>
      <c r="H23" s="40"/>
      <c r="I23" s="40"/>
      <c r="J23" s="38"/>
      <c r="K23" s="38"/>
      <c r="L23" s="39"/>
      <c r="M23" s="39"/>
      <c r="N23" s="39"/>
      <c r="O23" s="39"/>
      <c r="P23" s="40"/>
      <c r="Q23" s="39"/>
      <c r="R23" s="39"/>
      <c r="S23" s="40"/>
      <c r="T23" s="38"/>
      <c r="U23" s="40"/>
      <c r="V23" s="38"/>
      <c r="W23" s="38"/>
    </row>
    <row r="24" spans="1:23" x14ac:dyDescent="0.35">
      <c r="A24" s="38"/>
      <c r="B24" s="38"/>
      <c r="C24" s="38"/>
      <c r="D24" s="39"/>
      <c r="E24" s="38"/>
      <c r="F24" s="38"/>
      <c r="G24" s="40"/>
      <c r="H24" s="40"/>
      <c r="I24" s="40"/>
      <c r="J24" s="38"/>
      <c r="K24" s="38"/>
      <c r="L24" s="39"/>
      <c r="M24" s="39"/>
      <c r="N24" s="39"/>
      <c r="O24" s="39"/>
      <c r="P24" s="40"/>
      <c r="Q24" s="39"/>
      <c r="R24" s="39"/>
      <c r="S24" s="40"/>
      <c r="T24" s="38"/>
      <c r="U24" s="40"/>
      <c r="V24" s="38"/>
      <c r="W24" s="38"/>
    </row>
    <row r="25" spans="1:23" x14ac:dyDescent="0.35">
      <c r="A25" s="38"/>
      <c r="B25" s="38"/>
      <c r="C25" s="38"/>
      <c r="D25" s="39"/>
      <c r="E25" s="38"/>
      <c r="F25" s="38"/>
      <c r="G25" s="40"/>
      <c r="H25" s="40"/>
      <c r="I25" s="40"/>
      <c r="J25" s="38"/>
      <c r="K25" s="38"/>
      <c r="L25" s="39"/>
      <c r="M25" s="39"/>
      <c r="N25" s="39"/>
      <c r="O25" s="39"/>
      <c r="P25" s="40"/>
      <c r="Q25" s="39"/>
      <c r="R25" s="39"/>
      <c r="S25" s="40"/>
      <c r="T25" s="38"/>
      <c r="U25" s="40"/>
      <c r="V25" s="38"/>
      <c r="W25" s="38"/>
    </row>
    <row r="26" spans="1:23" x14ac:dyDescent="0.35">
      <c r="A26" s="38"/>
      <c r="B26" s="38"/>
      <c r="C26" s="38"/>
      <c r="D26" s="39"/>
      <c r="E26" s="38"/>
      <c r="F26" s="38"/>
      <c r="G26" s="40"/>
      <c r="H26" s="40"/>
      <c r="I26" s="40"/>
      <c r="J26" s="38"/>
      <c r="K26" s="38"/>
      <c r="L26" s="39"/>
      <c r="M26" s="39"/>
      <c r="N26" s="39"/>
      <c r="O26" s="39"/>
      <c r="P26" s="40"/>
      <c r="Q26" s="39"/>
      <c r="R26" s="39"/>
      <c r="S26" s="40"/>
      <c r="T26" s="38"/>
      <c r="U26" s="40"/>
      <c r="V26" s="38"/>
      <c r="W26" s="38"/>
    </row>
    <row r="27" spans="1:23" x14ac:dyDescent="0.35">
      <c r="A27" s="38"/>
      <c r="B27" s="38"/>
      <c r="C27" s="38"/>
      <c r="D27" s="39"/>
      <c r="E27" s="38"/>
      <c r="F27" s="38"/>
      <c r="G27" s="40"/>
      <c r="H27" s="40"/>
      <c r="I27" s="40"/>
      <c r="J27" s="38"/>
      <c r="K27" s="38"/>
      <c r="L27" s="39"/>
      <c r="M27" s="39"/>
      <c r="N27" s="39"/>
      <c r="O27" s="39"/>
      <c r="P27" s="40"/>
      <c r="Q27" s="39"/>
      <c r="R27" s="39"/>
      <c r="S27" s="40"/>
      <c r="T27" s="38"/>
      <c r="U27" s="40"/>
      <c r="V27" s="38"/>
      <c r="W27" s="38"/>
    </row>
    <row r="28" spans="1:23" x14ac:dyDescent="0.35">
      <c r="A28" s="38"/>
      <c r="B28" s="38"/>
      <c r="C28" s="38"/>
      <c r="D28" s="39"/>
      <c r="E28" s="38"/>
      <c r="F28" s="38"/>
      <c r="G28" s="40"/>
      <c r="H28" s="40"/>
      <c r="I28" s="40"/>
      <c r="J28" s="38"/>
      <c r="K28" s="38"/>
      <c r="L28" s="39"/>
      <c r="M28" s="39"/>
      <c r="N28" s="39"/>
      <c r="O28" s="39"/>
      <c r="P28" s="40"/>
      <c r="Q28" s="39"/>
      <c r="R28" s="39"/>
      <c r="S28" s="40"/>
      <c r="T28" s="38"/>
      <c r="U28" s="40"/>
      <c r="V28" s="38"/>
      <c r="W28" s="38"/>
    </row>
    <row r="29" spans="1:23" x14ac:dyDescent="0.35">
      <c r="A29" s="38"/>
      <c r="B29" s="38"/>
      <c r="C29" s="38"/>
      <c r="D29" s="39"/>
      <c r="E29" s="38"/>
      <c r="F29" s="38"/>
      <c r="G29" s="40"/>
      <c r="H29" s="40"/>
      <c r="I29" s="40"/>
      <c r="J29" s="38"/>
      <c r="K29" s="38"/>
      <c r="L29" s="39"/>
      <c r="M29" s="39"/>
      <c r="N29" s="39"/>
      <c r="O29" s="39"/>
      <c r="P29" s="40"/>
      <c r="Q29" s="39"/>
      <c r="R29" s="39"/>
      <c r="S29" s="40"/>
      <c r="T29" s="38"/>
      <c r="U29" s="40"/>
      <c r="V29" s="38"/>
      <c r="W29" s="38"/>
    </row>
    <row r="30" spans="1:23" x14ac:dyDescent="0.35">
      <c r="A30" s="38"/>
      <c r="B30" s="38"/>
      <c r="C30" s="38"/>
      <c r="D30" s="39"/>
      <c r="E30" s="38"/>
      <c r="F30" s="38"/>
      <c r="G30" s="40"/>
      <c r="H30" s="40"/>
      <c r="I30" s="40"/>
      <c r="J30" s="38"/>
      <c r="K30" s="38"/>
      <c r="L30" s="39"/>
      <c r="M30" s="39"/>
      <c r="N30" s="39"/>
      <c r="O30" s="39"/>
      <c r="P30" s="40"/>
      <c r="Q30" s="39"/>
      <c r="R30" s="39"/>
      <c r="S30" s="40"/>
      <c r="T30" s="38"/>
      <c r="U30" s="40"/>
      <c r="V30" s="38"/>
      <c r="W30" s="38"/>
    </row>
    <row r="31" spans="1:23" x14ac:dyDescent="0.35">
      <c r="A31" s="38"/>
      <c r="B31" s="38"/>
      <c r="C31" s="38"/>
      <c r="D31" s="39"/>
      <c r="E31" s="38"/>
      <c r="F31" s="38"/>
      <c r="G31" s="40"/>
      <c r="H31" s="40"/>
      <c r="I31" s="40"/>
      <c r="J31" s="38"/>
      <c r="K31" s="38"/>
      <c r="L31" s="39"/>
      <c r="M31" s="39"/>
      <c r="N31" s="39"/>
      <c r="O31" s="39"/>
      <c r="P31" s="40"/>
      <c r="Q31" s="39"/>
      <c r="R31" s="39"/>
      <c r="S31" s="40"/>
      <c r="T31" s="38"/>
      <c r="U31" s="40"/>
      <c r="V31" s="38"/>
      <c r="W31" s="38"/>
    </row>
    <row r="32" spans="1:23" x14ac:dyDescent="0.35">
      <c r="A32" s="38"/>
      <c r="B32" s="38"/>
      <c r="C32" s="38"/>
      <c r="D32" s="39"/>
      <c r="E32" s="38"/>
      <c r="F32" s="38"/>
      <c r="G32" s="40"/>
      <c r="H32" s="40"/>
      <c r="I32" s="40"/>
      <c r="J32" s="38"/>
      <c r="K32" s="38"/>
      <c r="L32" s="39"/>
      <c r="M32" s="39"/>
      <c r="N32" s="39"/>
      <c r="O32" s="39"/>
      <c r="P32" s="40"/>
      <c r="Q32" s="39"/>
      <c r="R32" s="39"/>
      <c r="S32" s="40"/>
      <c r="T32" s="38"/>
      <c r="U32" s="40"/>
      <c r="V32" s="38"/>
      <c r="W32" s="38"/>
    </row>
    <row r="33" spans="1:23" x14ac:dyDescent="0.35">
      <c r="A33" s="38"/>
      <c r="B33" s="38"/>
      <c r="C33" s="38"/>
      <c r="D33" s="39"/>
      <c r="E33" s="38"/>
      <c r="F33" s="38"/>
      <c r="G33" s="40"/>
      <c r="H33" s="40"/>
      <c r="I33" s="40"/>
      <c r="J33" s="38"/>
      <c r="K33" s="38"/>
      <c r="L33" s="39"/>
      <c r="M33" s="39"/>
      <c r="N33" s="39"/>
      <c r="O33" s="39"/>
      <c r="P33" s="40"/>
      <c r="Q33" s="39"/>
      <c r="R33" s="39"/>
      <c r="S33" s="40"/>
      <c r="T33" s="38"/>
      <c r="U33" s="40"/>
      <c r="V33" s="38"/>
      <c r="W33" s="38"/>
    </row>
    <row r="34" spans="1:23" x14ac:dyDescent="0.35">
      <c r="A34" s="38"/>
      <c r="B34" s="38"/>
      <c r="C34" s="38"/>
      <c r="D34" s="39"/>
      <c r="E34" s="38"/>
      <c r="F34" s="38"/>
      <c r="G34" s="40"/>
      <c r="H34" s="40"/>
      <c r="I34" s="40"/>
      <c r="J34" s="38"/>
      <c r="K34" s="38"/>
      <c r="L34" s="39"/>
      <c r="M34" s="39"/>
      <c r="N34" s="39"/>
      <c r="O34" s="39"/>
      <c r="P34" s="40"/>
      <c r="Q34" s="39"/>
      <c r="R34" s="39"/>
      <c r="S34" s="40"/>
      <c r="T34" s="38"/>
      <c r="U34" s="40"/>
      <c r="V34" s="38"/>
      <c r="W34" s="38"/>
    </row>
    <row r="35" spans="1:23" x14ac:dyDescent="0.35">
      <c r="A35" s="38"/>
      <c r="B35" s="38"/>
      <c r="C35" s="38"/>
      <c r="D35" s="39"/>
      <c r="E35" s="38"/>
      <c r="F35" s="38"/>
      <c r="G35" s="40"/>
      <c r="H35" s="40"/>
      <c r="I35" s="40"/>
      <c r="J35" s="38"/>
      <c r="K35" s="38"/>
      <c r="L35" s="39"/>
      <c r="M35" s="39"/>
      <c r="N35" s="39"/>
      <c r="O35" s="39"/>
      <c r="P35" s="40"/>
      <c r="Q35" s="39"/>
      <c r="R35" s="39"/>
      <c r="S35" s="40"/>
      <c r="T35" s="38"/>
      <c r="U35" s="40"/>
      <c r="V35" s="38"/>
      <c r="W35" s="38"/>
    </row>
    <row r="36" spans="1:23" x14ac:dyDescent="0.35">
      <c r="A36" s="38"/>
      <c r="B36" s="38"/>
      <c r="C36" s="38"/>
      <c r="D36" s="39"/>
      <c r="E36" s="38"/>
      <c r="F36" s="38"/>
      <c r="G36" s="40"/>
      <c r="H36" s="40"/>
      <c r="I36" s="40"/>
      <c r="J36" s="38"/>
      <c r="K36" s="38"/>
      <c r="L36" s="39"/>
      <c r="M36" s="39"/>
      <c r="N36" s="39"/>
      <c r="O36" s="39"/>
      <c r="P36" s="40"/>
      <c r="Q36" s="39"/>
      <c r="R36" s="39"/>
      <c r="S36" s="40"/>
      <c r="T36" s="38"/>
      <c r="U36" s="40"/>
      <c r="V36" s="38"/>
      <c r="W36" s="38"/>
    </row>
    <row r="37" spans="1:23" x14ac:dyDescent="0.35">
      <c r="A37" s="38"/>
      <c r="B37" s="38"/>
      <c r="C37" s="38"/>
      <c r="D37" s="39"/>
      <c r="E37" s="38"/>
      <c r="F37" s="38"/>
      <c r="G37" s="40"/>
      <c r="H37" s="40"/>
      <c r="I37" s="40"/>
      <c r="J37" s="38"/>
      <c r="K37" s="38"/>
      <c r="L37" s="39"/>
      <c r="M37" s="39"/>
      <c r="N37" s="39"/>
      <c r="O37" s="39"/>
      <c r="P37" s="40"/>
      <c r="Q37" s="39"/>
      <c r="R37" s="39"/>
      <c r="S37" s="40"/>
      <c r="T37" s="38"/>
      <c r="U37" s="40"/>
      <c r="V37" s="38"/>
      <c r="W37" s="38"/>
    </row>
    <row r="38" spans="1:23" x14ac:dyDescent="0.35">
      <c r="A38" s="38"/>
      <c r="B38" s="38"/>
      <c r="C38" s="38"/>
      <c r="D38" s="39"/>
      <c r="E38" s="38"/>
      <c r="F38" s="38"/>
      <c r="G38" s="40"/>
      <c r="H38" s="40"/>
      <c r="I38" s="40"/>
      <c r="J38" s="38"/>
      <c r="K38" s="38"/>
      <c r="L38" s="39"/>
      <c r="M38" s="39"/>
      <c r="N38" s="39"/>
      <c r="O38" s="39"/>
      <c r="P38" s="40"/>
      <c r="Q38" s="39"/>
      <c r="R38" s="39"/>
      <c r="S38" s="40"/>
      <c r="T38" s="38"/>
      <c r="U38" s="40"/>
      <c r="V38" s="38"/>
      <c r="W38" s="38"/>
    </row>
    <row r="39" spans="1:23" x14ac:dyDescent="0.35">
      <c r="A39" s="38"/>
      <c r="B39" s="38"/>
      <c r="C39" s="38"/>
      <c r="D39" s="39"/>
      <c r="E39" s="38"/>
      <c r="F39" s="38"/>
      <c r="G39" s="40"/>
      <c r="H39" s="40"/>
      <c r="I39" s="40"/>
      <c r="J39" s="38"/>
      <c r="K39" s="38"/>
      <c r="L39" s="39"/>
      <c r="M39" s="39"/>
      <c r="N39" s="39"/>
      <c r="O39" s="39"/>
      <c r="P39" s="40"/>
      <c r="Q39" s="39"/>
      <c r="R39" s="39"/>
      <c r="S39" s="40"/>
      <c r="T39" s="38"/>
      <c r="U39" s="40"/>
      <c r="V39" s="38"/>
      <c r="W39" s="38"/>
    </row>
    <row r="40" spans="1:23" x14ac:dyDescent="0.35">
      <c r="A40" s="38"/>
      <c r="B40" s="38"/>
      <c r="C40" s="38"/>
      <c r="D40" s="39"/>
      <c r="E40" s="38"/>
      <c r="F40" s="38"/>
      <c r="G40" s="40"/>
      <c r="H40" s="40"/>
      <c r="I40" s="40"/>
      <c r="J40" s="38"/>
      <c r="K40" s="38"/>
      <c r="L40" s="39"/>
      <c r="M40" s="39"/>
      <c r="N40" s="39"/>
      <c r="O40" s="39"/>
      <c r="P40" s="40"/>
      <c r="Q40" s="39"/>
      <c r="R40" s="39"/>
      <c r="S40" s="40"/>
      <c r="T40" s="38"/>
      <c r="U40" s="40"/>
      <c r="V40" s="38"/>
      <c r="W40" s="38"/>
    </row>
    <row r="41" spans="1:23" x14ac:dyDescent="0.35">
      <c r="A41" s="38"/>
      <c r="B41" s="38"/>
      <c r="C41" s="38"/>
      <c r="D41" s="39"/>
      <c r="E41" s="38"/>
      <c r="F41" s="38"/>
      <c r="G41" s="40"/>
      <c r="H41" s="40"/>
      <c r="I41" s="40"/>
      <c r="J41" s="38"/>
      <c r="K41" s="38"/>
      <c r="L41" s="39"/>
      <c r="M41" s="39"/>
      <c r="N41" s="39"/>
      <c r="O41" s="39"/>
      <c r="P41" s="40"/>
      <c r="Q41" s="39"/>
      <c r="R41" s="39"/>
      <c r="S41" s="40"/>
      <c r="T41" s="38"/>
      <c r="U41" s="40"/>
      <c r="V41" s="38"/>
      <c r="W41" s="38"/>
    </row>
    <row r="42" spans="1:23" x14ac:dyDescent="0.35">
      <c r="A42" s="38"/>
      <c r="B42" s="38"/>
      <c r="C42" s="38"/>
      <c r="D42" s="39"/>
      <c r="E42" s="38"/>
      <c r="F42" s="38"/>
      <c r="G42" s="40"/>
      <c r="H42" s="40"/>
      <c r="I42" s="40"/>
      <c r="J42" s="38"/>
      <c r="K42" s="38"/>
      <c r="L42" s="39"/>
      <c r="M42" s="39"/>
      <c r="N42" s="39"/>
      <c r="O42" s="39"/>
      <c r="P42" s="40"/>
      <c r="Q42" s="39"/>
      <c r="R42" s="39"/>
      <c r="S42" s="40"/>
      <c r="T42" s="38"/>
      <c r="U42" s="40"/>
      <c r="V42" s="38"/>
      <c r="W42" s="38"/>
    </row>
    <row r="43" spans="1:23" x14ac:dyDescent="0.35">
      <c r="A43" s="38"/>
      <c r="B43" s="38"/>
      <c r="C43" s="38"/>
      <c r="D43" s="39"/>
      <c r="E43" s="38"/>
      <c r="F43" s="38"/>
      <c r="G43" s="40"/>
      <c r="H43" s="40"/>
      <c r="I43" s="40"/>
      <c r="J43" s="38"/>
      <c r="K43" s="38"/>
      <c r="L43" s="39"/>
      <c r="M43" s="39"/>
      <c r="N43" s="39"/>
      <c r="O43" s="39"/>
      <c r="P43" s="40"/>
      <c r="Q43" s="39"/>
      <c r="R43" s="39"/>
      <c r="S43" s="40"/>
      <c r="T43" s="38"/>
      <c r="U43" s="40"/>
      <c r="V43" s="38"/>
      <c r="W43" s="38"/>
    </row>
    <row r="44" spans="1:23" x14ac:dyDescent="0.35">
      <c r="A44" s="38"/>
      <c r="B44" s="38"/>
      <c r="C44" s="38"/>
      <c r="D44" s="39"/>
      <c r="E44" s="38"/>
      <c r="F44" s="38"/>
      <c r="G44" s="40"/>
      <c r="H44" s="40"/>
      <c r="I44" s="40"/>
      <c r="J44" s="38"/>
      <c r="K44" s="38"/>
      <c r="L44" s="39"/>
      <c r="M44" s="39"/>
      <c r="N44" s="39"/>
      <c r="O44" s="39"/>
      <c r="P44" s="40"/>
      <c r="Q44" s="39"/>
      <c r="R44" s="39"/>
      <c r="S44" s="40"/>
      <c r="T44" s="38"/>
      <c r="U44" s="40"/>
      <c r="V44" s="38"/>
      <c r="W44" s="38"/>
    </row>
    <row r="45" spans="1:23" x14ac:dyDescent="0.35">
      <c r="A45" s="38"/>
      <c r="B45" s="38"/>
      <c r="C45" s="38"/>
      <c r="D45" s="39"/>
      <c r="E45" s="38"/>
      <c r="F45" s="38"/>
      <c r="G45" s="40"/>
      <c r="H45" s="40"/>
      <c r="I45" s="40"/>
      <c r="J45" s="38"/>
      <c r="K45" s="38"/>
      <c r="L45" s="39"/>
      <c r="M45" s="39"/>
      <c r="N45" s="39"/>
      <c r="O45" s="39"/>
      <c r="P45" s="40"/>
      <c r="Q45" s="39"/>
      <c r="R45" s="39"/>
      <c r="S45" s="40"/>
      <c r="T45" s="38"/>
      <c r="U45" s="40"/>
      <c r="V45" s="38"/>
      <c r="W45" s="38"/>
    </row>
    <row r="46" spans="1:23" x14ac:dyDescent="0.35">
      <c r="A46" s="38"/>
      <c r="B46" s="38"/>
      <c r="C46" s="38"/>
      <c r="D46" s="39"/>
      <c r="E46" s="38"/>
      <c r="F46" s="38"/>
      <c r="G46" s="40"/>
      <c r="H46" s="40"/>
      <c r="I46" s="40"/>
      <c r="J46" s="38"/>
      <c r="K46" s="38"/>
      <c r="L46" s="39"/>
      <c r="M46" s="39"/>
      <c r="N46" s="39"/>
      <c r="O46" s="39"/>
      <c r="P46" s="40"/>
      <c r="Q46" s="39"/>
      <c r="R46" s="39"/>
      <c r="S46" s="40"/>
      <c r="T46" s="38"/>
      <c r="U46" s="40"/>
      <c r="V46" s="38"/>
      <c r="W46" s="38"/>
    </row>
    <row r="47" spans="1:23" x14ac:dyDescent="0.35">
      <c r="A47" s="38"/>
      <c r="B47" s="38"/>
      <c r="C47" s="38"/>
      <c r="D47" s="39"/>
      <c r="E47" s="38"/>
      <c r="F47" s="38"/>
      <c r="G47" s="40"/>
      <c r="H47" s="40"/>
      <c r="I47" s="40"/>
      <c r="J47" s="38"/>
      <c r="K47" s="38"/>
      <c r="L47" s="39"/>
      <c r="M47" s="39"/>
      <c r="N47" s="39"/>
      <c r="O47" s="39"/>
      <c r="P47" s="40"/>
      <c r="Q47" s="39"/>
      <c r="R47" s="39"/>
      <c r="S47" s="40"/>
      <c r="T47" s="38"/>
      <c r="U47" s="40"/>
      <c r="V47" s="38"/>
      <c r="W47" s="38"/>
    </row>
    <row r="48" spans="1:23" x14ac:dyDescent="0.35">
      <c r="A48" s="38"/>
      <c r="B48" s="38"/>
      <c r="C48" s="38"/>
      <c r="D48" s="39"/>
      <c r="E48" s="38"/>
      <c r="F48" s="38"/>
      <c r="G48" s="40"/>
      <c r="H48" s="40"/>
      <c r="I48" s="40"/>
      <c r="J48" s="38"/>
      <c r="K48" s="38"/>
      <c r="L48" s="39"/>
      <c r="M48" s="39"/>
      <c r="N48" s="39"/>
      <c r="O48" s="39"/>
      <c r="P48" s="40"/>
      <c r="Q48" s="39"/>
      <c r="R48" s="39"/>
      <c r="S48" s="40"/>
      <c r="T48" s="38"/>
      <c r="U48" s="40"/>
      <c r="V48" s="38"/>
      <c r="W48" s="38"/>
    </row>
    <row r="49" spans="1:23" x14ac:dyDescent="0.35">
      <c r="A49" s="38"/>
      <c r="B49" s="38"/>
      <c r="C49" s="38"/>
      <c r="D49" s="39"/>
      <c r="E49" s="38"/>
      <c r="F49" s="38"/>
      <c r="G49" s="40"/>
      <c r="H49" s="40"/>
      <c r="I49" s="40"/>
      <c r="J49" s="38"/>
      <c r="K49" s="38"/>
      <c r="L49" s="39"/>
      <c r="M49" s="39"/>
      <c r="N49" s="39"/>
      <c r="O49" s="39"/>
      <c r="P49" s="40"/>
      <c r="Q49" s="39"/>
      <c r="R49" s="39"/>
      <c r="S49" s="40"/>
      <c r="T49" s="38"/>
      <c r="U49" s="40"/>
      <c r="V49" s="38"/>
      <c r="W49" s="38"/>
    </row>
    <row r="50" spans="1:23" x14ac:dyDescent="0.35">
      <c r="A50" s="38"/>
      <c r="B50" s="38"/>
      <c r="C50" s="38"/>
      <c r="D50" s="39"/>
      <c r="E50" s="38"/>
      <c r="F50" s="38"/>
      <c r="G50" s="40"/>
      <c r="H50" s="40"/>
      <c r="I50" s="40"/>
      <c r="J50" s="38"/>
      <c r="K50" s="38"/>
      <c r="L50" s="39"/>
      <c r="M50" s="39"/>
      <c r="N50" s="39"/>
      <c r="O50" s="39"/>
      <c r="P50" s="40"/>
      <c r="Q50" s="39"/>
      <c r="R50" s="39"/>
      <c r="S50" s="40"/>
      <c r="T50" s="38"/>
      <c r="U50" s="40"/>
      <c r="V50" s="38"/>
      <c r="W50" s="38"/>
    </row>
    <row r="51" spans="1:23" x14ac:dyDescent="0.35">
      <c r="A51" s="38"/>
      <c r="B51" s="38"/>
      <c r="C51" s="38"/>
      <c r="D51" s="39"/>
      <c r="E51" s="38"/>
      <c r="F51" s="38"/>
      <c r="G51" s="40"/>
      <c r="H51" s="40"/>
      <c r="I51" s="40"/>
      <c r="J51" s="38"/>
      <c r="K51" s="38"/>
      <c r="L51" s="39"/>
      <c r="M51" s="39"/>
      <c r="N51" s="39"/>
      <c r="O51" s="39"/>
      <c r="P51" s="40"/>
      <c r="Q51" s="49"/>
      <c r="R51" s="49"/>
      <c r="S51" s="40"/>
      <c r="T51" s="38"/>
      <c r="U51" s="40"/>
      <c r="V51" s="38"/>
      <c r="W51" s="38"/>
    </row>
    <row r="52" spans="1:23" x14ac:dyDescent="0.35">
      <c r="A52" s="38"/>
      <c r="B52" s="38"/>
      <c r="C52" s="38"/>
      <c r="D52" s="39"/>
      <c r="E52" s="38"/>
      <c r="F52" s="38"/>
      <c r="G52" s="40"/>
      <c r="H52" s="40"/>
      <c r="I52" s="40"/>
      <c r="J52" s="38"/>
      <c r="K52" s="38"/>
      <c r="L52" s="39"/>
      <c r="M52" s="39"/>
      <c r="N52" s="39"/>
      <c r="O52" s="39"/>
      <c r="P52" s="40"/>
      <c r="Q52" s="39"/>
      <c r="R52" s="39"/>
      <c r="S52" s="40"/>
      <c r="T52" s="38"/>
      <c r="U52" s="40"/>
      <c r="V52" s="38"/>
      <c r="W52" s="38"/>
    </row>
    <row r="53" spans="1:23" x14ac:dyDescent="0.35">
      <c r="A53" s="38"/>
      <c r="B53" s="38"/>
      <c r="C53" s="38"/>
      <c r="D53" s="39"/>
      <c r="E53" s="38"/>
      <c r="F53" s="38"/>
      <c r="G53" s="40"/>
      <c r="H53" s="40"/>
      <c r="I53" s="40"/>
      <c r="J53" s="38"/>
      <c r="K53" s="38"/>
      <c r="L53" s="39"/>
      <c r="M53" s="39"/>
      <c r="N53" s="39"/>
      <c r="O53" s="39"/>
      <c r="P53" s="40"/>
      <c r="Q53" s="39"/>
      <c r="R53" s="39"/>
      <c r="S53" s="40"/>
      <c r="T53" s="38"/>
      <c r="U53" s="40"/>
      <c r="V53" s="38"/>
      <c r="W53" s="38"/>
    </row>
    <row r="54" spans="1:23" x14ac:dyDescent="0.35">
      <c r="A54" s="38"/>
      <c r="B54" s="38"/>
      <c r="C54" s="38"/>
      <c r="D54" s="39"/>
      <c r="E54" s="38"/>
      <c r="F54" s="38"/>
      <c r="G54" s="40"/>
      <c r="H54" s="40"/>
      <c r="I54" s="40"/>
      <c r="J54" s="38"/>
      <c r="K54" s="38"/>
      <c r="L54" s="39"/>
      <c r="M54" s="39"/>
      <c r="N54" s="39"/>
      <c r="O54" s="39"/>
      <c r="P54" s="40"/>
      <c r="Q54" s="39"/>
      <c r="R54" s="39"/>
      <c r="S54" s="40"/>
      <c r="T54" s="38"/>
      <c r="U54" s="40"/>
      <c r="V54" s="38"/>
      <c r="W54" s="38"/>
    </row>
    <row r="55" spans="1:23" x14ac:dyDescent="0.35">
      <c r="A55" s="38"/>
      <c r="B55" s="38"/>
      <c r="C55" s="38"/>
      <c r="D55" s="39"/>
      <c r="E55" s="38"/>
      <c r="F55" s="38"/>
      <c r="G55" s="40"/>
      <c r="H55" s="40"/>
      <c r="I55" s="40"/>
      <c r="J55" s="38"/>
      <c r="K55" s="38"/>
      <c r="L55" s="39"/>
      <c r="M55" s="39"/>
      <c r="N55" s="39"/>
      <c r="O55" s="39"/>
      <c r="P55" s="40"/>
      <c r="Q55" s="39"/>
      <c r="R55" s="39"/>
      <c r="S55" s="40"/>
      <c r="T55" s="38"/>
      <c r="U55" s="40"/>
      <c r="V55" s="38"/>
      <c r="W55" s="38"/>
    </row>
    <row r="56" spans="1:23" x14ac:dyDescent="0.35">
      <c r="A56" s="38"/>
      <c r="B56" s="38"/>
      <c r="C56" s="38"/>
      <c r="D56" s="39"/>
      <c r="E56" s="38"/>
      <c r="F56" s="38"/>
      <c r="G56" s="40"/>
      <c r="H56" s="40"/>
      <c r="I56" s="40"/>
      <c r="J56" s="38"/>
      <c r="K56" s="38"/>
      <c r="L56" s="39"/>
      <c r="M56" s="39"/>
      <c r="N56" s="39"/>
      <c r="O56" s="39"/>
      <c r="P56" s="40"/>
      <c r="Q56" s="39"/>
      <c r="R56" s="39"/>
      <c r="S56" s="40"/>
      <c r="T56" s="38"/>
      <c r="U56" s="40"/>
      <c r="V56" s="38"/>
      <c r="W56" s="38"/>
    </row>
    <row r="57" spans="1:23" x14ac:dyDescent="0.35">
      <c r="A57" s="38"/>
      <c r="B57" s="38"/>
      <c r="C57" s="38"/>
      <c r="D57" s="39"/>
      <c r="E57" s="38"/>
      <c r="F57" s="38"/>
      <c r="G57" s="40"/>
      <c r="H57" s="40"/>
      <c r="I57" s="40"/>
      <c r="J57" s="38"/>
      <c r="K57" s="38"/>
      <c r="L57" s="39"/>
      <c r="M57" s="39"/>
      <c r="N57" s="39"/>
      <c r="O57" s="39"/>
      <c r="P57" s="40"/>
      <c r="Q57" s="39"/>
      <c r="R57" s="39"/>
      <c r="S57" s="40"/>
      <c r="T57" s="38"/>
      <c r="U57" s="40"/>
      <c r="V57" s="38"/>
      <c r="W57" s="38"/>
    </row>
    <row r="58" spans="1:23" x14ac:dyDescent="0.35">
      <c r="A58" s="38"/>
      <c r="B58" s="38"/>
      <c r="C58" s="38"/>
      <c r="D58" s="39"/>
      <c r="E58" s="38"/>
      <c r="F58" s="38"/>
      <c r="G58" s="40"/>
      <c r="H58" s="40"/>
      <c r="I58" s="40"/>
      <c r="J58" s="38"/>
      <c r="K58" s="38"/>
      <c r="L58" s="39"/>
      <c r="M58" s="39"/>
      <c r="N58" s="39"/>
      <c r="O58" s="39"/>
      <c r="P58" s="40"/>
      <c r="Q58" s="39"/>
      <c r="R58" s="39"/>
      <c r="S58" s="40"/>
      <c r="T58" s="38"/>
      <c r="U58" s="40"/>
      <c r="V58" s="38"/>
      <c r="W58" s="38"/>
    </row>
    <row r="59" spans="1:23" x14ac:dyDescent="0.35">
      <c r="A59" s="38"/>
      <c r="B59" s="38"/>
      <c r="C59" s="38"/>
      <c r="D59" s="39"/>
      <c r="E59" s="38"/>
      <c r="F59" s="38"/>
      <c r="G59" s="40"/>
      <c r="H59" s="40"/>
      <c r="I59" s="40"/>
      <c r="J59" s="38"/>
      <c r="K59" s="38"/>
      <c r="L59" s="39"/>
      <c r="M59" s="39"/>
      <c r="N59" s="39"/>
      <c r="O59" s="39"/>
      <c r="P59" s="40"/>
      <c r="Q59" s="39"/>
      <c r="R59" s="39"/>
      <c r="S59" s="40"/>
      <c r="T59" s="38"/>
      <c r="U59" s="40"/>
      <c r="V59" s="38"/>
      <c r="W59" s="38"/>
    </row>
    <row r="60" spans="1:23" x14ac:dyDescent="0.35">
      <c r="A60" s="38"/>
      <c r="B60" s="38"/>
      <c r="C60" s="38"/>
      <c r="D60" s="39"/>
      <c r="E60" s="38"/>
      <c r="F60" s="38"/>
      <c r="G60" s="40"/>
      <c r="H60" s="40"/>
      <c r="I60" s="40"/>
      <c r="J60" s="38"/>
      <c r="K60" s="38"/>
      <c r="L60" s="39"/>
      <c r="M60" s="39"/>
      <c r="N60" s="39"/>
      <c r="O60" s="39"/>
      <c r="P60" s="40"/>
      <c r="Q60" s="39"/>
      <c r="R60" s="39"/>
      <c r="S60" s="40"/>
      <c r="T60" s="38"/>
      <c r="U60" s="40"/>
      <c r="V60" s="38"/>
      <c r="W60" s="38"/>
    </row>
    <row r="61" spans="1:23" x14ac:dyDescent="0.35">
      <c r="A61" s="38"/>
      <c r="B61" s="38"/>
      <c r="C61" s="38"/>
      <c r="D61" s="39"/>
      <c r="E61" s="38"/>
      <c r="F61" s="38"/>
      <c r="G61" s="40"/>
      <c r="H61" s="40"/>
      <c r="I61" s="40"/>
      <c r="J61" s="38"/>
      <c r="K61" s="38"/>
      <c r="L61" s="39"/>
      <c r="M61" s="39"/>
      <c r="N61" s="39"/>
      <c r="O61" s="39"/>
      <c r="P61" s="40"/>
      <c r="Q61" s="39"/>
      <c r="R61" s="39"/>
      <c r="S61" s="40"/>
      <c r="T61" s="38"/>
      <c r="U61" s="40"/>
      <c r="V61" s="38"/>
      <c r="W61" s="38"/>
    </row>
  </sheetData>
  <mergeCells count="24">
    <mergeCell ref="O4:O5"/>
    <mergeCell ref="A1:W1"/>
    <mergeCell ref="A2:W2"/>
    <mergeCell ref="A3:W3"/>
    <mergeCell ref="A4:A5"/>
    <mergeCell ref="B4:B5"/>
    <mergeCell ref="C4:C5"/>
    <mergeCell ref="D4:D5"/>
    <mergeCell ref="E4:E5"/>
    <mergeCell ref="F4:F5"/>
    <mergeCell ref="G4:I4"/>
    <mergeCell ref="J4:J5"/>
    <mergeCell ref="K4:K5"/>
    <mergeCell ref="L4:L5"/>
    <mergeCell ref="M4:M5"/>
    <mergeCell ref="N4:N5"/>
    <mergeCell ref="V4:V5"/>
    <mergeCell ref="W4:W5"/>
    <mergeCell ref="P4:P5"/>
    <mergeCell ref="Q4:Q5"/>
    <mergeCell ref="R4:R5"/>
    <mergeCell ref="S4:S5"/>
    <mergeCell ref="T4:T5"/>
    <mergeCell ref="U4:U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B0375-C507-4DF8-A11A-074DEFB61CCE}">
  <sheetPr codeName="Sheet6" filterMode="1">
    <tabColor theme="9"/>
  </sheetPr>
  <dimension ref="A1:AN341"/>
  <sheetViews>
    <sheetView zoomScale="40" zoomScaleNormal="40" workbookViewId="0">
      <selection sqref="A1:S341"/>
    </sheetView>
  </sheetViews>
  <sheetFormatPr defaultColWidth="9.1796875" defaultRowHeight="25" x14ac:dyDescent="0.35"/>
  <cols>
    <col min="1" max="1" width="26.54296875" style="43" customWidth="1"/>
    <col min="2" max="2" width="14.54296875" style="43" customWidth="1"/>
    <col min="3" max="3" width="12.81640625" style="43" customWidth="1"/>
    <col min="4" max="6" width="9.1796875" style="43" customWidth="1"/>
    <col min="7" max="7" width="13.453125" style="43" customWidth="1"/>
    <col min="8" max="8" width="13.54296875" style="43" customWidth="1"/>
    <col min="9" max="9" width="15.453125" style="41" customWidth="1"/>
    <col min="10" max="10" width="14.453125" style="43" customWidth="1"/>
    <col min="11" max="12" width="15.453125" style="43" customWidth="1"/>
    <col min="13" max="13" width="19.81640625" style="43" customWidth="1"/>
    <col min="14" max="14" width="9" style="43" customWidth="1"/>
    <col min="15" max="15" width="15.54296875" style="43" customWidth="1"/>
    <col min="16" max="16" width="22.453125" style="43" customWidth="1"/>
    <col min="17" max="17" width="27.453125" style="43" customWidth="1"/>
    <col min="18" max="18" width="22.453125" style="43" customWidth="1"/>
    <col min="19" max="19" width="11.1796875" style="43" customWidth="1"/>
    <col min="20" max="21" width="9.1796875" style="43"/>
    <col min="22" max="22" width="21.1796875" style="43" customWidth="1"/>
    <col min="23" max="27" width="9.1796875" style="43"/>
    <col min="28" max="28" width="10.81640625" style="43" customWidth="1"/>
    <col min="29" max="33" width="9.1796875" style="43"/>
    <col min="34" max="34" width="16.1796875" style="43" customWidth="1"/>
    <col min="35" max="39" width="9.1796875" style="43"/>
    <col min="40" max="40" width="12.453125" style="43" customWidth="1"/>
    <col min="41" max="16384" width="9.1796875" style="43"/>
  </cols>
  <sheetData>
    <row r="1" spans="1:40" s="41" customFormat="1" ht="41.15" customHeight="1" x14ac:dyDescent="0.35">
      <c r="A1" s="146" t="str">
        <f>CONCATENATE("Spreading Planning Summary Report"," === ",DATA!B6," === ","S",LEFT(DATA!C6,8))</f>
        <v>Spreading Planning Summary Report === ROUTINE === S26V04441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V1" s="146" t="str">
        <f>CONCATENATE("Spreading Planning Summary Report"," === ",DATA!B6," === ","S",LEFT(DATA!C6,8))</f>
        <v>Spreading Planning Summary Report === ROUTINE === S26V04441</v>
      </c>
      <c r="W1" s="146"/>
      <c r="X1" s="146"/>
      <c r="Y1" s="146"/>
      <c r="Z1" s="146"/>
      <c r="AA1" s="146"/>
      <c r="AB1" s="146"/>
      <c r="AC1" s="146"/>
      <c r="AD1" s="146"/>
      <c r="AE1" s="146"/>
      <c r="AF1" s="146"/>
      <c r="AG1" s="146"/>
      <c r="AH1" s="146"/>
      <c r="AI1" s="146"/>
      <c r="AJ1" s="146"/>
      <c r="AK1" s="146"/>
      <c r="AL1" s="146"/>
      <c r="AM1" s="146"/>
      <c r="AN1" s="146"/>
    </row>
    <row r="2" spans="1:40" s="41" customFormat="1" ht="33" customHeight="1" x14ac:dyDescent="0.35">
      <c r="A2" s="146" t="str">
        <f>DATA!A6&amp;" === "&amp;DATA!T6</f>
        <v>S26V04441BODY1-002 === PKGK26VB0004441A</v>
      </c>
      <c r="B2" s="146"/>
      <c r="C2" s="146"/>
      <c r="D2" s="146"/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6"/>
      <c r="P2" s="146"/>
      <c r="Q2" s="146"/>
      <c r="R2" s="146"/>
      <c r="S2" s="146"/>
      <c r="V2" s="146" t="str">
        <f>DATA!A6&amp;" === "&amp;DATA!T6</f>
        <v>S26V04441BODY1-002 === PKGK26VB0004441A</v>
      </c>
      <c r="W2" s="146"/>
      <c r="X2" s="146"/>
      <c r="Y2" s="146"/>
      <c r="Z2" s="146"/>
      <c r="AA2" s="146"/>
      <c r="AB2" s="146"/>
      <c r="AC2" s="146"/>
      <c r="AD2" s="146"/>
      <c r="AE2" s="146"/>
      <c r="AF2" s="146"/>
      <c r="AG2" s="146"/>
      <c r="AH2" s="146"/>
      <c r="AI2" s="146"/>
      <c r="AJ2" s="146"/>
      <c r="AK2" s="146"/>
      <c r="AL2" s="146"/>
      <c r="AM2" s="146"/>
      <c r="AN2" s="146"/>
    </row>
    <row r="3" spans="1:40" s="41" customFormat="1" ht="26.25" customHeight="1" x14ac:dyDescent="0.35">
      <c r="A3" s="146" t="str">
        <f>CONCATENATE("MÀU", " #",DATA!D6)</f>
        <v>MÀU #DARK SAPPHIRE</v>
      </c>
      <c r="B3" s="146"/>
      <c r="C3" s="146"/>
      <c r="D3" s="146"/>
      <c r="E3" s="146"/>
      <c r="F3" s="146"/>
      <c r="G3" s="42"/>
      <c r="H3" s="42"/>
      <c r="I3" s="42"/>
      <c r="J3" s="42"/>
      <c r="K3" s="42"/>
      <c r="L3" s="42"/>
      <c r="M3" s="42"/>
      <c r="N3" s="42"/>
      <c r="O3" s="42"/>
      <c r="P3" s="147" t="s">
        <v>79</v>
      </c>
      <c r="Q3" s="147"/>
      <c r="R3" s="147"/>
      <c r="S3" s="147"/>
      <c r="V3" s="146" t="s">
        <v>2292</v>
      </c>
      <c r="W3" s="146"/>
      <c r="X3" s="146"/>
      <c r="Y3" s="146"/>
      <c r="Z3" s="146"/>
      <c r="AA3" s="146"/>
      <c r="AB3" s="42"/>
      <c r="AC3" s="42"/>
      <c r="AD3" s="42"/>
      <c r="AE3" s="42"/>
      <c r="AF3" s="42"/>
      <c r="AG3" s="42"/>
      <c r="AH3" s="42"/>
      <c r="AI3" s="42"/>
      <c r="AJ3" s="42"/>
      <c r="AK3" s="147" t="s">
        <v>79</v>
      </c>
      <c r="AL3" s="147"/>
      <c r="AM3" s="147"/>
      <c r="AN3" s="147"/>
    </row>
    <row r="4" spans="1:40" ht="37.4" customHeight="1" x14ac:dyDescent="0.35">
      <c r="A4" s="112" t="s">
        <v>66</v>
      </c>
      <c r="B4" s="112" t="s">
        <v>67</v>
      </c>
      <c r="C4" s="112" t="s">
        <v>68</v>
      </c>
      <c r="D4" s="112" t="s">
        <v>76</v>
      </c>
      <c r="E4" s="112" t="s">
        <v>77</v>
      </c>
      <c r="F4" s="112" t="s">
        <v>78</v>
      </c>
      <c r="G4" s="112" t="s">
        <v>80</v>
      </c>
      <c r="H4" s="112" t="s">
        <v>81</v>
      </c>
      <c r="I4" s="112" t="s">
        <v>69</v>
      </c>
      <c r="J4" s="112" t="s">
        <v>82</v>
      </c>
      <c r="K4" s="112" t="s">
        <v>70</v>
      </c>
      <c r="L4" s="112" t="s">
        <v>71</v>
      </c>
      <c r="M4" s="112" t="s">
        <v>72</v>
      </c>
      <c r="N4" s="112" t="s">
        <v>83</v>
      </c>
      <c r="O4" s="112"/>
      <c r="P4" s="112" t="s">
        <v>73</v>
      </c>
      <c r="Q4" s="112" t="s">
        <v>74</v>
      </c>
      <c r="R4" s="112" t="s">
        <v>75</v>
      </c>
      <c r="S4" s="112" t="s">
        <v>84</v>
      </c>
      <c r="V4" s="113" t="s">
        <v>66</v>
      </c>
      <c r="W4" s="114" t="s">
        <v>67</v>
      </c>
      <c r="X4" s="114" t="s">
        <v>68</v>
      </c>
      <c r="Y4" s="114" t="s">
        <v>76</v>
      </c>
      <c r="Z4" s="114" t="s">
        <v>77</v>
      </c>
      <c r="AA4" s="114" t="s">
        <v>78</v>
      </c>
      <c r="AB4" s="112" t="s">
        <v>80</v>
      </c>
      <c r="AC4" s="114" t="s">
        <v>81</v>
      </c>
      <c r="AD4" s="114" t="s">
        <v>69</v>
      </c>
      <c r="AE4" s="114" t="s">
        <v>82</v>
      </c>
      <c r="AF4" s="114" t="s">
        <v>70</v>
      </c>
      <c r="AG4" s="114" t="s">
        <v>71</v>
      </c>
      <c r="AH4" s="114" t="s">
        <v>72</v>
      </c>
      <c r="AI4" s="114" t="s">
        <v>83</v>
      </c>
      <c r="AJ4" s="114"/>
      <c r="AK4" s="114" t="s">
        <v>73</v>
      </c>
      <c r="AL4" s="114" t="s">
        <v>74</v>
      </c>
      <c r="AM4" s="114" t="s">
        <v>75</v>
      </c>
      <c r="AN4" s="112" t="s">
        <v>84</v>
      </c>
    </row>
    <row r="5" spans="1:40" ht="23.25" customHeight="1" x14ac:dyDescent="0.35">
      <c r="A5" s="46" t="str">
        <f>DATA!C6</f>
        <v>26V04441VN01</v>
      </c>
      <c r="B5" s="46" t="str">
        <f>DATA!D6</f>
        <v>DARK SAPPHIRE</v>
      </c>
      <c r="C5" s="46">
        <f>DATA!F6</f>
        <v>2001</v>
      </c>
      <c r="D5" s="46">
        <f>DATA!G6</f>
        <v>4.26</v>
      </c>
      <c r="E5" s="46">
        <f>DATA!H6</f>
        <v>4</v>
      </c>
      <c r="F5" s="46">
        <f>DATA!I6</f>
        <v>9.3699999999999992</v>
      </c>
      <c r="G5" s="46"/>
      <c r="H5" s="46"/>
      <c r="I5" s="45">
        <f>DATA!L6</f>
        <v>100</v>
      </c>
      <c r="J5" s="46"/>
      <c r="K5" s="46">
        <f>DATA!O6</f>
        <v>600</v>
      </c>
      <c r="L5" s="46">
        <f>DATA!Q6</f>
        <v>426.03</v>
      </c>
      <c r="M5" s="46">
        <f>DATA!R6</f>
        <v>439.66</v>
      </c>
      <c r="N5" s="46"/>
      <c r="O5" s="46"/>
      <c r="P5" s="46" t="str">
        <f>DATA!U6</f>
        <v>DQ600240 RAP A SH 10</v>
      </c>
      <c r="Q5" s="46" t="str">
        <f>DATA!V6</f>
        <v>S(-)*1;M(-)*2;L(-)*2;XL(-)*1</v>
      </c>
      <c r="R5" s="46" t="str">
        <f>DATA!W6</f>
        <v>ROU04441-S1M2L2XL1-655-A</v>
      </c>
      <c r="S5" s="46"/>
      <c r="V5" s="46" t="str">
        <f>DATA!C6</f>
        <v>26V04441VN01</v>
      </c>
      <c r="W5" s="46" t="str">
        <f>DATA!D6</f>
        <v>DARK SAPPHIRE</v>
      </c>
      <c r="X5" s="46">
        <f>DATA!F6</f>
        <v>2001</v>
      </c>
      <c r="Y5" s="46">
        <f>DATA!G6</f>
        <v>4.26</v>
      </c>
      <c r="Z5" s="46">
        <f>DATA!H6</f>
        <v>4</v>
      </c>
      <c r="AA5" s="46">
        <f>DATA!I6</f>
        <v>9.3699999999999992</v>
      </c>
      <c r="AB5" s="46"/>
      <c r="AC5" s="46"/>
      <c r="AD5" s="45">
        <f>DATA!L6</f>
        <v>100</v>
      </c>
      <c r="AE5" s="46"/>
      <c r="AF5" s="46">
        <f>DATA!O6</f>
        <v>600</v>
      </c>
      <c r="AG5" s="46">
        <f>DATA!Q6</f>
        <v>426.03</v>
      </c>
      <c r="AH5" s="46">
        <f>DATA!R6</f>
        <v>439.66</v>
      </c>
      <c r="AI5" s="46"/>
      <c r="AJ5" s="46"/>
      <c r="AK5" s="46" t="str">
        <f>DATA!U6</f>
        <v>DQ600240 RAP A SH 10</v>
      </c>
      <c r="AL5" s="46" t="str">
        <f>DATA!V6</f>
        <v>S(-)*1;M(-)*2;L(-)*2;XL(-)*1</v>
      </c>
      <c r="AM5" s="46" t="str">
        <f>DATA!W6</f>
        <v>ROU04441-S1M2L2XL1-655-A</v>
      </c>
      <c r="AN5" s="46"/>
    </row>
    <row r="6" spans="1:40" ht="23.25" customHeight="1" x14ac:dyDescent="0.35">
      <c r="A6" s="46" t="str">
        <f>DATA!C7</f>
        <v>26V04441VN01</v>
      </c>
      <c r="B6" s="46" t="str">
        <f>DATA!D7</f>
        <v>DARK SAPPHIRE</v>
      </c>
      <c r="C6" s="46">
        <f>DATA!F7</f>
        <v>2002</v>
      </c>
      <c r="D6" s="46">
        <f>DATA!G7</f>
        <v>4.26</v>
      </c>
      <c r="E6" s="46">
        <f>DATA!H7</f>
        <v>4</v>
      </c>
      <c r="F6" s="46">
        <f>DATA!I7</f>
        <v>9.3699999999999992</v>
      </c>
      <c r="G6" s="46"/>
      <c r="H6" s="46"/>
      <c r="I6" s="45">
        <f>DATA!L7</f>
        <v>100</v>
      </c>
      <c r="J6" s="46"/>
      <c r="K6" s="46">
        <f>DATA!O7</f>
        <v>600</v>
      </c>
      <c r="L6" s="46">
        <f>DATA!Q7</f>
        <v>426.03</v>
      </c>
      <c r="M6" s="46">
        <f>DATA!R7</f>
        <v>439.66</v>
      </c>
      <c r="N6" s="46"/>
      <c r="O6" s="46"/>
      <c r="P6" s="46" t="str">
        <f>DATA!U7</f>
        <v>DQ600240 RAP A SH 10</v>
      </c>
      <c r="Q6" s="46" t="str">
        <f>DATA!V7</f>
        <v>S(-)*1;M(-)*2;L(-)*2;XL(-)*1</v>
      </c>
      <c r="R6" s="46" t="str">
        <f>DATA!W7</f>
        <v>ROU04441-S1M2L2XL1-655-A</v>
      </c>
      <c r="S6" s="46"/>
      <c r="V6" s="46" t="str">
        <f>DATA!C7</f>
        <v>26V04441VN01</v>
      </c>
      <c r="W6" s="46" t="str">
        <f>DATA!D7</f>
        <v>DARK SAPPHIRE</v>
      </c>
      <c r="X6" s="46">
        <f>DATA!F7</f>
        <v>2002</v>
      </c>
      <c r="Y6" s="46">
        <f>DATA!G7</f>
        <v>4.26</v>
      </c>
      <c r="Z6" s="46">
        <f>DATA!H7</f>
        <v>4</v>
      </c>
      <c r="AA6" s="46">
        <f>DATA!I7</f>
        <v>9.3699999999999992</v>
      </c>
      <c r="AB6" s="46"/>
      <c r="AC6" s="46"/>
      <c r="AD6" s="45">
        <f>DATA!L7</f>
        <v>100</v>
      </c>
      <c r="AE6" s="46"/>
      <c r="AF6" s="46">
        <f>DATA!O7</f>
        <v>600</v>
      </c>
      <c r="AG6" s="46">
        <f>DATA!Q7</f>
        <v>426.03</v>
      </c>
      <c r="AH6" s="46">
        <f>DATA!R7</f>
        <v>439.66</v>
      </c>
      <c r="AI6" s="46"/>
      <c r="AJ6" s="46"/>
      <c r="AK6" s="46" t="str">
        <f>DATA!U7</f>
        <v>DQ600240 RAP A SH 10</v>
      </c>
      <c r="AL6" s="46" t="str">
        <f>DATA!V7</f>
        <v>S(-)*1;M(-)*2;L(-)*2;XL(-)*1</v>
      </c>
      <c r="AM6" s="46" t="str">
        <f>DATA!W7</f>
        <v>ROU04441-S1M2L2XL1-655-A</v>
      </c>
      <c r="AN6" s="46"/>
    </row>
    <row r="7" spans="1:40" ht="23.25" customHeight="1" x14ac:dyDescent="0.35">
      <c r="A7" s="46" t="str">
        <f>DATA!C8</f>
        <v>26V04441VN01</v>
      </c>
      <c r="B7" s="46" t="str">
        <f>DATA!D8</f>
        <v>DARK SAPPHIRE</v>
      </c>
      <c r="C7" s="46">
        <f>DATA!F8</f>
        <v>2003</v>
      </c>
      <c r="D7" s="46">
        <f>DATA!G8</f>
        <v>4.26</v>
      </c>
      <c r="E7" s="46">
        <f>DATA!H8</f>
        <v>4</v>
      </c>
      <c r="F7" s="46">
        <f>DATA!I8</f>
        <v>9.3699999999999992</v>
      </c>
      <c r="G7" s="46"/>
      <c r="H7" s="46"/>
      <c r="I7" s="45">
        <f>DATA!L8</f>
        <v>4</v>
      </c>
      <c r="J7" s="46"/>
      <c r="K7" s="46">
        <f>DATA!O8</f>
        <v>24</v>
      </c>
      <c r="L7" s="46">
        <f>DATA!Q8</f>
        <v>17.04</v>
      </c>
      <c r="M7" s="46">
        <f>DATA!R8</f>
        <v>17.59</v>
      </c>
      <c r="N7" s="46"/>
      <c r="O7" s="46"/>
      <c r="P7" s="46" t="str">
        <f>DATA!U8</f>
        <v>DQ600240 RAP A SH 10</v>
      </c>
      <c r="Q7" s="46" t="str">
        <f>DATA!V8</f>
        <v>S(-)*1;M(-)*2;L(-)*2;XL(-)*1</v>
      </c>
      <c r="R7" s="46" t="str">
        <f>DATA!W8</f>
        <v>ROU04441-S1M2L2XL1-655-A</v>
      </c>
      <c r="S7" s="46"/>
      <c r="V7" s="46" t="str">
        <f>DATA!C8</f>
        <v>26V04441VN01</v>
      </c>
      <c r="W7" s="46" t="str">
        <f>DATA!D8</f>
        <v>DARK SAPPHIRE</v>
      </c>
      <c r="X7" s="46">
        <f>DATA!F8</f>
        <v>2003</v>
      </c>
      <c r="Y7" s="46">
        <f>DATA!G8</f>
        <v>4.26</v>
      </c>
      <c r="Z7" s="46">
        <f>DATA!H8</f>
        <v>4</v>
      </c>
      <c r="AA7" s="46">
        <f>DATA!I8</f>
        <v>9.3699999999999992</v>
      </c>
      <c r="AB7" s="46"/>
      <c r="AC7" s="46"/>
      <c r="AD7" s="45">
        <f>DATA!L8</f>
        <v>4</v>
      </c>
      <c r="AE7" s="46"/>
      <c r="AF7" s="46">
        <f>DATA!O8</f>
        <v>24</v>
      </c>
      <c r="AG7" s="46">
        <f>DATA!Q8</f>
        <v>17.04</v>
      </c>
      <c r="AH7" s="46">
        <f>DATA!R8</f>
        <v>17.59</v>
      </c>
      <c r="AI7" s="46"/>
      <c r="AJ7" s="46"/>
      <c r="AK7" s="46" t="str">
        <f>DATA!U8</f>
        <v>DQ600240 RAP A SH 10</v>
      </c>
      <c r="AL7" s="46" t="str">
        <f>DATA!V8</f>
        <v>S(-)*1;M(-)*2;L(-)*2;XL(-)*1</v>
      </c>
      <c r="AM7" s="46" t="str">
        <f>DATA!W8</f>
        <v>ROU04441-S1M2L2XL1-655-A</v>
      </c>
      <c r="AN7" s="46"/>
    </row>
    <row r="8" spans="1:40" ht="23.25" customHeight="1" x14ac:dyDescent="0.35">
      <c r="A8" s="46" t="str">
        <f>DATA!C9</f>
        <v>26V04441VN01</v>
      </c>
      <c r="B8" s="46" t="str">
        <f>DATA!D9</f>
        <v>SNOW WHITE</v>
      </c>
      <c r="C8" s="46">
        <f>DATA!F9</f>
        <v>2004</v>
      </c>
      <c r="D8" s="46">
        <f>DATA!G9</f>
        <v>4.26</v>
      </c>
      <c r="E8" s="46">
        <f>DATA!H9</f>
        <v>4</v>
      </c>
      <c r="F8" s="46">
        <f>DATA!I9</f>
        <v>9.3699999999999992</v>
      </c>
      <c r="G8" s="46"/>
      <c r="H8" s="46"/>
      <c r="I8" s="45">
        <f>DATA!L9</f>
        <v>100</v>
      </c>
      <c r="J8" s="46"/>
      <c r="K8" s="46">
        <f>DATA!O9</f>
        <v>600</v>
      </c>
      <c r="L8" s="46">
        <f>DATA!Q9</f>
        <v>426.03</v>
      </c>
      <c r="M8" s="46">
        <f>DATA!R9</f>
        <v>439.66</v>
      </c>
      <c r="N8" s="46"/>
      <c r="O8" s="46"/>
      <c r="P8" s="46" t="str">
        <f>DATA!U9</f>
        <v>DQ600250 RAP A SH 10</v>
      </c>
      <c r="Q8" s="46" t="str">
        <f>DATA!V9</f>
        <v>S(-)*1;M(-)*2;L(-)*2;XL(-)*1</v>
      </c>
      <c r="R8" s="46" t="str">
        <f>DATA!W9</f>
        <v>ROU04441-S1M2L2XL1-655-A</v>
      </c>
      <c r="S8" s="46"/>
      <c r="V8" s="46" t="str">
        <f>DATA!C9</f>
        <v>26V04441VN01</v>
      </c>
      <c r="W8" s="46" t="str">
        <f>DATA!D9</f>
        <v>SNOW WHITE</v>
      </c>
      <c r="X8" s="46">
        <f>DATA!F9</f>
        <v>2004</v>
      </c>
      <c r="Y8" s="46">
        <f>DATA!G9</f>
        <v>4.26</v>
      </c>
      <c r="Z8" s="46">
        <f>DATA!H9</f>
        <v>4</v>
      </c>
      <c r="AA8" s="46">
        <f>DATA!I9</f>
        <v>9.3699999999999992</v>
      </c>
      <c r="AB8" s="46"/>
      <c r="AC8" s="46"/>
      <c r="AD8" s="45">
        <f>DATA!L9</f>
        <v>100</v>
      </c>
      <c r="AE8" s="46"/>
      <c r="AF8" s="46">
        <f>DATA!O9</f>
        <v>600</v>
      </c>
      <c r="AG8" s="46">
        <f>DATA!Q9</f>
        <v>426.03</v>
      </c>
      <c r="AH8" s="46">
        <f>DATA!R9</f>
        <v>439.66</v>
      </c>
      <c r="AI8" s="46"/>
      <c r="AJ8" s="46"/>
      <c r="AK8" s="46" t="str">
        <f>DATA!U9</f>
        <v>DQ600250 RAP A SH 10</v>
      </c>
      <c r="AL8" s="46" t="str">
        <f>DATA!V9</f>
        <v>S(-)*1;M(-)*2;L(-)*2;XL(-)*1</v>
      </c>
      <c r="AM8" s="46" t="str">
        <f>DATA!W9</f>
        <v>ROU04441-S1M2L2XL1-655-A</v>
      </c>
      <c r="AN8" s="46"/>
    </row>
    <row r="9" spans="1:40" ht="23.25" customHeight="1" x14ac:dyDescent="0.35">
      <c r="A9" s="46" t="str">
        <f>DATA!C10</f>
        <v>26V04441VN01</v>
      </c>
      <c r="B9" s="46" t="str">
        <f>DATA!D10</f>
        <v>SNOW WHITE</v>
      </c>
      <c r="C9" s="46">
        <f>DATA!F10</f>
        <v>2005</v>
      </c>
      <c r="D9" s="46">
        <f>DATA!G10</f>
        <v>4.26</v>
      </c>
      <c r="E9" s="46">
        <f>DATA!H10</f>
        <v>4</v>
      </c>
      <c r="F9" s="46">
        <f>DATA!I10</f>
        <v>9.3699999999999992</v>
      </c>
      <c r="G9" s="46"/>
      <c r="H9" s="46"/>
      <c r="I9" s="45">
        <f>DATA!L10</f>
        <v>100</v>
      </c>
      <c r="J9" s="46"/>
      <c r="K9" s="46">
        <f>DATA!O10</f>
        <v>600</v>
      </c>
      <c r="L9" s="46">
        <f>DATA!Q10</f>
        <v>426.03</v>
      </c>
      <c r="M9" s="46">
        <f>DATA!R10</f>
        <v>439.66</v>
      </c>
      <c r="N9" s="46"/>
      <c r="O9" s="46"/>
      <c r="P9" s="46" t="str">
        <f>DATA!U10</f>
        <v>DQ600250 RAP A SH 10</v>
      </c>
      <c r="Q9" s="46" t="str">
        <f>DATA!V10</f>
        <v>S(-)*1;M(-)*2;L(-)*2;XL(-)*1</v>
      </c>
      <c r="R9" s="46" t="str">
        <f>DATA!W10</f>
        <v>ROU04441-S1M2L2XL1-655-A</v>
      </c>
      <c r="S9" s="46"/>
      <c r="V9" s="46" t="str">
        <f>DATA!C10</f>
        <v>26V04441VN01</v>
      </c>
      <c r="W9" s="46" t="str">
        <f>DATA!D10</f>
        <v>SNOW WHITE</v>
      </c>
      <c r="X9" s="46">
        <f>DATA!F10</f>
        <v>2005</v>
      </c>
      <c r="Y9" s="46">
        <f>DATA!G10</f>
        <v>4.26</v>
      </c>
      <c r="Z9" s="46">
        <f>DATA!H10</f>
        <v>4</v>
      </c>
      <c r="AA9" s="46">
        <f>DATA!I10</f>
        <v>9.3699999999999992</v>
      </c>
      <c r="AB9" s="46"/>
      <c r="AC9" s="46"/>
      <c r="AD9" s="45">
        <f>DATA!L10</f>
        <v>100</v>
      </c>
      <c r="AE9" s="46"/>
      <c r="AF9" s="46">
        <f>DATA!O10</f>
        <v>600</v>
      </c>
      <c r="AG9" s="46">
        <f>DATA!Q10</f>
        <v>426.03</v>
      </c>
      <c r="AH9" s="46">
        <f>DATA!R10</f>
        <v>439.66</v>
      </c>
      <c r="AI9" s="46"/>
      <c r="AJ9" s="46"/>
      <c r="AK9" s="46" t="str">
        <f>DATA!U10</f>
        <v>DQ600250 RAP A SH 10</v>
      </c>
      <c r="AL9" s="46" t="str">
        <f>DATA!V10</f>
        <v>S(-)*1;M(-)*2;L(-)*2;XL(-)*1</v>
      </c>
      <c r="AM9" s="46" t="str">
        <f>DATA!W10</f>
        <v>ROU04441-S1M2L2XL1-655-A</v>
      </c>
      <c r="AN9" s="46"/>
    </row>
    <row r="10" spans="1:40" ht="23.25" customHeight="1" x14ac:dyDescent="0.35">
      <c r="A10" s="46" t="str">
        <f>DATA!C11</f>
        <v>26V04441VN01</v>
      </c>
      <c r="B10" s="46" t="str">
        <f>DATA!D11</f>
        <v>SNOW WHITE</v>
      </c>
      <c r="C10" s="46">
        <f>DATA!F11</f>
        <v>2006</v>
      </c>
      <c r="D10" s="46">
        <f>DATA!G11</f>
        <v>4.26</v>
      </c>
      <c r="E10" s="46">
        <f>DATA!H11</f>
        <v>4</v>
      </c>
      <c r="F10" s="46">
        <f>DATA!I11</f>
        <v>9.3699999999999992</v>
      </c>
      <c r="G10" s="46"/>
      <c r="H10" s="46"/>
      <c r="I10" s="45">
        <f>DATA!L11</f>
        <v>3</v>
      </c>
      <c r="J10" s="46"/>
      <c r="K10" s="46">
        <f>DATA!O11</f>
        <v>18</v>
      </c>
      <c r="L10" s="46">
        <f>DATA!Q11</f>
        <v>12.78</v>
      </c>
      <c r="M10" s="46">
        <f>DATA!R11</f>
        <v>13.19</v>
      </c>
      <c r="N10" s="46"/>
      <c r="O10" s="46"/>
      <c r="P10" s="46" t="str">
        <f>DATA!U11</f>
        <v>DQ600250 RAP A SH 10</v>
      </c>
      <c r="Q10" s="46" t="str">
        <f>DATA!V11</f>
        <v>S(-)*1;M(-)*2;L(-)*2;XL(-)*1</v>
      </c>
      <c r="R10" s="46" t="str">
        <f>DATA!W11</f>
        <v>ROU04441-S1M2L2XL1-655-A</v>
      </c>
      <c r="S10" s="46"/>
      <c r="V10" s="46" t="str">
        <f>DATA!C11</f>
        <v>26V04441VN01</v>
      </c>
      <c r="W10" s="46" t="str">
        <f>DATA!D11</f>
        <v>SNOW WHITE</v>
      </c>
      <c r="X10" s="46">
        <f>DATA!F11</f>
        <v>2006</v>
      </c>
      <c r="Y10" s="46">
        <f>DATA!G11</f>
        <v>4.26</v>
      </c>
      <c r="Z10" s="46">
        <f>DATA!H11</f>
        <v>4</v>
      </c>
      <c r="AA10" s="46">
        <f>DATA!I11</f>
        <v>9.3699999999999992</v>
      </c>
      <c r="AB10" s="46"/>
      <c r="AC10" s="46"/>
      <c r="AD10" s="45">
        <f>DATA!L11</f>
        <v>3</v>
      </c>
      <c r="AE10" s="46"/>
      <c r="AF10" s="46">
        <f>DATA!O11</f>
        <v>18</v>
      </c>
      <c r="AG10" s="46">
        <f>DATA!Q11</f>
        <v>12.78</v>
      </c>
      <c r="AH10" s="46">
        <f>DATA!R11</f>
        <v>13.19</v>
      </c>
      <c r="AI10" s="46"/>
      <c r="AJ10" s="46"/>
      <c r="AK10" s="46" t="str">
        <f>DATA!U11</f>
        <v>DQ600250 RAP A SH 10</v>
      </c>
      <c r="AL10" s="46" t="str">
        <f>DATA!V11</f>
        <v>S(-)*1;M(-)*2;L(-)*2;XL(-)*1</v>
      </c>
      <c r="AM10" s="46" t="str">
        <f>DATA!W11</f>
        <v>ROU04441-S1M2L2XL1-655-A</v>
      </c>
      <c r="AN10" s="46"/>
    </row>
    <row r="11" spans="1:40" ht="23.25" hidden="1" customHeight="1" x14ac:dyDescent="0.35">
      <c r="A11" s="46">
        <f>DATA!C12</f>
        <v>0</v>
      </c>
      <c r="B11" s="46">
        <f>DATA!D12</f>
        <v>0</v>
      </c>
      <c r="C11" s="46">
        <f>DATA!F12</f>
        <v>0</v>
      </c>
      <c r="D11" s="46">
        <f>DATA!G12</f>
        <v>0</v>
      </c>
      <c r="E11" s="46">
        <f>DATA!H12</f>
        <v>0</v>
      </c>
      <c r="F11" s="46">
        <f>DATA!I12</f>
        <v>0</v>
      </c>
      <c r="G11" s="46"/>
      <c r="H11" s="46"/>
      <c r="I11" s="45">
        <f>DATA!L12</f>
        <v>0</v>
      </c>
      <c r="J11" s="46"/>
      <c r="K11" s="46">
        <f>DATA!O12</f>
        <v>0</v>
      </c>
      <c r="L11" s="46">
        <f>DATA!Q12</f>
        <v>0</v>
      </c>
      <c r="M11" s="46">
        <f>DATA!R12</f>
        <v>0</v>
      </c>
      <c r="N11" s="46"/>
      <c r="O11" s="46"/>
      <c r="P11" s="46">
        <f>DATA!U12</f>
        <v>0</v>
      </c>
      <c r="Q11" s="46">
        <f>DATA!V12</f>
        <v>0</v>
      </c>
      <c r="R11" s="46">
        <f>DATA!W12</f>
        <v>0</v>
      </c>
      <c r="S11" s="46"/>
      <c r="V11" s="46">
        <f>DATA!C12</f>
        <v>0</v>
      </c>
      <c r="W11" s="46">
        <f>DATA!D12</f>
        <v>0</v>
      </c>
      <c r="X11" s="46">
        <f>DATA!F12</f>
        <v>0</v>
      </c>
      <c r="Y11" s="46">
        <f>DATA!G12</f>
        <v>0</v>
      </c>
      <c r="Z11" s="46">
        <f>DATA!H12</f>
        <v>0</v>
      </c>
      <c r="AA11" s="46">
        <f>DATA!I12</f>
        <v>0</v>
      </c>
      <c r="AB11" s="46"/>
      <c r="AC11" s="46"/>
      <c r="AD11" s="45">
        <f>DATA!L12</f>
        <v>0</v>
      </c>
      <c r="AE11" s="46"/>
      <c r="AF11" s="46">
        <f>DATA!O12</f>
        <v>0</v>
      </c>
      <c r="AG11" s="46">
        <f>DATA!Q12</f>
        <v>0</v>
      </c>
      <c r="AH11" s="46">
        <f>DATA!R12</f>
        <v>0</v>
      </c>
      <c r="AI11" s="46"/>
      <c r="AJ11" s="46"/>
      <c r="AK11" s="46">
        <f>DATA!U12</f>
        <v>0</v>
      </c>
      <c r="AL11" s="46">
        <f>DATA!V12</f>
        <v>0</v>
      </c>
      <c r="AM11" s="46">
        <f>DATA!W12</f>
        <v>0</v>
      </c>
      <c r="AN11" s="46"/>
    </row>
    <row r="12" spans="1:40" ht="23.25" hidden="1" customHeight="1" x14ac:dyDescent="0.35">
      <c r="A12" s="46">
        <f>DATA!C13</f>
        <v>0</v>
      </c>
      <c r="B12" s="46">
        <f>DATA!D13</f>
        <v>0</v>
      </c>
      <c r="C12" s="46">
        <f>DATA!F13</f>
        <v>0</v>
      </c>
      <c r="D12" s="46">
        <f>DATA!G13</f>
        <v>0</v>
      </c>
      <c r="E12" s="46">
        <f>DATA!H13</f>
        <v>0</v>
      </c>
      <c r="F12" s="46">
        <f>DATA!I13</f>
        <v>0</v>
      </c>
      <c r="G12" s="46"/>
      <c r="H12" s="46"/>
      <c r="I12" s="45">
        <f>DATA!L13</f>
        <v>0</v>
      </c>
      <c r="J12" s="46"/>
      <c r="K12" s="46">
        <f>DATA!O13</f>
        <v>0</v>
      </c>
      <c r="L12" s="46">
        <f>DATA!Q13</f>
        <v>0</v>
      </c>
      <c r="M12" s="46">
        <f>DATA!R13</f>
        <v>0</v>
      </c>
      <c r="N12" s="46"/>
      <c r="O12" s="46"/>
      <c r="P12" s="46">
        <f>DATA!U13</f>
        <v>0</v>
      </c>
      <c r="Q12" s="46">
        <f>DATA!V13</f>
        <v>0</v>
      </c>
      <c r="R12" s="46">
        <f>DATA!W13</f>
        <v>0</v>
      </c>
      <c r="S12" s="46"/>
      <c r="V12" s="46">
        <f>DATA!C13</f>
        <v>0</v>
      </c>
      <c r="W12" s="46">
        <f>DATA!D13</f>
        <v>0</v>
      </c>
      <c r="X12" s="46">
        <f>DATA!F13</f>
        <v>0</v>
      </c>
      <c r="Y12" s="46">
        <f>DATA!G13</f>
        <v>0</v>
      </c>
      <c r="Z12" s="46">
        <f>DATA!H13</f>
        <v>0</v>
      </c>
      <c r="AA12" s="46">
        <f>DATA!I13</f>
        <v>0</v>
      </c>
      <c r="AB12" s="46"/>
      <c r="AC12" s="46"/>
      <c r="AD12" s="45">
        <f>DATA!L13</f>
        <v>0</v>
      </c>
      <c r="AE12" s="46"/>
      <c r="AF12" s="46">
        <f>DATA!O13</f>
        <v>0</v>
      </c>
      <c r="AG12" s="46">
        <f>DATA!Q13</f>
        <v>0</v>
      </c>
      <c r="AH12" s="46">
        <f>DATA!R13</f>
        <v>0</v>
      </c>
      <c r="AI12" s="46"/>
      <c r="AJ12" s="46"/>
      <c r="AK12" s="46">
        <f>DATA!U13</f>
        <v>0</v>
      </c>
      <c r="AL12" s="46">
        <f>DATA!V13</f>
        <v>0</v>
      </c>
      <c r="AM12" s="46">
        <f>DATA!W13</f>
        <v>0</v>
      </c>
      <c r="AN12" s="46"/>
    </row>
    <row r="13" spans="1:40" ht="23.25" hidden="1" customHeight="1" x14ac:dyDescent="0.35">
      <c r="A13" s="46">
        <f>DATA!C14</f>
        <v>0</v>
      </c>
      <c r="B13" s="46">
        <f>DATA!D14</f>
        <v>0</v>
      </c>
      <c r="C13" s="46">
        <f>DATA!F14</f>
        <v>0</v>
      </c>
      <c r="D13" s="46">
        <f>DATA!G14</f>
        <v>0</v>
      </c>
      <c r="E13" s="46">
        <f>DATA!H14</f>
        <v>0</v>
      </c>
      <c r="F13" s="46">
        <f>DATA!I14</f>
        <v>0</v>
      </c>
      <c r="G13" s="46"/>
      <c r="H13" s="46"/>
      <c r="I13" s="45">
        <f>DATA!L14</f>
        <v>0</v>
      </c>
      <c r="J13" s="46"/>
      <c r="K13" s="46">
        <f>DATA!O14</f>
        <v>0</v>
      </c>
      <c r="L13" s="46">
        <f>DATA!Q14</f>
        <v>0</v>
      </c>
      <c r="M13" s="46">
        <f>DATA!R14</f>
        <v>0</v>
      </c>
      <c r="N13" s="46"/>
      <c r="O13" s="46"/>
      <c r="P13" s="46">
        <f>DATA!U14</f>
        <v>0</v>
      </c>
      <c r="Q13" s="46">
        <f>DATA!V14</f>
        <v>0</v>
      </c>
      <c r="R13" s="46">
        <f>DATA!W14</f>
        <v>0</v>
      </c>
      <c r="S13" s="46"/>
      <c r="V13" s="46">
        <f>DATA!C14</f>
        <v>0</v>
      </c>
      <c r="W13" s="46">
        <f>DATA!D14</f>
        <v>0</v>
      </c>
      <c r="X13" s="46">
        <f>DATA!F14</f>
        <v>0</v>
      </c>
      <c r="Y13" s="46">
        <f>DATA!G14</f>
        <v>0</v>
      </c>
      <c r="Z13" s="46">
        <f>DATA!H14</f>
        <v>0</v>
      </c>
      <c r="AA13" s="46">
        <f>DATA!I14</f>
        <v>0</v>
      </c>
      <c r="AB13" s="46"/>
      <c r="AC13" s="46"/>
      <c r="AD13" s="45">
        <f>DATA!L14</f>
        <v>0</v>
      </c>
      <c r="AE13" s="46"/>
      <c r="AF13" s="46">
        <f>DATA!O14</f>
        <v>0</v>
      </c>
      <c r="AG13" s="46">
        <f>DATA!Q14</f>
        <v>0</v>
      </c>
      <c r="AH13" s="46">
        <f>DATA!R14</f>
        <v>0</v>
      </c>
      <c r="AI13" s="46"/>
      <c r="AJ13" s="46"/>
      <c r="AK13" s="46">
        <f>DATA!U14</f>
        <v>0</v>
      </c>
      <c r="AL13" s="46">
        <f>DATA!V14</f>
        <v>0</v>
      </c>
      <c r="AM13" s="46">
        <f>DATA!W14</f>
        <v>0</v>
      </c>
      <c r="AN13" s="46"/>
    </row>
    <row r="14" spans="1:40" ht="23.25" hidden="1" customHeight="1" x14ac:dyDescent="0.35">
      <c r="A14" s="46">
        <f>DATA!C15</f>
        <v>0</v>
      </c>
      <c r="B14" s="46">
        <f>DATA!D15</f>
        <v>0</v>
      </c>
      <c r="C14" s="46">
        <f>DATA!F15</f>
        <v>0</v>
      </c>
      <c r="D14" s="46">
        <f>DATA!G15</f>
        <v>0</v>
      </c>
      <c r="E14" s="46">
        <f>DATA!H15</f>
        <v>0</v>
      </c>
      <c r="F14" s="46">
        <f>DATA!I15</f>
        <v>0</v>
      </c>
      <c r="G14" s="46"/>
      <c r="H14" s="46"/>
      <c r="I14" s="45">
        <f>DATA!L15</f>
        <v>0</v>
      </c>
      <c r="J14" s="46"/>
      <c r="K14" s="46">
        <f>DATA!O15</f>
        <v>0</v>
      </c>
      <c r="L14" s="46">
        <f>DATA!Q15</f>
        <v>0</v>
      </c>
      <c r="M14" s="46">
        <f>DATA!R15</f>
        <v>0</v>
      </c>
      <c r="N14" s="46"/>
      <c r="O14" s="46"/>
      <c r="P14" s="46">
        <f>DATA!U15</f>
        <v>0</v>
      </c>
      <c r="Q14" s="46">
        <f>DATA!V15</f>
        <v>0</v>
      </c>
      <c r="R14" s="46">
        <f>DATA!W15</f>
        <v>0</v>
      </c>
      <c r="S14" s="46"/>
      <c r="V14" s="46">
        <f>DATA!C15</f>
        <v>0</v>
      </c>
      <c r="W14" s="46">
        <f>DATA!D15</f>
        <v>0</v>
      </c>
      <c r="X14" s="46">
        <f>DATA!F15</f>
        <v>0</v>
      </c>
      <c r="Y14" s="46">
        <f>DATA!G15</f>
        <v>0</v>
      </c>
      <c r="Z14" s="46">
        <f>DATA!H15</f>
        <v>0</v>
      </c>
      <c r="AA14" s="46">
        <f>DATA!I15</f>
        <v>0</v>
      </c>
      <c r="AB14" s="46"/>
      <c r="AC14" s="46"/>
      <c r="AD14" s="45">
        <f>DATA!L15</f>
        <v>0</v>
      </c>
      <c r="AE14" s="46"/>
      <c r="AF14" s="46">
        <f>DATA!O15</f>
        <v>0</v>
      </c>
      <c r="AG14" s="46">
        <f>DATA!Q15</f>
        <v>0</v>
      </c>
      <c r="AH14" s="46">
        <f>DATA!R15</f>
        <v>0</v>
      </c>
      <c r="AI14" s="46"/>
      <c r="AJ14" s="46"/>
      <c r="AK14" s="46">
        <f>DATA!U15</f>
        <v>0</v>
      </c>
      <c r="AL14" s="46">
        <f>DATA!V15</f>
        <v>0</v>
      </c>
      <c r="AM14" s="46">
        <f>DATA!W15</f>
        <v>0</v>
      </c>
      <c r="AN14" s="46"/>
    </row>
    <row r="15" spans="1:40" ht="23.25" hidden="1" customHeight="1" x14ac:dyDescent="0.35">
      <c r="A15" s="46">
        <f>DATA!C16</f>
        <v>0</v>
      </c>
      <c r="B15" s="46">
        <f>DATA!D16</f>
        <v>0</v>
      </c>
      <c r="C15" s="46">
        <f>DATA!F16</f>
        <v>0</v>
      </c>
      <c r="D15" s="46">
        <f>DATA!G16</f>
        <v>0</v>
      </c>
      <c r="E15" s="46">
        <f>DATA!H16</f>
        <v>0</v>
      </c>
      <c r="F15" s="46">
        <f>DATA!I16</f>
        <v>0</v>
      </c>
      <c r="G15" s="46"/>
      <c r="H15" s="46"/>
      <c r="I15" s="45">
        <f>DATA!L16</f>
        <v>0</v>
      </c>
      <c r="J15" s="46"/>
      <c r="K15" s="46">
        <f>DATA!O16</f>
        <v>0</v>
      </c>
      <c r="L15" s="46">
        <f>DATA!Q16</f>
        <v>0</v>
      </c>
      <c r="M15" s="46">
        <f>DATA!R16</f>
        <v>0</v>
      </c>
      <c r="N15" s="46"/>
      <c r="O15" s="46"/>
      <c r="P15" s="46">
        <f>DATA!U16</f>
        <v>0</v>
      </c>
      <c r="Q15" s="46">
        <f>DATA!V16</f>
        <v>0</v>
      </c>
      <c r="R15" s="46">
        <f>DATA!W16</f>
        <v>0</v>
      </c>
      <c r="S15" s="46"/>
      <c r="V15" s="46">
        <f>DATA!C16</f>
        <v>0</v>
      </c>
      <c r="W15" s="46">
        <f>DATA!D16</f>
        <v>0</v>
      </c>
      <c r="X15" s="46">
        <f>DATA!F16</f>
        <v>0</v>
      </c>
      <c r="Y15" s="46">
        <f>DATA!G16</f>
        <v>0</v>
      </c>
      <c r="Z15" s="46">
        <f>DATA!H16</f>
        <v>0</v>
      </c>
      <c r="AA15" s="46">
        <f>DATA!I16</f>
        <v>0</v>
      </c>
      <c r="AB15" s="46"/>
      <c r="AC15" s="46"/>
      <c r="AD15" s="45">
        <f>DATA!L16</f>
        <v>0</v>
      </c>
      <c r="AE15" s="46"/>
      <c r="AF15" s="46">
        <f>DATA!O16</f>
        <v>0</v>
      </c>
      <c r="AG15" s="46">
        <f>DATA!Q16</f>
        <v>0</v>
      </c>
      <c r="AH15" s="46">
        <f>DATA!R16</f>
        <v>0</v>
      </c>
      <c r="AI15" s="46"/>
      <c r="AJ15" s="46"/>
      <c r="AK15" s="46">
        <f>DATA!U16</f>
        <v>0</v>
      </c>
      <c r="AL15" s="46">
        <f>DATA!V16</f>
        <v>0</v>
      </c>
      <c r="AM15" s="46">
        <f>DATA!W16</f>
        <v>0</v>
      </c>
      <c r="AN15" s="46"/>
    </row>
    <row r="16" spans="1:40" ht="23.25" hidden="1" customHeight="1" x14ac:dyDescent="0.35">
      <c r="A16" s="46">
        <f>DATA!C17</f>
        <v>0</v>
      </c>
      <c r="B16" s="46">
        <f>DATA!D17</f>
        <v>0</v>
      </c>
      <c r="C16" s="46">
        <f>DATA!F17</f>
        <v>0</v>
      </c>
      <c r="D16" s="46">
        <f>DATA!G17</f>
        <v>0</v>
      </c>
      <c r="E16" s="46">
        <f>DATA!H17</f>
        <v>0</v>
      </c>
      <c r="F16" s="46">
        <f>DATA!I17</f>
        <v>0</v>
      </c>
      <c r="G16" s="46"/>
      <c r="H16" s="46"/>
      <c r="I16" s="45">
        <f>DATA!L17</f>
        <v>0</v>
      </c>
      <c r="J16" s="46"/>
      <c r="K16" s="46">
        <f>DATA!O17</f>
        <v>0</v>
      </c>
      <c r="L16" s="46">
        <f>DATA!Q17</f>
        <v>0</v>
      </c>
      <c r="M16" s="46">
        <f>DATA!R17</f>
        <v>0</v>
      </c>
      <c r="N16" s="46"/>
      <c r="O16" s="46"/>
      <c r="P16" s="46">
        <f>DATA!U17</f>
        <v>0</v>
      </c>
      <c r="Q16" s="46">
        <f>DATA!V17</f>
        <v>0</v>
      </c>
      <c r="R16" s="46">
        <f>DATA!W17</f>
        <v>0</v>
      </c>
      <c r="S16" s="46"/>
      <c r="V16" s="46">
        <f>DATA!C17</f>
        <v>0</v>
      </c>
      <c r="W16" s="46">
        <f>DATA!D17</f>
        <v>0</v>
      </c>
      <c r="X16" s="46">
        <f>DATA!F17</f>
        <v>0</v>
      </c>
      <c r="Y16" s="46">
        <f>DATA!G17</f>
        <v>0</v>
      </c>
      <c r="Z16" s="46">
        <f>DATA!H17</f>
        <v>0</v>
      </c>
      <c r="AA16" s="46">
        <f>DATA!I17</f>
        <v>0</v>
      </c>
      <c r="AB16" s="46"/>
      <c r="AC16" s="46"/>
      <c r="AD16" s="45">
        <f>DATA!L17</f>
        <v>0</v>
      </c>
      <c r="AE16" s="46"/>
      <c r="AF16" s="46">
        <f>DATA!O17</f>
        <v>0</v>
      </c>
      <c r="AG16" s="46">
        <f>DATA!Q17</f>
        <v>0</v>
      </c>
      <c r="AH16" s="46">
        <f>DATA!R17</f>
        <v>0</v>
      </c>
      <c r="AI16" s="46"/>
      <c r="AJ16" s="46"/>
      <c r="AK16" s="46">
        <f>DATA!U17</f>
        <v>0</v>
      </c>
      <c r="AL16" s="46">
        <f>DATA!V17</f>
        <v>0</v>
      </c>
      <c r="AM16" s="46">
        <f>DATA!W17</f>
        <v>0</v>
      </c>
      <c r="AN16" s="46"/>
    </row>
    <row r="17" spans="1:40" ht="23.25" hidden="1" customHeight="1" x14ac:dyDescent="0.35">
      <c r="A17" s="46">
        <f>DATA!C18</f>
        <v>0</v>
      </c>
      <c r="B17" s="46">
        <f>DATA!D18</f>
        <v>0</v>
      </c>
      <c r="C17" s="46">
        <f>DATA!F18</f>
        <v>0</v>
      </c>
      <c r="D17" s="46">
        <f>DATA!G18</f>
        <v>0</v>
      </c>
      <c r="E17" s="46">
        <f>DATA!H18</f>
        <v>0</v>
      </c>
      <c r="F17" s="46">
        <f>DATA!I18</f>
        <v>0</v>
      </c>
      <c r="G17" s="46"/>
      <c r="H17" s="46"/>
      <c r="I17" s="45">
        <f>DATA!L18</f>
        <v>0</v>
      </c>
      <c r="J17" s="46"/>
      <c r="K17" s="46">
        <f>DATA!O18</f>
        <v>0</v>
      </c>
      <c r="L17" s="46">
        <f>DATA!Q18</f>
        <v>0</v>
      </c>
      <c r="M17" s="46">
        <f>DATA!R18</f>
        <v>0</v>
      </c>
      <c r="N17" s="46"/>
      <c r="O17" s="46"/>
      <c r="P17" s="46">
        <f>DATA!U18</f>
        <v>0</v>
      </c>
      <c r="Q17" s="46">
        <f>DATA!V18</f>
        <v>0</v>
      </c>
      <c r="R17" s="46">
        <f>DATA!W18</f>
        <v>0</v>
      </c>
      <c r="S17" s="46"/>
      <c r="V17" s="46">
        <f>DATA!C18</f>
        <v>0</v>
      </c>
      <c r="W17" s="46">
        <f>DATA!D18</f>
        <v>0</v>
      </c>
      <c r="X17" s="46">
        <f>DATA!F18</f>
        <v>0</v>
      </c>
      <c r="Y17" s="46">
        <f>DATA!G18</f>
        <v>0</v>
      </c>
      <c r="Z17" s="46">
        <f>DATA!H18</f>
        <v>0</v>
      </c>
      <c r="AA17" s="46">
        <f>DATA!I18</f>
        <v>0</v>
      </c>
      <c r="AB17" s="46"/>
      <c r="AC17" s="46"/>
      <c r="AD17" s="45">
        <f>DATA!L18</f>
        <v>0</v>
      </c>
      <c r="AE17" s="46"/>
      <c r="AF17" s="46">
        <f>DATA!O18</f>
        <v>0</v>
      </c>
      <c r="AG17" s="46">
        <f>DATA!Q18</f>
        <v>0</v>
      </c>
      <c r="AH17" s="46">
        <f>DATA!R18</f>
        <v>0</v>
      </c>
      <c r="AI17" s="46"/>
      <c r="AJ17" s="46"/>
      <c r="AK17" s="46">
        <f>DATA!U18</f>
        <v>0</v>
      </c>
      <c r="AL17" s="46">
        <f>DATA!V18</f>
        <v>0</v>
      </c>
      <c r="AM17" s="46">
        <f>DATA!W18</f>
        <v>0</v>
      </c>
      <c r="AN17" s="46"/>
    </row>
    <row r="18" spans="1:40" ht="23.25" hidden="1" customHeight="1" x14ac:dyDescent="0.35">
      <c r="A18" s="46">
        <f>DATA!C19</f>
        <v>0</v>
      </c>
      <c r="B18" s="46">
        <f>DATA!D19</f>
        <v>0</v>
      </c>
      <c r="C18" s="46">
        <f>DATA!F19</f>
        <v>0</v>
      </c>
      <c r="D18" s="46">
        <f>DATA!G19</f>
        <v>0</v>
      </c>
      <c r="E18" s="46">
        <f>DATA!H19</f>
        <v>0</v>
      </c>
      <c r="F18" s="46">
        <f>DATA!I19</f>
        <v>0</v>
      </c>
      <c r="G18" s="46"/>
      <c r="H18" s="46"/>
      <c r="I18" s="45">
        <f>DATA!L19</f>
        <v>0</v>
      </c>
      <c r="J18" s="46"/>
      <c r="K18" s="46">
        <f>DATA!O19</f>
        <v>0</v>
      </c>
      <c r="L18" s="46">
        <f>DATA!Q19</f>
        <v>0</v>
      </c>
      <c r="M18" s="46">
        <f>DATA!R19</f>
        <v>0</v>
      </c>
      <c r="N18" s="46"/>
      <c r="O18" s="46"/>
      <c r="P18" s="46">
        <f>DATA!U19</f>
        <v>0</v>
      </c>
      <c r="Q18" s="46">
        <f>DATA!V19</f>
        <v>0</v>
      </c>
      <c r="R18" s="46">
        <f>DATA!W19</f>
        <v>0</v>
      </c>
      <c r="S18" s="46"/>
      <c r="V18" s="46">
        <f>DATA!C19</f>
        <v>0</v>
      </c>
      <c r="W18" s="46">
        <f>DATA!D19</f>
        <v>0</v>
      </c>
      <c r="X18" s="46">
        <f>DATA!F19</f>
        <v>0</v>
      </c>
      <c r="Y18" s="46">
        <f>DATA!G19</f>
        <v>0</v>
      </c>
      <c r="Z18" s="46">
        <f>DATA!H19</f>
        <v>0</v>
      </c>
      <c r="AA18" s="46">
        <f>DATA!I19</f>
        <v>0</v>
      </c>
      <c r="AB18" s="46"/>
      <c r="AC18" s="46"/>
      <c r="AD18" s="45">
        <f>DATA!L19</f>
        <v>0</v>
      </c>
      <c r="AE18" s="46"/>
      <c r="AF18" s="46">
        <f>DATA!O19</f>
        <v>0</v>
      </c>
      <c r="AG18" s="46">
        <f>DATA!Q19</f>
        <v>0</v>
      </c>
      <c r="AH18" s="46">
        <f>DATA!R19</f>
        <v>0</v>
      </c>
      <c r="AI18" s="46"/>
      <c r="AJ18" s="46"/>
      <c r="AK18" s="46">
        <f>DATA!U19</f>
        <v>0</v>
      </c>
      <c r="AL18" s="46">
        <f>DATA!V19</f>
        <v>0</v>
      </c>
      <c r="AM18" s="46">
        <f>DATA!W19</f>
        <v>0</v>
      </c>
      <c r="AN18" s="46"/>
    </row>
    <row r="19" spans="1:40" ht="23.25" hidden="1" customHeight="1" x14ac:dyDescent="0.35">
      <c r="A19" s="46">
        <f>DATA!C20</f>
        <v>0</v>
      </c>
      <c r="B19" s="46">
        <f>DATA!D20</f>
        <v>0</v>
      </c>
      <c r="C19" s="46">
        <f>DATA!F20</f>
        <v>0</v>
      </c>
      <c r="D19" s="46">
        <f>DATA!G20</f>
        <v>0</v>
      </c>
      <c r="E19" s="46">
        <f>DATA!H20</f>
        <v>0</v>
      </c>
      <c r="F19" s="46">
        <f>DATA!I20</f>
        <v>0</v>
      </c>
      <c r="G19" s="46"/>
      <c r="H19" s="46"/>
      <c r="I19" s="45">
        <f>DATA!L20</f>
        <v>0</v>
      </c>
      <c r="J19" s="46"/>
      <c r="K19" s="46">
        <f>DATA!O20</f>
        <v>0</v>
      </c>
      <c r="L19" s="46">
        <f>DATA!Q20</f>
        <v>0</v>
      </c>
      <c r="M19" s="46">
        <f>DATA!R20</f>
        <v>0</v>
      </c>
      <c r="N19" s="46"/>
      <c r="O19" s="46"/>
      <c r="P19" s="46">
        <f>DATA!U20</f>
        <v>0</v>
      </c>
      <c r="Q19" s="46">
        <f>DATA!V20</f>
        <v>0</v>
      </c>
      <c r="R19" s="46">
        <f>DATA!W20</f>
        <v>0</v>
      </c>
      <c r="S19" s="46"/>
      <c r="V19" s="46">
        <f>DATA!C20</f>
        <v>0</v>
      </c>
      <c r="W19" s="46">
        <f>DATA!D20</f>
        <v>0</v>
      </c>
      <c r="X19" s="46">
        <f>DATA!F20</f>
        <v>0</v>
      </c>
      <c r="Y19" s="46">
        <f>DATA!G20</f>
        <v>0</v>
      </c>
      <c r="Z19" s="46">
        <f>DATA!H20</f>
        <v>0</v>
      </c>
      <c r="AA19" s="46">
        <f>DATA!I20</f>
        <v>0</v>
      </c>
      <c r="AB19" s="46"/>
      <c r="AC19" s="46"/>
      <c r="AD19" s="45">
        <f>DATA!L20</f>
        <v>0</v>
      </c>
      <c r="AE19" s="46"/>
      <c r="AF19" s="46">
        <f>DATA!O20</f>
        <v>0</v>
      </c>
      <c r="AG19" s="46">
        <f>DATA!Q20</f>
        <v>0</v>
      </c>
      <c r="AH19" s="46">
        <f>DATA!R20</f>
        <v>0</v>
      </c>
      <c r="AI19" s="46"/>
      <c r="AJ19" s="46"/>
      <c r="AK19" s="46">
        <f>DATA!U20</f>
        <v>0</v>
      </c>
      <c r="AL19" s="46">
        <f>DATA!V20</f>
        <v>0</v>
      </c>
      <c r="AM19" s="46">
        <f>DATA!W20</f>
        <v>0</v>
      </c>
      <c r="AN19" s="46"/>
    </row>
    <row r="20" spans="1:40" ht="23.25" hidden="1" customHeight="1" x14ac:dyDescent="0.35">
      <c r="A20" s="46">
        <f>DATA!C21</f>
        <v>0</v>
      </c>
      <c r="B20" s="46">
        <f>DATA!D21</f>
        <v>0</v>
      </c>
      <c r="C20" s="46">
        <f>DATA!F21</f>
        <v>0</v>
      </c>
      <c r="D20" s="46">
        <f>DATA!G21</f>
        <v>0</v>
      </c>
      <c r="E20" s="46">
        <f>DATA!H21</f>
        <v>0</v>
      </c>
      <c r="F20" s="46">
        <f>DATA!I21</f>
        <v>0</v>
      </c>
      <c r="G20" s="46"/>
      <c r="H20" s="46"/>
      <c r="I20" s="45">
        <f>DATA!L21</f>
        <v>0</v>
      </c>
      <c r="J20" s="46"/>
      <c r="K20" s="46">
        <f>DATA!O21</f>
        <v>0</v>
      </c>
      <c r="L20" s="46">
        <f>DATA!Q21</f>
        <v>0</v>
      </c>
      <c r="M20" s="46">
        <f>DATA!R21</f>
        <v>0</v>
      </c>
      <c r="N20" s="46"/>
      <c r="O20" s="46"/>
      <c r="P20" s="46">
        <f>DATA!U21</f>
        <v>0</v>
      </c>
      <c r="Q20" s="46">
        <f>DATA!V21</f>
        <v>0</v>
      </c>
      <c r="R20" s="46">
        <f>DATA!W21</f>
        <v>0</v>
      </c>
      <c r="S20" s="46"/>
      <c r="V20" s="46">
        <f>DATA!C21</f>
        <v>0</v>
      </c>
      <c r="W20" s="46">
        <f>DATA!D21</f>
        <v>0</v>
      </c>
      <c r="X20" s="46">
        <f>DATA!F21</f>
        <v>0</v>
      </c>
      <c r="Y20" s="46">
        <f>DATA!G21</f>
        <v>0</v>
      </c>
      <c r="Z20" s="46">
        <f>DATA!H21</f>
        <v>0</v>
      </c>
      <c r="AA20" s="46">
        <f>DATA!I21</f>
        <v>0</v>
      </c>
      <c r="AB20" s="46"/>
      <c r="AC20" s="46"/>
      <c r="AD20" s="45">
        <f>DATA!L21</f>
        <v>0</v>
      </c>
      <c r="AE20" s="46"/>
      <c r="AF20" s="46">
        <f>DATA!O21</f>
        <v>0</v>
      </c>
      <c r="AG20" s="46">
        <f>DATA!Q21</f>
        <v>0</v>
      </c>
      <c r="AH20" s="46">
        <f>DATA!R21</f>
        <v>0</v>
      </c>
      <c r="AI20" s="46"/>
      <c r="AJ20" s="46"/>
      <c r="AK20" s="46">
        <f>DATA!U21</f>
        <v>0</v>
      </c>
      <c r="AL20" s="46">
        <f>DATA!V21</f>
        <v>0</v>
      </c>
      <c r="AM20" s="46">
        <f>DATA!W21</f>
        <v>0</v>
      </c>
      <c r="AN20" s="46"/>
    </row>
    <row r="21" spans="1:40" ht="23.25" hidden="1" customHeight="1" x14ac:dyDescent="0.35">
      <c r="A21" s="46">
        <f>DATA!C22</f>
        <v>0</v>
      </c>
      <c r="B21" s="46">
        <f>DATA!D22</f>
        <v>0</v>
      </c>
      <c r="C21" s="46">
        <f>DATA!F22</f>
        <v>0</v>
      </c>
      <c r="D21" s="46">
        <f>DATA!G22</f>
        <v>0</v>
      </c>
      <c r="E21" s="46">
        <f>DATA!H22</f>
        <v>0</v>
      </c>
      <c r="F21" s="46">
        <f>DATA!I22</f>
        <v>0</v>
      </c>
      <c r="G21" s="46"/>
      <c r="H21" s="46"/>
      <c r="I21" s="45">
        <f>DATA!L22</f>
        <v>0</v>
      </c>
      <c r="J21" s="46"/>
      <c r="K21" s="46">
        <f>DATA!O22</f>
        <v>0</v>
      </c>
      <c r="L21" s="46">
        <f>DATA!Q22</f>
        <v>0</v>
      </c>
      <c r="M21" s="46">
        <f>DATA!R22</f>
        <v>0</v>
      </c>
      <c r="N21" s="46"/>
      <c r="O21" s="46"/>
      <c r="P21" s="46">
        <f>DATA!U22</f>
        <v>0</v>
      </c>
      <c r="Q21" s="46">
        <f>DATA!V22</f>
        <v>0</v>
      </c>
      <c r="R21" s="46">
        <f>DATA!W22</f>
        <v>0</v>
      </c>
      <c r="S21" s="46"/>
      <c r="V21" s="46">
        <f>DATA!C22</f>
        <v>0</v>
      </c>
      <c r="W21" s="46">
        <f>DATA!D22</f>
        <v>0</v>
      </c>
      <c r="X21" s="46">
        <f>DATA!F22</f>
        <v>0</v>
      </c>
      <c r="Y21" s="46">
        <f>DATA!G22</f>
        <v>0</v>
      </c>
      <c r="Z21" s="46">
        <f>DATA!H22</f>
        <v>0</v>
      </c>
      <c r="AA21" s="46">
        <f>DATA!I22</f>
        <v>0</v>
      </c>
      <c r="AB21" s="46"/>
      <c r="AC21" s="46"/>
      <c r="AD21" s="45">
        <f>DATA!L22</f>
        <v>0</v>
      </c>
      <c r="AE21" s="46"/>
      <c r="AF21" s="46">
        <f>DATA!O22</f>
        <v>0</v>
      </c>
      <c r="AG21" s="46">
        <f>DATA!Q22</f>
        <v>0</v>
      </c>
      <c r="AH21" s="46">
        <f>DATA!R22</f>
        <v>0</v>
      </c>
      <c r="AI21" s="46"/>
      <c r="AJ21" s="46"/>
      <c r="AK21" s="46">
        <f>DATA!U22</f>
        <v>0</v>
      </c>
      <c r="AL21" s="46">
        <f>DATA!V22</f>
        <v>0</v>
      </c>
      <c r="AM21" s="46">
        <f>DATA!W22</f>
        <v>0</v>
      </c>
      <c r="AN21" s="46"/>
    </row>
    <row r="22" spans="1:40" ht="23.25" hidden="1" customHeight="1" x14ac:dyDescent="0.35">
      <c r="A22" s="46">
        <f>DATA!C23</f>
        <v>0</v>
      </c>
      <c r="B22" s="46">
        <f>DATA!D23</f>
        <v>0</v>
      </c>
      <c r="C22" s="46">
        <f>DATA!F23</f>
        <v>0</v>
      </c>
      <c r="D22" s="46">
        <f>DATA!G23</f>
        <v>0</v>
      </c>
      <c r="E22" s="46">
        <f>DATA!H23</f>
        <v>0</v>
      </c>
      <c r="F22" s="46">
        <f>DATA!I23</f>
        <v>0</v>
      </c>
      <c r="G22" s="46"/>
      <c r="H22" s="46"/>
      <c r="I22" s="45">
        <f>DATA!L23</f>
        <v>0</v>
      </c>
      <c r="J22" s="46"/>
      <c r="K22" s="46">
        <f>DATA!O23</f>
        <v>0</v>
      </c>
      <c r="L22" s="46">
        <f>DATA!Q23</f>
        <v>0</v>
      </c>
      <c r="M22" s="46">
        <f>DATA!R23</f>
        <v>0</v>
      </c>
      <c r="N22" s="46"/>
      <c r="O22" s="46"/>
      <c r="P22" s="46">
        <f>DATA!U23</f>
        <v>0</v>
      </c>
      <c r="Q22" s="46">
        <f>DATA!V23</f>
        <v>0</v>
      </c>
      <c r="R22" s="46">
        <f>DATA!W23</f>
        <v>0</v>
      </c>
      <c r="S22" s="46"/>
      <c r="V22" s="46">
        <f>DATA!C23</f>
        <v>0</v>
      </c>
      <c r="W22" s="46">
        <f>DATA!D23</f>
        <v>0</v>
      </c>
      <c r="X22" s="46">
        <f>DATA!F23</f>
        <v>0</v>
      </c>
      <c r="Y22" s="46">
        <f>DATA!G23</f>
        <v>0</v>
      </c>
      <c r="Z22" s="46">
        <f>DATA!H23</f>
        <v>0</v>
      </c>
      <c r="AA22" s="46">
        <f>DATA!I23</f>
        <v>0</v>
      </c>
      <c r="AB22" s="46"/>
      <c r="AC22" s="46"/>
      <c r="AD22" s="45">
        <f>DATA!L23</f>
        <v>0</v>
      </c>
      <c r="AE22" s="46"/>
      <c r="AF22" s="46">
        <f>DATA!O23</f>
        <v>0</v>
      </c>
      <c r="AG22" s="46">
        <f>DATA!Q23</f>
        <v>0</v>
      </c>
      <c r="AH22" s="46">
        <f>DATA!R23</f>
        <v>0</v>
      </c>
      <c r="AI22" s="46"/>
      <c r="AJ22" s="46"/>
      <c r="AK22" s="46">
        <f>DATA!U23</f>
        <v>0</v>
      </c>
      <c r="AL22" s="46">
        <f>DATA!V23</f>
        <v>0</v>
      </c>
      <c r="AM22" s="46">
        <f>DATA!W23</f>
        <v>0</v>
      </c>
      <c r="AN22" s="46"/>
    </row>
    <row r="23" spans="1:40" ht="23.25" hidden="1" customHeight="1" x14ac:dyDescent="0.35">
      <c r="A23" s="46">
        <f>DATA!C24</f>
        <v>0</v>
      </c>
      <c r="B23" s="46">
        <f>DATA!D24</f>
        <v>0</v>
      </c>
      <c r="C23" s="46">
        <f>DATA!F24</f>
        <v>0</v>
      </c>
      <c r="D23" s="46">
        <f>DATA!G24</f>
        <v>0</v>
      </c>
      <c r="E23" s="46">
        <f>DATA!H24</f>
        <v>0</v>
      </c>
      <c r="F23" s="46">
        <f>DATA!I24</f>
        <v>0</v>
      </c>
      <c r="G23" s="46"/>
      <c r="H23" s="46"/>
      <c r="I23" s="45">
        <f>DATA!L24</f>
        <v>0</v>
      </c>
      <c r="J23" s="46"/>
      <c r="K23" s="46">
        <f>DATA!O24</f>
        <v>0</v>
      </c>
      <c r="L23" s="46">
        <f>DATA!Q24</f>
        <v>0</v>
      </c>
      <c r="M23" s="46">
        <f>DATA!R24</f>
        <v>0</v>
      </c>
      <c r="N23" s="46"/>
      <c r="O23" s="46"/>
      <c r="P23" s="46">
        <f>DATA!U24</f>
        <v>0</v>
      </c>
      <c r="Q23" s="46">
        <f>DATA!V24</f>
        <v>0</v>
      </c>
      <c r="R23" s="46">
        <f>DATA!W24</f>
        <v>0</v>
      </c>
      <c r="S23" s="46"/>
      <c r="V23" s="46">
        <f>DATA!C24</f>
        <v>0</v>
      </c>
      <c r="W23" s="46">
        <f>DATA!D24</f>
        <v>0</v>
      </c>
      <c r="X23" s="46">
        <f>DATA!F24</f>
        <v>0</v>
      </c>
      <c r="Y23" s="46">
        <f>DATA!G24</f>
        <v>0</v>
      </c>
      <c r="Z23" s="46">
        <f>DATA!H24</f>
        <v>0</v>
      </c>
      <c r="AA23" s="46">
        <f>DATA!I24</f>
        <v>0</v>
      </c>
      <c r="AB23" s="46"/>
      <c r="AC23" s="46"/>
      <c r="AD23" s="45">
        <f>DATA!L24</f>
        <v>0</v>
      </c>
      <c r="AE23" s="46"/>
      <c r="AF23" s="46">
        <f>DATA!O24</f>
        <v>0</v>
      </c>
      <c r="AG23" s="46">
        <f>DATA!Q24</f>
        <v>0</v>
      </c>
      <c r="AH23" s="46">
        <f>DATA!R24</f>
        <v>0</v>
      </c>
      <c r="AI23" s="46"/>
      <c r="AJ23" s="46"/>
      <c r="AK23" s="46">
        <f>DATA!U24</f>
        <v>0</v>
      </c>
      <c r="AL23" s="46">
        <f>DATA!V24</f>
        <v>0</v>
      </c>
      <c r="AM23" s="46">
        <f>DATA!W24</f>
        <v>0</v>
      </c>
      <c r="AN23" s="46"/>
    </row>
    <row r="24" spans="1:40" ht="23.25" hidden="1" customHeight="1" x14ac:dyDescent="0.35">
      <c r="A24" s="46">
        <f>DATA!C25</f>
        <v>0</v>
      </c>
      <c r="B24" s="46">
        <f>DATA!D25</f>
        <v>0</v>
      </c>
      <c r="C24" s="46">
        <f>DATA!F25</f>
        <v>0</v>
      </c>
      <c r="D24" s="46">
        <f>DATA!G25</f>
        <v>0</v>
      </c>
      <c r="E24" s="46">
        <f>DATA!H25</f>
        <v>0</v>
      </c>
      <c r="F24" s="46">
        <f>DATA!I25</f>
        <v>0</v>
      </c>
      <c r="G24" s="46"/>
      <c r="H24" s="46"/>
      <c r="I24" s="45">
        <f>DATA!L25</f>
        <v>0</v>
      </c>
      <c r="J24" s="46"/>
      <c r="K24" s="46">
        <f>DATA!O25</f>
        <v>0</v>
      </c>
      <c r="L24" s="46">
        <f>DATA!Q25</f>
        <v>0</v>
      </c>
      <c r="M24" s="46">
        <f>DATA!R25</f>
        <v>0</v>
      </c>
      <c r="N24" s="46"/>
      <c r="O24" s="46"/>
      <c r="P24" s="46">
        <f>DATA!U25</f>
        <v>0</v>
      </c>
      <c r="Q24" s="46">
        <f>DATA!V25</f>
        <v>0</v>
      </c>
      <c r="R24" s="46">
        <f>DATA!W25</f>
        <v>0</v>
      </c>
      <c r="S24" s="46"/>
      <c r="V24" s="46">
        <f>DATA!C25</f>
        <v>0</v>
      </c>
      <c r="W24" s="46">
        <f>DATA!D25</f>
        <v>0</v>
      </c>
      <c r="X24" s="46">
        <f>DATA!F25</f>
        <v>0</v>
      </c>
      <c r="Y24" s="46">
        <f>DATA!G25</f>
        <v>0</v>
      </c>
      <c r="Z24" s="46">
        <f>DATA!H25</f>
        <v>0</v>
      </c>
      <c r="AA24" s="46">
        <f>DATA!I25</f>
        <v>0</v>
      </c>
      <c r="AB24" s="46"/>
      <c r="AC24" s="46"/>
      <c r="AD24" s="45">
        <f>DATA!L25</f>
        <v>0</v>
      </c>
      <c r="AE24" s="46"/>
      <c r="AF24" s="46">
        <f>DATA!O25</f>
        <v>0</v>
      </c>
      <c r="AG24" s="46">
        <f>DATA!Q25</f>
        <v>0</v>
      </c>
      <c r="AH24" s="46">
        <f>DATA!R25</f>
        <v>0</v>
      </c>
      <c r="AI24" s="46"/>
      <c r="AJ24" s="46"/>
      <c r="AK24" s="46">
        <f>DATA!U25</f>
        <v>0</v>
      </c>
      <c r="AL24" s="46">
        <f>DATA!V25</f>
        <v>0</v>
      </c>
      <c r="AM24" s="46">
        <f>DATA!W25</f>
        <v>0</v>
      </c>
      <c r="AN24" s="46"/>
    </row>
    <row r="25" spans="1:40" ht="23.25" hidden="1" customHeight="1" x14ac:dyDescent="0.35">
      <c r="A25" s="46">
        <f>DATA!C26</f>
        <v>0</v>
      </c>
      <c r="B25" s="46">
        <f>DATA!D26</f>
        <v>0</v>
      </c>
      <c r="C25" s="46">
        <f>DATA!F26</f>
        <v>0</v>
      </c>
      <c r="D25" s="46">
        <f>DATA!G26</f>
        <v>0</v>
      </c>
      <c r="E25" s="46">
        <f>DATA!H26</f>
        <v>0</v>
      </c>
      <c r="F25" s="46">
        <f>DATA!I26</f>
        <v>0</v>
      </c>
      <c r="G25" s="46"/>
      <c r="H25" s="46"/>
      <c r="I25" s="45">
        <f>DATA!L26</f>
        <v>0</v>
      </c>
      <c r="J25" s="46"/>
      <c r="K25" s="46">
        <f>DATA!O26</f>
        <v>0</v>
      </c>
      <c r="L25" s="46">
        <f>DATA!Q26</f>
        <v>0</v>
      </c>
      <c r="M25" s="46">
        <f>DATA!R26</f>
        <v>0</v>
      </c>
      <c r="N25" s="46"/>
      <c r="O25" s="46"/>
      <c r="P25" s="46">
        <f>DATA!U26</f>
        <v>0</v>
      </c>
      <c r="Q25" s="46">
        <f>DATA!V26</f>
        <v>0</v>
      </c>
      <c r="R25" s="46">
        <f>DATA!W26</f>
        <v>0</v>
      </c>
      <c r="S25" s="46"/>
      <c r="V25" s="46">
        <f>DATA!C26</f>
        <v>0</v>
      </c>
      <c r="W25" s="46">
        <f>DATA!D26</f>
        <v>0</v>
      </c>
      <c r="X25" s="46">
        <f>DATA!F26</f>
        <v>0</v>
      </c>
      <c r="Y25" s="46">
        <f>DATA!G26</f>
        <v>0</v>
      </c>
      <c r="Z25" s="46">
        <f>DATA!H26</f>
        <v>0</v>
      </c>
      <c r="AA25" s="46">
        <f>DATA!I26</f>
        <v>0</v>
      </c>
      <c r="AB25" s="46"/>
      <c r="AC25" s="46"/>
      <c r="AD25" s="45">
        <f>DATA!L26</f>
        <v>0</v>
      </c>
      <c r="AE25" s="46"/>
      <c r="AF25" s="46">
        <f>DATA!O26</f>
        <v>0</v>
      </c>
      <c r="AG25" s="46">
        <f>DATA!Q26</f>
        <v>0</v>
      </c>
      <c r="AH25" s="46">
        <f>DATA!R26</f>
        <v>0</v>
      </c>
      <c r="AI25" s="46"/>
      <c r="AJ25" s="46"/>
      <c r="AK25" s="46">
        <f>DATA!U26</f>
        <v>0</v>
      </c>
      <c r="AL25" s="46">
        <f>DATA!V26</f>
        <v>0</v>
      </c>
      <c r="AM25" s="46">
        <f>DATA!W26</f>
        <v>0</v>
      </c>
      <c r="AN25" s="46"/>
    </row>
    <row r="26" spans="1:40" ht="23.25" hidden="1" customHeight="1" x14ac:dyDescent="0.35">
      <c r="A26" s="46">
        <f>DATA!C27</f>
        <v>0</v>
      </c>
      <c r="B26" s="46">
        <f>DATA!D27</f>
        <v>0</v>
      </c>
      <c r="C26" s="46">
        <f>DATA!F27</f>
        <v>0</v>
      </c>
      <c r="D26" s="46">
        <f>DATA!G27</f>
        <v>0</v>
      </c>
      <c r="E26" s="46">
        <f>DATA!H27</f>
        <v>0</v>
      </c>
      <c r="F26" s="46">
        <f>DATA!I27</f>
        <v>0</v>
      </c>
      <c r="G26" s="46"/>
      <c r="H26" s="46"/>
      <c r="I26" s="45">
        <f>DATA!L27</f>
        <v>0</v>
      </c>
      <c r="J26" s="46"/>
      <c r="K26" s="46">
        <f>DATA!O27</f>
        <v>0</v>
      </c>
      <c r="L26" s="46">
        <f>DATA!Q27</f>
        <v>0</v>
      </c>
      <c r="M26" s="46">
        <f>DATA!R27</f>
        <v>0</v>
      </c>
      <c r="N26" s="46"/>
      <c r="O26" s="46"/>
      <c r="P26" s="46">
        <f>DATA!U27</f>
        <v>0</v>
      </c>
      <c r="Q26" s="46">
        <f>DATA!V27</f>
        <v>0</v>
      </c>
      <c r="R26" s="46">
        <f>DATA!W27</f>
        <v>0</v>
      </c>
      <c r="S26" s="46"/>
      <c r="V26" s="46">
        <f>DATA!C27</f>
        <v>0</v>
      </c>
      <c r="W26" s="46">
        <f>DATA!D27</f>
        <v>0</v>
      </c>
      <c r="X26" s="46">
        <f>DATA!F27</f>
        <v>0</v>
      </c>
      <c r="Y26" s="46">
        <f>DATA!G27</f>
        <v>0</v>
      </c>
      <c r="Z26" s="46">
        <f>DATA!H27</f>
        <v>0</v>
      </c>
      <c r="AA26" s="46">
        <f>DATA!I27</f>
        <v>0</v>
      </c>
      <c r="AB26" s="46"/>
      <c r="AC26" s="46"/>
      <c r="AD26" s="45">
        <f>DATA!L27</f>
        <v>0</v>
      </c>
      <c r="AE26" s="46"/>
      <c r="AF26" s="46">
        <f>DATA!O27</f>
        <v>0</v>
      </c>
      <c r="AG26" s="46">
        <f>DATA!Q27</f>
        <v>0</v>
      </c>
      <c r="AH26" s="46">
        <f>DATA!R27</f>
        <v>0</v>
      </c>
      <c r="AI26" s="46"/>
      <c r="AJ26" s="46"/>
      <c r="AK26" s="46">
        <f>DATA!U27</f>
        <v>0</v>
      </c>
      <c r="AL26" s="46">
        <f>DATA!V27</f>
        <v>0</v>
      </c>
      <c r="AM26" s="46">
        <f>DATA!W27</f>
        <v>0</v>
      </c>
      <c r="AN26" s="46"/>
    </row>
    <row r="27" spans="1:40" ht="23.25" hidden="1" customHeight="1" x14ac:dyDescent="0.35">
      <c r="A27" s="46">
        <f>DATA!C28</f>
        <v>0</v>
      </c>
      <c r="B27" s="46">
        <f>DATA!D28</f>
        <v>0</v>
      </c>
      <c r="C27" s="46">
        <f>DATA!F28</f>
        <v>0</v>
      </c>
      <c r="D27" s="46">
        <f>DATA!G28</f>
        <v>0</v>
      </c>
      <c r="E27" s="46">
        <f>DATA!H28</f>
        <v>0</v>
      </c>
      <c r="F27" s="46">
        <f>DATA!I28</f>
        <v>0</v>
      </c>
      <c r="G27" s="46"/>
      <c r="H27" s="46"/>
      <c r="I27" s="45">
        <f>DATA!L28</f>
        <v>0</v>
      </c>
      <c r="J27" s="46"/>
      <c r="K27" s="46">
        <f>DATA!O28</f>
        <v>0</v>
      </c>
      <c r="L27" s="46">
        <f>DATA!Q28</f>
        <v>0</v>
      </c>
      <c r="M27" s="46">
        <f>DATA!R28</f>
        <v>0</v>
      </c>
      <c r="N27" s="46"/>
      <c r="O27" s="46"/>
      <c r="P27" s="46">
        <f>DATA!U28</f>
        <v>0</v>
      </c>
      <c r="Q27" s="46">
        <f>DATA!V28</f>
        <v>0</v>
      </c>
      <c r="R27" s="46">
        <f>DATA!W28</f>
        <v>0</v>
      </c>
      <c r="S27" s="46"/>
      <c r="V27" s="46">
        <f>DATA!C28</f>
        <v>0</v>
      </c>
      <c r="W27" s="46">
        <f>DATA!D28</f>
        <v>0</v>
      </c>
      <c r="X27" s="46">
        <f>DATA!F28</f>
        <v>0</v>
      </c>
      <c r="Y27" s="46">
        <f>DATA!G28</f>
        <v>0</v>
      </c>
      <c r="Z27" s="46">
        <f>DATA!H28</f>
        <v>0</v>
      </c>
      <c r="AA27" s="46">
        <f>DATA!I28</f>
        <v>0</v>
      </c>
      <c r="AB27" s="46"/>
      <c r="AC27" s="46"/>
      <c r="AD27" s="45">
        <f>DATA!L28</f>
        <v>0</v>
      </c>
      <c r="AE27" s="46"/>
      <c r="AF27" s="46">
        <f>DATA!O28</f>
        <v>0</v>
      </c>
      <c r="AG27" s="46">
        <f>DATA!Q28</f>
        <v>0</v>
      </c>
      <c r="AH27" s="46">
        <f>DATA!R28</f>
        <v>0</v>
      </c>
      <c r="AI27" s="46"/>
      <c r="AJ27" s="46"/>
      <c r="AK27" s="46">
        <f>DATA!U28</f>
        <v>0</v>
      </c>
      <c r="AL27" s="46">
        <f>DATA!V28</f>
        <v>0</v>
      </c>
      <c r="AM27" s="46">
        <f>DATA!W28</f>
        <v>0</v>
      </c>
      <c r="AN27" s="46"/>
    </row>
    <row r="28" spans="1:40" ht="23.25" hidden="1" customHeight="1" x14ac:dyDescent="0.35">
      <c r="A28" s="46">
        <f>DATA!C29</f>
        <v>0</v>
      </c>
      <c r="B28" s="46">
        <f>DATA!D29</f>
        <v>0</v>
      </c>
      <c r="C28" s="46">
        <f>DATA!F29</f>
        <v>0</v>
      </c>
      <c r="D28" s="46">
        <f>DATA!G29</f>
        <v>0</v>
      </c>
      <c r="E28" s="46">
        <f>DATA!H29</f>
        <v>0</v>
      </c>
      <c r="F28" s="46">
        <f>DATA!I29</f>
        <v>0</v>
      </c>
      <c r="G28" s="46"/>
      <c r="H28" s="46"/>
      <c r="I28" s="45">
        <f>DATA!L29</f>
        <v>0</v>
      </c>
      <c r="J28" s="46"/>
      <c r="K28" s="46">
        <f>DATA!O29</f>
        <v>0</v>
      </c>
      <c r="L28" s="46">
        <f>DATA!Q29</f>
        <v>0</v>
      </c>
      <c r="M28" s="46">
        <f>DATA!R29</f>
        <v>0</v>
      </c>
      <c r="N28" s="46"/>
      <c r="O28" s="46"/>
      <c r="P28" s="46">
        <f>DATA!U29</f>
        <v>0</v>
      </c>
      <c r="Q28" s="46">
        <f>DATA!V29</f>
        <v>0</v>
      </c>
      <c r="R28" s="46">
        <f>DATA!W29</f>
        <v>0</v>
      </c>
      <c r="S28" s="46"/>
      <c r="V28" s="46">
        <f>DATA!C29</f>
        <v>0</v>
      </c>
      <c r="W28" s="46">
        <f>DATA!D29</f>
        <v>0</v>
      </c>
      <c r="X28" s="46">
        <f>DATA!F29</f>
        <v>0</v>
      </c>
      <c r="Y28" s="46">
        <f>DATA!G29</f>
        <v>0</v>
      </c>
      <c r="Z28" s="46">
        <f>DATA!H29</f>
        <v>0</v>
      </c>
      <c r="AA28" s="46">
        <f>DATA!I29</f>
        <v>0</v>
      </c>
      <c r="AB28" s="46"/>
      <c r="AC28" s="46"/>
      <c r="AD28" s="45">
        <f>DATA!L29</f>
        <v>0</v>
      </c>
      <c r="AE28" s="46"/>
      <c r="AF28" s="46">
        <f>DATA!O29</f>
        <v>0</v>
      </c>
      <c r="AG28" s="46">
        <f>DATA!Q29</f>
        <v>0</v>
      </c>
      <c r="AH28" s="46">
        <f>DATA!R29</f>
        <v>0</v>
      </c>
      <c r="AI28" s="46"/>
      <c r="AJ28" s="46"/>
      <c r="AK28" s="46">
        <f>DATA!U29</f>
        <v>0</v>
      </c>
      <c r="AL28" s="46">
        <f>DATA!V29</f>
        <v>0</v>
      </c>
      <c r="AM28" s="46">
        <f>DATA!W29</f>
        <v>0</v>
      </c>
      <c r="AN28" s="46"/>
    </row>
    <row r="29" spans="1:40" ht="23.25" hidden="1" customHeight="1" x14ac:dyDescent="0.35">
      <c r="A29" s="46">
        <f>DATA!C30</f>
        <v>0</v>
      </c>
      <c r="B29" s="46">
        <f>DATA!D30</f>
        <v>0</v>
      </c>
      <c r="C29" s="46">
        <f>DATA!F30</f>
        <v>0</v>
      </c>
      <c r="D29" s="46">
        <f>DATA!G30</f>
        <v>0</v>
      </c>
      <c r="E29" s="46">
        <f>DATA!H30</f>
        <v>0</v>
      </c>
      <c r="F29" s="46">
        <f>DATA!I30</f>
        <v>0</v>
      </c>
      <c r="G29" s="46"/>
      <c r="H29" s="46"/>
      <c r="I29" s="45">
        <f>DATA!L30</f>
        <v>0</v>
      </c>
      <c r="J29" s="46"/>
      <c r="K29" s="46">
        <f>DATA!O30</f>
        <v>0</v>
      </c>
      <c r="L29" s="46">
        <f>DATA!Q30</f>
        <v>0</v>
      </c>
      <c r="M29" s="46">
        <f>DATA!R30</f>
        <v>0</v>
      </c>
      <c r="N29" s="46"/>
      <c r="O29" s="46"/>
      <c r="P29" s="46">
        <f>DATA!U30</f>
        <v>0</v>
      </c>
      <c r="Q29" s="46">
        <f>DATA!V30</f>
        <v>0</v>
      </c>
      <c r="R29" s="46">
        <f>DATA!W30</f>
        <v>0</v>
      </c>
      <c r="S29" s="46"/>
      <c r="V29" s="46">
        <f>DATA!C30</f>
        <v>0</v>
      </c>
      <c r="W29" s="46">
        <f>DATA!D30</f>
        <v>0</v>
      </c>
      <c r="X29" s="46">
        <f>DATA!F30</f>
        <v>0</v>
      </c>
      <c r="Y29" s="46">
        <f>DATA!G30</f>
        <v>0</v>
      </c>
      <c r="Z29" s="46">
        <f>DATA!H30</f>
        <v>0</v>
      </c>
      <c r="AA29" s="46">
        <f>DATA!I30</f>
        <v>0</v>
      </c>
      <c r="AB29" s="46"/>
      <c r="AC29" s="46"/>
      <c r="AD29" s="45">
        <f>DATA!L30</f>
        <v>0</v>
      </c>
      <c r="AE29" s="46"/>
      <c r="AF29" s="46">
        <f>DATA!O30</f>
        <v>0</v>
      </c>
      <c r="AG29" s="46">
        <f>DATA!Q30</f>
        <v>0</v>
      </c>
      <c r="AH29" s="46">
        <f>DATA!R30</f>
        <v>0</v>
      </c>
      <c r="AI29" s="46"/>
      <c r="AJ29" s="46"/>
      <c r="AK29" s="46">
        <f>DATA!U30</f>
        <v>0</v>
      </c>
      <c r="AL29" s="46">
        <f>DATA!V30</f>
        <v>0</v>
      </c>
      <c r="AM29" s="46">
        <f>DATA!W30</f>
        <v>0</v>
      </c>
      <c r="AN29" s="46"/>
    </row>
    <row r="30" spans="1:40" ht="23.25" hidden="1" customHeight="1" x14ac:dyDescent="0.35">
      <c r="A30" s="46">
        <f>DATA!C31</f>
        <v>0</v>
      </c>
      <c r="B30" s="46">
        <f>DATA!D31</f>
        <v>0</v>
      </c>
      <c r="C30" s="46">
        <f>DATA!F31</f>
        <v>0</v>
      </c>
      <c r="D30" s="46">
        <f>DATA!G31</f>
        <v>0</v>
      </c>
      <c r="E30" s="46">
        <f>DATA!H31</f>
        <v>0</v>
      </c>
      <c r="F30" s="46">
        <f>DATA!I31</f>
        <v>0</v>
      </c>
      <c r="G30" s="46"/>
      <c r="H30" s="46"/>
      <c r="I30" s="45">
        <f>DATA!L31</f>
        <v>0</v>
      </c>
      <c r="J30" s="46"/>
      <c r="K30" s="46">
        <f>DATA!O31</f>
        <v>0</v>
      </c>
      <c r="L30" s="46">
        <f>DATA!Q31</f>
        <v>0</v>
      </c>
      <c r="M30" s="46">
        <f>DATA!R31</f>
        <v>0</v>
      </c>
      <c r="N30" s="46"/>
      <c r="O30" s="46"/>
      <c r="P30" s="46">
        <f>DATA!U31</f>
        <v>0</v>
      </c>
      <c r="Q30" s="46">
        <f>DATA!V31</f>
        <v>0</v>
      </c>
      <c r="R30" s="46">
        <f>DATA!W31</f>
        <v>0</v>
      </c>
      <c r="S30" s="46"/>
      <c r="V30" s="46">
        <f>DATA!C31</f>
        <v>0</v>
      </c>
      <c r="W30" s="46">
        <f>DATA!D31</f>
        <v>0</v>
      </c>
      <c r="X30" s="46">
        <f>DATA!F31</f>
        <v>0</v>
      </c>
      <c r="Y30" s="46">
        <f>DATA!G31</f>
        <v>0</v>
      </c>
      <c r="Z30" s="46">
        <f>DATA!H31</f>
        <v>0</v>
      </c>
      <c r="AA30" s="46">
        <f>DATA!I31</f>
        <v>0</v>
      </c>
      <c r="AB30" s="46"/>
      <c r="AC30" s="46"/>
      <c r="AD30" s="45">
        <f>DATA!L31</f>
        <v>0</v>
      </c>
      <c r="AE30" s="46"/>
      <c r="AF30" s="46">
        <f>DATA!O31</f>
        <v>0</v>
      </c>
      <c r="AG30" s="46">
        <f>DATA!Q31</f>
        <v>0</v>
      </c>
      <c r="AH30" s="46">
        <f>DATA!R31</f>
        <v>0</v>
      </c>
      <c r="AI30" s="46"/>
      <c r="AJ30" s="46"/>
      <c r="AK30" s="46">
        <f>DATA!U31</f>
        <v>0</v>
      </c>
      <c r="AL30" s="46">
        <f>DATA!V31</f>
        <v>0</v>
      </c>
      <c r="AM30" s="46">
        <f>DATA!W31</f>
        <v>0</v>
      </c>
      <c r="AN30" s="46"/>
    </row>
    <row r="31" spans="1:40" ht="23.25" hidden="1" customHeight="1" x14ac:dyDescent="0.35">
      <c r="A31" s="46">
        <f>DATA!C32</f>
        <v>0</v>
      </c>
      <c r="B31" s="46">
        <f>DATA!D32</f>
        <v>0</v>
      </c>
      <c r="C31" s="46">
        <f>DATA!F32</f>
        <v>0</v>
      </c>
      <c r="D31" s="46">
        <f>DATA!G32</f>
        <v>0</v>
      </c>
      <c r="E31" s="46">
        <f>DATA!H32</f>
        <v>0</v>
      </c>
      <c r="F31" s="46">
        <f>DATA!I32</f>
        <v>0</v>
      </c>
      <c r="G31" s="46"/>
      <c r="H31" s="46"/>
      <c r="I31" s="45">
        <f>DATA!L32</f>
        <v>0</v>
      </c>
      <c r="J31" s="46"/>
      <c r="K31" s="46">
        <f>DATA!O32</f>
        <v>0</v>
      </c>
      <c r="L31" s="46">
        <f>DATA!Q32</f>
        <v>0</v>
      </c>
      <c r="M31" s="46">
        <f>DATA!R32</f>
        <v>0</v>
      </c>
      <c r="N31" s="46"/>
      <c r="O31" s="46"/>
      <c r="P31" s="46">
        <f>DATA!U32</f>
        <v>0</v>
      </c>
      <c r="Q31" s="46">
        <f>DATA!V32</f>
        <v>0</v>
      </c>
      <c r="R31" s="46">
        <f>DATA!W32</f>
        <v>0</v>
      </c>
      <c r="S31" s="46"/>
      <c r="V31" s="46">
        <f>DATA!C32</f>
        <v>0</v>
      </c>
      <c r="W31" s="46">
        <f>DATA!D32</f>
        <v>0</v>
      </c>
      <c r="X31" s="46">
        <f>DATA!F32</f>
        <v>0</v>
      </c>
      <c r="Y31" s="46">
        <f>DATA!G32</f>
        <v>0</v>
      </c>
      <c r="Z31" s="46">
        <f>DATA!H32</f>
        <v>0</v>
      </c>
      <c r="AA31" s="46">
        <f>DATA!I32</f>
        <v>0</v>
      </c>
      <c r="AB31" s="46"/>
      <c r="AC31" s="46"/>
      <c r="AD31" s="45">
        <f>DATA!L32</f>
        <v>0</v>
      </c>
      <c r="AE31" s="46"/>
      <c r="AF31" s="46">
        <f>DATA!O32</f>
        <v>0</v>
      </c>
      <c r="AG31" s="46">
        <f>DATA!Q32</f>
        <v>0</v>
      </c>
      <c r="AH31" s="46">
        <f>DATA!R32</f>
        <v>0</v>
      </c>
      <c r="AI31" s="46"/>
      <c r="AJ31" s="46"/>
      <c r="AK31" s="46">
        <f>DATA!U32</f>
        <v>0</v>
      </c>
      <c r="AL31" s="46">
        <f>DATA!V32</f>
        <v>0</v>
      </c>
      <c r="AM31" s="46">
        <f>DATA!W32</f>
        <v>0</v>
      </c>
      <c r="AN31" s="46"/>
    </row>
    <row r="32" spans="1:40" ht="23.25" hidden="1" customHeight="1" x14ac:dyDescent="0.35">
      <c r="A32" s="46">
        <f>DATA!C33</f>
        <v>0</v>
      </c>
      <c r="B32" s="46">
        <f>DATA!D33</f>
        <v>0</v>
      </c>
      <c r="C32" s="46">
        <f>DATA!F33</f>
        <v>0</v>
      </c>
      <c r="D32" s="46">
        <f>DATA!G33</f>
        <v>0</v>
      </c>
      <c r="E32" s="46">
        <f>DATA!H33</f>
        <v>0</v>
      </c>
      <c r="F32" s="46">
        <f>DATA!I33</f>
        <v>0</v>
      </c>
      <c r="G32" s="46"/>
      <c r="H32" s="46"/>
      <c r="I32" s="45">
        <f>DATA!L33</f>
        <v>0</v>
      </c>
      <c r="J32" s="46"/>
      <c r="K32" s="46">
        <f>DATA!O33</f>
        <v>0</v>
      </c>
      <c r="L32" s="46">
        <f>DATA!Q33</f>
        <v>0</v>
      </c>
      <c r="M32" s="46">
        <f>DATA!R33</f>
        <v>0</v>
      </c>
      <c r="N32" s="46"/>
      <c r="O32" s="46"/>
      <c r="P32" s="46">
        <f>DATA!U33</f>
        <v>0</v>
      </c>
      <c r="Q32" s="46">
        <f>DATA!V33</f>
        <v>0</v>
      </c>
      <c r="R32" s="46">
        <f>DATA!W33</f>
        <v>0</v>
      </c>
      <c r="S32" s="46"/>
      <c r="V32" s="46">
        <f>DATA!C33</f>
        <v>0</v>
      </c>
      <c r="W32" s="46">
        <f>DATA!D33</f>
        <v>0</v>
      </c>
      <c r="X32" s="46">
        <f>DATA!F33</f>
        <v>0</v>
      </c>
      <c r="Y32" s="46">
        <f>DATA!G33</f>
        <v>0</v>
      </c>
      <c r="Z32" s="46">
        <f>DATA!H33</f>
        <v>0</v>
      </c>
      <c r="AA32" s="46">
        <f>DATA!I33</f>
        <v>0</v>
      </c>
      <c r="AB32" s="46"/>
      <c r="AC32" s="46"/>
      <c r="AD32" s="45">
        <f>DATA!L33</f>
        <v>0</v>
      </c>
      <c r="AE32" s="46"/>
      <c r="AF32" s="46">
        <f>DATA!O33</f>
        <v>0</v>
      </c>
      <c r="AG32" s="46">
        <f>DATA!Q33</f>
        <v>0</v>
      </c>
      <c r="AH32" s="46">
        <f>DATA!R33</f>
        <v>0</v>
      </c>
      <c r="AI32" s="46"/>
      <c r="AJ32" s="46"/>
      <c r="AK32" s="46">
        <f>DATA!U33</f>
        <v>0</v>
      </c>
      <c r="AL32" s="46">
        <f>DATA!V33</f>
        <v>0</v>
      </c>
      <c r="AM32" s="46">
        <f>DATA!W33</f>
        <v>0</v>
      </c>
      <c r="AN32" s="46"/>
    </row>
    <row r="33" spans="1:40" s="48" customFormat="1" ht="23.25" hidden="1" customHeight="1" x14ac:dyDescent="0.45">
      <c r="A33" s="46">
        <f>DATA!C34</f>
        <v>0</v>
      </c>
      <c r="B33" s="46">
        <f>DATA!D34</f>
        <v>0</v>
      </c>
      <c r="C33" s="46">
        <f>DATA!F34</f>
        <v>0</v>
      </c>
      <c r="D33" s="46">
        <f>DATA!G34</f>
        <v>0</v>
      </c>
      <c r="E33" s="46">
        <f>DATA!H34</f>
        <v>0</v>
      </c>
      <c r="F33" s="46">
        <f>DATA!I34</f>
        <v>0</v>
      </c>
      <c r="G33" s="46"/>
      <c r="H33" s="46"/>
      <c r="I33" s="45">
        <f>DATA!L34</f>
        <v>0</v>
      </c>
      <c r="J33" s="46"/>
      <c r="K33" s="46">
        <f>DATA!O34</f>
        <v>0</v>
      </c>
      <c r="L33" s="46">
        <f>DATA!Q34</f>
        <v>0</v>
      </c>
      <c r="M33" s="46">
        <f>DATA!R34</f>
        <v>0</v>
      </c>
      <c r="N33" s="46"/>
      <c r="O33" s="46"/>
      <c r="P33" s="46">
        <f>DATA!U34</f>
        <v>0</v>
      </c>
      <c r="Q33" s="46">
        <f>DATA!V34</f>
        <v>0</v>
      </c>
      <c r="R33" s="46">
        <f>DATA!W34</f>
        <v>0</v>
      </c>
      <c r="S33" s="47"/>
      <c r="V33" s="46">
        <f>DATA!C34</f>
        <v>0</v>
      </c>
      <c r="W33" s="46">
        <f>DATA!D34</f>
        <v>0</v>
      </c>
      <c r="X33" s="46">
        <f>DATA!F34</f>
        <v>0</v>
      </c>
      <c r="Y33" s="46">
        <f>DATA!G34</f>
        <v>0</v>
      </c>
      <c r="Z33" s="46">
        <f>DATA!H34</f>
        <v>0</v>
      </c>
      <c r="AA33" s="46">
        <f>DATA!I34</f>
        <v>0</v>
      </c>
      <c r="AB33" s="46"/>
      <c r="AC33" s="46"/>
      <c r="AD33" s="45">
        <f>DATA!L34</f>
        <v>0</v>
      </c>
      <c r="AE33" s="46"/>
      <c r="AF33" s="46">
        <f>DATA!O34</f>
        <v>0</v>
      </c>
      <c r="AG33" s="46">
        <f>DATA!Q34</f>
        <v>0</v>
      </c>
      <c r="AH33" s="46">
        <f>DATA!R34</f>
        <v>0</v>
      </c>
      <c r="AI33" s="46"/>
      <c r="AJ33" s="46"/>
      <c r="AK33" s="46">
        <f>DATA!U34</f>
        <v>0</v>
      </c>
      <c r="AL33" s="46">
        <f>DATA!V34</f>
        <v>0</v>
      </c>
      <c r="AM33" s="46">
        <f>DATA!W34</f>
        <v>0</v>
      </c>
      <c r="AN33" s="47"/>
    </row>
    <row r="34" spans="1:40" s="48" customFormat="1" ht="23.25" hidden="1" customHeight="1" x14ac:dyDescent="0.45">
      <c r="A34" s="46">
        <f>DATA!C35</f>
        <v>0</v>
      </c>
      <c r="B34" s="46">
        <f>DATA!D35</f>
        <v>0</v>
      </c>
      <c r="C34" s="46">
        <f>DATA!F35</f>
        <v>0</v>
      </c>
      <c r="D34" s="46">
        <f>DATA!G35</f>
        <v>0</v>
      </c>
      <c r="E34" s="46">
        <f>DATA!H35</f>
        <v>0</v>
      </c>
      <c r="F34" s="46">
        <f>DATA!I35</f>
        <v>0</v>
      </c>
      <c r="G34" s="46"/>
      <c r="H34" s="46"/>
      <c r="I34" s="45">
        <f>DATA!L35</f>
        <v>0</v>
      </c>
      <c r="J34" s="46"/>
      <c r="K34" s="46">
        <f>DATA!O35</f>
        <v>0</v>
      </c>
      <c r="L34" s="46">
        <f>DATA!Q35</f>
        <v>0</v>
      </c>
      <c r="M34" s="46">
        <f>DATA!R35</f>
        <v>0</v>
      </c>
      <c r="N34" s="46"/>
      <c r="O34" s="46"/>
      <c r="P34" s="46">
        <f>DATA!U35</f>
        <v>0</v>
      </c>
      <c r="Q34" s="46">
        <f>DATA!V35</f>
        <v>0</v>
      </c>
      <c r="R34" s="46">
        <f>DATA!W35</f>
        <v>0</v>
      </c>
      <c r="S34" s="47"/>
      <c r="V34" s="46">
        <f>DATA!C35</f>
        <v>0</v>
      </c>
      <c r="W34" s="46">
        <f>DATA!D35</f>
        <v>0</v>
      </c>
      <c r="X34" s="46">
        <f>DATA!F35</f>
        <v>0</v>
      </c>
      <c r="Y34" s="46">
        <f>DATA!G35</f>
        <v>0</v>
      </c>
      <c r="Z34" s="46">
        <f>DATA!H35</f>
        <v>0</v>
      </c>
      <c r="AA34" s="46">
        <f>DATA!I35</f>
        <v>0</v>
      </c>
      <c r="AB34" s="46"/>
      <c r="AC34" s="46"/>
      <c r="AD34" s="45">
        <f>DATA!L35</f>
        <v>0</v>
      </c>
      <c r="AE34" s="46"/>
      <c r="AF34" s="46">
        <f>DATA!O35</f>
        <v>0</v>
      </c>
      <c r="AG34" s="46">
        <f>DATA!Q35</f>
        <v>0</v>
      </c>
      <c r="AH34" s="46">
        <f>DATA!R35</f>
        <v>0</v>
      </c>
      <c r="AI34" s="46"/>
      <c r="AJ34" s="46"/>
      <c r="AK34" s="46">
        <f>DATA!U35</f>
        <v>0</v>
      </c>
      <c r="AL34" s="46">
        <f>DATA!V35</f>
        <v>0</v>
      </c>
      <c r="AM34" s="46">
        <f>DATA!W35</f>
        <v>0</v>
      </c>
      <c r="AN34" s="47"/>
    </row>
    <row r="35" spans="1:40" s="48" customFormat="1" ht="23.25" hidden="1" customHeight="1" x14ac:dyDescent="0.45">
      <c r="A35" s="46">
        <f>DATA!C36</f>
        <v>0</v>
      </c>
      <c r="B35" s="46">
        <f>DATA!D36</f>
        <v>0</v>
      </c>
      <c r="C35" s="46">
        <f>DATA!F36</f>
        <v>0</v>
      </c>
      <c r="D35" s="46">
        <f>DATA!G36</f>
        <v>0</v>
      </c>
      <c r="E35" s="46">
        <f>DATA!H36</f>
        <v>0</v>
      </c>
      <c r="F35" s="46">
        <f>DATA!I36</f>
        <v>0</v>
      </c>
      <c r="G35" s="46"/>
      <c r="H35" s="46"/>
      <c r="I35" s="45">
        <f>DATA!L36</f>
        <v>0</v>
      </c>
      <c r="J35" s="46"/>
      <c r="K35" s="46">
        <f>DATA!O36</f>
        <v>0</v>
      </c>
      <c r="L35" s="46">
        <f>DATA!Q36</f>
        <v>0</v>
      </c>
      <c r="M35" s="46">
        <f>DATA!R36</f>
        <v>0</v>
      </c>
      <c r="N35" s="46"/>
      <c r="O35" s="46"/>
      <c r="P35" s="46">
        <f>DATA!U36</f>
        <v>0</v>
      </c>
      <c r="Q35" s="46">
        <f>DATA!V36</f>
        <v>0</v>
      </c>
      <c r="R35" s="46">
        <f>DATA!W36</f>
        <v>0</v>
      </c>
      <c r="S35" s="47"/>
      <c r="V35" s="46">
        <f>DATA!C36</f>
        <v>0</v>
      </c>
      <c r="W35" s="46">
        <f>DATA!D36</f>
        <v>0</v>
      </c>
      <c r="X35" s="46">
        <f>DATA!F36</f>
        <v>0</v>
      </c>
      <c r="Y35" s="46">
        <f>DATA!G36</f>
        <v>0</v>
      </c>
      <c r="Z35" s="46">
        <f>DATA!H36</f>
        <v>0</v>
      </c>
      <c r="AA35" s="46">
        <f>DATA!I36</f>
        <v>0</v>
      </c>
      <c r="AB35" s="46"/>
      <c r="AC35" s="46"/>
      <c r="AD35" s="45">
        <f>DATA!L36</f>
        <v>0</v>
      </c>
      <c r="AE35" s="46"/>
      <c r="AF35" s="46">
        <f>DATA!O36</f>
        <v>0</v>
      </c>
      <c r="AG35" s="46">
        <f>DATA!Q36</f>
        <v>0</v>
      </c>
      <c r="AH35" s="46">
        <f>DATA!R36</f>
        <v>0</v>
      </c>
      <c r="AI35" s="46"/>
      <c r="AJ35" s="46"/>
      <c r="AK35" s="46">
        <f>DATA!U36</f>
        <v>0</v>
      </c>
      <c r="AL35" s="46">
        <f>DATA!V36</f>
        <v>0</v>
      </c>
      <c r="AM35" s="46">
        <f>DATA!W36</f>
        <v>0</v>
      </c>
      <c r="AN35" s="47"/>
    </row>
    <row r="36" spans="1:40" s="48" customFormat="1" ht="23.25" hidden="1" customHeight="1" x14ac:dyDescent="0.45">
      <c r="A36" s="46">
        <f>DATA!C37</f>
        <v>0</v>
      </c>
      <c r="B36" s="46">
        <f>DATA!D37</f>
        <v>0</v>
      </c>
      <c r="C36" s="46">
        <f>DATA!F37</f>
        <v>0</v>
      </c>
      <c r="D36" s="46">
        <f>DATA!G37</f>
        <v>0</v>
      </c>
      <c r="E36" s="46">
        <f>DATA!H37</f>
        <v>0</v>
      </c>
      <c r="F36" s="46">
        <f>DATA!I37</f>
        <v>0</v>
      </c>
      <c r="G36" s="46"/>
      <c r="H36" s="46"/>
      <c r="I36" s="45">
        <f>DATA!L37</f>
        <v>0</v>
      </c>
      <c r="J36" s="46"/>
      <c r="K36" s="46">
        <f>DATA!O37</f>
        <v>0</v>
      </c>
      <c r="L36" s="46">
        <f>DATA!Q37</f>
        <v>0</v>
      </c>
      <c r="M36" s="46">
        <f>DATA!R37</f>
        <v>0</v>
      </c>
      <c r="N36" s="46"/>
      <c r="O36" s="46"/>
      <c r="P36" s="46">
        <f>DATA!U37</f>
        <v>0</v>
      </c>
      <c r="Q36" s="46">
        <f>DATA!V37</f>
        <v>0</v>
      </c>
      <c r="R36" s="46">
        <f>DATA!W37</f>
        <v>0</v>
      </c>
      <c r="S36" s="47"/>
      <c r="V36" s="46">
        <f>DATA!C37</f>
        <v>0</v>
      </c>
      <c r="W36" s="46">
        <f>DATA!D37</f>
        <v>0</v>
      </c>
      <c r="X36" s="46">
        <f>DATA!F37</f>
        <v>0</v>
      </c>
      <c r="Y36" s="46">
        <f>DATA!G37</f>
        <v>0</v>
      </c>
      <c r="Z36" s="46">
        <f>DATA!H37</f>
        <v>0</v>
      </c>
      <c r="AA36" s="46">
        <f>DATA!I37</f>
        <v>0</v>
      </c>
      <c r="AB36" s="46"/>
      <c r="AC36" s="46"/>
      <c r="AD36" s="45">
        <f>DATA!L37</f>
        <v>0</v>
      </c>
      <c r="AE36" s="46"/>
      <c r="AF36" s="46">
        <f>DATA!O37</f>
        <v>0</v>
      </c>
      <c r="AG36" s="46">
        <f>DATA!Q37</f>
        <v>0</v>
      </c>
      <c r="AH36" s="46">
        <f>DATA!R37</f>
        <v>0</v>
      </c>
      <c r="AI36" s="46"/>
      <c r="AJ36" s="46"/>
      <c r="AK36" s="46">
        <f>DATA!U37</f>
        <v>0</v>
      </c>
      <c r="AL36" s="46">
        <f>DATA!V37</f>
        <v>0</v>
      </c>
      <c r="AM36" s="46">
        <f>DATA!W37</f>
        <v>0</v>
      </c>
      <c r="AN36" s="47"/>
    </row>
    <row r="37" spans="1:40" s="48" customFormat="1" ht="23.25" hidden="1" customHeight="1" x14ac:dyDescent="0.45">
      <c r="A37" s="46">
        <f>DATA!C38</f>
        <v>0</v>
      </c>
      <c r="B37" s="46">
        <f>DATA!D38</f>
        <v>0</v>
      </c>
      <c r="C37" s="46">
        <f>DATA!F38</f>
        <v>0</v>
      </c>
      <c r="D37" s="46">
        <f>DATA!G38</f>
        <v>0</v>
      </c>
      <c r="E37" s="46">
        <f>DATA!H38</f>
        <v>0</v>
      </c>
      <c r="F37" s="46">
        <f>DATA!I38</f>
        <v>0</v>
      </c>
      <c r="G37" s="46"/>
      <c r="H37" s="46"/>
      <c r="I37" s="45">
        <f>DATA!L38</f>
        <v>0</v>
      </c>
      <c r="J37" s="46"/>
      <c r="K37" s="46">
        <f>DATA!O38</f>
        <v>0</v>
      </c>
      <c r="L37" s="46">
        <f>DATA!Q38</f>
        <v>0</v>
      </c>
      <c r="M37" s="46">
        <f>DATA!R38</f>
        <v>0</v>
      </c>
      <c r="N37" s="46"/>
      <c r="O37" s="46"/>
      <c r="P37" s="46">
        <f>DATA!U38</f>
        <v>0</v>
      </c>
      <c r="Q37" s="46">
        <f>DATA!V38</f>
        <v>0</v>
      </c>
      <c r="R37" s="46">
        <f>DATA!W38</f>
        <v>0</v>
      </c>
      <c r="S37" s="47"/>
      <c r="V37" s="46">
        <f>DATA!C38</f>
        <v>0</v>
      </c>
      <c r="W37" s="46">
        <f>DATA!D38</f>
        <v>0</v>
      </c>
      <c r="X37" s="46">
        <f>DATA!F38</f>
        <v>0</v>
      </c>
      <c r="Y37" s="46">
        <f>DATA!G38</f>
        <v>0</v>
      </c>
      <c r="Z37" s="46">
        <f>DATA!H38</f>
        <v>0</v>
      </c>
      <c r="AA37" s="46">
        <f>DATA!I38</f>
        <v>0</v>
      </c>
      <c r="AB37" s="46"/>
      <c r="AC37" s="46"/>
      <c r="AD37" s="45">
        <f>DATA!L38</f>
        <v>0</v>
      </c>
      <c r="AE37" s="46"/>
      <c r="AF37" s="46">
        <f>DATA!O38</f>
        <v>0</v>
      </c>
      <c r="AG37" s="46">
        <f>DATA!Q38</f>
        <v>0</v>
      </c>
      <c r="AH37" s="46">
        <f>DATA!R38</f>
        <v>0</v>
      </c>
      <c r="AI37" s="46"/>
      <c r="AJ37" s="46"/>
      <c r="AK37" s="46">
        <f>DATA!U38</f>
        <v>0</v>
      </c>
      <c r="AL37" s="46">
        <f>DATA!V38</f>
        <v>0</v>
      </c>
      <c r="AM37" s="46">
        <f>DATA!W38</f>
        <v>0</v>
      </c>
      <c r="AN37" s="47"/>
    </row>
    <row r="38" spans="1:40" s="48" customFormat="1" ht="23.25" hidden="1" customHeight="1" x14ac:dyDescent="0.45">
      <c r="A38" s="46">
        <f>DATA!C39</f>
        <v>0</v>
      </c>
      <c r="B38" s="46">
        <f>DATA!D39</f>
        <v>0</v>
      </c>
      <c r="C38" s="46">
        <f>DATA!F39</f>
        <v>0</v>
      </c>
      <c r="D38" s="46">
        <f>DATA!G39</f>
        <v>0</v>
      </c>
      <c r="E38" s="46">
        <f>DATA!H39</f>
        <v>0</v>
      </c>
      <c r="F38" s="46">
        <f>DATA!I39</f>
        <v>0</v>
      </c>
      <c r="G38" s="46"/>
      <c r="H38" s="46"/>
      <c r="I38" s="45">
        <f>DATA!L39</f>
        <v>0</v>
      </c>
      <c r="J38" s="46"/>
      <c r="K38" s="46">
        <f>DATA!O39</f>
        <v>0</v>
      </c>
      <c r="L38" s="46">
        <f>DATA!Q39</f>
        <v>0</v>
      </c>
      <c r="M38" s="46">
        <f>DATA!R39</f>
        <v>0</v>
      </c>
      <c r="N38" s="46"/>
      <c r="O38" s="46"/>
      <c r="P38" s="46">
        <f>DATA!U39</f>
        <v>0</v>
      </c>
      <c r="Q38" s="46">
        <f>DATA!V39</f>
        <v>0</v>
      </c>
      <c r="R38" s="46">
        <f>DATA!W39</f>
        <v>0</v>
      </c>
      <c r="S38" s="47"/>
      <c r="V38" s="46">
        <f>DATA!C39</f>
        <v>0</v>
      </c>
      <c r="W38" s="46">
        <f>DATA!D39</f>
        <v>0</v>
      </c>
      <c r="X38" s="46">
        <f>DATA!F39</f>
        <v>0</v>
      </c>
      <c r="Y38" s="46">
        <f>DATA!G39</f>
        <v>0</v>
      </c>
      <c r="Z38" s="46">
        <f>DATA!H39</f>
        <v>0</v>
      </c>
      <c r="AA38" s="46">
        <f>DATA!I39</f>
        <v>0</v>
      </c>
      <c r="AB38" s="46"/>
      <c r="AC38" s="46"/>
      <c r="AD38" s="45">
        <f>DATA!L39</f>
        <v>0</v>
      </c>
      <c r="AE38" s="46"/>
      <c r="AF38" s="46">
        <f>DATA!O39</f>
        <v>0</v>
      </c>
      <c r="AG38" s="46">
        <f>DATA!Q39</f>
        <v>0</v>
      </c>
      <c r="AH38" s="46">
        <f>DATA!R39</f>
        <v>0</v>
      </c>
      <c r="AI38" s="46"/>
      <c r="AJ38" s="46"/>
      <c r="AK38" s="46">
        <f>DATA!U39</f>
        <v>0</v>
      </c>
      <c r="AL38" s="46">
        <f>DATA!V39</f>
        <v>0</v>
      </c>
      <c r="AM38" s="46">
        <f>DATA!W39</f>
        <v>0</v>
      </c>
      <c r="AN38" s="47"/>
    </row>
    <row r="39" spans="1:40" s="48" customFormat="1" ht="23.25" hidden="1" customHeight="1" x14ac:dyDescent="0.45">
      <c r="A39" s="46">
        <f>DATA!C40</f>
        <v>0</v>
      </c>
      <c r="B39" s="46">
        <f>DATA!D40</f>
        <v>0</v>
      </c>
      <c r="C39" s="46">
        <f>DATA!F40</f>
        <v>0</v>
      </c>
      <c r="D39" s="46">
        <f>DATA!G40</f>
        <v>0</v>
      </c>
      <c r="E39" s="46">
        <f>DATA!H40</f>
        <v>0</v>
      </c>
      <c r="F39" s="46">
        <f>DATA!I40</f>
        <v>0</v>
      </c>
      <c r="G39" s="46"/>
      <c r="H39" s="46"/>
      <c r="I39" s="45">
        <f>DATA!L40</f>
        <v>0</v>
      </c>
      <c r="J39" s="46"/>
      <c r="K39" s="46">
        <f>DATA!O40</f>
        <v>0</v>
      </c>
      <c r="L39" s="46">
        <f>DATA!Q40</f>
        <v>0</v>
      </c>
      <c r="M39" s="46">
        <f>DATA!R40</f>
        <v>0</v>
      </c>
      <c r="N39" s="46"/>
      <c r="O39" s="46"/>
      <c r="P39" s="46">
        <f>DATA!U40</f>
        <v>0</v>
      </c>
      <c r="Q39" s="46">
        <f>DATA!V40</f>
        <v>0</v>
      </c>
      <c r="R39" s="46">
        <f>DATA!W40</f>
        <v>0</v>
      </c>
      <c r="S39" s="47"/>
      <c r="V39" s="46">
        <f>DATA!C40</f>
        <v>0</v>
      </c>
      <c r="W39" s="46">
        <f>DATA!D40</f>
        <v>0</v>
      </c>
      <c r="X39" s="46">
        <f>DATA!F40</f>
        <v>0</v>
      </c>
      <c r="Y39" s="46">
        <f>DATA!G40</f>
        <v>0</v>
      </c>
      <c r="Z39" s="46">
        <f>DATA!H40</f>
        <v>0</v>
      </c>
      <c r="AA39" s="46">
        <f>DATA!I40</f>
        <v>0</v>
      </c>
      <c r="AB39" s="46"/>
      <c r="AC39" s="46"/>
      <c r="AD39" s="45">
        <f>DATA!L40</f>
        <v>0</v>
      </c>
      <c r="AE39" s="46"/>
      <c r="AF39" s="46">
        <f>DATA!O40</f>
        <v>0</v>
      </c>
      <c r="AG39" s="46">
        <f>DATA!Q40</f>
        <v>0</v>
      </c>
      <c r="AH39" s="46">
        <f>DATA!R40</f>
        <v>0</v>
      </c>
      <c r="AI39" s="46"/>
      <c r="AJ39" s="46"/>
      <c r="AK39" s="46">
        <f>DATA!U40</f>
        <v>0</v>
      </c>
      <c r="AL39" s="46">
        <f>DATA!V40</f>
        <v>0</v>
      </c>
      <c r="AM39" s="46">
        <f>DATA!W40</f>
        <v>0</v>
      </c>
      <c r="AN39" s="47"/>
    </row>
    <row r="40" spans="1:40" s="48" customFormat="1" ht="23.25" hidden="1" customHeight="1" x14ac:dyDescent="0.45">
      <c r="A40" s="46">
        <f>DATA!C41</f>
        <v>0</v>
      </c>
      <c r="B40" s="46">
        <f>DATA!D41</f>
        <v>0</v>
      </c>
      <c r="C40" s="46">
        <f>DATA!F41</f>
        <v>0</v>
      </c>
      <c r="D40" s="46">
        <f>DATA!G41</f>
        <v>0</v>
      </c>
      <c r="E40" s="46">
        <f>DATA!H41</f>
        <v>0</v>
      </c>
      <c r="F40" s="46">
        <f>DATA!I41</f>
        <v>0</v>
      </c>
      <c r="G40" s="46"/>
      <c r="H40" s="46"/>
      <c r="I40" s="45">
        <f>DATA!L41</f>
        <v>0</v>
      </c>
      <c r="J40" s="46"/>
      <c r="K40" s="46">
        <f>DATA!O41</f>
        <v>0</v>
      </c>
      <c r="L40" s="46">
        <f>DATA!Q41</f>
        <v>0</v>
      </c>
      <c r="M40" s="46">
        <f>DATA!R41</f>
        <v>0</v>
      </c>
      <c r="N40" s="46"/>
      <c r="O40" s="46"/>
      <c r="P40" s="46">
        <f>DATA!U41</f>
        <v>0</v>
      </c>
      <c r="Q40" s="46">
        <f>DATA!V41</f>
        <v>0</v>
      </c>
      <c r="R40" s="46">
        <f>DATA!W41</f>
        <v>0</v>
      </c>
      <c r="S40" s="47"/>
      <c r="V40" s="46">
        <f>DATA!C41</f>
        <v>0</v>
      </c>
      <c r="W40" s="46">
        <f>DATA!D41</f>
        <v>0</v>
      </c>
      <c r="X40" s="46">
        <f>DATA!F41</f>
        <v>0</v>
      </c>
      <c r="Y40" s="46">
        <f>DATA!G41</f>
        <v>0</v>
      </c>
      <c r="Z40" s="46">
        <f>DATA!H41</f>
        <v>0</v>
      </c>
      <c r="AA40" s="46">
        <f>DATA!I41</f>
        <v>0</v>
      </c>
      <c r="AB40" s="46"/>
      <c r="AC40" s="46"/>
      <c r="AD40" s="45">
        <f>DATA!L41</f>
        <v>0</v>
      </c>
      <c r="AE40" s="46"/>
      <c r="AF40" s="46">
        <f>DATA!O41</f>
        <v>0</v>
      </c>
      <c r="AG40" s="46">
        <f>DATA!Q41</f>
        <v>0</v>
      </c>
      <c r="AH40" s="46">
        <f>DATA!R41</f>
        <v>0</v>
      </c>
      <c r="AI40" s="46"/>
      <c r="AJ40" s="46"/>
      <c r="AK40" s="46">
        <f>DATA!U41</f>
        <v>0</v>
      </c>
      <c r="AL40" s="46">
        <f>DATA!V41</f>
        <v>0</v>
      </c>
      <c r="AM40" s="46">
        <f>DATA!W41</f>
        <v>0</v>
      </c>
      <c r="AN40" s="47"/>
    </row>
    <row r="41" spans="1:40" s="48" customFormat="1" ht="23.25" hidden="1" customHeight="1" x14ac:dyDescent="0.45">
      <c r="A41" s="46">
        <f>DATA!C42</f>
        <v>0</v>
      </c>
      <c r="B41" s="46">
        <f>DATA!D42</f>
        <v>0</v>
      </c>
      <c r="C41" s="46">
        <f>DATA!F42</f>
        <v>0</v>
      </c>
      <c r="D41" s="46">
        <f>DATA!G42</f>
        <v>0</v>
      </c>
      <c r="E41" s="46">
        <f>DATA!H42</f>
        <v>0</v>
      </c>
      <c r="F41" s="46">
        <f>DATA!I42</f>
        <v>0</v>
      </c>
      <c r="G41" s="46"/>
      <c r="H41" s="46"/>
      <c r="I41" s="45">
        <f>DATA!L42</f>
        <v>0</v>
      </c>
      <c r="J41" s="46"/>
      <c r="K41" s="46">
        <f>DATA!O42</f>
        <v>0</v>
      </c>
      <c r="L41" s="46">
        <f>DATA!Q42</f>
        <v>0</v>
      </c>
      <c r="M41" s="46">
        <f>DATA!R42</f>
        <v>0</v>
      </c>
      <c r="N41" s="46"/>
      <c r="O41" s="46"/>
      <c r="P41" s="46">
        <f>DATA!U42</f>
        <v>0</v>
      </c>
      <c r="Q41" s="46">
        <f>DATA!V42</f>
        <v>0</v>
      </c>
      <c r="R41" s="46">
        <f>DATA!W42</f>
        <v>0</v>
      </c>
      <c r="S41" s="47"/>
      <c r="V41" s="46">
        <f>DATA!C42</f>
        <v>0</v>
      </c>
      <c r="W41" s="46">
        <f>DATA!D42</f>
        <v>0</v>
      </c>
      <c r="X41" s="46">
        <f>DATA!F42</f>
        <v>0</v>
      </c>
      <c r="Y41" s="46">
        <f>DATA!G42</f>
        <v>0</v>
      </c>
      <c r="Z41" s="46">
        <f>DATA!H42</f>
        <v>0</v>
      </c>
      <c r="AA41" s="46">
        <f>DATA!I42</f>
        <v>0</v>
      </c>
      <c r="AB41" s="46"/>
      <c r="AC41" s="46"/>
      <c r="AD41" s="45">
        <f>DATA!L42</f>
        <v>0</v>
      </c>
      <c r="AE41" s="46"/>
      <c r="AF41" s="46">
        <f>DATA!O42</f>
        <v>0</v>
      </c>
      <c r="AG41" s="46">
        <f>DATA!Q42</f>
        <v>0</v>
      </c>
      <c r="AH41" s="46">
        <f>DATA!R42</f>
        <v>0</v>
      </c>
      <c r="AI41" s="46"/>
      <c r="AJ41" s="46"/>
      <c r="AK41" s="46">
        <f>DATA!U42</f>
        <v>0</v>
      </c>
      <c r="AL41" s="46">
        <f>DATA!V42</f>
        <v>0</v>
      </c>
      <c r="AM41" s="46">
        <f>DATA!W42</f>
        <v>0</v>
      </c>
      <c r="AN41" s="47"/>
    </row>
    <row r="42" spans="1:40" s="48" customFormat="1" ht="23.25" hidden="1" customHeight="1" x14ac:dyDescent="0.45">
      <c r="A42" s="46">
        <f>DATA!C43</f>
        <v>0</v>
      </c>
      <c r="B42" s="46">
        <f>DATA!D43</f>
        <v>0</v>
      </c>
      <c r="C42" s="46">
        <f>DATA!F43</f>
        <v>0</v>
      </c>
      <c r="D42" s="46">
        <f>DATA!G43</f>
        <v>0</v>
      </c>
      <c r="E42" s="46">
        <f>DATA!H43</f>
        <v>0</v>
      </c>
      <c r="F42" s="46">
        <f>DATA!I43</f>
        <v>0</v>
      </c>
      <c r="G42" s="46"/>
      <c r="H42" s="46"/>
      <c r="I42" s="45">
        <f>DATA!L43</f>
        <v>0</v>
      </c>
      <c r="J42" s="46"/>
      <c r="K42" s="46">
        <f>DATA!O43</f>
        <v>0</v>
      </c>
      <c r="L42" s="46">
        <f>DATA!Q43</f>
        <v>0</v>
      </c>
      <c r="M42" s="46">
        <f>DATA!R43</f>
        <v>0</v>
      </c>
      <c r="N42" s="46"/>
      <c r="O42" s="46"/>
      <c r="P42" s="46">
        <f>DATA!U43</f>
        <v>0</v>
      </c>
      <c r="Q42" s="46">
        <f>DATA!V43</f>
        <v>0</v>
      </c>
      <c r="R42" s="46">
        <f>DATA!W43</f>
        <v>0</v>
      </c>
      <c r="S42" s="47"/>
      <c r="V42" s="46">
        <f>DATA!C43</f>
        <v>0</v>
      </c>
      <c r="W42" s="46">
        <f>DATA!D43</f>
        <v>0</v>
      </c>
      <c r="X42" s="46">
        <f>DATA!F43</f>
        <v>0</v>
      </c>
      <c r="Y42" s="46">
        <f>DATA!G43</f>
        <v>0</v>
      </c>
      <c r="Z42" s="46">
        <f>DATA!H43</f>
        <v>0</v>
      </c>
      <c r="AA42" s="46">
        <f>DATA!I43</f>
        <v>0</v>
      </c>
      <c r="AB42" s="46"/>
      <c r="AC42" s="46"/>
      <c r="AD42" s="45">
        <f>DATA!L43</f>
        <v>0</v>
      </c>
      <c r="AE42" s="46"/>
      <c r="AF42" s="46">
        <f>DATA!O43</f>
        <v>0</v>
      </c>
      <c r="AG42" s="46">
        <f>DATA!Q43</f>
        <v>0</v>
      </c>
      <c r="AH42" s="46">
        <f>DATA!R43</f>
        <v>0</v>
      </c>
      <c r="AI42" s="46"/>
      <c r="AJ42" s="46"/>
      <c r="AK42" s="46">
        <f>DATA!U43</f>
        <v>0</v>
      </c>
      <c r="AL42" s="46">
        <f>DATA!V43</f>
        <v>0</v>
      </c>
      <c r="AM42" s="46">
        <f>DATA!W43</f>
        <v>0</v>
      </c>
      <c r="AN42" s="47"/>
    </row>
    <row r="43" spans="1:40" s="48" customFormat="1" ht="23.25" hidden="1" customHeight="1" x14ac:dyDescent="0.45">
      <c r="A43" s="46">
        <f>DATA!C44</f>
        <v>0</v>
      </c>
      <c r="B43" s="46">
        <f>DATA!D44</f>
        <v>0</v>
      </c>
      <c r="C43" s="46">
        <f>DATA!F44</f>
        <v>0</v>
      </c>
      <c r="D43" s="46">
        <f>DATA!G44</f>
        <v>0</v>
      </c>
      <c r="E43" s="46">
        <f>DATA!H44</f>
        <v>0</v>
      </c>
      <c r="F43" s="46">
        <f>DATA!I44</f>
        <v>0</v>
      </c>
      <c r="G43" s="46"/>
      <c r="H43" s="46"/>
      <c r="I43" s="45">
        <f>DATA!L44</f>
        <v>0</v>
      </c>
      <c r="J43" s="46"/>
      <c r="K43" s="46">
        <f>DATA!O44</f>
        <v>0</v>
      </c>
      <c r="L43" s="46">
        <f>DATA!Q44</f>
        <v>0</v>
      </c>
      <c r="M43" s="46">
        <f>DATA!R44</f>
        <v>0</v>
      </c>
      <c r="N43" s="46"/>
      <c r="O43" s="46"/>
      <c r="P43" s="46">
        <f>DATA!U44</f>
        <v>0</v>
      </c>
      <c r="Q43" s="46">
        <f>DATA!V44</f>
        <v>0</v>
      </c>
      <c r="R43" s="46">
        <f>DATA!W44</f>
        <v>0</v>
      </c>
      <c r="S43" s="47"/>
      <c r="V43" s="46">
        <f>DATA!C44</f>
        <v>0</v>
      </c>
      <c r="W43" s="46">
        <f>DATA!D44</f>
        <v>0</v>
      </c>
      <c r="X43" s="46">
        <f>DATA!F44</f>
        <v>0</v>
      </c>
      <c r="Y43" s="46">
        <f>DATA!G44</f>
        <v>0</v>
      </c>
      <c r="Z43" s="46">
        <f>DATA!H44</f>
        <v>0</v>
      </c>
      <c r="AA43" s="46">
        <f>DATA!I44</f>
        <v>0</v>
      </c>
      <c r="AB43" s="46"/>
      <c r="AC43" s="46"/>
      <c r="AD43" s="45">
        <f>DATA!L44</f>
        <v>0</v>
      </c>
      <c r="AE43" s="46"/>
      <c r="AF43" s="46">
        <f>DATA!O44</f>
        <v>0</v>
      </c>
      <c r="AG43" s="46">
        <f>DATA!Q44</f>
        <v>0</v>
      </c>
      <c r="AH43" s="46">
        <f>DATA!R44</f>
        <v>0</v>
      </c>
      <c r="AI43" s="46"/>
      <c r="AJ43" s="46"/>
      <c r="AK43" s="46">
        <f>DATA!U44</f>
        <v>0</v>
      </c>
      <c r="AL43" s="46">
        <f>DATA!V44</f>
        <v>0</v>
      </c>
      <c r="AM43" s="46">
        <f>DATA!W44</f>
        <v>0</v>
      </c>
      <c r="AN43" s="47"/>
    </row>
    <row r="44" spans="1:40" s="48" customFormat="1" ht="23.25" hidden="1" customHeight="1" x14ac:dyDescent="0.45">
      <c r="A44" s="46">
        <f>DATA!C45</f>
        <v>0</v>
      </c>
      <c r="B44" s="46">
        <f>DATA!D45</f>
        <v>0</v>
      </c>
      <c r="C44" s="46">
        <f>DATA!F45</f>
        <v>0</v>
      </c>
      <c r="D44" s="46">
        <f>DATA!G45</f>
        <v>0</v>
      </c>
      <c r="E44" s="46">
        <f>DATA!H45</f>
        <v>0</v>
      </c>
      <c r="F44" s="46">
        <f>DATA!I45</f>
        <v>0</v>
      </c>
      <c r="G44" s="46"/>
      <c r="H44" s="46"/>
      <c r="I44" s="45">
        <f>DATA!L45</f>
        <v>0</v>
      </c>
      <c r="J44" s="46"/>
      <c r="K44" s="46">
        <f>DATA!O45</f>
        <v>0</v>
      </c>
      <c r="L44" s="46">
        <f>DATA!Q45</f>
        <v>0</v>
      </c>
      <c r="M44" s="46">
        <f>DATA!R45</f>
        <v>0</v>
      </c>
      <c r="N44" s="46"/>
      <c r="O44" s="46"/>
      <c r="P44" s="46">
        <f>DATA!U45</f>
        <v>0</v>
      </c>
      <c r="Q44" s="46">
        <f>DATA!V45</f>
        <v>0</v>
      </c>
      <c r="R44" s="46">
        <f>DATA!W45</f>
        <v>0</v>
      </c>
      <c r="S44" s="47"/>
      <c r="V44" s="46">
        <f>DATA!C45</f>
        <v>0</v>
      </c>
      <c r="W44" s="46">
        <f>DATA!D45</f>
        <v>0</v>
      </c>
      <c r="X44" s="46">
        <f>DATA!F45</f>
        <v>0</v>
      </c>
      <c r="Y44" s="46">
        <f>DATA!G45</f>
        <v>0</v>
      </c>
      <c r="Z44" s="46">
        <f>DATA!H45</f>
        <v>0</v>
      </c>
      <c r="AA44" s="46">
        <f>DATA!I45</f>
        <v>0</v>
      </c>
      <c r="AB44" s="46"/>
      <c r="AC44" s="46"/>
      <c r="AD44" s="45">
        <f>DATA!L45</f>
        <v>0</v>
      </c>
      <c r="AE44" s="46"/>
      <c r="AF44" s="46">
        <f>DATA!O45</f>
        <v>0</v>
      </c>
      <c r="AG44" s="46">
        <f>DATA!Q45</f>
        <v>0</v>
      </c>
      <c r="AH44" s="46">
        <f>DATA!R45</f>
        <v>0</v>
      </c>
      <c r="AI44" s="46"/>
      <c r="AJ44" s="46"/>
      <c r="AK44" s="46">
        <f>DATA!U45</f>
        <v>0</v>
      </c>
      <c r="AL44" s="46">
        <f>DATA!V45</f>
        <v>0</v>
      </c>
      <c r="AM44" s="46">
        <f>DATA!W45</f>
        <v>0</v>
      </c>
      <c r="AN44" s="47"/>
    </row>
    <row r="45" spans="1:40" s="48" customFormat="1" ht="23.25" hidden="1" customHeight="1" x14ac:dyDescent="0.45">
      <c r="A45" s="46">
        <f>DATA!C46</f>
        <v>0</v>
      </c>
      <c r="B45" s="46">
        <f>DATA!D46</f>
        <v>0</v>
      </c>
      <c r="C45" s="46">
        <f>DATA!F46</f>
        <v>0</v>
      </c>
      <c r="D45" s="46">
        <f>DATA!G46</f>
        <v>0</v>
      </c>
      <c r="E45" s="46">
        <f>DATA!H46</f>
        <v>0</v>
      </c>
      <c r="F45" s="46">
        <f>DATA!I46</f>
        <v>0</v>
      </c>
      <c r="G45" s="46"/>
      <c r="H45" s="46"/>
      <c r="I45" s="45">
        <f>DATA!L46</f>
        <v>0</v>
      </c>
      <c r="J45" s="46"/>
      <c r="K45" s="46">
        <f>DATA!O46</f>
        <v>0</v>
      </c>
      <c r="L45" s="46">
        <f>DATA!Q46</f>
        <v>0</v>
      </c>
      <c r="M45" s="46">
        <f>DATA!R46</f>
        <v>0</v>
      </c>
      <c r="N45" s="46"/>
      <c r="O45" s="46"/>
      <c r="P45" s="46">
        <f>DATA!U46</f>
        <v>0</v>
      </c>
      <c r="Q45" s="46">
        <f>DATA!V46</f>
        <v>0</v>
      </c>
      <c r="R45" s="46">
        <f>DATA!W46</f>
        <v>0</v>
      </c>
      <c r="S45" s="47"/>
      <c r="V45" s="46">
        <f>DATA!C46</f>
        <v>0</v>
      </c>
      <c r="W45" s="46">
        <f>DATA!D46</f>
        <v>0</v>
      </c>
      <c r="X45" s="46">
        <f>DATA!F46</f>
        <v>0</v>
      </c>
      <c r="Y45" s="46">
        <f>DATA!G46</f>
        <v>0</v>
      </c>
      <c r="Z45" s="46">
        <f>DATA!H46</f>
        <v>0</v>
      </c>
      <c r="AA45" s="46">
        <f>DATA!I46</f>
        <v>0</v>
      </c>
      <c r="AB45" s="46"/>
      <c r="AC45" s="46"/>
      <c r="AD45" s="45">
        <f>DATA!L46</f>
        <v>0</v>
      </c>
      <c r="AE45" s="46"/>
      <c r="AF45" s="46">
        <f>DATA!O46</f>
        <v>0</v>
      </c>
      <c r="AG45" s="46">
        <f>DATA!Q46</f>
        <v>0</v>
      </c>
      <c r="AH45" s="46">
        <f>DATA!R46</f>
        <v>0</v>
      </c>
      <c r="AI45" s="46"/>
      <c r="AJ45" s="46"/>
      <c r="AK45" s="46">
        <f>DATA!U46</f>
        <v>0</v>
      </c>
      <c r="AL45" s="46">
        <f>DATA!V46</f>
        <v>0</v>
      </c>
      <c r="AM45" s="46">
        <f>DATA!W46</f>
        <v>0</v>
      </c>
      <c r="AN45" s="47"/>
    </row>
    <row r="46" spans="1:40" s="48" customFormat="1" ht="23.25" hidden="1" customHeight="1" x14ac:dyDescent="0.45">
      <c r="A46" s="46">
        <f>DATA!C47</f>
        <v>0</v>
      </c>
      <c r="B46" s="46">
        <f>DATA!D47</f>
        <v>0</v>
      </c>
      <c r="C46" s="46">
        <f>DATA!F47</f>
        <v>0</v>
      </c>
      <c r="D46" s="46">
        <f>DATA!G47</f>
        <v>0</v>
      </c>
      <c r="E46" s="46">
        <f>DATA!H47</f>
        <v>0</v>
      </c>
      <c r="F46" s="46">
        <f>DATA!I47</f>
        <v>0</v>
      </c>
      <c r="G46" s="46"/>
      <c r="H46" s="46"/>
      <c r="I46" s="45">
        <f>DATA!L47</f>
        <v>0</v>
      </c>
      <c r="J46" s="46"/>
      <c r="K46" s="46">
        <f>DATA!O47</f>
        <v>0</v>
      </c>
      <c r="L46" s="46">
        <f>DATA!Q47</f>
        <v>0</v>
      </c>
      <c r="M46" s="46">
        <f>DATA!R47</f>
        <v>0</v>
      </c>
      <c r="N46" s="46"/>
      <c r="O46" s="46"/>
      <c r="P46" s="46">
        <f>DATA!U47</f>
        <v>0</v>
      </c>
      <c r="Q46" s="46">
        <f>DATA!V47</f>
        <v>0</v>
      </c>
      <c r="R46" s="46">
        <f>DATA!W47</f>
        <v>0</v>
      </c>
      <c r="S46" s="47"/>
      <c r="V46" s="46">
        <f>DATA!C47</f>
        <v>0</v>
      </c>
      <c r="W46" s="46">
        <f>DATA!D47</f>
        <v>0</v>
      </c>
      <c r="X46" s="46">
        <f>DATA!F47</f>
        <v>0</v>
      </c>
      <c r="Y46" s="46">
        <f>DATA!G47</f>
        <v>0</v>
      </c>
      <c r="Z46" s="46">
        <f>DATA!H47</f>
        <v>0</v>
      </c>
      <c r="AA46" s="46">
        <f>DATA!I47</f>
        <v>0</v>
      </c>
      <c r="AB46" s="46"/>
      <c r="AC46" s="46"/>
      <c r="AD46" s="45">
        <f>DATA!L47</f>
        <v>0</v>
      </c>
      <c r="AE46" s="46"/>
      <c r="AF46" s="46">
        <f>DATA!O47</f>
        <v>0</v>
      </c>
      <c r="AG46" s="46">
        <f>DATA!Q47</f>
        <v>0</v>
      </c>
      <c r="AH46" s="46">
        <f>DATA!R47</f>
        <v>0</v>
      </c>
      <c r="AI46" s="46"/>
      <c r="AJ46" s="46"/>
      <c r="AK46" s="46">
        <f>DATA!U47</f>
        <v>0</v>
      </c>
      <c r="AL46" s="46">
        <f>DATA!V47</f>
        <v>0</v>
      </c>
      <c r="AM46" s="46">
        <f>DATA!W47</f>
        <v>0</v>
      </c>
      <c r="AN46" s="47"/>
    </row>
    <row r="47" spans="1:40" s="48" customFormat="1" ht="23.25" hidden="1" customHeight="1" x14ac:dyDescent="0.45">
      <c r="A47" s="46">
        <f>DATA!C48</f>
        <v>0</v>
      </c>
      <c r="B47" s="46">
        <f>DATA!D48</f>
        <v>0</v>
      </c>
      <c r="C47" s="46">
        <f>DATA!F48</f>
        <v>0</v>
      </c>
      <c r="D47" s="46">
        <f>DATA!G48</f>
        <v>0</v>
      </c>
      <c r="E47" s="46">
        <f>DATA!H48</f>
        <v>0</v>
      </c>
      <c r="F47" s="46">
        <f>DATA!I48</f>
        <v>0</v>
      </c>
      <c r="G47" s="46"/>
      <c r="H47" s="46"/>
      <c r="I47" s="45">
        <f>DATA!L48</f>
        <v>0</v>
      </c>
      <c r="J47" s="46"/>
      <c r="K47" s="46">
        <f>DATA!O48</f>
        <v>0</v>
      </c>
      <c r="L47" s="46">
        <f>DATA!Q48</f>
        <v>0</v>
      </c>
      <c r="M47" s="46">
        <f>DATA!R48</f>
        <v>0</v>
      </c>
      <c r="N47" s="46"/>
      <c r="O47" s="46"/>
      <c r="P47" s="46">
        <f>DATA!U48</f>
        <v>0</v>
      </c>
      <c r="Q47" s="46">
        <f>DATA!V48</f>
        <v>0</v>
      </c>
      <c r="R47" s="46">
        <f>DATA!W48</f>
        <v>0</v>
      </c>
      <c r="S47" s="47"/>
      <c r="V47" s="46">
        <f>DATA!C48</f>
        <v>0</v>
      </c>
      <c r="W47" s="46">
        <f>DATA!D48</f>
        <v>0</v>
      </c>
      <c r="X47" s="46">
        <f>DATA!F48</f>
        <v>0</v>
      </c>
      <c r="Y47" s="46">
        <f>DATA!G48</f>
        <v>0</v>
      </c>
      <c r="Z47" s="46">
        <f>DATA!H48</f>
        <v>0</v>
      </c>
      <c r="AA47" s="46">
        <f>DATA!I48</f>
        <v>0</v>
      </c>
      <c r="AB47" s="46"/>
      <c r="AC47" s="46"/>
      <c r="AD47" s="45">
        <f>DATA!L48</f>
        <v>0</v>
      </c>
      <c r="AE47" s="46"/>
      <c r="AF47" s="46">
        <f>DATA!O48</f>
        <v>0</v>
      </c>
      <c r="AG47" s="46">
        <f>DATA!Q48</f>
        <v>0</v>
      </c>
      <c r="AH47" s="46">
        <f>DATA!R48</f>
        <v>0</v>
      </c>
      <c r="AI47" s="46"/>
      <c r="AJ47" s="46"/>
      <c r="AK47" s="46">
        <f>DATA!U48</f>
        <v>0</v>
      </c>
      <c r="AL47" s="46">
        <f>DATA!V48</f>
        <v>0</v>
      </c>
      <c r="AM47" s="46">
        <f>DATA!W48</f>
        <v>0</v>
      </c>
      <c r="AN47" s="47"/>
    </row>
    <row r="48" spans="1:40" s="48" customFormat="1" ht="23.25" hidden="1" customHeight="1" x14ac:dyDescent="0.45">
      <c r="A48" s="46">
        <f>DATA!C49</f>
        <v>0</v>
      </c>
      <c r="B48" s="46">
        <f>DATA!D49</f>
        <v>0</v>
      </c>
      <c r="C48" s="46">
        <f>DATA!F49</f>
        <v>0</v>
      </c>
      <c r="D48" s="46">
        <f>DATA!G49</f>
        <v>0</v>
      </c>
      <c r="E48" s="46">
        <f>DATA!H49</f>
        <v>0</v>
      </c>
      <c r="F48" s="46">
        <f>DATA!I49</f>
        <v>0</v>
      </c>
      <c r="G48" s="46"/>
      <c r="H48" s="46"/>
      <c r="I48" s="45">
        <f>DATA!L49</f>
        <v>0</v>
      </c>
      <c r="J48" s="46"/>
      <c r="K48" s="46">
        <f>DATA!O49</f>
        <v>0</v>
      </c>
      <c r="L48" s="46">
        <f>DATA!Q49</f>
        <v>0</v>
      </c>
      <c r="M48" s="46">
        <f>DATA!R49</f>
        <v>0</v>
      </c>
      <c r="N48" s="46"/>
      <c r="O48" s="46"/>
      <c r="P48" s="46">
        <f>DATA!U49</f>
        <v>0</v>
      </c>
      <c r="Q48" s="46">
        <f>DATA!V49</f>
        <v>0</v>
      </c>
      <c r="R48" s="46">
        <f>DATA!W49</f>
        <v>0</v>
      </c>
      <c r="S48" s="47"/>
      <c r="V48" s="46">
        <f>DATA!C49</f>
        <v>0</v>
      </c>
      <c r="W48" s="46">
        <f>DATA!D49</f>
        <v>0</v>
      </c>
      <c r="X48" s="46">
        <f>DATA!F49</f>
        <v>0</v>
      </c>
      <c r="Y48" s="46">
        <f>DATA!G49</f>
        <v>0</v>
      </c>
      <c r="Z48" s="46">
        <f>DATA!H49</f>
        <v>0</v>
      </c>
      <c r="AA48" s="46">
        <f>DATA!I49</f>
        <v>0</v>
      </c>
      <c r="AB48" s="46"/>
      <c r="AC48" s="46"/>
      <c r="AD48" s="45">
        <f>DATA!L49</f>
        <v>0</v>
      </c>
      <c r="AE48" s="46"/>
      <c r="AF48" s="46">
        <f>DATA!O49</f>
        <v>0</v>
      </c>
      <c r="AG48" s="46">
        <f>DATA!Q49</f>
        <v>0</v>
      </c>
      <c r="AH48" s="46">
        <f>DATA!R49</f>
        <v>0</v>
      </c>
      <c r="AI48" s="46"/>
      <c r="AJ48" s="46"/>
      <c r="AK48" s="46">
        <f>DATA!U49</f>
        <v>0</v>
      </c>
      <c r="AL48" s="46">
        <f>DATA!V49</f>
        <v>0</v>
      </c>
      <c r="AM48" s="46">
        <f>DATA!W49</f>
        <v>0</v>
      </c>
      <c r="AN48" s="47"/>
    </row>
    <row r="49" spans="1:40" s="48" customFormat="1" ht="23.25" hidden="1" customHeight="1" x14ac:dyDescent="0.45">
      <c r="A49" s="46">
        <f>DATA!C50</f>
        <v>0</v>
      </c>
      <c r="B49" s="46">
        <f>DATA!D50</f>
        <v>0</v>
      </c>
      <c r="C49" s="46">
        <f>DATA!F50</f>
        <v>0</v>
      </c>
      <c r="D49" s="46">
        <f>DATA!G50</f>
        <v>0</v>
      </c>
      <c r="E49" s="46">
        <f>DATA!H50</f>
        <v>0</v>
      </c>
      <c r="F49" s="46">
        <f>DATA!I50</f>
        <v>0</v>
      </c>
      <c r="G49" s="46"/>
      <c r="H49" s="46"/>
      <c r="I49" s="45">
        <f>DATA!L50</f>
        <v>0</v>
      </c>
      <c r="J49" s="46"/>
      <c r="K49" s="46">
        <f>DATA!O50</f>
        <v>0</v>
      </c>
      <c r="L49" s="46">
        <f>DATA!Q50</f>
        <v>0</v>
      </c>
      <c r="M49" s="46">
        <f>DATA!R50</f>
        <v>0</v>
      </c>
      <c r="N49" s="46"/>
      <c r="O49" s="46"/>
      <c r="P49" s="46">
        <f>DATA!U50</f>
        <v>0</v>
      </c>
      <c r="Q49" s="46">
        <f>DATA!V50</f>
        <v>0</v>
      </c>
      <c r="R49" s="46">
        <f>DATA!W50</f>
        <v>0</v>
      </c>
      <c r="S49" s="47"/>
      <c r="V49" s="46">
        <f>DATA!C50</f>
        <v>0</v>
      </c>
      <c r="W49" s="46">
        <f>DATA!D50</f>
        <v>0</v>
      </c>
      <c r="X49" s="46">
        <f>DATA!F50</f>
        <v>0</v>
      </c>
      <c r="Y49" s="46">
        <f>DATA!G50</f>
        <v>0</v>
      </c>
      <c r="Z49" s="46">
        <f>DATA!H50</f>
        <v>0</v>
      </c>
      <c r="AA49" s="46">
        <f>DATA!I50</f>
        <v>0</v>
      </c>
      <c r="AB49" s="46"/>
      <c r="AC49" s="46"/>
      <c r="AD49" s="45">
        <f>DATA!L50</f>
        <v>0</v>
      </c>
      <c r="AE49" s="46"/>
      <c r="AF49" s="46">
        <f>DATA!O50</f>
        <v>0</v>
      </c>
      <c r="AG49" s="46">
        <f>DATA!Q50</f>
        <v>0</v>
      </c>
      <c r="AH49" s="46">
        <f>DATA!R50</f>
        <v>0</v>
      </c>
      <c r="AI49" s="46"/>
      <c r="AJ49" s="46"/>
      <c r="AK49" s="46">
        <f>DATA!U50</f>
        <v>0</v>
      </c>
      <c r="AL49" s="46">
        <f>DATA!V50</f>
        <v>0</v>
      </c>
      <c r="AM49" s="46">
        <f>DATA!W50</f>
        <v>0</v>
      </c>
      <c r="AN49" s="47"/>
    </row>
    <row r="50" spans="1:40" s="48" customFormat="1" ht="23.25" hidden="1" customHeight="1" x14ac:dyDescent="0.45">
      <c r="A50" s="46">
        <f>DATA!C51</f>
        <v>0</v>
      </c>
      <c r="B50" s="46">
        <f>DATA!D51</f>
        <v>0</v>
      </c>
      <c r="C50" s="46">
        <f>DATA!F51</f>
        <v>0</v>
      </c>
      <c r="D50" s="46">
        <f>DATA!G51</f>
        <v>0</v>
      </c>
      <c r="E50" s="46">
        <f>DATA!H51</f>
        <v>0</v>
      </c>
      <c r="F50" s="46">
        <f>DATA!I51</f>
        <v>0</v>
      </c>
      <c r="G50" s="46"/>
      <c r="H50" s="46"/>
      <c r="I50" s="45">
        <f>DATA!L51</f>
        <v>0</v>
      </c>
      <c r="J50" s="46"/>
      <c r="K50" s="46">
        <f>DATA!O51</f>
        <v>0</v>
      </c>
      <c r="L50" s="46">
        <f>DATA!Q51</f>
        <v>0</v>
      </c>
      <c r="M50" s="46">
        <f>DATA!R51</f>
        <v>0</v>
      </c>
      <c r="N50" s="46"/>
      <c r="O50" s="46"/>
      <c r="P50" s="46">
        <f>DATA!U51</f>
        <v>0</v>
      </c>
      <c r="Q50" s="46">
        <f>DATA!V51</f>
        <v>0</v>
      </c>
      <c r="R50" s="46">
        <f>DATA!W51</f>
        <v>0</v>
      </c>
      <c r="S50" s="47"/>
      <c r="V50" s="46">
        <f>DATA!C51</f>
        <v>0</v>
      </c>
      <c r="W50" s="46">
        <f>DATA!D51</f>
        <v>0</v>
      </c>
      <c r="X50" s="46">
        <f>DATA!F51</f>
        <v>0</v>
      </c>
      <c r="Y50" s="46">
        <f>DATA!G51</f>
        <v>0</v>
      </c>
      <c r="Z50" s="46">
        <f>DATA!H51</f>
        <v>0</v>
      </c>
      <c r="AA50" s="46">
        <f>DATA!I51</f>
        <v>0</v>
      </c>
      <c r="AB50" s="46"/>
      <c r="AC50" s="46"/>
      <c r="AD50" s="45">
        <f>DATA!L51</f>
        <v>0</v>
      </c>
      <c r="AE50" s="46"/>
      <c r="AF50" s="46">
        <f>DATA!O51</f>
        <v>0</v>
      </c>
      <c r="AG50" s="46">
        <f>DATA!Q51</f>
        <v>0</v>
      </c>
      <c r="AH50" s="46">
        <f>DATA!R51</f>
        <v>0</v>
      </c>
      <c r="AI50" s="46"/>
      <c r="AJ50" s="46"/>
      <c r="AK50" s="46">
        <f>DATA!U51</f>
        <v>0</v>
      </c>
      <c r="AL50" s="46">
        <f>DATA!V51</f>
        <v>0</v>
      </c>
      <c r="AM50" s="46">
        <f>DATA!W51</f>
        <v>0</v>
      </c>
      <c r="AN50" s="47"/>
    </row>
    <row r="51" spans="1:40" s="48" customFormat="1" ht="23.25" hidden="1" customHeight="1" x14ac:dyDescent="0.45">
      <c r="A51" s="46">
        <f>DATA!C52</f>
        <v>0</v>
      </c>
      <c r="B51" s="46">
        <f>DATA!D52</f>
        <v>0</v>
      </c>
      <c r="C51" s="46">
        <f>DATA!F52</f>
        <v>0</v>
      </c>
      <c r="D51" s="46">
        <f>DATA!G52</f>
        <v>0</v>
      </c>
      <c r="E51" s="46">
        <f>DATA!H52</f>
        <v>0</v>
      </c>
      <c r="F51" s="46">
        <f>DATA!I52</f>
        <v>0</v>
      </c>
      <c r="G51" s="46"/>
      <c r="H51" s="46"/>
      <c r="I51" s="45">
        <f>DATA!L52</f>
        <v>0</v>
      </c>
      <c r="J51" s="46"/>
      <c r="K51" s="46">
        <f>DATA!O52</f>
        <v>0</v>
      </c>
      <c r="L51" s="46">
        <f>DATA!Q52</f>
        <v>0</v>
      </c>
      <c r="M51" s="46">
        <f>DATA!R52</f>
        <v>0</v>
      </c>
      <c r="N51" s="46"/>
      <c r="O51" s="46"/>
      <c r="P51" s="46">
        <f>DATA!U52</f>
        <v>0</v>
      </c>
      <c r="Q51" s="46">
        <f>DATA!V52</f>
        <v>0</v>
      </c>
      <c r="R51" s="46">
        <f>DATA!W52</f>
        <v>0</v>
      </c>
      <c r="S51" s="47"/>
      <c r="V51" s="46">
        <f>DATA!C52</f>
        <v>0</v>
      </c>
      <c r="W51" s="46">
        <f>DATA!D52</f>
        <v>0</v>
      </c>
      <c r="X51" s="46">
        <f>DATA!F52</f>
        <v>0</v>
      </c>
      <c r="Y51" s="46">
        <f>DATA!G52</f>
        <v>0</v>
      </c>
      <c r="Z51" s="46">
        <f>DATA!H52</f>
        <v>0</v>
      </c>
      <c r="AA51" s="46">
        <f>DATA!I52</f>
        <v>0</v>
      </c>
      <c r="AB51" s="46"/>
      <c r="AC51" s="46"/>
      <c r="AD51" s="45">
        <f>DATA!L52</f>
        <v>0</v>
      </c>
      <c r="AE51" s="46"/>
      <c r="AF51" s="46">
        <f>DATA!O52</f>
        <v>0</v>
      </c>
      <c r="AG51" s="46">
        <f>DATA!Q52</f>
        <v>0</v>
      </c>
      <c r="AH51" s="46">
        <f>DATA!R52</f>
        <v>0</v>
      </c>
      <c r="AI51" s="46"/>
      <c r="AJ51" s="46"/>
      <c r="AK51" s="46">
        <f>DATA!U52</f>
        <v>0</v>
      </c>
      <c r="AL51" s="46">
        <f>DATA!V52</f>
        <v>0</v>
      </c>
      <c r="AM51" s="46">
        <f>DATA!W52</f>
        <v>0</v>
      </c>
      <c r="AN51" s="47"/>
    </row>
    <row r="52" spans="1:40" s="48" customFormat="1" ht="23.25" hidden="1" customHeight="1" x14ac:dyDescent="0.45">
      <c r="A52" s="46">
        <f>DATA!C53</f>
        <v>0</v>
      </c>
      <c r="B52" s="46">
        <f>DATA!D53</f>
        <v>0</v>
      </c>
      <c r="C52" s="46">
        <f>DATA!F53</f>
        <v>0</v>
      </c>
      <c r="D52" s="46">
        <f>DATA!G53</f>
        <v>0</v>
      </c>
      <c r="E52" s="46">
        <f>DATA!H53</f>
        <v>0</v>
      </c>
      <c r="F52" s="46">
        <f>DATA!I53</f>
        <v>0</v>
      </c>
      <c r="G52" s="46"/>
      <c r="H52" s="46"/>
      <c r="I52" s="45">
        <f>DATA!L53</f>
        <v>0</v>
      </c>
      <c r="J52" s="46"/>
      <c r="K52" s="46">
        <f>DATA!O53</f>
        <v>0</v>
      </c>
      <c r="L52" s="46">
        <f>DATA!Q53</f>
        <v>0</v>
      </c>
      <c r="M52" s="46">
        <f>DATA!R53</f>
        <v>0</v>
      </c>
      <c r="N52" s="46"/>
      <c r="O52" s="46"/>
      <c r="P52" s="46">
        <f>DATA!U53</f>
        <v>0</v>
      </c>
      <c r="Q52" s="46">
        <f>DATA!V53</f>
        <v>0</v>
      </c>
      <c r="R52" s="46">
        <f>DATA!W53</f>
        <v>0</v>
      </c>
      <c r="S52" s="47"/>
      <c r="V52" s="46">
        <f>DATA!C53</f>
        <v>0</v>
      </c>
      <c r="W52" s="46">
        <f>DATA!D53</f>
        <v>0</v>
      </c>
      <c r="X52" s="46">
        <f>DATA!F53</f>
        <v>0</v>
      </c>
      <c r="Y52" s="46">
        <f>DATA!G53</f>
        <v>0</v>
      </c>
      <c r="Z52" s="46">
        <f>DATA!H53</f>
        <v>0</v>
      </c>
      <c r="AA52" s="46">
        <f>DATA!I53</f>
        <v>0</v>
      </c>
      <c r="AB52" s="46"/>
      <c r="AC52" s="46"/>
      <c r="AD52" s="45">
        <f>DATA!L53</f>
        <v>0</v>
      </c>
      <c r="AE52" s="46"/>
      <c r="AF52" s="46">
        <f>DATA!O53</f>
        <v>0</v>
      </c>
      <c r="AG52" s="46">
        <f>DATA!Q53</f>
        <v>0</v>
      </c>
      <c r="AH52" s="46">
        <f>DATA!R53</f>
        <v>0</v>
      </c>
      <c r="AI52" s="46"/>
      <c r="AJ52" s="46"/>
      <c r="AK52" s="46">
        <f>DATA!U53</f>
        <v>0</v>
      </c>
      <c r="AL52" s="46">
        <f>DATA!V53</f>
        <v>0</v>
      </c>
      <c r="AM52" s="46">
        <f>DATA!W53</f>
        <v>0</v>
      </c>
      <c r="AN52" s="47"/>
    </row>
    <row r="53" spans="1:40" s="48" customFormat="1" ht="23.25" hidden="1" customHeight="1" x14ac:dyDescent="0.45">
      <c r="A53" s="46">
        <f>DATA!C54</f>
        <v>0</v>
      </c>
      <c r="B53" s="46">
        <f>DATA!D54</f>
        <v>0</v>
      </c>
      <c r="C53" s="46">
        <f>DATA!F54</f>
        <v>0</v>
      </c>
      <c r="D53" s="46">
        <f>DATA!G54</f>
        <v>0</v>
      </c>
      <c r="E53" s="46">
        <f>DATA!H54</f>
        <v>0</v>
      </c>
      <c r="F53" s="46">
        <f>DATA!I54</f>
        <v>0</v>
      </c>
      <c r="G53" s="46"/>
      <c r="H53" s="46"/>
      <c r="I53" s="45">
        <f>DATA!L54</f>
        <v>0</v>
      </c>
      <c r="J53" s="46"/>
      <c r="K53" s="46">
        <f>DATA!O54</f>
        <v>0</v>
      </c>
      <c r="L53" s="46">
        <f>DATA!Q54</f>
        <v>0</v>
      </c>
      <c r="M53" s="46">
        <f>DATA!R54</f>
        <v>0</v>
      </c>
      <c r="N53" s="46"/>
      <c r="O53" s="46"/>
      <c r="P53" s="46">
        <f>DATA!U54</f>
        <v>0</v>
      </c>
      <c r="Q53" s="46">
        <f>DATA!V54</f>
        <v>0</v>
      </c>
      <c r="R53" s="46">
        <f>DATA!W54</f>
        <v>0</v>
      </c>
      <c r="S53" s="47"/>
      <c r="V53" s="46">
        <f>DATA!C54</f>
        <v>0</v>
      </c>
      <c r="W53" s="46">
        <f>DATA!D54</f>
        <v>0</v>
      </c>
      <c r="X53" s="46">
        <f>DATA!F54</f>
        <v>0</v>
      </c>
      <c r="Y53" s="46">
        <f>DATA!G54</f>
        <v>0</v>
      </c>
      <c r="Z53" s="46">
        <f>DATA!H54</f>
        <v>0</v>
      </c>
      <c r="AA53" s="46">
        <f>DATA!I54</f>
        <v>0</v>
      </c>
      <c r="AB53" s="46"/>
      <c r="AC53" s="46"/>
      <c r="AD53" s="45">
        <f>DATA!L54</f>
        <v>0</v>
      </c>
      <c r="AE53" s="46"/>
      <c r="AF53" s="46">
        <f>DATA!O54</f>
        <v>0</v>
      </c>
      <c r="AG53" s="46">
        <f>DATA!Q54</f>
        <v>0</v>
      </c>
      <c r="AH53" s="46">
        <f>DATA!R54</f>
        <v>0</v>
      </c>
      <c r="AI53" s="46"/>
      <c r="AJ53" s="46"/>
      <c r="AK53" s="46">
        <f>DATA!U54</f>
        <v>0</v>
      </c>
      <c r="AL53" s="46">
        <f>DATA!V54</f>
        <v>0</v>
      </c>
      <c r="AM53" s="46">
        <f>DATA!W54</f>
        <v>0</v>
      </c>
      <c r="AN53" s="47"/>
    </row>
    <row r="54" spans="1:40" s="48" customFormat="1" ht="23.25" hidden="1" customHeight="1" x14ac:dyDescent="0.45">
      <c r="A54" s="46">
        <f>DATA!C55</f>
        <v>0</v>
      </c>
      <c r="B54" s="46">
        <f>DATA!D55</f>
        <v>0</v>
      </c>
      <c r="C54" s="46">
        <f>DATA!F55</f>
        <v>0</v>
      </c>
      <c r="D54" s="46">
        <f>DATA!G55</f>
        <v>0</v>
      </c>
      <c r="E54" s="46">
        <f>DATA!H55</f>
        <v>0</v>
      </c>
      <c r="F54" s="46">
        <f>DATA!I55</f>
        <v>0</v>
      </c>
      <c r="G54" s="46"/>
      <c r="H54" s="46"/>
      <c r="I54" s="45">
        <f>DATA!L55</f>
        <v>0</v>
      </c>
      <c r="J54" s="46"/>
      <c r="K54" s="46">
        <f>DATA!O55</f>
        <v>0</v>
      </c>
      <c r="L54" s="46">
        <f>DATA!Q55</f>
        <v>0</v>
      </c>
      <c r="M54" s="46">
        <f>DATA!R55</f>
        <v>0</v>
      </c>
      <c r="N54" s="46"/>
      <c r="O54" s="46"/>
      <c r="P54" s="46">
        <f>DATA!U55</f>
        <v>0</v>
      </c>
      <c r="Q54" s="46">
        <f>DATA!V55</f>
        <v>0</v>
      </c>
      <c r="R54" s="46">
        <f>DATA!W55</f>
        <v>0</v>
      </c>
      <c r="S54" s="47"/>
      <c r="V54" s="46">
        <f>DATA!C55</f>
        <v>0</v>
      </c>
      <c r="W54" s="46">
        <f>DATA!D55</f>
        <v>0</v>
      </c>
      <c r="X54" s="46">
        <f>DATA!F55</f>
        <v>0</v>
      </c>
      <c r="Y54" s="46">
        <f>DATA!G55</f>
        <v>0</v>
      </c>
      <c r="Z54" s="46">
        <f>DATA!H55</f>
        <v>0</v>
      </c>
      <c r="AA54" s="46">
        <f>DATA!I55</f>
        <v>0</v>
      </c>
      <c r="AB54" s="46"/>
      <c r="AC54" s="46"/>
      <c r="AD54" s="45">
        <f>DATA!L55</f>
        <v>0</v>
      </c>
      <c r="AE54" s="46"/>
      <c r="AF54" s="46">
        <f>DATA!O55</f>
        <v>0</v>
      </c>
      <c r="AG54" s="46">
        <f>DATA!Q55</f>
        <v>0</v>
      </c>
      <c r="AH54" s="46">
        <f>DATA!R55</f>
        <v>0</v>
      </c>
      <c r="AI54" s="46"/>
      <c r="AJ54" s="46"/>
      <c r="AK54" s="46">
        <f>DATA!U55</f>
        <v>0</v>
      </c>
      <c r="AL54" s="46">
        <f>DATA!V55</f>
        <v>0</v>
      </c>
      <c r="AM54" s="46">
        <f>DATA!W55</f>
        <v>0</v>
      </c>
      <c r="AN54" s="47"/>
    </row>
    <row r="55" spans="1:40" s="48" customFormat="1" ht="23.25" hidden="1" customHeight="1" x14ac:dyDescent="0.45">
      <c r="A55" s="46">
        <f>DATA!C56</f>
        <v>0</v>
      </c>
      <c r="B55" s="46">
        <f>DATA!D56</f>
        <v>0</v>
      </c>
      <c r="C55" s="46">
        <f>DATA!F56</f>
        <v>0</v>
      </c>
      <c r="D55" s="46">
        <f>DATA!G56</f>
        <v>0</v>
      </c>
      <c r="E55" s="46">
        <f>DATA!H56</f>
        <v>0</v>
      </c>
      <c r="F55" s="46">
        <f>DATA!I56</f>
        <v>0</v>
      </c>
      <c r="G55" s="46"/>
      <c r="H55" s="46"/>
      <c r="I55" s="45">
        <f>DATA!L56</f>
        <v>0</v>
      </c>
      <c r="J55" s="46"/>
      <c r="K55" s="46">
        <f>DATA!O56</f>
        <v>0</v>
      </c>
      <c r="L55" s="46">
        <f>DATA!Q56</f>
        <v>0</v>
      </c>
      <c r="M55" s="46">
        <f>DATA!R56</f>
        <v>0</v>
      </c>
      <c r="N55" s="46"/>
      <c r="O55" s="46"/>
      <c r="P55" s="46">
        <f>DATA!U56</f>
        <v>0</v>
      </c>
      <c r="Q55" s="46">
        <f>DATA!V56</f>
        <v>0</v>
      </c>
      <c r="R55" s="46">
        <f>DATA!W56</f>
        <v>0</v>
      </c>
      <c r="S55" s="47"/>
      <c r="V55" s="46">
        <f>DATA!C56</f>
        <v>0</v>
      </c>
      <c r="W55" s="46">
        <f>DATA!D56</f>
        <v>0</v>
      </c>
      <c r="X55" s="46">
        <f>DATA!F56</f>
        <v>0</v>
      </c>
      <c r="Y55" s="46">
        <f>DATA!G56</f>
        <v>0</v>
      </c>
      <c r="Z55" s="46">
        <f>DATA!H56</f>
        <v>0</v>
      </c>
      <c r="AA55" s="46">
        <f>DATA!I56</f>
        <v>0</v>
      </c>
      <c r="AB55" s="46"/>
      <c r="AC55" s="46"/>
      <c r="AD55" s="45">
        <f>DATA!L56</f>
        <v>0</v>
      </c>
      <c r="AE55" s="46"/>
      <c r="AF55" s="46">
        <f>DATA!O56</f>
        <v>0</v>
      </c>
      <c r="AG55" s="46">
        <f>DATA!Q56</f>
        <v>0</v>
      </c>
      <c r="AH55" s="46">
        <f>DATA!R56</f>
        <v>0</v>
      </c>
      <c r="AI55" s="46"/>
      <c r="AJ55" s="46"/>
      <c r="AK55" s="46">
        <f>DATA!U56</f>
        <v>0</v>
      </c>
      <c r="AL55" s="46">
        <f>DATA!V56</f>
        <v>0</v>
      </c>
      <c r="AM55" s="46">
        <f>DATA!W56</f>
        <v>0</v>
      </c>
      <c r="AN55" s="47"/>
    </row>
    <row r="56" spans="1:40" s="48" customFormat="1" ht="23.25" hidden="1" customHeight="1" x14ac:dyDescent="0.45">
      <c r="A56" s="46">
        <f>DATA!C57</f>
        <v>0</v>
      </c>
      <c r="B56" s="46">
        <f>DATA!D57</f>
        <v>0</v>
      </c>
      <c r="C56" s="46">
        <f>DATA!F57</f>
        <v>0</v>
      </c>
      <c r="D56" s="46">
        <f>DATA!G57</f>
        <v>0</v>
      </c>
      <c r="E56" s="46">
        <f>DATA!H57</f>
        <v>0</v>
      </c>
      <c r="F56" s="46">
        <f>DATA!I57</f>
        <v>0</v>
      </c>
      <c r="G56" s="46"/>
      <c r="H56" s="46"/>
      <c r="I56" s="45">
        <f>DATA!L57</f>
        <v>0</v>
      </c>
      <c r="J56" s="46"/>
      <c r="K56" s="46">
        <f>DATA!O57</f>
        <v>0</v>
      </c>
      <c r="L56" s="46">
        <f>DATA!Q57</f>
        <v>0</v>
      </c>
      <c r="M56" s="46">
        <f>DATA!R57</f>
        <v>0</v>
      </c>
      <c r="N56" s="46"/>
      <c r="O56" s="46"/>
      <c r="P56" s="46">
        <f>DATA!U57</f>
        <v>0</v>
      </c>
      <c r="Q56" s="46">
        <f>DATA!V57</f>
        <v>0</v>
      </c>
      <c r="R56" s="46">
        <f>DATA!W57</f>
        <v>0</v>
      </c>
      <c r="S56" s="47"/>
      <c r="V56" s="46">
        <f>DATA!C57</f>
        <v>0</v>
      </c>
      <c r="W56" s="46">
        <f>DATA!D57</f>
        <v>0</v>
      </c>
      <c r="X56" s="46">
        <f>DATA!F57</f>
        <v>0</v>
      </c>
      <c r="Y56" s="46">
        <f>DATA!G57</f>
        <v>0</v>
      </c>
      <c r="Z56" s="46">
        <f>DATA!H57</f>
        <v>0</v>
      </c>
      <c r="AA56" s="46">
        <f>DATA!I57</f>
        <v>0</v>
      </c>
      <c r="AB56" s="46"/>
      <c r="AC56" s="46"/>
      <c r="AD56" s="45">
        <f>DATA!L57</f>
        <v>0</v>
      </c>
      <c r="AE56" s="46"/>
      <c r="AF56" s="46">
        <f>DATA!O57</f>
        <v>0</v>
      </c>
      <c r="AG56" s="46">
        <f>DATA!Q57</f>
        <v>0</v>
      </c>
      <c r="AH56" s="46">
        <f>DATA!R57</f>
        <v>0</v>
      </c>
      <c r="AI56" s="46"/>
      <c r="AJ56" s="46"/>
      <c r="AK56" s="46">
        <f>DATA!U57</f>
        <v>0</v>
      </c>
      <c r="AL56" s="46">
        <f>DATA!V57</f>
        <v>0</v>
      </c>
      <c r="AM56" s="46">
        <f>DATA!W57</f>
        <v>0</v>
      </c>
      <c r="AN56" s="47"/>
    </row>
    <row r="57" spans="1:40" s="48" customFormat="1" ht="23.25" hidden="1" customHeight="1" x14ac:dyDescent="0.45">
      <c r="A57" s="46">
        <f>DATA!C58</f>
        <v>0</v>
      </c>
      <c r="B57" s="46">
        <f>DATA!D58</f>
        <v>0</v>
      </c>
      <c r="C57" s="46">
        <f>DATA!F58</f>
        <v>0</v>
      </c>
      <c r="D57" s="46">
        <f>DATA!G58</f>
        <v>0</v>
      </c>
      <c r="E57" s="46">
        <f>DATA!H58</f>
        <v>0</v>
      </c>
      <c r="F57" s="46">
        <f>DATA!I58</f>
        <v>0</v>
      </c>
      <c r="G57" s="46"/>
      <c r="H57" s="46"/>
      <c r="I57" s="45">
        <f>DATA!L58</f>
        <v>0</v>
      </c>
      <c r="J57" s="46"/>
      <c r="K57" s="46">
        <f>DATA!O58</f>
        <v>0</v>
      </c>
      <c r="L57" s="46">
        <f>DATA!Q58</f>
        <v>0</v>
      </c>
      <c r="M57" s="46">
        <f>DATA!R58</f>
        <v>0</v>
      </c>
      <c r="N57" s="46"/>
      <c r="O57" s="46"/>
      <c r="P57" s="46">
        <f>DATA!U58</f>
        <v>0</v>
      </c>
      <c r="Q57" s="46">
        <f>DATA!V58</f>
        <v>0</v>
      </c>
      <c r="R57" s="46">
        <f>DATA!W58</f>
        <v>0</v>
      </c>
      <c r="S57" s="47"/>
      <c r="V57" s="46">
        <f>DATA!C58</f>
        <v>0</v>
      </c>
      <c r="W57" s="46">
        <f>DATA!D58</f>
        <v>0</v>
      </c>
      <c r="X57" s="46">
        <f>DATA!F58</f>
        <v>0</v>
      </c>
      <c r="Y57" s="46">
        <f>DATA!G58</f>
        <v>0</v>
      </c>
      <c r="Z57" s="46">
        <f>DATA!H58</f>
        <v>0</v>
      </c>
      <c r="AA57" s="46">
        <f>DATA!I58</f>
        <v>0</v>
      </c>
      <c r="AB57" s="46"/>
      <c r="AC57" s="46"/>
      <c r="AD57" s="45">
        <f>DATA!L58</f>
        <v>0</v>
      </c>
      <c r="AE57" s="46"/>
      <c r="AF57" s="46">
        <f>DATA!O58</f>
        <v>0</v>
      </c>
      <c r="AG57" s="46">
        <f>DATA!Q58</f>
        <v>0</v>
      </c>
      <c r="AH57" s="46">
        <f>DATA!R58</f>
        <v>0</v>
      </c>
      <c r="AI57" s="46"/>
      <c r="AJ57" s="46"/>
      <c r="AK57" s="46">
        <f>DATA!U58</f>
        <v>0</v>
      </c>
      <c r="AL57" s="46">
        <f>DATA!V58</f>
        <v>0</v>
      </c>
      <c r="AM57" s="46">
        <f>DATA!W58</f>
        <v>0</v>
      </c>
      <c r="AN57" s="47"/>
    </row>
    <row r="58" spans="1:40" s="48" customFormat="1" ht="23.25" hidden="1" customHeight="1" x14ac:dyDescent="0.45">
      <c r="A58" s="46">
        <f>DATA!C59</f>
        <v>0</v>
      </c>
      <c r="B58" s="46">
        <f>DATA!D59</f>
        <v>0</v>
      </c>
      <c r="C58" s="46">
        <f>DATA!F59</f>
        <v>0</v>
      </c>
      <c r="D58" s="46">
        <f>DATA!G59</f>
        <v>0</v>
      </c>
      <c r="E58" s="46">
        <f>DATA!H59</f>
        <v>0</v>
      </c>
      <c r="F58" s="46">
        <f>DATA!I59</f>
        <v>0</v>
      </c>
      <c r="G58" s="46"/>
      <c r="H58" s="46"/>
      <c r="I58" s="45">
        <f>DATA!L59</f>
        <v>0</v>
      </c>
      <c r="J58" s="46"/>
      <c r="K58" s="46">
        <f>DATA!O59</f>
        <v>0</v>
      </c>
      <c r="L58" s="46">
        <f>DATA!Q59</f>
        <v>0</v>
      </c>
      <c r="M58" s="46">
        <f>DATA!R59</f>
        <v>0</v>
      </c>
      <c r="N58" s="46"/>
      <c r="O58" s="46"/>
      <c r="P58" s="46">
        <f>DATA!U59</f>
        <v>0</v>
      </c>
      <c r="Q58" s="46">
        <f>DATA!V59</f>
        <v>0</v>
      </c>
      <c r="R58" s="46">
        <f>DATA!W59</f>
        <v>0</v>
      </c>
      <c r="S58" s="47"/>
      <c r="V58" s="46">
        <f>DATA!C59</f>
        <v>0</v>
      </c>
      <c r="W58" s="46">
        <f>DATA!D59</f>
        <v>0</v>
      </c>
      <c r="X58" s="46">
        <f>DATA!F59</f>
        <v>0</v>
      </c>
      <c r="Y58" s="46">
        <f>DATA!G59</f>
        <v>0</v>
      </c>
      <c r="Z58" s="46">
        <f>DATA!H59</f>
        <v>0</v>
      </c>
      <c r="AA58" s="46">
        <f>DATA!I59</f>
        <v>0</v>
      </c>
      <c r="AB58" s="46"/>
      <c r="AC58" s="46"/>
      <c r="AD58" s="45">
        <f>DATA!L59</f>
        <v>0</v>
      </c>
      <c r="AE58" s="46"/>
      <c r="AF58" s="46">
        <f>DATA!O59</f>
        <v>0</v>
      </c>
      <c r="AG58" s="46">
        <f>DATA!Q59</f>
        <v>0</v>
      </c>
      <c r="AH58" s="46">
        <f>DATA!R59</f>
        <v>0</v>
      </c>
      <c r="AI58" s="46"/>
      <c r="AJ58" s="46"/>
      <c r="AK58" s="46">
        <f>DATA!U59</f>
        <v>0</v>
      </c>
      <c r="AL58" s="46">
        <f>DATA!V59</f>
        <v>0</v>
      </c>
      <c r="AM58" s="46">
        <f>DATA!W59</f>
        <v>0</v>
      </c>
      <c r="AN58" s="47"/>
    </row>
    <row r="59" spans="1:40" s="48" customFormat="1" ht="23.25" hidden="1" customHeight="1" x14ac:dyDescent="0.45">
      <c r="A59" s="46">
        <f>DATA!C60</f>
        <v>0</v>
      </c>
      <c r="B59" s="46">
        <f>DATA!D60</f>
        <v>0</v>
      </c>
      <c r="C59" s="46">
        <f>DATA!F60</f>
        <v>0</v>
      </c>
      <c r="D59" s="46">
        <f>DATA!G60</f>
        <v>0</v>
      </c>
      <c r="E59" s="46">
        <f>DATA!H60</f>
        <v>0</v>
      </c>
      <c r="F59" s="46">
        <f>DATA!I60</f>
        <v>0</v>
      </c>
      <c r="G59" s="46"/>
      <c r="H59" s="46"/>
      <c r="I59" s="45">
        <f>DATA!L60</f>
        <v>0</v>
      </c>
      <c r="J59" s="46"/>
      <c r="K59" s="46">
        <f>DATA!O60</f>
        <v>0</v>
      </c>
      <c r="L59" s="46">
        <f>DATA!Q60</f>
        <v>0</v>
      </c>
      <c r="M59" s="46">
        <f>DATA!R60</f>
        <v>0</v>
      </c>
      <c r="N59" s="46"/>
      <c r="O59" s="46"/>
      <c r="P59" s="46">
        <f>DATA!U60</f>
        <v>0</v>
      </c>
      <c r="Q59" s="46">
        <f>DATA!V60</f>
        <v>0</v>
      </c>
      <c r="R59" s="46">
        <f>DATA!W60</f>
        <v>0</v>
      </c>
      <c r="S59" s="47"/>
      <c r="V59" s="46">
        <f>DATA!C60</f>
        <v>0</v>
      </c>
      <c r="W59" s="46">
        <f>DATA!D60</f>
        <v>0</v>
      </c>
      <c r="X59" s="46">
        <f>DATA!F60</f>
        <v>0</v>
      </c>
      <c r="Y59" s="46">
        <f>DATA!G60</f>
        <v>0</v>
      </c>
      <c r="Z59" s="46">
        <f>DATA!H60</f>
        <v>0</v>
      </c>
      <c r="AA59" s="46">
        <f>DATA!I60</f>
        <v>0</v>
      </c>
      <c r="AB59" s="46"/>
      <c r="AC59" s="46"/>
      <c r="AD59" s="45">
        <f>DATA!L60</f>
        <v>0</v>
      </c>
      <c r="AE59" s="46"/>
      <c r="AF59" s="46">
        <f>DATA!O60</f>
        <v>0</v>
      </c>
      <c r="AG59" s="46">
        <f>DATA!Q60</f>
        <v>0</v>
      </c>
      <c r="AH59" s="46">
        <f>DATA!R60</f>
        <v>0</v>
      </c>
      <c r="AI59" s="46"/>
      <c r="AJ59" s="46"/>
      <c r="AK59" s="46">
        <f>DATA!U60</f>
        <v>0</v>
      </c>
      <c r="AL59" s="46">
        <f>DATA!V60</f>
        <v>0</v>
      </c>
      <c r="AM59" s="46">
        <f>DATA!W60</f>
        <v>0</v>
      </c>
      <c r="AN59" s="47"/>
    </row>
    <row r="60" spans="1:40" s="48" customFormat="1" ht="23.25" hidden="1" customHeight="1" x14ac:dyDescent="0.45">
      <c r="A60" s="46">
        <f>DATA!C61</f>
        <v>0</v>
      </c>
      <c r="B60" s="46">
        <f>DATA!D61</f>
        <v>0</v>
      </c>
      <c r="C60" s="46">
        <f>DATA!F61</f>
        <v>0</v>
      </c>
      <c r="D60" s="46">
        <f>DATA!G61</f>
        <v>0</v>
      </c>
      <c r="E60" s="46">
        <f>DATA!H61</f>
        <v>0</v>
      </c>
      <c r="F60" s="46">
        <f>DATA!I61</f>
        <v>0</v>
      </c>
      <c r="G60" s="46"/>
      <c r="H60" s="46"/>
      <c r="I60" s="45">
        <f>DATA!L61</f>
        <v>0</v>
      </c>
      <c r="J60" s="46"/>
      <c r="K60" s="46">
        <f>DATA!O61</f>
        <v>0</v>
      </c>
      <c r="L60" s="46">
        <f>DATA!Q61</f>
        <v>0</v>
      </c>
      <c r="M60" s="46">
        <f>DATA!R61</f>
        <v>0</v>
      </c>
      <c r="N60" s="46"/>
      <c r="O60" s="46"/>
      <c r="P60" s="46">
        <f>DATA!U61</f>
        <v>0</v>
      </c>
      <c r="Q60" s="46">
        <f>DATA!V61</f>
        <v>0</v>
      </c>
      <c r="R60" s="46">
        <f>DATA!W61</f>
        <v>0</v>
      </c>
      <c r="S60" s="47"/>
      <c r="V60" s="46">
        <f>DATA!C61</f>
        <v>0</v>
      </c>
      <c r="W60" s="46">
        <f>DATA!D61</f>
        <v>0</v>
      </c>
      <c r="X60" s="46">
        <f>DATA!F61</f>
        <v>0</v>
      </c>
      <c r="Y60" s="46">
        <f>DATA!G61</f>
        <v>0</v>
      </c>
      <c r="Z60" s="46">
        <f>DATA!H61</f>
        <v>0</v>
      </c>
      <c r="AA60" s="46">
        <f>DATA!I61</f>
        <v>0</v>
      </c>
      <c r="AB60" s="46"/>
      <c r="AC60" s="46"/>
      <c r="AD60" s="45">
        <f>DATA!L61</f>
        <v>0</v>
      </c>
      <c r="AE60" s="46"/>
      <c r="AF60" s="46">
        <f>DATA!O61</f>
        <v>0</v>
      </c>
      <c r="AG60" s="46">
        <f>DATA!Q61</f>
        <v>0</v>
      </c>
      <c r="AH60" s="46">
        <f>DATA!R61</f>
        <v>0</v>
      </c>
      <c r="AI60" s="46"/>
      <c r="AJ60" s="46"/>
      <c r="AK60" s="46">
        <f>DATA!U61</f>
        <v>0</v>
      </c>
      <c r="AL60" s="46">
        <f>DATA!V61</f>
        <v>0</v>
      </c>
      <c r="AM60" s="46">
        <f>DATA!W61</f>
        <v>0</v>
      </c>
      <c r="AN60" s="47"/>
    </row>
    <row r="61" spans="1:40" s="48" customFormat="1" ht="23.25" hidden="1" customHeight="1" x14ac:dyDescent="0.45">
      <c r="A61" s="46">
        <f>DATA!C62</f>
        <v>0</v>
      </c>
      <c r="B61" s="46">
        <f>DATA!D62</f>
        <v>0</v>
      </c>
      <c r="C61" s="46">
        <f>DATA!F62</f>
        <v>0</v>
      </c>
      <c r="D61" s="46">
        <f>DATA!G62</f>
        <v>0</v>
      </c>
      <c r="E61" s="46">
        <f>DATA!H62</f>
        <v>0</v>
      </c>
      <c r="F61" s="46">
        <f>DATA!I62</f>
        <v>0</v>
      </c>
      <c r="G61" s="46"/>
      <c r="H61" s="46"/>
      <c r="I61" s="45">
        <f>DATA!L62</f>
        <v>0</v>
      </c>
      <c r="J61" s="46"/>
      <c r="K61" s="46">
        <f>DATA!O62</f>
        <v>0</v>
      </c>
      <c r="L61" s="46">
        <f>DATA!Q62</f>
        <v>0</v>
      </c>
      <c r="M61" s="46">
        <f>DATA!R62</f>
        <v>0</v>
      </c>
      <c r="N61" s="46"/>
      <c r="O61" s="46"/>
      <c r="P61" s="46">
        <f>DATA!U62</f>
        <v>0</v>
      </c>
      <c r="Q61" s="46">
        <f>DATA!V62</f>
        <v>0</v>
      </c>
      <c r="R61" s="46">
        <f>DATA!W62</f>
        <v>0</v>
      </c>
      <c r="S61" s="47"/>
      <c r="V61" s="46">
        <f>DATA!C62</f>
        <v>0</v>
      </c>
      <c r="W61" s="46">
        <f>DATA!D62</f>
        <v>0</v>
      </c>
      <c r="X61" s="46">
        <f>DATA!F62</f>
        <v>0</v>
      </c>
      <c r="Y61" s="46">
        <f>DATA!G62</f>
        <v>0</v>
      </c>
      <c r="Z61" s="46">
        <f>DATA!H62</f>
        <v>0</v>
      </c>
      <c r="AA61" s="46">
        <f>DATA!I62</f>
        <v>0</v>
      </c>
      <c r="AB61" s="46"/>
      <c r="AC61" s="46"/>
      <c r="AD61" s="45">
        <f>DATA!L62</f>
        <v>0</v>
      </c>
      <c r="AE61" s="46"/>
      <c r="AF61" s="46">
        <f>DATA!O62</f>
        <v>0</v>
      </c>
      <c r="AG61" s="46">
        <f>DATA!Q62</f>
        <v>0</v>
      </c>
      <c r="AH61" s="46">
        <f>DATA!R62</f>
        <v>0</v>
      </c>
      <c r="AI61" s="46"/>
      <c r="AJ61" s="46"/>
      <c r="AK61" s="46">
        <f>DATA!U62</f>
        <v>0</v>
      </c>
      <c r="AL61" s="46">
        <f>DATA!V62</f>
        <v>0</v>
      </c>
      <c r="AM61" s="46">
        <f>DATA!W62</f>
        <v>0</v>
      </c>
      <c r="AN61" s="47"/>
    </row>
    <row r="62" spans="1:40" s="48" customFormat="1" ht="23.25" hidden="1" customHeight="1" x14ac:dyDescent="0.45">
      <c r="A62" s="46">
        <f>DATA!C63</f>
        <v>0</v>
      </c>
      <c r="B62" s="46">
        <f>DATA!D63</f>
        <v>0</v>
      </c>
      <c r="C62" s="46">
        <f>DATA!F63</f>
        <v>0</v>
      </c>
      <c r="D62" s="46">
        <f>DATA!G63</f>
        <v>0</v>
      </c>
      <c r="E62" s="46">
        <f>DATA!H63</f>
        <v>0</v>
      </c>
      <c r="F62" s="46">
        <f>DATA!I63</f>
        <v>0</v>
      </c>
      <c r="G62" s="46"/>
      <c r="H62" s="46"/>
      <c r="I62" s="45">
        <f>DATA!L63</f>
        <v>0</v>
      </c>
      <c r="J62" s="46"/>
      <c r="K62" s="46">
        <f>DATA!O63</f>
        <v>0</v>
      </c>
      <c r="L62" s="46">
        <f>DATA!Q63</f>
        <v>0</v>
      </c>
      <c r="M62" s="46">
        <f>DATA!R63</f>
        <v>0</v>
      </c>
      <c r="N62" s="46"/>
      <c r="O62" s="46"/>
      <c r="P62" s="46">
        <f>DATA!U63</f>
        <v>0</v>
      </c>
      <c r="Q62" s="46">
        <f>DATA!V63</f>
        <v>0</v>
      </c>
      <c r="R62" s="46">
        <f>DATA!W63</f>
        <v>0</v>
      </c>
      <c r="S62" s="47"/>
      <c r="V62" s="46">
        <f>DATA!C63</f>
        <v>0</v>
      </c>
      <c r="W62" s="46">
        <f>DATA!D63</f>
        <v>0</v>
      </c>
      <c r="X62" s="46">
        <f>DATA!F63</f>
        <v>0</v>
      </c>
      <c r="Y62" s="46">
        <f>DATA!G63</f>
        <v>0</v>
      </c>
      <c r="Z62" s="46">
        <f>DATA!H63</f>
        <v>0</v>
      </c>
      <c r="AA62" s="46">
        <f>DATA!I63</f>
        <v>0</v>
      </c>
      <c r="AB62" s="46"/>
      <c r="AC62" s="46"/>
      <c r="AD62" s="45">
        <f>DATA!L63</f>
        <v>0</v>
      </c>
      <c r="AE62" s="46"/>
      <c r="AF62" s="46">
        <f>DATA!O63</f>
        <v>0</v>
      </c>
      <c r="AG62" s="46">
        <f>DATA!Q63</f>
        <v>0</v>
      </c>
      <c r="AH62" s="46">
        <f>DATA!R63</f>
        <v>0</v>
      </c>
      <c r="AI62" s="46"/>
      <c r="AJ62" s="46"/>
      <c r="AK62" s="46">
        <f>DATA!U63</f>
        <v>0</v>
      </c>
      <c r="AL62" s="46">
        <f>DATA!V63</f>
        <v>0</v>
      </c>
      <c r="AM62" s="46">
        <f>DATA!W63</f>
        <v>0</v>
      </c>
      <c r="AN62" s="47"/>
    </row>
    <row r="63" spans="1:40" s="48" customFormat="1" ht="23.25" hidden="1" customHeight="1" x14ac:dyDescent="0.45">
      <c r="A63" s="46">
        <f>DATA!C64</f>
        <v>0</v>
      </c>
      <c r="B63" s="46">
        <f>DATA!D64</f>
        <v>0</v>
      </c>
      <c r="C63" s="46">
        <f>DATA!F64</f>
        <v>0</v>
      </c>
      <c r="D63" s="46">
        <f>DATA!G64</f>
        <v>0</v>
      </c>
      <c r="E63" s="46">
        <f>DATA!H64</f>
        <v>0</v>
      </c>
      <c r="F63" s="46">
        <f>DATA!I64</f>
        <v>0</v>
      </c>
      <c r="G63" s="46"/>
      <c r="H63" s="46"/>
      <c r="I63" s="45">
        <f>DATA!L64</f>
        <v>0</v>
      </c>
      <c r="J63" s="46"/>
      <c r="K63" s="46">
        <f>DATA!O64</f>
        <v>0</v>
      </c>
      <c r="L63" s="46">
        <f>DATA!Q64</f>
        <v>0</v>
      </c>
      <c r="M63" s="46">
        <f>DATA!R64</f>
        <v>0</v>
      </c>
      <c r="N63" s="46"/>
      <c r="O63" s="46"/>
      <c r="P63" s="46">
        <f>DATA!U64</f>
        <v>0</v>
      </c>
      <c r="Q63" s="46">
        <f>DATA!V64</f>
        <v>0</v>
      </c>
      <c r="R63" s="46">
        <f>DATA!W64</f>
        <v>0</v>
      </c>
      <c r="S63" s="47"/>
      <c r="V63" s="46">
        <f>DATA!C64</f>
        <v>0</v>
      </c>
      <c r="W63" s="46">
        <f>DATA!D64</f>
        <v>0</v>
      </c>
      <c r="X63" s="46">
        <f>DATA!F64</f>
        <v>0</v>
      </c>
      <c r="Y63" s="46">
        <f>DATA!G64</f>
        <v>0</v>
      </c>
      <c r="Z63" s="46">
        <f>DATA!H64</f>
        <v>0</v>
      </c>
      <c r="AA63" s="46">
        <f>DATA!I64</f>
        <v>0</v>
      </c>
      <c r="AB63" s="46"/>
      <c r="AC63" s="46"/>
      <c r="AD63" s="45">
        <f>DATA!L64</f>
        <v>0</v>
      </c>
      <c r="AE63" s="46"/>
      <c r="AF63" s="46">
        <f>DATA!O64</f>
        <v>0</v>
      </c>
      <c r="AG63" s="46">
        <f>DATA!Q64</f>
        <v>0</v>
      </c>
      <c r="AH63" s="46">
        <f>DATA!R64</f>
        <v>0</v>
      </c>
      <c r="AI63" s="46"/>
      <c r="AJ63" s="46"/>
      <c r="AK63" s="46">
        <f>DATA!U64</f>
        <v>0</v>
      </c>
      <c r="AL63" s="46">
        <f>DATA!V64</f>
        <v>0</v>
      </c>
      <c r="AM63" s="46">
        <f>DATA!W64</f>
        <v>0</v>
      </c>
      <c r="AN63" s="47"/>
    </row>
    <row r="64" spans="1:40" s="48" customFormat="1" ht="23.25" hidden="1" customHeight="1" x14ac:dyDescent="0.45">
      <c r="A64" s="46">
        <f>DATA!C65</f>
        <v>0</v>
      </c>
      <c r="B64" s="46">
        <f>DATA!D65</f>
        <v>0</v>
      </c>
      <c r="C64" s="46">
        <f>DATA!F65</f>
        <v>0</v>
      </c>
      <c r="D64" s="46">
        <f>DATA!G65</f>
        <v>0</v>
      </c>
      <c r="E64" s="46">
        <f>DATA!H65</f>
        <v>0</v>
      </c>
      <c r="F64" s="46">
        <f>DATA!I65</f>
        <v>0</v>
      </c>
      <c r="G64" s="46"/>
      <c r="H64" s="46"/>
      <c r="I64" s="45">
        <f>DATA!L65</f>
        <v>0</v>
      </c>
      <c r="J64" s="46"/>
      <c r="K64" s="46">
        <f>DATA!O65</f>
        <v>0</v>
      </c>
      <c r="L64" s="46">
        <f>DATA!Q65</f>
        <v>0</v>
      </c>
      <c r="M64" s="46">
        <f>DATA!R65</f>
        <v>0</v>
      </c>
      <c r="N64" s="46"/>
      <c r="O64" s="46"/>
      <c r="P64" s="46">
        <f>DATA!U65</f>
        <v>0</v>
      </c>
      <c r="Q64" s="46">
        <f>DATA!V65</f>
        <v>0</v>
      </c>
      <c r="R64" s="46">
        <f>DATA!W65</f>
        <v>0</v>
      </c>
      <c r="S64" s="47"/>
      <c r="V64" s="46">
        <f>DATA!C65</f>
        <v>0</v>
      </c>
      <c r="W64" s="46">
        <f>DATA!D65</f>
        <v>0</v>
      </c>
      <c r="X64" s="46">
        <f>DATA!F65</f>
        <v>0</v>
      </c>
      <c r="Y64" s="46">
        <f>DATA!G65</f>
        <v>0</v>
      </c>
      <c r="Z64" s="46">
        <f>DATA!H65</f>
        <v>0</v>
      </c>
      <c r="AA64" s="46">
        <f>DATA!I65</f>
        <v>0</v>
      </c>
      <c r="AB64" s="46"/>
      <c r="AC64" s="46"/>
      <c r="AD64" s="45">
        <f>DATA!L65</f>
        <v>0</v>
      </c>
      <c r="AE64" s="46"/>
      <c r="AF64" s="46">
        <f>DATA!O65</f>
        <v>0</v>
      </c>
      <c r="AG64" s="46">
        <f>DATA!Q65</f>
        <v>0</v>
      </c>
      <c r="AH64" s="46">
        <f>DATA!R65</f>
        <v>0</v>
      </c>
      <c r="AI64" s="46"/>
      <c r="AJ64" s="46"/>
      <c r="AK64" s="46">
        <f>DATA!U65</f>
        <v>0</v>
      </c>
      <c r="AL64" s="46">
        <f>DATA!V65</f>
        <v>0</v>
      </c>
      <c r="AM64" s="46">
        <f>DATA!W65</f>
        <v>0</v>
      </c>
      <c r="AN64" s="47"/>
    </row>
    <row r="65" spans="1:40" s="48" customFormat="1" ht="23.25" hidden="1" customHeight="1" x14ac:dyDescent="0.45">
      <c r="A65" s="46">
        <f>DATA!C66</f>
        <v>0</v>
      </c>
      <c r="B65" s="46">
        <f>DATA!D66</f>
        <v>0</v>
      </c>
      <c r="C65" s="46">
        <f>DATA!F66</f>
        <v>0</v>
      </c>
      <c r="D65" s="46">
        <f>DATA!G66</f>
        <v>0</v>
      </c>
      <c r="E65" s="46">
        <f>DATA!H66</f>
        <v>0</v>
      </c>
      <c r="F65" s="46">
        <f>DATA!I66</f>
        <v>0</v>
      </c>
      <c r="G65" s="46"/>
      <c r="H65" s="46"/>
      <c r="I65" s="45">
        <f>DATA!L66</f>
        <v>0</v>
      </c>
      <c r="J65" s="46"/>
      <c r="K65" s="46">
        <f>DATA!O66</f>
        <v>0</v>
      </c>
      <c r="L65" s="46">
        <f>DATA!Q66</f>
        <v>0</v>
      </c>
      <c r="M65" s="46">
        <f>DATA!R66</f>
        <v>0</v>
      </c>
      <c r="N65" s="46"/>
      <c r="O65" s="46"/>
      <c r="P65" s="46">
        <f>DATA!U66</f>
        <v>0</v>
      </c>
      <c r="Q65" s="46">
        <f>DATA!V66</f>
        <v>0</v>
      </c>
      <c r="R65" s="46">
        <f>DATA!W66</f>
        <v>0</v>
      </c>
      <c r="S65" s="47"/>
      <c r="V65" s="46">
        <f>DATA!C66</f>
        <v>0</v>
      </c>
      <c r="W65" s="46">
        <f>DATA!D66</f>
        <v>0</v>
      </c>
      <c r="X65" s="46">
        <f>DATA!F66</f>
        <v>0</v>
      </c>
      <c r="Y65" s="46">
        <f>DATA!G66</f>
        <v>0</v>
      </c>
      <c r="Z65" s="46">
        <f>DATA!H66</f>
        <v>0</v>
      </c>
      <c r="AA65" s="46">
        <f>DATA!I66</f>
        <v>0</v>
      </c>
      <c r="AB65" s="46"/>
      <c r="AC65" s="46"/>
      <c r="AD65" s="45">
        <f>DATA!L66</f>
        <v>0</v>
      </c>
      <c r="AE65" s="46"/>
      <c r="AF65" s="46">
        <f>DATA!O66</f>
        <v>0</v>
      </c>
      <c r="AG65" s="46">
        <f>DATA!Q66</f>
        <v>0</v>
      </c>
      <c r="AH65" s="46">
        <f>DATA!R66</f>
        <v>0</v>
      </c>
      <c r="AI65" s="46"/>
      <c r="AJ65" s="46"/>
      <c r="AK65" s="46">
        <f>DATA!U66</f>
        <v>0</v>
      </c>
      <c r="AL65" s="46">
        <f>DATA!V66</f>
        <v>0</v>
      </c>
      <c r="AM65" s="46">
        <f>DATA!W66</f>
        <v>0</v>
      </c>
      <c r="AN65" s="47"/>
    </row>
    <row r="66" spans="1:40" s="48" customFormat="1" ht="23.25" hidden="1" customHeight="1" x14ac:dyDescent="0.45">
      <c r="A66" s="46">
        <f>DATA!C67</f>
        <v>0</v>
      </c>
      <c r="B66" s="46">
        <f>DATA!D67</f>
        <v>0</v>
      </c>
      <c r="C66" s="46">
        <f>DATA!F67</f>
        <v>0</v>
      </c>
      <c r="D66" s="46">
        <f>DATA!G67</f>
        <v>0</v>
      </c>
      <c r="E66" s="46">
        <f>DATA!H67</f>
        <v>0</v>
      </c>
      <c r="F66" s="46">
        <f>DATA!I67</f>
        <v>0</v>
      </c>
      <c r="G66" s="46"/>
      <c r="H66" s="46"/>
      <c r="I66" s="45">
        <f>DATA!L67</f>
        <v>0</v>
      </c>
      <c r="J66" s="46"/>
      <c r="K66" s="46">
        <f>DATA!O67</f>
        <v>0</v>
      </c>
      <c r="L66" s="46">
        <f>DATA!Q67</f>
        <v>0</v>
      </c>
      <c r="M66" s="46">
        <f>DATA!R67</f>
        <v>0</v>
      </c>
      <c r="N66" s="46"/>
      <c r="O66" s="46"/>
      <c r="P66" s="46">
        <f>DATA!U67</f>
        <v>0</v>
      </c>
      <c r="Q66" s="46">
        <f>DATA!V67</f>
        <v>0</v>
      </c>
      <c r="R66" s="46">
        <f>DATA!W67</f>
        <v>0</v>
      </c>
      <c r="S66" s="47"/>
      <c r="V66" s="46">
        <f>DATA!C67</f>
        <v>0</v>
      </c>
      <c r="W66" s="46">
        <f>DATA!D67</f>
        <v>0</v>
      </c>
      <c r="X66" s="46">
        <f>DATA!F67</f>
        <v>0</v>
      </c>
      <c r="Y66" s="46">
        <f>DATA!G67</f>
        <v>0</v>
      </c>
      <c r="Z66" s="46">
        <f>DATA!H67</f>
        <v>0</v>
      </c>
      <c r="AA66" s="46">
        <f>DATA!I67</f>
        <v>0</v>
      </c>
      <c r="AB66" s="46"/>
      <c r="AC66" s="46"/>
      <c r="AD66" s="45">
        <f>DATA!L67</f>
        <v>0</v>
      </c>
      <c r="AE66" s="46"/>
      <c r="AF66" s="46">
        <f>DATA!O67</f>
        <v>0</v>
      </c>
      <c r="AG66" s="46">
        <f>DATA!Q67</f>
        <v>0</v>
      </c>
      <c r="AH66" s="46">
        <f>DATA!R67</f>
        <v>0</v>
      </c>
      <c r="AI66" s="46"/>
      <c r="AJ66" s="46"/>
      <c r="AK66" s="46">
        <f>DATA!U67</f>
        <v>0</v>
      </c>
      <c r="AL66" s="46">
        <f>DATA!V67</f>
        <v>0</v>
      </c>
      <c r="AM66" s="46">
        <f>DATA!W67</f>
        <v>0</v>
      </c>
      <c r="AN66" s="47"/>
    </row>
    <row r="67" spans="1:40" s="48" customFormat="1" ht="23.25" hidden="1" customHeight="1" x14ac:dyDescent="0.45">
      <c r="A67" s="46">
        <f>DATA!C68</f>
        <v>0</v>
      </c>
      <c r="B67" s="46">
        <f>DATA!D68</f>
        <v>0</v>
      </c>
      <c r="C67" s="46">
        <f>DATA!F68</f>
        <v>0</v>
      </c>
      <c r="D67" s="46">
        <f>DATA!G68</f>
        <v>0</v>
      </c>
      <c r="E67" s="46">
        <f>DATA!H68</f>
        <v>0</v>
      </c>
      <c r="F67" s="46">
        <f>DATA!I68</f>
        <v>0</v>
      </c>
      <c r="G67" s="46"/>
      <c r="H67" s="46"/>
      <c r="I67" s="45">
        <f>DATA!L68</f>
        <v>0</v>
      </c>
      <c r="J67" s="46"/>
      <c r="K67" s="46">
        <f>DATA!O68</f>
        <v>0</v>
      </c>
      <c r="L67" s="46">
        <f>DATA!Q68</f>
        <v>0</v>
      </c>
      <c r="M67" s="46">
        <f>DATA!R68</f>
        <v>0</v>
      </c>
      <c r="N67" s="46"/>
      <c r="O67" s="46"/>
      <c r="P67" s="46">
        <f>DATA!U68</f>
        <v>0</v>
      </c>
      <c r="Q67" s="46">
        <f>DATA!V68</f>
        <v>0</v>
      </c>
      <c r="R67" s="46">
        <f>DATA!W68</f>
        <v>0</v>
      </c>
      <c r="S67" s="47"/>
      <c r="V67" s="46">
        <f>DATA!C68</f>
        <v>0</v>
      </c>
      <c r="W67" s="46">
        <f>DATA!D68</f>
        <v>0</v>
      </c>
      <c r="X67" s="46">
        <f>DATA!F68</f>
        <v>0</v>
      </c>
      <c r="Y67" s="46">
        <f>DATA!G68</f>
        <v>0</v>
      </c>
      <c r="Z67" s="46">
        <f>DATA!H68</f>
        <v>0</v>
      </c>
      <c r="AA67" s="46">
        <f>DATA!I68</f>
        <v>0</v>
      </c>
      <c r="AB67" s="46"/>
      <c r="AC67" s="46"/>
      <c r="AD67" s="45">
        <f>DATA!L68</f>
        <v>0</v>
      </c>
      <c r="AE67" s="46"/>
      <c r="AF67" s="46">
        <f>DATA!O68</f>
        <v>0</v>
      </c>
      <c r="AG67" s="46">
        <f>DATA!Q68</f>
        <v>0</v>
      </c>
      <c r="AH67" s="46">
        <f>DATA!R68</f>
        <v>0</v>
      </c>
      <c r="AI67" s="46"/>
      <c r="AJ67" s="46"/>
      <c r="AK67" s="46">
        <f>DATA!U68</f>
        <v>0</v>
      </c>
      <c r="AL67" s="46">
        <f>DATA!V68</f>
        <v>0</v>
      </c>
      <c r="AM67" s="46">
        <f>DATA!W68</f>
        <v>0</v>
      </c>
      <c r="AN67" s="47"/>
    </row>
    <row r="68" spans="1:40" s="48" customFormat="1" ht="23.25" hidden="1" customHeight="1" x14ac:dyDescent="0.45">
      <c r="A68" s="46">
        <f>DATA!C69</f>
        <v>0</v>
      </c>
      <c r="B68" s="46">
        <f>DATA!D69</f>
        <v>0</v>
      </c>
      <c r="C68" s="46">
        <f>DATA!F69</f>
        <v>0</v>
      </c>
      <c r="D68" s="46">
        <f>DATA!G69</f>
        <v>0</v>
      </c>
      <c r="E68" s="46">
        <f>DATA!H69</f>
        <v>0</v>
      </c>
      <c r="F68" s="46">
        <f>DATA!I69</f>
        <v>0</v>
      </c>
      <c r="G68" s="46"/>
      <c r="H68" s="46"/>
      <c r="I68" s="45">
        <f>DATA!L69</f>
        <v>0</v>
      </c>
      <c r="J68" s="46"/>
      <c r="K68" s="46">
        <f>DATA!O69</f>
        <v>0</v>
      </c>
      <c r="L68" s="46">
        <f>DATA!Q69</f>
        <v>0</v>
      </c>
      <c r="M68" s="46">
        <f>DATA!R69</f>
        <v>0</v>
      </c>
      <c r="N68" s="46"/>
      <c r="O68" s="46"/>
      <c r="P68" s="46">
        <f>DATA!U69</f>
        <v>0</v>
      </c>
      <c r="Q68" s="46">
        <f>DATA!V69</f>
        <v>0</v>
      </c>
      <c r="R68" s="46">
        <f>DATA!W69</f>
        <v>0</v>
      </c>
      <c r="S68" s="47"/>
      <c r="V68" s="46">
        <f>DATA!C69</f>
        <v>0</v>
      </c>
      <c r="W68" s="46">
        <f>DATA!D69</f>
        <v>0</v>
      </c>
      <c r="X68" s="46">
        <f>DATA!F69</f>
        <v>0</v>
      </c>
      <c r="Y68" s="46">
        <f>DATA!G69</f>
        <v>0</v>
      </c>
      <c r="Z68" s="46">
        <f>DATA!H69</f>
        <v>0</v>
      </c>
      <c r="AA68" s="46">
        <f>DATA!I69</f>
        <v>0</v>
      </c>
      <c r="AB68" s="46"/>
      <c r="AC68" s="46"/>
      <c r="AD68" s="45">
        <f>DATA!L69</f>
        <v>0</v>
      </c>
      <c r="AE68" s="46"/>
      <c r="AF68" s="46">
        <f>DATA!O69</f>
        <v>0</v>
      </c>
      <c r="AG68" s="46">
        <f>DATA!Q69</f>
        <v>0</v>
      </c>
      <c r="AH68" s="46">
        <f>DATA!R69</f>
        <v>0</v>
      </c>
      <c r="AI68" s="46"/>
      <c r="AJ68" s="46"/>
      <c r="AK68" s="46">
        <f>DATA!U69</f>
        <v>0</v>
      </c>
      <c r="AL68" s="46">
        <f>DATA!V69</f>
        <v>0</v>
      </c>
      <c r="AM68" s="46">
        <f>DATA!W69</f>
        <v>0</v>
      </c>
      <c r="AN68" s="47"/>
    </row>
    <row r="69" spans="1:40" s="48" customFormat="1" ht="23.25" hidden="1" customHeight="1" x14ac:dyDescent="0.45">
      <c r="A69" s="46">
        <f>DATA!C70</f>
        <v>0</v>
      </c>
      <c r="B69" s="46">
        <f>DATA!D70</f>
        <v>0</v>
      </c>
      <c r="C69" s="46">
        <f>DATA!F70</f>
        <v>0</v>
      </c>
      <c r="D69" s="46">
        <f>DATA!G70</f>
        <v>0</v>
      </c>
      <c r="E69" s="46">
        <f>DATA!H70</f>
        <v>0</v>
      </c>
      <c r="F69" s="46">
        <f>DATA!I70</f>
        <v>0</v>
      </c>
      <c r="G69" s="46"/>
      <c r="H69" s="46"/>
      <c r="I69" s="45">
        <f>DATA!L70</f>
        <v>0</v>
      </c>
      <c r="J69" s="46"/>
      <c r="K69" s="46">
        <f>DATA!O70</f>
        <v>0</v>
      </c>
      <c r="L69" s="46">
        <f>DATA!Q70</f>
        <v>0</v>
      </c>
      <c r="M69" s="46">
        <f>DATA!R70</f>
        <v>0</v>
      </c>
      <c r="N69" s="46"/>
      <c r="O69" s="46"/>
      <c r="P69" s="46">
        <f>DATA!U70</f>
        <v>0</v>
      </c>
      <c r="Q69" s="46">
        <f>DATA!V70</f>
        <v>0</v>
      </c>
      <c r="R69" s="46">
        <f>DATA!W70</f>
        <v>0</v>
      </c>
      <c r="S69" s="47"/>
      <c r="V69" s="46">
        <f>DATA!C70</f>
        <v>0</v>
      </c>
      <c r="W69" s="46">
        <f>DATA!D70</f>
        <v>0</v>
      </c>
      <c r="X69" s="46">
        <f>DATA!F70</f>
        <v>0</v>
      </c>
      <c r="Y69" s="46">
        <f>DATA!G70</f>
        <v>0</v>
      </c>
      <c r="Z69" s="46">
        <f>DATA!H70</f>
        <v>0</v>
      </c>
      <c r="AA69" s="46">
        <f>DATA!I70</f>
        <v>0</v>
      </c>
      <c r="AB69" s="46"/>
      <c r="AC69" s="46"/>
      <c r="AD69" s="45">
        <f>DATA!L70</f>
        <v>0</v>
      </c>
      <c r="AE69" s="46"/>
      <c r="AF69" s="46">
        <f>DATA!O70</f>
        <v>0</v>
      </c>
      <c r="AG69" s="46">
        <f>DATA!Q70</f>
        <v>0</v>
      </c>
      <c r="AH69" s="46">
        <f>DATA!R70</f>
        <v>0</v>
      </c>
      <c r="AI69" s="46"/>
      <c r="AJ69" s="46"/>
      <c r="AK69" s="46">
        <f>DATA!U70</f>
        <v>0</v>
      </c>
      <c r="AL69" s="46">
        <f>DATA!V70</f>
        <v>0</v>
      </c>
      <c r="AM69" s="46">
        <f>DATA!W70</f>
        <v>0</v>
      </c>
      <c r="AN69" s="47"/>
    </row>
    <row r="70" spans="1:40" s="48" customFormat="1" ht="23.25" hidden="1" customHeight="1" x14ac:dyDescent="0.45">
      <c r="A70" s="46">
        <f>DATA!C71</f>
        <v>0</v>
      </c>
      <c r="B70" s="46">
        <f>DATA!D71</f>
        <v>0</v>
      </c>
      <c r="C70" s="46">
        <f>DATA!F71</f>
        <v>0</v>
      </c>
      <c r="D70" s="46">
        <f>DATA!G71</f>
        <v>0</v>
      </c>
      <c r="E70" s="46">
        <f>DATA!H71</f>
        <v>0</v>
      </c>
      <c r="F70" s="46">
        <f>DATA!I71</f>
        <v>0</v>
      </c>
      <c r="G70" s="46"/>
      <c r="H70" s="46"/>
      <c r="I70" s="45">
        <f>DATA!L71</f>
        <v>0</v>
      </c>
      <c r="J70" s="46"/>
      <c r="K70" s="46">
        <f>DATA!O71</f>
        <v>0</v>
      </c>
      <c r="L70" s="46">
        <f>DATA!Q71</f>
        <v>0</v>
      </c>
      <c r="M70" s="46">
        <f>DATA!R71</f>
        <v>0</v>
      </c>
      <c r="N70" s="46"/>
      <c r="O70" s="46"/>
      <c r="P70" s="46">
        <f>DATA!U71</f>
        <v>0</v>
      </c>
      <c r="Q70" s="46">
        <f>DATA!V71</f>
        <v>0</v>
      </c>
      <c r="R70" s="46">
        <f>DATA!W71</f>
        <v>0</v>
      </c>
      <c r="S70" s="47"/>
      <c r="V70" s="46">
        <f>DATA!C71</f>
        <v>0</v>
      </c>
      <c r="W70" s="46">
        <f>DATA!D71</f>
        <v>0</v>
      </c>
      <c r="X70" s="46">
        <f>DATA!F71</f>
        <v>0</v>
      </c>
      <c r="Y70" s="46">
        <f>DATA!G71</f>
        <v>0</v>
      </c>
      <c r="Z70" s="46">
        <f>DATA!H71</f>
        <v>0</v>
      </c>
      <c r="AA70" s="46">
        <f>DATA!I71</f>
        <v>0</v>
      </c>
      <c r="AB70" s="46"/>
      <c r="AC70" s="46"/>
      <c r="AD70" s="45">
        <f>DATA!L71</f>
        <v>0</v>
      </c>
      <c r="AE70" s="46"/>
      <c r="AF70" s="46">
        <f>DATA!O71</f>
        <v>0</v>
      </c>
      <c r="AG70" s="46">
        <f>DATA!Q71</f>
        <v>0</v>
      </c>
      <c r="AH70" s="46">
        <f>DATA!R71</f>
        <v>0</v>
      </c>
      <c r="AI70" s="46"/>
      <c r="AJ70" s="46"/>
      <c r="AK70" s="46">
        <f>DATA!U71</f>
        <v>0</v>
      </c>
      <c r="AL70" s="46">
        <f>DATA!V71</f>
        <v>0</v>
      </c>
      <c r="AM70" s="46">
        <f>DATA!W71</f>
        <v>0</v>
      </c>
      <c r="AN70" s="47"/>
    </row>
    <row r="71" spans="1:40" s="48" customFormat="1" ht="23.25" hidden="1" customHeight="1" x14ac:dyDescent="0.45">
      <c r="A71" s="46">
        <f>DATA!C72</f>
        <v>0</v>
      </c>
      <c r="B71" s="46">
        <f>DATA!D72</f>
        <v>0</v>
      </c>
      <c r="C71" s="46">
        <f>DATA!F72</f>
        <v>0</v>
      </c>
      <c r="D71" s="46">
        <f>DATA!G72</f>
        <v>0</v>
      </c>
      <c r="E71" s="46">
        <f>DATA!H72</f>
        <v>0</v>
      </c>
      <c r="F71" s="46">
        <f>DATA!I72</f>
        <v>0</v>
      </c>
      <c r="G71" s="46"/>
      <c r="H71" s="46"/>
      <c r="I71" s="45">
        <f>DATA!L72</f>
        <v>0</v>
      </c>
      <c r="J71" s="46"/>
      <c r="K71" s="46">
        <f>DATA!O72</f>
        <v>0</v>
      </c>
      <c r="L71" s="46">
        <f>DATA!Q72</f>
        <v>0</v>
      </c>
      <c r="M71" s="46">
        <f>DATA!R72</f>
        <v>0</v>
      </c>
      <c r="N71" s="46"/>
      <c r="O71" s="46"/>
      <c r="P71" s="46">
        <f>DATA!U72</f>
        <v>0</v>
      </c>
      <c r="Q71" s="46">
        <f>DATA!V72</f>
        <v>0</v>
      </c>
      <c r="R71" s="46">
        <f>DATA!W72</f>
        <v>0</v>
      </c>
      <c r="S71" s="47"/>
      <c r="V71" s="46">
        <f>DATA!C72</f>
        <v>0</v>
      </c>
      <c r="W71" s="46">
        <f>DATA!D72</f>
        <v>0</v>
      </c>
      <c r="X71" s="46">
        <f>DATA!F72</f>
        <v>0</v>
      </c>
      <c r="Y71" s="46">
        <f>DATA!G72</f>
        <v>0</v>
      </c>
      <c r="Z71" s="46">
        <f>DATA!H72</f>
        <v>0</v>
      </c>
      <c r="AA71" s="46">
        <f>DATA!I72</f>
        <v>0</v>
      </c>
      <c r="AB71" s="46"/>
      <c r="AC71" s="46"/>
      <c r="AD71" s="45">
        <f>DATA!L72</f>
        <v>0</v>
      </c>
      <c r="AE71" s="46"/>
      <c r="AF71" s="46">
        <f>DATA!O72</f>
        <v>0</v>
      </c>
      <c r="AG71" s="46">
        <f>DATA!Q72</f>
        <v>0</v>
      </c>
      <c r="AH71" s="46">
        <f>DATA!R72</f>
        <v>0</v>
      </c>
      <c r="AI71" s="46"/>
      <c r="AJ71" s="46"/>
      <c r="AK71" s="46">
        <f>DATA!U72</f>
        <v>0</v>
      </c>
      <c r="AL71" s="46">
        <f>DATA!V72</f>
        <v>0</v>
      </c>
      <c r="AM71" s="46">
        <f>DATA!W72</f>
        <v>0</v>
      </c>
      <c r="AN71" s="47"/>
    </row>
    <row r="72" spans="1:40" s="48" customFormat="1" ht="23.25" hidden="1" customHeight="1" x14ac:dyDescent="0.45">
      <c r="A72" s="46">
        <f>DATA!C73</f>
        <v>0</v>
      </c>
      <c r="B72" s="46">
        <f>DATA!D73</f>
        <v>0</v>
      </c>
      <c r="C72" s="46">
        <f>DATA!F73</f>
        <v>0</v>
      </c>
      <c r="D72" s="46">
        <f>DATA!G73</f>
        <v>0</v>
      </c>
      <c r="E72" s="46">
        <f>DATA!H73</f>
        <v>0</v>
      </c>
      <c r="F72" s="46">
        <f>DATA!I73</f>
        <v>0</v>
      </c>
      <c r="G72" s="46"/>
      <c r="H72" s="46"/>
      <c r="I72" s="45">
        <f>DATA!L73</f>
        <v>0</v>
      </c>
      <c r="J72" s="46"/>
      <c r="K72" s="46">
        <f>DATA!O73</f>
        <v>0</v>
      </c>
      <c r="L72" s="46">
        <f>DATA!Q73</f>
        <v>0</v>
      </c>
      <c r="M72" s="46">
        <f>DATA!R73</f>
        <v>0</v>
      </c>
      <c r="N72" s="46"/>
      <c r="O72" s="46"/>
      <c r="P72" s="46">
        <f>DATA!U73</f>
        <v>0</v>
      </c>
      <c r="Q72" s="46">
        <f>DATA!V73</f>
        <v>0</v>
      </c>
      <c r="R72" s="46">
        <f>DATA!W73</f>
        <v>0</v>
      </c>
      <c r="S72" s="47"/>
      <c r="V72" s="46">
        <f>DATA!C73</f>
        <v>0</v>
      </c>
      <c r="W72" s="46">
        <f>DATA!D73</f>
        <v>0</v>
      </c>
      <c r="X72" s="46">
        <f>DATA!F73</f>
        <v>0</v>
      </c>
      <c r="Y72" s="46">
        <f>DATA!G73</f>
        <v>0</v>
      </c>
      <c r="Z72" s="46">
        <f>DATA!H73</f>
        <v>0</v>
      </c>
      <c r="AA72" s="46">
        <f>DATA!I73</f>
        <v>0</v>
      </c>
      <c r="AB72" s="46"/>
      <c r="AC72" s="46"/>
      <c r="AD72" s="45">
        <f>DATA!L73</f>
        <v>0</v>
      </c>
      <c r="AE72" s="46"/>
      <c r="AF72" s="46">
        <f>DATA!O73</f>
        <v>0</v>
      </c>
      <c r="AG72" s="46">
        <f>DATA!Q73</f>
        <v>0</v>
      </c>
      <c r="AH72" s="46">
        <f>DATA!R73</f>
        <v>0</v>
      </c>
      <c r="AI72" s="46"/>
      <c r="AJ72" s="46"/>
      <c r="AK72" s="46">
        <f>DATA!U73</f>
        <v>0</v>
      </c>
      <c r="AL72" s="46">
        <f>DATA!V73</f>
        <v>0</v>
      </c>
      <c r="AM72" s="46">
        <f>DATA!W73</f>
        <v>0</v>
      </c>
      <c r="AN72" s="47"/>
    </row>
    <row r="73" spans="1:40" s="48" customFormat="1" ht="23.25" hidden="1" customHeight="1" x14ac:dyDescent="0.45">
      <c r="A73" s="46">
        <f>DATA!C74</f>
        <v>0</v>
      </c>
      <c r="B73" s="46">
        <f>DATA!D74</f>
        <v>0</v>
      </c>
      <c r="C73" s="46">
        <f>DATA!F74</f>
        <v>0</v>
      </c>
      <c r="D73" s="46">
        <f>DATA!G74</f>
        <v>0</v>
      </c>
      <c r="E73" s="46">
        <f>DATA!H74</f>
        <v>0</v>
      </c>
      <c r="F73" s="46">
        <f>DATA!I74</f>
        <v>0</v>
      </c>
      <c r="G73" s="46"/>
      <c r="H73" s="46"/>
      <c r="I73" s="45">
        <f>DATA!L74</f>
        <v>0</v>
      </c>
      <c r="J73" s="46"/>
      <c r="K73" s="46">
        <f>DATA!O74</f>
        <v>0</v>
      </c>
      <c r="L73" s="46">
        <f>DATA!Q74</f>
        <v>0</v>
      </c>
      <c r="M73" s="46">
        <f>DATA!R74</f>
        <v>0</v>
      </c>
      <c r="N73" s="46"/>
      <c r="O73" s="46"/>
      <c r="P73" s="46">
        <f>DATA!U74</f>
        <v>0</v>
      </c>
      <c r="Q73" s="46">
        <f>DATA!V74</f>
        <v>0</v>
      </c>
      <c r="R73" s="46">
        <f>DATA!W74</f>
        <v>0</v>
      </c>
      <c r="S73" s="47"/>
      <c r="V73" s="46">
        <f>DATA!C74</f>
        <v>0</v>
      </c>
      <c r="W73" s="46">
        <f>DATA!D74</f>
        <v>0</v>
      </c>
      <c r="X73" s="46">
        <f>DATA!F74</f>
        <v>0</v>
      </c>
      <c r="Y73" s="46">
        <f>DATA!G74</f>
        <v>0</v>
      </c>
      <c r="Z73" s="46">
        <f>DATA!H74</f>
        <v>0</v>
      </c>
      <c r="AA73" s="46">
        <f>DATA!I74</f>
        <v>0</v>
      </c>
      <c r="AB73" s="46"/>
      <c r="AC73" s="46"/>
      <c r="AD73" s="45">
        <f>DATA!L74</f>
        <v>0</v>
      </c>
      <c r="AE73" s="46"/>
      <c r="AF73" s="46">
        <f>DATA!O74</f>
        <v>0</v>
      </c>
      <c r="AG73" s="46">
        <f>DATA!Q74</f>
        <v>0</v>
      </c>
      <c r="AH73" s="46">
        <f>DATA!R74</f>
        <v>0</v>
      </c>
      <c r="AI73" s="46"/>
      <c r="AJ73" s="46"/>
      <c r="AK73" s="46">
        <f>DATA!U74</f>
        <v>0</v>
      </c>
      <c r="AL73" s="46">
        <f>DATA!V74</f>
        <v>0</v>
      </c>
      <c r="AM73" s="46">
        <f>DATA!W74</f>
        <v>0</v>
      </c>
      <c r="AN73" s="47"/>
    </row>
    <row r="74" spans="1:40" s="48" customFormat="1" ht="23.25" hidden="1" customHeight="1" x14ac:dyDescent="0.45">
      <c r="A74" s="46">
        <f>DATA!C75</f>
        <v>0</v>
      </c>
      <c r="B74" s="46">
        <f>DATA!D75</f>
        <v>0</v>
      </c>
      <c r="C74" s="46">
        <f>DATA!F75</f>
        <v>0</v>
      </c>
      <c r="D74" s="46">
        <f>DATA!G75</f>
        <v>0</v>
      </c>
      <c r="E74" s="46">
        <f>DATA!H75</f>
        <v>0</v>
      </c>
      <c r="F74" s="46">
        <f>DATA!I75</f>
        <v>0</v>
      </c>
      <c r="G74" s="46"/>
      <c r="H74" s="46"/>
      <c r="I74" s="45">
        <f>DATA!L75</f>
        <v>0</v>
      </c>
      <c r="J74" s="46"/>
      <c r="K74" s="46">
        <f>DATA!O75</f>
        <v>0</v>
      </c>
      <c r="L74" s="46">
        <f>DATA!Q75</f>
        <v>0</v>
      </c>
      <c r="M74" s="46">
        <f>DATA!R75</f>
        <v>0</v>
      </c>
      <c r="N74" s="46"/>
      <c r="O74" s="46"/>
      <c r="P74" s="46">
        <f>DATA!U75</f>
        <v>0</v>
      </c>
      <c r="Q74" s="46">
        <f>DATA!V75</f>
        <v>0</v>
      </c>
      <c r="R74" s="46">
        <f>DATA!W75</f>
        <v>0</v>
      </c>
      <c r="S74" s="47"/>
      <c r="V74" s="46">
        <f>DATA!C75</f>
        <v>0</v>
      </c>
      <c r="W74" s="46">
        <f>DATA!D75</f>
        <v>0</v>
      </c>
      <c r="X74" s="46">
        <f>DATA!F75</f>
        <v>0</v>
      </c>
      <c r="Y74" s="46">
        <f>DATA!G75</f>
        <v>0</v>
      </c>
      <c r="Z74" s="46">
        <f>DATA!H75</f>
        <v>0</v>
      </c>
      <c r="AA74" s="46">
        <f>DATA!I75</f>
        <v>0</v>
      </c>
      <c r="AB74" s="46"/>
      <c r="AC74" s="46"/>
      <c r="AD74" s="45">
        <f>DATA!L75</f>
        <v>0</v>
      </c>
      <c r="AE74" s="46"/>
      <c r="AF74" s="46">
        <f>DATA!O75</f>
        <v>0</v>
      </c>
      <c r="AG74" s="46">
        <f>DATA!Q75</f>
        <v>0</v>
      </c>
      <c r="AH74" s="46">
        <f>DATA!R75</f>
        <v>0</v>
      </c>
      <c r="AI74" s="46"/>
      <c r="AJ74" s="46"/>
      <c r="AK74" s="46">
        <f>DATA!U75</f>
        <v>0</v>
      </c>
      <c r="AL74" s="46">
        <f>DATA!V75</f>
        <v>0</v>
      </c>
      <c r="AM74" s="46">
        <f>DATA!W75</f>
        <v>0</v>
      </c>
      <c r="AN74" s="47"/>
    </row>
    <row r="75" spans="1:40" s="48" customFormat="1" ht="23.25" hidden="1" customHeight="1" x14ac:dyDescent="0.45">
      <c r="A75" s="46">
        <f>DATA!C76</f>
        <v>0</v>
      </c>
      <c r="B75" s="46">
        <f>DATA!D76</f>
        <v>0</v>
      </c>
      <c r="C75" s="46">
        <f>DATA!F76</f>
        <v>0</v>
      </c>
      <c r="D75" s="46">
        <f>DATA!G76</f>
        <v>0</v>
      </c>
      <c r="E75" s="46">
        <f>DATA!H76</f>
        <v>0</v>
      </c>
      <c r="F75" s="46">
        <f>DATA!I76</f>
        <v>0</v>
      </c>
      <c r="G75" s="46"/>
      <c r="H75" s="46"/>
      <c r="I75" s="45">
        <f>DATA!L76</f>
        <v>0</v>
      </c>
      <c r="J75" s="46"/>
      <c r="K75" s="46">
        <f>DATA!O76</f>
        <v>0</v>
      </c>
      <c r="L75" s="46">
        <f>DATA!Q76</f>
        <v>0</v>
      </c>
      <c r="M75" s="46">
        <f>DATA!R76</f>
        <v>0</v>
      </c>
      <c r="N75" s="46"/>
      <c r="O75" s="46"/>
      <c r="P75" s="46">
        <f>DATA!U76</f>
        <v>0</v>
      </c>
      <c r="Q75" s="46">
        <f>DATA!V76</f>
        <v>0</v>
      </c>
      <c r="R75" s="46">
        <f>DATA!W76</f>
        <v>0</v>
      </c>
      <c r="S75" s="47"/>
      <c r="V75" s="46">
        <f>DATA!C76</f>
        <v>0</v>
      </c>
      <c r="W75" s="46">
        <f>DATA!D76</f>
        <v>0</v>
      </c>
      <c r="X75" s="46">
        <f>DATA!F76</f>
        <v>0</v>
      </c>
      <c r="Y75" s="46">
        <f>DATA!G76</f>
        <v>0</v>
      </c>
      <c r="Z75" s="46">
        <f>DATA!H76</f>
        <v>0</v>
      </c>
      <c r="AA75" s="46">
        <f>DATA!I76</f>
        <v>0</v>
      </c>
      <c r="AB75" s="46"/>
      <c r="AC75" s="46"/>
      <c r="AD75" s="45">
        <f>DATA!L76</f>
        <v>0</v>
      </c>
      <c r="AE75" s="46"/>
      <c r="AF75" s="46">
        <f>DATA!O76</f>
        <v>0</v>
      </c>
      <c r="AG75" s="46">
        <f>DATA!Q76</f>
        <v>0</v>
      </c>
      <c r="AH75" s="46">
        <f>DATA!R76</f>
        <v>0</v>
      </c>
      <c r="AI75" s="46"/>
      <c r="AJ75" s="46"/>
      <c r="AK75" s="46">
        <f>DATA!U76</f>
        <v>0</v>
      </c>
      <c r="AL75" s="46">
        <f>DATA!V76</f>
        <v>0</v>
      </c>
      <c r="AM75" s="46">
        <f>DATA!W76</f>
        <v>0</v>
      </c>
      <c r="AN75" s="47"/>
    </row>
    <row r="76" spans="1:40" s="48" customFormat="1" ht="23.25" hidden="1" customHeight="1" x14ac:dyDescent="0.45">
      <c r="A76" s="46">
        <f>DATA!C77</f>
        <v>0</v>
      </c>
      <c r="B76" s="46">
        <f>DATA!D77</f>
        <v>0</v>
      </c>
      <c r="C76" s="46">
        <f>DATA!F77</f>
        <v>0</v>
      </c>
      <c r="D76" s="46">
        <f>DATA!G77</f>
        <v>0</v>
      </c>
      <c r="E76" s="46">
        <f>DATA!H77</f>
        <v>0</v>
      </c>
      <c r="F76" s="46">
        <f>DATA!I77</f>
        <v>0</v>
      </c>
      <c r="G76" s="46"/>
      <c r="H76" s="46"/>
      <c r="I76" s="45">
        <f>DATA!L77</f>
        <v>0</v>
      </c>
      <c r="J76" s="46"/>
      <c r="K76" s="46">
        <f>DATA!O77</f>
        <v>0</v>
      </c>
      <c r="L76" s="46">
        <f>DATA!Q77</f>
        <v>0</v>
      </c>
      <c r="M76" s="46">
        <f>DATA!R77</f>
        <v>0</v>
      </c>
      <c r="N76" s="46"/>
      <c r="O76" s="46"/>
      <c r="P76" s="46">
        <f>DATA!U77</f>
        <v>0</v>
      </c>
      <c r="Q76" s="46">
        <f>DATA!V77</f>
        <v>0</v>
      </c>
      <c r="R76" s="46">
        <f>DATA!W77</f>
        <v>0</v>
      </c>
      <c r="S76" s="47"/>
      <c r="V76" s="46">
        <f>DATA!C77</f>
        <v>0</v>
      </c>
      <c r="W76" s="46">
        <f>DATA!D77</f>
        <v>0</v>
      </c>
      <c r="X76" s="46">
        <f>DATA!F77</f>
        <v>0</v>
      </c>
      <c r="Y76" s="46">
        <f>DATA!G77</f>
        <v>0</v>
      </c>
      <c r="Z76" s="46">
        <f>DATA!H77</f>
        <v>0</v>
      </c>
      <c r="AA76" s="46">
        <f>DATA!I77</f>
        <v>0</v>
      </c>
      <c r="AB76" s="46"/>
      <c r="AC76" s="46"/>
      <c r="AD76" s="45">
        <f>DATA!L77</f>
        <v>0</v>
      </c>
      <c r="AE76" s="46"/>
      <c r="AF76" s="46">
        <f>DATA!O77</f>
        <v>0</v>
      </c>
      <c r="AG76" s="46">
        <f>DATA!Q77</f>
        <v>0</v>
      </c>
      <c r="AH76" s="46">
        <f>DATA!R77</f>
        <v>0</v>
      </c>
      <c r="AI76" s="46"/>
      <c r="AJ76" s="46"/>
      <c r="AK76" s="46">
        <f>DATA!U77</f>
        <v>0</v>
      </c>
      <c r="AL76" s="46">
        <f>DATA!V77</f>
        <v>0</v>
      </c>
      <c r="AM76" s="46">
        <f>DATA!W77</f>
        <v>0</v>
      </c>
      <c r="AN76" s="47"/>
    </row>
    <row r="77" spans="1:40" s="48" customFormat="1" ht="23.25" hidden="1" customHeight="1" x14ac:dyDescent="0.45">
      <c r="A77" s="46">
        <f>DATA!C78</f>
        <v>0</v>
      </c>
      <c r="B77" s="46">
        <f>DATA!D78</f>
        <v>0</v>
      </c>
      <c r="C77" s="46">
        <f>DATA!F78</f>
        <v>0</v>
      </c>
      <c r="D77" s="46">
        <f>DATA!G78</f>
        <v>0</v>
      </c>
      <c r="E77" s="46">
        <f>DATA!H78</f>
        <v>0</v>
      </c>
      <c r="F77" s="46">
        <f>DATA!I78</f>
        <v>0</v>
      </c>
      <c r="G77" s="46"/>
      <c r="H77" s="46"/>
      <c r="I77" s="45">
        <f>DATA!L78</f>
        <v>0</v>
      </c>
      <c r="J77" s="46"/>
      <c r="K77" s="46">
        <f>DATA!O78</f>
        <v>0</v>
      </c>
      <c r="L77" s="46">
        <f>DATA!Q78</f>
        <v>0</v>
      </c>
      <c r="M77" s="46">
        <f>DATA!R78</f>
        <v>0</v>
      </c>
      <c r="N77" s="46"/>
      <c r="O77" s="46"/>
      <c r="P77" s="46">
        <f>DATA!U78</f>
        <v>0</v>
      </c>
      <c r="Q77" s="46">
        <f>DATA!V78</f>
        <v>0</v>
      </c>
      <c r="R77" s="46">
        <f>DATA!W78</f>
        <v>0</v>
      </c>
      <c r="S77" s="47"/>
      <c r="V77" s="46">
        <f>DATA!C78</f>
        <v>0</v>
      </c>
      <c r="W77" s="46">
        <f>DATA!D78</f>
        <v>0</v>
      </c>
      <c r="X77" s="46">
        <f>DATA!F78</f>
        <v>0</v>
      </c>
      <c r="Y77" s="46">
        <f>DATA!G78</f>
        <v>0</v>
      </c>
      <c r="Z77" s="46">
        <f>DATA!H78</f>
        <v>0</v>
      </c>
      <c r="AA77" s="46">
        <f>DATA!I78</f>
        <v>0</v>
      </c>
      <c r="AB77" s="46"/>
      <c r="AC77" s="46"/>
      <c r="AD77" s="45">
        <f>DATA!L78</f>
        <v>0</v>
      </c>
      <c r="AE77" s="46"/>
      <c r="AF77" s="46">
        <f>DATA!O78</f>
        <v>0</v>
      </c>
      <c r="AG77" s="46">
        <f>DATA!Q78</f>
        <v>0</v>
      </c>
      <c r="AH77" s="46">
        <f>DATA!R78</f>
        <v>0</v>
      </c>
      <c r="AI77" s="46"/>
      <c r="AJ77" s="46"/>
      <c r="AK77" s="46">
        <f>DATA!U78</f>
        <v>0</v>
      </c>
      <c r="AL77" s="46">
        <f>DATA!V78</f>
        <v>0</v>
      </c>
      <c r="AM77" s="46">
        <f>DATA!W78</f>
        <v>0</v>
      </c>
      <c r="AN77" s="47"/>
    </row>
    <row r="78" spans="1:40" s="48" customFormat="1" ht="23.25" hidden="1" customHeight="1" x14ac:dyDescent="0.45">
      <c r="A78" s="46">
        <f>DATA!C79</f>
        <v>0</v>
      </c>
      <c r="B78" s="46">
        <f>DATA!D79</f>
        <v>0</v>
      </c>
      <c r="C78" s="46">
        <f>DATA!F79</f>
        <v>0</v>
      </c>
      <c r="D78" s="46">
        <f>DATA!G79</f>
        <v>0</v>
      </c>
      <c r="E78" s="46">
        <f>DATA!H79</f>
        <v>0</v>
      </c>
      <c r="F78" s="46">
        <f>DATA!I79</f>
        <v>0</v>
      </c>
      <c r="G78" s="46"/>
      <c r="H78" s="46"/>
      <c r="I78" s="45">
        <f>DATA!L79</f>
        <v>0</v>
      </c>
      <c r="J78" s="46"/>
      <c r="K78" s="46">
        <f>DATA!O79</f>
        <v>0</v>
      </c>
      <c r="L78" s="46">
        <f>DATA!Q79</f>
        <v>0</v>
      </c>
      <c r="M78" s="46">
        <f>DATA!R79</f>
        <v>0</v>
      </c>
      <c r="N78" s="46"/>
      <c r="O78" s="46"/>
      <c r="P78" s="46">
        <f>DATA!U79</f>
        <v>0</v>
      </c>
      <c r="Q78" s="46">
        <f>DATA!V79</f>
        <v>0</v>
      </c>
      <c r="R78" s="46">
        <f>DATA!W79</f>
        <v>0</v>
      </c>
      <c r="S78" s="47"/>
      <c r="V78" s="46">
        <f>DATA!C79</f>
        <v>0</v>
      </c>
      <c r="W78" s="46">
        <f>DATA!D79</f>
        <v>0</v>
      </c>
      <c r="X78" s="46">
        <f>DATA!F79</f>
        <v>0</v>
      </c>
      <c r="Y78" s="46">
        <f>DATA!G79</f>
        <v>0</v>
      </c>
      <c r="Z78" s="46">
        <f>DATA!H79</f>
        <v>0</v>
      </c>
      <c r="AA78" s="46">
        <f>DATA!I79</f>
        <v>0</v>
      </c>
      <c r="AB78" s="46"/>
      <c r="AC78" s="46"/>
      <c r="AD78" s="45">
        <f>DATA!L79</f>
        <v>0</v>
      </c>
      <c r="AE78" s="46"/>
      <c r="AF78" s="46">
        <f>DATA!O79</f>
        <v>0</v>
      </c>
      <c r="AG78" s="46">
        <f>DATA!Q79</f>
        <v>0</v>
      </c>
      <c r="AH78" s="46">
        <f>DATA!R79</f>
        <v>0</v>
      </c>
      <c r="AI78" s="46"/>
      <c r="AJ78" s="46"/>
      <c r="AK78" s="46">
        <f>DATA!U79</f>
        <v>0</v>
      </c>
      <c r="AL78" s="46">
        <f>DATA!V79</f>
        <v>0</v>
      </c>
      <c r="AM78" s="46">
        <f>DATA!W79</f>
        <v>0</v>
      </c>
      <c r="AN78" s="47"/>
    </row>
    <row r="79" spans="1:40" s="48" customFormat="1" ht="23.25" hidden="1" customHeight="1" x14ac:dyDescent="0.45">
      <c r="A79" s="46">
        <f>DATA!C80</f>
        <v>0</v>
      </c>
      <c r="B79" s="46">
        <f>DATA!D80</f>
        <v>0</v>
      </c>
      <c r="C79" s="46">
        <f>DATA!F80</f>
        <v>0</v>
      </c>
      <c r="D79" s="46">
        <f>DATA!G80</f>
        <v>0</v>
      </c>
      <c r="E79" s="46">
        <f>DATA!H80</f>
        <v>0</v>
      </c>
      <c r="F79" s="46">
        <f>DATA!I80</f>
        <v>0</v>
      </c>
      <c r="G79" s="46"/>
      <c r="H79" s="46"/>
      <c r="I79" s="45">
        <f>DATA!L80</f>
        <v>0</v>
      </c>
      <c r="J79" s="46"/>
      <c r="K79" s="46">
        <f>DATA!O80</f>
        <v>0</v>
      </c>
      <c r="L79" s="46">
        <f>DATA!Q80</f>
        <v>0</v>
      </c>
      <c r="M79" s="46">
        <f>DATA!R80</f>
        <v>0</v>
      </c>
      <c r="N79" s="46"/>
      <c r="O79" s="46"/>
      <c r="P79" s="46">
        <f>DATA!U80</f>
        <v>0</v>
      </c>
      <c r="Q79" s="46">
        <f>DATA!V80</f>
        <v>0</v>
      </c>
      <c r="R79" s="46">
        <f>DATA!W80</f>
        <v>0</v>
      </c>
      <c r="S79" s="47"/>
      <c r="V79" s="46">
        <f>DATA!C80</f>
        <v>0</v>
      </c>
      <c r="W79" s="46">
        <f>DATA!D80</f>
        <v>0</v>
      </c>
      <c r="X79" s="46">
        <f>DATA!F80</f>
        <v>0</v>
      </c>
      <c r="Y79" s="46">
        <f>DATA!G80</f>
        <v>0</v>
      </c>
      <c r="Z79" s="46">
        <f>DATA!H80</f>
        <v>0</v>
      </c>
      <c r="AA79" s="46">
        <f>DATA!I80</f>
        <v>0</v>
      </c>
      <c r="AB79" s="46"/>
      <c r="AC79" s="46"/>
      <c r="AD79" s="45">
        <f>DATA!L80</f>
        <v>0</v>
      </c>
      <c r="AE79" s="46"/>
      <c r="AF79" s="46">
        <f>DATA!O80</f>
        <v>0</v>
      </c>
      <c r="AG79" s="46">
        <f>DATA!Q80</f>
        <v>0</v>
      </c>
      <c r="AH79" s="46">
        <f>DATA!R80</f>
        <v>0</v>
      </c>
      <c r="AI79" s="46"/>
      <c r="AJ79" s="46"/>
      <c r="AK79" s="46">
        <f>DATA!U80</f>
        <v>0</v>
      </c>
      <c r="AL79" s="46">
        <f>DATA!V80</f>
        <v>0</v>
      </c>
      <c r="AM79" s="46">
        <f>DATA!W80</f>
        <v>0</v>
      </c>
      <c r="AN79" s="47"/>
    </row>
    <row r="80" spans="1:40" s="48" customFormat="1" ht="23.25" hidden="1" customHeight="1" x14ac:dyDescent="0.45">
      <c r="A80" s="46">
        <f>DATA!C81</f>
        <v>0</v>
      </c>
      <c r="B80" s="46">
        <f>DATA!D81</f>
        <v>0</v>
      </c>
      <c r="C80" s="46">
        <f>DATA!F81</f>
        <v>0</v>
      </c>
      <c r="D80" s="46">
        <f>DATA!G81</f>
        <v>0</v>
      </c>
      <c r="E80" s="46">
        <f>DATA!H81</f>
        <v>0</v>
      </c>
      <c r="F80" s="46">
        <f>DATA!I81</f>
        <v>0</v>
      </c>
      <c r="G80" s="46"/>
      <c r="H80" s="46"/>
      <c r="I80" s="45">
        <f>DATA!L81</f>
        <v>0</v>
      </c>
      <c r="J80" s="46"/>
      <c r="K80" s="46">
        <f>DATA!O81</f>
        <v>0</v>
      </c>
      <c r="L80" s="46">
        <f>DATA!Q81</f>
        <v>0</v>
      </c>
      <c r="M80" s="46">
        <f>DATA!R81</f>
        <v>0</v>
      </c>
      <c r="N80" s="46"/>
      <c r="O80" s="46"/>
      <c r="P80" s="46">
        <f>DATA!U81</f>
        <v>0</v>
      </c>
      <c r="Q80" s="46">
        <f>DATA!V81</f>
        <v>0</v>
      </c>
      <c r="R80" s="46">
        <f>DATA!W81</f>
        <v>0</v>
      </c>
      <c r="S80" s="47"/>
      <c r="V80" s="46">
        <f>DATA!C81</f>
        <v>0</v>
      </c>
      <c r="W80" s="46">
        <f>DATA!D81</f>
        <v>0</v>
      </c>
      <c r="X80" s="46">
        <f>DATA!F81</f>
        <v>0</v>
      </c>
      <c r="Y80" s="46">
        <f>DATA!G81</f>
        <v>0</v>
      </c>
      <c r="Z80" s="46">
        <f>DATA!H81</f>
        <v>0</v>
      </c>
      <c r="AA80" s="46">
        <f>DATA!I81</f>
        <v>0</v>
      </c>
      <c r="AB80" s="46"/>
      <c r="AC80" s="46"/>
      <c r="AD80" s="45">
        <f>DATA!L81</f>
        <v>0</v>
      </c>
      <c r="AE80" s="46"/>
      <c r="AF80" s="46">
        <f>DATA!O81</f>
        <v>0</v>
      </c>
      <c r="AG80" s="46">
        <f>DATA!Q81</f>
        <v>0</v>
      </c>
      <c r="AH80" s="46">
        <f>DATA!R81</f>
        <v>0</v>
      </c>
      <c r="AI80" s="46"/>
      <c r="AJ80" s="46"/>
      <c r="AK80" s="46">
        <f>DATA!U81</f>
        <v>0</v>
      </c>
      <c r="AL80" s="46">
        <f>DATA!V81</f>
        <v>0</v>
      </c>
      <c r="AM80" s="46">
        <f>DATA!W81</f>
        <v>0</v>
      </c>
      <c r="AN80" s="47"/>
    </row>
    <row r="81" spans="1:40" s="48" customFormat="1" ht="23.25" hidden="1" customHeight="1" x14ac:dyDescent="0.45">
      <c r="A81" s="46">
        <f>DATA!C82</f>
        <v>0</v>
      </c>
      <c r="B81" s="46">
        <f>DATA!D82</f>
        <v>0</v>
      </c>
      <c r="C81" s="46">
        <f>DATA!F82</f>
        <v>0</v>
      </c>
      <c r="D81" s="46">
        <f>DATA!G82</f>
        <v>0</v>
      </c>
      <c r="E81" s="46">
        <f>DATA!H82</f>
        <v>0</v>
      </c>
      <c r="F81" s="46">
        <f>DATA!I82</f>
        <v>0</v>
      </c>
      <c r="G81" s="46"/>
      <c r="H81" s="46"/>
      <c r="I81" s="45">
        <f>DATA!L82</f>
        <v>0</v>
      </c>
      <c r="J81" s="46"/>
      <c r="K81" s="46">
        <f>DATA!O82</f>
        <v>0</v>
      </c>
      <c r="L81" s="46">
        <f>DATA!Q82</f>
        <v>0</v>
      </c>
      <c r="M81" s="46">
        <f>DATA!R82</f>
        <v>0</v>
      </c>
      <c r="N81" s="46"/>
      <c r="O81" s="46"/>
      <c r="P81" s="46">
        <f>DATA!U82</f>
        <v>0</v>
      </c>
      <c r="Q81" s="46">
        <f>DATA!V82</f>
        <v>0</v>
      </c>
      <c r="R81" s="46">
        <f>DATA!W82</f>
        <v>0</v>
      </c>
      <c r="S81" s="47"/>
      <c r="V81" s="46">
        <f>DATA!C82</f>
        <v>0</v>
      </c>
      <c r="W81" s="46">
        <f>DATA!D82</f>
        <v>0</v>
      </c>
      <c r="X81" s="46">
        <f>DATA!F82</f>
        <v>0</v>
      </c>
      <c r="Y81" s="46">
        <f>DATA!G82</f>
        <v>0</v>
      </c>
      <c r="Z81" s="46">
        <f>DATA!H82</f>
        <v>0</v>
      </c>
      <c r="AA81" s="46">
        <f>DATA!I82</f>
        <v>0</v>
      </c>
      <c r="AB81" s="46"/>
      <c r="AC81" s="46"/>
      <c r="AD81" s="45">
        <f>DATA!L82</f>
        <v>0</v>
      </c>
      <c r="AE81" s="46"/>
      <c r="AF81" s="46">
        <f>DATA!O82</f>
        <v>0</v>
      </c>
      <c r="AG81" s="46">
        <f>DATA!Q82</f>
        <v>0</v>
      </c>
      <c r="AH81" s="46">
        <f>DATA!R82</f>
        <v>0</v>
      </c>
      <c r="AI81" s="46"/>
      <c r="AJ81" s="46"/>
      <c r="AK81" s="46">
        <f>DATA!U82</f>
        <v>0</v>
      </c>
      <c r="AL81" s="46">
        <f>DATA!V82</f>
        <v>0</v>
      </c>
      <c r="AM81" s="46">
        <f>DATA!W82</f>
        <v>0</v>
      </c>
      <c r="AN81" s="47"/>
    </row>
    <row r="82" spans="1:40" s="48" customFormat="1" ht="23.25" hidden="1" customHeight="1" x14ac:dyDescent="0.45">
      <c r="A82" s="46">
        <f>DATA!C83</f>
        <v>0</v>
      </c>
      <c r="B82" s="46">
        <f>DATA!D83</f>
        <v>0</v>
      </c>
      <c r="C82" s="46">
        <f>DATA!F83</f>
        <v>0</v>
      </c>
      <c r="D82" s="46">
        <f>DATA!G83</f>
        <v>0</v>
      </c>
      <c r="E82" s="46">
        <f>DATA!H83</f>
        <v>0</v>
      </c>
      <c r="F82" s="46">
        <f>DATA!I83</f>
        <v>0</v>
      </c>
      <c r="G82" s="46"/>
      <c r="H82" s="46"/>
      <c r="I82" s="45">
        <f>DATA!L83</f>
        <v>0</v>
      </c>
      <c r="J82" s="46"/>
      <c r="K82" s="46">
        <f>DATA!O83</f>
        <v>0</v>
      </c>
      <c r="L82" s="46">
        <f>DATA!Q83</f>
        <v>0</v>
      </c>
      <c r="M82" s="46">
        <f>DATA!R83</f>
        <v>0</v>
      </c>
      <c r="N82" s="46"/>
      <c r="O82" s="46"/>
      <c r="P82" s="46">
        <f>DATA!U83</f>
        <v>0</v>
      </c>
      <c r="Q82" s="46">
        <f>DATA!V83</f>
        <v>0</v>
      </c>
      <c r="R82" s="46">
        <f>DATA!W83</f>
        <v>0</v>
      </c>
      <c r="S82" s="47"/>
      <c r="V82" s="46">
        <f>DATA!C83</f>
        <v>0</v>
      </c>
      <c r="W82" s="46">
        <f>DATA!D83</f>
        <v>0</v>
      </c>
      <c r="X82" s="46">
        <f>DATA!F83</f>
        <v>0</v>
      </c>
      <c r="Y82" s="46">
        <f>DATA!G83</f>
        <v>0</v>
      </c>
      <c r="Z82" s="46">
        <f>DATA!H83</f>
        <v>0</v>
      </c>
      <c r="AA82" s="46">
        <f>DATA!I83</f>
        <v>0</v>
      </c>
      <c r="AB82" s="46"/>
      <c r="AC82" s="46"/>
      <c r="AD82" s="45">
        <f>DATA!L83</f>
        <v>0</v>
      </c>
      <c r="AE82" s="46"/>
      <c r="AF82" s="46">
        <f>DATA!O83</f>
        <v>0</v>
      </c>
      <c r="AG82" s="46">
        <f>DATA!Q83</f>
        <v>0</v>
      </c>
      <c r="AH82" s="46">
        <f>DATA!R83</f>
        <v>0</v>
      </c>
      <c r="AI82" s="46"/>
      <c r="AJ82" s="46"/>
      <c r="AK82" s="46">
        <f>DATA!U83</f>
        <v>0</v>
      </c>
      <c r="AL82" s="46">
        <f>DATA!V83</f>
        <v>0</v>
      </c>
      <c r="AM82" s="46">
        <f>DATA!W83</f>
        <v>0</v>
      </c>
      <c r="AN82" s="47"/>
    </row>
    <row r="83" spans="1:40" s="48" customFormat="1" ht="23.25" hidden="1" customHeight="1" x14ac:dyDescent="0.45">
      <c r="A83" s="46">
        <f>DATA!C84</f>
        <v>0</v>
      </c>
      <c r="B83" s="46">
        <f>DATA!D84</f>
        <v>0</v>
      </c>
      <c r="C83" s="46">
        <f>DATA!F84</f>
        <v>0</v>
      </c>
      <c r="D83" s="46">
        <f>DATA!G84</f>
        <v>0</v>
      </c>
      <c r="E83" s="46">
        <f>DATA!H84</f>
        <v>0</v>
      </c>
      <c r="F83" s="46">
        <f>DATA!I84</f>
        <v>0</v>
      </c>
      <c r="G83" s="46"/>
      <c r="H83" s="46"/>
      <c r="I83" s="45">
        <f>DATA!L84</f>
        <v>0</v>
      </c>
      <c r="J83" s="46"/>
      <c r="K83" s="46">
        <f>DATA!O84</f>
        <v>0</v>
      </c>
      <c r="L83" s="46">
        <f>DATA!Q84</f>
        <v>0</v>
      </c>
      <c r="M83" s="46">
        <f>DATA!R84</f>
        <v>0</v>
      </c>
      <c r="N83" s="46"/>
      <c r="O83" s="46"/>
      <c r="P83" s="46">
        <f>DATA!U84</f>
        <v>0</v>
      </c>
      <c r="Q83" s="46">
        <f>DATA!V84</f>
        <v>0</v>
      </c>
      <c r="R83" s="46">
        <f>DATA!W84</f>
        <v>0</v>
      </c>
      <c r="S83" s="47"/>
      <c r="V83" s="46">
        <f>DATA!C84</f>
        <v>0</v>
      </c>
      <c r="W83" s="46">
        <f>DATA!D84</f>
        <v>0</v>
      </c>
      <c r="X83" s="46">
        <f>DATA!F84</f>
        <v>0</v>
      </c>
      <c r="Y83" s="46">
        <f>DATA!G84</f>
        <v>0</v>
      </c>
      <c r="Z83" s="46">
        <f>DATA!H84</f>
        <v>0</v>
      </c>
      <c r="AA83" s="46">
        <f>DATA!I84</f>
        <v>0</v>
      </c>
      <c r="AB83" s="46"/>
      <c r="AC83" s="46"/>
      <c r="AD83" s="45">
        <f>DATA!L84</f>
        <v>0</v>
      </c>
      <c r="AE83" s="46"/>
      <c r="AF83" s="46">
        <f>DATA!O84</f>
        <v>0</v>
      </c>
      <c r="AG83" s="46">
        <f>DATA!Q84</f>
        <v>0</v>
      </c>
      <c r="AH83" s="46">
        <f>DATA!R84</f>
        <v>0</v>
      </c>
      <c r="AI83" s="46"/>
      <c r="AJ83" s="46"/>
      <c r="AK83" s="46">
        <f>DATA!U84</f>
        <v>0</v>
      </c>
      <c r="AL83" s="46">
        <f>DATA!V84</f>
        <v>0</v>
      </c>
      <c r="AM83" s="46">
        <f>DATA!W84</f>
        <v>0</v>
      </c>
      <c r="AN83" s="47"/>
    </row>
    <row r="84" spans="1:40" s="48" customFormat="1" ht="23.25" hidden="1" customHeight="1" x14ac:dyDescent="0.45">
      <c r="A84" s="46">
        <f>DATA!C85</f>
        <v>0</v>
      </c>
      <c r="B84" s="46">
        <f>DATA!D85</f>
        <v>0</v>
      </c>
      <c r="C84" s="46">
        <f>DATA!F85</f>
        <v>0</v>
      </c>
      <c r="D84" s="46">
        <f>DATA!G85</f>
        <v>0</v>
      </c>
      <c r="E84" s="46">
        <f>DATA!H85</f>
        <v>0</v>
      </c>
      <c r="F84" s="46">
        <f>DATA!I85</f>
        <v>0</v>
      </c>
      <c r="G84" s="46"/>
      <c r="H84" s="46"/>
      <c r="I84" s="45">
        <f>DATA!L85</f>
        <v>0</v>
      </c>
      <c r="J84" s="46"/>
      <c r="K84" s="46">
        <f>DATA!O85</f>
        <v>0</v>
      </c>
      <c r="L84" s="46">
        <f>DATA!Q85</f>
        <v>0</v>
      </c>
      <c r="M84" s="46">
        <f>DATA!R85</f>
        <v>0</v>
      </c>
      <c r="N84" s="46"/>
      <c r="O84" s="46"/>
      <c r="P84" s="46">
        <f>DATA!U85</f>
        <v>0</v>
      </c>
      <c r="Q84" s="46">
        <f>DATA!V85</f>
        <v>0</v>
      </c>
      <c r="R84" s="46">
        <f>DATA!W85</f>
        <v>0</v>
      </c>
      <c r="S84" s="47"/>
      <c r="V84" s="46">
        <f>DATA!C85</f>
        <v>0</v>
      </c>
      <c r="W84" s="46">
        <f>DATA!D85</f>
        <v>0</v>
      </c>
      <c r="X84" s="46">
        <f>DATA!F85</f>
        <v>0</v>
      </c>
      <c r="Y84" s="46">
        <f>DATA!G85</f>
        <v>0</v>
      </c>
      <c r="Z84" s="46">
        <f>DATA!H85</f>
        <v>0</v>
      </c>
      <c r="AA84" s="46">
        <f>DATA!I85</f>
        <v>0</v>
      </c>
      <c r="AB84" s="46"/>
      <c r="AC84" s="46"/>
      <c r="AD84" s="45">
        <f>DATA!L85</f>
        <v>0</v>
      </c>
      <c r="AE84" s="46"/>
      <c r="AF84" s="46">
        <f>DATA!O85</f>
        <v>0</v>
      </c>
      <c r="AG84" s="46">
        <f>DATA!Q85</f>
        <v>0</v>
      </c>
      <c r="AH84" s="46">
        <f>DATA!R85</f>
        <v>0</v>
      </c>
      <c r="AI84" s="46"/>
      <c r="AJ84" s="46"/>
      <c r="AK84" s="46">
        <f>DATA!U85</f>
        <v>0</v>
      </c>
      <c r="AL84" s="46">
        <f>DATA!V85</f>
        <v>0</v>
      </c>
      <c r="AM84" s="46">
        <f>DATA!W85</f>
        <v>0</v>
      </c>
      <c r="AN84" s="47"/>
    </row>
    <row r="85" spans="1:40" s="48" customFormat="1" ht="23.25" hidden="1" customHeight="1" x14ac:dyDescent="0.45">
      <c r="A85" s="46">
        <f>DATA!C86</f>
        <v>0</v>
      </c>
      <c r="B85" s="46">
        <f>DATA!D86</f>
        <v>0</v>
      </c>
      <c r="C85" s="46">
        <f>DATA!F86</f>
        <v>0</v>
      </c>
      <c r="D85" s="46">
        <f>DATA!G86</f>
        <v>0</v>
      </c>
      <c r="E85" s="46">
        <f>DATA!H86</f>
        <v>0</v>
      </c>
      <c r="F85" s="46">
        <f>DATA!I86</f>
        <v>0</v>
      </c>
      <c r="G85" s="46"/>
      <c r="H85" s="46"/>
      <c r="I85" s="45">
        <f>DATA!L86</f>
        <v>0</v>
      </c>
      <c r="J85" s="46"/>
      <c r="K85" s="46">
        <f>DATA!O86</f>
        <v>0</v>
      </c>
      <c r="L85" s="46">
        <f>DATA!Q86</f>
        <v>0</v>
      </c>
      <c r="M85" s="46">
        <f>DATA!R86</f>
        <v>0</v>
      </c>
      <c r="N85" s="46"/>
      <c r="O85" s="46"/>
      <c r="P85" s="46">
        <f>DATA!U86</f>
        <v>0</v>
      </c>
      <c r="Q85" s="46">
        <f>DATA!V86</f>
        <v>0</v>
      </c>
      <c r="R85" s="46">
        <f>DATA!W86</f>
        <v>0</v>
      </c>
      <c r="S85" s="47"/>
      <c r="V85" s="46">
        <f>DATA!C86</f>
        <v>0</v>
      </c>
      <c r="W85" s="46">
        <f>DATA!D86</f>
        <v>0</v>
      </c>
      <c r="X85" s="46">
        <f>DATA!F86</f>
        <v>0</v>
      </c>
      <c r="Y85" s="46">
        <f>DATA!G86</f>
        <v>0</v>
      </c>
      <c r="Z85" s="46">
        <f>DATA!H86</f>
        <v>0</v>
      </c>
      <c r="AA85" s="46">
        <f>DATA!I86</f>
        <v>0</v>
      </c>
      <c r="AB85" s="46"/>
      <c r="AC85" s="46"/>
      <c r="AD85" s="45">
        <f>DATA!L86</f>
        <v>0</v>
      </c>
      <c r="AE85" s="46"/>
      <c r="AF85" s="46">
        <f>DATA!O86</f>
        <v>0</v>
      </c>
      <c r="AG85" s="46">
        <f>DATA!Q86</f>
        <v>0</v>
      </c>
      <c r="AH85" s="46">
        <f>DATA!R86</f>
        <v>0</v>
      </c>
      <c r="AI85" s="46"/>
      <c r="AJ85" s="46"/>
      <c r="AK85" s="46">
        <f>DATA!U86</f>
        <v>0</v>
      </c>
      <c r="AL85" s="46">
        <f>DATA!V86</f>
        <v>0</v>
      </c>
      <c r="AM85" s="46">
        <f>DATA!W86</f>
        <v>0</v>
      </c>
      <c r="AN85" s="47"/>
    </row>
    <row r="86" spans="1:40" s="48" customFormat="1" ht="23.25" hidden="1" customHeight="1" x14ac:dyDescent="0.45">
      <c r="A86" s="46">
        <f>DATA!C87</f>
        <v>0</v>
      </c>
      <c r="B86" s="46">
        <f>DATA!D87</f>
        <v>0</v>
      </c>
      <c r="C86" s="46">
        <f>DATA!F87</f>
        <v>0</v>
      </c>
      <c r="D86" s="46">
        <f>DATA!G87</f>
        <v>0</v>
      </c>
      <c r="E86" s="46">
        <f>DATA!H87</f>
        <v>0</v>
      </c>
      <c r="F86" s="46">
        <f>DATA!I87</f>
        <v>0</v>
      </c>
      <c r="G86" s="46"/>
      <c r="H86" s="46"/>
      <c r="I86" s="45">
        <f>DATA!L87</f>
        <v>0</v>
      </c>
      <c r="J86" s="46"/>
      <c r="K86" s="46">
        <f>DATA!O87</f>
        <v>0</v>
      </c>
      <c r="L86" s="46">
        <f>DATA!Q87</f>
        <v>0</v>
      </c>
      <c r="M86" s="46">
        <f>DATA!R87</f>
        <v>0</v>
      </c>
      <c r="N86" s="46"/>
      <c r="O86" s="46"/>
      <c r="P86" s="46">
        <f>DATA!U87</f>
        <v>0</v>
      </c>
      <c r="Q86" s="46">
        <f>DATA!V87</f>
        <v>0</v>
      </c>
      <c r="R86" s="46">
        <f>DATA!W87</f>
        <v>0</v>
      </c>
      <c r="S86" s="47"/>
      <c r="V86" s="46">
        <f>DATA!C87</f>
        <v>0</v>
      </c>
      <c r="W86" s="46">
        <f>DATA!D87</f>
        <v>0</v>
      </c>
      <c r="X86" s="46">
        <f>DATA!F87</f>
        <v>0</v>
      </c>
      <c r="Y86" s="46">
        <f>DATA!G87</f>
        <v>0</v>
      </c>
      <c r="Z86" s="46">
        <f>DATA!H87</f>
        <v>0</v>
      </c>
      <c r="AA86" s="46">
        <f>DATA!I87</f>
        <v>0</v>
      </c>
      <c r="AB86" s="46"/>
      <c r="AC86" s="46"/>
      <c r="AD86" s="45">
        <f>DATA!L87</f>
        <v>0</v>
      </c>
      <c r="AE86" s="46"/>
      <c r="AF86" s="46">
        <f>DATA!O87</f>
        <v>0</v>
      </c>
      <c r="AG86" s="46">
        <f>DATA!Q87</f>
        <v>0</v>
      </c>
      <c r="AH86" s="46">
        <f>DATA!R87</f>
        <v>0</v>
      </c>
      <c r="AI86" s="46"/>
      <c r="AJ86" s="46"/>
      <c r="AK86" s="46">
        <f>DATA!U87</f>
        <v>0</v>
      </c>
      <c r="AL86" s="46">
        <f>DATA!V87</f>
        <v>0</v>
      </c>
      <c r="AM86" s="46">
        <f>DATA!W87</f>
        <v>0</v>
      </c>
      <c r="AN86" s="47"/>
    </row>
    <row r="87" spans="1:40" s="48" customFormat="1" ht="23.25" hidden="1" customHeight="1" x14ac:dyDescent="0.45">
      <c r="A87" s="46">
        <f>DATA!C88</f>
        <v>0</v>
      </c>
      <c r="B87" s="46">
        <f>DATA!D88</f>
        <v>0</v>
      </c>
      <c r="C87" s="46">
        <f>DATA!F88</f>
        <v>0</v>
      </c>
      <c r="D87" s="46">
        <f>DATA!G88</f>
        <v>0</v>
      </c>
      <c r="E87" s="46">
        <f>DATA!H88</f>
        <v>0</v>
      </c>
      <c r="F87" s="46">
        <f>DATA!I88</f>
        <v>0</v>
      </c>
      <c r="G87" s="46"/>
      <c r="H87" s="46"/>
      <c r="I87" s="45">
        <f>DATA!L88</f>
        <v>0</v>
      </c>
      <c r="J87" s="46"/>
      <c r="K87" s="46">
        <f>DATA!O88</f>
        <v>0</v>
      </c>
      <c r="L87" s="46">
        <f>DATA!Q88</f>
        <v>0</v>
      </c>
      <c r="M87" s="46">
        <f>DATA!R88</f>
        <v>0</v>
      </c>
      <c r="N87" s="46"/>
      <c r="O87" s="46"/>
      <c r="P87" s="46">
        <f>DATA!U88</f>
        <v>0</v>
      </c>
      <c r="Q87" s="46">
        <f>DATA!V88</f>
        <v>0</v>
      </c>
      <c r="R87" s="46">
        <f>DATA!W88</f>
        <v>0</v>
      </c>
      <c r="S87" s="47"/>
      <c r="V87" s="46">
        <f>DATA!C88</f>
        <v>0</v>
      </c>
      <c r="W87" s="46">
        <f>DATA!D88</f>
        <v>0</v>
      </c>
      <c r="X87" s="46">
        <f>DATA!F88</f>
        <v>0</v>
      </c>
      <c r="Y87" s="46">
        <f>DATA!G88</f>
        <v>0</v>
      </c>
      <c r="Z87" s="46">
        <f>DATA!H88</f>
        <v>0</v>
      </c>
      <c r="AA87" s="46">
        <f>DATA!I88</f>
        <v>0</v>
      </c>
      <c r="AB87" s="46"/>
      <c r="AC87" s="46"/>
      <c r="AD87" s="45">
        <f>DATA!L88</f>
        <v>0</v>
      </c>
      <c r="AE87" s="46"/>
      <c r="AF87" s="46">
        <f>DATA!O88</f>
        <v>0</v>
      </c>
      <c r="AG87" s="46">
        <f>DATA!Q88</f>
        <v>0</v>
      </c>
      <c r="AH87" s="46">
        <f>DATA!R88</f>
        <v>0</v>
      </c>
      <c r="AI87" s="46"/>
      <c r="AJ87" s="46"/>
      <c r="AK87" s="46">
        <f>DATA!U88</f>
        <v>0</v>
      </c>
      <c r="AL87" s="46">
        <f>DATA!V88</f>
        <v>0</v>
      </c>
      <c r="AM87" s="46">
        <f>DATA!W88</f>
        <v>0</v>
      </c>
      <c r="AN87" s="47"/>
    </row>
    <row r="88" spans="1:40" s="48" customFormat="1" ht="23.25" hidden="1" customHeight="1" x14ac:dyDescent="0.45">
      <c r="A88" s="46">
        <f>DATA!C89</f>
        <v>0</v>
      </c>
      <c r="B88" s="46">
        <f>DATA!D89</f>
        <v>0</v>
      </c>
      <c r="C88" s="46">
        <f>DATA!F89</f>
        <v>0</v>
      </c>
      <c r="D88" s="46">
        <f>DATA!G89</f>
        <v>0</v>
      </c>
      <c r="E88" s="46">
        <f>DATA!H89</f>
        <v>0</v>
      </c>
      <c r="F88" s="46">
        <f>DATA!I89</f>
        <v>0</v>
      </c>
      <c r="G88" s="46"/>
      <c r="H88" s="46"/>
      <c r="I88" s="45">
        <f>DATA!L89</f>
        <v>0</v>
      </c>
      <c r="J88" s="46"/>
      <c r="K88" s="46">
        <f>DATA!O89</f>
        <v>0</v>
      </c>
      <c r="L88" s="46">
        <f>DATA!Q89</f>
        <v>0</v>
      </c>
      <c r="M88" s="46">
        <f>DATA!R89</f>
        <v>0</v>
      </c>
      <c r="N88" s="46"/>
      <c r="O88" s="46"/>
      <c r="P88" s="46">
        <f>DATA!U89</f>
        <v>0</v>
      </c>
      <c r="Q88" s="46">
        <f>DATA!V89</f>
        <v>0</v>
      </c>
      <c r="R88" s="46">
        <f>DATA!W89</f>
        <v>0</v>
      </c>
      <c r="S88" s="47"/>
      <c r="V88" s="46">
        <f>DATA!C89</f>
        <v>0</v>
      </c>
      <c r="W88" s="46">
        <f>DATA!D89</f>
        <v>0</v>
      </c>
      <c r="X88" s="46">
        <f>DATA!F89</f>
        <v>0</v>
      </c>
      <c r="Y88" s="46">
        <f>DATA!G89</f>
        <v>0</v>
      </c>
      <c r="Z88" s="46">
        <f>DATA!H89</f>
        <v>0</v>
      </c>
      <c r="AA88" s="46">
        <f>DATA!I89</f>
        <v>0</v>
      </c>
      <c r="AB88" s="46"/>
      <c r="AC88" s="46"/>
      <c r="AD88" s="45">
        <f>DATA!L89</f>
        <v>0</v>
      </c>
      <c r="AE88" s="46"/>
      <c r="AF88" s="46">
        <f>DATA!O89</f>
        <v>0</v>
      </c>
      <c r="AG88" s="46">
        <f>DATA!Q89</f>
        <v>0</v>
      </c>
      <c r="AH88" s="46">
        <f>DATA!R89</f>
        <v>0</v>
      </c>
      <c r="AI88" s="46"/>
      <c r="AJ88" s="46"/>
      <c r="AK88" s="46">
        <f>DATA!U89</f>
        <v>0</v>
      </c>
      <c r="AL88" s="46">
        <f>DATA!V89</f>
        <v>0</v>
      </c>
      <c r="AM88" s="46">
        <f>DATA!W89</f>
        <v>0</v>
      </c>
      <c r="AN88" s="47"/>
    </row>
    <row r="89" spans="1:40" s="48" customFormat="1" ht="23.25" hidden="1" customHeight="1" x14ac:dyDescent="0.45">
      <c r="A89" s="46">
        <f>DATA!C90</f>
        <v>0</v>
      </c>
      <c r="B89" s="46">
        <f>DATA!D90</f>
        <v>0</v>
      </c>
      <c r="C89" s="46">
        <f>DATA!F90</f>
        <v>0</v>
      </c>
      <c r="D89" s="46">
        <f>DATA!G90</f>
        <v>0</v>
      </c>
      <c r="E89" s="46">
        <f>DATA!H90</f>
        <v>0</v>
      </c>
      <c r="F89" s="46">
        <f>DATA!I90</f>
        <v>0</v>
      </c>
      <c r="G89" s="46"/>
      <c r="H89" s="46"/>
      <c r="I89" s="45">
        <f>DATA!L90</f>
        <v>0</v>
      </c>
      <c r="J89" s="46"/>
      <c r="K89" s="46">
        <f>DATA!O90</f>
        <v>0</v>
      </c>
      <c r="L89" s="46">
        <f>DATA!Q90</f>
        <v>0</v>
      </c>
      <c r="M89" s="46">
        <f>DATA!R90</f>
        <v>0</v>
      </c>
      <c r="N89" s="46"/>
      <c r="O89" s="46"/>
      <c r="P89" s="46">
        <f>DATA!U90</f>
        <v>0</v>
      </c>
      <c r="Q89" s="46">
        <f>DATA!V90</f>
        <v>0</v>
      </c>
      <c r="R89" s="46">
        <f>DATA!W90</f>
        <v>0</v>
      </c>
      <c r="S89" s="47"/>
      <c r="V89" s="46">
        <f>DATA!C90</f>
        <v>0</v>
      </c>
      <c r="W89" s="46">
        <f>DATA!D90</f>
        <v>0</v>
      </c>
      <c r="X89" s="46">
        <f>DATA!F90</f>
        <v>0</v>
      </c>
      <c r="Y89" s="46">
        <f>DATA!G90</f>
        <v>0</v>
      </c>
      <c r="Z89" s="46">
        <f>DATA!H90</f>
        <v>0</v>
      </c>
      <c r="AA89" s="46">
        <f>DATA!I90</f>
        <v>0</v>
      </c>
      <c r="AB89" s="46"/>
      <c r="AC89" s="46"/>
      <c r="AD89" s="45">
        <f>DATA!L90</f>
        <v>0</v>
      </c>
      <c r="AE89" s="46"/>
      <c r="AF89" s="46">
        <f>DATA!O90</f>
        <v>0</v>
      </c>
      <c r="AG89" s="46">
        <f>DATA!Q90</f>
        <v>0</v>
      </c>
      <c r="AH89" s="46">
        <f>DATA!R90</f>
        <v>0</v>
      </c>
      <c r="AI89" s="46"/>
      <c r="AJ89" s="46"/>
      <c r="AK89" s="46">
        <f>DATA!U90</f>
        <v>0</v>
      </c>
      <c r="AL89" s="46">
        <f>DATA!V90</f>
        <v>0</v>
      </c>
      <c r="AM89" s="46">
        <f>DATA!W90</f>
        <v>0</v>
      </c>
      <c r="AN89" s="47"/>
    </row>
    <row r="90" spans="1:40" s="48" customFormat="1" ht="23.25" hidden="1" customHeight="1" x14ac:dyDescent="0.45">
      <c r="A90" s="46">
        <f>DATA!C91</f>
        <v>0</v>
      </c>
      <c r="B90" s="46">
        <f>DATA!D91</f>
        <v>0</v>
      </c>
      <c r="C90" s="46">
        <f>DATA!F91</f>
        <v>0</v>
      </c>
      <c r="D90" s="46">
        <f>DATA!G91</f>
        <v>0</v>
      </c>
      <c r="E90" s="46">
        <f>DATA!H91</f>
        <v>0</v>
      </c>
      <c r="F90" s="46">
        <f>DATA!I91</f>
        <v>0</v>
      </c>
      <c r="G90" s="46"/>
      <c r="H90" s="46"/>
      <c r="I90" s="45">
        <f>DATA!L91</f>
        <v>0</v>
      </c>
      <c r="J90" s="46"/>
      <c r="K90" s="46">
        <f>DATA!O91</f>
        <v>0</v>
      </c>
      <c r="L90" s="46">
        <f>DATA!Q91</f>
        <v>0</v>
      </c>
      <c r="M90" s="46">
        <f>DATA!R91</f>
        <v>0</v>
      </c>
      <c r="N90" s="46"/>
      <c r="O90" s="46"/>
      <c r="P90" s="46">
        <f>DATA!U91</f>
        <v>0</v>
      </c>
      <c r="Q90" s="46">
        <f>DATA!V91</f>
        <v>0</v>
      </c>
      <c r="R90" s="46">
        <f>DATA!W91</f>
        <v>0</v>
      </c>
      <c r="S90" s="47"/>
      <c r="V90" s="46">
        <f>DATA!C91</f>
        <v>0</v>
      </c>
      <c r="W90" s="46">
        <f>DATA!D91</f>
        <v>0</v>
      </c>
      <c r="X90" s="46">
        <f>DATA!F91</f>
        <v>0</v>
      </c>
      <c r="Y90" s="46">
        <f>DATA!G91</f>
        <v>0</v>
      </c>
      <c r="Z90" s="46">
        <f>DATA!H91</f>
        <v>0</v>
      </c>
      <c r="AA90" s="46">
        <f>DATA!I91</f>
        <v>0</v>
      </c>
      <c r="AB90" s="46"/>
      <c r="AC90" s="46"/>
      <c r="AD90" s="45">
        <f>DATA!L91</f>
        <v>0</v>
      </c>
      <c r="AE90" s="46"/>
      <c r="AF90" s="46">
        <f>DATA!O91</f>
        <v>0</v>
      </c>
      <c r="AG90" s="46">
        <f>DATA!Q91</f>
        <v>0</v>
      </c>
      <c r="AH90" s="46">
        <f>DATA!R91</f>
        <v>0</v>
      </c>
      <c r="AI90" s="46"/>
      <c r="AJ90" s="46"/>
      <c r="AK90" s="46">
        <f>DATA!U91</f>
        <v>0</v>
      </c>
      <c r="AL90" s="46">
        <f>DATA!V91</f>
        <v>0</v>
      </c>
      <c r="AM90" s="46">
        <f>DATA!W91</f>
        <v>0</v>
      </c>
      <c r="AN90" s="47"/>
    </row>
    <row r="91" spans="1:40" s="48" customFormat="1" ht="23.25" hidden="1" customHeight="1" x14ac:dyDescent="0.45">
      <c r="A91" s="46">
        <f>DATA!C92</f>
        <v>0</v>
      </c>
      <c r="B91" s="46">
        <f>DATA!D92</f>
        <v>0</v>
      </c>
      <c r="C91" s="46">
        <f>DATA!F92</f>
        <v>0</v>
      </c>
      <c r="D91" s="46">
        <f>DATA!G92</f>
        <v>0</v>
      </c>
      <c r="E91" s="46">
        <f>DATA!H92</f>
        <v>0</v>
      </c>
      <c r="F91" s="46">
        <f>DATA!I92</f>
        <v>0</v>
      </c>
      <c r="G91" s="46"/>
      <c r="H91" s="46"/>
      <c r="I91" s="45">
        <f>DATA!L92</f>
        <v>0</v>
      </c>
      <c r="J91" s="46"/>
      <c r="K91" s="46">
        <f>DATA!O92</f>
        <v>0</v>
      </c>
      <c r="L91" s="46">
        <f>DATA!Q92</f>
        <v>0</v>
      </c>
      <c r="M91" s="46">
        <f>DATA!R92</f>
        <v>0</v>
      </c>
      <c r="N91" s="46"/>
      <c r="O91" s="46"/>
      <c r="P91" s="46">
        <f>DATA!U92</f>
        <v>0</v>
      </c>
      <c r="Q91" s="46">
        <f>DATA!V92</f>
        <v>0</v>
      </c>
      <c r="R91" s="46">
        <f>DATA!W92</f>
        <v>0</v>
      </c>
      <c r="S91" s="47"/>
      <c r="V91" s="46">
        <f>DATA!C92</f>
        <v>0</v>
      </c>
      <c r="W91" s="46">
        <f>DATA!D92</f>
        <v>0</v>
      </c>
      <c r="X91" s="46">
        <f>DATA!F92</f>
        <v>0</v>
      </c>
      <c r="Y91" s="46">
        <f>DATA!G92</f>
        <v>0</v>
      </c>
      <c r="Z91" s="46">
        <f>DATA!H92</f>
        <v>0</v>
      </c>
      <c r="AA91" s="46">
        <f>DATA!I92</f>
        <v>0</v>
      </c>
      <c r="AB91" s="46"/>
      <c r="AC91" s="46"/>
      <c r="AD91" s="45">
        <f>DATA!L92</f>
        <v>0</v>
      </c>
      <c r="AE91" s="46"/>
      <c r="AF91" s="46">
        <f>DATA!O92</f>
        <v>0</v>
      </c>
      <c r="AG91" s="46">
        <f>DATA!Q92</f>
        <v>0</v>
      </c>
      <c r="AH91" s="46">
        <f>DATA!R92</f>
        <v>0</v>
      </c>
      <c r="AI91" s="46"/>
      <c r="AJ91" s="46"/>
      <c r="AK91" s="46">
        <f>DATA!U92</f>
        <v>0</v>
      </c>
      <c r="AL91" s="46">
        <f>DATA!V92</f>
        <v>0</v>
      </c>
      <c r="AM91" s="46">
        <f>DATA!W92</f>
        <v>0</v>
      </c>
      <c r="AN91" s="47"/>
    </row>
    <row r="92" spans="1:40" s="48" customFormat="1" ht="23.25" hidden="1" customHeight="1" x14ac:dyDescent="0.45">
      <c r="A92" s="46">
        <f>DATA!C93</f>
        <v>0</v>
      </c>
      <c r="B92" s="46">
        <f>DATA!D93</f>
        <v>0</v>
      </c>
      <c r="C92" s="46">
        <f>DATA!F93</f>
        <v>0</v>
      </c>
      <c r="D92" s="46">
        <f>DATA!G93</f>
        <v>0</v>
      </c>
      <c r="E92" s="46">
        <f>DATA!H93</f>
        <v>0</v>
      </c>
      <c r="F92" s="46">
        <f>DATA!I93</f>
        <v>0</v>
      </c>
      <c r="G92" s="46"/>
      <c r="H92" s="46"/>
      <c r="I92" s="45">
        <f>DATA!L93</f>
        <v>0</v>
      </c>
      <c r="J92" s="46"/>
      <c r="K92" s="46">
        <f>DATA!O93</f>
        <v>0</v>
      </c>
      <c r="L92" s="46">
        <f>DATA!Q93</f>
        <v>0</v>
      </c>
      <c r="M92" s="46">
        <f>DATA!R93</f>
        <v>0</v>
      </c>
      <c r="N92" s="46"/>
      <c r="O92" s="46"/>
      <c r="P92" s="46">
        <f>DATA!U93</f>
        <v>0</v>
      </c>
      <c r="Q92" s="46">
        <f>DATA!V93</f>
        <v>0</v>
      </c>
      <c r="R92" s="46">
        <f>DATA!W93</f>
        <v>0</v>
      </c>
      <c r="S92" s="47"/>
      <c r="V92" s="46">
        <f>DATA!C93</f>
        <v>0</v>
      </c>
      <c r="W92" s="46">
        <f>DATA!D93</f>
        <v>0</v>
      </c>
      <c r="X92" s="46">
        <f>DATA!F93</f>
        <v>0</v>
      </c>
      <c r="Y92" s="46">
        <f>DATA!G93</f>
        <v>0</v>
      </c>
      <c r="Z92" s="46">
        <f>DATA!H93</f>
        <v>0</v>
      </c>
      <c r="AA92" s="46">
        <f>DATA!I93</f>
        <v>0</v>
      </c>
      <c r="AB92" s="46"/>
      <c r="AC92" s="46"/>
      <c r="AD92" s="45">
        <f>DATA!L93</f>
        <v>0</v>
      </c>
      <c r="AE92" s="46"/>
      <c r="AF92" s="46">
        <f>DATA!O93</f>
        <v>0</v>
      </c>
      <c r="AG92" s="46">
        <f>DATA!Q93</f>
        <v>0</v>
      </c>
      <c r="AH92" s="46">
        <f>DATA!R93</f>
        <v>0</v>
      </c>
      <c r="AI92" s="46"/>
      <c r="AJ92" s="46"/>
      <c r="AK92" s="46">
        <f>DATA!U93</f>
        <v>0</v>
      </c>
      <c r="AL92" s="46">
        <f>DATA!V93</f>
        <v>0</v>
      </c>
      <c r="AM92" s="46">
        <f>DATA!W93</f>
        <v>0</v>
      </c>
      <c r="AN92" s="47"/>
    </row>
    <row r="93" spans="1:40" s="48" customFormat="1" ht="23.25" hidden="1" customHeight="1" x14ac:dyDescent="0.45">
      <c r="A93" s="46">
        <f>DATA!C94</f>
        <v>0</v>
      </c>
      <c r="B93" s="46">
        <f>DATA!D94</f>
        <v>0</v>
      </c>
      <c r="C93" s="46">
        <f>DATA!F94</f>
        <v>0</v>
      </c>
      <c r="D93" s="46">
        <f>DATA!G94</f>
        <v>0</v>
      </c>
      <c r="E93" s="46">
        <f>DATA!H94</f>
        <v>0</v>
      </c>
      <c r="F93" s="46">
        <f>DATA!I94</f>
        <v>0</v>
      </c>
      <c r="G93" s="46"/>
      <c r="H93" s="46"/>
      <c r="I93" s="45">
        <f>DATA!L94</f>
        <v>0</v>
      </c>
      <c r="J93" s="46"/>
      <c r="K93" s="46">
        <f>DATA!O94</f>
        <v>0</v>
      </c>
      <c r="L93" s="46">
        <f>DATA!Q94</f>
        <v>0</v>
      </c>
      <c r="M93" s="46">
        <f>DATA!R94</f>
        <v>0</v>
      </c>
      <c r="N93" s="46"/>
      <c r="O93" s="46"/>
      <c r="P93" s="46">
        <f>DATA!U94</f>
        <v>0</v>
      </c>
      <c r="Q93" s="46">
        <f>DATA!V94</f>
        <v>0</v>
      </c>
      <c r="R93" s="46">
        <f>DATA!W94</f>
        <v>0</v>
      </c>
      <c r="S93" s="47"/>
      <c r="V93" s="46">
        <f>DATA!C94</f>
        <v>0</v>
      </c>
      <c r="W93" s="46">
        <f>DATA!D94</f>
        <v>0</v>
      </c>
      <c r="X93" s="46">
        <f>DATA!F94</f>
        <v>0</v>
      </c>
      <c r="Y93" s="46">
        <f>DATA!G94</f>
        <v>0</v>
      </c>
      <c r="Z93" s="46">
        <f>DATA!H94</f>
        <v>0</v>
      </c>
      <c r="AA93" s="46">
        <f>DATA!I94</f>
        <v>0</v>
      </c>
      <c r="AB93" s="46"/>
      <c r="AC93" s="46"/>
      <c r="AD93" s="45">
        <f>DATA!L94</f>
        <v>0</v>
      </c>
      <c r="AE93" s="46"/>
      <c r="AF93" s="46">
        <f>DATA!O94</f>
        <v>0</v>
      </c>
      <c r="AG93" s="46">
        <f>DATA!Q94</f>
        <v>0</v>
      </c>
      <c r="AH93" s="46">
        <f>DATA!R94</f>
        <v>0</v>
      </c>
      <c r="AI93" s="46"/>
      <c r="AJ93" s="46"/>
      <c r="AK93" s="46">
        <f>DATA!U94</f>
        <v>0</v>
      </c>
      <c r="AL93" s="46">
        <f>DATA!V94</f>
        <v>0</v>
      </c>
      <c r="AM93" s="46">
        <f>DATA!W94</f>
        <v>0</v>
      </c>
      <c r="AN93" s="47"/>
    </row>
    <row r="94" spans="1:40" s="48" customFormat="1" ht="23.25" hidden="1" customHeight="1" x14ac:dyDescent="0.45">
      <c r="A94" s="46">
        <f>DATA!C95</f>
        <v>0</v>
      </c>
      <c r="B94" s="46">
        <f>DATA!D95</f>
        <v>0</v>
      </c>
      <c r="C94" s="46">
        <f>DATA!F95</f>
        <v>0</v>
      </c>
      <c r="D94" s="46">
        <f>DATA!G95</f>
        <v>0</v>
      </c>
      <c r="E94" s="46">
        <f>DATA!H95</f>
        <v>0</v>
      </c>
      <c r="F94" s="46">
        <f>DATA!I95</f>
        <v>0</v>
      </c>
      <c r="G94" s="46"/>
      <c r="H94" s="46"/>
      <c r="I94" s="45">
        <f>DATA!L95</f>
        <v>0</v>
      </c>
      <c r="J94" s="46"/>
      <c r="K94" s="46">
        <f>DATA!O95</f>
        <v>0</v>
      </c>
      <c r="L94" s="46">
        <f>DATA!Q95</f>
        <v>0</v>
      </c>
      <c r="M94" s="46">
        <f>DATA!R95</f>
        <v>0</v>
      </c>
      <c r="N94" s="46"/>
      <c r="O94" s="46"/>
      <c r="P94" s="46">
        <f>DATA!U95</f>
        <v>0</v>
      </c>
      <c r="Q94" s="46">
        <f>DATA!V95</f>
        <v>0</v>
      </c>
      <c r="R94" s="46">
        <f>DATA!W95</f>
        <v>0</v>
      </c>
      <c r="S94" s="47"/>
      <c r="V94" s="46">
        <f>DATA!C95</f>
        <v>0</v>
      </c>
      <c r="W94" s="46">
        <f>DATA!D95</f>
        <v>0</v>
      </c>
      <c r="X94" s="46">
        <f>DATA!F95</f>
        <v>0</v>
      </c>
      <c r="Y94" s="46">
        <f>DATA!G95</f>
        <v>0</v>
      </c>
      <c r="Z94" s="46">
        <f>DATA!H95</f>
        <v>0</v>
      </c>
      <c r="AA94" s="46">
        <f>DATA!I95</f>
        <v>0</v>
      </c>
      <c r="AB94" s="46"/>
      <c r="AC94" s="46"/>
      <c r="AD94" s="45">
        <f>DATA!L95</f>
        <v>0</v>
      </c>
      <c r="AE94" s="46"/>
      <c r="AF94" s="46">
        <f>DATA!O95</f>
        <v>0</v>
      </c>
      <c r="AG94" s="46">
        <f>DATA!Q95</f>
        <v>0</v>
      </c>
      <c r="AH94" s="46">
        <f>DATA!R95</f>
        <v>0</v>
      </c>
      <c r="AI94" s="46"/>
      <c r="AJ94" s="46"/>
      <c r="AK94" s="46">
        <f>DATA!U95</f>
        <v>0</v>
      </c>
      <c r="AL94" s="46">
        <f>DATA!V95</f>
        <v>0</v>
      </c>
      <c r="AM94" s="46">
        <f>DATA!W95</f>
        <v>0</v>
      </c>
      <c r="AN94" s="47"/>
    </row>
    <row r="95" spans="1:40" s="48" customFormat="1" ht="23.25" hidden="1" customHeight="1" x14ac:dyDescent="0.45">
      <c r="A95" s="46">
        <f>DATA!C96</f>
        <v>0</v>
      </c>
      <c r="B95" s="46">
        <f>DATA!D96</f>
        <v>0</v>
      </c>
      <c r="C95" s="46">
        <f>DATA!F96</f>
        <v>0</v>
      </c>
      <c r="D95" s="46">
        <f>DATA!G96</f>
        <v>0</v>
      </c>
      <c r="E95" s="46">
        <f>DATA!H96</f>
        <v>0</v>
      </c>
      <c r="F95" s="46">
        <f>DATA!I96</f>
        <v>0</v>
      </c>
      <c r="G95" s="46"/>
      <c r="H95" s="46"/>
      <c r="I95" s="45">
        <f>DATA!L96</f>
        <v>0</v>
      </c>
      <c r="J95" s="46"/>
      <c r="K95" s="46">
        <f>DATA!O96</f>
        <v>0</v>
      </c>
      <c r="L95" s="46">
        <f>DATA!Q96</f>
        <v>0</v>
      </c>
      <c r="M95" s="46">
        <f>DATA!R96</f>
        <v>0</v>
      </c>
      <c r="N95" s="46"/>
      <c r="O95" s="46"/>
      <c r="P95" s="46">
        <f>DATA!U96</f>
        <v>0</v>
      </c>
      <c r="Q95" s="46">
        <f>DATA!V96</f>
        <v>0</v>
      </c>
      <c r="R95" s="46">
        <f>DATA!W96</f>
        <v>0</v>
      </c>
      <c r="S95" s="47"/>
      <c r="V95" s="46">
        <f>DATA!C96</f>
        <v>0</v>
      </c>
      <c r="W95" s="46">
        <f>DATA!D96</f>
        <v>0</v>
      </c>
      <c r="X95" s="46">
        <f>DATA!F96</f>
        <v>0</v>
      </c>
      <c r="Y95" s="46">
        <f>DATA!G96</f>
        <v>0</v>
      </c>
      <c r="Z95" s="46">
        <f>DATA!H96</f>
        <v>0</v>
      </c>
      <c r="AA95" s="46">
        <f>DATA!I96</f>
        <v>0</v>
      </c>
      <c r="AB95" s="46"/>
      <c r="AC95" s="46"/>
      <c r="AD95" s="45">
        <f>DATA!L96</f>
        <v>0</v>
      </c>
      <c r="AE95" s="46"/>
      <c r="AF95" s="46">
        <f>DATA!O96</f>
        <v>0</v>
      </c>
      <c r="AG95" s="46">
        <f>DATA!Q96</f>
        <v>0</v>
      </c>
      <c r="AH95" s="46">
        <f>DATA!R96</f>
        <v>0</v>
      </c>
      <c r="AI95" s="46"/>
      <c r="AJ95" s="46"/>
      <c r="AK95" s="46">
        <f>DATA!U96</f>
        <v>0</v>
      </c>
      <c r="AL95" s="46">
        <f>DATA!V96</f>
        <v>0</v>
      </c>
      <c r="AM95" s="46">
        <f>DATA!W96</f>
        <v>0</v>
      </c>
      <c r="AN95" s="47"/>
    </row>
    <row r="96" spans="1:40" s="48" customFormat="1" ht="23.25" hidden="1" customHeight="1" x14ac:dyDescent="0.45">
      <c r="A96" s="46">
        <f>DATA!C97</f>
        <v>0</v>
      </c>
      <c r="B96" s="46">
        <f>DATA!D97</f>
        <v>0</v>
      </c>
      <c r="C96" s="46">
        <f>DATA!F97</f>
        <v>0</v>
      </c>
      <c r="D96" s="46">
        <f>DATA!G97</f>
        <v>0</v>
      </c>
      <c r="E96" s="46">
        <f>DATA!H97</f>
        <v>0</v>
      </c>
      <c r="F96" s="46">
        <f>DATA!I97</f>
        <v>0</v>
      </c>
      <c r="G96" s="46"/>
      <c r="H96" s="46"/>
      <c r="I96" s="45">
        <f>DATA!L97</f>
        <v>0</v>
      </c>
      <c r="J96" s="46"/>
      <c r="K96" s="46">
        <f>DATA!O97</f>
        <v>0</v>
      </c>
      <c r="L96" s="46">
        <f>DATA!Q97</f>
        <v>0</v>
      </c>
      <c r="M96" s="46">
        <f>DATA!R97</f>
        <v>0</v>
      </c>
      <c r="N96" s="46"/>
      <c r="O96" s="46"/>
      <c r="P96" s="46">
        <f>DATA!U97</f>
        <v>0</v>
      </c>
      <c r="Q96" s="46">
        <f>DATA!V97</f>
        <v>0</v>
      </c>
      <c r="R96" s="46">
        <f>DATA!W97</f>
        <v>0</v>
      </c>
      <c r="S96" s="47"/>
      <c r="V96" s="46">
        <f>DATA!C97</f>
        <v>0</v>
      </c>
      <c r="W96" s="46">
        <f>DATA!D97</f>
        <v>0</v>
      </c>
      <c r="X96" s="46">
        <f>DATA!F97</f>
        <v>0</v>
      </c>
      <c r="Y96" s="46">
        <f>DATA!G97</f>
        <v>0</v>
      </c>
      <c r="Z96" s="46">
        <f>DATA!H97</f>
        <v>0</v>
      </c>
      <c r="AA96" s="46">
        <f>DATA!I97</f>
        <v>0</v>
      </c>
      <c r="AB96" s="46"/>
      <c r="AC96" s="46"/>
      <c r="AD96" s="45">
        <f>DATA!L97</f>
        <v>0</v>
      </c>
      <c r="AE96" s="46"/>
      <c r="AF96" s="46">
        <f>DATA!O97</f>
        <v>0</v>
      </c>
      <c r="AG96" s="46">
        <f>DATA!Q97</f>
        <v>0</v>
      </c>
      <c r="AH96" s="46">
        <f>DATA!R97</f>
        <v>0</v>
      </c>
      <c r="AI96" s="46"/>
      <c r="AJ96" s="46"/>
      <c r="AK96" s="46">
        <f>DATA!U97</f>
        <v>0</v>
      </c>
      <c r="AL96" s="46">
        <f>DATA!V97</f>
        <v>0</v>
      </c>
      <c r="AM96" s="46">
        <f>DATA!W97</f>
        <v>0</v>
      </c>
      <c r="AN96" s="47"/>
    </row>
    <row r="97" spans="1:40" s="48" customFormat="1" ht="23.25" hidden="1" customHeight="1" x14ac:dyDescent="0.45">
      <c r="A97" s="46">
        <f>DATA!C98</f>
        <v>0</v>
      </c>
      <c r="B97" s="46">
        <f>DATA!D98</f>
        <v>0</v>
      </c>
      <c r="C97" s="46">
        <f>DATA!F98</f>
        <v>0</v>
      </c>
      <c r="D97" s="46">
        <f>DATA!G98</f>
        <v>0</v>
      </c>
      <c r="E97" s="46">
        <f>DATA!H98</f>
        <v>0</v>
      </c>
      <c r="F97" s="46">
        <f>DATA!I98</f>
        <v>0</v>
      </c>
      <c r="G97" s="46"/>
      <c r="H97" s="46"/>
      <c r="I97" s="45">
        <f>DATA!L98</f>
        <v>0</v>
      </c>
      <c r="J97" s="46"/>
      <c r="K97" s="46">
        <f>DATA!O98</f>
        <v>0</v>
      </c>
      <c r="L97" s="46">
        <f>DATA!Q98</f>
        <v>0</v>
      </c>
      <c r="M97" s="46">
        <f>DATA!R98</f>
        <v>0</v>
      </c>
      <c r="N97" s="46"/>
      <c r="O97" s="46"/>
      <c r="P97" s="46">
        <f>DATA!U98</f>
        <v>0</v>
      </c>
      <c r="Q97" s="46">
        <f>DATA!V98</f>
        <v>0</v>
      </c>
      <c r="R97" s="46">
        <f>DATA!W98</f>
        <v>0</v>
      </c>
      <c r="S97" s="47"/>
      <c r="V97" s="46">
        <f>DATA!C98</f>
        <v>0</v>
      </c>
      <c r="W97" s="46">
        <f>DATA!D98</f>
        <v>0</v>
      </c>
      <c r="X97" s="46">
        <f>DATA!F98</f>
        <v>0</v>
      </c>
      <c r="Y97" s="46">
        <f>DATA!G98</f>
        <v>0</v>
      </c>
      <c r="Z97" s="46">
        <f>DATA!H98</f>
        <v>0</v>
      </c>
      <c r="AA97" s="46">
        <f>DATA!I98</f>
        <v>0</v>
      </c>
      <c r="AB97" s="46"/>
      <c r="AC97" s="46"/>
      <c r="AD97" s="45">
        <f>DATA!L98</f>
        <v>0</v>
      </c>
      <c r="AE97" s="46"/>
      <c r="AF97" s="46">
        <f>DATA!O98</f>
        <v>0</v>
      </c>
      <c r="AG97" s="46">
        <f>DATA!Q98</f>
        <v>0</v>
      </c>
      <c r="AH97" s="46">
        <f>DATA!R98</f>
        <v>0</v>
      </c>
      <c r="AI97" s="46"/>
      <c r="AJ97" s="46"/>
      <c r="AK97" s="46">
        <f>DATA!U98</f>
        <v>0</v>
      </c>
      <c r="AL97" s="46">
        <f>DATA!V98</f>
        <v>0</v>
      </c>
      <c r="AM97" s="46">
        <f>DATA!W98</f>
        <v>0</v>
      </c>
      <c r="AN97" s="47"/>
    </row>
    <row r="98" spans="1:40" s="48" customFormat="1" ht="23.25" hidden="1" customHeight="1" x14ac:dyDescent="0.45">
      <c r="A98" s="46">
        <f>DATA!C99</f>
        <v>0</v>
      </c>
      <c r="B98" s="46">
        <f>DATA!D99</f>
        <v>0</v>
      </c>
      <c r="C98" s="46">
        <f>DATA!F99</f>
        <v>0</v>
      </c>
      <c r="D98" s="46">
        <f>DATA!G99</f>
        <v>0</v>
      </c>
      <c r="E98" s="46">
        <f>DATA!H99</f>
        <v>0</v>
      </c>
      <c r="F98" s="46">
        <f>DATA!I99</f>
        <v>0</v>
      </c>
      <c r="G98" s="46"/>
      <c r="H98" s="46"/>
      <c r="I98" s="45">
        <f>DATA!L99</f>
        <v>0</v>
      </c>
      <c r="J98" s="46"/>
      <c r="K98" s="46">
        <f>DATA!O99</f>
        <v>0</v>
      </c>
      <c r="L98" s="46">
        <f>DATA!Q99</f>
        <v>0</v>
      </c>
      <c r="M98" s="46">
        <f>DATA!R99</f>
        <v>0</v>
      </c>
      <c r="N98" s="46"/>
      <c r="O98" s="46"/>
      <c r="P98" s="46">
        <f>DATA!U99</f>
        <v>0</v>
      </c>
      <c r="Q98" s="46">
        <f>DATA!V99</f>
        <v>0</v>
      </c>
      <c r="R98" s="46">
        <f>DATA!W99</f>
        <v>0</v>
      </c>
      <c r="S98" s="47"/>
      <c r="V98" s="46">
        <f>DATA!C99</f>
        <v>0</v>
      </c>
      <c r="W98" s="46">
        <f>DATA!D99</f>
        <v>0</v>
      </c>
      <c r="X98" s="46">
        <f>DATA!F99</f>
        <v>0</v>
      </c>
      <c r="Y98" s="46">
        <f>DATA!G99</f>
        <v>0</v>
      </c>
      <c r="Z98" s="46">
        <f>DATA!H99</f>
        <v>0</v>
      </c>
      <c r="AA98" s="46">
        <f>DATA!I99</f>
        <v>0</v>
      </c>
      <c r="AB98" s="46"/>
      <c r="AC98" s="46"/>
      <c r="AD98" s="45">
        <f>DATA!L99</f>
        <v>0</v>
      </c>
      <c r="AE98" s="46"/>
      <c r="AF98" s="46">
        <f>DATA!O99</f>
        <v>0</v>
      </c>
      <c r="AG98" s="46">
        <f>DATA!Q99</f>
        <v>0</v>
      </c>
      <c r="AH98" s="46">
        <f>DATA!R99</f>
        <v>0</v>
      </c>
      <c r="AI98" s="46"/>
      <c r="AJ98" s="46"/>
      <c r="AK98" s="46">
        <f>DATA!U99</f>
        <v>0</v>
      </c>
      <c r="AL98" s="46">
        <f>DATA!V99</f>
        <v>0</v>
      </c>
      <c r="AM98" s="46">
        <f>DATA!W99</f>
        <v>0</v>
      </c>
      <c r="AN98" s="47"/>
    </row>
    <row r="99" spans="1:40" s="48" customFormat="1" ht="23.25" hidden="1" customHeight="1" x14ac:dyDescent="0.45">
      <c r="A99" s="46">
        <f>DATA!C100</f>
        <v>0</v>
      </c>
      <c r="B99" s="46">
        <f>DATA!D100</f>
        <v>0</v>
      </c>
      <c r="C99" s="46">
        <f>DATA!F100</f>
        <v>0</v>
      </c>
      <c r="D99" s="46">
        <f>DATA!G100</f>
        <v>0</v>
      </c>
      <c r="E99" s="46">
        <f>DATA!H100</f>
        <v>0</v>
      </c>
      <c r="F99" s="46">
        <f>DATA!I100</f>
        <v>0</v>
      </c>
      <c r="G99" s="46"/>
      <c r="H99" s="46"/>
      <c r="I99" s="45">
        <f>DATA!L100</f>
        <v>0</v>
      </c>
      <c r="J99" s="46"/>
      <c r="K99" s="46">
        <f>DATA!O100</f>
        <v>0</v>
      </c>
      <c r="L99" s="46">
        <f>DATA!Q100</f>
        <v>0</v>
      </c>
      <c r="M99" s="46">
        <f>DATA!R100</f>
        <v>0</v>
      </c>
      <c r="N99" s="46"/>
      <c r="O99" s="46"/>
      <c r="P99" s="46">
        <f>DATA!U100</f>
        <v>0</v>
      </c>
      <c r="Q99" s="46">
        <f>DATA!V100</f>
        <v>0</v>
      </c>
      <c r="R99" s="46">
        <f>DATA!W100</f>
        <v>0</v>
      </c>
      <c r="S99" s="47"/>
      <c r="V99" s="46">
        <f>DATA!C100</f>
        <v>0</v>
      </c>
      <c r="W99" s="46">
        <f>DATA!D100</f>
        <v>0</v>
      </c>
      <c r="X99" s="46">
        <f>DATA!F100</f>
        <v>0</v>
      </c>
      <c r="Y99" s="46">
        <f>DATA!G100</f>
        <v>0</v>
      </c>
      <c r="Z99" s="46">
        <f>DATA!H100</f>
        <v>0</v>
      </c>
      <c r="AA99" s="46">
        <f>DATA!I100</f>
        <v>0</v>
      </c>
      <c r="AB99" s="46"/>
      <c r="AC99" s="46"/>
      <c r="AD99" s="45">
        <f>DATA!L100</f>
        <v>0</v>
      </c>
      <c r="AE99" s="46"/>
      <c r="AF99" s="46">
        <f>DATA!O100</f>
        <v>0</v>
      </c>
      <c r="AG99" s="46">
        <f>DATA!Q100</f>
        <v>0</v>
      </c>
      <c r="AH99" s="46">
        <f>DATA!R100</f>
        <v>0</v>
      </c>
      <c r="AI99" s="46"/>
      <c r="AJ99" s="46"/>
      <c r="AK99" s="46">
        <f>DATA!U100</f>
        <v>0</v>
      </c>
      <c r="AL99" s="46">
        <f>DATA!V100</f>
        <v>0</v>
      </c>
      <c r="AM99" s="46">
        <f>DATA!W100</f>
        <v>0</v>
      </c>
      <c r="AN99" s="47"/>
    </row>
    <row r="100" spans="1:40" s="48" customFormat="1" ht="23.25" hidden="1" customHeight="1" x14ac:dyDescent="0.45">
      <c r="A100" s="46">
        <f>DATA!C101</f>
        <v>0</v>
      </c>
      <c r="B100" s="46">
        <f>DATA!D101</f>
        <v>0</v>
      </c>
      <c r="C100" s="46">
        <f>DATA!F101</f>
        <v>0</v>
      </c>
      <c r="D100" s="46">
        <f>DATA!G101</f>
        <v>0</v>
      </c>
      <c r="E100" s="46">
        <f>DATA!H101</f>
        <v>0</v>
      </c>
      <c r="F100" s="46">
        <f>DATA!I101</f>
        <v>0</v>
      </c>
      <c r="G100" s="46"/>
      <c r="H100" s="46"/>
      <c r="I100" s="45">
        <f>DATA!L101</f>
        <v>0</v>
      </c>
      <c r="J100" s="46"/>
      <c r="K100" s="46">
        <f>DATA!O101</f>
        <v>0</v>
      </c>
      <c r="L100" s="46">
        <f>DATA!Q101</f>
        <v>0</v>
      </c>
      <c r="M100" s="46">
        <f>DATA!R101</f>
        <v>0</v>
      </c>
      <c r="N100" s="46"/>
      <c r="O100" s="46"/>
      <c r="P100" s="46">
        <f>DATA!U101</f>
        <v>0</v>
      </c>
      <c r="Q100" s="46">
        <f>DATA!V101</f>
        <v>0</v>
      </c>
      <c r="R100" s="46">
        <f>DATA!W101</f>
        <v>0</v>
      </c>
      <c r="S100" s="47"/>
      <c r="V100" s="46">
        <f>DATA!C101</f>
        <v>0</v>
      </c>
      <c r="W100" s="46">
        <f>DATA!D101</f>
        <v>0</v>
      </c>
      <c r="X100" s="46">
        <f>DATA!F101</f>
        <v>0</v>
      </c>
      <c r="Y100" s="46">
        <f>DATA!G101</f>
        <v>0</v>
      </c>
      <c r="Z100" s="46">
        <f>DATA!H101</f>
        <v>0</v>
      </c>
      <c r="AA100" s="46">
        <f>DATA!I101</f>
        <v>0</v>
      </c>
      <c r="AB100" s="46"/>
      <c r="AC100" s="46"/>
      <c r="AD100" s="45">
        <f>DATA!L101</f>
        <v>0</v>
      </c>
      <c r="AE100" s="46"/>
      <c r="AF100" s="46">
        <f>DATA!O101</f>
        <v>0</v>
      </c>
      <c r="AG100" s="46">
        <f>DATA!Q101</f>
        <v>0</v>
      </c>
      <c r="AH100" s="46">
        <f>DATA!R101</f>
        <v>0</v>
      </c>
      <c r="AI100" s="46"/>
      <c r="AJ100" s="46"/>
      <c r="AK100" s="46">
        <f>DATA!U101</f>
        <v>0</v>
      </c>
      <c r="AL100" s="46">
        <f>DATA!V101</f>
        <v>0</v>
      </c>
      <c r="AM100" s="46">
        <f>DATA!W101</f>
        <v>0</v>
      </c>
      <c r="AN100" s="47"/>
    </row>
    <row r="101" spans="1:40" s="48" customFormat="1" ht="23.25" hidden="1" customHeight="1" x14ac:dyDescent="0.45">
      <c r="A101" s="46">
        <f>DATA!C102</f>
        <v>0</v>
      </c>
      <c r="B101" s="46">
        <f>DATA!D102</f>
        <v>0</v>
      </c>
      <c r="C101" s="46">
        <f>DATA!F102</f>
        <v>0</v>
      </c>
      <c r="D101" s="46">
        <f>DATA!G102</f>
        <v>0</v>
      </c>
      <c r="E101" s="46">
        <f>DATA!H102</f>
        <v>0</v>
      </c>
      <c r="F101" s="46">
        <f>DATA!I102</f>
        <v>0</v>
      </c>
      <c r="G101" s="46"/>
      <c r="H101" s="46"/>
      <c r="I101" s="45">
        <f>DATA!L102</f>
        <v>0</v>
      </c>
      <c r="J101" s="46"/>
      <c r="K101" s="46">
        <f>DATA!O102</f>
        <v>0</v>
      </c>
      <c r="L101" s="46">
        <f>DATA!Q102</f>
        <v>0</v>
      </c>
      <c r="M101" s="46">
        <f>DATA!R102</f>
        <v>0</v>
      </c>
      <c r="N101" s="46"/>
      <c r="O101" s="46"/>
      <c r="P101" s="46">
        <f>DATA!U102</f>
        <v>0</v>
      </c>
      <c r="Q101" s="46">
        <f>DATA!V102</f>
        <v>0</v>
      </c>
      <c r="R101" s="46">
        <f>DATA!W102</f>
        <v>0</v>
      </c>
      <c r="S101" s="47"/>
      <c r="V101" s="46">
        <f>DATA!C102</f>
        <v>0</v>
      </c>
      <c r="W101" s="46">
        <f>DATA!D102</f>
        <v>0</v>
      </c>
      <c r="X101" s="46">
        <f>DATA!F102</f>
        <v>0</v>
      </c>
      <c r="Y101" s="46">
        <f>DATA!G102</f>
        <v>0</v>
      </c>
      <c r="Z101" s="46">
        <f>DATA!H102</f>
        <v>0</v>
      </c>
      <c r="AA101" s="46">
        <f>DATA!I102</f>
        <v>0</v>
      </c>
      <c r="AB101" s="46"/>
      <c r="AC101" s="46"/>
      <c r="AD101" s="45">
        <f>DATA!L102</f>
        <v>0</v>
      </c>
      <c r="AE101" s="46"/>
      <c r="AF101" s="46">
        <f>DATA!O102</f>
        <v>0</v>
      </c>
      <c r="AG101" s="46">
        <f>DATA!Q102</f>
        <v>0</v>
      </c>
      <c r="AH101" s="46">
        <f>DATA!R102</f>
        <v>0</v>
      </c>
      <c r="AI101" s="46"/>
      <c r="AJ101" s="46"/>
      <c r="AK101" s="46">
        <f>DATA!U102</f>
        <v>0</v>
      </c>
      <c r="AL101" s="46">
        <f>DATA!V102</f>
        <v>0</v>
      </c>
      <c r="AM101" s="46">
        <f>DATA!W102</f>
        <v>0</v>
      </c>
      <c r="AN101" s="47"/>
    </row>
    <row r="102" spans="1:40" s="48" customFormat="1" ht="23.25" hidden="1" customHeight="1" x14ac:dyDescent="0.45">
      <c r="A102" s="46">
        <f>DATA!C103</f>
        <v>0</v>
      </c>
      <c r="B102" s="46">
        <f>DATA!D103</f>
        <v>0</v>
      </c>
      <c r="C102" s="46">
        <f>DATA!F103</f>
        <v>0</v>
      </c>
      <c r="D102" s="46">
        <f>DATA!G103</f>
        <v>0</v>
      </c>
      <c r="E102" s="46">
        <f>DATA!H103</f>
        <v>0</v>
      </c>
      <c r="F102" s="46">
        <f>DATA!I103</f>
        <v>0</v>
      </c>
      <c r="G102" s="46"/>
      <c r="H102" s="46"/>
      <c r="I102" s="45">
        <f>DATA!L103</f>
        <v>0</v>
      </c>
      <c r="J102" s="46"/>
      <c r="K102" s="46">
        <f>DATA!O103</f>
        <v>0</v>
      </c>
      <c r="L102" s="46">
        <f>DATA!Q103</f>
        <v>0</v>
      </c>
      <c r="M102" s="46">
        <f>DATA!R103</f>
        <v>0</v>
      </c>
      <c r="N102" s="46"/>
      <c r="O102" s="46"/>
      <c r="P102" s="46">
        <f>DATA!U103</f>
        <v>0</v>
      </c>
      <c r="Q102" s="46">
        <f>DATA!V103</f>
        <v>0</v>
      </c>
      <c r="R102" s="46">
        <f>DATA!W103</f>
        <v>0</v>
      </c>
      <c r="S102" s="47"/>
      <c r="V102" s="46">
        <f>DATA!C103</f>
        <v>0</v>
      </c>
      <c r="W102" s="46">
        <f>DATA!D103</f>
        <v>0</v>
      </c>
      <c r="X102" s="46">
        <f>DATA!F103</f>
        <v>0</v>
      </c>
      <c r="Y102" s="46">
        <f>DATA!G103</f>
        <v>0</v>
      </c>
      <c r="Z102" s="46">
        <f>DATA!H103</f>
        <v>0</v>
      </c>
      <c r="AA102" s="46">
        <f>DATA!I103</f>
        <v>0</v>
      </c>
      <c r="AB102" s="46"/>
      <c r="AC102" s="46"/>
      <c r="AD102" s="45">
        <f>DATA!L103</f>
        <v>0</v>
      </c>
      <c r="AE102" s="46"/>
      <c r="AF102" s="46">
        <f>DATA!O103</f>
        <v>0</v>
      </c>
      <c r="AG102" s="46">
        <f>DATA!Q103</f>
        <v>0</v>
      </c>
      <c r="AH102" s="46">
        <f>DATA!R103</f>
        <v>0</v>
      </c>
      <c r="AI102" s="46"/>
      <c r="AJ102" s="46"/>
      <c r="AK102" s="46">
        <f>DATA!U103</f>
        <v>0</v>
      </c>
      <c r="AL102" s="46">
        <f>DATA!V103</f>
        <v>0</v>
      </c>
      <c r="AM102" s="46">
        <f>DATA!W103</f>
        <v>0</v>
      </c>
      <c r="AN102" s="47"/>
    </row>
    <row r="103" spans="1:40" s="48" customFormat="1" ht="23.25" hidden="1" customHeight="1" x14ac:dyDescent="0.45">
      <c r="A103" s="46">
        <f>DATA!C104</f>
        <v>0</v>
      </c>
      <c r="B103" s="46">
        <f>DATA!D104</f>
        <v>0</v>
      </c>
      <c r="C103" s="46">
        <f>DATA!F104</f>
        <v>0</v>
      </c>
      <c r="D103" s="46">
        <f>DATA!G104</f>
        <v>0</v>
      </c>
      <c r="E103" s="46">
        <f>DATA!H104</f>
        <v>0</v>
      </c>
      <c r="F103" s="46">
        <f>DATA!I104</f>
        <v>0</v>
      </c>
      <c r="G103" s="46"/>
      <c r="H103" s="46"/>
      <c r="I103" s="45">
        <f>DATA!L104</f>
        <v>0</v>
      </c>
      <c r="J103" s="46"/>
      <c r="K103" s="46">
        <f>DATA!O104</f>
        <v>0</v>
      </c>
      <c r="L103" s="46">
        <f>DATA!Q104</f>
        <v>0</v>
      </c>
      <c r="M103" s="46">
        <f>DATA!R104</f>
        <v>0</v>
      </c>
      <c r="N103" s="46"/>
      <c r="O103" s="46"/>
      <c r="P103" s="46">
        <f>DATA!U104</f>
        <v>0</v>
      </c>
      <c r="Q103" s="46">
        <f>DATA!V104</f>
        <v>0</v>
      </c>
      <c r="R103" s="46">
        <f>DATA!W104</f>
        <v>0</v>
      </c>
      <c r="S103" s="47"/>
      <c r="V103" s="46">
        <f>DATA!C104</f>
        <v>0</v>
      </c>
      <c r="W103" s="46">
        <f>DATA!D104</f>
        <v>0</v>
      </c>
      <c r="X103" s="46">
        <f>DATA!F104</f>
        <v>0</v>
      </c>
      <c r="Y103" s="46">
        <f>DATA!G104</f>
        <v>0</v>
      </c>
      <c r="Z103" s="46">
        <f>DATA!H104</f>
        <v>0</v>
      </c>
      <c r="AA103" s="46">
        <f>DATA!I104</f>
        <v>0</v>
      </c>
      <c r="AB103" s="46"/>
      <c r="AC103" s="46"/>
      <c r="AD103" s="45">
        <f>DATA!L104</f>
        <v>0</v>
      </c>
      <c r="AE103" s="46"/>
      <c r="AF103" s="46">
        <f>DATA!O104</f>
        <v>0</v>
      </c>
      <c r="AG103" s="46">
        <f>DATA!Q104</f>
        <v>0</v>
      </c>
      <c r="AH103" s="46">
        <f>DATA!R104</f>
        <v>0</v>
      </c>
      <c r="AI103" s="46"/>
      <c r="AJ103" s="46"/>
      <c r="AK103" s="46">
        <f>DATA!U104</f>
        <v>0</v>
      </c>
      <c r="AL103" s="46">
        <f>DATA!V104</f>
        <v>0</v>
      </c>
      <c r="AM103" s="46">
        <f>DATA!W104</f>
        <v>0</v>
      </c>
      <c r="AN103" s="47"/>
    </row>
    <row r="104" spans="1:40" s="48" customFormat="1" ht="23.25" hidden="1" customHeight="1" x14ac:dyDescent="0.45">
      <c r="A104" s="46">
        <f>DATA!C105</f>
        <v>0</v>
      </c>
      <c r="B104" s="46">
        <f>DATA!D105</f>
        <v>0</v>
      </c>
      <c r="C104" s="46">
        <f>DATA!F105</f>
        <v>0</v>
      </c>
      <c r="D104" s="46">
        <f>DATA!G105</f>
        <v>0</v>
      </c>
      <c r="E104" s="46">
        <f>DATA!H105</f>
        <v>0</v>
      </c>
      <c r="F104" s="46">
        <f>DATA!I105</f>
        <v>0</v>
      </c>
      <c r="G104" s="46"/>
      <c r="H104" s="46"/>
      <c r="I104" s="45">
        <f>DATA!L105</f>
        <v>0</v>
      </c>
      <c r="J104" s="46"/>
      <c r="K104" s="46">
        <f>DATA!O105</f>
        <v>0</v>
      </c>
      <c r="L104" s="46">
        <f>DATA!Q105</f>
        <v>0</v>
      </c>
      <c r="M104" s="46">
        <f>DATA!R105</f>
        <v>0</v>
      </c>
      <c r="N104" s="46"/>
      <c r="O104" s="46"/>
      <c r="P104" s="46">
        <f>DATA!U105</f>
        <v>0</v>
      </c>
      <c r="Q104" s="46">
        <f>DATA!V105</f>
        <v>0</v>
      </c>
      <c r="R104" s="46">
        <f>DATA!W105</f>
        <v>0</v>
      </c>
      <c r="S104" s="47"/>
      <c r="V104" s="46">
        <f>DATA!C105</f>
        <v>0</v>
      </c>
      <c r="W104" s="46">
        <f>DATA!D105</f>
        <v>0</v>
      </c>
      <c r="X104" s="46">
        <f>DATA!F105</f>
        <v>0</v>
      </c>
      <c r="Y104" s="46">
        <f>DATA!G105</f>
        <v>0</v>
      </c>
      <c r="Z104" s="46">
        <f>DATA!H105</f>
        <v>0</v>
      </c>
      <c r="AA104" s="46">
        <f>DATA!I105</f>
        <v>0</v>
      </c>
      <c r="AB104" s="46"/>
      <c r="AC104" s="46"/>
      <c r="AD104" s="45">
        <f>DATA!L105</f>
        <v>0</v>
      </c>
      <c r="AE104" s="46"/>
      <c r="AF104" s="46">
        <f>DATA!O105</f>
        <v>0</v>
      </c>
      <c r="AG104" s="46">
        <f>DATA!Q105</f>
        <v>0</v>
      </c>
      <c r="AH104" s="46">
        <f>DATA!R105</f>
        <v>0</v>
      </c>
      <c r="AI104" s="46"/>
      <c r="AJ104" s="46"/>
      <c r="AK104" s="46">
        <f>DATA!U105</f>
        <v>0</v>
      </c>
      <c r="AL104" s="46">
        <f>DATA!V105</f>
        <v>0</v>
      </c>
      <c r="AM104" s="46">
        <f>DATA!W105</f>
        <v>0</v>
      </c>
      <c r="AN104" s="47"/>
    </row>
    <row r="105" spans="1:40" s="48" customFormat="1" ht="23.25" hidden="1" customHeight="1" x14ac:dyDescent="0.45">
      <c r="A105" s="46">
        <f>DATA!C106</f>
        <v>0</v>
      </c>
      <c r="B105" s="46">
        <f>DATA!D106</f>
        <v>0</v>
      </c>
      <c r="C105" s="46">
        <f>DATA!F106</f>
        <v>0</v>
      </c>
      <c r="D105" s="46">
        <f>DATA!G106</f>
        <v>0</v>
      </c>
      <c r="E105" s="46">
        <f>DATA!H106</f>
        <v>0</v>
      </c>
      <c r="F105" s="46">
        <f>DATA!I106</f>
        <v>0</v>
      </c>
      <c r="G105" s="46"/>
      <c r="H105" s="46"/>
      <c r="I105" s="45">
        <f>DATA!L106</f>
        <v>0</v>
      </c>
      <c r="J105" s="46"/>
      <c r="K105" s="46">
        <f>DATA!O106</f>
        <v>0</v>
      </c>
      <c r="L105" s="46">
        <f>DATA!Q106</f>
        <v>0</v>
      </c>
      <c r="M105" s="46">
        <f>DATA!R106</f>
        <v>0</v>
      </c>
      <c r="N105" s="46"/>
      <c r="O105" s="46"/>
      <c r="P105" s="46">
        <f>DATA!U106</f>
        <v>0</v>
      </c>
      <c r="Q105" s="46">
        <f>DATA!V106</f>
        <v>0</v>
      </c>
      <c r="R105" s="46">
        <f>DATA!W106</f>
        <v>0</v>
      </c>
      <c r="S105" s="47"/>
      <c r="V105" s="46">
        <f>DATA!C106</f>
        <v>0</v>
      </c>
      <c r="W105" s="46">
        <f>DATA!D106</f>
        <v>0</v>
      </c>
      <c r="X105" s="46">
        <f>DATA!F106</f>
        <v>0</v>
      </c>
      <c r="Y105" s="46">
        <f>DATA!G106</f>
        <v>0</v>
      </c>
      <c r="Z105" s="46">
        <f>DATA!H106</f>
        <v>0</v>
      </c>
      <c r="AA105" s="46">
        <f>DATA!I106</f>
        <v>0</v>
      </c>
      <c r="AB105" s="46"/>
      <c r="AC105" s="46"/>
      <c r="AD105" s="45">
        <f>DATA!L106</f>
        <v>0</v>
      </c>
      <c r="AE105" s="46"/>
      <c r="AF105" s="46">
        <f>DATA!O106</f>
        <v>0</v>
      </c>
      <c r="AG105" s="46">
        <f>DATA!Q106</f>
        <v>0</v>
      </c>
      <c r="AH105" s="46">
        <f>DATA!R106</f>
        <v>0</v>
      </c>
      <c r="AI105" s="46"/>
      <c r="AJ105" s="46"/>
      <c r="AK105" s="46">
        <f>DATA!U106</f>
        <v>0</v>
      </c>
      <c r="AL105" s="46">
        <f>DATA!V106</f>
        <v>0</v>
      </c>
      <c r="AM105" s="46">
        <f>DATA!W106</f>
        <v>0</v>
      </c>
      <c r="AN105" s="47"/>
    </row>
    <row r="106" spans="1:40" s="48" customFormat="1" ht="23.25" hidden="1" customHeight="1" x14ac:dyDescent="0.45">
      <c r="A106" s="46">
        <f>DATA!C107</f>
        <v>0</v>
      </c>
      <c r="B106" s="46">
        <f>DATA!D107</f>
        <v>0</v>
      </c>
      <c r="C106" s="46">
        <f>DATA!F107</f>
        <v>0</v>
      </c>
      <c r="D106" s="46">
        <f>DATA!G107</f>
        <v>0</v>
      </c>
      <c r="E106" s="46">
        <f>DATA!H107</f>
        <v>0</v>
      </c>
      <c r="F106" s="46">
        <f>DATA!I107</f>
        <v>0</v>
      </c>
      <c r="G106" s="46"/>
      <c r="H106" s="46"/>
      <c r="I106" s="45">
        <f>DATA!L107</f>
        <v>0</v>
      </c>
      <c r="J106" s="46"/>
      <c r="K106" s="46">
        <f>DATA!O107</f>
        <v>0</v>
      </c>
      <c r="L106" s="46">
        <f>DATA!Q107</f>
        <v>0</v>
      </c>
      <c r="M106" s="46">
        <f>DATA!R107</f>
        <v>0</v>
      </c>
      <c r="N106" s="46"/>
      <c r="O106" s="46"/>
      <c r="P106" s="46">
        <f>DATA!U107</f>
        <v>0</v>
      </c>
      <c r="Q106" s="46">
        <f>DATA!V107</f>
        <v>0</v>
      </c>
      <c r="R106" s="46">
        <f>DATA!W107</f>
        <v>0</v>
      </c>
      <c r="S106" s="47"/>
      <c r="V106" s="46">
        <f>DATA!C107</f>
        <v>0</v>
      </c>
      <c r="W106" s="46">
        <f>DATA!D107</f>
        <v>0</v>
      </c>
      <c r="X106" s="46">
        <f>DATA!F107</f>
        <v>0</v>
      </c>
      <c r="Y106" s="46">
        <f>DATA!G107</f>
        <v>0</v>
      </c>
      <c r="Z106" s="46">
        <f>DATA!H107</f>
        <v>0</v>
      </c>
      <c r="AA106" s="46">
        <f>DATA!I107</f>
        <v>0</v>
      </c>
      <c r="AB106" s="46"/>
      <c r="AC106" s="46"/>
      <c r="AD106" s="45">
        <f>DATA!L107</f>
        <v>0</v>
      </c>
      <c r="AE106" s="46"/>
      <c r="AF106" s="46">
        <f>DATA!O107</f>
        <v>0</v>
      </c>
      <c r="AG106" s="46">
        <f>DATA!Q107</f>
        <v>0</v>
      </c>
      <c r="AH106" s="46">
        <f>DATA!R107</f>
        <v>0</v>
      </c>
      <c r="AI106" s="46"/>
      <c r="AJ106" s="46"/>
      <c r="AK106" s="46">
        <f>DATA!U107</f>
        <v>0</v>
      </c>
      <c r="AL106" s="46">
        <f>DATA!V107</f>
        <v>0</v>
      </c>
      <c r="AM106" s="46">
        <f>DATA!W107</f>
        <v>0</v>
      </c>
      <c r="AN106" s="47"/>
    </row>
    <row r="107" spans="1:40" s="48" customFormat="1" ht="23.25" hidden="1" customHeight="1" x14ac:dyDescent="0.45">
      <c r="A107" s="46">
        <f>DATA!C108</f>
        <v>0</v>
      </c>
      <c r="B107" s="46">
        <f>DATA!D108</f>
        <v>0</v>
      </c>
      <c r="C107" s="46">
        <f>DATA!F108</f>
        <v>0</v>
      </c>
      <c r="D107" s="46">
        <f>DATA!G108</f>
        <v>0</v>
      </c>
      <c r="E107" s="46">
        <f>DATA!H108</f>
        <v>0</v>
      </c>
      <c r="F107" s="46">
        <f>DATA!I108</f>
        <v>0</v>
      </c>
      <c r="G107" s="46"/>
      <c r="H107" s="46"/>
      <c r="I107" s="45">
        <f>DATA!L108</f>
        <v>0</v>
      </c>
      <c r="J107" s="46"/>
      <c r="K107" s="46">
        <f>DATA!O108</f>
        <v>0</v>
      </c>
      <c r="L107" s="46">
        <f>DATA!Q108</f>
        <v>0</v>
      </c>
      <c r="M107" s="46">
        <f>DATA!R108</f>
        <v>0</v>
      </c>
      <c r="N107" s="46"/>
      <c r="O107" s="46"/>
      <c r="P107" s="46">
        <f>DATA!U108</f>
        <v>0</v>
      </c>
      <c r="Q107" s="46">
        <f>DATA!V108</f>
        <v>0</v>
      </c>
      <c r="R107" s="46">
        <f>DATA!W108</f>
        <v>0</v>
      </c>
      <c r="S107" s="47"/>
      <c r="V107" s="46">
        <f>DATA!C108</f>
        <v>0</v>
      </c>
      <c r="W107" s="46">
        <f>DATA!D108</f>
        <v>0</v>
      </c>
      <c r="X107" s="46">
        <f>DATA!F108</f>
        <v>0</v>
      </c>
      <c r="Y107" s="46">
        <f>DATA!G108</f>
        <v>0</v>
      </c>
      <c r="Z107" s="46">
        <f>DATA!H108</f>
        <v>0</v>
      </c>
      <c r="AA107" s="46">
        <f>DATA!I108</f>
        <v>0</v>
      </c>
      <c r="AB107" s="46"/>
      <c r="AC107" s="46"/>
      <c r="AD107" s="45">
        <f>DATA!L108</f>
        <v>0</v>
      </c>
      <c r="AE107" s="46"/>
      <c r="AF107" s="46">
        <f>DATA!O108</f>
        <v>0</v>
      </c>
      <c r="AG107" s="46">
        <f>DATA!Q108</f>
        <v>0</v>
      </c>
      <c r="AH107" s="46">
        <f>DATA!R108</f>
        <v>0</v>
      </c>
      <c r="AI107" s="46"/>
      <c r="AJ107" s="46"/>
      <c r="AK107" s="46">
        <f>DATA!U108</f>
        <v>0</v>
      </c>
      <c r="AL107" s="46">
        <f>DATA!V108</f>
        <v>0</v>
      </c>
      <c r="AM107" s="46">
        <f>DATA!W108</f>
        <v>0</v>
      </c>
      <c r="AN107" s="47"/>
    </row>
    <row r="108" spans="1:40" s="48" customFormat="1" ht="23.25" hidden="1" customHeight="1" x14ac:dyDescent="0.45">
      <c r="A108" s="46">
        <f>DATA!C109</f>
        <v>0</v>
      </c>
      <c r="B108" s="46">
        <f>DATA!D109</f>
        <v>0</v>
      </c>
      <c r="C108" s="46">
        <f>DATA!F109</f>
        <v>0</v>
      </c>
      <c r="D108" s="46">
        <f>DATA!G109</f>
        <v>0</v>
      </c>
      <c r="E108" s="46">
        <f>DATA!H109</f>
        <v>0</v>
      </c>
      <c r="F108" s="46">
        <f>DATA!I109</f>
        <v>0</v>
      </c>
      <c r="G108" s="46"/>
      <c r="H108" s="46"/>
      <c r="I108" s="45">
        <f>DATA!L109</f>
        <v>0</v>
      </c>
      <c r="J108" s="46"/>
      <c r="K108" s="46">
        <f>DATA!O109</f>
        <v>0</v>
      </c>
      <c r="L108" s="46">
        <f>DATA!Q109</f>
        <v>0</v>
      </c>
      <c r="M108" s="46">
        <f>DATA!R109</f>
        <v>0</v>
      </c>
      <c r="N108" s="46"/>
      <c r="O108" s="46"/>
      <c r="P108" s="46">
        <f>DATA!U109</f>
        <v>0</v>
      </c>
      <c r="Q108" s="46">
        <f>DATA!V109</f>
        <v>0</v>
      </c>
      <c r="R108" s="46">
        <f>DATA!W109</f>
        <v>0</v>
      </c>
      <c r="S108" s="47"/>
      <c r="V108" s="46">
        <f>DATA!C109</f>
        <v>0</v>
      </c>
      <c r="W108" s="46">
        <f>DATA!D109</f>
        <v>0</v>
      </c>
      <c r="X108" s="46">
        <f>DATA!F109</f>
        <v>0</v>
      </c>
      <c r="Y108" s="46">
        <f>DATA!G109</f>
        <v>0</v>
      </c>
      <c r="Z108" s="46">
        <f>DATA!H109</f>
        <v>0</v>
      </c>
      <c r="AA108" s="46">
        <f>DATA!I109</f>
        <v>0</v>
      </c>
      <c r="AB108" s="46"/>
      <c r="AC108" s="46"/>
      <c r="AD108" s="45">
        <f>DATA!L109</f>
        <v>0</v>
      </c>
      <c r="AE108" s="46"/>
      <c r="AF108" s="46">
        <f>DATA!O109</f>
        <v>0</v>
      </c>
      <c r="AG108" s="46">
        <f>DATA!Q109</f>
        <v>0</v>
      </c>
      <c r="AH108" s="46">
        <f>DATA!R109</f>
        <v>0</v>
      </c>
      <c r="AI108" s="46"/>
      <c r="AJ108" s="46"/>
      <c r="AK108" s="46">
        <f>DATA!U109</f>
        <v>0</v>
      </c>
      <c r="AL108" s="46">
        <f>DATA!V109</f>
        <v>0</v>
      </c>
      <c r="AM108" s="46">
        <f>DATA!W109</f>
        <v>0</v>
      </c>
      <c r="AN108" s="47"/>
    </row>
    <row r="109" spans="1:40" s="48" customFormat="1" ht="23.25" hidden="1" customHeight="1" x14ac:dyDescent="0.45">
      <c r="A109" s="46">
        <f>DATA!C110</f>
        <v>0</v>
      </c>
      <c r="B109" s="46">
        <f>DATA!D110</f>
        <v>0</v>
      </c>
      <c r="C109" s="46">
        <f>DATA!F110</f>
        <v>0</v>
      </c>
      <c r="D109" s="46">
        <f>DATA!G110</f>
        <v>0</v>
      </c>
      <c r="E109" s="46">
        <f>DATA!H110</f>
        <v>0</v>
      </c>
      <c r="F109" s="46">
        <f>DATA!I110</f>
        <v>0</v>
      </c>
      <c r="G109" s="46"/>
      <c r="H109" s="46"/>
      <c r="I109" s="45">
        <f>DATA!L110</f>
        <v>0</v>
      </c>
      <c r="J109" s="46"/>
      <c r="K109" s="46">
        <f>DATA!O110</f>
        <v>0</v>
      </c>
      <c r="L109" s="46">
        <f>DATA!Q110</f>
        <v>0</v>
      </c>
      <c r="M109" s="46">
        <f>DATA!R110</f>
        <v>0</v>
      </c>
      <c r="N109" s="46"/>
      <c r="O109" s="46"/>
      <c r="P109" s="46">
        <f>DATA!U110</f>
        <v>0</v>
      </c>
      <c r="Q109" s="46">
        <f>DATA!V110</f>
        <v>0</v>
      </c>
      <c r="R109" s="46">
        <f>DATA!W110</f>
        <v>0</v>
      </c>
      <c r="S109" s="47"/>
      <c r="V109" s="46">
        <f>DATA!C110</f>
        <v>0</v>
      </c>
      <c r="W109" s="46">
        <f>DATA!D110</f>
        <v>0</v>
      </c>
      <c r="X109" s="46">
        <f>DATA!F110</f>
        <v>0</v>
      </c>
      <c r="Y109" s="46">
        <f>DATA!G110</f>
        <v>0</v>
      </c>
      <c r="Z109" s="46">
        <f>DATA!H110</f>
        <v>0</v>
      </c>
      <c r="AA109" s="46">
        <f>DATA!I110</f>
        <v>0</v>
      </c>
      <c r="AB109" s="46"/>
      <c r="AC109" s="46"/>
      <c r="AD109" s="45">
        <f>DATA!L110</f>
        <v>0</v>
      </c>
      <c r="AE109" s="46"/>
      <c r="AF109" s="46">
        <f>DATA!O110</f>
        <v>0</v>
      </c>
      <c r="AG109" s="46">
        <f>DATA!Q110</f>
        <v>0</v>
      </c>
      <c r="AH109" s="46">
        <f>DATA!R110</f>
        <v>0</v>
      </c>
      <c r="AI109" s="46"/>
      <c r="AJ109" s="46"/>
      <c r="AK109" s="46">
        <f>DATA!U110</f>
        <v>0</v>
      </c>
      <c r="AL109" s="46">
        <f>DATA!V110</f>
        <v>0</v>
      </c>
      <c r="AM109" s="46">
        <f>DATA!W110</f>
        <v>0</v>
      </c>
      <c r="AN109" s="47"/>
    </row>
    <row r="110" spans="1:40" s="48" customFormat="1" ht="23.25" hidden="1" customHeight="1" x14ac:dyDescent="0.45">
      <c r="A110" s="46">
        <f>DATA!C111</f>
        <v>0</v>
      </c>
      <c r="B110" s="46">
        <f>DATA!D111</f>
        <v>0</v>
      </c>
      <c r="C110" s="46">
        <f>DATA!F111</f>
        <v>0</v>
      </c>
      <c r="D110" s="46">
        <f>DATA!G111</f>
        <v>0</v>
      </c>
      <c r="E110" s="46">
        <f>DATA!H111</f>
        <v>0</v>
      </c>
      <c r="F110" s="46">
        <f>DATA!I111</f>
        <v>0</v>
      </c>
      <c r="G110" s="46"/>
      <c r="H110" s="46"/>
      <c r="I110" s="45">
        <f>DATA!L111</f>
        <v>0</v>
      </c>
      <c r="J110" s="46"/>
      <c r="K110" s="46">
        <f>DATA!O111</f>
        <v>0</v>
      </c>
      <c r="L110" s="46">
        <f>DATA!Q111</f>
        <v>0</v>
      </c>
      <c r="M110" s="46">
        <f>DATA!R111</f>
        <v>0</v>
      </c>
      <c r="N110" s="46"/>
      <c r="O110" s="46"/>
      <c r="P110" s="46">
        <f>DATA!U111</f>
        <v>0</v>
      </c>
      <c r="Q110" s="46">
        <f>DATA!V111</f>
        <v>0</v>
      </c>
      <c r="R110" s="46">
        <f>DATA!W111</f>
        <v>0</v>
      </c>
      <c r="S110" s="47"/>
      <c r="V110" s="46">
        <f>DATA!C111</f>
        <v>0</v>
      </c>
      <c r="W110" s="46">
        <f>DATA!D111</f>
        <v>0</v>
      </c>
      <c r="X110" s="46">
        <f>DATA!F111</f>
        <v>0</v>
      </c>
      <c r="Y110" s="46">
        <f>DATA!G111</f>
        <v>0</v>
      </c>
      <c r="Z110" s="46">
        <f>DATA!H111</f>
        <v>0</v>
      </c>
      <c r="AA110" s="46">
        <f>DATA!I111</f>
        <v>0</v>
      </c>
      <c r="AB110" s="46"/>
      <c r="AC110" s="46"/>
      <c r="AD110" s="45">
        <f>DATA!L111</f>
        <v>0</v>
      </c>
      <c r="AE110" s="46"/>
      <c r="AF110" s="46">
        <f>DATA!O111</f>
        <v>0</v>
      </c>
      <c r="AG110" s="46">
        <f>DATA!Q111</f>
        <v>0</v>
      </c>
      <c r="AH110" s="46">
        <f>DATA!R111</f>
        <v>0</v>
      </c>
      <c r="AI110" s="46"/>
      <c r="AJ110" s="46"/>
      <c r="AK110" s="46">
        <f>DATA!U111</f>
        <v>0</v>
      </c>
      <c r="AL110" s="46">
        <f>DATA!V111</f>
        <v>0</v>
      </c>
      <c r="AM110" s="46">
        <f>DATA!W111</f>
        <v>0</v>
      </c>
      <c r="AN110" s="47"/>
    </row>
    <row r="111" spans="1:40" s="48" customFormat="1" ht="23.25" hidden="1" customHeight="1" x14ac:dyDescent="0.45">
      <c r="A111" s="46">
        <f>DATA!C112</f>
        <v>0</v>
      </c>
      <c r="B111" s="46">
        <f>DATA!D112</f>
        <v>0</v>
      </c>
      <c r="C111" s="46">
        <f>DATA!F112</f>
        <v>0</v>
      </c>
      <c r="D111" s="46">
        <f>DATA!G112</f>
        <v>0</v>
      </c>
      <c r="E111" s="46">
        <f>DATA!H112</f>
        <v>0</v>
      </c>
      <c r="F111" s="46">
        <f>DATA!I112</f>
        <v>0</v>
      </c>
      <c r="G111" s="46"/>
      <c r="H111" s="46"/>
      <c r="I111" s="45">
        <f>DATA!L112</f>
        <v>0</v>
      </c>
      <c r="J111" s="46"/>
      <c r="K111" s="46">
        <f>DATA!O112</f>
        <v>0</v>
      </c>
      <c r="L111" s="46">
        <f>DATA!Q112</f>
        <v>0</v>
      </c>
      <c r="M111" s="46">
        <f>DATA!R112</f>
        <v>0</v>
      </c>
      <c r="N111" s="46"/>
      <c r="O111" s="46"/>
      <c r="P111" s="46">
        <f>DATA!U112</f>
        <v>0</v>
      </c>
      <c r="Q111" s="46">
        <f>DATA!V112</f>
        <v>0</v>
      </c>
      <c r="R111" s="46">
        <f>DATA!W112</f>
        <v>0</v>
      </c>
      <c r="S111" s="47"/>
      <c r="V111" s="46">
        <f>DATA!C112</f>
        <v>0</v>
      </c>
      <c r="W111" s="46">
        <f>DATA!D112</f>
        <v>0</v>
      </c>
      <c r="X111" s="46">
        <f>DATA!F112</f>
        <v>0</v>
      </c>
      <c r="Y111" s="46">
        <f>DATA!G112</f>
        <v>0</v>
      </c>
      <c r="Z111" s="46">
        <f>DATA!H112</f>
        <v>0</v>
      </c>
      <c r="AA111" s="46">
        <f>DATA!I112</f>
        <v>0</v>
      </c>
      <c r="AB111" s="46"/>
      <c r="AC111" s="46"/>
      <c r="AD111" s="45">
        <f>DATA!L112</f>
        <v>0</v>
      </c>
      <c r="AE111" s="46"/>
      <c r="AF111" s="46">
        <f>DATA!O112</f>
        <v>0</v>
      </c>
      <c r="AG111" s="46">
        <f>DATA!Q112</f>
        <v>0</v>
      </c>
      <c r="AH111" s="46">
        <f>DATA!R112</f>
        <v>0</v>
      </c>
      <c r="AI111" s="46"/>
      <c r="AJ111" s="46"/>
      <c r="AK111" s="46">
        <f>DATA!U112</f>
        <v>0</v>
      </c>
      <c r="AL111" s="46">
        <f>DATA!V112</f>
        <v>0</v>
      </c>
      <c r="AM111" s="46">
        <f>DATA!W112</f>
        <v>0</v>
      </c>
      <c r="AN111" s="47"/>
    </row>
    <row r="112" spans="1:40" s="48" customFormat="1" ht="23.25" hidden="1" customHeight="1" x14ac:dyDescent="0.45">
      <c r="A112" s="46">
        <f>DATA!C113</f>
        <v>0</v>
      </c>
      <c r="B112" s="46">
        <f>DATA!D113</f>
        <v>0</v>
      </c>
      <c r="C112" s="46">
        <f>DATA!F113</f>
        <v>0</v>
      </c>
      <c r="D112" s="46">
        <f>DATA!G113</f>
        <v>0</v>
      </c>
      <c r="E112" s="46">
        <f>DATA!H113</f>
        <v>0</v>
      </c>
      <c r="F112" s="46">
        <f>DATA!I113</f>
        <v>0</v>
      </c>
      <c r="G112" s="46"/>
      <c r="H112" s="46"/>
      <c r="I112" s="45">
        <f>DATA!L113</f>
        <v>0</v>
      </c>
      <c r="J112" s="46"/>
      <c r="K112" s="46">
        <f>DATA!O113</f>
        <v>0</v>
      </c>
      <c r="L112" s="46">
        <f>DATA!Q113</f>
        <v>0</v>
      </c>
      <c r="M112" s="46">
        <f>DATA!R113</f>
        <v>0</v>
      </c>
      <c r="N112" s="46"/>
      <c r="O112" s="46"/>
      <c r="P112" s="46">
        <f>DATA!U113</f>
        <v>0</v>
      </c>
      <c r="Q112" s="46">
        <f>DATA!V113</f>
        <v>0</v>
      </c>
      <c r="R112" s="46">
        <f>DATA!W113</f>
        <v>0</v>
      </c>
      <c r="S112" s="47"/>
      <c r="V112" s="46">
        <f>DATA!C113</f>
        <v>0</v>
      </c>
      <c r="W112" s="46">
        <f>DATA!D113</f>
        <v>0</v>
      </c>
      <c r="X112" s="46">
        <f>DATA!F113</f>
        <v>0</v>
      </c>
      <c r="Y112" s="46">
        <f>DATA!G113</f>
        <v>0</v>
      </c>
      <c r="Z112" s="46">
        <f>DATA!H113</f>
        <v>0</v>
      </c>
      <c r="AA112" s="46">
        <f>DATA!I113</f>
        <v>0</v>
      </c>
      <c r="AB112" s="46"/>
      <c r="AC112" s="46"/>
      <c r="AD112" s="45">
        <f>DATA!L113</f>
        <v>0</v>
      </c>
      <c r="AE112" s="46"/>
      <c r="AF112" s="46">
        <f>DATA!O113</f>
        <v>0</v>
      </c>
      <c r="AG112" s="46">
        <f>DATA!Q113</f>
        <v>0</v>
      </c>
      <c r="AH112" s="46">
        <f>DATA!R113</f>
        <v>0</v>
      </c>
      <c r="AI112" s="46"/>
      <c r="AJ112" s="46"/>
      <c r="AK112" s="46">
        <f>DATA!U113</f>
        <v>0</v>
      </c>
      <c r="AL112" s="46">
        <f>DATA!V113</f>
        <v>0</v>
      </c>
      <c r="AM112" s="46">
        <f>DATA!W113</f>
        <v>0</v>
      </c>
      <c r="AN112" s="47"/>
    </row>
    <row r="113" spans="1:40" s="48" customFormat="1" ht="23.25" hidden="1" customHeight="1" x14ac:dyDescent="0.45">
      <c r="A113" s="46">
        <f>DATA!C114</f>
        <v>0</v>
      </c>
      <c r="B113" s="46">
        <f>DATA!D114</f>
        <v>0</v>
      </c>
      <c r="C113" s="46">
        <f>DATA!F114</f>
        <v>0</v>
      </c>
      <c r="D113" s="46">
        <f>DATA!G114</f>
        <v>0</v>
      </c>
      <c r="E113" s="46">
        <f>DATA!H114</f>
        <v>0</v>
      </c>
      <c r="F113" s="46">
        <f>DATA!I114</f>
        <v>0</v>
      </c>
      <c r="G113" s="46"/>
      <c r="H113" s="46"/>
      <c r="I113" s="45">
        <f>DATA!L114</f>
        <v>0</v>
      </c>
      <c r="J113" s="46"/>
      <c r="K113" s="46">
        <f>DATA!O114</f>
        <v>0</v>
      </c>
      <c r="L113" s="46">
        <f>DATA!Q114</f>
        <v>0</v>
      </c>
      <c r="M113" s="46">
        <f>DATA!R114</f>
        <v>0</v>
      </c>
      <c r="N113" s="46"/>
      <c r="O113" s="46"/>
      <c r="P113" s="46">
        <f>DATA!U114</f>
        <v>0</v>
      </c>
      <c r="Q113" s="46">
        <f>DATA!V114</f>
        <v>0</v>
      </c>
      <c r="R113" s="46">
        <f>DATA!W114</f>
        <v>0</v>
      </c>
      <c r="S113" s="47"/>
      <c r="V113" s="46">
        <f>DATA!C114</f>
        <v>0</v>
      </c>
      <c r="W113" s="46">
        <f>DATA!D114</f>
        <v>0</v>
      </c>
      <c r="X113" s="46">
        <f>DATA!F114</f>
        <v>0</v>
      </c>
      <c r="Y113" s="46">
        <f>DATA!G114</f>
        <v>0</v>
      </c>
      <c r="Z113" s="46">
        <f>DATA!H114</f>
        <v>0</v>
      </c>
      <c r="AA113" s="46">
        <f>DATA!I114</f>
        <v>0</v>
      </c>
      <c r="AB113" s="46"/>
      <c r="AC113" s="46"/>
      <c r="AD113" s="45">
        <f>DATA!L114</f>
        <v>0</v>
      </c>
      <c r="AE113" s="46"/>
      <c r="AF113" s="46">
        <f>DATA!O114</f>
        <v>0</v>
      </c>
      <c r="AG113" s="46">
        <f>DATA!Q114</f>
        <v>0</v>
      </c>
      <c r="AH113" s="46">
        <f>DATA!R114</f>
        <v>0</v>
      </c>
      <c r="AI113" s="46"/>
      <c r="AJ113" s="46"/>
      <c r="AK113" s="46">
        <f>DATA!U114</f>
        <v>0</v>
      </c>
      <c r="AL113" s="46">
        <f>DATA!V114</f>
        <v>0</v>
      </c>
      <c r="AM113" s="46">
        <f>DATA!W114</f>
        <v>0</v>
      </c>
      <c r="AN113" s="47"/>
    </row>
    <row r="114" spans="1:40" s="48" customFormat="1" ht="23.25" hidden="1" customHeight="1" x14ac:dyDescent="0.45">
      <c r="A114" s="46">
        <f>DATA!C115</f>
        <v>0</v>
      </c>
      <c r="B114" s="46">
        <f>DATA!D115</f>
        <v>0</v>
      </c>
      <c r="C114" s="46">
        <f>DATA!F115</f>
        <v>0</v>
      </c>
      <c r="D114" s="46">
        <f>DATA!G115</f>
        <v>0</v>
      </c>
      <c r="E114" s="46">
        <f>DATA!H115</f>
        <v>0</v>
      </c>
      <c r="F114" s="46">
        <f>DATA!I115</f>
        <v>0</v>
      </c>
      <c r="G114" s="46"/>
      <c r="H114" s="46"/>
      <c r="I114" s="45">
        <f>DATA!L115</f>
        <v>0</v>
      </c>
      <c r="J114" s="46"/>
      <c r="K114" s="46">
        <f>DATA!O115</f>
        <v>0</v>
      </c>
      <c r="L114" s="46">
        <f>DATA!Q115</f>
        <v>0</v>
      </c>
      <c r="M114" s="46">
        <f>DATA!R115</f>
        <v>0</v>
      </c>
      <c r="N114" s="46"/>
      <c r="O114" s="46"/>
      <c r="P114" s="46">
        <f>DATA!U115</f>
        <v>0</v>
      </c>
      <c r="Q114" s="46">
        <f>DATA!V115</f>
        <v>0</v>
      </c>
      <c r="R114" s="46">
        <f>DATA!W115</f>
        <v>0</v>
      </c>
      <c r="S114" s="47"/>
      <c r="V114" s="46">
        <f>DATA!C115</f>
        <v>0</v>
      </c>
      <c r="W114" s="46">
        <f>DATA!D115</f>
        <v>0</v>
      </c>
      <c r="X114" s="46">
        <f>DATA!F115</f>
        <v>0</v>
      </c>
      <c r="Y114" s="46">
        <f>DATA!G115</f>
        <v>0</v>
      </c>
      <c r="Z114" s="46">
        <f>DATA!H115</f>
        <v>0</v>
      </c>
      <c r="AA114" s="46">
        <f>DATA!I115</f>
        <v>0</v>
      </c>
      <c r="AB114" s="46"/>
      <c r="AC114" s="46"/>
      <c r="AD114" s="45">
        <f>DATA!L115</f>
        <v>0</v>
      </c>
      <c r="AE114" s="46"/>
      <c r="AF114" s="46">
        <f>DATA!O115</f>
        <v>0</v>
      </c>
      <c r="AG114" s="46">
        <f>DATA!Q115</f>
        <v>0</v>
      </c>
      <c r="AH114" s="46">
        <f>DATA!R115</f>
        <v>0</v>
      </c>
      <c r="AI114" s="46"/>
      <c r="AJ114" s="46"/>
      <c r="AK114" s="46">
        <f>DATA!U115</f>
        <v>0</v>
      </c>
      <c r="AL114" s="46">
        <f>DATA!V115</f>
        <v>0</v>
      </c>
      <c r="AM114" s="46">
        <f>DATA!W115</f>
        <v>0</v>
      </c>
      <c r="AN114" s="47"/>
    </row>
    <row r="115" spans="1:40" s="48" customFormat="1" ht="23.25" hidden="1" customHeight="1" x14ac:dyDescent="0.45">
      <c r="A115" s="46">
        <f>DATA!C116</f>
        <v>0</v>
      </c>
      <c r="B115" s="46">
        <f>DATA!D116</f>
        <v>0</v>
      </c>
      <c r="C115" s="46">
        <f>DATA!F116</f>
        <v>0</v>
      </c>
      <c r="D115" s="46">
        <f>DATA!G116</f>
        <v>0</v>
      </c>
      <c r="E115" s="46">
        <f>DATA!H116</f>
        <v>0</v>
      </c>
      <c r="F115" s="46">
        <f>DATA!I116</f>
        <v>0</v>
      </c>
      <c r="G115" s="46"/>
      <c r="H115" s="46"/>
      <c r="I115" s="45">
        <f>DATA!L116</f>
        <v>0</v>
      </c>
      <c r="J115" s="46"/>
      <c r="K115" s="46">
        <f>DATA!O116</f>
        <v>0</v>
      </c>
      <c r="L115" s="46">
        <f>DATA!Q116</f>
        <v>0</v>
      </c>
      <c r="M115" s="46">
        <f>DATA!R116</f>
        <v>0</v>
      </c>
      <c r="N115" s="46"/>
      <c r="O115" s="46"/>
      <c r="P115" s="46">
        <f>DATA!U116</f>
        <v>0</v>
      </c>
      <c r="Q115" s="46">
        <f>DATA!V116</f>
        <v>0</v>
      </c>
      <c r="R115" s="46">
        <f>DATA!W116</f>
        <v>0</v>
      </c>
      <c r="S115" s="47"/>
      <c r="V115" s="46">
        <f>DATA!C116</f>
        <v>0</v>
      </c>
      <c r="W115" s="46">
        <f>DATA!D116</f>
        <v>0</v>
      </c>
      <c r="X115" s="46">
        <f>DATA!F116</f>
        <v>0</v>
      </c>
      <c r="Y115" s="46">
        <f>DATA!G116</f>
        <v>0</v>
      </c>
      <c r="Z115" s="46">
        <f>DATA!H116</f>
        <v>0</v>
      </c>
      <c r="AA115" s="46">
        <f>DATA!I116</f>
        <v>0</v>
      </c>
      <c r="AB115" s="46"/>
      <c r="AC115" s="46"/>
      <c r="AD115" s="45">
        <f>DATA!L116</f>
        <v>0</v>
      </c>
      <c r="AE115" s="46"/>
      <c r="AF115" s="46">
        <f>DATA!O116</f>
        <v>0</v>
      </c>
      <c r="AG115" s="46">
        <f>DATA!Q116</f>
        <v>0</v>
      </c>
      <c r="AH115" s="46">
        <f>DATA!R116</f>
        <v>0</v>
      </c>
      <c r="AI115" s="46"/>
      <c r="AJ115" s="46"/>
      <c r="AK115" s="46">
        <f>DATA!U116</f>
        <v>0</v>
      </c>
      <c r="AL115" s="46">
        <f>DATA!V116</f>
        <v>0</v>
      </c>
      <c r="AM115" s="46">
        <f>DATA!W116</f>
        <v>0</v>
      </c>
      <c r="AN115" s="47"/>
    </row>
    <row r="116" spans="1:40" s="48" customFormat="1" ht="23.25" hidden="1" customHeight="1" x14ac:dyDescent="0.45">
      <c r="A116" s="46">
        <f>DATA!C117</f>
        <v>0</v>
      </c>
      <c r="B116" s="46">
        <f>DATA!D117</f>
        <v>0</v>
      </c>
      <c r="C116" s="46">
        <f>DATA!F117</f>
        <v>0</v>
      </c>
      <c r="D116" s="46">
        <f>DATA!G117</f>
        <v>0</v>
      </c>
      <c r="E116" s="46">
        <f>DATA!H117</f>
        <v>0</v>
      </c>
      <c r="F116" s="46">
        <f>DATA!I117</f>
        <v>0</v>
      </c>
      <c r="G116" s="46"/>
      <c r="H116" s="46"/>
      <c r="I116" s="45">
        <f>DATA!L117</f>
        <v>0</v>
      </c>
      <c r="J116" s="46"/>
      <c r="K116" s="46">
        <f>DATA!O117</f>
        <v>0</v>
      </c>
      <c r="L116" s="46">
        <f>DATA!Q117</f>
        <v>0</v>
      </c>
      <c r="M116" s="46">
        <f>DATA!R117</f>
        <v>0</v>
      </c>
      <c r="N116" s="46"/>
      <c r="O116" s="46"/>
      <c r="P116" s="46">
        <f>DATA!U117</f>
        <v>0</v>
      </c>
      <c r="Q116" s="46">
        <f>DATA!V117</f>
        <v>0</v>
      </c>
      <c r="R116" s="46">
        <f>DATA!W117</f>
        <v>0</v>
      </c>
      <c r="S116" s="47"/>
      <c r="V116" s="46">
        <f>DATA!C117</f>
        <v>0</v>
      </c>
      <c r="W116" s="46">
        <f>DATA!D117</f>
        <v>0</v>
      </c>
      <c r="X116" s="46">
        <f>DATA!F117</f>
        <v>0</v>
      </c>
      <c r="Y116" s="46">
        <f>DATA!G117</f>
        <v>0</v>
      </c>
      <c r="Z116" s="46">
        <f>DATA!H117</f>
        <v>0</v>
      </c>
      <c r="AA116" s="46">
        <f>DATA!I117</f>
        <v>0</v>
      </c>
      <c r="AB116" s="46"/>
      <c r="AC116" s="46"/>
      <c r="AD116" s="45">
        <f>DATA!L117</f>
        <v>0</v>
      </c>
      <c r="AE116" s="46"/>
      <c r="AF116" s="46">
        <f>DATA!O117</f>
        <v>0</v>
      </c>
      <c r="AG116" s="46">
        <f>DATA!Q117</f>
        <v>0</v>
      </c>
      <c r="AH116" s="46">
        <f>DATA!R117</f>
        <v>0</v>
      </c>
      <c r="AI116" s="46"/>
      <c r="AJ116" s="46"/>
      <c r="AK116" s="46">
        <f>DATA!U117</f>
        <v>0</v>
      </c>
      <c r="AL116" s="46">
        <f>DATA!V117</f>
        <v>0</v>
      </c>
      <c r="AM116" s="46">
        <f>DATA!W117</f>
        <v>0</v>
      </c>
      <c r="AN116" s="47"/>
    </row>
    <row r="117" spans="1:40" s="48" customFormat="1" ht="23.25" hidden="1" customHeight="1" x14ac:dyDescent="0.45">
      <c r="A117" s="46">
        <f>DATA!C118</f>
        <v>0</v>
      </c>
      <c r="B117" s="46">
        <f>DATA!D118</f>
        <v>0</v>
      </c>
      <c r="C117" s="46">
        <f>DATA!F118</f>
        <v>0</v>
      </c>
      <c r="D117" s="46">
        <f>DATA!G118</f>
        <v>0</v>
      </c>
      <c r="E117" s="46">
        <f>DATA!H118</f>
        <v>0</v>
      </c>
      <c r="F117" s="46">
        <f>DATA!I118</f>
        <v>0</v>
      </c>
      <c r="G117" s="46"/>
      <c r="H117" s="46"/>
      <c r="I117" s="45">
        <f>DATA!L118</f>
        <v>0</v>
      </c>
      <c r="J117" s="46"/>
      <c r="K117" s="46">
        <f>DATA!O118</f>
        <v>0</v>
      </c>
      <c r="L117" s="46">
        <f>DATA!Q118</f>
        <v>0</v>
      </c>
      <c r="M117" s="46">
        <f>DATA!R118</f>
        <v>0</v>
      </c>
      <c r="N117" s="46"/>
      <c r="O117" s="46"/>
      <c r="P117" s="46">
        <f>DATA!U118</f>
        <v>0</v>
      </c>
      <c r="Q117" s="46">
        <f>DATA!V118</f>
        <v>0</v>
      </c>
      <c r="R117" s="46">
        <f>DATA!W118</f>
        <v>0</v>
      </c>
      <c r="S117" s="47"/>
      <c r="V117" s="46">
        <f>DATA!C118</f>
        <v>0</v>
      </c>
      <c r="W117" s="46">
        <f>DATA!D118</f>
        <v>0</v>
      </c>
      <c r="X117" s="46">
        <f>DATA!F118</f>
        <v>0</v>
      </c>
      <c r="Y117" s="46">
        <f>DATA!G118</f>
        <v>0</v>
      </c>
      <c r="Z117" s="46">
        <f>DATA!H118</f>
        <v>0</v>
      </c>
      <c r="AA117" s="46">
        <f>DATA!I118</f>
        <v>0</v>
      </c>
      <c r="AB117" s="46"/>
      <c r="AC117" s="46"/>
      <c r="AD117" s="45">
        <f>DATA!L118</f>
        <v>0</v>
      </c>
      <c r="AE117" s="46"/>
      <c r="AF117" s="46">
        <f>DATA!O118</f>
        <v>0</v>
      </c>
      <c r="AG117" s="46">
        <f>DATA!Q118</f>
        <v>0</v>
      </c>
      <c r="AH117" s="46">
        <f>DATA!R118</f>
        <v>0</v>
      </c>
      <c r="AI117" s="46"/>
      <c r="AJ117" s="46"/>
      <c r="AK117" s="46">
        <f>DATA!U118</f>
        <v>0</v>
      </c>
      <c r="AL117" s="46">
        <f>DATA!V118</f>
        <v>0</v>
      </c>
      <c r="AM117" s="46">
        <f>DATA!W118</f>
        <v>0</v>
      </c>
      <c r="AN117" s="47"/>
    </row>
    <row r="118" spans="1:40" s="48" customFormat="1" ht="23.25" hidden="1" customHeight="1" x14ac:dyDescent="0.45">
      <c r="A118" s="46">
        <f>DATA!C119</f>
        <v>0</v>
      </c>
      <c r="B118" s="46">
        <f>DATA!D119</f>
        <v>0</v>
      </c>
      <c r="C118" s="46">
        <f>DATA!F119</f>
        <v>0</v>
      </c>
      <c r="D118" s="46">
        <f>DATA!G119</f>
        <v>0</v>
      </c>
      <c r="E118" s="46">
        <f>DATA!H119</f>
        <v>0</v>
      </c>
      <c r="F118" s="46">
        <f>DATA!I119</f>
        <v>0</v>
      </c>
      <c r="G118" s="46"/>
      <c r="H118" s="46"/>
      <c r="I118" s="45">
        <f>DATA!L119</f>
        <v>0</v>
      </c>
      <c r="J118" s="46"/>
      <c r="K118" s="46">
        <f>DATA!O119</f>
        <v>0</v>
      </c>
      <c r="L118" s="46">
        <f>DATA!Q119</f>
        <v>0</v>
      </c>
      <c r="M118" s="46">
        <f>DATA!R119</f>
        <v>0</v>
      </c>
      <c r="N118" s="46"/>
      <c r="O118" s="46"/>
      <c r="P118" s="46">
        <f>DATA!U119</f>
        <v>0</v>
      </c>
      <c r="Q118" s="46">
        <f>DATA!V119</f>
        <v>0</v>
      </c>
      <c r="R118" s="46">
        <f>DATA!W119</f>
        <v>0</v>
      </c>
      <c r="S118" s="47"/>
      <c r="V118" s="46">
        <f>DATA!C119</f>
        <v>0</v>
      </c>
      <c r="W118" s="46">
        <f>DATA!D119</f>
        <v>0</v>
      </c>
      <c r="X118" s="46">
        <f>DATA!F119</f>
        <v>0</v>
      </c>
      <c r="Y118" s="46">
        <f>DATA!G119</f>
        <v>0</v>
      </c>
      <c r="Z118" s="46">
        <f>DATA!H119</f>
        <v>0</v>
      </c>
      <c r="AA118" s="46">
        <f>DATA!I119</f>
        <v>0</v>
      </c>
      <c r="AB118" s="46"/>
      <c r="AC118" s="46"/>
      <c r="AD118" s="45">
        <f>DATA!L119</f>
        <v>0</v>
      </c>
      <c r="AE118" s="46"/>
      <c r="AF118" s="46">
        <f>DATA!O119</f>
        <v>0</v>
      </c>
      <c r="AG118" s="46">
        <f>DATA!Q119</f>
        <v>0</v>
      </c>
      <c r="AH118" s="46">
        <f>DATA!R119</f>
        <v>0</v>
      </c>
      <c r="AI118" s="46"/>
      <c r="AJ118" s="46"/>
      <c r="AK118" s="46">
        <f>DATA!U119</f>
        <v>0</v>
      </c>
      <c r="AL118" s="46">
        <f>DATA!V119</f>
        <v>0</v>
      </c>
      <c r="AM118" s="46">
        <f>DATA!W119</f>
        <v>0</v>
      </c>
      <c r="AN118" s="47"/>
    </row>
    <row r="119" spans="1:40" s="48" customFormat="1" ht="23.25" hidden="1" customHeight="1" x14ac:dyDescent="0.45">
      <c r="A119" s="46">
        <f>DATA!C120</f>
        <v>0</v>
      </c>
      <c r="B119" s="46">
        <f>DATA!D120</f>
        <v>0</v>
      </c>
      <c r="C119" s="46">
        <f>DATA!F120</f>
        <v>0</v>
      </c>
      <c r="D119" s="46">
        <f>DATA!G120</f>
        <v>0</v>
      </c>
      <c r="E119" s="46">
        <f>DATA!H120</f>
        <v>0</v>
      </c>
      <c r="F119" s="46">
        <f>DATA!I120</f>
        <v>0</v>
      </c>
      <c r="G119" s="46"/>
      <c r="H119" s="46"/>
      <c r="I119" s="45">
        <f>DATA!L120</f>
        <v>0</v>
      </c>
      <c r="J119" s="46"/>
      <c r="K119" s="46">
        <f>DATA!O120</f>
        <v>0</v>
      </c>
      <c r="L119" s="46">
        <f>DATA!Q120</f>
        <v>0</v>
      </c>
      <c r="M119" s="46">
        <f>DATA!R120</f>
        <v>0</v>
      </c>
      <c r="N119" s="46"/>
      <c r="O119" s="46"/>
      <c r="P119" s="46">
        <f>DATA!U120</f>
        <v>0</v>
      </c>
      <c r="Q119" s="46">
        <f>DATA!V120</f>
        <v>0</v>
      </c>
      <c r="R119" s="46">
        <f>DATA!W120</f>
        <v>0</v>
      </c>
      <c r="S119" s="47"/>
      <c r="V119" s="46">
        <f>DATA!C120</f>
        <v>0</v>
      </c>
      <c r="W119" s="46">
        <f>DATA!D120</f>
        <v>0</v>
      </c>
      <c r="X119" s="46">
        <f>DATA!F120</f>
        <v>0</v>
      </c>
      <c r="Y119" s="46">
        <f>DATA!G120</f>
        <v>0</v>
      </c>
      <c r="Z119" s="46">
        <f>DATA!H120</f>
        <v>0</v>
      </c>
      <c r="AA119" s="46">
        <f>DATA!I120</f>
        <v>0</v>
      </c>
      <c r="AB119" s="46"/>
      <c r="AC119" s="46"/>
      <c r="AD119" s="45">
        <f>DATA!L120</f>
        <v>0</v>
      </c>
      <c r="AE119" s="46"/>
      <c r="AF119" s="46">
        <f>DATA!O120</f>
        <v>0</v>
      </c>
      <c r="AG119" s="46">
        <f>DATA!Q120</f>
        <v>0</v>
      </c>
      <c r="AH119" s="46">
        <f>DATA!R120</f>
        <v>0</v>
      </c>
      <c r="AI119" s="46"/>
      <c r="AJ119" s="46"/>
      <c r="AK119" s="46">
        <f>DATA!U120</f>
        <v>0</v>
      </c>
      <c r="AL119" s="46">
        <f>DATA!V120</f>
        <v>0</v>
      </c>
      <c r="AM119" s="46">
        <f>DATA!W120</f>
        <v>0</v>
      </c>
      <c r="AN119" s="47"/>
    </row>
    <row r="120" spans="1:40" s="48" customFormat="1" ht="23.25" hidden="1" customHeight="1" x14ac:dyDescent="0.45">
      <c r="A120" s="46">
        <f>DATA!C121</f>
        <v>0</v>
      </c>
      <c r="B120" s="46">
        <f>DATA!D121</f>
        <v>0</v>
      </c>
      <c r="C120" s="46">
        <f>DATA!F121</f>
        <v>0</v>
      </c>
      <c r="D120" s="46">
        <f>DATA!G121</f>
        <v>0</v>
      </c>
      <c r="E120" s="46">
        <f>DATA!H121</f>
        <v>0</v>
      </c>
      <c r="F120" s="46">
        <f>DATA!I121</f>
        <v>0</v>
      </c>
      <c r="G120" s="46"/>
      <c r="H120" s="46"/>
      <c r="I120" s="45">
        <f>DATA!L121</f>
        <v>0</v>
      </c>
      <c r="J120" s="46"/>
      <c r="K120" s="46">
        <f>DATA!O121</f>
        <v>0</v>
      </c>
      <c r="L120" s="46">
        <f>DATA!Q121</f>
        <v>0</v>
      </c>
      <c r="M120" s="46">
        <f>DATA!R121</f>
        <v>0</v>
      </c>
      <c r="N120" s="46"/>
      <c r="O120" s="46"/>
      <c r="P120" s="46">
        <f>DATA!U121</f>
        <v>0</v>
      </c>
      <c r="Q120" s="46">
        <f>DATA!V121</f>
        <v>0</v>
      </c>
      <c r="R120" s="46">
        <f>DATA!W121</f>
        <v>0</v>
      </c>
      <c r="S120" s="47"/>
      <c r="V120" s="46">
        <f>DATA!C121</f>
        <v>0</v>
      </c>
      <c r="W120" s="46">
        <f>DATA!D121</f>
        <v>0</v>
      </c>
      <c r="X120" s="46">
        <f>DATA!F121</f>
        <v>0</v>
      </c>
      <c r="Y120" s="46">
        <f>DATA!G121</f>
        <v>0</v>
      </c>
      <c r="Z120" s="46">
        <f>DATA!H121</f>
        <v>0</v>
      </c>
      <c r="AA120" s="46">
        <f>DATA!I121</f>
        <v>0</v>
      </c>
      <c r="AB120" s="46"/>
      <c r="AC120" s="46"/>
      <c r="AD120" s="45">
        <f>DATA!L121</f>
        <v>0</v>
      </c>
      <c r="AE120" s="46"/>
      <c r="AF120" s="46">
        <f>DATA!O121</f>
        <v>0</v>
      </c>
      <c r="AG120" s="46">
        <f>DATA!Q121</f>
        <v>0</v>
      </c>
      <c r="AH120" s="46">
        <f>DATA!R121</f>
        <v>0</v>
      </c>
      <c r="AI120" s="46"/>
      <c r="AJ120" s="46"/>
      <c r="AK120" s="46">
        <f>DATA!U121</f>
        <v>0</v>
      </c>
      <c r="AL120" s="46">
        <f>DATA!V121</f>
        <v>0</v>
      </c>
      <c r="AM120" s="46">
        <f>DATA!W121</f>
        <v>0</v>
      </c>
      <c r="AN120" s="47"/>
    </row>
    <row r="121" spans="1:40" s="48" customFormat="1" ht="23.25" hidden="1" customHeight="1" x14ac:dyDescent="0.45">
      <c r="A121" s="46">
        <f>DATA!C122</f>
        <v>0</v>
      </c>
      <c r="B121" s="46">
        <f>DATA!D122</f>
        <v>0</v>
      </c>
      <c r="C121" s="46">
        <f>DATA!F122</f>
        <v>0</v>
      </c>
      <c r="D121" s="46">
        <f>DATA!G122</f>
        <v>0</v>
      </c>
      <c r="E121" s="46">
        <f>DATA!H122</f>
        <v>0</v>
      </c>
      <c r="F121" s="46">
        <f>DATA!I122</f>
        <v>0</v>
      </c>
      <c r="G121" s="46"/>
      <c r="H121" s="46"/>
      <c r="I121" s="45">
        <f>DATA!L122</f>
        <v>0</v>
      </c>
      <c r="J121" s="46"/>
      <c r="K121" s="46">
        <f>DATA!O122</f>
        <v>0</v>
      </c>
      <c r="L121" s="46">
        <f>DATA!Q122</f>
        <v>0</v>
      </c>
      <c r="M121" s="46">
        <f>DATA!R122</f>
        <v>0</v>
      </c>
      <c r="N121" s="46"/>
      <c r="O121" s="46"/>
      <c r="P121" s="46">
        <f>DATA!U122</f>
        <v>0</v>
      </c>
      <c r="Q121" s="46">
        <f>DATA!V122</f>
        <v>0</v>
      </c>
      <c r="R121" s="46">
        <f>DATA!W122</f>
        <v>0</v>
      </c>
      <c r="S121" s="47"/>
      <c r="V121" s="46">
        <f>DATA!C122</f>
        <v>0</v>
      </c>
      <c r="W121" s="46">
        <f>DATA!D122</f>
        <v>0</v>
      </c>
      <c r="X121" s="46">
        <f>DATA!F122</f>
        <v>0</v>
      </c>
      <c r="Y121" s="46">
        <f>DATA!G122</f>
        <v>0</v>
      </c>
      <c r="Z121" s="46">
        <f>DATA!H122</f>
        <v>0</v>
      </c>
      <c r="AA121" s="46">
        <f>DATA!I122</f>
        <v>0</v>
      </c>
      <c r="AB121" s="46"/>
      <c r="AC121" s="46"/>
      <c r="AD121" s="45">
        <f>DATA!L122</f>
        <v>0</v>
      </c>
      <c r="AE121" s="46"/>
      <c r="AF121" s="46">
        <f>DATA!O122</f>
        <v>0</v>
      </c>
      <c r="AG121" s="46">
        <f>DATA!Q122</f>
        <v>0</v>
      </c>
      <c r="AH121" s="46">
        <f>DATA!R122</f>
        <v>0</v>
      </c>
      <c r="AI121" s="46"/>
      <c r="AJ121" s="46"/>
      <c r="AK121" s="46">
        <f>DATA!U122</f>
        <v>0</v>
      </c>
      <c r="AL121" s="46">
        <f>DATA!V122</f>
        <v>0</v>
      </c>
      <c r="AM121" s="46">
        <f>DATA!W122</f>
        <v>0</v>
      </c>
      <c r="AN121" s="47"/>
    </row>
    <row r="122" spans="1:40" s="48" customFormat="1" ht="23.25" hidden="1" customHeight="1" x14ac:dyDescent="0.45">
      <c r="A122" s="46">
        <f>DATA!C123</f>
        <v>0</v>
      </c>
      <c r="B122" s="46">
        <f>DATA!D123</f>
        <v>0</v>
      </c>
      <c r="C122" s="46">
        <f>DATA!F123</f>
        <v>0</v>
      </c>
      <c r="D122" s="46">
        <f>DATA!G123</f>
        <v>0</v>
      </c>
      <c r="E122" s="46">
        <f>DATA!H123</f>
        <v>0</v>
      </c>
      <c r="F122" s="46">
        <f>DATA!I123</f>
        <v>0</v>
      </c>
      <c r="G122" s="46"/>
      <c r="H122" s="46"/>
      <c r="I122" s="45">
        <f>DATA!L123</f>
        <v>0</v>
      </c>
      <c r="J122" s="46"/>
      <c r="K122" s="46">
        <f>DATA!O123</f>
        <v>0</v>
      </c>
      <c r="L122" s="46">
        <f>DATA!Q123</f>
        <v>0</v>
      </c>
      <c r="M122" s="46">
        <f>DATA!R123</f>
        <v>0</v>
      </c>
      <c r="N122" s="46"/>
      <c r="O122" s="46"/>
      <c r="P122" s="46">
        <f>DATA!U123</f>
        <v>0</v>
      </c>
      <c r="Q122" s="46">
        <f>DATA!V123</f>
        <v>0</v>
      </c>
      <c r="R122" s="46">
        <f>DATA!W123</f>
        <v>0</v>
      </c>
      <c r="S122" s="47"/>
      <c r="V122" s="46">
        <f>DATA!C123</f>
        <v>0</v>
      </c>
      <c r="W122" s="46">
        <f>DATA!D123</f>
        <v>0</v>
      </c>
      <c r="X122" s="46">
        <f>DATA!F123</f>
        <v>0</v>
      </c>
      <c r="Y122" s="46">
        <f>DATA!G123</f>
        <v>0</v>
      </c>
      <c r="Z122" s="46">
        <f>DATA!H123</f>
        <v>0</v>
      </c>
      <c r="AA122" s="46">
        <f>DATA!I123</f>
        <v>0</v>
      </c>
      <c r="AB122" s="46"/>
      <c r="AC122" s="46"/>
      <c r="AD122" s="45">
        <f>DATA!L123</f>
        <v>0</v>
      </c>
      <c r="AE122" s="46"/>
      <c r="AF122" s="46">
        <f>DATA!O123</f>
        <v>0</v>
      </c>
      <c r="AG122" s="46">
        <f>DATA!Q123</f>
        <v>0</v>
      </c>
      <c r="AH122" s="46">
        <f>DATA!R123</f>
        <v>0</v>
      </c>
      <c r="AI122" s="46"/>
      <c r="AJ122" s="46"/>
      <c r="AK122" s="46">
        <f>DATA!U123</f>
        <v>0</v>
      </c>
      <c r="AL122" s="46">
        <f>DATA!V123</f>
        <v>0</v>
      </c>
      <c r="AM122" s="46">
        <f>DATA!W123</f>
        <v>0</v>
      </c>
      <c r="AN122" s="47"/>
    </row>
    <row r="123" spans="1:40" s="48" customFormat="1" ht="23.25" hidden="1" customHeight="1" x14ac:dyDescent="0.45">
      <c r="A123" s="46">
        <f>DATA!C124</f>
        <v>0</v>
      </c>
      <c r="B123" s="46">
        <f>DATA!D124</f>
        <v>0</v>
      </c>
      <c r="C123" s="46">
        <f>DATA!F124</f>
        <v>0</v>
      </c>
      <c r="D123" s="46">
        <f>DATA!G124</f>
        <v>0</v>
      </c>
      <c r="E123" s="46">
        <f>DATA!H124</f>
        <v>0</v>
      </c>
      <c r="F123" s="46">
        <f>DATA!I124</f>
        <v>0</v>
      </c>
      <c r="G123" s="46"/>
      <c r="H123" s="46"/>
      <c r="I123" s="45">
        <f>DATA!L124</f>
        <v>0</v>
      </c>
      <c r="J123" s="46"/>
      <c r="K123" s="46">
        <f>DATA!O124</f>
        <v>0</v>
      </c>
      <c r="L123" s="46">
        <f>DATA!Q124</f>
        <v>0</v>
      </c>
      <c r="M123" s="46">
        <f>DATA!R124</f>
        <v>0</v>
      </c>
      <c r="N123" s="46"/>
      <c r="O123" s="46"/>
      <c r="P123" s="46">
        <f>DATA!U124</f>
        <v>0</v>
      </c>
      <c r="Q123" s="46">
        <f>DATA!V124</f>
        <v>0</v>
      </c>
      <c r="R123" s="46">
        <f>DATA!W124</f>
        <v>0</v>
      </c>
      <c r="S123" s="47"/>
      <c r="V123" s="46">
        <f>DATA!C124</f>
        <v>0</v>
      </c>
      <c r="W123" s="46">
        <f>DATA!D124</f>
        <v>0</v>
      </c>
      <c r="X123" s="46">
        <f>DATA!F124</f>
        <v>0</v>
      </c>
      <c r="Y123" s="46">
        <f>DATA!G124</f>
        <v>0</v>
      </c>
      <c r="Z123" s="46">
        <f>DATA!H124</f>
        <v>0</v>
      </c>
      <c r="AA123" s="46">
        <f>DATA!I124</f>
        <v>0</v>
      </c>
      <c r="AB123" s="46"/>
      <c r="AC123" s="46"/>
      <c r="AD123" s="45">
        <f>DATA!L124</f>
        <v>0</v>
      </c>
      <c r="AE123" s="46"/>
      <c r="AF123" s="46">
        <f>DATA!O124</f>
        <v>0</v>
      </c>
      <c r="AG123" s="46">
        <f>DATA!Q124</f>
        <v>0</v>
      </c>
      <c r="AH123" s="46">
        <f>DATA!R124</f>
        <v>0</v>
      </c>
      <c r="AI123" s="46"/>
      <c r="AJ123" s="46"/>
      <c r="AK123" s="46">
        <f>DATA!U124</f>
        <v>0</v>
      </c>
      <c r="AL123" s="46">
        <f>DATA!V124</f>
        <v>0</v>
      </c>
      <c r="AM123" s="46">
        <f>DATA!W124</f>
        <v>0</v>
      </c>
      <c r="AN123" s="47"/>
    </row>
    <row r="124" spans="1:40" s="48" customFormat="1" ht="23.25" hidden="1" customHeight="1" x14ac:dyDescent="0.45">
      <c r="A124" s="46">
        <f>DATA!C125</f>
        <v>0</v>
      </c>
      <c r="B124" s="46">
        <f>DATA!D125</f>
        <v>0</v>
      </c>
      <c r="C124" s="46">
        <f>DATA!F125</f>
        <v>0</v>
      </c>
      <c r="D124" s="46">
        <f>DATA!G125</f>
        <v>0</v>
      </c>
      <c r="E124" s="46">
        <f>DATA!H125</f>
        <v>0</v>
      </c>
      <c r="F124" s="46">
        <f>DATA!I125</f>
        <v>0</v>
      </c>
      <c r="G124" s="46"/>
      <c r="H124" s="46"/>
      <c r="I124" s="45">
        <f>DATA!L125</f>
        <v>0</v>
      </c>
      <c r="J124" s="46"/>
      <c r="K124" s="46">
        <f>DATA!O125</f>
        <v>0</v>
      </c>
      <c r="L124" s="46">
        <f>DATA!Q125</f>
        <v>0</v>
      </c>
      <c r="M124" s="46">
        <f>DATA!R125</f>
        <v>0</v>
      </c>
      <c r="N124" s="46"/>
      <c r="O124" s="46"/>
      <c r="P124" s="46">
        <f>DATA!U125</f>
        <v>0</v>
      </c>
      <c r="Q124" s="46">
        <f>DATA!V125</f>
        <v>0</v>
      </c>
      <c r="R124" s="46">
        <f>DATA!W125</f>
        <v>0</v>
      </c>
      <c r="S124" s="47"/>
      <c r="V124" s="46">
        <f>DATA!C125</f>
        <v>0</v>
      </c>
      <c r="W124" s="46">
        <f>DATA!D125</f>
        <v>0</v>
      </c>
      <c r="X124" s="46">
        <f>DATA!F125</f>
        <v>0</v>
      </c>
      <c r="Y124" s="46">
        <f>DATA!G125</f>
        <v>0</v>
      </c>
      <c r="Z124" s="46">
        <f>DATA!H125</f>
        <v>0</v>
      </c>
      <c r="AA124" s="46">
        <f>DATA!I125</f>
        <v>0</v>
      </c>
      <c r="AB124" s="46"/>
      <c r="AC124" s="46"/>
      <c r="AD124" s="45">
        <f>DATA!L125</f>
        <v>0</v>
      </c>
      <c r="AE124" s="46"/>
      <c r="AF124" s="46">
        <f>DATA!O125</f>
        <v>0</v>
      </c>
      <c r="AG124" s="46">
        <f>DATA!Q125</f>
        <v>0</v>
      </c>
      <c r="AH124" s="46">
        <f>DATA!R125</f>
        <v>0</v>
      </c>
      <c r="AI124" s="46"/>
      <c r="AJ124" s="46"/>
      <c r="AK124" s="46">
        <f>DATA!U125</f>
        <v>0</v>
      </c>
      <c r="AL124" s="46">
        <f>DATA!V125</f>
        <v>0</v>
      </c>
      <c r="AM124" s="46">
        <f>DATA!W125</f>
        <v>0</v>
      </c>
      <c r="AN124" s="47"/>
    </row>
    <row r="125" spans="1:40" s="48" customFormat="1" ht="23.25" hidden="1" customHeight="1" x14ac:dyDescent="0.45">
      <c r="A125" s="46">
        <f>DATA!C126</f>
        <v>0</v>
      </c>
      <c r="B125" s="46">
        <f>DATA!D126</f>
        <v>0</v>
      </c>
      <c r="C125" s="46">
        <f>DATA!F126</f>
        <v>0</v>
      </c>
      <c r="D125" s="46">
        <f>DATA!G126</f>
        <v>0</v>
      </c>
      <c r="E125" s="46">
        <f>DATA!H126</f>
        <v>0</v>
      </c>
      <c r="F125" s="46">
        <f>DATA!I126</f>
        <v>0</v>
      </c>
      <c r="G125" s="46"/>
      <c r="H125" s="46"/>
      <c r="I125" s="45">
        <f>DATA!L126</f>
        <v>0</v>
      </c>
      <c r="J125" s="46"/>
      <c r="K125" s="46">
        <f>DATA!O126</f>
        <v>0</v>
      </c>
      <c r="L125" s="46">
        <f>DATA!Q126</f>
        <v>0</v>
      </c>
      <c r="M125" s="46">
        <f>DATA!R126</f>
        <v>0</v>
      </c>
      <c r="N125" s="46"/>
      <c r="O125" s="46"/>
      <c r="P125" s="46">
        <f>DATA!U126</f>
        <v>0</v>
      </c>
      <c r="Q125" s="46">
        <f>DATA!V126</f>
        <v>0</v>
      </c>
      <c r="R125" s="46">
        <f>DATA!W126</f>
        <v>0</v>
      </c>
      <c r="S125" s="47"/>
      <c r="V125" s="46">
        <f>DATA!C126</f>
        <v>0</v>
      </c>
      <c r="W125" s="46">
        <f>DATA!D126</f>
        <v>0</v>
      </c>
      <c r="X125" s="46">
        <f>DATA!F126</f>
        <v>0</v>
      </c>
      <c r="Y125" s="46">
        <f>DATA!G126</f>
        <v>0</v>
      </c>
      <c r="Z125" s="46">
        <f>DATA!H126</f>
        <v>0</v>
      </c>
      <c r="AA125" s="46">
        <f>DATA!I126</f>
        <v>0</v>
      </c>
      <c r="AB125" s="46"/>
      <c r="AC125" s="46"/>
      <c r="AD125" s="45">
        <f>DATA!L126</f>
        <v>0</v>
      </c>
      <c r="AE125" s="46"/>
      <c r="AF125" s="46">
        <f>DATA!O126</f>
        <v>0</v>
      </c>
      <c r="AG125" s="46">
        <f>DATA!Q126</f>
        <v>0</v>
      </c>
      <c r="AH125" s="46">
        <f>DATA!R126</f>
        <v>0</v>
      </c>
      <c r="AI125" s="46"/>
      <c r="AJ125" s="46"/>
      <c r="AK125" s="46">
        <f>DATA!U126</f>
        <v>0</v>
      </c>
      <c r="AL125" s="46">
        <f>DATA!V126</f>
        <v>0</v>
      </c>
      <c r="AM125" s="46">
        <f>DATA!W126</f>
        <v>0</v>
      </c>
      <c r="AN125" s="47"/>
    </row>
    <row r="126" spans="1:40" s="48" customFormat="1" ht="23.25" hidden="1" customHeight="1" x14ac:dyDescent="0.45">
      <c r="A126" s="46">
        <f>DATA!C127</f>
        <v>0</v>
      </c>
      <c r="B126" s="46">
        <f>DATA!D127</f>
        <v>0</v>
      </c>
      <c r="C126" s="46">
        <f>DATA!F127</f>
        <v>0</v>
      </c>
      <c r="D126" s="46">
        <f>DATA!G127</f>
        <v>0</v>
      </c>
      <c r="E126" s="46">
        <f>DATA!H127</f>
        <v>0</v>
      </c>
      <c r="F126" s="46">
        <f>DATA!I127</f>
        <v>0</v>
      </c>
      <c r="G126" s="46"/>
      <c r="H126" s="46"/>
      <c r="I126" s="45">
        <f>DATA!L127</f>
        <v>0</v>
      </c>
      <c r="J126" s="46"/>
      <c r="K126" s="46">
        <f>DATA!O127</f>
        <v>0</v>
      </c>
      <c r="L126" s="46">
        <f>DATA!Q127</f>
        <v>0</v>
      </c>
      <c r="M126" s="46">
        <f>DATA!R127</f>
        <v>0</v>
      </c>
      <c r="N126" s="46"/>
      <c r="O126" s="46"/>
      <c r="P126" s="46">
        <f>DATA!U127</f>
        <v>0</v>
      </c>
      <c r="Q126" s="46">
        <f>DATA!V127</f>
        <v>0</v>
      </c>
      <c r="R126" s="46">
        <f>DATA!W127</f>
        <v>0</v>
      </c>
      <c r="S126" s="47"/>
      <c r="V126" s="46">
        <f>DATA!C127</f>
        <v>0</v>
      </c>
      <c r="W126" s="46">
        <f>DATA!D127</f>
        <v>0</v>
      </c>
      <c r="X126" s="46">
        <f>DATA!F127</f>
        <v>0</v>
      </c>
      <c r="Y126" s="46">
        <f>DATA!G127</f>
        <v>0</v>
      </c>
      <c r="Z126" s="46">
        <f>DATA!H127</f>
        <v>0</v>
      </c>
      <c r="AA126" s="46">
        <f>DATA!I127</f>
        <v>0</v>
      </c>
      <c r="AB126" s="46"/>
      <c r="AC126" s="46"/>
      <c r="AD126" s="45">
        <f>DATA!L127</f>
        <v>0</v>
      </c>
      <c r="AE126" s="46"/>
      <c r="AF126" s="46">
        <f>DATA!O127</f>
        <v>0</v>
      </c>
      <c r="AG126" s="46">
        <f>DATA!Q127</f>
        <v>0</v>
      </c>
      <c r="AH126" s="46">
        <f>DATA!R127</f>
        <v>0</v>
      </c>
      <c r="AI126" s="46"/>
      <c r="AJ126" s="46"/>
      <c r="AK126" s="46">
        <f>DATA!U127</f>
        <v>0</v>
      </c>
      <c r="AL126" s="46">
        <f>DATA!V127</f>
        <v>0</v>
      </c>
      <c r="AM126" s="46">
        <f>DATA!W127</f>
        <v>0</v>
      </c>
      <c r="AN126" s="47"/>
    </row>
    <row r="127" spans="1:40" s="48" customFormat="1" ht="23.25" hidden="1" customHeight="1" x14ac:dyDescent="0.45">
      <c r="A127" s="46">
        <f>DATA!C128</f>
        <v>0</v>
      </c>
      <c r="B127" s="46">
        <f>DATA!D128</f>
        <v>0</v>
      </c>
      <c r="C127" s="46">
        <f>DATA!F128</f>
        <v>0</v>
      </c>
      <c r="D127" s="46">
        <f>DATA!G128</f>
        <v>0</v>
      </c>
      <c r="E127" s="46">
        <f>DATA!H128</f>
        <v>0</v>
      </c>
      <c r="F127" s="46">
        <f>DATA!I128</f>
        <v>0</v>
      </c>
      <c r="G127" s="46"/>
      <c r="H127" s="46"/>
      <c r="I127" s="45">
        <f>DATA!L128</f>
        <v>0</v>
      </c>
      <c r="J127" s="46"/>
      <c r="K127" s="46">
        <f>DATA!O128</f>
        <v>0</v>
      </c>
      <c r="L127" s="46">
        <f>DATA!Q128</f>
        <v>0</v>
      </c>
      <c r="M127" s="46">
        <f>DATA!R128</f>
        <v>0</v>
      </c>
      <c r="N127" s="46"/>
      <c r="O127" s="46"/>
      <c r="P127" s="46">
        <f>DATA!U128</f>
        <v>0</v>
      </c>
      <c r="Q127" s="46">
        <f>DATA!V128</f>
        <v>0</v>
      </c>
      <c r="R127" s="46">
        <f>DATA!W128</f>
        <v>0</v>
      </c>
      <c r="S127" s="47"/>
      <c r="V127" s="46">
        <f>DATA!C128</f>
        <v>0</v>
      </c>
      <c r="W127" s="46">
        <f>DATA!D128</f>
        <v>0</v>
      </c>
      <c r="X127" s="46">
        <f>DATA!F128</f>
        <v>0</v>
      </c>
      <c r="Y127" s="46">
        <f>DATA!G128</f>
        <v>0</v>
      </c>
      <c r="Z127" s="46">
        <f>DATA!H128</f>
        <v>0</v>
      </c>
      <c r="AA127" s="46">
        <f>DATA!I128</f>
        <v>0</v>
      </c>
      <c r="AB127" s="46"/>
      <c r="AC127" s="46"/>
      <c r="AD127" s="45">
        <f>DATA!L128</f>
        <v>0</v>
      </c>
      <c r="AE127" s="46"/>
      <c r="AF127" s="46">
        <f>DATA!O128</f>
        <v>0</v>
      </c>
      <c r="AG127" s="46">
        <f>DATA!Q128</f>
        <v>0</v>
      </c>
      <c r="AH127" s="46">
        <f>DATA!R128</f>
        <v>0</v>
      </c>
      <c r="AI127" s="46"/>
      <c r="AJ127" s="46"/>
      <c r="AK127" s="46">
        <f>DATA!U128</f>
        <v>0</v>
      </c>
      <c r="AL127" s="46">
        <f>DATA!V128</f>
        <v>0</v>
      </c>
      <c r="AM127" s="46">
        <f>DATA!W128</f>
        <v>0</v>
      </c>
      <c r="AN127" s="47"/>
    </row>
    <row r="128" spans="1:40" s="48" customFormat="1" ht="23.25" hidden="1" customHeight="1" x14ac:dyDescent="0.45">
      <c r="A128" s="46">
        <f>DATA!C129</f>
        <v>0</v>
      </c>
      <c r="B128" s="46">
        <f>DATA!D129</f>
        <v>0</v>
      </c>
      <c r="C128" s="46">
        <f>DATA!F129</f>
        <v>0</v>
      </c>
      <c r="D128" s="46">
        <f>DATA!G129</f>
        <v>0</v>
      </c>
      <c r="E128" s="46">
        <f>DATA!H129</f>
        <v>0</v>
      </c>
      <c r="F128" s="46">
        <f>DATA!I129</f>
        <v>0</v>
      </c>
      <c r="G128" s="46"/>
      <c r="H128" s="46"/>
      <c r="I128" s="45">
        <f>DATA!L129</f>
        <v>0</v>
      </c>
      <c r="J128" s="46"/>
      <c r="K128" s="46">
        <f>DATA!O129</f>
        <v>0</v>
      </c>
      <c r="L128" s="46">
        <f>DATA!Q129</f>
        <v>0</v>
      </c>
      <c r="M128" s="46">
        <f>DATA!R129</f>
        <v>0</v>
      </c>
      <c r="N128" s="46"/>
      <c r="O128" s="46"/>
      <c r="P128" s="46">
        <f>DATA!U129</f>
        <v>0</v>
      </c>
      <c r="Q128" s="46">
        <f>DATA!V129</f>
        <v>0</v>
      </c>
      <c r="R128" s="46">
        <f>DATA!W129</f>
        <v>0</v>
      </c>
      <c r="S128" s="47"/>
      <c r="V128" s="46">
        <f>DATA!C129</f>
        <v>0</v>
      </c>
      <c r="W128" s="46">
        <f>DATA!D129</f>
        <v>0</v>
      </c>
      <c r="X128" s="46">
        <f>DATA!F129</f>
        <v>0</v>
      </c>
      <c r="Y128" s="46">
        <f>DATA!G129</f>
        <v>0</v>
      </c>
      <c r="Z128" s="46">
        <f>DATA!H129</f>
        <v>0</v>
      </c>
      <c r="AA128" s="46">
        <f>DATA!I129</f>
        <v>0</v>
      </c>
      <c r="AB128" s="46"/>
      <c r="AC128" s="46"/>
      <c r="AD128" s="45">
        <f>DATA!L129</f>
        <v>0</v>
      </c>
      <c r="AE128" s="46"/>
      <c r="AF128" s="46">
        <f>DATA!O129</f>
        <v>0</v>
      </c>
      <c r="AG128" s="46">
        <f>DATA!Q129</f>
        <v>0</v>
      </c>
      <c r="AH128" s="46">
        <f>DATA!R129</f>
        <v>0</v>
      </c>
      <c r="AI128" s="46"/>
      <c r="AJ128" s="46"/>
      <c r="AK128" s="46">
        <f>DATA!U129</f>
        <v>0</v>
      </c>
      <c r="AL128" s="46">
        <f>DATA!V129</f>
        <v>0</v>
      </c>
      <c r="AM128" s="46">
        <f>DATA!W129</f>
        <v>0</v>
      </c>
      <c r="AN128" s="47"/>
    </row>
    <row r="129" spans="1:40" s="48" customFormat="1" ht="23.25" hidden="1" customHeight="1" x14ac:dyDescent="0.45">
      <c r="A129" s="46">
        <f>DATA!C130</f>
        <v>0</v>
      </c>
      <c r="B129" s="46">
        <f>DATA!D130</f>
        <v>0</v>
      </c>
      <c r="C129" s="46">
        <f>DATA!F130</f>
        <v>0</v>
      </c>
      <c r="D129" s="46">
        <f>DATA!G130</f>
        <v>0</v>
      </c>
      <c r="E129" s="46">
        <f>DATA!H130</f>
        <v>0</v>
      </c>
      <c r="F129" s="46">
        <f>DATA!I130</f>
        <v>0</v>
      </c>
      <c r="G129" s="46"/>
      <c r="H129" s="46"/>
      <c r="I129" s="45">
        <f>DATA!L130</f>
        <v>0</v>
      </c>
      <c r="J129" s="46"/>
      <c r="K129" s="46">
        <f>DATA!O130</f>
        <v>0</v>
      </c>
      <c r="L129" s="46">
        <f>DATA!Q130</f>
        <v>0</v>
      </c>
      <c r="M129" s="46">
        <f>DATA!R130</f>
        <v>0</v>
      </c>
      <c r="N129" s="46"/>
      <c r="O129" s="46"/>
      <c r="P129" s="46">
        <f>DATA!U130</f>
        <v>0</v>
      </c>
      <c r="Q129" s="46">
        <f>DATA!V130</f>
        <v>0</v>
      </c>
      <c r="R129" s="46">
        <f>DATA!W130</f>
        <v>0</v>
      </c>
      <c r="S129" s="47"/>
      <c r="V129" s="46">
        <f>DATA!C130</f>
        <v>0</v>
      </c>
      <c r="W129" s="46">
        <f>DATA!D130</f>
        <v>0</v>
      </c>
      <c r="X129" s="46">
        <f>DATA!F130</f>
        <v>0</v>
      </c>
      <c r="Y129" s="46">
        <f>DATA!G130</f>
        <v>0</v>
      </c>
      <c r="Z129" s="46">
        <f>DATA!H130</f>
        <v>0</v>
      </c>
      <c r="AA129" s="46">
        <f>DATA!I130</f>
        <v>0</v>
      </c>
      <c r="AB129" s="46"/>
      <c r="AC129" s="46"/>
      <c r="AD129" s="45">
        <f>DATA!L130</f>
        <v>0</v>
      </c>
      <c r="AE129" s="46"/>
      <c r="AF129" s="46">
        <f>DATA!O130</f>
        <v>0</v>
      </c>
      <c r="AG129" s="46">
        <f>DATA!Q130</f>
        <v>0</v>
      </c>
      <c r="AH129" s="46">
        <f>DATA!R130</f>
        <v>0</v>
      </c>
      <c r="AI129" s="46"/>
      <c r="AJ129" s="46"/>
      <c r="AK129" s="46">
        <f>DATA!U130</f>
        <v>0</v>
      </c>
      <c r="AL129" s="46">
        <f>DATA!V130</f>
        <v>0</v>
      </c>
      <c r="AM129" s="46">
        <f>DATA!W130</f>
        <v>0</v>
      </c>
      <c r="AN129" s="47"/>
    </row>
    <row r="130" spans="1:40" s="48" customFormat="1" ht="23.25" hidden="1" customHeight="1" x14ac:dyDescent="0.45">
      <c r="A130" s="46">
        <f>DATA!C131</f>
        <v>0</v>
      </c>
      <c r="B130" s="46">
        <f>DATA!D131</f>
        <v>0</v>
      </c>
      <c r="C130" s="46">
        <f>DATA!F131</f>
        <v>0</v>
      </c>
      <c r="D130" s="46">
        <f>DATA!G131</f>
        <v>0</v>
      </c>
      <c r="E130" s="46">
        <f>DATA!H131</f>
        <v>0</v>
      </c>
      <c r="F130" s="46">
        <f>DATA!I131</f>
        <v>0</v>
      </c>
      <c r="G130" s="46"/>
      <c r="H130" s="46"/>
      <c r="I130" s="45">
        <f>DATA!L131</f>
        <v>0</v>
      </c>
      <c r="J130" s="46"/>
      <c r="K130" s="46">
        <f>DATA!O131</f>
        <v>0</v>
      </c>
      <c r="L130" s="46">
        <f>DATA!Q131</f>
        <v>0</v>
      </c>
      <c r="M130" s="46">
        <f>DATA!R131</f>
        <v>0</v>
      </c>
      <c r="N130" s="46"/>
      <c r="O130" s="46"/>
      <c r="P130" s="46">
        <f>DATA!U131</f>
        <v>0</v>
      </c>
      <c r="Q130" s="46">
        <f>DATA!V131</f>
        <v>0</v>
      </c>
      <c r="R130" s="46">
        <f>DATA!W131</f>
        <v>0</v>
      </c>
      <c r="S130" s="47"/>
      <c r="V130" s="46">
        <f>DATA!C131</f>
        <v>0</v>
      </c>
      <c r="W130" s="46">
        <f>DATA!D131</f>
        <v>0</v>
      </c>
      <c r="X130" s="46">
        <f>DATA!F131</f>
        <v>0</v>
      </c>
      <c r="Y130" s="46">
        <f>DATA!G131</f>
        <v>0</v>
      </c>
      <c r="Z130" s="46">
        <f>DATA!H131</f>
        <v>0</v>
      </c>
      <c r="AA130" s="46">
        <f>DATA!I131</f>
        <v>0</v>
      </c>
      <c r="AB130" s="46"/>
      <c r="AC130" s="46"/>
      <c r="AD130" s="45">
        <f>DATA!L131</f>
        <v>0</v>
      </c>
      <c r="AE130" s="46"/>
      <c r="AF130" s="46">
        <f>DATA!O131</f>
        <v>0</v>
      </c>
      <c r="AG130" s="46">
        <f>DATA!Q131</f>
        <v>0</v>
      </c>
      <c r="AH130" s="46">
        <f>DATA!R131</f>
        <v>0</v>
      </c>
      <c r="AI130" s="46"/>
      <c r="AJ130" s="46"/>
      <c r="AK130" s="46">
        <f>DATA!U131</f>
        <v>0</v>
      </c>
      <c r="AL130" s="46">
        <f>DATA!V131</f>
        <v>0</v>
      </c>
      <c r="AM130" s="46">
        <f>DATA!W131</f>
        <v>0</v>
      </c>
      <c r="AN130" s="47"/>
    </row>
    <row r="131" spans="1:40" s="48" customFormat="1" ht="23.25" hidden="1" customHeight="1" x14ac:dyDescent="0.45">
      <c r="A131" s="46">
        <f>DATA!C132</f>
        <v>0</v>
      </c>
      <c r="B131" s="46">
        <f>DATA!D132</f>
        <v>0</v>
      </c>
      <c r="C131" s="46">
        <f>DATA!F132</f>
        <v>0</v>
      </c>
      <c r="D131" s="46">
        <f>DATA!G132</f>
        <v>0</v>
      </c>
      <c r="E131" s="46">
        <f>DATA!H132</f>
        <v>0</v>
      </c>
      <c r="F131" s="46">
        <f>DATA!I132</f>
        <v>0</v>
      </c>
      <c r="G131" s="46"/>
      <c r="H131" s="46"/>
      <c r="I131" s="45">
        <f>DATA!L132</f>
        <v>0</v>
      </c>
      <c r="J131" s="46"/>
      <c r="K131" s="46">
        <f>DATA!O132</f>
        <v>0</v>
      </c>
      <c r="L131" s="46">
        <f>DATA!Q132</f>
        <v>0</v>
      </c>
      <c r="M131" s="46">
        <f>DATA!R132</f>
        <v>0</v>
      </c>
      <c r="N131" s="46"/>
      <c r="O131" s="46"/>
      <c r="P131" s="46">
        <f>DATA!U132</f>
        <v>0</v>
      </c>
      <c r="Q131" s="46">
        <f>DATA!V132</f>
        <v>0</v>
      </c>
      <c r="R131" s="46">
        <f>DATA!W132</f>
        <v>0</v>
      </c>
      <c r="S131" s="47"/>
      <c r="V131" s="46">
        <f>DATA!C132</f>
        <v>0</v>
      </c>
      <c r="W131" s="46">
        <f>DATA!D132</f>
        <v>0</v>
      </c>
      <c r="X131" s="46">
        <f>DATA!F132</f>
        <v>0</v>
      </c>
      <c r="Y131" s="46">
        <f>DATA!G132</f>
        <v>0</v>
      </c>
      <c r="Z131" s="46">
        <f>DATA!H132</f>
        <v>0</v>
      </c>
      <c r="AA131" s="46">
        <f>DATA!I132</f>
        <v>0</v>
      </c>
      <c r="AB131" s="46"/>
      <c r="AC131" s="46"/>
      <c r="AD131" s="45">
        <f>DATA!L132</f>
        <v>0</v>
      </c>
      <c r="AE131" s="46"/>
      <c r="AF131" s="46">
        <f>DATA!O132</f>
        <v>0</v>
      </c>
      <c r="AG131" s="46">
        <f>DATA!Q132</f>
        <v>0</v>
      </c>
      <c r="AH131" s="46">
        <f>DATA!R132</f>
        <v>0</v>
      </c>
      <c r="AI131" s="46"/>
      <c r="AJ131" s="46"/>
      <c r="AK131" s="46">
        <f>DATA!U132</f>
        <v>0</v>
      </c>
      <c r="AL131" s="46">
        <f>DATA!V132</f>
        <v>0</v>
      </c>
      <c r="AM131" s="46">
        <f>DATA!W132</f>
        <v>0</v>
      </c>
      <c r="AN131" s="47"/>
    </row>
    <row r="132" spans="1:40" s="48" customFormat="1" ht="23.25" hidden="1" customHeight="1" x14ac:dyDescent="0.45">
      <c r="A132" s="46">
        <f>DATA!C133</f>
        <v>0</v>
      </c>
      <c r="B132" s="46">
        <f>DATA!D133</f>
        <v>0</v>
      </c>
      <c r="C132" s="46">
        <f>DATA!F133</f>
        <v>0</v>
      </c>
      <c r="D132" s="46">
        <f>DATA!G133</f>
        <v>0</v>
      </c>
      <c r="E132" s="46">
        <f>DATA!H133</f>
        <v>0</v>
      </c>
      <c r="F132" s="46">
        <f>DATA!I133</f>
        <v>0</v>
      </c>
      <c r="G132" s="46"/>
      <c r="H132" s="46"/>
      <c r="I132" s="45">
        <f>DATA!L133</f>
        <v>0</v>
      </c>
      <c r="J132" s="46"/>
      <c r="K132" s="46">
        <f>DATA!O133</f>
        <v>0</v>
      </c>
      <c r="L132" s="46">
        <f>DATA!Q133</f>
        <v>0</v>
      </c>
      <c r="M132" s="46">
        <f>DATA!R133</f>
        <v>0</v>
      </c>
      <c r="N132" s="46"/>
      <c r="O132" s="46"/>
      <c r="P132" s="46">
        <f>DATA!U133</f>
        <v>0</v>
      </c>
      <c r="Q132" s="46">
        <f>DATA!V133</f>
        <v>0</v>
      </c>
      <c r="R132" s="46">
        <f>DATA!W133</f>
        <v>0</v>
      </c>
      <c r="S132" s="47"/>
      <c r="V132" s="46">
        <f>DATA!C133</f>
        <v>0</v>
      </c>
      <c r="W132" s="46">
        <f>DATA!D133</f>
        <v>0</v>
      </c>
      <c r="X132" s="46">
        <f>DATA!F133</f>
        <v>0</v>
      </c>
      <c r="Y132" s="46">
        <f>DATA!G133</f>
        <v>0</v>
      </c>
      <c r="Z132" s="46">
        <f>DATA!H133</f>
        <v>0</v>
      </c>
      <c r="AA132" s="46">
        <f>DATA!I133</f>
        <v>0</v>
      </c>
      <c r="AB132" s="46"/>
      <c r="AC132" s="46"/>
      <c r="AD132" s="45">
        <f>DATA!L133</f>
        <v>0</v>
      </c>
      <c r="AE132" s="46"/>
      <c r="AF132" s="46">
        <f>DATA!O133</f>
        <v>0</v>
      </c>
      <c r="AG132" s="46">
        <f>DATA!Q133</f>
        <v>0</v>
      </c>
      <c r="AH132" s="46">
        <f>DATA!R133</f>
        <v>0</v>
      </c>
      <c r="AI132" s="46"/>
      <c r="AJ132" s="46"/>
      <c r="AK132" s="46">
        <f>DATA!U133</f>
        <v>0</v>
      </c>
      <c r="AL132" s="46">
        <f>DATA!V133</f>
        <v>0</v>
      </c>
      <c r="AM132" s="46">
        <f>DATA!W133</f>
        <v>0</v>
      </c>
      <c r="AN132" s="47"/>
    </row>
    <row r="133" spans="1:40" s="48" customFormat="1" ht="23.25" hidden="1" customHeight="1" x14ac:dyDescent="0.45">
      <c r="A133" s="46">
        <f>DATA!C134</f>
        <v>0</v>
      </c>
      <c r="B133" s="46">
        <f>DATA!D134</f>
        <v>0</v>
      </c>
      <c r="C133" s="46">
        <f>DATA!F134</f>
        <v>0</v>
      </c>
      <c r="D133" s="46">
        <f>DATA!G134</f>
        <v>0</v>
      </c>
      <c r="E133" s="46">
        <f>DATA!H134</f>
        <v>0</v>
      </c>
      <c r="F133" s="46">
        <f>DATA!I134</f>
        <v>0</v>
      </c>
      <c r="G133" s="46"/>
      <c r="H133" s="46"/>
      <c r="I133" s="45">
        <f>DATA!L134</f>
        <v>0</v>
      </c>
      <c r="J133" s="46"/>
      <c r="K133" s="46">
        <f>DATA!O134</f>
        <v>0</v>
      </c>
      <c r="L133" s="46">
        <f>DATA!Q134</f>
        <v>0</v>
      </c>
      <c r="M133" s="46">
        <f>DATA!R134</f>
        <v>0</v>
      </c>
      <c r="N133" s="46"/>
      <c r="O133" s="46"/>
      <c r="P133" s="46">
        <f>DATA!U134</f>
        <v>0</v>
      </c>
      <c r="Q133" s="46">
        <f>DATA!V134</f>
        <v>0</v>
      </c>
      <c r="R133" s="46">
        <f>DATA!W134</f>
        <v>0</v>
      </c>
      <c r="S133" s="47"/>
      <c r="V133" s="46">
        <f>DATA!C134</f>
        <v>0</v>
      </c>
      <c r="W133" s="46">
        <f>DATA!D134</f>
        <v>0</v>
      </c>
      <c r="X133" s="46">
        <f>DATA!F134</f>
        <v>0</v>
      </c>
      <c r="Y133" s="46">
        <f>DATA!G134</f>
        <v>0</v>
      </c>
      <c r="Z133" s="46">
        <f>DATA!H134</f>
        <v>0</v>
      </c>
      <c r="AA133" s="46">
        <f>DATA!I134</f>
        <v>0</v>
      </c>
      <c r="AB133" s="46"/>
      <c r="AC133" s="46"/>
      <c r="AD133" s="45">
        <f>DATA!L134</f>
        <v>0</v>
      </c>
      <c r="AE133" s="46"/>
      <c r="AF133" s="46">
        <f>DATA!O134</f>
        <v>0</v>
      </c>
      <c r="AG133" s="46">
        <f>DATA!Q134</f>
        <v>0</v>
      </c>
      <c r="AH133" s="46">
        <f>DATA!R134</f>
        <v>0</v>
      </c>
      <c r="AI133" s="46"/>
      <c r="AJ133" s="46"/>
      <c r="AK133" s="46">
        <f>DATA!U134</f>
        <v>0</v>
      </c>
      <c r="AL133" s="46">
        <f>DATA!V134</f>
        <v>0</v>
      </c>
      <c r="AM133" s="46">
        <f>DATA!W134</f>
        <v>0</v>
      </c>
      <c r="AN133" s="47"/>
    </row>
    <row r="134" spans="1:40" s="48" customFormat="1" ht="23.25" hidden="1" customHeight="1" x14ac:dyDescent="0.45">
      <c r="A134" s="46">
        <f>DATA!C135</f>
        <v>0</v>
      </c>
      <c r="B134" s="46">
        <f>DATA!D135</f>
        <v>0</v>
      </c>
      <c r="C134" s="46">
        <f>DATA!F135</f>
        <v>0</v>
      </c>
      <c r="D134" s="46">
        <f>DATA!G135</f>
        <v>0</v>
      </c>
      <c r="E134" s="46">
        <f>DATA!H135</f>
        <v>0</v>
      </c>
      <c r="F134" s="46">
        <f>DATA!I135</f>
        <v>0</v>
      </c>
      <c r="G134" s="46"/>
      <c r="H134" s="46"/>
      <c r="I134" s="45">
        <f>DATA!L135</f>
        <v>0</v>
      </c>
      <c r="J134" s="46"/>
      <c r="K134" s="46">
        <f>DATA!O135</f>
        <v>0</v>
      </c>
      <c r="L134" s="46">
        <f>DATA!Q135</f>
        <v>0</v>
      </c>
      <c r="M134" s="46">
        <f>DATA!R135</f>
        <v>0</v>
      </c>
      <c r="N134" s="46"/>
      <c r="O134" s="46"/>
      <c r="P134" s="46">
        <f>DATA!U135</f>
        <v>0</v>
      </c>
      <c r="Q134" s="46">
        <f>DATA!V135</f>
        <v>0</v>
      </c>
      <c r="R134" s="46">
        <f>DATA!W135</f>
        <v>0</v>
      </c>
      <c r="S134" s="47"/>
      <c r="V134" s="46">
        <f>DATA!C135</f>
        <v>0</v>
      </c>
      <c r="W134" s="46">
        <f>DATA!D135</f>
        <v>0</v>
      </c>
      <c r="X134" s="46">
        <f>DATA!F135</f>
        <v>0</v>
      </c>
      <c r="Y134" s="46">
        <f>DATA!G135</f>
        <v>0</v>
      </c>
      <c r="Z134" s="46">
        <f>DATA!H135</f>
        <v>0</v>
      </c>
      <c r="AA134" s="46">
        <f>DATA!I135</f>
        <v>0</v>
      </c>
      <c r="AB134" s="46"/>
      <c r="AC134" s="46"/>
      <c r="AD134" s="45">
        <f>DATA!L135</f>
        <v>0</v>
      </c>
      <c r="AE134" s="46"/>
      <c r="AF134" s="46">
        <f>DATA!O135</f>
        <v>0</v>
      </c>
      <c r="AG134" s="46">
        <f>DATA!Q135</f>
        <v>0</v>
      </c>
      <c r="AH134" s="46">
        <f>DATA!R135</f>
        <v>0</v>
      </c>
      <c r="AI134" s="46"/>
      <c r="AJ134" s="46"/>
      <c r="AK134" s="46">
        <f>DATA!U135</f>
        <v>0</v>
      </c>
      <c r="AL134" s="46">
        <f>DATA!V135</f>
        <v>0</v>
      </c>
      <c r="AM134" s="46">
        <f>DATA!W135</f>
        <v>0</v>
      </c>
      <c r="AN134" s="47"/>
    </row>
    <row r="135" spans="1:40" s="48" customFormat="1" ht="23.25" hidden="1" customHeight="1" x14ac:dyDescent="0.45">
      <c r="A135" s="46">
        <f>DATA!C136</f>
        <v>0</v>
      </c>
      <c r="B135" s="46">
        <f>DATA!D136</f>
        <v>0</v>
      </c>
      <c r="C135" s="46">
        <f>DATA!F136</f>
        <v>0</v>
      </c>
      <c r="D135" s="46">
        <f>DATA!G136</f>
        <v>0</v>
      </c>
      <c r="E135" s="46">
        <f>DATA!H136</f>
        <v>0</v>
      </c>
      <c r="F135" s="46">
        <f>DATA!I136</f>
        <v>0</v>
      </c>
      <c r="G135" s="46"/>
      <c r="H135" s="46"/>
      <c r="I135" s="45">
        <f>DATA!L136</f>
        <v>0</v>
      </c>
      <c r="J135" s="46"/>
      <c r="K135" s="46">
        <f>DATA!O136</f>
        <v>0</v>
      </c>
      <c r="L135" s="46">
        <f>DATA!Q136</f>
        <v>0</v>
      </c>
      <c r="M135" s="46">
        <f>DATA!R136</f>
        <v>0</v>
      </c>
      <c r="N135" s="46"/>
      <c r="O135" s="46"/>
      <c r="P135" s="46">
        <f>DATA!U136</f>
        <v>0</v>
      </c>
      <c r="Q135" s="46">
        <f>DATA!V136</f>
        <v>0</v>
      </c>
      <c r="R135" s="46">
        <f>DATA!W136</f>
        <v>0</v>
      </c>
      <c r="S135" s="47"/>
      <c r="V135" s="46">
        <f>DATA!C136</f>
        <v>0</v>
      </c>
      <c r="W135" s="46">
        <f>DATA!D136</f>
        <v>0</v>
      </c>
      <c r="X135" s="46">
        <f>DATA!F136</f>
        <v>0</v>
      </c>
      <c r="Y135" s="46">
        <f>DATA!G136</f>
        <v>0</v>
      </c>
      <c r="Z135" s="46">
        <f>DATA!H136</f>
        <v>0</v>
      </c>
      <c r="AA135" s="46">
        <f>DATA!I136</f>
        <v>0</v>
      </c>
      <c r="AB135" s="46"/>
      <c r="AC135" s="46"/>
      <c r="AD135" s="45">
        <f>DATA!L136</f>
        <v>0</v>
      </c>
      <c r="AE135" s="46"/>
      <c r="AF135" s="46">
        <f>DATA!O136</f>
        <v>0</v>
      </c>
      <c r="AG135" s="46">
        <f>DATA!Q136</f>
        <v>0</v>
      </c>
      <c r="AH135" s="46">
        <f>DATA!R136</f>
        <v>0</v>
      </c>
      <c r="AI135" s="46"/>
      <c r="AJ135" s="46"/>
      <c r="AK135" s="46">
        <f>DATA!U136</f>
        <v>0</v>
      </c>
      <c r="AL135" s="46">
        <f>DATA!V136</f>
        <v>0</v>
      </c>
      <c r="AM135" s="46">
        <f>DATA!W136</f>
        <v>0</v>
      </c>
      <c r="AN135" s="47"/>
    </row>
    <row r="136" spans="1:40" s="48" customFormat="1" ht="23.25" hidden="1" customHeight="1" x14ac:dyDescent="0.45">
      <c r="A136" s="46">
        <f>DATA!C137</f>
        <v>0</v>
      </c>
      <c r="B136" s="46">
        <f>DATA!D137</f>
        <v>0</v>
      </c>
      <c r="C136" s="46">
        <f>DATA!F137</f>
        <v>0</v>
      </c>
      <c r="D136" s="46">
        <f>DATA!G137</f>
        <v>0</v>
      </c>
      <c r="E136" s="46">
        <f>DATA!H137</f>
        <v>0</v>
      </c>
      <c r="F136" s="46">
        <f>DATA!I137</f>
        <v>0</v>
      </c>
      <c r="G136" s="46"/>
      <c r="H136" s="46"/>
      <c r="I136" s="45">
        <f>DATA!L137</f>
        <v>0</v>
      </c>
      <c r="J136" s="46"/>
      <c r="K136" s="46">
        <f>DATA!O137</f>
        <v>0</v>
      </c>
      <c r="L136" s="46">
        <f>DATA!Q137</f>
        <v>0</v>
      </c>
      <c r="M136" s="46">
        <f>DATA!R137</f>
        <v>0</v>
      </c>
      <c r="N136" s="46"/>
      <c r="O136" s="46"/>
      <c r="P136" s="46">
        <f>DATA!U137</f>
        <v>0</v>
      </c>
      <c r="Q136" s="46">
        <f>DATA!V137</f>
        <v>0</v>
      </c>
      <c r="R136" s="46">
        <f>DATA!W137</f>
        <v>0</v>
      </c>
      <c r="S136" s="47"/>
      <c r="V136" s="46">
        <f>DATA!C137</f>
        <v>0</v>
      </c>
      <c r="W136" s="46">
        <f>DATA!D137</f>
        <v>0</v>
      </c>
      <c r="X136" s="46">
        <f>DATA!F137</f>
        <v>0</v>
      </c>
      <c r="Y136" s="46">
        <f>DATA!G137</f>
        <v>0</v>
      </c>
      <c r="Z136" s="46">
        <f>DATA!H137</f>
        <v>0</v>
      </c>
      <c r="AA136" s="46">
        <f>DATA!I137</f>
        <v>0</v>
      </c>
      <c r="AB136" s="46"/>
      <c r="AC136" s="46"/>
      <c r="AD136" s="45">
        <f>DATA!L137</f>
        <v>0</v>
      </c>
      <c r="AE136" s="46"/>
      <c r="AF136" s="46">
        <f>DATA!O137</f>
        <v>0</v>
      </c>
      <c r="AG136" s="46">
        <f>DATA!Q137</f>
        <v>0</v>
      </c>
      <c r="AH136" s="46">
        <f>DATA!R137</f>
        <v>0</v>
      </c>
      <c r="AI136" s="46"/>
      <c r="AJ136" s="46"/>
      <c r="AK136" s="46">
        <f>DATA!U137</f>
        <v>0</v>
      </c>
      <c r="AL136" s="46">
        <f>DATA!V137</f>
        <v>0</v>
      </c>
      <c r="AM136" s="46">
        <f>DATA!W137</f>
        <v>0</v>
      </c>
      <c r="AN136" s="47"/>
    </row>
    <row r="137" spans="1:40" s="48" customFormat="1" ht="23.25" hidden="1" customHeight="1" x14ac:dyDescent="0.45">
      <c r="A137" s="46">
        <f>DATA!C138</f>
        <v>0</v>
      </c>
      <c r="B137" s="46">
        <f>DATA!D138</f>
        <v>0</v>
      </c>
      <c r="C137" s="46">
        <f>DATA!F138</f>
        <v>0</v>
      </c>
      <c r="D137" s="46">
        <f>DATA!G138</f>
        <v>0</v>
      </c>
      <c r="E137" s="46">
        <f>DATA!H138</f>
        <v>0</v>
      </c>
      <c r="F137" s="46">
        <f>DATA!I138</f>
        <v>0</v>
      </c>
      <c r="G137" s="46"/>
      <c r="H137" s="46"/>
      <c r="I137" s="45">
        <f>DATA!L138</f>
        <v>0</v>
      </c>
      <c r="J137" s="46"/>
      <c r="K137" s="46">
        <f>DATA!O138</f>
        <v>0</v>
      </c>
      <c r="L137" s="46">
        <f>DATA!Q138</f>
        <v>0</v>
      </c>
      <c r="M137" s="46">
        <f>DATA!R138</f>
        <v>0</v>
      </c>
      <c r="N137" s="46"/>
      <c r="O137" s="46"/>
      <c r="P137" s="46">
        <f>DATA!U138</f>
        <v>0</v>
      </c>
      <c r="Q137" s="46">
        <f>DATA!V138</f>
        <v>0</v>
      </c>
      <c r="R137" s="46">
        <f>DATA!W138</f>
        <v>0</v>
      </c>
      <c r="S137" s="47"/>
      <c r="V137" s="46">
        <f>DATA!C138</f>
        <v>0</v>
      </c>
      <c r="W137" s="46">
        <f>DATA!D138</f>
        <v>0</v>
      </c>
      <c r="X137" s="46">
        <f>DATA!F138</f>
        <v>0</v>
      </c>
      <c r="Y137" s="46">
        <f>DATA!G138</f>
        <v>0</v>
      </c>
      <c r="Z137" s="46">
        <f>DATA!H138</f>
        <v>0</v>
      </c>
      <c r="AA137" s="46">
        <f>DATA!I138</f>
        <v>0</v>
      </c>
      <c r="AB137" s="46"/>
      <c r="AC137" s="46"/>
      <c r="AD137" s="45">
        <f>DATA!L138</f>
        <v>0</v>
      </c>
      <c r="AE137" s="46"/>
      <c r="AF137" s="46">
        <f>DATA!O138</f>
        <v>0</v>
      </c>
      <c r="AG137" s="46">
        <f>DATA!Q138</f>
        <v>0</v>
      </c>
      <c r="AH137" s="46">
        <f>DATA!R138</f>
        <v>0</v>
      </c>
      <c r="AI137" s="46"/>
      <c r="AJ137" s="46"/>
      <c r="AK137" s="46">
        <f>DATA!U138</f>
        <v>0</v>
      </c>
      <c r="AL137" s="46">
        <f>DATA!V138</f>
        <v>0</v>
      </c>
      <c r="AM137" s="46">
        <f>DATA!W138</f>
        <v>0</v>
      </c>
      <c r="AN137" s="47"/>
    </row>
    <row r="138" spans="1:40" s="48" customFormat="1" ht="23.25" hidden="1" customHeight="1" x14ac:dyDescent="0.45">
      <c r="A138" s="46">
        <f>DATA!C139</f>
        <v>0</v>
      </c>
      <c r="B138" s="46">
        <f>DATA!D139</f>
        <v>0</v>
      </c>
      <c r="C138" s="46">
        <f>DATA!F139</f>
        <v>0</v>
      </c>
      <c r="D138" s="46">
        <f>DATA!G139</f>
        <v>0</v>
      </c>
      <c r="E138" s="46">
        <f>DATA!H139</f>
        <v>0</v>
      </c>
      <c r="F138" s="46">
        <f>DATA!I139</f>
        <v>0</v>
      </c>
      <c r="G138" s="46"/>
      <c r="H138" s="46"/>
      <c r="I138" s="45">
        <f>DATA!L139</f>
        <v>0</v>
      </c>
      <c r="J138" s="46"/>
      <c r="K138" s="46">
        <f>DATA!O139</f>
        <v>0</v>
      </c>
      <c r="L138" s="46">
        <f>DATA!Q139</f>
        <v>0</v>
      </c>
      <c r="M138" s="46">
        <f>DATA!R139</f>
        <v>0</v>
      </c>
      <c r="N138" s="46"/>
      <c r="O138" s="46"/>
      <c r="P138" s="46">
        <f>DATA!U139</f>
        <v>0</v>
      </c>
      <c r="Q138" s="46">
        <f>DATA!V139</f>
        <v>0</v>
      </c>
      <c r="R138" s="46">
        <f>DATA!W139</f>
        <v>0</v>
      </c>
      <c r="S138" s="47"/>
      <c r="V138" s="46">
        <f>DATA!C139</f>
        <v>0</v>
      </c>
      <c r="W138" s="46">
        <f>DATA!D139</f>
        <v>0</v>
      </c>
      <c r="X138" s="46">
        <f>DATA!F139</f>
        <v>0</v>
      </c>
      <c r="Y138" s="46">
        <f>DATA!G139</f>
        <v>0</v>
      </c>
      <c r="Z138" s="46">
        <f>DATA!H139</f>
        <v>0</v>
      </c>
      <c r="AA138" s="46">
        <f>DATA!I139</f>
        <v>0</v>
      </c>
      <c r="AB138" s="46"/>
      <c r="AC138" s="46"/>
      <c r="AD138" s="45">
        <f>DATA!L139</f>
        <v>0</v>
      </c>
      <c r="AE138" s="46"/>
      <c r="AF138" s="46">
        <f>DATA!O139</f>
        <v>0</v>
      </c>
      <c r="AG138" s="46">
        <f>DATA!Q139</f>
        <v>0</v>
      </c>
      <c r="AH138" s="46">
        <f>DATA!R139</f>
        <v>0</v>
      </c>
      <c r="AI138" s="46"/>
      <c r="AJ138" s="46"/>
      <c r="AK138" s="46">
        <f>DATA!U139</f>
        <v>0</v>
      </c>
      <c r="AL138" s="46">
        <f>DATA!V139</f>
        <v>0</v>
      </c>
      <c r="AM138" s="46">
        <f>DATA!W139</f>
        <v>0</v>
      </c>
      <c r="AN138" s="47"/>
    </row>
    <row r="139" spans="1:40" s="48" customFormat="1" ht="23.25" hidden="1" customHeight="1" x14ac:dyDescent="0.45">
      <c r="A139" s="46">
        <f>DATA!C140</f>
        <v>0</v>
      </c>
      <c r="B139" s="46">
        <f>DATA!D140</f>
        <v>0</v>
      </c>
      <c r="C139" s="46">
        <f>DATA!F140</f>
        <v>0</v>
      </c>
      <c r="D139" s="46">
        <f>DATA!G140</f>
        <v>0</v>
      </c>
      <c r="E139" s="46">
        <f>DATA!H140</f>
        <v>0</v>
      </c>
      <c r="F139" s="46">
        <f>DATA!I140</f>
        <v>0</v>
      </c>
      <c r="G139" s="46"/>
      <c r="H139" s="46"/>
      <c r="I139" s="45">
        <f>DATA!L140</f>
        <v>0</v>
      </c>
      <c r="J139" s="46"/>
      <c r="K139" s="46">
        <f>DATA!O140</f>
        <v>0</v>
      </c>
      <c r="L139" s="46">
        <f>DATA!Q140</f>
        <v>0</v>
      </c>
      <c r="M139" s="46">
        <f>DATA!R140</f>
        <v>0</v>
      </c>
      <c r="N139" s="46"/>
      <c r="O139" s="46"/>
      <c r="P139" s="46">
        <f>DATA!U140</f>
        <v>0</v>
      </c>
      <c r="Q139" s="46">
        <f>DATA!V140</f>
        <v>0</v>
      </c>
      <c r="R139" s="46">
        <f>DATA!W140</f>
        <v>0</v>
      </c>
      <c r="S139" s="47"/>
      <c r="V139" s="46">
        <f>DATA!C140</f>
        <v>0</v>
      </c>
      <c r="W139" s="46">
        <f>DATA!D140</f>
        <v>0</v>
      </c>
      <c r="X139" s="46">
        <f>DATA!F140</f>
        <v>0</v>
      </c>
      <c r="Y139" s="46">
        <f>DATA!G140</f>
        <v>0</v>
      </c>
      <c r="Z139" s="46">
        <f>DATA!H140</f>
        <v>0</v>
      </c>
      <c r="AA139" s="46">
        <f>DATA!I140</f>
        <v>0</v>
      </c>
      <c r="AB139" s="46"/>
      <c r="AC139" s="46"/>
      <c r="AD139" s="45">
        <f>DATA!L140</f>
        <v>0</v>
      </c>
      <c r="AE139" s="46"/>
      <c r="AF139" s="46">
        <f>DATA!O140</f>
        <v>0</v>
      </c>
      <c r="AG139" s="46">
        <f>DATA!Q140</f>
        <v>0</v>
      </c>
      <c r="AH139" s="46">
        <f>DATA!R140</f>
        <v>0</v>
      </c>
      <c r="AI139" s="46"/>
      <c r="AJ139" s="46"/>
      <c r="AK139" s="46">
        <f>DATA!U140</f>
        <v>0</v>
      </c>
      <c r="AL139" s="46">
        <f>DATA!V140</f>
        <v>0</v>
      </c>
      <c r="AM139" s="46">
        <f>DATA!W140</f>
        <v>0</v>
      </c>
      <c r="AN139" s="47"/>
    </row>
    <row r="140" spans="1:40" s="48" customFormat="1" ht="23.25" hidden="1" customHeight="1" x14ac:dyDescent="0.45">
      <c r="A140" s="46">
        <f>DATA!C141</f>
        <v>0</v>
      </c>
      <c r="B140" s="46">
        <f>DATA!D141</f>
        <v>0</v>
      </c>
      <c r="C140" s="46">
        <f>DATA!F141</f>
        <v>0</v>
      </c>
      <c r="D140" s="46">
        <f>DATA!G141</f>
        <v>0</v>
      </c>
      <c r="E140" s="46">
        <f>DATA!H141</f>
        <v>0</v>
      </c>
      <c r="F140" s="46">
        <f>DATA!I141</f>
        <v>0</v>
      </c>
      <c r="G140" s="46"/>
      <c r="H140" s="46"/>
      <c r="I140" s="45">
        <f>DATA!L141</f>
        <v>0</v>
      </c>
      <c r="J140" s="46"/>
      <c r="K140" s="46">
        <f>DATA!O141</f>
        <v>0</v>
      </c>
      <c r="L140" s="46">
        <f>DATA!Q141</f>
        <v>0</v>
      </c>
      <c r="M140" s="46">
        <f>DATA!R141</f>
        <v>0</v>
      </c>
      <c r="N140" s="46"/>
      <c r="O140" s="46"/>
      <c r="P140" s="46">
        <f>DATA!U141</f>
        <v>0</v>
      </c>
      <c r="Q140" s="46">
        <f>DATA!V141</f>
        <v>0</v>
      </c>
      <c r="R140" s="46">
        <f>DATA!W141</f>
        <v>0</v>
      </c>
      <c r="S140" s="47"/>
      <c r="V140" s="46">
        <f>DATA!C141</f>
        <v>0</v>
      </c>
      <c r="W140" s="46">
        <f>DATA!D141</f>
        <v>0</v>
      </c>
      <c r="X140" s="46">
        <f>DATA!F141</f>
        <v>0</v>
      </c>
      <c r="Y140" s="46">
        <f>DATA!G141</f>
        <v>0</v>
      </c>
      <c r="Z140" s="46">
        <f>DATA!H141</f>
        <v>0</v>
      </c>
      <c r="AA140" s="46">
        <f>DATA!I141</f>
        <v>0</v>
      </c>
      <c r="AB140" s="46"/>
      <c r="AC140" s="46"/>
      <c r="AD140" s="45">
        <f>DATA!L141</f>
        <v>0</v>
      </c>
      <c r="AE140" s="46"/>
      <c r="AF140" s="46">
        <f>DATA!O141</f>
        <v>0</v>
      </c>
      <c r="AG140" s="46">
        <f>DATA!Q141</f>
        <v>0</v>
      </c>
      <c r="AH140" s="46">
        <f>DATA!R141</f>
        <v>0</v>
      </c>
      <c r="AI140" s="46"/>
      <c r="AJ140" s="46"/>
      <c r="AK140" s="46">
        <f>DATA!U141</f>
        <v>0</v>
      </c>
      <c r="AL140" s="46">
        <f>DATA!V141</f>
        <v>0</v>
      </c>
      <c r="AM140" s="46">
        <f>DATA!W141</f>
        <v>0</v>
      </c>
      <c r="AN140" s="47"/>
    </row>
    <row r="141" spans="1:40" s="48" customFormat="1" ht="23.25" hidden="1" customHeight="1" x14ac:dyDescent="0.45">
      <c r="A141" s="46">
        <f>DATA!C142</f>
        <v>0</v>
      </c>
      <c r="B141" s="46">
        <f>DATA!D142</f>
        <v>0</v>
      </c>
      <c r="C141" s="46">
        <f>DATA!F142</f>
        <v>0</v>
      </c>
      <c r="D141" s="46">
        <f>DATA!G142</f>
        <v>0</v>
      </c>
      <c r="E141" s="46">
        <f>DATA!H142</f>
        <v>0</v>
      </c>
      <c r="F141" s="46">
        <f>DATA!I142</f>
        <v>0</v>
      </c>
      <c r="G141" s="46"/>
      <c r="H141" s="46"/>
      <c r="I141" s="45">
        <f>DATA!L142</f>
        <v>0</v>
      </c>
      <c r="J141" s="46"/>
      <c r="K141" s="46">
        <f>DATA!O142</f>
        <v>0</v>
      </c>
      <c r="L141" s="46">
        <f>DATA!Q142</f>
        <v>0</v>
      </c>
      <c r="M141" s="46">
        <f>DATA!R142</f>
        <v>0</v>
      </c>
      <c r="N141" s="46"/>
      <c r="O141" s="46"/>
      <c r="P141" s="46">
        <f>DATA!U142</f>
        <v>0</v>
      </c>
      <c r="Q141" s="46">
        <f>DATA!V142</f>
        <v>0</v>
      </c>
      <c r="R141" s="46">
        <f>DATA!W142</f>
        <v>0</v>
      </c>
      <c r="S141" s="47"/>
      <c r="V141" s="46">
        <f>DATA!C142</f>
        <v>0</v>
      </c>
      <c r="W141" s="46">
        <f>DATA!D142</f>
        <v>0</v>
      </c>
      <c r="X141" s="46">
        <f>DATA!F142</f>
        <v>0</v>
      </c>
      <c r="Y141" s="46">
        <f>DATA!G142</f>
        <v>0</v>
      </c>
      <c r="Z141" s="46">
        <f>DATA!H142</f>
        <v>0</v>
      </c>
      <c r="AA141" s="46">
        <f>DATA!I142</f>
        <v>0</v>
      </c>
      <c r="AB141" s="46"/>
      <c r="AC141" s="46"/>
      <c r="AD141" s="45">
        <f>DATA!L142</f>
        <v>0</v>
      </c>
      <c r="AE141" s="46"/>
      <c r="AF141" s="46">
        <f>DATA!O142</f>
        <v>0</v>
      </c>
      <c r="AG141" s="46">
        <f>DATA!Q142</f>
        <v>0</v>
      </c>
      <c r="AH141" s="46">
        <f>DATA!R142</f>
        <v>0</v>
      </c>
      <c r="AI141" s="46"/>
      <c r="AJ141" s="46"/>
      <c r="AK141" s="46">
        <f>DATA!U142</f>
        <v>0</v>
      </c>
      <c r="AL141" s="46">
        <f>DATA!V142</f>
        <v>0</v>
      </c>
      <c r="AM141" s="46">
        <f>DATA!W142</f>
        <v>0</v>
      </c>
      <c r="AN141" s="47"/>
    </row>
    <row r="142" spans="1:40" s="48" customFormat="1" ht="23.25" hidden="1" customHeight="1" x14ac:dyDescent="0.45">
      <c r="A142" s="46">
        <f>DATA!C143</f>
        <v>0</v>
      </c>
      <c r="B142" s="46">
        <f>DATA!D143</f>
        <v>0</v>
      </c>
      <c r="C142" s="46">
        <f>DATA!F143</f>
        <v>0</v>
      </c>
      <c r="D142" s="46">
        <f>DATA!G143</f>
        <v>0</v>
      </c>
      <c r="E142" s="46">
        <f>DATA!H143</f>
        <v>0</v>
      </c>
      <c r="F142" s="46">
        <f>DATA!I143</f>
        <v>0</v>
      </c>
      <c r="G142" s="46"/>
      <c r="H142" s="46"/>
      <c r="I142" s="45">
        <f>DATA!L143</f>
        <v>0</v>
      </c>
      <c r="J142" s="46"/>
      <c r="K142" s="46">
        <f>DATA!O143</f>
        <v>0</v>
      </c>
      <c r="L142" s="46">
        <f>DATA!Q143</f>
        <v>0</v>
      </c>
      <c r="M142" s="46">
        <f>DATA!R143</f>
        <v>0</v>
      </c>
      <c r="N142" s="46"/>
      <c r="O142" s="46"/>
      <c r="P142" s="46">
        <f>DATA!U143</f>
        <v>0</v>
      </c>
      <c r="Q142" s="46">
        <f>DATA!V143</f>
        <v>0</v>
      </c>
      <c r="R142" s="46">
        <f>DATA!W143</f>
        <v>0</v>
      </c>
      <c r="S142" s="47"/>
      <c r="V142" s="46">
        <f>DATA!C143</f>
        <v>0</v>
      </c>
      <c r="W142" s="46">
        <f>DATA!D143</f>
        <v>0</v>
      </c>
      <c r="X142" s="46">
        <f>DATA!F143</f>
        <v>0</v>
      </c>
      <c r="Y142" s="46">
        <f>DATA!G143</f>
        <v>0</v>
      </c>
      <c r="Z142" s="46">
        <f>DATA!H143</f>
        <v>0</v>
      </c>
      <c r="AA142" s="46">
        <f>DATA!I143</f>
        <v>0</v>
      </c>
      <c r="AB142" s="46"/>
      <c r="AC142" s="46"/>
      <c r="AD142" s="45">
        <f>DATA!L143</f>
        <v>0</v>
      </c>
      <c r="AE142" s="46"/>
      <c r="AF142" s="46">
        <f>DATA!O143</f>
        <v>0</v>
      </c>
      <c r="AG142" s="46">
        <f>DATA!Q143</f>
        <v>0</v>
      </c>
      <c r="AH142" s="46">
        <f>DATA!R143</f>
        <v>0</v>
      </c>
      <c r="AI142" s="46"/>
      <c r="AJ142" s="46"/>
      <c r="AK142" s="46">
        <f>DATA!U143</f>
        <v>0</v>
      </c>
      <c r="AL142" s="46">
        <f>DATA!V143</f>
        <v>0</v>
      </c>
      <c r="AM142" s="46">
        <f>DATA!W143</f>
        <v>0</v>
      </c>
      <c r="AN142" s="47"/>
    </row>
    <row r="143" spans="1:40" s="48" customFormat="1" ht="23.25" hidden="1" customHeight="1" x14ac:dyDescent="0.45">
      <c r="A143" s="46">
        <f>DATA!C144</f>
        <v>0</v>
      </c>
      <c r="B143" s="46">
        <f>DATA!D144</f>
        <v>0</v>
      </c>
      <c r="C143" s="46">
        <f>DATA!F144</f>
        <v>0</v>
      </c>
      <c r="D143" s="46">
        <f>DATA!G144</f>
        <v>0</v>
      </c>
      <c r="E143" s="46">
        <f>DATA!H144</f>
        <v>0</v>
      </c>
      <c r="F143" s="46">
        <f>DATA!I144</f>
        <v>0</v>
      </c>
      <c r="G143" s="46"/>
      <c r="H143" s="46"/>
      <c r="I143" s="45">
        <f>DATA!L144</f>
        <v>0</v>
      </c>
      <c r="J143" s="46"/>
      <c r="K143" s="46">
        <f>DATA!O144</f>
        <v>0</v>
      </c>
      <c r="L143" s="46">
        <f>DATA!Q144</f>
        <v>0</v>
      </c>
      <c r="M143" s="46">
        <f>DATA!R144</f>
        <v>0</v>
      </c>
      <c r="N143" s="46"/>
      <c r="O143" s="46"/>
      <c r="P143" s="46">
        <f>DATA!U144</f>
        <v>0</v>
      </c>
      <c r="Q143" s="46">
        <f>DATA!V144</f>
        <v>0</v>
      </c>
      <c r="R143" s="46">
        <f>DATA!W144</f>
        <v>0</v>
      </c>
      <c r="S143" s="47"/>
      <c r="V143" s="46">
        <f>DATA!C144</f>
        <v>0</v>
      </c>
      <c r="W143" s="46">
        <f>DATA!D144</f>
        <v>0</v>
      </c>
      <c r="X143" s="46">
        <f>DATA!F144</f>
        <v>0</v>
      </c>
      <c r="Y143" s="46">
        <f>DATA!G144</f>
        <v>0</v>
      </c>
      <c r="Z143" s="46">
        <f>DATA!H144</f>
        <v>0</v>
      </c>
      <c r="AA143" s="46">
        <f>DATA!I144</f>
        <v>0</v>
      </c>
      <c r="AB143" s="46"/>
      <c r="AC143" s="46"/>
      <c r="AD143" s="45">
        <f>DATA!L144</f>
        <v>0</v>
      </c>
      <c r="AE143" s="46"/>
      <c r="AF143" s="46">
        <f>DATA!O144</f>
        <v>0</v>
      </c>
      <c r="AG143" s="46">
        <f>DATA!Q144</f>
        <v>0</v>
      </c>
      <c r="AH143" s="46">
        <f>DATA!R144</f>
        <v>0</v>
      </c>
      <c r="AI143" s="46"/>
      <c r="AJ143" s="46"/>
      <c r="AK143" s="46">
        <f>DATA!U144</f>
        <v>0</v>
      </c>
      <c r="AL143" s="46">
        <f>DATA!V144</f>
        <v>0</v>
      </c>
      <c r="AM143" s="46">
        <f>DATA!W144</f>
        <v>0</v>
      </c>
      <c r="AN143" s="47"/>
    </row>
    <row r="144" spans="1:40" s="48" customFormat="1" ht="23.25" hidden="1" customHeight="1" x14ac:dyDescent="0.45">
      <c r="A144" s="46">
        <f>DATA!C145</f>
        <v>0</v>
      </c>
      <c r="B144" s="46">
        <f>DATA!D145</f>
        <v>0</v>
      </c>
      <c r="C144" s="46">
        <f>DATA!F145</f>
        <v>0</v>
      </c>
      <c r="D144" s="46">
        <f>DATA!G145</f>
        <v>0</v>
      </c>
      <c r="E144" s="46">
        <f>DATA!H145</f>
        <v>0</v>
      </c>
      <c r="F144" s="46">
        <f>DATA!I145</f>
        <v>0</v>
      </c>
      <c r="G144" s="46"/>
      <c r="H144" s="46"/>
      <c r="I144" s="45">
        <f>DATA!L145</f>
        <v>0</v>
      </c>
      <c r="J144" s="46"/>
      <c r="K144" s="46">
        <f>DATA!O145</f>
        <v>0</v>
      </c>
      <c r="L144" s="46">
        <f>DATA!Q145</f>
        <v>0</v>
      </c>
      <c r="M144" s="46">
        <f>DATA!R145</f>
        <v>0</v>
      </c>
      <c r="N144" s="46"/>
      <c r="O144" s="46"/>
      <c r="P144" s="46">
        <f>DATA!U145</f>
        <v>0</v>
      </c>
      <c r="Q144" s="46">
        <f>DATA!V145</f>
        <v>0</v>
      </c>
      <c r="R144" s="46">
        <f>DATA!W145</f>
        <v>0</v>
      </c>
      <c r="S144" s="47"/>
      <c r="V144" s="46">
        <f>DATA!C145</f>
        <v>0</v>
      </c>
      <c r="W144" s="46">
        <f>DATA!D145</f>
        <v>0</v>
      </c>
      <c r="X144" s="46">
        <f>DATA!F145</f>
        <v>0</v>
      </c>
      <c r="Y144" s="46">
        <f>DATA!G145</f>
        <v>0</v>
      </c>
      <c r="Z144" s="46">
        <f>DATA!H145</f>
        <v>0</v>
      </c>
      <c r="AA144" s="46">
        <f>DATA!I145</f>
        <v>0</v>
      </c>
      <c r="AB144" s="46"/>
      <c r="AC144" s="46"/>
      <c r="AD144" s="45">
        <f>DATA!L145</f>
        <v>0</v>
      </c>
      <c r="AE144" s="46"/>
      <c r="AF144" s="46">
        <f>DATA!O145</f>
        <v>0</v>
      </c>
      <c r="AG144" s="46">
        <f>DATA!Q145</f>
        <v>0</v>
      </c>
      <c r="AH144" s="46">
        <f>DATA!R145</f>
        <v>0</v>
      </c>
      <c r="AI144" s="46"/>
      <c r="AJ144" s="46"/>
      <c r="AK144" s="46">
        <f>DATA!U145</f>
        <v>0</v>
      </c>
      <c r="AL144" s="46">
        <f>DATA!V145</f>
        <v>0</v>
      </c>
      <c r="AM144" s="46">
        <f>DATA!W145</f>
        <v>0</v>
      </c>
      <c r="AN144" s="47"/>
    </row>
    <row r="145" spans="1:40" s="48" customFormat="1" ht="23.25" hidden="1" customHeight="1" x14ac:dyDescent="0.45">
      <c r="A145" s="46">
        <f>DATA!C146</f>
        <v>0</v>
      </c>
      <c r="B145" s="46">
        <f>DATA!D146</f>
        <v>0</v>
      </c>
      <c r="C145" s="46">
        <f>DATA!F146</f>
        <v>0</v>
      </c>
      <c r="D145" s="46">
        <f>DATA!G146</f>
        <v>0</v>
      </c>
      <c r="E145" s="46">
        <f>DATA!H146</f>
        <v>0</v>
      </c>
      <c r="F145" s="46">
        <f>DATA!I146</f>
        <v>0</v>
      </c>
      <c r="G145" s="46"/>
      <c r="H145" s="46"/>
      <c r="I145" s="45">
        <f>DATA!L146</f>
        <v>0</v>
      </c>
      <c r="J145" s="46"/>
      <c r="K145" s="46">
        <f>DATA!O146</f>
        <v>0</v>
      </c>
      <c r="L145" s="46">
        <f>DATA!Q146</f>
        <v>0</v>
      </c>
      <c r="M145" s="46">
        <f>DATA!R146</f>
        <v>0</v>
      </c>
      <c r="N145" s="46"/>
      <c r="O145" s="46"/>
      <c r="P145" s="46">
        <f>DATA!U146</f>
        <v>0</v>
      </c>
      <c r="Q145" s="46">
        <f>DATA!V146</f>
        <v>0</v>
      </c>
      <c r="R145" s="46">
        <f>DATA!W146</f>
        <v>0</v>
      </c>
      <c r="S145" s="47"/>
      <c r="V145" s="46">
        <f>DATA!C146</f>
        <v>0</v>
      </c>
      <c r="W145" s="46">
        <f>DATA!D146</f>
        <v>0</v>
      </c>
      <c r="X145" s="46">
        <f>DATA!F146</f>
        <v>0</v>
      </c>
      <c r="Y145" s="46">
        <f>DATA!G146</f>
        <v>0</v>
      </c>
      <c r="Z145" s="46">
        <f>DATA!H146</f>
        <v>0</v>
      </c>
      <c r="AA145" s="46">
        <f>DATA!I146</f>
        <v>0</v>
      </c>
      <c r="AB145" s="46"/>
      <c r="AC145" s="46"/>
      <c r="AD145" s="45">
        <f>DATA!L146</f>
        <v>0</v>
      </c>
      <c r="AE145" s="46"/>
      <c r="AF145" s="46">
        <f>DATA!O146</f>
        <v>0</v>
      </c>
      <c r="AG145" s="46">
        <f>DATA!Q146</f>
        <v>0</v>
      </c>
      <c r="AH145" s="46">
        <f>DATA!R146</f>
        <v>0</v>
      </c>
      <c r="AI145" s="46"/>
      <c r="AJ145" s="46"/>
      <c r="AK145" s="46">
        <f>DATA!U146</f>
        <v>0</v>
      </c>
      <c r="AL145" s="46">
        <f>DATA!V146</f>
        <v>0</v>
      </c>
      <c r="AM145" s="46">
        <f>DATA!W146</f>
        <v>0</v>
      </c>
      <c r="AN145" s="47"/>
    </row>
    <row r="146" spans="1:40" s="48" customFormat="1" ht="23.25" hidden="1" customHeight="1" x14ac:dyDescent="0.45">
      <c r="A146" s="46">
        <f>DATA!C147</f>
        <v>0</v>
      </c>
      <c r="B146" s="46">
        <f>DATA!D147</f>
        <v>0</v>
      </c>
      <c r="C146" s="46">
        <f>DATA!F147</f>
        <v>0</v>
      </c>
      <c r="D146" s="46">
        <f>DATA!G147</f>
        <v>0</v>
      </c>
      <c r="E146" s="46">
        <f>DATA!H147</f>
        <v>0</v>
      </c>
      <c r="F146" s="46">
        <f>DATA!I147</f>
        <v>0</v>
      </c>
      <c r="G146" s="46"/>
      <c r="H146" s="46"/>
      <c r="I146" s="45">
        <f>DATA!L147</f>
        <v>0</v>
      </c>
      <c r="J146" s="46"/>
      <c r="K146" s="46">
        <f>DATA!O147</f>
        <v>0</v>
      </c>
      <c r="L146" s="46">
        <f>DATA!Q147</f>
        <v>0</v>
      </c>
      <c r="M146" s="46">
        <f>DATA!R147</f>
        <v>0</v>
      </c>
      <c r="N146" s="46"/>
      <c r="O146" s="46"/>
      <c r="P146" s="46">
        <f>DATA!U147</f>
        <v>0</v>
      </c>
      <c r="Q146" s="46">
        <f>DATA!V147</f>
        <v>0</v>
      </c>
      <c r="R146" s="46">
        <f>DATA!W147</f>
        <v>0</v>
      </c>
      <c r="S146" s="47"/>
      <c r="V146" s="46">
        <f>DATA!C147</f>
        <v>0</v>
      </c>
      <c r="W146" s="46">
        <f>DATA!D147</f>
        <v>0</v>
      </c>
      <c r="X146" s="46">
        <f>DATA!F147</f>
        <v>0</v>
      </c>
      <c r="Y146" s="46">
        <f>DATA!G147</f>
        <v>0</v>
      </c>
      <c r="Z146" s="46">
        <f>DATA!H147</f>
        <v>0</v>
      </c>
      <c r="AA146" s="46">
        <f>DATA!I147</f>
        <v>0</v>
      </c>
      <c r="AB146" s="46"/>
      <c r="AC146" s="46"/>
      <c r="AD146" s="45">
        <f>DATA!L147</f>
        <v>0</v>
      </c>
      <c r="AE146" s="46"/>
      <c r="AF146" s="46">
        <f>DATA!O147</f>
        <v>0</v>
      </c>
      <c r="AG146" s="46">
        <f>DATA!Q147</f>
        <v>0</v>
      </c>
      <c r="AH146" s="46">
        <f>DATA!R147</f>
        <v>0</v>
      </c>
      <c r="AI146" s="46"/>
      <c r="AJ146" s="46"/>
      <c r="AK146" s="46">
        <f>DATA!U147</f>
        <v>0</v>
      </c>
      <c r="AL146" s="46">
        <f>DATA!V147</f>
        <v>0</v>
      </c>
      <c r="AM146" s="46">
        <f>DATA!W147</f>
        <v>0</v>
      </c>
      <c r="AN146" s="47"/>
    </row>
    <row r="147" spans="1:40" s="48" customFormat="1" ht="23.25" hidden="1" customHeight="1" x14ac:dyDescent="0.45">
      <c r="A147" s="46">
        <f>DATA!C148</f>
        <v>0</v>
      </c>
      <c r="B147" s="46">
        <f>DATA!D148</f>
        <v>0</v>
      </c>
      <c r="C147" s="46">
        <f>DATA!F148</f>
        <v>0</v>
      </c>
      <c r="D147" s="46">
        <f>DATA!G148</f>
        <v>0</v>
      </c>
      <c r="E147" s="46">
        <f>DATA!H148</f>
        <v>0</v>
      </c>
      <c r="F147" s="46">
        <f>DATA!I148</f>
        <v>0</v>
      </c>
      <c r="G147" s="46"/>
      <c r="H147" s="46"/>
      <c r="I147" s="45">
        <f>DATA!L148</f>
        <v>0</v>
      </c>
      <c r="J147" s="46"/>
      <c r="K147" s="46">
        <f>DATA!O148</f>
        <v>0</v>
      </c>
      <c r="L147" s="46">
        <f>DATA!Q148</f>
        <v>0</v>
      </c>
      <c r="M147" s="46">
        <f>DATA!R148</f>
        <v>0</v>
      </c>
      <c r="N147" s="46"/>
      <c r="O147" s="46"/>
      <c r="P147" s="46">
        <f>DATA!U148</f>
        <v>0</v>
      </c>
      <c r="Q147" s="46">
        <f>DATA!V148</f>
        <v>0</v>
      </c>
      <c r="R147" s="46">
        <f>DATA!W148</f>
        <v>0</v>
      </c>
      <c r="S147" s="47"/>
      <c r="V147" s="46">
        <f>DATA!C148</f>
        <v>0</v>
      </c>
      <c r="W147" s="46">
        <f>DATA!D148</f>
        <v>0</v>
      </c>
      <c r="X147" s="46">
        <f>DATA!F148</f>
        <v>0</v>
      </c>
      <c r="Y147" s="46">
        <f>DATA!G148</f>
        <v>0</v>
      </c>
      <c r="Z147" s="46">
        <f>DATA!H148</f>
        <v>0</v>
      </c>
      <c r="AA147" s="46">
        <f>DATA!I148</f>
        <v>0</v>
      </c>
      <c r="AB147" s="46"/>
      <c r="AC147" s="46"/>
      <c r="AD147" s="45">
        <f>DATA!L148</f>
        <v>0</v>
      </c>
      <c r="AE147" s="46"/>
      <c r="AF147" s="46">
        <f>DATA!O148</f>
        <v>0</v>
      </c>
      <c r="AG147" s="46">
        <f>DATA!Q148</f>
        <v>0</v>
      </c>
      <c r="AH147" s="46">
        <f>DATA!R148</f>
        <v>0</v>
      </c>
      <c r="AI147" s="46"/>
      <c r="AJ147" s="46"/>
      <c r="AK147" s="46">
        <f>DATA!U148</f>
        <v>0</v>
      </c>
      <c r="AL147" s="46">
        <f>DATA!V148</f>
        <v>0</v>
      </c>
      <c r="AM147" s="46">
        <f>DATA!W148</f>
        <v>0</v>
      </c>
      <c r="AN147" s="47"/>
    </row>
    <row r="148" spans="1:40" s="48" customFormat="1" ht="23.25" hidden="1" customHeight="1" x14ac:dyDescent="0.45">
      <c r="A148" s="46">
        <f>DATA!C149</f>
        <v>0</v>
      </c>
      <c r="B148" s="46">
        <f>DATA!D149</f>
        <v>0</v>
      </c>
      <c r="C148" s="46">
        <f>DATA!F149</f>
        <v>0</v>
      </c>
      <c r="D148" s="46">
        <f>DATA!G149</f>
        <v>0</v>
      </c>
      <c r="E148" s="46">
        <f>DATA!H149</f>
        <v>0</v>
      </c>
      <c r="F148" s="46">
        <f>DATA!I149</f>
        <v>0</v>
      </c>
      <c r="G148" s="46"/>
      <c r="H148" s="46"/>
      <c r="I148" s="45">
        <f>DATA!L149</f>
        <v>0</v>
      </c>
      <c r="J148" s="46"/>
      <c r="K148" s="46">
        <f>DATA!O149</f>
        <v>0</v>
      </c>
      <c r="L148" s="46">
        <f>DATA!Q149</f>
        <v>0</v>
      </c>
      <c r="M148" s="46">
        <f>DATA!R149</f>
        <v>0</v>
      </c>
      <c r="N148" s="46"/>
      <c r="O148" s="46"/>
      <c r="P148" s="46">
        <f>DATA!U149</f>
        <v>0</v>
      </c>
      <c r="Q148" s="46">
        <f>DATA!V149</f>
        <v>0</v>
      </c>
      <c r="R148" s="46">
        <f>DATA!W149</f>
        <v>0</v>
      </c>
      <c r="S148" s="47"/>
      <c r="V148" s="46">
        <f>DATA!C149</f>
        <v>0</v>
      </c>
      <c r="W148" s="46">
        <f>DATA!D149</f>
        <v>0</v>
      </c>
      <c r="X148" s="46">
        <f>DATA!F149</f>
        <v>0</v>
      </c>
      <c r="Y148" s="46">
        <f>DATA!G149</f>
        <v>0</v>
      </c>
      <c r="Z148" s="46">
        <f>DATA!H149</f>
        <v>0</v>
      </c>
      <c r="AA148" s="46">
        <f>DATA!I149</f>
        <v>0</v>
      </c>
      <c r="AB148" s="46"/>
      <c r="AC148" s="46"/>
      <c r="AD148" s="45">
        <f>DATA!L149</f>
        <v>0</v>
      </c>
      <c r="AE148" s="46"/>
      <c r="AF148" s="46">
        <f>DATA!O149</f>
        <v>0</v>
      </c>
      <c r="AG148" s="46">
        <f>DATA!Q149</f>
        <v>0</v>
      </c>
      <c r="AH148" s="46">
        <f>DATA!R149</f>
        <v>0</v>
      </c>
      <c r="AI148" s="46"/>
      <c r="AJ148" s="46"/>
      <c r="AK148" s="46">
        <f>DATA!U149</f>
        <v>0</v>
      </c>
      <c r="AL148" s="46">
        <f>DATA!V149</f>
        <v>0</v>
      </c>
      <c r="AM148" s="46">
        <f>DATA!W149</f>
        <v>0</v>
      </c>
      <c r="AN148" s="47"/>
    </row>
    <row r="149" spans="1:40" s="48" customFormat="1" ht="23.25" hidden="1" customHeight="1" x14ac:dyDescent="0.45">
      <c r="A149" s="46">
        <f>DATA!C150</f>
        <v>0</v>
      </c>
      <c r="B149" s="46">
        <f>DATA!D150</f>
        <v>0</v>
      </c>
      <c r="C149" s="46">
        <f>DATA!F150</f>
        <v>0</v>
      </c>
      <c r="D149" s="46">
        <f>DATA!G150</f>
        <v>0</v>
      </c>
      <c r="E149" s="46">
        <f>DATA!H150</f>
        <v>0</v>
      </c>
      <c r="F149" s="46">
        <f>DATA!I150</f>
        <v>0</v>
      </c>
      <c r="G149" s="46"/>
      <c r="H149" s="46"/>
      <c r="I149" s="45">
        <f>DATA!L150</f>
        <v>0</v>
      </c>
      <c r="J149" s="46"/>
      <c r="K149" s="46">
        <f>DATA!O150</f>
        <v>0</v>
      </c>
      <c r="L149" s="46">
        <f>DATA!Q150</f>
        <v>0</v>
      </c>
      <c r="M149" s="46">
        <f>DATA!R150</f>
        <v>0</v>
      </c>
      <c r="N149" s="46"/>
      <c r="O149" s="46"/>
      <c r="P149" s="46">
        <f>DATA!U150</f>
        <v>0</v>
      </c>
      <c r="Q149" s="46">
        <f>DATA!V150</f>
        <v>0</v>
      </c>
      <c r="R149" s="46">
        <f>DATA!W150</f>
        <v>0</v>
      </c>
      <c r="S149" s="47"/>
      <c r="V149" s="46">
        <f>DATA!C150</f>
        <v>0</v>
      </c>
      <c r="W149" s="46">
        <f>DATA!D150</f>
        <v>0</v>
      </c>
      <c r="X149" s="46">
        <f>DATA!F150</f>
        <v>0</v>
      </c>
      <c r="Y149" s="46">
        <f>DATA!G150</f>
        <v>0</v>
      </c>
      <c r="Z149" s="46">
        <f>DATA!H150</f>
        <v>0</v>
      </c>
      <c r="AA149" s="46">
        <f>DATA!I150</f>
        <v>0</v>
      </c>
      <c r="AB149" s="46"/>
      <c r="AC149" s="46"/>
      <c r="AD149" s="45">
        <f>DATA!L150</f>
        <v>0</v>
      </c>
      <c r="AE149" s="46"/>
      <c r="AF149" s="46">
        <f>DATA!O150</f>
        <v>0</v>
      </c>
      <c r="AG149" s="46">
        <f>DATA!Q150</f>
        <v>0</v>
      </c>
      <c r="AH149" s="46">
        <f>DATA!R150</f>
        <v>0</v>
      </c>
      <c r="AI149" s="46"/>
      <c r="AJ149" s="46"/>
      <c r="AK149" s="46">
        <f>DATA!U150</f>
        <v>0</v>
      </c>
      <c r="AL149" s="46">
        <f>DATA!V150</f>
        <v>0</v>
      </c>
      <c r="AM149" s="46">
        <f>DATA!W150</f>
        <v>0</v>
      </c>
      <c r="AN149" s="47"/>
    </row>
    <row r="150" spans="1:40" s="48" customFormat="1" ht="23.25" hidden="1" customHeight="1" x14ac:dyDescent="0.45">
      <c r="A150" s="46">
        <f>DATA!C151</f>
        <v>0</v>
      </c>
      <c r="B150" s="46">
        <f>DATA!D151</f>
        <v>0</v>
      </c>
      <c r="C150" s="46">
        <f>DATA!F151</f>
        <v>0</v>
      </c>
      <c r="D150" s="46">
        <f>DATA!G151</f>
        <v>0</v>
      </c>
      <c r="E150" s="46">
        <f>DATA!H151</f>
        <v>0</v>
      </c>
      <c r="F150" s="46">
        <f>DATA!I151</f>
        <v>0</v>
      </c>
      <c r="G150" s="46"/>
      <c r="H150" s="46"/>
      <c r="I150" s="45">
        <f>DATA!L151</f>
        <v>0</v>
      </c>
      <c r="J150" s="46"/>
      <c r="K150" s="46">
        <f>DATA!O151</f>
        <v>0</v>
      </c>
      <c r="L150" s="46">
        <f>DATA!Q151</f>
        <v>0</v>
      </c>
      <c r="M150" s="46">
        <f>DATA!R151</f>
        <v>0</v>
      </c>
      <c r="N150" s="46"/>
      <c r="O150" s="46"/>
      <c r="P150" s="46">
        <f>DATA!U151</f>
        <v>0</v>
      </c>
      <c r="Q150" s="46">
        <f>DATA!V151</f>
        <v>0</v>
      </c>
      <c r="R150" s="46">
        <f>DATA!W151</f>
        <v>0</v>
      </c>
      <c r="S150" s="47"/>
      <c r="V150" s="46">
        <f>DATA!C151</f>
        <v>0</v>
      </c>
      <c r="W150" s="46">
        <f>DATA!D151</f>
        <v>0</v>
      </c>
      <c r="X150" s="46">
        <f>DATA!F151</f>
        <v>0</v>
      </c>
      <c r="Y150" s="46">
        <f>DATA!G151</f>
        <v>0</v>
      </c>
      <c r="Z150" s="46">
        <f>DATA!H151</f>
        <v>0</v>
      </c>
      <c r="AA150" s="46">
        <f>DATA!I151</f>
        <v>0</v>
      </c>
      <c r="AB150" s="46"/>
      <c r="AC150" s="46"/>
      <c r="AD150" s="45">
        <f>DATA!L151</f>
        <v>0</v>
      </c>
      <c r="AE150" s="46"/>
      <c r="AF150" s="46">
        <f>DATA!O151</f>
        <v>0</v>
      </c>
      <c r="AG150" s="46">
        <f>DATA!Q151</f>
        <v>0</v>
      </c>
      <c r="AH150" s="46">
        <f>DATA!R151</f>
        <v>0</v>
      </c>
      <c r="AI150" s="46"/>
      <c r="AJ150" s="46"/>
      <c r="AK150" s="46">
        <f>DATA!U151</f>
        <v>0</v>
      </c>
      <c r="AL150" s="46">
        <f>DATA!V151</f>
        <v>0</v>
      </c>
      <c r="AM150" s="46">
        <f>DATA!W151</f>
        <v>0</v>
      </c>
      <c r="AN150" s="47"/>
    </row>
    <row r="151" spans="1:40" s="48" customFormat="1" ht="23.25" hidden="1" customHeight="1" x14ac:dyDescent="0.45">
      <c r="A151" s="46">
        <f>DATA!C152</f>
        <v>0</v>
      </c>
      <c r="B151" s="46">
        <f>DATA!D152</f>
        <v>0</v>
      </c>
      <c r="C151" s="46">
        <f>DATA!F152</f>
        <v>0</v>
      </c>
      <c r="D151" s="46">
        <f>DATA!G152</f>
        <v>0</v>
      </c>
      <c r="E151" s="46">
        <f>DATA!H152</f>
        <v>0</v>
      </c>
      <c r="F151" s="46">
        <f>DATA!I152</f>
        <v>0</v>
      </c>
      <c r="G151" s="46"/>
      <c r="H151" s="46"/>
      <c r="I151" s="45">
        <f>DATA!L152</f>
        <v>0</v>
      </c>
      <c r="J151" s="46"/>
      <c r="K151" s="46">
        <f>DATA!O152</f>
        <v>0</v>
      </c>
      <c r="L151" s="46">
        <f>DATA!Q152</f>
        <v>0</v>
      </c>
      <c r="M151" s="46">
        <f>DATA!R152</f>
        <v>0</v>
      </c>
      <c r="N151" s="46"/>
      <c r="O151" s="46"/>
      <c r="P151" s="46">
        <f>DATA!U152</f>
        <v>0</v>
      </c>
      <c r="Q151" s="46">
        <f>DATA!V152</f>
        <v>0</v>
      </c>
      <c r="R151" s="46">
        <f>DATA!W152</f>
        <v>0</v>
      </c>
      <c r="S151" s="47"/>
      <c r="V151" s="46">
        <f>DATA!C152</f>
        <v>0</v>
      </c>
      <c r="W151" s="46">
        <f>DATA!D152</f>
        <v>0</v>
      </c>
      <c r="X151" s="46">
        <f>DATA!F152</f>
        <v>0</v>
      </c>
      <c r="Y151" s="46">
        <f>DATA!G152</f>
        <v>0</v>
      </c>
      <c r="Z151" s="46">
        <f>DATA!H152</f>
        <v>0</v>
      </c>
      <c r="AA151" s="46">
        <f>DATA!I152</f>
        <v>0</v>
      </c>
      <c r="AB151" s="46"/>
      <c r="AC151" s="46"/>
      <c r="AD151" s="45">
        <f>DATA!L152</f>
        <v>0</v>
      </c>
      <c r="AE151" s="46"/>
      <c r="AF151" s="46">
        <f>DATA!O152</f>
        <v>0</v>
      </c>
      <c r="AG151" s="46">
        <f>DATA!Q152</f>
        <v>0</v>
      </c>
      <c r="AH151" s="46">
        <f>DATA!R152</f>
        <v>0</v>
      </c>
      <c r="AI151" s="46"/>
      <c r="AJ151" s="46"/>
      <c r="AK151" s="46">
        <f>DATA!U152</f>
        <v>0</v>
      </c>
      <c r="AL151" s="46">
        <f>DATA!V152</f>
        <v>0</v>
      </c>
      <c r="AM151" s="46">
        <f>DATA!W152</f>
        <v>0</v>
      </c>
      <c r="AN151" s="47"/>
    </row>
    <row r="152" spans="1:40" s="48" customFormat="1" ht="23.25" hidden="1" customHeight="1" x14ac:dyDescent="0.45">
      <c r="A152" s="46">
        <f>DATA!C153</f>
        <v>0</v>
      </c>
      <c r="B152" s="46">
        <f>DATA!D153</f>
        <v>0</v>
      </c>
      <c r="C152" s="46">
        <f>DATA!F153</f>
        <v>0</v>
      </c>
      <c r="D152" s="46">
        <f>DATA!G153</f>
        <v>0</v>
      </c>
      <c r="E152" s="46">
        <f>DATA!H153</f>
        <v>0</v>
      </c>
      <c r="F152" s="46">
        <f>DATA!I153</f>
        <v>0</v>
      </c>
      <c r="G152" s="46"/>
      <c r="H152" s="46"/>
      <c r="I152" s="45">
        <f>DATA!L153</f>
        <v>0</v>
      </c>
      <c r="J152" s="46"/>
      <c r="K152" s="46">
        <f>DATA!O153</f>
        <v>0</v>
      </c>
      <c r="L152" s="46">
        <f>DATA!Q153</f>
        <v>0</v>
      </c>
      <c r="M152" s="46">
        <f>DATA!R153</f>
        <v>0</v>
      </c>
      <c r="N152" s="46"/>
      <c r="O152" s="46"/>
      <c r="P152" s="46">
        <f>DATA!U153</f>
        <v>0</v>
      </c>
      <c r="Q152" s="46">
        <f>DATA!V153</f>
        <v>0</v>
      </c>
      <c r="R152" s="46">
        <f>DATA!W153</f>
        <v>0</v>
      </c>
      <c r="S152" s="47"/>
      <c r="V152" s="46">
        <f>DATA!C153</f>
        <v>0</v>
      </c>
      <c r="W152" s="46">
        <f>DATA!D153</f>
        <v>0</v>
      </c>
      <c r="X152" s="46">
        <f>DATA!F153</f>
        <v>0</v>
      </c>
      <c r="Y152" s="46">
        <f>DATA!G153</f>
        <v>0</v>
      </c>
      <c r="Z152" s="46">
        <f>DATA!H153</f>
        <v>0</v>
      </c>
      <c r="AA152" s="46">
        <f>DATA!I153</f>
        <v>0</v>
      </c>
      <c r="AB152" s="46"/>
      <c r="AC152" s="46"/>
      <c r="AD152" s="45">
        <f>DATA!L153</f>
        <v>0</v>
      </c>
      <c r="AE152" s="46"/>
      <c r="AF152" s="46">
        <f>DATA!O153</f>
        <v>0</v>
      </c>
      <c r="AG152" s="46">
        <f>DATA!Q153</f>
        <v>0</v>
      </c>
      <c r="AH152" s="46">
        <f>DATA!R153</f>
        <v>0</v>
      </c>
      <c r="AI152" s="46"/>
      <c r="AJ152" s="46"/>
      <c r="AK152" s="46">
        <f>DATA!U153</f>
        <v>0</v>
      </c>
      <c r="AL152" s="46">
        <f>DATA!V153</f>
        <v>0</v>
      </c>
      <c r="AM152" s="46">
        <f>DATA!W153</f>
        <v>0</v>
      </c>
      <c r="AN152" s="47"/>
    </row>
    <row r="153" spans="1:40" s="48" customFormat="1" ht="23.25" hidden="1" customHeight="1" x14ac:dyDescent="0.45">
      <c r="A153" s="46">
        <f>DATA!C154</f>
        <v>0</v>
      </c>
      <c r="B153" s="46">
        <f>DATA!D154</f>
        <v>0</v>
      </c>
      <c r="C153" s="46">
        <f>DATA!F154</f>
        <v>0</v>
      </c>
      <c r="D153" s="46">
        <f>DATA!G154</f>
        <v>0</v>
      </c>
      <c r="E153" s="46">
        <f>DATA!H154</f>
        <v>0</v>
      </c>
      <c r="F153" s="46">
        <f>DATA!I154</f>
        <v>0</v>
      </c>
      <c r="G153" s="46"/>
      <c r="H153" s="46"/>
      <c r="I153" s="45">
        <f>DATA!L154</f>
        <v>0</v>
      </c>
      <c r="J153" s="46"/>
      <c r="K153" s="46">
        <f>DATA!O154</f>
        <v>0</v>
      </c>
      <c r="L153" s="46">
        <f>DATA!Q154</f>
        <v>0</v>
      </c>
      <c r="M153" s="46">
        <f>DATA!R154</f>
        <v>0</v>
      </c>
      <c r="N153" s="46"/>
      <c r="O153" s="46"/>
      <c r="P153" s="46">
        <f>DATA!U154</f>
        <v>0</v>
      </c>
      <c r="Q153" s="46">
        <f>DATA!V154</f>
        <v>0</v>
      </c>
      <c r="R153" s="46">
        <f>DATA!W154</f>
        <v>0</v>
      </c>
      <c r="S153" s="47"/>
      <c r="V153" s="46">
        <f>DATA!C154</f>
        <v>0</v>
      </c>
      <c r="W153" s="46">
        <f>DATA!D154</f>
        <v>0</v>
      </c>
      <c r="X153" s="46">
        <f>DATA!F154</f>
        <v>0</v>
      </c>
      <c r="Y153" s="46">
        <f>DATA!G154</f>
        <v>0</v>
      </c>
      <c r="Z153" s="46">
        <f>DATA!H154</f>
        <v>0</v>
      </c>
      <c r="AA153" s="46">
        <f>DATA!I154</f>
        <v>0</v>
      </c>
      <c r="AB153" s="46"/>
      <c r="AC153" s="46"/>
      <c r="AD153" s="45">
        <f>DATA!L154</f>
        <v>0</v>
      </c>
      <c r="AE153" s="46"/>
      <c r="AF153" s="46">
        <f>DATA!O154</f>
        <v>0</v>
      </c>
      <c r="AG153" s="46">
        <f>DATA!Q154</f>
        <v>0</v>
      </c>
      <c r="AH153" s="46">
        <f>DATA!R154</f>
        <v>0</v>
      </c>
      <c r="AI153" s="46"/>
      <c r="AJ153" s="46"/>
      <c r="AK153" s="46">
        <f>DATA!U154</f>
        <v>0</v>
      </c>
      <c r="AL153" s="46">
        <f>DATA!V154</f>
        <v>0</v>
      </c>
      <c r="AM153" s="46">
        <f>DATA!W154</f>
        <v>0</v>
      </c>
      <c r="AN153" s="47"/>
    </row>
    <row r="154" spans="1:40" s="48" customFormat="1" ht="23.25" hidden="1" customHeight="1" x14ac:dyDescent="0.45">
      <c r="A154" s="46">
        <f>DATA!C155</f>
        <v>0</v>
      </c>
      <c r="B154" s="46">
        <f>DATA!D155</f>
        <v>0</v>
      </c>
      <c r="C154" s="46">
        <f>DATA!F155</f>
        <v>0</v>
      </c>
      <c r="D154" s="46">
        <f>DATA!G155</f>
        <v>0</v>
      </c>
      <c r="E154" s="46">
        <f>DATA!H155</f>
        <v>0</v>
      </c>
      <c r="F154" s="46">
        <f>DATA!I155</f>
        <v>0</v>
      </c>
      <c r="G154" s="46"/>
      <c r="H154" s="46"/>
      <c r="I154" s="45">
        <f>DATA!L155</f>
        <v>0</v>
      </c>
      <c r="J154" s="46"/>
      <c r="K154" s="46">
        <f>DATA!O155</f>
        <v>0</v>
      </c>
      <c r="L154" s="46">
        <f>DATA!Q155</f>
        <v>0</v>
      </c>
      <c r="M154" s="46">
        <f>DATA!R155</f>
        <v>0</v>
      </c>
      <c r="N154" s="46"/>
      <c r="O154" s="46"/>
      <c r="P154" s="46">
        <f>DATA!U155</f>
        <v>0</v>
      </c>
      <c r="Q154" s="46">
        <f>DATA!V155</f>
        <v>0</v>
      </c>
      <c r="R154" s="46">
        <f>DATA!W155</f>
        <v>0</v>
      </c>
      <c r="S154" s="47"/>
      <c r="V154" s="46">
        <f>DATA!C155</f>
        <v>0</v>
      </c>
      <c r="W154" s="46">
        <f>DATA!D155</f>
        <v>0</v>
      </c>
      <c r="X154" s="46">
        <f>DATA!F155</f>
        <v>0</v>
      </c>
      <c r="Y154" s="46">
        <f>DATA!G155</f>
        <v>0</v>
      </c>
      <c r="Z154" s="46">
        <f>DATA!H155</f>
        <v>0</v>
      </c>
      <c r="AA154" s="46">
        <f>DATA!I155</f>
        <v>0</v>
      </c>
      <c r="AB154" s="46"/>
      <c r="AC154" s="46"/>
      <c r="AD154" s="45">
        <f>DATA!L155</f>
        <v>0</v>
      </c>
      <c r="AE154" s="46"/>
      <c r="AF154" s="46">
        <f>DATA!O155</f>
        <v>0</v>
      </c>
      <c r="AG154" s="46">
        <f>DATA!Q155</f>
        <v>0</v>
      </c>
      <c r="AH154" s="46">
        <f>DATA!R155</f>
        <v>0</v>
      </c>
      <c r="AI154" s="46"/>
      <c r="AJ154" s="46"/>
      <c r="AK154" s="46">
        <f>DATA!U155</f>
        <v>0</v>
      </c>
      <c r="AL154" s="46">
        <f>DATA!V155</f>
        <v>0</v>
      </c>
      <c r="AM154" s="46">
        <f>DATA!W155</f>
        <v>0</v>
      </c>
      <c r="AN154" s="47"/>
    </row>
    <row r="155" spans="1:40" s="48" customFormat="1" ht="23.25" hidden="1" customHeight="1" x14ac:dyDescent="0.45">
      <c r="A155" s="46">
        <f>DATA!C156</f>
        <v>0</v>
      </c>
      <c r="B155" s="46">
        <f>DATA!D156</f>
        <v>0</v>
      </c>
      <c r="C155" s="46">
        <f>DATA!F156</f>
        <v>0</v>
      </c>
      <c r="D155" s="46">
        <f>DATA!G156</f>
        <v>0</v>
      </c>
      <c r="E155" s="46">
        <f>DATA!H156</f>
        <v>0</v>
      </c>
      <c r="F155" s="46">
        <f>DATA!I156</f>
        <v>0</v>
      </c>
      <c r="G155" s="46"/>
      <c r="H155" s="46"/>
      <c r="I155" s="45">
        <f>DATA!L156</f>
        <v>0</v>
      </c>
      <c r="J155" s="46"/>
      <c r="K155" s="46">
        <f>DATA!O156</f>
        <v>0</v>
      </c>
      <c r="L155" s="46">
        <f>DATA!Q156</f>
        <v>0</v>
      </c>
      <c r="M155" s="46">
        <f>DATA!R156</f>
        <v>0</v>
      </c>
      <c r="N155" s="46"/>
      <c r="O155" s="46"/>
      <c r="P155" s="46">
        <f>DATA!U156</f>
        <v>0</v>
      </c>
      <c r="Q155" s="46">
        <f>DATA!V156</f>
        <v>0</v>
      </c>
      <c r="R155" s="46">
        <f>DATA!W156</f>
        <v>0</v>
      </c>
      <c r="S155" s="47"/>
      <c r="V155" s="46">
        <f>DATA!C156</f>
        <v>0</v>
      </c>
      <c r="W155" s="46">
        <f>DATA!D156</f>
        <v>0</v>
      </c>
      <c r="X155" s="46">
        <f>DATA!F156</f>
        <v>0</v>
      </c>
      <c r="Y155" s="46">
        <f>DATA!G156</f>
        <v>0</v>
      </c>
      <c r="Z155" s="46">
        <f>DATA!H156</f>
        <v>0</v>
      </c>
      <c r="AA155" s="46">
        <f>DATA!I156</f>
        <v>0</v>
      </c>
      <c r="AB155" s="46"/>
      <c r="AC155" s="46"/>
      <c r="AD155" s="45">
        <f>DATA!L156</f>
        <v>0</v>
      </c>
      <c r="AE155" s="46"/>
      <c r="AF155" s="46">
        <f>DATA!O156</f>
        <v>0</v>
      </c>
      <c r="AG155" s="46">
        <f>DATA!Q156</f>
        <v>0</v>
      </c>
      <c r="AH155" s="46">
        <f>DATA!R156</f>
        <v>0</v>
      </c>
      <c r="AI155" s="46"/>
      <c r="AJ155" s="46"/>
      <c r="AK155" s="46">
        <f>DATA!U156</f>
        <v>0</v>
      </c>
      <c r="AL155" s="46">
        <f>DATA!V156</f>
        <v>0</v>
      </c>
      <c r="AM155" s="46">
        <f>DATA!W156</f>
        <v>0</v>
      </c>
      <c r="AN155" s="47"/>
    </row>
    <row r="156" spans="1:40" s="48" customFormat="1" ht="23.25" hidden="1" customHeight="1" x14ac:dyDescent="0.45">
      <c r="A156" s="46">
        <f>DATA!C157</f>
        <v>0</v>
      </c>
      <c r="B156" s="46">
        <f>DATA!D157</f>
        <v>0</v>
      </c>
      <c r="C156" s="46">
        <f>DATA!F157</f>
        <v>0</v>
      </c>
      <c r="D156" s="46">
        <f>DATA!G157</f>
        <v>0</v>
      </c>
      <c r="E156" s="46">
        <f>DATA!H157</f>
        <v>0</v>
      </c>
      <c r="F156" s="46">
        <f>DATA!I157</f>
        <v>0</v>
      </c>
      <c r="G156" s="46"/>
      <c r="H156" s="46"/>
      <c r="I156" s="45">
        <f>DATA!L157</f>
        <v>0</v>
      </c>
      <c r="J156" s="46"/>
      <c r="K156" s="46">
        <f>DATA!O157</f>
        <v>0</v>
      </c>
      <c r="L156" s="46">
        <f>DATA!Q157</f>
        <v>0</v>
      </c>
      <c r="M156" s="46">
        <f>DATA!R157</f>
        <v>0</v>
      </c>
      <c r="N156" s="46"/>
      <c r="O156" s="46"/>
      <c r="P156" s="46">
        <f>DATA!U157</f>
        <v>0</v>
      </c>
      <c r="Q156" s="46">
        <f>DATA!V157</f>
        <v>0</v>
      </c>
      <c r="R156" s="46">
        <f>DATA!W157</f>
        <v>0</v>
      </c>
      <c r="S156" s="47"/>
      <c r="V156" s="46">
        <f>DATA!C157</f>
        <v>0</v>
      </c>
      <c r="W156" s="46">
        <f>DATA!D157</f>
        <v>0</v>
      </c>
      <c r="X156" s="46">
        <f>DATA!F157</f>
        <v>0</v>
      </c>
      <c r="Y156" s="46">
        <f>DATA!G157</f>
        <v>0</v>
      </c>
      <c r="Z156" s="46">
        <f>DATA!H157</f>
        <v>0</v>
      </c>
      <c r="AA156" s="46">
        <f>DATA!I157</f>
        <v>0</v>
      </c>
      <c r="AB156" s="46"/>
      <c r="AC156" s="46"/>
      <c r="AD156" s="45">
        <f>DATA!L157</f>
        <v>0</v>
      </c>
      <c r="AE156" s="46"/>
      <c r="AF156" s="46">
        <f>DATA!O157</f>
        <v>0</v>
      </c>
      <c r="AG156" s="46">
        <f>DATA!Q157</f>
        <v>0</v>
      </c>
      <c r="AH156" s="46">
        <f>DATA!R157</f>
        <v>0</v>
      </c>
      <c r="AI156" s="46"/>
      <c r="AJ156" s="46"/>
      <c r="AK156" s="46">
        <f>DATA!U157</f>
        <v>0</v>
      </c>
      <c r="AL156" s="46">
        <f>DATA!V157</f>
        <v>0</v>
      </c>
      <c r="AM156" s="46">
        <f>DATA!W157</f>
        <v>0</v>
      </c>
      <c r="AN156" s="47"/>
    </row>
    <row r="157" spans="1:40" s="48" customFormat="1" ht="23.25" hidden="1" customHeight="1" x14ac:dyDescent="0.45">
      <c r="A157" s="46">
        <f>DATA!C158</f>
        <v>0</v>
      </c>
      <c r="B157" s="46">
        <f>DATA!D158</f>
        <v>0</v>
      </c>
      <c r="C157" s="46">
        <f>DATA!F158</f>
        <v>0</v>
      </c>
      <c r="D157" s="46">
        <f>DATA!G158</f>
        <v>0</v>
      </c>
      <c r="E157" s="46">
        <f>DATA!H158</f>
        <v>0</v>
      </c>
      <c r="F157" s="46">
        <f>DATA!I158</f>
        <v>0</v>
      </c>
      <c r="G157" s="46"/>
      <c r="H157" s="46"/>
      <c r="I157" s="45">
        <f>DATA!L158</f>
        <v>0</v>
      </c>
      <c r="J157" s="46"/>
      <c r="K157" s="46">
        <f>DATA!O158</f>
        <v>0</v>
      </c>
      <c r="L157" s="46">
        <f>DATA!Q158</f>
        <v>0</v>
      </c>
      <c r="M157" s="46">
        <f>DATA!R158</f>
        <v>0</v>
      </c>
      <c r="N157" s="46"/>
      <c r="O157" s="46"/>
      <c r="P157" s="46">
        <f>DATA!U158</f>
        <v>0</v>
      </c>
      <c r="Q157" s="46">
        <f>DATA!V158</f>
        <v>0</v>
      </c>
      <c r="R157" s="46">
        <f>DATA!W158</f>
        <v>0</v>
      </c>
      <c r="S157" s="47"/>
      <c r="V157" s="46">
        <f>DATA!C158</f>
        <v>0</v>
      </c>
      <c r="W157" s="46">
        <f>DATA!D158</f>
        <v>0</v>
      </c>
      <c r="X157" s="46">
        <f>DATA!F158</f>
        <v>0</v>
      </c>
      <c r="Y157" s="46">
        <f>DATA!G158</f>
        <v>0</v>
      </c>
      <c r="Z157" s="46">
        <f>DATA!H158</f>
        <v>0</v>
      </c>
      <c r="AA157" s="46">
        <f>DATA!I158</f>
        <v>0</v>
      </c>
      <c r="AB157" s="46"/>
      <c r="AC157" s="46"/>
      <c r="AD157" s="45">
        <f>DATA!L158</f>
        <v>0</v>
      </c>
      <c r="AE157" s="46"/>
      <c r="AF157" s="46">
        <f>DATA!O158</f>
        <v>0</v>
      </c>
      <c r="AG157" s="46">
        <f>DATA!Q158</f>
        <v>0</v>
      </c>
      <c r="AH157" s="46">
        <f>DATA!R158</f>
        <v>0</v>
      </c>
      <c r="AI157" s="46"/>
      <c r="AJ157" s="46"/>
      <c r="AK157" s="46">
        <f>DATA!U158</f>
        <v>0</v>
      </c>
      <c r="AL157" s="46">
        <f>DATA!V158</f>
        <v>0</v>
      </c>
      <c r="AM157" s="46">
        <f>DATA!W158</f>
        <v>0</v>
      </c>
      <c r="AN157" s="47"/>
    </row>
    <row r="158" spans="1:40" s="48" customFormat="1" ht="23.25" hidden="1" customHeight="1" x14ac:dyDescent="0.45">
      <c r="A158" s="46">
        <f>DATA!C159</f>
        <v>0</v>
      </c>
      <c r="B158" s="46">
        <f>DATA!D159</f>
        <v>0</v>
      </c>
      <c r="C158" s="46">
        <f>DATA!F159</f>
        <v>0</v>
      </c>
      <c r="D158" s="46">
        <f>DATA!G159</f>
        <v>0</v>
      </c>
      <c r="E158" s="46">
        <f>DATA!H159</f>
        <v>0</v>
      </c>
      <c r="F158" s="46">
        <f>DATA!I159</f>
        <v>0</v>
      </c>
      <c r="G158" s="46"/>
      <c r="H158" s="46"/>
      <c r="I158" s="45">
        <f>DATA!L159</f>
        <v>0</v>
      </c>
      <c r="J158" s="46"/>
      <c r="K158" s="46">
        <f>DATA!O159</f>
        <v>0</v>
      </c>
      <c r="L158" s="46">
        <f>DATA!Q159</f>
        <v>0</v>
      </c>
      <c r="M158" s="46">
        <f>DATA!R159</f>
        <v>0</v>
      </c>
      <c r="N158" s="46"/>
      <c r="O158" s="46"/>
      <c r="P158" s="46">
        <f>DATA!U159</f>
        <v>0</v>
      </c>
      <c r="Q158" s="46">
        <f>DATA!V159</f>
        <v>0</v>
      </c>
      <c r="R158" s="46">
        <f>DATA!W159</f>
        <v>0</v>
      </c>
      <c r="S158" s="47"/>
      <c r="V158" s="46">
        <f>DATA!C159</f>
        <v>0</v>
      </c>
      <c r="W158" s="46">
        <f>DATA!D159</f>
        <v>0</v>
      </c>
      <c r="X158" s="46">
        <f>DATA!F159</f>
        <v>0</v>
      </c>
      <c r="Y158" s="46">
        <f>DATA!G159</f>
        <v>0</v>
      </c>
      <c r="Z158" s="46">
        <f>DATA!H159</f>
        <v>0</v>
      </c>
      <c r="AA158" s="46">
        <f>DATA!I159</f>
        <v>0</v>
      </c>
      <c r="AB158" s="46"/>
      <c r="AC158" s="46"/>
      <c r="AD158" s="45">
        <f>DATA!L159</f>
        <v>0</v>
      </c>
      <c r="AE158" s="46"/>
      <c r="AF158" s="46">
        <f>DATA!O159</f>
        <v>0</v>
      </c>
      <c r="AG158" s="46">
        <f>DATA!Q159</f>
        <v>0</v>
      </c>
      <c r="AH158" s="46">
        <f>DATA!R159</f>
        <v>0</v>
      </c>
      <c r="AI158" s="46"/>
      <c r="AJ158" s="46"/>
      <c r="AK158" s="46">
        <f>DATA!U159</f>
        <v>0</v>
      </c>
      <c r="AL158" s="46">
        <f>DATA!V159</f>
        <v>0</v>
      </c>
      <c r="AM158" s="46">
        <f>DATA!W159</f>
        <v>0</v>
      </c>
      <c r="AN158" s="47"/>
    </row>
    <row r="159" spans="1:40" s="48" customFormat="1" ht="23.25" hidden="1" customHeight="1" x14ac:dyDescent="0.45">
      <c r="A159" s="46">
        <f>DATA!C160</f>
        <v>0</v>
      </c>
      <c r="B159" s="46">
        <f>DATA!D160</f>
        <v>0</v>
      </c>
      <c r="C159" s="46">
        <f>DATA!F160</f>
        <v>0</v>
      </c>
      <c r="D159" s="46">
        <f>DATA!G160</f>
        <v>0</v>
      </c>
      <c r="E159" s="46">
        <f>DATA!H160</f>
        <v>0</v>
      </c>
      <c r="F159" s="46">
        <f>DATA!I160</f>
        <v>0</v>
      </c>
      <c r="G159" s="46"/>
      <c r="H159" s="46"/>
      <c r="I159" s="45">
        <f>DATA!L160</f>
        <v>0</v>
      </c>
      <c r="J159" s="46"/>
      <c r="K159" s="46">
        <f>DATA!O160</f>
        <v>0</v>
      </c>
      <c r="L159" s="46">
        <f>DATA!Q160</f>
        <v>0</v>
      </c>
      <c r="M159" s="46">
        <f>DATA!R160</f>
        <v>0</v>
      </c>
      <c r="N159" s="46"/>
      <c r="O159" s="46"/>
      <c r="P159" s="46">
        <f>DATA!U160</f>
        <v>0</v>
      </c>
      <c r="Q159" s="46">
        <f>DATA!V160</f>
        <v>0</v>
      </c>
      <c r="R159" s="46">
        <f>DATA!W160</f>
        <v>0</v>
      </c>
      <c r="S159" s="47"/>
      <c r="V159" s="46">
        <f>DATA!C160</f>
        <v>0</v>
      </c>
      <c r="W159" s="46">
        <f>DATA!D160</f>
        <v>0</v>
      </c>
      <c r="X159" s="46">
        <f>DATA!F160</f>
        <v>0</v>
      </c>
      <c r="Y159" s="46">
        <f>DATA!G160</f>
        <v>0</v>
      </c>
      <c r="Z159" s="46">
        <f>DATA!H160</f>
        <v>0</v>
      </c>
      <c r="AA159" s="46">
        <f>DATA!I160</f>
        <v>0</v>
      </c>
      <c r="AB159" s="46"/>
      <c r="AC159" s="46"/>
      <c r="AD159" s="45">
        <f>DATA!L160</f>
        <v>0</v>
      </c>
      <c r="AE159" s="46"/>
      <c r="AF159" s="46">
        <f>DATA!O160</f>
        <v>0</v>
      </c>
      <c r="AG159" s="46">
        <f>DATA!Q160</f>
        <v>0</v>
      </c>
      <c r="AH159" s="46">
        <f>DATA!R160</f>
        <v>0</v>
      </c>
      <c r="AI159" s="46"/>
      <c r="AJ159" s="46"/>
      <c r="AK159" s="46">
        <f>DATA!U160</f>
        <v>0</v>
      </c>
      <c r="AL159" s="46">
        <f>DATA!V160</f>
        <v>0</v>
      </c>
      <c r="AM159" s="46">
        <f>DATA!W160</f>
        <v>0</v>
      </c>
      <c r="AN159" s="47"/>
    </row>
    <row r="160" spans="1:40" s="48" customFormat="1" ht="23.25" hidden="1" customHeight="1" x14ac:dyDescent="0.45">
      <c r="A160" s="46">
        <f>DATA!C161</f>
        <v>0</v>
      </c>
      <c r="B160" s="46">
        <f>DATA!D161</f>
        <v>0</v>
      </c>
      <c r="C160" s="46">
        <f>DATA!F161</f>
        <v>0</v>
      </c>
      <c r="D160" s="46">
        <f>DATA!G161</f>
        <v>0</v>
      </c>
      <c r="E160" s="46">
        <f>DATA!H161</f>
        <v>0</v>
      </c>
      <c r="F160" s="46">
        <f>DATA!I161</f>
        <v>0</v>
      </c>
      <c r="G160" s="46"/>
      <c r="H160" s="46"/>
      <c r="I160" s="45">
        <f>DATA!L161</f>
        <v>0</v>
      </c>
      <c r="J160" s="46"/>
      <c r="K160" s="46">
        <f>DATA!O161</f>
        <v>0</v>
      </c>
      <c r="L160" s="46">
        <f>DATA!Q161</f>
        <v>0</v>
      </c>
      <c r="M160" s="46">
        <f>DATA!R161</f>
        <v>0</v>
      </c>
      <c r="N160" s="46"/>
      <c r="O160" s="46"/>
      <c r="P160" s="46">
        <f>DATA!U161</f>
        <v>0</v>
      </c>
      <c r="Q160" s="46">
        <f>DATA!V161</f>
        <v>0</v>
      </c>
      <c r="R160" s="46">
        <f>DATA!W161</f>
        <v>0</v>
      </c>
      <c r="S160" s="47"/>
      <c r="V160" s="46">
        <f>DATA!C161</f>
        <v>0</v>
      </c>
      <c r="W160" s="46">
        <f>DATA!D161</f>
        <v>0</v>
      </c>
      <c r="X160" s="46">
        <f>DATA!F161</f>
        <v>0</v>
      </c>
      <c r="Y160" s="46">
        <f>DATA!G161</f>
        <v>0</v>
      </c>
      <c r="Z160" s="46">
        <f>DATA!H161</f>
        <v>0</v>
      </c>
      <c r="AA160" s="46">
        <f>DATA!I161</f>
        <v>0</v>
      </c>
      <c r="AB160" s="46"/>
      <c r="AC160" s="46"/>
      <c r="AD160" s="45">
        <f>DATA!L161</f>
        <v>0</v>
      </c>
      <c r="AE160" s="46"/>
      <c r="AF160" s="46">
        <f>DATA!O161</f>
        <v>0</v>
      </c>
      <c r="AG160" s="46">
        <f>DATA!Q161</f>
        <v>0</v>
      </c>
      <c r="AH160" s="46">
        <f>DATA!R161</f>
        <v>0</v>
      </c>
      <c r="AI160" s="46"/>
      <c r="AJ160" s="46"/>
      <c r="AK160" s="46">
        <f>DATA!U161</f>
        <v>0</v>
      </c>
      <c r="AL160" s="46">
        <f>DATA!V161</f>
        <v>0</v>
      </c>
      <c r="AM160" s="46">
        <f>DATA!W161</f>
        <v>0</v>
      </c>
      <c r="AN160" s="47"/>
    </row>
    <row r="161" spans="1:40" s="48" customFormat="1" ht="23.25" hidden="1" customHeight="1" x14ac:dyDescent="0.45">
      <c r="A161" s="46">
        <f>DATA!C162</f>
        <v>0</v>
      </c>
      <c r="B161" s="46">
        <f>DATA!D162</f>
        <v>0</v>
      </c>
      <c r="C161" s="46">
        <f>DATA!F162</f>
        <v>0</v>
      </c>
      <c r="D161" s="46">
        <f>DATA!G162</f>
        <v>0</v>
      </c>
      <c r="E161" s="46">
        <f>DATA!H162</f>
        <v>0</v>
      </c>
      <c r="F161" s="46">
        <f>DATA!I162</f>
        <v>0</v>
      </c>
      <c r="G161" s="46"/>
      <c r="H161" s="46"/>
      <c r="I161" s="45">
        <f>DATA!L162</f>
        <v>0</v>
      </c>
      <c r="J161" s="46"/>
      <c r="K161" s="46">
        <f>DATA!O162</f>
        <v>0</v>
      </c>
      <c r="L161" s="46">
        <f>DATA!Q162</f>
        <v>0</v>
      </c>
      <c r="M161" s="46">
        <f>DATA!R162</f>
        <v>0</v>
      </c>
      <c r="N161" s="46"/>
      <c r="O161" s="46"/>
      <c r="P161" s="46">
        <f>DATA!U162</f>
        <v>0</v>
      </c>
      <c r="Q161" s="46">
        <f>DATA!V162</f>
        <v>0</v>
      </c>
      <c r="R161" s="46">
        <f>DATA!W162</f>
        <v>0</v>
      </c>
      <c r="S161" s="47"/>
      <c r="V161" s="46">
        <f>DATA!C162</f>
        <v>0</v>
      </c>
      <c r="W161" s="46">
        <f>DATA!D162</f>
        <v>0</v>
      </c>
      <c r="X161" s="46">
        <f>DATA!F162</f>
        <v>0</v>
      </c>
      <c r="Y161" s="46">
        <f>DATA!G162</f>
        <v>0</v>
      </c>
      <c r="Z161" s="46">
        <f>DATA!H162</f>
        <v>0</v>
      </c>
      <c r="AA161" s="46">
        <f>DATA!I162</f>
        <v>0</v>
      </c>
      <c r="AB161" s="46"/>
      <c r="AC161" s="46"/>
      <c r="AD161" s="45">
        <f>DATA!L162</f>
        <v>0</v>
      </c>
      <c r="AE161" s="46"/>
      <c r="AF161" s="46">
        <f>DATA!O162</f>
        <v>0</v>
      </c>
      <c r="AG161" s="46">
        <f>DATA!Q162</f>
        <v>0</v>
      </c>
      <c r="AH161" s="46">
        <f>DATA!R162</f>
        <v>0</v>
      </c>
      <c r="AI161" s="46"/>
      <c r="AJ161" s="46"/>
      <c r="AK161" s="46">
        <f>DATA!U162</f>
        <v>0</v>
      </c>
      <c r="AL161" s="46">
        <f>DATA!V162</f>
        <v>0</v>
      </c>
      <c r="AM161" s="46">
        <f>DATA!W162</f>
        <v>0</v>
      </c>
      <c r="AN161" s="47"/>
    </row>
    <row r="162" spans="1:40" s="48" customFormat="1" ht="23.25" hidden="1" customHeight="1" x14ac:dyDescent="0.45">
      <c r="A162" s="46">
        <f>DATA!C163</f>
        <v>0</v>
      </c>
      <c r="B162" s="46">
        <f>DATA!D163</f>
        <v>0</v>
      </c>
      <c r="C162" s="46">
        <f>DATA!F163</f>
        <v>0</v>
      </c>
      <c r="D162" s="46">
        <f>DATA!G163</f>
        <v>0</v>
      </c>
      <c r="E162" s="46">
        <f>DATA!H163</f>
        <v>0</v>
      </c>
      <c r="F162" s="46">
        <f>DATA!I163</f>
        <v>0</v>
      </c>
      <c r="G162" s="46"/>
      <c r="H162" s="46"/>
      <c r="I162" s="45">
        <f>DATA!L163</f>
        <v>0</v>
      </c>
      <c r="J162" s="46"/>
      <c r="K162" s="46">
        <f>DATA!O163</f>
        <v>0</v>
      </c>
      <c r="L162" s="46">
        <f>DATA!Q163</f>
        <v>0</v>
      </c>
      <c r="M162" s="46">
        <f>DATA!R163</f>
        <v>0</v>
      </c>
      <c r="N162" s="46"/>
      <c r="O162" s="46"/>
      <c r="P162" s="46">
        <f>DATA!U163</f>
        <v>0</v>
      </c>
      <c r="Q162" s="46">
        <f>DATA!V163</f>
        <v>0</v>
      </c>
      <c r="R162" s="46">
        <f>DATA!W163</f>
        <v>0</v>
      </c>
      <c r="S162" s="47"/>
      <c r="V162" s="46">
        <f>DATA!C163</f>
        <v>0</v>
      </c>
      <c r="W162" s="46">
        <f>DATA!D163</f>
        <v>0</v>
      </c>
      <c r="X162" s="46">
        <f>DATA!F163</f>
        <v>0</v>
      </c>
      <c r="Y162" s="46">
        <f>DATA!G163</f>
        <v>0</v>
      </c>
      <c r="Z162" s="46">
        <f>DATA!H163</f>
        <v>0</v>
      </c>
      <c r="AA162" s="46">
        <f>DATA!I163</f>
        <v>0</v>
      </c>
      <c r="AB162" s="46"/>
      <c r="AC162" s="46"/>
      <c r="AD162" s="45">
        <f>DATA!L163</f>
        <v>0</v>
      </c>
      <c r="AE162" s="46"/>
      <c r="AF162" s="46">
        <f>DATA!O163</f>
        <v>0</v>
      </c>
      <c r="AG162" s="46">
        <f>DATA!Q163</f>
        <v>0</v>
      </c>
      <c r="AH162" s="46">
        <f>DATA!R163</f>
        <v>0</v>
      </c>
      <c r="AI162" s="46"/>
      <c r="AJ162" s="46"/>
      <c r="AK162" s="46">
        <f>DATA!U163</f>
        <v>0</v>
      </c>
      <c r="AL162" s="46">
        <f>DATA!V163</f>
        <v>0</v>
      </c>
      <c r="AM162" s="46">
        <f>DATA!W163</f>
        <v>0</v>
      </c>
      <c r="AN162" s="47"/>
    </row>
    <row r="163" spans="1:40" s="48" customFormat="1" ht="23.25" hidden="1" customHeight="1" x14ac:dyDescent="0.45">
      <c r="A163" s="46">
        <f>DATA!C164</f>
        <v>0</v>
      </c>
      <c r="B163" s="46">
        <f>DATA!D164</f>
        <v>0</v>
      </c>
      <c r="C163" s="46">
        <f>DATA!F164</f>
        <v>0</v>
      </c>
      <c r="D163" s="46">
        <f>DATA!G164</f>
        <v>0</v>
      </c>
      <c r="E163" s="46">
        <f>DATA!H164</f>
        <v>0</v>
      </c>
      <c r="F163" s="46">
        <f>DATA!I164</f>
        <v>0</v>
      </c>
      <c r="G163" s="46"/>
      <c r="H163" s="46"/>
      <c r="I163" s="45">
        <f>DATA!L164</f>
        <v>0</v>
      </c>
      <c r="J163" s="46"/>
      <c r="K163" s="46">
        <f>DATA!O164</f>
        <v>0</v>
      </c>
      <c r="L163" s="46">
        <f>DATA!Q164</f>
        <v>0</v>
      </c>
      <c r="M163" s="46">
        <f>DATA!R164</f>
        <v>0</v>
      </c>
      <c r="N163" s="46"/>
      <c r="O163" s="46"/>
      <c r="P163" s="46">
        <f>DATA!U164</f>
        <v>0</v>
      </c>
      <c r="Q163" s="46">
        <f>DATA!V164</f>
        <v>0</v>
      </c>
      <c r="R163" s="46">
        <f>DATA!W164</f>
        <v>0</v>
      </c>
      <c r="S163" s="47"/>
      <c r="V163" s="46">
        <f>DATA!C164</f>
        <v>0</v>
      </c>
      <c r="W163" s="46">
        <f>DATA!D164</f>
        <v>0</v>
      </c>
      <c r="X163" s="46">
        <f>DATA!F164</f>
        <v>0</v>
      </c>
      <c r="Y163" s="46">
        <f>DATA!G164</f>
        <v>0</v>
      </c>
      <c r="Z163" s="46">
        <f>DATA!H164</f>
        <v>0</v>
      </c>
      <c r="AA163" s="46">
        <f>DATA!I164</f>
        <v>0</v>
      </c>
      <c r="AB163" s="46"/>
      <c r="AC163" s="46"/>
      <c r="AD163" s="45">
        <f>DATA!L164</f>
        <v>0</v>
      </c>
      <c r="AE163" s="46"/>
      <c r="AF163" s="46">
        <f>DATA!O164</f>
        <v>0</v>
      </c>
      <c r="AG163" s="46">
        <f>DATA!Q164</f>
        <v>0</v>
      </c>
      <c r="AH163" s="46">
        <f>DATA!R164</f>
        <v>0</v>
      </c>
      <c r="AI163" s="46"/>
      <c r="AJ163" s="46"/>
      <c r="AK163" s="46">
        <f>DATA!U164</f>
        <v>0</v>
      </c>
      <c r="AL163" s="46">
        <f>DATA!V164</f>
        <v>0</v>
      </c>
      <c r="AM163" s="46">
        <f>DATA!W164</f>
        <v>0</v>
      </c>
      <c r="AN163" s="47"/>
    </row>
    <row r="164" spans="1:40" s="48" customFormat="1" ht="23.25" hidden="1" customHeight="1" x14ac:dyDescent="0.45">
      <c r="A164" s="46">
        <f>DATA!C165</f>
        <v>0</v>
      </c>
      <c r="B164" s="46">
        <f>DATA!D165</f>
        <v>0</v>
      </c>
      <c r="C164" s="46">
        <f>DATA!F165</f>
        <v>0</v>
      </c>
      <c r="D164" s="46">
        <f>DATA!G165</f>
        <v>0</v>
      </c>
      <c r="E164" s="46">
        <f>DATA!H165</f>
        <v>0</v>
      </c>
      <c r="F164" s="46">
        <f>DATA!I165</f>
        <v>0</v>
      </c>
      <c r="G164" s="46"/>
      <c r="H164" s="46"/>
      <c r="I164" s="45">
        <f>DATA!L165</f>
        <v>0</v>
      </c>
      <c r="J164" s="46"/>
      <c r="K164" s="46">
        <f>DATA!O165</f>
        <v>0</v>
      </c>
      <c r="L164" s="46">
        <f>DATA!Q165</f>
        <v>0</v>
      </c>
      <c r="M164" s="46">
        <f>DATA!R165</f>
        <v>0</v>
      </c>
      <c r="N164" s="46"/>
      <c r="O164" s="46"/>
      <c r="P164" s="46">
        <f>DATA!U165</f>
        <v>0</v>
      </c>
      <c r="Q164" s="46">
        <f>DATA!V165</f>
        <v>0</v>
      </c>
      <c r="R164" s="46">
        <f>DATA!W165</f>
        <v>0</v>
      </c>
      <c r="S164" s="47"/>
      <c r="V164" s="46">
        <f>DATA!C165</f>
        <v>0</v>
      </c>
      <c r="W164" s="46">
        <f>DATA!D165</f>
        <v>0</v>
      </c>
      <c r="X164" s="46">
        <f>DATA!F165</f>
        <v>0</v>
      </c>
      <c r="Y164" s="46">
        <f>DATA!G165</f>
        <v>0</v>
      </c>
      <c r="Z164" s="46">
        <f>DATA!H165</f>
        <v>0</v>
      </c>
      <c r="AA164" s="46">
        <f>DATA!I165</f>
        <v>0</v>
      </c>
      <c r="AB164" s="46"/>
      <c r="AC164" s="46"/>
      <c r="AD164" s="45">
        <f>DATA!L165</f>
        <v>0</v>
      </c>
      <c r="AE164" s="46"/>
      <c r="AF164" s="46">
        <f>DATA!O165</f>
        <v>0</v>
      </c>
      <c r="AG164" s="46">
        <f>DATA!Q165</f>
        <v>0</v>
      </c>
      <c r="AH164" s="46">
        <f>DATA!R165</f>
        <v>0</v>
      </c>
      <c r="AI164" s="46"/>
      <c r="AJ164" s="46"/>
      <c r="AK164" s="46">
        <f>DATA!U165</f>
        <v>0</v>
      </c>
      <c r="AL164" s="46">
        <f>DATA!V165</f>
        <v>0</v>
      </c>
      <c r="AM164" s="46">
        <f>DATA!W165</f>
        <v>0</v>
      </c>
      <c r="AN164" s="47"/>
    </row>
    <row r="165" spans="1:40" s="48" customFormat="1" ht="23.25" hidden="1" customHeight="1" x14ac:dyDescent="0.45">
      <c r="A165" s="46">
        <f>DATA!C166</f>
        <v>0</v>
      </c>
      <c r="B165" s="46">
        <f>DATA!D166</f>
        <v>0</v>
      </c>
      <c r="C165" s="46">
        <f>DATA!F166</f>
        <v>0</v>
      </c>
      <c r="D165" s="46">
        <f>DATA!G166</f>
        <v>0</v>
      </c>
      <c r="E165" s="46">
        <f>DATA!H166</f>
        <v>0</v>
      </c>
      <c r="F165" s="46">
        <f>DATA!I166</f>
        <v>0</v>
      </c>
      <c r="G165" s="46"/>
      <c r="H165" s="46"/>
      <c r="I165" s="45">
        <f>DATA!L166</f>
        <v>0</v>
      </c>
      <c r="J165" s="46"/>
      <c r="K165" s="46">
        <f>DATA!O166</f>
        <v>0</v>
      </c>
      <c r="L165" s="46">
        <f>DATA!Q166</f>
        <v>0</v>
      </c>
      <c r="M165" s="46">
        <f>DATA!R166</f>
        <v>0</v>
      </c>
      <c r="N165" s="46"/>
      <c r="O165" s="46"/>
      <c r="P165" s="46">
        <f>DATA!U166</f>
        <v>0</v>
      </c>
      <c r="Q165" s="46">
        <f>DATA!V166</f>
        <v>0</v>
      </c>
      <c r="R165" s="46">
        <f>DATA!W166</f>
        <v>0</v>
      </c>
      <c r="S165" s="47"/>
      <c r="V165" s="46">
        <f>DATA!C166</f>
        <v>0</v>
      </c>
      <c r="W165" s="46">
        <f>DATA!D166</f>
        <v>0</v>
      </c>
      <c r="X165" s="46">
        <f>DATA!F166</f>
        <v>0</v>
      </c>
      <c r="Y165" s="46">
        <f>DATA!G166</f>
        <v>0</v>
      </c>
      <c r="Z165" s="46">
        <f>DATA!H166</f>
        <v>0</v>
      </c>
      <c r="AA165" s="46">
        <f>DATA!I166</f>
        <v>0</v>
      </c>
      <c r="AB165" s="46"/>
      <c r="AC165" s="46"/>
      <c r="AD165" s="45">
        <f>DATA!L166</f>
        <v>0</v>
      </c>
      <c r="AE165" s="46"/>
      <c r="AF165" s="46">
        <f>DATA!O166</f>
        <v>0</v>
      </c>
      <c r="AG165" s="46">
        <f>DATA!Q166</f>
        <v>0</v>
      </c>
      <c r="AH165" s="46">
        <f>DATA!R166</f>
        <v>0</v>
      </c>
      <c r="AI165" s="46"/>
      <c r="AJ165" s="46"/>
      <c r="AK165" s="46">
        <f>DATA!U166</f>
        <v>0</v>
      </c>
      <c r="AL165" s="46">
        <f>DATA!V166</f>
        <v>0</v>
      </c>
      <c r="AM165" s="46">
        <f>DATA!W166</f>
        <v>0</v>
      </c>
      <c r="AN165" s="47"/>
    </row>
    <row r="166" spans="1:40" s="48" customFormat="1" ht="23.25" hidden="1" customHeight="1" x14ac:dyDescent="0.45">
      <c r="A166" s="46">
        <f>DATA!C167</f>
        <v>0</v>
      </c>
      <c r="B166" s="46">
        <f>DATA!D167</f>
        <v>0</v>
      </c>
      <c r="C166" s="46">
        <f>DATA!F167</f>
        <v>0</v>
      </c>
      <c r="D166" s="46">
        <f>DATA!G167</f>
        <v>0</v>
      </c>
      <c r="E166" s="46">
        <f>DATA!H167</f>
        <v>0</v>
      </c>
      <c r="F166" s="46">
        <f>DATA!I167</f>
        <v>0</v>
      </c>
      <c r="G166" s="46"/>
      <c r="H166" s="46"/>
      <c r="I166" s="45">
        <f>DATA!L167</f>
        <v>0</v>
      </c>
      <c r="J166" s="46"/>
      <c r="K166" s="46">
        <f>DATA!O167</f>
        <v>0</v>
      </c>
      <c r="L166" s="46">
        <f>DATA!Q167</f>
        <v>0</v>
      </c>
      <c r="M166" s="46">
        <f>DATA!R167</f>
        <v>0</v>
      </c>
      <c r="N166" s="46"/>
      <c r="O166" s="46"/>
      <c r="P166" s="46">
        <f>DATA!U167</f>
        <v>0</v>
      </c>
      <c r="Q166" s="46">
        <f>DATA!V167</f>
        <v>0</v>
      </c>
      <c r="R166" s="46">
        <f>DATA!W167</f>
        <v>0</v>
      </c>
      <c r="S166" s="47"/>
      <c r="V166" s="46">
        <f>DATA!C167</f>
        <v>0</v>
      </c>
      <c r="W166" s="46">
        <f>DATA!D167</f>
        <v>0</v>
      </c>
      <c r="X166" s="46">
        <f>DATA!F167</f>
        <v>0</v>
      </c>
      <c r="Y166" s="46">
        <f>DATA!G167</f>
        <v>0</v>
      </c>
      <c r="Z166" s="46">
        <f>DATA!H167</f>
        <v>0</v>
      </c>
      <c r="AA166" s="46">
        <f>DATA!I167</f>
        <v>0</v>
      </c>
      <c r="AB166" s="46"/>
      <c r="AC166" s="46"/>
      <c r="AD166" s="45">
        <f>DATA!L167</f>
        <v>0</v>
      </c>
      <c r="AE166" s="46"/>
      <c r="AF166" s="46">
        <f>DATA!O167</f>
        <v>0</v>
      </c>
      <c r="AG166" s="46">
        <f>DATA!Q167</f>
        <v>0</v>
      </c>
      <c r="AH166" s="46">
        <f>DATA!R167</f>
        <v>0</v>
      </c>
      <c r="AI166" s="46"/>
      <c r="AJ166" s="46"/>
      <c r="AK166" s="46">
        <f>DATA!U167</f>
        <v>0</v>
      </c>
      <c r="AL166" s="46">
        <f>DATA!V167</f>
        <v>0</v>
      </c>
      <c r="AM166" s="46">
        <f>DATA!W167</f>
        <v>0</v>
      </c>
      <c r="AN166" s="47"/>
    </row>
    <row r="167" spans="1:40" s="48" customFormat="1" ht="23.25" hidden="1" customHeight="1" x14ac:dyDescent="0.45">
      <c r="A167" s="46">
        <f>DATA!C168</f>
        <v>0</v>
      </c>
      <c r="B167" s="46">
        <f>DATA!D168</f>
        <v>0</v>
      </c>
      <c r="C167" s="46">
        <f>DATA!F168</f>
        <v>0</v>
      </c>
      <c r="D167" s="46">
        <f>DATA!G168</f>
        <v>0</v>
      </c>
      <c r="E167" s="46">
        <f>DATA!H168</f>
        <v>0</v>
      </c>
      <c r="F167" s="46">
        <f>DATA!I168</f>
        <v>0</v>
      </c>
      <c r="G167" s="46"/>
      <c r="H167" s="46"/>
      <c r="I167" s="45">
        <f>DATA!L168</f>
        <v>0</v>
      </c>
      <c r="J167" s="46"/>
      <c r="K167" s="46">
        <f>DATA!O168</f>
        <v>0</v>
      </c>
      <c r="L167" s="46">
        <f>DATA!Q168</f>
        <v>0</v>
      </c>
      <c r="M167" s="46">
        <f>DATA!R168</f>
        <v>0</v>
      </c>
      <c r="N167" s="46"/>
      <c r="O167" s="46"/>
      <c r="P167" s="46">
        <f>DATA!U168</f>
        <v>0</v>
      </c>
      <c r="Q167" s="46">
        <f>DATA!V168</f>
        <v>0</v>
      </c>
      <c r="R167" s="46">
        <f>DATA!W168</f>
        <v>0</v>
      </c>
      <c r="S167" s="47"/>
      <c r="V167" s="46">
        <f>DATA!C168</f>
        <v>0</v>
      </c>
      <c r="W167" s="46">
        <f>DATA!D168</f>
        <v>0</v>
      </c>
      <c r="X167" s="46">
        <f>DATA!F168</f>
        <v>0</v>
      </c>
      <c r="Y167" s="46">
        <f>DATA!G168</f>
        <v>0</v>
      </c>
      <c r="Z167" s="46">
        <f>DATA!H168</f>
        <v>0</v>
      </c>
      <c r="AA167" s="46">
        <f>DATA!I168</f>
        <v>0</v>
      </c>
      <c r="AB167" s="46"/>
      <c r="AC167" s="46"/>
      <c r="AD167" s="45">
        <f>DATA!L168</f>
        <v>0</v>
      </c>
      <c r="AE167" s="46"/>
      <c r="AF167" s="46">
        <f>DATA!O168</f>
        <v>0</v>
      </c>
      <c r="AG167" s="46">
        <f>DATA!Q168</f>
        <v>0</v>
      </c>
      <c r="AH167" s="46">
        <f>DATA!R168</f>
        <v>0</v>
      </c>
      <c r="AI167" s="46"/>
      <c r="AJ167" s="46"/>
      <c r="AK167" s="46">
        <f>DATA!U168</f>
        <v>0</v>
      </c>
      <c r="AL167" s="46">
        <f>DATA!V168</f>
        <v>0</v>
      </c>
      <c r="AM167" s="46">
        <f>DATA!W168</f>
        <v>0</v>
      </c>
      <c r="AN167" s="47"/>
    </row>
    <row r="168" spans="1:40" s="48" customFormat="1" ht="23.25" hidden="1" customHeight="1" x14ac:dyDescent="0.45">
      <c r="A168" s="46">
        <f>DATA!C169</f>
        <v>0</v>
      </c>
      <c r="B168" s="46">
        <f>DATA!D169</f>
        <v>0</v>
      </c>
      <c r="C168" s="46">
        <f>DATA!F169</f>
        <v>0</v>
      </c>
      <c r="D168" s="46">
        <f>DATA!G169</f>
        <v>0</v>
      </c>
      <c r="E168" s="46">
        <f>DATA!H169</f>
        <v>0</v>
      </c>
      <c r="F168" s="46">
        <f>DATA!I169</f>
        <v>0</v>
      </c>
      <c r="G168" s="46"/>
      <c r="H168" s="46"/>
      <c r="I168" s="45">
        <f>DATA!L169</f>
        <v>0</v>
      </c>
      <c r="J168" s="46"/>
      <c r="K168" s="46">
        <f>DATA!O169</f>
        <v>0</v>
      </c>
      <c r="L168" s="46">
        <f>DATA!Q169</f>
        <v>0</v>
      </c>
      <c r="M168" s="46">
        <f>DATA!R169</f>
        <v>0</v>
      </c>
      <c r="N168" s="46"/>
      <c r="O168" s="46"/>
      <c r="P168" s="46">
        <f>DATA!U169</f>
        <v>0</v>
      </c>
      <c r="Q168" s="46">
        <f>DATA!V169</f>
        <v>0</v>
      </c>
      <c r="R168" s="46">
        <f>DATA!W169</f>
        <v>0</v>
      </c>
      <c r="S168" s="47"/>
      <c r="V168" s="46">
        <f>DATA!C169</f>
        <v>0</v>
      </c>
      <c r="W168" s="46">
        <f>DATA!D169</f>
        <v>0</v>
      </c>
      <c r="X168" s="46">
        <f>DATA!F169</f>
        <v>0</v>
      </c>
      <c r="Y168" s="46">
        <f>DATA!G169</f>
        <v>0</v>
      </c>
      <c r="Z168" s="46">
        <f>DATA!H169</f>
        <v>0</v>
      </c>
      <c r="AA168" s="46">
        <f>DATA!I169</f>
        <v>0</v>
      </c>
      <c r="AB168" s="46"/>
      <c r="AC168" s="46"/>
      <c r="AD168" s="45">
        <f>DATA!L169</f>
        <v>0</v>
      </c>
      <c r="AE168" s="46"/>
      <c r="AF168" s="46">
        <f>DATA!O169</f>
        <v>0</v>
      </c>
      <c r="AG168" s="46">
        <f>DATA!Q169</f>
        <v>0</v>
      </c>
      <c r="AH168" s="46">
        <f>DATA!R169</f>
        <v>0</v>
      </c>
      <c r="AI168" s="46"/>
      <c r="AJ168" s="46"/>
      <c r="AK168" s="46">
        <f>DATA!U169</f>
        <v>0</v>
      </c>
      <c r="AL168" s="46">
        <f>DATA!V169</f>
        <v>0</v>
      </c>
      <c r="AM168" s="46">
        <f>DATA!W169</f>
        <v>0</v>
      </c>
      <c r="AN168" s="47"/>
    </row>
    <row r="169" spans="1:40" s="48" customFormat="1" ht="23.25" hidden="1" customHeight="1" x14ac:dyDescent="0.45">
      <c r="A169" s="46">
        <f>DATA!C170</f>
        <v>0</v>
      </c>
      <c r="B169" s="46">
        <f>DATA!D170</f>
        <v>0</v>
      </c>
      <c r="C169" s="46">
        <f>DATA!F170</f>
        <v>0</v>
      </c>
      <c r="D169" s="46">
        <f>DATA!G170</f>
        <v>0</v>
      </c>
      <c r="E169" s="46">
        <f>DATA!H170</f>
        <v>0</v>
      </c>
      <c r="F169" s="46">
        <f>DATA!I170</f>
        <v>0</v>
      </c>
      <c r="G169" s="46"/>
      <c r="H169" s="46"/>
      <c r="I169" s="45">
        <f>DATA!L170</f>
        <v>0</v>
      </c>
      <c r="J169" s="46"/>
      <c r="K169" s="46">
        <f>DATA!O170</f>
        <v>0</v>
      </c>
      <c r="L169" s="46">
        <f>DATA!Q170</f>
        <v>0</v>
      </c>
      <c r="M169" s="46">
        <f>DATA!R170</f>
        <v>0</v>
      </c>
      <c r="N169" s="46"/>
      <c r="O169" s="46"/>
      <c r="P169" s="46">
        <f>DATA!U170</f>
        <v>0</v>
      </c>
      <c r="Q169" s="46">
        <f>DATA!V170</f>
        <v>0</v>
      </c>
      <c r="R169" s="46">
        <f>DATA!W170</f>
        <v>0</v>
      </c>
      <c r="S169" s="47"/>
      <c r="V169" s="46">
        <f>DATA!C170</f>
        <v>0</v>
      </c>
      <c r="W169" s="46">
        <f>DATA!D170</f>
        <v>0</v>
      </c>
      <c r="X169" s="46">
        <f>DATA!F170</f>
        <v>0</v>
      </c>
      <c r="Y169" s="46">
        <f>DATA!G170</f>
        <v>0</v>
      </c>
      <c r="Z169" s="46">
        <f>DATA!H170</f>
        <v>0</v>
      </c>
      <c r="AA169" s="46">
        <f>DATA!I170</f>
        <v>0</v>
      </c>
      <c r="AB169" s="46"/>
      <c r="AC169" s="46"/>
      <c r="AD169" s="45">
        <f>DATA!L170</f>
        <v>0</v>
      </c>
      <c r="AE169" s="46"/>
      <c r="AF169" s="46">
        <f>DATA!O170</f>
        <v>0</v>
      </c>
      <c r="AG169" s="46">
        <f>DATA!Q170</f>
        <v>0</v>
      </c>
      <c r="AH169" s="46">
        <f>DATA!R170</f>
        <v>0</v>
      </c>
      <c r="AI169" s="46"/>
      <c r="AJ169" s="46"/>
      <c r="AK169" s="46">
        <f>DATA!U170</f>
        <v>0</v>
      </c>
      <c r="AL169" s="46">
        <f>DATA!V170</f>
        <v>0</v>
      </c>
      <c r="AM169" s="46">
        <f>DATA!W170</f>
        <v>0</v>
      </c>
      <c r="AN169" s="47"/>
    </row>
    <row r="170" spans="1:40" s="48" customFormat="1" ht="23.25" hidden="1" customHeight="1" x14ac:dyDescent="0.45">
      <c r="A170" s="46">
        <f>DATA!C171</f>
        <v>0</v>
      </c>
      <c r="B170" s="46">
        <f>DATA!D171</f>
        <v>0</v>
      </c>
      <c r="C170" s="46">
        <f>DATA!F171</f>
        <v>0</v>
      </c>
      <c r="D170" s="46">
        <f>DATA!G171</f>
        <v>0</v>
      </c>
      <c r="E170" s="46">
        <f>DATA!H171</f>
        <v>0</v>
      </c>
      <c r="F170" s="46">
        <f>DATA!I171</f>
        <v>0</v>
      </c>
      <c r="G170" s="46"/>
      <c r="H170" s="46"/>
      <c r="I170" s="45">
        <f>DATA!L171</f>
        <v>0</v>
      </c>
      <c r="J170" s="46"/>
      <c r="K170" s="46">
        <f>DATA!O171</f>
        <v>0</v>
      </c>
      <c r="L170" s="46">
        <f>DATA!Q171</f>
        <v>0</v>
      </c>
      <c r="M170" s="46">
        <f>DATA!R171</f>
        <v>0</v>
      </c>
      <c r="N170" s="46"/>
      <c r="O170" s="46"/>
      <c r="P170" s="46">
        <f>DATA!U171</f>
        <v>0</v>
      </c>
      <c r="Q170" s="46">
        <f>DATA!V171</f>
        <v>0</v>
      </c>
      <c r="R170" s="46">
        <f>DATA!W171</f>
        <v>0</v>
      </c>
      <c r="S170" s="47"/>
      <c r="V170" s="46">
        <f>DATA!C171</f>
        <v>0</v>
      </c>
      <c r="W170" s="46">
        <f>DATA!D171</f>
        <v>0</v>
      </c>
      <c r="X170" s="46">
        <f>DATA!F171</f>
        <v>0</v>
      </c>
      <c r="Y170" s="46">
        <f>DATA!G171</f>
        <v>0</v>
      </c>
      <c r="Z170" s="46">
        <f>DATA!H171</f>
        <v>0</v>
      </c>
      <c r="AA170" s="46">
        <f>DATA!I171</f>
        <v>0</v>
      </c>
      <c r="AB170" s="46"/>
      <c r="AC170" s="46"/>
      <c r="AD170" s="45">
        <f>DATA!L171</f>
        <v>0</v>
      </c>
      <c r="AE170" s="46"/>
      <c r="AF170" s="46">
        <f>DATA!O171</f>
        <v>0</v>
      </c>
      <c r="AG170" s="46">
        <f>DATA!Q171</f>
        <v>0</v>
      </c>
      <c r="AH170" s="46">
        <f>DATA!R171</f>
        <v>0</v>
      </c>
      <c r="AI170" s="46"/>
      <c r="AJ170" s="46"/>
      <c r="AK170" s="46">
        <f>DATA!U171</f>
        <v>0</v>
      </c>
      <c r="AL170" s="46">
        <f>DATA!V171</f>
        <v>0</v>
      </c>
      <c r="AM170" s="46">
        <f>DATA!W171</f>
        <v>0</v>
      </c>
      <c r="AN170" s="47"/>
    </row>
    <row r="171" spans="1:40" s="48" customFormat="1" ht="23.25" hidden="1" customHeight="1" x14ac:dyDescent="0.45">
      <c r="A171" s="46">
        <f>DATA!C172</f>
        <v>0</v>
      </c>
      <c r="B171" s="46">
        <f>DATA!D172</f>
        <v>0</v>
      </c>
      <c r="C171" s="46">
        <f>DATA!F172</f>
        <v>0</v>
      </c>
      <c r="D171" s="46">
        <f>DATA!G172</f>
        <v>0</v>
      </c>
      <c r="E171" s="46">
        <f>DATA!H172</f>
        <v>0</v>
      </c>
      <c r="F171" s="46">
        <f>DATA!I172</f>
        <v>0</v>
      </c>
      <c r="G171" s="46"/>
      <c r="H171" s="46"/>
      <c r="I171" s="45">
        <f>DATA!L172</f>
        <v>0</v>
      </c>
      <c r="J171" s="46"/>
      <c r="K171" s="46">
        <f>DATA!O172</f>
        <v>0</v>
      </c>
      <c r="L171" s="46">
        <f>DATA!Q172</f>
        <v>0</v>
      </c>
      <c r="M171" s="46">
        <f>DATA!R172</f>
        <v>0</v>
      </c>
      <c r="N171" s="46"/>
      <c r="O171" s="46"/>
      <c r="P171" s="46">
        <f>DATA!U172</f>
        <v>0</v>
      </c>
      <c r="Q171" s="46">
        <f>DATA!V172</f>
        <v>0</v>
      </c>
      <c r="R171" s="46">
        <f>DATA!W172</f>
        <v>0</v>
      </c>
      <c r="S171" s="47"/>
      <c r="V171" s="46">
        <f>DATA!C172</f>
        <v>0</v>
      </c>
      <c r="W171" s="46">
        <f>DATA!D172</f>
        <v>0</v>
      </c>
      <c r="X171" s="46">
        <f>DATA!F172</f>
        <v>0</v>
      </c>
      <c r="Y171" s="46">
        <f>DATA!G172</f>
        <v>0</v>
      </c>
      <c r="Z171" s="46">
        <f>DATA!H172</f>
        <v>0</v>
      </c>
      <c r="AA171" s="46">
        <f>DATA!I172</f>
        <v>0</v>
      </c>
      <c r="AB171" s="46"/>
      <c r="AC171" s="46"/>
      <c r="AD171" s="45">
        <f>DATA!L172</f>
        <v>0</v>
      </c>
      <c r="AE171" s="46"/>
      <c r="AF171" s="46">
        <f>DATA!O172</f>
        <v>0</v>
      </c>
      <c r="AG171" s="46">
        <f>DATA!Q172</f>
        <v>0</v>
      </c>
      <c r="AH171" s="46">
        <f>DATA!R172</f>
        <v>0</v>
      </c>
      <c r="AI171" s="46"/>
      <c r="AJ171" s="46"/>
      <c r="AK171" s="46">
        <f>DATA!U172</f>
        <v>0</v>
      </c>
      <c r="AL171" s="46">
        <f>DATA!V172</f>
        <v>0</v>
      </c>
      <c r="AM171" s="46">
        <f>DATA!W172</f>
        <v>0</v>
      </c>
      <c r="AN171" s="47"/>
    </row>
    <row r="172" spans="1:40" s="48" customFormat="1" ht="23.25" hidden="1" customHeight="1" x14ac:dyDescent="0.45">
      <c r="A172" s="46">
        <f>DATA!C173</f>
        <v>0</v>
      </c>
      <c r="B172" s="46">
        <f>DATA!D173</f>
        <v>0</v>
      </c>
      <c r="C172" s="46">
        <f>DATA!F173</f>
        <v>0</v>
      </c>
      <c r="D172" s="46">
        <f>DATA!G173</f>
        <v>0</v>
      </c>
      <c r="E172" s="46">
        <f>DATA!H173</f>
        <v>0</v>
      </c>
      <c r="F172" s="46">
        <f>DATA!I173</f>
        <v>0</v>
      </c>
      <c r="G172" s="46"/>
      <c r="H172" s="46"/>
      <c r="I172" s="45">
        <f>DATA!L173</f>
        <v>0</v>
      </c>
      <c r="J172" s="46"/>
      <c r="K172" s="46">
        <f>DATA!O173</f>
        <v>0</v>
      </c>
      <c r="L172" s="46">
        <f>DATA!Q173</f>
        <v>0</v>
      </c>
      <c r="M172" s="46">
        <f>DATA!R173</f>
        <v>0</v>
      </c>
      <c r="N172" s="46"/>
      <c r="O172" s="46"/>
      <c r="P172" s="46">
        <f>DATA!U173</f>
        <v>0</v>
      </c>
      <c r="Q172" s="46">
        <f>DATA!V173</f>
        <v>0</v>
      </c>
      <c r="R172" s="46">
        <f>DATA!W173</f>
        <v>0</v>
      </c>
      <c r="S172" s="47"/>
      <c r="V172" s="46">
        <f>DATA!C173</f>
        <v>0</v>
      </c>
      <c r="W172" s="46">
        <f>DATA!D173</f>
        <v>0</v>
      </c>
      <c r="X172" s="46">
        <f>DATA!F173</f>
        <v>0</v>
      </c>
      <c r="Y172" s="46">
        <f>DATA!G173</f>
        <v>0</v>
      </c>
      <c r="Z172" s="46">
        <f>DATA!H173</f>
        <v>0</v>
      </c>
      <c r="AA172" s="46">
        <f>DATA!I173</f>
        <v>0</v>
      </c>
      <c r="AB172" s="46"/>
      <c r="AC172" s="46"/>
      <c r="AD172" s="45">
        <f>DATA!L173</f>
        <v>0</v>
      </c>
      <c r="AE172" s="46"/>
      <c r="AF172" s="46">
        <f>DATA!O173</f>
        <v>0</v>
      </c>
      <c r="AG172" s="46">
        <f>DATA!Q173</f>
        <v>0</v>
      </c>
      <c r="AH172" s="46">
        <f>DATA!R173</f>
        <v>0</v>
      </c>
      <c r="AI172" s="46"/>
      <c r="AJ172" s="46"/>
      <c r="AK172" s="46">
        <f>DATA!U173</f>
        <v>0</v>
      </c>
      <c r="AL172" s="46">
        <f>DATA!V173</f>
        <v>0</v>
      </c>
      <c r="AM172" s="46">
        <f>DATA!W173</f>
        <v>0</v>
      </c>
      <c r="AN172" s="47"/>
    </row>
    <row r="173" spans="1:40" s="48" customFormat="1" ht="23.25" hidden="1" customHeight="1" x14ac:dyDescent="0.45">
      <c r="A173" s="46">
        <f>DATA!C174</f>
        <v>0</v>
      </c>
      <c r="B173" s="46">
        <f>DATA!D174</f>
        <v>0</v>
      </c>
      <c r="C173" s="46">
        <f>DATA!F174</f>
        <v>0</v>
      </c>
      <c r="D173" s="46">
        <f>DATA!G174</f>
        <v>0</v>
      </c>
      <c r="E173" s="46">
        <f>DATA!H174</f>
        <v>0</v>
      </c>
      <c r="F173" s="46">
        <f>DATA!I174</f>
        <v>0</v>
      </c>
      <c r="G173" s="46"/>
      <c r="H173" s="46"/>
      <c r="I173" s="45">
        <f>DATA!L174</f>
        <v>0</v>
      </c>
      <c r="J173" s="46"/>
      <c r="K173" s="46">
        <f>DATA!O174</f>
        <v>0</v>
      </c>
      <c r="L173" s="46">
        <f>DATA!Q174</f>
        <v>0</v>
      </c>
      <c r="M173" s="46">
        <f>DATA!R174</f>
        <v>0</v>
      </c>
      <c r="N173" s="46"/>
      <c r="O173" s="46"/>
      <c r="P173" s="46">
        <f>DATA!U174</f>
        <v>0</v>
      </c>
      <c r="Q173" s="46">
        <f>DATA!V174</f>
        <v>0</v>
      </c>
      <c r="R173" s="46">
        <f>DATA!W174</f>
        <v>0</v>
      </c>
      <c r="S173" s="47"/>
      <c r="V173" s="46">
        <f>DATA!C174</f>
        <v>0</v>
      </c>
      <c r="W173" s="46">
        <f>DATA!D174</f>
        <v>0</v>
      </c>
      <c r="X173" s="46">
        <f>DATA!F174</f>
        <v>0</v>
      </c>
      <c r="Y173" s="46">
        <f>DATA!G174</f>
        <v>0</v>
      </c>
      <c r="Z173" s="46">
        <f>DATA!H174</f>
        <v>0</v>
      </c>
      <c r="AA173" s="46">
        <f>DATA!I174</f>
        <v>0</v>
      </c>
      <c r="AB173" s="46"/>
      <c r="AC173" s="46"/>
      <c r="AD173" s="45">
        <f>DATA!L174</f>
        <v>0</v>
      </c>
      <c r="AE173" s="46"/>
      <c r="AF173" s="46">
        <f>DATA!O174</f>
        <v>0</v>
      </c>
      <c r="AG173" s="46">
        <f>DATA!Q174</f>
        <v>0</v>
      </c>
      <c r="AH173" s="46">
        <f>DATA!R174</f>
        <v>0</v>
      </c>
      <c r="AI173" s="46"/>
      <c r="AJ173" s="46"/>
      <c r="AK173" s="46">
        <f>DATA!U174</f>
        <v>0</v>
      </c>
      <c r="AL173" s="46">
        <f>DATA!V174</f>
        <v>0</v>
      </c>
      <c r="AM173" s="46">
        <f>DATA!W174</f>
        <v>0</v>
      </c>
      <c r="AN173" s="47"/>
    </row>
    <row r="174" spans="1:40" s="48" customFormat="1" ht="23.25" hidden="1" customHeight="1" x14ac:dyDescent="0.45">
      <c r="A174" s="46">
        <f>DATA!C175</f>
        <v>0</v>
      </c>
      <c r="B174" s="46">
        <f>DATA!D175</f>
        <v>0</v>
      </c>
      <c r="C174" s="46">
        <f>DATA!F175</f>
        <v>0</v>
      </c>
      <c r="D174" s="46">
        <f>DATA!G175</f>
        <v>0</v>
      </c>
      <c r="E174" s="46">
        <f>DATA!H175</f>
        <v>0</v>
      </c>
      <c r="F174" s="46">
        <f>DATA!I175</f>
        <v>0</v>
      </c>
      <c r="G174" s="46"/>
      <c r="H174" s="46"/>
      <c r="I174" s="45">
        <f>DATA!L175</f>
        <v>0</v>
      </c>
      <c r="J174" s="46"/>
      <c r="K174" s="46">
        <f>DATA!O175</f>
        <v>0</v>
      </c>
      <c r="L174" s="46">
        <f>DATA!Q175</f>
        <v>0</v>
      </c>
      <c r="M174" s="46">
        <f>DATA!R175</f>
        <v>0</v>
      </c>
      <c r="N174" s="46"/>
      <c r="O174" s="46"/>
      <c r="P174" s="46">
        <f>DATA!U175</f>
        <v>0</v>
      </c>
      <c r="Q174" s="46">
        <f>DATA!V175</f>
        <v>0</v>
      </c>
      <c r="R174" s="46">
        <f>DATA!W175</f>
        <v>0</v>
      </c>
      <c r="S174" s="47"/>
      <c r="V174" s="46">
        <f>DATA!C175</f>
        <v>0</v>
      </c>
      <c r="W174" s="46">
        <f>DATA!D175</f>
        <v>0</v>
      </c>
      <c r="X174" s="46">
        <f>DATA!F175</f>
        <v>0</v>
      </c>
      <c r="Y174" s="46">
        <f>DATA!G175</f>
        <v>0</v>
      </c>
      <c r="Z174" s="46">
        <f>DATA!H175</f>
        <v>0</v>
      </c>
      <c r="AA174" s="46">
        <f>DATA!I175</f>
        <v>0</v>
      </c>
      <c r="AB174" s="46"/>
      <c r="AC174" s="46"/>
      <c r="AD174" s="45">
        <f>DATA!L175</f>
        <v>0</v>
      </c>
      <c r="AE174" s="46"/>
      <c r="AF174" s="46">
        <f>DATA!O175</f>
        <v>0</v>
      </c>
      <c r="AG174" s="46">
        <f>DATA!Q175</f>
        <v>0</v>
      </c>
      <c r="AH174" s="46">
        <f>DATA!R175</f>
        <v>0</v>
      </c>
      <c r="AI174" s="46"/>
      <c r="AJ174" s="46"/>
      <c r="AK174" s="46">
        <f>DATA!U175</f>
        <v>0</v>
      </c>
      <c r="AL174" s="46">
        <f>DATA!V175</f>
        <v>0</v>
      </c>
      <c r="AM174" s="46">
        <f>DATA!W175</f>
        <v>0</v>
      </c>
      <c r="AN174" s="47"/>
    </row>
    <row r="175" spans="1:40" s="48" customFormat="1" ht="23.25" hidden="1" customHeight="1" x14ac:dyDescent="0.45">
      <c r="A175" s="46">
        <f>DATA!C176</f>
        <v>0</v>
      </c>
      <c r="B175" s="46">
        <f>DATA!D176</f>
        <v>0</v>
      </c>
      <c r="C175" s="46">
        <f>DATA!F176</f>
        <v>0</v>
      </c>
      <c r="D175" s="46">
        <f>DATA!G176</f>
        <v>0</v>
      </c>
      <c r="E175" s="46">
        <f>DATA!H176</f>
        <v>0</v>
      </c>
      <c r="F175" s="46">
        <f>DATA!I176</f>
        <v>0</v>
      </c>
      <c r="G175" s="46"/>
      <c r="H175" s="46"/>
      <c r="I175" s="45">
        <f>DATA!L176</f>
        <v>0</v>
      </c>
      <c r="J175" s="46"/>
      <c r="K175" s="46">
        <f>DATA!O176</f>
        <v>0</v>
      </c>
      <c r="L175" s="46">
        <f>DATA!Q176</f>
        <v>0</v>
      </c>
      <c r="M175" s="46">
        <f>DATA!R176</f>
        <v>0</v>
      </c>
      <c r="N175" s="46"/>
      <c r="O175" s="46"/>
      <c r="P175" s="46">
        <f>DATA!U176</f>
        <v>0</v>
      </c>
      <c r="Q175" s="46">
        <f>DATA!V176</f>
        <v>0</v>
      </c>
      <c r="R175" s="46">
        <f>DATA!W176</f>
        <v>0</v>
      </c>
      <c r="S175" s="47"/>
      <c r="V175" s="46">
        <f>DATA!C176</f>
        <v>0</v>
      </c>
      <c r="W175" s="46">
        <f>DATA!D176</f>
        <v>0</v>
      </c>
      <c r="X175" s="46">
        <f>DATA!F176</f>
        <v>0</v>
      </c>
      <c r="Y175" s="46">
        <f>DATA!G176</f>
        <v>0</v>
      </c>
      <c r="Z175" s="46">
        <f>DATA!H176</f>
        <v>0</v>
      </c>
      <c r="AA175" s="46">
        <f>DATA!I176</f>
        <v>0</v>
      </c>
      <c r="AB175" s="46"/>
      <c r="AC175" s="46"/>
      <c r="AD175" s="45">
        <f>DATA!L176</f>
        <v>0</v>
      </c>
      <c r="AE175" s="46"/>
      <c r="AF175" s="46">
        <f>DATA!O176</f>
        <v>0</v>
      </c>
      <c r="AG175" s="46">
        <f>DATA!Q176</f>
        <v>0</v>
      </c>
      <c r="AH175" s="46">
        <f>DATA!R176</f>
        <v>0</v>
      </c>
      <c r="AI175" s="46"/>
      <c r="AJ175" s="46"/>
      <c r="AK175" s="46">
        <f>DATA!U176</f>
        <v>0</v>
      </c>
      <c r="AL175" s="46">
        <f>DATA!V176</f>
        <v>0</v>
      </c>
      <c r="AM175" s="46">
        <f>DATA!W176</f>
        <v>0</v>
      </c>
      <c r="AN175" s="47"/>
    </row>
    <row r="176" spans="1:40" s="48" customFormat="1" ht="23.25" hidden="1" customHeight="1" x14ac:dyDescent="0.45">
      <c r="A176" s="46">
        <f>DATA!C177</f>
        <v>0</v>
      </c>
      <c r="B176" s="46">
        <f>DATA!D177</f>
        <v>0</v>
      </c>
      <c r="C176" s="46">
        <f>DATA!F177</f>
        <v>0</v>
      </c>
      <c r="D176" s="46">
        <f>DATA!G177</f>
        <v>0</v>
      </c>
      <c r="E176" s="46">
        <f>DATA!H177</f>
        <v>0</v>
      </c>
      <c r="F176" s="46">
        <f>DATA!I177</f>
        <v>0</v>
      </c>
      <c r="G176" s="46"/>
      <c r="H176" s="46"/>
      <c r="I176" s="45">
        <f>DATA!L177</f>
        <v>0</v>
      </c>
      <c r="J176" s="46"/>
      <c r="K176" s="46">
        <f>DATA!O177</f>
        <v>0</v>
      </c>
      <c r="L176" s="46">
        <f>DATA!Q177</f>
        <v>0</v>
      </c>
      <c r="M176" s="46">
        <f>DATA!R177</f>
        <v>0</v>
      </c>
      <c r="N176" s="46"/>
      <c r="O176" s="46"/>
      <c r="P176" s="46">
        <f>DATA!U177</f>
        <v>0</v>
      </c>
      <c r="Q176" s="46">
        <f>DATA!V177</f>
        <v>0</v>
      </c>
      <c r="R176" s="46">
        <f>DATA!W177</f>
        <v>0</v>
      </c>
      <c r="S176" s="47"/>
      <c r="V176" s="46">
        <f>DATA!C177</f>
        <v>0</v>
      </c>
      <c r="W176" s="46">
        <f>DATA!D177</f>
        <v>0</v>
      </c>
      <c r="X176" s="46">
        <f>DATA!F177</f>
        <v>0</v>
      </c>
      <c r="Y176" s="46">
        <f>DATA!G177</f>
        <v>0</v>
      </c>
      <c r="Z176" s="46">
        <f>DATA!H177</f>
        <v>0</v>
      </c>
      <c r="AA176" s="46">
        <f>DATA!I177</f>
        <v>0</v>
      </c>
      <c r="AB176" s="46"/>
      <c r="AC176" s="46"/>
      <c r="AD176" s="45">
        <f>DATA!L177</f>
        <v>0</v>
      </c>
      <c r="AE176" s="46"/>
      <c r="AF176" s="46">
        <f>DATA!O177</f>
        <v>0</v>
      </c>
      <c r="AG176" s="46">
        <f>DATA!Q177</f>
        <v>0</v>
      </c>
      <c r="AH176" s="46">
        <f>DATA!R177</f>
        <v>0</v>
      </c>
      <c r="AI176" s="46"/>
      <c r="AJ176" s="46"/>
      <c r="AK176" s="46">
        <f>DATA!U177</f>
        <v>0</v>
      </c>
      <c r="AL176" s="46">
        <f>DATA!V177</f>
        <v>0</v>
      </c>
      <c r="AM176" s="46">
        <f>DATA!W177</f>
        <v>0</v>
      </c>
      <c r="AN176" s="47"/>
    </row>
    <row r="177" spans="1:40" s="48" customFormat="1" ht="23.25" hidden="1" customHeight="1" x14ac:dyDescent="0.45">
      <c r="A177" s="46">
        <f>DATA!C178</f>
        <v>0</v>
      </c>
      <c r="B177" s="46">
        <f>DATA!D178</f>
        <v>0</v>
      </c>
      <c r="C177" s="46">
        <f>DATA!F178</f>
        <v>0</v>
      </c>
      <c r="D177" s="46">
        <f>DATA!G178</f>
        <v>0</v>
      </c>
      <c r="E177" s="46">
        <f>DATA!H178</f>
        <v>0</v>
      </c>
      <c r="F177" s="46">
        <f>DATA!I178</f>
        <v>0</v>
      </c>
      <c r="G177" s="46"/>
      <c r="H177" s="46"/>
      <c r="I177" s="45">
        <f>DATA!L178</f>
        <v>0</v>
      </c>
      <c r="J177" s="46"/>
      <c r="K177" s="46">
        <f>DATA!O178</f>
        <v>0</v>
      </c>
      <c r="L177" s="46">
        <f>DATA!Q178</f>
        <v>0</v>
      </c>
      <c r="M177" s="46">
        <f>DATA!R178</f>
        <v>0</v>
      </c>
      <c r="N177" s="46"/>
      <c r="O177" s="46"/>
      <c r="P177" s="46">
        <f>DATA!U178</f>
        <v>0</v>
      </c>
      <c r="Q177" s="46">
        <f>DATA!V178</f>
        <v>0</v>
      </c>
      <c r="R177" s="46">
        <f>DATA!W178</f>
        <v>0</v>
      </c>
      <c r="S177" s="47"/>
      <c r="V177" s="46">
        <f>DATA!C178</f>
        <v>0</v>
      </c>
      <c r="W177" s="46">
        <f>DATA!D178</f>
        <v>0</v>
      </c>
      <c r="X177" s="46">
        <f>DATA!F178</f>
        <v>0</v>
      </c>
      <c r="Y177" s="46">
        <f>DATA!G178</f>
        <v>0</v>
      </c>
      <c r="Z177" s="46">
        <f>DATA!H178</f>
        <v>0</v>
      </c>
      <c r="AA177" s="46">
        <f>DATA!I178</f>
        <v>0</v>
      </c>
      <c r="AB177" s="46"/>
      <c r="AC177" s="46"/>
      <c r="AD177" s="45">
        <f>DATA!L178</f>
        <v>0</v>
      </c>
      <c r="AE177" s="46"/>
      <c r="AF177" s="46">
        <f>DATA!O178</f>
        <v>0</v>
      </c>
      <c r="AG177" s="46">
        <f>DATA!Q178</f>
        <v>0</v>
      </c>
      <c r="AH177" s="46">
        <f>DATA!R178</f>
        <v>0</v>
      </c>
      <c r="AI177" s="46"/>
      <c r="AJ177" s="46"/>
      <c r="AK177" s="46">
        <f>DATA!U178</f>
        <v>0</v>
      </c>
      <c r="AL177" s="46">
        <f>DATA!V178</f>
        <v>0</v>
      </c>
      <c r="AM177" s="46">
        <f>DATA!W178</f>
        <v>0</v>
      </c>
      <c r="AN177" s="47"/>
    </row>
    <row r="178" spans="1:40" s="48" customFormat="1" ht="23.25" hidden="1" customHeight="1" x14ac:dyDescent="0.45">
      <c r="A178" s="46">
        <f>DATA!C179</f>
        <v>0</v>
      </c>
      <c r="B178" s="46">
        <f>DATA!D179</f>
        <v>0</v>
      </c>
      <c r="C178" s="46">
        <f>DATA!F179</f>
        <v>0</v>
      </c>
      <c r="D178" s="46">
        <f>DATA!G179</f>
        <v>0</v>
      </c>
      <c r="E178" s="46">
        <f>DATA!H179</f>
        <v>0</v>
      </c>
      <c r="F178" s="46">
        <f>DATA!I179</f>
        <v>0</v>
      </c>
      <c r="G178" s="46"/>
      <c r="H178" s="46"/>
      <c r="I178" s="45">
        <f>DATA!L179</f>
        <v>0</v>
      </c>
      <c r="J178" s="46"/>
      <c r="K178" s="46">
        <f>DATA!O179</f>
        <v>0</v>
      </c>
      <c r="L178" s="46">
        <f>DATA!Q179</f>
        <v>0</v>
      </c>
      <c r="M178" s="46">
        <f>DATA!R179</f>
        <v>0</v>
      </c>
      <c r="N178" s="46"/>
      <c r="O178" s="46"/>
      <c r="P178" s="46">
        <f>DATA!U179</f>
        <v>0</v>
      </c>
      <c r="Q178" s="46">
        <f>DATA!V179</f>
        <v>0</v>
      </c>
      <c r="R178" s="46">
        <f>DATA!W179</f>
        <v>0</v>
      </c>
      <c r="S178" s="47"/>
      <c r="V178" s="46">
        <f>DATA!C179</f>
        <v>0</v>
      </c>
      <c r="W178" s="46">
        <f>DATA!D179</f>
        <v>0</v>
      </c>
      <c r="X178" s="46">
        <f>DATA!F179</f>
        <v>0</v>
      </c>
      <c r="Y178" s="46">
        <f>DATA!G179</f>
        <v>0</v>
      </c>
      <c r="Z178" s="46">
        <f>DATA!H179</f>
        <v>0</v>
      </c>
      <c r="AA178" s="46">
        <f>DATA!I179</f>
        <v>0</v>
      </c>
      <c r="AB178" s="46"/>
      <c r="AC178" s="46"/>
      <c r="AD178" s="45">
        <f>DATA!L179</f>
        <v>0</v>
      </c>
      <c r="AE178" s="46"/>
      <c r="AF178" s="46">
        <f>DATA!O179</f>
        <v>0</v>
      </c>
      <c r="AG178" s="46">
        <f>DATA!Q179</f>
        <v>0</v>
      </c>
      <c r="AH178" s="46">
        <f>DATA!R179</f>
        <v>0</v>
      </c>
      <c r="AI178" s="46"/>
      <c r="AJ178" s="46"/>
      <c r="AK178" s="46">
        <f>DATA!U179</f>
        <v>0</v>
      </c>
      <c r="AL178" s="46">
        <f>DATA!V179</f>
        <v>0</v>
      </c>
      <c r="AM178" s="46">
        <f>DATA!W179</f>
        <v>0</v>
      </c>
      <c r="AN178" s="47"/>
    </row>
    <row r="179" spans="1:40" s="48" customFormat="1" ht="23.25" hidden="1" customHeight="1" x14ac:dyDescent="0.45">
      <c r="A179" s="46">
        <f>DATA!C180</f>
        <v>0</v>
      </c>
      <c r="B179" s="46">
        <f>DATA!D180</f>
        <v>0</v>
      </c>
      <c r="C179" s="46">
        <f>DATA!F180</f>
        <v>0</v>
      </c>
      <c r="D179" s="46">
        <f>DATA!G180</f>
        <v>0</v>
      </c>
      <c r="E179" s="46">
        <f>DATA!H180</f>
        <v>0</v>
      </c>
      <c r="F179" s="46">
        <f>DATA!I180</f>
        <v>0</v>
      </c>
      <c r="G179" s="46"/>
      <c r="H179" s="46"/>
      <c r="I179" s="45">
        <f>DATA!L180</f>
        <v>0</v>
      </c>
      <c r="J179" s="46"/>
      <c r="K179" s="46">
        <f>DATA!O180</f>
        <v>0</v>
      </c>
      <c r="L179" s="46">
        <f>DATA!Q180</f>
        <v>0</v>
      </c>
      <c r="M179" s="46">
        <f>DATA!R180</f>
        <v>0</v>
      </c>
      <c r="N179" s="46"/>
      <c r="O179" s="46"/>
      <c r="P179" s="46">
        <f>DATA!U180</f>
        <v>0</v>
      </c>
      <c r="Q179" s="46">
        <f>DATA!V180</f>
        <v>0</v>
      </c>
      <c r="R179" s="46">
        <f>DATA!W180</f>
        <v>0</v>
      </c>
      <c r="S179" s="47"/>
      <c r="V179" s="46">
        <f>DATA!C180</f>
        <v>0</v>
      </c>
      <c r="W179" s="46">
        <f>DATA!D180</f>
        <v>0</v>
      </c>
      <c r="X179" s="46">
        <f>DATA!F180</f>
        <v>0</v>
      </c>
      <c r="Y179" s="46">
        <f>DATA!G180</f>
        <v>0</v>
      </c>
      <c r="Z179" s="46">
        <f>DATA!H180</f>
        <v>0</v>
      </c>
      <c r="AA179" s="46">
        <f>DATA!I180</f>
        <v>0</v>
      </c>
      <c r="AB179" s="46"/>
      <c r="AC179" s="46"/>
      <c r="AD179" s="45">
        <f>DATA!L180</f>
        <v>0</v>
      </c>
      <c r="AE179" s="46"/>
      <c r="AF179" s="46">
        <f>DATA!O180</f>
        <v>0</v>
      </c>
      <c r="AG179" s="46">
        <f>DATA!Q180</f>
        <v>0</v>
      </c>
      <c r="AH179" s="46">
        <f>DATA!R180</f>
        <v>0</v>
      </c>
      <c r="AI179" s="46"/>
      <c r="AJ179" s="46"/>
      <c r="AK179" s="46">
        <f>DATA!U180</f>
        <v>0</v>
      </c>
      <c r="AL179" s="46">
        <f>DATA!V180</f>
        <v>0</v>
      </c>
      <c r="AM179" s="46">
        <f>DATA!W180</f>
        <v>0</v>
      </c>
      <c r="AN179" s="47"/>
    </row>
    <row r="180" spans="1:40" s="48" customFormat="1" ht="23.25" hidden="1" customHeight="1" x14ac:dyDescent="0.45">
      <c r="A180" s="46">
        <f>DATA!C181</f>
        <v>0</v>
      </c>
      <c r="B180" s="46">
        <f>DATA!D181</f>
        <v>0</v>
      </c>
      <c r="C180" s="46">
        <f>DATA!F181</f>
        <v>0</v>
      </c>
      <c r="D180" s="46">
        <f>DATA!G181</f>
        <v>0</v>
      </c>
      <c r="E180" s="46">
        <f>DATA!H181</f>
        <v>0</v>
      </c>
      <c r="F180" s="46">
        <f>DATA!I181</f>
        <v>0</v>
      </c>
      <c r="G180" s="46"/>
      <c r="H180" s="46"/>
      <c r="I180" s="45">
        <f>DATA!L181</f>
        <v>0</v>
      </c>
      <c r="J180" s="46"/>
      <c r="K180" s="46">
        <f>DATA!O181</f>
        <v>0</v>
      </c>
      <c r="L180" s="46">
        <f>DATA!Q181</f>
        <v>0</v>
      </c>
      <c r="M180" s="46">
        <f>DATA!R181</f>
        <v>0</v>
      </c>
      <c r="N180" s="46"/>
      <c r="O180" s="46"/>
      <c r="P180" s="46">
        <f>DATA!U181</f>
        <v>0</v>
      </c>
      <c r="Q180" s="46">
        <f>DATA!V181</f>
        <v>0</v>
      </c>
      <c r="R180" s="46">
        <f>DATA!W181</f>
        <v>0</v>
      </c>
      <c r="S180" s="47"/>
      <c r="V180" s="46">
        <f>DATA!C181</f>
        <v>0</v>
      </c>
      <c r="W180" s="46">
        <f>DATA!D181</f>
        <v>0</v>
      </c>
      <c r="X180" s="46">
        <f>DATA!F181</f>
        <v>0</v>
      </c>
      <c r="Y180" s="46">
        <f>DATA!G181</f>
        <v>0</v>
      </c>
      <c r="Z180" s="46">
        <f>DATA!H181</f>
        <v>0</v>
      </c>
      <c r="AA180" s="46">
        <f>DATA!I181</f>
        <v>0</v>
      </c>
      <c r="AB180" s="46"/>
      <c r="AC180" s="46"/>
      <c r="AD180" s="45">
        <f>DATA!L181</f>
        <v>0</v>
      </c>
      <c r="AE180" s="46"/>
      <c r="AF180" s="46">
        <f>DATA!O181</f>
        <v>0</v>
      </c>
      <c r="AG180" s="46">
        <f>DATA!Q181</f>
        <v>0</v>
      </c>
      <c r="AH180" s="46">
        <f>DATA!R181</f>
        <v>0</v>
      </c>
      <c r="AI180" s="46"/>
      <c r="AJ180" s="46"/>
      <c r="AK180" s="46">
        <f>DATA!U181</f>
        <v>0</v>
      </c>
      <c r="AL180" s="46">
        <f>DATA!V181</f>
        <v>0</v>
      </c>
      <c r="AM180" s="46">
        <f>DATA!W181</f>
        <v>0</v>
      </c>
      <c r="AN180" s="47"/>
    </row>
    <row r="181" spans="1:40" s="48" customFormat="1" ht="23.25" hidden="1" customHeight="1" x14ac:dyDescent="0.45">
      <c r="A181" s="46">
        <f>DATA!C182</f>
        <v>0</v>
      </c>
      <c r="B181" s="46">
        <f>DATA!D182</f>
        <v>0</v>
      </c>
      <c r="C181" s="46">
        <f>DATA!F182</f>
        <v>0</v>
      </c>
      <c r="D181" s="46">
        <f>DATA!G182</f>
        <v>0</v>
      </c>
      <c r="E181" s="46">
        <f>DATA!H182</f>
        <v>0</v>
      </c>
      <c r="F181" s="46">
        <f>DATA!I182</f>
        <v>0</v>
      </c>
      <c r="G181" s="46"/>
      <c r="H181" s="46"/>
      <c r="I181" s="45">
        <f>DATA!L182</f>
        <v>0</v>
      </c>
      <c r="J181" s="46"/>
      <c r="K181" s="46">
        <f>DATA!O182</f>
        <v>0</v>
      </c>
      <c r="L181" s="46">
        <f>DATA!Q182</f>
        <v>0</v>
      </c>
      <c r="M181" s="46">
        <f>DATA!R182</f>
        <v>0</v>
      </c>
      <c r="N181" s="46"/>
      <c r="O181" s="46"/>
      <c r="P181" s="46">
        <f>DATA!U182</f>
        <v>0</v>
      </c>
      <c r="Q181" s="46">
        <f>DATA!V182</f>
        <v>0</v>
      </c>
      <c r="R181" s="46">
        <f>DATA!W182</f>
        <v>0</v>
      </c>
      <c r="S181" s="47"/>
      <c r="V181" s="46">
        <f>DATA!C182</f>
        <v>0</v>
      </c>
      <c r="W181" s="46">
        <f>DATA!D182</f>
        <v>0</v>
      </c>
      <c r="X181" s="46">
        <f>DATA!F182</f>
        <v>0</v>
      </c>
      <c r="Y181" s="46">
        <f>DATA!G182</f>
        <v>0</v>
      </c>
      <c r="Z181" s="46">
        <f>DATA!H182</f>
        <v>0</v>
      </c>
      <c r="AA181" s="46">
        <f>DATA!I182</f>
        <v>0</v>
      </c>
      <c r="AB181" s="46"/>
      <c r="AC181" s="46"/>
      <c r="AD181" s="45">
        <f>DATA!L182</f>
        <v>0</v>
      </c>
      <c r="AE181" s="46"/>
      <c r="AF181" s="46">
        <f>DATA!O182</f>
        <v>0</v>
      </c>
      <c r="AG181" s="46">
        <f>DATA!Q182</f>
        <v>0</v>
      </c>
      <c r="AH181" s="46">
        <f>DATA!R182</f>
        <v>0</v>
      </c>
      <c r="AI181" s="46"/>
      <c r="AJ181" s="46"/>
      <c r="AK181" s="46">
        <f>DATA!U182</f>
        <v>0</v>
      </c>
      <c r="AL181" s="46">
        <f>DATA!V182</f>
        <v>0</v>
      </c>
      <c r="AM181" s="46">
        <f>DATA!W182</f>
        <v>0</v>
      </c>
      <c r="AN181" s="47"/>
    </row>
    <row r="182" spans="1:40" s="48" customFormat="1" ht="23.25" hidden="1" customHeight="1" x14ac:dyDescent="0.45">
      <c r="A182" s="46">
        <f>DATA!C183</f>
        <v>0</v>
      </c>
      <c r="B182" s="46">
        <f>DATA!D183</f>
        <v>0</v>
      </c>
      <c r="C182" s="46">
        <f>DATA!F183</f>
        <v>0</v>
      </c>
      <c r="D182" s="46">
        <f>DATA!G183</f>
        <v>0</v>
      </c>
      <c r="E182" s="46">
        <f>DATA!H183</f>
        <v>0</v>
      </c>
      <c r="F182" s="46">
        <f>DATA!I183</f>
        <v>0</v>
      </c>
      <c r="G182" s="46"/>
      <c r="H182" s="46"/>
      <c r="I182" s="45">
        <f>DATA!L183</f>
        <v>0</v>
      </c>
      <c r="J182" s="46"/>
      <c r="K182" s="46">
        <f>DATA!O183</f>
        <v>0</v>
      </c>
      <c r="L182" s="46">
        <f>DATA!Q183</f>
        <v>0</v>
      </c>
      <c r="M182" s="46">
        <f>DATA!R183</f>
        <v>0</v>
      </c>
      <c r="N182" s="46"/>
      <c r="O182" s="46"/>
      <c r="P182" s="46">
        <f>DATA!U183</f>
        <v>0</v>
      </c>
      <c r="Q182" s="46">
        <f>DATA!V183</f>
        <v>0</v>
      </c>
      <c r="R182" s="46">
        <f>DATA!W183</f>
        <v>0</v>
      </c>
      <c r="S182" s="47"/>
      <c r="V182" s="46">
        <f>DATA!C183</f>
        <v>0</v>
      </c>
      <c r="W182" s="46">
        <f>DATA!D183</f>
        <v>0</v>
      </c>
      <c r="X182" s="46">
        <f>DATA!F183</f>
        <v>0</v>
      </c>
      <c r="Y182" s="46">
        <f>DATA!G183</f>
        <v>0</v>
      </c>
      <c r="Z182" s="46">
        <f>DATA!H183</f>
        <v>0</v>
      </c>
      <c r="AA182" s="46">
        <f>DATA!I183</f>
        <v>0</v>
      </c>
      <c r="AB182" s="46"/>
      <c r="AC182" s="46"/>
      <c r="AD182" s="45">
        <f>DATA!L183</f>
        <v>0</v>
      </c>
      <c r="AE182" s="46"/>
      <c r="AF182" s="46">
        <f>DATA!O183</f>
        <v>0</v>
      </c>
      <c r="AG182" s="46">
        <f>DATA!Q183</f>
        <v>0</v>
      </c>
      <c r="AH182" s="46">
        <f>DATA!R183</f>
        <v>0</v>
      </c>
      <c r="AI182" s="46"/>
      <c r="AJ182" s="46"/>
      <c r="AK182" s="46">
        <f>DATA!U183</f>
        <v>0</v>
      </c>
      <c r="AL182" s="46">
        <f>DATA!V183</f>
        <v>0</v>
      </c>
      <c r="AM182" s="46">
        <f>DATA!W183</f>
        <v>0</v>
      </c>
      <c r="AN182" s="47"/>
    </row>
    <row r="183" spans="1:40" s="48" customFormat="1" ht="23.25" hidden="1" customHeight="1" x14ac:dyDescent="0.45">
      <c r="A183" s="46">
        <f>DATA!C184</f>
        <v>0</v>
      </c>
      <c r="B183" s="46">
        <f>DATA!D184</f>
        <v>0</v>
      </c>
      <c r="C183" s="46">
        <f>DATA!F184</f>
        <v>0</v>
      </c>
      <c r="D183" s="46">
        <f>DATA!G184</f>
        <v>0</v>
      </c>
      <c r="E183" s="46">
        <f>DATA!H184</f>
        <v>0</v>
      </c>
      <c r="F183" s="46">
        <f>DATA!I184</f>
        <v>0</v>
      </c>
      <c r="G183" s="46"/>
      <c r="H183" s="46"/>
      <c r="I183" s="45">
        <f>DATA!L184</f>
        <v>0</v>
      </c>
      <c r="J183" s="46"/>
      <c r="K183" s="46">
        <f>DATA!O184</f>
        <v>0</v>
      </c>
      <c r="L183" s="46">
        <f>DATA!Q184</f>
        <v>0</v>
      </c>
      <c r="M183" s="46">
        <f>DATA!R184</f>
        <v>0</v>
      </c>
      <c r="N183" s="46"/>
      <c r="O183" s="46"/>
      <c r="P183" s="46">
        <f>DATA!U184</f>
        <v>0</v>
      </c>
      <c r="Q183" s="46">
        <f>DATA!V184</f>
        <v>0</v>
      </c>
      <c r="R183" s="46">
        <f>DATA!W184</f>
        <v>0</v>
      </c>
      <c r="S183" s="47"/>
      <c r="V183" s="46">
        <f>DATA!C184</f>
        <v>0</v>
      </c>
      <c r="W183" s="46">
        <f>DATA!D184</f>
        <v>0</v>
      </c>
      <c r="X183" s="46">
        <f>DATA!F184</f>
        <v>0</v>
      </c>
      <c r="Y183" s="46">
        <f>DATA!G184</f>
        <v>0</v>
      </c>
      <c r="Z183" s="46">
        <f>DATA!H184</f>
        <v>0</v>
      </c>
      <c r="AA183" s="46">
        <f>DATA!I184</f>
        <v>0</v>
      </c>
      <c r="AB183" s="46"/>
      <c r="AC183" s="46"/>
      <c r="AD183" s="45">
        <f>DATA!L184</f>
        <v>0</v>
      </c>
      <c r="AE183" s="46"/>
      <c r="AF183" s="46">
        <f>DATA!O184</f>
        <v>0</v>
      </c>
      <c r="AG183" s="46">
        <f>DATA!Q184</f>
        <v>0</v>
      </c>
      <c r="AH183" s="46">
        <f>DATA!R184</f>
        <v>0</v>
      </c>
      <c r="AI183" s="46"/>
      <c r="AJ183" s="46"/>
      <c r="AK183" s="46">
        <f>DATA!U184</f>
        <v>0</v>
      </c>
      <c r="AL183" s="46">
        <f>DATA!V184</f>
        <v>0</v>
      </c>
      <c r="AM183" s="46">
        <f>DATA!W184</f>
        <v>0</v>
      </c>
      <c r="AN183" s="47"/>
    </row>
    <row r="184" spans="1:40" s="48" customFormat="1" ht="23.25" hidden="1" customHeight="1" x14ac:dyDescent="0.45">
      <c r="A184" s="46">
        <f>DATA!C185</f>
        <v>0</v>
      </c>
      <c r="B184" s="46">
        <f>DATA!D185</f>
        <v>0</v>
      </c>
      <c r="C184" s="46">
        <f>DATA!F185</f>
        <v>0</v>
      </c>
      <c r="D184" s="46">
        <f>DATA!G185</f>
        <v>0</v>
      </c>
      <c r="E184" s="46">
        <f>DATA!H185</f>
        <v>0</v>
      </c>
      <c r="F184" s="46">
        <f>DATA!I185</f>
        <v>0</v>
      </c>
      <c r="G184" s="46"/>
      <c r="H184" s="46"/>
      <c r="I184" s="45">
        <f>DATA!L185</f>
        <v>0</v>
      </c>
      <c r="J184" s="46"/>
      <c r="K184" s="46">
        <f>DATA!O185</f>
        <v>0</v>
      </c>
      <c r="L184" s="46">
        <f>DATA!Q185</f>
        <v>0</v>
      </c>
      <c r="M184" s="46">
        <f>DATA!R185</f>
        <v>0</v>
      </c>
      <c r="N184" s="46"/>
      <c r="O184" s="46"/>
      <c r="P184" s="46">
        <f>DATA!U185</f>
        <v>0</v>
      </c>
      <c r="Q184" s="46">
        <f>DATA!V185</f>
        <v>0</v>
      </c>
      <c r="R184" s="46">
        <f>DATA!W185</f>
        <v>0</v>
      </c>
      <c r="S184" s="47"/>
      <c r="V184" s="46">
        <f>DATA!C185</f>
        <v>0</v>
      </c>
      <c r="W184" s="46">
        <f>DATA!D185</f>
        <v>0</v>
      </c>
      <c r="X184" s="46">
        <f>DATA!F185</f>
        <v>0</v>
      </c>
      <c r="Y184" s="46">
        <f>DATA!G185</f>
        <v>0</v>
      </c>
      <c r="Z184" s="46">
        <f>DATA!H185</f>
        <v>0</v>
      </c>
      <c r="AA184" s="46">
        <f>DATA!I185</f>
        <v>0</v>
      </c>
      <c r="AB184" s="46"/>
      <c r="AC184" s="46"/>
      <c r="AD184" s="45">
        <f>DATA!L185</f>
        <v>0</v>
      </c>
      <c r="AE184" s="46"/>
      <c r="AF184" s="46">
        <f>DATA!O185</f>
        <v>0</v>
      </c>
      <c r="AG184" s="46">
        <f>DATA!Q185</f>
        <v>0</v>
      </c>
      <c r="AH184" s="46">
        <f>DATA!R185</f>
        <v>0</v>
      </c>
      <c r="AI184" s="46"/>
      <c r="AJ184" s="46"/>
      <c r="AK184" s="46">
        <f>DATA!U185</f>
        <v>0</v>
      </c>
      <c r="AL184" s="46">
        <f>DATA!V185</f>
        <v>0</v>
      </c>
      <c r="AM184" s="46">
        <f>DATA!W185</f>
        <v>0</v>
      </c>
      <c r="AN184" s="47"/>
    </row>
    <row r="185" spans="1:40" s="48" customFormat="1" ht="23.25" hidden="1" customHeight="1" x14ac:dyDescent="0.45">
      <c r="A185" s="46">
        <f>DATA!C186</f>
        <v>0</v>
      </c>
      <c r="B185" s="46">
        <f>DATA!D186</f>
        <v>0</v>
      </c>
      <c r="C185" s="46">
        <f>DATA!F186</f>
        <v>0</v>
      </c>
      <c r="D185" s="46">
        <f>DATA!G186</f>
        <v>0</v>
      </c>
      <c r="E185" s="46">
        <f>DATA!H186</f>
        <v>0</v>
      </c>
      <c r="F185" s="46">
        <f>DATA!I186</f>
        <v>0</v>
      </c>
      <c r="G185" s="46"/>
      <c r="H185" s="46"/>
      <c r="I185" s="45">
        <f>DATA!L186</f>
        <v>0</v>
      </c>
      <c r="J185" s="46"/>
      <c r="K185" s="46">
        <f>DATA!O186</f>
        <v>0</v>
      </c>
      <c r="L185" s="46">
        <f>DATA!Q186</f>
        <v>0</v>
      </c>
      <c r="M185" s="46">
        <f>DATA!R186</f>
        <v>0</v>
      </c>
      <c r="N185" s="46"/>
      <c r="O185" s="46"/>
      <c r="P185" s="46">
        <f>DATA!U186</f>
        <v>0</v>
      </c>
      <c r="Q185" s="46">
        <f>DATA!V186</f>
        <v>0</v>
      </c>
      <c r="R185" s="46">
        <f>DATA!W186</f>
        <v>0</v>
      </c>
      <c r="S185" s="47"/>
      <c r="V185" s="46">
        <f>DATA!C186</f>
        <v>0</v>
      </c>
      <c r="W185" s="46">
        <f>DATA!D186</f>
        <v>0</v>
      </c>
      <c r="X185" s="46">
        <f>DATA!F186</f>
        <v>0</v>
      </c>
      <c r="Y185" s="46">
        <f>DATA!G186</f>
        <v>0</v>
      </c>
      <c r="Z185" s="46">
        <f>DATA!H186</f>
        <v>0</v>
      </c>
      <c r="AA185" s="46">
        <f>DATA!I186</f>
        <v>0</v>
      </c>
      <c r="AB185" s="46"/>
      <c r="AC185" s="46"/>
      <c r="AD185" s="45">
        <f>DATA!L186</f>
        <v>0</v>
      </c>
      <c r="AE185" s="46"/>
      <c r="AF185" s="46">
        <f>DATA!O186</f>
        <v>0</v>
      </c>
      <c r="AG185" s="46">
        <f>DATA!Q186</f>
        <v>0</v>
      </c>
      <c r="AH185" s="46">
        <f>DATA!R186</f>
        <v>0</v>
      </c>
      <c r="AI185" s="46"/>
      <c r="AJ185" s="46"/>
      <c r="AK185" s="46">
        <f>DATA!U186</f>
        <v>0</v>
      </c>
      <c r="AL185" s="46">
        <f>DATA!V186</f>
        <v>0</v>
      </c>
      <c r="AM185" s="46">
        <f>DATA!W186</f>
        <v>0</v>
      </c>
      <c r="AN185" s="47"/>
    </row>
    <row r="186" spans="1:40" s="48" customFormat="1" ht="23.25" hidden="1" customHeight="1" x14ac:dyDescent="0.45">
      <c r="A186" s="46">
        <f>DATA!C187</f>
        <v>0</v>
      </c>
      <c r="B186" s="46">
        <f>DATA!D187</f>
        <v>0</v>
      </c>
      <c r="C186" s="46">
        <f>DATA!F187</f>
        <v>0</v>
      </c>
      <c r="D186" s="46">
        <f>DATA!G187</f>
        <v>0</v>
      </c>
      <c r="E186" s="46">
        <f>DATA!H187</f>
        <v>0</v>
      </c>
      <c r="F186" s="46">
        <f>DATA!I187</f>
        <v>0</v>
      </c>
      <c r="G186" s="46"/>
      <c r="H186" s="46"/>
      <c r="I186" s="45">
        <f>DATA!L187</f>
        <v>0</v>
      </c>
      <c r="J186" s="46"/>
      <c r="K186" s="46">
        <f>DATA!O187</f>
        <v>0</v>
      </c>
      <c r="L186" s="46">
        <f>DATA!Q187</f>
        <v>0</v>
      </c>
      <c r="M186" s="46">
        <f>DATA!R187</f>
        <v>0</v>
      </c>
      <c r="N186" s="46"/>
      <c r="O186" s="46"/>
      <c r="P186" s="46">
        <f>DATA!U187</f>
        <v>0</v>
      </c>
      <c r="Q186" s="46">
        <f>DATA!V187</f>
        <v>0</v>
      </c>
      <c r="R186" s="46">
        <f>DATA!W187</f>
        <v>0</v>
      </c>
      <c r="S186" s="47"/>
      <c r="V186" s="46">
        <f>DATA!C187</f>
        <v>0</v>
      </c>
      <c r="W186" s="46">
        <f>DATA!D187</f>
        <v>0</v>
      </c>
      <c r="X186" s="46">
        <f>DATA!F187</f>
        <v>0</v>
      </c>
      <c r="Y186" s="46">
        <f>DATA!G187</f>
        <v>0</v>
      </c>
      <c r="Z186" s="46">
        <f>DATA!H187</f>
        <v>0</v>
      </c>
      <c r="AA186" s="46">
        <f>DATA!I187</f>
        <v>0</v>
      </c>
      <c r="AB186" s="46"/>
      <c r="AC186" s="46"/>
      <c r="AD186" s="45">
        <f>DATA!L187</f>
        <v>0</v>
      </c>
      <c r="AE186" s="46"/>
      <c r="AF186" s="46">
        <f>DATA!O187</f>
        <v>0</v>
      </c>
      <c r="AG186" s="46">
        <f>DATA!Q187</f>
        <v>0</v>
      </c>
      <c r="AH186" s="46">
        <f>DATA!R187</f>
        <v>0</v>
      </c>
      <c r="AI186" s="46"/>
      <c r="AJ186" s="46"/>
      <c r="AK186" s="46">
        <f>DATA!U187</f>
        <v>0</v>
      </c>
      <c r="AL186" s="46">
        <f>DATA!V187</f>
        <v>0</v>
      </c>
      <c r="AM186" s="46">
        <f>DATA!W187</f>
        <v>0</v>
      </c>
      <c r="AN186" s="47"/>
    </row>
    <row r="187" spans="1:40" s="48" customFormat="1" ht="23.25" hidden="1" customHeight="1" x14ac:dyDescent="0.45">
      <c r="A187" s="46">
        <f>DATA!C188</f>
        <v>0</v>
      </c>
      <c r="B187" s="46">
        <f>DATA!D188</f>
        <v>0</v>
      </c>
      <c r="C187" s="46">
        <f>DATA!F188</f>
        <v>0</v>
      </c>
      <c r="D187" s="46">
        <f>DATA!G188</f>
        <v>0</v>
      </c>
      <c r="E187" s="46">
        <f>DATA!H188</f>
        <v>0</v>
      </c>
      <c r="F187" s="46">
        <f>DATA!I188</f>
        <v>0</v>
      </c>
      <c r="G187" s="46"/>
      <c r="H187" s="46"/>
      <c r="I187" s="45">
        <f>DATA!L188</f>
        <v>0</v>
      </c>
      <c r="J187" s="46"/>
      <c r="K187" s="46">
        <f>DATA!O188</f>
        <v>0</v>
      </c>
      <c r="L187" s="46">
        <f>DATA!Q188</f>
        <v>0</v>
      </c>
      <c r="M187" s="46">
        <f>DATA!R188</f>
        <v>0</v>
      </c>
      <c r="N187" s="46"/>
      <c r="O187" s="46"/>
      <c r="P187" s="46">
        <f>DATA!U188</f>
        <v>0</v>
      </c>
      <c r="Q187" s="46">
        <f>DATA!V188</f>
        <v>0</v>
      </c>
      <c r="R187" s="46">
        <f>DATA!W188</f>
        <v>0</v>
      </c>
      <c r="S187" s="47"/>
      <c r="V187" s="46">
        <f>DATA!C188</f>
        <v>0</v>
      </c>
      <c r="W187" s="46">
        <f>DATA!D188</f>
        <v>0</v>
      </c>
      <c r="X187" s="46">
        <f>DATA!F188</f>
        <v>0</v>
      </c>
      <c r="Y187" s="46">
        <f>DATA!G188</f>
        <v>0</v>
      </c>
      <c r="Z187" s="46">
        <f>DATA!H188</f>
        <v>0</v>
      </c>
      <c r="AA187" s="46">
        <f>DATA!I188</f>
        <v>0</v>
      </c>
      <c r="AB187" s="46"/>
      <c r="AC187" s="46"/>
      <c r="AD187" s="45">
        <f>DATA!L188</f>
        <v>0</v>
      </c>
      <c r="AE187" s="46"/>
      <c r="AF187" s="46">
        <f>DATA!O188</f>
        <v>0</v>
      </c>
      <c r="AG187" s="46">
        <f>DATA!Q188</f>
        <v>0</v>
      </c>
      <c r="AH187" s="46">
        <f>DATA!R188</f>
        <v>0</v>
      </c>
      <c r="AI187" s="46"/>
      <c r="AJ187" s="46"/>
      <c r="AK187" s="46">
        <f>DATA!U188</f>
        <v>0</v>
      </c>
      <c r="AL187" s="46">
        <f>DATA!V188</f>
        <v>0</v>
      </c>
      <c r="AM187" s="46">
        <f>DATA!W188</f>
        <v>0</v>
      </c>
      <c r="AN187" s="47"/>
    </row>
    <row r="188" spans="1:40" s="48" customFormat="1" ht="23.25" hidden="1" customHeight="1" x14ac:dyDescent="0.45">
      <c r="A188" s="46">
        <f>DATA!C189</f>
        <v>0</v>
      </c>
      <c r="B188" s="46">
        <f>DATA!D189</f>
        <v>0</v>
      </c>
      <c r="C188" s="46">
        <f>DATA!F189</f>
        <v>0</v>
      </c>
      <c r="D188" s="46">
        <f>DATA!G189</f>
        <v>0</v>
      </c>
      <c r="E188" s="46">
        <f>DATA!H189</f>
        <v>0</v>
      </c>
      <c r="F188" s="46">
        <f>DATA!I189</f>
        <v>0</v>
      </c>
      <c r="G188" s="46"/>
      <c r="H188" s="46"/>
      <c r="I188" s="45">
        <f>DATA!L189</f>
        <v>0</v>
      </c>
      <c r="J188" s="46"/>
      <c r="K188" s="46">
        <f>DATA!O189</f>
        <v>0</v>
      </c>
      <c r="L188" s="46">
        <f>DATA!Q189</f>
        <v>0</v>
      </c>
      <c r="M188" s="46">
        <f>DATA!R189</f>
        <v>0</v>
      </c>
      <c r="N188" s="46"/>
      <c r="O188" s="46"/>
      <c r="P188" s="46">
        <f>DATA!U189</f>
        <v>0</v>
      </c>
      <c r="Q188" s="46">
        <f>DATA!V189</f>
        <v>0</v>
      </c>
      <c r="R188" s="46">
        <f>DATA!W189</f>
        <v>0</v>
      </c>
      <c r="S188" s="47"/>
      <c r="V188" s="46">
        <f>DATA!C189</f>
        <v>0</v>
      </c>
      <c r="W188" s="46">
        <f>DATA!D189</f>
        <v>0</v>
      </c>
      <c r="X188" s="46">
        <f>DATA!F189</f>
        <v>0</v>
      </c>
      <c r="Y188" s="46">
        <f>DATA!G189</f>
        <v>0</v>
      </c>
      <c r="Z188" s="46">
        <f>DATA!H189</f>
        <v>0</v>
      </c>
      <c r="AA188" s="46">
        <f>DATA!I189</f>
        <v>0</v>
      </c>
      <c r="AB188" s="46"/>
      <c r="AC188" s="46"/>
      <c r="AD188" s="45">
        <f>DATA!L189</f>
        <v>0</v>
      </c>
      <c r="AE188" s="46"/>
      <c r="AF188" s="46">
        <f>DATA!O189</f>
        <v>0</v>
      </c>
      <c r="AG188" s="46">
        <f>DATA!Q189</f>
        <v>0</v>
      </c>
      <c r="AH188" s="46">
        <f>DATA!R189</f>
        <v>0</v>
      </c>
      <c r="AI188" s="46"/>
      <c r="AJ188" s="46"/>
      <c r="AK188" s="46">
        <f>DATA!U189</f>
        <v>0</v>
      </c>
      <c r="AL188" s="46">
        <f>DATA!V189</f>
        <v>0</v>
      </c>
      <c r="AM188" s="46">
        <f>DATA!W189</f>
        <v>0</v>
      </c>
      <c r="AN188" s="47"/>
    </row>
    <row r="189" spans="1:40" s="48" customFormat="1" ht="23.25" hidden="1" customHeight="1" x14ac:dyDescent="0.45">
      <c r="A189" s="46">
        <f>DATA!C190</f>
        <v>0</v>
      </c>
      <c r="B189" s="46">
        <f>DATA!D190</f>
        <v>0</v>
      </c>
      <c r="C189" s="46">
        <f>DATA!F190</f>
        <v>0</v>
      </c>
      <c r="D189" s="46">
        <f>DATA!G190</f>
        <v>0</v>
      </c>
      <c r="E189" s="46">
        <f>DATA!H190</f>
        <v>0</v>
      </c>
      <c r="F189" s="46">
        <f>DATA!I190</f>
        <v>0</v>
      </c>
      <c r="G189" s="46"/>
      <c r="H189" s="46"/>
      <c r="I189" s="45">
        <f>DATA!L190</f>
        <v>0</v>
      </c>
      <c r="J189" s="46"/>
      <c r="K189" s="46">
        <f>DATA!O190</f>
        <v>0</v>
      </c>
      <c r="L189" s="46">
        <f>DATA!Q190</f>
        <v>0</v>
      </c>
      <c r="M189" s="46">
        <f>DATA!R190</f>
        <v>0</v>
      </c>
      <c r="N189" s="46"/>
      <c r="O189" s="46"/>
      <c r="P189" s="46">
        <f>DATA!U190</f>
        <v>0</v>
      </c>
      <c r="Q189" s="46">
        <f>DATA!V190</f>
        <v>0</v>
      </c>
      <c r="R189" s="46">
        <f>DATA!W190</f>
        <v>0</v>
      </c>
      <c r="S189" s="47"/>
      <c r="V189" s="46">
        <f>DATA!C190</f>
        <v>0</v>
      </c>
      <c r="W189" s="46">
        <f>DATA!D190</f>
        <v>0</v>
      </c>
      <c r="X189" s="46">
        <f>DATA!F190</f>
        <v>0</v>
      </c>
      <c r="Y189" s="46">
        <f>DATA!G190</f>
        <v>0</v>
      </c>
      <c r="Z189" s="46">
        <f>DATA!H190</f>
        <v>0</v>
      </c>
      <c r="AA189" s="46">
        <f>DATA!I190</f>
        <v>0</v>
      </c>
      <c r="AB189" s="46"/>
      <c r="AC189" s="46"/>
      <c r="AD189" s="45">
        <f>DATA!L190</f>
        <v>0</v>
      </c>
      <c r="AE189" s="46"/>
      <c r="AF189" s="46">
        <f>DATA!O190</f>
        <v>0</v>
      </c>
      <c r="AG189" s="46">
        <f>DATA!Q190</f>
        <v>0</v>
      </c>
      <c r="AH189" s="46">
        <f>DATA!R190</f>
        <v>0</v>
      </c>
      <c r="AI189" s="46"/>
      <c r="AJ189" s="46"/>
      <c r="AK189" s="46">
        <f>DATA!U190</f>
        <v>0</v>
      </c>
      <c r="AL189" s="46">
        <f>DATA!V190</f>
        <v>0</v>
      </c>
      <c r="AM189" s="46">
        <f>DATA!W190</f>
        <v>0</v>
      </c>
      <c r="AN189" s="47"/>
    </row>
    <row r="190" spans="1:40" s="48" customFormat="1" ht="23.25" hidden="1" customHeight="1" x14ac:dyDescent="0.45">
      <c r="A190" s="46">
        <f>DATA!C191</f>
        <v>0</v>
      </c>
      <c r="B190" s="46">
        <f>DATA!D191</f>
        <v>0</v>
      </c>
      <c r="C190" s="46">
        <f>DATA!F191</f>
        <v>0</v>
      </c>
      <c r="D190" s="46">
        <f>DATA!G191</f>
        <v>0</v>
      </c>
      <c r="E190" s="46">
        <f>DATA!H191</f>
        <v>0</v>
      </c>
      <c r="F190" s="46">
        <f>DATA!I191</f>
        <v>0</v>
      </c>
      <c r="G190" s="46"/>
      <c r="H190" s="46"/>
      <c r="I190" s="45">
        <f>DATA!L191</f>
        <v>0</v>
      </c>
      <c r="J190" s="46"/>
      <c r="K190" s="46">
        <f>DATA!O191</f>
        <v>0</v>
      </c>
      <c r="L190" s="46">
        <f>DATA!Q191</f>
        <v>0</v>
      </c>
      <c r="M190" s="46">
        <f>DATA!R191</f>
        <v>0</v>
      </c>
      <c r="N190" s="46"/>
      <c r="O190" s="46"/>
      <c r="P190" s="46">
        <f>DATA!U191</f>
        <v>0</v>
      </c>
      <c r="Q190" s="46">
        <f>DATA!V191</f>
        <v>0</v>
      </c>
      <c r="R190" s="46">
        <f>DATA!W191</f>
        <v>0</v>
      </c>
      <c r="S190" s="47"/>
      <c r="V190" s="46">
        <f>DATA!C191</f>
        <v>0</v>
      </c>
      <c r="W190" s="46">
        <f>DATA!D191</f>
        <v>0</v>
      </c>
      <c r="X190" s="46">
        <f>DATA!F191</f>
        <v>0</v>
      </c>
      <c r="Y190" s="46">
        <f>DATA!G191</f>
        <v>0</v>
      </c>
      <c r="Z190" s="46">
        <f>DATA!H191</f>
        <v>0</v>
      </c>
      <c r="AA190" s="46">
        <f>DATA!I191</f>
        <v>0</v>
      </c>
      <c r="AB190" s="46"/>
      <c r="AC190" s="46"/>
      <c r="AD190" s="45">
        <f>DATA!L191</f>
        <v>0</v>
      </c>
      <c r="AE190" s="46"/>
      <c r="AF190" s="46">
        <f>DATA!O191</f>
        <v>0</v>
      </c>
      <c r="AG190" s="46">
        <f>DATA!Q191</f>
        <v>0</v>
      </c>
      <c r="AH190" s="46">
        <f>DATA!R191</f>
        <v>0</v>
      </c>
      <c r="AI190" s="46"/>
      <c r="AJ190" s="46"/>
      <c r="AK190" s="46">
        <f>DATA!U191</f>
        <v>0</v>
      </c>
      <c r="AL190" s="46">
        <f>DATA!V191</f>
        <v>0</v>
      </c>
      <c r="AM190" s="46">
        <f>DATA!W191</f>
        <v>0</v>
      </c>
      <c r="AN190" s="47"/>
    </row>
    <row r="191" spans="1:40" s="48" customFormat="1" ht="23.25" hidden="1" customHeight="1" x14ac:dyDescent="0.45">
      <c r="A191" s="46">
        <f>DATA!C192</f>
        <v>0</v>
      </c>
      <c r="B191" s="46">
        <f>DATA!D192</f>
        <v>0</v>
      </c>
      <c r="C191" s="46">
        <f>DATA!F192</f>
        <v>0</v>
      </c>
      <c r="D191" s="46">
        <f>DATA!G192</f>
        <v>0</v>
      </c>
      <c r="E191" s="46">
        <f>DATA!H192</f>
        <v>0</v>
      </c>
      <c r="F191" s="46">
        <f>DATA!I192</f>
        <v>0</v>
      </c>
      <c r="G191" s="46"/>
      <c r="H191" s="46"/>
      <c r="I191" s="45">
        <f>DATA!L192</f>
        <v>0</v>
      </c>
      <c r="J191" s="46"/>
      <c r="K191" s="46">
        <f>DATA!O192</f>
        <v>0</v>
      </c>
      <c r="L191" s="46">
        <f>DATA!Q192</f>
        <v>0</v>
      </c>
      <c r="M191" s="46">
        <f>DATA!R192</f>
        <v>0</v>
      </c>
      <c r="N191" s="46"/>
      <c r="O191" s="46"/>
      <c r="P191" s="46">
        <f>DATA!U192</f>
        <v>0</v>
      </c>
      <c r="Q191" s="46">
        <f>DATA!V192</f>
        <v>0</v>
      </c>
      <c r="R191" s="46">
        <f>DATA!W192</f>
        <v>0</v>
      </c>
      <c r="S191" s="47"/>
      <c r="V191" s="46">
        <f>DATA!C192</f>
        <v>0</v>
      </c>
      <c r="W191" s="46">
        <f>DATA!D192</f>
        <v>0</v>
      </c>
      <c r="X191" s="46">
        <f>DATA!F192</f>
        <v>0</v>
      </c>
      <c r="Y191" s="46">
        <f>DATA!G192</f>
        <v>0</v>
      </c>
      <c r="Z191" s="46">
        <f>DATA!H192</f>
        <v>0</v>
      </c>
      <c r="AA191" s="46">
        <f>DATA!I192</f>
        <v>0</v>
      </c>
      <c r="AB191" s="46"/>
      <c r="AC191" s="46"/>
      <c r="AD191" s="45">
        <f>DATA!L192</f>
        <v>0</v>
      </c>
      <c r="AE191" s="46"/>
      <c r="AF191" s="46">
        <f>DATA!O192</f>
        <v>0</v>
      </c>
      <c r="AG191" s="46">
        <f>DATA!Q192</f>
        <v>0</v>
      </c>
      <c r="AH191" s="46">
        <f>DATA!R192</f>
        <v>0</v>
      </c>
      <c r="AI191" s="46"/>
      <c r="AJ191" s="46"/>
      <c r="AK191" s="46">
        <f>DATA!U192</f>
        <v>0</v>
      </c>
      <c r="AL191" s="46">
        <f>DATA!V192</f>
        <v>0</v>
      </c>
      <c r="AM191" s="46">
        <f>DATA!W192</f>
        <v>0</v>
      </c>
      <c r="AN191" s="47"/>
    </row>
    <row r="192" spans="1:40" s="48" customFormat="1" ht="23.25" hidden="1" customHeight="1" x14ac:dyDescent="0.45">
      <c r="A192" s="46">
        <f>DATA!C193</f>
        <v>0</v>
      </c>
      <c r="B192" s="46">
        <f>DATA!D193</f>
        <v>0</v>
      </c>
      <c r="C192" s="46">
        <f>DATA!F193</f>
        <v>0</v>
      </c>
      <c r="D192" s="46">
        <f>DATA!G193</f>
        <v>0</v>
      </c>
      <c r="E192" s="46">
        <f>DATA!H193</f>
        <v>0</v>
      </c>
      <c r="F192" s="46">
        <f>DATA!I193</f>
        <v>0</v>
      </c>
      <c r="G192" s="46"/>
      <c r="H192" s="46"/>
      <c r="I192" s="45">
        <f>DATA!L193</f>
        <v>0</v>
      </c>
      <c r="J192" s="46"/>
      <c r="K192" s="46">
        <f>DATA!O193</f>
        <v>0</v>
      </c>
      <c r="L192" s="46">
        <f>DATA!Q193</f>
        <v>0</v>
      </c>
      <c r="M192" s="46">
        <f>DATA!R193</f>
        <v>0</v>
      </c>
      <c r="N192" s="46"/>
      <c r="O192" s="46"/>
      <c r="P192" s="46">
        <f>DATA!U193</f>
        <v>0</v>
      </c>
      <c r="Q192" s="46">
        <f>DATA!V193</f>
        <v>0</v>
      </c>
      <c r="R192" s="46">
        <f>DATA!W193</f>
        <v>0</v>
      </c>
      <c r="S192" s="47"/>
      <c r="V192" s="46">
        <f>DATA!C193</f>
        <v>0</v>
      </c>
      <c r="W192" s="46">
        <f>DATA!D193</f>
        <v>0</v>
      </c>
      <c r="X192" s="46">
        <f>DATA!F193</f>
        <v>0</v>
      </c>
      <c r="Y192" s="46">
        <f>DATA!G193</f>
        <v>0</v>
      </c>
      <c r="Z192" s="46">
        <f>DATA!H193</f>
        <v>0</v>
      </c>
      <c r="AA192" s="46">
        <f>DATA!I193</f>
        <v>0</v>
      </c>
      <c r="AB192" s="46"/>
      <c r="AC192" s="46"/>
      <c r="AD192" s="45">
        <f>DATA!L193</f>
        <v>0</v>
      </c>
      <c r="AE192" s="46"/>
      <c r="AF192" s="46">
        <f>DATA!O193</f>
        <v>0</v>
      </c>
      <c r="AG192" s="46">
        <f>DATA!Q193</f>
        <v>0</v>
      </c>
      <c r="AH192" s="46">
        <f>DATA!R193</f>
        <v>0</v>
      </c>
      <c r="AI192" s="46"/>
      <c r="AJ192" s="46"/>
      <c r="AK192" s="46">
        <f>DATA!U193</f>
        <v>0</v>
      </c>
      <c r="AL192" s="46">
        <f>DATA!V193</f>
        <v>0</v>
      </c>
      <c r="AM192" s="46">
        <f>DATA!W193</f>
        <v>0</v>
      </c>
      <c r="AN192" s="47"/>
    </row>
    <row r="193" spans="1:40" s="48" customFormat="1" ht="23.25" hidden="1" customHeight="1" x14ac:dyDescent="0.45">
      <c r="A193" s="46">
        <f>DATA!C194</f>
        <v>0</v>
      </c>
      <c r="B193" s="46">
        <f>DATA!D194</f>
        <v>0</v>
      </c>
      <c r="C193" s="46">
        <f>DATA!F194</f>
        <v>0</v>
      </c>
      <c r="D193" s="46">
        <f>DATA!G194</f>
        <v>0</v>
      </c>
      <c r="E193" s="46">
        <f>DATA!H194</f>
        <v>0</v>
      </c>
      <c r="F193" s="46">
        <f>DATA!I194</f>
        <v>0</v>
      </c>
      <c r="G193" s="46"/>
      <c r="H193" s="46"/>
      <c r="I193" s="45">
        <f>DATA!L194</f>
        <v>0</v>
      </c>
      <c r="J193" s="46"/>
      <c r="K193" s="46">
        <f>DATA!O194</f>
        <v>0</v>
      </c>
      <c r="L193" s="46">
        <f>DATA!Q194</f>
        <v>0</v>
      </c>
      <c r="M193" s="46">
        <f>DATA!R194</f>
        <v>0</v>
      </c>
      <c r="N193" s="46"/>
      <c r="O193" s="46"/>
      <c r="P193" s="46">
        <f>DATA!U194</f>
        <v>0</v>
      </c>
      <c r="Q193" s="46">
        <f>DATA!V194</f>
        <v>0</v>
      </c>
      <c r="R193" s="46">
        <f>DATA!W194</f>
        <v>0</v>
      </c>
      <c r="S193" s="47"/>
      <c r="V193" s="46">
        <f>DATA!C194</f>
        <v>0</v>
      </c>
      <c r="W193" s="46">
        <f>DATA!D194</f>
        <v>0</v>
      </c>
      <c r="X193" s="46">
        <f>DATA!F194</f>
        <v>0</v>
      </c>
      <c r="Y193" s="46">
        <f>DATA!G194</f>
        <v>0</v>
      </c>
      <c r="Z193" s="46">
        <f>DATA!H194</f>
        <v>0</v>
      </c>
      <c r="AA193" s="46">
        <f>DATA!I194</f>
        <v>0</v>
      </c>
      <c r="AB193" s="46"/>
      <c r="AC193" s="46"/>
      <c r="AD193" s="45">
        <f>DATA!L194</f>
        <v>0</v>
      </c>
      <c r="AE193" s="46"/>
      <c r="AF193" s="46">
        <f>DATA!O194</f>
        <v>0</v>
      </c>
      <c r="AG193" s="46">
        <f>DATA!Q194</f>
        <v>0</v>
      </c>
      <c r="AH193" s="46">
        <f>DATA!R194</f>
        <v>0</v>
      </c>
      <c r="AI193" s="46"/>
      <c r="AJ193" s="46"/>
      <c r="AK193" s="46">
        <f>DATA!U194</f>
        <v>0</v>
      </c>
      <c r="AL193" s="46">
        <f>DATA!V194</f>
        <v>0</v>
      </c>
      <c r="AM193" s="46">
        <f>DATA!W194</f>
        <v>0</v>
      </c>
      <c r="AN193" s="47"/>
    </row>
    <row r="194" spans="1:40" s="48" customFormat="1" ht="23.25" hidden="1" customHeight="1" x14ac:dyDescent="0.45">
      <c r="A194" s="46">
        <f>DATA!C195</f>
        <v>0</v>
      </c>
      <c r="B194" s="46">
        <f>DATA!D195</f>
        <v>0</v>
      </c>
      <c r="C194" s="46">
        <f>DATA!F195</f>
        <v>0</v>
      </c>
      <c r="D194" s="46">
        <f>DATA!G195</f>
        <v>0</v>
      </c>
      <c r="E194" s="46">
        <f>DATA!H195</f>
        <v>0</v>
      </c>
      <c r="F194" s="46">
        <f>DATA!I195</f>
        <v>0</v>
      </c>
      <c r="G194" s="46"/>
      <c r="H194" s="46"/>
      <c r="I194" s="45">
        <f>DATA!L195</f>
        <v>0</v>
      </c>
      <c r="J194" s="46"/>
      <c r="K194" s="46">
        <f>DATA!O195</f>
        <v>0</v>
      </c>
      <c r="L194" s="46">
        <f>DATA!Q195</f>
        <v>0</v>
      </c>
      <c r="M194" s="46">
        <f>DATA!R195</f>
        <v>0</v>
      </c>
      <c r="N194" s="46"/>
      <c r="O194" s="46"/>
      <c r="P194" s="46">
        <f>DATA!U195</f>
        <v>0</v>
      </c>
      <c r="Q194" s="46">
        <f>DATA!V195</f>
        <v>0</v>
      </c>
      <c r="R194" s="46">
        <f>DATA!W195</f>
        <v>0</v>
      </c>
      <c r="S194" s="47"/>
      <c r="V194" s="46">
        <f>DATA!C195</f>
        <v>0</v>
      </c>
      <c r="W194" s="46">
        <f>DATA!D195</f>
        <v>0</v>
      </c>
      <c r="X194" s="46">
        <f>DATA!F195</f>
        <v>0</v>
      </c>
      <c r="Y194" s="46">
        <f>DATA!G195</f>
        <v>0</v>
      </c>
      <c r="Z194" s="46">
        <f>DATA!H195</f>
        <v>0</v>
      </c>
      <c r="AA194" s="46">
        <f>DATA!I195</f>
        <v>0</v>
      </c>
      <c r="AB194" s="46"/>
      <c r="AC194" s="46"/>
      <c r="AD194" s="45">
        <f>DATA!L195</f>
        <v>0</v>
      </c>
      <c r="AE194" s="46"/>
      <c r="AF194" s="46">
        <f>DATA!O195</f>
        <v>0</v>
      </c>
      <c r="AG194" s="46">
        <f>DATA!Q195</f>
        <v>0</v>
      </c>
      <c r="AH194" s="46">
        <f>DATA!R195</f>
        <v>0</v>
      </c>
      <c r="AI194" s="46"/>
      <c r="AJ194" s="46"/>
      <c r="AK194" s="46">
        <f>DATA!U195</f>
        <v>0</v>
      </c>
      <c r="AL194" s="46">
        <f>DATA!V195</f>
        <v>0</v>
      </c>
      <c r="AM194" s="46">
        <f>DATA!W195</f>
        <v>0</v>
      </c>
      <c r="AN194" s="47"/>
    </row>
    <row r="195" spans="1:40" s="48" customFormat="1" ht="23.25" hidden="1" customHeight="1" x14ac:dyDescent="0.45">
      <c r="A195" s="46">
        <f>DATA!C196</f>
        <v>0</v>
      </c>
      <c r="B195" s="46">
        <f>DATA!D196</f>
        <v>0</v>
      </c>
      <c r="C195" s="46">
        <f>DATA!F196</f>
        <v>0</v>
      </c>
      <c r="D195" s="46">
        <f>DATA!G196</f>
        <v>0</v>
      </c>
      <c r="E195" s="46">
        <f>DATA!H196</f>
        <v>0</v>
      </c>
      <c r="F195" s="46">
        <f>DATA!I196</f>
        <v>0</v>
      </c>
      <c r="G195" s="46"/>
      <c r="H195" s="46"/>
      <c r="I195" s="45">
        <f>DATA!L196</f>
        <v>0</v>
      </c>
      <c r="J195" s="46"/>
      <c r="K195" s="46">
        <f>DATA!O196</f>
        <v>0</v>
      </c>
      <c r="L195" s="46">
        <f>DATA!Q196</f>
        <v>0</v>
      </c>
      <c r="M195" s="46">
        <f>DATA!R196</f>
        <v>0</v>
      </c>
      <c r="N195" s="46"/>
      <c r="O195" s="46"/>
      <c r="P195" s="46">
        <f>DATA!U196</f>
        <v>0</v>
      </c>
      <c r="Q195" s="46">
        <f>DATA!V196</f>
        <v>0</v>
      </c>
      <c r="R195" s="46">
        <f>DATA!W196</f>
        <v>0</v>
      </c>
      <c r="S195" s="47"/>
      <c r="V195" s="46">
        <f>DATA!C196</f>
        <v>0</v>
      </c>
      <c r="W195" s="46">
        <f>DATA!D196</f>
        <v>0</v>
      </c>
      <c r="X195" s="46">
        <f>DATA!F196</f>
        <v>0</v>
      </c>
      <c r="Y195" s="46">
        <f>DATA!G196</f>
        <v>0</v>
      </c>
      <c r="Z195" s="46">
        <f>DATA!H196</f>
        <v>0</v>
      </c>
      <c r="AA195" s="46">
        <f>DATA!I196</f>
        <v>0</v>
      </c>
      <c r="AB195" s="46"/>
      <c r="AC195" s="46"/>
      <c r="AD195" s="45">
        <f>DATA!L196</f>
        <v>0</v>
      </c>
      <c r="AE195" s="46"/>
      <c r="AF195" s="46">
        <f>DATA!O196</f>
        <v>0</v>
      </c>
      <c r="AG195" s="46">
        <f>DATA!Q196</f>
        <v>0</v>
      </c>
      <c r="AH195" s="46">
        <f>DATA!R196</f>
        <v>0</v>
      </c>
      <c r="AI195" s="46"/>
      <c r="AJ195" s="46"/>
      <c r="AK195" s="46">
        <f>DATA!U196</f>
        <v>0</v>
      </c>
      <c r="AL195" s="46">
        <f>DATA!V196</f>
        <v>0</v>
      </c>
      <c r="AM195" s="46">
        <f>DATA!W196</f>
        <v>0</v>
      </c>
      <c r="AN195" s="47"/>
    </row>
    <row r="196" spans="1:40" s="48" customFormat="1" ht="23.25" hidden="1" customHeight="1" x14ac:dyDescent="0.45">
      <c r="A196" s="46">
        <f>DATA!C197</f>
        <v>0</v>
      </c>
      <c r="B196" s="46">
        <f>DATA!D197</f>
        <v>0</v>
      </c>
      <c r="C196" s="46">
        <f>DATA!F197</f>
        <v>0</v>
      </c>
      <c r="D196" s="46">
        <f>DATA!G197</f>
        <v>0</v>
      </c>
      <c r="E196" s="46">
        <f>DATA!H197</f>
        <v>0</v>
      </c>
      <c r="F196" s="46">
        <f>DATA!I197</f>
        <v>0</v>
      </c>
      <c r="G196" s="46"/>
      <c r="H196" s="46"/>
      <c r="I196" s="45">
        <f>DATA!L197</f>
        <v>0</v>
      </c>
      <c r="J196" s="46"/>
      <c r="K196" s="46">
        <f>DATA!O197</f>
        <v>0</v>
      </c>
      <c r="L196" s="46">
        <f>DATA!Q197</f>
        <v>0</v>
      </c>
      <c r="M196" s="46">
        <f>DATA!R197</f>
        <v>0</v>
      </c>
      <c r="N196" s="46"/>
      <c r="O196" s="46"/>
      <c r="P196" s="46">
        <f>DATA!U197</f>
        <v>0</v>
      </c>
      <c r="Q196" s="46">
        <f>DATA!V197</f>
        <v>0</v>
      </c>
      <c r="R196" s="46">
        <f>DATA!W197</f>
        <v>0</v>
      </c>
      <c r="S196" s="47"/>
      <c r="V196" s="46">
        <f>DATA!C197</f>
        <v>0</v>
      </c>
      <c r="W196" s="46">
        <f>DATA!D197</f>
        <v>0</v>
      </c>
      <c r="X196" s="46">
        <f>DATA!F197</f>
        <v>0</v>
      </c>
      <c r="Y196" s="46">
        <f>DATA!G197</f>
        <v>0</v>
      </c>
      <c r="Z196" s="46">
        <f>DATA!H197</f>
        <v>0</v>
      </c>
      <c r="AA196" s="46">
        <f>DATA!I197</f>
        <v>0</v>
      </c>
      <c r="AB196" s="46"/>
      <c r="AC196" s="46"/>
      <c r="AD196" s="45">
        <f>DATA!L197</f>
        <v>0</v>
      </c>
      <c r="AE196" s="46"/>
      <c r="AF196" s="46">
        <f>DATA!O197</f>
        <v>0</v>
      </c>
      <c r="AG196" s="46">
        <f>DATA!Q197</f>
        <v>0</v>
      </c>
      <c r="AH196" s="46">
        <f>DATA!R197</f>
        <v>0</v>
      </c>
      <c r="AI196" s="46"/>
      <c r="AJ196" s="46"/>
      <c r="AK196" s="46">
        <f>DATA!U197</f>
        <v>0</v>
      </c>
      <c r="AL196" s="46">
        <f>DATA!V197</f>
        <v>0</v>
      </c>
      <c r="AM196" s="46">
        <f>DATA!W197</f>
        <v>0</v>
      </c>
      <c r="AN196" s="47"/>
    </row>
    <row r="197" spans="1:40" s="48" customFormat="1" ht="23.25" hidden="1" customHeight="1" x14ac:dyDescent="0.45">
      <c r="A197" s="46">
        <f>DATA!C198</f>
        <v>0</v>
      </c>
      <c r="B197" s="46">
        <f>DATA!D198</f>
        <v>0</v>
      </c>
      <c r="C197" s="46">
        <f>DATA!F198</f>
        <v>0</v>
      </c>
      <c r="D197" s="46">
        <f>DATA!G198</f>
        <v>0</v>
      </c>
      <c r="E197" s="46">
        <f>DATA!H198</f>
        <v>0</v>
      </c>
      <c r="F197" s="46">
        <f>DATA!I198</f>
        <v>0</v>
      </c>
      <c r="G197" s="46"/>
      <c r="H197" s="46"/>
      <c r="I197" s="45">
        <f>DATA!L198</f>
        <v>0</v>
      </c>
      <c r="J197" s="46"/>
      <c r="K197" s="46">
        <f>DATA!O198</f>
        <v>0</v>
      </c>
      <c r="L197" s="46">
        <f>DATA!Q198</f>
        <v>0</v>
      </c>
      <c r="M197" s="46">
        <f>DATA!R198</f>
        <v>0</v>
      </c>
      <c r="N197" s="46"/>
      <c r="O197" s="46"/>
      <c r="P197" s="46">
        <f>DATA!U198</f>
        <v>0</v>
      </c>
      <c r="Q197" s="46">
        <f>DATA!V198</f>
        <v>0</v>
      </c>
      <c r="R197" s="46">
        <f>DATA!W198</f>
        <v>0</v>
      </c>
      <c r="S197" s="47"/>
      <c r="V197" s="46">
        <f>DATA!C198</f>
        <v>0</v>
      </c>
      <c r="W197" s="46">
        <f>DATA!D198</f>
        <v>0</v>
      </c>
      <c r="X197" s="46">
        <f>DATA!F198</f>
        <v>0</v>
      </c>
      <c r="Y197" s="46">
        <f>DATA!G198</f>
        <v>0</v>
      </c>
      <c r="Z197" s="46">
        <f>DATA!H198</f>
        <v>0</v>
      </c>
      <c r="AA197" s="46">
        <f>DATA!I198</f>
        <v>0</v>
      </c>
      <c r="AB197" s="46"/>
      <c r="AC197" s="46"/>
      <c r="AD197" s="45">
        <f>DATA!L198</f>
        <v>0</v>
      </c>
      <c r="AE197" s="46"/>
      <c r="AF197" s="46">
        <f>DATA!O198</f>
        <v>0</v>
      </c>
      <c r="AG197" s="46">
        <f>DATA!Q198</f>
        <v>0</v>
      </c>
      <c r="AH197" s="46">
        <f>DATA!R198</f>
        <v>0</v>
      </c>
      <c r="AI197" s="46"/>
      <c r="AJ197" s="46"/>
      <c r="AK197" s="46">
        <f>DATA!U198</f>
        <v>0</v>
      </c>
      <c r="AL197" s="46">
        <f>DATA!V198</f>
        <v>0</v>
      </c>
      <c r="AM197" s="46">
        <f>DATA!W198</f>
        <v>0</v>
      </c>
      <c r="AN197" s="47"/>
    </row>
    <row r="198" spans="1:40" s="48" customFormat="1" ht="23.25" hidden="1" customHeight="1" x14ac:dyDescent="0.45">
      <c r="A198" s="46">
        <f>DATA!C199</f>
        <v>0</v>
      </c>
      <c r="B198" s="46">
        <f>DATA!D199</f>
        <v>0</v>
      </c>
      <c r="C198" s="46">
        <f>DATA!F199</f>
        <v>0</v>
      </c>
      <c r="D198" s="46">
        <f>DATA!G199</f>
        <v>0</v>
      </c>
      <c r="E198" s="46">
        <f>DATA!H199</f>
        <v>0</v>
      </c>
      <c r="F198" s="46">
        <f>DATA!I199</f>
        <v>0</v>
      </c>
      <c r="G198" s="46"/>
      <c r="H198" s="46"/>
      <c r="I198" s="45">
        <f>DATA!L199</f>
        <v>0</v>
      </c>
      <c r="J198" s="46"/>
      <c r="K198" s="46">
        <f>DATA!O199</f>
        <v>0</v>
      </c>
      <c r="L198" s="46">
        <f>DATA!Q199</f>
        <v>0</v>
      </c>
      <c r="M198" s="46">
        <f>DATA!R199</f>
        <v>0</v>
      </c>
      <c r="N198" s="46"/>
      <c r="O198" s="46"/>
      <c r="P198" s="46">
        <f>DATA!U199</f>
        <v>0</v>
      </c>
      <c r="Q198" s="46">
        <f>DATA!V199</f>
        <v>0</v>
      </c>
      <c r="R198" s="46">
        <f>DATA!W199</f>
        <v>0</v>
      </c>
      <c r="S198" s="47"/>
      <c r="V198" s="46">
        <f>DATA!C199</f>
        <v>0</v>
      </c>
      <c r="W198" s="46">
        <f>DATA!D199</f>
        <v>0</v>
      </c>
      <c r="X198" s="46">
        <f>DATA!F199</f>
        <v>0</v>
      </c>
      <c r="Y198" s="46">
        <f>DATA!G199</f>
        <v>0</v>
      </c>
      <c r="Z198" s="46">
        <f>DATA!H199</f>
        <v>0</v>
      </c>
      <c r="AA198" s="46">
        <f>DATA!I199</f>
        <v>0</v>
      </c>
      <c r="AB198" s="46"/>
      <c r="AC198" s="46"/>
      <c r="AD198" s="45">
        <f>DATA!L199</f>
        <v>0</v>
      </c>
      <c r="AE198" s="46"/>
      <c r="AF198" s="46">
        <f>DATA!O199</f>
        <v>0</v>
      </c>
      <c r="AG198" s="46">
        <f>DATA!Q199</f>
        <v>0</v>
      </c>
      <c r="AH198" s="46">
        <f>DATA!R199</f>
        <v>0</v>
      </c>
      <c r="AI198" s="46"/>
      <c r="AJ198" s="46"/>
      <c r="AK198" s="46">
        <f>DATA!U199</f>
        <v>0</v>
      </c>
      <c r="AL198" s="46">
        <f>DATA!V199</f>
        <v>0</v>
      </c>
      <c r="AM198" s="46">
        <f>DATA!W199</f>
        <v>0</v>
      </c>
      <c r="AN198" s="47"/>
    </row>
    <row r="199" spans="1:40" s="48" customFormat="1" ht="23.25" hidden="1" customHeight="1" x14ac:dyDescent="0.45">
      <c r="A199" s="46">
        <f>DATA!C200</f>
        <v>0</v>
      </c>
      <c r="B199" s="46">
        <f>DATA!D200</f>
        <v>0</v>
      </c>
      <c r="C199" s="46">
        <f>DATA!F200</f>
        <v>0</v>
      </c>
      <c r="D199" s="46">
        <f>DATA!G200</f>
        <v>0</v>
      </c>
      <c r="E199" s="46">
        <f>DATA!H200</f>
        <v>0</v>
      </c>
      <c r="F199" s="46">
        <f>DATA!I200</f>
        <v>0</v>
      </c>
      <c r="G199" s="46"/>
      <c r="H199" s="46"/>
      <c r="I199" s="45">
        <f>DATA!L200</f>
        <v>0</v>
      </c>
      <c r="J199" s="46"/>
      <c r="K199" s="46">
        <f>DATA!O200</f>
        <v>0</v>
      </c>
      <c r="L199" s="46">
        <f>DATA!Q200</f>
        <v>0</v>
      </c>
      <c r="M199" s="46">
        <f>DATA!R200</f>
        <v>0</v>
      </c>
      <c r="N199" s="46"/>
      <c r="O199" s="46"/>
      <c r="P199" s="46">
        <f>DATA!U200</f>
        <v>0</v>
      </c>
      <c r="Q199" s="46">
        <f>DATA!V200</f>
        <v>0</v>
      </c>
      <c r="R199" s="46">
        <f>DATA!W200</f>
        <v>0</v>
      </c>
      <c r="S199" s="47"/>
      <c r="V199" s="46">
        <f>DATA!C200</f>
        <v>0</v>
      </c>
      <c r="W199" s="46">
        <f>DATA!D200</f>
        <v>0</v>
      </c>
      <c r="X199" s="46">
        <f>DATA!F200</f>
        <v>0</v>
      </c>
      <c r="Y199" s="46">
        <f>DATA!G200</f>
        <v>0</v>
      </c>
      <c r="Z199" s="46">
        <f>DATA!H200</f>
        <v>0</v>
      </c>
      <c r="AA199" s="46">
        <f>DATA!I200</f>
        <v>0</v>
      </c>
      <c r="AB199" s="46"/>
      <c r="AC199" s="46"/>
      <c r="AD199" s="45">
        <f>DATA!L200</f>
        <v>0</v>
      </c>
      <c r="AE199" s="46"/>
      <c r="AF199" s="46">
        <f>DATA!O200</f>
        <v>0</v>
      </c>
      <c r="AG199" s="46">
        <f>DATA!Q200</f>
        <v>0</v>
      </c>
      <c r="AH199" s="46">
        <f>DATA!R200</f>
        <v>0</v>
      </c>
      <c r="AI199" s="46"/>
      <c r="AJ199" s="46"/>
      <c r="AK199" s="46">
        <f>DATA!U200</f>
        <v>0</v>
      </c>
      <c r="AL199" s="46">
        <f>DATA!V200</f>
        <v>0</v>
      </c>
      <c r="AM199" s="46">
        <f>DATA!W200</f>
        <v>0</v>
      </c>
      <c r="AN199" s="47"/>
    </row>
    <row r="200" spans="1:40" s="48" customFormat="1" ht="23.25" hidden="1" customHeight="1" x14ac:dyDescent="0.45">
      <c r="A200" s="46">
        <f>DATA!C201</f>
        <v>0</v>
      </c>
      <c r="B200" s="46">
        <f>DATA!D201</f>
        <v>0</v>
      </c>
      <c r="C200" s="46">
        <f>DATA!F201</f>
        <v>0</v>
      </c>
      <c r="D200" s="46">
        <f>DATA!G201</f>
        <v>0</v>
      </c>
      <c r="E200" s="46">
        <f>DATA!H201</f>
        <v>0</v>
      </c>
      <c r="F200" s="46">
        <f>DATA!I201</f>
        <v>0</v>
      </c>
      <c r="G200" s="46"/>
      <c r="H200" s="46"/>
      <c r="I200" s="45">
        <f>DATA!L201</f>
        <v>0</v>
      </c>
      <c r="J200" s="46"/>
      <c r="K200" s="46">
        <f>DATA!O201</f>
        <v>0</v>
      </c>
      <c r="L200" s="46">
        <f>DATA!Q201</f>
        <v>0</v>
      </c>
      <c r="M200" s="46">
        <f>DATA!R201</f>
        <v>0</v>
      </c>
      <c r="N200" s="46"/>
      <c r="O200" s="46"/>
      <c r="P200" s="46">
        <f>DATA!U201</f>
        <v>0</v>
      </c>
      <c r="Q200" s="46">
        <f>DATA!V201</f>
        <v>0</v>
      </c>
      <c r="R200" s="46">
        <f>DATA!W201</f>
        <v>0</v>
      </c>
      <c r="S200" s="47"/>
      <c r="V200" s="46">
        <f>DATA!C201</f>
        <v>0</v>
      </c>
      <c r="W200" s="46">
        <f>DATA!D201</f>
        <v>0</v>
      </c>
      <c r="X200" s="46">
        <f>DATA!F201</f>
        <v>0</v>
      </c>
      <c r="Y200" s="46">
        <f>DATA!G201</f>
        <v>0</v>
      </c>
      <c r="Z200" s="46">
        <f>DATA!H201</f>
        <v>0</v>
      </c>
      <c r="AA200" s="46">
        <f>DATA!I201</f>
        <v>0</v>
      </c>
      <c r="AB200" s="46"/>
      <c r="AC200" s="46"/>
      <c r="AD200" s="45">
        <f>DATA!L201</f>
        <v>0</v>
      </c>
      <c r="AE200" s="46"/>
      <c r="AF200" s="46">
        <f>DATA!O201</f>
        <v>0</v>
      </c>
      <c r="AG200" s="46">
        <f>DATA!Q201</f>
        <v>0</v>
      </c>
      <c r="AH200" s="46">
        <f>DATA!R201</f>
        <v>0</v>
      </c>
      <c r="AI200" s="46"/>
      <c r="AJ200" s="46"/>
      <c r="AK200" s="46">
        <f>DATA!U201</f>
        <v>0</v>
      </c>
      <c r="AL200" s="46">
        <f>DATA!V201</f>
        <v>0</v>
      </c>
      <c r="AM200" s="46">
        <f>DATA!W201</f>
        <v>0</v>
      </c>
      <c r="AN200" s="47"/>
    </row>
    <row r="201" spans="1:40" s="48" customFormat="1" ht="23.25" hidden="1" customHeight="1" x14ac:dyDescent="0.45">
      <c r="A201" s="46">
        <f>DATA!C202</f>
        <v>0</v>
      </c>
      <c r="B201" s="46">
        <f>DATA!D202</f>
        <v>0</v>
      </c>
      <c r="C201" s="46">
        <f>DATA!F202</f>
        <v>0</v>
      </c>
      <c r="D201" s="46">
        <f>DATA!G202</f>
        <v>0</v>
      </c>
      <c r="E201" s="46">
        <f>DATA!H202</f>
        <v>0</v>
      </c>
      <c r="F201" s="46">
        <f>DATA!I202</f>
        <v>0</v>
      </c>
      <c r="G201" s="46"/>
      <c r="H201" s="46"/>
      <c r="I201" s="45">
        <f>DATA!L202</f>
        <v>0</v>
      </c>
      <c r="J201" s="46"/>
      <c r="K201" s="46">
        <f>DATA!O202</f>
        <v>0</v>
      </c>
      <c r="L201" s="46">
        <f>DATA!Q202</f>
        <v>0</v>
      </c>
      <c r="M201" s="46">
        <f>DATA!R202</f>
        <v>0</v>
      </c>
      <c r="N201" s="46"/>
      <c r="O201" s="46"/>
      <c r="P201" s="46">
        <f>DATA!U202</f>
        <v>0</v>
      </c>
      <c r="Q201" s="46">
        <f>DATA!V202</f>
        <v>0</v>
      </c>
      <c r="R201" s="46">
        <f>DATA!W202</f>
        <v>0</v>
      </c>
      <c r="S201" s="47"/>
      <c r="V201" s="46">
        <f>DATA!C202</f>
        <v>0</v>
      </c>
      <c r="W201" s="46">
        <f>DATA!D202</f>
        <v>0</v>
      </c>
      <c r="X201" s="46">
        <f>DATA!F202</f>
        <v>0</v>
      </c>
      <c r="Y201" s="46">
        <f>DATA!G202</f>
        <v>0</v>
      </c>
      <c r="Z201" s="46">
        <f>DATA!H202</f>
        <v>0</v>
      </c>
      <c r="AA201" s="46">
        <f>DATA!I202</f>
        <v>0</v>
      </c>
      <c r="AB201" s="46"/>
      <c r="AC201" s="46"/>
      <c r="AD201" s="45">
        <f>DATA!L202</f>
        <v>0</v>
      </c>
      <c r="AE201" s="46"/>
      <c r="AF201" s="46">
        <f>DATA!O202</f>
        <v>0</v>
      </c>
      <c r="AG201" s="46">
        <f>DATA!Q202</f>
        <v>0</v>
      </c>
      <c r="AH201" s="46">
        <f>DATA!R202</f>
        <v>0</v>
      </c>
      <c r="AI201" s="46"/>
      <c r="AJ201" s="46"/>
      <c r="AK201" s="46">
        <f>DATA!U202</f>
        <v>0</v>
      </c>
      <c r="AL201" s="46">
        <f>DATA!V202</f>
        <v>0</v>
      </c>
      <c r="AM201" s="46">
        <f>DATA!W202</f>
        <v>0</v>
      </c>
      <c r="AN201" s="47"/>
    </row>
    <row r="202" spans="1:40" s="48" customFormat="1" ht="23.25" hidden="1" customHeight="1" x14ac:dyDescent="0.45">
      <c r="A202" s="46">
        <f>DATA!C203</f>
        <v>0</v>
      </c>
      <c r="B202" s="46">
        <f>DATA!D203</f>
        <v>0</v>
      </c>
      <c r="C202" s="46">
        <f>DATA!F203</f>
        <v>0</v>
      </c>
      <c r="D202" s="46">
        <f>DATA!G203</f>
        <v>0</v>
      </c>
      <c r="E202" s="46">
        <f>DATA!H203</f>
        <v>0</v>
      </c>
      <c r="F202" s="46">
        <f>DATA!I203</f>
        <v>0</v>
      </c>
      <c r="G202" s="46"/>
      <c r="H202" s="46"/>
      <c r="I202" s="45">
        <f>DATA!L203</f>
        <v>0</v>
      </c>
      <c r="J202" s="46"/>
      <c r="K202" s="46">
        <f>DATA!O203</f>
        <v>0</v>
      </c>
      <c r="L202" s="46">
        <f>DATA!Q203</f>
        <v>0</v>
      </c>
      <c r="M202" s="46">
        <f>DATA!R203</f>
        <v>0</v>
      </c>
      <c r="N202" s="46"/>
      <c r="O202" s="46"/>
      <c r="P202" s="46">
        <f>DATA!U203</f>
        <v>0</v>
      </c>
      <c r="Q202" s="46">
        <f>DATA!V203</f>
        <v>0</v>
      </c>
      <c r="R202" s="46">
        <f>DATA!W203</f>
        <v>0</v>
      </c>
      <c r="S202" s="47"/>
      <c r="V202" s="46">
        <f>DATA!C203</f>
        <v>0</v>
      </c>
      <c r="W202" s="46">
        <f>DATA!D203</f>
        <v>0</v>
      </c>
      <c r="X202" s="46">
        <f>DATA!F203</f>
        <v>0</v>
      </c>
      <c r="Y202" s="46">
        <f>DATA!G203</f>
        <v>0</v>
      </c>
      <c r="Z202" s="46">
        <f>DATA!H203</f>
        <v>0</v>
      </c>
      <c r="AA202" s="46">
        <f>DATA!I203</f>
        <v>0</v>
      </c>
      <c r="AB202" s="46"/>
      <c r="AC202" s="46"/>
      <c r="AD202" s="45">
        <f>DATA!L203</f>
        <v>0</v>
      </c>
      <c r="AE202" s="46"/>
      <c r="AF202" s="46">
        <f>DATA!O203</f>
        <v>0</v>
      </c>
      <c r="AG202" s="46">
        <f>DATA!Q203</f>
        <v>0</v>
      </c>
      <c r="AH202" s="46">
        <f>DATA!R203</f>
        <v>0</v>
      </c>
      <c r="AI202" s="46"/>
      <c r="AJ202" s="46"/>
      <c r="AK202" s="46">
        <f>DATA!U203</f>
        <v>0</v>
      </c>
      <c r="AL202" s="46">
        <f>DATA!V203</f>
        <v>0</v>
      </c>
      <c r="AM202" s="46">
        <f>DATA!W203</f>
        <v>0</v>
      </c>
      <c r="AN202" s="47"/>
    </row>
    <row r="203" spans="1:40" s="48" customFormat="1" ht="23.25" hidden="1" customHeight="1" x14ac:dyDescent="0.45">
      <c r="A203" s="46">
        <f>DATA!C204</f>
        <v>0</v>
      </c>
      <c r="B203" s="46">
        <f>DATA!D204</f>
        <v>0</v>
      </c>
      <c r="C203" s="46">
        <f>DATA!F204</f>
        <v>0</v>
      </c>
      <c r="D203" s="46">
        <f>DATA!G204</f>
        <v>0</v>
      </c>
      <c r="E203" s="46">
        <f>DATA!H204</f>
        <v>0</v>
      </c>
      <c r="F203" s="46">
        <f>DATA!I204</f>
        <v>0</v>
      </c>
      <c r="G203" s="46"/>
      <c r="H203" s="46"/>
      <c r="I203" s="45">
        <f>DATA!L204</f>
        <v>0</v>
      </c>
      <c r="J203" s="46"/>
      <c r="K203" s="46">
        <f>DATA!O204</f>
        <v>0</v>
      </c>
      <c r="L203" s="46">
        <f>DATA!Q204</f>
        <v>0</v>
      </c>
      <c r="M203" s="46">
        <f>DATA!R204</f>
        <v>0</v>
      </c>
      <c r="N203" s="46"/>
      <c r="O203" s="46"/>
      <c r="P203" s="46">
        <f>DATA!U204</f>
        <v>0</v>
      </c>
      <c r="Q203" s="46">
        <f>DATA!V204</f>
        <v>0</v>
      </c>
      <c r="R203" s="46">
        <f>DATA!W204</f>
        <v>0</v>
      </c>
      <c r="S203" s="47"/>
      <c r="V203" s="46">
        <f>DATA!C204</f>
        <v>0</v>
      </c>
      <c r="W203" s="46">
        <f>DATA!D204</f>
        <v>0</v>
      </c>
      <c r="X203" s="46">
        <f>DATA!F204</f>
        <v>0</v>
      </c>
      <c r="Y203" s="46">
        <f>DATA!G204</f>
        <v>0</v>
      </c>
      <c r="Z203" s="46">
        <f>DATA!H204</f>
        <v>0</v>
      </c>
      <c r="AA203" s="46">
        <f>DATA!I204</f>
        <v>0</v>
      </c>
      <c r="AB203" s="46"/>
      <c r="AC203" s="46"/>
      <c r="AD203" s="45">
        <f>DATA!L204</f>
        <v>0</v>
      </c>
      <c r="AE203" s="46"/>
      <c r="AF203" s="46">
        <f>DATA!O204</f>
        <v>0</v>
      </c>
      <c r="AG203" s="46">
        <f>DATA!Q204</f>
        <v>0</v>
      </c>
      <c r="AH203" s="46">
        <f>DATA!R204</f>
        <v>0</v>
      </c>
      <c r="AI203" s="46"/>
      <c r="AJ203" s="46"/>
      <c r="AK203" s="46">
        <f>DATA!U204</f>
        <v>0</v>
      </c>
      <c r="AL203" s="46">
        <f>DATA!V204</f>
        <v>0</v>
      </c>
      <c r="AM203" s="46">
        <f>DATA!W204</f>
        <v>0</v>
      </c>
      <c r="AN203" s="47"/>
    </row>
    <row r="204" spans="1:40" s="48" customFormat="1" ht="23.25" hidden="1" customHeight="1" x14ac:dyDescent="0.45">
      <c r="A204" s="46">
        <f>DATA!C205</f>
        <v>0</v>
      </c>
      <c r="B204" s="46">
        <f>DATA!D205</f>
        <v>0</v>
      </c>
      <c r="C204" s="46">
        <f>DATA!F205</f>
        <v>0</v>
      </c>
      <c r="D204" s="46">
        <f>DATA!G205</f>
        <v>0</v>
      </c>
      <c r="E204" s="46">
        <f>DATA!H205</f>
        <v>0</v>
      </c>
      <c r="F204" s="46">
        <f>DATA!I205</f>
        <v>0</v>
      </c>
      <c r="G204" s="46"/>
      <c r="H204" s="46"/>
      <c r="I204" s="45">
        <f>DATA!L205</f>
        <v>0</v>
      </c>
      <c r="J204" s="46"/>
      <c r="K204" s="46">
        <f>DATA!O205</f>
        <v>0</v>
      </c>
      <c r="L204" s="46">
        <f>DATA!Q205</f>
        <v>0</v>
      </c>
      <c r="M204" s="46">
        <f>DATA!R205</f>
        <v>0</v>
      </c>
      <c r="N204" s="46"/>
      <c r="O204" s="46"/>
      <c r="P204" s="46">
        <f>DATA!U205</f>
        <v>0</v>
      </c>
      <c r="Q204" s="46">
        <f>DATA!V205</f>
        <v>0</v>
      </c>
      <c r="R204" s="46">
        <f>DATA!W205</f>
        <v>0</v>
      </c>
      <c r="S204" s="47"/>
      <c r="V204" s="46">
        <f>DATA!C205</f>
        <v>0</v>
      </c>
      <c r="W204" s="46">
        <f>DATA!D205</f>
        <v>0</v>
      </c>
      <c r="X204" s="46">
        <f>DATA!F205</f>
        <v>0</v>
      </c>
      <c r="Y204" s="46">
        <f>DATA!G205</f>
        <v>0</v>
      </c>
      <c r="Z204" s="46">
        <f>DATA!H205</f>
        <v>0</v>
      </c>
      <c r="AA204" s="46">
        <f>DATA!I205</f>
        <v>0</v>
      </c>
      <c r="AB204" s="46"/>
      <c r="AC204" s="46"/>
      <c r="AD204" s="45">
        <f>DATA!L205</f>
        <v>0</v>
      </c>
      <c r="AE204" s="46"/>
      <c r="AF204" s="46">
        <f>DATA!O205</f>
        <v>0</v>
      </c>
      <c r="AG204" s="46">
        <f>DATA!Q205</f>
        <v>0</v>
      </c>
      <c r="AH204" s="46">
        <f>DATA!R205</f>
        <v>0</v>
      </c>
      <c r="AI204" s="46"/>
      <c r="AJ204" s="46"/>
      <c r="AK204" s="46">
        <f>DATA!U205</f>
        <v>0</v>
      </c>
      <c r="AL204" s="46">
        <f>DATA!V205</f>
        <v>0</v>
      </c>
      <c r="AM204" s="46">
        <f>DATA!W205</f>
        <v>0</v>
      </c>
      <c r="AN204" s="47"/>
    </row>
    <row r="205" spans="1:40" s="48" customFormat="1" ht="23.25" hidden="1" customHeight="1" x14ac:dyDescent="0.45">
      <c r="A205" s="46">
        <f>DATA!C206</f>
        <v>0</v>
      </c>
      <c r="B205" s="46">
        <f>DATA!D206</f>
        <v>0</v>
      </c>
      <c r="C205" s="46">
        <f>DATA!F206</f>
        <v>0</v>
      </c>
      <c r="D205" s="46">
        <f>DATA!G206</f>
        <v>0</v>
      </c>
      <c r="E205" s="46">
        <f>DATA!H206</f>
        <v>0</v>
      </c>
      <c r="F205" s="46">
        <f>DATA!I206</f>
        <v>0</v>
      </c>
      <c r="G205" s="46"/>
      <c r="H205" s="46"/>
      <c r="I205" s="45">
        <f>DATA!L206</f>
        <v>0</v>
      </c>
      <c r="J205" s="46"/>
      <c r="K205" s="46">
        <f>DATA!O206</f>
        <v>0</v>
      </c>
      <c r="L205" s="46">
        <f>DATA!Q206</f>
        <v>0</v>
      </c>
      <c r="M205" s="46">
        <f>DATA!R206</f>
        <v>0</v>
      </c>
      <c r="N205" s="46"/>
      <c r="O205" s="46"/>
      <c r="P205" s="46">
        <f>DATA!U206</f>
        <v>0</v>
      </c>
      <c r="Q205" s="46">
        <f>DATA!V206</f>
        <v>0</v>
      </c>
      <c r="R205" s="46">
        <f>DATA!W206</f>
        <v>0</v>
      </c>
      <c r="S205" s="47"/>
      <c r="V205" s="46">
        <f>DATA!C206</f>
        <v>0</v>
      </c>
      <c r="W205" s="46">
        <f>DATA!D206</f>
        <v>0</v>
      </c>
      <c r="X205" s="46">
        <f>DATA!F206</f>
        <v>0</v>
      </c>
      <c r="Y205" s="46">
        <f>DATA!G206</f>
        <v>0</v>
      </c>
      <c r="Z205" s="46">
        <f>DATA!H206</f>
        <v>0</v>
      </c>
      <c r="AA205" s="46">
        <f>DATA!I206</f>
        <v>0</v>
      </c>
      <c r="AB205" s="46"/>
      <c r="AC205" s="46"/>
      <c r="AD205" s="45">
        <f>DATA!L206</f>
        <v>0</v>
      </c>
      <c r="AE205" s="46"/>
      <c r="AF205" s="46">
        <f>DATA!O206</f>
        <v>0</v>
      </c>
      <c r="AG205" s="46">
        <f>DATA!Q206</f>
        <v>0</v>
      </c>
      <c r="AH205" s="46">
        <f>DATA!R206</f>
        <v>0</v>
      </c>
      <c r="AI205" s="46"/>
      <c r="AJ205" s="46"/>
      <c r="AK205" s="46">
        <f>DATA!U206</f>
        <v>0</v>
      </c>
      <c r="AL205" s="46">
        <f>DATA!V206</f>
        <v>0</v>
      </c>
      <c r="AM205" s="46">
        <f>DATA!W206</f>
        <v>0</v>
      </c>
      <c r="AN205" s="47"/>
    </row>
    <row r="206" spans="1:40" s="48" customFormat="1" ht="23.25" hidden="1" customHeight="1" x14ac:dyDescent="0.45">
      <c r="A206" s="46">
        <f>DATA!C207</f>
        <v>0</v>
      </c>
      <c r="B206" s="46">
        <f>DATA!D207</f>
        <v>0</v>
      </c>
      <c r="C206" s="46">
        <f>DATA!F207</f>
        <v>0</v>
      </c>
      <c r="D206" s="46">
        <f>DATA!G207</f>
        <v>0</v>
      </c>
      <c r="E206" s="46">
        <f>DATA!H207</f>
        <v>0</v>
      </c>
      <c r="F206" s="46">
        <f>DATA!I207</f>
        <v>0</v>
      </c>
      <c r="G206" s="46"/>
      <c r="H206" s="46"/>
      <c r="I206" s="45">
        <f>DATA!L207</f>
        <v>0</v>
      </c>
      <c r="J206" s="46"/>
      <c r="K206" s="46">
        <f>DATA!O207</f>
        <v>0</v>
      </c>
      <c r="L206" s="46">
        <f>DATA!Q207</f>
        <v>0</v>
      </c>
      <c r="M206" s="46">
        <f>DATA!R207</f>
        <v>0</v>
      </c>
      <c r="N206" s="46"/>
      <c r="O206" s="46"/>
      <c r="P206" s="46">
        <f>DATA!U207</f>
        <v>0</v>
      </c>
      <c r="Q206" s="46">
        <f>DATA!V207</f>
        <v>0</v>
      </c>
      <c r="R206" s="46">
        <f>DATA!W207</f>
        <v>0</v>
      </c>
      <c r="S206" s="47"/>
      <c r="V206" s="46">
        <f>DATA!C207</f>
        <v>0</v>
      </c>
      <c r="W206" s="46">
        <f>DATA!D207</f>
        <v>0</v>
      </c>
      <c r="X206" s="46">
        <f>DATA!F207</f>
        <v>0</v>
      </c>
      <c r="Y206" s="46">
        <f>DATA!G207</f>
        <v>0</v>
      </c>
      <c r="Z206" s="46">
        <f>DATA!H207</f>
        <v>0</v>
      </c>
      <c r="AA206" s="46">
        <f>DATA!I207</f>
        <v>0</v>
      </c>
      <c r="AB206" s="46"/>
      <c r="AC206" s="46"/>
      <c r="AD206" s="45">
        <f>DATA!L207</f>
        <v>0</v>
      </c>
      <c r="AE206" s="46"/>
      <c r="AF206" s="46">
        <f>DATA!O207</f>
        <v>0</v>
      </c>
      <c r="AG206" s="46">
        <f>DATA!Q207</f>
        <v>0</v>
      </c>
      <c r="AH206" s="46">
        <f>DATA!R207</f>
        <v>0</v>
      </c>
      <c r="AI206" s="46"/>
      <c r="AJ206" s="46"/>
      <c r="AK206" s="46">
        <f>DATA!U207</f>
        <v>0</v>
      </c>
      <c r="AL206" s="46">
        <f>DATA!V207</f>
        <v>0</v>
      </c>
      <c r="AM206" s="46">
        <f>DATA!W207</f>
        <v>0</v>
      </c>
      <c r="AN206" s="47"/>
    </row>
    <row r="207" spans="1:40" s="48" customFormat="1" ht="23.25" hidden="1" customHeight="1" x14ac:dyDescent="0.45">
      <c r="A207" s="46">
        <f>DATA!C208</f>
        <v>0</v>
      </c>
      <c r="B207" s="46">
        <f>DATA!D208</f>
        <v>0</v>
      </c>
      <c r="C207" s="46">
        <f>DATA!F208</f>
        <v>0</v>
      </c>
      <c r="D207" s="46">
        <f>DATA!G208</f>
        <v>0</v>
      </c>
      <c r="E207" s="46">
        <f>DATA!H208</f>
        <v>0</v>
      </c>
      <c r="F207" s="46">
        <f>DATA!I208</f>
        <v>0</v>
      </c>
      <c r="G207" s="46"/>
      <c r="H207" s="46"/>
      <c r="I207" s="45">
        <f>DATA!L208</f>
        <v>0</v>
      </c>
      <c r="J207" s="46"/>
      <c r="K207" s="46">
        <f>DATA!O208</f>
        <v>0</v>
      </c>
      <c r="L207" s="46">
        <f>DATA!Q208</f>
        <v>0</v>
      </c>
      <c r="M207" s="46">
        <f>DATA!R208</f>
        <v>0</v>
      </c>
      <c r="N207" s="46"/>
      <c r="O207" s="46"/>
      <c r="P207" s="46">
        <f>DATA!U208</f>
        <v>0</v>
      </c>
      <c r="Q207" s="46">
        <f>DATA!V208</f>
        <v>0</v>
      </c>
      <c r="R207" s="46">
        <f>DATA!W208</f>
        <v>0</v>
      </c>
      <c r="S207" s="47"/>
      <c r="V207" s="46">
        <f>DATA!C208</f>
        <v>0</v>
      </c>
      <c r="W207" s="46">
        <f>DATA!D208</f>
        <v>0</v>
      </c>
      <c r="X207" s="46">
        <f>DATA!F208</f>
        <v>0</v>
      </c>
      <c r="Y207" s="46">
        <f>DATA!G208</f>
        <v>0</v>
      </c>
      <c r="Z207" s="46">
        <f>DATA!H208</f>
        <v>0</v>
      </c>
      <c r="AA207" s="46">
        <f>DATA!I208</f>
        <v>0</v>
      </c>
      <c r="AB207" s="46"/>
      <c r="AC207" s="46"/>
      <c r="AD207" s="45">
        <f>DATA!L208</f>
        <v>0</v>
      </c>
      <c r="AE207" s="46"/>
      <c r="AF207" s="46">
        <f>DATA!O208</f>
        <v>0</v>
      </c>
      <c r="AG207" s="46">
        <f>DATA!Q208</f>
        <v>0</v>
      </c>
      <c r="AH207" s="46">
        <f>DATA!R208</f>
        <v>0</v>
      </c>
      <c r="AI207" s="46"/>
      <c r="AJ207" s="46"/>
      <c r="AK207" s="46">
        <f>DATA!U208</f>
        <v>0</v>
      </c>
      <c r="AL207" s="46">
        <f>DATA!V208</f>
        <v>0</v>
      </c>
      <c r="AM207" s="46">
        <f>DATA!W208</f>
        <v>0</v>
      </c>
      <c r="AN207" s="47"/>
    </row>
    <row r="208" spans="1:40" s="48" customFormat="1" ht="23.25" hidden="1" customHeight="1" x14ac:dyDescent="0.45">
      <c r="A208" s="46">
        <f>DATA!C209</f>
        <v>0</v>
      </c>
      <c r="B208" s="46">
        <f>DATA!D209</f>
        <v>0</v>
      </c>
      <c r="C208" s="46">
        <f>DATA!F209</f>
        <v>0</v>
      </c>
      <c r="D208" s="46">
        <f>DATA!G209</f>
        <v>0</v>
      </c>
      <c r="E208" s="46">
        <f>DATA!H209</f>
        <v>0</v>
      </c>
      <c r="F208" s="46">
        <f>DATA!I209</f>
        <v>0</v>
      </c>
      <c r="G208" s="46"/>
      <c r="H208" s="46"/>
      <c r="I208" s="45">
        <f>DATA!L209</f>
        <v>0</v>
      </c>
      <c r="J208" s="46"/>
      <c r="K208" s="46">
        <f>DATA!O209</f>
        <v>0</v>
      </c>
      <c r="L208" s="46">
        <f>DATA!Q209</f>
        <v>0</v>
      </c>
      <c r="M208" s="46">
        <f>DATA!R209</f>
        <v>0</v>
      </c>
      <c r="N208" s="46"/>
      <c r="O208" s="46"/>
      <c r="P208" s="46">
        <f>DATA!U209</f>
        <v>0</v>
      </c>
      <c r="Q208" s="46">
        <f>DATA!V209</f>
        <v>0</v>
      </c>
      <c r="R208" s="46">
        <f>DATA!W209</f>
        <v>0</v>
      </c>
      <c r="S208" s="47"/>
      <c r="V208" s="46">
        <f>DATA!C209</f>
        <v>0</v>
      </c>
      <c r="W208" s="46">
        <f>DATA!D209</f>
        <v>0</v>
      </c>
      <c r="X208" s="46">
        <f>DATA!F209</f>
        <v>0</v>
      </c>
      <c r="Y208" s="46">
        <f>DATA!G209</f>
        <v>0</v>
      </c>
      <c r="Z208" s="46">
        <f>DATA!H209</f>
        <v>0</v>
      </c>
      <c r="AA208" s="46">
        <f>DATA!I209</f>
        <v>0</v>
      </c>
      <c r="AB208" s="46"/>
      <c r="AC208" s="46"/>
      <c r="AD208" s="45">
        <f>DATA!L209</f>
        <v>0</v>
      </c>
      <c r="AE208" s="46"/>
      <c r="AF208" s="46">
        <f>DATA!O209</f>
        <v>0</v>
      </c>
      <c r="AG208" s="46">
        <f>DATA!Q209</f>
        <v>0</v>
      </c>
      <c r="AH208" s="46">
        <f>DATA!R209</f>
        <v>0</v>
      </c>
      <c r="AI208" s="46"/>
      <c r="AJ208" s="46"/>
      <c r="AK208" s="46">
        <f>DATA!U209</f>
        <v>0</v>
      </c>
      <c r="AL208" s="46">
        <f>DATA!V209</f>
        <v>0</v>
      </c>
      <c r="AM208" s="46">
        <f>DATA!W209</f>
        <v>0</v>
      </c>
      <c r="AN208" s="47"/>
    </row>
    <row r="209" spans="1:40" s="48" customFormat="1" ht="23.25" hidden="1" customHeight="1" x14ac:dyDescent="0.45">
      <c r="A209" s="46">
        <f>DATA!C210</f>
        <v>0</v>
      </c>
      <c r="B209" s="46">
        <f>DATA!D210</f>
        <v>0</v>
      </c>
      <c r="C209" s="46">
        <f>DATA!F210</f>
        <v>0</v>
      </c>
      <c r="D209" s="46">
        <f>DATA!G210</f>
        <v>0</v>
      </c>
      <c r="E209" s="46">
        <f>DATA!H210</f>
        <v>0</v>
      </c>
      <c r="F209" s="46">
        <f>DATA!I210</f>
        <v>0</v>
      </c>
      <c r="G209" s="46"/>
      <c r="H209" s="46"/>
      <c r="I209" s="45">
        <f>DATA!L210</f>
        <v>0</v>
      </c>
      <c r="J209" s="46"/>
      <c r="K209" s="46">
        <f>DATA!O210</f>
        <v>0</v>
      </c>
      <c r="L209" s="46">
        <f>DATA!Q210</f>
        <v>0</v>
      </c>
      <c r="M209" s="46">
        <f>DATA!R210</f>
        <v>0</v>
      </c>
      <c r="N209" s="46"/>
      <c r="O209" s="46"/>
      <c r="P209" s="46">
        <f>DATA!U210</f>
        <v>0</v>
      </c>
      <c r="Q209" s="46">
        <f>DATA!V210</f>
        <v>0</v>
      </c>
      <c r="R209" s="46">
        <f>DATA!W210</f>
        <v>0</v>
      </c>
      <c r="S209" s="47"/>
      <c r="V209" s="46">
        <f>DATA!C210</f>
        <v>0</v>
      </c>
      <c r="W209" s="46">
        <f>DATA!D210</f>
        <v>0</v>
      </c>
      <c r="X209" s="46">
        <f>DATA!F210</f>
        <v>0</v>
      </c>
      <c r="Y209" s="46">
        <f>DATA!G210</f>
        <v>0</v>
      </c>
      <c r="Z209" s="46">
        <f>DATA!H210</f>
        <v>0</v>
      </c>
      <c r="AA209" s="46">
        <f>DATA!I210</f>
        <v>0</v>
      </c>
      <c r="AB209" s="46"/>
      <c r="AC209" s="46"/>
      <c r="AD209" s="45">
        <f>DATA!L210</f>
        <v>0</v>
      </c>
      <c r="AE209" s="46"/>
      <c r="AF209" s="46">
        <f>DATA!O210</f>
        <v>0</v>
      </c>
      <c r="AG209" s="46">
        <f>DATA!Q210</f>
        <v>0</v>
      </c>
      <c r="AH209" s="46">
        <f>DATA!R210</f>
        <v>0</v>
      </c>
      <c r="AI209" s="46"/>
      <c r="AJ209" s="46"/>
      <c r="AK209" s="46">
        <f>DATA!U210</f>
        <v>0</v>
      </c>
      <c r="AL209" s="46">
        <f>DATA!V210</f>
        <v>0</v>
      </c>
      <c r="AM209" s="46">
        <f>DATA!W210</f>
        <v>0</v>
      </c>
      <c r="AN209" s="47"/>
    </row>
    <row r="210" spans="1:40" s="48" customFormat="1" ht="23.25" hidden="1" customHeight="1" x14ac:dyDescent="0.45">
      <c r="A210" s="46">
        <f>DATA!C211</f>
        <v>0</v>
      </c>
      <c r="B210" s="46">
        <f>DATA!D211</f>
        <v>0</v>
      </c>
      <c r="C210" s="46">
        <f>DATA!F211</f>
        <v>0</v>
      </c>
      <c r="D210" s="46">
        <f>DATA!G211</f>
        <v>0</v>
      </c>
      <c r="E210" s="46">
        <f>DATA!H211</f>
        <v>0</v>
      </c>
      <c r="F210" s="46">
        <f>DATA!I211</f>
        <v>0</v>
      </c>
      <c r="G210" s="46"/>
      <c r="H210" s="46"/>
      <c r="I210" s="45">
        <f>DATA!L211</f>
        <v>0</v>
      </c>
      <c r="J210" s="46"/>
      <c r="K210" s="46">
        <f>DATA!O211</f>
        <v>0</v>
      </c>
      <c r="L210" s="46">
        <f>DATA!Q211</f>
        <v>0</v>
      </c>
      <c r="M210" s="46">
        <f>DATA!R211</f>
        <v>0</v>
      </c>
      <c r="N210" s="46"/>
      <c r="O210" s="46"/>
      <c r="P210" s="46">
        <f>DATA!U211</f>
        <v>0</v>
      </c>
      <c r="Q210" s="46">
        <f>DATA!V211</f>
        <v>0</v>
      </c>
      <c r="R210" s="46">
        <f>DATA!W211</f>
        <v>0</v>
      </c>
      <c r="S210" s="47"/>
      <c r="V210" s="46">
        <f>DATA!C211</f>
        <v>0</v>
      </c>
      <c r="W210" s="46">
        <f>DATA!D211</f>
        <v>0</v>
      </c>
      <c r="X210" s="46">
        <f>DATA!F211</f>
        <v>0</v>
      </c>
      <c r="Y210" s="46">
        <f>DATA!G211</f>
        <v>0</v>
      </c>
      <c r="Z210" s="46">
        <f>DATA!H211</f>
        <v>0</v>
      </c>
      <c r="AA210" s="46">
        <f>DATA!I211</f>
        <v>0</v>
      </c>
      <c r="AB210" s="46"/>
      <c r="AC210" s="46"/>
      <c r="AD210" s="45">
        <f>DATA!L211</f>
        <v>0</v>
      </c>
      <c r="AE210" s="46"/>
      <c r="AF210" s="46">
        <f>DATA!O211</f>
        <v>0</v>
      </c>
      <c r="AG210" s="46">
        <f>DATA!Q211</f>
        <v>0</v>
      </c>
      <c r="AH210" s="46">
        <f>DATA!R211</f>
        <v>0</v>
      </c>
      <c r="AI210" s="46"/>
      <c r="AJ210" s="46"/>
      <c r="AK210" s="46">
        <f>DATA!U211</f>
        <v>0</v>
      </c>
      <c r="AL210" s="46">
        <f>DATA!V211</f>
        <v>0</v>
      </c>
      <c r="AM210" s="46">
        <f>DATA!W211</f>
        <v>0</v>
      </c>
      <c r="AN210" s="47"/>
    </row>
    <row r="211" spans="1:40" s="48" customFormat="1" ht="23.25" hidden="1" customHeight="1" x14ac:dyDescent="0.45">
      <c r="A211" s="46">
        <f>DATA!C212</f>
        <v>0</v>
      </c>
      <c r="B211" s="46">
        <f>DATA!D212</f>
        <v>0</v>
      </c>
      <c r="C211" s="46">
        <f>DATA!F212</f>
        <v>0</v>
      </c>
      <c r="D211" s="46">
        <f>DATA!G212</f>
        <v>0</v>
      </c>
      <c r="E211" s="46">
        <f>DATA!H212</f>
        <v>0</v>
      </c>
      <c r="F211" s="46">
        <f>DATA!I212</f>
        <v>0</v>
      </c>
      <c r="G211" s="46"/>
      <c r="H211" s="46"/>
      <c r="I211" s="45">
        <f>DATA!L212</f>
        <v>0</v>
      </c>
      <c r="J211" s="46"/>
      <c r="K211" s="46">
        <f>DATA!O212</f>
        <v>0</v>
      </c>
      <c r="L211" s="46">
        <f>DATA!Q212</f>
        <v>0</v>
      </c>
      <c r="M211" s="46">
        <f>DATA!R212</f>
        <v>0</v>
      </c>
      <c r="N211" s="46"/>
      <c r="O211" s="46"/>
      <c r="P211" s="46">
        <f>DATA!U212</f>
        <v>0</v>
      </c>
      <c r="Q211" s="46">
        <f>DATA!V212</f>
        <v>0</v>
      </c>
      <c r="R211" s="46">
        <f>DATA!W212</f>
        <v>0</v>
      </c>
      <c r="S211" s="47"/>
      <c r="V211" s="46">
        <f>DATA!C212</f>
        <v>0</v>
      </c>
      <c r="W211" s="46">
        <f>DATA!D212</f>
        <v>0</v>
      </c>
      <c r="X211" s="46">
        <f>DATA!F212</f>
        <v>0</v>
      </c>
      <c r="Y211" s="46">
        <f>DATA!G212</f>
        <v>0</v>
      </c>
      <c r="Z211" s="46">
        <f>DATA!H212</f>
        <v>0</v>
      </c>
      <c r="AA211" s="46">
        <f>DATA!I212</f>
        <v>0</v>
      </c>
      <c r="AB211" s="46"/>
      <c r="AC211" s="46"/>
      <c r="AD211" s="45">
        <f>DATA!L212</f>
        <v>0</v>
      </c>
      <c r="AE211" s="46"/>
      <c r="AF211" s="46">
        <f>DATA!O212</f>
        <v>0</v>
      </c>
      <c r="AG211" s="46">
        <f>DATA!Q212</f>
        <v>0</v>
      </c>
      <c r="AH211" s="46">
        <f>DATA!R212</f>
        <v>0</v>
      </c>
      <c r="AI211" s="46"/>
      <c r="AJ211" s="46"/>
      <c r="AK211" s="46">
        <f>DATA!U212</f>
        <v>0</v>
      </c>
      <c r="AL211" s="46">
        <f>DATA!V212</f>
        <v>0</v>
      </c>
      <c r="AM211" s="46">
        <f>DATA!W212</f>
        <v>0</v>
      </c>
      <c r="AN211" s="47"/>
    </row>
    <row r="212" spans="1:40" s="48" customFormat="1" ht="23.25" hidden="1" customHeight="1" x14ac:dyDescent="0.45">
      <c r="A212" s="46">
        <f>DATA!C213</f>
        <v>0</v>
      </c>
      <c r="B212" s="46">
        <f>DATA!D213</f>
        <v>0</v>
      </c>
      <c r="C212" s="46">
        <f>DATA!F213</f>
        <v>0</v>
      </c>
      <c r="D212" s="46">
        <f>DATA!G213</f>
        <v>0</v>
      </c>
      <c r="E212" s="46">
        <f>DATA!H213</f>
        <v>0</v>
      </c>
      <c r="F212" s="46">
        <f>DATA!I213</f>
        <v>0</v>
      </c>
      <c r="G212" s="46"/>
      <c r="H212" s="46"/>
      <c r="I212" s="45">
        <f>DATA!L213</f>
        <v>0</v>
      </c>
      <c r="J212" s="46"/>
      <c r="K212" s="46">
        <f>DATA!O213</f>
        <v>0</v>
      </c>
      <c r="L212" s="46">
        <f>DATA!Q213</f>
        <v>0</v>
      </c>
      <c r="M212" s="46">
        <f>DATA!R213</f>
        <v>0</v>
      </c>
      <c r="N212" s="46"/>
      <c r="O212" s="46"/>
      <c r="P212" s="46">
        <f>DATA!U213</f>
        <v>0</v>
      </c>
      <c r="Q212" s="46">
        <f>DATA!V213</f>
        <v>0</v>
      </c>
      <c r="R212" s="46">
        <f>DATA!W213</f>
        <v>0</v>
      </c>
      <c r="S212" s="47"/>
      <c r="V212" s="46">
        <f>DATA!C213</f>
        <v>0</v>
      </c>
      <c r="W212" s="46">
        <f>DATA!D213</f>
        <v>0</v>
      </c>
      <c r="X212" s="46">
        <f>DATA!F213</f>
        <v>0</v>
      </c>
      <c r="Y212" s="46">
        <f>DATA!G213</f>
        <v>0</v>
      </c>
      <c r="Z212" s="46">
        <f>DATA!H213</f>
        <v>0</v>
      </c>
      <c r="AA212" s="46">
        <f>DATA!I213</f>
        <v>0</v>
      </c>
      <c r="AB212" s="46"/>
      <c r="AC212" s="46"/>
      <c r="AD212" s="45">
        <f>DATA!L213</f>
        <v>0</v>
      </c>
      <c r="AE212" s="46"/>
      <c r="AF212" s="46">
        <f>DATA!O213</f>
        <v>0</v>
      </c>
      <c r="AG212" s="46">
        <f>DATA!Q213</f>
        <v>0</v>
      </c>
      <c r="AH212" s="46">
        <f>DATA!R213</f>
        <v>0</v>
      </c>
      <c r="AI212" s="46"/>
      <c r="AJ212" s="46"/>
      <c r="AK212" s="46">
        <f>DATA!U213</f>
        <v>0</v>
      </c>
      <c r="AL212" s="46">
        <f>DATA!V213</f>
        <v>0</v>
      </c>
      <c r="AM212" s="46">
        <f>DATA!W213</f>
        <v>0</v>
      </c>
      <c r="AN212" s="47"/>
    </row>
    <row r="213" spans="1:40" s="48" customFormat="1" ht="23.25" hidden="1" customHeight="1" x14ac:dyDescent="0.45">
      <c r="A213" s="46">
        <f>DATA!C214</f>
        <v>0</v>
      </c>
      <c r="B213" s="46">
        <f>DATA!D214</f>
        <v>0</v>
      </c>
      <c r="C213" s="46">
        <f>DATA!F214</f>
        <v>0</v>
      </c>
      <c r="D213" s="46">
        <f>DATA!G214</f>
        <v>0</v>
      </c>
      <c r="E213" s="46">
        <f>DATA!H214</f>
        <v>0</v>
      </c>
      <c r="F213" s="46">
        <f>DATA!I214</f>
        <v>0</v>
      </c>
      <c r="G213" s="46"/>
      <c r="H213" s="46"/>
      <c r="I213" s="45">
        <f>DATA!L214</f>
        <v>0</v>
      </c>
      <c r="J213" s="46"/>
      <c r="K213" s="46">
        <f>DATA!O214</f>
        <v>0</v>
      </c>
      <c r="L213" s="46">
        <f>DATA!Q214</f>
        <v>0</v>
      </c>
      <c r="M213" s="46">
        <f>DATA!R214</f>
        <v>0</v>
      </c>
      <c r="N213" s="46"/>
      <c r="O213" s="46"/>
      <c r="P213" s="46">
        <f>DATA!U214</f>
        <v>0</v>
      </c>
      <c r="Q213" s="46">
        <f>DATA!V214</f>
        <v>0</v>
      </c>
      <c r="R213" s="46">
        <f>DATA!W214</f>
        <v>0</v>
      </c>
      <c r="S213" s="47"/>
      <c r="V213" s="46">
        <f>DATA!C214</f>
        <v>0</v>
      </c>
      <c r="W213" s="46">
        <f>DATA!D214</f>
        <v>0</v>
      </c>
      <c r="X213" s="46">
        <f>DATA!F214</f>
        <v>0</v>
      </c>
      <c r="Y213" s="46">
        <f>DATA!G214</f>
        <v>0</v>
      </c>
      <c r="Z213" s="46">
        <f>DATA!H214</f>
        <v>0</v>
      </c>
      <c r="AA213" s="46">
        <f>DATA!I214</f>
        <v>0</v>
      </c>
      <c r="AB213" s="46"/>
      <c r="AC213" s="46"/>
      <c r="AD213" s="45">
        <f>DATA!L214</f>
        <v>0</v>
      </c>
      <c r="AE213" s="46"/>
      <c r="AF213" s="46">
        <f>DATA!O214</f>
        <v>0</v>
      </c>
      <c r="AG213" s="46">
        <f>DATA!Q214</f>
        <v>0</v>
      </c>
      <c r="AH213" s="46">
        <f>DATA!R214</f>
        <v>0</v>
      </c>
      <c r="AI213" s="46"/>
      <c r="AJ213" s="46"/>
      <c r="AK213" s="46">
        <f>DATA!U214</f>
        <v>0</v>
      </c>
      <c r="AL213" s="46">
        <f>DATA!V214</f>
        <v>0</v>
      </c>
      <c r="AM213" s="46">
        <f>DATA!W214</f>
        <v>0</v>
      </c>
      <c r="AN213" s="47"/>
    </row>
    <row r="214" spans="1:40" s="48" customFormat="1" ht="23.25" hidden="1" customHeight="1" x14ac:dyDescent="0.45">
      <c r="A214" s="46">
        <f>DATA!C215</f>
        <v>0</v>
      </c>
      <c r="B214" s="46">
        <f>DATA!D215</f>
        <v>0</v>
      </c>
      <c r="C214" s="46">
        <f>DATA!F215</f>
        <v>0</v>
      </c>
      <c r="D214" s="46">
        <f>DATA!G215</f>
        <v>0</v>
      </c>
      <c r="E214" s="46">
        <f>DATA!H215</f>
        <v>0</v>
      </c>
      <c r="F214" s="46">
        <f>DATA!I215</f>
        <v>0</v>
      </c>
      <c r="G214" s="46"/>
      <c r="H214" s="46"/>
      <c r="I214" s="45">
        <f>DATA!L215</f>
        <v>0</v>
      </c>
      <c r="J214" s="46"/>
      <c r="K214" s="46">
        <f>DATA!O215</f>
        <v>0</v>
      </c>
      <c r="L214" s="46">
        <f>DATA!Q215</f>
        <v>0</v>
      </c>
      <c r="M214" s="46">
        <f>DATA!R215</f>
        <v>0</v>
      </c>
      <c r="N214" s="46"/>
      <c r="O214" s="46"/>
      <c r="P214" s="46">
        <f>DATA!U215</f>
        <v>0</v>
      </c>
      <c r="Q214" s="46">
        <f>DATA!V215</f>
        <v>0</v>
      </c>
      <c r="R214" s="46">
        <f>DATA!W215</f>
        <v>0</v>
      </c>
      <c r="S214" s="47"/>
      <c r="V214" s="46">
        <f>DATA!C215</f>
        <v>0</v>
      </c>
      <c r="W214" s="46">
        <f>DATA!D215</f>
        <v>0</v>
      </c>
      <c r="X214" s="46">
        <f>DATA!F215</f>
        <v>0</v>
      </c>
      <c r="Y214" s="46">
        <f>DATA!G215</f>
        <v>0</v>
      </c>
      <c r="Z214" s="46">
        <f>DATA!H215</f>
        <v>0</v>
      </c>
      <c r="AA214" s="46">
        <f>DATA!I215</f>
        <v>0</v>
      </c>
      <c r="AB214" s="46"/>
      <c r="AC214" s="46"/>
      <c r="AD214" s="45">
        <f>DATA!L215</f>
        <v>0</v>
      </c>
      <c r="AE214" s="46"/>
      <c r="AF214" s="46">
        <f>DATA!O215</f>
        <v>0</v>
      </c>
      <c r="AG214" s="46">
        <f>DATA!Q215</f>
        <v>0</v>
      </c>
      <c r="AH214" s="46">
        <f>DATA!R215</f>
        <v>0</v>
      </c>
      <c r="AI214" s="46"/>
      <c r="AJ214" s="46"/>
      <c r="AK214" s="46">
        <f>DATA!U215</f>
        <v>0</v>
      </c>
      <c r="AL214" s="46">
        <f>DATA!V215</f>
        <v>0</v>
      </c>
      <c r="AM214" s="46">
        <f>DATA!W215</f>
        <v>0</v>
      </c>
      <c r="AN214" s="47"/>
    </row>
    <row r="215" spans="1:40" s="48" customFormat="1" ht="23.25" hidden="1" customHeight="1" x14ac:dyDescent="0.45">
      <c r="A215" s="46">
        <f>DATA!C216</f>
        <v>0</v>
      </c>
      <c r="B215" s="46">
        <f>DATA!D216</f>
        <v>0</v>
      </c>
      <c r="C215" s="46">
        <f>DATA!F216</f>
        <v>0</v>
      </c>
      <c r="D215" s="46">
        <f>DATA!G216</f>
        <v>0</v>
      </c>
      <c r="E215" s="46">
        <f>DATA!H216</f>
        <v>0</v>
      </c>
      <c r="F215" s="46">
        <f>DATA!I216</f>
        <v>0</v>
      </c>
      <c r="G215" s="46"/>
      <c r="H215" s="46"/>
      <c r="I215" s="45">
        <f>DATA!L216</f>
        <v>0</v>
      </c>
      <c r="J215" s="46"/>
      <c r="K215" s="46">
        <f>DATA!O216</f>
        <v>0</v>
      </c>
      <c r="L215" s="46">
        <f>DATA!Q216</f>
        <v>0</v>
      </c>
      <c r="M215" s="46">
        <f>DATA!R216</f>
        <v>0</v>
      </c>
      <c r="N215" s="46"/>
      <c r="O215" s="46"/>
      <c r="P215" s="46">
        <f>DATA!U216</f>
        <v>0</v>
      </c>
      <c r="Q215" s="46">
        <f>DATA!V216</f>
        <v>0</v>
      </c>
      <c r="R215" s="46">
        <f>DATA!W216</f>
        <v>0</v>
      </c>
      <c r="S215" s="47"/>
      <c r="V215" s="46">
        <f>DATA!C216</f>
        <v>0</v>
      </c>
      <c r="W215" s="46">
        <f>DATA!D216</f>
        <v>0</v>
      </c>
      <c r="X215" s="46">
        <f>DATA!F216</f>
        <v>0</v>
      </c>
      <c r="Y215" s="46">
        <f>DATA!G216</f>
        <v>0</v>
      </c>
      <c r="Z215" s="46">
        <f>DATA!H216</f>
        <v>0</v>
      </c>
      <c r="AA215" s="46">
        <f>DATA!I216</f>
        <v>0</v>
      </c>
      <c r="AB215" s="46"/>
      <c r="AC215" s="46"/>
      <c r="AD215" s="45">
        <f>DATA!L216</f>
        <v>0</v>
      </c>
      <c r="AE215" s="46"/>
      <c r="AF215" s="46">
        <f>DATA!O216</f>
        <v>0</v>
      </c>
      <c r="AG215" s="46">
        <f>DATA!Q216</f>
        <v>0</v>
      </c>
      <c r="AH215" s="46">
        <f>DATA!R216</f>
        <v>0</v>
      </c>
      <c r="AI215" s="46"/>
      <c r="AJ215" s="46"/>
      <c r="AK215" s="46">
        <f>DATA!U216</f>
        <v>0</v>
      </c>
      <c r="AL215" s="46">
        <f>DATA!V216</f>
        <v>0</v>
      </c>
      <c r="AM215" s="46">
        <f>DATA!W216</f>
        <v>0</v>
      </c>
      <c r="AN215" s="47"/>
    </row>
    <row r="216" spans="1:40" s="48" customFormat="1" ht="23.25" hidden="1" customHeight="1" x14ac:dyDescent="0.45">
      <c r="A216" s="46">
        <f>DATA!C217</f>
        <v>0</v>
      </c>
      <c r="B216" s="46">
        <f>DATA!D217</f>
        <v>0</v>
      </c>
      <c r="C216" s="46">
        <f>DATA!F217</f>
        <v>0</v>
      </c>
      <c r="D216" s="46">
        <f>DATA!G217</f>
        <v>0</v>
      </c>
      <c r="E216" s="46">
        <f>DATA!H217</f>
        <v>0</v>
      </c>
      <c r="F216" s="46">
        <f>DATA!I217</f>
        <v>0</v>
      </c>
      <c r="G216" s="46"/>
      <c r="H216" s="46"/>
      <c r="I216" s="45">
        <f>DATA!L217</f>
        <v>0</v>
      </c>
      <c r="J216" s="46"/>
      <c r="K216" s="46">
        <f>DATA!O217</f>
        <v>0</v>
      </c>
      <c r="L216" s="46">
        <f>DATA!Q217</f>
        <v>0</v>
      </c>
      <c r="M216" s="46">
        <f>DATA!R217</f>
        <v>0</v>
      </c>
      <c r="N216" s="46"/>
      <c r="O216" s="46"/>
      <c r="P216" s="46">
        <f>DATA!U217</f>
        <v>0</v>
      </c>
      <c r="Q216" s="46">
        <f>DATA!V217</f>
        <v>0</v>
      </c>
      <c r="R216" s="46">
        <f>DATA!W217</f>
        <v>0</v>
      </c>
      <c r="S216" s="47"/>
      <c r="V216" s="46">
        <f>DATA!C217</f>
        <v>0</v>
      </c>
      <c r="W216" s="46">
        <f>DATA!D217</f>
        <v>0</v>
      </c>
      <c r="X216" s="46">
        <f>DATA!F217</f>
        <v>0</v>
      </c>
      <c r="Y216" s="46">
        <f>DATA!G217</f>
        <v>0</v>
      </c>
      <c r="Z216" s="46">
        <f>DATA!H217</f>
        <v>0</v>
      </c>
      <c r="AA216" s="46">
        <f>DATA!I217</f>
        <v>0</v>
      </c>
      <c r="AB216" s="46"/>
      <c r="AC216" s="46"/>
      <c r="AD216" s="45">
        <f>DATA!L217</f>
        <v>0</v>
      </c>
      <c r="AE216" s="46"/>
      <c r="AF216" s="46">
        <f>DATA!O217</f>
        <v>0</v>
      </c>
      <c r="AG216" s="46">
        <f>DATA!Q217</f>
        <v>0</v>
      </c>
      <c r="AH216" s="46">
        <f>DATA!R217</f>
        <v>0</v>
      </c>
      <c r="AI216" s="46"/>
      <c r="AJ216" s="46"/>
      <c r="AK216" s="46">
        <f>DATA!U217</f>
        <v>0</v>
      </c>
      <c r="AL216" s="46">
        <f>DATA!V217</f>
        <v>0</v>
      </c>
      <c r="AM216" s="46">
        <f>DATA!W217</f>
        <v>0</v>
      </c>
      <c r="AN216" s="47"/>
    </row>
    <row r="217" spans="1:40" s="48" customFormat="1" ht="23.25" hidden="1" customHeight="1" x14ac:dyDescent="0.45">
      <c r="A217" s="46">
        <f>DATA!C218</f>
        <v>0</v>
      </c>
      <c r="B217" s="46">
        <f>DATA!D218</f>
        <v>0</v>
      </c>
      <c r="C217" s="46">
        <f>DATA!F218</f>
        <v>0</v>
      </c>
      <c r="D217" s="46">
        <f>DATA!G218</f>
        <v>0</v>
      </c>
      <c r="E217" s="46">
        <f>DATA!H218</f>
        <v>0</v>
      </c>
      <c r="F217" s="46">
        <f>DATA!I218</f>
        <v>0</v>
      </c>
      <c r="G217" s="46"/>
      <c r="H217" s="46"/>
      <c r="I217" s="45">
        <f>DATA!L218</f>
        <v>0</v>
      </c>
      <c r="J217" s="46"/>
      <c r="K217" s="46">
        <f>DATA!O218</f>
        <v>0</v>
      </c>
      <c r="L217" s="46">
        <f>DATA!Q218</f>
        <v>0</v>
      </c>
      <c r="M217" s="46">
        <f>DATA!R218</f>
        <v>0</v>
      </c>
      <c r="N217" s="46"/>
      <c r="O217" s="46"/>
      <c r="P217" s="46">
        <f>DATA!U218</f>
        <v>0</v>
      </c>
      <c r="Q217" s="46">
        <f>DATA!V218</f>
        <v>0</v>
      </c>
      <c r="R217" s="46">
        <f>DATA!W218</f>
        <v>0</v>
      </c>
      <c r="S217" s="47"/>
      <c r="V217" s="46">
        <f>DATA!C218</f>
        <v>0</v>
      </c>
      <c r="W217" s="46">
        <f>DATA!D218</f>
        <v>0</v>
      </c>
      <c r="X217" s="46">
        <f>DATA!F218</f>
        <v>0</v>
      </c>
      <c r="Y217" s="46">
        <f>DATA!G218</f>
        <v>0</v>
      </c>
      <c r="Z217" s="46">
        <f>DATA!H218</f>
        <v>0</v>
      </c>
      <c r="AA217" s="46">
        <f>DATA!I218</f>
        <v>0</v>
      </c>
      <c r="AB217" s="46"/>
      <c r="AC217" s="46"/>
      <c r="AD217" s="45">
        <f>DATA!L218</f>
        <v>0</v>
      </c>
      <c r="AE217" s="46"/>
      <c r="AF217" s="46">
        <f>DATA!O218</f>
        <v>0</v>
      </c>
      <c r="AG217" s="46">
        <f>DATA!Q218</f>
        <v>0</v>
      </c>
      <c r="AH217" s="46">
        <f>DATA!R218</f>
        <v>0</v>
      </c>
      <c r="AI217" s="46"/>
      <c r="AJ217" s="46"/>
      <c r="AK217" s="46">
        <f>DATA!U218</f>
        <v>0</v>
      </c>
      <c r="AL217" s="46">
        <f>DATA!V218</f>
        <v>0</v>
      </c>
      <c r="AM217" s="46">
        <f>DATA!W218</f>
        <v>0</v>
      </c>
      <c r="AN217" s="47"/>
    </row>
    <row r="218" spans="1:40" s="48" customFormat="1" ht="23.25" hidden="1" customHeight="1" x14ac:dyDescent="0.45">
      <c r="A218" s="46">
        <f>DATA!C219</f>
        <v>0</v>
      </c>
      <c r="B218" s="46">
        <f>DATA!D219</f>
        <v>0</v>
      </c>
      <c r="C218" s="46">
        <f>DATA!F219</f>
        <v>0</v>
      </c>
      <c r="D218" s="46">
        <f>DATA!G219</f>
        <v>0</v>
      </c>
      <c r="E218" s="46">
        <f>DATA!H219</f>
        <v>0</v>
      </c>
      <c r="F218" s="46">
        <f>DATA!I219</f>
        <v>0</v>
      </c>
      <c r="G218" s="46"/>
      <c r="H218" s="46"/>
      <c r="I218" s="45">
        <f>DATA!L219</f>
        <v>0</v>
      </c>
      <c r="J218" s="46"/>
      <c r="K218" s="46">
        <f>DATA!O219</f>
        <v>0</v>
      </c>
      <c r="L218" s="46">
        <f>DATA!Q219</f>
        <v>0</v>
      </c>
      <c r="M218" s="46">
        <f>DATA!R219</f>
        <v>0</v>
      </c>
      <c r="N218" s="46"/>
      <c r="O218" s="46"/>
      <c r="P218" s="46">
        <f>DATA!U219</f>
        <v>0</v>
      </c>
      <c r="Q218" s="46">
        <f>DATA!V219</f>
        <v>0</v>
      </c>
      <c r="R218" s="46">
        <f>DATA!W219</f>
        <v>0</v>
      </c>
      <c r="S218" s="47"/>
      <c r="V218" s="46">
        <f>DATA!C219</f>
        <v>0</v>
      </c>
      <c r="W218" s="46">
        <f>DATA!D219</f>
        <v>0</v>
      </c>
      <c r="X218" s="46">
        <f>DATA!F219</f>
        <v>0</v>
      </c>
      <c r="Y218" s="46">
        <f>DATA!G219</f>
        <v>0</v>
      </c>
      <c r="Z218" s="46">
        <f>DATA!H219</f>
        <v>0</v>
      </c>
      <c r="AA218" s="46">
        <f>DATA!I219</f>
        <v>0</v>
      </c>
      <c r="AB218" s="46"/>
      <c r="AC218" s="46"/>
      <c r="AD218" s="45">
        <f>DATA!L219</f>
        <v>0</v>
      </c>
      <c r="AE218" s="46"/>
      <c r="AF218" s="46">
        <f>DATA!O219</f>
        <v>0</v>
      </c>
      <c r="AG218" s="46">
        <f>DATA!Q219</f>
        <v>0</v>
      </c>
      <c r="AH218" s="46">
        <f>DATA!R219</f>
        <v>0</v>
      </c>
      <c r="AI218" s="46"/>
      <c r="AJ218" s="46"/>
      <c r="AK218" s="46">
        <f>DATA!U219</f>
        <v>0</v>
      </c>
      <c r="AL218" s="46">
        <f>DATA!V219</f>
        <v>0</v>
      </c>
      <c r="AM218" s="46">
        <f>DATA!W219</f>
        <v>0</v>
      </c>
      <c r="AN218" s="47"/>
    </row>
    <row r="219" spans="1:40" s="48" customFormat="1" ht="23.25" hidden="1" customHeight="1" x14ac:dyDescent="0.45">
      <c r="A219" s="46">
        <f>DATA!C220</f>
        <v>0</v>
      </c>
      <c r="B219" s="46">
        <f>DATA!D220</f>
        <v>0</v>
      </c>
      <c r="C219" s="46">
        <f>DATA!F220</f>
        <v>0</v>
      </c>
      <c r="D219" s="46">
        <f>DATA!G220</f>
        <v>0</v>
      </c>
      <c r="E219" s="46">
        <f>DATA!H220</f>
        <v>0</v>
      </c>
      <c r="F219" s="46">
        <f>DATA!I220</f>
        <v>0</v>
      </c>
      <c r="G219" s="46"/>
      <c r="H219" s="46"/>
      <c r="I219" s="45">
        <f>DATA!L220</f>
        <v>0</v>
      </c>
      <c r="J219" s="46"/>
      <c r="K219" s="46">
        <f>DATA!O220</f>
        <v>0</v>
      </c>
      <c r="L219" s="46">
        <f>DATA!Q220</f>
        <v>0</v>
      </c>
      <c r="M219" s="46">
        <f>DATA!R220</f>
        <v>0</v>
      </c>
      <c r="N219" s="46"/>
      <c r="O219" s="46"/>
      <c r="P219" s="46">
        <f>DATA!U220</f>
        <v>0</v>
      </c>
      <c r="Q219" s="46">
        <f>DATA!V220</f>
        <v>0</v>
      </c>
      <c r="R219" s="46">
        <f>DATA!W220</f>
        <v>0</v>
      </c>
      <c r="S219" s="47"/>
      <c r="V219" s="46">
        <f>DATA!C220</f>
        <v>0</v>
      </c>
      <c r="W219" s="46">
        <f>DATA!D220</f>
        <v>0</v>
      </c>
      <c r="X219" s="46">
        <f>DATA!F220</f>
        <v>0</v>
      </c>
      <c r="Y219" s="46">
        <f>DATA!G220</f>
        <v>0</v>
      </c>
      <c r="Z219" s="46">
        <f>DATA!H220</f>
        <v>0</v>
      </c>
      <c r="AA219" s="46">
        <f>DATA!I220</f>
        <v>0</v>
      </c>
      <c r="AB219" s="46"/>
      <c r="AC219" s="46"/>
      <c r="AD219" s="45">
        <f>DATA!L220</f>
        <v>0</v>
      </c>
      <c r="AE219" s="46"/>
      <c r="AF219" s="46">
        <f>DATA!O220</f>
        <v>0</v>
      </c>
      <c r="AG219" s="46">
        <f>DATA!Q220</f>
        <v>0</v>
      </c>
      <c r="AH219" s="46">
        <f>DATA!R220</f>
        <v>0</v>
      </c>
      <c r="AI219" s="46"/>
      <c r="AJ219" s="46"/>
      <c r="AK219" s="46">
        <f>DATA!U220</f>
        <v>0</v>
      </c>
      <c r="AL219" s="46">
        <f>DATA!V220</f>
        <v>0</v>
      </c>
      <c r="AM219" s="46">
        <f>DATA!W220</f>
        <v>0</v>
      </c>
      <c r="AN219" s="47"/>
    </row>
    <row r="220" spans="1:40" s="48" customFormat="1" ht="23.25" hidden="1" customHeight="1" x14ac:dyDescent="0.45">
      <c r="A220" s="46">
        <f>DATA!C221</f>
        <v>0</v>
      </c>
      <c r="B220" s="46">
        <f>DATA!D221</f>
        <v>0</v>
      </c>
      <c r="C220" s="46">
        <f>DATA!F221</f>
        <v>0</v>
      </c>
      <c r="D220" s="46">
        <f>DATA!G221</f>
        <v>0</v>
      </c>
      <c r="E220" s="46">
        <f>DATA!H221</f>
        <v>0</v>
      </c>
      <c r="F220" s="46">
        <f>DATA!I221</f>
        <v>0</v>
      </c>
      <c r="G220" s="46"/>
      <c r="H220" s="46"/>
      <c r="I220" s="45">
        <f>DATA!L221</f>
        <v>0</v>
      </c>
      <c r="J220" s="46"/>
      <c r="K220" s="46">
        <f>DATA!O221</f>
        <v>0</v>
      </c>
      <c r="L220" s="46">
        <f>DATA!Q221</f>
        <v>0</v>
      </c>
      <c r="M220" s="46">
        <f>DATA!R221</f>
        <v>0</v>
      </c>
      <c r="N220" s="46"/>
      <c r="O220" s="46"/>
      <c r="P220" s="46">
        <f>DATA!U221</f>
        <v>0</v>
      </c>
      <c r="Q220" s="46">
        <f>DATA!V221</f>
        <v>0</v>
      </c>
      <c r="R220" s="46">
        <f>DATA!W221</f>
        <v>0</v>
      </c>
      <c r="S220" s="47"/>
      <c r="V220" s="46">
        <f>DATA!C221</f>
        <v>0</v>
      </c>
      <c r="W220" s="46">
        <f>DATA!D221</f>
        <v>0</v>
      </c>
      <c r="X220" s="46">
        <f>DATA!F221</f>
        <v>0</v>
      </c>
      <c r="Y220" s="46">
        <f>DATA!G221</f>
        <v>0</v>
      </c>
      <c r="Z220" s="46">
        <f>DATA!H221</f>
        <v>0</v>
      </c>
      <c r="AA220" s="46">
        <f>DATA!I221</f>
        <v>0</v>
      </c>
      <c r="AB220" s="46"/>
      <c r="AC220" s="46"/>
      <c r="AD220" s="45">
        <f>DATA!L221</f>
        <v>0</v>
      </c>
      <c r="AE220" s="46"/>
      <c r="AF220" s="46">
        <f>DATA!O221</f>
        <v>0</v>
      </c>
      <c r="AG220" s="46">
        <f>DATA!Q221</f>
        <v>0</v>
      </c>
      <c r="AH220" s="46">
        <f>DATA!R221</f>
        <v>0</v>
      </c>
      <c r="AI220" s="46"/>
      <c r="AJ220" s="46"/>
      <c r="AK220" s="46">
        <f>DATA!U221</f>
        <v>0</v>
      </c>
      <c r="AL220" s="46">
        <f>DATA!V221</f>
        <v>0</v>
      </c>
      <c r="AM220" s="46">
        <f>DATA!W221</f>
        <v>0</v>
      </c>
      <c r="AN220" s="47"/>
    </row>
    <row r="221" spans="1:40" s="48" customFormat="1" ht="23.25" hidden="1" customHeight="1" x14ac:dyDescent="0.45">
      <c r="A221" s="46">
        <f>DATA!C222</f>
        <v>0</v>
      </c>
      <c r="B221" s="46">
        <f>DATA!D222</f>
        <v>0</v>
      </c>
      <c r="C221" s="46">
        <f>DATA!F222</f>
        <v>0</v>
      </c>
      <c r="D221" s="46">
        <f>DATA!G222</f>
        <v>0</v>
      </c>
      <c r="E221" s="46">
        <f>DATA!H222</f>
        <v>0</v>
      </c>
      <c r="F221" s="46">
        <f>DATA!I222</f>
        <v>0</v>
      </c>
      <c r="G221" s="46"/>
      <c r="H221" s="46"/>
      <c r="I221" s="45">
        <f>DATA!L222</f>
        <v>0</v>
      </c>
      <c r="J221" s="46"/>
      <c r="K221" s="46">
        <f>DATA!O222</f>
        <v>0</v>
      </c>
      <c r="L221" s="46">
        <f>DATA!Q222</f>
        <v>0</v>
      </c>
      <c r="M221" s="46">
        <f>DATA!R222</f>
        <v>0</v>
      </c>
      <c r="N221" s="46"/>
      <c r="O221" s="46"/>
      <c r="P221" s="46">
        <f>DATA!U222</f>
        <v>0</v>
      </c>
      <c r="Q221" s="46">
        <f>DATA!V222</f>
        <v>0</v>
      </c>
      <c r="R221" s="46">
        <f>DATA!W222</f>
        <v>0</v>
      </c>
      <c r="S221" s="47"/>
      <c r="V221" s="46">
        <f>DATA!C222</f>
        <v>0</v>
      </c>
      <c r="W221" s="46">
        <f>DATA!D222</f>
        <v>0</v>
      </c>
      <c r="X221" s="46">
        <f>DATA!F222</f>
        <v>0</v>
      </c>
      <c r="Y221" s="46">
        <f>DATA!G222</f>
        <v>0</v>
      </c>
      <c r="Z221" s="46">
        <f>DATA!H222</f>
        <v>0</v>
      </c>
      <c r="AA221" s="46">
        <f>DATA!I222</f>
        <v>0</v>
      </c>
      <c r="AB221" s="46"/>
      <c r="AC221" s="46"/>
      <c r="AD221" s="45">
        <f>DATA!L222</f>
        <v>0</v>
      </c>
      <c r="AE221" s="46"/>
      <c r="AF221" s="46">
        <f>DATA!O222</f>
        <v>0</v>
      </c>
      <c r="AG221" s="46">
        <f>DATA!Q222</f>
        <v>0</v>
      </c>
      <c r="AH221" s="46">
        <f>DATA!R222</f>
        <v>0</v>
      </c>
      <c r="AI221" s="46"/>
      <c r="AJ221" s="46"/>
      <c r="AK221" s="46">
        <f>DATA!U222</f>
        <v>0</v>
      </c>
      <c r="AL221" s="46">
        <f>DATA!V222</f>
        <v>0</v>
      </c>
      <c r="AM221" s="46">
        <f>DATA!W222</f>
        <v>0</v>
      </c>
      <c r="AN221" s="47"/>
    </row>
    <row r="222" spans="1:40" s="48" customFormat="1" ht="23.25" hidden="1" customHeight="1" x14ac:dyDescent="0.45">
      <c r="A222" s="46">
        <f>DATA!C223</f>
        <v>0</v>
      </c>
      <c r="B222" s="46">
        <f>DATA!D223</f>
        <v>0</v>
      </c>
      <c r="C222" s="46">
        <f>DATA!F223</f>
        <v>0</v>
      </c>
      <c r="D222" s="46">
        <f>DATA!G223</f>
        <v>0</v>
      </c>
      <c r="E222" s="46">
        <f>DATA!H223</f>
        <v>0</v>
      </c>
      <c r="F222" s="46">
        <f>DATA!I223</f>
        <v>0</v>
      </c>
      <c r="G222" s="46"/>
      <c r="H222" s="46"/>
      <c r="I222" s="45">
        <f>DATA!L223</f>
        <v>0</v>
      </c>
      <c r="J222" s="46"/>
      <c r="K222" s="46">
        <f>DATA!O223</f>
        <v>0</v>
      </c>
      <c r="L222" s="46">
        <f>DATA!Q223</f>
        <v>0</v>
      </c>
      <c r="M222" s="46">
        <f>DATA!R223</f>
        <v>0</v>
      </c>
      <c r="N222" s="46"/>
      <c r="O222" s="46"/>
      <c r="P222" s="46">
        <f>DATA!U223</f>
        <v>0</v>
      </c>
      <c r="Q222" s="46">
        <f>DATA!V223</f>
        <v>0</v>
      </c>
      <c r="R222" s="46">
        <f>DATA!W223</f>
        <v>0</v>
      </c>
      <c r="S222" s="47"/>
      <c r="V222" s="46">
        <f>DATA!C223</f>
        <v>0</v>
      </c>
      <c r="W222" s="46">
        <f>DATA!D223</f>
        <v>0</v>
      </c>
      <c r="X222" s="46">
        <f>DATA!F223</f>
        <v>0</v>
      </c>
      <c r="Y222" s="46">
        <f>DATA!G223</f>
        <v>0</v>
      </c>
      <c r="Z222" s="46">
        <f>DATA!H223</f>
        <v>0</v>
      </c>
      <c r="AA222" s="46">
        <f>DATA!I223</f>
        <v>0</v>
      </c>
      <c r="AB222" s="46"/>
      <c r="AC222" s="46"/>
      <c r="AD222" s="45">
        <f>DATA!L223</f>
        <v>0</v>
      </c>
      <c r="AE222" s="46"/>
      <c r="AF222" s="46">
        <f>DATA!O223</f>
        <v>0</v>
      </c>
      <c r="AG222" s="46">
        <f>DATA!Q223</f>
        <v>0</v>
      </c>
      <c r="AH222" s="46">
        <f>DATA!R223</f>
        <v>0</v>
      </c>
      <c r="AI222" s="46"/>
      <c r="AJ222" s="46"/>
      <c r="AK222" s="46">
        <f>DATA!U223</f>
        <v>0</v>
      </c>
      <c r="AL222" s="46">
        <f>DATA!V223</f>
        <v>0</v>
      </c>
      <c r="AM222" s="46">
        <f>DATA!W223</f>
        <v>0</v>
      </c>
      <c r="AN222" s="47"/>
    </row>
    <row r="223" spans="1:40" s="48" customFormat="1" ht="23.25" hidden="1" customHeight="1" x14ac:dyDescent="0.45">
      <c r="A223" s="46">
        <f>DATA!C224</f>
        <v>0</v>
      </c>
      <c r="B223" s="46">
        <f>DATA!D224</f>
        <v>0</v>
      </c>
      <c r="C223" s="46">
        <f>DATA!F224</f>
        <v>0</v>
      </c>
      <c r="D223" s="46">
        <f>DATA!G224</f>
        <v>0</v>
      </c>
      <c r="E223" s="46">
        <f>DATA!H224</f>
        <v>0</v>
      </c>
      <c r="F223" s="46">
        <f>DATA!I224</f>
        <v>0</v>
      </c>
      <c r="G223" s="46"/>
      <c r="H223" s="46"/>
      <c r="I223" s="45">
        <f>DATA!L224</f>
        <v>0</v>
      </c>
      <c r="J223" s="46"/>
      <c r="K223" s="46">
        <f>DATA!O224</f>
        <v>0</v>
      </c>
      <c r="L223" s="46">
        <f>DATA!Q224</f>
        <v>0</v>
      </c>
      <c r="M223" s="46">
        <f>DATA!R224</f>
        <v>0</v>
      </c>
      <c r="N223" s="46"/>
      <c r="O223" s="46"/>
      <c r="P223" s="46">
        <f>DATA!U224</f>
        <v>0</v>
      </c>
      <c r="Q223" s="46">
        <f>DATA!V224</f>
        <v>0</v>
      </c>
      <c r="R223" s="46">
        <f>DATA!W224</f>
        <v>0</v>
      </c>
      <c r="S223" s="47"/>
      <c r="V223" s="46">
        <f>DATA!C224</f>
        <v>0</v>
      </c>
      <c r="W223" s="46">
        <f>DATA!D224</f>
        <v>0</v>
      </c>
      <c r="X223" s="46">
        <f>DATA!F224</f>
        <v>0</v>
      </c>
      <c r="Y223" s="46">
        <f>DATA!G224</f>
        <v>0</v>
      </c>
      <c r="Z223" s="46">
        <f>DATA!H224</f>
        <v>0</v>
      </c>
      <c r="AA223" s="46">
        <f>DATA!I224</f>
        <v>0</v>
      </c>
      <c r="AB223" s="46"/>
      <c r="AC223" s="46"/>
      <c r="AD223" s="45">
        <f>DATA!L224</f>
        <v>0</v>
      </c>
      <c r="AE223" s="46"/>
      <c r="AF223" s="46">
        <f>DATA!O224</f>
        <v>0</v>
      </c>
      <c r="AG223" s="46">
        <f>DATA!Q224</f>
        <v>0</v>
      </c>
      <c r="AH223" s="46">
        <f>DATA!R224</f>
        <v>0</v>
      </c>
      <c r="AI223" s="46"/>
      <c r="AJ223" s="46"/>
      <c r="AK223" s="46">
        <f>DATA!U224</f>
        <v>0</v>
      </c>
      <c r="AL223" s="46">
        <f>DATA!V224</f>
        <v>0</v>
      </c>
      <c r="AM223" s="46">
        <f>DATA!W224</f>
        <v>0</v>
      </c>
      <c r="AN223" s="47"/>
    </row>
    <row r="224" spans="1:40" s="48" customFormat="1" ht="23.25" hidden="1" customHeight="1" x14ac:dyDescent="0.45">
      <c r="A224" s="46">
        <f>DATA!C225</f>
        <v>0</v>
      </c>
      <c r="B224" s="46">
        <f>DATA!D225</f>
        <v>0</v>
      </c>
      <c r="C224" s="46">
        <f>DATA!F225</f>
        <v>0</v>
      </c>
      <c r="D224" s="46">
        <f>DATA!G225</f>
        <v>0</v>
      </c>
      <c r="E224" s="46">
        <f>DATA!H225</f>
        <v>0</v>
      </c>
      <c r="F224" s="46">
        <f>DATA!I225</f>
        <v>0</v>
      </c>
      <c r="G224" s="46"/>
      <c r="H224" s="46"/>
      <c r="I224" s="45">
        <f>DATA!L225</f>
        <v>0</v>
      </c>
      <c r="J224" s="46"/>
      <c r="K224" s="46">
        <f>DATA!O225</f>
        <v>0</v>
      </c>
      <c r="L224" s="46">
        <f>DATA!Q225</f>
        <v>0</v>
      </c>
      <c r="M224" s="46">
        <f>DATA!R225</f>
        <v>0</v>
      </c>
      <c r="N224" s="46"/>
      <c r="O224" s="46"/>
      <c r="P224" s="46">
        <f>DATA!U225</f>
        <v>0</v>
      </c>
      <c r="Q224" s="46">
        <f>DATA!V225</f>
        <v>0</v>
      </c>
      <c r="R224" s="46">
        <f>DATA!W225</f>
        <v>0</v>
      </c>
      <c r="S224" s="47"/>
      <c r="V224" s="46">
        <f>DATA!C225</f>
        <v>0</v>
      </c>
      <c r="W224" s="46">
        <f>DATA!D225</f>
        <v>0</v>
      </c>
      <c r="X224" s="46">
        <f>DATA!F225</f>
        <v>0</v>
      </c>
      <c r="Y224" s="46">
        <f>DATA!G225</f>
        <v>0</v>
      </c>
      <c r="Z224" s="46">
        <f>DATA!H225</f>
        <v>0</v>
      </c>
      <c r="AA224" s="46">
        <f>DATA!I225</f>
        <v>0</v>
      </c>
      <c r="AB224" s="46"/>
      <c r="AC224" s="46"/>
      <c r="AD224" s="45">
        <f>DATA!L225</f>
        <v>0</v>
      </c>
      <c r="AE224" s="46"/>
      <c r="AF224" s="46">
        <f>DATA!O225</f>
        <v>0</v>
      </c>
      <c r="AG224" s="46">
        <f>DATA!Q225</f>
        <v>0</v>
      </c>
      <c r="AH224" s="46">
        <f>DATA!R225</f>
        <v>0</v>
      </c>
      <c r="AI224" s="46"/>
      <c r="AJ224" s="46"/>
      <c r="AK224" s="46">
        <f>DATA!U225</f>
        <v>0</v>
      </c>
      <c r="AL224" s="46">
        <f>DATA!V225</f>
        <v>0</v>
      </c>
      <c r="AM224" s="46">
        <f>DATA!W225</f>
        <v>0</v>
      </c>
      <c r="AN224" s="47"/>
    </row>
    <row r="225" spans="1:40" s="48" customFormat="1" ht="23.25" hidden="1" customHeight="1" x14ac:dyDescent="0.45">
      <c r="A225" s="46">
        <f>DATA!C226</f>
        <v>0</v>
      </c>
      <c r="B225" s="46">
        <f>DATA!D226</f>
        <v>0</v>
      </c>
      <c r="C225" s="46">
        <f>DATA!F226</f>
        <v>0</v>
      </c>
      <c r="D225" s="46">
        <f>DATA!G226</f>
        <v>0</v>
      </c>
      <c r="E225" s="46">
        <f>DATA!H226</f>
        <v>0</v>
      </c>
      <c r="F225" s="46">
        <f>DATA!I226</f>
        <v>0</v>
      </c>
      <c r="G225" s="46"/>
      <c r="H225" s="46"/>
      <c r="I225" s="45">
        <f>DATA!L226</f>
        <v>0</v>
      </c>
      <c r="J225" s="46"/>
      <c r="K225" s="46">
        <f>DATA!O226</f>
        <v>0</v>
      </c>
      <c r="L225" s="46">
        <f>DATA!Q226</f>
        <v>0</v>
      </c>
      <c r="M225" s="46">
        <f>DATA!R226</f>
        <v>0</v>
      </c>
      <c r="N225" s="46"/>
      <c r="O225" s="46"/>
      <c r="P225" s="46">
        <f>DATA!U226</f>
        <v>0</v>
      </c>
      <c r="Q225" s="46">
        <f>DATA!V226</f>
        <v>0</v>
      </c>
      <c r="R225" s="46">
        <f>DATA!W226</f>
        <v>0</v>
      </c>
      <c r="S225" s="47"/>
      <c r="V225" s="46">
        <f>DATA!C226</f>
        <v>0</v>
      </c>
      <c r="W225" s="46">
        <f>DATA!D226</f>
        <v>0</v>
      </c>
      <c r="X225" s="46">
        <f>DATA!F226</f>
        <v>0</v>
      </c>
      <c r="Y225" s="46">
        <f>DATA!G226</f>
        <v>0</v>
      </c>
      <c r="Z225" s="46">
        <f>DATA!H226</f>
        <v>0</v>
      </c>
      <c r="AA225" s="46">
        <f>DATA!I226</f>
        <v>0</v>
      </c>
      <c r="AB225" s="46"/>
      <c r="AC225" s="46"/>
      <c r="AD225" s="45">
        <f>DATA!L226</f>
        <v>0</v>
      </c>
      <c r="AE225" s="46"/>
      <c r="AF225" s="46">
        <f>DATA!O226</f>
        <v>0</v>
      </c>
      <c r="AG225" s="46">
        <f>DATA!Q226</f>
        <v>0</v>
      </c>
      <c r="AH225" s="46">
        <f>DATA!R226</f>
        <v>0</v>
      </c>
      <c r="AI225" s="46"/>
      <c r="AJ225" s="46"/>
      <c r="AK225" s="46">
        <f>DATA!U226</f>
        <v>0</v>
      </c>
      <c r="AL225" s="46">
        <f>DATA!V226</f>
        <v>0</v>
      </c>
      <c r="AM225" s="46">
        <f>DATA!W226</f>
        <v>0</v>
      </c>
      <c r="AN225" s="47"/>
    </row>
    <row r="226" spans="1:40" s="48" customFormat="1" ht="23.25" hidden="1" customHeight="1" x14ac:dyDescent="0.45">
      <c r="A226" s="46">
        <f>DATA!C227</f>
        <v>0</v>
      </c>
      <c r="B226" s="46">
        <f>DATA!D227</f>
        <v>0</v>
      </c>
      <c r="C226" s="46">
        <f>DATA!F227</f>
        <v>0</v>
      </c>
      <c r="D226" s="46">
        <f>DATA!G227</f>
        <v>0</v>
      </c>
      <c r="E226" s="46">
        <f>DATA!H227</f>
        <v>0</v>
      </c>
      <c r="F226" s="46">
        <f>DATA!I227</f>
        <v>0</v>
      </c>
      <c r="G226" s="46"/>
      <c r="H226" s="46"/>
      <c r="I226" s="45">
        <f>DATA!L227</f>
        <v>0</v>
      </c>
      <c r="J226" s="46"/>
      <c r="K226" s="46">
        <f>DATA!O227</f>
        <v>0</v>
      </c>
      <c r="L226" s="46">
        <f>DATA!Q227</f>
        <v>0</v>
      </c>
      <c r="M226" s="46">
        <f>DATA!R227</f>
        <v>0</v>
      </c>
      <c r="N226" s="46"/>
      <c r="O226" s="46"/>
      <c r="P226" s="46">
        <f>DATA!U227</f>
        <v>0</v>
      </c>
      <c r="Q226" s="46">
        <f>DATA!V227</f>
        <v>0</v>
      </c>
      <c r="R226" s="46">
        <f>DATA!W227</f>
        <v>0</v>
      </c>
      <c r="S226" s="47"/>
      <c r="V226" s="46">
        <f>DATA!C227</f>
        <v>0</v>
      </c>
      <c r="W226" s="46">
        <f>DATA!D227</f>
        <v>0</v>
      </c>
      <c r="X226" s="46">
        <f>DATA!F227</f>
        <v>0</v>
      </c>
      <c r="Y226" s="46">
        <f>DATA!G227</f>
        <v>0</v>
      </c>
      <c r="Z226" s="46">
        <f>DATA!H227</f>
        <v>0</v>
      </c>
      <c r="AA226" s="46">
        <f>DATA!I227</f>
        <v>0</v>
      </c>
      <c r="AB226" s="46"/>
      <c r="AC226" s="46"/>
      <c r="AD226" s="45">
        <f>DATA!L227</f>
        <v>0</v>
      </c>
      <c r="AE226" s="46"/>
      <c r="AF226" s="46">
        <f>DATA!O227</f>
        <v>0</v>
      </c>
      <c r="AG226" s="46">
        <f>DATA!Q227</f>
        <v>0</v>
      </c>
      <c r="AH226" s="46">
        <f>DATA!R227</f>
        <v>0</v>
      </c>
      <c r="AI226" s="46"/>
      <c r="AJ226" s="46"/>
      <c r="AK226" s="46">
        <f>DATA!U227</f>
        <v>0</v>
      </c>
      <c r="AL226" s="46">
        <f>DATA!V227</f>
        <v>0</v>
      </c>
      <c r="AM226" s="46">
        <f>DATA!W227</f>
        <v>0</v>
      </c>
      <c r="AN226" s="47"/>
    </row>
    <row r="227" spans="1:40" s="48" customFormat="1" ht="23.25" hidden="1" customHeight="1" x14ac:dyDescent="0.45">
      <c r="A227" s="46">
        <f>DATA!C228</f>
        <v>0</v>
      </c>
      <c r="B227" s="46">
        <f>DATA!D228</f>
        <v>0</v>
      </c>
      <c r="C227" s="46">
        <f>DATA!F228</f>
        <v>0</v>
      </c>
      <c r="D227" s="46">
        <f>DATA!G228</f>
        <v>0</v>
      </c>
      <c r="E227" s="46">
        <f>DATA!H228</f>
        <v>0</v>
      </c>
      <c r="F227" s="46">
        <f>DATA!I228</f>
        <v>0</v>
      </c>
      <c r="G227" s="46"/>
      <c r="H227" s="46"/>
      <c r="I227" s="45">
        <f>DATA!L228</f>
        <v>0</v>
      </c>
      <c r="J227" s="46"/>
      <c r="K227" s="46">
        <f>DATA!O228</f>
        <v>0</v>
      </c>
      <c r="L227" s="46">
        <f>DATA!Q228</f>
        <v>0</v>
      </c>
      <c r="M227" s="46">
        <f>DATA!R228</f>
        <v>0</v>
      </c>
      <c r="N227" s="46"/>
      <c r="O227" s="46"/>
      <c r="P227" s="46">
        <f>DATA!U228</f>
        <v>0</v>
      </c>
      <c r="Q227" s="46">
        <f>DATA!V228</f>
        <v>0</v>
      </c>
      <c r="R227" s="46">
        <f>DATA!W228</f>
        <v>0</v>
      </c>
      <c r="S227" s="47"/>
      <c r="V227" s="46">
        <f>DATA!C228</f>
        <v>0</v>
      </c>
      <c r="W227" s="46">
        <f>DATA!D228</f>
        <v>0</v>
      </c>
      <c r="X227" s="46">
        <f>DATA!F228</f>
        <v>0</v>
      </c>
      <c r="Y227" s="46">
        <f>DATA!G228</f>
        <v>0</v>
      </c>
      <c r="Z227" s="46">
        <f>DATA!H228</f>
        <v>0</v>
      </c>
      <c r="AA227" s="46">
        <f>DATA!I228</f>
        <v>0</v>
      </c>
      <c r="AB227" s="46"/>
      <c r="AC227" s="46"/>
      <c r="AD227" s="45">
        <f>DATA!L228</f>
        <v>0</v>
      </c>
      <c r="AE227" s="46"/>
      <c r="AF227" s="46">
        <f>DATA!O228</f>
        <v>0</v>
      </c>
      <c r="AG227" s="46">
        <f>DATA!Q228</f>
        <v>0</v>
      </c>
      <c r="AH227" s="46">
        <f>DATA!R228</f>
        <v>0</v>
      </c>
      <c r="AI227" s="46"/>
      <c r="AJ227" s="46"/>
      <c r="AK227" s="46">
        <f>DATA!U228</f>
        <v>0</v>
      </c>
      <c r="AL227" s="46">
        <f>DATA!V228</f>
        <v>0</v>
      </c>
      <c r="AM227" s="46">
        <f>DATA!W228</f>
        <v>0</v>
      </c>
      <c r="AN227" s="47"/>
    </row>
    <row r="228" spans="1:40" s="48" customFormat="1" ht="23.25" hidden="1" customHeight="1" x14ac:dyDescent="0.45">
      <c r="A228" s="46">
        <f>DATA!C229</f>
        <v>0</v>
      </c>
      <c r="B228" s="46">
        <f>DATA!D229</f>
        <v>0</v>
      </c>
      <c r="C228" s="46">
        <f>DATA!F229</f>
        <v>0</v>
      </c>
      <c r="D228" s="46">
        <f>DATA!G229</f>
        <v>0</v>
      </c>
      <c r="E228" s="46">
        <f>DATA!H229</f>
        <v>0</v>
      </c>
      <c r="F228" s="46">
        <f>DATA!I229</f>
        <v>0</v>
      </c>
      <c r="G228" s="46"/>
      <c r="H228" s="46"/>
      <c r="I228" s="45">
        <f>DATA!L229</f>
        <v>0</v>
      </c>
      <c r="J228" s="46"/>
      <c r="K228" s="46">
        <f>DATA!O229</f>
        <v>0</v>
      </c>
      <c r="L228" s="46">
        <f>DATA!Q229</f>
        <v>0</v>
      </c>
      <c r="M228" s="46">
        <f>DATA!R229</f>
        <v>0</v>
      </c>
      <c r="N228" s="46"/>
      <c r="O228" s="46"/>
      <c r="P228" s="46">
        <f>DATA!U229</f>
        <v>0</v>
      </c>
      <c r="Q228" s="46">
        <f>DATA!V229</f>
        <v>0</v>
      </c>
      <c r="R228" s="46">
        <f>DATA!W229</f>
        <v>0</v>
      </c>
      <c r="S228" s="47"/>
      <c r="V228" s="46">
        <f>DATA!C229</f>
        <v>0</v>
      </c>
      <c r="W228" s="46">
        <f>DATA!D229</f>
        <v>0</v>
      </c>
      <c r="X228" s="46">
        <f>DATA!F229</f>
        <v>0</v>
      </c>
      <c r="Y228" s="46">
        <f>DATA!G229</f>
        <v>0</v>
      </c>
      <c r="Z228" s="46">
        <f>DATA!H229</f>
        <v>0</v>
      </c>
      <c r="AA228" s="46">
        <f>DATA!I229</f>
        <v>0</v>
      </c>
      <c r="AB228" s="46"/>
      <c r="AC228" s="46"/>
      <c r="AD228" s="45">
        <f>DATA!L229</f>
        <v>0</v>
      </c>
      <c r="AE228" s="46"/>
      <c r="AF228" s="46">
        <f>DATA!O229</f>
        <v>0</v>
      </c>
      <c r="AG228" s="46">
        <f>DATA!Q229</f>
        <v>0</v>
      </c>
      <c r="AH228" s="46">
        <f>DATA!R229</f>
        <v>0</v>
      </c>
      <c r="AI228" s="46"/>
      <c r="AJ228" s="46"/>
      <c r="AK228" s="46">
        <f>DATA!U229</f>
        <v>0</v>
      </c>
      <c r="AL228" s="46">
        <f>DATA!V229</f>
        <v>0</v>
      </c>
      <c r="AM228" s="46">
        <f>DATA!W229</f>
        <v>0</v>
      </c>
      <c r="AN228" s="47"/>
    </row>
    <row r="229" spans="1:40" s="48" customFormat="1" ht="23.25" hidden="1" customHeight="1" x14ac:dyDescent="0.45">
      <c r="A229" s="46">
        <f>DATA!C230</f>
        <v>0</v>
      </c>
      <c r="B229" s="46">
        <f>DATA!D230</f>
        <v>0</v>
      </c>
      <c r="C229" s="46">
        <f>DATA!F230</f>
        <v>0</v>
      </c>
      <c r="D229" s="46">
        <f>DATA!G230</f>
        <v>0</v>
      </c>
      <c r="E229" s="46">
        <f>DATA!H230</f>
        <v>0</v>
      </c>
      <c r="F229" s="46">
        <f>DATA!I230</f>
        <v>0</v>
      </c>
      <c r="G229" s="46"/>
      <c r="H229" s="46"/>
      <c r="I229" s="45">
        <f>DATA!L230</f>
        <v>0</v>
      </c>
      <c r="J229" s="46"/>
      <c r="K229" s="46">
        <f>DATA!O230</f>
        <v>0</v>
      </c>
      <c r="L229" s="46">
        <f>DATA!Q230</f>
        <v>0</v>
      </c>
      <c r="M229" s="46">
        <f>DATA!R230</f>
        <v>0</v>
      </c>
      <c r="N229" s="46"/>
      <c r="O229" s="46"/>
      <c r="P229" s="46">
        <f>DATA!U230</f>
        <v>0</v>
      </c>
      <c r="Q229" s="46">
        <f>DATA!V230</f>
        <v>0</v>
      </c>
      <c r="R229" s="46">
        <f>DATA!W230</f>
        <v>0</v>
      </c>
      <c r="S229" s="47"/>
      <c r="V229" s="46">
        <f>DATA!C230</f>
        <v>0</v>
      </c>
      <c r="W229" s="46">
        <f>DATA!D230</f>
        <v>0</v>
      </c>
      <c r="X229" s="46">
        <f>DATA!F230</f>
        <v>0</v>
      </c>
      <c r="Y229" s="46">
        <f>DATA!G230</f>
        <v>0</v>
      </c>
      <c r="Z229" s="46">
        <f>DATA!H230</f>
        <v>0</v>
      </c>
      <c r="AA229" s="46">
        <f>DATA!I230</f>
        <v>0</v>
      </c>
      <c r="AB229" s="46"/>
      <c r="AC229" s="46"/>
      <c r="AD229" s="45">
        <f>DATA!L230</f>
        <v>0</v>
      </c>
      <c r="AE229" s="46"/>
      <c r="AF229" s="46">
        <f>DATA!O230</f>
        <v>0</v>
      </c>
      <c r="AG229" s="46">
        <f>DATA!Q230</f>
        <v>0</v>
      </c>
      <c r="AH229" s="46">
        <f>DATA!R230</f>
        <v>0</v>
      </c>
      <c r="AI229" s="46"/>
      <c r="AJ229" s="46"/>
      <c r="AK229" s="46">
        <f>DATA!U230</f>
        <v>0</v>
      </c>
      <c r="AL229" s="46">
        <f>DATA!V230</f>
        <v>0</v>
      </c>
      <c r="AM229" s="46">
        <f>DATA!W230</f>
        <v>0</v>
      </c>
      <c r="AN229" s="47"/>
    </row>
    <row r="230" spans="1:40" s="48" customFormat="1" ht="23.25" hidden="1" customHeight="1" x14ac:dyDescent="0.45">
      <c r="A230" s="46">
        <f>DATA!C231</f>
        <v>0</v>
      </c>
      <c r="B230" s="46">
        <f>DATA!D231</f>
        <v>0</v>
      </c>
      <c r="C230" s="46">
        <f>DATA!F231</f>
        <v>0</v>
      </c>
      <c r="D230" s="46">
        <f>DATA!G231</f>
        <v>0</v>
      </c>
      <c r="E230" s="46">
        <f>DATA!H231</f>
        <v>0</v>
      </c>
      <c r="F230" s="46">
        <f>DATA!I231</f>
        <v>0</v>
      </c>
      <c r="G230" s="46"/>
      <c r="H230" s="46"/>
      <c r="I230" s="45">
        <f>DATA!L231</f>
        <v>0</v>
      </c>
      <c r="J230" s="46"/>
      <c r="K230" s="46">
        <f>DATA!O231</f>
        <v>0</v>
      </c>
      <c r="L230" s="46">
        <f>DATA!Q231</f>
        <v>0</v>
      </c>
      <c r="M230" s="46">
        <f>DATA!R231</f>
        <v>0</v>
      </c>
      <c r="N230" s="46"/>
      <c r="O230" s="46"/>
      <c r="P230" s="46">
        <f>DATA!U231</f>
        <v>0</v>
      </c>
      <c r="Q230" s="46">
        <f>DATA!V231</f>
        <v>0</v>
      </c>
      <c r="R230" s="46">
        <f>DATA!W231</f>
        <v>0</v>
      </c>
      <c r="S230" s="47"/>
      <c r="V230" s="46">
        <f>DATA!C231</f>
        <v>0</v>
      </c>
      <c r="W230" s="46">
        <f>DATA!D231</f>
        <v>0</v>
      </c>
      <c r="X230" s="46">
        <f>DATA!F231</f>
        <v>0</v>
      </c>
      <c r="Y230" s="46">
        <f>DATA!G231</f>
        <v>0</v>
      </c>
      <c r="Z230" s="46">
        <f>DATA!H231</f>
        <v>0</v>
      </c>
      <c r="AA230" s="46">
        <f>DATA!I231</f>
        <v>0</v>
      </c>
      <c r="AB230" s="46"/>
      <c r="AC230" s="46"/>
      <c r="AD230" s="45">
        <f>DATA!L231</f>
        <v>0</v>
      </c>
      <c r="AE230" s="46"/>
      <c r="AF230" s="46">
        <f>DATA!O231</f>
        <v>0</v>
      </c>
      <c r="AG230" s="46">
        <f>DATA!Q231</f>
        <v>0</v>
      </c>
      <c r="AH230" s="46">
        <f>DATA!R231</f>
        <v>0</v>
      </c>
      <c r="AI230" s="46"/>
      <c r="AJ230" s="46"/>
      <c r="AK230" s="46">
        <f>DATA!U231</f>
        <v>0</v>
      </c>
      <c r="AL230" s="46">
        <f>DATA!V231</f>
        <v>0</v>
      </c>
      <c r="AM230" s="46">
        <f>DATA!W231</f>
        <v>0</v>
      </c>
      <c r="AN230" s="47"/>
    </row>
    <row r="231" spans="1:40" s="48" customFormat="1" ht="23.25" hidden="1" customHeight="1" x14ac:dyDescent="0.45">
      <c r="A231" s="46">
        <f>DATA!C232</f>
        <v>0</v>
      </c>
      <c r="B231" s="46">
        <f>DATA!D232</f>
        <v>0</v>
      </c>
      <c r="C231" s="46">
        <f>DATA!F232</f>
        <v>0</v>
      </c>
      <c r="D231" s="46">
        <f>DATA!G232</f>
        <v>0</v>
      </c>
      <c r="E231" s="46">
        <f>DATA!H232</f>
        <v>0</v>
      </c>
      <c r="F231" s="46">
        <f>DATA!I232</f>
        <v>0</v>
      </c>
      <c r="G231" s="46"/>
      <c r="H231" s="46"/>
      <c r="I231" s="45">
        <f>DATA!L232</f>
        <v>0</v>
      </c>
      <c r="J231" s="46"/>
      <c r="K231" s="46">
        <f>DATA!O232</f>
        <v>0</v>
      </c>
      <c r="L231" s="46">
        <f>DATA!Q232</f>
        <v>0</v>
      </c>
      <c r="M231" s="46">
        <f>DATA!R232</f>
        <v>0</v>
      </c>
      <c r="N231" s="46"/>
      <c r="O231" s="46"/>
      <c r="P231" s="46">
        <f>DATA!U232</f>
        <v>0</v>
      </c>
      <c r="Q231" s="46">
        <f>DATA!V232</f>
        <v>0</v>
      </c>
      <c r="R231" s="46">
        <f>DATA!W232</f>
        <v>0</v>
      </c>
      <c r="S231" s="47"/>
      <c r="V231" s="46">
        <f>DATA!C232</f>
        <v>0</v>
      </c>
      <c r="W231" s="46">
        <f>DATA!D232</f>
        <v>0</v>
      </c>
      <c r="X231" s="46">
        <f>DATA!F232</f>
        <v>0</v>
      </c>
      <c r="Y231" s="46">
        <f>DATA!G232</f>
        <v>0</v>
      </c>
      <c r="Z231" s="46">
        <f>DATA!H232</f>
        <v>0</v>
      </c>
      <c r="AA231" s="46">
        <f>DATA!I232</f>
        <v>0</v>
      </c>
      <c r="AB231" s="46"/>
      <c r="AC231" s="46"/>
      <c r="AD231" s="45">
        <f>DATA!L232</f>
        <v>0</v>
      </c>
      <c r="AE231" s="46"/>
      <c r="AF231" s="46">
        <f>DATA!O232</f>
        <v>0</v>
      </c>
      <c r="AG231" s="46">
        <f>DATA!Q232</f>
        <v>0</v>
      </c>
      <c r="AH231" s="46">
        <f>DATA!R232</f>
        <v>0</v>
      </c>
      <c r="AI231" s="46"/>
      <c r="AJ231" s="46"/>
      <c r="AK231" s="46">
        <f>DATA!U232</f>
        <v>0</v>
      </c>
      <c r="AL231" s="46">
        <f>DATA!V232</f>
        <v>0</v>
      </c>
      <c r="AM231" s="46">
        <f>DATA!W232</f>
        <v>0</v>
      </c>
      <c r="AN231" s="47"/>
    </row>
    <row r="232" spans="1:40" s="48" customFormat="1" ht="23.25" hidden="1" customHeight="1" x14ac:dyDescent="0.45">
      <c r="A232" s="46">
        <f>DATA!C233</f>
        <v>0</v>
      </c>
      <c r="B232" s="46">
        <f>DATA!D233</f>
        <v>0</v>
      </c>
      <c r="C232" s="46">
        <f>DATA!F233</f>
        <v>0</v>
      </c>
      <c r="D232" s="46">
        <f>DATA!G233</f>
        <v>0</v>
      </c>
      <c r="E232" s="46">
        <f>DATA!H233</f>
        <v>0</v>
      </c>
      <c r="F232" s="46">
        <f>DATA!I233</f>
        <v>0</v>
      </c>
      <c r="G232" s="46"/>
      <c r="H232" s="46"/>
      <c r="I232" s="45">
        <f>DATA!L233</f>
        <v>0</v>
      </c>
      <c r="J232" s="46"/>
      <c r="K232" s="46">
        <f>DATA!O233</f>
        <v>0</v>
      </c>
      <c r="L232" s="46">
        <f>DATA!Q233</f>
        <v>0</v>
      </c>
      <c r="M232" s="46">
        <f>DATA!R233</f>
        <v>0</v>
      </c>
      <c r="N232" s="46"/>
      <c r="O232" s="46"/>
      <c r="P232" s="46">
        <f>DATA!U233</f>
        <v>0</v>
      </c>
      <c r="Q232" s="46">
        <f>DATA!V233</f>
        <v>0</v>
      </c>
      <c r="R232" s="46">
        <f>DATA!W233</f>
        <v>0</v>
      </c>
      <c r="S232" s="47"/>
      <c r="V232" s="46">
        <f>DATA!C233</f>
        <v>0</v>
      </c>
      <c r="W232" s="46">
        <f>DATA!D233</f>
        <v>0</v>
      </c>
      <c r="X232" s="46">
        <f>DATA!F233</f>
        <v>0</v>
      </c>
      <c r="Y232" s="46">
        <f>DATA!G233</f>
        <v>0</v>
      </c>
      <c r="Z232" s="46">
        <f>DATA!H233</f>
        <v>0</v>
      </c>
      <c r="AA232" s="46">
        <f>DATA!I233</f>
        <v>0</v>
      </c>
      <c r="AB232" s="46"/>
      <c r="AC232" s="46"/>
      <c r="AD232" s="45">
        <f>DATA!L233</f>
        <v>0</v>
      </c>
      <c r="AE232" s="46"/>
      <c r="AF232" s="46">
        <f>DATA!O233</f>
        <v>0</v>
      </c>
      <c r="AG232" s="46">
        <f>DATA!Q233</f>
        <v>0</v>
      </c>
      <c r="AH232" s="46">
        <f>DATA!R233</f>
        <v>0</v>
      </c>
      <c r="AI232" s="46"/>
      <c r="AJ232" s="46"/>
      <c r="AK232" s="46">
        <f>DATA!U233</f>
        <v>0</v>
      </c>
      <c r="AL232" s="46">
        <f>DATA!V233</f>
        <v>0</v>
      </c>
      <c r="AM232" s="46">
        <f>DATA!W233</f>
        <v>0</v>
      </c>
      <c r="AN232" s="47"/>
    </row>
    <row r="233" spans="1:40" s="48" customFormat="1" ht="23.25" hidden="1" customHeight="1" x14ac:dyDescent="0.45">
      <c r="A233" s="46">
        <f>DATA!C234</f>
        <v>0</v>
      </c>
      <c r="B233" s="46">
        <f>DATA!D234</f>
        <v>0</v>
      </c>
      <c r="C233" s="46">
        <f>DATA!F234</f>
        <v>0</v>
      </c>
      <c r="D233" s="46">
        <f>DATA!G234</f>
        <v>0</v>
      </c>
      <c r="E233" s="46">
        <f>DATA!H234</f>
        <v>0</v>
      </c>
      <c r="F233" s="46">
        <f>DATA!I234</f>
        <v>0</v>
      </c>
      <c r="G233" s="46"/>
      <c r="H233" s="46"/>
      <c r="I233" s="45">
        <f>DATA!L234</f>
        <v>0</v>
      </c>
      <c r="J233" s="46"/>
      <c r="K233" s="46">
        <f>DATA!O234</f>
        <v>0</v>
      </c>
      <c r="L233" s="46">
        <f>DATA!Q234</f>
        <v>0</v>
      </c>
      <c r="M233" s="46">
        <f>DATA!R234</f>
        <v>0</v>
      </c>
      <c r="N233" s="46"/>
      <c r="O233" s="46"/>
      <c r="P233" s="46">
        <f>DATA!U234</f>
        <v>0</v>
      </c>
      <c r="Q233" s="46">
        <f>DATA!V234</f>
        <v>0</v>
      </c>
      <c r="R233" s="46">
        <f>DATA!W234</f>
        <v>0</v>
      </c>
      <c r="S233" s="47"/>
      <c r="V233" s="46">
        <f>DATA!C234</f>
        <v>0</v>
      </c>
      <c r="W233" s="46">
        <f>DATA!D234</f>
        <v>0</v>
      </c>
      <c r="X233" s="46">
        <f>DATA!F234</f>
        <v>0</v>
      </c>
      <c r="Y233" s="46">
        <f>DATA!G234</f>
        <v>0</v>
      </c>
      <c r="Z233" s="46">
        <f>DATA!H234</f>
        <v>0</v>
      </c>
      <c r="AA233" s="46">
        <f>DATA!I234</f>
        <v>0</v>
      </c>
      <c r="AB233" s="46"/>
      <c r="AC233" s="46"/>
      <c r="AD233" s="45">
        <f>DATA!L234</f>
        <v>0</v>
      </c>
      <c r="AE233" s="46"/>
      <c r="AF233" s="46">
        <f>DATA!O234</f>
        <v>0</v>
      </c>
      <c r="AG233" s="46">
        <f>DATA!Q234</f>
        <v>0</v>
      </c>
      <c r="AH233" s="46">
        <f>DATA!R234</f>
        <v>0</v>
      </c>
      <c r="AI233" s="46"/>
      <c r="AJ233" s="46"/>
      <c r="AK233" s="46">
        <f>DATA!U234</f>
        <v>0</v>
      </c>
      <c r="AL233" s="46">
        <f>DATA!V234</f>
        <v>0</v>
      </c>
      <c r="AM233" s="46">
        <f>DATA!W234</f>
        <v>0</v>
      </c>
      <c r="AN233" s="47"/>
    </row>
    <row r="234" spans="1:40" s="48" customFormat="1" ht="23.25" hidden="1" customHeight="1" x14ac:dyDescent="0.45">
      <c r="A234" s="46">
        <f>DATA!C235</f>
        <v>0</v>
      </c>
      <c r="B234" s="46">
        <f>DATA!D235</f>
        <v>0</v>
      </c>
      <c r="C234" s="46">
        <f>DATA!F235</f>
        <v>0</v>
      </c>
      <c r="D234" s="46">
        <f>DATA!G235</f>
        <v>0</v>
      </c>
      <c r="E234" s="46">
        <f>DATA!H235</f>
        <v>0</v>
      </c>
      <c r="F234" s="46">
        <f>DATA!I235</f>
        <v>0</v>
      </c>
      <c r="G234" s="46"/>
      <c r="H234" s="46"/>
      <c r="I234" s="45">
        <f>DATA!L235</f>
        <v>0</v>
      </c>
      <c r="J234" s="46"/>
      <c r="K234" s="46">
        <f>DATA!O235</f>
        <v>0</v>
      </c>
      <c r="L234" s="46">
        <f>DATA!Q235</f>
        <v>0</v>
      </c>
      <c r="M234" s="46">
        <f>DATA!R235</f>
        <v>0</v>
      </c>
      <c r="N234" s="46"/>
      <c r="O234" s="46"/>
      <c r="P234" s="46">
        <f>DATA!U235</f>
        <v>0</v>
      </c>
      <c r="Q234" s="46">
        <f>DATA!V235</f>
        <v>0</v>
      </c>
      <c r="R234" s="46">
        <f>DATA!W235</f>
        <v>0</v>
      </c>
      <c r="S234" s="47"/>
      <c r="V234" s="46">
        <f>DATA!C235</f>
        <v>0</v>
      </c>
      <c r="W234" s="46">
        <f>DATA!D235</f>
        <v>0</v>
      </c>
      <c r="X234" s="46">
        <f>DATA!F235</f>
        <v>0</v>
      </c>
      <c r="Y234" s="46">
        <f>DATA!G235</f>
        <v>0</v>
      </c>
      <c r="Z234" s="46">
        <f>DATA!H235</f>
        <v>0</v>
      </c>
      <c r="AA234" s="46">
        <f>DATA!I235</f>
        <v>0</v>
      </c>
      <c r="AB234" s="46"/>
      <c r="AC234" s="46"/>
      <c r="AD234" s="45">
        <f>DATA!L235</f>
        <v>0</v>
      </c>
      <c r="AE234" s="46"/>
      <c r="AF234" s="46">
        <f>DATA!O235</f>
        <v>0</v>
      </c>
      <c r="AG234" s="46">
        <f>DATA!Q235</f>
        <v>0</v>
      </c>
      <c r="AH234" s="46">
        <f>DATA!R235</f>
        <v>0</v>
      </c>
      <c r="AI234" s="46"/>
      <c r="AJ234" s="46"/>
      <c r="AK234" s="46">
        <f>DATA!U235</f>
        <v>0</v>
      </c>
      <c r="AL234" s="46">
        <f>DATA!V235</f>
        <v>0</v>
      </c>
      <c r="AM234" s="46">
        <f>DATA!W235</f>
        <v>0</v>
      </c>
      <c r="AN234" s="47"/>
    </row>
    <row r="235" spans="1:40" s="48" customFormat="1" ht="23.25" hidden="1" customHeight="1" x14ac:dyDescent="0.45">
      <c r="A235" s="46">
        <f>DATA!C236</f>
        <v>0</v>
      </c>
      <c r="B235" s="46">
        <f>DATA!D236</f>
        <v>0</v>
      </c>
      <c r="C235" s="46">
        <f>DATA!F236</f>
        <v>0</v>
      </c>
      <c r="D235" s="46">
        <f>DATA!G236</f>
        <v>0</v>
      </c>
      <c r="E235" s="46">
        <f>DATA!H236</f>
        <v>0</v>
      </c>
      <c r="F235" s="46">
        <f>DATA!I236</f>
        <v>0</v>
      </c>
      <c r="G235" s="46"/>
      <c r="H235" s="46"/>
      <c r="I235" s="45">
        <f>DATA!L236</f>
        <v>0</v>
      </c>
      <c r="J235" s="46"/>
      <c r="K235" s="46">
        <f>DATA!O236</f>
        <v>0</v>
      </c>
      <c r="L235" s="46">
        <f>DATA!Q236</f>
        <v>0</v>
      </c>
      <c r="M235" s="46">
        <f>DATA!R236</f>
        <v>0</v>
      </c>
      <c r="N235" s="46"/>
      <c r="O235" s="46"/>
      <c r="P235" s="46">
        <f>DATA!U236</f>
        <v>0</v>
      </c>
      <c r="Q235" s="46">
        <f>DATA!V236</f>
        <v>0</v>
      </c>
      <c r="R235" s="46">
        <f>DATA!W236</f>
        <v>0</v>
      </c>
      <c r="S235" s="47"/>
      <c r="V235" s="46">
        <f>DATA!C236</f>
        <v>0</v>
      </c>
      <c r="W235" s="46">
        <f>DATA!D236</f>
        <v>0</v>
      </c>
      <c r="X235" s="46">
        <f>DATA!F236</f>
        <v>0</v>
      </c>
      <c r="Y235" s="46">
        <f>DATA!G236</f>
        <v>0</v>
      </c>
      <c r="Z235" s="46">
        <f>DATA!H236</f>
        <v>0</v>
      </c>
      <c r="AA235" s="46">
        <f>DATA!I236</f>
        <v>0</v>
      </c>
      <c r="AB235" s="46"/>
      <c r="AC235" s="46"/>
      <c r="AD235" s="45">
        <f>DATA!L236</f>
        <v>0</v>
      </c>
      <c r="AE235" s="46"/>
      <c r="AF235" s="46">
        <f>DATA!O236</f>
        <v>0</v>
      </c>
      <c r="AG235" s="46">
        <f>DATA!Q236</f>
        <v>0</v>
      </c>
      <c r="AH235" s="46">
        <f>DATA!R236</f>
        <v>0</v>
      </c>
      <c r="AI235" s="46"/>
      <c r="AJ235" s="46"/>
      <c r="AK235" s="46">
        <f>DATA!U236</f>
        <v>0</v>
      </c>
      <c r="AL235" s="46">
        <f>DATA!V236</f>
        <v>0</v>
      </c>
      <c r="AM235" s="46">
        <f>DATA!W236</f>
        <v>0</v>
      </c>
      <c r="AN235" s="47"/>
    </row>
    <row r="236" spans="1:40" s="48" customFormat="1" ht="23.25" hidden="1" customHeight="1" x14ac:dyDescent="0.45">
      <c r="A236" s="46">
        <f>DATA!C237</f>
        <v>0</v>
      </c>
      <c r="B236" s="46">
        <f>DATA!D237</f>
        <v>0</v>
      </c>
      <c r="C236" s="46">
        <f>DATA!F237</f>
        <v>0</v>
      </c>
      <c r="D236" s="46">
        <f>DATA!G237</f>
        <v>0</v>
      </c>
      <c r="E236" s="46">
        <f>DATA!H237</f>
        <v>0</v>
      </c>
      <c r="F236" s="46">
        <f>DATA!I237</f>
        <v>0</v>
      </c>
      <c r="G236" s="46"/>
      <c r="H236" s="46"/>
      <c r="I236" s="45">
        <f>DATA!L237</f>
        <v>0</v>
      </c>
      <c r="J236" s="46"/>
      <c r="K236" s="46">
        <f>DATA!O237</f>
        <v>0</v>
      </c>
      <c r="L236" s="46">
        <f>DATA!Q237</f>
        <v>0</v>
      </c>
      <c r="M236" s="46">
        <f>DATA!R237</f>
        <v>0</v>
      </c>
      <c r="N236" s="46"/>
      <c r="O236" s="46"/>
      <c r="P236" s="46">
        <f>DATA!U237</f>
        <v>0</v>
      </c>
      <c r="Q236" s="46">
        <f>DATA!V237</f>
        <v>0</v>
      </c>
      <c r="R236" s="46">
        <f>DATA!W237</f>
        <v>0</v>
      </c>
      <c r="S236" s="47"/>
      <c r="V236" s="46">
        <f>DATA!C237</f>
        <v>0</v>
      </c>
      <c r="W236" s="46">
        <f>DATA!D237</f>
        <v>0</v>
      </c>
      <c r="X236" s="46">
        <f>DATA!F237</f>
        <v>0</v>
      </c>
      <c r="Y236" s="46">
        <f>DATA!G237</f>
        <v>0</v>
      </c>
      <c r="Z236" s="46">
        <f>DATA!H237</f>
        <v>0</v>
      </c>
      <c r="AA236" s="46">
        <f>DATA!I237</f>
        <v>0</v>
      </c>
      <c r="AB236" s="46"/>
      <c r="AC236" s="46"/>
      <c r="AD236" s="45">
        <f>DATA!L237</f>
        <v>0</v>
      </c>
      <c r="AE236" s="46"/>
      <c r="AF236" s="46">
        <f>DATA!O237</f>
        <v>0</v>
      </c>
      <c r="AG236" s="46">
        <f>DATA!Q237</f>
        <v>0</v>
      </c>
      <c r="AH236" s="46">
        <f>DATA!R237</f>
        <v>0</v>
      </c>
      <c r="AI236" s="46"/>
      <c r="AJ236" s="46"/>
      <c r="AK236" s="46">
        <f>DATA!U237</f>
        <v>0</v>
      </c>
      <c r="AL236" s="46">
        <f>DATA!V237</f>
        <v>0</v>
      </c>
      <c r="AM236" s="46">
        <f>DATA!W237</f>
        <v>0</v>
      </c>
      <c r="AN236" s="47"/>
    </row>
    <row r="237" spans="1:40" s="48" customFormat="1" ht="23.25" hidden="1" customHeight="1" x14ac:dyDescent="0.45">
      <c r="A237" s="46">
        <f>DATA!C238</f>
        <v>0</v>
      </c>
      <c r="B237" s="46">
        <f>DATA!D238</f>
        <v>0</v>
      </c>
      <c r="C237" s="46">
        <f>DATA!F238</f>
        <v>0</v>
      </c>
      <c r="D237" s="46">
        <f>DATA!G238</f>
        <v>0</v>
      </c>
      <c r="E237" s="46">
        <f>DATA!H238</f>
        <v>0</v>
      </c>
      <c r="F237" s="46">
        <f>DATA!I238</f>
        <v>0</v>
      </c>
      <c r="G237" s="46"/>
      <c r="H237" s="46"/>
      <c r="I237" s="45">
        <f>DATA!L238</f>
        <v>0</v>
      </c>
      <c r="J237" s="46"/>
      <c r="K237" s="46">
        <f>DATA!O238</f>
        <v>0</v>
      </c>
      <c r="L237" s="46">
        <f>DATA!Q238</f>
        <v>0</v>
      </c>
      <c r="M237" s="46">
        <f>DATA!R238</f>
        <v>0</v>
      </c>
      <c r="N237" s="46"/>
      <c r="O237" s="46"/>
      <c r="P237" s="46">
        <f>DATA!U238</f>
        <v>0</v>
      </c>
      <c r="Q237" s="46">
        <f>DATA!V238</f>
        <v>0</v>
      </c>
      <c r="R237" s="46">
        <f>DATA!W238</f>
        <v>0</v>
      </c>
      <c r="S237" s="47"/>
      <c r="V237" s="46">
        <f>DATA!C238</f>
        <v>0</v>
      </c>
      <c r="W237" s="46">
        <f>DATA!D238</f>
        <v>0</v>
      </c>
      <c r="X237" s="46">
        <f>DATA!F238</f>
        <v>0</v>
      </c>
      <c r="Y237" s="46">
        <f>DATA!G238</f>
        <v>0</v>
      </c>
      <c r="Z237" s="46">
        <f>DATA!H238</f>
        <v>0</v>
      </c>
      <c r="AA237" s="46">
        <f>DATA!I238</f>
        <v>0</v>
      </c>
      <c r="AB237" s="46"/>
      <c r="AC237" s="46"/>
      <c r="AD237" s="45">
        <f>DATA!L238</f>
        <v>0</v>
      </c>
      <c r="AE237" s="46"/>
      <c r="AF237" s="46">
        <f>DATA!O238</f>
        <v>0</v>
      </c>
      <c r="AG237" s="46">
        <f>DATA!Q238</f>
        <v>0</v>
      </c>
      <c r="AH237" s="46">
        <f>DATA!R238</f>
        <v>0</v>
      </c>
      <c r="AI237" s="46"/>
      <c r="AJ237" s="46"/>
      <c r="AK237" s="46">
        <f>DATA!U238</f>
        <v>0</v>
      </c>
      <c r="AL237" s="46">
        <f>DATA!V238</f>
        <v>0</v>
      </c>
      <c r="AM237" s="46">
        <f>DATA!W238</f>
        <v>0</v>
      </c>
      <c r="AN237" s="47"/>
    </row>
    <row r="238" spans="1:40" s="48" customFormat="1" ht="23.25" hidden="1" customHeight="1" x14ac:dyDescent="0.45">
      <c r="A238" s="46">
        <f>DATA!C239</f>
        <v>0</v>
      </c>
      <c r="B238" s="46">
        <f>DATA!D239</f>
        <v>0</v>
      </c>
      <c r="C238" s="46">
        <f>DATA!F239</f>
        <v>0</v>
      </c>
      <c r="D238" s="46">
        <f>DATA!G239</f>
        <v>0</v>
      </c>
      <c r="E238" s="46">
        <f>DATA!H239</f>
        <v>0</v>
      </c>
      <c r="F238" s="46">
        <f>DATA!I239</f>
        <v>0</v>
      </c>
      <c r="G238" s="46"/>
      <c r="H238" s="46"/>
      <c r="I238" s="45">
        <f>DATA!L239</f>
        <v>0</v>
      </c>
      <c r="J238" s="46"/>
      <c r="K238" s="46">
        <f>DATA!O239</f>
        <v>0</v>
      </c>
      <c r="L238" s="46">
        <f>DATA!Q239</f>
        <v>0</v>
      </c>
      <c r="M238" s="46">
        <f>DATA!R239</f>
        <v>0</v>
      </c>
      <c r="N238" s="46"/>
      <c r="O238" s="46"/>
      <c r="P238" s="46">
        <f>DATA!U239</f>
        <v>0</v>
      </c>
      <c r="Q238" s="46">
        <f>DATA!V239</f>
        <v>0</v>
      </c>
      <c r="R238" s="46">
        <f>DATA!W239</f>
        <v>0</v>
      </c>
      <c r="S238" s="47"/>
      <c r="V238" s="46">
        <f>DATA!C239</f>
        <v>0</v>
      </c>
      <c r="W238" s="46">
        <f>DATA!D239</f>
        <v>0</v>
      </c>
      <c r="X238" s="46">
        <f>DATA!F239</f>
        <v>0</v>
      </c>
      <c r="Y238" s="46">
        <f>DATA!G239</f>
        <v>0</v>
      </c>
      <c r="Z238" s="46">
        <f>DATA!H239</f>
        <v>0</v>
      </c>
      <c r="AA238" s="46">
        <f>DATA!I239</f>
        <v>0</v>
      </c>
      <c r="AB238" s="46"/>
      <c r="AC238" s="46"/>
      <c r="AD238" s="45">
        <f>DATA!L239</f>
        <v>0</v>
      </c>
      <c r="AE238" s="46"/>
      <c r="AF238" s="46">
        <f>DATA!O239</f>
        <v>0</v>
      </c>
      <c r="AG238" s="46">
        <f>DATA!Q239</f>
        <v>0</v>
      </c>
      <c r="AH238" s="46">
        <f>DATA!R239</f>
        <v>0</v>
      </c>
      <c r="AI238" s="46"/>
      <c r="AJ238" s="46"/>
      <c r="AK238" s="46">
        <f>DATA!U239</f>
        <v>0</v>
      </c>
      <c r="AL238" s="46">
        <f>DATA!V239</f>
        <v>0</v>
      </c>
      <c r="AM238" s="46">
        <f>DATA!W239</f>
        <v>0</v>
      </c>
      <c r="AN238" s="47"/>
    </row>
    <row r="239" spans="1:40" s="48" customFormat="1" ht="23.25" hidden="1" customHeight="1" x14ac:dyDescent="0.45">
      <c r="A239" s="46">
        <f>DATA!C240</f>
        <v>0</v>
      </c>
      <c r="B239" s="46">
        <f>DATA!D240</f>
        <v>0</v>
      </c>
      <c r="C239" s="46">
        <f>DATA!F240</f>
        <v>0</v>
      </c>
      <c r="D239" s="46">
        <f>DATA!G240</f>
        <v>0</v>
      </c>
      <c r="E239" s="46">
        <f>DATA!H240</f>
        <v>0</v>
      </c>
      <c r="F239" s="46">
        <f>DATA!I240</f>
        <v>0</v>
      </c>
      <c r="G239" s="46"/>
      <c r="H239" s="46"/>
      <c r="I239" s="45">
        <f>DATA!L240</f>
        <v>0</v>
      </c>
      <c r="J239" s="46"/>
      <c r="K239" s="46">
        <f>DATA!O240</f>
        <v>0</v>
      </c>
      <c r="L239" s="46">
        <f>DATA!Q240</f>
        <v>0</v>
      </c>
      <c r="M239" s="46">
        <f>DATA!R240</f>
        <v>0</v>
      </c>
      <c r="N239" s="46"/>
      <c r="O239" s="46"/>
      <c r="P239" s="46">
        <f>DATA!U240</f>
        <v>0</v>
      </c>
      <c r="Q239" s="46">
        <f>DATA!V240</f>
        <v>0</v>
      </c>
      <c r="R239" s="46">
        <f>DATA!W240</f>
        <v>0</v>
      </c>
      <c r="S239" s="47"/>
      <c r="V239" s="46">
        <f>DATA!C240</f>
        <v>0</v>
      </c>
      <c r="W239" s="46">
        <f>DATA!D240</f>
        <v>0</v>
      </c>
      <c r="X239" s="46">
        <f>DATA!F240</f>
        <v>0</v>
      </c>
      <c r="Y239" s="46">
        <f>DATA!G240</f>
        <v>0</v>
      </c>
      <c r="Z239" s="46">
        <f>DATA!H240</f>
        <v>0</v>
      </c>
      <c r="AA239" s="46">
        <f>DATA!I240</f>
        <v>0</v>
      </c>
      <c r="AB239" s="46"/>
      <c r="AC239" s="46"/>
      <c r="AD239" s="45">
        <f>DATA!L240</f>
        <v>0</v>
      </c>
      <c r="AE239" s="46"/>
      <c r="AF239" s="46">
        <f>DATA!O240</f>
        <v>0</v>
      </c>
      <c r="AG239" s="46">
        <f>DATA!Q240</f>
        <v>0</v>
      </c>
      <c r="AH239" s="46">
        <f>DATA!R240</f>
        <v>0</v>
      </c>
      <c r="AI239" s="46"/>
      <c r="AJ239" s="46"/>
      <c r="AK239" s="46">
        <f>DATA!U240</f>
        <v>0</v>
      </c>
      <c r="AL239" s="46">
        <f>DATA!V240</f>
        <v>0</v>
      </c>
      <c r="AM239" s="46">
        <f>DATA!W240</f>
        <v>0</v>
      </c>
      <c r="AN239" s="47"/>
    </row>
    <row r="240" spans="1:40" s="48" customFormat="1" ht="23.25" hidden="1" customHeight="1" x14ac:dyDescent="0.45">
      <c r="A240" s="46">
        <f>DATA!C241</f>
        <v>0</v>
      </c>
      <c r="B240" s="46">
        <f>DATA!D241</f>
        <v>0</v>
      </c>
      <c r="C240" s="46">
        <f>DATA!F241</f>
        <v>0</v>
      </c>
      <c r="D240" s="46">
        <f>DATA!G241</f>
        <v>0</v>
      </c>
      <c r="E240" s="46">
        <f>DATA!H241</f>
        <v>0</v>
      </c>
      <c r="F240" s="46">
        <f>DATA!I241</f>
        <v>0</v>
      </c>
      <c r="G240" s="46"/>
      <c r="H240" s="46"/>
      <c r="I240" s="45">
        <f>DATA!L241</f>
        <v>0</v>
      </c>
      <c r="J240" s="46"/>
      <c r="K240" s="46">
        <f>DATA!O241</f>
        <v>0</v>
      </c>
      <c r="L240" s="46">
        <f>DATA!Q241</f>
        <v>0</v>
      </c>
      <c r="M240" s="46">
        <f>DATA!R241</f>
        <v>0</v>
      </c>
      <c r="N240" s="46"/>
      <c r="O240" s="46"/>
      <c r="P240" s="46">
        <f>DATA!U241</f>
        <v>0</v>
      </c>
      <c r="Q240" s="46">
        <f>DATA!V241</f>
        <v>0</v>
      </c>
      <c r="R240" s="46">
        <f>DATA!W241</f>
        <v>0</v>
      </c>
      <c r="S240" s="47"/>
      <c r="V240" s="46">
        <f>DATA!C241</f>
        <v>0</v>
      </c>
      <c r="W240" s="46">
        <f>DATA!D241</f>
        <v>0</v>
      </c>
      <c r="X240" s="46">
        <f>DATA!F241</f>
        <v>0</v>
      </c>
      <c r="Y240" s="46">
        <f>DATA!G241</f>
        <v>0</v>
      </c>
      <c r="Z240" s="46">
        <f>DATA!H241</f>
        <v>0</v>
      </c>
      <c r="AA240" s="46">
        <f>DATA!I241</f>
        <v>0</v>
      </c>
      <c r="AB240" s="46"/>
      <c r="AC240" s="46"/>
      <c r="AD240" s="45">
        <f>DATA!L241</f>
        <v>0</v>
      </c>
      <c r="AE240" s="46"/>
      <c r="AF240" s="46">
        <f>DATA!O241</f>
        <v>0</v>
      </c>
      <c r="AG240" s="46">
        <f>DATA!Q241</f>
        <v>0</v>
      </c>
      <c r="AH240" s="46">
        <f>DATA!R241</f>
        <v>0</v>
      </c>
      <c r="AI240" s="46"/>
      <c r="AJ240" s="46"/>
      <c r="AK240" s="46">
        <f>DATA!U241</f>
        <v>0</v>
      </c>
      <c r="AL240" s="46">
        <f>DATA!V241</f>
        <v>0</v>
      </c>
      <c r="AM240" s="46">
        <f>DATA!W241</f>
        <v>0</v>
      </c>
      <c r="AN240" s="47"/>
    </row>
    <row r="241" spans="1:40" s="48" customFormat="1" ht="23.25" hidden="1" customHeight="1" x14ac:dyDescent="0.45">
      <c r="A241" s="46">
        <f>DATA!C242</f>
        <v>0</v>
      </c>
      <c r="B241" s="46">
        <f>DATA!D242</f>
        <v>0</v>
      </c>
      <c r="C241" s="46">
        <f>DATA!F242</f>
        <v>0</v>
      </c>
      <c r="D241" s="46">
        <f>DATA!G242</f>
        <v>0</v>
      </c>
      <c r="E241" s="46">
        <f>DATA!H242</f>
        <v>0</v>
      </c>
      <c r="F241" s="46">
        <f>DATA!I242</f>
        <v>0</v>
      </c>
      <c r="G241" s="46"/>
      <c r="H241" s="46"/>
      <c r="I241" s="45">
        <f>DATA!L242</f>
        <v>0</v>
      </c>
      <c r="J241" s="46"/>
      <c r="K241" s="46">
        <f>DATA!O242</f>
        <v>0</v>
      </c>
      <c r="L241" s="46">
        <f>DATA!Q242</f>
        <v>0</v>
      </c>
      <c r="M241" s="46">
        <f>DATA!R242</f>
        <v>0</v>
      </c>
      <c r="N241" s="46"/>
      <c r="O241" s="46"/>
      <c r="P241" s="46">
        <f>DATA!U242</f>
        <v>0</v>
      </c>
      <c r="Q241" s="46">
        <f>DATA!V242</f>
        <v>0</v>
      </c>
      <c r="R241" s="46">
        <f>DATA!W242</f>
        <v>0</v>
      </c>
      <c r="S241" s="47"/>
      <c r="V241" s="46">
        <f>DATA!C242</f>
        <v>0</v>
      </c>
      <c r="W241" s="46">
        <f>DATA!D242</f>
        <v>0</v>
      </c>
      <c r="X241" s="46">
        <f>DATA!F242</f>
        <v>0</v>
      </c>
      <c r="Y241" s="46">
        <f>DATA!G242</f>
        <v>0</v>
      </c>
      <c r="Z241" s="46">
        <f>DATA!H242</f>
        <v>0</v>
      </c>
      <c r="AA241" s="46">
        <f>DATA!I242</f>
        <v>0</v>
      </c>
      <c r="AB241" s="46"/>
      <c r="AC241" s="46"/>
      <c r="AD241" s="45">
        <f>DATA!L242</f>
        <v>0</v>
      </c>
      <c r="AE241" s="46"/>
      <c r="AF241" s="46">
        <f>DATA!O242</f>
        <v>0</v>
      </c>
      <c r="AG241" s="46">
        <f>DATA!Q242</f>
        <v>0</v>
      </c>
      <c r="AH241" s="46">
        <f>DATA!R242</f>
        <v>0</v>
      </c>
      <c r="AI241" s="46"/>
      <c r="AJ241" s="46"/>
      <c r="AK241" s="46">
        <f>DATA!U242</f>
        <v>0</v>
      </c>
      <c r="AL241" s="46">
        <f>DATA!V242</f>
        <v>0</v>
      </c>
      <c r="AM241" s="46">
        <f>DATA!W242</f>
        <v>0</v>
      </c>
      <c r="AN241" s="47"/>
    </row>
    <row r="242" spans="1:40" s="48" customFormat="1" ht="23.25" hidden="1" customHeight="1" x14ac:dyDescent="0.45">
      <c r="A242" s="46">
        <f>DATA!C243</f>
        <v>0</v>
      </c>
      <c r="B242" s="46">
        <f>DATA!D243</f>
        <v>0</v>
      </c>
      <c r="C242" s="46">
        <f>DATA!F243</f>
        <v>0</v>
      </c>
      <c r="D242" s="46">
        <f>DATA!G243</f>
        <v>0</v>
      </c>
      <c r="E242" s="46">
        <f>DATA!H243</f>
        <v>0</v>
      </c>
      <c r="F242" s="46">
        <f>DATA!I243</f>
        <v>0</v>
      </c>
      <c r="G242" s="46"/>
      <c r="H242" s="46"/>
      <c r="I242" s="45">
        <f>DATA!L243</f>
        <v>0</v>
      </c>
      <c r="J242" s="46"/>
      <c r="K242" s="46">
        <f>DATA!O243</f>
        <v>0</v>
      </c>
      <c r="L242" s="46">
        <f>DATA!Q243</f>
        <v>0</v>
      </c>
      <c r="M242" s="46">
        <f>DATA!R243</f>
        <v>0</v>
      </c>
      <c r="N242" s="46"/>
      <c r="O242" s="46"/>
      <c r="P242" s="46">
        <f>DATA!U243</f>
        <v>0</v>
      </c>
      <c r="Q242" s="46">
        <f>DATA!V243</f>
        <v>0</v>
      </c>
      <c r="R242" s="46">
        <f>DATA!W243</f>
        <v>0</v>
      </c>
      <c r="S242" s="47"/>
      <c r="V242" s="46">
        <f>DATA!C243</f>
        <v>0</v>
      </c>
      <c r="W242" s="46">
        <f>DATA!D243</f>
        <v>0</v>
      </c>
      <c r="X242" s="46">
        <f>DATA!F243</f>
        <v>0</v>
      </c>
      <c r="Y242" s="46">
        <f>DATA!G243</f>
        <v>0</v>
      </c>
      <c r="Z242" s="46">
        <f>DATA!H243</f>
        <v>0</v>
      </c>
      <c r="AA242" s="46">
        <f>DATA!I243</f>
        <v>0</v>
      </c>
      <c r="AB242" s="46"/>
      <c r="AC242" s="46"/>
      <c r="AD242" s="45">
        <f>DATA!L243</f>
        <v>0</v>
      </c>
      <c r="AE242" s="46"/>
      <c r="AF242" s="46">
        <f>DATA!O243</f>
        <v>0</v>
      </c>
      <c r="AG242" s="46">
        <f>DATA!Q243</f>
        <v>0</v>
      </c>
      <c r="AH242" s="46">
        <f>DATA!R243</f>
        <v>0</v>
      </c>
      <c r="AI242" s="46"/>
      <c r="AJ242" s="46"/>
      <c r="AK242" s="46">
        <f>DATA!U243</f>
        <v>0</v>
      </c>
      <c r="AL242" s="46">
        <f>DATA!V243</f>
        <v>0</v>
      </c>
      <c r="AM242" s="46">
        <f>DATA!W243</f>
        <v>0</v>
      </c>
      <c r="AN242" s="47"/>
    </row>
    <row r="243" spans="1:40" s="48" customFormat="1" ht="23.25" hidden="1" customHeight="1" x14ac:dyDescent="0.45">
      <c r="A243" s="46">
        <f>DATA!C244</f>
        <v>0</v>
      </c>
      <c r="B243" s="46">
        <f>DATA!D244</f>
        <v>0</v>
      </c>
      <c r="C243" s="46">
        <f>DATA!F244</f>
        <v>0</v>
      </c>
      <c r="D243" s="46">
        <f>DATA!G244</f>
        <v>0</v>
      </c>
      <c r="E243" s="46">
        <f>DATA!H244</f>
        <v>0</v>
      </c>
      <c r="F243" s="46">
        <f>DATA!I244</f>
        <v>0</v>
      </c>
      <c r="G243" s="46"/>
      <c r="H243" s="46"/>
      <c r="I243" s="45">
        <f>DATA!L244</f>
        <v>0</v>
      </c>
      <c r="J243" s="46"/>
      <c r="K243" s="46">
        <f>DATA!O244</f>
        <v>0</v>
      </c>
      <c r="L243" s="46">
        <f>DATA!Q244</f>
        <v>0</v>
      </c>
      <c r="M243" s="46">
        <f>DATA!R244</f>
        <v>0</v>
      </c>
      <c r="N243" s="46"/>
      <c r="O243" s="46"/>
      <c r="P243" s="46">
        <f>DATA!U244</f>
        <v>0</v>
      </c>
      <c r="Q243" s="46">
        <f>DATA!V244</f>
        <v>0</v>
      </c>
      <c r="R243" s="46">
        <f>DATA!W244</f>
        <v>0</v>
      </c>
      <c r="S243" s="47"/>
      <c r="V243" s="46">
        <f>DATA!C244</f>
        <v>0</v>
      </c>
      <c r="W243" s="46">
        <f>DATA!D244</f>
        <v>0</v>
      </c>
      <c r="X243" s="46">
        <f>DATA!F244</f>
        <v>0</v>
      </c>
      <c r="Y243" s="46">
        <f>DATA!G244</f>
        <v>0</v>
      </c>
      <c r="Z243" s="46">
        <f>DATA!H244</f>
        <v>0</v>
      </c>
      <c r="AA243" s="46">
        <f>DATA!I244</f>
        <v>0</v>
      </c>
      <c r="AB243" s="46"/>
      <c r="AC243" s="46"/>
      <c r="AD243" s="45">
        <f>DATA!L244</f>
        <v>0</v>
      </c>
      <c r="AE243" s="46"/>
      <c r="AF243" s="46">
        <f>DATA!O244</f>
        <v>0</v>
      </c>
      <c r="AG243" s="46">
        <f>DATA!Q244</f>
        <v>0</v>
      </c>
      <c r="AH243" s="46">
        <f>DATA!R244</f>
        <v>0</v>
      </c>
      <c r="AI243" s="46"/>
      <c r="AJ243" s="46"/>
      <c r="AK243" s="46">
        <f>DATA!U244</f>
        <v>0</v>
      </c>
      <c r="AL243" s="46">
        <f>DATA!V244</f>
        <v>0</v>
      </c>
      <c r="AM243" s="46">
        <f>DATA!W244</f>
        <v>0</v>
      </c>
      <c r="AN243" s="47"/>
    </row>
    <row r="244" spans="1:40" s="48" customFormat="1" ht="23.25" hidden="1" customHeight="1" x14ac:dyDescent="0.45">
      <c r="A244" s="46">
        <f>DATA!C245</f>
        <v>0</v>
      </c>
      <c r="B244" s="46">
        <f>DATA!D245</f>
        <v>0</v>
      </c>
      <c r="C244" s="46">
        <f>DATA!F245</f>
        <v>0</v>
      </c>
      <c r="D244" s="46">
        <f>DATA!G245</f>
        <v>0</v>
      </c>
      <c r="E244" s="46">
        <f>DATA!H245</f>
        <v>0</v>
      </c>
      <c r="F244" s="46">
        <f>DATA!I245</f>
        <v>0</v>
      </c>
      <c r="G244" s="46"/>
      <c r="H244" s="46"/>
      <c r="I244" s="45">
        <f>DATA!L245</f>
        <v>0</v>
      </c>
      <c r="J244" s="46"/>
      <c r="K244" s="46">
        <f>DATA!O245</f>
        <v>0</v>
      </c>
      <c r="L244" s="46">
        <f>DATA!Q245</f>
        <v>0</v>
      </c>
      <c r="M244" s="46">
        <f>DATA!R245</f>
        <v>0</v>
      </c>
      <c r="N244" s="46"/>
      <c r="O244" s="46"/>
      <c r="P244" s="46">
        <f>DATA!U245</f>
        <v>0</v>
      </c>
      <c r="Q244" s="46">
        <f>DATA!V245</f>
        <v>0</v>
      </c>
      <c r="R244" s="46">
        <f>DATA!W245</f>
        <v>0</v>
      </c>
      <c r="S244" s="47"/>
      <c r="V244" s="46">
        <f>DATA!C245</f>
        <v>0</v>
      </c>
      <c r="W244" s="46">
        <f>DATA!D245</f>
        <v>0</v>
      </c>
      <c r="X244" s="46">
        <f>DATA!F245</f>
        <v>0</v>
      </c>
      <c r="Y244" s="46">
        <f>DATA!G245</f>
        <v>0</v>
      </c>
      <c r="Z244" s="46">
        <f>DATA!H245</f>
        <v>0</v>
      </c>
      <c r="AA244" s="46">
        <f>DATA!I245</f>
        <v>0</v>
      </c>
      <c r="AB244" s="46"/>
      <c r="AC244" s="46"/>
      <c r="AD244" s="45">
        <f>DATA!L245</f>
        <v>0</v>
      </c>
      <c r="AE244" s="46"/>
      <c r="AF244" s="46">
        <f>DATA!O245</f>
        <v>0</v>
      </c>
      <c r="AG244" s="46">
        <f>DATA!Q245</f>
        <v>0</v>
      </c>
      <c r="AH244" s="46">
        <f>DATA!R245</f>
        <v>0</v>
      </c>
      <c r="AI244" s="46"/>
      <c r="AJ244" s="46"/>
      <c r="AK244" s="46">
        <f>DATA!U245</f>
        <v>0</v>
      </c>
      <c r="AL244" s="46">
        <f>DATA!V245</f>
        <v>0</v>
      </c>
      <c r="AM244" s="46">
        <f>DATA!W245</f>
        <v>0</v>
      </c>
      <c r="AN244" s="47"/>
    </row>
    <row r="245" spans="1:40" s="48" customFormat="1" ht="23.25" hidden="1" customHeight="1" x14ac:dyDescent="0.45">
      <c r="A245" s="46">
        <f>DATA!C246</f>
        <v>0</v>
      </c>
      <c r="B245" s="46">
        <f>DATA!D246</f>
        <v>0</v>
      </c>
      <c r="C245" s="46">
        <f>DATA!F246</f>
        <v>0</v>
      </c>
      <c r="D245" s="46">
        <f>DATA!G246</f>
        <v>0</v>
      </c>
      <c r="E245" s="46">
        <f>DATA!H246</f>
        <v>0</v>
      </c>
      <c r="F245" s="46">
        <f>DATA!I246</f>
        <v>0</v>
      </c>
      <c r="G245" s="46"/>
      <c r="H245" s="46"/>
      <c r="I245" s="45">
        <f>DATA!L246</f>
        <v>0</v>
      </c>
      <c r="J245" s="46"/>
      <c r="K245" s="46">
        <f>DATA!O246</f>
        <v>0</v>
      </c>
      <c r="L245" s="46">
        <f>DATA!Q246</f>
        <v>0</v>
      </c>
      <c r="M245" s="46">
        <f>DATA!R246</f>
        <v>0</v>
      </c>
      <c r="N245" s="46"/>
      <c r="O245" s="46"/>
      <c r="P245" s="46">
        <f>DATA!U246</f>
        <v>0</v>
      </c>
      <c r="Q245" s="46">
        <f>DATA!V246</f>
        <v>0</v>
      </c>
      <c r="R245" s="46">
        <f>DATA!W246</f>
        <v>0</v>
      </c>
      <c r="S245" s="47"/>
      <c r="V245" s="46">
        <f>DATA!C246</f>
        <v>0</v>
      </c>
      <c r="W245" s="46">
        <f>DATA!D246</f>
        <v>0</v>
      </c>
      <c r="X245" s="46">
        <f>DATA!F246</f>
        <v>0</v>
      </c>
      <c r="Y245" s="46">
        <f>DATA!G246</f>
        <v>0</v>
      </c>
      <c r="Z245" s="46">
        <f>DATA!H246</f>
        <v>0</v>
      </c>
      <c r="AA245" s="46">
        <f>DATA!I246</f>
        <v>0</v>
      </c>
      <c r="AB245" s="46"/>
      <c r="AC245" s="46"/>
      <c r="AD245" s="45">
        <f>DATA!L246</f>
        <v>0</v>
      </c>
      <c r="AE245" s="46"/>
      <c r="AF245" s="46">
        <f>DATA!O246</f>
        <v>0</v>
      </c>
      <c r="AG245" s="46">
        <f>DATA!Q246</f>
        <v>0</v>
      </c>
      <c r="AH245" s="46">
        <f>DATA!R246</f>
        <v>0</v>
      </c>
      <c r="AI245" s="46"/>
      <c r="AJ245" s="46"/>
      <c r="AK245" s="46">
        <f>DATA!U246</f>
        <v>0</v>
      </c>
      <c r="AL245" s="46">
        <f>DATA!V246</f>
        <v>0</v>
      </c>
      <c r="AM245" s="46">
        <f>DATA!W246</f>
        <v>0</v>
      </c>
      <c r="AN245" s="47"/>
    </row>
    <row r="246" spans="1:40" s="48" customFormat="1" ht="23.25" hidden="1" customHeight="1" x14ac:dyDescent="0.45">
      <c r="A246" s="46">
        <f>DATA!C247</f>
        <v>0</v>
      </c>
      <c r="B246" s="46">
        <f>DATA!D247</f>
        <v>0</v>
      </c>
      <c r="C246" s="46">
        <f>DATA!F247</f>
        <v>0</v>
      </c>
      <c r="D246" s="46">
        <f>DATA!G247</f>
        <v>0</v>
      </c>
      <c r="E246" s="46">
        <f>DATA!H247</f>
        <v>0</v>
      </c>
      <c r="F246" s="46">
        <f>DATA!I247</f>
        <v>0</v>
      </c>
      <c r="G246" s="46"/>
      <c r="H246" s="46"/>
      <c r="I246" s="45">
        <f>DATA!L247</f>
        <v>0</v>
      </c>
      <c r="J246" s="46"/>
      <c r="K246" s="46">
        <f>DATA!O247</f>
        <v>0</v>
      </c>
      <c r="L246" s="46">
        <f>DATA!Q247</f>
        <v>0</v>
      </c>
      <c r="M246" s="46">
        <f>DATA!R247</f>
        <v>0</v>
      </c>
      <c r="N246" s="46"/>
      <c r="O246" s="46"/>
      <c r="P246" s="46">
        <f>DATA!U247</f>
        <v>0</v>
      </c>
      <c r="Q246" s="46">
        <f>DATA!V247</f>
        <v>0</v>
      </c>
      <c r="R246" s="46">
        <f>DATA!W247</f>
        <v>0</v>
      </c>
      <c r="S246" s="47"/>
      <c r="V246" s="46">
        <f>DATA!C247</f>
        <v>0</v>
      </c>
      <c r="W246" s="46">
        <f>DATA!D247</f>
        <v>0</v>
      </c>
      <c r="X246" s="46">
        <f>DATA!F247</f>
        <v>0</v>
      </c>
      <c r="Y246" s="46">
        <f>DATA!G247</f>
        <v>0</v>
      </c>
      <c r="Z246" s="46">
        <f>DATA!H247</f>
        <v>0</v>
      </c>
      <c r="AA246" s="46">
        <f>DATA!I247</f>
        <v>0</v>
      </c>
      <c r="AB246" s="46"/>
      <c r="AC246" s="46"/>
      <c r="AD246" s="45">
        <f>DATA!L247</f>
        <v>0</v>
      </c>
      <c r="AE246" s="46"/>
      <c r="AF246" s="46">
        <f>DATA!O247</f>
        <v>0</v>
      </c>
      <c r="AG246" s="46">
        <f>DATA!Q247</f>
        <v>0</v>
      </c>
      <c r="AH246" s="46">
        <f>DATA!R247</f>
        <v>0</v>
      </c>
      <c r="AI246" s="46"/>
      <c r="AJ246" s="46"/>
      <c r="AK246" s="46">
        <f>DATA!U247</f>
        <v>0</v>
      </c>
      <c r="AL246" s="46">
        <f>DATA!V247</f>
        <v>0</v>
      </c>
      <c r="AM246" s="46">
        <f>DATA!W247</f>
        <v>0</v>
      </c>
      <c r="AN246" s="47"/>
    </row>
    <row r="247" spans="1:40" s="48" customFormat="1" ht="23.25" hidden="1" customHeight="1" x14ac:dyDescent="0.45">
      <c r="A247" s="46">
        <f>DATA!C248</f>
        <v>0</v>
      </c>
      <c r="B247" s="46">
        <f>DATA!D248</f>
        <v>0</v>
      </c>
      <c r="C247" s="46">
        <f>DATA!F248</f>
        <v>0</v>
      </c>
      <c r="D247" s="46">
        <f>DATA!G248</f>
        <v>0</v>
      </c>
      <c r="E247" s="46">
        <f>DATA!H248</f>
        <v>0</v>
      </c>
      <c r="F247" s="46">
        <f>DATA!I248</f>
        <v>0</v>
      </c>
      <c r="G247" s="46"/>
      <c r="H247" s="46"/>
      <c r="I247" s="45">
        <f>DATA!L248</f>
        <v>0</v>
      </c>
      <c r="J247" s="46"/>
      <c r="K247" s="46">
        <f>DATA!O248</f>
        <v>0</v>
      </c>
      <c r="L247" s="46">
        <f>DATA!Q248</f>
        <v>0</v>
      </c>
      <c r="M247" s="46">
        <f>DATA!R248</f>
        <v>0</v>
      </c>
      <c r="N247" s="46"/>
      <c r="O247" s="46"/>
      <c r="P247" s="46">
        <f>DATA!U248</f>
        <v>0</v>
      </c>
      <c r="Q247" s="46">
        <f>DATA!V248</f>
        <v>0</v>
      </c>
      <c r="R247" s="46">
        <f>DATA!W248</f>
        <v>0</v>
      </c>
      <c r="S247" s="47"/>
      <c r="V247" s="46">
        <f>DATA!C248</f>
        <v>0</v>
      </c>
      <c r="W247" s="46">
        <f>DATA!D248</f>
        <v>0</v>
      </c>
      <c r="X247" s="46">
        <f>DATA!F248</f>
        <v>0</v>
      </c>
      <c r="Y247" s="46">
        <f>DATA!G248</f>
        <v>0</v>
      </c>
      <c r="Z247" s="46">
        <f>DATA!H248</f>
        <v>0</v>
      </c>
      <c r="AA247" s="46">
        <f>DATA!I248</f>
        <v>0</v>
      </c>
      <c r="AB247" s="46"/>
      <c r="AC247" s="46"/>
      <c r="AD247" s="45">
        <f>DATA!L248</f>
        <v>0</v>
      </c>
      <c r="AE247" s="46"/>
      <c r="AF247" s="46">
        <f>DATA!O248</f>
        <v>0</v>
      </c>
      <c r="AG247" s="46">
        <f>DATA!Q248</f>
        <v>0</v>
      </c>
      <c r="AH247" s="46">
        <f>DATA!R248</f>
        <v>0</v>
      </c>
      <c r="AI247" s="46"/>
      <c r="AJ247" s="46"/>
      <c r="AK247" s="46">
        <f>DATA!U248</f>
        <v>0</v>
      </c>
      <c r="AL247" s="46">
        <f>DATA!V248</f>
        <v>0</v>
      </c>
      <c r="AM247" s="46">
        <f>DATA!W248</f>
        <v>0</v>
      </c>
      <c r="AN247" s="47"/>
    </row>
    <row r="248" spans="1:40" s="48" customFormat="1" ht="23.25" hidden="1" customHeight="1" x14ac:dyDescent="0.45">
      <c r="A248" s="46">
        <f>DATA!C249</f>
        <v>0</v>
      </c>
      <c r="B248" s="46">
        <f>DATA!D249</f>
        <v>0</v>
      </c>
      <c r="C248" s="46">
        <f>DATA!F249</f>
        <v>0</v>
      </c>
      <c r="D248" s="46">
        <f>DATA!G249</f>
        <v>0</v>
      </c>
      <c r="E248" s="46">
        <f>DATA!H249</f>
        <v>0</v>
      </c>
      <c r="F248" s="46">
        <f>DATA!I249</f>
        <v>0</v>
      </c>
      <c r="G248" s="46"/>
      <c r="H248" s="46"/>
      <c r="I248" s="45">
        <f>DATA!L249</f>
        <v>0</v>
      </c>
      <c r="J248" s="46"/>
      <c r="K248" s="46">
        <f>DATA!O249</f>
        <v>0</v>
      </c>
      <c r="L248" s="46">
        <f>DATA!Q249</f>
        <v>0</v>
      </c>
      <c r="M248" s="46">
        <f>DATA!R249</f>
        <v>0</v>
      </c>
      <c r="N248" s="46"/>
      <c r="O248" s="46"/>
      <c r="P248" s="46">
        <f>DATA!U249</f>
        <v>0</v>
      </c>
      <c r="Q248" s="46">
        <f>DATA!V249</f>
        <v>0</v>
      </c>
      <c r="R248" s="46">
        <f>DATA!W249</f>
        <v>0</v>
      </c>
      <c r="S248" s="47"/>
      <c r="V248" s="46">
        <f>DATA!C249</f>
        <v>0</v>
      </c>
      <c r="W248" s="46">
        <f>DATA!D249</f>
        <v>0</v>
      </c>
      <c r="X248" s="46">
        <f>DATA!F249</f>
        <v>0</v>
      </c>
      <c r="Y248" s="46">
        <f>DATA!G249</f>
        <v>0</v>
      </c>
      <c r="Z248" s="46">
        <f>DATA!H249</f>
        <v>0</v>
      </c>
      <c r="AA248" s="46">
        <f>DATA!I249</f>
        <v>0</v>
      </c>
      <c r="AB248" s="46"/>
      <c r="AC248" s="46"/>
      <c r="AD248" s="45">
        <f>DATA!L249</f>
        <v>0</v>
      </c>
      <c r="AE248" s="46"/>
      <c r="AF248" s="46">
        <f>DATA!O249</f>
        <v>0</v>
      </c>
      <c r="AG248" s="46">
        <f>DATA!Q249</f>
        <v>0</v>
      </c>
      <c r="AH248" s="46">
        <f>DATA!R249</f>
        <v>0</v>
      </c>
      <c r="AI248" s="46"/>
      <c r="AJ248" s="46"/>
      <c r="AK248" s="46">
        <f>DATA!U249</f>
        <v>0</v>
      </c>
      <c r="AL248" s="46">
        <f>DATA!V249</f>
        <v>0</v>
      </c>
      <c r="AM248" s="46">
        <f>DATA!W249</f>
        <v>0</v>
      </c>
      <c r="AN248" s="47"/>
    </row>
    <row r="249" spans="1:40" s="48" customFormat="1" ht="23.25" hidden="1" customHeight="1" x14ac:dyDescent="0.45">
      <c r="A249" s="46">
        <f>DATA!C250</f>
        <v>0</v>
      </c>
      <c r="B249" s="46">
        <f>DATA!D250</f>
        <v>0</v>
      </c>
      <c r="C249" s="46">
        <f>DATA!F250</f>
        <v>0</v>
      </c>
      <c r="D249" s="46">
        <f>DATA!G250</f>
        <v>0</v>
      </c>
      <c r="E249" s="46">
        <f>DATA!H250</f>
        <v>0</v>
      </c>
      <c r="F249" s="46">
        <f>DATA!I250</f>
        <v>0</v>
      </c>
      <c r="G249" s="46"/>
      <c r="H249" s="46"/>
      <c r="I249" s="45">
        <f>DATA!L250</f>
        <v>0</v>
      </c>
      <c r="J249" s="46"/>
      <c r="K249" s="46">
        <f>DATA!O250</f>
        <v>0</v>
      </c>
      <c r="L249" s="46">
        <f>DATA!Q250</f>
        <v>0</v>
      </c>
      <c r="M249" s="46">
        <f>DATA!R250</f>
        <v>0</v>
      </c>
      <c r="N249" s="46"/>
      <c r="O249" s="46"/>
      <c r="P249" s="46">
        <f>DATA!U250</f>
        <v>0</v>
      </c>
      <c r="Q249" s="46">
        <f>DATA!V250</f>
        <v>0</v>
      </c>
      <c r="R249" s="46">
        <f>DATA!W250</f>
        <v>0</v>
      </c>
      <c r="S249" s="47"/>
      <c r="V249" s="46">
        <f>DATA!C250</f>
        <v>0</v>
      </c>
      <c r="W249" s="46">
        <f>DATA!D250</f>
        <v>0</v>
      </c>
      <c r="X249" s="46">
        <f>DATA!F250</f>
        <v>0</v>
      </c>
      <c r="Y249" s="46">
        <f>DATA!G250</f>
        <v>0</v>
      </c>
      <c r="Z249" s="46">
        <f>DATA!H250</f>
        <v>0</v>
      </c>
      <c r="AA249" s="46">
        <f>DATA!I250</f>
        <v>0</v>
      </c>
      <c r="AB249" s="46"/>
      <c r="AC249" s="46"/>
      <c r="AD249" s="45">
        <f>DATA!L250</f>
        <v>0</v>
      </c>
      <c r="AE249" s="46"/>
      <c r="AF249" s="46">
        <f>DATA!O250</f>
        <v>0</v>
      </c>
      <c r="AG249" s="46">
        <f>DATA!Q250</f>
        <v>0</v>
      </c>
      <c r="AH249" s="46">
        <f>DATA!R250</f>
        <v>0</v>
      </c>
      <c r="AI249" s="46"/>
      <c r="AJ249" s="46"/>
      <c r="AK249" s="46">
        <f>DATA!U250</f>
        <v>0</v>
      </c>
      <c r="AL249" s="46">
        <f>DATA!V250</f>
        <v>0</v>
      </c>
      <c r="AM249" s="46">
        <f>DATA!W250</f>
        <v>0</v>
      </c>
      <c r="AN249" s="47"/>
    </row>
    <row r="250" spans="1:40" s="48" customFormat="1" ht="23.25" hidden="1" customHeight="1" x14ac:dyDescent="0.45">
      <c r="A250" s="46">
        <f>DATA!C251</f>
        <v>0</v>
      </c>
      <c r="B250" s="46">
        <f>DATA!D251</f>
        <v>0</v>
      </c>
      <c r="C250" s="46">
        <f>DATA!F251</f>
        <v>0</v>
      </c>
      <c r="D250" s="46">
        <f>DATA!G251</f>
        <v>0</v>
      </c>
      <c r="E250" s="46">
        <f>DATA!H251</f>
        <v>0</v>
      </c>
      <c r="F250" s="46">
        <f>DATA!I251</f>
        <v>0</v>
      </c>
      <c r="G250" s="46"/>
      <c r="H250" s="46"/>
      <c r="I250" s="45">
        <f>DATA!L251</f>
        <v>0</v>
      </c>
      <c r="J250" s="46"/>
      <c r="K250" s="46">
        <f>DATA!O251</f>
        <v>0</v>
      </c>
      <c r="L250" s="46">
        <f>DATA!Q251</f>
        <v>0</v>
      </c>
      <c r="M250" s="46">
        <f>DATA!R251</f>
        <v>0</v>
      </c>
      <c r="N250" s="46"/>
      <c r="O250" s="46"/>
      <c r="P250" s="46">
        <f>DATA!U251</f>
        <v>0</v>
      </c>
      <c r="Q250" s="46">
        <f>DATA!V251</f>
        <v>0</v>
      </c>
      <c r="R250" s="46">
        <f>DATA!W251</f>
        <v>0</v>
      </c>
      <c r="S250" s="47"/>
      <c r="V250" s="46">
        <f>DATA!C251</f>
        <v>0</v>
      </c>
      <c r="W250" s="46">
        <f>DATA!D251</f>
        <v>0</v>
      </c>
      <c r="X250" s="46">
        <f>DATA!F251</f>
        <v>0</v>
      </c>
      <c r="Y250" s="46">
        <f>DATA!G251</f>
        <v>0</v>
      </c>
      <c r="Z250" s="46">
        <f>DATA!H251</f>
        <v>0</v>
      </c>
      <c r="AA250" s="46">
        <f>DATA!I251</f>
        <v>0</v>
      </c>
      <c r="AB250" s="46"/>
      <c r="AC250" s="46"/>
      <c r="AD250" s="45">
        <f>DATA!L251</f>
        <v>0</v>
      </c>
      <c r="AE250" s="46"/>
      <c r="AF250" s="46">
        <f>DATA!O251</f>
        <v>0</v>
      </c>
      <c r="AG250" s="46">
        <f>DATA!Q251</f>
        <v>0</v>
      </c>
      <c r="AH250" s="46">
        <f>DATA!R251</f>
        <v>0</v>
      </c>
      <c r="AI250" s="46"/>
      <c r="AJ250" s="46"/>
      <c r="AK250" s="46">
        <f>DATA!U251</f>
        <v>0</v>
      </c>
      <c r="AL250" s="46">
        <f>DATA!V251</f>
        <v>0</v>
      </c>
      <c r="AM250" s="46">
        <f>DATA!W251</f>
        <v>0</v>
      </c>
      <c r="AN250" s="47"/>
    </row>
    <row r="251" spans="1:40" s="48" customFormat="1" ht="23.25" hidden="1" customHeight="1" x14ac:dyDescent="0.45">
      <c r="A251" s="46">
        <f>DATA!C252</f>
        <v>0</v>
      </c>
      <c r="B251" s="46">
        <f>DATA!D252</f>
        <v>0</v>
      </c>
      <c r="C251" s="46">
        <f>DATA!F252</f>
        <v>0</v>
      </c>
      <c r="D251" s="46">
        <f>DATA!G252</f>
        <v>0</v>
      </c>
      <c r="E251" s="46">
        <f>DATA!H252</f>
        <v>0</v>
      </c>
      <c r="F251" s="46">
        <f>DATA!I252</f>
        <v>0</v>
      </c>
      <c r="G251" s="46"/>
      <c r="H251" s="46"/>
      <c r="I251" s="45">
        <f>DATA!L252</f>
        <v>0</v>
      </c>
      <c r="J251" s="46"/>
      <c r="K251" s="46">
        <f>DATA!O252</f>
        <v>0</v>
      </c>
      <c r="L251" s="46">
        <f>DATA!Q252</f>
        <v>0</v>
      </c>
      <c r="M251" s="46">
        <f>DATA!R252</f>
        <v>0</v>
      </c>
      <c r="N251" s="46"/>
      <c r="O251" s="46"/>
      <c r="P251" s="46">
        <f>DATA!U252</f>
        <v>0</v>
      </c>
      <c r="Q251" s="46">
        <f>DATA!V252</f>
        <v>0</v>
      </c>
      <c r="R251" s="46">
        <f>DATA!W252</f>
        <v>0</v>
      </c>
      <c r="S251" s="47"/>
      <c r="V251" s="46">
        <f>DATA!C252</f>
        <v>0</v>
      </c>
      <c r="W251" s="46">
        <f>DATA!D252</f>
        <v>0</v>
      </c>
      <c r="X251" s="46">
        <f>DATA!F252</f>
        <v>0</v>
      </c>
      <c r="Y251" s="46">
        <f>DATA!G252</f>
        <v>0</v>
      </c>
      <c r="Z251" s="46">
        <f>DATA!H252</f>
        <v>0</v>
      </c>
      <c r="AA251" s="46">
        <f>DATA!I252</f>
        <v>0</v>
      </c>
      <c r="AB251" s="46"/>
      <c r="AC251" s="46"/>
      <c r="AD251" s="45">
        <f>DATA!L252</f>
        <v>0</v>
      </c>
      <c r="AE251" s="46"/>
      <c r="AF251" s="46">
        <f>DATA!O252</f>
        <v>0</v>
      </c>
      <c r="AG251" s="46">
        <f>DATA!Q252</f>
        <v>0</v>
      </c>
      <c r="AH251" s="46">
        <f>DATA!R252</f>
        <v>0</v>
      </c>
      <c r="AI251" s="46"/>
      <c r="AJ251" s="46"/>
      <c r="AK251" s="46">
        <f>DATA!U252</f>
        <v>0</v>
      </c>
      <c r="AL251" s="46">
        <f>DATA!V252</f>
        <v>0</v>
      </c>
      <c r="AM251" s="46">
        <f>DATA!W252</f>
        <v>0</v>
      </c>
      <c r="AN251" s="47"/>
    </row>
    <row r="252" spans="1:40" s="48" customFormat="1" ht="23.25" hidden="1" customHeight="1" x14ac:dyDescent="0.45">
      <c r="A252" s="46">
        <f>DATA!C253</f>
        <v>0</v>
      </c>
      <c r="B252" s="46">
        <f>DATA!D253</f>
        <v>0</v>
      </c>
      <c r="C252" s="46">
        <f>DATA!F253</f>
        <v>0</v>
      </c>
      <c r="D252" s="46">
        <f>DATA!G253</f>
        <v>0</v>
      </c>
      <c r="E252" s="46">
        <f>DATA!H253</f>
        <v>0</v>
      </c>
      <c r="F252" s="46">
        <f>DATA!I253</f>
        <v>0</v>
      </c>
      <c r="G252" s="46"/>
      <c r="H252" s="46"/>
      <c r="I252" s="45">
        <f>DATA!L253</f>
        <v>0</v>
      </c>
      <c r="J252" s="46"/>
      <c r="K252" s="46">
        <f>DATA!O253</f>
        <v>0</v>
      </c>
      <c r="L252" s="46">
        <f>DATA!Q253</f>
        <v>0</v>
      </c>
      <c r="M252" s="46">
        <f>DATA!R253</f>
        <v>0</v>
      </c>
      <c r="N252" s="46"/>
      <c r="O252" s="46"/>
      <c r="P252" s="46">
        <f>DATA!U253</f>
        <v>0</v>
      </c>
      <c r="Q252" s="46">
        <f>DATA!V253</f>
        <v>0</v>
      </c>
      <c r="R252" s="46">
        <f>DATA!W253</f>
        <v>0</v>
      </c>
      <c r="S252" s="47"/>
      <c r="V252" s="46">
        <f>DATA!C253</f>
        <v>0</v>
      </c>
      <c r="W252" s="46">
        <f>DATA!D253</f>
        <v>0</v>
      </c>
      <c r="X252" s="46">
        <f>DATA!F253</f>
        <v>0</v>
      </c>
      <c r="Y252" s="46">
        <f>DATA!G253</f>
        <v>0</v>
      </c>
      <c r="Z252" s="46">
        <f>DATA!H253</f>
        <v>0</v>
      </c>
      <c r="AA252" s="46">
        <f>DATA!I253</f>
        <v>0</v>
      </c>
      <c r="AB252" s="46"/>
      <c r="AC252" s="46"/>
      <c r="AD252" s="45">
        <f>DATA!L253</f>
        <v>0</v>
      </c>
      <c r="AE252" s="46"/>
      <c r="AF252" s="46">
        <f>DATA!O253</f>
        <v>0</v>
      </c>
      <c r="AG252" s="46">
        <f>DATA!Q253</f>
        <v>0</v>
      </c>
      <c r="AH252" s="46">
        <f>DATA!R253</f>
        <v>0</v>
      </c>
      <c r="AI252" s="46"/>
      <c r="AJ252" s="46"/>
      <c r="AK252" s="46">
        <f>DATA!U253</f>
        <v>0</v>
      </c>
      <c r="AL252" s="46">
        <f>DATA!V253</f>
        <v>0</v>
      </c>
      <c r="AM252" s="46">
        <f>DATA!W253</f>
        <v>0</v>
      </c>
      <c r="AN252" s="47"/>
    </row>
    <row r="253" spans="1:40" s="48" customFormat="1" ht="23.25" hidden="1" customHeight="1" x14ac:dyDescent="0.45">
      <c r="A253" s="46">
        <f>DATA!C254</f>
        <v>0</v>
      </c>
      <c r="B253" s="46">
        <f>DATA!D254</f>
        <v>0</v>
      </c>
      <c r="C253" s="46">
        <f>DATA!F254</f>
        <v>0</v>
      </c>
      <c r="D253" s="46">
        <f>DATA!G254</f>
        <v>0</v>
      </c>
      <c r="E253" s="46">
        <f>DATA!H254</f>
        <v>0</v>
      </c>
      <c r="F253" s="46">
        <f>DATA!I254</f>
        <v>0</v>
      </c>
      <c r="G253" s="46"/>
      <c r="H253" s="46"/>
      <c r="I253" s="45">
        <f>DATA!L254</f>
        <v>0</v>
      </c>
      <c r="J253" s="46"/>
      <c r="K253" s="46">
        <f>DATA!O254</f>
        <v>0</v>
      </c>
      <c r="L253" s="46">
        <f>DATA!Q254</f>
        <v>0</v>
      </c>
      <c r="M253" s="46">
        <f>DATA!R254</f>
        <v>0</v>
      </c>
      <c r="N253" s="46"/>
      <c r="O253" s="46"/>
      <c r="P253" s="46">
        <f>DATA!U254</f>
        <v>0</v>
      </c>
      <c r="Q253" s="46">
        <f>DATA!V254</f>
        <v>0</v>
      </c>
      <c r="R253" s="46">
        <f>DATA!W254</f>
        <v>0</v>
      </c>
      <c r="S253" s="47"/>
      <c r="V253" s="46">
        <f>DATA!C254</f>
        <v>0</v>
      </c>
      <c r="W253" s="46">
        <f>DATA!D254</f>
        <v>0</v>
      </c>
      <c r="X253" s="46">
        <f>DATA!F254</f>
        <v>0</v>
      </c>
      <c r="Y253" s="46">
        <f>DATA!G254</f>
        <v>0</v>
      </c>
      <c r="Z253" s="46">
        <f>DATA!H254</f>
        <v>0</v>
      </c>
      <c r="AA253" s="46">
        <f>DATA!I254</f>
        <v>0</v>
      </c>
      <c r="AB253" s="46"/>
      <c r="AC253" s="46"/>
      <c r="AD253" s="45">
        <f>DATA!L254</f>
        <v>0</v>
      </c>
      <c r="AE253" s="46"/>
      <c r="AF253" s="46">
        <f>DATA!O254</f>
        <v>0</v>
      </c>
      <c r="AG253" s="46">
        <f>DATA!Q254</f>
        <v>0</v>
      </c>
      <c r="AH253" s="46">
        <f>DATA!R254</f>
        <v>0</v>
      </c>
      <c r="AI253" s="46"/>
      <c r="AJ253" s="46"/>
      <c r="AK253" s="46">
        <f>DATA!U254</f>
        <v>0</v>
      </c>
      <c r="AL253" s="46">
        <f>DATA!V254</f>
        <v>0</v>
      </c>
      <c r="AM253" s="46">
        <f>DATA!W254</f>
        <v>0</v>
      </c>
      <c r="AN253" s="47"/>
    </row>
    <row r="254" spans="1:40" s="48" customFormat="1" ht="23.25" hidden="1" customHeight="1" x14ac:dyDescent="0.45">
      <c r="A254" s="46">
        <f>DATA!C255</f>
        <v>0</v>
      </c>
      <c r="B254" s="46">
        <f>DATA!D255</f>
        <v>0</v>
      </c>
      <c r="C254" s="46">
        <f>DATA!F255</f>
        <v>0</v>
      </c>
      <c r="D254" s="46">
        <f>DATA!G255</f>
        <v>0</v>
      </c>
      <c r="E254" s="46">
        <f>DATA!H255</f>
        <v>0</v>
      </c>
      <c r="F254" s="46">
        <f>DATA!I255</f>
        <v>0</v>
      </c>
      <c r="G254" s="46"/>
      <c r="H254" s="46"/>
      <c r="I254" s="45">
        <f>DATA!L255</f>
        <v>0</v>
      </c>
      <c r="J254" s="46"/>
      <c r="K254" s="46">
        <f>DATA!O255</f>
        <v>0</v>
      </c>
      <c r="L254" s="46">
        <f>DATA!Q255</f>
        <v>0</v>
      </c>
      <c r="M254" s="46">
        <f>DATA!R255</f>
        <v>0</v>
      </c>
      <c r="N254" s="46"/>
      <c r="O254" s="46"/>
      <c r="P254" s="46">
        <f>DATA!U255</f>
        <v>0</v>
      </c>
      <c r="Q254" s="46">
        <f>DATA!V255</f>
        <v>0</v>
      </c>
      <c r="R254" s="46">
        <f>DATA!W255</f>
        <v>0</v>
      </c>
      <c r="S254" s="47"/>
      <c r="V254" s="46">
        <f>DATA!C255</f>
        <v>0</v>
      </c>
      <c r="W254" s="46">
        <f>DATA!D255</f>
        <v>0</v>
      </c>
      <c r="X254" s="46">
        <f>DATA!F255</f>
        <v>0</v>
      </c>
      <c r="Y254" s="46">
        <f>DATA!G255</f>
        <v>0</v>
      </c>
      <c r="Z254" s="46">
        <f>DATA!H255</f>
        <v>0</v>
      </c>
      <c r="AA254" s="46">
        <f>DATA!I255</f>
        <v>0</v>
      </c>
      <c r="AB254" s="46"/>
      <c r="AC254" s="46"/>
      <c r="AD254" s="45">
        <f>DATA!L255</f>
        <v>0</v>
      </c>
      <c r="AE254" s="46"/>
      <c r="AF254" s="46">
        <f>DATA!O255</f>
        <v>0</v>
      </c>
      <c r="AG254" s="46">
        <f>DATA!Q255</f>
        <v>0</v>
      </c>
      <c r="AH254" s="46">
        <f>DATA!R255</f>
        <v>0</v>
      </c>
      <c r="AI254" s="46"/>
      <c r="AJ254" s="46"/>
      <c r="AK254" s="46">
        <f>DATA!U255</f>
        <v>0</v>
      </c>
      <c r="AL254" s="46">
        <f>DATA!V255</f>
        <v>0</v>
      </c>
      <c r="AM254" s="46">
        <f>DATA!W255</f>
        <v>0</v>
      </c>
      <c r="AN254" s="47"/>
    </row>
    <row r="255" spans="1:40" s="48" customFormat="1" ht="23.25" hidden="1" customHeight="1" x14ac:dyDescent="0.45">
      <c r="A255" s="46">
        <f>DATA!C256</f>
        <v>0</v>
      </c>
      <c r="B255" s="46">
        <f>DATA!D256</f>
        <v>0</v>
      </c>
      <c r="C255" s="46">
        <f>DATA!F256</f>
        <v>0</v>
      </c>
      <c r="D255" s="46">
        <f>DATA!G256</f>
        <v>0</v>
      </c>
      <c r="E255" s="46">
        <f>DATA!H256</f>
        <v>0</v>
      </c>
      <c r="F255" s="46">
        <f>DATA!I256</f>
        <v>0</v>
      </c>
      <c r="G255" s="46"/>
      <c r="H255" s="46"/>
      <c r="I255" s="45">
        <f>DATA!L256</f>
        <v>0</v>
      </c>
      <c r="J255" s="46"/>
      <c r="K255" s="46">
        <f>DATA!O256</f>
        <v>0</v>
      </c>
      <c r="L255" s="46">
        <f>DATA!Q256</f>
        <v>0</v>
      </c>
      <c r="M255" s="46">
        <f>DATA!R256</f>
        <v>0</v>
      </c>
      <c r="N255" s="46"/>
      <c r="O255" s="46"/>
      <c r="P255" s="46">
        <f>DATA!U256</f>
        <v>0</v>
      </c>
      <c r="Q255" s="46">
        <f>DATA!V256</f>
        <v>0</v>
      </c>
      <c r="R255" s="46">
        <f>DATA!W256</f>
        <v>0</v>
      </c>
      <c r="S255" s="47"/>
      <c r="V255" s="46">
        <f>DATA!C256</f>
        <v>0</v>
      </c>
      <c r="W255" s="46">
        <f>DATA!D256</f>
        <v>0</v>
      </c>
      <c r="X255" s="46">
        <f>DATA!F256</f>
        <v>0</v>
      </c>
      <c r="Y255" s="46">
        <f>DATA!G256</f>
        <v>0</v>
      </c>
      <c r="Z255" s="46">
        <f>DATA!H256</f>
        <v>0</v>
      </c>
      <c r="AA255" s="46">
        <f>DATA!I256</f>
        <v>0</v>
      </c>
      <c r="AB255" s="46"/>
      <c r="AC255" s="46"/>
      <c r="AD255" s="45">
        <f>DATA!L256</f>
        <v>0</v>
      </c>
      <c r="AE255" s="46"/>
      <c r="AF255" s="46">
        <f>DATA!O256</f>
        <v>0</v>
      </c>
      <c r="AG255" s="46">
        <f>DATA!Q256</f>
        <v>0</v>
      </c>
      <c r="AH255" s="46">
        <f>DATA!R256</f>
        <v>0</v>
      </c>
      <c r="AI255" s="46"/>
      <c r="AJ255" s="46"/>
      <c r="AK255" s="46">
        <f>DATA!U256</f>
        <v>0</v>
      </c>
      <c r="AL255" s="46">
        <f>DATA!V256</f>
        <v>0</v>
      </c>
      <c r="AM255" s="46">
        <f>DATA!W256</f>
        <v>0</v>
      </c>
      <c r="AN255" s="47"/>
    </row>
    <row r="256" spans="1:40" s="48" customFormat="1" ht="23.25" hidden="1" customHeight="1" x14ac:dyDescent="0.45">
      <c r="A256" s="46">
        <f>DATA!C257</f>
        <v>0</v>
      </c>
      <c r="B256" s="46">
        <f>DATA!D257</f>
        <v>0</v>
      </c>
      <c r="C256" s="46">
        <f>DATA!F257</f>
        <v>0</v>
      </c>
      <c r="D256" s="46">
        <f>DATA!G257</f>
        <v>0</v>
      </c>
      <c r="E256" s="46">
        <f>DATA!H257</f>
        <v>0</v>
      </c>
      <c r="F256" s="46">
        <f>DATA!I257</f>
        <v>0</v>
      </c>
      <c r="G256" s="46"/>
      <c r="H256" s="46"/>
      <c r="I256" s="45">
        <f>DATA!L257</f>
        <v>0</v>
      </c>
      <c r="J256" s="46"/>
      <c r="K256" s="46">
        <f>DATA!O257</f>
        <v>0</v>
      </c>
      <c r="L256" s="46">
        <f>DATA!Q257</f>
        <v>0</v>
      </c>
      <c r="M256" s="46">
        <f>DATA!R257</f>
        <v>0</v>
      </c>
      <c r="N256" s="46"/>
      <c r="O256" s="46"/>
      <c r="P256" s="46">
        <f>DATA!U257</f>
        <v>0</v>
      </c>
      <c r="Q256" s="46">
        <f>DATA!V257</f>
        <v>0</v>
      </c>
      <c r="R256" s="46">
        <f>DATA!W257</f>
        <v>0</v>
      </c>
      <c r="S256" s="47"/>
      <c r="V256" s="46">
        <f>DATA!C257</f>
        <v>0</v>
      </c>
      <c r="W256" s="46">
        <f>DATA!D257</f>
        <v>0</v>
      </c>
      <c r="X256" s="46">
        <f>DATA!F257</f>
        <v>0</v>
      </c>
      <c r="Y256" s="46">
        <f>DATA!G257</f>
        <v>0</v>
      </c>
      <c r="Z256" s="46">
        <f>DATA!H257</f>
        <v>0</v>
      </c>
      <c r="AA256" s="46">
        <f>DATA!I257</f>
        <v>0</v>
      </c>
      <c r="AB256" s="46"/>
      <c r="AC256" s="46"/>
      <c r="AD256" s="45">
        <f>DATA!L257</f>
        <v>0</v>
      </c>
      <c r="AE256" s="46"/>
      <c r="AF256" s="46">
        <f>DATA!O257</f>
        <v>0</v>
      </c>
      <c r="AG256" s="46">
        <f>DATA!Q257</f>
        <v>0</v>
      </c>
      <c r="AH256" s="46">
        <f>DATA!R257</f>
        <v>0</v>
      </c>
      <c r="AI256" s="46"/>
      <c r="AJ256" s="46"/>
      <c r="AK256" s="46">
        <f>DATA!U257</f>
        <v>0</v>
      </c>
      <c r="AL256" s="46">
        <f>DATA!V257</f>
        <v>0</v>
      </c>
      <c r="AM256" s="46">
        <f>DATA!W257</f>
        <v>0</v>
      </c>
      <c r="AN256" s="47"/>
    </row>
    <row r="257" spans="1:40" s="48" customFormat="1" ht="23.25" hidden="1" customHeight="1" x14ac:dyDescent="0.45">
      <c r="A257" s="46">
        <f>DATA!C258</f>
        <v>0</v>
      </c>
      <c r="B257" s="46">
        <f>DATA!D258</f>
        <v>0</v>
      </c>
      <c r="C257" s="46">
        <f>DATA!F258</f>
        <v>0</v>
      </c>
      <c r="D257" s="46">
        <f>DATA!G258</f>
        <v>0</v>
      </c>
      <c r="E257" s="46">
        <f>DATA!H258</f>
        <v>0</v>
      </c>
      <c r="F257" s="46">
        <f>DATA!I258</f>
        <v>0</v>
      </c>
      <c r="G257" s="46"/>
      <c r="H257" s="46"/>
      <c r="I257" s="45">
        <f>DATA!L258</f>
        <v>0</v>
      </c>
      <c r="J257" s="46"/>
      <c r="K257" s="46">
        <f>DATA!O258</f>
        <v>0</v>
      </c>
      <c r="L257" s="46">
        <f>DATA!Q258</f>
        <v>0</v>
      </c>
      <c r="M257" s="46">
        <f>DATA!R258</f>
        <v>0</v>
      </c>
      <c r="N257" s="46"/>
      <c r="O257" s="46"/>
      <c r="P257" s="46">
        <f>DATA!U258</f>
        <v>0</v>
      </c>
      <c r="Q257" s="46">
        <f>DATA!V258</f>
        <v>0</v>
      </c>
      <c r="R257" s="46">
        <f>DATA!W258</f>
        <v>0</v>
      </c>
      <c r="S257" s="47"/>
      <c r="V257" s="46">
        <f>DATA!C258</f>
        <v>0</v>
      </c>
      <c r="W257" s="46">
        <f>DATA!D258</f>
        <v>0</v>
      </c>
      <c r="X257" s="46">
        <f>DATA!F258</f>
        <v>0</v>
      </c>
      <c r="Y257" s="46">
        <f>DATA!G258</f>
        <v>0</v>
      </c>
      <c r="Z257" s="46">
        <f>DATA!H258</f>
        <v>0</v>
      </c>
      <c r="AA257" s="46">
        <f>DATA!I258</f>
        <v>0</v>
      </c>
      <c r="AB257" s="46"/>
      <c r="AC257" s="46"/>
      <c r="AD257" s="45">
        <f>DATA!L258</f>
        <v>0</v>
      </c>
      <c r="AE257" s="46"/>
      <c r="AF257" s="46">
        <f>DATA!O258</f>
        <v>0</v>
      </c>
      <c r="AG257" s="46">
        <f>DATA!Q258</f>
        <v>0</v>
      </c>
      <c r="AH257" s="46">
        <f>DATA!R258</f>
        <v>0</v>
      </c>
      <c r="AI257" s="46"/>
      <c r="AJ257" s="46"/>
      <c r="AK257" s="46">
        <f>DATA!U258</f>
        <v>0</v>
      </c>
      <c r="AL257" s="46">
        <f>DATA!V258</f>
        <v>0</v>
      </c>
      <c r="AM257" s="46">
        <f>DATA!W258</f>
        <v>0</v>
      </c>
      <c r="AN257" s="47"/>
    </row>
    <row r="258" spans="1:40" s="48" customFormat="1" ht="23.25" hidden="1" customHeight="1" x14ac:dyDescent="0.45">
      <c r="A258" s="46">
        <f>DATA!C259</f>
        <v>0</v>
      </c>
      <c r="B258" s="46">
        <f>DATA!D259</f>
        <v>0</v>
      </c>
      <c r="C258" s="46">
        <f>DATA!F259</f>
        <v>0</v>
      </c>
      <c r="D258" s="46">
        <f>DATA!G259</f>
        <v>0</v>
      </c>
      <c r="E258" s="46">
        <f>DATA!H259</f>
        <v>0</v>
      </c>
      <c r="F258" s="46">
        <f>DATA!I259</f>
        <v>0</v>
      </c>
      <c r="G258" s="46"/>
      <c r="H258" s="46"/>
      <c r="I258" s="45">
        <f>DATA!L259</f>
        <v>0</v>
      </c>
      <c r="J258" s="46"/>
      <c r="K258" s="46">
        <f>DATA!O259</f>
        <v>0</v>
      </c>
      <c r="L258" s="46">
        <f>DATA!Q259</f>
        <v>0</v>
      </c>
      <c r="M258" s="46">
        <f>DATA!R259</f>
        <v>0</v>
      </c>
      <c r="N258" s="46"/>
      <c r="O258" s="46"/>
      <c r="P258" s="46">
        <f>DATA!U259</f>
        <v>0</v>
      </c>
      <c r="Q258" s="46">
        <f>DATA!V259</f>
        <v>0</v>
      </c>
      <c r="R258" s="46">
        <f>DATA!W259</f>
        <v>0</v>
      </c>
      <c r="S258" s="47"/>
      <c r="V258" s="46">
        <f>DATA!C259</f>
        <v>0</v>
      </c>
      <c r="W258" s="46">
        <f>DATA!D259</f>
        <v>0</v>
      </c>
      <c r="X258" s="46">
        <f>DATA!F259</f>
        <v>0</v>
      </c>
      <c r="Y258" s="46">
        <f>DATA!G259</f>
        <v>0</v>
      </c>
      <c r="Z258" s="46">
        <f>DATA!H259</f>
        <v>0</v>
      </c>
      <c r="AA258" s="46">
        <f>DATA!I259</f>
        <v>0</v>
      </c>
      <c r="AB258" s="46"/>
      <c r="AC258" s="46"/>
      <c r="AD258" s="45">
        <f>DATA!L259</f>
        <v>0</v>
      </c>
      <c r="AE258" s="46"/>
      <c r="AF258" s="46">
        <f>DATA!O259</f>
        <v>0</v>
      </c>
      <c r="AG258" s="46">
        <f>DATA!Q259</f>
        <v>0</v>
      </c>
      <c r="AH258" s="46">
        <f>DATA!R259</f>
        <v>0</v>
      </c>
      <c r="AI258" s="46"/>
      <c r="AJ258" s="46"/>
      <c r="AK258" s="46">
        <f>DATA!U259</f>
        <v>0</v>
      </c>
      <c r="AL258" s="46">
        <f>DATA!V259</f>
        <v>0</v>
      </c>
      <c r="AM258" s="46">
        <f>DATA!W259</f>
        <v>0</v>
      </c>
      <c r="AN258" s="47"/>
    </row>
    <row r="259" spans="1:40" s="48" customFormat="1" ht="23.25" hidden="1" customHeight="1" x14ac:dyDescent="0.45">
      <c r="A259" s="46">
        <f>DATA!C260</f>
        <v>0</v>
      </c>
      <c r="B259" s="46">
        <f>DATA!D260</f>
        <v>0</v>
      </c>
      <c r="C259" s="46">
        <f>DATA!F260</f>
        <v>0</v>
      </c>
      <c r="D259" s="46">
        <f>DATA!G260</f>
        <v>0</v>
      </c>
      <c r="E259" s="46">
        <f>DATA!H260</f>
        <v>0</v>
      </c>
      <c r="F259" s="46">
        <f>DATA!I260</f>
        <v>0</v>
      </c>
      <c r="G259" s="46"/>
      <c r="H259" s="46"/>
      <c r="I259" s="45">
        <f>DATA!L260</f>
        <v>0</v>
      </c>
      <c r="J259" s="46"/>
      <c r="K259" s="46">
        <f>DATA!O260</f>
        <v>0</v>
      </c>
      <c r="L259" s="46">
        <f>DATA!Q260</f>
        <v>0</v>
      </c>
      <c r="M259" s="46">
        <f>DATA!R260</f>
        <v>0</v>
      </c>
      <c r="N259" s="46"/>
      <c r="O259" s="46"/>
      <c r="P259" s="46">
        <f>DATA!U260</f>
        <v>0</v>
      </c>
      <c r="Q259" s="46">
        <f>DATA!V260</f>
        <v>0</v>
      </c>
      <c r="R259" s="46">
        <f>DATA!W260</f>
        <v>0</v>
      </c>
      <c r="S259" s="47"/>
      <c r="V259" s="46">
        <f>DATA!C260</f>
        <v>0</v>
      </c>
      <c r="W259" s="46">
        <f>DATA!D260</f>
        <v>0</v>
      </c>
      <c r="X259" s="46">
        <f>DATA!F260</f>
        <v>0</v>
      </c>
      <c r="Y259" s="46">
        <f>DATA!G260</f>
        <v>0</v>
      </c>
      <c r="Z259" s="46">
        <f>DATA!H260</f>
        <v>0</v>
      </c>
      <c r="AA259" s="46">
        <f>DATA!I260</f>
        <v>0</v>
      </c>
      <c r="AB259" s="46"/>
      <c r="AC259" s="46"/>
      <c r="AD259" s="45">
        <f>DATA!L260</f>
        <v>0</v>
      </c>
      <c r="AE259" s="46"/>
      <c r="AF259" s="46">
        <f>DATA!O260</f>
        <v>0</v>
      </c>
      <c r="AG259" s="46">
        <f>DATA!Q260</f>
        <v>0</v>
      </c>
      <c r="AH259" s="46">
        <f>DATA!R260</f>
        <v>0</v>
      </c>
      <c r="AI259" s="46"/>
      <c r="AJ259" s="46"/>
      <c r="AK259" s="46">
        <f>DATA!U260</f>
        <v>0</v>
      </c>
      <c r="AL259" s="46">
        <f>DATA!V260</f>
        <v>0</v>
      </c>
      <c r="AM259" s="46">
        <f>DATA!W260</f>
        <v>0</v>
      </c>
      <c r="AN259" s="47"/>
    </row>
    <row r="260" spans="1:40" s="48" customFormat="1" ht="23.25" hidden="1" customHeight="1" x14ac:dyDescent="0.45">
      <c r="A260" s="46">
        <f>DATA!C261</f>
        <v>0</v>
      </c>
      <c r="B260" s="46">
        <f>DATA!D261</f>
        <v>0</v>
      </c>
      <c r="C260" s="46">
        <f>DATA!F261</f>
        <v>0</v>
      </c>
      <c r="D260" s="46">
        <f>DATA!G261</f>
        <v>0</v>
      </c>
      <c r="E260" s="46">
        <f>DATA!H261</f>
        <v>0</v>
      </c>
      <c r="F260" s="46">
        <f>DATA!I261</f>
        <v>0</v>
      </c>
      <c r="G260" s="46"/>
      <c r="H260" s="46"/>
      <c r="I260" s="45">
        <f>DATA!L261</f>
        <v>0</v>
      </c>
      <c r="J260" s="46"/>
      <c r="K260" s="46">
        <f>DATA!O261</f>
        <v>0</v>
      </c>
      <c r="L260" s="46">
        <f>DATA!Q261</f>
        <v>0</v>
      </c>
      <c r="M260" s="46">
        <f>DATA!R261</f>
        <v>0</v>
      </c>
      <c r="N260" s="46"/>
      <c r="O260" s="46"/>
      <c r="P260" s="46">
        <f>DATA!U261</f>
        <v>0</v>
      </c>
      <c r="Q260" s="46">
        <f>DATA!V261</f>
        <v>0</v>
      </c>
      <c r="R260" s="46">
        <f>DATA!W261</f>
        <v>0</v>
      </c>
      <c r="S260" s="47"/>
      <c r="V260" s="46">
        <f>DATA!C261</f>
        <v>0</v>
      </c>
      <c r="W260" s="46">
        <f>DATA!D261</f>
        <v>0</v>
      </c>
      <c r="X260" s="46">
        <f>DATA!F261</f>
        <v>0</v>
      </c>
      <c r="Y260" s="46">
        <f>DATA!G261</f>
        <v>0</v>
      </c>
      <c r="Z260" s="46">
        <f>DATA!H261</f>
        <v>0</v>
      </c>
      <c r="AA260" s="46">
        <f>DATA!I261</f>
        <v>0</v>
      </c>
      <c r="AB260" s="46"/>
      <c r="AC260" s="46"/>
      <c r="AD260" s="45">
        <f>DATA!L261</f>
        <v>0</v>
      </c>
      <c r="AE260" s="46"/>
      <c r="AF260" s="46">
        <f>DATA!O261</f>
        <v>0</v>
      </c>
      <c r="AG260" s="46">
        <f>DATA!Q261</f>
        <v>0</v>
      </c>
      <c r="AH260" s="46">
        <f>DATA!R261</f>
        <v>0</v>
      </c>
      <c r="AI260" s="46"/>
      <c r="AJ260" s="46"/>
      <c r="AK260" s="46">
        <f>DATA!U261</f>
        <v>0</v>
      </c>
      <c r="AL260" s="46">
        <f>DATA!V261</f>
        <v>0</v>
      </c>
      <c r="AM260" s="46">
        <f>DATA!W261</f>
        <v>0</v>
      </c>
      <c r="AN260" s="47"/>
    </row>
    <row r="261" spans="1:40" s="48" customFormat="1" ht="23.25" hidden="1" customHeight="1" x14ac:dyDescent="0.45">
      <c r="A261" s="46">
        <f>DATA!C262</f>
        <v>0</v>
      </c>
      <c r="B261" s="46">
        <f>DATA!D262</f>
        <v>0</v>
      </c>
      <c r="C261" s="46">
        <f>DATA!F262</f>
        <v>0</v>
      </c>
      <c r="D261" s="46">
        <f>DATA!G262</f>
        <v>0</v>
      </c>
      <c r="E261" s="46">
        <f>DATA!H262</f>
        <v>0</v>
      </c>
      <c r="F261" s="46">
        <f>DATA!I262</f>
        <v>0</v>
      </c>
      <c r="G261" s="46"/>
      <c r="H261" s="46"/>
      <c r="I261" s="45">
        <f>DATA!L262</f>
        <v>0</v>
      </c>
      <c r="J261" s="46"/>
      <c r="K261" s="46">
        <f>DATA!O262</f>
        <v>0</v>
      </c>
      <c r="L261" s="46">
        <f>DATA!Q262</f>
        <v>0</v>
      </c>
      <c r="M261" s="46">
        <f>DATA!R262</f>
        <v>0</v>
      </c>
      <c r="N261" s="46"/>
      <c r="O261" s="46"/>
      <c r="P261" s="46">
        <f>DATA!U262</f>
        <v>0</v>
      </c>
      <c r="Q261" s="46">
        <f>DATA!V262</f>
        <v>0</v>
      </c>
      <c r="R261" s="46">
        <f>DATA!W262</f>
        <v>0</v>
      </c>
      <c r="S261" s="47"/>
      <c r="V261" s="46">
        <f>DATA!C262</f>
        <v>0</v>
      </c>
      <c r="W261" s="46">
        <f>DATA!D262</f>
        <v>0</v>
      </c>
      <c r="X261" s="46">
        <f>DATA!F262</f>
        <v>0</v>
      </c>
      <c r="Y261" s="46">
        <f>DATA!G262</f>
        <v>0</v>
      </c>
      <c r="Z261" s="46">
        <f>DATA!H262</f>
        <v>0</v>
      </c>
      <c r="AA261" s="46">
        <f>DATA!I262</f>
        <v>0</v>
      </c>
      <c r="AB261" s="46"/>
      <c r="AC261" s="46"/>
      <c r="AD261" s="45">
        <f>DATA!L262</f>
        <v>0</v>
      </c>
      <c r="AE261" s="46"/>
      <c r="AF261" s="46">
        <f>DATA!O262</f>
        <v>0</v>
      </c>
      <c r="AG261" s="46">
        <f>DATA!Q262</f>
        <v>0</v>
      </c>
      <c r="AH261" s="46">
        <f>DATA!R262</f>
        <v>0</v>
      </c>
      <c r="AI261" s="46"/>
      <c r="AJ261" s="46"/>
      <c r="AK261" s="46">
        <f>DATA!U262</f>
        <v>0</v>
      </c>
      <c r="AL261" s="46">
        <f>DATA!V262</f>
        <v>0</v>
      </c>
      <c r="AM261" s="46">
        <f>DATA!W262</f>
        <v>0</v>
      </c>
      <c r="AN261" s="47"/>
    </row>
    <row r="262" spans="1:40" s="48" customFormat="1" ht="23.25" hidden="1" customHeight="1" x14ac:dyDescent="0.45">
      <c r="A262" s="46">
        <f>DATA!C263</f>
        <v>0</v>
      </c>
      <c r="B262" s="46">
        <f>DATA!D263</f>
        <v>0</v>
      </c>
      <c r="C262" s="46">
        <f>DATA!F263</f>
        <v>0</v>
      </c>
      <c r="D262" s="46">
        <f>DATA!G263</f>
        <v>0</v>
      </c>
      <c r="E262" s="46">
        <f>DATA!H263</f>
        <v>0</v>
      </c>
      <c r="F262" s="46">
        <f>DATA!I263</f>
        <v>0</v>
      </c>
      <c r="G262" s="46"/>
      <c r="H262" s="46"/>
      <c r="I262" s="45">
        <f>DATA!L263</f>
        <v>0</v>
      </c>
      <c r="J262" s="46"/>
      <c r="K262" s="46">
        <f>DATA!O263</f>
        <v>0</v>
      </c>
      <c r="L262" s="46">
        <f>DATA!Q263</f>
        <v>0</v>
      </c>
      <c r="M262" s="46">
        <f>DATA!R263</f>
        <v>0</v>
      </c>
      <c r="N262" s="46"/>
      <c r="O262" s="46"/>
      <c r="P262" s="46">
        <f>DATA!U263</f>
        <v>0</v>
      </c>
      <c r="Q262" s="46">
        <f>DATA!V263</f>
        <v>0</v>
      </c>
      <c r="R262" s="46">
        <f>DATA!W263</f>
        <v>0</v>
      </c>
      <c r="S262" s="47"/>
      <c r="V262" s="46">
        <f>DATA!C263</f>
        <v>0</v>
      </c>
      <c r="W262" s="46">
        <f>DATA!D263</f>
        <v>0</v>
      </c>
      <c r="X262" s="46">
        <f>DATA!F263</f>
        <v>0</v>
      </c>
      <c r="Y262" s="46">
        <f>DATA!G263</f>
        <v>0</v>
      </c>
      <c r="Z262" s="46">
        <f>DATA!H263</f>
        <v>0</v>
      </c>
      <c r="AA262" s="46">
        <f>DATA!I263</f>
        <v>0</v>
      </c>
      <c r="AB262" s="46"/>
      <c r="AC262" s="46"/>
      <c r="AD262" s="45">
        <f>DATA!L263</f>
        <v>0</v>
      </c>
      <c r="AE262" s="46"/>
      <c r="AF262" s="46">
        <f>DATA!O263</f>
        <v>0</v>
      </c>
      <c r="AG262" s="46">
        <f>DATA!Q263</f>
        <v>0</v>
      </c>
      <c r="AH262" s="46">
        <f>DATA!R263</f>
        <v>0</v>
      </c>
      <c r="AI262" s="46"/>
      <c r="AJ262" s="46"/>
      <c r="AK262" s="46">
        <f>DATA!U263</f>
        <v>0</v>
      </c>
      <c r="AL262" s="46">
        <f>DATA!V263</f>
        <v>0</v>
      </c>
      <c r="AM262" s="46">
        <f>DATA!W263</f>
        <v>0</v>
      </c>
      <c r="AN262" s="47"/>
    </row>
    <row r="263" spans="1:40" s="48" customFormat="1" ht="23.25" hidden="1" customHeight="1" x14ac:dyDescent="0.45">
      <c r="A263" s="46">
        <f>DATA!C264</f>
        <v>0</v>
      </c>
      <c r="B263" s="46">
        <f>DATA!D264</f>
        <v>0</v>
      </c>
      <c r="C263" s="46">
        <f>DATA!F264</f>
        <v>0</v>
      </c>
      <c r="D263" s="46">
        <f>DATA!G264</f>
        <v>0</v>
      </c>
      <c r="E263" s="46">
        <f>DATA!H264</f>
        <v>0</v>
      </c>
      <c r="F263" s="46">
        <f>DATA!I264</f>
        <v>0</v>
      </c>
      <c r="G263" s="46"/>
      <c r="H263" s="46"/>
      <c r="I263" s="45">
        <f>DATA!L264</f>
        <v>0</v>
      </c>
      <c r="J263" s="46"/>
      <c r="K263" s="46">
        <f>DATA!O264</f>
        <v>0</v>
      </c>
      <c r="L263" s="46">
        <f>DATA!Q264</f>
        <v>0</v>
      </c>
      <c r="M263" s="46">
        <f>DATA!R264</f>
        <v>0</v>
      </c>
      <c r="N263" s="46"/>
      <c r="O263" s="46"/>
      <c r="P263" s="46">
        <f>DATA!U264</f>
        <v>0</v>
      </c>
      <c r="Q263" s="46">
        <f>DATA!V264</f>
        <v>0</v>
      </c>
      <c r="R263" s="46">
        <f>DATA!W264</f>
        <v>0</v>
      </c>
      <c r="S263" s="47"/>
      <c r="V263" s="46">
        <f>DATA!C264</f>
        <v>0</v>
      </c>
      <c r="W263" s="46">
        <f>DATA!D264</f>
        <v>0</v>
      </c>
      <c r="X263" s="46">
        <f>DATA!F264</f>
        <v>0</v>
      </c>
      <c r="Y263" s="46">
        <f>DATA!G264</f>
        <v>0</v>
      </c>
      <c r="Z263" s="46">
        <f>DATA!H264</f>
        <v>0</v>
      </c>
      <c r="AA263" s="46">
        <f>DATA!I264</f>
        <v>0</v>
      </c>
      <c r="AB263" s="46"/>
      <c r="AC263" s="46"/>
      <c r="AD263" s="45">
        <f>DATA!L264</f>
        <v>0</v>
      </c>
      <c r="AE263" s="46"/>
      <c r="AF263" s="46">
        <f>DATA!O264</f>
        <v>0</v>
      </c>
      <c r="AG263" s="46">
        <f>DATA!Q264</f>
        <v>0</v>
      </c>
      <c r="AH263" s="46">
        <f>DATA!R264</f>
        <v>0</v>
      </c>
      <c r="AI263" s="46"/>
      <c r="AJ263" s="46"/>
      <c r="AK263" s="46">
        <f>DATA!U264</f>
        <v>0</v>
      </c>
      <c r="AL263" s="46">
        <f>DATA!V264</f>
        <v>0</v>
      </c>
      <c r="AM263" s="46">
        <f>DATA!W264</f>
        <v>0</v>
      </c>
      <c r="AN263" s="47"/>
    </row>
    <row r="264" spans="1:40" s="48" customFormat="1" ht="23.25" hidden="1" customHeight="1" x14ac:dyDescent="0.45">
      <c r="A264" s="46">
        <f>DATA!C265</f>
        <v>0</v>
      </c>
      <c r="B264" s="46">
        <f>DATA!D265</f>
        <v>0</v>
      </c>
      <c r="C264" s="46">
        <f>DATA!F265</f>
        <v>0</v>
      </c>
      <c r="D264" s="46">
        <f>DATA!G265</f>
        <v>0</v>
      </c>
      <c r="E264" s="46">
        <f>DATA!H265</f>
        <v>0</v>
      </c>
      <c r="F264" s="46">
        <f>DATA!I265</f>
        <v>0</v>
      </c>
      <c r="G264" s="46"/>
      <c r="H264" s="46"/>
      <c r="I264" s="45">
        <f>DATA!L265</f>
        <v>0</v>
      </c>
      <c r="J264" s="46"/>
      <c r="K264" s="46">
        <f>DATA!O265</f>
        <v>0</v>
      </c>
      <c r="L264" s="46">
        <f>DATA!Q265</f>
        <v>0</v>
      </c>
      <c r="M264" s="46">
        <f>DATA!R265</f>
        <v>0</v>
      </c>
      <c r="N264" s="46"/>
      <c r="O264" s="46"/>
      <c r="P264" s="46">
        <f>DATA!U265</f>
        <v>0</v>
      </c>
      <c r="Q264" s="46">
        <f>DATA!V265</f>
        <v>0</v>
      </c>
      <c r="R264" s="46">
        <f>DATA!W265</f>
        <v>0</v>
      </c>
      <c r="S264" s="47"/>
      <c r="V264" s="46">
        <f>DATA!C265</f>
        <v>0</v>
      </c>
      <c r="W264" s="46">
        <f>DATA!D265</f>
        <v>0</v>
      </c>
      <c r="X264" s="46">
        <f>DATA!F265</f>
        <v>0</v>
      </c>
      <c r="Y264" s="46">
        <f>DATA!G265</f>
        <v>0</v>
      </c>
      <c r="Z264" s="46">
        <f>DATA!H265</f>
        <v>0</v>
      </c>
      <c r="AA264" s="46">
        <f>DATA!I265</f>
        <v>0</v>
      </c>
      <c r="AB264" s="46"/>
      <c r="AC264" s="46"/>
      <c r="AD264" s="45">
        <f>DATA!L265</f>
        <v>0</v>
      </c>
      <c r="AE264" s="46"/>
      <c r="AF264" s="46">
        <f>DATA!O265</f>
        <v>0</v>
      </c>
      <c r="AG264" s="46">
        <f>DATA!Q265</f>
        <v>0</v>
      </c>
      <c r="AH264" s="46">
        <f>DATA!R265</f>
        <v>0</v>
      </c>
      <c r="AI264" s="46"/>
      <c r="AJ264" s="46"/>
      <c r="AK264" s="46">
        <f>DATA!U265</f>
        <v>0</v>
      </c>
      <c r="AL264" s="46">
        <f>DATA!V265</f>
        <v>0</v>
      </c>
      <c r="AM264" s="46">
        <f>DATA!W265</f>
        <v>0</v>
      </c>
      <c r="AN264" s="47"/>
    </row>
    <row r="265" spans="1:40" s="48" customFormat="1" ht="23.25" hidden="1" customHeight="1" x14ac:dyDescent="0.45">
      <c r="A265" s="46">
        <f>DATA!C266</f>
        <v>0</v>
      </c>
      <c r="B265" s="46">
        <f>DATA!D266</f>
        <v>0</v>
      </c>
      <c r="C265" s="46">
        <f>DATA!F266</f>
        <v>0</v>
      </c>
      <c r="D265" s="46">
        <f>DATA!G266</f>
        <v>0</v>
      </c>
      <c r="E265" s="46">
        <f>DATA!H266</f>
        <v>0</v>
      </c>
      <c r="F265" s="46">
        <f>DATA!I266</f>
        <v>0</v>
      </c>
      <c r="G265" s="46"/>
      <c r="H265" s="46"/>
      <c r="I265" s="45">
        <f>DATA!L266</f>
        <v>0</v>
      </c>
      <c r="J265" s="46"/>
      <c r="K265" s="46">
        <f>DATA!O266</f>
        <v>0</v>
      </c>
      <c r="L265" s="46">
        <f>DATA!Q266</f>
        <v>0</v>
      </c>
      <c r="M265" s="46">
        <f>DATA!R266</f>
        <v>0</v>
      </c>
      <c r="N265" s="46"/>
      <c r="O265" s="46"/>
      <c r="P265" s="46">
        <f>DATA!U266</f>
        <v>0</v>
      </c>
      <c r="Q265" s="46">
        <f>DATA!V266</f>
        <v>0</v>
      </c>
      <c r="R265" s="46">
        <f>DATA!W266</f>
        <v>0</v>
      </c>
      <c r="S265" s="47"/>
      <c r="V265" s="46">
        <f>DATA!C266</f>
        <v>0</v>
      </c>
      <c r="W265" s="46">
        <f>DATA!D266</f>
        <v>0</v>
      </c>
      <c r="X265" s="46">
        <f>DATA!F266</f>
        <v>0</v>
      </c>
      <c r="Y265" s="46">
        <f>DATA!G266</f>
        <v>0</v>
      </c>
      <c r="Z265" s="46">
        <f>DATA!H266</f>
        <v>0</v>
      </c>
      <c r="AA265" s="46">
        <f>DATA!I266</f>
        <v>0</v>
      </c>
      <c r="AB265" s="46"/>
      <c r="AC265" s="46"/>
      <c r="AD265" s="45">
        <f>DATA!L266</f>
        <v>0</v>
      </c>
      <c r="AE265" s="46"/>
      <c r="AF265" s="46">
        <f>DATA!O266</f>
        <v>0</v>
      </c>
      <c r="AG265" s="46">
        <f>DATA!Q266</f>
        <v>0</v>
      </c>
      <c r="AH265" s="46">
        <f>DATA!R266</f>
        <v>0</v>
      </c>
      <c r="AI265" s="46"/>
      <c r="AJ265" s="46"/>
      <c r="AK265" s="46">
        <f>DATA!U266</f>
        <v>0</v>
      </c>
      <c r="AL265" s="46">
        <f>DATA!V266</f>
        <v>0</v>
      </c>
      <c r="AM265" s="46">
        <f>DATA!W266</f>
        <v>0</v>
      </c>
      <c r="AN265" s="47"/>
    </row>
    <row r="266" spans="1:40" s="48" customFormat="1" ht="23.25" hidden="1" customHeight="1" x14ac:dyDescent="0.45">
      <c r="A266" s="46">
        <f>DATA!C267</f>
        <v>0</v>
      </c>
      <c r="B266" s="46">
        <f>DATA!D267</f>
        <v>0</v>
      </c>
      <c r="C266" s="46">
        <f>DATA!F267</f>
        <v>0</v>
      </c>
      <c r="D266" s="46">
        <f>DATA!G267</f>
        <v>0</v>
      </c>
      <c r="E266" s="46">
        <f>DATA!H267</f>
        <v>0</v>
      </c>
      <c r="F266" s="46">
        <f>DATA!I267</f>
        <v>0</v>
      </c>
      <c r="G266" s="46"/>
      <c r="H266" s="46"/>
      <c r="I266" s="45">
        <f>DATA!L267</f>
        <v>0</v>
      </c>
      <c r="J266" s="46"/>
      <c r="K266" s="46">
        <f>DATA!O267</f>
        <v>0</v>
      </c>
      <c r="L266" s="46">
        <f>DATA!Q267</f>
        <v>0</v>
      </c>
      <c r="M266" s="46">
        <f>DATA!R267</f>
        <v>0</v>
      </c>
      <c r="N266" s="46"/>
      <c r="O266" s="46"/>
      <c r="P266" s="46">
        <f>DATA!U267</f>
        <v>0</v>
      </c>
      <c r="Q266" s="46">
        <f>DATA!V267</f>
        <v>0</v>
      </c>
      <c r="R266" s="46">
        <f>DATA!W267</f>
        <v>0</v>
      </c>
      <c r="S266" s="47"/>
      <c r="V266" s="46">
        <f>DATA!C267</f>
        <v>0</v>
      </c>
      <c r="W266" s="46">
        <f>DATA!D267</f>
        <v>0</v>
      </c>
      <c r="X266" s="46">
        <f>DATA!F267</f>
        <v>0</v>
      </c>
      <c r="Y266" s="46">
        <f>DATA!G267</f>
        <v>0</v>
      </c>
      <c r="Z266" s="46">
        <f>DATA!H267</f>
        <v>0</v>
      </c>
      <c r="AA266" s="46">
        <f>DATA!I267</f>
        <v>0</v>
      </c>
      <c r="AB266" s="46"/>
      <c r="AC266" s="46"/>
      <c r="AD266" s="45">
        <f>DATA!L267</f>
        <v>0</v>
      </c>
      <c r="AE266" s="46"/>
      <c r="AF266" s="46">
        <f>DATA!O267</f>
        <v>0</v>
      </c>
      <c r="AG266" s="46">
        <f>DATA!Q267</f>
        <v>0</v>
      </c>
      <c r="AH266" s="46">
        <f>DATA!R267</f>
        <v>0</v>
      </c>
      <c r="AI266" s="46"/>
      <c r="AJ266" s="46"/>
      <c r="AK266" s="46">
        <f>DATA!U267</f>
        <v>0</v>
      </c>
      <c r="AL266" s="46">
        <f>DATA!V267</f>
        <v>0</v>
      </c>
      <c r="AM266" s="46">
        <f>DATA!W267</f>
        <v>0</v>
      </c>
      <c r="AN266" s="47"/>
    </row>
    <row r="267" spans="1:40" s="48" customFormat="1" ht="23.25" hidden="1" customHeight="1" x14ac:dyDescent="0.45">
      <c r="A267" s="46">
        <f>DATA!C268</f>
        <v>0</v>
      </c>
      <c r="B267" s="46">
        <f>DATA!D268</f>
        <v>0</v>
      </c>
      <c r="C267" s="46">
        <f>DATA!F268</f>
        <v>0</v>
      </c>
      <c r="D267" s="46">
        <f>DATA!G268</f>
        <v>0</v>
      </c>
      <c r="E267" s="46">
        <f>DATA!H268</f>
        <v>0</v>
      </c>
      <c r="F267" s="46">
        <f>DATA!I268</f>
        <v>0</v>
      </c>
      <c r="G267" s="46"/>
      <c r="H267" s="46"/>
      <c r="I267" s="45">
        <f>DATA!L268</f>
        <v>0</v>
      </c>
      <c r="J267" s="46"/>
      <c r="K267" s="46">
        <f>DATA!O268</f>
        <v>0</v>
      </c>
      <c r="L267" s="46">
        <f>DATA!Q268</f>
        <v>0</v>
      </c>
      <c r="M267" s="46">
        <f>DATA!R268</f>
        <v>0</v>
      </c>
      <c r="N267" s="46"/>
      <c r="O267" s="46"/>
      <c r="P267" s="46">
        <f>DATA!U268</f>
        <v>0</v>
      </c>
      <c r="Q267" s="46">
        <f>DATA!V268</f>
        <v>0</v>
      </c>
      <c r="R267" s="46">
        <f>DATA!W268</f>
        <v>0</v>
      </c>
      <c r="S267" s="47"/>
      <c r="V267" s="46">
        <f>DATA!C268</f>
        <v>0</v>
      </c>
      <c r="W267" s="46">
        <f>DATA!D268</f>
        <v>0</v>
      </c>
      <c r="X267" s="46">
        <f>DATA!F268</f>
        <v>0</v>
      </c>
      <c r="Y267" s="46">
        <f>DATA!G268</f>
        <v>0</v>
      </c>
      <c r="Z267" s="46">
        <f>DATA!H268</f>
        <v>0</v>
      </c>
      <c r="AA267" s="46">
        <f>DATA!I268</f>
        <v>0</v>
      </c>
      <c r="AB267" s="46"/>
      <c r="AC267" s="46"/>
      <c r="AD267" s="45">
        <f>DATA!L268</f>
        <v>0</v>
      </c>
      <c r="AE267" s="46"/>
      <c r="AF267" s="46">
        <f>DATA!O268</f>
        <v>0</v>
      </c>
      <c r="AG267" s="46">
        <f>DATA!Q268</f>
        <v>0</v>
      </c>
      <c r="AH267" s="46">
        <f>DATA!R268</f>
        <v>0</v>
      </c>
      <c r="AI267" s="46"/>
      <c r="AJ267" s="46"/>
      <c r="AK267" s="46">
        <f>DATA!U268</f>
        <v>0</v>
      </c>
      <c r="AL267" s="46">
        <f>DATA!V268</f>
        <v>0</v>
      </c>
      <c r="AM267" s="46">
        <f>DATA!W268</f>
        <v>0</v>
      </c>
      <c r="AN267" s="47"/>
    </row>
    <row r="268" spans="1:40" s="48" customFormat="1" ht="23.25" hidden="1" customHeight="1" x14ac:dyDescent="0.45">
      <c r="A268" s="46">
        <f>DATA!C269</f>
        <v>0</v>
      </c>
      <c r="B268" s="46">
        <f>DATA!D269</f>
        <v>0</v>
      </c>
      <c r="C268" s="46">
        <f>DATA!F269</f>
        <v>0</v>
      </c>
      <c r="D268" s="46">
        <f>DATA!G269</f>
        <v>0</v>
      </c>
      <c r="E268" s="46">
        <f>DATA!H269</f>
        <v>0</v>
      </c>
      <c r="F268" s="46">
        <f>DATA!I269</f>
        <v>0</v>
      </c>
      <c r="G268" s="46"/>
      <c r="H268" s="46"/>
      <c r="I268" s="45">
        <f>DATA!L269</f>
        <v>0</v>
      </c>
      <c r="J268" s="46"/>
      <c r="K268" s="46">
        <f>DATA!O269</f>
        <v>0</v>
      </c>
      <c r="L268" s="46">
        <f>DATA!Q269</f>
        <v>0</v>
      </c>
      <c r="M268" s="46">
        <f>DATA!R269</f>
        <v>0</v>
      </c>
      <c r="N268" s="46"/>
      <c r="O268" s="46"/>
      <c r="P268" s="46">
        <f>DATA!U269</f>
        <v>0</v>
      </c>
      <c r="Q268" s="46">
        <f>DATA!V269</f>
        <v>0</v>
      </c>
      <c r="R268" s="46">
        <f>DATA!W269</f>
        <v>0</v>
      </c>
      <c r="S268" s="47"/>
      <c r="V268" s="46">
        <f>DATA!C269</f>
        <v>0</v>
      </c>
      <c r="W268" s="46">
        <f>DATA!D269</f>
        <v>0</v>
      </c>
      <c r="X268" s="46">
        <f>DATA!F269</f>
        <v>0</v>
      </c>
      <c r="Y268" s="46">
        <f>DATA!G269</f>
        <v>0</v>
      </c>
      <c r="Z268" s="46">
        <f>DATA!H269</f>
        <v>0</v>
      </c>
      <c r="AA268" s="46">
        <f>DATA!I269</f>
        <v>0</v>
      </c>
      <c r="AB268" s="46"/>
      <c r="AC268" s="46"/>
      <c r="AD268" s="45">
        <f>DATA!L269</f>
        <v>0</v>
      </c>
      <c r="AE268" s="46"/>
      <c r="AF268" s="46">
        <f>DATA!O269</f>
        <v>0</v>
      </c>
      <c r="AG268" s="46">
        <f>DATA!Q269</f>
        <v>0</v>
      </c>
      <c r="AH268" s="46">
        <f>DATA!R269</f>
        <v>0</v>
      </c>
      <c r="AI268" s="46"/>
      <c r="AJ268" s="46"/>
      <c r="AK268" s="46">
        <f>DATA!U269</f>
        <v>0</v>
      </c>
      <c r="AL268" s="46">
        <f>DATA!V269</f>
        <v>0</v>
      </c>
      <c r="AM268" s="46">
        <f>DATA!W269</f>
        <v>0</v>
      </c>
      <c r="AN268" s="47"/>
    </row>
    <row r="269" spans="1:40" s="48" customFormat="1" ht="23.25" hidden="1" customHeight="1" x14ac:dyDescent="0.45">
      <c r="A269" s="46">
        <f>DATA!C270</f>
        <v>0</v>
      </c>
      <c r="B269" s="46">
        <f>DATA!D270</f>
        <v>0</v>
      </c>
      <c r="C269" s="46">
        <f>DATA!F270</f>
        <v>0</v>
      </c>
      <c r="D269" s="46">
        <f>DATA!G270</f>
        <v>0</v>
      </c>
      <c r="E269" s="46">
        <f>DATA!H270</f>
        <v>0</v>
      </c>
      <c r="F269" s="46">
        <f>DATA!I270</f>
        <v>0</v>
      </c>
      <c r="G269" s="46"/>
      <c r="H269" s="46"/>
      <c r="I269" s="45">
        <f>DATA!L270</f>
        <v>0</v>
      </c>
      <c r="J269" s="46"/>
      <c r="K269" s="46">
        <f>DATA!O270</f>
        <v>0</v>
      </c>
      <c r="L269" s="46">
        <f>DATA!Q270</f>
        <v>0</v>
      </c>
      <c r="M269" s="46">
        <f>DATA!R270</f>
        <v>0</v>
      </c>
      <c r="N269" s="46"/>
      <c r="O269" s="46"/>
      <c r="P269" s="46">
        <f>DATA!U270</f>
        <v>0</v>
      </c>
      <c r="Q269" s="46">
        <f>DATA!V270</f>
        <v>0</v>
      </c>
      <c r="R269" s="46">
        <f>DATA!W270</f>
        <v>0</v>
      </c>
      <c r="S269" s="47"/>
      <c r="V269" s="46">
        <f>DATA!C270</f>
        <v>0</v>
      </c>
      <c r="W269" s="46">
        <f>DATA!D270</f>
        <v>0</v>
      </c>
      <c r="X269" s="46">
        <f>DATA!F270</f>
        <v>0</v>
      </c>
      <c r="Y269" s="46">
        <f>DATA!G270</f>
        <v>0</v>
      </c>
      <c r="Z269" s="46">
        <f>DATA!H270</f>
        <v>0</v>
      </c>
      <c r="AA269" s="46">
        <f>DATA!I270</f>
        <v>0</v>
      </c>
      <c r="AB269" s="46"/>
      <c r="AC269" s="46"/>
      <c r="AD269" s="45">
        <f>DATA!L270</f>
        <v>0</v>
      </c>
      <c r="AE269" s="46"/>
      <c r="AF269" s="46">
        <f>DATA!O270</f>
        <v>0</v>
      </c>
      <c r="AG269" s="46">
        <f>DATA!Q270</f>
        <v>0</v>
      </c>
      <c r="AH269" s="46">
        <f>DATA!R270</f>
        <v>0</v>
      </c>
      <c r="AI269" s="46"/>
      <c r="AJ269" s="46"/>
      <c r="AK269" s="46">
        <f>DATA!U270</f>
        <v>0</v>
      </c>
      <c r="AL269" s="46">
        <f>DATA!V270</f>
        <v>0</v>
      </c>
      <c r="AM269" s="46">
        <f>DATA!W270</f>
        <v>0</v>
      </c>
      <c r="AN269" s="47"/>
    </row>
    <row r="270" spans="1:40" s="48" customFormat="1" ht="23.25" hidden="1" customHeight="1" x14ac:dyDescent="0.45">
      <c r="A270" s="46">
        <f>DATA!C271</f>
        <v>0</v>
      </c>
      <c r="B270" s="46">
        <f>DATA!D271</f>
        <v>0</v>
      </c>
      <c r="C270" s="46">
        <f>DATA!F271</f>
        <v>0</v>
      </c>
      <c r="D270" s="46">
        <f>DATA!G271</f>
        <v>0</v>
      </c>
      <c r="E270" s="46">
        <f>DATA!H271</f>
        <v>0</v>
      </c>
      <c r="F270" s="46">
        <f>DATA!I271</f>
        <v>0</v>
      </c>
      <c r="G270" s="46"/>
      <c r="H270" s="46"/>
      <c r="I270" s="45">
        <f>DATA!L271</f>
        <v>0</v>
      </c>
      <c r="J270" s="46"/>
      <c r="K270" s="46">
        <f>DATA!O271</f>
        <v>0</v>
      </c>
      <c r="L270" s="46">
        <f>DATA!Q271</f>
        <v>0</v>
      </c>
      <c r="M270" s="46">
        <f>DATA!R271</f>
        <v>0</v>
      </c>
      <c r="N270" s="46"/>
      <c r="O270" s="46"/>
      <c r="P270" s="46">
        <f>DATA!U271</f>
        <v>0</v>
      </c>
      <c r="Q270" s="46">
        <f>DATA!V271</f>
        <v>0</v>
      </c>
      <c r="R270" s="46">
        <f>DATA!W271</f>
        <v>0</v>
      </c>
      <c r="S270" s="47"/>
      <c r="V270" s="46">
        <f>DATA!C271</f>
        <v>0</v>
      </c>
      <c r="W270" s="46">
        <f>DATA!D271</f>
        <v>0</v>
      </c>
      <c r="X270" s="46">
        <f>DATA!F271</f>
        <v>0</v>
      </c>
      <c r="Y270" s="46">
        <f>DATA!G271</f>
        <v>0</v>
      </c>
      <c r="Z270" s="46">
        <f>DATA!H271</f>
        <v>0</v>
      </c>
      <c r="AA270" s="46">
        <f>DATA!I271</f>
        <v>0</v>
      </c>
      <c r="AB270" s="46"/>
      <c r="AC270" s="46"/>
      <c r="AD270" s="45">
        <f>DATA!L271</f>
        <v>0</v>
      </c>
      <c r="AE270" s="46"/>
      <c r="AF270" s="46">
        <f>DATA!O271</f>
        <v>0</v>
      </c>
      <c r="AG270" s="46">
        <f>DATA!Q271</f>
        <v>0</v>
      </c>
      <c r="AH270" s="46">
        <f>DATA!R271</f>
        <v>0</v>
      </c>
      <c r="AI270" s="46"/>
      <c r="AJ270" s="46"/>
      <c r="AK270" s="46">
        <f>DATA!U271</f>
        <v>0</v>
      </c>
      <c r="AL270" s="46">
        <f>DATA!V271</f>
        <v>0</v>
      </c>
      <c r="AM270" s="46">
        <f>DATA!W271</f>
        <v>0</v>
      </c>
      <c r="AN270" s="47"/>
    </row>
    <row r="271" spans="1:40" s="48" customFormat="1" ht="23.25" hidden="1" customHeight="1" x14ac:dyDescent="0.45">
      <c r="A271" s="46">
        <f>DATA!C272</f>
        <v>0</v>
      </c>
      <c r="B271" s="46">
        <f>DATA!D272</f>
        <v>0</v>
      </c>
      <c r="C271" s="46">
        <f>DATA!F272</f>
        <v>0</v>
      </c>
      <c r="D271" s="46">
        <f>DATA!G272</f>
        <v>0</v>
      </c>
      <c r="E271" s="46">
        <f>DATA!H272</f>
        <v>0</v>
      </c>
      <c r="F271" s="46">
        <f>DATA!I272</f>
        <v>0</v>
      </c>
      <c r="G271" s="46"/>
      <c r="H271" s="46"/>
      <c r="I271" s="45">
        <f>DATA!L272</f>
        <v>0</v>
      </c>
      <c r="J271" s="46"/>
      <c r="K271" s="46">
        <f>DATA!O272</f>
        <v>0</v>
      </c>
      <c r="L271" s="46">
        <f>DATA!Q272</f>
        <v>0</v>
      </c>
      <c r="M271" s="46">
        <f>DATA!R272</f>
        <v>0</v>
      </c>
      <c r="N271" s="46"/>
      <c r="O271" s="46"/>
      <c r="P271" s="46">
        <f>DATA!U272</f>
        <v>0</v>
      </c>
      <c r="Q271" s="46">
        <f>DATA!V272</f>
        <v>0</v>
      </c>
      <c r="R271" s="46">
        <f>DATA!W272</f>
        <v>0</v>
      </c>
      <c r="S271" s="47"/>
      <c r="V271" s="46">
        <f>DATA!C272</f>
        <v>0</v>
      </c>
      <c r="W271" s="46">
        <f>DATA!D272</f>
        <v>0</v>
      </c>
      <c r="X271" s="46">
        <f>DATA!F272</f>
        <v>0</v>
      </c>
      <c r="Y271" s="46">
        <f>DATA!G272</f>
        <v>0</v>
      </c>
      <c r="Z271" s="46">
        <f>DATA!H272</f>
        <v>0</v>
      </c>
      <c r="AA271" s="46">
        <f>DATA!I272</f>
        <v>0</v>
      </c>
      <c r="AB271" s="46"/>
      <c r="AC271" s="46"/>
      <c r="AD271" s="45">
        <f>DATA!L272</f>
        <v>0</v>
      </c>
      <c r="AE271" s="46"/>
      <c r="AF271" s="46">
        <f>DATA!O272</f>
        <v>0</v>
      </c>
      <c r="AG271" s="46">
        <f>DATA!Q272</f>
        <v>0</v>
      </c>
      <c r="AH271" s="46">
        <f>DATA!R272</f>
        <v>0</v>
      </c>
      <c r="AI271" s="46"/>
      <c r="AJ271" s="46"/>
      <c r="AK271" s="46">
        <f>DATA!U272</f>
        <v>0</v>
      </c>
      <c r="AL271" s="46">
        <f>DATA!V272</f>
        <v>0</v>
      </c>
      <c r="AM271" s="46">
        <f>DATA!W272</f>
        <v>0</v>
      </c>
      <c r="AN271" s="47"/>
    </row>
    <row r="272" spans="1:40" s="48" customFormat="1" ht="23.25" hidden="1" customHeight="1" x14ac:dyDescent="0.45">
      <c r="A272" s="46">
        <f>DATA!C273</f>
        <v>0</v>
      </c>
      <c r="B272" s="46">
        <f>DATA!D273</f>
        <v>0</v>
      </c>
      <c r="C272" s="46">
        <f>DATA!F273</f>
        <v>0</v>
      </c>
      <c r="D272" s="46">
        <f>DATA!G273</f>
        <v>0</v>
      </c>
      <c r="E272" s="46">
        <f>DATA!H273</f>
        <v>0</v>
      </c>
      <c r="F272" s="46">
        <f>DATA!I273</f>
        <v>0</v>
      </c>
      <c r="G272" s="46"/>
      <c r="H272" s="46"/>
      <c r="I272" s="45">
        <f>DATA!L273</f>
        <v>0</v>
      </c>
      <c r="J272" s="46"/>
      <c r="K272" s="46">
        <f>DATA!O273</f>
        <v>0</v>
      </c>
      <c r="L272" s="46">
        <f>DATA!Q273</f>
        <v>0</v>
      </c>
      <c r="M272" s="46">
        <f>DATA!R273</f>
        <v>0</v>
      </c>
      <c r="N272" s="46"/>
      <c r="O272" s="46"/>
      <c r="P272" s="46">
        <f>DATA!U273</f>
        <v>0</v>
      </c>
      <c r="Q272" s="46">
        <f>DATA!V273</f>
        <v>0</v>
      </c>
      <c r="R272" s="46">
        <f>DATA!W273</f>
        <v>0</v>
      </c>
      <c r="S272" s="47"/>
      <c r="V272" s="46">
        <f>DATA!C273</f>
        <v>0</v>
      </c>
      <c r="W272" s="46">
        <f>DATA!D273</f>
        <v>0</v>
      </c>
      <c r="X272" s="46">
        <f>DATA!F273</f>
        <v>0</v>
      </c>
      <c r="Y272" s="46">
        <f>DATA!G273</f>
        <v>0</v>
      </c>
      <c r="Z272" s="46">
        <f>DATA!H273</f>
        <v>0</v>
      </c>
      <c r="AA272" s="46">
        <f>DATA!I273</f>
        <v>0</v>
      </c>
      <c r="AB272" s="46"/>
      <c r="AC272" s="46"/>
      <c r="AD272" s="45">
        <f>DATA!L273</f>
        <v>0</v>
      </c>
      <c r="AE272" s="46"/>
      <c r="AF272" s="46">
        <f>DATA!O273</f>
        <v>0</v>
      </c>
      <c r="AG272" s="46">
        <f>DATA!Q273</f>
        <v>0</v>
      </c>
      <c r="AH272" s="46">
        <f>DATA!R273</f>
        <v>0</v>
      </c>
      <c r="AI272" s="46"/>
      <c r="AJ272" s="46"/>
      <c r="AK272" s="46">
        <f>DATA!U273</f>
        <v>0</v>
      </c>
      <c r="AL272" s="46">
        <f>DATA!V273</f>
        <v>0</v>
      </c>
      <c r="AM272" s="46">
        <f>DATA!W273</f>
        <v>0</v>
      </c>
      <c r="AN272" s="47"/>
    </row>
    <row r="273" spans="1:40" s="48" customFormat="1" ht="23.25" hidden="1" customHeight="1" x14ac:dyDescent="0.45">
      <c r="A273" s="46">
        <f>DATA!C274</f>
        <v>0</v>
      </c>
      <c r="B273" s="46">
        <f>DATA!D274</f>
        <v>0</v>
      </c>
      <c r="C273" s="46">
        <f>DATA!F274</f>
        <v>0</v>
      </c>
      <c r="D273" s="46">
        <f>DATA!G274</f>
        <v>0</v>
      </c>
      <c r="E273" s="46">
        <f>DATA!H274</f>
        <v>0</v>
      </c>
      <c r="F273" s="46">
        <f>DATA!I274</f>
        <v>0</v>
      </c>
      <c r="G273" s="46"/>
      <c r="H273" s="46"/>
      <c r="I273" s="45">
        <f>DATA!L274</f>
        <v>0</v>
      </c>
      <c r="J273" s="46"/>
      <c r="K273" s="46">
        <f>DATA!O274</f>
        <v>0</v>
      </c>
      <c r="L273" s="46">
        <f>DATA!Q274</f>
        <v>0</v>
      </c>
      <c r="M273" s="46">
        <f>DATA!R274</f>
        <v>0</v>
      </c>
      <c r="N273" s="46"/>
      <c r="O273" s="46"/>
      <c r="P273" s="46">
        <f>DATA!U274</f>
        <v>0</v>
      </c>
      <c r="Q273" s="46">
        <f>DATA!V274</f>
        <v>0</v>
      </c>
      <c r="R273" s="46">
        <f>DATA!W274</f>
        <v>0</v>
      </c>
      <c r="S273" s="47"/>
      <c r="V273" s="46">
        <f>DATA!C274</f>
        <v>0</v>
      </c>
      <c r="W273" s="46">
        <f>DATA!D274</f>
        <v>0</v>
      </c>
      <c r="X273" s="46">
        <f>DATA!F274</f>
        <v>0</v>
      </c>
      <c r="Y273" s="46">
        <f>DATA!G274</f>
        <v>0</v>
      </c>
      <c r="Z273" s="46">
        <f>DATA!H274</f>
        <v>0</v>
      </c>
      <c r="AA273" s="46">
        <f>DATA!I274</f>
        <v>0</v>
      </c>
      <c r="AB273" s="46"/>
      <c r="AC273" s="46"/>
      <c r="AD273" s="45">
        <f>DATA!L274</f>
        <v>0</v>
      </c>
      <c r="AE273" s="46"/>
      <c r="AF273" s="46">
        <f>DATA!O274</f>
        <v>0</v>
      </c>
      <c r="AG273" s="46">
        <f>DATA!Q274</f>
        <v>0</v>
      </c>
      <c r="AH273" s="46">
        <f>DATA!R274</f>
        <v>0</v>
      </c>
      <c r="AI273" s="46"/>
      <c r="AJ273" s="46"/>
      <c r="AK273" s="46">
        <f>DATA!U274</f>
        <v>0</v>
      </c>
      <c r="AL273" s="46">
        <f>DATA!V274</f>
        <v>0</v>
      </c>
      <c r="AM273" s="46">
        <f>DATA!W274</f>
        <v>0</v>
      </c>
      <c r="AN273" s="47"/>
    </row>
    <row r="274" spans="1:40" s="48" customFormat="1" ht="23.25" hidden="1" customHeight="1" x14ac:dyDescent="0.45">
      <c r="A274" s="46">
        <f>DATA!C275</f>
        <v>0</v>
      </c>
      <c r="B274" s="46">
        <f>DATA!D275</f>
        <v>0</v>
      </c>
      <c r="C274" s="46">
        <f>DATA!F275</f>
        <v>0</v>
      </c>
      <c r="D274" s="46">
        <f>DATA!G275</f>
        <v>0</v>
      </c>
      <c r="E274" s="46">
        <f>DATA!H275</f>
        <v>0</v>
      </c>
      <c r="F274" s="46">
        <f>DATA!I275</f>
        <v>0</v>
      </c>
      <c r="G274" s="46"/>
      <c r="H274" s="46"/>
      <c r="I274" s="45">
        <f>DATA!L275</f>
        <v>0</v>
      </c>
      <c r="J274" s="46"/>
      <c r="K274" s="46">
        <f>DATA!O275</f>
        <v>0</v>
      </c>
      <c r="L274" s="46">
        <f>DATA!Q275</f>
        <v>0</v>
      </c>
      <c r="M274" s="46">
        <f>DATA!R275</f>
        <v>0</v>
      </c>
      <c r="N274" s="46"/>
      <c r="O274" s="46"/>
      <c r="P274" s="46">
        <f>DATA!U275</f>
        <v>0</v>
      </c>
      <c r="Q274" s="46">
        <f>DATA!V275</f>
        <v>0</v>
      </c>
      <c r="R274" s="46">
        <f>DATA!W275</f>
        <v>0</v>
      </c>
      <c r="S274" s="47"/>
      <c r="V274" s="46">
        <f>DATA!C275</f>
        <v>0</v>
      </c>
      <c r="W274" s="46">
        <f>DATA!D275</f>
        <v>0</v>
      </c>
      <c r="X274" s="46">
        <f>DATA!F275</f>
        <v>0</v>
      </c>
      <c r="Y274" s="46">
        <f>DATA!G275</f>
        <v>0</v>
      </c>
      <c r="Z274" s="46">
        <f>DATA!H275</f>
        <v>0</v>
      </c>
      <c r="AA274" s="46">
        <f>DATA!I275</f>
        <v>0</v>
      </c>
      <c r="AB274" s="46"/>
      <c r="AC274" s="46"/>
      <c r="AD274" s="45">
        <f>DATA!L275</f>
        <v>0</v>
      </c>
      <c r="AE274" s="46"/>
      <c r="AF274" s="46">
        <f>DATA!O275</f>
        <v>0</v>
      </c>
      <c r="AG274" s="46">
        <f>DATA!Q275</f>
        <v>0</v>
      </c>
      <c r="AH274" s="46">
        <f>DATA!R275</f>
        <v>0</v>
      </c>
      <c r="AI274" s="46"/>
      <c r="AJ274" s="46"/>
      <c r="AK274" s="46">
        <f>DATA!U275</f>
        <v>0</v>
      </c>
      <c r="AL274" s="46">
        <f>DATA!V275</f>
        <v>0</v>
      </c>
      <c r="AM274" s="46">
        <f>DATA!W275</f>
        <v>0</v>
      </c>
      <c r="AN274" s="47"/>
    </row>
    <row r="275" spans="1:40" s="48" customFormat="1" ht="23.25" hidden="1" customHeight="1" x14ac:dyDescent="0.45">
      <c r="A275" s="46">
        <f>DATA!C276</f>
        <v>0</v>
      </c>
      <c r="B275" s="46">
        <f>DATA!D276</f>
        <v>0</v>
      </c>
      <c r="C275" s="46">
        <f>DATA!F276</f>
        <v>0</v>
      </c>
      <c r="D275" s="46">
        <f>DATA!G276</f>
        <v>0</v>
      </c>
      <c r="E275" s="46">
        <f>DATA!H276</f>
        <v>0</v>
      </c>
      <c r="F275" s="46">
        <f>DATA!I276</f>
        <v>0</v>
      </c>
      <c r="G275" s="46"/>
      <c r="H275" s="46"/>
      <c r="I275" s="45">
        <f>DATA!L276</f>
        <v>0</v>
      </c>
      <c r="J275" s="46"/>
      <c r="K275" s="46">
        <f>DATA!O276</f>
        <v>0</v>
      </c>
      <c r="L275" s="46">
        <f>DATA!Q276</f>
        <v>0</v>
      </c>
      <c r="M275" s="46">
        <f>DATA!R276</f>
        <v>0</v>
      </c>
      <c r="N275" s="46"/>
      <c r="O275" s="46"/>
      <c r="P275" s="46">
        <f>DATA!U276</f>
        <v>0</v>
      </c>
      <c r="Q275" s="46">
        <f>DATA!V276</f>
        <v>0</v>
      </c>
      <c r="R275" s="46">
        <f>DATA!W276</f>
        <v>0</v>
      </c>
      <c r="S275" s="47"/>
      <c r="V275" s="46">
        <f>DATA!C276</f>
        <v>0</v>
      </c>
      <c r="W275" s="46">
        <f>DATA!D276</f>
        <v>0</v>
      </c>
      <c r="X275" s="46">
        <f>DATA!F276</f>
        <v>0</v>
      </c>
      <c r="Y275" s="46">
        <f>DATA!G276</f>
        <v>0</v>
      </c>
      <c r="Z275" s="46">
        <f>DATA!H276</f>
        <v>0</v>
      </c>
      <c r="AA275" s="46">
        <f>DATA!I276</f>
        <v>0</v>
      </c>
      <c r="AB275" s="46"/>
      <c r="AC275" s="46"/>
      <c r="AD275" s="45">
        <f>DATA!L276</f>
        <v>0</v>
      </c>
      <c r="AE275" s="46"/>
      <c r="AF275" s="46">
        <f>DATA!O276</f>
        <v>0</v>
      </c>
      <c r="AG275" s="46">
        <f>DATA!Q276</f>
        <v>0</v>
      </c>
      <c r="AH275" s="46">
        <f>DATA!R276</f>
        <v>0</v>
      </c>
      <c r="AI275" s="46"/>
      <c r="AJ275" s="46"/>
      <c r="AK275" s="46">
        <f>DATA!U276</f>
        <v>0</v>
      </c>
      <c r="AL275" s="46">
        <f>DATA!V276</f>
        <v>0</v>
      </c>
      <c r="AM275" s="46">
        <f>DATA!W276</f>
        <v>0</v>
      </c>
      <c r="AN275" s="47"/>
    </row>
    <row r="276" spans="1:40" s="48" customFormat="1" ht="23.25" hidden="1" customHeight="1" x14ac:dyDescent="0.45">
      <c r="A276" s="46">
        <f>DATA!C277</f>
        <v>0</v>
      </c>
      <c r="B276" s="46">
        <f>DATA!D277</f>
        <v>0</v>
      </c>
      <c r="C276" s="46">
        <f>DATA!F277</f>
        <v>0</v>
      </c>
      <c r="D276" s="46">
        <f>DATA!G277</f>
        <v>0</v>
      </c>
      <c r="E276" s="46">
        <f>DATA!H277</f>
        <v>0</v>
      </c>
      <c r="F276" s="46">
        <f>DATA!I277</f>
        <v>0</v>
      </c>
      <c r="G276" s="46"/>
      <c r="H276" s="46"/>
      <c r="I276" s="45">
        <f>DATA!L277</f>
        <v>0</v>
      </c>
      <c r="J276" s="46"/>
      <c r="K276" s="46">
        <f>DATA!O277</f>
        <v>0</v>
      </c>
      <c r="L276" s="46">
        <f>DATA!Q277</f>
        <v>0</v>
      </c>
      <c r="M276" s="46">
        <f>DATA!R277</f>
        <v>0</v>
      </c>
      <c r="N276" s="46"/>
      <c r="O276" s="46"/>
      <c r="P276" s="46">
        <f>DATA!U277</f>
        <v>0</v>
      </c>
      <c r="Q276" s="46">
        <f>DATA!V277</f>
        <v>0</v>
      </c>
      <c r="R276" s="46">
        <f>DATA!W277</f>
        <v>0</v>
      </c>
      <c r="S276" s="44"/>
      <c r="V276" s="46">
        <f>DATA!C277</f>
        <v>0</v>
      </c>
      <c r="W276" s="46">
        <f>DATA!D277</f>
        <v>0</v>
      </c>
      <c r="X276" s="46">
        <f>DATA!F277</f>
        <v>0</v>
      </c>
      <c r="Y276" s="46">
        <f>DATA!G277</f>
        <v>0</v>
      </c>
      <c r="Z276" s="46">
        <f>DATA!H277</f>
        <v>0</v>
      </c>
      <c r="AA276" s="46">
        <f>DATA!I277</f>
        <v>0</v>
      </c>
      <c r="AB276" s="46"/>
      <c r="AC276" s="46"/>
      <c r="AD276" s="45">
        <f>DATA!L277</f>
        <v>0</v>
      </c>
      <c r="AE276" s="46"/>
      <c r="AF276" s="46">
        <f>DATA!O277</f>
        <v>0</v>
      </c>
      <c r="AG276" s="46">
        <f>DATA!Q277</f>
        <v>0</v>
      </c>
      <c r="AH276" s="46">
        <f>DATA!R277</f>
        <v>0</v>
      </c>
      <c r="AI276" s="46"/>
      <c r="AJ276" s="46"/>
      <c r="AK276" s="46">
        <f>DATA!U277</f>
        <v>0</v>
      </c>
      <c r="AL276" s="46">
        <f>DATA!V277</f>
        <v>0</v>
      </c>
      <c r="AM276" s="46">
        <f>DATA!W277</f>
        <v>0</v>
      </c>
      <c r="AN276" s="44"/>
    </row>
    <row r="277" spans="1:40" s="48" customFormat="1" ht="23.25" hidden="1" customHeight="1" x14ac:dyDescent="0.45">
      <c r="A277" s="46">
        <f>DATA!C278</f>
        <v>0</v>
      </c>
      <c r="B277" s="46">
        <f>DATA!D278</f>
        <v>0</v>
      </c>
      <c r="C277" s="46">
        <f>DATA!F278</f>
        <v>0</v>
      </c>
      <c r="D277" s="46">
        <f>DATA!G278</f>
        <v>0</v>
      </c>
      <c r="E277" s="46">
        <f>DATA!H278</f>
        <v>0</v>
      </c>
      <c r="F277" s="46">
        <f>DATA!I278</f>
        <v>0</v>
      </c>
      <c r="G277" s="46"/>
      <c r="H277" s="46"/>
      <c r="I277" s="45">
        <f>DATA!L278</f>
        <v>0</v>
      </c>
      <c r="J277" s="46"/>
      <c r="K277" s="46">
        <f>DATA!O278</f>
        <v>0</v>
      </c>
      <c r="L277" s="46">
        <f>DATA!Q278</f>
        <v>0</v>
      </c>
      <c r="M277" s="46">
        <f>DATA!R278</f>
        <v>0</v>
      </c>
      <c r="N277" s="46"/>
      <c r="O277" s="46"/>
      <c r="P277" s="46">
        <f>DATA!U278</f>
        <v>0</v>
      </c>
      <c r="Q277" s="46">
        <f>DATA!V278</f>
        <v>0</v>
      </c>
      <c r="R277" s="46">
        <f>DATA!W278</f>
        <v>0</v>
      </c>
      <c r="S277" s="44"/>
      <c r="V277" s="46">
        <f>DATA!C278</f>
        <v>0</v>
      </c>
      <c r="W277" s="46">
        <f>DATA!D278</f>
        <v>0</v>
      </c>
      <c r="X277" s="46">
        <f>DATA!F278</f>
        <v>0</v>
      </c>
      <c r="Y277" s="46">
        <f>DATA!G278</f>
        <v>0</v>
      </c>
      <c r="Z277" s="46">
        <f>DATA!H278</f>
        <v>0</v>
      </c>
      <c r="AA277" s="46">
        <f>DATA!I278</f>
        <v>0</v>
      </c>
      <c r="AB277" s="46"/>
      <c r="AC277" s="46"/>
      <c r="AD277" s="45">
        <f>DATA!L278</f>
        <v>0</v>
      </c>
      <c r="AE277" s="46"/>
      <c r="AF277" s="46">
        <f>DATA!O278</f>
        <v>0</v>
      </c>
      <c r="AG277" s="46">
        <f>DATA!Q278</f>
        <v>0</v>
      </c>
      <c r="AH277" s="46">
        <f>DATA!R278</f>
        <v>0</v>
      </c>
      <c r="AI277" s="46"/>
      <c r="AJ277" s="46"/>
      <c r="AK277" s="46">
        <f>DATA!U278</f>
        <v>0</v>
      </c>
      <c r="AL277" s="46">
        <f>DATA!V278</f>
        <v>0</v>
      </c>
      <c r="AM277" s="46">
        <f>DATA!W278</f>
        <v>0</v>
      </c>
      <c r="AN277" s="44"/>
    </row>
    <row r="278" spans="1:40" s="48" customFormat="1" ht="23.25" hidden="1" customHeight="1" x14ac:dyDescent="0.45">
      <c r="A278" s="46">
        <f>DATA!C279</f>
        <v>0</v>
      </c>
      <c r="B278" s="46">
        <f>DATA!D279</f>
        <v>0</v>
      </c>
      <c r="C278" s="46">
        <f>DATA!F279</f>
        <v>0</v>
      </c>
      <c r="D278" s="46">
        <f>DATA!G279</f>
        <v>0</v>
      </c>
      <c r="E278" s="46">
        <f>DATA!H279</f>
        <v>0</v>
      </c>
      <c r="F278" s="46">
        <f>DATA!I279</f>
        <v>0</v>
      </c>
      <c r="G278" s="46"/>
      <c r="H278" s="46"/>
      <c r="I278" s="45">
        <f>DATA!L279</f>
        <v>0</v>
      </c>
      <c r="J278" s="46"/>
      <c r="K278" s="46">
        <f>DATA!O279</f>
        <v>0</v>
      </c>
      <c r="L278" s="46">
        <f>DATA!Q279</f>
        <v>0</v>
      </c>
      <c r="M278" s="46">
        <f>DATA!R279</f>
        <v>0</v>
      </c>
      <c r="N278" s="46"/>
      <c r="O278" s="46"/>
      <c r="P278" s="46">
        <f>DATA!U279</f>
        <v>0</v>
      </c>
      <c r="Q278" s="46">
        <f>DATA!V279</f>
        <v>0</v>
      </c>
      <c r="R278" s="46">
        <f>DATA!W279</f>
        <v>0</v>
      </c>
      <c r="S278" s="44"/>
      <c r="V278" s="46">
        <f>DATA!C279</f>
        <v>0</v>
      </c>
      <c r="W278" s="46">
        <f>DATA!D279</f>
        <v>0</v>
      </c>
      <c r="X278" s="46">
        <f>DATA!F279</f>
        <v>0</v>
      </c>
      <c r="Y278" s="46">
        <f>DATA!G279</f>
        <v>0</v>
      </c>
      <c r="Z278" s="46">
        <f>DATA!H279</f>
        <v>0</v>
      </c>
      <c r="AA278" s="46">
        <f>DATA!I279</f>
        <v>0</v>
      </c>
      <c r="AB278" s="46"/>
      <c r="AC278" s="46"/>
      <c r="AD278" s="45">
        <f>DATA!L279</f>
        <v>0</v>
      </c>
      <c r="AE278" s="46"/>
      <c r="AF278" s="46">
        <f>DATA!O279</f>
        <v>0</v>
      </c>
      <c r="AG278" s="46">
        <f>DATA!Q279</f>
        <v>0</v>
      </c>
      <c r="AH278" s="46">
        <f>DATA!R279</f>
        <v>0</v>
      </c>
      <c r="AI278" s="46"/>
      <c r="AJ278" s="46"/>
      <c r="AK278" s="46">
        <f>DATA!U279</f>
        <v>0</v>
      </c>
      <c r="AL278" s="46">
        <f>DATA!V279</f>
        <v>0</v>
      </c>
      <c r="AM278" s="46">
        <f>DATA!W279</f>
        <v>0</v>
      </c>
      <c r="AN278" s="44"/>
    </row>
    <row r="279" spans="1:40" s="48" customFormat="1" ht="23.25" hidden="1" customHeight="1" x14ac:dyDescent="0.45">
      <c r="A279" s="46">
        <f>DATA!C280</f>
        <v>0</v>
      </c>
      <c r="B279" s="46">
        <f>DATA!D280</f>
        <v>0</v>
      </c>
      <c r="C279" s="46">
        <f>DATA!F280</f>
        <v>0</v>
      </c>
      <c r="D279" s="46">
        <f>DATA!G280</f>
        <v>0</v>
      </c>
      <c r="E279" s="46">
        <f>DATA!H280</f>
        <v>0</v>
      </c>
      <c r="F279" s="46">
        <f>DATA!I280</f>
        <v>0</v>
      </c>
      <c r="G279" s="46"/>
      <c r="H279" s="46"/>
      <c r="I279" s="45">
        <f>DATA!L280</f>
        <v>0</v>
      </c>
      <c r="J279" s="46"/>
      <c r="K279" s="46">
        <f>DATA!O280</f>
        <v>0</v>
      </c>
      <c r="L279" s="46">
        <f>DATA!Q280</f>
        <v>0</v>
      </c>
      <c r="M279" s="46">
        <f>DATA!R280</f>
        <v>0</v>
      </c>
      <c r="N279" s="46"/>
      <c r="O279" s="46"/>
      <c r="P279" s="46">
        <f>DATA!U280</f>
        <v>0</v>
      </c>
      <c r="Q279" s="46">
        <f>DATA!V280</f>
        <v>0</v>
      </c>
      <c r="R279" s="46">
        <f>DATA!W280</f>
        <v>0</v>
      </c>
      <c r="S279" s="44"/>
      <c r="V279" s="46">
        <f>DATA!C280</f>
        <v>0</v>
      </c>
      <c r="W279" s="46">
        <f>DATA!D280</f>
        <v>0</v>
      </c>
      <c r="X279" s="46">
        <f>DATA!F280</f>
        <v>0</v>
      </c>
      <c r="Y279" s="46">
        <f>DATA!G280</f>
        <v>0</v>
      </c>
      <c r="Z279" s="46">
        <f>DATA!H280</f>
        <v>0</v>
      </c>
      <c r="AA279" s="46">
        <f>DATA!I280</f>
        <v>0</v>
      </c>
      <c r="AB279" s="46"/>
      <c r="AC279" s="46"/>
      <c r="AD279" s="45">
        <f>DATA!L280</f>
        <v>0</v>
      </c>
      <c r="AE279" s="46"/>
      <c r="AF279" s="46">
        <f>DATA!O280</f>
        <v>0</v>
      </c>
      <c r="AG279" s="46">
        <f>DATA!Q280</f>
        <v>0</v>
      </c>
      <c r="AH279" s="46">
        <f>DATA!R280</f>
        <v>0</v>
      </c>
      <c r="AI279" s="46"/>
      <c r="AJ279" s="46"/>
      <c r="AK279" s="46">
        <f>DATA!U280</f>
        <v>0</v>
      </c>
      <c r="AL279" s="46">
        <f>DATA!V280</f>
        <v>0</v>
      </c>
      <c r="AM279" s="46">
        <f>DATA!W280</f>
        <v>0</v>
      </c>
      <c r="AN279" s="44"/>
    </row>
    <row r="280" spans="1:40" s="48" customFormat="1" ht="23.25" hidden="1" customHeight="1" x14ac:dyDescent="0.45">
      <c r="A280" s="46">
        <f>DATA!C281</f>
        <v>0</v>
      </c>
      <c r="B280" s="46">
        <f>DATA!D281</f>
        <v>0</v>
      </c>
      <c r="C280" s="46">
        <f>DATA!F281</f>
        <v>0</v>
      </c>
      <c r="D280" s="46">
        <f>DATA!G281</f>
        <v>0</v>
      </c>
      <c r="E280" s="46">
        <f>DATA!H281</f>
        <v>0</v>
      </c>
      <c r="F280" s="46">
        <f>DATA!I281</f>
        <v>0</v>
      </c>
      <c r="G280" s="46"/>
      <c r="H280" s="46"/>
      <c r="I280" s="45">
        <f>DATA!L281</f>
        <v>0</v>
      </c>
      <c r="J280" s="46"/>
      <c r="K280" s="46">
        <f>DATA!O281</f>
        <v>0</v>
      </c>
      <c r="L280" s="46">
        <f>DATA!Q281</f>
        <v>0</v>
      </c>
      <c r="M280" s="46">
        <f>DATA!R281</f>
        <v>0</v>
      </c>
      <c r="N280" s="46"/>
      <c r="O280" s="46"/>
      <c r="P280" s="46">
        <f>DATA!U281</f>
        <v>0</v>
      </c>
      <c r="Q280" s="46">
        <f>DATA!V281</f>
        <v>0</v>
      </c>
      <c r="R280" s="46">
        <f>DATA!W281</f>
        <v>0</v>
      </c>
      <c r="S280" s="44"/>
      <c r="V280" s="46">
        <f>DATA!C281</f>
        <v>0</v>
      </c>
      <c r="W280" s="46">
        <f>DATA!D281</f>
        <v>0</v>
      </c>
      <c r="X280" s="46">
        <f>DATA!F281</f>
        <v>0</v>
      </c>
      <c r="Y280" s="46">
        <f>DATA!G281</f>
        <v>0</v>
      </c>
      <c r="Z280" s="46">
        <f>DATA!H281</f>
        <v>0</v>
      </c>
      <c r="AA280" s="46">
        <f>DATA!I281</f>
        <v>0</v>
      </c>
      <c r="AB280" s="46"/>
      <c r="AC280" s="46"/>
      <c r="AD280" s="45">
        <f>DATA!L281</f>
        <v>0</v>
      </c>
      <c r="AE280" s="46"/>
      <c r="AF280" s="46">
        <f>DATA!O281</f>
        <v>0</v>
      </c>
      <c r="AG280" s="46">
        <f>DATA!Q281</f>
        <v>0</v>
      </c>
      <c r="AH280" s="46">
        <f>DATA!R281</f>
        <v>0</v>
      </c>
      <c r="AI280" s="46"/>
      <c r="AJ280" s="46"/>
      <c r="AK280" s="46">
        <f>DATA!U281</f>
        <v>0</v>
      </c>
      <c r="AL280" s="46">
        <f>DATA!V281</f>
        <v>0</v>
      </c>
      <c r="AM280" s="46">
        <f>DATA!W281</f>
        <v>0</v>
      </c>
      <c r="AN280" s="44"/>
    </row>
    <row r="281" spans="1:40" s="48" customFormat="1" ht="23.25" hidden="1" customHeight="1" x14ac:dyDescent="0.45">
      <c r="A281" s="46">
        <f>DATA!C282</f>
        <v>0</v>
      </c>
      <c r="B281" s="46">
        <f>DATA!D282</f>
        <v>0</v>
      </c>
      <c r="C281" s="46">
        <f>DATA!F282</f>
        <v>0</v>
      </c>
      <c r="D281" s="46">
        <f>DATA!G282</f>
        <v>0</v>
      </c>
      <c r="E281" s="46">
        <f>DATA!H282</f>
        <v>0</v>
      </c>
      <c r="F281" s="46">
        <f>DATA!I282</f>
        <v>0</v>
      </c>
      <c r="G281" s="46"/>
      <c r="H281" s="46"/>
      <c r="I281" s="45">
        <f>DATA!L282</f>
        <v>0</v>
      </c>
      <c r="J281" s="46"/>
      <c r="K281" s="46">
        <f>DATA!O282</f>
        <v>0</v>
      </c>
      <c r="L281" s="46">
        <f>DATA!Q282</f>
        <v>0</v>
      </c>
      <c r="M281" s="46">
        <f>DATA!R282</f>
        <v>0</v>
      </c>
      <c r="N281" s="46"/>
      <c r="O281" s="46"/>
      <c r="P281" s="46">
        <f>DATA!U282</f>
        <v>0</v>
      </c>
      <c r="Q281" s="46">
        <f>DATA!V282</f>
        <v>0</v>
      </c>
      <c r="R281" s="46">
        <f>DATA!W282</f>
        <v>0</v>
      </c>
      <c r="S281" s="44"/>
      <c r="V281" s="46">
        <f>DATA!C282</f>
        <v>0</v>
      </c>
      <c r="W281" s="46">
        <f>DATA!D282</f>
        <v>0</v>
      </c>
      <c r="X281" s="46">
        <f>DATA!F282</f>
        <v>0</v>
      </c>
      <c r="Y281" s="46">
        <f>DATA!G282</f>
        <v>0</v>
      </c>
      <c r="Z281" s="46">
        <f>DATA!H282</f>
        <v>0</v>
      </c>
      <c r="AA281" s="46">
        <f>DATA!I282</f>
        <v>0</v>
      </c>
      <c r="AB281" s="46"/>
      <c r="AC281" s="46"/>
      <c r="AD281" s="45">
        <f>DATA!L282</f>
        <v>0</v>
      </c>
      <c r="AE281" s="46"/>
      <c r="AF281" s="46">
        <f>DATA!O282</f>
        <v>0</v>
      </c>
      <c r="AG281" s="46">
        <f>DATA!Q282</f>
        <v>0</v>
      </c>
      <c r="AH281" s="46">
        <f>DATA!R282</f>
        <v>0</v>
      </c>
      <c r="AI281" s="46"/>
      <c r="AJ281" s="46"/>
      <c r="AK281" s="46">
        <f>DATA!U282</f>
        <v>0</v>
      </c>
      <c r="AL281" s="46">
        <f>DATA!V282</f>
        <v>0</v>
      </c>
      <c r="AM281" s="46">
        <f>DATA!W282</f>
        <v>0</v>
      </c>
      <c r="AN281" s="44"/>
    </row>
    <row r="282" spans="1:40" s="48" customFormat="1" ht="23.25" hidden="1" customHeight="1" x14ac:dyDescent="0.45">
      <c r="A282" s="46">
        <f>DATA!C283</f>
        <v>0</v>
      </c>
      <c r="B282" s="46">
        <f>DATA!D283</f>
        <v>0</v>
      </c>
      <c r="C282" s="46">
        <f>DATA!F283</f>
        <v>0</v>
      </c>
      <c r="D282" s="46">
        <f>DATA!G283</f>
        <v>0</v>
      </c>
      <c r="E282" s="46">
        <f>DATA!H283</f>
        <v>0</v>
      </c>
      <c r="F282" s="46">
        <f>DATA!I283</f>
        <v>0</v>
      </c>
      <c r="G282" s="46"/>
      <c r="H282" s="46"/>
      <c r="I282" s="45">
        <f>DATA!L283</f>
        <v>0</v>
      </c>
      <c r="J282" s="46"/>
      <c r="K282" s="46">
        <f>DATA!O283</f>
        <v>0</v>
      </c>
      <c r="L282" s="46">
        <f>DATA!Q283</f>
        <v>0</v>
      </c>
      <c r="M282" s="46">
        <f>DATA!R283</f>
        <v>0</v>
      </c>
      <c r="N282" s="46"/>
      <c r="O282" s="46"/>
      <c r="P282" s="46">
        <f>DATA!U283</f>
        <v>0</v>
      </c>
      <c r="Q282" s="46">
        <f>DATA!V283</f>
        <v>0</v>
      </c>
      <c r="R282" s="46">
        <f>DATA!W283</f>
        <v>0</v>
      </c>
      <c r="S282" s="44"/>
      <c r="V282" s="46">
        <f>DATA!C283</f>
        <v>0</v>
      </c>
      <c r="W282" s="46">
        <f>DATA!D283</f>
        <v>0</v>
      </c>
      <c r="X282" s="46">
        <f>DATA!F283</f>
        <v>0</v>
      </c>
      <c r="Y282" s="46">
        <f>DATA!G283</f>
        <v>0</v>
      </c>
      <c r="Z282" s="46">
        <f>DATA!H283</f>
        <v>0</v>
      </c>
      <c r="AA282" s="46">
        <f>DATA!I283</f>
        <v>0</v>
      </c>
      <c r="AB282" s="46"/>
      <c r="AC282" s="46"/>
      <c r="AD282" s="45">
        <f>DATA!L283</f>
        <v>0</v>
      </c>
      <c r="AE282" s="46"/>
      <c r="AF282" s="46">
        <f>DATA!O283</f>
        <v>0</v>
      </c>
      <c r="AG282" s="46">
        <f>DATA!Q283</f>
        <v>0</v>
      </c>
      <c r="AH282" s="46">
        <f>DATA!R283</f>
        <v>0</v>
      </c>
      <c r="AI282" s="46"/>
      <c r="AJ282" s="46"/>
      <c r="AK282" s="46">
        <f>DATA!U283</f>
        <v>0</v>
      </c>
      <c r="AL282" s="46">
        <f>DATA!V283</f>
        <v>0</v>
      </c>
      <c r="AM282" s="46">
        <f>DATA!W283</f>
        <v>0</v>
      </c>
      <c r="AN282" s="44"/>
    </row>
    <row r="283" spans="1:40" s="48" customFormat="1" ht="23.25" hidden="1" customHeight="1" x14ac:dyDescent="0.45">
      <c r="A283" s="46">
        <f>DATA!C284</f>
        <v>0</v>
      </c>
      <c r="B283" s="46">
        <f>DATA!D284</f>
        <v>0</v>
      </c>
      <c r="C283" s="46">
        <f>DATA!F284</f>
        <v>0</v>
      </c>
      <c r="D283" s="46">
        <f>DATA!G284</f>
        <v>0</v>
      </c>
      <c r="E283" s="46">
        <f>DATA!H284</f>
        <v>0</v>
      </c>
      <c r="F283" s="46">
        <f>DATA!I284</f>
        <v>0</v>
      </c>
      <c r="G283" s="46"/>
      <c r="H283" s="46"/>
      <c r="I283" s="45">
        <f>DATA!L284</f>
        <v>0</v>
      </c>
      <c r="J283" s="46"/>
      <c r="K283" s="46">
        <f>DATA!O284</f>
        <v>0</v>
      </c>
      <c r="L283" s="46">
        <f>DATA!Q284</f>
        <v>0</v>
      </c>
      <c r="M283" s="46">
        <f>DATA!R284</f>
        <v>0</v>
      </c>
      <c r="N283" s="46"/>
      <c r="O283" s="46"/>
      <c r="P283" s="46">
        <f>DATA!U284</f>
        <v>0</v>
      </c>
      <c r="Q283" s="46">
        <f>DATA!V284</f>
        <v>0</v>
      </c>
      <c r="R283" s="46">
        <f>DATA!W284</f>
        <v>0</v>
      </c>
      <c r="S283" s="44"/>
      <c r="V283" s="46">
        <f>DATA!C284</f>
        <v>0</v>
      </c>
      <c r="W283" s="46">
        <f>DATA!D284</f>
        <v>0</v>
      </c>
      <c r="X283" s="46">
        <f>DATA!F284</f>
        <v>0</v>
      </c>
      <c r="Y283" s="46">
        <f>DATA!G284</f>
        <v>0</v>
      </c>
      <c r="Z283" s="46">
        <f>DATA!H284</f>
        <v>0</v>
      </c>
      <c r="AA283" s="46">
        <f>DATA!I284</f>
        <v>0</v>
      </c>
      <c r="AB283" s="46"/>
      <c r="AC283" s="46"/>
      <c r="AD283" s="45">
        <f>DATA!L284</f>
        <v>0</v>
      </c>
      <c r="AE283" s="46"/>
      <c r="AF283" s="46">
        <f>DATA!O284</f>
        <v>0</v>
      </c>
      <c r="AG283" s="46">
        <f>DATA!Q284</f>
        <v>0</v>
      </c>
      <c r="AH283" s="46">
        <f>DATA!R284</f>
        <v>0</v>
      </c>
      <c r="AI283" s="46"/>
      <c r="AJ283" s="46"/>
      <c r="AK283" s="46">
        <f>DATA!U284</f>
        <v>0</v>
      </c>
      <c r="AL283" s="46">
        <f>DATA!V284</f>
        <v>0</v>
      </c>
      <c r="AM283" s="46">
        <f>DATA!W284</f>
        <v>0</v>
      </c>
      <c r="AN283" s="44"/>
    </row>
    <row r="284" spans="1:40" s="48" customFormat="1" ht="23.25" hidden="1" customHeight="1" x14ac:dyDescent="0.45">
      <c r="A284" s="46">
        <f>DATA!C285</f>
        <v>0</v>
      </c>
      <c r="B284" s="46">
        <f>DATA!D285</f>
        <v>0</v>
      </c>
      <c r="C284" s="46">
        <f>DATA!F285</f>
        <v>0</v>
      </c>
      <c r="D284" s="46">
        <f>DATA!G285</f>
        <v>0</v>
      </c>
      <c r="E284" s="46">
        <f>DATA!H285</f>
        <v>0</v>
      </c>
      <c r="F284" s="46">
        <f>DATA!I285</f>
        <v>0</v>
      </c>
      <c r="G284" s="46"/>
      <c r="H284" s="46"/>
      <c r="I284" s="45">
        <f>DATA!L285</f>
        <v>0</v>
      </c>
      <c r="J284" s="46"/>
      <c r="K284" s="46">
        <f>DATA!O285</f>
        <v>0</v>
      </c>
      <c r="L284" s="46">
        <f>DATA!Q285</f>
        <v>0</v>
      </c>
      <c r="M284" s="46">
        <f>DATA!R285</f>
        <v>0</v>
      </c>
      <c r="N284" s="46"/>
      <c r="O284" s="46"/>
      <c r="P284" s="46">
        <f>DATA!U285</f>
        <v>0</v>
      </c>
      <c r="Q284" s="46">
        <f>DATA!V285</f>
        <v>0</v>
      </c>
      <c r="R284" s="46">
        <f>DATA!W285</f>
        <v>0</v>
      </c>
      <c r="S284" s="44"/>
      <c r="V284" s="46">
        <f>DATA!C285</f>
        <v>0</v>
      </c>
      <c r="W284" s="46">
        <f>DATA!D285</f>
        <v>0</v>
      </c>
      <c r="X284" s="46">
        <f>DATA!F285</f>
        <v>0</v>
      </c>
      <c r="Y284" s="46">
        <f>DATA!G285</f>
        <v>0</v>
      </c>
      <c r="Z284" s="46">
        <f>DATA!H285</f>
        <v>0</v>
      </c>
      <c r="AA284" s="46">
        <f>DATA!I285</f>
        <v>0</v>
      </c>
      <c r="AB284" s="46"/>
      <c r="AC284" s="46"/>
      <c r="AD284" s="45">
        <f>DATA!L285</f>
        <v>0</v>
      </c>
      <c r="AE284" s="46"/>
      <c r="AF284" s="46">
        <f>DATA!O285</f>
        <v>0</v>
      </c>
      <c r="AG284" s="46">
        <f>DATA!Q285</f>
        <v>0</v>
      </c>
      <c r="AH284" s="46">
        <f>DATA!R285</f>
        <v>0</v>
      </c>
      <c r="AI284" s="46"/>
      <c r="AJ284" s="46"/>
      <c r="AK284" s="46">
        <f>DATA!U285</f>
        <v>0</v>
      </c>
      <c r="AL284" s="46">
        <f>DATA!V285</f>
        <v>0</v>
      </c>
      <c r="AM284" s="46">
        <f>DATA!W285</f>
        <v>0</v>
      </c>
      <c r="AN284" s="44"/>
    </row>
    <row r="285" spans="1:40" s="48" customFormat="1" ht="23.25" hidden="1" customHeight="1" x14ac:dyDescent="0.45">
      <c r="A285" s="46">
        <f>DATA!C286</f>
        <v>0</v>
      </c>
      <c r="B285" s="46">
        <f>DATA!D286</f>
        <v>0</v>
      </c>
      <c r="C285" s="46">
        <f>DATA!F286</f>
        <v>0</v>
      </c>
      <c r="D285" s="46">
        <f>DATA!G286</f>
        <v>0</v>
      </c>
      <c r="E285" s="46">
        <f>DATA!H286</f>
        <v>0</v>
      </c>
      <c r="F285" s="46">
        <f>DATA!I286</f>
        <v>0</v>
      </c>
      <c r="G285" s="46"/>
      <c r="H285" s="46"/>
      <c r="I285" s="45">
        <f>DATA!L286</f>
        <v>0</v>
      </c>
      <c r="J285" s="46"/>
      <c r="K285" s="46">
        <f>DATA!O286</f>
        <v>0</v>
      </c>
      <c r="L285" s="46">
        <f>DATA!Q286</f>
        <v>0</v>
      </c>
      <c r="M285" s="46">
        <f>DATA!R286</f>
        <v>0</v>
      </c>
      <c r="N285" s="46"/>
      <c r="O285" s="46"/>
      <c r="P285" s="46">
        <f>DATA!U286</f>
        <v>0</v>
      </c>
      <c r="Q285" s="46">
        <f>DATA!V286</f>
        <v>0</v>
      </c>
      <c r="R285" s="46">
        <f>DATA!W286</f>
        <v>0</v>
      </c>
      <c r="S285" s="44"/>
      <c r="V285" s="46">
        <f>DATA!C286</f>
        <v>0</v>
      </c>
      <c r="W285" s="46">
        <f>DATA!D286</f>
        <v>0</v>
      </c>
      <c r="X285" s="46">
        <f>DATA!F286</f>
        <v>0</v>
      </c>
      <c r="Y285" s="46">
        <f>DATA!G286</f>
        <v>0</v>
      </c>
      <c r="Z285" s="46">
        <f>DATA!H286</f>
        <v>0</v>
      </c>
      <c r="AA285" s="46">
        <f>DATA!I286</f>
        <v>0</v>
      </c>
      <c r="AB285" s="46"/>
      <c r="AC285" s="46"/>
      <c r="AD285" s="45">
        <f>DATA!L286</f>
        <v>0</v>
      </c>
      <c r="AE285" s="46"/>
      <c r="AF285" s="46">
        <f>DATA!O286</f>
        <v>0</v>
      </c>
      <c r="AG285" s="46">
        <f>DATA!Q286</f>
        <v>0</v>
      </c>
      <c r="AH285" s="46">
        <f>DATA!R286</f>
        <v>0</v>
      </c>
      <c r="AI285" s="46"/>
      <c r="AJ285" s="46"/>
      <c r="AK285" s="46">
        <f>DATA!U286</f>
        <v>0</v>
      </c>
      <c r="AL285" s="46">
        <f>DATA!V286</f>
        <v>0</v>
      </c>
      <c r="AM285" s="46">
        <f>DATA!W286</f>
        <v>0</v>
      </c>
      <c r="AN285" s="44"/>
    </row>
    <row r="286" spans="1:40" s="48" customFormat="1" ht="23.25" hidden="1" customHeight="1" x14ac:dyDescent="0.45">
      <c r="A286" s="46">
        <f>DATA!C287</f>
        <v>0</v>
      </c>
      <c r="B286" s="46">
        <f>DATA!D287</f>
        <v>0</v>
      </c>
      <c r="C286" s="46">
        <f>DATA!F287</f>
        <v>0</v>
      </c>
      <c r="D286" s="46">
        <f>DATA!G287</f>
        <v>0</v>
      </c>
      <c r="E286" s="46">
        <f>DATA!H287</f>
        <v>0</v>
      </c>
      <c r="F286" s="46">
        <f>DATA!I287</f>
        <v>0</v>
      </c>
      <c r="G286" s="46"/>
      <c r="H286" s="46"/>
      <c r="I286" s="45">
        <f>DATA!L287</f>
        <v>0</v>
      </c>
      <c r="J286" s="46"/>
      <c r="K286" s="46">
        <f>DATA!O287</f>
        <v>0</v>
      </c>
      <c r="L286" s="46">
        <f>DATA!Q287</f>
        <v>0</v>
      </c>
      <c r="M286" s="46">
        <f>DATA!R287</f>
        <v>0</v>
      </c>
      <c r="N286" s="46"/>
      <c r="O286" s="46"/>
      <c r="P286" s="46">
        <f>DATA!U287</f>
        <v>0</v>
      </c>
      <c r="Q286" s="46">
        <f>DATA!V287</f>
        <v>0</v>
      </c>
      <c r="R286" s="46">
        <f>DATA!W287</f>
        <v>0</v>
      </c>
      <c r="S286" s="44"/>
      <c r="V286" s="46">
        <f>DATA!C287</f>
        <v>0</v>
      </c>
      <c r="W286" s="46">
        <f>DATA!D287</f>
        <v>0</v>
      </c>
      <c r="X286" s="46">
        <f>DATA!F287</f>
        <v>0</v>
      </c>
      <c r="Y286" s="46">
        <f>DATA!G287</f>
        <v>0</v>
      </c>
      <c r="Z286" s="46">
        <f>DATA!H287</f>
        <v>0</v>
      </c>
      <c r="AA286" s="46">
        <f>DATA!I287</f>
        <v>0</v>
      </c>
      <c r="AB286" s="46"/>
      <c r="AC286" s="46"/>
      <c r="AD286" s="45">
        <f>DATA!L287</f>
        <v>0</v>
      </c>
      <c r="AE286" s="46"/>
      <c r="AF286" s="46">
        <f>DATA!O287</f>
        <v>0</v>
      </c>
      <c r="AG286" s="46">
        <f>DATA!Q287</f>
        <v>0</v>
      </c>
      <c r="AH286" s="46">
        <f>DATA!R287</f>
        <v>0</v>
      </c>
      <c r="AI286" s="46"/>
      <c r="AJ286" s="46"/>
      <c r="AK286" s="46">
        <f>DATA!U287</f>
        <v>0</v>
      </c>
      <c r="AL286" s="46">
        <f>DATA!V287</f>
        <v>0</v>
      </c>
      <c r="AM286" s="46">
        <f>DATA!W287</f>
        <v>0</v>
      </c>
      <c r="AN286" s="44"/>
    </row>
    <row r="287" spans="1:40" s="48" customFormat="1" ht="23.25" hidden="1" customHeight="1" x14ac:dyDescent="0.45">
      <c r="A287" s="46">
        <f>DATA!C288</f>
        <v>0</v>
      </c>
      <c r="B287" s="46">
        <f>DATA!D288</f>
        <v>0</v>
      </c>
      <c r="C287" s="46">
        <f>DATA!F288</f>
        <v>0</v>
      </c>
      <c r="D287" s="46">
        <f>DATA!G288</f>
        <v>0</v>
      </c>
      <c r="E287" s="46">
        <f>DATA!H288</f>
        <v>0</v>
      </c>
      <c r="F287" s="46">
        <f>DATA!I288</f>
        <v>0</v>
      </c>
      <c r="G287" s="46"/>
      <c r="H287" s="46"/>
      <c r="I287" s="45">
        <f>DATA!L288</f>
        <v>0</v>
      </c>
      <c r="J287" s="46"/>
      <c r="K287" s="46">
        <f>DATA!O288</f>
        <v>0</v>
      </c>
      <c r="L287" s="46">
        <f>DATA!Q288</f>
        <v>0</v>
      </c>
      <c r="M287" s="46">
        <f>DATA!R288</f>
        <v>0</v>
      </c>
      <c r="N287" s="46"/>
      <c r="O287" s="46"/>
      <c r="P287" s="46">
        <f>DATA!U288</f>
        <v>0</v>
      </c>
      <c r="Q287" s="46">
        <f>DATA!V288</f>
        <v>0</v>
      </c>
      <c r="R287" s="46">
        <f>DATA!W288</f>
        <v>0</v>
      </c>
      <c r="S287" s="44"/>
      <c r="V287" s="46">
        <f>DATA!C288</f>
        <v>0</v>
      </c>
      <c r="W287" s="46">
        <f>DATA!D288</f>
        <v>0</v>
      </c>
      <c r="X287" s="46">
        <f>DATA!F288</f>
        <v>0</v>
      </c>
      <c r="Y287" s="46">
        <f>DATA!G288</f>
        <v>0</v>
      </c>
      <c r="Z287" s="46">
        <f>DATA!H288</f>
        <v>0</v>
      </c>
      <c r="AA287" s="46">
        <f>DATA!I288</f>
        <v>0</v>
      </c>
      <c r="AB287" s="46"/>
      <c r="AC287" s="46"/>
      <c r="AD287" s="45">
        <f>DATA!L288</f>
        <v>0</v>
      </c>
      <c r="AE287" s="46"/>
      <c r="AF287" s="46">
        <f>DATA!O288</f>
        <v>0</v>
      </c>
      <c r="AG287" s="46">
        <f>DATA!Q288</f>
        <v>0</v>
      </c>
      <c r="AH287" s="46">
        <f>DATA!R288</f>
        <v>0</v>
      </c>
      <c r="AI287" s="46"/>
      <c r="AJ287" s="46"/>
      <c r="AK287" s="46">
        <f>DATA!U288</f>
        <v>0</v>
      </c>
      <c r="AL287" s="46">
        <f>DATA!V288</f>
        <v>0</v>
      </c>
      <c r="AM287" s="46">
        <f>DATA!W288</f>
        <v>0</v>
      </c>
      <c r="AN287" s="44"/>
    </row>
    <row r="288" spans="1:40" s="48" customFormat="1" ht="23.25" hidden="1" customHeight="1" x14ac:dyDescent="0.45">
      <c r="A288" s="46">
        <f>DATA!C289</f>
        <v>0</v>
      </c>
      <c r="B288" s="46">
        <f>DATA!D289</f>
        <v>0</v>
      </c>
      <c r="C288" s="46">
        <f>DATA!F289</f>
        <v>0</v>
      </c>
      <c r="D288" s="46">
        <f>DATA!G289</f>
        <v>0</v>
      </c>
      <c r="E288" s="46">
        <f>DATA!H289</f>
        <v>0</v>
      </c>
      <c r="F288" s="46">
        <f>DATA!I289</f>
        <v>0</v>
      </c>
      <c r="G288" s="46"/>
      <c r="H288" s="46"/>
      <c r="I288" s="45">
        <f>DATA!L289</f>
        <v>0</v>
      </c>
      <c r="J288" s="46"/>
      <c r="K288" s="46">
        <f>DATA!O289</f>
        <v>0</v>
      </c>
      <c r="L288" s="46">
        <f>DATA!Q289</f>
        <v>0</v>
      </c>
      <c r="M288" s="46">
        <f>DATA!R289</f>
        <v>0</v>
      </c>
      <c r="N288" s="46"/>
      <c r="O288" s="46"/>
      <c r="P288" s="46">
        <f>DATA!U289</f>
        <v>0</v>
      </c>
      <c r="Q288" s="46">
        <f>DATA!V289</f>
        <v>0</v>
      </c>
      <c r="R288" s="46">
        <f>DATA!W289</f>
        <v>0</v>
      </c>
      <c r="S288" s="44"/>
      <c r="V288" s="46">
        <f>DATA!C289</f>
        <v>0</v>
      </c>
      <c r="W288" s="46">
        <f>DATA!D289</f>
        <v>0</v>
      </c>
      <c r="X288" s="46">
        <f>DATA!F289</f>
        <v>0</v>
      </c>
      <c r="Y288" s="46">
        <f>DATA!G289</f>
        <v>0</v>
      </c>
      <c r="Z288" s="46">
        <f>DATA!H289</f>
        <v>0</v>
      </c>
      <c r="AA288" s="46">
        <f>DATA!I289</f>
        <v>0</v>
      </c>
      <c r="AB288" s="46"/>
      <c r="AC288" s="46"/>
      <c r="AD288" s="45">
        <f>DATA!L289</f>
        <v>0</v>
      </c>
      <c r="AE288" s="46"/>
      <c r="AF288" s="46">
        <f>DATA!O289</f>
        <v>0</v>
      </c>
      <c r="AG288" s="46">
        <f>DATA!Q289</f>
        <v>0</v>
      </c>
      <c r="AH288" s="46">
        <f>DATA!R289</f>
        <v>0</v>
      </c>
      <c r="AI288" s="46"/>
      <c r="AJ288" s="46"/>
      <c r="AK288" s="46">
        <f>DATA!U289</f>
        <v>0</v>
      </c>
      <c r="AL288" s="46">
        <f>DATA!V289</f>
        <v>0</v>
      </c>
      <c r="AM288" s="46">
        <f>DATA!W289</f>
        <v>0</v>
      </c>
      <c r="AN288" s="44"/>
    </row>
    <row r="289" spans="1:40" s="48" customFormat="1" ht="23.25" hidden="1" customHeight="1" x14ac:dyDescent="0.45">
      <c r="A289" s="46">
        <f>DATA!C290</f>
        <v>0</v>
      </c>
      <c r="B289" s="46">
        <f>DATA!D290</f>
        <v>0</v>
      </c>
      <c r="C289" s="46">
        <f>DATA!F290</f>
        <v>0</v>
      </c>
      <c r="D289" s="46">
        <f>DATA!G290</f>
        <v>0</v>
      </c>
      <c r="E289" s="46">
        <f>DATA!H290</f>
        <v>0</v>
      </c>
      <c r="F289" s="46">
        <f>DATA!I290</f>
        <v>0</v>
      </c>
      <c r="G289" s="46"/>
      <c r="H289" s="46"/>
      <c r="I289" s="45">
        <f>DATA!L290</f>
        <v>0</v>
      </c>
      <c r="J289" s="46"/>
      <c r="K289" s="46">
        <f>DATA!O290</f>
        <v>0</v>
      </c>
      <c r="L289" s="46">
        <f>DATA!Q290</f>
        <v>0</v>
      </c>
      <c r="M289" s="46">
        <f>DATA!R290</f>
        <v>0</v>
      </c>
      <c r="N289" s="46"/>
      <c r="O289" s="46"/>
      <c r="P289" s="46">
        <f>DATA!U290</f>
        <v>0</v>
      </c>
      <c r="Q289" s="46">
        <f>DATA!V290</f>
        <v>0</v>
      </c>
      <c r="R289" s="46">
        <f>DATA!W290</f>
        <v>0</v>
      </c>
      <c r="S289" s="44"/>
      <c r="V289" s="46">
        <f>DATA!C290</f>
        <v>0</v>
      </c>
      <c r="W289" s="46">
        <f>DATA!D290</f>
        <v>0</v>
      </c>
      <c r="X289" s="46">
        <f>DATA!F290</f>
        <v>0</v>
      </c>
      <c r="Y289" s="46">
        <f>DATA!G290</f>
        <v>0</v>
      </c>
      <c r="Z289" s="46">
        <f>DATA!H290</f>
        <v>0</v>
      </c>
      <c r="AA289" s="46">
        <f>DATA!I290</f>
        <v>0</v>
      </c>
      <c r="AB289" s="46"/>
      <c r="AC289" s="46"/>
      <c r="AD289" s="45">
        <f>DATA!L290</f>
        <v>0</v>
      </c>
      <c r="AE289" s="46"/>
      <c r="AF289" s="46">
        <f>DATA!O290</f>
        <v>0</v>
      </c>
      <c r="AG289" s="46">
        <f>DATA!Q290</f>
        <v>0</v>
      </c>
      <c r="AH289" s="46">
        <f>DATA!R290</f>
        <v>0</v>
      </c>
      <c r="AI289" s="46"/>
      <c r="AJ289" s="46"/>
      <c r="AK289" s="46">
        <f>DATA!U290</f>
        <v>0</v>
      </c>
      <c r="AL289" s="46">
        <f>DATA!V290</f>
        <v>0</v>
      </c>
      <c r="AM289" s="46">
        <f>DATA!W290</f>
        <v>0</v>
      </c>
      <c r="AN289" s="44"/>
    </row>
    <row r="290" spans="1:40" s="48" customFormat="1" ht="23.25" hidden="1" customHeight="1" x14ac:dyDescent="0.45">
      <c r="A290" s="46">
        <f>DATA!C291</f>
        <v>0</v>
      </c>
      <c r="B290" s="46">
        <f>DATA!D291</f>
        <v>0</v>
      </c>
      <c r="C290" s="46">
        <f>DATA!F291</f>
        <v>0</v>
      </c>
      <c r="D290" s="46">
        <f>DATA!G291</f>
        <v>0</v>
      </c>
      <c r="E290" s="46">
        <f>DATA!H291</f>
        <v>0</v>
      </c>
      <c r="F290" s="46">
        <f>DATA!I291</f>
        <v>0</v>
      </c>
      <c r="G290" s="46"/>
      <c r="H290" s="46"/>
      <c r="I290" s="45">
        <f>DATA!L291</f>
        <v>0</v>
      </c>
      <c r="J290" s="46"/>
      <c r="K290" s="46">
        <f>DATA!O291</f>
        <v>0</v>
      </c>
      <c r="L290" s="46">
        <f>DATA!Q291</f>
        <v>0</v>
      </c>
      <c r="M290" s="46">
        <f>DATA!R291</f>
        <v>0</v>
      </c>
      <c r="N290" s="46"/>
      <c r="O290" s="46"/>
      <c r="P290" s="46">
        <f>DATA!U291</f>
        <v>0</v>
      </c>
      <c r="Q290" s="46">
        <f>DATA!V291</f>
        <v>0</v>
      </c>
      <c r="R290" s="46">
        <f>DATA!W291</f>
        <v>0</v>
      </c>
      <c r="S290" s="44"/>
      <c r="V290" s="46">
        <f>DATA!C291</f>
        <v>0</v>
      </c>
      <c r="W290" s="46">
        <f>DATA!D291</f>
        <v>0</v>
      </c>
      <c r="X290" s="46">
        <f>DATA!F291</f>
        <v>0</v>
      </c>
      <c r="Y290" s="46">
        <f>DATA!G291</f>
        <v>0</v>
      </c>
      <c r="Z290" s="46">
        <f>DATA!H291</f>
        <v>0</v>
      </c>
      <c r="AA290" s="46">
        <f>DATA!I291</f>
        <v>0</v>
      </c>
      <c r="AB290" s="46"/>
      <c r="AC290" s="46"/>
      <c r="AD290" s="45">
        <f>DATA!L291</f>
        <v>0</v>
      </c>
      <c r="AE290" s="46"/>
      <c r="AF290" s="46">
        <f>DATA!O291</f>
        <v>0</v>
      </c>
      <c r="AG290" s="46">
        <f>DATA!Q291</f>
        <v>0</v>
      </c>
      <c r="AH290" s="46">
        <f>DATA!R291</f>
        <v>0</v>
      </c>
      <c r="AI290" s="46"/>
      <c r="AJ290" s="46"/>
      <c r="AK290" s="46">
        <f>DATA!U291</f>
        <v>0</v>
      </c>
      <c r="AL290" s="46">
        <f>DATA!V291</f>
        <v>0</v>
      </c>
      <c r="AM290" s="46">
        <f>DATA!W291</f>
        <v>0</v>
      </c>
      <c r="AN290" s="44"/>
    </row>
    <row r="291" spans="1:40" s="48" customFormat="1" ht="23.25" hidden="1" customHeight="1" x14ac:dyDescent="0.45">
      <c r="A291" s="46">
        <f>DATA!C292</f>
        <v>0</v>
      </c>
      <c r="B291" s="46">
        <f>DATA!D292</f>
        <v>0</v>
      </c>
      <c r="C291" s="46">
        <f>DATA!F292</f>
        <v>0</v>
      </c>
      <c r="D291" s="46">
        <f>DATA!G292</f>
        <v>0</v>
      </c>
      <c r="E291" s="46">
        <f>DATA!H292</f>
        <v>0</v>
      </c>
      <c r="F291" s="46">
        <f>DATA!I292</f>
        <v>0</v>
      </c>
      <c r="G291" s="46"/>
      <c r="H291" s="46"/>
      <c r="I291" s="45">
        <f>DATA!L292</f>
        <v>0</v>
      </c>
      <c r="J291" s="46"/>
      <c r="K291" s="46">
        <f>DATA!O292</f>
        <v>0</v>
      </c>
      <c r="L291" s="46">
        <f>DATA!Q292</f>
        <v>0</v>
      </c>
      <c r="M291" s="46">
        <f>DATA!R292</f>
        <v>0</v>
      </c>
      <c r="N291" s="46"/>
      <c r="O291" s="46"/>
      <c r="P291" s="46">
        <f>DATA!U292</f>
        <v>0</v>
      </c>
      <c r="Q291" s="46">
        <f>DATA!V292</f>
        <v>0</v>
      </c>
      <c r="R291" s="46">
        <f>DATA!W292</f>
        <v>0</v>
      </c>
      <c r="S291" s="44"/>
      <c r="V291" s="46">
        <f>DATA!C292</f>
        <v>0</v>
      </c>
      <c r="W291" s="46">
        <f>DATA!D292</f>
        <v>0</v>
      </c>
      <c r="X291" s="46">
        <f>DATA!F292</f>
        <v>0</v>
      </c>
      <c r="Y291" s="46">
        <f>DATA!G292</f>
        <v>0</v>
      </c>
      <c r="Z291" s="46">
        <f>DATA!H292</f>
        <v>0</v>
      </c>
      <c r="AA291" s="46">
        <f>DATA!I292</f>
        <v>0</v>
      </c>
      <c r="AB291" s="46"/>
      <c r="AC291" s="46"/>
      <c r="AD291" s="45">
        <f>DATA!L292</f>
        <v>0</v>
      </c>
      <c r="AE291" s="46"/>
      <c r="AF291" s="46">
        <f>DATA!O292</f>
        <v>0</v>
      </c>
      <c r="AG291" s="46">
        <f>DATA!Q292</f>
        <v>0</v>
      </c>
      <c r="AH291" s="46">
        <f>DATA!R292</f>
        <v>0</v>
      </c>
      <c r="AI291" s="46"/>
      <c r="AJ291" s="46"/>
      <c r="AK291" s="46">
        <f>DATA!U292</f>
        <v>0</v>
      </c>
      <c r="AL291" s="46">
        <f>DATA!V292</f>
        <v>0</v>
      </c>
      <c r="AM291" s="46">
        <f>DATA!W292</f>
        <v>0</v>
      </c>
      <c r="AN291" s="44"/>
    </row>
    <row r="292" spans="1:40" s="48" customFormat="1" ht="23.25" hidden="1" customHeight="1" x14ac:dyDescent="0.45">
      <c r="A292" s="46">
        <f>DATA!C293</f>
        <v>0</v>
      </c>
      <c r="B292" s="46">
        <f>DATA!D293</f>
        <v>0</v>
      </c>
      <c r="C292" s="46">
        <f>DATA!F293</f>
        <v>0</v>
      </c>
      <c r="D292" s="46">
        <f>DATA!G293</f>
        <v>0</v>
      </c>
      <c r="E292" s="46">
        <f>DATA!H293</f>
        <v>0</v>
      </c>
      <c r="F292" s="46">
        <f>DATA!I293</f>
        <v>0</v>
      </c>
      <c r="G292" s="46"/>
      <c r="H292" s="46"/>
      <c r="I292" s="45">
        <f>DATA!L293</f>
        <v>0</v>
      </c>
      <c r="J292" s="46"/>
      <c r="K292" s="46">
        <f>DATA!O293</f>
        <v>0</v>
      </c>
      <c r="L292" s="46">
        <f>DATA!Q293</f>
        <v>0</v>
      </c>
      <c r="M292" s="46">
        <f>DATA!R293</f>
        <v>0</v>
      </c>
      <c r="N292" s="46"/>
      <c r="O292" s="46"/>
      <c r="P292" s="46">
        <f>DATA!U293</f>
        <v>0</v>
      </c>
      <c r="Q292" s="46">
        <f>DATA!V293</f>
        <v>0</v>
      </c>
      <c r="R292" s="46">
        <f>DATA!W293</f>
        <v>0</v>
      </c>
      <c r="S292" s="44"/>
      <c r="V292" s="46">
        <f>DATA!C293</f>
        <v>0</v>
      </c>
      <c r="W292" s="46">
        <f>DATA!D293</f>
        <v>0</v>
      </c>
      <c r="X292" s="46">
        <f>DATA!F293</f>
        <v>0</v>
      </c>
      <c r="Y292" s="46">
        <f>DATA!G293</f>
        <v>0</v>
      </c>
      <c r="Z292" s="46">
        <f>DATA!H293</f>
        <v>0</v>
      </c>
      <c r="AA292" s="46">
        <f>DATA!I293</f>
        <v>0</v>
      </c>
      <c r="AB292" s="46"/>
      <c r="AC292" s="46"/>
      <c r="AD292" s="45">
        <f>DATA!L293</f>
        <v>0</v>
      </c>
      <c r="AE292" s="46"/>
      <c r="AF292" s="46">
        <f>DATA!O293</f>
        <v>0</v>
      </c>
      <c r="AG292" s="46">
        <f>DATA!Q293</f>
        <v>0</v>
      </c>
      <c r="AH292" s="46">
        <f>DATA!R293</f>
        <v>0</v>
      </c>
      <c r="AI292" s="46"/>
      <c r="AJ292" s="46"/>
      <c r="AK292" s="46">
        <f>DATA!U293</f>
        <v>0</v>
      </c>
      <c r="AL292" s="46">
        <f>DATA!V293</f>
        <v>0</v>
      </c>
      <c r="AM292" s="46">
        <f>DATA!W293</f>
        <v>0</v>
      </c>
      <c r="AN292" s="44"/>
    </row>
    <row r="293" spans="1:40" s="48" customFormat="1" ht="23.25" hidden="1" customHeight="1" x14ac:dyDescent="0.45">
      <c r="A293" s="46">
        <f>DATA!C294</f>
        <v>0</v>
      </c>
      <c r="B293" s="46">
        <f>DATA!D294</f>
        <v>0</v>
      </c>
      <c r="C293" s="46">
        <f>DATA!F294</f>
        <v>0</v>
      </c>
      <c r="D293" s="46">
        <f>DATA!G294</f>
        <v>0</v>
      </c>
      <c r="E293" s="46">
        <f>DATA!H294</f>
        <v>0</v>
      </c>
      <c r="F293" s="46">
        <f>DATA!I294</f>
        <v>0</v>
      </c>
      <c r="G293" s="46"/>
      <c r="H293" s="46"/>
      <c r="I293" s="45">
        <f>DATA!L294</f>
        <v>0</v>
      </c>
      <c r="J293" s="46"/>
      <c r="K293" s="46">
        <f>DATA!O294</f>
        <v>0</v>
      </c>
      <c r="L293" s="46">
        <f>DATA!Q294</f>
        <v>0</v>
      </c>
      <c r="M293" s="46">
        <f>DATA!R294</f>
        <v>0</v>
      </c>
      <c r="N293" s="46"/>
      <c r="O293" s="46"/>
      <c r="P293" s="46">
        <f>DATA!U294</f>
        <v>0</v>
      </c>
      <c r="Q293" s="46">
        <f>DATA!V294</f>
        <v>0</v>
      </c>
      <c r="R293" s="46">
        <f>DATA!W294</f>
        <v>0</v>
      </c>
      <c r="S293" s="44"/>
      <c r="V293" s="46">
        <f>DATA!C294</f>
        <v>0</v>
      </c>
      <c r="W293" s="46">
        <f>DATA!D294</f>
        <v>0</v>
      </c>
      <c r="X293" s="46">
        <f>DATA!F294</f>
        <v>0</v>
      </c>
      <c r="Y293" s="46">
        <f>DATA!G294</f>
        <v>0</v>
      </c>
      <c r="Z293" s="46">
        <f>DATA!H294</f>
        <v>0</v>
      </c>
      <c r="AA293" s="46">
        <f>DATA!I294</f>
        <v>0</v>
      </c>
      <c r="AB293" s="46"/>
      <c r="AC293" s="46"/>
      <c r="AD293" s="45">
        <f>DATA!L294</f>
        <v>0</v>
      </c>
      <c r="AE293" s="46"/>
      <c r="AF293" s="46">
        <f>DATA!O294</f>
        <v>0</v>
      </c>
      <c r="AG293" s="46">
        <f>DATA!Q294</f>
        <v>0</v>
      </c>
      <c r="AH293" s="46">
        <f>DATA!R294</f>
        <v>0</v>
      </c>
      <c r="AI293" s="46"/>
      <c r="AJ293" s="46"/>
      <c r="AK293" s="46">
        <f>DATA!U294</f>
        <v>0</v>
      </c>
      <c r="AL293" s="46">
        <f>DATA!V294</f>
        <v>0</v>
      </c>
      <c r="AM293" s="46">
        <f>DATA!W294</f>
        <v>0</v>
      </c>
      <c r="AN293" s="44"/>
    </row>
    <row r="294" spans="1:40" s="48" customFormat="1" ht="23.25" hidden="1" customHeight="1" x14ac:dyDescent="0.45">
      <c r="A294" s="46">
        <f>DATA!C295</f>
        <v>0</v>
      </c>
      <c r="B294" s="46">
        <f>DATA!D295</f>
        <v>0</v>
      </c>
      <c r="C294" s="46">
        <f>DATA!F295</f>
        <v>0</v>
      </c>
      <c r="D294" s="46">
        <f>DATA!G295</f>
        <v>0</v>
      </c>
      <c r="E294" s="46">
        <f>DATA!H295</f>
        <v>0</v>
      </c>
      <c r="F294" s="46">
        <f>DATA!I295</f>
        <v>0</v>
      </c>
      <c r="G294" s="46"/>
      <c r="H294" s="46"/>
      <c r="I294" s="45">
        <f>DATA!L295</f>
        <v>0</v>
      </c>
      <c r="J294" s="46"/>
      <c r="K294" s="46">
        <f>DATA!O295</f>
        <v>0</v>
      </c>
      <c r="L294" s="46">
        <f>DATA!Q295</f>
        <v>0</v>
      </c>
      <c r="M294" s="46">
        <f>DATA!R295</f>
        <v>0</v>
      </c>
      <c r="N294" s="46"/>
      <c r="O294" s="46"/>
      <c r="P294" s="46">
        <f>DATA!U295</f>
        <v>0</v>
      </c>
      <c r="Q294" s="46">
        <f>DATA!V295</f>
        <v>0</v>
      </c>
      <c r="R294" s="46">
        <f>DATA!W295</f>
        <v>0</v>
      </c>
      <c r="S294" s="44"/>
      <c r="V294" s="46">
        <f>DATA!C295</f>
        <v>0</v>
      </c>
      <c r="W294" s="46">
        <f>DATA!D295</f>
        <v>0</v>
      </c>
      <c r="X294" s="46">
        <f>DATA!F295</f>
        <v>0</v>
      </c>
      <c r="Y294" s="46">
        <f>DATA!G295</f>
        <v>0</v>
      </c>
      <c r="Z294" s="46">
        <f>DATA!H295</f>
        <v>0</v>
      </c>
      <c r="AA294" s="46">
        <f>DATA!I295</f>
        <v>0</v>
      </c>
      <c r="AB294" s="46"/>
      <c r="AC294" s="46"/>
      <c r="AD294" s="45">
        <f>DATA!L295</f>
        <v>0</v>
      </c>
      <c r="AE294" s="46"/>
      <c r="AF294" s="46">
        <f>DATA!O295</f>
        <v>0</v>
      </c>
      <c r="AG294" s="46">
        <f>DATA!Q295</f>
        <v>0</v>
      </c>
      <c r="AH294" s="46">
        <f>DATA!R295</f>
        <v>0</v>
      </c>
      <c r="AI294" s="46"/>
      <c r="AJ294" s="46"/>
      <c r="AK294" s="46">
        <f>DATA!U295</f>
        <v>0</v>
      </c>
      <c r="AL294" s="46">
        <f>DATA!V295</f>
        <v>0</v>
      </c>
      <c r="AM294" s="46">
        <f>DATA!W295</f>
        <v>0</v>
      </c>
      <c r="AN294" s="44"/>
    </row>
    <row r="295" spans="1:40" s="48" customFormat="1" ht="23.25" hidden="1" customHeight="1" x14ac:dyDescent="0.45">
      <c r="A295" s="46">
        <f>DATA!C296</f>
        <v>0</v>
      </c>
      <c r="B295" s="46">
        <f>DATA!D296</f>
        <v>0</v>
      </c>
      <c r="C295" s="46">
        <f>DATA!F296</f>
        <v>0</v>
      </c>
      <c r="D295" s="46">
        <f>DATA!G296</f>
        <v>0</v>
      </c>
      <c r="E295" s="46">
        <f>DATA!H296</f>
        <v>0</v>
      </c>
      <c r="F295" s="46">
        <f>DATA!I296</f>
        <v>0</v>
      </c>
      <c r="G295" s="46"/>
      <c r="H295" s="46"/>
      <c r="I295" s="45">
        <f>DATA!L296</f>
        <v>0</v>
      </c>
      <c r="J295" s="46"/>
      <c r="K295" s="46">
        <f>DATA!O296</f>
        <v>0</v>
      </c>
      <c r="L295" s="46">
        <f>DATA!Q296</f>
        <v>0</v>
      </c>
      <c r="M295" s="46">
        <f>DATA!R296</f>
        <v>0</v>
      </c>
      <c r="N295" s="46"/>
      <c r="O295" s="46"/>
      <c r="P295" s="46">
        <f>DATA!U296</f>
        <v>0</v>
      </c>
      <c r="Q295" s="46">
        <f>DATA!V296</f>
        <v>0</v>
      </c>
      <c r="R295" s="46">
        <f>DATA!W296</f>
        <v>0</v>
      </c>
      <c r="S295" s="44"/>
      <c r="V295" s="46">
        <f>DATA!C296</f>
        <v>0</v>
      </c>
      <c r="W295" s="46">
        <f>DATA!D296</f>
        <v>0</v>
      </c>
      <c r="X295" s="46">
        <f>DATA!F296</f>
        <v>0</v>
      </c>
      <c r="Y295" s="46">
        <f>DATA!G296</f>
        <v>0</v>
      </c>
      <c r="Z295" s="46">
        <f>DATA!H296</f>
        <v>0</v>
      </c>
      <c r="AA295" s="46">
        <f>DATA!I296</f>
        <v>0</v>
      </c>
      <c r="AB295" s="46"/>
      <c r="AC295" s="46"/>
      <c r="AD295" s="45">
        <f>DATA!L296</f>
        <v>0</v>
      </c>
      <c r="AE295" s="46"/>
      <c r="AF295" s="46">
        <f>DATA!O296</f>
        <v>0</v>
      </c>
      <c r="AG295" s="46">
        <f>DATA!Q296</f>
        <v>0</v>
      </c>
      <c r="AH295" s="46">
        <f>DATA!R296</f>
        <v>0</v>
      </c>
      <c r="AI295" s="46"/>
      <c r="AJ295" s="46"/>
      <c r="AK295" s="46">
        <f>DATA!U296</f>
        <v>0</v>
      </c>
      <c r="AL295" s="46">
        <f>DATA!V296</f>
        <v>0</v>
      </c>
      <c r="AM295" s="46">
        <f>DATA!W296</f>
        <v>0</v>
      </c>
      <c r="AN295" s="44"/>
    </row>
    <row r="296" spans="1:40" s="48" customFormat="1" ht="23.25" hidden="1" customHeight="1" x14ac:dyDescent="0.45">
      <c r="A296" s="46">
        <f>DATA!C297</f>
        <v>0</v>
      </c>
      <c r="B296" s="46">
        <f>DATA!D297</f>
        <v>0</v>
      </c>
      <c r="C296" s="46">
        <f>DATA!F297</f>
        <v>0</v>
      </c>
      <c r="D296" s="46">
        <f>DATA!G297</f>
        <v>0</v>
      </c>
      <c r="E296" s="46">
        <f>DATA!H297</f>
        <v>0</v>
      </c>
      <c r="F296" s="46">
        <f>DATA!I297</f>
        <v>0</v>
      </c>
      <c r="G296" s="46"/>
      <c r="H296" s="46"/>
      <c r="I296" s="45">
        <f>DATA!L297</f>
        <v>0</v>
      </c>
      <c r="J296" s="46"/>
      <c r="K296" s="46">
        <f>DATA!O297</f>
        <v>0</v>
      </c>
      <c r="L296" s="46">
        <f>DATA!Q297</f>
        <v>0</v>
      </c>
      <c r="M296" s="46">
        <f>DATA!R297</f>
        <v>0</v>
      </c>
      <c r="N296" s="46"/>
      <c r="O296" s="46"/>
      <c r="P296" s="46">
        <f>DATA!U297</f>
        <v>0</v>
      </c>
      <c r="Q296" s="46">
        <f>DATA!V297</f>
        <v>0</v>
      </c>
      <c r="R296" s="46">
        <f>DATA!W297</f>
        <v>0</v>
      </c>
      <c r="S296" s="44"/>
      <c r="V296" s="46">
        <f>DATA!C297</f>
        <v>0</v>
      </c>
      <c r="W296" s="46">
        <f>DATA!D297</f>
        <v>0</v>
      </c>
      <c r="X296" s="46">
        <f>DATA!F297</f>
        <v>0</v>
      </c>
      <c r="Y296" s="46">
        <f>DATA!G297</f>
        <v>0</v>
      </c>
      <c r="Z296" s="46">
        <f>DATA!H297</f>
        <v>0</v>
      </c>
      <c r="AA296" s="46">
        <f>DATA!I297</f>
        <v>0</v>
      </c>
      <c r="AB296" s="46"/>
      <c r="AC296" s="46"/>
      <c r="AD296" s="45">
        <f>DATA!L297</f>
        <v>0</v>
      </c>
      <c r="AE296" s="46"/>
      <c r="AF296" s="46">
        <f>DATA!O297</f>
        <v>0</v>
      </c>
      <c r="AG296" s="46">
        <f>DATA!Q297</f>
        <v>0</v>
      </c>
      <c r="AH296" s="46">
        <f>DATA!R297</f>
        <v>0</v>
      </c>
      <c r="AI296" s="46"/>
      <c r="AJ296" s="46"/>
      <c r="AK296" s="46">
        <f>DATA!U297</f>
        <v>0</v>
      </c>
      <c r="AL296" s="46">
        <f>DATA!V297</f>
        <v>0</v>
      </c>
      <c r="AM296" s="46">
        <f>DATA!W297</f>
        <v>0</v>
      </c>
      <c r="AN296" s="44"/>
    </row>
    <row r="297" spans="1:40" s="48" customFormat="1" ht="23.25" hidden="1" customHeight="1" x14ac:dyDescent="0.45">
      <c r="A297" s="46">
        <f>DATA!C298</f>
        <v>0</v>
      </c>
      <c r="B297" s="46">
        <f>DATA!D298</f>
        <v>0</v>
      </c>
      <c r="C297" s="46">
        <f>DATA!F298</f>
        <v>0</v>
      </c>
      <c r="D297" s="46">
        <f>DATA!G298</f>
        <v>0</v>
      </c>
      <c r="E297" s="46">
        <f>DATA!H298</f>
        <v>0</v>
      </c>
      <c r="F297" s="46">
        <f>DATA!I298</f>
        <v>0</v>
      </c>
      <c r="G297" s="46"/>
      <c r="H297" s="46"/>
      <c r="I297" s="45">
        <f>DATA!L298</f>
        <v>0</v>
      </c>
      <c r="J297" s="46"/>
      <c r="K297" s="46">
        <f>DATA!O298</f>
        <v>0</v>
      </c>
      <c r="L297" s="46">
        <f>DATA!Q298</f>
        <v>0</v>
      </c>
      <c r="M297" s="46">
        <f>DATA!R298</f>
        <v>0</v>
      </c>
      <c r="N297" s="46"/>
      <c r="O297" s="46"/>
      <c r="P297" s="46">
        <f>DATA!U298</f>
        <v>0</v>
      </c>
      <c r="Q297" s="46">
        <f>DATA!V298</f>
        <v>0</v>
      </c>
      <c r="R297" s="46">
        <f>DATA!W298</f>
        <v>0</v>
      </c>
      <c r="S297" s="44"/>
      <c r="V297" s="46">
        <f>DATA!C298</f>
        <v>0</v>
      </c>
      <c r="W297" s="46">
        <f>DATA!D298</f>
        <v>0</v>
      </c>
      <c r="X297" s="46">
        <f>DATA!F298</f>
        <v>0</v>
      </c>
      <c r="Y297" s="46">
        <f>DATA!G298</f>
        <v>0</v>
      </c>
      <c r="Z297" s="46">
        <f>DATA!H298</f>
        <v>0</v>
      </c>
      <c r="AA297" s="46">
        <f>DATA!I298</f>
        <v>0</v>
      </c>
      <c r="AB297" s="46"/>
      <c r="AC297" s="46"/>
      <c r="AD297" s="45">
        <f>DATA!L298</f>
        <v>0</v>
      </c>
      <c r="AE297" s="46"/>
      <c r="AF297" s="46">
        <f>DATA!O298</f>
        <v>0</v>
      </c>
      <c r="AG297" s="46">
        <f>DATA!Q298</f>
        <v>0</v>
      </c>
      <c r="AH297" s="46">
        <f>DATA!R298</f>
        <v>0</v>
      </c>
      <c r="AI297" s="46"/>
      <c r="AJ297" s="46"/>
      <c r="AK297" s="46">
        <f>DATA!U298</f>
        <v>0</v>
      </c>
      <c r="AL297" s="46">
        <f>DATA!V298</f>
        <v>0</v>
      </c>
      <c r="AM297" s="46">
        <f>DATA!W298</f>
        <v>0</v>
      </c>
      <c r="AN297" s="44"/>
    </row>
    <row r="298" spans="1:40" s="48" customFormat="1" ht="23.25" hidden="1" customHeight="1" x14ac:dyDescent="0.45">
      <c r="A298" s="46">
        <f>DATA!C299</f>
        <v>0</v>
      </c>
      <c r="B298" s="46">
        <f>DATA!D299</f>
        <v>0</v>
      </c>
      <c r="C298" s="46">
        <f>DATA!F299</f>
        <v>0</v>
      </c>
      <c r="D298" s="46">
        <f>DATA!G299</f>
        <v>0</v>
      </c>
      <c r="E298" s="46">
        <f>DATA!H299</f>
        <v>0</v>
      </c>
      <c r="F298" s="46">
        <f>DATA!I299</f>
        <v>0</v>
      </c>
      <c r="G298" s="46"/>
      <c r="H298" s="46"/>
      <c r="I298" s="45">
        <f>DATA!L299</f>
        <v>0</v>
      </c>
      <c r="J298" s="46"/>
      <c r="K298" s="46">
        <f>DATA!O299</f>
        <v>0</v>
      </c>
      <c r="L298" s="46">
        <f>DATA!Q299</f>
        <v>0</v>
      </c>
      <c r="M298" s="46">
        <f>DATA!R299</f>
        <v>0</v>
      </c>
      <c r="N298" s="46"/>
      <c r="O298" s="46"/>
      <c r="P298" s="46">
        <f>DATA!U299</f>
        <v>0</v>
      </c>
      <c r="Q298" s="46">
        <f>DATA!V299</f>
        <v>0</v>
      </c>
      <c r="R298" s="46">
        <f>DATA!W299</f>
        <v>0</v>
      </c>
      <c r="S298" s="44"/>
      <c r="V298" s="46">
        <f>DATA!C299</f>
        <v>0</v>
      </c>
      <c r="W298" s="46">
        <f>DATA!D299</f>
        <v>0</v>
      </c>
      <c r="X298" s="46">
        <f>DATA!F299</f>
        <v>0</v>
      </c>
      <c r="Y298" s="46">
        <f>DATA!G299</f>
        <v>0</v>
      </c>
      <c r="Z298" s="46">
        <f>DATA!H299</f>
        <v>0</v>
      </c>
      <c r="AA298" s="46">
        <f>DATA!I299</f>
        <v>0</v>
      </c>
      <c r="AB298" s="46"/>
      <c r="AC298" s="46"/>
      <c r="AD298" s="45">
        <f>DATA!L299</f>
        <v>0</v>
      </c>
      <c r="AE298" s="46"/>
      <c r="AF298" s="46">
        <f>DATA!O299</f>
        <v>0</v>
      </c>
      <c r="AG298" s="46">
        <f>DATA!Q299</f>
        <v>0</v>
      </c>
      <c r="AH298" s="46">
        <f>DATA!R299</f>
        <v>0</v>
      </c>
      <c r="AI298" s="46"/>
      <c r="AJ298" s="46"/>
      <c r="AK298" s="46">
        <f>DATA!U299</f>
        <v>0</v>
      </c>
      <c r="AL298" s="46">
        <f>DATA!V299</f>
        <v>0</v>
      </c>
      <c r="AM298" s="46">
        <f>DATA!W299</f>
        <v>0</v>
      </c>
      <c r="AN298" s="44"/>
    </row>
    <row r="299" spans="1:40" s="48" customFormat="1" ht="23.25" hidden="1" customHeight="1" x14ac:dyDescent="0.45">
      <c r="A299" s="46">
        <f>DATA!C300</f>
        <v>0</v>
      </c>
      <c r="B299" s="46">
        <f>DATA!D300</f>
        <v>0</v>
      </c>
      <c r="C299" s="46">
        <f>DATA!F300</f>
        <v>0</v>
      </c>
      <c r="D299" s="46">
        <f>DATA!G300</f>
        <v>0</v>
      </c>
      <c r="E299" s="46">
        <f>DATA!H300</f>
        <v>0</v>
      </c>
      <c r="F299" s="46">
        <f>DATA!I300</f>
        <v>0</v>
      </c>
      <c r="G299" s="46"/>
      <c r="H299" s="46"/>
      <c r="I299" s="45">
        <f>DATA!L300</f>
        <v>0</v>
      </c>
      <c r="J299" s="46"/>
      <c r="K299" s="46">
        <f>DATA!O300</f>
        <v>0</v>
      </c>
      <c r="L299" s="46">
        <f>DATA!Q300</f>
        <v>0</v>
      </c>
      <c r="M299" s="46">
        <f>DATA!R300</f>
        <v>0</v>
      </c>
      <c r="N299" s="46"/>
      <c r="O299" s="46"/>
      <c r="P299" s="46">
        <f>DATA!U300</f>
        <v>0</v>
      </c>
      <c r="Q299" s="46">
        <f>DATA!V300</f>
        <v>0</v>
      </c>
      <c r="R299" s="46">
        <f>DATA!W300</f>
        <v>0</v>
      </c>
      <c r="S299" s="44"/>
      <c r="V299" s="46">
        <f>DATA!C300</f>
        <v>0</v>
      </c>
      <c r="W299" s="46">
        <f>DATA!D300</f>
        <v>0</v>
      </c>
      <c r="X299" s="46">
        <f>DATA!F300</f>
        <v>0</v>
      </c>
      <c r="Y299" s="46">
        <f>DATA!G300</f>
        <v>0</v>
      </c>
      <c r="Z299" s="46">
        <f>DATA!H300</f>
        <v>0</v>
      </c>
      <c r="AA299" s="46">
        <f>DATA!I300</f>
        <v>0</v>
      </c>
      <c r="AB299" s="46"/>
      <c r="AC299" s="46"/>
      <c r="AD299" s="45">
        <f>DATA!L300</f>
        <v>0</v>
      </c>
      <c r="AE299" s="46"/>
      <c r="AF299" s="46">
        <f>DATA!O300</f>
        <v>0</v>
      </c>
      <c r="AG299" s="46">
        <f>DATA!Q300</f>
        <v>0</v>
      </c>
      <c r="AH299" s="46">
        <f>DATA!R300</f>
        <v>0</v>
      </c>
      <c r="AI299" s="46"/>
      <c r="AJ299" s="46"/>
      <c r="AK299" s="46">
        <f>DATA!U300</f>
        <v>0</v>
      </c>
      <c r="AL299" s="46">
        <f>DATA!V300</f>
        <v>0</v>
      </c>
      <c r="AM299" s="46">
        <f>DATA!W300</f>
        <v>0</v>
      </c>
      <c r="AN299" s="44"/>
    </row>
    <row r="300" spans="1:40" s="48" customFormat="1" ht="23.25" hidden="1" customHeight="1" x14ac:dyDescent="0.45">
      <c r="A300" s="46">
        <f>DATA!C301</f>
        <v>0</v>
      </c>
      <c r="B300" s="46">
        <f>DATA!D301</f>
        <v>0</v>
      </c>
      <c r="C300" s="46">
        <f>DATA!F301</f>
        <v>0</v>
      </c>
      <c r="D300" s="46">
        <f>DATA!G301</f>
        <v>0</v>
      </c>
      <c r="E300" s="46">
        <f>DATA!H301</f>
        <v>0</v>
      </c>
      <c r="F300" s="46">
        <f>DATA!I301</f>
        <v>0</v>
      </c>
      <c r="G300" s="46"/>
      <c r="H300" s="46"/>
      <c r="I300" s="45">
        <f>DATA!L301</f>
        <v>0</v>
      </c>
      <c r="J300" s="46"/>
      <c r="K300" s="46">
        <f>DATA!O301</f>
        <v>0</v>
      </c>
      <c r="L300" s="46">
        <f>DATA!Q301</f>
        <v>0</v>
      </c>
      <c r="M300" s="46">
        <f>DATA!R301</f>
        <v>0</v>
      </c>
      <c r="N300" s="46"/>
      <c r="O300" s="46"/>
      <c r="P300" s="46">
        <f>DATA!U301</f>
        <v>0</v>
      </c>
      <c r="Q300" s="46">
        <f>DATA!V301</f>
        <v>0</v>
      </c>
      <c r="R300" s="46">
        <f>DATA!W301</f>
        <v>0</v>
      </c>
      <c r="S300" s="44"/>
      <c r="V300" s="46">
        <f>DATA!C301</f>
        <v>0</v>
      </c>
      <c r="W300" s="46">
        <f>DATA!D301</f>
        <v>0</v>
      </c>
      <c r="X300" s="46">
        <f>DATA!F301</f>
        <v>0</v>
      </c>
      <c r="Y300" s="46">
        <f>DATA!G301</f>
        <v>0</v>
      </c>
      <c r="Z300" s="46">
        <f>DATA!H301</f>
        <v>0</v>
      </c>
      <c r="AA300" s="46">
        <f>DATA!I301</f>
        <v>0</v>
      </c>
      <c r="AB300" s="46"/>
      <c r="AC300" s="46"/>
      <c r="AD300" s="45">
        <f>DATA!L301</f>
        <v>0</v>
      </c>
      <c r="AE300" s="46"/>
      <c r="AF300" s="46">
        <f>DATA!O301</f>
        <v>0</v>
      </c>
      <c r="AG300" s="46">
        <f>DATA!Q301</f>
        <v>0</v>
      </c>
      <c r="AH300" s="46">
        <f>DATA!R301</f>
        <v>0</v>
      </c>
      <c r="AI300" s="46"/>
      <c r="AJ300" s="46"/>
      <c r="AK300" s="46">
        <f>DATA!U301</f>
        <v>0</v>
      </c>
      <c r="AL300" s="46">
        <f>DATA!V301</f>
        <v>0</v>
      </c>
      <c r="AM300" s="46">
        <f>DATA!W301</f>
        <v>0</v>
      </c>
      <c r="AN300" s="44"/>
    </row>
    <row r="301" spans="1:40" s="48" customFormat="1" ht="23.25" hidden="1" customHeight="1" x14ac:dyDescent="0.45">
      <c r="A301" s="46">
        <f>DATA!C302</f>
        <v>0</v>
      </c>
      <c r="B301" s="46">
        <f>DATA!D302</f>
        <v>0</v>
      </c>
      <c r="C301" s="46">
        <f>DATA!F302</f>
        <v>0</v>
      </c>
      <c r="D301" s="46">
        <f>DATA!G302</f>
        <v>0</v>
      </c>
      <c r="E301" s="46">
        <f>DATA!H302</f>
        <v>0</v>
      </c>
      <c r="F301" s="46">
        <f>DATA!I302</f>
        <v>0</v>
      </c>
      <c r="G301" s="46"/>
      <c r="H301" s="46"/>
      <c r="I301" s="45">
        <f>DATA!L302</f>
        <v>0</v>
      </c>
      <c r="J301" s="46"/>
      <c r="K301" s="46">
        <f>DATA!O302</f>
        <v>0</v>
      </c>
      <c r="L301" s="46">
        <f>DATA!Q302</f>
        <v>0</v>
      </c>
      <c r="M301" s="46">
        <f>DATA!R302</f>
        <v>0</v>
      </c>
      <c r="N301" s="46"/>
      <c r="O301" s="46"/>
      <c r="P301" s="46">
        <f>DATA!U302</f>
        <v>0</v>
      </c>
      <c r="Q301" s="46">
        <f>DATA!V302</f>
        <v>0</v>
      </c>
      <c r="R301" s="46">
        <f>DATA!W302</f>
        <v>0</v>
      </c>
      <c r="S301" s="44"/>
      <c r="V301" s="46">
        <f>DATA!C302</f>
        <v>0</v>
      </c>
      <c r="W301" s="46">
        <f>DATA!D302</f>
        <v>0</v>
      </c>
      <c r="X301" s="46">
        <f>DATA!F302</f>
        <v>0</v>
      </c>
      <c r="Y301" s="46">
        <f>DATA!G302</f>
        <v>0</v>
      </c>
      <c r="Z301" s="46">
        <f>DATA!H302</f>
        <v>0</v>
      </c>
      <c r="AA301" s="46">
        <f>DATA!I302</f>
        <v>0</v>
      </c>
      <c r="AB301" s="46"/>
      <c r="AC301" s="46"/>
      <c r="AD301" s="45">
        <f>DATA!L302</f>
        <v>0</v>
      </c>
      <c r="AE301" s="46"/>
      <c r="AF301" s="46">
        <f>DATA!O302</f>
        <v>0</v>
      </c>
      <c r="AG301" s="46">
        <f>DATA!Q302</f>
        <v>0</v>
      </c>
      <c r="AH301" s="46">
        <f>DATA!R302</f>
        <v>0</v>
      </c>
      <c r="AI301" s="46"/>
      <c r="AJ301" s="46"/>
      <c r="AK301" s="46">
        <f>DATA!U302</f>
        <v>0</v>
      </c>
      <c r="AL301" s="46">
        <f>DATA!V302</f>
        <v>0</v>
      </c>
      <c r="AM301" s="46">
        <f>DATA!W302</f>
        <v>0</v>
      </c>
      <c r="AN301" s="44"/>
    </row>
    <row r="302" spans="1:40" s="48" customFormat="1" ht="23.25" hidden="1" customHeight="1" x14ac:dyDescent="0.45">
      <c r="A302" s="46">
        <f>DATA!C303</f>
        <v>0</v>
      </c>
      <c r="B302" s="46">
        <f>DATA!D303</f>
        <v>0</v>
      </c>
      <c r="C302" s="46">
        <f>DATA!F303</f>
        <v>0</v>
      </c>
      <c r="D302" s="46">
        <f>DATA!G303</f>
        <v>0</v>
      </c>
      <c r="E302" s="46">
        <f>DATA!H303</f>
        <v>0</v>
      </c>
      <c r="F302" s="46">
        <f>DATA!I303</f>
        <v>0</v>
      </c>
      <c r="G302" s="46"/>
      <c r="H302" s="46"/>
      <c r="I302" s="45">
        <f>DATA!L303</f>
        <v>0</v>
      </c>
      <c r="J302" s="46"/>
      <c r="K302" s="46">
        <f>DATA!O303</f>
        <v>0</v>
      </c>
      <c r="L302" s="46">
        <f>DATA!Q303</f>
        <v>0</v>
      </c>
      <c r="M302" s="46">
        <f>DATA!R303</f>
        <v>0</v>
      </c>
      <c r="N302" s="46"/>
      <c r="O302" s="46"/>
      <c r="P302" s="46">
        <f>DATA!U303</f>
        <v>0</v>
      </c>
      <c r="Q302" s="46">
        <f>DATA!V303</f>
        <v>0</v>
      </c>
      <c r="R302" s="46">
        <f>DATA!W303</f>
        <v>0</v>
      </c>
      <c r="S302" s="44"/>
      <c r="V302" s="46">
        <f>DATA!C303</f>
        <v>0</v>
      </c>
      <c r="W302" s="46">
        <f>DATA!D303</f>
        <v>0</v>
      </c>
      <c r="X302" s="46">
        <f>DATA!F303</f>
        <v>0</v>
      </c>
      <c r="Y302" s="46">
        <f>DATA!G303</f>
        <v>0</v>
      </c>
      <c r="Z302" s="46">
        <f>DATA!H303</f>
        <v>0</v>
      </c>
      <c r="AA302" s="46">
        <f>DATA!I303</f>
        <v>0</v>
      </c>
      <c r="AB302" s="46"/>
      <c r="AC302" s="46"/>
      <c r="AD302" s="45">
        <f>DATA!L303</f>
        <v>0</v>
      </c>
      <c r="AE302" s="46"/>
      <c r="AF302" s="46">
        <f>DATA!O303</f>
        <v>0</v>
      </c>
      <c r="AG302" s="46">
        <f>DATA!Q303</f>
        <v>0</v>
      </c>
      <c r="AH302" s="46">
        <f>DATA!R303</f>
        <v>0</v>
      </c>
      <c r="AI302" s="46"/>
      <c r="AJ302" s="46"/>
      <c r="AK302" s="46">
        <f>DATA!U303</f>
        <v>0</v>
      </c>
      <c r="AL302" s="46">
        <f>DATA!V303</f>
        <v>0</v>
      </c>
      <c r="AM302" s="46">
        <f>DATA!W303</f>
        <v>0</v>
      </c>
      <c r="AN302" s="44"/>
    </row>
    <row r="303" spans="1:40" s="48" customFormat="1" ht="23.25" hidden="1" customHeight="1" x14ac:dyDescent="0.45">
      <c r="A303" s="46">
        <f>DATA!C304</f>
        <v>0</v>
      </c>
      <c r="B303" s="46">
        <f>DATA!D304</f>
        <v>0</v>
      </c>
      <c r="C303" s="46">
        <f>DATA!F304</f>
        <v>0</v>
      </c>
      <c r="D303" s="46">
        <f>DATA!G304</f>
        <v>0</v>
      </c>
      <c r="E303" s="46">
        <f>DATA!H304</f>
        <v>0</v>
      </c>
      <c r="F303" s="46">
        <f>DATA!I304</f>
        <v>0</v>
      </c>
      <c r="G303" s="46"/>
      <c r="H303" s="46"/>
      <c r="I303" s="45">
        <f>DATA!L304</f>
        <v>0</v>
      </c>
      <c r="J303" s="46"/>
      <c r="K303" s="46">
        <f>DATA!O304</f>
        <v>0</v>
      </c>
      <c r="L303" s="46">
        <f>DATA!Q304</f>
        <v>0</v>
      </c>
      <c r="M303" s="46">
        <f>DATA!R304</f>
        <v>0</v>
      </c>
      <c r="N303" s="46"/>
      <c r="O303" s="46"/>
      <c r="P303" s="46">
        <f>DATA!U304</f>
        <v>0</v>
      </c>
      <c r="Q303" s="46">
        <f>DATA!V304</f>
        <v>0</v>
      </c>
      <c r="R303" s="46">
        <f>DATA!W304</f>
        <v>0</v>
      </c>
      <c r="S303" s="44"/>
      <c r="V303" s="46">
        <f>DATA!C304</f>
        <v>0</v>
      </c>
      <c r="W303" s="46">
        <f>DATA!D304</f>
        <v>0</v>
      </c>
      <c r="X303" s="46">
        <f>DATA!F304</f>
        <v>0</v>
      </c>
      <c r="Y303" s="46">
        <f>DATA!G304</f>
        <v>0</v>
      </c>
      <c r="Z303" s="46">
        <f>DATA!H304</f>
        <v>0</v>
      </c>
      <c r="AA303" s="46">
        <f>DATA!I304</f>
        <v>0</v>
      </c>
      <c r="AB303" s="46"/>
      <c r="AC303" s="46"/>
      <c r="AD303" s="45">
        <f>DATA!L304</f>
        <v>0</v>
      </c>
      <c r="AE303" s="46"/>
      <c r="AF303" s="46">
        <f>DATA!O304</f>
        <v>0</v>
      </c>
      <c r="AG303" s="46">
        <f>DATA!Q304</f>
        <v>0</v>
      </c>
      <c r="AH303" s="46">
        <f>DATA!R304</f>
        <v>0</v>
      </c>
      <c r="AI303" s="46"/>
      <c r="AJ303" s="46"/>
      <c r="AK303" s="46">
        <f>DATA!U304</f>
        <v>0</v>
      </c>
      <c r="AL303" s="46">
        <f>DATA!V304</f>
        <v>0</v>
      </c>
      <c r="AM303" s="46">
        <f>DATA!W304</f>
        <v>0</v>
      </c>
      <c r="AN303" s="44"/>
    </row>
    <row r="304" spans="1:40" s="48" customFormat="1" ht="23.25" hidden="1" customHeight="1" x14ac:dyDescent="0.45">
      <c r="A304" s="46">
        <f>DATA!C305</f>
        <v>0</v>
      </c>
      <c r="B304" s="46">
        <f>DATA!D305</f>
        <v>0</v>
      </c>
      <c r="C304" s="46">
        <f>DATA!F305</f>
        <v>0</v>
      </c>
      <c r="D304" s="46">
        <f>DATA!G305</f>
        <v>0</v>
      </c>
      <c r="E304" s="46">
        <f>DATA!H305</f>
        <v>0</v>
      </c>
      <c r="F304" s="46">
        <f>DATA!I305</f>
        <v>0</v>
      </c>
      <c r="G304" s="46"/>
      <c r="H304" s="46"/>
      <c r="I304" s="45">
        <f>DATA!L305</f>
        <v>0</v>
      </c>
      <c r="J304" s="46"/>
      <c r="K304" s="46">
        <f>DATA!O305</f>
        <v>0</v>
      </c>
      <c r="L304" s="46">
        <f>DATA!Q305</f>
        <v>0</v>
      </c>
      <c r="M304" s="46">
        <f>DATA!R305</f>
        <v>0</v>
      </c>
      <c r="N304" s="46"/>
      <c r="O304" s="46"/>
      <c r="P304" s="46">
        <f>DATA!U305</f>
        <v>0</v>
      </c>
      <c r="Q304" s="46">
        <f>DATA!V305</f>
        <v>0</v>
      </c>
      <c r="R304" s="46">
        <f>DATA!W305</f>
        <v>0</v>
      </c>
      <c r="S304" s="44"/>
      <c r="V304" s="46">
        <f>DATA!C305</f>
        <v>0</v>
      </c>
      <c r="W304" s="46">
        <f>DATA!D305</f>
        <v>0</v>
      </c>
      <c r="X304" s="46">
        <f>DATA!F305</f>
        <v>0</v>
      </c>
      <c r="Y304" s="46">
        <f>DATA!G305</f>
        <v>0</v>
      </c>
      <c r="Z304" s="46">
        <f>DATA!H305</f>
        <v>0</v>
      </c>
      <c r="AA304" s="46">
        <f>DATA!I305</f>
        <v>0</v>
      </c>
      <c r="AB304" s="46"/>
      <c r="AC304" s="46"/>
      <c r="AD304" s="45">
        <f>DATA!L305</f>
        <v>0</v>
      </c>
      <c r="AE304" s="46"/>
      <c r="AF304" s="46">
        <f>DATA!O305</f>
        <v>0</v>
      </c>
      <c r="AG304" s="46">
        <f>DATA!Q305</f>
        <v>0</v>
      </c>
      <c r="AH304" s="46">
        <f>DATA!R305</f>
        <v>0</v>
      </c>
      <c r="AI304" s="46"/>
      <c r="AJ304" s="46"/>
      <c r="AK304" s="46">
        <f>DATA!U305</f>
        <v>0</v>
      </c>
      <c r="AL304" s="46">
        <f>DATA!V305</f>
        <v>0</v>
      </c>
      <c r="AM304" s="46">
        <f>DATA!W305</f>
        <v>0</v>
      </c>
      <c r="AN304" s="44"/>
    </row>
    <row r="305" spans="1:40" s="48" customFormat="1" ht="23.25" hidden="1" customHeight="1" x14ac:dyDescent="0.45">
      <c r="A305" s="46">
        <f>DATA!C306</f>
        <v>0</v>
      </c>
      <c r="B305" s="46">
        <f>DATA!D306</f>
        <v>0</v>
      </c>
      <c r="C305" s="46">
        <f>DATA!F306</f>
        <v>0</v>
      </c>
      <c r="D305" s="46">
        <f>DATA!G306</f>
        <v>0</v>
      </c>
      <c r="E305" s="46">
        <f>DATA!H306</f>
        <v>0</v>
      </c>
      <c r="F305" s="46">
        <f>DATA!I306</f>
        <v>0</v>
      </c>
      <c r="G305" s="46"/>
      <c r="H305" s="46"/>
      <c r="I305" s="45">
        <f>DATA!L306</f>
        <v>0</v>
      </c>
      <c r="J305" s="46"/>
      <c r="K305" s="46">
        <f>DATA!O306</f>
        <v>0</v>
      </c>
      <c r="L305" s="46">
        <f>DATA!Q306</f>
        <v>0</v>
      </c>
      <c r="M305" s="46">
        <f>DATA!R306</f>
        <v>0</v>
      </c>
      <c r="N305" s="46"/>
      <c r="O305" s="46"/>
      <c r="P305" s="46">
        <f>DATA!U306</f>
        <v>0</v>
      </c>
      <c r="Q305" s="46">
        <f>DATA!V306</f>
        <v>0</v>
      </c>
      <c r="R305" s="46">
        <f>DATA!W306</f>
        <v>0</v>
      </c>
      <c r="S305" s="44"/>
      <c r="V305" s="46">
        <f>DATA!C306</f>
        <v>0</v>
      </c>
      <c r="W305" s="46">
        <f>DATA!D306</f>
        <v>0</v>
      </c>
      <c r="X305" s="46">
        <f>DATA!F306</f>
        <v>0</v>
      </c>
      <c r="Y305" s="46">
        <f>DATA!G306</f>
        <v>0</v>
      </c>
      <c r="Z305" s="46">
        <f>DATA!H306</f>
        <v>0</v>
      </c>
      <c r="AA305" s="46">
        <f>DATA!I306</f>
        <v>0</v>
      </c>
      <c r="AB305" s="46"/>
      <c r="AC305" s="46"/>
      <c r="AD305" s="45">
        <f>DATA!L306</f>
        <v>0</v>
      </c>
      <c r="AE305" s="46"/>
      <c r="AF305" s="46">
        <f>DATA!O306</f>
        <v>0</v>
      </c>
      <c r="AG305" s="46">
        <f>DATA!Q306</f>
        <v>0</v>
      </c>
      <c r="AH305" s="46">
        <f>DATA!R306</f>
        <v>0</v>
      </c>
      <c r="AI305" s="46"/>
      <c r="AJ305" s="46"/>
      <c r="AK305" s="46">
        <f>DATA!U306</f>
        <v>0</v>
      </c>
      <c r="AL305" s="46">
        <f>DATA!V306</f>
        <v>0</v>
      </c>
      <c r="AM305" s="46">
        <f>DATA!W306</f>
        <v>0</v>
      </c>
      <c r="AN305" s="44"/>
    </row>
    <row r="306" spans="1:40" s="48" customFormat="1" ht="23.25" hidden="1" customHeight="1" x14ac:dyDescent="0.45">
      <c r="A306" s="46">
        <f>DATA!C307</f>
        <v>0</v>
      </c>
      <c r="B306" s="46">
        <f>DATA!D307</f>
        <v>0</v>
      </c>
      <c r="C306" s="46">
        <f>DATA!F307</f>
        <v>0</v>
      </c>
      <c r="D306" s="46">
        <f>DATA!G307</f>
        <v>0</v>
      </c>
      <c r="E306" s="46">
        <f>DATA!H307</f>
        <v>0</v>
      </c>
      <c r="F306" s="46">
        <f>DATA!I307</f>
        <v>0</v>
      </c>
      <c r="G306" s="46"/>
      <c r="H306" s="46"/>
      <c r="I306" s="45">
        <f>DATA!L307</f>
        <v>0</v>
      </c>
      <c r="J306" s="46"/>
      <c r="K306" s="46">
        <f>DATA!O307</f>
        <v>0</v>
      </c>
      <c r="L306" s="46">
        <f>DATA!Q307</f>
        <v>0</v>
      </c>
      <c r="M306" s="46">
        <f>DATA!R307</f>
        <v>0</v>
      </c>
      <c r="N306" s="46"/>
      <c r="O306" s="46"/>
      <c r="P306" s="46">
        <f>DATA!U307</f>
        <v>0</v>
      </c>
      <c r="Q306" s="46">
        <f>DATA!V307</f>
        <v>0</v>
      </c>
      <c r="R306" s="46">
        <f>DATA!W307</f>
        <v>0</v>
      </c>
      <c r="S306" s="44"/>
      <c r="V306" s="46">
        <f>DATA!C307</f>
        <v>0</v>
      </c>
      <c r="W306" s="46">
        <f>DATA!D307</f>
        <v>0</v>
      </c>
      <c r="X306" s="46">
        <f>DATA!F307</f>
        <v>0</v>
      </c>
      <c r="Y306" s="46">
        <f>DATA!G307</f>
        <v>0</v>
      </c>
      <c r="Z306" s="46">
        <f>DATA!H307</f>
        <v>0</v>
      </c>
      <c r="AA306" s="46">
        <f>DATA!I307</f>
        <v>0</v>
      </c>
      <c r="AB306" s="46"/>
      <c r="AC306" s="46"/>
      <c r="AD306" s="45">
        <f>DATA!L307</f>
        <v>0</v>
      </c>
      <c r="AE306" s="46"/>
      <c r="AF306" s="46">
        <f>DATA!O307</f>
        <v>0</v>
      </c>
      <c r="AG306" s="46">
        <f>DATA!Q307</f>
        <v>0</v>
      </c>
      <c r="AH306" s="46">
        <f>DATA!R307</f>
        <v>0</v>
      </c>
      <c r="AI306" s="46"/>
      <c r="AJ306" s="46"/>
      <c r="AK306" s="46">
        <f>DATA!U307</f>
        <v>0</v>
      </c>
      <c r="AL306" s="46">
        <f>DATA!V307</f>
        <v>0</v>
      </c>
      <c r="AM306" s="46">
        <f>DATA!W307</f>
        <v>0</v>
      </c>
      <c r="AN306" s="44"/>
    </row>
    <row r="307" spans="1:40" s="48" customFormat="1" ht="23.25" hidden="1" customHeight="1" x14ac:dyDescent="0.45">
      <c r="A307" s="46">
        <f>DATA!C308</f>
        <v>0</v>
      </c>
      <c r="B307" s="46">
        <f>DATA!D308</f>
        <v>0</v>
      </c>
      <c r="C307" s="46">
        <f>DATA!F308</f>
        <v>0</v>
      </c>
      <c r="D307" s="46">
        <f>DATA!G308</f>
        <v>0</v>
      </c>
      <c r="E307" s="46">
        <f>DATA!H308</f>
        <v>0</v>
      </c>
      <c r="F307" s="46">
        <f>DATA!I308</f>
        <v>0</v>
      </c>
      <c r="G307" s="46"/>
      <c r="H307" s="46"/>
      <c r="I307" s="45">
        <f>DATA!L308</f>
        <v>0</v>
      </c>
      <c r="J307" s="46"/>
      <c r="K307" s="46">
        <f>DATA!O308</f>
        <v>0</v>
      </c>
      <c r="L307" s="46">
        <f>DATA!Q308</f>
        <v>0</v>
      </c>
      <c r="M307" s="46">
        <f>DATA!R308</f>
        <v>0</v>
      </c>
      <c r="N307" s="46"/>
      <c r="O307" s="46"/>
      <c r="P307" s="46">
        <f>DATA!U308</f>
        <v>0</v>
      </c>
      <c r="Q307" s="46">
        <f>DATA!V308</f>
        <v>0</v>
      </c>
      <c r="R307" s="46">
        <f>DATA!W308</f>
        <v>0</v>
      </c>
      <c r="S307" s="44"/>
      <c r="V307" s="46">
        <f>DATA!C308</f>
        <v>0</v>
      </c>
      <c r="W307" s="46">
        <f>DATA!D308</f>
        <v>0</v>
      </c>
      <c r="X307" s="46">
        <f>DATA!F308</f>
        <v>0</v>
      </c>
      <c r="Y307" s="46">
        <f>DATA!G308</f>
        <v>0</v>
      </c>
      <c r="Z307" s="46">
        <f>DATA!H308</f>
        <v>0</v>
      </c>
      <c r="AA307" s="46">
        <f>DATA!I308</f>
        <v>0</v>
      </c>
      <c r="AB307" s="46"/>
      <c r="AC307" s="46"/>
      <c r="AD307" s="45">
        <f>DATA!L308</f>
        <v>0</v>
      </c>
      <c r="AE307" s="46"/>
      <c r="AF307" s="46">
        <f>DATA!O308</f>
        <v>0</v>
      </c>
      <c r="AG307" s="46">
        <f>DATA!Q308</f>
        <v>0</v>
      </c>
      <c r="AH307" s="46">
        <f>DATA!R308</f>
        <v>0</v>
      </c>
      <c r="AI307" s="46"/>
      <c r="AJ307" s="46"/>
      <c r="AK307" s="46">
        <f>DATA!U308</f>
        <v>0</v>
      </c>
      <c r="AL307" s="46">
        <f>DATA!V308</f>
        <v>0</v>
      </c>
      <c r="AM307" s="46">
        <f>DATA!W308</f>
        <v>0</v>
      </c>
      <c r="AN307" s="44"/>
    </row>
    <row r="308" spans="1:40" s="48" customFormat="1" ht="23.25" hidden="1" customHeight="1" x14ac:dyDescent="0.45">
      <c r="A308" s="46">
        <f>DATA!C309</f>
        <v>0</v>
      </c>
      <c r="B308" s="46">
        <f>DATA!D309</f>
        <v>0</v>
      </c>
      <c r="C308" s="46">
        <f>DATA!F309</f>
        <v>0</v>
      </c>
      <c r="D308" s="46">
        <f>DATA!G309</f>
        <v>0</v>
      </c>
      <c r="E308" s="46">
        <f>DATA!H309</f>
        <v>0</v>
      </c>
      <c r="F308" s="46">
        <f>DATA!I309</f>
        <v>0</v>
      </c>
      <c r="G308" s="46"/>
      <c r="H308" s="46"/>
      <c r="I308" s="45">
        <f>DATA!L309</f>
        <v>0</v>
      </c>
      <c r="J308" s="46"/>
      <c r="K308" s="46">
        <f>DATA!O309</f>
        <v>0</v>
      </c>
      <c r="L308" s="46">
        <f>DATA!Q309</f>
        <v>0</v>
      </c>
      <c r="M308" s="46">
        <f>DATA!R309</f>
        <v>0</v>
      </c>
      <c r="N308" s="46"/>
      <c r="O308" s="46"/>
      <c r="P308" s="46">
        <f>DATA!U309</f>
        <v>0</v>
      </c>
      <c r="Q308" s="46">
        <f>DATA!V309</f>
        <v>0</v>
      </c>
      <c r="R308" s="46">
        <f>DATA!W309</f>
        <v>0</v>
      </c>
      <c r="S308" s="44"/>
      <c r="V308" s="46">
        <f>DATA!C309</f>
        <v>0</v>
      </c>
      <c r="W308" s="46">
        <f>DATA!D309</f>
        <v>0</v>
      </c>
      <c r="X308" s="46">
        <f>DATA!F309</f>
        <v>0</v>
      </c>
      <c r="Y308" s="46">
        <f>DATA!G309</f>
        <v>0</v>
      </c>
      <c r="Z308" s="46">
        <f>DATA!H309</f>
        <v>0</v>
      </c>
      <c r="AA308" s="46">
        <f>DATA!I309</f>
        <v>0</v>
      </c>
      <c r="AB308" s="46"/>
      <c r="AC308" s="46"/>
      <c r="AD308" s="45">
        <f>DATA!L309</f>
        <v>0</v>
      </c>
      <c r="AE308" s="46"/>
      <c r="AF308" s="46">
        <f>DATA!O309</f>
        <v>0</v>
      </c>
      <c r="AG308" s="46">
        <f>DATA!Q309</f>
        <v>0</v>
      </c>
      <c r="AH308" s="46">
        <f>DATA!R309</f>
        <v>0</v>
      </c>
      <c r="AI308" s="46"/>
      <c r="AJ308" s="46"/>
      <c r="AK308" s="46">
        <f>DATA!U309</f>
        <v>0</v>
      </c>
      <c r="AL308" s="46">
        <f>DATA!V309</f>
        <v>0</v>
      </c>
      <c r="AM308" s="46">
        <f>DATA!W309</f>
        <v>0</v>
      </c>
      <c r="AN308" s="44"/>
    </row>
    <row r="309" spans="1:40" s="48" customFormat="1" ht="23.25" hidden="1" customHeight="1" x14ac:dyDescent="0.45">
      <c r="A309" s="46">
        <f>DATA!C310</f>
        <v>0</v>
      </c>
      <c r="B309" s="46">
        <f>DATA!D310</f>
        <v>0</v>
      </c>
      <c r="C309" s="46">
        <f>DATA!F310</f>
        <v>0</v>
      </c>
      <c r="D309" s="46">
        <f>DATA!G310</f>
        <v>0</v>
      </c>
      <c r="E309" s="46">
        <f>DATA!H310</f>
        <v>0</v>
      </c>
      <c r="F309" s="46">
        <f>DATA!I310</f>
        <v>0</v>
      </c>
      <c r="G309" s="46"/>
      <c r="H309" s="46"/>
      <c r="I309" s="45">
        <f>DATA!L310</f>
        <v>0</v>
      </c>
      <c r="J309" s="46"/>
      <c r="K309" s="46">
        <f>DATA!O310</f>
        <v>0</v>
      </c>
      <c r="L309" s="46">
        <f>DATA!Q310</f>
        <v>0</v>
      </c>
      <c r="M309" s="46">
        <f>DATA!R310</f>
        <v>0</v>
      </c>
      <c r="N309" s="46"/>
      <c r="O309" s="46"/>
      <c r="P309" s="46">
        <f>DATA!U310</f>
        <v>0</v>
      </c>
      <c r="Q309" s="46">
        <f>DATA!V310</f>
        <v>0</v>
      </c>
      <c r="R309" s="46">
        <f>DATA!W310</f>
        <v>0</v>
      </c>
      <c r="S309" s="44"/>
      <c r="V309" s="46">
        <f>DATA!C310</f>
        <v>0</v>
      </c>
      <c r="W309" s="46">
        <f>DATA!D310</f>
        <v>0</v>
      </c>
      <c r="X309" s="46">
        <f>DATA!F310</f>
        <v>0</v>
      </c>
      <c r="Y309" s="46">
        <f>DATA!G310</f>
        <v>0</v>
      </c>
      <c r="Z309" s="46">
        <f>DATA!H310</f>
        <v>0</v>
      </c>
      <c r="AA309" s="46">
        <f>DATA!I310</f>
        <v>0</v>
      </c>
      <c r="AB309" s="46"/>
      <c r="AC309" s="46"/>
      <c r="AD309" s="45">
        <f>DATA!L310</f>
        <v>0</v>
      </c>
      <c r="AE309" s="46"/>
      <c r="AF309" s="46">
        <f>DATA!O310</f>
        <v>0</v>
      </c>
      <c r="AG309" s="46">
        <f>DATA!Q310</f>
        <v>0</v>
      </c>
      <c r="AH309" s="46">
        <f>DATA!R310</f>
        <v>0</v>
      </c>
      <c r="AI309" s="46"/>
      <c r="AJ309" s="46"/>
      <c r="AK309" s="46">
        <f>DATA!U310</f>
        <v>0</v>
      </c>
      <c r="AL309" s="46">
        <f>DATA!V310</f>
        <v>0</v>
      </c>
      <c r="AM309" s="46">
        <f>DATA!W310</f>
        <v>0</v>
      </c>
      <c r="AN309" s="44"/>
    </row>
    <row r="310" spans="1:40" s="48" customFormat="1" ht="23.25" hidden="1" customHeight="1" x14ac:dyDescent="0.45">
      <c r="A310" s="46">
        <f>DATA!C311</f>
        <v>0</v>
      </c>
      <c r="B310" s="46">
        <f>DATA!D311</f>
        <v>0</v>
      </c>
      <c r="C310" s="46">
        <f>DATA!F311</f>
        <v>0</v>
      </c>
      <c r="D310" s="46">
        <f>DATA!G311</f>
        <v>0</v>
      </c>
      <c r="E310" s="46">
        <f>DATA!H311</f>
        <v>0</v>
      </c>
      <c r="F310" s="46">
        <f>DATA!I311</f>
        <v>0</v>
      </c>
      <c r="G310" s="46"/>
      <c r="H310" s="46"/>
      <c r="I310" s="45">
        <f>DATA!L311</f>
        <v>0</v>
      </c>
      <c r="J310" s="46"/>
      <c r="K310" s="46">
        <f>DATA!O311</f>
        <v>0</v>
      </c>
      <c r="L310" s="46">
        <f>DATA!Q311</f>
        <v>0</v>
      </c>
      <c r="M310" s="46">
        <f>DATA!R311</f>
        <v>0</v>
      </c>
      <c r="N310" s="46"/>
      <c r="O310" s="46"/>
      <c r="P310" s="46">
        <f>DATA!U311</f>
        <v>0</v>
      </c>
      <c r="Q310" s="46">
        <f>DATA!V311</f>
        <v>0</v>
      </c>
      <c r="R310" s="46">
        <f>DATA!W311</f>
        <v>0</v>
      </c>
      <c r="S310" s="44"/>
      <c r="V310" s="46">
        <f>DATA!C311</f>
        <v>0</v>
      </c>
      <c r="W310" s="46">
        <f>DATA!D311</f>
        <v>0</v>
      </c>
      <c r="X310" s="46">
        <f>DATA!F311</f>
        <v>0</v>
      </c>
      <c r="Y310" s="46">
        <f>DATA!G311</f>
        <v>0</v>
      </c>
      <c r="Z310" s="46">
        <f>DATA!H311</f>
        <v>0</v>
      </c>
      <c r="AA310" s="46">
        <f>DATA!I311</f>
        <v>0</v>
      </c>
      <c r="AB310" s="46"/>
      <c r="AC310" s="46"/>
      <c r="AD310" s="45">
        <f>DATA!L311</f>
        <v>0</v>
      </c>
      <c r="AE310" s="46"/>
      <c r="AF310" s="46">
        <f>DATA!O311</f>
        <v>0</v>
      </c>
      <c r="AG310" s="46">
        <f>DATA!Q311</f>
        <v>0</v>
      </c>
      <c r="AH310" s="46">
        <f>DATA!R311</f>
        <v>0</v>
      </c>
      <c r="AI310" s="46"/>
      <c r="AJ310" s="46"/>
      <c r="AK310" s="46">
        <f>DATA!U311</f>
        <v>0</v>
      </c>
      <c r="AL310" s="46">
        <f>DATA!V311</f>
        <v>0</v>
      </c>
      <c r="AM310" s="46">
        <f>DATA!W311</f>
        <v>0</v>
      </c>
      <c r="AN310" s="44"/>
    </row>
    <row r="311" spans="1:40" s="48" customFormat="1" ht="23.25" hidden="1" customHeight="1" x14ac:dyDescent="0.45">
      <c r="A311" s="46">
        <f>DATA!C312</f>
        <v>0</v>
      </c>
      <c r="B311" s="46">
        <f>DATA!D312</f>
        <v>0</v>
      </c>
      <c r="C311" s="46">
        <f>DATA!F312</f>
        <v>0</v>
      </c>
      <c r="D311" s="46">
        <f>DATA!G312</f>
        <v>0</v>
      </c>
      <c r="E311" s="46">
        <f>DATA!H312</f>
        <v>0</v>
      </c>
      <c r="F311" s="46">
        <f>DATA!I312</f>
        <v>0</v>
      </c>
      <c r="G311" s="46"/>
      <c r="H311" s="46"/>
      <c r="I311" s="45">
        <f>DATA!L312</f>
        <v>0</v>
      </c>
      <c r="J311" s="46"/>
      <c r="K311" s="46">
        <f>DATA!O312</f>
        <v>0</v>
      </c>
      <c r="L311" s="46">
        <f>DATA!Q312</f>
        <v>0</v>
      </c>
      <c r="M311" s="46">
        <f>DATA!R312</f>
        <v>0</v>
      </c>
      <c r="N311" s="46"/>
      <c r="O311" s="46"/>
      <c r="P311" s="46">
        <f>DATA!U312</f>
        <v>0</v>
      </c>
      <c r="Q311" s="46">
        <f>DATA!V312</f>
        <v>0</v>
      </c>
      <c r="R311" s="46">
        <f>DATA!W312</f>
        <v>0</v>
      </c>
      <c r="S311" s="44"/>
      <c r="V311" s="46">
        <f>DATA!C312</f>
        <v>0</v>
      </c>
      <c r="W311" s="46">
        <f>DATA!D312</f>
        <v>0</v>
      </c>
      <c r="X311" s="46">
        <f>DATA!F312</f>
        <v>0</v>
      </c>
      <c r="Y311" s="46">
        <f>DATA!G312</f>
        <v>0</v>
      </c>
      <c r="Z311" s="46">
        <f>DATA!H312</f>
        <v>0</v>
      </c>
      <c r="AA311" s="46">
        <f>DATA!I312</f>
        <v>0</v>
      </c>
      <c r="AB311" s="46"/>
      <c r="AC311" s="46"/>
      <c r="AD311" s="45">
        <f>DATA!L312</f>
        <v>0</v>
      </c>
      <c r="AE311" s="46"/>
      <c r="AF311" s="46">
        <f>DATA!O312</f>
        <v>0</v>
      </c>
      <c r="AG311" s="46">
        <f>DATA!Q312</f>
        <v>0</v>
      </c>
      <c r="AH311" s="46">
        <f>DATA!R312</f>
        <v>0</v>
      </c>
      <c r="AI311" s="46"/>
      <c r="AJ311" s="46"/>
      <c r="AK311" s="46">
        <f>DATA!U312</f>
        <v>0</v>
      </c>
      <c r="AL311" s="46">
        <f>DATA!V312</f>
        <v>0</v>
      </c>
      <c r="AM311" s="46">
        <f>DATA!W312</f>
        <v>0</v>
      </c>
      <c r="AN311" s="44"/>
    </row>
    <row r="312" spans="1:40" s="48" customFormat="1" ht="23.25" hidden="1" customHeight="1" x14ac:dyDescent="0.45">
      <c r="A312" s="46">
        <f>DATA!C313</f>
        <v>0</v>
      </c>
      <c r="B312" s="46">
        <f>DATA!D313</f>
        <v>0</v>
      </c>
      <c r="C312" s="46">
        <f>DATA!F313</f>
        <v>0</v>
      </c>
      <c r="D312" s="46">
        <f>DATA!G313</f>
        <v>0</v>
      </c>
      <c r="E312" s="46">
        <f>DATA!H313</f>
        <v>0</v>
      </c>
      <c r="F312" s="46">
        <f>DATA!I313</f>
        <v>0</v>
      </c>
      <c r="G312" s="46"/>
      <c r="H312" s="46"/>
      <c r="I312" s="45">
        <f>DATA!L313</f>
        <v>0</v>
      </c>
      <c r="J312" s="46"/>
      <c r="K312" s="46">
        <f>DATA!O313</f>
        <v>0</v>
      </c>
      <c r="L312" s="46">
        <f>DATA!Q313</f>
        <v>0</v>
      </c>
      <c r="M312" s="46">
        <f>DATA!R313</f>
        <v>0</v>
      </c>
      <c r="N312" s="46"/>
      <c r="O312" s="46"/>
      <c r="P312" s="46">
        <f>DATA!U313</f>
        <v>0</v>
      </c>
      <c r="Q312" s="46">
        <f>DATA!V313</f>
        <v>0</v>
      </c>
      <c r="R312" s="46">
        <f>DATA!W313</f>
        <v>0</v>
      </c>
      <c r="S312" s="44"/>
      <c r="V312" s="46">
        <f>DATA!C313</f>
        <v>0</v>
      </c>
      <c r="W312" s="46">
        <f>DATA!D313</f>
        <v>0</v>
      </c>
      <c r="X312" s="46">
        <f>DATA!F313</f>
        <v>0</v>
      </c>
      <c r="Y312" s="46">
        <f>DATA!G313</f>
        <v>0</v>
      </c>
      <c r="Z312" s="46">
        <f>DATA!H313</f>
        <v>0</v>
      </c>
      <c r="AA312" s="46">
        <f>DATA!I313</f>
        <v>0</v>
      </c>
      <c r="AB312" s="46"/>
      <c r="AC312" s="46"/>
      <c r="AD312" s="45">
        <f>DATA!L313</f>
        <v>0</v>
      </c>
      <c r="AE312" s="46"/>
      <c r="AF312" s="46">
        <f>DATA!O313</f>
        <v>0</v>
      </c>
      <c r="AG312" s="46">
        <f>DATA!Q313</f>
        <v>0</v>
      </c>
      <c r="AH312" s="46">
        <f>DATA!R313</f>
        <v>0</v>
      </c>
      <c r="AI312" s="46"/>
      <c r="AJ312" s="46"/>
      <c r="AK312" s="46">
        <f>DATA!U313</f>
        <v>0</v>
      </c>
      <c r="AL312" s="46">
        <f>DATA!V313</f>
        <v>0</v>
      </c>
      <c r="AM312" s="46">
        <f>DATA!W313</f>
        <v>0</v>
      </c>
      <c r="AN312" s="44"/>
    </row>
    <row r="313" spans="1:40" s="48" customFormat="1" ht="23.25" hidden="1" customHeight="1" x14ac:dyDescent="0.45">
      <c r="A313" s="46">
        <f>DATA!C314</f>
        <v>0</v>
      </c>
      <c r="B313" s="46">
        <f>DATA!D314</f>
        <v>0</v>
      </c>
      <c r="C313" s="46">
        <f>DATA!F314</f>
        <v>0</v>
      </c>
      <c r="D313" s="46">
        <f>DATA!G314</f>
        <v>0</v>
      </c>
      <c r="E313" s="46">
        <f>DATA!H314</f>
        <v>0</v>
      </c>
      <c r="F313" s="46">
        <f>DATA!I314</f>
        <v>0</v>
      </c>
      <c r="G313" s="46"/>
      <c r="H313" s="46"/>
      <c r="I313" s="45">
        <f>DATA!L314</f>
        <v>0</v>
      </c>
      <c r="J313" s="46"/>
      <c r="K313" s="46">
        <f>DATA!O314</f>
        <v>0</v>
      </c>
      <c r="L313" s="46">
        <f>DATA!Q314</f>
        <v>0</v>
      </c>
      <c r="M313" s="46">
        <f>DATA!R314</f>
        <v>0</v>
      </c>
      <c r="N313" s="46"/>
      <c r="O313" s="46"/>
      <c r="P313" s="46">
        <f>DATA!U314</f>
        <v>0</v>
      </c>
      <c r="Q313" s="46">
        <f>DATA!V314</f>
        <v>0</v>
      </c>
      <c r="R313" s="46">
        <f>DATA!W314</f>
        <v>0</v>
      </c>
      <c r="S313" s="44"/>
      <c r="V313" s="46">
        <f>DATA!C314</f>
        <v>0</v>
      </c>
      <c r="W313" s="46">
        <f>DATA!D314</f>
        <v>0</v>
      </c>
      <c r="X313" s="46">
        <f>DATA!F314</f>
        <v>0</v>
      </c>
      <c r="Y313" s="46">
        <f>DATA!G314</f>
        <v>0</v>
      </c>
      <c r="Z313" s="46">
        <f>DATA!H314</f>
        <v>0</v>
      </c>
      <c r="AA313" s="46">
        <f>DATA!I314</f>
        <v>0</v>
      </c>
      <c r="AB313" s="46"/>
      <c r="AC313" s="46"/>
      <c r="AD313" s="45">
        <f>DATA!L314</f>
        <v>0</v>
      </c>
      <c r="AE313" s="46"/>
      <c r="AF313" s="46">
        <f>DATA!O314</f>
        <v>0</v>
      </c>
      <c r="AG313" s="46">
        <f>DATA!Q314</f>
        <v>0</v>
      </c>
      <c r="AH313" s="46">
        <f>DATA!R314</f>
        <v>0</v>
      </c>
      <c r="AI313" s="46"/>
      <c r="AJ313" s="46"/>
      <c r="AK313" s="46">
        <f>DATA!U314</f>
        <v>0</v>
      </c>
      <c r="AL313" s="46">
        <f>DATA!V314</f>
        <v>0</v>
      </c>
      <c r="AM313" s="46">
        <f>DATA!W314</f>
        <v>0</v>
      </c>
      <c r="AN313" s="44"/>
    </row>
    <row r="314" spans="1:40" s="48" customFormat="1" ht="23.25" hidden="1" customHeight="1" x14ac:dyDescent="0.45">
      <c r="A314" s="46">
        <f>DATA!C315</f>
        <v>0</v>
      </c>
      <c r="B314" s="46">
        <f>DATA!D315</f>
        <v>0</v>
      </c>
      <c r="C314" s="46">
        <f>DATA!F315</f>
        <v>0</v>
      </c>
      <c r="D314" s="46">
        <f>DATA!G315</f>
        <v>0</v>
      </c>
      <c r="E314" s="46">
        <f>DATA!H315</f>
        <v>0</v>
      </c>
      <c r="F314" s="46">
        <f>DATA!I315</f>
        <v>0</v>
      </c>
      <c r="G314" s="46"/>
      <c r="H314" s="46"/>
      <c r="I314" s="45">
        <f>DATA!L315</f>
        <v>0</v>
      </c>
      <c r="J314" s="46"/>
      <c r="K314" s="46">
        <f>DATA!O315</f>
        <v>0</v>
      </c>
      <c r="L314" s="46">
        <f>DATA!Q315</f>
        <v>0</v>
      </c>
      <c r="M314" s="46">
        <f>DATA!R315</f>
        <v>0</v>
      </c>
      <c r="N314" s="46"/>
      <c r="O314" s="46"/>
      <c r="P314" s="46">
        <f>DATA!U315</f>
        <v>0</v>
      </c>
      <c r="Q314" s="46">
        <f>DATA!V315</f>
        <v>0</v>
      </c>
      <c r="R314" s="46">
        <f>DATA!W315</f>
        <v>0</v>
      </c>
      <c r="S314" s="44"/>
      <c r="V314" s="46">
        <f>DATA!C315</f>
        <v>0</v>
      </c>
      <c r="W314" s="46">
        <f>DATA!D315</f>
        <v>0</v>
      </c>
      <c r="X314" s="46">
        <f>DATA!F315</f>
        <v>0</v>
      </c>
      <c r="Y314" s="46">
        <f>DATA!G315</f>
        <v>0</v>
      </c>
      <c r="Z314" s="46">
        <f>DATA!H315</f>
        <v>0</v>
      </c>
      <c r="AA314" s="46">
        <f>DATA!I315</f>
        <v>0</v>
      </c>
      <c r="AB314" s="46"/>
      <c r="AC314" s="46"/>
      <c r="AD314" s="45">
        <f>DATA!L315</f>
        <v>0</v>
      </c>
      <c r="AE314" s="46"/>
      <c r="AF314" s="46">
        <f>DATA!O315</f>
        <v>0</v>
      </c>
      <c r="AG314" s="46">
        <f>DATA!Q315</f>
        <v>0</v>
      </c>
      <c r="AH314" s="46">
        <f>DATA!R315</f>
        <v>0</v>
      </c>
      <c r="AI314" s="46"/>
      <c r="AJ314" s="46"/>
      <c r="AK314" s="46">
        <f>DATA!U315</f>
        <v>0</v>
      </c>
      <c r="AL314" s="46">
        <f>DATA!V315</f>
        <v>0</v>
      </c>
      <c r="AM314" s="46">
        <f>DATA!W315</f>
        <v>0</v>
      </c>
      <c r="AN314" s="44"/>
    </row>
    <row r="315" spans="1:40" s="48" customFormat="1" ht="23.25" hidden="1" customHeight="1" x14ac:dyDescent="0.45">
      <c r="A315" s="46">
        <f>DATA!C316</f>
        <v>0</v>
      </c>
      <c r="B315" s="46">
        <f>DATA!D316</f>
        <v>0</v>
      </c>
      <c r="C315" s="46">
        <f>DATA!F316</f>
        <v>0</v>
      </c>
      <c r="D315" s="46">
        <f>DATA!G316</f>
        <v>0</v>
      </c>
      <c r="E315" s="46">
        <f>DATA!H316</f>
        <v>0</v>
      </c>
      <c r="F315" s="46">
        <f>DATA!I316</f>
        <v>0</v>
      </c>
      <c r="G315" s="46"/>
      <c r="H315" s="46"/>
      <c r="I315" s="45">
        <f>DATA!L316</f>
        <v>0</v>
      </c>
      <c r="J315" s="46"/>
      <c r="K315" s="46">
        <f>DATA!O316</f>
        <v>0</v>
      </c>
      <c r="L315" s="46">
        <f>DATA!Q316</f>
        <v>0</v>
      </c>
      <c r="M315" s="46">
        <f>DATA!R316</f>
        <v>0</v>
      </c>
      <c r="N315" s="46"/>
      <c r="O315" s="46"/>
      <c r="P315" s="46">
        <f>DATA!U316</f>
        <v>0</v>
      </c>
      <c r="Q315" s="46">
        <f>DATA!V316</f>
        <v>0</v>
      </c>
      <c r="R315" s="46">
        <f>DATA!W316</f>
        <v>0</v>
      </c>
      <c r="S315" s="44"/>
      <c r="V315" s="46">
        <f>DATA!C316</f>
        <v>0</v>
      </c>
      <c r="W315" s="46">
        <f>DATA!D316</f>
        <v>0</v>
      </c>
      <c r="X315" s="46">
        <f>DATA!F316</f>
        <v>0</v>
      </c>
      <c r="Y315" s="46">
        <f>DATA!G316</f>
        <v>0</v>
      </c>
      <c r="Z315" s="46">
        <f>DATA!H316</f>
        <v>0</v>
      </c>
      <c r="AA315" s="46">
        <f>DATA!I316</f>
        <v>0</v>
      </c>
      <c r="AB315" s="46"/>
      <c r="AC315" s="46"/>
      <c r="AD315" s="45">
        <f>DATA!L316</f>
        <v>0</v>
      </c>
      <c r="AE315" s="46"/>
      <c r="AF315" s="46">
        <f>DATA!O316</f>
        <v>0</v>
      </c>
      <c r="AG315" s="46">
        <f>DATA!Q316</f>
        <v>0</v>
      </c>
      <c r="AH315" s="46">
        <f>DATA!R316</f>
        <v>0</v>
      </c>
      <c r="AI315" s="46"/>
      <c r="AJ315" s="46"/>
      <c r="AK315" s="46">
        <f>DATA!U316</f>
        <v>0</v>
      </c>
      <c r="AL315" s="46">
        <f>DATA!V316</f>
        <v>0</v>
      </c>
      <c r="AM315" s="46">
        <f>DATA!W316</f>
        <v>0</v>
      </c>
      <c r="AN315" s="44"/>
    </row>
    <row r="316" spans="1:40" s="48" customFormat="1" ht="23.25" hidden="1" customHeight="1" x14ac:dyDescent="0.45">
      <c r="A316" s="46">
        <f>DATA!C317</f>
        <v>0</v>
      </c>
      <c r="B316" s="46">
        <f>DATA!D317</f>
        <v>0</v>
      </c>
      <c r="C316" s="46">
        <f>DATA!F317</f>
        <v>0</v>
      </c>
      <c r="D316" s="46">
        <f>DATA!G317</f>
        <v>0</v>
      </c>
      <c r="E316" s="46">
        <f>DATA!H317</f>
        <v>0</v>
      </c>
      <c r="F316" s="46">
        <f>DATA!I317</f>
        <v>0</v>
      </c>
      <c r="G316" s="46"/>
      <c r="H316" s="46"/>
      <c r="I316" s="45">
        <f>DATA!L317</f>
        <v>0</v>
      </c>
      <c r="J316" s="46"/>
      <c r="K316" s="46">
        <f>DATA!O317</f>
        <v>0</v>
      </c>
      <c r="L316" s="46">
        <f>DATA!Q317</f>
        <v>0</v>
      </c>
      <c r="M316" s="46">
        <f>DATA!R317</f>
        <v>0</v>
      </c>
      <c r="N316" s="46"/>
      <c r="O316" s="46"/>
      <c r="P316" s="46">
        <f>DATA!U317</f>
        <v>0</v>
      </c>
      <c r="Q316" s="46">
        <f>DATA!V317</f>
        <v>0</v>
      </c>
      <c r="R316" s="46">
        <f>DATA!W317</f>
        <v>0</v>
      </c>
      <c r="S316" s="44"/>
      <c r="V316" s="46">
        <f>DATA!C317</f>
        <v>0</v>
      </c>
      <c r="W316" s="46">
        <f>DATA!D317</f>
        <v>0</v>
      </c>
      <c r="X316" s="46">
        <f>DATA!F317</f>
        <v>0</v>
      </c>
      <c r="Y316" s="46">
        <f>DATA!G317</f>
        <v>0</v>
      </c>
      <c r="Z316" s="46">
        <f>DATA!H317</f>
        <v>0</v>
      </c>
      <c r="AA316" s="46">
        <f>DATA!I317</f>
        <v>0</v>
      </c>
      <c r="AB316" s="46"/>
      <c r="AC316" s="46"/>
      <c r="AD316" s="45">
        <f>DATA!L317</f>
        <v>0</v>
      </c>
      <c r="AE316" s="46"/>
      <c r="AF316" s="46">
        <f>DATA!O317</f>
        <v>0</v>
      </c>
      <c r="AG316" s="46">
        <f>DATA!Q317</f>
        <v>0</v>
      </c>
      <c r="AH316" s="46">
        <f>DATA!R317</f>
        <v>0</v>
      </c>
      <c r="AI316" s="46"/>
      <c r="AJ316" s="46"/>
      <c r="AK316" s="46">
        <f>DATA!U317</f>
        <v>0</v>
      </c>
      <c r="AL316" s="46">
        <f>DATA!V317</f>
        <v>0</v>
      </c>
      <c r="AM316" s="46">
        <f>DATA!W317</f>
        <v>0</v>
      </c>
      <c r="AN316" s="44"/>
    </row>
    <row r="317" spans="1:40" s="48" customFormat="1" ht="23.25" hidden="1" customHeight="1" x14ac:dyDescent="0.45">
      <c r="A317" s="46">
        <f>DATA!C318</f>
        <v>0</v>
      </c>
      <c r="B317" s="46">
        <f>DATA!D318</f>
        <v>0</v>
      </c>
      <c r="C317" s="46">
        <f>DATA!F318</f>
        <v>0</v>
      </c>
      <c r="D317" s="46">
        <f>DATA!G318</f>
        <v>0</v>
      </c>
      <c r="E317" s="46">
        <f>DATA!H318</f>
        <v>0</v>
      </c>
      <c r="F317" s="46">
        <f>DATA!I318</f>
        <v>0</v>
      </c>
      <c r="G317" s="46"/>
      <c r="H317" s="46"/>
      <c r="I317" s="45">
        <f>DATA!L318</f>
        <v>0</v>
      </c>
      <c r="J317" s="46"/>
      <c r="K317" s="46">
        <f>DATA!O318</f>
        <v>0</v>
      </c>
      <c r="L317" s="46">
        <f>DATA!Q318</f>
        <v>0</v>
      </c>
      <c r="M317" s="46">
        <f>DATA!R318</f>
        <v>0</v>
      </c>
      <c r="N317" s="46"/>
      <c r="O317" s="46"/>
      <c r="P317" s="46">
        <f>DATA!U318</f>
        <v>0</v>
      </c>
      <c r="Q317" s="46">
        <f>DATA!V318</f>
        <v>0</v>
      </c>
      <c r="R317" s="46">
        <f>DATA!W318</f>
        <v>0</v>
      </c>
      <c r="S317" s="44"/>
      <c r="V317" s="46">
        <f>DATA!C318</f>
        <v>0</v>
      </c>
      <c r="W317" s="46">
        <f>DATA!D318</f>
        <v>0</v>
      </c>
      <c r="X317" s="46">
        <f>DATA!F318</f>
        <v>0</v>
      </c>
      <c r="Y317" s="46">
        <f>DATA!G318</f>
        <v>0</v>
      </c>
      <c r="Z317" s="46">
        <f>DATA!H318</f>
        <v>0</v>
      </c>
      <c r="AA317" s="46">
        <f>DATA!I318</f>
        <v>0</v>
      </c>
      <c r="AB317" s="46"/>
      <c r="AC317" s="46"/>
      <c r="AD317" s="45">
        <f>DATA!L318</f>
        <v>0</v>
      </c>
      <c r="AE317" s="46"/>
      <c r="AF317" s="46">
        <f>DATA!O318</f>
        <v>0</v>
      </c>
      <c r="AG317" s="46">
        <f>DATA!Q318</f>
        <v>0</v>
      </c>
      <c r="AH317" s="46">
        <f>DATA!R318</f>
        <v>0</v>
      </c>
      <c r="AI317" s="46"/>
      <c r="AJ317" s="46"/>
      <c r="AK317" s="46">
        <f>DATA!U318</f>
        <v>0</v>
      </c>
      <c r="AL317" s="46">
        <f>DATA!V318</f>
        <v>0</v>
      </c>
      <c r="AM317" s="46">
        <f>DATA!W318</f>
        <v>0</v>
      </c>
      <c r="AN317" s="44"/>
    </row>
    <row r="318" spans="1:40" s="48" customFormat="1" ht="23.25" hidden="1" customHeight="1" x14ac:dyDescent="0.45">
      <c r="A318" s="46">
        <f>DATA!C319</f>
        <v>0</v>
      </c>
      <c r="B318" s="46">
        <f>DATA!D319</f>
        <v>0</v>
      </c>
      <c r="C318" s="46">
        <f>DATA!F319</f>
        <v>0</v>
      </c>
      <c r="D318" s="46">
        <f>DATA!G319</f>
        <v>0</v>
      </c>
      <c r="E318" s="46">
        <f>DATA!H319</f>
        <v>0</v>
      </c>
      <c r="F318" s="46">
        <f>DATA!I319</f>
        <v>0</v>
      </c>
      <c r="G318" s="46"/>
      <c r="H318" s="46"/>
      <c r="I318" s="45">
        <f>DATA!L319</f>
        <v>0</v>
      </c>
      <c r="J318" s="46"/>
      <c r="K318" s="46">
        <f>DATA!O319</f>
        <v>0</v>
      </c>
      <c r="L318" s="46">
        <f>DATA!Q319</f>
        <v>0</v>
      </c>
      <c r="M318" s="46">
        <f>DATA!R319</f>
        <v>0</v>
      </c>
      <c r="N318" s="46"/>
      <c r="O318" s="46"/>
      <c r="P318" s="46">
        <f>DATA!U319</f>
        <v>0</v>
      </c>
      <c r="Q318" s="46">
        <f>DATA!V319</f>
        <v>0</v>
      </c>
      <c r="R318" s="46">
        <f>DATA!W319</f>
        <v>0</v>
      </c>
      <c r="S318" s="44"/>
      <c r="V318" s="46">
        <f>DATA!C319</f>
        <v>0</v>
      </c>
      <c r="W318" s="46">
        <f>DATA!D319</f>
        <v>0</v>
      </c>
      <c r="X318" s="46">
        <f>DATA!F319</f>
        <v>0</v>
      </c>
      <c r="Y318" s="46">
        <f>DATA!G319</f>
        <v>0</v>
      </c>
      <c r="Z318" s="46">
        <f>DATA!H319</f>
        <v>0</v>
      </c>
      <c r="AA318" s="46">
        <f>DATA!I319</f>
        <v>0</v>
      </c>
      <c r="AB318" s="46"/>
      <c r="AC318" s="46"/>
      <c r="AD318" s="45">
        <f>DATA!L319</f>
        <v>0</v>
      </c>
      <c r="AE318" s="46"/>
      <c r="AF318" s="46">
        <f>DATA!O319</f>
        <v>0</v>
      </c>
      <c r="AG318" s="46">
        <f>DATA!Q319</f>
        <v>0</v>
      </c>
      <c r="AH318" s="46">
        <f>DATA!R319</f>
        <v>0</v>
      </c>
      <c r="AI318" s="46"/>
      <c r="AJ318" s="46"/>
      <c r="AK318" s="46">
        <f>DATA!U319</f>
        <v>0</v>
      </c>
      <c r="AL318" s="46">
        <f>DATA!V319</f>
        <v>0</v>
      </c>
      <c r="AM318" s="46">
        <f>DATA!W319</f>
        <v>0</v>
      </c>
      <c r="AN318" s="44"/>
    </row>
    <row r="319" spans="1:40" s="48" customFormat="1" ht="23.25" hidden="1" customHeight="1" x14ac:dyDescent="0.45">
      <c r="A319" s="46">
        <f>DATA!C320</f>
        <v>0</v>
      </c>
      <c r="B319" s="46">
        <f>DATA!D320</f>
        <v>0</v>
      </c>
      <c r="C319" s="46">
        <f>DATA!F320</f>
        <v>0</v>
      </c>
      <c r="D319" s="46">
        <f>DATA!G320</f>
        <v>0</v>
      </c>
      <c r="E319" s="46">
        <f>DATA!H320</f>
        <v>0</v>
      </c>
      <c r="F319" s="46">
        <f>DATA!I320</f>
        <v>0</v>
      </c>
      <c r="G319" s="46"/>
      <c r="H319" s="46"/>
      <c r="I319" s="45">
        <f>DATA!L320</f>
        <v>0</v>
      </c>
      <c r="J319" s="46"/>
      <c r="K319" s="46">
        <f>DATA!O320</f>
        <v>0</v>
      </c>
      <c r="L319" s="46">
        <f>DATA!Q320</f>
        <v>0</v>
      </c>
      <c r="M319" s="46">
        <f>DATA!R320</f>
        <v>0</v>
      </c>
      <c r="N319" s="46"/>
      <c r="O319" s="46"/>
      <c r="P319" s="46">
        <f>DATA!U320</f>
        <v>0</v>
      </c>
      <c r="Q319" s="46">
        <f>DATA!V320</f>
        <v>0</v>
      </c>
      <c r="R319" s="46">
        <f>DATA!W320</f>
        <v>0</v>
      </c>
      <c r="S319" s="44"/>
      <c r="V319" s="46">
        <f>DATA!C320</f>
        <v>0</v>
      </c>
      <c r="W319" s="46">
        <f>DATA!D320</f>
        <v>0</v>
      </c>
      <c r="X319" s="46">
        <f>DATA!F320</f>
        <v>0</v>
      </c>
      <c r="Y319" s="46">
        <f>DATA!G320</f>
        <v>0</v>
      </c>
      <c r="Z319" s="46">
        <f>DATA!H320</f>
        <v>0</v>
      </c>
      <c r="AA319" s="46">
        <f>DATA!I320</f>
        <v>0</v>
      </c>
      <c r="AB319" s="46"/>
      <c r="AC319" s="46"/>
      <c r="AD319" s="45">
        <f>DATA!L320</f>
        <v>0</v>
      </c>
      <c r="AE319" s="46"/>
      <c r="AF319" s="46">
        <f>DATA!O320</f>
        <v>0</v>
      </c>
      <c r="AG319" s="46">
        <f>DATA!Q320</f>
        <v>0</v>
      </c>
      <c r="AH319" s="46">
        <f>DATA!R320</f>
        <v>0</v>
      </c>
      <c r="AI319" s="46"/>
      <c r="AJ319" s="46"/>
      <c r="AK319" s="46">
        <f>DATA!U320</f>
        <v>0</v>
      </c>
      <c r="AL319" s="46">
        <f>DATA!V320</f>
        <v>0</v>
      </c>
      <c r="AM319" s="46">
        <f>DATA!W320</f>
        <v>0</v>
      </c>
      <c r="AN319" s="44"/>
    </row>
    <row r="320" spans="1:40" s="48" customFormat="1" ht="23.25" hidden="1" customHeight="1" x14ac:dyDescent="0.45">
      <c r="A320" s="46">
        <f>DATA!C321</f>
        <v>0</v>
      </c>
      <c r="B320" s="46">
        <f>DATA!D321</f>
        <v>0</v>
      </c>
      <c r="C320" s="46">
        <f>DATA!F321</f>
        <v>0</v>
      </c>
      <c r="D320" s="46">
        <f>DATA!G321</f>
        <v>0</v>
      </c>
      <c r="E320" s="46">
        <f>DATA!H321</f>
        <v>0</v>
      </c>
      <c r="F320" s="46">
        <f>DATA!I321</f>
        <v>0</v>
      </c>
      <c r="G320" s="46"/>
      <c r="H320" s="46"/>
      <c r="I320" s="45">
        <f>DATA!L321</f>
        <v>0</v>
      </c>
      <c r="J320" s="46"/>
      <c r="K320" s="46">
        <f>DATA!O321</f>
        <v>0</v>
      </c>
      <c r="L320" s="46">
        <f>DATA!Q321</f>
        <v>0</v>
      </c>
      <c r="M320" s="46">
        <f>DATA!R321</f>
        <v>0</v>
      </c>
      <c r="N320" s="46"/>
      <c r="O320" s="46"/>
      <c r="P320" s="46">
        <f>DATA!U321</f>
        <v>0</v>
      </c>
      <c r="Q320" s="46">
        <f>DATA!V321</f>
        <v>0</v>
      </c>
      <c r="R320" s="46">
        <f>DATA!W321</f>
        <v>0</v>
      </c>
      <c r="S320" s="44"/>
      <c r="V320" s="46">
        <f>DATA!C321</f>
        <v>0</v>
      </c>
      <c r="W320" s="46">
        <f>DATA!D321</f>
        <v>0</v>
      </c>
      <c r="X320" s="46">
        <f>DATA!F321</f>
        <v>0</v>
      </c>
      <c r="Y320" s="46">
        <f>DATA!G321</f>
        <v>0</v>
      </c>
      <c r="Z320" s="46">
        <f>DATA!H321</f>
        <v>0</v>
      </c>
      <c r="AA320" s="46">
        <f>DATA!I321</f>
        <v>0</v>
      </c>
      <c r="AB320" s="46"/>
      <c r="AC320" s="46"/>
      <c r="AD320" s="45">
        <f>DATA!L321</f>
        <v>0</v>
      </c>
      <c r="AE320" s="46"/>
      <c r="AF320" s="46">
        <f>DATA!O321</f>
        <v>0</v>
      </c>
      <c r="AG320" s="46">
        <f>DATA!Q321</f>
        <v>0</v>
      </c>
      <c r="AH320" s="46">
        <f>DATA!R321</f>
        <v>0</v>
      </c>
      <c r="AI320" s="46"/>
      <c r="AJ320" s="46"/>
      <c r="AK320" s="46">
        <f>DATA!U321</f>
        <v>0</v>
      </c>
      <c r="AL320" s="46">
        <f>DATA!V321</f>
        <v>0</v>
      </c>
      <c r="AM320" s="46">
        <f>DATA!W321</f>
        <v>0</v>
      </c>
      <c r="AN320" s="44"/>
    </row>
    <row r="321" spans="1:40" s="48" customFormat="1" ht="23.25" hidden="1" customHeight="1" x14ac:dyDescent="0.45">
      <c r="A321" s="46">
        <f>DATA!C322</f>
        <v>0</v>
      </c>
      <c r="B321" s="46">
        <f>DATA!D322</f>
        <v>0</v>
      </c>
      <c r="C321" s="46">
        <f>DATA!F322</f>
        <v>0</v>
      </c>
      <c r="D321" s="46">
        <f>DATA!G322</f>
        <v>0</v>
      </c>
      <c r="E321" s="46">
        <f>DATA!H322</f>
        <v>0</v>
      </c>
      <c r="F321" s="46">
        <f>DATA!I322</f>
        <v>0</v>
      </c>
      <c r="G321" s="46"/>
      <c r="H321" s="46"/>
      <c r="I321" s="45">
        <f>DATA!L322</f>
        <v>0</v>
      </c>
      <c r="J321" s="46"/>
      <c r="K321" s="46">
        <f>DATA!O322</f>
        <v>0</v>
      </c>
      <c r="L321" s="46">
        <f>DATA!Q322</f>
        <v>0</v>
      </c>
      <c r="M321" s="46">
        <f>DATA!R322</f>
        <v>0</v>
      </c>
      <c r="N321" s="46"/>
      <c r="O321" s="46"/>
      <c r="P321" s="46">
        <f>DATA!U322</f>
        <v>0</v>
      </c>
      <c r="Q321" s="46">
        <f>DATA!V322</f>
        <v>0</v>
      </c>
      <c r="R321" s="46">
        <f>DATA!W322</f>
        <v>0</v>
      </c>
      <c r="S321" s="44"/>
      <c r="V321" s="46">
        <f>DATA!C322</f>
        <v>0</v>
      </c>
      <c r="W321" s="46">
        <f>DATA!D322</f>
        <v>0</v>
      </c>
      <c r="X321" s="46">
        <f>DATA!F322</f>
        <v>0</v>
      </c>
      <c r="Y321" s="46">
        <f>DATA!G322</f>
        <v>0</v>
      </c>
      <c r="Z321" s="46">
        <f>DATA!H322</f>
        <v>0</v>
      </c>
      <c r="AA321" s="46">
        <f>DATA!I322</f>
        <v>0</v>
      </c>
      <c r="AB321" s="46"/>
      <c r="AC321" s="46"/>
      <c r="AD321" s="45">
        <f>DATA!L322</f>
        <v>0</v>
      </c>
      <c r="AE321" s="46"/>
      <c r="AF321" s="46">
        <f>DATA!O322</f>
        <v>0</v>
      </c>
      <c r="AG321" s="46">
        <f>DATA!Q322</f>
        <v>0</v>
      </c>
      <c r="AH321" s="46">
        <f>DATA!R322</f>
        <v>0</v>
      </c>
      <c r="AI321" s="46"/>
      <c r="AJ321" s="46"/>
      <c r="AK321" s="46">
        <f>DATA!U322</f>
        <v>0</v>
      </c>
      <c r="AL321" s="46">
        <f>DATA!V322</f>
        <v>0</v>
      </c>
      <c r="AM321" s="46">
        <f>DATA!W322</f>
        <v>0</v>
      </c>
      <c r="AN321" s="44"/>
    </row>
    <row r="322" spans="1:40" s="48" customFormat="1" ht="23.25" hidden="1" customHeight="1" x14ac:dyDescent="0.45">
      <c r="A322" s="46">
        <f>DATA!C323</f>
        <v>0</v>
      </c>
      <c r="B322" s="46">
        <f>DATA!D323</f>
        <v>0</v>
      </c>
      <c r="C322" s="46">
        <f>DATA!F323</f>
        <v>0</v>
      </c>
      <c r="D322" s="46">
        <f>DATA!G323</f>
        <v>0</v>
      </c>
      <c r="E322" s="46">
        <f>DATA!H323</f>
        <v>0</v>
      </c>
      <c r="F322" s="46">
        <f>DATA!I323</f>
        <v>0</v>
      </c>
      <c r="G322" s="46"/>
      <c r="H322" s="46"/>
      <c r="I322" s="45">
        <f>DATA!L323</f>
        <v>0</v>
      </c>
      <c r="J322" s="46"/>
      <c r="K322" s="46">
        <f>DATA!O323</f>
        <v>0</v>
      </c>
      <c r="L322" s="46">
        <f>DATA!Q323</f>
        <v>0</v>
      </c>
      <c r="M322" s="46">
        <f>DATA!R323</f>
        <v>0</v>
      </c>
      <c r="N322" s="46"/>
      <c r="O322" s="46"/>
      <c r="P322" s="46">
        <f>DATA!U323</f>
        <v>0</v>
      </c>
      <c r="Q322" s="46">
        <f>DATA!V323</f>
        <v>0</v>
      </c>
      <c r="R322" s="46">
        <f>DATA!W323</f>
        <v>0</v>
      </c>
      <c r="S322" s="44"/>
      <c r="V322" s="46">
        <f>DATA!C323</f>
        <v>0</v>
      </c>
      <c r="W322" s="46">
        <f>DATA!D323</f>
        <v>0</v>
      </c>
      <c r="X322" s="46">
        <f>DATA!F323</f>
        <v>0</v>
      </c>
      <c r="Y322" s="46">
        <f>DATA!G323</f>
        <v>0</v>
      </c>
      <c r="Z322" s="46">
        <f>DATA!H323</f>
        <v>0</v>
      </c>
      <c r="AA322" s="46">
        <f>DATA!I323</f>
        <v>0</v>
      </c>
      <c r="AB322" s="46"/>
      <c r="AC322" s="46"/>
      <c r="AD322" s="45">
        <f>DATA!L323</f>
        <v>0</v>
      </c>
      <c r="AE322" s="46"/>
      <c r="AF322" s="46">
        <f>DATA!O323</f>
        <v>0</v>
      </c>
      <c r="AG322" s="46">
        <f>DATA!Q323</f>
        <v>0</v>
      </c>
      <c r="AH322" s="46">
        <f>DATA!R323</f>
        <v>0</v>
      </c>
      <c r="AI322" s="46"/>
      <c r="AJ322" s="46"/>
      <c r="AK322" s="46">
        <f>DATA!U323</f>
        <v>0</v>
      </c>
      <c r="AL322" s="46">
        <f>DATA!V323</f>
        <v>0</v>
      </c>
      <c r="AM322" s="46">
        <f>DATA!W323</f>
        <v>0</v>
      </c>
      <c r="AN322" s="44"/>
    </row>
    <row r="323" spans="1:40" s="48" customFormat="1" ht="23.25" hidden="1" customHeight="1" x14ac:dyDescent="0.45">
      <c r="A323" s="46">
        <f>DATA!C324</f>
        <v>0</v>
      </c>
      <c r="B323" s="46">
        <f>DATA!D324</f>
        <v>0</v>
      </c>
      <c r="C323" s="46">
        <f>DATA!F324</f>
        <v>0</v>
      </c>
      <c r="D323" s="46">
        <f>DATA!G324</f>
        <v>0</v>
      </c>
      <c r="E323" s="46">
        <f>DATA!H324</f>
        <v>0</v>
      </c>
      <c r="F323" s="46">
        <f>DATA!I324</f>
        <v>0</v>
      </c>
      <c r="G323" s="46"/>
      <c r="H323" s="46"/>
      <c r="I323" s="45">
        <f>DATA!L324</f>
        <v>0</v>
      </c>
      <c r="J323" s="46"/>
      <c r="K323" s="46">
        <f>DATA!O324</f>
        <v>0</v>
      </c>
      <c r="L323" s="46">
        <f>DATA!Q324</f>
        <v>0</v>
      </c>
      <c r="M323" s="46">
        <f>DATA!R324</f>
        <v>0</v>
      </c>
      <c r="N323" s="46"/>
      <c r="O323" s="46"/>
      <c r="P323" s="46">
        <f>DATA!U324</f>
        <v>0</v>
      </c>
      <c r="Q323" s="46">
        <f>DATA!V324</f>
        <v>0</v>
      </c>
      <c r="R323" s="46">
        <f>DATA!W324</f>
        <v>0</v>
      </c>
      <c r="S323" s="44"/>
      <c r="V323" s="46">
        <f>DATA!C324</f>
        <v>0</v>
      </c>
      <c r="W323" s="46">
        <f>DATA!D324</f>
        <v>0</v>
      </c>
      <c r="X323" s="46">
        <f>DATA!F324</f>
        <v>0</v>
      </c>
      <c r="Y323" s="46">
        <f>DATA!G324</f>
        <v>0</v>
      </c>
      <c r="Z323" s="46">
        <f>DATA!H324</f>
        <v>0</v>
      </c>
      <c r="AA323" s="46">
        <f>DATA!I324</f>
        <v>0</v>
      </c>
      <c r="AB323" s="46"/>
      <c r="AC323" s="46"/>
      <c r="AD323" s="45">
        <f>DATA!L324</f>
        <v>0</v>
      </c>
      <c r="AE323" s="46"/>
      <c r="AF323" s="46">
        <f>DATA!O324</f>
        <v>0</v>
      </c>
      <c r="AG323" s="46">
        <f>DATA!Q324</f>
        <v>0</v>
      </c>
      <c r="AH323" s="46">
        <f>DATA!R324</f>
        <v>0</v>
      </c>
      <c r="AI323" s="46"/>
      <c r="AJ323" s="46"/>
      <c r="AK323" s="46">
        <f>DATA!U324</f>
        <v>0</v>
      </c>
      <c r="AL323" s="46">
        <f>DATA!V324</f>
        <v>0</v>
      </c>
      <c r="AM323" s="46">
        <f>DATA!W324</f>
        <v>0</v>
      </c>
      <c r="AN323" s="44"/>
    </row>
    <row r="324" spans="1:40" s="48" customFormat="1" ht="23.25" hidden="1" customHeight="1" x14ac:dyDescent="0.45">
      <c r="A324" s="46">
        <f>DATA!C325</f>
        <v>0</v>
      </c>
      <c r="B324" s="46">
        <f>DATA!D325</f>
        <v>0</v>
      </c>
      <c r="C324" s="46">
        <f>DATA!F325</f>
        <v>0</v>
      </c>
      <c r="D324" s="46">
        <f>DATA!G325</f>
        <v>0</v>
      </c>
      <c r="E324" s="46">
        <f>DATA!H325</f>
        <v>0</v>
      </c>
      <c r="F324" s="46">
        <f>DATA!I325</f>
        <v>0</v>
      </c>
      <c r="G324" s="46"/>
      <c r="H324" s="46"/>
      <c r="I324" s="45">
        <f>DATA!L325</f>
        <v>0</v>
      </c>
      <c r="J324" s="46"/>
      <c r="K324" s="46">
        <f>DATA!O325</f>
        <v>0</v>
      </c>
      <c r="L324" s="46">
        <f>DATA!Q325</f>
        <v>0</v>
      </c>
      <c r="M324" s="46">
        <f>DATA!R325</f>
        <v>0</v>
      </c>
      <c r="N324" s="46"/>
      <c r="O324" s="46"/>
      <c r="P324" s="46">
        <f>DATA!U325</f>
        <v>0</v>
      </c>
      <c r="Q324" s="46">
        <f>DATA!V325</f>
        <v>0</v>
      </c>
      <c r="R324" s="46">
        <f>DATA!W325</f>
        <v>0</v>
      </c>
      <c r="S324" s="44"/>
      <c r="V324" s="46">
        <f>DATA!C325</f>
        <v>0</v>
      </c>
      <c r="W324" s="46">
        <f>DATA!D325</f>
        <v>0</v>
      </c>
      <c r="X324" s="46">
        <f>DATA!F325</f>
        <v>0</v>
      </c>
      <c r="Y324" s="46">
        <f>DATA!G325</f>
        <v>0</v>
      </c>
      <c r="Z324" s="46">
        <f>DATA!H325</f>
        <v>0</v>
      </c>
      <c r="AA324" s="46">
        <f>DATA!I325</f>
        <v>0</v>
      </c>
      <c r="AB324" s="46"/>
      <c r="AC324" s="46"/>
      <c r="AD324" s="45">
        <f>DATA!L325</f>
        <v>0</v>
      </c>
      <c r="AE324" s="46"/>
      <c r="AF324" s="46">
        <f>DATA!O325</f>
        <v>0</v>
      </c>
      <c r="AG324" s="46">
        <f>DATA!Q325</f>
        <v>0</v>
      </c>
      <c r="AH324" s="46">
        <f>DATA!R325</f>
        <v>0</v>
      </c>
      <c r="AI324" s="46"/>
      <c r="AJ324" s="46"/>
      <c r="AK324" s="46">
        <f>DATA!U325</f>
        <v>0</v>
      </c>
      <c r="AL324" s="46">
        <f>DATA!V325</f>
        <v>0</v>
      </c>
      <c r="AM324" s="46">
        <f>DATA!W325</f>
        <v>0</v>
      </c>
      <c r="AN324" s="44"/>
    </row>
    <row r="325" spans="1:40" s="48" customFormat="1" ht="23.25" hidden="1" customHeight="1" x14ac:dyDescent="0.45">
      <c r="A325" s="46">
        <f>DATA!C326</f>
        <v>0</v>
      </c>
      <c r="B325" s="46">
        <f>DATA!D326</f>
        <v>0</v>
      </c>
      <c r="C325" s="46">
        <f>DATA!F326</f>
        <v>0</v>
      </c>
      <c r="D325" s="46">
        <f>DATA!G326</f>
        <v>0</v>
      </c>
      <c r="E325" s="46">
        <f>DATA!H326</f>
        <v>0</v>
      </c>
      <c r="F325" s="46">
        <f>DATA!I326</f>
        <v>0</v>
      </c>
      <c r="G325" s="46"/>
      <c r="H325" s="46"/>
      <c r="I325" s="45">
        <f>DATA!L326</f>
        <v>0</v>
      </c>
      <c r="J325" s="46"/>
      <c r="K325" s="46">
        <f>DATA!O326</f>
        <v>0</v>
      </c>
      <c r="L325" s="46">
        <f>DATA!Q326</f>
        <v>0</v>
      </c>
      <c r="M325" s="46">
        <f>DATA!R326</f>
        <v>0</v>
      </c>
      <c r="N325" s="46"/>
      <c r="O325" s="46"/>
      <c r="P325" s="46">
        <f>DATA!U326</f>
        <v>0</v>
      </c>
      <c r="Q325" s="46">
        <f>DATA!V326</f>
        <v>0</v>
      </c>
      <c r="R325" s="46">
        <f>DATA!W326</f>
        <v>0</v>
      </c>
      <c r="S325" s="44"/>
      <c r="V325" s="46">
        <f>DATA!C326</f>
        <v>0</v>
      </c>
      <c r="W325" s="46">
        <f>DATA!D326</f>
        <v>0</v>
      </c>
      <c r="X325" s="46">
        <f>DATA!F326</f>
        <v>0</v>
      </c>
      <c r="Y325" s="46">
        <f>DATA!G326</f>
        <v>0</v>
      </c>
      <c r="Z325" s="46">
        <f>DATA!H326</f>
        <v>0</v>
      </c>
      <c r="AA325" s="46">
        <f>DATA!I326</f>
        <v>0</v>
      </c>
      <c r="AB325" s="46"/>
      <c r="AC325" s="46"/>
      <c r="AD325" s="45">
        <f>DATA!L326</f>
        <v>0</v>
      </c>
      <c r="AE325" s="46"/>
      <c r="AF325" s="46">
        <f>DATA!O326</f>
        <v>0</v>
      </c>
      <c r="AG325" s="46">
        <f>DATA!Q326</f>
        <v>0</v>
      </c>
      <c r="AH325" s="46">
        <f>DATA!R326</f>
        <v>0</v>
      </c>
      <c r="AI325" s="46"/>
      <c r="AJ325" s="46"/>
      <c r="AK325" s="46">
        <f>DATA!U326</f>
        <v>0</v>
      </c>
      <c r="AL325" s="46">
        <f>DATA!V326</f>
        <v>0</v>
      </c>
      <c r="AM325" s="46">
        <f>DATA!W326</f>
        <v>0</v>
      </c>
      <c r="AN325" s="44"/>
    </row>
    <row r="326" spans="1:40" s="48" customFormat="1" ht="23.25" hidden="1" customHeight="1" x14ac:dyDescent="0.45">
      <c r="A326" s="46">
        <f>DATA!C327</f>
        <v>0</v>
      </c>
      <c r="B326" s="46">
        <f>DATA!D327</f>
        <v>0</v>
      </c>
      <c r="C326" s="46">
        <f>DATA!F327</f>
        <v>0</v>
      </c>
      <c r="D326" s="46">
        <f>DATA!G327</f>
        <v>0</v>
      </c>
      <c r="E326" s="46">
        <f>DATA!H327</f>
        <v>0</v>
      </c>
      <c r="F326" s="46">
        <f>DATA!I327</f>
        <v>0</v>
      </c>
      <c r="G326" s="46"/>
      <c r="H326" s="46"/>
      <c r="I326" s="45">
        <f>DATA!L327</f>
        <v>0</v>
      </c>
      <c r="J326" s="46"/>
      <c r="K326" s="46">
        <f>DATA!O327</f>
        <v>0</v>
      </c>
      <c r="L326" s="46">
        <f>DATA!Q327</f>
        <v>0</v>
      </c>
      <c r="M326" s="46">
        <f>DATA!R327</f>
        <v>0</v>
      </c>
      <c r="N326" s="46"/>
      <c r="O326" s="46"/>
      <c r="P326" s="46">
        <f>DATA!U327</f>
        <v>0</v>
      </c>
      <c r="Q326" s="46">
        <f>DATA!V327</f>
        <v>0</v>
      </c>
      <c r="R326" s="46">
        <f>DATA!W327</f>
        <v>0</v>
      </c>
      <c r="S326" s="44"/>
      <c r="V326" s="46">
        <f>DATA!C327</f>
        <v>0</v>
      </c>
      <c r="W326" s="46">
        <f>DATA!D327</f>
        <v>0</v>
      </c>
      <c r="X326" s="46">
        <f>DATA!F327</f>
        <v>0</v>
      </c>
      <c r="Y326" s="46">
        <f>DATA!G327</f>
        <v>0</v>
      </c>
      <c r="Z326" s="46">
        <f>DATA!H327</f>
        <v>0</v>
      </c>
      <c r="AA326" s="46">
        <f>DATA!I327</f>
        <v>0</v>
      </c>
      <c r="AB326" s="46"/>
      <c r="AC326" s="46"/>
      <c r="AD326" s="45">
        <f>DATA!L327</f>
        <v>0</v>
      </c>
      <c r="AE326" s="46"/>
      <c r="AF326" s="46">
        <f>DATA!O327</f>
        <v>0</v>
      </c>
      <c r="AG326" s="46">
        <f>DATA!Q327</f>
        <v>0</v>
      </c>
      <c r="AH326" s="46">
        <f>DATA!R327</f>
        <v>0</v>
      </c>
      <c r="AI326" s="46"/>
      <c r="AJ326" s="46"/>
      <c r="AK326" s="46">
        <f>DATA!U327</f>
        <v>0</v>
      </c>
      <c r="AL326" s="46">
        <f>DATA!V327</f>
        <v>0</v>
      </c>
      <c r="AM326" s="46">
        <f>DATA!W327</f>
        <v>0</v>
      </c>
      <c r="AN326" s="44"/>
    </row>
    <row r="327" spans="1:40" s="48" customFormat="1" ht="23.25" hidden="1" customHeight="1" x14ac:dyDescent="0.45">
      <c r="A327" s="46">
        <f>DATA!C328</f>
        <v>0</v>
      </c>
      <c r="B327" s="46">
        <f>DATA!D328</f>
        <v>0</v>
      </c>
      <c r="C327" s="46">
        <f>DATA!F328</f>
        <v>0</v>
      </c>
      <c r="D327" s="46">
        <f>DATA!G328</f>
        <v>0</v>
      </c>
      <c r="E327" s="46">
        <f>DATA!H328</f>
        <v>0</v>
      </c>
      <c r="F327" s="46">
        <f>DATA!I328</f>
        <v>0</v>
      </c>
      <c r="G327" s="46"/>
      <c r="H327" s="46"/>
      <c r="I327" s="45">
        <f>DATA!L328</f>
        <v>0</v>
      </c>
      <c r="J327" s="46"/>
      <c r="K327" s="46">
        <f>DATA!O328</f>
        <v>0</v>
      </c>
      <c r="L327" s="46">
        <f>DATA!Q328</f>
        <v>0</v>
      </c>
      <c r="M327" s="46">
        <f>DATA!R328</f>
        <v>0</v>
      </c>
      <c r="N327" s="46"/>
      <c r="O327" s="46"/>
      <c r="P327" s="46">
        <f>DATA!U328</f>
        <v>0</v>
      </c>
      <c r="Q327" s="46">
        <f>DATA!V328</f>
        <v>0</v>
      </c>
      <c r="R327" s="46">
        <f>DATA!W328</f>
        <v>0</v>
      </c>
      <c r="S327" s="44"/>
      <c r="V327" s="46">
        <f>DATA!C328</f>
        <v>0</v>
      </c>
      <c r="W327" s="46">
        <f>DATA!D328</f>
        <v>0</v>
      </c>
      <c r="X327" s="46">
        <f>DATA!F328</f>
        <v>0</v>
      </c>
      <c r="Y327" s="46">
        <f>DATA!G328</f>
        <v>0</v>
      </c>
      <c r="Z327" s="46">
        <f>DATA!H328</f>
        <v>0</v>
      </c>
      <c r="AA327" s="46">
        <f>DATA!I328</f>
        <v>0</v>
      </c>
      <c r="AB327" s="46"/>
      <c r="AC327" s="46"/>
      <c r="AD327" s="45">
        <f>DATA!L328</f>
        <v>0</v>
      </c>
      <c r="AE327" s="46"/>
      <c r="AF327" s="46">
        <f>DATA!O328</f>
        <v>0</v>
      </c>
      <c r="AG327" s="46">
        <f>DATA!Q328</f>
        <v>0</v>
      </c>
      <c r="AH327" s="46">
        <f>DATA!R328</f>
        <v>0</v>
      </c>
      <c r="AI327" s="46"/>
      <c r="AJ327" s="46"/>
      <c r="AK327" s="46">
        <f>DATA!U328</f>
        <v>0</v>
      </c>
      <c r="AL327" s="46">
        <f>DATA!V328</f>
        <v>0</v>
      </c>
      <c r="AM327" s="46">
        <f>DATA!W328</f>
        <v>0</v>
      </c>
      <c r="AN327" s="44"/>
    </row>
    <row r="328" spans="1:40" s="48" customFormat="1" ht="23.25" hidden="1" customHeight="1" x14ac:dyDescent="0.45">
      <c r="A328" s="46">
        <f>DATA!C329</f>
        <v>0</v>
      </c>
      <c r="B328" s="46">
        <f>DATA!D329</f>
        <v>0</v>
      </c>
      <c r="C328" s="46">
        <f>DATA!F329</f>
        <v>0</v>
      </c>
      <c r="D328" s="46">
        <f>DATA!G329</f>
        <v>0</v>
      </c>
      <c r="E328" s="46">
        <f>DATA!H329</f>
        <v>0</v>
      </c>
      <c r="F328" s="46">
        <f>DATA!I329</f>
        <v>0</v>
      </c>
      <c r="G328" s="46"/>
      <c r="H328" s="46"/>
      <c r="I328" s="45">
        <f>DATA!L329</f>
        <v>0</v>
      </c>
      <c r="J328" s="46"/>
      <c r="K328" s="46">
        <f>DATA!O329</f>
        <v>0</v>
      </c>
      <c r="L328" s="46">
        <f>DATA!Q329</f>
        <v>0</v>
      </c>
      <c r="M328" s="46">
        <f>DATA!R329</f>
        <v>0</v>
      </c>
      <c r="N328" s="46"/>
      <c r="O328" s="46"/>
      <c r="P328" s="46">
        <f>DATA!U329</f>
        <v>0</v>
      </c>
      <c r="Q328" s="46">
        <f>DATA!V329</f>
        <v>0</v>
      </c>
      <c r="R328" s="46">
        <f>DATA!W329</f>
        <v>0</v>
      </c>
      <c r="S328" s="44"/>
      <c r="V328" s="46">
        <f>DATA!C329</f>
        <v>0</v>
      </c>
      <c r="W328" s="46">
        <f>DATA!D329</f>
        <v>0</v>
      </c>
      <c r="X328" s="46">
        <f>DATA!F329</f>
        <v>0</v>
      </c>
      <c r="Y328" s="46">
        <f>DATA!G329</f>
        <v>0</v>
      </c>
      <c r="Z328" s="46">
        <f>DATA!H329</f>
        <v>0</v>
      </c>
      <c r="AA328" s="46">
        <f>DATA!I329</f>
        <v>0</v>
      </c>
      <c r="AB328" s="46"/>
      <c r="AC328" s="46"/>
      <c r="AD328" s="45">
        <f>DATA!L329</f>
        <v>0</v>
      </c>
      <c r="AE328" s="46"/>
      <c r="AF328" s="46">
        <f>DATA!O329</f>
        <v>0</v>
      </c>
      <c r="AG328" s="46">
        <f>DATA!Q329</f>
        <v>0</v>
      </c>
      <c r="AH328" s="46">
        <f>DATA!R329</f>
        <v>0</v>
      </c>
      <c r="AI328" s="46"/>
      <c r="AJ328" s="46"/>
      <c r="AK328" s="46">
        <f>DATA!U329</f>
        <v>0</v>
      </c>
      <c r="AL328" s="46">
        <f>DATA!V329</f>
        <v>0</v>
      </c>
      <c r="AM328" s="46">
        <f>DATA!W329</f>
        <v>0</v>
      </c>
      <c r="AN328" s="44"/>
    </row>
    <row r="329" spans="1:40" s="48" customFormat="1" ht="23.25" hidden="1" customHeight="1" x14ac:dyDescent="0.45">
      <c r="A329" s="46">
        <f>DATA!C330</f>
        <v>0</v>
      </c>
      <c r="B329" s="46">
        <f>DATA!D330</f>
        <v>0</v>
      </c>
      <c r="C329" s="46">
        <f>DATA!F330</f>
        <v>0</v>
      </c>
      <c r="D329" s="46">
        <f>DATA!G330</f>
        <v>0</v>
      </c>
      <c r="E329" s="46">
        <f>DATA!H330</f>
        <v>0</v>
      </c>
      <c r="F329" s="46">
        <f>DATA!I330</f>
        <v>0</v>
      </c>
      <c r="G329" s="46"/>
      <c r="H329" s="46"/>
      <c r="I329" s="45">
        <f>DATA!L330</f>
        <v>0</v>
      </c>
      <c r="J329" s="46"/>
      <c r="K329" s="46">
        <f>DATA!O330</f>
        <v>0</v>
      </c>
      <c r="L329" s="46">
        <f>DATA!Q330</f>
        <v>0</v>
      </c>
      <c r="M329" s="46">
        <f>DATA!R330</f>
        <v>0</v>
      </c>
      <c r="N329" s="46"/>
      <c r="O329" s="46"/>
      <c r="P329" s="46">
        <f>DATA!U330</f>
        <v>0</v>
      </c>
      <c r="Q329" s="46">
        <f>DATA!V330</f>
        <v>0</v>
      </c>
      <c r="R329" s="46">
        <f>DATA!W330</f>
        <v>0</v>
      </c>
      <c r="S329" s="44"/>
      <c r="V329" s="46">
        <f>DATA!C330</f>
        <v>0</v>
      </c>
      <c r="W329" s="46">
        <f>DATA!D330</f>
        <v>0</v>
      </c>
      <c r="X329" s="46">
        <f>DATA!F330</f>
        <v>0</v>
      </c>
      <c r="Y329" s="46">
        <f>DATA!G330</f>
        <v>0</v>
      </c>
      <c r="Z329" s="46">
        <f>DATA!H330</f>
        <v>0</v>
      </c>
      <c r="AA329" s="46">
        <f>DATA!I330</f>
        <v>0</v>
      </c>
      <c r="AB329" s="46"/>
      <c r="AC329" s="46"/>
      <c r="AD329" s="45">
        <f>DATA!L330</f>
        <v>0</v>
      </c>
      <c r="AE329" s="46"/>
      <c r="AF329" s="46">
        <f>DATA!O330</f>
        <v>0</v>
      </c>
      <c r="AG329" s="46">
        <f>DATA!Q330</f>
        <v>0</v>
      </c>
      <c r="AH329" s="46">
        <f>DATA!R330</f>
        <v>0</v>
      </c>
      <c r="AI329" s="46"/>
      <c r="AJ329" s="46"/>
      <c r="AK329" s="46">
        <f>DATA!U330</f>
        <v>0</v>
      </c>
      <c r="AL329" s="46">
        <f>DATA!V330</f>
        <v>0</v>
      </c>
      <c r="AM329" s="46">
        <f>DATA!W330</f>
        <v>0</v>
      </c>
      <c r="AN329" s="44"/>
    </row>
    <row r="330" spans="1:40" s="48" customFormat="1" ht="23.25" hidden="1" customHeight="1" x14ac:dyDescent="0.45">
      <c r="A330" s="46">
        <f>DATA!C331</f>
        <v>0</v>
      </c>
      <c r="B330" s="46">
        <f>DATA!D331</f>
        <v>0</v>
      </c>
      <c r="C330" s="46">
        <f>DATA!F331</f>
        <v>0</v>
      </c>
      <c r="D330" s="46">
        <f>DATA!G331</f>
        <v>0</v>
      </c>
      <c r="E330" s="46">
        <f>DATA!H331</f>
        <v>0</v>
      </c>
      <c r="F330" s="46">
        <f>DATA!I331</f>
        <v>0</v>
      </c>
      <c r="G330" s="46"/>
      <c r="H330" s="46"/>
      <c r="I330" s="45">
        <f>DATA!L331</f>
        <v>0</v>
      </c>
      <c r="J330" s="46"/>
      <c r="K330" s="46">
        <f>DATA!O331</f>
        <v>0</v>
      </c>
      <c r="L330" s="46">
        <f>DATA!Q331</f>
        <v>0</v>
      </c>
      <c r="M330" s="46">
        <f>DATA!R331</f>
        <v>0</v>
      </c>
      <c r="N330" s="46"/>
      <c r="O330" s="46"/>
      <c r="P330" s="46">
        <f>DATA!U331</f>
        <v>0</v>
      </c>
      <c r="Q330" s="46">
        <f>DATA!V331</f>
        <v>0</v>
      </c>
      <c r="R330" s="46">
        <f>DATA!W331</f>
        <v>0</v>
      </c>
      <c r="S330" s="44"/>
      <c r="V330" s="46">
        <f>DATA!C331</f>
        <v>0</v>
      </c>
      <c r="W330" s="46">
        <f>DATA!D331</f>
        <v>0</v>
      </c>
      <c r="X330" s="46">
        <f>DATA!F331</f>
        <v>0</v>
      </c>
      <c r="Y330" s="46">
        <f>DATA!G331</f>
        <v>0</v>
      </c>
      <c r="Z330" s="46">
        <f>DATA!H331</f>
        <v>0</v>
      </c>
      <c r="AA330" s="46">
        <f>DATA!I331</f>
        <v>0</v>
      </c>
      <c r="AB330" s="46"/>
      <c r="AC330" s="46"/>
      <c r="AD330" s="45">
        <f>DATA!L331</f>
        <v>0</v>
      </c>
      <c r="AE330" s="46"/>
      <c r="AF330" s="46">
        <f>DATA!O331</f>
        <v>0</v>
      </c>
      <c r="AG330" s="46">
        <f>DATA!Q331</f>
        <v>0</v>
      </c>
      <c r="AH330" s="46">
        <f>DATA!R331</f>
        <v>0</v>
      </c>
      <c r="AI330" s="46"/>
      <c r="AJ330" s="46"/>
      <c r="AK330" s="46">
        <f>DATA!U331</f>
        <v>0</v>
      </c>
      <c r="AL330" s="46">
        <f>DATA!V331</f>
        <v>0</v>
      </c>
      <c r="AM330" s="46">
        <f>DATA!W331</f>
        <v>0</v>
      </c>
      <c r="AN330" s="44"/>
    </row>
    <row r="331" spans="1:40" s="48" customFormat="1" ht="23.25" hidden="1" customHeight="1" x14ac:dyDescent="0.45">
      <c r="A331" s="46">
        <f>DATA!C332</f>
        <v>0</v>
      </c>
      <c r="B331" s="46">
        <f>DATA!D332</f>
        <v>0</v>
      </c>
      <c r="C331" s="46">
        <f>DATA!F332</f>
        <v>0</v>
      </c>
      <c r="D331" s="46">
        <f>DATA!G332</f>
        <v>0</v>
      </c>
      <c r="E331" s="46">
        <f>DATA!H332</f>
        <v>0</v>
      </c>
      <c r="F331" s="46">
        <f>DATA!I332</f>
        <v>0</v>
      </c>
      <c r="G331" s="46"/>
      <c r="H331" s="46"/>
      <c r="I331" s="45">
        <f>DATA!L332</f>
        <v>0</v>
      </c>
      <c r="J331" s="46"/>
      <c r="K331" s="46">
        <f>DATA!O332</f>
        <v>0</v>
      </c>
      <c r="L331" s="46">
        <f>DATA!Q332</f>
        <v>0</v>
      </c>
      <c r="M331" s="46">
        <f>DATA!R332</f>
        <v>0</v>
      </c>
      <c r="N331" s="46"/>
      <c r="O331" s="46"/>
      <c r="P331" s="46">
        <f>DATA!U332</f>
        <v>0</v>
      </c>
      <c r="Q331" s="46">
        <f>DATA!V332</f>
        <v>0</v>
      </c>
      <c r="R331" s="46">
        <f>DATA!W332</f>
        <v>0</v>
      </c>
      <c r="S331" s="44"/>
      <c r="V331" s="46">
        <f>DATA!C332</f>
        <v>0</v>
      </c>
      <c r="W331" s="46">
        <f>DATA!D332</f>
        <v>0</v>
      </c>
      <c r="X331" s="46">
        <f>DATA!F332</f>
        <v>0</v>
      </c>
      <c r="Y331" s="46">
        <f>DATA!G332</f>
        <v>0</v>
      </c>
      <c r="Z331" s="46">
        <f>DATA!H332</f>
        <v>0</v>
      </c>
      <c r="AA331" s="46">
        <f>DATA!I332</f>
        <v>0</v>
      </c>
      <c r="AB331" s="46"/>
      <c r="AC331" s="46"/>
      <c r="AD331" s="45">
        <f>DATA!L332</f>
        <v>0</v>
      </c>
      <c r="AE331" s="46"/>
      <c r="AF331" s="46">
        <f>DATA!O332</f>
        <v>0</v>
      </c>
      <c r="AG331" s="46">
        <f>DATA!Q332</f>
        <v>0</v>
      </c>
      <c r="AH331" s="46">
        <f>DATA!R332</f>
        <v>0</v>
      </c>
      <c r="AI331" s="46"/>
      <c r="AJ331" s="46"/>
      <c r="AK331" s="46">
        <f>DATA!U332</f>
        <v>0</v>
      </c>
      <c r="AL331" s="46">
        <f>DATA!V332</f>
        <v>0</v>
      </c>
      <c r="AM331" s="46">
        <f>DATA!W332</f>
        <v>0</v>
      </c>
      <c r="AN331" s="44"/>
    </row>
    <row r="332" spans="1:40" s="48" customFormat="1" ht="23.25" hidden="1" customHeight="1" x14ac:dyDescent="0.45">
      <c r="A332" s="46">
        <f>DATA!C333</f>
        <v>0</v>
      </c>
      <c r="B332" s="46">
        <f>DATA!D333</f>
        <v>0</v>
      </c>
      <c r="C332" s="46">
        <f>DATA!F333</f>
        <v>0</v>
      </c>
      <c r="D332" s="46">
        <f>DATA!G333</f>
        <v>0</v>
      </c>
      <c r="E332" s="46">
        <f>DATA!H333</f>
        <v>0</v>
      </c>
      <c r="F332" s="46">
        <f>DATA!I333</f>
        <v>0</v>
      </c>
      <c r="G332" s="46"/>
      <c r="H332" s="46"/>
      <c r="I332" s="45">
        <f>DATA!L333</f>
        <v>0</v>
      </c>
      <c r="J332" s="46"/>
      <c r="K332" s="46">
        <f>DATA!O333</f>
        <v>0</v>
      </c>
      <c r="L332" s="46">
        <f>DATA!Q333</f>
        <v>0</v>
      </c>
      <c r="M332" s="46">
        <f>DATA!R333</f>
        <v>0</v>
      </c>
      <c r="N332" s="46"/>
      <c r="O332" s="46"/>
      <c r="P332" s="46">
        <f>DATA!U333</f>
        <v>0</v>
      </c>
      <c r="Q332" s="46">
        <f>DATA!V333</f>
        <v>0</v>
      </c>
      <c r="R332" s="46">
        <f>DATA!W333</f>
        <v>0</v>
      </c>
      <c r="S332" s="44"/>
      <c r="V332" s="46">
        <f>DATA!C333</f>
        <v>0</v>
      </c>
      <c r="W332" s="46">
        <f>DATA!D333</f>
        <v>0</v>
      </c>
      <c r="X332" s="46">
        <f>DATA!F333</f>
        <v>0</v>
      </c>
      <c r="Y332" s="46">
        <f>DATA!G333</f>
        <v>0</v>
      </c>
      <c r="Z332" s="46">
        <f>DATA!H333</f>
        <v>0</v>
      </c>
      <c r="AA332" s="46">
        <f>DATA!I333</f>
        <v>0</v>
      </c>
      <c r="AB332" s="46"/>
      <c r="AC332" s="46"/>
      <c r="AD332" s="45">
        <f>DATA!L333</f>
        <v>0</v>
      </c>
      <c r="AE332" s="46"/>
      <c r="AF332" s="46">
        <f>DATA!O333</f>
        <v>0</v>
      </c>
      <c r="AG332" s="46">
        <f>DATA!Q333</f>
        <v>0</v>
      </c>
      <c r="AH332" s="46">
        <f>DATA!R333</f>
        <v>0</v>
      </c>
      <c r="AI332" s="46"/>
      <c r="AJ332" s="46"/>
      <c r="AK332" s="46">
        <f>DATA!U333</f>
        <v>0</v>
      </c>
      <c r="AL332" s="46">
        <f>DATA!V333</f>
        <v>0</v>
      </c>
      <c r="AM332" s="46">
        <f>DATA!W333</f>
        <v>0</v>
      </c>
      <c r="AN332" s="44"/>
    </row>
    <row r="333" spans="1:40" s="48" customFormat="1" ht="23.25" hidden="1" customHeight="1" x14ac:dyDescent="0.45">
      <c r="A333" s="46">
        <f>DATA!C334</f>
        <v>0</v>
      </c>
      <c r="B333" s="46">
        <f>DATA!D334</f>
        <v>0</v>
      </c>
      <c r="C333" s="46">
        <f>DATA!F334</f>
        <v>0</v>
      </c>
      <c r="D333" s="46">
        <f>DATA!G334</f>
        <v>0</v>
      </c>
      <c r="E333" s="46">
        <f>DATA!H334</f>
        <v>0</v>
      </c>
      <c r="F333" s="46">
        <f>DATA!I334</f>
        <v>0</v>
      </c>
      <c r="G333" s="46"/>
      <c r="H333" s="46"/>
      <c r="I333" s="45">
        <f>DATA!L334</f>
        <v>0</v>
      </c>
      <c r="J333" s="46"/>
      <c r="K333" s="46">
        <f>DATA!O334</f>
        <v>0</v>
      </c>
      <c r="L333" s="46">
        <f>DATA!Q334</f>
        <v>0</v>
      </c>
      <c r="M333" s="46">
        <f>DATA!R334</f>
        <v>0</v>
      </c>
      <c r="N333" s="46"/>
      <c r="O333" s="46"/>
      <c r="P333" s="46">
        <f>DATA!U334</f>
        <v>0</v>
      </c>
      <c r="Q333" s="46">
        <f>DATA!V334</f>
        <v>0</v>
      </c>
      <c r="R333" s="46">
        <f>DATA!W334</f>
        <v>0</v>
      </c>
      <c r="S333" s="44"/>
      <c r="V333" s="46">
        <f>DATA!C334</f>
        <v>0</v>
      </c>
      <c r="W333" s="46">
        <f>DATA!D334</f>
        <v>0</v>
      </c>
      <c r="X333" s="46">
        <f>DATA!F334</f>
        <v>0</v>
      </c>
      <c r="Y333" s="46">
        <f>DATA!G334</f>
        <v>0</v>
      </c>
      <c r="Z333" s="46">
        <f>DATA!H334</f>
        <v>0</v>
      </c>
      <c r="AA333" s="46">
        <f>DATA!I334</f>
        <v>0</v>
      </c>
      <c r="AB333" s="46"/>
      <c r="AC333" s="46"/>
      <c r="AD333" s="45">
        <f>DATA!L334</f>
        <v>0</v>
      </c>
      <c r="AE333" s="46"/>
      <c r="AF333" s="46">
        <f>DATA!O334</f>
        <v>0</v>
      </c>
      <c r="AG333" s="46">
        <f>DATA!Q334</f>
        <v>0</v>
      </c>
      <c r="AH333" s="46">
        <f>DATA!R334</f>
        <v>0</v>
      </c>
      <c r="AI333" s="46"/>
      <c r="AJ333" s="46"/>
      <c r="AK333" s="46">
        <f>DATA!U334</f>
        <v>0</v>
      </c>
      <c r="AL333" s="46">
        <f>DATA!V334</f>
        <v>0</v>
      </c>
      <c r="AM333" s="46">
        <f>DATA!W334</f>
        <v>0</v>
      </c>
      <c r="AN333" s="44"/>
    </row>
    <row r="334" spans="1:40" s="48" customFormat="1" ht="23.25" hidden="1" customHeight="1" x14ac:dyDescent="0.45">
      <c r="A334" s="46">
        <f>DATA!C335</f>
        <v>0</v>
      </c>
      <c r="B334" s="46">
        <f>DATA!D335</f>
        <v>0</v>
      </c>
      <c r="C334" s="46">
        <f>DATA!F335</f>
        <v>0</v>
      </c>
      <c r="D334" s="46">
        <f>DATA!G335</f>
        <v>0</v>
      </c>
      <c r="E334" s="46">
        <f>DATA!H335</f>
        <v>0</v>
      </c>
      <c r="F334" s="46">
        <f>DATA!I335</f>
        <v>0</v>
      </c>
      <c r="G334" s="46"/>
      <c r="H334" s="46"/>
      <c r="I334" s="45">
        <f>DATA!L335</f>
        <v>0</v>
      </c>
      <c r="J334" s="46"/>
      <c r="K334" s="46">
        <f>DATA!O335</f>
        <v>0</v>
      </c>
      <c r="L334" s="46">
        <f>DATA!Q335</f>
        <v>0</v>
      </c>
      <c r="M334" s="46">
        <f>DATA!R335</f>
        <v>0</v>
      </c>
      <c r="N334" s="46"/>
      <c r="O334" s="46"/>
      <c r="P334" s="46">
        <f>DATA!U335</f>
        <v>0</v>
      </c>
      <c r="Q334" s="46">
        <f>DATA!V335</f>
        <v>0</v>
      </c>
      <c r="R334" s="46">
        <f>DATA!W335</f>
        <v>0</v>
      </c>
      <c r="S334" s="44"/>
      <c r="V334" s="46">
        <f>DATA!C335</f>
        <v>0</v>
      </c>
      <c r="W334" s="46">
        <f>DATA!D335</f>
        <v>0</v>
      </c>
      <c r="X334" s="46">
        <f>DATA!F335</f>
        <v>0</v>
      </c>
      <c r="Y334" s="46">
        <f>DATA!G335</f>
        <v>0</v>
      </c>
      <c r="Z334" s="46">
        <f>DATA!H335</f>
        <v>0</v>
      </c>
      <c r="AA334" s="46">
        <f>DATA!I335</f>
        <v>0</v>
      </c>
      <c r="AB334" s="46"/>
      <c r="AC334" s="46"/>
      <c r="AD334" s="45">
        <f>DATA!L335</f>
        <v>0</v>
      </c>
      <c r="AE334" s="46"/>
      <c r="AF334" s="46">
        <f>DATA!O335</f>
        <v>0</v>
      </c>
      <c r="AG334" s="46">
        <f>DATA!Q335</f>
        <v>0</v>
      </c>
      <c r="AH334" s="46">
        <f>DATA!R335</f>
        <v>0</v>
      </c>
      <c r="AI334" s="46"/>
      <c r="AJ334" s="46"/>
      <c r="AK334" s="46">
        <f>DATA!U335</f>
        <v>0</v>
      </c>
      <c r="AL334" s="46">
        <f>DATA!V335</f>
        <v>0</v>
      </c>
      <c r="AM334" s="46">
        <f>DATA!W335</f>
        <v>0</v>
      </c>
      <c r="AN334" s="44"/>
    </row>
    <row r="335" spans="1:40" s="48" customFormat="1" ht="23.25" hidden="1" customHeight="1" x14ac:dyDescent="0.45">
      <c r="A335" s="46">
        <f>DATA!C336</f>
        <v>0</v>
      </c>
      <c r="B335" s="46">
        <f>DATA!D336</f>
        <v>0</v>
      </c>
      <c r="C335" s="46">
        <f>DATA!F336</f>
        <v>0</v>
      </c>
      <c r="D335" s="46">
        <f>DATA!G336</f>
        <v>0</v>
      </c>
      <c r="E335" s="46">
        <f>DATA!H336</f>
        <v>0</v>
      </c>
      <c r="F335" s="46">
        <f>DATA!I336</f>
        <v>0</v>
      </c>
      <c r="G335" s="46"/>
      <c r="H335" s="46"/>
      <c r="I335" s="45">
        <f>DATA!L336</f>
        <v>0</v>
      </c>
      <c r="J335" s="46"/>
      <c r="K335" s="46">
        <f>DATA!O336</f>
        <v>0</v>
      </c>
      <c r="L335" s="46">
        <f>DATA!Q336</f>
        <v>0</v>
      </c>
      <c r="M335" s="46">
        <f>DATA!R336</f>
        <v>0</v>
      </c>
      <c r="N335" s="46"/>
      <c r="O335" s="46"/>
      <c r="P335" s="46">
        <f>DATA!U336</f>
        <v>0</v>
      </c>
      <c r="Q335" s="46">
        <f>DATA!V336</f>
        <v>0</v>
      </c>
      <c r="R335" s="46">
        <f>DATA!W336</f>
        <v>0</v>
      </c>
      <c r="S335" s="44"/>
      <c r="V335" s="46">
        <f>DATA!C336</f>
        <v>0</v>
      </c>
      <c r="W335" s="46">
        <f>DATA!D336</f>
        <v>0</v>
      </c>
      <c r="X335" s="46">
        <f>DATA!F336</f>
        <v>0</v>
      </c>
      <c r="Y335" s="46">
        <f>DATA!G336</f>
        <v>0</v>
      </c>
      <c r="Z335" s="46">
        <f>DATA!H336</f>
        <v>0</v>
      </c>
      <c r="AA335" s="46">
        <f>DATA!I336</f>
        <v>0</v>
      </c>
      <c r="AB335" s="46"/>
      <c r="AC335" s="46"/>
      <c r="AD335" s="45">
        <f>DATA!L336</f>
        <v>0</v>
      </c>
      <c r="AE335" s="46"/>
      <c r="AF335" s="46">
        <f>DATA!O336</f>
        <v>0</v>
      </c>
      <c r="AG335" s="46">
        <f>DATA!Q336</f>
        <v>0</v>
      </c>
      <c r="AH335" s="46">
        <f>DATA!R336</f>
        <v>0</v>
      </c>
      <c r="AI335" s="46"/>
      <c r="AJ335" s="46"/>
      <c r="AK335" s="46">
        <f>DATA!U336</f>
        <v>0</v>
      </c>
      <c r="AL335" s="46">
        <f>DATA!V336</f>
        <v>0</v>
      </c>
      <c r="AM335" s="46">
        <f>DATA!W336</f>
        <v>0</v>
      </c>
      <c r="AN335" s="44"/>
    </row>
    <row r="336" spans="1:40" s="48" customFormat="1" ht="23.25" hidden="1" customHeight="1" x14ac:dyDescent="0.45">
      <c r="A336" s="46">
        <f>DATA!C337</f>
        <v>0</v>
      </c>
      <c r="B336" s="46">
        <f>DATA!D337</f>
        <v>0</v>
      </c>
      <c r="C336" s="46">
        <f>DATA!F337</f>
        <v>0</v>
      </c>
      <c r="D336" s="46">
        <f>DATA!G337</f>
        <v>0</v>
      </c>
      <c r="E336" s="46">
        <f>DATA!H337</f>
        <v>0</v>
      </c>
      <c r="F336" s="46">
        <f>DATA!I337</f>
        <v>0</v>
      </c>
      <c r="G336" s="46"/>
      <c r="H336" s="46"/>
      <c r="I336" s="45">
        <f>DATA!L337</f>
        <v>0</v>
      </c>
      <c r="J336" s="46"/>
      <c r="K336" s="46">
        <f>DATA!O337</f>
        <v>0</v>
      </c>
      <c r="L336" s="46">
        <f>DATA!Q337</f>
        <v>0</v>
      </c>
      <c r="M336" s="46">
        <f>DATA!R337</f>
        <v>0</v>
      </c>
      <c r="N336" s="46"/>
      <c r="O336" s="46"/>
      <c r="P336" s="46">
        <f>DATA!U337</f>
        <v>0</v>
      </c>
      <c r="Q336" s="46">
        <f>DATA!V337</f>
        <v>0</v>
      </c>
      <c r="R336" s="46">
        <f>DATA!W337</f>
        <v>0</v>
      </c>
      <c r="S336" s="44"/>
      <c r="V336" s="46">
        <f>DATA!C337</f>
        <v>0</v>
      </c>
      <c r="W336" s="46">
        <f>DATA!D337</f>
        <v>0</v>
      </c>
      <c r="X336" s="46">
        <f>DATA!F337</f>
        <v>0</v>
      </c>
      <c r="Y336" s="46">
        <f>DATA!G337</f>
        <v>0</v>
      </c>
      <c r="Z336" s="46">
        <f>DATA!H337</f>
        <v>0</v>
      </c>
      <c r="AA336" s="46">
        <f>DATA!I337</f>
        <v>0</v>
      </c>
      <c r="AB336" s="46"/>
      <c r="AC336" s="46"/>
      <c r="AD336" s="45">
        <f>DATA!L337</f>
        <v>0</v>
      </c>
      <c r="AE336" s="46"/>
      <c r="AF336" s="46">
        <f>DATA!O337</f>
        <v>0</v>
      </c>
      <c r="AG336" s="46">
        <f>DATA!Q337</f>
        <v>0</v>
      </c>
      <c r="AH336" s="46">
        <f>DATA!R337</f>
        <v>0</v>
      </c>
      <c r="AI336" s="46"/>
      <c r="AJ336" s="46"/>
      <c r="AK336" s="46">
        <f>DATA!U337</f>
        <v>0</v>
      </c>
      <c r="AL336" s="46">
        <f>DATA!V337</f>
        <v>0</v>
      </c>
      <c r="AM336" s="46">
        <f>DATA!W337</f>
        <v>0</v>
      </c>
      <c r="AN336" s="44"/>
    </row>
    <row r="337" spans="1:40" s="48" customFormat="1" ht="23.25" hidden="1" customHeight="1" x14ac:dyDescent="0.45">
      <c r="A337" s="46">
        <f>DATA!C338</f>
        <v>0</v>
      </c>
      <c r="B337" s="46">
        <f>DATA!D338</f>
        <v>0</v>
      </c>
      <c r="C337" s="46">
        <f>DATA!F338</f>
        <v>0</v>
      </c>
      <c r="D337" s="46">
        <f>DATA!G338</f>
        <v>0</v>
      </c>
      <c r="E337" s="46">
        <f>DATA!H338</f>
        <v>0</v>
      </c>
      <c r="F337" s="46">
        <f>DATA!I338</f>
        <v>0</v>
      </c>
      <c r="G337" s="46"/>
      <c r="H337" s="46"/>
      <c r="I337" s="45">
        <f>DATA!L338</f>
        <v>0</v>
      </c>
      <c r="J337" s="46"/>
      <c r="K337" s="46">
        <f>DATA!O338</f>
        <v>0</v>
      </c>
      <c r="L337" s="46">
        <f>DATA!Q338</f>
        <v>0</v>
      </c>
      <c r="M337" s="46">
        <f>DATA!R338</f>
        <v>0</v>
      </c>
      <c r="N337" s="46"/>
      <c r="O337" s="46"/>
      <c r="P337" s="46">
        <f>DATA!U338</f>
        <v>0</v>
      </c>
      <c r="Q337" s="46">
        <f>DATA!V338</f>
        <v>0</v>
      </c>
      <c r="R337" s="46">
        <f>DATA!W338</f>
        <v>0</v>
      </c>
      <c r="S337" s="44"/>
      <c r="V337" s="46">
        <f>DATA!C338</f>
        <v>0</v>
      </c>
      <c r="W337" s="46">
        <f>DATA!D338</f>
        <v>0</v>
      </c>
      <c r="X337" s="46">
        <f>DATA!F338</f>
        <v>0</v>
      </c>
      <c r="Y337" s="46">
        <f>DATA!G338</f>
        <v>0</v>
      </c>
      <c r="Z337" s="46">
        <f>DATA!H338</f>
        <v>0</v>
      </c>
      <c r="AA337" s="46">
        <f>DATA!I338</f>
        <v>0</v>
      </c>
      <c r="AB337" s="46"/>
      <c r="AC337" s="46"/>
      <c r="AD337" s="45">
        <f>DATA!L338</f>
        <v>0</v>
      </c>
      <c r="AE337" s="46"/>
      <c r="AF337" s="46">
        <f>DATA!O338</f>
        <v>0</v>
      </c>
      <c r="AG337" s="46">
        <f>DATA!Q338</f>
        <v>0</v>
      </c>
      <c r="AH337" s="46">
        <f>DATA!R338</f>
        <v>0</v>
      </c>
      <c r="AI337" s="46"/>
      <c r="AJ337" s="46"/>
      <c r="AK337" s="46">
        <f>DATA!U338</f>
        <v>0</v>
      </c>
      <c r="AL337" s="46">
        <f>DATA!V338</f>
        <v>0</v>
      </c>
      <c r="AM337" s="46">
        <f>DATA!W338</f>
        <v>0</v>
      </c>
      <c r="AN337" s="44"/>
    </row>
    <row r="338" spans="1:40" s="48" customFormat="1" ht="23.25" hidden="1" customHeight="1" x14ac:dyDescent="0.45">
      <c r="A338" s="46">
        <f>DATA!C339</f>
        <v>0</v>
      </c>
      <c r="B338" s="46">
        <f>DATA!D339</f>
        <v>0</v>
      </c>
      <c r="C338" s="46">
        <f>DATA!F339</f>
        <v>0</v>
      </c>
      <c r="D338" s="46">
        <f>DATA!G339</f>
        <v>0</v>
      </c>
      <c r="E338" s="46">
        <f>DATA!H339</f>
        <v>0</v>
      </c>
      <c r="F338" s="46">
        <f>DATA!I339</f>
        <v>0</v>
      </c>
      <c r="G338" s="46"/>
      <c r="H338" s="46"/>
      <c r="I338" s="45">
        <f>DATA!L339</f>
        <v>0</v>
      </c>
      <c r="J338" s="46"/>
      <c r="K338" s="46">
        <f>DATA!O339</f>
        <v>0</v>
      </c>
      <c r="L338" s="46">
        <f>DATA!Q339</f>
        <v>0</v>
      </c>
      <c r="M338" s="46">
        <f>DATA!R339</f>
        <v>0</v>
      </c>
      <c r="N338" s="46"/>
      <c r="O338" s="46"/>
      <c r="P338" s="46">
        <f>DATA!U339</f>
        <v>0</v>
      </c>
      <c r="Q338" s="46">
        <f>DATA!V339</f>
        <v>0</v>
      </c>
      <c r="R338" s="46">
        <f>DATA!W339</f>
        <v>0</v>
      </c>
      <c r="S338" s="44"/>
      <c r="V338" s="46">
        <f>DATA!C339</f>
        <v>0</v>
      </c>
      <c r="W338" s="46">
        <f>DATA!D339</f>
        <v>0</v>
      </c>
      <c r="X338" s="46">
        <f>DATA!F339</f>
        <v>0</v>
      </c>
      <c r="Y338" s="46">
        <f>DATA!G339</f>
        <v>0</v>
      </c>
      <c r="Z338" s="46">
        <f>DATA!H339</f>
        <v>0</v>
      </c>
      <c r="AA338" s="46">
        <f>DATA!I339</f>
        <v>0</v>
      </c>
      <c r="AB338" s="46"/>
      <c r="AC338" s="46"/>
      <c r="AD338" s="45">
        <f>DATA!L339</f>
        <v>0</v>
      </c>
      <c r="AE338" s="46"/>
      <c r="AF338" s="46">
        <f>DATA!O339</f>
        <v>0</v>
      </c>
      <c r="AG338" s="46">
        <f>DATA!Q339</f>
        <v>0</v>
      </c>
      <c r="AH338" s="46">
        <f>DATA!R339</f>
        <v>0</v>
      </c>
      <c r="AI338" s="46"/>
      <c r="AJ338" s="46"/>
      <c r="AK338" s="46">
        <f>DATA!U339</f>
        <v>0</v>
      </c>
      <c r="AL338" s="46">
        <f>DATA!V339</f>
        <v>0</v>
      </c>
      <c r="AM338" s="46">
        <f>DATA!W339</f>
        <v>0</v>
      </c>
      <c r="AN338" s="44"/>
    </row>
    <row r="339" spans="1:40" s="48" customFormat="1" ht="23.25" hidden="1" customHeight="1" x14ac:dyDescent="0.45">
      <c r="A339" s="46">
        <f>DATA!C340</f>
        <v>0</v>
      </c>
      <c r="B339" s="46">
        <f>DATA!D340</f>
        <v>0</v>
      </c>
      <c r="C339" s="46">
        <f>DATA!F340</f>
        <v>0</v>
      </c>
      <c r="D339" s="46">
        <f>DATA!G340</f>
        <v>0</v>
      </c>
      <c r="E339" s="46">
        <f>DATA!H340</f>
        <v>0</v>
      </c>
      <c r="F339" s="46">
        <f>DATA!I340</f>
        <v>0</v>
      </c>
      <c r="G339" s="46"/>
      <c r="H339" s="46"/>
      <c r="I339" s="45">
        <f>DATA!L340</f>
        <v>0</v>
      </c>
      <c r="J339" s="46"/>
      <c r="K339" s="46">
        <f>DATA!O340</f>
        <v>0</v>
      </c>
      <c r="L339" s="46">
        <f>DATA!Q340</f>
        <v>0</v>
      </c>
      <c r="M339" s="46">
        <f>DATA!R340</f>
        <v>0</v>
      </c>
      <c r="N339" s="46"/>
      <c r="O339" s="46"/>
      <c r="P339" s="46">
        <f>DATA!U340</f>
        <v>0</v>
      </c>
      <c r="Q339" s="46">
        <f>DATA!V340</f>
        <v>0</v>
      </c>
      <c r="R339" s="46">
        <f>DATA!W340</f>
        <v>0</v>
      </c>
      <c r="S339" s="44"/>
      <c r="V339" s="46">
        <f>DATA!C340</f>
        <v>0</v>
      </c>
      <c r="W339" s="46">
        <f>DATA!D340</f>
        <v>0</v>
      </c>
      <c r="X339" s="46">
        <f>DATA!F340</f>
        <v>0</v>
      </c>
      <c r="Y339" s="46">
        <f>DATA!G340</f>
        <v>0</v>
      </c>
      <c r="Z339" s="46">
        <f>DATA!H340</f>
        <v>0</v>
      </c>
      <c r="AA339" s="46">
        <f>DATA!I340</f>
        <v>0</v>
      </c>
      <c r="AB339" s="46"/>
      <c r="AC339" s="46"/>
      <c r="AD339" s="45">
        <f>DATA!L340</f>
        <v>0</v>
      </c>
      <c r="AE339" s="46"/>
      <c r="AF339" s="46">
        <f>DATA!O340</f>
        <v>0</v>
      </c>
      <c r="AG339" s="46">
        <f>DATA!Q340</f>
        <v>0</v>
      </c>
      <c r="AH339" s="46">
        <f>DATA!R340</f>
        <v>0</v>
      </c>
      <c r="AI339" s="46"/>
      <c r="AJ339" s="46"/>
      <c r="AK339" s="46">
        <f>DATA!U340</f>
        <v>0</v>
      </c>
      <c r="AL339" s="46">
        <f>DATA!V340</f>
        <v>0</v>
      </c>
      <c r="AM339" s="46">
        <f>DATA!W340</f>
        <v>0</v>
      </c>
      <c r="AN339" s="44"/>
    </row>
    <row r="340" spans="1:40" s="48" customFormat="1" ht="23.25" hidden="1" customHeight="1" x14ac:dyDescent="0.45">
      <c r="A340" s="46">
        <f>DATA!C341</f>
        <v>0</v>
      </c>
      <c r="B340" s="46">
        <f>DATA!D341</f>
        <v>0</v>
      </c>
      <c r="C340" s="46">
        <f>DATA!F341</f>
        <v>0</v>
      </c>
      <c r="D340" s="46">
        <f>DATA!G341</f>
        <v>0</v>
      </c>
      <c r="E340" s="46">
        <f>DATA!H341</f>
        <v>0</v>
      </c>
      <c r="F340" s="46">
        <f>DATA!I341</f>
        <v>0</v>
      </c>
      <c r="G340" s="46"/>
      <c r="H340" s="46"/>
      <c r="I340" s="45">
        <f>DATA!L341</f>
        <v>0</v>
      </c>
      <c r="J340" s="46"/>
      <c r="K340" s="46">
        <f>DATA!O341</f>
        <v>0</v>
      </c>
      <c r="L340" s="46">
        <f>DATA!Q341</f>
        <v>0</v>
      </c>
      <c r="M340" s="46">
        <f>DATA!R341</f>
        <v>0</v>
      </c>
      <c r="N340" s="46"/>
      <c r="O340" s="46"/>
      <c r="P340" s="46">
        <f>DATA!U341</f>
        <v>0</v>
      </c>
      <c r="Q340" s="46">
        <f>DATA!V341</f>
        <v>0</v>
      </c>
      <c r="R340" s="46">
        <f>DATA!W341</f>
        <v>0</v>
      </c>
      <c r="S340" s="44"/>
      <c r="V340" s="46">
        <f>DATA!C341</f>
        <v>0</v>
      </c>
      <c r="W340" s="46">
        <f>DATA!D341</f>
        <v>0</v>
      </c>
      <c r="X340" s="46">
        <f>DATA!F341</f>
        <v>0</v>
      </c>
      <c r="Y340" s="46">
        <f>DATA!G341</f>
        <v>0</v>
      </c>
      <c r="Z340" s="46">
        <f>DATA!H341</f>
        <v>0</v>
      </c>
      <c r="AA340" s="46">
        <f>DATA!I341</f>
        <v>0</v>
      </c>
      <c r="AB340" s="46"/>
      <c r="AC340" s="46"/>
      <c r="AD340" s="45">
        <f>DATA!L341</f>
        <v>0</v>
      </c>
      <c r="AE340" s="46"/>
      <c r="AF340" s="46">
        <f>DATA!O341</f>
        <v>0</v>
      </c>
      <c r="AG340" s="46">
        <f>DATA!Q341</f>
        <v>0</v>
      </c>
      <c r="AH340" s="46">
        <f>DATA!R341</f>
        <v>0</v>
      </c>
      <c r="AI340" s="46"/>
      <c r="AJ340" s="46"/>
      <c r="AK340" s="46">
        <f>DATA!U341</f>
        <v>0</v>
      </c>
      <c r="AL340" s="46">
        <f>DATA!V341</f>
        <v>0</v>
      </c>
      <c r="AM340" s="46">
        <f>DATA!W341</f>
        <v>0</v>
      </c>
      <c r="AN340" s="44"/>
    </row>
    <row r="341" spans="1:40" x14ac:dyDescent="0.35">
      <c r="K341" s="50">
        <f>SUM(K5:K340)</f>
        <v>2442</v>
      </c>
      <c r="L341" s="50">
        <f t="shared" ref="L341:M341" si="0">SUM(L5:L340)</f>
        <v>1733.9399999999998</v>
      </c>
      <c r="M341" s="50">
        <f t="shared" si="0"/>
        <v>1789.4200000000003</v>
      </c>
      <c r="N341" s="51"/>
      <c r="O341" s="51"/>
      <c r="P341" s="51"/>
      <c r="Q341" s="52" t="s">
        <v>85</v>
      </c>
      <c r="R341" s="53"/>
      <c r="AD341" s="41"/>
      <c r="AF341" s="50">
        <f>SUM(AF5:AF340)</f>
        <v>2442</v>
      </c>
      <c r="AG341" s="50">
        <f t="shared" ref="AG341:AH341" si="1">SUM(AG5:AG340)</f>
        <v>1733.9399999999998</v>
      </c>
      <c r="AH341" s="50">
        <f t="shared" si="1"/>
        <v>1789.4200000000003</v>
      </c>
      <c r="AI341" s="51"/>
      <c r="AJ341" s="51"/>
      <c r="AK341" s="51"/>
      <c r="AL341" s="52" t="s">
        <v>85</v>
      </c>
      <c r="AM341" s="53"/>
    </row>
  </sheetData>
  <sheetProtection formatCells="0" formatColumns="0" formatRows="0" sort="0" autoFilter="0" pivotTables="0"/>
  <autoFilter ref="A4:W341" xr:uid="{1CCCC52B-39F6-4014-931E-3838296A6889}">
    <filterColumn colId="2">
      <filters blank="1">
        <filter val="2001"/>
        <filter val="2002"/>
        <filter val="2003"/>
        <filter val="2004"/>
        <filter val="2005"/>
        <filter val="2006"/>
      </filters>
    </filterColumn>
  </autoFilter>
  <mergeCells count="8">
    <mergeCell ref="A1:S1"/>
    <mergeCell ref="V1:AN1"/>
    <mergeCell ref="A2:S2"/>
    <mergeCell ref="V2:AN2"/>
    <mergeCell ref="A3:F3"/>
    <mergeCell ref="P3:S3"/>
    <mergeCell ref="V3:AA3"/>
    <mergeCell ref="AK3:AN3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4F6F7-8105-4A48-8413-43138B3A70DF}">
  <sheetPr codeName="Sheet12">
    <pageSetUpPr fitToPage="1"/>
  </sheetPr>
  <dimension ref="A1:R15"/>
  <sheetViews>
    <sheetView topLeftCell="A7" zoomScale="85" zoomScaleNormal="85" workbookViewId="0">
      <selection activeCell="B9" sqref="B9"/>
    </sheetView>
  </sheetViews>
  <sheetFormatPr defaultRowHeight="14.5" x14ac:dyDescent="0.35"/>
  <cols>
    <col min="1" max="1" width="25.81640625" customWidth="1"/>
    <col min="2" max="2" width="23.1796875" customWidth="1"/>
    <col min="16" max="16" width="32.1796875" customWidth="1"/>
    <col min="17" max="17" width="36.7265625" customWidth="1"/>
  </cols>
  <sheetData>
    <row r="1" spans="1:18" ht="25" x14ac:dyDescent="0.35">
      <c r="A1" s="146" t="s">
        <v>2347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</row>
    <row r="2" spans="1:18" ht="25" x14ac:dyDescent="0.35">
      <c r="A2" s="146" t="s">
        <v>2349</v>
      </c>
      <c r="B2" s="146"/>
      <c r="C2" s="146"/>
      <c r="D2" s="146"/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6"/>
      <c r="P2" s="146"/>
      <c r="Q2" s="146"/>
      <c r="R2" s="146"/>
    </row>
    <row r="3" spans="1:18" ht="25" x14ac:dyDescent="0.35">
      <c r="A3" s="146" t="s">
        <v>2348</v>
      </c>
      <c r="B3" s="146"/>
      <c r="C3" s="146"/>
      <c r="D3" s="146"/>
      <c r="E3" s="146"/>
      <c r="F3" s="146"/>
      <c r="G3" s="42"/>
      <c r="H3" s="42"/>
      <c r="I3" s="42"/>
      <c r="J3" s="42"/>
      <c r="K3" s="42"/>
      <c r="L3" s="42"/>
      <c r="M3" s="42"/>
      <c r="N3" s="42"/>
      <c r="O3" s="42"/>
      <c r="P3" s="147" t="s">
        <v>2350</v>
      </c>
      <c r="Q3" s="147"/>
      <c r="R3" s="147"/>
    </row>
    <row r="4" spans="1:18" ht="72" x14ac:dyDescent="0.35">
      <c r="A4" s="112" t="s">
        <v>66</v>
      </c>
      <c r="B4" s="112" t="s">
        <v>67</v>
      </c>
      <c r="C4" s="112" t="s">
        <v>68</v>
      </c>
      <c r="D4" s="112" t="s">
        <v>76</v>
      </c>
      <c r="E4" s="112" t="s">
        <v>77</v>
      </c>
      <c r="F4" s="112" t="s">
        <v>78</v>
      </c>
      <c r="G4" s="112" t="s">
        <v>80</v>
      </c>
      <c r="H4" s="112" t="s">
        <v>81</v>
      </c>
      <c r="I4" s="112" t="s">
        <v>69</v>
      </c>
      <c r="J4" s="112" t="s">
        <v>82</v>
      </c>
      <c r="K4" s="112" t="s">
        <v>70</v>
      </c>
      <c r="L4" s="112" t="s">
        <v>71</v>
      </c>
      <c r="M4" s="112" t="s">
        <v>72</v>
      </c>
      <c r="N4" s="112" t="s">
        <v>83</v>
      </c>
      <c r="O4" s="112"/>
      <c r="P4" s="112" t="s">
        <v>73</v>
      </c>
      <c r="Q4" s="112" t="s">
        <v>2351</v>
      </c>
      <c r="R4" s="112" t="s">
        <v>84</v>
      </c>
    </row>
    <row r="5" spans="1:18" ht="67.5" customHeight="1" x14ac:dyDescent="0.35">
      <c r="A5" s="46" t="s">
        <v>2319</v>
      </c>
      <c r="B5" s="46" t="s">
        <v>2318</v>
      </c>
      <c r="C5" s="46">
        <v>2001</v>
      </c>
      <c r="D5" s="46">
        <v>4.26</v>
      </c>
      <c r="E5" s="46">
        <v>4</v>
      </c>
      <c r="F5" s="46">
        <v>9.3699999999999992</v>
      </c>
      <c r="G5" s="148" t="s">
        <v>2328</v>
      </c>
      <c r="H5" s="46"/>
      <c r="I5" s="45">
        <v>100</v>
      </c>
      <c r="J5" s="46"/>
      <c r="K5" s="46">
        <v>600</v>
      </c>
      <c r="L5" s="46">
        <v>426.03</v>
      </c>
      <c r="M5" s="46">
        <v>439.66</v>
      </c>
      <c r="N5" s="46"/>
      <c r="O5" s="46"/>
      <c r="P5" s="46" t="s">
        <v>2331</v>
      </c>
      <c r="Q5" s="46" t="s">
        <v>2345</v>
      </c>
      <c r="R5" s="46"/>
    </row>
    <row r="6" spans="1:18" ht="67.5" customHeight="1" x14ac:dyDescent="0.35">
      <c r="A6" s="46" t="s">
        <v>2319</v>
      </c>
      <c r="B6" s="46" t="s">
        <v>2318</v>
      </c>
      <c r="C6" s="46">
        <v>2002</v>
      </c>
      <c r="D6" s="46">
        <v>4.26</v>
      </c>
      <c r="E6" s="46">
        <v>4</v>
      </c>
      <c r="F6" s="46">
        <v>9.3699999999999992</v>
      </c>
      <c r="G6" s="149"/>
      <c r="H6" s="46"/>
      <c r="I6" s="45">
        <v>100</v>
      </c>
      <c r="J6" s="46"/>
      <c r="K6" s="46">
        <v>600</v>
      </c>
      <c r="L6" s="46">
        <v>426.03</v>
      </c>
      <c r="M6" s="46">
        <v>439.66</v>
      </c>
      <c r="N6" s="46"/>
      <c r="O6" s="46"/>
      <c r="P6" s="46" t="s">
        <v>2331</v>
      </c>
      <c r="Q6" s="46" t="s">
        <v>2345</v>
      </c>
      <c r="R6" s="46"/>
    </row>
    <row r="7" spans="1:18" ht="67.5" customHeight="1" x14ac:dyDescent="0.35">
      <c r="A7" s="46" t="s">
        <v>2319</v>
      </c>
      <c r="B7" s="46" t="s">
        <v>2318</v>
      </c>
      <c r="C7" s="46">
        <v>2003</v>
      </c>
      <c r="D7" s="46">
        <v>4.26</v>
      </c>
      <c r="E7" s="46">
        <v>4</v>
      </c>
      <c r="F7" s="46">
        <v>9.3699999999999992</v>
      </c>
      <c r="G7" s="150"/>
      <c r="H7" s="46"/>
      <c r="I7" s="45">
        <v>4</v>
      </c>
      <c r="J7" s="46"/>
      <c r="K7" s="46">
        <v>24</v>
      </c>
      <c r="L7" s="46">
        <v>17.04</v>
      </c>
      <c r="M7" s="46">
        <v>17.59</v>
      </c>
      <c r="N7" s="46"/>
      <c r="O7" s="46"/>
      <c r="P7" s="46" t="s">
        <v>2331</v>
      </c>
      <c r="Q7" s="46" t="s">
        <v>2345</v>
      </c>
      <c r="R7" s="46"/>
    </row>
    <row r="8" spans="1:18" ht="67.5" customHeight="1" x14ac:dyDescent="0.35">
      <c r="A8" s="46"/>
      <c r="B8" s="46"/>
      <c r="C8" s="46"/>
      <c r="D8" s="46"/>
      <c r="E8" s="46"/>
      <c r="F8" s="46"/>
      <c r="G8" s="46"/>
      <c r="H8" s="46"/>
      <c r="I8" s="45"/>
      <c r="J8" s="46"/>
      <c r="K8" s="46"/>
      <c r="L8" s="46"/>
      <c r="M8" s="46"/>
      <c r="N8" s="46"/>
      <c r="O8" s="46"/>
      <c r="P8" s="46"/>
      <c r="Q8" s="46"/>
      <c r="R8" s="46"/>
    </row>
    <row r="9" spans="1:18" ht="67.5" customHeight="1" x14ac:dyDescent="0.35">
      <c r="A9" s="46" t="s">
        <v>2319</v>
      </c>
      <c r="B9" s="46" t="s">
        <v>2323</v>
      </c>
      <c r="C9" s="46">
        <v>2004</v>
      </c>
      <c r="D9" s="46">
        <v>4.26</v>
      </c>
      <c r="E9" s="46">
        <v>4</v>
      </c>
      <c r="F9" s="46">
        <v>9.3699999999999992</v>
      </c>
      <c r="G9" s="148" t="s">
        <v>2325</v>
      </c>
      <c r="H9" s="46"/>
      <c r="I9" s="45">
        <v>100</v>
      </c>
      <c r="J9" s="46"/>
      <c r="K9" s="46">
        <v>600</v>
      </c>
      <c r="L9" s="46">
        <v>426.03</v>
      </c>
      <c r="M9" s="46">
        <v>439.66</v>
      </c>
      <c r="N9" s="46"/>
      <c r="O9" s="46"/>
      <c r="P9" s="46" t="s">
        <v>2330</v>
      </c>
      <c r="Q9" s="46" t="s">
        <v>2345</v>
      </c>
      <c r="R9" s="46"/>
    </row>
    <row r="10" spans="1:18" ht="67.5" customHeight="1" x14ac:dyDescent="0.35">
      <c r="A10" s="46" t="s">
        <v>2319</v>
      </c>
      <c r="B10" s="46" t="s">
        <v>2323</v>
      </c>
      <c r="C10" s="46">
        <v>2005</v>
      </c>
      <c r="D10" s="46">
        <v>4.26</v>
      </c>
      <c r="E10" s="46">
        <v>4</v>
      </c>
      <c r="F10" s="46">
        <v>9.3699999999999992</v>
      </c>
      <c r="G10" s="149"/>
      <c r="H10" s="46"/>
      <c r="I10" s="45">
        <v>100</v>
      </c>
      <c r="J10" s="46"/>
      <c r="K10" s="46">
        <v>600</v>
      </c>
      <c r="L10" s="46">
        <v>426.03</v>
      </c>
      <c r="M10" s="46">
        <v>439.66</v>
      </c>
      <c r="N10" s="46"/>
      <c r="O10" s="46"/>
      <c r="P10" s="46" t="s">
        <v>2330</v>
      </c>
      <c r="Q10" s="46" t="s">
        <v>2345</v>
      </c>
      <c r="R10" s="46"/>
    </row>
    <row r="11" spans="1:18" ht="67.5" customHeight="1" x14ac:dyDescent="0.35">
      <c r="A11" s="46" t="s">
        <v>2319</v>
      </c>
      <c r="B11" s="46" t="s">
        <v>2323</v>
      </c>
      <c r="C11" s="46">
        <v>2006</v>
      </c>
      <c r="D11" s="46">
        <v>4.26</v>
      </c>
      <c r="E11" s="46">
        <v>4</v>
      </c>
      <c r="F11" s="46">
        <v>9.3699999999999992</v>
      </c>
      <c r="G11" s="150"/>
      <c r="H11" s="46"/>
      <c r="I11" s="45">
        <v>3</v>
      </c>
      <c r="J11" s="46" t="s">
        <v>2353</v>
      </c>
      <c r="K11" s="46">
        <v>18</v>
      </c>
      <c r="L11" s="46">
        <v>12.78</v>
      </c>
      <c r="M11" s="46">
        <v>13.19</v>
      </c>
      <c r="N11" s="46"/>
      <c r="O11" s="46"/>
      <c r="P11" s="46" t="s">
        <v>2330</v>
      </c>
      <c r="Q11" s="46" t="s">
        <v>2345</v>
      </c>
      <c r="R11" s="46"/>
    </row>
    <row r="12" spans="1:18" ht="25" x14ac:dyDescent="0.35">
      <c r="A12" s="43"/>
      <c r="B12" s="43"/>
      <c r="C12" s="43"/>
      <c r="D12" s="43"/>
      <c r="E12" s="43"/>
      <c r="F12" s="43"/>
      <c r="G12" s="43"/>
      <c r="H12" s="43"/>
      <c r="I12" s="41"/>
      <c r="J12" s="43"/>
      <c r="K12" s="50">
        <v>2442</v>
      </c>
      <c r="L12" s="50">
        <v>1733.9399999999998</v>
      </c>
      <c r="M12" s="50">
        <v>1789.4200000000003</v>
      </c>
      <c r="N12" s="51"/>
      <c r="O12" s="51"/>
      <c r="P12" s="51"/>
      <c r="Q12" s="52" t="s">
        <v>2352</v>
      </c>
      <c r="R12" s="43"/>
    </row>
    <row r="14" spans="1:18" ht="17.5" x14ac:dyDescent="0.35">
      <c r="A14" s="43" t="s">
        <v>2354</v>
      </c>
      <c r="B14" t="s">
        <v>2328</v>
      </c>
      <c r="D14" t="s">
        <v>2355</v>
      </c>
      <c r="E14" t="s">
        <v>2356</v>
      </c>
    </row>
    <row r="15" spans="1:18" x14ac:dyDescent="0.35">
      <c r="D15" t="s">
        <v>2357</v>
      </c>
      <c r="E15" t="s">
        <v>2356</v>
      </c>
    </row>
  </sheetData>
  <mergeCells count="6">
    <mergeCell ref="A1:R1"/>
    <mergeCell ref="A2:R2"/>
    <mergeCell ref="A3:F3"/>
    <mergeCell ref="P3:R3"/>
    <mergeCell ref="G9:G11"/>
    <mergeCell ref="G5:G7"/>
  </mergeCells>
  <pageMargins left="0" right="0" top="0" bottom="0" header="0" footer="0"/>
  <pageSetup scale="55" fitToHeight="0" orientation="landscape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2C8CD-69C6-4232-BA56-E6696E9BFDAF}">
  <sheetPr codeName="Sheet8">
    <tabColor theme="5" tint="0.59999389629810485"/>
  </sheetPr>
  <dimension ref="B1:AG1799"/>
  <sheetViews>
    <sheetView topLeftCell="A1769" zoomScaleNormal="100" workbookViewId="0">
      <selection activeCell="H1800" sqref="H1800"/>
    </sheetView>
  </sheetViews>
  <sheetFormatPr defaultColWidth="8.81640625" defaultRowHeight="14.5" x14ac:dyDescent="0.35"/>
  <cols>
    <col min="1" max="1" width="0.453125" style="80" customWidth="1"/>
    <col min="2" max="2" width="13.54296875" style="80" customWidth="1"/>
    <col min="3" max="3" width="17.81640625" style="80" customWidth="1"/>
    <col min="4" max="4" width="17.453125" style="80" customWidth="1"/>
    <col min="5" max="5" width="13.54296875" style="80" customWidth="1"/>
    <col min="6" max="6" width="1" style="80" customWidth="1"/>
    <col min="7" max="7" width="12.54296875" style="80" customWidth="1"/>
    <col min="8" max="8" width="13.54296875" style="80" customWidth="1"/>
    <col min="9" max="9" width="15.453125" style="80" customWidth="1"/>
    <col min="10" max="10" width="7" style="80" customWidth="1"/>
    <col min="11" max="11" width="13.54296875" style="80" customWidth="1"/>
    <col min="12" max="12" width="6.54296875" style="80" customWidth="1"/>
    <col min="13" max="13" width="6.453125" style="80" customWidth="1"/>
    <col min="14" max="14" width="1.54296875" style="80" customWidth="1"/>
    <col min="15" max="15" width="5.81640625" style="80" customWidth="1"/>
    <col min="16" max="16" width="13.54296875" style="80" customWidth="1"/>
    <col min="17" max="17" width="7.81640625" style="80" customWidth="1"/>
    <col min="18" max="18" width="5.81640625" style="80" customWidth="1"/>
    <col min="19" max="21" width="13.54296875" style="80" customWidth="1"/>
    <col min="22" max="22" width="9.453125" style="80" customWidth="1"/>
    <col min="23" max="23" width="13.54296875" style="80" customWidth="1"/>
    <col min="24" max="24" width="25.453125" style="80" customWidth="1"/>
    <col min="25" max="25" width="13.54296875" style="80" customWidth="1"/>
    <col min="26" max="26" width="7.453125" style="80" customWidth="1"/>
    <col min="27" max="27" width="20.54296875" style="80" customWidth="1"/>
    <col min="28" max="28" width="17.54296875" style="80" customWidth="1"/>
    <col min="29" max="29" width="10.453125" style="80" customWidth="1"/>
    <col min="30" max="16384" width="8.81640625" style="80"/>
  </cols>
  <sheetData>
    <row r="1" spans="2:33" x14ac:dyDescent="0.35">
      <c r="G1" s="166" t="s">
        <v>104</v>
      </c>
      <c r="H1" s="167"/>
      <c r="I1" s="167"/>
      <c r="J1" s="167"/>
      <c r="K1" s="167"/>
      <c r="L1" s="167"/>
      <c r="M1" s="167"/>
    </row>
    <row r="2" spans="2:33" x14ac:dyDescent="0.35">
      <c r="G2" s="167"/>
      <c r="H2" s="167"/>
      <c r="I2" s="167"/>
      <c r="J2" s="167"/>
      <c r="K2" s="167"/>
      <c r="L2" s="167"/>
      <c r="M2" s="167"/>
      <c r="O2" s="168">
        <v>46167.523679780097</v>
      </c>
      <c r="P2" s="167"/>
      <c r="Q2" s="167"/>
    </row>
    <row r="3" spans="2:33" ht="5.9" customHeight="1" x14ac:dyDescent="0.35"/>
    <row r="4" spans="2:33" ht="4" customHeight="1" x14ac:dyDescent="0.35"/>
    <row r="5" spans="2:33" x14ac:dyDescent="0.35">
      <c r="B5" s="81" t="s">
        <v>105</v>
      </c>
      <c r="C5" s="81" t="s">
        <v>106</v>
      </c>
      <c r="D5" s="81" t="s">
        <v>107</v>
      </c>
      <c r="E5" s="81" t="s">
        <v>108</v>
      </c>
      <c r="F5" s="162" t="s">
        <v>109</v>
      </c>
      <c r="G5" s="163"/>
      <c r="H5" s="81" t="s">
        <v>110</v>
      </c>
      <c r="I5" s="81" t="s">
        <v>111</v>
      </c>
      <c r="J5" s="81" t="s">
        <v>112</v>
      </c>
      <c r="K5" s="81" t="s">
        <v>113</v>
      </c>
      <c r="L5" s="81" t="s">
        <v>114</v>
      </c>
      <c r="M5" s="162" t="s">
        <v>115</v>
      </c>
      <c r="N5" s="165"/>
      <c r="O5" s="163"/>
      <c r="P5" s="81" t="s">
        <v>116</v>
      </c>
      <c r="Q5" s="162" t="s">
        <v>117</v>
      </c>
      <c r="R5" s="163"/>
      <c r="S5" s="81" t="s">
        <v>118</v>
      </c>
      <c r="T5" s="81" t="s">
        <v>119</v>
      </c>
      <c r="U5" s="81" t="s">
        <v>120</v>
      </c>
      <c r="V5" s="81" t="s">
        <v>121</v>
      </c>
      <c r="W5" s="81" t="s">
        <v>122</v>
      </c>
      <c r="X5" s="81" t="s">
        <v>123</v>
      </c>
      <c r="Y5" s="81" t="s">
        <v>124</v>
      </c>
      <c r="Z5" s="81" t="s">
        <v>125</v>
      </c>
      <c r="AA5" s="81" t="s">
        <v>100</v>
      </c>
      <c r="AB5" s="81" t="s">
        <v>126</v>
      </c>
      <c r="AC5" s="81" t="s">
        <v>127</v>
      </c>
    </row>
    <row r="6" spans="2:33" ht="23" x14ac:dyDescent="0.35">
      <c r="B6" s="81" t="s">
        <v>338</v>
      </c>
      <c r="C6" s="81" t="s">
        <v>339</v>
      </c>
      <c r="D6" s="81" t="s">
        <v>340</v>
      </c>
      <c r="E6" s="81" t="s">
        <v>341</v>
      </c>
      <c r="F6" s="162" t="s">
        <v>342</v>
      </c>
      <c r="G6" s="163"/>
      <c r="H6" s="81" t="s">
        <v>343</v>
      </c>
      <c r="I6" s="81" t="s">
        <v>344</v>
      </c>
      <c r="J6" s="81" t="s">
        <v>11</v>
      </c>
      <c r="K6" s="81" t="s">
        <v>345</v>
      </c>
      <c r="L6" s="81" t="s">
        <v>129</v>
      </c>
      <c r="M6" s="164">
        <v>290</v>
      </c>
      <c r="N6" s="165"/>
      <c r="O6" s="163"/>
      <c r="P6" s="82">
        <v>1032.77</v>
      </c>
      <c r="Q6" s="164">
        <v>0</v>
      </c>
      <c r="R6" s="163"/>
      <c r="S6" s="81" t="s">
        <v>346</v>
      </c>
      <c r="T6" s="82">
        <v>63</v>
      </c>
      <c r="U6" s="82">
        <v>0</v>
      </c>
      <c r="V6" s="82">
        <v>0</v>
      </c>
      <c r="W6" s="82">
        <v>0</v>
      </c>
      <c r="X6" s="81" t="s">
        <v>132</v>
      </c>
      <c r="Y6" s="82">
        <v>40</v>
      </c>
      <c r="Z6" s="81" t="s">
        <v>146</v>
      </c>
      <c r="AA6" s="81" t="s">
        <v>58</v>
      </c>
      <c r="AB6" s="81" t="s">
        <v>58</v>
      </c>
      <c r="AC6" s="83">
        <v>46085</v>
      </c>
      <c r="AG6" s="80">
        <f>COUNTA($B$6:$B$5000)</f>
        <v>1792</v>
      </c>
    </row>
    <row r="7" spans="2:33" ht="23" x14ac:dyDescent="0.35">
      <c r="B7" s="81" t="s">
        <v>338</v>
      </c>
      <c r="C7" s="81" t="s">
        <v>339</v>
      </c>
      <c r="D7" s="81" t="s">
        <v>340</v>
      </c>
      <c r="E7" s="81" t="s">
        <v>341</v>
      </c>
      <c r="F7" s="162" t="s">
        <v>342</v>
      </c>
      <c r="G7" s="163"/>
      <c r="H7" s="81" t="s">
        <v>343</v>
      </c>
      <c r="I7" s="81" t="s">
        <v>344</v>
      </c>
      <c r="J7" s="81" t="s">
        <v>11</v>
      </c>
      <c r="K7" s="81" t="s">
        <v>347</v>
      </c>
      <c r="L7" s="81" t="s">
        <v>129</v>
      </c>
      <c r="M7" s="164">
        <v>269</v>
      </c>
      <c r="N7" s="165"/>
      <c r="O7" s="163"/>
      <c r="P7" s="82">
        <v>957.99</v>
      </c>
      <c r="Q7" s="164">
        <v>0</v>
      </c>
      <c r="R7" s="163"/>
      <c r="S7" s="81" t="s">
        <v>346</v>
      </c>
      <c r="T7" s="82">
        <v>63</v>
      </c>
      <c r="U7" s="82">
        <v>0</v>
      </c>
      <c r="V7" s="82">
        <v>0</v>
      </c>
      <c r="W7" s="82">
        <v>0</v>
      </c>
      <c r="X7" s="81" t="s">
        <v>140</v>
      </c>
      <c r="Y7" s="82">
        <v>20</v>
      </c>
      <c r="Z7" s="81" t="s">
        <v>146</v>
      </c>
      <c r="AA7" s="81" t="s">
        <v>58</v>
      </c>
      <c r="AB7" s="81" t="s">
        <v>58</v>
      </c>
      <c r="AC7" s="83">
        <v>46085</v>
      </c>
    </row>
    <row r="8" spans="2:33" ht="23" x14ac:dyDescent="0.35">
      <c r="B8" s="81" t="s">
        <v>338</v>
      </c>
      <c r="C8" s="81" t="s">
        <v>339</v>
      </c>
      <c r="D8" s="81" t="s">
        <v>340</v>
      </c>
      <c r="E8" s="81" t="s">
        <v>341</v>
      </c>
      <c r="F8" s="162" t="s">
        <v>342</v>
      </c>
      <c r="G8" s="163"/>
      <c r="H8" s="81" t="s">
        <v>343</v>
      </c>
      <c r="I8" s="81" t="s">
        <v>344</v>
      </c>
      <c r="J8" s="81" t="s">
        <v>11</v>
      </c>
      <c r="K8" s="81" t="s">
        <v>348</v>
      </c>
      <c r="L8" s="81" t="s">
        <v>129</v>
      </c>
      <c r="M8" s="164">
        <v>212</v>
      </c>
      <c r="N8" s="165"/>
      <c r="O8" s="163"/>
      <c r="P8" s="82">
        <v>754.99</v>
      </c>
      <c r="Q8" s="164">
        <v>0</v>
      </c>
      <c r="R8" s="163"/>
      <c r="S8" s="81" t="s">
        <v>346</v>
      </c>
      <c r="T8" s="82">
        <v>63</v>
      </c>
      <c r="U8" s="82">
        <v>0</v>
      </c>
      <c r="V8" s="82">
        <v>0</v>
      </c>
      <c r="W8" s="82">
        <v>0</v>
      </c>
      <c r="X8" s="81" t="s">
        <v>143</v>
      </c>
      <c r="Y8" s="82">
        <v>40</v>
      </c>
      <c r="Z8" s="81" t="s">
        <v>146</v>
      </c>
      <c r="AA8" s="81" t="s">
        <v>58</v>
      </c>
      <c r="AB8" s="81" t="s">
        <v>58</v>
      </c>
      <c r="AC8" s="83">
        <v>46085</v>
      </c>
    </row>
    <row r="9" spans="2:33" ht="23" x14ac:dyDescent="0.35">
      <c r="B9" s="81" t="s">
        <v>338</v>
      </c>
      <c r="C9" s="81" t="s">
        <v>339</v>
      </c>
      <c r="D9" s="81" t="s">
        <v>340</v>
      </c>
      <c r="E9" s="81" t="s">
        <v>341</v>
      </c>
      <c r="F9" s="162" t="s">
        <v>342</v>
      </c>
      <c r="G9" s="163"/>
      <c r="H9" s="81" t="s">
        <v>343</v>
      </c>
      <c r="I9" s="81" t="s">
        <v>344</v>
      </c>
      <c r="J9" s="81" t="s">
        <v>11</v>
      </c>
      <c r="K9" s="81" t="s">
        <v>349</v>
      </c>
      <c r="L9" s="81" t="s">
        <v>129</v>
      </c>
      <c r="M9" s="164">
        <v>275</v>
      </c>
      <c r="N9" s="165"/>
      <c r="O9" s="163"/>
      <c r="P9" s="82">
        <v>979.35</v>
      </c>
      <c r="Q9" s="164">
        <v>0</v>
      </c>
      <c r="R9" s="163"/>
      <c r="S9" s="81" t="s">
        <v>346</v>
      </c>
      <c r="T9" s="82">
        <v>63</v>
      </c>
      <c r="U9" s="82">
        <v>0</v>
      </c>
      <c r="V9" s="82">
        <v>0</v>
      </c>
      <c r="W9" s="82">
        <v>0</v>
      </c>
      <c r="X9" s="81" t="s">
        <v>143</v>
      </c>
      <c r="Y9" s="82">
        <v>32</v>
      </c>
      <c r="Z9" s="81" t="s">
        <v>146</v>
      </c>
      <c r="AA9" s="81" t="s">
        <v>58</v>
      </c>
      <c r="AB9" s="81" t="s">
        <v>58</v>
      </c>
      <c r="AC9" s="83">
        <v>46085</v>
      </c>
    </row>
    <row r="10" spans="2:33" ht="23" x14ac:dyDescent="0.35">
      <c r="B10" s="81" t="s">
        <v>338</v>
      </c>
      <c r="C10" s="81" t="s">
        <v>339</v>
      </c>
      <c r="D10" s="81" t="s">
        <v>340</v>
      </c>
      <c r="E10" s="81" t="s">
        <v>341</v>
      </c>
      <c r="F10" s="162" t="s">
        <v>342</v>
      </c>
      <c r="G10" s="163"/>
      <c r="H10" s="81" t="s">
        <v>343</v>
      </c>
      <c r="I10" s="81" t="s">
        <v>344</v>
      </c>
      <c r="J10" s="81" t="s">
        <v>11</v>
      </c>
      <c r="K10" s="81" t="s">
        <v>350</v>
      </c>
      <c r="L10" s="81" t="s">
        <v>129</v>
      </c>
      <c r="M10" s="164">
        <v>23</v>
      </c>
      <c r="N10" s="165"/>
      <c r="O10" s="163"/>
      <c r="P10" s="82">
        <v>81.91</v>
      </c>
      <c r="Q10" s="164">
        <v>0</v>
      </c>
      <c r="R10" s="163"/>
      <c r="S10" s="81" t="s">
        <v>346</v>
      </c>
      <c r="T10" s="82">
        <v>63</v>
      </c>
      <c r="U10" s="82">
        <v>0</v>
      </c>
      <c r="V10" s="82">
        <v>0</v>
      </c>
      <c r="W10" s="82">
        <v>0</v>
      </c>
      <c r="X10" s="81"/>
      <c r="Y10" s="81"/>
      <c r="Z10" s="81" t="s">
        <v>131</v>
      </c>
      <c r="AA10" s="81" t="s">
        <v>58</v>
      </c>
      <c r="AB10" s="81" t="s">
        <v>58</v>
      </c>
      <c r="AC10" s="83">
        <v>46113</v>
      </c>
    </row>
    <row r="11" spans="2:33" ht="23" x14ac:dyDescent="0.35">
      <c r="B11" s="81" t="s">
        <v>338</v>
      </c>
      <c r="C11" s="81" t="s">
        <v>339</v>
      </c>
      <c r="D11" s="81" t="s">
        <v>340</v>
      </c>
      <c r="E11" s="81" t="s">
        <v>341</v>
      </c>
      <c r="F11" s="162" t="s">
        <v>342</v>
      </c>
      <c r="G11" s="163"/>
      <c r="H11" s="81" t="s">
        <v>343</v>
      </c>
      <c r="I11" s="81" t="s">
        <v>344</v>
      </c>
      <c r="J11" s="81" t="s">
        <v>11</v>
      </c>
      <c r="K11" s="81" t="s">
        <v>351</v>
      </c>
      <c r="L11" s="81" t="s">
        <v>129</v>
      </c>
      <c r="M11" s="164">
        <v>21</v>
      </c>
      <c r="N11" s="165"/>
      <c r="O11" s="163"/>
      <c r="P11" s="82">
        <v>74.790000000000006</v>
      </c>
      <c r="Q11" s="164">
        <v>0</v>
      </c>
      <c r="R11" s="163"/>
      <c r="S11" s="81" t="s">
        <v>346</v>
      </c>
      <c r="T11" s="82">
        <v>63</v>
      </c>
      <c r="U11" s="82">
        <v>0</v>
      </c>
      <c r="V11" s="82">
        <v>0</v>
      </c>
      <c r="W11" s="82">
        <v>0</v>
      </c>
      <c r="X11" s="81" t="s">
        <v>132</v>
      </c>
      <c r="Y11" s="82">
        <v>4</v>
      </c>
      <c r="Z11" s="81" t="s">
        <v>131</v>
      </c>
      <c r="AA11" s="81" t="s">
        <v>58</v>
      </c>
      <c r="AB11" s="81" t="s">
        <v>58</v>
      </c>
      <c r="AC11" s="83">
        <v>46093</v>
      </c>
    </row>
    <row r="12" spans="2:33" ht="23" x14ac:dyDescent="0.35">
      <c r="B12" s="81" t="s">
        <v>338</v>
      </c>
      <c r="C12" s="81" t="s">
        <v>339</v>
      </c>
      <c r="D12" s="81" t="s">
        <v>340</v>
      </c>
      <c r="E12" s="81" t="s">
        <v>341</v>
      </c>
      <c r="F12" s="162" t="s">
        <v>342</v>
      </c>
      <c r="G12" s="163"/>
      <c r="H12" s="81" t="s">
        <v>343</v>
      </c>
      <c r="I12" s="81" t="s">
        <v>344</v>
      </c>
      <c r="J12" s="81" t="s">
        <v>11</v>
      </c>
      <c r="K12" s="81" t="s">
        <v>352</v>
      </c>
      <c r="L12" s="81" t="s">
        <v>129</v>
      </c>
      <c r="M12" s="164">
        <v>23.3</v>
      </c>
      <c r="N12" s="165"/>
      <c r="O12" s="163"/>
      <c r="P12" s="82">
        <v>82.98</v>
      </c>
      <c r="Q12" s="164">
        <v>0</v>
      </c>
      <c r="R12" s="163"/>
      <c r="S12" s="81" t="s">
        <v>346</v>
      </c>
      <c r="T12" s="82">
        <v>63</v>
      </c>
      <c r="U12" s="82">
        <v>0</v>
      </c>
      <c r="V12" s="82">
        <v>0</v>
      </c>
      <c r="W12" s="82">
        <v>0</v>
      </c>
      <c r="X12" s="81"/>
      <c r="Y12" s="81"/>
      <c r="Z12" s="81" t="s">
        <v>131</v>
      </c>
      <c r="AA12" s="81" t="s">
        <v>58</v>
      </c>
      <c r="AB12" s="81" t="s">
        <v>58</v>
      </c>
      <c r="AC12" s="83">
        <v>46093</v>
      </c>
    </row>
    <row r="13" spans="2:33" ht="23" x14ac:dyDescent="0.35">
      <c r="B13" s="81" t="s">
        <v>338</v>
      </c>
      <c r="C13" s="81" t="s">
        <v>339</v>
      </c>
      <c r="D13" s="81" t="s">
        <v>340</v>
      </c>
      <c r="E13" s="81" t="s">
        <v>341</v>
      </c>
      <c r="F13" s="162" t="s">
        <v>342</v>
      </c>
      <c r="G13" s="163"/>
      <c r="H13" s="81" t="s">
        <v>343</v>
      </c>
      <c r="I13" s="81" t="s">
        <v>344</v>
      </c>
      <c r="J13" s="81" t="s">
        <v>11</v>
      </c>
      <c r="K13" s="81" t="s">
        <v>353</v>
      </c>
      <c r="L13" s="81" t="s">
        <v>129</v>
      </c>
      <c r="M13" s="164">
        <v>20.8</v>
      </c>
      <c r="N13" s="165"/>
      <c r="O13" s="163"/>
      <c r="P13" s="82">
        <v>74.069999999999993</v>
      </c>
      <c r="Q13" s="164">
        <v>0</v>
      </c>
      <c r="R13" s="163"/>
      <c r="S13" s="81" t="s">
        <v>346</v>
      </c>
      <c r="T13" s="82">
        <v>63</v>
      </c>
      <c r="U13" s="82">
        <v>0</v>
      </c>
      <c r="V13" s="82">
        <v>0</v>
      </c>
      <c r="W13" s="82">
        <v>0</v>
      </c>
      <c r="X13" s="81"/>
      <c r="Y13" s="81"/>
      <c r="Z13" s="81" t="s">
        <v>131</v>
      </c>
      <c r="AA13" s="81" t="s">
        <v>58</v>
      </c>
      <c r="AB13" s="81" t="s">
        <v>58</v>
      </c>
      <c r="AC13" s="83">
        <v>46093</v>
      </c>
    </row>
    <row r="14" spans="2:33" ht="23" x14ac:dyDescent="0.35">
      <c r="B14" s="81" t="s">
        <v>338</v>
      </c>
      <c r="C14" s="81" t="s">
        <v>339</v>
      </c>
      <c r="D14" s="81" t="s">
        <v>340</v>
      </c>
      <c r="E14" s="81" t="s">
        <v>341</v>
      </c>
      <c r="F14" s="162" t="s">
        <v>342</v>
      </c>
      <c r="G14" s="163"/>
      <c r="H14" s="81" t="s">
        <v>343</v>
      </c>
      <c r="I14" s="81" t="s">
        <v>344</v>
      </c>
      <c r="J14" s="81" t="s">
        <v>11</v>
      </c>
      <c r="K14" s="81" t="s">
        <v>354</v>
      </c>
      <c r="L14" s="81" t="s">
        <v>129</v>
      </c>
      <c r="M14" s="164">
        <v>17.5</v>
      </c>
      <c r="N14" s="165"/>
      <c r="O14" s="163"/>
      <c r="P14" s="82">
        <v>62.32</v>
      </c>
      <c r="Q14" s="164">
        <v>0</v>
      </c>
      <c r="R14" s="163"/>
      <c r="S14" s="81" t="s">
        <v>346</v>
      </c>
      <c r="T14" s="82">
        <v>63</v>
      </c>
      <c r="U14" s="82">
        <v>0</v>
      </c>
      <c r="V14" s="82">
        <v>0</v>
      </c>
      <c r="W14" s="82">
        <v>0</v>
      </c>
      <c r="X14" s="81"/>
      <c r="Y14" s="81"/>
      <c r="Z14" s="81" t="s">
        <v>131</v>
      </c>
      <c r="AA14" s="81" t="s">
        <v>58</v>
      </c>
      <c r="AB14" s="81" t="s">
        <v>58</v>
      </c>
      <c r="AC14" s="83">
        <v>46093</v>
      </c>
    </row>
    <row r="15" spans="2:33" ht="23" x14ac:dyDescent="0.35">
      <c r="B15" s="81" t="s">
        <v>338</v>
      </c>
      <c r="C15" s="81" t="s">
        <v>339</v>
      </c>
      <c r="D15" s="81" t="s">
        <v>340</v>
      </c>
      <c r="E15" s="81" t="s">
        <v>341</v>
      </c>
      <c r="F15" s="162" t="s">
        <v>342</v>
      </c>
      <c r="G15" s="163"/>
      <c r="H15" s="81" t="s">
        <v>355</v>
      </c>
      <c r="I15" s="81" t="s">
        <v>356</v>
      </c>
      <c r="J15" s="81" t="s">
        <v>128</v>
      </c>
      <c r="K15" s="81" t="s">
        <v>357</v>
      </c>
      <c r="L15" s="81" t="s">
        <v>129</v>
      </c>
      <c r="M15" s="164">
        <v>20</v>
      </c>
      <c r="N15" s="165"/>
      <c r="O15" s="163"/>
      <c r="P15" s="82">
        <v>94.16</v>
      </c>
      <c r="Q15" s="164">
        <v>0</v>
      </c>
      <c r="R15" s="163"/>
      <c r="S15" s="81" t="s">
        <v>358</v>
      </c>
      <c r="T15" s="82">
        <v>58</v>
      </c>
      <c r="U15" s="82">
        <v>0</v>
      </c>
      <c r="V15" s="82">
        <v>0</v>
      </c>
      <c r="W15" s="82">
        <v>0</v>
      </c>
      <c r="X15" s="81" t="s">
        <v>143</v>
      </c>
      <c r="Y15" s="82">
        <v>4</v>
      </c>
      <c r="Z15" s="81" t="s">
        <v>131</v>
      </c>
      <c r="AA15" s="81" t="s">
        <v>58</v>
      </c>
      <c r="AB15" s="81" t="s">
        <v>58</v>
      </c>
      <c r="AC15" s="83">
        <v>46085</v>
      </c>
    </row>
    <row r="16" spans="2:33" ht="23" x14ac:dyDescent="0.35">
      <c r="B16" s="81" t="s">
        <v>338</v>
      </c>
      <c r="C16" s="81" t="s">
        <v>339</v>
      </c>
      <c r="D16" s="81" t="s">
        <v>340</v>
      </c>
      <c r="E16" s="81" t="s">
        <v>359</v>
      </c>
      <c r="F16" s="162" t="s">
        <v>360</v>
      </c>
      <c r="G16" s="163"/>
      <c r="H16" s="81" t="s">
        <v>361</v>
      </c>
      <c r="I16" s="81" t="s">
        <v>356</v>
      </c>
      <c r="J16" s="81" t="s">
        <v>128</v>
      </c>
      <c r="K16" s="81" t="s">
        <v>362</v>
      </c>
      <c r="L16" s="81" t="s">
        <v>129</v>
      </c>
      <c r="M16" s="164">
        <v>10.4</v>
      </c>
      <c r="N16" s="165"/>
      <c r="O16" s="163"/>
      <c r="P16" s="82">
        <v>43.5</v>
      </c>
      <c r="Q16" s="164">
        <v>0</v>
      </c>
      <c r="R16" s="163"/>
      <c r="S16" s="81" t="s">
        <v>358</v>
      </c>
      <c r="T16" s="82">
        <v>56</v>
      </c>
      <c r="U16" s="82">
        <v>0</v>
      </c>
      <c r="V16" s="82">
        <v>0</v>
      </c>
      <c r="W16" s="82">
        <v>0</v>
      </c>
      <c r="X16" s="81" t="s">
        <v>135</v>
      </c>
      <c r="Y16" s="82">
        <v>12</v>
      </c>
      <c r="Z16" s="81" t="s">
        <v>131</v>
      </c>
      <c r="AA16" s="81" t="s">
        <v>58</v>
      </c>
      <c r="AB16" s="81" t="s">
        <v>58</v>
      </c>
      <c r="AC16" s="83">
        <v>46086</v>
      </c>
    </row>
    <row r="17" spans="2:29" ht="23" x14ac:dyDescent="0.35">
      <c r="B17" s="81" t="s">
        <v>338</v>
      </c>
      <c r="C17" s="81" t="s">
        <v>339</v>
      </c>
      <c r="D17" s="81" t="s">
        <v>340</v>
      </c>
      <c r="E17" s="81" t="s">
        <v>363</v>
      </c>
      <c r="F17" s="162" t="s">
        <v>364</v>
      </c>
      <c r="G17" s="163"/>
      <c r="H17" s="81" t="s">
        <v>365</v>
      </c>
      <c r="I17" s="81" t="s">
        <v>344</v>
      </c>
      <c r="J17" s="81" t="s">
        <v>11</v>
      </c>
      <c r="K17" s="81" t="s">
        <v>366</v>
      </c>
      <c r="L17" s="81" t="s">
        <v>129</v>
      </c>
      <c r="M17" s="164">
        <v>20.6</v>
      </c>
      <c r="N17" s="165"/>
      <c r="O17" s="163"/>
      <c r="P17" s="82">
        <v>75.81</v>
      </c>
      <c r="Q17" s="164">
        <v>0</v>
      </c>
      <c r="R17" s="163"/>
      <c r="S17" s="81" t="s">
        <v>346</v>
      </c>
      <c r="T17" s="82">
        <v>63</v>
      </c>
      <c r="U17" s="82">
        <v>0</v>
      </c>
      <c r="V17" s="82">
        <v>0</v>
      </c>
      <c r="W17" s="82">
        <v>0</v>
      </c>
      <c r="X17" s="81" t="s">
        <v>133</v>
      </c>
      <c r="Y17" s="82">
        <v>8</v>
      </c>
      <c r="Z17" s="81" t="s">
        <v>146</v>
      </c>
      <c r="AA17" s="81" t="s">
        <v>58</v>
      </c>
      <c r="AB17" s="81" t="s">
        <v>58</v>
      </c>
      <c r="AC17" s="83">
        <v>46091</v>
      </c>
    </row>
    <row r="18" spans="2:29" ht="23" x14ac:dyDescent="0.35">
      <c r="B18" s="81" t="s">
        <v>338</v>
      </c>
      <c r="C18" s="81" t="s">
        <v>339</v>
      </c>
      <c r="D18" s="81" t="s">
        <v>340</v>
      </c>
      <c r="E18" s="81" t="s">
        <v>363</v>
      </c>
      <c r="F18" s="162" t="s">
        <v>364</v>
      </c>
      <c r="G18" s="163"/>
      <c r="H18" s="81" t="s">
        <v>365</v>
      </c>
      <c r="I18" s="81" t="s">
        <v>344</v>
      </c>
      <c r="J18" s="81" t="s">
        <v>11</v>
      </c>
      <c r="K18" s="81" t="s">
        <v>367</v>
      </c>
      <c r="L18" s="81" t="s">
        <v>129</v>
      </c>
      <c r="M18" s="164">
        <v>27.6</v>
      </c>
      <c r="N18" s="165"/>
      <c r="O18" s="163"/>
      <c r="P18" s="82">
        <v>101.57</v>
      </c>
      <c r="Q18" s="164">
        <v>0</v>
      </c>
      <c r="R18" s="163"/>
      <c r="S18" s="81" t="s">
        <v>346</v>
      </c>
      <c r="T18" s="82">
        <v>63</v>
      </c>
      <c r="U18" s="82">
        <v>0</v>
      </c>
      <c r="V18" s="82">
        <v>0</v>
      </c>
      <c r="W18" s="82">
        <v>0</v>
      </c>
      <c r="X18" s="81" t="s">
        <v>143</v>
      </c>
      <c r="Y18" s="82">
        <v>8</v>
      </c>
      <c r="Z18" s="81" t="s">
        <v>146</v>
      </c>
      <c r="AA18" s="81" t="s">
        <v>58</v>
      </c>
      <c r="AB18" s="81" t="s">
        <v>58</v>
      </c>
      <c r="AC18" s="83">
        <v>46091</v>
      </c>
    </row>
    <row r="19" spans="2:29" ht="23" x14ac:dyDescent="0.35">
      <c r="B19" s="81" t="s">
        <v>338</v>
      </c>
      <c r="C19" s="81" t="s">
        <v>339</v>
      </c>
      <c r="D19" s="81" t="s">
        <v>340</v>
      </c>
      <c r="E19" s="81" t="s">
        <v>363</v>
      </c>
      <c r="F19" s="162" t="s">
        <v>364</v>
      </c>
      <c r="G19" s="163"/>
      <c r="H19" s="81" t="s">
        <v>365</v>
      </c>
      <c r="I19" s="81" t="s">
        <v>344</v>
      </c>
      <c r="J19" s="81" t="s">
        <v>11</v>
      </c>
      <c r="K19" s="81" t="s">
        <v>368</v>
      </c>
      <c r="L19" s="81" t="s">
        <v>129</v>
      </c>
      <c r="M19" s="164">
        <v>23.3</v>
      </c>
      <c r="N19" s="165"/>
      <c r="O19" s="163"/>
      <c r="P19" s="82">
        <v>85.74</v>
      </c>
      <c r="Q19" s="164">
        <v>0</v>
      </c>
      <c r="R19" s="163"/>
      <c r="S19" s="81" t="s">
        <v>346</v>
      </c>
      <c r="T19" s="82">
        <v>63</v>
      </c>
      <c r="U19" s="82">
        <v>0</v>
      </c>
      <c r="V19" s="82">
        <v>0</v>
      </c>
      <c r="W19" s="82">
        <v>0</v>
      </c>
      <c r="X19" s="81" t="s">
        <v>133</v>
      </c>
      <c r="Y19" s="82">
        <v>4</v>
      </c>
      <c r="Z19" s="81" t="s">
        <v>146</v>
      </c>
      <c r="AA19" s="81" t="s">
        <v>58</v>
      </c>
      <c r="AB19" s="81" t="s">
        <v>58</v>
      </c>
      <c r="AC19" s="83">
        <v>46091</v>
      </c>
    </row>
    <row r="20" spans="2:29" ht="23" x14ac:dyDescent="0.35">
      <c r="B20" s="81" t="s">
        <v>338</v>
      </c>
      <c r="C20" s="81" t="s">
        <v>339</v>
      </c>
      <c r="D20" s="81" t="s">
        <v>340</v>
      </c>
      <c r="E20" s="81" t="s">
        <v>363</v>
      </c>
      <c r="F20" s="162" t="s">
        <v>364</v>
      </c>
      <c r="G20" s="163"/>
      <c r="H20" s="81" t="s">
        <v>365</v>
      </c>
      <c r="I20" s="81" t="s">
        <v>344</v>
      </c>
      <c r="J20" s="81" t="s">
        <v>11</v>
      </c>
      <c r="K20" s="81" t="s">
        <v>369</v>
      </c>
      <c r="L20" s="81" t="s">
        <v>129</v>
      </c>
      <c r="M20" s="164">
        <v>23.3</v>
      </c>
      <c r="N20" s="165"/>
      <c r="O20" s="163"/>
      <c r="P20" s="82">
        <v>85.74</v>
      </c>
      <c r="Q20" s="164">
        <v>0</v>
      </c>
      <c r="R20" s="163"/>
      <c r="S20" s="81" t="s">
        <v>346</v>
      </c>
      <c r="T20" s="82">
        <v>63</v>
      </c>
      <c r="U20" s="82">
        <v>0</v>
      </c>
      <c r="V20" s="82">
        <v>0</v>
      </c>
      <c r="W20" s="82">
        <v>0</v>
      </c>
      <c r="X20" s="81" t="s">
        <v>133</v>
      </c>
      <c r="Y20" s="82">
        <v>2</v>
      </c>
      <c r="Z20" s="81" t="s">
        <v>146</v>
      </c>
      <c r="AA20" s="81" t="s">
        <v>58</v>
      </c>
      <c r="AB20" s="81" t="s">
        <v>58</v>
      </c>
      <c r="AC20" s="83">
        <v>46091</v>
      </c>
    </row>
    <row r="21" spans="2:29" ht="23" x14ac:dyDescent="0.35">
      <c r="B21" s="81" t="s">
        <v>338</v>
      </c>
      <c r="C21" s="81" t="s">
        <v>339</v>
      </c>
      <c r="D21" s="81" t="s">
        <v>340</v>
      </c>
      <c r="E21" s="81" t="s">
        <v>363</v>
      </c>
      <c r="F21" s="162" t="s">
        <v>364</v>
      </c>
      <c r="G21" s="163"/>
      <c r="H21" s="81" t="s">
        <v>365</v>
      </c>
      <c r="I21" s="81" t="s">
        <v>344</v>
      </c>
      <c r="J21" s="81" t="s">
        <v>11</v>
      </c>
      <c r="K21" s="81" t="s">
        <v>370</v>
      </c>
      <c r="L21" s="81" t="s">
        <v>129</v>
      </c>
      <c r="M21" s="164">
        <v>23</v>
      </c>
      <c r="N21" s="165"/>
      <c r="O21" s="163"/>
      <c r="P21" s="82">
        <v>84.64</v>
      </c>
      <c r="Q21" s="164">
        <v>0</v>
      </c>
      <c r="R21" s="163"/>
      <c r="S21" s="81" t="s">
        <v>346</v>
      </c>
      <c r="T21" s="82">
        <v>63</v>
      </c>
      <c r="U21" s="82">
        <v>0</v>
      </c>
      <c r="V21" s="82">
        <v>0</v>
      </c>
      <c r="W21" s="82">
        <v>0</v>
      </c>
      <c r="X21" s="81"/>
      <c r="Y21" s="81"/>
      <c r="Z21" s="81" t="s">
        <v>146</v>
      </c>
      <c r="AA21" s="81" t="s">
        <v>58</v>
      </c>
      <c r="AB21" s="81" t="s">
        <v>58</v>
      </c>
      <c r="AC21" s="83">
        <v>46091</v>
      </c>
    </row>
    <row r="22" spans="2:29" ht="23" x14ac:dyDescent="0.35">
      <c r="B22" s="81" t="s">
        <v>338</v>
      </c>
      <c r="C22" s="81" t="s">
        <v>339</v>
      </c>
      <c r="D22" s="81" t="s">
        <v>340</v>
      </c>
      <c r="E22" s="81" t="s">
        <v>363</v>
      </c>
      <c r="F22" s="162" t="s">
        <v>364</v>
      </c>
      <c r="G22" s="163"/>
      <c r="H22" s="81" t="s">
        <v>365</v>
      </c>
      <c r="I22" s="81" t="s">
        <v>344</v>
      </c>
      <c r="J22" s="81" t="s">
        <v>11</v>
      </c>
      <c r="K22" s="81" t="s">
        <v>371</v>
      </c>
      <c r="L22" s="81" t="s">
        <v>129</v>
      </c>
      <c r="M22" s="164">
        <v>23.3</v>
      </c>
      <c r="N22" s="165"/>
      <c r="O22" s="163"/>
      <c r="P22" s="82">
        <v>85.74</v>
      </c>
      <c r="Q22" s="164">
        <v>0</v>
      </c>
      <c r="R22" s="163"/>
      <c r="S22" s="81" t="s">
        <v>346</v>
      </c>
      <c r="T22" s="82">
        <v>63</v>
      </c>
      <c r="U22" s="82">
        <v>0</v>
      </c>
      <c r="V22" s="82">
        <v>0</v>
      </c>
      <c r="W22" s="82">
        <v>0</v>
      </c>
      <c r="X22" s="81"/>
      <c r="Y22" s="81"/>
      <c r="Z22" s="81" t="s">
        <v>146</v>
      </c>
      <c r="AA22" s="81" t="s">
        <v>58</v>
      </c>
      <c r="AB22" s="81" t="s">
        <v>58</v>
      </c>
      <c r="AC22" s="83">
        <v>46091</v>
      </c>
    </row>
    <row r="23" spans="2:29" ht="23" x14ac:dyDescent="0.35">
      <c r="B23" s="81" t="s">
        <v>338</v>
      </c>
      <c r="C23" s="81" t="s">
        <v>339</v>
      </c>
      <c r="D23" s="81" t="s">
        <v>340</v>
      </c>
      <c r="E23" s="81" t="s">
        <v>363</v>
      </c>
      <c r="F23" s="162" t="s">
        <v>364</v>
      </c>
      <c r="G23" s="163"/>
      <c r="H23" s="81" t="s">
        <v>365</v>
      </c>
      <c r="I23" s="81" t="s">
        <v>344</v>
      </c>
      <c r="J23" s="81" t="s">
        <v>11</v>
      </c>
      <c r="K23" s="81" t="s">
        <v>372</v>
      </c>
      <c r="L23" s="81" t="s">
        <v>129</v>
      </c>
      <c r="M23" s="164">
        <v>23.3</v>
      </c>
      <c r="N23" s="165"/>
      <c r="O23" s="163"/>
      <c r="P23" s="82">
        <v>85.74</v>
      </c>
      <c r="Q23" s="164">
        <v>0</v>
      </c>
      <c r="R23" s="163"/>
      <c r="S23" s="81" t="s">
        <v>346</v>
      </c>
      <c r="T23" s="82">
        <v>63</v>
      </c>
      <c r="U23" s="82">
        <v>0</v>
      </c>
      <c r="V23" s="82">
        <v>0</v>
      </c>
      <c r="W23" s="82">
        <v>0</v>
      </c>
      <c r="X23" s="81" t="s">
        <v>133</v>
      </c>
      <c r="Y23" s="82">
        <v>4</v>
      </c>
      <c r="Z23" s="81" t="s">
        <v>146</v>
      </c>
      <c r="AA23" s="81" t="s">
        <v>58</v>
      </c>
      <c r="AB23" s="81" t="s">
        <v>58</v>
      </c>
      <c r="AC23" s="83">
        <v>46091</v>
      </c>
    </row>
    <row r="24" spans="2:29" ht="23" x14ac:dyDescent="0.35">
      <c r="B24" s="81" t="s">
        <v>338</v>
      </c>
      <c r="C24" s="81" t="s">
        <v>339</v>
      </c>
      <c r="D24" s="81" t="s">
        <v>340</v>
      </c>
      <c r="E24" s="81" t="s">
        <v>363</v>
      </c>
      <c r="F24" s="162" t="s">
        <v>364</v>
      </c>
      <c r="G24" s="163"/>
      <c r="H24" s="81" t="s">
        <v>365</v>
      </c>
      <c r="I24" s="81" t="s">
        <v>344</v>
      </c>
      <c r="J24" s="81" t="s">
        <v>11</v>
      </c>
      <c r="K24" s="81" t="s">
        <v>373</v>
      </c>
      <c r="L24" s="81" t="s">
        <v>129</v>
      </c>
      <c r="M24" s="164">
        <v>23.2</v>
      </c>
      <c r="N24" s="165"/>
      <c r="O24" s="163"/>
      <c r="P24" s="82">
        <v>85.38</v>
      </c>
      <c r="Q24" s="164">
        <v>0</v>
      </c>
      <c r="R24" s="163"/>
      <c r="S24" s="81" t="s">
        <v>346</v>
      </c>
      <c r="T24" s="82">
        <v>63</v>
      </c>
      <c r="U24" s="82">
        <v>0</v>
      </c>
      <c r="V24" s="82">
        <v>0</v>
      </c>
      <c r="W24" s="82">
        <v>0</v>
      </c>
      <c r="X24" s="81" t="s">
        <v>142</v>
      </c>
      <c r="Y24" s="82">
        <v>4</v>
      </c>
      <c r="Z24" s="81" t="s">
        <v>146</v>
      </c>
      <c r="AA24" s="81" t="s">
        <v>58</v>
      </c>
      <c r="AB24" s="81" t="s">
        <v>58</v>
      </c>
      <c r="AC24" s="83">
        <v>46091</v>
      </c>
    </row>
    <row r="25" spans="2:29" ht="23" x14ac:dyDescent="0.35">
      <c r="B25" s="81" t="s">
        <v>338</v>
      </c>
      <c r="C25" s="81" t="s">
        <v>339</v>
      </c>
      <c r="D25" s="81" t="s">
        <v>340</v>
      </c>
      <c r="E25" s="81" t="s">
        <v>363</v>
      </c>
      <c r="F25" s="162" t="s">
        <v>364</v>
      </c>
      <c r="G25" s="163"/>
      <c r="H25" s="81" t="s">
        <v>365</v>
      </c>
      <c r="I25" s="81" t="s">
        <v>344</v>
      </c>
      <c r="J25" s="81" t="s">
        <v>11</v>
      </c>
      <c r="K25" s="81" t="s">
        <v>374</v>
      </c>
      <c r="L25" s="81" t="s">
        <v>129</v>
      </c>
      <c r="M25" s="164">
        <v>23.2</v>
      </c>
      <c r="N25" s="165"/>
      <c r="O25" s="163"/>
      <c r="P25" s="82">
        <v>85.38</v>
      </c>
      <c r="Q25" s="164">
        <v>0</v>
      </c>
      <c r="R25" s="163"/>
      <c r="S25" s="81" t="s">
        <v>346</v>
      </c>
      <c r="T25" s="82">
        <v>63</v>
      </c>
      <c r="U25" s="82">
        <v>0</v>
      </c>
      <c r="V25" s="82">
        <v>0</v>
      </c>
      <c r="W25" s="82">
        <v>0</v>
      </c>
      <c r="X25" s="81"/>
      <c r="Y25" s="81"/>
      <c r="Z25" s="81" t="s">
        <v>146</v>
      </c>
      <c r="AA25" s="81" t="s">
        <v>58</v>
      </c>
      <c r="AB25" s="81" t="s">
        <v>58</v>
      </c>
      <c r="AC25" s="83">
        <v>46091</v>
      </c>
    </row>
    <row r="26" spans="2:29" ht="23" x14ac:dyDescent="0.35">
      <c r="B26" s="81" t="s">
        <v>338</v>
      </c>
      <c r="C26" s="81" t="s">
        <v>339</v>
      </c>
      <c r="D26" s="81" t="s">
        <v>340</v>
      </c>
      <c r="E26" s="81" t="s">
        <v>363</v>
      </c>
      <c r="F26" s="162" t="s">
        <v>364</v>
      </c>
      <c r="G26" s="163"/>
      <c r="H26" s="81" t="s">
        <v>365</v>
      </c>
      <c r="I26" s="81" t="s">
        <v>344</v>
      </c>
      <c r="J26" s="81" t="s">
        <v>11</v>
      </c>
      <c r="K26" s="81" t="s">
        <v>375</v>
      </c>
      <c r="L26" s="81" t="s">
        <v>129</v>
      </c>
      <c r="M26" s="164">
        <v>22.7</v>
      </c>
      <c r="N26" s="165"/>
      <c r="O26" s="163"/>
      <c r="P26" s="82">
        <v>83.54</v>
      </c>
      <c r="Q26" s="164">
        <v>0</v>
      </c>
      <c r="R26" s="163"/>
      <c r="S26" s="81" t="s">
        <v>346</v>
      </c>
      <c r="T26" s="82">
        <v>63</v>
      </c>
      <c r="U26" s="82">
        <v>0</v>
      </c>
      <c r="V26" s="82">
        <v>0</v>
      </c>
      <c r="W26" s="82">
        <v>0</v>
      </c>
      <c r="X26" s="81" t="s">
        <v>133</v>
      </c>
      <c r="Y26" s="82">
        <v>2</v>
      </c>
      <c r="Z26" s="81" t="s">
        <v>146</v>
      </c>
      <c r="AA26" s="81" t="s">
        <v>58</v>
      </c>
      <c r="AB26" s="81" t="s">
        <v>58</v>
      </c>
      <c r="AC26" s="83">
        <v>46091</v>
      </c>
    </row>
    <row r="27" spans="2:29" ht="23" x14ac:dyDescent="0.35">
      <c r="B27" s="81" t="s">
        <v>338</v>
      </c>
      <c r="C27" s="81" t="s">
        <v>339</v>
      </c>
      <c r="D27" s="81" t="s">
        <v>340</v>
      </c>
      <c r="E27" s="81" t="s">
        <v>363</v>
      </c>
      <c r="F27" s="162" t="s">
        <v>364</v>
      </c>
      <c r="G27" s="163"/>
      <c r="H27" s="81" t="s">
        <v>365</v>
      </c>
      <c r="I27" s="81" t="s">
        <v>344</v>
      </c>
      <c r="J27" s="81" t="s">
        <v>11</v>
      </c>
      <c r="K27" s="81" t="s">
        <v>376</v>
      </c>
      <c r="L27" s="81" t="s">
        <v>129</v>
      </c>
      <c r="M27" s="164">
        <v>23.1</v>
      </c>
      <c r="N27" s="165"/>
      <c r="O27" s="163"/>
      <c r="P27" s="82">
        <v>85.01</v>
      </c>
      <c r="Q27" s="164">
        <v>0</v>
      </c>
      <c r="R27" s="163"/>
      <c r="S27" s="81" t="s">
        <v>346</v>
      </c>
      <c r="T27" s="82">
        <v>63</v>
      </c>
      <c r="U27" s="82">
        <v>0</v>
      </c>
      <c r="V27" s="82">
        <v>0</v>
      </c>
      <c r="W27" s="82">
        <v>0</v>
      </c>
      <c r="X27" s="81" t="s">
        <v>133</v>
      </c>
      <c r="Y27" s="82">
        <v>4</v>
      </c>
      <c r="Z27" s="81" t="s">
        <v>146</v>
      </c>
      <c r="AA27" s="81" t="s">
        <v>58</v>
      </c>
      <c r="AB27" s="81" t="s">
        <v>58</v>
      </c>
      <c r="AC27" s="83">
        <v>46091</v>
      </c>
    </row>
    <row r="28" spans="2:29" ht="23" x14ac:dyDescent="0.35">
      <c r="B28" s="81" t="s">
        <v>338</v>
      </c>
      <c r="C28" s="81" t="s">
        <v>339</v>
      </c>
      <c r="D28" s="81" t="s">
        <v>340</v>
      </c>
      <c r="E28" s="81" t="s">
        <v>363</v>
      </c>
      <c r="F28" s="162" t="s">
        <v>364</v>
      </c>
      <c r="G28" s="163"/>
      <c r="H28" s="81" t="s">
        <v>365</v>
      </c>
      <c r="I28" s="81" t="s">
        <v>344</v>
      </c>
      <c r="J28" s="81" t="s">
        <v>11</v>
      </c>
      <c r="K28" s="81" t="s">
        <v>377</v>
      </c>
      <c r="L28" s="81" t="s">
        <v>129</v>
      </c>
      <c r="M28" s="164">
        <v>22.7</v>
      </c>
      <c r="N28" s="165"/>
      <c r="O28" s="163"/>
      <c r="P28" s="82">
        <v>83.54</v>
      </c>
      <c r="Q28" s="164">
        <v>0</v>
      </c>
      <c r="R28" s="163"/>
      <c r="S28" s="81" t="s">
        <v>346</v>
      </c>
      <c r="T28" s="82">
        <v>63</v>
      </c>
      <c r="U28" s="82">
        <v>0</v>
      </c>
      <c r="V28" s="82">
        <v>0</v>
      </c>
      <c r="W28" s="82">
        <v>0</v>
      </c>
      <c r="X28" s="81"/>
      <c r="Y28" s="81"/>
      <c r="Z28" s="81" t="s">
        <v>146</v>
      </c>
      <c r="AA28" s="81" t="s">
        <v>58</v>
      </c>
      <c r="AB28" s="81" t="s">
        <v>58</v>
      </c>
      <c r="AC28" s="83">
        <v>46091</v>
      </c>
    </row>
    <row r="29" spans="2:29" ht="23" x14ac:dyDescent="0.35">
      <c r="B29" s="81" t="s">
        <v>338</v>
      </c>
      <c r="C29" s="81" t="s">
        <v>339</v>
      </c>
      <c r="D29" s="81" t="s">
        <v>340</v>
      </c>
      <c r="E29" s="81" t="s">
        <v>363</v>
      </c>
      <c r="F29" s="162" t="s">
        <v>364</v>
      </c>
      <c r="G29" s="163"/>
      <c r="H29" s="81" t="s">
        <v>365</v>
      </c>
      <c r="I29" s="81" t="s">
        <v>344</v>
      </c>
      <c r="J29" s="81" t="s">
        <v>11</v>
      </c>
      <c r="K29" s="81" t="s">
        <v>378</v>
      </c>
      <c r="L29" s="81" t="s">
        <v>129</v>
      </c>
      <c r="M29" s="164">
        <v>21</v>
      </c>
      <c r="N29" s="165"/>
      <c r="O29" s="163"/>
      <c r="P29" s="82">
        <v>77.28</v>
      </c>
      <c r="Q29" s="164">
        <v>0</v>
      </c>
      <c r="R29" s="163"/>
      <c r="S29" s="81" t="s">
        <v>346</v>
      </c>
      <c r="T29" s="82">
        <v>63</v>
      </c>
      <c r="U29" s="82">
        <v>0</v>
      </c>
      <c r="V29" s="82">
        <v>0</v>
      </c>
      <c r="W29" s="82">
        <v>0</v>
      </c>
      <c r="X29" s="81"/>
      <c r="Y29" s="81"/>
      <c r="Z29" s="81" t="s">
        <v>146</v>
      </c>
      <c r="AA29" s="81" t="s">
        <v>58</v>
      </c>
      <c r="AB29" s="81" t="s">
        <v>58</v>
      </c>
      <c r="AC29" s="83">
        <v>46091</v>
      </c>
    </row>
    <row r="30" spans="2:29" ht="23" x14ac:dyDescent="0.35">
      <c r="B30" s="81" t="s">
        <v>338</v>
      </c>
      <c r="C30" s="81" t="s">
        <v>339</v>
      </c>
      <c r="D30" s="81" t="s">
        <v>340</v>
      </c>
      <c r="E30" s="81" t="s">
        <v>363</v>
      </c>
      <c r="F30" s="162" t="s">
        <v>364</v>
      </c>
      <c r="G30" s="163"/>
      <c r="H30" s="81" t="s">
        <v>365</v>
      </c>
      <c r="I30" s="81" t="s">
        <v>344</v>
      </c>
      <c r="J30" s="81" t="s">
        <v>11</v>
      </c>
      <c r="K30" s="81" t="s">
        <v>379</v>
      </c>
      <c r="L30" s="81" t="s">
        <v>129</v>
      </c>
      <c r="M30" s="164">
        <v>23.2</v>
      </c>
      <c r="N30" s="165"/>
      <c r="O30" s="163"/>
      <c r="P30" s="82">
        <v>85.38</v>
      </c>
      <c r="Q30" s="164">
        <v>0</v>
      </c>
      <c r="R30" s="163"/>
      <c r="S30" s="81" t="s">
        <v>346</v>
      </c>
      <c r="T30" s="82">
        <v>63</v>
      </c>
      <c r="U30" s="82">
        <v>0</v>
      </c>
      <c r="V30" s="82">
        <v>0</v>
      </c>
      <c r="W30" s="82">
        <v>0</v>
      </c>
      <c r="X30" s="81" t="s">
        <v>134</v>
      </c>
      <c r="Y30" s="82">
        <v>4</v>
      </c>
      <c r="Z30" s="81" t="s">
        <v>146</v>
      </c>
      <c r="AA30" s="81" t="s">
        <v>58</v>
      </c>
      <c r="AB30" s="81" t="s">
        <v>58</v>
      </c>
      <c r="AC30" s="83">
        <v>46091</v>
      </c>
    </row>
    <row r="31" spans="2:29" ht="23" x14ac:dyDescent="0.35">
      <c r="B31" s="81" t="s">
        <v>338</v>
      </c>
      <c r="C31" s="81" t="s">
        <v>339</v>
      </c>
      <c r="D31" s="81" t="s">
        <v>340</v>
      </c>
      <c r="E31" s="81" t="s">
        <v>363</v>
      </c>
      <c r="F31" s="162" t="s">
        <v>364</v>
      </c>
      <c r="G31" s="163"/>
      <c r="H31" s="81" t="s">
        <v>365</v>
      </c>
      <c r="I31" s="81" t="s">
        <v>344</v>
      </c>
      <c r="J31" s="81" t="s">
        <v>11</v>
      </c>
      <c r="K31" s="81" t="s">
        <v>380</v>
      </c>
      <c r="L31" s="81" t="s">
        <v>129</v>
      </c>
      <c r="M31" s="164">
        <v>23</v>
      </c>
      <c r="N31" s="165"/>
      <c r="O31" s="163"/>
      <c r="P31" s="82">
        <v>84.64</v>
      </c>
      <c r="Q31" s="164">
        <v>0</v>
      </c>
      <c r="R31" s="163"/>
      <c r="S31" s="81" t="s">
        <v>346</v>
      </c>
      <c r="T31" s="82">
        <v>63</v>
      </c>
      <c r="U31" s="82">
        <v>0</v>
      </c>
      <c r="V31" s="82">
        <v>0</v>
      </c>
      <c r="W31" s="82">
        <v>0</v>
      </c>
      <c r="X31" s="81" t="s">
        <v>149</v>
      </c>
      <c r="Y31" s="82">
        <v>1</v>
      </c>
      <c r="Z31" s="81" t="s">
        <v>146</v>
      </c>
      <c r="AA31" s="81" t="s">
        <v>58</v>
      </c>
      <c r="AB31" s="81" t="s">
        <v>58</v>
      </c>
      <c r="AC31" s="83">
        <v>46091</v>
      </c>
    </row>
    <row r="32" spans="2:29" ht="23" x14ac:dyDescent="0.35">
      <c r="B32" s="81" t="s">
        <v>338</v>
      </c>
      <c r="C32" s="81" t="s">
        <v>339</v>
      </c>
      <c r="D32" s="81" t="s">
        <v>340</v>
      </c>
      <c r="E32" s="81" t="s">
        <v>363</v>
      </c>
      <c r="F32" s="162" t="s">
        <v>364</v>
      </c>
      <c r="G32" s="163"/>
      <c r="H32" s="81" t="s">
        <v>365</v>
      </c>
      <c r="I32" s="81" t="s">
        <v>344</v>
      </c>
      <c r="J32" s="81" t="s">
        <v>11</v>
      </c>
      <c r="K32" s="81" t="s">
        <v>381</v>
      </c>
      <c r="L32" s="81" t="s">
        <v>129</v>
      </c>
      <c r="M32" s="164">
        <v>23.1</v>
      </c>
      <c r="N32" s="165"/>
      <c r="O32" s="163"/>
      <c r="P32" s="82">
        <v>85.01</v>
      </c>
      <c r="Q32" s="164">
        <v>0</v>
      </c>
      <c r="R32" s="163"/>
      <c r="S32" s="81" t="s">
        <v>346</v>
      </c>
      <c r="T32" s="82">
        <v>63</v>
      </c>
      <c r="U32" s="82">
        <v>0</v>
      </c>
      <c r="V32" s="82">
        <v>0</v>
      </c>
      <c r="W32" s="82">
        <v>0</v>
      </c>
      <c r="X32" s="81" t="s">
        <v>133</v>
      </c>
      <c r="Y32" s="82">
        <v>4</v>
      </c>
      <c r="Z32" s="81" t="s">
        <v>146</v>
      </c>
      <c r="AA32" s="81" t="s">
        <v>58</v>
      </c>
      <c r="AB32" s="81" t="s">
        <v>58</v>
      </c>
      <c r="AC32" s="83">
        <v>46091</v>
      </c>
    </row>
    <row r="33" spans="2:29" ht="23" x14ac:dyDescent="0.35">
      <c r="B33" s="81" t="s">
        <v>338</v>
      </c>
      <c r="C33" s="81" t="s">
        <v>339</v>
      </c>
      <c r="D33" s="81" t="s">
        <v>340</v>
      </c>
      <c r="E33" s="81" t="s">
        <v>363</v>
      </c>
      <c r="F33" s="162" t="s">
        <v>364</v>
      </c>
      <c r="G33" s="163"/>
      <c r="H33" s="81" t="s">
        <v>365</v>
      </c>
      <c r="I33" s="81" t="s">
        <v>344</v>
      </c>
      <c r="J33" s="81" t="s">
        <v>11</v>
      </c>
      <c r="K33" s="81" t="s">
        <v>382</v>
      </c>
      <c r="L33" s="81" t="s">
        <v>129</v>
      </c>
      <c r="M33" s="164">
        <v>25.9</v>
      </c>
      <c r="N33" s="165"/>
      <c r="O33" s="163"/>
      <c r="P33" s="82">
        <v>95.31</v>
      </c>
      <c r="Q33" s="164">
        <v>0</v>
      </c>
      <c r="R33" s="163"/>
      <c r="S33" s="81" t="s">
        <v>346</v>
      </c>
      <c r="T33" s="82">
        <v>63</v>
      </c>
      <c r="U33" s="82">
        <v>0</v>
      </c>
      <c r="V33" s="82">
        <v>0</v>
      </c>
      <c r="W33" s="82">
        <v>0</v>
      </c>
      <c r="X33" s="81" t="s">
        <v>139</v>
      </c>
      <c r="Y33" s="82">
        <v>8</v>
      </c>
      <c r="Z33" s="81" t="s">
        <v>146</v>
      </c>
      <c r="AA33" s="81" t="s">
        <v>58</v>
      </c>
      <c r="AB33" s="81" t="s">
        <v>58</v>
      </c>
      <c r="AC33" s="83">
        <v>46091</v>
      </c>
    </row>
    <row r="34" spans="2:29" ht="23" x14ac:dyDescent="0.35">
      <c r="B34" s="81" t="s">
        <v>338</v>
      </c>
      <c r="C34" s="81" t="s">
        <v>339</v>
      </c>
      <c r="D34" s="81" t="s">
        <v>340</v>
      </c>
      <c r="E34" s="81" t="s">
        <v>363</v>
      </c>
      <c r="F34" s="162" t="s">
        <v>364</v>
      </c>
      <c r="G34" s="163"/>
      <c r="H34" s="81" t="s">
        <v>365</v>
      </c>
      <c r="I34" s="81" t="s">
        <v>344</v>
      </c>
      <c r="J34" s="81" t="s">
        <v>11</v>
      </c>
      <c r="K34" s="81" t="s">
        <v>383</v>
      </c>
      <c r="L34" s="81" t="s">
        <v>129</v>
      </c>
      <c r="M34" s="164">
        <v>23.1</v>
      </c>
      <c r="N34" s="165"/>
      <c r="O34" s="163"/>
      <c r="P34" s="82">
        <v>85.01</v>
      </c>
      <c r="Q34" s="164">
        <v>0</v>
      </c>
      <c r="R34" s="163"/>
      <c r="S34" s="81" t="s">
        <v>346</v>
      </c>
      <c r="T34" s="82">
        <v>63</v>
      </c>
      <c r="U34" s="82">
        <v>0</v>
      </c>
      <c r="V34" s="82">
        <v>0</v>
      </c>
      <c r="W34" s="82">
        <v>0</v>
      </c>
      <c r="X34" s="81"/>
      <c r="Y34" s="81"/>
      <c r="Z34" s="81" t="s">
        <v>146</v>
      </c>
      <c r="AA34" s="81" t="s">
        <v>58</v>
      </c>
      <c r="AB34" s="81" t="s">
        <v>58</v>
      </c>
      <c r="AC34" s="83">
        <v>46091</v>
      </c>
    </row>
    <row r="35" spans="2:29" ht="23" x14ac:dyDescent="0.35">
      <c r="B35" s="81" t="s">
        <v>338</v>
      </c>
      <c r="C35" s="81" t="s">
        <v>339</v>
      </c>
      <c r="D35" s="81" t="s">
        <v>340</v>
      </c>
      <c r="E35" s="81" t="s">
        <v>363</v>
      </c>
      <c r="F35" s="162" t="s">
        <v>364</v>
      </c>
      <c r="G35" s="163"/>
      <c r="H35" s="81" t="s">
        <v>365</v>
      </c>
      <c r="I35" s="81" t="s">
        <v>344</v>
      </c>
      <c r="J35" s="81" t="s">
        <v>11</v>
      </c>
      <c r="K35" s="81" t="s">
        <v>384</v>
      </c>
      <c r="L35" s="81" t="s">
        <v>129</v>
      </c>
      <c r="M35" s="164">
        <v>23.2</v>
      </c>
      <c r="N35" s="165"/>
      <c r="O35" s="163"/>
      <c r="P35" s="82">
        <v>85.38</v>
      </c>
      <c r="Q35" s="164">
        <v>0</v>
      </c>
      <c r="R35" s="163"/>
      <c r="S35" s="81" t="s">
        <v>346</v>
      </c>
      <c r="T35" s="82">
        <v>63</v>
      </c>
      <c r="U35" s="82">
        <v>0</v>
      </c>
      <c r="V35" s="82">
        <v>0</v>
      </c>
      <c r="W35" s="82">
        <v>0</v>
      </c>
      <c r="X35" s="81"/>
      <c r="Y35" s="81"/>
      <c r="Z35" s="81" t="s">
        <v>146</v>
      </c>
      <c r="AA35" s="81" t="s">
        <v>58</v>
      </c>
      <c r="AB35" s="81" t="s">
        <v>58</v>
      </c>
      <c r="AC35" s="83">
        <v>46091</v>
      </c>
    </row>
    <row r="36" spans="2:29" ht="23" x14ac:dyDescent="0.35">
      <c r="B36" s="81" t="s">
        <v>338</v>
      </c>
      <c r="C36" s="81" t="s">
        <v>339</v>
      </c>
      <c r="D36" s="81" t="s">
        <v>340</v>
      </c>
      <c r="E36" s="81" t="s">
        <v>363</v>
      </c>
      <c r="F36" s="162" t="s">
        <v>364</v>
      </c>
      <c r="G36" s="163"/>
      <c r="H36" s="81" t="s">
        <v>365</v>
      </c>
      <c r="I36" s="81" t="s">
        <v>344</v>
      </c>
      <c r="J36" s="81" t="s">
        <v>11</v>
      </c>
      <c r="K36" s="81" t="s">
        <v>385</v>
      </c>
      <c r="L36" s="81" t="s">
        <v>129</v>
      </c>
      <c r="M36" s="164">
        <v>23.1</v>
      </c>
      <c r="N36" s="165"/>
      <c r="O36" s="163"/>
      <c r="P36" s="82">
        <v>85.01</v>
      </c>
      <c r="Q36" s="164">
        <v>0</v>
      </c>
      <c r="R36" s="163"/>
      <c r="S36" s="81" t="s">
        <v>346</v>
      </c>
      <c r="T36" s="82">
        <v>63</v>
      </c>
      <c r="U36" s="82">
        <v>0</v>
      </c>
      <c r="V36" s="82">
        <v>0</v>
      </c>
      <c r="W36" s="82">
        <v>0</v>
      </c>
      <c r="X36" s="81"/>
      <c r="Y36" s="81"/>
      <c r="Z36" s="81" t="s">
        <v>146</v>
      </c>
      <c r="AA36" s="81" t="s">
        <v>58</v>
      </c>
      <c r="AB36" s="81" t="s">
        <v>58</v>
      </c>
      <c r="AC36" s="83">
        <v>46091</v>
      </c>
    </row>
    <row r="37" spans="2:29" ht="23" x14ac:dyDescent="0.35">
      <c r="B37" s="81" t="s">
        <v>338</v>
      </c>
      <c r="C37" s="81" t="s">
        <v>339</v>
      </c>
      <c r="D37" s="81" t="s">
        <v>340</v>
      </c>
      <c r="E37" s="81" t="s">
        <v>363</v>
      </c>
      <c r="F37" s="162" t="s">
        <v>364</v>
      </c>
      <c r="G37" s="163"/>
      <c r="H37" s="81" t="s">
        <v>365</v>
      </c>
      <c r="I37" s="81" t="s">
        <v>344</v>
      </c>
      <c r="J37" s="81" t="s">
        <v>11</v>
      </c>
      <c r="K37" s="81" t="s">
        <v>386</v>
      </c>
      <c r="L37" s="81" t="s">
        <v>129</v>
      </c>
      <c r="M37" s="164">
        <v>23.2</v>
      </c>
      <c r="N37" s="165"/>
      <c r="O37" s="163"/>
      <c r="P37" s="82">
        <v>85.38</v>
      </c>
      <c r="Q37" s="164">
        <v>0</v>
      </c>
      <c r="R37" s="163"/>
      <c r="S37" s="81" t="s">
        <v>346</v>
      </c>
      <c r="T37" s="82">
        <v>63</v>
      </c>
      <c r="U37" s="82">
        <v>0</v>
      </c>
      <c r="V37" s="82">
        <v>0</v>
      </c>
      <c r="W37" s="82">
        <v>0</v>
      </c>
      <c r="X37" s="81"/>
      <c r="Y37" s="81"/>
      <c r="Z37" s="81" t="s">
        <v>146</v>
      </c>
      <c r="AA37" s="81" t="s">
        <v>58</v>
      </c>
      <c r="AB37" s="81" t="s">
        <v>58</v>
      </c>
      <c r="AC37" s="83">
        <v>46091</v>
      </c>
    </row>
    <row r="38" spans="2:29" ht="23" x14ac:dyDescent="0.35">
      <c r="B38" s="81" t="s">
        <v>338</v>
      </c>
      <c r="C38" s="81" t="s">
        <v>339</v>
      </c>
      <c r="D38" s="81" t="s">
        <v>340</v>
      </c>
      <c r="E38" s="81" t="s">
        <v>363</v>
      </c>
      <c r="F38" s="162" t="s">
        <v>364</v>
      </c>
      <c r="G38" s="163"/>
      <c r="H38" s="81" t="s">
        <v>365</v>
      </c>
      <c r="I38" s="81" t="s">
        <v>344</v>
      </c>
      <c r="J38" s="81" t="s">
        <v>11</v>
      </c>
      <c r="K38" s="81" t="s">
        <v>387</v>
      </c>
      <c r="L38" s="81" t="s">
        <v>129</v>
      </c>
      <c r="M38" s="164">
        <v>23.3</v>
      </c>
      <c r="N38" s="165"/>
      <c r="O38" s="163"/>
      <c r="P38" s="82">
        <v>85.74</v>
      </c>
      <c r="Q38" s="164">
        <v>0</v>
      </c>
      <c r="R38" s="163"/>
      <c r="S38" s="81" t="s">
        <v>346</v>
      </c>
      <c r="T38" s="82">
        <v>63</v>
      </c>
      <c r="U38" s="82">
        <v>0</v>
      </c>
      <c r="V38" s="82">
        <v>0</v>
      </c>
      <c r="W38" s="82">
        <v>0</v>
      </c>
      <c r="X38" s="81"/>
      <c r="Y38" s="81"/>
      <c r="Z38" s="81" t="s">
        <v>146</v>
      </c>
      <c r="AA38" s="81" t="s">
        <v>58</v>
      </c>
      <c r="AB38" s="81" t="s">
        <v>58</v>
      </c>
      <c r="AC38" s="83">
        <v>46091</v>
      </c>
    </row>
    <row r="39" spans="2:29" ht="23" x14ac:dyDescent="0.35">
      <c r="B39" s="81" t="s">
        <v>338</v>
      </c>
      <c r="C39" s="81" t="s">
        <v>339</v>
      </c>
      <c r="D39" s="81" t="s">
        <v>340</v>
      </c>
      <c r="E39" s="81" t="s">
        <v>363</v>
      </c>
      <c r="F39" s="162" t="s">
        <v>364</v>
      </c>
      <c r="G39" s="163"/>
      <c r="H39" s="81" t="s">
        <v>365</v>
      </c>
      <c r="I39" s="81" t="s">
        <v>344</v>
      </c>
      <c r="J39" s="81" t="s">
        <v>11</v>
      </c>
      <c r="K39" s="81" t="s">
        <v>388</v>
      </c>
      <c r="L39" s="81" t="s">
        <v>129</v>
      </c>
      <c r="M39" s="164">
        <v>22.3</v>
      </c>
      <c r="N39" s="165"/>
      <c r="O39" s="163"/>
      <c r="P39" s="82">
        <v>82.06</v>
      </c>
      <c r="Q39" s="164">
        <v>0</v>
      </c>
      <c r="R39" s="163"/>
      <c r="S39" s="81" t="s">
        <v>346</v>
      </c>
      <c r="T39" s="82">
        <v>63</v>
      </c>
      <c r="U39" s="82">
        <v>0</v>
      </c>
      <c r="V39" s="82">
        <v>0</v>
      </c>
      <c r="W39" s="82">
        <v>0</v>
      </c>
      <c r="X39" s="81"/>
      <c r="Y39" s="81"/>
      <c r="Z39" s="81" t="s">
        <v>146</v>
      </c>
      <c r="AA39" s="81" t="s">
        <v>58</v>
      </c>
      <c r="AB39" s="81" t="s">
        <v>58</v>
      </c>
      <c r="AC39" s="83">
        <v>46091</v>
      </c>
    </row>
    <row r="40" spans="2:29" ht="23" x14ac:dyDescent="0.35">
      <c r="B40" s="81" t="s">
        <v>338</v>
      </c>
      <c r="C40" s="81" t="s">
        <v>339</v>
      </c>
      <c r="D40" s="81" t="s">
        <v>340</v>
      </c>
      <c r="E40" s="81" t="s">
        <v>363</v>
      </c>
      <c r="F40" s="162" t="s">
        <v>364</v>
      </c>
      <c r="G40" s="163"/>
      <c r="H40" s="81" t="s">
        <v>365</v>
      </c>
      <c r="I40" s="81" t="s">
        <v>344</v>
      </c>
      <c r="J40" s="81" t="s">
        <v>11</v>
      </c>
      <c r="K40" s="81" t="s">
        <v>389</v>
      </c>
      <c r="L40" s="81" t="s">
        <v>129</v>
      </c>
      <c r="M40" s="164">
        <v>10.6</v>
      </c>
      <c r="N40" s="165"/>
      <c r="O40" s="163"/>
      <c r="P40" s="82">
        <v>39.01</v>
      </c>
      <c r="Q40" s="164">
        <v>0</v>
      </c>
      <c r="R40" s="163"/>
      <c r="S40" s="81" t="s">
        <v>346</v>
      </c>
      <c r="T40" s="82">
        <v>63</v>
      </c>
      <c r="U40" s="82">
        <v>0</v>
      </c>
      <c r="V40" s="82">
        <v>0</v>
      </c>
      <c r="W40" s="82">
        <v>0</v>
      </c>
      <c r="X40" s="81"/>
      <c r="Y40" s="81"/>
      <c r="Z40" s="81" t="s">
        <v>146</v>
      </c>
      <c r="AA40" s="81" t="s">
        <v>58</v>
      </c>
      <c r="AB40" s="81" t="s">
        <v>58</v>
      </c>
      <c r="AC40" s="83">
        <v>46091</v>
      </c>
    </row>
    <row r="41" spans="2:29" ht="23" x14ac:dyDescent="0.35">
      <c r="B41" s="81" t="s">
        <v>338</v>
      </c>
      <c r="C41" s="81" t="s">
        <v>339</v>
      </c>
      <c r="D41" s="81" t="s">
        <v>340</v>
      </c>
      <c r="E41" s="81" t="s">
        <v>363</v>
      </c>
      <c r="F41" s="162" t="s">
        <v>364</v>
      </c>
      <c r="G41" s="163"/>
      <c r="H41" s="81" t="s">
        <v>365</v>
      </c>
      <c r="I41" s="81" t="s">
        <v>344</v>
      </c>
      <c r="J41" s="81" t="s">
        <v>11</v>
      </c>
      <c r="K41" s="81" t="s">
        <v>390</v>
      </c>
      <c r="L41" s="81" t="s">
        <v>129</v>
      </c>
      <c r="M41" s="164">
        <v>23</v>
      </c>
      <c r="N41" s="165"/>
      <c r="O41" s="163"/>
      <c r="P41" s="82">
        <v>84.64</v>
      </c>
      <c r="Q41" s="164">
        <v>0</v>
      </c>
      <c r="R41" s="163"/>
      <c r="S41" s="81" t="s">
        <v>346</v>
      </c>
      <c r="T41" s="82">
        <v>63</v>
      </c>
      <c r="U41" s="82">
        <v>0</v>
      </c>
      <c r="V41" s="82">
        <v>0</v>
      </c>
      <c r="W41" s="82">
        <v>0</v>
      </c>
      <c r="X41" s="81"/>
      <c r="Y41" s="81"/>
      <c r="Z41" s="81" t="s">
        <v>146</v>
      </c>
      <c r="AA41" s="81" t="s">
        <v>58</v>
      </c>
      <c r="AB41" s="81" t="s">
        <v>58</v>
      </c>
      <c r="AC41" s="83">
        <v>46091</v>
      </c>
    </row>
    <row r="42" spans="2:29" ht="23" x14ac:dyDescent="0.35">
      <c r="B42" s="81" t="s">
        <v>338</v>
      </c>
      <c r="C42" s="81" t="s">
        <v>339</v>
      </c>
      <c r="D42" s="81" t="s">
        <v>340</v>
      </c>
      <c r="E42" s="81" t="s">
        <v>363</v>
      </c>
      <c r="F42" s="162" t="s">
        <v>364</v>
      </c>
      <c r="G42" s="163"/>
      <c r="H42" s="81" t="s">
        <v>365</v>
      </c>
      <c r="I42" s="81" t="s">
        <v>344</v>
      </c>
      <c r="J42" s="81" t="s">
        <v>11</v>
      </c>
      <c r="K42" s="81" t="s">
        <v>391</v>
      </c>
      <c r="L42" s="81" t="s">
        <v>129</v>
      </c>
      <c r="M42" s="164">
        <v>23</v>
      </c>
      <c r="N42" s="165"/>
      <c r="O42" s="163"/>
      <c r="P42" s="82">
        <v>84.64</v>
      </c>
      <c r="Q42" s="164">
        <v>0</v>
      </c>
      <c r="R42" s="163"/>
      <c r="S42" s="81" t="s">
        <v>346</v>
      </c>
      <c r="T42" s="82">
        <v>63</v>
      </c>
      <c r="U42" s="82">
        <v>0</v>
      </c>
      <c r="V42" s="82">
        <v>0</v>
      </c>
      <c r="W42" s="82">
        <v>0</v>
      </c>
      <c r="X42" s="81"/>
      <c r="Y42" s="81"/>
      <c r="Z42" s="81" t="s">
        <v>146</v>
      </c>
      <c r="AA42" s="81" t="s">
        <v>58</v>
      </c>
      <c r="AB42" s="81" t="s">
        <v>58</v>
      </c>
      <c r="AC42" s="83">
        <v>46091</v>
      </c>
    </row>
    <row r="43" spans="2:29" ht="23" x14ac:dyDescent="0.35">
      <c r="B43" s="81" t="s">
        <v>338</v>
      </c>
      <c r="C43" s="81" t="s">
        <v>339</v>
      </c>
      <c r="D43" s="81" t="s">
        <v>340</v>
      </c>
      <c r="E43" s="81" t="s">
        <v>363</v>
      </c>
      <c r="F43" s="162" t="s">
        <v>364</v>
      </c>
      <c r="G43" s="163"/>
      <c r="H43" s="81" t="s">
        <v>365</v>
      </c>
      <c r="I43" s="81" t="s">
        <v>344</v>
      </c>
      <c r="J43" s="81" t="s">
        <v>11</v>
      </c>
      <c r="K43" s="81" t="s">
        <v>392</v>
      </c>
      <c r="L43" s="81" t="s">
        <v>129</v>
      </c>
      <c r="M43" s="164">
        <v>23.1</v>
      </c>
      <c r="N43" s="165"/>
      <c r="O43" s="163"/>
      <c r="P43" s="82">
        <v>85.01</v>
      </c>
      <c r="Q43" s="164">
        <v>0</v>
      </c>
      <c r="R43" s="163"/>
      <c r="S43" s="81" t="s">
        <v>346</v>
      </c>
      <c r="T43" s="82">
        <v>63</v>
      </c>
      <c r="U43" s="82">
        <v>0</v>
      </c>
      <c r="V43" s="82">
        <v>0</v>
      </c>
      <c r="W43" s="82">
        <v>0</v>
      </c>
      <c r="X43" s="81" t="s">
        <v>134</v>
      </c>
      <c r="Y43" s="82">
        <v>1</v>
      </c>
      <c r="Z43" s="81" t="s">
        <v>146</v>
      </c>
      <c r="AA43" s="81" t="s">
        <v>58</v>
      </c>
      <c r="AB43" s="81" t="s">
        <v>58</v>
      </c>
      <c r="AC43" s="83">
        <v>46091</v>
      </c>
    </row>
    <row r="44" spans="2:29" ht="23" x14ac:dyDescent="0.35">
      <c r="B44" s="81" t="s">
        <v>338</v>
      </c>
      <c r="C44" s="81" t="s">
        <v>339</v>
      </c>
      <c r="D44" s="81" t="s">
        <v>340</v>
      </c>
      <c r="E44" s="81" t="s">
        <v>363</v>
      </c>
      <c r="F44" s="162" t="s">
        <v>364</v>
      </c>
      <c r="G44" s="163"/>
      <c r="H44" s="81" t="s">
        <v>365</v>
      </c>
      <c r="I44" s="81" t="s">
        <v>344</v>
      </c>
      <c r="J44" s="81" t="s">
        <v>11</v>
      </c>
      <c r="K44" s="81" t="s">
        <v>393</v>
      </c>
      <c r="L44" s="81" t="s">
        <v>129</v>
      </c>
      <c r="M44" s="164">
        <v>23.1</v>
      </c>
      <c r="N44" s="165"/>
      <c r="O44" s="163"/>
      <c r="P44" s="82">
        <v>85.01</v>
      </c>
      <c r="Q44" s="164">
        <v>0</v>
      </c>
      <c r="R44" s="163"/>
      <c r="S44" s="81" t="s">
        <v>346</v>
      </c>
      <c r="T44" s="82">
        <v>63</v>
      </c>
      <c r="U44" s="82">
        <v>0</v>
      </c>
      <c r="V44" s="82">
        <v>0</v>
      </c>
      <c r="W44" s="82">
        <v>0</v>
      </c>
      <c r="X44" s="81"/>
      <c r="Y44" s="81"/>
      <c r="Z44" s="81" t="s">
        <v>146</v>
      </c>
      <c r="AA44" s="81" t="s">
        <v>58</v>
      </c>
      <c r="AB44" s="81" t="s">
        <v>58</v>
      </c>
      <c r="AC44" s="83">
        <v>46091</v>
      </c>
    </row>
    <row r="45" spans="2:29" ht="23" x14ac:dyDescent="0.35">
      <c r="B45" s="81" t="s">
        <v>338</v>
      </c>
      <c r="C45" s="81" t="s">
        <v>339</v>
      </c>
      <c r="D45" s="81" t="s">
        <v>340</v>
      </c>
      <c r="E45" s="81" t="s">
        <v>363</v>
      </c>
      <c r="F45" s="162" t="s">
        <v>364</v>
      </c>
      <c r="G45" s="163"/>
      <c r="H45" s="81" t="s">
        <v>365</v>
      </c>
      <c r="I45" s="81" t="s">
        <v>344</v>
      </c>
      <c r="J45" s="81" t="s">
        <v>11</v>
      </c>
      <c r="K45" s="81" t="s">
        <v>394</v>
      </c>
      <c r="L45" s="81" t="s">
        <v>129</v>
      </c>
      <c r="M45" s="164">
        <v>23.1</v>
      </c>
      <c r="N45" s="165"/>
      <c r="O45" s="163"/>
      <c r="P45" s="82">
        <v>85.01</v>
      </c>
      <c r="Q45" s="164">
        <v>0</v>
      </c>
      <c r="R45" s="163"/>
      <c r="S45" s="81" t="s">
        <v>346</v>
      </c>
      <c r="T45" s="82">
        <v>63</v>
      </c>
      <c r="U45" s="82">
        <v>0</v>
      </c>
      <c r="V45" s="82">
        <v>0</v>
      </c>
      <c r="W45" s="82">
        <v>0</v>
      </c>
      <c r="X45" s="81"/>
      <c r="Y45" s="81"/>
      <c r="Z45" s="81" t="s">
        <v>146</v>
      </c>
      <c r="AA45" s="81" t="s">
        <v>58</v>
      </c>
      <c r="AB45" s="81" t="s">
        <v>58</v>
      </c>
      <c r="AC45" s="83">
        <v>46091</v>
      </c>
    </row>
    <row r="46" spans="2:29" ht="23" x14ac:dyDescent="0.35">
      <c r="B46" s="81" t="s">
        <v>338</v>
      </c>
      <c r="C46" s="81" t="s">
        <v>339</v>
      </c>
      <c r="D46" s="81" t="s">
        <v>340</v>
      </c>
      <c r="E46" s="81" t="s">
        <v>363</v>
      </c>
      <c r="F46" s="162" t="s">
        <v>364</v>
      </c>
      <c r="G46" s="163"/>
      <c r="H46" s="81" t="s">
        <v>365</v>
      </c>
      <c r="I46" s="81" t="s">
        <v>344</v>
      </c>
      <c r="J46" s="81" t="s">
        <v>11</v>
      </c>
      <c r="K46" s="81" t="s">
        <v>395</v>
      </c>
      <c r="L46" s="81" t="s">
        <v>129</v>
      </c>
      <c r="M46" s="164">
        <v>22.9</v>
      </c>
      <c r="N46" s="165"/>
      <c r="O46" s="163"/>
      <c r="P46" s="82">
        <v>84.27</v>
      </c>
      <c r="Q46" s="164">
        <v>0</v>
      </c>
      <c r="R46" s="163"/>
      <c r="S46" s="81" t="s">
        <v>346</v>
      </c>
      <c r="T46" s="82">
        <v>63</v>
      </c>
      <c r="U46" s="82">
        <v>0</v>
      </c>
      <c r="V46" s="82">
        <v>0</v>
      </c>
      <c r="W46" s="82">
        <v>0</v>
      </c>
      <c r="X46" s="81" t="s">
        <v>134</v>
      </c>
      <c r="Y46" s="82">
        <v>1</v>
      </c>
      <c r="Z46" s="81" t="s">
        <v>146</v>
      </c>
      <c r="AA46" s="81" t="s">
        <v>58</v>
      </c>
      <c r="AB46" s="81" t="s">
        <v>58</v>
      </c>
      <c r="AC46" s="83">
        <v>46091</v>
      </c>
    </row>
    <row r="47" spans="2:29" ht="23" x14ac:dyDescent="0.35">
      <c r="B47" s="81" t="s">
        <v>338</v>
      </c>
      <c r="C47" s="81" t="s">
        <v>339</v>
      </c>
      <c r="D47" s="81" t="s">
        <v>340</v>
      </c>
      <c r="E47" s="81" t="s">
        <v>363</v>
      </c>
      <c r="F47" s="162" t="s">
        <v>364</v>
      </c>
      <c r="G47" s="163"/>
      <c r="H47" s="81" t="s">
        <v>365</v>
      </c>
      <c r="I47" s="81" t="s">
        <v>344</v>
      </c>
      <c r="J47" s="81" t="s">
        <v>11</v>
      </c>
      <c r="K47" s="81" t="s">
        <v>396</v>
      </c>
      <c r="L47" s="81" t="s">
        <v>129</v>
      </c>
      <c r="M47" s="164">
        <v>23.1</v>
      </c>
      <c r="N47" s="165"/>
      <c r="O47" s="163"/>
      <c r="P47" s="82">
        <v>85.01</v>
      </c>
      <c r="Q47" s="164">
        <v>0</v>
      </c>
      <c r="R47" s="163"/>
      <c r="S47" s="81" t="s">
        <v>346</v>
      </c>
      <c r="T47" s="82">
        <v>63</v>
      </c>
      <c r="U47" s="82">
        <v>0</v>
      </c>
      <c r="V47" s="82">
        <v>0</v>
      </c>
      <c r="W47" s="82">
        <v>0</v>
      </c>
      <c r="X47" s="81" t="s">
        <v>141</v>
      </c>
      <c r="Y47" s="82">
        <v>4</v>
      </c>
      <c r="Z47" s="81" t="s">
        <v>146</v>
      </c>
      <c r="AA47" s="81" t="s">
        <v>58</v>
      </c>
      <c r="AB47" s="81" t="s">
        <v>58</v>
      </c>
      <c r="AC47" s="83">
        <v>46091</v>
      </c>
    </row>
    <row r="48" spans="2:29" ht="23" x14ac:dyDescent="0.35">
      <c r="B48" s="81" t="s">
        <v>338</v>
      </c>
      <c r="C48" s="81" t="s">
        <v>339</v>
      </c>
      <c r="D48" s="81" t="s">
        <v>340</v>
      </c>
      <c r="E48" s="81" t="s">
        <v>363</v>
      </c>
      <c r="F48" s="162" t="s">
        <v>364</v>
      </c>
      <c r="G48" s="163"/>
      <c r="H48" s="81" t="s">
        <v>365</v>
      </c>
      <c r="I48" s="81" t="s">
        <v>344</v>
      </c>
      <c r="J48" s="81" t="s">
        <v>11</v>
      </c>
      <c r="K48" s="81" t="s">
        <v>397</v>
      </c>
      <c r="L48" s="81" t="s">
        <v>129</v>
      </c>
      <c r="M48" s="164">
        <v>28.4</v>
      </c>
      <c r="N48" s="165"/>
      <c r="O48" s="163"/>
      <c r="P48" s="82">
        <v>104.51</v>
      </c>
      <c r="Q48" s="164">
        <v>0</v>
      </c>
      <c r="R48" s="163"/>
      <c r="S48" s="81" t="s">
        <v>346</v>
      </c>
      <c r="T48" s="82">
        <v>63</v>
      </c>
      <c r="U48" s="82">
        <v>0</v>
      </c>
      <c r="V48" s="82">
        <v>0</v>
      </c>
      <c r="W48" s="82">
        <v>0</v>
      </c>
      <c r="X48" s="81" t="s">
        <v>139</v>
      </c>
      <c r="Y48" s="82">
        <v>4</v>
      </c>
      <c r="Z48" s="81" t="s">
        <v>146</v>
      </c>
      <c r="AA48" s="81" t="s">
        <v>58</v>
      </c>
      <c r="AB48" s="81" t="s">
        <v>58</v>
      </c>
      <c r="AC48" s="83">
        <v>46091</v>
      </c>
    </row>
    <row r="49" spans="2:29" ht="23" x14ac:dyDescent="0.35">
      <c r="B49" s="81" t="s">
        <v>338</v>
      </c>
      <c r="C49" s="81" t="s">
        <v>339</v>
      </c>
      <c r="D49" s="81" t="s">
        <v>340</v>
      </c>
      <c r="E49" s="81" t="s">
        <v>363</v>
      </c>
      <c r="F49" s="162" t="s">
        <v>364</v>
      </c>
      <c r="G49" s="163"/>
      <c r="H49" s="81" t="s">
        <v>365</v>
      </c>
      <c r="I49" s="81" t="s">
        <v>344</v>
      </c>
      <c r="J49" s="81" t="s">
        <v>11</v>
      </c>
      <c r="K49" s="81" t="s">
        <v>398</v>
      </c>
      <c r="L49" s="81" t="s">
        <v>129</v>
      </c>
      <c r="M49" s="164">
        <v>23</v>
      </c>
      <c r="N49" s="165"/>
      <c r="O49" s="163"/>
      <c r="P49" s="82">
        <v>84.64</v>
      </c>
      <c r="Q49" s="164">
        <v>0</v>
      </c>
      <c r="R49" s="163"/>
      <c r="S49" s="81" t="s">
        <v>346</v>
      </c>
      <c r="T49" s="82">
        <v>63</v>
      </c>
      <c r="U49" s="82">
        <v>0</v>
      </c>
      <c r="V49" s="82">
        <v>0</v>
      </c>
      <c r="W49" s="82">
        <v>0</v>
      </c>
      <c r="X49" s="81"/>
      <c r="Y49" s="81"/>
      <c r="Z49" s="81" t="s">
        <v>146</v>
      </c>
      <c r="AA49" s="81" t="s">
        <v>58</v>
      </c>
      <c r="AB49" s="81" t="s">
        <v>58</v>
      </c>
      <c r="AC49" s="83">
        <v>46091</v>
      </c>
    </row>
    <row r="50" spans="2:29" ht="23" x14ac:dyDescent="0.35">
      <c r="B50" s="81" t="s">
        <v>338</v>
      </c>
      <c r="C50" s="81" t="s">
        <v>339</v>
      </c>
      <c r="D50" s="81" t="s">
        <v>340</v>
      </c>
      <c r="E50" s="81" t="s">
        <v>363</v>
      </c>
      <c r="F50" s="162" t="s">
        <v>364</v>
      </c>
      <c r="G50" s="163"/>
      <c r="H50" s="81" t="s">
        <v>365</v>
      </c>
      <c r="I50" s="81" t="s">
        <v>344</v>
      </c>
      <c r="J50" s="81" t="s">
        <v>11</v>
      </c>
      <c r="K50" s="81" t="s">
        <v>399</v>
      </c>
      <c r="L50" s="81" t="s">
        <v>129</v>
      </c>
      <c r="M50" s="164">
        <v>23</v>
      </c>
      <c r="N50" s="165"/>
      <c r="O50" s="163"/>
      <c r="P50" s="82">
        <v>84.64</v>
      </c>
      <c r="Q50" s="164">
        <v>0</v>
      </c>
      <c r="R50" s="163"/>
      <c r="S50" s="81" t="s">
        <v>346</v>
      </c>
      <c r="T50" s="82">
        <v>63</v>
      </c>
      <c r="U50" s="82">
        <v>0</v>
      </c>
      <c r="V50" s="82">
        <v>0</v>
      </c>
      <c r="W50" s="82">
        <v>0</v>
      </c>
      <c r="X50" s="81"/>
      <c r="Y50" s="81"/>
      <c r="Z50" s="81" t="s">
        <v>146</v>
      </c>
      <c r="AA50" s="81" t="s">
        <v>58</v>
      </c>
      <c r="AB50" s="81" t="s">
        <v>58</v>
      </c>
      <c r="AC50" s="83">
        <v>46091</v>
      </c>
    </row>
    <row r="51" spans="2:29" ht="23" x14ac:dyDescent="0.35">
      <c r="B51" s="81" t="s">
        <v>338</v>
      </c>
      <c r="C51" s="81" t="s">
        <v>339</v>
      </c>
      <c r="D51" s="81" t="s">
        <v>340</v>
      </c>
      <c r="E51" s="81" t="s">
        <v>363</v>
      </c>
      <c r="F51" s="162" t="s">
        <v>364</v>
      </c>
      <c r="G51" s="163"/>
      <c r="H51" s="81" t="s">
        <v>365</v>
      </c>
      <c r="I51" s="81" t="s">
        <v>344</v>
      </c>
      <c r="J51" s="81" t="s">
        <v>11</v>
      </c>
      <c r="K51" s="81" t="s">
        <v>400</v>
      </c>
      <c r="L51" s="81" t="s">
        <v>129</v>
      </c>
      <c r="M51" s="164">
        <v>23</v>
      </c>
      <c r="N51" s="165"/>
      <c r="O51" s="163"/>
      <c r="P51" s="82">
        <v>84.64</v>
      </c>
      <c r="Q51" s="164">
        <v>0</v>
      </c>
      <c r="R51" s="163"/>
      <c r="S51" s="81" t="s">
        <v>346</v>
      </c>
      <c r="T51" s="82">
        <v>63</v>
      </c>
      <c r="U51" s="82">
        <v>0</v>
      </c>
      <c r="V51" s="82">
        <v>0</v>
      </c>
      <c r="W51" s="82">
        <v>0</v>
      </c>
      <c r="X51" s="81"/>
      <c r="Y51" s="81"/>
      <c r="Z51" s="81" t="s">
        <v>146</v>
      </c>
      <c r="AA51" s="81" t="s">
        <v>58</v>
      </c>
      <c r="AB51" s="81" t="s">
        <v>58</v>
      </c>
      <c r="AC51" s="83">
        <v>46091</v>
      </c>
    </row>
    <row r="52" spans="2:29" ht="23" x14ac:dyDescent="0.35">
      <c r="B52" s="81" t="s">
        <v>338</v>
      </c>
      <c r="C52" s="81" t="s">
        <v>339</v>
      </c>
      <c r="D52" s="81" t="s">
        <v>340</v>
      </c>
      <c r="E52" s="81" t="s">
        <v>363</v>
      </c>
      <c r="F52" s="162" t="s">
        <v>364</v>
      </c>
      <c r="G52" s="163"/>
      <c r="H52" s="81" t="s">
        <v>365</v>
      </c>
      <c r="I52" s="81" t="s">
        <v>344</v>
      </c>
      <c r="J52" s="81" t="s">
        <v>11</v>
      </c>
      <c r="K52" s="81" t="s">
        <v>401</v>
      </c>
      <c r="L52" s="81" t="s">
        <v>129</v>
      </c>
      <c r="M52" s="164">
        <v>23.1</v>
      </c>
      <c r="N52" s="165"/>
      <c r="O52" s="163"/>
      <c r="P52" s="82">
        <v>85.01</v>
      </c>
      <c r="Q52" s="164">
        <v>0</v>
      </c>
      <c r="R52" s="163"/>
      <c r="S52" s="81" t="s">
        <v>346</v>
      </c>
      <c r="T52" s="82">
        <v>63</v>
      </c>
      <c r="U52" s="82">
        <v>0</v>
      </c>
      <c r="V52" s="82">
        <v>0</v>
      </c>
      <c r="W52" s="82">
        <v>0</v>
      </c>
      <c r="X52" s="81"/>
      <c r="Y52" s="81"/>
      <c r="Z52" s="81" t="s">
        <v>146</v>
      </c>
      <c r="AA52" s="81" t="s">
        <v>58</v>
      </c>
      <c r="AB52" s="81" t="s">
        <v>58</v>
      </c>
      <c r="AC52" s="83">
        <v>46091</v>
      </c>
    </row>
    <row r="53" spans="2:29" ht="23" x14ac:dyDescent="0.35">
      <c r="B53" s="81" t="s">
        <v>338</v>
      </c>
      <c r="C53" s="81" t="s">
        <v>339</v>
      </c>
      <c r="D53" s="81" t="s">
        <v>340</v>
      </c>
      <c r="E53" s="81" t="s">
        <v>363</v>
      </c>
      <c r="F53" s="162" t="s">
        <v>364</v>
      </c>
      <c r="G53" s="163"/>
      <c r="H53" s="81" t="s">
        <v>365</v>
      </c>
      <c r="I53" s="81" t="s">
        <v>344</v>
      </c>
      <c r="J53" s="81" t="s">
        <v>11</v>
      </c>
      <c r="K53" s="81" t="s">
        <v>402</v>
      </c>
      <c r="L53" s="81" t="s">
        <v>129</v>
      </c>
      <c r="M53" s="164">
        <v>23.1</v>
      </c>
      <c r="N53" s="165"/>
      <c r="O53" s="163"/>
      <c r="P53" s="82">
        <v>85.01</v>
      </c>
      <c r="Q53" s="164">
        <v>0</v>
      </c>
      <c r="R53" s="163"/>
      <c r="S53" s="81" t="s">
        <v>346</v>
      </c>
      <c r="T53" s="82">
        <v>63</v>
      </c>
      <c r="U53" s="82">
        <v>0</v>
      </c>
      <c r="V53" s="82">
        <v>0</v>
      </c>
      <c r="W53" s="82">
        <v>0</v>
      </c>
      <c r="X53" s="81"/>
      <c r="Y53" s="81"/>
      <c r="Z53" s="81" t="s">
        <v>146</v>
      </c>
      <c r="AA53" s="81" t="s">
        <v>58</v>
      </c>
      <c r="AB53" s="81" t="s">
        <v>58</v>
      </c>
      <c r="AC53" s="83">
        <v>46091</v>
      </c>
    </row>
    <row r="54" spans="2:29" ht="23" x14ac:dyDescent="0.35">
      <c r="B54" s="81" t="s">
        <v>338</v>
      </c>
      <c r="C54" s="81" t="s">
        <v>339</v>
      </c>
      <c r="D54" s="81" t="s">
        <v>340</v>
      </c>
      <c r="E54" s="81" t="s">
        <v>363</v>
      </c>
      <c r="F54" s="162" t="s">
        <v>364</v>
      </c>
      <c r="G54" s="163"/>
      <c r="H54" s="81" t="s">
        <v>365</v>
      </c>
      <c r="I54" s="81" t="s">
        <v>344</v>
      </c>
      <c r="J54" s="81" t="s">
        <v>11</v>
      </c>
      <c r="K54" s="81" t="s">
        <v>403</v>
      </c>
      <c r="L54" s="81" t="s">
        <v>129</v>
      </c>
      <c r="M54" s="164">
        <v>18.3</v>
      </c>
      <c r="N54" s="165"/>
      <c r="O54" s="163"/>
      <c r="P54" s="82">
        <v>67.34</v>
      </c>
      <c r="Q54" s="164">
        <v>0</v>
      </c>
      <c r="R54" s="163"/>
      <c r="S54" s="81" t="s">
        <v>346</v>
      </c>
      <c r="T54" s="82">
        <v>63</v>
      </c>
      <c r="U54" s="82">
        <v>0</v>
      </c>
      <c r="V54" s="82">
        <v>0</v>
      </c>
      <c r="W54" s="82">
        <v>0</v>
      </c>
      <c r="X54" s="81"/>
      <c r="Y54" s="81"/>
      <c r="Z54" s="81" t="s">
        <v>146</v>
      </c>
      <c r="AA54" s="81" t="s">
        <v>58</v>
      </c>
      <c r="AB54" s="81" t="s">
        <v>58</v>
      </c>
      <c r="AC54" s="83">
        <v>46091</v>
      </c>
    </row>
    <row r="55" spans="2:29" ht="23" x14ac:dyDescent="0.35">
      <c r="B55" s="81" t="s">
        <v>338</v>
      </c>
      <c r="C55" s="81" t="s">
        <v>339</v>
      </c>
      <c r="D55" s="81" t="s">
        <v>340</v>
      </c>
      <c r="E55" s="81" t="s">
        <v>363</v>
      </c>
      <c r="F55" s="162" t="s">
        <v>364</v>
      </c>
      <c r="G55" s="163"/>
      <c r="H55" s="81" t="s">
        <v>365</v>
      </c>
      <c r="I55" s="81" t="s">
        <v>344</v>
      </c>
      <c r="J55" s="81" t="s">
        <v>11</v>
      </c>
      <c r="K55" s="81" t="s">
        <v>404</v>
      </c>
      <c r="L55" s="81" t="s">
        <v>129</v>
      </c>
      <c r="M55" s="164">
        <v>27.8</v>
      </c>
      <c r="N55" s="165"/>
      <c r="O55" s="163"/>
      <c r="P55" s="82">
        <v>102.3</v>
      </c>
      <c r="Q55" s="164">
        <v>0</v>
      </c>
      <c r="R55" s="163"/>
      <c r="S55" s="81" t="s">
        <v>346</v>
      </c>
      <c r="T55" s="82">
        <v>63</v>
      </c>
      <c r="U55" s="82">
        <v>0</v>
      </c>
      <c r="V55" s="82">
        <v>0</v>
      </c>
      <c r="W55" s="82">
        <v>0</v>
      </c>
      <c r="X55" s="81"/>
      <c r="Y55" s="81"/>
      <c r="Z55" s="81" t="s">
        <v>146</v>
      </c>
      <c r="AA55" s="81" t="s">
        <v>58</v>
      </c>
      <c r="AB55" s="81" t="s">
        <v>58</v>
      </c>
      <c r="AC55" s="83">
        <v>46091</v>
      </c>
    </row>
    <row r="56" spans="2:29" ht="23" x14ac:dyDescent="0.35">
      <c r="B56" s="81" t="s">
        <v>338</v>
      </c>
      <c r="C56" s="81" t="s">
        <v>339</v>
      </c>
      <c r="D56" s="81" t="s">
        <v>340</v>
      </c>
      <c r="E56" s="81" t="s">
        <v>363</v>
      </c>
      <c r="F56" s="162" t="s">
        <v>364</v>
      </c>
      <c r="G56" s="163"/>
      <c r="H56" s="81" t="s">
        <v>365</v>
      </c>
      <c r="I56" s="81" t="s">
        <v>344</v>
      </c>
      <c r="J56" s="81" t="s">
        <v>11</v>
      </c>
      <c r="K56" s="81" t="s">
        <v>405</v>
      </c>
      <c r="L56" s="81" t="s">
        <v>129</v>
      </c>
      <c r="M56" s="164">
        <v>23.4</v>
      </c>
      <c r="N56" s="165"/>
      <c r="O56" s="163"/>
      <c r="P56" s="82">
        <v>86.11</v>
      </c>
      <c r="Q56" s="164">
        <v>0</v>
      </c>
      <c r="R56" s="163"/>
      <c r="S56" s="81" t="s">
        <v>346</v>
      </c>
      <c r="T56" s="82">
        <v>63</v>
      </c>
      <c r="U56" s="82">
        <v>0</v>
      </c>
      <c r="V56" s="82">
        <v>0</v>
      </c>
      <c r="W56" s="82">
        <v>0</v>
      </c>
      <c r="X56" s="81"/>
      <c r="Y56" s="81"/>
      <c r="Z56" s="81" t="s">
        <v>146</v>
      </c>
      <c r="AA56" s="81" t="s">
        <v>58</v>
      </c>
      <c r="AB56" s="81" t="s">
        <v>58</v>
      </c>
      <c r="AC56" s="83">
        <v>46091</v>
      </c>
    </row>
    <row r="57" spans="2:29" ht="23" x14ac:dyDescent="0.35">
      <c r="B57" s="81" t="s">
        <v>338</v>
      </c>
      <c r="C57" s="81" t="s">
        <v>339</v>
      </c>
      <c r="D57" s="81" t="s">
        <v>340</v>
      </c>
      <c r="E57" s="81" t="s">
        <v>406</v>
      </c>
      <c r="F57" s="162" t="s">
        <v>407</v>
      </c>
      <c r="G57" s="163"/>
      <c r="H57" s="81" t="s">
        <v>408</v>
      </c>
      <c r="I57" s="81" t="s">
        <v>344</v>
      </c>
      <c r="J57" s="81" t="s">
        <v>11</v>
      </c>
      <c r="K57" s="81" t="s">
        <v>409</v>
      </c>
      <c r="L57" s="81" t="s">
        <v>129</v>
      </c>
      <c r="M57" s="164">
        <v>11</v>
      </c>
      <c r="N57" s="165"/>
      <c r="O57" s="163"/>
      <c r="P57" s="82">
        <v>37.29</v>
      </c>
      <c r="Q57" s="164">
        <v>0</v>
      </c>
      <c r="R57" s="163"/>
      <c r="S57" s="81" t="s">
        <v>346</v>
      </c>
      <c r="T57" s="82">
        <v>64</v>
      </c>
      <c r="U57" s="82">
        <v>0</v>
      </c>
      <c r="V57" s="82">
        <v>0</v>
      </c>
      <c r="W57" s="82">
        <v>0</v>
      </c>
      <c r="X57" s="81"/>
      <c r="Y57" s="81"/>
      <c r="Z57" s="81" t="s">
        <v>138</v>
      </c>
      <c r="AA57" s="81" t="s">
        <v>410</v>
      </c>
      <c r="AB57" s="81" t="s">
        <v>411</v>
      </c>
      <c r="AC57" s="83">
        <v>46092</v>
      </c>
    </row>
    <row r="58" spans="2:29" ht="23" x14ac:dyDescent="0.35">
      <c r="B58" s="81" t="s">
        <v>338</v>
      </c>
      <c r="C58" s="81" t="s">
        <v>339</v>
      </c>
      <c r="D58" s="81" t="s">
        <v>340</v>
      </c>
      <c r="E58" s="81" t="s">
        <v>406</v>
      </c>
      <c r="F58" s="162" t="s">
        <v>407</v>
      </c>
      <c r="G58" s="163"/>
      <c r="H58" s="81" t="s">
        <v>408</v>
      </c>
      <c r="I58" s="81" t="s">
        <v>344</v>
      </c>
      <c r="J58" s="81" t="s">
        <v>11</v>
      </c>
      <c r="K58" s="81" t="s">
        <v>412</v>
      </c>
      <c r="L58" s="81" t="s">
        <v>129</v>
      </c>
      <c r="M58" s="164">
        <v>24.1</v>
      </c>
      <c r="N58" s="165"/>
      <c r="O58" s="163"/>
      <c r="P58" s="82">
        <v>81.7</v>
      </c>
      <c r="Q58" s="164">
        <v>0</v>
      </c>
      <c r="R58" s="163"/>
      <c r="S58" s="81" t="s">
        <v>346</v>
      </c>
      <c r="T58" s="82">
        <v>64</v>
      </c>
      <c r="U58" s="82">
        <v>0</v>
      </c>
      <c r="V58" s="82">
        <v>0</v>
      </c>
      <c r="W58" s="82">
        <v>0</v>
      </c>
      <c r="X58" s="81"/>
      <c r="Y58" s="81"/>
      <c r="Z58" s="81" t="s">
        <v>138</v>
      </c>
      <c r="AA58" s="81" t="s">
        <v>410</v>
      </c>
      <c r="AB58" s="81" t="s">
        <v>411</v>
      </c>
      <c r="AC58" s="83">
        <v>46092</v>
      </c>
    </row>
    <row r="59" spans="2:29" ht="23" x14ac:dyDescent="0.35">
      <c r="B59" s="81" t="s">
        <v>338</v>
      </c>
      <c r="C59" s="81" t="s">
        <v>339</v>
      </c>
      <c r="D59" s="81" t="s">
        <v>340</v>
      </c>
      <c r="E59" s="81" t="s">
        <v>406</v>
      </c>
      <c r="F59" s="162" t="s">
        <v>407</v>
      </c>
      <c r="G59" s="163"/>
      <c r="H59" s="81" t="s">
        <v>408</v>
      </c>
      <c r="I59" s="81" t="s">
        <v>344</v>
      </c>
      <c r="J59" s="81" t="s">
        <v>11</v>
      </c>
      <c r="K59" s="81" t="s">
        <v>413</v>
      </c>
      <c r="L59" s="81" t="s">
        <v>129</v>
      </c>
      <c r="M59" s="164">
        <v>24</v>
      </c>
      <c r="N59" s="165"/>
      <c r="O59" s="163"/>
      <c r="P59" s="82">
        <v>81.36</v>
      </c>
      <c r="Q59" s="164">
        <v>0</v>
      </c>
      <c r="R59" s="163"/>
      <c r="S59" s="81" t="s">
        <v>346</v>
      </c>
      <c r="T59" s="82">
        <v>64</v>
      </c>
      <c r="U59" s="82">
        <v>0</v>
      </c>
      <c r="V59" s="82">
        <v>0</v>
      </c>
      <c r="W59" s="82">
        <v>0</v>
      </c>
      <c r="X59" s="81"/>
      <c r="Y59" s="81"/>
      <c r="Z59" s="81" t="s">
        <v>138</v>
      </c>
      <c r="AA59" s="81" t="s">
        <v>410</v>
      </c>
      <c r="AB59" s="81" t="s">
        <v>411</v>
      </c>
      <c r="AC59" s="83">
        <v>46092</v>
      </c>
    </row>
    <row r="60" spans="2:29" ht="23" x14ac:dyDescent="0.35">
      <c r="B60" s="81" t="s">
        <v>338</v>
      </c>
      <c r="C60" s="81" t="s">
        <v>339</v>
      </c>
      <c r="D60" s="81" t="s">
        <v>340</v>
      </c>
      <c r="E60" s="81" t="s">
        <v>406</v>
      </c>
      <c r="F60" s="162" t="s">
        <v>407</v>
      </c>
      <c r="G60" s="163"/>
      <c r="H60" s="81" t="s">
        <v>408</v>
      </c>
      <c r="I60" s="81" t="s">
        <v>344</v>
      </c>
      <c r="J60" s="81" t="s">
        <v>11</v>
      </c>
      <c r="K60" s="81" t="s">
        <v>414</v>
      </c>
      <c r="L60" s="81" t="s">
        <v>129</v>
      </c>
      <c r="M60" s="164">
        <v>23.5</v>
      </c>
      <c r="N60" s="165"/>
      <c r="O60" s="163"/>
      <c r="P60" s="82">
        <v>79.66</v>
      </c>
      <c r="Q60" s="164">
        <v>0</v>
      </c>
      <c r="R60" s="163"/>
      <c r="S60" s="81" t="s">
        <v>346</v>
      </c>
      <c r="T60" s="82">
        <v>64</v>
      </c>
      <c r="U60" s="82">
        <v>0</v>
      </c>
      <c r="V60" s="82">
        <v>0</v>
      </c>
      <c r="W60" s="82">
        <v>0</v>
      </c>
      <c r="X60" s="81" t="s">
        <v>132</v>
      </c>
      <c r="Y60" s="82">
        <v>20</v>
      </c>
      <c r="Z60" s="81" t="s">
        <v>138</v>
      </c>
      <c r="AA60" s="81" t="s">
        <v>410</v>
      </c>
      <c r="AB60" s="81" t="s">
        <v>411</v>
      </c>
      <c r="AC60" s="83">
        <v>46092</v>
      </c>
    </row>
    <row r="61" spans="2:29" ht="23" x14ac:dyDescent="0.35">
      <c r="B61" s="81" t="s">
        <v>338</v>
      </c>
      <c r="C61" s="81" t="s">
        <v>339</v>
      </c>
      <c r="D61" s="81" t="s">
        <v>340</v>
      </c>
      <c r="E61" s="81" t="s">
        <v>406</v>
      </c>
      <c r="F61" s="162" t="s">
        <v>407</v>
      </c>
      <c r="G61" s="163"/>
      <c r="H61" s="81" t="s">
        <v>408</v>
      </c>
      <c r="I61" s="81" t="s">
        <v>344</v>
      </c>
      <c r="J61" s="81" t="s">
        <v>11</v>
      </c>
      <c r="K61" s="81" t="s">
        <v>415</v>
      </c>
      <c r="L61" s="81" t="s">
        <v>129</v>
      </c>
      <c r="M61" s="164">
        <v>13.2</v>
      </c>
      <c r="N61" s="165"/>
      <c r="O61" s="163"/>
      <c r="P61" s="82">
        <v>44.75</v>
      </c>
      <c r="Q61" s="164">
        <v>0</v>
      </c>
      <c r="R61" s="163"/>
      <c r="S61" s="81" t="s">
        <v>346</v>
      </c>
      <c r="T61" s="82">
        <v>64</v>
      </c>
      <c r="U61" s="82">
        <v>0</v>
      </c>
      <c r="V61" s="82">
        <v>0</v>
      </c>
      <c r="W61" s="82">
        <v>0</v>
      </c>
      <c r="X61" s="81" t="s">
        <v>132</v>
      </c>
      <c r="Y61" s="82">
        <v>8</v>
      </c>
      <c r="Z61" s="81" t="s">
        <v>138</v>
      </c>
      <c r="AA61" s="81" t="s">
        <v>410</v>
      </c>
      <c r="AB61" s="81" t="s">
        <v>411</v>
      </c>
      <c r="AC61" s="83">
        <v>46092</v>
      </c>
    </row>
    <row r="62" spans="2:29" ht="23" x14ac:dyDescent="0.35">
      <c r="B62" s="81" t="s">
        <v>338</v>
      </c>
      <c r="C62" s="81" t="s">
        <v>339</v>
      </c>
      <c r="D62" s="81" t="s">
        <v>340</v>
      </c>
      <c r="E62" s="81" t="s">
        <v>406</v>
      </c>
      <c r="F62" s="162" t="s">
        <v>407</v>
      </c>
      <c r="G62" s="163"/>
      <c r="H62" s="81" t="s">
        <v>408</v>
      </c>
      <c r="I62" s="81" t="s">
        <v>344</v>
      </c>
      <c r="J62" s="81" t="s">
        <v>11</v>
      </c>
      <c r="K62" s="81" t="s">
        <v>416</v>
      </c>
      <c r="L62" s="81" t="s">
        <v>129</v>
      </c>
      <c r="M62" s="164">
        <v>14.5</v>
      </c>
      <c r="N62" s="165"/>
      <c r="O62" s="163"/>
      <c r="P62" s="82">
        <v>49.15</v>
      </c>
      <c r="Q62" s="164">
        <v>0</v>
      </c>
      <c r="R62" s="163"/>
      <c r="S62" s="81" t="s">
        <v>346</v>
      </c>
      <c r="T62" s="82">
        <v>64</v>
      </c>
      <c r="U62" s="82">
        <v>0</v>
      </c>
      <c r="V62" s="82">
        <v>0</v>
      </c>
      <c r="W62" s="82">
        <v>0</v>
      </c>
      <c r="X62" s="81" t="s">
        <v>132</v>
      </c>
      <c r="Y62" s="82">
        <v>12</v>
      </c>
      <c r="Z62" s="81" t="s">
        <v>138</v>
      </c>
      <c r="AA62" s="81" t="s">
        <v>410</v>
      </c>
      <c r="AB62" s="81" t="s">
        <v>411</v>
      </c>
      <c r="AC62" s="83">
        <v>46092</v>
      </c>
    </row>
    <row r="63" spans="2:29" ht="23" x14ac:dyDescent="0.35">
      <c r="B63" s="81" t="s">
        <v>338</v>
      </c>
      <c r="C63" s="81" t="s">
        <v>339</v>
      </c>
      <c r="D63" s="81" t="s">
        <v>340</v>
      </c>
      <c r="E63" s="81" t="s">
        <v>406</v>
      </c>
      <c r="F63" s="162" t="s">
        <v>407</v>
      </c>
      <c r="G63" s="163"/>
      <c r="H63" s="81" t="s">
        <v>408</v>
      </c>
      <c r="I63" s="81" t="s">
        <v>344</v>
      </c>
      <c r="J63" s="81" t="s">
        <v>11</v>
      </c>
      <c r="K63" s="81" t="s">
        <v>417</v>
      </c>
      <c r="L63" s="81" t="s">
        <v>129</v>
      </c>
      <c r="M63" s="164">
        <v>23.5</v>
      </c>
      <c r="N63" s="165"/>
      <c r="O63" s="163"/>
      <c r="P63" s="82">
        <v>79.66</v>
      </c>
      <c r="Q63" s="164">
        <v>0</v>
      </c>
      <c r="R63" s="163"/>
      <c r="S63" s="81" t="s">
        <v>346</v>
      </c>
      <c r="T63" s="82">
        <v>64</v>
      </c>
      <c r="U63" s="82">
        <v>0</v>
      </c>
      <c r="V63" s="82">
        <v>0</v>
      </c>
      <c r="W63" s="82">
        <v>0</v>
      </c>
      <c r="X63" s="81"/>
      <c r="Y63" s="81"/>
      <c r="Z63" s="81" t="s">
        <v>138</v>
      </c>
      <c r="AA63" s="81" t="s">
        <v>410</v>
      </c>
      <c r="AB63" s="81" t="s">
        <v>411</v>
      </c>
      <c r="AC63" s="83">
        <v>46092</v>
      </c>
    </row>
    <row r="64" spans="2:29" ht="23" x14ac:dyDescent="0.35">
      <c r="B64" s="81" t="s">
        <v>338</v>
      </c>
      <c r="C64" s="81" t="s">
        <v>339</v>
      </c>
      <c r="D64" s="81" t="s">
        <v>340</v>
      </c>
      <c r="E64" s="81" t="s">
        <v>406</v>
      </c>
      <c r="F64" s="162" t="s">
        <v>407</v>
      </c>
      <c r="G64" s="163"/>
      <c r="H64" s="81" t="s">
        <v>408</v>
      </c>
      <c r="I64" s="81" t="s">
        <v>344</v>
      </c>
      <c r="J64" s="81" t="s">
        <v>11</v>
      </c>
      <c r="K64" s="81" t="s">
        <v>418</v>
      </c>
      <c r="L64" s="81" t="s">
        <v>129</v>
      </c>
      <c r="M64" s="164">
        <v>23.5</v>
      </c>
      <c r="N64" s="165"/>
      <c r="O64" s="163"/>
      <c r="P64" s="82">
        <v>79.66</v>
      </c>
      <c r="Q64" s="164">
        <v>0</v>
      </c>
      <c r="R64" s="163"/>
      <c r="S64" s="81" t="s">
        <v>346</v>
      </c>
      <c r="T64" s="82">
        <v>64</v>
      </c>
      <c r="U64" s="82">
        <v>0</v>
      </c>
      <c r="V64" s="82">
        <v>0</v>
      </c>
      <c r="W64" s="82">
        <v>0</v>
      </c>
      <c r="X64" s="81" t="s">
        <v>132</v>
      </c>
      <c r="Y64" s="82">
        <v>4</v>
      </c>
      <c r="Z64" s="81" t="s">
        <v>138</v>
      </c>
      <c r="AA64" s="81" t="s">
        <v>410</v>
      </c>
      <c r="AB64" s="81" t="s">
        <v>411</v>
      </c>
      <c r="AC64" s="83">
        <v>46092</v>
      </c>
    </row>
    <row r="65" spans="2:29" ht="23" x14ac:dyDescent="0.35">
      <c r="B65" s="81" t="s">
        <v>338</v>
      </c>
      <c r="C65" s="81" t="s">
        <v>339</v>
      </c>
      <c r="D65" s="81" t="s">
        <v>340</v>
      </c>
      <c r="E65" s="81" t="s">
        <v>406</v>
      </c>
      <c r="F65" s="162" t="s">
        <v>407</v>
      </c>
      <c r="G65" s="163"/>
      <c r="H65" s="81" t="s">
        <v>408</v>
      </c>
      <c r="I65" s="81" t="s">
        <v>344</v>
      </c>
      <c r="J65" s="81" t="s">
        <v>11</v>
      </c>
      <c r="K65" s="81" t="s">
        <v>419</v>
      </c>
      <c r="L65" s="81" t="s">
        <v>129</v>
      </c>
      <c r="M65" s="164">
        <v>23.3</v>
      </c>
      <c r="N65" s="165"/>
      <c r="O65" s="163"/>
      <c r="P65" s="82">
        <v>78.989999999999995</v>
      </c>
      <c r="Q65" s="164">
        <v>0</v>
      </c>
      <c r="R65" s="163"/>
      <c r="S65" s="81" t="s">
        <v>346</v>
      </c>
      <c r="T65" s="82">
        <v>64</v>
      </c>
      <c r="U65" s="82">
        <v>0</v>
      </c>
      <c r="V65" s="82">
        <v>0</v>
      </c>
      <c r="W65" s="82">
        <v>0</v>
      </c>
      <c r="X65" s="81" t="s">
        <v>132</v>
      </c>
      <c r="Y65" s="82">
        <v>4</v>
      </c>
      <c r="Z65" s="81" t="s">
        <v>138</v>
      </c>
      <c r="AA65" s="81" t="s">
        <v>410</v>
      </c>
      <c r="AB65" s="81" t="s">
        <v>411</v>
      </c>
      <c r="AC65" s="83">
        <v>46092</v>
      </c>
    </row>
    <row r="66" spans="2:29" ht="23" x14ac:dyDescent="0.35">
      <c r="B66" s="81" t="s">
        <v>338</v>
      </c>
      <c r="C66" s="81" t="s">
        <v>339</v>
      </c>
      <c r="D66" s="81" t="s">
        <v>340</v>
      </c>
      <c r="E66" s="81" t="s">
        <v>406</v>
      </c>
      <c r="F66" s="162" t="s">
        <v>407</v>
      </c>
      <c r="G66" s="163"/>
      <c r="H66" s="81" t="s">
        <v>408</v>
      </c>
      <c r="I66" s="81" t="s">
        <v>344</v>
      </c>
      <c r="J66" s="81" t="s">
        <v>11</v>
      </c>
      <c r="K66" s="81" t="s">
        <v>420</v>
      </c>
      <c r="L66" s="81" t="s">
        <v>129</v>
      </c>
      <c r="M66" s="164">
        <v>23.6</v>
      </c>
      <c r="N66" s="165"/>
      <c r="O66" s="163"/>
      <c r="P66" s="82">
        <v>80</v>
      </c>
      <c r="Q66" s="164">
        <v>0</v>
      </c>
      <c r="R66" s="163"/>
      <c r="S66" s="81" t="s">
        <v>346</v>
      </c>
      <c r="T66" s="82">
        <v>64</v>
      </c>
      <c r="U66" s="82">
        <v>0</v>
      </c>
      <c r="V66" s="82">
        <v>0</v>
      </c>
      <c r="W66" s="82">
        <v>0</v>
      </c>
      <c r="X66" s="81" t="s">
        <v>132</v>
      </c>
      <c r="Y66" s="82">
        <v>4</v>
      </c>
      <c r="Z66" s="81" t="s">
        <v>138</v>
      </c>
      <c r="AA66" s="81" t="s">
        <v>410</v>
      </c>
      <c r="AB66" s="81" t="s">
        <v>411</v>
      </c>
      <c r="AC66" s="83">
        <v>46092</v>
      </c>
    </row>
    <row r="67" spans="2:29" ht="23" x14ac:dyDescent="0.35">
      <c r="B67" s="81" t="s">
        <v>338</v>
      </c>
      <c r="C67" s="81" t="s">
        <v>339</v>
      </c>
      <c r="D67" s="81" t="s">
        <v>340</v>
      </c>
      <c r="E67" s="81" t="s">
        <v>406</v>
      </c>
      <c r="F67" s="162" t="s">
        <v>407</v>
      </c>
      <c r="G67" s="163"/>
      <c r="H67" s="81" t="s">
        <v>408</v>
      </c>
      <c r="I67" s="81" t="s">
        <v>344</v>
      </c>
      <c r="J67" s="81" t="s">
        <v>11</v>
      </c>
      <c r="K67" s="81" t="s">
        <v>421</v>
      </c>
      <c r="L67" s="81" t="s">
        <v>129</v>
      </c>
      <c r="M67" s="164">
        <v>23.6</v>
      </c>
      <c r="N67" s="165"/>
      <c r="O67" s="163"/>
      <c r="P67" s="82">
        <v>80</v>
      </c>
      <c r="Q67" s="164">
        <v>0</v>
      </c>
      <c r="R67" s="163"/>
      <c r="S67" s="81" t="s">
        <v>346</v>
      </c>
      <c r="T67" s="82">
        <v>64</v>
      </c>
      <c r="U67" s="82">
        <v>0</v>
      </c>
      <c r="V67" s="82">
        <v>0</v>
      </c>
      <c r="W67" s="82">
        <v>0</v>
      </c>
      <c r="X67" s="81" t="s">
        <v>132</v>
      </c>
      <c r="Y67" s="82">
        <v>4</v>
      </c>
      <c r="Z67" s="81" t="s">
        <v>138</v>
      </c>
      <c r="AA67" s="81" t="s">
        <v>410</v>
      </c>
      <c r="AB67" s="81" t="s">
        <v>411</v>
      </c>
      <c r="AC67" s="83">
        <v>46092</v>
      </c>
    </row>
    <row r="68" spans="2:29" ht="23" x14ac:dyDescent="0.35">
      <c r="B68" s="81" t="s">
        <v>338</v>
      </c>
      <c r="C68" s="81" t="s">
        <v>339</v>
      </c>
      <c r="D68" s="81" t="s">
        <v>340</v>
      </c>
      <c r="E68" s="81" t="s">
        <v>406</v>
      </c>
      <c r="F68" s="162" t="s">
        <v>407</v>
      </c>
      <c r="G68" s="163"/>
      <c r="H68" s="81" t="s">
        <v>408</v>
      </c>
      <c r="I68" s="81" t="s">
        <v>344</v>
      </c>
      <c r="J68" s="81" t="s">
        <v>11</v>
      </c>
      <c r="K68" s="81" t="s">
        <v>422</v>
      </c>
      <c r="L68" s="81" t="s">
        <v>129</v>
      </c>
      <c r="M68" s="164">
        <v>23.5</v>
      </c>
      <c r="N68" s="165"/>
      <c r="O68" s="163"/>
      <c r="P68" s="82">
        <v>79.66</v>
      </c>
      <c r="Q68" s="164">
        <v>0</v>
      </c>
      <c r="R68" s="163"/>
      <c r="S68" s="81" t="s">
        <v>346</v>
      </c>
      <c r="T68" s="82">
        <v>64</v>
      </c>
      <c r="U68" s="82">
        <v>0</v>
      </c>
      <c r="V68" s="82">
        <v>0</v>
      </c>
      <c r="W68" s="82">
        <v>0</v>
      </c>
      <c r="X68" s="81" t="s">
        <v>132</v>
      </c>
      <c r="Y68" s="82">
        <v>4</v>
      </c>
      <c r="Z68" s="81" t="s">
        <v>138</v>
      </c>
      <c r="AA68" s="81" t="s">
        <v>410</v>
      </c>
      <c r="AB68" s="81" t="s">
        <v>411</v>
      </c>
      <c r="AC68" s="83">
        <v>46092</v>
      </c>
    </row>
    <row r="69" spans="2:29" ht="23" x14ac:dyDescent="0.35">
      <c r="B69" s="81" t="s">
        <v>338</v>
      </c>
      <c r="C69" s="81" t="s">
        <v>339</v>
      </c>
      <c r="D69" s="81" t="s">
        <v>340</v>
      </c>
      <c r="E69" s="81" t="s">
        <v>406</v>
      </c>
      <c r="F69" s="162" t="s">
        <v>407</v>
      </c>
      <c r="G69" s="163"/>
      <c r="H69" s="81" t="s">
        <v>408</v>
      </c>
      <c r="I69" s="81" t="s">
        <v>344</v>
      </c>
      <c r="J69" s="81" t="s">
        <v>11</v>
      </c>
      <c r="K69" s="81" t="s">
        <v>423</v>
      </c>
      <c r="L69" s="81" t="s">
        <v>129</v>
      </c>
      <c r="M69" s="164">
        <v>20.7</v>
      </c>
      <c r="N69" s="165"/>
      <c r="O69" s="163"/>
      <c r="P69" s="82">
        <v>70.17</v>
      </c>
      <c r="Q69" s="164">
        <v>0</v>
      </c>
      <c r="R69" s="163"/>
      <c r="S69" s="81" t="s">
        <v>346</v>
      </c>
      <c r="T69" s="82">
        <v>64</v>
      </c>
      <c r="U69" s="82">
        <v>0</v>
      </c>
      <c r="V69" s="82">
        <v>0</v>
      </c>
      <c r="W69" s="82">
        <v>0</v>
      </c>
      <c r="X69" s="81" t="s">
        <v>132</v>
      </c>
      <c r="Y69" s="82">
        <v>12</v>
      </c>
      <c r="Z69" s="81" t="s">
        <v>138</v>
      </c>
      <c r="AA69" s="81" t="s">
        <v>410</v>
      </c>
      <c r="AB69" s="81" t="s">
        <v>411</v>
      </c>
      <c r="AC69" s="83">
        <v>46092</v>
      </c>
    </row>
    <row r="70" spans="2:29" ht="23" x14ac:dyDescent="0.35">
      <c r="B70" s="81" t="s">
        <v>338</v>
      </c>
      <c r="C70" s="81" t="s">
        <v>339</v>
      </c>
      <c r="D70" s="81" t="s">
        <v>340</v>
      </c>
      <c r="E70" s="81" t="s">
        <v>406</v>
      </c>
      <c r="F70" s="162" t="s">
        <v>407</v>
      </c>
      <c r="G70" s="163"/>
      <c r="H70" s="81" t="s">
        <v>408</v>
      </c>
      <c r="I70" s="81" t="s">
        <v>344</v>
      </c>
      <c r="J70" s="81" t="s">
        <v>11</v>
      </c>
      <c r="K70" s="81" t="s">
        <v>424</v>
      </c>
      <c r="L70" s="81" t="s">
        <v>129</v>
      </c>
      <c r="M70" s="164">
        <v>23.7</v>
      </c>
      <c r="N70" s="165"/>
      <c r="O70" s="163"/>
      <c r="P70" s="82">
        <v>80.34</v>
      </c>
      <c r="Q70" s="164">
        <v>0</v>
      </c>
      <c r="R70" s="163"/>
      <c r="S70" s="81" t="s">
        <v>346</v>
      </c>
      <c r="T70" s="82">
        <v>64</v>
      </c>
      <c r="U70" s="82">
        <v>0</v>
      </c>
      <c r="V70" s="82">
        <v>0</v>
      </c>
      <c r="W70" s="82">
        <v>0</v>
      </c>
      <c r="X70" s="81" t="s">
        <v>132</v>
      </c>
      <c r="Y70" s="82">
        <v>4</v>
      </c>
      <c r="Z70" s="81" t="s">
        <v>138</v>
      </c>
      <c r="AA70" s="81" t="s">
        <v>410</v>
      </c>
      <c r="AB70" s="81" t="s">
        <v>411</v>
      </c>
      <c r="AC70" s="83">
        <v>46092</v>
      </c>
    </row>
    <row r="71" spans="2:29" ht="23" x14ac:dyDescent="0.35">
      <c r="B71" s="81" t="s">
        <v>338</v>
      </c>
      <c r="C71" s="81" t="s">
        <v>339</v>
      </c>
      <c r="D71" s="81" t="s">
        <v>340</v>
      </c>
      <c r="E71" s="81" t="s">
        <v>406</v>
      </c>
      <c r="F71" s="162" t="s">
        <v>407</v>
      </c>
      <c r="G71" s="163"/>
      <c r="H71" s="81" t="s">
        <v>408</v>
      </c>
      <c r="I71" s="81" t="s">
        <v>344</v>
      </c>
      <c r="J71" s="81" t="s">
        <v>11</v>
      </c>
      <c r="K71" s="81" t="s">
        <v>425</v>
      </c>
      <c r="L71" s="81" t="s">
        <v>129</v>
      </c>
      <c r="M71" s="164">
        <v>23.9</v>
      </c>
      <c r="N71" s="165"/>
      <c r="O71" s="163"/>
      <c r="P71" s="82">
        <v>81.02</v>
      </c>
      <c r="Q71" s="164">
        <v>0</v>
      </c>
      <c r="R71" s="163"/>
      <c r="S71" s="81" t="s">
        <v>346</v>
      </c>
      <c r="T71" s="82">
        <v>64</v>
      </c>
      <c r="U71" s="82">
        <v>0</v>
      </c>
      <c r="V71" s="82">
        <v>0</v>
      </c>
      <c r="W71" s="82">
        <v>0</v>
      </c>
      <c r="X71" s="81"/>
      <c r="Y71" s="81"/>
      <c r="Z71" s="81" t="s">
        <v>138</v>
      </c>
      <c r="AA71" s="81" t="s">
        <v>410</v>
      </c>
      <c r="AB71" s="81" t="s">
        <v>411</v>
      </c>
      <c r="AC71" s="83">
        <v>46092</v>
      </c>
    </row>
    <row r="72" spans="2:29" ht="23" x14ac:dyDescent="0.35">
      <c r="B72" s="81" t="s">
        <v>338</v>
      </c>
      <c r="C72" s="81" t="s">
        <v>339</v>
      </c>
      <c r="D72" s="81" t="s">
        <v>340</v>
      </c>
      <c r="E72" s="81" t="s">
        <v>406</v>
      </c>
      <c r="F72" s="162" t="s">
        <v>407</v>
      </c>
      <c r="G72" s="163"/>
      <c r="H72" s="81" t="s">
        <v>408</v>
      </c>
      <c r="I72" s="81" t="s">
        <v>344</v>
      </c>
      <c r="J72" s="81" t="s">
        <v>11</v>
      </c>
      <c r="K72" s="81" t="s">
        <v>426</v>
      </c>
      <c r="L72" s="81" t="s">
        <v>129</v>
      </c>
      <c r="M72" s="164">
        <v>23.7</v>
      </c>
      <c r="N72" s="165"/>
      <c r="O72" s="163"/>
      <c r="P72" s="82">
        <v>80.34</v>
      </c>
      <c r="Q72" s="164">
        <v>0</v>
      </c>
      <c r="R72" s="163"/>
      <c r="S72" s="81" t="s">
        <v>346</v>
      </c>
      <c r="T72" s="82">
        <v>64</v>
      </c>
      <c r="U72" s="82">
        <v>0</v>
      </c>
      <c r="V72" s="82">
        <v>0</v>
      </c>
      <c r="W72" s="82">
        <v>0</v>
      </c>
      <c r="X72" s="81" t="s">
        <v>132</v>
      </c>
      <c r="Y72" s="82">
        <v>4</v>
      </c>
      <c r="Z72" s="81" t="s">
        <v>138</v>
      </c>
      <c r="AA72" s="81" t="s">
        <v>410</v>
      </c>
      <c r="AB72" s="81" t="s">
        <v>411</v>
      </c>
      <c r="AC72" s="83">
        <v>46092</v>
      </c>
    </row>
    <row r="73" spans="2:29" ht="23" x14ac:dyDescent="0.35">
      <c r="B73" s="81" t="s">
        <v>338</v>
      </c>
      <c r="C73" s="81" t="s">
        <v>339</v>
      </c>
      <c r="D73" s="81" t="s">
        <v>340</v>
      </c>
      <c r="E73" s="81" t="s">
        <v>406</v>
      </c>
      <c r="F73" s="162" t="s">
        <v>407</v>
      </c>
      <c r="G73" s="163"/>
      <c r="H73" s="81" t="s">
        <v>408</v>
      </c>
      <c r="I73" s="81" t="s">
        <v>344</v>
      </c>
      <c r="J73" s="81" t="s">
        <v>11</v>
      </c>
      <c r="K73" s="81" t="s">
        <v>427</v>
      </c>
      <c r="L73" s="81" t="s">
        <v>129</v>
      </c>
      <c r="M73" s="164">
        <v>23.3</v>
      </c>
      <c r="N73" s="165"/>
      <c r="O73" s="163"/>
      <c r="P73" s="82">
        <v>78.989999999999995</v>
      </c>
      <c r="Q73" s="164">
        <v>0</v>
      </c>
      <c r="R73" s="163"/>
      <c r="S73" s="81" t="s">
        <v>346</v>
      </c>
      <c r="T73" s="82">
        <v>64</v>
      </c>
      <c r="U73" s="82">
        <v>0</v>
      </c>
      <c r="V73" s="82">
        <v>0</v>
      </c>
      <c r="W73" s="82">
        <v>0</v>
      </c>
      <c r="X73" s="81" t="s">
        <v>132</v>
      </c>
      <c r="Y73" s="82">
        <v>4</v>
      </c>
      <c r="Z73" s="81" t="s">
        <v>138</v>
      </c>
      <c r="AA73" s="81" t="s">
        <v>410</v>
      </c>
      <c r="AB73" s="81" t="s">
        <v>411</v>
      </c>
      <c r="AC73" s="83">
        <v>46092</v>
      </c>
    </row>
    <row r="74" spans="2:29" ht="23" x14ac:dyDescent="0.35">
      <c r="B74" s="81" t="s">
        <v>338</v>
      </c>
      <c r="C74" s="81" t="s">
        <v>339</v>
      </c>
      <c r="D74" s="81" t="s">
        <v>340</v>
      </c>
      <c r="E74" s="81" t="s">
        <v>406</v>
      </c>
      <c r="F74" s="162" t="s">
        <v>407</v>
      </c>
      <c r="G74" s="163"/>
      <c r="H74" s="81" t="s">
        <v>408</v>
      </c>
      <c r="I74" s="81" t="s">
        <v>344</v>
      </c>
      <c r="J74" s="81" t="s">
        <v>11</v>
      </c>
      <c r="K74" s="81" t="s">
        <v>428</v>
      </c>
      <c r="L74" s="81" t="s">
        <v>129</v>
      </c>
      <c r="M74" s="164">
        <v>23.6</v>
      </c>
      <c r="N74" s="165"/>
      <c r="O74" s="163"/>
      <c r="P74" s="82">
        <v>80</v>
      </c>
      <c r="Q74" s="164">
        <v>0</v>
      </c>
      <c r="R74" s="163"/>
      <c r="S74" s="81" t="s">
        <v>346</v>
      </c>
      <c r="T74" s="82">
        <v>64</v>
      </c>
      <c r="U74" s="82">
        <v>0</v>
      </c>
      <c r="V74" s="82">
        <v>0</v>
      </c>
      <c r="W74" s="82">
        <v>0</v>
      </c>
      <c r="X74" s="81" t="s">
        <v>139</v>
      </c>
      <c r="Y74" s="82">
        <v>4</v>
      </c>
      <c r="Z74" s="81" t="s">
        <v>138</v>
      </c>
      <c r="AA74" s="81" t="s">
        <v>410</v>
      </c>
      <c r="AB74" s="81" t="s">
        <v>411</v>
      </c>
      <c r="AC74" s="83">
        <v>46092</v>
      </c>
    </row>
    <row r="75" spans="2:29" ht="23" x14ac:dyDescent="0.35">
      <c r="B75" s="81" t="s">
        <v>338</v>
      </c>
      <c r="C75" s="81" t="s">
        <v>339</v>
      </c>
      <c r="D75" s="81" t="s">
        <v>340</v>
      </c>
      <c r="E75" s="81" t="s">
        <v>406</v>
      </c>
      <c r="F75" s="162" t="s">
        <v>407</v>
      </c>
      <c r="G75" s="163"/>
      <c r="H75" s="81" t="s">
        <v>408</v>
      </c>
      <c r="I75" s="81" t="s">
        <v>344</v>
      </c>
      <c r="J75" s="81" t="s">
        <v>11</v>
      </c>
      <c r="K75" s="81" t="s">
        <v>429</v>
      </c>
      <c r="L75" s="81" t="s">
        <v>129</v>
      </c>
      <c r="M75" s="164">
        <v>23.7</v>
      </c>
      <c r="N75" s="165"/>
      <c r="O75" s="163"/>
      <c r="P75" s="82">
        <v>80.34</v>
      </c>
      <c r="Q75" s="164">
        <v>0</v>
      </c>
      <c r="R75" s="163"/>
      <c r="S75" s="81" t="s">
        <v>346</v>
      </c>
      <c r="T75" s="82">
        <v>64</v>
      </c>
      <c r="U75" s="82">
        <v>0</v>
      </c>
      <c r="V75" s="82">
        <v>0</v>
      </c>
      <c r="W75" s="82">
        <v>0</v>
      </c>
      <c r="X75" s="81" t="s">
        <v>132</v>
      </c>
      <c r="Y75" s="82">
        <v>8</v>
      </c>
      <c r="Z75" s="81" t="s">
        <v>138</v>
      </c>
      <c r="AA75" s="81" t="s">
        <v>410</v>
      </c>
      <c r="AB75" s="81" t="s">
        <v>411</v>
      </c>
      <c r="AC75" s="83">
        <v>46092</v>
      </c>
    </row>
    <row r="76" spans="2:29" ht="23" x14ac:dyDescent="0.35">
      <c r="B76" s="81" t="s">
        <v>338</v>
      </c>
      <c r="C76" s="81" t="s">
        <v>339</v>
      </c>
      <c r="D76" s="81" t="s">
        <v>340</v>
      </c>
      <c r="E76" s="81" t="s">
        <v>406</v>
      </c>
      <c r="F76" s="162" t="s">
        <v>407</v>
      </c>
      <c r="G76" s="163"/>
      <c r="H76" s="81" t="s">
        <v>408</v>
      </c>
      <c r="I76" s="81" t="s">
        <v>344</v>
      </c>
      <c r="J76" s="81" t="s">
        <v>11</v>
      </c>
      <c r="K76" s="81" t="s">
        <v>430</v>
      </c>
      <c r="L76" s="81" t="s">
        <v>129</v>
      </c>
      <c r="M76" s="164">
        <v>23.7</v>
      </c>
      <c r="N76" s="165"/>
      <c r="O76" s="163"/>
      <c r="P76" s="82">
        <v>80.34</v>
      </c>
      <c r="Q76" s="164">
        <v>0</v>
      </c>
      <c r="R76" s="163"/>
      <c r="S76" s="81" t="s">
        <v>346</v>
      </c>
      <c r="T76" s="82">
        <v>64</v>
      </c>
      <c r="U76" s="82">
        <v>0</v>
      </c>
      <c r="V76" s="82">
        <v>0</v>
      </c>
      <c r="W76" s="82">
        <v>0</v>
      </c>
      <c r="X76" s="81" t="s">
        <v>132</v>
      </c>
      <c r="Y76" s="82">
        <v>8</v>
      </c>
      <c r="Z76" s="81" t="s">
        <v>138</v>
      </c>
      <c r="AA76" s="81" t="s">
        <v>410</v>
      </c>
      <c r="AB76" s="81" t="s">
        <v>411</v>
      </c>
      <c r="AC76" s="83">
        <v>46092</v>
      </c>
    </row>
    <row r="77" spans="2:29" ht="23" x14ac:dyDescent="0.35">
      <c r="B77" s="81" t="s">
        <v>338</v>
      </c>
      <c r="C77" s="81" t="s">
        <v>339</v>
      </c>
      <c r="D77" s="81" t="s">
        <v>340</v>
      </c>
      <c r="E77" s="81" t="s">
        <v>406</v>
      </c>
      <c r="F77" s="162" t="s">
        <v>407</v>
      </c>
      <c r="G77" s="163"/>
      <c r="H77" s="81" t="s">
        <v>408</v>
      </c>
      <c r="I77" s="81" t="s">
        <v>344</v>
      </c>
      <c r="J77" s="81" t="s">
        <v>11</v>
      </c>
      <c r="K77" s="81" t="s">
        <v>431</v>
      </c>
      <c r="L77" s="81" t="s">
        <v>129</v>
      </c>
      <c r="M77" s="164">
        <v>23.6</v>
      </c>
      <c r="N77" s="165"/>
      <c r="O77" s="163"/>
      <c r="P77" s="82">
        <v>80</v>
      </c>
      <c r="Q77" s="164">
        <v>0</v>
      </c>
      <c r="R77" s="163"/>
      <c r="S77" s="81" t="s">
        <v>346</v>
      </c>
      <c r="T77" s="82">
        <v>64</v>
      </c>
      <c r="U77" s="82">
        <v>0</v>
      </c>
      <c r="V77" s="82">
        <v>0</v>
      </c>
      <c r="W77" s="82">
        <v>0</v>
      </c>
      <c r="X77" s="81" t="s">
        <v>141</v>
      </c>
      <c r="Y77" s="82">
        <v>4</v>
      </c>
      <c r="Z77" s="81" t="s">
        <v>138</v>
      </c>
      <c r="AA77" s="81" t="s">
        <v>410</v>
      </c>
      <c r="AB77" s="81" t="s">
        <v>411</v>
      </c>
      <c r="AC77" s="83">
        <v>46092</v>
      </c>
    </row>
    <row r="78" spans="2:29" ht="23" x14ac:dyDescent="0.35">
      <c r="B78" s="81" t="s">
        <v>338</v>
      </c>
      <c r="C78" s="81" t="s">
        <v>339</v>
      </c>
      <c r="D78" s="81" t="s">
        <v>340</v>
      </c>
      <c r="E78" s="81" t="s">
        <v>406</v>
      </c>
      <c r="F78" s="162" t="s">
        <v>407</v>
      </c>
      <c r="G78" s="163"/>
      <c r="H78" s="81" t="s">
        <v>408</v>
      </c>
      <c r="I78" s="81" t="s">
        <v>344</v>
      </c>
      <c r="J78" s="81" t="s">
        <v>11</v>
      </c>
      <c r="K78" s="81" t="s">
        <v>432</v>
      </c>
      <c r="L78" s="81" t="s">
        <v>129</v>
      </c>
      <c r="M78" s="164">
        <v>29.9</v>
      </c>
      <c r="N78" s="165"/>
      <c r="O78" s="163"/>
      <c r="P78" s="82">
        <v>101.36</v>
      </c>
      <c r="Q78" s="164">
        <v>0</v>
      </c>
      <c r="R78" s="163"/>
      <c r="S78" s="81" t="s">
        <v>346</v>
      </c>
      <c r="T78" s="82">
        <v>64</v>
      </c>
      <c r="U78" s="82">
        <v>0</v>
      </c>
      <c r="V78" s="82">
        <v>0</v>
      </c>
      <c r="W78" s="82">
        <v>0</v>
      </c>
      <c r="X78" s="81" t="s">
        <v>139</v>
      </c>
      <c r="Y78" s="82">
        <v>4</v>
      </c>
      <c r="Z78" s="81" t="s">
        <v>138</v>
      </c>
      <c r="AA78" s="81" t="s">
        <v>410</v>
      </c>
      <c r="AB78" s="81" t="s">
        <v>411</v>
      </c>
      <c r="AC78" s="83">
        <v>46092</v>
      </c>
    </row>
    <row r="79" spans="2:29" ht="23" x14ac:dyDescent="0.35">
      <c r="B79" s="81" t="s">
        <v>338</v>
      </c>
      <c r="C79" s="81" t="s">
        <v>339</v>
      </c>
      <c r="D79" s="81" t="s">
        <v>340</v>
      </c>
      <c r="E79" s="81" t="s">
        <v>406</v>
      </c>
      <c r="F79" s="162" t="s">
        <v>407</v>
      </c>
      <c r="G79" s="163"/>
      <c r="H79" s="81" t="s">
        <v>408</v>
      </c>
      <c r="I79" s="81" t="s">
        <v>344</v>
      </c>
      <c r="J79" s="81" t="s">
        <v>11</v>
      </c>
      <c r="K79" s="81" t="s">
        <v>433</v>
      </c>
      <c r="L79" s="81" t="s">
        <v>129</v>
      </c>
      <c r="M79" s="164">
        <v>23.5</v>
      </c>
      <c r="N79" s="165"/>
      <c r="O79" s="163"/>
      <c r="P79" s="82">
        <v>79.66</v>
      </c>
      <c r="Q79" s="164">
        <v>0</v>
      </c>
      <c r="R79" s="163"/>
      <c r="S79" s="81" t="s">
        <v>346</v>
      </c>
      <c r="T79" s="82">
        <v>64</v>
      </c>
      <c r="U79" s="82">
        <v>0</v>
      </c>
      <c r="V79" s="82">
        <v>0</v>
      </c>
      <c r="W79" s="82">
        <v>0</v>
      </c>
      <c r="X79" s="81" t="s">
        <v>132</v>
      </c>
      <c r="Y79" s="82">
        <v>8</v>
      </c>
      <c r="Z79" s="81" t="s">
        <v>138</v>
      </c>
      <c r="AA79" s="81" t="s">
        <v>410</v>
      </c>
      <c r="AB79" s="81" t="s">
        <v>411</v>
      </c>
      <c r="AC79" s="83">
        <v>46092</v>
      </c>
    </row>
    <row r="80" spans="2:29" ht="23" x14ac:dyDescent="0.35">
      <c r="B80" s="81" t="s">
        <v>338</v>
      </c>
      <c r="C80" s="81" t="s">
        <v>339</v>
      </c>
      <c r="D80" s="81" t="s">
        <v>340</v>
      </c>
      <c r="E80" s="81" t="s">
        <v>406</v>
      </c>
      <c r="F80" s="162" t="s">
        <v>407</v>
      </c>
      <c r="G80" s="163"/>
      <c r="H80" s="81" t="s">
        <v>408</v>
      </c>
      <c r="I80" s="81" t="s">
        <v>344</v>
      </c>
      <c r="J80" s="81" t="s">
        <v>11</v>
      </c>
      <c r="K80" s="81" t="s">
        <v>434</v>
      </c>
      <c r="L80" s="81" t="s">
        <v>129</v>
      </c>
      <c r="M80" s="164">
        <v>23.9</v>
      </c>
      <c r="N80" s="165"/>
      <c r="O80" s="163"/>
      <c r="P80" s="82">
        <v>81.02</v>
      </c>
      <c r="Q80" s="164">
        <v>0</v>
      </c>
      <c r="R80" s="163"/>
      <c r="S80" s="81" t="s">
        <v>346</v>
      </c>
      <c r="T80" s="82">
        <v>64</v>
      </c>
      <c r="U80" s="82">
        <v>0</v>
      </c>
      <c r="V80" s="82">
        <v>0</v>
      </c>
      <c r="W80" s="82">
        <v>0</v>
      </c>
      <c r="X80" s="81" t="s">
        <v>132</v>
      </c>
      <c r="Y80" s="82">
        <v>4</v>
      </c>
      <c r="Z80" s="81" t="s">
        <v>138</v>
      </c>
      <c r="AA80" s="81" t="s">
        <v>410</v>
      </c>
      <c r="AB80" s="81" t="s">
        <v>411</v>
      </c>
      <c r="AC80" s="83">
        <v>46092</v>
      </c>
    </row>
    <row r="81" spans="2:29" ht="23" x14ac:dyDescent="0.35">
      <c r="B81" s="81" t="s">
        <v>338</v>
      </c>
      <c r="C81" s="81" t="s">
        <v>339</v>
      </c>
      <c r="D81" s="81" t="s">
        <v>340</v>
      </c>
      <c r="E81" s="81" t="s">
        <v>406</v>
      </c>
      <c r="F81" s="162" t="s">
        <v>407</v>
      </c>
      <c r="G81" s="163"/>
      <c r="H81" s="81" t="s">
        <v>408</v>
      </c>
      <c r="I81" s="81" t="s">
        <v>344</v>
      </c>
      <c r="J81" s="81" t="s">
        <v>11</v>
      </c>
      <c r="K81" s="81" t="s">
        <v>435</v>
      </c>
      <c r="L81" s="81" t="s">
        <v>129</v>
      </c>
      <c r="M81" s="164">
        <v>24</v>
      </c>
      <c r="N81" s="165"/>
      <c r="O81" s="163"/>
      <c r="P81" s="82">
        <v>81.36</v>
      </c>
      <c r="Q81" s="164">
        <v>0</v>
      </c>
      <c r="R81" s="163"/>
      <c r="S81" s="81" t="s">
        <v>346</v>
      </c>
      <c r="T81" s="82">
        <v>64</v>
      </c>
      <c r="U81" s="82">
        <v>0</v>
      </c>
      <c r="V81" s="82">
        <v>0</v>
      </c>
      <c r="W81" s="82">
        <v>0</v>
      </c>
      <c r="X81" s="81" t="s">
        <v>132</v>
      </c>
      <c r="Y81" s="82">
        <v>8</v>
      </c>
      <c r="Z81" s="81" t="s">
        <v>138</v>
      </c>
      <c r="AA81" s="81" t="s">
        <v>410</v>
      </c>
      <c r="AB81" s="81" t="s">
        <v>411</v>
      </c>
      <c r="AC81" s="83">
        <v>46092</v>
      </c>
    </row>
    <row r="82" spans="2:29" ht="23" x14ac:dyDescent="0.35">
      <c r="B82" s="81" t="s">
        <v>338</v>
      </c>
      <c r="C82" s="81" t="s">
        <v>339</v>
      </c>
      <c r="D82" s="81" t="s">
        <v>340</v>
      </c>
      <c r="E82" s="81" t="s">
        <v>406</v>
      </c>
      <c r="F82" s="162" t="s">
        <v>407</v>
      </c>
      <c r="G82" s="163"/>
      <c r="H82" s="81" t="s">
        <v>408</v>
      </c>
      <c r="I82" s="81" t="s">
        <v>344</v>
      </c>
      <c r="J82" s="81" t="s">
        <v>11</v>
      </c>
      <c r="K82" s="81" t="s">
        <v>436</v>
      </c>
      <c r="L82" s="81" t="s">
        <v>129</v>
      </c>
      <c r="M82" s="164">
        <v>23.9</v>
      </c>
      <c r="N82" s="165"/>
      <c r="O82" s="163"/>
      <c r="P82" s="82">
        <v>81.02</v>
      </c>
      <c r="Q82" s="164">
        <v>0</v>
      </c>
      <c r="R82" s="163"/>
      <c r="S82" s="81" t="s">
        <v>346</v>
      </c>
      <c r="T82" s="82">
        <v>64</v>
      </c>
      <c r="U82" s="82">
        <v>0</v>
      </c>
      <c r="V82" s="82">
        <v>0</v>
      </c>
      <c r="W82" s="82">
        <v>0</v>
      </c>
      <c r="X82" s="81"/>
      <c r="Y82" s="81"/>
      <c r="Z82" s="81" t="s">
        <v>138</v>
      </c>
      <c r="AA82" s="81" t="s">
        <v>410</v>
      </c>
      <c r="AB82" s="81" t="s">
        <v>411</v>
      </c>
      <c r="AC82" s="83">
        <v>46092</v>
      </c>
    </row>
    <row r="83" spans="2:29" ht="23" x14ac:dyDescent="0.35">
      <c r="B83" s="81" t="s">
        <v>338</v>
      </c>
      <c r="C83" s="81" t="s">
        <v>339</v>
      </c>
      <c r="D83" s="81" t="s">
        <v>340</v>
      </c>
      <c r="E83" s="81" t="s">
        <v>406</v>
      </c>
      <c r="F83" s="162" t="s">
        <v>407</v>
      </c>
      <c r="G83" s="163"/>
      <c r="H83" s="81" t="s">
        <v>408</v>
      </c>
      <c r="I83" s="81" t="s">
        <v>344</v>
      </c>
      <c r="J83" s="81" t="s">
        <v>11</v>
      </c>
      <c r="K83" s="81" t="s">
        <v>437</v>
      </c>
      <c r="L83" s="81" t="s">
        <v>129</v>
      </c>
      <c r="M83" s="164">
        <v>24</v>
      </c>
      <c r="N83" s="165"/>
      <c r="O83" s="163"/>
      <c r="P83" s="82">
        <v>81.36</v>
      </c>
      <c r="Q83" s="164">
        <v>0</v>
      </c>
      <c r="R83" s="163"/>
      <c r="S83" s="81" t="s">
        <v>346</v>
      </c>
      <c r="T83" s="82">
        <v>64</v>
      </c>
      <c r="U83" s="82">
        <v>0</v>
      </c>
      <c r="V83" s="82">
        <v>0</v>
      </c>
      <c r="W83" s="82">
        <v>0</v>
      </c>
      <c r="X83" s="81"/>
      <c r="Y83" s="81"/>
      <c r="Z83" s="81" t="s">
        <v>138</v>
      </c>
      <c r="AA83" s="81" t="s">
        <v>410</v>
      </c>
      <c r="AB83" s="81" t="s">
        <v>411</v>
      </c>
      <c r="AC83" s="83">
        <v>46092</v>
      </c>
    </row>
    <row r="84" spans="2:29" ht="23" x14ac:dyDescent="0.35">
      <c r="B84" s="81" t="s">
        <v>338</v>
      </c>
      <c r="C84" s="81" t="s">
        <v>339</v>
      </c>
      <c r="D84" s="81" t="s">
        <v>340</v>
      </c>
      <c r="E84" s="81" t="s">
        <v>406</v>
      </c>
      <c r="F84" s="162" t="s">
        <v>407</v>
      </c>
      <c r="G84" s="163"/>
      <c r="H84" s="81" t="s">
        <v>408</v>
      </c>
      <c r="I84" s="81" t="s">
        <v>344</v>
      </c>
      <c r="J84" s="81" t="s">
        <v>11</v>
      </c>
      <c r="K84" s="81" t="s">
        <v>438</v>
      </c>
      <c r="L84" s="81" t="s">
        <v>129</v>
      </c>
      <c r="M84" s="164">
        <v>23.5</v>
      </c>
      <c r="N84" s="165"/>
      <c r="O84" s="163"/>
      <c r="P84" s="82">
        <v>79.66</v>
      </c>
      <c r="Q84" s="164">
        <v>0</v>
      </c>
      <c r="R84" s="163"/>
      <c r="S84" s="81" t="s">
        <v>346</v>
      </c>
      <c r="T84" s="82">
        <v>64</v>
      </c>
      <c r="U84" s="82">
        <v>0</v>
      </c>
      <c r="V84" s="82">
        <v>0</v>
      </c>
      <c r="W84" s="82">
        <v>0</v>
      </c>
      <c r="X84" s="81"/>
      <c r="Y84" s="81"/>
      <c r="Z84" s="81" t="s">
        <v>138</v>
      </c>
      <c r="AA84" s="81" t="s">
        <v>410</v>
      </c>
      <c r="AB84" s="81" t="s">
        <v>411</v>
      </c>
      <c r="AC84" s="83">
        <v>46092</v>
      </c>
    </row>
    <row r="85" spans="2:29" ht="23" x14ac:dyDescent="0.35">
      <c r="B85" s="81" t="s">
        <v>338</v>
      </c>
      <c r="C85" s="81" t="s">
        <v>339</v>
      </c>
      <c r="D85" s="81" t="s">
        <v>340</v>
      </c>
      <c r="E85" s="81" t="s">
        <v>406</v>
      </c>
      <c r="F85" s="162" t="s">
        <v>407</v>
      </c>
      <c r="G85" s="163"/>
      <c r="H85" s="81" t="s">
        <v>408</v>
      </c>
      <c r="I85" s="81" t="s">
        <v>344</v>
      </c>
      <c r="J85" s="81" t="s">
        <v>11</v>
      </c>
      <c r="K85" s="81" t="s">
        <v>439</v>
      </c>
      <c r="L85" s="81" t="s">
        <v>129</v>
      </c>
      <c r="M85" s="164">
        <v>23.5</v>
      </c>
      <c r="N85" s="165"/>
      <c r="O85" s="163"/>
      <c r="P85" s="82">
        <v>79.66</v>
      </c>
      <c r="Q85" s="164">
        <v>0</v>
      </c>
      <c r="R85" s="163"/>
      <c r="S85" s="81" t="s">
        <v>346</v>
      </c>
      <c r="T85" s="82">
        <v>64</v>
      </c>
      <c r="U85" s="82">
        <v>0</v>
      </c>
      <c r="V85" s="82">
        <v>0</v>
      </c>
      <c r="W85" s="82">
        <v>0</v>
      </c>
      <c r="X85" s="81" t="s">
        <v>132</v>
      </c>
      <c r="Y85" s="82">
        <v>4</v>
      </c>
      <c r="Z85" s="81" t="s">
        <v>138</v>
      </c>
      <c r="AA85" s="81" t="s">
        <v>410</v>
      </c>
      <c r="AB85" s="81" t="s">
        <v>411</v>
      </c>
      <c r="AC85" s="83">
        <v>46092</v>
      </c>
    </row>
    <row r="86" spans="2:29" ht="23" x14ac:dyDescent="0.35">
      <c r="B86" s="81" t="s">
        <v>338</v>
      </c>
      <c r="C86" s="81" t="s">
        <v>339</v>
      </c>
      <c r="D86" s="81" t="s">
        <v>340</v>
      </c>
      <c r="E86" s="81" t="s">
        <v>406</v>
      </c>
      <c r="F86" s="162" t="s">
        <v>407</v>
      </c>
      <c r="G86" s="163"/>
      <c r="H86" s="81" t="s">
        <v>408</v>
      </c>
      <c r="I86" s="81" t="s">
        <v>344</v>
      </c>
      <c r="J86" s="81" t="s">
        <v>11</v>
      </c>
      <c r="K86" s="81" t="s">
        <v>440</v>
      </c>
      <c r="L86" s="81" t="s">
        <v>129</v>
      </c>
      <c r="M86" s="164">
        <v>23.5</v>
      </c>
      <c r="N86" s="165"/>
      <c r="O86" s="163"/>
      <c r="P86" s="82">
        <v>79.66</v>
      </c>
      <c r="Q86" s="164">
        <v>0</v>
      </c>
      <c r="R86" s="163"/>
      <c r="S86" s="81" t="s">
        <v>346</v>
      </c>
      <c r="T86" s="82">
        <v>64</v>
      </c>
      <c r="U86" s="82">
        <v>0</v>
      </c>
      <c r="V86" s="82">
        <v>0</v>
      </c>
      <c r="W86" s="82">
        <v>0</v>
      </c>
      <c r="X86" s="81" t="s">
        <v>132</v>
      </c>
      <c r="Y86" s="82">
        <v>4</v>
      </c>
      <c r="Z86" s="81" t="s">
        <v>138</v>
      </c>
      <c r="AA86" s="81" t="s">
        <v>410</v>
      </c>
      <c r="AB86" s="81" t="s">
        <v>411</v>
      </c>
      <c r="AC86" s="83">
        <v>46092</v>
      </c>
    </row>
    <row r="87" spans="2:29" ht="23" x14ac:dyDescent="0.35">
      <c r="B87" s="81" t="s">
        <v>338</v>
      </c>
      <c r="C87" s="81" t="s">
        <v>339</v>
      </c>
      <c r="D87" s="81" t="s">
        <v>340</v>
      </c>
      <c r="E87" s="81" t="s">
        <v>406</v>
      </c>
      <c r="F87" s="162" t="s">
        <v>407</v>
      </c>
      <c r="G87" s="163"/>
      <c r="H87" s="81" t="s">
        <v>408</v>
      </c>
      <c r="I87" s="81" t="s">
        <v>344</v>
      </c>
      <c r="J87" s="81" t="s">
        <v>11</v>
      </c>
      <c r="K87" s="81" t="s">
        <v>441</v>
      </c>
      <c r="L87" s="81" t="s">
        <v>129</v>
      </c>
      <c r="M87" s="164">
        <v>28.8</v>
      </c>
      <c r="N87" s="165"/>
      <c r="O87" s="163"/>
      <c r="P87" s="82">
        <v>97.63</v>
      </c>
      <c r="Q87" s="164">
        <v>0</v>
      </c>
      <c r="R87" s="163"/>
      <c r="S87" s="81" t="s">
        <v>346</v>
      </c>
      <c r="T87" s="82">
        <v>64</v>
      </c>
      <c r="U87" s="82">
        <v>0</v>
      </c>
      <c r="V87" s="82">
        <v>0</v>
      </c>
      <c r="W87" s="82">
        <v>0</v>
      </c>
      <c r="X87" s="81" t="s">
        <v>132</v>
      </c>
      <c r="Y87" s="82">
        <v>4</v>
      </c>
      <c r="Z87" s="81" t="s">
        <v>138</v>
      </c>
      <c r="AA87" s="81" t="s">
        <v>410</v>
      </c>
      <c r="AB87" s="81" t="s">
        <v>411</v>
      </c>
      <c r="AC87" s="83">
        <v>46092</v>
      </c>
    </row>
    <row r="88" spans="2:29" ht="23" x14ac:dyDescent="0.35">
      <c r="B88" s="81" t="s">
        <v>338</v>
      </c>
      <c r="C88" s="81" t="s">
        <v>339</v>
      </c>
      <c r="D88" s="81" t="s">
        <v>340</v>
      </c>
      <c r="E88" s="81" t="s">
        <v>406</v>
      </c>
      <c r="F88" s="162" t="s">
        <v>407</v>
      </c>
      <c r="G88" s="163"/>
      <c r="H88" s="81" t="s">
        <v>408</v>
      </c>
      <c r="I88" s="81" t="s">
        <v>344</v>
      </c>
      <c r="J88" s="81" t="s">
        <v>11</v>
      </c>
      <c r="K88" s="81" t="s">
        <v>442</v>
      </c>
      <c r="L88" s="81" t="s">
        <v>129</v>
      </c>
      <c r="M88" s="164">
        <v>23.6</v>
      </c>
      <c r="N88" s="165"/>
      <c r="O88" s="163"/>
      <c r="P88" s="82">
        <v>80</v>
      </c>
      <c r="Q88" s="164">
        <v>0</v>
      </c>
      <c r="R88" s="163"/>
      <c r="S88" s="81" t="s">
        <v>346</v>
      </c>
      <c r="T88" s="82">
        <v>64</v>
      </c>
      <c r="U88" s="82">
        <v>0</v>
      </c>
      <c r="V88" s="82">
        <v>0</v>
      </c>
      <c r="W88" s="82">
        <v>0</v>
      </c>
      <c r="X88" s="81"/>
      <c r="Y88" s="81"/>
      <c r="Z88" s="81" t="s">
        <v>138</v>
      </c>
      <c r="AA88" s="81" t="s">
        <v>410</v>
      </c>
      <c r="AB88" s="81" t="s">
        <v>411</v>
      </c>
      <c r="AC88" s="83">
        <v>46092</v>
      </c>
    </row>
    <row r="89" spans="2:29" ht="23" x14ac:dyDescent="0.35">
      <c r="B89" s="81" t="s">
        <v>338</v>
      </c>
      <c r="C89" s="81" t="s">
        <v>339</v>
      </c>
      <c r="D89" s="81" t="s">
        <v>340</v>
      </c>
      <c r="E89" s="81" t="s">
        <v>406</v>
      </c>
      <c r="F89" s="162" t="s">
        <v>407</v>
      </c>
      <c r="G89" s="163"/>
      <c r="H89" s="81" t="s">
        <v>408</v>
      </c>
      <c r="I89" s="81" t="s">
        <v>344</v>
      </c>
      <c r="J89" s="81" t="s">
        <v>11</v>
      </c>
      <c r="K89" s="81" t="s">
        <v>443</v>
      </c>
      <c r="L89" s="81" t="s">
        <v>129</v>
      </c>
      <c r="M89" s="164">
        <v>20.3</v>
      </c>
      <c r="N89" s="165"/>
      <c r="O89" s="163"/>
      <c r="P89" s="82">
        <v>68.819999999999993</v>
      </c>
      <c r="Q89" s="164">
        <v>0</v>
      </c>
      <c r="R89" s="163"/>
      <c r="S89" s="81" t="s">
        <v>346</v>
      </c>
      <c r="T89" s="82">
        <v>64</v>
      </c>
      <c r="U89" s="82">
        <v>0</v>
      </c>
      <c r="V89" s="82">
        <v>0</v>
      </c>
      <c r="W89" s="82">
        <v>0</v>
      </c>
      <c r="X89" s="81"/>
      <c r="Y89" s="81"/>
      <c r="Z89" s="81" t="s">
        <v>138</v>
      </c>
      <c r="AA89" s="81" t="s">
        <v>410</v>
      </c>
      <c r="AB89" s="81" t="s">
        <v>411</v>
      </c>
      <c r="AC89" s="83">
        <v>46092</v>
      </c>
    </row>
    <row r="90" spans="2:29" ht="23" x14ac:dyDescent="0.35">
      <c r="B90" s="81" t="s">
        <v>338</v>
      </c>
      <c r="C90" s="81" t="s">
        <v>339</v>
      </c>
      <c r="D90" s="81" t="s">
        <v>340</v>
      </c>
      <c r="E90" s="81" t="s">
        <v>406</v>
      </c>
      <c r="F90" s="162" t="s">
        <v>407</v>
      </c>
      <c r="G90" s="163"/>
      <c r="H90" s="81" t="s">
        <v>408</v>
      </c>
      <c r="I90" s="81" t="s">
        <v>344</v>
      </c>
      <c r="J90" s="81" t="s">
        <v>11</v>
      </c>
      <c r="K90" s="81" t="s">
        <v>444</v>
      </c>
      <c r="L90" s="81" t="s">
        <v>129</v>
      </c>
      <c r="M90" s="164">
        <v>23.4</v>
      </c>
      <c r="N90" s="165"/>
      <c r="O90" s="163"/>
      <c r="P90" s="82">
        <v>79.33</v>
      </c>
      <c r="Q90" s="164">
        <v>0</v>
      </c>
      <c r="R90" s="163"/>
      <c r="S90" s="81" t="s">
        <v>346</v>
      </c>
      <c r="T90" s="82">
        <v>64</v>
      </c>
      <c r="U90" s="82">
        <v>0</v>
      </c>
      <c r="V90" s="82">
        <v>0</v>
      </c>
      <c r="W90" s="82">
        <v>0</v>
      </c>
      <c r="X90" s="81"/>
      <c r="Y90" s="81"/>
      <c r="Z90" s="81" t="s">
        <v>138</v>
      </c>
      <c r="AA90" s="81" t="s">
        <v>410</v>
      </c>
      <c r="AB90" s="81" t="s">
        <v>411</v>
      </c>
      <c r="AC90" s="83">
        <v>46092</v>
      </c>
    </row>
    <row r="91" spans="2:29" ht="23" x14ac:dyDescent="0.35">
      <c r="B91" s="81" t="s">
        <v>338</v>
      </c>
      <c r="C91" s="81" t="s">
        <v>339</v>
      </c>
      <c r="D91" s="81" t="s">
        <v>340</v>
      </c>
      <c r="E91" s="81" t="s">
        <v>363</v>
      </c>
      <c r="F91" s="162" t="s">
        <v>364</v>
      </c>
      <c r="G91" s="163"/>
      <c r="H91" s="81" t="s">
        <v>445</v>
      </c>
      <c r="I91" s="81" t="s">
        <v>356</v>
      </c>
      <c r="J91" s="81" t="s">
        <v>128</v>
      </c>
      <c r="K91" s="81" t="s">
        <v>446</v>
      </c>
      <c r="L91" s="81" t="s">
        <v>129</v>
      </c>
      <c r="M91" s="164">
        <v>18.399999999999999</v>
      </c>
      <c r="N91" s="165"/>
      <c r="O91" s="163"/>
      <c r="P91" s="82">
        <v>82.89</v>
      </c>
      <c r="Q91" s="164">
        <v>0</v>
      </c>
      <c r="R91" s="163"/>
      <c r="S91" s="81" t="s">
        <v>358</v>
      </c>
      <c r="T91" s="82">
        <v>58</v>
      </c>
      <c r="U91" s="82">
        <v>0</v>
      </c>
      <c r="V91" s="82">
        <v>0</v>
      </c>
      <c r="W91" s="82">
        <v>0</v>
      </c>
      <c r="X91" s="81" t="s">
        <v>135</v>
      </c>
      <c r="Y91" s="82">
        <v>4</v>
      </c>
      <c r="Z91" s="81" t="s">
        <v>138</v>
      </c>
      <c r="AA91" s="81" t="s">
        <v>58</v>
      </c>
      <c r="AB91" s="81" t="s">
        <v>58</v>
      </c>
      <c r="AC91" s="83">
        <v>46092</v>
      </c>
    </row>
    <row r="92" spans="2:29" ht="23" x14ac:dyDescent="0.35">
      <c r="B92" s="81" t="s">
        <v>338</v>
      </c>
      <c r="C92" s="81" t="s">
        <v>339</v>
      </c>
      <c r="D92" s="81" t="s">
        <v>340</v>
      </c>
      <c r="E92" s="81" t="s">
        <v>447</v>
      </c>
      <c r="F92" s="162" t="s">
        <v>448</v>
      </c>
      <c r="G92" s="163"/>
      <c r="H92" s="81" t="s">
        <v>449</v>
      </c>
      <c r="I92" s="81" t="s">
        <v>356</v>
      </c>
      <c r="J92" s="81" t="s">
        <v>128</v>
      </c>
      <c r="K92" s="81" t="s">
        <v>450</v>
      </c>
      <c r="L92" s="81" t="s">
        <v>129</v>
      </c>
      <c r="M92" s="164">
        <v>23</v>
      </c>
      <c r="N92" s="165"/>
      <c r="O92" s="163"/>
      <c r="P92" s="82">
        <v>97.57</v>
      </c>
      <c r="Q92" s="164">
        <v>0</v>
      </c>
      <c r="R92" s="163"/>
      <c r="S92" s="81" t="s">
        <v>358</v>
      </c>
      <c r="T92" s="82">
        <v>56</v>
      </c>
      <c r="U92" s="82">
        <v>0</v>
      </c>
      <c r="V92" s="82">
        <v>0</v>
      </c>
      <c r="W92" s="82">
        <v>0</v>
      </c>
      <c r="X92" s="81" t="s">
        <v>133</v>
      </c>
      <c r="Y92" s="82">
        <v>8</v>
      </c>
      <c r="Z92" s="81" t="s">
        <v>138</v>
      </c>
      <c r="AA92" s="81" t="s">
        <v>58</v>
      </c>
      <c r="AB92" s="81" t="s">
        <v>58</v>
      </c>
      <c r="AC92" s="83">
        <v>46105</v>
      </c>
    </row>
    <row r="93" spans="2:29" ht="23" x14ac:dyDescent="0.35">
      <c r="B93" s="81" t="s">
        <v>338</v>
      </c>
      <c r="C93" s="81" t="s">
        <v>339</v>
      </c>
      <c r="D93" s="81" t="s">
        <v>340</v>
      </c>
      <c r="E93" s="81" t="s">
        <v>447</v>
      </c>
      <c r="F93" s="162" t="s">
        <v>448</v>
      </c>
      <c r="G93" s="163"/>
      <c r="H93" s="81" t="s">
        <v>451</v>
      </c>
      <c r="I93" s="81" t="s">
        <v>344</v>
      </c>
      <c r="J93" s="81" t="s">
        <v>11</v>
      </c>
      <c r="K93" s="81" t="s">
        <v>452</v>
      </c>
      <c r="L93" s="81" t="s">
        <v>129</v>
      </c>
      <c r="M93" s="164">
        <v>24</v>
      </c>
      <c r="N93" s="165"/>
      <c r="O93" s="163"/>
      <c r="P93" s="82">
        <v>81.55</v>
      </c>
      <c r="Q93" s="164">
        <v>0</v>
      </c>
      <c r="R93" s="163"/>
      <c r="S93" s="81" t="s">
        <v>346</v>
      </c>
      <c r="T93" s="82">
        <v>63</v>
      </c>
      <c r="U93" s="82">
        <v>0</v>
      </c>
      <c r="V93" s="82">
        <v>0</v>
      </c>
      <c r="W93" s="82">
        <v>0</v>
      </c>
      <c r="X93" s="81" t="s">
        <v>134</v>
      </c>
      <c r="Y93" s="82">
        <v>1</v>
      </c>
      <c r="Z93" s="81" t="s">
        <v>138</v>
      </c>
      <c r="AA93" s="81" t="s">
        <v>453</v>
      </c>
      <c r="AB93" s="81" t="s">
        <v>58</v>
      </c>
      <c r="AC93" s="83">
        <v>46095</v>
      </c>
    </row>
    <row r="94" spans="2:29" ht="23" x14ac:dyDescent="0.35">
      <c r="B94" s="81" t="s">
        <v>338</v>
      </c>
      <c r="C94" s="81" t="s">
        <v>339</v>
      </c>
      <c r="D94" s="81" t="s">
        <v>340</v>
      </c>
      <c r="E94" s="81" t="s">
        <v>447</v>
      </c>
      <c r="F94" s="162" t="s">
        <v>448</v>
      </c>
      <c r="G94" s="163"/>
      <c r="H94" s="81" t="s">
        <v>451</v>
      </c>
      <c r="I94" s="81" t="s">
        <v>344</v>
      </c>
      <c r="J94" s="81" t="s">
        <v>11</v>
      </c>
      <c r="K94" s="81" t="s">
        <v>454</v>
      </c>
      <c r="L94" s="81" t="s">
        <v>11</v>
      </c>
      <c r="M94" s="164">
        <v>23.3</v>
      </c>
      <c r="N94" s="165"/>
      <c r="O94" s="163"/>
      <c r="P94" s="82">
        <v>79.17</v>
      </c>
      <c r="Q94" s="164">
        <v>0</v>
      </c>
      <c r="R94" s="163"/>
      <c r="S94" s="81" t="s">
        <v>346</v>
      </c>
      <c r="T94" s="82">
        <v>63</v>
      </c>
      <c r="U94" s="82">
        <v>0</v>
      </c>
      <c r="V94" s="82">
        <v>0</v>
      </c>
      <c r="W94" s="82">
        <v>0</v>
      </c>
      <c r="X94" s="81" t="s">
        <v>141</v>
      </c>
      <c r="Y94" s="82">
        <v>28</v>
      </c>
      <c r="Z94" s="81" t="s">
        <v>138</v>
      </c>
      <c r="AA94" s="81" t="s">
        <v>453</v>
      </c>
      <c r="AB94" s="81" t="s">
        <v>58</v>
      </c>
      <c r="AC94" s="83">
        <v>46095</v>
      </c>
    </row>
    <row r="95" spans="2:29" ht="23" x14ac:dyDescent="0.35">
      <c r="B95" s="81" t="s">
        <v>338</v>
      </c>
      <c r="C95" s="81" t="s">
        <v>339</v>
      </c>
      <c r="D95" s="81" t="s">
        <v>340</v>
      </c>
      <c r="E95" s="81" t="s">
        <v>447</v>
      </c>
      <c r="F95" s="162" t="s">
        <v>448</v>
      </c>
      <c r="G95" s="163"/>
      <c r="H95" s="81" t="s">
        <v>451</v>
      </c>
      <c r="I95" s="81" t="s">
        <v>344</v>
      </c>
      <c r="J95" s="81" t="s">
        <v>11</v>
      </c>
      <c r="K95" s="81" t="s">
        <v>455</v>
      </c>
      <c r="L95" s="81" t="s">
        <v>129</v>
      </c>
      <c r="M95" s="164">
        <v>32.200000000000003</v>
      </c>
      <c r="N95" s="165"/>
      <c r="O95" s="163"/>
      <c r="P95" s="82">
        <v>109.41</v>
      </c>
      <c r="Q95" s="164">
        <v>0</v>
      </c>
      <c r="R95" s="163"/>
      <c r="S95" s="81" t="s">
        <v>346</v>
      </c>
      <c r="T95" s="82">
        <v>63</v>
      </c>
      <c r="U95" s="82">
        <v>0</v>
      </c>
      <c r="V95" s="82">
        <v>0</v>
      </c>
      <c r="W95" s="82">
        <v>0</v>
      </c>
      <c r="X95" s="81" t="s">
        <v>141</v>
      </c>
      <c r="Y95" s="82">
        <v>20</v>
      </c>
      <c r="Z95" s="81" t="s">
        <v>138</v>
      </c>
      <c r="AA95" s="81" t="s">
        <v>456</v>
      </c>
      <c r="AB95" s="81" t="s">
        <v>457</v>
      </c>
      <c r="AC95" s="83">
        <v>46095</v>
      </c>
    </row>
    <row r="96" spans="2:29" ht="23" x14ac:dyDescent="0.35">
      <c r="B96" s="81" t="s">
        <v>338</v>
      </c>
      <c r="C96" s="81" t="s">
        <v>339</v>
      </c>
      <c r="D96" s="81" t="s">
        <v>340</v>
      </c>
      <c r="E96" s="81" t="s">
        <v>447</v>
      </c>
      <c r="F96" s="162" t="s">
        <v>448</v>
      </c>
      <c r="G96" s="163"/>
      <c r="H96" s="81" t="s">
        <v>451</v>
      </c>
      <c r="I96" s="81" t="s">
        <v>344</v>
      </c>
      <c r="J96" s="81" t="s">
        <v>11</v>
      </c>
      <c r="K96" s="81" t="s">
        <v>458</v>
      </c>
      <c r="L96" s="81" t="s">
        <v>129</v>
      </c>
      <c r="M96" s="164">
        <v>15.3</v>
      </c>
      <c r="N96" s="165"/>
      <c r="O96" s="163"/>
      <c r="P96" s="82">
        <v>51.99</v>
      </c>
      <c r="Q96" s="164">
        <v>0</v>
      </c>
      <c r="R96" s="163"/>
      <c r="S96" s="81" t="s">
        <v>346</v>
      </c>
      <c r="T96" s="82">
        <v>63</v>
      </c>
      <c r="U96" s="82">
        <v>0</v>
      </c>
      <c r="V96" s="82">
        <v>0</v>
      </c>
      <c r="W96" s="82">
        <v>0</v>
      </c>
      <c r="X96" s="81" t="s">
        <v>141</v>
      </c>
      <c r="Y96" s="82">
        <v>8</v>
      </c>
      <c r="Z96" s="81" t="s">
        <v>138</v>
      </c>
      <c r="AA96" s="81" t="s">
        <v>456</v>
      </c>
      <c r="AB96" s="81" t="s">
        <v>457</v>
      </c>
      <c r="AC96" s="83">
        <v>46095</v>
      </c>
    </row>
    <row r="97" spans="2:29" ht="23" x14ac:dyDescent="0.35">
      <c r="B97" s="81" t="s">
        <v>338</v>
      </c>
      <c r="C97" s="81" t="s">
        <v>339</v>
      </c>
      <c r="D97" s="81" t="s">
        <v>340</v>
      </c>
      <c r="E97" s="81" t="s">
        <v>447</v>
      </c>
      <c r="F97" s="162" t="s">
        <v>448</v>
      </c>
      <c r="G97" s="163"/>
      <c r="H97" s="81" t="s">
        <v>451</v>
      </c>
      <c r="I97" s="81" t="s">
        <v>344</v>
      </c>
      <c r="J97" s="81" t="s">
        <v>11</v>
      </c>
      <c r="K97" s="81" t="s">
        <v>459</v>
      </c>
      <c r="L97" s="81" t="s">
        <v>129</v>
      </c>
      <c r="M97" s="164">
        <v>23.1</v>
      </c>
      <c r="N97" s="165"/>
      <c r="O97" s="163"/>
      <c r="P97" s="82">
        <v>78.489999999999995</v>
      </c>
      <c r="Q97" s="164">
        <v>0</v>
      </c>
      <c r="R97" s="163"/>
      <c r="S97" s="81" t="s">
        <v>346</v>
      </c>
      <c r="T97" s="82">
        <v>63</v>
      </c>
      <c r="U97" s="82">
        <v>0</v>
      </c>
      <c r="V97" s="82">
        <v>0</v>
      </c>
      <c r="W97" s="82">
        <v>0</v>
      </c>
      <c r="X97" s="81" t="s">
        <v>132</v>
      </c>
      <c r="Y97" s="82">
        <v>16</v>
      </c>
      <c r="Z97" s="81" t="s">
        <v>138</v>
      </c>
      <c r="AA97" s="81" t="s">
        <v>456</v>
      </c>
      <c r="AB97" s="81" t="s">
        <v>457</v>
      </c>
      <c r="AC97" s="83">
        <v>46095</v>
      </c>
    </row>
    <row r="98" spans="2:29" ht="23" x14ac:dyDescent="0.35">
      <c r="B98" s="81" t="s">
        <v>338</v>
      </c>
      <c r="C98" s="81" t="s">
        <v>339</v>
      </c>
      <c r="D98" s="81" t="s">
        <v>340</v>
      </c>
      <c r="E98" s="81" t="s">
        <v>447</v>
      </c>
      <c r="F98" s="162" t="s">
        <v>448</v>
      </c>
      <c r="G98" s="163"/>
      <c r="H98" s="81" t="s">
        <v>451</v>
      </c>
      <c r="I98" s="81" t="s">
        <v>344</v>
      </c>
      <c r="J98" s="81" t="s">
        <v>11</v>
      </c>
      <c r="K98" s="81" t="s">
        <v>460</v>
      </c>
      <c r="L98" s="81" t="s">
        <v>129</v>
      </c>
      <c r="M98" s="164">
        <v>23</v>
      </c>
      <c r="N98" s="165"/>
      <c r="O98" s="163"/>
      <c r="P98" s="82">
        <v>78.150000000000006</v>
      </c>
      <c r="Q98" s="164">
        <v>0</v>
      </c>
      <c r="R98" s="163"/>
      <c r="S98" s="81" t="s">
        <v>346</v>
      </c>
      <c r="T98" s="82">
        <v>63</v>
      </c>
      <c r="U98" s="82">
        <v>0</v>
      </c>
      <c r="V98" s="82">
        <v>0</v>
      </c>
      <c r="W98" s="82">
        <v>0</v>
      </c>
      <c r="X98" s="81"/>
      <c r="Y98" s="81"/>
      <c r="Z98" s="81" t="s">
        <v>138</v>
      </c>
      <c r="AA98" s="81" t="s">
        <v>453</v>
      </c>
      <c r="AB98" s="81" t="s">
        <v>58</v>
      </c>
      <c r="AC98" s="83">
        <v>46095</v>
      </c>
    </row>
    <row r="99" spans="2:29" ht="23" x14ac:dyDescent="0.35">
      <c r="B99" s="81" t="s">
        <v>338</v>
      </c>
      <c r="C99" s="81" t="s">
        <v>339</v>
      </c>
      <c r="D99" s="81" t="s">
        <v>340</v>
      </c>
      <c r="E99" s="81" t="s">
        <v>447</v>
      </c>
      <c r="F99" s="162" t="s">
        <v>448</v>
      </c>
      <c r="G99" s="163"/>
      <c r="H99" s="81" t="s">
        <v>451</v>
      </c>
      <c r="I99" s="81" t="s">
        <v>344</v>
      </c>
      <c r="J99" s="81" t="s">
        <v>11</v>
      </c>
      <c r="K99" s="81" t="s">
        <v>461</v>
      </c>
      <c r="L99" s="81" t="s">
        <v>129</v>
      </c>
      <c r="M99" s="164">
        <v>23.4</v>
      </c>
      <c r="N99" s="165"/>
      <c r="O99" s="163"/>
      <c r="P99" s="82">
        <v>79.510000000000005</v>
      </c>
      <c r="Q99" s="164">
        <v>0</v>
      </c>
      <c r="R99" s="163"/>
      <c r="S99" s="81" t="s">
        <v>346</v>
      </c>
      <c r="T99" s="82">
        <v>63</v>
      </c>
      <c r="U99" s="82">
        <v>0</v>
      </c>
      <c r="V99" s="82">
        <v>0</v>
      </c>
      <c r="W99" s="82">
        <v>0</v>
      </c>
      <c r="X99" s="81" t="s">
        <v>148</v>
      </c>
      <c r="Y99" s="82">
        <v>1</v>
      </c>
      <c r="Z99" s="81" t="s">
        <v>138</v>
      </c>
      <c r="AA99" s="81" t="s">
        <v>453</v>
      </c>
      <c r="AB99" s="81" t="s">
        <v>58</v>
      </c>
      <c r="AC99" s="83">
        <v>46095</v>
      </c>
    </row>
    <row r="100" spans="2:29" ht="23" x14ac:dyDescent="0.35">
      <c r="B100" s="81" t="s">
        <v>338</v>
      </c>
      <c r="C100" s="81" t="s">
        <v>339</v>
      </c>
      <c r="D100" s="81" t="s">
        <v>340</v>
      </c>
      <c r="E100" s="81" t="s">
        <v>447</v>
      </c>
      <c r="F100" s="162" t="s">
        <v>448</v>
      </c>
      <c r="G100" s="163"/>
      <c r="H100" s="81" t="s">
        <v>451</v>
      </c>
      <c r="I100" s="81" t="s">
        <v>344</v>
      </c>
      <c r="J100" s="81" t="s">
        <v>11</v>
      </c>
      <c r="K100" s="81" t="s">
        <v>462</v>
      </c>
      <c r="L100" s="81" t="s">
        <v>129</v>
      </c>
      <c r="M100" s="164">
        <v>23.4</v>
      </c>
      <c r="N100" s="165"/>
      <c r="O100" s="163"/>
      <c r="P100" s="82">
        <v>79.510000000000005</v>
      </c>
      <c r="Q100" s="164">
        <v>0</v>
      </c>
      <c r="R100" s="163"/>
      <c r="S100" s="81" t="s">
        <v>346</v>
      </c>
      <c r="T100" s="82">
        <v>63</v>
      </c>
      <c r="U100" s="82">
        <v>0</v>
      </c>
      <c r="V100" s="82">
        <v>0</v>
      </c>
      <c r="W100" s="82">
        <v>0</v>
      </c>
      <c r="X100" s="81" t="s">
        <v>142</v>
      </c>
      <c r="Y100" s="82">
        <v>4</v>
      </c>
      <c r="Z100" s="81" t="s">
        <v>138</v>
      </c>
      <c r="AA100" s="81" t="s">
        <v>453</v>
      </c>
      <c r="AB100" s="81" t="s">
        <v>58</v>
      </c>
      <c r="AC100" s="83">
        <v>46095</v>
      </c>
    </row>
    <row r="101" spans="2:29" ht="23" x14ac:dyDescent="0.35">
      <c r="B101" s="81" t="s">
        <v>338</v>
      </c>
      <c r="C101" s="81" t="s">
        <v>339</v>
      </c>
      <c r="D101" s="81" t="s">
        <v>340</v>
      </c>
      <c r="E101" s="81" t="s">
        <v>447</v>
      </c>
      <c r="F101" s="162" t="s">
        <v>448</v>
      </c>
      <c r="G101" s="163"/>
      <c r="H101" s="81" t="s">
        <v>451</v>
      </c>
      <c r="I101" s="81" t="s">
        <v>344</v>
      </c>
      <c r="J101" s="81" t="s">
        <v>11</v>
      </c>
      <c r="K101" s="81" t="s">
        <v>463</v>
      </c>
      <c r="L101" s="81" t="s">
        <v>129</v>
      </c>
      <c r="M101" s="164">
        <v>15.8</v>
      </c>
      <c r="N101" s="165"/>
      <c r="O101" s="163"/>
      <c r="P101" s="82">
        <v>53.68</v>
      </c>
      <c r="Q101" s="164">
        <v>0</v>
      </c>
      <c r="R101" s="163"/>
      <c r="S101" s="81" t="s">
        <v>346</v>
      </c>
      <c r="T101" s="82">
        <v>63</v>
      </c>
      <c r="U101" s="82">
        <v>0</v>
      </c>
      <c r="V101" s="82">
        <v>0</v>
      </c>
      <c r="W101" s="82">
        <v>0</v>
      </c>
      <c r="X101" s="81" t="s">
        <v>141</v>
      </c>
      <c r="Y101" s="82">
        <v>8</v>
      </c>
      <c r="Z101" s="81" t="s">
        <v>138</v>
      </c>
      <c r="AA101" s="81" t="s">
        <v>453</v>
      </c>
      <c r="AB101" s="81" t="s">
        <v>58</v>
      </c>
      <c r="AC101" s="83">
        <v>46095</v>
      </c>
    </row>
    <row r="102" spans="2:29" ht="23" x14ac:dyDescent="0.35">
      <c r="B102" s="81" t="s">
        <v>338</v>
      </c>
      <c r="C102" s="81" t="s">
        <v>339</v>
      </c>
      <c r="D102" s="81" t="s">
        <v>340</v>
      </c>
      <c r="E102" s="81" t="s">
        <v>447</v>
      </c>
      <c r="F102" s="162" t="s">
        <v>448</v>
      </c>
      <c r="G102" s="163"/>
      <c r="H102" s="81" t="s">
        <v>451</v>
      </c>
      <c r="I102" s="81" t="s">
        <v>344</v>
      </c>
      <c r="J102" s="81" t="s">
        <v>11</v>
      </c>
      <c r="K102" s="81" t="s">
        <v>464</v>
      </c>
      <c r="L102" s="81" t="s">
        <v>129</v>
      </c>
      <c r="M102" s="164">
        <v>21.8</v>
      </c>
      <c r="N102" s="165"/>
      <c r="O102" s="163"/>
      <c r="P102" s="82">
        <v>74.069999999999993</v>
      </c>
      <c r="Q102" s="164">
        <v>0</v>
      </c>
      <c r="R102" s="163"/>
      <c r="S102" s="81" t="s">
        <v>346</v>
      </c>
      <c r="T102" s="82">
        <v>63</v>
      </c>
      <c r="U102" s="82">
        <v>0</v>
      </c>
      <c r="V102" s="82">
        <v>0</v>
      </c>
      <c r="W102" s="82">
        <v>0</v>
      </c>
      <c r="X102" s="81" t="s">
        <v>147</v>
      </c>
      <c r="Y102" s="82">
        <v>8</v>
      </c>
      <c r="Z102" s="81" t="s">
        <v>138</v>
      </c>
      <c r="AA102" s="81" t="s">
        <v>453</v>
      </c>
      <c r="AB102" s="81" t="s">
        <v>58</v>
      </c>
      <c r="AC102" s="83">
        <v>46095</v>
      </c>
    </row>
    <row r="103" spans="2:29" ht="23" x14ac:dyDescent="0.35">
      <c r="B103" s="81" t="s">
        <v>338</v>
      </c>
      <c r="C103" s="81" t="s">
        <v>339</v>
      </c>
      <c r="D103" s="81" t="s">
        <v>340</v>
      </c>
      <c r="E103" s="81" t="s">
        <v>447</v>
      </c>
      <c r="F103" s="162" t="s">
        <v>448</v>
      </c>
      <c r="G103" s="163"/>
      <c r="H103" s="81" t="s">
        <v>451</v>
      </c>
      <c r="I103" s="81" t="s">
        <v>344</v>
      </c>
      <c r="J103" s="81" t="s">
        <v>11</v>
      </c>
      <c r="K103" s="81" t="s">
        <v>465</v>
      </c>
      <c r="L103" s="81" t="s">
        <v>129</v>
      </c>
      <c r="M103" s="164">
        <v>23.3</v>
      </c>
      <c r="N103" s="165"/>
      <c r="O103" s="163"/>
      <c r="P103" s="82">
        <v>79.17</v>
      </c>
      <c r="Q103" s="164">
        <v>0</v>
      </c>
      <c r="R103" s="163"/>
      <c r="S103" s="81" t="s">
        <v>346</v>
      </c>
      <c r="T103" s="82">
        <v>63</v>
      </c>
      <c r="U103" s="82">
        <v>0</v>
      </c>
      <c r="V103" s="82">
        <v>0</v>
      </c>
      <c r="W103" s="82">
        <v>0</v>
      </c>
      <c r="X103" s="81" t="s">
        <v>147</v>
      </c>
      <c r="Y103" s="82">
        <v>4</v>
      </c>
      <c r="Z103" s="81" t="s">
        <v>138</v>
      </c>
      <c r="AA103" s="81" t="s">
        <v>453</v>
      </c>
      <c r="AB103" s="81" t="s">
        <v>58</v>
      </c>
      <c r="AC103" s="83">
        <v>46095</v>
      </c>
    </row>
    <row r="104" spans="2:29" ht="23" x14ac:dyDescent="0.35">
      <c r="B104" s="81" t="s">
        <v>338</v>
      </c>
      <c r="C104" s="81" t="s">
        <v>339</v>
      </c>
      <c r="D104" s="81" t="s">
        <v>340</v>
      </c>
      <c r="E104" s="81" t="s">
        <v>447</v>
      </c>
      <c r="F104" s="162" t="s">
        <v>448</v>
      </c>
      <c r="G104" s="163"/>
      <c r="H104" s="81" t="s">
        <v>451</v>
      </c>
      <c r="I104" s="81" t="s">
        <v>344</v>
      </c>
      <c r="J104" s="81" t="s">
        <v>11</v>
      </c>
      <c r="K104" s="81" t="s">
        <v>466</v>
      </c>
      <c r="L104" s="81" t="s">
        <v>129</v>
      </c>
      <c r="M104" s="164">
        <v>22.4</v>
      </c>
      <c r="N104" s="165"/>
      <c r="O104" s="163"/>
      <c r="P104" s="82">
        <v>76.11</v>
      </c>
      <c r="Q104" s="164">
        <v>0</v>
      </c>
      <c r="R104" s="163"/>
      <c r="S104" s="81" t="s">
        <v>346</v>
      </c>
      <c r="T104" s="82">
        <v>63</v>
      </c>
      <c r="U104" s="82">
        <v>0</v>
      </c>
      <c r="V104" s="82">
        <v>0</v>
      </c>
      <c r="W104" s="82">
        <v>0</v>
      </c>
      <c r="X104" s="81" t="s">
        <v>136</v>
      </c>
      <c r="Y104" s="82">
        <v>8</v>
      </c>
      <c r="Z104" s="81" t="s">
        <v>138</v>
      </c>
      <c r="AA104" s="81" t="s">
        <v>453</v>
      </c>
      <c r="AB104" s="81" t="s">
        <v>58</v>
      </c>
      <c r="AC104" s="83">
        <v>46095</v>
      </c>
    </row>
    <row r="105" spans="2:29" ht="23" x14ac:dyDescent="0.35">
      <c r="B105" s="81" t="s">
        <v>338</v>
      </c>
      <c r="C105" s="81" t="s">
        <v>339</v>
      </c>
      <c r="D105" s="81" t="s">
        <v>340</v>
      </c>
      <c r="E105" s="81" t="s">
        <v>447</v>
      </c>
      <c r="F105" s="162" t="s">
        <v>448</v>
      </c>
      <c r="G105" s="163"/>
      <c r="H105" s="81" t="s">
        <v>451</v>
      </c>
      <c r="I105" s="81" t="s">
        <v>344</v>
      </c>
      <c r="J105" s="81" t="s">
        <v>11</v>
      </c>
      <c r="K105" s="81" t="s">
        <v>467</v>
      </c>
      <c r="L105" s="81" t="s">
        <v>129</v>
      </c>
      <c r="M105" s="164">
        <v>20.100000000000001</v>
      </c>
      <c r="N105" s="165"/>
      <c r="O105" s="163"/>
      <c r="P105" s="82">
        <v>68.290000000000006</v>
      </c>
      <c r="Q105" s="164">
        <v>0</v>
      </c>
      <c r="R105" s="163"/>
      <c r="S105" s="81" t="s">
        <v>346</v>
      </c>
      <c r="T105" s="82">
        <v>63</v>
      </c>
      <c r="U105" s="82">
        <v>0</v>
      </c>
      <c r="V105" s="82">
        <v>0</v>
      </c>
      <c r="W105" s="82">
        <v>0</v>
      </c>
      <c r="X105" s="81" t="s">
        <v>141</v>
      </c>
      <c r="Y105" s="82">
        <v>12</v>
      </c>
      <c r="Z105" s="81" t="s">
        <v>138</v>
      </c>
      <c r="AA105" s="81" t="s">
        <v>453</v>
      </c>
      <c r="AB105" s="81" t="s">
        <v>58</v>
      </c>
      <c r="AC105" s="83">
        <v>46095</v>
      </c>
    </row>
    <row r="106" spans="2:29" ht="23" x14ac:dyDescent="0.35">
      <c r="B106" s="81" t="s">
        <v>338</v>
      </c>
      <c r="C106" s="81" t="s">
        <v>339</v>
      </c>
      <c r="D106" s="81" t="s">
        <v>340</v>
      </c>
      <c r="E106" s="81" t="s">
        <v>447</v>
      </c>
      <c r="F106" s="162" t="s">
        <v>448</v>
      </c>
      <c r="G106" s="163"/>
      <c r="H106" s="81" t="s">
        <v>451</v>
      </c>
      <c r="I106" s="81" t="s">
        <v>344</v>
      </c>
      <c r="J106" s="81" t="s">
        <v>11</v>
      </c>
      <c r="K106" s="81" t="s">
        <v>468</v>
      </c>
      <c r="L106" s="81" t="s">
        <v>11</v>
      </c>
      <c r="M106" s="164">
        <v>11.4</v>
      </c>
      <c r="N106" s="165"/>
      <c r="O106" s="163"/>
      <c r="P106" s="82">
        <v>38.729999999999997</v>
      </c>
      <c r="Q106" s="164">
        <v>0</v>
      </c>
      <c r="R106" s="163"/>
      <c r="S106" s="81" t="s">
        <v>346</v>
      </c>
      <c r="T106" s="82">
        <v>63</v>
      </c>
      <c r="U106" s="82">
        <v>0</v>
      </c>
      <c r="V106" s="82">
        <v>0</v>
      </c>
      <c r="W106" s="82">
        <v>0</v>
      </c>
      <c r="X106" s="81" t="s">
        <v>141</v>
      </c>
      <c r="Y106" s="82">
        <v>8</v>
      </c>
      <c r="Z106" s="81" t="s">
        <v>138</v>
      </c>
      <c r="AA106" s="81" t="s">
        <v>453</v>
      </c>
      <c r="AB106" s="81" t="s">
        <v>58</v>
      </c>
      <c r="AC106" s="83">
        <v>46095</v>
      </c>
    </row>
    <row r="107" spans="2:29" ht="23" x14ac:dyDescent="0.35">
      <c r="B107" s="81" t="s">
        <v>338</v>
      </c>
      <c r="C107" s="81" t="s">
        <v>339</v>
      </c>
      <c r="D107" s="81" t="s">
        <v>340</v>
      </c>
      <c r="E107" s="81" t="s">
        <v>447</v>
      </c>
      <c r="F107" s="162" t="s">
        <v>448</v>
      </c>
      <c r="G107" s="163"/>
      <c r="H107" s="81" t="s">
        <v>451</v>
      </c>
      <c r="I107" s="81" t="s">
        <v>344</v>
      </c>
      <c r="J107" s="81" t="s">
        <v>11</v>
      </c>
      <c r="K107" s="81" t="s">
        <v>469</v>
      </c>
      <c r="L107" s="81" t="s">
        <v>129</v>
      </c>
      <c r="M107" s="164">
        <v>23.1</v>
      </c>
      <c r="N107" s="165"/>
      <c r="O107" s="163"/>
      <c r="P107" s="82">
        <v>78.489999999999995</v>
      </c>
      <c r="Q107" s="164">
        <v>0</v>
      </c>
      <c r="R107" s="163"/>
      <c r="S107" s="81" t="s">
        <v>346</v>
      </c>
      <c r="T107" s="82">
        <v>63</v>
      </c>
      <c r="U107" s="82">
        <v>0</v>
      </c>
      <c r="V107" s="82">
        <v>0</v>
      </c>
      <c r="W107" s="82">
        <v>0</v>
      </c>
      <c r="X107" s="81" t="s">
        <v>141</v>
      </c>
      <c r="Y107" s="82">
        <v>24</v>
      </c>
      <c r="Z107" s="81" t="s">
        <v>138</v>
      </c>
      <c r="AA107" s="81" t="s">
        <v>453</v>
      </c>
      <c r="AB107" s="81" t="s">
        <v>58</v>
      </c>
      <c r="AC107" s="83">
        <v>46095</v>
      </c>
    </row>
    <row r="108" spans="2:29" ht="23" x14ac:dyDescent="0.35">
      <c r="B108" s="81" t="s">
        <v>338</v>
      </c>
      <c r="C108" s="81" t="s">
        <v>339</v>
      </c>
      <c r="D108" s="81" t="s">
        <v>340</v>
      </c>
      <c r="E108" s="81" t="s">
        <v>447</v>
      </c>
      <c r="F108" s="162" t="s">
        <v>448</v>
      </c>
      <c r="G108" s="163"/>
      <c r="H108" s="81" t="s">
        <v>451</v>
      </c>
      <c r="I108" s="81" t="s">
        <v>344</v>
      </c>
      <c r="J108" s="81" t="s">
        <v>11</v>
      </c>
      <c r="K108" s="81" t="s">
        <v>470</v>
      </c>
      <c r="L108" s="81" t="s">
        <v>129</v>
      </c>
      <c r="M108" s="164">
        <v>22.4</v>
      </c>
      <c r="N108" s="165"/>
      <c r="O108" s="163"/>
      <c r="P108" s="82">
        <v>76.11</v>
      </c>
      <c r="Q108" s="164">
        <v>0</v>
      </c>
      <c r="R108" s="163"/>
      <c r="S108" s="81" t="s">
        <v>346</v>
      </c>
      <c r="T108" s="82">
        <v>63</v>
      </c>
      <c r="U108" s="82">
        <v>0</v>
      </c>
      <c r="V108" s="82">
        <v>0</v>
      </c>
      <c r="W108" s="82">
        <v>0</v>
      </c>
      <c r="X108" s="81" t="s">
        <v>141</v>
      </c>
      <c r="Y108" s="82">
        <v>12</v>
      </c>
      <c r="Z108" s="81" t="s">
        <v>138</v>
      </c>
      <c r="AA108" s="81" t="s">
        <v>453</v>
      </c>
      <c r="AB108" s="81" t="s">
        <v>58</v>
      </c>
      <c r="AC108" s="83">
        <v>46095</v>
      </c>
    </row>
    <row r="109" spans="2:29" ht="23" x14ac:dyDescent="0.35">
      <c r="B109" s="81" t="s">
        <v>338</v>
      </c>
      <c r="C109" s="81" t="s">
        <v>339</v>
      </c>
      <c r="D109" s="81" t="s">
        <v>340</v>
      </c>
      <c r="E109" s="81" t="s">
        <v>447</v>
      </c>
      <c r="F109" s="162" t="s">
        <v>448</v>
      </c>
      <c r="G109" s="163"/>
      <c r="H109" s="81" t="s">
        <v>451</v>
      </c>
      <c r="I109" s="81" t="s">
        <v>344</v>
      </c>
      <c r="J109" s="81" t="s">
        <v>11</v>
      </c>
      <c r="K109" s="81" t="s">
        <v>471</v>
      </c>
      <c r="L109" s="81" t="s">
        <v>129</v>
      </c>
      <c r="M109" s="164">
        <v>22</v>
      </c>
      <c r="N109" s="165"/>
      <c r="O109" s="163"/>
      <c r="P109" s="82">
        <v>74.75</v>
      </c>
      <c r="Q109" s="164">
        <v>0</v>
      </c>
      <c r="R109" s="163"/>
      <c r="S109" s="81" t="s">
        <v>346</v>
      </c>
      <c r="T109" s="82">
        <v>63</v>
      </c>
      <c r="U109" s="82">
        <v>0</v>
      </c>
      <c r="V109" s="82">
        <v>0</v>
      </c>
      <c r="W109" s="82">
        <v>0</v>
      </c>
      <c r="X109" s="81" t="s">
        <v>133</v>
      </c>
      <c r="Y109" s="82">
        <v>8</v>
      </c>
      <c r="Z109" s="81" t="s">
        <v>138</v>
      </c>
      <c r="AA109" s="81" t="s">
        <v>453</v>
      </c>
      <c r="AB109" s="81" t="s">
        <v>58</v>
      </c>
      <c r="AC109" s="83">
        <v>46095</v>
      </c>
    </row>
    <row r="110" spans="2:29" ht="23" x14ac:dyDescent="0.35">
      <c r="B110" s="81" t="s">
        <v>338</v>
      </c>
      <c r="C110" s="81" t="s">
        <v>339</v>
      </c>
      <c r="D110" s="81" t="s">
        <v>340</v>
      </c>
      <c r="E110" s="81" t="s">
        <v>447</v>
      </c>
      <c r="F110" s="162" t="s">
        <v>448</v>
      </c>
      <c r="G110" s="163"/>
      <c r="H110" s="81" t="s">
        <v>451</v>
      </c>
      <c r="I110" s="81" t="s">
        <v>344</v>
      </c>
      <c r="J110" s="81" t="s">
        <v>11</v>
      </c>
      <c r="K110" s="81" t="s">
        <v>472</v>
      </c>
      <c r="L110" s="81" t="s">
        <v>129</v>
      </c>
      <c r="M110" s="164">
        <v>22.3</v>
      </c>
      <c r="N110" s="165"/>
      <c r="O110" s="163"/>
      <c r="P110" s="82">
        <v>75.77</v>
      </c>
      <c r="Q110" s="164">
        <v>0</v>
      </c>
      <c r="R110" s="163"/>
      <c r="S110" s="81" t="s">
        <v>346</v>
      </c>
      <c r="T110" s="82">
        <v>63</v>
      </c>
      <c r="U110" s="82">
        <v>0</v>
      </c>
      <c r="V110" s="82">
        <v>0</v>
      </c>
      <c r="W110" s="82">
        <v>0</v>
      </c>
      <c r="X110" s="81" t="s">
        <v>148</v>
      </c>
      <c r="Y110" s="82">
        <v>1</v>
      </c>
      <c r="Z110" s="81" t="s">
        <v>138</v>
      </c>
      <c r="AA110" s="81" t="s">
        <v>453</v>
      </c>
      <c r="AB110" s="81" t="s">
        <v>58</v>
      </c>
      <c r="AC110" s="83">
        <v>46095</v>
      </c>
    </row>
    <row r="111" spans="2:29" ht="23" x14ac:dyDescent="0.35">
      <c r="B111" s="81" t="s">
        <v>338</v>
      </c>
      <c r="C111" s="81" t="s">
        <v>339</v>
      </c>
      <c r="D111" s="81" t="s">
        <v>340</v>
      </c>
      <c r="E111" s="81" t="s">
        <v>447</v>
      </c>
      <c r="F111" s="162" t="s">
        <v>448</v>
      </c>
      <c r="G111" s="163"/>
      <c r="H111" s="81" t="s">
        <v>451</v>
      </c>
      <c r="I111" s="81" t="s">
        <v>344</v>
      </c>
      <c r="J111" s="81" t="s">
        <v>11</v>
      </c>
      <c r="K111" s="81" t="s">
        <v>473</v>
      </c>
      <c r="L111" s="81" t="s">
        <v>129</v>
      </c>
      <c r="M111" s="164">
        <v>22.1</v>
      </c>
      <c r="N111" s="165"/>
      <c r="O111" s="163"/>
      <c r="P111" s="82">
        <v>75.09</v>
      </c>
      <c r="Q111" s="164">
        <v>0</v>
      </c>
      <c r="R111" s="163"/>
      <c r="S111" s="81" t="s">
        <v>346</v>
      </c>
      <c r="T111" s="82">
        <v>63</v>
      </c>
      <c r="U111" s="82">
        <v>0</v>
      </c>
      <c r="V111" s="82">
        <v>0</v>
      </c>
      <c r="W111" s="82">
        <v>0</v>
      </c>
      <c r="X111" s="81" t="s">
        <v>474</v>
      </c>
      <c r="Y111" s="82">
        <v>12</v>
      </c>
      <c r="Z111" s="81" t="s">
        <v>138</v>
      </c>
      <c r="AA111" s="81" t="s">
        <v>453</v>
      </c>
      <c r="AB111" s="81" t="s">
        <v>58</v>
      </c>
      <c r="AC111" s="83">
        <v>46095</v>
      </c>
    </row>
    <row r="112" spans="2:29" ht="23" x14ac:dyDescent="0.35">
      <c r="B112" s="81" t="s">
        <v>338</v>
      </c>
      <c r="C112" s="81" t="s">
        <v>339</v>
      </c>
      <c r="D112" s="81" t="s">
        <v>340</v>
      </c>
      <c r="E112" s="81" t="s">
        <v>475</v>
      </c>
      <c r="F112" s="162" t="s">
        <v>476</v>
      </c>
      <c r="G112" s="163"/>
      <c r="H112" s="81" t="s">
        <v>477</v>
      </c>
      <c r="I112" s="81" t="s">
        <v>344</v>
      </c>
      <c r="J112" s="81" t="s">
        <v>11</v>
      </c>
      <c r="K112" s="81" t="s">
        <v>478</v>
      </c>
      <c r="L112" s="81" t="s">
        <v>129</v>
      </c>
      <c r="M112" s="164">
        <v>21.6</v>
      </c>
      <c r="N112" s="165"/>
      <c r="O112" s="163"/>
      <c r="P112" s="82">
        <v>76.89</v>
      </c>
      <c r="Q112" s="164">
        <v>0</v>
      </c>
      <c r="R112" s="163"/>
      <c r="S112" s="81" t="s">
        <v>346</v>
      </c>
      <c r="T112" s="82">
        <v>63</v>
      </c>
      <c r="U112" s="82">
        <v>0</v>
      </c>
      <c r="V112" s="82">
        <v>0</v>
      </c>
      <c r="W112" s="82">
        <v>0</v>
      </c>
      <c r="X112" s="81"/>
      <c r="Y112" s="81"/>
      <c r="Z112" s="81" t="s">
        <v>138</v>
      </c>
      <c r="AA112" s="81" t="s">
        <v>58</v>
      </c>
      <c r="AB112" s="81" t="s">
        <v>58</v>
      </c>
      <c r="AC112" s="83">
        <v>46094</v>
      </c>
    </row>
    <row r="113" spans="2:29" ht="23" x14ac:dyDescent="0.35">
      <c r="B113" s="81" t="s">
        <v>338</v>
      </c>
      <c r="C113" s="81" t="s">
        <v>339</v>
      </c>
      <c r="D113" s="81" t="s">
        <v>340</v>
      </c>
      <c r="E113" s="81" t="s">
        <v>475</v>
      </c>
      <c r="F113" s="162" t="s">
        <v>476</v>
      </c>
      <c r="G113" s="163"/>
      <c r="H113" s="81" t="s">
        <v>477</v>
      </c>
      <c r="I113" s="81" t="s">
        <v>344</v>
      </c>
      <c r="J113" s="81" t="s">
        <v>11</v>
      </c>
      <c r="K113" s="81" t="s">
        <v>479</v>
      </c>
      <c r="L113" s="81" t="s">
        <v>129</v>
      </c>
      <c r="M113" s="164">
        <v>23</v>
      </c>
      <c r="N113" s="165"/>
      <c r="O113" s="163"/>
      <c r="P113" s="82">
        <v>81.87</v>
      </c>
      <c r="Q113" s="164">
        <v>0</v>
      </c>
      <c r="R113" s="163"/>
      <c r="S113" s="81" t="s">
        <v>346</v>
      </c>
      <c r="T113" s="82">
        <v>63</v>
      </c>
      <c r="U113" s="82">
        <v>0</v>
      </c>
      <c r="V113" s="82">
        <v>0</v>
      </c>
      <c r="W113" s="82">
        <v>0</v>
      </c>
      <c r="X113" s="81"/>
      <c r="Y113" s="81"/>
      <c r="Z113" s="81" t="s">
        <v>138</v>
      </c>
      <c r="AA113" s="81" t="s">
        <v>58</v>
      </c>
      <c r="AB113" s="81" t="s">
        <v>58</v>
      </c>
      <c r="AC113" s="83">
        <v>46094</v>
      </c>
    </row>
    <row r="114" spans="2:29" ht="23" x14ac:dyDescent="0.35">
      <c r="B114" s="81" t="s">
        <v>338</v>
      </c>
      <c r="C114" s="81" t="s">
        <v>339</v>
      </c>
      <c r="D114" s="81" t="s">
        <v>340</v>
      </c>
      <c r="E114" s="81" t="s">
        <v>475</v>
      </c>
      <c r="F114" s="162" t="s">
        <v>476</v>
      </c>
      <c r="G114" s="163"/>
      <c r="H114" s="81" t="s">
        <v>477</v>
      </c>
      <c r="I114" s="81" t="s">
        <v>344</v>
      </c>
      <c r="J114" s="81" t="s">
        <v>11</v>
      </c>
      <c r="K114" s="81" t="s">
        <v>480</v>
      </c>
      <c r="L114" s="81" t="s">
        <v>129</v>
      </c>
      <c r="M114" s="164">
        <v>23</v>
      </c>
      <c r="N114" s="165"/>
      <c r="O114" s="163"/>
      <c r="P114" s="82">
        <v>81.87</v>
      </c>
      <c r="Q114" s="164">
        <v>0</v>
      </c>
      <c r="R114" s="163"/>
      <c r="S114" s="81" t="s">
        <v>346</v>
      </c>
      <c r="T114" s="82">
        <v>63</v>
      </c>
      <c r="U114" s="82">
        <v>0</v>
      </c>
      <c r="V114" s="82">
        <v>0</v>
      </c>
      <c r="W114" s="82">
        <v>0</v>
      </c>
      <c r="X114" s="81" t="s">
        <v>133</v>
      </c>
      <c r="Y114" s="82">
        <v>4</v>
      </c>
      <c r="Z114" s="81" t="s">
        <v>138</v>
      </c>
      <c r="AA114" s="81" t="s">
        <v>58</v>
      </c>
      <c r="AB114" s="81" t="s">
        <v>58</v>
      </c>
      <c r="AC114" s="83">
        <v>46094</v>
      </c>
    </row>
    <row r="115" spans="2:29" ht="23" x14ac:dyDescent="0.35">
      <c r="B115" s="81" t="s">
        <v>338</v>
      </c>
      <c r="C115" s="81" t="s">
        <v>339</v>
      </c>
      <c r="D115" s="81" t="s">
        <v>340</v>
      </c>
      <c r="E115" s="81" t="s">
        <v>475</v>
      </c>
      <c r="F115" s="162" t="s">
        <v>476</v>
      </c>
      <c r="G115" s="163"/>
      <c r="H115" s="81" t="s">
        <v>477</v>
      </c>
      <c r="I115" s="81" t="s">
        <v>344</v>
      </c>
      <c r="J115" s="81" t="s">
        <v>11</v>
      </c>
      <c r="K115" s="81" t="s">
        <v>481</v>
      </c>
      <c r="L115" s="81" t="s">
        <v>129</v>
      </c>
      <c r="M115" s="164">
        <v>23.1</v>
      </c>
      <c r="N115" s="165"/>
      <c r="O115" s="163"/>
      <c r="P115" s="82">
        <v>82.23</v>
      </c>
      <c r="Q115" s="164">
        <v>0</v>
      </c>
      <c r="R115" s="163"/>
      <c r="S115" s="81" t="s">
        <v>346</v>
      </c>
      <c r="T115" s="82">
        <v>63</v>
      </c>
      <c r="U115" s="82">
        <v>0</v>
      </c>
      <c r="V115" s="82">
        <v>0</v>
      </c>
      <c r="W115" s="82">
        <v>0</v>
      </c>
      <c r="X115" s="81" t="s">
        <v>141</v>
      </c>
      <c r="Y115" s="82">
        <v>4</v>
      </c>
      <c r="Z115" s="81" t="s">
        <v>138</v>
      </c>
      <c r="AA115" s="81" t="s">
        <v>58</v>
      </c>
      <c r="AB115" s="81" t="s">
        <v>58</v>
      </c>
      <c r="AC115" s="83">
        <v>46094</v>
      </c>
    </row>
    <row r="116" spans="2:29" ht="23" x14ac:dyDescent="0.35">
      <c r="B116" s="81" t="s">
        <v>338</v>
      </c>
      <c r="C116" s="81" t="s">
        <v>339</v>
      </c>
      <c r="D116" s="81" t="s">
        <v>340</v>
      </c>
      <c r="E116" s="81" t="s">
        <v>475</v>
      </c>
      <c r="F116" s="162" t="s">
        <v>476</v>
      </c>
      <c r="G116" s="163"/>
      <c r="H116" s="81" t="s">
        <v>477</v>
      </c>
      <c r="I116" s="81" t="s">
        <v>344</v>
      </c>
      <c r="J116" s="81" t="s">
        <v>11</v>
      </c>
      <c r="K116" s="81" t="s">
        <v>482</v>
      </c>
      <c r="L116" s="81" t="s">
        <v>129</v>
      </c>
      <c r="M116" s="164">
        <v>18.8</v>
      </c>
      <c r="N116" s="165"/>
      <c r="O116" s="163"/>
      <c r="P116" s="82">
        <v>66.92</v>
      </c>
      <c r="Q116" s="164">
        <v>0</v>
      </c>
      <c r="R116" s="163"/>
      <c r="S116" s="81" t="s">
        <v>346</v>
      </c>
      <c r="T116" s="82">
        <v>63</v>
      </c>
      <c r="U116" s="82">
        <v>0</v>
      </c>
      <c r="V116" s="82">
        <v>0</v>
      </c>
      <c r="W116" s="82">
        <v>0</v>
      </c>
      <c r="X116" s="81" t="s">
        <v>133</v>
      </c>
      <c r="Y116" s="82">
        <v>4</v>
      </c>
      <c r="Z116" s="81" t="s">
        <v>138</v>
      </c>
      <c r="AA116" s="81" t="s">
        <v>58</v>
      </c>
      <c r="AB116" s="81" t="s">
        <v>58</v>
      </c>
      <c r="AC116" s="83">
        <v>46094</v>
      </c>
    </row>
    <row r="117" spans="2:29" ht="23" x14ac:dyDescent="0.35">
      <c r="B117" s="81" t="s">
        <v>338</v>
      </c>
      <c r="C117" s="81" t="s">
        <v>339</v>
      </c>
      <c r="D117" s="81" t="s">
        <v>340</v>
      </c>
      <c r="E117" s="81" t="s">
        <v>475</v>
      </c>
      <c r="F117" s="162" t="s">
        <v>476</v>
      </c>
      <c r="G117" s="163"/>
      <c r="H117" s="81" t="s">
        <v>477</v>
      </c>
      <c r="I117" s="81" t="s">
        <v>344</v>
      </c>
      <c r="J117" s="81" t="s">
        <v>11</v>
      </c>
      <c r="K117" s="81" t="s">
        <v>483</v>
      </c>
      <c r="L117" s="81" t="s">
        <v>129</v>
      </c>
      <c r="M117" s="164">
        <v>23.2</v>
      </c>
      <c r="N117" s="165"/>
      <c r="O117" s="163"/>
      <c r="P117" s="82">
        <v>82.58</v>
      </c>
      <c r="Q117" s="164">
        <v>0</v>
      </c>
      <c r="R117" s="163"/>
      <c r="S117" s="81" t="s">
        <v>346</v>
      </c>
      <c r="T117" s="82">
        <v>63</v>
      </c>
      <c r="U117" s="82">
        <v>0</v>
      </c>
      <c r="V117" s="82">
        <v>0</v>
      </c>
      <c r="W117" s="82">
        <v>0</v>
      </c>
      <c r="X117" s="81"/>
      <c r="Y117" s="81"/>
      <c r="Z117" s="81" t="s">
        <v>138</v>
      </c>
      <c r="AA117" s="81" t="s">
        <v>58</v>
      </c>
      <c r="AB117" s="81" t="s">
        <v>58</v>
      </c>
      <c r="AC117" s="83">
        <v>46094</v>
      </c>
    </row>
    <row r="118" spans="2:29" ht="23" x14ac:dyDescent="0.35">
      <c r="B118" s="81" t="s">
        <v>338</v>
      </c>
      <c r="C118" s="81" t="s">
        <v>339</v>
      </c>
      <c r="D118" s="81" t="s">
        <v>340</v>
      </c>
      <c r="E118" s="81" t="s">
        <v>475</v>
      </c>
      <c r="F118" s="162" t="s">
        <v>476</v>
      </c>
      <c r="G118" s="163"/>
      <c r="H118" s="81" t="s">
        <v>477</v>
      </c>
      <c r="I118" s="81" t="s">
        <v>344</v>
      </c>
      <c r="J118" s="81" t="s">
        <v>11</v>
      </c>
      <c r="K118" s="81" t="s">
        <v>484</v>
      </c>
      <c r="L118" s="81" t="s">
        <v>129</v>
      </c>
      <c r="M118" s="164">
        <v>22.5</v>
      </c>
      <c r="N118" s="165"/>
      <c r="O118" s="163"/>
      <c r="P118" s="82">
        <v>80.09</v>
      </c>
      <c r="Q118" s="164">
        <v>0</v>
      </c>
      <c r="R118" s="163"/>
      <c r="S118" s="81" t="s">
        <v>346</v>
      </c>
      <c r="T118" s="82">
        <v>63</v>
      </c>
      <c r="U118" s="82">
        <v>0</v>
      </c>
      <c r="V118" s="82">
        <v>0</v>
      </c>
      <c r="W118" s="82">
        <v>0</v>
      </c>
      <c r="X118" s="81"/>
      <c r="Y118" s="81"/>
      <c r="Z118" s="81" t="s">
        <v>138</v>
      </c>
      <c r="AA118" s="81" t="s">
        <v>58</v>
      </c>
      <c r="AB118" s="81" t="s">
        <v>58</v>
      </c>
      <c r="AC118" s="83">
        <v>46094</v>
      </c>
    </row>
    <row r="119" spans="2:29" ht="23" x14ac:dyDescent="0.35">
      <c r="B119" s="81" t="s">
        <v>338</v>
      </c>
      <c r="C119" s="81" t="s">
        <v>339</v>
      </c>
      <c r="D119" s="81" t="s">
        <v>340</v>
      </c>
      <c r="E119" s="81" t="s">
        <v>475</v>
      </c>
      <c r="F119" s="162" t="s">
        <v>476</v>
      </c>
      <c r="G119" s="163"/>
      <c r="H119" s="81" t="s">
        <v>477</v>
      </c>
      <c r="I119" s="81" t="s">
        <v>344</v>
      </c>
      <c r="J119" s="81" t="s">
        <v>11</v>
      </c>
      <c r="K119" s="81" t="s">
        <v>485</v>
      </c>
      <c r="L119" s="81" t="s">
        <v>129</v>
      </c>
      <c r="M119" s="164">
        <v>23.4</v>
      </c>
      <c r="N119" s="165"/>
      <c r="O119" s="163"/>
      <c r="P119" s="82">
        <v>83.29</v>
      </c>
      <c r="Q119" s="164">
        <v>0</v>
      </c>
      <c r="R119" s="163"/>
      <c r="S119" s="81" t="s">
        <v>346</v>
      </c>
      <c r="T119" s="82">
        <v>63</v>
      </c>
      <c r="U119" s="82">
        <v>0</v>
      </c>
      <c r="V119" s="82">
        <v>0</v>
      </c>
      <c r="W119" s="82">
        <v>0</v>
      </c>
      <c r="X119" s="81"/>
      <c r="Y119" s="81"/>
      <c r="Z119" s="81" t="s">
        <v>138</v>
      </c>
      <c r="AA119" s="81" t="s">
        <v>58</v>
      </c>
      <c r="AB119" s="81" t="s">
        <v>58</v>
      </c>
      <c r="AC119" s="83">
        <v>46094</v>
      </c>
    </row>
    <row r="120" spans="2:29" ht="23" x14ac:dyDescent="0.35">
      <c r="B120" s="81" t="s">
        <v>338</v>
      </c>
      <c r="C120" s="81" t="s">
        <v>339</v>
      </c>
      <c r="D120" s="81" t="s">
        <v>340</v>
      </c>
      <c r="E120" s="81" t="s">
        <v>475</v>
      </c>
      <c r="F120" s="162" t="s">
        <v>476</v>
      </c>
      <c r="G120" s="163"/>
      <c r="H120" s="81" t="s">
        <v>477</v>
      </c>
      <c r="I120" s="81" t="s">
        <v>344</v>
      </c>
      <c r="J120" s="81" t="s">
        <v>11</v>
      </c>
      <c r="K120" s="81" t="s">
        <v>486</v>
      </c>
      <c r="L120" s="81" t="s">
        <v>129</v>
      </c>
      <c r="M120" s="164">
        <v>22.6</v>
      </c>
      <c r="N120" s="165"/>
      <c r="O120" s="163"/>
      <c r="P120" s="82">
        <v>80.45</v>
      </c>
      <c r="Q120" s="164">
        <v>0</v>
      </c>
      <c r="R120" s="163"/>
      <c r="S120" s="81" t="s">
        <v>346</v>
      </c>
      <c r="T120" s="82">
        <v>63</v>
      </c>
      <c r="U120" s="82">
        <v>0</v>
      </c>
      <c r="V120" s="82">
        <v>0</v>
      </c>
      <c r="W120" s="82">
        <v>0</v>
      </c>
      <c r="X120" s="81"/>
      <c r="Y120" s="81"/>
      <c r="Z120" s="81" t="s">
        <v>138</v>
      </c>
      <c r="AA120" s="81" t="s">
        <v>58</v>
      </c>
      <c r="AB120" s="81" t="s">
        <v>58</v>
      </c>
      <c r="AC120" s="83">
        <v>46094</v>
      </c>
    </row>
    <row r="121" spans="2:29" ht="23" x14ac:dyDescent="0.35">
      <c r="B121" s="81" t="s">
        <v>338</v>
      </c>
      <c r="C121" s="81" t="s">
        <v>339</v>
      </c>
      <c r="D121" s="81" t="s">
        <v>340</v>
      </c>
      <c r="E121" s="81" t="s">
        <v>475</v>
      </c>
      <c r="F121" s="162" t="s">
        <v>476</v>
      </c>
      <c r="G121" s="163"/>
      <c r="H121" s="81" t="s">
        <v>477</v>
      </c>
      <c r="I121" s="81" t="s">
        <v>344</v>
      </c>
      <c r="J121" s="81" t="s">
        <v>11</v>
      </c>
      <c r="K121" s="81" t="s">
        <v>487</v>
      </c>
      <c r="L121" s="81" t="s">
        <v>129</v>
      </c>
      <c r="M121" s="164">
        <v>23</v>
      </c>
      <c r="N121" s="165"/>
      <c r="O121" s="163"/>
      <c r="P121" s="82">
        <v>81.87</v>
      </c>
      <c r="Q121" s="164">
        <v>0</v>
      </c>
      <c r="R121" s="163"/>
      <c r="S121" s="81" t="s">
        <v>346</v>
      </c>
      <c r="T121" s="82">
        <v>63</v>
      </c>
      <c r="U121" s="82">
        <v>0</v>
      </c>
      <c r="V121" s="82">
        <v>0</v>
      </c>
      <c r="W121" s="82">
        <v>0</v>
      </c>
      <c r="X121" s="81"/>
      <c r="Y121" s="81"/>
      <c r="Z121" s="81" t="s">
        <v>138</v>
      </c>
      <c r="AA121" s="81" t="s">
        <v>58</v>
      </c>
      <c r="AB121" s="81" t="s">
        <v>58</v>
      </c>
      <c r="AC121" s="83">
        <v>46094</v>
      </c>
    </row>
    <row r="122" spans="2:29" ht="23" x14ac:dyDescent="0.35">
      <c r="B122" s="81" t="s">
        <v>338</v>
      </c>
      <c r="C122" s="81" t="s">
        <v>339</v>
      </c>
      <c r="D122" s="81" t="s">
        <v>340</v>
      </c>
      <c r="E122" s="81" t="s">
        <v>475</v>
      </c>
      <c r="F122" s="162" t="s">
        <v>476</v>
      </c>
      <c r="G122" s="163"/>
      <c r="H122" s="81" t="s">
        <v>477</v>
      </c>
      <c r="I122" s="81" t="s">
        <v>344</v>
      </c>
      <c r="J122" s="81" t="s">
        <v>11</v>
      </c>
      <c r="K122" s="81" t="s">
        <v>488</v>
      </c>
      <c r="L122" s="81" t="s">
        <v>129</v>
      </c>
      <c r="M122" s="164">
        <v>23.1</v>
      </c>
      <c r="N122" s="165"/>
      <c r="O122" s="163"/>
      <c r="P122" s="82">
        <v>82.23</v>
      </c>
      <c r="Q122" s="164">
        <v>0</v>
      </c>
      <c r="R122" s="163"/>
      <c r="S122" s="81" t="s">
        <v>346</v>
      </c>
      <c r="T122" s="82">
        <v>63</v>
      </c>
      <c r="U122" s="82">
        <v>0</v>
      </c>
      <c r="V122" s="82">
        <v>0</v>
      </c>
      <c r="W122" s="82">
        <v>0</v>
      </c>
      <c r="X122" s="81" t="s">
        <v>133</v>
      </c>
      <c r="Y122" s="82">
        <v>4</v>
      </c>
      <c r="Z122" s="81" t="s">
        <v>138</v>
      </c>
      <c r="AA122" s="81" t="s">
        <v>58</v>
      </c>
      <c r="AB122" s="81" t="s">
        <v>58</v>
      </c>
      <c r="AC122" s="83">
        <v>46094</v>
      </c>
    </row>
    <row r="123" spans="2:29" ht="23" x14ac:dyDescent="0.35">
      <c r="B123" s="81" t="s">
        <v>338</v>
      </c>
      <c r="C123" s="81" t="s">
        <v>339</v>
      </c>
      <c r="D123" s="81" t="s">
        <v>340</v>
      </c>
      <c r="E123" s="81" t="s">
        <v>475</v>
      </c>
      <c r="F123" s="162" t="s">
        <v>476</v>
      </c>
      <c r="G123" s="163"/>
      <c r="H123" s="81" t="s">
        <v>477</v>
      </c>
      <c r="I123" s="81" t="s">
        <v>344</v>
      </c>
      <c r="J123" s="81" t="s">
        <v>11</v>
      </c>
      <c r="K123" s="81" t="s">
        <v>489</v>
      </c>
      <c r="L123" s="81" t="s">
        <v>129</v>
      </c>
      <c r="M123" s="164">
        <v>5.2</v>
      </c>
      <c r="N123" s="165"/>
      <c r="O123" s="163"/>
      <c r="P123" s="82">
        <v>18.05</v>
      </c>
      <c r="Q123" s="164">
        <v>0</v>
      </c>
      <c r="R123" s="163"/>
      <c r="S123" s="81" t="s">
        <v>346</v>
      </c>
      <c r="T123" s="82">
        <v>63</v>
      </c>
      <c r="U123" s="82">
        <v>0</v>
      </c>
      <c r="V123" s="82">
        <v>0</v>
      </c>
      <c r="W123" s="82">
        <v>0</v>
      </c>
      <c r="X123" s="81" t="s">
        <v>142</v>
      </c>
      <c r="Y123" s="82">
        <v>4</v>
      </c>
      <c r="Z123" s="81" t="s">
        <v>138</v>
      </c>
      <c r="AA123" s="81" t="s">
        <v>58</v>
      </c>
      <c r="AB123" s="81" t="s">
        <v>58</v>
      </c>
      <c r="AC123" s="83">
        <v>46114</v>
      </c>
    </row>
    <row r="124" spans="2:29" ht="23" x14ac:dyDescent="0.35">
      <c r="B124" s="81" t="s">
        <v>338</v>
      </c>
      <c r="C124" s="81" t="s">
        <v>339</v>
      </c>
      <c r="D124" s="81" t="s">
        <v>340</v>
      </c>
      <c r="E124" s="81" t="s">
        <v>475</v>
      </c>
      <c r="F124" s="162" t="s">
        <v>476</v>
      </c>
      <c r="G124" s="163"/>
      <c r="H124" s="81" t="s">
        <v>477</v>
      </c>
      <c r="I124" s="81" t="s">
        <v>344</v>
      </c>
      <c r="J124" s="81" t="s">
        <v>11</v>
      </c>
      <c r="K124" s="81" t="s">
        <v>490</v>
      </c>
      <c r="L124" s="81" t="s">
        <v>129</v>
      </c>
      <c r="M124" s="164">
        <v>32.299999999999997</v>
      </c>
      <c r="N124" s="165"/>
      <c r="O124" s="163"/>
      <c r="P124" s="82">
        <v>114.97</v>
      </c>
      <c r="Q124" s="164">
        <v>0</v>
      </c>
      <c r="R124" s="163"/>
      <c r="S124" s="81" t="s">
        <v>346</v>
      </c>
      <c r="T124" s="82">
        <v>63</v>
      </c>
      <c r="U124" s="82">
        <v>0</v>
      </c>
      <c r="V124" s="82">
        <v>0</v>
      </c>
      <c r="W124" s="82">
        <v>0</v>
      </c>
      <c r="X124" s="81" t="s">
        <v>141</v>
      </c>
      <c r="Y124" s="82">
        <v>20</v>
      </c>
      <c r="Z124" s="81" t="s">
        <v>138</v>
      </c>
      <c r="AA124" s="81" t="s">
        <v>58</v>
      </c>
      <c r="AB124" s="81" t="s">
        <v>58</v>
      </c>
      <c r="AC124" s="83">
        <v>46094</v>
      </c>
    </row>
    <row r="125" spans="2:29" ht="23" x14ac:dyDescent="0.35">
      <c r="B125" s="81" t="s">
        <v>338</v>
      </c>
      <c r="C125" s="81" t="s">
        <v>339</v>
      </c>
      <c r="D125" s="81" t="s">
        <v>340</v>
      </c>
      <c r="E125" s="81" t="s">
        <v>475</v>
      </c>
      <c r="F125" s="162" t="s">
        <v>476</v>
      </c>
      <c r="G125" s="163"/>
      <c r="H125" s="81" t="s">
        <v>477</v>
      </c>
      <c r="I125" s="81" t="s">
        <v>344</v>
      </c>
      <c r="J125" s="81" t="s">
        <v>11</v>
      </c>
      <c r="K125" s="81" t="s">
        <v>491</v>
      </c>
      <c r="L125" s="81" t="s">
        <v>129</v>
      </c>
      <c r="M125" s="164">
        <v>22.8</v>
      </c>
      <c r="N125" s="165"/>
      <c r="O125" s="163"/>
      <c r="P125" s="82">
        <v>81.16</v>
      </c>
      <c r="Q125" s="164">
        <v>0</v>
      </c>
      <c r="R125" s="163"/>
      <c r="S125" s="81" t="s">
        <v>346</v>
      </c>
      <c r="T125" s="82">
        <v>63</v>
      </c>
      <c r="U125" s="82">
        <v>0</v>
      </c>
      <c r="V125" s="82">
        <v>0</v>
      </c>
      <c r="W125" s="82">
        <v>0</v>
      </c>
      <c r="X125" s="81" t="s">
        <v>141</v>
      </c>
      <c r="Y125" s="82">
        <v>24</v>
      </c>
      <c r="Z125" s="81" t="s">
        <v>138</v>
      </c>
      <c r="AA125" s="81" t="s">
        <v>58</v>
      </c>
      <c r="AB125" s="81" t="s">
        <v>58</v>
      </c>
      <c r="AC125" s="83">
        <v>46094</v>
      </c>
    </row>
    <row r="126" spans="2:29" ht="23" x14ac:dyDescent="0.35">
      <c r="B126" s="81" t="s">
        <v>338</v>
      </c>
      <c r="C126" s="81" t="s">
        <v>339</v>
      </c>
      <c r="D126" s="81" t="s">
        <v>340</v>
      </c>
      <c r="E126" s="81" t="s">
        <v>475</v>
      </c>
      <c r="F126" s="162" t="s">
        <v>476</v>
      </c>
      <c r="G126" s="163"/>
      <c r="H126" s="81" t="s">
        <v>477</v>
      </c>
      <c r="I126" s="81" t="s">
        <v>344</v>
      </c>
      <c r="J126" s="81" t="s">
        <v>11</v>
      </c>
      <c r="K126" s="81" t="s">
        <v>492</v>
      </c>
      <c r="L126" s="81" t="s">
        <v>129</v>
      </c>
      <c r="M126" s="164">
        <v>22.3</v>
      </c>
      <c r="N126" s="165"/>
      <c r="O126" s="163"/>
      <c r="P126" s="82">
        <v>79.38</v>
      </c>
      <c r="Q126" s="164">
        <v>0</v>
      </c>
      <c r="R126" s="163"/>
      <c r="S126" s="81" t="s">
        <v>346</v>
      </c>
      <c r="T126" s="82">
        <v>63</v>
      </c>
      <c r="U126" s="82">
        <v>0</v>
      </c>
      <c r="V126" s="82">
        <v>0</v>
      </c>
      <c r="W126" s="82">
        <v>0</v>
      </c>
      <c r="X126" s="81" t="s">
        <v>141</v>
      </c>
      <c r="Y126" s="82">
        <v>16</v>
      </c>
      <c r="Z126" s="81" t="s">
        <v>138</v>
      </c>
      <c r="AA126" s="81" t="s">
        <v>58</v>
      </c>
      <c r="AB126" s="81" t="s">
        <v>58</v>
      </c>
      <c r="AC126" s="83">
        <v>46094</v>
      </c>
    </row>
    <row r="127" spans="2:29" ht="23" x14ac:dyDescent="0.35">
      <c r="B127" s="81" t="s">
        <v>338</v>
      </c>
      <c r="C127" s="81" t="s">
        <v>339</v>
      </c>
      <c r="D127" s="81" t="s">
        <v>340</v>
      </c>
      <c r="E127" s="81" t="s">
        <v>475</v>
      </c>
      <c r="F127" s="162" t="s">
        <v>476</v>
      </c>
      <c r="G127" s="163"/>
      <c r="H127" s="81" t="s">
        <v>477</v>
      </c>
      <c r="I127" s="81" t="s">
        <v>344</v>
      </c>
      <c r="J127" s="81" t="s">
        <v>11</v>
      </c>
      <c r="K127" s="81" t="s">
        <v>493</v>
      </c>
      <c r="L127" s="81" t="s">
        <v>129</v>
      </c>
      <c r="M127" s="164">
        <v>21.5</v>
      </c>
      <c r="N127" s="165"/>
      <c r="O127" s="163"/>
      <c r="P127" s="82">
        <v>76.53</v>
      </c>
      <c r="Q127" s="164">
        <v>0</v>
      </c>
      <c r="R127" s="163"/>
      <c r="S127" s="81" t="s">
        <v>346</v>
      </c>
      <c r="T127" s="82">
        <v>63</v>
      </c>
      <c r="U127" s="82">
        <v>0</v>
      </c>
      <c r="V127" s="82">
        <v>0</v>
      </c>
      <c r="W127" s="82">
        <v>0</v>
      </c>
      <c r="X127" s="81" t="s">
        <v>141</v>
      </c>
      <c r="Y127" s="82">
        <v>20</v>
      </c>
      <c r="Z127" s="81" t="s">
        <v>138</v>
      </c>
      <c r="AA127" s="81" t="s">
        <v>58</v>
      </c>
      <c r="AB127" s="81" t="s">
        <v>58</v>
      </c>
      <c r="AC127" s="83">
        <v>46094</v>
      </c>
    </row>
    <row r="128" spans="2:29" ht="23" x14ac:dyDescent="0.35">
      <c r="B128" s="81" t="s">
        <v>338</v>
      </c>
      <c r="C128" s="81" t="s">
        <v>339</v>
      </c>
      <c r="D128" s="81" t="s">
        <v>340</v>
      </c>
      <c r="E128" s="81" t="s">
        <v>475</v>
      </c>
      <c r="F128" s="162" t="s">
        <v>476</v>
      </c>
      <c r="G128" s="163"/>
      <c r="H128" s="81" t="s">
        <v>477</v>
      </c>
      <c r="I128" s="81" t="s">
        <v>344</v>
      </c>
      <c r="J128" s="81" t="s">
        <v>11</v>
      </c>
      <c r="K128" s="81" t="s">
        <v>494</v>
      </c>
      <c r="L128" s="81" t="s">
        <v>129</v>
      </c>
      <c r="M128" s="164">
        <v>24.4</v>
      </c>
      <c r="N128" s="165"/>
      <c r="O128" s="163"/>
      <c r="P128" s="82">
        <v>86.85</v>
      </c>
      <c r="Q128" s="164">
        <v>0</v>
      </c>
      <c r="R128" s="163"/>
      <c r="S128" s="81" t="s">
        <v>346</v>
      </c>
      <c r="T128" s="82">
        <v>63</v>
      </c>
      <c r="U128" s="82">
        <v>0</v>
      </c>
      <c r="V128" s="82">
        <v>0</v>
      </c>
      <c r="W128" s="82">
        <v>0</v>
      </c>
      <c r="X128" s="81" t="s">
        <v>141</v>
      </c>
      <c r="Y128" s="82">
        <v>28</v>
      </c>
      <c r="Z128" s="81" t="s">
        <v>138</v>
      </c>
      <c r="AA128" s="81" t="s">
        <v>58</v>
      </c>
      <c r="AB128" s="81" t="s">
        <v>58</v>
      </c>
      <c r="AC128" s="83">
        <v>46094</v>
      </c>
    </row>
    <row r="129" spans="2:29" ht="23" x14ac:dyDescent="0.35">
      <c r="B129" s="81" t="s">
        <v>338</v>
      </c>
      <c r="C129" s="81" t="s">
        <v>339</v>
      </c>
      <c r="D129" s="81" t="s">
        <v>340</v>
      </c>
      <c r="E129" s="81" t="s">
        <v>475</v>
      </c>
      <c r="F129" s="162" t="s">
        <v>476</v>
      </c>
      <c r="G129" s="163"/>
      <c r="H129" s="81" t="s">
        <v>477</v>
      </c>
      <c r="I129" s="81" t="s">
        <v>344</v>
      </c>
      <c r="J129" s="81" t="s">
        <v>11</v>
      </c>
      <c r="K129" s="81" t="s">
        <v>495</v>
      </c>
      <c r="L129" s="81" t="s">
        <v>129</v>
      </c>
      <c r="M129" s="164">
        <v>23.2</v>
      </c>
      <c r="N129" s="165"/>
      <c r="O129" s="163"/>
      <c r="P129" s="82">
        <v>82.58</v>
      </c>
      <c r="Q129" s="164">
        <v>0</v>
      </c>
      <c r="R129" s="163"/>
      <c r="S129" s="81" t="s">
        <v>346</v>
      </c>
      <c r="T129" s="82">
        <v>63</v>
      </c>
      <c r="U129" s="82">
        <v>0</v>
      </c>
      <c r="V129" s="82">
        <v>0</v>
      </c>
      <c r="W129" s="82">
        <v>0</v>
      </c>
      <c r="X129" s="81" t="s">
        <v>141</v>
      </c>
      <c r="Y129" s="82">
        <v>40</v>
      </c>
      <c r="Z129" s="81" t="s">
        <v>138</v>
      </c>
      <c r="AA129" s="81" t="s">
        <v>58</v>
      </c>
      <c r="AB129" s="81" t="s">
        <v>58</v>
      </c>
      <c r="AC129" s="83">
        <v>46094</v>
      </c>
    </row>
    <row r="130" spans="2:29" ht="23" x14ac:dyDescent="0.35">
      <c r="B130" s="81" t="s">
        <v>338</v>
      </c>
      <c r="C130" s="81" t="s">
        <v>339</v>
      </c>
      <c r="D130" s="81" t="s">
        <v>340</v>
      </c>
      <c r="E130" s="81" t="s">
        <v>496</v>
      </c>
      <c r="F130" s="162" t="s">
        <v>497</v>
      </c>
      <c r="G130" s="163"/>
      <c r="H130" s="81" t="s">
        <v>498</v>
      </c>
      <c r="I130" s="81" t="s">
        <v>344</v>
      </c>
      <c r="J130" s="81" t="s">
        <v>11</v>
      </c>
      <c r="K130" s="81" t="s">
        <v>499</v>
      </c>
      <c r="L130" s="81" t="s">
        <v>129</v>
      </c>
      <c r="M130" s="164">
        <v>23.4</v>
      </c>
      <c r="N130" s="165"/>
      <c r="O130" s="163"/>
      <c r="P130" s="82">
        <v>85.09</v>
      </c>
      <c r="Q130" s="164">
        <v>0</v>
      </c>
      <c r="R130" s="163"/>
      <c r="S130" s="81" t="s">
        <v>346</v>
      </c>
      <c r="T130" s="82">
        <v>63</v>
      </c>
      <c r="U130" s="82">
        <v>0</v>
      </c>
      <c r="V130" s="82">
        <v>0</v>
      </c>
      <c r="W130" s="82">
        <v>0</v>
      </c>
      <c r="X130" s="81"/>
      <c r="Y130" s="81"/>
      <c r="Z130" s="81" t="s">
        <v>138</v>
      </c>
      <c r="AA130" s="81" t="s">
        <v>58</v>
      </c>
      <c r="AB130" s="81" t="s">
        <v>58</v>
      </c>
      <c r="AC130" s="83">
        <v>46094</v>
      </c>
    </row>
    <row r="131" spans="2:29" ht="23" x14ac:dyDescent="0.35">
      <c r="B131" s="81" t="s">
        <v>338</v>
      </c>
      <c r="C131" s="81" t="s">
        <v>339</v>
      </c>
      <c r="D131" s="81" t="s">
        <v>340</v>
      </c>
      <c r="E131" s="81" t="s">
        <v>496</v>
      </c>
      <c r="F131" s="162" t="s">
        <v>497</v>
      </c>
      <c r="G131" s="163"/>
      <c r="H131" s="81" t="s">
        <v>498</v>
      </c>
      <c r="I131" s="81" t="s">
        <v>344</v>
      </c>
      <c r="J131" s="81" t="s">
        <v>11</v>
      </c>
      <c r="K131" s="81" t="s">
        <v>500</v>
      </c>
      <c r="L131" s="81" t="s">
        <v>129</v>
      </c>
      <c r="M131" s="164">
        <v>23.1</v>
      </c>
      <c r="N131" s="165"/>
      <c r="O131" s="163"/>
      <c r="P131" s="82">
        <v>84</v>
      </c>
      <c r="Q131" s="164">
        <v>0</v>
      </c>
      <c r="R131" s="163"/>
      <c r="S131" s="81" t="s">
        <v>346</v>
      </c>
      <c r="T131" s="82">
        <v>63</v>
      </c>
      <c r="U131" s="82">
        <v>0</v>
      </c>
      <c r="V131" s="82">
        <v>0</v>
      </c>
      <c r="W131" s="82">
        <v>0</v>
      </c>
      <c r="X131" s="81"/>
      <c r="Y131" s="81"/>
      <c r="Z131" s="81" t="s">
        <v>138</v>
      </c>
      <c r="AA131" s="81" t="s">
        <v>58</v>
      </c>
      <c r="AB131" s="81" t="s">
        <v>58</v>
      </c>
      <c r="AC131" s="83">
        <v>46094</v>
      </c>
    </row>
    <row r="132" spans="2:29" ht="23" x14ac:dyDescent="0.35">
      <c r="B132" s="81" t="s">
        <v>338</v>
      </c>
      <c r="C132" s="81" t="s">
        <v>339</v>
      </c>
      <c r="D132" s="81" t="s">
        <v>340</v>
      </c>
      <c r="E132" s="81" t="s">
        <v>496</v>
      </c>
      <c r="F132" s="162" t="s">
        <v>497</v>
      </c>
      <c r="G132" s="163"/>
      <c r="H132" s="81" t="s">
        <v>498</v>
      </c>
      <c r="I132" s="81" t="s">
        <v>344</v>
      </c>
      <c r="J132" s="81" t="s">
        <v>11</v>
      </c>
      <c r="K132" s="81" t="s">
        <v>501</v>
      </c>
      <c r="L132" s="81" t="s">
        <v>129</v>
      </c>
      <c r="M132" s="164">
        <v>23.1</v>
      </c>
      <c r="N132" s="165"/>
      <c r="O132" s="163"/>
      <c r="P132" s="82">
        <v>84</v>
      </c>
      <c r="Q132" s="164">
        <v>0</v>
      </c>
      <c r="R132" s="163"/>
      <c r="S132" s="81" t="s">
        <v>346</v>
      </c>
      <c r="T132" s="82">
        <v>63</v>
      </c>
      <c r="U132" s="82">
        <v>0</v>
      </c>
      <c r="V132" s="82">
        <v>0</v>
      </c>
      <c r="W132" s="82">
        <v>0</v>
      </c>
      <c r="X132" s="81" t="s">
        <v>132</v>
      </c>
      <c r="Y132" s="82">
        <v>24</v>
      </c>
      <c r="Z132" s="81" t="s">
        <v>138</v>
      </c>
      <c r="AA132" s="81" t="s">
        <v>58</v>
      </c>
      <c r="AB132" s="81" t="s">
        <v>58</v>
      </c>
      <c r="AC132" s="83">
        <v>46094</v>
      </c>
    </row>
    <row r="133" spans="2:29" ht="23" x14ac:dyDescent="0.35">
      <c r="B133" s="81" t="s">
        <v>338</v>
      </c>
      <c r="C133" s="81" t="s">
        <v>339</v>
      </c>
      <c r="D133" s="81" t="s">
        <v>340</v>
      </c>
      <c r="E133" s="81" t="s">
        <v>475</v>
      </c>
      <c r="F133" s="162" t="s">
        <v>476</v>
      </c>
      <c r="G133" s="163"/>
      <c r="H133" s="81" t="s">
        <v>477</v>
      </c>
      <c r="I133" s="81" t="s">
        <v>344</v>
      </c>
      <c r="J133" s="81" t="s">
        <v>11</v>
      </c>
      <c r="K133" s="81" t="s">
        <v>502</v>
      </c>
      <c r="L133" s="81" t="s">
        <v>11</v>
      </c>
      <c r="M133" s="164">
        <v>23</v>
      </c>
      <c r="N133" s="165"/>
      <c r="O133" s="163"/>
      <c r="P133" s="82">
        <v>81.87</v>
      </c>
      <c r="Q133" s="164">
        <v>0</v>
      </c>
      <c r="R133" s="163"/>
      <c r="S133" s="81" t="s">
        <v>346</v>
      </c>
      <c r="T133" s="82">
        <v>63</v>
      </c>
      <c r="U133" s="82">
        <v>0</v>
      </c>
      <c r="V133" s="82">
        <v>0</v>
      </c>
      <c r="W133" s="82">
        <v>0</v>
      </c>
      <c r="X133" s="81" t="s">
        <v>141</v>
      </c>
      <c r="Y133" s="82">
        <v>44</v>
      </c>
      <c r="Z133" s="81" t="s">
        <v>138</v>
      </c>
      <c r="AA133" s="81" t="s">
        <v>58</v>
      </c>
      <c r="AB133" s="81" t="s">
        <v>58</v>
      </c>
      <c r="AC133" s="83">
        <v>46094</v>
      </c>
    </row>
    <row r="134" spans="2:29" ht="23" x14ac:dyDescent="0.35">
      <c r="B134" s="81" t="s">
        <v>338</v>
      </c>
      <c r="C134" s="81" t="s">
        <v>339</v>
      </c>
      <c r="D134" s="81" t="s">
        <v>340</v>
      </c>
      <c r="E134" s="81" t="s">
        <v>475</v>
      </c>
      <c r="F134" s="162" t="s">
        <v>476</v>
      </c>
      <c r="G134" s="163"/>
      <c r="H134" s="81" t="s">
        <v>477</v>
      </c>
      <c r="I134" s="81" t="s">
        <v>344</v>
      </c>
      <c r="J134" s="81" t="s">
        <v>11</v>
      </c>
      <c r="K134" s="81" t="s">
        <v>503</v>
      </c>
      <c r="L134" s="81" t="s">
        <v>129</v>
      </c>
      <c r="M134" s="164">
        <v>23</v>
      </c>
      <c r="N134" s="165"/>
      <c r="O134" s="163"/>
      <c r="P134" s="82">
        <v>81.87</v>
      </c>
      <c r="Q134" s="164">
        <v>0</v>
      </c>
      <c r="R134" s="163"/>
      <c r="S134" s="81" t="s">
        <v>346</v>
      </c>
      <c r="T134" s="82">
        <v>63</v>
      </c>
      <c r="U134" s="82">
        <v>0</v>
      </c>
      <c r="V134" s="82">
        <v>0</v>
      </c>
      <c r="W134" s="82">
        <v>0</v>
      </c>
      <c r="X134" s="81" t="s">
        <v>141</v>
      </c>
      <c r="Y134" s="82">
        <v>28</v>
      </c>
      <c r="Z134" s="81" t="s">
        <v>138</v>
      </c>
      <c r="AA134" s="81" t="s">
        <v>58</v>
      </c>
      <c r="AB134" s="81" t="s">
        <v>58</v>
      </c>
      <c r="AC134" s="83">
        <v>46094</v>
      </c>
    </row>
    <row r="135" spans="2:29" ht="23" x14ac:dyDescent="0.35">
      <c r="B135" s="81" t="s">
        <v>338</v>
      </c>
      <c r="C135" s="81" t="s">
        <v>339</v>
      </c>
      <c r="D135" s="81" t="s">
        <v>340</v>
      </c>
      <c r="E135" s="81" t="s">
        <v>475</v>
      </c>
      <c r="F135" s="162" t="s">
        <v>476</v>
      </c>
      <c r="G135" s="163"/>
      <c r="H135" s="81" t="s">
        <v>477</v>
      </c>
      <c r="I135" s="81" t="s">
        <v>344</v>
      </c>
      <c r="J135" s="81" t="s">
        <v>11</v>
      </c>
      <c r="K135" s="81" t="s">
        <v>504</v>
      </c>
      <c r="L135" s="81" t="s">
        <v>129</v>
      </c>
      <c r="M135" s="164">
        <v>23</v>
      </c>
      <c r="N135" s="165"/>
      <c r="O135" s="163"/>
      <c r="P135" s="82">
        <v>81.87</v>
      </c>
      <c r="Q135" s="164">
        <v>0</v>
      </c>
      <c r="R135" s="163"/>
      <c r="S135" s="81" t="s">
        <v>346</v>
      </c>
      <c r="T135" s="82">
        <v>63</v>
      </c>
      <c r="U135" s="82">
        <v>0</v>
      </c>
      <c r="V135" s="82">
        <v>0</v>
      </c>
      <c r="W135" s="82">
        <v>0</v>
      </c>
      <c r="X135" s="81" t="s">
        <v>141</v>
      </c>
      <c r="Y135" s="82">
        <v>28</v>
      </c>
      <c r="Z135" s="81" t="s">
        <v>138</v>
      </c>
      <c r="AA135" s="81" t="s">
        <v>58</v>
      </c>
      <c r="AB135" s="81" t="s">
        <v>58</v>
      </c>
      <c r="AC135" s="83">
        <v>46094</v>
      </c>
    </row>
    <row r="136" spans="2:29" ht="23" x14ac:dyDescent="0.35">
      <c r="B136" s="81" t="s">
        <v>338</v>
      </c>
      <c r="C136" s="81" t="s">
        <v>339</v>
      </c>
      <c r="D136" s="81" t="s">
        <v>340</v>
      </c>
      <c r="E136" s="81" t="s">
        <v>475</v>
      </c>
      <c r="F136" s="162" t="s">
        <v>476</v>
      </c>
      <c r="G136" s="163"/>
      <c r="H136" s="81" t="s">
        <v>477</v>
      </c>
      <c r="I136" s="81" t="s">
        <v>344</v>
      </c>
      <c r="J136" s="81" t="s">
        <v>11</v>
      </c>
      <c r="K136" s="81" t="s">
        <v>505</v>
      </c>
      <c r="L136" s="81" t="s">
        <v>129</v>
      </c>
      <c r="M136" s="164">
        <v>23.2</v>
      </c>
      <c r="N136" s="165"/>
      <c r="O136" s="163"/>
      <c r="P136" s="82">
        <v>82.58</v>
      </c>
      <c r="Q136" s="164">
        <v>0</v>
      </c>
      <c r="R136" s="163"/>
      <c r="S136" s="81" t="s">
        <v>346</v>
      </c>
      <c r="T136" s="82">
        <v>63</v>
      </c>
      <c r="U136" s="82">
        <v>0</v>
      </c>
      <c r="V136" s="82">
        <v>0</v>
      </c>
      <c r="W136" s="82">
        <v>0</v>
      </c>
      <c r="X136" s="81" t="s">
        <v>141</v>
      </c>
      <c r="Y136" s="82">
        <v>24</v>
      </c>
      <c r="Z136" s="81" t="s">
        <v>138</v>
      </c>
      <c r="AA136" s="81" t="s">
        <v>58</v>
      </c>
      <c r="AB136" s="81" t="s">
        <v>58</v>
      </c>
      <c r="AC136" s="83">
        <v>46094</v>
      </c>
    </row>
    <row r="137" spans="2:29" ht="23" x14ac:dyDescent="0.35">
      <c r="B137" s="81" t="s">
        <v>338</v>
      </c>
      <c r="C137" s="81" t="s">
        <v>339</v>
      </c>
      <c r="D137" s="81" t="s">
        <v>340</v>
      </c>
      <c r="E137" s="81" t="s">
        <v>475</v>
      </c>
      <c r="F137" s="162" t="s">
        <v>476</v>
      </c>
      <c r="G137" s="163"/>
      <c r="H137" s="81" t="s">
        <v>477</v>
      </c>
      <c r="I137" s="81" t="s">
        <v>344</v>
      </c>
      <c r="J137" s="81" t="s">
        <v>11</v>
      </c>
      <c r="K137" s="81" t="s">
        <v>506</v>
      </c>
      <c r="L137" s="81" t="s">
        <v>129</v>
      </c>
      <c r="M137" s="164">
        <v>23.2</v>
      </c>
      <c r="N137" s="165"/>
      <c r="O137" s="163"/>
      <c r="P137" s="82">
        <v>82.58</v>
      </c>
      <c r="Q137" s="164">
        <v>0</v>
      </c>
      <c r="R137" s="163"/>
      <c r="S137" s="81" t="s">
        <v>346</v>
      </c>
      <c r="T137" s="82">
        <v>63</v>
      </c>
      <c r="U137" s="82">
        <v>0</v>
      </c>
      <c r="V137" s="82">
        <v>0</v>
      </c>
      <c r="W137" s="82">
        <v>0</v>
      </c>
      <c r="X137" s="81" t="s">
        <v>141</v>
      </c>
      <c r="Y137" s="82">
        <v>32</v>
      </c>
      <c r="Z137" s="81" t="s">
        <v>138</v>
      </c>
      <c r="AA137" s="81" t="s">
        <v>58</v>
      </c>
      <c r="AB137" s="81" t="s">
        <v>58</v>
      </c>
      <c r="AC137" s="83">
        <v>46094</v>
      </c>
    </row>
    <row r="138" spans="2:29" ht="23" x14ac:dyDescent="0.35">
      <c r="B138" s="81" t="s">
        <v>338</v>
      </c>
      <c r="C138" s="81" t="s">
        <v>339</v>
      </c>
      <c r="D138" s="81" t="s">
        <v>340</v>
      </c>
      <c r="E138" s="81" t="s">
        <v>475</v>
      </c>
      <c r="F138" s="162" t="s">
        <v>476</v>
      </c>
      <c r="G138" s="163"/>
      <c r="H138" s="81" t="s">
        <v>477</v>
      </c>
      <c r="I138" s="81" t="s">
        <v>344</v>
      </c>
      <c r="J138" s="81" t="s">
        <v>11</v>
      </c>
      <c r="K138" s="81" t="s">
        <v>507</v>
      </c>
      <c r="L138" s="81" t="s">
        <v>129</v>
      </c>
      <c r="M138" s="164">
        <v>23.2</v>
      </c>
      <c r="N138" s="165"/>
      <c r="O138" s="163"/>
      <c r="P138" s="82">
        <v>82.58</v>
      </c>
      <c r="Q138" s="164">
        <v>0</v>
      </c>
      <c r="R138" s="163"/>
      <c r="S138" s="81" t="s">
        <v>346</v>
      </c>
      <c r="T138" s="82">
        <v>63</v>
      </c>
      <c r="U138" s="82">
        <v>0</v>
      </c>
      <c r="V138" s="82">
        <v>0</v>
      </c>
      <c r="W138" s="82">
        <v>0</v>
      </c>
      <c r="X138" s="81" t="s">
        <v>141</v>
      </c>
      <c r="Y138" s="82">
        <v>16</v>
      </c>
      <c r="Z138" s="81" t="s">
        <v>138</v>
      </c>
      <c r="AA138" s="81" t="s">
        <v>58</v>
      </c>
      <c r="AB138" s="81" t="s">
        <v>58</v>
      </c>
      <c r="AC138" s="83">
        <v>46094</v>
      </c>
    </row>
    <row r="139" spans="2:29" ht="23" x14ac:dyDescent="0.35">
      <c r="B139" s="81" t="s">
        <v>338</v>
      </c>
      <c r="C139" s="81" t="s">
        <v>339</v>
      </c>
      <c r="D139" s="81" t="s">
        <v>340</v>
      </c>
      <c r="E139" s="81" t="s">
        <v>475</v>
      </c>
      <c r="F139" s="162" t="s">
        <v>476</v>
      </c>
      <c r="G139" s="163"/>
      <c r="H139" s="81" t="s">
        <v>477</v>
      </c>
      <c r="I139" s="81" t="s">
        <v>344</v>
      </c>
      <c r="J139" s="81" t="s">
        <v>11</v>
      </c>
      <c r="K139" s="81" t="s">
        <v>508</v>
      </c>
      <c r="L139" s="81" t="s">
        <v>129</v>
      </c>
      <c r="M139" s="164">
        <v>23.1</v>
      </c>
      <c r="N139" s="165"/>
      <c r="O139" s="163"/>
      <c r="P139" s="82">
        <v>82.23</v>
      </c>
      <c r="Q139" s="164">
        <v>0</v>
      </c>
      <c r="R139" s="163"/>
      <c r="S139" s="81" t="s">
        <v>346</v>
      </c>
      <c r="T139" s="82">
        <v>63</v>
      </c>
      <c r="U139" s="82">
        <v>0</v>
      </c>
      <c r="V139" s="82">
        <v>0</v>
      </c>
      <c r="W139" s="82">
        <v>0</v>
      </c>
      <c r="X139" s="81" t="s">
        <v>141</v>
      </c>
      <c r="Y139" s="82">
        <v>24</v>
      </c>
      <c r="Z139" s="81" t="s">
        <v>138</v>
      </c>
      <c r="AA139" s="81" t="s">
        <v>58</v>
      </c>
      <c r="AB139" s="81" t="s">
        <v>58</v>
      </c>
      <c r="AC139" s="83">
        <v>46094</v>
      </c>
    </row>
    <row r="140" spans="2:29" ht="23" x14ac:dyDescent="0.35">
      <c r="B140" s="81" t="s">
        <v>338</v>
      </c>
      <c r="C140" s="81" t="s">
        <v>339</v>
      </c>
      <c r="D140" s="81" t="s">
        <v>340</v>
      </c>
      <c r="E140" s="81" t="s">
        <v>475</v>
      </c>
      <c r="F140" s="162" t="s">
        <v>476</v>
      </c>
      <c r="G140" s="163"/>
      <c r="H140" s="81" t="s">
        <v>477</v>
      </c>
      <c r="I140" s="81" t="s">
        <v>344</v>
      </c>
      <c r="J140" s="81" t="s">
        <v>11</v>
      </c>
      <c r="K140" s="81" t="s">
        <v>509</v>
      </c>
      <c r="L140" s="81" t="s">
        <v>129</v>
      </c>
      <c r="M140" s="164">
        <v>23</v>
      </c>
      <c r="N140" s="165"/>
      <c r="O140" s="163"/>
      <c r="P140" s="82">
        <v>81.87</v>
      </c>
      <c r="Q140" s="164">
        <v>0</v>
      </c>
      <c r="R140" s="163"/>
      <c r="S140" s="81" t="s">
        <v>346</v>
      </c>
      <c r="T140" s="82">
        <v>63</v>
      </c>
      <c r="U140" s="82">
        <v>0</v>
      </c>
      <c r="V140" s="82">
        <v>0</v>
      </c>
      <c r="W140" s="82">
        <v>0</v>
      </c>
      <c r="X140" s="81" t="s">
        <v>141</v>
      </c>
      <c r="Y140" s="82">
        <v>28</v>
      </c>
      <c r="Z140" s="81" t="s">
        <v>138</v>
      </c>
      <c r="AA140" s="81" t="s">
        <v>58</v>
      </c>
      <c r="AB140" s="81" t="s">
        <v>58</v>
      </c>
      <c r="AC140" s="83">
        <v>46094</v>
      </c>
    </row>
    <row r="141" spans="2:29" ht="23" x14ac:dyDescent="0.35">
      <c r="B141" s="81" t="s">
        <v>338</v>
      </c>
      <c r="C141" s="81" t="s">
        <v>339</v>
      </c>
      <c r="D141" s="81" t="s">
        <v>340</v>
      </c>
      <c r="E141" s="81" t="s">
        <v>475</v>
      </c>
      <c r="F141" s="162" t="s">
        <v>476</v>
      </c>
      <c r="G141" s="163"/>
      <c r="H141" s="81" t="s">
        <v>477</v>
      </c>
      <c r="I141" s="81" t="s">
        <v>344</v>
      </c>
      <c r="J141" s="81" t="s">
        <v>11</v>
      </c>
      <c r="K141" s="81" t="s">
        <v>510</v>
      </c>
      <c r="L141" s="81" t="s">
        <v>129</v>
      </c>
      <c r="M141" s="164">
        <v>30.4</v>
      </c>
      <c r="N141" s="165"/>
      <c r="O141" s="163"/>
      <c r="P141" s="82">
        <v>108.21</v>
      </c>
      <c r="Q141" s="164">
        <v>0</v>
      </c>
      <c r="R141" s="163"/>
      <c r="S141" s="81" t="s">
        <v>346</v>
      </c>
      <c r="T141" s="82">
        <v>63</v>
      </c>
      <c r="U141" s="82">
        <v>0</v>
      </c>
      <c r="V141" s="82">
        <v>0</v>
      </c>
      <c r="W141" s="82">
        <v>0</v>
      </c>
      <c r="X141" s="81" t="s">
        <v>141</v>
      </c>
      <c r="Y141" s="82">
        <v>20</v>
      </c>
      <c r="Z141" s="81" t="s">
        <v>138</v>
      </c>
      <c r="AA141" s="81" t="s">
        <v>58</v>
      </c>
      <c r="AB141" s="81" t="s">
        <v>58</v>
      </c>
      <c r="AC141" s="83">
        <v>46094</v>
      </c>
    </row>
    <row r="142" spans="2:29" ht="23" x14ac:dyDescent="0.35">
      <c r="B142" s="81" t="s">
        <v>338</v>
      </c>
      <c r="C142" s="81" t="s">
        <v>339</v>
      </c>
      <c r="D142" s="81" t="s">
        <v>340</v>
      </c>
      <c r="E142" s="81" t="s">
        <v>496</v>
      </c>
      <c r="F142" s="162" t="s">
        <v>497</v>
      </c>
      <c r="G142" s="163"/>
      <c r="H142" s="81" t="s">
        <v>498</v>
      </c>
      <c r="I142" s="81" t="s">
        <v>344</v>
      </c>
      <c r="J142" s="81" t="s">
        <v>11</v>
      </c>
      <c r="K142" s="81" t="s">
        <v>511</v>
      </c>
      <c r="L142" s="81" t="s">
        <v>129</v>
      </c>
      <c r="M142" s="164">
        <v>23</v>
      </c>
      <c r="N142" s="165"/>
      <c r="O142" s="163"/>
      <c r="P142" s="82">
        <v>83.64</v>
      </c>
      <c r="Q142" s="164">
        <v>0</v>
      </c>
      <c r="R142" s="163"/>
      <c r="S142" s="81" t="s">
        <v>346</v>
      </c>
      <c r="T142" s="82">
        <v>63</v>
      </c>
      <c r="U142" s="82">
        <v>0</v>
      </c>
      <c r="V142" s="82">
        <v>0</v>
      </c>
      <c r="W142" s="82">
        <v>0</v>
      </c>
      <c r="X142" s="81" t="s">
        <v>132</v>
      </c>
      <c r="Y142" s="82">
        <v>24</v>
      </c>
      <c r="Z142" s="81" t="s">
        <v>138</v>
      </c>
      <c r="AA142" s="81" t="s">
        <v>58</v>
      </c>
      <c r="AB142" s="81" t="s">
        <v>58</v>
      </c>
      <c r="AC142" s="83">
        <v>46094</v>
      </c>
    </row>
    <row r="143" spans="2:29" ht="23" x14ac:dyDescent="0.35">
      <c r="B143" s="81" t="s">
        <v>338</v>
      </c>
      <c r="C143" s="81" t="s">
        <v>339</v>
      </c>
      <c r="D143" s="81" t="s">
        <v>340</v>
      </c>
      <c r="E143" s="81" t="s">
        <v>496</v>
      </c>
      <c r="F143" s="162" t="s">
        <v>497</v>
      </c>
      <c r="G143" s="163"/>
      <c r="H143" s="81" t="s">
        <v>498</v>
      </c>
      <c r="I143" s="81" t="s">
        <v>344</v>
      </c>
      <c r="J143" s="81" t="s">
        <v>11</v>
      </c>
      <c r="K143" s="81" t="s">
        <v>512</v>
      </c>
      <c r="L143" s="81" t="s">
        <v>129</v>
      </c>
      <c r="M143" s="164">
        <v>22.8</v>
      </c>
      <c r="N143" s="165"/>
      <c r="O143" s="163"/>
      <c r="P143" s="82">
        <v>82.91</v>
      </c>
      <c r="Q143" s="164">
        <v>0</v>
      </c>
      <c r="R143" s="163"/>
      <c r="S143" s="81" t="s">
        <v>346</v>
      </c>
      <c r="T143" s="82">
        <v>63</v>
      </c>
      <c r="U143" s="82">
        <v>0</v>
      </c>
      <c r="V143" s="82">
        <v>0</v>
      </c>
      <c r="W143" s="82">
        <v>0</v>
      </c>
      <c r="X143" s="81" t="s">
        <v>132</v>
      </c>
      <c r="Y143" s="82">
        <v>12</v>
      </c>
      <c r="Z143" s="81" t="s">
        <v>138</v>
      </c>
      <c r="AA143" s="81" t="s">
        <v>58</v>
      </c>
      <c r="AB143" s="81" t="s">
        <v>58</v>
      </c>
      <c r="AC143" s="83">
        <v>46094</v>
      </c>
    </row>
    <row r="144" spans="2:29" ht="23" x14ac:dyDescent="0.35">
      <c r="B144" s="81" t="s">
        <v>338</v>
      </c>
      <c r="C144" s="81" t="s">
        <v>339</v>
      </c>
      <c r="D144" s="81" t="s">
        <v>340</v>
      </c>
      <c r="E144" s="81" t="s">
        <v>496</v>
      </c>
      <c r="F144" s="162" t="s">
        <v>497</v>
      </c>
      <c r="G144" s="163"/>
      <c r="H144" s="81" t="s">
        <v>498</v>
      </c>
      <c r="I144" s="81" t="s">
        <v>344</v>
      </c>
      <c r="J144" s="81" t="s">
        <v>11</v>
      </c>
      <c r="K144" s="81" t="s">
        <v>513</v>
      </c>
      <c r="L144" s="81" t="s">
        <v>129</v>
      </c>
      <c r="M144" s="164">
        <v>23</v>
      </c>
      <c r="N144" s="165"/>
      <c r="O144" s="163"/>
      <c r="P144" s="82">
        <v>83.64</v>
      </c>
      <c r="Q144" s="164">
        <v>0</v>
      </c>
      <c r="R144" s="163"/>
      <c r="S144" s="81" t="s">
        <v>346</v>
      </c>
      <c r="T144" s="82">
        <v>63</v>
      </c>
      <c r="U144" s="82">
        <v>0</v>
      </c>
      <c r="V144" s="82">
        <v>0</v>
      </c>
      <c r="W144" s="82">
        <v>0</v>
      </c>
      <c r="X144" s="81" t="s">
        <v>134</v>
      </c>
      <c r="Y144" s="82">
        <v>1</v>
      </c>
      <c r="Z144" s="81" t="s">
        <v>138</v>
      </c>
      <c r="AA144" s="81" t="s">
        <v>58</v>
      </c>
      <c r="AB144" s="81" t="s">
        <v>58</v>
      </c>
      <c r="AC144" s="83">
        <v>46094</v>
      </c>
    </row>
    <row r="145" spans="2:29" ht="23" x14ac:dyDescent="0.35">
      <c r="B145" s="81" t="s">
        <v>338</v>
      </c>
      <c r="C145" s="81" t="s">
        <v>339</v>
      </c>
      <c r="D145" s="81" t="s">
        <v>340</v>
      </c>
      <c r="E145" s="81" t="s">
        <v>496</v>
      </c>
      <c r="F145" s="162" t="s">
        <v>497</v>
      </c>
      <c r="G145" s="163"/>
      <c r="H145" s="81" t="s">
        <v>498</v>
      </c>
      <c r="I145" s="81" t="s">
        <v>344</v>
      </c>
      <c r="J145" s="81" t="s">
        <v>11</v>
      </c>
      <c r="K145" s="81" t="s">
        <v>514</v>
      </c>
      <c r="L145" s="81" t="s">
        <v>129</v>
      </c>
      <c r="M145" s="164">
        <v>21.8</v>
      </c>
      <c r="N145" s="165"/>
      <c r="O145" s="163"/>
      <c r="P145" s="82">
        <v>79.28</v>
      </c>
      <c r="Q145" s="164">
        <v>0</v>
      </c>
      <c r="R145" s="163"/>
      <c r="S145" s="81" t="s">
        <v>346</v>
      </c>
      <c r="T145" s="82">
        <v>63</v>
      </c>
      <c r="U145" s="82">
        <v>0</v>
      </c>
      <c r="V145" s="82">
        <v>0</v>
      </c>
      <c r="W145" s="82">
        <v>0</v>
      </c>
      <c r="X145" s="81"/>
      <c r="Y145" s="81"/>
      <c r="Z145" s="81" t="s">
        <v>138</v>
      </c>
      <c r="AA145" s="81" t="s">
        <v>58</v>
      </c>
      <c r="AB145" s="81" t="s">
        <v>58</v>
      </c>
      <c r="AC145" s="83">
        <v>46094</v>
      </c>
    </row>
    <row r="146" spans="2:29" ht="23" x14ac:dyDescent="0.35">
      <c r="B146" s="81" t="s">
        <v>338</v>
      </c>
      <c r="C146" s="81" t="s">
        <v>339</v>
      </c>
      <c r="D146" s="81" t="s">
        <v>340</v>
      </c>
      <c r="E146" s="81" t="s">
        <v>496</v>
      </c>
      <c r="F146" s="162" t="s">
        <v>497</v>
      </c>
      <c r="G146" s="163"/>
      <c r="H146" s="81" t="s">
        <v>498</v>
      </c>
      <c r="I146" s="81" t="s">
        <v>344</v>
      </c>
      <c r="J146" s="81" t="s">
        <v>11</v>
      </c>
      <c r="K146" s="81" t="s">
        <v>515</v>
      </c>
      <c r="L146" s="81" t="s">
        <v>129</v>
      </c>
      <c r="M146" s="164">
        <v>23</v>
      </c>
      <c r="N146" s="165"/>
      <c r="O146" s="163"/>
      <c r="P146" s="82">
        <v>83.64</v>
      </c>
      <c r="Q146" s="164">
        <v>0</v>
      </c>
      <c r="R146" s="163"/>
      <c r="S146" s="81" t="s">
        <v>346</v>
      </c>
      <c r="T146" s="82">
        <v>63</v>
      </c>
      <c r="U146" s="82">
        <v>0</v>
      </c>
      <c r="V146" s="82">
        <v>0</v>
      </c>
      <c r="W146" s="82">
        <v>0</v>
      </c>
      <c r="X146" s="81" t="s">
        <v>133</v>
      </c>
      <c r="Y146" s="82">
        <v>8</v>
      </c>
      <c r="Z146" s="81" t="s">
        <v>138</v>
      </c>
      <c r="AA146" s="81" t="s">
        <v>58</v>
      </c>
      <c r="AB146" s="81" t="s">
        <v>58</v>
      </c>
      <c r="AC146" s="83">
        <v>46094</v>
      </c>
    </row>
    <row r="147" spans="2:29" ht="23" x14ac:dyDescent="0.35">
      <c r="B147" s="81" t="s">
        <v>338</v>
      </c>
      <c r="C147" s="81" t="s">
        <v>339</v>
      </c>
      <c r="D147" s="81" t="s">
        <v>340</v>
      </c>
      <c r="E147" s="81" t="s">
        <v>496</v>
      </c>
      <c r="F147" s="162" t="s">
        <v>497</v>
      </c>
      <c r="G147" s="163"/>
      <c r="H147" s="81" t="s">
        <v>498</v>
      </c>
      <c r="I147" s="81" t="s">
        <v>344</v>
      </c>
      <c r="J147" s="81" t="s">
        <v>11</v>
      </c>
      <c r="K147" s="81" t="s">
        <v>516</v>
      </c>
      <c r="L147" s="81" t="s">
        <v>129</v>
      </c>
      <c r="M147" s="164">
        <v>22.7</v>
      </c>
      <c r="N147" s="165"/>
      <c r="O147" s="163"/>
      <c r="P147" s="82">
        <v>82.55</v>
      </c>
      <c r="Q147" s="164">
        <v>0</v>
      </c>
      <c r="R147" s="163"/>
      <c r="S147" s="81" t="s">
        <v>346</v>
      </c>
      <c r="T147" s="82">
        <v>63</v>
      </c>
      <c r="U147" s="82">
        <v>0</v>
      </c>
      <c r="V147" s="82">
        <v>0</v>
      </c>
      <c r="W147" s="82">
        <v>0</v>
      </c>
      <c r="X147" s="81" t="s">
        <v>133</v>
      </c>
      <c r="Y147" s="82">
        <v>4</v>
      </c>
      <c r="Z147" s="81" t="s">
        <v>138</v>
      </c>
      <c r="AA147" s="81" t="s">
        <v>58</v>
      </c>
      <c r="AB147" s="81" t="s">
        <v>58</v>
      </c>
      <c r="AC147" s="83">
        <v>46094</v>
      </c>
    </row>
    <row r="148" spans="2:29" ht="23" x14ac:dyDescent="0.35">
      <c r="B148" s="81" t="s">
        <v>338</v>
      </c>
      <c r="C148" s="81" t="s">
        <v>339</v>
      </c>
      <c r="D148" s="81" t="s">
        <v>340</v>
      </c>
      <c r="E148" s="81" t="s">
        <v>496</v>
      </c>
      <c r="F148" s="162" t="s">
        <v>497</v>
      </c>
      <c r="G148" s="163"/>
      <c r="H148" s="81" t="s">
        <v>498</v>
      </c>
      <c r="I148" s="81" t="s">
        <v>344</v>
      </c>
      <c r="J148" s="81" t="s">
        <v>11</v>
      </c>
      <c r="K148" s="81" t="s">
        <v>517</v>
      </c>
      <c r="L148" s="81" t="s">
        <v>129</v>
      </c>
      <c r="M148" s="164">
        <v>23</v>
      </c>
      <c r="N148" s="165"/>
      <c r="O148" s="163"/>
      <c r="P148" s="82">
        <v>83.64</v>
      </c>
      <c r="Q148" s="164">
        <v>0</v>
      </c>
      <c r="R148" s="163"/>
      <c r="S148" s="81" t="s">
        <v>346</v>
      </c>
      <c r="T148" s="82">
        <v>63</v>
      </c>
      <c r="U148" s="82">
        <v>0</v>
      </c>
      <c r="V148" s="82">
        <v>0</v>
      </c>
      <c r="W148" s="82">
        <v>0</v>
      </c>
      <c r="X148" s="81" t="s">
        <v>144</v>
      </c>
      <c r="Y148" s="82">
        <v>12</v>
      </c>
      <c r="Z148" s="81" t="s">
        <v>138</v>
      </c>
      <c r="AA148" s="81" t="s">
        <v>58</v>
      </c>
      <c r="AB148" s="81" t="s">
        <v>58</v>
      </c>
      <c r="AC148" s="83">
        <v>46094</v>
      </c>
    </row>
    <row r="149" spans="2:29" ht="23" x14ac:dyDescent="0.35">
      <c r="B149" s="81" t="s">
        <v>338</v>
      </c>
      <c r="C149" s="81" t="s">
        <v>339</v>
      </c>
      <c r="D149" s="81" t="s">
        <v>340</v>
      </c>
      <c r="E149" s="81" t="s">
        <v>496</v>
      </c>
      <c r="F149" s="162" t="s">
        <v>497</v>
      </c>
      <c r="G149" s="163"/>
      <c r="H149" s="81" t="s">
        <v>498</v>
      </c>
      <c r="I149" s="81" t="s">
        <v>344</v>
      </c>
      <c r="J149" s="81" t="s">
        <v>11</v>
      </c>
      <c r="K149" s="81" t="s">
        <v>518</v>
      </c>
      <c r="L149" s="81" t="s">
        <v>129</v>
      </c>
      <c r="M149" s="164">
        <v>23</v>
      </c>
      <c r="N149" s="165"/>
      <c r="O149" s="163"/>
      <c r="P149" s="82">
        <v>83.64</v>
      </c>
      <c r="Q149" s="164">
        <v>0</v>
      </c>
      <c r="R149" s="163"/>
      <c r="S149" s="81" t="s">
        <v>346</v>
      </c>
      <c r="T149" s="82">
        <v>63</v>
      </c>
      <c r="U149" s="82">
        <v>0</v>
      </c>
      <c r="V149" s="82">
        <v>0</v>
      </c>
      <c r="W149" s="82">
        <v>0</v>
      </c>
      <c r="X149" s="81"/>
      <c r="Y149" s="81"/>
      <c r="Z149" s="81" t="s">
        <v>138</v>
      </c>
      <c r="AA149" s="81" t="s">
        <v>58</v>
      </c>
      <c r="AB149" s="81" t="s">
        <v>58</v>
      </c>
      <c r="AC149" s="83">
        <v>46094</v>
      </c>
    </row>
    <row r="150" spans="2:29" ht="23" x14ac:dyDescent="0.35">
      <c r="B150" s="81" t="s">
        <v>338</v>
      </c>
      <c r="C150" s="81" t="s">
        <v>339</v>
      </c>
      <c r="D150" s="81" t="s">
        <v>340</v>
      </c>
      <c r="E150" s="81" t="s">
        <v>496</v>
      </c>
      <c r="F150" s="162" t="s">
        <v>497</v>
      </c>
      <c r="G150" s="163"/>
      <c r="H150" s="81" t="s">
        <v>498</v>
      </c>
      <c r="I150" s="81" t="s">
        <v>344</v>
      </c>
      <c r="J150" s="81" t="s">
        <v>11</v>
      </c>
      <c r="K150" s="81" t="s">
        <v>519</v>
      </c>
      <c r="L150" s="81" t="s">
        <v>129</v>
      </c>
      <c r="M150" s="164">
        <v>23</v>
      </c>
      <c r="N150" s="165"/>
      <c r="O150" s="163"/>
      <c r="P150" s="82">
        <v>83.64</v>
      </c>
      <c r="Q150" s="164">
        <v>0</v>
      </c>
      <c r="R150" s="163"/>
      <c r="S150" s="81" t="s">
        <v>346</v>
      </c>
      <c r="T150" s="82">
        <v>63</v>
      </c>
      <c r="U150" s="82">
        <v>0</v>
      </c>
      <c r="V150" s="82">
        <v>0</v>
      </c>
      <c r="W150" s="82">
        <v>0</v>
      </c>
      <c r="X150" s="81" t="s">
        <v>132</v>
      </c>
      <c r="Y150" s="82">
        <v>12</v>
      </c>
      <c r="Z150" s="81" t="s">
        <v>138</v>
      </c>
      <c r="AA150" s="81" t="s">
        <v>58</v>
      </c>
      <c r="AB150" s="81" t="s">
        <v>58</v>
      </c>
      <c r="AC150" s="83">
        <v>46094</v>
      </c>
    </row>
    <row r="151" spans="2:29" ht="23" x14ac:dyDescent="0.35">
      <c r="B151" s="81" t="s">
        <v>338</v>
      </c>
      <c r="C151" s="81" t="s">
        <v>339</v>
      </c>
      <c r="D151" s="81" t="s">
        <v>340</v>
      </c>
      <c r="E151" s="81" t="s">
        <v>496</v>
      </c>
      <c r="F151" s="162" t="s">
        <v>497</v>
      </c>
      <c r="G151" s="163"/>
      <c r="H151" s="81" t="s">
        <v>498</v>
      </c>
      <c r="I151" s="81" t="s">
        <v>344</v>
      </c>
      <c r="J151" s="81" t="s">
        <v>11</v>
      </c>
      <c r="K151" s="81" t="s">
        <v>520</v>
      </c>
      <c r="L151" s="81" t="s">
        <v>129</v>
      </c>
      <c r="M151" s="164">
        <v>15.1</v>
      </c>
      <c r="N151" s="165"/>
      <c r="O151" s="163"/>
      <c r="P151" s="82">
        <v>54.91</v>
      </c>
      <c r="Q151" s="164">
        <v>0</v>
      </c>
      <c r="R151" s="163"/>
      <c r="S151" s="81" t="s">
        <v>346</v>
      </c>
      <c r="T151" s="82">
        <v>63</v>
      </c>
      <c r="U151" s="82">
        <v>0</v>
      </c>
      <c r="V151" s="82">
        <v>0</v>
      </c>
      <c r="W151" s="82">
        <v>0</v>
      </c>
      <c r="X151" s="81" t="s">
        <v>132</v>
      </c>
      <c r="Y151" s="82">
        <v>16</v>
      </c>
      <c r="Z151" s="81" t="s">
        <v>138</v>
      </c>
      <c r="AA151" s="81" t="s">
        <v>58</v>
      </c>
      <c r="AB151" s="81" t="s">
        <v>58</v>
      </c>
      <c r="AC151" s="83">
        <v>46094</v>
      </c>
    </row>
    <row r="152" spans="2:29" ht="23" x14ac:dyDescent="0.35">
      <c r="B152" s="81" t="s">
        <v>338</v>
      </c>
      <c r="C152" s="81" t="s">
        <v>339</v>
      </c>
      <c r="D152" s="81" t="s">
        <v>340</v>
      </c>
      <c r="E152" s="81" t="s">
        <v>496</v>
      </c>
      <c r="F152" s="162" t="s">
        <v>497</v>
      </c>
      <c r="G152" s="163"/>
      <c r="H152" s="81" t="s">
        <v>498</v>
      </c>
      <c r="I152" s="81" t="s">
        <v>344</v>
      </c>
      <c r="J152" s="81" t="s">
        <v>11</v>
      </c>
      <c r="K152" s="81" t="s">
        <v>521</v>
      </c>
      <c r="L152" s="81" t="s">
        <v>129</v>
      </c>
      <c r="M152" s="164">
        <v>23.3</v>
      </c>
      <c r="N152" s="165"/>
      <c r="O152" s="163"/>
      <c r="P152" s="82">
        <v>84.73</v>
      </c>
      <c r="Q152" s="164">
        <v>0</v>
      </c>
      <c r="R152" s="163"/>
      <c r="S152" s="81" t="s">
        <v>346</v>
      </c>
      <c r="T152" s="82">
        <v>63</v>
      </c>
      <c r="U152" s="82">
        <v>0</v>
      </c>
      <c r="V152" s="82">
        <v>0</v>
      </c>
      <c r="W152" s="82">
        <v>0</v>
      </c>
      <c r="X152" s="81"/>
      <c r="Y152" s="81"/>
      <c r="Z152" s="81" t="s">
        <v>138</v>
      </c>
      <c r="AA152" s="81" t="s">
        <v>58</v>
      </c>
      <c r="AB152" s="81" t="s">
        <v>58</v>
      </c>
      <c r="AC152" s="83">
        <v>46094</v>
      </c>
    </row>
    <row r="153" spans="2:29" ht="23" x14ac:dyDescent="0.35">
      <c r="B153" s="81" t="s">
        <v>338</v>
      </c>
      <c r="C153" s="81" t="s">
        <v>339</v>
      </c>
      <c r="D153" s="81" t="s">
        <v>340</v>
      </c>
      <c r="E153" s="81" t="s">
        <v>496</v>
      </c>
      <c r="F153" s="162" t="s">
        <v>497</v>
      </c>
      <c r="G153" s="163"/>
      <c r="H153" s="81" t="s">
        <v>498</v>
      </c>
      <c r="I153" s="81" t="s">
        <v>344</v>
      </c>
      <c r="J153" s="81" t="s">
        <v>11</v>
      </c>
      <c r="K153" s="81" t="s">
        <v>522</v>
      </c>
      <c r="L153" s="81" t="s">
        <v>129</v>
      </c>
      <c r="M153" s="164">
        <v>23.1</v>
      </c>
      <c r="N153" s="165"/>
      <c r="O153" s="163"/>
      <c r="P153" s="82">
        <v>84</v>
      </c>
      <c r="Q153" s="164">
        <v>0</v>
      </c>
      <c r="R153" s="163"/>
      <c r="S153" s="81" t="s">
        <v>346</v>
      </c>
      <c r="T153" s="82">
        <v>63</v>
      </c>
      <c r="U153" s="82">
        <v>0</v>
      </c>
      <c r="V153" s="82">
        <v>0</v>
      </c>
      <c r="W153" s="82">
        <v>0</v>
      </c>
      <c r="X153" s="81"/>
      <c r="Y153" s="81"/>
      <c r="Z153" s="81" t="s">
        <v>138</v>
      </c>
      <c r="AA153" s="81" t="s">
        <v>58</v>
      </c>
      <c r="AB153" s="81" t="s">
        <v>58</v>
      </c>
      <c r="AC153" s="83">
        <v>46094</v>
      </c>
    </row>
    <row r="154" spans="2:29" ht="23" x14ac:dyDescent="0.35">
      <c r="B154" s="81" t="s">
        <v>338</v>
      </c>
      <c r="C154" s="81" t="s">
        <v>339</v>
      </c>
      <c r="D154" s="81" t="s">
        <v>340</v>
      </c>
      <c r="E154" s="81" t="s">
        <v>496</v>
      </c>
      <c r="F154" s="162" t="s">
        <v>497</v>
      </c>
      <c r="G154" s="163"/>
      <c r="H154" s="81" t="s">
        <v>498</v>
      </c>
      <c r="I154" s="81" t="s">
        <v>344</v>
      </c>
      <c r="J154" s="81" t="s">
        <v>11</v>
      </c>
      <c r="K154" s="81" t="s">
        <v>523</v>
      </c>
      <c r="L154" s="81" t="s">
        <v>129</v>
      </c>
      <c r="M154" s="164">
        <v>23.1</v>
      </c>
      <c r="N154" s="165"/>
      <c r="O154" s="163"/>
      <c r="P154" s="82">
        <v>84</v>
      </c>
      <c r="Q154" s="164">
        <v>0</v>
      </c>
      <c r="R154" s="163"/>
      <c r="S154" s="81" t="s">
        <v>346</v>
      </c>
      <c r="T154" s="82">
        <v>63</v>
      </c>
      <c r="U154" s="82">
        <v>0</v>
      </c>
      <c r="V154" s="82">
        <v>0</v>
      </c>
      <c r="W154" s="82">
        <v>0</v>
      </c>
      <c r="X154" s="81" t="s">
        <v>144</v>
      </c>
      <c r="Y154" s="82">
        <v>8</v>
      </c>
      <c r="Z154" s="81" t="s">
        <v>138</v>
      </c>
      <c r="AA154" s="81" t="s">
        <v>58</v>
      </c>
      <c r="AB154" s="81" t="s">
        <v>58</v>
      </c>
      <c r="AC154" s="83">
        <v>46094</v>
      </c>
    </row>
    <row r="155" spans="2:29" ht="23" x14ac:dyDescent="0.35">
      <c r="B155" s="81" t="s">
        <v>338</v>
      </c>
      <c r="C155" s="81" t="s">
        <v>339</v>
      </c>
      <c r="D155" s="81" t="s">
        <v>340</v>
      </c>
      <c r="E155" s="81" t="s">
        <v>496</v>
      </c>
      <c r="F155" s="162" t="s">
        <v>497</v>
      </c>
      <c r="G155" s="163"/>
      <c r="H155" s="81" t="s">
        <v>498</v>
      </c>
      <c r="I155" s="81" t="s">
        <v>344</v>
      </c>
      <c r="J155" s="81" t="s">
        <v>11</v>
      </c>
      <c r="K155" s="81" t="s">
        <v>524</v>
      </c>
      <c r="L155" s="81" t="s">
        <v>129</v>
      </c>
      <c r="M155" s="164">
        <v>23.1</v>
      </c>
      <c r="N155" s="165"/>
      <c r="O155" s="163"/>
      <c r="P155" s="82">
        <v>84</v>
      </c>
      <c r="Q155" s="164">
        <v>0</v>
      </c>
      <c r="R155" s="163"/>
      <c r="S155" s="81" t="s">
        <v>346</v>
      </c>
      <c r="T155" s="82">
        <v>63</v>
      </c>
      <c r="U155" s="82">
        <v>0</v>
      </c>
      <c r="V155" s="82">
        <v>0</v>
      </c>
      <c r="W155" s="82">
        <v>0</v>
      </c>
      <c r="X155" s="81"/>
      <c r="Y155" s="81"/>
      <c r="Z155" s="81" t="s">
        <v>138</v>
      </c>
      <c r="AA155" s="81" t="s">
        <v>58</v>
      </c>
      <c r="AB155" s="81" t="s">
        <v>58</v>
      </c>
      <c r="AC155" s="83">
        <v>46094</v>
      </c>
    </row>
    <row r="156" spans="2:29" ht="23" x14ac:dyDescent="0.35">
      <c r="B156" s="81" t="s">
        <v>338</v>
      </c>
      <c r="C156" s="81" t="s">
        <v>339</v>
      </c>
      <c r="D156" s="81" t="s">
        <v>340</v>
      </c>
      <c r="E156" s="81" t="s">
        <v>496</v>
      </c>
      <c r="F156" s="162" t="s">
        <v>497</v>
      </c>
      <c r="G156" s="163"/>
      <c r="H156" s="81" t="s">
        <v>498</v>
      </c>
      <c r="I156" s="81" t="s">
        <v>344</v>
      </c>
      <c r="J156" s="81" t="s">
        <v>11</v>
      </c>
      <c r="K156" s="81" t="s">
        <v>525</v>
      </c>
      <c r="L156" s="81" t="s">
        <v>129</v>
      </c>
      <c r="M156" s="164">
        <v>23.3</v>
      </c>
      <c r="N156" s="165"/>
      <c r="O156" s="163"/>
      <c r="P156" s="82">
        <v>84.73</v>
      </c>
      <c r="Q156" s="164">
        <v>0</v>
      </c>
      <c r="R156" s="163"/>
      <c r="S156" s="81" t="s">
        <v>346</v>
      </c>
      <c r="T156" s="82">
        <v>63</v>
      </c>
      <c r="U156" s="82">
        <v>0</v>
      </c>
      <c r="V156" s="82">
        <v>0</v>
      </c>
      <c r="W156" s="82">
        <v>0</v>
      </c>
      <c r="X156" s="81"/>
      <c r="Y156" s="81"/>
      <c r="Z156" s="81" t="s">
        <v>138</v>
      </c>
      <c r="AA156" s="81" t="s">
        <v>58</v>
      </c>
      <c r="AB156" s="81" t="s">
        <v>58</v>
      </c>
      <c r="AC156" s="83">
        <v>46094</v>
      </c>
    </row>
    <row r="157" spans="2:29" ht="23" x14ac:dyDescent="0.35">
      <c r="B157" s="81" t="s">
        <v>338</v>
      </c>
      <c r="C157" s="81" t="s">
        <v>339</v>
      </c>
      <c r="D157" s="81" t="s">
        <v>340</v>
      </c>
      <c r="E157" s="81" t="s">
        <v>475</v>
      </c>
      <c r="F157" s="162" t="s">
        <v>476</v>
      </c>
      <c r="G157" s="163"/>
      <c r="H157" s="81" t="s">
        <v>477</v>
      </c>
      <c r="I157" s="81" t="s">
        <v>344</v>
      </c>
      <c r="J157" s="81" t="s">
        <v>11</v>
      </c>
      <c r="K157" s="81" t="s">
        <v>526</v>
      </c>
      <c r="L157" s="81" t="s">
        <v>129</v>
      </c>
      <c r="M157" s="164">
        <v>26.6</v>
      </c>
      <c r="N157" s="165"/>
      <c r="O157" s="163"/>
      <c r="P157" s="82">
        <v>94.68</v>
      </c>
      <c r="Q157" s="164">
        <v>0</v>
      </c>
      <c r="R157" s="163"/>
      <c r="S157" s="81" t="s">
        <v>346</v>
      </c>
      <c r="T157" s="82">
        <v>63</v>
      </c>
      <c r="U157" s="82">
        <v>0</v>
      </c>
      <c r="V157" s="82">
        <v>0</v>
      </c>
      <c r="W157" s="82">
        <v>0</v>
      </c>
      <c r="X157" s="81" t="s">
        <v>141</v>
      </c>
      <c r="Y157" s="82">
        <v>16</v>
      </c>
      <c r="Z157" s="81" t="s">
        <v>138</v>
      </c>
      <c r="AA157" s="81" t="s">
        <v>58</v>
      </c>
      <c r="AB157" s="81" t="s">
        <v>58</v>
      </c>
      <c r="AC157" s="83">
        <v>46094</v>
      </c>
    </row>
    <row r="158" spans="2:29" ht="23" x14ac:dyDescent="0.35">
      <c r="B158" s="81" t="s">
        <v>338</v>
      </c>
      <c r="C158" s="81" t="s">
        <v>339</v>
      </c>
      <c r="D158" s="81" t="s">
        <v>340</v>
      </c>
      <c r="E158" s="81" t="s">
        <v>475</v>
      </c>
      <c r="F158" s="162" t="s">
        <v>476</v>
      </c>
      <c r="G158" s="163"/>
      <c r="H158" s="81" t="s">
        <v>477</v>
      </c>
      <c r="I158" s="81" t="s">
        <v>344</v>
      </c>
      <c r="J158" s="81" t="s">
        <v>11</v>
      </c>
      <c r="K158" s="81" t="s">
        <v>527</v>
      </c>
      <c r="L158" s="81" t="s">
        <v>129</v>
      </c>
      <c r="M158" s="164">
        <v>23</v>
      </c>
      <c r="N158" s="165"/>
      <c r="O158" s="163"/>
      <c r="P158" s="82">
        <v>81.87</v>
      </c>
      <c r="Q158" s="164">
        <v>0</v>
      </c>
      <c r="R158" s="163"/>
      <c r="S158" s="81" t="s">
        <v>346</v>
      </c>
      <c r="T158" s="82">
        <v>63</v>
      </c>
      <c r="U158" s="82">
        <v>0</v>
      </c>
      <c r="V158" s="82">
        <v>0</v>
      </c>
      <c r="W158" s="82">
        <v>0</v>
      </c>
      <c r="X158" s="81" t="s">
        <v>141</v>
      </c>
      <c r="Y158" s="82">
        <v>16</v>
      </c>
      <c r="Z158" s="81" t="s">
        <v>138</v>
      </c>
      <c r="AA158" s="81" t="s">
        <v>58</v>
      </c>
      <c r="AB158" s="81" t="s">
        <v>58</v>
      </c>
      <c r="AC158" s="83">
        <v>46094</v>
      </c>
    </row>
    <row r="159" spans="2:29" ht="23" x14ac:dyDescent="0.35">
      <c r="B159" s="81" t="s">
        <v>338</v>
      </c>
      <c r="C159" s="81" t="s">
        <v>339</v>
      </c>
      <c r="D159" s="81" t="s">
        <v>340</v>
      </c>
      <c r="E159" s="81" t="s">
        <v>475</v>
      </c>
      <c r="F159" s="162" t="s">
        <v>476</v>
      </c>
      <c r="G159" s="163"/>
      <c r="H159" s="81" t="s">
        <v>477</v>
      </c>
      <c r="I159" s="81" t="s">
        <v>344</v>
      </c>
      <c r="J159" s="81" t="s">
        <v>11</v>
      </c>
      <c r="K159" s="81" t="s">
        <v>528</v>
      </c>
      <c r="L159" s="81" t="s">
        <v>129</v>
      </c>
      <c r="M159" s="164">
        <v>23.1</v>
      </c>
      <c r="N159" s="165"/>
      <c r="O159" s="163"/>
      <c r="P159" s="82">
        <v>82.23</v>
      </c>
      <c r="Q159" s="164">
        <v>0</v>
      </c>
      <c r="R159" s="163"/>
      <c r="S159" s="81" t="s">
        <v>346</v>
      </c>
      <c r="T159" s="82">
        <v>63</v>
      </c>
      <c r="U159" s="82">
        <v>0</v>
      </c>
      <c r="V159" s="82">
        <v>0</v>
      </c>
      <c r="W159" s="82">
        <v>0</v>
      </c>
      <c r="X159" s="81" t="s">
        <v>141</v>
      </c>
      <c r="Y159" s="82">
        <v>12</v>
      </c>
      <c r="Z159" s="81" t="s">
        <v>138</v>
      </c>
      <c r="AA159" s="81" t="s">
        <v>58</v>
      </c>
      <c r="AB159" s="81" t="s">
        <v>58</v>
      </c>
      <c r="AC159" s="83">
        <v>46094</v>
      </c>
    </row>
    <row r="160" spans="2:29" ht="23" x14ac:dyDescent="0.35">
      <c r="B160" s="81" t="s">
        <v>338</v>
      </c>
      <c r="C160" s="81" t="s">
        <v>339</v>
      </c>
      <c r="D160" s="81" t="s">
        <v>340</v>
      </c>
      <c r="E160" s="81" t="s">
        <v>475</v>
      </c>
      <c r="F160" s="162" t="s">
        <v>476</v>
      </c>
      <c r="G160" s="163"/>
      <c r="H160" s="81" t="s">
        <v>477</v>
      </c>
      <c r="I160" s="81" t="s">
        <v>344</v>
      </c>
      <c r="J160" s="81" t="s">
        <v>11</v>
      </c>
      <c r="K160" s="81" t="s">
        <v>529</v>
      </c>
      <c r="L160" s="81" t="s">
        <v>129</v>
      </c>
      <c r="M160" s="164">
        <v>22</v>
      </c>
      <c r="N160" s="165"/>
      <c r="O160" s="163"/>
      <c r="P160" s="82">
        <v>78.31</v>
      </c>
      <c r="Q160" s="164">
        <v>0</v>
      </c>
      <c r="R160" s="163"/>
      <c r="S160" s="81" t="s">
        <v>346</v>
      </c>
      <c r="T160" s="82">
        <v>63</v>
      </c>
      <c r="U160" s="82">
        <v>0</v>
      </c>
      <c r="V160" s="82">
        <v>0</v>
      </c>
      <c r="W160" s="82">
        <v>0</v>
      </c>
      <c r="X160" s="81" t="s">
        <v>141</v>
      </c>
      <c r="Y160" s="82">
        <v>12</v>
      </c>
      <c r="Z160" s="81" t="s">
        <v>138</v>
      </c>
      <c r="AA160" s="81" t="s">
        <v>58</v>
      </c>
      <c r="AB160" s="81" t="s">
        <v>58</v>
      </c>
      <c r="AC160" s="83">
        <v>46094</v>
      </c>
    </row>
    <row r="161" spans="2:29" ht="23" x14ac:dyDescent="0.35">
      <c r="B161" s="81" t="s">
        <v>338</v>
      </c>
      <c r="C161" s="81" t="s">
        <v>339</v>
      </c>
      <c r="D161" s="81" t="s">
        <v>340</v>
      </c>
      <c r="E161" s="81" t="s">
        <v>475</v>
      </c>
      <c r="F161" s="162" t="s">
        <v>476</v>
      </c>
      <c r="G161" s="163"/>
      <c r="H161" s="81" t="s">
        <v>477</v>
      </c>
      <c r="I161" s="81" t="s">
        <v>344</v>
      </c>
      <c r="J161" s="81" t="s">
        <v>11</v>
      </c>
      <c r="K161" s="81" t="s">
        <v>530</v>
      </c>
      <c r="L161" s="81" t="s">
        <v>129</v>
      </c>
      <c r="M161" s="164">
        <v>23.2</v>
      </c>
      <c r="N161" s="165"/>
      <c r="O161" s="163"/>
      <c r="P161" s="82">
        <v>82.58</v>
      </c>
      <c r="Q161" s="164">
        <v>0</v>
      </c>
      <c r="R161" s="163"/>
      <c r="S161" s="81" t="s">
        <v>346</v>
      </c>
      <c r="T161" s="82">
        <v>63</v>
      </c>
      <c r="U161" s="82">
        <v>0</v>
      </c>
      <c r="V161" s="82">
        <v>0</v>
      </c>
      <c r="W161" s="82">
        <v>0</v>
      </c>
      <c r="X161" s="81" t="s">
        <v>141</v>
      </c>
      <c r="Y161" s="82">
        <v>20</v>
      </c>
      <c r="Z161" s="81" t="s">
        <v>138</v>
      </c>
      <c r="AA161" s="81" t="s">
        <v>58</v>
      </c>
      <c r="AB161" s="81" t="s">
        <v>58</v>
      </c>
      <c r="AC161" s="83">
        <v>46094</v>
      </c>
    </row>
    <row r="162" spans="2:29" ht="23" x14ac:dyDescent="0.35">
      <c r="B162" s="81" t="s">
        <v>338</v>
      </c>
      <c r="C162" s="81" t="s">
        <v>339</v>
      </c>
      <c r="D162" s="81" t="s">
        <v>340</v>
      </c>
      <c r="E162" s="81" t="s">
        <v>475</v>
      </c>
      <c r="F162" s="162" t="s">
        <v>476</v>
      </c>
      <c r="G162" s="163"/>
      <c r="H162" s="81" t="s">
        <v>477</v>
      </c>
      <c r="I162" s="81" t="s">
        <v>344</v>
      </c>
      <c r="J162" s="81" t="s">
        <v>11</v>
      </c>
      <c r="K162" s="81" t="s">
        <v>531</v>
      </c>
      <c r="L162" s="81" t="s">
        <v>129</v>
      </c>
      <c r="M162" s="164">
        <v>23</v>
      </c>
      <c r="N162" s="165"/>
      <c r="O162" s="163"/>
      <c r="P162" s="82">
        <v>81.87</v>
      </c>
      <c r="Q162" s="164">
        <v>0</v>
      </c>
      <c r="R162" s="163"/>
      <c r="S162" s="81" t="s">
        <v>346</v>
      </c>
      <c r="T162" s="82">
        <v>63</v>
      </c>
      <c r="U162" s="82">
        <v>0</v>
      </c>
      <c r="V162" s="82">
        <v>0</v>
      </c>
      <c r="W162" s="82">
        <v>0</v>
      </c>
      <c r="X162" s="81" t="s">
        <v>141</v>
      </c>
      <c r="Y162" s="82">
        <v>12</v>
      </c>
      <c r="Z162" s="81" t="s">
        <v>138</v>
      </c>
      <c r="AA162" s="81" t="s">
        <v>58</v>
      </c>
      <c r="AB162" s="81" t="s">
        <v>58</v>
      </c>
      <c r="AC162" s="83">
        <v>46094</v>
      </c>
    </row>
    <row r="163" spans="2:29" ht="23" x14ac:dyDescent="0.35">
      <c r="B163" s="81" t="s">
        <v>338</v>
      </c>
      <c r="C163" s="81" t="s">
        <v>339</v>
      </c>
      <c r="D163" s="81" t="s">
        <v>340</v>
      </c>
      <c r="E163" s="81" t="s">
        <v>475</v>
      </c>
      <c r="F163" s="162" t="s">
        <v>476</v>
      </c>
      <c r="G163" s="163"/>
      <c r="H163" s="81" t="s">
        <v>477</v>
      </c>
      <c r="I163" s="81" t="s">
        <v>344</v>
      </c>
      <c r="J163" s="81" t="s">
        <v>11</v>
      </c>
      <c r="K163" s="81" t="s">
        <v>532</v>
      </c>
      <c r="L163" s="81" t="s">
        <v>129</v>
      </c>
      <c r="M163" s="164">
        <v>34.6</v>
      </c>
      <c r="N163" s="165"/>
      <c r="O163" s="163"/>
      <c r="P163" s="82">
        <v>123.16</v>
      </c>
      <c r="Q163" s="164">
        <v>0</v>
      </c>
      <c r="R163" s="163"/>
      <c r="S163" s="81" t="s">
        <v>346</v>
      </c>
      <c r="T163" s="82">
        <v>63</v>
      </c>
      <c r="U163" s="82">
        <v>0</v>
      </c>
      <c r="V163" s="82">
        <v>0</v>
      </c>
      <c r="W163" s="82">
        <v>0</v>
      </c>
      <c r="X163" s="81" t="s">
        <v>141</v>
      </c>
      <c r="Y163" s="82">
        <v>12</v>
      </c>
      <c r="Z163" s="81" t="s">
        <v>138</v>
      </c>
      <c r="AA163" s="81" t="s">
        <v>58</v>
      </c>
      <c r="AB163" s="81" t="s">
        <v>58</v>
      </c>
      <c r="AC163" s="83">
        <v>46094</v>
      </c>
    </row>
    <row r="164" spans="2:29" ht="23" x14ac:dyDescent="0.35">
      <c r="B164" s="81" t="s">
        <v>338</v>
      </c>
      <c r="C164" s="81" t="s">
        <v>339</v>
      </c>
      <c r="D164" s="81" t="s">
        <v>340</v>
      </c>
      <c r="E164" s="81" t="s">
        <v>475</v>
      </c>
      <c r="F164" s="162" t="s">
        <v>476</v>
      </c>
      <c r="G164" s="163"/>
      <c r="H164" s="81" t="s">
        <v>477</v>
      </c>
      <c r="I164" s="81" t="s">
        <v>344</v>
      </c>
      <c r="J164" s="81" t="s">
        <v>11</v>
      </c>
      <c r="K164" s="81" t="s">
        <v>533</v>
      </c>
      <c r="L164" s="81" t="s">
        <v>129</v>
      </c>
      <c r="M164" s="164">
        <v>23</v>
      </c>
      <c r="N164" s="165"/>
      <c r="O164" s="163"/>
      <c r="P164" s="82">
        <v>81.87</v>
      </c>
      <c r="Q164" s="164">
        <v>0</v>
      </c>
      <c r="R164" s="163"/>
      <c r="S164" s="81" t="s">
        <v>346</v>
      </c>
      <c r="T164" s="82">
        <v>63</v>
      </c>
      <c r="U164" s="82">
        <v>0</v>
      </c>
      <c r="V164" s="82">
        <v>0</v>
      </c>
      <c r="W164" s="82">
        <v>0</v>
      </c>
      <c r="X164" s="81" t="s">
        <v>141</v>
      </c>
      <c r="Y164" s="82">
        <v>32</v>
      </c>
      <c r="Z164" s="81" t="s">
        <v>138</v>
      </c>
      <c r="AA164" s="81" t="s">
        <v>58</v>
      </c>
      <c r="AB164" s="81" t="s">
        <v>58</v>
      </c>
      <c r="AC164" s="83">
        <v>46094</v>
      </c>
    </row>
    <row r="165" spans="2:29" ht="23" x14ac:dyDescent="0.35">
      <c r="B165" s="81" t="s">
        <v>338</v>
      </c>
      <c r="C165" s="81" t="s">
        <v>339</v>
      </c>
      <c r="D165" s="81" t="s">
        <v>340</v>
      </c>
      <c r="E165" s="81" t="s">
        <v>475</v>
      </c>
      <c r="F165" s="162" t="s">
        <v>476</v>
      </c>
      <c r="G165" s="163"/>
      <c r="H165" s="81" t="s">
        <v>477</v>
      </c>
      <c r="I165" s="81" t="s">
        <v>344</v>
      </c>
      <c r="J165" s="81" t="s">
        <v>11</v>
      </c>
      <c r="K165" s="81" t="s">
        <v>534</v>
      </c>
      <c r="L165" s="81" t="s">
        <v>129</v>
      </c>
      <c r="M165" s="164">
        <v>23.2</v>
      </c>
      <c r="N165" s="165"/>
      <c r="O165" s="163"/>
      <c r="P165" s="82">
        <v>82.58</v>
      </c>
      <c r="Q165" s="164">
        <v>0</v>
      </c>
      <c r="R165" s="163"/>
      <c r="S165" s="81" t="s">
        <v>346</v>
      </c>
      <c r="T165" s="82">
        <v>63</v>
      </c>
      <c r="U165" s="82">
        <v>0</v>
      </c>
      <c r="V165" s="82">
        <v>0</v>
      </c>
      <c r="W165" s="82">
        <v>0</v>
      </c>
      <c r="X165" s="81" t="s">
        <v>141</v>
      </c>
      <c r="Y165" s="82">
        <v>40</v>
      </c>
      <c r="Z165" s="81" t="s">
        <v>138</v>
      </c>
      <c r="AA165" s="81" t="s">
        <v>58</v>
      </c>
      <c r="AB165" s="81" t="s">
        <v>58</v>
      </c>
      <c r="AC165" s="83">
        <v>46094</v>
      </c>
    </row>
    <row r="166" spans="2:29" ht="23" x14ac:dyDescent="0.35">
      <c r="B166" s="81" t="s">
        <v>338</v>
      </c>
      <c r="C166" s="81" t="s">
        <v>339</v>
      </c>
      <c r="D166" s="81" t="s">
        <v>340</v>
      </c>
      <c r="E166" s="81" t="s">
        <v>475</v>
      </c>
      <c r="F166" s="162" t="s">
        <v>476</v>
      </c>
      <c r="G166" s="163"/>
      <c r="H166" s="81" t="s">
        <v>477</v>
      </c>
      <c r="I166" s="81" t="s">
        <v>344</v>
      </c>
      <c r="J166" s="81" t="s">
        <v>11</v>
      </c>
      <c r="K166" s="81" t="s">
        <v>535</v>
      </c>
      <c r="L166" s="81" t="s">
        <v>129</v>
      </c>
      <c r="M166" s="164">
        <v>32.299999999999997</v>
      </c>
      <c r="N166" s="165"/>
      <c r="O166" s="163"/>
      <c r="P166" s="82">
        <v>114.97</v>
      </c>
      <c r="Q166" s="164">
        <v>0</v>
      </c>
      <c r="R166" s="163"/>
      <c r="S166" s="81" t="s">
        <v>346</v>
      </c>
      <c r="T166" s="82">
        <v>63</v>
      </c>
      <c r="U166" s="82">
        <v>0</v>
      </c>
      <c r="V166" s="82">
        <v>0</v>
      </c>
      <c r="W166" s="82">
        <v>0</v>
      </c>
      <c r="X166" s="81" t="s">
        <v>141</v>
      </c>
      <c r="Y166" s="82">
        <v>12</v>
      </c>
      <c r="Z166" s="81" t="s">
        <v>138</v>
      </c>
      <c r="AA166" s="81" t="s">
        <v>58</v>
      </c>
      <c r="AB166" s="81" t="s">
        <v>58</v>
      </c>
      <c r="AC166" s="83">
        <v>46094</v>
      </c>
    </row>
    <row r="167" spans="2:29" ht="23" x14ac:dyDescent="0.35">
      <c r="B167" s="81" t="s">
        <v>338</v>
      </c>
      <c r="C167" s="81" t="s">
        <v>339</v>
      </c>
      <c r="D167" s="81" t="s">
        <v>340</v>
      </c>
      <c r="E167" s="81" t="s">
        <v>475</v>
      </c>
      <c r="F167" s="162" t="s">
        <v>476</v>
      </c>
      <c r="G167" s="163"/>
      <c r="H167" s="81" t="s">
        <v>477</v>
      </c>
      <c r="I167" s="81" t="s">
        <v>344</v>
      </c>
      <c r="J167" s="81" t="s">
        <v>11</v>
      </c>
      <c r="K167" s="81" t="s">
        <v>536</v>
      </c>
      <c r="L167" s="81" t="s">
        <v>129</v>
      </c>
      <c r="M167" s="164">
        <v>25.6</v>
      </c>
      <c r="N167" s="165"/>
      <c r="O167" s="163"/>
      <c r="P167" s="82">
        <v>91.12</v>
      </c>
      <c r="Q167" s="164">
        <v>0</v>
      </c>
      <c r="R167" s="163"/>
      <c r="S167" s="81" t="s">
        <v>346</v>
      </c>
      <c r="T167" s="82">
        <v>63</v>
      </c>
      <c r="U167" s="82">
        <v>0</v>
      </c>
      <c r="V167" s="82">
        <v>0</v>
      </c>
      <c r="W167" s="82">
        <v>0</v>
      </c>
      <c r="X167" s="81" t="s">
        <v>141</v>
      </c>
      <c r="Y167" s="82">
        <v>12</v>
      </c>
      <c r="Z167" s="81" t="s">
        <v>138</v>
      </c>
      <c r="AA167" s="81" t="s">
        <v>58</v>
      </c>
      <c r="AB167" s="81" t="s">
        <v>58</v>
      </c>
      <c r="AC167" s="83">
        <v>46094</v>
      </c>
    </row>
    <row r="168" spans="2:29" ht="23" x14ac:dyDescent="0.35">
      <c r="B168" s="81" t="s">
        <v>338</v>
      </c>
      <c r="C168" s="81" t="s">
        <v>339</v>
      </c>
      <c r="D168" s="81" t="s">
        <v>340</v>
      </c>
      <c r="E168" s="81" t="s">
        <v>475</v>
      </c>
      <c r="F168" s="162" t="s">
        <v>476</v>
      </c>
      <c r="G168" s="163"/>
      <c r="H168" s="81" t="s">
        <v>477</v>
      </c>
      <c r="I168" s="81" t="s">
        <v>344</v>
      </c>
      <c r="J168" s="81" t="s">
        <v>11</v>
      </c>
      <c r="K168" s="81" t="s">
        <v>537</v>
      </c>
      <c r="L168" s="81" t="s">
        <v>129</v>
      </c>
      <c r="M168" s="164">
        <v>23</v>
      </c>
      <c r="N168" s="165"/>
      <c r="O168" s="163"/>
      <c r="P168" s="82">
        <v>81.87</v>
      </c>
      <c r="Q168" s="164">
        <v>0</v>
      </c>
      <c r="R168" s="163"/>
      <c r="S168" s="81" t="s">
        <v>346</v>
      </c>
      <c r="T168" s="82">
        <v>63</v>
      </c>
      <c r="U168" s="82">
        <v>0</v>
      </c>
      <c r="V168" s="82">
        <v>0</v>
      </c>
      <c r="W168" s="82">
        <v>0</v>
      </c>
      <c r="X168" s="81"/>
      <c r="Y168" s="81"/>
      <c r="Z168" s="81" t="s">
        <v>138</v>
      </c>
      <c r="AA168" s="81" t="s">
        <v>58</v>
      </c>
      <c r="AB168" s="81" t="s">
        <v>58</v>
      </c>
      <c r="AC168" s="83">
        <v>46094</v>
      </c>
    </row>
    <row r="169" spans="2:29" ht="23" x14ac:dyDescent="0.35">
      <c r="B169" s="81" t="s">
        <v>338</v>
      </c>
      <c r="C169" s="81" t="s">
        <v>339</v>
      </c>
      <c r="D169" s="81" t="s">
        <v>340</v>
      </c>
      <c r="E169" s="81" t="s">
        <v>475</v>
      </c>
      <c r="F169" s="162" t="s">
        <v>476</v>
      </c>
      <c r="G169" s="163"/>
      <c r="H169" s="81" t="s">
        <v>477</v>
      </c>
      <c r="I169" s="81" t="s">
        <v>344</v>
      </c>
      <c r="J169" s="81" t="s">
        <v>11</v>
      </c>
      <c r="K169" s="81" t="s">
        <v>538</v>
      </c>
      <c r="L169" s="81" t="s">
        <v>129</v>
      </c>
      <c r="M169" s="164">
        <v>23.3</v>
      </c>
      <c r="N169" s="165"/>
      <c r="O169" s="163"/>
      <c r="P169" s="82">
        <v>82.94</v>
      </c>
      <c r="Q169" s="164">
        <v>0</v>
      </c>
      <c r="R169" s="163"/>
      <c r="S169" s="81" t="s">
        <v>346</v>
      </c>
      <c r="T169" s="82">
        <v>63</v>
      </c>
      <c r="U169" s="82">
        <v>0</v>
      </c>
      <c r="V169" s="82">
        <v>0</v>
      </c>
      <c r="W169" s="82">
        <v>0</v>
      </c>
      <c r="X169" s="81"/>
      <c r="Y169" s="81"/>
      <c r="Z169" s="81" t="s">
        <v>138</v>
      </c>
      <c r="AA169" s="81" t="s">
        <v>58</v>
      </c>
      <c r="AB169" s="81" t="s">
        <v>58</v>
      </c>
      <c r="AC169" s="83">
        <v>46094</v>
      </c>
    </row>
    <row r="170" spans="2:29" ht="23" x14ac:dyDescent="0.35">
      <c r="B170" s="81" t="s">
        <v>338</v>
      </c>
      <c r="C170" s="81" t="s">
        <v>339</v>
      </c>
      <c r="D170" s="81" t="s">
        <v>340</v>
      </c>
      <c r="E170" s="81" t="s">
        <v>475</v>
      </c>
      <c r="F170" s="162" t="s">
        <v>476</v>
      </c>
      <c r="G170" s="163"/>
      <c r="H170" s="81" t="s">
        <v>477</v>
      </c>
      <c r="I170" s="81" t="s">
        <v>344</v>
      </c>
      <c r="J170" s="81" t="s">
        <v>11</v>
      </c>
      <c r="K170" s="81" t="s">
        <v>539</v>
      </c>
      <c r="L170" s="81" t="s">
        <v>129</v>
      </c>
      <c r="M170" s="164">
        <v>23</v>
      </c>
      <c r="N170" s="165"/>
      <c r="O170" s="163"/>
      <c r="P170" s="82">
        <v>81.87</v>
      </c>
      <c r="Q170" s="164">
        <v>0</v>
      </c>
      <c r="R170" s="163"/>
      <c r="S170" s="81" t="s">
        <v>346</v>
      </c>
      <c r="T170" s="82">
        <v>63</v>
      </c>
      <c r="U170" s="82">
        <v>0</v>
      </c>
      <c r="V170" s="82">
        <v>0</v>
      </c>
      <c r="W170" s="82">
        <v>0</v>
      </c>
      <c r="X170" s="81" t="s">
        <v>133</v>
      </c>
      <c r="Y170" s="82">
        <v>8</v>
      </c>
      <c r="Z170" s="81" t="s">
        <v>138</v>
      </c>
      <c r="AA170" s="81" t="s">
        <v>58</v>
      </c>
      <c r="AB170" s="81" t="s">
        <v>58</v>
      </c>
      <c r="AC170" s="83">
        <v>46094</v>
      </c>
    </row>
    <row r="171" spans="2:29" ht="23" x14ac:dyDescent="0.35">
      <c r="B171" s="81" t="s">
        <v>338</v>
      </c>
      <c r="C171" s="81" t="s">
        <v>339</v>
      </c>
      <c r="D171" s="81" t="s">
        <v>340</v>
      </c>
      <c r="E171" s="81" t="s">
        <v>475</v>
      </c>
      <c r="F171" s="162" t="s">
        <v>476</v>
      </c>
      <c r="G171" s="163"/>
      <c r="H171" s="81" t="s">
        <v>477</v>
      </c>
      <c r="I171" s="81" t="s">
        <v>344</v>
      </c>
      <c r="J171" s="81" t="s">
        <v>11</v>
      </c>
      <c r="K171" s="81" t="s">
        <v>540</v>
      </c>
      <c r="L171" s="81" t="s">
        <v>129</v>
      </c>
      <c r="M171" s="164">
        <v>22.5</v>
      </c>
      <c r="N171" s="165"/>
      <c r="O171" s="163"/>
      <c r="P171" s="82">
        <v>80.09</v>
      </c>
      <c r="Q171" s="164">
        <v>0</v>
      </c>
      <c r="R171" s="163"/>
      <c r="S171" s="81" t="s">
        <v>346</v>
      </c>
      <c r="T171" s="82">
        <v>63</v>
      </c>
      <c r="U171" s="82">
        <v>0</v>
      </c>
      <c r="V171" s="82">
        <v>0</v>
      </c>
      <c r="W171" s="82">
        <v>0</v>
      </c>
      <c r="X171" s="81" t="s">
        <v>141</v>
      </c>
      <c r="Y171" s="82">
        <v>32</v>
      </c>
      <c r="Z171" s="81" t="s">
        <v>138</v>
      </c>
      <c r="AA171" s="81" t="s">
        <v>58</v>
      </c>
      <c r="AB171" s="81" t="s">
        <v>58</v>
      </c>
      <c r="AC171" s="83">
        <v>46094</v>
      </c>
    </row>
    <row r="172" spans="2:29" ht="23" x14ac:dyDescent="0.35">
      <c r="B172" s="81" t="s">
        <v>338</v>
      </c>
      <c r="C172" s="81" t="s">
        <v>339</v>
      </c>
      <c r="D172" s="81" t="s">
        <v>340</v>
      </c>
      <c r="E172" s="81" t="s">
        <v>496</v>
      </c>
      <c r="F172" s="162" t="s">
        <v>497</v>
      </c>
      <c r="G172" s="163"/>
      <c r="H172" s="81" t="s">
        <v>498</v>
      </c>
      <c r="I172" s="81" t="s">
        <v>344</v>
      </c>
      <c r="J172" s="81" t="s">
        <v>11</v>
      </c>
      <c r="K172" s="81" t="s">
        <v>541</v>
      </c>
      <c r="L172" s="81" t="s">
        <v>129</v>
      </c>
      <c r="M172" s="164">
        <v>23.1</v>
      </c>
      <c r="N172" s="165"/>
      <c r="O172" s="163"/>
      <c r="P172" s="82">
        <v>84</v>
      </c>
      <c r="Q172" s="164">
        <v>0</v>
      </c>
      <c r="R172" s="163"/>
      <c r="S172" s="81" t="s">
        <v>346</v>
      </c>
      <c r="T172" s="82">
        <v>63</v>
      </c>
      <c r="U172" s="82">
        <v>0</v>
      </c>
      <c r="V172" s="82">
        <v>0</v>
      </c>
      <c r="W172" s="82">
        <v>0</v>
      </c>
      <c r="X172" s="81"/>
      <c r="Y172" s="81"/>
      <c r="Z172" s="81" t="s">
        <v>138</v>
      </c>
      <c r="AA172" s="81" t="s">
        <v>58</v>
      </c>
      <c r="AB172" s="81" t="s">
        <v>58</v>
      </c>
      <c r="AC172" s="83">
        <v>46094</v>
      </c>
    </row>
    <row r="173" spans="2:29" ht="23" x14ac:dyDescent="0.35">
      <c r="B173" s="81" t="s">
        <v>338</v>
      </c>
      <c r="C173" s="81" t="s">
        <v>339</v>
      </c>
      <c r="D173" s="81" t="s">
        <v>340</v>
      </c>
      <c r="E173" s="81" t="s">
        <v>496</v>
      </c>
      <c r="F173" s="162" t="s">
        <v>497</v>
      </c>
      <c r="G173" s="163"/>
      <c r="H173" s="81" t="s">
        <v>498</v>
      </c>
      <c r="I173" s="81" t="s">
        <v>344</v>
      </c>
      <c r="J173" s="81" t="s">
        <v>11</v>
      </c>
      <c r="K173" s="81" t="s">
        <v>542</v>
      </c>
      <c r="L173" s="81" t="s">
        <v>129</v>
      </c>
      <c r="M173" s="164">
        <v>22.6</v>
      </c>
      <c r="N173" s="165"/>
      <c r="O173" s="163"/>
      <c r="P173" s="82">
        <v>82.18</v>
      </c>
      <c r="Q173" s="164">
        <v>0</v>
      </c>
      <c r="R173" s="163"/>
      <c r="S173" s="81" t="s">
        <v>346</v>
      </c>
      <c r="T173" s="82">
        <v>63</v>
      </c>
      <c r="U173" s="82">
        <v>0</v>
      </c>
      <c r="V173" s="82">
        <v>0</v>
      </c>
      <c r="W173" s="82">
        <v>0</v>
      </c>
      <c r="X173" s="81"/>
      <c r="Y173" s="81"/>
      <c r="Z173" s="81" t="s">
        <v>138</v>
      </c>
      <c r="AA173" s="81" t="s">
        <v>58</v>
      </c>
      <c r="AB173" s="81" t="s">
        <v>58</v>
      </c>
      <c r="AC173" s="83">
        <v>46094</v>
      </c>
    </row>
    <row r="174" spans="2:29" ht="23" x14ac:dyDescent="0.35">
      <c r="B174" s="81" t="s">
        <v>338</v>
      </c>
      <c r="C174" s="81" t="s">
        <v>339</v>
      </c>
      <c r="D174" s="81" t="s">
        <v>340</v>
      </c>
      <c r="E174" s="81" t="s">
        <v>496</v>
      </c>
      <c r="F174" s="162" t="s">
        <v>497</v>
      </c>
      <c r="G174" s="163"/>
      <c r="H174" s="81" t="s">
        <v>498</v>
      </c>
      <c r="I174" s="81" t="s">
        <v>344</v>
      </c>
      <c r="J174" s="81" t="s">
        <v>11</v>
      </c>
      <c r="K174" s="81" t="s">
        <v>543</v>
      </c>
      <c r="L174" s="81" t="s">
        <v>129</v>
      </c>
      <c r="M174" s="164">
        <v>23.1</v>
      </c>
      <c r="N174" s="165"/>
      <c r="O174" s="163"/>
      <c r="P174" s="82">
        <v>84</v>
      </c>
      <c r="Q174" s="164">
        <v>0</v>
      </c>
      <c r="R174" s="163"/>
      <c r="S174" s="81" t="s">
        <v>346</v>
      </c>
      <c r="T174" s="82">
        <v>63</v>
      </c>
      <c r="U174" s="82">
        <v>0</v>
      </c>
      <c r="V174" s="82">
        <v>0</v>
      </c>
      <c r="W174" s="82">
        <v>0</v>
      </c>
      <c r="X174" s="81" t="s">
        <v>135</v>
      </c>
      <c r="Y174" s="82">
        <v>8</v>
      </c>
      <c r="Z174" s="81" t="s">
        <v>138</v>
      </c>
      <c r="AA174" s="81" t="s">
        <v>58</v>
      </c>
      <c r="AB174" s="81" t="s">
        <v>58</v>
      </c>
      <c r="AC174" s="83">
        <v>46094</v>
      </c>
    </row>
    <row r="175" spans="2:29" ht="23" x14ac:dyDescent="0.35">
      <c r="B175" s="81" t="s">
        <v>338</v>
      </c>
      <c r="C175" s="81" t="s">
        <v>339</v>
      </c>
      <c r="D175" s="81" t="s">
        <v>340</v>
      </c>
      <c r="E175" s="81" t="s">
        <v>496</v>
      </c>
      <c r="F175" s="162" t="s">
        <v>497</v>
      </c>
      <c r="G175" s="163"/>
      <c r="H175" s="81" t="s">
        <v>498</v>
      </c>
      <c r="I175" s="81" t="s">
        <v>344</v>
      </c>
      <c r="J175" s="81" t="s">
        <v>11</v>
      </c>
      <c r="K175" s="81" t="s">
        <v>544</v>
      </c>
      <c r="L175" s="81" t="s">
        <v>129</v>
      </c>
      <c r="M175" s="164">
        <v>18</v>
      </c>
      <c r="N175" s="165"/>
      <c r="O175" s="163"/>
      <c r="P175" s="82">
        <v>65.459999999999994</v>
      </c>
      <c r="Q175" s="164">
        <v>0</v>
      </c>
      <c r="R175" s="163"/>
      <c r="S175" s="81" t="s">
        <v>346</v>
      </c>
      <c r="T175" s="82">
        <v>63</v>
      </c>
      <c r="U175" s="82">
        <v>0</v>
      </c>
      <c r="V175" s="82">
        <v>0</v>
      </c>
      <c r="W175" s="82">
        <v>0</v>
      </c>
      <c r="X175" s="81" t="s">
        <v>142</v>
      </c>
      <c r="Y175" s="82">
        <v>8</v>
      </c>
      <c r="Z175" s="81" t="s">
        <v>138</v>
      </c>
      <c r="AA175" s="81" t="s">
        <v>58</v>
      </c>
      <c r="AB175" s="81" t="s">
        <v>58</v>
      </c>
      <c r="AC175" s="83">
        <v>46094</v>
      </c>
    </row>
    <row r="176" spans="2:29" ht="23" x14ac:dyDescent="0.35">
      <c r="B176" s="81" t="s">
        <v>338</v>
      </c>
      <c r="C176" s="81" t="s">
        <v>339</v>
      </c>
      <c r="D176" s="81" t="s">
        <v>340</v>
      </c>
      <c r="E176" s="81" t="s">
        <v>496</v>
      </c>
      <c r="F176" s="162" t="s">
        <v>497</v>
      </c>
      <c r="G176" s="163"/>
      <c r="H176" s="81" t="s">
        <v>498</v>
      </c>
      <c r="I176" s="81" t="s">
        <v>344</v>
      </c>
      <c r="J176" s="81" t="s">
        <v>11</v>
      </c>
      <c r="K176" s="81" t="s">
        <v>545</v>
      </c>
      <c r="L176" s="81" t="s">
        <v>129</v>
      </c>
      <c r="M176" s="164">
        <v>23</v>
      </c>
      <c r="N176" s="165"/>
      <c r="O176" s="163"/>
      <c r="P176" s="82">
        <v>83.64</v>
      </c>
      <c r="Q176" s="164">
        <v>0</v>
      </c>
      <c r="R176" s="163"/>
      <c r="S176" s="81" t="s">
        <v>346</v>
      </c>
      <c r="T176" s="82">
        <v>63</v>
      </c>
      <c r="U176" s="82">
        <v>0</v>
      </c>
      <c r="V176" s="82">
        <v>0</v>
      </c>
      <c r="W176" s="82">
        <v>0</v>
      </c>
      <c r="X176" s="81" t="s">
        <v>141</v>
      </c>
      <c r="Y176" s="82">
        <v>8</v>
      </c>
      <c r="Z176" s="81" t="s">
        <v>138</v>
      </c>
      <c r="AA176" s="81" t="s">
        <v>58</v>
      </c>
      <c r="AB176" s="81" t="s">
        <v>58</v>
      </c>
      <c r="AC176" s="83">
        <v>46094</v>
      </c>
    </row>
    <row r="177" spans="2:29" ht="23" x14ac:dyDescent="0.35">
      <c r="B177" s="81" t="s">
        <v>338</v>
      </c>
      <c r="C177" s="81" t="s">
        <v>339</v>
      </c>
      <c r="D177" s="81" t="s">
        <v>340</v>
      </c>
      <c r="E177" s="81" t="s">
        <v>496</v>
      </c>
      <c r="F177" s="162" t="s">
        <v>497</v>
      </c>
      <c r="G177" s="163"/>
      <c r="H177" s="81" t="s">
        <v>498</v>
      </c>
      <c r="I177" s="81" t="s">
        <v>344</v>
      </c>
      <c r="J177" s="81" t="s">
        <v>11</v>
      </c>
      <c r="K177" s="81" t="s">
        <v>546</v>
      </c>
      <c r="L177" s="81" t="s">
        <v>129</v>
      </c>
      <c r="M177" s="164">
        <v>22.5</v>
      </c>
      <c r="N177" s="165"/>
      <c r="O177" s="163"/>
      <c r="P177" s="82">
        <v>81.819999999999993</v>
      </c>
      <c r="Q177" s="164">
        <v>0</v>
      </c>
      <c r="R177" s="163"/>
      <c r="S177" s="81" t="s">
        <v>346</v>
      </c>
      <c r="T177" s="82">
        <v>63</v>
      </c>
      <c r="U177" s="82">
        <v>0</v>
      </c>
      <c r="V177" s="82">
        <v>0</v>
      </c>
      <c r="W177" s="82">
        <v>0</v>
      </c>
      <c r="X177" s="81"/>
      <c r="Y177" s="81"/>
      <c r="Z177" s="81" t="s">
        <v>138</v>
      </c>
      <c r="AA177" s="81" t="s">
        <v>58</v>
      </c>
      <c r="AB177" s="81" t="s">
        <v>58</v>
      </c>
      <c r="AC177" s="83">
        <v>46094</v>
      </c>
    </row>
    <row r="178" spans="2:29" ht="23" x14ac:dyDescent="0.35">
      <c r="B178" s="81" t="s">
        <v>338</v>
      </c>
      <c r="C178" s="81" t="s">
        <v>339</v>
      </c>
      <c r="D178" s="81" t="s">
        <v>340</v>
      </c>
      <c r="E178" s="81" t="s">
        <v>496</v>
      </c>
      <c r="F178" s="162" t="s">
        <v>497</v>
      </c>
      <c r="G178" s="163"/>
      <c r="H178" s="81" t="s">
        <v>498</v>
      </c>
      <c r="I178" s="81" t="s">
        <v>344</v>
      </c>
      <c r="J178" s="81" t="s">
        <v>11</v>
      </c>
      <c r="K178" s="81" t="s">
        <v>547</v>
      </c>
      <c r="L178" s="81" t="s">
        <v>129</v>
      </c>
      <c r="M178" s="164">
        <v>19.600000000000001</v>
      </c>
      <c r="N178" s="165"/>
      <c r="O178" s="163"/>
      <c r="P178" s="82">
        <v>71.28</v>
      </c>
      <c r="Q178" s="164">
        <v>0</v>
      </c>
      <c r="R178" s="163"/>
      <c r="S178" s="81" t="s">
        <v>346</v>
      </c>
      <c r="T178" s="82">
        <v>63</v>
      </c>
      <c r="U178" s="82">
        <v>0</v>
      </c>
      <c r="V178" s="82">
        <v>0</v>
      </c>
      <c r="W178" s="82">
        <v>0</v>
      </c>
      <c r="X178" s="81"/>
      <c r="Y178" s="81"/>
      <c r="Z178" s="81" t="s">
        <v>138</v>
      </c>
      <c r="AA178" s="81" t="s">
        <v>58</v>
      </c>
      <c r="AB178" s="81" t="s">
        <v>58</v>
      </c>
      <c r="AC178" s="83">
        <v>46094</v>
      </c>
    </row>
    <row r="179" spans="2:29" ht="23" x14ac:dyDescent="0.35">
      <c r="B179" s="81" t="s">
        <v>338</v>
      </c>
      <c r="C179" s="81" t="s">
        <v>339</v>
      </c>
      <c r="D179" s="81" t="s">
        <v>340</v>
      </c>
      <c r="E179" s="81" t="s">
        <v>496</v>
      </c>
      <c r="F179" s="162" t="s">
        <v>497</v>
      </c>
      <c r="G179" s="163"/>
      <c r="H179" s="81" t="s">
        <v>498</v>
      </c>
      <c r="I179" s="81" t="s">
        <v>344</v>
      </c>
      <c r="J179" s="81" t="s">
        <v>11</v>
      </c>
      <c r="K179" s="81" t="s">
        <v>548</v>
      </c>
      <c r="L179" s="81" t="s">
        <v>129</v>
      </c>
      <c r="M179" s="164">
        <v>23.8</v>
      </c>
      <c r="N179" s="165"/>
      <c r="O179" s="163"/>
      <c r="P179" s="82">
        <v>86.55</v>
      </c>
      <c r="Q179" s="164">
        <v>0</v>
      </c>
      <c r="R179" s="163"/>
      <c r="S179" s="81" t="s">
        <v>346</v>
      </c>
      <c r="T179" s="82">
        <v>63</v>
      </c>
      <c r="U179" s="82">
        <v>0</v>
      </c>
      <c r="V179" s="82">
        <v>0</v>
      </c>
      <c r="W179" s="82">
        <v>0</v>
      </c>
      <c r="X179" s="81" t="s">
        <v>139</v>
      </c>
      <c r="Y179" s="82">
        <v>4</v>
      </c>
      <c r="Z179" s="81" t="s">
        <v>138</v>
      </c>
      <c r="AA179" s="81" t="s">
        <v>58</v>
      </c>
      <c r="AB179" s="81" t="s">
        <v>58</v>
      </c>
      <c r="AC179" s="83">
        <v>46094</v>
      </c>
    </row>
    <row r="180" spans="2:29" ht="23" x14ac:dyDescent="0.35">
      <c r="B180" s="81" t="s">
        <v>338</v>
      </c>
      <c r="C180" s="81" t="s">
        <v>339</v>
      </c>
      <c r="D180" s="81" t="s">
        <v>340</v>
      </c>
      <c r="E180" s="81" t="s">
        <v>496</v>
      </c>
      <c r="F180" s="162" t="s">
        <v>497</v>
      </c>
      <c r="G180" s="163"/>
      <c r="H180" s="81" t="s">
        <v>498</v>
      </c>
      <c r="I180" s="81" t="s">
        <v>344</v>
      </c>
      <c r="J180" s="81" t="s">
        <v>11</v>
      </c>
      <c r="K180" s="81" t="s">
        <v>549</v>
      </c>
      <c r="L180" s="81" t="s">
        <v>129</v>
      </c>
      <c r="M180" s="164">
        <v>19.5</v>
      </c>
      <c r="N180" s="165"/>
      <c r="O180" s="163"/>
      <c r="P180" s="82">
        <v>70.91</v>
      </c>
      <c r="Q180" s="164">
        <v>0</v>
      </c>
      <c r="R180" s="163"/>
      <c r="S180" s="81" t="s">
        <v>346</v>
      </c>
      <c r="T180" s="82">
        <v>63</v>
      </c>
      <c r="U180" s="82">
        <v>0</v>
      </c>
      <c r="V180" s="82">
        <v>0</v>
      </c>
      <c r="W180" s="82">
        <v>0</v>
      </c>
      <c r="X180" s="81" t="s">
        <v>132</v>
      </c>
      <c r="Y180" s="82">
        <v>8</v>
      </c>
      <c r="Z180" s="81" t="s">
        <v>138</v>
      </c>
      <c r="AA180" s="81" t="s">
        <v>58</v>
      </c>
      <c r="AB180" s="81" t="s">
        <v>58</v>
      </c>
      <c r="AC180" s="83">
        <v>46094</v>
      </c>
    </row>
    <row r="181" spans="2:29" ht="23" x14ac:dyDescent="0.35">
      <c r="B181" s="81" t="s">
        <v>338</v>
      </c>
      <c r="C181" s="81" t="s">
        <v>339</v>
      </c>
      <c r="D181" s="81" t="s">
        <v>340</v>
      </c>
      <c r="E181" s="81" t="s">
        <v>496</v>
      </c>
      <c r="F181" s="162" t="s">
        <v>497</v>
      </c>
      <c r="G181" s="163"/>
      <c r="H181" s="81" t="s">
        <v>498</v>
      </c>
      <c r="I181" s="81" t="s">
        <v>344</v>
      </c>
      <c r="J181" s="81" t="s">
        <v>11</v>
      </c>
      <c r="K181" s="81" t="s">
        <v>550</v>
      </c>
      <c r="L181" s="81" t="s">
        <v>129</v>
      </c>
      <c r="M181" s="164">
        <v>22.1</v>
      </c>
      <c r="N181" s="165"/>
      <c r="O181" s="163"/>
      <c r="P181" s="82">
        <v>80.37</v>
      </c>
      <c r="Q181" s="164">
        <v>0</v>
      </c>
      <c r="R181" s="163"/>
      <c r="S181" s="81" t="s">
        <v>346</v>
      </c>
      <c r="T181" s="82">
        <v>63</v>
      </c>
      <c r="U181" s="82">
        <v>0</v>
      </c>
      <c r="V181" s="82">
        <v>0</v>
      </c>
      <c r="W181" s="82">
        <v>0</v>
      </c>
      <c r="X181" s="81"/>
      <c r="Y181" s="81"/>
      <c r="Z181" s="81" t="s">
        <v>138</v>
      </c>
      <c r="AA181" s="81" t="s">
        <v>58</v>
      </c>
      <c r="AB181" s="81" t="s">
        <v>58</v>
      </c>
      <c r="AC181" s="83">
        <v>46094</v>
      </c>
    </row>
    <row r="182" spans="2:29" ht="23" x14ac:dyDescent="0.35">
      <c r="B182" s="81" t="s">
        <v>338</v>
      </c>
      <c r="C182" s="81" t="s">
        <v>339</v>
      </c>
      <c r="D182" s="81" t="s">
        <v>340</v>
      </c>
      <c r="E182" s="81" t="s">
        <v>496</v>
      </c>
      <c r="F182" s="162" t="s">
        <v>497</v>
      </c>
      <c r="G182" s="163"/>
      <c r="H182" s="81" t="s">
        <v>498</v>
      </c>
      <c r="I182" s="81" t="s">
        <v>344</v>
      </c>
      <c r="J182" s="81" t="s">
        <v>11</v>
      </c>
      <c r="K182" s="81" t="s">
        <v>551</v>
      </c>
      <c r="L182" s="81" t="s">
        <v>129</v>
      </c>
      <c r="M182" s="164">
        <v>22.8</v>
      </c>
      <c r="N182" s="165"/>
      <c r="O182" s="163"/>
      <c r="P182" s="82">
        <v>82.91</v>
      </c>
      <c r="Q182" s="164">
        <v>0</v>
      </c>
      <c r="R182" s="163"/>
      <c r="S182" s="81" t="s">
        <v>346</v>
      </c>
      <c r="T182" s="82">
        <v>63</v>
      </c>
      <c r="U182" s="82">
        <v>0</v>
      </c>
      <c r="V182" s="82">
        <v>0</v>
      </c>
      <c r="W182" s="82">
        <v>0</v>
      </c>
      <c r="X182" s="81"/>
      <c r="Y182" s="81"/>
      <c r="Z182" s="81" t="s">
        <v>138</v>
      </c>
      <c r="AA182" s="81" t="s">
        <v>58</v>
      </c>
      <c r="AB182" s="81" t="s">
        <v>58</v>
      </c>
      <c r="AC182" s="83">
        <v>46094</v>
      </c>
    </row>
    <row r="183" spans="2:29" ht="23" x14ac:dyDescent="0.35">
      <c r="B183" s="81" t="s">
        <v>338</v>
      </c>
      <c r="C183" s="81" t="s">
        <v>339</v>
      </c>
      <c r="D183" s="81" t="s">
        <v>340</v>
      </c>
      <c r="E183" s="81" t="s">
        <v>496</v>
      </c>
      <c r="F183" s="162" t="s">
        <v>497</v>
      </c>
      <c r="G183" s="163"/>
      <c r="H183" s="81" t="s">
        <v>498</v>
      </c>
      <c r="I183" s="81" t="s">
        <v>344</v>
      </c>
      <c r="J183" s="81" t="s">
        <v>11</v>
      </c>
      <c r="K183" s="81" t="s">
        <v>552</v>
      </c>
      <c r="L183" s="81" t="s">
        <v>129</v>
      </c>
      <c r="M183" s="164">
        <v>23</v>
      </c>
      <c r="N183" s="165"/>
      <c r="O183" s="163"/>
      <c r="P183" s="82">
        <v>83.64</v>
      </c>
      <c r="Q183" s="164">
        <v>0</v>
      </c>
      <c r="R183" s="163"/>
      <c r="S183" s="81" t="s">
        <v>346</v>
      </c>
      <c r="T183" s="82">
        <v>63</v>
      </c>
      <c r="U183" s="82">
        <v>0</v>
      </c>
      <c r="V183" s="82">
        <v>0</v>
      </c>
      <c r="W183" s="82">
        <v>0</v>
      </c>
      <c r="X183" s="81"/>
      <c r="Y183" s="81"/>
      <c r="Z183" s="81" t="s">
        <v>138</v>
      </c>
      <c r="AA183" s="81" t="s">
        <v>58</v>
      </c>
      <c r="AB183" s="81" t="s">
        <v>58</v>
      </c>
      <c r="AC183" s="83">
        <v>46094</v>
      </c>
    </row>
    <row r="184" spans="2:29" ht="23" x14ac:dyDescent="0.35">
      <c r="B184" s="81" t="s">
        <v>338</v>
      </c>
      <c r="C184" s="81" t="s">
        <v>339</v>
      </c>
      <c r="D184" s="81" t="s">
        <v>340</v>
      </c>
      <c r="E184" s="81" t="s">
        <v>496</v>
      </c>
      <c r="F184" s="162" t="s">
        <v>497</v>
      </c>
      <c r="G184" s="163"/>
      <c r="H184" s="81" t="s">
        <v>498</v>
      </c>
      <c r="I184" s="81" t="s">
        <v>344</v>
      </c>
      <c r="J184" s="81" t="s">
        <v>11</v>
      </c>
      <c r="K184" s="81" t="s">
        <v>553</v>
      </c>
      <c r="L184" s="81" t="s">
        <v>129</v>
      </c>
      <c r="M184" s="164">
        <v>23</v>
      </c>
      <c r="N184" s="165"/>
      <c r="O184" s="163"/>
      <c r="P184" s="82">
        <v>83.64</v>
      </c>
      <c r="Q184" s="164">
        <v>0</v>
      </c>
      <c r="R184" s="163"/>
      <c r="S184" s="81" t="s">
        <v>346</v>
      </c>
      <c r="T184" s="82">
        <v>63</v>
      </c>
      <c r="U184" s="82">
        <v>0</v>
      </c>
      <c r="V184" s="82">
        <v>0</v>
      </c>
      <c r="W184" s="82">
        <v>0</v>
      </c>
      <c r="X184" s="81"/>
      <c r="Y184" s="81"/>
      <c r="Z184" s="81" t="s">
        <v>138</v>
      </c>
      <c r="AA184" s="81" t="s">
        <v>58</v>
      </c>
      <c r="AB184" s="81" t="s">
        <v>58</v>
      </c>
      <c r="AC184" s="83">
        <v>46094</v>
      </c>
    </row>
    <row r="185" spans="2:29" ht="23" x14ac:dyDescent="0.35">
      <c r="B185" s="81" t="s">
        <v>338</v>
      </c>
      <c r="C185" s="81" t="s">
        <v>339</v>
      </c>
      <c r="D185" s="81" t="s">
        <v>340</v>
      </c>
      <c r="E185" s="81" t="s">
        <v>496</v>
      </c>
      <c r="F185" s="162" t="s">
        <v>497</v>
      </c>
      <c r="G185" s="163"/>
      <c r="H185" s="81" t="s">
        <v>498</v>
      </c>
      <c r="I185" s="81" t="s">
        <v>344</v>
      </c>
      <c r="J185" s="81" t="s">
        <v>11</v>
      </c>
      <c r="K185" s="81" t="s">
        <v>554</v>
      </c>
      <c r="L185" s="81" t="s">
        <v>129</v>
      </c>
      <c r="M185" s="164">
        <v>23</v>
      </c>
      <c r="N185" s="165"/>
      <c r="O185" s="163"/>
      <c r="P185" s="82">
        <v>83.64</v>
      </c>
      <c r="Q185" s="164">
        <v>0</v>
      </c>
      <c r="R185" s="163"/>
      <c r="S185" s="81" t="s">
        <v>346</v>
      </c>
      <c r="T185" s="82">
        <v>63</v>
      </c>
      <c r="U185" s="82">
        <v>0</v>
      </c>
      <c r="V185" s="82">
        <v>0</v>
      </c>
      <c r="W185" s="82">
        <v>0</v>
      </c>
      <c r="X185" s="81" t="s">
        <v>132</v>
      </c>
      <c r="Y185" s="82">
        <v>12</v>
      </c>
      <c r="Z185" s="81" t="s">
        <v>138</v>
      </c>
      <c r="AA185" s="81" t="s">
        <v>58</v>
      </c>
      <c r="AB185" s="81" t="s">
        <v>58</v>
      </c>
      <c r="AC185" s="83">
        <v>46094</v>
      </c>
    </row>
    <row r="186" spans="2:29" ht="23" x14ac:dyDescent="0.35">
      <c r="B186" s="81" t="s">
        <v>338</v>
      </c>
      <c r="C186" s="81" t="s">
        <v>339</v>
      </c>
      <c r="D186" s="81" t="s">
        <v>340</v>
      </c>
      <c r="E186" s="81" t="s">
        <v>496</v>
      </c>
      <c r="F186" s="162" t="s">
        <v>497</v>
      </c>
      <c r="G186" s="163"/>
      <c r="H186" s="81" t="s">
        <v>498</v>
      </c>
      <c r="I186" s="81" t="s">
        <v>344</v>
      </c>
      <c r="J186" s="81" t="s">
        <v>11</v>
      </c>
      <c r="K186" s="81" t="s">
        <v>555</v>
      </c>
      <c r="L186" s="81" t="s">
        <v>129</v>
      </c>
      <c r="M186" s="164">
        <v>23</v>
      </c>
      <c r="N186" s="165"/>
      <c r="O186" s="163"/>
      <c r="P186" s="82">
        <v>83.64</v>
      </c>
      <c r="Q186" s="164">
        <v>0</v>
      </c>
      <c r="R186" s="163"/>
      <c r="S186" s="81" t="s">
        <v>346</v>
      </c>
      <c r="T186" s="82">
        <v>63</v>
      </c>
      <c r="U186" s="82">
        <v>0</v>
      </c>
      <c r="V186" s="82">
        <v>0</v>
      </c>
      <c r="W186" s="82">
        <v>0</v>
      </c>
      <c r="X186" s="81" t="s">
        <v>133</v>
      </c>
      <c r="Y186" s="82">
        <v>4</v>
      </c>
      <c r="Z186" s="81" t="s">
        <v>138</v>
      </c>
      <c r="AA186" s="81" t="s">
        <v>58</v>
      </c>
      <c r="AB186" s="81" t="s">
        <v>58</v>
      </c>
      <c r="AC186" s="83">
        <v>46094</v>
      </c>
    </row>
    <row r="187" spans="2:29" ht="23" x14ac:dyDescent="0.35">
      <c r="B187" s="81" t="s">
        <v>338</v>
      </c>
      <c r="C187" s="81" t="s">
        <v>339</v>
      </c>
      <c r="D187" s="81" t="s">
        <v>340</v>
      </c>
      <c r="E187" s="81" t="s">
        <v>496</v>
      </c>
      <c r="F187" s="162" t="s">
        <v>497</v>
      </c>
      <c r="G187" s="163"/>
      <c r="H187" s="81" t="s">
        <v>498</v>
      </c>
      <c r="I187" s="81" t="s">
        <v>344</v>
      </c>
      <c r="J187" s="81" t="s">
        <v>11</v>
      </c>
      <c r="K187" s="81" t="s">
        <v>556</v>
      </c>
      <c r="L187" s="81" t="s">
        <v>129</v>
      </c>
      <c r="M187" s="164">
        <v>22.4</v>
      </c>
      <c r="N187" s="165"/>
      <c r="O187" s="163"/>
      <c r="P187" s="82">
        <v>81.459999999999994</v>
      </c>
      <c r="Q187" s="164">
        <v>0</v>
      </c>
      <c r="R187" s="163"/>
      <c r="S187" s="81" t="s">
        <v>346</v>
      </c>
      <c r="T187" s="82">
        <v>63</v>
      </c>
      <c r="U187" s="82">
        <v>0</v>
      </c>
      <c r="V187" s="82">
        <v>0</v>
      </c>
      <c r="W187" s="82">
        <v>0</v>
      </c>
      <c r="X187" s="81" t="s">
        <v>132</v>
      </c>
      <c r="Y187" s="82">
        <v>8</v>
      </c>
      <c r="Z187" s="81" t="s">
        <v>138</v>
      </c>
      <c r="AA187" s="81" t="s">
        <v>58</v>
      </c>
      <c r="AB187" s="81" t="s">
        <v>58</v>
      </c>
      <c r="AC187" s="83">
        <v>46094</v>
      </c>
    </row>
    <row r="188" spans="2:29" ht="23" x14ac:dyDescent="0.35">
      <c r="B188" s="81" t="s">
        <v>338</v>
      </c>
      <c r="C188" s="81" t="s">
        <v>339</v>
      </c>
      <c r="D188" s="81" t="s">
        <v>340</v>
      </c>
      <c r="E188" s="81" t="s">
        <v>475</v>
      </c>
      <c r="F188" s="162" t="s">
        <v>476</v>
      </c>
      <c r="G188" s="163"/>
      <c r="H188" s="81" t="s">
        <v>557</v>
      </c>
      <c r="I188" s="81" t="s">
        <v>356</v>
      </c>
      <c r="J188" s="81" t="s">
        <v>128</v>
      </c>
      <c r="K188" s="81" t="s">
        <v>558</v>
      </c>
      <c r="L188" s="81" t="s">
        <v>150</v>
      </c>
      <c r="M188" s="164">
        <v>14.7</v>
      </c>
      <c r="N188" s="165"/>
      <c r="O188" s="163"/>
      <c r="P188" s="82">
        <v>61.72</v>
      </c>
      <c r="Q188" s="164">
        <v>0</v>
      </c>
      <c r="R188" s="163"/>
      <c r="S188" s="81" t="s">
        <v>358</v>
      </c>
      <c r="T188" s="82">
        <v>57</v>
      </c>
      <c r="U188" s="82">
        <v>0</v>
      </c>
      <c r="V188" s="82">
        <v>0</v>
      </c>
      <c r="W188" s="82">
        <v>0</v>
      </c>
      <c r="X188" s="81" t="s">
        <v>142</v>
      </c>
      <c r="Y188" s="82">
        <v>12</v>
      </c>
      <c r="Z188" s="81" t="s">
        <v>131</v>
      </c>
      <c r="AA188" s="81" t="s">
        <v>151</v>
      </c>
      <c r="AB188" s="81" t="s">
        <v>58</v>
      </c>
      <c r="AC188" s="83">
        <v>46097</v>
      </c>
    </row>
    <row r="189" spans="2:29" ht="23" x14ac:dyDescent="0.35">
      <c r="B189" s="81" t="s">
        <v>338</v>
      </c>
      <c r="C189" s="81" t="s">
        <v>339</v>
      </c>
      <c r="D189" s="81" t="s">
        <v>340</v>
      </c>
      <c r="E189" s="81" t="s">
        <v>496</v>
      </c>
      <c r="F189" s="162" t="s">
        <v>497</v>
      </c>
      <c r="G189" s="163"/>
      <c r="H189" s="81" t="s">
        <v>559</v>
      </c>
      <c r="I189" s="81" t="s">
        <v>356</v>
      </c>
      <c r="J189" s="81" t="s">
        <v>128</v>
      </c>
      <c r="K189" s="81" t="s">
        <v>560</v>
      </c>
      <c r="L189" s="81" t="s">
        <v>129</v>
      </c>
      <c r="M189" s="164">
        <v>30</v>
      </c>
      <c r="N189" s="165"/>
      <c r="O189" s="163"/>
      <c r="P189" s="82">
        <v>128.88</v>
      </c>
      <c r="Q189" s="164">
        <v>0</v>
      </c>
      <c r="R189" s="163"/>
      <c r="S189" s="81" t="s">
        <v>358</v>
      </c>
      <c r="T189" s="82">
        <v>56</v>
      </c>
      <c r="U189" s="82">
        <v>0</v>
      </c>
      <c r="V189" s="82">
        <v>0</v>
      </c>
      <c r="W189" s="82">
        <v>0</v>
      </c>
      <c r="X189" s="81" t="s">
        <v>135</v>
      </c>
      <c r="Y189" s="82">
        <v>16</v>
      </c>
      <c r="Z189" s="81" t="s">
        <v>131</v>
      </c>
      <c r="AA189" s="81" t="s">
        <v>58</v>
      </c>
      <c r="AB189" s="81" t="s">
        <v>58</v>
      </c>
      <c r="AC189" s="83">
        <v>46097</v>
      </c>
    </row>
    <row r="190" spans="2:29" ht="23" x14ac:dyDescent="0.35">
      <c r="B190" s="81" t="s">
        <v>338</v>
      </c>
      <c r="C190" s="81" t="s">
        <v>339</v>
      </c>
      <c r="D190" s="81" t="s">
        <v>340</v>
      </c>
      <c r="E190" s="81" t="s">
        <v>363</v>
      </c>
      <c r="F190" s="162" t="s">
        <v>364</v>
      </c>
      <c r="G190" s="163"/>
      <c r="H190" s="81" t="s">
        <v>365</v>
      </c>
      <c r="I190" s="81" t="s">
        <v>344</v>
      </c>
      <c r="J190" s="81" t="s">
        <v>11</v>
      </c>
      <c r="K190" s="81" t="s">
        <v>561</v>
      </c>
      <c r="L190" s="81" t="s">
        <v>129</v>
      </c>
      <c r="M190" s="164">
        <v>6</v>
      </c>
      <c r="N190" s="165"/>
      <c r="O190" s="163"/>
      <c r="P190" s="82">
        <v>21.53</v>
      </c>
      <c r="Q190" s="164">
        <v>0</v>
      </c>
      <c r="R190" s="163"/>
      <c r="S190" s="81" t="s">
        <v>346</v>
      </c>
      <c r="T190" s="82">
        <v>63</v>
      </c>
      <c r="U190" s="82">
        <v>0</v>
      </c>
      <c r="V190" s="82">
        <v>0</v>
      </c>
      <c r="W190" s="82">
        <v>0</v>
      </c>
      <c r="X190" s="81"/>
      <c r="Y190" s="81"/>
      <c r="Z190" s="81" t="s">
        <v>131</v>
      </c>
      <c r="AA190" s="81" t="s">
        <v>58</v>
      </c>
      <c r="AB190" s="81" t="s">
        <v>58</v>
      </c>
      <c r="AC190" s="83">
        <v>46095</v>
      </c>
    </row>
    <row r="191" spans="2:29" ht="23" x14ac:dyDescent="0.35">
      <c r="B191" s="81" t="s">
        <v>338</v>
      </c>
      <c r="C191" s="81" t="s">
        <v>339</v>
      </c>
      <c r="D191" s="81" t="s">
        <v>340</v>
      </c>
      <c r="E191" s="81" t="s">
        <v>406</v>
      </c>
      <c r="F191" s="162" t="s">
        <v>407</v>
      </c>
      <c r="G191" s="163"/>
      <c r="H191" s="81" t="s">
        <v>562</v>
      </c>
      <c r="I191" s="81" t="s">
        <v>356</v>
      </c>
      <c r="J191" s="81" t="s">
        <v>128</v>
      </c>
      <c r="K191" s="81" t="s">
        <v>563</v>
      </c>
      <c r="L191" s="81" t="s">
        <v>129</v>
      </c>
      <c r="M191" s="164">
        <v>14</v>
      </c>
      <c r="N191" s="165"/>
      <c r="O191" s="163"/>
      <c r="P191" s="82">
        <v>61.06</v>
      </c>
      <c r="Q191" s="164">
        <v>0</v>
      </c>
      <c r="R191" s="163"/>
      <c r="S191" s="81" t="s">
        <v>358</v>
      </c>
      <c r="T191" s="82">
        <v>56</v>
      </c>
      <c r="U191" s="82">
        <v>0</v>
      </c>
      <c r="V191" s="82">
        <v>0</v>
      </c>
      <c r="W191" s="82">
        <v>0</v>
      </c>
      <c r="X191" s="81" t="s">
        <v>143</v>
      </c>
      <c r="Y191" s="82">
        <v>1</v>
      </c>
      <c r="Z191" s="81" t="s">
        <v>138</v>
      </c>
      <c r="AA191" s="81" t="s">
        <v>58</v>
      </c>
      <c r="AB191" s="81" t="s">
        <v>58</v>
      </c>
      <c r="AC191" s="83">
        <v>46095</v>
      </c>
    </row>
    <row r="192" spans="2:29" ht="23" x14ac:dyDescent="0.35">
      <c r="B192" s="81" t="s">
        <v>338</v>
      </c>
      <c r="C192" s="81" t="s">
        <v>339</v>
      </c>
      <c r="D192" s="81" t="s">
        <v>340</v>
      </c>
      <c r="E192" s="81" t="s">
        <v>564</v>
      </c>
      <c r="F192" s="162" t="s">
        <v>565</v>
      </c>
      <c r="G192" s="163"/>
      <c r="H192" s="81" t="s">
        <v>566</v>
      </c>
      <c r="I192" s="81" t="s">
        <v>344</v>
      </c>
      <c r="J192" s="81" t="s">
        <v>11</v>
      </c>
      <c r="K192" s="81" t="s">
        <v>567</v>
      </c>
      <c r="L192" s="81" t="s">
        <v>129</v>
      </c>
      <c r="M192" s="164">
        <v>21.9</v>
      </c>
      <c r="N192" s="165"/>
      <c r="O192" s="163"/>
      <c r="P192" s="82">
        <v>74.78</v>
      </c>
      <c r="Q192" s="164">
        <v>0</v>
      </c>
      <c r="R192" s="163"/>
      <c r="S192" s="81" t="s">
        <v>346</v>
      </c>
      <c r="T192" s="82">
        <v>64</v>
      </c>
      <c r="U192" s="82">
        <v>0</v>
      </c>
      <c r="V192" s="82">
        <v>0</v>
      </c>
      <c r="W192" s="82">
        <v>0</v>
      </c>
      <c r="X192" s="81" t="s">
        <v>132</v>
      </c>
      <c r="Y192" s="82">
        <v>28</v>
      </c>
      <c r="Z192" s="81" t="s">
        <v>138</v>
      </c>
      <c r="AA192" s="81" t="s">
        <v>58</v>
      </c>
      <c r="AB192" s="81" t="s">
        <v>58</v>
      </c>
      <c r="AC192" s="83">
        <v>46098</v>
      </c>
    </row>
    <row r="193" spans="2:29" ht="23" x14ac:dyDescent="0.35">
      <c r="B193" s="81" t="s">
        <v>338</v>
      </c>
      <c r="C193" s="81" t="s">
        <v>339</v>
      </c>
      <c r="D193" s="81" t="s">
        <v>340</v>
      </c>
      <c r="E193" s="81" t="s">
        <v>564</v>
      </c>
      <c r="F193" s="162" t="s">
        <v>565</v>
      </c>
      <c r="G193" s="163"/>
      <c r="H193" s="81" t="s">
        <v>566</v>
      </c>
      <c r="I193" s="81" t="s">
        <v>344</v>
      </c>
      <c r="J193" s="81" t="s">
        <v>11</v>
      </c>
      <c r="K193" s="81" t="s">
        <v>568</v>
      </c>
      <c r="L193" s="81" t="s">
        <v>129</v>
      </c>
      <c r="M193" s="164">
        <v>23.7</v>
      </c>
      <c r="N193" s="165"/>
      <c r="O193" s="163"/>
      <c r="P193" s="82">
        <v>80.92</v>
      </c>
      <c r="Q193" s="164">
        <v>0</v>
      </c>
      <c r="R193" s="163"/>
      <c r="S193" s="81" t="s">
        <v>346</v>
      </c>
      <c r="T193" s="82">
        <v>64</v>
      </c>
      <c r="U193" s="82">
        <v>0</v>
      </c>
      <c r="V193" s="82">
        <v>0</v>
      </c>
      <c r="W193" s="82">
        <v>0</v>
      </c>
      <c r="X193" s="81" t="s">
        <v>132</v>
      </c>
      <c r="Y193" s="82">
        <v>24</v>
      </c>
      <c r="Z193" s="81" t="s">
        <v>138</v>
      </c>
      <c r="AA193" s="81" t="s">
        <v>58</v>
      </c>
      <c r="AB193" s="81" t="s">
        <v>58</v>
      </c>
      <c r="AC193" s="83">
        <v>46098</v>
      </c>
    </row>
    <row r="194" spans="2:29" ht="23" x14ac:dyDescent="0.35">
      <c r="B194" s="81" t="s">
        <v>338</v>
      </c>
      <c r="C194" s="81" t="s">
        <v>339</v>
      </c>
      <c r="D194" s="81" t="s">
        <v>340</v>
      </c>
      <c r="E194" s="81" t="s">
        <v>564</v>
      </c>
      <c r="F194" s="162" t="s">
        <v>565</v>
      </c>
      <c r="G194" s="163"/>
      <c r="H194" s="81" t="s">
        <v>566</v>
      </c>
      <c r="I194" s="81" t="s">
        <v>344</v>
      </c>
      <c r="J194" s="81" t="s">
        <v>11</v>
      </c>
      <c r="K194" s="81" t="s">
        <v>569</v>
      </c>
      <c r="L194" s="81" t="s">
        <v>129</v>
      </c>
      <c r="M194" s="164">
        <v>23.7</v>
      </c>
      <c r="N194" s="165"/>
      <c r="O194" s="163"/>
      <c r="P194" s="82">
        <v>80.92</v>
      </c>
      <c r="Q194" s="164">
        <v>0</v>
      </c>
      <c r="R194" s="163"/>
      <c r="S194" s="81" t="s">
        <v>346</v>
      </c>
      <c r="T194" s="82">
        <v>64</v>
      </c>
      <c r="U194" s="82">
        <v>0</v>
      </c>
      <c r="V194" s="82">
        <v>0</v>
      </c>
      <c r="W194" s="82">
        <v>0</v>
      </c>
      <c r="X194" s="81" t="s">
        <v>132</v>
      </c>
      <c r="Y194" s="82">
        <v>20</v>
      </c>
      <c r="Z194" s="81" t="s">
        <v>138</v>
      </c>
      <c r="AA194" s="81" t="s">
        <v>58</v>
      </c>
      <c r="AB194" s="81" t="s">
        <v>58</v>
      </c>
      <c r="AC194" s="83">
        <v>46098</v>
      </c>
    </row>
    <row r="195" spans="2:29" ht="23" x14ac:dyDescent="0.35">
      <c r="B195" s="81" t="s">
        <v>338</v>
      </c>
      <c r="C195" s="81" t="s">
        <v>339</v>
      </c>
      <c r="D195" s="81" t="s">
        <v>340</v>
      </c>
      <c r="E195" s="81" t="s">
        <v>564</v>
      </c>
      <c r="F195" s="162" t="s">
        <v>565</v>
      </c>
      <c r="G195" s="163"/>
      <c r="H195" s="81" t="s">
        <v>566</v>
      </c>
      <c r="I195" s="81" t="s">
        <v>344</v>
      </c>
      <c r="J195" s="81" t="s">
        <v>11</v>
      </c>
      <c r="K195" s="81" t="s">
        <v>570</v>
      </c>
      <c r="L195" s="81" t="s">
        <v>11</v>
      </c>
      <c r="M195" s="164">
        <v>15.7</v>
      </c>
      <c r="N195" s="165"/>
      <c r="O195" s="163"/>
      <c r="P195" s="82">
        <v>53.61</v>
      </c>
      <c r="Q195" s="164">
        <v>0</v>
      </c>
      <c r="R195" s="163"/>
      <c r="S195" s="81" t="s">
        <v>346</v>
      </c>
      <c r="T195" s="82">
        <v>64</v>
      </c>
      <c r="U195" s="82">
        <v>0</v>
      </c>
      <c r="V195" s="82">
        <v>0</v>
      </c>
      <c r="W195" s="82">
        <v>0</v>
      </c>
      <c r="X195" s="81" t="s">
        <v>132</v>
      </c>
      <c r="Y195" s="82">
        <v>36</v>
      </c>
      <c r="Z195" s="81" t="s">
        <v>138</v>
      </c>
      <c r="AA195" s="81" t="s">
        <v>58</v>
      </c>
      <c r="AB195" s="81" t="s">
        <v>58</v>
      </c>
      <c r="AC195" s="83">
        <v>46098</v>
      </c>
    </row>
    <row r="196" spans="2:29" ht="23" x14ac:dyDescent="0.35">
      <c r="B196" s="81" t="s">
        <v>338</v>
      </c>
      <c r="C196" s="81" t="s">
        <v>339</v>
      </c>
      <c r="D196" s="81" t="s">
        <v>340</v>
      </c>
      <c r="E196" s="81" t="s">
        <v>564</v>
      </c>
      <c r="F196" s="162" t="s">
        <v>565</v>
      </c>
      <c r="G196" s="163"/>
      <c r="H196" s="81" t="s">
        <v>566</v>
      </c>
      <c r="I196" s="81" t="s">
        <v>344</v>
      </c>
      <c r="J196" s="81" t="s">
        <v>11</v>
      </c>
      <c r="K196" s="81" t="s">
        <v>571</v>
      </c>
      <c r="L196" s="81" t="s">
        <v>129</v>
      </c>
      <c r="M196" s="164">
        <v>23.7</v>
      </c>
      <c r="N196" s="165"/>
      <c r="O196" s="163"/>
      <c r="P196" s="82">
        <v>80.92</v>
      </c>
      <c r="Q196" s="164">
        <v>0</v>
      </c>
      <c r="R196" s="163"/>
      <c r="S196" s="81" t="s">
        <v>346</v>
      </c>
      <c r="T196" s="82">
        <v>64</v>
      </c>
      <c r="U196" s="82">
        <v>0</v>
      </c>
      <c r="V196" s="82">
        <v>0</v>
      </c>
      <c r="W196" s="82">
        <v>0</v>
      </c>
      <c r="X196" s="81" t="s">
        <v>132</v>
      </c>
      <c r="Y196" s="82">
        <v>32</v>
      </c>
      <c r="Z196" s="81" t="s">
        <v>138</v>
      </c>
      <c r="AA196" s="81" t="s">
        <v>58</v>
      </c>
      <c r="AB196" s="81" t="s">
        <v>58</v>
      </c>
      <c r="AC196" s="83">
        <v>46098</v>
      </c>
    </row>
    <row r="197" spans="2:29" ht="23" x14ac:dyDescent="0.35">
      <c r="B197" s="81" t="s">
        <v>338</v>
      </c>
      <c r="C197" s="81" t="s">
        <v>339</v>
      </c>
      <c r="D197" s="81" t="s">
        <v>340</v>
      </c>
      <c r="E197" s="81" t="s">
        <v>564</v>
      </c>
      <c r="F197" s="162" t="s">
        <v>565</v>
      </c>
      <c r="G197" s="163"/>
      <c r="H197" s="81" t="s">
        <v>566</v>
      </c>
      <c r="I197" s="81" t="s">
        <v>344</v>
      </c>
      <c r="J197" s="81" t="s">
        <v>11</v>
      </c>
      <c r="K197" s="81" t="s">
        <v>572</v>
      </c>
      <c r="L197" s="81" t="s">
        <v>129</v>
      </c>
      <c r="M197" s="164">
        <v>23.7</v>
      </c>
      <c r="N197" s="165"/>
      <c r="O197" s="163"/>
      <c r="P197" s="82">
        <v>80.92</v>
      </c>
      <c r="Q197" s="164">
        <v>0</v>
      </c>
      <c r="R197" s="163"/>
      <c r="S197" s="81" t="s">
        <v>346</v>
      </c>
      <c r="T197" s="82">
        <v>64</v>
      </c>
      <c r="U197" s="82">
        <v>0</v>
      </c>
      <c r="V197" s="82">
        <v>0</v>
      </c>
      <c r="W197" s="82">
        <v>0</v>
      </c>
      <c r="X197" s="81" t="s">
        <v>132</v>
      </c>
      <c r="Y197" s="82">
        <v>32</v>
      </c>
      <c r="Z197" s="81" t="s">
        <v>138</v>
      </c>
      <c r="AA197" s="81" t="s">
        <v>58</v>
      </c>
      <c r="AB197" s="81" t="s">
        <v>58</v>
      </c>
      <c r="AC197" s="83">
        <v>46098</v>
      </c>
    </row>
    <row r="198" spans="2:29" ht="23" x14ac:dyDescent="0.35">
      <c r="B198" s="81" t="s">
        <v>338</v>
      </c>
      <c r="C198" s="81" t="s">
        <v>339</v>
      </c>
      <c r="D198" s="81" t="s">
        <v>340</v>
      </c>
      <c r="E198" s="81" t="s">
        <v>564</v>
      </c>
      <c r="F198" s="162" t="s">
        <v>565</v>
      </c>
      <c r="G198" s="163"/>
      <c r="H198" s="81" t="s">
        <v>566</v>
      </c>
      <c r="I198" s="81" t="s">
        <v>344</v>
      </c>
      <c r="J198" s="81" t="s">
        <v>11</v>
      </c>
      <c r="K198" s="81" t="s">
        <v>573</v>
      </c>
      <c r="L198" s="81" t="s">
        <v>11</v>
      </c>
      <c r="M198" s="164">
        <v>23.7</v>
      </c>
      <c r="N198" s="165"/>
      <c r="O198" s="163"/>
      <c r="P198" s="82">
        <v>80.92</v>
      </c>
      <c r="Q198" s="164">
        <v>0</v>
      </c>
      <c r="R198" s="163"/>
      <c r="S198" s="81" t="s">
        <v>346</v>
      </c>
      <c r="T198" s="82">
        <v>64</v>
      </c>
      <c r="U198" s="82">
        <v>0</v>
      </c>
      <c r="V198" s="82">
        <v>0</v>
      </c>
      <c r="W198" s="82">
        <v>0</v>
      </c>
      <c r="X198" s="81" t="s">
        <v>132</v>
      </c>
      <c r="Y198" s="82">
        <v>48</v>
      </c>
      <c r="Z198" s="81" t="s">
        <v>138</v>
      </c>
      <c r="AA198" s="81" t="s">
        <v>58</v>
      </c>
      <c r="AB198" s="81" t="s">
        <v>58</v>
      </c>
      <c r="AC198" s="83">
        <v>46098</v>
      </c>
    </row>
    <row r="199" spans="2:29" ht="23" x14ac:dyDescent="0.35">
      <c r="B199" s="81" t="s">
        <v>338</v>
      </c>
      <c r="C199" s="81" t="s">
        <v>339</v>
      </c>
      <c r="D199" s="81" t="s">
        <v>340</v>
      </c>
      <c r="E199" s="81" t="s">
        <v>564</v>
      </c>
      <c r="F199" s="162" t="s">
        <v>565</v>
      </c>
      <c r="G199" s="163"/>
      <c r="H199" s="81" t="s">
        <v>566</v>
      </c>
      <c r="I199" s="81" t="s">
        <v>344</v>
      </c>
      <c r="J199" s="81" t="s">
        <v>11</v>
      </c>
      <c r="K199" s="81" t="s">
        <v>574</v>
      </c>
      <c r="L199" s="81" t="s">
        <v>129</v>
      </c>
      <c r="M199" s="164">
        <v>24</v>
      </c>
      <c r="N199" s="165"/>
      <c r="O199" s="163"/>
      <c r="P199" s="82">
        <v>81.95</v>
      </c>
      <c r="Q199" s="164">
        <v>0</v>
      </c>
      <c r="R199" s="163"/>
      <c r="S199" s="81" t="s">
        <v>346</v>
      </c>
      <c r="T199" s="82">
        <v>64</v>
      </c>
      <c r="U199" s="82">
        <v>0</v>
      </c>
      <c r="V199" s="82">
        <v>0</v>
      </c>
      <c r="W199" s="82">
        <v>0</v>
      </c>
      <c r="X199" s="81" t="s">
        <v>132</v>
      </c>
      <c r="Y199" s="82">
        <v>36</v>
      </c>
      <c r="Z199" s="81" t="s">
        <v>138</v>
      </c>
      <c r="AA199" s="81" t="s">
        <v>58</v>
      </c>
      <c r="AB199" s="81" t="s">
        <v>58</v>
      </c>
      <c r="AC199" s="83">
        <v>46098</v>
      </c>
    </row>
    <row r="200" spans="2:29" ht="23" x14ac:dyDescent="0.35">
      <c r="B200" s="81" t="s">
        <v>338</v>
      </c>
      <c r="C200" s="81" t="s">
        <v>339</v>
      </c>
      <c r="D200" s="81" t="s">
        <v>340</v>
      </c>
      <c r="E200" s="81" t="s">
        <v>564</v>
      </c>
      <c r="F200" s="162" t="s">
        <v>565</v>
      </c>
      <c r="G200" s="163"/>
      <c r="H200" s="81" t="s">
        <v>566</v>
      </c>
      <c r="I200" s="81" t="s">
        <v>344</v>
      </c>
      <c r="J200" s="81" t="s">
        <v>11</v>
      </c>
      <c r="K200" s="81" t="s">
        <v>575</v>
      </c>
      <c r="L200" s="81" t="s">
        <v>129</v>
      </c>
      <c r="M200" s="164">
        <v>23.8</v>
      </c>
      <c r="N200" s="165"/>
      <c r="O200" s="163"/>
      <c r="P200" s="82">
        <v>81.260000000000005</v>
      </c>
      <c r="Q200" s="164">
        <v>0</v>
      </c>
      <c r="R200" s="163"/>
      <c r="S200" s="81" t="s">
        <v>346</v>
      </c>
      <c r="T200" s="82">
        <v>64</v>
      </c>
      <c r="U200" s="82">
        <v>0</v>
      </c>
      <c r="V200" s="82">
        <v>0</v>
      </c>
      <c r="W200" s="82">
        <v>0</v>
      </c>
      <c r="X200" s="81" t="s">
        <v>132</v>
      </c>
      <c r="Y200" s="82">
        <v>36</v>
      </c>
      <c r="Z200" s="81" t="s">
        <v>138</v>
      </c>
      <c r="AA200" s="81" t="s">
        <v>58</v>
      </c>
      <c r="AB200" s="81" t="s">
        <v>58</v>
      </c>
      <c r="AC200" s="83">
        <v>46098</v>
      </c>
    </row>
    <row r="201" spans="2:29" ht="23" x14ac:dyDescent="0.35">
      <c r="B201" s="81" t="s">
        <v>338</v>
      </c>
      <c r="C201" s="81" t="s">
        <v>339</v>
      </c>
      <c r="D201" s="81" t="s">
        <v>340</v>
      </c>
      <c r="E201" s="81" t="s">
        <v>564</v>
      </c>
      <c r="F201" s="162" t="s">
        <v>565</v>
      </c>
      <c r="G201" s="163"/>
      <c r="H201" s="81" t="s">
        <v>566</v>
      </c>
      <c r="I201" s="81" t="s">
        <v>344</v>
      </c>
      <c r="J201" s="81" t="s">
        <v>11</v>
      </c>
      <c r="K201" s="81" t="s">
        <v>576</v>
      </c>
      <c r="L201" s="81" t="s">
        <v>11</v>
      </c>
      <c r="M201" s="164">
        <v>23.8</v>
      </c>
      <c r="N201" s="165"/>
      <c r="O201" s="163"/>
      <c r="P201" s="82">
        <v>81.260000000000005</v>
      </c>
      <c r="Q201" s="164">
        <v>0</v>
      </c>
      <c r="R201" s="163"/>
      <c r="S201" s="81" t="s">
        <v>346</v>
      </c>
      <c r="T201" s="82">
        <v>64</v>
      </c>
      <c r="U201" s="82">
        <v>0</v>
      </c>
      <c r="V201" s="82">
        <v>0</v>
      </c>
      <c r="W201" s="82">
        <v>0</v>
      </c>
      <c r="X201" s="81" t="s">
        <v>132</v>
      </c>
      <c r="Y201" s="82">
        <v>48</v>
      </c>
      <c r="Z201" s="81" t="s">
        <v>138</v>
      </c>
      <c r="AA201" s="81" t="s">
        <v>58</v>
      </c>
      <c r="AB201" s="81" t="s">
        <v>58</v>
      </c>
      <c r="AC201" s="83">
        <v>46098</v>
      </c>
    </row>
    <row r="202" spans="2:29" ht="23" x14ac:dyDescent="0.35">
      <c r="B202" s="81" t="s">
        <v>338</v>
      </c>
      <c r="C202" s="81" t="s">
        <v>339</v>
      </c>
      <c r="D202" s="81" t="s">
        <v>340</v>
      </c>
      <c r="E202" s="81" t="s">
        <v>564</v>
      </c>
      <c r="F202" s="162" t="s">
        <v>565</v>
      </c>
      <c r="G202" s="163"/>
      <c r="H202" s="81" t="s">
        <v>566</v>
      </c>
      <c r="I202" s="81" t="s">
        <v>344</v>
      </c>
      <c r="J202" s="81" t="s">
        <v>11</v>
      </c>
      <c r="K202" s="81" t="s">
        <v>577</v>
      </c>
      <c r="L202" s="81" t="s">
        <v>129</v>
      </c>
      <c r="M202" s="164">
        <v>22.1</v>
      </c>
      <c r="N202" s="165"/>
      <c r="O202" s="163"/>
      <c r="P202" s="82">
        <v>75.459999999999994</v>
      </c>
      <c r="Q202" s="164">
        <v>0</v>
      </c>
      <c r="R202" s="163"/>
      <c r="S202" s="81" t="s">
        <v>346</v>
      </c>
      <c r="T202" s="82">
        <v>64</v>
      </c>
      <c r="U202" s="82">
        <v>0</v>
      </c>
      <c r="V202" s="82">
        <v>0</v>
      </c>
      <c r="W202" s="82">
        <v>0</v>
      </c>
      <c r="X202" s="81" t="s">
        <v>132</v>
      </c>
      <c r="Y202" s="82">
        <v>36</v>
      </c>
      <c r="Z202" s="81" t="s">
        <v>138</v>
      </c>
      <c r="AA202" s="81" t="s">
        <v>58</v>
      </c>
      <c r="AB202" s="81" t="s">
        <v>58</v>
      </c>
      <c r="AC202" s="83">
        <v>46098</v>
      </c>
    </row>
    <row r="203" spans="2:29" ht="23" x14ac:dyDescent="0.35">
      <c r="B203" s="81" t="s">
        <v>338</v>
      </c>
      <c r="C203" s="81" t="s">
        <v>339</v>
      </c>
      <c r="D203" s="81" t="s">
        <v>340</v>
      </c>
      <c r="E203" s="81" t="s">
        <v>564</v>
      </c>
      <c r="F203" s="162" t="s">
        <v>565</v>
      </c>
      <c r="G203" s="163"/>
      <c r="H203" s="81" t="s">
        <v>566</v>
      </c>
      <c r="I203" s="81" t="s">
        <v>344</v>
      </c>
      <c r="J203" s="81" t="s">
        <v>11</v>
      </c>
      <c r="K203" s="81" t="s">
        <v>578</v>
      </c>
      <c r="L203" s="81" t="s">
        <v>129</v>
      </c>
      <c r="M203" s="164">
        <v>8.8000000000000007</v>
      </c>
      <c r="N203" s="165"/>
      <c r="O203" s="163"/>
      <c r="P203" s="82">
        <v>30.05</v>
      </c>
      <c r="Q203" s="164">
        <v>0</v>
      </c>
      <c r="R203" s="163"/>
      <c r="S203" s="81" t="s">
        <v>346</v>
      </c>
      <c r="T203" s="82">
        <v>64</v>
      </c>
      <c r="U203" s="82">
        <v>0</v>
      </c>
      <c r="V203" s="82">
        <v>0</v>
      </c>
      <c r="W203" s="82">
        <v>0</v>
      </c>
      <c r="X203" s="81" t="s">
        <v>132</v>
      </c>
      <c r="Y203" s="82">
        <v>12</v>
      </c>
      <c r="Z203" s="81" t="s">
        <v>138</v>
      </c>
      <c r="AA203" s="81" t="s">
        <v>58</v>
      </c>
      <c r="AB203" s="81" t="s">
        <v>58</v>
      </c>
      <c r="AC203" s="83">
        <v>46098</v>
      </c>
    </row>
    <row r="204" spans="2:29" ht="23" x14ac:dyDescent="0.35">
      <c r="B204" s="81" t="s">
        <v>338</v>
      </c>
      <c r="C204" s="81" t="s">
        <v>339</v>
      </c>
      <c r="D204" s="81" t="s">
        <v>340</v>
      </c>
      <c r="E204" s="81" t="s">
        <v>564</v>
      </c>
      <c r="F204" s="162" t="s">
        <v>565</v>
      </c>
      <c r="G204" s="163"/>
      <c r="H204" s="81" t="s">
        <v>566</v>
      </c>
      <c r="I204" s="81" t="s">
        <v>344</v>
      </c>
      <c r="J204" s="81" t="s">
        <v>11</v>
      </c>
      <c r="K204" s="81" t="s">
        <v>579</v>
      </c>
      <c r="L204" s="81" t="s">
        <v>129</v>
      </c>
      <c r="M204" s="164">
        <v>24.1</v>
      </c>
      <c r="N204" s="165"/>
      <c r="O204" s="163"/>
      <c r="P204" s="82">
        <v>82.29</v>
      </c>
      <c r="Q204" s="164">
        <v>0</v>
      </c>
      <c r="R204" s="163"/>
      <c r="S204" s="81" t="s">
        <v>346</v>
      </c>
      <c r="T204" s="82">
        <v>64</v>
      </c>
      <c r="U204" s="82">
        <v>0</v>
      </c>
      <c r="V204" s="82">
        <v>0</v>
      </c>
      <c r="W204" s="82">
        <v>0</v>
      </c>
      <c r="X204" s="81" t="s">
        <v>132</v>
      </c>
      <c r="Y204" s="82">
        <v>24</v>
      </c>
      <c r="Z204" s="81" t="s">
        <v>138</v>
      </c>
      <c r="AA204" s="81" t="s">
        <v>58</v>
      </c>
      <c r="AB204" s="81" t="s">
        <v>58</v>
      </c>
      <c r="AC204" s="83">
        <v>46098</v>
      </c>
    </row>
    <row r="205" spans="2:29" ht="23" x14ac:dyDescent="0.35">
      <c r="B205" s="81" t="s">
        <v>338</v>
      </c>
      <c r="C205" s="81" t="s">
        <v>339</v>
      </c>
      <c r="D205" s="81" t="s">
        <v>340</v>
      </c>
      <c r="E205" s="81" t="s">
        <v>564</v>
      </c>
      <c r="F205" s="162" t="s">
        <v>565</v>
      </c>
      <c r="G205" s="163"/>
      <c r="H205" s="81" t="s">
        <v>566</v>
      </c>
      <c r="I205" s="81" t="s">
        <v>344</v>
      </c>
      <c r="J205" s="81" t="s">
        <v>11</v>
      </c>
      <c r="K205" s="81" t="s">
        <v>580</v>
      </c>
      <c r="L205" s="81" t="s">
        <v>129</v>
      </c>
      <c r="M205" s="164">
        <v>17.8</v>
      </c>
      <c r="N205" s="165"/>
      <c r="O205" s="163"/>
      <c r="P205" s="82">
        <v>60.78</v>
      </c>
      <c r="Q205" s="164">
        <v>0</v>
      </c>
      <c r="R205" s="163"/>
      <c r="S205" s="81" t="s">
        <v>346</v>
      </c>
      <c r="T205" s="82">
        <v>64</v>
      </c>
      <c r="U205" s="82">
        <v>0</v>
      </c>
      <c r="V205" s="82">
        <v>0</v>
      </c>
      <c r="W205" s="82">
        <v>0</v>
      </c>
      <c r="X205" s="81" t="s">
        <v>132</v>
      </c>
      <c r="Y205" s="82">
        <v>8</v>
      </c>
      <c r="Z205" s="81" t="s">
        <v>138</v>
      </c>
      <c r="AA205" s="81" t="s">
        <v>58</v>
      </c>
      <c r="AB205" s="81" t="s">
        <v>58</v>
      </c>
      <c r="AC205" s="83">
        <v>46098</v>
      </c>
    </row>
    <row r="206" spans="2:29" ht="23" x14ac:dyDescent="0.35">
      <c r="B206" s="81" t="s">
        <v>338</v>
      </c>
      <c r="C206" s="81" t="s">
        <v>339</v>
      </c>
      <c r="D206" s="81" t="s">
        <v>340</v>
      </c>
      <c r="E206" s="81" t="s">
        <v>564</v>
      </c>
      <c r="F206" s="162" t="s">
        <v>565</v>
      </c>
      <c r="G206" s="163"/>
      <c r="H206" s="81" t="s">
        <v>566</v>
      </c>
      <c r="I206" s="81" t="s">
        <v>344</v>
      </c>
      <c r="J206" s="81" t="s">
        <v>11</v>
      </c>
      <c r="K206" s="81" t="s">
        <v>581</v>
      </c>
      <c r="L206" s="81" t="s">
        <v>129</v>
      </c>
      <c r="M206" s="164">
        <v>23.8</v>
      </c>
      <c r="N206" s="165"/>
      <c r="O206" s="163"/>
      <c r="P206" s="82">
        <v>81.260000000000005</v>
      </c>
      <c r="Q206" s="164">
        <v>0</v>
      </c>
      <c r="R206" s="163"/>
      <c r="S206" s="81" t="s">
        <v>346</v>
      </c>
      <c r="T206" s="82">
        <v>64</v>
      </c>
      <c r="U206" s="82">
        <v>0</v>
      </c>
      <c r="V206" s="82">
        <v>0</v>
      </c>
      <c r="W206" s="82">
        <v>0</v>
      </c>
      <c r="X206" s="81" t="s">
        <v>132</v>
      </c>
      <c r="Y206" s="82">
        <v>16</v>
      </c>
      <c r="Z206" s="81" t="s">
        <v>138</v>
      </c>
      <c r="AA206" s="81" t="s">
        <v>58</v>
      </c>
      <c r="AB206" s="81" t="s">
        <v>58</v>
      </c>
      <c r="AC206" s="83">
        <v>46098</v>
      </c>
    </row>
    <row r="207" spans="2:29" ht="23" x14ac:dyDescent="0.35">
      <c r="B207" s="81" t="s">
        <v>338</v>
      </c>
      <c r="C207" s="81" t="s">
        <v>339</v>
      </c>
      <c r="D207" s="81" t="s">
        <v>340</v>
      </c>
      <c r="E207" s="81" t="s">
        <v>564</v>
      </c>
      <c r="F207" s="162" t="s">
        <v>565</v>
      </c>
      <c r="G207" s="163"/>
      <c r="H207" s="81" t="s">
        <v>566</v>
      </c>
      <c r="I207" s="81" t="s">
        <v>344</v>
      </c>
      <c r="J207" s="81" t="s">
        <v>11</v>
      </c>
      <c r="K207" s="81" t="s">
        <v>582</v>
      </c>
      <c r="L207" s="81" t="s">
        <v>129</v>
      </c>
      <c r="M207" s="164">
        <v>24.2</v>
      </c>
      <c r="N207" s="165"/>
      <c r="O207" s="163"/>
      <c r="P207" s="82">
        <v>82.63</v>
      </c>
      <c r="Q207" s="164">
        <v>0</v>
      </c>
      <c r="R207" s="163"/>
      <c r="S207" s="81" t="s">
        <v>346</v>
      </c>
      <c r="T207" s="82">
        <v>64</v>
      </c>
      <c r="U207" s="82">
        <v>0</v>
      </c>
      <c r="V207" s="82">
        <v>0</v>
      </c>
      <c r="W207" s="82">
        <v>0</v>
      </c>
      <c r="X207" s="81" t="s">
        <v>132</v>
      </c>
      <c r="Y207" s="82">
        <v>20</v>
      </c>
      <c r="Z207" s="81" t="s">
        <v>138</v>
      </c>
      <c r="AA207" s="81" t="s">
        <v>58</v>
      </c>
      <c r="AB207" s="81" t="s">
        <v>58</v>
      </c>
      <c r="AC207" s="83">
        <v>46098</v>
      </c>
    </row>
    <row r="208" spans="2:29" ht="23" x14ac:dyDescent="0.35">
      <c r="B208" s="81" t="s">
        <v>338</v>
      </c>
      <c r="C208" s="81" t="s">
        <v>339</v>
      </c>
      <c r="D208" s="81" t="s">
        <v>340</v>
      </c>
      <c r="E208" s="81" t="s">
        <v>564</v>
      </c>
      <c r="F208" s="162" t="s">
        <v>565</v>
      </c>
      <c r="G208" s="163"/>
      <c r="H208" s="81" t="s">
        <v>566</v>
      </c>
      <c r="I208" s="81" t="s">
        <v>344</v>
      </c>
      <c r="J208" s="81" t="s">
        <v>11</v>
      </c>
      <c r="K208" s="81" t="s">
        <v>583</v>
      </c>
      <c r="L208" s="81" t="s">
        <v>129</v>
      </c>
      <c r="M208" s="164">
        <v>15.9</v>
      </c>
      <c r="N208" s="165"/>
      <c r="O208" s="163"/>
      <c r="P208" s="82">
        <v>54.29</v>
      </c>
      <c r="Q208" s="164">
        <v>0</v>
      </c>
      <c r="R208" s="163"/>
      <c r="S208" s="81" t="s">
        <v>346</v>
      </c>
      <c r="T208" s="82">
        <v>64</v>
      </c>
      <c r="U208" s="82">
        <v>0</v>
      </c>
      <c r="V208" s="82">
        <v>0</v>
      </c>
      <c r="W208" s="82">
        <v>0</v>
      </c>
      <c r="X208" s="81" t="s">
        <v>132</v>
      </c>
      <c r="Y208" s="82">
        <v>20</v>
      </c>
      <c r="Z208" s="81" t="s">
        <v>138</v>
      </c>
      <c r="AA208" s="81" t="s">
        <v>58</v>
      </c>
      <c r="AB208" s="81" t="s">
        <v>58</v>
      </c>
      <c r="AC208" s="83">
        <v>46098</v>
      </c>
    </row>
    <row r="209" spans="2:29" ht="23" x14ac:dyDescent="0.35">
      <c r="B209" s="81" t="s">
        <v>338</v>
      </c>
      <c r="C209" s="81" t="s">
        <v>339</v>
      </c>
      <c r="D209" s="81" t="s">
        <v>340</v>
      </c>
      <c r="E209" s="81" t="s">
        <v>564</v>
      </c>
      <c r="F209" s="162" t="s">
        <v>565</v>
      </c>
      <c r="G209" s="163"/>
      <c r="H209" s="81" t="s">
        <v>566</v>
      </c>
      <c r="I209" s="81" t="s">
        <v>344</v>
      </c>
      <c r="J209" s="81" t="s">
        <v>11</v>
      </c>
      <c r="K209" s="81" t="s">
        <v>584</v>
      </c>
      <c r="L209" s="81" t="s">
        <v>129</v>
      </c>
      <c r="M209" s="164">
        <v>23.6</v>
      </c>
      <c r="N209" s="165"/>
      <c r="O209" s="163"/>
      <c r="P209" s="82">
        <v>80.58</v>
      </c>
      <c r="Q209" s="164">
        <v>0</v>
      </c>
      <c r="R209" s="163"/>
      <c r="S209" s="81" t="s">
        <v>346</v>
      </c>
      <c r="T209" s="82">
        <v>64</v>
      </c>
      <c r="U209" s="82">
        <v>0</v>
      </c>
      <c r="V209" s="82">
        <v>0</v>
      </c>
      <c r="W209" s="82">
        <v>0</v>
      </c>
      <c r="X209" s="81" t="s">
        <v>132</v>
      </c>
      <c r="Y209" s="82">
        <v>16</v>
      </c>
      <c r="Z209" s="81" t="s">
        <v>138</v>
      </c>
      <c r="AA209" s="81" t="s">
        <v>58</v>
      </c>
      <c r="AB209" s="81" t="s">
        <v>58</v>
      </c>
      <c r="AC209" s="83">
        <v>46098</v>
      </c>
    </row>
    <row r="210" spans="2:29" ht="23" x14ac:dyDescent="0.35">
      <c r="B210" s="81" t="s">
        <v>338</v>
      </c>
      <c r="C210" s="81" t="s">
        <v>339</v>
      </c>
      <c r="D210" s="81" t="s">
        <v>340</v>
      </c>
      <c r="E210" s="81" t="s">
        <v>564</v>
      </c>
      <c r="F210" s="162" t="s">
        <v>565</v>
      </c>
      <c r="G210" s="163"/>
      <c r="H210" s="81" t="s">
        <v>566</v>
      </c>
      <c r="I210" s="81" t="s">
        <v>344</v>
      </c>
      <c r="J210" s="81" t="s">
        <v>11</v>
      </c>
      <c r="K210" s="81" t="s">
        <v>585</v>
      </c>
      <c r="L210" s="81" t="s">
        <v>129</v>
      </c>
      <c r="M210" s="164">
        <v>24</v>
      </c>
      <c r="N210" s="165"/>
      <c r="O210" s="163"/>
      <c r="P210" s="82">
        <v>81.95</v>
      </c>
      <c r="Q210" s="164">
        <v>0</v>
      </c>
      <c r="R210" s="163"/>
      <c r="S210" s="81" t="s">
        <v>346</v>
      </c>
      <c r="T210" s="82">
        <v>64</v>
      </c>
      <c r="U210" s="82">
        <v>0</v>
      </c>
      <c r="V210" s="82">
        <v>0</v>
      </c>
      <c r="W210" s="82">
        <v>0</v>
      </c>
      <c r="X210" s="81" t="s">
        <v>132</v>
      </c>
      <c r="Y210" s="82">
        <v>40</v>
      </c>
      <c r="Z210" s="81" t="s">
        <v>138</v>
      </c>
      <c r="AA210" s="81" t="s">
        <v>58</v>
      </c>
      <c r="AB210" s="81" t="s">
        <v>58</v>
      </c>
      <c r="AC210" s="83">
        <v>46098</v>
      </c>
    </row>
    <row r="211" spans="2:29" ht="23" x14ac:dyDescent="0.35">
      <c r="B211" s="81" t="s">
        <v>338</v>
      </c>
      <c r="C211" s="81" t="s">
        <v>339</v>
      </c>
      <c r="D211" s="81" t="s">
        <v>340</v>
      </c>
      <c r="E211" s="81" t="s">
        <v>564</v>
      </c>
      <c r="F211" s="162" t="s">
        <v>565</v>
      </c>
      <c r="G211" s="163"/>
      <c r="H211" s="81" t="s">
        <v>566</v>
      </c>
      <c r="I211" s="81" t="s">
        <v>344</v>
      </c>
      <c r="J211" s="81" t="s">
        <v>11</v>
      </c>
      <c r="K211" s="81" t="s">
        <v>586</v>
      </c>
      <c r="L211" s="81" t="s">
        <v>129</v>
      </c>
      <c r="M211" s="164">
        <v>21.2</v>
      </c>
      <c r="N211" s="165"/>
      <c r="O211" s="163"/>
      <c r="P211" s="82">
        <v>72.39</v>
      </c>
      <c r="Q211" s="164">
        <v>0</v>
      </c>
      <c r="R211" s="163"/>
      <c r="S211" s="81" t="s">
        <v>346</v>
      </c>
      <c r="T211" s="82">
        <v>64</v>
      </c>
      <c r="U211" s="82">
        <v>0</v>
      </c>
      <c r="V211" s="82">
        <v>0</v>
      </c>
      <c r="W211" s="82">
        <v>0</v>
      </c>
      <c r="X211" s="81" t="s">
        <v>132</v>
      </c>
      <c r="Y211" s="82">
        <v>20</v>
      </c>
      <c r="Z211" s="81" t="s">
        <v>138</v>
      </c>
      <c r="AA211" s="81" t="s">
        <v>58</v>
      </c>
      <c r="AB211" s="81" t="s">
        <v>58</v>
      </c>
      <c r="AC211" s="83">
        <v>46098</v>
      </c>
    </row>
    <row r="212" spans="2:29" ht="23" x14ac:dyDescent="0.35">
      <c r="B212" s="81" t="s">
        <v>338</v>
      </c>
      <c r="C212" s="81" t="s">
        <v>339</v>
      </c>
      <c r="D212" s="81" t="s">
        <v>340</v>
      </c>
      <c r="E212" s="81" t="s">
        <v>564</v>
      </c>
      <c r="F212" s="162" t="s">
        <v>565</v>
      </c>
      <c r="G212" s="163"/>
      <c r="H212" s="81" t="s">
        <v>566</v>
      </c>
      <c r="I212" s="81" t="s">
        <v>344</v>
      </c>
      <c r="J212" s="81" t="s">
        <v>11</v>
      </c>
      <c r="K212" s="81" t="s">
        <v>587</v>
      </c>
      <c r="L212" s="81" t="s">
        <v>129</v>
      </c>
      <c r="M212" s="164">
        <v>23.6</v>
      </c>
      <c r="N212" s="165"/>
      <c r="O212" s="163"/>
      <c r="P212" s="82">
        <v>80.58</v>
      </c>
      <c r="Q212" s="164">
        <v>0</v>
      </c>
      <c r="R212" s="163"/>
      <c r="S212" s="81" t="s">
        <v>346</v>
      </c>
      <c r="T212" s="82">
        <v>64</v>
      </c>
      <c r="U212" s="82">
        <v>0</v>
      </c>
      <c r="V212" s="82">
        <v>0</v>
      </c>
      <c r="W212" s="82">
        <v>0</v>
      </c>
      <c r="X212" s="81" t="s">
        <v>132</v>
      </c>
      <c r="Y212" s="82">
        <v>12</v>
      </c>
      <c r="Z212" s="81" t="s">
        <v>138</v>
      </c>
      <c r="AA212" s="81" t="s">
        <v>58</v>
      </c>
      <c r="AB212" s="81" t="s">
        <v>58</v>
      </c>
      <c r="AC212" s="83">
        <v>46098</v>
      </c>
    </row>
    <row r="213" spans="2:29" ht="23" x14ac:dyDescent="0.35">
      <c r="B213" s="81" t="s">
        <v>338</v>
      </c>
      <c r="C213" s="81" t="s">
        <v>339</v>
      </c>
      <c r="D213" s="81" t="s">
        <v>340</v>
      </c>
      <c r="E213" s="81" t="s">
        <v>564</v>
      </c>
      <c r="F213" s="162" t="s">
        <v>565</v>
      </c>
      <c r="G213" s="163"/>
      <c r="H213" s="81" t="s">
        <v>566</v>
      </c>
      <c r="I213" s="81" t="s">
        <v>344</v>
      </c>
      <c r="J213" s="81" t="s">
        <v>11</v>
      </c>
      <c r="K213" s="81" t="s">
        <v>588</v>
      </c>
      <c r="L213" s="81" t="s">
        <v>129</v>
      </c>
      <c r="M213" s="164">
        <v>23.6</v>
      </c>
      <c r="N213" s="165"/>
      <c r="O213" s="163"/>
      <c r="P213" s="82">
        <v>80.58</v>
      </c>
      <c r="Q213" s="164">
        <v>0</v>
      </c>
      <c r="R213" s="163"/>
      <c r="S213" s="81" t="s">
        <v>346</v>
      </c>
      <c r="T213" s="82">
        <v>64</v>
      </c>
      <c r="U213" s="82">
        <v>0</v>
      </c>
      <c r="V213" s="82">
        <v>0</v>
      </c>
      <c r="W213" s="82">
        <v>0</v>
      </c>
      <c r="X213" s="81" t="s">
        <v>132</v>
      </c>
      <c r="Y213" s="82">
        <v>16</v>
      </c>
      <c r="Z213" s="81" t="s">
        <v>138</v>
      </c>
      <c r="AA213" s="81" t="s">
        <v>58</v>
      </c>
      <c r="AB213" s="81" t="s">
        <v>58</v>
      </c>
      <c r="AC213" s="83">
        <v>46098</v>
      </c>
    </row>
    <row r="214" spans="2:29" ht="23" x14ac:dyDescent="0.35">
      <c r="B214" s="81" t="s">
        <v>338</v>
      </c>
      <c r="C214" s="81" t="s">
        <v>339</v>
      </c>
      <c r="D214" s="81" t="s">
        <v>340</v>
      </c>
      <c r="E214" s="81" t="s">
        <v>564</v>
      </c>
      <c r="F214" s="162" t="s">
        <v>565</v>
      </c>
      <c r="G214" s="163"/>
      <c r="H214" s="81" t="s">
        <v>566</v>
      </c>
      <c r="I214" s="81" t="s">
        <v>344</v>
      </c>
      <c r="J214" s="81" t="s">
        <v>11</v>
      </c>
      <c r="K214" s="81" t="s">
        <v>589</v>
      </c>
      <c r="L214" s="81" t="s">
        <v>129</v>
      </c>
      <c r="M214" s="164">
        <v>23.7</v>
      </c>
      <c r="N214" s="165"/>
      <c r="O214" s="163"/>
      <c r="P214" s="82">
        <v>80.92</v>
      </c>
      <c r="Q214" s="164">
        <v>0</v>
      </c>
      <c r="R214" s="163"/>
      <c r="S214" s="81" t="s">
        <v>346</v>
      </c>
      <c r="T214" s="82">
        <v>64</v>
      </c>
      <c r="U214" s="82">
        <v>0</v>
      </c>
      <c r="V214" s="82">
        <v>0</v>
      </c>
      <c r="W214" s="82">
        <v>0</v>
      </c>
      <c r="X214" s="81" t="s">
        <v>132</v>
      </c>
      <c r="Y214" s="82">
        <v>16</v>
      </c>
      <c r="Z214" s="81" t="s">
        <v>138</v>
      </c>
      <c r="AA214" s="81" t="s">
        <v>58</v>
      </c>
      <c r="AB214" s="81" t="s">
        <v>58</v>
      </c>
      <c r="AC214" s="83">
        <v>46098</v>
      </c>
    </row>
    <row r="215" spans="2:29" ht="23" x14ac:dyDescent="0.35">
      <c r="B215" s="81" t="s">
        <v>338</v>
      </c>
      <c r="C215" s="81" t="s">
        <v>339</v>
      </c>
      <c r="D215" s="81" t="s">
        <v>340</v>
      </c>
      <c r="E215" s="81" t="s">
        <v>564</v>
      </c>
      <c r="F215" s="162" t="s">
        <v>565</v>
      </c>
      <c r="G215" s="163"/>
      <c r="H215" s="81" t="s">
        <v>566</v>
      </c>
      <c r="I215" s="81" t="s">
        <v>344</v>
      </c>
      <c r="J215" s="81" t="s">
        <v>11</v>
      </c>
      <c r="K215" s="81" t="s">
        <v>590</v>
      </c>
      <c r="L215" s="81" t="s">
        <v>129</v>
      </c>
      <c r="M215" s="164">
        <v>30.6</v>
      </c>
      <c r="N215" s="165"/>
      <c r="O215" s="163"/>
      <c r="P215" s="82">
        <v>104.48</v>
      </c>
      <c r="Q215" s="164">
        <v>0</v>
      </c>
      <c r="R215" s="163"/>
      <c r="S215" s="81" t="s">
        <v>346</v>
      </c>
      <c r="T215" s="82">
        <v>65</v>
      </c>
      <c r="U215" s="82">
        <v>0</v>
      </c>
      <c r="V215" s="82">
        <v>0</v>
      </c>
      <c r="W215" s="82">
        <v>0</v>
      </c>
      <c r="X215" s="81" t="s">
        <v>132</v>
      </c>
      <c r="Y215" s="82">
        <v>12</v>
      </c>
      <c r="Z215" s="81" t="s">
        <v>138</v>
      </c>
      <c r="AA215" s="81" t="s">
        <v>58</v>
      </c>
      <c r="AB215" s="81" t="s">
        <v>58</v>
      </c>
      <c r="AC215" s="83">
        <v>46098</v>
      </c>
    </row>
    <row r="216" spans="2:29" ht="23" x14ac:dyDescent="0.35">
      <c r="B216" s="81" t="s">
        <v>338</v>
      </c>
      <c r="C216" s="81" t="s">
        <v>339</v>
      </c>
      <c r="D216" s="81" t="s">
        <v>340</v>
      </c>
      <c r="E216" s="81" t="s">
        <v>564</v>
      </c>
      <c r="F216" s="162" t="s">
        <v>565</v>
      </c>
      <c r="G216" s="163"/>
      <c r="H216" s="81" t="s">
        <v>566</v>
      </c>
      <c r="I216" s="81" t="s">
        <v>344</v>
      </c>
      <c r="J216" s="81" t="s">
        <v>11</v>
      </c>
      <c r="K216" s="81" t="s">
        <v>591</v>
      </c>
      <c r="L216" s="81" t="s">
        <v>129</v>
      </c>
      <c r="M216" s="164">
        <v>23.8</v>
      </c>
      <c r="N216" s="165"/>
      <c r="O216" s="163"/>
      <c r="P216" s="82">
        <v>81.260000000000005</v>
      </c>
      <c r="Q216" s="164">
        <v>0</v>
      </c>
      <c r="R216" s="163"/>
      <c r="S216" s="81" t="s">
        <v>346</v>
      </c>
      <c r="T216" s="82">
        <v>64</v>
      </c>
      <c r="U216" s="82">
        <v>0</v>
      </c>
      <c r="V216" s="82">
        <v>0</v>
      </c>
      <c r="W216" s="82">
        <v>0</v>
      </c>
      <c r="X216" s="81" t="s">
        <v>132</v>
      </c>
      <c r="Y216" s="82">
        <v>12</v>
      </c>
      <c r="Z216" s="81" t="s">
        <v>138</v>
      </c>
      <c r="AA216" s="81" t="s">
        <v>58</v>
      </c>
      <c r="AB216" s="81" t="s">
        <v>58</v>
      </c>
      <c r="AC216" s="83">
        <v>46098</v>
      </c>
    </row>
    <row r="217" spans="2:29" ht="23" x14ac:dyDescent="0.35">
      <c r="B217" s="81" t="s">
        <v>338</v>
      </c>
      <c r="C217" s="81" t="s">
        <v>339</v>
      </c>
      <c r="D217" s="81" t="s">
        <v>340</v>
      </c>
      <c r="E217" s="81" t="s">
        <v>564</v>
      </c>
      <c r="F217" s="162" t="s">
        <v>565</v>
      </c>
      <c r="G217" s="163"/>
      <c r="H217" s="81" t="s">
        <v>566</v>
      </c>
      <c r="I217" s="81" t="s">
        <v>344</v>
      </c>
      <c r="J217" s="81" t="s">
        <v>11</v>
      </c>
      <c r="K217" s="81" t="s">
        <v>592</v>
      </c>
      <c r="L217" s="81" t="s">
        <v>129</v>
      </c>
      <c r="M217" s="164">
        <v>23.8</v>
      </c>
      <c r="N217" s="165"/>
      <c r="O217" s="163"/>
      <c r="P217" s="82">
        <v>81.260000000000005</v>
      </c>
      <c r="Q217" s="164">
        <v>0</v>
      </c>
      <c r="R217" s="163"/>
      <c r="S217" s="81" t="s">
        <v>346</v>
      </c>
      <c r="T217" s="82">
        <v>64</v>
      </c>
      <c r="U217" s="82">
        <v>0</v>
      </c>
      <c r="V217" s="82">
        <v>0</v>
      </c>
      <c r="W217" s="82">
        <v>0</v>
      </c>
      <c r="X217" s="81" t="s">
        <v>132</v>
      </c>
      <c r="Y217" s="82">
        <v>24</v>
      </c>
      <c r="Z217" s="81" t="s">
        <v>138</v>
      </c>
      <c r="AA217" s="81" t="s">
        <v>58</v>
      </c>
      <c r="AB217" s="81" t="s">
        <v>58</v>
      </c>
      <c r="AC217" s="83">
        <v>46098</v>
      </c>
    </row>
    <row r="218" spans="2:29" ht="23" x14ac:dyDescent="0.35">
      <c r="B218" s="81" t="s">
        <v>338</v>
      </c>
      <c r="C218" s="81" t="s">
        <v>339</v>
      </c>
      <c r="D218" s="81" t="s">
        <v>340</v>
      </c>
      <c r="E218" s="81" t="s">
        <v>564</v>
      </c>
      <c r="F218" s="162" t="s">
        <v>565</v>
      </c>
      <c r="G218" s="163"/>
      <c r="H218" s="81" t="s">
        <v>566</v>
      </c>
      <c r="I218" s="81" t="s">
        <v>344</v>
      </c>
      <c r="J218" s="81" t="s">
        <v>11</v>
      </c>
      <c r="K218" s="81" t="s">
        <v>593</v>
      </c>
      <c r="L218" s="81" t="s">
        <v>129</v>
      </c>
      <c r="M218" s="164">
        <v>23.7</v>
      </c>
      <c r="N218" s="165"/>
      <c r="O218" s="163"/>
      <c r="P218" s="82">
        <v>80.92</v>
      </c>
      <c r="Q218" s="164">
        <v>0</v>
      </c>
      <c r="R218" s="163"/>
      <c r="S218" s="81" t="s">
        <v>346</v>
      </c>
      <c r="T218" s="82">
        <v>64</v>
      </c>
      <c r="U218" s="82">
        <v>0</v>
      </c>
      <c r="V218" s="82">
        <v>0</v>
      </c>
      <c r="W218" s="82">
        <v>0</v>
      </c>
      <c r="X218" s="81" t="s">
        <v>132</v>
      </c>
      <c r="Y218" s="82">
        <v>28</v>
      </c>
      <c r="Z218" s="81" t="s">
        <v>138</v>
      </c>
      <c r="AA218" s="81" t="s">
        <v>58</v>
      </c>
      <c r="AB218" s="81" t="s">
        <v>58</v>
      </c>
      <c r="AC218" s="83">
        <v>46098</v>
      </c>
    </row>
    <row r="219" spans="2:29" ht="23" x14ac:dyDescent="0.35">
      <c r="B219" s="81" t="s">
        <v>338</v>
      </c>
      <c r="C219" s="81" t="s">
        <v>339</v>
      </c>
      <c r="D219" s="81" t="s">
        <v>340</v>
      </c>
      <c r="E219" s="81" t="s">
        <v>564</v>
      </c>
      <c r="F219" s="162" t="s">
        <v>565</v>
      </c>
      <c r="G219" s="163"/>
      <c r="H219" s="81" t="s">
        <v>566</v>
      </c>
      <c r="I219" s="81" t="s">
        <v>344</v>
      </c>
      <c r="J219" s="81" t="s">
        <v>11</v>
      </c>
      <c r="K219" s="81" t="s">
        <v>594</v>
      </c>
      <c r="L219" s="81" t="s">
        <v>129</v>
      </c>
      <c r="M219" s="164">
        <v>23.2</v>
      </c>
      <c r="N219" s="165"/>
      <c r="O219" s="163"/>
      <c r="P219" s="82">
        <v>79.209999999999994</v>
      </c>
      <c r="Q219" s="164">
        <v>0</v>
      </c>
      <c r="R219" s="163"/>
      <c r="S219" s="81" t="s">
        <v>346</v>
      </c>
      <c r="T219" s="82">
        <v>64</v>
      </c>
      <c r="U219" s="82">
        <v>0</v>
      </c>
      <c r="V219" s="82">
        <v>0</v>
      </c>
      <c r="W219" s="82">
        <v>0</v>
      </c>
      <c r="X219" s="81" t="s">
        <v>132</v>
      </c>
      <c r="Y219" s="82">
        <v>12</v>
      </c>
      <c r="Z219" s="81" t="s">
        <v>138</v>
      </c>
      <c r="AA219" s="81" t="s">
        <v>58</v>
      </c>
      <c r="AB219" s="81" t="s">
        <v>58</v>
      </c>
      <c r="AC219" s="83">
        <v>46098</v>
      </c>
    </row>
    <row r="220" spans="2:29" ht="23" x14ac:dyDescent="0.35">
      <c r="B220" s="81" t="s">
        <v>338</v>
      </c>
      <c r="C220" s="81" t="s">
        <v>339</v>
      </c>
      <c r="D220" s="81" t="s">
        <v>340</v>
      </c>
      <c r="E220" s="81" t="s">
        <v>564</v>
      </c>
      <c r="F220" s="162" t="s">
        <v>565</v>
      </c>
      <c r="G220" s="163"/>
      <c r="H220" s="81" t="s">
        <v>566</v>
      </c>
      <c r="I220" s="81" t="s">
        <v>344</v>
      </c>
      <c r="J220" s="81" t="s">
        <v>11</v>
      </c>
      <c r="K220" s="81" t="s">
        <v>595</v>
      </c>
      <c r="L220" s="81" t="s">
        <v>129</v>
      </c>
      <c r="M220" s="164">
        <v>24.2</v>
      </c>
      <c r="N220" s="165"/>
      <c r="O220" s="163"/>
      <c r="P220" s="82">
        <v>82.63</v>
      </c>
      <c r="Q220" s="164">
        <v>0</v>
      </c>
      <c r="R220" s="163"/>
      <c r="S220" s="81" t="s">
        <v>346</v>
      </c>
      <c r="T220" s="82">
        <v>64</v>
      </c>
      <c r="U220" s="82">
        <v>0</v>
      </c>
      <c r="V220" s="82">
        <v>0</v>
      </c>
      <c r="W220" s="82">
        <v>0</v>
      </c>
      <c r="X220" s="81" t="s">
        <v>132</v>
      </c>
      <c r="Y220" s="82">
        <v>4</v>
      </c>
      <c r="Z220" s="81" t="s">
        <v>138</v>
      </c>
      <c r="AA220" s="81" t="s">
        <v>58</v>
      </c>
      <c r="AB220" s="81" t="s">
        <v>58</v>
      </c>
      <c r="AC220" s="83">
        <v>46098</v>
      </c>
    </row>
    <row r="221" spans="2:29" ht="23" x14ac:dyDescent="0.35">
      <c r="B221" s="81" t="s">
        <v>338</v>
      </c>
      <c r="C221" s="81" t="s">
        <v>339</v>
      </c>
      <c r="D221" s="81" t="s">
        <v>340</v>
      </c>
      <c r="E221" s="81" t="s">
        <v>564</v>
      </c>
      <c r="F221" s="162" t="s">
        <v>565</v>
      </c>
      <c r="G221" s="163"/>
      <c r="H221" s="81" t="s">
        <v>566</v>
      </c>
      <c r="I221" s="81" t="s">
        <v>344</v>
      </c>
      <c r="J221" s="81" t="s">
        <v>11</v>
      </c>
      <c r="K221" s="81" t="s">
        <v>596</v>
      </c>
      <c r="L221" s="81" t="s">
        <v>129</v>
      </c>
      <c r="M221" s="164">
        <v>23.9</v>
      </c>
      <c r="N221" s="165"/>
      <c r="O221" s="163"/>
      <c r="P221" s="82">
        <v>81.599999999999994</v>
      </c>
      <c r="Q221" s="164">
        <v>0</v>
      </c>
      <c r="R221" s="163"/>
      <c r="S221" s="81" t="s">
        <v>346</v>
      </c>
      <c r="T221" s="82">
        <v>64</v>
      </c>
      <c r="U221" s="82">
        <v>0</v>
      </c>
      <c r="V221" s="82">
        <v>0</v>
      </c>
      <c r="W221" s="82">
        <v>0</v>
      </c>
      <c r="X221" s="81" t="s">
        <v>132</v>
      </c>
      <c r="Y221" s="82">
        <v>4</v>
      </c>
      <c r="Z221" s="81" t="s">
        <v>138</v>
      </c>
      <c r="AA221" s="81" t="s">
        <v>58</v>
      </c>
      <c r="AB221" s="81" t="s">
        <v>58</v>
      </c>
      <c r="AC221" s="83">
        <v>46098</v>
      </c>
    </row>
    <row r="222" spans="2:29" ht="23" x14ac:dyDescent="0.35">
      <c r="B222" s="81" t="s">
        <v>338</v>
      </c>
      <c r="C222" s="81" t="s">
        <v>339</v>
      </c>
      <c r="D222" s="81" t="s">
        <v>340</v>
      </c>
      <c r="E222" s="81" t="s">
        <v>564</v>
      </c>
      <c r="F222" s="162" t="s">
        <v>565</v>
      </c>
      <c r="G222" s="163"/>
      <c r="H222" s="81" t="s">
        <v>566</v>
      </c>
      <c r="I222" s="81" t="s">
        <v>344</v>
      </c>
      <c r="J222" s="81" t="s">
        <v>11</v>
      </c>
      <c r="K222" s="81" t="s">
        <v>597</v>
      </c>
      <c r="L222" s="81" t="s">
        <v>129</v>
      </c>
      <c r="M222" s="164">
        <v>14.7</v>
      </c>
      <c r="N222" s="165"/>
      <c r="O222" s="163"/>
      <c r="P222" s="82">
        <v>50.19</v>
      </c>
      <c r="Q222" s="164">
        <v>0</v>
      </c>
      <c r="R222" s="163"/>
      <c r="S222" s="81" t="s">
        <v>346</v>
      </c>
      <c r="T222" s="82">
        <v>64</v>
      </c>
      <c r="U222" s="82">
        <v>0</v>
      </c>
      <c r="V222" s="82">
        <v>0</v>
      </c>
      <c r="W222" s="82">
        <v>0</v>
      </c>
      <c r="X222" s="81" t="s">
        <v>132</v>
      </c>
      <c r="Y222" s="82">
        <v>12</v>
      </c>
      <c r="Z222" s="81" t="s">
        <v>138</v>
      </c>
      <c r="AA222" s="81" t="s">
        <v>58</v>
      </c>
      <c r="AB222" s="81" t="s">
        <v>58</v>
      </c>
      <c r="AC222" s="83">
        <v>46098</v>
      </c>
    </row>
    <row r="223" spans="2:29" ht="23" x14ac:dyDescent="0.35">
      <c r="B223" s="81" t="s">
        <v>338</v>
      </c>
      <c r="C223" s="81" t="s">
        <v>339</v>
      </c>
      <c r="D223" s="81" t="s">
        <v>340</v>
      </c>
      <c r="E223" s="81" t="s">
        <v>564</v>
      </c>
      <c r="F223" s="162" t="s">
        <v>565</v>
      </c>
      <c r="G223" s="163"/>
      <c r="H223" s="81" t="s">
        <v>566</v>
      </c>
      <c r="I223" s="81" t="s">
        <v>344</v>
      </c>
      <c r="J223" s="81" t="s">
        <v>11</v>
      </c>
      <c r="K223" s="81" t="s">
        <v>598</v>
      </c>
      <c r="L223" s="81" t="s">
        <v>129</v>
      </c>
      <c r="M223" s="164">
        <v>16.2</v>
      </c>
      <c r="N223" s="165"/>
      <c r="O223" s="163"/>
      <c r="P223" s="82">
        <v>55.31</v>
      </c>
      <c r="Q223" s="164">
        <v>0</v>
      </c>
      <c r="R223" s="163"/>
      <c r="S223" s="81" t="s">
        <v>346</v>
      </c>
      <c r="T223" s="82">
        <v>64</v>
      </c>
      <c r="U223" s="82">
        <v>0</v>
      </c>
      <c r="V223" s="82">
        <v>0</v>
      </c>
      <c r="W223" s="82">
        <v>0</v>
      </c>
      <c r="X223" s="81" t="s">
        <v>142</v>
      </c>
      <c r="Y223" s="82">
        <v>8</v>
      </c>
      <c r="Z223" s="81" t="s">
        <v>138</v>
      </c>
      <c r="AA223" s="81" t="s">
        <v>58</v>
      </c>
      <c r="AB223" s="81" t="s">
        <v>58</v>
      </c>
      <c r="AC223" s="83">
        <v>46098</v>
      </c>
    </row>
    <row r="224" spans="2:29" ht="23" x14ac:dyDescent="0.35">
      <c r="B224" s="81" t="s">
        <v>338</v>
      </c>
      <c r="C224" s="81" t="s">
        <v>339</v>
      </c>
      <c r="D224" s="81" t="s">
        <v>340</v>
      </c>
      <c r="E224" s="81" t="s">
        <v>564</v>
      </c>
      <c r="F224" s="162" t="s">
        <v>565</v>
      </c>
      <c r="G224" s="163"/>
      <c r="H224" s="81" t="s">
        <v>566</v>
      </c>
      <c r="I224" s="81" t="s">
        <v>344</v>
      </c>
      <c r="J224" s="81" t="s">
        <v>11</v>
      </c>
      <c r="K224" s="81" t="s">
        <v>599</v>
      </c>
      <c r="L224" s="81" t="s">
        <v>129</v>
      </c>
      <c r="M224" s="164">
        <v>24</v>
      </c>
      <c r="N224" s="165"/>
      <c r="O224" s="163"/>
      <c r="P224" s="82">
        <v>81.95</v>
      </c>
      <c r="Q224" s="164">
        <v>0</v>
      </c>
      <c r="R224" s="163"/>
      <c r="S224" s="81" t="s">
        <v>346</v>
      </c>
      <c r="T224" s="82">
        <v>64</v>
      </c>
      <c r="U224" s="82">
        <v>0</v>
      </c>
      <c r="V224" s="82">
        <v>0</v>
      </c>
      <c r="W224" s="82">
        <v>0</v>
      </c>
      <c r="X224" s="81" t="s">
        <v>139</v>
      </c>
      <c r="Y224" s="82">
        <v>4</v>
      </c>
      <c r="Z224" s="81" t="s">
        <v>138</v>
      </c>
      <c r="AA224" s="81" t="s">
        <v>58</v>
      </c>
      <c r="AB224" s="81" t="s">
        <v>58</v>
      </c>
      <c r="AC224" s="83">
        <v>46098</v>
      </c>
    </row>
    <row r="225" spans="2:29" ht="23" x14ac:dyDescent="0.35">
      <c r="B225" s="81" t="s">
        <v>338</v>
      </c>
      <c r="C225" s="81" t="s">
        <v>339</v>
      </c>
      <c r="D225" s="81" t="s">
        <v>340</v>
      </c>
      <c r="E225" s="81" t="s">
        <v>564</v>
      </c>
      <c r="F225" s="162" t="s">
        <v>565</v>
      </c>
      <c r="G225" s="163"/>
      <c r="H225" s="81" t="s">
        <v>566</v>
      </c>
      <c r="I225" s="81" t="s">
        <v>344</v>
      </c>
      <c r="J225" s="81" t="s">
        <v>11</v>
      </c>
      <c r="K225" s="81" t="s">
        <v>600</v>
      </c>
      <c r="L225" s="81" t="s">
        <v>129</v>
      </c>
      <c r="M225" s="164">
        <v>23.8</v>
      </c>
      <c r="N225" s="165"/>
      <c r="O225" s="163"/>
      <c r="P225" s="82">
        <v>81.260000000000005</v>
      </c>
      <c r="Q225" s="164">
        <v>0</v>
      </c>
      <c r="R225" s="163"/>
      <c r="S225" s="81" t="s">
        <v>346</v>
      </c>
      <c r="T225" s="82">
        <v>64</v>
      </c>
      <c r="U225" s="82">
        <v>0</v>
      </c>
      <c r="V225" s="82">
        <v>0</v>
      </c>
      <c r="W225" s="82">
        <v>0</v>
      </c>
      <c r="X225" s="81" t="s">
        <v>135</v>
      </c>
      <c r="Y225" s="82">
        <v>12</v>
      </c>
      <c r="Z225" s="81" t="s">
        <v>138</v>
      </c>
      <c r="AA225" s="81" t="s">
        <v>58</v>
      </c>
      <c r="AB225" s="81" t="s">
        <v>58</v>
      </c>
      <c r="AC225" s="83">
        <v>46098</v>
      </c>
    </row>
    <row r="226" spans="2:29" ht="23" x14ac:dyDescent="0.35">
      <c r="B226" s="81" t="s">
        <v>338</v>
      </c>
      <c r="C226" s="81" t="s">
        <v>339</v>
      </c>
      <c r="D226" s="81" t="s">
        <v>340</v>
      </c>
      <c r="E226" s="81" t="s">
        <v>564</v>
      </c>
      <c r="F226" s="162" t="s">
        <v>565</v>
      </c>
      <c r="G226" s="163"/>
      <c r="H226" s="81" t="s">
        <v>566</v>
      </c>
      <c r="I226" s="81" t="s">
        <v>344</v>
      </c>
      <c r="J226" s="81" t="s">
        <v>11</v>
      </c>
      <c r="K226" s="81" t="s">
        <v>601</v>
      </c>
      <c r="L226" s="81" t="s">
        <v>11</v>
      </c>
      <c r="M226" s="164">
        <v>25.9</v>
      </c>
      <c r="N226" s="165"/>
      <c r="O226" s="163"/>
      <c r="P226" s="82">
        <v>88.43</v>
      </c>
      <c r="Q226" s="164">
        <v>0</v>
      </c>
      <c r="R226" s="163"/>
      <c r="S226" s="81" t="s">
        <v>346</v>
      </c>
      <c r="T226" s="82">
        <v>64</v>
      </c>
      <c r="U226" s="82">
        <v>0</v>
      </c>
      <c r="V226" s="82">
        <v>0</v>
      </c>
      <c r="W226" s="82">
        <v>0</v>
      </c>
      <c r="X226" s="81" t="s">
        <v>132</v>
      </c>
      <c r="Y226" s="82">
        <v>60</v>
      </c>
      <c r="Z226" s="81" t="s">
        <v>138</v>
      </c>
      <c r="AA226" s="81" t="s">
        <v>58</v>
      </c>
      <c r="AB226" s="81" t="s">
        <v>58</v>
      </c>
      <c r="AC226" s="83">
        <v>46098</v>
      </c>
    </row>
    <row r="227" spans="2:29" ht="23" x14ac:dyDescent="0.35">
      <c r="B227" s="81" t="s">
        <v>338</v>
      </c>
      <c r="C227" s="81" t="s">
        <v>339</v>
      </c>
      <c r="D227" s="81" t="s">
        <v>340</v>
      </c>
      <c r="E227" s="81" t="s">
        <v>564</v>
      </c>
      <c r="F227" s="162" t="s">
        <v>565</v>
      </c>
      <c r="G227" s="163"/>
      <c r="H227" s="81" t="s">
        <v>566</v>
      </c>
      <c r="I227" s="81" t="s">
        <v>344</v>
      </c>
      <c r="J227" s="81" t="s">
        <v>11</v>
      </c>
      <c r="K227" s="81" t="s">
        <v>602</v>
      </c>
      <c r="L227" s="81" t="s">
        <v>11</v>
      </c>
      <c r="M227" s="164">
        <v>23.9</v>
      </c>
      <c r="N227" s="165"/>
      <c r="O227" s="163"/>
      <c r="P227" s="82">
        <v>81.599999999999994</v>
      </c>
      <c r="Q227" s="164">
        <v>0</v>
      </c>
      <c r="R227" s="163"/>
      <c r="S227" s="81" t="s">
        <v>346</v>
      </c>
      <c r="T227" s="82">
        <v>64</v>
      </c>
      <c r="U227" s="82">
        <v>0</v>
      </c>
      <c r="V227" s="82">
        <v>0</v>
      </c>
      <c r="W227" s="82">
        <v>0</v>
      </c>
      <c r="X227" s="81" t="s">
        <v>132</v>
      </c>
      <c r="Y227" s="82">
        <v>40</v>
      </c>
      <c r="Z227" s="81" t="s">
        <v>138</v>
      </c>
      <c r="AA227" s="81" t="s">
        <v>58</v>
      </c>
      <c r="AB227" s="81" t="s">
        <v>58</v>
      </c>
      <c r="AC227" s="83">
        <v>46098</v>
      </c>
    </row>
    <row r="228" spans="2:29" ht="23" x14ac:dyDescent="0.35">
      <c r="B228" s="81" t="s">
        <v>338</v>
      </c>
      <c r="C228" s="81" t="s">
        <v>339</v>
      </c>
      <c r="D228" s="81" t="s">
        <v>340</v>
      </c>
      <c r="E228" s="81" t="s">
        <v>603</v>
      </c>
      <c r="F228" s="162" t="s">
        <v>604</v>
      </c>
      <c r="G228" s="163"/>
      <c r="H228" s="81" t="s">
        <v>605</v>
      </c>
      <c r="I228" s="81" t="s">
        <v>344</v>
      </c>
      <c r="J228" s="81" t="s">
        <v>11</v>
      </c>
      <c r="K228" s="81" t="s">
        <v>606</v>
      </c>
      <c r="L228" s="81" t="s">
        <v>129</v>
      </c>
      <c r="M228" s="164">
        <v>20.3</v>
      </c>
      <c r="N228" s="165"/>
      <c r="O228" s="163"/>
      <c r="P228" s="82">
        <v>74.59</v>
      </c>
      <c r="Q228" s="164">
        <v>0</v>
      </c>
      <c r="R228" s="163"/>
      <c r="S228" s="81" t="s">
        <v>346</v>
      </c>
      <c r="T228" s="82">
        <v>62</v>
      </c>
      <c r="U228" s="82">
        <v>0</v>
      </c>
      <c r="V228" s="82">
        <v>0</v>
      </c>
      <c r="W228" s="82">
        <v>0</v>
      </c>
      <c r="X228" s="81" t="s">
        <v>141</v>
      </c>
      <c r="Y228" s="82">
        <v>12</v>
      </c>
      <c r="Z228" s="81" t="s">
        <v>138</v>
      </c>
      <c r="AA228" s="81" t="s">
        <v>58</v>
      </c>
      <c r="AB228" s="81" t="s">
        <v>58</v>
      </c>
      <c r="AC228" s="83">
        <v>46098</v>
      </c>
    </row>
    <row r="229" spans="2:29" ht="23" x14ac:dyDescent="0.35">
      <c r="B229" s="81" t="s">
        <v>338</v>
      </c>
      <c r="C229" s="81" t="s">
        <v>339</v>
      </c>
      <c r="D229" s="81" t="s">
        <v>340</v>
      </c>
      <c r="E229" s="81" t="s">
        <v>603</v>
      </c>
      <c r="F229" s="162" t="s">
        <v>604</v>
      </c>
      <c r="G229" s="163"/>
      <c r="H229" s="81" t="s">
        <v>605</v>
      </c>
      <c r="I229" s="81" t="s">
        <v>344</v>
      </c>
      <c r="J229" s="81" t="s">
        <v>11</v>
      </c>
      <c r="K229" s="81" t="s">
        <v>607</v>
      </c>
      <c r="L229" s="81" t="s">
        <v>129</v>
      </c>
      <c r="M229" s="164">
        <v>22.8</v>
      </c>
      <c r="N229" s="165"/>
      <c r="O229" s="163"/>
      <c r="P229" s="82">
        <v>83.78</v>
      </c>
      <c r="Q229" s="164">
        <v>0</v>
      </c>
      <c r="R229" s="163"/>
      <c r="S229" s="81" t="s">
        <v>346</v>
      </c>
      <c r="T229" s="82">
        <v>62</v>
      </c>
      <c r="U229" s="82">
        <v>0</v>
      </c>
      <c r="V229" s="82">
        <v>0</v>
      </c>
      <c r="W229" s="82">
        <v>0</v>
      </c>
      <c r="X229" s="81" t="s">
        <v>141</v>
      </c>
      <c r="Y229" s="82">
        <v>8</v>
      </c>
      <c r="Z229" s="81" t="s">
        <v>138</v>
      </c>
      <c r="AA229" s="81" t="s">
        <v>58</v>
      </c>
      <c r="AB229" s="81" t="s">
        <v>58</v>
      </c>
      <c r="AC229" s="83">
        <v>46098</v>
      </c>
    </row>
    <row r="230" spans="2:29" ht="23" x14ac:dyDescent="0.35">
      <c r="B230" s="81" t="s">
        <v>338</v>
      </c>
      <c r="C230" s="81" t="s">
        <v>339</v>
      </c>
      <c r="D230" s="81" t="s">
        <v>340</v>
      </c>
      <c r="E230" s="81" t="s">
        <v>603</v>
      </c>
      <c r="F230" s="162" t="s">
        <v>604</v>
      </c>
      <c r="G230" s="163"/>
      <c r="H230" s="81" t="s">
        <v>605</v>
      </c>
      <c r="I230" s="81" t="s">
        <v>344</v>
      </c>
      <c r="J230" s="81" t="s">
        <v>11</v>
      </c>
      <c r="K230" s="81" t="s">
        <v>608</v>
      </c>
      <c r="L230" s="81" t="s">
        <v>11</v>
      </c>
      <c r="M230" s="164">
        <v>23</v>
      </c>
      <c r="N230" s="165"/>
      <c r="O230" s="163"/>
      <c r="P230" s="82">
        <v>84.51</v>
      </c>
      <c r="Q230" s="164">
        <v>0</v>
      </c>
      <c r="R230" s="163"/>
      <c r="S230" s="81" t="s">
        <v>346</v>
      </c>
      <c r="T230" s="82">
        <v>62</v>
      </c>
      <c r="U230" s="82">
        <v>0</v>
      </c>
      <c r="V230" s="82">
        <v>0</v>
      </c>
      <c r="W230" s="82">
        <v>0</v>
      </c>
      <c r="X230" s="81" t="s">
        <v>141</v>
      </c>
      <c r="Y230" s="82">
        <v>20</v>
      </c>
      <c r="Z230" s="81" t="s">
        <v>138</v>
      </c>
      <c r="AA230" s="81" t="s">
        <v>58</v>
      </c>
      <c r="AB230" s="81" t="s">
        <v>58</v>
      </c>
      <c r="AC230" s="83">
        <v>46098</v>
      </c>
    </row>
    <row r="231" spans="2:29" ht="23" x14ac:dyDescent="0.35">
      <c r="B231" s="81" t="s">
        <v>338</v>
      </c>
      <c r="C231" s="81" t="s">
        <v>339</v>
      </c>
      <c r="D231" s="81" t="s">
        <v>340</v>
      </c>
      <c r="E231" s="81" t="s">
        <v>603</v>
      </c>
      <c r="F231" s="162" t="s">
        <v>604</v>
      </c>
      <c r="G231" s="163"/>
      <c r="H231" s="81" t="s">
        <v>605</v>
      </c>
      <c r="I231" s="81" t="s">
        <v>344</v>
      </c>
      <c r="J231" s="81" t="s">
        <v>11</v>
      </c>
      <c r="K231" s="81" t="s">
        <v>609</v>
      </c>
      <c r="L231" s="81" t="s">
        <v>129</v>
      </c>
      <c r="M231" s="164">
        <v>22.6</v>
      </c>
      <c r="N231" s="165"/>
      <c r="O231" s="163"/>
      <c r="P231" s="82">
        <v>83.04</v>
      </c>
      <c r="Q231" s="164">
        <v>0</v>
      </c>
      <c r="R231" s="163"/>
      <c r="S231" s="81" t="s">
        <v>346</v>
      </c>
      <c r="T231" s="82">
        <v>62</v>
      </c>
      <c r="U231" s="82">
        <v>0</v>
      </c>
      <c r="V231" s="82">
        <v>0</v>
      </c>
      <c r="W231" s="82">
        <v>0</v>
      </c>
      <c r="X231" s="81" t="s">
        <v>141</v>
      </c>
      <c r="Y231" s="82">
        <v>12</v>
      </c>
      <c r="Z231" s="81" t="s">
        <v>138</v>
      </c>
      <c r="AA231" s="81" t="s">
        <v>58</v>
      </c>
      <c r="AB231" s="81" t="s">
        <v>58</v>
      </c>
      <c r="AC231" s="83">
        <v>46098</v>
      </c>
    </row>
    <row r="232" spans="2:29" ht="23" x14ac:dyDescent="0.35">
      <c r="B232" s="81" t="s">
        <v>338</v>
      </c>
      <c r="C232" s="81" t="s">
        <v>339</v>
      </c>
      <c r="D232" s="81" t="s">
        <v>340</v>
      </c>
      <c r="E232" s="81" t="s">
        <v>603</v>
      </c>
      <c r="F232" s="162" t="s">
        <v>604</v>
      </c>
      <c r="G232" s="163"/>
      <c r="H232" s="81" t="s">
        <v>605</v>
      </c>
      <c r="I232" s="81" t="s">
        <v>344</v>
      </c>
      <c r="J232" s="81" t="s">
        <v>11</v>
      </c>
      <c r="K232" s="81" t="s">
        <v>610</v>
      </c>
      <c r="L232" s="81" t="s">
        <v>129</v>
      </c>
      <c r="M232" s="164">
        <v>14.7</v>
      </c>
      <c r="N232" s="165"/>
      <c r="O232" s="163"/>
      <c r="P232" s="82">
        <v>54.01</v>
      </c>
      <c r="Q232" s="164">
        <v>0</v>
      </c>
      <c r="R232" s="163"/>
      <c r="S232" s="81" t="s">
        <v>346</v>
      </c>
      <c r="T232" s="82">
        <v>62</v>
      </c>
      <c r="U232" s="82">
        <v>0</v>
      </c>
      <c r="V232" s="82">
        <v>0</v>
      </c>
      <c r="W232" s="82">
        <v>0</v>
      </c>
      <c r="X232" s="81" t="s">
        <v>132</v>
      </c>
      <c r="Y232" s="82">
        <v>12</v>
      </c>
      <c r="Z232" s="81" t="s">
        <v>138</v>
      </c>
      <c r="AA232" s="81" t="s">
        <v>58</v>
      </c>
      <c r="AB232" s="81" t="s">
        <v>58</v>
      </c>
      <c r="AC232" s="83">
        <v>46098</v>
      </c>
    </row>
    <row r="233" spans="2:29" ht="23" x14ac:dyDescent="0.35">
      <c r="B233" s="81" t="s">
        <v>338</v>
      </c>
      <c r="C233" s="81" t="s">
        <v>339</v>
      </c>
      <c r="D233" s="81" t="s">
        <v>340</v>
      </c>
      <c r="E233" s="81" t="s">
        <v>603</v>
      </c>
      <c r="F233" s="162" t="s">
        <v>604</v>
      </c>
      <c r="G233" s="163"/>
      <c r="H233" s="81" t="s">
        <v>605</v>
      </c>
      <c r="I233" s="81" t="s">
        <v>344</v>
      </c>
      <c r="J233" s="81" t="s">
        <v>11</v>
      </c>
      <c r="K233" s="81" t="s">
        <v>611</v>
      </c>
      <c r="L233" s="81" t="s">
        <v>129</v>
      </c>
      <c r="M233" s="164">
        <v>14.3</v>
      </c>
      <c r="N233" s="165"/>
      <c r="O233" s="163"/>
      <c r="P233" s="82">
        <v>52.54</v>
      </c>
      <c r="Q233" s="164">
        <v>0</v>
      </c>
      <c r="R233" s="163"/>
      <c r="S233" s="81" t="s">
        <v>346</v>
      </c>
      <c r="T233" s="82">
        <v>62</v>
      </c>
      <c r="U233" s="82">
        <v>0</v>
      </c>
      <c r="V233" s="82">
        <v>0</v>
      </c>
      <c r="W233" s="82">
        <v>0</v>
      </c>
      <c r="X233" s="81"/>
      <c r="Y233" s="81"/>
      <c r="Z233" s="81" t="s">
        <v>138</v>
      </c>
      <c r="AA233" s="81" t="s">
        <v>58</v>
      </c>
      <c r="AB233" s="81" t="s">
        <v>58</v>
      </c>
      <c r="AC233" s="83">
        <v>46098</v>
      </c>
    </row>
    <row r="234" spans="2:29" ht="23" x14ac:dyDescent="0.35">
      <c r="B234" s="81" t="s">
        <v>338</v>
      </c>
      <c r="C234" s="81" t="s">
        <v>339</v>
      </c>
      <c r="D234" s="81" t="s">
        <v>340</v>
      </c>
      <c r="E234" s="81" t="s">
        <v>603</v>
      </c>
      <c r="F234" s="162" t="s">
        <v>604</v>
      </c>
      <c r="G234" s="163"/>
      <c r="H234" s="81" t="s">
        <v>605</v>
      </c>
      <c r="I234" s="81" t="s">
        <v>344</v>
      </c>
      <c r="J234" s="81" t="s">
        <v>11</v>
      </c>
      <c r="K234" s="81" t="s">
        <v>612</v>
      </c>
      <c r="L234" s="81" t="s">
        <v>129</v>
      </c>
      <c r="M234" s="164">
        <v>23</v>
      </c>
      <c r="N234" s="165"/>
      <c r="O234" s="163"/>
      <c r="P234" s="82">
        <v>84.51</v>
      </c>
      <c r="Q234" s="164">
        <v>0</v>
      </c>
      <c r="R234" s="163"/>
      <c r="S234" s="81" t="s">
        <v>346</v>
      </c>
      <c r="T234" s="82">
        <v>62</v>
      </c>
      <c r="U234" s="82">
        <v>0</v>
      </c>
      <c r="V234" s="82">
        <v>0</v>
      </c>
      <c r="W234" s="82">
        <v>0</v>
      </c>
      <c r="X234" s="81"/>
      <c r="Y234" s="81"/>
      <c r="Z234" s="81" t="s">
        <v>138</v>
      </c>
      <c r="AA234" s="81" t="s">
        <v>58</v>
      </c>
      <c r="AB234" s="81" t="s">
        <v>58</v>
      </c>
      <c r="AC234" s="83">
        <v>46098</v>
      </c>
    </row>
    <row r="235" spans="2:29" ht="23" x14ac:dyDescent="0.35">
      <c r="B235" s="81" t="s">
        <v>338</v>
      </c>
      <c r="C235" s="81" t="s">
        <v>339</v>
      </c>
      <c r="D235" s="81" t="s">
        <v>340</v>
      </c>
      <c r="E235" s="81" t="s">
        <v>603</v>
      </c>
      <c r="F235" s="162" t="s">
        <v>604</v>
      </c>
      <c r="G235" s="163"/>
      <c r="H235" s="81" t="s">
        <v>605</v>
      </c>
      <c r="I235" s="81" t="s">
        <v>344</v>
      </c>
      <c r="J235" s="81" t="s">
        <v>11</v>
      </c>
      <c r="K235" s="81" t="s">
        <v>613</v>
      </c>
      <c r="L235" s="81" t="s">
        <v>129</v>
      </c>
      <c r="M235" s="164">
        <v>22.9</v>
      </c>
      <c r="N235" s="165"/>
      <c r="O235" s="163"/>
      <c r="P235" s="82">
        <v>84.14</v>
      </c>
      <c r="Q235" s="164">
        <v>0</v>
      </c>
      <c r="R235" s="163"/>
      <c r="S235" s="81" t="s">
        <v>346</v>
      </c>
      <c r="T235" s="82">
        <v>62</v>
      </c>
      <c r="U235" s="82">
        <v>0</v>
      </c>
      <c r="V235" s="82">
        <v>0</v>
      </c>
      <c r="W235" s="82">
        <v>0</v>
      </c>
      <c r="X235" s="81"/>
      <c r="Y235" s="81"/>
      <c r="Z235" s="81" t="s">
        <v>138</v>
      </c>
      <c r="AA235" s="81" t="s">
        <v>58</v>
      </c>
      <c r="AB235" s="81" t="s">
        <v>58</v>
      </c>
      <c r="AC235" s="83">
        <v>46098</v>
      </c>
    </row>
    <row r="236" spans="2:29" ht="23" x14ac:dyDescent="0.35">
      <c r="B236" s="81" t="s">
        <v>338</v>
      </c>
      <c r="C236" s="81" t="s">
        <v>339</v>
      </c>
      <c r="D236" s="81" t="s">
        <v>340</v>
      </c>
      <c r="E236" s="81" t="s">
        <v>603</v>
      </c>
      <c r="F236" s="162" t="s">
        <v>604</v>
      </c>
      <c r="G236" s="163"/>
      <c r="H236" s="81" t="s">
        <v>605</v>
      </c>
      <c r="I236" s="81" t="s">
        <v>344</v>
      </c>
      <c r="J236" s="81" t="s">
        <v>11</v>
      </c>
      <c r="K236" s="81" t="s">
        <v>614</v>
      </c>
      <c r="L236" s="81" t="s">
        <v>129</v>
      </c>
      <c r="M236" s="164">
        <v>22.8</v>
      </c>
      <c r="N236" s="165"/>
      <c r="O236" s="163"/>
      <c r="P236" s="82">
        <v>83.78</v>
      </c>
      <c r="Q236" s="164">
        <v>0</v>
      </c>
      <c r="R236" s="163"/>
      <c r="S236" s="81" t="s">
        <v>346</v>
      </c>
      <c r="T236" s="82">
        <v>62</v>
      </c>
      <c r="U236" s="82">
        <v>0</v>
      </c>
      <c r="V236" s="82">
        <v>0</v>
      </c>
      <c r="W236" s="82">
        <v>0</v>
      </c>
      <c r="X236" s="81"/>
      <c r="Y236" s="81"/>
      <c r="Z236" s="81" t="s">
        <v>138</v>
      </c>
      <c r="AA236" s="81" t="s">
        <v>58</v>
      </c>
      <c r="AB236" s="81" t="s">
        <v>58</v>
      </c>
      <c r="AC236" s="83">
        <v>46098</v>
      </c>
    </row>
    <row r="237" spans="2:29" ht="23" x14ac:dyDescent="0.35">
      <c r="B237" s="81" t="s">
        <v>338</v>
      </c>
      <c r="C237" s="81" t="s">
        <v>339</v>
      </c>
      <c r="D237" s="81" t="s">
        <v>340</v>
      </c>
      <c r="E237" s="81" t="s">
        <v>603</v>
      </c>
      <c r="F237" s="162" t="s">
        <v>604</v>
      </c>
      <c r="G237" s="163"/>
      <c r="H237" s="81" t="s">
        <v>605</v>
      </c>
      <c r="I237" s="81" t="s">
        <v>344</v>
      </c>
      <c r="J237" s="81" t="s">
        <v>11</v>
      </c>
      <c r="K237" s="81" t="s">
        <v>615</v>
      </c>
      <c r="L237" s="81" t="s">
        <v>129</v>
      </c>
      <c r="M237" s="164">
        <v>22.6</v>
      </c>
      <c r="N237" s="165"/>
      <c r="O237" s="163"/>
      <c r="P237" s="82">
        <v>83.04</v>
      </c>
      <c r="Q237" s="164">
        <v>0</v>
      </c>
      <c r="R237" s="163"/>
      <c r="S237" s="81" t="s">
        <v>346</v>
      </c>
      <c r="T237" s="82">
        <v>62</v>
      </c>
      <c r="U237" s="82">
        <v>0</v>
      </c>
      <c r="V237" s="82">
        <v>0</v>
      </c>
      <c r="W237" s="82">
        <v>0</v>
      </c>
      <c r="X237" s="81" t="s">
        <v>132</v>
      </c>
      <c r="Y237" s="82">
        <v>4</v>
      </c>
      <c r="Z237" s="81" t="s">
        <v>138</v>
      </c>
      <c r="AA237" s="81" t="s">
        <v>58</v>
      </c>
      <c r="AB237" s="81" t="s">
        <v>58</v>
      </c>
      <c r="AC237" s="83">
        <v>46098</v>
      </c>
    </row>
    <row r="238" spans="2:29" ht="23" x14ac:dyDescent="0.35">
      <c r="B238" s="81" t="s">
        <v>338</v>
      </c>
      <c r="C238" s="81" t="s">
        <v>339</v>
      </c>
      <c r="D238" s="81" t="s">
        <v>340</v>
      </c>
      <c r="E238" s="81" t="s">
        <v>603</v>
      </c>
      <c r="F238" s="162" t="s">
        <v>604</v>
      </c>
      <c r="G238" s="163"/>
      <c r="H238" s="81" t="s">
        <v>605</v>
      </c>
      <c r="I238" s="81" t="s">
        <v>344</v>
      </c>
      <c r="J238" s="81" t="s">
        <v>11</v>
      </c>
      <c r="K238" s="81" t="s">
        <v>616</v>
      </c>
      <c r="L238" s="81" t="s">
        <v>129</v>
      </c>
      <c r="M238" s="164">
        <v>22.6</v>
      </c>
      <c r="N238" s="165"/>
      <c r="O238" s="163"/>
      <c r="P238" s="82">
        <v>83.04</v>
      </c>
      <c r="Q238" s="164">
        <v>0</v>
      </c>
      <c r="R238" s="163"/>
      <c r="S238" s="81" t="s">
        <v>346</v>
      </c>
      <c r="T238" s="82">
        <v>62</v>
      </c>
      <c r="U238" s="82">
        <v>0</v>
      </c>
      <c r="V238" s="82">
        <v>0</v>
      </c>
      <c r="W238" s="82">
        <v>0</v>
      </c>
      <c r="X238" s="81" t="s">
        <v>132</v>
      </c>
      <c r="Y238" s="82">
        <v>4</v>
      </c>
      <c r="Z238" s="81" t="s">
        <v>138</v>
      </c>
      <c r="AA238" s="81" t="s">
        <v>58</v>
      </c>
      <c r="AB238" s="81" t="s">
        <v>58</v>
      </c>
      <c r="AC238" s="83">
        <v>46098</v>
      </c>
    </row>
    <row r="239" spans="2:29" ht="23" x14ac:dyDescent="0.35">
      <c r="B239" s="81" t="s">
        <v>338</v>
      </c>
      <c r="C239" s="81" t="s">
        <v>339</v>
      </c>
      <c r="D239" s="81" t="s">
        <v>340</v>
      </c>
      <c r="E239" s="81" t="s">
        <v>603</v>
      </c>
      <c r="F239" s="162" t="s">
        <v>604</v>
      </c>
      <c r="G239" s="163"/>
      <c r="H239" s="81" t="s">
        <v>605</v>
      </c>
      <c r="I239" s="81" t="s">
        <v>344</v>
      </c>
      <c r="J239" s="81" t="s">
        <v>11</v>
      </c>
      <c r="K239" s="81" t="s">
        <v>617</v>
      </c>
      <c r="L239" s="81" t="s">
        <v>129</v>
      </c>
      <c r="M239" s="164">
        <v>22.7</v>
      </c>
      <c r="N239" s="165"/>
      <c r="O239" s="163"/>
      <c r="P239" s="82">
        <v>83.41</v>
      </c>
      <c r="Q239" s="164">
        <v>0</v>
      </c>
      <c r="R239" s="163"/>
      <c r="S239" s="81" t="s">
        <v>346</v>
      </c>
      <c r="T239" s="82">
        <v>62</v>
      </c>
      <c r="U239" s="82">
        <v>0</v>
      </c>
      <c r="V239" s="82">
        <v>0</v>
      </c>
      <c r="W239" s="82">
        <v>0</v>
      </c>
      <c r="X239" s="81"/>
      <c r="Y239" s="81"/>
      <c r="Z239" s="81" t="s">
        <v>138</v>
      </c>
      <c r="AA239" s="81" t="s">
        <v>58</v>
      </c>
      <c r="AB239" s="81" t="s">
        <v>58</v>
      </c>
      <c r="AC239" s="83">
        <v>46098</v>
      </c>
    </row>
    <row r="240" spans="2:29" ht="23" x14ac:dyDescent="0.35">
      <c r="B240" s="81" t="s">
        <v>338</v>
      </c>
      <c r="C240" s="81" t="s">
        <v>339</v>
      </c>
      <c r="D240" s="81" t="s">
        <v>340</v>
      </c>
      <c r="E240" s="81" t="s">
        <v>603</v>
      </c>
      <c r="F240" s="162" t="s">
        <v>604</v>
      </c>
      <c r="G240" s="163"/>
      <c r="H240" s="81" t="s">
        <v>605</v>
      </c>
      <c r="I240" s="81" t="s">
        <v>344</v>
      </c>
      <c r="J240" s="81" t="s">
        <v>11</v>
      </c>
      <c r="K240" s="81" t="s">
        <v>618</v>
      </c>
      <c r="L240" s="81" t="s">
        <v>129</v>
      </c>
      <c r="M240" s="164">
        <v>22.8</v>
      </c>
      <c r="N240" s="165"/>
      <c r="O240" s="163"/>
      <c r="P240" s="82">
        <v>83.78</v>
      </c>
      <c r="Q240" s="164">
        <v>0</v>
      </c>
      <c r="R240" s="163"/>
      <c r="S240" s="81" t="s">
        <v>346</v>
      </c>
      <c r="T240" s="82">
        <v>62</v>
      </c>
      <c r="U240" s="82">
        <v>0</v>
      </c>
      <c r="V240" s="82">
        <v>0</v>
      </c>
      <c r="W240" s="82">
        <v>0</v>
      </c>
      <c r="X240" s="81"/>
      <c r="Y240" s="81"/>
      <c r="Z240" s="81" t="s">
        <v>138</v>
      </c>
      <c r="AA240" s="81" t="s">
        <v>58</v>
      </c>
      <c r="AB240" s="81" t="s">
        <v>58</v>
      </c>
      <c r="AC240" s="83">
        <v>46098</v>
      </c>
    </row>
    <row r="241" spans="2:29" ht="23" x14ac:dyDescent="0.35">
      <c r="B241" s="81" t="s">
        <v>338</v>
      </c>
      <c r="C241" s="81" t="s">
        <v>339</v>
      </c>
      <c r="D241" s="81" t="s">
        <v>340</v>
      </c>
      <c r="E241" s="81" t="s">
        <v>603</v>
      </c>
      <c r="F241" s="162" t="s">
        <v>604</v>
      </c>
      <c r="G241" s="163"/>
      <c r="H241" s="81" t="s">
        <v>605</v>
      </c>
      <c r="I241" s="81" t="s">
        <v>344</v>
      </c>
      <c r="J241" s="81" t="s">
        <v>11</v>
      </c>
      <c r="K241" s="81" t="s">
        <v>619</v>
      </c>
      <c r="L241" s="81" t="s">
        <v>129</v>
      </c>
      <c r="M241" s="164">
        <v>33.5</v>
      </c>
      <c r="N241" s="165"/>
      <c r="O241" s="163"/>
      <c r="P241" s="82">
        <v>123.09</v>
      </c>
      <c r="Q241" s="164">
        <v>0</v>
      </c>
      <c r="R241" s="163"/>
      <c r="S241" s="81" t="s">
        <v>346</v>
      </c>
      <c r="T241" s="82">
        <v>62</v>
      </c>
      <c r="U241" s="82">
        <v>0</v>
      </c>
      <c r="V241" s="82">
        <v>0</v>
      </c>
      <c r="W241" s="82">
        <v>0</v>
      </c>
      <c r="X241" s="81" t="s">
        <v>141</v>
      </c>
      <c r="Y241" s="82">
        <v>24</v>
      </c>
      <c r="Z241" s="81" t="s">
        <v>138</v>
      </c>
      <c r="AA241" s="81" t="s">
        <v>58</v>
      </c>
      <c r="AB241" s="81" t="s">
        <v>58</v>
      </c>
      <c r="AC241" s="83">
        <v>46098</v>
      </c>
    </row>
    <row r="242" spans="2:29" ht="23" x14ac:dyDescent="0.35">
      <c r="B242" s="81" t="s">
        <v>338</v>
      </c>
      <c r="C242" s="81" t="s">
        <v>339</v>
      </c>
      <c r="D242" s="81" t="s">
        <v>340</v>
      </c>
      <c r="E242" s="81" t="s">
        <v>603</v>
      </c>
      <c r="F242" s="162" t="s">
        <v>604</v>
      </c>
      <c r="G242" s="163"/>
      <c r="H242" s="81" t="s">
        <v>605</v>
      </c>
      <c r="I242" s="81" t="s">
        <v>344</v>
      </c>
      <c r="J242" s="81" t="s">
        <v>11</v>
      </c>
      <c r="K242" s="81" t="s">
        <v>620</v>
      </c>
      <c r="L242" s="81" t="s">
        <v>129</v>
      </c>
      <c r="M242" s="164">
        <v>22.7</v>
      </c>
      <c r="N242" s="165"/>
      <c r="O242" s="163"/>
      <c r="P242" s="82">
        <v>83.41</v>
      </c>
      <c r="Q242" s="164">
        <v>0</v>
      </c>
      <c r="R242" s="163"/>
      <c r="S242" s="81" t="s">
        <v>346</v>
      </c>
      <c r="T242" s="82">
        <v>62</v>
      </c>
      <c r="U242" s="82">
        <v>0</v>
      </c>
      <c r="V242" s="82">
        <v>0</v>
      </c>
      <c r="W242" s="82">
        <v>0</v>
      </c>
      <c r="X242" s="81" t="s">
        <v>141</v>
      </c>
      <c r="Y242" s="82">
        <v>20</v>
      </c>
      <c r="Z242" s="81" t="s">
        <v>138</v>
      </c>
      <c r="AA242" s="81" t="s">
        <v>58</v>
      </c>
      <c r="AB242" s="81" t="s">
        <v>58</v>
      </c>
      <c r="AC242" s="83">
        <v>46098</v>
      </c>
    </row>
    <row r="243" spans="2:29" ht="23" x14ac:dyDescent="0.35">
      <c r="B243" s="81" t="s">
        <v>338</v>
      </c>
      <c r="C243" s="81" t="s">
        <v>339</v>
      </c>
      <c r="D243" s="81" t="s">
        <v>340</v>
      </c>
      <c r="E243" s="81" t="s">
        <v>603</v>
      </c>
      <c r="F243" s="162" t="s">
        <v>604</v>
      </c>
      <c r="G243" s="163"/>
      <c r="H243" s="81" t="s">
        <v>605</v>
      </c>
      <c r="I243" s="81" t="s">
        <v>344</v>
      </c>
      <c r="J243" s="81" t="s">
        <v>11</v>
      </c>
      <c r="K243" s="81" t="s">
        <v>621</v>
      </c>
      <c r="L243" s="81" t="s">
        <v>129</v>
      </c>
      <c r="M243" s="164">
        <v>22.6</v>
      </c>
      <c r="N243" s="165"/>
      <c r="O243" s="163"/>
      <c r="P243" s="82">
        <v>83.04</v>
      </c>
      <c r="Q243" s="164">
        <v>0</v>
      </c>
      <c r="R243" s="163"/>
      <c r="S243" s="81" t="s">
        <v>346</v>
      </c>
      <c r="T243" s="82">
        <v>62</v>
      </c>
      <c r="U243" s="82">
        <v>0</v>
      </c>
      <c r="V243" s="82">
        <v>0</v>
      </c>
      <c r="W243" s="82">
        <v>0</v>
      </c>
      <c r="X243" s="81" t="s">
        <v>141</v>
      </c>
      <c r="Y243" s="82">
        <v>8</v>
      </c>
      <c r="Z243" s="81" t="s">
        <v>138</v>
      </c>
      <c r="AA243" s="81" t="s">
        <v>58</v>
      </c>
      <c r="AB243" s="81" t="s">
        <v>58</v>
      </c>
      <c r="AC243" s="83">
        <v>46098</v>
      </c>
    </row>
    <row r="244" spans="2:29" ht="23" x14ac:dyDescent="0.35">
      <c r="B244" s="81" t="s">
        <v>338</v>
      </c>
      <c r="C244" s="81" t="s">
        <v>339</v>
      </c>
      <c r="D244" s="81" t="s">
        <v>340</v>
      </c>
      <c r="E244" s="81" t="s">
        <v>603</v>
      </c>
      <c r="F244" s="162" t="s">
        <v>604</v>
      </c>
      <c r="G244" s="163"/>
      <c r="H244" s="81" t="s">
        <v>605</v>
      </c>
      <c r="I244" s="81" t="s">
        <v>344</v>
      </c>
      <c r="J244" s="81" t="s">
        <v>11</v>
      </c>
      <c r="K244" s="81" t="s">
        <v>622</v>
      </c>
      <c r="L244" s="81" t="s">
        <v>129</v>
      </c>
      <c r="M244" s="164">
        <v>22.9</v>
      </c>
      <c r="N244" s="165"/>
      <c r="O244" s="163"/>
      <c r="P244" s="82">
        <v>84.14</v>
      </c>
      <c r="Q244" s="164">
        <v>0</v>
      </c>
      <c r="R244" s="163"/>
      <c r="S244" s="81" t="s">
        <v>346</v>
      </c>
      <c r="T244" s="82">
        <v>62</v>
      </c>
      <c r="U244" s="82">
        <v>0</v>
      </c>
      <c r="V244" s="82">
        <v>0</v>
      </c>
      <c r="W244" s="82">
        <v>0</v>
      </c>
      <c r="X244" s="81" t="s">
        <v>133</v>
      </c>
      <c r="Y244" s="82">
        <v>1</v>
      </c>
      <c r="Z244" s="81" t="s">
        <v>138</v>
      </c>
      <c r="AA244" s="81" t="s">
        <v>58</v>
      </c>
      <c r="AB244" s="81" t="s">
        <v>58</v>
      </c>
      <c r="AC244" s="83">
        <v>46098</v>
      </c>
    </row>
    <row r="245" spans="2:29" ht="23" x14ac:dyDescent="0.35">
      <c r="B245" s="81" t="s">
        <v>338</v>
      </c>
      <c r="C245" s="81" t="s">
        <v>339</v>
      </c>
      <c r="D245" s="81" t="s">
        <v>340</v>
      </c>
      <c r="E245" s="81" t="s">
        <v>603</v>
      </c>
      <c r="F245" s="162" t="s">
        <v>604</v>
      </c>
      <c r="G245" s="163"/>
      <c r="H245" s="81" t="s">
        <v>605</v>
      </c>
      <c r="I245" s="81" t="s">
        <v>344</v>
      </c>
      <c r="J245" s="81" t="s">
        <v>11</v>
      </c>
      <c r="K245" s="81" t="s">
        <v>623</v>
      </c>
      <c r="L245" s="81" t="s">
        <v>129</v>
      </c>
      <c r="M245" s="164">
        <v>12.1</v>
      </c>
      <c r="N245" s="165"/>
      <c r="O245" s="163"/>
      <c r="P245" s="82">
        <v>44.46</v>
      </c>
      <c r="Q245" s="164">
        <v>0</v>
      </c>
      <c r="R245" s="163"/>
      <c r="S245" s="81" t="s">
        <v>346</v>
      </c>
      <c r="T245" s="82">
        <v>62</v>
      </c>
      <c r="U245" s="82">
        <v>0</v>
      </c>
      <c r="V245" s="82">
        <v>0</v>
      </c>
      <c r="W245" s="82">
        <v>0</v>
      </c>
      <c r="X245" s="81" t="s">
        <v>141</v>
      </c>
      <c r="Y245" s="82">
        <v>1</v>
      </c>
      <c r="Z245" s="81" t="s">
        <v>138</v>
      </c>
      <c r="AA245" s="81" t="s">
        <v>58</v>
      </c>
      <c r="AB245" s="81" t="s">
        <v>58</v>
      </c>
      <c r="AC245" s="83">
        <v>46098</v>
      </c>
    </row>
    <row r="246" spans="2:29" ht="23" x14ac:dyDescent="0.35">
      <c r="B246" s="81" t="s">
        <v>338</v>
      </c>
      <c r="C246" s="81" t="s">
        <v>339</v>
      </c>
      <c r="D246" s="81" t="s">
        <v>340</v>
      </c>
      <c r="E246" s="81" t="s">
        <v>603</v>
      </c>
      <c r="F246" s="162" t="s">
        <v>604</v>
      </c>
      <c r="G246" s="163"/>
      <c r="H246" s="81" t="s">
        <v>605</v>
      </c>
      <c r="I246" s="81" t="s">
        <v>344</v>
      </c>
      <c r="J246" s="81" t="s">
        <v>11</v>
      </c>
      <c r="K246" s="81" t="s">
        <v>624</v>
      </c>
      <c r="L246" s="81" t="s">
        <v>129</v>
      </c>
      <c r="M246" s="164">
        <v>22.8</v>
      </c>
      <c r="N246" s="165"/>
      <c r="O246" s="163"/>
      <c r="P246" s="82">
        <v>83.78</v>
      </c>
      <c r="Q246" s="164">
        <v>0</v>
      </c>
      <c r="R246" s="163"/>
      <c r="S246" s="81" t="s">
        <v>346</v>
      </c>
      <c r="T246" s="82">
        <v>62</v>
      </c>
      <c r="U246" s="82">
        <v>0</v>
      </c>
      <c r="V246" s="82">
        <v>0</v>
      </c>
      <c r="W246" s="82">
        <v>0</v>
      </c>
      <c r="X246" s="81" t="s">
        <v>141</v>
      </c>
      <c r="Y246" s="82">
        <v>6</v>
      </c>
      <c r="Z246" s="81" t="s">
        <v>138</v>
      </c>
      <c r="AA246" s="81" t="s">
        <v>58</v>
      </c>
      <c r="AB246" s="81" t="s">
        <v>58</v>
      </c>
      <c r="AC246" s="83">
        <v>46098</v>
      </c>
    </row>
    <row r="247" spans="2:29" ht="23" x14ac:dyDescent="0.35">
      <c r="B247" s="81" t="s">
        <v>338</v>
      </c>
      <c r="C247" s="81" t="s">
        <v>339</v>
      </c>
      <c r="D247" s="81" t="s">
        <v>340</v>
      </c>
      <c r="E247" s="81" t="s">
        <v>603</v>
      </c>
      <c r="F247" s="162" t="s">
        <v>604</v>
      </c>
      <c r="G247" s="163"/>
      <c r="H247" s="81" t="s">
        <v>605</v>
      </c>
      <c r="I247" s="81" t="s">
        <v>344</v>
      </c>
      <c r="J247" s="81" t="s">
        <v>11</v>
      </c>
      <c r="K247" s="81" t="s">
        <v>625</v>
      </c>
      <c r="L247" s="81" t="s">
        <v>129</v>
      </c>
      <c r="M247" s="164">
        <v>22.8</v>
      </c>
      <c r="N247" s="165"/>
      <c r="O247" s="163"/>
      <c r="P247" s="82">
        <v>83.78</v>
      </c>
      <c r="Q247" s="164">
        <v>0</v>
      </c>
      <c r="R247" s="163"/>
      <c r="S247" s="81" t="s">
        <v>346</v>
      </c>
      <c r="T247" s="82">
        <v>62</v>
      </c>
      <c r="U247" s="82">
        <v>0</v>
      </c>
      <c r="V247" s="82">
        <v>0</v>
      </c>
      <c r="W247" s="82">
        <v>0</v>
      </c>
      <c r="X247" s="81" t="s">
        <v>132</v>
      </c>
      <c r="Y247" s="82">
        <v>4</v>
      </c>
      <c r="Z247" s="81" t="s">
        <v>138</v>
      </c>
      <c r="AA247" s="81" t="s">
        <v>58</v>
      </c>
      <c r="AB247" s="81" t="s">
        <v>58</v>
      </c>
      <c r="AC247" s="83">
        <v>46098</v>
      </c>
    </row>
    <row r="248" spans="2:29" ht="23" x14ac:dyDescent="0.35">
      <c r="B248" s="81" t="s">
        <v>338</v>
      </c>
      <c r="C248" s="81" t="s">
        <v>339</v>
      </c>
      <c r="D248" s="81" t="s">
        <v>340</v>
      </c>
      <c r="E248" s="81" t="s">
        <v>603</v>
      </c>
      <c r="F248" s="162" t="s">
        <v>604</v>
      </c>
      <c r="G248" s="163"/>
      <c r="H248" s="81" t="s">
        <v>605</v>
      </c>
      <c r="I248" s="81" t="s">
        <v>344</v>
      </c>
      <c r="J248" s="81" t="s">
        <v>11</v>
      </c>
      <c r="K248" s="81" t="s">
        <v>626</v>
      </c>
      <c r="L248" s="81" t="s">
        <v>129</v>
      </c>
      <c r="M248" s="164">
        <v>22.2</v>
      </c>
      <c r="N248" s="165"/>
      <c r="O248" s="163"/>
      <c r="P248" s="82">
        <v>81.569999999999993</v>
      </c>
      <c r="Q248" s="164">
        <v>0</v>
      </c>
      <c r="R248" s="163"/>
      <c r="S248" s="81" t="s">
        <v>346</v>
      </c>
      <c r="T248" s="82">
        <v>62</v>
      </c>
      <c r="U248" s="82">
        <v>0</v>
      </c>
      <c r="V248" s="82">
        <v>0</v>
      </c>
      <c r="W248" s="82">
        <v>0</v>
      </c>
      <c r="X248" s="81" t="s">
        <v>132</v>
      </c>
      <c r="Y248" s="82">
        <v>24</v>
      </c>
      <c r="Z248" s="81" t="s">
        <v>138</v>
      </c>
      <c r="AA248" s="81" t="s">
        <v>58</v>
      </c>
      <c r="AB248" s="81" t="s">
        <v>58</v>
      </c>
      <c r="AC248" s="83">
        <v>46098</v>
      </c>
    </row>
    <row r="249" spans="2:29" ht="23" x14ac:dyDescent="0.35">
      <c r="B249" s="81" t="s">
        <v>338</v>
      </c>
      <c r="C249" s="81" t="s">
        <v>339</v>
      </c>
      <c r="D249" s="81" t="s">
        <v>340</v>
      </c>
      <c r="E249" s="81" t="s">
        <v>603</v>
      </c>
      <c r="F249" s="162" t="s">
        <v>604</v>
      </c>
      <c r="G249" s="163"/>
      <c r="H249" s="81" t="s">
        <v>605</v>
      </c>
      <c r="I249" s="81" t="s">
        <v>344</v>
      </c>
      <c r="J249" s="81" t="s">
        <v>11</v>
      </c>
      <c r="K249" s="81" t="s">
        <v>627</v>
      </c>
      <c r="L249" s="81" t="s">
        <v>129</v>
      </c>
      <c r="M249" s="164">
        <v>22.8</v>
      </c>
      <c r="N249" s="165"/>
      <c r="O249" s="163"/>
      <c r="P249" s="82">
        <v>83.78</v>
      </c>
      <c r="Q249" s="164">
        <v>0</v>
      </c>
      <c r="R249" s="163"/>
      <c r="S249" s="81" t="s">
        <v>346</v>
      </c>
      <c r="T249" s="82">
        <v>62</v>
      </c>
      <c r="U249" s="82">
        <v>0</v>
      </c>
      <c r="V249" s="82">
        <v>0</v>
      </c>
      <c r="W249" s="82">
        <v>0</v>
      </c>
      <c r="X249" s="81" t="s">
        <v>132</v>
      </c>
      <c r="Y249" s="82">
        <v>8</v>
      </c>
      <c r="Z249" s="81" t="s">
        <v>138</v>
      </c>
      <c r="AA249" s="81" t="s">
        <v>58</v>
      </c>
      <c r="AB249" s="81" t="s">
        <v>58</v>
      </c>
      <c r="AC249" s="83">
        <v>46098</v>
      </c>
    </row>
    <row r="250" spans="2:29" ht="23" x14ac:dyDescent="0.35">
      <c r="B250" s="81" t="s">
        <v>338</v>
      </c>
      <c r="C250" s="81" t="s">
        <v>339</v>
      </c>
      <c r="D250" s="81" t="s">
        <v>340</v>
      </c>
      <c r="E250" s="81" t="s">
        <v>603</v>
      </c>
      <c r="F250" s="162" t="s">
        <v>604</v>
      </c>
      <c r="G250" s="163"/>
      <c r="H250" s="81" t="s">
        <v>605</v>
      </c>
      <c r="I250" s="81" t="s">
        <v>344</v>
      </c>
      <c r="J250" s="81" t="s">
        <v>11</v>
      </c>
      <c r="K250" s="81" t="s">
        <v>628</v>
      </c>
      <c r="L250" s="81" t="s">
        <v>11</v>
      </c>
      <c r="M250" s="164">
        <v>22.7</v>
      </c>
      <c r="N250" s="165"/>
      <c r="O250" s="163"/>
      <c r="P250" s="82">
        <v>83.41</v>
      </c>
      <c r="Q250" s="164">
        <v>0</v>
      </c>
      <c r="R250" s="163"/>
      <c r="S250" s="81" t="s">
        <v>346</v>
      </c>
      <c r="T250" s="82">
        <v>62</v>
      </c>
      <c r="U250" s="82">
        <v>0</v>
      </c>
      <c r="V250" s="82">
        <v>0</v>
      </c>
      <c r="W250" s="82">
        <v>0</v>
      </c>
      <c r="X250" s="81" t="s">
        <v>141</v>
      </c>
      <c r="Y250" s="82">
        <v>40</v>
      </c>
      <c r="Z250" s="81" t="s">
        <v>138</v>
      </c>
      <c r="AA250" s="81" t="s">
        <v>58</v>
      </c>
      <c r="AB250" s="81" t="s">
        <v>58</v>
      </c>
      <c r="AC250" s="83">
        <v>46098</v>
      </c>
    </row>
    <row r="251" spans="2:29" ht="23" x14ac:dyDescent="0.35">
      <c r="B251" s="81" t="s">
        <v>338</v>
      </c>
      <c r="C251" s="81" t="s">
        <v>339</v>
      </c>
      <c r="D251" s="81" t="s">
        <v>340</v>
      </c>
      <c r="E251" s="81" t="s">
        <v>603</v>
      </c>
      <c r="F251" s="162" t="s">
        <v>604</v>
      </c>
      <c r="G251" s="163"/>
      <c r="H251" s="81" t="s">
        <v>605</v>
      </c>
      <c r="I251" s="81" t="s">
        <v>344</v>
      </c>
      <c r="J251" s="81" t="s">
        <v>11</v>
      </c>
      <c r="K251" s="81" t="s">
        <v>629</v>
      </c>
      <c r="L251" s="81" t="s">
        <v>129</v>
      </c>
      <c r="M251" s="164">
        <v>22.8</v>
      </c>
      <c r="N251" s="165"/>
      <c r="O251" s="163"/>
      <c r="P251" s="82">
        <v>83.78</v>
      </c>
      <c r="Q251" s="164">
        <v>0</v>
      </c>
      <c r="R251" s="163"/>
      <c r="S251" s="81" t="s">
        <v>346</v>
      </c>
      <c r="T251" s="82">
        <v>62</v>
      </c>
      <c r="U251" s="82">
        <v>0</v>
      </c>
      <c r="V251" s="82">
        <v>0</v>
      </c>
      <c r="W251" s="82">
        <v>0</v>
      </c>
      <c r="X251" s="81" t="s">
        <v>133</v>
      </c>
      <c r="Y251" s="82">
        <v>2</v>
      </c>
      <c r="Z251" s="81" t="s">
        <v>138</v>
      </c>
      <c r="AA251" s="81" t="s">
        <v>58</v>
      </c>
      <c r="AB251" s="81" t="s">
        <v>58</v>
      </c>
      <c r="AC251" s="83">
        <v>46098</v>
      </c>
    </row>
    <row r="252" spans="2:29" ht="23" x14ac:dyDescent="0.35">
      <c r="B252" s="81" t="s">
        <v>338</v>
      </c>
      <c r="C252" s="81" t="s">
        <v>339</v>
      </c>
      <c r="D252" s="81" t="s">
        <v>340</v>
      </c>
      <c r="E252" s="81" t="s">
        <v>603</v>
      </c>
      <c r="F252" s="162" t="s">
        <v>604</v>
      </c>
      <c r="G252" s="163"/>
      <c r="H252" s="81" t="s">
        <v>605</v>
      </c>
      <c r="I252" s="81" t="s">
        <v>344</v>
      </c>
      <c r="J252" s="81" t="s">
        <v>11</v>
      </c>
      <c r="K252" s="81" t="s">
        <v>630</v>
      </c>
      <c r="L252" s="81" t="s">
        <v>129</v>
      </c>
      <c r="M252" s="164">
        <v>22.5</v>
      </c>
      <c r="N252" s="165"/>
      <c r="O252" s="163"/>
      <c r="P252" s="82">
        <v>82.67</v>
      </c>
      <c r="Q252" s="164">
        <v>0</v>
      </c>
      <c r="R252" s="163"/>
      <c r="S252" s="81" t="s">
        <v>346</v>
      </c>
      <c r="T252" s="82">
        <v>62</v>
      </c>
      <c r="U252" s="82">
        <v>0</v>
      </c>
      <c r="V252" s="82">
        <v>0</v>
      </c>
      <c r="W252" s="82">
        <v>0</v>
      </c>
      <c r="X252" s="81" t="s">
        <v>132</v>
      </c>
      <c r="Y252" s="82">
        <v>4</v>
      </c>
      <c r="Z252" s="81" t="s">
        <v>138</v>
      </c>
      <c r="AA252" s="81" t="s">
        <v>58</v>
      </c>
      <c r="AB252" s="81" t="s">
        <v>58</v>
      </c>
      <c r="AC252" s="83">
        <v>46098</v>
      </c>
    </row>
    <row r="253" spans="2:29" ht="23" x14ac:dyDescent="0.35">
      <c r="B253" s="81" t="s">
        <v>338</v>
      </c>
      <c r="C253" s="81" t="s">
        <v>339</v>
      </c>
      <c r="D253" s="81" t="s">
        <v>340</v>
      </c>
      <c r="E253" s="81" t="s">
        <v>603</v>
      </c>
      <c r="F253" s="162" t="s">
        <v>604</v>
      </c>
      <c r="G253" s="163"/>
      <c r="H253" s="81" t="s">
        <v>605</v>
      </c>
      <c r="I253" s="81" t="s">
        <v>344</v>
      </c>
      <c r="J253" s="81" t="s">
        <v>11</v>
      </c>
      <c r="K253" s="81" t="s">
        <v>631</v>
      </c>
      <c r="L253" s="81" t="s">
        <v>129</v>
      </c>
      <c r="M253" s="164">
        <v>20</v>
      </c>
      <c r="N253" s="165"/>
      <c r="O253" s="163"/>
      <c r="P253" s="82">
        <v>73.489999999999995</v>
      </c>
      <c r="Q253" s="164">
        <v>0</v>
      </c>
      <c r="R253" s="163"/>
      <c r="S253" s="81" t="s">
        <v>346</v>
      </c>
      <c r="T253" s="82">
        <v>62</v>
      </c>
      <c r="U253" s="82">
        <v>0</v>
      </c>
      <c r="V253" s="82">
        <v>0</v>
      </c>
      <c r="W253" s="82">
        <v>0</v>
      </c>
      <c r="X253" s="81"/>
      <c r="Y253" s="81"/>
      <c r="Z253" s="81" t="s">
        <v>138</v>
      </c>
      <c r="AA253" s="81" t="s">
        <v>58</v>
      </c>
      <c r="AB253" s="81" t="s">
        <v>58</v>
      </c>
      <c r="AC253" s="83">
        <v>46098</v>
      </c>
    </row>
    <row r="254" spans="2:29" ht="23" x14ac:dyDescent="0.35">
      <c r="B254" s="81" t="s">
        <v>338</v>
      </c>
      <c r="C254" s="81" t="s">
        <v>339</v>
      </c>
      <c r="D254" s="81" t="s">
        <v>340</v>
      </c>
      <c r="E254" s="81" t="s">
        <v>603</v>
      </c>
      <c r="F254" s="162" t="s">
        <v>604</v>
      </c>
      <c r="G254" s="163"/>
      <c r="H254" s="81" t="s">
        <v>605</v>
      </c>
      <c r="I254" s="81" t="s">
        <v>344</v>
      </c>
      <c r="J254" s="81" t="s">
        <v>11</v>
      </c>
      <c r="K254" s="81" t="s">
        <v>632</v>
      </c>
      <c r="L254" s="81" t="s">
        <v>129</v>
      </c>
      <c r="M254" s="164">
        <v>22.6</v>
      </c>
      <c r="N254" s="165"/>
      <c r="O254" s="163"/>
      <c r="P254" s="82">
        <v>83.04</v>
      </c>
      <c r="Q254" s="164">
        <v>0</v>
      </c>
      <c r="R254" s="163"/>
      <c r="S254" s="81" t="s">
        <v>346</v>
      </c>
      <c r="T254" s="82">
        <v>62</v>
      </c>
      <c r="U254" s="82">
        <v>0</v>
      </c>
      <c r="V254" s="82">
        <v>0</v>
      </c>
      <c r="W254" s="82">
        <v>0</v>
      </c>
      <c r="X254" s="81" t="s">
        <v>132</v>
      </c>
      <c r="Y254" s="82">
        <v>4</v>
      </c>
      <c r="Z254" s="81" t="s">
        <v>138</v>
      </c>
      <c r="AA254" s="81" t="s">
        <v>58</v>
      </c>
      <c r="AB254" s="81" t="s">
        <v>58</v>
      </c>
      <c r="AC254" s="83">
        <v>46098</v>
      </c>
    </row>
    <row r="255" spans="2:29" ht="23" x14ac:dyDescent="0.35">
      <c r="B255" s="81" t="s">
        <v>338</v>
      </c>
      <c r="C255" s="81" t="s">
        <v>339</v>
      </c>
      <c r="D255" s="81" t="s">
        <v>340</v>
      </c>
      <c r="E255" s="81" t="s">
        <v>603</v>
      </c>
      <c r="F255" s="162" t="s">
        <v>604</v>
      </c>
      <c r="G255" s="163"/>
      <c r="H255" s="81" t="s">
        <v>605</v>
      </c>
      <c r="I255" s="81" t="s">
        <v>344</v>
      </c>
      <c r="J255" s="81" t="s">
        <v>11</v>
      </c>
      <c r="K255" s="81" t="s">
        <v>633</v>
      </c>
      <c r="L255" s="81" t="s">
        <v>129</v>
      </c>
      <c r="M255" s="164">
        <v>22.8</v>
      </c>
      <c r="N255" s="165"/>
      <c r="O255" s="163"/>
      <c r="P255" s="82">
        <v>83.78</v>
      </c>
      <c r="Q255" s="164">
        <v>0</v>
      </c>
      <c r="R255" s="163"/>
      <c r="S255" s="81" t="s">
        <v>346</v>
      </c>
      <c r="T255" s="82">
        <v>62</v>
      </c>
      <c r="U255" s="82">
        <v>0</v>
      </c>
      <c r="V255" s="82">
        <v>0</v>
      </c>
      <c r="W255" s="82">
        <v>0</v>
      </c>
      <c r="X255" s="81" t="s">
        <v>141</v>
      </c>
      <c r="Y255" s="82">
        <v>4</v>
      </c>
      <c r="Z255" s="81" t="s">
        <v>138</v>
      </c>
      <c r="AA255" s="81" t="s">
        <v>58</v>
      </c>
      <c r="AB255" s="81" t="s">
        <v>58</v>
      </c>
      <c r="AC255" s="83">
        <v>46098</v>
      </c>
    </row>
    <row r="256" spans="2:29" ht="23" x14ac:dyDescent="0.35">
      <c r="B256" s="81" t="s">
        <v>338</v>
      </c>
      <c r="C256" s="81" t="s">
        <v>339</v>
      </c>
      <c r="D256" s="81" t="s">
        <v>340</v>
      </c>
      <c r="E256" s="81" t="s">
        <v>603</v>
      </c>
      <c r="F256" s="162" t="s">
        <v>604</v>
      </c>
      <c r="G256" s="163"/>
      <c r="H256" s="81" t="s">
        <v>605</v>
      </c>
      <c r="I256" s="81" t="s">
        <v>344</v>
      </c>
      <c r="J256" s="81" t="s">
        <v>11</v>
      </c>
      <c r="K256" s="81" t="s">
        <v>634</v>
      </c>
      <c r="L256" s="81" t="s">
        <v>129</v>
      </c>
      <c r="M256" s="164">
        <v>22.7</v>
      </c>
      <c r="N256" s="165"/>
      <c r="O256" s="163"/>
      <c r="P256" s="82">
        <v>83.41</v>
      </c>
      <c r="Q256" s="164">
        <v>0</v>
      </c>
      <c r="R256" s="163"/>
      <c r="S256" s="81" t="s">
        <v>346</v>
      </c>
      <c r="T256" s="82">
        <v>62</v>
      </c>
      <c r="U256" s="82">
        <v>0</v>
      </c>
      <c r="V256" s="82">
        <v>0</v>
      </c>
      <c r="W256" s="82">
        <v>0</v>
      </c>
      <c r="X256" s="81"/>
      <c r="Y256" s="81"/>
      <c r="Z256" s="81" t="s">
        <v>138</v>
      </c>
      <c r="AA256" s="81" t="s">
        <v>58</v>
      </c>
      <c r="AB256" s="81" t="s">
        <v>58</v>
      </c>
      <c r="AC256" s="83">
        <v>46098</v>
      </c>
    </row>
    <row r="257" spans="2:29" ht="23" x14ac:dyDescent="0.35">
      <c r="B257" s="81" t="s">
        <v>338</v>
      </c>
      <c r="C257" s="81" t="s">
        <v>339</v>
      </c>
      <c r="D257" s="81" t="s">
        <v>340</v>
      </c>
      <c r="E257" s="81" t="s">
        <v>603</v>
      </c>
      <c r="F257" s="162" t="s">
        <v>604</v>
      </c>
      <c r="G257" s="163"/>
      <c r="H257" s="81" t="s">
        <v>605</v>
      </c>
      <c r="I257" s="81" t="s">
        <v>344</v>
      </c>
      <c r="J257" s="81" t="s">
        <v>11</v>
      </c>
      <c r="K257" s="81" t="s">
        <v>635</v>
      </c>
      <c r="L257" s="81" t="s">
        <v>129</v>
      </c>
      <c r="M257" s="164">
        <v>22.8</v>
      </c>
      <c r="N257" s="165"/>
      <c r="O257" s="163"/>
      <c r="P257" s="82">
        <v>83.78</v>
      </c>
      <c r="Q257" s="164">
        <v>0</v>
      </c>
      <c r="R257" s="163"/>
      <c r="S257" s="81" t="s">
        <v>346</v>
      </c>
      <c r="T257" s="82">
        <v>62</v>
      </c>
      <c r="U257" s="82">
        <v>0</v>
      </c>
      <c r="V257" s="82">
        <v>0</v>
      </c>
      <c r="W257" s="82">
        <v>0</v>
      </c>
      <c r="X257" s="81" t="s">
        <v>133</v>
      </c>
      <c r="Y257" s="82">
        <v>2</v>
      </c>
      <c r="Z257" s="81" t="s">
        <v>138</v>
      </c>
      <c r="AA257" s="81" t="s">
        <v>58</v>
      </c>
      <c r="AB257" s="81" t="s">
        <v>58</v>
      </c>
      <c r="AC257" s="83">
        <v>46098</v>
      </c>
    </row>
    <row r="258" spans="2:29" ht="23" x14ac:dyDescent="0.35">
      <c r="B258" s="81" t="s">
        <v>338</v>
      </c>
      <c r="C258" s="81" t="s">
        <v>339</v>
      </c>
      <c r="D258" s="81" t="s">
        <v>340</v>
      </c>
      <c r="E258" s="81" t="s">
        <v>603</v>
      </c>
      <c r="F258" s="162" t="s">
        <v>604</v>
      </c>
      <c r="G258" s="163"/>
      <c r="H258" s="81" t="s">
        <v>605</v>
      </c>
      <c r="I258" s="81" t="s">
        <v>344</v>
      </c>
      <c r="J258" s="81" t="s">
        <v>11</v>
      </c>
      <c r="K258" s="81" t="s">
        <v>636</v>
      </c>
      <c r="L258" s="81" t="s">
        <v>150</v>
      </c>
      <c r="M258" s="164">
        <v>22.7</v>
      </c>
      <c r="N258" s="165"/>
      <c r="O258" s="163"/>
      <c r="P258" s="82">
        <v>83.41</v>
      </c>
      <c r="Q258" s="164">
        <v>0</v>
      </c>
      <c r="R258" s="163"/>
      <c r="S258" s="81" t="s">
        <v>346</v>
      </c>
      <c r="T258" s="82">
        <v>62</v>
      </c>
      <c r="U258" s="82">
        <v>0</v>
      </c>
      <c r="V258" s="82">
        <v>0</v>
      </c>
      <c r="W258" s="82">
        <v>0</v>
      </c>
      <c r="X258" s="81" t="s">
        <v>143</v>
      </c>
      <c r="Y258" s="82">
        <v>1</v>
      </c>
      <c r="Z258" s="81" t="s">
        <v>131</v>
      </c>
      <c r="AA258" s="81" t="s">
        <v>58</v>
      </c>
      <c r="AB258" s="81" t="s">
        <v>58</v>
      </c>
      <c r="AC258" s="83">
        <v>46098</v>
      </c>
    </row>
    <row r="259" spans="2:29" ht="23" x14ac:dyDescent="0.35">
      <c r="B259" s="81" t="s">
        <v>338</v>
      </c>
      <c r="C259" s="81" t="s">
        <v>339</v>
      </c>
      <c r="D259" s="81" t="s">
        <v>340</v>
      </c>
      <c r="E259" s="81" t="s">
        <v>603</v>
      </c>
      <c r="F259" s="162" t="s">
        <v>604</v>
      </c>
      <c r="G259" s="163"/>
      <c r="H259" s="81" t="s">
        <v>605</v>
      </c>
      <c r="I259" s="81" t="s">
        <v>344</v>
      </c>
      <c r="J259" s="81" t="s">
        <v>11</v>
      </c>
      <c r="K259" s="81" t="s">
        <v>637</v>
      </c>
      <c r="L259" s="81" t="s">
        <v>150</v>
      </c>
      <c r="M259" s="164">
        <v>22.7</v>
      </c>
      <c r="N259" s="165"/>
      <c r="O259" s="163"/>
      <c r="P259" s="82">
        <v>83.41</v>
      </c>
      <c r="Q259" s="164">
        <v>0</v>
      </c>
      <c r="R259" s="163"/>
      <c r="S259" s="81" t="s">
        <v>346</v>
      </c>
      <c r="T259" s="82">
        <v>62</v>
      </c>
      <c r="U259" s="82">
        <v>0</v>
      </c>
      <c r="V259" s="82">
        <v>0</v>
      </c>
      <c r="W259" s="82">
        <v>0</v>
      </c>
      <c r="X259" s="81" t="s">
        <v>132</v>
      </c>
      <c r="Y259" s="82">
        <v>4</v>
      </c>
      <c r="Z259" s="81" t="s">
        <v>131</v>
      </c>
      <c r="AA259" s="81" t="s">
        <v>58</v>
      </c>
      <c r="AB259" s="81" t="s">
        <v>58</v>
      </c>
      <c r="AC259" s="83">
        <v>46098</v>
      </c>
    </row>
    <row r="260" spans="2:29" ht="23" x14ac:dyDescent="0.35">
      <c r="B260" s="81" t="s">
        <v>338</v>
      </c>
      <c r="C260" s="81" t="s">
        <v>339</v>
      </c>
      <c r="D260" s="81" t="s">
        <v>340</v>
      </c>
      <c r="E260" s="81" t="s">
        <v>603</v>
      </c>
      <c r="F260" s="162" t="s">
        <v>604</v>
      </c>
      <c r="G260" s="163"/>
      <c r="H260" s="81" t="s">
        <v>605</v>
      </c>
      <c r="I260" s="81" t="s">
        <v>344</v>
      </c>
      <c r="J260" s="81" t="s">
        <v>11</v>
      </c>
      <c r="K260" s="81" t="s">
        <v>638</v>
      </c>
      <c r="L260" s="81" t="s">
        <v>150</v>
      </c>
      <c r="M260" s="164">
        <v>22.9</v>
      </c>
      <c r="N260" s="165"/>
      <c r="O260" s="163"/>
      <c r="P260" s="82">
        <v>84.14</v>
      </c>
      <c r="Q260" s="164">
        <v>0</v>
      </c>
      <c r="R260" s="163"/>
      <c r="S260" s="81" t="s">
        <v>346</v>
      </c>
      <c r="T260" s="82">
        <v>62</v>
      </c>
      <c r="U260" s="82">
        <v>0</v>
      </c>
      <c r="V260" s="82">
        <v>0</v>
      </c>
      <c r="W260" s="82">
        <v>0</v>
      </c>
      <c r="X260" s="81" t="s">
        <v>132</v>
      </c>
      <c r="Y260" s="82">
        <v>4</v>
      </c>
      <c r="Z260" s="81" t="s">
        <v>131</v>
      </c>
      <c r="AA260" s="81" t="s">
        <v>58</v>
      </c>
      <c r="AB260" s="81" t="s">
        <v>58</v>
      </c>
      <c r="AC260" s="83">
        <v>46098</v>
      </c>
    </row>
    <row r="261" spans="2:29" ht="23" x14ac:dyDescent="0.35">
      <c r="B261" s="81" t="s">
        <v>338</v>
      </c>
      <c r="C261" s="81" t="s">
        <v>339</v>
      </c>
      <c r="D261" s="81" t="s">
        <v>340</v>
      </c>
      <c r="E261" s="81" t="s">
        <v>603</v>
      </c>
      <c r="F261" s="162" t="s">
        <v>604</v>
      </c>
      <c r="G261" s="163"/>
      <c r="H261" s="81" t="s">
        <v>605</v>
      </c>
      <c r="I261" s="81" t="s">
        <v>344</v>
      </c>
      <c r="J261" s="81" t="s">
        <v>11</v>
      </c>
      <c r="K261" s="81" t="s">
        <v>639</v>
      </c>
      <c r="L261" s="81" t="s">
        <v>129</v>
      </c>
      <c r="M261" s="164">
        <v>16.8</v>
      </c>
      <c r="N261" s="165"/>
      <c r="O261" s="163"/>
      <c r="P261" s="82">
        <v>61.73</v>
      </c>
      <c r="Q261" s="164">
        <v>0</v>
      </c>
      <c r="R261" s="163"/>
      <c r="S261" s="81" t="s">
        <v>346</v>
      </c>
      <c r="T261" s="82">
        <v>62</v>
      </c>
      <c r="U261" s="82">
        <v>0</v>
      </c>
      <c r="V261" s="82">
        <v>0</v>
      </c>
      <c r="W261" s="82">
        <v>0</v>
      </c>
      <c r="X261" s="81" t="s">
        <v>142</v>
      </c>
      <c r="Y261" s="82">
        <v>4</v>
      </c>
      <c r="Z261" s="81" t="s">
        <v>131</v>
      </c>
      <c r="AA261" s="81" t="s">
        <v>58</v>
      </c>
      <c r="AB261" s="81" t="s">
        <v>58</v>
      </c>
      <c r="AC261" s="83">
        <v>46098</v>
      </c>
    </row>
    <row r="262" spans="2:29" ht="23" x14ac:dyDescent="0.35">
      <c r="B262" s="81" t="s">
        <v>338</v>
      </c>
      <c r="C262" s="81" t="s">
        <v>339</v>
      </c>
      <c r="D262" s="81" t="s">
        <v>340</v>
      </c>
      <c r="E262" s="81" t="s">
        <v>603</v>
      </c>
      <c r="F262" s="162" t="s">
        <v>604</v>
      </c>
      <c r="G262" s="163"/>
      <c r="H262" s="81" t="s">
        <v>605</v>
      </c>
      <c r="I262" s="81" t="s">
        <v>344</v>
      </c>
      <c r="J262" s="81" t="s">
        <v>11</v>
      </c>
      <c r="K262" s="81" t="s">
        <v>640</v>
      </c>
      <c r="L262" s="81" t="s">
        <v>150</v>
      </c>
      <c r="M262" s="164">
        <v>22.9</v>
      </c>
      <c r="N262" s="165"/>
      <c r="O262" s="163"/>
      <c r="P262" s="82">
        <v>84.14</v>
      </c>
      <c r="Q262" s="164">
        <v>0</v>
      </c>
      <c r="R262" s="163"/>
      <c r="S262" s="81" t="s">
        <v>346</v>
      </c>
      <c r="T262" s="82">
        <v>62</v>
      </c>
      <c r="U262" s="82">
        <v>0</v>
      </c>
      <c r="V262" s="82">
        <v>0</v>
      </c>
      <c r="W262" s="82">
        <v>0</v>
      </c>
      <c r="X262" s="81" t="s">
        <v>141</v>
      </c>
      <c r="Y262" s="82">
        <v>16</v>
      </c>
      <c r="Z262" s="81" t="s">
        <v>131</v>
      </c>
      <c r="AA262" s="81" t="s">
        <v>58</v>
      </c>
      <c r="AB262" s="81" t="s">
        <v>58</v>
      </c>
      <c r="AC262" s="83">
        <v>46098</v>
      </c>
    </row>
    <row r="263" spans="2:29" ht="23" x14ac:dyDescent="0.35">
      <c r="B263" s="81" t="s">
        <v>338</v>
      </c>
      <c r="C263" s="81" t="s">
        <v>339</v>
      </c>
      <c r="D263" s="81" t="s">
        <v>340</v>
      </c>
      <c r="E263" s="81" t="s">
        <v>603</v>
      </c>
      <c r="F263" s="162" t="s">
        <v>604</v>
      </c>
      <c r="G263" s="163"/>
      <c r="H263" s="81" t="s">
        <v>605</v>
      </c>
      <c r="I263" s="81" t="s">
        <v>344</v>
      </c>
      <c r="J263" s="81" t="s">
        <v>11</v>
      </c>
      <c r="K263" s="81" t="s">
        <v>641</v>
      </c>
      <c r="L263" s="81" t="s">
        <v>150</v>
      </c>
      <c r="M263" s="164">
        <v>22.7</v>
      </c>
      <c r="N263" s="165"/>
      <c r="O263" s="163"/>
      <c r="P263" s="82">
        <v>83.41</v>
      </c>
      <c r="Q263" s="164">
        <v>0</v>
      </c>
      <c r="R263" s="163"/>
      <c r="S263" s="81" t="s">
        <v>346</v>
      </c>
      <c r="T263" s="82">
        <v>62</v>
      </c>
      <c r="U263" s="82">
        <v>0</v>
      </c>
      <c r="V263" s="82">
        <v>0</v>
      </c>
      <c r="W263" s="82">
        <v>0</v>
      </c>
      <c r="X263" s="81" t="s">
        <v>141</v>
      </c>
      <c r="Y263" s="82">
        <v>16</v>
      </c>
      <c r="Z263" s="81" t="s">
        <v>131</v>
      </c>
      <c r="AA263" s="81" t="s">
        <v>58</v>
      </c>
      <c r="AB263" s="81" t="s">
        <v>58</v>
      </c>
      <c r="AC263" s="83">
        <v>46098</v>
      </c>
    </row>
    <row r="264" spans="2:29" ht="23" x14ac:dyDescent="0.35">
      <c r="B264" s="81" t="s">
        <v>338</v>
      </c>
      <c r="C264" s="81" t="s">
        <v>339</v>
      </c>
      <c r="D264" s="81" t="s">
        <v>340</v>
      </c>
      <c r="E264" s="81" t="s">
        <v>603</v>
      </c>
      <c r="F264" s="162" t="s">
        <v>604</v>
      </c>
      <c r="G264" s="163"/>
      <c r="H264" s="81" t="s">
        <v>605</v>
      </c>
      <c r="I264" s="81" t="s">
        <v>344</v>
      </c>
      <c r="J264" s="81" t="s">
        <v>11</v>
      </c>
      <c r="K264" s="81" t="s">
        <v>642</v>
      </c>
      <c r="L264" s="81" t="s">
        <v>150</v>
      </c>
      <c r="M264" s="164">
        <v>22.9</v>
      </c>
      <c r="N264" s="165"/>
      <c r="O264" s="163"/>
      <c r="P264" s="82">
        <v>84.14</v>
      </c>
      <c r="Q264" s="164">
        <v>0</v>
      </c>
      <c r="R264" s="163"/>
      <c r="S264" s="81" t="s">
        <v>346</v>
      </c>
      <c r="T264" s="82">
        <v>62</v>
      </c>
      <c r="U264" s="82">
        <v>0</v>
      </c>
      <c r="V264" s="82">
        <v>0</v>
      </c>
      <c r="W264" s="82">
        <v>0</v>
      </c>
      <c r="X264" s="81" t="s">
        <v>133</v>
      </c>
      <c r="Y264" s="82">
        <v>4</v>
      </c>
      <c r="Z264" s="81" t="s">
        <v>131</v>
      </c>
      <c r="AA264" s="81" t="s">
        <v>58</v>
      </c>
      <c r="AB264" s="81" t="s">
        <v>58</v>
      </c>
      <c r="AC264" s="83">
        <v>46098</v>
      </c>
    </row>
    <row r="265" spans="2:29" ht="23" x14ac:dyDescent="0.35">
      <c r="B265" s="81" t="s">
        <v>338</v>
      </c>
      <c r="C265" s="81" t="s">
        <v>339</v>
      </c>
      <c r="D265" s="81" t="s">
        <v>340</v>
      </c>
      <c r="E265" s="81" t="s">
        <v>603</v>
      </c>
      <c r="F265" s="162" t="s">
        <v>604</v>
      </c>
      <c r="G265" s="163"/>
      <c r="H265" s="81" t="s">
        <v>605</v>
      </c>
      <c r="I265" s="81" t="s">
        <v>344</v>
      </c>
      <c r="J265" s="81" t="s">
        <v>11</v>
      </c>
      <c r="K265" s="81" t="s">
        <v>643</v>
      </c>
      <c r="L265" s="81" t="s">
        <v>150</v>
      </c>
      <c r="M265" s="164">
        <v>22.5</v>
      </c>
      <c r="N265" s="165"/>
      <c r="O265" s="163"/>
      <c r="P265" s="82">
        <v>82.67</v>
      </c>
      <c r="Q265" s="164">
        <v>0</v>
      </c>
      <c r="R265" s="163"/>
      <c r="S265" s="81" t="s">
        <v>346</v>
      </c>
      <c r="T265" s="82">
        <v>62</v>
      </c>
      <c r="U265" s="82">
        <v>0</v>
      </c>
      <c r="V265" s="82">
        <v>0</v>
      </c>
      <c r="W265" s="82">
        <v>0</v>
      </c>
      <c r="X265" s="81" t="s">
        <v>133</v>
      </c>
      <c r="Y265" s="82">
        <v>4</v>
      </c>
      <c r="Z265" s="81" t="s">
        <v>131</v>
      </c>
      <c r="AA265" s="81" t="s">
        <v>58</v>
      </c>
      <c r="AB265" s="81" t="s">
        <v>58</v>
      </c>
      <c r="AC265" s="83">
        <v>46098</v>
      </c>
    </row>
    <row r="266" spans="2:29" ht="23" x14ac:dyDescent="0.35">
      <c r="B266" s="81" t="s">
        <v>338</v>
      </c>
      <c r="C266" s="81" t="s">
        <v>339</v>
      </c>
      <c r="D266" s="81" t="s">
        <v>340</v>
      </c>
      <c r="E266" s="81" t="s">
        <v>603</v>
      </c>
      <c r="F266" s="162" t="s">
        <v>604</v>
      </c>
      <c r="G266" s="163"/>
      <c r="H266" s="81" t="s">
        <v>605</v>
      </c>
      <c r="I266" s="81" t="s">
        <v>344</v>
      </c>
      <c r="J266" s="81" t="s">
        <v>11</v>
      </c>
      <c r="K266" s="81" t="s">
        <v>644</v>
      </c>
      <c r="L266" s="81" t="s">
        <v>129</v>
      </c>
      <c r="M266" s="164">
        <v>21.7</v>
      </c>
      <c r="N266" s="165"/>
      <c r="O266" s="163"/>
      <c r="P266" s="82">
        <v>79.73</v>
      </c>
      <c r="Q266" s="164">
        <v>0</v>
      </c>
      <c r="R266" s="163"/>
      <c r="S266" s="81" t="s">
        <v>346</v>
      </c>
      <c r="T266" s="82">
        <v>62</v>
      </c>
      <c r="U266" s="82">
        <v>0</v>
      </c>
      <c r="V266" s="82">
        <v>0</v>
      </c>
      <c r="W266" s="82">
        <v>0</v>
      </c>
      <c r="X266" s="81"/>
      <c r="Y266" s="81"/>
      <c r="Z266" s="81" t="s">
        <v>131</v>
      </c>
      <c r="AA266" s="81" t="s">
        <v>58</v>
      </c>
      <c r="AB266" s="81" t="s">
        <v>58</v>
      </c>
      <c r="AC266" s="83">
        <v>46098</v>
      </c>
    </row>
    <row r="267" spans="2:29" ht="23" x14ac:dyDescent="0.35">
      <c r="B267" s="81" t="s">
        <v>338</v>
      </c>
      <c r="C267" s="81" t="s">
        <v>339</v>
      </c>
      <c r="D267" s="81" t="s">
        <v>340</v>
      </c>
      <c r="E267" s="81" t="s">
        <v>603</v>
      </c>
      <c r="F267" s="162" t="s">
        <v>604</v>
      </c>
      <c r="G267" s="163"/>
      <c r="H267" s="81" t="s">
        <v>605</v>
      </c>
      <c r="I267" s="81" t="s">
        <v>344</v>
      </c>
      <c r="J267" s="81" t="s">
        <v>11</v>
      </c>
      <c r="K267" s="81" t="s">
        <v>645</v>
      </c>
      <c r="L267" s="81" t="s">
        <v>150</v>
      </c>
      <c r="M267" s="164">
        <v>21.7</v>
      </c>
      <c r="N267" s="165"/>
      <c r="O267" s="163"/>
      <c r="P267" s="82">
        <v>79.73</v>
      </c>
      <c r="Q267" s="164">
        <v>0</v>
      </c>
      <c r="R267" s="163"/>
      <c r="S267" s="81" t="s">
        <v>346</v>
      </c>
      <c r="T267" s="82">
        <v>62</v>
      </c>
      <c r="U267" s="82">
        <v>0</v>
      </c>
      <c r="V267" s="82">
        <v>0</v>
      </c>
      <c r="W267" s="82">
        <v>0</v>
      </c>
      <c r="X267" s="81" t="s">
        <v>132</v>
      </c>
      <c r="Y267" s="82">
        <v>20</v>
      </c>
      <c r="Z267" s="81" t="s">
        <v>131</v>
      </c>
      <c r="AA267" s="81" t="s">
        <v>58</v>
      </c>
      <c r="AB267" s="81" t="s">
        <v>58</v>
      </c>
      <c r="AC267" s="83">
        <v>46098</v>
      </c>
    </row>
    <row r="268" spans="2:29" ht="23" x14ac:dyDescent="0.35">
      <c r="B268" s="81" t="s">
        <v>338</v>
      </c>
      <c r="C268" s="81" t="s">
        <v>339</v>
      </c>
      <c r="D268" s="81" t="s">
        <v>340</v>
      </c>
      <c r="E268" s="81" t="s">
        <v>603</v>
      </c>
      <c r="F268" s="162" t="s">
        <v>604</v>
      </c>
      <c r="G268" s="163"/>
      <c r="H268" s="81" t="s">
        <v>605</v>
      </c>
      <c r="I268" s="81" t="s">
        <v>344</v>
      </c>
      <c r="J268" s="81" t="s">
        <v>11</v>
      </c>
      <c r="K268" s="81" t="s">
        <v>646</v>
      </c>
      <c r="L268" s="81" t="s">
        <v>150</v>
      </c>
      <c r="M268" s="164">
        <v>22.6</v>
      </c>
      <c r="N268" s="165"/>
      <c r="O268" s="163"/>
      <c r="P268" s="82">
        <v>83.04</v>
      </c>
      <c r="Q268" s="164">
        <v>0</v>
      </c>
      <c r="R268" s="163"/>
      <c r="S268" s="81" t="s">
        <v>346</v>
      </c>
      <c r="T268" s="82">
        <v>62</v>
      </c>
      <c r="U268" s="82">
        <v>0</v>
      </c>
      <c r="V268" s="82">
        <v>0</v>
      </c>
      <c r="W268" s="82">
        <v>0</v>
      </c>
      <c r="X268" s="81" t="s">
        <v>132</v>
      </c>
      <c r="Y268" s="82">
        <v>12</v>
      </c>
      <c r="Z268" s="81" t="s">
        <v>131</v>
      </c>
      <c r="AA268" s="81" t="s">
        <v>58</v>
      </c>
      <c r="AB268" s="81" t="s">
        <v>58</v>
      </c>
      <c r="AC268" s="83">
        <v>46098</v>
      </c>
    </row>
    <row r="269" spans="2:29" ht="23" x14ac:dyDescent="0.35">
      <c r="B269" s="81" t="s">
        <v>338</v>
      </c>
      <c r="C269" s="81" t="s">
        <v>339</v>
      </c>
      <c r="D269" s="81" t="s">
        <v>340</v>
      </c>
      <c r="E269" s="81" t="s">
        <v>603</v>
      </c>
      <c r="F269" s="162" t="s">
        <v>604</v>
      </c>
      <c r="G269" s="163"/>
      <c r="H269" s="81" t="s">
        <v>605</v>
      </c>
      <c r="I269" s="81" t="s">
        <v>344</v>
      </c>
      <c r="J269" s="81" t="s">
        <v>11</v>
      </c>
      <c r="K269" s="81" t="s">
        <v>647</v>
      </c>
      <c r="L269" s="81" t="s">
        <v>11</v>
      </c>
      <c r="M269" s="164">
        <v>22.8</v>
      </c>
      <c r="N269" s="165"/>
      <c r="O269" s="163"/>
      <c r="P269" s="82">
        <v>83.78</v>
      </c>
      <c r="Q269" s="164">
        <v>0</v>
      </c>
      <c r="R269" s="163"/>
      <c r="S269" s="81" t="s">
        <v>346</v>
      </c>
      <c r="T269" s="82">
        <v>62</v>
      </c>
      <c r="U269" s="82">
        <v>0</v>
      </c>
      <c r="V269" s="82">
        <v>0</v>
      </c>
      <c r="W269" s="82">
        <v>0</v>
      </c>
      <c r="X269" s="81" t="s">
        <v>141</v>
      </c>
      <c r="Y269" s="82">
        <v>30</v>
      </c>
      <c r="Z269" s="81" t="s">
        <v>131</v>
      </c>
      <c r="AA269" s="81" t="s">
        <v>58</v>
      </c>
      <c r="AB269" s="81" t="s">
        <v>58</v>
      </c>
      <c r="AC269" s="83">
        <v>46098</v>
      </c>
    </row>
    <row r="270" spans="2:29" ht="23" x14ac:dyDescent="0.35">
      <c r="B270" s="81" t="s">
        <v>338</v>
      </c>
      <c r="C270" s="81" t="s">
        <v>339</v>
      </c>
      <c r="D270" s="81" t="s">
        <v>340</v>
      </c>
      <c r="E270" s="81" t="s">
        <v>603</v>
      </c>
      <c r="F270" s="162" t="s">
        <v>604</v>
      </c>
      <c r="G270" s="163"/>
      <c r="H270" s="81" t="s">
        <v>605</v>
      </c>
      <c r="I270" s="81" t="s">
        <v>344</v>
      </c>
      <c r="J270" s="81" t="s">
        <v>11</v>
      </c>
      <c r="K270" s="81" t="s">
        <v>648</v>
      </c>
      <c r="L270" s="81" t="s">
        <v>129</v>
      </c>
      <c r="M270" s="164">
        <v>28.7</v>
      </c>
      <c r="N270" s="165"/>
      <c r="O270" s="163"/>
      <c r="P270" s="82">
        <v>105.45</v>
      </c>
      <c r="Q270" s="164">
        <v>0</v>
      </c>
      <c r="R270" s="163"/>
      <c r="S270" s="81" t="s">
        <v>346</v>
      </c>
      <c r="T270" s="82">
        <v>62</v>
      </c>
      <c r="U270" s="82">
        <v>0</v>
      </c>
      <c r="V270" s="82">
        <v>0</v>
      </c>
      <c r="W270" s="82">
        <v>0</v>
      </c>
      <c r="X270" s="81" t="s">
        <v>141</v>
      </c>
      <c r="Y270" s="82">
        <v>48</v>
      </c>
      <c r="Z270" s="81" t="s">
        <v>131</v>
      </c>
      <c r="AA270" s="81" t="s">
        <v>58</v>
      </c>
      <c r="AB270" s="81" t="s">
        <v>58</v>
      </c>
      <c r="AC270" s="83">
        <v>46098</v>
      </c>
    </row>
    <row r="271" spans="2:29" ht="23" x14ac:dyDescent="0.35">
      <c r="B271" s="81" t="s">
        <v>338</v>
      </c>
      <c r="C271" s="81" t="s">
        <v>339</v>
      </c>
      <c r="D271" s="81" t="s">
        <v>340</v>
      </c>
      <c r="E271" s="81" t="s">
        <v>603</v>
      </c>
      <c r="F271" s="162" t="s">
        <v>604</v>
      </c>
      <c r="G271" s="163"/>
      <c r="H271" s="81" t="s">
        <v>605</v>
      </c>
      <c r="I271" s="81" t="s">
        <v>344</v>
      </c>
      <c r="J271" s="81" t="s">
        <v>11</v>
      </c>
      <c r="K271" s="81" t="s">
        <v>649</v>
      </c>
      <c r="L271" s="81" t="s">
        <v>150</v>
      </c>
      <c r="M271" s="164">
        <v>22.6</v>
      </c>
      <c r="N271" s="165"/>
      <c r="O271" s="163"/>
      <c r="P271" s="82">
        <v>83.04</v>
      </c>
      <c r="Q271" s="164">
        <v>0</v>
      </c>
      <c r="R271" s="163"/>
      <c r="S271" s="81" t="s">
        <v>346</v>
      </c>
      <c r="T271" s="82">
        <v>62</v>
      </c>
      <c r="U271" s="82">
        <v>0</v>
      </c>
      <c r="V271" s="82">
        <v>0</v>
      </c>
      <c r="W271" s="82">
        <v>0</v>
      </c>
      <c r="X271" s="81" t="s">
        <v>141</v>
      </c>
      <c r="Y271" s="82">
        <v>20</v>
      </c>
      <c r="Z271" s="81" t="s">
        <v>131</v>
      </c>
      <c r="AA271" s="81" t="s">
        <v>58</v>
      </c>
      <c r="AB271" s="81" t="s">
        <v>58</v>
      </c>
      <c r="AC271" s="83">
        <v>46098</v>
      </c>
    </row>
    <row r="272" spans="2:29" ht="23" x14ac:dyDescent="0.35">
      <c r="B272" s="81" t="s">
        <v>338</v>
      </c>
      <c r="C272" s="81" t="s">
        <v>339</v>
      </c>
      <c r="D272" s="81" t="s">
        <v>340</v>
      </c>
      <c r="E272" s="81" t="s">
        <v>603</v>
      </c>
      <c r="F272" s="162" t="s">
        <v>604</v>
      </c>
      <c r="G272" s="163"/>
      <c r="H272" s="81" t="s">
        <v>605</v>
      </c>
      <c r="I272" s="81" t="s">
        <v>344</v>
      </c>
      <c r="J272" s="81" t="s">
        <v>11</v>
      </c>
      <c r="K272" s="81" t="s">
        <v>650</v>
      </c>
      <c r="L272" s="81" t="s">
        <v>150</v>
      </c>
      <c r="M272" s="164">
        <v>22.8</v>
      </c>
      <c r="N272" s="165"/>
      <c r="O272" s="163"/>
      <c r="P272" s="82">
        <v>83.78</v>
      </c>
      <c r="Q272" s="164">
        <v>0</v>
      </c>
      <c r="R272" s="163"/>
      <c r="S272" s="81" t="s">
        <v>346</v>
      </c>
      <c r="T272" s="82">
        <v>62</v>
      </c>
      <c r="U272" s="82">
        <v>0</v>
      </c>
      <c r="V272" s="82">
        <v>0</v>
      </c>
      <c r="W272" s="82">
        <v>0</v>
      </c>
      <c r="X272" s="81" t="s">
        <v>141</v>
      </c>
      <c r="Y272" s="82">
        <v>12</v>
      </c>
      <c r="Z272" s="81" t="s">
        <v>131</v>
      </c>
      <c r="AA272" s="81" t="s">
        <v>58</v>
      </c>
      <c r="AB272" s="81" t="s">
        <v>58</v>
      </c>
      <c r="AC272" s="83">
        <v>46098</v>
      </c>
    </row>
    <row r="273" spans="2:29" ht="23" x14ac:dyDescent="0.35">
      <c r="B273" s="81" t="s">
        <v>338</v>
      </c>
      <c r="C273" s="81" t="s">
        <v>339</v>
      </c>
      <c r="D273" s="81" t="s">
        <v>340</v>
      </c>
      <c r="E273" s="81" t="s">
        <v>603</v>
      </c>
      <c r="F273" s="162" t="s">
        <v>604</v>
      </c>
      <c r="G273" s="163"/>
      <c r="H273" s="81" t="s">
        <v>605</v>
      </c>
      <c r="I273" s="81" t="s">
        <v>344</v>
      </c>
      <c r="J273" s="81" t="s">
        <v>11</v>
      </c>
      <c r="K273" s="81" t="s">
        <v>651</v>
      </c>
      <c r="L273" s="81" t="s">
        <v>150</v>
      </c>
      <c r="M273" s="164">
        <v>22.5</v>
      </c>
      <c r="N273" s="165"/>
      <c r="O273" s="163"/>
      <c r="P273" s="82">
        <v>82.67</v>
      </c>
      <c r="Q273" s="164">
        <v>0</v>
      </c>
      <c r="R273" s="163"/>
      <c r="S273" s="81" t="s">
        <v>346</v>
      </c>
      <c r="T273" s="82">
        <v>62</v>
      </c>
      <c r="U273" s="82">
        <v>0</v>
      </c>
      <c r="V273" s="82">
        <v>0</v>
      </c>
      <c r="W273" s="82">
        <v>0</v>
      </c>
      <c r="X273" s="81" t="s">
        <v>132</v>
      </c>
      <c r="Y273" s="82">
        <v>8</v>
      </c>
      <c r="Z273" s="81" t="s">
        <v>131</v>
      </c>
      <c r="AA273" s="81" t="s">
        <v>58</v>
      </c>
      <c r="AB273" s="81" t="s">
        <v>58</v>
      </c>
      <c r="AC273" s="83">
        <v>46098</v>
      </c>
    </row>
    <row r="274" spans="2:29" ht="23" x14ac:dyDescent="0.35">
      <c r="B274" s="81" t="s">
        <v>338</v>
      </c>
      <c r="C274" s="81" t="s">
        <v>339</v>
      </c>
      <c r="D274" s="81" t="s">
        <v>340</v>
      </c>
      <c r="E274" s="81" t="s">
        <v>603</v>
      </c>
      <c r="F274" s="162" t="s">
        <v>604</v>
      </c>
      <c r="G274" s="163"/>
      <c r="H274" s="81" t="s">
        <v>605</v>
      </c>
      <c r="I274" s="81" t="s">
        <v>344</v>
      </c>
      <c r="J274" s="81" t="s">
        <v>11</v>
      </c>
      <c r="K274" s="81" t="s">
        <v>652</v>
      </c>
      <c r="L274" s="81" t="s">
        <v>150</v>
      </c>
      <c r="M274" s="164">
        <v>22.7</v>
      </c>
      <c r="N274" s="165"/>
      <c r="O274" s="163"/>
      <c r="P274" s="82">
        <v>83.41</v>
      </c>
      <c r="Q274" s="164">
        <v>0</v>
      </c>
      <c r="R274" s="163"/>
      <c r="S274" s="81" t="s">
        <v>346</v>
      </c>
      <c r="T274" s="82">
        <v>62</v>
      </c>
      <c r="U274" s="82">
        <v>0</v>
      </c>
      <c r="V274" s="82">
        <v>0</v>
      </c>
      <c r="W274" s="82">
        <v>0</v>
      </c>
      <c r="X274" s="81" t="s">
        <v>141</v>
      </c>
      <c r="Y274" s="82">
        <v>8</v>
      </c>
      <c r="Z274" s="81" t="s">
        <v>131</v>
      </c>
      <c r="AA274" s="81" t="s">
        <v>58</v>
      </c>
      <c r="AB274" s="81" t="s">
        <v>58</v>
      </c>
      <c r="AC274" s="83">
        <v>46098</v>
      </c>
    </row>
    <row r="275" spans="2:29" ht="23" x14ac:dyDescent="0.35">
      <c r="B275" s="81" t="s">
        <v>338</v>
      </c>
      <c r="C275" s="81" t="s">
        <v>339</v>
      </c>
      <c r="D275" s="81" t="s">
        <v>340</v>
      </c>
      <c r="E275" s="81" t="s">
        <v>603</v>
      </c>
      <c r="F275" s="162" t="s">
        <v>604</v>
      </c>
      <c r="G275" s="163"/>
      <c r="H275" s="81" t="s">
        <v>605</v>
      </c>
      <c r="I275" s="81" t="s">
        <v>344</v>
      </c>
      <c r="J275" s="81" t="s">
        <v>11</v>
      </c>
      <c r="K275" s="81" t="s">
        <v>653</v>
      </c>
      <c r="L275" s="81" t="s">
        <v>129</v>
      </c>
      <c r="M275" s="164">
        <v>22.2</v>
      </c>
      <c r="N275" s="165"/>
      <c r="O275" s="163"/>
      <c r="P275" s="82">
        <v>81.569999999999993</v>
      </c>
      <c r="Q275" s="164">
        <v>0</v>
      </c>
      <c r="R275" s="163"/>
      <c r="S275" s="81" t="s">
        <v>346</v>
      </c>
      <c r="T275" s="82">
        <v>62</v>
      </c>
      <c r="U275" s="82">
        <v>0</v>
      </c>
      <c r="V275" s="82">
        <v>0</v>
      </c>
      <c r="W275" s="82">
        <v>0</v>
      </c>
      <c r="X275" s="81" t="s">
        <v>132</v>
      </c>
      <c r="Y275" s="82">
        <v>24</v>
      </c>
      <c r="Z275" s="81" t="s">
        <v>131</v>
      </c>
      <c r="AA275" s="81" t="s">
        <v>58</v>
      </c>
      <c r="AB275" s="81" t="s">
        <v>58</v>
      </c>
      <c r="AC275" s="83">
        <v>46098</v>
      </c>
    </row>
    <row r="276" spans="2:29" ht="23" x14ac:dyDescent="0.35">
      <c r="B276" s="81" t="s">
        <v>338</v>
      </c>
      <c r="C276" s="81" t="s">
        <v>339</v>
      </c>
      <c r="D276" s="81" t="s">
        <v>340</v>
      </c>
      <c r="E276" s="81" t="s">
        <v>363</v>
      </c>
      <c r="F276" s="162" t="s">
        <v>364</v>
      </c>
      <c r="G276" s="163"/>
      <c r="H276" s="81" t="s">
        <v>445</v>
      </c>
      <c r="I276" s="81" t="s">
        <v>356</v>
      </c>
      <c r="J276" s="81" t="s">
        <v>128</v>
      </c>
      <c r="K276" s="81" t="s">
        <v>654</v>
      </c>
      <c r="L276" s="81" t="s">
        <v>129</v>
      </c>
      <c r="M276" s="164">
        <v>2.5</v>
      </c>
      <c r="N276" s="165"/>
      <c r="O276" s="163"/>
      <c r="P276" s="82">
        <v>11.16</v>
      </c>
      <c r="Q276" s="164">
        <v>0</v>
      </c>
      <c r="R276" s="163"/>
      <c r="S276" s="81" t="s">
        <v>358</v>
      </c>
      <c r="T276" s="82">
        <v>58</v>
      </c>
      <c r="U276" s="82">
        <v>0</v>
      </c>
      <c r="V276" s="82">
        <v>0</v>
      </c>
      <c r="W276" s="82">
        <v>0</v>
      </c>
      <c r="X276" s="81"/>
      <c r="Y276" s="81"/>
      <c r="Z276" s="81" t="s">
        <v>131</v>
      </c>
      <c r="AA276" s="81" t="s">
        <v>58</v>
      </c>
      <c r="AB276" s="81" t="s">
        <v>58</v>
      </c>
      <c r="AC276" s="83">
        <v>46099</v>
      </c>
    </row>
    <row r="277" spans="2:29" ht="23" x14ac:dyDescent="0.35">
      <c r="B277" s="81" t="s">
        <v>338</v>
      </c>
      <c r="C277" s="81" t="s">
        <v>339</v>
      </c>
      <c r="D277" s="81" t="s">
        <v>340</v>
      </c>
      <c r="E277" s="81" t="s">
        <v>603</v>
      </c>
      <c r="F277" s="162" t="s">
        <v>604</v>
      </c>
      <c r="G277" s="163"/>
      <c r="H277" s="81" t="s">
        <v>655</v>
      </c>
      <c r="I277" s="81" t="s">
        <v>356</v>
      </c>
      <c r="J277" s="81" t="s">
        <v>128</v>
      </c>
      <c r="K277" s="81" t="s">
        <v>656</v>
      </c>
      <c r="L277" s="81" t="s">
        <v>129</v>
      </c>
      <c r="M277" s="164">
        <v>28.9</v>
      </c>
      <c r="N277" s="165"/>
      <c r="O277" s="163"/>
      <c r="P277" s="82">
        <v>122.73</v>
      </c>
      <c r="Q277" s="164">
        <v>0</v>
      </c>
      <c r="R277" s="163"/>
      <c r="S277" s="81" t="s">
        <v>358</v>
      </c>
      <c r="T277" s="82">
        <v>56</v>
      </c>
      <c r="U277" s="82">
        <v>0</v>
      </c>
      <c r="V277" s="82">
        <v>0</v>
      </c>
      <c r="W277" s="82">
        <v>0</v>
      </c>
      <c r="X277" s="81" t="s">
        <v>135</v>
      </c>
      <c r="Y277" s="82">
        <v>20</v>
      </c>
      <c r="Z277" s="81" t="s">
        <v>131</v>
      </c>
      <c r="AA277" s="81" t="s">
        <v>58</v>
      </c>
      <c r="AB277" s="81" t="s">
        <v>58</v>
      </c>
      <c r="AC277" s="83">
        <v>46099</v>
      </c>
    </row>
    <row r="278" spans="2:29" ht="23" x14ac:dyDescent="0.35">
      <c r="B278" s="81" t="s">
        <v>338</v>
      </c>
      <c r="C278" s="81" t="s">
        <v>339</v>
      </c>
      <c r="D278" s="81" t="s">
        <v>340</v>
      </c>
      <c r="E278" s="81" t="s">
        <v>564</v>
      </c>
      <c r="F278" s="162" t="s">
        <v>565</v>
      </c>
      <c r="G278" s="163"/>
      <c r="H278" s="81" t="s">
        <v>657</v>
      </c>
      <c r="I278" s="81" t="s">
        <v>356</v>
      </c>
      <c r="J278" s="81" t="s">
        <v>128</v>
      </c>
      <c r="K278" s="81" t="s">
        <v>658</v>
      </c>
      <c r="L278" s="81" t="s">
        <v>129</v>
      </c>
      <c r="M278" s="164">
        <v>27.7</v>
      </c>
      <c r="N278" s="165"/>
      <c r="O278" s="163"/>
      <c r="P278" s="82">
        <v>110.2</v>
      </c>
      <c r="Q278" s="164">
        <v>0</v>
      </c>
      <c r="R278" s="163"/>
      <c r="S278" s="81" t="s">
        <v>358</v>
      </c>
      <c r="T278" s="82">
        <v>56</v>
      </c>
      <c r="U278" s="82">
        <v>0</v>
      </c>
      <c r="V278" s="82">
        <v>0</v>
      </c>
      <c r="W278" s="82">
        <v>0</v>
      </c>
      <c r="X278" s="81" t="s">
        <v>135</v>
      </c>
      <c r="Y278" s="82">
        <v>20</v>
      </c>
      <c r="Z278" s="81" t="s">
        <v>131</v>
      </c>
      <c r="AA278" s="81" t="s">
        <v>58</v>
      </c>
      <c r="AB278" s="81" t="s">
        <v>58</v>
      </c>
      <c r="AC278" s="83">
        <v>46099</v>
      </c>
    </row>
    <row r="279" spans="2:29" ht="34.5" x14ac:dyDescent="0.35">
      <c r="B279" s="81" t="s">
        <v>338</v>
      </c>
      <c r="C279" s="81" t="s">
        <v>339</v>
      </c>
      <c r="D279" s="81" t="s">
        <v>340</v>
      </c>
      <c r="E279" s="81" t="s">
        <v>359</v>
      </c>
      <c r="F279" s="162" t="s">
        <v>360</v>
      </c>
      <c r="G279" s="163"/>
      <c r="H279" s="81" t="s">
        <v>659</v>
      </c>
      <c r="I279" s="81" t="s">
        <v>344</v>
      </c>
      <c r="J279" s="81" t="s">
        <v>11</v>
      </c>
      <c r="K279" s="81" t="s">
        <v>660</v>
      </c>
      <c r="L279" s="81" t="s">
        <v>11</v>
      </c>
      <c r="M279" s="164">
        <v>14.8</v>
      </c>
      <c r="N279" s="165"/>
      <c r="O279" s="163"/>
      <c r="P279" s="82">
        <v>53.59</v>
      </c>
      <c r="Q279" s="164">
        <v>0</v>
      </c>
      <c r="R279" s="163"/>
      <c r="S279" s="81" t="s">
        <v>346</v>
      </c>
      <c r="T279" s="82">
        <v>61</v>
      </c>
      <c r="U279" s="82">
        <v>0</v>
      </c>
      <c r="V279" s="82">
        <v>0</v>
      </c>
      <c r="W279" s="82">
        <v>0</v>
      </c>
      <c r="X279" s="81" t="s">
        <v>132</v>
      </c>
      <c r="Y279" s="82">
        <v>16</v>
      </c>
      <c r="Z279" s="81" t="s">
        <v>138</v>
      </c>
      <c r="AA279" s="81" t="s">
        <v>661</v>
      </c>
      <c r="AB279" s="81" t="s">
        <v>662</v>
      </c>
      <c r="AC279" s="83">
        <v>46100</v>
      </c>
    </row>
    <row r="280" spans="2:29" ht="23" x14ac:dyDescent="0.35">
      <c r="B280" s="81" t="s">
        <v>338</v>
      </c>
      <c r="C280" s="81" t="s">
        <v>339</v>
      </c>
      <c r="D280" s="81" t="s">
        <v>340</v>
      </c>
      <c r="E280" s="81" t="s">
        <v>359</v>
      </c>
      <c r="F280" s="162" t="s">
        <v>360</v>
      </c>
      <c r="G280" s="163"/>
      <c r="H280" s="81" t="s">
        <v>659</v>
      </c>
      <c r="I280" s="81" t="s">
        <v>344</v>
      </c>
      <c r="J280" s="81" t="s">
        <v>11</v>
      </c>
      <c r="K280" s="81" t="s">
        <v>663</v>
      </c>
      <c r="L280" s="81" t="s">
        <v>129</v>
      </c>
      <c r="M280" s="164">
        <v>32.700000000000003</v>
      </c>
      <c r="N280" s="165"/>
      <c r="O280" s="163"/>
      <c r="P280" s="82">
        <v>118.4</v>
      </c>
      <c r="Q280" s="164">
        <v>0</v>
      </c>
      <c r="R280" s="163"/>
      <c r="S280" s="81" t="s">
        <v>346</v>
      </c>
      <c r="T280" s="82">
        <v>61</v>
      </c>
      <c r="U280" s="82">
        <v>0</v>
      </c>
      <c r="V280" s="82">
        <v>0</v>
      </c>
      <c r="W280" s="82">
        <v>0</v>
      </c>
      <c r="X280" s="81" t="s">
        <v>135</v>
      </c>
      <c r="Y280" s="82">
        <v>12</v>
      </c>
      <c r="Z280" s="81" t="s">
        <v>138</v>
      </c>
      <c r="AA280" s="81" t="s">
        <v>664</v>
      </c>
      <c r="AB280" s="81" t="s">
        <v>665</v>
      </c>
      <c r="AC280" s="83">
        <v>46100</v>
      </c>
    </row>
    <row r="281" spans="2:29" ht="23" x14ac:dyDescent="0.35">
      <c r="B281" s="81" t="s">
        <v>338</v>
      </c>
      <c r="C281" s="81" t="s">
        <v>339</v>
      </c>
      <c r="D281" s="81" t="s">
        <v>340</v>
      </c>
      <c r="E281" s="81" t="s">
        <v>359</v>
      </c>
      <c r="F281" s="162" t="s">
        <v>360</v>
      </c>
      <c r="G281" s="163"/>
      <c r="H281" s="81" t="s">
        <v>659</v>
      </c>
      <c r="I281" s="81" t="s">
        <v>344</v>
      </c>
      <c r="J281" s="81" t="s">
        <v>11</v>
      </c>
      <c r="K281" s="81" t="s">
        <v>666</v>
      </c>
      <c r="L281" s="81" t="s">
        <v>129</v>
      </c>
      <c r="M281" s="164">
        <v>14.2</v>
      </c>
      <c r="N281" s="165"/>
      <c r="O281" s="163"/>
      <c r="P281" s="82">
        <v>51.41</v>
      </c>
      <c r="Q281" s="164">
        <v>0</v>
      </c>
      <c r="R281" s="163"/>
      <c r="S281" s="81" t="s">
        <v>346</v>
      </c>
      <c r="T281" s="82">
        <v>61</v>
      </c>
      <c r="U281" s="82">
        <v>0</v>
      </c>
      <c r="V281" s="82">
        <v>0</v>
      </c>
      <c r="W281" s="82">
        <v>0</v>
      </c>
      <c r="X281" s="81" t="s">
        <v>141</v>
      </c>
      <c r="Y281" s="82">
        <v>3</v>
      </c>
      <c r="Z281" s="81" t="s">
        <v>138</v>
      </c>
      <c r="AA281" s="81" t="s">
        <v>664</v>
      </c>
      <c r="AB281" s="81" t="s">
        <v>665</v>
      </c>
      <c r="AC281" s="83">
        <v>46100</v>
      </c>
    </row>
    <row r="282" spans="2:29" ht="23" x14ac:dyDescent="0.35">
      <c r="B282" s="81" t="s">
        <v>338</v>
      </c>
      <c r="C282" s="81" t="s">
        <v>339</v>
      </c>
      <c r="D282" s="81" t="s">
        <v>340</v>
      </c>
      <c r="E282" s="81" t="s">
        <v>359</v>
      </c>
      <c r="F282" s="162" t="s">
        <v>360</v>
      </c>
      <c r="G282" s="163"/>
      <c r="H282" s="81" t="s">
        <v>659</v>
      </c>
      <c r="I282" s="81" t="s">
        <v>344</v>
      </c>
      <c r="J282" s="81" t="s">
        <v>11</v>
      </c>
      <c r="K282" s="81" t="s">
        <v>667</v>
      </c>
      <c r="L282" s="81" t="s">
        <v>129</v>
      </c>
      <c r="M282" s="164">
        <v>11.1</v>
      </c>
      <c r="N282" s="165"/>
      <c r="O282" s="163"/>
      <c r="P282" s="82">
        <v>40.19</v>
      </c>
      <c r="Q282" s="164">
        <v>0</v>
      </c>
      <c r="R282" s="163"/>
      <c r="S282" s="81" t="s">
        <v>346</v>
      </c>
      <c r="T282" s="82">
        <v>61</v>
      </c>
      <c r="U282" s="82">
        <v>0</v>
      </c>
      <c r="V282" s="82">
        <v>0</v>
      </c>
      <c r="W282" s="82">
        <v>0</v>
      </c>
      <c r="X282" s="81" t="s">
        <v>135</v>
      </c>
      <c r="Y282" s="82">
        <v>12</v>
      </c>
      <c r="Z282" s="81" t="s">
        <v>138</v>
      </c>
      <c r="AA282" s="81" t="s">
        <v>664</v>
      </c>
      <c r="AB282" s="81" t="s">
        <v>665</v>
      </c>
      <c r="AC282" s="83">
        <v>46100</v>
      </c>
    </row>
    <row r="283" spans="2:29" ht="23" x14ac:dyDescent="0.35">
      <c r="B283" s="81" t="s">
        <v>338</v>
      </c>
      <c r="C283" s="81" t="s">
        <v>339</v>
      </c>
      <c r="D283" s="81" t="s">
        <v>340</v>
      </c>
      <c r="E283" s="81" t="s">
        <v>359</v>
      </c>
      <c r="F283" s="162" t="s">
        <v>360</v>
      </c>
      <c r="G283" s="163"/>
      <c r="H283" s="81" t="s">
        <v>659</v>
      </c>
      <c r="I283" s="81" t="s">
        <v>344</v>
      </c>
      <c r="J283" s="81" t="s">
        <v>11</v>
      </c>
      <c r="K283" s="81" t="s">
        <v>668</v>
      </c>
      <c r="L283" s="81" t="s">
        <v>129</v>
      </c>
      <c r="M283" s="164">
        <v>23.4</v>
      </c>
      <c r="N283" s="165"/>
      <c r="O283" s="163"/>
      <c r="P283" s="82">
        <v>84.72</v>
      </c>
      <c r="Q283" s="164">
        <v>0</v>
      </c>
      <c r="R283" s="163"/>
      <c r="S283" s="81" t="s">
        <v>346</v>
      </c>
      <c r="T283" s="82">
        <v>61</v>
      </c>
      <c r="U283" s="82">
        <v>0</v>
      </c>
      <c r="V283" s="82">
        <v>0</v>
      </c>
      <c r="W283" s="82">
        <v>0</v>
      </c>
      <c r="X283" s="81" t="s">
        <v>135</v>
      </c>
      <c r="Y283" s="82">
        <v>4</v>
      </c>
      <c r="Z283" s="81" t="s">
        <v>138</v>
      </c>
      <c r="AA283" s="81" t="s">
        <v>664</v>
      </c>
      <c r="AB283" s="81" t="s">
        <v>665</v>
      </c>
      <c r="AC283" s="83">
        <v>46100</v>
      </c>
    </row>
    <row r="284" spans="2:29" ht="23" x14ac:dyDescent="0.35">
      <c r="B284" s="81" t="s">
        <v>338</v>
      </c>
      <c r="C284" s="81" t="s">
        <v>339</v>
      </c>
      <c r="D284" s="81" t="s">
        <v>340</v>
      </c>
      <c r="E284" s="81" t="s">
        <v>359</v>
      </c>
      <c r="F284" s="162" t="s">
        <v>360</v>
      </c>
      <c r="G284" s="163"/>
      <c r="H284" s="81" t="s">
        <v>659</v>
      </c>
      <c r="I284" s="81" t="s">
        <v>344</v>
      </c>
      <c r="J284" s="81" t="s">
        <v>11</v>
      </c>
      <c r="K284" s="81" t="s">
        <v>669</v>
      </c>
      <c r="L284" s="81" t="s">
        <v>129</v>
      </c>
      <c r="M284" s="164">
        <v>22</v>
      </c>
      <c r="N284" s="165"/>
      <c r="O284" s="163"/>
      <c r="P284" s="82">
        <v>79.66</v>
      </c>
      <c r="Q284" s="164">
        <v>0</v>
      </c>
      <c r="R284" s="163"/>
      <c r="S284" s="81" t="s">
        <v>346</v>
      </c>
      <c r="T284" s="82">
        <v>61</v>
      </c>
      <c r="U284" s="82">
        <v>0</v>
      </c>
      <c r="V284" s="82">
        <v>0</v>
      </c>
      <c r="W284" s="82">
        <v>0</v>
      </c>
      <c r="X284" s="81"/>
      <c r="Y284" s="81"/>
      <c r="Z284" s="81" t="s">
        <v>138</v>
      </c>
      <c r="AA284" s="81" t="s">
        <v>664</v>
      </c>
      <c r="AB284" s="81" t="s">
        <v>665</v>
      </c>
      <c r="AC284" s="83">
        <v>46100</v>
      </c>
    </row>
    <row r="285" spans="2:29" ht="23" x14ac:dyDescent="0.35">
      <c r="B285" s="81" t="s">
        <v>338</v>
      </c>
      <c r="C285" s="81" t="s">
        <v>339</v>
      </c>
      <c r="D285" s="81" t="s">
        <v>340</v>
      </c>
      <c r="E285" s="81" t="s">
        <v>359</v>
      </c>
      <c r="F285" s="162" t="s">
        <v>360</v>
      </c>
      <c r="G285" s="163"/>
      <c r="H285" s="81" t="s">
        <v>659</v>
      </c>
      <c r="I285" s="81" t="s">
        <v>344</v>
      </c>
      <c r="J285" s="81" t="s">
        <v>11</v>
      </c>
      <c r="K285" s="81" t="s">
        <v>670</v>
      </c>
      <c r="L285" s="81" t="s">
        <v>129</v>
      </c>
      <c r="M285" s="164">
        <v>23.8</v>
      </c>
      <c r="N285" s="165"/>
      <c r="O285" s="163"/>
      <c r="P285" s="82">
        <v>86.17</v>
      </c>
      <c r="Q285" s="164">
        <v>0</v>
      </c>
      <c r="R285" s="163"/>
      <c r="S285" s="81" t="s">
        <v>346</v>
      </c>
      <c r="T285" s="82">
        <v>61</v>
      </c>
      <c r="U285" s="82">
        <v>0</v>
      </c>
      <c r="V285" s="82">
        <v>0</v>
      </c>
      <c r="W285" s="82">
        <v>0</v>
      </c>
      <c r="X285" s="81" t="s">
        <v>139</v>
      </c>
      <c r="Y285" s="82">
        <v>16</v>
      </c>
      <c r="Z285" s="81" t="s">
        <v>138</v>
      </c>
      <c r="AA285" s="81" t="s">
        <v>664</v>
      </c>
      <c r="AB285" s="81" t="s">
        <v>665</v>
      </c>
      <c r="AC285" s="83">
        <v>46100</v>
      </c>
    </row>
    <row r="286" spans="2:29" ht="23" x14ac:dyDescent="0.35">
      <c r="B286" s="81" t="s">
        <v>338</v>
      </c>
      <c r="C286" s="81" t="s">
        <v>339</v>
      </c>
      <c r="D286" s="81" t="s">
        <v>340</v>
      </c>
      <c r="E286" s="81" t="s">
        <v>359</v>
      </c>
      <c r="F286" s="162" t="s">
        <v>360</v>
      </c>
      <c r="G286" s="163"/>
      <c r="H286" s="81" t="s">
        <v>659</v>
      </c>
      <c r="I286" s="81" t="s">
        <v>344</v>
      </c>
      <c r="J286" s="81" t="s">
        <v>11</v>
      </c>
      <c r="K286" s="81" t="s">
        <v>671</v>
      </c>
      <c r="L286" s="81" t="s">
        <v>129</v>
      </c>
      <c r="M286" s="164">
        <v>23.1</v>
      </c>
      <c r="N286" s="165"/>
      <c r="O286" s="163"/>
      <c r="P286" s="82">
        <v>83.64</v>
      </c>
      <c r="Q286" s="164">
        <v>0</v>
      </c>
      <c r="R286" s="163"/>
      <c r="S286" s="81" t="s">
        <v>346</v>
      </c>
      <c r="T286" s="82">
        <v>61</v>
      </c>
      <c r="U286" s="82">
        <v>0</v>
      </c>
      <c r="V286" s="82">
        <v>0</v>
      </c>
      <c r="W286" s="82">
        <v>0</v>
      </c>
      <c r="X286" s="81" t="s">
        <v>133</v>
      </c>
      <c r="Y286" s="82">
        <v>8</v>
      </c>
      <c r="Z286" s="81" t="s">
        <v>138</v>
      </c>
      <c r="AA286" s="81" t="s">
        <v>664</v>
      </c>
      <c r="AB286" s="81" t="s">
        <v>665</v>
      </c>
      <c r="AC286" s="83">
        <v>46100</v>
      </c>
    </row>
    <row r="287" spans="2:29" ht="23" x14ac:dyDescent="0.35">
      <c r="B287" s="81" t="s">
        <v>338</v>
      </c>
      <c r="C287" s="81" t="s">
        <v>339</v>
      </c>
      <c r="D287" s="81" t="s">
        <v>340</v>
      </c>
      <c r="E287" s="81" t="s">
        <v>359</v>
      </c>
      <c r="F287" s="162" t="s">
        <v>360</v>
      </c>
      <c r="G287" s="163"/>
      <c r="H287" s="81" t="s">
        <v>659</v>
      </c>
      <c r="I287" s="81" t="s">
        <v>344</v>
      </c>
      <c r="J287" s="81" t="s">
        <v>11</v>
      </c>
      <c r="K287" s="81" t="s">
        <v>672</v>
      </c>
      <c r="L287" s="81" t="s">
        <v>11</v>
      </c>
      <c r="M287" s="164">
        <v>19.2</v>
      </c>
      <c r="N287" s="165"/>
      <c r="O287" s="163"/>
      <c r="P287" s="82">
        <v>69.52</v>
      </c>
      <c r="Q287" s="164">
        <v>0</v>
      </c>
      <c r="R287" s="163"/>
      <c r="S287" s="81" t="s">
        <v>346</v>
      </c>
      <c r="T287" s="82">
        <v>61</v>
      </c>
      <c r="U287" s="82">
        <v>0</v>
      </c>
      <c r="V287" s="82">
        <v>0</v>
      </c>
      <c r="W287" s="82">
        <v>0</v>
      </c>
      <c r="X287" s="81" t="s">
        <v>141</v>
      </c>
      <c r="Y287" s="82">
        <v>32</v>
      </c>
      <c r="Z287" s="81" t="s">
        <v>138</v>
      </c>
      <c r="AA287" s="81" t="s">
        <v>664</v>
      </c>
      <c r="AB287" s="81" t="s">
        <v>665</v>
      </c>
      <c r="AC287" s="83">
        <v>46100</v>
      </c>
    </row>
    <row r="288" spans="2:29" ht="23" x14ac:dyDescent="0.35">
      <c r="B288" s="81" t="s">
        <v>338</v>
      </c>
      <c r="C288" s="81" t="s">
        <v>339</v>
      </c>
      <c r="D288" s="81" t="s">
        <v>340</v>
      </c>
      <c r="E288" s="81" t="s">
        <v>359</v>
      </c>
      <c r="F288" s="162" t="s">
        <v>360</v>
      </c>
      <c r="G288" s="163"/>
      <c r="H288" s="81" t="s">
        <v>659</v>
      </c>
      <c r="I288" s="81" t="s">
        <v>344</v>
      </c>
      <c r="J288" s="81" t="s">
        <v>11</v>
      </c>
      <c r="K288" s="81" t="s">
        <v>673</v>
      </c>
      <c r="L288" s="81" t="s">
        <v>11</v>
      </c>
      <c r="M288" s="164">
        <v>23.2</v>
      </c>
      <c r="N288" s="165"/>
      <c r="O288" s="163"/>
      <c r="P288" s="82">
        <v>84</v>
      </c>
      <c r="Q288" s="164">
        <v>0</v>
      </c>
      <c r="R288" s="163"/>
      <c r="S288" s="81" t="s">
        <v>346</v>
      </c>
      <c r="T288" s="82">
        <v>61</v>
      </c>
      <c r="U288" s="82">
        <v>0</v>
      </c>
      <c r="V288" s="82">
        <v>0</v>
      </c>
      <c r="W288" s="82">
        <v>0</v>
      </c>
      <c r="X288" s="81" t="s">
        <v>141</v>
      </c>
      <c r="Y288" s="82">
        <v>28</v>
      </c>
      <c r="Z288" s="81" t="s">
        <v>138</v>
      </c>
      <c r="AA288" s="81" t="s">
        <v>664</v>
      </c>
      <c r="AB288" s="81" t="s">
        <v>665</v>
      </c>
      <c r="AC288" s="83">
        <v>46100</v>
      </c>
    </row>
    <row r="289" spans="2:29" ht="23" x14ac:dyDescent="0.35">
      <c r="B289" s="81" t="s">
        <v>338</v>
      </c>
      <c r="C289" s="81" t="s">
        <v>339</v>
      </c>
      <c r="D289" s="81" t="s">
        <v>340</v>
      </c>
      <c r="E289" s="81" t="s">
        <v>359</v>
      </c>
      <c r="F289" s="162" t="s">
        <v>360</v>
      </c>
      <c r="G289" s="163"/>
      <c r="H289" s="81" t="s">
        <v>659</v>
      </c>
      <c r="I289" s="81" t="s">
        <v>344</v>
      </c>
      <c r="J289" s="81" t="s">
        <v>11</v>
      </c>
      <c r="K289" s="81" t="s">
        <v>674</v>
      </c>
      <c r="L289" s="81" t="s">
        <v>11</v>
      </c>
      <c r="M289" s="164">
        <v>21.6</v>
      </c>
      <c r="N289" s="165"/>
      <c r="O289" s="163"/>
      <c r="P289" s="82">
        <v>78.209999999999994</v>
      </c>
      <c r="Q289" s="164">
        <v>0</v>
      </c>
      <c r="R289" s="163"/>
      <c r="S289" s="81" t="s">
        <v>346</v>
      </c>
      <c r="T289" s="82">
        <v>61</v>
      </c>
      <c r="U289" s="82">
        <v>0</v>
      </c>
      <c r="V289" s="82">
        <v>0</v>
      </c>
      <c r="W289" s="82">
        <v>0</v>
      </c>
      <c r="X289" s="81" t="s">
        <v>141</v>
      </c>
      <c r="Y289" s="82">
        <v>24</v>
      </c>
      <c r="Z289" s="81" t="s">
        <v>138</v>
      </c>
      <c r="AA289" s="81" t="s">
        <v>664</v>
      </c>
      <c r="AB289" s="81" t="s">
        <v>665</v>
      </c>
      <c r="AC289" s="83">
        <v>46100</v>
      </c>
    </row>
    <row r="290" spans="2:29" ht="23" x14ac:dyDescent="0.35">
      <c r="B290" s="81" t="s">
        <v>338</v>
      </c>
      <c r="C290" s="81" t="s">
        <v>339</v>
      </c>
      <c r="D290" s="81" t="s">
        <v>340</v>
      </c>
      <c r="E290" s="81" t="s">
        <v>359</v>
      </c>
      <c r="F290" s="162" t="s">
        <v>360</v>
      </c>
      <c r="G290" s="163"/>
      <c r="H290" s="81" t="s">
        <v>659</v>
      </c>
      <c r="I290" s="81" t="s">
        <v>344</v>
      </c>
      <c r="J290" s="81" t="s">
        <v>11</v>
      </c>
      <c r="K290" s="81" t="s">
        <v>675</v>
      </c>
      <c r="L290" s="81" t="s">
        <v>129</v>
      </c>
      <c r="M290" s="164">
        <v>14.6</v>
      </c>
      <c r="N290" s="165"/>
      <c r="O290" s="163"/>
      <c r="P290" s="82">
        <v>52.86</v>
      </c>
      <c r="Q290" s="164">
        <v>0</v>
      </c>
      <c r="R290" s="163"/>
      <c r="S290" s="81" t="s">
        <v>346</v>
      </c>
      <c r="T290" s="82">
        <v>61</v>
      </c>
      <c r="U290" s="82">
        <v>0</v>
      </c>
      <c r="V290" s="82">
        <v>0</v>
      </c>
      <c r="W290" s="82">
        <v>0</v>
      </c>
      <c r="X290" s="81" t="s">
        <v>144</v>
      </c>
      <c r="Y290" s="82">
        <v>8</v>
      </c>
      <c r="Z290" s="81" t="s">
        <v>138</v>
      </c>
      <c r="AA290" s="81" t="s">
        <v>664</v>
      </c>
      <c r="AB290" s="81" t="s">
        <v>665</v>
      </c>
      <c r="AC290" s="83">
        <v>46100</v>
      </c>
    </row>
    <row r="291" spans="2:29" ht="23" x14ac:dyDescent="0.35">
      <c r="B291" s="81" t="s">
        <v>338</v>
      </c>
      <c r="C291" s="81" t="s">
        <v>339</v>
      </c>
      <c r="D291" s="81" t="s">
        <v>340</v>
      </c>
      <c r="E291" s="81" t="s">
        <v>359</v>
      </c>
      <c r="F291" s="162" t="s">
        <v>360</v>
      </c>
      <c r="G291" s="163"/>
      <c r="H291" s="81" t="s">
        <v>659</v>
      </c>
      <c r="I291" s="81" t="s">
        <v>344</v>
      </c>
      <c r="J291" s="81" t="s">
        <v>11</v>
      </c>
      <c r="K291" s="81" t="s">
        <v>676</v>
      </c>
      <c r="L291" s="81" t="s">
        <v>129</v>
      </c>
      <c r="M291" s="164">
        <v>25.4</v>
      </c>
      <c r="N291" s="165"/>
      <c r="O291" s="163"/>
      <c r="P291" s="82">
        <v>91.97</v>
      </c>
      <c r="Q291" s="164">
        <v>0</v>
      </c>
      <c r="R291" s="163"/>
      <c r="S291" s="81" t="s">
        <v>346</v>
      </c>
      <c r="T291" s="82">
        <v>61</v>
      </c>
      <c r="U291" s="82">
        <v>0</v>
      </c>
      <c r="V291" s="82">
        <v>0</v>
      </c>
      <c r="W291" s="82">
        <v>0</v>
      </c>
      <c r="X291" s="81" t="s">
        <v>144</v>
      </c>
      <c r="Y291" s="82">
        <v>28</v>
      </c>
      <c r="Z291" s="81" t="s">
        <v>138</v>
      </c>
      <c r="AA291" s="81" t="s">
        <v>664</v>
      </c>
      <c r="AB291" s="81" t="s">
        <v>665</v>
      </c>
      <c r="AC291" s="83">
        <v>46100</v>
      </c>
    </row>
    <row r="292" spans="2:29" ht="34.5" x14ac:dyDescent="0.35">
      <c r="B292" s="81" t="s">
        <v>338</v>
      </c>
      <c r="C292" s="81" t="s">
        <v>339</v>
      </c>
      <c r="D292" s="81" t="s">
        <v>340</v>
      </c>
      <c r="E292" s="81" t="s">
        <v>359</v>
      </c>
      <c r="F292" s="162" t="s">
        <v>360</v>
      </c>
      <c r="G292" s="163"/>
      <c r="H292" s="81" t="s">
        <v>659</v>
      </c>
      <c r="I292" s="81" t="s">
        <v>344</v>
      </c>
      <c r="J292" s="81" t="s">
        <v>11</v>
      </c>
      <c r="K292" s="81" t="s">
        <v>677</v>
      </c>
      <c r="L292" s="81" t="s">
        <v>11</v>
      </c>
      <c r="M292" s="164">
        <v>16.100000000000001</v>
      </c>
      <c r="N292" s="165"/>
      <c r="O292" s="163"/>
      <c r="P292" s="82">
        <v>58.29</v>
      </c>
      <c r="Q292" s="164">
        <v>0</v>
      </c>
      <c r="R292" s="163"/>
      <c r="S292" s="81" t="s">
        <v>346</v>
      </c>
      <c r="T292" s="82">
        <v>61</v>
      </c>
      <c r="U292" s="82">
        <v>0</v>
      </c>
      <c r="V292" s="82">
        <v>0</v>
      </c>
      <c r="W292" s="82">
        <v>0</v>
      </c>
      <c r="X292" s="81" t="s">
        <v>144</v>
      </c>
      <c r="Y292" s="82">
        <v>12</v>
      </c>
      <c r="Z292" s="81" t="s">
        <v>138</v>
      </c>
      <c r="AA292" s="81" t="s">
        <v>678</v>
      </c>
      <c r="AB292" s="81" t="s">
        <v>679</v>
      </c>
      <c r="AC292" s="83">
        <v>46100</v>
      </c>
    </row>
    <row r="293" spans="2:29" ht="34.5" x14ac:dyDescent="0.35">
      <c r="B293" s="81" t="s">
        <v>338</v>
      </c>
      <c r="C293" s="81" t="s">
        <v>339</v>
      </c>
      <c r="D293" s="81" t="s">
        <v>340</v>
      </c>
      <c r="E293" s="81" t="s">
        <v>359</v>
      </c>
      <c r="F293" s="162" t="s">
        <v>360</v>
      </c>
      <c r="G293" s="163"/>
      <c r="H293" s="81" t="s">
        <v>659</v>
      </c>
      <c r="I293" s="81" t="s">
        <v>344</v>
      </c>
      <c r="J293" s="81" t="s">
        <v>11</v>
      </c>
      <c r="K293" s="81" t="s">
        <v>680</v>
      </c>
      <c r="L293" s="81" t="s">
        <v>129</v>
      </c>
      <c r="M293" s="164">
        <v>19.2</v>
      </c>
      <c r="N293" s="165"/>
      <c r="O293" s="163"/>
      <c r="P293" s="82">
        <v>69.52</v>
      </c>
      <c r="Q293" s="164">
        <v>0</v>
      </c>
      <c r="R293" s="163"/>
      <c r="S293" s="81" t="s">
        <v>346</v>
      </c>
      <c r="T293" s="82">
        <v>61</v>
      </c>
      <c r="U293" s="82">
        <v>0</v>
      </c>
      <c r="V293" s="82">
        <v>0</v>
      </c>
      <c r="W293" s="82">
        <v>0</v>
      </c>
      <c r="X293" s="81" t="s">
        <v>144</v>
      </c>
      <c r="Y293" s="82">
        <v>12</v>
      </c>
      <c r="Z293" s="81" t="s">
        <v>681</v>
      </c>
      <c r="AA293" s="81" t="s">
        <v>682</v>
      </c>
      <c r="AB293" s="81" t="s">
        <v>683</v>
      </c>
      <c r="AC293" s="83">
        <v>46100</v>
      </c>
    </row>
    <row r="294" spans="2:29" ht="23" x14ac:dyDescent="0.35">
      <c r="B294" s="81" t="s">
        <v>338</v>
      </c>
      <c r="C294" s="81" t="s">
        <v>339</v>
      </c>
      <c r="D294" s="81" t="s">
        <v>340</v>
      </c>
      <c r="E294" s="81" t="s">
        <v>359</v>
      </c>
      <c r="F294" s="162" t="s">
        <v>360</v>
      </c>
      <c r="G294" s="163"/>
      <c r="H294" s="81" t="s">
        <v>659</v>
      </c>
      <c r="I294" s="81" t="s">
        <v>344</v>
      </c>
      <c r="J294" s="81" t="s">
        <v>11</v>
      </c>
      <c r="K294" s="81" t="s">
        <v>684</v>
      </c>
      <c r="L294" s="81" t="s">
        <v>129</v>
      </c>
      <c r="M294" s="164">
        <v>33.200000000000003</v>
      </c>
      <c r="N294" s="165"/>
      <c r="O294" s="163"/>
      <c r="P294" s="82">
        <v>120.21</v>
      </c>
      <c r="Q294" s="164">
        <v>0</v>
      </c>
      <c r="R294" s="163"/>
      <c r="S294" s="81" t="s">
        <v>346</v>
      </c>
      <c r="T294" s="82">
        <v>61</v>
      </c>
      <c r="U294" s="82">
        <v>0</v>
      </c>
      <c r="V294" s="82">
        <v>0</v>
      </c>
      <c r="W294" s="82">
        <v>0</v>
      </c>
      <c r="X294" s="81" t="s">
        <v>144</v>
      </c>
      <c r="Y294" s="82">
        <v>12</v>
      </c>
      <c r="Z294" s="81" t="s">
        <v>138</v>
      </c>
      <c r="AA294" s="81" t="s">
        <v>664</v>
      </c>
      <c r="AB294" s="81" t="s">
        <v>665</v>
      </c>
      <c r="AC294" s="83">
        <v>46100</v>
      </c>
    </row>
    <row r="295" spans="2:29" ht="23" x14ac:dyDescent="0.35">
      <c r="B295" s="81" t="s">
        <v>338</v>
      </c>
      <c r="C295" s="81" t="s">
        <v>339</v>
      </c>
      <c r="D295" s="81" t="s">
        <v>340</v>
      </c>
      <c r="E295" s="81" t="s">
        <v>359</v>
      </c>
      <c r="F295" s="162" t="s">
        <v>360</v>
      </c>
      <c r="G295" s="163"/>
      <c r="H295" s="81" t="s">
        <v>659</v>
      </c>
      <c r="I295" s="81" t="s">
        <v>344</v>
      </c>
      <c r="J295" s="81" t="s">
        <v>11</v>
      </c>
      <c r="K295" s="81" t="s">
        <v>685</v>
      </c>
      <c r="L295" s="81" t="s">
        <v>129</v>
      </c>
      <c r="M295" s="164">
        <v>23.4</v>
      </c>
      <c r="N295" s="165"/>
      <c r="O295" s="163"/>
      <c r="P295" s="82">
        <v>84.72</v>
      </c>
      <c r="Q295" s="164">
        <v>0</v>
      </c>
      <c r="R295" s="163"/>
      <c r="S295" s="81" t="s">
        <v>346</v>
      </c>
      <c r="T295" s="82">
        <v>61</v>
      </c>
      <c r="U295" s="82">
        <v>0</v>
      </c>
      <c r="V295" s="82">
        <v>0</v>
      </c>
      <c r="W295" s="82">
        <v>0</v>
      </c>
      <c r="X295" s="81" t="s">
        <v>144</v>
      </c>
      <c r="Y295" s="82">
        <v>12</v>
      </c>
      <c r="Z295" s="81" t="s">
        <v>138</v>
      </c>
      <c r="AA295" s="81" t="s">
        <v>664</v>
      </c>
      <c r="AB295" s="81" t="s">
        <v>665</v>
      </c>
      <c r="AC295" s="83">
        <v>46100</v>
      </c>
    </row>
    <row r="296" spans="2:29" ht="23" x14ac:dyDescent="0.35">
      <c r="B296" s="81" t="s">
        <v>338</v>
      </c>
      <c r="C296" s="81" t="s">
        <v>339</v>
      </c>
      <c r="D296" s="81" t="s">
        <v>340</v>
      </c>
      <c r="E296" s="81" t="s">
        <v>359</v>
      </c>
      <c r="F296" s="162" t="s">
        <v>360</v>
      </c>
      <c r="G296" s="163"/>
      <c r="H296" s="81" t="s">
        <v>659</v>
      </c>
      <c r="I296" s="81" t="s">
        <v>344</v>
      </c>
      <c r="J296" s="81" t="s">
        <v>11</v>
      </c>
      <c r="K296" s="81" t="s">
        <v>686</v>
      </c>
      <c r="L296" s="81" t="s">
        <v>129</v>
      </c>
      <c r="M296" s="164">
        <v>23.3</v>
      </c>
      <c r="N296" s="165"/>
      <c r="O296" s="163"/>
      <c r="P296" s="82">
        <v>84.36</v>
      </c>
      <c r="Q296" s="164">
        <v>0</v>
      </c>
      <c r="R296" s="163"/>
      <c r="S296" s="81" t="s">
        <v>346</v>
      </c>
      <c r="T296" s="82">
        <v>61</v>
      </c>
      <c r="U296" s="82">
        <v>0</v>
      </c>
      <c r="V296" s="82">
        <v>0</v>
      </c>
      <c r="W296" s="82">
        <v>0</v>
      </c>
      <c r="X296" s="81" t="s">
        <v>135</v>
      </c>
      <c r="Y296" s="82">
        <v>8</v>
      </c>
      <c r="Z296" s="81" t="s">
        <v>138</v>
      </c>
      <c r="AA296" s="81" t="s">
        <v>664</v>
      </c>
      <c r="AB296" s="81" t="s">
        <v>665</v>
      </c>
      <c r="AC296" s="83">
        <v>46100</v>
      </c>
    </row>
    <row r="297" spans="2:29" ht="23" x14ac:dyDescent="0.35">
      <c r="B297" s="81" t="s">
        <v>338</v>
      </c>
      <c r="C297" s="81" t="s">
        <v>339</v>
      </c>
      <c r="D297" s="81" t="s">
        <v>340</v>
      </c>
      <c r="E297" s="81" t="s">
        <v>359</v>
      </c>
      <c r="F297" s="162" t="s">
        <v>360</v>
      </c>
      <c r="G297" s="163"/>
      <c r="H297" s="81" t="s">
        <v>659</v>
      </c>
      <c r="I297" s="81" t="s">
        <v>344</v>
      </c>
      <c r="J297" s="81" t="s">
        <v>11</v>
      </c>
      <c r="K297" s="81" t="s">
        <v>687</v>
      </c>
      <c r="L297" s="81" t="s">
        <v>129</v>
      </c>
      <c r="M297" s="164">
        <v>18.600000000000001</v>
      </c>
      <c r="N297" s="165"/>
      <c r="O297" s="163"/>
      <c r="P297" s="82">
        <v>67.349999999999994</v>
      </c>
      <c r="Q297" s="164">
        <v>0</v>
      </c>
      <c r="R297" s="163"/>
      <c r="S297" s="81" t="s">
        <v>346</v>
      </c>
      <c r="T297" s="82">
        <v>61</v>
      </c>
      <c r="U297" s="82">
        <v>0</v>
      </c>
      <c r="V297" s="82">
        <v>0</v>
      </c>
      <c r="W297" s="82">
        <v>0</v>
      </c>
      <c r="X297" s="81" t="s">
        <v>144</v>
      </c>
      <c r="Y297" s="82">
        <v>8</v>
      </c>
      <c r="Z297" s="81" t="s">
        <v>138</v>
      </c>
      <c r="AA297" s="81" t="s">
        <v>664</v>
      </c>
      <c r="AB297" s="81" t="s">
        <v>665</v>
      </c>
      <c r="AC297" s="83">
        <v>46100</v>
      </c>
    </row>
    <row r="298" spans="2:29" ht="23" x14ac:dyDescent="0.35">
      <c r="B298" s="81" t="s">
        <v>338</v>
      </c>
      <c r="C298" s="81" t="s">
        <v>339</v>
      </c>
      <c r="D298" s="81" t="s">
        <v>340</v>
      </c>
      <c r="E298" s="81" t="s">
        <v>359</v>
      </c>
      <c r="F298" s="162" t="s">
        <v>360</v>
      </c>
      <c r="G298" s="163"/>
      <c r="H298" s="81" t="s">
        <v>659</v>
      </c>
      <c r="I298" s="81" t="s">
        <v>344</v>
      </c>
      <c r="J298" s="81" t="s">
        <v>11</v>
      </c>
      <c r="K298" s="81" t="s">
        <v>688</v>
      </c>
      <c r="L298" s="81" t="s">
        <v>129</v>
      </c>
      <c r="M298" s="164">
        <v>27.4</v>
      </c>
      <c r="N298" s="165"/>
      <c r="O298" s="163"/>
      <c r="P298" s="82">
        <v>99.21</v>
      </c>
      <c r="Q298" s="164">
        <v>0</v>
      </c>
      <c r="R298" s="163"/>
      <c r="S298" s="81" t="s">
        <v>346</v>
      </c>
      <c r="T298" s="82">
        <v>61</v>
      </c>
      <c r="U298" s="82">
        <v>0</v>
      </c>
      <c r="V298" s="82">
        <v>0</v>
      </c>
      <c r="W298" s="82">
        <v>0</v>
      </c>
      <c r="X298" s="81" t="s">
        <v>144</v>
      </c>
      <c r="Y298" s="82">
        <v>12</v>
      </c>
      <c r="Z298" s="81" t="s">
        <v>138</v>
      </c>
      <c r="AA298" s="81" t="s">
        <v>664</v>
      </c>
      <c r="AB298" s="81" t="s">
        <v>665</v>
      </c>
      <c r="AC298" s="83">
        <v>46100</v>
      </c>
    </row>
    <row r="299" spans="2:29" ht="23" x14ac:dyDescent="0.35">
      <c r="B299" s="81" t="s">
        <v>338</v>
      </c>
      <c r="C299" s="81" t="s">
        <v>339</v>
      </c>
      <c r="D299" s="81" t="s">
        <v>340</v>
      </c>
      <c r="E299" s="81" t="s">
        <v>359</v>
      </c>
      <c r="F299" s="162" t="s">
        <v>360</v>
      </c>
      <c r="G299" s="163"/>
      <c r="H299" s="81" t="s">
        <v>659</v>
      </c>
      <c r="I299" s="81" t="s">
        <v>344</v>
      </c>
      <c r="J299" s="81" t="s">
        <v>11</v>
      </c>
      <c r="K299" s="81" t="s">
        <v>689</v>
      </c>
      <c r="L299" s="81" t="s">
        <v>129</v>
      </c>
      <c r="M299" s="164">
        <v>34.200000000000003</v>
      </c>
      <c r="N299" s="165"/>
      <c r="O299" s="163"/>
      <c r="P299" s="82">
        <v>123.83</v>
      </c>
      <c r="Q299" s="164">
        <v>0</v>
      </c>
      <c r="R299" s="163"/>
      <c r="S299" s="81" t="s">
        <v>346</v>
      </c>
      <c r="T299" s="82">
        <v>61</v>
      </c>
      <c r="U299" s="82">
        <v>0</v>
      </c>
      <c r="V299" s="82">
        <v>0</v>
      </c>
      <c r="W299" s="82">
        <v>0</v>
      </c>
      <c r="X299" s="81" t="s">
        <v>144</v>
      </c>
      <c r="Y299" s="82">
        <v>8</v>
      </c>
      <c r="Z299" s="81" t="s">
        <v>138</v>
      </c>
      <c r="AA299" s="81" t="s">
        <v>664</v>
      </c>
      <c r="AB299" s="81" t="s">
        <v>665</v>
      </c>
      <c r="AC299" s="83">
        <v>46100</v>
      </c>
    </row>
    <row r="300" spans="2:29" ht="23" x14ac:dyDescent="0.35">
      <c r="B300" s="81" t="s">
        <v>338</v>
      </c>
      <c r="C300" s="81" t="s">
        <v>339</v>
      </c>
      <c r="D300" s="81" t="s">
        <v>340</v>
      </c>
      <c r="E300" s="81" t="s">
        <v>359</v>
      </c>
      <c r="F300" s="162" t="s">
        <v>360</v>
      </c>
      <c r="G300" s="163"/>
      <c r="H300" s="81" t="s">
        <v>659</v>
      </c>
      <c r="I300" s="81" t="s">
        <v>344</v>
      </c>
      <c r="J300" s="81" t="s">
        <v>11</v>
      </c>
      <c r="K300" s="81" t="s">
        <v>690</v>
      </c>
      <c r="L300" s="81" t="s">
        <v>129</v>
      </c>
      <c r="M300" s="164">
        <v>15.9</v>
      </c>
      <c r="N300" s="165"/>
      <c r="O300" s="163"/>
      <c r="P300" s="82">
        <v>57.57</v>
      </c>
      <c r="Q300" s="164">
        <v>0</v>
      </c>
      <c r="R300" s="163"/>
      <c r="S300" s="81" t="s">
        <v>346</v>
      </c>
      <c r="T300" s="82">
        <v>61</v>
      </c>
      <c r="U300" s="82">
        <v>0</v>
      </c>
      <c r="V300" s="82">
        <v>0</v>
      </c>
      <c r="W300" s="82">
        <v>0</v>
      </c>
      <c r="X300" s="81" t="s">
        <v>141</v>
      </c>
      <c r="Y300" s="82">
        <v>12</v>
      </c>
      <c r="Z300" s="81" t="s">
        <v>138</v>
      </c>
      <c r="AA300" s="81" t="s">
        <v>664</v>
      </c>
      <c r="AB300" s="81" t="s">
        <v>665</v>
      </c>
      <c r="AC300" s="83">
        <v>46100</v>
      </c>
    </row>
    <row r="301" spans="2:29" ht="23" x14ac:dyDescent="0.35">
      <c r="B301" s="81" t="s">
        <v>338</v>
      </c>
      <c r="C301" s="81" t="s">
        <v>339</v>
      </c>
      <c r="D301" s="81" t="s">
        <v>340</v>
      </c>
      <c r="E301" s="81" t="s">
        <v>359</v>
      </c>
      <c r="F301" s="162" t="s">
        <v>360</v>
      </c>
      <c r="G301" s="163"/>
      <c r="H301" s="81" t="s">
        <v>659</v>
      </c>
      <c r="I301" s="81" t="s">
        <v>344</v>
      </c>
      <c r="J301" s="81" t="s">
        <v>11</v>
      </c>
      <c r="K301" s="81" t="s">
        <v>691</v>
      </c>
      <c r="L301" s="81" t="s">
        <v>129</v>
      </c>
      <c r="M301" s="164">
        <v>30.8</v>
      </c>
      <c r="N301" s="165"/>
      <c r="O301" s="163"/>
      <c r="P301" s="82">
        <v>111.52</v>
      </c>
      <c r="Q301" s="164">
        <v>0</v>
      </c>
      <c r="R301" s="163"/>
      <c r="S301" s="81" t="s">
        <v>346</v>
      </c>
      <c r="T301" s="82">
        <v>61</v>
      </c>
      <c r="U301" s="82">
        <v>0</v>
      </c>
      <c r="V301" s="82">
        <v>0</v>
      </c>
      <c r="W301" s="82">
        <v>0</v>
      </c>
      <c r="X301" s="81" t="s">
        <v>144</v>
      </c>
      <c r="Y301" s="82">
        <v>12</v>
      </c>
      <c r="Z301" s="81" t="s">
        <v>138</v>
      </c>
      <c r="AA301" s="81" t="s">
        <v>664</v>
      </c>
      <c r="AB301" s="81" t="s">
        <v>665</v>
      </c>
      <c r="AC301" s="83">
        <v>46100</v>
      </c>
    </row>
    <row r="302" spans="2:29" ht="23" x14ac:dyDescent="0.35">
      <c r="B302" s="81" t="s">
        <v>338</v>
      </c>
      <c r="C302" s="81" t="s">
        <v>339</v>
      </c>
      <c r="D302" s="81" t="s">
        <v>340</v>
      </c>
      <c r="E302" s="81" t="s">
        <v>359</v>
      </c>
      <c r="F302" s="162" t="s">
        <v>360</v>
      </c>
      <c r="G302" s="163"/>
      <c r="H302" s="81" t="s">
        <v>659</v>
      </c>
      <c r="I302" s="81" t="s">
        <v>344</v>
      </c>
      <c r="J302" s="81" t="s">
        <v>11</v>
      </c>
      <c r="K302" s="81" t="s">
        <v>692</v>
      </c>
      <c r="L302" s="81" t="s">
        <v>129</v>
      </c>
      <c r="M302" s="164">
        <v>23.2</v>
      </c>
      <c r="N302" s="165"/>
      <c r="O302" s="163"/>
      <c r="P302" s="82">
        <v>84</v>
      </c>
      <c r="Q302" s="164">
        <v>0</v>
      </c>
      <c r="R302" s="163"/>
      <c r="S302" s="81" t="s">
        <v>346</v>
      </c>
      <c r="T302" s="82">
        <v>61</v>
      </c>
      <c r="U302" s="82">
        <v>0</v>
      </c>
      <c r="V302" s="82">
        <v>0</v>
      </c>
      <c r="W302" s="82">
        <v>0</v>
      </c>
      <c r="X302" s="81" t="s">
        <v>141</v>
      </c>
      <c r="Y302" s="82">
        <v>8</v>
      </c>
      <c r="Z302" s="81" t="s">
        <v>138</v>
      </c>
      <c r="AA302" s="81" t="s">
        <v>664</v>
      </c>
      <c r="AB302" s="81" t="s">
        <v>665</v>
      </c>
      <c r="AC302" s="83">
        <v>46100</v>
      </c>
    </row>
    <row r="303" spans="2:29" ht="23" x14ac:dyDescent="0.35">
      <c r="B303" s="81" t="s">
        <v>338</v>
      </c>
      <c r="C303" s="81" t="s">
        <v>339</v>
      </c>
      <c r="D303" s="81" t="s">
        <v>340</v>
      </c>
      <c r="E303" s="81" t="s">
        <v>359</v>
      </c>
      <c r="F303" s="162" t="s">
        <v>360</v>
      </c>
      <c r="G303" s="163"/>
      <c r="H303" s="81" t="s">
        <v>659</v>
      </c>
      <c r="I303" s="81" t="s">
        <v>344</v>
      </c>
      <c r="J303" s="81" t="s">
        <v>11</v>
      </c>
      <c r="K303" s="81" t="s">
        <v>693</v>
      </c>
      <c r="L303" s="81" t="s">
        <v>129</v>
      </c>
      <c r="M303" s="164">
        <v>17.2</v>
      </c>
      <c r="N303" s="165"/>
      <c r="O303" s="163"/>
      <c r="P303" s="82">
        <v>62.28</v>
      </c>
      <c r="Q303" s="164">
        <v>0</v>
      </c>
      <c r="R303" s="163"/>
      <c r="S303" s="81" t="s">
        <v>346</v>
      </c>
      <c r="T303" s="82">
        <v>61</v>
      </c>
      <c r="U303" s="82">
        <v>0</v>
      </c>
      <c r="V303" s="82">
        <v>0</v>
      </c>
      <c r="W303" s="82">
        <v>0</v>
      </c>
      <c r="X303" s="81" t="s">
        <v>144</v>
      </c>
      <c r="Y303" s="82">
        <v>8</v>
      </c>
      <c r="Z303" s="81" t="s">
        <v>138</v>
      </c>
      <c r="AA303" s="81" t="s">
        <v>664</v>
      </c>
      <c r="AB303" s="81" t="s">
        <v>665</v>
      </c>
      <c r="AC303" s="83">
        <v>46100</v>
      </c>
    </row>
    <row r="304" spans="2:29" ht="23" x14ac:dyDescent="0.35">
      <c r="B304" s="81" t="s">
        <v>338</v>
      </c>
      <c r="C304" s="81" t="s">
        <v>339</v>
      </c>
      <c r="D304" s="81" t="s">
        <v>340</v>
      </c>
      <c r="E304" s="81" t="s">
        <v>359</v>
      </c>
      <c r="F304" s="162" t="s">
        <v>360</v>
      </c>
      <c r="G304" s="163"/>
      <c r="H304" s="81" t="s">
        <v>659</v>
      </c>
      <c r="I304" s="81" t="s">
        <v>344</v>
      </c>
      <c r="J304" s="81" t="s">
        <v>11</v>
      </c>
      <c r="K304" s="81" t="s">
        <v>694</v>
      </c>
      <c r="L304" s="81" t="s">
        <v>129</v>
      </c>
      <c r="M304" s="164">
        <v>22.8</v>
      </c>
      <c r="N304" s="165"/>
      <c r="O304" s="163"/>
      <c r="P304" s="82">
        <v>82.55</v>
      </c>
      <c r="Q304" s="164">
        <v>0</v>
      </c>
      <c r="R304" s="163"/>
      <c r="S304" s="81" t="s">
        <v>346</v>
      </c>
      <c r="T304" s="82">
        <v>61</v>
      </c>
      <c r="U304" s="82">
        <v>0</v>
      </c>
      <c r="V304" s="82">
        <v>0</v>
      </c>
      <c r="W304" s="82">
        <v>0</v>
      </c>
      <c r="X304" s="81" t="s">
        <v>144</v>
      </c>
      <c r="Y304" s="82">
        <v>8</v>
      </c>
      <c r="Z304" s="81" t="s">
        <v>138</v>
      </c>
      <c r="AA304" s="81" t="s">
        <v>664</v>
      </c>
      <c r="AB304" s="81" t="s">
        <v>665</v>
      </c>
      <c r="AC304" s="83">
        <v>46100</v>
      </c>
    </row>
    <row r="305" spans="2:29" ht="23" x14ac:dyDescent="0.35">
      <c r="B305" s="81" t="s">
        <v>338</v>
      </c>
      <c r="C305" s="81" t="s">
        <v>339</v>
      </c>
      <c r="D305" s="81" t="s">
        <v>340</v>
      </c>
      <c r="E305" s="81" t="s">
        <v>359</v>
      </c>
      <c r="F305" s="162" t="s">
        <v>360</v>
      </c>
      <c r="G305" s="163"/>
      <c r="H305" s="81" t="s">
        <v>659</v>
      </c>
      <c r="I305" s="81" t="s">
        <v>344</v>
      </c>
      <c r="J305" s="81" t="s">
        <v>11</v>
      </c>
      <c r="K305" s="81" t="s">
        <v>695</v>
      </c>
      <c r="L305" s="81" t="s">
        <v>129</v>
      </c>
      <c r="M305" s="164">
        <v>23.3</v>
      </c>
      <c r="N305" s="165"/>
      <c r="O305" s="163"/>
      <c r="P305" s="82">
        <v>84.36</v>
      </c>
      <c r="Q305" s="164">
        <v>0</v>
      </c>
      <c r="R305" s="163"/>
      <c r="S305" s="81" t="s">
        <v>346</v>
      </c>
      <c r="T305" s="82">
        <v>61</v>
      </c>
      <c r="U305" s="82">
        <v>0</v>
      </c>
      <c r="V305" s="82">
        <v>0</v>
      </c>
      <c r="W305" s="82">
        <v>0</v>
      </c>
      <c r="X305" s="81" t="s">
        <v>144</v>
      </c>
      <c r="Y305" s="82">
        <v>16</v>
      </c>
      <c r="Z305" s="81" t="s">
        <v>138</v>
      </c>
      <c r="AA305" s="81" t="s">
        <v>664</v>
      </c>
      <c r="AB305" s="81" t="s">
        <v>665</v>
      </c>
      <c r="AC305" s="83">
        <v>46100</v>
      </c>
    </row>
    <row r="306" spans="2:29" ht="23" x14ac:dyDescent="0.35">
      <c r="B306" s="81" t="s">
        <v>338</v>
      </c>
      <c r="C306" s="81" t="s">
        <v>339</v>
      </c>
      <c r="D306" s="81" t="s">
        <v>340</v>
      </c>
      <c r="E306" s="81" t="s">
        <v>359</v>
      </c>
      <c r="F306" s="162" t="s">
        <v>360</v>
      </c>
      <c r="G306" s="163"/>
      <c r="H306" s="81" t="s">
        <v>659</v>
      </c>
      <c r="I306" s="81" t="s">
        <v>344</v>
      </c>
      <c r="J306" s="81" t="s">
        <v>11</v>
      </c>
      <c r="K306" s="81" t="s">
        <v>696</v>
      </c>
      <c r="L306" s="81" t="s">
        <v>129</v>
      </c>
      <c r="M306" s="164">
        <v>23.3</v>
      </c>
      <c r="N306" s="165"/>
      <c r="O306" s="163"/>
      <c r="P306" s="82">
        <v>84.36</v>
      </c>
      <c r="Q306" s="164">
        <v>0</v>
      </c>
      <c r="R306" s="163"/>
      <c r="S306" s="81" t="s">
        <v>346</v>
      </c>
      <c r="T306" s="82">
        <v>61</v>
      </c>
      <c r="U306" s="82">
        <v>0</v>
      </c>
      <c r="V306" s="82">
        <v>0</v>
      </c>
      <c r="W306" s="82">
        <v>0</v>
      </c>
      <c r="X306" s="81" t="s">
        <v>144</v>
      </c>
      <c r="Y306" s="82">
        <v>12</v>
      </c>
      <c r="Z306" s="81" t="s">
        <v>138</v>
      </c>
      <c r="AA306" s="81" t="s">
        <v>664</v>
      </c>
      <c r="AB306" s="81" t="s">
        <v>665</v>
      </c>
      <c r="AC306" s="83">
        <v>46100</v>
      </c>
    </row>
    <row r="307" spans="2:29" ht="23" x14ac:dyDescent="0.35">
      <c r="B307" s="81" t="s">
        <v>338</v>
      </c>
      <c r="C307" s="81" t="s">
        <v>339</v>
      </c>
      <c r="D307" s="81" t="s">
        <v>340</v>
      </c>
      <c r="E307" s="81" t="s">
        <v>359</v>
      </c>
      <c r="F307" s="162" t="s">
        <v>360</v>
      </c>
      <c r="G307" s="163"/>
      <c r="H307" s="81" t="s">
        <v>659</v>
      </c>
      <c r="I307" s="81" t="s">
        <v>344</v>
      </c>
      <c r="J307" s="81" t="s">
        <v>11</v>
      </c>
      <c r="K307" s="81" t="s">
        <v>697</v>
      </c>
      <c r="L307" s="81" t="s">
        <v>129</v>
      </c>
      <c r="M307" s="164">
        <v>29.3</v>
      </c>
      <c r="N307" s="165"/>
      <c r="O307" s="163"/>
      <c r="P307" s="82">
        <v>106.09</v>
      </c>
      <c r="Q307" s="164">
        <v>0</v>
      </c>
      <c r="R307" s="163"/>
      <c r="S307" s="81" t="s">
        <v>346</v>
      </c>
      <c r="T307" s="82">
        <v>61</v>
      </c>
      <c r="U307" s="82">
        <v>0</v>
      </c>
      <c r="V307" s="82">
        <v>0</v>
      </c>
      <c r="W307" s="82">
        <v>0</v>
      </c>
      <c r="X307" s="81" t="s">
        <v>144</v>
      </c>
      <c r="Y307" s="82">
        <v>12</v>
      </c>
      <c r="Z307" s="81" t="s">
        <v>138</v>
      </c>
      <c r="AA307" s="81" t="s">
        <v>664</v>
      </c>
      <c r="AB307" s="81" t="s">
        <v>665</v>
      </c>
      <c r="AC307" s="83">
        <v>46100</v>
      </c>
    </row>
    <row r="308" spans="2:29" ht="23" x14ac:dyDescent="0.35">
      <c r="B308" s="81" t="s">
        <v>338</v>
      </c>
      <c r="C308" s="81" t="s">
        <v>339</v>
      </c>
      <c r="D308" s="81" t="s">
        <v>340</v>
      </c>
      <c r="E308" s="81" t="s">
        <v>359</v>
      </c>
      <c r="F308" s="162" t="s">
        <v>360</v>
      </c>
      <c r="G308" s="163"/>
      <c r="H308" s="81" t="s">
        <v>659</v>
      </c>
      <c r="I308" s="81" t="s">
        <v>344</v>
      </c>
      <c r="J308" s="81" t="s">
        <v>11</v>
      </c>
      <c r="K308" s="81" t="s">
        <v>698</v>
      </c>
      <c r="L308" s="81" t="s">
        <v>129</v>
      </c>
      <c r="M308" s="164">
        <v>23.6</v>
      </c>
      <c r="N308" s="165"/>
      <c r="O308" s="163"/>
      <c r="P308" s="82">
        <v>85.45</v>
      </c>
      <c r="Q308" s="164">
        <v>0</v>
      </c>
      <c r="R308" s="163"/>
      <c r="S308" s="81" t="s">
        <v>346</v>
      </c>
      <c r="T308" s="82">
        <v>61</v>
      </c>
      <c r="U308" s="82">
        <v>0</v>
      </c>
      <c r="V308" s="82">
        <v>0</v>
      </c>
      <c r="W308" s="82">
        <v>0</v>
      </c>
      <c r="X308" s="81" t="s">
        <v>144</v>
      </c>
      <c r="Y308" s="82">
        <v>20</v>
      </c>
      <c r="Z308" s="81" t="s">
        <v>138</v>
      </c>
      <c r="AA308" s="81" t="s">
        <v>664</v>
      </c>
      <c r="AB308" s="81" t="s">
        <v>665</v>
      </c>
      <c r="AC308" s="83">
        <v>46100</v>
      </c>
    </row>
    <row r="309" spans="2:29" ht="23" x14ac:dyDescent="0.35">
      <c r="B309" s="81" t="s">
        <v>338</v>
      </c>
      <c r="C309" s="81" t="s">
        <v>339</v>
      </c>
      <c r="D309" s="81" t="s">
        <v>340</v>
      </c>
      <c r="E309" s="81" t="s">
        <v>359</v>
      </c>
      <c r="F309" s="162" t="s">
        <v>360</v>
      </c>
      <c r="G309" s="163"/>
      <c r="H309" s="81" t="s">
        <v>659</v>
      </c>
      <c r="I309" s="81" t="s">
        <v>344</v>
      </c>
      <c r="J309" s="81" t="s">
        <v>11</v>
      </c>
      <c r="K309" s="81" t="s">
        <v>699</v>
      </c>
      <c r="L309" s="81" t="s">
        <v>129</v>
      </c>
      <c r="M309" s="164">
        <v>25.3</v>
      </c>
      <c r="N309" s="165"/>
      <c r="O309" s="163"/>
      <c r="P309" s="82">
        <v>91.6</v>
      </c>
      <c r="Q309" s="164">
        <v>0</v>
      </c>
      <c r="R309" s="163"/>
      <c r="S309" s="81" t="s">
        <v>346</v>
      </c>
      <c r="T309" s="82">
        <v>61</v>
      </c>
      <c r="U309" s="82">
        <v>0</v>
      </c>
      <c r="V309" s="82">
        <v>0</v>
      </c>
      <c r="W309" s="82">
        <v>0</v>
      </c>
      <c r="X309" s="81" t="s">
        <v>144</v>
      </c>
      <c r="Y309" s="82">
        <v>12</v>
      </c>
      <c r="Z309" s="81" t="s">
        <v>138</v>
      </c>
      <c r="AA309" s="81" t="s">
        <v>664</v>
      </c>
      <c r="AB309" s="81" t="s">
        <v>665</v>
      </c>
      <c r="AC309" s="83">
        <v>46100</v>
      </c>
    </row>
    <row r="310" spans="2:29" ht="23" x14ac:dyDescent="0.35">
      <c r="B310" s="81" t="s">
        <v>338</v>
      </c>
      <c r="C310" s="81" t="s">
        <v>339</v>
      </c>
      <c r="D310" s="81" t="s">
        <v>340</v>
      </c>
      <c r="E310" s="81" t="s">
        <v>359</v>
      </c>
      <c r="F310" s="162" t="s">
        <v>360</v>
      </c>
      <c r="G310" s="163"/>
      <c r="H310" s="81" t="s">
        <v>659</v>
      </c>
      <c r="I310" s="81" t="s">
        <v>344</v>
      </c>
      <c r="J310" s="81" t="s">
        <v>11</v>
      </c>
      <c r="K310" s="81" t="s">
        <v>700</v>
      </c>
      <c r="L310" s="81" t="s">
        <v>129</v>
      </c>
      <c r="M310" s="164">
        <v>23.2</v>
      </c>
      <c r="N310" s="165"/>
      <c r="O310" s="163"/>
      <c r="P310" s="82">
        <v>84</v>
      </c>
      <c r="Q310" s="164">
        <v>0</v>
      </c>
      <c r="R310" s="163"/>
      <c r="S310" s="81" t="s">
        <v>346</v>
      </c>
      <c r="T310" s="82">
        <v>61</v>
      </c>
      <c r="U310" s="82">
        <v>0</v>
      </c>
      <c r="V310" s="82">
        <v>0</v>
      </c>
      <c r="W310" s="82">
        <v>0</v>
      </c>
      <c r="X310" s="81" t="s">
        <v>141</v>
      </c>
      <c r="Y310" s="82">
        <v>16</v>
      </c>
      <c r="Z310" s="81" t="s">
        <v>138</v>
      </c>
      <c r="AA310" s="81" t="s">
        <v>664</v>
      </c>
      <c r="AB310" s="81" t="s">
        <v>665</v>
      </c>
      <c r="AC310" s="83">
        <v>46100</v>
      </c>
    </row>
    <row r="311" spans="2:29" ht="23" x14ac:dyDescent="0.35">
      <c r="B311" s="81" t="s">
        <v>338</v>
      </c>
      <c r="C311" s="81" t="s">
        <v>339</v>
      </c>
      <c r="D311" s="81" t="s">
        <v>340</v>
      </c>
      <c r="E311" s="81" t="s">
        <v>359</v>
      </c>
      <c r="F311" s="162" t="s">
        <v>360</v>
      </c>
      <c r="G311" s="163"/>
      <c r="H311" s="81" t="s">
        <v>659</v>
      </c>
      <c r="I311" s="81" t="s">
        <v>344</v>
      </c>
      <c r="J311" s="81" t="s">
        <v>11</v>
      </c>
      <c r="K311" s="81" t="s">
        <v>701</v>
      </c>
      <c r="L311" s="81" t="s">
        <v>129</v>
      </c>
      <c r="M311" s="164">
        <v>23.8</v>
      </c>
      <c r="N311" s="165"/>
      <c r="O311" s="163"/>
      <c r="P311" s="82">
        <v>86.17</v>
      </c>
      <c r="Q311" s="164">
        <v>0</v>
      </c>
      <c r="R311" s="163"/>
      <c r="S311" s="81" t="s">
        <v>346</v>
      </c>
      <c r="T311" s="82">
        <v>61</v>
      </c>
      <c r="U311" s="82">
        <v>0</v>
      </c>
      <c r="V311" s="82">
        <v>0</v>
      </c>
      <c r="W311" s="82">
        <v>0</v>
      </c>
      <c r="X311" s="81" t="s">
        <v>141</v>
      </c>
      <c r="Y311" s="82">
        <v>20</v>
      </c>
      <c r="Z311" s="81" t="s">
        <v>138</v>
      </c>
      <c r="AA311" s="81" t="s">
        <v>664</v>
      </c>
      <c r="AB311" s="81" t="s">
        <v>665</v>
      </c>
      <c r="AC311" s="83">
        <v>46100</v>
      </c>
    </row>
    <row r="312" spans="2:29" ht="23" x14ac:dyDescent="0.35">
      <c r="B312" s="81" t="s">
        <v>338</v>
      </c>
      <c r="C312" s="81" t="s">
        <v>339</v>
      </c>
      <c r="D312" s="81" t="s">
        <v>340</v>
      </c>
      <c r="E312" s="81" t="s">
        <v>359</v>
      </c>
      <c r="F312" s="162" t="s">
        <v>360</v>
      </c>
      <c r="G312" s="163"/>
      <c r="H312" s="81" t="s">
        <v>659</v>
      </c>
      <c r="I312" s="81" t="s">
        <v>344</v>
      </c>
      <c r="J312" s="81" t="s">
        <v>11</v>
      </c>
      <c r="K312" s="81" t="s">
        <v>702</v>
      </c>
      <c r="L312" s="81" t="s">
        <v>129</v>
      </c>
      <c r="M312" s="164">
        <v>22.6</v>
      </c>
      <c r="N312" s="165"/>
      <c r="O312" s="163"/>
      <c r="P312" s="82">
        <v>81.83</v>
      </c>
      <c r="Q312" s="164">
        <v>0</v>
      </c>
      <c r="R312" s="163"/>
      <c r="S312" s="81" t="s">
        <v>346</v>
      </c>
      <c r="T312" s="82">
        <v>61</v>
      </c>
      <c r="U312" s="82">
        <v>0</v>
      </c>
      <c r="V312" s="82">
        <v>0</v>
      </c>
      <c r="W312" s="82">
        <v>0</v>
      </c>
      <c r="X312" s="81" t="s">
        <v>141</v>
      </c>
      <c r="Y312" s="82">
        <v>24</v>
      </c>
      <c r="Z312" s="81" t="s">
        <v>138</v>
      </c>
      <c r="AA312" s="81" t="s">
        <v>664</v>
      </c>
      <c r="AB312" s="81" t="s">
        <v>665</v>
      </c>
      <c r="AC312" s="83">
        <v>46100</v>
      </c>
    </row>
    <row r="313" spans="2:29" ht="23" x14ac:dyDescent="0.35">
      <c r="B313" s="81" t="s">
        <v>338</v>
      </c>
      <c r="C313" s="81" t="s">
        <v>339</v>
      </c>
      <c r="D313" s="81" t="s">
        <v>340</v>
      </c>
      <c r="E313" s="81" t="s">
        <v>359</v>
      </c>
      <c r="F313" s="162" t="s">
        <v>360</v>
      </c>
      <c r="G313" s="163"/>
      <c r="H313" s="81" t="s">
        <v>659</v>
      </c>
      <c r="I313" s="81" t="s">
        <v>344</v>
      </c>
      <c r="J313" s="81" t="s">
        <v>11</v>
      </c>
      <c r="K313" s="81" t="s">
        <v>703</v>
      </c>
      <c r="L313" s="81" t="s">
        <v>129</v>
      </c>
      <c r="M313" s="164">
        <v>23.3</v>
      </c>
      <c r="N313" s="165"/>
      <c r="O313" s="163"/>
      <c r="P313" s="82">
        <v>84.36</v>
      </c>
      <c r="Q313" s="164">
        <v>0</v>
      </c>
      <c r="R313" s="163"/>
      <c r="S313" s="81" t="s">
        <v>346</v>
      </c>
      <c r="T313" s="82">
        <v>61</v>
      </c>
      <c r="U313" s="82">
        <v>0</v>
      </c>
      <c r="V313" s="82">
        <v>0</v>
      </c>
      <c r="W313" s="82">
        <v>0</v>
      </c>
      <c r="X313" s="81" t="s">
        <v>141</v>
      </c>
      <c r="Y313" s="82">
        <v>20</v>
      </c>
      <c r="Z313" s="81" t="s">
        <v>138</v>
      </c>
      <c r="AA313" s="81" t="s">
        <v>664</v>
      </c>
      <c r="AB313" s="81" t="s">
        <v>665</v>
      </c>
      <c r="AC313" s="83">
        <v>46100</v>
      </c>
    </row>
    <row r="314" spans="2:29" ht="23" x14ac:dyDescent="0.35">
      <c r="B314" s="81" t="s">
        <v>338</v>
      </c>
      <c r="C314" s="81" t="s">
        <v>339</v>
      </c>
      <c r="D314" s="81" t="s">
        <v>340</v>
      </c>
      <c r="E314" s="81" t="s">
        <v>359</v>
      </c>
      <c r="F314" s="162" t="s">
        <v>360</v>
      </c>
      <c r="G314" s="163"/>
      <c r="H314" s="81" t="s">
        <v>659</v>
      </c>
      <c r="I314" s="81" t="s">
        <v>344</v>
      </c>
      <c r="J314" s="81" t="s">
        <v>11</v>
      </c>
      <c r="K314" s="81" t="s">
        <v>704</v>
      </c>
      <c r="L314" s="81" t="s">
        <v>11</v>
      </c>
      <c r="M314" s="164">
        <v>13.5</v>
      </c>
      <c r="N314" s="165"/>
      <c r="O314" s="163"/>
      <c r="P314" s="82">
        <v>48.88</v>
      </c>
      <c r="Q314" s="164">
        <v>0</v>
      </c>
      <c r="R314" s="163"/>
      <c r="S314" s="81" t="s">
        <v>346</v>
      </c>
      <c r="T314" s="82">
        <v>61</v>
      </c>
      <c r="U314" s="82">
        <v>0</v>
      </c>
      <c r="V314" s="82">
        <v>0</v>
      </c>
      <c r="W314" s="82">
        <v>0</v>
      </c>
      <c r="X314" s="81" t="s">
        <v>135</v>
      </c>
      <c r="Y314" s="82">
        <v>20</v>
      </c>
      <c r="Z314" s="81" t="s">
        <v>138</v>
      </c>
      <c r="AA314" s="81" t="s">
        <v>664</v>
      </c>
      <c r="AB314" s="81" t="s">
        <v>665</v>
      </c>
      <c r="AC314" s="83">
        <v>46100</v>
      </c>
    </row>
    <row r="315" spans="2:29" ht="23" x14ac:dyDescent="0.35">
      <c r="B315" s="81" t="s">
        <v>338</v>
      </c>
      <c r="C315" s="81" t="s">
        <v>339</v>
      </c>
      <c r="D315" s="81" t="s">
        <v>340</v>
      </c>
      <c r="E315" s="81" t="s">
        <v>359</v>
      </c>
      <c r="F315" s="162" t="s">
        <v>360</v>
      </c>
      <c r="G315" s="163"/>
      <c r="H315" s="81" t="s">
        <v>659</v>
      </c>
      <c r="I315" s="81" t="s">
        <v>344</v>
      </c>
      <c r="J315" s="81" t="s">
        <v>11</v>
      </c>
      <c r="K315" s="81" t="s">
        <v>705</v>
      </c>
      <c r="L315" s="81" t="s">
        <v>129</v>
      </c>
      <c r="M315" s="164">
        <v>20.9</v>
      </c>
      <c r="N315" s="165"/>
      <c r="O315" s="163"/>
      <c r="P315" s="82">
        <v>75.67</v>
      </c>
      <c r="Q315" s="164">
        <v>0</v>
      </c>
      <c r="R315" s="163"/>
      <c r="S315" s="81" t="s">
        <v>346</v>
      </c>
      <c r="T315" s="82">
        <v>61</v>
      </c>
      <c r="U315" s="82">
        <v>0</v>
      </c>
      <c r="V315" s="82">
        <v>0</v>
      </c>
      <c r="W315" s="82">
        <v>0</v>
      </c>
      <c r="X315" s="81" t="s">
        <v>144</v>
      </c>
      <c r="Y315" s="82">
        <v>12</v>
      </c>
      <c r="Z315" s="81" t="s">
        <v>138</v>
      </c>
      <c r="AA315" s="81" t="s">
        <v>664</v>
      </c>
      <c r="AB315" s="81" t="s">
        <v>665</v>
      </c>
      <c r="AC315" s="83">
        <v>46100</v>
      </c>
    </row>
    <row r="316" spans="2:29" ht="23" x14ac:dyDescent="0.35">
      <c r="B316" s="81" t="s">
        <v>338</v>
      </c>
      <c r="C316" s="81" t="s">
        <v>339</v>
      </c>
      <c r="D316" s="81" t="s">
        <v>340</v>
      </c>
      <c r="E316" s="81" t="s">
        <v>359</v>
      </c>
      <c r="F316" s="162" t="s">
        <v>360</v>
      </c>
      <c r="G316" s="163"/>
      <c r="H316" s="81" t="s">
        <v>659</v>
      </c>
      <c r="I316" s="81" t="s">
        <v>344</v>
      </c>
      <c r="J316" s="81" t="s">
        <v>11</v>
      </c>
      <c r="K316" s="81" t="s">
        <v>706</v>
      </c>
      <c r="L316" s="81" t="s">
        <v>129</v>
      </c>
      <c r="M316" s="164">
        <v>31.7</v>
      </c>
      <c r="N316" s="165"/>
      <c r="O316" s="163"/>
      <c r="P316" s="82">
        <v>114.78</v>
      </c>
      <c r="Q316" s="164">
        <v>0</v>
      </c>
      <c r="R316" s="163"/>
      <c r="S316" s="81" t="s">
        <v>346</v>
      </c>
      <c r="T316" s="82">
        <v>61</v>
      </c>
      <c r="U316" s="82">
        <v>0</v>
      </c>
      <c r="V316" s="82">
        <v>0</v>
      </c>
      <c r="W316" s="82">
        <v>0</v>
      </c>
      <c r="X316" s="81" t="s">
        <v>142</v>
      </c>
      <c r="Y316" s="82">
        <v>12</v>
      </c>
      <c r="Z316" s="81" t="s">
        <v>138</v>
      </c>
      <c r="AA316" s="81" t="s">
        <v>664</v>
      </c>
      <c r="AB316" s="81" t="s">
        <v>665</v>
      </c>
      <c r="AC316" s="83">
        <v>46100</v>
      </c>
    </row>
    <row r="317" spans="2:29" ht="23" x14ac:dyDescent="0.35">
      <c r="B317" s="81" t="s">
        <v>338</v>
      </c>
      <c r="C317" s="81" t="s">
        <v>339</v>
      </c>
      <c r="D317" s="81" t="s">
        <v>340</v>
      </c>
      <c r="E317" s="81" t="s">
        <v>359</v>
      </c>
      <c r="F317" s="162" t="s">
        <v>360</v>
      </c>
      <c r="G317" s="163"/>
      <c r="H317" s="81" t="s">
        <v>659</v>
      </c>
      <c r="I317" s="81" t="s">
        <v>344</v>
      </c>
      <c r="J317" s="81" t="s">
        <v>11</v>
      </c>
      <c r="K317" s="81" t="s">
        <v>707</v>
      </c>
      <c r="L317" s="81" t="s">
        <v>129</v>
      </c>
      <c r="M317" s="164">
        <v>23</v>
      </c>
      <c r="N317" s="165"/>
      <c r="O317" s="163"/>
      <c r="P317" s="82">
        <v>83.28</v>
      </c>
      <c r="Q317" s="164">
        <v>0</v>
      </c>
      <c r="R317" s="163"/>
      <c r="S317" s="81" t="s">
        <v>346</v>
      </c>
      <c r="T317" s="82">
        <v>61</v>
      </c>
      <c r="U317" s="82">
        <v>0</v>
      </c>
      <c r="V317" s="82">
        <v>0</v>
      </c>
      <c r="W317" s="82">
        <v>0</v>
      </c>
      <c r="X317" s="81" t="s">
        <v>144</v>
      </c>
      <c r="Y317" s="82">
        <v>12</v>
      </c>
      <c r="Z317" s="81" t="s">
        <v>138</v>
      </c>
      <c r="AA317" s="81" t="s">
        <v>664</v>
      </c>
      <c r="AB317" s="81" t="s">
        <v>665</v>
      </c>
      <c r="AC317" s="83">
        <v>46100</v>
      </c>
    </row>
    <row r="318" spans="2:29" ht="23" x14ac:dyDescent="0.35">
      <c r="B318" s="81" t="s">
        <v>338</v>
      </c>
      <c r="C318" s="81" t="s">
        <v>339</v>
      </c>
      <c r="D318" s="81" t="s">
        <v>340</v>
      </c>
      <c r="E318" s="81" t="s">
        <v>359</v>
      </c>
      <c r="F318" s="162" t="s">
        <v>360</v>
      </c>
      <c r="G318" s="163"/>
      <c r="H318" s="81" t="s">
        <v>659</v>
      </c>
      <c r="I318" s="81" t="s">
        <v>344</v>
      </c>
      <c r="J318" s="81" t="s">
        <v>11</v>
      </c>
      <c r="K318" s="81" t="s">
        <v>708</v>
      </c>
      <c r="L318" s="81" t="s">
        <v>129</v>
      </c>
      <c r="M318" s="164">
        <v>30.7</v>
      </c>
      <c r="N318" s="165"/>
      <c r="O318" s="163"/>
      <c r="P318" s="82">
        <v>111.16</v>
      </c>
      <c r="Q318" s="164">
        <v>0</v>
      </c>
      <c r="R318" s="163"/>
      <c r="S318" s="81" t="s">
        <v>346</v>
      </c>
      <c r="T318" s="82">
        <v>61</v>
      </c>
      <c r="U318" s="82">
        <v>0</v>
      </c>
      <c r="V318" s="82">
        <v>0</v>
      </c>
      <c r="W318" s="82">
        <v>0</v>
      </c>
      <c r="X318" s="81" t="s">
        <v>135</v>
      </c>
      <c r="Y318" s="82">
        <v>20</v>
      </c>
      <c r="Z318" s="81" t="s">
        <v>138</v>
      </c>
      <c r="AA318" s="81" t="s">
        <v>664</v>
      </c>
      <c r="AB318" s="81" t="s">
        <v>665</v>
      </c>
      <c r="AC318" s="83">
        <v>46100</v>
      </c>
    </row>
    <row r="319" spans="2:29" ht="23" x14ac:dyDescent="0.35">
      <c r="B319" s="81" t="s">
        <v>338</v>
      </c>
      <c r="C319" s="81" t="s">
        <v>339</v>
      </c>
      <c r="D319" s="81" t="s">
        <v>340</v>
      </c>
      <c r="E319" s="81" t="s">
        <v>359</v>
      </c>
      <c r="F319" s="162" t="s">
        <v>360</v>
      </c>
      <c r="G319" s="163"/>
      <c r="H319" s="81" t="s">
        <v>659</v>
      </c>
      <c r="I319" s="81" t="s">
        <v>344</v>
      </c>
      <c r="J319" s="81" t="s">
        <v>11</v>
      </c>
      <c r="K319" s="81" t="s">
        <v>709</v>
      </c>
      <c r="L319" s="81" t="s">
        <v>129</v>
      </c>
      <c r="M319" s="164">
        <v>22.9</v>
      </c>
      <c r="N319" s="165"/>
      <c r="O319" s="163"/>
      <c r="P319" s="82">
        <v>82.91</v>
      </c>
      <c r="Q319" s="164">
        <v>0</v>
      </c>
      <c r="R319" s="163"/>
      <c r="S319" s="81" t="s">
        <v>346</v>
      </c>
      <c r="T319" s="82">
        <v>61</v>
      </c>
      <c r="U319" s="82">
        <v>0</v>
      </c>
      <c r="V319" s="82">
        <v>0</v>
      </c>
      <c r="W319" s="82">
        <v>0</v>
      </c>
      <c r="X319" s="81" t="s">
        <v>144</v>
      </c>
      <c r="Y319" s="82">
        <v>12</v>
      </c>
      <c r="Z319" s="81" t="s">
        <v>138</v>
      </c>
      <c r="AA319" s="81" t="s">
        <v>664</v>
      </c>
      <c r="AB319" s="81" t="s">
        <v>665</v>
      </c>
      <c r="AC319" s="83">
        <v>46100</v>
      </c>
    </row>
    <row r="320" spans="2:29" ht="23" x14ac:dyDescent="0.35">
      <c r="B320" s="81" t="s">
        <v>338</v>
      </c>
      <c r="C320" s="81" t="s">
        <v>339</v>
      </c>
      <c r="D320" s="81" t="s">
        <v>340</v>
      </c>
      <c r="E320" s="81" t="s">
        <v>359</v>
      </c>
      <c r="F320" s="162" t="s">
        <v>360</v>
      </c>
      <c r="G320" s="163"/>
      <c r="H320" s="81" t="s">
        <v>659</v>
      </c>
      <c r="I320" s="81" t="s">
        <v>344</v>
      </c>
      <c r="J320" s="81" t="s">
        <v>11</v>
      </c>
      <c r="K320" s="81" t="s">
        <v>710</v>
      </c>
      <c r="L320" s="81" t="s">
        <v>129</v>
      </c>
      <c r="M320" s="164">
        <v>29.9</v>
      </c>
      <c r="N320" s="165"/>
      <c r="O320" s="163"/>
      <c r="P320" s="82">
        <v>108.26</v>
      </c>
      <c r="Q320" s="164">
        <v>0</v>
      </c>
      <c r="R320" s="163"/>
      <c r="S320" s="81" t="s">
        <v>346</v>
      </c>
      <c r="T320" s="82">
        <v>61</v>
      </c>
      <c r="U320" s="82">
        <v>0</v>
      </c>
      <c r="V320" s="82">
        <v>0</v>
      </c>
      <c r="W320" s="82">
        <v>0</v>
      </c>
      <c r="X320" s="81" t="s">
        <v>135</v>
      </c>
      <c r="Y320" s="82">
        <v>8</v>
      </c>
      <c r="Z320" s="81" t="s">
        <v>138</v>
      </c>
      <c r="AA320" s="81" t="s">
        <v>664</v>
      </c>
      <c r="AB320" s="81" t="s">
        <v>665</v>
      </c>
      <c r="AC320" s="83">
        <v>46100</v>
      </c>
    </row>
    <row r="321" spans="2:29" ht="23" x14ac:dyDescent="0.35">
      <c r="B321" s="81" t="s">
        <v>338</v>
      </c>
      <c r="C321" s="81" t="s">
        <v>339</v>
      </c>
      <c r="D321" s="81" t="s">
        <v>340</v>
      </c>
      <c r="E321" s="81" t="s">
        <v>711</v>
      </c>
      <c r="F321" s="162" t="s">
        <v>712</v>
      </c>
      <c r="G321" s="163"/>
      <c r="H321" s="81" t="s">
        <v>713</v>
      </c>
      <c r="I321" s="81" t="s">
        <v>356</v>
      </c>
      <c r="J321" s="81" t="s">
        <v>128</v>
      </c>
      <c r="K321" s="81" t="s">
        <v>714</v>
      </c>
      <c r="L321" s="81" t="s">
        <v>129</v>
      </c>
      <c r="M321" s="164">
        <v>17.3</v>
      </c>
      <c r="N321" s="165"/>
      <c r="O321" s="163"/>
      <c r="P321" s="82">
        <v>76.63</v>
      </c>
      <c r="Q321" s="164">
        <v>0</v>
      </c>
      <c r="R321" s="163"/>
      <c r="S321" s="81" t="s">
        <v>358</v>
      </c>
      <c r="T321" s="82">
        <v>57</v>
      </c>
      <c r="U321" s="82">
        <v>0</v>
      </c>
      <c r="V321" s="82">
        <v>0</v>
      </c>
      <c r="W321" s="82">
        <v>0</v>
      </c>
      <c r="X321" s="81" t="s">
        <v>132</v>
      </c>
      <c r="Y321" s="82">
        <v>12</v>
      </c>
      <c r="Z321" s="81" t="s">
        <v>131</v>
      </c>
      <c r="AA321" s="81" t="s">
        <v>58</v>
      </c>
      <c r="AB321" s="81" t="s">
        <v>58</v>
      </c>
      <c r="AC321" s="83">
        <v>46105</v>
      </c>
    </row>
    <row r="322" spans="2:29" ht="23" x14ac:dyDescent="0.35">
      <c r="B322" s="81" t="s">
        <v>338</v>
      </c>
      <c r="C322" s="81" t="s">
        <v>339</v>
      </c>
      <c r="D322" s="81" t="s">
        <v>340</v>
      </c>
      <c r="E322" s="81" t="s">
        <v>715</v>
      </c>
      <c r="F322" s="162" t="s">
        <v>716</v>
      </c>
      <c r="G322" s="163"/>
      <c r="H322" s="81" t="s">
        <v>717</v>
      </c>
      <c r="I322" s="81" t="s">
        <v>356</v>
      </c>
      <c r="J322" s="81" t="s">
        <v>128</v>
      </c>
      <c r="K322" s="81" t="s">
        <v>718</v>
      </c>
      <c r="L322" s="81" t="s">
        <v>150</v>
      </c>
      <c r="M322" s="164">
        <v>8.6</v>
      </c>
      <c r="N322" s="165"/>
      <c r="O322" s="163"/>
      <c r="P322" s="82">
        <v>37.78</v>
      </c>
      <c r="Q322" s="164">
        <v>0</v>
      </c>
      <c r="R322" s="163"/>
      <c r="S322" s="81" t="s">
        <v>358</v>
      </c>
      <c r="T322" s="82">
        <v>55</v>
      </c>
      <c r="U322" s="82">
        <v>0</v>
      </c>
      <c r="V322" s="82">
        <v>0</v>
      </c>
      <c r="W322" s="82">
        <v>0</v>
      </c>
      <c r="X322" s="81" t="s">
        <v>133</v>
      </c>
      <c r="Y322" s="82">
        <v>3</v>
      </c>
      <c r="Z322" s="81" t="s">
        <v>138</v>
      </c>
      <c r="AA322" s="81" t="s">
        <v>58</v>
      </c>
      <c r="AB322" s="81" t="s">
        <v>58</v>
      </c>
      <c r="AC322" s="83">
        <v>46105</v>
      </c>
    </row>
    <row r="323" spans="2:29" ht="23" x14ac:dyDescent="0.35">
      <c r="B323" s="81" t="s">
        <v>338</v>
      </c>
      <c r="C323" s="81" t="s">
        <v>339</v>
      </c>
      <c r="D323" s="81" t="s">
        <v>340</v>
      </c>
      <c r="E323" s="81" t="s">
        <v>715</v>
      </c>
      <c r="F323" s="162" t="s">
        <v>716</v>
      </c>
      <c r="G323" s="163"/>
      <c r="H323" s="81" t="s">
        <v>717</v>
      </c>
      <c r="I323" s="81" t="s">
        <v>356</v>
      </c>
      <c r="J323" s="81" t="s">
        <v>128</v>
      </c>
      <c r="K323" s="81" t="s">
        <v>719</v>
      </c>
      <c r="L323" s="81" t="s">
        <v>150</v>
      </c>
      <c r="M323" s="164">
        <v>21.9</v>
      </c>
      <c r="N323" s="165"/>
      <c r="O323" s="163"/>
      <c r="P323" s="82">
        <v>96.22</v>
      </c>
      <c r="Q323" s="164">
        <v>0</v>
      </c>
      <c r="R323" s="163"/>
      <c r="S323" s="81" t="s">
        <v>358</v>
      </c>
      <c r="T323" s="82">
        <v>55</v>
      </c>
      <c r="U323" s="82">
        <v>0</v>
      </c>
      <c r="V323" s="82">
        <v>0</v>
      </c>
      <c r="W323" s="82">
        <v>0</v>
      </c>
      <c r="X323" s="81" t="s">
        <v>132</v>
      </c>
      <c r="Y323" s="82">
        <v>8</v>
      </c>
      <c r="Z323" s="81" t="s">
        <v>138</v>
      </c>
      <c r="AA323" s="81" t="s">
        <v>58</v>
      </c>
      <c r="AB323" s="81" t="s">
        <v>58</v>
      </c>
      <c r="AC323" s="83">
        <v>46105</v>
      </c>
    </row>
    <row r="324" spans="2:29" ht="23" x14ac:dyDescent="0.35">
      <c r="B324" s="81" t="s">
        <v>338</v>
      </c>
      <c r="C324" s="81" t="s">
        <v>339</v>
      </c>
      <c r="D324" s="81" t="s">
        <v>340</v>
      </c>
      <c r="E324" s="81" t="s">
        <v>715</v>
      </c>
      <c r="F324" s="162" t="s">
        <v>716</v>
      </c>
      <c r="G324" s="163"/>
      <c r="H324" s="81" t="s">
        <v>720</v>
      </c>
      <c r="I324" s="81" t="s">
        <v>344</v>
      </c>
      <c r="J324" s="81" t="s">
        <v>11</v>
      </c>
      <c r="K324" s="81" t="s">
        <v>721</v>
      </c>
      <c r="L324" s="81" t="s">
        <v>129</v>
      </c>
      <c r="M324" s="164">
        <v>21.7</v>
      </c>
      <c r="N324" s="165"/>
      <c r="O324" s="163"/>
      <c r="P324" s="82">
        <v>75.72</v>
      </c>
      <c r="Q324" s="164">
        <v>0</v>
      </c>
      <c r="R324" s="163"/>
      <c r="S324" s="81" t="s">
        <v>346</v>
      </c>
      <c r="T324" s="82">
        <v>63</v>
      </c>
      <c r="U324" s="82">
        <v>0</v>
      </c>
      <c r="V324" s="82">
        <v>0</v>
      </c>
      <c r="W324" s="82">
        <v>0</v>
      </c>
      <c r="X324" s="81"/>
      <c r="Y324" s="81"/>
      <c r="Z324" s="81" t="s">
        <v>138</v>
      </c>
      <c r="AA324" s="81" t="s">
        <v>58</v>
      </c>
      <c r="AB324" s="81" t="s">
        <v>58</v>
      </c>
      <c r="AC324" s="83">
        <v>46105</v>
      </c>
    </row>
    <row r="325" spans="2:29" ht="23" x14ac:dyDescent="0.35">
      <c r="B325" s="81" t="s">
        <v>338</v>
      </c>
      <c r="C325" s="81" t="s">
        <v>339</v>
      </c>
      <c r="D325" s="81" t="s">
        <v>340</v>
      </c>
      <c r="E325" s="81" t="s">
        <v>715</v>
      </c>
      <c r="F325" s="162" t="s">
        <v>716</v>
      </c>
      <c r="G325" s="163"/>
      <c r="H325" s="81" t="s">
        <v>720</v>
      </c>
      <c r="I325" s="81" t="s">
        <v>344</v>
      </c>
      <c r="J325" s="81" t="s">
        <v>11</v>
      </c>
      <c r="K325" s="81" t="s">
        <v>722</v>
      </c>
      <c r="L325" s="81" t="s">
        <v>129</v>
      </c>
      <c r="M325" s="164">
        <v>22.4</v>
      </c>
      <c r="N325" s="165"/>
      <c r="O325" s="163"/>
      <c r="P325" s="82">
        <v>78.16</v>
      </c>
      <c r="Q325" s="164">
        <v>0</v>
      </c>
      <c r="R325" s="163"/>
      <c r="S325" s="81" t="s">
        <v>346</v>
      </c>
      <c r="T325" s="82">
        <v>63</v>
      </c>
      <c r="U325" s="82">
        <v>0</v>
      </c>
      <c r="V325" s="82">
        <v>0</v>
      </c>
      <c r="W325" s="82">
        <v>0</v>
      </c>
      <c r="X325" s="81" t="s">
        <v>141</v>
      </c>
      <c r="Y325" s="82">
        <v>4</v>
      </c>
      <c r="Z325" s="81" t="s">
        <v>138</v>
      </c>
      <c r="AA325" s="81" t="s">
        <v>58</v>
      </c>
      <c r="AB325" s="81" t="s">
        <v>58</v>
      </c>
      <c r="AC325" s="83">
        <v>46105</v>
      </c>
    </row>
    <row r="326" spans="2:29" ht="23" x14ac:dyDescent="0.35">
      <c r="B326" s="81" t="s">
        <v>338</v>
      </c>
      <c r="C326" s="81" t="s">
        <v>339</v>
      </c>
      <c r="D326" s="81" t="s">
        <v>340</v>
      </c>
      <c r="E326" s="81" t="s">
        <v>715</v>
      </c>
      <c r="F326" s="162" t="s">
        <v>716</v>
      </c>
      <c r="G326" s="163"/>
      <c r="H326" s="81" t="s">
        <v>720</v>
      </c>
      <c r="I326" s="81" t="s">
        <v>344</v>
      </c>
      <c r="J326" s="81" t="s">
        <v>11</v>
      </c>
      <c r="K326" s="81" t="s">
        <v>723</v>
      </c>
      <c r="L326" s="81" t="s">
        <v>129</v>
      </c>
      <c r="M326" s="164">
        <v>22.4</v>
      </c>
      <c r="N326" s="165"/>
      <c r="O326" s="163"/>
      <c r="P326" s="82">
        <v>78.16</v>
      </c>
      <c r="Q326" s="164">
        <v>0</v>
      </c>
      <c r="R326" s="163"/>
      <c r="S326" s="81" t="s">
        <v>346</v>
      </c>
      <c r="T326" s="82">
        <v>63</v>
      </c>
      <c r="U326" s="82">
        <v>0</v>
      </c>
      <c r="V326" s="82">
        <v>0</v>
      </c>
      <c r="W326" s="82">
        <v>0</v>
      </c>
      <c r="X326" s="81" t="s">
        <v>133</v>
      </c>
      <c r="Y326" s="82">
        <v>4</v>
      </c>
      <c r="Z326" s="81" t="s">
        <v>138</v>
      </c>
      <c r="AA326" s="81" t="s">
        <v>58</v>
      </c>
      <c r="AB326" s="81" t="s">
        <v>58</v>
      </c>
      <c r="AC326" s="83">
        <v>46105</v>
      </c>
    </row>
    <row r="327" spans="2:29" ht="23" x14ac:dyDescent="0.35">
      <c r="B327" s="81" t="s">
        <v>338</v>
      </c>
      <c r="C327" s="81" t="s">
        <v>339</v>
      </c>
      <c r="D327" s="81" t="s">
        <v>340</v>
      </c>
      <c r="E327" s="81" t="s">
        <v>715</v>
      </c>
      <c r="F327" s="162" t="s">
        <v>716</v>
      </c>
      <c r="G327" s="163"/>
      <c r="H327" s="81" t="s">
        <v>720</v>
      </c>
      <c r="I327" s="81" t="s">
        <v>344</v>
      </c>
      <c r="J327" s="81" t="s">
        <v>11</v>
      </c>
      <c r="K327" s="81" t="s">
        <v>724</v>
      </c>
      <c r="L327" s="81" t="s">
        <v>129</v>
      </c>
      <c r="M327" s="164">
        <v>22.3</v>
      </c>
      <c r="N327" s="165"/>
      <c r="O327" s="163"/>
      <c r="P327" s="82">
        <v>77.81</v>
      </c>
      <c r="Q327" s="164">
        <v>0</v>
      </c>
      <c r="R327" s="163"/>
      <c r="S327" s="81" t="s">
        <v>346</v>
      </c>
      <c r="T327" s="82">
        <v>63</v>
      </c>
      <c r="U327" s="82">
        <v>0</v>
      </c>
      <c r="V327" s="82">
        <v>0</v>
      </c>
      <c r="W327" s="82">
        <v>0</v>
      </c>
      <c r="X327" s="81" t="s">
        <v>135</v>
      </c>
      <c r="Y327" s="82">
        <v>12</v>
      </c>
      <c r="Z327" s="81" t="s">
        <v>138</v>
      </c>
      <c r="AA327" s="81" t="s">
        <v>58</v>
      </c>
      <c r="AB327" s="81" t="s">
        <v>58</v>
      </c>
      <c r="AC327" s="83">
        <v>46105</v>
      </c>
    </row>
    <row r="328" spans="2:29" ht="23" x14ac:dyDescent="0.35">
      <c r="B328" s="81" t="s">
        <v>338</v>
      </c>
      <c r="C328" s="81" t="s">
        <v>339</v>
      </c>
      <c r="D328" s="81" t="s">
        <v>340</v>
      </c>
      <c r="E328" s="81" t="s">
        <v>715</v>
      </c>
      <c r="F328" s="162" t="s">
        <v>716</v>
      </c>
      <c r="G328" s="163"/>
      <c r="H328" s="81" t="s">
        <v>720</v>
      </c>
      <c r="I328" s="81" t="s">
        <v>344</v>
      </c>
      <c r="J328" s="81" t="s">
        <v>11</v>
      </c>
      <c r="K328" s="81" t="s">
        <v>725</v>
      </c>
      <c r="L328" s="81" t="s">
        <v>129</v>
      </c>
      <c r="M328" s="164">
        <v>22.3</v>
      </c>
      <c r="N328" s="165"/>
      <c r="O328" s="163"/>
      <c r="P328" s="82">
        <v>77.81</v>
      </c>
      <c r="Q328" s="164">
        <v>0</v>
      </c>
      <c r="R328" s="163"/>
      <c r="S328" s="81" t="s">
        <v>346</v>
      </c>
      <c r="T328" s="82">
        <v>63</v>
      </c>
      <c r="U328" s="82">
        <v>0</v>
      </c>
      <c r="V328" s="82">
        <v>0</v>
      </c>
      <c r="W328" s="82">
        <v>0</v>
      </c>
      <c r="X328" s="81" t="s">
        <v>141</v>
      </c>
      <c r="Y328" s="82">
        <v>4</v>
      </c>
      <c r="Z328" s="81" t="s">
        <v>138</v>
      </c>
      <c r="AA328" s="81" t="s">
        <v>58</v>
      </c>
      <c r="AB328" s="81" t="s">
        <v>58</v>
      </c>
      <c r="AC328" s="83">
        <v>46105</v>
      </c>
    </row>
    <row r="329" spans="2:29" ht="23" x14ac:dyDescent="0.35">
      <c r="B329" s="81" t="s">
        <v>338</v>
      </c>
      <c r="C329" s="81" t="s">
        <v>339</v>
      </c>
      <c r="D329" s="81" t="s">
        <v>340</v>
      </c>
      <c r="E329" s="81" t="s">
        <v>715</v>
      </c>
      <c r="F329" s="162" t="s">
        <v>716</v>
      </c>
      <c r="G329" s="163"/>
      <c r="H329" s="81" t="s">
        <v>720</v>
      </c>
      <c r="I329" s="81" t="s">
        <v>344</v>
      </c>
      <c r="J329" s="81" t="s">
        <v>11</v>
      </c>
      <c r="K329" s="81" t="s">
        <v>726</v>
      </c>
      <c r="L329" s="81" t="s">
        <v>129</v>
      </c>
      <c r="M329" s="164">
        <v>22.3</v>
      </c>
      <c r="N329" s="165"/>
      <c r="O329" s="163"/>
      <c r="P329" s="82">
        <v>77.81</v>
      </c>
      <c r="Q329" s="164">
        <v>0</v>
      </c>
      <c r="R329" s="163"/>
      <c r="S329" s="81" t="s">
        <v>346</v>
      </c>
      <c r="T329" s="82">
        <v>63</v>
      </c>
      <c r="U329" s="82">
        <v>0</v>
      </c>
      <c r="V329" s="82">
        <v>0</v>
      </c>
      <c r="W329" s="82">
        <v>0</v>
      </c>
      <c r="X329" s="81"/>
      <c r="Y329" s="81"/>
      <c r="Z329" s="81" t="s">
        <v>138</v>
      </c>
      <c r="AA329" s="81" t="s">
        <v>58</v>
      </c>
      <c r="AB329" s="81" t="s">
        <v>58</v>
      </c>
      <c r="AC329" s="83">
        <v>46105</v>
      </c>
    </row>
    <row r="330" spans="2:29" ht="23" x14ac:dyDescent="0.35">
      <c r="B330" s="81" t="s">
        <v>338</v>
      </c>
      <c r="C330" s="81" t="s">
        <v>339</v>
      </c>
      <c r="D330" s="81" t="s">
        <v>340</v>
      </c>
      <c r="E330" s="81" t="s">
        <v>715</v>
      </c>
      <c r="F330" s="162" t="s">
        <v>716</v>
      </c>
      <c r="G330" s="163"/>
      <c r="H330" s="81" t="s">
        <v>720</v>
      </c>
      <c r="I330" s="81" t="s">
        <v>344</v>
      </c>
      <c r="J330" s="81" t="s">
        <v>11</v>
      </c>
      <c r="K330" s="81" t="s">
        <v>727</v>
      </c>
      <c r="L330" s="81" t="s">
        <v>129</v>
      </c>
      <c r="M330" s="164">
        <v>22.2</v>
      </c>
      <c r="N330" s="165"/>
      <c r="O330" s="163"/>
      <c r="P330" s="82">
        <v>77.459999999999994</v>
      </c>
      <c r="Q330" s="164">
        <v>0</v>
      </c>
      <c r="R330" s="163"/>
      <c r="S330" s="81" t="s">
        <v>346</v>
      </c>
      <c r="T330" s="82">
        <v>63</v>
      </c>
      <c r="U330" s="82">
        <v>0</v>
      </c>
      <c r="V330" s="82">
        <v>0</v>
      </c>
      <c r="W330" s="82">
        <v>0</v>
      </c>
      <c r="X330" s="81" t="s">
        <v>133</v>
      </c>
      <c r="Y330" s="82">
        <v>4</v>
      </c>
      <c r="Z330" s="81" t="s">
        <v>138</v>
      </c>
      <c r="AA330" s="81" t="s">
        <v>58</v>
      </c>
      <c r="AB330" s="81" t="s">
        <v>58</v>
      </c>
      <c r="AC330" s="83">
        <v>46105</v>
      </c>
    </row>
    <row r="331" spans="2:29" ht="23" x14ac:dyDescent="0.35">
      <c r="B331" s="81" t="s">
        <v>338</v>
      </c>
      <c r="C331" s="81" t="s">
        <v>339</v>
      </c>
      <c r="D331" s="81" t="s">
        <v>340</v>
      </c>
      <c r="E331" s="81" t="s">
        <v>715</v>
      </c>
      <c r="F331" s="162" t="s">
        <v>716</v>
      </c>
      <c r="G331" s="163"/>
      <c r="H331" s="81" t="s">
        <v>720</v>
      </c>
      <c r="I331" s="81" t="s">
        <v>344</v>
      </c>
      <c r="J331" s="81" t="s">
        <v>11</v>
      </c>
      <c r="K331" s="81" t="s">
        <v>728</v>
      </c>
      <c r="L331" s="81" t="s">
        <v>129</v>
      </c>
      <c r="M331" s="164">
        <v>21.7</v>
      </c>
      <c r="N331" s="165"/>
      <c r="O331" s="163"/>
      <c r="P331" s="82">
        <v>75.72</v>
      </c>
      <c r="Q331" s="164">
        <v>0</v>
      </c>
      <c r="R331" s="163"/>
      <c r="S331" s="81" t="s">
        <v>346</v>
      </c>
      <c r="T331" s="82">
        <v>63</v>
      </c>
      <c r="U331" s="82">
        <v>0</v>
      </c>
      <c r="V331" s="82">
        <v>0</v>
      </c>
      <c r="W331" s="82">
        <v>0</v>
      </c>
      <c r="X331" s="81" t="s">
        <v>133</v>
      </c>
      <c r="Y331" s="82">
        <v>4</v>
      </c>
      <c r="Z331" s="81" t="s">
        <v>138</v>
      </c>
      <c r="AA331" s="81" t="s">
        <v>58</v>
      </c>
      <c r="AB331" s="81" t="s">
        <v>58</v>
      </c>
      <c r="AC331" s="83">
        <v>46105</v>
      </c>
    </row>
    <row r="332" spans="2:29" ht="23" x14ac:dyDescent="0.35">
      <c r="B332" s="81" t="s">
        <v>338</v>
      </c>
      <c r="C332" s="81" t="s">
        <v>339</v>
      </c>
      <c r="D332" s="81" t="s">
        <v>340</v>
      </c>
      <c r="E332" s="81" t="s">
        <v>715</v>
      </c>
      <c r="F332" s="162" t="s">
        <v>716</v>
      </c>
      <c r="G332" s="163"/>
      <c r="H332" s="81" t="s">
        <v>720</v>
      </c>
      <c r="I332" s="81" t="s">
        <v>344</v>
      </c>
      <c r="J332" s="81" t="s">
        <v>11</v>
      </c>
      <c r="K332" s="81" t="s">
        <v>729</v>
      </c>
      <c r="L332" s="81" t="s">
        <v>129</v>
      </c>
      <c r="M332" s="164">
        <v>22.2</v>
      </c>
      <c r="N332" s="165"/>
      <c r="O332" s="163"/>
      <c r="P332" s="82">
        <v>77.459999999999994</v>
      </c>
      <c r="Q332" s="164">
        <v>0</v>
      </c>
      <c r="R332" s="163"/>
      <c r="S332" s="81" t="s">
        <v>346</v>
      </c>
      <c r="T332" s="82">
        <v>63</v>
      </c>
      <c r="U332" s="82">
        <v>0</v>
      </c>
      <c r="V332" s="82">
        <v>0</v>
      </c>
      <c r="W332" s="82">
        <v>0</v>
      </c>
      <c r="X332" s="81" t="s">
        <v>133</v>
      </c>
      <c r="Y332" s="82">
        <v>8</v>
      </c>
      <c r="Z332" s="81" t="s">
        <v>138</v>
      </c>
      <c r="AA332" s="81" t="s">
        <v>58</v>
      </c>
      <c r="AB332" s="81" t="s">
        <v>58</v>
      </c>
      <c r="AC332" s="83">
        <v>46105</v>
      </c>
    </row>
    <row r="333" spans="2:29" ht="23" x14ac:dyDescent="0.35">
      <c r="B333" s="81" t="s">
        <v>338</v>
      </c>
      <c r="C333" s="81" t="s">
        <v>339</v>
      </c>
      <c r="D333" s="81" t="s">
        <v>340</v>
      </c>
      <c r="E333" s="81" t="s">
        <v>715</v>
      </c>
      <c r="F333" s="162" t="s">
        <v>716</v>
      </c>
      <c r="G333" s="163"/>
      <c r="H333" s="81" t="s">
        <v>720</v>
      </c>
      <c r="I333" s="81" t="s">
        <v>344</v>
      </c>
      <c r="J333" s="81" t="s">
        <v>11</v>
      </c>
      <c r="K333" s="81" t="s">
        <v>730</v>
      </c>
      <c r="L333" s="81" t="s">
        <v>129</v>
      </c>
      <c r="M333" s="164">
        <v>22.2</v>
      </c>
      <c r="N333" s="165"/>
      <c r="O333" s="163"/>
      <c r="P333" s="82">
        <v>77.459999999999994</v>
      </c>
      <c r="Q333" s="164">
        <v>0</v>
      </c>
      <c r="R333" s="163"/>
      <c r="S333" s="81" t="s">
        <v>346</v>
      </c>
      <c r="T333" s="82">
        <v>63</v>
      </c>
      <c r="U333" s="82">
        <v>0</v>
      </c>
      <c r="V333" s="82">
        <v>0</v>
      </c>
      <c r="W333" s="82">
        <v>0</v>
      </c>
      <c r="X333" s="81" t="s">
        <v>133</v>
      </c>
      <c r="Y333" s="82">
        <v>8</v>
      </c>
      <c r="Z333" s="81" t="s">
        <v>138</v>
      </c>
      <c r="AA333" s="81" t="s">
        <v>58</v>
      </c>
      <c r="AB333" s="81" t="s">
        <v>58</v>
      </c>
      <c r="AC333" s="83">
        <v>46105</v>
      </c>
    </row>
    <row r="334" spans="2:29" ht="23" x14ac:dyDescent="0.35">
      <c r="B334" s="81" t="s">
        <v>338</v>
      </c>
      <c r="C334" s="81" t="s">
        <v>339</v>
      </c>
      <c r="D334" s="81" t="s">
        <v>340</v>
      </c>
      <c r="E334" s="81" t="s">
        <v>715</v>
      </c>
      <c r="F334" s="162" t="s">
        <v>716</v>
      </c>
      <c r="G334" s="163"/>
      <c r="H334" s="81" t="s">
        <v>720</v>
      </c>
      <c r="I334" s="81" t="s">
        <v>344</v>
      </c>
      <c r="J334" s="81" t="s">
        <v>11</v>
      </c>
      <c r="K334" s="81" t="s">
        <v>731</v>
      </c>
      <c r="L334" s="81" t="s">
        <v>129</v>
      </c>
      <c r="M334" s="164">
        <v>17.899999999999999</v>
      </c>
      <c r="N334" s="165"/>
      <c r="O334" s="163"/>
      <c r="P334" s="82">
        <v>62.46</v>
      </c>
      <c r="Q334" s="164">
        <v>0</v>
      </c>
      <c r="R334" s="163"/>
      <c r="S334" s="81" t="s">
        <v>346</v>
      </c>
      <c r="T334" s="82">
        <v>63</v>
      </c>
      <c r="U334" s="82">
        <v>0</v>
      </c>
      <c r="V334" s="82">
        <v>0</v>
      </c>
      <c r="W334" s="82">
        <v>0</v>
      </c>
      <c r="X334" s="81" t="s">
        <v>133</v>
      </c>
      <c r="Y334" s="82">
        <v>4</v>
      </c>
      <c r="Z334" s="81" t="s">
        <v>138</v>
      </c>
      <c r="AA334" s="81" t="s">
        <v>58</v>
      </c>
      <c r="AB334" s="81" t="s">
        <v>58</v>
      </c>
      <c r="AC334" s="83">
        <v>46105</v>
      </c>
    </row>
    <row r="335" spans="2:29" ht="23" x14ac:dyDescent="0.35">
      <c r="B335" s="81" t="s">
        <v>338</v>
      </c>
      <c r="C335" s="81" t="s">
        <v>339</v>
      </c>
      <c r="D335" s="81" t="s">
        <v>340</v>
      </c>
      <c r="E335" s="81" t="s">
        <v>715</v>
      </c>
      <c r="F335" s="162" t="s">
        <v>716</v>
      </c>
      <c r="G335" s="163"/>
      <c r="H335" s="81" t="s">
        <v>720</v>
      </c>
      <c r="I335" s="81" t="s">
        <v>344</v>
      </c>
      <c r="J335" s="81" t="s">
        <v>11</v>
      </c>
      <c r="K335" s="81" t="s">
        <v>732</v>
      </c>
      <c r="L335" s="81" t="s">
        <v>129</v>
      </c>
      <c r="M335" s="164">
        <v>13.9</v>
      </c>
      <c r="N335" s="165"/>
      <c r="O335" s="163"/>
      <c r="P335" s="82">
        <v>48.5</v>
      </c>
      <c r="Q335" s="164">
        <v>0</v>
      </c>
      <c r="R335" s="163"/>
      <c r="S335" s="81" t="s">
        <v>346</v>
      </c>
      <c r="T335" s="82">
        <v>63</v>
      </c>
      <c r="U335" s="82">
        <v>0</v>
      </c>
      <c r="V335" s="82">
        <v>0</v>
      </c>
      <c r="W335" s="82">
        <v>0</v>
      </c>
      <c r="X335" s="81" t="s">
        <v>135</v>
      </c>
      <c r="Y335" s="82">
        <v>8</v>
      </c>
      <c r="Z335" s="81" t="s">
        <v>138</v>
      </c>
      <c r="AA335" s="81" t="s">
        <v>58</v>
      </c>
      <c r="AB335" s="81" t="s">
        <v>58</v>
      </c>
      <c r="AC335" s="83">
        <v>46105</v>
      </c>
    </row>
    <row r="336" spans="2:29" ht="23" x14ac:dyDescent="0.35">
      <c r="B336" s="81" t="s">
        <v>338</v>
      </c>
      <c r="C336" s="81" t="s">
        <v>339</v>
      </c>
      <c r="D336" s="81" t="s">
        <v>340</v>
      </c>
      <c r="E336" s="81" t="s">
        <v>715</v>
      </c>
      <c r="F336" s="162" t="s">
        <v>716</v>
      </c>
      <c r="G336" s="163"/>
      <c r="H336" s="81" t="s">
        <v>720</v>
      </c>
      <c r="I336" s="81" t="s">
        <v>344</v>
      </c>
      <c r="J336" s="81" t="s">
        <v>11</v>
      </c>
      <c r="K336" s="81" t="s">
        <v>733</v>
      </c>
      <c r="L336" s="81" t="s">
        <v>129</v>
      </c>
      <c r="M336" s="164">
        <v>22.4</v>
      </c>
      <c r="N336" s="165"/>
      <c r="O336" s="163"/>
      <c r="P336" s="82">
        <v>78.16</v>
      </c>
      <c r="Q336" s="164">
        <v>0</v>
      </c>
      <c r="R336" s="163"/>
      <c r="S336" s="81" t="s">
        <v>346</v>
      </c>
      <c r="T336" s="82">
        <v>63</v>
      </c>
      <c r="U336" s="82">
        <v>0</v>
      </c>
      <c r="V336" s="82">
        <v>0</v>
      </c>
      <c r="W336" s="82">
        <v>0</v>
      </c>
      <c r="X336" s="81" t="s">
        <v>135</v>
      </c>
      <c r="Y336" s="82">
        <v>12</v>
      </c>
      <c r="Z336" s="81" t="s">
        <v>138</v>
      </c>
      <c r="AA336" s="81" t="s">
        <v>58</v>
      </c>
      <c r="AB336" s="81" t="s">
        <v>58</v>
      </c>
      <c r="AC336" s="83">
        <v>46105</v>
      </c>
    </row>
    <row r="337" spans="2:29" ht="23" x14ac:dyDescent="0.35">
      <c r="B337" s="81" t="s">
        <v>338</v>
      </c>
      <c r="C337" s="81" t="s">
        <v>339</v>
      </c>
      <c r="D337" s="81" t="s">
        <v>340</v>
      </c>
      <c r="E337" s="81" t="s">
        <v>715</v>
      </c>
      <c r="F337" s="162" t="s">
        <v>716</v>
      </c>
      <c r="G337" s="163"/>
      <c r="H337" s="81" t="s">
        <v>720</v>
      </c>
      <c r="I337" s="81" t="s">
        <v>344</v>
      </c>
      <c r="J337" s="81" t="s">
        <v>11</v>
      </c>
      <c r="K337" s="81" t="s">
        <v>734</v>
      </c>
      <c r="L337" s="81" t="s">
        <v>129</v>
      </c>
      <c r="M337" s="164">
        <v>22.5</v>
      </c>
      <c r="N337" s="165"/>
      <c r="O337" s="163"/>
      <c r="P337" s="82">
        <v>78.510000000000005</v>
      </c>
      <c r="Q337" s="164">
        <v>0</v>
      </c>
      <c r="R337" s="163"/>
      <c r="S337" s="81" t="s">
        <v>346</v>
      </c>
      <c r="T337" s="82">
        <v>63</v>
      </c>
      <c r="U337" s="82">
        <v>0</v>
      </c>
      <c r="V337" s="82">
        <v>0</v>
      </c>
      <c r="W337" s="82">
        <v>0</v>
      </c>
      <c r="X337" s="81" t="s">
        <v>133</v>
      </c>
      <c r="Y337" s="82">
        <v>8</v>
      </c>
      <c r="Z337" s="81" t="s">
        <v>138</v>
      </c>
      <c r="AA337" s="81" t="s">
        <v>58</v>
      </c>
      <c r="AB337" s="81" t="s">
        <v>58</v>
      </c>
      <c r="AC337" s="83">
        <v>46105</v>
      </c>
    </row>
    <row r="338" spans="2:29" ht="23" x14ac:dyDescent="0.35">
      <c r="B338" s="81" t="s">
        <v>338</v>
      </c>
      <c r="C338" s="81" t="s">
        <v>339</v>
      </c>
      <c r="D338" s="81" t="s">
        <v>340</v>
      </c>
      <c r="E338" s="81" t="s">
        <v>715</v>
      </c>
      <c r="F338" s="162" t="s">
        <v>716</v>
      </c>
      <c r="G338" s="163"/>
      <c r="H338" s="81" t="s">
        <v>720</v>
      </c>
      <c r="I338" s="81" t="s">
        <v>344</v>
      </c>
      <c r="J338" s="81" t="s">
        <v>11</v>
      </c>
      <c r="K338" s="81" t="s">
        <v>735</v>
      </c>
      <c r="L338" s="81" t="s">
        <v>129</v>
      </c>
      <c r="M338" s="164">
        <v>22.4</v>
      </c>
      <c r="N338" s="165"/>
      <c r="O338" s="163"/>
      <c r="P338" s="82">
        <v>78.16</v>
      </c>
      <c r="Q338" s="164">
        <v>0</v>
      </c>
      <c r="R338" s="163"/>
      <c r="S338" s="81" t="s">
        <v>346</v>
      </c>
      <c r="T338" s="82">
        <v>63</v>
      </c>
      <c r="U338" s="82">
        <v>0</v>
      </c>
      <c r="V338" s="82">
        <v>0</v>
      </c>
      <c r="W338" s="82">
        <v>0</v>
      </c>
      <c r="X338" s="81"/>
      <c r="Y338" s="81"/>
      <c r="Z338" s="81" t="s">
        <v>138</v>
      </c>
      <c r="AA338" s="81" t="s">
        <v>58</v>
      </c>
      <c r="AB338" s="81" t="s">
        <v>58</v>
      </c>
      <c r="AC338" s="83">
        <v>46105</v>
      </c>
    </row>
    <row r="339" spans="2:29" ht="23" x14ac:dyDescent="0.35">
      <c r="B339" s="81" t="s">
        <v>338</v>
      </c>
      <c r="C339" s="81" t="s">
        <v>339</v>
      </c>
      <c r="D339" s="81" t="s">
        <v>340</v>
      </c>
      <c r="E339" s="81" t="s">
        <v>715</v>
      </c>
      <c r="F339" s="162" t="s">
        <v>716</v>
      </c>
      <c r="G339" s="163"/>
      <c r="H339" s="81" t="s">
        <v>720</v>
      </c>
      <c r="I339" s="81" t="s">
        <v>344</v>
      </c>
      <c r="J339" s="81" t="s">
        <v>11</v>
      </c>
      <c r="K339" s="81" t="s">
        <v>736</v>
      </c>
      <c r="L339" s="81" t="s">
        <v>129</v>
      </c>
      <c r="M339" s="164">
        <v>22.3</v>
      </c>
      <c r="N339" s="165"/>
      <c r="O339" s="163"/>
      <c r="P339" s="82">
        <v>77.81</v>
      </c>
      <c r="Q339" s="164">
        <v>0</v>
      </c>
      <c r="R339" s="163"/>
      <c r="S339" s="81" t="s">
        <v>346</v>
      </c>
      <c r="T339" s="82">
        <v>63</v>
      </c>
      <c r="U339" s="82">
        <v>0</v>
      </c>
      <c r="V339" s="82">
        <v>0</v>
      </c>
      <c r="W339" s="82">
        <v>0</v>
      </c>
      <c r="X339" s="81"/>
      <c r="Y339" s="81"/>
      <c r="Z339" s="81" t="s">
        <v>138</v>
      </c>
      <c r="AA339" s="81" t="s">
        <v>58</v>
      </c>
      <c r="AB339" s="81" t="s">
        <v>58</v>
      </c>
      <c r="AC339" s="83">
        <v>46105</v>
      </c>
    </row>
    <row r="340" spans="2:29" ht="23" x14ac:dyDescent="0.35">
      <c r="B340" s="81" t="s">
        <v>338</v>
      </c>
      <c r="C340" s="81" t="s">
        <v>339</v>
      </c>
      <c r="D340" s="81" t="s">
        <v>340</v>
      </c>
      <c r="E340" s="81" t="s">
        <v>715</v>
      </c>
      <c r="F340" s="162" t="s">
        <v>716</v>
      </c>
      <c r="G340" s="163"/>
      <c r="H340" s="81" t="s">
        <v>720</v>
      </c>
      <c r="I340" s="81" t="s">
        <v>344</v>
      </c>
      <c r="J340" s="81" t="s">
        <v>11</v>
      </c>
      <c r="K340" s="81" t="s">
        <v>737</v>
      </c>
      <c r="L340" s="81" t="s">
        <v>129</v>
      </c>
      <c r="M340" s="164">
        <v>22.2</v>
      </c>
      <c r="N340" s="165"/>
      <c r="O340" s="163"/>
      <c r="P340" s="82">
        <v>77.459999999999994</v>
      </c>
      <c r="Q340" s="164">
        <v>0</v>
      </c>
      <c r="R340" s="163"/>
      <c r="S340" s="81" t="s">
        <v>346</v>
      </c>
      <c r="T340" s="82">
        <v>63</v>
      </c>
      <c r="U340" s="82">
        <v>0</v>
      </c>
      <c r="V340" s="82">
        <v>0</v>
      </c>
      <c r="W340" s="82">
        <v>0</v>
      </c>
      <c r="X340" s="81" t="s">
        <v>133</v>
      </c>
      <c r="Y340" s="82">
        <v>4</v>
      </c>
      <c r="Z340" s="81" t="s">
        <v>138</v>
      </c>
      <c r="AA340" s="81" t="s">
        <v>58</v>
      </c>
      <c r="AB340" s="81" t="s">
        <v>58</v>
      </c>
      <c r="AC340" s="83">
        <v>46105</v>
      </c>
    </row>
    <row r="341" spans="2:29" ht="23" x14ac:dyDescent="0.35">
      <c r="B341" s="81" t="s">
        <v>338</v>
      </c>
      <c r="C341" s="81" t="s">
        <v>339</v>
      </c>
      <c r="D341" s="81" t="s">
        <v>340</v>
      </c>
      <c r="E341" s="81" t="s">
        <v>715</v>
      </c>
      <c r="F341" s="162" t="s">
        <v>716</v>
      </c>
      <c r="G341" s="163"/>
      <c r="H341" s="81" t="s">
        <v>720</v>
      </c>
      <c r="I341" s="81" t="s">
        <v>344</v>
      </c>
      <c r="J341" s="81" t="s">
        <v>11</v>
      </c>
      <c r="K341" s="81" t="s">
        <v>738</v>
      </c>
      <c r="L341" s="81" t="s">
        <v>129</v>
      </c>
      <c r="M341" s="164">
        <v>22.3</v>
      </c>
      <c r="N341" s="165"/>
      <c r="O341" s="163"/>
      <c r="P341" s="82">
        <v>77.81</v>
      </c>
      <c r="Q341" s="164">
        <v>0</v>
      </c>
      <c r="R341" s="163"/>
      <c r="S341" s="81" t="s">
        <v>346</v>
      </c>
      <c r="T341" s="82">
        <v>63</v>
      </c>
      <c r="U341" s="82">
        <v>0</v>
      </c>
      <c r="V341" s="82">
        <v>0</v>
      </c>
      <c r="W341" s="82">
        <v>0</v>
      </c>
      <c r="X341" s="81"/>
      <c r="Y341" s="81"/>
      <c r="Z341" s="81" t="s">
        <v>138</v>
      </c>
      <c r="AA341" s="81" t="s">
        <v>58</v>
      </c>
      <c r="AB341" s="81" t="s">
        <v>58</v>
      </c>
      <c r="AC341" s="83">
        <v>46105</v>
      </c>
    </row>
    <row r="342" spans="2:29" ht="23" x14ac:dyDescent="0.35">
      <c r="B342" s="81" t="s">
        <v>338</v>
      </c>
      <c r="C342" s="81" t="s">
        <v>339</v>
      </c>
      <c r="D342" s="81" t="s">
        <v>340</v>
      </c>
      <c r="E342" s="81" t="s">
        <v>715</v>
      </c>
      <c r="F342" s="162" t="s">
        <v>716</v>
      </c>
      <c r="G342" s="163"/>
      <c r="H342" s="81" t="s">
        <v>720</v>
      </c>
      <c r="I342" s="81" t="s">
        <v>344</v>
      </c>
      <c r="J342" s="81" t="s">
        <v>11</v>
      </c>
      <c r="K342" s="81" t="s">
        <v>739</v>
      </c>
      <c r="L342" s="81" t="s">
        <v>129</v>
      </c>
      <c r="M342" s="164">
        <v>22.3</v>
      </c>
      <c r="N342" s="165"/>
      <c r="O342" s="163"/>
      <c r="P342" s="82">
        <v>77.81</v>
      </c>
      <c r="Q342" s="164">
        <v>0</v>
      </c>
      <c r="R342" s="163"/>
      <c r="S342" s="81" t="s">
        <v>346</v>
      </c>
      <c r="T342" s="82">
        <v>63</v>
      </c>
      <c r="U342" s="82">
        <v>0</v>
      </c>
      <c r="V342" s="82">
        <v>0</v>
      </c>
      <c r="W342" s="82">
        <v>0</v>
      </c>
      <c r="X342" s="81" t="s">
        <v>133</v>
      </c>
      <c r="Y342" s="82">
        <v>8</v>
      </c>
      <c r="Z342" s="81" t="s">
        <v>138</v>
      </c>
      <c r="AA342" s="81" t="s">
        <v>58</v>
      </c>
      <c r="AB342" s="81" t="s">
        <v>58</v>
      </c>
      <c r="AC342" s="83">
        <v>46105</v>
      </c>
    </row>
    <row r="343" spans="2:29" ht="23" x14ac:dyDescent="0.35">
      <c r="B343" s="81" t="s">
        <v>338</v>
      </c>
      <c r="C343" s="81" t="s">
        <v>339</v>
      </c>
      <c r="D343" s="81" t="s">
        <v>340</v>
      </c>
      <c r="E343" s="81" t="s">
        <v>715</v>
      </c>
      <c r="F343" s="162" t="s">
        <v>716</v>
      </c>
      <c r="G343" s="163"/>
      <c r="H343" s="81" t="s">
        <v>720</v>
      </c>
      <c r="I343" s="81" t="s">
        <v>344</v>
      </c>
      <c r="J343" s="81" t="s">
        <v>11</v>
      </c>
      <c r="K343" s="81" t="s">
        <v>740</v>
      </c>
      <c r="L343" s="81" t="s">
        <v>129</v>
      </c>
      <c r="M343" s="164">
        <v>22.4</v>
      </c>
      <c r="N343" s="165"/>
      <c r="O343" s="163"/>
      <c r="P343" s="82">
        <v>78.16</v>
      </c>
      <c r="Q343" s="164">
        <v>0</v>
      </c>
      <c r="R343" s="163"/>
      <c r="S343" s="81" t="s">
        <v>346</v>
      </c>
      <c r="T343" s="82">
        <v>63</v>
      </c>
      <c r="U343" s="82">
        <v>0</v>
      </c>
      <c r="V343" s="82">
        <v>0</v>
      </c>
      <c r="W343" s="82">
        <v>0</v>
      </c>
      <c r="X343" s="81" t="s">
        <v>133</v>
      </c>
      <c r="Y343" s="82">
        <v>4</v>
      </c>
      <c r="Z343" s="81" t="s">
        <v>138</v>
      </c>
      <c r="AA343" s="81" t="s">
        <v>58</v>
      </c>
      <c r="AB343" s="81" t="s">
        <v>58</v>
      </c>
      <c r="AC343" s="83">
        <v>46105</v>
      </c>
    </row>
    <row r="344" spans="2:29" ht="23" x14ac:dyDescent="0.35">
      <c r="B344" s="81" t="s">
        <v>338</v>
      </c>
      <c r="C344" s="81" t="s">
        <v>339</v>
      </c>
      <c r="D344" s="81" t="s">
        <v>340</v>
      </c>
      <c r="E344" s="81" t="s">
        <v>715</v>
      </c>
      <c r="F344" s="162" t="s">
        <v>716</v>
      </c>
      <c r="G344" s="163"/>
      <c r="H344" s="81" t="s">
        <v>720</v>
      </c>
      <c r="I344" s="81" t="s">
        <v>344</v>
      </c>
      <c r="J344" s="81" t="s">
        <v>11</v>
      </c>
      <c r="K344" s="81" t="s">
        <v>741</v>
      </c>
      <c r="L344" s="81" t="s">
        <v>129</v>
      </c>
      <c r="M344" s="164">
        <v>14.8</v>
      </c>
      <c r="N344" s="165"/>
      <c r="O344" s="163"/>
      <c r="P344" s="82">
        <v>51.64</v>
      </c>
      <c r="Q344" s="164">
        <v>0</v>
      </c>
      <c r="R344" s="163"/>
      <c r="S344" s="81" t="s">
        <v>346</v>
      </c>
      <c r="T344" s="82">
        <v>63</v>
      </c>
      <c r="U344" s="82">
        <v>0</v>
      </c>
      <c r="V344" s="82">
        <v>0</v>
      </c>
      <c r="W344" s="82">
        <v>0</v>
      </c>
      <c r="X344" s="81" t="s">
        <v>135</v>
      </c>
      <c r="Y344" s="82">
        <v>12</v>
      </c>
      <c r="Z344" s="81" t="s">
        <v>138</v>
      </c>
      <c r="AA344" s="81" t="s">
        <v>58</v>
      </c>
      <c r="AB344" s="81" t="s">
        <v>58</v>
      </c>
      <c r="AC344" s="83">
        <v>46105</v>
      </c>
    </row>
    <row r="345" spans="2:29" ht="23" x14ac:dyDescent="0.35">
      <c r="B345" s="81" t="s">
        <v>338</v>
      </c>
      <c r="C345" s="81" t="s">
        <v>339</v>
      </c>
      <c r="D345" s="81" t="s">
        <v>340</v>
      </c>
      <c r="E345" s="81" t="s">
        <v>715</v>
      </c>
      <c r="F345" s="162" t="s">
        <v>716</v>
      </c>
      <c r="G345" s="163"/>
      <c r="H345" s="81" t="s">
        <v>720</v>
      </c>
      <c r="I345" s="81" t="s">
        <v>344</v>
      </c>
      <c r="J345" s="81" t="s">
        <v>11</v>
      </c>
      <c r="K345" s="81" t="s">
        <v>742</v>
      </c>
      <c r="L345" s="81" t="s">
        <v>129</v>
      </c>
      <c r="M345" s="164">
        <v>20.2</v>
      </c>
      <c r="N345" s="165"/>
      <c r="O345" s="163"/>
      <c r="P345" s="82">
        <v>70.489999999999995</v>
      </c>
      <c r="Q345" s="164">
        <v>0</v>
      </c>
      <c r="R345" s="163"/>
      <c r="S345" s="81" t="s">
        <v>346</v>
      </c>
      <c r="T345" s="82">
        <v>63</v>
      </c>
      <c r="U345" s="82">
        <v>0</v>
      </c>
      <c r="V345" s="82">
        <v>0</v>
      </c>
      <c r="W345" s="82">
        <v>0</v>
      </c>
      <c r="X345" s="81" t="s">
        <v>135</v>
      </c>
      <c r="Y345" s="82">
        <v>12</v>
      </c>
      <c r="Z345" s="81" t="s">
        <v>138</v>
      </c>
      <c r="AA345" s="81" t="s">
        <v>58</v>
      </c>
      <c r="AB345" s="81" t="s">
        <v>58</v>
      </c>
      <c r="AC345" s="83">
        <v>46105</v>
      </c>
    </row>
    <row r="346" spans="2:29" ht="23" x14ac:dyDescent="0.35">
      <c r="B346" s="81" t="s">
        <v>338</v>
      </c>
      <c r="C346" s="81" t="s">
        <v>339</v>
      </c>
      <c r="D346" s="81" t="s">
        <v>340</v>
      </c>
      <c r="E346" s="81" t="s">
        <v>715</v>
      </c>
      <c r="F346" s="162" t="s">
        <v>716</v>
      </c>
      <c r="G346" s="163"/>
      <c r="H346" s="81" t="s">
        <v>720</v>
      </c>
      <c r="I346" s="81" t="s">
        <v>344</v>
      </c>
      <c r="J346" s="81" t="s">
        <v>11</v>
      </c>
      <c r="K346" s="81" t="s">
        <v>743</v>
      </c>
      <c r="L346" s="81" t="s">
        <v>129</v>
      </c>
      <c r="M346" s="164">
        <v>20.2</v>
      </c>
      <c r="N346" s="165"/>
      <c r="O346" s="163"/>
      <c r="P346" s="82">
        <v>70.489999999999995</v>
      </c>
      <c r="Q346" s="164">
        <v>0</v>
      </c>
      <c r="R346" s="163"/>
      <c r="S346" s="81" t="s">
        <v>346</v>
      </c>
      <c r="T346" s="82">
        <v>63</v>
      </c>
      <c r="U346" s="82">
        <v>0</v>
      </c>
      <c r="V346" s="82">
        <v>0</v>
      </c>
      <c r="W346" s="82">
        <v>0</v>
      </c>
      <c r="X346" s="81" t="s">
        <v>133</v>
      </c>
      <c r="Y346" s="82">
        <v>4</v>
      </c>
      <c r="Z346" s="81" t="s">
        <v>138</v>
      </c>
      <c r="AA346" s="81" t="s">
        <v>58</v>
      </c>
      <c r="AB346" s="81" t="s">
        <v>58</v>
      </c>
      <c r="AC346" s="83">
        <v>46105</v>
      </c>
    </row>
    <row r="347" spans="2:29" ht="23" x14ac:dyDescent="0.35">
      <c r="B347" s="81" t="s">
        <v>338</v>
      </c>
      <c r="C347" s="81" t="s">
        <v>339</v>
      </c>
      <c r="D347" s="81" t="s">
        <v>340</v>
      </c>
      <c r="E347" s="81" t="s">
        <v>715</v>
      </c>
      <c r="F347" s="162" t="s">
        <v>716</v>
      </c>
      <c r="G347" s="163"/>
      <c r="H347" s="81" t="s">
        <v>720</v>
      </c>
      <c r="I347" s="81" t="s">
        <v>344</v>
      </c>
      <c r="J347" s="81" t="s">
        <v>11</v>
      </c>
      <c r="K347" s="81" t="s">
        <v>744</v>
      </c>
      <c r="L347" s="81" t="s">
        <v>129</v>
      </c>
      <c r="M347" s="164">
        <v>22.7</v>
      </c>
      <c r="N347" s="165"/>
      <c r="O347" s="163"/>
      <c r="P347" s="82">
        <v>79.209999999999994</v>
      </c>
      <c r="Q347" s="164">
        <v>0</v>
      </c>
      <c r="R347" s="163"/>
      <c r="S347" s="81" t="s">
        <v>346</v>
      </c>
      <c r="T347" s="82">
        <v>63</v>
      </c>
      <c r="U347" s="82">
        <v>0</v>
      </c>
      <c r="V347" s="82">
        <v>0</v>
      </c>
      <c r="W347" s="82">
        <v>0</v>
      </c>
      <c r="X347" s="81" t="s">
        <v>141</v>
      </c>
      <c r="Y347" s="82">
        <v>1</v>
      </c>
      <c r="Z347" s="81" t="s">
        <v>138</v>
      </c>
      <c r="AA347" s="81" t="s">
        <v>58</v>
      </c>
      <c r="AB347" s="81" t="s">
        <v>58</v>
      </c>
      <c r="AC347" s="83">
        <v>46105</v>
      </c>
    </row>
    <row r="348" spans="2:29" ht="23" x14ac:dyDescent="0.35">
      <c r="B348" s="81" t="s">
        <v>338</v>
      </c>
      <c r="C348" s="81" t="s">
        <v>339</v>
      </c>
      <c r="D348" s="81" t="s">
        <v>340</v>
      </c>
      <c r="E348" s="81" t="s">
        <v>715</v>
      </c>
      <c r="F348" s="162" t="s">
        <v>716</v>
      </c>
      <c r="G348" s="163"/>
      <c r="H348" s="81" t="s">
        <v>720</v>
      </c>
      <c r="I348" s="81" t="s">
        <v>344</v>
      </c>
      <c r="J348" s="81" t="s">
        <v>11</v>
      </c>
      <c r="K348" s="81" t="s">
        <v>745</v>
      </c>
      <c r="L348" s="81" t="s">
        <v>129</v>
      </c>
      <c r="M348" s="164">
        <v>22.4</v>
      </c>
      <c r="N348" s="165"/>
      <c r="O348" s="163"/>
      <c r="P348" s="82">
        <v>78.16</v>
      </c>
      <c r="Q348" s="164">
        <v>0</v>
      </c>
      <c r="R348" s="163"/>
      <c r="S348" s="81" t="s">
        <v>346</v>
      </c>
      <c r="T348" s="82">
        <v>63</v>
      </c>
      <c r="U348" s="82">
        <v>0</v>
      </c>
      <c r="V348" s="82">
        <v>0</v>
      </c>
      <c r="W348" s="82">
        <v>0</v>
      </c>
      <c r="X348" s="81" t="s">
        <v>133</v>
      </c>
      <c r="Y348" s="82">
        <v>4</v>
      </c>
      <c r="Z348" s="81" t="s">
        <v>138</v>
      </c>
      <c r="AA348" s="81" t="s">
        <v>58</v>
      </c>
      <c r="AB348" s="81" t="s">
        <v>58</v>
      </c>
      <c r="AC348" s="83">
        <v>46105</v>
      </c>
    </row>
    <row r="349" spans="2:29" ht="23" x14ac:dyDescent="0.35">
      <c r="B349" s="81" t="s">
        <v>338</v>
      </c>
      <c r="C349" s="81" t="s">
        <v>339</v>
      </c>
      <c r="D349" s="81" t="s">
        <v>340</v>
      </c>
      <c r="E349" s="81" t="s">
        <v>715</v>
      </c>
      <c r="F349" s="162" t="s">
        <v>716</v>
      </c>
      <c r="G349" s="163"/>
      <c r="H349" s="81" t="s">
        <v>720</v>
      </c>
      <c r="I349" s="81" t="s">
        <v>344</v>
      </c>
      <c r="J349" s="81" t="s">
        <v>11</v>
      </c>
      <c r="K349" s="81" t="s">
        <v>746</v>
      </c>
      <c r="L349" s="81" t="s">
        <v>129</v>
      </c>
      <c r="M349" s="164">
        <v>31.4</v>
      </c>
      <c r="N349" s="165"/>
      <c r="O349" s="163"/>
      <c r="P349" s="82">
        <v>109.57</v>
      </c>
      <c r="Q349" s="164">
        <v>0</v>
      </c>
      <c r="R349" s="163"/>
      <c r="S349" s="81" t="s">
        <v>346</v>
      </c>
      <c r="T349" s="82">
        <v>63</v>
      </c>
      <c r="U349" s="82">
        <v>0</v>
      </c>
      <c r="V349" s="82">
        <v>0</v>
      </c>
      <c r="W349" s="82">
        <v>0</v>
      </c>
      <c r="X349" s="81" t="s">
        <v>135</v>
      </c>
      <c r="Y349" s="82">
        <v>12</v>
      </c>
      <c r="Z349" s="81" t="s">
        <v>138</v>
      </c>
      <c r="AA349" s="81" t="s">
        <v>58</v>
      </c>
      <c r="AB349" s="81" t="s">
        <v>58</v>
      </c>
      <c r="AC349" s="83">
        <v>46105</v>
      </c>
    </row>
    <row r="350" spans="2:29" ht="23" x14ac:dyDescent="0.35">
      <c r="B350" s="81" t="s">
        <v>338</v>
      </c>
      <c r="C350" s="81" t="s">
        <v>339</v>
      </c>
      <c r="D350" s="81" t="s">
        <v>340</v>
      </c>
      <c r="E350" s="81" t="s">
        <v>715</v>
      </c>
      <c r="F350" s="162" t="s">
        <v>716</v>
      </c>
      <c r="G350" s="163"/>
      <c r="H350" s="81" t="s">
        <v>720</v>
      </c>
      <c r="I350" s="81" t="s">
        <v>344</v>
      </c>
      <c r="J350" s="81" t="s">
        <v>11</v>
      </c>
      <c r="K350" s="81" t="s">
        <v>747</v>
      </c>
      <c r="L350" s="81" t="s">
        <v>129</v>
      </c>
      <c r="M350" s="164">
        <v>27.7</v>
      </c>
      <c r="N350" s="165"/>
      <c r="O350" s="163"/>
      <c r="P350" s="82">
        <v>96.66</v>
      </c>
      <c r="Q350" s="164">
        <v>0</v>
      </c>
      <c r="R350" s="163"/>
      <c r="S350" s="81" t="s">
        <v>346</v>
      </c>
      <c r="T350" s="82">
        <v>63</v>
      </c>
      <c r="U350" s="82">
        <v>0</v>
      </c>
      <c r="V350" s="82">
        <v>0</v>
      </c>
      <c r="W350" s="82">
        <v>0</v>
      </c>
      <c r="X350" s="81" t="s">
        <v>133</v>
      </c>
      <c r="Y350" s="82">
        <v>4</v>
      </c>
      <c r="Z350" s="81" t="s">
        <v>138</v>
      </c>
      <c r="AA350" s="81" t="s">
        <v>58</v>
      </c>
      <c r="AB350" s="81" t="s">
        <v>58</v>
      </c>
      <c r="AC350" s="83">
        <v>46105</v>
      </c>
    </row>
    <row r="351" spans="2:29" ht="23" x14ac:dyDescent="0.35">
      <c r="B351" s="81" t="s">
        <v>338</v>
      </c>
      <c r="C351" s="81" t="s">
        <v>339</v>
      </c>
      <c r="D351" s="81" t="s">
        <v>340</v>
      </c>
      <c r="E351" s="81" t="s">
        <v>715</v>
      </c>
      <c r="F351" s="162" t="s">
        <v>716</v>
      </c>
      <c r="G351" s="163"/>
      <c r="H351" s="81" t="s">
        <v>720</v>
      </c>
      <c r="I351" s="81" t="s">
        <v>344</v>
      </c>
      <c r="J351" s="81" t="s">
        <v>11</v>
      </c>
      <c r="K351" s="81" t="s">
        <v>748</v>
      </c>
      <c r="L351" s="81" t="s">
        <v>129</v>
      </c>
      <c r="M351" s="164">
        <v>16.899999999999999</v>
      </c>
      <c r="N351" s="165"/>
      <c r="O351" s="163"/>
      <c r="P351" s="82">
        <v>58.97</v>
      </c>
      <c r="Q351" s="164">
        <v>0</v>
      </c>
      <c r="R351" s="163"/>
      <c r="S351" s="81" t="s">
        <v>346</v>
      </c>
      <c r="T351" s="82">
        <v>63</v>
      </c>
      <c r="U351" s="82">
        <v>0</v>
      </c>
      <c r="V351" s="82">
        <v>0</v>
      </c>
      <c r="W351" s="82">
        <v>0</v>
      </c>
      <c r="X351" s="81" t="s">
        <v>133</v>
      </c>
      <c r="Y351" s="82">
        <v>4</v>
      </c>
      <c r="Z351" s="81" t="s">
        <v>138</v>
      </c>
      <c r="AA351" s="81" t="s">
        <v>58</v>
      </c>
      <c r="AB351" s="81" t="s">
        <v>58</v>
      </c>
      <c r="AC351" s="83">
        <v>46105</v>
      </c>
    </row>
    <row r="352" spans="2:29" ht="23" x14ac:dyDescent="0.35">
      <c r="B352" s="81" t="s">
        <v>338</v>
      </c>
      <c r="C352" s="81" t="s">
        <v>339</v>
      </c>
      <c r="D352" s="81" t="s">
        <v>340</v>
      </c>
      <c r="E352" s="81" t="s">
        <v>715</v>
      </c>
      <c r="F352" s="162" t="s">
        <v>716</v>
      </c>
      <c r="G352" s="163"/>
      <c r="H352" s="81" t="s">
        <v>720</v>
      </c>
      <c r="I352" s="81" t="s">
        <v>344</v>
      </c>
      <c r="J352" s="81" t="s">
        <v>11</v>
      </c>
      <c r="K352" s="81" t="s">
        <v>749</v>
      </c>
      <c r="L352" s="81" t="s">
        <v>129</v>
      </c>
      <c r="M352" s="164">
        <v>22.4</v>
      </c>
      <c r="N352" s="165"/>
      <c r="O352" s="163"/>
      <c r="P352" s="82">
        <v>78.16</v>
      </c>
      <c r="Q352" s="164">
        <v>0</v>
      </c>
      <c r="R352" s="163"/>
      <c r="S352" s="81" t="s">
        <v>346</v>
      </c>
      <c r="T352" s="82">
        <v>63</v>
      </c>
      <c r="U352" s="82">
        <v>0</v>
      </c>
      <c r="V352" s="82">
        <v>0</v>
      </c>
      <c r="W352" s="82">
        <v>0</v>
      </c>
      <c r="X352" s="81" t="s">
        <v>133</v>
      </c>
      <c r="Y352" s="82">
        <v>8</v>
      </c>
      <c r="Z352" s="81" t="s">
        <v>138</v>
      </c>
      <c r="AA352" s="81" t="s">
        <v>58</v>
      </c>
      <c r="AB352" s="81" t="s">
        <v>58</v>
      </c>
      <c r="AC352" s="83">
        <v>46105</v>
      </c>
    </row>
    <row r="353" spans="2:29" ht="23" x14ac:dyDescent="0.35">
      <c r="B353" s="81" t="s">
        <v>338</v>
      </c>
      <c r="C353" s="81" t="s">
        <v>339</v>
      </c>
      <c r="D353" s="81" t="s">
        <v>340</v>
      </c>
      <c r="E353" s="81" t="s">
        <v>715</v>
      </c>
      <c r="F353" s="162" t="s">
        <v>716</v>
      </c>
      <c r="G353" s="163"/>
      <c r="H353" s="81" t="s">
        <v>720</v>
      </c>
      <c r="I353" s="81" t="s">
        <v>344</v>
      </c>
      <c r="J353" s="81" t="s">
        <v>11</v>
      </c>
      <c r="K353" s="81" t="s">
        <v>750</v>
      </c>
      <c r="L353" s="81" t="s">
        <v>129</v>
      </c>
      <c r="M353" s="164">
        <v>22</v>
      </c>
      <c r="N353" s="165"/>
      <c r="O353" s="163"/>
      <c r="P353" s="82">
        <v>76.77</v>
      </c>
      <c r="Q353" s="164">
        <v>0</v>
      </c>
      <c r="R353" s="163"/>
      <c r="S353" s="81" t="s">
        <v>346</v>
      </c>
      <c r="T353" s="82">
        <v>63</v>
      </c>
      <c r="U353" s="82">
        <v>0</v>
      </c>
      <c r="V353" s="82">
        <v>0</v>
      </c>
      <c r="W353" s="82">
        <v>0</v>
      </c>
      <c r="X353" s="81"/>
      <c r="Y353" s="81"/>
      <c r="Z353" s="81" t="s">
        <v>138</v>
      </c>
      <c r="AA353" s="81" t="s">
        <v>58</v>
      </c>
      <c r="AB353" s="81" t="s">
        <v>58</v>
      </c>
      <c r="AC353" s="83">
        <v>46105</v>
      </c>
    </row>
    <row r="354" spans="2:29" ht="23" x14ac:dyDescent="0.35">
      <c r="B354" s="81" t="s">
        <v>338</v>
      </c>
      <c r="C354" s="81" t="s">
        <v>339</v>
      </c>
      <c r="D354" s="81" t="s">
        <v>340</v>
      </c>
      <c r="E354" s="81" t="s">
        <v>715</v>
      </c>
      <c r="F354" s="162" t="s">
        <v>716</v>
      </c>
      <c r="G354" s="163"/>
      <c r="H354" s="81" t="s">
        <v>720</v>
      </c>
      <c r="I354" s="81" t="s">
        <v>344</v>
      </c>
      <c r="J354" s="81" t="s">
        <v>11</v>
      </c>
      <c r="K354" s="81" t="s">
        <v>751</v>
      </c>
      <c r="L354" s="81" t="s">
        <v>129</v>
      </c>
      <c r="M354" s="164">
        <v>22.2</v>
      </c>
      <c r="N354" s="165"/>
      <c r="O354" s="163"/>
      <c r="P354" s="82">
        <v>77.459999999999994</v>
      </c>
      <c r="Q354" s="164">
        <v>0</v>
      </c>
      <c r="R354" s="163"/>
      <c r="S354" s="81" t="s">
        <v>346</v>
      </c>
      <c r="T354" s="82">
        <v>63</v>
      </c>
      <c r="U354" s="82">
        <v>0</v>
      </c>
      <c r="V354" s="82">
        <v>0</v>
      </c>
      <c r="W354" s="82">
        <v>0</v>
      </c>
      <c r="X354" s="81"/>
      <c r="Y354" s="81"/>
      <c r="Z354" s="81" t="s">
        <v>138</v>
      </c>
      <c r="AA354" s="81" t="s">
        <v>58</v>
      </c>
      <c r="AB354" s="81" t="s">
        <v>58</v>
      </c>
      <c r="AC354" s="83">
        <v>46105</v>
      </c>
    </row>
    <row r="355" spans="2:29" ht="23" x14ac:dyDescent="0.35">
      <c r="B355" s="81" t="s">
        <v>338</v>
      </c>
      <c r="C355" s="81" t="s">
        <v>339</v>
      </c>
      <c r="D355" s="81" t="s">
        <v>340</v>
      </c>
      <c r="E355" s="81" t="s">
        <v>715</v>
      </c>
      <c r="F355" s="162" t="s">
        <v>716</v>
      </c>
      <c r="G355" s="163"/>
      <c r="H355" s="81" t="s">
        <v>720</v>
      </c>
      <c r="I355" s="81" t="s">
        <v>344</v>
      </c>
      <c r="J355" s="81" t="s">
        <v>11</v>
      </c>
      <c r="K355" s="81" t="s">
        <v>752</v>
      </c>
      <c r="L355" s="81" t="s">
        <v>129</v>
      </c>
      <c r="M355" s="164">
        <v>22.2</v>
      </c>
      <c r="N355" s="165"/>
      <c r="O355" s="163"/>
      <c r="P355" s="82">
        <v>77.459999999999994</v>
      </c>
      <c r="Q355" s="164">
        <v>0</v>
      </c>
      <c r="R355" s="163"/>
      <c r="S355" s="81" t="s">
        <v>346</v>
      </c>
      <c r="T355" s="82">
        <v>63</v>
      </c>
      <c r="U355" s="82">
        <v>0</v>
      </c>
      <c r="V355" s="82">
        <v>0</v>
      </c>
      <c r="W355" s="82">
        <v>0</v>
      </c>
      <c r="X355" s="81"/>
      <c r="Y355" s="81"/>
      <c r="Z355" s="81" t="s">
        <v>138</v>
      </c>
      <c r="AA355" s="81" t="s">
        <v>58</v>
      </c>
      <c r="AB355" s="81" t="s">
        <v>58</v>
      </c>
      <c r="AC355" s="83">
        <v>46105</v>
      </c>
    </row>
    <row r="356" spans="2:29" ht="23" x14ac:dyDescent="0.35">
      <c r="B356" s="81" t="s">
        <v>338</v>
      </c>
      <c r="C356" s="81" t="s">
        <v>339</v>
      </c>
      <c r="D356" s="81" t="s">
        <v>340</v>
      </c>
      <c r="E356" s="81" t="s">
        <v>715</v>
      </c>
      <c r="F356" s="162" t="s">
        <v>716</v>
      </c>
      <c r="G356" s="163"/>
      <c r="H356" s="81" t="s">
        <v>720</v>
      </c>
      <c r="I356" s="81" t="s">
        <v>344</v>
      </c>
      <c r="J356" s="81" t="s">
        <v>11</v>
      </c>
      <c r="K356" s="81" t="s">
        <v>753</v>
      </c>
      <c r="L356" s="81" t="s">
        <v>129</v>
      </c>
      <c r="M356" s="164">
        <v>22.3</v>
      </c>
      <c r="N356" s="165"/>
      <c r="O356" s="163"/>
      <c r="P356" s="82">
        <v>77.81</v>
      </c>
      <c r="Q356" s="164">
        <v>0</v>
      </c>
      <c r="R356" s="163"/>
      <c r="S356" s="81" t="s">
        <v>346</v>
      </c>
      <c r="T356" s="82">
        <v>63</v>
      </c>
      <c r="U356" s="82">
        <v>0</v>
      </c>
      <c r="V356" s="82">
        <v>0</v>
      </c>
      <c r="W356" s="82">
        <v>0</v>
      </c>
      <c r="X356" s="81" t="s">
        <v>133</v>
      </c>
      <c r="Y356" s="82">
        <v>4</v>
      </c>
      <c r="Z356" s="81" t="s">
        <v>138</v>
      </c>
      <c r="AA356" s="81" t="s">
        <v>58</v>
      </c>
      <c r="AB356" s="81" t="s">
        <v>58</v>
      </c>
      <c r="AC356" s="83">
        <v>46105</v>
      </c>
    </row>
    <row r="357" spans="2:29" ht="23" x14ac:dyDescent="0.35">
      <c r="B357" s="81" t="s">
        <v>338</v>
      </c>
      <c r="C357" s="81" t="s">
        <v>339</v>
      </c>
      <c r="D357" s="81" t="s">
        <v>340</v>
      </c>
      <c r="E357" s="81" t="s">
        <v>715</v>
      </c>
      <c r="F357" s="162" t="s">
        <v>716</v>
      </c>
      <c r="G357" s="163"/>
      <c r="H357" s="81" t="s">
        <v>720</v>
      </c>
      <c r="I357" s="81" t="s">
        <v>344</v>
      </c>
      <c r="J357" s="81" t="s">
        <v>11</v>
      </c>
      <c r="K357" s="81" t="s">
        <v>754</v>
      </c>
      <c r="L357" s="81" t="s">
        <v>129</v>
      </c>
      <c r="M357" s="164">
        <v>20.7</v>
      </c>
      <c r="N357" s="165"/>
      <c r="O357" s="163"/>
      <c r="P357" s="82">
        <v>72.23</v>
      </c>
      <c r="Q357" s="164">
        <v>0</v>
      </c>
      <c r="R357" s="163"/>
      <c r="S357" s="81" t="s">
        <v>346</v>
      </c>
      <c r="T357" s="82">
        <v>63</v>
      </c>
      <c r="U357" s="82">
        <v>0</v>
      </c>
      <c r="V357" s="82">
        <v>0</v>
      </c>
      <c r="W357" s="82">
        <v>0</v>
      </c>
      <c r="X357" s="81" t="s">
        <v>132</v>
      </c>
      <c r="Y357" s="82">
        <v>8</v>
      </c>
      <c r="Z357" s="81" t="s">
        <v>138</v>
      </c>
      <c r="AA357" s="81" t="s">
        <v>58</v>
      </c>
      <c r="AB357" s="81" t="s">
        <v>58</v>
      </c>
      <c r="AC357" s="83">
        <v>46105</v>
      </c>
    </row>
    <row r="358" spans="2:29" ht="23" x14ac:dyDescent="0.35">
      <c r="B358" s="81" t="s">
        <v>338</v>
      </c>
      <c r="C358" s="81" t="s">
        <v>339</v>
      </c>
      <c r="D358" s="81" t="s">
        <v>340</v>
      </c>
      <c r="E358" s="81" t="s">
        <v>715</v>
      </c>
      <c r="F358" s="162" t="s">
        <v>716</v>
      </c>
      <c r="G358" s="163"/>
      <c r="H358" s="81" t="s">
        <v>720</v>
      </c>
      <c r="I358" s="81" t="s">
        <v>344</v>
      </c>
      <c r="J358" s="81" t="s">
        <v>11</v>
      </c>
      <c r="K358" s="81" t="s">
        <v>755</v>
      </c>
      <c r="L358" s="81" t="s">
        <v>129</v>
      </c>
      <c r="M358" s="164">
        <v>22.7</v>
      </c>
      <c r="N358" s="165"/>
      <c r="O358" s="163"/>
      <c r="P358" s="82">
        <v>79.209999999999994</v>
      </c>
      <c r="Q358" s="164">
        <v>0</v>
      </c>
      <c r="R358" s="163"/>
      <c r="S358" s="81" t="s">
        <v>346</v>
      </c>
      <c r="T358" s="82">
        <v>63</v>
      </c>
      <c r="U358" s="82">
        <v>0</v>
      </c>
      <c r="V358" s="82">
        <v>0</v>
      </c>
      <c r="W358" s="82">
        <v>0</v>
      </c>
      <c r="X358" s="81" t="s">
        <v>133</v>
      </c>
      <c r="Y358" s="82">
        <v>4</v>
      </c>
      <c r="Z358" s="81" t="s">
        <v>138</v>
      </c>
      <c r="AA358" s="81" t="s">
        <v>58</v>
      </c>
      <c r="AB358" s="81" t="s">
        <v>58</v>
      </c>
      <c r="AC358" s="83">
        <v>46105</v>
      </c>
    </row>
    <row r="359" spans="2:29" ht="23" x14ac:dyDescent="0.35">
      <c r="B359" s="81" t="s">
        <v>338</v>
      </c>
      <c r="C359" s="81" t="s">
        <v>339</v>
      </c>
      <c r="D359" s="81" t="s">
        <v>340</v>
      </c>
      <c r="E359" s="81" t="s">
        <v>715</v>
      </c>
      <c r="F359" s="162" t="s">
        <v>716</v>
      </c>
      <c r="G359" s="163"/>
      <c r="H359" s="81" t="s">
        <v>720</v>
      </c>
      <c r="I359" s="81" t="s">
        <v>344</v>
      </c>
      <c r="J359" s="81" t="s">
        <v>11</v>
      </c>
      <c r="K359" s="81" t="s">
        <v>756</v>
      </c>
      <c r="L359" s="81" t="s">
        <v>129</v>
      </c>
      <c r="M359" s="164">
        <v>21.8</v>
      </c>
      <c r="N359" s="165"/>
      <c r="O359" s="163"/>
      <c r="P359" s="82">
        <v>76.069999999999993</v>
      </c>
      <c r="Q359" s="164">
        <v>0</v>
      </c>
      <c r="R359" s="163"/>
      <c r="S359" s="81" t="s">
        <v>346</v>
      </c>
      <c r="T359" s="82">
        <v>63</v>
      </c>
      <c r="U359" s="82">
        <v>0</v>
      </c>
      <c r="V359" s="82">
        <v>0</v>
      </c>
      <c r="W359" s="82">
        <v>0</v>
      </c>
      <c r="X359" s="81" t="s">
        <v>135</v>
      </c>
      <c r="Y359" s="82">
        <v>8</v>
      </c>
      <c r="Z359" s="81" t="s">
        <v>138</v>
      </c>
      <c r="AA359" s="81" t="s">
        <v>58</v>
      </c>
      <c r="AB359" s="81" t="s">
        <v>58</v>
      </c>
      <c r="AC359" s="83">
        <v>46105</v>
      </c>
    </row>
    <row r="360" spans="2:29" ht="23" x14ac:dyDescent="0.35">
      <c r="B360" s="81" t="s">
        <v>338</v>
      </c>
      <c r="C360" s="81" t="s">
        <v>339</v>
      </c>
      <c r="D360" s="81" t="s">
        <v>340</v>
      </c>
      <c r="E360" s="81" t="s">
        <v>715</v>
      </c>
      <c r="F360" s="162" t="s">
        <v>716</v>
      </c>
      <c r="G360" s="163"/>
      <c r="H360" s="81" t="s">
        <v>720</v>
      </c>
      <c r="I360" s="81" t="s">
        <v>344</v>
      </c>
      <c r="J360" s="81" t="s">
        <v>11</v>
      </c>
      <c r="K360" s="81" t="s">
        <v>757</v>
      </c>
      <c r="L360" s="81" t="s">
        <v>129</v>
      </c>
      <c r="M360" s="164">
        <v>22.6</v>
      </c>
      <c r="N360" s="165"/>
      <c r="O360" s="163"/>
      <c r="P360" s="82">
        <v>78.86</v>
      </c>
      <c r="Q360" s="164">
        <v>0</v>
      </c>
      <c r="R360" s="163"/>
      <c r="S360" s="81" t="s">
        <v>346</v>
      </c>
      <c r="T360" s="82">
        <v>63</v>
      </c>
      <c r="U360" s="82">
        <v>0</v>
      </c>
      <c r="V360" s="82">
        <v>0</v>
      </c>
      <c r="W360" s="82">
        <v>0</v>
      </c>
      <c r="X360" s="81" t="s">
        <v>134</v>
      </c>
      <c r="Y360" s="82">
        <v>4</v>
      </c>
      <c r="Z360" s="81" t="s">
        <v>138</v>
      </c>
      <c r="AA360" s="81" t="s">
        <v>58</v>
      </c>
      <c r="AB360" s="81" t="s">
        <v>58</v>
      </c>
      <c r="AC360" s="83">
        <v>46105</v>
      </c>
    </row>
    <row r="361" spans="2:29" ht="23" x14ac:dyDescent="0.35">
      <c r="B361" s="81" t="s">
        <v>338</v>
      </c>
      <c r="C361" s="81" t="s">
        <v>339</v>
      </c>
      <c r="D361" s="81" t="s">
        <v>340</v>
      </c>
      <c r="E361" s="81" t="s">
        <v>715</v>
      </c>
      <c r="F361" s="162" t="s">
        <v>716</v>
      </c>
      <c r="G361" s="163"/>
      <c r="H361" s="81" t="s">
        <v>720</v>
      </c>
      <c r="I361" s="81" t="s">
        <v>344</v>
      </c>
      <c r="J361" s="81" t="s">
        <v>11</v>
      </c>
      <c r="K361" s="81" t="s">
        <v>758</v>
      </c>
      <c r="L361" s="81" t="s">
        <v>129</v>
      </c>
      <c r="M361" s="164">
        <v>22.5</v>
      </c>
      <c r="N361" s="165"/>
      <c r="O361" s="163"/>
      <c r="P361" s="82">
        <v>78.510000000000005</v>
      </c>
      <c r="Q361" s="164">
        <v>0</v>
      </c>
      <c r="R361" s="163"/>
      <c r="S361" s="81" t="s">
        <v>346</v>
      </c>
      <c r="T361" s="82">
        <v>63</v>
      </c>
      <c r="U361" s="82">
        <v>0</v>
      </c>
      <c r="V361" s="82">
        <v>0</v>
      </c>
      <c r="W361" s="82">
        <v>0</v>
      </c>
      <c r="X361" s="81" t="s">
        <v>134</v>
      </c>
      <c r="Y361" s="82">
        <v>4</v>
      </c>
      <c r="Z361" s="81" t="s">
        <v>138</v>
      </c>
      <c r="AA361" s="81" t="s">
        <v>58</v>
      </c>
      <c r="AB361" s="81" t="s">
        <v>58</v>
      </c>
      <c r="AC361" s="83">
        <v>46105</v>
      </c>
    </row>
    <row r="362" spans="2:29" ht="23" x14ac:dyDescent="0.35">
      <c r="B362" s="81" t="s">
        <v>338</v>
      </c>
      <c r="C362" s="81" t="s">
        <v>339</v>
      </c>
      <c r="D362" s="81" t="s">
        <v>340</v>
      </c>
      <c r="E362" s="81" t="s">
        <v>715</v>
      </c>
      <c r="F362" s="162" t="s">
        <v>716</v>
      </c>
      <c r="G362" s="163"/>
      <c r="H362" s="81" t="s">
        <v>720</v>
      </c>
      <c r="I362" s="81" t="s">
        <v>344</v>
      </c>
      <c r="J362" s="81" t="s">
        <v>11</v>
      </c>
      <c r="K362" s="81" t="s">
        <v>759</v>
      </c>
      <c r="L362" s="81" t="s">
        <v>129</v>
      </c>
      <c r="M362" s="164">
        <v>22.5</v>
      </c>
      <c r="N362" s="165"/>
      <c r="O362" s="163"/>
      <c r="P362" s="82">
        <v>78.510000000000005</v>
      </c>
      <c r="Q362" s="164">
        <v>0</v>
      </c>
      <c r="R362" s="163"/>
      <c r="S362" s="81" t="s">
        <v>346</v>
      </c>
      <c r="T362" s="82">
        <v>63</v>
      </c>
      <c r="U362" s="82">
        <v>0</v>
      </c>
      <c r="V362" s="82">
        <v>0</v>
      </c>
      <c r="W362" s="82">
        <v>0</v>
      </c>
      <c r="X362" s="81" t="s">
        <v>133</v>
      </c>
      <c r="Y362" s="82">
        <v>4</v>
      </c>
      <c r="Z362" s="81" t="s">
        <v>138</v>
      </c>
      <c r="AA362" s="81" t="s">
        <v>58</v>
      </c>
      <c r="AB362" s="81" t="s">
        <v>58</v>
      </c>
      <c r="AC362" s="83">
        <v>46105</v>
      </c>
    </row>
    <row r="363" spans="2:29" ht="23" x14ac:dyDescent="0.35">
      <c r="B363" s="81" t="s">
        <v>338</v>
      </c>
      <c r="C363" s="81" t="s">
        <v>339</v>
      </c>
      <c r="D363" s="81" t="s">
        <v>340</v>
      </c>
      <c r="E363" s="81" t="s">
        <v>715</v>
      </c>
      <c r="F363" s="162" t="s">
        <v>716</v>
      </c>
      <c r="G363" s="163"/>
      <c r="H363" s="81" t="s">
        <v>720</v>
      </c>
      <c r="I363" s="81" t="s">
        <v>344</v>
      </c>
      <c r="J363" s="81" t="s">
        <v>11</v>
      </c>
      <c r="K363" s="81" t="s">
        <v>760</v>
      </c>
      <c r="L363" s="81" t="s">
        <v>129</v>
      </c>
      <c r="M363" s="164">
        <v>22.5</v>
      </c>
      <c r="N363" s="165"/>
      <c r="O363" s="163"/>
      <c r="P363" s="82">
        <v>78.510000000000005</v>
      </c>
      <c r="Q363" s="164">
        <v>0</v>
      </c>
      <c r="R363" s="163"/>
      <c r="S363" s="81" t="s">
        <v>346</v>
      </c>
      <c r="T363" s="82">
        <v>63</v>
      </c>
      <c r="U363" s="82">
        <v>0</v>
      </c>
      <c r="V363" s="82">
        <v>0</v>
      </c>
      <c r="W363" s="82">
        <v>0</v>
      </c>
      <c r="X363" s="81" t="s">
        <v>132</v>
      </c>
      <c r="Y363" s="82">
        <v>12</v>
      </c>
      <c r="Z363" s="81" t="s">
        <v>138</v>
      </c>
      <c r="AA363" s="81" t="s">
        <v>58</v>
      </c>
      <c r="AB363" s="81" t="s">
        <v>58</v>
      </c>
      <c r="AC363" s="83">
        <v>46105</v>
      </c>
    </row>
    <row r="364" spans="2:29" ht="23" x14ac:dyDescent="0.35">
      <c r="B364" s="81" t="s">
        <v>338</v>
      </c>
      <c r="C364" s="81" t="s">
        <v>339</v>
      </c>
      <c r="D364" s="81" t="s">
        <v>340</v>
      </c>
      <c r="E364" s="81" t="s">
        <v>715</v>
      </c>
      <c r="F364" s="162" t="s">
        <v>716</v>
      </c>
      <c r="G364" s="163"/>
      <c r="H364" s="81" t="s">
        <v>720</v>
      </c>
      <c r="I364" s="81" t="s">
        <v>344</v>
      </c>
      <c r="J364" s="81" t="s">
        <v>11</v>
      </c>
      <c r="K364" s="81" t="s">
        <v>761</v>
      </c>
      <c r="L364" s="81" t="s">
        <v>129</v>
      </c>
      <c r="M364" s="164">
        <v>24.2</v>
      </c>
      <c r="N364" s="165"/>
      <c r="O364" s="163"/>
      <c r="P364" s="82">
        <v>84.44</v>
      </c>
      <c r="Q364" s="164">
        <v>0</v>
      </c>
      <c r="R364" s="163"/>
      <c r="S364" s="81" t="s">
        <v>346</v>
      </c>
      <c r="T364" s="82">
        <v>63</v>
      </c>
      <c r="U364" s="82">
        <v>0</v>
      </c>
      <c r="V364" s="82">
        <v>0</v>
      </c>
      <c r="W364" s="82">
        <v>0</v>
      </c>
      <c r="X364" s="81" t="s">
        <v>139</v>
      </c>
      <c r="Y364" s="82">
        <v>4</v>
      </c>
      <c r="Z364" s="81" t="s">
        <v>138</v>
      </c>
      <c r="AA364" s="81" t="s">
        <v>58</v>
      </c>
      <c r="AB364" s="81" t="s">
        <v>58</v>
      </c>
      <c r="AC364" s="83">
        <v>46105</v>
      </c>
    </row>
    <row r="365" spans="2:29" ht="23" x14ac:dyDescent="0.35">
      <c r="B365" s="81" t="s">
        <v>338</v>
      </c>
      <c r="C365" s="81" t="s">
        <v>339</v>
      </c>
      <c r="D365" s="81" t="s">
        <v>340</v>
      </c>
      <c r="E365" s="81" t="s">
        <v>715</v>
      </c>
      <c r="F365" s="162" t="s">
        <v>716</v>
      </c>
      <c r="G365" s="163"/>
      <c r="H365" s="81" t="s">
        <v>720</v>
      </c>
      <c r="I365" s="81" t="s">
        <v>344</v>
      </c>
      <c r="J365" s="81" t="s">
        <v>11</v>
      </c>
      <c r="K365" s="81" t="s">
        <v>762</v>
      </c>
      <c r="L365" s="81" t="s">
        <v>129</v>
      </c>
      <c r="M365" s="164">
        <v>22.5</v>
      </c>
      <c r="N365" s="165"/>
      <c r="O365" s="163"/>
      <c r="P365" s="82">
        <v>78.510000000000005</v>
      </c>
      <c r="Q365" s="164">
        <v>0</v>
      </c>
      <c r="R365" s="163"/>
      <c r="S365" s="81" t="s">
        <v>346</v>
      </c>
      <c r="T365" s="82">
        <v>63</v>
      </c>
      <c r="U365" s="82">
        <v>0</v>
      </c>
      <c r="V365" s="82">
        <v>0</v>
      </c>
      <c r="W365" s="82">
        <v>0</v>
      </c>
      <c r="X365" s="81" t="s">
        <v>132</v>
      </c>
      <c r="Y365" s="82">
        <v>8</v>
      </c>
      <c r="Z365" s="81" t="s">
        <v>138</v>
      </c>
      <c r="AA365" s="81" t="s">
        <v>58</v>
      </c>
      <c r="AB365" s="81" t="s">
        <v>58</v>
      </c>
      <c r="AC365" s="83">
        <v>46105</v>
      </c>
    </row>
    <row r="366" spans="2:29" ht="23" x14ac:dyDescent="0.35">
      <c r="B366" s="81" t="s">
        <v>338</v>
      </c>
      <c r="C366" s="81" t="s">
        <v>339</v>
      </c>
      <c r="D366" s="81" t="s">
        <v>340</v>
      </c>
      <c r="E366" s="81" t="s">
        <v>715</v>
      </c>
      <c r="F366" s="162" t="s">
        <v>716</v>
      </c>
      <c r="G366" s="163"/>
      <c r="H366" s="81" t="s">
        <v>720</v>
      </c>
      <c r="I366" s="81" t="s">
        <v>344</v>
      </c>
      <c r="J366" s="81" t="s">
        <v>11</v>
      </c>
      <c r="K366" s="81" t="s">
        <v>763</v>
      </c>
      <c r="L366" s="81" t="s">
        <v>129</v>
      </c>
      <c r="M366" s="164">
        <v>23.8</v>
      </c>
      <c r="N366" s="165"/>
      <c r="O366" s="163"/>
      <c r="P366" s="82">
        <v>83.05</v>
      </c>
      <c r="Q366" s="164">
        <v>0</v>
      </c>
      <c r="R366" s="163"/>
      <c r="S366" s="81" t="s">
        <v>346</v>
      </c>
      <c r="T366" s="82">
        <v>63</v>
      </c>
      <c r="U366" s="82">
        <v>0</v>
      </c>
      <c r="V366" s="82">
        <v>0</v>
      </c>
      <c r="W366" s="82">
        <v>0</v>
      </c>
      <c r="X366" s="81" t="s">
        <v>139</v>
      </c>
      <c r="Y366" s="82">
        <v>4</v>
      </c>
      <c r="Z366" s="81" t="s">
        <v>138</v>
      </c>
      <c r="AA366" s="81" t="s">
        <v>58</v>
      </c>
      <c r="AB366" s="81" t="s">
        <v>58</v>
      </c>
      <c r="AC366" s="83">
        <v>46105</v>
      </c>
    </row>
    <row r="367" spans="2:29" ht="23" x14ac:dyDescent="0.35">
      <c r="B367" s="81" t="s">
        <v>338</v>
      </c>
      <c r="C367" s="81" t="s">
        <v>339</v>
      </c>
      <c r="D367" s="81" t="s">
        <v>340</v>
      </c>
      <c r="E367" s="81" t="s">
        <v>715</v>
      </c>
      <c r="F367" s="162" t="s">
        <v>716</v>
      </c>
      <c r="G367" s="163"/>
      <c r="H367" s="81" t="s">
        <v>720</v>
      </c>
      <c r="I367" s="81" t="s">
        <v>344</v>
      </c>
      <c r="J367" s="81" t="s">
        <v>11</v>
      </c>
      <c r="K367" s="81" t="s">
        <v>764</v>
      </c>
      <c r="L367" s="81" t="s">
        <v>129</v>
      </c>
      <c r="M367" s="164">
        <v>22.7</v>
      </c>
      <c r="N367" s="165"/>
      <c r="O367" s="163"/>
      <c r="P367" s="82">
        <v>79.209999999999994</v>
      </c>
      <c r="Q367" s="164">
        <v>0</v>
      </c>
      <c r="R367" s="163"/>
      <c r="S367" s="81" t="s">
        <v>346</v>
      </c>
      <c r="T367" s="82">
        <v>63</v>
      </c>
      <c r="U367" s="82">
        <v>0</v>
      </c>
      <c r="V367" s="82">
        <v>0</v>
      </c>
      <c r="W367" s="82">
        <v>0</v>
      </c>
      <c r="X367" s="81" t="s">
        <v>133</v>
      </c>
      <c r="Y367" s="82">
        <v>2</v>
      </c>
      <c r="Z367" s="81" t="s">
        <v>138</v>
      </c>
      <c r="AA367" s="81" t="s">
        <v>58</v>
      </c>
      <c r="AB367" s="81" t="s">
        <v>58</v>
      </c>
      <c r="AC367" s="83">
        <v>46105</v>
      </c>
    </row>
    <row r="368" spans="2:29" ht="23" x14ac:dyDescent="0.35">
      <c r="B368" s="81" t="s">
        <v>338</v>
      </c>
      <c r="C368" s="81" t="s">
        <v>339</v>
      </c>
      <c r="D368" s="81" t="s">
        <v>340</v>
      </c>
      <c r="E368" s="81" t="s">
        <v>715</v>
      </c>
      <c r="F368" s="162" t="s">
        <v>716</v>
      </c>
      <c r="G368" s="163"/>
      <c r="H368" s="81" t="s">
        <v>720</v>
      </c>
      <c r="I368" s="81" t="s">
        <v>344</v>
      </c>
      <c r="J368" s="81" t="s">
        <v>11</v>
      </c>
      <c r="K368" s="81" t="s">
        <v>765</v>
      </c>
      <c r="L368" s="81" t="s">
        <v>129</v>
      </c>
      <c r="M368" s="164">
        <v>22.5</v>
      </c>
      <c r="N368" s="165"/>
      <c r="O368" s="163"/>
      <c r="P368" s="82">
        <v>78.510000000000005</v>
      </c>
      <c r="Q368" s="164">
        <v>0</v>
      </c>
      <c r="R368" s="163"/>
      <c r="S368" s="81" t="s">
        <v>346</v>
      </c>
      <c r="T368" s="82">
        <v>63</v>
      </c>
      <c r="U368" s="82">
        <v>0</v>
      </c>
      <c r="V368" s="82">
        <v>0</v>
      </c>
      <c r="W368" s="82">
        <v>0</v>
      </c>
      <c r="X368" s="81"/>
      <c r="Y368" s="81"/>
      <c r="Z368" s="81" t="s">
        <v>138</v>
      </c>
      <c r="AA368" s="81" t="s">
        <v>58</v>
      </c>
      <c r="AB368" s="81" t="s">
        <v>58</v>
      </c>
      <c r="AC368" s="83">
        <v>46105</v>
      </c>
    </row>
    <row r="369" spans="2:29" ht="23" x14ac:dyDescent="0.35">
      <c r="B369" s="81" t="s">
        <v>338</v>
      </c>
      <c r="C369" s="81" t="s">
        <v>339</v>
      </c>
      <c r="D369" s="81" t="s">
        <v>340</v>
      </c>
      <c r="E369" s="81" t="s">
        <v>715</v>
      </c>
      <c r="F369" s="162" t="s">
        <v>716</v>
      </c>
      <c r="G369" s="163"/>
      <c r="H369" s="81" t="s">
        <v>720</v>
      </c>
      <c r="I369" s="81" t="s">
        <v>344</v>
      </c>
      <c r="J369" s="81" t="s">
        <v>11</v>
      </c>
      <c r="K369" s="81" t="s">
        <v>766</v>
      </c>
      <c r="L369" s="81" t="s">
        <v>129</v>
      </c>
      <c r="M369" s="164">
        <v>22.5</v>
      </c>
      <c r="N369" s="165"/>
      <c r="O369" s="163"/>
      <c r="P369" s="82">
        <v>78.510000000000005</v>
      </c>
      <c r="Q369" s="164">
        <v>0</v>
      </c>
      <c r="R369" s="163"/>
      <c r="S369" s="81" t="s">
        <v>346</v>
      </c>
      <c r="T369" s="82">
        <v>63</v>
      </c>
      <c r="U369" s="82">
        <v>0</v>
      </c>
      <c r="V369" s="82">
        <v>0</v>
      </c>
      <c r="W369" s="82">
        <v>0</v>
      </c>
      <c r="X369" s="81"/>
      <c r="Y369" s="81"/>
      <c r="Z369" s="81" t="s">
        <v>138</v>
      </c>
      <c r="AA369" s="81" t="s">
        <v>58</v>
      </c>
      <c r="AB369" s="81" t="s">
        <v>58</v>
      </c>
      <c r="AC369" s="83">
        <v>46105</v>
      </c>
    </row>
    <row r="370" spans="2:29" ht="23" x14ac:dyDescent="0.35">
      <c r="B370" s="81" t="s">
        <v>338</v>
      </c>
      <c r="C370" s="81" t="s">
        <v>339</v>
      </c>
      <c r="D370" s="81" t="s">
        <v>340</v>
      </c>
      <c r="E370" s="81" t="s">
        <v>715</v>
      </c>
      <c r="F370" s="162" t="s">
        <v>716</v>
      </c>
      <c r="G370" s="163"/>
      <c r="H370" s="81" t="s">
        <v>720</v>
      </c>
      <c r="I370" s="81" t="s">
        <v>344</v>
      </c>
      <c r="J370" s="81" t="s">
        <v>11</v>
      </c>
      <c r="K370" s="81" t="s">
        <v>767</v>
      </c>
      <c r="L370" s="81" t="s">
        <v>129</v>
      </c>
      <c r="M370" s="164">
        <v>22.5</v>
      </c>
      <c r="N370" s="165"/>
      <c r="O370" s="163"/>
      <c r="P370" s="82">
        <v>78.510000000000005</v>
      </c>
      <c r="Q370" s="164">
        <v>0</v>
      </c>
      <c r="R370" s="163"/>
      <c r="S370" s="81" t="s">
        <v>346</v>
      </c>
      <c r="T370" s="82">
        <v>63</v>
      </c>
      <c r="U370" s="82">
        <v>0</v>
      </c>
      <c r="V370" s="82">
        <v>0</v>
      </c>
      <c r="W370" s="82">
        <v>0</v>
      </c>
      <c r="X370" s="81" t="s">
        <v>141</v>
      </c>
      <c r="Y370" s="82">
        <v>1</v>
      </c>
      <c r="Z370" s="81" t="s">
        <v>138</v>
      </c>
      <c r="AA370" s="81" t="s">
        <v>58</v>
      </c>
      <c r="AB370" s="81" t="s">
        <v>58</v>
      </c>
      <c r="AC370" s="83">
        <v>46105</v>
      </c>
    </row>
    <row r="371" spans="2:29" ht="23" x14ac:dyDescent="0.35">
      <c r="B371" s="81" t="s">
        <v>338</v>
      </c>
      <c r="C371" s="81" t="s">
        <v>339</v>
      </c>
      <c r="D371" s="81" t="s">
        <v>340</v>
      </c>
      <c r="E371" s="81" t="s">
        <v>715</v>
      </c>
      <c r="F371" s="162" t="s">
        <v>716</v>
      </c>
      <c r="G371" s="163"/>
      <c r="H371" s="81" t="s">
        <v>720</v>
      </c>
      <c r="I371" s="81" t="s">
        <v>344</v>
      </c>
      <c r="J371" s="81" t="s">
        <v>11</v>
      </c>
      <c r="K371" s="81" t="s">
        <v>768</v>
      </c>
      <c r="L371" s="81" t="s">
        <v>129</v>
      </c>
      <c r="M371" s="164">
        <v>19.7</v>
      </c>
      <c r="N371" s="165"/>
      <c r="O371" s="163"/>
      <c r="P371" s="82">
        <v>68.739999999999995</v>
      </c>
      <c r="Q371" s="164">
        <v>0</v>
      </c>
      <c r="R371" s="163"/>
      <c r="S371" s="81" t="s">
        <v>346</v>
      </c>
      <c r="T371" s="82">
        <v>63</v>
      </c>
      <c r="U371" s="82">
        <v>0</v>
      </c>
      <c r="V371" s="82">
        <v>0</v>
      </c>
      <c r="W371" s="82">
        <v>0</v>
      </c>
      <c r="X371" s="81"/>
      <c r="Y371" s="81"/>
      <c r="Z371" s="81" t="s">
        <v>138</v>
      </c>
      <c r="AA371" s="81" t="s">
        <v>58</v>
      </c>
      <c r="AB371" s="81" t="s">
        <v>58</v>
      </c>
      <c r="AC371" s="83">
        <v>46105</v>
      </c>
    </row>
    <row r="372" spans="2:29" ht="23" x14ac:dyDescent="0.35">
      <c r="B372" s="81" t="s">
        <v>338</v>
      </c>
      <c r="C372" s="81" t="s">
        <v>339</v>
      </c>
      <c r="D372" s="81" t="s">
        <v>340</v>
      </c>
      <c r="E372" s="81" t="s">
        <v>715</v>
      </c>
      <c r="F372" s="162" t="s">
        <v>716</v>
      </c>
      <c r="G372" s="163"/>
      <c r="H372" s="81" t="s">
        <v>720</v>
      </c>
      <c r="I372" s="81" t="s">
        <v>344</v>
      </c>
      <c r="J372" s="81" t="s">
        <v>11</v>
      </c>
      <c r="K372" s="81" t="s">
        <v>769</v>
      </c>
      <c r="L372" s="81" t="s">
        <v>129</v>
      </c>
      <c r="M372" s="164">
        <v>32.9</v>
      </c>
      <c r="N372" s="165"/>
      <c r="O372" s="163"/>
      <c r="P372" s="82">
        <v>114.8</v>
      </c>
      <c r="Q372" s="164">
        <v>0</v>
      </c>
      <c r="R372" s="163"/>
      <c r="S372" s="81" t="s">
        <v>346</v>
      </c>
      <c r="T372" s="82">
        <v>63</v>
      </c>
      <c r="U372" s="82">
        <v>0</v>
      </c>
      <c r="V372" s="82">
        <v>0</v>
      </c>
      <c r="W372" s="82">
        <v>0</v>
      </c>
      <c r="X372" s="81" t="s">
        <v>133</v>
      </c>
      <c r="Y372" s="82">
        <v>4</v>
      </c>
      <c r="Z372" s="81" t="s">
        <v>138</v>
      </c>
      <c r="AA372" s="81" t="s">
        <v>58</v>
      </c>
      <c r="AB372" s="81" t="s">
        <v>58</v>
      </c>
      <c r="AC372" s="83">
        <v>46105</v>
      </c>
    </row>
    <row r="373" spans="2:29" ht="23" x14ac:dyDescent="0.35">
      <c r="B373" s="81" t="s">
        <v>338</v>
      </c>
      <c r="C373" s="81" t="s">
        <v>339</v>
      </c>
      <c r="D373" s="81" t="s">
        <v>340</v>
      </c>
      <c r="E373" s="81" t="s">
        <v>715</v>
      </c>
      <c r="F373" s="162" t="s">
        <v>716</v>
      </c>
      <c r="G373" s="163"/>
      <c r="H373" s="81" t="s">
        <v>720</v>
      </c>
      <c r="I373" s="81" t="s">
        <v>344</v>
      </c>
      <c r="J373" s="81" t="s">
        <v>11</v>
      </c>
      <c r="K373" s="81" t="s">
        <v>770</v>
      </c>
      <c r="L373" s="81" t="s">
        <v>129</v>
      </c>
      <c r="M373" s="164">
        <v>22.3</v>
      </c>
      <c r="N373" s="165"/>
      <c r="O373" s="163"/>
      <c r="P373" s="82">
        <v>77.81</v>
      </c>
      <c r="Q373" s="164">
        <v>0</v>
      </c>
      <c r="R373" s="163"/>
      <c r="S373" s="81" t="s">
        <v>346</v>
      </c>
      <c r="T373" s="82">
        <v>63</v>
      </c>
      <c r="U373" s="82">
        <v>0</v>
      </c>
      <c r="V373" s="82">
        <v>0</v>
      </c>
      <c r="W373" s="82">
        <v>0</v>
      </c>
      <c r="X373" s="81" t="s">
        <v>132</v>
      </c>
      <c r="Y373" s="82">
        <v>4</v>
      </c>
      <c r="Z373" s="81" t="s">
        <v>138</v>
      </c>
      <c r="AA373" s="81" t="s">
        <v>58</v>
      </c>
      <c r="AB373" s="81" t="s">
        <v>58</v>
      </c>
      <c r="AC373" s="83">
        <v>46105</v>
      </c>
    </row>
    <row r="374" spans="2:29" ht="23" x14ac:dyDescent="0.35">
      <c r="B374" s="81" t="s">
        <v>338</v>
      </c>
      <c r="C374" s="81" t="s">
        <v>339</v>
      </c>
      <c r="D374" s="81" t="s">
        <v>340</v>
      </c>
      <c r="E374" s="81" t="s">
        <v>771</v>
      </c>
      <c r="F374" s="162" t="s">
        <v>772</v>
      </c>
      <c r="G374" s="163"/>
      <c r="H374" s="81" t="s">
        <v>773</v>
      </c>
      <c r="I374" s="81" t="s">
        <v>344</v>
      </c>
      <c r="J374" s="81" t="s">
        <v>11</v>
      </c>
      <c r="K374" s="81" t="s">
        <v>774</v>
      </c>
      <c r="L374" s="81" t="s">
        <v>129</v>
      </c>
      <c r="M374" s="164">
        <v>22.8</v>
      </c>
      <c r="N374" s="165"/>
      <c r="O374" s="163"/>
      <c r="P374" s="82">
        <v>83.73</v>
      </c>
      <c r="Q374" s="164">
        <v>0</v>
      </c>
      <c r="R374" s="163"/>
      <c r="S374" s="81" t="s">
        <v>346</v>
      </c>
      <c r="T374" s="82">
        <v>62</v>
      </c>
      <c r="U374" s="82">
        <v>0</v>
      </c>
      <c r="V374" s="82">
        <v>0</v>
      </c>
      <c r="W374" s="82">
        <v>0</v>
      </c>
      <c r="X374" s="81" t="s">
        <v>143</v>
      </c>
      <c r="Y374" s="82">
        <v>4</v>
      </c>
      <c r="Z374" s="81" t="s">
        <v>138</v>
      </c>
      <c r="AA374" s="81" t="s">
        <v>58</v>
      </c>
      <c r="AB374" s="81" t="s">
        <v>58</v>
      </c>
      <c r="AC374" s="83">
        <v>46106</v>
      </c>
    </row>
    <row r="375" spans="2:29" ht="23" x14ac:dyDescent="0.35">
      <c r="B375" s="81" t="s">
        <v>338</v>
      </c>
      <c r="C375" s="81" t="s">
        <v>339</v>
      </c>
      <c r="D375" s="81" t="s">
        <v>340</v>
      </c>
      <c r="E375" s="81" t="s">
        <v>771</v>
      </c>
      <c r="F375" s="162" t="s">
        <v>772</v>
      </c>
      <c r="G375" s="163"/>
      <c r="H375" s="81" t="s">
        <v>773</v>
      </c>
      <c r="I375" s="81" t="s">
        <v>344</v>
      </c>
      <c r="J375" s="81" t="s">
        <v>11</v>
      </c>
      <c r="K375" s="81" t="s">
        <v>775</v>
      </c>
      <c r="L375" s="81" t="s">
        <v>129</v>
      </c>
      <c r="M375" s="164">
        <v>22.6</v>
      </c>
      <c r="N375" s="165"/>
      <c r="O375" s="163"/>
      <c r="P375" s="82">
        <v>82.99</v>
      </c>
      <c r="Q375" s="164">
        <v>0</v>
      </c>
      <c r="R375" s="163"/>
      <c r="S375" s="81" t="s">
        <v>346</v>
      </c>
      <c r="T375" s="82">
        <v>62</v>
      </c>
      <c r="U375" s="82">
        <v>0</v>
      </c>
      <c r="V375" s="82">
        <v>0</v>
      </c>
      <c r="W375" s="82">
        <v>0</v>
      </c>
      <c r="X375" s="81" t="s">
        <v>141</v>
      </c>
      <c r="Y375" s="82">
        <v>8</v>
      </c>
      <c r="Z375" s="81" t="s">
        <v>138</v>
      </c>
      <c r="AA375" s="81" t="s">
        <v>58</v>
      </c>
      <c r="AB375" s="81" t="s">
        <v>58</v>
      </c>
      <c r="AC375" s="83">
        <v>46106</v>
      </c>
    </row>
    <row r="376" spans="2:29" ht="23" x14ac:dyDescent="0.35">
      <c r="B376" s="81" t="s">
        <v>338</v>
      </c>
      <c r="C376" s="81" t="s">
        <v>339</v>
      </c>
      <c r="D376" s="81" t="s">
        <v>340</v>
      </c>
      <c r="E376" s="81" t="s">
        <v>771</v>
      </c>
      <c r="F376" s="162" t="s">
        <v>772</v>
      </c>
      <c r="G376" s="163"/>
      <c r="H376" s="81" t="s">
        <v>773</v>
      </c>
      <c r="I376" s="81" t="s">
        <v>344</v>
      </c>
      <c r="J376" s="81" t="s">
        <v>11</v>
      </c>
      <c r="K376" s="81" t="s">
        <v>776</v>
      </c>
      <c r="L376" s="81" t="s">
        <v>129</v>
      </c>
      <c r="M376" s="164">
        <v>22.5</v>
      </c>
      <c r="N376" s="165"/>
      <c r="O376" s="163"/>
      <c r="P376" s="82">
        <v>82.62</v>
      </c>
      <c r="Q376" s="164">
        <v>0</v>
      </c>
      <c r="R376" s="163"/>
      <c r="S376" s="81" t="s">
        <v>346</v>
      </c>
      <c r="T376" s="82">
        <v>62</v>
      </c>
      <c r="U376" s="82">
        <v>0</v>
      </c>
      <c r="V376" s="82">
        <v>0</v>
      </c>
      <c r="W376" s="82">
        <v>0</v>
      </c>
      <c r="X376" s="81"/>
      <c r="Y376" s="81"/>
      <c r="Z376" s="81" t="s">
        <v>138</v>
      </c>
      <c r="AA376" s="81" t="s">
        <v>58</v>
      </c>
      <c r="AB376" s="81" t="s">
        <v>58</v>
      </c>
      <c r="AC376" s="83">
        <v>46106</v>
      </c>
    </row>
    <row r="377" spans="2:29" ht="23" x14ac:dyDescent="0.35">
      <c r="B377" s="81" t="s">
        <v>338</v>
      </c>
      <c r="C377" s="81" t="s">
        <v>339</v>
      </c>
      <c r="D377" s="81" t="s">
        <v>340</v>
      </c>
      <c r="E377" s="81" t="s">
        <v>771</v>
      </c>
      <c r="F377" s="162" t="s">
        <v>772</v>
      </c>
      <c r="G377" s="163"/>
      <c r="H377" s="81" t="s">
        <v>773</v>
      </c>
      <c r="I377" s="81" t="s">
        <v>344</v>
      </c>
      <c r="J377" s="81" t="s">
        <v>11</v>
      </c>
      <c r="K377" s="81" t="s">
        <v>777</v>
      </c>
      <c r="L377" s="81" t="s">
        <v>129</v>
      </c>
      <c r="M377" s="164">
        <v>22.5</v>
      </c>
      <c r="N377" s="165"/>
      <c r="O377" s="163"/>
      <c r="P377" s="82">
        <v>82.62</v>
      </c>
      <c r="Q377" s="164">
        <v>0</v>
      </c>
      <c r="R377" s="163"/>
      <c r="S377" s="81" t="s">
        <v>346</v>
      </c>
      <c r="T377" s="82">
        <v>62</v>
      </c>
      <c r="U377" s="82">
        <v>0</v>
      </c>
      <c r="V377" s="82">
        <v>0</v>
      </c>
      <c r="W377" s="82">
        <v>0</v>
      </c>
      <c r="X377" s="81"/>
      <c r="Y377" s="81"/>
      <c r="Z377" s="81" t="s">
        <v>138</v>
      </c>
      <c r="AA377" s="81" t="s">
        <v>58</v>
      </c>
      <c r="AB377" s="81" t="s">
        <v>58</v>
      </c>
      <c r="AC377" s="83">
        <v>46106</v>
      </c>
    </row>
    <row r="378" spans="2:29" ht="23" x14ac:dyDescent="0.35">
      <c r="B378" s="81" t="s">
        <v>338</v>
      </c>
      <c r="C378" s="81" t="s">
        <v>339</v>
      </c>
      <c r="D378" s="81" t="s">
        <v>340</v>
      </c>
      <c r="E378" s="81" t="s">
        <v>771</v>
      </c>
      <c r="F378" s="162" t="s">
        <v>772</v>
      </c>
      <c r="G378" s="163"/>
      <c r="H378" s="81" t="s">
        <v>773</v>
      </c>
      <c r="I378" s="81" t="s">
        <v>344</v>
      </c>
      <c r="J378" s="81" t="s">
        <v>11</v>
      </c>
      <c r="K378" s="81" t="s">
        <v>778</v>
      </c>
      <c r="L378" s="81" t="s">
        <v>129</v>
      </c>
      <c r="M378" s="164">
        <v>22.5</v>
      </c>
      <c r="N378" s="165"/>
      <c r="O378" s="163"/>
      <c r="P378" s="82">
        <v>82.62</v>
      </c>
      <c r="Q378" s="164">
        <v>0</v>
      </c>
      <c r="R378" s="163"/>
      <c r="S378" s="81" t="s">
        <v>346</v>
      </c>
      <c r="T378" s="82">
        <v>62</v>
      </c>
      <c r="U378" s="82">
        <v>0</v>
      </c>
      <c r="V378" s="82">
        <v>0</v>
      </c>
      <c r="W378" s="82">
        <v>0</v>
      </c>
      <c r="X378" s="81"/>
      <c r="Y378" s="81"/>
      <c r="Z378" s="81" t="s">
        <v>138</v>
      </c>
      <c r="AA378" s="81" t="s">
        <v>58</v>
      </c>
      <c r="AB378" s="81" t="s">
        <v>58</v>
      </c>
      <c r="AC378" s="83">
        <v>46106</v>
      </c>
    </row>
    <row r="379" spans="2:29" ht="23" x14ac:dyDescent="0.35">
      <c r="B379" s="81" t="s">
        <v>338</v>
      </c>
      <c r="C379" s="81" t="s">
        <v>339</v>
      </c>
      <c r="D379" s="81" t="s">
        <v>340</v>
      </c>
      <c r="E379" s="81" t="s">
        <v>771</v>
      </c>
      <c r="F379" s="162" t="s">
        <v>772</v>
      </c>
      <c r="G379" s="163"/>
      <c r="H379" s="81" t="s">
        <v>773</v>
      </c>
      <c r="I379" s="81" t="s">
        <v>344</v>
      </c>
      <c r="J379" s="81" t="s">
        <v>11</v>
      </c>
      <c r="K379" s="81" t="s">
        <v>779</v>
      </c>
      <c r="L379" s="81" t="s">
        <v>129</v>
      </c>
      <c r="M379" s="164">
        <v>22.6</v>
      </c>
      <c r="N379" s="165"/>
      <c r="O379" s="163"/>
      <c r="P379" s="82">
        <v>82.99</v>
      </c>
      <c r="Q379" s="164">
        <v>0</v>
      </c>
      <c r="R379" s="163"/>
      <c r="S379" s="81" t="s">
        <v>346</v>
      </c>
      <c r="T379" s="82">
        <v>62</v>
      </c>
      <c r="U379" s="82">
        <v>0</v>
      </c>
      <c r="V379" s="82">
        <v>0</v>
      </c>
      <c r="W379" s="82">
        <v>0</v>
      </c>
      <c r="X379" s="81"/>
      <c r="Y379" s="81"/>
      <c r="Z379" s="81" t="s">
        <v>138</v>
      </c>
      <c r="AA379" s="81" t="s">
        <v>58</v>
      </c>
      <c r="AB379" s="81" t="s">
        <v>58</v>
      </c>
      <c r="AC379" s="83">
        <v>46106</v>
      </c>
    </row>
    <row r="380" spans="2:29" ht="23" x14ac:dyDescent="0.35">
      <c r="B380" s="81" t="s">
        <v>338</v>
      </c>
      <c r="C380" s="81" t="s">
        <v>339</v>
      </c>
      <c r="D380" s="81" t="s">
        <v>340</v>
      </c>
      <c r="E380" s="81" t="s">
        <v>771</v>
      </c>
      <c r="F380" s="162" t="s">
        <v>772</v>
      </c>
      <c r="G380" s="163"/>
      <c r="H380" s="81" t="s">
        <v>773</v>
      </c>
      <c r="I380" s="81" t="s">
        <v>344</v>
      </c>
      <c r="J380" s="81" t="s">
        <v>11</v>
      </c>
      <c r="K380" s="81" t="s">
        <v>780</v>
      </c>
      <c r="L380" s="81" t="s">
        <v>129</v>
      </c>
      <c r="M380" s="164">
        <v>30</v>
      </c>
      <c r="N380" s="165"/>
      <c r="O380" s="163"/>
      <c r="P380" s="82">
        <v>110.17</v>
      </c>
      <c r="Q380" s="164">
        <v>0</v>
      </c>
      <c r="R380" s="163"/>
      <c r="S380" s="81" t="s">
        <v>346</v>
      </c>
      <c r="T380" s="82">
        <v>62</v>
      </c>
      <c r="U380" s="82">
        <v>0</v>
      </c>
      <c r="V380" s="82">
        <v>0</v>
      </c>
      <c r="W380" s="82">
        <v>0</v>
      </c>
      <c r="X380" s="81" t="s">
        <v>133</v>
      </c>
      <c r="Y380" s="82">
        <v>4</v>
      </c>
      <c r="Z380" s="81" t="s">
        <v>138</v>
      </c>
      <c r="AA380" s="81" t="s">
        <v>58</v>
      </c>
      <c r="AB380" s="81" t="s">
        <v>58</v>
      </c>
      <c r="AC380" s="83">
        <v>46106</v>
      </c>
    </row>
    <row r="381" spans="2:29" ht="23" x14ac:dyDescent="0.35">
      <c r="B381" s="81" t="s">
        <v>338</v>
      </c>
      <c r="C381" s="81" t="s">
        <v>339</v>
      </c>
      <c r="D381" s="81" t="s">
        <v>340</v>
      </c>
      <c r="E381" s="81" t="s">
        <v>771</v>
      </c>
      <c r="F381" s="162" t="s">
        <v>772</v>
      </c>
      <c r="G381" s="163"/>
      <c r="H381" s="81" t="s">
        <v>773</v>
      </c>
      <c r="I381" s="81" t="s">
        <v>344</v>
      </c>
      <c r="J381" s="81" t="s">
        <v>11</v>
      </c>
      <c r="K381" s="81" t="s">
        <v>781</v>
      </c>
      <c r="L381" s="81" t="s">
        <v>129</v>
      </c>
      <c r="M381" s="164">
        <v>22.6</v>
      </c>
      <c r="N381" s="165"/>
      <c r="O381" s="163"/>
      <c r="P381" s="82">
        <v>82.99</v>
      </c>
      <c r="Q381" s="164">
        <v>0</v>
      </c>
      <c r="R381" s="163"/>
      <c r="S381" s="81" t="s">
        <v>346</v>
      </c>
      <c r="T381" s="82">
        <v>62</v>
      </c>
      <c r="U381" s="82">
        <v>0</v>
      </c>
      <c r="V381" s="82">
        <v>0</v>
      </c>
      <c r="W381" s="82">
        <v>0</v>
      </c>
      <c r="X381" s="81" t="s">
        <v>135</v>
      </c>
      <c r="Y381" s="82">
        <v>4</v>
      </c>
      <c r="Z381" s="81" t="s">
        <v>138</v>
      </c>
      <c r="AA381" s="81" t="s">
        <v>58</v>
      </c>
      <c r="AB381" s="81" t="s">
        <v>58</v>
      </c>
      <c r="AC381" s="83">
        <v>46106</v>
      </c>
    </row>
    <row r="382" spans="2:29" ht="23" x14ac:dyDescent="0.35">
      <c r="B382" s="81" t="s">
        <v>338</v>
      </c>
      <c r="C382" s="81" t="s">
        <v>339</v>
      </c>
      <c r="D382" s="81" t="s">
        <v>340</v>
      </c>
      <c r="E382" s="81" t="s">
        <v>771</v>
      </c>
      <c r="F382" s="162" t="s">
        <v>772</v>
      </c>
      <c r="G382" s="163"/>
      <c r="H382" s="81" t="s">
        <v>773</v>
      </c>
      <c r="I382" s="81" t="s">
        <v>344</v>
      </c>
      <c r="J382" s="81" t="s">
        <v>11</v>
      </c>
      <c r="K382" s="81" t="s">
        <v>782</v>
      </c>
      <c r="L382" s="81" t="s">
        <v>129</v>
      </c>
      <c r="M382" s="164">
        <v>22.7</v>
      </c>
      <c r="N382" s="165"/>
      <c r="O382" s="163"/>
      <c r="P382" s="82">
        <v>83.36</v>
      </c>
      <c r="Q382" s="164">
        <v>0</v>
      </c>
      <c r="R382" s="163"/>
      <c r="S382" s="81" t="s">
        <v>346</v>
      </c>
      <c r="T382" s="82">
        <v>62</v>
      </c>
      <c r="U382" s="82">
        <v>0</v>
      </c>
      <c r="V382" s="82">
        <v>0</v>
      </c>
      <c r="W382" s="82">
        <v>0</v>
      </c>
      <c r="X382" s="81"/>
      <c r="Y382" s="81"/>
      <c r="Z382" s="81" t="s">
        <v>138</v>
      </c>
      <c r="AA382" s="81" t="s">
        <v>58</v>
      </c>
      <c r="AB382" s="81" t="s">
        <v>58</v>
      </c>
      <c r="AC382" s="83">
        <v>46106</v>
      </c>
    </row>
    <row r="383" spans="2:29" ht="23" x14ac:dyDescent="0.35">
      <c r="B383" s="81" t="s">
        <v>338</v>
      </c>
      <c r="C383" s="81" t="s">
        <v>339</v>
      </c>
      <c r="D383" s="81" t="s">
        <v>340</v>
      </c>
      <c r="E383" s="81" t="s">
        <v>771</v>
      </c>
      <c r="F383" s="162" t="s">
        <v>772</v>
      </c>
      <c r="G383" s="163"/>
      <c r="H383" s="81" t="s">
        <v>773</v>
      </c>
      <c r="I383" s="81" t="s">
        <v>344</v>
      </c>
      <c r="J383" s="81" t="s">
        <v>11</v>
      </c>
      <c r="K383" s="81" t="s">
        <v>783</v>
      </c>
      <c r="L383" s="81" t="s">
        <v>129</v>
      </c>
      <c r="M383" s="164">
        <v>22.8</v>
      </c>
      <c r="N383" s="165"/>
      <c r="O383" s="163"/>
      <c r="P383" s="82">
        <v>83.73</v>
      </c>
      <c r="Q383" s="164">
        <v>0</v>
      </c>
      <c r="R383" s="163"/>
      <c r="S383" s="81" t="s">
        <v>346</v>
      </c>
      <c r="T383" s="82">
        <v>62</v>
      </c>
      <c r="U383" s="82">
        <v>0</v>
      </c>
      <c r="V383" s="82">
        <v>0</v>
      </c>
      <c r="W383" s="82">
        <v>0</v>
      </c>
      <c r="X383" s="81"/>
      <c r="Y383" s="81"/>
      <c r="Z383" s="81" t="s">
        <v>138</v>
      </c>
      <c r="AA383" s="81" t="s">
        <v>58</v>
      </c>
      <c r="AB383" s="81" t="s">
        <v>58</v>
      </c>
      <c r="AC383" s="83">
        <v>46106</v>
      </c>
    </row>
    <row r="384" spans="2:29" ht="23" x14ac:dyDescent="0.35">
      <c r="B384" s="81" t="s">
        <v>338</v>
      </c>
      <c r="C384" s="81" t="s">
        <v>339</v>
      </c>
      <c r="D384" s="81" t="s">
        <v>340</v>
      </c>
      <c r="E384" s="81" t="s">
        <v>771</v>
      </c>
      <c r="F384" s="162" t="s">
        <v>772</v>
      </c>
      <c r="G384" s="163"/>
      <c r="H384" s="81" t="s">
        <v>773</v>
      </c>
      <c r="I384" s="81" t="s">
        <v>344</v>
      </c>
      <c r="J384" s="81" t="s">
        <v>11</v>
      </c>
      <c r="K384" s="81" t="s">
        <v>784</v>
      </c>
      <c r="L384" s="81" t="s">
        <v>129</v>
      </c>
      <c r="M384" s="164">
        <v>18.8</v>
      </c>
      <c r="N384" s="165"/>
      <c r="O384" s="163"/>
      <c r="P384" s="82">
        <v>69.040000000000006</v>
      </c>
      <c r="Q384" s="164">
        <v>0</v>
      </c>
      <c r="R384" s="163"/>
      <c r="S384" s="81" t="s">
        <v>346</v>
      </c>
      <c r="T384" s="82">
        <v>62</v>
      </c>
      <c r="U384" s="82">
        <v>0</v>
      </c>
      <c r="V384" s="82">
        <v>0</v>
      </c>
      <c r="W384" s="82">
        <v>0</v>
      </c>
      <c r="X384" s="81"/>
      <c r="Y384" s="81"/>
      <c r="Z384" s="81" t="s">
        <v>138</v>
      </c>
      <c r="AA384" s="81" t="s">
        <v>58</v>
      </c>
      <c r="AB384" s="81" t="s">
        <v>58</v>
      </c>
      <c r="AC384" s="83">
        <v>46106</v>
      </c>
    </row>
    <row r="385" spans="2:29" ht="23" x14ac:dyDescent="0.35">
      <c r="B385" s="81" t="s">
        <v>338</v>
      </c>
      <c r="C385" s="81" t="s">
        <v>339</v>
      </c>
      <c r="D385" s="81" t="s">
        <v>340</v>
      </c>
      <c r="E385" s="81" t="s">
        <v>771</v>
      </c>
      <c r="F385" s="162" t="s">
        <v>772</v>
      </c>
      <c r="G385" s="163"/>
      <c r="H385" s="81" t="s">
        <v>773</v>
      </c>
      <c r="I385" s="81" t="s">
        <v>344</v>
      </c>
      <c r="J385" s="81" t="s">
        <v>11</v>
      </c>
      <c r="K385" s="81" t="s">
        <v>785</v>
      </c>
      <c r="L385" s="81" t="s">
        <v>129</v>
      </c>
      <c r="M385" s="164">
        <v>22.6</v>
      </c>
      <c r="N385" s="165"/>
      <c r="O385" s="163"/>
      <c r="P385" s="82">
        <v>82.99</v>
      </c>
      <c r="Q385" s="164">
        <v>0</v>
      </c>
      <c r="R385" s="163"/>
      <c r="S385" s="81" t="s">
        <v>346</v>
      </c>
      <c r="T385" s="82">
        <v>62</v>
      </c>
      <c r="U385" s="82">
        <v>0</v>
      </c>
      <c r="V385" s="82">
        <v>0</v>
      </c>
      <c r="W385" s="82">
        <v>0</v>
      </c>
      <c r="X385" s="81" t="s">
        <v>143</v>
      </c>
      <c r="Y385" s="82">
        <v>8</v>
      </c>
      <c r="Z385" s="81" t="s">
        <v>138</v>
      </c>
      <c r="AA385" s="81" t="s">
        <v>58</v>
      </c>
      <c r="AB385" s="81" t="s">
        <v>58</v>
      </c>
      <c r="AC385" s="83">
        <v>46106</v>
      </c>
    </row>
    <row r="386" spans="2:29" ht="23" x14ac:dyDescent="0.35">
      <c r="B386" s="81" t="s">
        <v>338</v>
      </c>
      <c r="C386" s="81" t="s">
        <v>339</v>
      </c>
      <c r="D386" s="81" t="s">
        <v>340</v>
      </c>
      <c r="E386" s="81" t="s">
        <v>771</v>
      </c>
      <c r="F386" s="162" t="s">
        <v>772</v>
      </c>
      <c r="G386" s="163"/>
      <c r="H386" s="81" t="s">
        <v>773</v>
      </c>
      <c r="I386" s="81" t="s">
        <v>344</v>
      </c>
      <c r="J386" s="81" t="s">
        <v>11</v>
      </c>
      <c r="K386" s="81" t="s">
        <v>786</v>
      </c>
      <c r="L386" s="81" t="s">
        <v>129</v>
      </c>
      <c r="M386" s="164">
        <v>19.2</v>
      </c>
      <c r="N386" s="165"/>
      <c r="O386" s="163"/>
      <c r="P386" s="82">
        <v>70.510000000000005</v>
      </c>
      <c r="Q386" s="164">
        <v>0</v>
      </c>
      <c r="R386" s="163"/>
      <c r="S386" s="81" t="s">
        <v>346</v>
      </c>
      <c r="T386" s="82">
        <v>62</v>
      </c>
      <c r="U386" s="82">
        <v>0</v>
      </c>
      <c r="V386" s="82">
        <v>0</v>
      </c>
      <c r="W386" s="82">
        <v>0</v>
      </c>
      <c r="X386" s="81"/>
      <c r="Y386" s="81"/>
      <c r="Z386" s="81" t="s">
        <v>138</v>
      </c>
      <c r="AA386" s="81" t="s">
        <v>58</v>
      </c>
      <c r="AB386" s="81" t="s">
        <v>58</v>
      </c>
      <c r="AC386" s="83">
        <v>46106</v>
      </c>
    </row>
    <row r="387" spans="2:29" ht="23" x14ac:dyDescent="0.35">
      <c r="B387" s="81" t="s">
        <v>338</v>
      </c>
      <c r="C387" s="81" t="s">
        <v>339</v>
      </c>
      <c r="D387" s="81" t="s">
        <v>340</v>
      </c>
      <c r="E387" s="81" t="s">
        <v>771</v>
      </c>
      <c r="F387" s="162" t="s">
        <v>772</v>
      </c>
      <c r="G387" s="163"/>
      <c r="H387" s="81" t="s">
        <v>773</v>
      </c>
      <c r="I387" s="81" t="s">
        <v>344</v>
      </c>
      <c r="J387" s="81" t="s">
        <v>11</v>
      </c>
      <c r="K387" s="81" t="s">
        <v>787</v>
      </c>
      <c r="L387" s="81" t="s">
        <v>129</v>
      </c>
      <c r="M387" s="164">
        <v>22.4</v>
      </c>
      <c r="N387" s="165"/>
      <c r="O387" s="163"/>
      <c r="P387" s="82">
        <v>82.26</v>
      </c>
      <c r="Q387" s="164">
        <v>0</v>
      </c>
      <c r="R387" s="163"/>
      <c r="S387" s="81" t="s">
        <v>346</v>
      </c>
      <c r="T387" s="82">
        <v>62</v>
      </c>
      <c r="U387" s="82">
        <v>0</v>
      </c>
      <c r="V387" s="82">
        <v>0</v>
      </c>
      <c r="W387" s="82">
        <v>0</v>
      </c>
      <c r="X387" s="81"/>
      <c r="Y387" s="81"/>
      <c r="Z387" s="81" t="s">
        <v>138</v>
      </c>
      <c r="AA387" s="81" t="s">
        <v>58</v>
      </c>
      <c r="AB387" s="81" t="s">
        <v>58</v>
      </c>
      <c r="AC387" s="83">
        <v>46106</v>
      </c>
    </row>
    <row r="388" spans="2:29" ht="23" x14ac:dyDescent="0.35">
      <c r="B388" s="81" t="s">
        <v>338</v>
      </c>
      <c r="C388" s="81" t="s">
        <v>339</v>
      </c>
      <c r="D388" s="81" t="s">
        <v>340</v>
      </c>
      <c r="E388" s="81" t="s">
        <v>771</v>
      </c>
      <c r="F388" s="162" t="s">
        <v>772</v>
      </c>
      <c r="G388" s="163"/>
      <c r="H388" s="81" t="s">
        <v>773</v>
      </c>
      <c r="I388" s="81" t="s">
        <v>344</v>
      </c>
      <c r="J388" s="81" t="s">
        <v>11</v>
      </c>
      <c r="K388" s="81" t="s">
        <v>788</v>
      </c>
      <c r="L388" s="81" t="s">
        <v>129</v>
      </c>
      <c r="M388" s="164">
        <v>22.7</v>
      </c>
      <c r="N388" s="165"/>
      <c r="O388" s="163"/>
      <c r="P388" s="82">
        <v>83.36</v>
      </c>
      <c r="Q388" s="164">
        <v>0</v>
      </c>
      <c r="R388" s="163"/>
      <c r="S388" s="81" t="s">
        <v>346</v>
      </c>
      <c r="T388" s="82">
        <v>62</v>
      </c>
      <c r="U388" s="82">
        <v>0</v>
      </c>
      <c r="V388" s="82">
        <v>0</v>
      </c>
      <c r="W388" s="82">
        <v>0</v>
      </c>
      <c r="X388" s="81" t="s">
        <v>143</v>
      </c>
      <c r="Y388" s="82">
        <v>4</v>
      </c>
      <c r="Z388" s="81" t="s">
        <v>138</v>
      </c>
      <c r="AA388" s="81" t="s">
        <v>58</v>
      </c>
      <c r="AB388" s="81" t="s">
        <v>58</v>
      </c>
      <c r="AC388" s="83">
        <v>46106</v>
      </c>
    </row>
    <row r="389" spans="2:29" ht="23" x14ac:dyDescent="0.35">
      <c r="B389" s="81" t="s">
        <v>338</v>
      </c>
      <c r="C389" s="81" t="s">
        <v>339</v>
      </c>
      <c r="D389" s="81" t="s">
        <v>340</v>
      </c>
      <c r="E389" s="81" t="s">
        <v>771</v>
      </c>
      <c r="F389" s="162" t="s">
        <v>772</v>
      </c>
      <c r="G389" s="163"/>
      <c r="H389" s="81" t="s">
        <v>773</v>
      </c>
      <c r="I389" s="81" t="s">
        <v>344</v>
      </c>
      <c r="J389" s="81" t="s">
        <v>11</v>
      </c>
      <c r="K389" s="81" t="s">
        <v>789</v>
      </c>
      <c r="L389" s="81" t="s">
        <v>129</v>
      </c>
      <c r="M389" s="164">
        <v>22.4</v>
      </c>
      <c r="N389" s="165"/>
      <c r="O389" s="163"/>
      <c r="P389" s="82">
        <v>82.26</v>
      </c>
      <c r="Q389" s="164">
        <v>0</v>
      </c>
      <c r="R389" s="163"/>
      <c r="S389" s="81" t="s">
        <v>346</v>
      </c>
      <c r="T389" s="82">
        <v>62</v>
      </c>
      <c r="U389" s="82">
        <v>0</v>
      </c>
      <c r="V389" s="82">
        <v>0</v>
      </c>
      <c r="W389" s="82">
        <v>0</v>
      </c>
      <c r="X389" s="81"/>
      <c r="Y389" s="81"/>
      <c r="Z389" s="81" t="s">
        <v>138</v>
      </c>
      <c r="AA389" s="81" t="s">
        <v>58</v>
      </c>
      <c r="AB389" s="81" t="s">
        <v>58</v>
      </c>
      <c r="AC389" s="83">
        <v>46106</v>
      </c>
    </row>
    <row r="390" spans="2:29" ht="23" x14ac:dyDescent="0.35">
      <c r="B390" s="81" t="s">
        <v>338</v>
      </c>
      <c r="C390" s="81" t="s">
        <v>339</v>
      </c>
      <c r="D390" s="81" t="s">
        <v>340</v>
      </c>
      <c r="E390" s="81" t="s">
        <v>771</v>
      </c>
      <c r="F390" s="162" t="s">
        <v>772</v>
      </c>
      <c r="G390" s="163"/>
      <c r="H390" s="81" t="s">
        <v>773</v>
      </c>
      <c r="I390" s="81" t="s">
        <v>344</v>
      </c>
      <c r="J390" s="81" t="s">
        <v>11</v>
      </c>
      <c r="K390" s="81" t="s">
        <v>790</v>
      </c>
      <c r="L390" s="81" t="s">
        <v>129</v>
      </c>
      <c r="M390" s="164">
        <v>22.7</v>
      </c>
      <c r="N390" s="165"/>
      <c r="O390" s="163"/>
      <c r="P390" s="82">
        <v>83.36</v>
      </c>
      <c r="Q390" s="164">
        <v>0</v>
      </c>
      <c r="R390" s="163"/>
      <c r="S390" s="81" t="s">
        <v>346</v>
      </c>
      <c r="T390" s="82">
        <v>62</v>
      </c>
      <c r="U390" s="82">
        <v>0</v>
      </c>
      <c r="V390" s="82">
        <v>0</v>
      </c>
      <c r="W390" s="82">
        <v>0</v>
      </c>
      <c r="X390" s="81" t="s">
        <v>133</v>
      </c>
      <c r="Y390" s="82">
        <v>4</v>
      </c>
      <c r="Z390" s="81" t="s">
        <v>138</v>
      </c>
      <c r="AA390" s="81" t="s">
        <v>58</v>
      </c>
      <c r="AB390" s="81" t="s">
        <v>58</v>
      </c>
      <c r="AC390" s="83">
        <v>46106</v>
      </c>
    </row>
    <row r="391" spans="2:29" ht="23" x14ac:dyDescent="0.35">
      <c r="B391" s="81" t="s">
        <v>338</v>
      </c>
      <c r="C391" s="81" t="s">
        <v>339</v>
      </c>
      <c r="D391" s="81" t="s">
        <v>340</v>
      </c>
      <c r="E391" s="81" t="s">
        <v>771</v>
      </c>
      <c r="F391" s="162" t="s">
        <v>772</v>
      </c>
      <c r="G391" s="163"/>
      <c r="H391" s="81" t="s">
        <v>773</v>
      </c>
      <c r="I391" s="81" t="s">
        <v>344</v>
      </c>
      <c r="J391" s="81" t="s">
        <v>11</v>
      </c>
      <c r="K391" s="81" t="s">
        <v>791</v>
      </c>
      <c r="L391" s="81" t="s">
        <v>129</v>
      </c>
      <c r="M391" s="164">
        <v>22.7</v>
      </c>
      <c r="N391" s="165"/>
      <c r="O391" s="163"/>
      <c r="P391" s="82">
        <v>83.36</v>
      </c>
      <c r="Q391" s="164">
        <v>0</v>
      </c>
      <c r="R391" s="163"/>
      <c r="S391" s="81" t="s">
        <v>346</v>
      </c>
      <c r="T391" s="82">
        <v>62</v>
      </c>
      <c r="U391" s="82">
        <v>0</v>
      </c>
      <c r="V391" s="82">
        <v>0</v>
      </c>
      <c r="W391" s="82">
        <v>0</v>
      </c>
      <c r="X391" s="81"/>
      <c r="Y391" s="81"/>
      <c r="Z391" s="81" t="s">
        <v>138</v>
      </c>
      <c r="AA391" s="81" t="s">
        <v>58</v>
      </c>
      <c r="AB391" s="81" t="s">
        <v>58</v>
      </c>
      <c r="AC391" s="83">
        <v>46106</v>
      </c>
    </row>
    <row r="392" spans="2:29" ht="23" x14ac:dyDescent="0.35">
      <c r="B392" s="81" t="s">
        <v>338</v>
      </c>
      <c r="C392" s="81" t="s">
        <v>339</v>
      </c>
      <c r="D392" s="81" t="s">
        <v>340</v>
      </c>
      <c r="E392" s="81" t="s">
        <v>771</v>
      </c>
      <c r="F392" s="162" t="s">
        <v>772</v>
      </c>
      <c r="G392" s="163"/>
      <c r="H392" s="81" t="s">
        <v>773</v>
      </c>
      <c r="I392" s="81" t="s">
        <v>344</v>
      </c>
      <c r="J392" s="81" t="s">
        <v>11</v>
      </c>
      <c r="K392" s="81" t="s">
        <v>792</v>
      </c>
      <c r="L392" s="81" t="s">
        <v>129</v>
      </c>
      <c r="M392" s="164">
        <v>22.6</v>
      </c>
      <c r="N392" s="165"/>
      <c r="O392" s="163"/>
      <c r="P392" s="82">
        <v>82.99</v>
      </c>
      <c r="Q392" s="164">
        <v>0</v>
      </c>
      <c r="R392" s="163"/>
      <c r="S392" s="81" t="s">
        <v>346</v>
      </c>
      <c r="T392" s="82">
        <v>62</v>
      </c>
      <c r="U392" s="82">
        <v>0</v>
      </c>
      <c r="V392" s="82">
        <v>0</v>
      </c>
      <c r="W392" s="82">
        <v>0</v>
      </c>
      <c r="X392" s="81"/>
      <c r="Y392" s="81"/>
      <c r="Z392" s="81" t="s">
        <v>138</v>
      </c>
      <c r="AA392" s="81" t="s">
        <v>58</v>
      </c>
      <c r="AB392" s="81" t="s">
        <v>58</v>
      </c>
      <c r="AC392" s="83">
        <v>46106</v>
      </c>
    </row>
    <row r="393" spans="2:29" ht="23" x14ac:dyDescent="0.35">
      <c r="B393" s="81" t="s">
        <v>338</v>
      </c>
      <c r="C393" s="81" t="s">
        <v>339</v>
      </c>
      <c r="D393" s="81" t="s">
        <v>340</v>
      </c>
      <c r="E393" s="81" t="s">
        <v>771</v>
      </c>
      <c r="F393" s="162" t="s">
        <v>772</v>
      </c>
      <c r="G393" s="163"/>
      <c r="H393" s="81" t="s">
        <v>773</v>
      </c>
      <c r="I393" s="81" t="s">
        <v>344</v>
      </c>
      <c r="J393" s="81" t="s">
        <v>11</v>
      </c>
      <c r="K393" s="81" t="s">
        <v>793</v>
      </c>
      <c r="L393" s="81" t="s">
        <v>129</v>
      </c>
      <c r="M393" s="164">
        <v>22.6</v>
      </c>
      <c r="N393" s="165"/>
      <c r="O393" s="163"/>
      <c r="P393" s="82">
        <v>82.99</v>
      </c>
      <c r="Q393" s="164">
        <v>0</v>
      </c>
      <c r="R393" s="163"/>
      <c r="S393" s="81" t="s">
        <v>346</v>
      </c>
      <c r="T393" s="82">
        <v>62</v>
      </c>
      <c r="U393" s="82">
        <v>0</v>
      </c>
      <c r="V393" s="82">
        <v>0</v>
      </c>
      <c r="W393" s="82">
        <v>0</v>
      </c>
      <c r="X393" s="81"/>
      <c r="Y393" s="81"/>
      <c r="Z393" s="81" t="s">
        <v>138</v>
      </c>
      <c r="AA393" s="81" t="s">
        <v>58</v>
      </c>
      <c r="AB393" s="81" t="s">
        <v>58</v>
      </c>
      <c r="AC393" s="83">
        <v>46106</v>
      </c>
    </row>
    <row r="394" spans="2:29" ht="23" x14ac:dyDescent="0.35">
      <c r="B394" s="81" t="s">
        <v>338</v>
      </c>
      <c r="C394" s="81" t="s">
        <v>339</v>
      </c>
      <c r="D394" s="81" t="s">
        <v>340</v>
      </c>
      <c r="E394" s="81" t="s">
        <v>771</v>
      </c>
      <c r="F394" s="162" t="s">
        <v>772</v>
      </c>
      <c r="G394" s="163"/>
      <c r="H394" s="81" t="s">
        <v>773</v>
      </c>
      <c r="I394" s="81" t="s">
        <v>344</v>
      </c>
      <c r="J394" s="81" t="s">
        <v>11</v>
      </c>
      <c r="K394" s="81" t="s">
        <v>794</v>
      </c>
      <c r="L394" s="81" t="s">
        <v>129</v>
      </c>
      <c r="M394" s="164">
        <v>22.6</v>
      </c>
      <c r="N394" s="165"/>
      <c r="O394" s="163"/>
      <c r="P394" s="82">
        <v>82.99</v>
      </c>
      <c r="Q394" s="164">
        <v>0</v>
      </c>
      <c r="R394" s="163"/>
      <c r="S394" s="81" t="s">
        <v>346</v>
      </c>
      <c r="T394" s="82">
        <v>62</v>
      </c>
      <c r="U394" s="82">
        <v>0</v>
      </c>
      <c r="V394" s="82">
        <v>0</v>
      </c>
      <c r="W394" s="82">
        <v>0</v>
      </c>
      <c r="X394" s="81"/>
      <c r="Y394" s="81"/>
      <c r="Z394" s="81" t="s">
        <v>138</v>
      </c>
      <c r="AA394" s="81" t="s">
        <v>58</v>
      </c>
      <c r="AB394" s="81" t="s">
        <v>58</v>
      </c>
      <c r="AC394" s="83">
        <v>46106</v>
      </c>
    </row>
    <row r="395" spans="2:29" ht="23" x14ac:dyDescent="0.35">
      <c r="B395" s="81" t="s">
        <v>338</v>
      </c>
      <c r="C395" s="81" t="s">
        <v>339</v>
      </c>
      <c r="D395" s="81" t="s">
        <v>340</v>
      </c>
      <c r="E395" s="81" t="s">
        <v>771</v>
      </c>
      <c r="F395" s="162" t="s">
        <v>772</v>
      </c>
      <c r="G395" s="163"/>
      <c r="H395" s="81" t="s">
        <v>773</v>
      </c>
      <c r="I395" s="81" t="s">
        <v>344</v>
      </c>
      <c r="J395" s="81" t="s">
        <v>11</v>
      </c>
      <c r="K395" s="81" t="s">
        <v>795</v>
      </c>
      <c r="L395" s="81" t="s">
        <v>129</v>
      </c>
      <c r="M395" s="164">
        <v>19.5</v>
      </c>
      <c r="N395" s="165"/>
      <c r="O395" s="163"/>
      <c r="P395" s="82">
        <v>71.61</v>
      </c>
      <c r="Q395" s="164">
        <v>0</v>
      </c>
      <c r="R395" s="163"/>
      <c r="S395" s="81" t="s">
        <v>346</v>
      </c>
      <c r="T395" s="82">
        <v>62</v>
      </c>
      <c r="U395" s="82">
        <v>0</v>
      </c>
      <c r="V395" s="82">
        <v>0</v>
      </c>
      <c r="W395" s="82">
        <v>0</v>
      </c>
      <c r="X395" s="81" t="s">
        <v>139</v>
      </c>
      <c r="Y395" s="82">
        <v>4</v>
      </c>
      <c r="Z395" s="81" t="s">
        <v>138</v>
      </c>
      <c r="AA395" s="81" t="s">
        <v>58</v>
      </c>
      <c r="AB395" s="81" t="s">
        <v>58</v>
      </c>
      <c r="AC395" s="83">
        <v>46106</v>
      </c>
    </row>
    <row r="396" spans="2:29" ht="23" x14ac:dyDescent="0.35">
      <c r="B396" s="81" t="s">
        <v>338</v>
      </c>
      <c r="C396" s="81" t="s">
        <v>339</v>
      </c>
      <c r="D396" s="81" t="s">
        <v>340</v>
      </c>
      <c r="E396" s="81" t="s">
        <v>771</v>
      </c>
      <c r="F396" s="162" t="s">
        <v>772</v>
      </c>
      <c r="G396" s="163"/>
      <c r="H396" s="81" t="s">
        <v>773</v>
      </c>
      <c r="I396" s="81" t="s">
        <v>344</v>
      </c>
      <c r="J396" s="81" t="s">
        <v>11</v>
      </c>
      <c r="K396" s="81" t="s">
        <v>796</v>
      </c>
      <c r="L396" s="81" t="s">
        <v>129</v>
      </c>
      <c r="M396" s="164">
        <v>22.7</v>
      </c>
      <c r="N396" s="165"/>
      <c r="O396" s="163"/>
      <c r="P396" s="82">
        <v>83.36</v>
      </c>
      <c r="Q396" s="164">
        <v>0</v>
      </c>
      <c r="R396" s="163"/>
      <c r="S396" s="81" t="s">
        <v>346</v>
      </c>
      <c r="T396" s="82">
        <v>62</v>
      </c>
      <c r="U396" s="82">
        <v>0</v>
      </c>
      <c r="V396" s="82">
        <v>0</v>
      </c>
      <c r="W396" s="82">
        <v>0</v>
      </c>
      <c r="X396" s="81"/>
      <c r="Y396" s="81"/>
      <c r="Z396" s="81" t="s">
        <v>138</v>
      </c>
      <c r="AA396" s="81" t="s">
        <v>58</v>
      </c>
      <c r="AB396" s="81" t="s">
        <v>58</v>
      </c>
      <c r="AC396" s="83">
        <v>46106</v>
      </c>
    </row>
    <row r="397" spans="2:29" ht="23" x14ac:dyDescent="0.35">
      <c r="B397" s="81" t="s">
        <v>338</v>
      </c>
      <c r="C397" s="81" t="s">
        <v>339</v>
      </c>
      <c r="D397" s="81" t="s">
        <v>340</v>
      </c>
      <c r="E397" s="81" t="s">
        <v>771</v>
      </c>
      <c r="F397" s="162" t="s">
        <v>772</v>
      </c>
      <c r="G397" s="163"/>
      <c r="H397" s="81" t="s">
        <v>773</v>
      </c>
      <c r="I397" s="81" t="s">
        <v>344</v>
      </c>
      <c r="J397" s="81" t="s">
        <v>11</v>
      </c>
      <c r="K397" s="81" t="s">
        <v>797</v>
      </c>
      <c r="L397" s="81" t="s">
        <v>129</v>
      </c>
      <c r="M397" s="164">
        <v>22.6</v>
      </c>
      <c r="N397" s="165"/>
      <c r="O397" s="163"/>
      <c r="P397" s="82">
        <v>82.99</v>
      </c>
      <c r="Q397" s="164">
        <v>0</v>
      </c>
      <c r="R397" s="163"/>
      <c r="S397" s="81" t="s">
        <v>346</v>
      </c>
      <c r="T397" s="82">
        <v>62</v>
      </c>
      <c r="U397" s="82">
        <v>0</v>
      </c>
      <c r="V397" s="82">
        <v>0</v>
      </c>
      <c r="W397" s="82">
        <v>0</v>
      </c>
      <c r="X397" s="81"/>
      <c r="Y397" s="81"/>
      <c r="Z397" s="81" t="s">
        <v>138</v>
      </c>
      <c r="AA397" s="81" t="s">
        <v>58</v>
      </c>
      <c r="AB397" s="81" t="s">
        <v>58</v>
      </c>
      <c r="AC397" s="83">
        <v>46106</v>
      </c>
    </row>
    <row r="398" spans="2:29" ht="23" x14ac:dyDescent="0.35">
      <c r="B398" s="81" t="s">
        <v>338</v>
      </c>
      <c r="C398" s="81" t="s">
        <v>339</v>
      </c>
      <c r="D398" s="81" t="s">
        <v>340</v>
      </c>
      <c r="E398" s="81" t="s">
        <v>771</v>
      </c>
      <c r="F398" s="162" t="s">
        <v>772</v>
      </c>
      <c r="G398" s="163"/>
      <c r="H398" s="81" t="s">
        <v>773</v>
      </c>
      <c r="I398" s="81" t="s">
        <v>344</v>
      </c>
      <c r="J398" s="81" t="s">
        <v>11</v>
      </c>
      <c r="K398" s="81" t="s">
        <v>798</v>
      </c>
      <c r="L398" s="81" t="s">
        <v>129</v>
      </c>
      <c r="M398" s="164">
        <v>22.7</v>
      </c>
      <c r="N398" s="165"/>
      <c r="O398" s="163"/>
      <c r="P398" s="82">
        <v>83.36</v>
      </c>
      <c r="Q398" s="164">
        <v>0</v>
      </c>
      <c r="R398" s="163"/>
      <c r="S398" s="81" t="s">
        <v>346</v>
      </c>
      <c r="T398" s="82">
        <v>62</v>
      </c>
      <c r="U398" s="82">
        <v>0</v>
      </c>
      <c r="V398" s="82">
        <v>0</v>
      </c>
      <c r="W398" s="82">
        <v>0</v>
      </c>
      <c r="X398" s="81"/>
      <c r="Y398" s="81"/>
      <c r="Z398" s="81" t="s">
        <v>138</v>
      </c>
      <c r="AA398" s="81" t="s">
        <v>58</v>
      </c>
      <c r="AB398" s="81" t="s">
        <v>58</v>
      </c>
      <c r="AC398" s="83">
        <v>46106</v>
      </c>
    </row>
    <row r="399" spans="2:29" ht="23" x14ac:dyDescent="0.35">
      <c r="B399" s="81" t="s">
        <v>338</v>
      </c>
      <c r="C399" s="81" t="s">
        <v>339</v>
      </c>
      <c r="D399" s="81" t="s">
        <v>340</v>
      </c>
      <c r="E399" s="81" t="s">
        <v>771</v>
      </c>
      <c r="F399" s="162" t="s">
        <v>772</v>
      </c>
      <c r="G399" s="163"/>
      <c r="H399" s="81" t="s">
        <v>773</v>
      </c>
      <c r="I399" s="81" t="s">
        <v>344</v>
      </c>
      <c r="J399" s="81" t="s">
        <v>11</v>
      </c>
      <c r="K399" s="81" t="s">
        <v>799</v>
      </c>
      <c r="L399" s="81" t="s">
        <v>129</v>
      </c>
      <c r="M399" s="164">
        <v>22.3</v>
      </c>
      <c r="N399" s="165"/>
      <c r="O399" s="163"/>
      <c r="P399" s="82">
        <v>81.89</v>
      </c>
      <c r="Q399" s="164">
        <v>0</v>
      </c>
      <c r="R399" s="163"/>
      <c r="S399" s="81" t="s">
        <v>346</v>
      </c>
      <c r="T399" s="82">
        <v>62</v>
      </c>
      <c r="U399" s="82">
        <v>0</v>
      </c>
      <c r="V399" s="82">
        <v>0</v>
      </c>
      <c r="W399" s="82">
        <v>0</v>
      </c>
      <c r="X399" s="81"/>
      <c r="Y399" s="81"/>
      <c r="Z399" s="81" t="s">
        <v>138</v>
      </c>
      <c r="AA399" s="81" t="s">
        <v>58</v>
      </c>
      <c r="AB399" s="81" t="s">
        <v>58</v>
      </c>
      <c r="AC399" s="83">
        <v>46106</v>
      </c>
    </row>
    <row r="400" spans="2:29" ht="23" x14ac:dyDescent="0.35">
      <c r="B400" s="81" t="s">
        <v>338</v>
      </c>
      <c r="C400" s="81" t="s">
        <v>339</v>
      </c>
      <c r="D400" s="81" t="s">
        <v>340</v>
      </c>
      <c r="E400" s="81" t="s">
        <v>771</v>
      </c>
      <c r="F400" s="162" t="s">
        <v>772</v>
      </c>
      <c r="G400" s="163"/>
      <c r="H400" s="81" t="s">
        <v>773</v>
      </c>
      <c r="I400" s="81" t="s">
        <v>344</v>
      </c>
      <c r="J400" s="81" t="s">
        <v>11</v>
      </c>
      <c r="K400" s="81" t="s">
        <v>800</v>
      </c>
      <c r="L400" s="81" t="s">
        <v>129</v>
      </c>
      <c r="M400" s="164">
        <v>22.7</v>
      </c>
      <c r="N400" s="165"/>
      <c r="O400" s="163"/>
      <c r="P400" s="82">
        <v>84.68</v>
      </c>
      <c r="Q400" s="164">
        <v>0</v>
      </c>
      <c r="R400" s="163"/>
      <c r="S400" s="81" t="s">
        <v>346</v>
      </c>
      <c r="T400" s="82">
        <v>62</v>
      </c>
      <c r="U400" s="82">
        <v>0</v>
      </c>
      <c r="V400" s="82">
        <v>0</v>
      </c>
      <c r="W400" s="82">
        <v>0</v>
      </c>
      <c r="X400" s="81"/>
      <c r="Y400" s="81"/>
      <c r="Z400" s="81" t="s">
        <v>138</v>
      </c>
      <c r="AA400" s="81" t="s">
        <v>58</v>
      </c>
      <c r="AB400" s="81" t="s">
        <v>58</v>
      </c>
      <c r="AC400" s="83">
        <v>46106</v>
      </c>
    </row>
    <row r="401" spans="2:29" ht="23" x14ac:dyDescent="0.35">
      <c r="B401" s="81" t="s">
        <v>338</v>
      </c>
      <c r="C401" s="81" t="s">
        <v>339</v>
      </c>
      <c r="D401" s="81" t="s">
        <v>340</v>
      </c>
      <c r="E401" s="81" t="s">
        <v>771</v>
      </c>
      <c r="F401" s="162" t="s">
        <v>772</v>
      </c>
      <c r="G401" s="163"/>
      <c r="H401" s="81" t="s">
        <v>773</v>
      </c>
      <c r="I401" s="81" t="s">
        <v>344</v>
      </c>
      <c r="J401" s="81" t="s">
        <v>11</v>
      </c>
      <c r="K401" s="81" t="s">
        <v>801</v>
      </c>
      <c r="L401" s="81" t="s">
        <v>129</v>
      </c>
      <c r="M401" s="164">
        <v>22.7</v>
      </c>
      <c r="N401" s="165"/>
      <c r="O401" s="163"/>
      <c r="P401" s="82">
        <v>83.36</v>
      </c>
      <c r="Q401" s="164">
        <v>0</v>
      </c>
      <c r="R401" s="163"/>
      <c r="S401" s="81" t="s">
        <v>346</v>
      </c>
      <c r="T401" s="82">
        <v>62</v>
      </c>
      <c r="U401" s="82">
        <v>0</v>
      </c>
      <c r="V401" s="82">
        <v>0</v>
      </c>
      <c r="W401" s="82">
        <v>0</v>
      </c>
      <c r="X401" s="81"/>
      <c r="Y401" s="81"/>
      <c r="Z401" s="81" t="s">
        <v>138</v>
      </c>
      <c r="AA401" s="81" t="s">
        <v>58</v>
      </c>
      <c r="AB401" s="81" t="s">
        <v>58</v>
      </c>
      <c r="AC401" s="83">
        <v>46106</v>
      </c>
    </row>
    <row r="402" spans="2:29" ht="23" x14ac:dyDescent="0.35">
      <c r="B402" s="81" t="s">
        <v>338</v>
      </c>
      <c r="C402" s="81" t="s">
        <v>339</v>
      </c>
      <c r="D402" s="81" t="s">
        <v>340</v>
      </c>
      <c r="E402" s="81" t="s">
        <v>771</v>
      </c>
      <c r="F402" s="162" t="s">
        <v>772</v>
      </c>
      <c r="G402" s="163"/>
      <c r="H402" s="81" t="s">
        <v>773</v>
      </c>
      <c r="I402" s="81" t="s">
        <v>344</v>
      </c>
      <c r="J402" s="81" t="s">
        <v>11</v>
      </c>
      <c r="K402" s="81" t="s">
        <v>802</v>
      </c>
      <c r="L402" s="81" t="s">
        <v>129</v>
      </c>
      <c r="M402" s="164">
        <v>22.5</v>
      </c>
      <c r="N402" s="165"/>
      <c r="O402" s="163"/>
      <c r="P402" s="82">
        <v>82.62</v>
      </c>
      <c r="Q402" s="164">
        <v>0</v>
      </c>
      <c r="R402" s="163"/>
      <c r="S402" s="81" t="s">
        <v>346</v>
      </c>
      <c r="T402" s="82">
        <v>62</v>
      </c>
      <c r="U402" s="82">
        <v>0</v>
      </c>
      <c r="V402" s="82">
        <v>0</v>
      </c>
      <c r="W402" s="82">
        <v>0</v>
      </c>
      <c r="X402" s="81"/>
      <c r="Y402" s="81"/>
      <c r="Z402" s="81" t="s">
        <v>138</v>
      </c>
      <c r="AA402" s="81" t="s">
        <v>58</v>
      </c>
      <c r="AB402" s="81" t="s">
        <v>58</v>
      </c>
      <c r="AC402" s="83">
        <v>46106</v>
      </c>
    </row>
    <row r="403" spans="2:29" ht="23" x14ac:dyDescent="0.35">
      <c r="B403" s="81" t="s">
        <v>338</v>
      </c>
      <c r="C403" s="81" t="s">
        <v>339</v>
      </c>
      <c r="D403" s="81" t="s">
        <v>340</v>
      </c>
      <c r="E403" s="81" t="s">
        <v>771</v>
      </c>
      <c r="F403" s="162" t="s">
        <v>772</v>
      </c>
      <c r="G403" s="163"/>
      <c r="H403" s="81" t="s">
        <v>773</v>
      </c>
      <c r="I403" s="81" t="s">
        <v>344</v>
      </c>
      <c r="J403" s="81" t="s">
        <v>11</v>
      </c>
      <c r="K403" s="81" t="s">
        <v>803</v>
      </c>
      <c r="L403" s="81" t="s">
        <v>129</v>
      </c>
      <c r="M403" s="164">
        <v>22.1</v>
      </c>
      <c r="N403" s="165"/>
      <c r="O403" s="163"/>
      <c r="P403" s="82">
        <v>81.16</v>
      </c>
      <c r="Q403" s="164">
        <v>0</v>
      </c>
      <c r="R403" s="163"/>
      <c r="S403" s="81" t="s">
        <v>346</v>
      </c>
      <c r="T403" s="82">
        <v>62</v>
      </c>
      <c r="U403" s="82">
        <v>0</v>
      </c>
      <c r="V403" s="82">
        <v>0</v>
      </c>
      <c r="W403" s="82">
        <v>0</v>
      </c>
      <c r="X403" s="81" t="s">
        <v>142</v>
      </c>
      <c r="Y403" s="82">
        <v>4</v>
      </c>
      <c r="Z403" s="81" t="s">
        <v>138</v>
      </c>
      <c r="AA403" s="81" t="s">
        <v>58</v>
      </c>
      <c r="AB403" s="81" t="s">
        <v>58</v>
      </c>
      <c r="AC403" s="83">
        <v>46106</v>
      </c>
    </row>
    <row r="404" spans="2:29" ht="23" x14ac:dyDescent="0.35">
      <c r="B404" s="81" t="s">
        <v>338</v>
      </c>
      <c r="C404" s="81" t="s">
        <v>339</v>
      </c>
      <c r="D404" s="81" t="s">
        <v>340</v>
      </c>
      <c r="E404" s="81" t="s">
        <v>771</v>
      </c>
      <c r="F404" s="162" t="s">
        <v>772</v>
      </c>
      <c r="G404" s="163"/>
      <c r="H404" s="81" t="s">
        <v>773</v>
      </c>
      <c r="I404" s="81" t="s">
        <v>344</v>
      </c>
      <c r="J404" s="81" t="s">
        <v>11</v>
      </c>
      <c r="K404" s="81" t="s">
        <v>804</v>
      </c>
      <c r="L404" s="81" t="s">
        <v>129</v>
      </c>
      <c r="M404" s="164">
        <v>22.6</v>
      </c>
      <c r="N404" s="165"/>
      <c r="O404" s="163"/>
      <c r="P404" s="82">
        <v>82.99</v>
      </c>
      <c r="Q404" s="164">
        <v>0</v>
      </c>
      <c r="R404" s="163"/>
      <c r="S404" s="81" t="s">
        <v>346</v>
      </c>
      <c r="T404" s="82">
        <v>62</v>
      </c>
      <c r="U404" s="82">
        <v>0</v>
      </c>
      <c r="V404" s="82">
        <v>0</v>
      </c>
      <c r="W404" s="82">
        <v>0</v>
      </c>
      <c r="X404" s="81"/>
      <c r="Y404" s="81"/>
      <c r="Z404" s="81" t="s">
        <v>138</v>
      </c>
      <c r="AA404" s="81" t="s">
        <v>58</v>
      </c>
      <c r="AB404" s="81" t="s">
        <v>58</v>
      </c>
      <c r="AC404" s="83">
        <v>46106</v>
      </c>
    </row>
    <row r="405" spans="2:29" ht="23" x14ac:dyDescent="0.35">
      <c r="B405" s="81" t="s">
        <v>338</v>
      </c>
      <c r="C405" s="81" t="s">
        <v>339</v>
      </c>
      <c r="D405" s="81" t="s">
        <v>340</v>
      </c>
      <c r="E405" s="81" t="s">
        <v>771</v>
      </c>
      <c r="F405" s="162" t="s">
        <v>772</v>
      </c>
      <c r="G405" s="163"/>
      <c r="H405" s="81" t="s">
        <v>773</v>
      </c>
      <c r="I405" s="81" t="s">
        <v>344</v>
      </c>
      <c r="J405" s="81" t="s">
        <v>11</v>
      </c>
      <c r="K405" s="81" t="s">
        <v>805</v>
      </c>
      <c r="L405" s="81" t="s">
        <v>129</v>
      </c>
      <c r="M405" s="164">
        <v>22.7</v>
      </c>
      <c r="N405" s="165"/>
      <c r="O405" s="163"/>
      <c r="P405" s="82">
        <v>83.36</v>
      </c>
      <c r="Q405" s="164">
        <v>0</v>
      </c>
      <c r="R405" s="163"/>
      <c r="S405" s="81" t="s">
        <v>346</v>
      </c>
      <c r="T405" s="82">
        <v>62</v>
      </c>
      <c r="U405" s="82">
        <v>0</v>
      </c>
      <c r="V405" s="82">
        <v>0</v>
      </c>
      <c r="W405" s="82">
        <v>0</v>
      </c>
      <c r="X405" s="81" t="s">
        <v>143</v>
      </c>
      <c r="Y405" s="82">
        <v>4</v>
      </c>
      <c r="Z405" s="81" t="s">
        <v>138</v>
      </c>
      <c r="AA405" s="81" t="s">
        <v>58</v>
      </c>
      <c r="AB405" s="81" t="s">
        <v>58</v>
      </c>
      <c r="AC405" s="83">
        <v>46106</v>
      </c>
    </row>
    <row r="406" spans="2:29" ht="23" x14ac:dyDescent="0.35">
      <c r="B406" s="81" t="s">
        <v>338</v>
      </c>
      <c r="C406" s="81" t="s">
        <v>339</v>
      </c>
      <c r="D406" s="81" t="s">
        <v>340</v>
      </c>
      <c r="E406" s="81" t="s">
        <v>806</v>
      </c>
      <c r="F406" s="162" t="s">
        <v>807</v>
      </c>
      <c r="G406" s="163"/>
      <c r="H406" s="81" t="s">
        <v>808</v>
      </c>
      <c r="I406" s="81" t="s">
        <v>809</v>
      </c>
      <c r="J406" s="81" t="s">
        <v>11</v>
      </c>
      <c r="K406" s="81" t="s">
        <v>810</v>
      </c>
      <c r="L406" s="81" t="s">
        <v>129</v>
      </c>
      <c r="M406" s="164">
        <v>10.5</v>
      </c>
      <c r="N406" s="165"/>
      <c r="O406" s="163"/>
      <c r="P406" s="82">
        <v>35.770000000000003</v>
      </c>
      <c r="Q406" s="164">
        <v>0</v>
      </c>
      <c r="R406" s="163"/>
      <c r="S406" s="81" t="s">
        <v>346</v>
      </c>
      <c r="T406" s="82">
        <v>62</v>
      </c>
      <c r="U406" s="82">
        <v>0</v>
      </c>
      <c r="V406" s="82">
        <v>0</v>
      </c>
      <c r="W406" s="82">
        <v>0</v>
      </c>
      <c r="X406" s="81"/>
      <c r="Y406" s="81"/>
      <c r="Z406" s="81" t="s">
        <v>138</v>
      </c>
      <c r="AA406" s="81" t="s">
        <v>58</v>
      </c>
      <c r="AB406" s="81" t="s">
        <v>58</v>
      </c>
      <c r="AC406" s="83">
        <v>46106</v>
      </c>
    </row>
    <row r="407" spans="2:29" ht="23" x14ac:dyDescent="0.35">
      <c r="B407" s="81" t="s">
        <v>338</v>
      </c>
      <c r="C407" s="81" t="s">
        <v>339</v>
      </c>
      <c r="D407" s="81" t="s">
        <v>340</v>
      </c>
      <c r="E407" s="81" t="s">
        <v>806</v>
      </c>
      <c r="F407" s="162" t="s">
        <v>807</v>
      </c>
      <c r="G407" s="163"/>
      <c r="H407" s="81" t="s">
        <v>808</v>
      </c>
      <c r="I407" s="81" t="s">
        <v>809</v>
      </c>
      <c r="J407" s="81" t="s">
        <v>11</v>
      </c>
      <c r="K407" s="81" t="s">
        <v>811</v>
      </c>
      <c r="L407" s="81" t="s">
        <v>129</v>
      </c>
      <c r="M407" s="164">
        <v>23.7</v>
      </c>
      <c r="N407" s="165"/>
      <c r="O407" s="163"/>
      <c r="P407" s="82">
        <v>80.739999999999995</v>
      </c>
      <c r="Q407" s="164">
        <v>0</v>
      </c>
      <c r="R407" s="163"/>
      <c r="S407" s="81" t="s">
        <v>346</v>
      </c>
      <c r="T407" s="82">
        <v>62</v>
      </c>
      <c r="U407" s="82">
        <v>0</v>
      </c>
      <c r="V407" s="82">
        <v>0</v>
      </c>
      <c r="W407" s="82">
        <v>0</v>
      </c>
      <c r="X407" s="81" t="s">
        <v>143</v>
      </c>
      <c r="Y407" s="82">
        <v>10</v>
      </c>
      <c r="Z407" s="81" t="s">
        <v>138</v>
      </c>
      <c r="AA407" s="81" t="s">
        <v>58</v>
      </c>
      <c r="AB407" s="81" t="s">
        <v>58</v>
      </c>
      <c r="AC407" s="83">
        <v>46106</v>
      </c>
    </row>
    <row r="408" spans="2:29" ht="23" x14ac:dyDescent="0.35">
      <c r="B408" s="81" t="s">
        <v>338</v>
      </c>
      <c r="C408" s="81" t="s">
        <v>339</v>
      </c>
      <c r="D408" s="81" t="s">
        <v>340</v>
      </c>
      <c r="E408" s="81" t="s">
        <v>806</v>
      </c>
      <c r="F408" s="162" t="s">
        <v>807</v>
      </c>
      <c r="G408" s="163"/>
      <c r="H408" s="81" t="s">
        <v>808</v>
      </c>
      <c r="I408" s="81" t="s">
        <v>809</v>
      </c>
      <c r="J408" s="81" t="s">
        <v>11</v>
      </c>
      <c r="K408" s="81" t="s">
        <v>812</v>
      </c>
      <c r="L408" s="81" t="s">
        <v>129</v>
      </c>
      <c r="M408" s="164">
        <v>21.8</v>
      </c>
      <c r="N408" s="165"/>
      <c r="O408" s="163"/>
      <c r="P408" s="82">
        <v>74.27</v>
      </c>
      <c r="Q408" s="164">
        <v>0</v>
      </c>
      <c r="R408" s="163"/>
      <c r="S408" s="81" t="s">
        <v>346</v>
      </c>
      <c r="T408" s="82">
        <v>62</v>
      </c>
      <c r="U408" s="82">
        <v>0</v>
      </c>
      <c r="V408" s="82">
        <v>0</v>
      </c>
      <c r="W408" s="82">
        <v>0</v>
      </c>
      <c r="X408" s="81" t="s">
        <v>139</v>
      </c>
      <c r="Y408" s="82">
        <v>4</v>
      </c>
      <c r="Z408" s="81" t="s">
        <v>138</v>
      </c>
      <c r="AA408" s="81" t="s">
        <v>58</v>
      </c>
      <c r="AB408" s="81" t="s">
        <v>58</v>
      </c>
      <c r="AC408" s="83">
        <v>46106</v>
      </c>
    </row>
    <row r="409" spans="2:29" ht="23" x14ac:dyDescent="0.35">
      <c r="B409" s="81" t="s">
        <v>338</v>
      </c>
      <c r="C409" s="81" t="s">
        <v>339</v>
      </c>
      <c r="D409" s="81" t="s">
        <v>340</v>
      </c>
      <c r="E409" s="81" t="s">
        <v>806</v>
      </c>
      <c r="F409" s="162" t="s">
        <v>807</v>
      </c>
      <c r="G409" s="163"/>
      <c r="H409" s="81" t="s">
        <v>808</v>
      </c>
      <c r="I409" s="81" t="s">
        <v>809</v>
      </c>
      <c r="J409" s="81" t="s">
        <v>11</v>
      </c>
      <c r="K409" s="81" t="s">
        <v>813</v>
      </c>
      <c r="L409" s="81" t="s">
        <v>129</v>
      </c>
      <c r="M409" s="164">
        <v>23.7</v>
      </c>
      <c r="N409" s="165"/>
      <c r="O409" s="163"/>
      <c r="P409" s="82">
        <v>80.739999999999995</v>
      </c>
      <c r="Q409" s="164">
        <v>0</v>
      </c>
      <c r="R409" s="163"/>
      <c r="S409" s="81" t="s">
        <v>346</v>
      </c>
      <c r="T409" s="82">
        <v>62</v>
      </c>
      <c r="U409" s="82">
        <v>0</v>
      </c>
      <c r="V409" s="82">
        <v>0</v>
      </c>
      <c r="W409" s="82">
        <v>0</v>
      </c>
      <c r="X409" s="81" t="s">
        <v>143</v>
      </c>
      <c r="Y409" s="82">
        <v>3</v>
      </c>
      <c r="Z409" s="81" t="s">
        <v>138</v>
      </c>
      <c r="AA409" s="81" t="s">
        <v>58</v>
      </c>
      <c r="AB409" s="81" t="s">
        <v>58</v>
      </c>
      <c r="AC409" s="83">
        <v>46106</v>
      </c>
    </row>
    <row r="410" spans="2:29" ht="23" x14ac:dyDescent="0.35">
      <c r="B410" s="81" t="s">
        <v>338</v>
      </c>
      <c r="C410" s="81" t="s">
        <v>339</v>
      </c>
      <c r="D410" s="81" t="s">
        <v>340</v>
      </c>
      <c r="E410" s="81" t="s">
        <v>806</v>
      </c>
      <c r="F410" s="162" t="s">
        <v>807</v>
      </c>
      <c r="G410" s="163"/>
      <c r="H410" s="81" t="s">
        <v>808</v>
      </c>
      <c r="I410" s="81" t="s">
        <v>809</v>
      </c>
      <c r="J410" s="81" t="s">
        <v>11</v>
      </c>
      <c r="K410" s="81" t="s">
        <v>814</v>
      </c>
      <c r="L410" s="81" t="s">
        <v>129</v>
      </c>
      <c r="M410" s="164">
        <v>23.5</v>
      </c>
      <c r="N410" s="165"/>
      <c r="O410" s="163"/>
      <c r="P410" s="82">
        <v>80.06</v>
      </c>
      <c r="Q410" s="164">
        <v>0</v>
      </c>
      <c r="R410" s="163"/>
      <c r="S410" s="81" t="s">
        <v>346</v>
      </c>
      <c r="T410" s="82">
        <v>62</v>
      </c>
      <c r="U410" s="82">
        <v>0</v>
      </c>
      <c r="V410" s="82">
        <v>0</v>
      </c>
      <c r="W410" s="82">
        <v>0</v>
      </c>
      <c r="X410" s="81" t="s">
        <v>133</v>
      </c>
      <c r="Y410" s="82">
        <v>4</v>
      </c>
      <c r="Z410" s="81" t="s">
        <v>138</v>
      </c>
      <c r="AA410" s="81" t="s">
        <v>58</v>
      </c>
      <c r="AB410" s="81" t="s">
        <v>58</v>
      </c>
      <c r="AC410" s="83">
        <v>46106</v>
      </c>
    </row>
    <row r="411" spans="2:29" ht="23" x14ac:dyDescent="0.35">
      <c r="B411" s="81" t="s">
        <v>338</v>
      </c>
      <c r="C411" s="81" t="s">
        <v>339</v>
      </c>
      <c r="D411" s="81" t="s">
        <v>340</v>
      </c>
      <c r="E411" s="81" t="s">
        <v>806</v>
      </c>
      <c r="F411" s="162" t="s">
        <v>807</v>
      </c>
      <c r="G411" s="163"/>
      <c r="H411" s="81" t="s">
        <v>808</v>
      </c>
      <c r="I411" s="81" t="s">
        <v>809</v>
      </c>
      <c r="J411" s="81" t="s">
        <v>11</v>
      </c>
      <c r="K411" s="81" t="s">
        <v>815</v>
      </c>
      <c r="L411" s="81" t="s">
        <v>129</v>
      </c>
      <c r="M411" s="164">
        <v>23.6</v>
      </c>
      <c r="N411" s="165"/>
      <c r="O411" s="163"/>
      <c r="P411" s="82">
        <v>80.400000000000006</v>
      </c>
      <c r="Q411" s="164">
        <v>0</v>
      </c>
      <c r="R411" s="163"/>
      <c r="S411" s="81" t="s">
        <v>346</v>
      </c>
      <c r="T411" s="82">
        <v>62</v>
      </c>
      <c r="U411" s="82">
        <v>0</v>
      </c>
      <c r="V411" s="82">
        <v>0</v>
      </c>
      <c r="W411" s="82">
        <v>0</v>
      </c>
      <c r="X411" s="81" t="s">
        <v>141</v>
      </c>
      <c r="Y411" s="82">
        <v>1</v>
      </c>
      <c r="Z411" s="81" t="s">
        <v>138</v>
      </c>
      <c r="AA411" s="81" t="s">
        <v>58</v>
      </c>
      <c r="AB411" s="81" t="s">
        <v>58</v>
      </c>
      <c r="AC411" s="83">
        <v>46106</v>
      </c>
    </row>
    <row r="412" spans="2:29" ht="23" x14ac:dyDescent="0.35">
      <c r="B412" s="81" t="s">
        <v>338</v>
      </c>
      <c r="C412" s="81" t="s">
        <v>339</v>
      </c>
      <c r="D412" s="81" t="s">
        <v>340</v>
      </c>
      <c r="E412" s="81" t="s">
        <v>806</v>
      </c>
      <c r="F412" s="162" t="s">
        <v>807</v>
      </c>
      <c r="G412" s="163"/>
      <c r="H412" s="81" t="s">
        <v>808</v>
      </c>
      <c r="I412" s="81" t="s">
        <v>809</v>
      </c>
      <c r="J412" s="81" t="s">
        <v>11</v>
      </c>
      <c r="K412" s="81" t="s">
        <v>816</v>
      </c>
      <c r="L412" s="81" t="s">
        <v>129</v>
      </c>
      <c r="M412" s="164">
        <v>23.3</v>
      </c>
      <c r="N412" s="165"/>
      <c r="O412" s="163"/>
      <c r="P412" s="82">
        <v>79.38</v>
      </c>
      <c r="Q412" s="164">
        <v>0</v>
      </c>
      <c r="R412" s="163"/>
      <c r="S412" s="81" t="s">
        <v>346</v>
      </c>
      <c r="T412" s="82">
        <v>62</v>
      </c>
      <c r="U412" s="82">
        <v>0</v>
      </c>
      <c r="V412" s="82">
        <v>0</v>
      </c>
      <c r="W412" s="82">
        <v>0</v>
      </c>
      <c r="X412" s="81" t="s">
        <v>143</v>
      </c>
      <c r="Y412" s="82">
        <v>2</v>
      </c>
      <c r="Z412" s="81" t="s">
        <v>138</v>
      </c>
      <c r="AA412" s="81" t="s">
        <v>58</v>
      </c>
      <c r="AB412" s="81" t="s">
        <v>58</v>
      </c>
      <c r="AC412" s="83">
        <v>46106</v>
      </c>
    </row>
    <row r="413" spans="2:29" ht="23" x14ac:dyDescent="0.35">
      <c r="B413" s="81" t="s">
        <v>338</v>
      </c>
      <c r="C413" s="81" t="s">
        <v>339</v>
      </c>
      <c r="D413" s="81" t="s">
        <v>340</v>
      </c>
      <c r="E413" s="81" t="s">
        <v>806</v>
      </c>
      <c r="F413" s="162" t="s">
        <v>807</v>
      </c>
      <c r="G413" s="163"/>
      <c r="H413" s="81" t="s">
        <v>808</v>
      </c>
      <c r="I413" s="81" t="s">
        <v>809</v>
      </c>
      <c r="J413" s="81" t="s">
        <v>11</v>
      </c>
      <c r="K413" s="81" t="s">
        <v>817</v>
      </c>
      <c r="L413" s="81" t="s">
        <v>129</v>
      </c>
      <c r="M413" s="164">
        <v>23.5</v>
      </c>
      <c r="N413" s="165"/>
      <c r="O413" s="163"/>
      <c r="P413" s="82">
        <v>80.06</v>
      </c>
      <c r="Q413" s="164">
        <v>0</v>
      </c>
      <c r="R413" s="163"/>
      <c r="S413" s="81" t="s">
        <v>346</v>
      </c>
      <c r="T413" s="82">
        <v>62</v>
      </c>
      <c r="U413" s="82">
        <v>0</v>
      </c>
      <c r="V413" s="82">
        <v>0</v>
      </c>
      <c r="W413" s="82">
        <v>0</v>
      </c>
      <c r="X413" s="81" t="s">
        <v>133</v>
      </c>
      <c r="Y413" s="82">
        <v>4</v>
      </c>
      <c r="Z413" s="81" t="s">
        <v>138</v>
      </c>
      <c r="AA413" s="81" t="s">
        <v>58</v>
      </c>
      <c r="AB413" s="81" t="s">
        <v>58</v>
      </c>
      <c r="AC413" s="83">
        <v>46106</v>
      </c>
    </row>
    <row r="414" spans="2:29" ht="23" x14ac:dyDescent="0.35">
      <c r="B414" s="81" t="s">
        <v>338</v>
      </c>
      <c r="C414" s="81" t="s">
        <v>339</v>
      </c>
      <c r="D414" s="81" t="s">
        <v>340</v>
      </c>
      <c r="E414" s="81" t="s">
        <v>806</v>
      </c>
      <c r="F414" s="162" t="s">
        <v>807</v>
      </c>
      <c r="G414" s="163"/>
      <c r="H414" s="81" t="s">
        <v>808</v>
      </c>
      <c r="I414" s="81" t="s">
        <v>809</v>
      </c>
      <c r="J414" s="81" t="s">
        <v>11</v>
      </c>
      <c r="K414" s="81" t="s">
        <v>818</v>
      </c>
      <c r="L414" s="81" t="s">
        <v>129</v>
      </c>
      <c r="M414" s="164">
        <v>23.6</v>
      </c>
      <c r="N414" s="165"/>
      <c r="O414" s="163"/>
      <c r="P414" s="82">
        <v>80.400000000000006</v>
      </c>
      <c r="Q414" s="164">
        <v>0</v>
      </c>
      <c r="R414" s="163"/>
      <c r="S414" s="81" t="s">
        <v>346</v>
      </c>
      <c r="T414" s="82">
        <v>62</v>
      </c>
      <c r="U414" s="82">
        <v>0</v>
      </c>
      <c r="V414" s="82">
        <v>0</v>
      </c>
      <c r="W414" s="82">
        <v>0</v>
      </c>
      <c r="X414" s="81"/>
      <c r="Y414" s="81"/>
      <c r="Z414" s="81" t="s">
        <v>138</v>
      </c>
      <c r="AA414" s="81" t="s">
        <v>58</v>
      </c>
      <c r="AB414" s="81" t="s">
        <v>58</v>
      </c>
      <c r="AC414" s="83">
        <v>46106</v>
      </c>
    </row>
    <row r="415" spans="2:29" ht="23" x14ac:dyDescent="0.35">
      <c r="B415" s="81" t="s">
        <v>338</v>
      </c>
      <c r="C415" s="81" t="s">
        <v>339</v>
      </c>
      <c r="D415" s="81" t="s">
        <v>340</v>
      </c>
      <c r="E415" s="81" t="s">
        <v>806</v>
      </c>
      <c r="F415" s="162" t="s">
        <v>807</v>
      </c>
      <c r="G415" s="163"/>
      <c r="H415" s="81" t="s">
        <v>808</v>
      </c>
      <c r="I415" s="81" t="s">
        <v>809</v>
      </c>
      <c r="J415" s="81" t="s">
        <v>11</v>
      </c>
      <c r="K415" s="81" t="s">
        <v>819</v>
      </c>
      <c r="L415" s="81" t="s">
        <v>129</v>
      </c>
      <c r="M415" s="164">
        <v>23.7</v>
      </c>
      <c r="N415" s="165"/>
      <c r="O415" s="163"/>
      <c r="P415" s="82">
        <v>80.739999999999995</v>
      </c>
      <c r="Q415" s="164">
        <v>0</v>
      </c>
      <c r="R415" s="163"/>
      <c r="S415" s="81" t="s">
        <v>346</v>
      </c>
      <c r="T415" s="82">
        <v>62</v>
      </c>
      <c r="U415" s="82">
        <v>0</v>
      </c>
      <c r="V415" s="82">
        <v>0</v>
      </c>
      <c r="W415" s="82">
        <v>0</v>
      </c>
      <c r="X415" s="81" t="s">
        <v>143</v>
      </c>
      <c r="Y415" s="82">
        <v>10</v>
      </c>
      <c r="Z415" s="81" t="s">
        <v>138</v>
      </c>
      <c r="AA415" s="81" t="s">
        <v>58</v>
      </c>
      <c r="AB415" s="81" t="s">
        <v>58</v>
      </c>
      <c r="AC415" s="83">
        <v>46106</v>
      </c>
    </row>
    <row r="416" spans="2:29" ht="23" x14ac:dyDescent="0.35">
      <c r="B416" s="81" t="s">
        <v>338</v>
      </c>
      <c r="C416" s="81" t="s">
        <v>339</v>
      </c>
      <c r="D416" s="81" t="s">
        <v>340</v>
      </c>
      <c r="E416" s="81" t="s">
        <v>806</v>
      </c>
      <c r="F416" s="162" t="s">
        <v>807</v>
      </c>
      <c r="G416" s="163"/>
      <c r="H416" s="81" t="s">
        <v>808</v>
      </c>
      <c r="I416" s="81" t="s">
        <v>809</v>
      </c>
      <c r="J416" s="81" t="s">
        <v>11</v>
      </c>
      <c r="K416" s="81" t="s">
        <v>820</v>
      </c>
      <c r="L416" s="81" t="s">
        <v>129</v>
      </c>
      <c r="M416" s="164">
        <v>22.7</v>
      </c>
      <c r="N416" s="165"/>
      <c r="O416" s="163"/>
      <c r="P416" s="82">
        <v>77.34</v>
      </c>
      <c r="Q416" s="164">
        <v>0</v>
      </c>
      <c r="R416" s="163"/>
      <c r="S416" s="81" t="s">
        <v>346</v>
      </c>
      <c r="T416" s="82">
        <v>62</v>
      </c>
      <c r="U416" s="82">
        <v>0</v>
      </c>
      <c r="V416" s="82">
        <v>0</v>
      </c>
      <c r="W416" s="82">
        <v>0</v>
      </c>
      <c r="X416" s="81" t="s">
        <v>143</v>
      </c>
      <c r="Y416" s="82">
        <v>1</v>
      </c>
      <c r="Z416" s="81" t="s">
        <v>138</v>
      </c>
      <c r="AA416" s="81" t="s">
        <v>58</v>
      </c>
      <c r="AB416" s="81" t="s">
        <v>58</v>
      </c>
      <c r="AC416" s="83">
        <v>46106</v>
      </c>
    </row>
    <row r="417" spans="2:29" ht="23" x14ac:dyDescent="0.35">
      <c r="B417" s="81" t="s">
        <v>338</v>
      </c>
      <c r="C417" s="81" t="s">
        <v>339</v>
      </c>
      <c r="D417" s="81" t="s">
        <v>340</v>
      </c>
      <c r="E417" s="81" t="s">
        <v>806</v>
      </c>
      <c r="F417" s="162" t="s">
        <v>807</v>
      </c>
      <c r="G417" s="163"/>
      <c r="H417" s="81" t="s">
        <v>808</v>
      </c>
      <c r="I417" s="81" t="s">
        <v>809</v>
      </c>
      <c r="J417" s="81" t="s">
        <v>11</v>
      </c>
      <c r="K417" s="81" t="s">
        <v>821</v>
      </c>
      <c r="L417" s="81" t="s">
        <v>129</v>
      </c>
      <c r="M417" s="164">
        <v>23.8</v>
      </c>
      <c r="N417" s="165"/>
      <c r="O417" s="163"/>
      <c r="P417" s="82">
        <v>81.08</v>
      </c>
      <c r="Q417" s="164">
        <v>0</v>
      </c>
      <c r="R417" s="163"/>
      <c r="S417" s="81" t="s">
        <v>346</v>
      </c>
      <c r="T417" s="82">
        <v>62</v>
      </c>
      <c r="U417" s="82">
        <v>0</v>
      </c>
      <c r="V417" s="82">
        <v>0</v>
      </c>
      <c r="W417" s="82">
        <v>0</v>
      </c>
      <c r="X417" s="81"/>
      <c r="Y417" s="81"/>
      <c r="Z417" s="81" t="s">
        <v>138</v>
      </c>
      <c r="AA417" s="81" t="s">
        <v>58</v>
      </c>
      <c r="AB417" s="81" t="s">
        <v>58</v>
      </c>
      <c r="AC417" s="83">
        <v>46106</v>
      </c>
    </row>
    <row r="418" spans="2:29" ht="23" x14ac:dyDescent="0.35">
      <c r="B418" s="81" t="s">
        <v>338</v>
      </c>
      <c r="C418" s="81" t="s">
        <v>339</v>
      </c>
      <c r="D418" s="81" t="s">
        <v>340</v>
      </c>
      <c r="E418" s="81" t="s">
        <v>806</v>
      </c>
      <c r="F418" s="162" t="s">
        <v>807</v>
      </c>
      <c r="G418" s="163"/>
      <c r="H418" s="81" t="s">
        <v>808</v>
      </c>
      <c r="I418" s="81" t="s">
        <v>809</v>
      </c>
      <c r="J418" s="81" t="s">
        <v>11</v>
      </c>
      <c r="K418" s="81" t="s">
        <v>822</v>
      </c>
      <c r="L418" s="81" t="s">
        <v>129</v>
      </c>
      <c r="M418" s="164">
        <v>23.4</v>
      </c>
      <c r="N418" s="165"/>
      <c r="O418" s="163"/>
      <c r="P418" s="82">
        <v>79.72</v>
      </c>
      <c r="Q418" s="164">
        <v>0</v>
      </c>
      <c r="R418" s="163"/>
      <c r="S418" s="81" t="s">
        <v>346</v>
      </c>
      <c r="T418" s="82">
        <v>62</v>
      </c>
      <c r="U418" s="82">
        <v>0</v>
      </c>
      <c r="V418" s="82">
        <v>0</v>
      </c>
      <c r="W418" s="82">
        <v>0</v>
      </c>
      <c r="X418" s="81" t="s">
        <v>133</v>
      </c>
      <c r="Y418" s="82">
        <v>4</v>
      </c>
      <c r="Z418" s="81" t="s">
        <v>138</v>
      </c>
      <c r="AA418" s="81" t="s">
        <v>58</v>
      </c>
      <c r="AB418" s="81" t="s">
        <v>58</v>
      </c>
      <c r="AC418" s="83">
        <v>46106</v>
      </c>
    </row>
    <row r="419" spans="2:29" ht="23" x14ac:dyDescent="0.35">
      <c r="B419" s="81" t="s">
        <v>338</v>
      </c>
      <c r="C419" s="81" t="s">
        <v>339</v>
      </c>
      <c r="D419" s="81" t="s">
        <v>340</v>
      </c>
      <c r="E419" s="81" t="s">
        <v>806</v>
      </c>
      <c r="F419" s="162" t="s">
        <v>807</v>
      </c>
      <c r="G419" s="163"/>
      <c r="H419" s="81" t="s">
        <v>808</v>
      </c>
      <c r="I419" s="81" t="s">
        <v>809</v>
      </c>
      <c r="J419" s="81" t="s">
        <v>11</v>
      </c>
      <c r="K419" s="81" t="s">
        <v>823</v>
      </c>
      <c r="L419" s="81" t="s">
        <v>129</v>
      </c>
      <c r="M419" s="164">
        <v>23.2</v>
      </c>
      <c r="N419" s="165"/>
      <c r="O419" s="163"/>
      <c r="P419" s="82">
        <v>79.040000000000006</v>
      </c>
      <c r="Q419" s="164">
        <v>0</v>
      </c>
      <c r="R419" s="163"/>
      <c r="S419" s="81" t="s">
        <v>346</v>
      </c>
      <c r="T419" s="82">
        <v>62</v>
      </c>
      <c r="U419" s="82">
        <v>0</v>
      </c>
      <c r="V419" s="82">
        <v>0</v>
      </c>
      <c r="W419" s="82">
        <v>0</v>
      </c>
      <c r="X419" s="81"/>
      <c r="Y419" s="81"/>
      <c r="Z419" s="81" t="s">
        <v>138</v>
      </c>
      <c r="AA419" s="81" t="s">
        <v>58</v>
      </c>
      <c r="AB419" s="81" t="s">
        <v>58</v>
      </c>
      <c r="AC419" s="83">
        <v>46106</v>
      </c>
    </row>
    <row r="420" spans="2:29" ht="23" x14ac:dyDescent="0.35">
      <c r="B420" s="81" t="s">
        <v>338</v>
      </c>
      <c r="C420" s="81" t="s">
        <v>339</v>
      </c>
      <c r="D420" s="81" t="s">
        <v>340</v>
      </c>
      <c r="E420" s="81" t="s">
        <v>806</v>
      </c>
      <c r="F420" s="162" t="s">
        <v>807</v>
      </c>
      <c r="G420" s="163"/>
      <c r="H420" s="81" t="s">
        <v>808</v>
      </c>
      <c r="I420" s="81" t="s">
        <v>809</v>
      </c>
      <c r="J420" s="81" t="s">
        <v>11</v>
      </c>
      <c r="K420" s="81" t="s">
        <v>824</v>
      </c>
      <c r="L420" s="81" t="s">
        <v>129</v>
      </c>
      <c r="M420" s="164">
        <v>22.6</v>
      </c>
      <c r="N420" s="165"/>
      <c r="O420" s="163"/>
      <c r="P420" s="82">
        <v>77</v>
      </c>
      <c r="Q420" s="164">
        <v>0</v>
      </c>
      <c r="R420" s="163"/>
      <c r="S420" s="81" t="s">
        <v>346</v>
      </c>
      <c r="T420" s="82">
        <v>62</v>
      </c>
      <c r="U420" s="82">
        <v>0</v>
      </c>
      <c r="V420" s="82">
        <v>0</v>
      </c>
      <c r="W420" s="82">
        <v>0</v>
      </c>
      <c r="X420" s="81"/>
      <c r="Y420" s="81"/>
      <c r="Z420" s="81" t="s">
        <v>138</v>
      </c>
      <c r="AA420" s="81" t="s">
        <v>58</v>
      </c>
      <c r="AB420" s="81" t="s">
        <v>58</v>
      </c>
      <c r="AC420" s="83">
        <v>46106</v>
      </c>
    </row>
    <row r="421" spans="2:29" ht="23" x14ac:dyDescent="0.35">
      <c r="B421" s="81" t="s">
        <v>338</v>
      </c>
      <c r="C421" s="81" t="s">
        <v>339</v>
      </c>
      <c r="D421" s="81" t="s">
        <v>340</v>
      </c>
      <c r="E421" s="81" t="s">
        <v>806</v>
      </c>
      <c r="F421" s="162" t="s">
        <v>807</v>
      </c>
      <c r="G421" s="163"/>
      <c r="H421" s="81" t="s">
        <v>808</v>
      </c>
      <c r="I421" s="81" t="s">
        <v>809</v>
      </c>
      <c r="J421" s="81" t="s">
        <v>11</v>
      </c>
      <c r="K421" s="81" t="s">
        <v>825</v>
      </c>
      <c r="L421" s="81" t="s">
        <v>129</v>
      </c>
      <c r="M421" s="164">
        <v>23.4</v>
      </c>
      <c r="N421" s="165"/>
      <c r="O421" s="163"/>
      <c r="P421" s="82">
        <v>79.72</v>
      </c>
      <c r="Q421" s="164">
        <v>0</v>
      </c>
      <c r="R421" s="163"/>
      <c r="S421" s="81" t="s">
        <v>346</v>
      </c>
      <c r="T421" s="82">
        <v>62</v>
      </c>
      <c r="U421" s="82">
        <v>0</v>
      </c>
      <c r="V421" s="82">
        <v>0</v>
      </c>
      <c r="W421" s="82">
        <v>0</v>
      </c>
      <c r="X421" s="81"/>
      <c r="Y421" s="81"/>
      <c r="Z421" s="81" t="s">
        <v>138</v>
      </c>
      <c r="AA421" s="81" t="s">
        <v>58</v>
      </c>
      <c r="AB421" s="81" t="s">
        <v>58</v>
      </c>
      <c r="AC421" s="83">
        <v>46106</v>
      </c>
    </row>
    <row r="422" spans="2:29" ht="23" x14ac:dyDescent="0.35">
      <c r="B422" s="81" t="s">
        <v>338</v>
      </c>
      <c r="C422" s="81" t="s">
        <v>339</v>
      </c>
      <c r="D422" s="81" t="s">
        <v>340</v>
      </c>
      <c r="E422" s="81" t="s">
        <v>806</v>
      </c>
      <c r="F422" s="162" t="s">
        <v>807</v>
      </c>
      <c r="G422" s="163"/>
      <c r="H422" s="81" t="s">
        <v>808</v>
      </c>
      <c r="I422" s="81" t="s">
        <v>809</v>
      </c>
      <c r="J422" s="81" t="s">
        <v>11</v>
      </c>
      <c r="K422" s="81" t="s">
        <v>826</v>
      </c>
      <c r="L422" s="81" t="s">
        <v>129</v>
      </c>
      <c r="M422" s="164">
        <v>23.5</v>
      </c>
      <c r="N422" s="165"/>
      <c r="O422" s="163"/>
      <c r="P422" s="82">
        <v>80.06</v>
      </c>
      <c r="Q422" s="164">
        <v>0</v>
      </c>
      <c r="R422" s="163"/>
      <c r="S422" s="81" t="s">
        <v>346</v>
      </c>
      <c r="T422" s="82">
        <v>62</v>
      </c>
      <c r="U422" s="82">
        <v>0</v>
      </c>
      <c r="V422" s="82">
        <v>0</v>
      </c>
      <c r="W422" s="82">
        <v>0</v>
      </c>
      <c r="X422" s="81" t="s">
        <v>143</v>
      </c>
      <c r="Y422" s="82">
        <v>1</v>
      </c>
      <c r="Z422" s="81" t="s">
        <v>138</v>
      </c>
      <c r="AA422" s="81" t="s">
        <v>58</v>
      </c>
      <c r="AB422" s="81" t="s">
        <v>58</v>
      </c>
      <c r="AC422" s="83">
        <v>46106</v>
      </c>
    </row>
    <row r="423" spans="2:29" ht="23" x14ac:dyDescent="0.35">
      <c r="B423" s="81" t="s">
        <v>338</v>
      </c>
      <c r="C423" s="81" t="s">
        <v>339</v>
      </c>
      <c r="D423" s="81" t="s">
        <v>340</v>
      </c>
      <c r="E423" s="81" t="s">
        <v>806</v>
      </c>
      <c r="F423" s="162" t="s">
        <v>807</v>
      </c>
      <c r="G423" s="163"/>
      <c r="H423" s="81" t="s">
        <v>808</v>
      </c>
      <c r="I423" s="81" t="s">
        <v>809</v>
      </c>
      <c r="J423" s="81" t="s">
        <v>11</v>
      </c>
      <c r="K423" s="81" t="s">
        <v>827</v>
      </c>
      <c r="L423" s="81" t="s">
        <v>129</v>
      </c>
      <c r="M423" s="164">
        <v>32.799999999999997</v>
      </c>
      <c r="N423" s="165"/>
      <c r="O423" s="163"/>
      <c r="P423" s="82">
        <v>111.75</v>
      </c>
      <c r="Q423" s="164">
        <v>0</v>
      </c>
      <c r="R423" s="163"/>
      <c r="S423" s="81" t="s">
        <v>346</v>
      </c>
      <c r="T423" s="82">
        <v>62</v>
      </c>
      <c r="U423" s="82">
        <v>0</v>
      </c>
      <c r="V423" s="82">
        <v>0</v>
      </c>
      <c r="W423" s="82">
        <v>0</v>
      </c>
      <c r="X423" s="81" t="s">
        <v>133</v>
      </c>
      <c r="Y423" s="82">
        <v>4</v>
      </c>
      <c r="Z423" s="81" t="s">
        <v>138</v>
      </c>
      <c r="AA423" s="81" t="s">
        <v>58</v>
      </c>
      <c r="AB423" s="81" t="s">
        <v>58</v>
      </c>
      <c r="AC423" s="83">
        <v>46106</v>
      </c>
    </row>
    <row r="424" spans="2:29" ht="23" x14ac:dyDescent="0.35">
      <c r="B424" s="81" t="s">
        <v>338</v>
      </c>
      <c r="C424" s="81" t="s">
        <v>339</v>
      </c>
      <c r="D424" s="81" t="s">
        <v>340</v>
      </c>
      <c r="E424" s="81" t="s">
        <v>806</v>
      </c>
      <c r="F424" s="162" t="s">
        <v>807</v>
      </c>
      <c r="G424" s="163"/>
      <c r="H424" s="81" t="s">
        <v>808</v>
      </c>
      <c r="I424" s="81" t="s">
        <v>809</v>
      </c>
      <c r="J424" s="81" t="s">
        <v>11</v>
      </c>
      <c r="K424" s="81" t="s">
        <v>828</v>
      </c>
      <c r="L424" s="81" t="s">
        <v>129</v>
      </c>
      <c r="M424" s="164">
        <v>23.8</v>
      </c>
      <c r="N424" s="165"/>
      <c r="O424" s="163"/>
      <c r="P424" s="82">
        <v>81.08</v>
      </c>
      <c r="Q424" s="164">
        <v>0</v>
      </c>
      <c r="R424" s="163"/>
      <c r="S424" s="81" t="s">
        <v>346</v>
      </c>
      <c r="T424" s="82">
        <v>62</v>
      </c>
      <c r="U424" s="82">
        <v>0</v>
      </c>
      <c r="V424" s="82">
        <v>0</v>
      </c>
      <c r="W424" s="82">
        <v>0</v>
      </c>
      <c r="X424" s="81"/>
      <c r="Y424" s="81"/>
      <c r="Z424" s="81" t="s">
        <v>138</v>
      </c>
      <c r="AA424" s="81" t="s">
        <v>58</v>
      </c>
      <c r="AB424" s="81" t="s">
        <v>58</v>
      </c>
      <c r="AC424" s="83">
        <v>46106</v>
      </c>
    </row>
    <row r="425" spans="2:29" ht="23" x14ac:dyDescent="0.35">
      <c r="B425" s="81" t="s">
        <v>338</v>
      </c>
      <c r="C425" s="81" t="s">
        <v>339</v>
      </c>
      <c r="D425" s="81" t="s">
        <v>340</v>
      </c>
      <c r="E425" s="81" t="s">
        <v>806</v>
      </c>
      <c r="F425" s="162" t="s">
        <v>807</v>
      </c>
      <c r="G425" s="163"/>
      <c r="H425" s="81" t="s">
        <v>808</v>
      </c>
      <c r="I425" s="81" t="s">
        <v>809</v>
      </c>
      <c r="J425" s="81" t="s">
        <v>11</v>
      </c>
      <c r="K425" s="81" t="s">
        <v>829</v>
      </c>
      <c r="L425" s="81" t="s">
        <v>129</v>
      </c>
      <c r="M425" s="164">
        <v>23.4</v>
      </c>
      <c r="N425" s="165"/>
      <c r="O425" s="163"/>
      <c r="P425" s="82">
        <v>79.72</v>
      </c>
      <c r="Q425" s="164">
        <v>0</v>
      </c>
      <c r="R425" s="163"/>
      <c r="S425" s="81" t="s">
        <v>346</v>
      </c>
      <c r="T425" s="82">
        <v>62</v>
      </c>
      <c r="U425" s="82">
        <v>0</v>
      </c>
      <c r="V425" s="82">
        <v>0</v>
      </c>
      <c r="W425" s="82">
        <v>0</v>
      </c>
      <c r="X425" s="81"/>
      <c r="Y425" s="81"/>
      <c r="Z425" s="81" t="s">
        <v>138</v>
      </c>
      <c r="AA425" s="81" t="s">
        <v>58</v>
      </c>
      <c r="AB425" s="81" t="s">
        <v>58</v>
      </c>
      <c r="AC425" s="83">
        <v>46106</v>
      </c>
    </row>
    <row r="426" spans="2:29" ht="23" x14ac:dyDescent="0.35">
      <c r="B426" s="81" t="s">
        <v>338</v>
      </c>
      <c r="C426" s="81" t="s">
        <v>339</v>
      </c>
      <c r="D426" s="81" t="s">
        <v>340</v>
      </c>
      <c r="E426" s="81" t="s">
        <v>806</v>
      </c>
      <c r="F426" s="162" t="s">
        <v>807</v>
      </c>
      <c r="G426" s="163"/>
      <c r="H426" s="81" t="s">
        <v>808</v>
      </c>
      <c r="I426" s="81" t="s">
        <v>809</v>
      </c>
      <c r="J426" s="81" t="s">
        <v>11</v>
      </c>
      <c r="K426" s="81" t="s">
        <v>830</v>
      </c>
      <c r="L426" s="81" t="s">
        <v>129</v>
      </c>
      <c r="M426" s="164">
        <v>23.8</v>
      </c>
      <c r="N426" s="165"/>
      <c r="O426" s="163"/>
      <c r="P426" s="82">
        <v>81.08</v>
      </c>
      <c r="Q426" s="164">
        <v>0</v>
      </c>
      <c r="R426" s="163"/>
      <c r="S426" s="81" t="s">
        <v>346</v>
      </c>
      <c r="T426" s="82">
        <v>62</v>
      </c>
      <c r="U426" s="82">
        <v>0</v>
      </c>
      <c r="V426" s="82">
        <v>0</v>
      </c>
      <c r="W426" s="82">
        <v>0</v>
      </c>
      <c r="X426" s="81"/>
      <c r="Y426" s="81"/>
      <c r="Z426" s="81" t="s">
        <v>138</v>
      </c>
      <c r="AA426" s="81" t="s">
        <v>58</v>
      </c>
      <c r="AB426" s="81" t="s">
        <v>58</v>
      </c>
      <c r="AC426" s="83">
        <v>46106</v>
      </c>
    </row>
    <row r="427" spans="2:29" ht="23" x14ac:dyDescent="0.35">
      <c r="B427" s="81" t="s">
        <v>338</v>
      </c>
      <c r="C427" s="81" t="s">
        <v>339</v>
      </c>
      <c r="D427" s="81" t="s">
        <v>340</v>
      </c>
      <c r="E427" s="81" t="s">
        <v>806</v>
      </c>
      <c r="F427" s="162" t="s">
        <v>807</v>
      </c>
      <c r="G427" s="163"/>
      <c r="H427" s="81" t="s">
        <v>808</v>
      </c>
      <c r="I427" s="81" t="s">
        <v>809</v>
      </c>
      <c r="J427" s="81" t="s">
        <v>11</v>
      </c>
      <c r="K427" s="81" t="s">
        <v>831</v>
      </c>
      <c r="L427" s="81" t="s">
        <v>129</v>
      </c>
      <c r="M427" s="164">
        <v>23.7</v>
      </c>
      <c r="N427" s="165"/>
      <c r="O427" s="163"/>
      <c r="P427" s="82">
        <v>80.739999999999995</v>
      </c>
      <c r="Q427" s="164">
        <v>0</v>
      </c>
      <c r="R427" s="163"/>
      <c r="S427" s="81" t="s">
        <v>346</v>
      </c>
      <c r="T427" s="82">
        <v>62</v>
      </c>
      <c r="U427" s="82">
        <v>0</v>
      </c>
      <c r="V427" s="82">
        <v>0</v>
      </c>
      <c r="W427" s="82">
        <v>0</v>
      </c>
      <c r="X427" s="81"/>
      <c r="Y427" s="81"/>
      <c r="Z427" s="81" t="s">
        <v>138</v>
      </c>
      <c r="AA427" s="81" t="s">
        <v>58</v>
      </c>
      <c r="AB427" s="81" t="s">
        <v>58</v>
      </c>
      <c r="AC427" s="83">
        <v>46106</v>
      </c>
    </row>
    <row r="428" spans="2:29" ht="23" x14ac:dyDescent="0.35">
      <c r="B428" s="81" t="s">
        <v>338</v>
      </c>
      <c r="C428" s="81" t="s">
        <v>339</v>
      </c>
      <c r="D428" s="81" t="s">
        <v>340</v>
      </c>
      <c r="E428" s="81" t="s">
        <v>359</v>
      </c>
      <c r="F428" s="162" t="s">
        <v>360</v>
      </c>
      <c r="G428" s="163"/>
      <c r="H428" s="81" t="s">
        <v>832</v>
      </c>
      <c r="I428" s="81" t="s">
        <v>344</v>
      </c>
      <c r="J428" s="81" t="s">
        <v>11</v>
      </c>
      <c r="K428" s="81" t="s">
        <v>833</v>
      </c>
      <c r="L428" s="81" t="s">
        <v>129</v>
      </c>
      <c r="M428" s="164">
        <v>23.9</v>
      </c>
      <c r="N428" s="165"/>
      <c r="O428" s="163"/>
      <c r="P428" s="82">
        <v>79.63</v>
      </c>
      <c r="Q428" s="162"/>
      <c r="R428" s="163"/>
      <c r="S428" s="81" t="s">
        <v>346</v>
      </c>
      <c r="T428" s="82">
        <v>64</v>
      </c>
      <c r="U428" s="81"/>
      <c r="V428" s="81"/>
      <c r="W428" s="81"/>
      <c r="X428" s="81"/>
      <c r="Y428" s="81"/>
      <c r="Z428" s="81"/>
      <c r="AA428" s="81"/>
      <c r="AB428" s="81"/>
      <c r="AC428" s="83">
        <v>1</v>
      </c>
    </row>
    <row r="429" spans="2:29" ht="23" x14ac:dyDescent="0.35">
      <c r="B429" s="81" t="s">
        <v>338</v>
      </c>
      <c r="C429" s="81" t="s">
        <v>339</v>
      </c>
      <c r="D429" s="81" t="s">
        <v>340</v>
      </c>
      <c r="E429" s="81" t="s">
        <v>359</v>
      </c>
      <c r="F429" s="162" t="s">
        <v>360</v>
      </c>
      <c r="G429" s="163"/>
      <c r="H429" s="81" t="s">
        <v>832</v>
      </c>
      <c r="I429" s="81" t="s">
        <v>344</v>
      </c>
      <c r="J429" s="81" t="s">
        <v>11</v>
      </c>
      <c r="K429" s="81" t="s">
        <v>834</v>
      </c>
      <c r="L429" s="81" t="s">
        <v>129</v>
      </c>
      <c r="M429" s="164">
        <v>12.3</v>
      </c>
      <c r="N429" s="165"/>
      <c r="O429" s="163"/>
      <c r="P429" s="82">
        <v>40.98</v>
      </c>
      <c r="Q429" s="162"/>
      <c r="R429" s="163"/>
      <c r="S429" s="81" t="s">
        <v>346</v>
      </c>
      <c r="T429" s="82">
        <v>64</v>
      </c>
      <c r="U429" s="81"/>
      <c r="V429" s="81"/>
      <c r="W429" s="81"/>
      <c r="X429" s="81"/>
      <c r="Y429" s="81"/>
      <c r="Z429" s="81"/>
      <c r="AA429" s="81"/>
      <c r="AB429" s="81"/>
      <c r="AC429" s="83">
        <v>1</v>
      </c>
    </row>
    <row r="430" spans="2:29" ht="23" x14ac:dyDescent="0.35">
      <c r="B430" s="81" t="s">
        <v>338</v>
      </c>
      <c r="C430" s="81" t="s">
        <v>339</v>
      </c>
      <c r="D430" s="81" t="s">
        <v>340</v>
      </c>
      <c r="E430" s="81" t="s">
        <v>359</v>
      </c>
      <c r="F430" s="162" t="s">
        <v>360</v>
      </c>
      <c r="G430" s="163"/>
      <c r="H430" s="81" t="s">
        <v>832</v>
      </c>
      <c r="I430" s="81" t="s">
        <v>344</v>
      </c>
      <c r="J430" s="81" t="s">
        <v>11</v>
      </c>
      <c r="K430" s="81" t="s">
        <v>835</v>
      </c>
      <c r="L430" s="81" t="s">
        <v>129</v>
      </c>
      <c r="M430" s="164">
        <v>24</v>
      </c>
      <c r="N430" s="165"/>
      <c r="O430" s="163"/>
      <c r="P430" s="82">
        <v>79.97</v>
      </c>
      <c r="Q430" s="162"/>
      <c r="R430" s="163"/>
      <c r="S430" s="81" t="s">
        <v>346</v>
      </c>
      <c r="T430" s="82">
        <v>64</v>
      </c>
      <c r="U430" s="81"/>
      <c r="V430" s="81"/>
      <c r="W430" s="81"/>
      <c r="X430" s="81"/>
      <c r="Y430" s="81"/>
      <c r="Z430" s="81"/>
      <c r="AA430" s="81"/>
      <c r="AB430" s="81"/>
      <c r="AC430" s="83">
        <v>1</v>
      </c>
    </row>
    <row r="431" spans="2:29" ht="23" x14ac:dyDescent="0.35">
      <c r="B431" s="81" t="s">
        <v>338</v>
      </c>
      <c r="C431" s="81" t="s">
        <v>339</v>
      </c>
      <c r="D431" s="81" t="s">
        <v>340</v>
      </c>
      <c r="E431" s="81" t="s">
        <v>359</v>
      </c>
      <c r="F431" s="162" t="s">
        <v>360</v>
      </c>
      <c r="G431" s="163"/>
      <c r="H431" s="81" t="s">
        <v>836</v>
      </c>
      <c r="I431" s="81" t="s">
        <v>356</v>
      </c>
      <c r="J431" s="81" t="s">
        <v>128</v>
      </c>
      <c r="K431" s="81" t="s">
        <v>837</v>
      </c>
      <c r="L431" s="81" t="s">
        <v>129</v>
      </c>
      <c r="M431" s="164">
        <v>29</v>
      </c>
      <c r="N431" s="165"/>
      <c r="O431" s="163"/>
      <c r="P431" s="82">
        <v>119.2</v>
      </c>
      <c r="Q431" s="164">
        <v>0</v>
      </c>
      <c r="R431" s="163"/>
      <c r="S431" s="81" t="s">
        <v>358</v>
      </c>
      <c r="T431" s="82">
        <v>57</v>
      </c>
      <c r="U431" s="82">
        <v>0</v>
      </c>
      <c r="V431" s="82">
        <v>0</v>
      </c>
      <c r="W431" s="82">
        <v>0</v>
      </c>
      <c r="X431" s="81" t="s">
        <v>132</v>
      </c>
      <c r="Y431" s="82">
        <v>28</v>
      </c>
      <c r="Z431" s="81" t="s">
        <v>131</v>
      </c>
      <c r="AA431" s="81" t="s">
        <v>58</v>
      </c>
      <c r="AB431" s="81" t="s">
        <v>58</v>
      </c>
      <c r="AC431" s="83">
        <v>46107</v>
      </c>
    </row>
    <row r="432" spans="2:29" ht="23" x14ac:dyDescent="0.35">
      <c r="B432" s="81" t="s">
        <v>338</v>
      </c>
      <c r="C432" s="81" t="s">
        <v>339</v>
      </c>
      <c r="D432" s="81" t="s">
        <v>340</v>
      </c>
      <c r="E432" s="81" t="s">
        <v>771</v>
      </c>
      <c r="F432" s="162" t="s">
        <v>772</v>
      </c>
      <c r="G432" s="163"/>
      <c r="H432" s="81" t="s">
        <v>838</v>
      </c>
      <c r="I432" s="81" t="s">
        <v>356</v>
      </c>
      <c r="J432" s="81" t="s">
        <v>128</v>
      </c>
      <c r="K432" s="81" t="s">
        <v>839</v>
      </c>
      <c r="L432" s="81" t="s">
        <v>129</v>
      </c>
      <c r="M432" s="164">
        <v>16.3</v>
      </c>
      <c r="N432" s="165"/>
      <c r="O432" s="163"/>
      <c r="P432" s="82">
        <v>72.11</v>
      </c>
      <c r="Q432" s="164">
        <v>0</v>
      </c>
      <c r="R432" s="163"/>
      <c r="S432" s="81" t="s">
        <v>358</v>
      </c>
      <c r="T432" s="82">
        <v>57</v>
      </c>
      <c r="U432" s="82">
        <v>0</v>
      </c>
      <c r="V432" s="82">
        <v>0</v>
      </c>
      <c r="W432" s="82">
        <v>0</v>
      </c>
      <c r="X432" s="81" t="s">
        <v>133</v>
      </c>
      <c r="Y432" s="82">
        <v>4</v>
      </c>
      <c r="Z432" s="81" t="s">
        <v>131</v>
      </c>
      <c r="AA432" s="81" t="s">
        <v>58</v>
      </c>
      <c r="AB432" s="81" t="s">
        <v>58</v>
      </c>
      <c r="AC432" s="83">
        <v>46107</v>
      </c>
    </row>
    <row r="433" spans="2:29" ht="23" x14ac:dyDescent="0.35">
      <c r="B433" s="81" t="s">
        <v>338</v>
      </c>
      <c r="C433" s="81" t="s">
        <v>339</v>
      </c>
      <c r="D433" s="81" t="s">
        <v>340</v>
      </c>
      <c r="E433" s="81" t="s">
        <v>359</v>
      </c>
      <c r="F433" s="162" t="s">
        <v>360</v>
      </c>
      <c r="G433" s="163"/>
      <c r="H433" s="81" t="s">
        <v>361</v>
      </c>
      <c r="I433" s="81" t="s">
        <v>356</v>
      </c>
      <c r="J433" s="81" t="s">
        <v>128</v>
      </c>
      <c r="K433" s="81" t="s">
        <v>840</v>
      </c>
      <c r="L433" s="81" t="s">
        <v>841</v>
      </c>
      <c r="M433" s="164">
        <v>15.6</v>
      </c>
      <c r="N433" s="165"/>
      <c r="O433" s="163"/>
      <c r="P433" s="82">
        <v>61.99</v>
      </c>
      <c r="Q433" s="164">
        <v>0</v>
      </c>
      <c r="R433" s="163"/>
      <c r="S433" s="81" t="s">
        <v>358</v>
      </c>
      <c r="T433" s="82">
        <v>58</v>
      </c>
      <c r="U433" s="82">
        <v>0</v>
      </c>
      <c r="V433" s="82">
        <v>0</v>
      </c>
      <c r="W433" s="82">
        <v>0</v>
      </c>
      <c r="X433" s="81" t="s">
        <v>148</v>
      </c>
      <c r="Y433" s="82">
        <v>80</v>
      </c>
      <c r="Z433" s="81" t="s">
        <v>138</v>
      </c>
      <c r="AA433" s="81" t="s">
        <v>58</v>
      </c>
      <c r="AB433" s="81" t="s">
        <v>58</v>
      </c>
      <c r="AC433" s="83">
        <v>46107</v>
      </c>
    </row>
    <row r="434" spans="2:29" ht="23" x14ac:dyDescent="0.35">
      <c r="B434" s="81" t="s">
        <v>338</v>
      </c>
      <c r="C434" s="81" t="s">
        <v>339</v>
      </c>
      <c r="D434" s="81" t="s">
        <v>340</v>
      </c>
      <c r="E434" s="81" t="s">
        <v>359</v>
      </c>
      <c r="F434" s="162" t="s">
        <v>360</v>
      </c>
      <c r="G434" s="163"/>
      <c r="H434" s="81" t="s">
        <v>361</v>
      </c>
      <c r="I434" s="81" t="s">
        <v>356</v>
      </c>
      <c r="J434" s="81" t="s">
        <v>128</v>
      </c>
      <c r="K434" s="81" t="s">
        <v>842</v>
      </c>
      <c r="L434" s="81" t="s">
        <v>841</v>
      </c>
      <c r="M434" s="164">
        <v>15</v>
      </c>
      <c r="N434" s="165"/>
      <c r="O434" s="163"/>
      <c r="P434" s="82">
        <v>59.6</v>
      </c>
      <c r="Q434" s="164">
        <v>0</v>
      </c>
      <c r="R434" s="163"/>
      <c r="S434" s="81" t="s">
        <v>358</v>
      </c>
      <c r="T434" s="82">
        <v>58</v>
      </c>
      <c r="U434" s="82">
        <v>0</v>
      </c>
      <c r="V434" s="82">
        <v>0</v>
      </c>
      <c r="W434" s="82">
        <v>0</v>
      </c>
      <c r="X434" s="81" t="s">
        <v>148</v>
      </c>
      <c r="Y434" s="82">
        <v>80</v>
      </c>
      <c r="Z434" s="81" t="s">
        <v>138</v>
      </c>
      <c r="AA434" s="81" t="s">
        <v>58</v>
      </c>
      <c r="AB434" s="81" t="s">
        <v>58</v>
      </c>
      <c r="AC434" s="83">
        <v>46107</v>
      </c>
    </row>
    <row r="435" spans="2:29" ht="23" x14ac:dyDescent="0.35">
      <c r="B435" s="81" t="s">
        <v>338</v>
      </c>
      <c r="C435" s="81" t="s">
        <v>339</v>
      </c>
      <c r="D435" s="81" t="s">
        <v>340</v>
      </c>
      <c r="E435" s="81" t="s">
        <v>806</v>
      </c>
      <c r="F435" s="162" t="s">
        <v>807</v>
      </c>
      <c r="G435" s="163"/>
      <c r="H435" s="81" t="s">
        <v>843</v>
      </c>
      <c r="I435" s="81" t="s">
        <v>844</v>
      </c>
      <c r="J435" s="81" t="s">
        <v>128</v>
      </c>
      <c r="K435" s="81" t="s">
        <v>845</v>
      </c>
      <c r="L435" s="81" t="s">
        <v>129</v>
      </c>
      <c r="M435" s="164">
        <v>18.100000000000001</v>
      </c>
      <c r="N435" s="165"/>
      <c r="O435" s="163"/>
      <c r="P435" s="82">
        <v>66.91</v>
      </c>
      <c r="Q435" s="164">
        <v>0</v>
      </c>
      <c r="R435" s="163"/>
      <c r="S435" s="81" t="s">
        <v>358</v>
      </c>
      <c r="T435" s="82">
        <v>57</v>
      </c>
      <c r="U435" s="82">
        <v>0</v>
      </c>
      <c r="V435" s="82">
        <v>0</v>
      </c>
      <c r="W435" s="82">
        <v>0</v>
      </c>
      <c r="X435" s="81" t="s">
        <v>143</v>
      </c>
      <c r="Y435" s="82">
        <v>4</v>
      </c>
      <c r="Z435" s="81" t="s">
        <v>131</v>
      </c>
      <c r="AA435" s="81" t="s">
        <v>58</v>
      </c>
      <c r="AB435" s="81" t="s">
        <v>58</v>
      </c>
      <c r="AC435" s="83">
        <v>46108</v>
      </c>
    </row>
    <row r="436" spans="2:29" ht="23" x14ac:dyDescent="0.35">
      <c r="B436" s="81" t="s">
        <v>338</v>
      </c>
      <c r="C436" s="81" t="s">
        <v>339</v>
      </c>
      <c r="D436" s="81" t="s">
        <v>340</v>
      </c>
      <c r="E436" s="81" t="s">
        <v>806</v>
      </c>
      <c r="F436" s="162" t="s">
        <v>807</v>
      </c>
      <c r="G436" s="163"/>
      <c r="H436" s="81" t="s">
        <v>843</v>
      </c>
      <c r="I436" s="81" t="s">
        <v>844</v>
      </c>
      <c r="J436" s="81" t="s">
        <v>128</v>
      </c>
      <c r="K436" s="81" t="s">
        <v>846</v>
      </c>
      <c r="L436" s="81" t="s">
        <v>129</v>
      </c>
      <c r="M436" s="164">
        <v>14.6</v>
      </c>
      <c r="N436" s="165"/>
      <c r="O436" s="163"/>
      <c r="P436" s="82">
        <v>53.97</v>
      </c>
      <c r="Q436" s="164">
        <v>0</v>
      </c>
      <c r="R436" s="163"/>
      <c r="S436" s="81" t="s">
        <v>358</v>
      </c>
      <c r="T436" s="82">
        <v>57</v>
      </c>
      <c r="U436" s="82">
        <v>0</v>
      </c>
      <c r="V436" s="82">
        <v>0</v>
      </c>
      <c r="W436" s="82">
        <v>0</v>
      </c>
      <c r="X436" s="81"/>
      <c r="Y436" s="81"/>
      <c r="Z436" s="81" t="s">
        <v>131</v>
      </c>
      <c r="AA436" s="81" t="s">
        <v>58</v>
      </c>
      <c r="AB436" s="81" t="s">
        <v>58</v>
      </c>
      <c r="AC436" s="83">
        <v>46108</v>
      </c>
    </row>
    <row r="437" spans="2:29" ht="34.5" x14ac:dyDescent="0.35">
      <c r="B437" s="81" t="s">
        <v>338</v>
      </c>
      <c r="C437" s="81" t="s">
        <v>339</v>
      </c>
      <c r="D437" s="81" t="s">
        <v>340</v>
      </c>
      <c r="E437" s="81" t="s">
        <v>711</v>
      </c>
      <c r="F437" s="162" t="s">
        <v>712</v>
      </c>
      <c r="G437" s="163"/>
      <c r="H437" s="81" t="s">
        <v>847</v>
      </c>
      <c r="I437" s="81" t="s">
        <v>344</v>
      </c>
      <c r="J437" s="81" t="s">
        <v>11</v>
      </c>
      <c r="K437" s="81" t="s">
        <v>848</v>
      </c>
      <c r="L437" s="81" t="s">
        <v>129</v>
      </c>
      <c r="M437" s="164">
        <v>22.9</v>
      </c>
      <c r="N437" s="165"/>
      <c r="O437" s="163"/>
      <c r="P437" s="82">
        <v>79.84</v>
      </c>
      <c r="Q437" s="164">
        <v>0</v>
      </c>
      <c r="R437" s="163"/>
      <c r="S437" s="81" t="s">
        <v>346</v>
      </c>
      <c r="T437" s="82">
        <v>63</v>
      </c>
      <c r="U437" s="82">
        <v>0</v>
      </c>
      <c r="V437" s="82">
        <v>0</v>
      </c>
      <c r="W437" s="82">
        <v>0</v>
      </c>
      <c r="X437" s="81" t="s">
        <v>132</v>
      </c>
      <c r="Y437" s="82">
        <v>16</v>
      </c>
      <c r="Z437" s="81" t="s">
        <v>131</v>
      </c>
      <c r="AA437" s="81" t="s">
        <v>849</v>
      </c>
      <c r="AB437" s="81" t="s">
        <v>850</v>
      </c>
      <c r="AC437" s="83">
        <v>46108</v>
      </c>
    </row>
    <row r="438" spans="2:29" ht="34.5" x14ac:dyDescent="0.35">
      <c r="B438" s="81" t="s">
        <v>338</v>
      </c>
      <c r="C438" s="81" t="s">
        <v>339</v>
      </c>
      <c r="D438" s="81" t="s">
        <v>340</v>
      </c>
      <c r="E438" s="81" t="s">
        <v>711</v>
      </c>
      <c r="F438" s="162" t="s">
        <v>712</v>
      </c>
      <c r="G438" s="163"/>
      <c r="H438" s="81" t="s">
        <v>847</v>
      </c>
      <c r="I438" s="81" t="s">
        <v>344</v>
      </c>
      <c r="J438" s="81" t="s">
        <v>11</v>
      </c>
      <c r="K438" s="81" t="s">
        <v>851</v>
      </c>
      <c r="L438" s="81" t="s">
        <v>129</v>
      </c>
      <c r="M438" s="164">
        <v>22.3</v>
      </c>
      <c r="N438" s="165"/>
      <c r="O438" s="163"/>
      <c r="P438" s="82">
        <v>77.739999999999995</v>
      </c>
      <c r="Q438" s="164">
        <v>0</v>
      </c>
      <c r="R438" s="163"/>
      <c r="S438" s="81" t="s">
        <v>346</v>
      </c>
      <c r="T438" s="82">
        <v>63</v>
      </c>
      <c r="U438" s="82">
        <v>0</v>
      </c>
      <c r="V438" s="82">
        <v>0</v>
      </c>
      <c r="W438" s="82">
        <v>0</v>
      </c>
      <c r="X438" s="81" t="s">
        <v>132</v>
      </c>
      <c r="Y438" s="82">
        <v>8</v>
      </c>
      <c r="Z438" s="81" t="s">
        <v>131</v>
      </c>
      <c r="AA438" s="81" t="s">
        <v>849</v>
      </c>
      <c r="AB438" s="81" t="s">
        <v>850</v>
      </c>
      <c r="AC438" s="83">
        <v>46108</v>
      </c>
    </row>
    <row r="439" spans="2:29" ht="34.5" x14ac:dyDescent="0.35">
      <c r="B439" s="81" t="s">
        <v>338</v>
      </c>
      <c r="C439" s="81" t="s">
        <v>339</v>
      </c>
      <c r="D439" s="81" t="s">
        <v>340</v>
      </c>
      <c r="E439" s="81" t="s">
        <v>711</v>
      </c>
      <c r="F439" s="162" t="s">
        <v>712</v>
      </c>
      <c r="G439" s="163"/>
      <c r="H439" s="81" t="s">
        <v>847</v>
      </c>
      <c r="I439" s="81" t="s">
        <v>344</v>
      </c>
      <c r="J439" s="81" t="s">
        <v>11</v>
      </c>
      <c r="K439" s="81" t="s">
        <v>852</v>
      </c>
      <c r="L439" s="81" t="s">
        <v>11</v>
      </c>
      <c r="M439" s="164">
        <v>20.7</v>
      </c>
      <c r="N439" s="165"/>
      <c r="O439" s="163"/>
      <c r="P439" s="82">
        <v>72.17</v>
      </c>
      <c r="Q439" s="164">
        <v>0</v>
      </c>
      <c r="R439" s="163"/>
      <c r="S439" s="81" t="s">
        <v>346</v>
      </c>
      <c r="T439" s="82">
        <v>63</v>
      </c>
      <c r="U439" s="82">
        <v>0</v>
      </c>
      <c r="V439" s="82">
        <v>0</v>
      </c>
      <c r="W439" s="82">
        <v>0</v>
      </c>
      <c r="X439" s="81" t="s">
        <v>132</v>
      </c>
      <c r="Y439" s="82">
        <v>44</v>
      </c>
      <c r="Z439" s="81" t="s">
        <v>131</v>
      </c>
      <c r="AA439" s="81" t="s">
        <v>849</v>
      </c>
      <c r="AB439" s="81" t="s">
        <v>850</v>
      </c>
      <c r="AC439" s="83">
        <v>46108</v>
      </c>
    </row>
    <row r="440" spans="2:29" ht="34.5" x14ac:dyDescent="0.35">
      <c r="B440" s="81" t="s">
        <v>338</v>
      </c>
      <c r="C440" s="81" t="s">
        <v>339</v>
      </c>
      <c r="D440" s="81" t="s">
        <v>340</v>
      </c>
      <c r="E440" s="81" t="s">
        <v>711</v>
      </c>
      <c r="F440" s="162" t="s">
        <v>712</v>
      </c>
      <c r="G440" s="163"/>
      <c r="H440" s="81" t="s">
        <v>847</v>
      </c>
      <c r="I440" s="81" t="s">
        <v>344</v>
      </c>
      <c r="J440" s="81" t="s">
        <v>11</v>
      </c>
      <c r="K440" s="81" t="s">
        <v>853</v>
      </c>
      <c r="L440" s="81" t="s">
        <v>129</v>
      </c>
      <c r="M440" s="164">
        <v>26</v>
      </c>
      <c r="N440" s="165"/>
      <c r="O440" s="163"/>
      <c r="P440" s="82">
        <v>90.64</v>
      </c>
      <c r="Q440" s="164">
        <v>0</v>
      </c>
      <c r="R440" s="163"/>
      <c r="S440" s="81" t="s">
        <v>346</v>
      </c>
      <c r="T440" s="82">
        <v>63</v>
      </c>
      <c r="U440" s="82">
        <v>0</v>
      </c>
      <c r="V440" s="82">
        <v>0</v>
      </c>
      <c r="W440" s="82">
        <v>0</v>
      </c>
      <c r="X440" s="81" t="s">
        <v>132</v>
      </c>
      <c r="Y440" s="82">
        <v>16</v>
      </c>
      <c r="Z440" s="81" t="s">
        <v>131</v>
      </c>
      <c r="AA440" s="81" t="s">
        <v>849</v>
      </c>
      <c r="AB440" s="81" t="s">
        <v>850</v>
      </c>
      <c r="AC440" s="83">
        <v>46108</v>
      </c>
    </row>
    <row r="441" spans="2:29" ht="34.5" x14ac:dyDescent="0.35">
      <c r="B441" s="81" t="s">
        <v>338</v>
      </c>
      <c r="C441" s="81" t="s">
        <v>339</v>
      </c>
      <c r="D441" s="81" t="s">
        <v>340</v>
      </c>
      <c r="E441" s="81" t="s">
        <v>711</v>
      </c>
      <c r="F441" s="162" t="s">
        <v>712</v>
      </c>
      <c r="G441" s="163"/>
      <c r="H441" s="81" t="s">
        <v>847</v>
      </c>
      <c r="I441" s="81" t="s">
        <v>344</v>
      </c>
      <c r="J441" s="81" t="s">
        <v>11</v>
      </c>
      <c r="K441" s="81" t="s">
        <v>854</v>
      </c>
      <c r="L441" s="81" t="s">
        <v>129</v>
      </c>
      <c r="M441" s="164">
        <v>22.5</v>
      </c>
      <c r="N441" s="165"/>
      <c r="O441" s="163"/>
      <c r="P441" s="82">
        <v>78.44</v>
      </c>
      <c r="Q441" s="164">
        <v>0</v>
      </c>
      <c r="R441" s="163"/>
      <c r="S441" s="81" t="s">
        <v>346</v>
      </c>
      <c r="T441" s="82">
        <v>63</v>
      </c>
      <c r="U441" s="82">
        <v>0</v>
      </c>
      <c r="V441" s="82">
        <v>0</v>
      </c>
      <c r="W441" s="82">
        <v>0</v>
      </c>
      <c r="X441" s="81" t="s">
        <v>132</v>
      </c>
      <c r="Y441" s="82">
        <v>4</v>
      </c>
      <c r="Z441" s="81" t="s">
        <v>131</v>
      </c>
      <c r="AA441" s="81" t="s">
        <v>849</v>
      </c>
      <c r="AB441" s="81" t="s">
        <v>850</v>
      </c>
      <c r="AC441" s="83">
        <v>46108</v>
      </c>
    </row>
    <row r="442" spans="2:29" ht="34.5" x14ac:dyDescent="0.35">
      <c r="B442" s="81" t="s">
        <v>338</v>
      </c>
      <c r="C442" s="81" t="s">
        <v>339</v>
      </c>
      <c r="D442" s="81" t="s">
        <v>340</v>
      </c>
      <c r="E442" s="81" t="s">
        <v>711</v>
      </c>
      <c r="F442" s="162" t="s">
        <v>712</v>
      </c>
      <c r="G442" s="163"/>
      <c r="H442" s="81" t="s">
        <v>847</v>
      </c>
      <c r="I442" s="81" t="s">
        <v>344</v>
      </c>
      <c r="J442" s="81" t="s">
        <v>11</v>
      </c>
      <c r="K442" s="81" t="s">
        <v>855</v>
      </c>
      <c r="L442" s="81" t="s">
        <v>129</v>
      </c>
      <c r="M442" s="164">
        <v>23.3</v>
      </c>
      <c r="N442" s="165"/>
      <c r="O442" s="163"/>
      <c r="P442" s="82">
        <v>81.23</v>
      </c>
      <c r="Q442" s="164">
        <v>0</v>
      </c>
      <c r="R442" s="163"/>
      <c r="S442" s="81" t="s">
        <v>346</v>
      </c>
      <c r="T442" s="82">
        <v>63</v>
      </c>
      <c r="U442" s="82">
        <v>0</v>
      </c>
      <c r="V442" s="82">
        <v>0</v>
      </c>
      <c r="W442" s="82">
        <v>0</v>
      </c>
      <c r="X442" s="81" t="s">
        <v>132</v>
      </c>
      <c r="Y442" s="82">
        <v>32</v>
      </c>
      <c r="Z442" s="81" t="s">
        <v>131</v>
      </c>
      <c r="AA442" s="81" t="s">
        <v>849</v>
      </c>
      <c r="AB442" s="81" t="s">
        <v>850</v>
      </c>
      <c r="AC442" s="83">
        <v>46108</v>
      </c>
    </row>
    <row r="443" spans="2:29" ht="34.5" x14ac:dyDescent="0.35">
      <c r="B443" s="81" t="s">
        <v>338</v>
      </c>
      <c r="C443" s="81" t="s">
        <v>339</v>
      </c>
      <c r="D443" s="81" t="s">
        <v>340</v>
      </c>
      <c r="E443" s="81" t="s">
        <v>711</v>
      </c>
      <c r="F443" s="162" t="s">
        <v>712</v>
      </c>
      <c r="G443" s="163"/>
      <c r="H443" s="81" t="s">
        <v>847</v>
      </c>
      <c r="I443" s="81" t="s">
        <v>344</v>
      </c>
      <c r="J443" s="81" t="s">
        <v>11</v>
      </c>
      <c r="K443" s="81" t="s">
        <v>856</v>
      </c>
      <c r="L443" s="81" t="s">
        <v>129</v>
      </c>
      <c r="M443" s="164">
        <v>22.5</v>
      </c>
      <c r="N443" s="165"/>
      <c r="O443" s="163"/>
      <c r="P443" s="82">
        <v>78.44</v>
      </c>
      <c r="Q443" s="164">
        <v>0</v>
      </c>
      <c r="R443" s="163"/>
      <c r="S443" s="81" t="s">
        <v>346</v>
      </c>
      <c r="T443" s="82">
        <v>63</v>
      </c>
      <c r="U443" s="82">
        <v>0</v>
      </c>
      <c r="V443" s="82">
        <v>0</v>
      </c>
      <c r="W443" s="82">
        <v>0</v>
      </c>
      <c r="X443" s="81"/>
      <c r="Y443" s="81"/>
      <c r="Z443" s="81" t="s">
        <v>131</v>
      </c>
      <c r="AA443" s="81" t="s">
        <v>849</v>
      </c>
      <c r="AB443" s="81" t="s">
        <v>850</v>
      </c>
      <c r="AC443" s="83">
        <v>46108</v>
      </c>
    </row>
    <row r="444" spans="2:29" ht="34.5" x14ac:dyDescent="0.35">
      <c r="B444" s="81" t="s">
        <v>338</v>
      </c>
      <c r="C444" s="81" t="s">
        <v>339</v>
      </c>
      <c r="D444" s="81" t="s">
        <v>340</v>
      </c>
      <c r="E444" s="81" t="s">
        <v>711</v>
      </c>
      <c r="F444" s="162" t="s">
        <v>712</v>
      </c>
      <c r="G444" s="163"/>
      <c r="H444" s="81" t="s">
        <v>847</v>
      </c>
      <c r="I444" s="81" t="s">
        <v>344</v>
      </c>
      <c r="J444" s="81" t="s">
        <v>11</v>
      </c>
      <c r="K444" s="81" t="s">
        <v>857</v>
      </c>
      <c r="L444" s="81" t="s">
        <v>129</v>
      </c>
      <c r="M444" s="164">
        <v>23.3</v>
      </c>
      <c r="N444" s="165"/>
      <c r="O444" s="163"/>
      <c r="P444" s="82">
        <v>81.23</v>
      </c>
      <c r="Q444" s="164">
        <v>0</v>
      </c>
      <c r="R444" s="163"/>
      <c r="S444" s="81" t="s">
        <v>346</v>
      </c>
      <c r="T444" s="82">
        <v>63</v>
      </c>
      <c r="U444" s="82">
        <v>0</v>
      </c>
      <c r="V444" s="82">
        <v>0</v>
      </c>
      <c r="W444" s="82">
        <v>0</v>
      </c>
      <c r="X444" s="81" t="s">
        <v>132</v>
      </c>
      <c r="Y444" s="82">
        <v>24</v>
      </c>
      <c r="Z444" s="81" t="s">
        <v>131</v>
      </c>
      <c r="AA444" s="81" t="s">
        <v>849</v>
      </c>
      <c r="AB444" s="81" t="s">
        <v>850</v>
      </c>
      <c r="AC444" s="83">
        <v>46108</v>
      </c>
    </row>
    <row r="445" spans="2:29" ht="34.5" x14ac:dyDescent="0.35">
      <c r="B445" s="81" t="s">
        <v>338</v>
      </c>
      <c r="C445" s="81" t="s">
        <v>339</v>
      </c>
      <c r="D445" s="81" t="s">
        <v>340</v>
      </c>
      <c r="E445" s="81" t="s">
        <v>711</v>
      </c>
      <c r="F445" s="162" t="s">
        <v>712</v>
      </c>
      <c r="G445" s="163"/>
      <c r="H445" s="81" t="s">
        <v>847</v>
      </c>
      <c r="I445" s="81" t="s">
        <v>344</v>
      </c>
      <c r="J445" s="81" t="s">
        <v>11</v>
      </c>
      <c r="K445" s="81" t="s">
        <v>858</v>
      </c>
      <c r="L445" s="81" t="s">
        <v>129</v>
      </c>
      <c r="M445" s="164">
        <v>11.8</v>
      </c>
      <c r="N445" s="165"/>
      <c r="O445" s="163"/>
      <c r="P445" s="82">
        <v>41.14</v>
      </c>
      <c r="Q445" s="164">
        <v>0</v>
      </c>
      <c r="R445" s="163"/>
      <c r="S445" s="81" t="s">
        <v>346</v>
      </c>
      <c r="T445" s="82">
        <v>63</v>
      </c>
      <c r="U445" s="82">
        <v>0</v>
      </c>
      <c r="V445" s="82">
        <v>0</v>
      </c>
      <c r="W445" s="82">
        <v>0</v>
      </c>
      <c r="X445" s="81" t="s">
        <v>132</v>
      </c>
      <c r="Y445" s="82">
        <v>12</v>
      </c>
      <c r="Z445" s="81" t="s">
        <v>131</v>
      </c>
      <c r="AA445" s="81" t="s">
        <v>849</v>
      </c>
      <c r="AB445" s="81" t="s">
        <v>850</v>
      </c>
      <c r="AC445" s="83">
        <v>46108</v>
      </c>
    </row>
    <row r="446" spans="2:29" ht="34.5" x14ac:dyDescent="0.35">
      <c r="B446" s="81" t="s">
        <v>338</v>
      </c>
      <c r="C446" s="81" t="s">
        <v>339</v>
      </c>
      <c r="D446" s="81" t="s">
        <v>340</v>
      </c>
      <c r="E446" s="81" t="s">
        <v>711</v>
      </c>
      <c r="F446" s="162" t="s">
        <v>712</v>
      </c>
      <c r="G446" s="163"/>
      <c r="H446" s="81" t="s">
        <v>847</v>
      </c>
      <c r="I446" s="81" t="s">
        <v>344</v>
      </c>
      <c r="J446" s="81" t="s">
        <v>11</v>
      </c>
      <c r="K446" s="81" t="s">
        <v>859</v>
      </c>
      <c r="L446" s="81" t="s">
        <v>129</v>
      </c>
      <c r="M446" s="164">
        <v>22.6</v>
      </c>
      <c r="N446" s="165"/>
      <c r="O446" s="163"/>
      <c r="P446" s="82">
        <v>78.790000000000006</v>
      </c>
      <c r="Q446" s="164">
        <v>0</v>
      </c>
      <c r="R446" s="163"/>
      <c r="S446" s="81" t="s">
        <v>346</v>
      </c>
      <c r="T446" s="82">
        <v>63</v>
      </c>
      <c r="U446" s="82">
        <v>0</v>
      </c>
      <c r="V446" s="82">
        <v>0</v>
      </c>
      <c r="W446" s="82">
        <v>0</v>
      </c>
      <c r="X446" s="81" t="s">
        <v>132</v>
      </c>
      <c r="Y446" s="82">
        <v>8</v>
      </c>
      <c r="Z446" s="81" t="s">
        <v>131</v>
      </c>
      <c r="AA446" s="81" t="s">
        <v>849</v>
      </c>
      <c r="AB446" s="81" t="s">
        <v>850</v>
      </c>
      <c r="AC446" s="83">
        <v>46108</v>
      </c>
    </row>
    <row r="447" spans="2:29" ht="34.5" x14ac:dyDescent="0.35">
      <c r="B447" s="81" t="s">
        <v>338</v>
      </c>
      <c r="C447" s="81" t="s">
        <v>339</v>
      </c>
      <c r="D447" s="81" t="s">
        <v>340</v>
      </c>
      <c r="E447" s="81" t="s">
        <v>711</v>
      </c>
      <c r="F447" s="162" t="s">
        <v>712</v>
      </c>
      <c r="G447" s="163"/>
      <c r="H447" s="81" t="s">
        <v>847</v>
      </c>
      <c r="I447" s="81" t="s">
        <v>344</v>
      </c>
      <c r="J447" s="81" t="s">
        <v>11</v>
      </c>
      <c r="K447" s="81" t="s">
        <v>860</v>
      </c>
      <c r="L447" s="81" t="s">
        <v>129</v>
      </c>
      <c r="M447" s="164">
        <v>16</v>
      </c>
      <c r="N447" s="165"/>
      <c r="O447" s="163"/>
      <c r="P447" s="82">
        <v>55.78</v>
      </c>
      <c r="Q447" s="164">
        <v>0</v>
      </c>
      <c r="R447" s="163"/>
      <c r="S447" s="81" t="s">
        <v>346</v>
      </c>
      <c r="T447" s="82">
        <v>63</v>
      </c>
      <c r="U447" s="82">
        <v>0</v>
      </c>
      <c r="V447" s="82">
        <v>0</v>
      </c>
      <c r="W447" s="82">
        <v>0</v>
      </c>
      <c r="X447" s="81" t="s">
        <v>132</v>
      </c>
      <c r="Y447" s="82">
        <v>8</v>
      </c>
      <c r="Z447" s="81" t="s">
        <v>131</v>
      </c>
      <c r="AA447" s="81" t="s">
        <v>849</v>
      </c>
      <c r="AB447" s="81" t="s">
        <v>850</v>
      </c>
      <c r="AC447" s="83">
        <v>46108</v>
      </c>
    </row>
    <row r="448" spans="2:29" ht="34.5" x14ac:dyDescent="0.35">
      <c r="B448" s="81" t="s">
        <v>338</v>
      </c>
      <c r="C448" s="81" t="s">
        <v>339</v>
      </c>
      <c r="D448" s="81" t="s">
        <v>340</v>
      </c>
      <c r="E448" s="81" t="s">
        <v>711</v>
      </c>
      <c r="F448" s="162" t="s">
        <v>712</v>
      </c>
      <c r="G448" s="163"/>
      <c r="H448" s="81" t="s">
        <v>847</v>
      </c>
      <c r="I448" s="81" t="s">
        <v>344</v>
      </c>
      <c r="J448" s="81" t="s">
        <v>11</v>
      </c>
      <c r="K448" s="81" t="s">
        <v>861</v>
      </c>
      <c r="L448" s="81" t="s">
        <v>129</v>
      </c>
      <c r="M448" s="164">
        <v>32.299999999999997</v>
      </c>
      <c r="N448" s="165"/>
      <c r="O448" s="163"/>
      <c r="P448" s="82">
        <v>112.61</v>
      </c>
      <c r="Q448" s="164">
        <v>0</v>
      </c>
      <c r="R448" s="163"/>
      <c r="S448" s="81" t="s">
        <v>346</v>
      </c>
      <c r="T448" s="82">
        <v>63</v>
      </c>
      <c r="U448" s="82">
        <v>0</v>
      </c>
      <c r="V448" s="82">
        <v>0</v>
      </c>
      <c r="W448" s="82">
        <v>0</v>
      </c>
      <c r="X448" s="81" t="s">
        <v>132</v>
      </c>
      <c r="Y448" s="82">
        <v>24</v>
      </c>
      <c r="Z448" s="81" t="s">
        <v>131</v>
      </c>
      <c r="AA448" s="81" t="s">
        <v>849</v>
      </c>
      <c r="AB448" s="81" t="s">
        <v>850</v>
      </c>
      <c r="AC448" s="83">
        <v>46108</v>
      </c>
    </row>
    <row r="449" spans="2:29" ht="34.5" x14ac:dyDescent="0.35">
      <c r="B449" s="81" t="s">
        <v>338</v>
      </c>
      <c r="C449" s="81" t="s">
        <v>339</v>
      </c>
      <c r="D449" s="81" t="s">
        <v>340</v>
      </c>
      <c r="E449" s="81" t="s">
        <v>711</v>
      </c>
      <c r="F449" s="162" t="s">
        <v>712</v>
      </c>
      <c r="G449" s="163"/>
      <c r="H449" s="81" t="s">
        <v>847</v>
      </c>
      <c r="I449" s="81" t="s">
        <v>344</v>
      </c>
      <c r="J449" s="81" t="s">
        <v>11</v>
      </c>
      <c r="K449" s="81" t="s">
        <v>862</v>
      </c>
      <c r="L449" s="81" t="s">
        <v>11</v>
      </c>
      <c r="M449" s="164">
        <v>23.1</v>
      </c>
      <c r="N449" s="165"/>
      <c r="O449" s="163"/>
      <c r="P449" s="82">
        <v>80.53</v>
      </c>
      <c r="Q449" s="164">
        <v>0</v>
      </c>
      <c r="R449" s="163"/>
      <c r="S449" s="81" t="s">
        <v>346</v>
      </c>
      <c r="T449" s="82">
        <v>63</v>
      </c>
      <c r="U449" s="82">
        <v>0</v>
      </c>
      <c r="V449" s="82">
        <v>0</v>
      </c>
      <c r="W449" s="82">
        <v>0</v>
      </c>
      <c r="X449" s="81" t="s">
        <v>132</v>
      </c>
      <c r="Y449" s="82">
        <v>45</v>
      </c>
      <c r="Z449" s="81" t="s">
        <v>131</v>
      </c>
      <c r="AA449" s="81" t="s">
        <v>849</v>
      </c>
      <c r="AB449" s="81" t="s">
        <v>850</v>
      </c>
      <c r="AC449" s="83">
        <v>46108</v>
      </c>
    </row>
    <row r="450" spans="2:29" ht="34.5" x14ac:dyDescent="0.35">
      <c r="B450" s="81" t="s">
        <v>338</v>
      </c>
      <c r="C450" s="81" t="s">
        <v>339</v>
      </c>
      <c r="D450" s="81" t="s">
        <v>340</v>
      </c>
      <c r="E450" s="81" t="s">
        <v>711</v>
      </c>
      <c r="F450" s="162" t="s">
        <v>712</v>
      </c>
      <c r="G450" s="163"/>
      <c r="H450" s="81" t="s">
        <v>847</v>
      </c>
      <c r="I450" s="81" t="s">
        <v>344</v>
      </c>
      <c r="J450" s="81" t="s">
        <v>11</v>
      </c>
      <c r="K450" s="81" t="s">
        <v>863</v>
      </c>
      <c r="L450" s="81" t="s">
        <v>129</v>
      </c>
      <c r="M450" s="164">
        <v>23</v>
      </c>
      <c r="N450" s="165"/>
      <c r="O450" s="163"/>
      <c r="P450" s="82">
        <v>80.19</v>
      </c>
      <c r="Q450" s="164">
        <v>0</v>
      </c>
      <c r="R450" s="163"/>
      <c r="S450" s="81" t="s">
        <v>346</v>
      </c>
      <c r="T450" s="82">
        <v>63</v>
      </c>
      <c r="U450" s="82">
        <v>0</v>
      </c>
      <c r="V450" s="82">
        <v>0</v>
      </c>
      <c r="W450" s="82">
        <v>0</v>
      </c>
      <c r="X450" s="81" t="s">
        <v>132</v>
      </c>
      <c r="Y450" s="82">
        <v>12</v>
      </c>
      <c r="Z450" s="81" t="s">
        <v>131</v>
      </c>
      <c r="AA450" s="81" t="s">
        <v>849</v>
      </c>
      <c r="AB450" s="81" t="s">
        <v>850</v>
      </c>
      <c r="AC450" s="83">
        <v>46108</v>
      </c>
    </row>
    <row r="451" spans="2:29" ht="34.5" x14ac:dyDescent="0.35">
      <c r="B451" s="81" t="s">
        <v>338</v>
      </c>
      <c r="C451" s="81" t="s">
        <v>339</v>
      </c>
      <c r="D451" s="81" t="s">
        <v>340</v>
      </c>
      <c r="E451" s="81" t="s">
        <v>711</v>
      </c>
      <c r="F451" s="162" t="s">
        <v>712</v>
      </c>
      <c r="G451" s="163"/>
      <c r="H451" s="81" t="s">
        <v>847</v>
      </c>
      <c r="I451" s="81" t="s">
        <v>344</v>
      </c>
      <c r="J451" s="81" t="s">
        <v>11</v>
      </c>
      <c r="K451" s="81" t="s">
        <v>864</v>
      </c>
      <c r="L451" s="81" t="s">
        <v>129</v>
      </c>
      <c r="M451" s="164">
        <v>20.3</v>
      </c>
      <c r="N451" s="165"/>
      <c r="O451" s="163"/>
      <c r="P451" s="82">
        <v>70.77</v>
      </c>
      <c r="Q451" s="164">
        <v>0</v>
      </c>
      <c r="R451" s="163"/>
      <c r="S451" s="81" t="s">
        <v>346</v>
      </c>
      <c r="T451" s="82">
        <v>63</v>
      </c>
      <c r="U451" s="82">
        <v>0</v>
      </c>
      <c r="V451" s="82">
        <v>0</v>
      </c>
      <c r="W451" s="82">
        <v>0</v>
      </c>
      <c r="X451" s="81" t="s">
        <v>143</v>
      </c>
      <c r="Y451" s="82">
        <v>4</v>
      </c>
      <c r="Z451" s="81" t="s">
        <v>131</v>
      </c>
      <c r="AA451" s="81" t="s">
        <v>849</v>
      </c>
      <c r="AB451" s="81" t="s">
        <v>850</v>
      </c>
      <c r="AC451" s="83">
        <v>46108</v>
      </c>
    </row>
    <row r="452" spans="2:29" ht="34.5" x14ac:dyDescent="0.35">
      <c r="B452" s="81" t="s">
        <v>338</v>
      </c>
      <c r="C452" s="81" t="s">
        <v>339</v>
      </c>
      <c r="D452" s="81" t="s">
        <v>340</v>
      </c>
      <c r="E452" s="81" t="s">
        <v>711</v>
      </c>
      <c r="F452" s="162" t="s">
        <v>712</v>
      </c>
      <c r="G452" s="163"/>
      <c r="H452" s="81" t="s">
        <v>847</v>
      </c>
      <c r="I452" s="81" t="s">
        <v>344</v>
      </c>
      <c r="J452" s="81" t="s">
        <v>11</v>
      </c>
      <c r="K452" s="81" t="s">
        <v>865</v>
      </c>
      <c r="L452" s="81" t="s">
        <v>129</v>
      </c>
      <c r="M452" s="164">
        <v>21.7</v>
      </c>
      <c r="N452" s="165"/>
      <c r="O452" s="163"/>
      <c r="P452" s="82">
        <v>75.650000000000006</v>
      </c>
      <c r="Q452" s="164">
        <v>0</v>
      </c>
      <c r="R452" s="163"/>
      <c r="S452" s="81" t="s">
        <v>346</v>
      </c>
      <c r="T452" s="82">
        <v>63</v>
      </c>
      <c r="U452" s="82">
        <v>0</v>
      </c>
      <c r="V452" s="82">
        <v>0</v>
      </c>
      <c r="W452" s="82">
        <v>0</v>
      </c>
      <c r="X452" s="81" t="s">
        <v>134</v>
      </c>
      <c r="Y452" s="82">
        <v>4</v>
      </c>
      <c r="Z452" s="81" t="s">
        <v>131</v>
      </c>
      <c r="AA452" s="81" t="s">
        <v>849</v>
      </c>
      <c r="AB452" s="81" t="s">
        <v>850</v>
      </c>
      <c r="AC452" s="83">
        <v>46108</v>
      </c>
    </row>
    <row r="453" spans="2:29" ht="34.5" x14ac:dyDescent="0.35">
      <c r="B453" s="81" t="s">
        <v>338</v>
      </c>
      <c r="C453" s="81" t="s">
        <v>339</v>
      </c>
      <c r="D453" s="81" t="s">
        <v>340</v>
      </c>
      <c r="E453" s="81" t="s">
        <v>711</v>
      </c>
      <c r="F453" s="162" t="s">
        <v>712</v>
      </c>
      <c r="G453" s="163"/>
      <c r="H453" s="81" t="s">
        <v>847</v>
      </c>
      <c r="I453" s="81" t="s">
        <v>344</v>
      </c>
      <c r="J453" s="81" t="s">
        <v>11</v>
      </c>
      <c r="K453" s="81" t="s">
        <v>866</v>
      </c>
      <c r="L453" s="81" t="s">
        <v>129</v>
      </c>
      <c r="M453" s="164">
        <v>22.5</v>
      </c>
      <c r="N453" s="165"/>
      <c r="O453" s="163"/>
      <c r="P453" s="82">
        <v>78.44</v>
      </c>
      <c r="Q453" s="164">
        <v>0</v>
      </c>
      <c r="R453" s="163"/>
      <c r="S453" s="81" t="s">
        <v>346</v>
      </c>
      <c r="T453" s="82">
        <v>63</v>
      </c>
      <c r="U453" s="82">
        <v>0</v>
      </c>
      <c r="V453" s="82">
        <v>0</v>
      </c>
      <c r="W453" s="82">
        <v>0</v>
      </c>
      <c r="X453" s="81" t="s">
        <v>134</v>
      </c>
      <c r="Y453" s="82">
        <v>3</v>
      </c>
      <c r="Z453" s="81" t="s">
        <v>131</v>
      </c>
      <c r="AA453" s="81" t="s">
        <v>849</v>
      </c>
      <c r="AB453" s="81" t="s">
        <v>850</v>
      </c>
      <c r="AC453" s="83">
        <v>46108</v>
      </c>
    </row>
    <row r="454" spans="2:29" ht="34.5" x14ac:dyDescent="0.35">
      <c r="B454" s="81" t="s">
        <v>338</v>
      </c>
      <c r="C454" s="81" t="s">
        <v>339</v>
      </c>
      <c r="D454" s="81" t="s">
        <v>340</v>
      </c>
      <c r="E454" s="81" t="s">
        <v>711</v>
      </c>
      <c r="F454" s="162" t="s">
        <v>712</v>
      </c>
      <c r="G454" s="163"/>
      <c r="H454" s="81" t="s">
        <v>847</v>
      </c>
      <c r="I454" s="81" t="s">
        <v>344</v>
      </c>
      <c r="J454" s="81" t="s">
        <v>11</v>
      </c>
      <c r="K454" s="81" t="s">
        <v>867</v>
      </c>
      <c r="L454" s="81" t="s">
        <v>129</v>
      </c>
      <c r="M454" s="164">
        <v>22.8</v>
      </c>
      <c r="N454" s="165"/>
      <c r="O454" s="163"/>
      <c r="P454" s="82">
        <v>79.489999999999995</v>
      </c>
      <c r="Q454" s="164">
        <v>0</v>
      </c>
      <c r="R454" s="163"/>
      <c r="S454" s="81" t="s">
        <v>346</v>
      </c>
      <c r="T454" s="82">
        <v>63</v>
      </c>
      <c r="U454" s="82">
        <v>0</v>
      </c>
      <c r="V454" s="82">
        <v>0</v>
      </c>
      <c r="W454" s="82">
        <v>0</v>
      </c>
      <c r="X454" s="81" t="s">
        <v>132</v>
      </c>
      <c r="Y454" s="82">
        <v>8</v>
      </c>
      <c r="Z454" s="81" t="s">
        <v>131</v>
      </c>
      <c r="AA454" s="81" t="s">
        <v>849</v>
      </c>
      <c r="AB454" s="81" t="s">
        <v>850</v>
      </c>
      <c r="AC454" s="83">
        <v>46108</v>
      </c>
    </row>
    <row r="455" spans="2:29" ht="34.5" x14ac:dyDescent="0.35">
      <c r="B455" s="81" t="s">
        <v>338</v>
      </c>
      <c r="C455" s="81" t="s">
        <v>339</v>
      </c>
      <c r="D455" s="81" t="s">
        <v>340</v>
      </c>
      <c r="E455" s="81" t="s">
        <v>711</v>
      </c>
      <c r="F455" s="162" t="s">
        <v>712</v>
      </c>
      <c r="G455" s="163"/>
      <c r="H455" s="81" t="s">
        <v>847</v>
      </c>
      <c r="I455" s="81" t="s">
        <v>344</v>
      </c>
      <c r="J455" s="81" t="s">
        <v>11</v>
      </c>
      <c r="K455" s="81" t="s">
        <v>868</v>
      </c>
      <c r="L455" s="81" t="s">
        <v>129</v>
      </c>
      <c r="M455" s="164">
        <v>21.7</v>
      </c>
      <c r="N455" s="165"/>
      <c r="O455" s="163"/>
      <c r="P455" s="82">
        <v>75.650000000000006</v>
      </c>
      <c r="Q455" s="164">
        <v>0</v>
      </c>
      <c r="R455" s="163"/>
      <c r="S455" s="81" t="s">
        <v>346</v>
      </c>
      <c r="T455" s="82">
        <v>63</v>
      </c>
      <c r="U455" s="82">
        <v>0</v>
      </c>
      <c r="V455" s="82">
        <v>0</v>
      </c>
      <c r="W455" s="82">
        <v>0</v>
      </c>
      <c r="X455" s="81" t="s">
        <v>143</v>
      </c>
      <c r="Y455" s="82">
        <v>8</v>
      </c>
      <c r="Z455" s="81" t="s">
        <v>131</v>
      </c>
      <c r="AA455" s="81" t="s">
        <v>849</v>
      </c>
      <c r="AB455" s="81" t="s">
        <v>850</v>
      </c>
      <c r="AC455" s="83">
        <v>46108</v>
      </c>
    </row>
    <row r="456" spans="2:29" ht="34.5" x14ac:dyDescent="0.35">
      <c r="B456" s="81" t="s">
        <v>338</v>
      </c>
      <c r="C456" s="81" t="s">
        <v>339</v>
      </c>
      <c r="D456" s="81" t="s">
        <v>340</v>
      </c>
      <c r="E456" s="81" t="s">
        <v>711</v>
      </c>
      <c r="F456" s="162" t="s">
        <v>712</v>
      </c>
      <c r="G456" s="163"/>
      <c r="H456" s="81" t="s">
        <v>847</v>
      </c>
      <c r="I456" s="81" t="s">
        <v>344</v>
      </c>
      <c r="J456" s="81" t="s">
        <v>11</v>
      </c>
      <c r="K456" s="81" t="s">
        <v>869</v>
      </c>
      <c r="L456" s="81" t="s">
        <v>129</v>
      </c>
      <c r="M456" s="164">
        <v>22.5</v>
      </c>
      <c r="N456" s="165"/>
      <c r="O456" s="163"/>
      <c r="P456" s="82">
        <v>78.44</v>
      </c>
      <c r="Q456" s="164">
        <v>0</v>
      </c>
      <c r="R456" s="163"/>
      <c r="S456" s="81" t="s">
        <v>346</v>
      </c>
      <c r="T456" s="82">
        <v>63</v>
      </c>
      <c r="U456" s="82">
        <v>0</v>
      </c>
      <c r="V456" s="82">
        <v>0</v>
      </c>
      <c r="W456" s="82">
        <v>0</v>
      </c>
      <c r="X456" s="81" t="s">
        <v>132</v>
      </c>
      <c r="Y456" s="82">
        <v>16</v>
      </c>
      <c r="Z456" s="81" t="s">
        <v>131</v>
      </c>
      <c r="AA456" s="81" t="s">
        <v>849</v>
      </c>
      <c r="AB456" s="81" t="s">
        <v>850</v>
      </c>
      <c r="AC456" s="83">
        <v>46108</v>
      </c>
    </row>
    <row r="457" spans="2:29" ht="34.5" x14ac:dyDescent="0.35">
      <c r="B457" s="81" t="s">
        <v>338</v>
      </c>
      <c r="C457" s="81" t="s">
        <v>339</v>
      </c>
      <c r="D457" s="81" t="s">
        <v>340</v>
      </c>
      <c r="E457" s="81" t="s">
        <v>711</v>
      </c>
      <c r="F457" s="162" t="s">
        <v>712</v>
      </c>
      <c r="G457" s="163"/>
      <c r="H457" s="81" t="s">
        <v>847</v>
      </c>
      <c r="I457" s="81" t="s">
        <v>344</v>
      </c>
      <c r="J457" s="81" t="s">
        <v>11</v>
      </c>
      <c r="K457" s="81" t="s">
        <v>870</v>
      </c>
      <c r="L457" s="81" t="s">
        <v>129</v>
      </c>
      <c r="M457" s="164">
        <v>22.7</v>
      </c>
      <c r="N457" s="165"/>
      <c r="O457" s="163"/>
      <c r="P457" s="82">
        <v>79.14</v>
      </c>
      <c r="Q457" s="164">
        <v>0</v>
      </c>
      <c r="R457" s="163"/>
      <c r="S457" s="81" t="s">
        <v>346</v>
      </c>
      <c r="T457" s="82">
        <v>63</v>
      </c>
      <c r="U457" s="82">
        <v>0</v>
      </c>
      <c r="V457" s="82">
        <v>0</v>
      </c>
      <c r="W457" s="82">
        <v>0</v>
      </c>
      <c r="X457" s="81" t="s">
        <v>132</v>
      </c>
      <c r="Y457" s="82">
        <v>20</v>
      </c>
      <c r="Z457" s="81" t="s">
        <v>131</v>
      </c>
      <c r="AA457" s="81" t="s">
        <v>849</v>
      </c>
      <c r="AB457" s="81" t="s">
        <v>850</v>
      </c>
      <c r="AC457" s="83">
        <v>46108</v>
      </c>
    </row>
    <row r="458" spans="2:29" ht="34.5" x14ac:dyDescent="0.35">
      <c r="B458" s="81" t="s">
        <v>338</v>
      </c>
      <c r="C458" s="81" t="s">
        <v>339</v>
      </c>
      <c r="D458" s="81" t="s">
        <v>340</v>
      </c>
      <c r="E458" s="81" t="s">
        <v>711</v>
      </c>
      <c r="F458" s="162" t="s">
        <v>712</v>
      </c>
      <c r="G458" s="163"/>
      <c r="H458" s="81" t="s">
        <v>847</v>
      </c>
      <c r="I458" s="81" t="s">
        <v>344</v>
      </c>
      <c r="J458" s="81" t="s">
        <v>11</v>
      </c>
      <c r="K458" s="81" t="s">
        <v>871</v>
      </c>
      <c r="L458" s="81" t="s">
        <v>129</v>
      </c>
      <c r="M458" s="164">
        <v>22.1</v>
      </c>
      <c r="N458" s="165"/>
      <c r="O458" s="163"/>
      <c r="P458" s="82">
        <v>77.05</v>
      </c>
      <c r="Q458" s="164">
        <v>0</v>
      </c>
      <c r="R458" s="163"/>
      <c r="S458" s="81" t="s">
        <v>346</v>
      </c>
      <c r="T458" s="82">
        <v>63</v>
      </c>
      <c r="U458" s="82">
        <v>0</v>
      </c>
      <c r="V458" s="82">
        <v>0</v>
      </c>
      <c r="W458" s="82">
        <v>0</v>
      </c>
      <c r="X458" s="81" t="s">
        <v>132</v>
      </c>
      <c r="Y458" s="82">
        <v>8</v>
      </c>
      <c r="Z458" s="81" t="s">
        <v>131</v>
      </c>
      <c r="AA458" s="81" t="s">
        <v>849</v>
      </c>
      <c r="AB458" s="81" t="s">
        <v>850</v>
      </c>
      <c r="AC458" s="83">
        <v>46108</v>
      </c>
    </row>
    <row r="459" spans="2:29" ht="34.5" x14ac:dyDescent="0.35">
      <c r="B459" s="81" t="s">
        <v>338</v>
      </c>
      <c r="C459" s="81" t="s">
        <v>339</v>
      </c>
      <c r="D459" s="81" t="s">
        <v>340</v>
      </c>
      <c r="E459" s="81" t="s">
        <v>711</v>
      </c>
      <c r="F459" s="162" t="s">
        <v>712</v>
      </c>
      <c r="G459" s="163"/>
      <c r="H459" s="81" t="s">
        <v>847</v>
      </c>
      <c r="I459" s="81" t="s">
        <v>344</v>
      </c>
      <c r="J459" s="81" t="s">
        <v>11</v>
      </c>
      <c r="K459" s="81" t="s">
        <v>872</v>
      </c>
      <c r="L459" s="81" t="s">
        <v>129</v>
      </c>
      <c r="M459" s="164">
        <v>16.100000000000001</v>
      </c>
      <c r="N459" s="165"/>
      <c r="O459" s="163"/>
      <c r="P459" s="82">
        <v>56.13</v>
      </c>
      <c r="Q459" s="164">
        <v>0</v>
      </c>
      <c r="R459" s="163"/>
      <c r="S459" s="81" t="s">
        <v>346</v>
      </c>
      <c r="T459" s="82">
        <v>63</v>
      </c>
      <c r="U459" s="82">
        <v>0</v>
      </c>
      <c r="V459" s="82">
        <v>0</v>
      </c>
      <c r="W459" s="82">
        <v>0</v>
      </c>
      <c r="X459" s="81" t="s">
        <v>132</v>
      </c>
      <c r="Y459" s="82">
        <v>24</v>
      </c>
      <c r="Z459" s="81" t="s">
        <v>131</v>
      </c>
      <c r="AA459" s="81" t="s">
        <v>849</v>
      </c>
      <c r="AB459" s="81" t="s">
        <v>850</v>
      </c>
      <c r="AC459" s="83">
        <v>46108</v>
      </c>
    </row>
    <row r="460" spans="2:29" ht="34.5" x14ac:dyDescent="0.35">
      <c r="B460" s="81" t="s">
        <v>338</v>
      </c>
      <c r="C460" s="81" t="s">
        <v>339</v>
      </c>
      <c r="D460" s="81" t="s">
        <v>340</v>
      </c>
      <c r="E460" s="81" t="s">
        <v>711</v>
      </c>
      <c r="F460" s="162" t="s">
        <v>712</v>
      </c>
      <c r="G460" s="163"/>
      <c r="H460" s="81" t="s">
        <v>847</v>
      </c>
      <c r="I460" s="81" t="s">
        <v>344</v>
      </c>
      <c r="J460" s="81" t="s">
        <v>11</v>
      </c>
      <c r="K460" s="81" t="s">
        <v>873</v>
      </c>
      <c r="L460" s="81" t="s">
        <v>129</v>
      </c>
      <c r="M460" s="164">
        <v>26</v>
      </c>
      <c r="N460" s="165"/>
      <c r="O460" s="163"/>
      <c r="P460" s="82">
        <v>90.64</v>
      </c>
      <c r="Q460" s="164">
        <v>0</v>
      </c>
      <c r="R460" s="163"/>
      <c r="S460" s="81" t="s">
        <v>346</v>
      </c>
      <c r="T460" s="82">
        <v>63</v>
      </c>
      <c r="U460" s="82">
        <v>0</v>
      </c>
      <c r="V460" s="82">
        <v>0</v>
      </c>
      <c r="W460" s="82">
        <v>0</v>
      </c>
      <c r="X460" s="81" t="s">
        <v>132</v>
      </c>
      <c r="Y460" s="82">
        <v>20</v>
      </c>
      <c r="Z460" s="81" t="s">
        <v>131</v>
      </c>
      <c r="AA460" s="81" t="s">
        <v>849</v>
      </c>
      <c r="AB460" s="81" t="s">
        <v>850</v>
      </c>
      <c r="AC460" s="83">
        <v>46108</v>
      </c>
    </row>
    <row r="461" spans="2:29" ht="34.5" x14ac:dyDescent="0.35">
      <c r="B461" s="81" t="s">
        <v>338</v>
      </c>
      <c r="C461" s="81" t="s">
        <v>339</v>
      </c>
      <c r="D461" s="81" t="s">
        <v>340</v>
      </c>
      <c r="E461" s="81" t="s">
        <v>711</v>
      </c>
      <c r="F461" s="162" t="s">
        <v>712</v>
      </c>
      <c r="G461" s="163"/>
      <c r="H461" s="81" t="s">
        <v>847</v>
      </c>
      <c r="I461" s="81" t="s">
        <v>344</v>
      </c>
      <c r="J461" s="81" t="s">
        <v>11</v>
      </c>
      <c r="K461" s="81" t="s">
        <v>874</v>
      </c>
      <c r="L461" s="81" t="s">
        <v>11</v>
      </c>
      <c r="M461" s="164">
        <v>14.2</v>
      </c>
      <c r="N461" s="165"/>
      <c r="O461" s="163"/>
      <c r="P461" s="82">
        <v>49.51</v>
      </c>
      <c r="Q461" s="164">
        <v>0</v>
      </c>
      <c r="R461" s="163"/>
      <c r="S461" s="81" t="s">
        <v>346</v>
      </c>
      <c r="T461" s="82">
        <v>63</v>
      </c>
      <c r="U461" s="82">
        <v>0</v>
      </c>
      <c r="V461" s="82">
        <v>0</v>
      </c>
      <c r="W461" s="82">
        <v>0</v>
      </c>
      <c r="X461" s="81" t="s">
        <v>132</v>
      </c>
      <c r="Y461" s="82">
        <v>32</v>
      </c>
      <c r="Z461" s="81" t="s">
        <v>131</v>
      </c>
      <c r="AA461" s="81" t="s">
        <v>849</v>
      </c>
      <c r="AB461" s="81" t="s">
        <v>850</v>
      </c>
      <c r="AC461" s="83">
        <v>46108</v>
      </c>
    </row>
    <row r="462" spans="2:29" ht="34.5" x14ac:dyDescent="0.35">
      <c r="B462" s="81" t="s">
        <v>338</v>
      </c>
      <c r="C462" s="81" t="s">
        <v>339</v>
      </c>
      <c r="D462" s="81" t="s">
        <v>340</v>
      </c>
      <c r="E462" s="81" t="s">
        <v>711</v>
      </c>
      <c r="F462" s="162" t="s">
        <v>712</v>
      </c>
      <c r="G462" s="163"/>
      <c r="H462" s="81" t="s">
        <v>847</v>
      </c>
      <c r="I462" s="81" t="s">
        <v>344</v>
      </c>
      <c r="J462" s="81" t="s">
        <v>11</v>
      </c>
      <c r="K462" s="81" t="s">
        <v>875</v>
      </c>
      <c r="L462" s="81" t="s">
        <v>129</v>
      </c>
      <c r="M462" s="164">
        <v>22.9</v>
      </c>
      <c r="N462" s="165"/>
      <c r="O462" s="163"/>
      <c r="P462" s="82">
        <v>79.84</v>
      </c>
      <c r="Q462" s="164">
        <v>0</v>
      </c>
      <c r="R462" s="163"/>
      <c r="S462" s="81" t="s">
        <v>346</v>
      </c>
      <c r="T462" s="82">
        <v>63</v>
      </c>
      <c r="U462" s="82">
        <v>0</v>
      </c>
      <c r="V462" s="82">
        <v>0</v>
      </c>
      <c r="W462" s="82">
        <v>0</v>
      </c>
      <c r="X462" s="81" t="s">
        <v>132</v>
      </c>
      <c r="Y462" s="82">
        <v>12</v>
      </c>
      <c r="Z462" s="81" t="s">
        <v>131</v>
      </c>
      <c r="AA462" s="81" t="s">
        <v>849</v>
      </c>
      <c r="AB462" s="81" t="s">
        <v>850</v>
      </c>
      <c r="AC462" s="83">
        <v>46108</v>
      </c>
    </row>
    <row r="463" spans="2:29" ht="34.5" x14ac:dyDescent="0.35">
      <c r="B463" s="81" t="s">
        <v>338</v>
      </c>
      <c r="C463" s="81" t="s">
        <v>339</v>
      </c>
      <c r="D463" s="81" t="s">
        <v>340</v>
      </c>
      <c r="E463" s="81" t="s">
        <v>711</v>
      </c>
      <c r="F463" s="162" t="s">
        <v>712</v>
      </c>
      <c r="G463" s="163"/>
      <c r="H463" s="81" t="s">
        <v>847</v>
      </c>
      <c r="I463" s="81" t="s">
        <v>344</v>
      </c>
      <c r="J463" s="81" t="s">
        <v>11</v>
      </c>
      <c r="K463" s="81" t="s">
        <v>876</v>
      </c>
      <c r="L463" s="81" t="s">
        <v>129</v>
      </c>
      <c r="M463" s="164">
        <v>22.7</v>
      </c>
      <c r="N463" s="165"/>
      <c r="O463" s="163"/>
      <c r="P463" s="82">
        <v>79.14</v>
      </c>
      <c r="Q463" s="164">
        <v>0</v>
      </c>
      <c r="R463" s="163"/>
      <c r="S463" s="81" t="s">
        <v>346</v>
      </c>
      <c r="T463" s="82">
        <v>63</v>
      </c>
      <c r="U463" s="82">
        <v>0</v>
      </c>
      <c r="V463" s="82">
        <v>0</v>
      </c>
      <c r="W463" s="82">
        <v>0</v>
      </c>
      <c r="X463" s="81" t="s">
        <v>132</v>
      </c>
      <c r="Y463" s="82">
        <v>8</v>
      </c>
      <c r="Z463" s="81" t="s">
        <v>131</v>
      </c>
      <c r="AA463" s="81" t="s">
        <v>849</v>
      </c>
      <c r="AB463" s="81" t="s">
        <v>850</v>
      </c>
      <c r="AC463" s="83">
        <v>46108</v>
      </c>
    </row>
    <row r="464" spans="2:29" ht="34.5" x14ac:dyDescent="0.35">
      <c r="B464" s="81" t="s">
        <v>338</v>
      </c>
      <c r="C464" s="81" t="s">
        <v>339</v>
      </c>
      <c r="D464" s="81" t="s">
        <v>340</v>
      </c>
      <c r="E464" s="81" t="s">
        <v>711</v>
      </c>
      <c r="F464" s="162" t="s">
        <v>712</v>
      </c>
      <c r="G464" s="163"/>
      <c r="H464" s="81" t="s">
        <v>847</v>
      </c>
      <c r="I464" s="81" t="s">
        <v>344</v>
      </c>
      <c r="J464" s="81" t="s">
        <v>11</v>
      </c>
      <c r="K464" s="81" t="s">
        <v>877</v>
      </c>
      <c r="L464" s="81" t="s">
        <v>129</v>
      </c>
      <c r="M464" s="164">
        <v>22.6</v>
      </c>
      <c r="N464" s="165"/>
      <c r="O464" s="163"/>
      <c r="P464" s="82">
        <v>78.790000000000006</v>
      </c>
      <c r="Q464" s="164">
        <v>0</v>
      </c>
      <c r="R464" s="163"/>
      <c r="S464" s="81" t="s">
        <v>346</v>
      </c>
      <c r="T464" s="82">
        <v>63</v>
      </c>
      <c r="U464" s="82">
        <v>0</v>
      </c>
      <c r="V464" s="82">
        <v>0</v>
      </c>
      <c r="W464" s="82">
        <v>0</v>
      </c>
      <c r="X464" s="81" t="s">
        <v>132</v>
      </c>
      <c r="Y464" s="82">
        <v>24</v>
      </c>
      <c r="Z464" s="81" t="s">
        <v>131</v>
      </c>
      <c r="AA464" s="81" t="s">
        <v>849</v>
      </c>
      <c r="AB464" s="81" t="s">
        <v>850</v>
      </c>
      <c r="AC464" s="83">
        <v>46108</v>
      </c>
    </row>
    <row r="465" spans="2:29" ht="34.5" x14ac:dyDescent="0.35">
      <c r="B465" s="81" t="s">
        <v>338</v>
      </c>
      <c r="C465" s="81" t="s">
        <v>339</v>
      </c>
      <c r="D465" s="81" t="s">
        <v>340</v>
      </c>
      <c r="E465" s="81" t="s">
        <v>711</v>
      </c>
      <c r="F465" s="162" t="s">
        <v>712</v>
      </c>
      <c r="G465" s="163"/>
      <c r="H465" s="81" t="s">
        <v>847</v>
      </c>
      <c r="I465" s="81" t="s">
        <v>344</v>
      </c>
      <c r="J465" s="81" t="s">
        <v>11</v>
      </c>
      <c r="K465" s="81" t="s">
        <v>878</v>
      </c>
      <c r="L465" s="81" t="s">
        <v>129</v>
      </c>
      <c r="M465" s="164">
        <v>22.7</v>
      </c>
      <c r="N465" s="165"/>
      <c r="O465" s="163"/>
      <c r="P465" s="82">
        <v>79.14</v>
      </c>
      <c r="Q465" s="164">
        <v>0</v>
      </c>
      <c r="R465" s="163"/>
      <c r="S465" s="81" t="s">
        <v>346</v>
      </c>
      <c r="T465" s="82">
        <v>63</v>
      </c>
      <c r="U465" s="82">
        <v>0</v>
      </c>
      <c r="V465" s="82">
        <v>0</v>
      </c>
      <c r="W465" s="82">
        <v>0</v>
      </c>
      <c r="X465" s="81" t="s">
        <v>132</v>
      </c>
      <c r="Y465" s="82">
        <v>20</v>
      </c>
      <c r="Z465" s="81" t="s">
        <v>131</v>
      </c>
      <c r="AA465" s="81" t="s">
        <v>849</v>
      </c>
      <c r="AB465" s="81" t="s">
        <v>850</v>
      </c>
      <c r="AC465" s="83">
        <v>46108</v>
      </c>
    </row>
    <row r="466" spans="2:29" ht="34.5" x14ac:dyDescent="0.35">
      <c r="B466" s="81" t="s">
        <v>338</v>
      </c>
      <c r="C466" s="81" t="s">
        <v>339</v>
      </c>
      <c r="D466" s="81" t="s">
        <v>340</v>
      </c>
      <c r="E466" s="81" t="s">
        <v>711</v>
      </c>
      <c r="F466" s="162" t="s">
        <v>712</v>
      </c>
      <c r="G466" s="163"/>
      <c r="H466" s="81" t="s">
        <v>847</v>
      </c>
      <c r="I466" s="81" t="s">
        <v>344</v>
      </c>
      <c r="J466" s="81" t="s">
        <v>11</v>
      </c>
      <c r="K466" s="81" t="s">
        <v>879</v>
      </c>
      <c r="L466" s="81" t="s">
        <v>129</v>
      </c>
      <c r="M466" s="164">
        <v>22.8</v>
      </c>
      <c r="N466" s="165"/>
      <c r="O466" s="163"/>
      <c r="P466" s="82">
        <v>79.489999999999995</v>
      </c>
      <c r="Q466" s="164">
        <v>0</v>
      </c>
      <c r="R466" s="163"/>
      <c r="S466" s="81" t="s">
        <v>346</v>
      </c>
      <c r="T466" s="82">
        <v>63</v>
      </c>
      <c r="U466" s="82">
        <v>0</v>
      </c>
      <c r="V466" s="82">
        <v>0</v>
      </c>
      <c r="W466" s="82">
        <v>0</v>
      </c>
      <c r="X466" s="81" t="s">
        <v>132</v>
      </c>
      <c r="Y466" s="82">
        <v>8</v>
      </c>
      <c r="Z466" s="81" t="s">
        <v>131</v>
      </c>
      <c r="AA466" s="81" t="s">
        <v>849</v>
      </c>
      <c r="AB466" s="81" t="s">
        <v>850</v>
      </c>
      <c r="AC466" s="83">
        <v>46108</v>
      </c>
    </row>
    <row r="467" spans="2:29" ht="34.5" x14ac:dyDescent="0.35">
      <c r="B467" s="81" t="s">
        <v>338</v>
      </c>
      <c r="C467" s="81" t="s">
        <v>339</v>
      </c>
      <c r="D467" s="81" t="s">
        <v>340</v>
      </c>
      <c r="E467" s="81" t="s">
        <v>711</v>
      </c>
      <c r="F467" s="162" t="s">
        <v>712</v>
      </c>
      <c r="G467" s="163"/>
      <c r="H467" s="81" t="s">
        <v>847</v>
      </c>
      <c r="I467" s="81" t="s">
        <v>344</v>
      </c>
      <c r="J467" s="81" t="s">
        <v>11</v>
      </c>
      <c r="K467" s="81" t="s">
        <v>880</v>
      </c>
      <c r="L467" s="81" t="s">
        <v>129</v>
      </c>
      <c r="M467" s="164">
        <v>19</v>
      </c>
      <c r="N467" s="165"/>
      <c r="O467" s="163"/>
      <c r="P467" s="82">
        <v>66.239999999999995</v>
      </c>
      <c r="Q467" s="164">
        <v>0</v>
      </c>
      <c r="R467" s="163"/>
      <c r="S467" s="81" t="s">
        <v>346</v>
      </c>
      <c r="T467" s="82">
        <v>63</v>
      </c>
      <c r="U467" s="82">
        <v>0</v>
      </c>
      <c r="V467" s="82">
        <v>0</v>
      </c>
      <c r="W467" s="82">
        <v>0</v>
      </c>
      <c r="X467" s="81" t="s">
        <v>134</v>
      </c>
      <c r="Y467" s="82">
        <v>3</v>
      </c>
      <c r="Z467" s="81" t="s">
        <v>131</v>
      </c>
      <c r="AA467" s="81" t="s">
        <v>849</v>
      </c>
      <c r="AB467" s="81" t="s">
        <v>850</v>
      </c>
      <c r="AC467" s="83">
        <v>46108</v>
      </c>
    </row>
    <row r="468" spans="2:29" ht="34.5" x14ac:dyDescent="0.35">
      <c r="B468" s="81" t="s">
        <v>338</v>
      </c>
      <c r="C468" s="81" t="s">
        <v>339</v>
      </c>
      <c r="D468" s="81" t="s">
        <v>340</v>
      </c>
      <c r="E468" s="81" t="s">
        <v>711</v>
      </c>
      <c r="F468" s="162" t="s">
        <v>712</v>
      </c>
      <c r="G468" s="163"/>
      <c r="H468" s="81" t="s">
        <v>847</v>
      </c>
      <c r="I468" s="81" t="s">
        <v>344</v>
      </c>
      <c r="J468" s="81" t="s">
        <v>11</v>
      </c>
      <c r="K468" s="81" t="s">
        <v>881</v>
      </c>
      <c r="L468" s="81" t="s">
        <v>129</v>
      </c>
      <c r="M468" s="164">
        <v>23.2</v>
      </c>
      <c r="N468" s="165"/>
      <c r="O468" s="163"/>
      <c r="P468" s="82">
        <v>80.88</v>
      </c>
      <c r="Q468" s="164">
        <v>0</v>
      </c>
      <c r="R468" s="163"/>
      <c r="S468" s="81" t="s">
        <v>346</v>
      </c>
      <c r="T468" s="82">
        <v>63</v>
      </c>
      <c r="U468" s="82">
        <v>0</v>
      </c>
      <c r="V468" s="82">
        <v>0</v>
      </c>
      <c r="W468" s="82">
        <v>0</v>
      </c>
      <c r="X468" s="81" t="s">
        <v>134</v>
      </c>
      <c r="Y468" s="82">
        <v>3</v>
      </c>
      <c r="Z468" s="81" t="s">
        <v>131</v>
      </c>
      <c r="AA468" s="81" t="s">
        <v>849</v>
      </c>
      <c r="AB468" s="81" t="s">
        <v>850</v>
      </c>
      <c r="AC468" s="83">
        <v>46108</v>
      </c>
    </row>
    <row r="469" spans="2:29" ht="34.5" x14ac:dyDescent="0.35">
      <c r="B469" s="81" t="s">
        <v>338</v>
      </c>
      <c r="C469" s="81" t="s">
        <v>339</v>
      </c>
      <c r="D469" s="81" t="s">
        <v>340</v>
      </c>
      <c r="E469" s="81" t="s">
        <v>711</v>
      </c>
      <c r="F469" s="162" t="s">
        <v>712</v>
      </c>
      <c r="G469" s="163"/>
      <c r="H469" s="81" t="s">
        <v>847</v>
      </c>
      <c r="I469" s="81" t="s">
        <v>344</v>
      </c>
      <c r="J469" s="81" t="s">
        <v>11</v>
      </c>
      <c r="K469" s="81" t="s">
        <v>882</v>
      </c>
      <c r="L469" s="81" t="s">
        <v>129</v>
      </c>
      <c r="M469" s="164">
        <v>23.1</v>
      </c>
      <c r="N469" s="165"/>
      <c r="O469" s="163"/>
      <c r="P469" s="82">
        <v>80.53</v>
      </c>
      <c r="Q469" s="164">
        <v>0</v>
      </c>
      <c r="R469" s="163"/>
      <c r="S469" s="81" t="s">
        <v>346</v>
      </c>
      <c r="T469" s="82">
        <v>63</v>
      </c>
      <c r="U469" s="82">
        <v>0</v>
      </c>
      <c r="V469" s="82">
        <v>0</v>
      </c>
      <c r="W469" s="82">
        <v>0</v>
      </c>
      <c r="X469" s="81" t="s">
        <v>132</v>
      </c>
      <c r="Y469" s="82">
        <v>4</v>
      </c>
      <c r="Z469" s="81" t="s">
        <v>131</v>
      </c>
      <c r="AA469" s="81" t="s">
        <v>849</v>
      </c>
      <c r="AB469" s="81" t="s">
        <v>850</v>
      </c>
      <c r="AC469" s="83">
        <v>46108</v>
      </c>
    </row>
    <row r="470" spans="2:29" ht="34.5" x14ac:dyDescent="0.35">
      <c r="B470" s="81" t="s">
        <v>338</v>
      </c>
      <c r="C470" s="81" t="s">
        <v>339</v>
      </c>
      <c r="D470" s="81" t="s">
        <v>340</v>
      </c>
      <c r="E470" s="81" t="s">
        <v>711</v>
      </c>
      <c r="F470" s="162" t="s">
        <v>712</v>
      </c>
      <c r="G470" s="163"/>
      <c r="H470" s="81" t="s">
        <v>847</v>
      </c>
      <c r="I470" s="81" t="s">
        <v>344</v>
      </c>
      <c r="J470" s="81" t="s">
        <v>11</v>
      </c>
      <c r="K470" s="81" t="s">
        <v>883</v>
      </c>
      <c r="L470" s="81" t="s">
        <v>129</v>
      </c>
      <c r="M470" s="164">
        <v>13</v>
      </c>
      <c r="N470" s="165"/>
      <c r="O470" s="163"/>
      <c r="P470" s="82">
        <v>45.32</v>
      </c>
      <c r="Q470" s="164">
        <v>0</v>
      </c>
      <c r="R470" s="163"/>
      <c r="S470" s="81" t="s">
        <v>346</v>
      </c>
      <c r="T470" s="82">
        <v>63</v>
      </c>
      <c r="U470" s="82">
        <v>0</v>
      </c>
      <c r="V470" s="82">
        <v>0</v>
      </c>
      <c r="W470" s="82">
        <v>0</v>
      </c>
      <c r="X470" s="81" t="s">
        <v>132</v>
      </c>
      <c r="Y470" s="82">
        <v>8</v>
      </c>
      <c r="Z470" s="81" t="s">
        <v>131</v>
      </c>
      <c r="AA470" s="81" t="s">
        <v>849</v>
      </c>
      <c r="AB470" s="81" t="s">
        <v>850</v>
      </c>
      <c r="AC470" s="83">
        <v>46108</v>
      </c>
    </row>
    <row r="471" spans="2:29" ht="34.5" x14ac:dyDescent="0.35">
      <c r="B471" s="81" t="s">
        <v>338</v>
      </c>
      <c r="C471" s="81" t="s">
        <v>339</v>
      </c>
      <c r="D471" s="81" t="s">
        <v>340</v>
      </c>
      <c r="E471" s="81" t="s">
        <v>711</v>
      </c>
      <c r="F471" s="162" t="s">
        <v>712</v>
      </c>
      <c r="G471" s="163"/>
      <c r="H471" s="81" t="s">
        <v>847</v>
      </c>
      <c r="I471" s="81" t="s">
        <v>344</v>
      </c>
      <c r="J471" s="81" t="s">
        <v>11</v>
      </c>
      <c r="K471" s="81" t="s">
        <v>884</v>
      </c>
      <c r="L471" s="81" t="s">
        <v>129</v>
      </c>
      <c r="M471" s="164">
        <v>22.4</v>
      </c>
      <c r="N471" s="165"/>
      <c r="O471" s="163"/>
      <c r="P471" s="82">
        <v>78.09</v>
      </c>
      <c r="Q471" s="164">
        <v>0</v>
      </c>
      <c r="R471" s="163"/>
      <c r="S471" s="81" t="s">
        <v>346</v>
      </c>
      <c r="T471" s="82">
        <v>63</v>
      </c>
      <c r="U471" s="82">
        <v>0</v>
      </c>
      <c r="V471" s="82">
        <v>0</v>
      </c>
      <c r="W471" s="82">
        <v>0</v>
      </c>
      <c r="X471" s="81" t="s">
        <v>132</v>
      </c>
      <c r="Y471" s="82">
        <v>24</v>
      </c>
      <c r="Z471" s="81" t="s">
        <v>131</v>
      </c>
      <c r="AA471" s="81" t="s">
        <v>849</v>
      </c>
      <c r="AB471" s="81" t="s">
        <v>850</v>
      </c>
      <c r="AC471" s="83">
        <v>46108</v>
      </c>
    </row>
    <row r="472" spans="2:29" ht="34.5" x14ac:dyDescent="0.35">
      <c r="B472" s="81" t="s">
        <v>338</v>
      </c>
      <c r="C472" s="81" t="s">
        <v>339</v>
      </c>
      <c r="D472" s="81" t="s">
        <v>340</v>
      </c>
      <c r="E472" s="81" t="s">
        <v>711</v>
      </c>
      <c r="F472" s="162" t="s">
        <v>712</v>
      </c>
      <c r="G472" s="163"/>
      <c r="H472" s="81" t="s">
        <v>847</v>
      </c>
      <c r="I472" s="81" t="s">
        <v>344</v>
      </c>
      <c r="J472" s="81" t="s">
        <v>11</v>
      </c>
      <c r="K472" s="81" t="s">
        <v>885</v>
      </c>
      <c r="L472" s="81" t="s">
        <v>129</v>
      </c>
      <c r="M472" s="164">
        <v>22.6</v>
      </c>
      <c r="N472" s="165"/>
      <c r="O472" s="163"/>
      <c r="P472" s="82">
        <v>78.790000000000006</v>
      </c>
      <c r="Q472" s="164">
        <v>0</v>
      </c>
      <c r="R472" s="163"/>
      <c r="S472" s="81" t="s">
        <v>346</v>
      </c>
      <c r="T472" s="82">
        <v>63</v>
      </c>
      <c r="U472" s="82">
        <v>0</v>
      </c>
      <c r="V472" s="82">
        <v>0</v>
      </c>
      <c r="W472" s="82">
        <v>0</v>
      </c>
      <c r="X472" s="81" t="s">
        <v>139</v>
      </c>
      <c r="Y472" s="82">
        <v>8</v>
      </c>
      <c r="Z472" s="81" t="s">
        <v>131</v>
      </c>
      <c r="AA472" s="81" t="s">
        <v>849</v>
      </c>
      <c r="AB472" s="81" t="s">
        <v>850</v>
      </c>
      <c r="AC472" s="83">
        <v>46108</v>
      </c>
    </row>
    <row r="473" spans="2:29" ht="34.5" x14ac:dyDescent="0.35">
      <c r="B473" s="81" t="s">
        <v>338</v>
      </c>
      <c r="C473" s="81" t="s">
        <v>339</v>
      </c>
      <c r="D473" s="81" t="s">
        <v>340</v>
      </c>
      <c r="E473" s="81" t="s">
        <v>711</v>
      </c>
      <c r="F473" s="162" t="s">
        <v>712</v>
      </c>
      <c r="G473" s="163"/>
      <c r="H473" s="81" t="s">
        <v>847</v>
      </c>
      <c r="I473" s="81" t="s">
        <v>344</v>
      </c>
      <c r="J473" s="81" t="s">
        <v>11</v>
      </c>
      <c r="K473" s="81" t="s">
        <v>886</v>
      </c>
      <c r="L473" s="81" t="s">
        <v>129</v>
      </c>
      <c r="M473" s="164">
        <v>22.8</v>
      </c>
      <c r="N473" s="165"/>
      <c r="O473" s="163"/>
      <c r="P473" s="82">
        <v>79.489999999999995</v>
      </c>
      <c r="Q473" s="164">
        <v>0</v>
      </c>
      <c r="R473" s="163"/>
      <c r="S473" s="81" t="s">
        <v>346</v>
      </c>
      <c r="T473" s="82">
        <v>63</v>
      </c>
      <c r="U473" s="82">
        <v>0</v>
      </c>
      <c r="V473" s="82">
        <v>0</v>
      </c>
      <c r="W473" s="82">
        <v>0</v>
      </c>
      <c r="X473" s="81" t="s">
        <v>143</v>
      </c>
      <c r="Y473" s="82">
        <v>8</v>
      </c>
      <c r="Z473" s="81" t="s">
        <v>131</v>
      </c>
      <c r="AA473" s="81" t="s">
        <v>849</v>
      </c>
      <c r="AB473" s="81" t="s">
        <v>850</v>
      </c>
      <c r="AC473" s="83">
        <v>46108</v>
      </c>
    </row>
    <row r="474" spans="2:29" ht="34.5" x14ac:dyDescent="0.35">
      <c r="B474" s="81" t="s">
        <v>338</v>
      </c>
      <c r="C474" s="81" t="s">
        <v>339</v>
      </c>
      <c r="D474" s="81" t="s">
        <v>340</v>
      </c>
      <c r="E474" s="81" t="s">
        <v>711</v>
      </c>
      <c r="F474" s="162" t="s">
        <v>712</v>
      </c>
      <c r="G474" s="163"/>
      <c r="H474" s="81" t="s">
        <v>847</v>
      </c>
      <c r="I474" s="81" t="s">
        <v>344</v>
      </c>
      <c r="J474" s="81" t="s">
        <v>11</v>
      </c>
      <c r="K474" s="81" t="s">
        <v>887</v>
      </c>
      <c r="L474" s="81" t="s">
        <v>129</v>
      </c>
      <c r="M474" s="164">
        <v>22.7</v>
      </c>
      <c r="N474" s="165"/>
      <c r="O474" s="163"/>
      <c r="P474" s="82">
        <v>79.14</v>
      </c>
      <c r="Q474" s="164">
        <v>0</v>
      </c>
      <c r="R474" s="163"/>
      <c r="S474" s="81" t="s">
        <v>346</v>
      </c>
      <c r="T474" s="82">
        <v>63</v>
      </c>
      <c r="U474" s="82">
        <v>0</v>
      </c>
      <c r="V474" s="82">
        <v>0</v>
      </c>
      <c r="W474" s="82">
        <v>0</v>
      </c>
      <c r="X474" s="81" t="s">
        <v>132</v>
      </c>
      <c r="Y474" s="82">
        <v>16</v>
      </c>
      <c r="Z474" s="81" t="s">
        <v>131</v>
      </c>
      <c r="AA474" s="81" t="s">
        <v>849</v>
      </c>
      <c r="AB474" s="81" t="s">
        <v>850</v>
      </c>
      <c r="AC474" s="83">
        <v>46108</v>
      </c>
    </row>
    <row r="475" spans="2:29" ht="34.5" x14ac:dyDescent="0.35">
      <c r="B475" s="81" t="s">
        <v>338</v>
      </c>
      <c r="C475" s="81" t="s">
        <v>339</v>
      </c>
      <c r="D475" s="81" t="s">
        <v>340</v>
      </c>
      <c r="E475" s="81" t="s">
        <v>711</v>
      </c>
      <c r="F475" s="162" t="s">
        <v>712</v>
      </c>
      <c r="G475" s="163"/>
      <c r="H475" s="81" t="s">
        <v>847</v>
      </c>
      <c r="I475" s="81" t="s">
        <v>344</v>
      </c>
      <c r="J475" s="81" t="s">
        <v>11</v>
      </c>
      <c r="K475" s="81" t="s">
        <v>888</v>
      </c>
      <c r="L475" s="81" t="s">
        <v>129</v>
      </c>
      <c r="M475" s="164">
        <v>22.6</v>
      </c>
      <c r="N475" s="165"/>
      <c r="O475" s="163"/>
      <c r="P475" s="82">
        <v>78.790000000000006</v>
      </c>
      <c r="Q475" s="164">
        <v>0</v>
      </c>
      <c r="R475" s="163"/>
      <c r="S475" s="81" t="s">
        <v>346</v>
      </c>
      <c r="T475" s="82">
        <v>63</v>
      </c>
      <c r="U475" s="82">
        <v>0</v>
      </c>
      <c r="V475" s="82">
        <v>0</v>
      </c>
      <c r="W475" s="82">
        <v>0</v>
      </c>
      <c r="X475" s="81" t="s">
        <v>132</v>
      </c>
      <c r="Y475" s="82">
        <v>8</v>
      </c>
      <c r="Z475" s="81" t="s">
        <v>131</v>
      </c>
      <c r="AA475" s="81" t="s">
        <v>849</v>
      </c>
      <c r="AB475" s="81" t="s">
        <v>850</v>
      </c>
      <c r="AC475" s="83">
        <v>46108</v>
      </c>
    </row>
    <row r="476" spans="2:29" ht="34.5" x14ac:dyDescent="0.35">
      <c r="B476" s="81" t="s">
        <v>338</v>
      </c>
      <c r="C476" s="81" t="s">
        <v>339</v>
      </c>
      <c r="D476" s="81" t="s">
        <v>340</v>
      </c>
      <c r="E476" s="81" t="s">
        <v>711</v>
      </c>
      <c r="F476" s="162" t="s">
        <v>712</v>
      </c>
      <c r="G476" s="163"/>
      <c r="H476" s="81" t="s">
        <v>847</v>
      </c>
      <c r="I476" s="81" t="s">
        <v>344</v>
      </c>
      <c r="J476" s="81" t="s">
        <v>11</v>
      </c>
      <c r="K476" s="81" t="s">
        <v>889</v>
      </c>
      <c r="L476" s="81" t="s">
        <v>129</v>
      </c>
      <c r="M476" s="164">
        <v>22.6</v>
      </c>
      <c r="N476" s="165"/>
      <c r="O476" s="163"/>
      <c r="P476" s="82">
        <v>78.790000000000006</v>
      </c>
      <c r="Q476" s="164">
        <v>0</v>
      </c>
      <c r="R476" s="163"/>
      <c r="S476" s="81" t="s">
        <v>346</v>
      </c>
      <c r="T476" s="82">
        <v>63</v>
      </c>
      <c r="U476" s="82">
        <v>0</v>
      </c>
      <c r="V476" s="82">
        <v>0</v>
      </c>
      <c r="W476" s="82">
        <v>0</v>
      </c>
      <c r="X476" s="81" t="s">
        <v>132</v>
      </c>
      <c r="Y476" s="82">
        <v>20</v>
      </c>
      <c r="Z476" s="81" t="s">
        <v>131</v>
      </c>
      <c r="AA476" s="81" t="s">
        <v>849</v>
      </c>
      <c r="AB476" s="81" t="s">
        <v>850</v>
      </c>
      <c r="AC476" s="83">
        <v>46108</v>
      </c>
    </row>
    <row r="477" spans="2:29" ht="34.5" x14ac:dyDescent="0.35">
      <c r="B477" s="81" t="s">
        <v>338</v>
      </c>
      <c r="C477" s="81" t="s">
        <v>339</v>
      </c>
      <c r="D477" s="81" t="s">
        <v>340</v>
      </c>
      <c r="E477" s="81" t="s">
        <v>711</v>
      </c>
      <c r="F477" s="162" t="s">
        <v>712</v>
      </c>
      <c r="G477" s="163"/>
      <c r="H477" s="81" t="s">
        <v>847</v>
      </c>
      <c r="I477" s="81" t="s">
        <v>344</v>
      </c>
      <c r="J477" s="81" t="s">
        <v>11</v>
      </c>
      <c r="K477" s="81" t="s">
        <v>890</v>
      </c>
      <c r="L477" s="81" t="s">
        <v>129</v>
      </c>
      <c r="M477" s="164">
        <v>22.8</v>
      </c>
      <c r="N477" s="165"/>
      <c r="O477" s="163"/>
      <c r="P477" s="82">
        <v>79.489999999999995</v>
      </c>
      <c r="Q477" s="164">
        <v>0</v>
      </c>
      <c r="R477" s="163"/>
      <c r="S477" s="81" t="s">
        <v>346</v>
      </c>
      <c r="T477" s="82">
        <v>63</v>
      </c>
      <c r="U477" s="82">
        <v>0</v>
      </c>
      <c r="V477" s="82">
        <v>0</v>
      </c>
      <c r="W477" s="82">
        <v>0</v>
      </c>
      <c r="X477" s="81" t="s">
        <v>133</v>
      </c>
      <c r="Y477" s="82">
        <v>4</v>
      </c>
      <c r="Z477" s="81" t="s">
        <v>131</v>
      </c>
      <c r="AA477" s="81" t="s">
        <v>849</v>
      </c>
      <c r="AB477" s="81" t="s">
        <v>850</v>
      </c>
      <c r="AC477" s="83">
        <v>46108</v>
      </c>
    </row>
    <row r="478" spans="2:29" ht="34.5" x14ac:dyDescent="0.35">
      <c r="B478" s="81" t="s">
        <v>338</v>
      </c>
      <c r="C478" s="81" t="s">
        <v>339</v>
      </c>
      <c r="D478" s="81" t="s">
        <v>340</v>
      </c>
      <c r="E478" s="81" t="s">
        <v>711</v>
      </c>
      <c r="F478" s="162" t="s">
        <v>712</v>
      </c>
      <c r="G478" s="163"/>
      <c r="H478" s="81" t="s">
        <v>847</v>
      </c>
      <c r="I478" s="81" t="s">
        <v>344</v>
      </c>
      <c r="J478" s="81" t="s">
        <v>11</v>
      </c>
      <c r="K478" s="81" t="s">
        <v>891</v>
      </c>
      <c r="L478" s="81" t="s">
        <v>129</v>
      </c>
      <c r="M478" s="164">
        <v>22.7</v>
      </c>
      <c r="N478" s="165"/>
      <c r="O478" s="163"/>
      <c r="P478" s="82">
        <v>79.14</v>
      </c>
      <c r="Q478" s="164">
        <v>0</v>
      </c>
      <c r="R478" s="163"/>
      <c r="S478" s="81" t="s">
        <v>346</v>
      </c>
      <c r="T478" s="82">
        <v>63</v>
      </c>
      <c r="U478" s="82">
        <v>0</v>
      </c>
      <c r="V478" s="82">
        <v>0</v>
      </c>
      <c r="W478" s="82">
        <v>0</v>
      </c>
      <c r="X478" s="81" t="s">
        <v>132</v>
      </c>
      <c r="Y478" s="82">
        <v>8</v>
      </c>
      <c r="Z478" s="81" t="s">
        <v>131</v>
      </c>
      <c r="AA478" s="81" t="s">
        <v>849</v>
      </c>
      <c r="AB478" s="81" t="s">
        <v>850</v>
      </c>
      <c r="AC478" s="83">
        <v>46108</v>
      </c>
    </row>
    <row r="479" spans="2:29" ht="34.5" x14ac:dyDescent="0.35">
      <c r="B479" s="81" t="s">
        <v>338</v>
      </c>
      <c r="C479" s="81" t="s">
        <v>339</v>
      </c>
      <c r="D479" s="81" t="s">
        <v>340</v>
      </c>
      <c r="E479" s="81" t="s">
        <v>711</v>
      </c>
      <c r="F479" s="162" t="s">
        <v>712</v>
      </c>
      <c r="G479" s="163"/>
      <c r="H479" s="81" t="s">
        <v>847</v>
      </c>
      <c r="I479" s="81" t="s">
        <v>344</v>
      </c>
      <c r="J479" s="81" t="s">
        <v>11</v>
      </c>
      <c r="K479" s="81" t="s">
        <v>892</v>
      </c>
      <c r="L479" s="81" t="s">
        <v>129</v>
      </c>
      <c r="M479" s="164">
        <v>22.2</v>
      </c>
      <c r="N479" s="165"/>
      <c r="O479" s="163"/>
      <c r="P479" s="82">
        <v>77.400000000000006</v>
      </c>
      <c r="Q479" s="164">
        <v>0</v>
      </c>
      <c r="R479" s="163"/>
      <c r="S479" s="81" t="s">
        <v>346</v>
      </c>
      <c r="T479" s="82">
        <v>63</v>
      </c>
      <c r="U479" s="82">
        <v>0</v>
      </c>
      <c r="V479" s="82">
        <v>0</v>
      </c>
      <c r="W479" s="82">
        <v>0</v>
      </c>
      <c r="X479" s="81" t="s">
        <v>132</v>
      </c>
      <c r="Y479" s="82">
        <v>12</v>
      </c>
      <c r="Z479" s="81" t="s">
        <v>131</v>
      </c>
      <c r="AA479" s="81" t="s">
        <v>849</v>
      </c>
      <c r="AB479" s="81" t="s">
        <v>850</v>
      </c>
      <c r="AC479" s="83">
        <v>46108</v>
      </c>
    </row>
    <row r="480" spans="2:29" ht="34.5" x14ac:dyDescent="0.35">
      <c r="B480" s="81" t="s">
        <v>338</v>
      </c>
      <c r="C480" s="81" t="s">
        <v>339</v>
      </c>
      <c r="D480" s="81" t="s">
        <v>340</v>
      </c>
      <c r="E480" s="81" t="s">
        <v>711</v>
      </c>
      <c r="F480" s="162" t="s">
        <v>712</v>
      </c>
      <c r="G480" s="163"/>
      <c r="H480" s="81" t="s">
        <v>847</v>
      </c>
      <c r="I480" s="81" t="s">
        <v>344</v>
      </c>
      <c r="J480" s="81" t="s">
        <v>11</v>
      </c>
      <c r="K480" s="81" t="s">
        <v>893</v>
      </c>
      <c r="L480" s="81" t="s">
        <v>129</v>
      </c>
      <c r="M480" s="164">
        <v>22.7</v>
      </c>
      <c r="N480" s="165"/>
      <c r="O480" s="163"/>
      <c r="P480" s="82">
        <v>79.14</v>
      </c>
      <c r="Q480" s="164">
        <v>0</v>
      </c>
      <c r="R480" s="163"/>
      <c r="S480" s="81" t="s">
        <v>346</v>
      </c>
      <c r="T480" s="82">
        <v>63</v>
      </c>
      <c r="U480" s="82">
        <v>0</v>
      </c>
      <c r="V480" s="82">
        <v>0</v>
      </c>
      <c r="W480" s="82">
        <v>0</v>
      </c>
      <c r="X480" s="81" t="s">
        <v>133</v>
      </c>
      <c r="Y480" s="82">
        <v>4</v>
      </c>
      <c r="Z480" s="81" t="s">
        <v>131</v>
      </c>
      <c r="AA480" s="81" t="s">
        <v>849</v>
      </c>
      <c r="AB480" s="81" t="s">
        <v>850</v>
      </c>
      <c r="AC480" s="83">
        <v>46108</v>
      </c>
    </row>
    <row r="481" spans="2:29" ht="34.5" x14ac:dyDescent="0.35">
      <c r="B481" s="81" t="s">
        <v>338</v>
      </c>
      <c r="C481" s="81" t="s">
        <v>339</v>
      </c>
      <c r="D481" s="81" t="s">
        <v>340</v>
      </c>
      <c r="E481" s="81" t="s">
        <v>711</v>
      </c>
      <c r="F481" s="162" t="s">
        <v>712</v>
      </c>
      <c r="G481" s="163"/>
      <c r="H481" s="81" t="s">
        <v>847</v>
      </c>
      <c r="I481" s="81" t="s">
        <v>344</v>
      </c>
      <c r="J481" s="81" t="s">
        <v>11</v>
      </c>
      <c r="K481" s="81" t="s">
        <v>894</v>
      </c>
      <c r="L481" s="81" t="s">
        <v>129</v>
      </c>
      <c r="M481" s="164">
        <v>22.9</v>
      </c>
      <c r="N481" s="165"/>
      <c r="O481" s="163"/>
      <c r="P481" s="82">
        <v>79.84</v>
      </c>
      <c r="Q481" s="164">
        <v>0</v>
      </c>
      <c r="R481" s="163"/>
      <c r="S481" s="81" t="s">
        <v>346</v>
      </c>
      <c r="T481" s="82">
        <v>63</v>
      </c>
      <c r="U481" s="82">
        <v>0</v>
      </c>
      <c r="V481" s="82">
        <v>0</v>
      </c>
      <c r="W481" s="82">
        <v>0</v>
      </c>
      <c r="X481" s="81" t="s">
        <v>133</v>
      </c>
      <c r="Y481" s="82">
        <v>4</v>
      </c>
      <c r="Z481" s="81" t="s">
        <v>131</v>
      </c>
      <c r="AA481" s="81" t="s">
        <v>849</v>
      </c>
      <c r="AB481" s="81" t="s">
        <v>850</v>
      </c>
      <c r="AC481" s="83">
        <v>46108</v>
      </c>
    </row>
    <row r="482" spans="2:29" ht="34.5" x14ac:dyDescent="0.35">
      <c r="B482" s="81" t="s">
        <v>338</v>
      </c>
      <c r="C482" s="81" t="s">
        <v>339</v>
      </c>
      <c r="D482" s="81" t="s">
        <v>340</v>
      </c>
      <c r="E482" s="81" t="s">
        <v>711</v>
      </c>
      <c r="F482" s="162" t="s">
        <v>712</v>
      </c>
      <c r="G482" s="163"/>
      <c r="H482" s="81" t="s">
        <v>847</v>
      </c>
      <c r="I482" s="81" t="s">
        <v>344</v>
      </c>
      <c r="J482" s="81" t="s">
        <v>11</v>
      </c>
      <c r="K482" s="81" t="s">
        <v>895</v>
      </c>
      <c r="L482" s="81" t="s">
        <v>11</v>
      </c>
      <c r="M482" s="164">
        <v>22.3</v>
      </c>
      <c r="N482" s="165"/>
      <c r="O482" s="163"/>
      <c r="P482" s="82">
        <v>77.739999999999995</v>
      </c>
      <c r="Q482" s="164">
        <v>0</v>
      </c>
      <c r="R482" s="163"/>
      <c r="S482" s="81" t="s">
        <v>346</v>
      </c>
      <c r="T482" s="82">
        <v>63</v>
      </c>
      <c r="U482" s="82">
        <v>0</v>
      </c>
      <c r="V482" s="82">
        <v>0</v>
      </c>
      <c r="W482" s="82">
        <v>0</v>
      </c>
      <c r="X482" s="81" t="s">
        <v>132</v>
      </c>
      <c r="Y482" s="82">
        <v>40</v>
      </c>
      <c r="Z482" s="81" t="s">
        <v>131</v>
      </c>
      <c r="AA482" s="81" t="s">
        <v>849</v>
      </c>
      <c r="AB482" s="81" t="s">
        <v>850</v>
      </c>
      <c r="AC482" s="83">
        <v>46108</v>
      </c>
    </row>
    <row r="483" spans="2:29" ht="23" x14ac:dyDescent="0.35">
      <c r="B483" s="81" t="s">
        <v>338</v>
      </c>
      <c r="C483" s="81" t="s">
        <v>339</v>
      </c>
      <c r="D483" s="81" t="s">
        <v>340</v>
      </c>
      <c r="E483" s="81" t="s">
        <v>806</v>
      </c>
      <c r="F483" s="162" t="s">
        <v>807</v>
      </c>
      <c r="G483" s="163"/>
      <c r="H483" s="81" t="s">
        <v>896</v>
      </c>
      <c r="I483" s="81" t="s">
        <v>809</v>
      </c>
      <c r="J483" s="81" t="s">
        <v>11</v>
      </c>
      <c r="K483" s="81" t="s">
        <v>897</v>
      </c>
      <c r="L483" s="81" t="s">
        <v>129</v>
      </c>
      <c r="M483" s="164">
        <v>24.5</v>
      </c>
      <c r="N483" s="165"/>
      <c r="O483" s="163"/>
      <c r="P483" s="82">
        <v>79.44</v>
      </c>
      <c r="Q483" s="164">
        <v>0</v>
      </c>
      <c r="R483" s="163"/>
      <c r="S483" s="81" t="s">
        <v>346</v>
      </c>
      <c r="T483" s="82">
        <v>65</v>
      </c>
      <c r="U483" s="82">
        <v>0</v>
      </c>
      <c r="V483" s="82">
        <v>0</v>
      </c>
      <c r="W483" s="82">
        <v>0</v>
      </c>
      <c r="X483" s="81" t="s">
        <v>133</v>
      </c>
      <c r="Y483" s="82">
        <v>4</v>
      </c>
      <c r="Z483" s="81" t="s">
        <v>138</v>
      </c>
      <c r="AA483" s="81" t="s">
        <v>58</v>
      </c>
      <c r="AB483" s="81" t="s">
        <v>58</v>
      </c>
      <c r="AC483" s="83">
        <v>46108</v>
      </c>
    </row>
    <row r="484" spans="2:29" ht="23" x14ac:dyDescent="0.35">
      <c r="B484" s="81" t="s">
        <v>338</v>
      </c>
      <c r="C484" s="81" t="s">
        <v>339</v>
      </c>
      <c r="D484" s="81" t="s">
        <v>340</v>
      </c>
      <c r="E484" s="81" t="s">
        <v>806</v>
      </c>
      <c r="F484" s="162" t="s">
        <v>807</v>
      </c>
      <c r="G484" s="163"/>
      <c r="H484" s="81" t="s">
        <v>896</v>
      </c>
      <c r="I484" s="81" t="s">
        <v>809</v>
      </c>
      <c r="J484" s="81" t="s">
        <v>11</v>
      </c>
      <c r="K484" s="81" t="s">
        <v>898</v>
      </c>
      <c r="L484" s="81" t="s">
        <v>129</v>
      </c>
      <c r="M484" s="164">
        <v>24.5</v>
      </c>
      <c r="N484" s="165"/>
      <c r="O484" s="163"/>
      <c r="P484" s="82">
        <v>79.44</v>
      </c>
      <c r="Q484" s="164">
        <v>0</v>
      </c>
      <c r="R484" s="163"/>
      <c r="S484" s="81" t="s">
        <v>346</v>
      </c>
      <c r="T484" s="82">
        <v>65</v>
      </c>
      <c r="U484" s="82">
        <v>0</v>
      </c>
      <c r="V484" s="82">
        <v>0</v>
      </c>
      <c r="W484" s="82">
        <v>0</v>
      </c>
      <c r="X484" s="81" t="s">
        <v>139</v>
      </c>
      <c r="Y484" s="82">
        <v>4</v>
      </c>
      <c r="Z484" s="81" t="s">
        <v>138</v>
      </c>
      <c r="AA484" s="81" t="s">
        <v>58</v>
      </c>
      <c r="AB484" s="81" t="s">
        <v>58</v>
      </c>
      <c r="AC484" s="83">
        <v>46108</v>
      </c>
    </row>
    <row r="485" spans="2:29" ht="23" x14ac:dyDescent="0.35">
      <c r="B485" s="81" t="s">
        <v>338</v>
      </c>
      <c r="C485" s="81" t="s">
        <v>339</v>
      </c>
      <c r="D485" s="81" t="s">
        <v>340</v>
      </c>
      <c r="E485" s="81" t="s">
        <v>806</v>
      </c>
      <c r="F485" s="162" t="s">
        <v>807</v>
      </c>
      <c r="G485" s="163"/>
      <c r="H485" s="81" t="s">
        <v>896</v>
      </c>
      <c r="I485" s="81" t="s">
        <v>809</v>
      </c>
      <c r="J485" s="81" t="s">
        <v>11</v>
      </c>
      <c r="K485" s="81" t="s">
        <v>899</v>
      </c>
      <c r="L485" s="81" t="s">
        <v>129</v>
      </c>
      <c r="M485" s="164">
        <v>24.3</v>
      </c>
      <c r="N485" s="165"/>
      <c r="O485" s="163"/>
      <c r="P485" s="82">
        <v>78.790000000000006</v>
      </c>
      <c r="Q485" s="164">
        <v>0</v>
      </c>
      <c r="R485" s="163"/>
      <c r="S485" s="81" t="s">
        <v>346</v>
      </c>
      <c r="T485" s="82">
        <v>65</v>
      </c>
      <c r="U485" s="82">
        <v>0</v>
      </c>
      <c r="V485" s="82">
        <v>0</v>
      </c>
      <c r="W485" s="82">
        <v>0</v>
      </c>
      <c r="X485" s="81" t="s">
        <v>133</v>
      </c>
      <c r="Y485" s="82">
        <v>4</v>
      </c>
      <c r="Z485" s="81" t="s">
        <v>138</v>
      </c>
      <c r="AA485" s="81" t="s">
        <v>58</v>
      </c>
      <c r="AB485" s="81" t="s">
        <v>58</v>
      </c>
      <c r="AC485" s="83">
        <v>46108</v>
      </c>
    </row>
    <row r="486" spans="2:29" ht="23" x14ac:dyDescent="0.35">
      <c r="B486" s="81" t="s">
        <v>338</v>
      </c>
      <c r="C486" s="81" t="s">
        <v>339</v>
      </c>
      <c r="D486" s="81" t="s">
        <v>340</v>
      </c>
      <c r="E486" s="81" t="s">
        <v>806</v>
      </c>
      <c r="F486" s="162" t="s">
        <v>807</v>
      </c>
      <c r="G486" s="163"/>
      <c r="H486" s="81" t="s">
        <v>896</v>
      </c>
      <c r="I486" s="81" t="s">
        <v>809</v>
      </c>
      <c r="J486" s="81" t="s">
        <v>11</v>
      </c>
      <c r="K486" s="81" t="s">
        <v>900</v>
      </c>
      <c r="L486" s="81" t="s">
        <v>129</v>
      </c>
      <c r="M486" s="164">
        <v>23</v>
      </c>
      <c r="N486" s="165"/>
      <c r="O486" s="163"/>
      <c r="P486" s="82">
        <v>74.569999999999993</v>
      </c>
      <c r="Q486" s="164">
        <v>0</v>
      </c>
      <c r="R486" s="163"/>
      <c r="S486" s="81" t="s">
        <v>346</v>
      </c>
      <c r="T486" s="82">
        <v>65</v>
      </c>
      <c r="U486" s="82">
        <v>0</v>
      </c>
      <c r="V486" s="82">
        <v>0</v>
      </c>
      <c r="W486" s="82">
        <v>0</v>
      </c>
      <c r="X486" s="81" t="s">
        <v>133</v>
      </c>
      <c r="Y486" s="82">
        <v>4</v>
      </c>
      <c r="Z486" s="81" t="s">
        <v>138</v>
      </c>
      <c r="AA486" s="81" t="s">
        <v>58</v>
      </c>
      <c r="AB486" s="81" t="s">
        <v>58</v>
      </c>
      <c r="AC486" s="83">
        <v>46108</v>
      </c>
    </row>
    <row r="487" spans="2:29" ht="23" x14ac:dyDescent="0.35">
      <c r="B487" s="81" t="s">
        <v>338</v>
      </c>
      <c r="C487" s="81" t="s">
        <v>339</v>
      </c>
      <c r="D487" s="81" t="s">
        <v>340</v>
      </c>
      <c r="E487" s="81" t="s">
        <v>806</v>
      </c>
      <c r="F487" s="162" t="s">
        <v>807</v>
      </c>
      <c r="G487" s="163"/>
      <c r="H487" s="81" t="s">
        <v>896</v>
      </c>
      <c r="I487" s="81" t="s">
        <v>809</v>
      </c>
      <c r="J487" s="81" t="s">
        <v>11</v>
      </c>
      <c r="K487" s="81" t="s">
        <v>901</v>
      </c>
      <c r="L487" s="81" t="s">
        <v>129</v>
      </c>
      <c r="M487" s="164">
        <v>24.4</v>
      </c>
      <c r="N487" s="165"/>
      <c r="O487" s="163"/>
      <c r="P487" s="82">
        <v>79.11</v>
      </c>
      <c r="Q487" s="164">
        <v>0</v>
      </c>
      <c r="R487" s="163"/>
      <c r="S487" s="81" t="s">
        <v>346</v>
      </c>
      <c r="T487" s="82">
        <v>65</v>
      </c>
      <c r="U487" s="82">
        <v>0</v>
      </c>
      <c r="V487" s="82">
        <v>0</v>
      </c>
      <c r="W487" s="82">
        <v>0</v>
      </c>
      <c r="X487" s="81" t="s">
        <v>133</v>
      </c>
      <c r="Y487" s="82">
        <v>4</v>
      </c>
      <c r="Z487" s="81" t="s">
        <v>138</v>
      </c>
      <c r="AA487" s="81" t="s">
        <v>58</v>
      </c>
      <c r="AB487" s="81" t="s">
        <v>58</v>
      </c>
      <c r="AC487" s="83">
        <v>46108</v>
      </c>
    </row>
    <row r="488" spans="2:29" ht="23" x14ac:dyDescent="0.35">
      <c r="B488" s="81" t="s">
        <v>338</v>
      </c>
      <c r="C488" s="81" t="s">
        <v>339</v>
      </c>
      <c r="D488" s="81" t="s">
        <v>340</v>
      </c>
      <c r="E488" s="81" t="s">
        <v>806</v>
      </c>
      <c r="F488" s="162" t="s">
        <v>807</v>
      </c>
      <c r="G488" s="163"/>
      <c r="H488" s="81" t="s">
        <v>896</v>
      </c>
      <c r="I488" s="81" t="s">
        <v>809</v>
      </c>
      <c r="J488" s="81" t="s">
        <v>11</v>
      </c>
      <c r="K488" s="81" t="s">
        <v>902</v>
      </c>
      <c r="L488" s="81" t="s">
        <v>129</v>
      </c>
      <c r="M488" s="164">
        <v>24</v>
      </c>
      <c r="N488" s="165"/>
      <c r="O488" s="163"/>
      <c r="P488" s="82">
        <v>77.819999999999993</v>
      </c>
      <c r="Q488" s="164">
        <v>0</v>
      </c>
      <c r="R488" s="163"/>
      <c r="S488" s="81" t="s">
        <v>346</v>
      </c>
      <c r="T488" s="82">
        <v>65</v>
      </c>
      <c r="U488" s="82">
        <v>0</v>
      </c>
      <c r="V488" s="82">
        <v>0</v>
      </c>
      <c r="W488" s="82">
        <v>0</v>
      </c>
      <c r="X488" s="81" t="s">
        <v>143</v>
      </c>
      <c r="Y488" s="82">
        <v>1</v>
      </c>
      <c r="Z488" s="81" t="s">
        <v>138</v>
      </c>
      <c r="AA488" s="81" t="s">
        <v>58</v>
      </c>
      <c r="AB488" s="81" t="s">
        <v>58</v>
      </c>
      <c r="AC488" s="83">
        <v>46108</v>
      </c>
    </row>
    <row r="489" spans="2:29" ht="23" x14ac:dyDescent="0.35">
      <c r="B489" s="81" t="s">
        <v>338</v>
      </c>
      <c r="C489" s="81" t="s">
        <v>339</v>
      </c>
      <c r="D489" s="81" t="s">
        <v>340</v>
      </c>
      <c r="E489" s="81" t="s">
        <v>806</v>
      </c>
      <c r="F489" s="162" t="s">
        <v>807</v>
      </c>
      <c r="G489" s="163"/>
      <c r="H489" s="81" t="s">
        <v>896</v>
      </c>
      <c r="I489" s="81" t="s">
        <v>809</v>
      </c>
      <c r="J489" s="81" t="s">
        <v>11</v>
      </c>
      <c r="K489" s="81" t="s">
        <v>903</v>
      </c>
      <c r="L489" s="81" t="s">
        <v>129</v>
      </c>
      <c r="M489" s="164">
        <v>24</v>
      </c>
      <c r="N489" s="165"/>
      <c r="O489" s="163"/>
      <c r="P489" s="82">
        <v>77.819999999999993</v>
      </c>
      <c r="Q489" s="164">
        <v>0</v>
      </c>
      <c r="R489" s="163"/>
      <c r="S489" s="81" t="s">
        <v>346</v>
      </c>
      <c r="T489" s="82">
        <v>65</v>
      </c>
      <c r="U489" s="82">
        <v>0</v>
      </c>
      <c r="V489" s="82">
        <v>0</v>
      </c>
      <c r="W489" s="82">
        <v>0</v>
      </c>
      <c r="X489" s="81" t="s">
        <v>133</v>
      </c>
      <c r="Y489" s="82">
        <v>4</v>
      </c>
      <c r="Z489" s="81" t="s">
        <v>138</v>
      </c>
      <c r="AA489" s="81" t="s">
        <v>58</v>
      </c>
      <c r="AB489" s="81" t="s">
        <v>58</v>
      </c>
      <c r="AC489" s="83">
        <v>46108</v>
      </c>
    </row>
    <row r="490" spans="2:29" ht="23" x14ac:dyDescent="0.35">
      <c r="B490" s="81" t="s">
        <v>338</v>
      </c>
      <c r="C490" s="81" t="s">
        <v>339</v>
      </c>
      <c r="D490" s="81" t="s">
        <v>340</v>
      </c>
      <c r="E490" s="81" t="s">
        <v>806</v>
      </c>
      <c r="F490" s="162" t="s">
        <v>807</v>
      </c>
      <c r="G490" s="163"/>
      <c r="H490" s="81" t="s">
        <v>896</v>
      </c>
      <c r="I490" s="81" t="s">
        <v>809</v>
      </c>
      <c r="J490" s="81" t="s">
        <v>11</v>
      </c>
      <c r="K490" s="81" t="s">
        <v>904</v>
      </c>
      <c r="L490" s="81" t="s">
        <v>129</v>
      </c>
      <c r="M490" s="164">
        <v>30.8</v>
      </c>
      <c r="N490" s="165"/>
      <c r="O490" s="163"/>
      <c r="P490" s="82">
        <v>99.86</v>
      </c>
      <c r="Q490" s="164">
        <v>0</v>
      </c>
      <c r="R490" s="163"/>
      <c r="S490" s="81" t="s">
        <v>346</v>
      </c>
      <c r="T490" s="82">
        <v>65</v>
      </c>
      <c r="U490" s="82">
        <v>0</v>
      </c>
      <c r="V490" s="82">
        <v>0</v>
      </c>
      <c r="W490" s="82">
        <v>0</v>
      </c>
      <c r="X490" s="81" t="s">
        <v>143</v>
      </c>
      <c r="Y490" s="82">
        <v>8</v>
      </c>
      <c r="Z490" s="81" t="s">
        <v>138</v>
      </c>
      <c r="AA490" s="81" t="s">
        <v>58</v>
      </c>
      <c r="AB490" s="81" t="s">
        <v>58</v>
      </c>
      <c r="AC490" s="83">
        <v>46108</v>
      </c>
    </row>
    <row r="491" spans="2:29" ht="23" x14ac:dyDescent="0.35">
      <c r="B491" s="81" t="s">
        <v>338</v>
      </c>
      <c r="C491" s="81" t="s">
        <v>339</v>
      </c>
      <c r="D491" s="81" t="s">
        <v>340</v>
      </c>
      <c r="E491" s="81" t="s">
        <v>806</v>
      </c>
      <c r="F491" s="162" t="s">
        <v>807</v>
      </c>
      <c r="G491" s="163"/>
      <c r="H491" s="81" t="s">
        <v>896</v>
      </c>
      <c r="I491" s="81" t="s">
        <v>809</v>
      </c>
      <c r="J491" s="81" t="s">
        <v>11</v>
      </c>
      <c r="K491" s="81" t="s">
        <v>905</v>
      </c>
      <c r="L491" s="81" t="s">
        <v>129</v>
      </c>
      <c r="M491" s="164">
        <v>23.7</v>
      </c>
      <c r="N491" s="165"/>
      <c r="O491" s="163"/>
      <c r="P491" s="82">
        <v>76.84</v>
      </c>
      <c r="Q491" s="164">
        <v>0</v>
      </c>
      <c r="R491" s="163"/>
      <c r="S491" s="81" t="s">
        <v>346</v>
      </c>
      <c r="T491" s="82">
        <v>65</v>
      </c>
      <c r="U491" s="82">
        <v>0</v>
      </c>
      <c r="V491" s="82">
        <v>0</v>
      </c>
      <c r="W491" s="82">
        <v>0</v>
      </c>
      <c r="X491" s="81"/>
      <c r="Y491" s="81"/>
      <c r="Z491" s="81" t="s">
        <v>138</v>
      </c>
      <c r="AA491" s="81" t="s">
        <v>58</v>
      </c>
      <c r="AB491" s="81" t="s">
        <v>58</v>
      </c>
      <c r="AC491" s="83">
        <v>46108</v>
      </c>
    </row>
    <row r="492" spans="2:29" ht="23" x14ac:dyDescent="0.35">
      <c r="B492" s="81" t="s">
        <v>338</v>
      </c>
      <c r="C492" s="81" t="s">
        <v>339</v>
      </c>
      <c r="D492" s="81" t="s">
        <v>340</v>
      </c>
      <c r="E492" s="81" t="s">
        <v>806</v>
      </c>
      <c r="F492" s="162" t="s">
        <v>807</v>
      </c>
      <c r="G492" s="163"/>
      <c r="H492" s="81" t="s">
        <v>896</v>
      </c>
      <c r="I492" s="81" t="s">
        <v>809</v>
      </c>
      <c r="J492" s="81" t="s">
        <v>11</v>
      </c>
      <c r="K492" s="81" t="s">
        <v>906</v>
      </c>
      <c r="L492" s="81" t="s">
        <v>129</v>
      </c>
      <c r="M492" s="164">
        <v>23.7</v>
      </c>
      <c r="N492" s="165"/>
      <c r="O492" s="163"/>
      <c r="P492" s="82">
        <v>76.84</v>
      </c>
      <c r="Q492" s="164">
        <v>0</v>
      </c>
      <c r="R492" s="163"/>
      <c r="S492" s="81" t="s">
        <v>346</v>
      </c>
      <c r="T492" s="82">
        <v>65</v>
      </c>
      <c r="U492" s="82">
        <v>0</v>
      </c>
      <c r="V492" s="82">
        <v>0</v>
      </c>
      <c r="W492" s="82">
        <v>0</v>
      </c>
      <c r="X492" s="81" t="s">
        <v>133</v>
      </c>
      <c r="Y492" s="82">
        <v>4</v>
      </c>
      <c r="Z492" s="81" t="s">
        <v>138</v>
      </c>
      <c r="AA492" s="81" t="s">
        <v>58</v>
      </c>
      <c r="AB492" s="81" t="s">
        <v>58</v>
      </c>
      <c r="AC492" s="83">
        <v>46108</v>
      </c>
    </row>
    <row r="493" spans="2:29" ht="23" x14ac:dyDescent="0.35">
      <c r="B493" s="81" t="s">
        <v>338</v>
      </c>
      <c r="C493" s="81" t="s">
        <v>339</v>
      </c>
      <c r="D493" s="81" t="s">
        <v>340</v>
      </c>
      <c r="E493" s="81" t="s">
        <v>806</v>
      </c>
      <c r="F493" s="162" t="s">
        <v>807</v>
      </c>
      <c r="G493" s="163"/>
      <c r="H493" s="81" t="s">
        <v>896</v>
      </c>
      <c r="I493" s="81" t="s">
        <v>809</v>
      </c>
      <c r="J493" s="81" t="s">
        <v>11</v>
      </c>
      <c r="K493" s="81" t="s">
        <v>907</v>
      </c>
      <c r="L493" s="81" t="s">
        <v>129</v>
      </c>
      <c r="M493" s="164">
        <v>21.9</v>
      </c>
      <c r="N493" s="165"/>
      <c r="O493" s="163"/>
      <c r="P493" s="82">
        <v>71.010000000000005</v>
      </c>
      <c r="Q493" s="164">
        <v>0</v>
      </c>
      <c r="R493" s="163"/>
      <c r="S493" s="81" t="s">
        <v>346</v>
      </c>
      <c r="T493" s="82">
        <v>65</v>
      </c>
      <c r="U493" s="82">
        <v>0</v>
      </c>
      <c r="V493" s="82">
        <v>0</v>
      </c>
      <c r="W493" s="82">
        <v>0</v>
      </c>
      <c r="X493" s="81" t="s">
        <v>133</v>
      </c>
      <c r="Y493" s="82">
        <v>8</v>
      </c>
      <c r="Z493" s="81" t="s">
        <v>138</v>
      </c>
      <c r="AA493" s="81" t="s">
        <v>58</v>
      </c>
      <c r="AB493" s="81" t="s">
        <v>58</v>
      </c>
      <c r="AC493" s="83">
        <v>46108</v>
      </c>
    </row>
    <row r="494" spans="2:29" ht="23" x14ac:dyDescent="0.35">
      <c r="B494" s="81" t="s">
        <v>338</v>
      </c>
      <c r="C494" s="81" t="s">
        <v>339</v>
      </c>
      <c r="D494" s="81" t="s">
        <v>340</v>
      </c>
      <c r="E494" s="81" t="s">
        <v>806</v>
      </c>
      <c r="F494" s="162" t="s">
        <v>807</v>
      </c>
      <c r="G494" s="163"/>
      <c r="H494" s="81" t="s">
        <v>896</v>
      </c>
      <c r="I494" s="81" t="s">
        <v>809</v>
      </c>
      <c r="J494" s="81" t="s">
        <v>11</v>
      </c>
      <c r="K494" s="81" t="s">
        <v>908</v>
      </c>
      <c r="L494" s="81" t="s">
        <v>129</v>
      </c>
      <c r="M494" s="164">
        <v>23.9</v>
      </c>
      <c r="N494" s="165"/>
      <c r="O494" s="163"/>
      <c r="P494" s="82">
        <v>77.489999999999995</v>
      </c>
      <c r="Q494" s="164">
        <v>0</v>
      </c>
      <c r="R494" s="163"/>
      <c r="S494" s="81" t="s">
        <v>346</v>
      </c>
      <c r="T494" s="82">
        <v>65</v>
      </c>
      <c r="U494" s="82">
        <v>0</v>
      </c>
      <c r="V494" s="82">
        <v>0</v>
      </c>
      <c r="W494" s="82">
        <v>0</v>
      </c>
      <c r="X494" s="81"/>
      <c r="Y494" s="81"/>
      <c r="Z494" s="81" t="s">
        <v>138</v>
      </c>
      <c r="AA494" s="81" t="s">
        <v>58</v>
      </c>
      <c r="AB494" s="81" t="s">
        <v>58</v>
      </c>
      <c r="AC494" s="83">
        <v>46108</v>
      </c>
    </row>
    <row r="495" spans="2:29" ht="23" x14ac:dyDescent="0.35">
      <c r="B495" s="81" t="s">
        <v>338</v>
      </c>
      <c r="C495" s="81" t="s">
        <v>339</v>
      </c>
      <c r="D495" s="81" t="s">
        <v>340</v>
      </c>
      <c r="E495" s="81" t="s">
        <v>806</v>
      </c>
      <c r="F495" s="162" t="s">
        <v>807</v>
      </c>
      <c r="G495" s="163"/>
      <c r="H495" s="81" t="s">
        <v>896</v>
      </c>
      <c r="I495" s="81" t="s">
        <v>809</v>
      </c>
      <c r="J495" s="81" t="s">
        <v>11</v>
      </c>
      <c r="K495" s="81" t="s">
        <v>909</v>
      </c>
      <c r="L495" s="81" t="s">
        <v>129</v>
      </c>
      <c r="M495" s="164">
        <v>23.8</v>
      </c>
      <c r="N495" s="165"/>
      <c r="O495" s="163"/>
      <c r="P495" s="82">
        <v>77.17</v>
      </c>
      <c r="Q495" s="164">
        <v>0</v>
      </c>
      <c r="R495" s="163"/>
      <c r="S495" s="81" t="s">
        <v>346</v>
      </c>
      <c r="T495" s="82">
        <v>65</v>
      </c>
      <c r="U495" s="82">
        <v>0</v>
      </c>
      <c r="V495" s="82">
        <v>0</v>
      </c>
      <c r="W495" s="82">
        <v>0</v>
      </c>
      <c r="X495" s="81"/>
      <c r="Y495" s="81"/>
      <c r="Z495" s="81" t="s">
        <v>138</v>
      </c>
      <c r="AA495" s="81" t="s">
        <v>58</v>
      </c>
      <c r="AB495" s="81" t="s">
        <v>58</v>
      </c>
      <c r="AC495" s="83">
        <v>46108</v>
      </c>
    </row>
    <row r="496" spans="2:29" ht="23" x14ac:dyDescent="0.35">
      <c r="B496" s="81" t="s">
        <v>338</v>
      </c>
      <c r="C496" s="81" t="s">
        <v>339</v>
      </c>
      <c r="D496" s="81" t="s">
        <v>340</v>
      </c>
      <c r="E496" s="81" t="s">
        <v>806</v>
      </c>
      <c r="F496" s="162" t="s">
        <v>807</v>
      </c>
      <c r="G496" s="163"/>
      <c r="H496" s="81" t="s">
        <v>896</v>
      </c>
      <c r="I496" s="81" t="s">
        <v>809</v>
      </c>
      <c r="J496" s="81" t="s">
        <v>11</v>
      </c>
      <c r="K496" s="81" t="s">
        <v>910</v>
      </c>
      <c r="L496" s="81" t="s">
        <v>129</v>
      </c>
      <c r="M496" s="164">
        <v>24</v>
      </c>
      <c r="N496" s="165"/>
      <c r="O496" s="163"/>
      <c r="P496" s="82">
        <v>77.819999999999993</v>
      </c>
      <c r="Q496" s="164">
        <v>0</v>
      </c>
      <c r="R496" s="163"/>
      <c r="S496" s="81" t="s">
        <v>346</v>
      </c>
      <c r="T496" s="82">
        <v>65</v>
      </c>
      <c r="U496" s="82">
        <v>0</v>
      </c>
      <c r="V496" s="82">
        <v>0</v>
      </c>
      <c r="W496" s="82">
        <v>0</v>
      </c>
      <c r="X496" s="81" t="s">
        <v>139</v>
      </c>
      <c r="Y496" s="82">
        <v>4</v>
      </c>
      <c r="Z496" s="81" t="s">
        <v>138</v>
      </c>
      <c r="AA496" s="81" t="s">
        <v>58</v>
      </c>
      <c r="AB496" s="81" t="s">
        <v>58</v>
      </c>
      <c r="AC496" s="83">
        <v>46108</v>
      </c>
    </row>
    <row r="497" spans="2:29" ht="23" x14ac:dyDescent="0.35">
      <c r="B497" s="81" t="s">
        <v>338</v>
      </c>
      <c r="C497" s="81" t="s">
        <v>339</v>
      </c>
      <c r="D497" s="81" t="s">
        <v>340</v>
      </c>
      <c r="E497" s="81" t="s">
        <v>806</v>
      </c>
      <c r="F497" s="162" t="s">
        <v>807</v>
      </c>
      <c r="G497" s="163"/>
      <c r="H497" s="81" t="s">
        <v>896</v>
      </c>
      <c r="I497" s="81" t="s">
        <v>809</v>
      </c>
      <c r="J497" s="81" t="s">
        <v>11</v>
      </c>
      <c r="K497" s="81" t="s">
        <v>911</v>
      </c>
      <c r="L497" s="81" t="s">
        <v>129</v>
      </c>
      <c r="M497" s="164">
        <v>24</v>
      </c>
      <c r="N497" s="165"/>
      <c r="O497" s="163"/>
      <c r="P497" s="82">
        <v>77.819999999999993</v>
      </c>
      <c r="Q497" s="164">
        <v>0</v>
      </c>
      <c r="R497" s="163"/>
      <c r="S497" s="81" t="s">
        <v>346</v>
      </c>
      <c r="T497" s="82">
        <v>65</v>
      </c>
      <c r="U497" s="82">
        <v>0</v>
      </c>
      <c r="V497" s="82">
        <v>0</v>
      </c>
      <c r="W497" s="82">
        <v>0</v>
      </c>
      <c r="X497" s="81"/>
      <c r="Y497" s="81"/>
      <c r="Z497" s="81" t="s">
        <v>138</v>
      </c>
      <c r="AA497" s="81" t="s">
        <v>58</v>
      </c>
      <c r="AB497" s="81" t="s">
        <v>58</v>
      </c>
      <c r="AC497" s="83">
        <v>46108</v>
      </c>
    </row>
    <row r="498" spans="2:29" ht="23" x14ac:dyDescent="0.35">
      <c r="B498" s="81" t="s">
        <v>338</v>
      </c>
      <c r="C498" s="81" t="s">
        <v>339</v>
      </c>
      <c r="D498" s="81" t="s">
        <v>340</v>
      </c>
      <c r="E498" s="81" t="s">
        <v>806</v>
      </c>
      <c r="F498" s="162" t="s">
        <v>807</v>
      </c>
      <c r="G498" s="163"/>
      <c r="H498" s="81" t="s">
        <v>896</v>
      </c>
      <c r="I498" s="81" t="s">
        <v>809</v>
      </c>
      <c r="J498" s="81" t="s">
        <v>11</v>
      </c>
      <c r="K498" s="81" t="s">
        <v>912</v>
      </c>
      <c r="L498" s="81" t="s">
        <v>129</v>
      </c>
      <c r="M498" s="164">
        <v>24</v>
      </c>
      <c r="N498" s="165"/>
      <c r="O498" s="163"/>
      <c r="P498" s="82">
        <v>77.819999999999993</v>
      </c>
      <c r="Q498" s="164">
        <v>0</v>
      </c>
      <c r="R498" s="163"/>
      <c r="S498" s="81" t="s">
        <v>346</v>
      </c>
      <c r="T498" s="82">
        <v>65</v>
      </c>
      <c r="U498" s="82">
        <v>0</v>
      </c>
      <c r="V498" s="82">
        <v>0</v>
      </c>
      <c r="W498" s="82">
        <v>0</v>
      </c>
      <c r="X498" s="81"/>
      <c r="Y498" s="81"/>
      <c r="Z498" s="81" t="s">
        <v>138</v>
      </c>
      <c r="AA498" s="81" t="s">
        <v>58</v>
      </c>
      <c r="AB498" s="81" t="s">
        <v>58</v>
      </c>
      <c r="AC498" s="83">
        <v>46108</v>
      </c>
    </row>
    <row r="499" spans="2:29" ht="23" x14ac:dyDescent="0.35">
      <c r="B499" s="81" t="s">
        <v>338</v>
      </c>
      <c r="C499" s="81" t="s">
        <v>339</v>
      </c>
      <c r="D499" s="81" t="s">
        <v>340</v>
      </c>
      <c r="E499" s="81" t="s">
        <v>806</v>
      </c>
      <c r="F499" s="162" t="s">
        <v>807</v>
      </c>
      <c r="G499" s="163"/>
      <c r="H499" s="81" t="s">
        <v>896</v>
      </c>
      <c r="I499" s="81" t="s">
        <v>809</v>
      </c>
      <c r="J499" s="81" t="s">
        <v>11</v>
      </c>
      <c r="K499" s="81" t="s">
        <v>913</v>
      </c>
      <c r="L499" s="81" t="s">
        <v>129</v>
      </c>
      <c r="M499" s="164">
        <v>24</v>
      </c>
      <c r="N499" s="165"/>
      <c r="O499" s="163"/>
      <c r="P499" s="82">
        <v>77.819999999999993</v>
      </c>
      <c r="Q499" s="164">
        <v>0</v>
      </c>
      <c r="R499" s="163"/>
      <c r="S499" s="81" t="s">
        <v>346</v>
      </c>
      <c r="T499" s="82">
        <v>65</v>
      </c>
      <c r="U499" s="82">
        <v>0</v>
      </c>
      <c r="V499" s="82">
        <v>0</v>
      </c>
      <c r="W499" s="82">
        <v>0</v>
      </c>
      <c r="X499" s="81"/>
      <c r="Y499" s="81"/>
      <c r="Z499" s="81" t="s">
        <v>138</v>
      </c>
      <c r="AA499" s="81" t="s">
        <v>58</v>
      </c>
      <c r="AB499" s="81" t="s">
        <v>58</v>
      </c>
      <c r="AC499" s="83">
        <v>46108</v>
      </c>
    </row>
    <row r="500" spans="2:29" ht="23" x14ac:dyDescent="0.35">
      <c r="B500" s="81" t="s">
        <v>338</v>
      </c>
      <c r="C500" s="81" t="s">
        <v>339</v>
      </c>
      <c r="D500" s="81" t="s">
        <v>340</v>
      </c>
      <c r="E500" s="81" t="s">
        <v>806</v>
      </c>
      <c r="F500" s="162" t="s">
        <v>807</v>
      </c>
      <c r="G500" s="163"/>
      <c r="H500" s="81" t="s">
        <v>896</v>
      </c>
      <c r="I500" s="81" t="s">
        <v>809</v>
      </c>
      <c r="J500" s="81" t="s">
        <v>11</v>
      </c>
      <c r="K500" s="81" t="s">
        <v>914</v>
      </c>
      <c r="L500" s="81" t="s">
        <v>129</v>
      </c>
      <c r="M500" s="164">
        <v>24</v>
      </c>
      <c r="N500" s="165"/>
      <c r="O500" s="163"/>
      <c r="P500" s="82">
        <v>77.819999999999993</v>
      </c>
      <c r="Q500" s="164">
        <v>0</v>
      </c>
      <c r="R500" s="163"/>
      <c r="S500" s="81" t="s">
        <v>346</v>
      </c>
      <c r="T500" s="82">
        <v>65</v>
      </c>
      <c r="U500" s="82">
        <v>0</v>
      </c>
      <c r="V500" s="82">
        <v>0</v>
      </c>
      <c r="W500" s="82">
        <v>0</v>
      </c>
      <c r="X500" s="81" t="s">
        <v>142</v>
      </c>
      <c r="Y500" s="82">
        <v>4</v>
      </c>
      <c r="Z500" s="81" t="s">
        <v>138</v>
      </c>
      <c r="AA500" s="81" t="s">
        <v>58</v>
      </c>
      <c r="AB500" s="81" t="s">
        <v>58</v>
      </c>
      <c r="AC500" s="83">
        <v>46108</v>
      </c>
    </row>
    <row r="501" spans="2:29" ht="23" x14ac:dyDescent="0.35">
      <c r="B501" s="81" t="s">
        <v>338</v>
      </c>
      <c r="C501" s="81" t="s">
        <v>339</v>
      </c>
      <c r="D501" s="81" t="s">
        <v>340</v>
      </c>
      <c r="E501" s="81" t="s">
        <v>806</v>
      </c>
      <c r="F501" s="162" t="s">
        <v>807</v>
      </c>
      <c r="G501" s="163"/>
      <c r="H501" s="81" t="s">
        <v>896</v>
      </c>
      <c r="I501" s="81" t="s">
        <v>809</v>
      </c>
      <c r="J501" s="81" t="s">
        <v>11</v>
      </c>
      <c r="K501" s="81" t="s">
        <v>915</v>
      </c>
      <c r="L501" s="81" t="s">
        <v>129</v>
      </c>
      <c r="M501" s="164">
        <v>23.8</v>
      </c>
      <c r="N501" s="165"/>
      <c r="O501" s="163"/>
      <c r="P501" s="82">
        <v>77.17</v>
      </c>
      <c r="Q501" s="164">
        <v>0</v>
      </c>
      <c r="R501" s="163"/>
      <c r="S501" s="81" t="s">
        <v>346</v>
      </c>
      <c r="T501" s="82">
        <v>65</v>
      </c>
      <c r="U501" s="82">
        <v>0</v>
      </c>
      <c r="V501" s="82">
        <v>0</v>
      </c>
      <c r="W501" s="82">
        <v>0</v>
      </c>
      <c r="X501" s="81" t="s">
        <v>143</v>
      </c>
      <c r="Y501" s="82">
        <v>12</v>
      </c>
      <c r="Z501" s="81" t="s">
        <v>138</v>
      </c>
      <c r="AA501" s="81" t="s">
        <v>58</v>
      </c>
      <c r="AB501" s="81" t="s">
        <v>58</v>
      </c>
      <c r="AC501" s="83">
        <v>46108</v>
      </c>
    </row>
    <row r="502" spans="2:29" ht="23" x14ac:dyDescent="0.35">
      <c r="B502" s="81" t="s">
        <v>338</v>
      </c>
      <c r="C502" s="81" t="s">
        <v>339</v>
      </c>
      <c r="D502" s="81" t="s">
        <v>340</v>
      </c>
      <c r="E502" s="81" t="s">
        <v>806</v>
      </c>
      <c r="F502" s="162" t="s">
        <v>807</v>
      </c>
      <c r="G502" s="163"/>
      <c r="H502" s="81" t="s">
        <v>896</v>
      </c>
      <c r="I502" s="81" t="s">
        <v>809</v>
      </c>
      <c r="J502" s="81" t="s">
        <v>11</v>
      </c>
      <c r="K502" s="81" t="s">
        <v>916</v>
      </c>
      <c r="L502" s="81" t="s">
        <v>129</v>
      </c>
      <c r="M502" s="164">
        <v>23.9</v>
      </c>
      <c r="N502" s="165"/>
      <c r="O502" s="163"/>
      <c r="P502" s="82">
        <v>77.489999999999995</v>
      </c>
      <c r="Q502" s="164">
        <v>0</v>
      </c>
      <c r="R502" s="163"/>
      <c r="S502" s="81" t="s">
        <v>346</v>
      </c>
      <c r="T502" s="82">
        <v>65</v>
      </c>
      <c r="U502" s="82">
        <v>0</v>
      </c>
      <c r="V502" s="82">
        <v>0</v>
      </c>
      <c r="W502" s="82">
        <v>0</v>
      </c>
      <c r="X502" s="81"/>
      <c r="Y502" s="81"/>
      <c r="Z502" s="81" t="s">
        <v>138</v>
      </c>
      <c r="AA502" s="81" t="s">
        <v>58</v>
      </c>
      <c r="AB502" s="81" t="s">
        <v>58</v>
      </c>
      <c r="AC502" s="83">
        <v>46108</v>
      </c>
    </row>
    <row r="503" spans="2:29" ht="23" x14ac:dyDescent="0.35">
      <c r="B503" s="81" t="s">
        <v>338</v>
      </c>
      <c r="C503" s="81" t="s">
        <v>339</v>
      </c>
      <c r="D503" s="81" t="s">
        <v>340</v>
      </c>
      <c r="E503" s="81" t="s">
        <v>806</v>
      </c>
      <c r="F503" s="162" t="s">
        <v>807</v>
      </c>
      <c r="G503" s="163"/>
      <c r="H503" s="81" t="s">
        <v>896</v>
      </c>
      <c r="I503" s="81" t="s">
        <v>809</v>
      </c>
      <c r="J503" s="81" t="s">
        <v>11</v>
      </c>
      <c r="K503" s="81" t="s">
        <v>917</v>
      </c>
      <c r="L503" s="81" t="s">
        <v>129</v>
      </c>
      <c r="M503" s="164">
        <v>24</v>
      </c>
      <c r="N503" s="165"/>
      <c r="O503" s="163"/>
      <c r="P503" s="82">
        <v>77.819999999999993</v>
      </c>
      <c r="Q503" s="164">
        <v>0</v>
      </c>
      <c r="R503" s="163"/>
      <c r="S503" s="81" t="s">
        <v>346</v>
      </c>
      <c r="T503" s="82">
        <v>65</v>
      </c>
      <c r="U503" s="82">
        <v>0</v>
      </c>
      <c r="V503" s="82">
        <v>0</v>
      </c>
      <c r="W503" s="82">
        <v>0</v>
      </c>
      <c r="X503" s="81"/>
      <c r="Y503" s="81"/>
      <c r="Z503" s="81" t="s">
        <v>138</v>
      </c>
      <c r="AA503" s="81" t="s">
        <v>58</v>
      </c>
      <c r="AB503" s="81" t="s">
        <v>58</v>
      </c>
      <c r="AC503" s="83">
        <v>46108</v>
      </c>
    </row>
    <row r="504" spans="2:29" ht="23" x14ac:dyDescent="0.35">
      <c r="B504" s="81" t="s">
        <v>338</v>
      </c>
      <c r="C504" s="81" t="s">
        <v>339</v>
      </c>
      <c r="D504" s="81" t="s">
        <v>340</v>
      </c>
      <c r="E504" s="81" t="s">
        <v>806</v>
      </c>
      <c r="F504" s="162" t="s">
        <v>807</v>
      </c>
      <c r="G504" s="163"/>
      <c r="H504" s="81" t="s">
        <v>896</v>
      </c>
      <c r="I504" s="81" t="s">
        <v>809</v>
      </c>
      <c r="J504" s="81" t="s">
        <v>11</v>
      </c>
      <c r="K504" s="81" t="s">
        <v>918</v>
      </c>
      <c r="L504" s="81" t="s">
        <v>129</v>
      </c>
      <c r="M504" s="164">
        <v>24.1</v>
      </c>
      <c r="N504" s="165"/>
      <c r="O504" s="163"/>
      <c r="P504" s="82">
        <v>78.14</v>
      </c>
      <c r="Q504" s="164">
        <v>0</v>
      </c>
      <c r="R504" s="163"/>
      <c r="S504" s="81" t="s">
        <v>346</v>
      </c>
      <c r="T504" s="82">
        <v>65</v>
      </c>
      <c r="U504" s="82">
        <v>0</v>
      </c>
      <c r="V504" s="82">
        <v>0</v>
      </c>
      <c r="W504" s="82">
        <v>0</v>
      </c>
      <c r="X504" s="81" t="s">
        <v>133</v>
      </c>
      <c r="Y504" s="82">
        <v>4</v>
      </c>
      <c r="Z504" s="81" t="s">
        <v>138</v>
      </c>
      <c r="AA504" s="81" t="s">
        <v>58</v>
      </c>
      <c r="AB504" s="81" t="s">
        <v>58</v>
      </c>
      <c r="AC504" s="83">
        <v>46108</v>
      </c>
    </row>
    <row r="505" spans="2:29" ht="23" x14ac:dyDescent="0.35">
      <c r="B505" s="81" t="s">
        <v>338</v>
      </c>
      <c r="C505" s="81" t="s">
        <v>339</v>
      </c>
      <c r="D505" s="81" t="s">
        <v>340</v>
      </c>
      <c r="E505" s="81" t="s">
        <v>806</v>
      </c>
      <c r="F505" s="162" t="s">
        <v>807</v>
      </c>
      <c r="G505" s="163"/>
      <c r="H505" s="81" t="s">
        <v>896</v>
      </c>
      <c r="I505" s="81" t="s">
        <v>809</v>
      </c>
      <c r="J505" s="81" t="s">
        <v>11</v>
      </c>
      <c r="K505" s="81" t="s">
        <v>919</v>
      </c>
      <c r="L505" s="81" t="s">
        <v>129</v>
      </c>
      <c r="M505" s="164">
        <v>23.8</v>
      </c>
      <c r="N505" s="165"/>
      <c r="O505" s="163"/>
      <c r="P505" s="82">
        <v>77.17</v>
      </c>
      <c r="Q505" s="164">
        <v>0</v>
      </c>
      <c r="R505" s="163"/>
      <c r="S505" s="81" t="s">
        <v>346</v>
      </c>
      <c r="T505" s="82">
        <v>65</v>
      </c>
      <c r="U505" s="82">
        <v>0</v>
      </c>
      <c r="V505" s="82">
        <v>0</v>
      </c>
      <c r="W505" s="82">
        <v>0</v>
      </c>
      <c r="X505" s="81"/>
      <c r="Y505" s="81"/>
      <c r="Z505" s="81" t="s">
        <v>138</v>
      </c>
      <c r="AA505" s="81" t="s">
        <v>58</v>
      </c>
      <c r="AB505" s="81" t="s">
        <v>58</v>
      </c>
      <c r="AC505" s="83">
        <v>46108</v>
      </c>
    </row>
    <row r="506" spans="2:29" ht="23" x14ac:dyDescent="0.35">
      <c r="B506" s="81" t="s">
        <v>338</v>
      </c>
      <c r="C506" s="81" t="s">
        <v>339</v>
      </c>
      <c r="D506" s="81" t="s">
        <v>340</v>
      </c>
      <c r="E506" s="81" t="s">
        <v>806</v>
      </c>
      <c r="F506" s="162" t="s">
        <v>807</v>
      </c>
      <c r="G506" s="163"/>
      <c r="H506" s="81" t="s">
        <v>896</v>
      </c>
      <c r="I506" s="81" t="s">
        <v>809</v>
      </c>
      <c r="J506" s="81" t="s">
        <v>11</v>
      </c>
      <c r="K506" s="81" t="s">
        <v>920</v>
      </c>
      <c r="L506" s="81" t="s">
        <v>129</v>
      </c>
      <c r="M506" s="164">
        <v>24.1</v>
      </c>
      <c r="N506" s="165"/>
      <c r="O506" s="163"/>
      <c r="P506" s="82">
        <v>78.14</v>
      </c>
      <c r="Q506" s="164">
        <v>0</v>
      </c>
      <c r="R506" s="163"/>
      <c r="S506" s="81" t="s">
        <v>346</v>
      </c>
      <c r="T506" s="82">
        <v>65</v>
      </c>
      <c r="U506" s="82">
        <v>0</v>
      </c>
      <c r="V506" s="82">
        <v>0</v>
      </c>
      <c r="W506" s="82">
        <v>0</v>
      </c>
      <c r="X506" s="81"/>
      <c r="Y506" s="81"/>
      <c r="Z506" s="81" t="s">
        <v>138</v>
      </c>
      <c r="AA506" s="81" t="s">
        <v>58</v>
      </c>
      <c r="AB506" s="81" t="s">
        <v>58</v>
      </c>
      <c r="AC506" s="83">
        <v>46108</v>
      </c>
    </row>
    <row r="507" spans="2:29" ht="23" x14ac:dyDescent="0.35">
      <c r="B507" s="81" t="s">
        <v>338</v>
      </c>
      <c r="C507" s="81" t="s">
        <v>339</v>
      </c>
      <c r="D507" s="81" t="s">
        <v>340</v>
      </c>
      <c r="E507" s="81" t="s">
        <v>806</v>
      </c>
      <c r="F507" s="162" t="s">
        <v>807</v>
      </c>
      <c r="G507" s="163"/>
      <c r="H507" s="81" t="s">
        <v>896</v>
      </c>
      <c r="I507" s="81" t="s">
        <v>809</v>
      </c>
      <c r="J507" s="81" t="s">
        <v>11</v>
      </c>
      <c r="K507" s="81" t="s">
        <v>921</v>
      </c>
      <c r="L507" s="81" t="s">
        <v>129</v>
      </c>
      <c r="M507" s="164">
        <v>24</v>
      </c>
      <c r="N507" s="165"/>
      <c r="O507" s="163"/>
      <c r="P507" s="82">
        <v>77.819999999999993</v>
      </c>
      <c r="Q507" s="164">
        <v>0</v>
      </c>
      <c r="R507" s="163"/>
      <c r="S507" s="81" t="s">
        <v>346</v>
      </c>
      <c r="T507" s="82">
        <v>65</v>
      </c>
      <c r="U507" s="82">
        <v>0</v>
      </c>
      <c r="V507" s="82">
        <v>0</v>
      </c>
      <c r="W507" s="82">
        <v>0</v>
      </c>
      <c r="X507" s="81"/>
      <c r="Y507" s="81"/>
      <c r="Z507" s="81" t="s">
        <v>138</v>
      </c>
      <c r="AA507" s="81" t="s">
        <v>58</v>
      </c>
      <c r="AB507" s="81" t="s">
        <v>58</v>
      </c>
      <c r="AC507" s="83">
        <v>46108</v>
      </c>
    </row>
    <row r="508" spans="2:29" ht="23" x14ac:dyDescent="0.35">
      <c r="B508" s="81" t="s">
        <v>338</v>
      </c>
      <c r="C508" s="81" t="s">
        <v>339</v>
      </c>
      <c r="D508" s="81" t="s">
        <v>340</v>
      </c>
      <c r="E508" s="81" t="s">
        <v>806</v>
      </c>
      <c r="F508" s="162" t="s">
        <v>807</v>
      </c>
      <c r="G508" s="163"/>
      <c r="H508" s="81" t="s">
        <v>896</v>
      </c>
      <c r="I508" s="81" t="s">
        <v>809</v>
      </c>
      <c r="J508" s="81" t="s">
        <v>11</v>
      </c>
      <c r="K508" s="81" t="s">
        <v>922</v>
      </c>
      <c r="L508" s="81" t="s">
        <v>129</v>
      </c>
      <c r="M508" s="164">
        <v>23.8</v>
      </c>
      <c r="N508" s="165"/>
      <c r="O508" s="163"/>
      <c r="P508" s="82">
        <v>77.17</v>
      </c>
      <c r="Q508" s="164">
        <v>0</v>
      </c>
      <c r="R508" s="163"/>
      <c r="S508" s="81" t="s">
        <v>346</v>
      </c>
      <c r="T508" s="82">
        <v>65</v>
      </c>
      <c r="U508" s="82">
        <v>0</v>
      </c>
      <c r="V508" s="82">
        <v>0</v>
      </c>
      <c r="W508" s="82">
        <v>0</v>
      </c>
      <c r="X508" s="81" t="s">
        <v>133</v>
      </c>
      <c r="Y508" s="82">
        <v>8</v>
      </c>
      <c r="Z508" s="81" t="s">
        <v>138</v>
      </c>
      <c r="AA508" s="81" t="s">
        <v>58</v>
      </c>
      <c r="AB508" s="81" t="s">
        <v>58</v>
      </c>
      <c r="AC508" s="83">
        <v>46108</v>
      </c>
    </row>
    <row r="509" spans="2:29" ht="23" x14ac:dyDescent="0.35">
      <c r="B509" s="81" t="s">
        <v>338</v>
      </c>
      <c r="C509" s="81" t="s">
        <v>339</v>
      </c>
      <c r="D509" s="81" t="s">
        <v>340</v>
      </c>
      <c r="E509" s="81" t="s">
        <v>806</v>
      </c>
      <c r="F509" s="162" t="s">
        <v>807</v>
      </c>
      <c r="G509" s="163"/>
      <c r="H509" s="81" t="s">
        <v>896</v>
      </c>
      <c r="I509" s="81" t="s">
        <v>809</v>
      </c>
      <c r="J509" s="81" t="s">
        <v>11</v>
      </c>
      <c r="K509" s="81" t="s">
        <v>923</v>
      </c>
      <c r="L509" s="81" t="s">
        <v>129</v>
      </c>
      <c r="M509" s="164">
        <v>23.9</v>
      </c>
      <c r="N509" s="165"/>
      <c r="O509" s="163"/>
      <c r="P509" s="82">
        <v>77.489999999999995</v>
      </c>
      <c r="Q509" s="164">
        <v>0</v>
      </c>
      <c r="R509" s="163"/>
      <c r="S509" s="81" t="s">
        <v>346</v>
      </c>
      <c r="T509" s="82">
        <v>65</v>
      </c>
      <c r="U509" s="82">
        <v>0</v>
      </c>
      <c r="V509" s="82">
        <v>0</v>
      </c>
      <c r="W509" s="82">
        <v>0</v>
      </c>
      <c r="X509" s="81" t="s">
        <v>133</v>
      </c>
      <c r="Y509" s="82">
        <v>8</v>
      </c>
      <c r="Z509" s="81" t="s">
        <v>138</v>
      </c>
      <c r="AA509" s="81" t="s">
        <v>58</v>
      </c>
      <c r="AB509" s="81" t="s">
        <v>58</v>
      </c>
      <c r="AC509" s="83">
        <v>46108</v>
      </c>
    </row>
    <row r="510" spans="2:29" ht="23" x14ac:dyDescent="0.35">
      <c r="B510" s="81" t="s">
        <v>338</v>
      </c>
      <c r="C510" s="81" t="s">
        <v>339</v>
      </c>
      <c r="D510" s="81" t="s">
        <v>340</v>
      </c>
      <c r="E510" s="81" t="s">
        <v>806</v>
      </c>
      <c r="F510" s="162" t="s">
        <v>807</v>
      </c>
      <c r="G510" s="163"/>
      <c r="H510" s="81" t="s">
        <v>896</v>
      </c>
      <c r="I510" s="81" t="s">
        <v>809</v>
      </c>
      <c r="J510" s="81" t="s">
        <v>11</v>
      </c>
      <c r="K510" s="81" t="s">
        <v>924</v>
      </c>
      <c r="L510" s="81" t="s">
        <v>129</v>
      </c>
      <c r="M510" s="164">
        <v>23.9</v>
      </c>
      <c r="N510" s="165"/>
      <c r="O510" s="163"/>
      <c r="P510" s="82">
        <v>77.489999999999995</v>
      </c>
      <c r="Q510" s="164">
        <v>0</v>
      </c>
      <c r="R510" s="163"/>
      <c r="S510" s="81" t="s">
        <v>346</v>
      </c>
      <c r="T510" s="82">
        <v>65</v>
      </c>
      <c r="U510" s="82">
        <v>0</v>
      </c>
      <c r="V510" s="82">
        <v>0</v>
      </c>
      <c r="W510" s="82">
        <v>0</v>
      </c>
      <c r="X510" s="81"/>
      <c r="Y510" s="81"/>
      <c r="Z510" s="81" t="s">
        <v>138</v>
      </c>
      <c r="AA510" s="81" t="s">
        <v>58</v>
      </c>
      <c r="AB510" s="81" t="s">
        <v>58</v>
      </c>
      <c r="AC510" s="83">
        <v>46108</v>
      </c>
    </row>
    <row r="511" spans="2:29" ht="23" x14ac:dyDescent="0.35">
      <c r="B511" s="81" t="s">
        <v>338</v>
      </c>
      <c r="C511" s="81" t="s">
        <v>339</v>
      </c>
      <c r="D511" s="81" t="s">
        <v>340</v>
      </c>
      <c r="E511" s="81" t="s">
        <v>806</v>
      </c>
      <c r="F511" s="162" t="s">
        <v>807</v>
      </c>
      <c r="G511" s="163"/>
      <c r="H511" s="81" t="s">
        <v>896</v>
      </c>
      <c r="I511" s="81" t="s">
        <v>809</v>
      </c>
      <c r="J511" s="81" t="s">
        <v>11</v>
      </c>
      <c r="K511" s="81" t="s">
        <v>925</v>
      </c>
      <c r="L511" s="81" t="s">
        <v>129</v>
      </c>
      <c r="M511" s="164">
        <v>23.7</v>
      </c>
      <c r="N511" s="165"/>
      <c r="O511" s="163"/>
      <c r="P511" s="82">
        <v>76.84</v>
      </c>
      <c r="Q511" s="164">
        <v>0</v>
      </c>
      <c r="R511" s="163"/>
      <c r="S511" s="81" t="s">
        <v>346</v>
      </c>
      <c r="T511" s="82">
        <v>65</v>
      </c>
      <c r="U511" s="82">
        <v>0</v>
      </c>
      <c r="V511" s="82">
        <v>0</v>
      </c>
      <c r="W511" s="82">
        <v>0</v>
      </c>
      <c r="X511" s="81"/>
      <c r="Y511" s="81"/>
      <c r="Z511" s="81" t="s">
        <v>138</v>
      </c>
      <c r="AA511" s="81" t="s">
        <v>58</v>
      </c>
      <c r="AB511" s="81" t="s">
        <v>58</v>
      </c>
      <c r="AC511" s="83">
        <v>46108</v>
      </c>
    </row>
    <row r="512" spans="2:29" ht="23" x14ac:dyDescent="0.35">
      <c r="B512" s="81" t="s">
        <v>338</v>
      </c>
      <c r="C512" s="81" t="s">
        <v>339</v>
      </c>
      <c r="D512" s="81" t="s">
        <v>340</v>
      </c>
      <c r="E512" s="81" t="s">
        <v>806</v>
      </c>
      <c r="F512" s="162" t="s">
        <v>807</v>
      </c>
      <c r="G512" s="163"/>
      <c r="H512" s="81" t="s">
        <v>896</v>
      </c>
      <c r="I512" s="81" t="s">
        <v>809</v>
      </c>
      <c r="J512" s="81" t="s">
        <v>11</v>
      </c>
      <c r="K512" s="81" t="s">
        <v>926</v>
      </c>
      <c r="L512" s="81" t="s">
        <v>129</v>
      </c>
      <c r="M512" s="164">
        <v>21.4</v>
      </c>
      <c r="N512" s="165"/>
      <c r="O512" s="163"/>
      <c r="P512" s="82">
        <v>69.39</v>
      </c>
      <c r="Q512" s="164">
        <v>0</v>
      </c>
      <c r="R512" s="163"/>
      <c r="S512" s="81" t="s">
        <v>346</v>
      </c>
      <c r="T512" s="82">
        <v>65</v>
      </c>
      <c r="U512" s="82">
        <v>0</v>
      </c>
      <c r="V512" s="82">
        <v>0</v>
      </c>
      <c r="W512" s="82">
        <v>0</v>
      </c>
      <c r="X512" s="81" t="s">
        <v>133</v>
      </c>
      <c r="Y512" s="82">
        <v>12</v>
      </c>
      <c r="Z512" s="81" t="s">
        <v>138</v>
      </c>
      <c r="AA512" s="81" t="s">
        <v>58</v>
      </c>
      <c r="AB512" s="81" t="s">
        <v>58</v>
      </c>
      <c r="AC512" s="83">
        <v>46108</v>
      </c>
    </row>
    <row r="513" spans="2:29" ht="23" x14ac:dyDescent="0.35">
      <c r="B513" s="81" t="s">
        <v>338</v>
      </c>
      <c r="C513" s="81" t="s">
        <v>339</v>
      </c>
      <c r="D513" s="81" t="s">
        <v>340</v>
      </c>
      <c r="E513" s="81" t="s">
        <v>806</v>
      </c>
      <c r="F513" s="162" t="s">
        <v>807</v>
      </c>
      <c r="G513" s="163"/>
      <c r="H513" s="81" t="s">
        <v>896</v>
      </c>
      <c r="I513" s="81" t="s">
        <v>809</v>
      </c>
      <c r="J513" s="81" t="s">
        <v>11</v>
      </c>
      <c r="K513" s="81" t="s">
        <v>927</v>
      </c>
      <c r="L513" s="81" t="s">
        <v>129</v>
      </c>
      <c r="M513" s="164">
        <v>23.9</v>
      </c>
      <c r="N513" s="165"/>
      <c r="O513" s="163"/>
      <c r="P513" s="82">
        <v>77.489999999999995</v>
      </c>
      <c r="Q513" s="164">
        <v>0</v>
      </c>
      <c r="R513" s="163"/>
      <c r="S513" s="81" t="s">
        <v>346</v>
      </c>
      <c r="T513" s="82">
        <v>65</v>
      </c>
      <c r="U513" s="82">
        <v>0</v>
      </c>
      <c r="V513" s="82">
        <v>0</v>
      </c>
      <c r="W513" s="82">
        <v>0</v>
      </c>
      <c r="X513" s="81" t="s">
        <v>133</v>
      </c>
      <c r="Y513" s="82">
        <v>1</v>
      </c>
      <c r="Z513" s="81" t="s">
        <v>138</v>
      </c>
      <c r="AA513" s="81" t="s">
        <v>58</v>
      </c>
      <c r="AB513" s="81" t="s">
        <v>58</v>
      </c>
      <c r="AC513" s="83">
        <v>46108</v>
      </c>
    </row>
    <row r="514" spans="2:29" ht="23" x14ac:dyDescent="0.35">
      <c r="B514" s="81" t="s">
        <v>338</v>
      </c>
      <c r="C514" s="81" t="s">
        <v>339</v>
      </c>
      <c r="D514" s="81" t="s">
        <v>340</v>
      </c>
      <c r="E514" s="81" t="s">
        <v>806</v>
      </c>
      <c r="F514" s="162" t="s">
        <v>807</v>
      </c>
      <c r="G514" s="163"/>
      <c r="H514" s="81" t="s">
        <v>896</v>
      </c>
      <c r="I514" s="81" t="s">
        <v>809</v>
      </c>
      <c r="J514" s="81" t="s">
        <v>11</v>
      </c>
      <c r="K514" s="81" t="s">
        <v>928</v>
      </c>
      <c r="L514" s="81" t="s">
        <v>129</v>
      </c>
      <c r="M514" s="164">
        <v>23.8</v>
      </c>
      <c r="N514" s="165"/>
      <c r="O514" s="163"/>
      <c r="P514" s="82">
        <v>77.17</v>
      </c>
      <c r="Q514" s="164">
        <v>0</v>
      </c>
      <c r="R514" s="163"/>
      <c r="S514" s="81" t="s">
        <v>346</v>
      </c>
      <c r="T514" s="82">
        <v>65</v>
      </c>
      <c r="U514" s="82">
        <v>0</v>
      </c>
      <c r="V514" s="82">
        <v>0</v>
      </c>
      <c r="W514" s="82">
        <v>0</v>
      </c>
      <c r="X514" s="81"/>
      <c r="Y514" s="81"/>
      <c r="Z514" s="81" t="s">
        <v>138</v>
      </c>
      <c r="AA514" s="81" t="s">
        <v>58</v>
      </c>
      <c r="AB514" s="81" t="s">
        <v>58</v>
      </c>
      <c r="AC514" s="83">
        <v>46108</v>
      </c>
    </row>
    <row r="515" spans="2:29" ht="23" x14ac:dyDescent="0.35">
      <c r="B515" s="81" t="s">
        <v>338</v>
      </c>
      <c r="C515" s="81" t="s">
        <v>339</v>
      </c>
      <c r="D515" s="81" t="s">
        <v>340</v>
      </c>
      <c r="E515" s="81" t="s">
        <v>806</v>
      </c>
      <c r="F515" s="162" t="s">
        <v>807</v>
      </c>
      <c r="G515" s="163"/>
      <c r="H515" s="81" t="s">
        <v>896</v>
      </c>
      <c r="I515" s="81" t="s">
        <v>809</v>
      </c>
      <c r="J515" s="81" t="s">
        <v>11</v>
      </c>
      <c r="K515" s="81" t="s">
        <v>929</v>
      </c>
      <c r="L515" s="81" t="s">
        <v>129</v>
      </c>
      <c r="M515" s="164">
        <v>23.9</v>
      </c>
      <c r="N515" s="165"/>
      <c r="O515" s="163"/>
      <c r="P515" s="82">
        <v>77.489999999999995</v>
      </c>
      <c r="Q515" s="164">
        <v>0</v>
      </c>
      <c r="R515" s="163"/>
      <c r="S515" s="81" t="s">
        <v>346</v>
      </c>
      <c r="T515" s="82">
        <v>65</v>
      </c>
      <c r="U515" s="82">
        <v>0</v>
      </c>
      <c r="V515" s="82">
        <v>0</v>
      </c>
      <c r="W515" s="82">
        <v>0</v>
      </c>
      <c r="X515" s="81" t="s">
        <v>133</v>
      </c>
      <c r="Y515" s="82">
        <v>4</v>
      </c>
      <c r="Z515" s="81" t="s">
        <v>138</v>
      </c>
      <c r="AA515" s="81" t="s">
        <v>58</v>
      </c>
      <c r="AB515" s="81" t="s">
        <v>58</v>
      </c>
      <c r="AC515" s="83">
        <v>46108</v>
      </c>
    </row>
    <row r="516" spans="2:29" ht="23" x14ac:dyDescent="0.35">
      <c r="B516" s="81" t="s">
        <v>338</v>
      </c>
      <c r="C516" s="81" t="s">
        <v>339</v>
      </c>
      <c r="D516" s="81" t="s">
        <v>340</v>
      </c>
      <c r="E516" s="81" t="s">
        <v>806</v>
      </c>
      <c r="F516" s="162" t="s">
        <v>807</v>
      </c>
      <c r="G516" s="163"/>
      <c r="H516" s="81" t="s">
        <v>896</v>
      </c>
      <c r="I516" s="81" t="s">
        <v>809</v>
      </c>
      <c r="J516" s="81" t="s">
        <v>11</v>
      </c>
      <c r="K516" s="81" t="s">
        <v>930</v>
      </c>
      <c r="L516" s="81" t="s">
        <v>129</v>
      </c>
      <c r="M516" s="164">
        <v>23.9</v>
      </c>
      <c r="N516" s="165"/>
      <c r="O516" s="163"/>
      <c r="P516" s="82">
        <v>77.489999999999995</v>
      </c>
      <c r="Q516" s="164">
        <v>0</v>
      </c>
      <c r="R516" s="163"/>
      <c r="S516" s="81" t="s">
        <v>346</v>
      </c>
      <c r="T516" s="82">
        <v>65</v>
      </c>
      <c r="U516" s="82">
        <v>0</v>
      </c>
      <c r="V516" s="82">
        <v>0</v>
      </c>
      <c r="W516" s="82">
        <v>0</v>
      </c>
      <c r="X516" s="81"/>
      <c r="Y516" s="81"/>
      <c r="Z516" s="81" t="s">
        <v>138</v>
      </c>
      <c r="AA516" s="81" t="s">
        <v>58</v>
      </c>
      <c r="AB516" s="81" t="s">
        <v>58</v>
      </c>
      <c r="AC516" s="83">
        <v>46108</v>
      </c>
    </row>
    <row r="517" spans="2:29" ht="23" x14ac:dyDescent="0.35">
      <c r="B517" s="81" t="s">
        <v>338</v>
      </c>
      <c r="C517" s="81" t="s">
        <v>339</v>
      </c>
      <c r="D517" s="81" t="s">
        <v>340</v>
      </c>
      <c r="E517" s="81" t="s">
        <v>806</v>
      </c>
      <c r="F517" s="162" t="s">
        <v>807</v>
      </c>
      <c r="G517" s="163"/>
      <c r="H517" s="81" t="s">
        <v>896</v>
      </c>
      <c r="I517" s="81" t="s">
        <v>809</v>
      </c>
      <c r="J517" s="81" t="s">
        <v>11</v>
      </c>
      <c r="K517" s="81" t="s">
        <v>931</v>
      </c>
      <c r="L517" s="81" t="s">
        <v>129</v>
      </c>
      <c r="M517" s="164">
        <v>23.9</v>
      </c>
      <c r="N517" s="165"/>
      <c r="O517" s="163"/>
      <c r="P517" s="82">
        <v>77.489999999999995</v>
      </c>
      <c r="Q517" s="164">
        <v>0</v>
      </c>
      <c r="R517" s="163"/>
      <c r="S517" s="81" t="s">
        <v>346</v>
      </c>
      <c r="T517" s="82">
        <v>65</v>
      </c>
      <c r="U517" s="82">
        <v>0</v>
      </c>
      <c r="V517" s="82">
        <v>0</v>
      </c>
      <c r="W517" s="82">
        <v>0</v>
      </c>
      <c r="X517" s="81" t="s">
        <v>133</v>
      </c>
      <c r="Y517" s="82">
        <v>16</v>
      </c>
      <c r="Z517" s="81" t="s">
        <v>138</v>
      </c>
      <c r="AA517" s="81" t="s">
        <v>58</v>
      </c>
      <c r="AB517" s="81" t="s">
        <v>58</v>
      </c>
      <c r="AC517" s="83">
        <v>46108</v>
      </c>
    </row>
    <row r="518" spans="2:29" ht="23" x14ac:dyDescent="0.35">
      <c r="B518" s="81" t="s">
        <v>338</v>
      </c>
      <c r="C518" s="81" t="s">
        <v>339</v>
      </c>
      <c r="D518" s="81" t="s">
        <v>340</v>
      </c>
      <c r="E518" s="81" t="s">
        <v>806</v>
      </c>
      <c r="F518" s="162" t="s">
        <v>807</v>
      </c>
      <c r="G518" s="163"/>
      <c r="H518" s="81" t="s">
        <v>896</v>
      </c>
      <c r="I518" s="81" t="s">
        <v>809</v>
      </c>
      <c r="J518" s="81" t="s">
        <v>11</v>
      </c>
      <c r="K518" s="81" t="s">
        <v>932</v>
      </c>
      <c r="L518" s="81" t="s">
        <v>129</v>
      </c>
      <c r="M518" s="164">
        <v>23.9</v>
      </c>
      <c r="N518" s="165"/>
      <c r="O518" s="163"/>
      <c r="P518" s="82">
        <v>77.489999999999995</v>
      </c>
      <c r="Q518" s="164">
        <v>0</v>
      </c>
      <c r="R518" s="163"/>
      <c r="S518" s="81" t="s">
        <v>346</v>
      </c>
      <c r="T518" s="82">
        <v>65</v>
      </c>
      <c r="U518" s="82">
        <v>0</v>
      </c>
      <c r="V518" s="82">
        <v>0</v>
      </c>
      <c r="W518" s="82">
        <v>0</v>
      </c>
      <c r="X518" s="81"/>
      <c r="Y518" s="81"/>
      <c r="Z518" s="81" t="s">
        <v>138</v>
      </c>
      <c r="AA518" s="81" t="s">
        <v>58</v>
      </c>
      <c r="AB518" s="81" t="s">
        <v>58</v>
      </c>
      <c r="AC518" s="83">
        <v>46108</v>
      </c>
    </row>
    <row r="519" spans="2:29" ht="23" x14ac:dyDescent="0.35">
      <c r="B519" s="81" t="s">
        <v>338</v>
      </c>
      <c r="C519" s="81" t="s">
        <v>339</v>
      </c>
      <c r="D519" s="81" t="s">
        <v>340</v>
      </c>
      <c r="E519" s="81" t="s">
        <v>806</v>
      </c>
      <c r="F519" s="162" t="s">
        <v>807</v>
      </c>
      <c r="G519" s="163"/>
      <c r="H519" s="81" t="s">
        <v>896</v>
      </c>
      <c r="I519" s="81" t="s">
        <v>809</v>
      </c>
      <c r="J519" s="81" t="s">
        <v>11</v>
      </c>
      <c r="K519" s="81" t="s">
        <v>933</v>
      </c>
      <c r="L519" s="81" t="s">
        <v>129</v>
      </c>
      <c r="M519" s="164">
        <v>23.9</v>
      </c>
      <c r="N519" s="165"/>
      <c r="O519" s="163"/>
      <c r="P519" s="82">
        <v>77.489999999999995</v>
      </c>
      <c r="Q519" s="164">
        <v>0</v>
      </c>
      <c r="R519" s="163"/>
      <c r="S519" s="81" t="s">
        <v>346</v>
      </c>
      <c r="T519" s="82">
        <v>65</v>
      </c>
      <c r="U519" s="82">
        <v>0</v>
      </c>
      <c r="V519" s="82">
        <v>0</v>
      </c>
      <c r="W519" s="82">
        <v>0</v>
      </c>
      <c r="X519" s="81" t="s">
        <v>139</v>
      </c>
      <c r="Y519" s="82">
        <v>4</v>
      </c>
      <c r="Z519" s="81" t="s">
        <v>138</v>
      </c>
      <c r="AA519" s="81" t="s">
        <v>58</v>
      </c>
      <c r="AB519" s="81" t="s">
        <v>58</v>
      </c>
      <c r="AC519" s="83">
        <v>46108</v>
      </c>
    </row>
    <row r="520" spans="2:29" ht="23" x14ac:dyDescent="0.35">
      <c r="B520" s="81" t="s">
        <v>338</v>
      </c>
      <c r="C520" s="81" t="s">
        <v>339</v>
      </c>
      <c r="D520" s="81" t="s">
        <v>340</v>
      </c>
      <c r="E520" s="81" t="s">
        <v>806</v>
      </c>
      <c r="F520" s="162" t="s">
        <v>807</v>
      </c>
      <c r="G520" s="163"/>
      <c r="H520" s="81" t="s">
        <v>896</v>
      </c>
      <c r="I520" s="81" t="s">
        <v>809</v>
      </c>
      <c r="J520" s="81" t="s">
        <v>11</v>
      </c>
      <c r="K520" s="81" t="s">
        <v>934</v>
      </c>
      <c r="L520" s="81" t="s">
        <v>129</v>
      </c>
      <c r="M520" s="164">
        <v>24.1</v>
      </c>
      <c r="N520" s="165"/>
      <c r="O520" s="163"/>
      <c r="P520" s="82">
        <v>78.14</v>
      </c>
      <c r="Q520" s="164">
        <v>0</v>
      </c>
      <c r="R520" s="163"/>
      <c r="S520" s="81" t="s">
        <v>346</v>
      </c>
      <c r="T520" s="82">
        <v>65</v>
      </c>
      <c r="U520" s="82">
        <v>0</v>
      </c>
      <c r="V520" s="82">
        <v>0</v>
      </c>
      <c r="W520" s="82">
        <v>0</v>
      </c>
      <c r="X520" s="81" t="s">
        <v>133</v>
      </c>
      <c r="Y520" s="82">
        <v>4</v>
      </c>
      <c r="Z520" s="81" t="s">
        <v>138</v>
      </c>
      <c r="AA520" s="81" t="s">
        <v>58</v>
      </c>
      <c r="AB520" s="81" t="s">
        <v>58</v>
      </c>
      <c r="AC520" s="83">
        <v>46108</v>
      </c>
    </row>
    <row r="521" spans="2:29" ht="23" x14ac:dyDescent="0.35">
      <c r="B521" s="81" t="s">
        <v>338</v>
      </c>
      <c r="C521" s="81" t="s">
        <v>339</v>
      </c>
      <c r="D521" s="81" t="s">
        <v>340</v>
      </c>
      <c r="E521" s="81" t="s">
        <v>806</v>
      </c>
      <c r="F521" s="162" t="s">
        <v>807</v>
      </c>
      <c r="G521" s="163"/>
      <c r="H521" s="81" t="s">
        <v>896</v>
      </c>
      <c r="I521" s="81" t="s">
        <v>809</v>
      </c>
      <c r="J521" s="81" t="s">
        <v>11</v>
      </c>
      <c r="K521" s="81" t="s">
        <v>935</v>
      </c>
      <c r="L521" s="81" t="s">
        <v>129</v>
      </c>
      <c r="M521" s="164">
        <v>33.6</v>
      </c>
      <c r="N521" s="165"/>
      <c r="O521" s="163"/>
      <c r="P521" s="82">
        <v>108.94</v>
      </c>
      <c r="Q521" s="164">
        <v>0</v>
      </c>
      <c r="R521" s="163"/>
      <c r="S521" s="81" t="s">
        <v>346</v>
      </c>
      <c r="T521" s="82">
        <v>65</v>
      </c>
      <c r="U521" s="82">
        <v>0</v>
      </c>
      <c r="V521" s="82">
        <v>0</v>
      </c>
      <c r="W521" s="82">
        <v>0</v>
      </c>
      <c r="X521" s="81" t="s">
        <v>133</v>
      </c>
      <c r="Y521" s="82">
        <v>4</v>
      </c>
      <c r="Z521" s="81" t="s">
        <v>138</v>
      </c>
      <c r="AA521" s="81" t="s">
        <v>58</v>
      </c>
      <c r="AB521" s="81" t="s">
        <v>58</v>
      </c>
      <c r="AC521" s="83">
        <v>46108</v>
      </c>
    </row>
    <row r="522" spans="2:29" ht="23" x14ac:dyDescent="0.35">
      <c r="B522" s="81" t="s">
        <v>338</v>
      </c>
      <c r="C522" s="81" t="s">
        <v>339</v>
      </c>
      <c r="D522" s="81" t="s">
        <v>340</v>
      </c>
      <c r="E522" s="81" t="s">
        <v>806</v>
      </c>
      <c r="F522" s="162" t="s">
        <v>807</v>
      </c>
      <c r="G522" s="163"/>
      <c r="H522" s="81" t="s">
        <v>896</v>
      </c>
      <c r="I522" s="81" t="s">
        <v>809</v>
      </c>
      <c r="J522" s="81" t="s">
        <v>11</v>
      </c>
      <c r="K522" s="81" t="s">
        <v>936</v>
      </c>
      <c r="L522" s="81" t="s">
        <v>129</v>
      </c>
      <c r="M522" s="164">
        <v>24.1</v>
      </c>
      <c r="N522" s="165"/>
      <c r="O522" s="163"/>
      <c r="P522" s="82">
        <v>78.14</v>
      </c>
      <c r="Q522" s="164">
        <v>0</v>
      </c>
      <c r="R522" s="163"/>
      <c r="S522" s="81" t="s">
        <v>346</v>
      </c>
      <c r="T522" s="82">
        <v>65</v>
      </c>
      <c r="U522" s="82">
        <v>0</v>
      </c>
      <c r="V522" s="82">
        <v>0</v>
      </c>
      <c r="W522" s="82">
        <v>0</v>
      </c>
      <c r="X522" s="81" t="s">
        <v>133</v>
      </c>
      <c r="Y522" s="82">
        <v>4</v>
      </c>
      <c r="Z522" s="81" t="s">
        <v>138</v>
      </c>
      <c r="AA522" s="81" t="s">
        <v>58</v>
      </c>
      <c r="AB522" s="81" t="s">
        <v>58</v>
      </c>
      <c r="AC522" s="83">
        <v>46108</v>
      </c>
    </row>
    <row r="523" spans="2:29" ht="23" x14ac:dyDescent="0.35">
      <c r="B523" s="81" t="s">
        <v>338</v>
      </c>
      <c r="C523" s="81" t="s">
        <v>339</v>
      </c>
      <c r="D523" s="81" t="s">
        <v>340</v>
      </c>
      <c r="E523" s="81" t="s">
        <v>806</v>
      </c>
      <c r="F523" s="162" t="s">
        <v>807</v>
      </c>
      <c r="G523" s="163"/>
      <c r="H523" s="81" t="s">
        <v>896</v>
      </c>
      <c r="I523" s="81" t="s">
        <v>809</v>
      </c>
      <c r="J523" s="81" t="s">
        <v>11</v>
      </c>
      <c r="K523" s="81" t="s">
        <v>937</v>
      </c>
      <c r="L523" s="81" t="s">
        <v>129</v>
      </c>
      <c r="M523" s="164">
        <v>24.1</v>
      </c>
      <c r="N523" s="165"/>
      <c r="O523" s="163"/>
      <c r="P523" s="82">
        <v>78.14</v>
      </c>
      <c r="Q523" s="164">
        <v>0</v>
      </c>
      <c r="R523" s="163"/>
      <c r="S523" s="81" t="s">
        <v>346</v>
      </c>
      <c r="T523" s="82">
        <v>65</v>
      </c>
      <c r="U523" s="82">
        <v>0</v>
      </c>
      <c r="V523" s="82">
        <v>0</v>
      </c>
      <c r="W523" s="82">
        <v>0</v>
      </c>
      <c r="X523" s="81" t="s">
        <v>133</v>
      </c>
      <c r="Y523" s="82">
        <v>4</v>
      </c>
      <c r="Z523" s="81" t="s">
        <v>138</v>
      </c>
      <c r="AA523" s="81" t="s">
        <v>58</v>
      </c>
      <c r="AB523" s="81" t="s">
        <v>58</v>
      </c>
      <c r="AC523" s="83">
        <v>46108</v>
      </c>
    </row>
    <row r="524" spans="2:29" ht="23" x14ac:dyDescent="0.35">
      <c r="B524" s="81" t="s">
        <v>338</v>
      </c>
      <c r="C524" s="81" t="s">
        <v>339</v>
      </c>
      <c r="D524" s="81" t="s">
        <v>340</v>
      </c>
      <c r="E524" s="81" t="s">
        <v>806</v>
      </c>
      <c r="F524" s="162" t="s">
        <v>807</v>
      </c>
      <c r="G524" s="163"/>
      <c r="H524" s="81" t="s">
        <v>896</v>
      </c>
      <c r="I524" s="81" t="s">
        <v>809</v>
      </c>
      <c r="J524" s="81" t="s">
        <v>11</v>
      </c>
      <c r="K524" s="81" t="s">
        <v>938</v>
      </c>
      <c r="L524" s="81" t="s">
        <v>129</v>
      </c>
      <c r="M524" s="164">
        <v>24.2</v>
      </c>
      <c r="N524" s="165"/>
      <c r="O524" s="163"/>
      <c r="P524" s="82">
        <v>78.47</v>
      </c>
      <c r="Q524" s="164">
        <v>0</v>
      </c>
      <c r="R524" s="163"/>
      <c r="S524" s="81" t="s">
        <v>346</v>
      </c>
      <c r="T524" s="82">
        <v>65</v>
      </c>
      <c r="U524" s="82">
        <v>0</v>
      </c>
      <c r="V524" s="82">
        <v>0</v>
      </c>
      <c r="W524" s="82">
        <v>0</v>
      </c>
      <c r="X524" s="81"/>
      <c r="Y524" s="81"/>
      <c r="Z524" s="81" t="s">
        <v>138</v>
      </c>
      <c r="AA524" s="81" t="s">
        <v>58</v>
      </c>
      <c r="AB524" s="81" t="s">
        <v>58</v>
      </c>
      <c r="AC524" s="83">
        <v>46108</v>
      </c>
    </row>
    <row r="525" spans="2:29" ht="23" x14ac:dyDescent="0.35">
      <c r="B525" s="81" t="s">
        <v>338</v>
      </c>
      <c r="C525" s="81" t="s">
        <v>339</v>
      </c>
      <c r="D525" s="81" t="s">
        <v>340</v>
      </c>
      <c r="E525" s="81" t="s">
        <v>806</v>
      </c>
      <c r="F525" s="162" t="s">
        <v>807</v>
      </c>
      <c r="G525" s="163"/>
      <c r="H525" s="81" t="s">
        <v>896</v>
      </c>
      <c r="I525" s="81" t="s">
        <v>809</v>
      </c>
      <c r="J525" s="81" t="s">
        <v>11</v>
      </c>
      <c r="K525" s="81" t="s">
        <v>939</v>
      </c>
      <c r="L525" s="81" t="s">
        <v>129</v>
      </c>
      <c r="M525" s="164">
        <v>24.2</v>
      </c>
      <c r="N525" s="165"/>
      <c r="O525" s="163"/>
      <c r="P525" s="82">
        <v>78.47</v>
      </c>
      <c r="Q525" s="164">
        <v>0</v>
      </c>
      <c r="R525" s="163"/>
      <c r="S525" s="81" t="s">
        <v>346</v>
      </c>
      <c r="T525" s="82">
        <v>65</v>
      </c>
      <c r="U525" s="82">
        <v>0</v>
      </c>
      <c r="V525" s="82">
        <v>0</v>
      </c>
      <c r="W525" s="82">
        <v>0</v>
      </c>
      <c r="X525" s="81" t="s">
        <v>139</v>
      </c>
      <c r="Y525" s="82">
        <v>4</v>
      </c>
      <c r="Z525" s="81" t="s">
        <v>138</v>
      </c>
      <c r="AA525" s="81" t="s">
        <v>58</v>
      </c>
      <c r="AB525" s="81" t="s">
        <v>58</v>
      </c>
      <c r="AC525" s="83">
        <v>46108</v>
      </c>
    </row>
    <row r="526" spans="2:29" ht="23" x14ac:dyDescent="0.35">
      <c r="B526" s="81" t="s">
        <v>338</v>
      </c>
      <c r="C526" s="81" t="s">
        <v>339</v>
      </c>
      <c r="D526" s="81" t="s">
        <v>340</v>
      </c>
      <c r="E526" s="81" t="s">
        <v>806</v>
      </c>
      <c r="F526" s="162" t="s">
        <v>807</v>
      </c>
      <c r="G526" s="163"/>
      <c r="H526" s="81" t="s">
        <v>896</v>
      </c>
      <c r="I526" s="81" t="s">
        <v>809</v>
      </c>
      <c r="J526" s="81" t="s">
        <v>11</v>
      </c>
      <c r="K526" s="81" t="s">
        <v>940</v>
      </c>
      <c r="L526" s="81" t="s">
        <v>129</v>
      </c>
      <c r="M526" s="164">
        <v>23.8</v>
      </c>
      <c r="N526" s="165"/>
      <c r="O526" s="163"/>
      <c r="P526" s="82">
        <v>77.17</v>
      </c>
      <c r="Q526" s="164">
        <v>0</v>
      </c>
      <c r="R526" s="163"/>
      <c r="S526" s="81" t="s">
        <v>346</v>
      </c>
      <c r="T526" s="82">
        <v>65</v>
      </c>
      <c r="U526" s="82">
        <v>0</v>
      </c>
      <c r="V526" s="82">
        <v>0</v>
      </c>
      <c r="W526" s="82">
        <v>0</v>
      </c>
      <c r="X526" s="81"/>
      <c r="Y526" s="81"/>
      <c r="Z526" s="81" t="s">
        <v>138</v>
      </c>
      <c r="AA526" s="81" t="s">
        <v>58</v>
      </c>
      <c r="AB526" s="81" t="s">
        <v>58</v>
      </c>
      <c r="AC526" s="83">
        <v>46108</v>
      </c>
    </row>
    <row r="527" spans="2:29" ht="23" x14ac:dyDescent="0.35">
      <c r="B527" s="81" t="s">
        <v>338</v>
      </c>
      <c r="C527" s="81" t="s">
        <v>339</v>
      </c>
      <c r="D527" s="81" t="s">
        <v>340</v>
      </c>
      <c r="E527" s="81" t="s">
        <v>806</v>
      </c>
      <c r="F527" s="162" t="s">
        <v>807</v>
      </c>
      <c r="G527" s="163"/>
      <c r="H527" s="81" t="s">
        <v>896</v>
      </c>
      <c r="I527" s="81" t="s">
        <v>809</v>
      </c>
      <c r="J527" s="81" t="s">
        <v>11</v>
      </c>
      <c r="K527" s="81" t="s">
        <v>941</v>
      </c>
      <c r="L527" s="81" t="s">
        <v>129</v>
      </c>
      <c r="M527" s="164">
        <v>24.1</v>
      </c>
      <c r="N527" s="165"/>
      <c r="O527" s="163"/>
      <c r="P527" s="82">
        <v>79.34</v>
      </c>
      <c r="Q527" s="164">
        <v>0</v>
      </c>
      <c r="R527" s="163"/>
      <c r="S527" s="81" t="s">
        <v>346</v>
      </c>
      <c r="T527" s="82">
        <v>65</v>
      </c>
      <c r="U527" s="82">
        <v>0</v>
      </c>
      <c r="V527" s="82">
        <v>0</v>
      </c>
      <c r="W527" s="82">
        <v>0</v>
      </c>
      <c r="X527" s="81" t="s">
        <v>133</v>
      </c>
      <c r="Y527" s="82">
        <v>4</v>
      </c>
      <c r="Z527" s="81" t="s">
        <v>138</v>
      </c>
      <c r="AA527" s="81" t="s">
        <v>58</v>
      </c>
      <c r="AB527" s="81" t="s">
        <v>58</v>
      </c>
      <c r="AC527" s="83">
        <v>46108</v>
      </c>
    </row>
    <row r="528" spans="2:29" ht="23" x14ac:dyDescent="0.35">
      <c r="B528" s="81" t="s">
        <v>338</v>
      </c>
      <c r="C528" s="81" t="s">
        <v>339</v>
      </c>
      <c r="D528" s="81" t="s">
        <v>340</v>
      </c>
      <c r="E528" s="81" t="s">
        <v>806</v>
      </c>
      <c r="F528" s="162" t="s">
        <v>807</v>
      </c>
      <c r="G528" s="163"/>
      <c r="H528" s="81" t="s">
        <v>896</v>
      </c>
      <c r="I528" s="81" t="s">
        <v>809</v>
      </c>
      <c r="J528" s="81" t="s">
        <v>11</v>
      </c>
      <c r="K528" s="81" t="s">
        <v>942</v>
      </c>
      <c r="L528" s="81" t="s">
        <v>129</v>
      </c>
      <c r="M528" s="164">
        <v>24.1</v>
      </c>
      <c r="N528" s="165"/>
      <c r="O528" s="163"/>
      <c r="P528" s="82">
        <v>78.14</v>
      </c>
      <c r="Q528" s="164">
        <v>0</v>
      </c>
      <c r="R528" s="163"/>
      <c r="S528" s="81" t="s">
        <v>346</v>
      </c>
      <c r="T528" s="82">
        <v>65</v>
      </c>
      <c r="U528" s="82">
        <v>0</v>
      </c>
      <c r="V528" s="82">
        <v>0</v>
      </c>
      <c r="W528" s="82">
        <v>0</v>
      </c>
      <c r="X528" s="81" t="s">
        <v>143</v>
      </c>
      <c r="Y528" s="82">
        <v>8</v>
      </c>
      <c r="Z528" s="81" t="s">
        <v>138</v>
      </c>
      <c r="AA528" s="81" t="s">
        <v>58</v>
      </c>
      <c r="AB528" s="81" t="s">
        <v>58</v>
      </c>
      <c r="AC528" s="83">
        <v>46108</v>
      </c>
    </row>
    <row r="529" spans="2:29" ht="23" x14ac:dyDescent="0.35">
      <c r="B529" s="81" t="s">
        <v>338</v>
      </c>
      <c r="C529" s="81" t="s">
        <v>339</v>
      </c>
      <c r="D529" s="81" t="s">
        <v>340</v>
      </c>
      <c r="E529" s="81" t="s">
        <v>496</v>
      </c>
      <c r="F529" s="162" t="s">
        <v>497</v>
      </c>
      <c r="G529" s="163"/>
      <c r="H529" s="81" t="s">
        <v>943</v>
      </c>
      <c r="I529" s="81" t="s">
        <v>344</v>
      </c>
      <c r="J529" s="81" t="s">
        <v>11</v>
      </c>
      <c r="K529" s="81" t="s">
        <v>944</v>
      </c>
      <c r="L529" s="81" t="s">
        <v>129</v>
      </c>
      <c r="M529" s="164">
        <v>23.4</v>
      </c>
      <c r="N529" s="165"/>
      <c r="O529" s="163"/>
      <c r="P529" s="82">
        <v>84.45</v>
      </c>
      <c r="Q529" s="164">
        <v>0</v>
      </c>
      <c r="R529" s="163"/>
      <c r="S529" s="81" t="s">
        <v>346</v>
      </c>
      <c r="T529" s="82">
        <v>63</v>
      </c>
      <c r="U529" s="82">
        <v>0</v>
      </c>
      <c r="V529" s="82">
        <v>0</v>
      </c>
      <c r="W529" s="82">
        <v>0</v>
      </c>
      <c r="X529" s="81" t="s">
        <v>147</v>
      </c>
      <c r="Y529" s="82">
        <v>4</v>
      </c>
      <c r="Z529" s="81" t="s">
        <v>138</v>
      </c>
      <c r="AA529" s="81" t="s">
        <v>58</v>
      </c>
      <c r="AB529" s="81" t="s">
        <v>58</v>
      </c>
      <c r="AC529" s="83">
        <v>46108</v>
      </c>
    </row>
    <row r="530" spans="2:29" ht="23" x14ac:dyDescent="0.35">
      <c r="B530" s="81" t="s">
        <v>338</v>
      </c>
      <c r="C530" s="81" t="s">
        <v>339</v>
      </c>
      <c r="D530" s="81" t="s">
        <v>340</v>
      </c>
      <c r="E530" s="81" t="s">
        <v>496</v>
      </c>
      <c r="F530" s="162" t="s">
        <v>497</v>
      </c>
      <c r="G530" s="163"/>
      <c r="H530" s="81" t="s">
        <v>943</v>
      </c>
      <c r="I530" s="81" t="s">
        <v>344</v>
      </c>
      <c r="J530" s="81" t="s">
        <v>11</v>
      </c>
      <c r="K530" s="81" t="s">
        <v>945</v>
      </c>
      <c r="L530" s="81" t="s">
        <v>129</v>
      </c>
      <c r="M530" s="164">
        <v>23.1</v>
      </c>
      <c r="N530" s="165"/>
      <c r="O530" s="163"/>
      <c r="P530" s="82">
        <v>83.37</v>
      </c>
      <c r="Q530" s="164">
        <v>0</v>
      </c>
      <c r="R530" s="163"/>
      <c r="S530" s="81" t="s">
        <v>346</v>
      </c>
      <c r="T530" s="82">
        <v>63</v>
      </c>
      <c r="U530" s="82">
        <v>0</v>
      </c>
      <c r="V530" s="82">
        <v>0</v>
      </c>
      <c r="W530" s="82">
        <v>0</v>
      </c>
      <c r="X530" s="81" t="s">
        <v>132</v>
      </c>
      <c r="Y530" s="82">
        <v>24</v>
      </c>
      <c r="Z530" s="81" t="s">
        <v>138</v>
      </c>
      <c r="AA530" s="81" t="s">
        <v>58</v>
      </c>
      <c r="AB530" s="81" t="s">
        <v>58</v>
      </c>
      <c r="AC530" s="83">
        <v>46108</v>
      </c>
    </row>
    <row r="531" spans="2:29" ht="23" x14ac:dyDescent="0.35">
      <c r="B531" s="81" t="s">
        <v>338</v>
      </c>
      <c r="C531" s="81" t="s">
        <v>339</v>
      </c>
      <c r="D531" s="81" t="s">
        <v>340</v>
      </c>
      <c r="E531" s="81" t="s">
        <v>496</v>
      </c>
      <c r="F531" s="162" t="s">
        <v>497</v>
      </c>
      <c r="G531" s="163"/>
      <c r="H531" s="81" t="s">
        <v>943</v>
      </c>
      <c r="I531" s="81" t="s">
        <v>344</v>
      </c>
      <c r="J531" s="81" t="s">
        <v>11</v>
      </c>
      <c r="K531" s="81" t="s">
        <v>946</v>
      </c>
      <c r="L531" s="81" t="s">
        <v>129</v>
      </c>
      <c r="M531" s="164">
        <v>15.8</v>
      </c>
      <c r="N531" s="165"/>
      <c r="O531" s="163"/>
      <c r="P531" s="82">
        <v>57.02</v>
      </c>
      <c r="Q531" s="164">
        <v>0</v>
      </c>
      <c r="R531" s="163"/>
      <c r="S531" s="81" t="s">
        <v>346</v>
      </c>
      <c r="T531" s="82">
        <v>63</v>
      </c>
      <c r="U531" s="82">
        <v>0</v>
      </c>
      <c r="V531" s="82">
        <v>0</v>
      </c>
      <c r="W531" s="82">
        <v>0</v>
      </c>
      <c r="X531" s="81" t="s">
        <v>132</v>
      </c>
      <c r="Y531" s="82">
        <v>24</v>
      </c>
      <c r="Z531" s="81" t="s">
        <v>138</v>
      </c>
      <c r="AA531" s="81" t="s">
        <v>58</v>
      </c>
      <c r="AB531" s="81" t="s">
        <v>58</v>
      </c>
      <c r="AC531" s="83">
        <v>46108</v>
      </c>
    </row>
    <row r="532" spans="2:29" ht="23" x14ac:dyDescent="0.35">
      <c r="B532" s="81" t="s">
        <v>338</v>
      </c>
      <c r="C532" s="81" t="s">
        <v>339</v>
      </c>
      <c r="D532" s="81" t="s">
        <v>340</v>
      </c>
      <c r="E532" s="81" t="s">
        <v>496</v>
      </c>
      <c r="F532" s="162" t="s">
        <v>497</v>
      </c>
      <c r="G532" s="163"/>
      <c r="H532" s="81" t="s">
        <v>943</v>
      </c>
      <c r="I532" s="81" t="s">
        <v>344</v>
      </c>
      <c r="J532" s="81" t="s">
        <v>11</v>
      </c>
      <c r="K532" s="81" t="s">
        <v>947</v>
      </c>
      <c r="L532" s="81" t="s">
        <v>129</v>
      </c>
      <c r="M532" s="164">
        <v>21.6</v>
      </c>
      <c r="N532" s="165"/>
      <c r="O532" s="163"/>
      <c r="P532" s="82">
        <v>77.959999999999994</v>
      </c>
      <c r="Q532" s="164">
        <v>0</v>
      </c>
      <c r="R532" s="163"/>
      <c r="S532" s="81" t="s">
        <v>346</v>
      </c>
      <c r="T532" s="82">
        <v>63</v>
      </c>
      <c r="U532" s="82">
        <v>0</v>
      </c>
      <c r="V532" s="82">
        <v>0</v>
      </c>
      <c r="W532" s="82">
        <v>0</v>
      </c>
      <c r="X532" s="81" t="s">
        <v>132</v>
      </c>
      <c r="Y532" s="82">
        <v>12</v>
      </c>
      <c r="Z532" s="81" t="s">
        <v>138</v>
      </c>
      <c r="AA532" s="81" t="s">
        <v>58</v>
      </c>
      <c r="AB532" s="81" t="s">
        <v>58</v>
      </c>
      <c r="AC532" s="83">
        <v>46108</v>
      </c>
    </row>
    <row r="533" spans="2:29" ht="23" x14ac:dyDescent="0.35">
      <c r="B533" s="81" t="s">
        <v>338</v>
      </c>
      <c r="C533" s="81" t="s">
        <v>339</v>
      </c>
      <c r="D533" s="81" t="s">
        <v>340</v>
      </c>
      <c r="E533" s="81" t="s">
        <v>496</v>
      </c>
      <c r="F533" s="162" t="s">
        <v>497</v>
      </c>
      <c r="G533" s="163"/>
      <c r="H533" s="81" t="s">
        <v>943</v>
      </c>
      <c r="I533" s="81" t="s">
        <v>344</v>
      </c>
      <c r="J533" s="81" t="s">
        <v>11</v>
      </c>
      <c r="K533" s="81" t="s">
        <v>948</v>
      </c>
      <c r="L533" s="81" t="s">
        <v>129</v>
      </c>
      <c r="M533" s="164">
        <v>23.6</v>
      </c>
      <c r="N533" s="165"/>
      <c r="O533" s="163"/>
      <c r="P533" s="82">
        <v>85.18</v>
      </c>
      <c r="Q533" s="164">
        <v>0</v>
      </c>
      <c r="R533" s="163"/>
      <c r="S533" s="81" t="s">
        <v>346</v>
      </c>
      <c r="T533" s="82">
        <v>63</v>
      </c>
      <c r="U533" s="82">
        <v>0</v>
      </c>
      <c r="V533" s="82">
        <v>0</v>
      </c>
      <c r="W533" s="82">
        <v>0</v>
      </c>
      <c r="X533" s="81" t="s">
        <v>132</v>
      </c>
      <c r="Y533" s="82">
        <v>8</v>
      </c>
      <c r="Z533" s="81" t="s">
        <v>138</v>
      </c>
      <c r="AA533" s="81" t="s">
        <v>58</v>
      </c>
      <c r="AB533" s="81" t="s">
        <v>58</v>
      </c>
      <c r="AC533" s="83">
        <v>46108</v>
      </c>
    </row>
    <row r="534" spans="2:29" ht="23" x14ac:dyDescent="0.35">
      <c r="B534" s="81" t="s">
        <v>338</v>
      </c>
      <c r="C534" s="81" t="s">
        <v>339</v>
      </c>
      <c r="D534" s="81" t="s">
        <v>340</v>
      </c>
      <c r="E534" s="81" t="s">
        <v>496</v>
      </c>
      <c r="F534" s="162" t="s">
        <v>497</v>
      </c>
      <c r="G534" s="163"/>
      <c r="H534" s="81" t="s">
        <v>943</v>
      </c>
      <c r="I534" s="81" t="s">
        <v>344</v>
      </c>
      <c r="J534" s="81" t="s">
        <v>11</v>
      </c>
      <c r="K534" s="81" t="s">
        <v>949</v>
      </c>
      <c r="L534" s="81" t="s">
        <v>129</v>
      </c>
      <c r="M534" s="164">
        <v>22.9</v>
      </c>
      <c r="N534" s="165"/>
      <c r="O534" s="163"/>
      <c r="P534" s="82">
        <v>82.65</v>
      </c>
      <c r="Q534" s="164">
        <v>0</v>
      </c>
      <c r="R534" s="163"/>
      <c r="S534" s="81" t="s">
        <v>346</v>
      </c>
      <c r="T534" s="82">
        <v>63</v>
      </c>
      <c r="U534" s="82">
        <v>0</v>
      </c>
      <c r="V534" s="82">
        <v>0</v>
      </c>
      <c r="W534" s="82">
        <v>0</v>
      </c>
      <c r="X534" s="81" t="s">
        <v>135</v>
      </c>
      <c r="Y534" s="82">
        <v>12</v>
      </c>
      <c r="Z534" s="81" t="s">
        <v>138</v>
      </c>
      <c r="AA534" s="81" t="s">
        <v>58</v>
      </c>
      <c r="AB534" s="81" t="s">
        <v>58</v>
      </c>
      <c r="AC534" s="83">
        <v>46108</v>
      </c>
    </row>
    <row r="535" spans="2:29" ht="23" x14ac:dyDescent="0.35">
      <c r="B535" s="81" t="s">
        <v>338</v>
      </c>
      <c r="C535" s="81" t="s">
        <v>339</v>
      </c>
      <c r="D535" s="81" t="s">
        <v>340</v>
      </c>
      <c r="E535" s="81" t="s">
        <v>496</v>
      </c>
      <c r="F535" s="162" t="s">
        <v>497</v>
      </c>
      <c r="G535" s="163"/>
      <c r="H535" s="81" t="s">
        <v>943</v>
      </c>
      <c r="I535" s="81" t="s">
        <v>344</v>
      </c>
      <c r="J535" s="81" t="s">
        <v>11</v>
      </c>
      <c r="K535" s="81" t="s">
        <v>950</v>
      </c>
      <c r="L535" s="81" t="s">
        <v>129</v>
      </c>
      <c r="M535" s="164">
        <v>23.6</v>
      </c>
      <c r="N535" s="165"/>
      <c r="O535" s="163"/>
      <c r="P535" s="82">
        <v>85.18</v>
      </c>
      <c r="Q535" s="164">
        <v>0</v>
      </c>
      <c r="R535" s="163"/>
      <c r="S535" s="81" t="s">
        <v>346</v>
      </c>
      <c r="T535" s="82">
        <v>63</v>
      </c>
      <c r="U535" s="82">
        <v>0</v>
      </c>
      <c r="V535" s="82">
        <v>0</v>
      </c>
      <c r="W535" s="82">
        <v>0</v>
      </c>
      <c r="X535" s="81" t="s">
        <v>132</v>
      </c>
      <c r="Y535" s="82">
        <v>12</v>
      </c>
      <c r="Z535" s="81" t="s">
        <v>138</v>
      </c>
      <c r="AA535" s="81" t="s">
        <v>58</v>
      </c>
      <c r="AB535" s="81" t="s">
        <v>58</v>
      </c>
      <c r="AC535" s="83">
        <v>46108</v>
      </c>
    </row>
    <row r="536" spans="2:29" ht="23" x14ac:dyDescent="0.35">
      <c r="B536" s="81" t="s">
        <v>338</v>
      </c>
      <c r="C536" s="81" t="s">
        <v>339</v>
      </c>
      <c r="D536" s="81" t="s">
        <v>340</v>
      </c>
      <c r="E536" s="81" t="s">
        <v>496</v>
      </c>
      <c r="F536" s="162" t="s">
        <v>497</v>
      </c>
      <c r="G536" s="163"/>
      <c r="H536" s="81" t="s">
        <v>943</v>
      </c>
      <c r="I536" s="81" t="s">
        <v>344</v>
      </c>
      <c r="J536" s="81" t="s">
        <v>11</v>
      </c>
      <c r="K536" s="81" t="s">
        <v>951</v>
      </c>
      <c r="L536" s="81" t="s">
        <v>129</v>
      </c>
      <c r="M536" s="164">
        <v>23.3</v>
      </c>
      <c r="N536" s="165"/>
      <c r="O536" s="163"/>
      <c r="P536" s="82">
        <v>84.09</v>
      </c>
      <c r="Q536" s="164">
        <v>0</v>
      </c>
      <c r="R536" s="163"/>
      <c r="S536" s="81" t="s">
        <v>346</v>
      </c>
      <c r="T536" s="82">
        <v>63</v>
      </c>
      <c r="U536" s="82">
        <v>0</v>
      </c>
      <c r="V536" s="82">
        <v>0</v>
      </c>
      <c r="W536" s="82">
        <v>0</v>
      </c>
      <c r="X536" s="81" t="s">
        <v>132</v>
      </c>
      <c r="Y536" s="82">
        <v>8</v>
      </c>
      <c r="Z536" s="81" t="s">
        <v>138</v>
      </c>
      <c r="AA536" s="81" t="s">
        <v>58</v>
      </c>
      <c r="AB536" s="81" t="s">
        <v>58</v>
      </c>
      <c r="AC536" s="83">
        <v>46108</v>
      </c>
    </row>
    <row r="537" spans="2:29" ht="23" x14ac:dyDescent="0.35">
      <c r="B537" s="81" t="s">
        <v>338</v>
      </c>
      <c r="C537" s="81" t="s">
        <v>339</v>
      </c>
      <c r="D537" s="81" t="s">
        <v>340</v>
      </c>
      <c r="E537" s="81" t="s">
        <v>496</v>
      </c>
      <c r="F537" s="162" t="s">
        <v>497</v>
      </c>
      <c r="G537" s="163"/>
      <c r="H537" s="81" t="s">
        <v>943</v>
      </c>
      <c r="I537" s="81" t="s">
        <v>344</v>
      </c>
      <c r="J537" s="81" t="s">
        <v>11</v>
      </c>
      <c r="K537" s="81" t="s">
        <v>952</v>
      </c>
      <c r="L537" s="81" t="s">
        <v>129</v>
      </c>
      <c r="M537" s="164">
        <v>23.1</v>
      </c>
      <c r="N537" s="165"/>
      <c r="O537" s="163"/>
      <c r="P537" s="82">
        <v>83.37</v>
      </c>
      <c r="Q537" s="164">
        <v>0</v>
      </c>
      <c r="R537" s="163"/>
      <c r="S537" s="81" t="s">
        <v>346</v>
      </c>
      <c r="T537" s="82">
        <v>63</v>
      </c>
      <c r="U537" s="82">
        <v>0</v>
      </c>
      <c r="V537" s="82">
        <v>0</v>
      </c>
      <c r="W537" s="82">
        <v>0</v>
      </c>
      <c r="X537" s="81" t="s">
        <v>132</v>
      </c>
      <c r="Y537" s="82">
        <v>12</v>
      </c>
      <c r="Z537" s="81" t="s">
        <v>138</v>
      </c>
      <c r="AA537" s="81" t="s">
        <v>58</v>
      </c>
      <c r="AB537" s="81" t="s">
        <v>58</v>
      </c>
      <c r="AC537" s="83">
        <v>46108</v>
      </c>
    </row>
    <row r="538" spans="2:29" ht="23" x14ac:dyDescent="0.35">
      <c r="B538" s="81" t="s">
        <v>338</v>
      </c>
      <c r="C538" s="81" t="s">
        <v>339</v>
      </c>
      <c r="D538" s="81" t="s">
        <v>340</v>
      </c>
      <c r="E538" s="81" t="s">
        <v>496</v>
      </c>
      <c r="F538" s="162" t="s">
        <v>497</v>
      </c>
      <c r="G538" s="163"/>
      <c r="H538" s="81" t="s">
        <v>943</v>
      </c>
      <c r="I538" s="81" t="s">
        <v>344</v>
      </c>
      <c r="J538" s="81" t="s">
        <v>11</v>
      </c>
      <c r="K538" s="81" t="s">
        <v>953</v>
      </c>
      <c r="L538" s="81" t="s">
        <v>129</v>
      </c>
      <c r="M538" s="164">
        <v>23.1</v>
      </c>
      <c r="N538" s="165"/>
      <c r="O538" s="163"/>
      <c r="P538" s="82">
        <v>83.37</v>
      </c>
      <c r="Q538" s="164">
        <v>0</v>
      </c>
      <c r="R538" s="163"/>
      <c r="S538" s="81" t="s">
        <v>346</v>
      </c>
      <c r="T538" s="82">
        <v>63</v>
      </c>
      <c r="U538" s="82">
        <v>0</v>
      </c>
      <c r="V538" s="82">
        <v>0</v>
      </c>
      <c r="W538" s="82">
        <v>0</v>
      </c>
      <c r="X538" s="81" t="s">
        <v>132</v>
      </c>
      <c r="Y538" s="82">
        <v>12</v>
      </c>
      <c r="Z538" s="81" t="s">
        <v>138</v>
      </c>
      <c r="AA538" s="81" t="s">
        <v>58</v>
      </c>
      <c r="AB538" s="81" t="s">
        <v>58</v>
      </c>
      <c r="AC538" s="83">
        <v>46108</v>
      </c>
    </row>
    <row r="539" spans="2:29" ht="23" x14ac:dyDescent="0.35">
      <c r="B539" s="81" t="s">
        <v>338</v>
      </c>
      <c r="C539" s="81" t="s">
        <v>339</v>
      </c>
      <c r="D539" s="81" t="s">
        <v>340</v>
      </c>
      <c r="E539" s="81" t="s">
        <v>496</v>
      </c>
      <c r="F539" s="162" t="s">
        <v>497</v>
      </c>
      <c r="G539" s="163"/>
      <c r="H539" s="81" t="s">
        <v>943</v>
      </c>
      <c r="I539" s="81" t="s">
        <v>344</v>
      </c>
      <c r="J539" s="81" t="s">
        <v>11</v>
      </c>
      <c r="K539" s="81" t="s">
        <v>954</v>
      </c>
      <c r="L539" s="81" t="s">
        <v>129</v>
      </c>
      <c r="M539" s="164">
        <v>23.6</v>
      </c>
      <c r="N539" s="165"/>
      <c r="O539" s="163"/>
      <c r="P539" s="82">
        <v>85.18</v>
      </c>
      <c r="Q539" s="164">
        <v>0</v>
      </c>
      <c r="R539" s="163"/>
      <c r="S539" s="81" t="s">
        <v>346</v>
      </c>
      <c r="T539" s="82">
        <v>63</v>
      </c>
      <c r="U539" s="82">
        <v>0</v>
      </c>
      <c r="V539" s="82">
        <v>0</v>
      </c>
      <c r="W539" s="82">
        <v>0</v>
      </c>
      <c r="X539" s="81" t="s">
        <v>135</v>
      </c>
      <c r="Y539" s="82">
        <v>12</v>
      </c>
      <c r="Z539" s="81" t="s">
        <v>138</v>
      </c>
      <c r="AA539" s="81" t="s">
        <v>58</v>
      </c>
      <c r="AB539" s="81" t="s">
        <v>58</v>
      </c>
      <c r="AC539" s="83">
        <v>46108</v>
      </c>
    </row>
    <row r="540" spans="2:29" ht="23" x14ac:dyDescent="0.35">
      <c r="B540" s="81" t="s">
        <v>338</v>
      </c>
      <c r="C540" s="81" t="s">
        <v>339</v>
      </c>
      <c r="D540" s="81" t="s">
        <v>340</v>
      </c>
      <c r="E540" s="81" t="s">
        <v>496</v>
      </c>
      <c r="F540" s="162" t="s">
        <v>497</v>
      </c>
      <c r="G540" s="163"/>
      <c r="H540" s="81" t="s">
        <v>943</v>
      </c>
      <c r="I540" s="81" t="s">
        <v>344</v>
      </c>
      <c r="J540" s="81" t="s">
        <v>11</v>
      </c>
      <c r="K540" s="81" t="s">
        <v>955</v>
      </c>
      <c r="L540" s="81" t="s">
        <v>129</v>
      </c>
      <c r="M540" s="164">
        <v>15.8</v>
      </c>
      <c r="N540" s="165"/>
      <c r="O540" s="163"/>
      <c r="P540" s="82">
        <v>57.02</v>
      </c>
      <c r="Q540" s="164">
        <v>0</v>
      </c>
      <c r="R540" s="163"/>
      <c r="S540" s="81" t="s">
        <v>346</v>
      </c>
      <c r="T540" s="82">
        <v>63</v>
      </c>
      <c r="U540" s="82">
        <v>0</v>
      </c>
      <c r="V540" s="82">
        <v>0</v>
      </c>
      <c r="W540" s="82">
        <v>0</v>
      </c>
      <c r="X540" s="81"/>
      <c r="Y540" s="81"/>
      <c r="Z540" s="81" t="s">
        <v>138</v>
      </c>
      <c r="AA540" s="81" t="s">
        <v>58</v>
      </c>
      <c r="AB540" s="81" t="s">
        <v>58</v>
      </c>
      <c r="AC540" s="83">
        <v>46108</v>
      </c>
    </row>
    <row r="541" spans="2:29" ht="23" x14ac:dyDescent="0.35">
      <c r="B541" s="81" t="s">
        <v>338</v>
      </c>
      <c r="C541" s="81" t="s">
        <v>339</v>
      </c>
      <c r="D541" s="81" t="s">
        <v>340</v>
      </c>
      <c r="E541" s="81" t="s">
        <v>496</v>
      </c>
      <c r="F541" s="162" t="s">
        <v>497</v>
      </c>
      <c r="G541" s="163"/>
      <c r="H541" s="81" t="s">
        <v>943</v>
      </c>
      <c r="I541" s="81" t="s">
        <v>344</v>
      </c>
      <c r="J541" s="81" t="s">
        <v>11</v>
      </c>
      <c r="K541" s="81" t="s">
        <v>956</v>
      </c>
      <c r="L541" s="81" t="s">
        <v>129</v>
      </c>
      <c r="M541" s="164">
        <v>23.3</v>
      </c>
      <c r="N541" s="165"/>
      <c r="O541" s="163"/>
      <c r="P541" s="82">
        <v>84.09</v>
      </c>
      <c r="Q541" s="164">
        <v>0</v>
      </c>
      <c r="R541" s="163"/>
      <c r="S541" s="81" t="s">
        <v>346</v>
      </c>
      <c r="T541" s="82">
        <v>63</v>
      </c>
      <c r="U541" s="82">
        <v>0</v>
      </c>
      <c r="V541" s="82">
        <v>0</v>
      </c>
      <c r="W541" s="82">
        <v>0</v>
      </c>
      <c r="X541" s="81" t="s">
        <v>132</v>
      </c>
      <c r="Y541" s="82">
        <v>12</v>
      </c>
      <c r="Z541" s="81" t="s">
        <v>138</v>
      </c>
      <c r="AA541" s="81" t="s">
        <v>58</v>
      </c>
      <c r="AB541" s="81" t="s">
        <v>58</v>
      </c>
      <c r="AC541" s="83">
        <v>46108</v>
      </c>
    </row>
    <row r="542" spans="2:29" ht="23" x14ac:dyDescent="0.35">
      <c r="B542" s="81" t="s">
        <v>338</v>
      </c>
      <c r="C542" s="81" t="s">
        <v>339</v>
      </c>
      <c r="D542" s="81" t="s">
        <v>340</v>
      </c>
      <c r="E542" s="81" t="s">
        <v>496</v>
      </c>
      <c r="F542" s="162" t="s">
        <v>497</v>
      </c>
      <c r="G542" s="163"/>
      <c r="H542" s="81" t="s">
        <v>943</v>
      </c>
      <c r="I542" s="81" t="s">
        <v>344</v>
      </c>
      <c r="J542" s="81" t="s">
        <v>11</v>
      </c>
      <c r="K542" s="81" t="s">
        <v>957</v>
      </c>
      <c r="L542" s="81" t="s">
        <v>129</v>
      </c>
      <c r="M542" s="164">
        <v>23.3</v>
      </c>
      <c r="N542" s="165"/>
      <c r="O542" s="163"/>
      <c r="P542" s="82">
        <v>84.09</v>
      </c>
      <c r="Q542" s="164">
        <v>0</v>
      </c>
      <c r="R542" s="163"/>
      <c r="S542" s="81" t="s">
        <v>346</v>
      </c>
      <c r="T542" s="82">
        <v>63</v>
      </c>
      <c r="U542" s="82">
        <v>0</v>
      </c>
      <c r="V542" s="82">
        <v>0</v>
      </c>
      <c r="W542" s="82">
        <v>0</v>
      </c>
      <c r="X542" s="81" t="s">
        <v>132</v>
      </c>
      <c r="Y542" s="82">
        <v>12</v>
      </c>
      <c r="Z542" s="81" t="s">
        <v>138</v>
      </c>
      <c r="AA542" s="81" t="s">
        <v>58</v>
      </c>
      <c r="AB542" s="81" t="s">
        <v>58</v>
      </c>
      <c r="AC542" s="83">
        <v>46108</v>
      </c>
    </row>
    <row r="543" spans="2:29" ht="23" x14ac:dyDescent="0.35">
      <c r="B543" s="81" t="s">
        <v>338</v>
      </c>
      <c r="C543" s="81" t="s">
        <v>339</v>
      </c>
      <c r="D543" s="81" t="s">
        <v>340</v>
      </c>
      <c r="E543" s="81" t="s">
        <v>496</v>
      </c>
      <c r="F543" s="162" t="s">
        <v>497</v>
      </c>
      <c r="G543" s="163"/>
      <c r="H543" s="81" t="s">
        <v>943</v>
      </c>
      <c r="I543" s="81" t="s">
        <v>344</v>
      </c>
      <c r="J543" s="81" t="s">
        <v>11</v>
      </c>
      <c r="K543" s="81" t="s">
        <v>958</v>
      </c>
      <c r="L543" s="81" t="s">
        <v>129</v>
      </c>
      <c r="M543" s="164">
        <v>23.4</v>
      </c>
      <c r="N543" s="165"/>
      <c r="O543" s="163"/>
      <c r="P543" s="82">
        <v>84.45</v>
      </c>
      <c r="Q543" s="164">
        <v>0</v>
      </c>
      <c r="R543" s="163"/>
      <c r="S543" s="81" t="s">
        <v>346</v>
      </c>
      <c r="T543" s="82">
        <v>63</v>
      </c>
      <c r="U543" s="82">
        <v>0</v>
      </c>
      <c r="V543" s="82">
        <v>0</v>
      </c>
      <c r="W543" s="82">
        <v>0</v>
      </c>
      <c r="X543" s="81" t="s">
        <v>132</v>
      </c>
      <c r="Y543" s="82">
        <v>12</v>
      </c>
      <c r="Z543" s="81" t="s">
        <v>138</v>
      </c>
      <c r="AA543" s="81" t="s">
        <v>58</v>
      </c>
      <c r="AB543" s="81" t="s">
        <v>58</v>
      </c>
      <c r="AC543" s="83">
        <v>46108</v>
      </c>
    </row>
    <row r="544" spans="2:29" ht="23" x14ac:dyDescent="0.35">
      <c r="B544" s="81" t="s">
        <v>338</v>
      </c>
      <c r="C544" s="81" t="s">
        <v>339</v>
      </c>
      <c r="D544" s="81" t="s">
        <v>340</v>
      </c>
      <c r="E544" s="81" t="s">
        <v>496</v>
      </c>
      <c r="F544" s="162" t="s">
        <v>497</v>
      </c>
      <c r="G544" s="163"/>
      <c r="H544" s="81" t="s">
        <v>943</v>
      </c>
      <c r="I544" s="81" t="s">
        <v>344</v>
      </c>
      <c r="J544" s="81" t="s">
        <v>11</v>
      </c>
      <c r="K544" s="81" t="s">
        <v>959</v>
      </c>
      <c r="L544" s="81" t="s">
        <v>129</v>
      </c>
      <c r="M544" s="164">
        <v>23.3</v>
      </c>
      <c r="N544" s="165"/>
      <c r="O544" s="163"/>
      <c r="P544" s="82">
        <v>84.09</v>
      </c>
      <c r="Q544" s="164">
        <v>0</v>
      </c>
      <c r="R544" s="163"/>
      <c r="S544" s="81" t="s">
        <v>346</v>
      </c>
      <c r="T544" s="82">
        <v>63</v>
      </c>
      <c r="U544" s="82">
        <v>0</v>
      </c>
      <c r="V544" s="82">
        <v>0</v>
      </c>
      <c r="W544" s="82">
        <v>0</v>
      </c>
      <c r="X544" s="81" t="s">
        <v>132</v>
      </c>
      <c r="Y544" s="82">
        <v>8</v>
      </c>
      <c r="Z544" s="81" t="s">
        <v>138</v>
      </c>
      <c r="AA544" s="81" t="s">
        <v>58</v>
      </c>
      <c r="AB544" s="81" t="s">
        <v>58</v>
      </c>
      <c r="AC544" s="83">
        <v>46108</v>
      </c>
    </row>
    <row r="545" spans="2:29" ht="23" x14ac:dyDescent="0.35">
      <c r="B545" s="81" t="s">
        <v>338</v>
      </c>
      <c r="C545" s="81" t="s">
        <v>339</v>
      </c>
      <c r="D545" s="81" t="s">
        <v>340</v>
      </c>
      <c r="E545" s="81" t="s">
        <v>496</v>
      </c>
      <c r="F545" s="162" t="s">
        <v>497</v>
      </c>
      <c r="G545" s="163"/>
      <c r="H545" s="81" t="s">
        <v>943</v>
      </c>
      <c r="I545" s="81" t="s">
        <v>344</v>
      </c>
      <c r="J545" s="81" t="s">
        <v>11</v>
      </c>
      <c r="K545" s="81" t="s">
        <v>960</v>
      </c>
      <c r="L545" s="81" t="s">
        <v>129</v>
      </c>
      <c r="M545" s="164">
        <v>23.3</v>
      </c>
      <c r="N545" s="165"/>
      <c r="O545" s="163"/>
      <c r="P545" s="82">
        <v>84.09</v>
      </c>
      <c r="Q545" s="164">
        <v>0</v>
      </c>
      <c r="R545" s="163"/>
      <c r="S545" s="81" t="s">
        <v>346</v>
      </c>
      <c r="T545" s="82">
        <v>63</v>
      </c>
      <c r="U545" s="82">
        <v>0</v>
      </c>
      <c r="V545" s="82">
        <v>0</v>
      </c>
      <c r="W545" s="82">
        <v>0</v>
      </c>
      <c r="X545" s="81" t="s">
        <v>132</v>
      </c>
      <c r="Y545" s="82">
        <v>8</v>
      </c>
      <c r="Z545" s="81" t="s">
        <v>138</v>
      </c>
      <c r="AA545" s="81" t="s">
        <v>58</v>
      </c>
      <c r="AB545" s="81" t="s">
        <v>58</v>
      </c>
      <c r="AC545" s="83">
        <v>46108</v>
      </c>
    </row>
    <row r="546" spans="2:29" ht="23" x14ac:dyDescent="0.35">
      <c r="B546" s="81" t="s">
        <v>338</v>
      </c>
      <c r="C546" s="81" t="s">
        <v>339</v>
      </c>
      <c r="D546" s="81" t="s">
        <v>340</v>
      </c>
      <c r="E546" s="81" t="s">
        <v>496</v>
      </c>
      <c r="F546" s="162" t="s">
        <v>497</v>
      </c>
      <c r="G546" s="163"/>
      <c r="H546" s="81" t="s">
        <v>943</v>
      </c>
      <c r="I546" s="81" t="s">
        <v>344</v>
      </c>
      <c r="J546" s="81" t="s">
        <v>11</v>
      </c>
      <c r="K546" s="81" t="s">
        <v>961</v>
      </c>
      <c r="L546" s="81" t="s">
        <v>129</v>
      </c>
      <c r="M546" s="164">
        <v>23.3</v>
      </c>
      <c r="N546" s="165"/>
      <c r="O546" s="163"/>
      <c r="P546" s="82">
        <v>84.09</v>
      </c>
      <c r="Q546" s="164">
        <v>0</v>
      </c>
      <c r="R546" s="163"/>
      <c r="S546" s="81" t="s">
        <v>346</v>
      </c>
      <c r="T546" s="82">
        <v>63</v>
      </c>
      <c r="U546" s="82">
        <v>0</v>
      </c>
      <c r="V546" s="82">
        <v>0</v>
      </c>
      <c r="W546" s="82">
        <v>0</v>
      </c>
      <c r="X546" s="81" t="s">
        <v>132</v>
      </c>
      <c r="Y546" s="82">
        <v>8</v>
      </c>
      <c r="Z546" s="81" t="s">
        <v>138</v>
      </c>
      <c r="AA546" s="81" t="s">
        <v>58</v>
      </c>
      <c r="AB546" s="81" t="s">
        <v>58</v>
      </c>
      <c r="AC546" s="83">
        <v>46108</v>
      </c>
    </row>
    <row r="547" spans="2:29" ht="23" x14ac:dyDescent="0.35">
      <c r="B547" s="81" t="s">
        <v>338</v>
      </c>
      <c r="C547" s="81" t="s">
        <v>339</v>
      </c>
      <c r="D547" s="81" t="s">
        <v>340</v>
      </c>
      <c r="E547" s="81" t="s">
        <v>496</v>
      </c>
      <c r="F547" s="162" t="s">
        <v>497</v>
      </c>
      <c r="G547" s="163"/>
      <c r="H547" s="81" t="s">
        <v>943</v>
      </c>
      <c r="I547" s="81" t="s">
        <v>344</v>
      </c>
      <c r="J547" s="81" t="s">
        <v>11</v>
      </c>
      <c r="K547" s="81" t="s">
        <v>962</v>
      </c>
      <c r="L547" s="81" t="s">
        <v>129</v>
      </c>
      <c r="M547" s="164">
        <v>23.3</v>
      </c>
      <c r="N547" s="165"/>
      <c r="O547" s="163"/>
      <c r="P547" s="82">
        <v>84.09</v>
      </c>
      <c r="Q547" s="164">
        <v>0</v>
      </c>
      <c r="R547" s="163"/>
      <c r="S547" s="81" t="s">
        <v>346</v>
      </c>
      <c r="T547" s="82">
        <v>63</v>
      </c>
      <c r="U547" s="82">
        <v>0</v>
      </c>
      <c r="V547" s="82">
        <v>0</v>
      </c>
      <c r="W547" s="82">
        <v>0</v>
      </c>
      <c r="X547" s="81" t="s">
        <v>132</v>
      </c>
      <c r="Y547" s="82">
        <v>8</v>
      </c>
      <c r="Z547" s="81" t="s">
        <v>138</v>
      </c>
      <c r="AA547" s="81" t="s">
        <v>58</v>
      </c>
      <c r="AB547" s="81" t="s">
        <v>58</v>
      </c>
      <c r="AC547" s="83">
        <v>46108</v>
      </c>
    </row>
    <row r="548" spans="2:29" ht="23" x14ac:dyDescent="0.35">
      <c r="B548" s="81" t="s">
        <v>338</v>
      </c>
      <c r="C548" s="81" t="s">
        <v>339</v>
      </c>
      <c r="D548" s="81" t="s">
        <v>340</v>
      </c>
      <c r="E548" s="81" t="s">
        <v>496</v>
      </c>
      <c r="F548" s="162" t="s">
        <v>497</v>
      </c>
      <c r="G548" s="163"/>
      <c r="H548" s="81" t="s">
        <v>943</v>
      </c>
      <c r="I548" s="81" t="s">
        <v>344</v>
      </c>
      <c r="J548" s="81" t="s">
        <v>11</v>
      </c>
      <c r="K548" s="81" t="s">
        <v>963</v>
      </c>
      <c r="L548" s="81" t="s">
        <v>129</v>
      </c>
      <c r="M548" s="164">
        <v>24.6</v>
      </c>
      <c r="N548" s="165"/>
      <c r="O548" s="163"/>
      <c r="P548" s="82">
        <v>88.79</v>
      </c>
      <c r="Q548" s="164">
        <v>0</v>
      </c>
      <c r="R548" s="163"/>
      <c r="S548" s="81" t="s">
        <v>346</v>
      </c>
      <c r="T548" s="82">
        <v>63</v>
      </c>
      <c r="U548" s="82">
        <v>0</v>
      </c>
      <c r="V548" s="82">
        <v>0</v>
      </c>
      <c r="W548" s="82">
        <v>0</v>
      </c>
      <c r="X548" s="81" t="s">
        <v>132</v>
      </c>
      <c r="Y548" s="82">
        <v>12</v>
      </c>
      <c r="Z548" s="81" t="s">
        <v>138</v>
      </c>
      <c r="AA548" s="81" t="s">
        <v>58</v>
      </c>
      <c r="AB548" s="81" t="s">
        <v>58</v>
      </c>
      <c r="AC548" s="83">
        <v>46108</v>
      </c>
    </row>
    <row r="549" spans="2:29" ht="23" x14ac:dyDescent="0.35">
      <c r="B549" s="81" t="s">
        <v>338</v>
      </c>
      <c r="C549" s="81" t="s">
        <v>339</v>
      </c>
      <c r="D549" s="81" t="s">
        <v>340</v>
      </c>
      <c r="E549" s="81" t="s">
        <v>496</v>
      </c>
      <c r="F549" s="162" t="s">
        <v>497</v>
      </c>
      <c r="G549" s="163"/>
      <c r="H549" s="81" t="s">
        <v>943</v>
      </c>
      <c r="I549" s="81" t="s">
        <v>344</v>
      </c>
      <c r="J549" s="81" t="s">
        <v>11</v>
      </c>
      <c r="K549" s="81" t="s">
        <v>964</v>
      </c>
      <c r="L549" s="81" t="s">
        <v>129</v>
      </c>
      <c r="M549" s="164">
        <v>23.7</v>
      </c>
      <c r="N549" s="165"/>
      <c r="O549" s="163"/>
      <c r="P549" s="82">
        <v>85.54</v>
      </c>
      <c r="Q549" s="164">
        <v>0</v>
      </c>
      <c r="R549" s="163"/>
      <c r="S549" s="81" t="s">
        <v>346</v>
      </c>
      <c r="T549" s="82">
        <v>63</v>
      </c>
      <c r="U549" s="82">
        <v>0</v>
      </c>
      <c r="V549" s="82">
        <v>0</v>
      </c>
      <c r="W549" s="82">
        <v>0</v>
      </c>
      <c r="X549" s="81" t="s">
        <v>132</v>
      </c>
      <c r="Y549" s="82">
        <v>4</v>
      </c>
      <c r="Z549" s="81" t="s">
        <v>138</v>
      </c>
      <c r="AA549" s="81" t="s">
        <v>58</v>
      </c>
      <c r="AB549" s="81" t="s">
        <v>58</v>
      </c>
      <c r="AC549" s="83">
        <v>46108</v>
      </c>
    </row>
    <row r="550" spans="2:29" ht="23" x14ac:dyDescent="0.35">
      <c r="B550" s="81" t="s">
        <v>338</v>
      </c>
      <c r="C550" s="81" t="s">
        <v>339</v>
      </c>
      <c r="D550" s="81" t="s">
        <v>340</v>
      </c>
      <c r="E550" s="81" t="s">
        <v>496</v>
      </c>
      <c r="F550" s="162" t="s">
        <v>497</v>
      </c>
      <c r="G550" s="163"/>
      <c r="H550" s="81" t="s">
        <v>943</v>
      </c>
      <c r="I550" s="81" t="s">
        <v>344</v>
      </c>
      <c r="J550" s="81" t="s">
        <v>11</v>
      </c>
      <c r="K550" s="81" t="s">
        <v>965</v>
      </c>
      <c r="L550" s="81" t="s">
        <v>129</v>
      </c>
      <c r="M550" s="164">
        <v>22.8</v>
      </c>
      <c r="N550" s="165"/>
      <c r="O550" s="163"/>
      <c r="P550" s="82">
        <v>82.29</v>
      </c>
      <c r="Q550" s="164">
        <v>0</v>
      </c>
      <c r="R550" s="163"/>
      <c r="S550" s="81" t="s">
        <v>346</v>
      </c>
      <c r="T550" s="82">
        <v>63</v>
      </c>
      <c r="U550" s="82">
        <v>0</v>
      </c>
      <c r="V550" s="82">
        <v>0</v>
      </c>
      <c r="W550" s="82">
        <v>0</v>
      </c>
      <c r="X550" s="81" t="s">
        <v>132</v>
      </c>
      <c r="Y550" s="82">
        <v>4</v>
      </c>
      <c r="Z550" s="81" t="s">
        <v>138</v>
      </c>
      <c r="AA550" s="81" t="s">
        <v>58</v>
      </c>
      <c r="AB550" s="81" t="s">
        <v>58</v>
      </c>
      <c r="AC550" s="83">
        <v>46108</v>
      </c>
    </row>
    <row r="551" spans="2:29" ht="23" x14ac:dyDescent="0.35">
      <c r="B551" s="81" t="s">
        <v>338</v>
      </c>
      <c r="C551" s="81" t="s">
        <v>339</v>
      </c>
      <c r="D551" s="81" t="s">
        <v>340</v>
      </c>
      <c r="E551" s="81" t="s">
        <v>496</v>
      </c>
      <c r="F551" s="162" t="s">
        <v>497</v>
      </c>
      <c r="G551" s="163"/>
      <c r="H551" s="81" t="s">
        <v>943</v>
      </c>
      <c r="I551" s="81" t="s">
        <v>344</v>
      </c>
      <c r="J551" s="81" t="s">
        <v>11</v>
      </c>
      <c r="K551" s="81" t="s">
        <v>966</v>
      </c>
      <c r="L551" s="81" t="s">
        <v>129</v>
      </c>
      <c r="M551" s="164">
        <v>22.9</v>
      </c>
      <c r="N551" s="165"/>
      <c r="O551" s="163"/>
      <c r="P551" s="82">
        <v>82.65</v>
      </c>
      <c r="Q551" s="164">
        <v>0</v>
      </c>
      <c r="R551" s="163"/>
      <c r="S551" s="81" t="s">
        <v>346</v>
      </c>
      <c r="T551" s="82">
        <v>63</v>
      </c>
      <c r="U551" s="82">
        <v>0</v>
      </c>
      <c r="V551" s="82">
        <v>0</v>
      </c>
      <c r="W551" s="82">
        <v>0</v>
      </c>
      <c r="X551" s="81" t="s">
        <v>132</v>
      </c>
      <c r="Y551" s="82">
        <v>12</v>
      </c>
      <c r="Z551" s="81" t="s">
        <v>138</v>
      </c>
      <c r="AA551" s="81" t="s">
        <v>58</v>
      </c>
      <c r="AB551" s="81" t="s">
        <v>58</v>
      </c>
      <c r="AC551" s="83">
        <v>46108</v>
      </c>
    </row>
    <row r="552" spans="2:29" ht="23" x14ac:dyDescent="0.35">
      <c r="B552" s="81" t="s">
        <v>338</v>
      </c>
      <c r="C552" s="81" t="s">
        <v>339</v>
      </c>
      <c r="D552" s="81" t="s">
        <v>340</v>
      </c>
      <c r="E552" s="81" t="s">
        <v>496</v>
      </c>
      <c r="F552" s="162" t="s">
        <v>497</v>
      </c>
      <c r="G552" s="163"/>
      <c r="H552" s="81" t="s">
        <v>943</v>
      </c>
      <c r="I552" s="81" t="s">
        <v>344</v>
      </c>
      <c r="J552" s="81" t="s">
        <v>11</v>
      </c>
      <c r="K552" s="81" t="s">
        <v>967</v>
      </c>
      <c r="L552" s="81" t="s">
        <v>129</v>
      </c>
      <c r="M552" s="164">
        <v>23.3</v>
      </c>
      <c r="N552" s="165"/>
      <c r="O552" s="163"/>
      <c r="P552" s="82">
        <v>84.09</v>
      </c>
      <c r="Q552" s="164">
        <v>0</v>
      </c>
      <c r="R552" s="163"/>
      <c r="S552" s="81" t="s">
        <v>346</v>
      </c>
      <c r="T552" s="82">
        <v>63</v>
      </c>
      <c r="U552" s="82">
        <v>0</v>
      </c>
      <c r="V552" s="82">
        <v>0</v>
      </c>
      <c r="W552" s="82">
        <v>0</v>
      </c>
      <c r="X552" s="81" t="s">
        <v>141</v>
      </c>
      <c r="Y552" s="82">
        <v>8</v>
      </c>
      <c r="Z552" s="81" t="s">
        <v>138</v>
      </c>
      <c r="AA552" s="81" t="s">
        <v>58</v>
      </c>
      <c r="AB552" s="81" t="s">
        <v>58</v>
      </c>
      <c r="AC552" s="83">
        <v>46108</v>
      </c>
    </row>
    <row r="553" spans="2:29" ht="23" x14ac:dyDescent="0.35">
      <c r="B553" s="81" t="s">
        <v>338</v>
      </c>
      <c r="C553" s="81" t="s">
        <v>339</v>
      </c>
      <c r="D553" s="81" t="s">
        <v>340</v>
      </c>
      <c r="E553" s="81" t="s">
        <v>496</v>
      </c>
      <c r="F553" s="162" t="s">
        <v>497</v>
      </c>
      <c r="G553" s="163"/>
      <c r="H553" s="81" t="s">
        <v>943</v>
      </c>
      <c r="I553" s="81" t="s">
        <v>344</v>
      </c>
      <c r="J553" s="81" t="s">
        <v>11</v>
      </c>
      <c r="K553" s="81" t="s">
        <v>968</v>
      </c>
      <c r="L553" s="81" t="s">
        <v>129</v>
      </c>
      <c r="M553" s="164">
        <v>23.5</v>
      </c>
      <c r="N553" s="165"/>
      <c r="O553" s="163"/>
      <c r="P553" s="82">
        <v>84.82</v>
      </c>
      <c r="Q553" s="164">
        <v>0</v>
      </c>
      <c r="R553" s="163"/>
      <c r="S553" s="81" t="s">
        <v>346</v>
      </c>
      <c r="T553" s="82">
        <v>63</v>
      </c>
      <c r="U553" s="82">
        <v>0</v>
      </c>
      <c r="V553" s="82">
        <v>0</v>
      </c>
      <c r="W553" s="82">
        <v>0</v>
      </c>
      <c r="X553" s="81" t="s">
        <v>132</v>
      </c>
      <c r="Y553" s="82">
        <v>8</v>
      </c>
      <c r="Z553" s="81" t="s">
        <v>138</v>
      </c>
      <c r="AA553" s="81" t="s">
        <v>58</v>
      </c>
      <c r="AB553" s="81" t="s">
        <v>58</v>
      </c>
      <c r="AC553" s="83">
        <v>46108</v>
      </c>
    </row>
    <row r="554" spans="2:29" ht="23" x14ac:dyDescent="0.35">
      <c r="B554" s="81" t="s">
        <v>338</v>
      </c>
      <c r="C554" s="81" t="s">
        <v>339</v>
      </c>
      <c r="D554" s="81" t="s">
        <v>340</v>
      </c>
      <c r="E554" s="81" t="s">
        <v>496</v>
      </c>
      <c r="F554" s="162" t="s">
        <v>497</v>
      </c>
      <c r="G554" s="163"/>
      <c r="H554" s="81" t="s">
        <v>943</v>
      </c>
      <c r="I554" s="81" t="s">
        <v>344</v>
      </c>
      <c r="J554" s="81" t="s">
        <v>11</v>
      </c>
      <c r="K554" s="81" t="s">
        <v>969</v>
      </c>
      <c r="L554" s="81" t="s">
        <v>129</v>
      </c>
      <c r="M554" s="164">
        <v>23.3</v>
      </c>
      <c r="N554" s="165"/>
      <c r="O554" s="163"/>
      <c r="P554" s="82">
        <v>84.09</v>
      </c>
      <c r="Q554" s="164">
        <v>0</v>
      </c>
      <c r="R554" s="163"/>
      <c r="S554" s="81" t="s">
        <v>346</v>
      </c>
      <c r="T554" s="82">
        <v>63</v>
      </c>
      <c r="U554" s="82">
        <v>0</v>
      </c>
      <c r="V554" s="82">
        <v>0</v>
      </c>
      <c r="W554" s="82">
        <v>0</v>
      </c>
      <c r="X554" s="81" t="s">
        <v>133</v>
      </c>
      <c r="Y554" s="82">
        <v>4</v>
      </c>
      <c r="Z554" s="81" t="s">
        <v>138</v>
      </c>
      <c r="AA554" s="81" t="s">
        <v>58</v>
      </c>
      <c r="AB554" s="81" t="s">
        <v>58</v>
      </c>
      <c r="AC554" s="83">
        <v>46108</v>
      </c>
    </row>
    <row r="555" spans="2:29" ht="23" x14ac:dyDescent="0.35">
      <c r="B555" s="81" t="s">
        <v>338</v>
      </c>
      <c r="C555" s="81" t="s">
        <v>339</v>
      </c>
      <c r="D555" s="81" t="s">
        <v>340</v>
      </c>
      <c r="E555" s="81" t="s">
        <v>496</v>
      </c>
      <c r="F555" s="162" t="s">
        <v>497</v>
      </c>
      <c r="G555" s="163"/>
      <c r="H555" s="81" t="s">
        <v>943</v>
      </c>
      <c r="I555" s="81" t="s">
        <v>344</v>
      </c>
      <c r="J555" s="81" t="s">
        <v>11</v>
      </c>
      <c r="K555" s="81" t="s">
        <v>970</v>
      </c>
      <c r="L555" s="81" t="s">
        <v>129</v>
      </c>
      <c r="M555" s="164">
        <v>11.8</v>
      </c>
      <c r="N555" s="165"/>
      <c r="O555" s="163"/>
      <c r="P555" s="82">
        <v>42.59</v>
      </c>
      <c r="Q555" s="164">
        <v>0</v>
      </c>
      <c r="R555" s="163"/>
      <c r="S555" s="81" t="s">
        <v>346</v>
      </c>
      <c r="T555" s="82">
        <v>63</v>
      </c>
      <c r="U555" s="82">
        <v>0</v>
      </c>
      <c r="V555" s="82">
        <v>0</v>
      </c>
      <c r="W555" s="82">
        <v>0</v>
      </c>
      <c r="X555" s="81" t="s">
        <v>133</v>
      </c>
      <c r="Y555" s="82">
        <v>4</v>
      </c>
      <c r="Z555" s="81" t="s">
        <v>138</v>
      </c>
      <c r="AA555" s="81" t="s">
        <v>58</v>
      </c>
      <c r="AB555" s="81" t="s">
        <v>58</v>
      </c>
      <c r="AC555" s="83">
        <v>46108</v>
      </c>
    </row>
    <row r="556" spans="2:29" ht="23" x14ac:dyDescent="0.35">
      <c r="B556" s="81" t="s">
        <v>338</v>
      </c>
      <c r="C556" s="81" t="s">
        <v>339</v>
      </c>
      <c r="D556" s="81" t="s">
        <v>340</v>
      </c>
      <c r="E556" s="81" t="s">
        <v>496</v>
      </c>
      <c r="F556" s="162" t="s">
        <v>497</v>
      </c>
      <c r="G556" s="163"/>
      <c r="H556" s="81" t="s">
        <v>943</v>
      </c>
      <c r="I556" s="81" t="s">
        <v>344</v>
      </c>
      <c r="J556" s="81" t="s">
        <v>11</v>
      </c>
      <c r="K556" s="81" t="s">
        <v>971</v>
      </c>
      <c r="L556" s="81" t="s">
        <v>129</v>
      </c>
      <c r="M556" s="164">
        <v>23.6</v>
      </c>
      <c r="N556" s="165"/>
      <c r="O556" s="163"/>
      <c r="P556" s="82">
        <v>85.18</v>
      </c>
      <c r="Q556" s="164">
        <v>0</v>
      </c>
      <c r="R556" s="163"/>
      <c r="S556" s="81" t="s">
        <v>346</v>
      </c>
      <c r="T556" s="82">
        <v>63</v>
      </c>
      <c r="U556" s="82">
        <v>0</v>
      </c>
      <c r="V556" s="82">
        <v>0</v>
      </c>
      <c r="W556" s="82">
        <v>0</v>
      </c>
      <c r="X556" s="81" t="s">
        <v>132</v>
      </c>
      <c r="Y556" s="82">
        <v>8</v>
      </c>
      <c r="Z556" s="81" t="s">
        <v>138</v>
      </c>
      <c r="AA556" s="81" t="s">
        <v>58</v>
      </c>
      <c r="AB556" s="81" t="s">
        <v>58</v>
      </c>
      <c r="AC556" s="83">
        <v>46108</v>
      </c>
    </row>
    <row r="557" spans="2:29" ht="23" x14ac:dyDescent="0.35">
      <c r="B557" s="81" t="s">
        <v>338</v>
      </c>
      <c r="C557" s="81" t="s">
        <v>339</v>
      </c>
      <c r="D557" s="81" t="s">
        <v>340</v>
      </c>
      <c r="E557" s="81" t="s">
        <v>496</v>
      </c>
      <c r="F557" s="162" t="s">
        <v>497</v>
      </c>
      <c r="G557" s="163"/>
      <c r="H557" s="81" t="s">
        <v>943</v>
      </c>
      <c r="I557" s="81" t="s">
        <v>344</v>
      </c>
      <c r="J557" s="81" t="s">
        <v>11</v>
      </c>
      <c r="K557" s="81" t="s">
        <v>972</v>
      </c>
      <c r="L557" s="81" t="s">
        <v>129</v>
      </c>
      <c r="M557" s="164">
        <v>23.9</v>
      </c>
      <c r="N557" s="165"/>
      <c r="O557" s="163"/>
      <c r="P557" s="82">
        <v>86.26</v>
      </c>
      <c r="Q557" s="164">
        <v>0</v>
      </c>
      <c r="R557" s="163"/>
      <c r="S557" s="81" t="s">
        <v>346</v>
      </c>
      <c r="T557" s="82">
        <v>63</v>
      </c>
      <c r="U557" s="82">
        <v>0</v>
      </c>
      <c r="V557" s="82">
        <v>0</v>
      </c>
      <c r="W557" s="82">
        <v>0</v>
      </c>
      <c r="X557" s="81" t="s">
        <v>132</v>
      </c>
      <c r="Y557" s="82">
        <v>4</v>
      </c>
      <c r="Z557" s="81" t="s">
        <v>138</v>
      </c>
      <c r="AA557" s="81" t="s">
        <v>58</v>
      </c>
      <c r="AB557" s="81" t="s">
        <v>58</v>
      </c>
      <c r="AC557" s="83">
        <v>46108</v>
      </c>
    </row>
    <row r="558" spans="2:29" ht="23" x14ac:dyDescent="0.35">
      <c r="B558" s="81" t="s">
        <v>338</v>
      </c>
      <c r="C558" s="81" t="s">
        <v>339</v>
      </c>
      <c r="D558" s="81" t="s">
        <v>340</v>
      </c>
      <c r="E558" s="81" t="s">
        <v>496</v>
      </c>
      <c r="F558" s="162" t="s">
        <v>497</v>
      </c>
      <c r="G558" s="163"/>
      <c r="H558" s="81" t="s">
        <v>943</v>
      </c>
      <c r="I558" s="81" t="s">
        <v>344</v>
      </c>
      <c r="J558" s="81" t="s">
        <v>11</v>
      </c>
      <c r="K558" s="81" t="s">
        <v>973</v>
      </c>
      <c r="L558" s="81" t="s">
        <v>129</v>
      </c>
      <c r="M558" s="164">
        <v>23.9</v>
      </c>
      <c r="N558" s="165"/>
      <c r="O558" s="163"/>
      <c r="P558" s="82">
        <v>86.26</v>
      </c>
      <c r="Q558" s="164">
        <v>0</v>
      </c>
      <c r="R558" s="163"/>
      <c r="S558" s="81" t="s">
        <v>346</v>
      </c>
      <c r="T558" s="82">
        <v>63</v>
      </c>
      <c r="U558" s="82">
        <v>0</v>
      </c>
      <c r="V558" s="82">
        <v>0</v>
      </c>
      <c r="W558" s="82">
        <v>0</v>
      </c>
      <c r="X558" s="81" t="s">
        <v>141</v>
      </c>
      <c r="Y558" s="82">
        <v>4</v>
      </c>
      <c r="Z558" s="81" t="s">
        <v>138</v>
      </c>
      <c r="AA558" s="81" t="s">
        <v>58</v>
      </c>
      <c r="AB558" s="81" t="s">
        <v>58</v>
      </c>
      <c r="AC558" s="83">
        <v>46108</v>
      </c>
    </row>
    <row r="559" spans="2:29" ht="23" x14ac:dyDescent="0.35">
      <c r="B559" s="81" t="s">
        <v>338</v>
      </c>
      <c r="C559" s="81" t="s">
        <v>339</v>
      </c>
      <c r="D559" s="81" t="s">
        <v>340</v>
      </c>
      <c r="E559" s="81" t="s">
        <v>496</v>
      </c>
      <c r="F559" s="162" t="s">
        <v>497</v>
      </c>
      <c r="G559" s="163"/>
      <c r="H559" s="81" t="s">
        <v>943</v>
      </c>
      <c r="I559" s="81" t="s">
        <v>344</v>
      </c>
      <c r="J559" s="81" t="s">
        <v>11</v>
      </c>
      <c r="K559" s="81" t="s">
        <v>974</v>
      </c>
      <c r="L559" s="81" t="s">
        <v>129</v>
      </c>
      <c r="M559" s="164">
        <v>23.4</v>
      </c>
      <c r="N559" s="165"/>
      <c r="O559" s="163"/>
      <c r="P559" s="82">
        <v>84.45</v>
      </c>
      <c r="Q559" s="164">
        <v>0</v>
      </c>
      <c r="R559" s="163"/>
      <c r="S559" s="81" t="s">
        <v>346</v>
      </c>
      <c r="T559" s="82">
        <v>63</v>
      </c>
      <c r="U559" s="82">
        <v>0</v>
      </c>
      <c r="V559" s="82">
        <v>0</v>
      </c>
      <c r="W559" s="82">
        <v>0</v>
      </c>
      <c r="X559" s="81" t="s">
        <v>141</v>
      </c>
      <c r="Y559" s="82">
        <v>4</v>
      </c>
      <c r="Z559" s="81" t="s">
        <v>138</v>
      </c>
      <c r="AA559" s="81" t="s">
        <v>58</v>
      </c>
      <c r="AB559" s="81" t="s">
        <v>58</v>
      </c>
      <c r="AC559" s="83">
        <v>46108</v>
      </c>
    </row>
    <row r="560" spans="2:29" ht="23" x14ac:dyDescent="0.35">
      <c r="B560" s="81" t="s">
        <v>338</v>
      </c>
      <c r="C560" s="81" t="s">
        <v>339</v>
      </c>
      <c r="D560" s="81" t="s">
        <v>340</v>
      </c>
      <c r="E560" s="81" t="s">
        <v>496</v>
      </c>
      <c r="F560" s="162" t="s">
        <v>497</v>
      </c>
      <c r="G560" s="163"/>
      <c r="H560" s="81" t="s">
        <v>943</v>
      </c>
      <c r="I560" s="81" t="s">
        <v>344</v>
      </c>
      <c r="J560" s="81" t="s">
        <v>11</v>
      </c>
      <c r="K560" s="81" t="s">
        <v>975</v>
      </c>
      <c r="L560" s="81" t="s">
        <v>129</v>
      </c>
      <c r="M560" s="164">
        <v>23.4</v>
      </c>
      <c r="N560" s="165"/>
      <c r="O560" s="163"/>
      <c r="P560" s="82">
        <v>84.45</v>
      </c>
      <c r="Q560" s="164">
        <v>0</v>
      </c>
      <c r="R560" s="163"/>
      <c r="S560" s="81" t="s">
        <v>346</v>
      </c>
      <c r="T560" s="82">
        <v>63</v>
      </c>
      <c r="U560" s="82">
        <v>0</v>
      </c>
      <c r="V560" s="82">
        <v>0</v>
      </c>
      <c r="W560" s="82">
        <v>0</v>
      </c>
      <c r="X560" s="81"/>
      <c r="Y560" s="81"/>
      <c r="Z560" s="81" t="s">
        <v>138</v>
      </c>
      <c r="AA560" s="81" t="s">
        <v>58</v>
      </c>
      <c r="AB560" s="81" t="s">
        <v>58</v>
      </c>
      <c r="AC560" s="83">
        <v>46108</v>
      </c>
    </row>
    <row r="561" spans="2:29" ht="23" x14ac:dyDescent="0.35">
      <c r="B561" s="81" t="s">
        <v>338</v>
      </c>
      <c r="C561" s="81" t="s">
        <v>339</v>
      </c>
      <c r="D561" s="81" t="s">
        <v>340</v>
      </c>
      <c r="E561" s="81" t="s">
        <v>496</v>
      </c>
      <c r="F561" s="162" t="s">
        <v>497</v>
      </c>
      <c r="G561" s="163"/>
      <c r="H561" s="81" t="s">
        <v>943</v>
      </c>
      <c r="I561" s="81" t="s">
        <v>344</v>
      </c>
      <c r="J561" s="81" t="s">
        <v>11</v>
      </c>
      <c r="K561" s="81" t="s">
        <v>976</v>
      </c>
      <c r="L561" s="81" t="s">
        <v>129</v>
      </c>
      <c r="M561" s="164">
        <v>23.5</v>
      </c>
      <c r="N561" s="165"/>
      <c r="O561" s="163"/>
      <c r="P561" s="82">
        <v>84.82</v>
      </c>
      <c r="Q561" s="164">
        <v>0</v>
      </c>
      <c r="R561" s="163"/>
      <c r="S561" s="81" t="s">
        <v>346</v>
      </c>
      <c r="T561" s="82">
        <v>63</v>
      </c>
      <c r="U561" s="82">
        <v>0</v>
      </c>
      <c r="V561" s="82">
        <v>0</v>
      </c>
      <c r="W561" s="82">
        <v>0</v>
      </c>
      <c r="X561" s="81" t="s">
        <v>132</v>
      </c>
      <c r="Y561" s="82">
        <v>12</v>
      </c>
      <c r="Z561" s="81" t="s">
        <v>138</v>
      </c>
      <c r="AA561" s="81" t="s">
        <v>58</v>
      </c>
      <c r="AB561" s="81" t="s">
        <v>58</v>
      </c>
      <c r="AC561" s="83">
        <v>46108</v>
      </c>
    </row>
    <row r="562" spans="2:29" ht="23" x14ac:dyDescent="0.35">
      <c r="B562" s="81" t="s">
        <v>338</v>
      </c>
      <c r="C562" s="81" t="s">
        <v>339</v>
      </c>
      <c r="D562" s="81" t="s">
        <v>340</v>
      </c>
      <c r="E562" s="81" t="s">
        <v>496</v>
      </c>
      <c r="F562" s="162" t="s">
        <v>497</v>
      </c>
      <c r="G562" s="163"/>
      <c r="H562" s="81" t="s">
        <v>943</v>
      </c>
      <c r="I562" s="81" t="s">
        <v>344</v>
      </c>
      <c r="J562" s="81" t="s">
        <v>11</v>
      </c>
      <c r="K562" s="81" t="s">
        <v>977</v>
      </c>
      <c r="L562" s="81" t="s">
        <v>129</v>
      </c>
      <c r="M562" s="164">
        <v>23.4</v>
      </c>
      <c r="N562" s="165"/>
      <c r="O562" s="163"/>
      <c r="P562" s="82">
        <v>84.45</v>
      </c>
      <c r="Q562" s="164">
        <v>0</v>
      </c>
      <c r="R562" s="163"/>
      <c r="S562" s="81" t="s">
        <v>346</v>
      </c>
      <c r="T562" s="82">
        <v>63</v>
      </c>
      <c r="U562" s="82">
        <v>0</v>
      </c>
      <c r="V562" s="82">
        <v>0</v>
      </c>
      <c r="W562" s="82">
        <v>0</v>
      </c>
      <c r="X562" s="81" t="s">
        <v>132</v>
      </c>
      <c r="Y562" s="82">
        <v>8</v>
      </c>
      <c r="Z562" s="81" t="s">
        <v>138</v>
      </c>
      <c r="AA562" s="81" t="s">
        <v>58</v>
      </c>
      <c r="AB562" s="81" t="s">
        <v>58</v>
      </c>
      <c r="AC562" s="83">
        <v>46108</v>
      </c>
    </row>
    <row r="563" spans="2:29" ht="23" x14ac:dyDescent="0.35">
      <c r="B563" s="81" t="s">
        <v>338</v>
      </c>
      <c r="C563" s="81" t="s">
        <v>339</v>
      </c>
      <c r="D563" s="81" t="s">
        <v>340</v>
      </c>
      <c r="E563" s="81" t="s">
        <v>496</v>
      </c>
      <c r="F563" s="162" t="s">
        <v>497</v>
      </c>
      <c r="G563" s="163"/>
      <c r="H563" s="81" t="s">
        <v>943</v>
      </c>
      <c r="I563" s="81" t="s">
        <v>344</v>
      </c>
      <c r="J563" s="81" t="s">
        <v>11</v>
      </c>
      <c r="K563" s="81" t="s">
        <v>978</v>
      </c>
      <c r="L563" s="81" t="s">
        <v>129</v>
      </c>
      <c r="M563" s="164">
        <v>15.5</v>
      </c>
      <c r="N563" s="165"/>
      <c r="O563" s="163"/>
      <c r="P563" s="82">
        <v>55.94</v>
      </c>
      <c r="Q563" s="164">
        <v>0</v>
      </c>
      <c r="R563" s="163"/>
      <c r="S563" s="81" t="s">
        <v>346</v>
      </c>
      <c r="T563" s="82">
        <v>63</v>
      </c>
      <c r="U563" s="82">
        <v>0</v>
      </c>
      <c r="V563" s="82">
        <v>0</v>
      </c>
      <c r="W563" s="82">
        <v>0</v>
      </c>
      <c r="X563" s="81" t="s">
        <v>132</v>
      </c>
      <c r="Y563" s="82">
        <v>4</v>
      </c>
      <c r="Z563" s="81" t="s">
        <v>138</v>
      </c>
      <c r="AA563" s="81" t="s">
        <v>58</v>
      </c>
      <c r="AB563" s="81" t="s">
        <v>58</v>
      </c>
      <c r="AC563" s="83">
        <v>46108</v>
      </c>
    </row>
    <row r="564" spans="2:29" ht="23" x14ac:dyDescent="0.35">
      <c r="B564" s="81" t="s">
        <v>338</v>
      </c>
      <c r="C564" s="81" t="s">
        <v>339</v>
      </c>
      <c r="D564" s="81" t="s">
        <v>340</v>
      </c>
      <c r="E564" s="81" t="s">
        <v>496</v>
      </c>
      <c r="F564" s="162" t="s">
        <v>497</v>
      </c>
      <c r="G564" s="163"/>
      <c r="H564" s="81" t="s">
        <v>943</v>
      </c>
      <c r="I564" s="81" t="s">
        <v>344</v>
      </c>
      <c r="J564" s="81" t="s">
        <v>11</v>
      </c>
      <c r="K564" s="81" t="s">
        <v>979</v>
      </c>
      <c r="L564" s="81" t="s">
        <v>129</v>
      </c>
      <c r="M564" s="164">
        <v>14.3</v>
      </c>
      <c r="N564" s="165"/>
      <c r="O564" s="163"/>
      <c r="P564" s="82">
        <v>51.61</v>
      </c>
      <c r="Q564" s="164">
        <v>0</v>
      </c>
      <c r="R564" s="163"/>
      <c r="S564" s="81" t="s">
        <v>346</v>
      </c>
      <c r="T564" s="82">
        <v>63</v>
      </c>
      <c r="U564" s="82">
        <v>0</v>
      </c>
      <c r="V564" s="82">
        <v>0</v>
      </c>
      <c r="W564" s="82">
        <v>0</v>
      </c>
      <c r="X564" s="81" t="s">
        <v>139</v>
      </c>
      <c r="Y564" s="82">
        <v>4</v>
      </c>
      <c r="Z564" s="81" t="s">
        <v>138</v>
      </c>
      <c r="AA564" s="81" t="s">
        <v>58</v>
      </c>
      <c r="AB564" s="81" t="s">
        <v>58</v>
      </c>
      <c r="AC564" s="83">
        <v>46108</v>
      </c>
    </row>
    <row r="565" spans="2:29" ht="23" x14ac:dyDescent="0.35">
      <c r="B565" s="81" t="s">
        <v>338</v>
      </c>
      <c r="C565" s="81" t="s">
        <v>339</v>
      </c>
      <c r="D565" s="81" t="s">
        <v>340</v>
      </c>
      <c r="E565" s="81" t="s">
        <v>496</v>
      </c>
      <c r="F565" s="162" t="s">
        <v>497</v>
      </c>
      <c r="G565" s="163"/>
      <c r="H565" s="81" t="s">
        <v>943</v>
      </c>
      <c r="I565" s="81" t="s">
        <v>344</v>
      </c>
      <c r="J565" s="81" t="s">
        <v>11</v>
      </c>
      <c r="K565" s="81" t="s">
        <v>980</v>
      </c>
      <c r="L565" s="81" t="s">
        <v>129</v>
      </c>
      <c r="M565" s="164">
        <v>10.6</v>
      </c>
      <c r="N565" s="165"/>
      <c r="O565" s="163"/>
      <c r="P565" s="82">
        <v>38.26</v>
      </c>
      <c r="Q565" s="164">
        <v>0</v>
      </c>
      <c r="R565" s="163"/>
      <c r="S565" s="81" t="s">
        <v>346</v>
      </c>
      <c r="T565" s="82">
        <v>63</v>
      </c>
      <c r="U565" s="82">
        <v>0</v>
      </c>
      <c r="V565" s="82">
        <v>0</v>
      </c>
      <c r="W565" s="82">
        <v>0</v>
      </c>
      <c r="X565" s="81" t="s">
        <v>132</v>
      </c>
      <c r="Y565" s="82">
        <v>8</v>
      </c>
      <c r="Z565" s="81" t="s">
        <v>138</v>
      </c>
      <c r="AA565" s="81" t="s">
        <v>58</v>
      </c>
      <c r="AB565" s="81" t="s">
        <v>58</v>
      </c>
      <c r="AC565" s="83">
        <v>46108</v>
      </c>
    </row>
    <row r="566" spans="2:29" ht="23" x14ac:dyDescent="0.35">
      <c r="B566" s="81" t="s">
        <v>338</v>
      </c>
      <c r="C566" s="81" t="s">
        <v>339</v>
      </c>
      <c r="D566" s="81" t="s">
        <v>340</v>
      </c>
      <c r="E566" s="81" t="s">
        <v>715</v>
      </c>
      <c r="F566" s="162" t="s">
        <v>716</v>
      </c>
      <c r="G566" s="163"/>
      <c r="H566" s="81" t="s">
        <v>981</v>
      </c>
      <c r="I566" s="81" t="s">
        <v>344</v>
      </c>
      <c r="J566" s="81" t="s">
        <v>11</v>
      </c>
      <c r="K566" s="81" t="s">
        <v>982</v>
      </c>
      <c r="L566" s="81" t="s">
        <v>129</v>
      </c>
      <c r="M566" s="164">
        <v>22.5</v>
      </c>
      <c r="N566" s="165"/>
      <c r="O566" s="163"/>
      <c r="P566" s="82">
        <v>78.69</v>
      </c>
      <c r="Q566" s="164">
        <v>0</v>
      </c>
      <c r="R566" s="163"/>
      <c r="S566" s="81" t="s">
        <v>346</v>
      </c>
      <c r="T566" s="82">
        <v>64</v>
      </c>
      <c r="U566" s="82">
        <v>0</v>
      </c>
      <c r="V566" s="82">
        <v>0</v>
      </c>
      <c r="W566" s="82">
        <v>0</v>
      </c>
      <c r="X566" s="81"/>
      <c r="Y566" s="81"/>
      <c r="Z566" s="81" t="s">
        <v>138</v>
      </c>
      <c r="AA566" s="81" t="s">
        <v>58</v>
      </c>
      <c r="AB566" s="81" t="s">
        <v>58</v>
      </c>
      <c r="AC566" s="83">
        <v>46109</v>
      </c>
    </row>
    <row r="567" spans="2:29" ht="23" x14ac:dyDescent="0.35">
      <c r="B567" s="81" t="s">
        <v>338</v>
      </c>
      <c r="C567" s="81" t="s">
        <v>339</v>
      </c>
      <c r="D567" s="81" t="s">
        <v>340</v>
      </c>
      <c r="E567" s="81" t="s">
        <v>715</v>
      </c>
      <c r="F567" s="162" t="s">
        <v>716</v>
      </c>
      <c r="G567" s="163"/>
      <c r="H567" s="81" t="s">
        <v>981</v>
      </c>
      <c r="I567" s="81" t="s">
        <v>344</v>
      </c>
      <c r="J567" s="81" t="s">
        <v>11</v>
      </c>
      <c r="K567" s="81" t="s">
        <v>983</v>
      </c>
      <c r="L567" s="81" t="s">
        <v>129</v>
      </c>
      <c r="M567" s="164">
        <v>22.3</v>
      </c>
      <c r="N567" s="165"/>
      <c r="O567" s="163"/>
      <c r="P567" s="82">
        <v>77.989999999999995</v>
      </c>
      <c r="Q567" s="164">
        <v>0</v>
      </c>
      <c r="R567" s="163"/>
      <c r="S567" s="81" t="s">
        <v>346</v>
      </c>
      <c r="T567" s="82">
        <v>64</v>
      </c>
      <c r="U567" s="82">
        <v>0</v>
      </c>
      <c r="V567" s="82">
        <v>0</v>
      </c>
      <c r="W567" s="82">
        <v>0</v>
      </c>
      <c r="X567" s="81" t="s">
        <v>133</v>
      </c>
      <c r="Y567" s="82">
        <v>4</v>
      </c>
      <c r="Z567" s="81" t="s">
        <v>138</v>
      </c>
      <c r="AA567" s="81" t="s">
        <v>58</v>
      </c>
      <c r="AB567" s="81" t="s">
        <v>58</v>
      </c>
      <c r="AC567" s="83">
        <v>46109</v>
      </c>
    </row>
    <row r="568" spans="2:29" ht="23" x14ac:dyDescent="0.35">
      <c r="B568" s="81" t="s">
        <v>338</v>
      </c>
      <c r="C568" s="81" t="s">
        <v>339</v>
      </c>
      <c r="D568" s="81" t="s">
        <v>340</v>
      </c>
      <c r="E568" s="81" t="s">
        <v>715</v>
      </c>
      <c r="F568" s="162" t="s">
        <v>716</v>
      </c>
      <c r="G568" s="163"/>
      <c r="H568" s="81" t="s">
        <v>981</v>
      </c>
      <c r="I568" s="81" t="s">
        <v>344</v>
      </c>
      <c r="J568" s="81" t="s">
        <v>11</v>
      </c>
      <c r="K568" s="81" t="s">
        <v>984</v>
      </c>
      <c r="L568" s="81" t="s">
        <v>129</v>
      </c>
      <c r="M568" s="164">
        <v>22.2</v>
      </c>
      <c r="N568" s="165"/>
      <c r="O568" s="163"/>
      <c r="P568" s="82">
        <v>77.64</v>
      </c>
      <c r="Q568" s="164">
        <v>0</v>
      </c>
      <c r="R568" s="163"/>
      <c r="S568" s="81" t="s">
        <v>346</v>
      </c>
      <c r="T568" s="82">
        <v>64</v>
      </c>
      <c r="U568" s="82">
        <v>0</v>
      </c>
      <c r="V568" s="82">
        <v>0</v>
      </c>
      <c r="W568" s="82">
        <v>0</v>
      </c>
      <c r="X568" s="81" t="s">
        <v>143</v>
      </c>
      <c r="Y568" s="82">
        <v>3</v>
      </c>
      <c r="Z568" s="81" t="s">
        <v>138</v>
      </c>
      <c r="AA568" s="81" t="s">
        <v>58</v>
      </c>
      <c r="AB568" s="81" t="s">
        <v>58</v>
      </c>
      <c r="AC568" s="83">
        <v>46109</v>
      </c>
    </row>
    <row r="569" spans="2:29" ht="23" x14ac:dyDescent="0.35">
      <c r="B569" s="81" t="s">
        <v>338</v>
      </c>
      <c r="C569" s="81" t="s">
        <v>339</v>
      </c>
      <c r="D569" s="81" t="s">
        <v>340</v>
      </c>
      <c r="E569" s="81" t="s">
        <v>715</v>
      </c>
      <c r="F569" s="162" t="s">
        <v>716</v>
      </c>
      <c r="G569" s="163"/>
      <c r="H569" s="81" t="s">
        <v>981</v>
      </c>
      <c r="I569" s="81" t="s">
        <v>344</v>
      </c>
      <c r="J569" s="81" t="s">
        <v>11</v>
      </c>
      <c r="K569" s="81" t="s">
        <v>985</v>
      </c>
      <c r="L569" s="81" t="s">
        <v>129</v>
      </c>
      <c r="M569" s="164">
        <v>22.2</v>
      </c>
      <c r="N569" s="165"/>
      <c r="O569" s="163"/>
      <c r="P569" s="82">
        <v>77.64</v>
      </c>
      <c r="Q569" s="164">
        <v>0</v>
      </c>
      <c r="R569" s="163"/>
      <c r="S569" s="81" t="s">
        <v>346</v>
      </c>
      <c r="T569" s="82">
        <v>64</v>
      </c>
      <c r="U569" s="82">
        <v>0</v>
      </c>
      <c r="V569" s="82">
        <v>0</v>
      </c>
      <c r="W569" s="82">
        <v>0</v>
      </c>
      <c r="X569" s="81" t="s">
        <v>148</v>
      </c>
      <c r="Y569" s="82">
        <v>1</v>
      </c>
      <c r="Z569" s="81" t="s">
        <v>138</v>
      </c>
      <c r="AA569" s="81" t="s">
        <v>58</v>
      </c>
      <c r="AB569" s="81" t="s">
        <v>58</v>
      </c>
      <c r="AC569" s="83">
        <v>46109</v>
      </c>
    </row>
    <row r="570" spans="2:29" ht="23" x14ac:dyDescent="0.35">
      <c r="B570" s="81" t="s">
        <v>338</v>
      </c>
      <c r="C570" s="81" t="s">
        <v>339</v>
      </c>
      <c r="D570" s="81" t="s">
        <v>340</v>
      </c>
      <c r="E570" s="81" t="s">
        <v>715</v>
      </c>
      <c r="F570" s="162" t="s">
        <v>716</v>
      </c>
      <c r="G570" s="163"/>
      <c r="H570" s="81" t="s">
        <v>981</v>
      </c>
      <c r="I570" s="81" t="s">
        <v>344</v>
      </c>
      <c r="J570" s="81" t="s">
        <v>11</v>
      </c>
      <c r="K570" s="81" t="s">
        <v>986</v>
      </c>
      <c r="L570" s="81" t="s">
        <v>129</v>
      </c>
      <c r="M570" s="164">
        <v>22.2</v>
      </c>
      <c r="N570" s="165"/>
      <c r="O570" s="163"/>
      <c r="P570" s="82">
        <v>77.64</v>
      </c>
      <c r="Q570" s="164">
        <v>0</v>
      </c>
      <c r="R570" s="163"/>
      <c r="S570" s="81" t="s">
        <v>346</v>
      </c>
      <c r="T570" s="82">
        <v>64</v>
      </c>
      <c r="U570" s="82">
        <v>0</v>
      </c>
      <c r="V570" s="82">
        <v>0</v>
      </c>
      <c r="W570" s="82">
        <v>0</v>
      </c>
      <c r="X570" s="81" t="s">
        <v>132</v>
      </c>
      <c r="Y570" s="82">
        <v>8</v>
      </c>
      <c r="Z570" s="81" t="s">
        <v>138</v>
      </c>
      <c r="AA570" s="81" t="s">
        <v>58</v>
      </c>
      <c r="AB570" s="81" t="s">
        <v>58</v>
      </c>
      <c r="AC570" s="83">
        <v>46109</v>
      </c>
    </row>
    <row r="571" spans="2:29" ht="23" x14ac:dyDescent="0.35">
      <c r="B571" s="81" t="s">
        <v>338</v>
      </c>
      <c r="C571" s="81" t="s">
        <v>339</v>
      </c>
      <c r="D571" s="81" t="s">
        <v>340</v>
      </c>
      <c r="E571" s="81" t="s">
        <v>715</v>
      </c>
      <c r="F571" s="162" t="s">
        <v>716</v>
      </c>
      <c r="G571" s="163"/>
      <c r="H571" s="81" t="s">
        <v>981</v>
      </c>
      <c r="I571" s="81" t="s">
        <v>344</v>
      </c>
      <c r="J571" s="81" t="s">
        <v>11</v>
      </c>
      <c r="K571" s="81" t="s">
        <v>987</v>
      </c>
      <c r="L571" s="81" t="s">
        <v>129</v>
      </c>
      <c r="M571" s="164">
        <v>31.8</v>
      </c>
      <c r="N571" s="165"/>
      <c r="O571" s="163"/>
      <c r="P571" s="82">
        <v>111.22</v>
      </c>
      <c r="Q571" s="164">
        <v>0</v>
      </c>
      <c r="R571" s="163"/>
      <c r="S571" s="81" t="s">
        <v>346</v>
      </c>
      <c r="T571" s="82">
        <v>64</v>
      </c>
      <c r="U571" s="82">
        <v>0</v>
      </c>
      <c r="V571" s="82">
        <v>0</v>
      </c>
      <c r="W571" s="82">
        <v>0</v>
      </c>
      <c r="X571" s="81" t="s">
        <v>141</v>
      </c>
      <c r="Y571" s="82">
        <v>20</v>
      </c>
      <c r="Z571" s="81" t="s">
        <v>138</v>
      </c>
      <c r="AA571" s="81" t="s">
        <v>58</v>
      </c>
      <c r="AB571" s="81" t="s">
        <v>58</v>
      </c>
      <c r="AC571" s="83">
        <v>46109</v>
      </c>
    </row>
    <row r="572" spans="2:29" ht="23" x14ac:dyDescent="0.35">
      <c r="B572" s="81" t="s">
        <v>338</v>
      </c>
      <c r="C572" s="81" t="s">
        <v>339</v>
      </c>
      <c r="D572" s="81" t="s">
        <v>340</v>
      </c>
      <c r="E572" s="81" t="s">
        <v>715</v>
      </c>
      <c r="F572" s="162" t="s">
        <v>716</v>
      </c>
      <c r="G572" s="163"/>
      <c r="H572" s="81" t="s">
        <v>981</v>
      </c>
      <c r="I572" s="81" t="s">
        <v>344</v>
      </c>
      <c r="J572" s="81" t="s">
        <v>11</v>
      </c>
      <c r="K572" s="81" t="s">
        <v>988</v>
      </c>
      <c r="L572" s="81" t="s">
        <v>129</v>
      </c>
      <c r="M572" s="164">
        <v>22.3</v>
      </c>
      <c r="N572" s="165"/>
      <c r="O572" s="163"/>
      <c r="P572" s="82">
        <v>77.989999999999995</v>
      </c>
      <c r="Q572" s="164">
        <v>0</v>
      </c>
      <c r="R572" s="163"/>
      <c r="S572" s="81" t="s">
        <v>346</v>
      </c>
      <c r="T572" s="82">
        <v>64</v>
      </c>
      <c r="U572" s="82">
        <v>0</v>
      </c>
      <c r="V572" s="82">
        <v>0</v>
      </c>
      <c r="W572" s="82">
        <v>0</v>
      </c>
      <c r="X572" s="81" t="s">
        <v>132</v>
      </c>
      <c r="Y572" s="82">
        <v>4</v>
      </c>
      <c r="Z572" s="81" t="s">
        <v>138</v>
      </c>
      <c r="AA572" s="81" t="s">
        <v>58</v>
      </c>
      <c r="AB572" s="81" t="s">
        <v>58</v>
      </c>
      <c r="AC572" s="83">
        <v>46109</v>
      </c>
    </row>
    <row r="573" spans="2:29" ht="23" x14ac:dyDescent="0.35">
      <c r="B573" s="81" t="s">
        <v>338</v>
      </c>
      <c r="C573" s="81" t="s">
        <v>339</v>
      </c>
      <c r="D573" s="81" t="s">
        <v>340</v>
      </c>
      <c r="E573" s="81" t="s">
        <v>715</v>
      </c>
      <c r="F573" s="162" t="s">
        <v>716</v>
      </c>
      <c r="G573" s="163"/>
      <c r="H573" s="81" t="s">
        <v>981</v>
      </c>
      <c r="I573" s="81" t="s">
        <v>344</v>
      </c>
      <c r="J573" s="81" t="s">
        <v>11</v>
      </c>
      <c r="K573" s="81" t="s">
        <v>989</v>
      </c>
      <c r="L573" s="81" t="s">
        <v>129</v>
      </c>
      <c r="M573" s="164">
        <v>22.8</v>
      </c>
      <c r="N573" s="165"/>
      <c r="O573" s="163"/>
      <c r="P573" s="82">
        <v>79.739999999999995</v>
      </c>
      <c r="Q573" s="164">
        <v>0</v>
      </c>
      <c r="R573" s="163"/>
      <c r="S573" s="81" t="s">
        <v>346</v>
      </c>
      <c r="T573" s="82">
        <v>64</v>
      </c>
      <c r="U573" s="82">
        <v>0</v>
      </c>
      <c r="V573" s="82">
        <v>0</v>
      </c>
      <c r="W573" s="82">
        <v>0</v>
      </c>
      <c r="X573" s="81" t="s">
        <v>132</v>
      </c>
      <c r="Y573" s="82">
        <v>8</v>
      </c>
      <c r="Z573" s="81" t="s">
        <v>138</v>
      </c>
      <c r="AA573" s="81" t="s">
        <v>58</v>
      </c>
      <c r="AB573" s="81" t="s">
        <v>58</v>
      </c>
      <c r="AC573" s="83">
        <v>46109</v>
      </c>
    </row>
    <row r="574" spans="2:29" ht="23" x14ac:dyDescent="0.35">
      <c r="B574" s="81" t="s">
        <v>338</v>
      </c>
      <c r="C574" s="81" t="s">
        <v>339</v>
      </c>
      <c r="D574" s="81" t="s">
        <v>340</v>
      </c>
      <c r="E574" s="81" t="s">
        <v>715</v>
      </c>
      <c r="F574" s="162" t="s">
        <v>716</v>
      </c>
      <c r="G574" s="163"/>
      <c r="H574" s="81" t="s">
        <v>981</v>
      </c>
      <c r="I574" s="81" t="s">
        <v>344</v>
      </c>
      <c r="J574" s="81" t="s">
        <v>11</v>
      </c>
      <c r="K574" s="81" t="s">
        <v>990</v>
      </c>
      <c r="L574" s="81" t="s">
        <v>129</v>
      </c>
      <c r="M574" s="164">
        <v>20.5</v>
      </c>
      <c r="N574" s="165"/>
      <c r="O574" s="163"/>
      <c r="P574" s="82">
        <v>71.7</v>
      </c>
      <c r="Q574" s="164">
        <v>0</v>
      </c>
      <c r="R574" s="163"/>
      <c r="S574" s="81" t="s">
        <v>346</v>
      </c>
      <c r="T574" s="82">
        <v>64</v>
      </c>
      <c r="U574" s="82">
        <v>0</v>
      </c>
      <c r="V574" s="82">
        <v>0</v>
      </c>
      <c r="W574" s="82">
        <v>0</v>
      </c>
      <c r="X574" s="81"/>
      <c r="Y574" s="81"/>
      <c r="Z574" s="81" t="s">
        <v>138</v>
      </c>
      <c r="AA574" s="81" t="s">
        <v>58</v>
      </c>
      <c r="AB574" s="81" t="s">
        <v>58</v>
      </c>
      <c r="AC574" s="83">
        <v>46109</v>
      </c>
    </row>
    <row r="575" spans="2:29" ht="23" x14ac:dyDescent="0.35">
      <c r="B575" s="81" t="s">
        <v>338</v>
      </c>
      <c r="C575" s="81" t="s">
        <v>339</v>
      </c>
      <c r="D575" s="81" t="s">
        <v>340</v>
      </c>
      <c r="E575" s="81" t="s">
        <v>715</v>
      </c>
      <c r="F575" s="162" t="s">
        <v>716</v>
      </c>
      <c r="G575" s="163"/>
      <c r="H575" s="81" t="s">
        <v>981</v>
      </c>
      <c r="I575" s="81" t="s">
        <v>344</v>
      </c>
      <c r="J575" s="81" t="s">
        <v>11</v>
      </c>
      <c r="K575" s="81" t="s">
        <v>991</v>
      </c>
      <c r="L575" s="81" t="s">
        <v>129</v>
      </c>
      <c r="M575" s="164">
        <v>23.1</v>
      </c>
      <c r="N575" s="165"/>
      <c r="O575" s="163"/>
      <c r="P575" s="82">
        <v>80.790000000000006</v>
      </c>
      <c r="Q575" s="164">
        <v>0</v>
      </c>
      <c r="R575" s="163"/>
      <c r="S575" s="81" t="s">
        <v>346</v>
      </c>
      <c r="T575" s="82">
        <v>64</v>
      </c>
      <c r="U575" s="82">
        <v>0</v>
      </c>
      <c r="V575" s="82">
        <v>0</v>
      </c>
      <c r="W575" s="82">
        <v>0</v>
      </c>
      <c r="X575" s="81"/>
      <c r="Y575" s="81"/>
      <c r="Z575" s="81" t="s">
        <v>138</v>
      </c>
      <c r="AA575" s="81" t="s">
        <v>58</v>
      </c>
      <c r="AB575" s="81" t="s">
        <v>58</v>
      </c>
      <c r="AC575" s="83">
        <v>46109</v>
      </c>
    </row>
    <row r="576" spans="2:29" ht="23" x14ac:dyDescent="0.35">
      <c r="B576" s="81" t="s">
        <v>338</v>
      </c>
      <c r="C576" s="81" t="s">
        <v>339</v>
      </c>
      <c r="D576" s="81" t="s">
        <v>340</v>
      </c>
      <c r="E576" s="81" t="s">
        <v>715</v>
      </c>
      <c r="F576" s="162" t="s">
        <v>716</v>
      </c>
      <c r="G576" s="163"/>
      <c r="H576" s="81" t="s">
        <v>981</v>
      </c>
      <c r="I576" s="81" t="s">
        <v>344</v>
      </c>
      <c r="J576" s="81" t="s">
        <v>11</v>
      </c>
      <c r="K576" s="81" t="s">
        <v>992</v>
      </c>
      <c r="L576" s="81" t="s">
        <v>129</v>
      </c>
      <c r="M576" s="164">
        <v>23</v>
      </c>
      <c r="N576" s="165"/>
      <c r="O576" s="163"/>
      <c r="P576" s="82">
        <v>80.44</v>
      </c>
      <c r="Q576" s="164">
        <v>0</v>
      </c>
      <c r="R576" s="163"/>
      <c r="S576" s="81" t="s">
        <v>346</v>
      </c>
      <c r="T576" s="82">
        <v>64</v>
      </c>
      <c r="U576" s="82">
        <v>0</v>
      </c>
      <c r="V576" s="82">
        <v>0</v>
      </c>
      <c r="W576" s="82">
        <v>0</v>
      </c>
      <c r="X576" s="81" t="s">
        <v>133</v>
      </c>
      <c r="Y576" s="82">
        <v>4</v>
      </c>
      <c r="Z576" s="81" t="s">
        <v>138</v>
      </c>
      <c r="AA576" s="81" t="s">
        <v>58</v>
      </c>
      <c r="AB576" s="81" t="s">
        <v>58</v>
      </c>
      <c r="AC576" s="83">
        <v>46109</v>
      </c>
    </row>
    <row r="577" spans="2:29" ht="23" x14ac:dyDescent="0.35">
      <c r="B577" s="81" t="s">
        <v>338</v>
      </c>
      <c r="C577" s="81" t="s">
        <v>339</v>
      </c>
      <c r="D577" s="81" t="s">
        <v>340</v>
      </c>
      <c r="E577" s="81" t="s">
        <v>715</v>
      </c>
      <c r="F577" s="162" t="s">
        <v>716</v>
      </c>
      <c r="G577" s="163"/>
      <c r="H577" s="81" t="s">
        <v>981</v>
      </c>
      <c r="I577" s="81" t="s">
        <v>344</v>
      </c>
      <c r="J577" s="81" t="s">
        <v>11</v>
      </c>
      <c r="K577" s="81" t="s">
        <v>993</v>
      </c>
      <c r="L577" s="81" t="s">
        <v>129</v>
      </c>
      <c r="M577" s="164">
        <v>22.3</v>
      </c>
      <c r="N577" s="165"/>
      <c r="O577" s="163"/>
      <c r="P577" s="82">
        <v>77.989999999999995</v>
      </c>
      <c r="Q577" s="164">
        <v>0</v>
      </c>
      <c r="R577" s="163"/>
      <c r="S577" s="81" t="s">
        <v>346</v>
      </c>
      <c r="T577" s="82">
        <v>64</v>
      </c>
      <c r="U577" s="82">
        <v>0</v>
      </c>
      <c r="V577" s="82">
        <v>0</v>
      </c>
      <c r="W577" s="82">
        <v>0</v>
      </c>
      <c r="X577" s="81" t="s">
        <v>132</v>
      </c>
      <c r="Y577" s="82">
        <v>24</v>
      </c>
      <c r="Z577" s="81" t="s">
        <v>138</v>
      </c>
      <c r="AA577" s="81" t="s">
        <v>58</v>
      </c>
      <c r="AB577" s="81" t="s">
        <v>58</v>
      </c>
      <c r="AC577" s="83">
        <v>46109</v>
      </c>
    </row>
    <row r="578" spans="2:29" ht="23" x14ac:dyDescent="0.35">
      <c r="B578" s="81" t="s">
        <v>338</v>
      </c>
      <c r="C578" s="81" t="s">
        <v>339</v>
      </c>
      <c r="D578" s="81" t="s">
        <v>340</v>
      </c>
      <c r="E578" s="81" t="s">
        <v>715</v>
      </c>
      <c r="F578" s="162" t="s">
        <v>716</v>
      </c>
      <c r="G578" s="163"/>
      <c r="H578" s="81" t="s">
        <v>981</v>
      </c>
      <c r="I578" s="81" t="s">
        <v>344</v>
      </c>
      <c r="J578" s="81" t="s">
        <v>11</v>
      </c>
      <c r="K578" s="81" t="s">
        <v>994</v>
      </c>
      <c r="L578" s="81" t="s">
        <v>129</v>
      </c>
      <c r="M578" s="164">
        <v>22.8</v>
      </c>
      <c r="N578" s="165"/>
      <c r="O578" s="163"/>
      <c r="P578" s="82">
        <v>79.739999999999995</v>
      </c>
      <c r="Q578" s="164">
        <v>0</v>
      </c>
      <c r="R578" s="163"/>
      <c r="S578" s="81" t="s">
        <v>346</v>
      </c>
      <c r="T578" s="82">
        <v>64</v>
      </c>
      <c r="U578" s="82">
        <v>0</v>
      </c>
      <c r="V578" s="82">
        <v>0</v>
      </c>
      <c r="W578" s="82">
        <v>0</v>
      </c>
      <c r="X578" s="81" t="s">
        <v>135</v>
      </c>
      <c r="Y578" s="82">
        <v>4</v>
      </c>
      <c r="Z578" s="81" t="s">
        <v>138</v>
      </c>
      <c r="AA578" s="81" t="s">
        <v>58</v>
      </c>
      <c r="AB578" s="81" t="s">
        <v>58</v>
      </c>
      <c r="AC578" s="83">
        <v>46109</v>
      </c>
    </row>
    <row r="579" spans="2:29" ht="23" x14ac:dyDescent="0.35">
      <c r="B579" s="81" t="s">
        <v>338</v>
      </c>
      <c r="C579" s="81" t="s">
        <v>339</v>
      </c>
      <c r="D579" s="81" t="s">
        <v>340</v>
      </c>
      <c r="E579" s="81" t="s">
        <v>715</v>
      </c>
      <c r="F579" s="162" t="s">
        <v>716</v>
      </c>
      <c r="G579" s="163"/>
      <c r="H579" s="81" t="s">
        <v>981</v>
      </c>
      <c r="I579" s="81" t="s">
        <v>344</v>
      </c>
      <c r="J579" s="81" t="s">
        <v>11</v>
      </c>
      <c r="K579" s="81" t="s">
        <v>995</v>
      </c>
      <c r="L579" s="81" t="s">
        <v>129</v>
      </c>
      <c r="M579" s="164">
        <v>22.9</v>
      </c>
      <c r="N579" s="165"/>
      <c r="O579" s="163"/>
      <c r="P579" s="82">
        <v>80.09</v>
      </c>
      <c r="Q579" s="164">
        <v>0</v>
      </c>
      <c r="R579" s="163"/>
      <c r="S579" s="81" t="s">
        <v>346</v>
      </c>
      <c r="T579" s="82">
        <v>64</v>
      </c>
      <c r="U579" s="82">
        <v>0</v>
      </c>
      <c r="V579" s="82">
        <v>0</v>
      </c>
      <c r="W579" s="82">
        <v>0</v>
      </c>
      <c r="X579" s="81" t="s">
        <v>132</v>
      </c>
      <c r="Y579" s="82">
        <v>8</v>
      </c>
      <c r="Z579" s="81" t="s">
        <v>138</v>
      </c>
      <c r="AA579" s="81" t="s">
        <v>58</v>
      </c>
      <c r="AB579" s="81" t="s">
        <v>58</v>
      </c>
      <c r="AC579" s="83">
        <v>46109</v>
      </c>
    </row>
    <row r="580" spans="2:29" ht="23" x14ac:dyDescent="0.35">
      <c r="B580" s="81" t="s">
        <v>338</v>
      </c>
      <c r="C580" s="81" t="s">
        <v>339</v>
      </c>
      <c r="D580" s="81" t="s">
        <v>340</v>
      </c>
      <c r="E580" s="81" t="s">
        <v>715</v>
      </c>
      <c r="F580" s="162" t="s">
        <v>716</v>
      </c>
      <c r="G580" s="163"/>
      <c r="H580" s="81" t="s">
        <v>981</v>
      </c>
      <c r="I580" s="81" t="s">
        <v>344</v>
      </c>
      <c r="J580" s="81" t="s">
        <v>11</v>
      </c>
      <c r="K580" s="81" t="s">
        <v>996</v>
      </c>
      <c r="L580" s="81" t="s">
        <v>129</v>
      </c>
      <c r="M580" s="164">
        <v>22.5</v>
      </c>
      <c r="N580" s="165"/>
      <c r="O580" s="163"/>
      <c r="P580" s="82">
        <v>78.69</v>
      </c>
      <c r="Q580" s="164">
        <v>0</v>
      </c>
      <c r="R580" s="163"/>
      <c r="S580" s="81" t="s">
        <v>346</v>
      </c>
      <c r="T580" s="82">
        <v>64</v>
      </c>
      <c r="U580" s="82">
        <v>0</v>
      </c>
      <c r="V580" s="82">
        <v>0</v>
      </c>
      <c r="W580" s="82">
        <v>0</v>
      </c>
      <c r="X580" s="81"/>
      <c r="Y580" s="81"/>
      <c r="Z580" s="81" t="s">
        <v>138</v>
      </c>
      <c r="AA580" s="81" t="s">
        <v>58</v>
      </c>
      <c r="AB580" s="81" t="s">
        <v>58</v>
      </c>
      <c r="AC580" s="83">
        <v>46109</v>
      </c>
    </row>
    <row r="581" spans="2:29" ht="23" x14ac:dyDescent="0.35">
      <c r="B581" s="81" t="s">
        <v>338</v>
      </c>
      <c r="C581" s="81" t="s">
        <v>339</v>
      </c>
      <c r="D581" s="81" t="s">
        <v>340</v>
      </c>
      <c r="E581" s="81" t="s">
        <v>715</v>
      </c>
      <c r="F581" s="162" t="s">
        <v>716</v>
      </c>
      <c r="G581" s="163"/>
      <c r="H581" s="81" t="s">
        <v>981</v>
      </c>
      <c r="I581" s="81" t="s">
        <v>344</v>
      </c>
      <c r="J581" s="81" t="s">
        <v>11</v>
      </c>
      <c r="K581" s="81" t="s">
        <v>997</v>
      </c>
      <c r="L581" s="81" t="s">
        <v>129</v>
      </c>
      <c r="M581" s="164">
        <v>22.3</v>
      </c>
      <c r="N581" s="165"/>
      <c r="O581" s="163"/>
      <c r="P581" s="82">
        <v>77.989999999999995</v>
      </c>
      <c r="Q581" s="164">
        <v>0</v>
      </c>
      <c r="R581" s="163"/>
      <c r="S581" s="81" t="s">
        <v>346</v>
      </c>
      <c r="T581" s="82">
        <v>64</v>
      </c>
      <c r="U581" s="82">
        <v>0</v>
      </c>
      <c r="V581" s="82">
        <v>0</v>
      </c>
      <c r="W581" s="82">
        <v>0</v>
      </c>
      <c r="X581" s="81"/>
      <c r="Y581" s="81"/>
      <c r="Z581" s="81" t="s">
        <v>138</v>
      </c>
      <c r="AA581" s="81" t="s">
        <v>58</v>
      </c>
      <c r="AB581" s="81" t="s">
        <v>58</v>
      </c>
      <c r="AC581" s="83">
        <v>46109</v>
      </c>
    </row>
    <row r="582" spans="2:29" ht="23" x14ac:dyDescent="0.35">
      <c r="B582" s="81" t="s">
        <v>338</v>
      </c>
      <c r="C582" s="81" t="s">
        <v>339</v>
      </c>
      <c r="D582" s="81" t="s">
        <v>340</v>
      </c>
      <c r="E582" s="81" t="s">
        <v>715</v>
      </c>
      <c r="F582" s="162" t="s">
        <v>716</v>
      </c>
      <c r="G582" s="163"/>
      <c r="H582" s="81" t="s">
        <v>981</v>
      </c>
      <c r="I582" s="81" t="s">
        <v>344</v>
      </c>
      <c r="J582" s="81" t="s">
        <v>11</v>
      </c>
      <c r="K582" s="81" t="s">
        <v>998</v>
      </c>
      <c r="L582" s="81" t="s">
        <v>129</v>
      </c>
      <c r="M582" s="164">
        <v>21.4</v>
      </c>
      <c r="N582" s="165"/>
      <c r="O582" s="163"/>
      <c r="P582" s="82">
        <v>74.84</v>
      </c>
      <c r="Q582" s="164">
        <v>0</v>
      </c>
      <c r="R582" s="163"/>
      <c r="S582" s="81" t="s">
        <v>346</v>
      </c>
      <c r="T582" s="82">
        <v>64</v>
      </c>
      <c r="U582" s="82">
        <v>0</v>
      </c>
      <c r="V582" s="82">
        <v>0</v>
      </c>
      <c r="W582" s="82">
        <v>0</v>
      </c>
      <c r="X582" s="81"/>
      <c r="Y582" s="81"/>
      <c r="Z582" s="81" t="s">
        <v>138</v>
      </c>
      <c r="AA582" s="81" t="s">
        <v>58</v>
      </c>
      <c r="AB582" s="81" t="s">
        <v>58</v>
      </c>
      <c r="AC582" s="83">
        <v>46109</v>
      </c>
    </row>
    <row r="583" spans="2:29" ht="23" x14ac:dyDescent="0.35">
      <c r="B583" s="81" t="s">
        <v>338</v>
      </c>
      <c r="C583" s="81" t="s">
        <v>339</v>
      </c>
      <c r="D583" s="81" t="s">
        <v>340</v>
      </c>
      <c r="E583" s="81" t="s">
        <v>715</v>
      </c>
      <c r="F583" s="162" t="s">
        <v>716</v>
      </c>
      <c r="G583" s="163"/>
      <c r="H583" s="81" t="s">
        <v>981</v>
      </c>
      <c r="I583" s="81" t="s">
        <v>344</v>
      </c>
      <c r="J583" s="81" t="s">
        <v>11</v>
      </c>
      <c r="K583" s="81" t="s">
        <v>999</v>
      </c>
      <c r="L583" s="81" t="s">
        <v>129</v>
      </c>
      <c r="M583" s="164">
        <v>22.3</v>
      </c>
      <c r="N583" s="165"/>
      <c r="O583" s="163"/>
      <c r="P583" s="82">
        <v>77.989999999999995</v>
      </c>
      <c r="Q583" s="164">
        <v>0</v>
      </c>
      <c r="R583" s="163"/>
      <c r="S583" s="81" t="s">
        <v>346</v>
      </c>
      <c r="T583" s="82">
        <v>64</v>
      </c>
      <c r="U583" s="82">
        <v>0</v>
      </c>
      <c r="V583" s="82">
        <v>0</v>
      </c>
      <c r="W583" s="82">
        <v>0</v>
      </c>
      <c r="X583" s="81"/>
      <c r="Y583" s="81"/>
      <c r="Z583" s="81" t="s">
        <v>138</v>
      </c>
      <c r="AA583" s="81" t="s">
        <v>58</v>
      </c>
      <c r="AB583" s="81" t="s">
        <v>58</v>
      </c>
      <c r="AC583" s="83">
        <v>46109</v>
      </c>
    </row>
    <row r="584" spans="2:29" ht="23" x14ac:dyDescent="0.35">
      <c r="B584" s="81" t="s">
        <v>338</v>
      </c>
      <c r="C584" s="81" t="s">
        <v>339</v>
      </c>
      <c r="D584" s="81" t="s">
        <v>340</v>
      </c>
      <c r="E584" s="81" t="s">
        <v>715</v>
      </c>
      <c r="F584" s="162" t="s">
        <v>716</v>
      </c>
      <c r="G584" s="163"/>
      <c r="H584" s="81" t="s">
        <v>981</v>
      </c>
      <c r="I584" s="81" t="s">
        <v>344</v>
      </c>
      <c r="J584" s="81" t="s">
        <v>11</v>
      </c>
      <c r="K584" s="81" t="s">
        <v>1000</v>
      </c>
      <c r="L584" s="81" t="s">
        <v>129</v>
      </c>
      <c r="M584" s="164">
        <v>22.3</v>
      </c>
      <c r="N584" s="165"/>
      <c r="O584" s="163"/>
      <c r="P584" s="82">
        <v>77.989999999999995</v>
      </c>
      <c r="Q584" s="164">
        <v>0</v>
      </c>
      <c r="R584" s="163"/>
      <c r="S584" s="81" t="s">
        <v>346</v>
      </c>
      <c r="T584" s="82">
        <v>64</v>
      </c>
      <c r="U584" s="82">
        <v>0</v>
      </c>
      <c r="V584" s="82">
        <v>0</v>
      </c>
      <c r="W584" s="82">
        <v>0</v>
      </c>
      <c r="X584" s="81" t="s">
        <v>133</v>
      </c>
      <c r="Y584" s="82">
        <v>3</v>
      </c>
      <c r="Z584" s="81" t="s">
        <v>138</v>
      </c>
      <c r="AA584" s="81" t="s">
        <v>58</v>
      </c>
      <c r="AB584" s="81" t="s">
        <v>58</v>
      </c>
      <c r="AC584" s="83">
        <v>46109</v>
      </c>
    </row>
    <row r="585" spans="2:29" ht="23" x14ac:dyDescent="0.35">
      <c r="B585" s="81" t="s">
        <v>338</v>
      </c>
      <c r="C585" s="81" t="s">
        <v>339</v>
      </c>
      <c r="D585" s="81" t="s">
        <v>340</v>
      </c>
      <c r="E585" s="81" t="s">
        <v>715</v>
      </c>
      <c r="F585" s="162" t="s">
        <v>716</v>
      </c>
      <c r="G585" s="163"/>
      <c r="H585" s="81" t="s">
        <v>981</v>
      </c>
      <c r="I585" s="81" t="s">
        <v>344</v>
      </c>
      <c r="J585" s="81" t="s">
        <v>11</v>
      </c>
      <c r="K585" s="81" t="s">
        <v>1001</v>
      </c>
      <c r="L585" s="81" t="s">
        <v>129</v>
      </c>
      <c r="M585" s="164">
        <v>22.4</v>
      </c>
      <c r="N585" s="165"/>
      <c r="O585" s="163"/>
      <c r="P585" s="82">
        <v>78.34</v>
      </c>
      <c r="Q585" s="164">
        <v>0</v>
      </c>
      <c r="R585" s="163"/>
      <c r="S585" s="81" t="s">
        <v>346</v>
      </c>
      <c r="T585" s="82">
        <v>64</v>
      </c>
      <c r="U585" s="82">
        <v>0</v>
      </c>
      <c r="V585" s="82">
        <v>0</v>
      </c>
      <c r="W585" s="82">
        <v>0</v>
      </c>
      <c r="X585" s="81"/>
      <c r="Y585" s="81"/>
      <c r="Z585" s="81" t="s">
        <v>138</v>
      </c>
      <c r="AA585" s="81" t="s">
        <v>58</v>
      </c>
      <c r="AB585" s="81" t="s">
        <v>58</v>
      </c>
      <c r="AC585" s="83">
        <v>46109</v>
      </c>
    </row>
    <row r="586" spans="2:29" ht="23" x14ac:dyDescent="0.35">
      <c r="B586" s="81" t="s">
        <v>338</v>
      </c>
      <c r="C586" s="81" t="s">
        <v>339</v>
      </c>
      <c r="D586" s="81" t="s">
        <v>340</v>
      </c>
      <c r="E586" s="81" t="s">
        <v>715</v>
      </c>
      <c r="F586" s="162" t="s">
        <v>716</v>
      </c>
      <c r="G586" s="163"/>
      <c r="H586" s="81" t="s">
        <v>981</v>
      </c>
      <c r="I586" s="81" t="s">
        <v>344</v>
      </c>
      <c r="J586" s="81" t="s">
        <v>11</v>
      </c>
      <c r="K586" s="81" t="s">
        <v>1002</v>
      </c>
      <c r="L586" s="81" t="s">
        <v>129</v>
      </c>
      <c r="M586" s="164">
        <v>22.5</v>
      </c>
      <c r="N586" s="165"/>
      <c r="O586" s="163"/>
      <c r="P586" s="82">
        <v>78.69</v>
      </c>
      <c r="Q586" s="164">
        <v>0</v>
      </c>
      <c r="R586" s="163"/>
      <c r="S586" s="81" t="s">
        <v>346</v>
      </c>
      <c r="T586" s="82">
        <v>64</v>
      </c>
      <c r="U586" s="82">
        <v>0</v>
      </c>
      <c r="V586" s="82">
        <v>0</v>
      </c>
      <c r="W586" s="82">
        <v>0</v>
      </c>
      <c r="X586" s="81"/>
      <c r="Y586" s="81"/>
      <c r="Z586" s="81" t="s">
        <v>138</v>
      </c>
      <c r="AA586" s="81" t="s">
        <v>58</v>
      </c>
      <c r="AB586" s="81" t="s">
        <v>58</v>
      </c>
      <c r="AC586" s="83">
        <v>46109</v>
      </c>
    </row>
    <row r="587" spans="2:29" ht="23" x14ac:dyDescent="0.35">
      <c r="B587" s="81" t="s">
        <v>338</v>
      </c>
      <c r="C587" s="81" t="s">
        <v>339</v>
      </c>
      <c r="D587" s="81" t="s">
        <v>340</v>
      </c>
      <c r="E587" s="81" t="s">
        <v>715</v>
      </c>
      <c r="F587" s="162" t="s">
        <v>716</v>
      </c>
      <c r="G587" s="163"/>
      <c r="H587" s="81" t="s">
        <v>981</v>
      </c>
      <c r="I587" s="81" t="s">
        <v>344</v>
      </c>
      <c r="J587" s="81" t="s">
        <v>11</v>
      </c>
      <c r="K587" s="81" t="s">
        <v>1003</v>
      </c>
      <c r="L587" s="81" t="s">
        <v>129</v>
      </c>
      <c r="M587" s="164">
        <v>12.2</v>
      </c>
      <c r="N587" s="165"/>
      <c r="O587" s="163"/>
      <c r="P587" s="82">
        <v>42.67</v>
      </c>
      <c r="Q587" s="164">
        <v>0</v>
      </c>
      <c r="R587" s="163"/>
      <c r="S587" s="81" t="s">
        <v>346</v>
      </c>
      <c r="T587" s="82">
        <v>64</v>
      </c>
      <c r="U587" s="82">
        <v>0</v>
      </c>
      <c r="V587" s="82">
        <v>0</v>
      </c>
      <c r="W587" s="82">
        <v>0</v>
      </c>
      <c r="X587" s="81" t="s">
        <v>132</v>
      </c>
      <c r="Y587" s="82">
        <v>12</v>
      </c>
      <c r="Z587" s="81" t="s">
        <v>138</v>
      </c>
      <c r="AA587" s="81" t="s">
        <v>58</v>
      </c>
      <c r="AB587" s="81" t="s">
        <v>58</v>
      </c>
      <c r="AC587" s="83">
        <v>46109</v>
      </c>
    </row>
    <row r="588" spans="2:29" ht="23" x14ac:dyDescent="0.35">
      <c r="B588" s="81" t="s">
        <v>338</v>
      </c>
      <c r="C588" s="81" t="s">
        <v>339</v>
      </c>
      <c r="D588" s="81" t="s">
        <v>340</v>
      </c>
      <c r="E588" s="81" t="s">
        <v>715</v>
      </c>
      <c r="F588" s="162" t="s">
        <v>716</v>
      </c>
      <c r="G588" s="163"/>
      <c r="H588" s="81" t="s">
        <v>981</v>
      </c>
      <c r="I588" s="81" t="s">
        <v>344</v>
      </c>
      <c r="J588" s="81" t="s">
        <v>11</v>
      </c>
      <c r="K588" s="81" t="s">
        <v>1004</v>
      </c>
      <c r="L588" s="81" t="s">
        <v>129</v>
      </c>
      <c r="M588" s="164">
        <v>22.4</v>
      </c>
      <c r="N588" s="165"/>
      <c r="O588" s="163"/>
      <c r="P588" s="82">
        <v>78.34</v>
      </c>
      <c r="Q588" s="164">
        <v>0</v>
      </c>
      <c r="R588" s="163"/>
      <c r="S588" s="81" t="s">
        <v>346</v>
      </c>
      <c r="T588" s="82">
        <v>64</v>
      </c>
      <c r="U588" s="82">
        <v>0</v>
      </c>
      <c r="V588" s="82">
        <v>0</v>
      </c>
      <c r="W588" s="82">
        <v>0</v>
      </c>
      <c r="X588" s="81" t="s">
        <v>132</v>
      </c>
      <c r="Y588" s="82">
        <v>4</v>
      </c>
      <c r="Z588" s="81" t="s">
        <v>138</v>
      </c>
      <c r="AA588" s="81" t="s">
        <v>58</v>
      </c>
      <c r="AB588" s="81" t="s">
        <v>58</v>
      </c>
      <c r="AC588" s="83">
        <v>46109</v>
      </c>
    </row>
    <row r="589" spans="2:29" ht="23" x14ac:dyDescent="0.35">
      <c r="B589" s="81" t="s">
        <v>338</v>
      </c>
      <c r="C589" s="81" t="s">
        <v>339</v>
      </c>
      <c r="D589" s="81" t="s">
        <v>340</v>
      </c>
      <c r="E589" s="81" t="s">
        <v>715</v>
      </c>
      <c r="F589" s="162" t="s">
        <v>716</v>
      </c>
      <c r="G589" s="163"/>
      <c r="H589" s="81" t="s">
        <v>981</v>
      </c>
      <c r="I589" s="81" t="s">
        <v>344</v>
      </c>
      <c r="J589" s="81" t="s">
        <v>11</v>
      </c>
      <c r="K589" s="81" t="s">
        <v>1005</v>
      </c>
      <c r="L589" s="81" t="s">
        <v>129</v>
      </c>
      <c r="M589" s="164">
        <v>22.4</v>
      </c>
      <c r="N589" s="165"/>
      <c r="O589" s="163"/>
      <c r="P589" s="82">
        <v>78.34</v>
      </c>
      <c r="Q589" s="164">
        <v>0</v>
      </c>
      <c r="R589" s="163"/>
      <c r="S589" s="81" t="s">
        <v>346</v>
      </c>
      <c r="T589" s="82">
        <v>64</v>
      </c>
      <c r="U589" s="82">
        <v>0</v>
      </c>
      <c r="V589" s="82">
        <v>0</v>
      </c>
      <c r="W589" s="82">
        <v>0</v>
      </c>
      <c r="X589" s="81"/>
      <c r="Y589" s="81"/>
      <c r="Z589" s="81" t="s">
        <v>138</v>
      </c>
      <c r="AA589" s="81" t="s">
        <v>58</v>
      </c>
      <c r="AB589" s="81" t="s">
        <v>58</v>
      </c>
      <c r="AC589" s="83">
        <v>46109</v>
      </c>
    </row>
    <row r="590" spans="2:29" ht="23" x14ac:dyDescent="0.35">
      <c r="B590" s="81" t="s">
        <v>338</v>
      </c>
      <c r="C590" s="81" t="s">
        <v>339</v>
      </c>
      <c r="D590" s="81" t="s">
        <v>340</v>
      </c>
      <c r="E590" s="81" t="s">
        <v>715</v>
      </c>
      <c r="F590" s="162" t="s">
        <v>716</v>
      </c>
      <c r="G590" s="163"/>
      <c r="H590" s="81" t="s">
        <v>981</v>
      </c>
      <c r="I590" s="81" t="s">
        <v>344</v>
      </c>
      <c r="J590" s="81" t="s">
        <v>11</v>
      </c>
      <c r="K590" s="81" t="s">
        <v>1006</v>
      </c>
      <c r="L590" s="81" t="s">
        <v>129</v>
      </c>
      <c r="M590" s="164">
        <v>22.4</v>
      </c>
      <c r="N590" s="165"/>
      <c r="O590" s="163"/>
      <c r="P590" s="82">
        <v>78.34</v>
      </c>
      <c r="Q590" s="164">
        <v>0</v>
      </c>
      <c r="R590" s="163"/>
      <c r="S590" s="81" t="s">
        <v>346</v>
      </c>
      <c r="T590" s="82">
        <v>64</v>
      </c>
      <c r="U590" s="82">
        <v>0</v>
      </c>
      <c r="V590" s="82">
        <v>0</v>
      </c>
      <c r="W590" s="82">
        <v>0</v>
      </c>
      <c r="X590" s="81"/>
      <c r="Y590" s="81"/>
      <c r="Z590" s="81" t="s">
        <v>138</v>
      </c>
      <c r="AA590" s="81" t="s">
        <v>58</v>
      </c>
      <c r="AB590" s="81" t="s">
        <v>58</v>
      </c>
      <c r="AC590" s="83">
        <v>46109</v>
      </c>
    </row>
    <row r="591" spans="2:29" ht="23" x14ac:dyDescent="0.35">
      <c r="B591" s="81" t="s">
        <v>338</v>
      </c>
      <c r="C591" s="81" t="s">
        <v>339</v>
      </c>
      <c r="D591" s="81" t="s">
        <v>340</v>
      </c>
      <c r="E591" s="81" t="s">
        <v>715</v>
      </c>
      <c r="F591" s="162" t="s">
        <v>716</v>
      </c>
      <c r="G591" s="163"/>
      <c r="H591" s="81" t="s">
        <v>981</v>
      </c>
      <c r="I591" s="81" t="s">
        <v>344</v>
      </c>
      <c r="J591" s="81" t="s">
        <v>11</v>
      </c>
      <c r="K591" s="81" t="s">
        <v>1007</v>
      </c>
      <c r="L591" s="81" t="s">
        <v>129</v>
      </c>
      <c r="M591" s="164">
        <v>22.4</v>
      </c>
      <c r="N591" s="165"/>
      <c r="O591" s="163"/>
      <c r="P591" s="82">
        <v>78.34</v>
      </c>
      <c r="Q591" s="164">
        <v>0</v>
      </c>
      <c r="R591" s="163"/>
      <c r="S591" s="81" t="s">
        <v>346</v>
      </c>
      <c r="T591" s="82">
        <v>64</v>
      </c>
      <c r="U591" s="82">
        <v>0</v>
      </c>
      <c r="V591" s="82">
        <v>0</v>
      </c>
      <c r="W591" s="82">
        <v>0</v>
      </c>
      <c r="X591" s="81"/>
      <c r="Y591" s="81"/>
      <c r="Z591" s="81" t="s">
        <v>138</v>
      </c>
      <c r="AA591" s="81" t="s">
        <v>58</v>
      </c>
      <c r="AB591" s="81" t="s">
        <v>58</v>
      </c>
      <c r="AC591" s="83">
        <v>46109</v>
      </c>
    </row>
    <row r="592" spans="2:29" ht="23" x14ac:dyDescent="0.35">
      <c r="B592" s="81" t="s">
        <v>338</v>
      </c>
      <c r="C592" s="81" t="s">
        <v>339</v>
      </c>
      <c r="D592" s="81" t="s">
        <v>340</v>
      </c>
      <c r="E592" s="81" t="s">
        <v>715</v>
      </c>
      <c r="F592" s="162" t="s">
        <v>716</v>
      </c>
      <c r="G592" s="163"/>
      <c r="H592" s="81" t="s">
        <v>981</v>
      </c>
      <c r="I592" s="81" t="s">
        <v>344</v>
      </c>
      <c r="J592" s="81" t="s">
        <v>11</v>
      </c>
      <c r="K592" s="81" t="s">
        <v>1008</v>
      </c>
      <c r="L592" s="81" t="s">
        <v>129</v>
      </c>
      <c r="M592" s="164">
        <v>22.4</v>
      </c>
      <c r="N592" s="165"/>
      <c r="O592" s="163"/>
      <c r="P592" s="82">
        <v>78.34</v>
      </c>
      <c r="Q592" s="164">
        <v>0</v>
      </c>
      <c r="R592" s="163"/>
      <c r="S592" s="81" t="s">
        <v>346</v>
      </c>
      <c r="T592" s="82">
        <v>64</v>
      </c>
      <c r="U592" s="82">
        <v>0</v>
      </c>
      <c r="V592" s="82">
        <v>0</v>
      </c>
      <c r="W592" s="82">
        <v>0</v>
      </c>
      <c r="X592" s="81"/>
      <c r="Y592" s="81"/>
      <c r="Z592" s="81" t="s">
        <v>138</v>
      </c>
      <c r="AA592" s="81" t="s">
        <v>58</v>
      </c>
      <c r="AB592" s="81" t="s">
        <v>58</v>
      </c>
      <c r="AC592" s="83">
        <v>46109</v>
      </c>
    </row>
    <row r="593" spans="2:29" ht="23" x14ac:dyDescent="0.35">
      <c r="B593" s="81" t="s">
        <v>338</v>
      </c>
      <c r="C593" s="81" t="s">
        <v>339</v>
      </c>
      <c r="D593" s="81" t="s">
        <v>340</v>
      </c>
      <c r="E593" s="81" t="s">
        <v>715</v>
      </c>
      <c r="F593" s="162" t="s">
        <v>716</v>
      </c>
      <c r="G593" s="163"/>
      <c r="H593" s="81" t="s">
        <v>981</v>
      </c>
      <c r="I593" s="81" t="s">
        <v>344</v>
      </c>
      <c r="J593" s="81" t="s">
        <v>11</v>
      </c>
      <c r="K593" s="81" t="s">
        <v>1009</v>
      </c>
      <c r="L593" s="81" t="s">
        <v>129</v>
      </c>
      <c r="M593" s="164">
        <v>22.3</v>
      </c>
      <c r="N593" s="165"/>
      <c r="O593" s="163"/>
      <c r="P593" s="82">
        <v>77.989999999999995</v>
      </c>
      <c r="Q593" s="164">
        <v>0</v>
      </c>
      <c r="R593" s="163"/>
      <c r="S593" s="81" t="s">
        <v>346</v>
      </c>
      <c r="T593" s="82">
        <v>64</v>
      </c>
      <c r="U593" s="82">
        <v>0</v>
      </c>
      <c r="V593" s="82">
        <v>0</v>
      </c>
      <c r="W593" s="82">
        <v>0</v>
      </c>
      <c r="X593" s="81"/>
      <c r="Y593" s="81"/>
      <c r="Z593" s="81" t="s">
        <v>138</v>
      </c>
      <c r="AA593" s="81" t="s">
        <v>58</v>
      </c>
      <c r="AB593" s="81" t="s">
        <v>58</v>
      </c>
      <c r="AC593" s="83">
        <v>46109</v>
      </c>
    </row>
    <row r="594" spans="2:29" ht="23" x14ac:dyDescent="0.35">
      <c r="B594" s="81" t="s">
        <v>338</v>
      </c>
      <c r="C594" s="81" t="s">
        <v>339</v>
      </c>
      <c r="D594" s="81" t="s">
        <v>340</v>
      </c>
      <c r="E594" s="81" t="s">
        <v>715</v>
      </c>
      <c r="F594" s="162" t="s">
        <v>716</v>
      </c>
      <c r="G594" s="163"/>
      <c r="H594" s="81" t="s">
        <v>981</v>
      </c>
      <c r="I594" s="81" t="s">
        <v>344</v>
      </c>
      <c r="J594" s="81" t="s">
        <v>11</v>
      </c>
      <c r="K594" s="81" t="s">
        <v>1010</v>
      </c>
      <c r="L594" s="81" t="s">
        <v>129</v>
      </c>
      <c r="M594" s="164">
        <v>22.4</v>
      </c>
      <c r="N594" s="165"/>
      <c r="O594" s="163"/>
      <c r="P594" s="82">
        <v>78.34</v>
      </c>
      <c r="Q594" s="164">
        <v>0</v>
      </c>
      <c r="R594" s="163"/>
      <c r="S594" s="81" t="s">
        <v>346</v>
      </c>
      <c r="T594" s="82">
        <v>64</v>
      </c>
      <c r="U594" s="82">
        <v>0</v>
      </c>
      <c r="V594" s="82">
        <v>0</v>
      </c>
      <c r="W594" s="82">
        <v>0</v>
      </c>
      <c r="X594" s="81"/>
      <c r="Y594" s="81"/>
      <c r="Z594" s="81" t="s">
        <v>138</v>
      </c>
      <c r="AA594" s="81" t="s">
        <v>58</v>
      </c>
      <c r="AB594" s="81" t="s">
        <v>58</v>
      </c>
      <c r="AC594" s="83">
        <v>46109</v>
      </c>
    </row>
    <row r="595" spans="2:29" ht="23" x14ac:dyDescent="0.35">
      <c r="B595" s="81" t="s">
        <v>338</v>
      </c>
      <c r="C595" s="81" t="s">
        <v>339</v>
      </c>
      <c r="D595" s="81" t="s">
        <v>340</v>
      </c>
      <c r="E595" s="81" t="s">
        <v>715</v>
      </c>
      <c r="F595" s="162" t="s">
        <v>716</v>
      </c>
      <c r="G595" s="163"/>
      <c r="H595" s="81" t="s">
        <v>981</v>
      </c>
      <c r="I595" s="81" t="s">
        <v>344</v>
      </c>
      <c r="J595" s="81" t="s">
        <v>11</v>
      </c>
      <c r="K595" s="81" t="s">
        <v>1011</v>
      </c>
      <c r="L595" s="81" t="s">
        <v>129</v>
      </c>
      <c r="M595" s="164">
        <v>22.1</v>
      </c>
      <c r="N595" s="165"/>
      <c r="O595" s="163"/>
      <c r="P595" s="82">
        <v>77.290000000000006</v>
      </c>
      <c r="Q595" s="164">
        <v>0</v>
      </c>
      <c r="R595" s="163"/>
      <c r="S595" s="81" t="s">
        <v>346</v>
      </c>
      <c r="T595" s="82">
        <v>64</v>
      </c>
      <c r="U595" s="82">
        <v>0</v>
      </c>
      <c r="V595" s="82">
        <v>0</v>
      </c>
      <c r="W595" s="82">
        <v>0</v>
      </c>
      <c r="X595" s="81" t="s">
        <v>133</v>
      </c>
      <c r="Y595" s="82">
        <v>4</v>
      </c>
      <c r="Z595" s="81" t="s">
        <v>138</v>
      </c>
      <c r="AA595" s="81" t="s">
        <v>58</v>
      </c>
      <c r="AB595" s="81" t="s">
        <v>58</v>
      </c>
      <c r="AC595" s="83">
        <v>46109</v>
      </c>
    </row>
    <row r="596" spans="2:29" ht="23" x14ac:dyDescent="0.35">
      <c r="B596" s="81" t="s">
        <v>338</v>
      </c>
      <c r="C596" s="81" t="s">
        <v>339</v>
      </c>
      <c r="D596" s="81" t="s">
        <v>340</v>
      </c>
      <c r="E596" s="81" t="s">
        <v>715</v>
      </c>
      <c r="F596" s="162" t="s">
        <v>716</v>
      </c>
      <c r="G596" s="163"/>
      <c r="H596" s="81" t="s">
        <v>981</v>
      </c>
      <c r="I596" s="81" t="s">
        <v>344</v>
      </c>
      <c r="J596" s="81" t="s">
        <v>11</v>
      </c>
      <c r="K596" s="81" t="s">
        <v>1012</v>
      </c>
      <c r="L596" s="81" t="s">
        <v>129</v>
      </c>
      <c r="M596" s="164">
        <v>22.4</v>
      </c>
      <c r="N596" s="165"/>
      <c r="O596" s="163"/>
      <c r="P596" s="82">
        <v>78.34</v>
      </c>
      <c r="Q596" s="164">
        <v>0</v>
      </c>
      <c r="R596" s="163"/>
      <c r="S596" s="81" t="s">
        <v>346</v>
      </c>
      <c r="T596" s="82">
        <v>64</v>
      </c>
      <c r="U596" s="82">
        <v>0</v>
      </c>
      <c r="V596" s="82">
        <v>0</v>
      </c>
      <c r="W596" s="82">
        <v>0</v>
      </c>
      <c r="X596" s="81" t="s">
        <v>132</v>
      </c>
      <c r="Y596" s="82">
        <v>8</v>
      </c>
      <c r="Z596" s="81" t="s">
        <v>138</v>
      </c>
      <c r="AA596" s="81" t="s">
        <v>58</v>
      </c>
      <c r="AB596" s="81" t="s">
        <v>58</v>
      </c>
      <c r="AC596" s="83">
        <v>46109</v>
      </c>
    </row>
    <row r="597" spans="2:29" ht="23" x14ac:dyDescent="0.35">
      <c r="B597" s="81" t="s">
        <v>338</v>
      </c>
      <c r="C597" s="81" t="s">
        <v>339</v>
      </c>
      <c r="D597" s="81" t="s">
        <v>340</v>
      </c>
      <c r="E597" s="81" t="s">
        <v>715</v>
      </c>
      <c r="F597" s="162" t="s">
        <v>716</v>
      </c>
      <c r="G597" s="163"/>
      <c r="H597" s="81" t="s">
        <v>981</v>
      </c>
      <c r="I597" s="81" t="s">
        <v>344</v>
      </c>
      <c r="J597" s="81" t="s">
        <v>11</v>
      </c>
      <c r="K597" s="81" t="s">
        <v>1013</v>
      </c>
      <c r="L597" s="81" t="s">
        <v>129</v>
      </c>
      <c r="M597" s="164">
        <v>22.4</v>
      </c>
      <c r="N597" s="165"/>
      <c r="O597" s="163"/>
      <c r="P597" s="82">
        <v>78.34</v>
      </c>
      <c r="Q597" s="164">
        <v>0</v>
      </c>
      <c r="R597" s="163"/>
      <c r="S597" s="81" t="s">
        <v>346</v>
      </c>
      <c r="T597" s="82">
        <v>64</v>
      </c>
      <c r="U597" s="82">
        <v>0</v>
      </c>
      <c r="V597" s="82">
        <v>0</v>
      </c>
      <c r="W597" s="82">
        <v>0</v>
      </c>
      <c r="X597" s="81"/>
      <c r="Y597" s="81"/>
      <c r="Z597" s="81" t="s">
        <v>138</v>
      </c>
      <c r="AA597" s="81" t="s">
        <v>58</v>
      </c>
      <c r="AB597" s="81" t="s">
        <v>58</v>
      </c>
      <c r="AC597" s="83">
        <v>46109</v>
      </c>
    </row>
    <row r="598" spans="2:29" ht="23" x14ac:dyDescent="0.35">
      <c r="B598" s="81" t="s">
        <v>338</v>
      </c>
      <c r="C598" s="81" t="s">
        <v>339</v>
      </c>
      <c r="D598" s="81" t="s">
        <v>340</v>
      </c>
      <c r="E598" s="81" t="s">
        <v>715</v>
      </c>
      <c r="F598" s="162" t="s">
        <v>716</v>
      </c>
      <c r="G598" s="163"/>
      <c r="H598" s="81" t="s">
        <v>981</v>
      </c>
      <c r="I598" s="81" t="s">
        <v>344</v>
      </c>
      <c r="J598" s="81" t="s">
        <v>11</v>
      </c>
      <c r="K598" s="81" t="s">
        <v>1014</v>
      </c>
      <c r="L598" s="81" t="s">
        <v>129</v>
      </c>
      <c r="M598" s="164">
        <v>22.3</v>
      </c>
      <c r="N598" s="165"/>
      <c r="O598" s="163"/>
      <c r="P598" s="82">
        <v>77.989999999999995</v>
      </c>
      <c r="Q598" s="164">
        <v>0</v>
      </c>
      <c r="R598" s="163"/>
      <c r="S598" s="81" t="s">
        <v>346</v>
      </c>
      <c r="T598" s="82">
        <v>64</v>
      </c>
      <c r="U598" s="82">
        <v>0</v>
      </c>
      <c r="V598" s="82">
        <v>0</v>
      </c>
      <c r="W598" s="82">
        <v>0</v>
      </c>
      <c r="X598" s="81" t="s">
        <v>134</v>
      </c>
      <c r="Y598" s="82">
        <v>4</v>
      </c>
      <c r="Z598" s="81" t="s">
        <v>138</v>
      </c>
      <c r="AA598" s="81" t="s">
        <v>58</v>
      </c>
      <c r="AB598" s="81" t="s">
        <v>58</v>
      </c>
      <c r="AC598" s="83">
        <v>46109</v>
      </c>
    </row>
    <row r="599" spans="2:29" ht="23" x14ac:dyDescent="0.35">
      <c r="B599" s="81" t="s">
        <v>338</v>
      </c>
      <c r="C599" s="81" t="s">
        <v>339</v>
      </c>
      <c r="D599" s="81" t="s">
        <v>340</v>
      </c>
      <c r="E599" s="81" t="s">
        <v>715</v>
      </c>
      <c r="F599" s="162" t="s">
        <v>716</v>
      </c>
      <c r="G599" s="163"/>
      <c r="H599" s="81" t="s">
        <v>981</v>
      </c>
      <c r="I599" s="81" t="s">
        <v>344</v>
      </c>
      <c r="J599" s="81" t="s">
        <v>11</v>
      </c>
      <c r="K599" s="81" t="s">
        <v>1015</v>
      </c>
      <c r="L599" s="81" t="s">
        <v>129</v>
      </c>
      <c r="M599" s="164">
        <v>22.5</v>
      </c>
      <c r="N599" s="165"/>
      <c r="O599" s="163"/>
      <c r="P599" s="82">
        <v>78.69</v>
      </c>
      <c r="Q599" s="164">
        <v>0</v>
      </c>
      <c r="R599" s="163"/>
      <c r="S599" s="81" t="s">
        <v>346</v>
      </c>
      <c r="T599" s="82">
        <v>64</v>
      </c>
      <c r="U599" s="82">
        <v>0</v>
      </c>
      <c r="V599" s="82">
        <v>0</v>
      </c>
      <c r="W599" s="82">
        <v>0</v>
      </c>
      <c r="X599" s="81"/>
      <c r="Y599" s="81"/>
      <c r="Z599" s="81" t="s">
        <v>138</v>
      </c>
      <c r="AA599" s="81" t="s">
        <v>58</v>
      </c>
      <c r="AB599" s="81" t="s">
        <v>58</v>
      </c>
      <c r="AC599" s="83">
        <v>46109</v>
      </c>
    </row>
    <row r="600" spans="2:29" ht="23" x14ac:dyDescent="0.35">
      <c r="B600" s="81" t="s">
        <v>338</v>
      </c>
      <c r="C600" s="81" t="s">
        <v>339</v>
      </c>
      <c r="D600" s="81" t="s">
        <v>340</v>
      </c>
      <c r="E600" s="81" t="s">
        <v>715</v>
      </c>
      <c r="F600" s="162" t="s">
        <v>716</v>
      </c>
      <c r="G600" s="163"/>
      <c r="H600" s="81" t="s">
        <v>981</v>
      </c>
      <c r="I600" s="81" t="s">
        <v>344</v>
      </c>
      <c r="J600" s="81" t="s">
        <v>11</v>
      </c>
      <c r="K600" s="81" t="s">
        <v>1016</v>
      </c>
      <c r="L600" s="81" t="s">
        <v>129</v>
      </c>
      <c r="M600" s="164">
        <v>22.3</v>
      </c>
      <c r="N600" s="165"/>
      <c r="O600" s="163"/>
      <c r="P600" s="82">
        <v>77.989999999999995</v>
      </c>
      <c r="Q600" s="164">
        <v>0</v>
      </c>
      <c r="R600" s="163"/>
      <c r="S600" s="81" t="s">
        <v>346</v>
      </c>
      <c r="T600" s="82">
        <v>64</v>
      </c>
      <c r="U600" s="82">
        <v>0</v>
      </c>
      <c r="V600" s="82">
        <v>0</v>
      </c>
      <c r="W600" s="82">
        <v>0</v>
      </c>
      <c r="X600" s="81"/>
      <c r="Y600" s="81"/>
      <c r="Z600" s="81" t="s">
        <v>138</v>
      </c>
      <c r="AA600" s="81" t="s">
        <v>58</v>
      </c>
      <c r="AB600" s="81" t="s">
        <v>58</v>
      </c>
      <c r="AC600" s="83">
        <v>46109</v>
      </c>
    </row>
    <row r="601" spans="2:29" ht="23" x14ac:dyDescent="0.35">
      <c r="B601" s="81" t="s">
        <v>338</v>
      </c>
      <c r="C601" s="81" t="s">
        <v>339</v>
      </c>
      <c r="D601" s="81" t="s">
        <v>340</v>
      </c>
      <c r="E601" s="81" t="s">
        <v>715</v>
      </c>
      <c r="F601" s="162" t="s">
        <v>716</v>
      </c>
      <c r="G601" s="163"/>
      <c r="H601" s="81" t="s">
        <v>981</v>
      </c>
      <c r="I601" s="81" t="s">
        <v>344</v>
      </c>
      <c r="J601" s="81" t="s">
        <v>11</v>
      </c>
      <c r="K601" s="81" t="s">
        <v>1017</v>
      </c>
      <c r="L601" s="81" t="s">
        <v>129</v>
      </c>
      <c r="M601" s="164">
        <v>22.3</v>
      </c>
      <c r="N601" s="165"/>
      <c r="O601" s="163"/>
      <c r="P601" s="82">
        <v>77.989999999999995</v>
      </c>
      <c r="Q601" s="164">
        <v>0</v>
      </c>
      <c r="R601" s="163"/>
      <c r="S601" s="81" t="s">
        <v>346</v>
      </c>
      <c r="T601" s="82">
        <v>64</v>
      </c>
      <c r="U601" s="82">
        <v>0</v>
      </c>
      <c r="V601" s="82">
        <v>0</v>
      </c>
      <c r="W601" s="82">
        <v>0</v>
      </c>
      <c r="X601" s="81"/>
      <c r="Y601" s="81"/>
      <c r="Z601" s="81" t="s">
        <v>138</v>
      </c>
      <c r="AA601" s="81" t="s">
        <v>58</v>
      </c>
      <c r="AB601" s="81" t="s">
        <v>58</v>
      </c>
      <c r="AC601" s="83">
        <v>46109</v>
      </c>
    </row>
    <row r="602" spans="2:29" ht="23" x14ac:dyDescent="0.35">
      <c r="B602" s="81" t="s">
        <v>338</v>
      </c>
      <c r="C602" s="81" t="s">
        <v>339</v>
      </c>
      <c r="D602" s="81" t="s">
        <v>340</v>
      </c>
      <c r="E602" s="81" t="s">
        <v>715</v>
      </c>
      <c r="F602" s="162" t="s">
        <v>716</v>
      </c>
      <c r="G602" s="163"/>
      <c r="H602" s="81" t="s">
        <v>981</v>
      </c>
      <c r="I602" s="81" t="s">
        <v>344</v>
      </c>
      <c r="J602" s="81" t="s">
        <v>11</v>
      </c>
      <c r="K602" s="81" t="s">
        <v>1018</v>
      </c>
      <c r="L602" s="81" t="s">
        <v>129</v>
      </c>
      <c r="M602" s="164">
        <v>22.2</v>
      </c>
      <c r="N602" s="165"/>
      <c r="O602" s="163"/>
      <c r="P602" s="82">
        <v>77.64</v>
      </c>
      <c r="Q602" s="164">
        <v>0</v>
      </c>
      <c r="R602" s="163"/>
      <c r="S602" s="81" t="s">
        <v>346</v>
      </c>
      <c r="T602" s="82">
        <v>64</v>
      </c>
      <c r="U602" s="82">
        <v>0</v>
      </c>
      <c r="V602" s="82">
        <v>0</v>
      </c>
      <c r="W602" s="82">
        <v>0</v>
      </c>
      <c r="X602" s="81"/>
      <c r="Y602" s="81"/>
      <c r="Z602" s="81" t="s">
        <v>138</v>
      </c>
      <c r="AA602" s="81" t="s">
        <v>58</v>
      </c>
      <c r="AB602" s="81" t="s">
        <v>58</v>
      </c>
      <c r="AC602" s="83">
        <v>46109</v>
      </c>
    </row>
    <row r="603" spans="2:29" ht="23" x14ac:dyDescent="0.35">
      <c r="B603" s="81" t="s">
        <v>338</v>
      </c>
      <c r="C603" s="81" t="s">
        <v>339</v>
      </c>
      <c r="D603" s="81" t="s">
        <v>340</v>
      </c>
      <c r="E603" s="81" t="s">
        <v>715</v>
      </c>
      <c r="F603" s="162" t="s">
        <v>716</v>
      </c>
      <c r="G603" s="163"/>
      <c r="H603" s="81" t="s">
        <v>981</v>
      </c>
      <c r="I603" s="81" t="s">
        <v>344</v>
      </c>
      <c r="J603" s="81" t="s">
        <v>11</v>
      </c>
      <c r="K603" s="81" t="s">
        <v>1019</v>
      </c>
      <c r="L603" s="81" t="s">
        <v>129</v>
      </c>
      <c r="M603" s="164">
        <v>22.1</v>
      </c>
      <c r="N603" s="165"/>
      <c r="O603" s="163"/>
      <c r="P603" s="82">
        <v>77.290000000000006</v>
      </c>
      <c r="Q603" s="164">
        <v>0</v>
      </c>
      <c r="R603" s="163"/>
      <c r="S603" s="81" t="s">
        <v>346</v>
      </c>
      <c r="T603" s="82">
        <v>64</v>
      </c>
      <c r="U603" s="82">
        <v>0</v>
      </c>
      <c r="V603" s="82">
        <v>0</v>
      </c>
      <c r="W603" s="82">
        <v>0</v>
      </c>
      <c r="X603" s="81"/>
      <c r="Y603" s="81"/>
      <c r="Z603" s="81" t="s">
        <v>138</v>
      </c>
      <c r="AA603" s="81" t="s">
        <v>58</v>
      </c>
      <c r="AB603" s="81" t="s">
        <v>58</v>
      </c>
      <c r="AC603" s="83">
        <v>46109</v>
      </c>
    </row>
    <row r="604" spans="2:29" ht="23" x14ac:dyDescent="0.35">
      <c r="B604" s="81" t="s">
        <v>338</v>
      </c>
      <c r="C604" s="81" t="s">
        <v>339</v>
      </c>
      <c r="D604" s="81" t="s">
        <v>340</v>
      </c>
      <c r="E604" s="81" t="s">
        <v>715</v>
      </c>
      <c r="F604" s="162" t="s">
        <v>716</v>
      </c>
      <c r="G604" s="163"/>
      <c r="H604" s="81" t="s">
        <v>981</v>
      </c>
      <c r="I604" s="81" t="s">
        <v>344</v>
      </c>
      <c r="J604" s="81" t="s">
        <v>11</v>
      </c>
      <c r="K604" s="81" t="s">
        <v>1020</v>
      </c>
      <c r="L604" s="81" t="s">
        <v>129</v>
      </c>
      <c r="M604" s="164">
        <v>22.5</v>
      </c>
      <c r="N604" s="165"/>
      <c r="O604" s="163"/>
      <c r="P604" s="82">
        <v>78.69</v>
      </c>
      <c r="Q604" s="164">
        <v>0</v>
      </c>
      <c r="R604" s="163"/>
      <c r="S604" s="81" t="s">
        <v>346</v>
      </c>
      <c r="T604" s="82">
        <v>64</v>
      </c>
      <c r="U604" s="82">
        <v>0</v>
      </c>
      <c r="V604" s="82">
        <v>0</v>
      </c>
      <c r="W604" s="82">
        <v>0</v>
      </c>
      <c r="X604" s="81" t="s">
        <v>143</v>
      </c>
      <c r="Y604" s="82">
        <v>4</v>
      </c>
      <c r="Z604" s="81" t="s">
        <v>138</v>
      </c>
      <c r="AA604" s="81" t="s">
        <v>58</v>
      </c>
      <c r="AB604" s="81" t="s">
        <v>58</v>
      </c>
      <c r="AC604" s="83">
        <v>46109</v>
      </c>
    </row>
    <row r="605" spans="2:29" ht="23" x14ac:dyDescent="0.35">
      <c r="B605" s="81" t="s">
        <v>338</v>
      </c>
      <c r="C605" s="81" t="s">
        <v>339</v>
      </c>
      <c r="D605" s="81" t="s">
        <v>340</v>
      </c>
      <c r="E605" s="81" t="s">
        <v>715</v>
      </c>
      <c r="F605" s="162" t="s">
        <v>716</v>
      </c>
      <c r="G605" s="163"/>
      <c r="H605" s="81" t="s">
        <v>981</v>
      </c>
      <c r="I605" s="81" t="s">
        <v>344</v>
      </c>
      <c r="J605" s="81" t="s">
        <v>11</v>
      </c>
      <c r="K605" s="81" t="s">
        <v>1021</v>
      </c>
      <c r="L605" s="81" t="s">
        <v>129</v>
      </c>
      <c r="M605" s="164">
        <v>22.5</v>
      </c>
      <c r="N605" s="165"/>
      <c r="O605" s="163"/>
      <c r="P605" s="82">
        <v>78.69</v>
      </c>
      <c r="Q605" s="164">
        <v>0</v>
      </c>
      <c r="R605" s="163"/>
      <c r="S605" s="81" t="s">
        <v>346</v>
      </c>
      <c r="T605" s="82">
        <v>64</v>
      </c>
      <c r="U605" s="82">
        <v>0</v>
      </c>
      <c r="V605" s="82">
        <v>0</v>
      </c>
      <c r="W605" s="82">
        <v>0</v>
      </c>
      <c r="X605" s="81"/>
      <c r="Y605" s="81"/>
      <c r="Z605" s="81" t="s">
        <v>138</v>
      </c>
      <c r="AA605" s="81" t="s">
        <v>58</v>
      </c>
      <c r="AB605" s="81" t="s">
        <v>58</v>
      </c>
      <c r="AC605" s="83">
        <v>46109</v>
      </c>
    </row>
    <row r="606" spans="2:29" ht="23" x14ac:dyDescent="0.35">
      <c r="B606" s="81" t="s">
        <v>338</v>
      </c>
      <c r="C606" s="81" t="s">
        <v>339</v>
      </c>
      <c r="D606" s="81" t="s">
        <v>340</v>
      </c>
      <c r="E606" s="81" t="s">
        <v>715</v>
      </c>
      <c r="F606" s="162" t="s">
        <v>716</v>
      </c>
      <c r="G606" s="163"/>
      <c r="H606" s="81" t="s">
        <v>981</v>
      </c>
      <c r="I606" s="81" t="s">
        <v>344</v>
      </c>
      <c r="J606" s="81" t="s">
        <v>11</v>
      </c>
      <c r="K606" s="81" t="s">
        <v>1022</v>
      </c>
      <c r="L606" s="81" t="s">
        <v>129</v>
      </c>
      <c r="M606" s="164">
        <v>22.1</v>
      </c>
      <c r="N606" s="165"/>
      <c r="O606" s="163"/>
      <c r="P606" s="82">
        <v>77.290000000000006</v>
      </c>
      <c r="Q606" s="164">
        <v>0</v>
      </c>
      <c r="R606" s="163"/>
      <c r="S606" s="81" t="s">
        <v>346</v>
      </c>
      <c r="T606" s="82">
        <v>64</v>
      </c>
      <c r="U606" s="82">
        <v>0</v>
      </c>
      <c r="V606" s="82">
        <v>0</v>
      </c>
      <c r="W606" s="82">
        <v>0</v>
      </c>
      <c r="X606" s="81"/>
      <c r="Y606" s="81"/>
      <c r="Z606" s="81" t="s">
        <v>138</v>
      </c>
      <c r="AA606" s="81" t="s">
        <v>58</v>
      </c>
      <c r="AB606" s="81" t="s">
        <v>58</v>
      </c>
      <c r="AC606" s="83">
        <v>46109</v>
      </c>
    </row>
    <row r="607" spans="2:29" ht="23" x14ac:dyDescent="0.35">
      <c r="B607" s="81" t="s">
        <v>338</v>
      </c>
      <c r="C607" s="81" t="s">
        <v>339</v>
      </c>
      <c r="D607" s="81" t="s">
        <v>340</v>
      </c>
      <c r="E607" s="81" t="s">
        <v>715</v>
      </c>
      <c r="F607" s="162" t="s">
        <v>716</v>
      </c>
      <c r="G607" s="163"/>
      <c r="H607" s="81" t="s">
        <v>981</v>
      </c>
      <c r="I607" s="81" t="s">
        <v>344</v>
      </c>
      <c r="J607" s="81" t="s">
        <v>11</v>
      </c>
      <c r="K607" s="81" t="s">
        <v>1023</v>
      </c>
      <c r="L607" s="81" t="s">
        <v>129</v>
      </c>
      <c r="M607" s="164">
        <v>22.5</v>
      </c>
      <c r="N607" s="165"/>
      <c r="O607" s="163"/>
      <c r="P607" s="82">
        <v>78.69</v>
      </c>
      <c r="Q607" s="164">
        <v>0</v>
      </c>
      <c r="R607" s="163"/>
      <c r="S607" s="81" t="s">
        <v>346</v>
      </c>
      <c r="T607" s="82">
        <v>64</v>
      </c>
      <c r="U607" s="82">
        <v>0</v>
      </c>
      <c r="V607" s="82">
        <v>0</v>
      </c>
      <c r="W607" s="82">
        <v>0</v>
      </c>
      <c r="X607" s="81"/>
      <c r="Y607" s="81"/>
      <c r="Z607" s="81" t="s">
        <v>138</v>
      </c>
      <c r="AA607" s="81" t="s">
        <v>58</v>
      </c>
      <c r="AB607" s="81" t="s">
        <v>58</v>
      </c>
      <c r="AC607" s="83">
        <v>46109</v>
      </c>
    </row>
    <row r="608" spans="2:29" ht="23" x14ac:dyDescent="0.35">
      <c r="B608" s="81" t="s">
        <v>338</v>
      </c>
      <c r="C608" s="81" t="s">
        <v>339</v>
      </c>
      <c r="D608" s="81" t="s">
        <v>340</v>
      </c>
      <c r="E608" s="81" t="s">
        <v>715</v>
      </c>
      <c r="F608" s="162" t="s">
        <v>716</v>
      </c>
      <c r="G608" s="163"/>
      <c r="H608" s="81" t="s">
        <v>981</v>
      </c>
      <c r="I608" s="81" t="s">
        <v>344</v>
      </c>
      <c r="J608" s="81" t="s">
        <v>11</v>
      </c>
      <c r="K608" s="81" t="s">
        <v>1024</v>
      </c>
      <c r="L608" s="81" t="s">
        <v>129</v>
      </c>
      <c r="M608" s="164">
        <v>12.4</v>
      </c>
      <c r="N608" s="165"/>
      <c r="O608" s="163"/>
      <c r="P608" s="82">
        <v>43.37</v>
      </c>
      <c r="Q608" s="164">
        <v>0</v>
      </c>
      <c r="R608" s="163"/>
      <c r="S608" s="81" t="s">
        <v>346</v>
      </c>
      <c r="T608" s="82">
        <v>64</v>
      </c>
      <c r="U608" s="82">
        <v>0</v>
      </c>
      <c r="V608" s="82">
        <v>0</v>
      </c>
      <c r="W608" s="82">
        <v>0</v>
      </c>
      <c r="X608" s="81" t="s">
        <v>141</v>
      </c>
      <c r="Y608" s="82">
        <v>16</v>
      </c>
      <c r="Z608" s="81" t="s">
        <v>138</v>
      </c>
      <c r="AA608" s="81" t="s">
        <v>58</v>
      </c>
      <c r="AB608" s="81" t="s">
        <v>58</v>
      </c>
      <c r="AC608" s="83">
        <v>46109</v>
      </c>
    </row>
    <row r="609" spans="2:29" ht="23" x14ac:dyDescent="0.35">
      <c r="B609" s="81" t="s">
        <v>338</v>
      </c>
      <c r="C609" s="81" t="s">
        <v>339</v>
      </c>
      <c r="D609" s="81" t="s">
        <v>340</v>
      </c>
      <c r="E609" s="81" t="s">
        <v>715</v>
      </c>
      <c r="F609" s="162" t="s">
        <v>716</v>
      </c>
      <c r="G609" s="163"/>
      <c r="H609" s="81" t="s">
        <v>981</v>
      </c>
      <c r="I609" s="81" t="s">
        <v>344</v>
      </c>
      <c r="J609" s="81" t="s">
        <v>11</v>
      </c>
      <c r="K609" s="81" t="s">
        <v>1025</v>
      </c>
      <c r="L609" s="81" t="s">
        <v>129</v>
      </c>
      <c r="M609" s="164">
        <v>22.3</v>
      </c>
      <c r="N609" s="165"/>
      <c r="O609" s="163"/>
      <c r="P609" s="82">
        <v>77.989999999999995</v>
      </c>
      <c r="Q609" s="164">
        <v>0</v>
      </c>
      <c r="R609" s="163"/>
      <c r="S609" s="81" t="s">
        <v>346</v>
      </c>
      <c r="T609" s="82">
        <v>64</v>
      </c>
      <c r="U609" s="82">
        <v>0</v>
      </c>
      <c r="V609" s="82">
        <v>0</v>
      </c>
      <c r="W609" s="82">
        <v>0</v>
      </c>
      <c r="X609" s="81"/>
      <c r="Y609" s="81"/>
      <c r="Z609" s="81" t="s">
        <v>138</v>
      </c>
      <c r="AA609" s="81" t="s">
        <v>58</v>
      </c>
      <c r="AB609" s="81" t="s">
        <v>58</v>
      </c>
      <c r="AC609" s="83">
        <v>46109</v>
      </c>
    </row>
    <row r="610" spans="2:29" ht="23" x14ac:dyDescent="0.35">
      <c r="B610" s="81" t="s">
        <v>338</v>
      </c>
      <c r="C610" s="81" t="s">
        <v>339</v>
      </c>
      <c r="D610" s="81" t="s">
        <v>340</v>
      </c>
      <c r="E610" s="81" t="s">
        <v>715</v>
      </c>
      <c r="F610" s="162" t="s">
        <v>716</v>
      </c>
      <c r="G610" s="163"/>
      <c r="H610" s="81" t="s">
        <v>981</v>
      </c>
      <c r="I610" s="81" t="s">
        <v>344</v>
      </c>
      <c r="J610" s="81" t="s">
        <v>11</v>
      </c>
      <c r="K610" s="81" t="s">
        <v>1026</v>
      </c>
      <c r="L610" s="81" t="s">
        <v>129</v>
      </c>
      <c r="M610" s="164">
        <v>17</v>
      </c>
      <c r="N610" s="165"/>
      <c r="O610" s="163"/>
      <c r="P610" s="82">
        <v>59.46</v>
      </c>
      <c r="Q610" s="164">
        <v>0</v>
      </c>
      <c r="R610" s="163"/>
      <c r="S610" s="81" t="s">
        <v>346</v>
      </c>
      <c r="T610" s="82">
        <v>64</v>
      </c>
      <c r="U610" s="82">
        <v>0</v>
      </c>
      <c r="V610" s="82">
        <v>0</v>
      </c>
      <c r="W610" s="82">
        <v>0</v>
      </c>
      <c r="X610" s="81"/>
      <c r="Y610" s="81"/>
      <c r="Z610" s="81" t="s">
        <v>138</v>
      </c>
      <c r="AA610" s="81" t="s">
        <v>58</v>
      </c>
      <c r="AB610" s="81" t="s">
        <v>58</v>
      </c>
      <c r="AC610" s="83">
        <v>46109</v>
      </c>
    </row>
    <row r="611" spans="2:29" ht="23" x14ac:dyDescent="0.35">
      <c r="B611" s="81" t="s">
        <v>338</v>
      </c>
      <c r="C611" s="81" t="s">
        <v>339</v>
      </c>
      <c r="D611" s="81" t="s">
        <v>340</v>
      </c>
      <c r="E611" s="81" t="s">
        <v>715</v>
      </c>
      <c r="F611" s="162" t="s">
        <v>716</v>
      </c>
      <c r="G611" s="163"/>
      <c r="H611" s="81" t="s">
        <v>981</v>
      </c>
      <c r="I611" s="81" t="s">
        <v>344</v>
      </c>
      <c r="J611" s="81" t="s">
        <v>11</v>
      </c>
      <c r="K611" s="81" t="s">
        <v>1027</v>
      </c>
      <c r="L611" s="81" t="s">
        <v>129</v>
      </c>
      <c r="M611" s="164">
        <v>22.4</v>
      </c>
      <c r="N611" s="165"/>
      <c r="O611" s="163"/>
      <c r="P611" s="82">
        <v>78.34</v>
      </c>
      <c r="Q611" s="164">
        <v>0</v>
      </c>
      <c r="R611" s="163"/>
      <c r="S611" s="81" t="s">
        <v>346</v>
      </c>
      <c r="T611" s="82">
        <v>64</v>
      </c>
      <c r="U611" s="82">
        <v>0</v>
      </c>
      <c r="V611" s="82">
        <v>0</v>
      </c>
      <c r="W611" s="82">
        <v>0</v>
      </c>
      <c r="X611" s="81"/>
      <c r="Y611" s="81"/>
      <c r="Z611" s="81" t="s">
        <v>138</v>
      </c>
      <c r="AA611" s="81" t="s">
        <v>58</v>
      </c>
      <c r="AB611" s="81" t="s">
        <v>58</v>
      </c>
      <c r="AC611" s="83">
        <v>46111</v>
      </c>
    </row>
    <row r="612" spans="2:29" ht="23" x14ac:dyDescent="0.35">
      <c r="B612" s="81" t="s">
        <v>338</v>
      </c>
      <c r="C612" s="81" t="s">
        <v>339</v>
      </c>
      <c r="D612" s="81" t="s">
        <v>340</v>
      </c>
      <c r="E612" s="81" t="s">
        <v>715</v>
      </c>
      <c r="F612" s="162" t="s">
        <v>716</v>
      </c>
      <c r="G612" s="163"/>
      <c r="H612" s="81" t="s">
        <v>981</v>
      </c>
      <c r="I612" s="81" t="s">
        <v>344</v>
      </c>
      <c r="J612" s="81" t="s">
        <v>11</v>
      </c>
      <c r="K612" s="81" t="s">
        <v>1028</v>
      </c>
      <c r="L612" s="81" t="s">
        <v>129</v>
      </c>
      <c r="M612" s="164">
        <v>22.4</v>
      </c>
      <c r="N612" s="165"/>
      <c r="O612" s="163"/>
      <c r="P612" s="82">
        <v>78.34</v>
      </c>
      <c r="Q612" s="164">
        <v>0</v>
      </c>
      <c r="R612" s="163"/>
      <c r="S612" s="81" t="s">
        <v>346</v>
      </c>
      <c r="T612" s="82">
        <v>64</v>
      </c>
      <c r="U612" s="82">
        <v>0</v>
      </c>
      <c r="V612" s="82">
        <v>0</v>
      </c>
      <c r="W612" s="82">
        <v>0</v>
      </c>
      <c r="X612" s="81"/>
      <c r="Y612" s="81"/>
      <c r="Z612" s="81" t="s">
        <v>138</v>
      </c>
      <c r="AA612" s="81" t="s">
        <v>58</v>
      </c>
      <c r="AB612" s="81" t="s">
        <v>58</v>
      </c>
      <c r="AC612" s="83">
        <v>46109</v>
      </c>
    </row>
    <row r="613" spans="2:29" ht="23" x14ac:dyDescent="0.35">
      <c r="B613" s="81" t="s">
        <v>338</v>
      </c>
      <c r="C613" s="81" t="s">
        <v>339</v>
      </c>
      <c r="D613" s="81" t="s">
        <v>340</v>
      </c>
      <c r="E613" s="81" t="s">
        <v>715</v>
      </c>
      <c r="F613" s="162" t="s">
        <v>716</v>
      </c>
      <c r="G613" s="163"/>
      <c r="H613" s="81" t="s">
        <v>981</v>
      </c>
      <c r="I613" s="81" t="s">
        <v>344</v>
      </c>
      <c r="J613" s="81" t="s">
        <v>11</v>
      </c>
      <c r="K613" s="81" t="s">
        <v>1029</v>
      </c>
      <c r="L613" s="81" t="s">
        <v>129</v>
      </c>
      <c r="M613" s="164">
        <v>22</v>
      </c>
      <c r="N613" s="165"/>
      <c r="O613" s="163"/>
      <c r="P613" s="82">
        <v>76.94</v>
      </c>
      <c r="Q613" s="164">
        <v>0</v>
      </c>
      <c r="R613" s="163"/>
      <c r="S613" s="81" t="s">
        <v>346</v>
      </c>
      <c r="T613" s="82">
        <v>64</v>
      </c>
      <c r="U613" s="82">
        <v>0</v>
      </c>
      <c r="V613" s="82">
        <v>0</v>
      </c>
      <c r="W613" s="82">
        <v>0</v>
      </c>
      <c r="X613" s="81"/>
      <c r="Y613" s="81"/>
      <c r="Z613" s="81" t="s">
        <v>138</v>
      </c>
      <c r="AA613" s="81" t="s">
        <v>58</v>
      </c>
      <c r="AB613" s="81" t="s">
        <v>58</v>
      </c>
      <c r="AC613" s="83">
        <v>46111</v>
      </c>
    </row>
    <row r="614" spans="2:29" ht="23" x14ac:dyDescent="0.35">
      <c r="B614" s="81" t="s">
        <v>338</v>
      </c>
      <c r="C614" s="81" t="s">
        <v>339</v>
      </c>
      <c r="D614" s="81" t="s">
        <v>340</v>
      </c>
      <c r="E614" s="81" t="s">
        <v>715</v>
      </c>
      <c r="F614" s="162" t="s">
        <v>716</v>
      </c>
      <c r="G614" s="163"/>
      <c r="H614" s="81" t="s">
        <v>981</v>
      </c>
      <c r="I614" s="81" t="s">
        <v>344</v>
      </c>
      <c r="J614" s="81" t="s">
        <v>11</v>
      </c>
      <c r="K614" s="81" t="s">
        <v>1030</v>
      </c>
      <c r="L614" s="81" t="s">
        <v>129</v>
      </c>
      <c r="M614" s="164">
        <v>32.1</v>
      </c>
      <c r="N614" s="165"/>
      <c r="O614" s="163"/>
      <c r="P614" s="82">
        <v>112.27</v>
      </c>
      <c r="Q614" s="164">
        <v>0</v>
      </c>
      <c r="R614" s="163"/>
      <c r="S614" s="81" t="s">
        <v>346</v>
      </c>
      <c r="T614" s="82">
        <v>64</v>
      </c>
      <c r="U614" s="82">
        <v>0</v>
      </c>
      <c r="V614" s="82">
        <v>0</v>
      </c>
      <c r="W614" s="82">
        <v>0</v>
      </c>
      <c r="X614" s="81"/>
      <c r="Y614" s="81"/>
      <c r="Z614" s="81" t="s">
        <v>138</v>
      </c>
      <c r="AA614" s="81" t="s">
        <v>58</v>
      </c>
      <c r="AB614" s="81" t="s">
        <v>58</v>
      </c>
      <c r="AC614" s="83">
        <v>46111</v>
      </c>
    </row>
    <row r="615" spans="2:29" ht="23" x14ac:dyDescent="0.35">
      <c r="B615" s="81" t="s">
        <v>338</v>
      </c>
      <c r="C615" s="81" t="s">
        <v>339</v>
      </c>
      <c r="D615" s="81" t="s">
        <v>340</v>
      </c>
      <c r="E615" s="81" t="s">
        <v>715</v>
      </c>
      <c r="F615" s="162" t="s">
        <v>716</v>
      </c>
      <c r="G615" s="163"/>
      <c r="H615" s="81" t="s">
        <v>981</v>
      </c>
      <c r="I615" s="81" t="s">
        <v>344</v>
      </c>
      <c r="J615" s="81" t="s">
        <v>11</v>
      </c>
      <c r="K615" s="81" t="s">
        <v>1031</v>
      </c>
      <c r="L615" s="81" t="s">
        <v>129</v>
      </c>
      <c r="M615" s="164">
        <v>22.3</v>
      </c>
      <c r="N615" s="165"/>
      <c r="O615" s="163"/>
      <c r="P615" s="82">
        <v>77.989999999999995</v>
      </c>
      <c r="Q615" s="164">
        <v>0</v>
      </c>
      <c r="R615" s="163"/>
      <c r="S615" s="81" t="s">
        <v>346</v>
      </c>
      <c r="T615" s="82">
        <v>64</v>
      </c>
      <c r="U615" s="82">
        <v>0</v>
      </c>
      <c r="V615" s="82">
        <v>0</v>
      </c>
      <c r="W615" s="82">
        <v>0</v>
      </c>
      <c r="X615" s="81"/>
      <c r="Y615" s="81"/>
      <c r="Z615" s="81" t="s">
        <v>138</v>
      </c>
      <c r="AA615" s="81" t="s">
        <v>58</v>
      </c>
      <c r="AB615" s="81" t="s">
        <v>58</v>
      </c>
      <c r="AC615" s="83">
        <v>46109</v>
      </c>
    </row>
    <row r="616" spans="2:29" ht="23" x14ac:dyDescent="0.35">
      <c r="B616" s="81" t="s">
        <v>338</v>
      </c>
      <c r="C616" s="81" t="s">
        <v>339</v>
      </c>
      <c r="D616" s="81" t="s">
        <v>340</v>
      </c>
      <c r="E616" s="81" t="s">
        <v>715</v>
      </c>
      <c r="F616" s="162" t="s">
        <v>716</v>
      </c>
      <c r="G616" s="163"/>
      <c r="H616" s="81" t="s">
        <v>981</v>
      </c>
      <c r="I616" s="81" t="s">
        <v>344</v>
      </c>
      <c r="J616" s="81" t="s">
        <v>11</v>
      </c>
      <c r="K616" s="81" t="s">
        <v>1032</v>
      </c>
      <c r="L616" s="81" t="s">
        <v>129</v>
      </c>
      <c r="M616" s="164">
        <v>17</v>
      </c>
      <c r="N616" s="165"/>
      <c r="O616" s="163"/>
      <c r="P616" s="82">
        <v>59.46</v>
      </c>
      <c r="Q616" s="164">
        <v>0</v>
      </c>
      <c r="R616" s="163"/>
      <c r="S616" s="81" t="s">
        <v>346</v>
      </c>
      <c r="T616" s="82">
        <v>64</v>
      </c>
      <c r="U616" s="82">
        <v>0</v>
      </c>
      <c r="V616" s="82">
        <v>0</v>
      </c>
      <c r="W616" s="82">
        <v>0</v>
      </c>
      <c r="X616" s="81"/>
      <c r="Y616" s="81"/>
      <c r="Z616" s="81" t="s">
        <v>138</v>
      </c>
      <c r="AA616" s="81" t="s">
        <v>58</v>
      </c>
      <c r="AB616" s="81" t="s">
        <v>58</v>
      </c>
      <c r="AC616" s="83">
        <v>46109</v>
      </c>
    </row>
    <row r="617" spans="2:29" ht="23" x14ac:dyDescent="0.35">
      <c r="B617" s="81" t="s">
        <v>338</v>
      </c>
      <c r="C617" s="81" t="s">
        <v>339</v>
      </c>
      <c r="D617" s="81" t="s">
        <v>340</v>
      </c>
      <c r="E617" s="81" t="s">
        <v>715</v>
      </c>
      <c r="F617" s="162" t="s">
        <v>716</v>
      </c>
      <c r="G617" s="163"/>
      <c r="H617" s="81" t="s">
        <v>981</v>
      </c>
      <c r="I617" s="81" t="s">
        <v>344</v>
      </c>
      <c r="J617" s="81" t="s">
        <v>11</v>
      </c>
      <c r="K617" s="81" t="s">
        <v>1033</v>
      </c>
      <c r="L617" s="81" t="s">
        <v>129</v>
      </c>
      <c r="M617" s="164">
        <v>22.4</v>
      </c>
      <c r="N617" s="165"/>
      <c r="O617" s="163"/>
      <c r="P617" s="82">
        <v>78.34</v>
      </c>
      <c r="Q617" s="164">
        <v>0</v>
      </c>
      <c r="R617" s="163"/>
      <c r="S617" s="81" t="s">
        <v>346</v>
      </c>
      <c r="T617" s="82">
        <v>64</v>
      </c>
      <c r="U617" s="82">
        <v>0</v>
      </c>
      <c r="V617" s="82">
        <v>0</v>
      </c>
      <c r="W617" s="82">
        <v>0</v>
      </c>
      <c r="X617" s="81"/>
      <c r="Y617" s="81"/>
      <c r="Z617" s="81" t="s">
        <v>138</v>
      </c>
      <c r="AA617" s="81" t="s">
        <v>58</v>
      </c>
      <c r="AB617" s="81" t="s">
        <v>58</v>
      </c>
      <c r="AC617" s="83">
        <v>46111</v>
      </c>
    </row>
    <row r="618" spans="2:29" ht="23" x14ac:dyDescent="0.35">
      <c r="B618" s="81" t="s">
        <v>338</v>
      </c>
      <c r="C618" s="81" t="s">
        <v>339</v>
      </c>
      <c r="D618" s="81" t="s">
        <v>340</v>
      </c>
      <c r="E618" s="81" t="s">
        <v>406</v>
      </c>
      <c r="F618" s="162" t="s">
        <v>407</v>
      </c>
      <c r="G618" s="163"/>
      <c r="H618" s="81" t="s">
        <v>408</v>
      </c>
      <c r="I618" s="81" t="s">
        <v>344</v>
      </c>
      <c r="J618" s="81" t="s">
        <v>11</v>
      </c>
      <c r="K618" s="81" t="s">
        <v>1034</v>
      </c>
      <c r="L618" s="81" t="s">
        <v>129</v>
      </c>
      <c r="M618" s="164">
        <v>6</v>
      </c>
      <c r="N618" s="165"/>
      <c r="O618" s="163"/>
      <c r="P618" s="82">
        <v>20.34</v>
      </c>
      <c r="Q618" s="164">
        <v>0</v>
      </c>
      <c r="R618" s="163"/>
      <c r="S618" s="81" t="s">
        <v>346</v>
      </c>
      <c r="T618" s="82">
        <v>63</v>
      </c>
      <c r="U618" s="82">
        <v>0</v>
      </c>
      <c r="V618" s="82">
        <v>0</v>
      </c>
      <c r="W618" s="82">
        <v>0</v>
      </c>
      <c r="X618" s="81"/>
      <c r="Y618" s="81"/>
      <c r="Z618" s="81" t="s">
        <v>131</v>
      </c>
      <c r="AA618" s="81" t="s">
        <v>58</v>
      </c>
      <c r="AB618" s="81" t="s">
        <v>58</v>
      </c>
      <c r="AC618" s="83">
        <v>46113</v>
      </c>
    </row>
    <row r="619" spans="2:29" ht="23" x14ac:dyDescent="0.35">
      <c r="B619" s="81" t="s">
        <v>338</v>
      </c>
      <c r="C619" s="81" t="s">
        <v>339</v>
      </c>
      <c r="D619" s="81" t="s">
        <v>340</v>
      </c>
      <c r="E619" s="81" t="s">
        <v>406</v>
      </c>
      <c r="F619" s="162" t="s">
        <v>407</v>
      </c>
      <c r="G619" s="163"/>
      <c r="H619" s="81" t="s">
        <v>562</v>
      </c>
      <c r="I619" s="81" t="s">
        <v>356</v>
      </c>
      <c r="J619" s="81" t="s">
        <v>128</v>
      </c>
      <c r="K619" s="81" t="s">
        <v>1035</v>
      </c>
      <c r="L619" s="81" t="s">
        <v>129</v>
      </c>
      <c r="M619" s="164">
        <v>3</v>
      </c>
      <c r="N619" s="165"/>
      <c r="O619" s="163"/>
      <c r="P619" s="82">
        <v>12.43</v>
      </c>
      <c r="Q619" s="164">
        <v>0</v>
      </c>
      <c r="R619" s="163"/>
      <c r="S619" s="81" t="s">
        <v>358</v>
      </c>
      <c r="T619" s="82">
        <v>58</v>
      </c>
      <c r="U619" s="82">
        <v>0</v>
      </c>
      <c r="V619" s="82">
        <v>0</v>
      </c>
      <c r="W619" s="82">
        <v>0</v>
      </c>
      <c r="X619" s="81"/>
      <c r="Y619" s="81"/>
      <c r="Z619" s="81" t="s">
        <v>131</v>
      </c>
      <c r="AA619" s="81" t="s">
        <v>58</v>
      </c>
      <c r="AB619" s="81" t="s">
        <v>58</v>
      </c>
      <c r="AC619" s="83">
        <v>46113</v>
      </c>
    </row>
    <row r="620" spans="2:29" ht="23" x14ac:dyDescent="0.35">
      <c r="B620" s="81" t="s">
        <v>338</v>
      </c>
      <c r="C620" s="81" t="s">
        <v>339</v>
      </c>
      <c r="D620" s="81" t="s">
        <v>340</v>
      </c>
      <c r="E620" s="81" t="s">
        <v>475</v>
      </c>
      <c r="F620" s="162" t="s">
        <v>476</v>
      </c>
      <c r="G620" s="163"/>
      <c r="H620" s="81" t="s">
        <v>557</v>
      </c>
      <c r="I620" s="81" t="s">
        <v>356</v>
      </c>
      <c r="J620" s="81" t="s">
        <v>128</v>
      </c>
      <c r="K620" s="81" t="s">
        <v>1036</v>
      </c>
      <c r="L620" s="81" t="s">
        <v>129</v>
      </c>
      <c r="M620" s="164">
        <v>3</v>
      </c>
      <c r="N620" s="165"/>
      <c r="O620" s="163"/>
      <c r="P620" s="82">
        <v>12.39</v>
      </c>
      <c r="Q620" s="164">
        <v>0</v>
      </c>
      <c r="R620" s="163"/>
      <c r="S620" s="81" t="s">
        <v>358</v>
      </c>
      <c r="T620" s="82">
        <v>58</v>
      </c>
      <c r="U620" s="82">
        <v>0</v>
      </c>
      <c r="V620" s="82">
        <v>0</v>
      </c>
      <c r="W620" s="82">
        <v>0</v>
      </c>
      <c r="X620" s="81"/>
      <c r="Y620" s="81"/>
      <c r="Z620" s="81" t="s">
        <v>131</v>
      </c>
      <c r="AA620" s="81" t="s">
        <v>58</v>
      </c>
      <c r="AB620" s="81" t="s">
        <v>58</v>
      </c>
      <c r="AC620" s="83">
        <v>46113</v>
      </c>
    </row>
    <row r="621" spans="2:29" ht="23" x14ac:dyDescent="0.35">
      <c r="B621" s="81" t="s">
        <v>338</v>
      </c>
      <c r="C621" s="81" t="s">
        <v>339</v>
      </c>
      <c r="D621" s="81" t="s">
        <v>340</v>
      </c>
      <c r="E621" s="81" t="s">
        <v>475</v>
      </c>
      <c r="F621" s="162" t="s">
        <v>476</v>
      </c>
      <c r="G621" s="163"/>
      <c r="H621" s="81" t="s">
        <v>477</v>
      </c>
      <c r="I621" s="81" t="s">
        <v>344</v>
      </c>
      <c r="J621" s="81" t="s">
        <v>11</v>
      </c>
      <c r="K621" s="81" t="s">
        <v>1037</v>
      </c>
      <c r="L621" s="81" t="s">
        <v>129</v>
      </c>
      <c r="M621" s="164">
        <v>6</v>
      </c>
      <c r="N621" s="165"/>
      <c r="O621" s="163"/>
      <c r="P621" s="82">
        <v>20.51</v>
      </c>
      <c r="Q621" s="164">
        <v>0</v>
      </c>
      <c r="R621" s="163"/>
      <c r="S621" s="81" t="s">
        <v>346</v>
      </c>
      <c r="T621" s="82">
        <v>63</v>
      </c>
      <c r="U621" s="82">
        <v>0</v>
      </c>
      <c r="V621" s="82">
        <v>0</v>
      </c>
      <c r="W621" s="82">
        <v>0</v>
      </c>
      <c r="X621" s="81"/>
      <c r="Y621" s="81"/>
      <c r="Z621" s="81" t="s">
        <v>131</v>
      </c>
      <c r="AA621" s="81" t="s">
        <v>58</v>
      </c>
      <c r="AB621" s="81" t="s">
        <v>58</v>
      </c>
      <c r="AC621" s="83">
        <v>46113</v>
      </c>
    </row>
    <row r="622" spans="2:29" ht="23" x14ac:dyDescent="0.35">
      <c r="B622" s="81" t="s">
        <v>338</v>
      </c>
      <c r="C622" s="81" t="s">
        <v>339</v>
      </c>
      <c r="D622" s="81" t="s">
        <v>340</v>
      </c>
      <c r="E622" s="81" t="s">
        <v>496</v>
      </c>
      <c r="F622" s="162" t="s">
        <v>497</v>
      </c>
      <c r="G622" s="163"/>
      <c r="H622" s="81" t="s">
        <v>498</v>
      </c>
      <c r="I622" s="81" t="s">
        <v>344</v>
      </c>
      <c r="J622" s="81" t="s">
        <v>11</v>
      </c>
      <c r="K622" s="81" t="s">
        <v>1038</v>
      </c>
      <c r="L622" s="81" t="s">
        <v>129</v>
      </c>
      <c r="M622" s="164">
        <v>6</v>
      </c>
      <c r="N622" s="165"/>
      <c r="O622" s="163"/>
      <c r="P622" s="82">
        <v>20.87</v>
      </c>
      <c r="Q622" s="164">
        <v>0</v>
      </c>
      <c r="R622" s="163"/>
      <c r="S622" s="81" t="s">
        <v>346</v>
      </c>
      <c r="T622" s="82">
        <v>63</v>
      </c>
      <c r="U622" s="82">
        <v>0</v>
      </c>
      <c r="V622" s="82">
        <v>0</v>
      </c>
      <c r="W622" s="82">
        <v>0</v>
      </c>
      <c r="X622" s="81"/>
      <c r="Y622" s="81"/>
      <c r="Z622" s="81" t="s">
        <v>131</v>
      </c>
      <c r="AA622" s="81" t="s">
        <v>58</v>
      </c>
      <c r="AB622" s="81" t="s">
        <v>58</v>
      </c>
      <c r="AC622" s="83">
        <v>46113</v>
      </c>
    </row>
    <row r="623" spans="2:29" ht="23" x14ac:dyDescent="0.35">
      <c r="B623" s="81" t="s">
        <v>338</v>
      </c>
      <c r="C623" s="81" t="s">
        <v>339</v>
      </c>
      <c r="D623" s="81" t="s">
        <v>340</v>
      </c>
      <c r="E623" s="81" t="s">
        <v>496</v>
      </c>
      <c r="F623" s="162" t="s">
        <v>497</v>
      </c>
      <c r="G623" s="163"/>
      <c r="H623" s="81" t="s">
        <v>559</v>
      </c>
      <c r="I623" s="81" t="s">
        <v>356</v>
      </c>
      <c r="J623" s="81" t="s">
        <v>128</v>
      </c>
      <c r="K623" s="81" t="s">
        <v>1039</v>
      </c>
      <c r="L623" s="81" t="s">
        <v>129</v>
      </c>
      <c r="M623" s="164">
        <v>2.5</v>
      </c>
      <c r="N623" s="165"/>
      <c r="O623" s="163"/>
      <c r="P623" s="82">
        <v>10.38</v>
      </c>
      <c r="Q623" s="164">
        <v>0</v>
      </c>
      <c r="R623" s="163"/>
      <c r="S623" s="81" t="s">
        <v>358</v>
      </c>
      <c r="T623" s="82">
        <v>58</v>
      </c>
      <c r="U623" s="82">
        <v>0</v>
      </c>
      <c r="V623" s="82">
        <v>0</v>
      </c>
      <c r="W623" s="82">
        <v>0</v>
      </c>
      <c r="X623" s="81"/>
      <c r="Y623" s="81"/>
      <c r="Z623" s="81" t="s">
        <v>131</v>
      </c>
      <c r="AA623" s="81" t="s">
        <v>58</v>
      </c>
      <c r="AB623" s="81" t="s">
        <v>58</v>
      </c>
      <c r="AC623" s="83">
        <v>46113</v>
      </c>
    </row>
    <row r="624" spans="2:29" ht="23" x14ac:dyDescent="0.35">
      <c r="B624" s="81" t="s">
        <v>338</v>
      </c>
      <c r="C624" s="81" t="s">
        <v>339</v>
      </c>
      <c r="D624" s="81" t="s">
        <v>340</v>
      </c>
      <c r="E624" s="81" t="s">
        <v>711</v>
      </c>
      <c r="F624" s="162" t="s">
        <v>712</v>
      </c>
      <c r="G624" s="163"/>
      <c r="H624" s="81" t="s">
        <v>847</v>
      </c>
      <c r="I624" s="81" t="s">
        <v>344</v>
      </c>
      <c r="J624" s="81" t="s">
        <v>11</v>
      </c>
      <c r="K624" s="81" t="s">
        <v>1040</v>
      </c>
      <c r="L624" s="81" t="s">
        <v>129</v>
      </c>
      <c r="M624" s="164">
        <v>6</v>
      </c>
      <c r="N624" s="165"/>
      <c r="O624" s="163"/>
      <c r="P624" s="82">
        <v>20.92</v>
      </c>
      <c r="Q624" s="164">
        <v>0</v>
      </c>
      <c r="R624" s="163"/>
      <c r="S624" s="81" t="s">
        <v>346</v>
      </c>
      <c r="T624" s="82">
        <v>63</v>
      </c>
      <c r="U624" s="82">
        <v>0</v>
      </c>
      <c r="V624" s="82">
        <v>0</v>
      </c>
      <c r="W624" s="82">
        <v>0</v>
      </c>
      <c r="X624" s="81"/>
      <c r="Y624" s="81"/>
      <c r="Z624" s="81" t="s">
        <v>131</v>
      </c>
      <c r="AA624" s="81" t="s">
        <v>58</v>
      </c>
      <c r="AB624" s="81" t="s">
        <v>58</v>
      </c>
      <c r="AC624" s="83">
        <v>46113</v>
      </c>
    </row>
    <row r="625" spans="2:29" ht="23" x14ac:dyDescent="0.35">
      <c r="B625" s="81" t="s">
        <v>338</v>
      </c>
      <c r="C625" s="81" t="s">
        <v>339</v>
      </c>
      <c r="D625" s="81" t="s">
        <v>340</v>
      </c>
      <c r="E625" s="81" t="s">
        <v>806</v>
      </c>
      <c r="F625" s="162" t="s">
        <v>807</v>
      </c>
      <c r="G625" s="163"/>
      <c r="H625" s="81" t="s">
        <v>843</v>
      </c>
      <c r="I625" s="81" t="s">
        <v>844</v>
      </c>
      <c r="J625" s="81" t="s">
        <v>128</v>
      </c>
      <c r="K625" s="81" t="s">
        <v>1041</v>
      </c>
      <c r="L625" s="81" t="s">
        <v>129</v>
      </c>
      <c r="M625" s="164">
        <v>3</v>
      </c>
      <c r="N625" s="165"/>
      <c r="O625" s="163"/>
      <c r="P625" s="82">
        <v>10.91</v>
      </c>
      <c r="Q625" s="164">
        <v>0</v>
      </c>
      <c r="R625" s="163"/>
      <c r="S625" s="81" t="s">
        <v>358</v>
      </c>
      <c r="T625" s="82">
        <v>58</v>
      </c>
      <c r="U625" s="82">
        <v>0</v>
      </c>
      <c r="V625" s="82">
        <v>0</v>
      </c>
      <c r="W625" s="82">
        <v>0</v>
      </c>
      <c r="X625" s="81"/>
      <c r="Y625" s="81"/>
      <c r="Z625" s="81" t="s">
        <v>131</v>
      </c>
      <c r="AA625" s="81" t="s">
        <v>58</v>
      </c>
      <c r="AB625" s="81" t="s">
        <v>58</v>
      </c>
      <c r="AC625" s="83">
        <v>46114</v>
      </c>
    </row>
    <row r="626" spans="2:29" ht="23" x14ac:dyDescent="0.35">
      <c r="B626" s="81" t="s">
        <v>338</v>
      </c>
      <c r="C626" s="81" t="s">
        <v>339</v>
      </c>
      <c r="D626" s="81" t="s">
        <v>340</v>
      </c>
      <c r="E626" s="81" t="s">
        <v>564</v>
      </c>
      <c r="F626" s="162" t="s">
        <v>565</v>
      </c>
      <c r="G626" s="163"/>
      <c r="H626" s="81" t="s">
        <v>657</v>
      </c>
      <c r="I626" s="81" t="s">
        <v>356</v>
      </c>
      <c r="J626" s="81" t="s">
        <v>128</v>
      </c>
      <c r="K626" s="81" t="s">
        <v>1042</v>
      </c>
      <c r="L626" s="81" t="s">
        <v>129</v>
      </c>
      <c r="M626" s="164">
        <v>3</v>
      </c>
      <c r="N626" s="165"/>
      <c r="O626" s="163"/>
      <c r="P626" s="82">
        <v>11.54</v>
      </c>
      <c r="Q626" s="164">
        <v>0</v>
      </c>
      <c r="R626" s="163"/>
      <c r="S626" s="81" t="s">
        <v>358</v>
      </c>
      <c r="T626" s="82">
        <v>58</v>
      </c>
      <c r="U626" s="82">
        <v>0</v>
      </c>
      <c r="V626" s="82">
        <v>0</v>
      </c>
      <c r="W626" s="82">
        <v>0</v>
      </c>
      <c r="X626" s="81"/>
      <c r="Y626" s="81"/>
      <c r="Z626" s="81" t="s">
        <v>131</v>
      </c>
      <c r="AA626" s="81" t="s">
        <v>58</v>
      </c>
      <c r="AB626" s="81" t="s">
        <v>58</v>
      </c>
      <c r="AC626" s="83">
        <v>46114</v>
      </c>
    </row>
    <row r="627" spans="2:29" ht="23" x14ac:dyDescent="0.35">
      <c r="B627" s="81" t="s">
        <v>338</v>
      </c>
      <c r="C627" s="81" t="s">
        <v>339</v>
      </c>
      <c r="D627" s="81" t="s">
        <v>340</v>
      </c>
      <c r="E627" s="81" t="s">
        <v>447</v>
      </c>
      <c r="F627" s="162" t="s">
        <v>448</v>
      </c>
      <c r="G627" s="163"/>
      <c r="H627" s="81" t="s">
        <v>449</v>
      </c>
      <c r="I627" s="81" t="s">
        <v>356</v>
      </c>
      <c r="J627" s="81" t="s">
        <v>128</v>
      </c>
      <c r="K627" s="81" t="s">
        <v>1043</v>
      </c>
      <c r="L627" s="81" t="s">
        <v>129</v>
      </c>
      <c r="M627" s="164">
        <v>2.5</v>
      </c>
      <c r="N627" s="165"/>
      <c r="O627" s="163"/>
      <c r="P627" s="82">
        <v>10.93</v>
      </c>
      <c r="Q627" s="164">
        <v>0</v>
      </c>
      <c r="R627" s="163"/>
      <c r="S627" s="81" t="s">
        <v>358</v>
      </c>
      <c r="T627" s="82">
        <v>58</v>
      </c>
      <c r="U627" s="82">
        <v>0</v>
      </c>
      <c r="V627" s="82">
        <v>0</v>
      </c>
      <c r="W627" s="82">
        <v>0</v>
      </c>
      <c r="X627" s="81"/>
      <c r="Y627" s="81"/>
      <c r="Z627" s="81" t="s">
        <v>131</v>
      </c>
      <c r="AA627" s="81" t="s">
        <v>58</v>
      </c>
      <c r="AB627" s="81" t="s">
        <v>58</v>
      </c>
      <c r="AC627" s="83">
        <v>46114</v>
      </c>
    </row>
    <row r="628" spans="2:29" ht="23" x14ac:dyDescent="0.35">
      <c r="B628" s="81" t="s">
        <v>338</v>
      </c>
      <c r="C628" s="81" t="s">
        <v>339</v>
      </c>
      <c r="D628" s="81" t="s">
        <v>340</v>
      </c>
      <c r="E628" s="81" t="s">
        <v>771</v>
      </c>
      <c r="F628" s="162" t="s">
        <v>772</v>
      </c>
      <c r="G628" s="163"/>
      <c r="H628" s="81" t="s">
        <v>838</v>
      </c>
      <c r="I628" s="81" t="s">
        <v>356</v>
      </c>
      <c r="J628" s="81" t="s">
        <v>128</v>
      </c>
      <c r="K628" s="81" t="s">
        <v>1044</v>
      </c>
      <c r="L628" s="81" t="s">
        <v>129</v>
      </c>
      <c r="M628" s="164">
        <v>2.5</v>
      </c>
      <c r="N628" s="165"/>
      <c r="O628" s="163"/>
      <c r="P628" s="82">
        <v>10.69</v>
      </c>
      <c r="Q628" s="164">
        <v>0</v>
      </c>
      <c r="R628" s="163"/>
      <c r="S628" s="81" t="s">
        <v>358</v>
      </c>
      <c r="T628" s="82">
        <v>58</v>
      </c>
      <c r="U628" s="82">
        <v>0</v>
      </c>
      <c r="V628" s="82">
        <v>0</v>
      </c>
      <c r="W628" s="82">
        <v>0</v>
      </c>
      <c r="X628" s="81"/>
      <c r="Y628" s="81"/>
      <c r="Z628" s="81" t="s">
        <v>131</v>
      </c>
      <c r="AA628" s="81" t="s">
        <v>58</v>
      </c>
      <c r="AB628" s="81" t="s">
        <v>58</v>
      </c>
      <c r="AC628" s="83">
        <v>46114</v>
      </c>
    </row>
    <row r="629" spans="2:29" ht="23" x14ac:dyDescent="0.35">
      <c r="B629" s="81" t="s">
        <v>338</v>
      </c>
      <c r="C629" s="81" t="s">
        <v>339</v>
      </c>
      <c r="D629" s="81" t="s">
        <v>340</v>
      </c>
      <c r="E629" s="81" t="s">
        <v>715</v>
      </c>
      <c r="F629" s="162" t="s">
        <v>716</v>
      </c>
      <c r="G629" s="163"/>
      <c r="H629" s="81" t="s">
        <v>717</v>
      </c>
      <c r="I629" s="81" t="s">
        <v>356</v>
      </c>
      <c r="J629" s="81" t="s">
        <v>128</v>
      </c>
      <c r="K629" s="81" t="s">
        <v>1045</v>
      </c>
      <c r="L629" s="81" t="s">
        <v>129</v>
      </c>
      <c r="M629" s="164">
        <v>2.5</v>
      </c>
      <c r="N629" s="165"/>
      <c r="O629" s="163"/>
      <c r="P629" s="82">
        <v>10.25</v>
      </c>
      <c r="Q629" s="164">
        <v>0</v>
      </c>
      <c r="R629" s="163"/>
      <c r="S629" s="81" t="s">
        <v>358</v>
      </c>
      <c r="T629" s="82">
        <v>58</v>
      </c>
      <c r="U629" s="82">
        <v>0</v>
      </c>
      <c r="V629" s="82">
        <v>0</v>
      </c>
      <c r="W629" s="82">
        <v>0</v>
      </c>
      <c r="X629" s="81"/>
      <c r="Y629" s="81"/>
      <c r="Z629" s="81" t="s">
        <v>131</v>
      </c>
      <c r="AA629" s="81" t="s">
        <v>58</v>
      </c>
      <c r="AB629" s="81" t="s">
        <v>58</v>
      </c>
      <c r="AC629" s="83">
        <v>46114</v>
      </c>
    </row>
    <row r="630" spans="2:29" ht="23" x14ac:dyDescent="0.35">
      <c r="B630" s="81" t="s">
        <v>338</v>
      </c>
      <c r="C630" s="81" t="s">
        <v>339</v>
      </c>
      <c r="D630" s="81" t="s">
        <v>340</v>
      </c>
      <c r="E630" s="81" t="s">
        <v>603</v>
      </c>
      <c r="F630" s="162" t="s">
        <v>604</v>
      </c>
      <c r="G630" s="163"/>
      <c r="H630" s="81" t="s">
        <v>655</v>
      </c>
      <c r="I630" s="81" t="s">
        <v>356</v>
      </c>
      <c r="J630" s="81" t="s">
        <v>128</v>
      </c>
      <c r="K630" s="81" t="s">
        <v>1046</v>
      </c>
      <c r="L630" s="81" t="s">
        <v>129</v>
      </c>
      <c r="M630" s="164">
        <v>2.5</v>
      </c>
      <c r="N630" s="165"/>
      <c r="O630" s="163"/>
      <c r="P630" s="82">
        <v>10.26</v>
      </c>
      <c r="Q630" s="164">
        <v>0</v>
      </c>
      <c r="R630" s="163"/>
      <c r="S630" s="81" t="s">
        <v>358</v>
      </c>
      <c r="T630" s="82">
        <v>58</v>
      </c>
      <c r="U630" s="82">
        <v>0</v>
      </c>
      <c r="V630" s="82">
        <v>0</v>
      </c>
      <c r="W630" s="82">
        <v>0</v>
      </c>
      <c r="X630" s="81"/>
      <c r="Y630" s="81"/>
      <c r="Z630" s="81" t="s">
        <v>131</v>
      </c>
      <c r="AA630" s="81" t="s">
        <v>58</v>
      </c>
      <c r="AB630" s="81" t="s">
        <v>58</v>
      </c>
      <c r="AC630" s="83">
        <v>46114</v>
      </c>
    </row>
    <row r="631" spans="2:29" ht="23" x14ac:dyDescent="0.35">
      <c r="B631" s="81" t="s">
        <v>338</v>
      </c>
      <c r="C631" s="81" t="s">
        <v>339</v>
      </c>
      <c r="D631" s="81" t="s">
        <v>340</v>
      </c>
      <c r="E631" s="81" t="s">
        <v>711</v>
      </c>
      <c r="F631" s="162" t="s">
        <v>712</v>
      </c>
      <c r="G631" s="163"/>
      <c r="H631" s="81" t="s">
        <v>713</v>
      </c>
      <c r="I631" s="81" t="s">
        <v>356</v>
      </c>
      <c r="J631" s="81" t="s">
        <v>128</v>
      </c>
      <c r="K631" s="81" t="s">
        <v>1047</v>
      </c>
      <c r="L631" s="81" t="s">
        <v>129</v>
      </c>
      <c r="M631" s="164">
        <v>2.5</v>
      </c>
      <c r="N631" s="165"/>
      <c r="O631" s="163"/>
      <c r="P631" s="82">
        <v>10.7</v>
      </c>
      <c r="Q631" s="164">
        <v>0</v>
      </c>
      <c r="R631" s="163"/>
      <c r="S631" s="81" t="s">
        <v>358</v>
      </c>
      <c r="T631" s="82">
        <v>58</v>
      </c>
      <c r="U631" s="82">
        <v>0</v>
      </c>
      <c r="V631" s="82">
        <v>0</v>
      </c>
      <c r="W631" s="82">
        <v>0</v>
      </c>
      <c r="X631" s="81"/>
      <c r="Y631" s="81"/>
      <c r="Z631" s="81" t="s">
        <v>131</v>
      </c>
      <c r="AA631" s="81" t="s">
        <v>58</v>
      </c>
      <c r="AB631" s="81" t="s">
        <v>58</v>
      </c>
      <c r="AC631" s="83">
        <v>46114</v>
      </c>
    </row>
    <row r="632" spans="2:29" ht="23" x14ac:dyDescent="0.35">
      <c r="B632" s="81" t="s">
        <v>338</v>
      </c>
      <c r="C632" s="81" t="s">
        <v>339</v>
      </c>
      <c r="D632" s="81" t="s">
        <v>340</v>
      </c>
      <c r="E632" s="81" t="s">
        <v>771</v>
      </c>
      <c r="F632" s="162" t="s">
        <v>772</v>
      </c>
      <c r="G632" s="163"/>
      <c r="H632" s="81" t="s">
        <v>773</v>
      </c>
      <c r="I632" s="81" t="s">
        <v>344</v>
      </c>
      <c r="J632" s="81" t="s">
        <v>11</v>
      </c>
      <c r="K632" s="81" t="s">
        <v>1048</v>
      </c>
      <c r="L632" s="81" t="s">
        <v>129</v>
      </c>
      <c r="M632" s="164">
        <v>6</v>
      </c>
      <c r="N632" s="165"/>
      <c r="O632" s="163"/>
      <c r="P632" s="82">
        <v>21.69</v>
      </c>
      <c r="Q632" s="164">
        <v>0</v>
      </c>
      <c r="R632" s="163"/>
      <c r="S632" s="81" t="s">
        <v>346</v>
      </c>
      <c r="T632" s="82">
        <v>63</v>
      </c>
      <c r="U632" s="82">
        <v>0</v>
      </c>
      <c r="V632" s="82">
        <v>0</v>
      </c>
      <c r="W632" s="82">
        <v>0</v>
      </c>
      <c r="X632" s="81"/>
      <c r="Y632" s="81"/>
      <c r="Z632" s="81" t="s">
        <v>131</v>
      </c>
      <c r="AA632" s="81" t="s">
        <v>58</v>
      </c>
      <c r="AB632" s="81" t="s">
        <v>58</v>
      </c>
      <c r="AC632" s="83">
        <v>46114</v>
      </c>
    </row>
    <row r="633" spans="2:29" ht="23" x14ac:dyDescent="0.35">
      <c r="B633" s="81" t="s">
        <v>338</v>
      </c>
      <c r="C633" s="81" t="s">
        <v>339</v>
      </c>
      <c r="D633" s="81" t="s">
        <v>340</v>
      </c>
      <c r="E633" s="81" t="s">
        <v>806</v>
      </c>
      <c r="F633" s="162" t="s">
        <v>807</v>
      </c>
      <c r="G633" s="163"/>
      <c r="H633" s="81" t="s">
        <v>808</v>
      </c>
      <c r="I633" s="81" t="s">
        <v>809</v>
      </c>
      <c r="J633" s="81" t="s">
        <v>11</v>
      </c>
      <c r="K633" s="81" t="s">
        <v>1049</v>
      </c>
      <c r="L633" s="81" t="s">
        <v>129</v>
      </c>
      <c r="M633" s="164">
        <v>6.5</v>
      </c>
      <c r="N633" s="165"/>
      <c r="O633" s="163"/>
      <c r="P633" s="82">
        <v>21.46</v>
      </c>
      <c r="Q633" s="164">
        <v>0</v>
      </c>
      <c r="R633" s="163"/>
      <c r="S633" s="81" t="s">
        <v>346</v>
      </c>
      <c r="T633" s="82">
        <v>63</v>
      </c>
      <c r="U633" s="82">
        <v>0</v>
      </c>
      <c r="V633" s="82">
        <v>0</v>
      </c>
      <c r="W633" s="82">
        <v>0</v>
      </c>
      <c r="X633" s="81"/>
      <c r="Y633" s="81"/>
      <c r="Z633" s="81" t="s">
        <v>131</v>
      </c>
      <c r="AA633" s="81" t="s">
        <v>58</v>
      </c>
      <c r="AB633" s="81" t="s">
        <v>58</v>
      </c>
      <c r="AC633" s="83">
        <v>46114</v>
      </c>
    </row>
    <row r="634" spans="2:29" ht="23" x14ac:dyDescent="0.35">
      <c r="B634" s="81" t="s">
        <v>338</v>
      </c>
      <c r="C634" s="81" t="s">
        <v>339</v>
      </c>
      <c r="D634" s="81" t="s">
        <v>340</v>
      </c>
      <c r="E634" s="81" t="s">
        <v>715</v>
      </c>
      <c r="F634" s="162" t="s">
        <v>716</v>
      </c>
      <c r="G634" s="163"/>
      <c r="H634" s="81" t="s">
        <v>720</v>
      </c>
      <c r="I634" s="81" t="s">
        <v>344</v>
      </c>
      <c r="J634" s="81" t="s">
        <v>11</v>
      </c>
      <c r="K634" s="81" t="s">
        <v>1050</v>
      </c>
      <c r="L634" s="81" t="s">
        <v>129</v>
      </c>
      <c r="M634" s="164">
        <v>6</v>
      </c>
      <c r="N634" s="165"/>
      <c r="O634" s="163"/>
      <c r="P634" s="82">
        <v>20.61</v>
      </c>
      <c r="Q634" s="164">
        <v>0</v>
      </c>
      <c r="R634" s="163"/>
      <c r="S634" s="81" t="s">
        <v>346</v>
      </c>
      <c r="T634" s="82">
        <v>63</v>
      </c>
      <c r="U634" s="82">
        <v>0</v>
      </c>
      <c r="V634" s="82">
        <v>0</v>
      </c>
      <c r="W634" s="82">
        <v>0</v>
      </c>
      <c r="X634" s="81"/>
      <c r="Y634" s="81"/>
      <c r="Z634" s="81" t="s">
        <v>131</v>
      </c>
      <c r="AA634" s="81" t="s">
        <v>58</v>
      </c>
      <c r="AB634" s="81" t="s">
        <v>58</v>
      </c>
      <c r="AC634" s="83">
        <v>46114</v>
      </c>
    </row>
    <row r="635" spans="2:29" ht="23" x14ac:dyDescent="0.35">
      <c r="B635" s="81" t="s">
        <v>338</v>
      </c>
      <c r="C635" s="81" t="s">
        <v>339</v>
      </c>
      <c r="D635" s="81" t="s">
        <v>340</v>
      </c>
      <c r="E635" s="81" t="s">
        <v>359</v>
      </c>
      <c r="F635" s="162" t="s">
        <v>360</v>
      </c>
      <c r="G635" s="163"/>
      <c r="H635" s="81" t="s">
        <v>659</v>
      </c>
      <c r="I635" s="81" t="s">
        <v>344</v>
      </c>
      <c r="J635" s="81" t="s">
        <v>11</v>
      </c>
      <c r="K635" s="81" t="s">
        <v>1051</v>
      </c>
      <c r="L635" s="81" t="s">
        <v>129</v>
      </c>
      <c r="M635" s="164">
        <v>6</v>
      </c>
      <c r="N635" s="165"/>
      <c r="O635" s="163"/>
      <c r="P635" s="82">
        <v>20.72</v>
      </c>
      <c r="Q635" s="164">
        <v>0</v>
      </c>
      <c r="R635" s="163"/>
      <c r="S635" s="81" t="s">
        <v>346</v>
      </c>
      <c r="T635" s="82">
        <v>63</v>
      </c>
      <c r="U635" s="82">
        <v>0</v>
      </c>
      <c r="V635" s="82">
        <v>0</v>
      </c>
      <c r="W635" s="82">
        <v>0</v>
      </c>
      <c r="X635" s="81"/>
      <c r="Y635" s="81"/>
      <c r="Z635" s="81" t="s">
        <v>131</v>
      </c>
      <c r="AA635" s="81" t="s">
        <v>58</v>
      </c>
      <c r="AB635" s="81" t="s">
        <v>58</v>
      </c>
      <c r="AC635" s="83">
        <v>46114</v>
      </c>
    </row>
    <row r="636" spans="2:29" ht="23" x14ac:dyDescent="0.35">
      <c r="B636" s="81" t="s">
        <v>338</v>
      </c>
      <c r="C636" s="81" t="s">
        <v>339</v>
      </c>
      <c r="D636" s="81" t="s">
        <v>340</v>
      </c>
      <c r="E636" s="81" t="s">
        <v>359</v>
      </c>
      <c r="F636" s="162" t="s">
        <v>360</v>
      </c>
      <c r="G636" s="163"/>
      <c r="H636" s="81" t="s">
        <v>1052</v>
      </c>
      <c r="I636" s="81" t="s">
        <v>344</v>
      </c>
      <c r="J636" s="81" t="s">
        <v>11</v>
      </c>
      <c r="K636" s="81" t="s">
        <v>1053</v>
      </c>
      <c r="L636" s="81" t="s">
        <v>129</v>
      </c>
      <c r="M636" s="164">
        <v>16.8</v>
      </c>
      <c r="N636" s="165"/>
      <c r="O636" s="163"/>
      <c r="P636" s="82">
        <v>60.15</v>
      </c>
      <c r="Q636" s="164">
        <v>0</v>
      </c>
      <c r="R636" s="163"/>
      <c r="S636" s="81" t="s">
        <v>346</v>
      </c>
      <c r="T636" s="82">
        <v>64</v>
      </c>
      <c r="U636" s="82">
        <v>0</v>
      </c>
      <c r="V636" s="82">
        <v>0</v>
      </c>
      <c r="W636" s="82">
        <v>0</v>
      </c>
      <c r="X636" s="81" t="s">
        <v>132</v>
      </c>
      <c r="Y636" s="82">
        <v>8</v>
      </c>
      <c r="Z636" s="81" t="s">
        <v>138</v>
      </c>
      <c r="AA636" s="81" t="s">
        <v>58</v>
      </c>
      <c r="AB636" s="81" t="s">
        <v>58</v>
      </c>
      <c r="AC636" s="83">
        <v>46114</v>
      </c>
    </row>
    <row r="637" spans="2:29" ht="23" x14ac:dyDescent="0.35">
      <c r="B637" s="81" t="s">
        <v>338</v>
      </c>
      <c r="C637" s="81" t="s">
        <v>339</v>
      </c>
      <c r="D637" s="81" t="s">
        <v>340</v>
      </c>
      <c r="E637" s="81" t="s">
        <v>359</v>
      </c>
      <c r="F637" s="162" t="s">
        <v>360</v>
      </c>
      <c r="G637" s="163"/>
      <c r="H637" s="81" t="s">
        <v>1052</v>
      </c>
      <c r="I637" s="81" t="s">
        <v>344</v>
      </c>
      <c r="J637" s="81" t="s">
        <v>11</v>
      </c>
      <c r="K637" s="81" t="s">
        <v>1054</v>
      </c>
      <c r="L637" s="81" t="s">
        <v>129</v>
      </c>
      <c r="M637" s="164">
        <v>18.899999999999999</v>
      </c>
      <c r="N637" s="165"/>
      <c r="O637" s="163"/>
      <c r="P637" s="82">
        <v>67.67</v>
      </c>
      <c r="Q637" s="164">
        <v>0</v>
      </c>
      <c r="R637" s="163"/>
      <c r="S637" s="81" t="s">
        <v>346</v>
      </c>
      <c r="T637" s="82">
        <v>64</v>
      </c>
      <c r="U637" s="82">
        <v>0</v>
      </c>
      <c r="V637" s="82">
        <v>0</v>
      </c>
      <c r="W637" s="82">
        <v>0</v>
      </c>
      <c r="X637" s="81" t="s">
        <v>132</v>
      </c>
      <c r="Y637" s="82">
        <v>4</v>
      </c>
      <c r="Z637" s="81" t="s">
        <v>138</v>
      </c>
      <c r="AA637" s="81" t="s">
        <v>58</v>
      </c>
      <c r="AB637" s="81" t="s">
        <v>58</v>
      </c>
      <c r="AC637" s="83">
        <v>46114</v>
      </c>
    </row>
    <row r="638" spans="2:29" ht="23" x14ac:dyDescent="0.35">
      <c r="B638" s="81" t="s">
        <v>338</v>
      </c>
      <c r="C638" s="81" t="s">
        <v>339</v>
      </c>
      <c r="D638" s="81" t="s">
        <v>340</v>
      </c>
      <c r="E638" s="81" t="s">
        <v>359</v>
      </c>
      <c r="F638" s="162" t="s">
        <v>360</v>
      </c>
      <c r="G638" s="163"/>
      <c r="H638" s="81" t="s">
        <v>1052</v>
      </c>
      <c r="I638" s="81" t="s">
        <v>344</v>
      </c>
      <c r="J638" s="81" t="s">
        <v>11</v>
      </c>
      <c r="K638" s="81" t="s">
        <v>1055</v>
      </c>
      <c r="L638" s="81" t="s">
        <v>129</v>
      </c>
      <c r="M638" s="164">
        <v>21.7</v>
      </c>
      <c r="N638" s="165"/>
      <c r="O638" s="163"/>
      <c r="P638" s="82">
        <v>77.7</v>
      </c>
      <c r="Q638" s="164">
        <v>0</v>
      </c>
      <c r="R638" s="163"/>
      <c r="S638" s="81" t="s">
        <v>346</v>
      </c>
      <c r="T638" s="82">
        <v>64</v>
      </c>
      <c r="U638" s="82">
        <v>0</v>
      </c>
      <c r="V638" s="82">
        <v>0</v>
      </c>
      <c r="W638" s="82">
        <v>0</v>
      </c>
      <c r="X638" s="81" t="s">
        <v>133</v>
      </c>
      <c r="Y638" s="82">
        <v>2</v>
      </c>
      <c r="Z638" s="81" t="s">
        <v>138</v>
      </c>
      <c r="AA638" s="81" t="s">
        <v>58</v>
      </c>
      <c r="AB638" s="81" t="s">
        <v>58</v>
      </c>
      <c r="AC638" s="83">
        <v>46114</v>
      </c>
    </row>
    <row r="639" spans="2:29" ht="23" x14ac:dyDescent="0.35">
      <c r="B639" s="81" t="s">
        <v>338</v>
      </c>
      <c r="C639" s="81" t="s">
        <v>339</v>
      </c>
      <c r="D639" s="81" t="s">
        <v>340</v>
      </c>
      <c r="E639" s="81" t="s">
        <v>359</v>
      </c>
      <c r="F639" s="162" t="s">
        <v>360</v>
      </c>
      <c r="G639" s="163"/>
      <c r="H639" s="81" t="s">
        <v>1052</v>
      </c>
      <c r="I639" s="81" t="s">
        <v>344</v>
      </c>
      <c r="J639" s="81" t="s">
        <v>11</v>
      </c>
      <c r="K639" s="81" t="s">
        <v>1056</v>
      </c>
      <c r="L639" s="81" t="s">
        <v>129</v>
      </c>
      <c r="M639" s="164">
        <v>23.6</v>
      </c>
      <c r="N639" s="165"/>
      <c r="O639" s="163"/>
      <c r="P639" s="82">
        <v>84.5</v>
      </c>
      <c r="Q639" s="164">
        <v>0</v>
      </c>
      <c r="R639" s="163"/>
      <c r="S639" s="81" t="s">
        <v>346</v>
      </c>
      <c r="T639" s="82">
        <v>64</v>
      </c>
      <c r="U639" s="82">
        <v>0</v>
      </c>
      <c r="V639" s="82">
        <v>0</v>
      </c>
      <c r="W639" s="82">
        <v>0</v>
      </c>
      <c r="X639" s="81"/>
      <c r="Y639" s="81"/>
      <c r="Z639" s="81" t="s">
        <v>138</v>
      </c>
      <c r="AA639" s="81" t="s">
        <v>58</v>
      </c>
      <c r="AB639" s="81" t="s">
        <v>58</v>
      </c>
      <c r="AC639" s="83">
        <v>46114</v>
      </c>
    </row>
    <row r="640" spans="2:29" ht="23" x14ac:dyDescent="0.35">
      <c r="B640" s="81" t="s">
        <v>338</v>
      </c>
      <c r="C640" s="81" t="s">
        <v>339</v>
      </c>
      <c r="D640" s="81" t="s">
        <v>340</v>
      </c>
      <c r="E640" s="81" t="s">
        <v>359</v>
      </c>
      <c r="F640" s="162" t="s">
        <v>360</v>
      </c>
      <c r="G640" s="163"/>
      <c r="H640" s="81" t="s">
        <v>1052</v>
      </c>
      <c r="I640" s="81" t="s">
        <v>344</v>
      </c>
      <c r="J640" s="81" t="s">
        <v>11</v>
      </c>
      <c r="K640" s="81" t="s">
        <v>1057</v>
      </c>
      <c r="L640" s="81" t="s">
        <v>129</v>
      </c>
      <c r="M640" s="164">
        <v>23.5</v>
      </c>
      <c r="N640" s="165"/>
      <c r="O640" s="163"/>
      <c r="P640" s="82">
        <v>84.14</v>
      </c>
      <c r="Q640" s="164">
        <v>0</v>
      </c>
      <c r="R640" s="163"/>
      <c r="S640" s="81" t="s">
        <v>346</v>
      </c>
      <c r="T640" s="82">
        <v>64</v>
      </c>
      <c r="U640" s="82">
        <v>0</v>
      </c>
      <c r="V640" s="82">
        <v>0</v>
      </c>
      <c r="W640" s="82">
        <v>0</v>
      </c>
      <c r="X640" s="81"/>
      <c r="Y640" s="81"/>
      <c r="Z640" s="81" t="s">
        <v>138</v>
      </c>
      <c r="AA640" s="81" t="s">
        <v>58</v>
      </c>
      <c r="AB640" s="81" t="s">
        <v>58</v>
      </c>
      <c r="AC640" s="83">
        <v>46114</v>
      </c>
    </row>
    <row r="641" spans="2:29" ht="23" x14ac:dyDescent="0.35">
      <c r="B641" s="81" t="s">
        <v>338</v>
      </c>
      <c r="C641" s="81" t="s">
        <v>339</v>
      </c>
      <c r="D641" s="81" t="s">
        <v>340</v>
      </c>
      <c r="E641" s="81" t="s">
        <v>359</v>
      </c>
      <c r="F641" s="162" t="s">
        <v>360</v>
      </c>
      <c r="G641" s="163"/>
      <c r="H641" s="81" t="s">
        <v>1052</v>
      </c>
      <c r="I641" s="81" t="s">
        <v>344</v>
      </c>
      <c r="J641" s="81" t="s">
        <v>11</v>
      </c>
      <c r="K641" s="81" t="s">
        <v>1058</v>
      </c>
      <c r="L641" s="81" t="s">
        <v>129</v>
      </c>
      <c r="M641" s="164">
        <v>23.4</v>
      </c>
      <c r="N641" s="165"/>
      <c r="O641" s="163"/>
      <c r="P641" s="82">
        <v>83.78</v>
      </c>
      <c r="Q641" s="164">
        <v>0</v>
      </c>
      <c r="R641" s="163"/>
      <c r="S641" s="81" t="s">
        <v>346</v>
      </c>
      <c r="T641" s="82">
        <v>64</v>
      </c>
      <c r="U641" s="82">
        <v>0</v>
      </c>
      <c r="V641" s="82">
        <v>0</v>
      </c>
      <c r="W641" s="82">
        <v>0</v>
      </c>
      <c r="X641" s="81" t="s">
        <v>133</v>
      </c>
      <c r="Y641" s="82">
        <v>4</v>
      </c>
      <c r="Z641" s="81" t="s">
        <v>138</v>
      </c>
      <c r="AA641" s="81" t="s">
        <v>58</v>
      </c>
      <c r="AB641" s="81" t="s">
        <v>58</v>
      </c>
      <c r="AC641" s="83">
        <v>46114</v>
      </c>
    </row>
    <row r="642" spans="2:29" ht="23" x14ac:dyDescent="0.35">
      <c r="B642" s="81" t="s">
        <v>338</v>
      </c>
      <c r="C642" s="81" t="s">
        <v>339</v>
      </c>
      <c r="D642" s="81" t="s">
        <v>340</v>
      </c>
      <c r="E642" s="81" t="s">
        <v>359</v>
      </c>
      <c r="F642" s="162" t="s">
        <v>360</v>
      </c>
      <c r="G642" s="163"/>
      <c r="H642" s="81" t="s">
        <v>1052</v>
      </c>
      <c r="I642" s="81" t="s">
        <v>344</v>
      </c>
      <c r="J642" s="81" t="s">
        <v>11</v>
      </c>
      <c r="K642" s="81" t="s">
        <v>1059</v>
      </c>
      <c r="L642" s="81" t="s">
        <v>129</v>
      </c>
      <c r="M642" s="164">
        <v>23.4</v>
      </c>
      <c r="N642" s="165"/>
      <c r="O642" s="163"/>
      <c r="P642" s="82">
        <v>83.78</v>
      </c>
      <c r="Q642" s="164">
        <v>0</v>
      </c>
      <c r="R642" s="163"/>
      <c r="S642" s="81" t="s">
        <v>346</v>
      </c>
      <c r="T642" s="82">
        <v>64</v>
      </c>
      <c r="U642" s="82">
        <v>0</v>
      </c>
      <c r="V642" s="82">
        <v>0</v>
      </c>
      <c r="W642" s="82">
        <v>0</v>
      </c>
      <c r="X642" s="81" t="s">
        <v>132</v>
      </c>
      <c r="Y642" s="82">
        <v>8</v>
      </c>
      <c r="Z642" s="81" t="s">
        <v>138</v>
      </c>
      <c r="AA642" s="81" t="s">
        <v>58</v>
      </c>
      <c r="AB642" s="81" t="s">
        <v>58</v>
      </c>
      <c r="AC642" s="83">
        <v>46114</v>
      </c>
    </row>
    <row r="643" spans="2:29" ht="23" x14ac:dyDescent="0.35">
      <c r="B643" s="81" t="s">
        <v>338</v>
      </c>
      <c r="C643" s="81" t="s">
        <v>339</v>
      </c>
      <c r="D643" s="81" t="s">
        <v>340</v>
      </c>
      <c r="E643" s="81" t="s">
        <v>359</v>
      </c>
      <c r="F643" s="162" t="s">
        <v>360</v>
      </c>
      <c r="G643" s="163"/>
      <c r="H643" s="81" t="s">
        <v>1052</v>
      </c>
      <c r="I643" s="81" t="s">
        <v>344</v>
      </c>
      <c r="J643" s="81" t="s">
        <v>11</v>
      </c>
      <c r="K643" s="81" t="s">
        <v>1060</v>
      </c>
      <c r="L643" s="81" t="s">
        <v>129</v>
      </c>
      <c r="M643" s="164">
        <v>11.6</v>
      </c>
      <c r="N643" s="165"/>
      <c r="O643" s="163"/>
      <c r="P643" s="82">
        <v>41.53</v>
      </c>
      <c r="Q643" s="164">
        <v>0</v>
      </c>
      <c r="R643" s="163"/>
      <c r="S643" s="81" t="s">
        <v>346</v>
      </c>
      <c r="T643" s="82">
        <v>64</v>
      </c>
      <c r="U643" s="82">
        <v>0</v>
      </c>
      <c r="V643" s="82">
        <v>0</v>
      </c>
      <c r="W643" s="82">
        <v>0</v>
      </c>
      <c r="X643" s="81" t="s">
        <v>139</v>
      </c>
      <c r="Y643" s="82">
        <v>4</v>
      </c>
      <c r="Z643" s="81" t="s">
        <v>138</v>
      </c>
      <c r="AA643" s="81" t="s">
        <v>58</v>
      </c>
      <c r="AB643" s="81" t="s">
        <v>58</v>
      </c>
      <c r="AC643" s="83">
        <v>46114</v>
      </c>
    </row>
    <row r="644" spans="2:29" ht="23" x14ac:dyDescent="0.35">
      <c r="B644" s="81" t="s">
        <v>338</v>
      </c>
      <c r="C644" s="81" t="s">
        <v>339</v>
      </c>
      <c r="D644" s="81" t="s">
        <v>340</v>
      </c>
      <c r="E644" s="81" t="s">
        <v>359</v>
      </c>
      <c r="F644" s="162" t="s">
        <v>360</v>
      </c>
      <c r="G644" s="163"/>
      <c r="H644" s="81" t="s">
        <v>1052</v>
      </c>
      <c r="I644" s="81" t="s">
        <v>344</v>
      </c>
      <c r="J644" s="81" t="s">
        <v>11</v>
      </c>
      <c r="K644" s="81" t="s">
        <v>1061</v>
      </c>
      <c r="L644" s="81" t="s">
        <v>129</v>
      </c>
      <c r="M644" s="164">
        <v>23.7</v>
      </c>
      <c r="N644" s="165"/>
      <c r="O644" s="163"/>
      <c r="P644" s="82">
        <v>84.86</v>
      </c>
      <c r="Q644" s="164">
        <v>0</v>
      </c>
      <c r="R644" s="163"/>
      <c r="S644" s="81" t="s">
        <v>346</v>
      </c>
      <c r="T644" s="82">
        <v>64</v>
      </c>
      <c r="U644" s="82">
        <v>0</v>
      </c>
      <c r="V644" s="82">
        <v>0</v>
      </c>
      <c r="W644" s="82">
        <v>0</v>
      </c>
      <c r="X644" s="81" t="s">
        <v>132</v>
      </c>
      <c r="Y644" s="82">
        <v>12</v>
      </c>
      <c r="Z644" s="81" t="s">
        <v>138</v>
      </c>
      <c r="AA644" s="81" t="s">
        <v>58</v>
      </c>
      <c r="AB644" s="81" t="s">
        <v>58</v>
      </c>
      <c r="AC644" s="83">
        <v>46114</v>
      </c>
    </row>
    <row r="645" spans="2:29" ht="23" x14ac:dyDescent="0.35">
      <c r="B645" s="81" t="s">
        <v>338</v>
      </c>
      <c r="C645" s="81" t="s">
        <v>339</v>
      </c>
      <c r="D645" s="81" t="s">
        <v>340</v>
      </c>
      <c r="E645" s="81" t="s">
        <v>359</v>
      </c>
      <c r="F645" s="162" t="s">
        <v>360</v>
      </c>
      <c r="G645" s="163"/>
      <c r="H645" s="81" t="s">
        <v>1052</v>
      </c>
      <c r="I645" s="81" t="s">
        <v>344</v>
      </c>
      <c r="J645" s="81" t="s">
        <v>11</v>
      </c>
      <c r="K645" s="81" t="s">
        <v>1062</v>
      </c>
      <c r="L645" s="81" t="s">
        <v>129</v>
      </c>
      <c r="M645" s="164">
        <v>23.5</v>
      </c>
      <c r="N645" s="165"/>
      <c r="O645" s="163"/>
      <c r="P645" s="82">
        <v>84.14</v>
      </c>
      <c r="Q645" s="164">
        <v>0</v>
      </c>
      <c r="R645" s="163"/>
      <c r="S645" s="81" t="s">
        <v>346</v>
      </c>
      <c r="T645" s="82">
        <v>64</v>
      </c>
      <c r="U645" s="82">
        <v>0</v>
      </c>
      <c r="V645" s="82">
        <v>0</v>
      </c>
      <c r="W645" s="82">
        <v>0</v>
      </c>
      <c r="X645" s="81" t="s">
        <v>134</v>
      </c>
      <c r="Y645" s="82">
        <v>3</v>
      </c>
      <c r="Z645" s="81" t="s">
        <v>138</v>
      </c>
      <c r="AA645" s="81" t="s">
        <v>58</v>
      </c>
      <c r="AB645" s="81" t="s">
        <v>58</v>
      </c>
      <c r="AC645" s="83">
        <v>46114</v>
      </c>
    </row>
    <row r="646" spans="2:29" ht="23" x14ac:dyDescent="0.35">
      <c r="B646" s="81" t="s">
        <v>338</v>
      </c>
      <c r="C646" s="81" t="s">
        <v>339</v>
      </c>
      <c r="D646" s="81" t="s">
        <v>340</v>
      </c>
      <c r="E646" s="81" t="s">
        <v>359</v>
      </c>
      <c r="F646" s="162" t="s">
        <v>360</v>
      </c>
      <c r="G646" s="163"/>
      <c r="H646" s="81" t="s">
        <v>1052</v>
      </c>
      <c r="I646" s="81" t="s">
        <v>344</v>
      </c>
      <c r="J646" s="81" t="s">
        <v>11</v>
      </c>
      <c r="K646" s="81" t="s">
        <v>1063</v>
      </c>
      <c r="L646" s="81" t="s">
        <v>129</v>
      </c>
      <c r="M646" s="164">
        <v>23.5</v>
      </c>
      <c r="N646" s="165"/>
      <c r="O646" s="163"/>
      <c r="P646" s="82">
        <v>84.14</v>
      </c>
      <c r="Q646" s="164">
        <v>0</v>
      </c>
      <c r="R646" s="163"/>
      <c r="S646" s="81" t="s">
        <v>346</v>
      </c>
      <c r="T646" s="82">
        <v>64</v>
      </c>
      <c r="U646" s="82">
        <v>0</v>
      </c>
      <c r="V646" s="82">
        <v>0</v>
      </c>
      <c r="W646" s="82">
        <v>0</v>
      </c>
      <c r="X646" s="81" t="s">
        <v>134</v>
      </c>
      <c r="Y646" s="82">
        <v>2</v>
      </c>
      <c r="Z646" s="81" t="s">
        <v>138</v>
      </c>
      <c r="AA646" s="81" t="s">
        <v>58</v>
      </c>
      <c r="AB646" s="81" t="s">
        <v>58</v>
      </c>
      <c r="AC646" s="83">
        <v>46114</v>
      </c>
    </row>
    <row r="647" spans="2:29" ht="23" x14ac:dyDescent="0.35">
      <c r="B647" s="81" t="s">
        <v>338</v>
      </c>
      <c r="C647" s="81" t="s">
        <v>339</v>
      </c>
      <c r="D647" s="81" t="s">
        <v>340</v>
      </c>
      <c r="E647" s="81" t="s">
        <v>359</v>
      </c>
      <c r="F647" s="162" t="s">
        <v>360</v>
      </c>
      <c r="G647" s="163"/>
      <c r="H647" s="81" t="s">
        <v>1052</v>
      </c>
      <c r="I647" s="81" t="s">
        <v>344</v>
      </c>
      <c r="J647" s="81" t="s">
        <v>11</v>
      </c>
      <c r="K647" s="81" t="s">
        <v>1064</v>
      </c>
      <c r="L647" s="81" t="s">
        <v>129</v>
      </c>
      <c r="M647" s="164">
        <v>23.8</v>
      </c>
      <c r="N647" s="165"/>
      <c r="O647" s="163"/>
      <c r="P647" s="82">
        <v>85.22</v>
      </c>
      <c r="Q647" s="164">
        <v>0</v>
      </c>
      <c r="R647" s="163"/>
      <c r="S647" s="81" t="s">
        <v>346</v>
      </c>
      <c r="T647" s="82">
        <v>64</v>
      </c>
      <c r="U647" s="82">
        <v>0</v>
      </c>
      <c r="V647" s="82">
        <v>0</v>
      </c>
      <c r="W647" s="82">
        <v>0</v>
      </c>
      <c r="X647" s="81"/>
      <c r="Y647" s="81"/>
      <c r="Z647" s="81" t="s">
        <v>138</v>
      </c>
      <c r="AA647" s="81" t="s">
        <v>58</v>
      </c>
      <c r="AB647" s="81" t="s">
        <v>58</v>
      </c>
      <c r="AC647" s="83">
        <v>46114</v>
      </c>
    </row>
    <row r="648" spans="2:29" ht="23" x14ac:dyDescent="0.35">
      <c r="B648" s="81" t="s">
        <v>338</v>
      </c>
      <c r="C648" s="81" t="s">
        <v>339</v>
      </c>
      <c r="D648" s="81" t="s">
        <v>340</v>
      </c>
      <c r="E648" s="81" t="s">
        <v>359</v>
      </c>
      <c r="F648" s="162" t="s">
        <v>360</v>
      </c>
      <c r="G648" s="163"/>
      <c r="H648" s="81" t="s">
        <v>1052</v>
      </c>
      <c r="I648" s="81" t="s">
        <v>344</v>
      </c>
      <c r="J648" s="81" t="s">
        <v>11</v>
      </c>
      <c r="K648" s="81" t="s">
        <v>1065</v>
      </c>
      <c r="L648" s="81" t="s">
        <v>129</v>
      </c>
      <c r="M648" s="164">
        <v>11</v>
      </c>
      <c r="N648" s="165"/>
      <c r="O648" s="163"/>
      <c r="P648" s="82">
        <v>39.39</v>
      </c>
      <c r="Q648" s="164">
        <v>0</v>
      </c>
      <c r="R648" s="163"/>
      <c r="S648" s="81" t="s">
        <v>346</v>
      </c>
      <c r="T648" s="82">
        <v>64</v>
      </c>
      <c r="U648" s="82">
        <v>0</v>
      </c>
      <c r="V648" s="82">
        <v>0</v>
      </c>
      <c r="W648" s="82">
        <v>0</v>
      </c>
      <c r="X648" s="81" t="s">
        <v>130</v>
      </c>
      <c r="Y648" s="82">
        <v>1</v>
      </c>
      <c r="Z648" s="81" t="s">
        <v>138</v>
      </c>
      <c r="AA648" s="81" t="s">
        <v>58</v>
      </c>
      <c r="AB648" s="81" t="s">
        <v>58</v>
      </c>
      <c r="AC648" s="83">
        <v>46114</v>
      </c>
    </row>
    <row r="649" spans="2:29" ht="23" x14ac:dyDescent="0.35">
      <c r="B649" s="81" t="s">
        <v>338</v>
      </c>
      <c r="C649" s="81" t="s">
        <v>339</v>
      </c>
      <c r="D649" s="81" t="s">
        <v>340</v>
      </c>
      <c r="E649" s="81" t="s">
        <v>359</v>
      </c>
      <c r="F649" s="162" t="s">
        <v>360</v>
      </c>
      <c r="G649" s="163"/>
      <c r="H649" s="81" t="s">
        <v>1052</v>
      </c>
      <c r="I649" s="81" t="s">
        <v>344</v>
      </c>
      <c r="J649" s="81" t="s">
        <v>11</v>
      </c>
      <c r="K649" s="81" t="s">
        <v>1066</v>
      </c>
      <c r="L649" s="81" t="s">
        <v>129</v>
      </c>
      <c r="M649" s="164">
        <v>23.8</v>
      </c>
      <c r="N649" s="165"/>
      <c r="O649" s="163"/>
      <c r="P649" s="82">
        <v>85.22</v>
      </c>
      <c r="Q649" s="164">
        <v>0</v>
      </c>
      <c r="R649" s="163"/>
      <c r="S649" s="81" t="s">
        <v>346</v>
      </c>
      <c r="T649" s="82">
        <v>64</v>
      </c>
      <c r="U649" s="82">
        <v>0</v>
      </c>
      <c r="V649" s="82">
        <v>0</v>
      </c>
      <c r="W649" s="82">
        <v>0</v>
      </c>
      <c r="X649" s="81"/>
      <c r="Y649" s="81"/>
      <c r="Z649" s="81" t="s">
        <v>138</v>
      </c>
      <c r="AA649" s="81" t="s">
        <v>58</v>
      </c>
      <c r="AB649" s="81" t="s">
        <v>58</v>
      </c>
      <c r="AC649" s="83">
        <v>46114</v>
      </c>
    </row>
    <row r="650" spans="2:29" ht="23" x14ac:dyDescent="0.35">
      <c r="B650" s="81" t="s">
        <v>338</v>
      </c>
      <c r="C650" s="81" t="s">
        <v>339</v>
      </c>
      <c r="D650" s="81" t="s">
        <v>340</v>
      </c>
      <c r="E650" s="81" t="s">
        <v>359</v>
      </c>
      <c r="F650" s="162" t="s">
        <v>360</v>
      </c>
      <c r="G650" s="163"/>
      <c r="H650" s="81" t="s">
        <v>1052</v>
      </c>
      <c r="I650" s="81" t="s">
        <v>344</v>
      </c>
      <c r="J650" s="81" t="s">
        <v>11</v>
      </c>
      <c r="K650" s="81" t="s">
        <v>1067</v>
      </c>
      <c r="L650" s="81" t="s">
        <v>129</v>
      </c>
      <c r="M650" s="164">
        <v>23.8</v>
      </c>
      <c r="N650" s="165"/>
      <c r="O650" s="163"/>
      <c r="P650" s="82">
        <v>85.22</v>
      </c>
      <c r="Q650" s="164">
        <v>0</v>
      </c>
      <c r="R650" s="163"/>
      <c r="S650" s="81" t="s">
        <v>346</v>
      </c>
      <c r="T650" s="82">
        <v>64</v>
      </c>
      <c r="U650" s="82">
        <v>0</v>
      </c>
      <c r="V650" s="82">
        <v>0</v>
      </c>
      <c r="W650" s="82">
        <v>0</v>
      </c>
      <c r="X650" s="81" t="s">
        <v>132</v>
      </c>
      <c r="Y650" s="82">
        <v>12</v>
      </c>
      <c r="Z650" s="81" t="s">
        <v>138</v>
      </c>
      <c r="AA650" s="81" t="s">
        <v>58</v>
      </c>
      <c r="AB650" s="81" t="s">
        <v>58</v>
      </c>
      <c r="AC650" s="83">
        <v>46114</v>
      </c>
    </row>
    <row r="651" spans="2:29" ht="23" x14ac:dyDescent="0.35">
      <c r="B651" s="81" t="s">
        <v>338</v>
      </c>
      <c r="C651" s="81" t="s">
        <v>339</v>
      </c>
      <c r="D651" s="81" t="s">
        <v>340</v>
      </c>
      <c r="E651" s="81" t="s">
        <v>359</v>
      </c>
      <c r="F651" s="162" t="s">
        <v>360</v>
      </c>
      <c r="G651" s="163"/>
      <c r="H651" s="81" t="s">
        <v>1052</v>
      </c>
      <c r="I651" s="81" t="s">
        <v>344</v>
      </c>
      <c r="J651" s="81" t="s">
        <v>11</v>
      </c>
      <c r="K651" s="81" t="s">
        <v>1068</v>
      </c>
      <c r="L651" s="81" t="s">
        <v>129</v>
      </c>
      <c r="M651" s="164">
        <v>23.8</v>
      </c>
      <c r="N651" s="165"/>
      <c r="O651" s="163"/>
      <c r="P651" s="82">
        <v>85.22</v>
      </c>
      <c r="Q651" s="164">
        <v>0</v>
      </c>
      <c r="R651" s="163"/>
      <c r="S651" s="81" t="s">
        <v>346</v>
      </c>
      <c r="T651" s="82">
        <v>64</v>
      </c>
      <c r="U651" s="82">
        <v>0</v>
      </c>
      <c r="V651" s="82">
        <v>0</v>
      </c>
      <c r="W651" s="82">
        <v>0</v>
      </c>
      <c r="X651" s="81" t="s">
        <v>132</v>
      </c>
      <c r="Y651" s="82">
        <v>8</v>
      </c>
      <c r="Z651" s="81" t="s">
        <v>138</v>
      </c>
      <c r="AA651" s="81" t="s">
        <v>58</v>
      </c>
      <c r="AB651" s="81" t="s">
        <v>58</v>
      </c>
      <c r="AC651" s="83">
        <v>46114</v>
      </c>
    </row>
    <row r="652" spans="2:29" ht="23" x14ac:dyDescent="0.35">
      <c r="B652" s="81" t="s">
        <v>338</v>
      </c>
      <c r="C652" s="81" t="s">
        <v>339</v>
      </c>
      <c r="D652" s="81" t="s">
        <v>340</v>
      </c>
      <c r="E652" s="81" t="s">
        <v>359</v>
      </c>
      <c r="F652" s="162" t="s">
        <v>360</v>
      </c>
      <c r="G652" s="163"/>
      <c r="H652" s="81" t="s">
        <v>1052</v>
      </c>
      <c r="I652" s="81" t="s">
        <v>344</v>
      </c>
      <c r="J652" s="81" t="s">
        <v>11</v>
      </c>
      <c r="K652" s="81" t="s">
        <v>1069</v>
      </c>
      <c r="L652" s="81" t="s">
        <v>129</v>
      </c>
      <c r="M652" s="164">
        <v>23.5</v>
      </c>
      <c r="N652" s="165"/>
      <c r="O652" s="163"/>
      <c r="P652" s="82">
        <v>84.14</v>
      </c>
      <c r="Q652" s="164">
        <v>0</v>
      </c>
      <c r="R652" s="163"/>
      <c r="S652" s="81" t="s">
        <v>346</v>
      </c>
      <c r="T652" s="82">
        <v>64</v>
      </c>
      <c r="U652" s="82">
        <v>0</v>
      </c>
      <c r="V652" s="82">
        <v>0</v>
      </c>
      <c r="W652" s="82">
        <v>0</v>
      </c>
      <c r="X652" s="81" t="s">
        <v>132</v>
      </c>
      <c r="Y652" s="82">
        <v>8</v>
      </c>
      <c r="Z652" s="81" t="s">
        <v>138</v>
      </c>
      <c r="AA652" s="81" t="s">
        <v>58</v>
      </c>
      <c r="AB652" s="81" t="s">
        <v>58</v>
      </c>
      <c r="AC652" s="83">
        <v>46114</v>
      </c>
    </row>
    <row r="653" spans="2:29" ht="23" x14ac:dyDescent="0.35">
      <c r="B653" s="81" t="s">
        <v>338</v>
      </c>
      <c r="C653" s="81" t="s">
        <v>339</v>
      </c>
      <c r="D653" s="81" t="s">
        <v>340</v>
      </c>
      <c r="E653" s="81" t="s">
        <v>359</v>
      </c>
      <c r="F653" s="162" t="s">
        <v>360</v>
      </c>
      <c r="G653" s="163"/>
      <c r="H653" s="81" t="s">
        <v>1052</v>
      </c>
      <c r="I653" s="81" t="s">
        <v>344</v>
      </c>
      <c r="J653" s="81" t="s">
        <v>11</v>
      </c>
      <c r="K653" s="81" t="s">
        <v>1070</v>
      </c>
      <c r="L653" s="81" t="s">
        <v>129</v>
      </c>
      <c r="M653" s="164">
        <v>23.9</v>
      </c>
      <c r="N653" s="165"/>
      <c r="O653" s="163"/>
      <c r="P653" s="82">
        <v>85.57</v>
      </c>
      <c r="Q653" s="164">
        <v>0</v>
      </c>
      <c r="R653" s="163"/>
      <c r="S653" s="81" t="s">
        <v>346</v>
      </c>
      <c r="T653" s="82">
        <v>64</v>
      </c>
      <c r="U653" s="82">
        <v>0</v>
      </c>
      <c r="V653" s="82">
        <v>0</v>
      </c>
      <c r="W653" s="82">
        <v>0</v>
      </c>
      <c r="X653" s="81" t="s">
        <v>132</v>
      </c>
      <c r="Y653" s="82">
        <v>8</v>
      </c>
      <c r="Z653" s="81" t="s">
        <v>138</v>
      </c>
      <c r="AA653" s="81" t="s">
        <v>58</v>
      </c>
      <c r="AB653" s="81" t="s">
        <v>58</v>
      </c>
      <c r="AC653" s="83">
        <v>46114</v>
      </c>
    </row>
    <row r="654" spans="2:29" ht="23" x14ac:dyDescent="0.35">
      <c r="B654" s="81" t="s">
        <v>338</v>
      </c>
      <c r="C654" s="81" t="s">
        <v>339</v>
      </c>
      <c r="D654" s="81" t="s">
        <v>340</v>
      </c>
      <c r="E654" s="81" t="s">
        <v>359</v>
      </c>
      <c r="F654" s="162" t="s">
        <v>360</v>
      </c>
      <c r="G654" s="163"/>
      <c r="H654" s="81" t="s">
        <v>1052</v>
      </c>
      <c r="I654" s="81" t="s">
        <v>344</v>
      </c>
      <c r="J654" s="81" t="s">
        <v>11</v>
      </c>
      <c r="K654" s="81" t="s">
        <v>1071</v>
      </c>
      <c r="L654" s="81" t="s">
        <v>129</v>
      </c>
      <c r="M654" s="164">
        <v>23.7</v>
      </c>
      <c r="N654" s="165"/>
      <c r="O654" s="163"/>
      <c r="P654" s="82">
        <v>84.86</v>
      </c>
      <c r="Q654" s="164">
        <v>0</v>
      </c>
      <c r="R654" s="163"/>
      <c r="S654" s="81" t="s">
        <v>346</v>
      </c>
      <c r="T654" s="82">
        <v>64</v>
      </c>
      <c r="U654" s="82">
        <v>0</v>
      </c>
      <c r="V654" s="82">
        <v>0</v>
      </c>
      <c r="W654" s="82">
        <v>0</v>
      </c>
      <c r="X654" s="81"/>
      <c r="Y654" s="81"/>
      <c r="Z654" s="81" t="s">
        <v>138</v>
      </c>
      <c r="AA654" s="81" t="s">
        <v>58</v>
      </c>
      <c r="AB654" s="81" t="s">
        <v>58</v>
      </c>
      <c r="AC654" s="83">
        <v>46114</v>
      </c>
    </row>
    <row r="655" spans="2:29" ht="23" x14ac:dyDescent="0.35">
      <c r="B655" s="81" t="s">
        <v>338</v>
      </c>
      <c r="C655" s="81" t="s">
        <v>339</v>
      </c>
      <c r="D655" s="81" t="s">
        <v>340</v>
      </c>
      <c r="E655" s="81" t="s">
        <v>359</v>
      </c>
      <c r="F655" s="162" t="s">
        <v>360</v>
      </c>
      <c r="G655" s="163"/>
      <c r="H655" s="81" t="s">
        <v>1052</v>
      </c>
      <c r="I655" s="81" t="s">
        <v>344</v>
      </c>
      <c r="J655" s="81" t="s">
        <v>11</v>
      </c>
      <c r="K655" s="81" t="s">
        <v>1072</v>
      </c>
      <c r="L655" s="81" t="s">
        <v>129</v>
      </c>
      <c r="M655" s="164">
        <v>23.6</v>
      </c>
      <c r="N655" s="165"/>
      <c r="O655" s="163"/>
      <c r="P655" s="82">
        <v>84.5</v>
      </c>
      <c r="Q655" s="164">
        <v>0</v>
      </c>
      <c r="R655" s="163"/>
      <c r="S655" s="81" t="s">
        <v>346</v>
      </c>
      <c r="T655" s="82">
        <v>64</v>
      </c>
      <c r="U655" s="82">
        <v>0</v>
      </c>
      <c r="V655" s="82">
        <v>0</v>
      </c>
      <c r="W655" s="82">
        <v>0</v>
      </c>
      <c r="X655" s="81"/>
      <c r="Y655" s="81"/>
      <c r="Z655" s="81" t="s">
        <v>138</v>
      </c>
      <c r="AA655" s="81" t="s">
        <v>58</v>
      </c>
      <c r="AB655" s="81" t="s">
        <v>58</v>
      </c>
      <c r="AC655" s="83">
        <v>46114</v>
      </c>
    </row>
    <row r="656" spans="2:29" ht="23" x14ac:dyDescent="0.35">
      <c r="B656" s="81" t="s">
        <v>338</v>
      </c>
      <c r="C656" s="81" t="s">
        <v>339</v>
      </c>
      <c r="D656" s="81" t="s">
        <v>340</v>
      </c>
      <c r="E656" s="81" t="s">
        <v>359</v>
      </c>
      <c r="F656" s="162" t="s">
        <v>360</v>
      </c>
      <c r="G656" s="163"/>
      <c r="H656" s="81" t="s">
        <v>1052</v>
      </c>
      <c r="I656" s="81" t="s">
        <v>344</v>
      </c>
      <c r="J656" s="81" t="s">
        <v>11</v>
      </c>
      <c r="K656" s="81" t="s">
        <v>1073</v>
      </c>
      <c r="L656" s="81" t="s">
        <v>129</v>
      </c>
      <c r="M656" s="164">
        <v>23.6</v>
      </c>
      <c r="N656" s="165"/>
      <c r="O656" s="163"/>
      <c r="P656" s="82">
        <v>84.5</v>
      </c>
      <c r="Q656" s="164">
        <v>0</v>
      </c>
      <c r="R656" s="163"/>
      <c r="S656" s="81" t="s">
        <v>346</v>
      </c>
      <c r="T656" s="82">
        <v>64</v>
      </c>
      <c r="U656" s="82">
        <v>0</v>
      </c>
      <c r="V656" s="82">
        <v>0</v>
      </c>
      <c r="W656" s="82">
        <v>0</v>
      </c>
      <c r="X656" s="81" t="s">
        <v>133</v>
      </c>
      <c r="Y656" s="82">
        <v>2</v>
      </c>
      <c r="Z656" s="81" t="s">
        <v>138</v>
      </c>
      <c r="AA656" s="81" t="s">
        <v>58</v>
      </c>
      <c r="AB656" s="81" t="s">
        <v>58</v>
      </c>
      <c r="AC656" s="83">
        <v>46114</v>
      </c>
    </row>
    <row r="657" spans="2:29" ht="23" x14ac:dyDescent="0.35">
      <c r="B657" s="81" t="s">
        <v>338</v>
      </c>
      <c r="C657" s="81" t="s">
        <v>339</v>
      </c>
      <c r="D657" s="81" t="s">
        <v>340</v>
      </c>
      <c r="E657" s="81" t="s">
        <v>359</v>
      </c>
      <c r="F657" s="162" t="s">
        <v>360</v>
      </c>
      <c r="G657" s="163"/>
      <c r="H657" s="81" t="s">
        <v>1052</v>
      </c>
      <c r="I657" s="81" t="s">
        <v>344</v>
      </c>
      <c r="J657" s="81" t="s">
        <v>11</v>
      </c>
      <c r="K657" s="81" t="s">
        <v>1074</v>
      </c>
      <c r="L657" s="81" t="s">
        <v>129</v>
      </c>
      <c r="M657" s="164">
        <v>23.6</v>
      </c>
      <c r="N657" s="165"/>
      <c r="O657" s="163"/>
      <c r="P657" s="82">
        <v>84.5</v>
      </c>
      <c r="Q657" s="164">
        <v>0</v>
      </c>
      <c r="R657" s="163"/>
      <c r="S657" s="81" t="s">
        <v>346</v>
      </c>
      <c r="T657" s="82">
        <v>64</v>
      </c>
      <c r="U657" s="82">
        <v>0</v>
      </c>
      <c r="V657" s="82">
        <v>0</v>
      </c>
      <c r="W657" s="82">
        <v>0</v>
      </c>
      <c r="X657" s="81" t="s">
        <v>133</v>
      </c>
      <c r="Y657" s="82">
        <v>4</v>
      </c>
      <c r="Z657" s="81" t="s">
        <v>138</v>
      </c>
      <c r="AA657" s="81" t="s">
        <v>58</v>
      </c>
      <c r="AB657" s="81" t="s">
        <v>58</v>
      </c>
      <c r="AC657" s="83">
        <v>46114</v>
      </c>
    </row>
    <row r="658" spans="2:29" ht="23" x14ac:dyDescent="0.35">
      <c r="B658" s="81" t="s">
        <v>338</v>
      </c>
      <c r="C658" s="81" t="s">
        <v>339</v>
      </c>
      <c r="D658" s="81" t="s">
        <v>340</v>
      </c>
      <c r="E658" s="81" t="s">
        <v>359</v>
      </c>
      <c r="F658" s="162" t="s">
        <v>360</v>
      </c>
      <c r="G658" s="163"/>
      <c r="H658" s="81" t="s">
        <v>1052</v>
      </c>
      <c r="I658" s="81" t="s">
        <v>344</v>
      </c>
      <c r="J658" s="81" t="s">
        <v>11</v>
      </c>
      <c r="K658" s="81" t="s">
        <v>1075</v>
      </c>
      <c r="L658" s="81" t="s">
        <v>129</v>
      </c>
      <c r="M658" s="164">
        <v>23.6</v>
      </c>
      <c r="N658" s="165"/>
      <c r="O658" s="163"/>
      <c r="P658" s="82">
        <v>84.5</v>
      </c>
      <c r="Q658" s="164">
        <v>0</v>
      </c>
      <c r="R658" s="163"/>
      <c r="S658" s="81" t="s">
        <v>346</v>
      </c>
      <c r="T658" s="82">
        <v>64</v>
      </c>
      <c r="U658" s="82">
        <v>0</v>
      </c>
      <c r="V658" s="82">
        <v>0</v>
      </c>
      <c r="W658" s="82">
        <v>0</v>
      </c>
      <c r="X658" s="81" t="s">
        <v>132</v>
      </c>
      <c r="Y658" s="82">
        <v>12</v>
      </c>
      <c r="Z658" s="81" t="s">
        <v>138</v>
      </c>
      <c r="AA658" s="81" t="s">
        <v>58</v>
      </c>
      <c r="AB658" s="81" t="s">
        <v>58</v>
      </c>
      <c r="AC658" s="83">
        <v>46114</v>
      </c>
    </row>
    <row r="659" spans="2:29" ht="23" x14ac:dyDescent="0.35">
      <c r="B659" s="81" t="s">
        <v>338</v>
      </c>
      <c r="C659" s="81" t="s">
        <v>339</v>
      </c>
      <c r="D659" s="81" t="s">
        <v>340</v>
      </c>
      <c r="E659" s="81" t="s">
        <v>359</v>
      </c>
      <c r="F659" s="162" t="s">
        <v>360</v>
      </c>
      <c r="G659" s="163"/>
      <c r="H659" s="81" t="s">
        <v>1052</v>
      </c>
      <c r="I659" s="81" t="s">
        <v>344</v>
      </c>
      <c r="J659" s="81" t="s">
        <v>11</v>
      </c>
      <c r="K659" s="81" t="s">
        <v>1076</v>
      </c>
      <c r="L659" s="81" t="s">
        <v>129</v>
      </c>
      <c r="M659" s="164">
        <v>23.8</v>
      </c>
      <c r="N659" s="165"/>
      <c r="O659" s="163"/>
      <c r="P659" s="82">
        <v>85.22</v>
      </c>
      <c r="Q659" s="164">
        <v>0</v>
      </c>
      <c r="R659" s="163"/>
      <c r="S659" s="81" t="s">
        <v>346</v>
      </c>
      <c r="T659" s="82">
        <v>64</v>
      </c>
      <c r="U659" s="82">
        <v>0</v>
      </c>
      <c r="V659" s="82">
        <v>0</v>
      </c>
      <c r="W659" s="82">
        <v>0</v>
      </c>
      <c r="X659" s="81" t="s">
        <v>133</v>
      </c>
      <c r="Y659" s="82">
        <v>4</v>
      </c>
      <c r="Z659" s="81" t="s">
        <v>138</v>
      </c>
      <c r="AA659" s="81" t="s">
        <v>58</v>
      </c>
      <c r="AB659" s="81" t="s">
        <v>58</v>
      </c>
      <c r="AC659" s="83">
        <v>46114</v>
      </c>
    </row>
    <row r="660" spans="2:29" ht="23" x14ac:dyDescent="0.35">
      <c r="B660" s="81" t="s">
        <v>338</v>
      </c>
      <c r="C660" s="81" t="s">
        <v>339</v>
      </c>
      <c r="D660" s="81" t="s">
        <v>340</v>
      </c>
      <c r="E660" s="81" t="s">
        <v>359</v>
      </c>
      <c r="F660" s="162" t="s">
        <v>360</v>
      </c>
      <c r="G660" s="163"/>
      <c r="H660" s="81" t="s">
        <v>1052</v>
      </c>
      <c r="I660" s="81" t="s">
        <v>344</v>
      </c>
      <c r="J660" s="81" t="s">
        <v>11</v>
      </c>
      <c r="K660" s="81" t="s">
        <v>1077</v>
      </c>
      <c r="L660" s="81" t="s">
        <v>129</v>
      </c>
      <c r="M660" s="164">
        <v>30.6</v>
      </c>
      <c r="N660" s="165"/>
      <c r="O660" s="163"/>
      <c r="P660" s="82">
        <v>109.56</v>
      </c>
      <c r="Q660" s="164">
        <v>0</v>
      </c>
      <c r="R660" s="163"/>
      <c r="S660" s="81" t="s">
        <v>346</v>
      </c>
      <c r="T660" s="82">
        <v>64</v>
      </c>
      <c r="U660" s="82">
        <v>0</v>
      </c>
      <c r="V660" s="82">
        <v>0</v>
      </c>
      <c r="W660" s="82">
        <v>0</v>
      </c>
      <c r="X660" s="81" t="s">
        <v>135</v>
      </c>
      <c r="Y660" s="82">
        <v>12</v>
      </c>
      <c r="Z660" s="81" t="s">
        <v>138</v>
      </c>
      <c r="AA660" s="81" t="s">
        <v>58</v>
      </c>
      <c r="AB660" s="81" t="s">
        <v>58</v>
      </c>
      <c r="AC660" s="83">
        <v>46114</v>
      </c>
    </row>
    <row r="661" spans="2:29" ht="23" x14ac:dyDescent="0.35">
      <c r="B661" s="81" t="s">
        <v>338</v>
      </c>
      <c r="C661" s="81" t="s">
        <v>339</v>
      </c>
      <c r="D661" s="81" t="s">
        <v>340</v>
      </c>
      <c r="E661" s="81" t="s">
        <v>359</v>
      </c>
      <c r="F661" s="162" t="s">
        <v>360</v>
      </c>
      <c r="G661" s="163"/>
      <c r="H661" s="81" t="s">
        <v>1052</v>
      </c>
      <c r="I661" s="81" t="s">
        <v>344</v>
      </c>
      <c r="J661" s="81" t="s">
        <v>11</v>
      </c>
      <c r="K661" s="81" t="s">
        <v>1078</v>
      </c>
      <c r="L661" s="81" t="s">
        <v>129</v>
      </c>
      <c r="M661" s="164">
        <v>23.7</v>
      </c>
      <c r="N661" s="165"/>
      <c r="O661" s="163"/>
      <c r="P661" s="82">
        <v>84.86</v>
      </c>
      <c r="Q661" s="164">
        <v>0</v>
      </c>
      <c r="R661" s="163"/>
      <c r="S661" s="81" t="s">
        <v>346</v>
      </c>
      <c r="T661" s="82">
        <v>64</v>
      </c>
      <c r="U661" s="82">
        <v>0</v>
      </c>
      <c r="V661" s="82">
        <v>0</v>
      </c>
      <c r="W661" s="82">
        <v>0</v>
      </c>
      <c r="X661" s="81" t="s">
        <v>132</v>
      </c>
      <c r="Y661" s="82">
        <v>12</v>
      </c>
      <c r="Z661" s="81" t="s">
        <v>138</v>
      </c>
      <c r="AA661" s="81" t="s">
        <v>58</v>
      </c>
      <c r="AB661" s="81" t="s">
        <v>58</v>
      </c>
      <c r="AC661" s="83">
        <v>46114</v>
      </c>
    </row>
    <row r="662" spans="2:29" ht="23" x14ac:dyDescent="0.35">
      <c r="B662" s="81" t="s">
        <v>338</v>
      </c>
      <c r="C662" s="81" t="s">
        <v>339</v>
      </c>
      <c r="D662" s="81" t="s">
        <v>340</v>
      </c>
      <c r="E662" s="81" t="s">
        <v>359</v>
      </c>
      <c r="F662" s="162" t="s">
        <v>360</v>
      </c>
      <c r="G662" s="163"/>
      <c r="H662" s="81" t="s">
        <v>1052</v>
      </c>
      <c r="I662" s="81" t="s">
        <v>344</v>
      </c>
      <c r="J662" s="81" t="s">
        <v>11</v>
      </c>
      <c r="K662" s="81" t="s">
        <v>1079</v>
      </c>
      <c r="L662" s="81" t="s">
        <v>129</v>
      </c>
      <c r="M662" s="164">
        <v>23.1</v>
      </c>
      <c r="N662" s="165"/>
      <c r="O662" s="163"/>
      <c r="P662" s="82">
        <v>77.83</v>
      </c>
      <c r="Q662" s="164">
        <v>0</v>
      </c>
      <c r="R662" s="163"/>
      <c r="S662" s="81" t="s">
        <v>346</v>
      </c>
      <c r="T662" s="82">
        <v>64</v>
      </c>
      <c r="U662" s="82">
        <v>0</v>
      </c>
      <c r="V662" s="82">
        <v>0</v>
      </c>
      <c r="W662" s="82">
        <v>0</v>
      </c>
      <c r="X662" s="81" t="s">
        <v>135</v>
      </c>
      <c r="Y662" s="82">
        <v>8</v>
      </c>
      <c r="Z662" s="81" t="s">
        <v>138</v>
      </c>
      <c r="AA662" s="81" t="s">
        <v>58</v>
      </c>
      <c r="AB662" s="81" t="s">
        <v>58</v>
      </c>
      <c r="AC662" s="83">
        <v>46114</v>
      </c>
    </row>
    <row r="663" spans="2:29" ht="23" x14ac:dyDescent="0.35">
      <c r="B663" s="81" t="s">
        <v>338</v>
      </c>
      <c r="C663" s="81" t="s">
        <v>339</v>
      </c>
      <c r="D663" s="81" t="s">
        <v>340</v>
      </c>
      <c r="E663" s="81" t="s">
        <v>359</v>
      </c>
      <c r="F663" s="162" t="s">
        <v>360</v>
      </c>
      <c r="G663" s="163"/>
      <c r="H663" s="81" t="s">
        <v>1052</v>
      </c>
      <c r="I663" s="81" t="s">
        <v>344</v>
      </c>
      <c r="J663" s="81" t="s">
        <v>11</v>
      </c>
      <c r="K663" s="81" t="s">
        <v>1080</v>
      </c>
      <c r="L663" s="81" t="s">
        <v>129</v>
      </c>
      <c r="M663" s="164">
        <v>14.6</v>
      </c>
      <c r="N663" s="165"/>
      <c r="O663" s="163"/>
      <c r="P663" s="82">
        <v>49.19</v>
      </c>
      <c r="Q663" s="164">
        <v>0</v>
      </c>
      <c r="R663" s="163"/>
      <c r="S663" s="81" t="s">
        <v>346</v>
      </c>
      <c r="T663" s="82">
        <v>64</v>
      </c>
      <c r="U663" s="82">
        <v>0</v>
      </c>
      <c r="V663" s="82">
        <v>0</v>
      </c>
      <c r="W663" s="82">
        <v>0</v>
      </c>
      <c r="X663" s="81" t="s">
        <v>135</v>
      </c>
      <c r="Y663" s="82">
        <v>12</v>
      </c>
      <c r="Z663" s="81" t="s">
        <v>138</v>
      </c>
      <c r="AA663" s="81" t="s">
        <v>58</v>
      </c>
      <c r="AB663" s="81" t="s">
        <v>58</v>
      </c>
      <c r="AC663" s="83">
        <v>46114</v>
      </c>
    </row>
    <row r="664" spans="2:29" ht="23" x14ac:dyDescent="0.35">
      <c r="B664" s="81" t="s">
        <v>338</v>
      </c>
      <c r="C664" s="81" t="s">
        <v>339</v>
      </c>
      <c r="D664" s="81" t="s">
        <v>340</v>
      </c>
      <c r="E664" s="81" t="s">
        <v>359</v>
      </c>
      <c r="F664" s="162" t="s">
        <v>360</v>
      </c>
      <c r="G664" s="163"/>
      <c r="H664" s="81" t="s">
        <v>1052</v>
      </c>
      <c r="I664" s="81" t="s">
        <v>344</v>
      </c>
      <c r="J664" s="81" t="s">
        <v>11</v>
      </c>
      <c r="K664" s="81" t="s">
        <v>1081</v>
      </c>
      <c r="L664" s="81" t="s">
        <v>129</v>
      </c>
      <c r="M664" s="164">
        <v>23.5</v>
      </c>
      <c r="N664" s="165"/>
      <c r="O664" s="163"/>
      <c r="P664" s="82">
        <v>79.180000000000007</v>
      </c>
      <c r="Q664" s="164">
        <v>0</v>
      </c>
      <c r="R664" s="163"/>
      <c r="S664" s="81" t="s">
        <v>346</v>
      </c>
      <c r="T664" s="82">
        <v>64</v>
      </c>
      <c r="U664" s="82">
        <v>0</v>
      </c>
      <c r="V664" s="82">
        <v>0</v>
      </c>
      <c r="W664" s="82">
        <v>0</v>
      </c>
      <c r="X664" s="81"/>
      <c r="Y664" s="81"/>
      <c r="Z664" s="81" t="s">
        <v>138</v>
      </c>
      <c r="AA664" s="81" t="s">
        <v>58</v>
      </c>
      <c r="AB664" s="81" t="s">
        <v>58</v>
      </c>
      <c r="AC664" s="83">
        <v>46114</v>
      </c>
    </row>
    <row r="665" spans="2:29" ht="23" x14ac:dyDescent="0.35">
      <c r="B665" s="81" t="s">
        <v>338</v>
      </c>
      <c r="C665" s="81" t="s">
        <v>339</v>
      </c>
      <c r="D665" s="81" t="s">
        <v>340</v>
      </c>
      <c r="E665" s="81" t="s">
        <v>359</v>
      </c>
      <c r="F665" s="162" t="s">
        <v>360</v>
      </c>
      <c r="G665" s="163"/>
      <c r="H665" s="81" t="s">
        <v>1052</v>
      </c>
      <c r="I665" s="81" t="s">
        <v>344</v>
      </c>
      <c r="J665" s="81" t="s">
        <v>11</v>
      </c>
      <c r="K665" s="81" t="s">
        <v>1082</v>
      </c>
      <c r="L665" s="81" t="s">
        <v>129</v>
      </c>
      <c r="M665" s="164">
        <v>23.4</v>
      </c>
      <c r="N665" s="165"/>
      <c r="O665" s="163"/>
      <c r="P665" s="82">
        <v>78.84</v>
      </c>
      <c r="Q665" s="164">
        <v>0</v>
      </c>
      <c r="R665" s="163"/>
      <c r="S665" s="81" t="s">
        <v>346</v>
      </c>
      <c r="T665" s="82">
        <v>64</v>
      </c>
      <c r="U665" s="82">
        <v>0</v>
      </c>
      <c r="V665" s="82">
        <v>0</v>
      </c>
      <c r="W665" s="82">
        <v>0</v>
      </c>
      <c r="X665" s="81"/>
      <c r="Y665" s="81"/>
      <c r="Z665" s="81" t="s">
        <v>138</v>
      </c>
      <c r="AA665" s="81" t="s">
        <v>58</v>
      </c>
      <c r="AB665" s="81" t="s">
        <v>58</v>
      </c>
      <c r="AC665" s="83">
        <v>46114</v>
      </c>
    </row>
    <row r="666" spans="2:29" ht="23" x14ac:dyDescent="0.35">
      <c r="B666" s="81" t="s">
        <v>338</v>
      </c>
      <c r="C666" s="81" t="s">
        <v>339</v>
      </c>
      <c r="D666" s="81" t="s">
        <v>340</v>
      </c>
      <c r="E666" s="81" t="s">
        <v>359</v>
      </c>
      <c r="F666" s="162" t="s">
        <v>360</v>
      </c>
      <c r="G666" s="163"/>
      <c r="H666" s="81" t="s">
        <v>1052</v>
      </c>
      <c r="I666" s="81" t="s">
        <v>344</v>
      </c>
      <c r="J666" s="81" t="s">
        <v>11</v>
      </c>
      <c r="K666" s="81" t="s">
        <v>1083</v>
      </c>
      <c r="L666" s="81" t="s">
        <v>129</v>
      </c>
      <c r="M666" s="164">
        <v>23</v>
      </c>
      <c r="N666" s="165"/>
      <c r="O666" s="163"/>
      <c r="P666" s="82">
        <v>77.489999999999995</v>
      </c>
      <c r="Q666" s="164">
        <v>0</v>
      </c>
      <c r="R666" s="163"/>
      <c r="S666" s="81" t="s">
        <v>346</v>
      </c>
      <c r="T666" s="82">
        <v>64</v>
      </c>
      <c r="U666" s="82">
        <v>0</v>
      </c>
      <c r="V666" s="82">
        <v>0</v>
      </c>
      <c r="W666" s="82">
        <v>0</v>
      </c>
      <c r="X666" s="81" t="s">
        <v>133</v>
      </c>
      <c r="Y666" s="82">
        <v>4</v>
      </c>
      <c r="Z666" s="81" t="s">
        <v>138</v>
      </c>
      <c r="AA666" s="81" t="s">
        <v>58</v>
      </c>
      <c r="AB666" s="81" t="s">
        <v>58</v>
      </c>
      <c r="AC666" s="83">
        <v>46114</v>
      </c>
    </row>
    <row r="667" spans="2:29" ht="23" x14ac:dyDescent="0.35">
      <c r="B667" s="81" t="s">
        <v>338</v>
      </c>
      <c r="C667" s="81" t="s">
        <v>339</v>
      </c>
      <c r="D667" s="81" t="s">
        <v>340</v>
      </c>
      <c r="E667" s="81" t="s">
        <v>359</v>
      </c>
      <c r="F667" s="162" t="s">
        <v>360</v>
      </c>
      <c r="G667" s="163"/>
      <c r="H667" s="81" t="s">
        <v>1052</v>
      </c>
      <c r="I667" s="81" t="s">
        <v>344</v>
      </c>
      <c r="J667" s="81" t="s">
        <v>11</v>
      </c>
      <c r="K667" s="81" t="s">
        <v>1084</v>
      </c>
      <c r="L667" s="81" t="s">
        <v>129</v>
      </c>
      <c r="M667" s="164">
        <v>23.5</v>
      </c>
      <c r="N667" s="165"/>
      <c r="O667" s="163"/>
      <c r="P667" s="82">
        <v>79.180000000000007</v>
      </c>
      <c r="Q667" s="164">
        <v>0</v>
      </c>
      <c r="R667" s="163"/>
      <c r="S667" s="81" t="s">
        <v>346</v>
      </c>
      <c r="T667" s="82">
        <v>64</v>
      </c>
      <c r="U667" s="82">
        <v>0</v>
      </c>
      <c r="V667" s="82">
        <v>0</v>
      </c>
      <c r="W667" s="82">
        <v>0</v>
      </c>
      <c r="X667" s="81"/>
      <c r="Y667" s="81"/>
      <c r="Z667" s="81" t="s">
        <v>138</v>
      </c>
      <c r="AA667" s="81" t="s">
        <v>58</v>
      </c>
      <c r="AB667" s="81" t="s">
        <v>58</v>
      </c>
      <c r="AC667" s="83">
        <v>46114</v>
      </c>
    </row>
    <row r="668" spans="2:29" ht="23" x14ac:dyDescent="0.35">
      <c r="B668" s="81" t="s">
        <v>338</v>
      </c>
      <c r="C668" s="81" t="s">
        <v>339</v>
      </c>
      <c r="D668" s="81" t="s">
        <v>340</v>
      </c>
      <c r="E668" s="81" t="s">
        <v>359</v>
      </c>
      <c r="F668" s="162" t="s">
        <v>360</v>
      </c>
      <c r="G668" s="163"/>
      <c r="H668" s="81" t="s">
        <v>1052</v>
      </c>
      <c r="I668" s="81" t="s">
        <v>344</v>
      </c>
      <c r="J668" s="81" t="s">
        <v>11</v>
      </c>
      <c r="K668" s="81" t="s">
        <v>1085</v>
      </c>
      <c r="L668" s="81" t="s">
        <v>129</v>
      </c>
      <c r="M668" s="164">
        <v>23.6</v>
      </c>
      <c r="N668" s="165"/>
      <c r="O668" s="163"/>
      <c r="P668" s="82">
        <v>79.510000000000005</v>
      </c>
      <c r="Q668" s="164">
        <v>0</v>
      </c>
      <c r="R668" s="163"/>
      <c r="S668" s="81" t="s">
        <v>346</v>
      </c>
      <c r="T668" s="82">
        <v>64</v>
      </c>
      <c r="U668" s="82">
        <v>0</v>
      </c>
      <c r="V668" s="82">
        <v>0</v>
      </c>
      <c r="W668" s="82">
        <v>0</v>
      </c>
      <c r="X668" s="81" t="s">
        <v>144</v>
      </c>
      <c r="Y668" s="82">
        <v>8</v>
      </c>
      <c r="Z668" s="81" t="s">
        <v>138</v>
      </c>
      <c r="AA668" s="81" t="s">
        <v>58</v>
      </c>
      <c r="AB668" s="81" t="s">
        <v>58</v>
      </c>
      <c r="AC668" s="83">
        <v>46114</v>
      </c>
    </row>
    <row r="669" spans="2:29" ht="23" x14ac:dyDescent="0.35">
      <c r="B669" s="81" t="s">
        <v>338</v>
      </c>
      <c r="C669" s="81" t="s">
        <v>339</v>
      </c>
      <c r="D669" s="81" t="s">
        <v>340</v>
      </c>
      <c r="E669" s="81" t="s">
        <v>359</v>
      </c>
      <c r="F669" s="162" t="s">
        <v>360</v>
      </c>
      <c r="G669" s="163"/>
      <c r="H669" s="81" t="s">
        <v>1052</v>
      </c>
      <c r="I669" s="81" t="s">
        <v>344</v>
      </c>
      <c r="J669" s="81" t="s">
        <v>11</v>
      </c>
      <c r="K669" s="81" t="s">
        <v>1086</v>
      </c>
      <c r="L669" s="81" t="s">
        <v>129</v>
      </c>
      <c r="M669" s="164">
        <v>23.6</v>
      </c>
      <c r="N669" s="165"/>
      <c r="O669" s="163"/>
      <c r="P669" s="82">
        <v>79.510000000000005</v>
      </c>
      <c r="Q669" s="164">
        <v>0</v>
      </c>
      <c r="R669" s="163"/>
      <c r="S669" s="81" t="s">
        <v>346</v>
      </c>
      <c r="T669" s="82">
        <v>64</v>
      </c>
      <c r="U669" s="82">
        <v>0</v>
      </c>
      <c r="V669" s="82">
        <v>0</v>
      </c>
      <c r="W669" s="82">
        <v>0</v>
      </c>
      <c r="X669" s="81" t="s">
        <v>133</v>
      </c>
      <c r="Y669" s="82">
        <v>8</v>
      </c>
      <c r="Z669" s="81" t="s">
        <v>138</v>
      </c>
      <c r="AA669" s="81" t="s">
        <v>58</v>
      </c>
      <c r="AB669" s="81" t="s">
        <v>58</v>
      </c>
      <c r="AC669" s="83">
        <v>46114</v>
      </c>
    </row>
    <row r="670" spans="2:29" ht="23" x14ac:dyDescent="0.35">
      <c r="B670" s="81" t="s">
        <v>338</v>
      </c>
      <c r="C670" s="81" t="s">
        <v>339</v>
      </c>
      <c r="D670" s="81" t="s">
        <v>340</v>
      </c>
      <c r="E670" s="81" t="s">
        <v>359</v>
      </c>
      <c r="F670" s="162" t="s">
        <v>360</v>
      </c>
      <c r="G670" s="163"/>
      <c r="H670" s="81" t="s">
        <v>1052</v>
      </c>
      <c r="I670" s="81" t="s">
        <v>344</v>
      </c>
      <c r="J670" s="81" t="s">
        <v>11</v>
      </c>
      <c r="K670" s="81" t="s">
        <v>1087</v>
      </c>
      <c r="L670" s="81" t="s">
        <v>129</v>
      </c>
      <c r="M670" s="164">
        <v>11.9</v>
      </c>
      <c r="N670" s="165"/>
      <c r="O670" s="163"/>
      <c r="P670" s="82">
        <v>40.090000000000003</v>
      </c>
      <c r="Q670" s="164">
        <v>0</v>
      </c>
      <c r="R670" s="163"/>
      <c r="S670" s="81" t="s">
        <v>346</v>
      </c>
      <c r="T670" s="82">
        <v>64</v>
      </c>
      <c r="U670" s="82">
        <v>0</v>
      </c>
      <c r="V670" s="82">
        <v>0</v>
      </c>
      <c r="W670" s="82">
        <v>0</v>
      </c>
      <c r="X670" s="81" t="s">
        <v>135</v>
      </c>
      <c r="Y670" s="82">
        <v>8</v>
      </c>
      <c r="Z670" s="81" t="s">
        <v>138</v>
      </c>
      <c r="AA670" s="81" t="s">
        <v>58</v>
      </c>
      <c r="AB670" s="81" t="s">
        <v>58</v>
      </c>
      <c r="AC670" s="83">
        <v>46114</v>
      </c>
    </row>
    <row r="671" spans="2:29" ht="23" x14ac:dyDescent="0.35">
      <c r="B671" s="81" t="s">
        <v>338</v>
      </c>
      <c r="C671" s="81" t="s">
        <v>339</v>
      </c>
      <c r="D671" s="81" t="s">
        <v>340</v>
      </c>
      <c r="E671" s="81" t="s">
        <v>359</v>
      </c>
      <c r="F671" s="162" t="s">
        <v>360</v>
      </c>
      <c r="G671" s="163"/>
      <c r="H671" s="81" t="s">
        <v>1052</v>
      </c>
      <c r="I671" s="81" t="s">
        <v>344</v>
      </c>
      <c r="J671" s="81" t="s">
        <v>11</v>
      </c>
      <c r="K671" s="81" t="s">
        <v>1088</v>
      </c>
      <c r="L671" s="81" t="s">
        <v>129</v>
      </c>
      <c r="M671" s="164">
        <v>16.899999999999999</v>
      </c>
      <c r="N671" s="165"/>
      <c r="O671" s="163"/>
      <c r="P671" s="82">
        <v>56.94</v>
      </c>
      <c r="Q671" s="164">
        <v>0</v>
      </c>
      <c r="R671" s="163"/>
      <c r="S671" s="81" t="s">
        <v>346</v>
      </c>
      <c r="T671" s="82">
        <v>64</v>
      </c>
      <c r="U671" s="82">
        <v>0</v>
      </c>
      <c r="V671" s="82">
        <v>0</v>
      </c>
      <c r="W671" s="82">
        <v>0</v>
      </c>
      <c r="X671" s="81" t="s">
        <v>135</v>
      </c>
      <c r="Y671" s="82">
        <v>8</v>
      </c>
      <c r="Z671" s="81" t="s">
        <v>138</v>
      </c>
      <c r="AA671" s="81" t="s">
        <v>58</v>
      </c>
      <c r="AB671" s="81" t="s">
        <v>58</v>
      </c>
      <c r="AC671" s="83">
        <v>46114</v>
      </c>
    </row>
    <row r="672" spans="2:29" ht="23" x14ac:dyDescent="0.35">
      <c r="B672" s="81" t="s">
        <v>338</v>
      </c>
      <c r="C672" s="81" t="s">
        <v>339</v>
      </c>
      <c r="D672" s="81" t="s">
        <v>340</v>
      </c>
      <c r="E672" s="81" t="s">
        <v>359</v>
      </c>
      <c r="F672" s="162" t="s">
        <v>360</v>
      </c>
      <c r="G672" s="163"/>
      <c r="H672" s="81" t="s">
        <v>1052</v>
      </c>
      <c r="I672" s="81" t="s">
        <v>344</v>
      </c>
      <c r="J672" s="81" t="s">
        <v>11</v>
      </c>
      <c r="K672" s="81" t="s">
        <v>1089</v>
      </c>
      <c r="L672" s="81" t="s">
        <v>129</v>
      </c>
      <c r="M672" s="164">
        <v>24</v>
      </c>
      <c r="N672" s="165"/>
      <c r="O672" s="163"/>
      <c r="P672" s="82">
        <v>80.86</v>
      </c>
      <c r="Q672" s="164">
        <v>0</v>
      </c>
      <c r="R672" s="163"/>
      <c r="S672" s="81" t="s">
        <v>346</v>
      </c>
      <c r="T672" s="82">
        <v>64</v>
      </c>
      <c r="U672" s="82">
        <v>0</v>
      </c>
      <c r="V672" s="82">
        <v>0</v>
      </c>
      <c r="W672" s="82">
        <v>0</v>
      </c>
      <c r="X672" s="81" t="s">
        <v>135</v>
      </c>
      <c r="Y672" s="82">
        <v>4</v>
      </c>
      <c r="Z672" s="81" t="s">
        <v>138</v>
      </c>
      <c r="AA672" s="81" t="s">
        <v>58</v>
      </c>
      <c r="AB672" s="81" t="s">
        <v>58</v>
      </c>
      <c r="AC672" s="83">
        <v>46114</v>
      </c>
    </row>
    <row r="673" spans="2:29" ht="23" x14ac:dyDescent="0.35">
      <c r="B673" s="81" t="s">
        <v>338</v>
      </c>
      <c r="C673" s="81" t="s">
        <v>339</v>
      </c>
      <c r="D673" s="81" t="s">
        <v>340</v>
      </c>
      <c r="E673" s="81" t="s">
        <v>359</v>
      </c>
      <c r="F673" s="162" t="s">
        <v>360</v>
      </c>
      <c r="G673" s="163"/>
      <c r="H673" s="81" t="s">
        <v>1052</v>
      </c>
      <c r="I673" s="81" t="s">
        <v>344</v>
      </c>
      <c r="J673" s="81" t="s">
        <v>11</v>
      </c>
      <c r="K673" s="81" t="s">
        <v>1090</v>
      </c>
      <c r="L673" s="81" t="s">
        <v>129</v>
      </c>
      <c r="M673" s="164">
        <v>23.8</v>
      </c>
      <c r="N673" s="165"/>
      <c r="O673" s="163"/>
      <c r="P673" s="82">
        <v>80.19</v>
      </c>
      <c r="Q673" s="164">
        <v>0</v>
      </c>
      <c r="R673" s="163"/>
      <c r="S673" s="81" t="s">
        <v>346</v>
      </c>
      <c r="T673" s="82">
        <v>64</v>
      </c>
      <c r="U673" s="82">
        <v>0</v>
      </c>
      <c r="V673" s="82">
        <v>0</v>
      </c>
      <c r="W673" s="82">
        <v>0</v>
      </c>
      <c r="X673" s="81" t="s">
        <v>132</v>
      </c>
      <c r="Y673" s="82">
        <v>16</v>
      </c>
      <c r="Z673" s="81" t="s">
        <v>138</v>
      </c>
      <c r="AA673" s="81" t="s">
        <v>58</v>
      </c>
      <c r="AB673" s="81" t="s">
        <v>58</v>
      </c>
      <c r="AC673" s="83">
        <v>46114</v>
      </c>
    </row>
    <row r="674" spans="2:29" ht="23" x14ac:dyDescent="0.35">
      <c r="B674" s="81" t="s">
        <v>338</v>
      </c>
      <c r="C674" s="81" t="s">
        <v>339</v>
      </c>
      <c r="D674" s="81" t="s">
        <v>340</v>
      </c>
      <c r="E674" s="81" t="s">
        <v>359</v>
      </c>
      <c r="F674" s="162" t="s">
        <v>360</v>
      </c>
      <c r="G674" s="163"/>
      <c r="H674" s="81" t="s">
        <v>1052</v>
      </c>
      <c r="I674" s="81" t="s">
        <v>344</v>
      </c>
      <c r="J674" s="81" t="s">
        <v>11</v>
      </c>
      <c r="K674" s="81" t="s">
        <v>1091</v>
      </c>
      <c r="L674" s="81" t="s">
        <v>129</v>
      </c>
      <c r="M674" s="164">
        <v>23.7</v>
      </c>
      <c r="N674" s="165"/>
      <c r="O674" s="163"/>
      <c r="P674" s="82">
        <v>79.849999999999994</v>
      </c>
      <c r="Q674" s="164">
        <v>0</v>
      </c>
      <c r="R674" s="163"/>
      <c r="S674" s="81" t="s">
        <v>346</v>
      </c>
      <c r="T674" s="82">
        <v>64</v>
      </c>
      <c r="U674" s="82">
        <v>0</v>
      </c>
      <c r="V674" s="82">
        <v>0</v>
      </c>
      <c r="W674" s="82">
        <v>0</v>
      </c>
      <c r="X674" s="81"/>
      <c r="Y674" s="81"/>
      <c r="Z674" s="81" t="s">
        <v>138</v>
      </c>
      <c r="AA674" s="81" t="s">
        <v>58</v>
      </c>
      <c r="AB674" s="81" t="s">
        <v>58</v>
      </c>
      <c r="AC674" s="83">
        <v>46114</v>
      </c>
    </row>
    <row r="675" spans="2:29" ht="23" x14ac:dyDescent="0.35">
      <c r="B675" s="81" t="s">
        <v>338</v>
      </c>
      <c r="C675" s="81" t="s">
        <v>339</v>
      </c>
      <c r="D675" s="81" t="s">
        <v>340</v>
      </c>
      <c r="E675" s="81" t="s">
        <v>359</v>
      </c>
      <c r="F675" s="162" t="s">
        <v>360</v>
      </c>
      <c r="G675" s="163"/>
      <c r="H675" s="81" t="s">
        <v>1052</v>
      </c>
      <c r="I675" s="81" t="s">
        <v>344</v>
      </c>
      <c r="J675" s="81" t="s">
        <v>11</v>
      </c>
      <c r="K675" s="81" t="s">
        <v>1092</v>
      </c>
      <c r="L675" s="81" t="s">
        <v>129</v>
      </c>
      <c r="M675" s="164">
        <v>23.6</v>
      </c>
      <c r="N675" s="165"/>
      <c r="O675" s="163"/>
      <c r="P675" s="82">
        <v>79.510000000000005</v>
      </c>
      <c r="Q675" s="164">
        <v>0</v>
      </c>
      <c r="R675" s="163"/>
      <c r="S675" s="81" t="s">
        <v>346</v>
      </c>
      <c r="T675" s="82">
        <v>64</v>
      </c>
      <c r="U675" s="82">
        <v>0</v>
      </c>
      <c r="V675" s="82">
        <v>0</v>
      </c>
      <c r="W675" s="82">
        <v>0</v>
      </c>
      <c r="X675" s="81" t="s">
        <v>132</v>
      </c>
      <c r="Y675" s="82">
        <v>8</v>
      </c>
      <c r="Z675" s="81" t="s">
        <v>138</v>
      </c>
      <c r="AA675" s="81" t="s">
        <v>58</v>
      </c>
      <c r="AB675" s="81" t="s">
        <v>58</v>
      </c>
      <c r="AC675" s="83">
        <v>46114</v>
      </c>
    </row>
    <row r="676" spans="2:29" ht="23" x14ac:dyDescent="0.35">
      <c r="B676" s="81" t="s">
        <v>338</v>
      </c>
      <c r="C676" s="81" t="s">
        <v>339</v>
      </c>
      <c r="D676" s="81" t="s">
        <v>340</v>
      </c>
      <c r="E676" s="81" t="s">
        <v>359</v>
      </c>
      <c r="F676" s="162" t="s">
        <v>360</v>
      </c>
      <c r="G676" s="163"/>
      <c r="H676" s="81" t="s">
        <v>1052</v>
      </c>
      <c r="I676" s="81" t="s">
        <v>344</v>
      </c>
      <c r="J676" s="81" t="s">
        <v>11</v>
      </c>
      <c r="K676" s="81" t="s">
        <v>1093</v>
      </c>
      <c r="L676" s="81" t="s">
        <v>129</v>
      </c>
      <c r="M676" s="164">
        <v>23.7</v>
      </c>
      <c r="N676" s="165"/>
      <c r="O676" s="163"/>
      <c r="P676" s="82">
        <v>79.849999999999994</v>
      </c>
      <c r="Q676" s="164">
        <v>0</v>
      </c>
      <c r="R676" s="163"/>
      <c r="S676" s="81" t="s">
        <v>346</v>
      </c>
      <c r="T676" s="82">
        <v>64</v>
      </c>
      <c r="U676" s="82">
        <v>0</v>
      </c>
      <c r="V676" s="82">
        <v>0</v>
      </c>
      <c r="W676" s="82">
        <v>0</v>
      </c>
      <c r="X676" s="81" t="s">
        <v>132</v>
      </c>
      <c r="Y676" s="82">
        <v>12</v>
      </c>
      <c r="Z676" s="81" t="s">
        <v>138</v>
      </c>
      <c r="AA676" s="81" t="s">
        <v>58</v>
      </c>
      <c r="AB676" s="81" t="s">
        <v>58</v>
      </c>
      <c r="AC676" s="83">
        <v>46114</v>
      </c>
    </row>
    <row r="677" spans="2:29" ht="23" x14ac:dyDescent="0.35">
      <c r="B677" s="81" t="s">
        <v>338</v>
      </c>
      <c r="C677" s="81" t="s">
        <v>339</v>
      </c>
      <c r="D677" s="81" t="s">
        <v>340</v>
      </c>
      <c r="E677" s="81" t="s">
        <v>359</v>
      </c>
      <c r="F677" s="162" t="s">
        <v>360</v>
      </c>
      <c r="G677" s="163"/>
      <c r="H677" s="81" t="s">
        <v>1052</v>
      </c>
      <c r="I677" s="81" t="s">
        <v>344</v>
      </c>
      <c r="J677" s="81" t="s">
        <v>11</v>
      </c>
      <c r="K677" s="81" t="s">
        <v>1094</v>
      </c>
      <c r="L677" s="81" t="s">
        <v>129</v>
      </c>
      <c r="M677" s="164">
        <v>23.5</v>
      </c>
      <c r="N677" s="165"/>
      <c r="O677" s="163"/>
      <c r="P677" s="82">
        <v>79.180000000000007</v>
      </c>
      <c r="Q677" s="164">
        <v>0</v>
      </c>
      <c r="R677" s="163"/>
      <c r="S677" s="81" t="s">
        <v>346</v>
      </c>
      <c r="T677" s="82">
        <v>64</v>
      </c>
      <c r="U677" s="82">
        <v>0</v>
      </c>
      <c r="V677" s="82">
        <v>0</v>
      </c>
      <c r="W677" s="82">
        <v>0</v>
      </c>
      <c r="X677" s="81" t="s">
        <v>132</v>
      </c>
      <c r="Y677" s="82">
        <v>8</v>
      </c>
      <c r="Z677" s="81" t="s">
        <v>138</v>
      </c>
      <c r="AA677" s="81" t="s">
        <v>58</v>
      </c>
      <c r="AB677" s="81" t="s">
        <v>58</v>
      </c>
      <c r="AC677" s="83">
        <v>46114</v>
      </c>
    </row>
    <row r="678" spans="2:29" ht="23" x14ac:dyDescent="0.35">
      <c r="B678" s="81" t="s">
        <v>338</v>
      </c>
      <c r="C678" s="81" t="s">
        <v>339</v>
      </c>
      <c r="D678" s="81" t="s">
        <v>340</v>
      </c>
      <c r="E678" s="81" t="s">
        <v>359</v>
      </c>
      <c r="F678" s="162" t="s">
        <v>360</v>
      </c>
      <c r="G678" s="163"/>
      <c r="H678" s="81" t="s">
        <v>1052</v>
      </c>
      <c r="I678" s="81" t="s">
        <v>344</v>
      </c>
      <c r="J678" s="81" t="s">
        <v>11</v>
      </c>
      <c r="K678" s="81" t="s">
        <v>1095</v>
      </c>
      <c r="L678" s="81" t="s">
        <v>129</v>
      </c>
      <c r="M678" s="164">
        <v>19.600000000000001</v>
      </c>
      <c r="N678" s="165"/>
      <c r="O678" s="163"/>
      <c r="P678" s="82">
        <v>66.040000000000006</v>
      </c>
      <c r="Q678" s="164">
        <v>0</v>
      </c>
      <c r="R678" s="163"/>
      <c r="S678" s="81" t="s">
        <v>346</v>
      </c>
      <c r="T678" s="82">
        <v>64</v>
      </c>
      <c r="U678" s="82">
        <v>0</v>
      </c>
      <c r="V678" s="82">
        <v>0</v>
      </c>
      <c r="W678" s="82">
        <v>0</v>
      </c>
      <c r="X678" s="81" t="s">
        <v>135</v>
      </c>
      <c r="Y678" s="82">
        <v>8</v>
      </c>
      <c r="Z678" s="81" t="s">
        <v>138</v>
      </c>
      <c r="AA678" s="81" t="s">
        <v>58</v>
      </c>
      <c r="AB678" s="81" t="s">
        <v>58</v>
      </c>
      <c r="AC678" s="83">
        <v>46114</v>
      </c>
    </row>
    <row r="679" spans="2:29" ht="23" x14ac:dyDescent="0.35">
      <c r="B679" s="81" t="s">
        <v>338</v>
      </c>
      <c r="C679" s="81" t="s">
        <v>339</v>
      </c>
      <c r="D679" s="81" t="s">
        <v>340</v>
      </c>
      <c r="E679" s="81" t="s">
        <v>359</v>
      </c>
      <c r="F679" s="162" t="s">
        <v>360</v>
      </c>
      <c r="G679" s="163"/>
      <c r="H679" s="81" t="s">
        <v>1052</v>
      </c>
      <c r="I679" s="81" t="s">
        <v>344</v>
      </c>
      <c r="J679" s="81" t="s">
        <v>11</v>
      </c>
      <c r="K679" s="81" t="s">
        <v>1096</v>
      </c>
      <c r="L679" s="81" t="s">
        <v>129</v>
      </c>
      <c r="M679" s="164">
        <v>23.7</v>
      </c>
      <c r="N679" s="165"/>
      <c r="O679" s="163"/>
      <c r="P679" s="82">
        <v>79.849999999999994</v>
      </c>
      <c r="Q679" s="164">
        <v>0</v>
      </c>
      <c r="R679" s="163"/>
      <c r="S679" s="81" t="s">
        <v>346</v>
      </c>
      <c r="T679" s="82">
        <v>64</v>
      </c>
      <c r="U679" s="82">
        <v>0</v>
      </c>
      <c r="V679" s="82">
        <v>0</v>
      </c>
      <c r="W679" s="82">
        <v>0</v>
      </c>
      <c r="X679" s="81" t="s">
        <v>132</v>
      </c>
      <c r="Y679" s="82">
        <v>4</v>
      </c>
      <c r="Z679" s="81" t="s">
        <v>138</v>
      </c>
      <c r="AA679" s="81" t="s">
        <v>58</v>
      </c>
      <c r="AB679" s="81" t="s">
        <v>58</v>
      </c>
      <c r="AC679" s="83">
        <v>46157</v>
      </c>
    </row>
    <row r="680" spans="2:29" ht="23" x14ac:dyDescent="0.35">
      <c r="B680" s="81" t="s">
        <v>338</v>
      </c>
      <c r="C680" s="81" t="s">
        <v>339</v>
      </c>
      <c r="D680" s="81" t="s">
        <v>340</v>
      </c>
      <c r="E680" s="81" t="s">
        <v>359</v>
      </c>
      <c r="F680" s="162" t="s">
        <v>360</v>
      </c>
      <c r="G680" s="163"/>
      <c r="H680" s="81" t="s">
        <v>1052</v>
      </c>
      <c r="I680" s="81" t="s">
        <v>344</v>
      </c>
      <c r="J680" s="81" t="s">
        <v>11</v>
      </c>
      <c r="K680" s="81" t="s">
        <v>1097</v>
      </c>
      <c r="L680" s="81" t="s">
        <v>129</v>
      </c>
      <c r="M680" s="164">
        <v>12.5</v>
      </c>
      <c r="N680" s="165"/>
      <c r="O680" s="163"/>
      <c r="P680" s="82">
        <v>42.12</v>
      </c>
      <c r="Q680" s="164">
        <v>0</v>
      </c>
      <c r="R680" s="163"/>
      <c r="S680" s="81" t="s">
        <v>346</v>
      </c>
      <c r="T680" s="82">
        <v>64</v>
      </c>
      <c r="U680" s="82">
        <v>0</v>
      </c>
      <c r="V680" s="82">
        <v>0</v>
      </c>
      <c r="W680" s="82">
        <v>0</v>
      </c>
      <c r="X680" s="81" t="s">
        <v>132</v>
      </c>
      <c r="Y680" s="82">
        <v>4</v>
      </c>
      <c r="Z680" s="81" t="s">
        <v>138</v>
      </c>
      <c r="AA680" s="81" t="s">
        <v>58</v>
      </c>
      <c r="AB680" s="81" t="s">
        <v>58</v>
      </c>
      <c r="AC680" s="83">
        <v>1</v>
      </c>
    </row>
    <row r="681" spans="2:29" ht="34.5" x14ac:dyDescent="0.35">
      <c r="B681" s="81" t="s">
        <v>338</v>
      </c>
      <c r="C681" s="81" t="s">
        <v>339</v>
      </c>
      <c r="D681" s="81" t="s">
        <v>340</v>
      </c>
      <c r="E681" s="81" t="s">
        <v>564</v>
      </c>
      <c r="F681" s="162" t="s">
        <v>565</v>
      </c>
      <c r="G681" s="163"/>
      <c r="H681" s="81" t="s">
        <v>1098</v>
      </c>
      <c r="I681" s="81" t="s">
        <v>344</v>
      </c>
      <c r="J681" s="81" t="s">
        <v>11</v>
      </c>
      <c r="K681" s="81" t="s">
        <v>1099</v>
      </c>
      <c r="L681" s="81" t="s">
        <v>129</v>
      </c>
      <c r="M681" s="164">
        <v>22.1</v>
      </c>
      <c r="N681" s="165"/>
      <c r="O681" s="163"/>
      <c r="P681" s="82">
        <v>76.959999999999994</v>
      </c>
      <c r="Q681" s="164">
        <v>0</v>
      </c>
      <c r="R681" s="163"/>
      <c r="S681" s="81" t="s">
        <v>346</v>
      </c>
      <c r="T681" s="82">
        <v>63</v>
      </c>
      <c r="U681" s="82">
        <v>0</v>
      </c>
      <c r="V681" s="82">
        <v>0</v>
      </c>
      <c r="W681" s="82">
        <v>0</v>
      </c>
      <c r="X681" s="81" t="s">
        <v>132</v>
      </c>
      <c r="Y681" s="82">
        <v>12</v>
      </c>
      <c r="Z681" s="81" t="s">
        <v>138</v>
      </c>
      <c r="AA681" s="81" t="s">
        <v>1100</v>
      </c>
      <c r="AB681" s="81" t="s">
        <v>1101</v>
      </c>
      <c r="AC681" s="83">
        <v>46115</v>
      </c>
    </row>
    <row r="682" spans="2:29" ht="34.5" x14ac:dyDescent="0.35">
      <c r="B682" s="81" t="s">
        <v>338</v>
      </c>
      <c r="C682" s="81" t="s">
        <v>339</v>
      </c>
      <c r="D682" s="81" t="s">
        <v>340</v>
      </c>
      <c r="E682" s="81" t="s">
        <v>564</v>
      </c>
      <c r="F682" s="162" t="s">
        <v>565</v>
      </c>
      <c r="G682" s="163"/>
      <c r="H682" s="81" t="s">
        <v>1098</v>
      </c>
      <c r="I682" s="81" t="s">
        <v>344</v>
      </c>
      <c r="J682" s="81" t="s">
        <v>11</v>
      </c>
      <c r="K682" s="81" t="s">
        <v>1102</v>
      </c>
      <c r="L682" s="81" t="s">
        <v>129</v>
      </c>
      <c r="M682" s="164">
        <v>24</v>
      </c>
      <c r="N682" s="165"/>
      <c r="O682" s="163"/>
      <c r="P682" s="82">
        <v>83.57</v>
      </c>
      <c r="Q682" s="164">
        <v>0</v>
      </c>
      <c r="R682" s="163"/>
      <c r="S682" s="81" t="s">
        <v>346</v>
      </c>
      <c r="T682" s="82">
        <v>63</v>
      </c>
      <c r="U682" s="82">
        <v>0</v>
      </c>
      <c r="V682" s="82">
        <v>0</v>
      </c>
      <c r="W682" s="82">
        <v>0</v>
      </c>
      <c r="X682" s="81" t="s">
        <v>132</v>
      </c>
      <c r="Y682" s="82">
        <v>20</v>
      </c>
      <c r="Z682" s="81" t="s">
        <v>138</v>
      </c>
      <c r="AA682" s="81" t="s">
        <v>1100</v>
      </c>
      <c r="AB682" s="81" t="s">
        <v>1101</v>
      </c>
      <c r="AC682" s="83">
        <v>46115</v>
      </c>
    </row>
    <row r="683" spans="2:29" ht="34.5" x14ac:dyDescent="0.35">
      <c r="B683" s="81" t="s">
        <v>338</v>
      </c>
      <c r="C683" s="81" t="s">
        <v>339</v>
      </c>
      <c r="D683" s="81" t="s">
        <v>340</v>
      </c>
      <c r="E683" s="81" t="s">
        <v>564</v>
      </c>
      <c r="F683" s="162" t="s">
        <v>565</v>
      </c>
      <c r="G683" s="163"/>
      <c r="H683" s="81" t="s">
        <v>1098</v>
      </c>
      <c r="I683" s="81" t="s">
        <v>344</v>
      </c>
      <c r="J683" s="81" t="s">
        <v>11</v>
      </c>
      <c r="K683" s="81" t="s">
        <v>1103</v>
      </c>
      <c r="L683" s="81" t="s">
        <v>129</v>
      </c>
      <c r="M683" s="164">
        <v>23.7</v>
      </c>
      <c r="N683" s="165"/>
      <c r="O683" s="163"/>
      <c r="P683" s="82">
        <v>82.53</v>
      </c>
      <c r="Q683" s="164">
        <v>0</v>
      </c>
      <c r="R683" s="163"/>
      <c r="S683" s="81" t="s">
        <v>346</v>
      </c>
      <c r="T683" s="82">
        <v>63</v>
      </c>
      <c r="U683" s="82">
        <v>0</v>
      </c>
      <c r="V683" s="82">
        <v>0</v>
      </c>
      <c r="W683" s="82">
        <v>0</v>
      </c>
      <c r="X683" s="81" t="s">
        <v>132</v>
      </c>
      <c r="Y683" s="82">
        <v>20</v>
      </c>
      <c r="Z683" s="81" t="s">
        <v>138</v>
      </c>
      <c r="AA683" s="81" t="s">
        <v>1104</v>
      </c>
      <c r="AB683" s="81" t="s">
        <v>1105</v>
      </c>
      <c r="AC683" s="83">
        <v>46115</v>
      </c>
    </row>
    <row r="684" spans="2:29" ht="34.5" x14ac:dyDescent="0.35">
      <c r="B684" s="81" t="s">
        <v>338</v>
      </c>
      <c r="C684" s="81" t="s">
        <v>339</v>
      </c>
      <c r="D684" s="81" t="s">
        <v>340</v>
      </c>
      <c r="E684" s="81" t="s">
        <v>564</v>
      </c>
      <c r="F684" s="162" t="s">
        <v>565</v>
      </c>
      <c r="G684" s="163"/>
      <c r="H684" s="81" t="s">
        <v>1098</v>
      </c>
      <c r="I684" s="81" t="s">
        <v>344</v>
      </c>
      <c r="J684" s="81" t="s">
        <v>11</v>
      </c>
      <c r="K684" s="81" t="s">
        <v>1106</v>
      </c>
      <c r="L684" s="81" t="s">
        <v>129</v>
      </c>
      <c r="M684" s="164">
        <v>23.5</v>
      </c>
      <c r="N684" s="165"/>
      <c r="O684" s="163"/>
      <c r="P684" s="82">
        <v>81.83</v>
      </c>
      <c r="Q684" s="164">
        <v>0</v>
      </c>
      <c r="R684" s="163"/>
      <c r="S684" s="81" t="s">
        <v>346</v>
      </c>
      <c r="T684" s="82">
        <v>63</v>
      </c>
      <c r="U684" s="82">
        <v>0</v>
      </c>
      <c r="V684" s="82">
        <v>0</v>
      </c>
      <c r="W684" s="82">
        <v>0</v>
      </c>
      <c r="X684" s="81" t="s">
        <v>132</v>
      </c>
      <c r="Y684" s="82">
        <v>16</v>
      </c>
      <c r="Z684" s="81" t="s">
        <v>138</v>
      </c>
      <c r="AA684" s="81" t="s">
        <v>1104</v>
      </c>
      <c r="AB684" s="81" t="s">
        <v>1105</v>
      </c>
      <c r="AC684" s="83">
        <v>46115</v>
      </c>
    </row>
    <row r="685" spans="2:29" ht="34.5" x14ac:dyDescent="0.35">
      <c r="B685" s="81" t="s">
        <v>338</v>
      </c>
      <c r="C685" s="81" t="s">
        <v>339</v>
      </c>
      <c r="D685" s="81" t="s">
        <v>340</v>
      </c>
      <c r="E685" s="81" t="s">
        <v>564</v>
      </c>
      <c r="F685" s="162" t="s">
        <v>565</v>
      </c>
      <c r="G685" s="163"/>
      <c r="H685" s="81" t="s">
        <v>1098</v>
      </c>
      <c r="I685" s="81" t="s">
        <v>344</v>
      </c>
      <c r="J685" s="81" t="s">
        <v>11</v>
      </c>
      <c r="K685" s="81" t="s">
        <v>1107</v>
      </c>
      <c r="L685" s="81" t="s">
        <v>129</v>
      </c>
      <c r="M685" s="164">
        <v>23.3</v>
      </c>
      <c r="N685" s="165"/>
      <c r="O685" s="163"/>
      <c r="P685" s="82">
        <v>81.13</v>
      </c>
      <c r="Q685" s="164">
        <v>0</v>
      </c>
      <c r="R685" s="163"/>
      <c r="S685" s="81" t="s">
        <v>346</v>
      </c>
      <c r="T685" s="82">
        <v>63</v>
      </c>
      <c r="U685" s="82">
        <v>0</v>
      </c>
      <c r="V685" s="82">
        <v>0</v>
      </c>
      <c r="W685" s="82">
        <v>0</v>
      </c>
      <c r="X685" s="81" t="s">
        <v>132</v>
      </c>
      <c r="Y685" s="82">
        <v>12</v>
      </c>
      <c r="Z685" s="81" t="s">
        <v>138</v>
      </c>
      <c r="AA685" s="81" t="s">
        <v>1104</v>
      </c>
      <c r="AB685" s="81" t="s">
        <v>1105</v>
      </c>
      <c r="AC685" s="83">
        <v>46115</v>
      </c>
    </row>
    <row r="686" spans="2:29" ht="34.5" x14ac:dyDescent="0.35">
      <c r="B686" s="81" t="s">
        <v>338</v>
      </c>
      <c r="C686" s="81" t="s">
        <v>339</v>
      </c>
      <c r="D686" s="81" t="s">
        <v>340</v>
      </c>
      <c r="E686" s="81" t="s">
        <v>564</v>
      </c>
      <c r="F686" s="162" t="s">
        <v>565</v>
      </c>
      <c r="G686" s="163"/>
      <c r="H686" s="81" t="s">
        <v>1098</v>
      </c>
      <c r="I686" s="81" t="s">
        <v>344</v>
      </c>
      <c r="J686" s="81" t="s">
        <v>11</v>
      </c>
      <c r="K686" s="81" t="s">
        <v>1108</v>
      </c>
      <c r="L686" s="81" t="s">
        <v>129</v>
      </c>
      <c r="M686" s="164">
        <v>23.8</v>
      </c>
      <c r="N686" s="165"/>
      <c r="O686" s="163"/>
      <c r="P686" s="82">
        <v>82.87</v>
      </c>
      <c r="Q686" s="164">
        <v>0</v>
      </c>
      <c r="R686" s="163"/>
      <c r="S686" s="81" t="s">
        <v>346</v>
      </c>
      <c r="T686" s="82">
        <v>63</v>
      </c>
      <c r="U686" s="82">
        <v>0</v>
      </c>
      <c r="V686" s="82">
        <v>0</v>
      </c>
      <c r="W686" s="82">
        <v>0</v>
      </c>
      <c r="X686" s="81" t="s">
        <v>132</v>
      </c>
      <c r="Y686" s="82">
        <v>4</v>
      </c>
      <c r="Z686" s="81" t="s">
        <v>138</v>
      </c>
      <c r="AA686" s="81" t="s">
        <v>1100</v>
      </c>
      <c r="AB686" s="81" t="s">
        <v>1101</v>
      </c>
      <c r="AC686" s="83">
        <v>46115</v>
      </c>
    </row>
    <row r="687" spans="2:29" ht="34.5" x14ac:dyDescent="0.35">
      <c r="B687" s="81" t="s">
        <v>338</v>
      </c>
      <c r="C687" s="81" t="s">
        <v>339</v>
      </c>
      <c r="D687" s="81" t="s">
        <v>340</v>
      </c>
      <c r="E687" s="81" t="s">
        <v>564</v>
      </c>
      <c r="F687" s="162" t="s">
        <v>565</v>
      </c>
      <c r="G687" s="163"/>
      <c r="H687" s="81" t="s">
        <v>1098</v>
      </c>
      <c r="I687" s="81" t="s">
        <v>344</v>
      </c>
      <c r="J687" s="81" t="s">
        <v>11</v>
      </c>
      <c r="K687" s="81" t="s">
        <v>1109</v>
      </c>
      <c r="L687" s="81" t="s">
        <v>129</v>
      </c>
      <c r="M687" s="164">
        <v>23.7</v>
      </c>
      <c r="N687" s="165"/>
      <c r="O687" s="163"/>
      <c r="P687" s="82">
        <v>82.53</v>
      </c>
      <c r="Q687" s="164">
        <v>0</v>
      </c>
      <c r="R687" s="163"/>
      <c r="S687" s="81" t="s">
        <v>346</v>
      </c>
      <c r="T687" s="82">
        <v>63</v>
      </c>
      <c r="U687" s="82">
        <v>0</v>
      </c>
      <c r="V687" s="82">
        <v>0</v>
      </c>
      <c r="W687" s="82">
        <v>0</v>
      </c>
      <c r="X687" s="81" t="s">
        <v>132</v>
      </c>
      <c r="Y687" s="82">
        <v>36</v>
      </c>
      <c r="Z687" s="81" t="s">
        <v>138</v>
      </c>
      <c r="AA687" s="81" t="s">
        <v>1104</v>
      </c>
      <c r="AB687" s="81" t="s">
        <v>1105</v>
      </c>
      <c r="AC687" s="83">
        <v>46115</v>
      </c>
    </row>
    <row r="688" spans="2:29" ht="34.5" x14ac:dyDescent="0.35">
      <c r="B688" s="81" t="s">
        <v>338</v>
      </c>
      <c r="C688" s="81" t="s">
        <v>339</v>
      </c>
      <c r="D688" s="81" t="s">
        <v>340</v>
      </c>
      <c r="E688" s="81" t="s">
        <v>564</v>
      </c>
      <c r="F688" s="162" t="s">
        <v>565</v>
      </c>
      <c r="G688" s="163"/>
      <c r="H688" s="81" t="s">
        <v>1098</v>
      </c>
      <c r="I688" s="81" t="s">
        <v>344</v>
      </c>
      <c r="J688" s="81" t="s">
        <v>11</v>
      </c>
      <c r="K688" s="81" t="s">
        <v>1110</v>
      </c>
      <c r="L688" s="81" t="s">
        <v>129</v>
      </c>
      <c r="M688" s="164">
        <v>23.6</v>
      </c>
      <c r="N688" s="165"/>
      <c r="O688" s="163"/>
      <c r="P688" s="82">
        <v>82.18</v>
      </c>
      <c r="Q688" s="164">
        <v>0</v>
      </c>
      <c r="R688" s="163"/>
      <c r="S688" s="81" t="s">
        <v>346</v>
      </c>
      <c r="T688" s="82">
        <v>63</v>
      </c>
      <c r="U688" s="82">
        <v>0</v>
      </c>
      <c r="V688" s="82">
        <v>0</v>
      </c>
      <c r="W688" s="82">
        <v>0</v>
      </c>
      <c r="X688" s="81" t="s">
        <v>132</v>
      </c>
      <c r="Y688" s="82">
        <v>28</v>
      </c>
      <c r="Z688" s="81" t="s">
        <v>138</v>
      </c>
      <c r="AA688" s="81" t="s">
        <v>1104</v>
      </c>
      <c r="AB688" s="81" t="s">
        <v>1105</v>
      </c>
      <c r="AC688" s="83">
        <v>46115</v>
      </c>
    </row>
    <row r="689" spans="2:29" ht="34.5" x14ac:dyDescent="0.35">
      <c r="B689" s="81" t="s">
        <v>338</v>
      </c>
      <c r="C689" s="81" t="s">
        <v>339</v>
      </c>
      <c r="D689" s="81" t="s">
        <v>340</v>
      </c>
      <c r="E689" s="81" t="s">
        <v>564</v>
      </c>
      <c r="F689" s="162" t="s">
        <v>565</v>
      </c>
      <c r="G689" s="163"/>
      <c r="H689" s="81" t="s">
        <v>1098</v>
      </c>
      <c r="I689" s="81" t="s">
        <v>344</v>
      </c>
      <c r="J689" s="81" t="s">
        <v>11</v>
      </c>
      <c r="K689" s="81" t="s">
        <v>1111</v>
      </c>
      <c r="L689" s="81" t="s">
        <v>129</v>
      </c>
      <c r="M689" s="164">
        <v>23.7</v>
      </c>
      <c r="N689" s="165"/>
      <c r="O689" s="163"/>
      <c r="P689" s="82">
        <v>82.53</v>
      </c>
      <c r="Q689" s="164">
        <v>0</v>
      </c>
      <c r="R689" s="163"/>
      <c r="S689" s="81" t="s">
        <v>346</v>
      </c>
      <c r="T689" s="82">
        <v>63</v>
      </c>
      <c r="U689" s="82">
        <v>0</v>
      </c>
      <c r="V689" s="82">
        <v>0</v>
      </c>
      <c r="W689" s="82">
        <v>0</v>
      </c>
      <c r="X689" s="81" t="s">
        <v>132</v>
      </c>
      <c r="Y689" s="82">
        <v>20</v>
      </c>
      <c r="Z689" s="81" t="s">
        <v>138</v>
      </c>
      <c r="AA689" s="81" t="s">
        <v>1104</v>
      </c>
      <c r="AB689" s="81" t="s">
        <v>1105</v>
      </c>
      <c r="AC689" s="83">
        <v>46115</v>
      </c>
    </row>
    <row r="690" spans="2:29" ht="34.5" x14ac:dyDescent="0.35">
      <c r="B690" s="81" t="s">
        <v>338</v>
      </c>
      <c r="C690" s="81" t="s">
        <v>339</v>
      </c>
      <c r="D690" s="81" t="s">
        <v>340</v>
      </c>
      <c r="E690" s="81" t="s">
        <v>564</v>
      </c>
      <c r="F690" s="162" t="s">
        <v>565</v>
      </c>
      <c r="G690" s="163"/>
      <c r="H690" s="81" t="s">
        <v>1098</v>
      </c>
      <c r="I690" s="81" t="s">
        <v>344</v>
      </c>
      <c r="J690" s="81" t="s">
        <v>11</v>
      </c>
      <c r="K690" s="81" t="s">
        <v>1112</v>
      </c>
      <c r="L690" s="81" t="s">
        <v>129</v>
      </c>
      <c r="M690" s="164">
        <v>30</v>
      </c>
      <c r="N690" s="165"/>
      <c r="O690" s="163"/>
      <c r="P690" s="82">
        <v>104.46</v>
      </c>
      <c r="Q690" s="164">
        <v>5</v>
      </c>
      <c r="R690" s="163"/>
      <c r="S690" s="81" t="s">
        <v>346</v>
      </c>
      <c r="T690" s="82">
        <v>63</v>
      </c>
      <c r="U690" s="82">
        <v>0</v>
      </c>
      <c r="V690" s="82">
        <v>0</v>
      </c>
      <c r="W690" s="82">
        <v>0</v>
      </c>
      <c r="X690" s="81" t="s">
        <v>132</v>
      </c>
      <c r="Y690" s="82">
        <v>40</v>
      </c>
      <c r="Z690" s="81" t="s">
        <v>138</v>
      </c>
      <c r="AA690" s="81" t="s">
        <v>1104</v>
      </c>
      <c r="AB690" s="81" t="s">
        <v>1105</v>
      </c>
      <c r="AC690" s="83">
        <v>46115</v>
      </c>
    </row>
    <row r="691" spans="2:29" ht="34.5" x14ac:dyDescent="0.35">
      <c r="B691" s="81" t="s">
        <v>338</v>
      </c>
      <c r="C691" s="81" t="s">
        <v>339</v>
      </c>
      <c r="D691" s="81" t="s">
        <v>340</v>
      </c>
      <c r="E691" s="81" t="s">
        <v>564</v>
      </c>
      <c r="F691" s="162" t="s">
        <v>565</v>
      </c>
      <c r="G691" s="163"/>
      <c r="H691" s="81" t="s">
        <v>1098</v>
      </c>
      <c r="I691" s="81" t="s">
        <v>344</v>
      </c>
      <c r="J691" s="81" t="s">
        <v>11</v>
      </c>
      <c r="K691" s="81" t="s">
        <v>1113</v>
      </c>
      <c r="L691" s="81" t="s">
        <v>129</v>
      </c>
      <c r="M691" s="164">
        <v>24</v>
      </c>
      <c r="N691" s="165"/>
      <c r="O691" s="163"/>
      <c r="P691" s="82">
        <v>83.57</v>
      </c>
      <c r="Q691" s="164">
        <v>0</v>
      </c>
      <c r="R691" s="163"/>
      <c r="S691" s="81" t="s">
        <v>346</v>
      </c>
      <c r="T691" s="82">
        <v>63</v>
      </c>
      <c r="U691" s="82">
        <v>0</v>
      </c>
      <c r="V691" s="82">
        <v>0</v>
      </c>
      <c r="W691" s="82">
        <v>0</v>
      </c>
      <c r="X691" s="81" t="s">
        <v>132</v>
      </c>
      <c r="Y691" s="82">
        <v>28</v>
      </c>
      <c r="Z691" s="81" t="s">
        <v>138</v>
      </c>
      <c r="AA691" s="81" t="s">
        <v>1104</v>
      </c>
      <c r="AB691" s="81" t="s">
        <v>1105</v>
      </c>
      <c r="AC691" s="83">
        <v>46115</v>
      </c>
    </row>
    <row r="692" spans="2:29" ht="34.5" x14ac:dyDescent="0.35">
      <c r="B692" s="81" t="s">
        <v>338</v>
      </c>
      <c r="C692" s="81" t="s">
        <v>339</v>
      </c>
      <c r="D692" s="81" t="s">
        <v>340</v>
      </c>
      <c r="E692" s="81" t="s">
        <v>564</v>
      </c>
      <c r="F692" s="162" t="s">
        <v>565</v>
      </c>
      <c r="G692" s="163"/>
      <c r="H692" s="81" t="s">
        <v>1098</v>
      </c>
      <c r="I692" s="81" t="s">
        <v>344</v>
      </c>
      <c r="J692" s="81" t="s">
        <v>11</v>
      </c>
      <c r="K692" s="81" t="s">
        <v>1114</v>
      </c>
      <c r="L692" s="81" t="s">
        <v>129</v>
      </c>
      <c r="M692" s="164">
        <v>24.3</v>
      </c>
      <c r="N692" s="165"/>
      <c r="O692" s="163"/>
      <c r="P692" s="82">
        <v>84.62</v>
      </c>
      <c r="Q692" s="164">
        <v>0</v>
      </c>
      <c r="R692" s="163"/>
      <c r="S692" s="81" t="s">
        <v>346</v>
      </c>
      <c r="T692" s="82">
        <v>63</v>
      </c>
      <c r="U692" s="82">
        <v>0</v>
      </c>
      <c r="V692" s="82">
        <v>0</v>
      </c>
      <c r="W692" s="82">
        <v>0</v>
      </c>
      <c r="X692" s="81" t="s">
        <v>132</v>
      </c>
      <c r="Y692" s="82">
        <v>12</v>
      </c>
      <c r="Z692" s="81" t="s">
        <v>138</v>
      </c>
      <c r="AA692" s="81" t="s">
        <v>1104</v>
      </c>
      <c r="AB692" s="81" t="s">
        <v>1105</v>
      </c>
      <c r="AC692" s="83">
        <v>46115</v>
      </c>
    </row>
    <row r="693" spans="2:29" ht="34.5" x14ac:dyDescent="0.35">
      <c r="B693" s="81" t="s">
        <v>338</v>
      </c>
      <c r="C693" s="81" t="s">
        <v>339</v>
      </c>
      <c r="D693" s="81" t="s">
        <v>340</v>
      </c>
      <c r="E693" s="81" t="s">
        <v>564</v>
      </c>
      <c r="F693" s="162" t="s">
        <v>565</v>
      </c>
      <c r="G693" s="163"/>
      <c r="H693" s="81" t="s">
        <v>1098</v>
      </c>
      <c r="I693" s="81" t="s">
        <v>344</v>
      </c>
      <c r="J693" s="81" t="s">
        <v>11</v>
      </c>
      <c r="K693" s="81" t="s">
        <v>1115</v>
      </c>
      <c r="L693" s="81" t="s">
        <v>129</v>
      </c>
      <c r="M693" s="164">
        <v>24.1</v>
      </c>
      <c r="N693" s="165"/>
      <c r="O693" s="163"/>
      <c r="P693" s="82">
        <v>83.92</v>
      </c>
      <c r="Q693" s="164">
        <v>0</v>
      </c>
      <c r="R693" s="163"/>
      <c r="S693" s="81" t="s">
        <v>346</v>
      </c>
      <c r="T693" s="82">
        <v>63</v>
      </c>
      <c r="U693" s="82">
        <v>0</v>
      </c>
      <c r="V693" s="82">
        <v>0</v>
      </c>
      <c r="W693" s="82">
        <v>0</v>
      </c>
      <c r="X693" s="81" t="s">
        <v>132</v>
      </c>
      <c r="Y693" s="82">
        <v>24</v>
      </c>
      <c r="Z693" s="81" t="s">
        <v>138</v>
      </c>
      <c r="AA693" s="81" t="s">
        <v>1104</v>
      </c>
      <c r="AB693" s="81" t="s">
        <v>1105</v>
      </c>
      <c r="AC693" s="83">
        <v>46115</v>
      </c>
    </row>
    <row r="694" spans="2:29" ht="34.5" x14ac:dyDescent="0.35">
      <c r="B694" s="81" t="s">
        <v>338</v>
      </c>
      <c r="C694" s="81" t="s">
        <v>339</v>
      </c>
      <c r="D694" s="81" t="s">
        <v>340</v>
      </c>
      <c r="E694" s="81" t="s">
        <v>564</v>
      </c>
      <c r="F694" s="162" t="s">
        <v>565</v>
      </c>
      <c r="G694" s="163"/>
      <c r="H694" s="81" t="s">
        <v>1098</v>
      </c>
      <c r="I694" s="81" t="s">
        <v>344</v>
      </c>
      <c r="J694" s="81" t="s">
        <v>11</v>
      </c>
      <c r="K694" s="81" t="s">
        <v>1116</v>
      </c>
      <c r="L694" s="81" t="s">
        <v>129</v>
      </c>
      <c r="M694" s="164">
        <v>23.9</v>
      </c>
      <c r="N694" s="165"/>
      <c r="O694" s="163"/>
      <c r="P694" s="82">
        <v>83.22</v>
      </c>
      <c r="Q694" s="164">
        <v>0</v>
      </c>
      <c r="R694" s="163"/>
      <c r="S694" s="81" t="s">
        <v>346</v>
      </c>
      <c r="T694" s="82">
        <v>63</v>
      </c>
      <c r="U694" s="82">
        <v>0</v>
      </c>
      <c r="V694" s="82">
        <v>0</v>
      </c>
      <c r="W694" s="82">
        <v>0</v>
      </c>
      <c r="X694" s="81" t="s">
        <v>132</v>
      </c>
      <c r="Y694" s="82">
        <v>28</v>
      </c>
      <c r="Z694" s="81" t="s">
        <v>138</v>
      </c>
      <c r="AA694" s="81" t="s">
        <v>1104</v>
      </c>
      <c r="AB694" s="81" t="s">
        <v>1105</v>
      </c>
      <c r="AC694" s="83">
        <v>46115</v>
      </c>
    </row>
    <row r="695" spans="2:29" ht="46" x14ac:dyDescent="0.35">
      <c r="B695" s="81" t="s">
        <v>338</v>
      </c>
      <c r="C695" s="81" t="s">
        <v>339</v>
      </c>
      <c r="D695" s="81" t="s">
        <v>340</v>
      </c>
      <c r="E695" s="81" t="s">
        <v>564</v>
      </c>
      <c r="F695" s="162" t="s">
        <v>565</v>
      </c>
      <c r="G695" s="163"/>
      <c r="H695" s="81" t="s">
        <v>1098</v>
      </c>
      <c r="I695" s="81" t="s">
        <v>344</v>
      </c>
      <c r="J695" s="81" t="s">
        <v>11</v>
      </c>
      <c r="K695" s="81" t="s">
        <v>1117</v>
      </c>
      <c r="L695" s="81" t="s">
        <v>129</v>
      </c>
      <c r="M695" s="164">
        <v>23.8</v>
      </c>
      <c r="N695" s="165"/>
      <c r="O695" s="163"/>
      <c r="P695" s="82">
        <v>82.87</v>
      </c>
      <c r="Q695" s="164">
        <v>0</v>
      </c>
      <c r="R695" s="163"/>
      <c r="S695" s="81" t="s">
        <v>346</v>
      </c>
      <c r="T695" s="82">
        <v>63</v>
      </c>
      <c r="U695" s="82">
        <v>0</v>
      </c>
      <c r="V695" s="82">
        <v>0</v>
      </c>
      <c r="W695" s="82">
        <v>0</v>
      </c>
      <c r="X695" s="81" t="s">
        <v>132</v>
      </c>
      <c r="Y695" s="82">
        <v>20</v>
      </c>
      <c r="Z695" s="81" t="s">
        <v>138</v>
      </c>
      <c r="AA695" s="81" t="s">
        <v>1118</v>
      </c>
      <c r="AB695" s="81" t="s">
        <v>1119</v>
      </c>
      <c r="AC695" s="83">
        <v>46115</v>
      </c>
    </row>
    <row r="696" spans="2:29" ht="34.5" x14ac:dyDescent="0.35">
      <c r="B696" s="81" t="s">
        <v>338</v>
      </c>
      <c r="C696" s="81" t="s">
        <v>339</v>
      </c>
      <c r="D696" s="81" t="s">
        <v>340</v>
      </c>
      <c r="E696" s="81" t="s">
        <v>564</v>
      </c>
      <c r="F696" s="162" t="s">
        <v>565</v>
      </c>
      <c r="G696" s="163"/>
      <c r="H696" s="81" t="s">
        <v>1098</v>
      </c>
      <c r="I696" s="81" t="s">
        <v>344</v>
      </c>
      <c r="J696" s="81" t="s">
        <v>11</v>
      </c>
      <c r="K696" s="81" t="s">
        <v>1120</v>
      </c>
      <c r="L696" s="81" t="s">
        <v>129</v>
      </c>
      <c r="M696" s="164">
        <v>24.1</v>
      </c>
      <c r="N696" s="165"/>
      <c r="O696" s="163"/>
      <c r="P696" s="82">
        <v>83.92</v>
      </c>
      <c r="Q696" s="164">
        <v>0</v>
      </c>
      <c r="R696" s="163"/>
      <c r="S696" s="81" t="s">
        <v>346</v>
      </c>
      <c r="T696" s="82">
        <v>63</v>
      </c>
      <c r="U696" s="82">
        <v>0</v>
      </c>
      <c r="V696" s="82">
        <v>0</v>
      </c>
      <c r="W696" s="82">
        <v>0</v>
      </c>
      <c r="X696" s="81" t="s">
        <v>132</v>
      </c>
      <c r="Y696" s="82">
        <v>28</v>
      </c>
      <c r="Z696" s="81" t="s">
        <v>138</v>
      </c>
      <c r="AA696" s="81" t="s">
        <v>1104</v>
      </c>
      <c r="AB696" s="81" t="s">
        <v>1105</v>
      </c>
      <c r="AC696" s="83">
        <v>46115</v>
      </c>
    </row>
    <row r="697" spans="2:29" ht="34.5" x14ac:dyDescent="0.35">
      <c r="B697" s="81" t="s">
        <v>338</v>
      </c>
      <c r="C697" s="81" t="s">
        <v>339</v>
      </c>
      <c r="D697" s="81" t="s">
        <v>340</v>
      </c>
      <c r="E697" s="81" t="s">
        <v>564</v>
      </c>
      <c r="F697" s="162" t="s">
        <v>565</v>
      </c>
      <c r="G697" s="163"/>
      <c r="H697" s="81" t="s">
        <v>1098</v>
      </c>
      <c r="I697" s="81" t="s">
        <v>344</v>
      </c>
      <c r="J697" s="81" t="s">
        <v>11</v>
      </c>
      <c r="K697" s="81" t="s">
        <v>1121</v>
      </c>
      <c r="L697" s="81" t="s">
        <v>129</v>
      </c>
      <c r="M697" s="164">
        <v>23.9</v>
      </c>
      <c r="N697" s="165"/>
      <c r="O697" s="163"/>
      <c r="P697" s="82">
        <v>83.22</v>
      </c>
      <c r="Q697" s="164">
        <v>0</v>
      </c>
      <c r="R697" s="163"/>
      <c r="S697" s="81" t="s">
        <v>346</v>
      </c>
      <c r="T697" s="82">
        <v>63</v>
      </c>
      <c r="U697" s="82">
        <v>0</v>
      </c>
      <c r="V697" s="82">
        <v>0</v>
      </c>
      <c r="W697" s="82">
        <v>0</v>
      </c>
      <c r="X697" s="81" t="s">
        <v>132</v>
      </c>
      <c r="Y697" s="82">
        <v>12</v>
      </c>
      <c r="Z697" s="81" t="s">
        <v>138</v>
      </c>
      <c r="AA697" s="81" t="s">
        <v>1104</v>
      </c>
      <c r="AB697" s="81" t="s">
        <v>1105</v>
      </c>
      <c r="AC697" s="83">
        <v>46115</v>
      </c>
    </row>
    <row r="698" spans="2:29" ht="34.5" x14ac:dyDescent="0.35">
      <c r="B698" s="81" t="s">
        <v>338</v>
      </c>
      <c r="C698" s="81" t="s">
        <v>339</v>
      </c>
      <c r="D698" s="81" t="s">
        <v>340</v>
      </c>
      <c r="E698" s="81" t="s">
        <v>564</v>
      </c>
      <c r="F698" s="162" t="s">
        <v>565</v>
      </c>
      <c r="G698" s="163"/>
      <c r="H698" s="81" t="s">
        <v>1098</v>
      </c>
      <c r="I698" s="81" t="s">
        <v>344</v>
      </c>
      <c r="J698" s="81" t="s">
        <v>11</v>
      </c>
      <c r="K698" s="81" t="s">
        <v>1122</v>
      </c>
      <c r="L698" s="81" t="s">
        <v>129</v>
      </c>
      <c r="M698" s="164">
        <v>11</v>
      </c>
      <c r="N698" s="165"/>
      <c r="O698" s="163"/>
      <c r="P698" s="82">
        <v>38.299999999999997</v>
      </c>
      <c r="Q698" s="164">
        <v>0</v>
      </c>
      <c r="R698" s="163"/>
      <c r="S698" s="81" t="s">
        <v>346</v>
      </c>
      <c r="T698" s="82">
        <v>63</v>
      </c>
      <c r="U698" s="82">
        <v>0</v>
      </c>
      <c r="V698" s="82">
        <v>0</v>
      </c>
      <c r="W698" s="82">
        <v>0</v>
      </c>
      <c r="X698" s="81" t="s">
        <v>132</v>
      </c>
      <c r="Y698" s="82">
        <v>12</v>
      </c>
      <c r="Z698" s="81" t="s">
        <v>138</v>
      </c>
      <c r="AA698" s="81" t="s">
        <v>1104</v>
      </c>
      <c r="AB698" s="81" t="s">
        <v>1105</v>
      </c>
      <c r="AC698" s="83">
        <v>46115</v>
      </c>
    </row>
    <row r="699" spans="2:29" ht="34.5" x14ac:dyDescent="0.35">
      <c r="B699" s="81" t="s">
        <v>338</v>
      </c>
      <c r="C699" s="81" t="s">
        <v>339</v>
      </c>
      <c r="D699" s="81" t="s">
        <v>340</v>
      </c>
      <c r="E699" s="81" t="s">
        <v>564</v>
      </c>
      <c r="F699" s="162" t="s">
        <v>565</v>
      </c>
      <c r="G699" s="163"/>
      <c r="H699" s="81" t="s">
        <v>1098</v>
      </c>
      <c r="I699" s="81" t="s">
        <v>344</v>
      </c>
      <c r="J699" s="81" t="s">
        <v>11</v>
      </c>
      <c r="K699" s="81" t="s">
        <v>1123</v>
      </c>
      <c r="L699" s="81" t="s">
        <v>129</v>
      </c>
      <c r="M699" s="164">
        <v>23.9</v>
      </c>
      <c r="N699" s="165"/>
      <c r="O699" s="163"/>
      <c r="P699" s="82">
        <v>83.22</v>
      </c>
      <c r="Q699" s="164">
        <v>0</v>
      </c>
      <c r="R699" s="163"/>
      <c r="S699" s="81" t="s">
        <v>346</v>
      </c>
      <c r="T699" s="82">
        <v>63</v>
      </c>
      <c r="U699" s="82">
        <v>0</v>
      </c>
      <c r="V699" s="82">
        <v>0</v>
      </c>
      <c r="W699" s="82">
        <v>0</v>
      </c>
      <c r="X699" s="81" t="s">
        <v>132</v>
      </c>
      <c r="Y699" s="82">
        <v>20</v>
      </c>
      <c r="Z699" s="81" t="s">
        <v>138</v>
      </c>
      <c r="AA699" s="81" t="s">
        <v>1100</v>
      </c>
      <c r="AB699" s="81" t="s">
        <v>1101</v>
      </c>
      <c r="AC699" s="83">
        <v>46115</v>
      </c>
    </row>
    <row r="700" spans="2:29" ht="34.5" x14ac:dyDescent="0.35">
      <c r="B700" s="81" t="s">
        <v>338</v>
      </c>
      <c r="C700" s="81" t="s">
        <v>339</v>
      </c>
      <c r="D700" s="81" t="s">
        <v>340</v>
      </c>
      <c r="E700" s="81" t="s">
        <v>564</v>
      </c>
      <c r="F700" s="162" t="s">
        <v>565</v>
      </c>
      <c r="G700" s="163"/>
      <c r="H700" s="81" t="s">
        <v>1098</v>
      </c>
      <c r="I700" s="81" t="s">
        <v>344</v>
      </c>
      <c r="J700" s="81" t="s">
        <v>11</v>
      </c>
      <c r="K700" s="81" t="s">
        <v>1124</v>
      </c>
      <c r="L700" s="81" t="s">
        <v>129</v>
      </c>
      <c r="M700" s="164">
        <v>24</v>
      </c>
      <c r="N700" s="165"/>
      <c r="O700" s="163"/>
      <c r="P700" s="82">
        <v>83.57</v>
      </c>
      <c r="Q700" s="164">
        <v>0</v>
      </c>
      <c r="R700" s="163"/>
      <c r="S700" s="81" t="s">
        <v>346</v>
      </c>
      <c r="T700" s="82">
        <v>63</v>
      </c>
      <c r="U700" s="82">
        <v>0</v>
      </c>
      <c r="V700" s="82">
        <v>0</v>
      </c>
      <c r="W700" s="82">
        <v>0</v>
      </c>
      <c r="X700" s="81" t="s">
        <v>132</v>
      </c>
      <c r="Y700" s="82">
        <v>32</v>
      </c>
      <c r="Z700" s="81" t="s">
        <v>138</v>
      </c>
      <c r="AA700" s="81" t="s">
        <v>1100</v>
      </c>
      <c r="AB700" s="81" t="s">
        <v>1101</v>
      </c>
      <c r="AC700" s="83">
        <v>46115</v>
      </c>
    </row>
    <row r="701" spans="2:29" ht="34.5" x14ac:dyDescent="0.35">
      <c r="B701" s="81" t="s">
        <v>338</v>
      </c>
      <c r="C701" s="81" t="s">
        <v>339</v>
      </c>
      <c r="D701" s="81" t="s">
        <v>340</v>
      </c>
      <c r="E701" s="81" t="s">
        <v>564</v>
      </c>
      <c r="F701" s="162" t="s">
        <v>565</v>
      </c>
      <c r="G701" s="163"/>
      <c r="H701" s="81" t="s">
        <v>1098</v>
      </c>
      <c r="I701" s="81" t="s">
        <v>344</v>
      </c>
      <c r="J701" s="81" t="s">
        <v>11</v>
      </c>
      <c r="K701" s="81" t="s">
        <v>1125</v>
      </c>
      <c r="L701" s="81" t="s">
        <v>129</v>
      </c>
      <c r="M701" s="164">
        <v>24</v>
      </c>
      <c r="N701" s="165"/>
      <c r="O701" s="163"/>
      <c r="P701" s="82">
        <v>83.57</v>
      </c>
      <c r="Q701" s="164">
        <v>0</v>
      </c>
      <c r="R701" s="163"/>
      <c r="S701" s="81" t="s">
        <v>346</v>
      </c>
      <c r="T701" s="82">
        <v>63</v>
      </c>
      <c r="U701" s="82">
        <v>0</v>
      </c>
      <c r="V701" s="82">
        <v>0</v>
      </c>
      <c r="W701" s="82">
        <v>0</v>
      </c>
      <c r="X701" s="81" t="s">
        <v>132</v>
      </c>
      <c r="Y701" s="82">
        <v>36</v>
      </c>
      <c r="Z701" s="81" t="s">
        <v>138</v>
      </c>
      <c r="AA701" s="81" t="s">
        <v>1104</v>
      </c>
      <c r="AB701" s="81" t="s">
        <v>1105</v>
      </c>
      <c r="AC701" s="83">
        <v>46115</v>
      </c>
    </row>
    <row r="702" spans="2:29" ht="34.5" x14ac:dyDescent="0.35">
      <c r="B702" s="81" t="s">
        <v>338</v>
      </c>
      <c r="C702" s="81" t="s">
        <v>339</v>
      </c>
      <c r="D702" s="81" t="s">
        <v>340</v>
      </c>
      <c r="E702" s="81" t="s">
        <v>564</v>
      </c>
      <c r="F702" s="162" t="s">
        <v>565</v>
      </c>
      <c r="G702" s="163"/>
      <c r="H702" s="81" t="s">
        <v>1098</v>
      </c>
      <c r="I702" s="81" t="s">
        <v>344</v>
      </c>
      <c r="J702" s="81" t="s">
        <v>11</v>
      </c>
      <c r="K702" s="81" t="s">
        <v>1126</v>
      </c>
      <c r="L702" s="81" t="s">
        <v>129</v>
      </c>
      <c r="M702" s="164">
        <v>30</v>
      </c>
      <c r="N702" s="165"/>
      <c r="O702" s="163"/>
      <c r="P702" s="82">
        <v>104.46</v>
      </c>
      <c r="Q702" s="164">
        <v>0</v>
      </c>
      <c r="R702" s="163"/>
      <c r="S702" s="81" t="s">
        <v>346</v>
      </c>
      <c r="T702" s="82">
        <v>63</v>
      </c>
      <c r="U702" s="82">
        <v>0</v>
      </c>
      <c r="V702" s="82">
        <v>0</v>
      </c>
      <c r="W702" s="82">
        <v>0</v>
      </c>
      <c r="X702" s="81" t="s">
        <v>132</v>
      </c>
      <c r="Y702" s="82">
        <v>52</v>
      </c>
      <c r="Z702" s="81" t="s">
        <v>138</v>
      </c>
      <c r="AA702" s="81" t="s">
        <v>1104</v>
      </c>
      <c r="AB702" s="81" t="s">
        <v>1105</v>
      </c>
      <c r="AC702" s="83">
        <v>46115</v>
      </c>
    </row>
    <row r="703" spans="2:29" ht="34.5" x14ac:dyDescent="0.35">
      <c r="B703" s="81" t="s">
        <v>338</v>
      </c>
      <c r="C703" s="81" t="s">
        <v>339</v>
      </c>
      <c r="D703" s="81" t="s">
        <v>340</v>
      </c>
      <c r="E703" s="81" t="s">
        <v>564</v>
      </c>
      <c r="F703" s="162" t="s">
        <v>565</v>
      </c>
      <c r="G703" s="163"/>
      <c r="H703" s="81" t="s">
        <v>1098</v>
      </c>
      <c r="I703" s="81" t="s">
        <v>344</v>
      </c>
      <c r="J703" s="81" t="s">
        <v>11</v>
      </c>
      <c r="K703" s="81" t="s">
        <v>1127</v>
      </c>
      <c r="L703" s="81" t="s">
        <v>129</v>
      </c>
      <c r="M703" s="164">
        <v>23.9</v>
      </c>
      <c r="N703" s="165"/>
      <c r="O703" s="163"/>
      <c r="P703" s="82">
        <v>83.22</v>
      </c>
      <c r="Q703" s="164">
        <v>0</v>
      </c>
      <c r="R703" s="163"/>
      <c r="S703" s="81" t="s">
        <v>346</v>
      </c>
      <c r="T703" s="82">
        <v>63</v>
      </c>
      <c r="U703" s="82">
        <v>0</v>
      </c>
      <c r="V703" s="82">
        <v>0</v>
      </c>
      <c r="W703" s="82">
        <v>0</v>
      </c>
      <c r="X703" s="81" t="s">
        <v>132</v>
      </c>
      <c r="Y703" s="82">
        <v>36</v>
      </c>
      <c r="Z703" s="81" t="s">
        <v>138</v>
      </c>
      <c r="AA703" s="81" t="s">
        <v>1104</v>
      </c>
      <c r="AB703" s="81" t="s">
        <v>1105</v>
      </c>
      <c r="AC703" s="83">
        <v>46115</v>
      </c>
    </row>
    <row r="704" spans="2:29" ht="34.5" x14ac:dyDescent="0.35">
      <c r="B704" s="81" t="s">
        <v>338</v>
      </c>
      <c r="C704" s="81" t="s">
        <v>339</v>
      </c>
      <c r="D704" s="81" t="s">
        <v>340</v>
      </c>
      <c r="E704" s="81" t="s">
        <v>564</v>
      </c>
      <c r="F704" s="162" t="s">
        <v>565</v>
      </c>
      <c r="G704" s="163"/>
      <c r="H704" s="81" t="s">
        <v>1098</v>
      </c>
      <c r="I704" s="81" t="s">
        <v>344</v>
      </c>
      <c r="J704" s="81" t="s">
        <v>11</v>
      </c>
      <c r="K704" s="81" t="s">
        <v>1128</v>
      </c>
      <c r="L704" s="81" t="s">
        <v>129</v>
      </c>
      <c r="M704" s="164">
        <v>23.8</v>
      </c>
      <c r="N704" s="165"/>
      <c r="O704" s="163"/>
      <c r="P704" s="82">
        <v>82.87</v>
      </c>
      <c r="Q704" s="164">
        <v>0</v>
      </c>
      <c r="R704" s="163"/>
      <c r="S704" s="81" t="s">
        <v>346</v>
      </c>
      <c r="T704" s="82">
        <v>63</v>
      </c>
      <c r="U704" s="82">
        <v>0</v>
      </c>
      <c r="V704" s="82">
        <v>0</v>
      </c>
      <c r="W704" s="82">
        <v>0</v>
      </c>
      <c r="X704" s="81" t="s">
        <v>132</v>
      </c>
      <c r="Y704" s="82">
        <v>4</v>
      </c>
      <c r="Z704" s="81" t="s">
        <v>138</v>
      </c>
      <c r="AA704" s="81" t="s">
        <v>1104</v>
      </c>
      <c r="AB704" s="81" t="s">
        <v>1105</v>
      </c>
      <c r="AC704" s="83">
        <v>46115</v>
      </c>
    </row>
    <row r="705" spans="2:29" ht="34.5" x14ac:dyDescent="0.35">
      <c r="B705" s="81" t="s">
        <v>338</v>
      </c>
      <c r="C705" s="81" t="s">
        <v>339</v>
      </c>
      <c r="D705" s="81" t="s">
        <v>340</v>
      </c>
      <c r="E705" s="81" t="s">
        <v>564</v>
      </c>
      <c r="F705" s="162" t="s">
        <v>565</v>
      </c>
      <c r="G705" s="163"/>
      <c r="H705" s="81" t="s">
        <v>1098</v>
      </c>
      <c r="I705" s="81" t="s">
        <v>344</v>
      </c>
      <c r="J705" s="81" t="s">
        <v>11</v>
      </c>
      <c r="K705" s="81" t="s">
        <v>1129</v>
      </c>
      <c r="L705" s="81" t="s">
        <v>129</v>
      </c>
      <c r="M705" s="164">
        <v>24</v>
      </c>
      <c r="N705" s="165"/>
      <c r="O705" s="163"/>
      <c r="P705" s="82">
        <v>83.57</v>
      </c>
      <c r="Q705" s="164">
        <v>0</v>
      </c>
      <c r="R705" s="163"/>
      <c r="S705" s="81" t="s">
        <v>346</v>
      </c>
      <c r="T705" s="82">
        <v>63</v>
      </c>
      <c r="U705" s="82">
        <v>0</v>
      </c>
      <c r="V705" s="82">
        <v>0</v>
      </c>
      <c r="W705" s="82">
        <v>0</v>
      </c>
      <c r="X705" s="81" t="s">
        <v>132</v>
      </c>
      <c r="Y705" s="82">
        <v>28</v>
      </c>
      <c r="Z705" s="81" t="s">
        <v>138</v>
      </c>
      <c r="AA705" s="81" t="s">
        <v>1100</v>
      </c>
      <c r="AB705" s="81" t="s">
        <v>1101</v>
      </c>
      <c r="AC705" s="83">
        <v>46115</v>
      </c>
    </row>
    <row r="706" spans="2:29" ht="34.5" x14ac:dyDescent="0.35">
      <c r="B706" s="81" t="s">
        <v>338</v>
      </c>
      <c r="C706" s="81" t="s">
        <v>339</v>
      </c>
      <c r="D706" s="81" t="s">
        <v>340</v>
      </c>
      <c r="E706" s="81" t="s">
        <v>564</v>
      </c>
      <c r="F706" s="162" t="s">
        <v>565</v>
      </c>
      <c r="G706" s="163"/>
      <c r="H706" s="81" t="s">
        <v>1098</v>
      </c>
      <c r="I706" s="81" t="s">
        <v>344</v>
      </c>
      <c r="J706" s="81" t="s">
        <v>11</v>
      </c>
      <c r="K706" s="81" t="s">
        <v>1130</v>
      </c>
      <c r="L706" s="81" t="s">
        <v>129</v>
      </c>
      <c r="M706" s="164">
        <v>23.9</v>
      </c>
      <c r="N706" s="165"/>
      <c r="O706" s="163"/>
      <c r="P706" s="82">
        <v>83.22</v>
      </c>
      <c r="Q706" s="164">
        <v>0</v>
      </c>
      <c r="R706" s="163"/>
      <c r="S706" s="81" t="s">
        <v>346</v>
      </c>
      <c r="T706" s="82">
        <v>63</v>
      </c>
      <c r="U706" s="82">
        <v>0</v>
      </c>
      <c r="V706" s="82">
        <v>0</v>
      </c>
      <c r="W706" s="82">
        <v>0</v>
      </c>
      <c r="X706" s="81" t="s">
        <v>132</v>
      </c>
      <c r="Y706" s="82">
        <v>16</v>
      </c>
      <c r="Z706" s="81" t="s">
        <v>138</v>
      </c>
      <c r="AA706" s="81" t="s">
        <v>1100</v>
      </c>
      <c r="AB706" s="81" t="s">
        <v>1101</v>
      </c>
      <c r="AC706" s="83">
        <v>46115</v>
      </c>
    </row>
    <row r="707" spans="2:29" ht="34.5" x14ac:dyDescent="0.35">
      <c r="B707" s="81" t="s">
        <v>338</v>
      </c>
      <c r="C707" s="81" t="s">
        <v>339</v>
      </c>
      <c r="D707" s="81" t="s">
        <v>340</v>
      </c>
      <c r="E707" s="81" t="s">
        <v>564</v>
      </c>
      <c r="F707" s="162" t="s">
        <v>565</v>
      </c>
      <c r="G707" s="163"/>
      <c r="H707" s="81" t="s">
        <v>1098</v>
      </c>
      <c r="I707" s="81" t="s">
        <v>344</v>
      </c>
      <c r="J707" s="81" t="s">
        <v>11</v>
      </c>
      <c r="K707" s="81" t="s">
        <v>1131</v>
      </c>
      <c r="L707" s="81" t="s">
        <v>129</v>
      </c>
      <c r="M707" s="164">
        <v>24.1</v>
      </c>
      <c r="N707" s="165"/>
      <c r="O707" s="163"/>
      <c r="P707" s="82">
        <v>83.92</v>
      </c>
      <c r="Q707" s="164">
        <v>0</v>
      </c>
      <c r="R707" s="163"/>
      <c r="S707" s="81" t="s">
        <v>346</v>
      </c>
      <c r="T707" s="82">
        <v>63</v>
      </c>
      <c r="U707" s="82">
        <v>0</v>
      </c>
      <c r="V707" s="82">
        <v>0</v>
      </c>
      <c r="W707" s="82">
        <v>0</v>
      </c>
      <c r="X707" s="81" t="s">
        <v>132</v>
      </c>
      <c r="Y707" s="82">
        <v>20</v>
      </c>
      <c r="Z707" s="81" t="s">
        <v>138</v>
      </c>
      <c r="AA707" s="81" t="s">
        <v>1100</v>
      </c>
      <c r="AB707" s="81" t="s">
        <v>1101</v>
      </c>
      <c r="AC707" s="83">
        <v>46115</v>
      </c>
    </row>
    <row r="708" spans="2:29" ht="34.5" x14ac:dyDescent="0.35">
      <c r="B708" s="81" t="s">
        <v>338</v>
      </c>
      <c r="C708" s="81" t="s">
        <v>339</v>
      </c>
      <c r="D708" s="81" t="s">
        <v>340</v>
      </c>
      <c r="E708" s="81" t="s">
        <v>564</v>
      </c>
      <c r="F708" s="162" t="s">
        <v>565</v>
      </c>
      <c r="G708" s="163"/>
      <c r="H708" s="81" t="s">
        <v>1098</v>
      </c>
      <c r="I708" s="81" t="s">
        <v>344</v>
      </c>
      <c r="J708" s="81" t="s">
        <v>11</v>
      </c>
      <c r="K708" s="81" t="s">
        <v>1132</v>
      </c>
      <c r="L708" s="81" t="s">
        <v>129</v>
      </c>
      <c r="M708" s="164">
        <v>24</v>
      </c>
      <c r="N708" s="165"/>
      <c r="O708" s="163"/>
      <c r="P708" s="82">
        <v>83.57</v>
      </c>
      <c r="Q708" s="164">
        <v>0</v>
      </c>
      <c r="R708" s="163"/>
      <c r="S708" s="81" t="s">
        <v>346</v>
      </c>
      <c r="T708" s="82">
        <v>63</v>
      </c>
      <c r="U708" s="82">
        <v>0</v>
      </c>
      <c r="V708" s="82">
        <v>0</v>
      </c>
      <c r="W708" s="82">
        <v>0</v>
      </c>
      <c r="X708" s="81" t="s">
        <v>132</v>
      </c>
      <c r="Y708" s="82">
        <v>24</v>
      </c>
      <c r="Z708" s="81" t="s">
        <v>138</v>
      </c>
      <c r="AA708" s="81" t="s">
        <v>1100</v>
      </c>
      <c r="AB708" s="81" t="s">
        <v>1101</v>
      </c>
      <c r="AC708" s="83">
        <v>46115</v>
      </c>
    </row>
    <row r="709" spans="2:29" ht="34.5" x14ac:dyDescent="0.35">
      <c r="B709" s="81" t="s">
        <v>338</v>
      </c>
      <c r="C709" s="81" t="s">
        <v>339</v>
      </c>
      <c r="D709" s="81" t="s">
        <v>340</v>
      </c>
      <c r="E709" s="81" t="s">
        <v>564</v>
      </c>
      <c r="F709" s="162" t="s">
        <v>565</v>
      </c>
      <c r="G709" s="163"/>
      <c r="H709" s="81" t="s">
        <v>1098</v>
      </c>
      <c r="I709" s="81" t="s">
        <v>344</v>
      </c>
      <c r="J709" s="81" t="s">
        <v>11</v>
      </c>
      <c r="K709" s="81" t="s">
        <v>1133</v>
      </c>
      <c r="L709" s="81" t="s">
        <v>129</v>
      </c>
      <c r="M709" s="164">
        <v>23.8</v>
      </c>
      <c r="N709" s="165"/>
      <c r="O709" s="163"/>
      <c r="P709" s="82">
        <v>82.87</v>
      </c>
      <c r="Q709" s="164">
        <v>0</v>
      </c>
      <c r="R709" s="163"/>
      <c r="S709" s="81" t="s">
        <v>346</v>
      </c>
      <c r="T709" s="82">
        <v>63</v>
      </c>
      <c r="U709" s="82">
        <v>0</v>
      </c>
      <c r="V709" s="82">
        <v>0</v>
      </c>
      <c r="W709" s="82">
        <v>0</v>
      </c>
      <c r="X709" s="81" t="s">
        <v>132</v>
      </c>
      <c r="Y709" s="82">
        <v>20</v>
      </c>
      <c r="Z709" s="81" t="s">
        <v>138</v>
      </c>
      <c r="AA709" s="81" t="s">
        <v>1104</v>
      </c>
      <c r="AB709" s="81" t="s">
        <v>1105</v>
      </c>
      <c r="AC709" s="83">
        <v>46115</v>
      </c>
    </row>
    <row r="710" spans="2:29" ht="34.5" x14ac:dyDescent="0.35">
      <c r="B710" s="81" t="s">
        <v>338</v>
      </c>
      <c r="C710" s="81" t="s">
        <v>339</v>
      </c>
      <c r="D710" s="81" t="s">
        <v>340</v>
      </c>
      <c r="E710" s="81" t="s">
        <v>564</v>
      </c>
      <c r="F710" s="162" t="s">
        <v>565</v>
      </c>
      <c r="G710" s="163"/>
      <c r="H710" s="81" t="s">
        <v>1098</v>
      </c>
      <c r="I710" s="81" t="s">
        <v>344</v>
      </c>
      <c r="J710" s="81" t="s">
        <v>11</v>
      </c>
      <c r="K710" s="81" t="s">
        <v>1134</v>
      </c>
      <c r="L710" s="81" t="s">
        <v>129</v>
      </c>
      <c r="M710" s="164">
        <v>23.9</v>
      </c>
      <c r="N710" s="165"/>
      <c r="O710" s="163"/>
      <c r="P710" s="82">
        <v>83.22</v>
      </c>
      <c r="Q710" s="164">
        <v>0</v>
      </c>
      <c r="R710" s="163"/>
      <c r="S710" s="81" t="s">
        <v>346</v>
      </c>
      <c r="T710" s="82">
        <v>63</v>
      </c>
      <c r="U710" s="82">
        <v>0</v>
      </c>
      <c r="V710" s="82">
        <v>0</v>
      </c>
      <c r="W710" s="82">
        <v>0</v>
      </c>
      <c r="X710" s="81" t="s">
        <v>132</v>
      </c>
      <c r="Y710" s="82">
        <v>32</v>
      </c>
      <c r="Z710" s="81" t="s">
        <v>138</v>
      </c>
      <c r="AA710" s="81" t="s">
        <v>1104</v>
      </c>
      <c r="AB710" s="81" t="s">
        <v>1105</v>
      </c>
      <c r="AC710" s="83">
        <v>46115</v>
      </c>
    </row>
    <row r="711" spans="2:29" ht="34.5" x14ac:dyDescent="0.35">
      <c r="B711" s="81" t="s">
        <v>338</v>
      </c>
      <c r="C711" s="81" t="s">
        <v>339</v>
      </c>
      <c r="D711" s="81" t="s">
        <v>340</v>
      </c>
      <c r="E711" s="81" t="s">
        <v>564</v>
      </c>
      <c r="F711" s="162" t="s">
        <v>565</v>
      </c>
      <c r="G711" s="163"/>
      <c r="H711" s="81" t="s">
        <v>1098</v>
      </c>
      <c r="I711" s="81" t="s">
        <v>344</v>
      </c>
      <c r="J711" s="81" t="s">
        <v>11</v>
      </c>
      <c r="K711" s="81" t="s">
        <v>1135</v>
      </c>
      <c r="L711" s="81" t="s">
        <v>11</v>
      </c>
      <c r="M711" s="164">
        <v>23.8</v>
      </c>
      <c r="N711" s="165"/>
      <c r="O711" s="163"/>
      <c r="P711" s="82">
        <v>82.87</v>
      </c>
      <c r="Q711" s="164">
        <v>0</v>
      </c>
      <c r="R711" s="163"/>
      <c r="S711" s="81" t="s">
        <v>346</v>
      </c>
      <c r="T711" s="82">
        <v>63</v>
      </c>
      <c r="U711" s="82">
        <v>0</v>
      </c>
      <c r="V711" s="82">
        <v>0</v>
      </c>
      <c r="W711" s="82">
        <v>0</v>
      </c>
      <c r="X711" s="81" t="s">
        <v>132</v>
      </c>
      <c r="Y711" s="82">
        <v>52</v>
      </c>
      <c r="Z711" s="81" t="s">
        <v>138</v>
      </c>
      <c r="AA711" s="81" t="s">
        <v>1104</v>
      </c>
      <c r="AB711" s="81" t="s">
        <v>1105</v>
      </c>
      <c r="AC711" s="83">
        <v>46115</v>
      </c>
    </row>
    <row r="712" spans="2:29" ht="34.5" x14ac:dyDescent="0.35">
      <c r="B712" s="81" t="s">
        <v>338</v>
      </c>
      <c r="C712" s="81" t="s">
        <v>339</v>
      </c>
      <c r="D712" s="81" t="s">
        <v>340</v>
      </c>
      <c r="E712" s="81" t="s">
        <v>564</v>
      </c>
      <c r="F712" s="162" t="s">
        <v>565</v>
      </c>
      <c r="G712" s="163"/>
      <c r="H712" s="81" t="s">
        <v>1098</v>
      </c>
      <c r="I712" s="81" t="s">
        <v>344</v>
      </c>
      <c r="J712" s="81" t="s">
        <v>11</v>
      </c>
      <c r="K712" s="81" t="s">
        <v>1136</v>
      </c>
      <c r="L712" s="81" t="s">
        <v>11</v>
      </c>
      <c r="M712" s="164">
        <v>23.7</v>
      </c>
      <c r="N712" s="165"/>
      <c r="O712" s="163"/>
      <c r="P712" s="82">
        <v>82.53</v>
      </c>
      <c r="Q712" s="164">
        <v>0</v>
      </c>
      <c r="R712" s="163"/>
      <c r="S712" s="81" t="s">
        <v>346</v>
      </c>
      <c r="T712" s="82">
        <v>63</v>
      </c>
      <c r="U712" s="82">
        <v>0</v>
      </c>
      <c r="V712" s="82">
        <v>0</v>
      </c>
      <c r="W712" s="82">
        <v>0</v>
      </c>
      <c r="X712" s="81" t="s">
        <v>132</v>
      </c>
      <c r="Y712" s="82">
        <v>44</v>
      </c>
      <c r="Z712" s="81" t="s">
        <v>138</v>
      </c>
      <c r="AA712" s="81" t="s">
        <v>1104</v>
      </c>
      <c r="AB712" s="81" t="s">
        <v>1105</v>
      </c>
      <c r="AC712" s="83">
        <v>46115</v>
      </c>
    </row>
    <row r="713" spans="2:29" ht="34.5" x14ac:dyDescent="0.35">
      <c r="B713" s="81" t="s">
        <v>338</v>
      </c>
      <c r="C713" s="81" t="s">
        <v>339</v>
      </c>
      <c r="D713" s="81" t="s">
        <v>340</v>
      </c>
      <c r="E713" s="81" t="s">
        <v>564</v>
      </c>
      <c r="F713" s="162" t="s">
        <v>565</v>
      </c>
      <c r="G713" s="163"/>
      <c r="H713" s="81" t="s">
        <v>1098</v>
      </c>
      <c r="I713" s="81" t="s">
        <v>344</v>
      </c>
      <c r="J713" s="81" t="s">
        <v>11</v>
      </c>
      <c r="K713" s="81" t="s">
        <v>1137</v>
      </c>
      <c r="L713" s="81" t="s">
        <v>129</v>
      </c>
      <c r="M713" s="164">
        <v>29.4</v>
      </c>
      <c r="N713" s="165"/>
      <c r="O713" s="163"/>
      <c r="P713" s="82">
        <v>102.38</v>
      </c>
      <c r="Q713" s="164">
        <v>0</v>
      </c>
      <c r="R713" s="163"/>
      <c r="S713" s="81" t="s">
        <v>346</v>
      </c>
      <c r="T713" s="82">
        <v>63</v>
      </c>
      <c r="U713" s="82">
        <v>0</v>
      </c>
      <c r="V713" s="82">
        <v>0</v>
      </c>
      <c r="W713" s="82">
        <v>0</v>
      </c>
      <c r="X713" s="81" t="s">
        <v>132</v>
      </c>
      <c r="Y713" s="82">
        <v>28</v>
      </c>
      <c r="Z713" s="81" t="s">
        <v>138</v>
      </c>
      <c r="AA713" s="81" t="s">
        <v>1104</v>
      </c>
      <c r="AB713" s="81" t="s">
        <v>1105</v>
      </c>
      <c r="AC713" s="83">
        <v>46115</v>
      </c>
    </row>
    <row r="714" spans="2:29" ht="34.5" x14ac:dyDescent="0.35">
      <c r="B714" s="81" t="s">
        <v>338</v>
      </c>
      <c r="C714" s="81" t="s">
        <v>339</v>
      </c>
      <c r="D714" s="81" t="s">
        <v>340</v>
      </c>
      <c r="E714" s="81" t="s">
        <v>564</v>
      </c>
      <c r="F714" s="162" t="s">
        <v>565</v>
      </c>
      <c r="G714" s="163"/>
      <c r="H714" s="81" t="s">
        <v>1098</v>
      </c>
      <c r="I714" s="81" t="s">
        <v>344</v>
      </c>
      <c r="J714" s="81" t="s">
        <v>11</v>
      </c>
      <c r="K714" s="81" t="s">
        <v>1138</v>
      </c>
      <c r="L714" s="81" t="s">
        <v>129</v>
      </c>
      <c r="M714" s="164">
        <v>23.1</v>
      </c>
      <c r="N714" s="165"/>
      <c r="O714" s="163"/>
      <c r="P714" s="82">
        <v>80.44</v>
      </c>
      <c r="Q714" s="164">
        <v>0</v>
      </c>
      <c r="R714" s="163"/>
      <c r="S714" s="81" t="s">
        <v>346</v>
      </c>
      <c r="T714" s="82">
        <v>63</v>
      </c>
      <c r="U714" s="82">
        <v>0</v>
      </c>
      <c r="V714" s="82">
        <v>0</v>
      </c>
      <c r="W714" s="82">
        <v>0</v>
      </c>
      <c r="X714" s="81" t="s">
        <v>132</v>
      </c>
      <c r="Y714" s="82">
        <v>12</v>
      </c>
      <c r="Z714" s="81" t="s">
        <v>138</v>
      </c>
      <c r="AA714" s="81" t="s">
        <v>1104</v>
      </c>
      <c r="AB714" s="81" t="s">
        <v>1105</v>
      </c>
      <c r="AC714" s="83">
        <v>46115</v>
      </c>
    </row>
    <row r="715" spans="2:29" ht="46" x14ac:dyDescent="0.35">
      <c r="B715" s="81" t="s">
        <v>338</v>
      </c>
      <c r="C715" s="81" t="s">
        <v>339</v>
      </c>
      <c r="D715" s="81" t="s">
        <v>340</v>
      </c>
      <c r="E715" s="81" t="s">
        <v>564</v>
      </c>
      <c r="F715" s="162" t="s">
        <v>565</v>
      </c>
      <c r="G715" s="163"/>
      <c r="H715" s="81" t="s">
        <v>1098</v>
      </c>
      <c r="I715" s="81" t="s">
        <v>344</v>
      </c>
      <c r="J715" s="81" t="s">
        <v>11</v>
      </c>
      <c r="K715" s="81" t="s">
        <v>1139</v>
      </c>
      <c r="L715" s="81" t="s">
        <v>129</v>
      </c>
      <c r="M715" s="164">
        <v>14.7</v>
      </c>
      <c r="N715" s="165"/>
      <c r="O715" s="163"/>
      <c r="P715" s="82">
        <v>51.19</v>
      </c>
      <c r="Q715" s="164">
        <v>0</v>
      </c>
      <c r="R715" s="163"/>
      <c r="S715" s="81" t="s">
        <v>346</v>
      </c>
      <c r="T715" s="82">
        <v>63</v>
      </c>
      <c r="U715" s="82">
        <v>0</v>
      </c>
      <c r="V715" s="82">
        <v>0</v>
      </c>
      <c r="W715" s="82">
        <v>0</v>
      </c>
      <c r="X715" s="81" t="s">
        <v>132</v>
      </c>
      <c r="Y715" s="82">
        <v>12</v>
      </c>
      <c r="Z715" s="81" t="s">
        <v>138</v>
      </c>
      <c r="AA715" s="81" t="s">
        <v>1140</v>
      </c>
      <c r="AB715" s="81" t="s">
        <v>1141</v>
      </c>
      <c r="AC715" s="83">
        <v>46115</v>
      </c>
    </row>
    <row r="716" spans="2:29" ht="34.5" x14ac:dyDescent="0.35">
      <c r="B716" s="81" t="s">
        <v>338</v>
      </c>
      <c r="C716" s="81" t="s">
        <v>339</v>
      </c>
      <c r="D716" s="81" t="s">
        <v>340</v>
      </c>
      <c r="E716" s="81" t="s">
        <v>564</v>
      </c>
      <c r="F716" s="162" t="s">
        <v>565</v>
      </c>
      <c r="G716" s="163"/>
      <c r="H716" s="81" t="s">
        <v>1098</v>
      </c>
      <c r="I716" s="81" t="s">
        <v>344</v>
      </c>
      <c r="J716" s="81" t="s">
        <v>11</v>
      </c>
      <c r="K716" s="81" t="s">
        <v>1142</v>
      </c>
      <c r="L716" s="81" t="s">
        <v>129</v>
      </c>
      <c r="M716" s="164">
        <v>9.1999999999999993</v>
      </c>
      <c r="N716" s="165"/>
      <c r="O716" s="163"/>
      <c r="P716" s="82">
        <v>32.04</v>
      </c>
      <c r="Q716" s="164">
        <v>0</v>
      </c>
      <c r="R716" s="163"/>
      <c r="S716" s="81" t="s">
        <v>346</v>
      </c>
      <c r="T716" s="82">
        <v>63</v>
      </c>
      <c r="U716" s="82">
        <v>0</v>
      </c>
      <c r="V716" s="82">
        <v>0</v>
      </c>
      <c r="W716" s="82">
        <v>0</v>
      </c>
      <c r="X716" s="81" t="s">
        <v>132</v>
      </c>
      <c r="Y716" s="82">
        <v>12</v>
      </c>
      <c r="Z716" s="81" t="s">
        <v>138</v>
      </c>
      <c r="AA716" s="81" t="s">
        <v>1100</v>
      </c>
      <c r="AB716" s="81" t="s">
        <v>1101</v>
      </c>
      <c r="AC716" s="83">
        <v>46115</v>
      </c>
    </row>
    <row r="717" spans="2:29" ht="34.5" x14ac:dyDescent="0.35">
      <c r="B717" s="81" t="s">
        <v>338</v>
      </c>
      <c r="C717" s="81" t="s">
        <v>339</v>
      </c>
      <c r="D717" s="81" t="s">
        <v>340</v>
      </c>
      <c r="E717" s="81" t="s">
        <v>564</v>
      </c>
      <c r="F717" s="162" t="s">
        <v>565</v>
      </c>
      <c r="G717" s="163"/>
      <c r="H717" s="81" t="s">
        <v>1098</v>
      </c>
      <c r="I717" s="81" t="s">
        <v>344</v>
      </c>
      <c r="J717" s="81" t="s">
        <v>11</v>
      </c>
      <c r="K717" s="81" t="s">
        <v>1143</v>
      </c>
      <c r="L717" s="81" t="s">
        <v>129</v>
      </c>
      <c r="M717" s="164">
        <v>24.1</v>
      </c>
      <c r="N717" s="165"/>
      <c r="O717" s="163"/>
      <c r="P717" s="82">
        <v>83.92</v>
      </c>
      <c r="Q717" s="164">
        <v>0</v>
      </c>
      <c r="R717" s="163"/>
      <c r="S717" s="81" t="s">
        <v>346</v>
      </c>
      <c r="T717" s="82">
        <v>63</v>
      </c>
      <c r="U717" s="82">
        <v>0</v>
      </c>
      <c r="V717" s="82">
        <v>0</v>
      </c>
      <c r="W717" s="82">
        <v>0</v>
      </c>
      <c r="X717" s="81" t="s">
        <v>132</v>
      </c>
      <c r="Y717" s="82">
        <v>16</v>
      </c>
      <c r="Z717" s="81" t="s">
        <v>138</v>
      </c>
      <c r="AA717" s="81" t="s">
        <v>1104</v>
      </c>
      <c r="AB717" s="81" t="s">
        <v>1105</v>
      </c>
      <c r="AC717" s="83">
        <v>46115</v>
      </c>
    </row>
    <row r="718" spans="2:29" ht="34.5" x14ac:dyDescent="0.35">
      <c r="B718" s="81" t="s">
        <v>338</v>
      </c>
      <c r="C718" s="81" t="s">
        <v>339</v>
      </c>
      <c r="D718" s="81" t="s">
        <v>340</v>
      </c>
      <c r="E718" s="81" t="s">
        <v>564</v>
      </c>
      <c r="F718" s="162" t="s">
        <v>565</v>
      </c>
      <c r="G718" s="163"/>
      <c r="H718" s="81" t="s">
        <v>1098</v>
      </c>
      <c r="I718" s="81" t="s">
        <v>344</v>
      </c>
      <c r="J718" s="81" t="s">
        <v>11</v>
      </c>
      <c r="K718" s="81" t="s">
        <v>1144</v>
      </c>
      <c r="L718" s="81" t="s">
        <v>129</v>
      </c>
      <c r="M718" s="164">
        <v>23.8</v>
      </c>
      <c r="N718" s="165"/>
      <c r="O718" s="163"/>
      <c r="P718" s="82">
        <v>82.87</v>
      </c>
      <c r="Q718" s="164">
        <v>0</v>
      </c>
      <c r="R718" s="163"/>
      <c r="S718" s="81" t="s">
        <v>346</v>
      </c>
      <c r="T718" s="82">
        <v>63</v>
      </c>
      <c r="U718" s="82">
        <v>0</v>
      </c>
      <c r="V718" s="82">
        <v>0</v>
      </c>
      <c r="W718" s="82">
        <v>0</v>
      </c>
      <c r="X718" s="81" t="s">
        <v>132</v>
      </c>
      <c r="Y718" s="82">
        <v>8</v>
      </c>
      <c r="Z718" s="81" t="s">
        <v>138</v>
      </c>
      <c r="AA718" s="81" t="s">
        <v>1104</v>
      </c>
      <c r="AB718" s="81" t="s">
        <v>1105</v>
      </c>
      <c r="AC718" s="83">
        <v>46115</v>
      </c>
    </row>
    <row r="719" spans="2:29" ht="34.5" x14ac:dyDescent="0.35">
      <c r="B719" s="81" t="s">
        <v>338</v>
      </c>
      <c r="C719" s="81" t="s">
        <v>339</v>
      </c>
      <c r="D719" s="81" t="s">
        <v>340</v>
      </c>
      <c r="E719" s="81" t="s">
        <v>564</v>
      </c>
      <c r="F719" s="162" t="s">
        <v>565</v>
      </c>
      <c r="G719" s="163"/>
      <c r="H719" s="81" t="s">
        <v>1098</v>
      </c>
      <c r="I719" s="81" t="s">
        <v>344</v>
      </c>
      <c r="J719" s="81" t="s">
        <v>11</v>
      </c>
      <c r="K719" s="81" t="s">
        <v>1145</v>
      </c>
      <c r="L719" s="81" t="s">
        <v>129</v>
      </c>
      <c r="M719" s="164">
        <v>23.8</v>
      </c>
      <c r="N719" s="165"/>
      <c r="O719" s="163"/>
      <c r="P719" s="82">
        <v>82.87</v>
      </c>
      <c r="Q719" s="164">
        <v>0</v>
      </c>
      <c r="R719" s="163"/>
      <c r="S719" s="81" t="s">
        <v>346</v>
      </c>
      <c r="T719" s="82">
        <v>63</v>
      </c>
      <c r="U719" s="82">
        <v>0</v>
      </c>
      <c r="V719" s="82">
        <v>0</v>
      </c>
      <c r="W719" s="82">
        <v>0</v>
      </c>
      <c r="X719" s="81" t="s">
        <v>132</v>
      </c>
      <c r="Y719" s="82">
        <v>12</v>
      </c>
      <c r="Z719" s="81" t="s">
        <v>138</v>
      </c>
      <c r="AA719" s="81" t="s">
        <v>1104</v>
      </c>
      <c r="AB719" s="81" t="s">
        <v>1105</v>
      </c>
      <c r="AC719" s="83">
        <v>46115</v>
      </c>
    </row>
    <row r="720" spans="2:29" ht="34.5" x14ac:dyDescent="0.35">
      <c r="B720" s="81" t="s">
        <v>338</v>
      </c>
      <c r="C720" s="81" t="s">
        <v>339</v>
      </c>
      <c r="D720" s="81" t="s">
        <v>340</v>
      </c>
      <c r="E720" s="81" t="s">
        <v>564</v>
      </c>
      <c r="F720" s="162" t="s">
        <v>565</v>
      </c>
      <c r="G720" s="163"/>
      <c r="H720" s="81" t="s">
        <v>1098</v>
      </c>
      <c r="I720" s="81" t="s">
        <v>344</v>
      </c>
      <c r="J720" s="81" t="s">
        <v>11</v>
      </c>
      <c r="K720" s="81" t="s">
        <v>1146</v>
      </c>
      <c r="L720" s="81" t="s">
        <v>11</v>
      </c>
      <c r="M720" s="164">
        <v>29.9</v>
      </c>
      <c r="N720" s="165"/>
      <c r="O720" s="163"/>
      <c r="P720" s="82">
        <v>104.12</v>
      </c>
      <c r="Q720" s="164">
        <v>0</v>
      </c>
      <c r="R720" s="163"/>
      <c r="S720" s="81" t="s">
        <v>346</v>
      </c>
      <c r="T720" s="82">
        <v>63</v>
      </c>
      <c r="U720" s="82">
        <v>0</v>
      </c>
      <c r="V720" s="82">
        <v>0</v>
      </c>
      <c r="W720" s="82">
        <v>0</v>
      </c>
      <c r="X720" s="81" t="s">
        <v>132</v>
      </c>
      <c r="Y720" s="82">
        <v>56</v>
      </c>
      <c r="Z720" s="81" t="s">
        <v>138</v>
      </c>
      <c r="AA720" s="81" t="s">
        <v>1104</v>
      </c>
      <c r="AB720" s="81" t="s">
        <v>1105</v>
      </c>
      <c r="AC720" s="83">
        <v>46115</v>
      </c>
    </row>
    <row r="721" spans="2:29" ht="34.5" x14ac:dyDescent="0.35">
      <c r="B721" s="81" t="s">
        <v>338</v>
      </c>
      <c r="C721" s="81" t="s">
        <v>339</v>
      </c>
      <c r="D721" s="81" t="s">
        <v>340</v>
      </c>
      <c r="E721" s="81" t="s">
        <v>564</v>
      </c>
      <c r="F721" s="162" t="s">
        <v>565</v>
      </c>
      <c r="G721" s="163"/>
      <c r="H721" s="81" t="s">
        <v>1098</v>
      </c>
      <c r="I721" s="81" t="s">
        <v>344</v>
      </c>
      <c r="J721" s="81" t="s">
        <v>11</v>
      </c>
      <c r="K721" s="81" t="s">
        <v>1147</v>
      </c>
      <c r="L721" s="81" t="s">
        <v>129</v>
      </c>
      <c r="M721" s="164">
        <v>23.9</v>
      </c>
      <c r="N721" s="165"/>
      <c r="O721" s="163"/>
      <c r="P721" s="82">
        <v>83.22</v>
      </c>
      <c r="Q721" s="164">
        <v>0</v>
      </c>
      <c r="R721" s="163"/>
      <c r="S721" s="81" t="s">
        <v>346</v>
      </c>
      <c r="T721" s="82">
        <v>63</v>
      </c>
      <c r="U721" s="82">
        <v>0</v>
      </c>
      <c r="V721" s="82">
        <v>0</v>
      </c>
      <c r="W721" s="82">
        <v>0</v>
      </c>
      <c r="X721" s="81" t="s">
        <v>132</v>
      </c>
      <c r="Y721" s="82">
        <v>24</v>
      </c>
      <c r="Z721" s="81" t="s">
        <v>138</v>
      </c>
      <c r="AA721" s="81" t="s">
        <v>1104</v>
      </c>
      <c r="AB721" s="81" t="s">
        <v>1105</v>
      </c>
      <c r="AC721" s="83">
        <v>46115</v>
      </c>
    </row>
    <row r="722" spans="2:29" ht="34.5" x14ac:dyDescent="0.35">
      <c r="B722" s="81" t="s">
        <v>338</v>
      </c>
      <c r="C722" s="81" t="s">
        <v>339</v>
      </c>
      <c r="D722" s="81" t="s">
        <v>340</v>
      </c>
      <c r="E722" s="81" t="s">
        <v>564</v>
      </c>
      <c r="F722" s="162" t="s">
        <v>565</v>
      </c>
      <c r="G722" s="163"/>
      <c r="H722" s="81" t="s">
        <v>1098</v>
      </c>
      <c r="I722" s="81" t="s">
        <v>344</v>
      </c>
      <c r="J722" s="81" t="s">
        <v>11</v>
      </c>
      <c r="K722" s="81" t="s">
        <v>1148</v>
      </c>
      <c r="L722" s="81" t="s">
        <v>129</v>
      </c>
      <c r="M722" s="164">
        <v>23.9</v>
      </c>
      <c r="N722" s="165"/>
      <c r="O722" s="163"/>
      <c r="P722" s="82">
        <v>83.22</v>
      </c>
      <c r="Q722" s="164">
        <v>0</v>
      </c>
      <c r="R722" s="163"/>
      <c r="S722" s="81" t="s">
        <v>346</v>
      </c>
      <c r="T722" s="82">
        <v>63</v>
      </c>
      <c r="U722" s="82">
        <v>0</v>
      </c>
      <c r="V722" s="82">
        <v>0</v>
      </c>
      <c r="W722" s="82">
        <v>0</v>
      </c>
      <c r="X722" s="81" t="s">
        <v>132</v>
      </c>
      <c r="Y722" s="82">
        <v>16</v>
      </c>
      <c r="Z722" s="81" t="s">
        <v>138</v>
      </c>
      <c r="AA722" s="81" t="s">
        <v>1104</v>
      </c>
      <c r="AB722" s="81" t="s">
        <v>1105</v>
      </c>
      <c r="AC722" s="83">
        <v>46115</v>
      </c>
    </row>
    <row r="723" spans="2:29" ht="34.5" x14ac:dyDescent="0.35">
      <c r="B723" s="81" t="s">
        <v>338</v>
      </c>
      <c r="C723" s="81" t="s">
        <v>339</v>
      </c>
      <c r="D723" s="81" t="s">
        <v>340</v>
      </c>
      <c r="E723" s="81" t="s">
        <v>564</v>
      </c>
      <c r="F723" s="162" t="s">
        <v>565</v>
      </c>
      <c r="G723" s="163"/>
      <c r="H723" s="81" t="s">
        <v>1098</v>
      </c>
      <c r="I723" s="81" t="s">
        <v>344</v>
      </c>
      <c r="J723" s="81" t="s">
        <v>11</v>
      </c>
      <c r="K723" s="81" t="s">
        <v>1149</v>
      </c>
      <c r="L723" s="81" t="s">
        <v>11</v>
      </c>
      <c r="M723" s="164">
        <v>24</v>
      </c>
      <c r="N723" s="165"/>
      <c r="O723" s="163"/>
      <c r="P723" s="82">
        <v>83.57</v>
      </c>
      <c r="Q723" s="164">
        <v>0</v>
      </c>
      <c r="R723" s="163"/>
      <c r="S723" s="81" t="s">
        <v>346</v>
      </c>
      <c r="T723" s="82">
        <v>63</v>
      </c>
      <c r="U723" s="82">
        <v>0</v>
      </c>
      <c r="V723" s="82">
        <v>0</v>
      </c>
      <c r="W723" s="82">
        <v>0</v>
      </c>
      <c r="X723" s="81" t="s">
        <v>132</v>
      </c>
      <c r="Y723" s="82">
        <v>40</v>
      </c>
      <c r="Z723" s="81" t="s">
        <v>138</v>
      </c>
      <c r="AA723" s="81" t="s">
        <v>1104</v>
      </c>
      <c r="AB723" s="81" t="s">
        <v>1105</v>
      </c>
      <c r="AC723" s="83">
        <v>46115</v>
      </c>
    </row>
    <row r="724" spans="2:29" ht="34.5" x14ac:dyDescent="0.35">
      <c r="B724" s="81" t="s">
        <v>338</v>
      </c>
      <c r="C724" s="81" t="s">
        <v>339</v>
      </c>
      <c r="D724" s="81" t="s">
        <v>340</v>
      </c>
      <c r="E724" s="81" t="s">
        <v>564</v>
      </c>
      <c r="F724" s="162" t="s">
        <v>565</v>
      </c>
      <c r="G724" s="163"/>
      <c r="H724" s="81" t="s">
        <v>1098</v>
      </c>
      <c r="I724" s="81" t="s">
        <v>344</v>
      </c>
      <c r="J724" s="81" t="s">
        <v>11</v>
      </c>
      <c r="K724" s="81" t="s">
        <v>1150</v>
      </c>
      <c r="L724" s="81" t="s">
        <v>11</v>
      </c>
      <c r="M724" s="164">
        <v>21.2</v>
      </c>
      <c r="N724" s="165"/>
      <c r="O724" s="163"/>
      <c r="P724" s="82">
        <v>73.819999999999993</v>
      </c>
      <c r="Q724" s="164">
        <v>0</v>
      </c>
      <c r="R724" s="163"/>
      <c r="S724" s="81" t="s">
        <v>346</v>
      </c>
      <c r="T724" s="82">
        <v>63</v>
      </c>
      <c r="U724" s="82">
        <v>0</v>
      </c>
      <c r="V724" s="82">
        <v>0</v>
      </c>
      <c r="W724" s="82">
        <v>0</v>
      </c>
      <c r="X724" s="81" t="s">
        <v>132</v>
      </c>
      <c r="Y724" s="82">
        <v>36</v>
      </c>
      <c r="Z724" s="81" t="s">
        <v>138</v>
      </c>
      <c r="AA724" s="81" t="s">
        <v>1104</v>
      </c>
      <c r="AB724" s="81" t="s">
        <v>1105</v>
      </c>
      <c r="AC724" s="83">
        <v>46115</v>
      </c>
    </row>
    <row r="725" spans="2:29" ht="23" x14ac:dyDescent="0.35">
      <c r="B725" s="81" t="s">
        <v>338</v>
      </c>
      <c r="C725" s="81" t="s">
        <v>339</v>
      </c>
      <c r="D725" s="81" t="s">
        <v>340</v>
      </c>
      <c r="E725" s="81" t="s">
        <v>771</v>
      </c>
      <c r="F725" s="162" t="s">
        <v>772</v>
      </c>
      <c r="G725" s="163"/>
      <c r="H725" s="81" t="s">
        <v>1151</v>
      </c>
      <c r="I725" s="81" t="s">
        <v>344</v>
      </c>
      <c r="J725" s="81" t="s">
        <v>11</v>
      </c>
      <c r="K725" s="81" t="s">
        <v>1152</v>
      </c>
      <c r="L725" s="81" t="s">
        <v>129</v>
      </c>
      <c r="M725" s="164">
        <v>23.3</v>
      </c>
      <c r="N725" s="165"/>
      <c r="O725" s="163"/>
      <c r="P725" s="82">
        <v>79.83</v>
      </c>
      <c r="Q725" s="164">
        <v>0</v>
      </c>
      <c r="R725" s="163"/>
      <c r="S725" s="81" t="s">
        <v>346</v>
      </c>
      <c r="T725" s="82">
        <v>65</v>
      </c>
      <c r="U725" s="82">
        <v>0</v>
      </c>
      <c r="V725" s="82">
        <v>0</v>
      </c>
      <c r="W725" s="82">
        <v>0</v>
      </c>
      <c r="X725" s="81" t="s">
        <v>143</v>
      </c>
      <c r="Y725" s="82">
        <v>4</v>
      </c>
      <c r="Z725" s="81" t="s">
        <v>138</v>
      </c>
      <c r="AA725" s="81" t="s">
        <v>58</v>
      </c>
      <c r="AB725" s="81" t="s">
        <v>58</v>
      </c>
      <c r="AC725" s="83">
        <v>46125</v>
      </c>
    </row>
    <row r="726" spans="2:29" ht="23" x14ac:dyDescent="0.35">
      <c r="B726" s="81" t="s">
        <v>338</v>
      </c>
      <c r="C726" s="81" t="s">
        <v>339</v>
      </c>
      <c r="D726" s="81" t="s">
        <v>340</v>
      </c>
      <c r="E726" s="81" t="s">
        <v>771</v>
      </c>
      <c r="F726" s="162" t="s">
        <v>772</v>
      </c>
      <c r="G726" s="163"/>
      <c r="H726" s="81" t="s">
        <v>1151</v>
      </c>
      <c r="I726" s="81" t="s">
        <v>344</v>
      </c>
      <c r="J726" s="81" t="s">
        <v>11</v>
      </c>
      <c r="K726" s="81" t="s">
        <v>1153</v>
      </c>
      <c r="L726" s="81" t="s">
        <v>129</v>
      </c>
      <c r="M726" s="164">
        <v>22.4</v>
      </c>
      <c r="N726" s="165"/>
      <c r="O726" s="163"/>
      <c r="P726" s="82">
        <v>76.75</v>
      </c>
      <c r="Q726" s="164">
        <v>0</v>
      </c>
      <c r="R726" s="163"/>
      <c r="S726" s="81" t="s">
        <v>346</v>
      </c>
      <c r="T726" s="82">
        <v>65</v>
      </c>
      <c r="U726" s="82">
        <v>0</v>
      </c>
      <c r="V726" s="82">
        <v>0</v>
      </c>
      <c r="W726" s="82">
        <v>0</v>
      </c>
      <c r="X726" s="81" t="s">
        <v>143</v>
      </c>
      <c r="Y726" s="82">
        <v>12</v>
      </c>
      <c r="Z726" s="81" t="s">
        <v>138</v>
      </c>
      <c r="AA726" s="81" t="s">
        <v>58</v>
      </c>
      <c r="AB726" s="81" t="s">
        <v>58</v>
      </c>
      <c r="AC726" s="83">
        <v>46125</v>
      </c>
    </row>
    <row r="727" spans="2:29" ht="23" x14ac:dyDescent="0.35">
      <c r="B727" s="81" t="s">
        <v>338</v>
      </c>
      <c r="C727" s="81" t="s">
        <v>339</v>
      </c>
      <c r="D727" s="81" t="s">
        <v>340</v>
      </c>
      <c r="E727" s="81" t="s">
        <v>771</v>
      </c>
      <c r="F727" s="162" t="s">
        <v>772</v>
      </c>
      <c r="G727" s="163"/>
      <c r="H727" s="81" t="s">
        <v>1151</v>
      </c>
      <c r="I727" s="81" t="s">
        <v>344</v>
      </c>
      <c r="J727" s="81" t="s">
        <v>11</v>
      </c>
      <c r="K727" s="81" t="s">
        <v>1154</v>
      </c>
      <c r="L727" s="81" t="s">
        <v>129</v>
      </c>
      <c r="M727" s="164">
        <v>23.4</v>
      </c>
      <c r="N727" s="165"/>
      <c r="O727" s="163"/>
      <c r="P727" s="82">
        <v>80.17</v>
      </c>
      <c r="Q727" s="164">
        <v>0</v>
      </c>
      <c r="R727" s="163"/>
      <c r="S727" s="81" t="s">
        <v>346</v>
      </c>
      <c r="T727" s="82">
        <v>65</v>
      </c>
      <c r="U727" s="82">
        <v>0</v>
      </c>
      <c r="V727" s="82">
        <v>0</v>
      </c>
      <c r="W727" s="82">
        <v>0</v>
      </c>
      <c r="X727" s="81" t="s">
        <v>133</v>
      </c>
      <c r="Y727" s="82">
        <v>2</v>
      </c>
      <c r="Z727" s="81" t="s">
        <v>138</v>
      </c>
      <c r="AA727" s="81" t="s">
        <v>58</v>
      </c>
      <c r="AB727" s="81" t="s">
        <v>58</v>
      </c>
      <c r="AC727" s="83">
        <v>46125</v>
      </c>
    </row>
    <row r="728" spans="2:29" ht="23" x14ac:dyDescent="0.35">
      <c r="B728" s="81" t="s">
        <v>338</v>
      </c>
      <c r="C728" s="81" t="s">
        <v>339</v>
      </c>
      <c r="D728" s="81" t="s">
        <v>340</v>
      </c>
      <c r="E728" s="81" t="s">
        <v>771</v>
      </c>
      <c r="F728" s="162" t="s">
        <v>772</v>
      </c>
      <c r="G728" s="163"/>
      <c r="H728" s="81" t="s">
        <v>1151</v>
      </c>
      <c r="I728" s="81" t="s">
        <v>344</v>
      </c>
      <c r="J728" s="81" t="s">
        <v>11</v>
      </c>
      <c r="K728" s="81" t="s">
        <v>1155</v>
      </c>
      <c r="L728" s="81" t="s">
        <v>129</v>
      </c>
      <c r="M728" s="164">
        <v>22.8</v>
      </c>
      <c r="N728" s="165"/>
      <c r="O728" s="163"/>
      <c r="P728" s="82">
        <v>78.12</v>
      </c>
      <c r="Q728" s="164">
        <v>0</v>
      </c>
      <c r="R728" s="163"/>
      <c r="S728" s="81" t="s">
        <v>346</v>
      </c>
      <c r="T728" s="82">
        <v>65</v>
      </c>
      <c r="U728" s="82">
        <v>0</v>
      </c>
      <c r="V728" s="82">
        <v>0</v>
      </c>
      <c r="W728" s="82">
        <v>0</v>
      </c>
      <c r="X728" s="81"/>
      <c r="Y728" s="81"/>
      <c r="Z728" s="81" t="s">
        <v>138</v>
      </c>
      <c r="AA728" s="81" t="s">
        <v>58</v>
      </c>
      <c r="AB728" s="81" t="s">
        <v>58</v>
      </c>
      <c r="AC728" s="83">
        <v>46125</v>
      </c>
    </row>
    <row r="729" spans="2:29" ht="23" x14ac:dyDescent="0.35">
      <c r="B729" s="81" t="s">
        <v>338</v>
      </c>
      <c r="C729" s="81" t="s">
        <v>339</v>
      </c>
      <c r="D729" s="81" t="s">
        <v>340</v>
      </c>
      <c r="E729" s="81" t="s">
        <v>771</v>
      </c>
      <c r="F729" s="162" t="s">
        <v>772</v>
      </c>
      <c r="G729" s="163"/>
      <c r="H729" s="81" t="s">
        <v>1151</v>
      </c>
      <c r="I729" s="81" t="s">
        <v>344</v>
      </c>
      <c r="J729" s="81" t="s">
        <v>11</v>
      </c>
      <c r="K729" s="81" t="s">
        <v>1156</v>
      </c>
      <c r="L729" s="81" t="s">
        <v>129</v>
      </c>
      <c r="M729" s="164">
        <v>22.4</v>
      </c>
      <c r="N729" s="165"/>
      <c r="O729" s="163"/>
      <c r="P729" s="82">
        <v>76.75</v>
      </c>
      <c r="Q729" s="164">
        <v>0</v>
      </c>
      <c r="R729" s="163"/>
      <c r="S729" s="81" t="s">
        <v>346</v>
      </c>
      <c r="T729" s="82">
        <v>65</v>
      </c>
      <c r="U729" s="82">
        <v>0</v>
      </c>
      <c r="V729" s="82">
        <v>0</v>
      </c>
      <c r="W729" s="82">
        <v>0</v>
      </c>
      <c r="X729" s="81"/>
      <c r="Y729" s="81"/>
      <c r="Z729" s="81" t="s">
        <v>138</v>
      </c>
      <c r="AA729" s="81" t="s">
        <v>58</v>
      </c>
      <c r="AB729" s="81" t="s">
        <v>58</v>
      </c>
      <c r="AC729" s="83">
        <v>46125</v>
      </c>
    </row>
    <row r="730" spans="2:29" ht="23" x14ac:dyDescent="0.35">
      <c r="B730" s="81" t="s">
        <v>338</v>
      </c>
      <c r="C730" s="81" t="s">
        <v>339</v>
      </c>
      <c r="D730" s="81" t="s">
        <v>340</v>
      </c>
      <c r="E730" s="81" t="s">
        <v>771</v>
      </c>
      <c r="F730" s="162" t="s">
        <v>772</v>
      </c>
      <c r="G730" s="163"/>
      <c r="H730" s="81" t="s">
        <v>1151</v>
      </c>
      <c r="I730" s="81" t="s">
        <v>344</v>
      </c>
      <c r="J730" s="81" t="s">
        <v>11</v>
      </c>
      <c r="K730" s="81" t="s">
        <v>1157</v>
      </c>
      <c r="L730" s="81" t="s">
        <v>129</v>
      </c>
      <c r="M730" s="164">
        <v>21</v>
      </c>
      <c r="N730" s="165"/>
      <c r="O730" s="163"/>
      <c r="P730" s="82">
        <v>71.95</v>
      </c>
      <c r="Q730" s="164">
        <v>0</v>
      </c>
      <c r="R730" s="163"/>
      <c r="S730" s="81" t="s">
        <v>346</v>
      </c>
      <c r="T730" s="82">
        <v>65</v>
      </c>
      <c r="U730" s="82">
        <v>0</v>
      </c>
      <c r="V730" s="82">
        <v>0</v>
      </c>
      <c r="W730" s="82">
        <v>0</v>
      </c>
      <c r="X730" s="81" t="s">
        <v>143</v>
      </c>
      <c r="Y730" s="82">
        <v>8</v>
      </c>
      <c r="Z730" s="81" t="s">
        <v>138</v>
      </c>
      <c r="AA730" s="81" t="s">
        <v>58</v>
      </c>
      <c r="AB730" s="81" t="s">
        <v>58</v>
      </c>
      <c r="AC730" s="83">
        <v>46125</v>
      </c>
    </row>
    <row r="731" spans="2:29" ht="23" x14ac:dyDescent="0.35">
      <c r="B731" s="81" t="s">
        <v>338</v>
      </c>
      <c r="C731" s="81" t="s">
        <v>339</v>
      </c>
      <c r="D731" s="81" t="s">
        <v>340</v>
      </c>
      <c r="E731" s="81" t="s">
        <v>771</v>
      </c>
      <c r="F731" s="162" t="s">
        <v>772</v>
      </c>
      <c r="G731" s="163"/>
      <c r="H731" s="81" t="s">
        <v>1151</v>
      </c>
      <c r="I731" s="81" t="s">
        <v>344</v>
      </c>
      <c r="J731" s="81" t="s">
        <v>11</v>
      </c>
      <c r="K731" s="81" t="s">
        <v>1158</v>
      </c>
      <c r="L731" s="81" t="s">
        <v>129</v>
      </c>
      <c r="M731" s="164">
        <v>22.6</v>
      </c>
      <c r="N731" s="165"/>
      <c r="O731" s="163"/>
      <c r="P731" s="82">
        <v>77.430000000000007</v>
      </c>
      <c r="Q731" s="164">
        <v>0</v>
      </c>
      <c r="R731" s="163"/>
      <c r="S731" s="81" t="s">
        <v>346</v>
      </c>
      <c r="T731" s="82">
        <v>65</v>
      </c>
      <c r="U731" s="82">
        <v>0</v>
      </c>
      <c r="V731" s="82">
        <v>0</v>
      </c>
      <c r="W731" s="82">
        <v>0</v>
      </c>
      <c r="X731" s="81" t="s">
        <v>143</v>
      </c>
      <c r="Y731" s="82">
        <v>8</v>
      </c>
      <c r="Z731" s="81" t="s">
        <v>138</v>
      </c>
      <c r="AA731" s="81" t="s">
        <v>58</v>
      </c>
      <c r="AB731" s="81" t="s">
        <v>58</v>
      </c>
      <c r="AC731" s="83">
        <v>46125</v>
      </c>
    </row>
    <row r="732" spans="2:29" ht="23" x14ac:dyDescent="0.35">
      <c r="B732" s="81" t="s">
        <v>338</v>
      </c>
      <c r="C732" s="81" t="s">
        <v>339</v>
      </c>
      <c r="D732" s="81" t="s">
        <v>340</v>
      </c>
      <c r="E732" s="81" t="s">
        <v>771</v>
      </c>
      <c r="F732" s="162" t="s">
        <v>772</v>
      </c>
      <c r="G732" s="163"/>
      <c r="H732" s="81" t="s">
        <v>1151</v>
      </c>
      <c r="I732" s="81" t="s">
        <v>344</v>
      </c>
      <c r="J732" s="81" t="s">
        <v>11</v>
      </c>
      <c r="K732" s="81" t="s">
        <v>1159</v>
      </c>
      <c r="L732" s="81" t="s">
        <v>129</v>
      </c>
      <c r="M732" s="164">
        <v>22.4</v>
      </c>
      <c r="N732" s="165"/>
      <c r="O732" s="163"/>
      <c r="P732" s="82">
        <v>76.75</v>
      </c>
      <c r="Q732" s="164">
        <v>0</v>
      </c>
      <c r="R732" s="163"/>
      <c r="S732" s="81" t="s">
        <v>346</v>
      </c>
      <c r="T732" s="82">
        <v>65</v>
      </c>
      <c r="U732" s="82">
        <v>0</v>
      </c>
      <c r="V732" s="82">
        <v>0</v>
      </c>
      <c r="W732" s="82">
        <v>0</v>
      </c>
      <c r="X732" s="81" t="s">
        <v>143</v>
      </c>
      <c r="Y732" s="82">
        <v>6</v>
      </c>
      <c r="Z732" s="81" t="s">
        <v>138</v>
      </c>
      <c r="AA732" s="81" t="s">
        <v>58</v>
      </c>
      <c r="AB732" s="81" t="s">
        <v>58</v>
      </c>
      <c r="AC732" s="83">
        <v>46125</v>
      </c>
    </row>
    <row r="733" spans="2:29" ht="23" x14ac:dyDescent="0.35">
      <c r="B733" s="81" t="s">
        <v>338</v>
      </c>
      <c r="C733" s="81" t="s">
        <v>339</v>
      </c>
      <c r="D733" s="81" t="s">
        <v>340</v>
      </c>
      <c r="E733" s="81" t="s">
        <v>771</v>
      </c>
      <c r="F733" s="162" t="s">
        <v>772</v>
      </c>
      <c r="G733" s="163"/>
      <c r="H733" s="81" t="s">
        <v>1151</v>
      </c>
      <c r="I733" s="81" t="s">
        <v>344</v>
      </c>
      <c r="J733" s="81" t="s">
        <v>11</v>
      </c>
      <c r="K733" s="81" t="s">
        <v>1160</v>
      </c>
      <c r="L733" s="81" t="s">
        <v>129</v>
      </c>
      <c r="M733" s="164">
        <v>22.5</v>
      </c>
      <c r="N733" s="165"/>
      <c r="O733" s="163"/>
      <c r="P733" s="82">
        <v>77.09</v>
      </c>
      <c r="Q733" s="164">
        <v>0</v>
      </c>
      <c r="R733" s="163"/>
      <c r="S733" s="81" t="s">
        <v>346</v>
      </c>
      <c r="T733" s="82">
        <v>65</v>
      </c>
      <c r="U733" s="82">
        <v>0</v>
      </c>
      <c r="V733" s="82">
        <v>0</v>
      </c>
      <c r="W733" s="82">
        <v>0</v>
      </c>
      <c r="X733" s="81" t="s">
        <v>133</v>
      </c>
      <c r="Y733" s="82">
        <v>2</v>
      </c>
      <c r="Z733" s="81" t="s">
        <v>138</v>
      </c>
      <c r="AA733" s="81" t="s">
        <v>58</v>
      </c>
      <c r="AB733" s="81" t="s">
        <v>58</v>
      </c>
      <c r="AC733" s="83">
        <v>46125</v>
      </c>
    </row>
    <row r="734" spans="2:29" ht="23" x14ac:dyDescent="0.35">
      <c r="B734" s="81" t="s">
        <v>338</v>
      </c>
      <c r="C734" s="81" t="s">
        <v>339</v>
      </c>
      <c r="D734" s="81" t="s">
        <v>340</v>
      </c>
      <c r="E734" s="81" t="s">
        <v>771</v>
      </c>
      <c r="F734" s="162" t="s">
        <v>772</v>
      </c>
      <c r="G734" s="163"/>
      <c r="H734" s="81" t="s">
        <v>1151</v>
      </c>
      <c r="I734" s="81" t="s">
        <v>344</v>
      </c>
      <c r="J734" s="81" t="s">
        <v>11</v>
      </c>
      <c r="K734" s="81" t="s">
        <v>1161</v>
      </c>
      <c r="L734" s="81" t="s">
        <v>129</v>
      </c>
      <c r="M734" s="164">
        <v>23</v>
      </c>
      <c r="N734" s="165"/>
      <c r="O734" s="163"/>
      <c r="P734" s="82">
        <v>78.8</v>
      </c>
      <c r="Q734" s="164">
        <v>0</v>
      </c>
      <c r="R734" s="163"/>
      <c r="S734" s="81" t="s">
        <v>346</v>
      </c>
      <c r="T734" s="82">
        <v>65</v>
      </c>
      <c r="U734" s="82">
        <v>0</v>
      </c>
      <c r="V734" s="82">
        <v>0</v>
      </c>
      <c r="W734" s="82">
        <v>0</v>
      </c>
      <c r="X734" s="81" t="s">
        <v>143</v>
      </c>
      <c r="Y734" s="82">
        <v>4</v>
      </c>
      <c r="Z734" s="81" t="s">
        <v>138</v>
      </c>
      <c r="AA734" s="81" t="s">
        <v>58</v>
      </c>
      <c r="AB734" s="81" t="s">
        <v>58</v>
      </c>
      <c r="AC734" s="83">
        <v>46125</v>
      </c>
    </row>
    <row r="735" spans="2:29" ht="23" x14ac:dyDescent="0.35">
      <c r="B735" s="81" t="s">
        <v>338</v>
      </c>
      <c r="C735" s="81" t="s">
        <v>339</v>
      </c>
      <c r="D735" s="81" t="s">
        <v>340</v>
      </c>
      <c r="E735" s="81" t="s">
        <v>771</v>
      </c>
      <c r="F735" s="162" t="s">
        <v>772</v>
      </c>
      <c r="G735" s="163"/>
      <c r="H735" s="81" t="s">
        <v>1151</v>
      </c>
      <c r="I735" s="81" t="s">
        <v>344</v>
      </c>
      <c r="J735" s="81" t="s">
        <v>11</v>
      </c>
      <c r="K735" s="81" t="s">
        <v>1162</v>
      </c>
      <c r="L735" s="81" t="s">
        <v>129</v>
      </c>
      <c r="M735" s="164">
        <v>22.9</v>
      </c>
      <c r="N735" s="165"/>
      <c r="O735" s="163"/>
      <c r="P735" s="82">
        <v>78.459999999999994</v>
      </c>
      <c r="Q735" s="164">
        <v>0</v>
      </c>
      <c r="R735" s="163"/>
      <c r="S735" s="81" t="s">
        <v>346</v>
      </c>
      <c r="T735" s="82">
        <v>65</v>
      </c>
      <c r="U735" s="82">
        <v>0</v>
      </c>
      <c r="V735" s="82">
        <v>0</v>
      </c>
      <c r="W735" s="82">
        <v>0</v>
      </c>
      <c r="X735" s="81"/>
      <c r="Y735" s="81"/>
      <c r="Z735" s="81" t="s">
        <v>138</v>
      </c>
      <c r="AA735" s="81" t="s">
        <v>58</v>
      </c>
      <c r="AB735" s="81" t="s">
        <v>58</v>
      </c>
      <c r="AC735" s="83">
        <v>46125</v>
      </c>
    </row>
    <row r="736" spans="2:29" ht="23" x14ac:dyDescent="0.35">
      <c r="B736" s="81" t="s">
        <v>338</v>
      </c>
      <c r="C736" s="81" t="s">
        <v>339</v>
      </c>
      <c r="D736" s="81" t="s">
        <v>340</v>
      </c>
      <c r="E736" s="81" t="s">
        <v>771</v>
      </c>
      <c r="F736" s="162" t="s">
        <v>772</v>
      </c>
      <c r="G736" s="163"/>
      <c r="H736" s="81" t="s">
        <v>1151</v>
      </c>
      <c r="I736" s="81" t="s">
        <v>344</v>
      </c>
      <c r="J736" s="81" t="s">
        <v>11</v>
      </c>
      <c r="K736" s="81" t="s">
        <v>1163</v>
      </c>
      <c r="L736" s="81" t="s">
        <v>129</v>
      </c>
      <c r="M736" s="164">
        <v>7.3</v>
      </c>
      <c r="N736" s="165"/>
      <c r="O736" s="163"/>
      <c r="P736" s="82">
        <v>25.01</v>
      </c>
      <c r="Q736" s="164">
        <v>0</v>
      </c>
      <c r="R736" s="163"/>
      <c r="S736" s="81" t="s">
        <v>346</v>
      </c>
      <c r="T736" s="82">
        <v>65</v>
      </c>
      <c r="U736" s="82">
        <v>0</v>
      </c>
      <c r="V736" s="82">
        <v>0</v>
      </c>
      <c r="W736" s="82">
        <v>0</v>
      </c>
      <c r="X736" s="81"/>
      <c r="Y736" s="81"/>
      <c r="Z736" s="81" t="s">
        <v>138</v>
      </c>
      <c r="AA736" s="81" t="s">
        <v>58</v>
      </c>
      <c r="AB736" s="81" t="s">
        <v>58</v>
      </c>
      <c r="AC736" s="83">
        <v>46125</v>
      </c>
    </row>
    <row r="737" spans="2:29" ht="23" x14ac:dyDescent="0.35">
      <c r="B737" s="81" t="s">
        <v>338</v>
      </c>
      <c r="C737" s="81" t="s">
        <v>339</v>
      </c>
      <c r="D737" s="81" t="s">
        <v>340</v>
      </c>
      <c r="E737" s="81" t="s">
        <v>771</v>
      </c>
      <c r="F737" s="162" t="s">
        <v>772</v>
      </c>
      <c r="G737" s="163"/>
      <c r="H737" s="81" t="s">
        <v>1151</v>
      </c>
      <c r="I737" s="81" t="s">
        <v>344</v>
      </c>
      <c r="J737" s="81" t="s">
        <v>11</v>
      </c>
      <c r="K737" s="81" t="s">
        <v>1164</v>
      </c>
      <c r="L737" s="81" t="s">
        <v>129</v>
      </c>
      <c r="M737" s="164">
        <v>22.6</v>
      </c>
      <c r="N737" s="165"/>
      <c r="O737" s="163"/>
      <c r="P737" s="82">
        <v>77.430000000000007</v>
      </c>
      <c r="Q737" s="164">
        <v>0</v>
      </c>
      <c r="R737" s="163"/>
      <c r="S737" s="81" t="s">
        <v>346</v>
      </c>
      <c r="T737" s="82">
        <v>65</v>
      </c>
      <c r="U737" s="82">
        <v>0</v>
      </c>
      <c r="V737" s="82">
        <v>0</v>
      </c>
      <c r="W737" s="82">
        <v>0</v>
      </c>
      <c r="X737" s="81" t="s">
        <v>143</v>
      </c>
      <c r="Y737" s="82">
        <v>8</v>
      </c>
      <c r="Z737" s="81" t="s">
        <v>138</v>
      </c>
      <c r="AA737" s="81" t="s">
        <v>58</v>
      </c>
      <c r="AB737" s="81" t="s">
        <v>58</v>
      </c>
      <c r="AC737" s="83">
        <v>46125</v>
      </c>
    </row>
    <row r="738" spans="2:29" ht="23" x14ac:dyDescent="0.35">
      <c r="B738" s="81" t="s">
        <v>338</v>
      </c>
      <c r="C738" s="81" t="s">
        <v>339</v>
      </c>
      <c r="D738" s="81" t="s">
        <v>340</v>
      </c>
      <c r="E738" s="81" t="s">
        <v>771</v>
      </c>
      <c r="F738" s="162" t="s">
        <v>772</v>
      </c>
      <c r="G738" s="163"/>
      <c r="H738" s="81" t="s">
        <v>1151</v>
      </c>
      <c r="I738" s="81" t="s">
        <v>344</v>
      </c>
      <c r="J738" s="81" t="s">
        <v>11</v>
      </c>
      <c r="K738" s="81" t="s">
        <v>1165</v>
      </c>
      <c r="L738" s="81" t="s">
        <v>129</v>
      </c>
      <c r="M738" s="164">
        <v>22.5</v>
      </c>
      <c r="N738" s="165"/>
      <c r="O738" s="163"/>
      <c r="P738" s="82">
        <v>77.09</v>
      </c>
      <c r="Q738" s="164">
        <v>0</v>
      </c>
      <c r="R738" s="163"/>
      <c r="S738" s="81" t="s">
        <v>346</v>
      </c>
      <c r="T738" s="82">
        <v>65</v>
      </c>
      <c r="U738" s="82">
        <v>0</v>
      </c>
      <c r="V738" s="82">
        <v>0</v>
      </c>
      <c r="W738" s="82">
        <v>0</v>
      </c>
      <c r="X738" s="81"/>
      <c r="Y738" s="81"/>
      <c r="Z738" s="81" t="s">
        <v>138</v>
      </c>
      <c r="AA738" s="81" t="s">
        <v>58</v>
      </c>
      <c r="AB738" s="81" t="s">
        <v>58</v>
      </c>
      <c r="AC738" s="83">
        <v>46125</v>
      </c>
    </row>
    <row r="739" spans="2:29" ht="23" x14ac:dyDescent="0.35">
      <c r="B739" s="81" t="s">
        <v>338</v>
      </c>
      <c r="C739" s="81" t="s">
        <v>339</v>
      </c>
      <c r="D739" s="81" t="s">
        <v>340</v>
      </c>
      <c r="E739" s="81" t="s">
        <v>771</v>
      </c>
      <c r="F739" s="162" t="s">
        <v>772</v>
      </c>
      <c r="G739" s="163"/>
      <c r="H739" s="81" t="s">
        <v>1151</v>
      </c>
      <c r="I739" s="81" t="s">
        <v>344</v>
      </c>
      <c r="J739" s="81" t="s">
        <v>11</v>
      </c>
      <c r="K739" s="81" t="s">
        <v>1166</v>
      </c>
      <c r="L739" s="81" t="s">
        <v>129</v>
      </c>
      <c r="M739" s="164">
        <v>22.5</v>
      </c>
      <c r="N739" s="165"/>
      <c r="O739" s="163"/>
      <c r="P739" s="82">
        <v>77.09</v>
      </c>
      <c r="Q739" s="164">
        <v>0</v>
      </c>
      <c r="R739" s="163"/>
      <c r="S739" s="81" t="s">
        <v>346</v>
      </c>
      <c r="T739" s="82">
        <v>65</v>
      </c>
      <c r="U739" s="82">
        <v>0</v>
      </c>
      <c r="V739" s="82">
        <v>0</v>
      </c>
      <c r="W739" s="82">
        <v>0</v>
      </c>
      <c r="X739" s="81" t="s">
        <v>143</v>
      </c>
      <c r="Y739" s="82">
        <v>3</v>
      </c>
      <c r="Z739" s="81" t="s">
        <v>138</v>
      </c>
      <c r="AA739" s="81" t="s">
        <v>58</v>
      </c>
      <c r="AB739" s="81" t="s">
        <v>58</v>
      </c>
      <c r="AC739" s="83">
        <v>46125</v>
      </c>
    </row>
    <row r="740" spans="2:29" ht="23" x14ac:dyDescent="0.35">
      <c r="B740" s="81" t="s">
        <v>338</v>
      </c>
      <c r="C740" s="81" t="s">
        <v>339</v>
      </c>
      <c r="D740" s="81" t="s">
        <v>340</v>
      </c>
      <c r="E740" s="81" t="s">
        <v>771</v>
      </c>
      <c r="F740" s="162" t="s">
        <v>772</v>
      </c>
      <c r="G740" s="163"/>
      <c r="H740" s="81" t="s">
        <v>1151</v>
      </c>
      <c r="I740" s="81" t="s">
        <v>344</v>
      </c>
      <c r="J740" s="81" t="s">
        <v>11</v>
      </c>
      <c r="K740" s="81" t="s">
        <v>1167</v>
      </c>
      <c r="L740" s="81" t="s">
        <v>129</v>
      </c>
      <c r="M740" s="164">
        <v>22.6</v>
      </c>
      <c r="N740" s="165"/>
      <c r="O740" s="163"/>
      <c r="P740" s="82">
        <v>77.430000000000007</v>
      </c>
      <c r="Q740" s="164">
        <v>0</v>
      </c>
      <c r="R740" s="163"/>
      <c r="S740" s="81" t="s">
        <v>346</v>
      </c>
      <c r="T740" s="82">
        <v>65</v>
      </c>
      <c r="U740" s="82">
        <v>0</v>
      </c>
      <c r="V740" s="82">
        <v>0</v>
      </c>
      <c r="W740" s="82">
        <v>0</v>
      </c>
      <c r="X740" s="81" t="s">
        <v>133</v>
      </c>
      <c r="Y740" s="82">
        <v>4</v>
      </c>
      <c r="Z740" s="81" t="s">
        <v>137</v>
      </c>
      <c r="AA740" s="81" t="s">
        <v>58</v>
      </c>
      <c r="AB740" s="81" t="s">
        <v>58</v>
      </c>
      <c r="AC740" s="83">
        <v>46125</v>
      </c>
    </row>
    <row r="741" spans="2:29" ht="23" x14ac:dyDescent="0.35">
      <c r="B741" s="81" t="s">
        <v>338</v>
      </c>
      <c r="C741" s="81" t="s">
        <v>339</v>
      </c>
      <c r="D741" s="81" t="s">
        <v>340</v>
      </c>
      <c r="E741" s="81" t="s">
        <v>771</v>
      </c>
      <c r="F741" s="162" t="s">
        <v>772</v>
      </c>
      <c r="G741" s="163"/>
      <c r="H741" s="81" t="s">
        <v>1151</v>
      </c>
      <c r="I741" s="81" t="s">
        <v>344</v>
      </c>
      <c r="J741" s="81" t="s">
        <v>11</v>
      </c>
      <c r="K741" s="81" t="s">
        <v>1168</v>
      </c>
      <c r="L741" s="81" t="s">
        <v>129</v>
      </c>
      <c r="M741" s="164">
        <v>22.2</v>
      </c>
      <c r="N741" s="165"/>
      <c r="O741" s="163"/>
      <c r="P741" s="82">
        <v>76.06</v>
      </c>
      <c r="Q741" s="164">
        <v>0</v>
      </c>
      <c r="R741" s="163"/>
      <c r="S741" s="81" t="s">
        <v>346</v>
      </c>
      <c r="T741" s="82">
        <v>65</v>
      </c>
      <c r="U741" s="82">
        <v>0</v>
      </c>
      <c r="V741" s="82">
        <v>0</v>
      </c>
      <c r="W741" s="82">
        <v>0</v>
      </c>
      <c r="X741" s="81" t="s">
        <v>143</v>
      </c>
      <c r="Y741" s="82">
        <v>1</v>
      </c>
      <c r="Z741" s="81" t="s">
        <v>138</v>
      </c>
      <c r="AA741" s="81" t="s">
        <v>58</v>
      </c>
      <c r="AB741" s="81" t="s">
        <v>58</v>
      </c>
      <c r="AC741" s="83">
        <v>46125</v>
      </c>
    </row>
    <row r="742" spans="2:29" ht="23" x14ac:dyDescent="0.35">
      <c r="B742" s="81" t="s">
        <v>338</v>
      </c>
      <c r="C742" s="81" t="s">
        <v>339</v>
      </c>
      <c r="D742" s="81" t="s">
        <v>340</v>
      </c>
      <c r="E742" s="81" t="s">
        <v>771</v>
      </c>
      <c r="F742" s="162" t="s">
        <v>772</v>
      </c>
      <c r="G742" s="163"/>
      <c r="H742" s="81" t="s">
        <v>1151</v>
      </c>
      <c r="I742" s="81" t="s">
        <v>344</v>
      </c>
      <c r="J742" s="81" t="s">
        <v>11</v>
      </c>
      <c r="K742" s="81" t="s">
        <v>1169</v>
      </c>
      <c r="L742" s="81" t="s">
        <v>129</v>
      </c>
      <c r="M742" s="164">
        <v>22.6</v>
      </c>
      <c r="N742" s="165"/>
      <c r="O742" s="163"/>
      <c r="P742" s="82">
        <v>77.430000000000007</v>
      </c>
      <c r="Q742" s="164">
        <v>0</v>
      </c>
      <c r="R742" s="163"/>
      <c r="S742" s="81" t="s">
        <v>346</v>
      </c>
      <c r="T742" s="82">
        <v>65</v>
      </c>
      <c r="U742" s="82">
        <v>0</v>
      </c>
      <c r="V742" s="82">
        <v>0</v>
      </c>
      <c r="W742" s="82">
        <v>0</v>
      </c>
      <c r="X742" s="81"/>
      <c r="Y742" s="81"/>
      <c r="Z742" s="81" t="s">
        <v>138</v>
      </c>
      <c r="AA742" s="81" t="s">
        <v>58</v>
      </c>
      <c r="AB742" s="81" t="s">
        <v>58</v>
      </c>
      <c r="AC742" s="83">
        <v>46125</v>
      </c>
    </row>
    <row r="743" spans="2:29" ht="23" x14ac:dyDescent="0.35">
      <c r="B743" s="81" t="s">
        <v>338</v>
      </c>
      <c r="C743" s="81" t="s">
        <v>339</v>
      </c>
      <c r="D743" s="81" t="s">
        <v>340</v>
      </c>
      <c r="E743" s="81" t="s">
        <v>771</v>
      </c>
      <c r="F743" s="162" t="s">
        <v>772</v>
      </c>
      <c r="G743" s="163"/>
      <c r="H743" s="81" t="s">
        <v>1151</v>
      </c>
      <c r="I743" s="81" t="s">
        <v>344</v>
      </c>
      <c r="J743" s="81" t="s">
        <v>11</v>
      </c>
      <c r="K743" s="81" t="s">
        <v>1170</v>
      </c>
      <c r="L743" s="81" t="s">
        <v>129</v>
      </c>
      <c r="M743" s="164">
        <v>22.5</v>
      </c>
      <c r="N743" s="165"/>
      <c r="O743" s="163"/>
      <c r="P743" s="82">
        <v>77.09</v>
      </c>
      <c r="Q743" s="164">
        <v>0</v>
      </c>
      <c r="R743" s="163"/>
      <c r="S743" s="81" t="s">
        <v>346</v>
      </c>
      <c r="T743" s="82">
        <v>65</v>
      </c>
      <c r="U743" s="82">
        <v>0</v>
      </c>
      <c r="V743" s="82">
        <v>0</v>
      </c>
      <c r="W743" s="82">
        <v>0</v>
      </c>
      <c r="X743" s="81"/>
      <c r="Y743" s="81"/>
      <c r="Z743" s="81" t="s">
        <v>138</v>
      </c>
      <c r="AA743" s="81" t="s">
        <v>58</v>
      </c>
      <c r="AB743" s="81" t="s">
        <v>58</v>
      </c>
      <c r="AC743" s="83">
        <v>46125</v>
      </c>
    </row>
    <row r="744" spans="2:29" ht="23" x14ac:dyDescent="0.35">
      <c r="B744" s="81" t="s">
        <v>338</v>
      </c>
      <c r="C744" s="81" t="s">
        <v>339</v>
      </c>
      <c r="D744" s="81" t="s">
        <v>340</v>
      </c>
      <c r="E744" s="81" t="s">
        <v>771</v>
      </c>
      <c r="F744" s="162" t="s">
        <v>772</v>
      </c>
      <c r="G744" s="163"/>
      <c r="H744" s="81" t="s">
        <v>1151</v>
      </c>
      <c r="I744" s="81" t="s">
        <v>344</v>
      </c>
      <c r="J744" s="81" t="s">
        <v>11</v>
      </c>
      <c r="K744" s="81" t="s">
        <v>1171</v>
      </c>
      <c r="L744" s="81" t="s">
        <v>129</v>
      </c>
      <c r="M744" s="164">
        <v>23</v>
      </c>
      <c r="N744" s="165"/>
      <c r="O744" s="163"/>
      <c r="P744" s="82">
        <v>78.8</v>
      </c>
      <c r="Q744" s="164">
        <v>0</v>
      </c>
      <c r="R744" s="163"/>
      <c r="S744" s="81" t="s">
        <v>346</v>
      </c>
      <c r="T744" s="82">
        <v>65</v>
      </c>
      <c r="U744" s="82">
        <v>0</v>
      </c>
      <c r="V744" s="82">
        <v>0</v>
      </c>
      <c r="W744" s="82">
        <v>0</v>
      </c>
      <c r="X744" s="81" t="s">
        <v>133</v>
      </c>
      <c r="Y744" s="82">
        <v>2</v>
      </c>
      <c r="Z744" s="81" t="s">
        <v>138</v>
      </c>
      <c r="AA744" s="81" t="s">
        <v>58</v>
      </c>
      <c r="AB744" s="81" t="s">
        <v>58</v>
      </c>
      <c r="AC744" s="83">
        <v>46125</v>
      </c>
    </row>
    <row r="745" spans="2:29" ht="23" x14ac:dyDescent="0.35">
      <c r="B745" s="81" t="s">
        <v>338</v>
      </c>
      <c r="C745" s="81" t="s">
        <v>339</v>
      </c>
      <c r="D745" s="81" t="s">
        <v>340</v>
      </c>
      <c r="E745" s="81" t="s">
        <v>771</v>
      </c>
      <c r="F745" s="162" t="s">
        <v>772</v>
      </c>
      <c r="G745" s="163"/>
      <c r="H745" s="81" t="s">
        <v>1151</v>
      </c>
      <c r="I745" s="81" t="s">
        <v>344</v>
      </c>
      <c r="J745" s="81" t="s">
        <v>11</v>
      </c>
      <c r="K745" s="81" t="s">
        <v>1172</v>
      </c>
      <c r="L745" s="81" t="s">
        <v>129</v>
      </c>
      <c r="M745" s="164">
        <v>13.9</v>
      </c>
      <c r="N745" s="165"/>
      <c r="O745" s="163"/>
      <c r="P745" s="82">
        <v>47.63</v>
      </c>
      <c r="Q745" s="164">
        <v>0</v>
      </c>
      <c r="R745" s="163"/>
      <c r="S745" s="81" t="s">
        <v>346</v>
      </c>
      <c r="T745" s="82">
        <v>65</v>
      </c>
      <c r="U745" s="82">
        <v>0</v>
      </c>
      <c r="V745" s="82">
        <v>0</v>
      </c>
      <c r="W745" s="82">
        <v>0</v>
      </c>
      <c r="X745" s="81" t="s">
        <v>132</v>
      </c>
      <c r="Y745" s="82">
        <v>12</v>
      </c>
      <c r="Z745" s="81" t="s">
        <v>138</v>
      </c>
      <c r="AA745" s="81" t="s">
        <v>58</v>
      </c>
      <c r="AB745" s="81" t="s">
        <v>58</v>
      </c>
      <c r="AC745" s="83">
        <v>46125</v>
      </c>
    </row>
    <row r="746" spans="2:29" ht="23" x14ac:dyDescent="0.35">
      <c r="B746" s="81" t="s">
        <v>338</v>
      </c>
      <c r="C746" s="81" t="s">
        <v>339</v>
      </c>
      <c r="D746" s="81" t="s">
        <v>340</v>
      </c>
      <c r="E746" s="81" t="s">
        <v>771</v>
      </c>
      <c r="F746" s="162" t="s">
        <v>772</v>
      </c>
      <c r="G746" s="163"/>
      <c r="H746" s="81" t="s">
        <v>1151</v>
      </c>
      <c r="I746" s="81" t="s">
        <v>344</v>
      </c>
      <c r="J746" s="81" t="s">
        <v>11</v>
      </c>
      <c r="K746" s="81" t="s">
        <v>1173</v>
      </c>
      <c r="L746" s="81" t="s">
        <v>129</v>
      </c>
      <c r="M746" s="164">
        <v>23</v>
      </c>
      <c r="N746" s="165"/>
      <c r="O746" s="163"/>
      <c r="P746" s="82">
        <v>78.8</v>
      </c>
      <c r="Q746" s="164">
        <v>0</v>
      </c>
      <c r="R746" s="163"/>
      <c r="S746" s="81" t="s">
        <v>346</v>
      </c>
      <c r="T746" s="82">
        <v>65</v>
      </c>
      <c r="U746" s="82">
        <v>0</v>
      </c>
      <c r="V746" s="82">
        <v>0</v>
      </c>
      <c r="W746" s="82">
        <v>0</v>
      </c>
      <c r="X746" s="81"/>
      <c r="Y746" s="81"/>
      <c r="Z746" s="81" t="s">
        <v>138</v>
      </c>
      <c r="AA746" s="81" t="s">
        <v>58</v>
      </c>
      <c r="AB746" s="81" t="s">
        <v>58</v>
      </c>
      <c r="AC746" s="83">
        <v>46125</v>
      </c>
    </row>
    <row r="747" spans="2:29" ht="23" x14ac:dyDescent="0.35">
      <c r="B747" s="81" t="s">
        <v>338</v>
      </c>
      <c r="C747" s="81" t="s">
        <v>339</v>
      </c>
      <c r="D747" s="81" t="s">
        <v>340</v>
      </c>
      <c r="E747" s="81" t="s">
        <v>771</v>
      </c>
      <c r="F747" s="162" t="s">
        <v>772</v>
      </c>
      <c r="G747" s="163"/>
      <c r="H747" s="81" t="s">
        <v>1151</v>
      </c>
      <c r="I747" s="81" t="s">
        <v>344</v>
      </c>
      <c r="J747" s="81" t="s">
        <v>11</v>
      </c>
      <c r="K747" s="81" t="s">
        <v>1174</v>
      </c>
      <c r="L747" s="81" t="s">
        <v>129</v>
      </c>
      <c r="M747" s="164">
        <v>22.8</v>
      </c>
      <c r="N747" s="165"/>
      <c r="O747" s="163"/>
      <c r="P747" s="82">
        <v>78.12</v>
      </c>
      <c r="Q747" s="164">
        <v>0</v>
      </c>
      <c r="R747" s="163"/>
      <c r="S747" s="81" t="s">
        <v>346</v>
      </c>
      <c r="T747" s="82">
        <v>65</v>
      </c>
      <c r="U747" s="82">
        <v>0</v>
      </c>
      <c r="V747" s="82">
        <v>0</v>
      </c>
      <c r="W747" s="82">
        <v>0</v>
      </c>
      <c r="X747" s="81"/>
      <c r="Y747" s="81"/>
      <c r="Z747" s="81" t="s">
        <v>138</v>
      </c>
      <c r="AA747" s="81" t="s">
        <v>58</v>
      </c>
      <c r="AB747" s="81" t="s">
        <v>58</v>
      </c>
      <c r="AC747" s="83">
        <v>46125</v>
      </c>
    </row>
    <row r="748" spans="2:29" ht="23" x14ac:dyDescent="0.35">
      <c r="B748" s="81" t="s">
        <v>338</v>
      </c>
      <c r="C748" s="81" t="s">
        <v>339</v>
      </c>
      <c r="D748" s="81" t="s">
        <v>340</v>
      </c>
      <c r="E748" s="81" t="s">
        <v>771</v>
      </c>
      <c r="F748" s="162" t="s">
        <v>772</v>
      </c>
      <c r="G748" s="163"/>
      <c r="H748" s="81" t="s">
        <v>1151</v>
      </c>
      <c r="I748" s="81" t="s">
        <v>344</v>
      </c>
      <c r="J748" s="81" t="s">
        <v>11</v>
      </c>
      <c r="K748" s="81" t="s">
        <v>1175</v>
      </c>
      <c r="L748" s="81" t="s">
        <v>129</v>
      </c>
      <c r="M748" s="164">
        <v>23.1</v>
      </c>
      <c r="N748" s="165"/>
      <c r="O748" s="163"/>
      <c r="P748" s="82">
        <v>79.150000000000006</v>
      </c>
      <c r="Q748" s="164">
        <v>0</v>
      </c>
      <c r="R748" s="163"/>
      <c r="S748" s="81" t="s">
        <v>346</v>
      </c>
      <c r="T748" s="82">
        <v>65</v>
      </c>
      <c r="U748" s="82">
        <v>0</v>
      </c>
      <c r="V748" s="82">
        <v>0</v>
      </c>
      <c r="W748" s="82">
        <v>0</v>
      </c>
      <c r="X748" s="81" t="s">
        <v>143</v>
      </c>
      <c r="Y748" s="82">
        <v>4</v>
      </c>
      <c r="Z748" s="81" t="s">
        <v>138</v>
      </c>
      <c r="AA748" s="81" t="s">
        <v>58</v>
      </c>
      <c r="AB748" s="81" t="s">
        <v>58</v>
      </c>
      <c r="AC748" s="83">
        <v>46125</v>
      </c>
    </row>
    <row r="749" spans="2:29" ht="23" x14ac:dyDescent="0.35">
      <c r="B749" s="81" t="s">
        <v>338</v>
      </c>
      <c r="C749" s="81" t="s">
        <v>339</v>
      </c>
      <c r="D749" s="81" t="s">
        <v>340</v>
      </c>
      <c r="E749" s="81" t="s">
        <v>771</v>
      </c>
      <c r="F749" s="162" t="s">
        <v>772</v>
      </c>
      <c r="G749" s="163"/>
      <c r="H749" s="81" t="s">
        <v>1151</v>
      </c>
      <c r="I749" s="81" t="s">
        <v>344</v>
      </c>
      <c r="J749" s="81" t="s">
        <v>11</v>
      </c>
      <c r="K749" s="81" t="s">
        <v>1176</v>
      </c>
      <c r="L749" s="81" t="s">
        <v>129</v>
      </c>
      <c r="M749" s="164">
        <v>23.1</v>
      </c>
      <c r="N749" s="165"/>
      <c r="O749" s="163"/>
      <c r="P749" s="82">
        <v>79.150000000000006</v>
      </c>
      <c r="Q749" s="164">
        <v>0</v>
      </c>
      <c r="R749" s="163"/>
      <c r="S749" s="81" t="s">
        <v>346</v>
      </c>
      <c r="T749" s="82">
        <v>65</v>
      </c>
      <c r="U749" s="82">
        <v>0</v>
      </c>
      <c r="V749" s="82">
        <v>0</v>
      </c>
      <c r="W749" s="82">
        <v>0</v>
      </c>
      <c r="X749" s="81" t="s">
        <v>143</v>
      </c>
      <c r="Y749" s="82">
        <v>4</v>
      </c>
      <c r="Z749" s="81" t="s">
        <v>138</v>
      </c>
      <c r="AA749" s="81" t="s">
        <v>58</v>
      </c>
      <c r="AB749" s="81" t="s">
        <v>58</v>
      </c>
      <c r="AC749" s="83">
        <v>46125</v>
      </c>
    </row>
    <row r="750" spans="2:29" ht="23" x14ac:dyDescent="0.35">
      <c r="B750" s="81" t="s">
        <v>338</v>
      </c>
      <c r="C750" s="81" t="s">
        <v>339</v>
      </c>
      <c r="D750" s="81" t="s">
        <v>340</v>
      </c>
      <c r="E750" s="81" t="s">
        <v>771</v>
      </c>
      <c r="F750" s="162" t="s">
        <v>772</v>
      </c>
      <c r="G750" s="163"/>
      <c r="H750" s="81" t="s">
        <v>1151</v>
      </c>
      <c r="I750" s="81" t="s">
        <v>344</v>
      </c>
      <c r="J750" s="81" t="s">
        <v>11</v>
      </c>
      <c r="K750" s="81" t="s">
        <v>1177</v>
      </c>
      <c r="L750" s="81" t="s">
        <v>129</v>
      </c>
      <c r="M750" s="164">
        <v>22.4</v>
      </c>
      <c r="N750" s="165"/>
      <c r="O750" s="163"/>
      <c r="P750" s="82">
        <v>76.75</v>
      </c>
      <c r="Q750" s="164">
        <v>0</v>
      </c>
      <c r="R750" s="163"/>
      <c r="S750" s="81" t="s">
        <v>346</v>
      </c>
      <c r="T750" s="82">
        <v>65</v>
      </c>
      <c r="U750" s="82">
        <v>0</v>
      </c>
      <c r="V750" s="82">
        <v>0</v>
      </c>
      <c r="W750" s="82">
        <v>0</v>
      </c>
      <c r="X750" s="81" t="s">
        <v>143</v>
      </c>
      <c r="Y750" s="82">
        <v>4</v>
      </c>
      <c r="Z750" s="81" t="s">
        <v>138</v>
      </c>
      <c r="AA750" s="81" t="s">
        <v>58</v>
      </c>
      <c r="AB750" s="81" t="s">
        <v>58</v>
      </c>
      <c r="AC750" s="83">
        <v>46125</v>
      </c>
    </row>
    <row r="751" spans="2:29" ht="23" x14ac:dyDescent="0.35">
      <c r="B751" s="81" t="s">
        <v>338</v>
      </c>
      <c r="C751" s="81" t="s">
        <v>339</v>
      </c>
      <c r="D751" s="81" t="s">
        <v>340</v>
      </c>
      <c r="E751" s="81" t="s">
        <v>496</v>
      </c>
      <c r="F751" s="162" t="s">
        <v>497</v>
      </c>
      <c r="G751" s="163"/>
      <c r="H751" s="81" t="s">
        <v>1178</v>
      </c>
      <c r="I751" s="81" t="s">
        <v>344</v>
      </c>
      <c r="J751" s="81" t="s">
        <v>11</v>
      </c>
      <c r="K751" s="81" t="s">
        <v>1179</v>
      </c>
      <c r="L751" s="81" t="s">
        <v>129</v>
      </c>
      <c r="M751" s="164">
        <v>22.7</v>
      </c>
      <c r="N751" s="165"/>
      <c r="O751" s="163"/>
      <c r="P751" s="82">
        <v>78.150000000000006</v>
      </c>
      <c r="Q751" s="164">
        <v>0</v>
      </c>
      <c r="R751" s="163"/>
      <c r="S751" s="81" t="s">
        <v>346</v>
      </c>
      <c r="T751" s="82">
        <v>63</v>
      </c>
      <c r="U751" s="82">
        <v>0</v>
      </c>
      <c r="V751" s="82">
        <v>0</v>
      </c>
      <c r="W751" s="82">
        <v>0</v>
      </c>
      <c r="X751" s="81" t="s">
        <v>135</v>
      </c>
      <c r="Y751" s="82">
        <v>8</v>
      </c>
      <c r="Z751" s="81" t="s">
        <v>138</v>
      </c>
      <c r="AA751" s="81" t="s">
        <v>1180</v>
      </c>
      <c r="AB751" s="81" t="s">
        <v>1181</v>
      </c>
      <c r="AC751" s="83">
        <v>46129</v>
      </c>
    </row>
    <row r="752" spans="2:29" ht="23" x14ac:dyDescent="0.35">
      <c r="B752" s="81" t="s">
        <v>338</v>
      </c>
      <c r="C752" s="81" t="s">
        <v>339</v>
      </c>
      <c r="D752" s="81" t="s">
        <v>340</v>
      </c>
      <c r="E752" s="81" t="s">
        <v>496</v>
      </c>
      <c r="F752" s="162" t="s">
        <v>497</v>
      </c>
      <c r="G752" s="163"/>
      <c r="H752" s="81" t="s">
        <v>1178</v>
      </c>
      <c r="I752" s="81" t="s">
        <v>344</v>
      </c>
      <c r="J752" s="81" t="s">
        <v>11</v>
      </c>
      <c r="K752" s="81" t="s">
        <v>1182</v>
      </c>
      <c r="L752" s="81" t="s">
        <v>129</v>
      </c>
      <c r="M752" s="164">
        <v>16</v>
      </c>
      <c r="N752" s="165"/>
      <c r="O752" s="163"/>
      <c r="P752" s="82">
        <v>55.09</v>
      </c>
      <c r="Q752" s="164">
        <v>0</v>
      </c>
      <c r="R752" s="163"/>
      <c r="S752" s="81" t="s">
        <v>346</v>
      </c>
      <c r="T752" s="82">
        <v>63</v>
      </c>
      <c r="U752" s="82">
        <v>0</v>
      </c>
      <c r="V752" s="82">
        <v>0</v>
      </c>
      <c r="W752" s="82">
        <v>0</v>
      </c>
      <c r="X752" s="81" t="s">
        <v>147</v>
      </c>
      <c r="Y752" s="82">
        <v>4</v>
      </c>
      <c r="Z752" s="81" t="s">
        <v>146</v>
      </c>
      <c r="AA752" s="81" t="s">
        <v>1180</v>
      </c>
      <c r="AB752" s="81" t="s">
        <v>1181</v>
      </c>
      <c r="AC752" s="83">
        <v>46129</v>
      </c>
    </row>
    <row r="753" spans="2:29" ht="23" x14ac:dyDescent="0.35">
      <c r="B753" s="81" t="s">
        <v>338</v>
      </c>
      <c r="C753" s="81" t="s">
        <v>339</v>
      </c>
      <c r="D753" s="81" t="s">
        <v>340</v>
      </c>
      <c r="E753" s="81" t="s">
        <v>496</v>
      </c>
      <c r="F753" s="162" t="s">
        <v>497</v>
      </c>
      <c r="G753" s="163"/>
      <c r="H753" s="81" t="s">
        <v>1178</v>
      </c>
      <c r="I753" s="81" t="s">
        <v>344</v>
      </c>
      <c r="J753" s="81" t="s">
        <v>11</v>
      </c>
      <c r="K753" s="81" t="s">
        <v>1183</v>
      </c>
      <c r="L753" s="81" t="s">
        <v>129</v>
      </c>
      <c r="M753" s="164">
        <v>21.4</v>
      </c>
      <c r="N753" s="165"/>
      <c r="O753" s="163"/>
      <c r="P753" s="82">
        <v>73.680000000000007</v>
      </c>
      <c r="Q753" s="164">
        <v>0</v>
      </c>
      <c r="R753" s="163"/>
      <c r="S753" s="81" t="s">
        <v>346</v>
      </c>
      <c r="T753" s="82">
        <v>63</v>
      </c>
      <c r="U753" s="82">
        <v>0</v>
      </c>
      <c r="V753" s="82">
        <v>0</v>
      </c>
      <c r="W753" s="82">
        <v>0</v>
      </c>
      <c r="X753" s="81" t="s">
        <v>143</v>
      </c>
      <c r="Y753" s="82">
        <v>20</v>
      </c>
      <c r="Z753" s="81" t="s">
        <v>138</v>
      </c>
      <c r="AA753" s="81" t="s">
        <v>1180</v>
      </c>
      <c r="AB753" s="81" t="s">
        <v>1181</v>
      </c>
      <c r="AC753" s="83">
        <v>46129</v>
      </c>
    </row>
    <row r="754" spans="2:29" ht="23" x14ac:dyDescent="0.35">
      <c r="B754" s="81" t="s">
        <v>338</v>
      </c>
      <c r="C754" s="81" t="s">
        <v>339</v>
      </c>
      <c r="D754" s="81" t="s">
        <v>340</v>
      </c>
      <c r="E754" s="81" t="s">
        <v>496</v>
      </c>
      <c r="F754" s="162" t="s">
        <v>497</v>
      </c>
      <c r="G754" s="163"/>
      <c r="H754" s="81" t="s">
        <v>1178</v>
      </c>
      <c r="I754" s="81" t="s">
        <v>344</v>
      </c>
      <c r="J754" s="81" t="s">
        <v>11</v>
      </c>
      <c r="K754" s="81" t="s">
        <v>1184</v>
      </c>
      <c r="L754" s="81" t="s">
        <v>129</v>
      </c>
      <c r="M754" s="164">
        <v>23.3</v>
      </c>
      <c r="N754" s="165"/>
      <c r="O754" s="163"/>
      <c r="P754" s="82">
        <v>80.22</v>
      </c>
      <c r="Q754" s="164">
        <v>0</v>
      </c>
      <c r="R754" s="163"/>
      <c r="S754" s="81" t="s">
        <v>346</v>
      </c>
      <c r="T754" s="82">
        <v>63</v>
      </c>
      <c r="U754" s="82">
        <v>0</v>
      </c>
      <c r="V754" s="82">
        <v>0</v>
      </c>
      <c r="W754" s="82">
        <v>0</v>
      </c>
      <c r="X754" s="81" t="s">
        <v>143</v>
      </c>
      <c r="Y754" s="82">
        <v>20</v>
      </c>
      <c r="Z754" s="81" t="s">
        <v>138</v>
      </c>
      <c r="AA754" s="81" t="s">
        <v>1180</v>
      </c>
      <c r="AB754" s="81" t="s">
        <v>1181</v>
      </c>
      <c r="AC754" s="83">
        <v>46129</v>
      </c>
    </row>
    <row r="755" spans="2:29" ht="23" x14ac:dyDescent="0.35">
      <c r="B755" s="81" t="s">
        <v>338</v>
      </c>
      <c r="C755" s="81" t="s">
        <v>339</v>
      </c>
      <c r="D755" s="81" t="s">
        <v>340</v>
      </c>
      <c r="E755" s="81" t="s">
        <v>496</v>
      </c>
      <c r="F755" s="162" t="s">
        <v>497</v>
      </c>
      <c r="G755" s="163"/>
      <c r="H755" s="81" t="s">
        <v>1178</v>
      </c>
      <c r="I755" s="81" t="s">
        <v>344</v>
      </c>
      <c r="J755" s="81" t="s">
        <v>11</v>
      </c>
      <c r="K755" s="81" t="s">
        <v>1185</v>
      </c>
      <c r="L755" s="81" t="s">
        <v>129</v>
      </c>
      <c r="M755" s="164">
        <v>23.2</v>
      </c>
      <c r="N755" s="165"/>
      <c r="O755" s="163"/>
      <c r="P755" s="82">
        <v>79.88</v>
      </c>
      <c r="Q755" s="164">
        <v>0</v>
      </c>
      <c r="R755" s="163"/>
      <c r="S755" s="81" t="s">
        <v>346</v>
      </c>
      <c r="T755" s="82">
        <v>63</v>
      </c>
      <c r="U755" s="82">
        <v>0</v>
      </c>
      <c r="V755" s="82">
        <v>0</v>
      </c>
      <c r="W755" s="82">
        <v>0</v>
      </c>
      <c r="X755" s="81" t="s">
        <v>143</v>
      </c>
      <c r="Y755" s="82">
        <v>16</v>
      </c>
      <c r="Z755" s="81" t="s">
        <v>138</v>
      </c>
      <c r="AA755" s="81" t="s">
        <v>1180</v>
      </c>
      <c r="AB755" s="81" t="s">
        <v>1181</v>
      </c>
      <c r="AC755" s="83">
        <v>46129</v>
      </c>
    </row>
    <row r="756" spans="2:29" ht="23" x14ac:dyDescent="0.35">
      <c r="B756" s="81" t="s">
        <v>338</v>
      </c>
      <c r="C756" s="81" t="s">
        <v>339</v>
      </c>
      <c r="D756" s="81" t="s">
        <v>340</v>
      </c>
      <c r="E756" s="81" t="s">
        <v>496</v>
      </c>
      <c r="F756" s="162" t="s">
        <v>497</v>
      </c>
      <c r="G756" s="163"/>
      <c r="H756" s="81" t="s">
        <v>1178</v>
      </c>
      <c r="I756" s="81" t="s">
        <v>344</v>
      </c>
      <c r="J756" s="81" t="s">
        <v>11</v>
      </c>
      <c r="K756" s="81" t="s">
        <v>1186</v>
      </c>
      <c r="L756" s="81" t="s">
        <v>129</v>
      </c>
      <c r="M756" s="164">
        <v>23.1</v>
      </c>
      <c r="N756" s="165"/>
      <c r="O756" s="163"/>
      <c r="P756" s="82">
        <v>79.53</v>
      </c>
      <c r="Q756" s="164">
        <v>0</v>
      </c>
      <c r="R756" s="163"/>
      <c r="S756" s="81" t="s">
        <v>346</v>
      </c>
      <c r="T756" s="82">
        <v>63</v>
      </c>
      <c r="U756" s="82">
        <v>0</v>
      </c>
      <c r="V756" s="82">
        <v>0</v>
      </c>
      <c r="W756" s="82">
        <v>0</v>
      </c>
      <c r="X756" s="81" t="s">
        <v>143</v>
      </c>
      <c r="Y756" s="82">
        <v>24</v>
      </c>
      <c r="Z756" s="81" t="s">
        <v>137</v>
      </c>
      <c r="AA756" s="81" t="s">
        <v>1180</v>
      </c>
      <c r="AB756" s="81" t="s">
        <v>1181</v>
      </c>
      <c r="AC756" s="83">
        <v>46129</v>
      </c>
    </row>
    <row r="757" spans="2:29" ht="23" x14ac:dyDescent="0.35">
      <c r="B757" s="81" t="s">
        <v>338</v>
      </c>
      <c r="C757" s="81" t="s">
        <v>339</v>
      </c>
      <c r="D757" s="81" t="s">
        <v>340</v>
      </c>
      <c r="E757" s="81" t="s">
        <v>496</v>
      </c>
      <c r="F757" s="162" t="s">
        <v>497</v>
      </c>
      <c r="G757" s="163"/>
      <c r="H757" s="81" t="s">
        <v>1178</v>
      </c>
      <c r="I757" s="81" t="s">
        <v>344</v>
      </c>
      <c r="J757" s="81" t="s">
        <v>11</v>
      </c>
      <c r="K757" s="81" t="s">
        <v>1187</v>
      </c>
      <c r="L757" s="81" t="s">
        <v>129</v>
      </c>
      <c r="M757" s="164">
        <v>23.1</v>
      </c>
      <c r="N757" s="165"/>
      <c r="O757" s="163"/>
      <c r="P757" s="82">
        <v>79.53</v>
      </c>
      <c r="Q757" s="164">
        <v>0</v>
      </c>
      <c r="R757" s="163"/>
      <c r="S757" s="81" t="s">
        <v>346</v>
      </c>
      <c r="T757" s="82">
        <v>63</v>
      </c>
      <c r="U757" s="82">
        <v>0</v>
      </c>
      <c r="V757" s="82">
        <v>0</v>
      </c>
      <c r="W757" s="82">
        <v>0</v>
      </c>
      <c r="X757" s="81" t="s">
        <v>143</v>
      </c>
      <c r="Y757" s="82">
        <v>32</v>
      </c>
      <c r="Z757" s="81" t="s">
        <v>146</v>
      </c>
      <c r="AA757" s="81" t="s">
        <v>1180</v>
      </c>
      <c r="AB757" s="81" t="s">
        <v>1181</v>
      </c>
      <c r="AC757" s="83">
        <v>46129</v>
      </c>
    </row>
    <row r="758" spans="2:29" ht="23" x14ac:dyDescent="0.35">
      <c r="B758" s="81" t="s">
        <v>338</v>
      </c>
      <c r="C758" s="81" t="s">
        <v>339</v>
      </c>
      <c r="D758" s="81" t="s">
        <v>340</v>
      </c>
      <c r="E758" s="81" t="s">
        <v>496</v>
      </c>
      <c r="F758" s="162" t="s">
        <v>497</v>
      </c>
      <c r="G758" s="163"/>
      <c r="H758" s="81" t="s">
        <v>1178</v>
      </c>
      <c r="I758" s="81" t="s">
        <v>344</v>
      </c>
      <c r="J758" s="81" t="s">
        <v>11</v>
      </c>
      <c r="K758" s="81" t="s">
        <v>1188</v>
      </c>
      <c r="L758" s="81" t="s">
        <v>129</v>
      </c>
      <c r="M758" s="164">
        <v>23.2</v>
      </c>
      <c r="N758" s="165"/>
      <c r="O758" s="163"/>
      <c r="P758" s="82">
        <v>79.88</v>
      </c>
      <c r="Q758" s="164">
        <v>0</v>
      </c>
      <c r="R758" s="163"/>
      <c r="S758" s="81" t="s">
        <v>346</v>
      </c>
      <c r="T758" s="82">
        <v>63</v>
      </c>
      <c r="U758" s="82">
        <v>0</v>
      </c>
      <c r="V758" s="82">
        <v>0</v>
      </c>
      <c r="W758" s="82">
        <v>0</v>
      </c>
      <c r="X758" s="81" t="s">
        <v>143</v>
      </c>
      <c r="Y758" s="82">
        <v>16</v>
      </c>
      <c r="Z758" s="81" t="s">
        <v>138</v>
      </c>
      <c r="AA758" s="81" t="s">
        <v>1180</v>
      </c>
      <c r="AB758" s="81" t="s">
        <v>1181</v>
      </c>
      <c r="AC758" s="83">
        <v>46129</v>
      </c>
    </row>
    <row r="759" spans="2:29" ht="23" x14ac:dyDescent="0.35">
      <c r="B759" s="81" t="s">
        <v>338</v>
      </c>
      <c r="C759" s="81" t="s">
        <v>339</v>
      </c>
      <c r="D759" s="81" t="s">
        <v>340</v>
      </c>
      <c r="E759" s="81" t="s">
        <v>496</v>
      </c>
      <c r="F759" s="162" t="s">
        <v>497</v>
      </c>
      <c r="G759" s="163"/>
      <c r="H759" s="81" t="s">
        <v>1178</v>
      </c>
      <c r="I759" s="81" t="s">
        <v>344</v>
      </c>
      <c r="J759" s="81" t="s">
        <v>11</v>
      </c>
      <c r="K759" s="81" t="s">
        <v>1189</v>
      </c>
      <c r="L759" s="81" t="s">
        <v>129</v>
      </c>
      <c r="M759" s="164">
        <v>23.2</v>
      </c>
      <c r="N759" s="165"/>
      <c r="O759" s="163"/>
      <c r="P759" s="82">
        <v>79.88</v>
      </c>
      <c r="Q759" s="164">
        <v>0</v>
      </c>
      <c r="R759" s="163"/>
      <c r="S759" s="81" t="s">
        <v>346</v>
      </c>
      <c r="T759" s="82">
        <v>63</v>
      </c>
      <c r="U759" s="82">
        <v>0</v>
      </c>
      <c r="V759" s="82">
        <v>0</v>
      </c>
      <c r="W759" s="82">
        <v>0</v>
      </c>
      <c r="X759" s="81" t="s">
        <v>143</v>
      </c>
      <c r="Y759" s="82">
        <v>12</v>
      </c>
      <c r="Z759" s="81" t="s">
        <v>138</v>
      </c>
      <c r="AA759" s="81" t="s">
        <v>1180</v>
      </c>
      <c r="AB759" s="81" t="s">
        <v>1181</v>
      </c>
      <c r="AC759" s="83">
        <v>46129</v>
      </c>
    </row>
    <row r="760" spans="2:29" ht="23" x14ac:dyDescent="0.35">
      <c r="B760" s="81" t="s">
        <v>338</v>
      </c>
      <c r="C760" s="81" t="s">
        <v>339</v>
      </c>
      <c r="D760" s="81" t="s">
        <v>340</v>
      </c>
      <c r="E760" s="81" t="s">
        <v>496</v>
      </c>
      <c r="F760" s="162" t="s">
        <v>497</v>
      </c>
      <c r="G760" s="163"/>
      <c r="H760" s="81" t="s">
        <v>1178</v>
      </c>
      <c r="I760" s="81" t="s">
        <v>344</v>
      </c>
      <c r="J760" s="81" t="s">
        <v>11</v>
      </c>
      <c r="K760" s="81" t="s">
        <v>1190</v>
      </c>
      <c r="L760" s="81" t="s">
        <v>129</v>
      </c>
      <c r="M760" s="164">
        <v>23.4</v>
      </c>
      <c r="N760" s="165"/>
      <c r="O760" s="163"/>
      <c r="P760" s="82">
        <v>80.56</v>
      </c>
      <c r="Q760" s="164">
        <v>0</v>
      </c>
      <c r="R760" s="163"/>
      <c r="S760" s="81" t="s">
        <v>346</v>
      </c>
      <c r="T760" s="82">
        <v>63</v>
      </c>
      <c r="U760" s="82">
        <v>0</v>
      </c>
      <c r="V760" s="82">
        <v>0</v>
      </c>
      <c r="W760" s="82">
        <v>0</v>
      </c>
      <c r="X760" s="81" t="s">
        <v>144</v>
      </c>
      <c r="Y760" s="82">
        <v>12</v>
      </c>
      <c r="Z760" s="81" t="s">
        <v>138</v>
      </c>
      <c r="AA760" s="81" t="s">
        <v>1180</v>
      </c>
      <c r="AB760" s="81" t="s">
        <v>1181</v>
      </c>
      <c r="AC760" s="83">
        <v>46129</v>
      </c>
    </row>
    <row r="761" spans="2:29" ht="23" x14ac:dyDescent="0.35">
      <c r="B761" s="81" t="s">
        <v>338</v>
      </c>
      <c r="C761" s="81" t="s">
        <v>339</v>
      </c>
      <c r="D761" s="81" t="s">
        <v>340</v>
      </c>
      <c r="E761" s="81" t="s">
        <v>496</v>
      </c>
      <c r="F761" s="162" t="s">
        <v>497</v>
      </c>
      <c r="G761" s="163"/>
      <c r="H761" s="81" t="s">
        <v>1178</v>
      </c>
      <c r="I761" s="81" t="s">
        <v>344</v>
      </c>
      <c r="J761" s="81" t="s">
        <v>11</v>
      </c>
      <c r="K761" s="81" t="s">
        <v>1191</v>
      </c>
      <c r="L761" s="81" t="s">
        <v>129</v>
      </c>
      <c r="M761" s="164">
        <v>23.5</v>
      </c>
      <c r="N761" s="165"/>
      <c r="O761" s="163"/>
      <c r="P761" s="82">
        <v>80.91</v>
      </c>
      <c r="Q761" s="164">
        <v>0</v>
      </c>
      <c r="R761" s="163"/>
      <c r="S761" s="81" t="s">
        <v>346</v>
      </c>
      <c r="T761" s="82">
        <v>63</v>
      </c>
      <c r="U761" s="82">
        <v>0</v>
      </c>
      <c r="V761" s="82">
        <v>0</v>
      </c>
      <c r="W761" s="82">
        <v>0</v>
      </c>
      <c r="X761" s="81" t="s">
        <v>143</v>
      </c>
      <c r="Y761" s="82">
        <v>12</v>
      </c>
      <c r="Z761" s="81" t="s">
        <v>138</v>
      </c>
      <c r="AA761" s="81" t="s">
        <v>1180</v>
      </c>
      <c r="AB761" s="81" t="s">
        <v>1181</v>
      </c>
      <c r="AC761" s="83">
        <v>46129</v>
      </c>
    </row>
    <row r="762" spans="2:29" ht="23" x14ac:dyDescent="0.35">
      <c r="B762" s="81" t="s">
        <v>338</v>
      </c>
      <c r="C762" s="81" t="s">
        <v>339</v>
      </c>
      <c r="D762" s="81" t="s">
        <v>340</v>
      </c>
      <c r="E762" s="81" t="s">
        <v>496</v>
      </c>
      <c r="F762" s="162" t="s">
        <v>497</v>
      </c>
      <c r="G762" s="163"/>
      <c r="H762" s="81" t="s">
        <v>1178</v>
      </c>
      <c r="I762" s="81" t="s">
        <v>344</v>
      </c>
      <c r="J762" s="81" t="s">
        <v>11</v>
      </c>
      <c r="K762" s="81" t="s">
        <v>1192</v>
      </c>
      <c r="L762" s="81" t="s">
        <v>11</v>
      </c>
      <c r="M762" s="164">
        <v>23.4</v>
      </c>
      <c r="N762" s="165"/>
      <c r="O762" s="163"/>
      <c r="P762" s="82">
        <v>80.56</v>
      </c>
      <c r="Q762" s="164">
        <v>0</v>
      </c>
      <c r="R762" s="163"/>
      <c r="S762" s="81" t="s">
        <v>346</v>
      </c>
      <c r="T762" s="82">
        <v>63</v>
      </c>
      <c r="U762" s="82">
        <v>0</v>
      </c>
      <c r="V762" s="82">
        <v>0</v>
      </c>
      <c r="W762" s="82">
        <v>0</v>
      </c>
      <c r="X762" s="81" t="s">
        <v>143</v>
      </c>
      <c r="Y762" s="82">
        <v>56</v>
      </c>
      <c r="Z762" s="81" t="s">
        <v>137</v>
      </c>
      <c r="AA762" s="81" t="s">
        <v>1180</v>
      </c>
      <c r="AB762" s="81" t="s">
        <v>1181</v>
      </c>
      <c r="AC762" s="83">
        <v>46129</v>
      </c>
    </row>
    <row r="763" spans="2:29" ht="23" x14ac:dyDescent="0.35">
      <c r="B763" s="81" t="s">
        <v>338</v>
      </c>
      <c r="C763" s="81" t="s">
        <v>339</v>
      </c>
      <c r="D763" s="81" t="s">
        <v>340</v>
      </c>
      <c r="E763" s="81" t="s">
        <v>496</v>
      </c>
      <c r="F763" s="162" t="s">
        <v>497</v>
      </c>
      <c r="G763" s="163"/>
      <c r="H763" s="81" t="s">
        <v>1178</v>
      </c>
      <c r="I763" s="81" t="s">
        <v>344</v>
      </c>
      <c r="J763" s="81" t="s">
        <v>11</v>
      </c>
      <c r="K763" s="81" t="s">
        <v>1193</v>
      </c>
      <c r="L763" s="81" t="s">
        <v>129</v>
      </c>
      <c r="M763" s="164">
        <v>23.1</v>
      </c>
      <c r="N763" s="165"/>
      <c r="O763" s="163"/>
      <c r="P763" s="82">
        <v>79.53</v>
      </c>
      <c r="Q763" s="164">
        <v>0</v>
      </c>
      <c r="R763" s="163"/>
      <c r="S763" s="81" t="s">
        <v>346</v>
      </c>
      <c r="T763" s="82">
        <v>63</v>
      </c>
      <c r="U763" s="82">
        <v>0</v>
      </c>
      <c r="V763" s="82">
        <v>0</v>
      </c>
      <c r="W763" s="82">
        <v>0</v>
      </c>
      <c r="X763" s="81" t="s">
        <v>143</v>
      </c>
      <c r="Y763" s="82">
        <v>20</v>
      </c>
      <c r="Z763" s="81" t="s">
        <v>138</v>
      </c>
      <c r="AA763" s="81" t="s">
        <v>1180</v>
      </c>
      <c r="AB763" s="81" t="s">
        <v>1181</v>
      </c>
      <c r="AC763" s="83">
        <v>46129</v>
      </c>
    </row>
    <row r="764" spans="2:29" ht="23" x14ac:dyDescent="0.35">
      <c r="B764" s="81" t="s">
        <v>338</v>
      </c>
      <c r="C764" s="81" t="s">
        <v>339</v>
      </c>
      <c r="D764" s="81" t="s">
        <v>340</v>
      </c>
      <c r="E764" s="81" t="s">
        <v>496</v>
      </c>
      <c r="F764" s="162" t="s">
        <v>497</v>
      </c>
      <c r="G764" s="163"/>
      <c r="H764" s="81" t="s">
        <v>1178</v>
      </c>
      <c r="I764" s="81" t="s">
        <v>344</v>
      </c>
      <c r="J764" s="81" t="s">
        <v>11</v>
      </c>
      <c r="K764" s="81" t="s">
        <v>1194</v>
      </c>
      <c r="L764" s="81" t="s">
        <v>129</v>
      </c>
      <c r="M764" s="164">
        <v>23.3</v>
      </c>
      <c r="N764" s="165"/>
      <c r="O764" s="163"/>
      <c r="P764" s="82">
        <v>80.22</v>
      </c>
      <c r="Q764" s="164">
        <v>0</v>
      </c>
      <c r="R764" s="163"/>
      <c r="S764" s="81" t="s">
        <v>346</v>
      </c>
      <c r="T764" s="82">
        <v>63</v>
      </c>
      <c r="U764" s="82">
        <v>0</v>
      </c>
      <c r="V764" s="82">
        <v>0</v>
      </c>
      <c r="W764" s="82">
        <v>0</v>
      </c>
      <c r="X764" s="81" t="s">
        <v>143</v>
      </c>
      <c r="Y764" s="82">
        <v>24</v>
      </c>
      <c r="Z764" s="81" t="s">
        <v>137</v>
      </c>
      <c r="AA764" s="81" t="s">
        <v>1180</v>
      </c>
      <c r="AB764" s="81" t="s">
        <v>1181</v>
      </c>
      <c r="AC764" s="83">
        <v>46129</v>
      </c>
    </row>
    <row r="765" spans="2:29" ht="23" x14ac:dyDescent="0.35">
      <c r="B765" s="81" t="s">
        <v>338</v>
      </c>
      <c r="C765" s="81" t="s">
        <v>339</v>
      </c>
      <c r="D765" s="81" t="s">
        <v>340</v>
      </c>
      <c r="E765" s="81" t="s">
        <v>496</v>
      </c>
      <c r="F765" s="162" t="s">
        <v>497</v>
      </c>
      <c r="G765" s="163"/>
      <c r="H765" s="81" t="s">
        <v>1178</v>
      </c>
      <c r="I765" s="81" t="s">
        <v>344</v>
      </c>
      <c r="J765" s="81" t="s">
        <v>11</v>
      </c>
      <c r="K765" s="81" t="s">
        <v>1195</v>
      </c>
      <c r="L765" s="81" t="s">
        <v>129</v>
      </c>
      <c r="M765" s="164">
        <v>23.3</v>
      </c>
      <c r="N765" s="165"/>
      <c r="O765" s="163"/>
      <c r="P765" s="82">
        <v>80.22</v>
      </c>
      <c r="Q765" s="164">
        <v>0</v>
      </c>
      <c r="R765" s="163"/>
      <c r="S765" s="81" t="s">
        <v>346</v>
      </c>
      <c r="T765" s="82">
        <v>63</v>
      </c>
      <c r="U765" s="82">
        <v>0</v>
      </c>
      <c r="V765" s="82">
        <v>0</v>
      </c>
      <c r="W765" s="82">
        <v>0</v>
      </c>
      <c r="X765" s="81" t="s">
        <v>143</v>
      </c>
      <c r="Y765" s="82">
        <v>16</v>
      </c>
      <c r="Z765" s="81" t="s">
        <v>137</v>
      </c>
      <c r="AA765" s="81" t="s">
        <v>1180</v>
      </c>
      <c r="AB765" s="81" t="s">
        <v>1181</v>
      </c>
      <c r="AC765" s="83">
        <v>46129</v>
      </c>
    </row>
    <row r="766" spans="2:29" ht="23" x14ac:dyDescent="0.35">
      <c r="B766" s="81" t="s">
        <v>338</v>
      </c>
      <c r="C766" s="81" t="s">
        <v>339</v>
      </c>
      <c r="D766" s="81" t="s">
        <v>340</v>
      </c>
      <c r="E766" s="81" t="s">
        <v>496</v>
      </c>
      <c r="F766" s="162" t="s">
        <v>497</v>
      </c>
      <c r="G766" s="163"/>
      <c r="H766" s="81" t="s">
        <v>1178</v>
      </c>
      <c r="I766" s="81" t="s">
        <v>344</v>
      </c>
      <c r="J766" s="81" t="s">
        <v>11</v>
      </c>
      <c r="K766" s="81" t="s">
        <v>1196</v>
      </c>
      <c r="L766" s="81" t="s">
        <v>129</v>
      </c>
      <c r="M766" s="164">
        <v>23.4</v>
      </c>
      <c r="N766" s="165"/>
      <c r="O766" s="163"/>
      <c r="P766" s="82">
        <v>80.56</v>
      </c>
      <c r="Q766" s="164">
        <v>0</v>
      </c>
      <c r="R766" s="163"/>
      <c r="S766" s="81" t="s">
        <v>346</v>
      </c>
      <c r="T766" s="82">
        <v>63</v>
      </c>
      <c r="U766" s="82">
        <v>0</v>
      </c>
      <c r="V766" s="82">
        <v>0</v>
      </c>
      <c r="W766" s="82">
        <v>0</v>
      </c>
      <c r="X766" s="81" t="s">
        <v>144</v>
      </c>
      <c r="Y766" s="82">
        <v>12</v>
      </c>
      <c r="Z766" s="81" t="s">
        <v>1197</v>
      </c>
      <c r="AA766" s="81" t="s">
        <v>1180</v>
      </c>
      <c r="AB766" s="81" t="s">
        <v>1181</v>
      </c>
      <c r="AC766" s="83">
        <v>46129</v>
      </c>
    </row>
    <row r="767" spans="2:29" ht="23" x14ac:dyDescent="0.35">
      <c r="B767" s="81" t="s">
        <v>338</v>
      </c>
      <c r="C767" s="81" t="s">
        <v>339</v>
      </c>
      <c r="D767" s="81" t="s">
        <v>340</v>
      </c>
      <c r="E767" s="81" t="s">
        <v>496</v>
      </c>
      <c r="F767" s="162" t="s">
        <v>497</v>
      </c>
      <c r="G767" s="163"/>
      <c r="H767" s="81" t="s">
        <v>1178</v>
      </c>
      <c r="I767" s="81" t="s">
        <v>344</v>
      </c>
      <c r="J767" s="81" t="s">
        <v>11</v>
      </c>
      <c r="K767" s="81" t="s">
        <v>1198</v>
      </c>
      <c r="L767" s="81" t="s">
        <v>129</v>
      </c>
      <c r="M767" s="164">
        <v>23.3</v>
      </c>
      <c r="N767" s="165"/>
      <c r="O767" s="163"/>
      <c r="P767" s="82">
        <v>80.22</v>
      </c>
      <c r="Q767" s="164">
        <v>0</v>
      </c>
      <c r="R767" s="163"/>
      <c r="S767" s="81" t="s">
        <v>346</v>
      </c>
      <c r="T767" s="82">
        <v>63</v>
      </c>
      <c r="U767" s="82">
        <v>0</v>
      </c>
      <c r="V767" s="82">
        <v>0</v>
      </c>
      <c r="W767" s="82">
        <v>0</v>
      </c>
      <c r="X767" s="81" t="s">
        <v>132</v>
      </c>
      <c r="Y767" s="82">
        <v>16</v>
      </c>
      <c r="Z767" s="81" t="s">
        <v>1197</v>
      </c>
      <c r="AA767" s="81" t="s">
        <v>1180</v>
      </c>
      <c r="AB767" s="81" t="s">
        <v>1181</v>
      </c>
      <c r="AC767" s="83">
        <v>46129</v>
      </c>
    </row>
    <row r="768" spans="2:29" ht="23" x14ac:dyDescent="0.35">
      <c r="B768" s="81" t="s">
        <v>338</v>
      </c>
      <c r="C768" s="81" t="s">
        <v>339</v>
      </c>
      <c r="D768" s="81" t="s">
        <v>340</v>
      </c>
      <c r="E768" s="81" t="s">
        <v>496</v>
      </c>
      <c r="F768" s="162" t="s">
        <v>497</v>
      </c>
      <c r="G768" s="163"/>
      <c r="H768" s="81" t="s">
        <v>1178</v>
      </c>
      <c r="I768" s="81" t="s">
        <v>344</v>
      </c>
      <c r="J768" s="81" t="s">
        <v>11</v>
      </c>
      <c r="K768" s="81" t="s">
        <v>1199</v>
      </c>
      <c r="L768" s="81" t="s">
        <v>11</v>
      </c>
      <c r="M768" s="164">
        <v>13.6</v>
      </c>
      <c r="N768" s="165"/>
      <c r="O768" s="163"/>
      <c r="P768" s="82">
        <v>46.82</v>
      </c>
      <c r="Q768" s="164">
        <v>0</v>
      </c>
      <c r="R768" s="163"/>
      <c r="S768" s="81" t="s">
        <v>346</v>
      </c>
      <c r="T768" s="82">
        <v>63</v>
      </c>
      <c r="U768" s="82">
        <v>0</v>
      </c>
      <c r="V768" s="82">
        <v>0</v>
      </c>
      <c r="W768" s="82">
        <v>0</v>
      </c>
      <c r="X768" s="81" t="s">
        <v>144</v>
      </c>
      <c r="Y768" s="82">
        <v>16</v>
      </c>
      <c r="Z768" s="81" t="s">
        <v>681</v>
      </c>
      <c r="AA768" s="81" t="s">
        <v>1180</v>
      </c>
      <c r="AB768" s="81" t="s">
        <v>1181</v>
      </c>
      <c r="AC768" s="83">
        <v>46129</v>
      </c>
    </row>
    <row r="769" spans="2:29" ht="23" x14ac:dyDescent="0.35">
      <c r="B769" s="81" t="s">
        <v>338</v>
      </c>
      <c r="C769" s="81" t="s">
        <v>339</v>
      </c>
      <c r="D769" s="81" t="s">
        <v>340</v>
      </c>
      <c r="E769" s="81" t="s">
        <v>496</v>
      </c>
      <c r="F769" s="162" t="s">
        <v>497</v>
      </c>
      <c r="G769" s="163"/>
      <c r="H769" s="81" t="s">
        <v>1178</v>
      </c>
      <c r="I769" s="81" t="s">
        <v>344</v>
      </c>
      <c r="J769" s="81" t="s">
        <v>11</v>
      </c>
      <c r="K769" s="81" t="s">
        <v>1200</v>
      </c>
      <c r="L769" s="81" t="s">
        <v>129</v>
      </c>
      <c r="M769" s="164">
        <v>23.2</v>
      </c>
      <c r="N769" s="165"/>
      <c r="O769" s="163"/>
      <c r="P769" s="82">
        <v>79.88</v>
      </c>
      <c r="Q769" s="164">
        <v>0</v>
      </c>
      <c r="R769" s="163"/>
      <c r="S769" s="81" t="s">
        <v>346</v>
      </c>
      <c r="T769" s="82">
        <v>63</v>
      </c>
      <c r="U769" s="82">
        <v>0</v>
      </c>
      <c r="V769" s="82">
        <v>0</v>
      </c>
      <c r="W769" s="82">
        <v>0</v>
      </c>
      <c r="X769" s="81" t="s">
        <v>144</v>
      </c>
      <c r="Y769" s="82">
        <v>12</v>
      </c>
      <c r="Z769" s="81" t="s">
        <v>138</v>
      </c>
      <c r="AA769" s="81" t="s">
        <v>1180</v>
      </c>
      <c r="AB769" s="81" t="s">
        <v>1181</v>
      </c>
      <c r="AC769" s="83">
        <v>46129</v>
      </c>
    </row>
    <row r="770" spans="2:29" ht="23" x14ac:dyDescent="0.35">
      <c r="B770" s="81" t="s">
        <v>338</v>
      </c>
      <c r="C770" s="81" t="s">
        <v>339</v>
      </c>
      <c r="D770" s="81" t="s">
        <v>340</v>
      </c>
      <c r="E770" s="81" t="s">
        <v>496</v>
      </c>
      <c r="F770" s="162" t="s">
        <v>497</v>
      </c>
      <c r="G770" s="163"/>
      <c r="H770" s="81" t="s">
        <v>1178</v>
      </c>
      <c r="I770" s="81" t="s">
        <v>344</v>
      </c>
      <c r="J770" s="81" t="s">
        <v>11</v>
      </c>
      <c r="K770" s="81" t="s">
        <v>1201</v>
      </c>
      <c r="L770" s="81" t="s">
        <v>129</v>
      </c>
      <c r="M770" s="164">
        <v>23.2</v>
      </c>
      <c r="N770" s="165"/>
      <c r="O770" s="163"/>
      <c r="P770" s="82">
        <v>79.88</v>
      </c>
      <c r="Q770" s="164">
        <v>0</v>
      </c>
      <c r="R770" s="163"/>
      <c r="S770" s="81" t="s">
        <v>346</v>
      </c>
      <c r="T770" s="82">
        <v>63</v>
      </c>
      <c r="U770" s="82">
        <v>0</v>
      </c>
      <c r="V770" s="82">
        <v>0</v>
      </c>
      <c r="W770" s="82">
        <v>0</v>
      </c>
      <c r="X770" s="81" t="s">
        <v>143</v>
      </c>
      <c r="Y770" s="82">
        <v>20</v>
      </c>
      <c r="Z770" s="81" t="s">
        <v>138</v>
      </c>
      <c r="AA770" s="81" t="s">
        <v>1180</v>
      </c>
      <c r="AB770" s="81" t="s">
        <v>1181</v>
      </c>
      <c r="AC770" s="83">
        <v>46129</v>
      </c>
    </row>
    <row r="771" spans="2:29" ht="23" x14ac:dyDescent="0.35">
      <c r="B771" s="81" t="s">
        <v>338</v>
      </c>
      <c r="C771" s="81" t="s">
        <v>339</v>
      </c>
      <c r="D771" s="81" t="s">
        <v>340</v>
      </c>
      <c r="E771" s="81" t="s">
        <v>496</v>
      </c>
      <c r="F771" s="162" t="s">
        <v>497</v>
      </c>
      <c r="G771" s="163"/>
      <c r="H771" s="81" t="s">
        <v>1178</v>
      </c>
      <c r="I771" s="81" t="s">
        <v>344</v>
      </c>
      <c r="J771" s="81" t="s">
        <v>11</v>
      </c>
      <c r="K771" s="81" t="s">
        <v>1202</v>
      </c>
      <c r="L771" s="81" t="s">
        <v>129</v>
      </c>
      <c r="M771" s="164">
        <v>23.2</v>
      </c>
      <c r="N771" s="165"/>
      <c r="O771" s="163"/>
      <c r="P771" s="82">
        <v>79.88</v>
      </c>
      <c r="Q771" s="164">
        <v>0</v>
      </c>
      <c r="R771" s="163"/>
      <c r="S771" s="81" t="s">
        <v>346</v>
      </c>
      <c r="T771" s="82">
        <v>63</v>
      </c>
      <c r="U771" s="82">
        <v>0</v>
      </c>
      <c r="V771" s="82">
        <v>0</v>
      </c>
      <c r="W771" s="82">
        <v>0</v>
      </c>
      <c r="X771" s="81" t="s">
        <v>143</v>
      </c>
      <c r="Y771" s="82">
        <v>20</v>
      </c>
      <c r="Z771" s="81" t="s">
        <v>138</v>
      </c>
      <c r="AA771" s="81" t="s">
        <v>1180</v>
      </c>
      <c r="AB771" s="81" t="s">
        <v>1181</v>
      </c>
      <c r="AC771" s="83">
        <v>46129</v>
      </c>
    </row>
    <row r="772" spans="2:29" ht="23" x14ac:dyDescent="0.35">
      <c r="B772" s="81" t="s">
        <v>338</v>
      </c>
      <c r="C772" s="81" t="s">
        <v>339</v>
      </c>
      <c r="D772" s="81" t="s">
        <v>340</v>
      </c>
      <c r="E772" s="81" t="s">
        <v>496</v>
      </c>
      <c r="F772" s="162" t="s">
        <v>497</v>
      </c>
      <c r="G772" s="163"/>
      <c r="H772" s="81" t="s">
        <v>1178</v>
      </c>
      <c r="I772" s="81" t="s">
        <v>344</v>
      </c>
      <c r="J772" s="81" t="s">
        <v>11</v>
      </c>
      <c r="K772" s="81" t="s">
        <v>1203</v>
      </c>
      <c r="L772" s="81" t="s">
        <v>129</v>
      </c>
      <c r="M772" s="164">
        <v>23.3</v>
      </c>
      <c r="N772" s="165"/>
      <c r="O772" s="163"/>
      <c r="P772" s="82">
        <v>80.22</v>
      </c>
      <c r="Q772" s="164">
        <v>0</v>
      </c>
      <c r="R772" s="163"/>
      <c r="S772" s="81" t="s">
        <v>346</v>
      </c>
      <c r="T772" s="82">
        <v>63</v>
      </c>
      <c r="U772" s="82">
        <v>0</v>
      </c>
      <c r="V772" s="82">
        <v>0</v>
      </c>
      <c r="W772" s="82">
        <v>0</v>
      </c>
      <c r="X772" s="81" t="s">
        <v>143</v>
      </c>
      <c r="Y772" s="82">
        <v>20</v>
      </c>
      <c r="Z772" s="81" t="s">
        <v>146</v>
      </c>
      <c r="AA772" s="81" t="s">
        <v>1180</v>
      </c>
      <c r="AB772" s="81" t="s">
        <v>1181</v>
      </c>
      <c r="AC772" s="83">
        <v>46129</v>
      </c>
    </row>
    <row r="773" spans="2:29" ht="23" x14ac:dyDescent="0.35">
      <c r="B773" s="81" t="s">
        <v>338</v>
      </c>
      <c r="C773" s="81" t="s">
        <v>339</v>
      </c>
      <c r="D773" s="81" t="s">
        <v>340</v>
      </c>
      <c r="E773" s="81" t="s">
        <v>496</v>
      </c>
      <c r="F773" s="162" t="s">
        <v>497</v>
      </c>
      <c r="G773" s="163"/>
      <c r="H773" s="81" t="s">
        <v>1178</v>
      </c>
      <c r="I773" s="81" t="s">
        <v>344</v>
      </c>
      <c r="J773" s="81" t="s">
        <v>11</v>
      </c>
      <c r="K773" s="81" t="s">
        <v>1204</v>
      </c>
      <c r="L773" s="81" t="s">
        <v>129</v>
      </c>
      <c r="M773" s="164">
        <v>22.3</v>
      </c>
      <c r="N773" s="165"/>
      <c r="O773" s="163"/>
      <c r="P773" s="82">
        <v>76.78</v>
      </c>
      <c r="Q773" s="164">
        <v>0</v>
      </c>
      <c r="R773" s="163"/>
      <c r="S773" s="81" t="s">
        <v>346</v>
      </c>
      <c r="T773" s="82">
        <v>63</v>
      </c>
      <c r="U773" s="82">
        <v>0</v>
      </c>
      <c r="V773" s="82">
        <v>0</v>
      </c>
      <c r="W773" s="82">
        <v>0</v>
      </c>
      <c r="X773" s="81" t="s">
        <v>143</v>
      </c>
      <c r="Y773" s="82">
        <v>16</v>
      </c>
      <c r="Z773" s="81" t="s">
        <v>1197</v>
      </c>
      <c r="AA773" s="81" t="s">
        <v>1180</v>
      </c>
      <c r="AB773" s="81" t="s">
        <v>1181</v>
      </c>
      <c r="AC773" s="83">
        <v>46129</v>
      </c>
    </row>
    <row r="774" spans="2:29" ht="23" x14ac:dyDescent="0.35">
      <c r="B774" s="81" t="s">
        <v>338</v>
      </c>
      <c r="C774" s="81" t="s">
        <v>339</v>
      </c>
      <c r="D774" s="81" t="s">
        <v>340</v>
      </c>
      <c r="E774" s="81" t="s">
        <v>496</v>
      </c>
      <c r="F774" s="162" t="s">
        <v>497</v>
      </c>
      <c r="G774" s="163"/>
      <c r="H774" s="81" t="s">
        <v>1178</v>
      </c>
      <c r="I774" s="81" t="s">
        <v>344</v>
      </c>
      <c r="J774" s="81" t="s">
        <v>11</v>
      </c>
      <c r="K774" s="81" t="s">
        <v>1205</v>
      </c>
      <c r="L774" s="81" t="s">
        <v>129</v>
      </c>
      <c r="M774" s="164">
        <v>23.7</v>
      </c>
      <c r="N774" s="165"/>
      <c r="O774" s="163"/>
      <c r="P774" s="82">
        <v>81.599999999999994</v>
      </c>
      <c r="Q774" s="164">
        <v>0</v>
      </c>
      <c r="R774" s="163"/>
      <c r="S774" s="81" t="s">
        <v>346</v>
      </c>
      <c r="T774" s="82">
        <v>63</v>
      </c>
      <c r="U774" s="82">
        <v>0</v>
      </c>
      <c r="V774" s="82">
        <v>0</v>
      </c>
      <c r="W774" s="82">
        <v>0</v>
      </c>
      <c r="X774" s="81" t="s">
        <v>143</v>
      </c>
      <c r="Y774" s="82">
        <v>20</v>
      </c>
      <c r="Z774" s="81" t="s">
        <v>138</v>
      </c>
      <c r="AA774" s="81" t="s">
        <v>1180</v>
      </c>
      <c r="AB774" s="81" t="s">
        <v>1181</v>
      </c>
      <c r="AC774" s="83">
        <v>46129</v>
      </c>
    </row>
    <row r="775" spans="2:29" ht="23" x14ac:dyDescent="0.35">
      <c r="B775" s="81" t="s">
        <v>338</v>
      </c>
      <c r="C775" s="81" t="s">
        <v>339</v>
      </c>
      <c r="D775" s="81" t="s">
        <v>340</v>
      </c>
      <c r="E775" s="81" t="s">
        <v>496</v>
      </c>
      <c r="F775" s="162" t="s">
        <v>497</v>
      </c>
      <c r="G775" s="163"/>
      <c r="H775" s="81" t="s">
        <v>1178</v>
      </c>
      <c r="I775" s="81" t="s">
        <v>344</v>
      </c>
      <c r="J775" s="81" t="s">
        <v>11</v>
      </c>
      <c r="K775" s="81" t="s">
        <v>1206</v>
      </c>
      <c r="L775" s="81" t="s">
        <v>129</v>
      </c>
      <c r="M775" s="164">
        <v>23.1</v>
      </c>
      <c r="N775" s="165"/>
      <c r="O775" s="163"/>
      <c r="P775" s="82">
        <v>79.53</v>
      </c>
      <c r="Q775" s="164">
        <v>0</v>
      </c>
      <c r="R775" s="163"/>
      <c r="S775" s="81" t="s">
        <v>346</v>
      </c>
      <c r="T775" s="82">
        <v>63</v>
      </c>
      <c r="U775" s="82">
        <v>0</v>
      </c>
      <c r="V775" s="82">
        <v>0</v>
      </c>
      <c r="W775" s="82">
        <v>0</v>
      </c>
      <c r="X775" s="81" t="s">
        <v>143</v>
      </c>
      <c r="Y775" s="82">
        <v>12</v>
      </c>
      <c r="Z775" s="81" t="s">
        <v>138</v>
      </c>
      <c r="AA775" s="81" t="s">
        <v>1180</v>
      </c>
      <c r="AB775" s="81" t="s">
        <v>1181</v>
      </c>
      <c r="AC775" s="83">
        <v>46129</v>
      </c>
    </row>
    <row r="776" spans="2:29" ht="23" x14ac:dyDescent="0.35">
      <c r="B776" s="81" t="s">
        <v>338</v>
      </c>
      <c r="C776" s="81" t="s">
        <v>339</v>
      </c>
      <c r="D776" s="81" t="s">
        <v>340</v>
      </c>
      <c r="E776" s="81" t="s">
        <v>496</v>
      </c>
      <c r="F776" s="162" t="s">
        <v>497</v>
      </c>
      <c r="G776" s="163"/>
      <c r="H776" s="81" t="s">
        <v>1178</v>
      </c>
      <c r="I776" s="81" t="s">
        <v>344</v>
      </c>
      <c r="J776" s="81" t="s">
        <v>11</v>
      </c>
      <c r="K776" s="81" t="s">
        <v>1207</v>
      </c>
      <c r="L776" s="81" t="s">
        <v>129</v>
      </c>
      <c r="M776" s="164">
        <v>23.1</v>
      </c>
      <c r="N776" s="165"/>
      <c r="O776" s="163"/>
      <c r="P776" s="82">
        <v>79.53</v>
      </c>
      <c r="Q776" s="164">
        <v>0</v>
      </c>
      <c r="R776" s="163"/>
      <c r="S776" s="81" t="s">
        <v>346</v>
      </c>
      <c r="T776" s="82">
        <v>63</v>
      </c>
      <c r="U776" s="82">
        <v>0</v>
      </c>
      <c r="V776" s="82">
        <v>0</v>
      </c>
      <c r="W776" s="82">
        <v>0</v>
      </c>
      <c r="X776" s="81" t="s">
        <v>143</v>
      </c>
      <c r="Y776" s="82">
        <v>12</v>
      </c>
      <c r="Z776" s="81" t="s">
        <v>138</v>
      </c>
      <c r="AA776" s="81" t="s">
        <v>1180</v>
      </c>
      <c r="AB776" s="81" t="s">
        <v>1181</v>
      </c>
      <c r="AC776" s="83">
        <v>46129</v>
      </c>
    </row>
    <row r="777" spans="2:29" ht="23" x14ac:dyDescent="0.35">
      <c r="B777" s="81" t="s">
        <v>338</v>
      </c>
      <c r="C777" s="81" t="s">
        <v>339</v>
      </c>
      <c r="D777" s="81" t="s">
        <v>340</v>
      </c>
      <c r="E777" s="81" t="s">
        <v>496</v>
      </c>
      <c r="F777" s="162" t="s">
        <v>497</v>
      </c>
      <c r="G777" s="163"/>
      <c r="H777" s="81" t="s">
        <v>1178</v>
      </c>
      <c r="I777" s="81" t="s">
        <v>344</v>
      </c>
      <c r="J777" s="81" t="s">
        <v>11</v>
      </c>
      <c r="K777" s="81" t="s">
        <v>1208</v>
      </c>
      <c r="L777" s="81" t="s">
        <v>129</v>
      </c>
      <c r="M777" s="164">
        <v>16.2</v>
      </c>
      <c r="N777" s="165"/>
      <c r="O777" s="163"/>
      <c r="P777" s="82">
        <v>55.78</v>
      </c>
      <c r="Q777" s="164">
        <v>0</v>
      </c>
      <c r="R777" s="163"/>
      <c r="S777" s="81" t="s">
        <v>346</v>
      </c>
      <c r="T777" s="82">
        <v>63</v>
      </c>
      <c r="U777" s="82">
        <v>0</v>
      </c>
      <c r="V777" s="82">
        <v>0</v>
      </c>
      <c r="W777" s="82">
        <v>0</v>
      </c>
      <c r="X777" s="81" t="s">
        <v>143</v>
      </c>
      <c r="Y777" s="82">
        <v>4</v>
      </c>
      <c r="Z777" s="81" t="s">
        <v>138</v>
      </c>
      <c r="AA777" s="81" t="s">
        <v>1180</v>
      </c>
      <c r="AB777" s="81" t="s">
        <v>1181</v>
      </c>
      <c r="AC777" s="83">
        <v>46129</v>
      </c>
    </row>
    <row r="778" spans="2:29" ht="34.5" x14ac:dyDescent="0.35">
      <c r="B778" s="81" t="s">
        <v>338</v>
      </c>
      <c r="C778" s="81" t="s">
        <v>339</v>
      </c>
      <c r="D778" s="81" t="s">
        <v>340</v>
      </c>
      <c r="E778" s="81" t="s">
        <v>447</v>
      </c>
      <c r="F778" s="162" t="s">
        <v>448</v>
      </c>
      <c r="G778" s="163"/>
      <c r="H778" s="81" t="s">
        <v>1209</v>
      </c>
      <c r="I778" s="81" t="s">
        <v>344</v>
      </c>
      <c r="J778" s="81" t="s">
        <v>11</v>
      </c>
      <c r="K778" s="81" t="s">
        <v>1210</v>
      </c>
      <c r="L778" s="81" t="s">
        <v>129</v>
      </c>
      <c r="M778" s="164">
        <v>20.3</v>
      </c>
      <c r="N778" s="165"/>
      <c r="O778" s="163"/>
      <c r="P778" s="82">
        <v>73.42</v>
      </c>
      <c r="Q778" s="164">
        <v>0</v>
      </c>
      <c r="R778" s="163"/>
      <c r="S778" s="81" t="s">
        <v>346</v>
      </c>
      <c r="T778" s="82">
        <v>63</v>
      </c>
      <c r="U778" s="82">
        <v>0</v>
      </c>
      <c r="V778" s="82">
        <v>0</v>
      </c>
      <c r="W778" s="82">
        <v>0</v>
      </c>
      <c r="X778" s="81" t="s">
        <v>144</v>
      </c>
      <c r="Y778" s="82">
        <v>12</v>
      </c>
      <c r="Z778" s="81" t="s">
        <v>138</v>
      </c>
      <c r="AA778" s="81" t="s">
        <v>1211</v>
      </c>
      <c r="AB778" s="81" t="s">
        <v>1212</v>
      </c>
      <c r="AC778" s="83">
        <v>46135</v>
      </c>
    </row>
    <row r="779" spans="2:29" ht="34.5" x14ac:dyDescent="0.35">
      <c r="B779" s="81" t="s">
        <v>338</v>
      </c>
      <c r="C779" s="81" t="s">
        <v>339</v>
      </c>
      <c r="D779" s="81" t="s">
        <v>340</v>
      </c>
      <c r="E779" s="81" t="s">
        <v>447</v>
      </c>
      <c r="F779" s="162" t="s">
        <v>448</v>
      </c>
      <c r="G779" s="163"/>
      <c r="H779" s="81" t="s">
        <v>1209</v>
      </c>
      <c r="I779" s="81" t="s">
        <v>344</v>
      </c>
      <c r="J779" s="81" t="s">
        <v>11</v>
      </c>
      <c r="K779" s="81" t="s">
        <v>1213</v>
      </c>
      <c r="L779" s="81" t="s">
        <v>129</v>
      </c>
      <c r="M779" s="164">
        <v>23</v>
      </c>
      <c r="N779" s="165"/>
      <c r="O779" s="163"/>
      <c r="P779" s="82">
        <v>83.19</v>
      </c>
      <c r="Q779" s="164">
        <v>0</v>
      </c>
      <c r="R779" s="163"/>
      <c r="S779" s="81" t="s">
        <v>346</v>
      </c>
      <c r="T779" s="82">
        <v>63</v>
      </c>
      <c r="U779" s="82">
        <v>0</v>
      </c>
      <c r="V779" s="82">
        <v>0</v>
      </c>
      <c r="W779" s="82">
        <v>0</v>
      </c>
      <c r="X779" s="81"/>
      <c r="Y779" s="81"/>
      <c r="Z779" s="81" t="s">
        <v>138</v>
      </c>
      <c r="AA779" s="81" t="s">
        <v>1211</v>
      </c>
      <c r="AB779" s="81" t="s">
        <v>1212</v>
      </c>
      <c r="AC779" s="83">
        <v>46135</v>
      </c>
    </row>
    <row r="780" spans="2:29" ht="34.5" x14ac:dyDescent="0.35">
      <c r="B780" s="81" t="s">
        <v>338</v>
      </c>
      <c r="C780" s="81" t="s">
        <v>339</v>
      </c>
      <c r="D780" s="81" t="s">
        <v>340</v>
      </c>
      <c r="E780" s="81" t="s">
        <v>447</v>
      </c>
      <c r="F780" s="162" t="s">
        <v>448</v>
      </c>
      <c r="G780" s="163"/>
      <c r="H780" s="81" t="s">
        <v>1209</v>
      </c>
      <c r="I780" s="81" t="s">
        <v>344</v>
      </c>
      <c r="J780" s="81" t="s">
        <v>11</v>
      </c>
      <c r="K780" s="81" t="s">
        <v>1214</v>
      </c>
      <c r="L780" s="81" t="s">
        <v>129</v>
      </c>
      <c r="M780" s="164">
        <v>23.8</v>
      </c>
      <c r="N780" s="165"/>
      <c r="O780" s="163"/>
      <c r="P780" s="82">
        <v>86.08</v>
      </c>
      <c r="Q780" s="164">
        <v>0</v>
      </c>
      <c r="R780" s="163"/>
      <c r="S780" s="81" t="s">
        <v>346</v>
      </c>
      <c r="T780" s="82">
        <v>63</v>
      </c>
      <c r="U780" s="82">
        <v>0</v>
      </c>
      <c r="V780" s="82">
        <v>0</v>
      </c>
      <c r="W780" s="82">
        <v>0</v>
      </c>
      <c r="X780" s="81" t="s">
        <v>144</v>
      </c>
      <c r="Y780" s="82">
        <v>4</v>
      </c>
      <c r="Z780" s="81" t="s">
        <v>138</v>
      </c>
      <c r="AA780" s="81" t="s">
        <v>1211</v>
      </c>
      <c r="AB780" s="81" t="s">
        <v>1212</v>
      </c>
      <c r="AC780" s="83">
        <v>46135</v>
      </c>
    </row>
    <row r="781" spans="2:29" ht="34.5" x14ac:dyDescent="0.35">
      <c r="B781" s="81" t="s">
        <v>338</v>
      </c>
      <c r="C781" s="81" t="s">
        <v>339</v>
      </c>
      <c r="D781" s="81" t="s">
        <v>340</v>
      </c>
      <c r="E781" s="81" t="s">
        <v>447</v>
      </c>
      <c r="F781" s="162" t="s">
        <v>448</v>
      </c>
      <c r="G781" s="163"/>
      <c r="H781" s="81" t="s">
        <v>1209</v>
      </c>
      <c r="I781" s="81" t="s">
        <v>344</v>
      </c>
      <c r="J781" s="81" t="s">
        <v>11</v>
      </c>
      <c r="K781" s="81" t="s">
        <v>1215</v>
      </c>
      <c r="L781" s="81" t="s">
        <v>129</v>
      </c>
      <c r="M781" s="164">
        <v>23.5</v>
      </c>
      <c r="N781" s="165"/>
      <c r="O781" s="163"/>
      <c r="P781" s="82">
        <v>85</v>
      </c>
      <c r="Q781" s="164">
        <v>0</v>
      </c>
      <c r="R781" s="163"/>
      <c r="S781" s="81" t="s">
        <v>346</v>
      </c>
      <c r="T781" s="82">
        <v>63</v>
      </c>
      <c r="U781" s="82">
        <v>0</v>
      </c>
      <c r="V781" s="82">
        <v>0</v>
      </c>
      <c r="W781" s="82">
        <v>0</v>
      </c>
      <c r="X781" s="81" t="s">
        <v>143</v>
      </c>
      <c r="Y781" s="82">
        <v>1</v>
      </c>
      <c r="Z781" s="81" t="s">
        <v>138</v>
      </c>
      <c r="AA781" s="81" t="s">
        <v>1211</v>
      </c>
      <c r="AB781" s="81" t="s">
        <v>1212</v>
      </c>
      <c r="AC781" s="83">
        <v>46135</v>
      </c>
    </row>
    <row r="782" spans="2:29" ht="34.5" x14ac:dyDescent="0.35">
      <c r="B782" s="81" t="s">
        <v>338</v>
      </c>
      <c r="C782" s="81" t="s">
        <v>339</v>
      </c>
      <c r="D782" s="81" t="s">
        <v>340</v>
      </c>
      <c r="E782" s="81" t="s">
        <v>447</v>
      </c>
      <c r="F782" s="162" t="s">
        <v>448</v>
      </c>
      <c r="G782" s="163"/>
      <c r="H782" s="81" t="s">
        <v>1209</v>
      </c>
      <c r="I782" s="81" t="s">
        <v>344</v>
      </c>
      <c r="J782" s="81" t="s">
        <v>11</v>
      </c>
      <c r="K782" s="81" t="s">
        <v>1216</v>
      </c>
      <c r="L782" s="81" t="s">
        <v>129</v>
      </c>
      <c r="M782" s="164">
        <v>7.9</v>
      </c>
      <c r="N782" s="165"/>
      <c r="O782" s="163"/>
      <c r="P782" s="82">
        <v>28.57</v>
      </c>
      <c r="Q782" s="164">
        <v>0</v>
      </c>
      <c r="R782" s="163"/>
      <c r="S782" s="81" t="s">
        <v>346</v>
      </c>
      <c r="T782" s="82">
        <v>63</v>
      </c>
      <c r="U782" s="82">
        <v>0</v>
      </c>
      <c r="V782" s="82">
        <v>0</v>
      </c>
      <c r="W782" s="82">
        <v>0</v>
      </c>
      <c r="X782" s="81"/>
      <c r="Y782" s="81"/>
      <c r="Z782" s="81" t="s">
        <v>138</v>
      </c>
      <c r="AA782" s="81" t="s">
        <v>1211</v>
      </c>
      <c r="AB782" s="81" t="s">
        <v>1212</v>
      </c>
      <c r="AC782" s="83">
        <v>46135</v>
      </c>
    </row>
    <row r="783" spans="2:29" ht="34.5" x14ac:dyDescent="0.35">
      <c r="B783" s="81" t="s">
        <v>338</v>
      </c>
      <c r="C783" s="81" t="s">
        <v>339</v>
      </c>
      <c r="D783" s="81" t="s">
        <v>340</v>
      </c>
      <c r="E783" s="81" t="s">
        <v>447</v>
      </c>
      <c r="F783" s="162" t="s">
        <v>448</v>
      </c>
      <c r="G783" s="163"/>
      <c r="H783" s="81" t="s">
        <v>1209</v>
      </c>
      <c r="I783" s="81" t="s">
        <v>344</v>
      </c>
      <c r="J783" s="81" t="s">
        <v>11</v>
      </c>
      <c r="K783" s="81" t="s">
        <v>1217</v>
      </c>
      <c r="L783" s="81" t="s">
        <v>129</v>
      </c>
      <c r="M783" s="164">
        <v>18.2</v>
      </c>
      <c r="N783" s="165"/>
      <c r="O783" s="163"/>
      <c r="P783" s="82">
        <v>65.83</v>
      </c>
      <c r="Q783" s="164">
        <v>0</v>
      </c>
      <c r="R783" s="163"/>
      <c r="S783" s="81" t="s">
        <v>346</v>
      </c>
      <c r="T783" s="82">
        <v>63</v>
      </c>
      <c r="U783" s="82">
        <v>0</v>
      </c>
      <c r="V783" s="82">
        <v>0</v>
      </c>
      <c r="W783" s="82">
        <v>0</v>
      </c>
      <c r="X783" s="81" t="s">
        <v>139</v>
      </c>
      <c r="Y783" s="82">
        <v>8</v>
      </c>
      <c r="Z783" s="81" t="s">
        <v>138</v>
      </c>
      <c r="AA783" s="81" t="s">
        <v>1211</v>
      </c>
      <c r="AB783" s="81" t="s">
        <v>1212</v>
      </c>
      <c r="AC783" s="83">
        <v>46135</v>
      </c>
    </row>
    <row r="784" spans="2:29" ht="34.5" x14ac:dyDescent="0.35">
      <c r="B784" s="81" t="s">
        <v>338</v>
      </c>
      <c r="C784" s="81" t="s">
        <v>339</v>
      </c>
      <c r="D784" s="81" t="s">
        <v>340</v>
      </c>
      <c r="E784" s="81" t="s">
        <v>447</v>
      </c>
      <c r="F784" s="162" t="s">
        <v>448</v>
      </c>
      <c r="G784" s="163"/>
      <c r="H784" s="81" t="s">
        <v>1209</v>
      </c>
      <c r="I784" s="81" t="s">
        <v>344</v>
      </c>
      <c r="J784" s="81" t="s">
        <v>11</v>
      </c>
      <c r="K784" s="81" t="s">
        <v>1218</v>
      </c>
      <c r="L784" s="81" t="s">
        <v>129</v>
      </c>
      <c r="M784" s="164">
        <v>14.5</v>
      </c>
      <c r="N784" s="165"/>
      <c r="O784" s="163"/>
      <c r="P784" s="82">
        <v>52.45</v>
      </c>
      <c r="Q784" s="164">
        <v>0</v>
      </c>
      <c r="R784" s="163"/>
      <c r="S784" s="81" t="s">
        <v>346</v>
      </c>
      <c r="T784" s="82">
        <v>63</v>
      </c>
      <c r="U784" s="82">
        <v>0</v>
      </c>
      <c r="V784" s="82">
        <v>0</v>
      </c>
      <c r="W784" s="82">
        <v>0</v>
      </c>
      <c r="X784" s="81"/>
      <c r="Y784" s="81"/>
      <c r="Z784" s="81" t="s">
        <v>138</v>
      </c>
      <c r="AA784" s="81" t="s">
        <v>1211</v>
      </c>
      <c r="AB784" s="81" t="s">
        <v>1212</v>
      </c>
      <c r="AC784" s="83">
        <v>46135</v>
      </c>
    </row>
    <row r="785" spans="2:29" ht="34.5" x14ac:dyDescent="0.35">
      <c r="B785" s="81" t="s">
        <v>338</v>
      </c>
      <c r="C785" s="81" t="s">
        <v>339</v>
      </c>
      <c r="D785" s="81" t="s">
        <v>340</v>
      </c>
      <c r="E785" s="81" t="s">
        <v>447</v>
      </c>
      <c r="F785" s="162" t="s">
        <v>448</v>
      </c>
      <c r="G785" s="163"/>
      <c r="H785" s="81" t="s">
        <v>1209</v>
      </c>
      <c r="I785" s="81" t="s">
        <v>344</v>
      </c>
      <c r="J785" s="81" t="s">
        <v>11</v>
      </c>
      <c r="K785" s="81" t="s">
        <v>1219</v>
      </c>
      <c r="L785" s="81" t="s">
        <v>129</v>
      </c>
      <c r="M785" s="164">
        <v>23.2</v>
      </c>
      <c r="N785" s="165"/>
      <c r="O785" s="163"/>
      <c r="P785" s="82">
        <v>83.91</v>
      </c>
      <c r="Q785" s="164">
        <v>0</v>
      </c>
      <c r="R785" s="163"/>
      <c r="S785" s="81" t="s">
        <v>346</v>
      </c>
      <c r="T785" s="82">
        <v>63</v>
      </c>
      <c r="U785" s="82">
        <v>0</v>
      </c>
      <c r="V785" s="82">
        <v>0</v>
      </c>
      <c r="W785" s="82">
        <v>0</v>
      </c>
      <c r="X785" s="81" t="s">
        <v>136</v>
      </c>
      <c r="Y785" s="82">
        <v>4</v>
      </c>
      <c r="Z785" s="81" t="s">
        <v>138</v>
      </c>
      <c r="AA785" s="81" t="s">
        <v>1211</v>
      </c>
      <c r="AB785" s="81" t="s">
        <v>1212</v>
      </c>
      <c r="AC785" s="83">
        <v>46135</v>
      </c>
    </row>
    <row r="786" spans="2:29" ht="34.5" x14ac:dyDescent="0.35">
      <c r="B786" s="81" t="s">
        <v>338</v>
      </c>
      <c r="C786" s="81" t="s">
        <v>339</v>
      </c>
      <c r="D786" s="81" t="s">
        <v>340</v>
      </c>
      <c r="E786" s="81" t="s">
        <v>447</v>
      </c>
      <c r="F786" s="162" t="s">
        <v>448</v>
      </c>
      <c r="G786" s="163"/>
      <c r="H786" s="81" t="s">
        <v>1209</v>
      </c>
      <c r="I786" s="81" t="s">
        <v>344</v>
      </c>
      <c r="J786" s="81" t="s">
        <v>11</v>
      </c>
      <c r="K786" s="81" t="s">
        <v>1220</v>
      </c>
      <c r="L786" s="81" t="s">
        <v>129</v>
      </c>
      <c r="M786" s="164">
        <v>23.4</v>
      </c>
      <c r="N786" s="165"/>
      <c r="O786" s="163"/>
      <c r="P786" s="82">
        <v>84.64</v>
      </c>
      <c r="Q786" s="164">
        <v>0</v>
      </c>
      <c r="R786" s="163"/>
      <c r="S786" s="81" t="s">
        <v>346</v>
      </c>
      <c r="T786" s="82">
        <v>63</v>
      </c>
      <c r="U786" s="82">
        <v>0</v>
      </c>
      <c r="V786" s="82">
        <v>0</v>
      </c>
      <c r="W786" s="82">
        <v>0</v>
      </c>
      <c r="X786" s="81" t="s">
        <v>133</v>
      </c>
      <c r="Y786" s="82">
        <v>4</v>
      </c>
      <c r="Z786" s="81" t="s">
        <v>138</v>
      </c>
      <c r="AA786" s="81" t="s">
        <v>1211</v>
      </c>
      <c r="AB786" s="81" t="s">
        <v>1212</v>
      </c>
      <c r="AC786" s="83">
        <v>46135</v>
      </c>
    </row>
    <row r="787" spans="2:29" ht="34.5" x14ac:dyDescent="0.35">
      <c r="B787" s="81" t="s">
        <v>338</v>
      </c>
      <c r="C787" s="81" t="s">
        <v>339</v>
      </c>
      <c r="D787" s="81" t="s">
        <v>340</v>
      </c>
      <c r="E787" s="81" t="s">
        <v>447</v>
      </c>
      <c r="F787" s="162" t="s">
        <v>448</v>
      </c>
      <c r="G787" s="163"/>
      <c r="H787" s="81" t="s">
        <v>1209</v>
      </c>
      <c r="I787" s="81" t="s">
        <v>344</v>
      </c>
      <c r="J787" s="81" t="s">
        <v>11</v>
      </c>
      <c r="K787" s="81" t="s">
        <v>1221</v>
      </c>
      <c r="L787" s="81" t="s">
        <v>129</v>
      </c>
      <c r="M787" s="164">
        <v>23.3</v>
      </c>
      <c r="N787" s="165"/>
      <c r="O787" s="163"/>
      <c r="P787" s="82">
        <v>84.27</v>
      </c>
      <c r="Q787" s="164">
        <v>0</v>
      </c>
      <c r="R787" s="163"/>
      <c r="S787" s="81" t="s">
        <v>346</v>
      </c>
      <c r="T787" s="82">
        <v>63</v>
      </c>
      <c r="U787" s="82">
        <v>0</v>
      </c>
      <c r="V787" s="82">
        <v>0</v>
      </c>
      <c r="W787" s="82">
        <v>0</v>
      </c>
      <c r="X787" s="81"/>
      <c r="Y787" s="81"/>
      <c r="Z787" s="81" t="s">
        <v>138</v>
      </c>
      <c r="AA787" s="81" t="s">
        <v>1211</v>
      </c>
      <c r="AB787" s="81" t="s">
        <v>1212</v>
      </c>
      <c r="AC787" s="83">
        <v>46135</v>
      </c>
    </row>
    <row r="788" spans="2:29" ht="34.5" x14ac:dyDescent="0.35">
      <c r="B788" s="81" t="s">
        <v>338</v>
      </c>
      <c r="C788" s="81" t="s">
        <v>339</v>
      </c>
      <c r="D788" s="81" t="s">
        <v>340</v>
      </c>
      <c r="E788" s="81" t="s">
        <v>447</v>
      </c>
      <c r="F788" s="162" t="s">
        <v>448</v>
      </c>
      <c r="G788" s="163"/>
      <c r="H788" s="81" t="s">
        <v>1209</v>
      </c>
      <c r="I788" s="81" t="s">
        <v>344</v>
      </c>
      <c r="J788" s="81" t="s">
        <v>11</v>
      </c>
      <c r="K788" s="81" t="s">
        <v>1222</v>
      </c>
      <c r="L788" s="81" t="s">
        <v>129</v>
      </c>
      <c r="M788" s="164">
        <v>22.8</v>
      </c>
      <c r="N788" s="165"/>
      <c r="O788" s="163"/>
      <c r="P788" s="82">
        <v>82.47</v>
      </c>
      <c r="Q788" s="164">
        <v>0</v>
      </c>
      <c r="R788" s="163"/>
      <c r="S788" s="81" t="s">
        <v>346</v>
      </c>
      <c r="T788" s="82">
        <v>63</v>
      </c>
      <c r="U788" s="82">
        <v>0</v>
      </c>
      <c r="V788" s="82">
        <v>0</v>
      </c>
      <c r="W788" s="82">
        <v>0</v>
      </c>
      <c r="X788" s="81" t="s">
        <v>132</v>
      </c>
      <c r="Y788" s="82">
        <v>4</v>
      </c>
      <c r="Z788" s="81" t="s">
        <v>138</v>
      </c>
      <c r="AA788" s="81" t="s">
        <v>1211</v>
      </c>
      <c r="AB788" s="81" t="s">
        <v>1212</v>
      </c>
      <c r="AC788" s="83">
        <v>46135</v>
      </c>
    </row>
    <row r="789" spans="2:29" ht="34.5" x14ac:dyDescent="0.35">
      <c r="B789" s="81" t="s">
        <v>338</v>
      </c>
      <c r="C789" s="81" t="s">
        <v>339</v>
      </c>
      <c r="D789" s="81" t="s">
        <v>340</v>
      </c>
      <c r="E789" s="81" t="s">
        <v>447</v>
      </c>
      <c r="F789" s="162" t="s">
        <v>448</v>
      </c>
      <c r="G789" s="163"/>
      <c r="H789" s="81" t="s">
        <v>1209</v>
      </c>
      <c r="I789" s="81" t="s">
        <v>344</v>
      </c>
      <c r="J789" s="81" t="s">
        <v>11</v>
      </c>
      <c r="K789" s="81" t="s">
        <v>1223</v>
      </c>
      <c r="L789" s="81" t="s">
        <v>129</v>
      </c>
      <c r="M789" s="164">
        <v>21.5</v>
      </c>
      <c r="N789" s="165"/>
      <c r="O789" s="163"/>
      <c r="P789" s="82">
        <v>77.760000000000005</v>
      </c>
      <c r="Q789" s="164">
        <v>0</v>
      </c>
      <c r="R789" s="163"/>
      <c r="S789" s="81" t="s">
        <v>346</v>
      </c>
      <c r="T789" s="82">
        <v>63</v>
      </c>
      <c r="U789" s="82">
        <v>0</v>
      </c>
      <c r="V789" s="82">
        <v>0</v>
      </c>
      <c r="W789" s="82">
        <v>0</v>
      </c>
      <c r="X789" s="81" t="s">
        <v>133</v>
      </c>
      <c r="Y789" s="82">
        <v>8</v>
      </c>
      <c r="Z789" s="81" t="s">
        <v>138</v>
      </c>
      <c r="AA789" s="81" t="s">
        <v>1211</v>
      </c>
      <c r="AB789" s="81" t="s">
        <v>1212</v>
      </c>
      <c r="AC789" s="83">
        <v>46135</v>
      </c>
    </row>
    <row r="790" spans="2:29" ht="34.5" x14ac:dyDescent="0.35">
      <c r="B790" s="81" t="s">
        <v>338</v>
      </c>
      <c r="C790" s="81" t="s">
        <v>339</v>
      </c>
      <c r="D790" s="81" t="s">
        <v>340</v>
      </c>
      <c r="E790" s="81" t="s">
        <v>447</v>
      </c>
      <c r="F790" s="162" t="s">
        <v>448</v>
      </c>
      <c r="G790" s="163"/>
      <c r="H790" s="81" t="s">
        <v>1209</v>
      </c>
      <c r="I790" s="81" t="s">
        <v>344</v>
      </c>
      <c r="J790" s="81" t="s">
        <v>11</v>
      </c>
      <c r="K790" s="81" t="s">
        <v>1224</v>
      </c>
      <c r="L790" s="81" t="s">
        <v>129</v>
      </c>
      <c r="M790" s="164">
        <v>22.1</v>
      </c>
      <c r="N790" s="165"/>
      <c r="O790" s="163"/>
      <c r="P790" s="82">
        <v>79.930000000000007</v>
      </c>
      <c r="Q790" s="164">
        <v>0</v>
      </c>
      <c r="R790" s="163"/>
      <c r="S790" s="81" t="s">
        <v>346</v>
      </c>
      <c r="T790" s="82">
        <v>63</v>
      </c>
      <c r="U790" s="82">
        <v>0</v>
      </c>
      <c r="V790" s="82">
        <v>0</v>
      </c>
      <c r="W790" s="82">
        <v>0</v>
      </c>
      <c r="X790" s="81" t="s">
        <v>132</v>
      </c>
      <c r="Y790" s="82">
        <v>8</v>
      </c>
      <c r="Z790" s="81" t="s">
        <v>138</v>
      </c>
      <c r="AA790" s="81" t="s">
        <v>1211</v>
      </c>
      <c r="AB790" s="81" t="s">
        <v>1212</v>
      </c>
      <c r="AC790" s="83">
        <v>46135</v>
      </c>
    </row>
    <row r="791" spans="2:29" ht="34.5" x14ac:dyDescent="0.35">
      <c r="B791" s="81" t="s">
        <v>338</v>
      </c>
      <c r="C791" s="81" t="s">
        <v>339</v>
      </c>
      <c r="D791" s="81" t="s">
        <v>340</v>
      </c>
      <c r="E791" s="81" t="s">
        <v>447</v>
      </c>
      <c r="F791" s="162" t="s">
        <v>448</v>
      </c>
      <c r="G791" s="163"/>
      <c r="H791" s="81" t="s">
        <v>1209</v>
      </c>
      <c r="I791" s="81" t="s">
        <v>344</v>
      </c>
      <c r="J791" s="81" t="s">
        <v>11</v>
      </c>
      <c r="K791" s="81" t="s">
        <v>1225</v>
      </c>
      <c r="L791" s="81" t="s">
        <v>129</v>
      </c>
      <c r="M791" s="164">
        <v>21.9</v>
      </c>
      <c r="N791" s="165"/>
      <c r="O791" s="163"/>
      <c r="P791" s="82">
        <v>79.209999999999994</v>
      </c>
      <c r="Q791" s="164">
        <v>0</v>
      </c>
      <c r="R791" s="163"/>
      <c r="S791" s="81" t="s">
        <v>346</v>
      </c>
      <c r="T791" s="82">
        <v>63</v>
      </c>
      <c r="U791" s="82">
        <v>0</v>
      </c>
      <c r="V791" s="82">
        <v>0</v>
      </c>
      <c r="W791" s="82">
        <v>0</v>
      </c>
      <c r="X791" s="81" t="s">
        <v>132</v>
      </c>
      <c r="Y791" s="82">
        <v>8</v>
      </c>
      <c r="Z791" s="81" t="s">
        <v>138</v>
      </c>
      <c r="AA791" s="81" t="s">
        <v>1211</v>
      </c>
      <c r="AB791" s="81" t="s">
        <v>1212</v>
      </c>
      <c r="AC791" s="83">
        <v>46135</v>
      </c>
    </row>
    <row r="792" spans="2:29" ht="34.5" x14ac:dyDescent="0.35">
      <c r="B792" s="81" t="s">
        <v>338</v>
      </c>
      <c r="C792" s="81" t="s">
        <v>339</v>
      </c>
      <c r="D792" s="81" t="s">
        <v>340</v>
      </c>
      <c r="E792" s="81" t="s">
        <v>447</v>
      </c>
      <c r="F792" s="162" t="s">
        <v>448</v>
      </c>
      <c r="G792" s="163"/>
      <c r="H792" s="81" t="s">
        <v>1209</v>
      </c>
      <c r="I792" s="81" t="s">
        <v>344</v>
      </c>
      <c r="J792" s="81" t="s">
        <v>11</v>
      </c>
      <c r="K792" s="81" t="s">
        <v>1226</v>
      </c>
      <c r="L792" s="81" t="s">
        <v>129</v>
      </c>
      <c r="M792" s="164">
        <v>19.8</v>
      </c>
      <c r="N792" s="165"/>
      <c r="O792" s="163"/>
      <c r="P792" s="82">
        <v>71.62</v>
      </c>
      <c r="Q792" s="164">
        <v>0</v>
      </c>
      <c r="R792" s="163"/>
      <c r="S792" s="81" t="s">
        <v>346</v>
      </c>
      <c r="T792" s="82">
        <v>63</v>
      </c>
      <c r="U792" s="82">
        <v>0</v>
      </c>
      <c r="V792" s="82">
        <v>0</v>
      </c>
      <c r="W792" s="82">
        <v>0</v>
      </c>
      <c r="X792" s="81" t="s">
        <v>133</v>
      </c>
      <c r="Y792" s="82">
        <v>4</v>
      </c>
      <c r="Z792" s="81" t="s">
        <v>138</v>
      </c>
      <c r="AA792" s="81" t="s">
        <v>1211</v>
      </c>
      <c r="AB792" s="81" t="s">
        <v>1212</v>
      </c>
      <c r="AC792" s="83">
        <v>46135</v>
      </c>
    </row>
    <row r="793" spans="2:29" ht="34.5" x14ac:dyDescent="0.35">
      <c r="B793" s="81" t="s">
        <v>338</v>
      </c>
      <c r="C793" s="81" t="s">
        <v>339</v>
      </c>
      <c r="D793" s="81" t="s">
        <v>340</v>
      </c>
      <c r="E793" s="81" t="s">
        <v>447</v>
      </c>
      <c r="F793" s="162" t="s">
        <v>448</v>
      </c>
      <c r="G793" s="163"/>
      <c r="H793" s="81" t="s">
        <v>1209</v>
      </c>
      <c r="I793" s="81" t="s">
        <v>344</v>
      </c>
      <c r="J793" s="81" t="s">
        <v>11</v>
      </c>
      <c r="K793" s="81" t="s">
        <v>1227</v>
      </c>
      <c r="L793" s="81" t="s">
        <v>129</v>
      </c>
      <c r="M793" s="164">
        <v>21.5</v>
      </c>
      <c r="N793" s="165"/>
      <c r="O793" s="163"/>
      <c r="P793" s="82">
        <v>77.760000000000005</v>
      </c>
      <c r="Q793" s="164">
        <v>0</v>
      </c>
      <c r="R793" s="163"/>
      <c r="S793" s="81" t="s">
        <v>346</v>
      </c>
      <c r="T793" s="82">
        <v>63</v>
      </c>
      <c r="U793" s="82">
        <v>0</v>
      </c>
      <c r="V793" s="82">
        <v>0</v>
      </c>
      <c r="W793" s="82">
        <v>0</v>
      </c>
      <c r="X793" s="81"/>
      <c r="Y793" s="81"/>
      <c r="Z793" s="81" t="s">
        <v>138</v>
      </c>
      <c r="AA793" s="81" t="s">
        <v>1211</v>
      </c>
      <c r="AB793" s="81" t="s">
        <v>1212</v>
      </c>
      <c r="AC793" s="83">
        <v>46135</v>
      </c>
    </row>
    <row r="794" spans="2:29" ht="34.5" x14ac:dyDescent="0.35">
      <c r="B794" s="81" t="s">
        <v>338</v>
      </c>
      <c r="C794" s="81" t="s">
        <v>339</v>
      </c>
      <c r="D794" s="81" t="s">
        <v>340</v>
      </c>
      <c r="E794" s="81" t="s">
        <v>447</v>
      </c>
      <c r="F794" s="162" t="s">
        <v>448</v>
      </c>
      <c r="G794" s="163"/>
      <c r="H794" s="81" t="s">
        <v>1209</v>
      </c>
      <c r="I794" s="81" t="s">
        <v>344</v>
      </c>
      <c r="J794" s="81" t="s">
        <v>11</v>
      </c>
      <c r="K794" s="81" t="s">
        <v>1228</v>
      </c>
      <c r="L794" s="81" t="s">
        <v>129</v>
      </c>
      <c r="M794" s="164">
        <v>21.7</v>
      </c>
      <c r="N794" s="165"/>
      <c r="O794" s="163"/>
      <c r="P794" s="82">
        <v>78.489999999999995</v>
      </c>
      <c r="Q794" s="164">
        <v>0</v>
      </c>
      <c r="R794" s="163"/>
      <c r="S794" s="81" t="s">
        <v>346</v>
      </c>
      <c r="T794" s="82">
        <v>63</v>
      </c>
      <c r="U794" s="82">
        <v>0</v>
      </c>
      <c r="V794" s="82">
        <v>0</v>
      </c>
      <c r="W794" s="82">
        <v>0</v>
      </c>
      <c r="X794" s="81" t="s">
        <v>133</v>
      </c>
      <c r="Y794" s="82">
        <v>4</v>
      </c>
      <c r="Z794" s="81" t="s">
        <v>138</v>
      </c>
      <c r="AA794" s="81" t="s">
        <v>1211</v>
      </c>
      <c r="AB794" s="81" t="s">
        <v>1212</v>
      </c>
      <c r="AC794" s="83">
        <v>46135</v>
      </c>
    </row>
    <row r="795" spans="2:29" ht="34.5" x14ac:dyDescent="0.35">
      <c r="B795" s="81" t="s">
        <v>338</v>
      </c>
      <c r="C795" s="81" t="s">
        <v>339</v>
      </c>
      <c r="D795" s="81" t="s">
        <v>340</v>
      </c>
      <c r="E795" s="81" t="s">
        <v>447</v>
      </c>
      <c r="F795" s="162" t="s">
        <v>448</v>
      </c>
      <c r="G795" s="163"/>
      <c r="H795" s="81" t="s">
        <v>1209</v>
      </c>
      <c r="I795" s="81" t="s">
        <v>344</v>
      </c>
      <c r="J795" s="81" t="s">
        <v>11</v>
      </c>
      <c r="K795" s="81" t="s">
        <v>1229</v>
      </c>
      <c r="L795" s="81" t="s">
        <v>129</v>
      </c>
      <c r="M795" s="164">
        <v>23.3</v>
      </c>
      <c r="N795" s="165"/>
      <c r="O795" s="163"/>
      <c r="P795" s="82">
        <v>84.27</v>
      </c>
      <c r="Q795" s="164">
        <v>0</v>
      </c>
      <c r="R795" s="163"/>
      <c r="S795" s="81" t="s">
        <v>346</v>
      </c>
      <c r="T795" s="82">
        <v>63</v>
      </c>
      <c r="U795" s="82">
        <v>0</v>
      </c>
      <c r="V795" s="82">
        <v>0</v>
      </c>
      <c r="W795" s="82">
        <v>0</v>
      </c>
      <c r="X795" s="81" t="s">
        <v>132</v>
      </c>
      <c r="Y795" s="82">
        <v>8</v>
      </c>
      <c r="Z795" s="81" t="s">
        <v>138</v>
      </c>
      <c r="AA795" s="81" t="s">
        <v>1211</v>
      </c>
      <c r="AB795" s="81" t="s">
        <v>1212</v>
      </c>
      <c r="AC795" s="83">
        <v>46135</v>
      </c>
    </row>
    <row r="796" spans="2:29" ht="34.5" x14ac:dyDescent="0.35">
      <c r="B796" s="81" t="s">
        <v>338</v>
      </c>
      <c r="C796" s="81" t="s">
        <v>339</v>
      </c>
      <c r="D796" s="81" t="s">
        <v>340</v>
      </c>
      <c r="E796" s="81" t="s">
        <v>447</v>
      </c>
      <c r="F796" s="162" t="s">
        <v>448</v>
      </c>
      <c r="G796" s="163"/>
      <c r="H796" s="81" t="s">
        <v>1209</v>
      </c>
      <c r="I796" s="81" t="s">
        <v>344</v>
      </c>
      <c r="J796" s="81" t="s">
        <v>11</v>
      </c>
      <c r="K796" s="81" t="s">
        <v>1230</v>
      </c>
      <c r="L796" s="81" t="s">
        <v>129</v>
      </c>
      <c r="M796" s="164">
        <v>22.8</v>
      </c>
      <c r="N796" s="165"/>
      <c r="O796" s="163"/>
      <c r="P796" s="82">
        <v>82.47</v>
      </c>
      <c r="Q796" s="164">
        <v>0</v>
      </c>
      <c r="R796" s="163"/>
      <c r="S796" s="81" t="s">
        <v>346</v>
      </c>
      <c r="T796" s="82">
        <v>63</v>
      </c>
      <c r="U796" s="82">
        <v>0</v>
      </c>
      <c r="V796" s="82">
        <v>0</v>
      </c>
      <c r="W796" s="82">
        <v>0</v>
      </c>
      <c r="X796" s="81" t="s">
        <v>132</v>
      </c>
      <c r="Y796" s="82">
        <v>12</v>
      </c>
      <c r="Z796" s="81" t="s">
        <v>138</v>
      </c>
      <c r="AA796" s="81" t="s">
        <v>1211</v>
      </c>
      <c r="AB796" s="81" t="s">
        <v>1212</v>
      </c>
      <c r="AC796" s="83">
        <v>46135</v>
      </c>
    </row>
    <row r="797" spans="2:29" ht="34.5" x14ac:dyDescent="0.35">
      <c r="B797" s="81" t="s">
        <v>338</v>
      </c>
      <c r="C797" s="81" t="s">
        <v>339</v>
      </c>
      <c r="D797" s="81" t="s">
        <v>340</v>
      </c>
      <c r="E797" s="81" t="s">
        <v>447</v>
      </c>
      <c r="F797" s="162" t="s">
        <v>448</v>
      </c>
      <c r="G797" s="163"/>
      <c r="H797" s="81" t="s">
        <v>1209</v>
      </c>
      <c r="I797" s="81" t="s">
        <v>344</v>
      </c>
      <c r="J797" s="81" t="s">
        <v>11</v>
      </c>
      <c r="K797" s="81" t="s">
        <v>1231</v>
      </c>
      <c r="L797" s="81" t="s">
        <v>129</v>
      </c>
      <c r="M797" s="164">
        <v>23</v>
      </c>
      <c r="N797" s="165"/>
      <c r="O797" s="163"/>
      <c r="P797" s="82">
        <v>83.19</v>
      </c>
      <c r="Q797" s="164">
        <v>0</v>
      </c>
      <c r="R797" s="163"/>
      <c r="S797" s="81" t="s">
        <v>346</v>
      </c>
      <c r="T797" s="82">
        <v>63</v>
      </c>
      <c r="U797" s="82">
        <v>0</v>
      </c>
      <c r="V797" s="82">
        <v>0</v>
      </c>
      <c r="W797" s="82">
        <v>0</v>
      </c>
      <c r="X797" s="81" t="s">
        <v>132</v>
      </c>
      <c r="Y797" s="82">
        <v>12</v>
      </c>
      <c r="Z797" s="81" t="s">
        <v>138</v>
      </c>
      <c r="AA797" s="81" t="s">
        <v>1211</v>
      </c>
      <c r="AB797" s="81" t="s">
        <v>1212</v>
      </c>
      <c r="AC797" s="83">
        <v>46135</v>
      </c>
    </row>
    <row r="798" spans="2:29" ht="34.5" x14ac:dyDescent="0.35">
      <c r="B798" s="81" t="s">
        <v>338</v>
      </c>
      <c r="C798" s="81" t="s">
        <v>339</v>
      </c>
      <c r="D798" s="81" t="s">
        <v>340</v>
      </c>
      <c r="E798" s="81" t="s">
        <v>447</v>
      </c>
      <c r="F798" s="162" t="s">
        <v>448</v>
      </c>
      <c r="G798" s="163"/>
      <c r="H798" s="81" t="s">
        <v>1209</v>
      </c>
      <c r="I798" s="81" t="s">
        <v>344</v>
      </c>
      <c r="J798" s="81" t="s">
        <v>11</v>
      </c>
      <c r="K798" s="81" t="s">
        <v>1232</v>
      </c>
      <c r="L798" s="81" t="s">
        <v>129</v>
      </c>
      <c r="M798" s="164">
        <v>21.6</v>
      </c>
      <c r="N798" s="165"/>
      <c r="O798" s="163"/>
      <c r="P798" s="82">
        <v>78.13</v>
      </c>
      <c r="Q798" s="164">
        <v>0</v>
      </c>
      <c r="R798" s="163"/>
      <c r="S798" s="81" t="s">
        <v>346</v>
      </c>
      <c r="T798" s="82">
        <v>63</v>
      </c>
      <c r="U798" s="82">
        <v>0</v>
      </c>
      <c r="V798" s="82">
        <v>0</v>
      </c>
      <c r="W798" s="82">
        <v>0</v>
      </c>
      <c r="X798" s="81"/>
      <c r="Y798" s="81"/>
      <c r="Z798" s="81" t="s">
        <v>138</v>
      </c>
      <c r="AA798" s="81" t="s">
        <v>1211</v>
      </c>
      <c r="AB798" s="81" t="s">
        <v>1212</v>
      </c>
      <c r="AC798" s="83">
        <v>46135</v>
      </c>
    </row>
    <row r="799" spans="2:29" ht="34.5" x14ac:dyDescent="0.35">
      <c r="B799" s="81" t="s">
        <v>338</v>
      </c>
      <c r="C799" s="81" t="s">
        <v>339</v>
      </c>
      <c r="D799" s="81" t="s">
        <v>340</v>
      </c>
      <c r="E799" s="81" t="s">
        <v>447</v>
      </c>
      <c r="F799" s="162" t="s">
        <v>448</v>
      </c>
      <c r="G799" s="163"/>
      <c r="H799" s="81" t="s">
        <v>1209</v>
      </c>
      <c r="I799" s="81" t="s">
        <v>344</v>
      </c>
      <c r="J799" s="81" t="s">
        <v>11</v>
      </c>
      <c r="K799" s="81" t="s">
        <v>1233</v>
      </c>
      <c r="L799" s="81" t="s">
        <v>129</v>
      </c>
      <c r="M799" s="164">
        <v>20.8</v>
      </c>
      <c r="N799" s="165"/>
      <c r="O799" s="163"/>
      <c r="P799" s="82">
        <v>75.23</v>
      </c>
      <c r="Q799" s="164">
        <v>0</v>
      </c>
      <c r="R799" s="163"/>
      <c r="S799" s="81" t="s">
        <v>346</v>
      </c>
      <c r="T799" s="82">
        <v>63</v>
      </c>
      <c r="U799" s="82">
        <v>0</v>
      </c>
      <c r="V799" s="82">
        <v>0</v>
      </c>
      <c r="W799" s="82">
        <v>0</v>
      </c>
      <c r="X799" s="81" t="s">
        <v>132</v>
      </c>
      <c r="Y799" s="82">
        <v>4</v>
      </c>
      <c r="Z799" s="81" t="s">
        <v>138</v>
      </c>
      <c r="AA799" s="81" t="s">
        <v>1211</v>
      </c>
      <c r="AB799" s="81" t="s">
        <v>1212</v>
      </c>
      <c r="AC799" s="83">
        <v>46135</v>
      </c>
    </row>
    <row r="800" spans="2:29" ht="34.5" x14ac:dyDescent="0.35">
      <c r="B800" s="81" t="s">
        <v>338</v>
      </c>
      <c r="C800" s="81" t="s">
        <v>339</v>
      </c>
      <c r="D800" s="81" t="s">
        <v>340</v>
      </c>
      <c r="E800" s="81" t="s">
        <v>447</v>
      </c>
      <c r="F800" s="162" t="s">
        <v>448</v>
      </c>
      <c r="G800" s="163"/>
      <c r="H800" s="81" t="s">
        <v>1209</v>
      </c>
      <c r="I800" s="81" t="s">
        <v>344</v>
      </c>
      <c r="J800" s="81" t="s">
        <v>11</v>
      </c>
      <c r="K800" s="81" t="s">
        <v>1234</v>
      </c>
      <c r="L800" s="81" t="s">
        <v>129</v>
      </c>
      <c r="M800" s="164">
        <v>21.8</v>
      </c>
      <c r="N800" s="165"/>
      <c r="O800" s="163"/>
      <c r="P800" s="82">
        <v>78.849999999999994</v>
      </c>
      <c r="Q800" s="164">
        <v>0</v>
      </c>
      <c r="R800" s="163"/>
      <c r="S800" s="81" t="s">
        <v>346</v>
      </c>
      <c r="T800" s="82">
        <v>63</v>
      </c>
      <c r="U800" s="82">
        <v>0</v>
      </c>
      <c r="V800" s="82">
        <v>0</v>
      </c>
      <c r="W800" s="82">
        <v>0</v>
      </c>
      <c r="X800" s="81" t="s">
        <v>132</v>
      </c>
      <c r="Y800" s="82">
        <v>12</v>
      </c>
      <c r="Z800" s="81" t="s">
        <v>138</v>
      </c>
      <c r="AA800" s="81" t="s">
        <v>1211</v>
      </c>
      <c r="AB800" s="81" t="s">
        <v>1212</v>
      </c>
      <c r="AC800" s="83">
        <v>46135</v>
      </c>
    </row>
    <row r="801" spans="2:29" ht="34.5" x14ac:dyDescent="0.35">
      <c r="B801" s="81" t="s">
        <v>338</v>
      </c>
      <c r="C801" s="81" t="s">
        <v>339</v>
      </c>
      <c r="D801" s="81" t="s">
        <v>340</v>
      </c>
      <c r="E801" s="81" t="s">
        <v>447</v>
      </c>
      <c r="F801" s="162" t="s">
        <v>448</v>
      </c>
      <c r="G801" s="163"/>
      <c r="H801" s="81" t="s">
        <v>1209</v>
      </c>
      <c r="I801" s="81" t="s">
        <v>344</v>
      </c>
      <c r="J801" s="81" t="s">
        <v>11</v>
      </c>
      <c r="K801" s="81" t="s">
        <v>1235</v>
      </c>
      <c r="L801" s="81" t="s">
        <v>129</v>
      </c>
      <c r="M801" s="164">
        <v>25.3</v>
      </c>
      <c r="N801" s="165"/>
      <c r="O801" s="163"/>
      <c r="P801" s="82">
        <v>91.51</v>
      </c>
      <c r="Q801" s="164">
        <v>0</v>
      </c>
      <c r="R801" s="163"/>
      <c r="S801" s="81" t="s">
        <v>346</v>
      </c>
      <c r="T801" s="82">
        <v>63</v>
      </c>
      <c r="U801" s="82">
        <v>0</v>
      </c>
      <c r="V801" s="82">
        <v>0</v>
      </c>
      <c r="W801" s="82">
        <v>0</v>
      </c>
      <c r="X801" s="81" t="s">
        <v>135</v>
      </c>
      <c r="Y801" s="82">
        <v>8</v>
      </c>
      <c r="Z801" s="81" t="s">
        <v>138</v>
      </c>
      <c r="AA801" s="81" t="s">
        <v>1211</v>
      </c>
      <c r="AB801" s="81" t="s">
        <v>1212</v>
      </c>
      <c r="AC801" s="83">
        <v>46135</v>
      </c>
    </row>
    <row r="802" spans="2:29" ht="34.5" x14ac:dyDescent="0.35">
      <c r="B802" s="81" t="s">
        <v>338</v>
      </c>
      <c r="C802" s="81" t="s">
        <v>339</v>
      </c>
      <c r="D802" s="81" t="s">
        <v>340</v>
      </c>
      <c r="E802" s="81" t="s">
        <v>447</v>
      </c>
      <c r="F802" s="162" t="s">
        <v>448</v>
      </c>
      <c r="G802" s="163"/>
      <c r="H802" s="81" t="s">
        <v>1209</v>
      </c>
      <c r="I802" s="81" t="s">
        <v>344</v>
      </c>
      <c r="J802" s="81" t="s">
        <v>11</v>
      </c>
      <c r="K802" s="81" t="s">
        <v>1236</v>
      </c>
      <c r="L802" s="81" t="s">
        <v>129</v>
      </c>
      <c r="M802" s="164">
        <v>23.5</v>
      </c>
      <c r="N802" s="165"/>
      <c r="O802" s="163"/>
      <c r="P802" s="82">
        <v>85</v>
      </c>
      <c r="Q802" s="164">
        <v>0</v>
      </c>
      <c r="R802" s="163"/>
      <c r="S802" s="81" t="s">
        <v>346</v>
      </c>
      <c r="T802" s="82">
        <v>63</v>
      </c>
      <c r="U802" s="82">
        <v>0</v>
      </c>
      <c r="V802" s="82">
        <v>0</v>
      </c>
      <c r="W802" s="82">
        <v>0</v>
      </c>
      <c r="X802" s="81" t="s">
        <v>133</v>
      </c>
      <c r="Y802" s="82">
        <v>8</v>
      </c>
      <c r="Z802" s="81" t="s">
        <v>138</v>
      </c>
      <c r="AA802" s="81" t="s">
        <v>1211</v>
      </c>
      <c r="AB802" s="81" t="s">
        <v>1212</v>
      </c>
      <c r="AC802" s="83">
        <v>46135</v>
      </c>
    </row>
    <row r="803" spans="2:29" ht="34.5" x14ac:dyDescent="0.35">
      <c r="B803" s="81" t="s">
        <v>338</v>
      </c>
      <c r="C803" s="81" t="s">
        <v>339</v>
      </c>
      <c r="D803" s="81" t="s">
        <v>340</v>
      </c>
      <c r="E803" s="81" t="s">
        <v>447</v>
      </c>
      <c r="F803" s="162" t="s">
        <v>448</v>
      </c>
      <c r="G803" s="163"/>
      <c r="H803" s="81" t="s">
        <v>1209</v>
      </c>
      <c r="I803" s="81" t="s">
        <v>344</v>
      </c>
      <c r="J803" s="81" t="s">
        <v>11</v>
      </c>
      <c r="K803" s="81" t="s">
        <v>1237</v>
      </c>
      <c r="L803" s="81" t="s">
        <v>129</v>
      </c>
      <c r="M803" s="164">
        <v>22.4</v>
      </c>
      <c r="N803" s="165"/>
      <c r="O803" s="163"/>
      <c r="P803" s="82">
        <v>81.02</v>
      </c>
      <c r="Q803" s="164">
        <v>0</v>
      </c>
      <c r="R803" s="163"/>
      <c r="S803" s="81" t="s">
        <v>346</v>
      </c>
      <c r="T803" s="82">
        <v>63</v>
      </c>
      <c r="U803" s="82">
        <v>0</v>
      </c>
      <c r="V803" s="82">
        <v>0</v>
      </c>
      <c r="W803" s="82">
        <v>0</v>
      </c>
      <c r="X803" s="81" t="s">
        <v>132</v>
      </c>
      <c r="Y803" s="82">
        <v>16</v>
      </c>
      <c r="Z803" s="81" t="s">
        <v>138</v>
      </c>
      <c r="AA803" s="81" t="s">
        <v>1211</v>
      </c>
      <c r="AB803" s="81" t="s">
        <v>1212</v>
      </c>
      <c r="AC803" s="83">
        <v>46135</v>
      </c>
    </row>
    <row r="804" spans="2:29" ht="34.5" x14ac:dyDescent="0.35">
      <c r="B804" s="81" t="s">
        <v>338</v>
      </c>
      <c r="C804" s="81" t="s">
        <v>339</v>
      </c>
      <c r="D804" s="81" t="s">
        <v>340</v>
      </c>
      <c r="E804" s="81" t="s">
        <v>447</v>
      </c>
      <c r="F804" s="162" t="s">
        <v>448</v>
      </c>
      <c r="G804" s="163"/>
      <c r="H804" s="81" t="s">
        <v>1209</v>
      </c>
      <c r="I804" s="81" t="s">
        <v>344</v>
      </c>
      <c r="J804" s="81" t="s">
        <v>11</v>
      </c>
      <c r="K804" s="81" t="s">
        <v>1238</v>
      </c>
      <c r="L804" s="81" t="s">
        <v>129</v>
      </c>
      <c r="M804" s="164">
        <v>22.2</v>
      </c>
      <c r="N804" s="165"/>
      <c r="O804" s="163"/>
      <c r="P804" s="82">
        <v>80.3</v>
      </c>
      <c r="Q804" s="164">
        <v>0</v>
      </c>
      <c r="R804" s="163"/>
      <c r="S804" s="81" t="s">
        <v>346</v>
      </c>
      <c r="T804" s="82">
        <v>63</v>
      </c>
      <c r="U804" s="82">
        <v>0</v>
      </c>
      <c r="V804" s="82">
        <v>0</v>
      </c>
      <c r="W804" s="82">
        <v>0</v>
      </c>
      <c r="X804" s="81" t="s">
        <v>133</v>
      </c>
      <c r="Y804" s="82">
        <v>4</v>
      </c>
      <c r="Z804" s="81" t="s">
        <v>138</v>
      </c>
      <c r="AA804" s="81" t="s">
        <v>1211</v>
      </c>
      <c r="AB804" s="81" t="s">
        <v>1212</v>
      </c>
      <c r="AC804" s="83">
        <v>46135</v>
      </c>
    </row>
    <row r="805" spans="2:29" ht="23" x14ac:dyDescent="0.35">
      <c r="B805" s="81" t="s">
        <v>338</v>
      </c>
      <c r="C805" s="81" t="s">
        <v>339</v>
      </c>
      <c r="D805" s="81" t="s">
        <v>340</v>
      </c>
      <c r="E805" s="81" t="s">
        <v>447</v>
      </c>
      <c r="F805" s="162" t="s">
        <v>448</v>
      </c>
      <c r="G805" s="163"/>
      <c r="H805" s="81" t="s">
        <v>1239</v>
      </c>
      <c r="I805" s="81" t="s">
        <v>344</v>
      </c>
      <c r="J805" s="81" t="s">
        <v>11</v>
      </c>
      <c r="K805" s="81" t="s">
        <v>1240</v>
      </c>
      <c r="L805" s="81" t="s">
        <v>129</v>
      </c>
      <c r="M805" s="164">
        <v>26.2</v>
      </c>
      <c r="N805" s="165"/>
      <c r="O805" s="163"/>
      <c r="P805" s="82">
        <v>92.71</v>
      </c>
      <c r="Q805" s="164">
        <v>0</v>
      </c>
      <c r="R805" s="163"/>
      <c r="S805" s="81" t="s">
        <v>346</v>
      </c>
      <c r="T805" s="82">
        <v>64</v>
      </c>
      <c r="U805" s="82">
        <v>0</v>
      </c>
      <c r="V805" s="82">
        <v>0</v>
      </c>
      <c r="W805" s="82">
        <v>0</v>
      </c>
      <c r="X805" s="81" t="s">
        <v>132</v>
      </c>
      <c r="Y805" s="82">
        <v>16</v>
      </c>
      <c r="Z805" s="81" t="s">
        <v>138</v>
      </c>
      <c r="AA805" s="81" t="s">
        <v>58</v>
      </c>
      <c r="AB805" s="81" t="s">
        <v>58</v>
      </c>
      <c r="AC805" s="83">
        <v>46137</v>
      </c>
    </row>
    <row r="806" spans="2:29" ht="23" x14ac:dyDescent="0.35">
      <c r="B806" s="81" t="s">
        <v>338</v>
      </c>
      <c r="C806" s="81" t="s">
        <v>339</v>
      </c>
      <c r="D806" s="81" t="s">
        <v>340</v>
      </c>
      <c r="E806" s="81" t="s">
        <v>447</v>
      </c>
      <c r="F806" s="162" t="s">
        <v>448</v>
      </c>
      <c r="G806" s="163"/>
      <c r="H806" s="81" t="s">
        <v>1239</v>
      </c>
      <c r="I806" s="81" t="s">
        <v>344</v>
      </c>
      <c r="J806" s="81" t="s">
        <v>11</v>
      </c>
      <c r="K806" s="81" t="s">
        <v>1241</v>
      </c>
      <c r="L806" s="81" t="s">
        <v>129</v>
      </c>
      <c r="M806" s="164">
        <v>23.3</v>
      </c>
      <c r="N806" s="165"/>
      <c r="O806" s="163"/>
      <c r="P806" s="82">
        <v>82.45</v>
      </c>
      <c r="Q806" s="164">
        <v>0</v>
      </c>
      <c r="R806" s="163"/>
      <c r="S806" s="81" t="s">
        <v>346</v>
      </c>
      <c r="T806" s="82">
        <v>64</v>
      </c>
      <c r="U806" s="82">
        <v>0</v>
      </c>
      <c r="V806" s="82">
        <v>0</v>
      </c>
      <c r="W806" s="82">
        <v>0</v>
      </c>
      <c r="X806" s="81" t="s">
        <v>134</v>
      </c>
      <c r="Y806" s="82">
        <v>5</v>
      </c>
      <c r="Z806" s="81" t="s">
        <v>138</v>
      </c>
      <c r="AA806" s="81" t="s">
        <v>58</v>
      </c>
      <c r="AB806" s="81" t="s">
        <v>58</v>
      </c>
      <c r="AC806" s="83">
        <v>46137</v>
      </c>
    </row>
    <row r="807" spans="2:29" ht="23" x14ac:dyDescent="0.35">
      <c r="B807" s="81" t="s">
        <v>338</v>
      </c>
      <c r="C807" s="81" t="s">
        <v>339</v>
      </c>
      <c r="D807" s="81" t="s">
        <v>340</v>
      </c>
      <c r="E807" s="81" t="s">
        <v>603</v>
      </c>
      <c r="F807" s="162" t="s">
        <v>604</v>
      </c>
      <c r="G807" s="163"/>
      <c r="H807" s="81" t="s">
        <v>1242</v>
      </c>
      <c r="I807" s="81" t="s">
        <v>344</v>
      </c>
      <c r="J807" s="81" t="s">
        <v>11</v>
      </c>
      <c r="K807" s="81" t="s">
        <v>1243</v>
      </c>
      <c r="L807" s="81" t="s">
        <v>129</v>
      </c>
      <c r="M807" s="164">
        <v>22.3</v>
      </c>
      <c r="N807" s="165"/>
      <c r="O807" s="163"/>
      <c r="P807" s="82">
        <v>78.319999999999993</v>
      </c>
      <c r="Q807" s="164">
        <v>0</v>
      </c>
      <c r="R807" s="163"/>
      <c r="S807" s="81" t="s">
        <v>346</v>
      </c>
      <c r="T807" s="82">
        <v>63</v>
      </c>
      <c r="U807" s="82">
        <v>0</v>
      </c>
      <c r="V807" s="82">
        <v>0</v>
      </c>
      <c r="W807" s="82">
        <v>0</v>
      </c>
      <c r="X807" s="81" t="s">
        <v>148</v>
      </c>
      <c r="Y807" s="82">
        <v>4</v>
      </c>
      <c r="Z807" s="81" t="s">
        <v>138</v>
      </c>
      <c r="AA807" s="81" t="s">
        <v>58</v>
      </c>
      <c r="AB807" s="81" t="s">
        <v>58</v>
      </c>
      <c r="AC807" s="83">
        <v>46137</v>
      </c>
    </row>
    <row r="808" spans="2:29" ht="23" x14ac:dyDescent="0.35">
      <c r="B808" s="81" t="s">
        <v>338</v>
      </c>
      <c r="C808" s="81" t="s">
        <v>339</v>
      </c>
      <c r="D808" s="81" t="s">
        <v>340</v>
      </c>
      <c r="E808" s="81" t="s">
        <v>603</v>
      </c>
      <c r="F808" s="162" t="s">
        <v>604</v>
      </c>
      <c r="G808" s="163"/>
      <c r="H808" s="81" t="s">
        <v>1242</v>
      </c>
      <c r="I808" s="81" t="s">
        <v>344</v>
      </c>
      <c r="J808" s="81" t="s">
        <v>11</v>
      </c>
      <c r="K808" s="81" t="s">
        <v>1244</v>
      </c>
      <c r="L808" s="81" t="s">
        <v>129</v>
      </c>
      <c r="M808" s="164">
        <v>23.5</v>
      </c>
      <c r="N808" s="165"/>
      <c r="O808" s="163"/>
      <c r="P808" s="82">
        <v>82.54</v>
      </c>
      <c r="Q808" s="164">
        <v>0</v>
      </c>
      <c r="R808" s="163"/>
      <c r="S808" s="81" t="s">
        <v>346</v>
      </c>
      <c r="T808" s="82">
        <v>63</v>
      </c>
      <c r="U808" s="82">
        <v>0</v>
      </c>
      <c r="V808" s="82">
        <v>0</v>
      </c>
      <c r="W808" s="82">
        <v>0</v>
      </c>
      <c r="X808" s="81" t="s">
        <v>133</v>
      </c>
      <c r="Y808" s="82">
        <v>4</v>
      </c>
      <c r="Z808" s="81" t="s">
        <v>138</v>
      </c>
      <c r="AA808" s="81" t="s">
        <v>58</v>
      </c>
      <c r="AB808" s="81" t="s">
        <v>58</v>
      </c>
      <c r="AC808" s="83">
        <v>46137</v>
      </c>
    </row>
    <row r="809" spans="2:29" ht="23" x14ac:dyDescent="0.35">
      <c r="B809" s="81" t="s">
        <v>338</v>
      </c>
      <c r="C809" s="81" t="s">
        <v>339</v>
      </c>
      <c r="D809" s="81" t="s">
        <v>340</v>
      </c>
      <c r="E809" s="81" t="s">
        <v>603</v>
      </c>
      <c r="F809" s="162" t="s">
        <v>604</v>
      </c>
      <c r="G809" s="163"/>
      <c r="H809" s="81" t="s">
        <v>1242</v>
      </c>
      <c r="I809" s="81" t="s">
        <v>344</v>
      </c>
      <c r="J809" s="81" t="s">
        <v>11</v>
      </c>
      <c r="K809" s="81" t="s">
        <v>1245</v>
      </c>
      <c r="L809" s="81" t="s">
        <v>129</v>
      </c>
      <c r="M809" s="164">
        <v>23.5</v>
      </c>
      <c r="N809" s="165"/>
      <c r="O809" s="163"/>
      <c r="P809" s="82">
        <v>82.54</v>
      </c>
      <c r="Q809" s="164">
        <v>0</v>
      </c>
      <c r="R809" s="163"/>
      <c r="S809" s="81" t="s">
        <v>346</v>
      </c>
      <c r="T809" s="82">
        <v>63</v>
      </c>
      <c r="U809" s="82">
        <v>0</v>
      </c>
      <c r="V809" s="82">
        <v>0</v>
      </c>
      <c r="W809" s="82">
        <v>0</v>
      </c>
      <c r="X809" s="81"/>
      <c r="Y809" s="81"/>
      <c r="Z809" s="81" t="s">
        <v>138</v>
      </c>
      <c r="AA809" s="81" t="s">
        <v>58</v>
      </c>
      <c r="AB809" s="81" t="s">
        <v>58</v>
      </c>
      <c r="AC809" s="83">
        <v>46137</v>
      </c>
    </row>
    <row r="810" spans="2:29" ht="23" x14ac:dyDescent="0.35">
      <c r="B810" s="81" t="s">
        <v>338</v>
      </c>
      <c r="C810" s="81" t="s">
        <v>339</v>
      </c>
      <c r="D810" s="81" t="s">
        <v>340</v>
      </c>
      <c r="E810" s="81" t="s">
        <v>603</v>
      </c>
      <c r="F810" s="162" t="s">
        <v>604</v>
      </c>
      <c r="G810" s="163"/>
      <c r="H810" s="81" t="s">
        <v>1242</v>
      </c>
      <c r="I810" s="81" t="s">
        <v>344</v>
      </c>
      <c r="J810" s="81" t="s">
        <v>11</v>
      </c>
      <c r="K810" s="81" t="s">
        <v>1246</v>
      </c>
      <c r="L810" s="81" t="s">
        <v>129</v>
      </c>
      <c r="M810" s="164">
        <v>23.4</v>
      </c>
      <c r="N810" s="165"/>
      <c r="O810" s="163"/>
      <c r="P810" s="82">
        <v>82.19</v>
      </c>
      <c r="Q810" s="164">
        <v>0</v>
      </c>
      <c r="R810" s="163"/>
      <c r="S810" s="81" t="s">
        <v>346</v>
      </c>
      <c r="T810" s="82">
        <v>63</v>
      </c>
      <c r="U810" s="82">
        <v>0</v>
      </c>
      <c r="V810" s="82">
        <v>0</v>
      </c>
      <c r="W810" s="82">
        <v>0</v>
      </c>
      <c r="X810" s="81" t="s">
        <v>133</v>
      </c>
      <c r="Y810" s="82">
        <v>4</v>
      </c>
      <c r="Z810" s="81" t="s">
        <v>138</v>
      </c>
      <c r="AA810" s="81" t="s">
        <v>58</v>
      </c>
      <c r="AB810" s="81" t="s">
        <v>58</v>
      </c>
      <c r="AC810" s="83">
        <v>46137</v>
      </c>
    </row>
    <row r="811" spans="2:29" ht="23" x14ac:dyDescent="0.35">
      <c r="B811" s="81" t="s">
        <v>338</v>
      </c>
      <c r="C811" s="81" t="s">
        <v>339</v>
      </c>
      <c r="D811" s="81" t="s">
        <v>340</v>
      </c>
      <c r="E811" s="81" t="s">
        <v>603</v>
      </c>
      <c r="F811" s="162" t="s">
        <v>604</v>
      </c>
      <c r="G811" s="163"/>
      <c r="H811" s="81" t="s">
        <v>1242</v>
      </c>
      <c r="I811" s="81" t="s">
        <v>344</v>
      </c>
      <c r="J811" s="81" t="s">
        <v>11</v>
      </c>
      <c r="K811" s="81" t="s">
        <v>1247</v>
      </c>
      <c r="L811" s="81" t="s">
        <v>129</v>
      </c>
      <c r="M811" s="164">
        <v>23.4</v>
      </c>
      <c r="N811" s="165"/>
      <c r="O811" s="163"/>
      <c r="P811" s="82">
        <v>82.19</v>
      </c>
      <c r="Q811" s="164">
        <v>0</v>
      </c>
      <c r="R811" s="163"/>
      <c r="S811" s="81" t="s">
        <v>346</v>
      </c>
      <c r="T811" s="82">
        <v>63</v>
      </c>
      <c r="U811" s="82">
        <v>0</v>
      </c>
      <c r="V811" s="82">
        <v>0</v>
      </c>
      <c r="W811" s="82">
        <v>0</v>
      </c>
      <c r="X811" s="81" t="s">
        <v>135</v>
      </c>
      <c r="Y811" s="82">
        <v>4</v>
      </c>
      <c r="Z811" s="81" t="s">
        <v>138</v>
      </c>
      <c r="AA811" s="81" t="s">
        <v>58</v>
      </c>
      <c r="AB811" s="81" t="s">
        <v>58</v>
      </c>
      <c r="AC811" s="83">
        <v>46137</v>
      </c>
    </row>
    <row r="812" spans="2:29" ht="23" x14ac:dyDescent="0.35">
      <c r="B812" s="81" t="s">
        <v>338</v>
      </c>
      <c r="C812" s="81" t="s">
        <v>339</v>
      </c>
      <c r="D812" s="81" t="s">
        <v>340</v>
      </c>
      <c r="E812" s="81" t="s">
        <v>603</v>
      </c>
      <c r="F812" s="162" t="s">
        <v>604</v>
      </c>
      <c r="G812" s="163"/>
      <c r="H812" s="81" t="s">
        <v>1242</v>
      </c>
      <c r="I812" s="81" t="s">
        <v>344</v>
      </c>
      <c r="J812" s="81" t="s">
        <v>11</v>
      </c>
      <c r="K812" s="81" t="s">
        <v>1248</v>
      </c>
      <c r="L812" s="81" t="s">
        <v>129</v>
      </c>
      <c r="M812" s="164">
        <v>23.6</v>
      </c>
      <c r="N812" s="165"/>
      <c r="O812" s="163"/>
      <c r="P812" s="82">
        <v>82.89</v>
      </c>
      <c r="Q812" s="164">
        <v>0</v>
      </c>
      <c r="R812" s="163"/>
      <c r="S812" s="81" t="s">
        <v>346</v>
      </c>
      <c r="T812" s="82">
        <v>63</v>
      </c>
      <c r="U812" s="82">
        <v>0</v>
      </c>
      <c r="V812" s="82">
        <v>0</v>
      </c>
      <c r="W812" s="82">
        <v>0</v>
      </c>
      <c r="X812" s="81" t="s">
        <v>135</v>
      </c>
      <c r="Y812" s="82">
        <v>12</v>
      </c>
      <c r="Z812" s="81" t="s">
        <v>138</v>
      </c>
      <c r="AA812" s="81" t="s">
        <v>58</v>
      </c>
      <c r="AB812" s="81" t="s">
        <v>58</v>
      </c>
      <c r="AC812" s="83">
        <v>46137</v>
      </c>
    </row>
    <row r="813" spans="2:29" ht="23" x14ac:dyDescent="0.35">
      <c r="B813" s="81" t="s">
        <v>338</v>
      </c>
      <c r="C813" s="81" t="s">
        <v>339</v>
      </c>
      <c r="D813" s="81" t="s">
        <v>340</v>
      </c>
      <c r="E813" s="81" t="s">
        <v>603</v>
      </c>
      <c r="F813" s="162" t="s">
        <v>604</v>
      </c>
      <c r="G813" s="163"/>
      <c r="H813" s="81" t="s">
        <v>1242</v>
      </c>
      <c r="I813" s="81" t="s">
        <v>344</v>
      </c>
      <c r="J813" s="81" t="s">
        <v>11</v>
      </c>
      <c r="K813" s="81" t="s">
        <v>1249</v>
      </c>
      <c r="L813" s="81" t="s">
        <v>129</v>
      </c>
      <c r="M813" s="164">
        <v>23.7</v>
      </c>
      <c r="N813" s="165"/>
      <c r="O813" s="163"/>
      <c r="P813" s="82">
        <v>83.24</v>
      </c>
      <c r="Q813" s="164">
        <v>0</v>
      </c>
      <c r="R813" s="163"/>
      <c r="S813" s="81" t="s">
        <v>346</v>
      </c>
      <c r="T813" s="82">
        <v>63</v>
      </c>
      <c r="U813" s="82">
        <v>0</v>
      </c>
      <c r="V813" s="82">
        <v>0</v>
      </c>
      <c r="W813" s="82">
        <v>0</v>
      </c>
      <c r="X813" s="81" t="s">
        <v>135</v>
      </c>
      <c r="Y813" s="82">
        <v>16</v>
      </c>
      <c r="Z813" s="81" t="s">
        <v>138</v>
      </c>
      <c r="AA813" s="81" t="s">
        <v>58</v>
      </c>
      <c r="AB813" s="81" t="s">
        <v>58</v>
      </c>
      <c r="AC813" s="83">
        <v>46137</v>
      </c>
    </row>
    <row r="814" spans="2:29" ht="23" x14ac:dyDescent="0.35">
      <c r="B814" s="81" t="s">
        <v>338</v>
      </c>
      <c r="C814" s="81" t="s">
        <v>339</v>
      </c>
      <c r="D814" s="81" t="s">
        <v>340</v>
      </c>
      <c r="E814" s="81" t="s">
        <v>603</v>
      </c>
      <c r="F814" s="162" t="s">
        <v>604</v>
      </c>
      <c r="G814" s="163"/>
      <c r="H814" s="81" t="s">
        <v>1242</v>
      </c>
      <c r="I814" s="81" t="s">
        <v>344</v>
      </c>
      <c r="J814" s="81" t="s">
        <v>11</v>
      </c>
      <c r="K814" s="81" t="s">
        <v>1250</v>
      </c>
      <c r="L814" s="81" t="s">
        <v>129</v>
      </c>
      <c r="M814" s="164">
        <v>26.4</v>
      </c>
      <c r="N814" s="165"/>
      <c r="O814" s="163"/>
      <c r="P814" s="82">
        <v>92.72</v>
      </c>
      <c r="Q814" s="164">
        <v>0</v>
      </c>
      <c r="R814" s="163"/>
      <c r="S814" s="81" t="s">
        <v>346</v>
      </c>
      <c r="T814" s="82">
        <v>63</v>
      </c>
      <c r="U814" s="82">
        <v>0</v>
      </c>
      <c r="V814" s="82">
        <v>0</v>
      </c>
      <c r="W814" s="82">
        <v>0</v>
      </c>
      <c r="X814" s="81" t="s">
        <v>135</v>
      </c>
      <c r="Y814" s="82">
        <v>12</v>
      </c>
      <c r="Z814" s="81" t="s">
        <v>138</v>
      </c>
      <c r="AA814" s="81" t="s">
        <v>58</v>
      </c>
      <c r="AB814" s="81" t="s">
        <v>58</v>
      </c>
      <c r="AC814" s="83">
        <v>46137</v>
      </c>
    </row>
    <row r="815" spans="2:29" ht="23" x14ac:dyDescent="0.35">
      <c r="B815" s="81" t="s">
        <v>338</v>
      </c>
      <c r="C815" s="81" t="s">
        <v>339</v>
      </c>
      <c r="D815" s="81" t="s">
        <v>340</v>
      </c>
      <c r="E815" s="81" t="s">
        <v>603</v>
      </c>
      <c r="F815" s="162" t="s">
        <v>604</v>
      </c>
      <c r="G815" s="163"/>
      <c r="H815" s="81" t="s">
        <v>1242</v>
      </c>
      <c r="I815" s="81" t="s">
        <v>344</v>
      </c>
      <c r="J815" s="81" t="s">
        <v>11</v>
      </c>
      <c r="K815" s="81" t="s">
        <v>1251</v>
      </c>
      <c r="L815" s="81" t="s">
        <v>129</v>
      </c>
      <c r="M815" s="164">
        <v>23.4</v>
      </c>
      <c r="N815" s="165"/>
      <c r="O815" s="163"/>
      <c r="P815" s="82">
        <v>82.19</v>
      </c>
      <c r="Q815" s="164">
        <v>0</v>
      </c>
      <c r="R815" s="163"/>
      <c r="S815" s="81" t="s">
        <v>346</v>
      </c>
      <c r="T815" s="82">
        <v>63</v>
      </c>
      <c r="U815" s="82">
        <v>0</v>
      </c>
      <c r="V815" s="82">
        <v>0</v>
      </c>
      <c r="W815" s="82">
        <v>0</v>
      </c>
      <c r="X815" s="81" t="s">
        <v>135</v>
      </c>
      <c r="Y815" s="82">
        <v>12</v>
      </c>
      <c r="Z815" s="81" t="s">
        <v>138</v>
      </c>
      <c r="AA815" s="81" t="s">
        <v>58</v>
      </c>
      <c r="AB815" s="81" t="s">
        <v>58</v>
      </c>
      <c r="AC815" s="83">
        <v>46137</v>
      </c>
    </row>
    <row r="816" spans="2:29" ht="23" x14ac:dyDescent="0.35">
      <c r="B816" s="81" t="s">
        <v>338</v>
      </c>
      <c r="C816" s="81" t="s">
        <v>339</v>
      </c>
      <c r="D816" s="81" t="s">
        <v>340</v>
      </c>
      <c r="E816" s="81" t="s">
        <v>603</v>
      </c>
      <c r="F816" s="162" t="s">
        <v>604</v>
      </c>
      <c r="G816" s="163"/>
      <c r="H816" s="81" t="s">
        <v>1242</v>
      </c>
      <c r="I816" s="81" t="s">
        <v>344</v>
      </c>
      <c r="J816" s="81" t="s">
        <v>11</v>
      </c>
      <c r="K816" s="81" t="s">
        <v>1252</v>
      </c>
      <c r="L816" s="81" t="s">
        <v>129</v>
      </c>
      <c r="M816" s="164">
        <v>23.8</v>
      </c>
      <c r="N816" s="165"/>
      <c r="O816" s="163"/>
      <c r="P816" s="82">
        <v>83.59</v>
      </c>
      <c r="Q816" s="164">
        <v>0</v>
      </c>
      <c r="R816" s="163"/>
      <c r="S816" s="81" t="s">
        <v>346</v>
      </c>
      <c r="T816" s="82">
        <v>63</v>
      </c>
      <c r="U816" s="82">
        <v>0</v>
      </c>
      <c r="V816" s="82">
        <v>0</v>
      </c>
      <c r="W816" s="82">
        <v>0</v>
      </c>
      <c r="X816" s="81"/>
      <c r="Y816" s="81"/>
      <c r="Z816" s="81" t="s">
        <v>138</v>
      </c>
      <c r="AA816" s="81" t="s">
        <v>58</v>
      </c>
      <c r="AB816" s="81" t="s">
        <v>58</v>
      </c>
      <c r="AC816" s="83">
        <v>46137</v>
      </c>
    </row>
    <row r="817" spans="2:29" ht="23" x14ac:dyDescent="0.35">
      <c r="B817" s="81" t="s">
        <v>338</v>
      </c>
      <c r="C817" s="81" t="s">
        <v>339</v>
      </c>
      <c r="D817" s="81" t="s">
        <v>340</v>
      </c>
      <c r="E817" s="81" t="s">
        <v>603</v>
      </c>
      <c r="F817" s="162" t="s">
        <v>604</v>
      </c>
      <c r="G817" s="163"/>
      <c r="H817" s="81" t="s">
        <v>1242</v>
      </c>
      <c r="I817" s="81" t="s">
        <v>344</v>
      </c>
      <c r="J817" s="81" t="s">
        <v>11</v>
      </c>
      <c r="K817" s="81" t="s">
        <v>1253</v>
      </c>
      <c r="L817" s="81" t="s">
        <v>129</v>
      </c>
      <c r="M817" s="164">
        <v>23.6</v>
      </c>
      <c r="N817" s="165"/>
      <c r="O817" s="163"/>
      <c r="P817" s="82">
        <v>82.89</v>
      </c>
      <c r="Q817" s="164">
        <v>0</v>
      </c>
      <c r="R817" s="163"/>
      <c r="S817" s="81" t="s">
        <v>346</v>
      </c>
      <c r="T817" s="82">
        <v>63</v>
      </c>
      <c r="U817" s="82">
        <v>0</v>
      </c>
      <c r="V817" s="82">
        <v>0</v>
      </c>
      <c r="W817" s="82">
        <v>0</v>
      </c>
      <c r="X817" s="81"/>
      <c r="Y817" s="81"/>
      <c r="Z817" s="81" t="s">
        <v>138</v>
      </c>
      <c r="AA817" s="81" t="s">
        <v>58</v>
      </c>
      <c r="AB817" s="81" t="s">
        <v>58</v>
      </c>
      <c r="AC817" s="83">
        <v>46137</v>
      </c>
    </row>
    <row r="818" spans="2:29" ht="23" x14ac:dyDescent="0.35">
      <c r="B818" s="81" t="s">
        <v>338</v>
      </c>
      <c r="C818" s="81" t="s">
        <v>339</v>
      </c>
      <c r="D818" s="81" t="s">
        <v>340</v>
      </c>
      <c r="E818" s="81" t="s">
        <v>603</v>
      </c>
      <c r="F818" s="162" t="s">
        <v>604</v>
      </c>
      <c r="G818" s="163"/>
      <c r="H818" s="81" t="s">
        <v>1242</v>
      </c>
      <c r="I818" s="81" t="s">
        <v>344</v>
      </c>
      <c r="J818" s="81" t="s">
        <v>11</v>
      </c>
      <c r="K818" s="81" t="s">
        <v>1254</v>
      </c>
      <c r="L818" s="81" t="s">
        <v>129</v>
      </c>
      <c r="M818" s="164">
        <v>23.5</v>
      </c>
      <c r="N818" s="165"/>
      <c r="O818" s="163"/>
      <c r="P818" s="82">
        <v>82.54</v>
      </c>
      <c r="Q818" s="164">
        <v>0</v>
      </c>
      <c r="R818" s="163"/>
      <c r="S818" s="81" t="s">
        <v>346</v>
      </c>
      <c r="T818" s="82">
        <v>63</v>
      </c>
      <c r="U818" s="82">
        <v>0</v>
      </c>
      <c r="V818" s="82">
        <v>0</v>
      </c>
      <c r="W818" s="82">
        <v>0</v>
      </c>
      <c r="X818" s="81"/>
      <c r="Y818" s="81"/>
      <c r="Z818" s="81" t="s">
        <v>138</v>
      </c>
      <c r="AA818" s="81" t="s">
        <v>58</v>
      </c>
      <c r="AB818" s="81" t="s">
        <v>58</v>
      </c>
      <c r="AC818" s="83">
        <v>46137</v>
      </c>
    </row>
    <row r="819" spans="2:29" ht="23" x14ac:dyDescent="0.35">
      <c r="B819" s="81" t="s">
        <v>338</v>
      </c>
      <c r="C819" s="81" t="s">
        <v>339</v>
      </c>
      <c r="D819" s="81" t="s">
        <v>340</v>
      </c>
      <c r="E819" s="81" t="s">
        <v>603</v>
      </c>
      <c r="F819" s="162" t="s">
        <v>604</v>
      </c>
      <c r="G819" s="163"/>
      <c r="H819" s="81" t="s">
        <v>1242</v>
      </c>
      <c r="I819" s="81" t="s">
        <v>344</v>
      </c>
      <c r="J819" s="81" t="s">
        <v>11</v>
      </c>
      <c r="K819" s="81" t="s">
        <v>1255</v>
      </c>
      <c r="L819" s="81" t="s">
        <v>129</v>
      </c>
      <c r="M819" s="164">
        <v>23.4</v>
      </c>
      <c r="N819" s="165"/>
      <c r="O819" s="163"/>
      <c r="P819" s="82">
        <v>82.19</v>
      </c>
      <c r="Q819" s="164">
        <v>0</v>
      </c>
      <c r="R819" s="163"/>
      <c r="S819" s="81" t="s">
        <v>346</v>
      </c>
      <c r="T819" s="82">
        <v>63</v>
      </c>
      <c r="U819" s="82">
        <v>0</v>
      </c>
      <c r="V819" s="82">
        <v>0</v>
      </c>
      <c r="W819" s="82">
        <v>0</v>
      </c>
      <c r="X819" s="81" t="s">
        <v>135</v>
      </c>
      <c r="Y819" s="82">
        <v>4</v>
      </c>
      <c r="Z819" s="81" t="s">
        <v>138</v>
      </c>
      <c r="AA819" s="81" t="s">
        <v>58</v>
      </c>
      <c r="AB819" s="81" t="s">
        <v>58</v>
      </c>
      <c r="AC819" s="83">
        <v>46137</v>
      </c>
    </row>
    <row r="820" spans="2:29" ht="23" x14ac:dyDescent="0.35">
      <c r="B820" s="81" t="s">
        <v>338</v>
      </c>
      <c r="C820" s="81" t="s">
        <v>339</v>
      </c>
      <c r="D820" s="81" t="s">
        <v>340</v>
      </c>
      <c r="E820" s="81" t="s">
        <v>603</v>
      </c>
      <c r="F820" s="162" t="s">
        <v>604</v>
      </c>
      <c r="G820" s="163"/>
      <c r="H820" s="81" t="s">
        <v>1242</v>
      </c>
      <c r="I820" s="81" t="s">
        <v>344</v>
      </c>
      <c r="J820" s="81" t="s">
        <v>11</v>
      </c>
      <c r="K820" s="81" t="s">
        <v>1256</v>
      </c>
      <c r="L820" s="81" t="s">
        <v>129</v>
      </c>
      <c r="M820" s="164">
        <v>23.1</v>
      </c>
      <c r="N820" s="165"/>
      <c r="O820" s="163"/>
      <c r="P820" s="82">
        <v>81.13</v>
      </c>
      <c r="Q820" s="164">
        <v>0</v>
      </c>
      <c r="R820" s="163"/>
      <c r="S820" s="81" t="s">
        <v>346</v>
      </c>
      <c r="T820" s="82">
        <v>63</v>
      </c>
      <c r="U820" s="82">
        <v>0</v>
      </c>
      <c r="V820" s="82">
        <v>0</v>
      </c>
      <c r="W820" s="82">
        <v>0</v>
      </c>
      <c r="X820" s="81" t="s">
        <v>135</v>
      </c>
      <c r="Y820" s="82">
        <v>12</v>
      </c>
      <c r="Z820" s="81" t="s">
        <v>138</v>
      </c>
      <c r="AA820" s="81" t="s">
        <v>58</v>
      </c>
      <c r="AB820" s="81" t="s">
        <v>58</v>
      </c>
      <c r="AC820" s="83">
        <v>46137</v>
      </c>
    </row>
    <row r="821" spans="2:29" ht="23" x14ac:dyDescent="0.35">
      <c r="B821" s="81" t="s">
        <v>338</v>
      </c>
      <c r="C821" s="81" t="s">
        <v>339</v>
      </c>
      <c r="D821" s="81" t="s">
        <v>340</v>
      </c>
      <c r="E821" s="81" t="s">
        <v>603</v>
      </c>
      <c r="F821" s="162" t="s">
        <v>604</v>
      </c>
      <c r="G821" s="163"/>
      <c r="H821" s="81" t="s">
        <v>1242</v>
      </c>
      <c r="I821" s="81" t="s">
        <v>344</v>
      </c>
      <c r="J821" s="81" t="s">
        <v>11</v>
      </c>
      <c r="K821" s="81" t="s">
        <v>1257</v>
      </c>
      <c r="L821" s="81" t="s">
        <v>129</v>
      </c>
      <c r="M821" s="164">
        <v>22.9</v>
      </c>
      <c r="N821" s="165"/>
      <c r="O821" s="163"/>
      <c r="P821" s="82">
        <v>80.430000000000007</v>
      </c>
      <c r="Q821" s="164">
        <v>0</v>
      </c>
      <c r="R821" s="163"/>
      <c r="S821" s="81" t="s">
        <v>346</v>
      </c>
      <c r="T821" s="82">
        <v>63</v>
      </c>
      <c r="U821" s="82">
        <v>0</v>
      </c>
      <c r="V821" s="82">
        <v>0</v>
      </c>
      <c r="W821" s="82">
        <v>0</v>
      </c>
      <c r="X821" s="81"/>
      <c r="Y821" s="81"/>
      <c r="Z821" s="81" t="s">
        <v>138</v>
      </c>
      <c r="AA821" s="81" t="s">
        <v>58</v>
      </c>
      <c r="AB821" s="81" t="s">
        <v>58</v>
      </c>
      <c r="AC821" s="83">
        <v>46137</v>
      </c>
    </row>
    <row r="822" spans="2:29" ht="23" x14ac:dyDescent="0.35">
      <c r="B822" s="81" t="s">
        <v>338</v>
      </c>
      <c r="C822" s="81" t="s">
        <v>339</v>
      </c>
      <c r="D822" s="81" t="s">
        <v>340</v>
      </c>
      <c r="E822" s="81" t="s">
        <v>603</v>
      </c>
      <c r="F822" s="162" t="s">
        <v>604</v>
      </c>
      <c r="G822" s="163"/>
      <c r="H822" s="81" t="s">
        <v>1242</v>
      </c>
      <c r="I822" s="81" t="s">
        <v>344</v>
      </c>
      <c r="J822" s="81" t="s">
        <v>11</v>
      </c>
      <c r="K822" s="81" t="s">
        <v>1258</v>
      </c>
      <c r="L822" s="81" t="s">
        <v>129</v>
      </c>
      <c r="M822" s="164">
        <v>22.3</v>
      </c>
      <c r="N822" s="165"/>
      <c r="O822" s="163"/>
      <c r="P822" s="82">
        <v>78.319999999999993</v>
      </c>
      <c r="Q822" s="164">
        <v>0</v>
      </c>
      <c r="R822" s="163"/>
      <c r="S822" s="81" t="s">
        <v>346</v>
      </c>
      <c r="T822" s="82">
        <v>63</v>
      </c>
      <c r="U822" s="82">
        <v>0</v>
      </c>
      <c r="V822" s="82">
        <v>0</v>
      </c>
      <c r="W822" s="82">
        <v>0</v>
      </c>
      <c r="X822" s="81" t="s">
        <v>135</v>
      </c>
      <c r="Y822" s="82">
        <v>24</v>
      </c>
      <c r="Z822" s="81" t="s">
        <v>138</v>
      </c>
      <c r="AA822" s="81" t="s">
        <v>58</v>
      </c>
      <c r="AB822" s="81" t="s">
        <v>58</v>
      </c>
      <c r="AC822" s="83">
        <v>46137</v>
      </c>
    </row>
    <row r="823" spans="2:29" ht="23" x14ac:dyDescent="0.35">
      <c r="B823" s="81" t="s">
        <v>338</v>
      </c>
      <c r="C823" s="81" t="s">
        <v>339</v>
      </c>
      <c r="D823" s="81" t="s">
        <v>340</v>
      </c>
      <c r="E823" s="81" t="s">
        <v>603</v>
      </c>
      <c r="F823" s="162" t="s">
        <v>604</v>
      </c>
      <c r="G823" s="163"/>
      <c r="H823" s="81" t="s">
        <v>1242</v>
      </c>
      <c r="I823" s="81" t="s">
        <v>344</v>
      </c>
      <c r="J823" s="81" t="s">
        <v>11</v>
      </c>
      <c r="K823" s="81" t="s">
        <v>1259</v>
      </c>
      <c r="L823" s="81" t="s">
        <v>129</v>
      </c>
      <c r="M823" s="164">
        <v>26.8</v>
      </c>
      <c r="N823" s="165"/>
      <c r="O823" s="163"/>
      <c r="P823" s="82">
        <v>94.13</v>
      </c>
      <c r="Q823" s="164">
        <v>0</v>
      </c>
      <c r="R823" s="163"/>
      <c r="S823" s="81" t="s">
        <v>346</v>
      </c>
      <c r="T823" s="82">
        <v>63</v>
      </c>
      <c r="U823" s="82">
        <v>0</v>
      </c>
      <c r="V823" s="82">
        <v>0</v>
      </c>
      <c r="W823" s="82">
        <v>0</v>
      </c>
      <c r="X823" s="81" t="s">
        <v>135</v>
      </c>
      <c r="Y823" s="82">
        <v>24</v>
      </c>
      <c r="Z823" s="81" t="s">
        <v>138</v>
      </c>
      <c r="AA823" s="81" t="s">
        <v>58</v>
      </c>
      <c r="AB823" s="81" t="s">
        <v>58</v>
      </c>
      <c r="AC823" s="83">
        <v>46137</v>
      </c>
    </row>
    <row r="824" spans="2:29" ht="23" x14ac:dyDescent="0.35">
      <c r="B824" s="81" t="s">
        <v>338</v>
      </c>
      <c r="C824" s="81" t="s">
        <v>339</v>
      </c>
      <c r="D824" s="81" t="s">
        <v>340</v>
      </c>
      <c r="E824" s="81" t="s">
        <v>603</v>
      </c>
      <c r="F824" s="162" t="s">
        <v>604</v>
      </c>
      <c r="G824" s="163"/>
      <c r="H824" s="81" t="s">
        <v>1242</v>
      </c>
      <c r="I824" s="81" t="s">
        <v>344</v>
      </c>
      <c r="J824" s="81" t="s">
        <v>11</v>
      </c>
      <c r="K824" s="81" t="s">
        <v>1260</v>
      </c>
      <c r="L824" s="81" t="s">
        <v>129</v>
      </c>
      <c r="M824" s="164">
        <v>23.2</v>
      </c>
      <c r="N824" s="165"/>
      <c r="O824" s="163"/>
      <c r="P824" s="82">
        <v>81.48</v>
      </c>
      <c r="Q824" s="164">
        <v>0</v>
      </c>
      <c r="R824" s="163"/>
      <c r="S824" s="81" t="s">
        <v>346</v>
      </c>
      <c r="T824" s="82">
        <v>63</v>
      </c>
      <c r="U824" s="82">
        <v>0</v>
      </c>
      <c r="V824" s="82">
        <v>0</v>
      </c>
      <c r="W824" s="82">
        <v>0</v>
      </c>
      <c r="X824" s="81"/>
      <c r="Y824" s="81"/>
      <c r="Z824" s="81" t="s">
        <v>138</v>
      </c>
      <c r="AA824" s="81" t="s">
        <v>58</v>
      </c>
      <c r="AB824" s="81" t="s">
        <v>58</v>
      </c>
      <c r="AC824" s="83">
        <v>46137</v>
      </c>
    </row>
    <row r="825" spans="2:29" ht="23" x14ac:dyDescent="0.35">
      <c r="B825" s="81" t="s">
        <v>338</v>
      </c>
      <c r="C825" s="81" t="s">
        <v>339</v>
      </c>
      <c r="D825" s="81" t="s">
        <v>340</v>
      </c>
      <c r="E825" s="81" t="s">
        <v>603</v>
      </c>
      <c r="F825" s="162" t="s">
        <v>604</v>
      </c>
      <c r="G825" s="163"/>
      <c r="H825" s="81" t="s">
        <v>1242</v>
      </c>
      <c r="I825" s="81" t="s">
        <v>344</v>
      </c>
      <c r="J825" s="81" t="s">
        <v>11</v>
      </c>
      <c r="K825" s="81" t="s">
        <v>1261</v>
      </c>
      <c r="L825" s="81" t="s">
        <v>129</v>
      </c>
      <c r="M825" s="164">
        <v>23.2</v>
      </c>
      <c r="N825" s="165"/>
      <c r="O825" s="163"/>
      <c r="P825" s="82">
        <v>81.48</v>
      </c>
      <c r="Q825" s="164">
        <v>0</v>
      </c>
      <c r="R825" s="163"/>
      <c r="S825" s="81" t="s">
        <v>346</v>
      </c>
      <c r="T825" s="82">
        <v>63</v>
      </c>
      <c r="U825" s="82">
        <v>0</v>
      </c>
      <c r="V825" s="82">
        <v>0</v>
      </c>
      <c r="W825" s="82">
        <v>0</v>
      </c>
      <c r="X825" s="81" t="s">
        <v>133</v>
      </c>
      <c r="Y825" s="82">
        <v>4</v>
      </c>
      <c r="Z825" s="81" t="s">
        <v>138</v>
      </c>
      <c r="AA825" s="81" t="s">
        <v>58</v>
      </c>
      <c r="AB825" s="81" t="s">
        <v>58</v>
      </c>
      <c r="AC825" s="83">
        <v>46137</v>
      </c>
    </row>
    <row r="826" spans="2:29" ht="23" x14ac:dyDescent="0.35">
      <c r="B826" s="81" t="s">
        <v>338</v>
      </c>
      <c r="C826" s="81" t="s">
        <v>339</v>
      </c>
      <c r="D826" s="81" t="s">
        <v>340</v>
      </c>
      <c r="E826" s="81" t="s">
        <v>603</v>
      </c>
      <c r="F826" s="162" t="s">
        <v>604</v>
      </c>
      <c r="G826" s="163"/>
      <c r="H826" s="81" t="s">
        <v>1242</v>
      </c>
      <c r="I826" s="81" t="s">
        <v>344</v>
      </c>
      <c r="J826" s="81" t="s">
        <v>11</v>
      </c>
      <c r="K826" s="81" t="s">
        <v>1262</v>
      </c>
      <c r="L826" s="81" t="s">
        <v>129</v>
      </c>
      <c r="M826" s="164">
        <v>23</v>
      </c>
      <c r="N826" s="165"/>
      <c r="O826" s="163"/>
      <c r="P826" s="82">
        <v>80.78</v>
      </c>
      <c r="Q826" s="164">
        <v>0</v>
      </c>
      <c r="R826" s="163"/>
      <c r="S826" s="81" t="s">
        <v>346</v>
      </c>
      <c r="T826" s="82">
        <v>63</v>
      </c>
      <c r="U826" s="82">
        <v>0</v>
      </c>
      <c r="V826" s="82">
        <v>0</v>
      </c>
      <c r="W826" s="82">
        <v>0</v>
      </c>
      <c r="X826" s="81" t="s">
        <v>135</v>
      </c>
      <c r="Y826" s="82">
        <v>4</v>
      </c>
      <c r="Z826" s="81" t="s">
        <v>138</v>
      </c>
      <c r="AA826" s="81" t="s">
        <v>58</v>
      </c>
      <c r="AB826" s="81" t="s">
        <v>58</v>
      </c>
      <c r="AC826" s="83">
        <v>46137</v>
      </c>
    </row>
    <row r="827" spans="2:29" ht="23" x14ac:dyDescent="0.35">
      <c r="B827" s="81" t="s">
        <v>338</v>
      </c>
      <c r="C827" s="81" t="s">
        <v>339</v>
      </c>
      <c r="D827" s="81" t="s">
        <v>340</v>
      </c>
      <c r="E827" s="81" t="s">
        <v>603</v>
      </c>
      <c r="F827" s="162" t="s">
        <v>604</v>
      </c>
      <c r="G827" s="163"/>
      <c r="H827" s="81" t="s">
        <v>1242</v>
      </c>
      <c r="I827" s="81" t="s">
        <v>344</v>
      </c>
      <c r="J827" s="81" t="s">
        <v>11</v>
      </c>
      <c r="K827" s="81" t="s">
        <v>1263</v>
      </c>
      <c r="L827" s="81" t="s">
        <v>129</v>
      </c>
      <c r="M827" s="164">
        <v>23.4</v>
      </c>
      <c r="N827" s="165"/>
      <c r="O827" s="163"/>
      <c r="P827" s="82">
        <v>82.19</v>
      </c>
      <c r="Q827" s="164">
        <v>0</v>
      </c>
      <c r="R827" s="163"/>
      <c r="S827" s="81" t="s">
        <v>346</v>
      </c>
      <c r="T827" s="82">
        <v>63</v>
      </c>
      <c r="U827" s="82">
        <v>0</v>
      </c>
      <c r="V827" s="82">
        <v>0</v>
      </c>
      <c r="W827" s="82">
        <v>0</v>
      </c>
      <c r="X827" s="81" t="s">
        <v>134</v>
      </c>
      <c r="Y827" s="82">
        <v>4</v>
      </c>
      <c r="Z827" s="81" t="s">
        <v>138</v>
      </c>
      <c r="AA827" s="81" t="s">
        <v>58</v>
      </c>
      <c r="AB827" s="81" t="s">
        <v>58</v>
      </c>
      <c r="AC827" s="83">
        <v>46137</v>
      </c>
    </row>
    <row r="828" spans="2:29" ht="23" x14ac:dyDescent="0.35">
      <c r="B828" s="81" t="s">
        <v>338</v>
      </c>
      <c r="C828" s="81" t="s">
        <v>339</v>
      </c>
      <c r="D828" s="81" t="s">
        <v>340</v>
      </c>
      <c r="E828" s="81" t="s">
        <v>603</v>
      </c>
      <c r="F828" s="162" t="s">
        <v>604</v>
      </c>
      <c r="G828" s="163"/>
      <c r="H828" s="81" t="s">
        <v>1242</v>
      </c>
      <c r="I828" s="81" t="s">
        <v>344</v>
      </c>
      <c r="J828" s="81" t="s">
        <v>11</v>
      </c>
      <c r="K828" s="81" t="s">
        <v>1264</v>
      </c>
      <c r="L828" s="81" t="s">
        <v>129</v>
      </c>
      <c r="M828" s="164">
        <v>23.4</v>
      </c>
      <c r="N828" s="165"/>
      <c r="O828" s="163"/>
      <c r="P828" s="82">
        <v>82.19</v>
      </c>
      <c r="Q828" s="164">
        <v>0</v>
      </c>
      <c r="R828" s="163"/>
      <c r="S828" s="81" t="s">
        <v>346</v>
      </c>
      <c r="T828" s="82">
        <v>63</v>
      </c>
      <c r="U828" s="82">
        <v>0</v>
      </c>
      <c r="V828" s="82">
        <v>0</v>
      </c>
      <c r="W828" s="82">
        <v>0</v>
      </c>
      <c r="X828" s="81"/>
      <c r="Y828" s="81"/>
      <c r="Z828" s="81" t="s">
        <v>138</v>
      </c>
      <c r="AA828" s="81" t="s">
        <v>58</v>
      </c>
      <c r="AB828" s="81" t="s">
        <v>58</v>
      </c>
      <c r="AC828" s="83">
        <v>46137</v>
      </c>
    </row>
    <row r="829" spans="2:29" ht="23" x14ac:dyDescent="0.35">
      <c r="B829" s="81" t="s">
        <v>338</v>
      </c>
      <c r="C829" s="81" t="s">
        <v>339</v>
      </c>
      <c r="D829" s="81" t="s">
        <v>340</v>
      </c>
      <c r="E829" s="81" t="s">
        <v>603</v>
      </c>
      <c r="F829" s="162" t="s">
        <v>604</v>
      </c>
      <c r="G829" s="163"/>
      <c r="H829" s="81" t="s">
        <v>1242</v>
      </c>
      <c r="I829" s="81" t="s">
        <v>344</v>
      </c>
      <c r="J829" s="81" t="s">
        <v>11</v>
      </c>
      <c r="K829" s="81" t="s">
        <v>1265</v>
      </c>
      <c r="L829" s="81" t="s">
        <v>129</v>
      </c>
      <c r="M829" s="164">
        <v>23.3</v>
      </c>
      <c r="N829" s="165"/>
      <c r="O829" s="163"/>
      <c r="P829" s="82">
        <v>81.83</v>
      </c>
      <c r="Q829" s="164">
        <v>0</v>
      </c>
      <c r="R829" s="163"/>
      <c r="S829" s="81" t="s">
        <v>346</v>
      </c>
      <c r="T829" s="82">
        <v>63</v>
      </c>
      <c r="U829" s="82">
        <v>0</v>
      </c>
      <c r="V829" s="82">
        <v>0</v>
      </c>
      <c r="W829" s="82">
        <v>0</v>
      </c>
      <c r="X829" s="81" t="s">
        <v>135</v>
      </c>
      <c r="Y829" s="82">
        <v>8</v>
      </c>
      <c r="Z829" s="81" t="s">
        <v>138</v>
      </c>
      <c r="AA829" s="81" t="s">
        <v>58</v>
      </c>
      <c r="AB829" s="81" t="s">
        <v>58</v>
      </c>
      <c r="AC829" s="83">
        <v>46137</v>
      </c>
    </row>
    <row r="830" spans="2:29" ht="23" x14ac:dyDescent="0.35">
      <c r="B830" s="81" t="s">
        <v>338</v>
      </c>
      <c r="C830" s="81" t="s">
        <v>339</v>
      </c>
      <c r="D830" s="81" t="s">
        <v>340</v>
      </c>
      <c r="E830" s="81" t="s">
        <v>603</v>
      </c>
      <c r="F830" s="162" t="s">
        <v>604</v>
      </c>
      <c r="G830" s="163"/>
      <c r="H830" s="81" t="s">
        <v>1242</v>
      </c>
      <c r="I830" s="81" t="s">
        <v>344</v>
      </c>
      <c r="J830" s="81" t="s">
        <v>11</v>
      </c>
      <c r="K830" s="81" t="s">
        <v>1266</v>
      </c>
      <c r="L830" s="81" t="s">
        <v>129</v>
      </c>
      <c r="M830" s="164">
        <v>23.2</v>
      </c>
      <c r="N830" s="165"/>
      <c r="O830" s="163"/>
      <c r="P830" s="82">
        <v>81.48</v>
      </c>
      <c r="Q830" s="164">
        <v>0</v>
      </c>
      <c r="R830" s="163"/>
      <c r="S830" s="81" t="s">
        <v>346</v>
      </c>
      <c r="T830" s="82">
        <v>63</v>
      </c>
      <c r="U830" s="82">
        <v>0</v>
      </c>
      <c r="V830" s="82">
        <v>0</v>
      </c>
      <c r="W830" s="82">
        <v>0</v>
      </c>
      <c r="X830" s="81" t="s">
        <v>135</v>
      </c>
      <c r="Y830" s="82">
        <v>8</v>
      </c>
      <c r="Z830" s="81" t="s">
        <v>138</v>
      </c>
      <c r="AA830" s="81" t="s">
        <v>58</v>
      </c>
      <c r="AB830" s="81" t="s">
        <v>58</v>
      </c>
      <c r="AC830" s="83">
        <v>46137</v>
      </c>
    </row>
    <row r="831" spans="2:29" ht="23" x14ac:dyDescent="0.35">
      <c r="B831" s="81" t="s">
        <v>338</v>
      </c>
      <c r="C831" s="81" t="s">
        <v>339</v>
      </c>
      <c r="D831" s="81" t="s">
        <v>340</v>
      </c>
      <c r="E831" s="81" t="s">
        <v>603</v>
      </c>
      <c r="F831" s="162" t="s">
        <v>604</v>
      </c>
      <c r="G831" s="163"/>
      <c r="H831" s="81" t="s">
        <v>1242</v>
      </c>
      <c r="I831" s="81" t="s">
        <v>344</v>
      </c>
      <c r="J831" s="81" t="s">
        <v>11</v>
      </c>
      <c r="K831" s="81" t="s">
        <v>1267</v>
      </c>
      <c r="L831" s="81" t="s">
        <v>129</v>
      </c>
      <c r="M831" s="164">
        <v>23.2</v>
      </c>
      <c r="N831" s="165"/>
      <c r="O831" s="163"/>
      <c r="P831" s="82">
        <v>81.48</v>
      </c>
      <c r="Q831" s="164">
        <v>0</v>
      </c>
      <c r="R831" s="163"/>
      <c r="S831" s="81" t="s">
        <v>346</v>
      </c>
      <c r="T831" s="82">
        <v>63</v>
      </c>
      <c r="U831" s="82">
        <v>0</v>
      </c>
      <c r="V831" s="82">
        <v>0</v>
      </c>
      <c r="W831" s="82">
        <v>0</v>
      </c>
      <c r="X831" s="81" t="s">
        <v>133</v>
      </c>
      <c r="Y831" s="82">
        <v>4</v>
      </c>
      <c r="Z831" s="81" t="s">
        <v>138</v>
      </c>
      <c r="AA831" s="81" t="s">
        <v>58</v>
      </c>
      <c r="AB831" s="81" t="s">
        <v>58</v>
      </c>
      <c r="AC831" s="83">
        <v>46137</v>
      </c>
    </row>
    <row r="832" spans="2:29" ht="23" x14ac:dyDescent="0.35">
      <c r="B832" s="81" t="s">
        <v>338</v>
      </c>
      <c r="C832" s="81" t="s">
        <v>339</v>
      </c>
      <c r="D832" s="81" t="s">
        <v>340</v>
      </c>
      <c r="E832" s="81" t="s">
        <v>603</v>
      </c>
      <c r="F832" s="162" t="s">
        <v>604</v>
      </c>
      <c r="G832" s="163"/>
      <c r="H832" s="81" t="s">
        <v>1242</v>
      </c>
      <c r="I832" s="81" t="s">
        <v>344</v>
      </c>
      <c r="J832" s="81" t="s">
        <v>11</v>
      </c>
      <c r="K832" s="81" t="s">
        <v>1268</v>
      </c>
      <c r="L832" s="81" t="s">
        <v>129</v>
      </c>
      <c r="M832" s="164">
        <v>26</v>
      </c>
      <c r="N832" s="165"/>
      <c r="O832" s="163"/>
      <c r="P832" s="82">
        <v>91.32</v>
      </c>
      <c r="Q832" s="164">
        <v>0</v>
      </c>
      <c r="R832" s="163"/>
      <c r="S832" s="81" t="s">
        <v>346</v>
      </c>
      <c r="T832" s="82">
        <v>63</v>
      </c>
      <c r="U832" s="82">
        <v>0</v>
      </c>
      <c r="V832" s="82">
        <v>0</v>
      </c>
      <c r="W832" s="82">
        <v>0</v>
      </c>
      <c r="X832" s="81" t="s">
        <v>135</v>
      </c>
      <c r="Y832" s="82">
        <v>16</v>
      </c>
      <c r="Z832" s="81" t="s">
        <v>138</v>
      </c>
      <c r="AA832" s="81" t="s">
        <v>58</v>
      </c>
      <c r="AB832" s="81" t="s">
        <v>58</v>
      </c>
      <c r="AC832" s="83">
        <v>46137</v>
      </c>
    </row>
    <row r="833" spans="2:29" ht="23" x14ac:dyDescent="0.35">
      <c r="B833" s="81" t="s">
        <v>338</v>
      </c>
      <c r="C833" s="81" t="s">
        <v>339</v>
      </c>
      <c r="D833" s="81" t="s">
        <v>340</v>
      </c>
      <c r="E833" s="81" t="s">
        <v>603</v>
      </c>
      <c r="F833" s="162" t="s">
        <v>604</v>
      </c>
      <c r="G833" s="163"/>
      <c r="H833" s="81" t="s">
        <v>1242</v>
      </c>
      <c r="I833" s="81" t="s">
        <v>344</v>
      </c>
      <c r="J833" s="81" t="s">
        <v>11</v>
      </c>
      <c r="K833" s="81" t="s">
        <v>1269</v>
      </c>
      <c r="L833" s="81" t="s">
        <v>129</v>
      </c>
      <c r="M833" s="164">
        <v>23.3</v>
      </c>
      <c r="N833" s="165"/>
      <c r="O833" s="163"/>
      <c r="P833" s="82">
        <v>81.83</v>
      </c>
      <c r="Q833" s="164">
        <v>0</v>
      </c>
      <c r="R833" s="163"/>
      <c r="S833" s="81" t="s">
        <v>346</v>
      </c>
      <c r="T833" s="82">
        <v>63</v>
      </c>
      <c r="U833" s="82">
        <v>0</v>
      </c>
      <c r="V833" s="82">
        <v>0</v>
      </c>
      <c r="W833" s="82">
        <v>0</v>
      </c>
      <c r="X833" s="81" t="s">
        <v>133</v>
      </c>
      <c r="Y833" s="82">
        <v>8</v>
      </c>
      <c r="Z833" s="81" t="s">
        <v>138</v>
      </c>
      <c r="AA833" s="81" t="s">
        <v>58</v>
      </c>
      <c r="AB833" s="81" t="s">
        <v>58</v>
      </c>
      <c r="AC833" s="83">
        <v>46137</v>
      </c>
    </row>
    <row r="834" spans="2:29" ht="23" x14ac:dyDescent="0.35">
      <c r="B834" s="81" t="s">
        <v>338</v>
      </c>
      <c r="C834" s="81" t="s">
        <v>339</v>
      </c>
      <c r="D834" s="81" t="s">
        <v>340</v>
      </c>
      <c r="E834" s="81" t="s">
        <v>603</v>
      </c>
      <c r="F834" s="162" t="s">
        <v>604</v>
      </c>
      <c r="G834" s="163"/>
      <c r="H834" s="81" t="s">
        <v>1242</v>
      </c>
      <c r="I834" s="81" t="s">
        <v>344</v>
      </c>
      <c r="J834" s="81" t="s">
        <v>11</v>
      </c>
      <c r="K834" s="81" t="s">
        <v>1270</v>
      </c>
      <c r="L834" s="81" t="s">
        <v>129</v>
      </c>
      <c r="M834" s="164">
        <v>22.1</v>
      </c>
      <c r="N834" s="165"/>
      <c r="O834" s="163"/>
      <c r="P834" s="82">
        <v>77.62</v>
      </c>
      <c r="Q834" s="164">
        <v>0</v>
      </c>
      <c r="R834" s="163"/>
      <c r="S834" s="81" t="s">
        <v>346</v>
      </c>
      <c r="T834" s="82">
        <v>63</v>
      </c>
      <c r="U834" s="82">
        <v>0</v>
      </c>
      <c r="V834" s="82">
        <v>0</v>
      </c>
      <c r="W834" s="82">
        <v>0</v>
      </c>
      <c r="X834" s="81" t="s">
        <v>134</v>
      </c>
      <c r="Y834" s="82">
        <v>1</v>
      </c>
      <c r="Z834" s="81" t="s">
        <v>138</v>
      </c>
      <c r="AA834" s="81" t="s">
        <v>58</v>
      </c>
      <c r="AB834" s="81" t="s">
        <v>58</v>
      </c>
      <c r="AC834" s="83">
        <v>46137</v>
      </c>
    </row>
    <row r="835" spans="2:29" ht="23" x14ac:dyDescent="0.35">
      <c r="B835" s="81" t="s">
        <v>338</v>
      </c>
      <c r="C835" s="81" t="s">
        <v>339</v>
      </c>
      <c r="D835" s="81" t="s">
        <v>340</v>
      </c>
      <c r="E835" s="81" t="s">
        <v>603</v>
      </c>
      <c r="F835" s="162" t="s">
        <v>604</v>
      </c>
      <c r="G835" s="163"/>
      <c r="H835" s="81" t="s">
        <v>1242</v>
      </c>
      <c r="I835" s="81" t="s">
        <v>344</v>
      </c>
      <c r="J835" s="81" t="s">
        <v>11</v>
      </c>
      <c r="K835" s="81" t="s">
        <v>1271</v>
      </c>
      <c r="L835" s="81" t="s">
        <v>129</v>
      </c>
      <c r="M835" s="164">
        <v>23.6</v>
      </c>
      <c r="N835" s="165"/>
      <c r="O835" s="163"/>
      <c r="P835" s="82">
        <v>82.89</v>
      </c>
      <c r="Q835" s="164">
        <v>0</v>
      </c>
      <c r="R835" s="163"/>
      <c r="S835" s="81" t="s">
        <v>346</v>
      </c>
      <c r="T835" s="82">
        <v>63</v>
      </c>
      <c r="U835" s="82">
        <v>0</v>
      </c>
      <c r="V835" s="82">
        <v>0</v>
      </c>
      <c r="W835" s="82">
        <v>0</v>
      </c>
      <c r="X835" s="81" t="s">
        <v>135</v>
      </c>
      <c r="Y835" s="82">
        <v>8</v>
      </c>
      <c r="Z835" s="81" t="s">
        <v>138</v>
      </c>
      <c r="AA835" s="81" t="s">
        <v>58</v>
      </c>
      <c r="AB835" s="81" t="s">
        <v>58</v>
      </c>
      <c r="AC835" s="83">
        <v>46137</v>
      </c>
    </row>
    <row r="836" spans="2:29" ht="23" x14ac:dyDescent="0.35">
      <c r="B836" s="81" t="s">
        <v>338</v>
      </c>
      <c r="C836" s="81" t="s">
        <v>339</v>
      </c>
      <c r="D836" s="81" t="s">
        <v>340</v>
      </c>
      <c r="E836" s="81" t="s">
        <v>603</v>
      </c>
      <c r="F836" s="162" t="s">
        <v>604</v>
      </c>
      <c r="G836" s="163"/>
      <c r="H836" s="81" t="s">
        <v>1242</v>
      </c>
      <c r="I836" s="81" t="s">
        <v>344</v>
      </c>
      <c r="J836" s="81" t="s">
        <v>11</v>
      </c>
      <c r="K836" s="81" t="s">
        <v>1272</v>
      </c>
      <c r="L836" s="81" t="s">
        <v>129</v>
      </c>
      <c r="M836" s="164">
        <v>23.5</v>
      </c>
      <c r="N836" s="165"/>
      <c r="O836" s="163"/>
      <c r="P836" s="82">
        <v>82.54</v>
      </c>
      <c r="Q836" s="164">
        <v>0</v>
      </c>
      <c r="R836" s="163"/>
      <c r="S836" s="81" t="s">
        <v>346</v>
      </c>
      <c r="T836" s="82">
        <v>63</v>
      </c>
      <c r="U836" s="82">
        <v>0</v>
      </c>
      <c r="V836" s="82">
        <v>0</v>
      </c>
      <c r="W836" s="82">
        <v>0</v>
      </c>
      <c r="X836" s="81" t="s">
        <v>135</v>
      </c>
      <c r="Y836" s="82">
        <v>12</v>
      </c>
      <c r="Z836" s="81" t="s">
        <v>138</v>
      </c>
      <c r="AA836" s="81" t="s">
        <v>58</v>
      </c>
      <c r="AB836" s="81" t="s">
        <v>58</v>
      </c>
      <c r="AC836" s="83">
        <v>46137</v>
      </c>
    </row>
    <row r="837" spans="2:29" ht="23" x14ac:dyDescent="0.35">
      <c r="B837" s="81" t="s">
        <v>338</v>
      </c>
      <c r="C837" s="81" t="s">
        <v>339</v>
      </c>
      <c r="D837" s="81" t="s">
        <v>340</v>
      </c>
      <c r="E837" s="81" t="s">
        <v>711</v>
      </c>
      <c r="F837" s="162" t="s">
        <v>712</v>
      </c>
      <c r="G837" s="163"/>
      <c r="H837" s="81" t="s">
        <v>1273</v>
      </c>
      <c r="I837" s="81" t="s">
        <v>344</v>
      </c>
      <c r="J837" s="81" t="s">
        <v>11</v>
      </c>
      <c r="K837" s="81" t="s">
        <v>1274</v>
      </c>
      <c r="L837" s="81" t="s">
        <v>129</v>
      </c>
      <c r="M837" s="164">
        <v>19.100000000000001</v>
      </c>
      <c r="N837" s="165"/>
      <c r="O837" s="163"/>
      <c r="P837" s="82">
        <v>70.41</v>
      </c>
      <c r="Q837" s="164">
        <v>0</v>
      </c>
      <c r="R837" s="163"/>
      <c r="S837" s="81" t="s">
        <v>346</v>
      </c>
      <c r="T837" s="82">
        <v>62</v>
      </c>
      <c r="U837" s="82">
        <v>0</v>
      </c>
      <c r="V837" s="82">
        <v>0</v>
      </c>
      <c r="W837" s="82">
        <v>0</v>
      </c>
      <c r="X837" s="81" t="s">
        <v>132</v>
      </c>
      <c r="Y837" s="82">
        <v>4</v>
      </c>
      <c r="Z837" s="81" t="s">
        <v>138</v>
      </c>
      <c r="AA837" s="81" t="s">
        <v>1275</v>
      </c>
      <c r="AB837" s="81" t="s">
        <v>1276</v>
      </c>
      <c r="AC837" s="83">
        <v>46146</v>
      </c>
    </row>
    <row r="838" spans="2:29" ht="23" x14ac:dyDescent="0.35">
      <c r="B838" s="81" t="s">
        <v>338</v>
      </c>
      <c r="C838" s="81" t="s">
        <v>339</v>
      </c>
      <c r="D838" s="81" t="s">
        <v>340</v>
      </c>
      <c r="E838" s="81" t="s">
        <v>711</v>
      </c>
      <c r="F838" s="162" t="s">
        <v>712</v>
      </c>
      <c r="G838" s="163"/>
      <c r="H838" s="81" t="s">
        <v>1273</v>
      </c>
      <c r="I838" s="81" t="s">
        <v>344</v>
      </c>
      <c r="J838" s="81" t="s">
        <v>11</v>
      </c>
      <c r="K838" s="81" t="s">
        <v>1277</v>
      </c>
      <c r="L838" s="81" t="s">
        <v>129</v>
      </c>
      <c r="M838" s="164">
        <v>23.6</v>
      </c>
      <c r="N838" s="165"/>
      <c r="O838" s="163"/>
      <c r="P838" s="82">
        <v>87</v>
      </c>
      <c r="Q838" s="164">
        <v>0</v>
      </c>
      <c r="R838" s="163"/>
      <c r="S838" s="81" t="s">
        <v>346</v>
      </c>
      <c r="T838" s="82">
        <v>62</v>
      </c>
      <c r="U838" s="82">
        <v>0</v>
      </c>
      <c r="V838" s="82">
        <v>0</v>
      </c>
      <c r="W838" s="82">
        <v>0</v>
      </c>
      <c r="X838" s="81"/>
      <c r="Y838" s="81"/>
      <c r="Z838" s="81" t="s">
        <v>138</v>
      </c>
      <c r="AA838" s="81" t="s">
        <v>1275</v>
      </c>
      <c r="AB838" s="81" t="s">
        <v>1276</v>
      </c>
      <c r="AC838" s="83">
        <v>46146</v>
      </c>
    </row>
    <row r="839" spans="2:29" ht="23" x14ac:dyDescent="0.35">
      <c r="B839" s="81" t="s">
        <v>338</v>
      </c>
      <c r="C839" s="81" t="s">
        <v>339</v>
      </c>
      <c r="D839" s="81" t="s">
        <v>340</v>
      </c>
      <c r="E839" s="81" t="s">
        <v>711</v>
      </c>
      <c r="F839" s="162" t="s">
        <v>712</v>
      </c>
      <c r="G839" s="163"/>
      <c r="H839" s="81" t="s">
        <v>1273</v>
      </c>
      <c r="I839" s="81" t="s">
        <v>344</v>
      </c>
      <c r="J839" s="81" t="s">
        <v>11</v>
      </c>
      <c r="K839" s="81" t="s">
        <v>1278</v>
      </c>
      <c r="L839" s="81" t="s">
        <v>129</v>
      </c>
      <c r="M839" s="164">
        <v>23.4</v>
      </c>
      <c r="N839" s="165"/>
      <c r="O839" s="163"/>
      <c r="P839" s="82">
        <v>86.26</v>
      </c>
      <c r="Q839" s="164">
        <v>0</v>
      </c>
      <c r="R839" s="163"/>
      <c r="S839" s="81" t="s">
        <v>346</v>
      </c>
      <c r="T839" s="82">
        <v>62</v>
      </c>
      <c r="U839" s="82">
        <v>0</v>
      </c>
      <c r="V839" s="82">
        <v>0</v>
      </c>
      <c r="W839" s="82">
        <v>0</v>
      </c>
      <c r="X839" s="81" t="s">
        <v>148</v>
      </c>
      <c r="Y839" s="82">
        <v>1</v>
      </c>
      <c r="Z839" s="81" t="s">
        <v>138</v>
      </c>
      <c r="AA839" s="81" t="s">
        <v>1275</v>
      </c>
      <c r="AB839" s="81" t="s">
        <v>1276</v>
      </c>
      <c r="AC839" s="83">
        <v>46146</v>
      </c>
    </row>
    <row r="840" spans="2:29" ht="23" x14ac:dyDescent="0.35">
      <c r="B840" s="81" t="s">
        <v>338</v>
      </c>
      <c r="C840" s="81" t="s">
        <v>339</v>
      </c>
      <c r="D840" s="81" t="s">
        <v>340</v>
      </c>
      <c r="E840" s="81" t="s">
        <v>711</v>
      </c>
      <c r="F840" s="162" t="s">
        <v>712</v>
      </c>
      <c r="G840" s="163"/>
      <c r="H840" s="81" t="s">
        <v>1273</v>
      </c>
      <c r="I840" s="81" t="s">
        <v>344</v>
      </c>
      <c r="J840" s="81" t="s">
        <v>11</v>
      </c>
      <c r="K840" s="81" t="s">
        <v>1279</v>
      </c>
      <c r="L840" s="81" t="s">
        <v>129</v>
      </c>
      <c r="M840" s="164">
        <v>22.8</v>
      </c>
      <c r="N840" s="165"/>
      <c r="O840" s="163"/>
      <c r="P840" s="82">
        <v>84.05</v>
      </c>
      <c r="Q840" s="164">
        <v>0</v>
      </c>
      <c r="R840" s="163"/>
      <c r="S840" s="81" t="s">
        <v>346</v>
      </c>
      <c r="T840" s="82">
        <v>62</v>
      </c>
      <c r="U840" s="82">
        <v>0</v>
      </c>
      <c r="V840" s="82">
        <v>0</v>
      </c>
      <c r="W840" s="82">
        <v>0</v>
      </c>
      <c r="X840" s="81"/>
      <c r="Y840" s="81"/>
      <c r="Z840" s="81" t="s">
        <v>138</v>
      </c>
      <c r="AA840" s="81" t="s">
        <v>1275</v>
      </c>
      <c r="AB840" s="81" t="s">
        <v>1276</v>
      </c>
      <c r="AC840" s="83">
        <v>46146</v>
      </c>
    </row>
    <row r="841" spans="2:29" ht="23" x14ac:dyDescent="0.35">
      <c r="B841" s="81" t="s">
        <v>338</v>
      </c>
      <c r="C841" s="81" t="s">
        <v>339</v>
      </c>
      <c r="D841" s="81" t="s">
        <v>340</v>
      </c>
      <c r="E841" s="81" t="s">
        <v>711</v>
      </c>
      <c r="F841" s="162" t="s">
        <v>712</v>
      </c>
      <c r="G841" s="163"/>
      <c r="H841" s="81" t="s">
        <v>1273</v>
      </c>
      <c r="I841" s="81" t="s">
        <v>344</v>
      </c>
      <c r="J841" s="81" t="s">
        <v>11</v>
      </c>
      <c r="K841" s="81" t="s">
        <v>1280</v>
      </c>
      <c r="L841" s="81" t="s">
        <v>129</v>
      </c>
      <c r="M841" s="164">
        <v>23.4</v>
      </c>
      <c r="N841" s="165"/>
      <c r="O841" s="163"/>
      <c r="P841" s="82">
        <v>86.26</v>
      </c>
      <c r="Q841" s="164">
        <v>0</v>
      </c>
      <c r="R841" s="163"/>
      <c r="S841" s="81" t="s">
        <v>346</v>
      </c>
      <c r="T841" s="82">
        <v>62</v>
      </c>
      <c r="U841" s="82">
        <v>0</v>
      </c>
      <c r="V841" s="82">
        <v>0</v>
      </c>
      <c r="W841" s="82">
        <v>0</v>
      </c>
      <c r="X841" s="81"/>
      <c r="Y841" s="81"/>
      <c r="Z841" s="81" t="s">
        <v>138</v>
      </c>
      <c r="AA841" s="81" t="s">
        <v>1281</v>
      </c>
      <c r="AB841" s="81" t="s">
        <v>1282</v>
      </c>
      <c r="AC841" s="83">
        <v>46146</v>
      </c>
    </row>
    <row r="842" spans="2:29" ht="23" x14ac:dyDescent="0.35">
      <c r="B842" s="81" t="s">
        <v>338</v>
      </c>
      <c r="C842" s="81" t="s">
        <v>339</v>
      </c>
      <c r="D842" s="81" t="s">
        <v>340</v>
      </c>
      <c r="E842" s="81" t="s">
        <v>711</v>
      </c>
      <c r="F842" s="162" t="s">
        <v>712</v>
      </c>
      <c r="G842" s="163"/>
      <c r="H842" s="81" t="s">
        <v>1273</v>
      </c>
      <c r="I842" s="81" t="s">
        <v>344</v>
      </c>
      <c r="J842" s="81" t="s">
        <v>11</v>
      </c>
      <c r="K842" s="81" t="s">
        <v>1283</v>
      </c>
      <c r="L842" s="81" t="s">
        <v>129</v>
      </c>
      <c r="M842" s="164">
        <v>23.3</v>
      </c>
      <c r="N842" s="165"/>
      <c r="O842" s="163"/>
      <c r="P842" s="82">
        <v>85.89</v>
      </c>
      <c r="Q842" s="164">
        <v>0</v>
      </c>
      <c r="R842" s="163"/>
      <c r="S842" s="81" t="s">
        <v>346</v>
      </c>
      <c r="T842" s="82">
        <v>62</v>
      </c>
      <c r="U842" s="82">
        <v>0</v>
      </c>
      <c r="V842" s="82">
        <v>0</v>
      </c>
      <c r="W842" s="82">
        <v>0</v>
      </c>
      <c r="X842" s="81"/>
      <c r="Y842" s="81"/>
      <c r="Z842" s="81" t="s">
        <v>138</v>
      </c>
      <c r="AA842" s="81" t="s">
        <v>1275</v>
      </c>
      <c r="AB842" s="81" t="s">
        <v>1276</v>
      </c>
      <c r="AC842" s="83">
        <v>46146</v>
      </c>
    </row>
    <row r="843" spans="2:29" ht="23" x14ac:dyDescent="0.35">
      <c r="B843" s="81" t="s">
        <v>338</v>
      </c>
      <c r="C843" s="81" t="s">
        <v>339</v>
      </c>
      <c r="D843" s="81" t="s">
        <v>340</v>
      </c>
      <c r="E843" s="81" t="s">
        <v>711</v>
      </c>
      <c r="F843" s="162" t="s">
        <v>712</v>
      </c>
      <c r="G843" s="163"/>
      <c r="H843" s="81" t="s">
        <v>1273</v>
      </c>
      <c r="I843" s="81" t="s">
        <v>344</v>
      </c>
      <c r="J843" s="81" t="s">
        <v>11</v>
      </c>
      <c r="K843" s="81" t="s">
        <v>1284</v>
      </c>
      <c r="L843" s="81" t="s">
        <v>129</v>
      </c>
      <c r="M843" s="164">
        <v>19.399999999999999</v>
      </c>
      <c r="N843" s="165"/>
      <c r="O843" s="163"/>
      <c r="P843" s="82">
        <v>71.510000000000005</v>
      </c>
      <c r="Q843" s="164">
        <v>0</v>
      </c>
      <c r="R843" s="163"/>
      <c r="S843" s="81" t="s">
        <v>346</v>
      </c>
      <c r="T843" s="82">
        <v>62</v>
      </c>
      <c r="U843" s="82">
        <v>0</v>
      </c>
      <c r="V843" s="82">
        <v>0</v>
      </c>
      <c r="W843" s="82">
        <v>0</v>
      </c>
      <c r="X843" s="81"/>
      <c r="Y843" s="81"/>
      <c r="Z843" s="81" t="s">
        <v>138</v>
      </c>
      <c r="AA843" s="81" t="s">
        <v>1275</v>
      </c>
      <c r="AB843" s="81" t="s">
        <v>1276</v>
      </c>
      <c r="AC843" s="83">
        <v>46146</v>
      </c>
    </row>
    <row r="844" spans="2:29" ht="23" x14ac:dyDescent="0.35">
      <c r="B844" s="81" t="s">
        <v>338</v>
      </c>
      <c r="C844" s="81" t="s">
        <v>339</v>
      </c>
      <c r="D844" s="81" t="s">
        <v>340</v>
      </c>
      <c r="E844" s="81" t="s">
        <v>711</v>
      </c>
      <c r="F844" s="162" t="s">
        <v>712</v>
      </c>
      <c r="G844" s="163"/>
      <c r="H844" s="81" t="s">
        <v>1273</v>
      </c>
      <c r="I844" s="81" t="s">
        <v>344</v>
      </c>
      <c r="J844" s="81" t="s">
        <v>11</v>
      </c>
      <c r="K844" s="81" t="s">
        <v>1285</v>
      </c>
      <c r="L844" s="81" t="s">
        <v>129</v>
      </c>
      <c r="M844" s="164">
        <v>29.8</v>
      </c>
      <c r="N844" s="165"/>
      <c r="O844" s="163"/>
      <c r="P844" s="82">
        <v>109.85</v>
      </c>
      <c r="Q844" s="164">
        <v>0</v>
      </c>
      <c r="R844" s="163"/>
      <c r="S844" s="81" t="s">
        <v>346</v>
      </c>
      <c r="T844" s="82">
        <v>62</v>
      </c>
      <c r="U844" s="82">
        <v>0</v>
      </c>
      <c r="V844" s="82">
        <v>0</v>
      </c>
      <c r="W844" s="82">
        <v>0</v>
      </c>
      <c r="X844" s="81" t="s">
        <v>139</v>
      </c>
      <c r="Y844" s="82">
        <v>8</v>
      </c>
      <c r="Z844" s="81" t="s">
        <v>138</v>
      </c>
      <c r="AA844" s="81" t="s">
        <v>1275</v>
      </c>
      <c r="AB844" s="81" t="s">
        <v>1276</v>
      </c>
      <c r="AC844" s="83">
        <v>46146</v>
      </c>
    </row>
    <row r="845" spans="2:29" ht="23" x14ac:dyDescent="0.35">
      <c r="B845" s="81" t="s">
        <v>338</v>
      </c>
      <c r="C845" s="81" t="s">
        <v>339</v>
      </c>
      <c r="D845" s="81" t="s">
        <v>340</v>
      </c>
      <c r="E845" s="81" t="s">
        <v>603</v>
      </c>
      <c r="F845" s="162" t="s">
        <v>604</v>
      </c>
      <c r="G845" s="163"/>
      <c r="H845" s="81" t="s">
        <v>1242</v>
      </c>
      <c r="I845" s="81" t="s">
        <v>344</v>
      </c>
      <c r="J845" s="81" t="s">
        <v>11</v>
      </c>
      <c r="K845" s="81" t="s">
        <v>1286</v>
      </c>
      <c r="L845" s="81" t="s">
        <v>129</v>
      </c>
      <c r="M845" s="164">
        <v>23.3</v>
      </c>
      <c r="N845" s="165"/>
      <c r="O845" s="163"/>
      <c r="P845" s="82">
        <v>83.02</v>
      </c>
      <c r="Q845" s="164">
        <v>0</v>
      </c>
      <c r="R845" s="163"/>
      <c r="S845" s="81" t="s">
        <v>346</v>
      </c>
      <c r="T845" s="82">
        <v>63</v>
      </c>
      <c r="U845" s="82">
        <v>0</v>
      </c>
      <c r="V845" s="82">
        <v>0</v>
      </c>
      <c r="W845" s="82">
        <v>0</v>
      </c>
      <c r="X845" s="81" t="s">
        <v>133</v>
      </c>
      <c r="Y845" s="82">
        <v>4</v>
      </c>
      <c r="Z845" s="81" t="s">
        <v>138</v>
      </c>
      <c r="AA845" s="81" t="s">
        <v>58</v>
      </c>
      <c r="AB845" s="81" t="s">
        <v>58</v>
      </c>
      <c r="AC845" s="83">
        <v>46151</v>
      </c>
    </row>
    <row r="846" spans="2:29" ht="23" x14ac:dyDescent="0.35">
      <c r="B846" s="81" t="s">
        <v>338</v>
      </c>
      <c r="C846" s="81" t="s">
        <v>339</v>
      </c>
      <c r="D846" s="81" t="s">
        <v>340</v>
      </c>
      <c r="E846" s="81" t="s">
        <v>603</v>
      </c>
      <c r="F846" s="162" t="s">
        <v>604</v>
      </c>
      <c r="G846" s="163"/>
      <c r="H846" s="81" t="s">
        <v>1242</v>
      </c>
      <c r="I846" s="81" t="s">
        <v>344</v>
      </c>
      <c r="J846" s="81" t="s">
        <v>11</v>
      </c>
      <c r="K846" s="81" t="s">
        <v>1287</v>
      </c>
      <c r="L846" s="81" t="s">
        <v>129</v>
      </c>
      <c r="M846" s="164">
        <v>17.399999999999999</v>
      </c>
      <c r="N846" s="165"/>
      <c r="O846" s="163"/>
      <c r="P846" s="82">
        <v>62</v>
      </c>
      <c r="Q846" s="164">
        <v>0</v>
      </c>
      <c r="R846" s="163"/>
      <c r="S846" s="81" t="s">
        <v>346</v>
      </c>
      <c r="T846" s="82">
        <v>63</v>
      </c>
      <c r="U846" s="82">
        <v>0</v>
      </c>
      <c r="V846" s="82">
        <v>0</v>
      </c>
      <c r="W846" s="82">
        <v>0</v>
      </c>
      <c r="X846" s="81" t="s">
        <v>133</v>
      </c>
      <c r="Y846" s="82">
        <v>4</v>
      </c>
      <c r="Z846" s="81" t="s">
        <v>138</v>
      </c>
      <c r="AA846" s="81" t="s">
        <v>58</v>
      </c>
      <c r="AB846" s="81" t="s">
        <v>58</v>
      </c>
      <c r="AC846" s="83">
        <v>46151</v>
      </c>
    </row>
    <row r="847" spans="2:29" ht="23" x14ac:dyDescent="0.35">
      <c r="B847" s="81" t="s">
        <v>338</v>
      </c>
      <c r="C847" s="81" t="s">
        <v>339</v>
      </c>
      <c r="D847" s="81" t="s">
        <v>340</v>
      </c>
      <c r="E847" s="81" t="s">
        <v>603</v>
      </c>
      <c r="F847" s="162" t="s">
        <v>604</v>
      </c>
      <c r="G847" s="163"/>
      <c r="H847" s="81" t="s">
        <v>1242</v>
      </c>
      <c r="I847" s="81" t="s">
        <v>344</v>
      </c>
      <c r="J847" s="81" t="s">
        <v>11</v>
      </c>
      <c r="K847" s="81" t="s">
        <v>1288</v>
      </c>
      <c r="L847" s="81" t="s">
        <v>129</v>
      </c>
      <c r="M847" s="164">
        <v>30.7</v>
      </c>
      <c r="N847" s="165"/>
      <c r="O847" s="163"/>
      <c r="P847" s="82">
        <v>109.39</v>
      </c>
      <c r="Q847" s="164">
        <v>0</v>
      </c>
      <c r="R847" s="163"/>
      <c r="S847" s="81" t="s">
        <v>346</v>
      </c>
      <c r="T847" s="82">
        <v>63</v>
      </c>
      <c r="U847" s="82">
        <v>0</v>
      </c>
      <c r="V847" s="82">
        <v>0</v>
      </c>
      <c r="W847" s="82">
        <v>0</v>
      </c>
      <c r="X847" s="81" t="s">
        <v>139</v>
      </c>
      <c r="Y847" s="82">
        <v>8</v>
      </c>
      <c r="Z847" s="81" t="s">
        <v>138</v>
      </c>
      <c r="AA847" s="81" t="s">
        <v>58</v>
      </c>
      <c r="AB847" s="81" t="s">
        <v>58</v>
      </c>
      <c r="AC847" s="83">
        <v>46151</v>
      </c>
    </row>
    <row r="848" spans="2:29" ht="23" x14ac:dyDescent="0.35">
      <c r="B848" s="81" t="s">
        <v>338</v>
      </c>
      <c r="C848" s="81" t="s">
        <v>339</v>
      </c>
      <c r="D848" s="81" t="s">
        <v>340</v>
      </c>
      <c r="E848" s="81" t="s">
        <v>603</v>
      </c>
      <c r="F848" s="162" t="s">
        <v>604</v>
      </c>
      <c r="G848" s="163"/>
      <c r="H848" s="81" t="s">
        <v>1242</v>
      </c>
      <c r="I848" s="81" t="s">
        <v>344</v>
      </c>
      <c r="J848" s="81" t="s">
        <v>11</v>
      </c>
      <c r="K848" s="81" t="s">
        <v>1289</v>
      </c>
      <c r="L848" s="81" t="s">
        <v>129</v>
      </c>
      <c r="M848" s="164">
        <v>23.2</v>
      </c>
      <c r="N848" s="165"/>
      <c r="O848" s="163"/>
      <c r="P848" s="82">
        <v>82.67</v>
      </c>
      <c r="Q848" s="164">
        <v>0</v>
      </c>
      <c r="R848" s="163"/>
      <c r="S848" s="81" t="s">
        <v>346</v>
      </c>
      <c r="T848" s="82">
        <v>63</v>
      </c>
      <c r="U848" s="82">
        <v>0</v>
      </c>
      <c r="V848" s="82">
        <v>0</v>
      </c>
      <c r="W848" s="82">
        <v>0</v>
      </c>
      <c r="X848" s="81" t="s">
        <v>143</v>
      </c>
      <c r="Y848" s="82">
        <v>1</v>
      </c>
      <c r="Z848" s="81" t="s">
        <v>138</v>
      </c>
      <c r="AA848" s="81" t="s">
        <v>58</v>
      </c>
      <c r="AB848" s="81" t="s">
        <v>58</v>
      </c>
      <c r="AC848" s="83">
        <v>46151</v>
      </c>
    </row>
    <row r="849" spans="2:29" ht="23" x14ac:dyDescent="0.35">
      <c r="B849" s="81" t="s">
        <v>338</v>
      </c>
      <c r="C849" s="81" t="s">
        <v>339</v>
      </c>
      <c r="D849" s="81" t="s">
        <v>340</v>
      </c>
      <c r="E849" s="81" t="s">
        <v>603</v>
      </c>
      <c r="F849" s="162" t="s">
        <v>604</v>
      </c>
      <c r="G849" s="163"/>
      <c r="H849" s="81" t="s">
        <v>1242</v>
      </c>
      <c r="I849" s="81" t="s">
        <v>344</v>
      </c>
      <c r="J849" s="81" t="s">
        <v>11</v>
      </c>
      <c r="K849" s="81" t="s">
        <v>1290</v>
      </c>
      <c r="L849" s="81" t="s">
        <v>129</v>
      </c>
      <c r="M849" s="164">
        <v>21.7</v>
      </c>
      <c r="N849" s="165"/>
      <c r="O849" s="163"/>
      <c r="P849" s="82">
        <v>77.319999999999993</v>
      </c>
      <c r="Q849" s="164">
        <v>0</v>
      </c>
      <c r="R849" s="163"/>
      <c r="S849" s="81" t="s">
        <v>346</v>
      </c>
      <c r="T849" s="82">
        <v>63</v>
      </c>
      <c r="U849" s="82">
        <v>0</v>
      </c>
      <c r="V849" s="82">
        <v>0</v>
      </c>
      <c r="W849" s="82">
        <v>0</v>
      </c>
      <c r="X849" s="81" t="s">
        <v>133</v>
      </c>
      <c r="Y849" s="82">
        <v>8</v>
      </c>
      <c r="Z849" s="81" t="s">
        <v>138</v>
      </c>
      <c r="AA849" s="81" t="s">
        <v>58</v>
      </c>
      <c r="AB849" s="81" t="s">
        <v>58</v>
      </c>
      <c r="AC849" s="83">
        <v>46151</v>
      </c>
    </row>
    <row r="850" spans="2:29" ht="23" x14ac:dyDescent="0.35">
      <c r="B850" s="81" t="s">
        <v>338</v>
      </c>
      <c r="C850" s="81" t="s">
        <v>339</v>
      </c>
      <c r="D850" s="81" t="s">
        <v>340</v>
      </c>
      <c r="E850" s="81" t="s">
        <v>603</v>
      </c>
      <c r="F850" s="162" t="s">
        <v>604</v>
      </c>
      <c r="G850" s="163"/>
      <c r="H850" s="81" t="s">
        <v>1242</v>
      </c>
      <c r="I850" s="81" t="s">
        <v>344</v>
      </c>
      <c r="J850" s="81" t="s">
        <v>11</v>
      </c>
      <c r="K850" s="81" t="s">
        <v>1291</v>
      </c>
      <c r="L850" s="81" t="s">
        <v>129</v>
      </c>
      <c r="M850" s="164">
        <v>21.8</v>
      </c>
      <c r="N850" s="165"/>
      <c r="O850" s="163"/>
      <c r="P850" s="82">
        <v>77.680000000000007</v>
      </c>
      <c r="Q850" s="164">
        <v>0</v>
      </c>
      <c r="R850" s="163"/>
      <c r="S850" s="81" t="s">
        <v>346</v>
      </c>
      <c r="T850" s="82">
        <v>63</v>
      </c>
      <c r="U850" s="82">
        <v>0</v>
      </c>
      <c r="V850" s="82">
        <v>0</v>
      </c>
      <c r="W850" s="82">
        <v>0</v>
      </c>
      <c r="X850" s="81" t="s">
        <v>133</v>
      </c>
      <c r="Y850" s="82">
        <v>4</v>
      </c>
      <c r="Z850" s="81" t="s">
        <v>138</v>
      </c>
      <c r="AA850" s="81" t="s">
        <v>58</v>
      </c>
      <c r="AB850" s="81" t="s">
        <v>58</v>
      </c>
      <c r="AC850" s="83">
        <v>46151</v>
      </c>
    </row>
    <row r="851" spans="2:29" ht="23" x14ac:dyDescent="0.35">
      <c r="B851" s="81" t="s">
        <v>338</v>
      </c>
      <c r="C851" s="81" t="s">
        <v>339</v>
      </c>
      <c r="D851" s="81" t="s">
        <v>340</v>
      </c>
      <c r="E851" s="81" t="s">
        <v>603</v>
      </c>
      <c r="F851" s="162" t="s">
        <v>604</v>
      </c>
      <c r="G851" s="163"/>
      <c r="H851" s="81" t="s">
        <v>1242</v>
      </c>
      <c r="I851" s="81" t="s">
        <v>344</v>
      </c>
      <c r="J851" s="81" t="s">
        <v>11</v>
      </c>
      <c r="K851" s="81" t="s">
        <v>1292</v>
      </c>
      <c r="L851" s="81" t="s">
        <v>129</v>
      </c>
      <c r="M851" s="164">
        <v>24.5</v>
      </c>
      <c r="N851" s="165"/>
      <c r="O851" s="163"/>
      <c r="P851" s="82">
        <v>87.3</v>
      </c>
      <c r="Q851" s="164">
        <v>0</v>
      </c>
      <c r="R851" s="163"/>
      <c r="S851" s="81" t="s">
        <v>346</v>
      </c>
      <c r="T851" s="82">
        <v>63</v>
      </c>
      <c r="U851" s="82">
        <v>0</v>
      </c>
      <c r="V851" s="82">
        <v>0</v>
      </c>
      <c r="W851" s="82">
        <v>0</v>
      </c>
      <c r="X851" s="81" t="s">
        <v>135</v>
      </c>
      <c r="Y851" s="82">
        <v>12</v>
      </c>
      <c r="Z851" s="81" t="s">
        <v>138</v>
      </c>
      <c r="AA851" s="81" t="s">
        <v>58</v>
      </c>
      <c r="AB851" s="81" t="s">
        <v>58</v>
      </c>
      <c r="AC851" s="83">
        <v>46151</v>
      </c>
    </row>
    <row r="852" spans="2:29" ht="23" x14ac:dyDescent="0.35">
      <c r="B852" s="81" t="s">
        <v>338</v>
      </c>
      <c r="C852" s="81" t="s">
        <v>339</v>
      </c>
      <c r="D852" s="81" t="s">
        <v>340</v>
      </c>
      <c r="E852" s="81" t="s">
        <v>603</v>
      </c>
      <c r="F852" s="162" t="s">
        <v>604</v>
      </c>
      <c r="G852" s="163"/>
      <c r="H852" s="81" t="s">
        <v>1242</v>
      </c>
      <c r="I852" s="81" t="s">
        <v>344</v>
      </c>
      <c r="J852" s="81" t="s">
        <v>11</v>
      </c>
      <c r="K852" s="81" t="s">
        <v>1293</v>
      </c>
      <c r="L852" s="81" t="s">
        <v>129</v>
      </c>
      <c r="M852" s="164">
        <v>31.4</v>
      </c>
      <c r="N852" s="165"/>
      <c r="O852" s="163"/>
      <c r="P852" s="82">
        <v>111.89</v>
      </c>
      <c r="Q852" s="164">
        <v>0</v>
      </c>
      <c r="R852" s="163"/>
      <c r="S852" s="81" t="s">
        <v>346</v>
      </c>
      <c r="T852" s="82">
        <v>63</v>
      </c>
      <c r="U852" s="82">
        <v>0</v>
      </c>
      <c r="V852" s="82">
        <v>0</v>
      </c>
      <c r="W852" s="82">
        <v>0</v>
      </c>
      <c r="X852" s="81" t="s">
        <v>139</v>
      </c>
      <c r="Y852" s="82">
        <v>4</v>
      </c>
      <c r="Z852" s="81" t="s">
        <v>138</v>
      </c>
      <c r="AA852" s="81" t="s">
        <v>58</v>
      </c>
      <c r="AB852" s="81" t="s">
        <v>58</v>
      </c>
      <c r="AC852" s="83">
        <v>46151</v>
      </c>
    </row>
    <row r="853" spans="2:29" ht="23" x14ac:dyDescent="0.35">
      <c r="B853" s="81" t="s">
        <v>338</v>
      </c>
      <c r="C853" s="81" t="s">
        <v>339</v>
      </c>
      <c r="D853" s="81" t="s">
        <v>340</v>
      </c>
      <c r="E853" s="81" t="s">
        <v>603</v>
      </c>
      <c r="F853" s="162" t="s">
        <v>604</v>
      </c>
      <c r="G853" s="163"/>
      <c r="H853" s="81" t="s">
        <v>1242</v>
      </c>
      <c r="I853" s="81" t="s">
        <v>344</v>
      </c>
      <c r="J853" s="81" t="s">
        <v>11</v>
      </c>
      <c r="K853" s="81" t="s">
        <v>1294</v>
      </c>
      <c r="L853" s="81" t="s">
        <v>129</v>
      </c>
      <c r="M853" s="164">
        <v>22.8</v>
      </c>
      <c r="N853" s="165"/>
      <c r="O853" s="163"/>
      <c r="P853" s="82">
        <v>81.239999999999995</v>
      </c>
      <c r="Q853" s="164">
        <v>0</v>
      </c>
      <c r="R853" s="163"/>
      <c r="S853" s="81" t="s">
        <v>346</v>
      </c>
      <c r="T853" s="82">
        <v>63</v>
      </c>
      <c r="U853" s="82">
        <v>0</v>
      </c>
      <c r="V853" s="82">
        <v>0</v>
      </c>
      <c r="W853" s="82">
        <v>0</v>
      </c>
      <c r="X853" s="81" t="s">
        <v>133</v>
      </c>
      <c r="Y853" s="82">
        <v>4</v>
      </c>
      <c r="Z853" s="81" t="s">
        <v>138</v>
      </c>
      <c r="AA853" s="81" t="s">
        <v>58</v>
      </c>
      <c r="AB853" s="81" t="s">
        <v>58</v>
      </c>
      <c r="AC853" s="83">
        <v>46151</v>
      </c>
    </row>
    <row r="854" spans="2:29" ht="23" x14ac:dyDescent="0.35">
      <c r="B854" s="81" t="s">
        <v>338</v>
      </c>
      <c r="C854" s="81" t="s">
        <v>339</v>
      </c>
      <c r="D854" s="81" t="s">
        <v>340</v>
      </c>
      <c r="E854" s="81" t="s">
        <v>603</v>
      </c>
      <c r="F854" s="162" t="s">
        <v>604</v>
      </c>
      <c r="G854" s="163"/>
      <c r="H854" s="81" t="s">
        <v>1242</v>
      </c>
      <c r="I854" s="81" t="s">
        <v>344</v>
      </c>
      <c r="J854" s="81" t="s">
        <v>11</v>
      </c>
      <c r="K854" s="81" t="s">
        <v>1295</v>
      </c>
      <c r="L854" s="81" t="s">
        <v>129</v>
      </c>
      <c r="M854" s="164">
        <v>22.9</v>
      </c>
      <c r="N854" s="165"/>
      <c r="O854" s="163"/>
      <c r="P854" s="82">
        <v>81.599999999999994</v>
      </c>
      <c r="Q854" s="164">
        <v>0</v>
      </c>
      <c r="R854" s="163"/>
      <c r="S854" s="81" t="s">
        <v>346</v>
      </c>
      <c r="T854" s="82">
        <v>63</v>
      </c>
      <c r="U854" s="82">
        <v>0</v>
      </c>
      <c r="V854" s="82">
        <v>0</v>
      </c>
      <c r="W854" s="82">
        <v>0</v>
      </c>
      <c r="X854" s="81"/>
      <c r="Y854" s="81"/>
      <c r="Z854" s="81" t="s">
        <v>138</v>
      </c>
      <c r="AA854" s="81" t="s">
        <v>58</v>
      </c>
      <c r="AB854" s="81" t="s">
        <v>58</v>
      </c>
      <c r="AC854" s="83">
        <v>46151</v>
      </c>
    </row>
    <row r="855" spans="2:29" ht="23" x14ac:dyDescent="0.35">
      <c r="B855" s="81" t="s">
        <v>338</v>
      </c>
      <c r="C855" s="81" t="s">
        <v>339</v>
      </c>
      <c r="D855" s="81" t="s">
        <v>340</v>
      </c>
      <c r="E855" s="81" t="s">
        <v>603</v>
      </c>
      <c r="F855" s="162" t="s">
        <v>604</v>
      </c>
      <c r="G855" s="163"/>
      <c r="H855" s="81" t="s">
        <v>1242</v>
      </c>
      <c r="I855" s="81" t="s">
        <v>344</v>
      </c>
      <c r="J855" s="81" t="s">
        <v>11</v>
      </c>
      <c r="K855" s="81" t="s">
        <v>1296</v>
      </c>
      <c r="L855" s="81" t="s">
        <v>129</v>
      </c>
      <c r="M855" s="164">
        <v>22.9</v>
      </c>
      <c r="N855" s="165"/>
      <c r="O855" s="163"/>
      <c r="P855" s="82">
        <v>81.599999999999994</v>
      </c>
      <c r="Q855" s="164">
        <v>0</v>
      </c>
      <c r="R855" s="163"/>
      <c r="S855" s="81" t="s">
        <v>346</v>
      </c>
      <c r="T855" s="82">
        <v>63</v>
      </c>
      <c r="U855" s="82">
        <v>0</v>
      </c>
      <c r="V855" s="82">
        <v>0</v>
      </c>
      <c r="W855" s="82">
        <v>0</v>
      </c>
      <c r="X855" s="81" t="s">
        <v>141</v>
      </c>
      <c r="Y855" s="82">
        <v>8</v>
      </c>
      <c r="Z855" s="81" t="s">
        <v>138</v>
      </c>
      <c r="AA855" s="81" t="s">
        <v>58</v>
      </c>
      <c r="AB855" s="81" t="s">
        <v>58</v>
      </c>
      <c r="AC855" s="83">
        <v>46151</v>
      </c>
    </row>
    <row r="856" spans="2:29" ht="23" x14ac:dyDescent="0.35">
      <c r="B856" s="81" t="s">
        <v>338</v>
      </c>
      <c r="C856" s="81" t="s">
        <v>339</v>
      </c>
      <c r="D856" s="81" t="s">
        <v>340</v>
      </c>
      <c r="E856" s="81" t="s">
        <v>603</v>
      </c>
      <c r="F856" s="162" t="s">
        <v>604</v>
      </c>
      <c r="G856" s="163"/>
      <c r="H856" s="81" t="s">
        <v>1242</v>
      </c>
      <c r="I856" s="81" t="s">
        <v>344</v>
      </c>
      <c r="J856" s="81" t="s">
        <v>11</v>
      </c>
      <c r="K856" s="81" t="s">
        <v>1297</v>
      </c>
      <c r="L856" s="81" t="s">
        <v>129</v>
      </c>
      <c r="M856" s="164">
        <v>23</v>
      </c>
      <c r="N856" s="165"/>
      <c r="O856" s="163"/>
      <c r="P856" s="82">
        <v>81.96</v>
      </c>
      <c r="Q856" s="164">
        <v>0</v>
      </c>
      <c r="R856" s="163"/>
      <c r="S856" s="81" t="s">
        <v>346</v>
      </c>
      <c r="T856" s="82">
        <v>63</v>
      </c>
      <c r="U856" s="82">
        <v>0</v>
      </c>
      <c r="V856" s="82">
        <v>0</v>
      </c>
      <c r="W856" s="82">
        <v>0</v>
      </c>
      <c r="X856" s="81" t="s">
        <v>143</v>
      </c>
      <c r="Y856" s="82">
        <v>1</v>
      </c>
      <c r="Z856" s="81" t="s">
        <v>138</v>
      </c>
      <c r="AA856" s="81" t="s">
        <v>58</v>
      </c>
      <c r="AB856" s="81" t="s">
        <v>58</v>
      </c>
      <c r="AC856" s="83">
        <v>46151</v>
      </c>
    </row>
    <row r="857" spans="2:29" ht="23" x14ac:dyDescent="0.35">
      <c r="B857" s="81" t="s">
        <v>338</v>
      </c>
      <c r="C857" s="81" t="s">
        <v>339</v>
      </c>
      <c r="D857" s="81" t="s">
        <v>340</v>
      </c>
      <c r="E857" s="81" t="s">
        <v>603</v>
      </c>
      <c r="F857" s="162" t="s">
        <v>604</v>
      </c>
      <c r="G857" s="163"/>
      <c r="H857" s="81" t="s">
        <v>1242</v>
      </c>
      <c r="I857" s="81" t="s">
        <v>344</v>
      </c>
      <c r="J857" s="81" t="s">
        <v>11</v>
      </c>
      <c r="K857" s="81" t="s">
        <v>1298</v>
      </c>
      <c r="L857" s="81" t="s">
        <v>129</v>
      </c>
      <c r="M857" s="164">
        <v>22.8</v>
      </c>
      <c r="N857" s="165"/>
      <c r="O857" s="163"/>
      <c r="P857" s="82">
        <v>81.239999999999995</v>
      </c>
      <c r="Q857" s="164">
        <v>0</v>
      </c>
      <c r="R857" s="163"/>
      <c r="S857" s="81" t="s">
        <v>346</v>
      </c>
      <c r="T857" s="82">
        <v>63</v>
      </c>
      <c r="U857" s="82">
        <v>0</v>
      </c>
      <c r="V857" s="82">
        <v>0</v>
      </c>
      <c r="W857" s="82">
        <v>0</v>
      </c>
      <c r="X857" s="81" t="s">
        <v>132</v>
      </c>
      <c r="Y857" s="82">
        <v>6</v>
      </c>
      <c r="Z857" s="81" t="s">
        <v>138</v>
      </c>
      <c r="AA857" s="81" t="s">
        <v>58</v>
      </c>
      <c r="AB857" s="81" t="s">
        <v>58</v>
      </c>
      <c r="AC857" s="83">
        <v>46151</v>
      </c>
    </row>
    <row r="858" spans="2:29" ht="23" x14ac:dyDescent="0.35">
      <c r="B858" s="81" t="s">
        <v>338</v>
      </c>
      <c r="C858" s="81" t="s">
        <v>339</v>
      </c>
      <c r="D858" s="81" t="s">
        <v>340</v>
      </c>
      <c r="E858" s="81" t="s">
        <v>603</v>
      </c>
      <c r="F858" s="162" t="s">
        <v>604</v>
      </c>
      <c r="G858" s="163"/>
      <c r="H858" s="81" t="s">
        <v>1242</v>
      </c>
      <c r="I858" s="81" t="s">
        <v>344</v>
      </c>
      <c r="J858" s="81" t="s">
        <v>11</v>
      </c>
      <c r="K858" s="81" t="s">
        <v>1299</v>
      </c>
      <c r="L858" s="81" t="s">
        <v>129</v>
      </c>
      <c r="M858" s="164">
        <v>22.1</v>
      </c>
      <c r="N858" s="165"/>
      <c r="O858" s="163"/>
      <c r="P858" s="82">
        <v>78.75</v>
      </c>
      <c r="Q858" s="164">
        <v>0</v>
      </c>
      <c r="R858" s="163"/>
      <c r="S858" s="81" t="s">
        <v>346</v>
      </c>
      <c r="T858" s="82">
        <v>63</v>
      </c>
      <c r="U858" s="82">
        <v>0</v>
      </c>
      <c r="V858" s="82">
        <v>0</v>
      </c>
      <c r="W858" s="82">
        <v>0</v>
      </c>
      <c r="X858" s="81" t="s">
        <v>135</v>
      </c>
      <c r="Y858" s="82">
        <v>8</v>
      </c>
      <c r="Z858" s="81" t="s">
        <v>138</v>
      </c>
      <c r="AA858" s="81" t="s">
        <v>58</v>
      </c>
      <c r="AB858" s="81" t="s">
        <v>58</v>
      </c>
      <c r="AC858" s="83">
        <v>46151</v>
      </c>
    </row>
    <row r="859" spans="2:29" ht="23" x14ac:dyDescent="0.35">
      <c r="B859" s="81" t="s">
        <v>338</v>
      </c>
      <c r="C859" s="81" t="s">
        <v>339</v>
      </c>
      <c r="D859" s="81" t="s">
        <v>340</v>
      </c>
      <c r="E859" s="81" t="s">
        <v>603</v>
      </c>
      <c r="F859" s="162" t="s">
        <v>604</v>
      </c>
      <c r="G859" s="163"/>
      <c r="H859" s="81" t="s">
        <v>1242</v>
      </c>
      <c r="I859" s="81" t="s">
        <v>344</v>
      </c>
      <c r="J859" s="81" t="s">
        <v>11</v>
      </c>
      <c r="K859" s="81" t="s">
        <v>1300</v>
      </c>
      <c r="L859" s="81" t="s">
        <v>129</v>
      </c>
      <c r="M859" s="164">
        <v>22.9</v>
      </c>
      <c r="N859" s="165"/>
      <c r="O859" s="163"/>
      <c r="P859" s="82">
        <v>81.599999999999994</v>
      </c>
      <c r="Q859" s="164">
        <v>0</v>
      </c>
      <c r="R859" s="163"/>
      <c r="S859" s="81" t="s">
        <v>346</v>
      </c>
      <c r="T859" s="82">
        <v>63</v>
      </c>
      <c r="U859" s="82">
        <v>0</v>
      </c>
      <c r="V859" s="82">
        <v>0</v>
      </c>
      <c r="W859" s="82">
        <v>0</v>
      </c>
      <c r="X859" s="81" t="s">
        <v>133</v>
      </c>
      <c r="Y859" s="82">
        <v>4</v>
      </c>
      <c r="Z859" s="81" t="s">
        <v>138</v>
      </c>
      <c r="AA859" s="81" t="s">
        <v>58</v>
      </c>
      <c r="AB859" s="81" t="s">
        <v>58</v>
      </c>
      <c r="AC859" s="83">
        <v>46151</v>
      </c>
    </row>
    <row r="860" spans="2:29" ht="23" x14ac:dyDescent="0.35">
      <c r="B860" s="81" t="s">
        <v>338</v>
      </c>
      <c r="C860" s="81" t="s">
        <v>339</v>
      </c>
      <c r="D860" s="81" t="s">
        <v>340</v>
      </c>
      <c r="E860" s="81" t="s">
        <v>603</v>
      </c>
      <c r="F860" s="162" t="s">
        <v>604</v>
      </c>
      <c r="G860" s="163"/>
      <c r="H860" s="81" t="s">
        <v>1242</v>
      </c>
      <c r="I860" s="81" t="s">
        <v>344</v>
      </c>
      <c r="J860" s="81" t="s">
        <v>11</v>
      </c>
      <c r="K860" s="81" t="s">
        <v>1301</v>
      </c>
      <c r="L860" s="81" t="s">
        <v>129</v>
      </c>
      <c r="M860" s="164">
        <v>22.8</v>
      </c>
      <c r="N860" s="165"/>
      <c r="O860" s="163"/>
      <c r="P860" s="82">
        <v>81.239999999999995</v>
      </c>
      <c r="Q860" s="164">
        <v>0</v>
      </c>
      <c r="R860" s="163"/>
      <c r="S860" s="81" t="s">
        <v>346</v>
      </c>
      <c r="T860" s="82">
        <v>63</v>
      </c>
      <c r="U860" s="82">
        <v>0</v>
      </c>
      <c r="V860" s="82">
        <v>0</v>
      </c>
      <c r="W860" s="82">
        <v>0</v>
      </c>
      <c r="X860" s="81" t="s">
        <v>133</v>
      </c>
      <c r="Y860" s="82">
        <v>4</v>
      </c>
      <c r="Z860" s="81" t="s">
        <v>138</v>
      </c>
      <c r="AA860" s="81" t="s">
        <v>58</v>
      </c>
      <c r="AB860" s="81" t="s">
        <v>58</v>
      </c>
      <c r="AC860" s="83">
        <v>46151</v>
      </c>
    </row>
    <row r="861" spans="2:29" ht="23" x14ac:dyDescent="0.35">
      <c r="B861" s="81" t="s">
        <v>338</v>
      </c>
      <c r="C861" s="81" t="s">
        <v>339</v>
      </c>
      <c r="D861" s="81" t="s">
        <v>340</v>
      </c>
      <c r="E861" s="81" t="s">
        <v>603</v>
      </c>
      <c r="F861" s="162" t="s">
        <v>604</v>
      </c>
      <c r="G861" s="163"/>
      <c r="H861" s="81" t="s">
        <v>1242</v>
      </c>
      <c r="I861" s="81" t="s">
        <v>344</v>
      </c>
      <c r="J861" s="81" t="s">
        <v>11</v>
      </c>
      <c r="K861" s="81" t="s">
        <v>1302</v>
      </c>
      <c r="L861" s="81" t="s">
        <v>129</v>
      </c>
      <c r="M861" s="164">
        <v>23</v>
      </c>
      <c r="N861" s="165"/>
      <c r="O861" s="163"/>
      <c r="P861" s="82">
        <v>81.96</v>
      </c>
      <c r="Q861" s="164">
        <v>0</v>
      </c>
      <c r="R861" s="163"/>
      <c r="S861" s="81" t="s">
        <v>346</v>
      </c>
      <c r="T861" s="82">
        <v>63</v>
      </c>
      <c r="U861" s="82">
        <v>0</v>
      </c>
      <c r="V861" s="82">
        <v>0</v>
      </c>
      <c r="W861" s="82">
        <v>0</v>
      </c>
      <c r="X861" s="81" t="s">
        <v>143</v>
      </c>
      <c r="Y861" s="82">
        <v>8</v>
      </c>
      <c r="Z861" s="81" t="s">
        <v>138</v>
      </c>
      <c r="AA861" s="81" t="s">
        <v>58</v>
      </c>
      <c r="AB861" s="81" t="s">
        <v>58</v>
      </c>
      <c r="AC861" s="83">
        <v>46151</v>
      </c>
    </row>
    <row r="862" spans="2:29" ht="23" x14ac:dyDescent="0.35">
      <c r="B862" s="81" t="s">
        <v>338</v>
      </c>
      <c r="C862" s="81" t="s">
        <v>339</v>
      </c>
      <c r="D862" s="81" t="s">
        <v>340</v>
      </c>
      <c r="E862" s="81" t="s">
        <v>603</v>
      </c>
      <c r="F862" s="162" t="s">
        <v>604</v>
      </c>
      <c r="G862" s="163"/>
      <c r="H862" s="81" t="s">
        <v>1242</v>
      </c>
      <c r="I862" s="81" t="s">
        <v>344</v>
      </c>
      <c r="J862" s="81" t="s">
        <v>11</v>
      </c>
      <c r="K862" s="81" t="s">
        <v>1303</v>
      </c>
      <c r="L862" s="81" t="s">
        <v>129</v>
      </c>
      <c r="M862" s="164">
        <v>21.4</v>
      </c>
      <c r="N862" s="165"/>
      <c r="O862" s="163"/>
      <c r="P862" s="82">
        <v>76.25</v>
      </c>
      <c r="Q862" s="164">
        <v>0</v>
      </c>
      <c r="R862" s="163"/>
      <c r="S862" s="81" t="s">
        <v>346</v>
      </c>
      <c r="T862" s="82">
        <v>63</v>
      </c>
      <c r="U862" s="82">
        <v>0</v>
      </c>
      <c r="V862" s="82">
        <v>0</v>
      </c>
      <c r="W862" s="82">
        <v>0</v>
      </c>
      <c r="X862" s="81"/>
      <c r="Y862" s="81"/>
      <c r="Z862" s="81" t="s">
        <v>138</v>
      </c>
      <c r="AA862" s="81" t="s">
        <v>58</v>
      </c>
      <c r="AB862" s="81" t="s">
        <v>58</v>
      </c>
      <c r="AC862" s="83">
        <v>46151</v>
      </c>
    </row>
    <row r="863" spans="2:29" ht="23" x14ac:dyDescent="0.35">
      <c r="B863" s="81" t="s">
        <v>338</v>
      </c>
      <c r="C863" s="81" t="s">
        <v>339</v>
      </c>
      <c r="D863" s="81" t="s">
        <v>340</v>
      </c>
      <c r="E863" s="81" t="s">
        <v>564</v>
      </c>
      <c r="F863" s="162" t="s">
        <v>565</v>
      </c>
      <c r="G863" s="163"/>
      <c r="H863" s="81" t="s">
        <v>566</v>
      </c>
      <c r="I863" s="81" t="s">
        <v>344</v>
      </c>
      <c r="J863" s="81" t="s">
        <v>11</v>
      </c>
      <c r="K863" s="81" t="s">
        <v>1304</v>
      </c>
      <c r="L863" s="81" t="s">
        <v>152</v>
      </c>
      <c r="M863" s="164">
        <v>23.8</v>
      </c>
      <c r="N863" s="165"/>
      <c r="O863" s="163"/>
      <c r="P863" s="82">
        <v>81.260000000000005</v>
      </c>
      <c r="Q863" s="164">
        <v>0</v>
      </c>
      <c r="R863" s="163"/>
      <c r="S863" s="81" t="s">
        <v>346</v>
      </c>
      <c r="T863" s="82">
        <v>63</v>
      </c>
      <c r="U863" s="82">
        <v>0</v>
      </c>
      <c r="V863" s="82">
        <v>0</v>
      </c>
      <c r="W863" s="82">
        <v>0</v>
      </c>
      <c r="X863" s="81" t="s">
        <v>148</v>
      </c>
      <c r="Y863" s="82">
        <v>80</v>
      </c>
      <c r="Z863" s="81" t="s">
        <v>138</v>
      </c>
      <c r="AA863" s="81" t="s">
        <v>58</v>
      </c>
      <c r="AB863" s="81" t="s">
        <v>58</v>
      </c>
      <c r="AC863" s="83">
        <v>46153</v>
      </c>
    </row>
    <row r="864" spans="2:29" ht="23" x14ac:dyDescent="0.35">
      <c r="B864" s="81" t="s">
        <v>338</v>
      </c>
      <c r="C864" s="81" t="s">
        <v>339</v>
      </c>
      <c r="D864" s="81" t="s">
        <v>340</v>
      </c>
      <c r="E864" s="81" t="s">
        <v>564</v>
      </c>
      <c r="F864" s="162" t="s">
        <v>565</v>
      </c>
      <c r="G864" s="163"/>
      <c r="H864" s="81" t="s">
        <v>566</v>
      </c>
      <c r="I864" s="81" t="s">
        <v>344</v>
      </c>
      <c r="J864" s="81" t="s">
        <v>11</v>
      </c>
      <c r="K864" s="81" t="s">
        <v>1305</v>
      </c>
      <c r="L864" s="81" t="s">
        <v>841</v>
      </c>
      <c r="M864" s="164">
        <v>16</v>
      </c>
      <c r="N864" s="165"/>
      <c r="O864" s="163"/>
      <c r="P864" s="82">
        <v>54.63</v>
      </c>
      <c r="Q864" s="164">
        <v>0</v>
      </c>
      <c r="R864" s="163"/>
      <c r="S864" s="81" t="s">
        <v>346</v>
      </c>
      <c r="T864" s="82">
        <v>63</v>
      </c>
      <c r="U864" s="82">
        <v>0</v>
      </c>
      <c r="V864" s="82">
        <v>0</v>
      </c>
      <c r="W864" s="82">
        <v>0</v>
      </c>
      <c r="X864" s="81" t="s">
        <v>148</v>
      </c>
      <c r="Y864" s="82">
        <v>80</v>
      </c>
      <c r="Z864" s="81" t="s">
        <v>138</v>
      </c>
      <c r="AA864" s="81" t="s">
        <v>58</v>
      </c>
      <c r="AB864" s="81" t="s">
        <v>58</v>
      </c>
      <c r="AC864" s="83">
        <v>46153</v>
      </c>
    </row>
    <row r="865" spans="2:29" ht="23" x14ac:dyDescent="0.35">
      <c r="B865" s="81" t="s">
        <v>338</v>
      </c>
      <c r="C865" s="81" t="s">
        <v>339</v>
      </c>
      <c r="D865" s="81" t="s">
        <v>340</v>
      </c>
      <c r="E865" s="81" t="s">
        <v>564</v>
      </c>
      <c r="F865" s="162" t="s">
        <v>565</v>
      </c>
      <c r="G865" s="163"/>
      <c r="H865" s="81" t="s">
        <v>566</v>
      </c>
      <c r="I865" s="81" t="s">
        <v>344</v>
      </c>
      <c r="J865" s="81" t="s">
        <v>11</v>
      </c>
      <c r="K865" s="81" t="s">
        <v>1306</v>
      </c>
      <c r="L865" s="81" t="s">
        <v>152</v>
      </c>
      <c r="M865" s="164">
        <v>23.8</v>
      </c>
      <c r="N865" s="165"/>
      <c r="O865" s="163"/>
      <c r="P865" s="82">
        <v>81.260000000000005</v>
      </c>
      <c r="Q865" s="164">
        <v>0</v>
      </c>
      <c r="R865" s="163"/>
      <c r="S865" s="81" t="s">
        <v>346</v>
      </c>
      <c r="T865" s="82">
        <v>63</v>
      </c>
      <c r="U865" s="82">
        <v>0</v>
      </c>
      <c r="V865" s="82">
        <v>0</v>
      </c>
      <c r="W865" s="82">
        <v>0</v>
      </c>
      <c r="X865" s="81" t="s">
        <v>148</v>
      </c>
      <c r="Y865" s="82">
        <v>80</v>
      </c>
      <c r="Z865" s="81" t="s">
        <v>138</v>
      </c>
      <c r="AA865" s="81" t="s">
        <v>58</v>
      </c>
      <c r="AB865" s="81" t="s">
        <v>58</v>
      </c>
      <c r="AC865" s="83">
        <v>46153</v>
      </c>
    </row>
    <row r="866" spans="2:29" ht="23" x14ac:dyDescent="0.35">
      <c r="B866" s="81" t="s">
        <v>338</v>
      </c>
      <c r="C866" s="81" t="s">
        <v>339</v>
      </c>
      <c r="D866" s="81" t="s">
        <v>340</v>
      </c>
      <c r="E866" s="81" t="s">
        <v>564</v>
      </c>
      <c r="F866" s="162" t="s">
        <v>565</v>
      </c>
      <c r="G866" s="163"/>
      <c r="H866" s="81" t="s">
        <v>566</v>
      </c>
      <c r="I866" s="81" t="s">
        <v>344</v>
      </c>
      <c r="J866" s="81" t="s">
        <v>11</v>
      </c>
      <c r="K866" s="81" t="s">
        <v>1307</v>
      </c>
      <c r="L866" s="81" t="s">
        <v>152</v>
      </c>
      <c r="M866" s="164">
        <v>23.9</v>
      </c>
      <c r="N866" s="165"/>
      <c r="O866" s="163"/>
      <c r="P866" s="82">
        <v>81.599999999999994</v>
      </c>
      <c r="Q866" s="164">
        <v>0</v>
      </c>
      <c r="R866" s="163"/>
      <c r="S866" s="81" t="s">
        <v>346</v>
      </c>
      <c r="T866" s="82">
        <v>63</v>
      </c>
      <c r="U866" s="82">
        <v>0</v>
      </c>
      <c r="V866" s="82">
        <v>0</v>
      </c>
      <c r="W866" s="82">
        <v>0</v>
      </c>
      <c r="X866" s="81" t="s">
        <v>148</v>
      </c>
      <c r="Y866" s="82">
        <v>80</v>
      </c>
      <c r="Z866" s="81" t="s">
        <v>138</v>
      </c>
      <c r="AA866" s="81" t="s">
        <v>58</v>
      </c>
      <c r="AB866" s="81" t="s">
        <v>58</v>
      </c>
      <c r="AC866" s="83">
        <v>46153</v>
      </c>
    </row>
    <row r="867" spans="2:29" ht="23" x14ac:dyDescent="0.35">
      <c r="B867" s="81" t="s">
        <v>338</v>
      </c>
      <c r="C867" s="81" t="s">
        <v>339</v>
      </c>
      <c r="D867" s="81" t="s">
        <v>340</v>
      </c>
      <c r="E867" s="81" t="s">
        <v>564</v>
      </c>
      <c r="F867" s="162" t="s">
        <v>565</v>
      </c>
      <c r="G867" s="163"/>
      <c r="H867" s="81" t="s">
        <v>566</v>
      </c>
      <c r="I867" s="81" t="s">
        <v>344</v>
      </c>
      <c r="J867" s="81" t="s">
        <v>11</v>
      </c>
      <c r="K867" s="81" t="s">
        <v>1308</v>
      </c>
      <c r="L867" s="81" t="s">
        <v>152</v>
      </c>
      <c r="M867" s="164">
        <v>22.1</v>
      </c>
      <c r="N867" s="165"/>
      <c r="O867" s="163"/>
      <c r="P867" s="82">
        <v>75.459999999999994</v>
      </c>
      <c r="Q867" s="164">
        <v>0</v>
      </c>
      <c r="R867" s="163"/>
      <c r="S867" s="81" t="s">
        <v>346</v>
      </c>
      <c r="T867" s="82">
        <v>63</v>
      </c>
      <c r="U867" s="82">
        <v>0</v>
      </c>
      <c r="V867" s="82">
        <v>0</v>
      </c>
      <c r="W867" s="82">
        <v>0</v>
      </c>
      <c r="X867" s="81" t="s">
        <v>148</v>
      </c>
      <c r="Y867" s="82">
        <v>80</v>
      </c>
      <c r="Z867" s="81" t="s">
        <v>138</v>
      </c>
      <c r="AA867" s="81" t="s">
        <v>58</v>
      </c>
      <c r="AB867" s="81" t="s">
        <v>58</v>
      </c>
      <c r="AC867" s="83">
        <v>1</v>
      </c>
    </row>
    <row r="868" spans="2:29" ht="23" x14ac:dyDescent="0.35">
      <c r="B868" s="81" t="s">
        <v>338</v>
      </c>
      <c r="C868" s="81" t="s">
        <v>339</v>
      </c>
      <c r="D868" s="81" t="s">
        <v>340</v>
      </c>
      <c r="E868" s="81" t="s">
        <v>564</v>
      </c>
      <c r="F868" s="162" t="s">
        <v>565</v>
      </c>
      <c r="G868" s="163"/>
      <c r="H868" s="81" t="s">
        <v>566</v>
      </c>
      <c r="I868" s="81" t="s">
        <v>344</v>
      </c>
      <c r="J868" s="81" t="s">
        <v>11</v>
      </c>
      <c r="K868" s="81" t="s">
        <v>1309</v>
      </c>
      <c r="L868" s="81" t="s">
        <v>152</v>
      </c>
      <c r="M868" s="164">
        <v>32.700000000000003</v>
      </c>
      <c r="N868" s="165"/>
      <c r="O868" s="163"/>
      <c r="P868" s="82">
        <v>111.65</v>
      </c>
      <c r="Q868" s="164">
        <v>0</v>
      </c>
      <c r="R868" s="163"/>
      <c r="S868" s="81" t="s">
        <v>346</v>
      </c>
      <c r="T868" s="82">
        <v>63</v>
      </c>
      <c r="U868" s="82">
        <v>0</v>
      </c>
      <c r="V868" s="82">
        <v>0</v>
      </c>
      <c r="W868" s="82">
        <v>0</v>
      </c>
      <c r="X868" s="81" t="s">
        <v>148</v>
      </c>
      <c r="Y868" s="82">
        <v>100</v>
      </c>
      <c r="Z868" s="81" t="s">
        <v>138</v>
      </c>
      <c r="AA868" s="81" t="s">
        <v>58</v>
      </c>
      <c r="AB868" s="81" t="s">
        <v>58</v>
      </c>
      <c r="AC868" s="83">
        <v>46153</v>
      </c>
    </row>
    <row r="869" spans="2:29" ht="23" x14ac:dyDescent="0.35">
      <c r="B869" s="81" t="s">
        <v>338</v>
      </c>
      <c r="C869" s="81" t="s">
        <v>339</v>
      </c>
      <c r="D869" s="81" t="s">
        <v>340</v>
      </c>
      <c r="E869" s="81" t="s">
        <v>564</v>
      </c>
      <c r="F869" s="162" t="s">
        <v>565</v>
      </c>
      <c r="G869" s="163"/>
      <c r="H869" s="81" t="s">
        <v>566</v>
      </c>
      <c r="I869" s="81" t="s">
        <v>344</v>
      </c>
      <c r="J869" s="81" t="s">
        <v>11</v>
      </c>
      <c r="K869" s="81" t="s">
        <v>1310</v>
      </c>
      <c r="L869" s="81" t="s">
        <v>152</v>
      </c>
      <c r="M869" s="164">
        <v>24.1</v>
      </c>
      <c r="N869" s="165"/>
      <c r="O869" s="163"/>
      <c r="P869" s="82">
        <v>82.29</v>
      </c>
      <c r="Q869" s="164">
        <v>0</v>
      </c>
      <c r="R869" s="163"/>
      <c r="S869" s="81" t="s">
        <v>346</v>
      </c>
      <c r="T869" s="82">
        <v>63</v>
      </c>
      <c r="U869" s="82">
        <v>0</v>
      </c>
      <c r="V869" s="82">
        <v>0</v>
      </c>
      <c r="W869" s="82">
        <v>0</v>
      </c>
      <c r="X869" s="81" t="s">
        <v>148</v>
      </c>
      <c r="Y869" s="82">
        <v>80</v>
      </c>
      <c r="Z869" s="81" t="s">
        <v>138</v>
      </c>
      <c r="AA869" s="81" t="s">
        <v>58</v>
      </c>
      <c r="AB869" s="81" t="s">
        <v>58</v>
      </c>
      <c r="AC869" s="83">
        <v>46153</v>
      </c>
    </row>
    <row r="870" spans="2:29" ht="23" x14ac:dyDescent="0.35">
      <c r="B870" s="81" t="s">
        <v>338</v>
      </c>
      <c r="C870" s="81" t="s">
        <v>339</v>
      </c>
      <c r="D870" s="81" t="s">
        <v>340</v>
      </c>
      <c r="E870" s="81" t="s">
        <v>447</v>
      </c>
      <c r="F870" s="162" t="s">
        <v>448</v>
      </c>
      <c r="G870" s="163"/>
      <c r="H870" s="81" t="s">
        <v>451</v>
      </c>
      <c r="I870" s="81" t="s">
        <v>344</v>
      </c>
      <c r="J870" s="81" t="s">
        <v>11</v>
      </c>
      <c r="K870" s="81" t="s">
        <v>1311</v>
      </c>
      <c r="L870" s="81" t="s">
        <v>152</v>
      </c>
      <c r="M870" s="164">
        <v>23.1</v>
      </c>
      <c r="N870" s="165"/>
      <c r="O870" s="163"/>
      <c r="P870" s="82">
        <v>77.28</v>
      </c>
      <c r="Q870" s="164">
        <v>0</v>
      </c>
      <c r="R870" s="163"/>
      <c r="S870" s="81" t="s">
        <v>346</v>
      </c>
      <c r="T870" s="82">
        <v>63</v>
      </c>
      <c r="U870" s="82">
        <v>0</v>
      </c>
      <c r="V870" s="82">
        <v>0</v>
      </c>
      <c r="W870" s="82">
        <v>0</v>
      </c>
      <c r="X870" s="81" t="s">
        <v>148</v>
      </c>
      <c r="Y870" s="82">
        <v>80</v>
      </c>
      <c r="Z870" s="81" t="s">
        <v>138</v>
      </c>
      <c r="AA870" s="81" t="s">
        <v>58</v>
      </c>
      <c r="AB870" s="81" t="s">
        <v>58</v>
      </c>
      <c r="AC870" s="83">
        <v>46153</v>
      </c>
    </row>
    <row r="871" spans="2:29" ht="23" x14ac:dyDescent="0.35">
      <c r="B871" s="81" t="s">
        <v>338</v>
      </c>
      <c r="C871" s="81" t="s">
        <v>339</v>
      </c>
      <c r="D871" s="81" t="s">
        <v>340</v>
      </c>
      <c r="E871" s="81" t="s">
        <v>447</v>
      </c>
      <c r="F871" s="162" t="s">
        <v>448</v>
      </c>
      <c r="G871" s="163"/>
      <c r="H871" s="81" t="s">
        <v>451</v>
      </c>
      <c r="I871" s="81" t="s">
        <v>344</v>
      </c>
      <c r="J871" s="81" t="s">
        <v>11</v>
      </c>
      <c r="K871" s="81" t="s">
        <v>1312</v>
      </c>
      <c r="L871" s="81" t="s">
        <v>152</v>
      </c>
      <c r="M871" s="164">
        <v>23.6</v>
      </c>
      <c r="N871" s="165"/>
      <c r="O871" s="163"/>
      <c r="P871" s="82">
        <v>78.95</v>
      </c>
      <c r="Q871" s="164">
        <v>0</v>
      </c>
      <c r="R871" s="163"/>
      <c r="S871" s="81" t="s">
        <v>346</v>
      </c>
      <c r="T871" s="82">
        <v>63</v>
      </c>
      <c r="U871" s="82">
        <v>0</v>
      </c>
      <c r="V871" s="82">
        <v>0</v>
      </c>
      <c r="W871" s="82">
        <v>0</v>
      </c>
      <c r="X871" s="81" t="s">
        <v>148</v>
      </c>
      <c r="Y871" s="82">
        <v>80</v>
      </c>
      <c r="Z871" s="81" t="s">
        <v>138</v>
      </c>
      <c r="AA871" s="81" t="s">
        <v>58</v>
      </c>
      <c r="AB871" s="81" t="s">
        <v>58</v>
      </c>
      <c r="AC871" s="83">
        <v>46153</v>
      </c>
    </row>
    <row r="872" spans="2:29" ht="23" x14ac:dyDescent="0.35">
      <c r="B872" s="81" t="s">
        <v>338</v>
      </c>
      <c r="C872" s="81" t="s">
        <v>339</v>
      </c>
      <c r="D872" s="81" t="s">
        <v>340</v>
      </c>
      <c r="E872" s="81" t="s">
        <v>447</v>
      </c>
      <c r="F872" s="162" t="s">
        <v>448</v>
      </c>
      <c r="G872" s="163"/>
      <c r="H872" s="81" t="s">
        <v>451</v>
      </c>
      <c r="I872" s="81" t="s">
        <v>344</v>
      </c>
      <c r="J872" s="81" t="s">
        <v>11</v>
      </c>
      <c r="K872" s="81" t="s">
        <v>1313</v>
      </c>
      <c r="L872" s="81" t="s">
        <v>152</v>
      </c>
      <c r="M872" s="164">
        <v>23</v>
      </c>
      <c r="N872" s="165"/>
      <c r="O872" s="163"/>
      <c r="P872" s="82">
        <v>76.95</v>
      </c>
      <c r="Q872" s="164">
        <v>0</v>
      </c>
      <c r="R872" s="163"/>
      <c r="S872" s="81" t="s">
        <v>346</v>
      </c>
      <c r="T872" s="82">
        <v>63</v>
      </c>
      <c r="U872" s="82">
        <v>0</v>
      </c>
      <c r="V872" s="82">
        <v>0</v>
      </c>
      <c r="W872" s="82">
        <v>0</v>
      </c>
      <c r="X872" s="81" t="s">
        <v>148</v>
      </c>
      <c r="Y872" s="82">
        <v>80</v>
      </c>
      <c r="Z872" s="81" t="s">
        <v>138</v>
      </c>
      <c r="AA872" s="81" t="s">
        <v>58</v>
      </c>
      <c r="AB872" s="81" t="s">
        <v>58</v>
      </c>
      <c r="AC872" s="83">
        <v>46153</v>
      </c>
    </row>
    <row r="873" spans="2:29" ht="23" x14ac:dyDescent="0.35">
      <c r="B873" s="81" t="s">
        <v>338</v>
      </c>
      <c r="C873" s="81" t="s">
        <v>339</v>
      </c>
      <c r="D873" s="81" t="s">
        <v>340</v>
      </c>
      <c r="E873" s="81" t="s">
        <v>447</v>
      </c>
      <c r="F873" s="162" t="s">
        <v>448</v>
      </c>
      <c r="G873" s="163"/>
      <c r="H873" s="81" t="s">
        <v>451</v>
      </c>
      <c r="I873" s="81" t="s">
        <v>344</v>
      </c>
      <c r="J873" s="81" t="s">
        <v>11</v>
      </c>
      <c r="K873" s="81" t="s">
        <v>1314</v>
      </c>
      <c r="L873" s="81" t="s">
        <v>152</v>
      </c>
      <c r="M873" s="164">
        <v>23.3</v>
      </c>
      <c r="N873" s="165"/>
      <c r="O873" s="163"/>
      <c r="P873" s="82">
        <v>77.95</v>
      </c>
      <c r="Q873" s="164">
        <v>0</v>
      </c>
      <c r="R873" s="163"/>
      <c r="S873" s="81" t="s">
        <v>346</v>
      </c>
      <c r="T873" s="82">
        <v>63</v>
      </c>
      <c r="U873" s="82">
        <v>0</v>
      </c>
      <c r="V873" s="82">
        <v>0</v>
      </c>
      <c r="W873" s="82">
        <v>0</v>
      </c>
      <c r="X873" s="81" t="s">
        <v>148</v>
      </c>
      <c r="Y873" s="82">
        <v>80</v>
      </c>
      <c r="Z873" s="81" t="s">
        <v>138</v>
      </c>
      <c r="AA873" s="81" t="s">
        <v>58</v>
      </c>
      <c r="AB873" s="81" t="s">
        <v>58</v>
      </c>
      <c r="AC873" s="83">
        <v>46153</v>
      </c>
    </row>
    <row r="874" spans="2:29" ht="23" x14ac:dyDescent="0.35">
      <c r="B874" s="81" t="s">
        <v>338</v>
      </c>
      <c r="C874" s="81" t="s">
        <v>339</v>
      </c>
      <c r="D874" s="81" t="s">
        <v>340</v>
      </c>
      <c r="E874" s="81" t="s">
        <v>447</v>
      </c>
      <c r="F874" s="162" t="s">
        <v>448</v>
      </c>
      <c r="G874" s="163"/>
      <c r="H874" s="81" t="s">
        <v>451</v>
      </c>
      <c r="I874" s="81" t="s">
        <v>344</v>
      </c>
      <c r="J874" s="81" t="s">
        <v>11</v>
      </c>
      <c r="K874" s="81" t="s">
        <v>1315</v>
      </c>
      <c r="L874" s="81" t="s">
        <v>841</v>
      </c>
      <c r="M874" s="164">
        <v>21</v>
      </c>
      <c r="N874" s="165"/>
      <c r="O874" s="163"/>
      <c r="P874" s="82">
        <v>70.25</v>
      </c>
      <c r="Q874" s="164">
        <v>0</v>
      </c>
      <c r="R874" s="163"/>
      <c r="S874" s="81" t="s">
        <v>346</v>
      </c>
      <c r="T874" s="82">
        <v>63</v>
      </c>
      <c r="U874" s="82">
        <v>0</v>
      </c>
      <c r="V874" s="82">
        <v>0</v>
      </c>
      <c r="W874" s="82">
        <v>0</v>
      </c>
      <c r="X874" s="81" t="s">
        <v>148</v>
      </c>
      <c r="Y874" s="82">
        <v>80</v>
      </c>
      <c r="Z874" s="81" t="s">
        <v>138</v>
      </c>
      <c r="AA874" s="81" t="s">
        <v>58</v>
      </c>
      <c r="AB874" s="81" t="s">
        <v>58</v>
      </c>
      <c r="AC874" s="83">
        <v>46153</v>
      </c>
    </row>
    <row r="875" spans="2:29" ht="23" x14ac:dyDescent="0.35">
      <c r="B875" s="81" t="s">
        <v>338</v>
      </c>
      <c r="C875" s="81" t="s">
        <v>339</v>
      </c>
      <c r="D875" s="81" t="s">
        <v>340</v>
      </c>
      <c r="E875" s="81" t="s">
        <v>447</v>
      </c>
      <c r="F875" s="162" t="s">
        <v>448</v>
      </c>
      <c r="G875" s="163"/>
      <c r="H875" s="81" t="s">
        <v>451</v>
      </c>
      <c r="I875" s="81" t="s">
        <v>344</v>
      </c>
      <c r="J875" s="81" t="s">
        <v>11</v>
      </c>
      <c r="K875" s="81" t="s">
        <v>1316</v>
      </c>
      <c r="L875" s="81" t="s">
        <v>152</v>
      </c>
      <c r="M875" s="164">
        <v>23</v>
      </c>
      <c r="N875" s="165"/>
      <c r="O875" s="163"/>
      <c r="P875" s="82">
        <v>76.95</v>
      </c>
      <c r="Q875" s="164">
        <v>0</v>
      </c>
      <c r="R875" s="163"/>
      <c r="S875" s="81" t="s">
        <v>346</v>
      </c>
      <c r="T875" s="82">
        <v>63</v>
      </c>
      <c r="U875" s="82">
        <v>0</v>
      </c>
      <c r="V875" s="82">
        <v>0</v>
      </c>
      <c r="W875" s="82">
        <v>0</v>
      </c>
      <c r="X875" s="81" t="s">
        <v>148</v>
      </c>
      <c r="Y875" s="82">
        <v>80</v>
      </c>
      <c r="Z875" s="81" t="s">
        <v>138</v>
      </c>
      <c r="AA875" s="81" t="s">
        <v>58</v>
      </c>
      <c r="AB875" s="81" t="s">
        <v>58</v>
      </c>
      <c r="AC875" s="83">
        <v>46153</v>
      </c>
    </row>
    <row r="876" spans="2:29" ht="23" x14ac:dyDescent="0.35">
      <c r="B876" s="81" t="s">
        <v>338</v>
      </c>
      <c r="C876" s="81" t="s">
        <v>339</v>
      </c>
      <c r="D876" s="81" t="s">
        <v>340</v>
      </c>
      <c r="E876" s="81" t="s">
        <v>711</v>
      </c>
      <c r="F876" s="162" t="s">
        <v>712</v>
      </c>
      <c r="G876" s="163"/>
      <c r="H876" s="81" t="s">
        <v>847</v>
      </c>
      <c r="I876" s="81" t="s">
        <v>344</v>
      </c>
      <c r="J876" s="81" t="s">
        <v>11</v>
      </c>
      <c r="K876" s="81" t="s">
        <v>1317</v>
      </c>
      <c r="L876" s="81" t="s">
        <v>152</v>
      </c>
      <c r="M876" s="164">
        <v>22.3</v>
      </c>
      <c r="N876" s="165"/>
      <c r="O876" s="163"/>
      <c r="P876" s="82">
        <v>77.739999999999995</v>
      </c>
      <c r="Q876" s="164">
        <v>0</v>
      </c>
      <c r="R876" s="163"/>
      <c r="S876" s="81" t="s">
        <v>346</v>
      </c>
      <c r="T876" s="82">
        <v>63</v>
      </c>
      <c r="U876" s="82">
        <v>0</v>
      </c>
      <c r="V876" s="82">
        <v>0</v>
      </c>
      <c r="W876" s="82">
        <v>0</v>
      </c>
      <c r="X876" s="81" t="s">
        <v>132</v>
      </c>
      <c r="Y876" s="82">
        <v>80</v>
      </c>
      <c r="Z876" s="81" t="s">
        <v>138</v>
      </c>
      <c r="AA876" s="81" t="s">
        <v>58</v>
      </c>
      <c r="AB876" s="81" t="s">
        <v>58</v>
      </c>
      <c r="AC876" s="83">
        <v>1</v>
      </c>
    </row>
    <row r="877" spans="2:29" ht="23" x14ac:dyDescent="0.35">
      <c r="B877" s="81" t="s">
        <v>338</v>
      </c>
      <c r="C877" s="81" t="s">
        <v>339</v>
      </c>
      <c r="D877" s="81" t="s">
        <v>340</v>
      </c>
      <c r="E877" s="81" t="s">
        <v>711</v>
      </c>
      <c r="F877" s="162" t="s">
        <v>712</v>
      </c>
      <c r="G877" s="163"/>
      <c r="H877" s="81" t="s">
        <v>847</v>
      </c>
      <c r="I877" s="81" t="s">
        <v>344</v>
      </c>
      <c r="J877" s="81" t="s">
        <v>11</v>
      </c>
      <c r="K877" s="81" t="s">
        <v>1318</v>
      </c>
      <c r="L877" s="81" t="s">
        <v>841</v>
      </c>
      <c r="M877" s="164">
        <v>17.600000000000001</v>
      </c>
      <c r="N877" s="165"/>
      <c r="O877" s="163"/>
      <c r="P877" s="82">
        <v>61.36</v>
      </c>
      <c r="Q877" s="164">
        <v>0</v>
      </c>
      <c r="R877" s="163"/>
      <c r="S877" s="81" t="s">
        <v>346</v>
      </c>
      <c r="T877" s="82">
        <v>63</v>
      </c>
      <c r="U877" s="82">
        <v>0</v>
      </c>
      <c r="V877" s="82">
        <v>0</v>
      </c>
      <c r="W877" s="82">
        <v>0</v>
      </c>
      <c r="X877" s="81" t="s">
        <v>1319</v>
      </c>
      <c r="Y877" s="82">
        <v>80</v>
      </c>
      <c r="Z877" s="81" t="s">
        <v>138</v>
      </c>
      <c r="AA877" s="81" t="s">
        <v>58</v>
      </c>
      <c r="AB877" s="81" t="s">
        <v>58</v>
      </c>
      <c r="AC877" s="83">
        <v>1</v>
      </c>
    </row>
    <row r="878" spans="2:29" ht="23" x14ac:dyDescent="0.35">
      <c r="B878" s="81" t="s">
        <v>338</v>
      </c>
      <c r="C878" s="81" t="s">
        <v>339</v>
      </c>
      <c r="D878" s="81" t="s">
        <v>340</v>
      </c>
      <c r="E878" s="81" t="s">
        <v>447</v>
      </c>
      <c r="F878" s="162" t="s">
        <v>448</v>
      </c>
      <c r="G878" s="163"/>
      <c r="H878" s="81" t="s">
        <v>1239</v>
      </c>
      <c r="I878" s="81" t="s">
        <v>344</v>
      </c>
      <c r="J878" s="81" t="s">
        <v>11</v>
      </c>
      <c r="K878" s="81" t="s">
        <v>1320</v>
      </c>
      <c r="L878" s="81" t="s">
        <v>129</v>
      </c>
      <c r="M878" s="164">
        <v>21.5</v>
      </c>
      <c r="N878" s="165"/>
      <c r="O878" s="163"/>
      <c r="P878" s="82">
        <v>79.760000000000005</v>
      </c>
      <c r="Q878" s="164">
        <v>0</v>
      </c>
      <c r="R878" s="163"/>
      <c r="S878" s="81" t="s">
        <v>346</v>
      </c>
      <c r="T878" s="82">
        <v>61</v>
      </c>
      <c r="U878" s="82">
        <v>0</v>
      </c>
      <c r="V878" s="82">
        <v>0</v>
      </c>
      <c r="W878" s="82">
        <v>0</v>
      </c>
      <c r="X878" s="81" t="s">
        <v>134</v>
      </c>
      <c r="Y878" s="82">
        <v>4</v>
      </c>
      <c r="Z878" s="81" t="s">
        <v>146</v>
      </c>
      <c r="AA878" s="81" t="s">
        <v>58</v>
      </c>
      <c r="AB878" s="81" t="s">
        <v>58</v>
      </c>
      <c r="AC878" s="83">
        <v>46151</v>
      </c>
    </row>
    <row r="879" spans="2:29" ht="23" x14ac:dyDescent="0.35">
      <c r="B879" s="81" t="s">
        <v>338</v>
      </c>
      <c r="C879" s="81" t="s">
        <v>339</v>
      </c>
      <c r="D879" s="81" t="s">
        <v>340</v>
      </c>
      <c r="E879" s="81" t="s">
        <v>447</v>
      </c>
      <c r="F879" s="162" t="s">
        <v>448</v>
      </c>
      <c r="G879" s="163"/>
      <c r="H879" s="81" t="s">
        <v>1239</v>
      </c>
      <c r="I879" s="81" t="s">
        <v>344</v>
      </c>
      <c r="J879" s="81" t="s">
        <v>11</v>
      </c>
      <c r="K879" s="81" t="s">
        <v>1321</v>
      </c>
      <c r="L879" s="81" t="s">
        <v>129</v>
      </c>
      <c r="M879" s="164">
        <v>28</v>
      </c>
      <c r="N879" s="165"/>
      <c r="O879" s="163"/>
      <c r="P879" s="82">
        <v>103.87</v>
      </c>
      <c r="Q879" s="164">
        <v>0</v>
      </c>
      <c r="R879" s="163"/>
      <c r="S879" s="81" t="s">
        <v>346</v>
      </c>
      <c r="T879" s="82">
        <v>61</v>
      </c>
      <c r="U879" s="82">
        <v>0</v>
      </c>
      <c r="V879" s="82">
        <v>0</v>
      </c>
      <c r="W879" s="82">
        <v>0</v>
      </c>
      <c r="X879" s="81" t="s">
        <v>134</v>
      </c>
      <c r="Y879" s="82">
        <v>3</v>
      </c>
      <c r="Z879" s="81" t="s">
        <v>146</v>
      </c>
      <c r="AA879" s="81" t="s">
        <v>58</v>
      </c>
      <c r="AB879" s="81" t="s">
        <v>58</v>
      </c>
      <c r="AC879" s="83">
        <v>46151</v>
      </c>
    </row>
    <row r="880" spans="2:29" ht="23" x14ac:dyDescent="0.35">
      <c r="B880" s="81" t="s">
        <v>338</v>
      </c>
      <c r="C880" s="81" t="s">
        <v>339</v>
      </c>
      <c r="D880" s="81" t="s">
        <v>340</v>
      </c>
      <c r="E880" s="81" t="s">
        <v>447</v>
      </c>
      <c r="F880" s="162" t="s">
        <v>448</v>
      </c>
      <c r="G880" s="163"/>
      <c r="H880" s="81" t="s">
        <v>1239</v>
      </c>
      <c r="I880" s="81" t="s">
        <v>344</v>
      </c>
      <c r="J880" s="81" t="s">
        <v>11</v>
      </c>
      <c r="K880" s="81" t="s">
        <v>1322</v>
      </c>
      <c r="L880" s="81" t="s">
        <v>129</v>
      </c>
      <c r="M880" s="164">
        <v>24</v>
      </c>
      <c r="N880" s="165"/>
      <c r="O880" s="163"/>
      <c r="P880" s="82">
        <v>89.03</v>
      </c>
      <c r="Q880" s="164">
        <v>0</v>
      </c>
      <c r="R880" s="163"/>
      <c r="S880" s="81" t="s">
        <v>346</v>
      </c>
      <c r="T880" s="82">
        <v>61</v>
      </c>
      <c r="U880" s="82">
        <v>0</v>
      </c>
      <c r="V880" s="82">
        <v>0</v>
      </c>
      <c r="W880" s="82">
        <v>0</v>
      </c>
      <c r="X880" s="81" t="s">
        <v>133</v>
      </c>
      <c r="Y880" s="82">
        <v>4</v>
      </c>
      <c r="Z880" s="81" t="s">
        <v>146</v>
      </c>
      <c r="AA880" s="81" t="s">
        <v>58</v>
      </c>
      <c r="AB880" s="81" t="s">
        <v>58</v>
      </c>
      <c r="AC880" s="83">
        <v>46151</v>
      </c>
    </row>
    <row r="881" spans="2:29" ht="23" x14ac:dyDescent="0.35">
      <c r="B881" s="81" t="s">
        <v>338</v>
      </c>
      <c r="C881" s="81" t="s">
        <v>339</v>
      </c>
      <c r="D881" s="81" t="s">
        <v>340</v>
      </c>
      <c r="E881" s="81" t="s">
        <v>447</v>
      </c>
      <c r="F881" s="162" t="s">
        <v>448</v>
      </c>
      <c r="G881" s="163"/>
      <c r="H881" s="81" t="s">
        <v>1239</v>
      </c>
      <c r="I881" s="81" t="s">
        <v>344</v>
      </c>
      <c r="J881" s="81" t="s">
        <v>11</v>
      </c>
      <c r="K881" s="81" t="s">
        <v>1323</v>
      </c>
      <c r="L881" s="81" t="s">
        <v>129</v>
      </c>
      <c r="M881" s="164">
        <v>24.1</v>
      </c>
      <c r="N881" s="165"/>
      <c r="O881" s="163"/>
      <c r="P881" s="82">
        <v>89.4</v>
      </c>
      <c r="Q881" s="164">
        <v>0</v>
      </c>
      <c r="R881" s="163"/>
      <c r="S881" s="81" t="s">
        <v>346</v>
      </c>
      <c r="T881" s="82">
        <v>61</v>
      </c>
      <c r="U881" s="82">
        <v>0</v>
      </c>
      <c r="V881" s="82">
        <v>0</v>
      </c>
      <c r="W881" s="82">
        <v>0</v>
      </c>
      <c r="X881" s="81" t="s">
        <v>135</v>
      </c>
      <c r="Y881" s="82">
        <v>4</v>
      </c>
      <c r="Z881" s="81" t="s">
        <v>146</v>
      </c>
      <c r="AA881" s="81" t="s">
        <v>58</v>
      </c>
      <c r="AB881" s="81" t="s">
        <v>58</v>
      </c>
      <c r="AC881" s="83">
        <v>46151</v>
      </c>
    </row>
    <row r="882" spans="2:29" ht="23" x14ac:dyDescent="0.35">
      <c r="B882" s="81" t="s">
        <v>338</v>
      </c>
      <c r="C882" s="81" t="s">
        <v>339</v>
      </c>
      <c r="D882" s="81" t="s">
        <v>340</v>
      </c>
      <c r="E882" s="81" t="s">
        <v>447</v>
      </c>
      <c r="F882" s="162" t="s">
        <v>448</v>
      </c>
      <c r="G882" s="163"/>
      <c r="H882" s="81" t="s">
        <v>1239</v>
      </c>
      <c r="I882" s="81" t="s">
        <v>344</v>
      </c>
      <c r="J882" s="81" t="s">
        <v>11</v>
      </c>
      <c r="K882" s="81" t="s">
        <v>1324</v>
      </c>
      <c r="L882" s="81" t="s">
        <v>129</v>
      </c>
      <c r="M882" s="164">
        <v>24</v>
      </c>
      <c r="N882" s="165"/>
      <c r="O882" s="163"/>
      <c r="P882" s="82">
        <v>89.03</v>
      </c>
      <c r="Q882" s="164">
        <v>0</v>
      </c>
      <c r="R882" s="163"/>
      <c r="S882" s="81" t="s">
        <v>346</v>
      </c>
      <c r="T882" s="82">
        <v>61</v>
      </c>
      <c r="U882" s="82">
        <v>0</v>
      </c>
      <c r="V882" s="82">
        <v>0</v>
      </c>
      <c r="W882" s="82">
        <v>0</v>
      </c>
      <c r="X882" s="81" t="s">
        <v>141</v>
      </c>
      <c r="Y882" s="82">
        <v>2</v>
      </c>
      <c r="Z882" s="81" t="s">
        <v>146</v>
      </c>
      <c r="AA882" s="81" t="s">
        <v>58</v>
      </c>
      <c r="AB882" s="81" t="s">
        <v>58</v>
      </c>
      <c r="AC882" s="83">
        <v>46151</v>
      </c>
    </row>
    <row r="883" spans="2:29" ht="23" x14ac:dyDescent="0.35">
      <c r="B883" s="81" t="s">
        <v>338</v>
      </c>
      <c r="C883" s="81" t="s">
        <v>339</v>
      </c>
      <c r="D883" s="81" t="s">
        <v>340</v>
      </c>
      <c r="E883" s="81" t="s">
        <v>447</v>
      </c>
      <c r="F883" s="162" t="s">
        <v>448</v>
      </c>
      <c r="G883" s="163"/>
      <c r="H883" s="81" t="s">
        <v>1239</v>
      </c>
      <c r="I883" s="81" t="s">
        <v>344</v>
      </c>
      <c r="J883" s="81" t="s">
        <v>11</v>
      </c>
      <c r="K883" s="81" t="s">
        <v>1325</v>
      </c>
      <c r="L883" s="81" t="s">
        <v>129</v>
      </c>
      <c r="M883" s="164">
        <v>24</v>
      </c>
      <c r="N883" s="165"/>
      <c r="O883" s="163"/>
      <c r="P883" s="82">
        <v>89.03</v>
      </c>
      <c r="Q883" s="164">
        <v>0</v>
      </c>
      <c r="R883" s="163"/>
      <c r="S883" s="81" t="s">
        <v>346</v>
      </c>
      <c r="T883" s="82">
        <v>61</v>
      </c>
      <c r="U883" s="82">
        <v>0</v>
      </c>
      <c r="V883" s="82">
        <v>0</v>
      </c>
      <c r="W883" s="82">
        <v>0</v>
      </c>
      <c r="X883" s="81" t="s">
        <v>135</v>
      </c>
      <c r="Y883" s="82">
        <v>8</v>
      </c>
      <c r="Z883" s="81" t="s">
        <v>146</v>
      </c>
      <c r="AA883" s="81" t="s">
        <v>58</v>
      </c>
      <c r="AB883" s="81" t="s">
        <v>58</v>
      </c>
      <c r="AC883" s="83">
        <v>46151</v>
      </c>
    </row>
    <row r="884" spans="2:29" ht="23" x14ac:dyDescent="0.35">
      <c r="B884" s="81" t="s">
        <v>338</v>
      </c>
      <c r="C884" s="81" t="s">
        <v>339</v>
      </c>
      <c r="D884" s="81" t="s">
        <v>340</v>
      </c>
      <c r="E884" s="81" t="s">
        <v>447</v>
      </c>
      <c r="F884" s="162" t="s">
        <v>448</v>
      </c>
      <c r="G884" s="163"/>
      <c r="H884" s="81" t="s">
        <v>1239</v>
      </c>
      <c r="I884" s="81" t="s">
        <v>344</v>
      </c>
      <c r="J884" s="81" t="s">
        <v>11</v>
      </c>
      <c r="K884" s="81" t="s">
        <v>1326</v>
      </c>
      <c r="L884" s="81" t="s">
        <v>129</v>
      </c>
      <c r="M884" s="164">
        <v>23.7</v>
      </c>
      <c r="N884" s="165"/>
      <c r="O884" s="163"/>
      <c r="P884" s="82">
        <v>87.92</v>
      </c>
      <c r="Q884" s="164">
        <v>0</v>
      </c>
      <c r="R884" s="163"/>
      <c r="S884" s="81" t="s">
        <v>346</v>
      </c>
      <c r="T884" s="82">
        <v>61</v>
      </c>
      <c r="U884" s="82">
        <v>0</v>
      </c>
      <c r="V884" s="82">
        <v>0</v>
      </c>
      <c r="W884" s="82">
        <v>0</v>
      </c>
      <c r="X884" s="81" t="s">
        <v>135</v>
      </c>
      <c r="Y884" s="82">
        <v>8</v>
      </c>
      <c r="Z884" s="81" t="s">
        <v>146</v>
      </c>
      <c r="AA884" s="81" t="s">
        <v>58</v>
      </c>
      <c r="AB884" s="81" t="s">
        <v>58</v>
      </c>
      <c r="AC884" s="83">
        <v>46151</v>
      </c>
    </row>
    <row r="885" spans="2:29" ht="23" x14ac:dyDescent="0.35">
      <c r="B885" s="81" t="s">
        <v>338</v>
      </c>
      <c r="C885" s="81" t="s">
        <v>339</v>
      </c>
      <c r="D885" s="81" t="s">
        <v>340</v>
      </c>
      <c r="E885" s="81" t="s">
        <v>447</v>
      </c>
      <c r="F885" s="162" t="s">
        <v>448</v>
      </c>
      <c r="G885" s="163"/>
      <c r="H885" s="81" t="s">
        <v>1239</v>
      </c>
      <c r="I885" s="81" t="s">
        <v>344</v>
      </c>
      <c r="J885" s="81" t="s">
        <v>11</v>
      </c>
      <c r="K885" s="81" t="s">
        <v>1327</v>
      </c>
      <c r="L885" s="81" t="s">
        <v>129</v>
      </c>
      <c r="M885" s="164">
        <v>24.2</v>
      </c>
      <c r="N885" s="165"/>
      <c r="O885" s="163"/>
      <c r="P885" s="82">
        <v>89.77</v>
      </c>
      <c r="Q885" s="164">
        <v>0</v>
      </c>
      <c r="R885" s="163"/>
      <c r="S885" s="81" t="s">
        <v>346</v>
      </c>
      <c r="T885" s="82">
        <v>61</v>
      </c>
      <c r="U885" s="82">
        <v>0</v>
      </c>
      <c r="V885" s="82">
        <v>0</v>
      </c>
      <c r="W885" s="82">
        <v>0</v>
      </c>
      <c r="X885" s="81" t="s">
        <v>133</v>
      </c>
      <c r="Y885" s="82">
        <v>4</v>
      </c>
      <c r="Z885" s="81" t="s">
        <v>146</v>
      </c>
      <c r="AA885" s="81" t="s">
        <v>58</v>
      </c>
      <c r="AB885" s="81" t="s">
        <v>58</v>
      </c>
      <c r="AC885" s="83">
        <v>46151</v>
      </c>
    </row>
    <row r="886" spans="2:29" ht="23" x14ac:dyDescent="0.35">
      <c r="B886" s="81" t="s">
        <v>338</v>
      </c>
      <c r="C886" s="81" t="s">
        <v>339</v>
      </c>
      <c r="D886" s="81" t="s">
        <v>340</v>
      </c>
      <c r="E886" s="81" t="s">
        <v>447</v>
      </c>
      <c r="F886" s="162" t="s">
        <v>448</v>
      </c>
      <c r="G886" s="163"/>
      <c r="H886" s="81" t="s">
        <v>1239</v>
      </c>
      <c r="I886" s="81" t="s">
        <v>344</v>
      </c>
      <c r="J886" s="81" t="s">
        <v>11</v>
      </c>
      <c r="K886" s="81" t="s">
        <v>1328</v>
      </c>
      <c r="L886" s="81" t="s">
        <v>129</v>
      </c>
      <c r="M886" s="164">
        <v>15.3</v>
      </c>
      <c r="N886" s="165"/>
      <c r="O886" s="163"/>
      <c r="P886" s="82">
        <v>56.76</v>
      </c>
      <c r="Q886" s="164">
        <v>0</v>
      </c>
      <c r="R886" s="163"/>
      <c r="S886" s="81" t="s">
        <v>346</v>
      </c>
      <c r="T886" s="82">
        <v>61</v>
      </c>
      <c r="U886" s="82">
        <v>0</v>
      </c>
      <c r="V886" s="82">
        <v>0</v>
      </c>
      <c r="W886" s="82">
        <v>0</v>
      </c>
      <c r="X886" s="81" t="s">
        <v>132</v>
      </c>
      <c r="Y886" s="82">
        <v>12</v>
      </c>
      <c r="Z886" s="81" t="s">
        <v>146</v>
      </c>
      <c r="AA886" s="81" t="s">
        <v>58</v>
      </c>
      <c r="AB886" s="81" t="s">
        <v>58</v>
      </c>
      <c r="AC886" s="83">
        <v>46151</v>
      </c>
    </row>
    <row r="887" spans="2:29" ht="23" x14ac:dyDescent="0.35">
      <c r="B887" s="81" t="s">
        <v>338</v>
      </c>
      <c r="C887" s="81" t="s">
        <v>339</v>
      </c>
      <c r="D887" s="81" t="s">
        <v>340</v>
      </c>
      <c r="E887" s="81" t="s">
        <v>564</v>
      </c>
      <c r="F887" s="162" t="s">
        <v>565</v>
      </c>
      <c r="G887" s="163"/>
      <c r="H887" s="81" t="s">
        <v>566</v>
      </c>
      <c r="I887" s="81" t="s">
        <v>344</v>
      </c>
      <c r="J887" s="81" t="s">
        <v>11</v>
      </c>
      <c r="K887" s="81" t="s">
        <v>1329</v>
      </c>
      <c r="L887" s="81" t="s">
        <v>841</v>
      </c>
      <c r="M887" s="164">
        <v>22.1</v>
      </c>
      <c r="N887" s="165"/>
      <c r="O887" s="163"/>
      <c r="P887" s="82">
        <v>75.459999999999994</v>
      </c>
      <c r="Q887" s="164">
        <v>0</v>
      </c>
      <c r="R887" s="163"/>
      <c r="S887" s="81" t="s">
        <v>346</v>
      </c>
      <c r="T887" s="82">
        <v>63</v>
      </c>
      <c r="U887" s="82">
        <v>0</v>
      </c>
      <c r="V887" s="82">
        <v>0</v>
      </c>
      <c r="W887" s="82">
        <v>0</v>
      </c>
      <c r="X887" s="81" t="s">
        <v>132</v>
      </c>
      <c r="Y887" s="82">
        <v>84</v>
      </c>
      <c r="Z887" s="81" t="s">
        <v>138</v>
      </c>
      <c r="AA887" s="81" t="s">
        <v>58</v>
      </c>
      <c r="AB887" s="81" t="s">
        <v>58</v>
      </c>
      <c r="AC887" s="83">
        <v>46153</v>
      </c>
    </row>
    <row r="888" spans="2:29" ht="23" x14ac:dyDescent="0.35">
      <c r="B888" s="81" t="s">
        <v>338</v>
      </c>
      <c r="C888" s="81" t="s">
        <v>339</v>
      </c>
      <c r="D888" s="81" t="s">
        <v>340</v>
      </c>
      <c r="E888" s="81" t="s">
        <v>447</v>
      </c>
      <c r="F888" s="162" t="s">
        <v>448</v>
      </c>
      <c r="G888" s="163"/>
      <c r="H888" s="81" t="s">
        <v>1239</v>
      </c>
      <c r="I888" s="81" t="s">
        <v>344</v>
      </c>
      <c r="J888" s="81" t="s">
        <v>11</v>
      </c>
      <c r="K888" s="81" t="s">
        <v>1330</v>
      </c>
      <c r="L888" s="81" t="s">
        <v>129</v>
      </c>
      <c r="M888" s="164">
        <v>33.4</v>
      </c>
      <c r="N888" s="165"/>
      <c r="O888" s="163"/>
      <c r="P888" s="82">
        <v>123.9</v>
      </c>
      <c r="Q888" s="164">
        <v>0</v>
      </c>
      <c r="R888" s="163"/>
      <c r="S888" s="81" t="s">
        <v>346</v>
      </c>
      <c r="T888" s="82">
        <v>61</v>
      </c>
      <c r="U888" s="82">
        <v>0</v>
      </c>
      <c r="V888" s="82">
        <v>0</v>
      </c>
      <c r="W888" s="82">
        <v>0</v>
      </c>
      <c r="X888" s="81" t="s">
        <v>132</v>
      </c>
      <c r="Y888" s="82">
        <v>16</v>
      </c>
      <c r="Z888" s="81" t="s">
        <v>145</v>
      </c>
      <c r="AA888" s="81" t="s">
        <v>58</v>
      </c>
      <c r="AB888" s="81" t="s">
        <v>58</v>
      </c>
      <c r="AC888" s="83">
        <v>46154</v>
      </c>
    </row>
    <row r="889" spans="2:29" ht="23" x14ac:dyDescent="0.35">
      <c r="B889" s="81" t="s">
        <v>338</v>
      </c>
      <c r="C889" s="81" t="s">
        <v>339</v>
      </c>
      <c r="D889" s="81" t="s">
        <v>340</v>
      </c>
      <c r="E889" s="81" t="s">
        <v>447</v>
      </c>
      <c r="F889" s="162" t="s">
        <v>448</v>
      </c>
      <c r="G889" s="163"/>
      <c r="H889" s="81" t="s">
        <v>1239</v>
      </c>
      <c r="I889" s="81" t="s">
        <v>344</v>
      </c>
      <c r="J889" s="81" t="s">
        <v>11</v>
      </c>
      <c r="K889" s="81" t="s">
        <v>1331</v>
      </c>
      <c r="L889" s="81" t="s">
        <v>129</v>
      </c>
      <c r="M889" s="164">
        <v>23.9</v>
      </c>
      <c r="N889" s="165"/>
      <c r="O889" s="163"/>
      <c r="P889" s="82">
        <v>88.66</v>
      </c>
      <c r="Q889" s="164">
        <v>0</v>
      </c>
      <c r="R889" s="163"/>
      <c r="S889" s="81" t="s">
        <v>346</v>
      </c>
      <c r="T889" s="82">
        <v>61</v>
      </c>
      <c r="U889" s="82">
        <v>0</v>
      </c>
      <c r="V889" s="82">
        <v>0</v>
      </c>
      <c r="W889" s="82">
        <v>0</v>
      </c>
      <c r="X889" s="81" t="s">
        <v>132</v>
      </c>
      <c r="Y889" s="82">
        <v>8</v>
      </c>
      <c r="Z889" s="81" t="s">
        <v>145</v>
      </c>
      <c r="AA889" s="81" t="s">
        <v>58</v>
      </c>
      <c r="AB889" s="81" t="s">
        <v>58</v>
      </c>
      <c r="AC889" s="83">
        <v>46154</v>
      </c>
    </row>
    <row r="890" spans="2:29" ht="23" x14ac:dyDescent="0.35">
      <c r="B890" s="81" t="s">
        <v>338</v>
      </c>
      <c r="C890" s="81" t="s">
        <v>339</v>
      </c>
      <c r="D890" s="81" t="s">
        <v>340</v>
      </c>
      <c r="E890" s="81" t="s">
        <v>447</v>
      </c>
      <c r="F890" s="162" t="s">
        <v>448</v>
      </c>
      <c r="G890" s="163"/>
      <c r="H890" s="81" t="s">
        <v>1239</v>
      </c>
      <c r="I890" s="81" t="s">
        <v>344</v>
      </c>
      <c r="J890" s="81" t="s">
        <v>11</v>
      </c>
      <c r="K890" s="81" t="s">
        <v>1332</v>
      </c>
      <c r="L890" s="81" t="s">
        <v>129</v>
      </c>
      <c r="M890" s="164">
        <v>22.7</v>
      </c>
      <c r="N890" s="165"/>
      <c r="O890" s="163"/>
      <c r="P890" s="82">
        <v>84.21</v>
      </c>
      <c r="Q890" s="164">
        <v>0</v>
      </c>
      <c r="R890" s="163"/>
      <c r="S890" s="81" t="s">
        <v>346</v>
      </c>
      <c r="T890" s="82">
        <v>61</v>
      </c>
      <c r="U890" s="82">
        <v>0</v>
      </c>
      <c r="V890" s="82">
        <v>0</v>
      </c>
      <c r="W890" s="82">
        <v>0</v>
      </c>
      <c r="X890" s="81" t="s">
        <v>133</v>
      </c>
      <c r="Y890" s="82">
        <v>4</v>
      </c>
      <c r="Z890" s="81" t="s">
        <v>145</v>
      </c>
      <c r="AA890" s="81" t="s">
        <v>58</v>
      </c>
      <c r="AB890" s="81" t="s">
        <v>58</v>
      </c>
      <c r="AC890" s="83">
        <v>46154</v>
      </c>
    </row>
    <row r="891" spans="2:29" ht="23" x14ac:dyDescent="0.35">
      <c r="B891" s="81" t="s">
        <v>338</v>
      </c>
      <c r="C891" s="81" t="s">
        <v>339</v>
      </c>
      <c r="D891" s="81" t="s">
        <v>340</v>
      </c>
      <c r="E891" s="81" t="s">
        <v>447</v>
      </c>
      <c r="F891" s="162" t="s">
        <v>448</v>
      </c>
      <c r="G891" s="163"/>
      <c r="H891" s="81" t="s">
        <v>1239</v>
      </c>
      <c r="I891" s="81" t="s">
        <v>344</v>
      </c>
      <c r="J891" s="81" t="s">
        <v>11</v>
      </c>
      <c r="K891" s="81" t="s">
        <v>1333</v>
      </c>
      <c r="L891" s="81" t="s">
        <v>129</v>
      </c>
      <c r="M891" s="164">
        <v>24.4</v>
      </c>
      <c r="N891" s="165"/>
      <c r="O891" s="163"/>
      <c r="P891" s="82">
        <v>90.52</v>
      </c>
      <c r="Q891" s="164">
        <v>0</v>
      </c>
      <c r="R891" s="163"/>
      <c r="S891" s="81" t="s">
        <v>346</v>
      </c>
      <c r="T891" s="82">
        <v>61</v>
      </c>
      <c r="U891" s="82">
        <v>0</v>
      </c>
      <c r="V891" s="82">
        <v>0</v>
      </c>
      <c r="W891" s="82">
        <v>0</v>
      </c>
      <c r="X891" s="81" t="s">
        <v>134</v>
      </c>
      <c r="Y891" s="82">
        <v>4</v>
      </c>
      <c r="Z891" s="81" t="s">
        <v>145</v>
      </c>
      <c r="AA891" s="81" t="s">
        <v>58</v>
      </c>
      <c r="AB891" s="81" t="s">
        <v>58</v>
      </c>
      <c r="AC891" s="83">
        <v>46154</v>
      </c>
    </row>
    <row r="892" spans="2:29" ht="23" x14ac:dyDescent="0.35">
      <c r="B892" s="81" t="s">
        <v>338</v>
      </c>
      <c r="C892" s="81" t="s">
        <v>339</v>
      </c>
      <c r="D892" s="81" t="s">
        <v>340</v>
      </c>
      <c r="E892" s="81" t="s">
        <v>447</v>
      </c>
      <c r="F892" s="162" t="s">
        <v>448</v>
      </c>
      <c r="G892" s="163"/>
      <c r="H892" s="81" t="s">
        <v>1239</v>
      </c>
      <c r="I892" s="81" t="s">
        <v>344</v>
      </c>
      <c r="J892" s="81" t="s">
        <v>11</v>
      </c>
      <c r="K892" s="81" t="s">
        <v>1334</v>
      </c>
      <c r="L892" s="81" t="s">
        <v>129</v>
      </c>
      <c r="M892" s="164">
        <v>29.1</v>
      </c>
      <c r="N892" s="165"/>
      <c r="O892" s="163"/>
      <c r="P892" s="82">
        <v>107.95</v>
      </c>
      <c r="Q892" s="164">
        <v>0</v>
      </c>
      <c r="R892" s="163"/>
      <c r="S892" s="81" t="s">
        <v>346</v>
      </c>
      <c r="T892" s="82">
        <v>61</v>
      </c>
      <c r="U892" s="82">
        <v>0</v>
      </c>
      <c r="V892" s="82">
        <v>0</v>
      </c>
      <c r="W892" s="82">
        <v>0</v>
      </c>
      <c r="X892" s="81" t="s">
        <v>132</v>
      </c>
      <c r="Y892" s="82">
        <v>20</v>
      </c>
      <c r="Z892" s="81" t="s">
        <v>145</v>
      </c>
      <c r="AA892" s="81" t="s">
        <v>58</v>
      </c>
      <c r="AB892" s="81" t="s">
        <v>58</v>
      </c>
      <c r="AC892" s="83">
        <v>46154</v>
      </c>
    </row>
    <row r="893" spans="2:29" ht="23" x14ac:dyDescent="0.35">
      <c r="B893" s="81" t="s">
        <v>338</v>
      </c>
      <c r="C893" s="81" t="s">
        <v>339</v>
      </c>
      <c r="D893" s="81" t="s">
        <v>340</v>
      </c>
      <c r="E893" s="81" t="s">
        <v>447</v>
      </c>
      <c r="F893" s="162" t="s">
        <v>448</v>
      </c>
      <c r="G893" s="163"/>
      <c r="H893" s="81" t="s">
        <v>1239</v>
      </c>
      <c r="I893" s="81" t="s">
        <v>344</v>
      </c>
      <c r="J893" s="81" t="s">
        <v>11</v>
      </c>
      <c r="K893" s="81" t="s">
        <v>1335</v>
      </c>
      <c r="L893" s="81" t="s">
        <v>129</v>
      </c>
      <c r="M893" s="164">
        <v>24.3</v>
      </c>
      <c r="N893" s="165"/>
      <c r="O893" s="163"/>
      <c r="P893" s="82">
        <v>90.15</v>
      </c>
      <c r="Q893" s="164">
        <v>0</v>
      </c>
      <c r="R893" s="163"/>
      <c r="S893" s="81" t="s">
        <v>346</v>
      </c>
      <c r="T893" s="82">
        <v>61</v>
      </c>
      <c r="U893" s="82">
        <v>0</v>
      </c>
      <c r="V893" s="82">
        <v>0</v>
      </c>
      <c r="W893" s="82">
        <v>0</v>
      </c>
      <c r="X893" s="81" t="s">
        <v>134</v>
      </c>
      <c r="Y893" s="82">
        <v>16</v>
      </c>
      <c r="Z893" s="81" t="s">
        <v>145</v>
      </c>
      <c r="AA893" s="81" t="s">
        <v>58</v>
      </c>
      <c r="AB893" s="81" t="s">
        <v>58</v>
      </c>
      <c r="AC893" s="83">
        <v>46154</v>
      </c>
    </row>
    <row r="894" spans="2:29" ht="23" x14ac:dyDescent="0.35">
      <c r="B894" s="81" t="s">
        <v>338</v>
      </c>
      <c r="C894" s="81" t="s">
        <v>339</v>
      </c>
      <c r="D894" s="81" t="s">
        <v>340</v>
      </c>
      <c r="E894" s="81" t="s">
        <v>447</v>
      </c>
      <c r="F894" s="162" t="s">
        <v>448</v>
      </c>
      <c r="G894" s="163"/>
      <c r="H894" s="81" t="s">
        <v>1239</v>
      </c>
      <c r="I894" s="81" t="s">
        <v>344</v>
      </c>
      <c r="J894" s="81" t="s">
        <v>11</v>
      </c>
      <c r="K894" s="81" t="s">
        <v>1336</v>
      </c>
      <c r="L894" s="81" t="s">
        <v>129</v>
      </c>
      <c r="M894" s="164">
        <v>33</v>
      </c>
      <c r="N894" s="165"/>
      <c r="O894" s="163"/>
      <c r="P894" s="82">
        <v>122.42</v>
      </c>
      <c r="Q894" s="164">
        <v>0</v>
      </c>
      <c r="R894" s="163"/>
      <c r="S894" s="81" t="s">
        <v>346</v>
      </c>
      <c r="T894" s="82">
        <v>61</v>
      </c>
      <c r="U894" s="82">
        <v>0</v>
      </c>
      <c r="V894" s="82">
        <v>0</v>
      </c>
      <c r="W894" s="82">
        <v>0</v>
      </c>
      <c r="X894" s="81" t="s">
        <v>132</v>
      </c>
      <c r="Y894" s="82">
        <v>8</v>
      </c>
      <c r="Z894" s="81" t="s">
        <v>145</v>
      </c>
      <c r="AA894" s="81" t="s">
        <v>58</v>
      </c>
      <c r="AB894" s="81" t="s">
        <v>58</v>
      </c>
      <c r="AC894" s="83">
        <v>46154</v>
      </c>
    </row>
    <row r="895" spans="2:29" ht="23" x14ac:dyDescent="0.35">
      <c r="B895" s="81" t="s">
        <v>338</v>
      </c>
      <c r="C895" s="81" t="s">
        <v>339</v>
      </c>
      <c r="D895" s="81" t="s">
        <v>340</v>
      </c>
      <c r="E895" s="81" t="s">
        <v>447</v>
      </c>
      <c r="F895" s="162" t="s">
        <v>448</v>
      </c>
      <c r="G895" s="163"/>
      <c r="H895" s="81" t="s">
        <v>1239</v>
      </c>
      <c r="I895" s="81" t="s">
        <v>344</v>
      </c>
      <c r="J895" s="81" t="s">
        <v>11</v>
      </c>
      <c r="K895" s="81" t="s">
        <v>1337</v>
      </c>
      <c r="L895" s="81" t="s">
        <v>129</v>
      </c>
      <c r="M895" s="164">
        <v>23.9</v>
      </c>
      <c r="N895" s="165"/>
      <c r="O895" s="163"/>
      <c r="P895" s="82">
        <v>88.66</v>
      </c>
      <c r="Q895" s="164">
        <v>0</v>
      </c>
      <c r="R895" s="163"/>
      <c r="S895" s="81" t="s">
        <v>346</v>
      </c>
      <c r="T895" s="82">
        <v>61</v>
      </c>
      <c r="U895" s="82">
        <v>0</v>
      </c>
      <c r="V895" s="82">
        <v>0</v>
      </c>
      <c r="W895" s="82">
        <v>0</v>
      </c>
      <c r="X895" s="81"/>
      <c r="Y895" s="81"/>
      <c r="Z895" s="81" t="s">
        <v>145</v>
      </c>
      <c r="AA895" s="81" t="s">
        <v>58</v>
      </c>
      <c r="AB895" s="81" t="s">
        <v>58</v>
      </c>
      <c r="AC895" s="83">
        <v>46154</v>
      </c>
    </row>
    <row r="896" spans="2:29" ht="23" x14ac:dyDescent="0.35">
      <c r="B896" s="81" t="s">
        <v>338</v>
      </c>
      <c r="C896" s="81" t="s">
        <v>339</v>
      </c>
      <c r="D896" s="81" t="s">
        <v>340</v>
      </c>
      <c r="E896" s="81" t="s">
        <v>447</v>
      </c>
      <c r="F896" s="162" t="s">
        <v>448</v>
      </c>
      <c r="G896" s="163"/>
      <c r="H896" s="81" t="s">
        <v>1239</v>
      </c>
      <c r="I896" s="81" t="s">
        <v>344</v>
      </c>
      <c r="J896" s="81" t="s">
        <v>11</v>
      </c>
      <c r="K896" s="81" t="s">
        <v>1338</v>
      </c>
      <c r="L896" s="81" t="s">
        <v>129</v>
      </c>
      <c r="M896" s="164">
        <v>24.2</v>
      </c>
      <c r="N896" s="165"/>
      <c r="O896" s="163"/>
      <c r="P896" s="82">
        <v>89.77</v>
      </c>
      <c r="Q896" s="164">
        <v>0</v>
      </c>
      <c r="R896" s="163"/>
      <c r="S896" s="81" t="s">
        <v>346</v>
      </c>
      <c r="T896" s="82">
        <v>61</v>
      </c>
      <c r="U896" s="82">
        <v>0</v>
      </c>
      <c r="V896" s="82">
        <v>0</v>
      </c>
      <c r="W896" s="82">
        <v>0</v>
      </c>
      <c r="X896" s="81" t="s">
        <v>132</v>
      </c>
      <c r="Y896" s="82">
        <v>4</v>
      </c>
      <c r="Z896" s="81" t="s">
        <v>145</v>
      </c>
      <c r="AA896" s="81" t="s">
        <v>58</v>
      </c>
      <c r="AB896" s="81" t="s">
        <v>58</v>
      </c>
      <c r="AC896" s="83">
        <v>46154</v>
      </c>
    </row>
    <row r="897" spans="2:29" ht="23" x14ac:dyDescent="0.35">
      <c r="B897" s="81" t="s">
        <v>338</v>
      </c>
      <c r="C897" s="81" t="s">
        <v>339</v>
      </c>
      <c r="D897" s="81" t="s">
        <v>340</v>
      </c>
      <c r="E897" s="81" t="s">
        <v>447</v>
      </c>
      <c r="F897" s="162" t="s">
        <v>448</v>
      </c>
      <c r="G897" s="163"/>
      <c r="H897" s="81" t="s">
        <v>1239</v>
      </c>
      <c r="I897" s="81" t="s">
        <v>344</v>
      </c>
      <c r="J897" s="81" t="s">
        <v>11</v>
      </c>
      <c r="K897" s="81" t="s">
        <v>1339</v>
      </c>
      <c r="L897" s="81" t="s">
        <v>129</v>
      </c>
      <c r="M897" s="164">
        <v>23.2</v>
      </c>
      <c r="N897" s="165"/>
      <c r="O897" s="163"/>
      <c r="P897" s="82">
        <v>86.06</v>
      </c>
      <c r="Q897" s="164">
        <v>0</v>
      </c>
      <c r="R897" s="163"/>
      <c r="S897" s="81" t="s">
        <v>346</v>
      </c>
      <c r="T897" s="82">
        <v>61</v>
      </c>
      <c r="U897" s="82">
        <v>0</v>
      </c>
      <c r="V897" s="82">
        <v>0</v>
      </c>
      <c r="W897" s="82">
        <v>0</v>
      </c>
      <c r="X897" s="81" t="s">
        <v>132</v>
      </c>
      <c r="Y897" s="82">
        <v>4</v>
      </c>
      <c r="Z897" s="81" t="s">
        <v>145</v>
      </c>
      <c r="AA897" s="81" t="s">
        <v>58</v>
      </c>
      <c r="AB897" s="81" t="s">
        <v>58</v>
      </c>
      <c r="AC897" s="83">
        <v>46154</v>
      </c>
    </row>
    <row r="898" spans="2:29" ht="23" x14ac:dyDescent="0.35">
      <c r="B898" s="81" t="s">
        <v>338</v>
      </c>
      <c r="C898" s="81" t="s">
        <v>339</v>
      </c>
      <c r="D898" s="81" t="s">
        <v>340</v>
      </c>
      <c r="E898" s="81" t="s">
        <v>447</v>
      </c>
      <c r="F898" s="162" t="s">
        <v>448</v>
      </c>
      <c r="G898" s="163"/>
      <c r="H898" s="81" t="s">
        <v>1239</v>
      </c>
      <c r="I898" s="81" t="s">
        <v>344</v>
      </c>
      <c r="J898" s="81" t="s">
        <v>11</v>
      </c>
      <c r="K898" s="81" t="s">
        <v>1340</v>
      </c>
      <c r="L898" s="81" t="s">
        <v>129</v>
      </c>
      <c r="M898" s="164">
        <v>23.8</v>
      </c>
      <c r="N898" s="165"/>
      <c r="O898" s="163"/>
      <c r="P898" s="82">
        <v>88.29</v>
      </c>
      <c r="Q898" s="164">
        <v>0</v>
      </c>
      <c r="R898" s="163"/>
      <c r="S898" s="81" t="s">
        <v>346</v>
      </c>
      <c r="T898" s="82">
        <v>61</v>
      </c>
      <c r="U898" s="82">
        <v>0</v>
      </c>
      <c r="V898" s="82">
        <v>0</v>
      </c>
      <c r="W898" s="82">
        <v>0</v>
      </c>
      <c r="X898" s="81"/>
      <c r="Y898" s="81"/>
      <c r="Z898" s="81" t="s">
        <v>145</v>
      </c>
      <c r="AA898" s="81" t="s">
        <v>58</v>
      </c>
      <c r="AB898" s="81" t="s">
        <v>58</v>
      </c>
      <c r="AC898" s="83">
        <v>46154</v>
      </c>
    </row>
    <row r="899" spans="2:29" ht="23" x14ac:dyDescent="0.35">
      <c r="B899" s="81" t="s">
        <v>338</v>
      </c>
      <c r="C899" s="81" t="s">
        <v>339</v>
      </c>
      <c r="D899" s="81" t="s">
        <v>340</v>
      </c>
      <c r="E899" s="81" t="s">
        <v>447</v>
      </c>
      <c r="F899" s="162" t="s">
        <v>448</v>
      </c>
      <c r="G899" s="163"/>
      <c r="H899" s="81" t="s">
        <v>1239</v>
      </c>
      <c r="I899" s="81" t="s">
        <v>344</v>
      </c>
      <c r="J899" s="81" t="s">
        <v>11</v>
      </c>
      <c r="K899" s="81" t="s">
        <v>1341</v>
      </c>
      <c r="L899" s="81" t="s">
        <v>129</v>
      </c>
      <c r="M899" s="164">
        <v>23.8</v>
      </c>
      <c r="N899" s="165"/>
      <c r="O899" s="163"/>
      <c r="P899" s="82">
        <v>88.29</v>
      </c>
      <c r="Q899" s="164">
        <v>0</v>
      </c>
      <c r="R899" s="163"/>
      <c r="S899" s="81" t="s">
        <v>346</v>
      </c>
      <c r="T899" s="82">
        <v>61</v>
      </c>
      <c r="U899" s="82">
        <v>0</v>
      </c>
      <c r="V899" s="82">
        <v>0</v>
      </c>
      <c r="W899" s="82">
        <v>0</v>
      </c>
      <c r="X899" s="81" t="s">
        <v>135</v>
      </c>
      <c r="Y899" s="82">
        <v>16</v>
      </c>
      <c r="Z899" s="81" t="s">
        <v>145</v>
      </c>
      <c r="AA899" s="81" t="s">
        <v>58</v>
      </c>
      <c r="AB899" s="81" t="s">
        <v>58</v>
      </c>
      <c r="AC899" s="83">
        <v>46154</v>
      </c>
    </row>
    <row r="900" spans="2:29" ht="23" x14ac:dyDescent="0.35">
      <c r="B900" s="81" t="s">
        <v>338</v>
      </c>
      <c r="C900" s="81" t="s">
        <v>339</v>
      </c>
      <c r="D900" s="81" t="s">
        <v>340</v>
      </c>
      <c r="E900" s="81" t="s">
        <v>447</v>
      </c>
      <c r="F900" s="162" t="s">
        <v>448</v>
      </c>
      <c r="G900" s="163"/>
      <c r="H900" s="81" t="s">
        <v>1239</v>
      </c>
      <c r="I900" s="81" t="s">
        <v>344</v>
      </c>
      <c r="J900" s="81" t="s">
        <v>11</v>
      </c>
      <c r="K900" s="81" t="s">
        <v>1342</v>
      </c>
      <c r="L900" s="81" t="s">
        <v>129</v>
      </c>
      <c r="M900" s="164">
        <v>23.9</v>
      </c>
      <c r="N900" s="165"/>
      <c r="O900" s="163"/>
      <c r="P900" s="82">
        <v>88.66</v>
      </c>
      <c r="Q900" s="164">
        <v>0</v>
      </c>
      <c r="R900" s="163"/>
      <c r="S900" s="81" t="s">
        <v>346</v>
      </c>
      <c r="T900" s="82">
        <v>61</v>
      </c>
      <c r="U900" s="82">
        <v>0</v>
      </c>
      <c r="V900" s="82">
        <v>0</v>
      </c>
      <c r="W900" s="82">
        <v>0</v>
      </c>
      <c r="X900" s="81" t="s">
        <v>133</v>
      </c>
      <c r="Y900" s="82">
        <v>8</v>
      </c>
      <c r="Z900" s="81" t="s">
        <v>145</v>
      </c>
      <c r="AA900" s="81" t="s">
        <v>58</v>
      </c>
      <c r="AB900" s="81" t="s">
        <v>58</v>
      </c>
      <c r="AC900" s="83">
        <v>46154</v>
      </c>
    </row>
    <row r="901" spans="2:29" ht="23" x14ac:dyDescent="0.35">
      <c r="B901" s="81" t="s">
        <v>338</v>
      </c>
      <c r="C901" s="81" t="s">
        <v>339</v>
      </c>
      <c r="D901" s="81" t="s">
        <v>340</v>
      </c>
      <c r="E901" s="81" t="s">
        <v>406</v>
      </c>
      <c r="F901" s="162" t="s">
        <v>407</v>
      </c>
      <c r="G901" s="163"/>
      <c r="H901" s="81" t="s">
        <v>1343</v>
      </c>
      <c r="I901" s="81" t="s">
        <v>344</v>
      </c>
      <c r="J901" s="81" t="s">
        <v>11</v>
      </c>
      <c r="K901" s="81" t="s">
        <v>1344</v>
      </c>
      <c r="L901" s="81" t="s">
        <v>129</v>
      </c>
      <c r="M901" s="164">
        <v>35.4</v>
      </c>
      <c r="N901" s="165"/>
      <c r="O901" s="163"/>
      <c r="P901" s="82">
        <v>123.44</v>
      </c>
      <c r="Q901" s="164">
        <v>0</v>
      </c>
      <c r="R901" s="163"/>
      <c r="S901" s="81" t="s">
        <v>346</v>
      </c>
      <c r="T901" s="82">
        <v>62</v>
      </c>
      <c r="U901" s="82">
        <v>0</v>
      </c>
      <c r="V901" s="82">
        <v>0</v>
      </c>
      <c r="W901" s="82">
        <v>0</v>
      </c>
      <c r="X901" s="81" t="s">
        <v>139</v>
      </c>
      <c r="Y901" s="82">
        <v>4</v>
      </c>
      <c r="Z901" s="81" t="s">
        <v>146</v>
      </c>
      <c r="AA901" s="81" t="s">
        <v>58</v>
      </c>
      <c r="AB901" s="81" t="s">
        <v>58</v>
      </c>
      <c r="AC901" s="83">
        <v>46154</v>
      </c>
    </row>
    <row r="902" spans="2:29" ht="23" x14ac:dyDescent="0.35">
      <c r="B902" s="81" t="s">
        <v>338</v>
      </c>
      <c r="C902" s="81" t="s">
        <v>339</v>
      </c>
      <c r="D902" s="81" t="s">
        <v>340</v>
      </c>
      <c r="E902" s="81" t="s">
        <v>406</v>
      </c>
      <c r="F902" s="162" t="s">
        <v>407</v>
      </c>
      <c r="G902" s="163"/>
      <c r="H902" s="81" t="s">
        <v>1343</v>
      </c>
      <c r="I902" s="81" t="s">
        <v>344</v>
      </c>
      <c r="J902" s="81" t="s">
        <v>11</v>
      </c>
      <c r="K902" s="81" t="s">
        <v>1345</v>
      </c>
      <c r="L902" s="81" t="s">
        <v>129</v>
      </c>
      <c r="M902" s="164">
        <v>24</v>
      </c>
      <c r="N902" s="165"/>
      <c r="O902" s="163"/>
      <c r="P902" s="82">
        <v>81.11</v>
      </c>
      <c r="Q902" s="164">
        <v>0</v>
      </c>
      <c r="R902" s="163"/>
      <c r="S902" s="81" t="s">
        <v>346</v>
      </c>
      <c r="T902" s="82">
        <v>63</v>
      </c>
      <c r="U902" s="82">
        <v>0</v>
      </c>
      <c r="V902" s="82">
        <v>0</v>
      </c>
      <c r="W902" s="82">
        <v>0</v>
      </c>
      <c r="X902" s="81" t="s">
        <v>132</v>
      </c>
      <c r="Y902" s="82">
        <v>4</v>
      </c>
      <c r="Z902" s="81" t="s">
        <v>146</v>
      </c>
      <c r="AA902" s="81" t="s">
        <v>58</v>
      </c>
      <c r="AB902" s="81" t="s">
        <v>58</v>
      </c>
      <c r="AC902" s="83">
        <v>46154</v>
      </c>
    </row>
    <row r="903" spans="2:29" ht="23" x14ac:dyDescent="0.35">
      <c r="B903" s="81" t="s">
        <v>338</v>
      </c>
      <c r="C903" s="81" t="s">
        <v>339</v>
      </c>
      <c r="D903" s="81" t="s">
        <v>340</v>
      </c>
      <c r="E903" s="81" t="s">
        <v>406</v>
      </c>
      <c r="F903" s="162" t="s">
        <v>407</v>
      </c>
      <c r="G903" s="163"/>
      <c r="H903" s="81" t="s">
        <v>1343</v>
      </c>
      <c r="I903" s="81" t="s">
        <v>344</v>
      </c>
      <c r="J903" s="81" t="s">
        <v>11</v>
      </c>
      <c r="K903" s="81" t="s">
        <v>1346</v>
      </c>
      <c r="L903" s="81" t="s">
        <v>129</v>
      </c>
      <c r="M903" s="164">
        <v>24</v>
      </c>
      <c r="N903" s="165"/>
      <c r="O903" s="163"/>
      <c r="P903" s="82">
        <v>81.11</v>
      </c>
      <c r="Q903" s="164">
        <v>0</v>
      </c>
      <c r="R903" s="163"/>
      <c r="S903" s="81" t="s">
        <v>346</v>
      </c>
      <c r="T903" s="82">
        <v>63</v>
      </c>
      <c r="U903" s="82">
        <v>0</v>
      </c>
      <c r="V903" s="82">
        <v>0</v>
      </c>
      <c r="W903" s="82">
        <v>0</v>
      </c>
      <c r="X903" s="81" t="s">
        <v>135</v>
      </c>
      <c r="Y903" s="82">
        <v>4</v>
      </c>
      <c r="Z903" s="81" t="s">
        <v>146</v>
      </c>
      <c r="AA903" s="81" t="s">
        <v>58</v>
      </c>
      <c r="AB903" s="81" t="s">
        <v>58</v>
      </c>
      <c r="AC903" s="83">
        <v>46154</v>
      </c>
    </row>
    <row r="904" spans="2:29" ht="23" x14ac:dyDescent="0.35">
      <c r="B904" s="81" t="s">
        <v>338</v>
      </c>
      <c r="C904" s="81" t="s">
        <v>339</v>
      </c>
      <c r="D904" s="81" t="s">
        <v>340</v>
      </c>
      <c r="E904" s="81" t="s">
        <v>406</v>
      </c>
      <c r="F904" s="162" t="s">
        <v>407</v>
      </c>
      <c r="G904" s="163"/>
      <c r="H904" s="81" t="s">
        <v>1343</v>
      </c>
      <c r="I904" s="81" t="s">
        <v>344</v>
      </c>
      <c r="J904" s="81" t="s">
        <v>11</v>
      </c>
      <c r="K904" s="81" t="s">
        <v>1347</v>
      </c>
      <c r="L904" s="81" t="s">
        <v>129</v>
      </c>
      <c r="M904" s="164">
        <v>22.9</v>
      </c>
      <c r="N904" s="165"/>
      <c r="O904" s="163"/>
      <c r="P904" s="82">
        <v>79.849999999999994</v>
      </c>
      <c r="Q904" s="164">
        <v>0</v>
      </c>
      <c r="R904" s="163"/>
      <c r="S904" s="81" t="s">
        <v>346</v>
      </c>
      <c r="T904" s="82">
        <v>62</v>
      </c>
      <c r="U904" s="82">
        <v>0</v>
      </c>
      <c r="V904" s="82">
        <v>0</v>
      </c>
      <c r="W904" s="82">
        <v>0</v>
      </c>
      <c r="X904" s="81" t="s">
        <v>141</v>
      </c>
      <c r="Y904" s="82">
        <v>2</v>
      </c>
      <c r="Z904" s="81" t="s">
        <v>146</v>
      </c>
      <c r="AA904" s="81" t="s">
        <v>58</v>
      </c>
      <c r="AB904" s="81" t="s">
        <v>58</v>
      </c>
      <c r="AC904" s="83">
        <v>46154</v>
      </c>
    </row>
    <row r="905" spans="2:29" ht="23" x14ac:dyDescent="0.35">
      <c r="B905" s="81" t="s">
        <v>338</v>
      </c>
      <c r="C905" s="81" t="s">
        <v>339</v>
      </c>
      <c r="D905" s="81" t="s">
        <v>340</v>
      </c>
      <c r="E905" s="81" t="s">
        <v>406</v>
      </c>
      <c r="F905" s="162" t="s">
        <v>407</v>
      </c>
      <c r="G905" s="163"/>
      <c r="H905" s="81" t="s">
        <v>1343</v>
      </c>
      <c r="I905" s="81" t="s">
        <v>344</v>
      </c>
      <c r="J905" s="81" t="s">
        <v>11</v>
      </c>
      <c r="K905" s="81" t="s">
        <v>1348</v>
      </c>
      <c r="L905" s="81" t="s">
        <v>129</v>
      </c>
      <c r="M905" s="164">
        <v>23.5</v>
      </c>
      <c r="N905" s="165"/>
      <c r="O905" s="163"/>
      <c r="P905" s="82">
        <v>81.94</v>
      </c>
      <c r="Q905" s="164">
        <v>0</v>
      </c>
      <c r="R905" s="163"/>
      <c r="S905" s="81" t="s">
        <v>346</v>
      </c>
      <c r="T905" s="82">
        <v>62</v>
      </c>
      <c r="U905" s="82">
        <v>0</v>
      </c>
      <c r="V905" s="82">
        <v>0</v>
      </c>
      <c r="W905" s="82">
        <v>0</v>
      </c>
      <c r="X905" s="81" t="s">
        <v>148</v>
      </c>
      <c r="Y905" s="82">
        <v>8</v>
      </c>
      <c r="Z905" s="81" t="s">
        <v>146</v>
      </c>
      <c r="AA905" s="81" t="s">
        <v>58</v>
      </c>
      <c r="AB905" s="81" t="s">
        <v>58</v>
      </c>
      <c r="AC905" s="83">
        <v>46154</v>
      </c>
    </row>
    <row r="906" spans="2:29" ht="23" x14ac:dyDescent="0.35">
      <c r="B906" s="81" t="s">
        <v>338</v>
      </c>
      <c r="C906" s="81" t="s">
        <v>339</v>
      </c>
      <c r="D906" s="81" t="s">
        <v>340</v>
      </c>
      <c r="E906" s="81" t="s">
        <v>406</v>
      </c>
      <c r="F906" s="162" t="s">
        <v>407</v>
      </c>
      <c r="G906" s="163"/>
      <c r="H906" s="81" t="s">
        <v>1343</v>
      </c>
      <c r="I906" s="81" t="s">
        <v>344</v>
      </c>
      <c r="J906" s="81" t="s">
        <v>11</v>
      </c>
      <c r="K906" s="81" t="s">
        <v>1349</v>
      </c>
      <c r="L906" s="81" t="s">
        <v>129</v>
      </c>
      <c r="M906" s="164">
        <v>23.5</v>
      </c>
      <c r="N906" s="165"/>
      <c r="O906" s="163"/>
      <c r="P906" s="82">
        <v>81.94</v>
      </c>
      <c r="Q906" s="164">
        <v>0</v>
      </c>
      <c r="R906" s="163"/>
      <c r="S906" s="81" t="s">
        <v>346</v>
      </c>
      <c r="T906" s="82">
        <v>62</v>
      </c>
      <c r="U906" s="82">
        <v>0</v>
      </c>
      <c r="V906" s="82">
        <v>0</v>
      </c>
      <c r="W906" s="82">
        <v>0</v>
      </c>
      <c r="X906" s="81" t="s">
        <v>132</v>
      </c>
      <c r="Y906" s="82">
        <v>12</v>
      </c>
      <c r="Z906" s="81" t="s">
        <v>146</v>
      </c>
      <c r="AA906" s="81" t="s">
        <v>58</v>
      </c>
      <c r="AB906" s="81" t="s">
        <v>58</v>
      </c>
      <c r="AC906" s="83">
        <v>46154</v>
      </c>
    </row>
    <row r="907" spans="2:29" ht="23" x14ac:dyDescent="0.35">
      <c r="B907" s="81" t="s">
        <v>338</v>
      </c>
      <c r="C907" s="81" t="s">
        <v>339</v>
      </c>
      <c r="D907" s="81" t="s">
        <v>340</v>
      </c>
      <c r="E907" s="81" t="s">
        <v>406</v>
      </c>
      <c r="F907" s="162" t="s">
        <v>407</v>
      </c>
      <c r="G907" s="163"/>
      <c r="H907" s="81" t="s">
        <v>1343</v>
      </c>
      <c r="I907" s="81" t="s">
        <v>344</v>
      </c>
      <c r="J907" s="81" t="s">
        <v>11</v>
      </c>
      <c r="K907" s="81" t="s">
        <v>1350</v>
      </c>
      <c r="L907" s="81" t="s">
        <v>129</v>
      </c>
      <c r="M907" s="164">
        <v>23.7</v>
      </c>
      <c r="N907" s="165"/>
      <c r="O907" s="163"/>
      <c r="P907" s="82">
        <v>82.64</v>
      </c>
      <c r="Q907" s="164">
        <v>0</v>
      </c>
      <c r="R907" s="163"/>
      <c r="S907" s="81" t="s">
        <v>346</v>
      </c>
      <c r="T907" s="82">
        <v>62</v>
      </c>
      <c r="U907" s="82">
        <v>0</v>
      </c>
      <c r="V907" s="82">
        <v>0</v>
      </c>
      <c r="W907" s="82">
        <v>0</v>
      </c>
      <c r="X907" s="81"/>
      <c r="Y907" s="81"/>
      <c r="Z907" s="81" t="s">
        <v>146</v>
      </c>
      <c r="AA907" s="81" t="s">
        <v>58</v>
      </c>
      <c r="AB907" s="81" t="s">
        <v>58</v>
      </c>
      <c r="AC907" s="83">
        <v>46154</v>
      </c>
    </row>
    <row r="908" spans="2:29" ht="23" x14ac:dyDescent="0.35">
      <c r="B908" s="81" t="s">
        <v>338</v>
      </c>
      <c r="C908" s="81" t="s">
        <v>339</v>
      </c>
      <c r="D908" s="81" t="s">
        <v>340</v>
      </c>
      <c r="E908" s="81" t="s">
        <v>406</v>
      </c>
      <c r="F908" s="162" t="s">
        <v>407</v>
      </c>
      <c r="G908" s="163"/>
      <c r="H908" s="81" t="s">
        <v>1343</v>
      </c>
      <c r="I908" s="81" t="s">
        <v>344</v>
      </c>
      <c r="J908" s="81" t="s">
        <v>11</v>
      </c>
      <c r="K908" s="81" t="s">
        <v>1351</v>
      </c>
      <c r="L908" s="81" t="s">
        <v>129</v>
      </c>
      <c r="M908" s="164">
        <v>23.2</v>
      </c>
      <c r="N908" s="165"/>
      <c r="O908" s="163"/>
      <c r="P908" s="82">
        <v>80.900000000000006</v>
      </c>
      <c r="Q908" s="164">
        <v>0</v>
      </c>
      <c r="R908" s="163"/>
      <c r="S908" s="81" t="s">
        <v>346</v>
      </c>
      <c r="T908" s="82">
        <v>62</v>
      </c>
      <c r="U908" s="82">
        <v>0</v>
      </c>
      <c r="V908" s="82">
        <v>0</v>
      </c>
      <c r="W908" s="82">
        <v>0</v>
      </c>
      <c r="X908" s="81" t="s">
        <v>132</v>
      </c>
      <c r="Y908" s="82">
        <v>12</v>
      </c>
      <c r="Z908" s="81" t="s">
        <v>146</v>
      </c>
      <c r="AA908" s="81" t="s">
        <v>58</v>
      </c>
      <c r="AB908" s="81" t="s">
        <v>58</v>
      </c>
      <c r="AC908" s="83">
        <v>46154</v>
      </c>
    </row>
    <row r="909" spans="2:29" ht="23" x14ac:dyDescent="0.35">
      <c r="B909" s="81" t="s">
        <v>338</v>
      </c>
      <c r="C909" s="81" t="s">
        <v>339</v>
      </c>
      <c r="D909" s="81" t="s">
        <v>340</v>
      </c>
      <c r="E909" s="81" t="s">
        <v>496</v>
      </c>
      <c r="F909" s="162" t="s">
        <v>497</v>
      </c>
      <c r="G909" s="163"/>
      <c r="H909" s="81" t="s">
        <v>1352</v>
      </c>
      <c r="I909" s="81" t="s">
        <v>344</v>
      </c>
      <c r="J909" s="81" t="s">
        <v>11</v>
      </c>
      <c r="K909" s="81" t="s">
        <v>1353</v>
      </c>
      <c r="L909" s="81" t="s">
        <v>129</v>
      </c>
      <c r="M909" s="164">
        <v>31.7</v>
      </c>
      <c r="N909" s="165"/>
      <c r="O909" s="163"/>
      <c r="P909" s="82">
        <v>117.11</v>
      </c>
      <c r="Q909" s="162"/>
      <c r="R909" s="163"/>
      <c r="S909" s="81" t="s">
        <v>346</v>
      </c>
      <c r="T909" s="82">
        <v>61</v>
      </c>
      <c r="U909" s="81"/>
      <c r="V909" s="81"/>
      <c r="W909" s="81"/>
      <c r="X909" s="81"/>
      <c r="Y909" s="81"/>
      <c r="Z909" s="81"/>
      <c r="AA909" s="81"/>
      <c r="AB909" s="81"/>
      <c r="AC909" s="83">
        <v>1</v>
      </c>
    </row>
    <row r="910" spans="2:29" ht="23" x14ac:dyDescent="0.35">
      <c r="B910" s="81" t="s">
        <v>338</v>
      </c>
      <c r="C910" s="81" t="s">
        <v>339</v>
      </c>
      <c r="D910" s="81" t="s">
        <v>340</v>
      </c>
      <c r="E910" s="81" t="s">
        <v>496</v>
      </c>
      <c r="F910" s="162" t="s">
        <v>497</v>
      </c>
      <c r="G910" s="163"/>
      <c r="H910" s="81" t="s">
        <v>1352</v>
      </c>
      <c r="I910" s="81" t="s">
        <v>344</v>
      </c>
      <c r="J910" s="81" t="s">
        <v>11</v>
      </c>
      <c r="K910" s="81" t="s">
        <v>1354</v>
      </c>
      <c r="L910" s="81" t="s">
        <v>129</v>
      </c>
      <c r="M910" s="164">
        <v>23</v>
      </c>
      <c r="N910" s="165"/>
      <c r="O910" s="163"/>
      <c r="P910" s="82">
        <v>84.97</v>
      </c>
      <c r="Q910" s="162"/>
      <c r="R910" s="163"/>
      <c r="S910" s="81" t="s">
        <v>346</v>
      </c>
      <c r="T910" s="82">
        <v>61</v>
      </c>
      <c r="U910" s="81"/>
      <c r="V910" s="81"/>
      <c r="W910" s="81"/>
      <c r="X910" s="81"/>
      <c r="Y910" s="81"/>
      <c r="Z910" s="81"/>
      <c r="AA910" s="81"/>
      <c r="AB910" s="81"/>
      <c r="AC910" s="83">
        <v>1</v>
      </c>
    </row>
    <row r="911" spans="2:29" ht="23" x14ac:dyDescent="0.35">
      <c r="B911" s="81" t="s">
        <v>338</v>
      </c>
      <c r="C911" s="81" t="s">
        <v>339</v>
      </c>
      <c r="D911" s="81" t="s">
        <v>340</v>
      </c>
      <c r="E911" s="81" t="s">
        <v>496</v>
      </c>
      <c r="F911" s="162" t="s">
        <v>497</v>
      </c>
      <c r="G911" s="163"/>
      <c r="H911" s="81" t="s">
        <v>1352</v>
      </c>
      <c r="I911" s="81" t="s">
        <v>344</v>
      </c>
      <c r="J911" s="81" t="s">
        <v>11</v>
      </c>
      <c r="K911" s="81" t="s">
        <v>1355</v>
      </c>
      <c r="L911" s="81" t="s">
        <v>129</v>
      </c>
      <c r="M911" s="164">
        <v>23.2</v>
      </c>
      <c r="N911" s="165"/>
      <c r="O911" s="163"/>
      <c r="P911" s="82">
        <v>85.71</v>
      </c>
      <c r="Q911" s="162"/>
      <c r="R911" s="163"/>
      <c r="S911" s="81" t="s">
        <v>346</v>
      </c>
      <c r="T911" s="82">
        <v>61</v>
      </c>
      <c r="U911" s="81"/>
      <c r="V911" s="81"/>
      <c r="W911" s="81"/>
      <c r="X911" s="81"/>
      <c r="Y911" s="81"/>
      <c r="Z911" s="81"/>
      <c r="AA911" s="81"/>
      <c r="AB911" s="81"/>
      <c r="AC911" s="83">
        <v>1</v>
      </c>
    </row>
    <row r="912" spans="2:29" ht="23" x14ac:dyDescent="0.35">
      <c r="B912" s="81" t="s">
        <v>338</v>
      </c>
      <c r="C912" s="81" t="s">
        <v>339</v>
      </c>
      <c r="D912" s="81" t="s">
        <v>340</v>
      </c>
      <c r="E912" s="81" t="s">
        <v>496</v>
      </c>
      <c r="F912" s="162" t="s">
        <v>497</v>
      </c>
      <c r="G912" s="163"/>
      <c r="H912" s="81" t="s">
        <v>1352</v>
      </c>
      <c r="I912" s="81" t="s">
        <v>344</v>
      </c>
      <c r="J912" s="81" t="s">
        <v>11</v>
      </c>
      <c r="K912" s="81" t="s">
        <v>1356</v>
      </c>
      <c r="L912" s="81" t="s">
        <v>129</v>
      </c>
      <c r="M912" s="164">
        <v>22</v>
      </c>
      <c r="N912" s="165"/>
      <c r="O912" s="163"/>
      <c r="P912" s="82">
        <v>81.27</v>
      </c>
      <c r="Q912" s="162"/>
      <c r="R912" s="163"/>
      <c r="S912" s="81" t="s">
        <v>346</v>
      </c>
      <c r="T912" s="82">
        <v>61</v>
      </c>
      <c r="U912" s="81"/>
      <c r="V912" s="81"/>
      <c r="W912" s="81"/>
      <c r="X912" s="81"/>
      <c r="Y912" s="81"/>
      <c r="Z912" s="81"/>
      <c r="AA912" s="81"/>
      <c r="AB912" s="81"/>
      <c r="AC912" s="83">
        <v>1</v>
      </c>
    </row>
    <row r="913" spans="2:29" ht="23" x14ac:dyDescent="0.35">
      <c r="B913" s="81" t="s">
        <v>338</v>
      </c>
      <c r="C913" s="81" t="s">
        <v>339</v>
      </c>
      <c r="D913" s="81" t="s">
        <v>340</v>
      </c>
      <c r="E913" s="81" t="s">
        <v>496</v>
      </c>
      <c r="F913" s="162" t="s">
        <v>497</v>
      </c>
      <c r="G913" s="163"/>
      <c r="H913" s="81" t="s">
        <v>1352</v>
      </c>
      <c r="I913" s="81" t="s">
        <v>344</v>
      </c>
      <c r="J913" s="81" t="s">
        <v>11</v>
      </c>
      <c r="K913" s="81" t="s">
        <v>1357</v>
      </c>
      <c r="L913" s="81" t="s">
        <v>129</v>
      </c>
      <c r="M913" s="164">
        <v>21.5</v>
      </c>
      <c r="N913" s="165"/>
      <c r="O913" s="163"/>
      <c r="P913" s="82">
        <v>79.430000000000007</v>
      </c>
      <c r="Q913" s="162"/>
      <c r="R913" s="163"/>
      <c r="S913" s="81" t="s">
        <v>346</v>
      </c>
      <c r="T913" s="82">
        <v>61</v>
      </c>
      <c r="U913" s="81"/>
      <c r="V913" s="81"/>
      <c r="W913" s="81"/>
      <c r="X913" s="81"/>
      <c r="Y913" s="81"/>
      <c r="Z913" s="81"/>
      <c r="AA913" s="81"/>
      <c r="AB913" s="81"/>
      <c r="AC913" s="83">
        <v>1</v>
      </c>
    </row>
    <row r="914" spans="2:29" ht="23" x14ac:dyDescent="0.35">
      <c r="B914" s="81" t="s">
        <v>338</v>
      </c>
      <c r="C914" s="81" t="s">
        <v>339</v>
      </c>
      <c r="D914" s="81" t="s">
        <v>340</v>
      </c>
      <c r="E914" s="81" t="s">
        <v>496</v>
      </c>
      <c r="F914" s="162" t="s">
        <v>497</v>
      </c>
      <c r="G914" s="163"/>
      <c r="H914" s="81" t="s">
        <v>1352</v>
      </c>
      <c r="I914" s="81" t="s">
        <v>344</v>
      </c>
      <c r="J914" s="81" t="s">
        <v>11</v>
      </c>
      <c r="K914" s="81" t="s">
        <v>1358</v>
      </c>
      <c r="L914" s="81" t="s">
        <v>129</v>
      </c>
      <c r="M914" s="164">
        <v>23.3</v>
      </c>
      <c r="N914" s="165"/>
      <c r="O914" s="163"/>
      <c r="P914" s="82">
        <v>86.08</v>
      </c>
      <c r="Q914" s="162"/>
      <c r="R914" s="163"/>
      <c r="S914" s="81" t="s">
        <v>346</v>
      </c>
      <c r="T914" s="82">
        <v>61</v>
      </c>
      <c r="U914" s="81"/>
      <c r="V914" s="81"/>
      <c r="W914" s="81"/>
      <c r="X914" s="81"/>
      <c r="Y914" s="81"/>
      <c r="Z914" s="81"/>
      <c r="AA914" s="81"/>
      <c r="AB914" s="81"/>
      <c r="AC914" s="83">
        <v>1</v>
      </c>
    </row>
    <row r="915" spans="2:29" ht="23" x14ac:dyDescent="0.35">
      <c r="B915" s="81" t="s">
        <v>338</v>
      </c>
      <c r="C915" s="81" t="s">
        <v>339</v>
      </c>
      <c r="D915" s="81" t="s">
        <v>340</v>
      </c>
      <c r="E915" s="81" t="s">
        <v>496</v>
      </c>
      <c r="F915" s="162" t="s">
        <v>497</v>
      </c>
      <c r="G915" s="163"/>
      <c r="H915" s="81" t="s">
        <v>1352</v>
      </c>
      <c r="I915" s="81" t="s">
        <v>344</v>
      </c>
      <c r="J915" s="81" t="s">
        <v>11</v>
      </c>
      <c r="K915" s="81" t="s">
        <v>1359</v>
      </c>
      <c r="L915" s="81" t="s">
        <v>129</v>
      </c>
      <c r="M915" s="164">
        <v>22.4</v>
      </c>
      <c r="N915" s="165"/>
      <c r="O915" s="163"/>
      <c r="P915" s="82">
        <v>82.75</v>
      </c>
      <c r="Q915" s="162"/>
      <c r="R915" s="163"/>
      <c r="S915" s="81" t="s">
        <v>346</v>
      </c>
      <c r="T915" s="82">
        <v>61</v>
      </c>
      <c r="U915" s="81"/>
      <c r="V915" s="81"/>
      <c r="W915" s="81"/>
      <c r="X915" s="81"/>
      <c r="Y915" s="81"/>
      <c r="Z915" s="81"/>
      <c r="AA915" s="81"/>
      <c r="AB915" s="81"/>
      <c r="AC915" s="83">
        <v>1</v>
      </c>
    </row>
    <row r="916" spans="2:29" ht="34.5" x14ac:dyDescent="0.35">
      <c r="B916" s="81" t="s">
        <v>338</v>
      </c>
      <c r="C916" s="81" t="s">
        <v>339</v>
      </c>
      <c r="D916" s="81" t="s">
        <v>340</v>
      </c>
      <c r="E916" s="81" t="s">
        <v>711</v>
      </c>
      <c r="F916" s="162" t="s">
        <v>712</v>
      </c>
      <c r="G916" s="163"/>
      <c r="H916" s="81" t="s">
        <v>1360</v>
      </c>
      <c r="I916" s="81" t="s">
        <v>344</v>
      </c>
      <c r="J916" s="81" t="s">
        <v>11</v>
      </c>
      <c r="K916" s="81" t="s">
        <v>1361</v>
      </c>
      <c r="L916" s="81" t="s">
        <v>129</v>
      </c>
      <c r="M916" s="164">
        <v>12.6</v>
      </c>
      <c r="N916" s="165"/>
      <c r="O916" s="163"/>
      <c r="P916" s="82">
        <v>46.9</v>
      </c>
      <c r="Q916" s="164">
        <v>0</v>
      </c>
      <c r="R916" s="163"/>
      <c r="S916" s="81" t="s">
        <v>346</v>
      </c>
      <c r="T916" s="82">
        <v>62</v>
      </c>
      <c r="U916" s="82">
        <v>0</v>
      </c>
      <c r="V916" s="82">
        <v>0</v>
      </c>
      <c r="W916" s="82">
        <v>0</v>
      </c>
      <c r="X916" s="81" t="s">
        <v>132</v>
      </c>
      <c r="Y916" s="82">
        <v>12</v>
      </c>
      <c r="Z916" s="81" t="s">
        <v>138</v>
      </c>
      <c r="AA916" s="81" t="s">
        <v>1362</v>
      </c>
      <c r="AB916" s="81" t="s">
        <v>1363</v>
      </c>
      <c r="AC916" s="83">
        <v>46154</v>
      </c>
    </row>
    <row r="917" spans="2:29" ht="34.5" x14ac:dyDescent="0.35">
      <c r="B917" s="81" t="s">
        <v>338</v>
      </c>
      <c r="C917" s="81" t="s">
        <v>339</v>
      </c>
      <c r="D917" s="81" t="s">
        <v>340</v>
      </c>
      <c r="E917" s="81" t="s">
        <v>711</v>
      </c>
      <c r="F917" s="162" t="s">
        <v>712</v>
      </c>
      <c r="G917" s="163"/>
      <c r="H917" s="81" t="s">
        <v>1360</v>
      </c>
      <c r="I917" s="81" t="s">
        <v>344</v>
      </c>
      <c r="J917" s="81" t="s">
        <v>11</v>
      </c>
      <c r="K917" s="81" t="s">
        <v>1364</v>
      </c>
      <c r="L917" s="81" t="s">
        <v>129</v>
      </c>
      <c r="M917" s="164">
        <v>23</v>
      </c>
      <c r="N917" s="165"/>
      <c r="O917" s="163"/>
      <c r="P917" s="82">
        <v>85.61</v>
      </c>
      <c r="Q917" s="164">
        <v>0</v>
      </c>
      <c r="R917" s="163"/>
      <c r="S917" s="81" t="s">
        <v>346</v>
      </c>
      <c r="T917" s="82">
        <v>62</v>
      </c>
      <c r="U917" s="82">
        <v>0</v>
      </c>
      <c r="V917" s="82">
        <v>0</v>
      </c>
      <c r="W917" s="82">
        <v>0</v>
      </c>
      <c r="X917" s="81" t="s">
        <v>132</v>
      </c>
      <c r="Y917" s="82">
        <v>8</v>
      </c>
      <c r="Z917" s="81" t="s">
        <v>138</v>
      </c>
      <c r="AA917" s="81" t="s">
        <v>1362</v>
      </c>
      <c r="AB917" s="81" t="s">
        <v>1363</v>
      </c>
      <c r="AC917" s="83">
        <v>46154</v>
      </c>
    </row>
    <row r="918" spans="2:29" ht="34.5" x14ac:dyDescent="0.35">
      <c r="B918" s="81" t="s">
        <v>338</v>
      </c>
      <c r="C918" s="81" t="s">
        <v>339</v>
      </c>
      <c r="D918" s="81" t="s">
        <v>340</v>
      </c>
      <c r="E918" s="81" t="s">
        <v>711</v>
      </c>
      <c r="F918" s="162" t="s">
        <v>712</v>
      </c>
      <c r="G918" s="163"/>
      <c r="H918" s="81" t="s">
        <v>1360</v>
      </c>
      <c r="I918" s="81" t="s">
        <v>344</v>
      </c>
      <c r="J918" s="81" t="s">
        <v>11</v>
      </c>
      <c r="K918" s="81" t="s">
        <v>1365</v>
      </c>
      <c r="L918" s="81" t="s">
        <v>129</v>
      </c>
      <c r="M918" s="164">
        <v>19.899999999999999</v>
      </c>
      <c r="N918" s="165"/>
      <c r="O918" s="163"/>
      <c r="P918" s="82">
        <v>74.08</v>
      </c>
      <c r="Q918" s="164">
        <v>0</v>
      </c>
      <c r="R918" s="163"/>
      <c r="S918" s="81" t="s">
        <v>346</v>
      </c>
      <c r="T918" s="82">
        <v>62</v>
      </c>
      <c r="U918" s="82">
        <v>0</v>
      </c>
      <c r="V918" s="82">
        <v>0</v>
      </c>
      <c r="W918" s="82">
        <v>0</v>
      </c>
      <c r="X918" s="81" t="s">
        <v>139</v>
      </c>
      <c r="Y918" s="82">
        <v>4</v>
      </c>
      <c r="Z918" s="81" t="s">
        <v>138</v>
      </c>
      <c r="AA918" s="81" t="s">
        <v>1362</v>
      </c>
      <c r="AB918" s="81" t="s">
        <v>1363</v>
      </c>
      <c r="AC918" s="83">
        <v>46154</v>
      </c>
    </row>
    <row r="919" spans="2:29" ht="34.5" x14ac:dyDescent="0.35">
      <c r="B919" s="81" t="s">
        <v>338</v>
      </c>
      <c r="C919" s="81" t="s">
        <v>339</v>
      </c>
      <c r="D919" s="81" t="s">
        <v>340</v>
      </c>
      <c r="E919" s="81" t="s">
        <v>711</v>
      </c>
      <c r="F919" s="162" t="s">
        <v>712</v>
      </c>
      <c r="G919" s="163"/>
      <c r="H919" s="81" t="s">
        <v>1360</v>
      </c>
      <c r="I919" s="81" t="s">
        <v>344</v>
      </c>
      <c r="J919" s="81" t="s">
        <v>11</v>
      </c>
      <c r="K919" s="81" t="s">
        <v>1366</v>
      </c>
      <c r="L919" s="81" t="s">
        <v>129</v>
      </c>
      <c r="M919" s="164">
        <v>20.3</v>
      </c>
      <c r="N919" s="165"/>
      <c r="O919" s="163"/>
      <c r="P919" s="82">
        <v>75.56</v>
      </c>
      <c r="Q919" s="164">
        <v>0</v>
      </c>
      <c r="R919" s="163"/>
      <c r="S919" s="81" t="s">
        <v>346</v>
      </c>
      <c r="T919" s="82">
        <v>62</v>
      </c>
      <c r="U919" s="82">
        <v>0</v>
      </c>
      <c r="V919" s="82">
        <v>0</v>
      </c>
      <c r="W919" s="82">
        <v>0</v>
      </c>
      <c r="X919" s="81" t="s">
        <v>132</v>
      </c>
      <c r="Y919" s="82">
        <v>1</v>
      </c>
      <c r="Z919" s="81" t="s">
        <v>138</v>
      </c>
      <c r="AA919" s="81" t="s">
        <v>1362</v>
      </c>
      <c r="AB919" s="81" t="s">
        <v>1363</v>
      </c>
      <c r="AC919" s="83">
        <v>46154</v>
      </c>
    </row>
    <row r="920" spans="2:29" ht="34.5" x14ac:dyDescent="0.35">
      <c r="B920" s="81" t="s">
        <v>338</v>
      </c>
      <c r="C920" s="81" t="s">
        <v>339</v>
      </c>
      <c r="D920" s="81" t="s">
        <v>340</v>
      </c>
      <c r="E920" s="81" t="s">
        <v>711</v>
      </c>
      <c r="F920" s="162" t="s">
        <v>712</v>
      </c>
      <c r="G920" s="163"/>
      <c r="H920" s="81" t="s">
        <v>1360</v>
      </c>
      <c r="I920" s="81" t="s">
        <v>344</v>
      </c>
      <c r="J920" s="81" t="s">
        <v>11</v>
      </c>
      <c r="K920" s="81" t="s">
        <v>1367</v>
      </c>
      <c r="L920" s="81" t="s">
        <v>129</v>
      </c>
      <c r="M920" s="164">
        <v>22.3</v>
      </c>
      <c r="N920" s="165"/>
      <c r="O920" s="163"/>
      <c r="P920" s="82">
        <v>83.01</v>
      </c>
      <c r="Q920" s="164">
        <v>0</v>
      </c>
      <c r="R920" s="163"/>
      <c r="S920" s="81" t="s">
        <v>346</v>
      </c>
      <c r="T920" s="82">
        <v>62</v>
      </c>
      <c r="U920" s="82">
        <v>0</v>
      </c>
      <c r="V920" s="82">
        <v>0</v>
      </c>
      <c r="W920" s="82">
        <v>0</v>
      </c>
      <c r="X920" s="81" t="s">
        <v>133</v>
      </c>
      <c r="Y920" s="82">
        <v>4</v>
      </c>
      <c r="Z920" s="81" t="s">
        <v>138</v>
      </c>
      <c r="AA920" s="81" t="s">
        <v>1362</v>
      </c>
      <c r="AB920" s="81" t="s">
        <v>1363</v>
      </c>
      <c r="AC920" s="83">
        <v>46154</v>
      </c>
    </row>
    <row r="921" spans="2:29" ht="34.5" x14ac:dyDescent="0.35">
      <c r="B921" s="81" t="s">
        <v>338</v>
      </c>
      <c r="C921" s="81" t="s">
        <v>339</v>
      </c>
      <c r="D921" s="81" t="s">
        <v>340</v>
      </c>
      <c r="E921" s="81" t="s">
        <v>711</v>
      </c>
      <c r="F921" s="162" t="s">
        <v>712</v>
      </c>
      <c r="G921" s="163"/>
      <c r="H921" s="81" t="s">
        <v>1360</v>
      </c>
      <c r="I921" s="81" t="s">
        <v>344</v>
      </c>
      <c r="J921" s="81" t="s">
        <v>11</v>
      </c>
      <c r="K921" s="81" t="s">
        <v>1368</v>
      </c>
      <c r="L921" s="81" t="s">
        <v>129</v>
      </c>
      <c r="M921" s="164">
        <v>21.6</v>
      </c>
      <c r="N921" s="165"/>
      <c r="O921" s="163"/>
      <c r="P921" s="82">
        <v>80.400000000000006</v>
      </c>
      <c r="Q921" s="164">
        <v>0</v>
      </c>
      <c r="R921" s="163"/>
      <c r="S921" s="81" t="s">
        <v>346</v>
      </c>
      <c r="T921" s="82">
        <v>62</v>
      </c>
      <c r="U921" s="82">
        <v>0</v>
      </c>
      <c r="V921" s="82">
        <v>0</v>
      </c>
      <c r="W921" s="82">
        <v>0</v>
      </c>
      <c r="X921" s="81" t="s">
        <v>132</v>
      </c>
      <c r="Y921" s="82">
        <v>8</v>
      </c>
      <c r="Z921" s="81" t="s">
        <v>138</v>
      </c>
      <c r="AA921" s="81" t="s">
        <v>1362</v>
      </c>
      <c r="AB921" s="81" t="s">
        <v>1363</v>
      </c>
      <c r="AC921" s="83">
        <v>46154</v>
      </c>
    </row>
    <row r="922" spans="2:29" ht="34.5" x14ac:dyDescent="0.35">
      <c r="B922" s="81" t="s">
        <v>338</v>
      </c>
      <c r="C922" s="81" t="s">
        <v>339</v>
      </c>
      <c r="D922" s="81" t="s">
        <v>340</v>
      </c>
      <c r="E922" s="81" t="s">
        <v>564</v>
      </c>
      <c r="F922" s="162" t="s">
        <v>565</v>
      </c>
      <c r="G922" s="163"/>
      <c r="H922" s="81" t="s">
        <v>1369</v>
      </c>
      <c r="I922" s="81" t="s">
        <v>344</v>
      </c>
      <c r="J922" s="81" t="s">
        <v>11</v>
      </c>
      <c r="K922" s="81" t="s">
        <v>1370</v>
      </c>
      <c r="L922" s="81" t="s">
        <v>129</v>
      </c>
      <c r="M922" s="164">
        <v>23</v>
      </c>
      <c r="N922" s="165"/>
      <c r="O922" s="163"/>
      <c r="P922" s="82">
        <v>79.11</v>
      </c>
      <c r="Q922" s="164">
        <v>0</v>
      </c>
      <c r="R922" s="163"/>
      <c r="S922" s="81" t="s">
        <v>346</v>
      </c>
      <c r="T922" s="82">
        <v>63</v>
      </c>
      <c r="U922" s="82">
        <v>0</v>
      </c>
      <c r="V922" s="82">
        <v>0</v>
      </c>
      <c r="W922" s="82">
        <v>0</v>
      </c>
      <c r="X922" s="81" t="s">
        <v>132</v>
      </c>
      <c r="Y922" s="82">
        <v>16</v>
      </c>
      <c r="Z922" s="81" t="s">
        <v>145</v>
      </c>
      <c r="AA922" s="81" t="s">
        <v>1371</v>
      </c>
      <c r="AB922" s="81" t="s">
        <v>1372</v>
      </c>
      <c r="AC922" s="83">
        <v>46155</v>
      </c>
    </row>
    <row r="923" spans="2:29" ht="34.5" x14ac:dyDescent="0.35">
      <c r="B923" s="81" t="s">
        <v>338</v>
      </c>
      <c r="C923" s="81" t="s">
        <v>339</v>
      </c>
      <c r="D923" s="81" t="s">
        <v>340</v>
      </c>
      <c r="E923" s="81" t="s">
        <v>564</v>
      </c>
      <c r="F923" s="162" t="s">
        <v>565</v>
      </c>
      <c r="G923" s="163"/>
      <c r="H923" s="81" t="s">
        <v>1369</v>
      </c>
      <c r="I923" s="81" t="s">
        <v>344</v>
      </c>
      <c r="J923" s="81" t="s">
        <v>11</v>
      </c>
      <c r="K923" s="81" t="s">
        <v>1373</v>
      </c>
      <c r="L923" s="81" t="s">
        <v>11</v>
      </c>
      <c r="M923" s="164">
        <v>24.2</v>
      </c>
      <c r="N923" s="165"/>
      <c r="O923" s="163"/>
      <c r="P923" s="82">
        <v>83.23</v>
      </c>
      <c r="Q923" s="164">
        <v>0</v>
      </c>
      <c r="R923" s="163"/>
      <c r="S923" s="81" t="s">
        <v>346</v>
      </c>
      <c r="T923" s="82">
        <v>63</v>
      </c>
      <c r="U923" s="82">
        <v>0</v>
      </c>
      <c r="V923" s="82">
        <v>0</v>
      </c>
      <c r="W923" s="82">
        <v>0</v>
      </c>
      <c r="X923" s="81" t="s">
        <v>132</v>
      </c>
      <c r="Y923" s="82">
        <v>40</v>
      </c>
      <c r="Z923" s="81" t="s">
        <v>145</v>
      </c>
      <c r="AA923" s="81" t="s">
        <v>1371</v>
      </c>
      <c r="AB923" s="81" t="s">
        <v>1372</v>
      </c>
      <c r="AC923" s="83">
        <v>46155</v>
      </c>
    </row>
    <row r="924" spans="2:29" ht="34.5" x14ac:dyDescent="0.35">
      <c r="B924" s="81" t="s">
        <v>338</v>
      </c>
      <c r="C924" s="81" t="s">
        <v>339</v>
      </c>
      <c r="D924" s="81" t="s">
        <v>340</v>
      </c>
      <c r="E924" s="81" t="s">
        <v>564</v>
      </c>
      <c r="F924" s="162" t="s">
        <v>565</v>
      </c>
      <c r="G924" s="163"/>
      <c r="H924" s="81" t="s">
        <v>1369</v>
      </c>
      <c r="I924" s="81" t="s">
        <v>344</v>
      </c>
      <c r="J924" s="81" t="s">
        <v>11</v>
      </c>
      <c r="K924" s="81" t="s">
        <v>1374</v>
      </c>
      <c r="L924" s="81" t="s">
        <v>11</v>
      </c>
      <c r="M924" s="164">
        <v>14.8</v>
      </c>
      <c r="N924" s="165"/>
      <c r="O924" s="163"/>
      <c r="P924" s="82">
        <v>50.9</v>
      </c>
      <c r="Q924" s="164">
        <v>0</v>
      </c>
      <c r="R924" s="163"/>
      <c r="S924" s="81" t="s">
        <v>346</v>
      </c>
      <c r="T924" s="82">
        <v>63</v>
      </c>
      <c r="U924" s="82">
        <v>0</v>
      </c>
      <c r="V924" s="82">
        <v>0</v>
      </c>
      <c r="W924" s="82">
        <v>0</v>
      </c>
      <c r="X924" s="81" t="s">
        <v>132</v>
      </c>
      <c r="Y924" s="82">
        <v>28</v>
      </c>
      <c r="Z924" s="81" t="s">
        <v>145</v>
      </c>
      <c r="AA924" s="81" t="s">
        <v>1371</v>
      </c>
      <c r="AB924" s="81" t="s">
        <v>1372</v>
      </c>
      <c r="AC924" s="83">
        <v>46155</v>
      </c>
    </row>
    <row r="925" spans="2:29" ht="34.5" x14ac:dyDescent="0.35">
      <c r="B925" s="81" t="s">
        <v>338</v>
      </c>
      <c r="C925" s="81" t="s">
        <v>339</v>
      </c>
      <c r="D925" s="81" t="s">
        <v>340</v>
      </c>
      <c r="E925" s="81" t="s">
        <v>564</v>
      </c>
      <c r="F925" s="162" t="s">
        <v>565</v>
      </c>
      <c r="G925" s="163"/>
      <c r="H925" s="81" t="s">
        <v>1369</v>
      </c>
      <c r="I925" s="81" t="s">
        <v>344</v>
      </c>
      <c r="J925" s="81" t="s">
        <v>11</v>
      </c>
      <c r="K925" s="81" t="s">
        <v>1375</v>
      </c>
      <c r="L925" s="81" t="s">
        <v>11</v>
      </c>
      <c r="M925" s="164">
        <v>22.3</v>
      </c>
      <c r="N925" s="165"/>
      <c r="O925" s="163"/>
      <c r="P925" s="82">
        <v>76.7</v>
      </c>
      <c r="Q925" s="164">
        <v>0</v>
      </c>
      <c r="R925" s="163"/>
      <c r="S925" s="81" t="s">
        <v>346</v>
      </c>
      <c r="T925" s="82">
        <v>63</v>
      </c>
      <c r="U925" s="82">
        <v>0</v>
      </c>
      <c r="V925" s="82">
        <v>0</v>
      </c>
      <c r="W925" s="82">
        <v>0</v>
      </c>
      <c r="X925" s="81" t="s">
        <v>132</v>
      </c>
      <c r="Y925" s="82">
        <v>28</v>
      </c>
      <c r="Z925" s="81" t="s">
        <v>145</v>
      </c>
      <c r="AA925" s="81" t="s">
        <v>1371</v>
      </c>
      <c r="AB925" s="81" t="s">
        <v>1372</v>
      </c>
      <c r="AC925" s="83">
        <v>46155</v>
      </c>
    </row>
    <row r="926" spans="2:29" ht="34.5" x14ac:dyDescent="0.35">
      <c r="B926" s="81" t="s">
        <v>338</v>
      </c>
      <c r="C926" s="81" t="s">
        <v>339</v>
      </c>
      <c r="D926" s="81" t="s">
        <v>340</v>
      </c>
      <c r="E926" s="81" t="s">
        <v>564</v>
      </c>
      <c r="F926" s="162" t="s">
        <v>565</v>
      </c>
      <c r="G926" s="163"/>
      <c r="H926" s="81" t="s">
        <v>1369</v>
      </c>
      <c r="I926" s="81" t="s">
        <v>344</v>
      </c>
      <c r="J926" s="81" t="s">
        <v>11</v>
      </c>
      <c r="K926" s="81" t="s">
        <v>1376</v>
      </c>
      <c r="L926" s="81" t="s">
        <v>11</v>
      </c>
      <c r="M926" s="164">
        <v>14.7</v>
      </c>
      <c r="N926" s="165"/>
      <c r="O926" s="163"/>
      <c r="P926" s="82">
        <v>50.56</v>
      </c>
      <c r="Q926" s="164">
        <v>0</v>
      </c>
      <c r="R926" s="163"/>
      <c r="S926" s="81" t="s">
        <v>346</v>
      </c>
      <c r="T926" s="82">
        <v>63</v>
      </c>
      <c r="U926" s="82">
        <v>0</v>
      </c>
      <c r="V926" s="82">
        <v>0</v>
      </c>
      <c r="W926" s="82">
        <v>0</v>
      </c>
      <c r="X926" s="81" t="s">
        <v>132</v>
      </c>
      <c r="Y926" s="82">
        <v>28</v>
      </c>
      <c r="Z926" s="81" t="s">
        <v>145</v>
      </c>
      <c r="AA926" s="81" t="s">
        <v>1371</v>
      </c>
      <c r="AB926" s="81" t="s">
        <v>1372</v>
      </c>
      <c r="AC926" s="83">
        <v>46155</v>
      </c>
    </row>
    <row r="927" spans="2:29" ht="34.5" x14ac:dyDescent="0.35">
      <c r="B927" s="81" t="s">
        <v>338</v>
      </c>
      <c r="C927" s="81" t="s">
        <v>339</v>
      </c>
      <c r="D927" s="81" t="s">
        <v>340</v>
      </c>
      <c r="E927" s="81" t="s">
        <v>564</v>
      </c>
      <c r="F927" s="162" t="s">
        <v>565</v>
      </c>
      <c r="G927" s="163"/>
      <c r="H927" s="81" t="s">
        <v>1369</v>
      </c>
      <c r="I927" s="81" t="s">
        <v>344</v>
      </c>
      <c r="J927" s="81" t="s">
        <v>11</v>
      </c>
      <c r="K927" s="81" t="s">
        <v>1377</v>
      </c>
      <c r="L927" s="81" t="s">
        <v>129</v>
      </c>
      <c r="M927" s="164">
        <v>24.1</v>
      </c>
      <c r="N927" s="165"/>
      <c r="O927" s="163"/>
      <c r="P927" s="82">
        <v>82.89</v>
      </c>
      <c r="Q927" s="164">
        <v>0</v>
      </c>
      <c r="R927" s="163"/>
      <c r="S927" s="81" t="s">
        <v>346</v>
      </c>
      <c r="T927" s="82">
        <v>63</v>
      </c>
      <c r="U927" s="82">
        <v>0</v>
      </c>
      <c r="V927" s="82">
        <v>0</v>
      </c>
      <c r="W927" s="82">
        <v>0</v>
      </c>
      <c r="X927" s="81" t="s">
        <v>132</v>
      </c>
      <c r="Y927" s="82">
        <v>28</v>
      </c>
      <c r="Z927" s="81" t="s">
        <v>145</v>
      </c>
      <c r="AA927" s="81" t="s">
        <v>1371</v>
      </c>
      <c r="AB927" s="81" t="s">
        <v>1372</v>
      </c>
      <c r="AC927" s="83">
        <v>46155</v>
      </c>
    </row>
    <row r="928" spans="2:29" ht="34.5" x14ac:dyDescent="0.35">
      <c r="B928" s="81" t="s">
        <v>338</v>
      </c>
      <c r="C928" s="81" t="s">
        <v>339</v>
      </c>
      <c r="D928" s="81" t="s">
        <v>340</v>
      </c>
      <c r="E928" s="81" t="s">
        <v>564</v>
      </c>
      <c r="F928" s="162" t="s">
        <v>565</v>
      </c>
      <c r="G928" s="163"/>
      <c r="H928" s="81" t="s">
        <v>1369</v>
      </c>
      <c r="I928" s="81" t="s">
        <v>344</v>
      </c>
      <c r="J928" s="81" t="s">
        <v>11</v>
      </c>
      <c r="K928" s="81" t="s">
        <v>1378</v>
      </c>
      <c r="L928" s="81" t="s">
        <v>129</v>
      </c>
      <c r="M928" s="164">
        <v>23.8</v>
      </c>
      <c r="N928" s="165"/>
      <c r="O928" s="163"/>
      <c r="P928" s="82">
        <v>81.86</v>
      </c>
      <c r="Q928" s="164">
        <v>0</v>
      </c>
      <c r="R928" s="163"/>
      <c r="S928" s="81" t="s">
        <v>346</v>
      </c>
      <c r="T928" s="82">
        <v>63</v>
      </c>
      <c r="U928" s="82">
        <v>0</v>
      </c>
      <c r="V928" s="82">
        <v>0</v>
      </c>
      <c r="W928" s="82">
        <v>0</v>
      </c>
      <c r="X928" s="81" t="s">
        <v>132</v>
      </c>
      <c r="Y928" s="82">
        <v>28</v>
      </c>
      <c r="Z928" s="81" t="s">
        <v>145</v>
      </c>
      <c r="AA928" s="81" t="s">
        <v>1371</v>
      </c>
      <c r="AB928" s="81" t="s">
        <v>1372</v>
      </c>
      <c r="AC928" s="83">
        <v>46155</v>
      </c>
    </row>
    <row r="929" spans="2:29" ht="34.5" x14ac:dyDescent="0.35">
      <c r="B929" s="81" t="s">
        <v>338</v>
      </c>
      <c r="C929" s="81" t="s">
        <v>339</v>
      </c>
      <c r="D929" s="81" t="s">
        <v>340</v>
      </c>
      <c r="E929" s="81" t="s">
        <v>564</v>
      </c>
      <c r="F929" s="162" t="s">
        <v>565</v>
      </c>
      <c r="G929" s="163"/>
      <c r="H929" s="81" t="s">
        <v>1369</v>
      </c>
      <c r="I929" s="81" t="s">
        <v>344</v>
      </c>
      <c r="J929" s="81" t="s">
        <v>11</v>
      </c>
      <c r="K929" s="81" t="s">
        <v>1379</v>
      </c>
      <c r="L929" s="81" t="s">
        <v>11</v>
      </c>
      <c r="M929" s="164">
        <v>23.8</v>
      </c>
      <c r="N929" s="165"/>
      <c r="O929" s="163"/>
      <c r="P929" s="82">
        <v>81.86</v>
      </c>
      <c r="Q929" s="164">
        <v>0</v>
      </c>
      <c r="R929" s="163"/>
      <c r="S929" s="81" t="s">
        <v>346</v>
      </c>
      <c r="T929" s="82">
        <v>63</v>
      </c>
      <c r="U929" s="82">
        <v>0</v>
      </c>
      <c r="V929" s="82">
        <v>0</v>
      </c>
      <c r="W929" s="82">
        <v>0</v>
      </c>
      <c r="X929" s="81" t="s">
        <v>132</v>
      </c>
      <c r="Y929" s="82">
        <v>52</v>
      </c>
      <c r="Z929" s="81" t="s">
        <v>145</v>
      </c>
      <c r="AA929" s="81" t="s">
        <v>1371</v>
      </c>
      <c r="AB929" s="81" t="s">
        <v>1372</v>
      </c>
      <c r="AC929" s="83">
        <v>46155</v>
      </c>
    </row>
    <row r="930" spans="2:29" ht="34.5" x14ac:dyDescent="0.35">
      <c r="B930" s="81" t="s">
        <v>338</v>
      </c>
      <c r="C930" s="81" t="s">
        <v>339</v>
      </c>
      <c r="D930" s="81" t="s">
        <v>340</v>
      </c>
      <c r="E930" s="81" t="s">
        <v>564</v>
      </c>
      <c r="F930" s="162" t="s">
        <v>565</v>
      </c>
      <c r="G930" s="163"/>
      <c r="H930" s="81" t="s">
        <v>1369</v>
      </c>
      <c r="I930" s="81" t="s">
        <v>344</v>
      </c>
      <c r="J930" s="81" t="s">
        <v>11</v>
      </c>
      <c r="K930" s="81" t="s">
        <v>1380</v>
      </c>
      <c r="L930" s="81" t="s">
        <v>129</v>
      </c>
      <c r="M930" s="164">
        <v>12.2</v>
      </c>
      <c r="N930" s="165"/>
      <c r="O930" s="163"/>
      <c r="P930" s="82">
        <v>41.96</v>
      </c>
      <c r="Q930" s="164">
        <v>0</v>
      </c>
      <c r="R930" s="163"/>
      <c r="S930" s="81" t="s">
        <v>346</v>
      </c>
      <c r="T930" s="82">
        <v>63</v>
      </c>
      <c r="U930" s="82">
        <v>0</v>
      </c>
      <c r="V930" s="82">
        <v>0</v>
      </c>
      <c r="W930" s="82">
        <v>0</v>
      </c>
      <c r="X930" s="81" t="s">
        <v>132</v>
      </c>
      <c r="Y930" s="82">
        <v>8</v>
      </c>
      <c r="Z930" s="81" t="s">
        <v>145</v>
      </c>
      <c r="AA930" s="81" t="s">
        <v>1381</v>
      </c>
      <c r="AB930" s="81" t="s">
        <v>1382</v>
      </c>
      <c r="AC930" s="83">
        <v>46155</v>
      </c>
    </row>
    <row r="931" spans="2:29" ht="34.5" x14ac:dyDescent="0.35">
      <c r="B931" s="81" t="s">
        <v>338</v>
      </c>
      <c r="C931" s="81" t="s">
        <v>339</v>
      </c>
      <c r="D931" s="81" t="s">
        <v>340</v>
      </c>
      <c r="E931" s="81" t="s">
        <v>564</v>
      </c>
      <c r="F931" s="162" t="s">
        <v>565</v>
      </c>
      <c r="G931" s="163"/>
      <c r="H931" s="81" t="s">
        <v>1383</v>
      </c>
      <c r="I931" s="81" t="s">
        <v>344</v>
      </c>
      <c r="J931" s="81" t="s">
        <v>11</v>
      </c>
      <c r="K931" s="81" t="s">
        <v>1384</v>
      </c>
      <c r="L931" s="81" t="s">
        <v>129</v>
      </c>
      <c r="M931" s="164">
        <v>23.4</v>
      </c>
      <c r="N931" s="165"/>
      <c r="O931" s="163"/>
      <c r="P931" s="82">
        <v>80.48</v>
      </c>
      <c r="Q931" s="164">
        <v>0</v>
      </c>
      <c r="R931" s="163"/>
      <c r="S931" s="81" t="s">
        <v>346</v>
      </c>
      <c r="T931" s="82">
        <v>63</v>
      </c>
      <c r="U931" s="82">
        <v>0</v>
      </c>
      <c r="V931" s="82">
        <v>0</v>
      </c>
      <c r="W931" s="82">
        <v>0</v>
      </c>
      <c r="X931" s="81" t="s">
        <v>132</v>
      </c>
      <c r="Y931" s="82">
        <v>28</v>
      </c>
      <c r="Z931" s="81" t="s">
        <v>145</v>
      </c>
      <c r="AA931" s="81" t="s">
        <v>1385</v>
      </c>
      <c r="AB931" s="81" t="s">
        <v>1382</v>
      </c>
      <c r="AC931" s="83">
        <v>46155</v>
      </c>
    </row>
    <row r="932" spans="2:29" ht="34.5" x14ac:dyDescent="0.35">
      <c r="B932" s="81" t="s">
        <v>338</v>
      </c>
      <c r="C932" s="81" t="s">
        <v>339</v>
      </c>
      <c r="D932" s="81" t="s">
        <v>340</v>
      </c>
      <c r="E932" s="81" t="s">
        <v>564</v>
      </c>
      <c r="F932" s="162" t="s">
        <v>565</v>
      </c>
      <c r="G932" s="163"/>
      <c r="H932" s="81" t="s">
        <v>1383</v>
      </c>
      <c r="I932" s="81" t="s">
        <v>344</v>
      </c>
      <c r="J932" s="81" t="s">
        <v>11</v>
      </c>
      <c r="K932" s="81" t="s">
        <v>1386</v>
      </c>
      <c r="L932" s="81" t="s">
        <v>129</v>
      </c>
      <c r="M932" s="164">
        <v>22.1</v>
      </c>
      <c r="N932" s="165"/>
      <c r="O932" s="163"/>
      <c r="P932" s="82">
        <v>76.010000000000005</v>
      </c>
      <c r="Q932" s="164">
        <v>0</v>
      </c>
      <c r="R932" s="163"/>
      <c r="S932" s="81" t="s">
        <v>346</v>
      </c>
      <c r="T932" s="82">
        <v>63</v>
      </c>
      <c r="U932" s="82">
        <v>0</v>
      </c>
      <c r="V932" s="82">
        <v>0</v>
      </c>
      <c r="W932" s="82">
        <v>0</v>
      </c>
      <c r="X932" s="81" t="s">
        <v>132</v>
      </c>
      <c r="Y932" s="82">
        <v>28</v>
      </c>
      <c r="Z932" s="81" t="s">
        <v>145</v>
      </c>
      <c r="AA932" s="81" t="s">
        <v>1385</v>
      </c>
      <c r="AB932" s="81" t="s">
        <v>1382</v>
      </c>
      <c r="AC932" s="83">
        <v>46155</v>
      </c>
    </row>
    <row r="933" spans="2:29" ht="34.5" x14ac:dyDescent="0.35">
      <c r="B933" s="81" t="s">
        <v>338</v>
      </c>
      <c r="C933" s="81" t="s">
        <v>339</v>
      </c>
      <c r="D933" s="81" t="s">
        <v>340</v>
      </c>
      <c r="E933" s="81" t="s">
        <v>564</v>
      </c>
      <c r="F933" s="162" t="s">
        <v>565</v>
      </c>
      <c r="G933" s="163"/>
      <c r="H933" s="81" t="s">
        <v>1383</v>
      </c>
      <c r="I933" s="81" t="s">
        <v>344</v>
      </c>
      <c r="J933" s="81" t="s">
        <v>11</v>
      </c>
      <c r="K933" s="81" t="s">
        <v>1387</v>
      </c>
      <c r="L933" s="81" t="s">
        <v>11</v>
      </c>
      <c r="M933" s="164">
        <v>16.8</v>
      </c>
      <c r="N933" s="165"/>
      <c r="O933" s="163"/>
      <c r="P933" s="82">
        <v>57.78</v>
      </c>
      <c r="Q933" s="164">
        <v>0</v>
      </c>
      <c r="R933" s="163"/>
      <c r="S933" s="81" t="s">
        <v>346</v>
      </c>
      <c r="T933" s="82">
        <v>63</v>
      </c>
      <c r="U933" s="82">
        <v>0</v>
      </c>
      <c r="V933" s="82">
        <v>0</v>
      </c>
      <c r="W933" s="82">
        <v>0</v>
      </c>
      <c r="X933" s="81" t="s">
        <v>132</v>
      </c>
      <c r="Y933" s="82">
        <v>40</v>
      </c>
      <c r="Z933" s="81" t="s">
        <v>145</v>
      </c>
      <c r="AA933" s="81" t="s">
        <v>1385</v>
      </c>
      <c r="AB933" s="81" t="s">
        <v>1382</v>
      </c>
      <c r="AC933" s="83">
        <v>46155</v>
      </c>
    </row>
    <row r="934" spans="2:29" ht="34.5" x14ac:dyDescent="0.35">
      <c r="B934" s="81" t="s">
        <v>338</v>
      </c>
      <c r="C934" s="81" t="s">
        <v>339</v>
      </c>
      <c r="D934" s="81" t="s">
        <v>340</v>
      </c>
      <c r="E934" s="81" t="s">
        <v>564</v>
      </c>
      <c r="F934" s="162" t="s">
        <v>565</v>
      </c>
      <c r="G934" s="163"/>
      <c r="H934" s="81" t="s">
        <v>1383</v>
      </c>
      <c r="I934" s="81" t="s">
        <v>344</v>
      </c>
      <c r="J934" s="81" t="s">
        <v>11</v>
      </c>
      <c r="K934" s="81" t="s">
        <v>1388</v>
      </c>
      <c r="L934" s="81" t="s">
        <v>129</v>
      </c>
      <c r="M934" s="164">
        <v>23.3</v>
      </c>
      <c r="N934" s="165"/>
      <c r="O934" s="163"/>
      <c r="P934" s="82">
        <v>80.14</v>
      </c>
      <c r="Q934" s="164">
        <v>0</v>
      </c>
      <c r="R934" s="163"/>
      <c r="S934" s="81" t="s">
        <v>346</v>
      </c>
      <c r="T934" s="82">
        <v>63</v>
      </c>
      <c r="U934" s="82">
        <v>0</v>
      </c>
      <c r="V934" s="82">
        <v>0</v>
      </c>
      <c r="W934" s="82">
        <v>0</v>
      </c>
      <c r="X934" s="81" t="s">
        <v>132</v>
      </c>
      <c r="Y934" s="82">
        <v>34</v>
      </c>
      <c r="Z934" s="81" t="s">
        <v>145</v>
      </c>
      <c r="AA934" s="81" t="s">
        <v>1385</v>
      </c>
      <c r="AB934" s="81" t="s">
        <v>1382</v>
      </c>
      <c r="AC934" s="83">
        <v>46155</v>
      </c>
    </row>
    <row r="935" spans="2:29" ht="34.5" x14ac:dyDescent="0.35">
      <c r="B935" s="81" t="s">
        <v>338</v>
      </c>
      <c r="C935" s="81" t="s">
        <v>339</v>
      </c>
      <c r="D935" s="81" t="s">
        <v>340</v>
      </c>
      <c r="E935" s="81" t="s">
        <v>564</v>
      </c>
      <c r="F935" s="162" t="s">
        <v>565</v>
      </c>
      <c r="G935" s="163"/>
      <c r="H935" s="81" t="s">
        <v>1383</v>
      </c>
      <c r="I935" s="81" t="s">
        <v>344</v>
      </c>
      <c r="J935" s="81" t="s">
        <v>11</v>
      </c>
      <c r="K935" s="81" t="s">
        <v>1389</v>
      </c>
      <c r="L935" s="81" t="s">
        <v>129</v>
      </c>
      <c r="M935" s="164">
        <v>17.399999999999999</v>
      </c>
      <c r="N935" s="165"/>
      <c r="O935" s="163"/>
      <c r="P935" s="82">
        <v>59.85</v>
      </c>
      <c r="Q935" s="164">
        <v>0</v>
      </c>
      <c r="R935" s="163"/>
      <c r="S935" s="81" t="s">
        <v>346</v>
      </c>
      <c r="T935" s="82">
        <v>63</v>
      </c>
      <c r="U935" s="82">
        <v>0</v>
      </c>
      <c r="V935" s="82">
        <v>0</v>
      </c>
      <c r="W935" s="82">
        <v>0</v>
      </c>
      <c r="X935" s="81" t="s">
        <v>132</v>
      </c>
      <c r="Y935" s="82">
        <v>20</v>
      </c>
      <c r="Z935" s="81" t="s">
        <v>145</v>
      </c>
      <c r="AA935" s="81" t="s">
        <v>1390</v>
      </c>
      <c r="AB935" s="81" t="s">
        <v>1391</v>
      </c>
      <c r="AC935" s="83">
        <v>46155</v>
      </c>
    </row>
    <row r="936" spans="2:29" ht="34.5" x14ac:dyDescent="0.35">
      <c r="B936" s="81" t="s">
        <v>338</v>
      </c>
      <c r="C936" s="81" t="s">
        <v>339</v>
      </c>
      <c r="D936" s="81" t="s">
        <v>340</v>
      </c>
      <c r="E936" s="81" t="s">
        <v>564</v>
      </c>
      <c r="F936" s="162" t="s">
        <v>565</v>
      </c>
      <c r="G936" s="163"/>
      <c r="H936" s="81" t="s">
        <v>1383</v>
      </c>
      <c r="I936" s="81" t="s">
        <v>344</v>
      </c>
      <c r="J936" s="81" t="s">
        <v>11</v>
      </c>
      <c r="K936" s="81" t="s">
        <v>1392</v>
      </c>
      <c r="L936" s="81" t="s">
        <v>129</v>
      </c>
      <c r="M936" s="164">
        <v>23.5</v>
      </c>
      <c r="N936" s="165"/>
      <c r="O936" s="163"/>
      <c r="P936" s="82">
        <v>80.83</v>
      </c>
      <c r="Q936" s="164">
        <v>0</v>
      </c>
      <c r="R936" s="163"/>
      <c r="S936" s="81" t="s">
        <v>346</v>
      </c>
      <c r="T936" s="82">
        <v>63</v>
      </c>
      <c r="U936" s="82">
        <v>0</v>
      </c>
      <c r="V936" s="82">
        <v>0</v>
      </c>
      <c r="W936" s="82">
        <v>0</v>
      </c>
      <c r="X936" s="81" t="s">
        <v>132</v>
      </c>
      <c r="Y936" s="82">
        <v>36</v>
      </c>
      <c r="Z936" s="81" t="s">
        <v>145</v>
      </c>
      <c r="AA936" s="81" t="s">
        <v>1381</v>
      </c>
      <c r="AB936" s="81" t="s">
        <v>1382</v>
      </c>
      <c r="AC936" s="83">
        <v>46155</v>
      </c>
    </row>
    <row r="937" spans="2:29" ht="34.5" x14ac:dyDescent="0.35">
      <c r="B937" s="81" t="s">
        <v>338</v>
      </c>
      <c r="C937" s="81" t="s">
        <v>339</v>
      </c>
      <c r="D937" s="81" t="s">
        <v>340</v>
      </c>
      <c r="E937" s="81" t="s">
        <v>564</v>
      </c>
      <c r="F937" s="162" t="s">
        <v>565</v>
      </c>
      <c r="G937" s="163"/>
      <c r="H937" s="81" t="s">
        <v>1383</v>
      </c>
      <c r="I937" s="81" t="s">
        <v>344</v>
      </c>
      <c r="J937" s="81" t="s">
        <v>11</v>
      </c>
      <c r="K937" s="81" t="s">
        <v>1393</v>
      </c>
      <c r="L937" s="81" t="s">
        <v>129</v>
      </c>
      <c r="M937" s="164">
        <v>23</v>
      </c>
      <c r="N937" s="165"/>
      <c r="O937" s="163"/>
      <c r="P937" s="82">
        <v>79.11</v>
      </c>
      <c r="Q937" s="164">
        <v>0</v>
      </c>
      <c r="R937" s="163"/>
      <c r="S937" s="81" t="s">
        <v>346</v>
      </c>
      <c r="T937" s="82">
        <v>63</v>
      </c>
      <c r="U937" s="82">
        <v>0</v>
      </c>
      <c r="V937" s="82">
        <v>0</v>
      </c>
      <c r="W937" s="82">
        <v>0</v>
      </c>
      <c r="X937" s="81" t="s">
        <v>132</v>
      </c>
      <c r="Y937" s="82">
        <v>36</v>
      </c>
      <c r="Z937" s="81" t="s">
        <v>145</v>
      </c>
      <c r="AA937" s="81" t="s">
        <v>1381</v>
      </c>
      <c r="AB937" s="81" t="s">
        <v>1382</v>
      </c>
      <c r="AC937" s="83">
        <v>46155</v>
      </c>
    </row>
    <row r="938" spans="2:29" ht="34.5" x14ac:dyDescent="0.35">
      <c r="B938" s="81" t="s">
        <v>338</v>
      </c>
      <c r="C938" s="81" t="s">
        <v>339</v>
      </c>
      <c r="D938" s="81" t="s">
        <v>340</v>
      </c>
      <c r="E938" s="81" t="s">
        <v>564</v>
      </c>
      <c r="F938" s="162" t="s">
        <v>565</v>
      </c>
      <c r="G938" s="163"/>
      <c r="H938" s="81" t="s">
        <v>1383</v>
      </c>
      <c r="I938" s="81" t="s">
        <v>344</v>
      </c>
      <c r="J938" s="81" t="s">
        <v>11</v>
      </c>
      <c r="K938" s="81" t="s">
        <v>1394</v>
      </c>
      <c r="L938" s="81" t="s">
        <v>129</v>
      </c>
      <c r="M938" s="164">
        <v>37</v>
      </c>
      <c r="N938" s="165"/>
      <c r="O938" s="163"/>
      <c r="P938" s="82">
        <v>127.26</v>
      </c>
      <c r="Q938" s="164">
        <v>0</v>
      </c>
      <c r="R938" s="163"/>
      <c r="S938" s="81" t="s">
        <v>346</v>
      </c>
      <c r="T938" s="82">
        <v>63</v>
      </c>
      <c r="U938" s="82">
        <v>0</v>
      </c>
      <c r="V938" s="82">
        <v>0</v>
      </c>
      <c r="W938" s="82">
        <v>0</v>
      </c>
      <c r="X938" s="81" t="s">
        <v>132</v>
      </c>
      <c r="Y938" s="82">
        <v>24</v>
      </c>
      <c r="Z938" s="81" t="s">
        <v>145</v>
      </c>
      <c r="AA938" s="81" t="s">
        <v>1381</v>
      </c>
      <c r="AB938" s="81" t="s">
        <v>1382</v>
      </c>
      <c r="AC938" s="83">
        <v>46155</v>
      </c>
    </row>
    <row r="939" spans="2:29" ht="23" x14ac:dyDescent="0.35">
      <c r="B939" s="81" t="s">
        <v>338</v>
      </c>
      <c r="C939" s="81" t="s">
        <v>339</v>
      </c>
      <c r="D939" s="81" t="s">
        <v>340</v>
      </c>
      <c r="E939" s="81" t="s">
        <v>359</v>
      </c>
      <c r="F939" s="162" t="s">
        <v>360</v>
      </c>
      <c r="G939" s="163"/>
      <c r="H939" s="81" t="s">
        <v>832</v>
      </c>
      <c r="I939" s="81" t="s">
        <v>344</v>
      </c>
      <c r="J939" s="81" t="s">
        <v>11</v>
      </c>
      <c r="K939" s="81" t="s">
        <v>1395</v>
      </c>
      <c r="L939" s="81" t="s">
        <v>129</v>
      </c>
      <c r="M939" s="164">
        <v>23.7</v>
      </c>
      <c r="N939" s="165"/>
      <c r="O939" s="163"/>
      <c r="P939" s="82">
        <v>85.79</v>
      </c>
      <c r="Q939" s="164">
        <v>0</v>
      </c>
      <c r="R939" s="163"/>
      <c r="S939" s="81" t="s">
        <v>346</v>
      </c>
      <c r="T939" s="82">
        <v>62</v>
      </c>
      <c r="U939" s="82">
        <v>0</v>
      </c>
      <c r="V939" s="82">
        <v>0</v>
      </c>
      <c r="W939" s="82">
        <v>0</v>
      </c>
      <c r="X939" s="81" t="s">
        <v>134</v>
      </c>
      <c r="Y939" s="82">
        <v>4</v>
      </c>
      <c r="Z939" s="81" t="s">
        <v>138</v>
      </c>
      <c r="AA939" s="81" t="s">
        <v>58</v>
      </c>
      <c r="AB939" s="81" t="s">
        <v>58</v>
      </c>
      <c r="AC939" s="83">
        <v>46160</v>
      </c>
    </row>
    <row r="940" spans="2:29" ht="23" x14ac:dyDescent="0.35">
      <c r="B940" s="81" t="s">
        <v>338</v>
      </c>
      <c r="C940" s="81" t="s">
        <v>339</v>
      </c>
      <c r="D940" s="81" t="s">
        <v>340</v>
      </c>
      <c r="E940" s="81" t="s">
        <v>359</v>
      </c>
      <c r="F940" s="162" t="s">
        <v>360</v>
      </c>
      <c r="G940" s="163"/>
      <c r="H940" s="81" t="s">
        <v>832</v>
      </c>
      <c r="I940" s="81" t="s">
        <v>344</v>
      </c>
      <c r="J940" s="81" t="s">
        <v>11</v>
      </c>
      <c r="K940" s="81" t="s">
        <v>1396</v>
      </c>
      <c r="L940" s="81" t="s">
        <v>129</v>
      </c>
      <c r="M940" s="164">
        <v>31.1</v>
      </c>
      <c r="N940" s="165"/>
      <c r="O940" s="163"/>
      <c r="P940" s="82">
        <v>112.58</v>
      </c>
      <c r="Q940" s="164">
        <v>0</v>
      </c>
      <c r="R940" s="163"/>
      <c r="S940" s="81" t="s">
        <v>346</v>
      </c>
      <c r="T940" s="82">
        <v>62</v>
      </c>
      <c r="U940" s="82">
        <v>0</v>
      </c>
      <c r="V940" s="82">
        <v>0</v>
      </c>
      <c r="W940" s="82">
        <v>0</v>
      </c>
      <c r="X940" s="81" t="s">
        <v>132</v>
      </c>
      <c r="Y940" s="82">
        <v>20</v>
      </c>
      <c r="Z940" s="81" t="s">
        <v>138</v>
      </c>
      <c r="AA940" s="81" t="s">
        <v>58</v>
      </c>
      <c r="AB940" s="81" t="s">
        <v>58</v>
      </c>
      <c r="AC940" s="83">
        <v>46160</v>
      </c>
    </row>
    <row r="941" spans="2:29" ht="23" x14ac:dyDescent="0.35">
      <c r="B941" s="81" t="s">
        <v>338</v>
      </c>
      <c r="C941" s="81" t="s">
        <v>339</v>
      </c>
      <c r="D941" s="81" t="s">
        <v>340</v>
      </c>
      <c r="E941" s="81" t="s">
        <v>359</v>
      </c>
      <c r="F941" s="162" t="s">
        <v>360</v>
      </c>
      <c r="G941" s="163"/>
      <c r="H941" s="81" t="s">
        <v>832</v>
      </c>
      <c r="I941" s="81" t="s">
        <v>344</v>
      </c>
      <c r="J941" s="81" t="s">
        <v>11</v>
      </c>
      <c r="K941" s="81" t="s">
        <v>1397</v>
      </c>
      <c r="L941" s="81" t="s">
        <v>11</v>
      </c>
      <c r="M941" s="164">
        <v>22.9</v>
      </c>
      <c r="N941" s="165"/>
      <c r="O941" s="163"/>
      <c r="P941" s="82">
        <v>82.89</v>
      </c>
      <c r="Q941" s="164">
        <v>0</v>
      </c>
      <c r="R941" s="163"/>
      <c r="S941" s="81" t="s">
        <v>346</v>
      </c>
      <c r="T941" s="82">
        <v>62</v>
      </c>
      <c r="U941" s="82">
        <v>0</v>
      </c>
      <c r="V941" s="82">
        <v>0</v>
      </c>
      <c r="W941" s="82">
        <v>0</v>
      </c>
      <c r="X941" s="81" t="s">
        <v>132</v>
      </c>
      <c r="Y941" s="82">
        <v>36</v>
      </c>
      <c r="Z941" s="81" t="s">
        <v>138</v>
      </c>
      <c r="AA941" s="81" t="s">
        <v>58</v>
      </c>
      <c r="AB941" s="81" t="s">
        <v>58</v>
      </c>
      <c r="AC941" s="83">
        <v>46160</v>
      </c>
    </row>
    <row r="942" spans="2:29" ht="23" x14ac:dyDescent="0.35">
      <c r="B942" s="81" t="s">
        <v>338</v>
      </c>
      <c r="C942" s="81" t="s">
        <v>339</v>
      </c>
      <c r="D942" s="81" t="s">
        <v>340</v>
      </c>
      <c r="E942" s="81" t="s">
        <v>359</v>
      </c>
      <c r="F942" s="162" t="s">
        <v>360</v>
      </c>
      <c r="G942" s="163"/>
      <c r="H942" s="81" t="s">
        <v>832</v>
      </c>
      <c r="I942" s="81" t="s">
        <v>344</v>
      </c>
      <c r="J942" s="81" t="s">
        <v>11</v>
      </c>
      <c r="K942" s="81" t="s">
        <v>1398</v>
      </c>
      <c r="L942" s="81" t="s">
        <v>11</v>
      </c>
      <c r="M942" s="164">
        <v>23.4</v>
      </c>
      <c r="N942" s="165"/>
      <c r="O942" s="163"/>
      <c r="P942" s="82">
        <v>84.7</v>
      </c>
      <c r="Q942" s="164">
        <v>0</v>
      </c>
      <c r="R942" s="163"/>
      <c r="S942" s="81" t="s">
        <v>346</v>
      </c>
      <c r="T942" s="82">
        <v>62</v>
      </c>
      <c r="U942" s="82">
        <v>0</v>
      </c>
      <c r="V942" s="82">
        <v>0</v>
      </c>
      <c r="W942" s="82">
        <v>0</v>
      </c>
      <c r="X942" s="81" t="s">
        <v>132</v>
      </c>
      <c r="Y942" s="82">
        <v>48</v>
      </c>
      <c r="Z942" s="81" t="s">
        <v>138</v>
      </c>
      <c r="AA942" s="81" t="s">
        <v>58</v>
      </c>
      <c r="AB942" s="81" t="s">
        <v>58</v>
      </c>
      <c r="AC942" s="83">
        <v>46160</v>
      </c>
    </row>
    <row r="943" spans="2:29" ht="23" x14ac:dyDescent="0.35">
      <c r="B943" s="81" t="s">
        <v>338</v>
      </c>
      <c r="C943" s="81" t="s">
        <v>339</v>
      </c>
      <c r="D943" s="81" t="s">
        <v>340</v>
      </c>
      <c r="E943" s="81" t="s">
        <v>359</v>
      </c>
      <c r="F943" s="162" t="s">
        <v>360</v>
      </c>
      <c r="G943" s="163"/>
      <c r="H943" s="81" t="s">
        <v>832</v>
      </c>
      <c r="I943" s="81" t="s">
        <v>344</v>
      </c>
      <c r="J943" s="81" t="s">
        <v>11</v>
      </c>
      <c r="K943" s="81" t="s">
        <v>1399</v>
      </c>
      <c r="L943" s="81" t="s">
        <v>11</v>
      </c>
      <c r="M943" s="164">
        <v>23.4</v>
      </c>
      <c r="N943" s="165"/>
      <c r="O943" s="163"/>
      <c r="P943" s="82">
        <v>84.7</v>
      </c>
      <c r="Q943" s="164">
        <v>0</v>
      </c>
      <c r="R943" s="163"/>
      <c r="S943" s="81" t="s">
        <v>346</v>
      </c>
      <c r="T943" s="82">
        <v>62</v>
      </c>
      <c r="U943" s="82">
        <v>0</v>
      </c>
      <c r="V943" s="82">
        <v>0</v>
      </c>
      <c r="W943" s="82">
        <v>0</v>
      </c>
      <c r="X943" s="81" t="s">
        <v>132</v>
      </c>
      <c r="Y943" s="82">
        <v>40</v>
      </c>
      <c r="Z943" s="81" t="s">
        <v>138</v>
      </c>
      <c r="AA943" s="81" t="s">
        <v>58</v>
      </c>
      <c r="AB943" s="81" t="s">
        <v>58</v>
      </c>
      <c r="AC943" s="83">
        <v>46160</v>
      </c>
    </row>
    <row r="944" spans="2:29" ht="23" x14ac:dyDescent="0.35">
      <c r="B944" s="81" t="s">
        <v>338</v>
      </c>
      <c r="C944" s="81" t="s">
        <v>339</v>
      </c>
      <c r="D944" s="81" t="s">
        <v>340</v>
      </c>
      <c r="E944" s="81" t="s">
        <v>359</v>
      </c>
      <c r="F944" s="162" t="s">
        <v>360</v>
      </c>
      <c r="G944" s="163"/>
      <c r="H944" s="81" t="s">
        <v>832</v>
      </c>
      <c r="I944" s="81" t="s">
        <v>344</v>
      </c>
      <c r="J944" s="81" t="s">
        <v>11</v>
      </c>
      <c r="K944" s="81" t="s">
        <v>1400</v>
      </c>
      <c r="L944" s="81" t="s">
        <v>129</v>
      </c>
      <c r="M944" s="164">
        <v>21.9</v>
      </c>
      <c r="N944" s="165"/>
      <c r="O944" s="163"/>
      <c r="P944" s="82">
        <v>79.27</v>
      </c>
      <c r="Q944" s="164">
        <v>0</v>
      </c>
      <c r="R944" s="163"/>
      <c r="S944" s="81" t="s">
        <v>346</v>
      </c>
      <c r="T944" s="82">
        <v>62</v>
      </c>
      <c r="U944" s="82">
        <v>0</v>
      </c>
      <c r="V944" s="82">
        <v>0</v>
      </c>
      <c r="W944" s="82">
        <v>0</v>
      </c>
      <c r="X944" s="81" t="s">
        <v>132</v>
      </c>
      <c r="Y944" s="82">
        <v>32</v>
      </c>
      <c r="Z944" s="81" t="s">
        <v>138</v>
      </c>
      <c r="AA944" s="81" t="s">
        <v>58</v>
      </c>
      <c r="AB944" s="81" t="s">
        <v>58</v>
      </c>
      <c r="AC944" s="83">
        <v>46160</v>
      </c>
    </row>
    <row r="945" spans="2:29" ht="23" x14ac:dyDescent="0.35">
      <c r="B945" s="81" t="s">
        <v>338</v>
      </c>
      <c r="C945" s="81" t="s">
        <v>339</v>
      </c>
      <c r="D945" s="81" t="s">
        <v>340</v>
      </c>
      <c r="E945" s="81" t="s">
        <v>359</v>
      </c>
      <c r="F945" s="162" t="s">
        <v>360</v>
      </c>
      <c r="G945" s="163"/>
      <c r="H945" s="81" t="s">
        <v>832</v>
      </c>
      <c r="I945" s="81" t="s">
        <v>344</v>
      </c>
      <c r="J945" s="81" t="s">
        <v>11</v>
      </c>
      <c r="K945" s="81" t="s">
        <v>1401</v>
      </c>
      <c r="L945" s="81" t="s">
        <v>129</v>
      </c>
      <c r="M945" s="164">
        <v>18.399999999999999</v>
      </c>
      <c r="N945" s="165"/>
      <c r="O945" s="163"/>
      <c r="P945" s="82">
        <v>66.61</v>
      </c>
      <c r="Q945" s="164">
        <v>0</v>
      </c>
      <c r="R945" s="163"/>
      <c r="S945" s="81" t="s">
        <v>346</v>
      </c>
      <c r="T945" s="82">
        <v>62</v>
      </c>
      <c r="U945" s="82">
        <v>0</v>
      </c>
      <c r="V945" s="82">
        <v>0</v>
      </c>
      <c r="W945" s="82">
        <v>0</v>
      </c>
      <c r="X945" s="81" t="s">
        <v>132</v>
      </c>
      <c r="Y945" s="82">
        <v>16</v>
      </c>
      <c r="Z945" s="81" t="s">
        <v>138</v>
      </c>
      <c r="AA945" s="81" t="s">
        <v>58</v>
      </c>
      <c r="AB945" s="81" t="s">
        <v>58</v>
      </c>
      <c r="AC945" s="83">
        <v>46160</v>
      </c>
    </row>
    <row r="946" spans="2:29" ht="23" x14ac:dyDescent="0.35">
      <c r="B946" s="81" t="s">
        <v>338</v>
      </c>
      <c r="C946" s="81" t="s">
        <v>339</v>
      </c>
      <c r="D946" s="81" t="s">
        <v>340</v>
      </c>
      <c r="E946" s="81" t="s">
        <v>359</v>
      </c>
      <c r="F946" s="162" t="s">
        <v>360</v>
      </c>
      <c r="G946" s="163"/>
      <c r="H946" s="81" t="s">
        <v>832</v>
      </c>
      <c r="I946" s="81" t="s">
        <v>344</v>
      </c>
      <c r="J946" s="81" t="s">
        <v>11</v>
      </c>
      <c r="K946" s="81" t="s">
        <v>1402</v>
      </c>
      <c r="L946" s="81" t="s">
        <v>129</v>
      </c>
      <c r="M946" s="164">
        <v>13.3</v>
      </c>
      <c r="N946" s="165"/>
      <c r="O946" s="163"/>
      <c r="P946" s="82">
        <v>48.14</v>
      </c>
      <c r="Q946" s="164">
        <v>0</v>
      </c>
      <c r="R946" s="163"/>
      <c r="S946" s="81" t="s">
        <v>346</v>
      </c>
      <c r="T946" s="82">
        <v>62</v>
      </c>
      <c r="U946" s="82">
        <v>0</v>
      </c>
      <c r="V946" s="82">
        <v>0</v>
      </c>
      <c r="W946" s="82">
        <v>0</v>
      </c>
      <c r="X946" s="81" t="s">
        <v>133</v>
      </c>
      <c r="Y946" s="82">
        <v>8</v>
      </c>
      <c r="Z946" s="81" t="s">
        <v>138</v>
      </c>
      <c r="AA946" s="81" t="s">
        <v>58</v>
      </c>
      <c r="AB946" s="81" t="s">
        <v>58</v>
      </c>
      <c r="AC946" s="83">
        <v>46160</v>
      </c>
    </row>
    <row r="947" spans="2:29" ht="23" x14ac:dyDescent="0.35">
      <c r="B947" s="81" t="s">
        <v>338</v>
      </c>
      <c r="C947" s="81" t="s">
        <v>339</v>
      </c>
      <c r="D947" s="81" t="s">
        <v>340</v>
      </c>
      <c r="E947" s="81" t="s">
        <v>359</v>
      </c>
      <c r="F947" s="162" t="s">
        <v>360</v>
      </c>
      <c r="G947" s="163"/>
      <c r="H947" s="81" t="s">
        <v>832</v>
      </c>
      <c r="I947" s="81" t="s">
        <v>344</v>
      </c>
      <c r="J947" s="81" t="s">
        <v>11</v>
      </c>
      <c r="K947" s="81" t="s">
        <v>1403</v>
      </c>
      <c r="L947" s="81" t="s">
        <v>129</v>
      </c>
      <c r="M947" s="164">
        <v>35</v>
      </c>
      <c r="N947" s="165"/>
      <c r="O947" s="163"/>
      <c r="P947" s="82">
        <v>126.69</v>
      </c>
      <c r="Q947" s="164">
        <v>0</v>
      </c>
      <c r="R947" s="163"/>
      <c r="S947" s="81" t="s">
        <v>346</v>
      </c>
      <c r="T947" s="82">
        <v>62</v>
      </c>
      <c r="U947" s="82">
        <v>0</v>
      </c>
      <c r="V947" s="82">
        <v>0</v>
      </c>
      <c r="W947" s="82">
        <v>0</v>
      </c>
      <c r="X947" s="81" t="s">
        <v>133</v>
      </c>
      <c r="Y947" s="82">
        <v>8</v>
      </c>
      <c r="Z947" s="81" t="s">
        <v>138</v>
      </c>
      <c r="AA947" s="81" t="s">
        <v>58</v>
      </c>
      <c r="AB947" s="81" t="s">
        <v>58</v>
      </c>
      <c r="AC947" s="83">
        <v>46160</v>
      </c>
    </row>
    <row r="948" spans="2:29" ht="23" x14ac:dyDescent="0.35">
      <c r="B948" s="81" t="s">
        <v>338</v>
      </c>
      <c r="C948" s="81" t="s">
        <v>339</v>
      </c>
      <c r="D948" s="81" t="s">
        <v>340</v>
      </c>
      <c r="E948" s="81" t="s">
        <v>359</v>
      </c>
      <c r="F948" s="162" t="s">
        <v>360</v>
      </c>
      <c r="G948" s="163"/>
      <c r="H948" s="81" t="s">
        <v>832</v>
      </c>
      <c r="I948" s="81" t="s">
        <v>344</v>
      </c>
      <c r="J948" s="81" t="s">
        <v>11</v>
      </c>
      <c r="K948" s="81" t="s">
        <v>1404</v>
      </c>
      <c r="L948" s="81" t="s">
        <v>129</v>
      </c>
      <c r="M948" s="164">
        <v>23.4</v>
      </c>
      <c r="N948" s="165"/>
      <c r="O948" s="163"/>
      <c r="P948" s="82">
        <v>84.7</v>
      </c>
      <c r="Q948" s="164">
        <v>0</v>
      </c>
      <c r="R948" s="163"/>
      <c r="S948" s="81" t="s">
        <v>346</v>
      </c>
      <c r="T948" s="82">
        <v>62</v>
      </c>
      <c r="U948" s="82">
        <v>0</v>
      </c>
      <c r="V948" s="82">
        <v>0</v>
      </c>
      <c r="W948" s="82">
        <v>0</v>
      </c>
      <c r="X948" s="81" t="s">
        <v>134</v>
      </c>
      <c r="Y948" s="82">
        <v>4</v>
      </c>
      <c r="Z948" s="81" t="s">
        <v>138</v>
      </c>
      <c r="AA948" s="81" t="s">
        <v>58</v>
      </c>
      <c r="AB948" s="81" t="s">
        <v>58</v>
      </c>
      <c r="AC948" s="83">
        <v>46160</v>
      </c>
    </row>
    <row r="949" spans="2:29" ht="23" x14ac:dyDescent="0.35">
      <c r="B949" s="81" t="s">
        <v>338</v>
      </c>
      <c r="C949" s="81" t="s">
        <v>339</v>
      </c>
      <c r="D949" s="81" t="s">
        <v>340</v>
      </c>
      <c r="E949" s="81" t="s">
        <v>359</v>
      </c>
      <c r="F949" s="162" t="s">
        <v>360</v>
      </c>
      <c r="G949" s="163"/>
      <c r="H949" s="81" t="s">
        <v>832</v>
      </c>
      <c r="I949" s="81" t="s">
        <v>344</v>
      </c>
      <c r="J949" s="81" t="s">
        <v>11</v>
      </c>
      <c r="K949" s="81" t="s">
        <v>1405</v>
      </c>
      <c r="L949" s="81" t="s">
        <v>129</v>
      </c>
      <c r="M949" s="164">
        <v>23.5</v>
      </c>
      <c r="N949" s="165"/>
      <c r="O949" s="163"/>
      <c r="P949" s="82">
        <v>85.07</v>
      </c>
      <c r="Q949" s="164">
        <v>0</v>
      </c>
      <c r="R949" s="163"/>
      <c r="S949" s="81" t="s">
        <v>346</v>
      </c>
      <c r="T949" s="82">
        <v>62</v>
      </c>
      <c r="U949" s="82">
        <v>0</v>
      </c>
      <c r="V949" s="82">
        <v>0</v>
      </c>
      <c r="W949" s="82">
        <v>0</v>
      </c>
      <c r="X949" s="81" t="s">
        <v>147</v>
      </c>
      <c r="Y949" s="82">
        <v>4</v>
      </c>
      <c r="Z949" s="81" t="s">
        <v>138</v>
      </c>
      <c r="AA949" s="81" t="s">
        <v>58</v>
      </c>
      <c r="AB949" s="81" t="s">
        <v>58</v>
      </c>
      <c r="AC949" s="83">
        <v>46160</v>
      </c>
    </row>
    <row r="950" spans="2:29" ht="23" x14ac:dyDescent="0.35">
      <c r="B950" s="81" t="s">
        <v>338</v>
      </c>
      <c r="C950" s="81" t="s">
        <v>339</v>
      </c>
      <c r="D950" s="81" t="s">
        <v>340</v>
      </c>
      <c r="E950" s="81" t="s">
        <v>359</v>
      </c>
      <c r="F950" s="162" t="s">
        <v>360</v>
      </c>
      <c r="G950" s="163"/>
      <c r="H950" s="81" t="s">
        <v>832</v>
      </c>
      <c r="I950" s="81" t="s">
        <v>344</v>
      </c>
      <c r="J950" s="81" t="s">
        <v>11</v>
      </c>
      <c r="K950" s="81" t="s">
        <v>1406</v>
      </c>
      <c r="L950" s="81" t="s">
        <v>129</v>
      </c>
      <c r="M950" s="164">
        <v>20.7</v>
      </c>
      <c r="N950" s="165"/>
      <c r="O950" s="163"/>
      <c r="P950" s="82">
        <v>74.930000000000007</v>
      </c>
      <c r="Q950" s="164">
        <v>0</v>
      </c>
      <c r="R950" s="163"/>
      <c r="S950" s="81" t="s">
        <v>346</v>
      </c>
      <c r="T950" s="82">
        <v>62</v>
      </c>
      <c r="U950" s="82">
        <v>0</v>
      </c>
      <c r="V950" s="82">
        <v>0</v>
      </c>
      <c r="W950" s="82">
        <v>0</v>
      </c>
      <c r="X950" s="81" t="s">
        <v>133</v>
      </c>
      <c r="Y950" s="82">
        <v>8</v>
      </c>
      <c r="Z950" s="81" t="s">
        <v>138</v>
      </c>
      <c r="AA950" s="81" t="s">
        <v>58</v>
      </c>
      <c r="AB950" s="81" t="s">
        <v>58</v>
      </c>
      <c r="AC950" s="83">
        <v>46160</v>
      </c>
    </row>
    <row r="951" spans="2:29" ht="23" x14ac:dyDescent="0.35">
      <c r="B951" s="81" t="s">
        <v>338</v>
      </c>
      <c r="C951" s="81" t="s">
        <v>339</v>
      </c>
      <c r="D951" s="81" t="s">
        <v>340</v>
      </c>
      <c r="E951" s="81" t="s">
        <v>359</v>
      </c>
      <c r="F951" s="162" t="s">
        <v>360</v>
      </c>
      <c r="G951" s="163"/>
      <c r="H951" s="81" t="s">
        <v>832</v>
      </c>
      <c r="I951" s="81" t="s">
        <v>344</v>
      </c>
      <c r="J951" s="81" t="s">
        <v>11</v>
      </c>
      <c r="K951" s="81" t="s">
        <v>1407</v>
      </c>
      <c r="L951" s="81" t="s">
        <v>129</v>
      </c>
      <c r="M951" s="164">
        <v>23.8</v>
      </c>
      <c r="N951" s="165"/>
      <c r="O951" s="163"/>
      <c r="P951" s="82">
        <v>86.15</v>
      </c>
      <c r="Q951" s="164">
        <v>0</v>
      </c>
      <c r="R951" s="163"/>
      <c r="S951" s="81" t="s">
        <v>346</v>
      </c>
      <c r="T951" s="82">
        <v>62</v>
      </c>
      <c r="U951" s="82">
        <v>0</v>
      </c>
      <c r="V951" s="82">
        <v>0</v>
      </c>
      <c r="W951" s="82">
        <v>0</v>
      </c>
      <c r="X951" s="81" t="s">
        <v>132</v>
      </c>
      <c r="Y951" s="82">
        <v>12</v>
      </c>
      <c r="Z951" s="81" t="s">
        <v>138</v>
      </c>
      <c r="AA951" s="81" t="s">
        <v>58</v>
      </c>
      <c r="AB951" s="81" t="s">
        <v>58</v>
      </c>
      <c r="AC951" s="83">
        <v>46160</v>
      </c>
    </row>
    <row r="952" spans="2:29" ht="23" x14ac:dyDescent="0.35">
      <c r="B952" s="81" t="s">
        <v>338</v>
      </c>
      <c r="C952" s="81" t="s">
        <v>339</v>
      </c>
      <c r="D952" s="81" t="s">
        <v>340</v>
      </c>
      <c r="E952" s="81" t="s">
        <v>359</v>
      </c>
      <c r="F952" s="162" t="s">
        <v>360</v>
      </c>
      <c r="G952" s="163"/>
      <c r="H952" s="81" t="s">
        <v>832</v>
      </c>
      <c r="I952" s="81" t="s">
        <v>344</v>
      </c>
      <c r="J952" s="81" t="s">
        <v>11</v>
      </c>
      <c r="K952" s="81" t="s">
        <v>1408</v>
      </c>
      <c r="L952" s="81" t="s">
        <v>129</v>
      </c>
      <c r="M952" s="164">
        <v>15.3</v>
      </c>
      <c r="N952" s="165"/>
      <c r="O952" s="163"/>
      <c r="P952" s="82">
        <v>55.38</v>
      </c>
      <c r="Q952" s="164">
        <v>0</v>
      </c>
      <c r="R952" s="163"/>
      <c r="S952" s="81" t="s">
        <v>346</v>
      </c>
      <c r="T952" s="82">
        <v>62</v>
      </c>
      <c r="U952" s="82">
        <v>0</v>
      </c>
      <c r="V952" s="82">
        <v>0</v>
      </c>
      <c r="W952" s="82">
        <v>0</v>
      </c>
      <c r="X952" s="81"/>
      <c r="Y952" s="81"/>
      <c r="Z952" s="81" t="s">
        <v>138</v>
      </c>
      <c r="AA952" s="81" t="s">
        <v>58</v>
      </c>
      <c r="AB952" s="81" t="s">
        <v>58</v>
      </c>
      <c r="AC952" s="83">
        <v>46160</v>
      </c>
    </row>
    <row r="953" spans="2:29" ht="23" x14ac:dyDescent="0.35">
      <c r="B953" s="81" t="s">
        <v>338</v>
      </c>
      <c r="C953" s="81" t="s">
        <v>339</v>
      </c>
      <c r="D953" s="81" t="s">
        <v>340</v>
      </c>
      <c r="E953" s="81" t="s">
        <v>359</v>
      </c>
      <c r="F953" s="162" t="s">
        <v>360</v>
      </c>
      <c r="G953" s="163"/>
      <c r="H953" s="81" t="s">
        <v>832</v>
      </c>
      <c r="I953" s="81" t="s">
        <v>344</v>
      </c>
      <c r="J953" s="81" t="s">
        <v>11</v>
      </c>
      <c r="K953" s="81" t="s">
        <v>1409</v>
      </c>
      <c r="L953" s="81" t="s">
        <v>129</v>
      </c>
      <c r="M953" s="164">
        <v>13.1</v>
      </c>
      <c r="N953" s="165"/>
      <c r="O953" s="163"/>
      <c r="P953" s="82">
        <v>47.42</v>
      </c>
      <c r="Q953" s="164">
        <v>0</v>
      </c>
      <c r="R953" s="163"/>
      <c r="S953" s="81" t="s">
        <v>346</v>
      </c>
      <c r="T953" s="82">
        <v>62</v>
      </c>
      <c r="U953" s="82">
        <v>0</v>
      </c>
      <c r="V953" s="82">
        <v>0</v>
      </c>
      <c r="W953" s="82">
        <v>0</v>
      </c>
      <c r="X953" s="81" t="s">
        <v>132</v>
      </c>
      <c r="Y953" s="82">
        <v>4</v>
      </c>
      <c r="Z953" s="81" t="s">
        <v>138</v>
      </c>
      <c r="AA953" s="81" t="s">
        <v>58</v>
      </c>
      <c r="AB953" s="81" t="s">
        <v>58</v>
      </c>
      <c r="AC953" s="83">
        <v>46160</v>
      </c>
    </row>
    <row r="954" spans="2:29" ht="23" x14ac:dyDescent="0.35">
      <c r="B954" s="81" t="s">
        <v>338</v>
      </c>
      <c r="C954" s="81" t="s">
        <v>339</v>
      </c>
      <c r="D954" s="81" t="s">
        <v>340</v>
      </c>
      <c r="E954" s="81" t="s">
        <v>359</v>
      </c>
      <c r="F954" s="162" t="s">
        <v>360</v>
      </c>
      <c r="G954" s="163"/>
      <c r="H954" s="81" t="s">
        <v>832</v>
      </c>
      <c r="I954" s="81" t="s">
        <v>344</v>
      </c>
      <c r="J954" s="81" t="s">
        <v>11</v>
      </c>
      <c r="K954" s="81" t="s">
        <v>1410</v>
      </c>
      <c r="L954" s="81" t="s">
        <v>11</v>
      </c>
      <c r="M954" s="164">
        <v>24.3</v>
      </c>
      <c r="N954" s="165"/>
      <c r="O954" s="163"/>
      <c r="P954" s="82">
        <v>87.96</v>
      </c>
      <c r="Q954" s="164">
        <v>0</v>
      </c>
      <c r="R954" s="163"/>
      <c r="S954" s="81" t="s">
        <v>346</v>
      </c>
      <c r="T954" s="82">
        <v>62</v>
      </c>
      <c r="U954" s="82">
        <v>0</v>
      </c>
      <c r="V954" s="82">
        <v>0</v>
      </c>
      <c r="W954" s="82">
        <v>0</v>
      </c>
      <c r="X954" s="81" t="s">
        <v>132</v>
      </c>
      <c r="Y954" s="82">
        <v>20</v>
      </c>
      <c r="Z954" s="81" t="s">
        <v>138</v>
      </c>
      <c r="AA954" s="81" t="s">
        <v>58</v>
      </c>
      <c r="AB954" s="81" t="s">
        <v>58</v>
      </c>
      <c r="AC954" s="83">
        <v>46160</v>
      </c>
    </row>
    <row r="955" spans="2:29" ht="23" x14ac:dyDescent="0.35">
      <c r="B955" s="81" t="s">
        <v>338</v>
      </c>
      <c r="C955" s="81" t="s">
        <v>339</v>
      </c>
      <c r="D955" s="81" t="s">
        <v>340</v>
      </c>
      <c r="E955" s="81" t="s">
        <v>359</v>
      </c>
      <c r="F955" s="162" t="s">
        <v>360</v>
      </c>
      <c r="G955" s="163"/>
      <c r="H955" s="81" t="s">
        <v>832</v>
      </c>
      <c r="I955" s="81" t="s">
        <v>344</v>
      </c>
      <c r="J955" s="81" t="s">
        <v>11</v>
      </c>
      <c r="K955" s="81" t="s">
        <v>1411</v>
      </c>
      <c r="L955" s="81" t="s">
        <v>129</v>
      </c>
      <c r="M955" s="164">
        <v>19.100000000000001</v>
      </c>
      <c r="N955" s="165"/>
      <c r="O955" s="163"/>
      <c r="P955" s="82">
        <v>69.14</v>
      </c>
      <c r="Q955" s="164">
        <v>0</v>
      </c>
      <c r="R955" s="163"/>
      <c r="S955" s="81" t="s">
        <v>346</v>
      </c>
      <c r="T955" s="82">
        <v>62</v>
      </c>
      <c r="U955" s="82">
        <v>0</v>
      </c>
      <c r="V955" s="82">
        <v>0</v>
      </c>
      <c r="W955" s="82">
        <v>0</v>
      </c>
      <c r="X955" s="81" t="s">
        <v>132</v>
      </c>
      <c r="Y955" s="82">
        <v>8</v>
      </c>
      <c r="Z955" s="81" t="s">
        <v>138</v>
      </c>
      <c r="AA955" s="81" t="s">
        <v>58</v>
      </c>
      <c r="AB955" s="81" t="s">
        <v>58</v>
      </c>
      <c r="AC955" s="83">
        <v>46160</v>
      </c>
    </row>
    <row r="956" spans="2:29" ht="23" x14ac:dyDescent="0.35">
      <c r="B956" s="81" t="s">
        <v>338</v>
      </c>
      <c r="C956" s="81" t="s">
        <v>339</v>
      </c>
      <c r="D956" s="81" t="s">
        <v>340</v>
      </c>
      <c r="E956" s="81" t="s">
        <v>359</v>
      </c>
      <c r="F956" s="162" t="s">
        <v>360</v>
      </c>
      <c r="G956" s="163"/>
      <c r="H956" s="81" t="s">
        <v>832</v>
      </c>
      <c r="I956" s="81" t="s">
        <v>344</v>
      </c>
      <c r="J956" s="81" t="s">
        <v>11</v>
      </c>
      <c r="K956" s="81" t="s">
        <v>1412</v>
      </c>
      <c r="L956" s="81" t="s">
        <v>129</v>
      </c>
      <c r="M956" s="164">
        <v>23.4</v>
      </c>
      <c r="N956" s="165"/>
      <c r="O956" s="163"/>
      <c r="P956" s="82">
        <v>84.7</v>
      </c>
      <c r="Q956" s="164">
        <v>0</v>
      </c>
      <c r="R956" s="163"/>
      <c r="S956" s="81" t="s">
        <v>346</v>
      </c>
      <c r="T956" s="82">
        <v>62</v>
      </c>
      <c r="U956" s="82">
        <v>0</v>
      </c>
      <c r="V956" s="82">
        <v>0</v>
      </c>
      <c r="W956" s="82">
        <v>0</v>
      </c>
      <c r="X956" s="81" t="s">
        <v>134</v>
      </c>
      <c r="Y956" s="82">
        <v>4</v>
      </c>
      <c r="Z956" s="81" t="s">
        <v>138</v>
      </c>
      <c r="AA956" s="81" t="s">
        <v>58</v>
      </c>
      <c r="AB956" s="81" t="s">
        <v>58</v>
      </c>
      <c r="AC956" s="83">
        <v>46160</v>
      </c>
    </row>
    <row r="957" spans="2:29" ht="23" x14ac:dyDescent="0.35">
      <c r="B957" s="81" t="s">
        <v>338</v>
      </c>
      <c r="C957" s="81" t="s">
        <v>339</v>
      </c>
      <c r="D957" s="81" t="s">
        <v>340</v>
      </c>
      <c r="E957" s="81" t="s">
        <v>359</v>
      </c>
      <c r="F957" s="162" t="s">
        <v>360</v>
      </c>
      <c r="G957" s="163"/>
      <c r="H957" s="81" t="s">
        <v>832</v>
      </c>
      <c r="I957" s="81" t="s">
        <v>344</v>
      </c>
      <c r="J957" s="81" t="s">
        <v>11</v>
      </c>
      <c r="K957" s="81" t="s">
        <v>1413</v>
      </c>
      <c r="L957" s="81" t="s">
        <v>129</v>
      </c>
      <c r="M957" s="164">
        <v>23</v>
      </c>
      <c r="N957" s="165"/>
      <c r="O957" s="163"/>
      <c r="P957" s="82">
        <v>83.26</v>
      </c>
      <c r="Q957" s="164">
        <v>0</v>
      </c>
      <c r="R957" s="163"/>
      <c r="S957" s="81" t="s">
        <v>346</v>
      </c>
      <c r="T957" s="82">
        <v>62</v>
      </c>
      <c r="U957" s="82">
        <v>0</v>
      </c>
      <c r="V957" s="82">
        <v>0</v>
      </c>
      <c r="W957" s="82">
        <v>0</v>
      </c>
      <c r="X957" s="81" t="s">
        <v>134</v>
      </c>
      <c r="Y957" s="82">
        <v>1</v>
      </c>
      <c r="Z957" s="81" t="s">
        <v>138</v>
      </c>
      <c r="AA957" s="81" t="s">
        <v>58</v>
      </c>
      <c r="AB957" s="81" t="s">
        <v>58</v>
      </c>
      <c r="AC957" s="83">
        <v>46160</v>
      </c>
    </row>
    <row r="958" spans="2:29" ht="23" x14ac:dyDescent="0.35">
      <c r="B958" s="81" t="s">
        <v>338</v>
      </c>
      <c r="C958" s="81" t="s">
        <v>339</v>
      </c>
      <c r="D958" s="81" t="s">
        <v>340</v>
      </c>
      <c r="E958" s="81" t="s">
        <v>359</v>
      </c>
      <c r="F958" s="162" t="s">
        <v>360</v>
      </c>
      <c r="G958" s="163"/>
      <c r="H958" s="81" t="s">
        <v>832</v>
      </c>
      <c r="I958" s="81" t="s">
        <v>344</v>
      </c>
      <c r="J958" s="81" t="s">
        <v>11</v>
      </c>
      <c r="K958" s="81" t="s">
        <v>1414</v>
      </c>
      <c r="L958" s="81" t="s">
        <v>129</v>
      </c>
      <c r="M958" s="164">
        <v>24.4</v>
      </c>
      <c r="N958" s="165"/>
      <c r="O958" s="163"/>
      <c r="P958" s="82">
        <v>88.32</v>
      </c>
      <c r="Q958" s="164">
        <v>0</v>
      </c>
      <c r="R958" s="163"/>
      <c r="S958" s="81" t="s">
        <v>346</v>
      </c>
      <c r="T958" s="82">
        <v>62</v>
      </c>
      <c r="U958" s="82">
        <v>0</v>
      </c>
      <c r="V958" s="82">
        <v>0</v>
      </c>
      <c r="W958" s="82">
        <v>0</v>
      </c>
      <c r="X958" s="81" t="s">
        <v>474</v>
      </c>
      <c r="Y958" s="82">
        <v>8</v>
      </c>
      <c r="Z958" s="81" t="s">
        <v>145</v>
      </c>
      <c r="AA958" s="81" t="s">
        <v>58</v>
      </c>
      <c r="AB958" s="81" t="s">
        <v>58</v>
      </c>
      <c r="AC958" s="83">
        <v>46165</v>
      </c>
    </row>
    <row r="959" spans="2:29" ht="23" x14ac:dyDescent="0.35">
      <c r="B959" s="81" t="s">
        <v>338</v>
      </c>
      <c r="C959" s="81" t="s">
        <v>339</v>
      </c>
      <c r="D959" s="81" t="s">
        <v>340</v>
      </c>
      <c r="E959" s="81" t="s">
        <v>359</v>
      </c>
      <c r="F959" s="162" t="s">
        <v>360</v>
      </c>
      <c r="G959" s="163"/>
      <c r="H959" s="81" t="s">
        <v>832</v>
      </c>
      <c r="I959" s="81" t="s">
        <v>344</v>
      </c>
      <c r="J959" s="81" t="s">
        <v>11</v>
      </c>
      <c r="K959" s="81" t="s">
        <v>1415</v>
      </c>
      <c r="L959" s="81" t="s">
        <v>129</v>
      </c>
      <c r="M959" s="164">
        <v>10.5</v>
      </c>
      <c r="N959" s="165"/>
      <c r="O959" s="163"/>
      <c r="P959" s="82">
        <v>38.01</v>
      </c>
      <c r="Q959" s="164">
        <v>0</v>
      </c>
      <c r="R959" s="163"/>
      <c r="S959" s="81" t="s">
        <v>346</v>
      </c>
      <c r="T959" s="82">
        <v>62</v>
      </c>
      <c r="U959" s="82">
        <v>0</v>
      </c>
      <c r="V959" s="82">
        <v>0</v>
      </c>
      <c r="W959" s="82">
        <v>0</v>
      </c>
      <c r="X959" s="81" t="s">
        <v>474</v>
      </c>
      <c r="Y959" s="82">
        <v>8</v>
      </c>
      <c r="Z959" s="81" t="s">
        <v>145</v>
      </c>
      <c r="AA959" s="81" t="s">
        <v>58</v>
      </c>
      <c r="AB959" s="81" t="s">
        <v>58</v>
      </c>
      <c r="AC959" s="83">
        <v>46165</v>
      </c>
    </row>
    <row r="960" spans="2:29" ht="23" x14ac:dyDescent="0.35">
      <c r="B960" s="81" t="s">
        <v>338</v>
      </c>
      <c r="C960" s="81" t="s">
        <v>339</v>
      </c>
      <c r="D960" s="81" t="s">
        <v>340</v>
      </c>
      <c r="E960" s="81" t="s">
        <v>359</v>
      </c>
      <c r="F960" s="162" t="s">
        <v>360</v>
      </c>
      <c r="G960" s="163"/>
      <c r="H960" s="81" t="s">
        <v>832</v>
      </c>
      <c r="I960" s="81" t="s">
        <v>344</v>
      </c>
      <c r="J960" s="81" t="s">
        <v>11</v>
      </c>
      <c r="K960" s="81" t="s">
        <v>1416</v>
      </c>
      <c r="L960" s="81" t="s">
        <v>129</v>
      </c>
      <c r="M960" s="164">
        <v>19.399999999999999</v>
      </c>
      <c r="N960" s="165"/>
      <c r="O960" s="163"/>
      <c r="P960" s="82">
        <v>70.23</v>
      </c>
      <c r="Q960" s="164">
        <v>0</v>
      </c>
      <c r="R960" s="163"/>
      <c r="S960" s="81" t="s">
        <v>346</v>
      </c>
      <c r="T960" s="82">
        <v>62</v>
      </c>
      <c r="U960" s="82">
        <v>0</v>
      </c>
      <c r="V960" s="82">
        <v>0</v>
      </c>
      <c r="W960" s="82">
        <v>0</v>
      </c>
      <c r="X960" s="81" t="s">
        <v>147</v>
      </c>
      <c r="Y960" s="82">
        <v>4</v>
      </c>
      <c r="Z960" s="81" t="s">
        <v>145</v>
      </c>
      <c r="AA960" s="81" t="s">
        <v>58</v>
      </c>
      <c r="AB960" s="81" t="s">
        <v>58</v>
      </c>
      <c r="AC960" s="83">
        <v>46165</v>
      </c>
    </row>
    <row r="961" spans="2:29" ht="23" x14ac:dyDescent="0.35">
      <c r="B961" s="81" t="s">
        <v>338</v>
      </c>
      <c r="C961" s="81" t="s">
        <v>339</v>
      </c>
      <c r="D961" s="81" t="s">
        <v>340</v>
      </c>
      <c r="E961" s="81" t="s">
        <v>359</v>
      </c>
      <c r="F961" s="162" t="s">
        <v>360</v>
      </c>
      <c r="G961" s="163"/>
      <c r="H961" s="81" t="s">
        <v>832</v>
      </c>
      <c r="I961" s="81" t="s">
        <v>344</v>
      </c>
      <c r="J961" s="81" t="s">
        <v>11</v>
      </c>
      <c r="K961" s="81" t="s">
        <v>1417</v>
      </c>
      <c r="L961" s="81" t="s">
        <v>129</v>
      </c>
      <c r="M961" s="164">
        <v>24.3</v>
      </c>
      <c r="N961" s="165"/>
      <c r="O961" s="163"/>
      <c r="P961" s="82">
        <v>87.96</v>
      </c>
      <c r="Q961" s="164">
        <v>0</v>
      </c>
      <c r="R961" s="163"/>
      <c r="S961" s="81" t="s">
        <v>346</v>
      </c>
      <c r="T961" s="82">
        <v>62</v>
      </c>
      <c r="U961" s="82">
        <v>0</v>
      </c>
      <c r="V961" s="82">
        <v>0</v>
      </c>
      <c r="W961" s="82">
        <v>0</v>
      </c>
      <c r="X961" s="81" t="s">
        <v>474</v>
      </c>
      <c r="Y961" s="82">
        <v>4</v>
      </c>
      <c r="Z961" s="81" t="s">
        <v>145</v>
      </c>
      <c r="AA961" s="81" t="s">
        <v>58</v>
      </c>
      <c r="AB961" s="81" t="s">
        <v>58</v>
      </c>
      <c r="AC961" s="83">
        <v>46165</v>
      </c>
    </row>
    <row r="962" spans="2:29" ht="23" x14ac:dyDescent="0.35">
      <c r="B962" s="81" t="s">
        <v>338</v>
      </c>
      <c r="C962" s="81" t="s">
        <v>339</v>
      </c>
      <c r="D962" s="81" t="s">
        <v>340</v>
      </c>
      <c r="E962" s="81" t="s">
        <v>359</v>
      </c>
      <c r="F962" s="162" t="s">
        <v>360</v>
      </c>
      <c r="G962" s="163"/>
      <c r="H962" s="81" t="s">
        <v>832</v>
      </c>
      <c r="I962" s="81" t="s">
        <v>344</v>
      </c>
      <c r="J962" s="81" t="s">
        <v>11</v>
      </c>
      <c r="K962" s="81" t="s">
        <v>1418</v>
      </c>
      <c r="L962" s="81" t="s">
        <v>129</v>
      </c>
      <c r="M962" s="164">
        <v>24</v>
      </c>
      <c r="N962" s="165"/>
      <c r="O962" s="163"/>
      <c r="P962" s="82">
        <v>86.88</v>
      </c>
      <c r="Q962" s="164">
        <v>0</v>
      </c>
      <c r="R962" s="163"/>
      <c r="S962" s="81" t="s">
        <v>346</v>
      </c>
      <c r="T962" s="82">
        <v>62</v>
      </c>
      <c r="U962" s="82">
        <v>0</v>
      </c>
      <c r="V962" s="82">
        <v>0</v>
      </c>
      <c r="W962" s="82">
        <v>0</v>
      </c>
      <c r="X962" s="81"/>
      <c r="Y962" s="81"/>
      <c r="Z962" s="81" t="s">
        <v>145</v>
      </c>
      <c r="AA962" s="81" t="s">
        <v>58</v>
      </c>
      <c r="AB962" s="81" t="s">
        <v>58</v>
      </c>
      <c r="AC962" s="83">
        <v>46165</v>
      </c>
    </row>
    <row r="963" spans="2:29" ht="23" x14ac:dyDescent="0.35">
      <c r="B963" s="81" t="s">
        <v>338</v>
      </c>
      <c r="C963" s="81" t="s">
        <v>339</v>
      </c>
      <c r="D963" s="81" t="s">
        <v>340</v>
      </c>
      <c r="E963" s="81" t="s">
        <v>359</v>
      </c>
      <c r="F963" s="162" t="s">
        <v>360</v>
      </c>
      <c r="G963" s="163"/>
      <c r="H963" s="81" t="s">
        <v>832</v>
      </c>
      <c r="I963" s="81" t="s">
        <v>344</v>
      </c>
      <c r="J963" s="81" t="s">
        <v>11</v>
      </c>
      <c r="K963" s="81" t="s">
        <v>1419</v>
      </c>
      <c r="L963" s="81" t="s">
        <v>129</v>
      </c>
      <c r="M963" s="164">
        <v>11.5</v>
      </c>
      <c r="N963" s="165"/>
      <c r="O963" s="163"/>
      <c r="P963" s="82">
        <v>41.63</v>
      </c>
      <c r="Q963" s="164">
        <v>0</v>
      </c>
      <c r="R963" s="163"/>
      <c r="S963" s="81" t="s">
        <v>346</v>
      </c>
      <c r="T963" s="82">
        <v>62</v>
      </c>
      <c r="U963" s="82">
        <v>0</v>
      </c>
      <c r="V963" s="82">
        <v>0</v>
      </c>
      <c r="W963" s="82">
        <v>0</v>
      </c>
      <c r="X963" s="81"/>
      <c r="Y963" s="81"/>
      <c r="Z963" s="81" t="s">
        <v>145</v>
      </c>
      <c r="AA963" s="81" t="s">
        <v>58</v>
      </c>
      <c r="AB963" s="81" t="s">
        <v>58</v>
      </c>
      <c r="AC963" s="83">
        <v>46165</v>
      </c>
    </row>
    <row r="964" spans="2:29" ht="23" x14ac:dyDescent="0.35">
      <c r="B964" s="81" t="s">
        <v>338</v>
      </c>
      <c r="C964" s="81" t="s">
        <v>339</v>
      </c>
      <c r="D964" s="81" t="s">
        <v>340</v>
      </c>
      <c r="E964" s="81" t="s">
        <v>359</v>
      </c>
      <c r="F964" s="162" t="s">
        <v>360</v>
      </c>
      <c r="G964" s="163"/>
      <c r="H964" s="81" t="s">
        <v>832</v>
      </c>
      <c r="I964" s="81" t="s">
        <v>344</v>
      </c>
      <c r="J964" s="81" t="s">
        <v>11</v>
      </c>
      <c r="K964" s="81" t="s">
        <v>1420</v>
      </c>
      <c r="L964" s="81" t="s">
        <v>129</v>
      </c>
      <c r="M964" s="164">
        <v>15.2</v>
      </c>
      <c r="N964" s="165"/>
      <c r="O964" s="163"/>
      <c r="P964" s="82">
        <v>55.02</v>
      </c>
      <c r="Q964" s="164">
        <v>0</v>
      </c>
      <c r="R964" s="163"/>
      <c r="S964" s="81" t="s">
        <v>346</v>
      </c>
      <c r="T964" s="82">
        <v>63.000599999999999</v>
      </c>
      <c r="U964" s="82">
        <v>0</v>
      </c>
      <c r="V964" s="82">
        <v>0</v>
      </c>
      <c r="W964" s="82">
        <v>0</v>
      </c>
      <c r="X964" s="81"/>
      <c r="Y964" s="81"/>
      <c r="Z964" s="81" t="s">
        <v>145</v>
      </c>
      <c r="AA964" s="81" t="s">
        <v>58</v>
      </c>
      <c r="AB964" s="81" t="s">
        <v>58</v>
      </c>
      <c r="AC964" s="83">
        <v>46165</v>
      </c>
    </row>
    <row r="965" spans="2:29" ht="23" x14ac:dyDescent="0.35">
      <c r="B965" s="81" t="s">
        <v>338</v>
      </c>
      <c r="C965" s="81" t="s">
        <v>339</v>
      </c>
      <c r="D965" s="81" t="s">
        <v>340</v>
      </c>
      <c r="E965" s="81" t="s">
        <v>359</v>
      </c>
      <c r="F965" s="162" t="s">
        <v>360</v>
      </c>
      <c r="G965" s="163"/>
      <c r="H965" s="81" t="s">
        <v>832</v>
      </c>
      <c r="I965" s="81" t="s">
        <v>344</v>
      </c>
      <c r="J965" s="81" t="s">
        <v>11</v>
      </c>
      <c r="K965" s="81" t="s">
        <v>1421</v>
      </c>
      <c r="L965" s="81" t="s">
        <v>129</v>
      </c>
      <c r="M965" s="164">
        <v>24.1</v>
      </c>
      <c r="N965" s="165"/>
      <c r="O965" s="163"/>
      <c r="P965" s="82">
        <v>87.24</v>
      </c>
      <c r="Q965" s="164">
        <v>0</v>
      </c>
      <c r="R965" s="163"/>
      <c r="S965" s="81" t="s">
        <v>346</v>
      </c>
      <c r="T965" s="82">
        <v>62</v>
      </c>
      <c r="U965" s="82">
        <v>0</v>
      </c>
      <c r="V965" s="82">
        <v>0</v>
      </c>
      <c r="W965" s="82">
        <v>0</v>
      </c>
      <c r="X965" s="81"/>
      <c r="Y965" s="81"/>
      <c r="Z965" s="81" t="s">
        <v>145</v>
      </c>
      <c r="AA965" s="81" t="s">
        <v>58</v>
      </c>
      <c r="AB965" s="81" t="s">
        <v>58</v>
      </c>
      <c r="AC965" s="83">
        <v>46165</v>
      </c>
    </row>
    <row r="966" spans="2:29" ht="23" x14ac:dyDescent="0.35">
      <c r="B966" s="81" t="s">
        <v>338</v>
      </c>
      <c r="C966" s="81" t="s">
        <v>339</v>
      </c>
      <c r="D966" s="81" t="s">
        <v>340</v>
      </c>
      <c r="E966" s="81" t="s">
        <v>359</v>
      </c>
      <c r="F966" s="162" t="s">
        <v>360</v>
      </c>
      <c r="G966" s="163"/>
      <c r="H966" s="81" t="s">
        <v>832</v>
      </c>
      <c r="I966" s="81" t="s">
        <v>344</v>
      </c>
      <c r="J966" s="81" t="s">
        <v>11</v>
      </c>
      <c r="K966" s="81" t="s">
        <v>1422</v>
      </c>
      <c r="L966" s="81" t="s">
        <v>129</v>
      </c>
      <c r="M966" s="164">
        <v>24.1</v>
      </c>
      <c r="N966" s="165"/>
      <c r="O966" s="163"/>
      <c r="P966" s="82">
        <v>87.24</v>
      </c>
      <c r="Q966" s="164">
        <v>0</v>
      </c>
      <c r="R966" s="163"/>
      <c r="S966" s="81" t="s">
        <v>346</v>
      </c>
      <c r="T966" s="82">
        <v>62</v>
      </c>
      <c r="U966" s="82">
        <v>0</v>
      </c>
      <c r="V966" s="82">
        <v>0</v>
      </c>
      <c r="W966" s="82">
        <v>0</v>
      </c>
      <c r="X966" s="81"/>
      <c r="Y966" s="81"/>
      <c r="Z966" s="81" t="s">
        <v>145</v>
      </c>
      <c r="AA966" s="81" t="s">
        <v>58</v>
      </c>
      <c r="AB966" s="81" t="s">
        <v>58</v>
      </c>
      <c r="AC966" s="83">
        <v>46165</v>
      </c>
    </row>
    <row r="967" spans="2:29" ht="23" x14ac:dyDescent="0.35">
      <c r="B967" s="81" t="s">
        <v>338</v>
      </c>
      <c r="C967" s="81" t="s">
        <v>339</v>
      </c>
      <c r="D967" s="81" t="s">
        <v>340</v>
      </c>
      <c r="E967" s="81" t="s">
        <v>359</v>
      </c>
      <c r="F967" s="162" t="s">
        <v>360</v>
      </c>
      <c r="G967" s="163"/>
      <c r="H967" s="81" t="s">
        <v>832</v>
      </c>
      <c r="I967" s="81" t="s">
        <v>344</v>
      </c>
      <c r="J967" s="81" t="s">
        <v>11</v>
      </c>
      <c r="K967" s="81" t="s">
        <v>1423</v>
      </c>
      <c r="L967" s="81" t="s">
        <v>129</v>
      </c>
      <c r="M967" s="164">
        <v>21.2</v>
      </c>
      <c r="N967" s="165"/>
      <c r="O967" s="163"/>
      <c r="P967" s="82">
        <v>76.739999999999995</v>
      </c>
      <c r="Q967" s="164">
        <v>0</v>
      </c>
      <c r="R967" s="163"/>
      <c r="S967" s="81" t="s">
        <v>346</v>
      </c>
      <c r="T967" s="82">
        <v>62</v>
      </c>
      <c r="U967" s="82">
        <v>0</v>
      </c>
      <c r="V967" s="82">
        <v>0</v>
      </c>
      <c r="W967" s="82">
        <v>0</v>
      </c>
      <c r="X967" s="81" t="s">
        <v>141</v>
      </c>
      <c r="Y967" s="82">
        <v>4</v>
      </c>
      <c r="Z967" s="81" t="s">
        <v>145</v>
      </c>
      <c r="AA967" s="81" t="s">
        <v>58</v>
      </c>
      <c r="AB967" s="81" t="s">
        <v>58</v>
      </c>
      <c r="AC967" s="83">
        <v>46165</v>
      </c>
    </row>
    <row r="968" spans="2:29" ht="23" x14ac:dyDescent="0.35">
      <c r="B968" s="81" t="s">
        <v>338</v>
      </c>
      <c r="C968" s="81" t="s">
        <v>339</v>
      </c>
      <c r="D968" s="81" t="s">
        <v>340</v>
      </c>
      <c r="E968" s="81" t="s">
        <v>359</v>
      </c>
      <c r="F968" s="162" t="s">
        <v>360</v>
      </c>
      <c r="G968" s="163"/>
      <c r="H968" s="81" t="s">
        <v>832</v>
      </c>
      <c r="I968" s="81" t="s">
        <v>344</v>
      </c>
      <c r="J968" s="81" t="s">
        <v>11</v>
      </c>
      <c r="K968" s="81" t="s">
        <v>1424</v>
      </c>
      <c r="L968" s="81" t="s">
        <v>129</v>
      </c>
      <c r="M968" s="164">
        <v>18.8</v>
      </c>
      <c r="N968" s="165"/>
      <c r="O968" s="163"/>
      <c r="P968" s="82">
        <v>68.05</v>
      </c>
      <c r="Q968" s="164">
        <v>0</v>
      </c>
      <c r="R968" s="163"/>
      <c r="S968" s="81" t="s">
        <v>346</v>
      </c>
      <c r="T968" s="82">
        <v>62</v>
      </c>
      <c r="U968" s="82">
        <v>0</v>
      </c>
      <c r="V968" s="82">
        <v>0</v>
      </c>
      <c r="W968" s="82">
        <v>0</v>
      </c>
      <c r="X968" s="81" t="s">
        <v>132</v>
      </c>
      <c r="Y968" s="82">
        <v>8</v>
      </c>
      <c r="Z968" s="81" t="s">
        <v>681</v>
      </c>
      <c r="AA968" s="81" t="s">
        <v>58</v>
      </c>
      <c r="AB968" s="81" t="s">
        <v>58</v>
      </c>
      <c r="AC968" s="83">
        <v>46165</v>
      </c>
    </row>
    <row r="969" spans="2:29" ht="23" x14ac:dyDescent="0.35">
      <c r="B969" s="81" t="s">
        <v>338</v>
      </c>
      <c r="C969" s="81" t="s">
        <v>339</v>
      </c>
      <c r="D969" s="81" t="s">
        <v>340</v>
      </c>
      <c r="E969" s="81" t="s">
        <v>359</v>
      </c>
      <c r="F969" s="162" t="s">
        <v>360</v>
      </c>
      <c r="G969" s="163"/>
      <c r="H969" s="81" t="s">
        <v>832</v>
      </c>
      <c r="I969" s="81" t="s">
        <v>344</v>
      </c>
      <c r="J969" s="81" t="s">
        <v>11</v>
      </c>
      <c r="K969" s="81" t="s">
        <v>1425</v>
      </c>
      <c r="L969" s="81" t="s">
        <v>129</v>
      </c>
      <c r="M969" s="164">
        <v>24.1</v>
      </c>
      <c r="N969" s="165"/>
      <c r="O969" s="163"/>
      <c r="P969" s="82">
        <v>87.24</v>
      </c>
      <c r="Q969" s="164">
        <v>0</v>
      </c>
      <c r="R969" s="163"/>
      <c r="S969" s="81" t="s">
        <v>346</v>
      </c>
      <c r="T969" s="82">
        <v>62</v>
      </c>
      <c r="U969" s="82">
        <v>0</v>
      </c>
      <c r="V969" s="82">
        <v>0</v>
      </c>
      <c r="W969" s="82">
        <v>0</v>
      </c>
      <c r="X969" s="81" t="s">
        <v>135</v>
      </c>
      <c r="Y969" s="82">
        <v>24</v>
      </c>
      <c r="Z969" s="81" t="s">
        <v>1197</v>
      </c>
      <c r="AA969" s="81" t="s">
        <v>58</v>
      </c>
      <c r="AB969" s="81" t="s">
        <v>58</v>
      </c>
      <c r="AC969" s="83">
        <v>46165</v>
      </c>
    </row>
    <row r="970" spans="2:29" ht="23" x14ac:dyDescent="0.35">
      <c r="B970" s="81" t="s">
        <v>338</v>
      </c>
      <c r="C970" s="81" t="s">
        <v>339</v>
      </c>
      <c r="D970" s="81" t="s">
        <v>340</v>
      </c>
      <c r="E970" s="81" t="s">
        <v>359</v>
      </c>
      <c r="F970" s="162" t="s">
        <v>360</v>
      </c>
      <c r="G970" s="163"/>
      <c r="H970" s="81" t="s">
        <v>832</v>
      </c>
      <c r="I970" s="81" t="s">
        <v>344</v>
      </c>
      <c r="J970" s="81" t="s">
        <v>11</v>
      </c>
      <c r="K970" s="81" t="s">
        <v>1426</v>
      </c>
      <c r="L970" s="81" t="s">
        <v>129</v>
      </c>
      <c r="M970" s="164">
        <v>19.2</v>
      </c>
      <c r="N970" s="165"/>
      <c r="O970" s="163"/>
      <c r="P970" s="82">
        <v>69.5</v>
      </c>
      <c r="Q970" s="164">
        <v>0</v>
      </c>
      <c r="R970" s="163"/>
      <c r="S970" s="81" t="s">
        <v>346</v>
      </c>
      <c r="T970" s="82">
        <v>62</v>
      </c>
      <c r="U970" s="82">
        <v>0</v>
      </c>
      <c r="V970" s="82">
        <v>0</v>
      </c>
      <c r="W970" s="82">
        <v>0</v>
      </c>
      <c r="X970" s="81"/>
      <c r="Y970" s="81"/>
      <c r="Z970" s="81" t="s">
        <v>1197</v>
      </c>
      <c r="AA970" s="81" t="s">
        <v>58</v>
      </c>
      <c r="AB970" s="81" t="s">
        <v>58</v>
      </c>
      <c r="AC970" s="83">
        <v>46165</v>
      </c>
    </row>
    <row r="971" spans="2:29" ht="23" x14ac:dyDescent="0.35">
      <c r="B971" s="81" t="s">
        <v>338</v>
      </c>
      <c r="C971" s="81" t="s">
        <v>339</v>
      </c>
      <c r="D971" s="81" t="s">
        <v>340</v>
      </c>
      <c r="E971" s="81" t="s">
        <v>359</v>
      </c>
      <c r="F971" s="162" t="s">
        <v>360</v>
      </c>
      <c r="G971" s="163"/>
      <c r="H971" s="81" t="s">
        <v>832</v>
      </c>
      <c r="I971" s="81" t="s">
        <v>344</v>
      </c>
      <c r="J971" s="81" t="s">
        <v>11</v>
      </c>
      <c r="K971" s="81" t="s">
        <v>1427</v>
      </c>
      <c r="L971" s="81" t="s">
        <v>129</v>
      </c>
      <c r="M971" s="164">
        <v>23</v>
      </c>
      <c r="N971" s="165"/>
      <c r="O971" s="163"/>
      <c r="P971" s="82">
        <v>83.26</v>
      </c>
      <c r="Q971" s="164">
        <v>0</v>
      </c>
      <c r="R971" s="163"/>
      <c r="S971" s="81" t="s">
        <v>346</v>
      </c>
      <c r="T971" s="82">
        <v>62</v>
      </c>
      <c r="U971" s="82">
        <v>0</v>
      </c>
      <c r="V971" s="82">
        <v>0</v>
      </c>
      <c r="W971" s="82">
        <v>0</v>
      </c>
      <c r="X971" s="81"/>
      <c r="Y971" s="81"/>
      <c r="Z971" s="81" t="s">
        <v>1197</v>
      </c>
      <c r="AA971" s="81" t="s">
        <v>58</v>
      </c>
      <c r="AB971" s="81" t="s">
        <v>58</v>
      </c>
      <c r="AC971" s="83">
        <v>46165</v>
      </c>
    </row>
    <row r="972" spans="2:29" ht="23" x14ac:dyDescent="0.35">
      <c r="B972" s="81" t="s">
        <v>338</v>
      </c>
      <c r="C972" s="81" t="s">
        <v>339</v>
      </c>
      <c r="D972" s="81" t="s">
        <v>340</v>
      </c>
      <c r="E972" s="81" t="s">
        <v>359</v>
      </c>
      <c r="F972" s="162" t="s">
        <v>360</v>
      </c>
      <c r="G972" s="163"/>
      <c r="H972" s="81" t="s">
        <v>832</v>
      </c>
      <c r="I972" s="81" t="s">
        <v>344</v>
      </c>
      <c r="J972" s="81" t="s">
        <v>11</v>
      </c>
      <c r="K972" s="81" t="s">
        <v>1428</v>
      </c>
      <c r="L972" s="81" t="s">
        <v>129</v>
      </c>
      <c r="M972" s="164">
        <v>7.6</v>
      </c>
      <c r="N972" s="165"/>
      <c r="O972" s="163"/>
      <c r="P972" s="82">
        <v>27.51</v>
      </c>
      <c r="Q972" s="164">
        <v>0</v>
      </c>
      <c r="R972" s="163"/>
      <c r="S972" s="81" t="s">
        <v>346</v>
      </c>
      <c r="T972" s="82">
        <v>62</v>
      </c>
      <c r="U972" s="82">
        <v>0</v>
      </c>
      <c r="V972" s="82">
        <v>0</v>
      </c>
      <c r="W972" s="82">
        <v>0</v>
      </c>
      <c r="X972" s="81" t="s">
        <v>139</v>
      </c>
      <c r="Y972" s="82">
        <v>8</v>
      </c>
      <c r="Z972" s="81" t="s">
        <v>1197</v>
      </c>
      <c r="AA972" s="81" t="s">
        <v>58</v>
      </c>
      <c r="AB972" s="81" t="s">
        <v>58</v>
      </c>
      <c r="AC972" s="83">
        <v>46165</v>
      </c>
    </row>
    <row r="973" spans="2:29" ht="23" x14ac:dyDescent="0.35">
      <c r="B973" s="81" t="s">
        <v>338</v>
      </c>
      <c r="C973" s="81" t="s">
        <v>339</v>
      </c>
      <c r="D973" s="81" t="s">
        <v>340</v>
      </c>
      <c r="E973" s="81" t="s">
        <v>359</v>
      </c>
      <c r="F973" s="162" t="s">
        <v>360</v>
      </c>
      <c r="G973" s="163"/>
      <c r="H973" s="81" t="s">
        <v>832</v>
      </c>
      <c r="I973" s="81" t="s">
        <v>344</v>
      </c>
      <c r="J973" s="81" t="s">
        <v>11</v>
      </c>
      <c r="K973" s="81" t="s">
        <v>1429</v>
      </c>
      <c r="L973" s="81" t="s">
        <v>129</v>
      </c>
      <c r="M973" s="164">
        <v>23.5</v>
      </c>
      <c r="N973" s="165"/>
      <c r="O973" s="163"/>
      <c r="P973" s="82">
        <v>85.07</v>
      </c>
      <c r="Q973" s="164">
        <v>0</v>
      </c>
      <c r="R973" s="163"/>
      <c r="S973" s="81" t="s">
        <v>346</v>
      </c>
      <c r="T973" s="82">
        <v>62</v>
      </c>
      <c r="U973" s="82">
        <v>0</v>
      </c>
      <c r="V973" s="82">
        <v>0</v>
      </c>
      <c r="W973" s="82">
        <v>0</v>
      </c>
      <c r="X973" s="81" t="s">
        <v>133</v>
      </c>
      <c r="Y973" s="82">
        <v>8</v>
      </c>
      <c r="Z973" s="81" t="s">
        <v>1197</v>
      </c>
      <c r="AA973" s="81" t="s">
        <v>58</v>
      </c>
      <c r="AB973" s="81" t="s">
        <v>58</v>
      </c>
      <c r="AC973" s="83">
        <v>46165</v>
      </c>
    </row>
    <row r="974" spans="2:29" ht="23" x14ac:dyDescent="0.35">
      <c r="B974" s="81" t="s">
        <v>338</v>
      </c>
      <c r="C974" s="81" t="s">
        <v>339</v>
      </c>
      <c r="D974" s="81" t="s">
        <v>340</v>
      </c>
      <c r="E974" s="81" t="s">
        <v>359</v>
      </c>
      <c r="F974" s="162" t="s">
        <v>360</v>
      </c>
      <c r="G974" s="163"/>
      <c r="H974" s="81" t="s">
        <v>832</v>
      </c>
      <c r="I974" s="81" t="s">
        <v>344</v>
      </c>
      <c r="J974" s="81" t="s">
        <v>11</v>
      </c>
      <c r="K974" s="81" t="s">
        <v>1430</v>
      </c>
      <c r="L974" s="81" t="s">
        <v>129</v>
      </c>
      <c r="M974" s="164">
        <v>30.9</v>
      </c>
      <c r="N974" s="165"/>
      <c r="O974" s="163"/>
      <c r="P974" s="82">
        <v>111.85</v>
      </c>
      <c r="Q974" s="164">
        <v>0</v>
      </c>
      <c r="R974" s="163"/>
      <c r="S974" s="81" t="s">
        <v>346</v>
      </c>
      <c r="T974" s="82">
        <v>62</v>
      </c>
      <c r="U974" s="82">
        <v>0</v>
      </c>
      <c r="V974" s="82">
        <v>0</v>
      </c>
      <c r="W974" s="82">
        <v>0</v>
      </c>
      <c r="X974" s="81" t="s">
        <v>133</v>
      </c>
      <c r="Y974" s="82">
        <v>8</v>
      </c>
      <c r="Z974" s="81" t="s">
        <v>681</v>
      </c>
      <c r="AA974" s="81" t="s">
        <v>58</v>
      </c>
      <c r="AB974" s="81" t="s">
        <v>58</v>
      </c>
      <c r="AC974" s="83">
        <v>46165</v>
      </c>
    </row>
    <row r="975" spans="2:29" ht="23" x14ac:dyDescent="0.35">
      <c r="B975" s="81" t="s">
        <v>338</v>
      </c>
      <c r="C975" s="81" t="s">
        <v>339</v>
      </c>
      <c r="D975" s="81" t="s">
        <v>340</v>
      </c>
      <c r="E975" s="81" t="s">
        <v>359</v>
      </c>
      <c r="F975" s="162" t="s">
        <v>360</v>
      </c>
      <c r="G975" s="163"/>
      <c r="H975" s="81" t="s">
        <v>832</v>
      </c>
      <c r="I975" s="81" t="s">
        <v>344</v>
      </c>
      <c r="J975" s="81" t="s">
        <v>11</v>
      </c>
      <c r="K975" s="81" t="s">
        <v>1431</v>
      </c>
      <c r="L975" s="81" t="s">
        <v>129</v>
      </c>
      <c r="M975" s="164">
        <v>24.5</v>
      </c>
      <c r="N975" s="165"/>
      <c r="O975" s="163"/>
      <c r="P975" s="82">
        <v>88.69</v>
      </c>
      <c r="Q975" s="164">
        <v>0</v>
      </c>
      <c r="R975" s="163"/>
      <c r="S975" s="81" t="s">
        <v>346</v>
      </c>
      <c r="T975" s="82">
        <v>62</v>
      </c>
      <c r="U975" s="82">
        <v>0</v>
      </c>
      <c r="V975" s="82">
        <v>0</v>
      </c>
      <c r="W975" s="82">
        <v>0</v>
      </c>
      <c r="X975" s="81" t="s">
        <v>133</v>
      </c>
      <c r="Y975" s="82">
        <v>8</v>
      </c>
      <c r="Z975" s="81" t="s">
        <v>145</v>
      </c>
      <c r="AA975" s="81" t="s">
        <v>58</v>
      </c>
      <c r="AB975" s="81" t="s">
        <v>58</v>
      </c>
      <c r="AC975" s="83">
        <v>46165</v>
      </c>
    </row>
    <row r="976" spans="2:29" ht="23" x14ac:dyDescent="0.35">
      <c r="B976" s="81" t="s">
        <v>338</v>
      </c>
      <c r="C976" s="81" t="s">
        <v>339</v>
      </c>
      <c r="D976" s="81" t="s">
        <v>340</v>
      </c>
      <c r="E976" s="81" t="s">
        <v>359</v>
      </c>
      <c r="F976" s="162" t="s">
        <v>360</v>
      </c>
      <c r="G976" s="163"/>
      <c r="H976" s="81" t="s">
        <v>832</v>
      </c>
      <c r="I976" s="81" t="s">
        <v>344</v>
      </c>
      <c r="J976" s="81" t="s">
        <v>11</v>
      </c>
      <c r="K976" s="81" t="s">
        <v>1432</v>
      </c>
      <c r="L976" s="81" t="s">
        <v>129</v>
      </c>
      <c r="M976" s="164">
        <v>25.1</v>
      </c>
      <c r="N976" s="165"/>
      <c r="O976" s="163"/>
      <c r="P976" s="82">
        <v>90.86</v>
      </c>
      <c r="Q976" s="164">
        <v>0</v>
      </c>
      <c r="R976" s="163"/>
      <c r="S976" s="81" t="s">
        <v>346</v>
      </c>
      <c r="T976" s="82">
        <v>62</v>
      </c>
      <c r="U976" s="82">
        <v>0</v>
      </c>
      <c r="V976" s="82">
        <v>0</v>
      </c>
      <c r="W976" s="82">
        <v>0</v>
      </c>
      <c r="X976" s="81" t="s">
        <v>139</v>
      </c>
      <c r="Y976" s="82">
        <v>4</v>
      </c>
      <c r="Z976" s="81" t="s">
        <v>1197</v>
      </c>
      <c r="AA976" s="81" t="s">
        <v>58</v>
      </c>
      <c r="AB976" s="81" t="s">
        <v>58</v>
      </c>
      <c r="AC976" s="83">
        <v>46165</v>
      </c>
    </row>
    <row r="977" spans="2:29" ht="23" x14ac:dyDescent="0.35">
      <c r="B977" s="81" t="s">
        <v>338</v>
      </c>
      <c r="C977" s="81" t="s">
        <v>339</v>
      </c>
      <c r="D977" s="81" t="s">
        <v>340</v>
      </c>
      <c r="E977" s="81" t="s">
        <v>359</v>
      </c>
      <c r="F977" s="162" t="s">
        <v>360</v>
      </c>
      <c r="G977" s="163"/>
      <c r="H977" s="81" t="s">
        <v>832</v>
      </c>
      <c r="I977" s="81" t="s">
        <v>344</v>
      </c>
      <c r="J977" s="81" t="s">
        <v>11</v>
      </c>
      <c r="K977" s="81" t="s">
        <v>1433</v>
      </c>
      <c r="L977" s="81" t="s">
        <v>129</v>
      </c>
      <c r="M977" s="164">
        <v>23.3</v>
      </c>
      <c r="N977" s="165"/>
      <c r="O977" s="163"/>
      <c r="P977" s="82">
        <v>84.34</v>
      </c>
      <c r="Q977" s="164">
        <v>0</v>
      </c>
      <c r="R977" s="163"/>
      <c r="S977" s="81" t="s">
        <v>346</v>
      </c>
      <c r="T977" s="82">
        <v>62</v>
      </c>
      <c r="U977" s="82">
        <v>0</v>
      </c>
      <c r="V977" s="82">
        <v>0</v>
      </c>
      <c r="W977" s="82">
        <v>0</v>
      </c>
      <c r="X977" s="81" t="s">
        <v>132</v>
      </c>
      <c r="Y977" s="82">
        <v>8</v>
      </c>
      <c r="Z977" s="81" t="s">
        <v>145</v>
      </c>
      <c r="AA977" s="81" t="s">
        <v>58</v>
      </c>
      <c r="AB977" s="81" t="s">
        <v>58</v>
      </c>
      <c r="AC977" s="83">
        <v>46165</v>
      </c>
    </row>
    <row r="978" spans="2:29" ht="23" x14ac:dyDescent="0.35">
      <c r="B978" s="81" t="s">
        <v>338</v>
      </c>
      <c r="C978" s="81" t="s">
        <v>339</v>
      </c>
      <c r="D978" s="81" t="s">
        <v>340</v>
      </c>
      <c r="E978" s="81" t="s">
        <v>359</v>
      </c>
      <c r="F978" s="162" t="s">
        <v>360</v>
      </c>
      <c r="G978" s="163"/>
      <c r="H978" s="81" t="s">
        <v>832</v>
      </c>
      <c r="I978" s="81" t="s">
        <v>344</v>
      </c>
      <c r="J978" s="81" t="s">
        <v>11</v>
      </c>
      <c r="K978" s="81" t="s">
        <v>1434</v>
      </c>
      <c r="L978" s="81" t="s">
        <v>129</v>
      </c>
      <c r="M978" s="164">
        <v>24.5</v>
      </c>
      <c r="N978" s="165"/>
      <c r="O978" s="163"/>
      <c r="P978" s="82">
        <v>88.69</v>
      </c>
      <c r="Q978" s="164">
        <v>0</v>
      </c>
      <c r="R978" s="163"/>
      <c r="S978" s="81" t="s">
        <v>346</v>
      </c>
      <c r="T978" s="82">
        <v>62</v>
      </c>
      <c r="U978" s="82">
        <v>0</v>
      </c>
      <c r="V978" s="82">
        <v>0</v>
      </c>
      <c r="W978" s="82">
        <v>0</v>
      </c>
      <c r="X978" s="81" t="s">
        <v>132</v>
      </c>
      <c r="Y978" s="82">
        <v>8</v>
      </c>
      <c r="Z978" s="81" t="s">
        <v>1197</v>
      </c>
      <c r="AA978" s="81" t="s">
        <v>58</v>
      </c>
      <c r="AB978" s="81" t="s">
        <v>58</v>
      </c>
      <c r="AC978" s="83">
        <v>46165</v>
      </c>
    </row>
    <row r="979" spans="2:29" ht="23" x14ac:dyDescent="0.35">
      <c r="B979" s="81" t="s">
        <v>338</v>
      </c>
      <c r="C979" s="81" t="s">
        <v>339</v>
      </c>
      <c r="D979" s="81" t="s">
        <v>340</v>
      </c>
      <c r="E979" s="81" t="s">
        <v>496</v>
      </c>
      <c r="F979" s="162" t="s">
        <v>497</v>
      </c>
      <c r="G979" s="163"/>
      <c r="H979" s="81" t="s">
        <v>1435</v>
      </c>
      <c r="I979" s="81" t="s">
        <v>1436</v>
      </c>
      <c r="J979" s="81" t="s">
        <v>154</v>
      </c>
      <c r="K979" s="81" t="s">
        <v>1437</v>
      </c>
      <c r="L979" s="81" t="s">
        <v>58</v>
      </c>
      <c r="M979" s="164">
        <v>5.4431039999999999</v>
      </c>
      <c r="N979" s="165"/>
      <c r="O979" s="163"/>
      <c r="P979" s="82">
        <v>200</v>
      </c>
      <c r="Q979" s="164">
        <v>0</v>
      </c>
      <c r="R979" s="163"/>
      <c r="S979" s="81" t="s">
        <v>58</v>
      </c>
      <c r="T979" s="82">
        <v>0</v>
      </c>
      <c r="U979" s="82">
        <v>0</v>
      </c>
      <c r="V979" s="82">
        <v>0</v>
      </c>
      <c r="W979" s="82">
        <v>0</v>
      </c>
      <c r="X979" s="81"/>
      <c r="Y979" s="81"/>
      <c r="Z979" s="81" t="s">
        <v>58</v>
      </c>
      <c r="AA979" s="81" t="s">
        <v>58</v>
      </c>
      <c r="AB979" s="81" t="s">
        <v>58</v>
      </c>
      <c r="AC979" s="83">
        <v>46102</v>
      </c>
    </row>
    <row r="980" spans="2:29" ht="23" x14ac:dyDescent="0.35">
      <c r="B980" s="81" t="s">
        <v>338</v>
      </c>
      <c r="C980" s="81" t="s">
        <v>339</v>
      </c>
      <c r="D980" s="81" t="s">
        <v>340</v>
      </c>
      <c r="E980" s="81" t="s">
        <v>496</v>
      </c>
      <c r="F980" s="162" t="s">
        <v>497</v>
      </c>
      <c r="G980" s="163"/>
      <c r="H980" s="81" t="s">
        <v>1435</v>
      </c>
      <c r="I980" s="81" t="s">
        <v>1436</v>
      </c>
      <c r="J980" s="81" t="s">
        <v>154</v>
      </c>
      <c r="K980" s="81" t="s">
        <v>1438</v>
      </c>
      <c r="L980" s="81" t="s">
        <v>58</v>
      </c>
      <c r="M980" s="164">
        <v>5.4431039999999999</v>
      </c>
      <c r="N980" s="165"/>
      <c r="O980" s="163"/>
      <c r="P980" s="82">
        <v>200</v>
      </c>
      <c r="Q980" s="164">
        <v>0</v>
      </c>
      <c r="R980" s="163"/>
      <c r="S980" s="81" t="s">
        <v>58</v>
      </c>
      <c r="T980" s="82">
        <v>0</v>
      </c>
      <c r="U980" s="82">
        <v>0</v>
      </c>
      <c r="V980" s="82">
        <v>0</v>
      </c>
      <c r="W980" s="82">
        <v>0</v>
      </c>
      <c r="X980" s="81"/>
      <c r="Y980" s="81"/>
      <c r="Z980" s="81" t="s">
        <v>58</v>
      </c>
      <c r="AA980" s="81" t="s">
        <v>58</v>
      </c>
      <c r="AB980" s="81" t="s">
        <v>58</v>
      </c>
      <c r="AC980" s="83">
        <v>46102</v>
      </c>
    </row>
    <row r="981" spans="2:29" ht="23" x14ac:dyDescent="0.35">
      <c r="B981" s="81" t="s">
        <v>338</v>
      </c>
      <c r="C981" s="81" t="s">
        <v>339</v>
      </c>
      <c r="D981" s="81" t="s">
        <v>340</v>
      </c>
      <c r="E981" s="81" t="s">
        <v>496</v>
      </c>
      <c r="F981" s="162" t="s">
        <v>497</v>
      </c>
      <c r="G981" s="163"/>
      <c r="H981" s="81" t="s">
        <v>1435</v>
      </c>
      <c r="I981" s="81" t="s">
        <v>1436</v>
      </c>
      <c r="J981" s="81" t="s">
        <v>154</v>
      </c>
      <c r="K981" s="81" t="s">
        <v>1439</v>
      </c>
      <c r="L981" s="81" t="s">
        <v>58</v>
      </c>
      <c r="M981" s="164">
        <v>5.7696902400000001</v>
      </c>
      <c r="N981" s="165"/>
      <c r="O981" s="163"/>
      <c r="P981" s="82">
        <v>212</v>
      </c>
      <c r="Q981" s="164">
        <v>0</v>
      </c>
      <c r="R981" s="163"/>
      <c r="S981" s="81" t="s">
        <v>58</v>
      </c>
      <c r="T981" s="82">
        <v>0</v>
      </c>
      <c r="U981" s="82">
        <v>0</v>
      </c>
      <c r="V981" s="82">
        <v>0</v>
      </c>
      <c r="W981" s="82">
        <v>0</v>
      </c>
      <c r="X981" s="81"/>
      <c r="Y981" s="81"/>
      <c r="Z981" s="81" t="s">
        <v>58</v>
      </c>
      <c r="AA981" s="81" t="s">
        <v>58</v>
      </c>
      <c r="AB981" s="81" t="s">
        <v>58</v>
      </c>
      <c r="AC981" s="83">
        <v>46102</v>
      </c>
    </row>
    <row r="982" spans="2:29" ht="23" x14ac:dyDescent="0.35">
      <c r="B982" s="81" t="s">
        <v>338</v>
      </c>
      <c r="C982" s="81" t="s">
        <v>339</v>
      </c>
      <c r="D982" s="81" t="s">
        <v>340</v>
      </c>
      <c r="E982" s="81" t="s">
        <v>496</v>
      </c>
      <c r="F982" s="162" t="s">
        <v>497</v>
      </c>
      <c r="G982" s="163"/>
      <c r="H982" s="81" t="s">
        <v>1435</v>
      </c>
      <c r="I982" s="81" t="s">
        <v>1436</v>
      </c>
      <c r="J982" s="81" t="s">
        <v>154</v>
      </c>
      <c r="K982" s="81" t="s">
        <v>1440</v>
      </c>
      <c r="L982" s="81" t="s">
        <v>58</v>
      </c>
      <c r="M982" s="164">
        <v>5.6415505000000001</v>
      </c>
      <c r="N982" s="165"/>
      <c r="O982" s="163"/>
      <c r="P982" s="82">
        <v>200</v>
      </c>
      <c r="Q982" s="164">
        <v>0</v>
      </c>
      <c r="R982" s="163"/>
      <c r="S982" s="81" t="s">
        <v>58</v>
      </c>
      <c r="T982" s="82">
        <v>0</v>
      </c>
      <c r="U982" s="82">
        <v>0</v>
      </c>
      <c r="V982" s="82">
        <v>0</v>
      </c>
      <c r="W982" s="82">
        <v>0</v>
      </c>
      <c r="X982" s="81"/>
      <c r="Y982" s="81"/>
      <c r="Z982" s="81" t="s">
        <v>58</v>
      </c>
      <c r="AA982" s="81" t="s">
        <v>58</v>
      </c>
      <c r="AB982" s="81" t="s">
        <v>58</v>
      </c>
      <c r="AC982" s="83">
        <v>46104</v>
      </c>
    </row>
    <row r="983" spans="2:29" ht="23" x14ac:dyDescent="0.35">
      <c r="B983" s="81" t="s">
        <v>338</v>
      </c>
      <c r="C983" s="81" t="s">
        <v>339</v>
      </c>
      <c r="D983" s="81" t="s">
        <v>340</v>
      </c>
      <c r="E983" s="81" t="s">
        <v>496</v>
      </c>
      <c r="F983" s="162" t="s">
        <v>497</v>
      </c>
      <c r="G983" s="163"/>
      <c r="H983" s="81" t="s">
        <v>1435</v>
      </c>
      <c r="I983" s="81" t="s">
        <v>1436</v>
      </c>
      <c r="J983" s="81" t="s">
        <v>154</v>
      </c>
      <c r="K983" s="81" t="s">
        <v>1441</v>
      </c>
      <c r="L983" s="81" t="s">
        <v>58</v>
      </c>
      <c r="M983" s="164">
        <v>5.6415505000000001</v>
      </c>
      <c r="N983" s="165"/>
      <c r="O983" s="163"/>
      <c r="P983" s="82">
        <v>200</v>
      </c>
      <c r="Q983" s="164">
        <v>0</v>
      </c>
      <c r="R983" s="163"/>
      <c r="S983" s="81" t="s">
        <v>58</v>
      </c>
      <c r="T983" s="82">
        <v>0</v>
      </c>
      <c r="U983" s="82">
        <v>0</v>
      </c>
      <c r="V983" s="82">
        <v>0</v>
      </c>
      <c r="W983" s="82">
        <v>0</v>
      </c>
      <c r="X983" s="81"/>
      <c r="Y983" s="81"/>
      <c r="Z983" s="81" t="s">
        <v>58</v>
      </c>
      <c r="AA983" s="81" t="s">
        <v>58</v>
      </c>
      <c r="AB983" s="81" t="s">
        <v>58</v>
      </c>
      <c r="AC983" s="83">
        <v>46104</v>
      </c>
    </row>
    <row r="984" spans="2:29" ht="23" x14ac:dyDescent="0.35">
      <c r="B984" s="81" t="s">
        <v>338</v>
      </c>
      <c r="C984" s="81" t="s">
        <v>339</v>
      </c>
      <c r="D984" s="81" t="s">
        <v>340</v>
      </c>
      <c r="E984" s="81" t="s">
        <v>496</v>
      </c>
      <c r="F984" s="162" t="s">
        <v>497</v>
      </c>
      <c r="G984" s="163"/>
      <c r="H984" s="81" t="s">
        <v>1435</v>
      </c>
      <c r="I984" s="81" t="s">
        <v>1436</v>
      </c>
      <c r="J984" s="81" t="s">
        <v>154</v>
      </c>
      <c r="K984" s="81" t="s">
        <v>1442</v>
      </c>
      <c r="L984" s="81" t="s">
        <v>58</v>
      </c>
      <c r="M984" s="164">
        <v>5.6415505000000001</v>
      </c>
      <c r="N984" s="165"/>
      <c r="O984" s="163"/>
      <c r="P984" s="82">
        <v>200</v>
      </c>
      <c r="Q984" s="164">
        <v>0</v>
      </c>
      <c r="R984" s="163"/>
      <c r="S984" s="81" t="s">
        <v>58</v>
      </c>
      <c r="T984" s="82">
        <v>0</v>
      </c>
      <c r="U984" s="82">
        <v>0</v>
      </c>
      <c r="V984" s="82">
        <v>0</v>
      </c>
      <c r="W984" s="82">
        <v>0</v>
      </c>
      <c r="X984" s="81"/>
      <c r="Y984" s="81"/>
      <c r="Z984" s="81" t="s">
        <v>58</v>
      </c>
      <c r="AA984" s="81" t="s">
        <v>58</v>
      </c>
      <c r="AB984" s="81" t="s">
        <v>58</v>
      </c>
      <c r="AC984" s="83">
        <v>46104</v>
      </c>
    </row>
    <row r="985" spans="2:29" ht="23" x14ac:dyDescent="0.35">
      <c r="B985" s="81" t="s">
        <v>338</v>
      </c>
      <c r="C985" s="81" t="s">
        <v>339</v>
      </c>
      <c r="D985" s="81" t="s">
        <v>340</v>
      </c>
      <c r="E985" s="81" t="s">
        <v>496</v>
      </c>
      <c r="F985" s="162" t="s">
        <v>497</v>
      </c>
      <c r="G985" s="163"/>
      <c r="H985" s="81" t="s">
        <v>1435</v>
      </c>
      <c r="I985" s="81" t="s">
        <v>1436</v>
      </c>
      <c r="J985" s="81" t="s">
        <v>154</v>
      </c>
      <c r="K985" s="81" t="s">
        <v>1443</v>
      </c>
      <c r="L985" s="81" t="s">
        <v>58</v>
      </c>
      <c r="M985" s="164">
        <v>5.6415505000000001</v>
      </c>
      <c r="N985" s="165"/>
      <c r="O985" s="163"/>
      <c r="P985" s="82">
        <v>200</v>
      </c>
      <c r="Q985" s="164">
        <v>0</v>
      </c>
      <c r="R985" s="163"/>
      <c r="S985" s="81" t="s">
        <v>58</v>
      </c>
      <c r="T985" s="82">
        <v>0</v>
      </c>
      <c r="U985" s="82">
        <v>0</v>
      </c>
      <c r="V985" s="82">
        <v>0</v>
      </c>
      <c r="W985" s="82">
        <v>0</v>
      </c>
      <c r="X985" s="81"/>
      <c r="Y985" s="81"/>
      <c r="Z985" s="81" t="s">
        <v>58</v>
      </c>
      <c r="AA985" s="81" t="s">
        <v>58</v>
      </c>
      <c r="AB985" s="81" t="s">
        <v>58</v>
      </c>
      <c r="AC985" s="83">
        <v>46104</v>
      </c>
    </row>
    <row r="986" spans="2:29" ht="23" x14ac:dyDescent="0.35">
      <c r="B986" s="81" t="s">
        <v>338</v>
      </c>
      <c r="C986" s="81" t="s">
        <v>339</v>
      </c>
      <c r="D986" s="81" t="s">
        <v>340</v>
      </c>
      <c r="E986" s="81" t="s">
        <v>496</v>
      </c>
      <c r="F986" s="162" t="s">
        <v>497</v>
      </c>
      <c r="G986" s="163"/>
      <c r="H986" s="81" t="s">
        <v>1435</v>
      </c>
      <c r="I986" s="81" t="s">
        <v>1436</v>
      </c>
      <c r="J986" s="81" t="s">
        <v>154</v>
      </c>
      <c r="K986" s="81" t="s">
        <v>1444</v>
      </c>
      <c r="L986" s="81" t="s">
        <v>58</v>
      </c>
      <c r="M986" s="164">
        <v>5.6415505000000001</v>
      </c>
      <c r="N986" s="165"/>
      <c r="O986" s="163"/>
      <c r="P986" s="82">
        <v>200</v>
      </c>
      <c r="Q986" s="164">
        <v>0</v>
      </c>
      <c r="R986" s="163"/>
      <c r="S986" s="81" t="s">
        <v>58</v>
      </c>
      <c r="T986" s="82">
        <v>0</v>
      </c>
      <c r="U986" s="82">
        <v>0</v>
      </c>
      <c r="V986" s="82">
        <v>0</v>
      </c>
      <c r="W986" s="82">
        <v>0</v>
      </c>
      <c r="X986" s="81"/>
      <c r="Y986" s="81"/>
      <c r="Z986" s="81" t="s">
        <v>58</v>
      </c>
      <c r="AA986" s="81" t="s">
        <v>58</v>
      </c>
      <c r="AB986" s="81" t="s">
        <v>58</v>
      </c>
      <c r="AC986" s="83">
        <v>46102</v>
      </c>
    </row>
    <row r="987" spans="2:29" ht="23" x14ac:dyDescent="0.35">
      <c r="B987" s="81" t="s">
        <v>338</v>
      </c>
      <c r="C987" s="81" t="s">
        <v>339</v>
      </c>
      <c r="D987" s="81" t="s">
        <v>340</v>
      </c>
      <c r="E987" s="81" t="s">
        <v>496</v>
      </c>
      <c r="F987" s="162" t="s">
        <v>497</v>
      </c>
      <c r="G987" s="163"/>
      <c r="H987" s="81" t="s">
        <v>1435</v>
      </c>
      <c r="I987" s="81" t="s">
        <v>1436</v>
      </c>
      <c r="J987" s="81" t="s">
        <v>154</v>
      </c>
      <c r="K987" s="81" t="s">
        <v>1445</v>
      </c>
      <c r="L987" s="81" t="s">
        <v>58</v>
      </c>
      <c r="M987" s="164">
        <v>5.6415505000000001</v>
      </c>
      <c r="N987" s="165"/>
      <c r="O987" s="163"/>
      <c r="P987" s="82">
        <v>200</v>
      </c>
      <c r="Q987" s="164">
        <v>0</v>
      </c>
      <c r="R987" s="163"/>
      <c r="S987" s="81" t="s">
        <v>58</v>
      </c>
      <c r="T987" s="82">
        <v>0</v>
      </c>
      <c r="U987" s="82">
        <v>0</v>
      </c>
      <c r="V987" s="82">
        <v>0</v>
      </c>
      <c r="W987" s="82">
        <v>0</v>
      </c>
      <c r="X987" s="81"/>
      <c r="Y987" s="81"/>
      <c r="Z987" s="81" t="s">
        <v>58</v>
      </c>
      <c r="AA987" s="81" t="s">
        <v>58</v>
      </c>
      <c r="AB987" s="81" t="s">
        <v>58</v>
      </c>
      <c r="AC987" s="83">
        <v>46102</v>
      </c>
    </row>
    <row r="988" spans="2:29" ht="23" x14ac:dyDescent="0.35">
      <c r="B988" s="81" t="s">
        <v>338</v>
      </c>
      <c r="C988" s="81" t="s">
        <v>339</v>
      </c>
      <c r="D988" s="81" t="s">
        <v>340</v>
      </c>
      <c r="E988" s="81" t="s">
        <v>496</v>
      </c>
      <c r="F988" s="162" t="s">
        <v>497</v>
      </c>
      <c r="G988" s="163"/>
      <c r="H988" s="81" t="s">
        <v>1435</v>
      </c>
      <c r="I988" s="81" t="s">
        <v>1436</v>
      </c>
      <c r="J988" s="81" t="s">
        <v>154</v>
      </c>
      <c r="K988" s="81" t="s">
        <v>1446</v>
      </c>
      <c r="L988" s="81" t="s">
        <v>58</v>
      </c>
      <c r="M988" s="164">
        <v>5.6415505000000001</v>
      </c>
      <c r="N988" s="165"/>
      <c r="O988" s="163"/>
      <c r="P988" s="82">
        <v>200</v>
      </c>
      <c r="Q988" s="164">
        <v>0</v>
      </c>
      <c r="R988" s="163"/>
      <c r="S988" s="81" t="s">
        <v>58</v>
      </c>
      <c r="T988" s="82">
        <v>0</v>
      </c>
      <c r="U988" s="82">
        <v>0</v>
      </c>
      <c r="V988" s="82">
        <v>0</v>
      </c>
      <c r="W988" s="82">
        <v>0</v>
      </c>
      <c r="X988" s="81"/>
      <c r="Y988" s="81"/>
      <c r="Z988" s="81" t="s">
        <v>58</v>
      </c>
      <c r="AA988" s="81" t="s">
        <v>58</v>
      </c>
      <c r="AB988" s="81" t="s">
        <v>58</v>
      </c>
      <c r="AC988" s="83">
        <v>46101</v>
      </c>
    </row>
    <row r="989" spans="2:29" ht="23" x14ac:dyDescent="0.35">
      <c r="B989" s="81" t="s">
        <v>338</v>
      </c>
      <c r="C989" s="81" t="s">
        <v>339</v>
      </c>
      <c r="D989" s="81" t="s">
        <v>340</v>
      </c>
      <c r="E989" s="81" t="s">
        <v>496</v>
      </c>
      <c r="F989" s="162" t="s">
        <v>497</v>
      </c>
      <c r="G989" s="163"/>
      <c r="H989" s="81" t="s">
        <v>1435</v>
      </c>
      <c r="I989" s="81" t="s">
        <v>1436</v>
      </c>
      <c r="J989" s="81" t="s">
        <v>154</v>
      </c>
      <c r="K989" s="81" t="s">
        <v>1447</v>
      </c>
      <c r="L989" s="81" t="s">
        <v>58</v>
      </c>
      <c r="M989" s="164">
        <v>2.8207752500000001</v>
      </c>
      <c r="N989" s="165"/>
      <c r="O989" s="163"/>
      <c r="P989" s="82">
        <v>100</v>
      </c>
      <c r="Q989" s="164">
        <v>0</v>
      </c>
      <c r="R989" s="163"/>
      <c r="S989" s="81" t="s">
        <v>58</v>
      </c>
      <c r="T989" s="82">
        <v>0</v>
      </c>
      <c r="U989" s="82">
        <v>0</v>
      </c>
      <c r="V989" s="82">
        <v>0</v>
      </c>
      <c r="W989" s="82">
        <v>0</v>
      </c>
      <c r="X989" s="81"/>
      <c r="Y989" s="81"/>
      <c r="Z989" s="81" t="s">
        <v>58</v>
      </c>
      <c r="AA989" s="81" t="s">
        <v>58</v>
      </c>
      <c r="AB989" s="81" t="s">
        <v>58</v>
      </c>
      <c r="AC989" s="83">
        <v>46101</v>
      </c>
    </row>
    <row r="990" spans="2:29" ht="23" x14ac:dyDescent="0.35">
      <c r="B990" s="81" t="s">
        <v>338</v>
      </c>
      <c r="C990" s="81" t="s">
        <v>339</v>
      </c>
      <c r="D990" s="81" t="s">
        <v>340</v>
      </c>
      <c r="E990" s="81" t="s">
        <v>496</v>
      </c>
      <c r="F990" s="162" t="s">
        <v>497</v>
      </c>
      <c r="G990" s="163"/>
      <c r="H990" s="81" t="s">
        <v>1435</v>
      </c>
      <c r="I990" s="81" t="s">
        <v>1436</v>
      </c>
      <c r="J990" s="81" t="s">
        <v>154</v>
      </c>
      <c r="K990" s="81" t="s">
        <v>1448</v>
      </c>
      <c r="L990" s="81" t="s">
        <v>58</v>
      </c>
      <c r="M990" s="164">
        <v>2.2848279525000001</v>
      </c>
      <c r="N990" s="165"/>
      <c r="O990" s="163"/>
      <c r="P990" s="82">
        <v>81</v>
      </c>
      <c r="Q990" s="164">
        <v>0</v>
      </c>
      <c r="R990" s="163"/>
      <c r="S990" s="81" t="s">
        <v>58</v>
      </c>
      <c r="T990" s="82">
        <v>0</v>
      </c>
      <c r="U990" s="82">
        <v>0</v>
      </c>
      <c r="V990" s="82">
        <v>0</v>
      </c>
      <c r="W990" s="82">
        <v>0</v>
      </c>
      <c r="X990" s="81"/>
      <c r="Y990" s="81"/>
      <c r="Z990" s="81" t="s">
        <v>58</v>
      </c>
      <c r="AA990" s="81" t="s">
        <v>58</v>
      </c>
      <c r="AB990" s="81" t="s">
        <v>58</v>
      </c>
      <c r="AC990" s="83">
        <v>46102</v>
      </c>
    </row>
    <row r="991" spans="2:29" ht="23" x14ac:dyDescent="0.35">
      <c r="B991" s="81" t="s">
        <v>338</v>
      </c>
      <c r="C991" s="81" t="s">
        <v>339</v>
      </c>
      <c r="D991" s="81" t="s">
        <v>340</v>
      </c>
      <c r="E991" s="81" t="s">
        <v>496</v>
      </c>
      <c r="F991" s="162" t="s">
        <v>497</v>
      </c>
      <c r="G991" s="163"/>
      <c r="H991" s="81" t="s">
        <v>1435</v>
      </c>
      <c r="I991" s="81" t="s">
        <v>1436</v>
      </c>
      <c r="J991" s="81" t="s">
        <v>154</v>
      </c>
      <c r="K991" s="81" t="s">
        <v>1449</v>
      </c>
      <c r="L991" s="81" t="s">
        <v>58</v>
      </c>
      <c r="M991" s="164">
        <v>5.8399970000000003</v>
      </c>
      <c r="N991" s="165"/>
      <c r="O991" s="163"/>
      <c r="P991" s="82">
        <v>200</v>
      </c>
      <c r="Q991" s="164">
        <v>0</v>
      </c>
      <c r="R991" s="163"/>
      <c r="S991" s="81" t="s">
        <v>58</v>
      </c>
      <c r="T991" s="82">
        <v>0</v>
      </c>
      <c r="U991" s="82">
        <v>0</v>
      </c>
      <c r="V991" s="82">
        <v>0</v>
      </c>
      <c r="W991" s="82">
        <v>0</v>
      </c>
      <c r="X991" s="81"/>
      <c r="Y991" s="81"/>
      <c r="Z991" s="81" t="s">
        <v>58</v>
      </c>
      <c r="AA991" s="81" t="s">
        <v>58</v>
      </c>
      <c r="AB991" s="81" t="s">
        <v>58</v>
      </c>
      <c r="AC991" s="83">
        <v>46104</v>
      </c>
    </row>
    <row r="992" spans="2:29" ht="23" x14ac:dyDescent="0.35">
      <c r="B992" s="81" t="s">
        <v>338</v>
      </c>
      <c r="C992" s="81" t="s">
        <v>339</v>
      </c>
      <c r="D992" s="81" t="s">
        <v>340</v>
      </c>
      <c r="E992" s="81" t="s">
        <v>496</v>
      </c>
      <c r="F992" s="162" t="s">
        <v>497</v>
      </c>
      <c r="G992" s="163"/>
      <c r="H992" s="81" t="s">
        <v>1435</v>
      </c>
      <c r="I992" s="81" t="s">
        <v>1436</v>
      </c>
      <c r="J992" s="81" t="s">
        <v>154</v>
      </c>
      <c r="K992" s="81" t="s">
        <v>1450</v>
      </c>
      <c r="L992" s="81" t="s">
        <v>58</v>
      </c>
      <c r="M992" s="164">
        <v>5.8399970000000003</v>
      </c>
      <c r="N992" s="165"/>
      <c r="O992" s="163"/>
      <c r="P992" s="82">
        <v>200</v>
      </c>
      <c r="Q992" s="164">
        <v>0</v>
      </c>
      <c r="R992" s="163"/>
      <c r="S992" s="81" t="s">
        <v>58</v>
      </c>
      <c r="T992" s="82">
        <v>0</v>
      </c>
      <c r="U992" s="82">
        <v>0</v>
      </c>
      <c r="V992" s="82">
        <v>0</v>
      </c>
      <c r="W992" s="82">
        <v>0</v>
      </c>
      <c r="X992" s="81"/>
      <c r="Y992" s="81"/>
      <c r="Z992" s="81" t="s">
        <v>58</v>
      </c>
      <c r="AA992" s="81" t="s">
        <v>58</v>
      </c>
      <c r="AB992" s="81" t="s">
        <v>58</v>
      </c>
      <c r="AC992" s="83">
        <v>46104</v>
      </c>
    </row>
    <row r="993" spans="2:29" ht="23" x14ac:dyDescent="0.35">
      <c r="B993" s="81" t="s">
        <v>338</v>
      </c>
      <c r="C993" s="81" t="s">
        <v>339</v>
      </c>
      <c r="D993" s="81" t="s">
        <v>340</v>
      </c>
      <c r="E993" s="81" t="s">
        <v>496</v>
      </c>
      <c r="F993" s="162" t="s">
        <v>497</v>
      </c>
      <c r="G993" s="163"/>
      <c r="H993" s="81" t="s">
        <v>1435</v>
      </c>
      <c r="I993" s="81" t="s">
        <v>1436</v>
      </c>
      <c r="J993" s="81" t="s">
        <v>154</v>
      </c>
      <c r="K993" s="81" t="s">
        <v>1451</v>
      </c>
      <c r="L993" s="81" t="s">
        <v>58</v>
      </c>
      <c r="M993" s="164">
        <v>5.8399970000000003</v>
      </c>
      <c r="N993" s="165"/>
      <c r="O993" s="163"/>
      <c r="P993" s="82">
        <v>200</v>
      </c>
      <c r="Q993" s="164">
        <v>0</v>
      </c>
      <c r="R993" s="163"/>
      <c r="S993" s="81" t="s">
        <v>58</v>
      </c>
      <c r="T993" s="82">
        <v>0</v>
      </c>
      <c r="U993" s="82">
        <v>0</v>
      </c>
      <c r="V993" s="82">
        <v>0</v>
      </c>
      <c r="W993" s="82">
        <v>0</v>
      </c>
      <c r="X993" s="81"/>
      <c r="Y993" s="81"/>
      <c r="Z993" s="81" t="s">
        <v>58</v>
      </c>
      <c r="AA993" s="81" t="s">
        <v>58</v>
      </c>
      <c r="AB993" s="81" t="s">
        <v>58</v>
      </c>
      <c r="AC993" s="83">
        <v>46104</v>
      </c>
    </row>
    <row r="994" spans="2:29" ht="23" x14ac:dyDescent="0.35">
      <c r="B994" s="81" t="s">
        <v>338</v>
      </c>
      <c r="C994" s="81" t="s">
        <v>339</v>
      </c>
      <c r="D994" s="81" t="s">
        <v>340</v>
      </c>
      <c r="E994" s="81" t="s">
        <v>496</v>
      </c>
      <c r="F994" s="162" t="s">
        <v>497</v>
      </c>
      <c r="G994" s="163"/>
      <c r="H994" s="81" t="s">
        <v>1435</v>
      </c>
      <c r="I994" s="81" t="s">
        <v>1436</v>
      </c>
      <c r="J994" s="81" t="s">
        <v>154</v>
      </c>
      <c r="K994" s="81" t="s">
        <v>1452</v>
      </c>
      <c r="L994" s="81" t="s">
        <v>58</v>
      </c>
      <c r="M994" s="164">
        <v>5.8399970000000003</v>
      </c>
      <c r="N994" s="165"/>
      <c r="O994" s="163"/>
      <c r="P994" s="82">
        <v>200</v>
      </c>
      <c r="Q994" s="164">
        <v>0</v>
      </c>
      <c r="R994" s="163"/>
      <c r="S994" s="81" t="s">
        <v>58</v>
      </c>
      <c r="T994" s="82">
        <v>0</v>
      </c>
      <c r="U994" s="82">
        <v>0</v>
      </c>
      <c r="V994" s="82">
        <v>0</v>
      </c>
      <c r="W994" s="82">
        <v>0</v>
      </c>
      <c r="X994" s="81"/>
      <c r="Y994" s="81"/>
      <c r="Z994" s="81" t="s">
        <v>58</v>
      </c>
      <c r="AA994" s="81" t="s">
        <v>58</v>
      </c>
      <c r="AB994" s="81" t="s">
        <v>58</v>
      </c>
      <c r="AC994" s="83">
        <v>46104</v>
      </c>
    </row>
    <row r="995" spans="2:29" ht="23" x14ac:dyDescent="0.35">
      <c r="B995" s="81" t="s">
        <v>338</v>
      </c>
      <c r="C995" s="81" t="s">
        <v>339</v>
      </c>
      <c r="D995" s="81" t="s">
        <v>340</v>
      </c>
      <c r="E995" s="81" t="s">
        <v>496</v>
      </c>
      <c r="F995" s="162" t="s">
        <v>497</v>
      </c>
      <c r="G995" s="163"/>
      <c r="H995" s="81" t="s">
        <v>1435</v>
      </c>
      <c r="I995" s="81" t="s">
        <v>1436</v>
      </c>
      <c r="J995" s="81" t="s">
        <v>154</v>
      </c>
      <c r="K995" s="81" t="s">
        <v>1453</v>
      </c>
      <c r="L995" s="81" t="s">
        <v>58</v>
      </c>
      <c r="M995" s="164">
        <v>5.8399970000000003</v>
      </c>
      <c r="N995" s="165"/>
      <c r="O995" s="163"/>
      <c r="P995" s="82">
        <v>200</v>
      </c>
      <c r="Q995" s="164">
        <v>0</v>
      </c>
      <c r="R995" s="163"/>
      <c r="S995" s="81" t="s">
        <v>58</v>
      </c>
      <c r="T995" s="82">
        <v>0</v>
      </c>
      <c r="U995" s="82">
        <v>0</v>
      </c>
      <c r="V995" s="82">
        <v>0</v>
      </c>
      <c r="W995" s="82">
        <v>0</v>
      </c>
      <c r="X995" s="81"/>
      <c r="Y995" s="81"/>
      <c r="Z995" s="81" t="s">
        <v>58</v>
      </c>
      <c r="AA995" s="81" t="s">
        <v>58</v>
      </c>
      <c r="AB995" s="81" t="s">
        <v>58</v>
      </c>
      <c r="AC995" s="83">
        <v>46104</v>
      </c>
    </row>
    <row r="996" spans="2:29" ht="23" x14ac:dyDescent="0.35">
      <c r="B996" s="81" t="s">
        <v>338</v>
      </c>
      <c r="C996" s="81" t="s">
        <v>339</v>
      </c>
      <c r="D996" s="81" t="s">
        <v>340</v>
      </c>
      <c r="E996" s="81" t="s">
        <v>496</v>
      </c>
      <c r="F996" s="162" t="s">
        <v>497</v>
      </c>
      <c r="G996" s="163"/>
      <c r="H996" s="81" t="s">
        <v>1435</v>
      </c>
      <c r="I996" s="81" t="s">
        <v>1436</v>
      </c>
      <c r="J996" s="81" t="s">
        <v>154</v>
      </c>
      <c r="K996" s="81" t="s">
        <v>1454</v>
      </c>
      <c r="L996" s="81" t="s">
        <v>58</v>
      </c>
      <c r="M996" s="164">
        <v>5.8399970000000003</v>
      </c>
      <c r="N996" s="165"/>
      <c r="O996" s="163"/>
      <c r="P996" s="82">
        <v>200</v>
      </c>
      <c r="Q996" s="164">
        <v>0</v>
      </c>
      <c r="R996" s="163"/>
      <c r="S996" s="81" t="s">
        <v>58</v>
      </c>
      <c r="T996" s="82">
        <v>0</v>
      </c>
      <c r="U996" s="82">
        <v>0</v>
      </c>
      <c r="V996" s="82">
        <v>0</v>
      </c>
      <c r="W996" s="82">
        <v>0</v>
      </c>
      <c r="X996" s="81"/>
      <c r="Y996" s="81"/>
      <c r="Z996" s="81" t="s">
        <v>58</v>
      </c>
      <c r="AA996" s="81" t="s">
        <v>58</v>
      </c>
      <c r="AB996" s="81" t="s">
        <v>58</v>
      </c>
      <c r="AC996" s="83">
        <v>46104</v>
      </c>
    </row>
    <row r="997" spans="2:29" ht="23" x14ac:dyDescent="0.35">
      <c r="B997" s="81" t="s">
        <v>338</v>
      </c>
      <c r="C997" s="81" t="s">
        <v>339</v>
      </c>
      <c r="D997" s="81" t="s">
        <v>340</v>
      </c>
      <c r="E997" s="81" t="s">
        <v>496</v>
      </c>
      <c r="F997" s="162" t="s">
        <v>497</v>
      </c>
      <c r="G997" s="163"/>
      <c r="H997" s="81" t="s">
        <v>1435</v>
      </c>
      <c r="I997" s="81" t="s">
        <v>1436</v>
      </c>
      <c r="J997" s="81" t="s">
        <v>154</v>
      </c>
      <c r="K997" s="81" t="s">
        <v>1455</v>
      </c>
      <c r="L997" s="81" t="s">
        <v>58</v>
      </c>
      <c r="M997" s="164">
        <v>5.8399970000000003</v>
      </c>
      <c r="N997" s="165"/>
      <c r="O997" s="163"/>
      <c r="P997" s="82">
        <v>200</v>
      </c>
      <c r="Q997" s="164">
        <v>0</v>
      </c>
      <c r="R997" s="163"/>
      <c r="S997" s="81" t="s">
        <v>58</v>
      </c>
      <c r="T997" s="82">
        <v>0</v>
      </c>
      <c r="U997" s="82">
        <v>0</v>
      </c>
      <c r="V997" s="82">
        <v>0</v>
      </c>
      <c r="W997" s="82">
        <v>0</v>
      </c>
      <c r="X997" s="81"/>
      <c r="Y997" s="81"/>
      <c r="Z997" s="81" t="s">
        <v>58</v>
      </c>
      <c r="AA997" s="81" t="s">
        <v>58</v>
      </c>
      <c r="AB997" s="81" t="s">
        <v>58</v>
      </c>
      <c r="AC997" s="83">
        <v>46104</v>
      </c>
    </row>
    <row r="998" spans="2:29" ht="23" x14ac:dyDescent="0.35">
      <c r="B998" s="81" t="s">
        <v>338</v>
      </c>
      <c r="C998" s="81" t="s">
        <v>339</v>
      </c>
      <c r="D998" s="81" t="s">
        <v>340</v>
      </c>
      <c r="E998" s="81" t="s">
        <v>496</v>
      </c>
      <c r="F998" s="162" t="s">
        <v>497</v>
      </c>
      <c r="G998" s="163"/>
      <c r="H998" s="81" t="s">
        <v>1435</v>
      </c>
      <c r="I998" s="81" t="s">
        <v>1436</v>
      </c>
      <c r="J998" s="81" t="s">
        <v>154</v>
      </c>
      <c r="K998" s="81" t="s">
        <v>1456</v>
      </c>
      <c r="L998" s="81" t="s">
        <v>58</v>
      </c>
      <c r="M998" s="164">
        <v>5.8399970000000003</v>
      </c>
      <c r="N998" s="165"/>
      <c r="O998" s="163"/>
      <c r="P998" s="82">
        <v>200</v>
      </c>
      <c r="Q998" s="164">
        <v>0</v>
      </c>
      <c r="R998" s="163"/>
      <c r="S998" s="81" t="s">
        <v>58</v>
      </c>
      <c r="T998" s="82">
        <v>0</v>
      </c>
      <c r="U998" s="82">
        <v>0</v>
      </c>
      <c r="V998" s="82">
        <v>0</v>
      </c>
      <c r="W998" s="82">
        <v>0</v>
      </c>
      <c r="X998" s="81"/>
      <c r="Y998" s="81"/>
      <c r="Z998" s="81" t="s">
        <v>58</v>
      </c>
      <c r="AA998" s="81" t="s">
        <v>58</v>
      </c>
      <c r="AB998" s="81" t="s">
        <v>58</v>
      </c>
      <c r="AC998" s="83">
        <v>46104</v>
      </c>
    </row>
    <row r="999" spans="2:29" ht="23" x14ac:dyDescent="0.35">
      <c r="B999" s="81" t="s">
        <v>338</v>
      </c>
      <c r="C999" s="81" t="s">
        <v>339</v>
      </c>
      <c r="D999" s="81" t="s">
        <v>340</v>
      </c>
      <c r="E999" s="81" t="s">
        <v>496</v>
      </c>
      <c r="F999" s="162" t="s">
        <v>497</v>
      </c>
      <c r="G999" s="163"/>
      <c r="H999" s="81" t="s">
        <v>1435</v>
      </c>
      <c r="I999" s="81" t="s">
        <v>1436</v>
      </c>
      <c r="J999" s="81" t="s">
        <v>154</v>
      </c>
      <c r="K999" s="81" t="s">
        <v>1457</v>
      </c>
      <c r="L999" s="81" t="s">
        <v>58</v>
      </c>
      <c r="M999" s="164">
        <v>5.8399970000000003</v>
      </c>
      <c r="N999" s="165"/>
      <c r="O999" s="163"/>
      <c r="P999" s="82">
        <v>200</v>
      </c>
      <c r="Q999" s="164">
        <v>0</v>
      </c>
      <c r="R999" s="163"/>
      <c r="S999" s="81" t="s">
        <v>58</v>
      </c>
      <c r="T999" s="82">
        <v>0</v>
      </c>
      <c r="U999" s="82">
        <v>0</v>
      </c>
      <c r="V999" s="82">
        <v>0</v>
      </c>
      <c r="W999" s="82">
        <v>0</v>
      </c>
      <c r="X999" s="81"/>
      <c r="Y999" s="81"/>
      <c r="Z999" s="81" t="s">
        <v>58</v>
      </c>
      <c r="AA999" s="81" t="s">
        <v>58</v>
      </c>
      <c r="AB999" s="81" t="s">
        <v>58</v>
      </c>
      <c r="AC999" s="83">
        <v>46104</v>
      </c>
    </row>
    <row r="1000" spans="2:29" ht="23" x14ac:dyDescent="0.35">
      <c r="B1000" s="81" t="s">
        <v>338</v>
      </c>
      <c r="C1000" s="81" t="s">
        <v>339</v>
      </c>
      <c r="D1000" s="81" t="s">
        <v>340</v>
      </c>
      <c r="E1000" s="81" t="s">
        <v>496</v>
      </c>
      <c r="F1000" s="162" t="s">
        <v>497</v>
      </c>
      <c r="G1000" s="163"/>
      <c r="H1000" s="81" t="s">
        <v>1435</v>
      </c>
      <c r="I1000" s="81" t="s">
        <v>1436</v>
      </c>
      <c r="J1000" s="81" t="s">
        <v>154</v>
      </c>
      <c r="K1000" s="81" t="s">
        <v>1458</v>
      </c>
      <c r="L1000" s="81" t="s">
        <v>58</v>
      </c>
      <c r="M1000" s="164">
        <v>5.8399970000000003</v>
      </c>
      <c r="N1000" s="165"/>
      <c r="O1000" s="163"/>
      <c r="P1000" s="82">
        <v>200</v>
      </c>
      <c r="Q1000" s="164">
        <v>0</v>
      </c>
      <c r="R1000" s="163"/>
      <c r="S1000" s="81" t="s">
        <v>58</v>
      </c>
      <c r="T1000" s="82">
        <v>0</v>
      </c>
      <c r="U1000" s="82">
        <v>0</v>
      </c>
      <c r="V1000" s="82">
        <v>0</v>
      </c>
      <c r="W1000" s="82">
        <v>0</v>
      </c>
      <c r="X1000" s="81"/>
      <c r="Y1000" s="81"/>
      <c r="Z1000" s="81" t="s">
        <v>58</v>
      </c>
      <c r="AA1000" s="81" t="s">
        <v>58</v>
      </c>
      <c r="AB1000" s="81" t="s">
        <v>58</v>
      </c>
      <c r="AC1000" s="83">
        <v>46104</v>
      </c>
    </row>
    <row r="1001" spans="2:29" ht="23" x14ac:dyDescent="0.35">
      <c r="B1001" s="81" t="s">
        <v>338</v>
      </c>
      <c r="C1001" s="81" t="s">
        <v>339</v>
      </c>
      <c r="D1001" s="81" t="s">
        <v>340</v>
      </c>
      <c r="E1001" s="81" t="s">
        <v>496</v>
      </c>
      <c r="F1001" s="162" t="s">
        <v>497</v>
      </c>
      <c r="G1001" s="163"/>
      <c r="H1001" s="81" t="s">
        <v>1435</v>
      </c>
      <c r="I1001" s="81" t="s">
        <v>1436</v>
      </c>
      <c r="J1001" s="81" t="s">
        <v>154</v>
      </c>
      <c r="K1001" s="81" t="s">
        <v>1459</v>
      </c>
      <c r="L1001" s="81" t="s">
        <v>58</v>
      </c>
      <c r="M1001" s="164">
        <v>2.0439989500000002</v>
      </c>
      <c r="N1001" s="165"/>
      <c r="O1001" s="163"/>
      <c r="P1001" s="82">
        <v>70</v>
      </c>
      <c r="Q1001" s="164">
        <v>0</v>
      </c>
      <c r="R1001" s="163"/>
      <c r="S1001" s="81" t="s">
        <v>58</v>
      </c>
      <c r="T1001" s="82">
        <v>0</v>
      </c>
      <c r="U1001" s="82">
        <v>0</v>
      </c>
      <c r="V1001" s="82">
        <v>0</v>
      </c>
      <c r="W1001" s="82">
        <v>0</v>
      </c>
      <c r="X1001" s="81"/>
      <c r="Y1001" s="81"/>
      <c r="Z1001" s="81" t="s">
        <v>58</v>
      </c>
      <c r="AA1001" s="81" t="s">
        <v>58</v>
      </c>
      <c r="AB1001" s="81" t="s">
        <v>58</v>
      </c>
      <c r="AC1001" s="83">
        <v>46104</v>
      </c>
    </row>
    <row r="1002" spans="2:29" ht="23" x14ac:dyDescent="0.35">
      <c r="B1002" s="81" t="s">
        <v>338</v>
      </c>
      <c r="C1002" s="81" t="s">
        <v>339</v>
      </c>
      <c r="D1002" s="81" t="s">
        <v>340</v>
      </c>
      <c r="E1002" s="81" t="s">
        <v>496</v>
      </c>
      <c r="F1002" s="162" t="s">
        <v>497</v>
      </c>
      <c r="G1002" s="163"/>
      <c r="H1002" s="81" t="s">
        <v>1435</v>
      </c>
      <c r="I1002" s="81" t="s">
        <v>1436</v>
      </c>
      <c r="J1002" s="81" t="s">
        <v>154</v>
      </c>
      <c r="K1002" s="81" t="s">
        <v>1460</v>
      </c>
      <c r="L1002" s="81" t="s">
        <v>58</v>
      </c>
      <c r="M1002" s="164">
        <v>6.0384434999999996</v>
      </c>
      <c r="N1002" s="165"/>
      <c r="O1002" s="163"/>
      <c r="P1002" s="82">
        <v>200</v>
      </c>
      <c r="Q1002" s="164">
        <v>0</v>
      </c>
      <c r="R1002" s="163"/>
      <c r="S1002" s="81" t="s">
        <v>58</v>
      </c>
      <c r="T1002" s="82">
        <v>0</v>
      </c>
      <c r="U1002" s="82">
        <v>0</v>
      </c>
      <c r="V1002" s="82">
        <v>0</v>
      </c>
      <c r="W1002" s="82">
        <v>0</v>
      </c>
      <c r="X1002" s="81"/>
      <c r="Y1002" s="81"/>
      <c r="Z1002" s="81" t="s">
        <v>58</v>
      </c>
      <c r="AA1002" s="81" t="s">
        <v>58</v>
      </c>
      <c r="AB1002" s="81" t="s">
        <v>58</v>
      </c>
      <c r="AC1002" s="83">
        <v>46102</v>
      </c>
    </row>
    <row r="1003" spans="2:29" ht="23" x14ac:dyDescent="0.35">
      <c r="B1003" s="81" t="s">
        <v>338</v>
      </c>
      <c r="C1003" s="81" t="s">
        <v>339</v>
      </c>
      <c r="D1003" s="81" t="s">
        <v>340</v>
      </c>
      <c r="E1003" s="81" t="s">
        <v>496</v>
      </c>
      <c r="F1003" s="162" t="s">
        <v>497</v>
      </c>
      <c r="G1003" s="163"/>
      <c r="H1003" s="81" t="s">
        <v>1435</v>
      </c>
      <c r="I1003" s="81" t="s">
        <v>1436</v>
      </c>
      <c r="J1003" s="81" t="s">
        <v>154</v>
      </c>
      <c r="K1003" s="81" t="s">
        <v>1461</v>
      </c>
      <c r="L1003" s="81" t="s">
        <v>58</v>
      </c>
      <c r="M1003" s="164">
        <v>6.0384434999999996</v>
      </c>
      <c r="N1003" s="165"/>
      <c r="O1003" s="163"/>
      <c r="P1003" s="82">
        <v>200</v>
      </c>
      <c r="Q1003" s="164">
        <v>0</v>
      </c>
      <c r="R1003" s="163"/>
      <c r="S1003" s="81" t="s">
        <v>58</v>
      </c>
      <c r="T1003" s="82">
        <v>0</v>
      </c>
      <c r="U1003" s="82">
        <v>0</v>
      </c>
      <c r="V1003" s="82">
        <v>0</v>
      </c>
      <c r="W1003" s="82">
        <v>0</v>
      </c>
      <c r="X1003" s="81"/>
      <c r="Y1003" s="81"/>
      <c r="Z1003" s="81" t="s">
        <v>58</v>
      </c>
      <c r="AA1003" s="81" t="s">
        <v>58</v>
      </c>
      <c r="AB1003" s="81" t="s">
        <v>58</v>
      </c>
      <c r="AC1003" s="83">
        <v>46102</v>
      </c>
    </row>
    <row r="1004" spans="2:29" ht="23" x14ac:dyDescent="0.35">
      <c r="B1004" s="81" t="s">
        <v>338</v>
      </c>
      <c r="C1004" s="81" t="s">
        <v>339</v>
      </c>
      <c r="D1004" s="81" t="s">
        <v>340</v>
      </c>
      <c r="E1004" s="81" t="s">
        <v>496</v>
      </c>
      <c r="F1004" s="162" t="s">
        <v>497</v>
      </c>
      <c r="G1004" s="163"/>
      <c r="H1004" s="81" t="s">
        <v>1435</v>
      </c>
      <c r="I1004" s="81" t="s">
        <v>1436</v>
      </c>
      <c r="J1004" s="81" t="s">
        <v>154</v>
      </c>
      <c r="K1004" s="81" t="s">
        <v>1462</v>
      </c>
      <c r="L1004" s="81" t="s">
        <v>58</v>
      </c>
      <c r="M1004" s="164">
        <v>6.0384434999999996</v>
      </c>
      <c r="N1004" s="165"/>
      <c r="O1004" s="163"/>
      <c r="P1004" s="82">
        <v>200</v>
      </c>
      <c r="Q1004" s="164">
        <v>0</v>
      </c>
      <c r="R1004" s="163"/>
      <c r="S1004" s="81" t="s">
        <v>58</v>
      </c>
      <c r="T1004" s="82">
        <v>0</v>
      </c>
      <c r="U1004" s="82">
        <v>0</v>
      </c>
      <c r="V1004" s="82">
        <v>0</v>
      </c>
      <c r="W1004" s="82">
        <v>0</v>
      </c>
      <c r="X1004" s="81"/>
      <c r="Y1004" s="81"/>
      <c r="Z1004" s="81" t="s">
        <v>58</v>
      </c>
      <c r="AA1004" s="81" t="s">
        <v>58</v>
      </c>
      <c r="AB1004" s="81" t="s">
        <v>58</v>
      </c>
      <c r="AC1004" s="83">
        <v>46102</v>
      </c>
    </row>
    <row r="1005" spans="2:29" ht="23" x14ac:dyDescent="0.35">
      <c r="B1005" s="81" t="s">
        <v>338</v>
      </c>
      <c r="C1005" s="81" t="s">
        <v>339</v>
      </c>
      <c r="D1005" s="81" t="s">
        <v>340</v>
      </c>
      <c r="E1005" s="81" t="s">
        <v>496</v>
      </c>
      <c r="F1005" s="162" t="s">
        <v>497</v>
      </c>
      <c r="G1005" s="163"/>
      <c r="H1005" s="81" t="s">
        <v>1435</v>
      </c>
      <c r="I1005" s="81" t="s">
        <v>1436</v>
      </c>
      <c r="J1005" s="81" t="s">
        <v>154</v>
      </c>
      <c r="K1005" s="81" t="s">
        <v>1463</v>
      </c>
      <c r="L1005" s="81" t="s">
        <v>58</v>
      </c>
      <c r="M1005" s="164">
        <v>6.0384434999999996</v>
      </c>
      <c r="N1005" s="165"/>
      <c r="O1005" s="163"/>
      <c r="P1005" s="82">
        <v>200</v>
      </c>
      <c r="Q1005" s="164">
        <v>0</v>
      </c>
      <c r="R1005" s="163"/>
      <c r="S1005" s="81" t="s">
        <v>58</v>
      </c>
      <c r="T1005" s="82">
        <v>0</v>
      </c>
      <c r="U1005" s="82">
        <v>0</v>
      </c>
      <c r="V1005" s="82">
        <v>0</v>
      </c>
      <c r="W1005" s="82">
        <v>0</v>
      </c>
      <c r="X1005" s="81"/>
      <c r="Y1005" s="81"/>
      <c r="Z1005" s="81" t="s">
        <v>58</v>
      </c>
      <c r="AA1005" s="81" t="s">
        <v>58</v>
      </c>
      <c r="AB1005" s="81" t="s">
        <v>58</v>
      </c>
      <c r="AC1005" s="83">
        <v>46102</v>
      </c>
    </row>
    <row r="1006" spans="2:29" ht="23" x14ac:dyDescent="0.35">
      <c r="B1006" s="81" t="s">
        <v>338</v>
      </c>
      <c r="C1006" s="81" t="s">
        <v>339</v>
      </c>
      <c r="D1006" s="81" t="s">
        <v>340</v>
      </c>
      <c r="E1006" s="81" t="s">
        <v>496</v>
      </c>
      <c r="F1006" s="162" t="s">
        <v>497</v>
      </c>
      <c r="G1006" s="163"/>
      <c r="H1006" s="81" t="s">
        <v>1435</v>
      </c>
      <c r="I1006" s="81" t="s">
        <v>1436</v>
      </c>
      <c r="J1006" s="81" t="s">
        <v>154</v>
      </c>
      <c r="K1006" s="81" t="s">
        <v>1464</v>
      </c>
      <c r="L1006" s="81" t="s">
        <v>58</v>
      </c>
      <c r="M1006" s="164">
        <v>6.0384434999999996</v>
      </c>
      <c r="N1006" s="165"/>
      <c r="O1006" s="163"/>
      <c r="P1006" s="82">
        <v>200</v>
      </c>
      <c r="Q1006" s="164">
        <v>0</v>
      </c>
      <c r="R1006" s="163"/>
      <c r="S1006" s="81" t="s">
        <v>58</v>
      </c>
      <c r="T1006" s="82">
        <v>0</v>
      </c>
      <c r="U1006" s="82">
        <v>0</v>
      </c>
      <c r="V1006" s="82">
        <v>0</v>
      </c>
      <c r="W1006" s="82">
        <v>0</v>
      </c>
      <c r="X1006" s="81"/>
      <c r="Y1006" s="81"/>
      <c r="Z1006" s="81" t="s">
        <v>58</v>
      </c>
      <c r="AA1006" s="81" t="s">
        <v>58</v>
      </c>
      <c r="AB1006" s="81" t="s">
        <v>58</v>
      </c>
      <c r="AC1006" s="83">
        <v>46102</v>
      </c>
    </row>
    <row r="1007" spans="2:29" ht="23" x14ac:dyDescent="0.35">
      <c r="B1007" s="81" t="s">
        <v>338</v>
      </c>
      <c r="C1007" s="81" t="s">
        <v>339</v>
      </c>
      <c r="D1007" s="81" t="s">
        <v>340</v>
      </c>
      <c r="E1007" s="81" t="s">
        <v>496</v>
      </c>
      <c r="F1007" s="162" t="s">
        <v>497</v>
      </c>
      <c r="G1007" s="163"/>
      <c r="H1007" s="81" t="s">
        <v>1435</v>
      </c>
      <c r="I1007" s="81" t="s">
        <v>1436</v>
      </c>
      <c r="J1007" s="81" t="s">
        <v>154</v>
      </c>
      <c r="K1007" s="81" t="s">
        <v>1465</v>
      </c>
      <c r="L1007" s="81" t="s">
        <v>58</v>
      </c>
      <c r="M1007" s="164">
        <v>6.0384434999999996</v>
      </c>
      <c r="N1007" s="165"/>
      <c r="O1007" s="163"/>
      <c r="P1007" s="82">
        <v>200</v>
      </c>
      <c r="Q1007" s="164">
        <v>0</v>
      </c>
      <c r="R1007" s="163"/>
      <c r="S1007" s="81" t="s">
        <v>58</v>
      </c>
      <c r="T1007" s="82">
        <v>0</v>
      </c>
      <c r="U1007" s="82">
        <v>0</v>
      </c>
      <c r="V1007" s="82">
        <v>0</v>
      </c>
      <c r="W1007" s="82">
        <v>0</v>
      </c>
      <c r="X1007" s="81"/>
      <c r="Y1007" s="81"/>
      <c r="Z1007" s="81" t="s">
        <v>58</v>
      </c>
      <c r="AA1007" s="81" t="s">
        <v>58</v>
      </c>
      <c r="AB1007" s="81" t="s">
        <v>58</v>
      </c>
      <c r="AC1007" s="83">
        <v>46102</v>
      </c>
    </row>
    <row r="1008" spans="2:29" ht="23" x14ac:dyDescent="0.35">
      <c r="B1008" s="81" t="s">
        <v>338</v>
      </c>
      <c r="C1008" s="81" t="s">
        <v>339</v>
      </c>
      <c r="D1008" s="81" t="s">
        <v>340</v>
      </c>
      <c r="E1008" s="81" t="s">
        <v>496</v>
      </c>
      <c r="F1008" s="162" t="s">
        <v>497</v>
      </c>
      <c r="G1008" s="163"/>
      <c r="H1008" s="81" t="s">
        <v>1435</v>
      </c>
      <c r="I1008" s="81" t="s">
        <v>1436</v>
      </c>
      <c r="J1008" s="81" t="s">
        <v>154</v>
      </c>
      <c r="K1008" s="81" t="s">
        <v>1466</v>
      </c>
      <c r="L1008" s="81" t="s">
        <v>58</v>
      </c>
      <c r="M1008" s="164">
        <v>6.0384434999999996</v>
      </c>
      <c r="N1008" s="165"/>
      <c r="O1008" s="163"/>
      <c r="P1008" s="82">
        <v>200</v>
      </c>
      <c r="Q1008" s="164">
        <v>0</v>
      </c>
      <c r="R1008" s="163"/>
      <c r="S1008" s="81" t="s">
        <v>58</v>
      </c>
      <c r="T1008" s="82">
        <v>0</v>
      </c>
      <c r="U1008" s="82">
        <v>0</v>
      </c>
      <c r="V1008" s="82">
        <v>0</v>
      </c>
      <c r="W1008" s="82">
        <v>0</v>
      </c>
      <c r="X1008" s="81"/>
      <c r="Y1008" s="81"/>
      <c r="Z1008" s="81" t="s">
        <v>58</v>
      </c>
      <c r="AA1008" s="81" t="s">
        <v>58</v>
      </c>
      <c r="AB1008" s="81" t="s">
        <v>58</v>
      </c>
      <c r="AC1008" s="83">
        <v>46102</v>
      </c>
    </row>
    <row r="1009" spans="2:29" ht="23" x14ac:dyDescent="0.35">
      <c r="B1009" s="81" t="s">
        <v>338</v>
      </c>
      <c r="C1009" s="81" t="s">
        <v>339</v>
      </c>
      <c r="D1009" s="81" t="s">
        <v>340</v>
      </c>
      <c r="E1009" s="81" t="s">
        <v>496</v>
      </c>
      <c r="F1009" s="162" t="s">
        <v>497</v>
      </c>
      <c r="G1009" s="163"/>
      <c r="H1009" s="81" t="s">
        <v>1435</v>
      </c>
      <c r="I1009" s="81" t="s">
        <v>1436</v>
      </c>
      <c r="J1009" s="81" t="s">
        <v>154</v>
      </c>
      <c r="K1009" s="81" t="s">
        <v>1467</v>
      </c>
      <c r="L1009" s="81" t="s">
        <v>58</v>
      </c>
      <c r="M1009" s="164">
        <v>4.8005625824999996</v>
      </c>
      <c r="N1009" s="165"/>
      <c r="O1009" s="163"/>
      <c r="P1009" s="82">
        <v>159</v>
      </c>
      <c r="Q1009" s="164">
        <v>0</v>
      </c>
      <c r="R1009" s="163"/>
      <c r="S1009" s="81" t="s">
        <v>58</v>
      </c>
      <c r="T1009" s="82">
        <v>0</v>
      </c>
      <c r="U1009" s="82">
        <v>0</v>
      </c>
      <c r="V1009" s="82">
        <v>0</v>
      </c>
      <c r="W1009" s="82">
        <v>0</v>
      </c>
      <c r="X1009" s="81"/>
      <c r="Y1009" s="81"/>
      <c r="Z1009" s="81" t="s">
        <v>58</v>
      </c>
      <c r="AA1009" s="81" t="s">
        <v>58</v>
      </c>
      <c r="AB1009" s="81" t="s">
        <v>58</v>
      </c>
      <c r="AC1009" s="83">
        <v>46102</v>
      </c>
    </row>
    <row r="1010" spans="2:29" ht="23" x14ac:dyDescent="0.35">
      <c r="B1010" s="81" t="s">
        <v>338</v>
      </c>
      <c r="C1010" s="81" t="s">
        <v>339</v>
      </c>
      <c r="D1010" s="81" t="s">
        <v>340</v>
      </c>
      <c r="E1010" s="81" t="s">
        <v>496</v>
      </c>
      <c r="F1010" s="162" t="s">
        <v>497</v>
      </c>
      <c r="G1010" s="163"/>
      <c r="H1010" s="81" t="s">
        <v>1435</v>
      </c>
      <c r="I1010" s="81" t="s">
        <v>1436</v>
      </c>
      <c r="J1010" s="81" t="s">
        <v>154</v>
      </c>
      <c r="K1010" s="81" t="s">
        <v>1468</v>
      </c>
      <c r="L1010" s="81" t="s">
        <v>58</v>
      </c>
      <c r="M1010" s="164">
        <v>6.2368899999999998</v>
      </c>
      <c r="N1010" s="165"/>
      <c r="O1010" s="163"/>
      <c r="P1010" s="82">
        <v>200</v>
      </c>
      <c r="Q1010" s="164">
        <v>0</v>
      </c>
      <c r="R1010" s="163"/>
      <c r="S1010" s="81" t="s">
        <v>58</v>
      </c>
      <c r="T1010" s="82">
        <v>0</v>
      </c>
      <c r="U1010" s="82">
        <v>0</v>
      </c>
      <c r="V1010" s="82">
        <v>0</v>
      </c>
      <c r="W1010" s="82">
        <v>0</v>
      </c>
      <c r="X1010" s="81"/>
      <c r="Y1010" s="81"/>
      <c r="Z1010" s="81" t="s">
        <v>58</v>
      </c>
      <c r="AA1010" s="81" t="s">
        <v>58</v>
      </c>
      <c r="AB1010" s="81" t="s">
        <v>58</v>
      </c>
      <c r="AC1010" s="83">
        <v>46102</v>
      </c>
    </row>
    <row r="1011" spans="2:29" ht="23" x14ac:dyDescent="0.35">
      <c r="B1011" s="81" t="s">
        <v>338</v>
      </c>
      <c r="C1011" s="81" t="s">
        <v>339</v>
      </c>
      <c r="D1011" s="81" t="s">
        <v>340</v>
      </c>
      <c r="E1011" s="81" t="s">
        <v>496</v>
      </c>
      <c r="F1011" s="162" t="s">
        <v>497</v>
      </c>
      <c r="G1011" s="163"/>
      <c r="H1011" s="81" t="s">
        <v>1435</v>
      </c>
      <c r="I1011" s="81" t="s">
        <v>1436</v>
      </c>
      <c r="J1011" s="81" t="s">
        <v>154</v>
      </c>
      <c r="K1011" s="81" t="s">
        <v>1469</v>
      </c>
      <c r="L1011" s="81" t="s">
        <v>58</v>
      </c>
      <c r="M1011" s="164">
        <v>6.2368899999999998</v>
      </c>
      <c r="N1011" s="165"/>
      <c r="O1011" s="163"/>
      <c r="P1011" s="82">
        <v>200</v>
      </c>
      <c r="Q1011" s="164">
        <v>0</v>
      </c>
      <c r="R1011" s="163"/>
      <c r="S1011" s="81" t="s">
        <v>58</v>
      </c>
      <c r="T1011" s="82">
        <v>0</v>
      </c>
      <c r="U1011" s="82">
        <v>0</v>
      </c>
      <c r="V1011" s="82">
        <v>0</v>
      </c>
      <c r="W1011" s="82">
        <v>0</v>
      </c>
      <c r="X1011" s="81"/>
      <c r="Y1011" s="81"/>
      <c r="Z1011" s="81" t="s">
        <v>58</v>
      </c>
      <c r="AA1011" s="81" t="s">
        <v>58</v>
      </c>
      <c r="AB1011" s="81" t="s">
        <v>58</v>
      </c>
      <c r="AC1011" s="83">
        <v>46102</v>
      </c>
    </row>
    <row r="1012" spans="2:29" ht="23" x14ac:dyDescent="0.35">
      <c r="B1012" s="81" t="s">
        <v>338</v>
      </c>
      <c r="C1012" s="81" t="s">
        <v>339</v>
      </c>
      <c r="D1012" s="81" t="s">
        <v>340</v>
      </c>
      <c r="E1012" s="81" t="s">
        <v>496</v>
      </c>
      <c r="F1012" s="162" t="s">
        <v>497</v>
      </c>
      <c r="G1012" s="163"/>
      <c r="H1012" s="81" t="s">
        <v>1435</v>
      </c>
      <c r="I1012" s="81" t="s">
        <v>1436</v>
      </c>
      <c r="J1012" s="81" t="s">
        <v>154</v>
      </c>
      <c r="K1012" s="81" t="s">
        <v>1470</v>
      </c>
      <c r="L1012" s="81" t="s">
        <v>58</v>
      </c>
      <c r="M1012" s="164">
        <v>6.2368899999999998</v>
      </c>
      <c r="N1012" s="165"/>
      <c r="O1012" s="163"/>
      <c r="P1012" s="82">
        <v>200</v>
      </c>
      <c r="Q1012" s="164">
        <v>0</v>
      </c>
      <c r="R1012" s="163"/>
      <c r="S1012" s="81" t="s">
        <v>58</v>
      </c>
      <c r="T1012" s="82">
        <v>0</v>
      </c>
      <c r="U1012" s="82">
        <v>0</v>
      </c>
      <c r="V1012" s="82">
        <v>0</v>
      </c>
      <c r="W1012" s="82">
        <v>0</v>
      </c>
      <c r="X1012" s="81"/>
      <c r="Y1012" s="81"/>
      <c r="Z1012" s="81" t="s">
        <v>58</v>
      </c>
      <c r="AA1012" s="81" t="s">
        <v>58</v>
      </c>
      <c r="AB1012" s="81" t="s">
        <v>58</v>
      </c>
      <c r="AC1012" s="83">
        <v>46102</v>
      </c>
    </row>
    <row r="1013" spans="2:29" ht="23" x14ac:dyDescent="0.35">
      <c r="B1013" s="81" t="s">
        <v>338</v>
      </c>
      <c r="C1013" s="81" t="s">
        <v>339</v>
      </c>
      <c r="D1013" s="81" t="s">
        <v>340</v>
      </c>
      <c r="E1013" s="81" t="s">
        <v>496</v>
      </c>
      <c r="F1013" s="162" t="s">
        <v>497</v>
      </c>
      <c r="G1013" s="163"/>
      <c r="H1013" s="81" t="s">
        <v>1435</v>
      </c>
      <c r="I1013" s="81" t="s">
        <v>1436</v>
      </c>
      <c r="J1013" s="81" t="s">
        <v>154</v>
      </c>
      <c r="K1013" s="81" t="s">
        <v>1471</v>
      </c>
      <c r="L1013" s="81" t="s">
        <v>58</v>
      </c>
      <c r="M1013" s="164">
        <v>6.2368899999999998</v>
      </c>
      <c r="N1013" s="165"/>
      <c r="O1013" s="163"/>
      <c r="P1013" s="82">
        <v>200</v>
      </c>
      <c r="Q1013" s="164">
        <v>0</v>
      </c>
      <c r="R1013" s="163"/>
      <c r="S1013" s="81" t="s">
        <v>58</v>
      </c>
      <c r="T1013" s="82">
        <v>0</v>
      </c>
      <c r="U1013" s="82">
        <v>0</v>
      </c>
      <c r="V1013" s="82">
        <v>0</v>
      </c>
      <c r="W1013" s="82">
        <v>0</v>
      </c>
      <c r="X1013" s="81"/>
      <c r="Y1013" s="81"/>
      <c r="Z1013" s="81" t="s">
        <v>58</v>
      </c>
      <c r="AA1013" s="81" t="s">
        <v>58</v>
      </c>
      <c r="AB1013" s="81" t="s">
        <v>58</v>
      </c>
      <c r="AC1013" s="83">
        <v>46102</v>
      </c>
    </row>
    <row r="1014" spans="2:29" ht="23" x14ac:dyDescent="0.35">
      <c r="B1014" s="81" t="s">
        <v>338</v>
      </c>
      <c r="C1014" s="81" t="s">
        <v>339</v>
      </c>
      <c r="D1014" s="81" t="s">
        <v>340</v>
      </c>
      <c r="E1014" s="81" t="s">
        <v>496</v>
      </c>
      <c r="F1014" s="162" t="s">
        <v>497</v>
      </c>
      <c r="G1014" s="163"/>
      <c r="H1014" s="81" t="s">
        <v>1435</v>
      </c>
      <c r="I1014" s="81" t="s">
        <v>1436</v>
      </c>
      <c r="J1014" s="81" t="s">
        <v>154</v>
      </c>
      <c r="K1014" s="81" t="s">
        <v>1472</v>
      </c>
      <c r="L1014" s="81" t="s">
        <v>58</v>
      </c>
      <c r="M1014" s="164">
        <v>5.6443854499999997</v>
      </c>
      <c r="N1014" s="165"/>
      <c r="O1014" s="163"/>
      <c r="P1014" s="82">
        <v>181</v>
      </c>
      <c r="Q1014" s="164">
        <v>0</v>
      </c>
      <c r="R1014" s="163"/>
      <c r="S1014" s="81" t="s">
        <v>58</v>
      </c>
      <c r="T1014" s="82">
        <v>0</v>
      </c>
      <c r="U1014" s="82">
        <v>0</v>
      </c>
      <c r="V1014" s="82">
        <v>0</v>
      </c>
      <c r="W1014" s="82">
        <v>0</v>
      </c>
      <c r="X1014" s="81"/>
      <c r="Y1014" s="81"/>
      <c r="Z1014" s="81" t="s">
        <v>58</v>
      </c>
      <c r="AA1014" s="81" t="s">
        <v>58</v>
      </c>
      <c r="AB1014" s="81" t="s">
        <v>58</v>
      </c>
      <c r="AC1014" s="83">
        <v>46102</v>
      </c>
    </row>
    <row r="1015" spans="2:29" ht="23" x14ac:dyDescent="0.35">
      <c r="B1015" s="81" t="s">
        <v>338</v>
      </c>
      <c r="C1015" s="81" t="s">
        <v>339</v>
      </c>
      <c r="D1015" s="81" t="s">
        <v>340</v>
      </c>
      <c r="E1015" s="81" t="s">
        <v>496</v>
      </c>
      <c r="F1015" s="162" t="s">
        <v>497</v>
      </c>
      <c r="G1015" s="163"/>
      <c r="H1015" s="81" t="s">
        <v>1435</v>
      </c>
      <c r="I1015" s="81" t="s">
        <v>1436</v>
      </c>
      <c r="J1015" s="81" t="s">
        <v>154</v>
      </c>
      <c r="K1015" s="81" t="s">
        <v>1473</v>
      </c>
      <c r="L1015" s="81" t="s">
        <v>58</v>
      </c>
      <c r="M1015" s="164">
        <v>7.2404622999999999</v>
      </c>
      <c r="N1015" s="165"/>
      <c r="O1015" s="163"/>
      <c r="P1015" s="82">
        <v>200</v>
      </c>
      <c r="Q1015" s="164">
        <v>0</v>
      </c>
      <c r="R1015" s="163"/>
      <c r="S1015" s="81" t="s">
        <v>58</v>
      </c>
      <c r="T1015" s="82">
        <v>0</v>
      </c>
      <c r="U1015" s="82">
        <v>0</v>
      </c>
      <c r="V1015" s="82">
        <v>0</v>
      </c>
      <c r="W1015" s="82">
        <v>0</v>
      </c>
      <c r="X1015" s="81"/>
      <c r="Y1015" s="81"/>
      <c r="Z1015" s="81" t="s">
        <v>58</v>
      </c>
      <c r="AA1015" s="81" t="s">
        <v>58</v>
      </c>
      <c r="AB1015" s="81" t="s">
        <v>58</v>
      </c>
      <c r="AC1015" s="83">
        <v>46104</v>
      </c>
    </row>
    <row r="1016" spans="2:29" ht="23" x14ac:dyDescent="0.35">
      <c r="B1016" s="81" t="s">
        <v>338</v>
      </c>
      <c r="C1016" s="81" t="s">
        <v>339</v>
      </c>
      <c r="D1016" s="81" t="s">
        <v>340</v>
      </c>
      <c r="E1016" s="81" t="s">
        <v>496</v>
      </c>
      <c r="F1016" s="162" t="s">
        <v>497</v>
      </c>
      <c r="G1016" s="163"/>
      <c r="H1016" s="81" t="s">
        <v>1435</v>
      </c>
      <c r="I1016" s="81" t="s">
        <v>1436</v>
      </c>
      <c r="J1016" s="81" t="s">
        <v>154</v>
      </c>
      <c r="K1016" s="81" t="s">
        <v>1474</v>
      </c>
      <c r="L1016" s="81" t="s">
        <v>58</v>
      </c>
      <c r="M1016" s="164">
        <v>5.575155971</v>
      </c>
      <c r="N1016" s="165"/>
      <c r="O1016" s="163"/>
      <c r="P1016" s="82">
        <v>154</v>
      </c>
      <c r="Q1016" s="164">
        <v>0</v>
      </c>
      <c r="R1016" s="163"/>
      <c r="S1016" s="81" t="s">
        <v>58</v>
      </c>
      <c r="T1016" s="82">
        <v>0</v>
      </c>
      <c r="U1016" s="82">
        <v>0</v>
      </c>
      <c r="V1016" s="82">
        <v>0</v>
      </c>
      <c r="W1016" s="82">
        <v>0</v>
      </c>
      <c r="X1016" s="81"/>
      <c r="Y1016" s="81"/>
      <c r="Z1016" s="81" t="s">
        <v>58</v>
      </c>
      <c r="AA1016" s="81" t="s">
        <v>58</v>
      </c>
      <c r="AB1016" s="81" t="s">
        <v>58</v>
      </c>
      <c r="AC1016" s="83">
        <v>46104</v>
      </c>
    </row>
    <row r="1017" spans="2:29" ht="23" x14ac:dyDescent="0.35">
      <c r="B1017" s="81" t="s">
        <v>338</v>
      </c>
      <c r="C1017" s="81" t="s">
        <v>339</v>
      </c>
      <c r="D1017" s="81" t="s">
        <v>340</v>
      </c>
      <c r="E1017" s="81" t="s">
        <v>496</v>
      </c>
      <c r="F1017" s="162" t="s">
        <v>497</v>
      </c>
      <c r="G1017" s="163"/>
      <c r="H1017" s="81" t="s">
        <v>1475</v>
      </c>
      <c r="I1017" s="81" t="s">
        <v>1476</v>
      </c>
      <c r="J1017" s="81" t="s">
        <v>153</v>
      </c>
      <c r="K1017" s="81" t="s">
        <v>1477</v>
      </c>
      <c r="L1017" s="81" t="s">
        <v>58</v>
      </c>
      <c r="M1017" s="164">
        <v>4.4225219999999998</v>
      </c>
      <c r="N1017" s="165"/>
      <c r="O1017" s="163"/>
      <c r="P1017" s="82">
        <v>400</v>
      </c>
      <c r="Q1017" s="164">
        <v>0</v>
      </c>
      <c r="R1017" s="163"/>
      <c r="S1017" s="81" t="s">
        <v>58</v>
      </c>
      <c r="T1017" s="82">
        <v>0</v>
      </c>
      <c r="U1017" s="82">
        <v>0</v>
      </c>
      <c r="V1017" s="82">
        <v>0</v>
      </c>
      <c r="W1017" s="82">
        <v>0</v>
      </c>
      <c r="X1017" s="81"/>
      <c r="Y1017" s="81"/>
      <c r="Z1017" s="81" t="s">
        <v>58</v>
      </c>
      <c r="AA1017" s="81" t="s">
        <v>58</v>
      </c>
      <c r="AB1017" s="81" t="s">
        <v>58</v>
      </c>
      <c r="AC1017" s="83">
        <v>46102</v>
      </c>
    </row>
    <row r="1018" spans="2:29" ht="23" x14ac:dyDescent="0.35">
      <c r="B1018" s="81" t="s">
        <v>338</v>
      </c>
      <c r="C1018" s="81" t="s">
        <v>339</v>
      </c>
      <c r="D1018" s="81" t="s">
        <v>340</v>
      </c>
      <c r="E1018" s="81" t="s">
        <v>496</v>
      </c>
      <c r="F1018" s="162" t="s">
        <v>497</v>
      </c>
      <c r="G1018" s="163"/>
      <c r="H1018" s="81" t="s">
        <v>1475</v>
      </c>
      <c r="I1018" s="81" t="s">
        <v>1476</v>
      </c>
      <c r="J1018" s="81" t="s">
        <v>153</v>
      </c>
      <c r="K1018" s="81" t="s">
        <v>1478</v>
      </c>
      <c r="L1018" s="81" t="s">
        <v>58</v>
      </c>
      <c r="M1018" s="164">
        <v>4.4225219999999998</v>
      </c>
      <c r="N1018" s="165"/>
      <c r="O1018" s="163"/>
      <c r="P1018" s="82">
        <v>400</v>
      </c>
      <c r="Q1018" s="164">
        <v>0</v>
      </c>
      <c r="R1018" s="163"/>
      <c r="S1018" s="81" t="s">
        <v>58</v>
      </c>
      <c r="T1018" s="82">
        <v>0</v>
      </c>
      <c r="U1018" s="82">
        <v>0</v>
      </c>
      <c r="V1018" s="82">
        <v>0</v>
      </c>
      <c r="W1018" s="82">
        <v>0</v>
      </c>
      <c r="X1018" s="81"/>
      <c r="Y1018" s="81"/>
      <c r="Z1018" s="81" t="s">
        <v>58</v>
      </c>
      <c r="AA1018" s="81" t="s">
        <v>58</v>
      </c>
      <c r="AB1018" s="81" t="s">
        <v>58</v>
      </c>
      <c r="AC1018" s="83">
        <v>46102</v>
      </c>
    </row>
    <row r="1019" spans="2:29" ht="23" x14ac:dyDescent="0.35">
      <c r="B1019" s="81" t="s">
        <v>338</v>
      </c>
      <c r="C1019" s="81" t="s">
        <v>339</v>
      </c>
      <c r="D1019" s="81" t="s">
        <v>340</v>
      </c>
      <c r="E1019" s="81" t="s">
        <v>496</v>
      </c>
      <c r="F1019" s="162" t="s">
        <v>497</v>
      </c>
      <c r="G1019" s="163"/>
      <c r="H1019" s="81" t="s">
        <v>1475</v>
      </c>
      <c r="I1019" s="81" t="s">
        <v>1476</v>
      </c>
      <c r="J1019" s="81" t="s">
        <v>153</v>
      </c>
      <c r="K1019" s="81" t="s">
        <v>1479</v>
      </c>
      <c r="L1019" s="81" t="s">
        <v>58</v>
      </c>
      <c r="M1019" s="164">
        <v>4.6878733199999996</v>
      </c>
      <c r="N1019" s="165"/>
      <c r="O1019" s="163"/>
      <c r="P1019" s="82">
        <v>424</v>
      </c>
      <c r="Q1019" s="164">
        <v>0</v>
      </c>
      <c r="R1019" s="163"/>
      <c r="S1019" s="81" t="s">
        <v>58</v>
      </c>
      <c r="T1019" s="82">
        <v>0</v>
      </c>
      <c r="U1019" s="82">
        <v>0</v>
      </c>
      <c r="V1019" s="82">
        <v>0</v>
      </c>
      <c r="W1019" s="82">
        <v>0</v>
      </c>
      <c r="X1019" s="81"/>
      <c r="Y1019" s="81"/>
      <c r="Z1019" s="81" t="s">
        <v>58</v>
      </c>
      <c r="AA1019" s="81" t="s">
        <v>58</v>
      </c>
      <c r="AB1019" s="81" t="s">
        <v>58</v>
      </c>
      <c r="AC1019" s="83">
        <v>46102</v>
      </c>
    </row>
    <row r="1020" spans="2:29" ht="23" x14ac:dyDescent="0.35">
      <c r="B1020" s="81" t="s">
        <v>338</v>
      </c>
      <c r="C1020" s="81" t="s">
        <v>339</v>
      </c>
      <c r="D1020" s="81" t="s">
        <v>340</v>
      </c>
      <c r="E1020" s="81" t="s">
        <v>496</v>
      </c>
      <c r="F1020" s="162" t="s">
        <v>497</v>
      </c>
      <c r="G1020" s="163"/>
      <c r="H1020" s="81" t="s">
        <v>1475</v>
      </c>
      <c r="I1020" s="81" t="s">
        <v>1476</v>
      </c>
      <c r="J1020" s="81" t="s">
        <v>153</v>
      </c>
      <c r="K1020" s="81" t="s">
        <v>1480</v>
      </c>
      <c r="L1020" s="81" t="s">
        <v>58</v>
      </c>
      <c r="M1020" s="164">
        <v>4.53592</v>
      </c>
      <c r="N1020" s="165"/>
      <c r="O1020" s="163"/>
      <c r="P1020" s="82">
        <v>400</v>
      </c>
      <c r="Q1020" s="164">
        <v>0</v>
      </c>
      <c r="R1020" s="163"/>
      <c r="S1020" s="81" t="s">
        <v>58</v>
      </c>
      <c r="T1020" s="82">
        <v>0</v>
      </c>
      <c r="U1020" s="82">
        <v>0</v>
      </c>
      <c r="V1020" s="82">
        <v>0</v>
      </c>
      <c r="W1020" s="82">
        <v>0</v>
      </c>
      <c r="X1020" s="81"/>
      <c r="Y1020" s="81"/>
      <c r="Z1020" s="81" t="s">
        <v>58</v>
      </c>
      <c r="AA1020" s="81" t="s">
        <v>58</v>
      </c>
      <c r="AB1020" s="81" t="s">
        <v>58</v>
      </c>
      <c r="AC1020" s="83">
        <v>46102</v>
      </c>
    </row>
    <row r="1021" spans="2:29" ht="23" x14ac:dyDescent="0.35">
      <c r="B1021" s="81" t="s">
        <v>338</v>
      </c>
      <c r="C1021" s="81" t="s">
        <v>339</v>
      </c>
      <c r="D1021" s="81" t="s">
        <v>340</v>
      </c>
      <c r="E1021" s="81" t="s">
        <v>496</v>
      </c>
      <c r="F1021" s="162" t="s">
        <v>497</v>
      </c>
      <c r="G1021" s="163"/>
      <c r="H1021" s="81" t="s">
        <v>1475</v>
      </c>
      <c r="I1021" s="81" t="s">
        <v>1476</v>
      </c>
      <c r="J1021" s="81" t="s">
        <v>153</v>
      </c>
      <c r="K1021" s="81" t="s">
        <v>1481</v>
      </c>
      <c r="L1021" s="81" t="s">
        <v>58</v>
      </c>
      <c r="M1021" s="164">
        <v>4.53592</v>
      </c>
      <c r="N1021" s="165"/>
      <c r="O1021" s="163"/>
      <c r="P1021" s="82">
        <v>400</v>
      </c>
      <c r="Q1021" s="164">
        <v>0</v>
      </c>
      <c r="R1021" s="163"/>
      <c r="S1021" s="81" t="s">
        <v>58</v>
      </c>
      <c r="T1021" s="82">
        <v>0</v>
      </c>
      <c r="U1021" s="82">
        <v>0</v>
      </c>
      <c r="V1021" s="82">
        <v>0</v>
      </c>
      <c r="W1021" s="82">
        <v>0</v>
      </c>
      <c r="X1021" s="81"/>
      <c r="Y1021" s="81"/>
      <c r="Z1021" s="81" t="s">
        <v>58</v>
      </c>
      <c r="AA1021" s="81" t="s">
        <v>58</v>
      </c>
      <c r="AB1021" s="81" t="s">
        <v>58</v>
      </c>
      <c r="AC1021" s="83">
        <v>46102</v>
      </c>
    </row>
    <row r="1022" spans="2:29" ht="23" x14ac:dyDescent="0.35">
      <c r="B1022" s="81" t="s">
        <v>338</v>
      </c>
      <c r="C1022" s="81" t="s">
        <v>339</v>
      </c>
      <c r="D1022" s="81" t="s">
        <v>340</v>
      </c>
      <c r="E1022" s="81" t="s">
        <v>496</v>
      </c>
      <c r="F1022" s="162" t="s">
        <v>497</v>
      </c>
      <c r="G1022" s="163"/>
      <c r="H1022" s="81" t="s">
        <v>1475</v>
      </c>
      <c r="I1022" s="81" t="s">
        <v>1476</v>
      </c>
      <c r="J1022" s="81" t="s">
        <v>153</v>
      </c>
      <c r="K1022" s="81" t="s">
        <v>1482</v>
      </c>
      <c r="L1022" s="81" t="s">
        <v>58</v>
      </c>
      <c r="M1022" s="164">
        <v>4.53592</v>
      </c>
      <c r="N1022" s="165"/>
      <c r="O1022" s="163"/>
      <c r="P1022" s="82">
        <v>400</v>
      </c>
      <c r="Q1022" s="164">
        <v>0</v>
      </c>
      <c r="R1022" s="163"/>
      <c r="S1022" s="81" t="s">
        <v>58</v>
      </c>
      <c r="T1022" s="82">
        <v>0</v>
      </c>
      <c r="U1022" s="82">
        <v>0</v>
      </c>
      <c r="V1022" s="82">
        <v>0</v>
      </c>
      <c r="W1022" s="82">
        <v>0</v>
      </c>
      <c r="X1022" s="81"/>
      <c r="Y1022" s="81"/>
      <c r="Z1022" s="81" t="s">
        <v>58</v>
      </c>
      <c r="AA1022" s="81" t="s">
        <v>58</v>
      </c>
      <c r="AB1022" s="81" t="s">
        <v>58</v>
      </c>
      <c r="AC1022" s="83">
        <v>46101</v>
      </c>
    </row>
    <row r="1023" spans="2:29" ht="23" x14ac:dyDescent="0.35">
      <c r="B1023" s="81" t="s">
        <v>338</v>
      </c>
      <c r="C1023" s="81" t="s">
        <v>339</v>
      </c>
      <c r="D1023" s="81" t="s">
        <v>340</v>
      </c>
      <c r="E1023" s="81" t="s">
        <v>496</v>
      </c>
      <c r="F1023" s="162" t="s">
        <v>497</v>
      </c>
      <c r="G1023" s="163"/>
      <c r="H1023" s="81" t="s">
        <v>1475</v>
      </c>
      <c r="I1023" s="81" t="s">
        <v>1476</v>
      </c>
      <c r="J1023" s="81" t="s">
        <v>153</v>
      </c>
      <c r="K1023" s="81" t="s">
        <v>1483</v>
      </c>
      <c r="L1023" s="81" t="s">
        <v>58</v>
      </c>
      <c r="M1023" s="164">
        <v>4.53592</v>
      </c>
      <c r="N1023" s="165"/>
      <c r="O1023" s="163"/>
      <c r="P1023" s="82">
        <v>400</v>
      </c>
      <c r="Q1023" s="164">
        <v>0</v>
      </c>
      <c r="R1023" s="163"/>
      <c r="S1023" s="81" t="s">
        <v>58</v>
      </c>
      <c r="T1023" s="82">
        <v>0</v>
      </c>
      <c r="U1023" s="82">
        <v>0</v>
      </c>
      <c r="V1023" s="82">
        <v>0</v>
      </c>
      <c r="W1023" s="82">
        <v>0</v>
      </c>
      <c r="X1023" s="81"/>
      <c r="Y1023" s="81"/>
      <c r="Z1023" s="81" t="s">
        <v>58</v>
      </c>
      <c r="AA1023" s="81" t="s">
        <v>58</v>
      </c>
      <c r="AB1023" s="81" t="s">
        <v>58</v>
      </c>
      <c r="AC1023" s="83">
        <v>46101</v>
      </c>
    </row>
    <row r="1024" spans="2:29" ht="23" x14ac:dyDescent="0.35">
      <c r="B1024" s="81" t="s">
        <v>338</v>
      </c>
      <c r="C1024" s="81" t="s">
        <v>339</v>
      </c>
      <c r="D1024" s="81" t="s">
        <v>340</v>
      </c>
      <c r="E1024" s="81" t="s">
        <v>496</v>
      </c>
      <c r="F1024" s="162" t="s">
        <v>497</v>
      </c>
      <c r="G1024" s="163"/>
      <c r="H1024" s="81" t="s">
        <v>1475</v>
      </c>
      <c r="I1024" s="81" t="s">
        <v>1476</v>
      </c>
      <c r="J1024" s="81" t="s">
        <v>153</v>
      </c>
      <c r="K1024" s="81" t="s">
        <v>1484</v>
      </c>
      <c r="L1024" s="81" t="s">
        <v>58</v>
      </c>
      <c r="M1024" s="164">
        <v>4.53592</v>
      </c>
      <c r="N1024" s="165"/>
      <c r="O1024" s="163"/>
      <c r="P1024" s="82">
        <v>400</v>
      </c>
      <c r="Q1024" s="164">
        <v>0</v>
      </c>
      <c r="R1024" s="163"/>
      <c r="S1024" s="81" t="s">
        <v>58</v>
      </c>
      <c r="T1024" s="82">
        <v>0</v>
      </c>
      <c r="U1024" s="82">
        <v>0</v>
      </c>
      <c r="V1024" s="82">
        <v>0</v>
      </c>
      <c r="W1024" s="82">
        <v>0</v>
      </c>
      <c r="X1024" s="81"/>
      <c r="Y1024" s="81"/>
      <c r="Z1024" s="81" t="s">
        <v>58</v>
      </c>
      <c r="AA1024" s="81" t="s">
        <v>58</v>
      </c>
      <c r="AB1024" s="81" t="s">
        <v>58</v>
      </c>
      <c r="AC1024" s="83">
        <v>46101</v>
      </c>
    </row>
    <row r="1025" spans="2:29" ht="23" x14ac:dyDescent="0.35">
      <c r="B1025" s="81" t="s">
        <v>338</v>
      </c>
      <c r="C1025" s="81" t="s">
        <v>339</v>
      </c>
      <c r="D1025" s="81" t="s">
        <v>340</v>
      </c>
      <c r="E1025" s="81" t="s">
        <v>496</v>
      </c>
      <c r="F1025" s="162" t="s">
        <v>497</v>
      </c>
      <c r="G1025" s="163"/>
      <c r="H1025" s="81" t="s">
        <v>1475</v>
      </c>
      <c r="I1025" s="81" t="s">
        <v>1476</v>
      </c>
      <c r="J1025" s="81" t="s">
        <v>153</v>
      </c>
      <c r="K1025" s="81" t="s">
        <v>1485</v>
      </c>
      <c r="L1025" s="81" t="s">
        <v>58</v>
      </c>
      <c r="M1025" s="164">
        <v>4.53592</v>
      </c>
      <c r="N1025" s="165"/>
      <c r="O1025" s="163"/>
      <c r="P1025" s="82">
        <v>400</v>
      </c>
      <c r="Q1025" s="164">
        <v>0</v>
      </c>
      <c r="R1025" s="163"/>
      <c r="S1025" s="81" t="s">
        <v>58</v>
      </c>
      <c r="T1025" s="82">
        <v>0</v>
      </c>
      <c r="U1025" s="82">
        <v>0</v>
      </c>
      <c r="V1025" s="82">
        <v>0</v>
      </c>
      <c r="W1025" s="82">
        <v>0</v>
      </c>
      <c r="X1025" s="81"/>
      <c r="Y1025" s="81"/>
      <c r="Z1025" s="81" t="s">
        <v>58</v>
      </c>
      <c r="AA1025" s="81" t="s">
        <v>58</v>
      </c>
      <c r="AB1025" s="81" t="s">
        <v>58</v>
      </c>
      <c r="AC1025" s="83">
        <v>46101</v>
      </c>
    </row>
    <row r="1026" spans="2:29" ht="23" x14ac:dyDescent="0.35">
      <c r="B1026" s="81" t="s">
        <v>338</v>
      </c>
      <c r="C1026" s="81" t="s">
        <v>339</v>
      </c>
      <c r="D1026" s="81" t="s">
        <v>340</v>
      </c>
      <c r="E1026" s="81" t="s">
        <v>496</v>
      </c>
      <c r="F1026" s="162" t="s">
        <v>497</v>
      </c>
      <c r="G1026" s="163"/>
      <c r="H1026" s="81" t="s">
        <v>1475</v>
      </c>
      <c r="I1026" s="81" t="s">
        <v>1476</v>
      </c>
      <c r="J1026" s="81" t="s">
        <v>153</v>
      </c>
      <c r="K1026" s="81" t="s">
        <v>1486</v>
      </c>
      <c r="L1026" s="81" t="s">
        <v>58</v>
      </c>
      <c r="M1026" s="164">
        <v>4.1050076000000004</v>
      </c>
      <c r="N1026" s="165"/>
      <c r="O1026" s="163"/>
      <c r="P1026" s="82">
        <v>362</v>
      </c>
      <c r="Q1026" s="164">
        <v>0</v>
      </c>
      <c r="R1026" s="163"/>
      <c r="S1026" s="81" t="s">
        <v>58</v>
      </c>
      <c r="T1026" s="82">
        <v>0</v>
      </c>
      <c r="U1026" s="82">
        <v>0</v>
      </c>
      <c r="V1026" s="82">
        <v>0</v>
      </c>
      <c r="W1026" s="82">
        <v>0</v>
      </c>
      <c r="X1026" s="81"/>
      <c r="Y1026" s="81"/>
      <c r="Z1026" s="81" t="s">
        <v>58</v>
      </c>
      <c r="AA1026" s="81" t="s">
        <v>58</v>
      </c>
      <c r="AB1026" s="81" t="s">
        <v>58</v>
      </c>
      <c r="AC1026" s="83">
        <v>46102</v>
      </c>
    </row>
    <row r="1027" spans="2:29" ht="23" x14ac:dyDescent="0.35">
      <c r="B1027" s="81" t="s">
        <v>338</v>
      </c>
      <c r="C1027" s="81" t="s">
        <v>339</v>
      </c>
      <c r="D1027" s="81" t="s">
        <v>340</v>
      </c>
      <c r="E1027" s="81" t="s">
        <v>496</v>
      </c>
      <c r="F1027" s="162" t="s">
        <v>497</v>
      </c>
      <c r="G1027" s="163"/>
      <c r="H1027" s="81" t="s">
        <v>1475</v>
      </c>
      <c r="I1027" s="81" t="s">
        <v>1476</v>
      </c>
      <c r="J1027" s="81" t="s">
        <v>153</v>
      </c>
      <c r="K1027" s="81" t="s">
        <v>1487</v>
      </c>
      <c r="L1027" s="81" t="s">
        <v>58</v>
      </c>
      <c r="M1027" s="164">
        <v>3.5567282699999998</v>
      </c>
      <c r="N1027" s="165"/>
      <c r="O1027" s="163"/>
      <c r="P1027" s="82">
        <v>306</v>
      </c>
      <c r="Q1027" s="164">
        <v>0</v>
      </c>
      <c r="R1027" s="163"/>
      <c r="S1027" s="81" t="s">
        <v>58</v>
      </c>
      <c r="T1027" s="82">
        <v>0</v>
      </c>
      <c r="U1027" s="82">
        <v>0</v>
      </c>
      <c r="V1027" s="82">
        <v>0</v>
      </c>
      <c r="W1027" s="82">
        <v>0</v>
      </c>
      <c r="X1027" s="81"/>
      <c r="Y1027" s="81"/>
      <c r="Z1027" s="81" t="s">
        <v>58</v>
      </c>
      <c r="AA1027" s="81" t="s">
        <v>58</v>
      </c>
      <c r="AB1027" s="81" t="s">
        <v>58</v>
      </c>
      <c r="AC1027" s="83">
        <v>46102</v>
      </c>
    </row>
    <row r="1028" spans="2:29" ht="23" x14ac:dyDescent="0.35">
      <c r="B1028" s="81" t="s">
        <v>338</v>
      </c>
      <c r="C1028" s="81" t="s">
        <v>339</v>
      </c>
      <c r="D1028" s="81" t="s">
        <v>340</v>
      </c>
      <c r="E1028" s="81" t="s">
        <v>496</v>
      </c>
      <c r="F1028" s="162" t="s">
        <v>497</v>
      </c>
      <c r="G1028" s="163"/>
      <c r="H1028" s="81" t="s">
        <v>1475</v>
      </c>
      <c r="I1028" s="81" t="s">
        <v>1476</v>
      </c>
      <c r="J1028" s="81" t="s">
        <v>153</v>
      </c>
      <c r="K1028" s="81" t="s">
        <v>1488</v>
      </c>
      <c r="L1028" s="81" t="s">
        <v>58</v>
      </c>
      <c r="M1028" s="164">
        <v>4.6493180000000001</v>
      </c>
      <c r="N1028" s="165"/>
      <c r="O1028" s="163"/>
      <c r="P1028" s="82">
        <v>400</v>
      </c>
      <c r="Q1028" s="164">
        <v>0</v>
      </c>
      <c r="R1028" s="163"/>
      <c r="S1028" s="81" t="s">
        <v>58</v>
      </c>
      <c r="T1028" s="82">
        <v>0</v>
      </c>
      <c r="U1028" s="82">
        <v>0</v>
      </c>
      <c r="V1028" s="82">
        <v>0</v>
      </c>
      <c r="W1028" s="82">
        <v>0</v>
      </c>
      <c r="X1028" s="81"/>
      <c r="Y1028" s="81"/>
      <c r="Z1028" s="81" t="s">
        <v>58</v>
      </c>
      <c r="AA1028" s="81" t="s">
        <v>58</v>
      </c>
      <c r="AB1028" s="81" t="s">
        <v>58</v>
      </c>
      <c r="AC1028" s="83">
        <v>46101</v>
      </c>
    </row>
    <row r="1029" spans="2:29" ht="23" x14ac:dyDescent="0.35">
      <c r="B1029" s="81" t="s">
        <v>338</v>
      </c>
      <c r="C1029" s="81" t="s">
        <v>339</v>
      </c>
      <c r="D1029" s="81" t="s">
        <v>340</v>
      </c>
      <c r="E1029" s="81" t="s">
        <v>496</v>
      </c>
      <c r="F1029" s="162" t="s">
        <v>497</v>
      </c>
      <c r="G1029" s="163"/>
      <c r="H1029" s="81" t="s">
        <v>1475</v>
      </c>
      <c r="I1029" s="81" t="s">
        <v>1476</v>
      </c>
      <c r="J1029" s="81" t="s">
        <v>153</v>
      </c>
      <c r="K1029" s="81" t="s">
        <v>1489</v>
      </c>
      <c r="L1029" s="81" t="s">
        <v>58</v>
      </c>
      <c r="M1029" s="164">
        <v>4.6493180000000001</v>
      </c>
      <c r="N1029" s="165"/>
      <c r="O1029" s="163"/>
      <c r="P1029" s="82">
        <v>400</v>
      </c>
      <c r="Q1029" s="164">
        <v>0</v>
      </c>
      <c r="R1029" s="163"/>
      <c r="S1029" s="81" t="s">
        <v>58</v>
      </c>
      <c r="T1029" s="82">
        <v>0</v>
      </c>
      <c r="U1029" s="82">
        <v>0</v>
      </c>
      <c r="V1029" s="82">
        <v>0</v>
      </c>
      <c r="W1029" s="82">
        <v>0</v>
      </c>
      <c r="X1029" s="81"/>
      <c r="Y1029" s="81"/>
      <c r="Z1029" s="81" t="s">
        <v>58</v>
      </c>
      <c r="AA1029" s="81" t="s">
        <v>58</v>
      </c>
      <c r="AB1029" s="81" t="s">
        <v>58</v>
      </c>
      <c r="AC1029" s="83">
        <v>46101</v>
      </c>
    </row>
    <row r="1030" spans="2:29" ht="23" x14ac:dyDescent="0.35">
      <c r="B1030" s="81" t="s">
        <v>338</v>
      </c>
      <c r="C1030" s="81" t="s">
        <v>339</v>
      </c>
      <c r="D1030" s="81" t="s">
        <v>340</v>
      </c>
      <c r="E1030" s="81" t="s">
        <v>496</v>
      </c>
      <c r="F1030" s="162" t="s">
        <v>497</v>
      </c>
      <c r="G1030" s="163"/>
      <c r="H1030" s="81" t="s">
        <v>1475</v>
      </c>
      <c r="I1030" s="81" t="s">
        <v>1476</v>
      </c>
      <c r="J1030" s="81" t="s">
        <v>153</v>
      </c>
      <c r="K1030" s="81" t="s">
        <v>1490</v>
      </c>
      <c r="L1030" s="81" t="s">
        <v>58</v>
      </c>
      <c r="M1030" s="164">
        <v>4.6493180000000001</v>
      </c>
      <c r="N1030" s="165"/>
      <c r="O1030" s="163"/>
      <c r="P1030" s="82">
        <v>400</v>
      </c>
      <c r="Q1030" s="164">
        <v>0</v>
      </c>
      <c r="R1030" s="163"/>
      <c r="S1030" s="81" t="s">
        <v>58</v>
      </c>
      <c r="T1030" s="82">
        <v>0</v>
      </c>
      <c r="U1030" s="82">
        <v>0</v>
      </c>
      <c r="V1030" s="82">
        <v>0</v>
      </c>
      <c r="W1030" s="82">
        <v>0</v>
      </c>
      <c r="X1030" s="81"/>
      <c r="Y1030" s="81"/>
      <c r="Z1030" s="81" t="s">
        <v>58</v>
      </c>
      <c r="AA1030" s="81" t="s">
        <v>58</v>
      </c>
      <c r="AB1030" s="81" t="s">
        <v>58</v>
      </c>
      <c r="AC1030" s="83">
        <v>46101</v>
      </c>
    </row>
    <row r="1031" spans="2:29" ht="23" x14ac:dyDescent="0.35">
      <c r="B1031" s="81" t="s">
        <v>338</v>
      </c>
      <c r="C1031" s="81" t="s">
        <v>339</v>
      </c>
      <c r="D1031" s="81" t="s">
        <v>340</v>
      </c>
      <c r="E1031" s="81" t="s">
        <v>496</v>
      </c>
      <c r="F1031" s="162" t="s">
        <v>497</v>
      </c>
      <c r="G1031" s="163"/>
      <c r="H1031" s="81" t="s">
        <v>1475</v>
      </c>
      <c r="I1031" s="81" t="s">
        <v>1476</v>
      </c>
      <c r="J1031" s="81" t="s">
        <v>153</v>
      </c>
      <c r="K1031" s="81" t="s">
        <v>1491</v>
      </c>
      <c r="L1031" s="81" t="s">
        <v>58</v>
      </c>
      <c r="M1031" s="164">
        <v>4.6493180000000001</v>
      </c>
      <c r="N1031" s="165"/>
      <c r="O1031" s="163"/>
      <c r="P1031" s="82">
        <v>400</v>
      </c>
      <c r="Q1031" s="164">
        <v>0</v>
      </c>
      <c r="R1031" s="163"/>
      <c r="S1031" s="81" t="s">
        <v>58</v>
      </c>
      <c r="T1031" s="82">
        <v>0</v>
      </c>
      <c r="U1031" s="82">
        <v>0</v>
      </c>
      <c r="V1031" s="82">
        <v>0</v>
      </c>
      <c r="W1031" s="82">
        <v>0</v>
      </c>
      <c r="X1031" s="81"/>
      <c r="Y1031" s="81"/>
      <c r="Z1031" s="81" t="s">
        <v>58</v>
      </c>
      <c r="AA1031" s="81" t="s">
        <v>58</v>
      </c>
      <c r="AB1031" s="81" t="s">
        <v>58</v>
      </c>
      <c r="AC1031" s="83">
        <v>46101</v>
      </c>
    </row>
    <row r="1032" spans="2:29" ht="23" x14ac:dyDescent="0.35">
      <c r="B1032" s="81" t="s">
        <v>338</v>
      </c>
      <c r="C1032" s="81" t="s">
        <v>339</v>
      </c>
      <c r="D1032" s="81" t="s">
        <v>340</v>
      </c>
      <c r="E1032" s="81" t="s">
        <v>496</v>
      </c>
      <c r="F1032" s="162" t="s">
        <v>497</v>
      </c>
      <c r="G1032" s="163"/>
      <c r="H1032" s="81" t="s">
        <v>1475</v>
      </c>
      <c r="I1032" s="81" t="s">
        <v>1476</v>
      </c>
      <c r="J1032" s="81" t="s">
        <v>153</v>
      </c>
      <c r="K1032" s="81" t="s">
        <v>1492</v>
      </c>
      <c r="L1032" s="81" t="s">
        <v>58</v>
      </c>
      <c r="M1032" s="164">
        <v>4.6493180000000001</v>
      </c>
      <c r="N1032" s="165"/>
      <c r="O1032" s="163"/>
      <c r="P1032" s="82">
        <v>400</v>
      </c>
      <c r="Q1032" s="164">
        <v>0</v>
      </c>
      <c r="R1032" s="163"/>
      <c r="S1032" s="81" t="s">
        <v>58</v>
      </c>
      <c r="T1032" s="82">
        <v>0</v>
      </c>
      <c r="U1032" s="82">
        <v>0</v>
      </c>
      <c r="V1032" s="82">
        <v>0</v>
      </c>
      <c r="W1032" s="82">
        <v>0</v>
      </c>
      <c r="X1032" s="81"/>
      <c r="Y1032" s="81"/>
      <c r="Z1032" s="81" t="s">
        <v>58</v>
      </c>
      <c r="AA1032" s="81" t="s">
        <v>58</v>
      </c>
      <c r="AB1032" s="81" t="s">
        <v>58</v>
      </c>
      <c r="AC1032" s="83">
        <v>46101</v>
      </c>
    </row>
    <row r="1033" spans="2:29" ht="23" x14ac:dyDescent="0.35">
      <c r="B1033" s="81" t="s">
        <v>338</v>
      </c>
      <c r="C1033" s="81" t="s">
        <v>339</v>
      </c>
      <c r="D1033" s="81" t="s">
        <v>340</v>
      </c>
      <c r="E1033" s="81" t="s">
        <v>496</v>
      </c>
      <c r="F1033" s="162" t="s">
        <v>497</v>
      </c>
      <c r="G1033" s="163"/>
      <c r="H1033" s="81" t="s">
        <v>1475</v>
      </c>
      <c r="I1033" s="81" t="s">
        <v>1476</v>
      </c>
      <c r="J1033" s="81" t="s">
        <v>153</v>
      </c>
      <c r="K1033" s="81" t="s">
        <v>1493</v>
      </c>
      <c r="L1033" s="81" t="s">
        <v>58</v>
      </c>
      <c r="M1033" s="164">
        <v>4.6493180000000001</v>
      </c>
      <c r="N1033" s="165"/>
      <c r="O1033" s="163"/>
      <c r="P1033" s="82">
        <v>400</v>
      </c>
      <c r="Q1033" s="164">
        <v>0</v>
      </c>
      <c r="R1033" s="163"/>
      <c r="S1033" s="81" t="s">
        <v>58</v>
      </c>
      <c r="T1033" s="82">
        <v>0</v>
      </c>
      <c r="U1033" s="82">
        <v>0</v>
      </c>
      <c r="V1033" s="82">
        <v>0</v>
      </c>
      <c r="W1033" s="82">
        <v>0</v>
      </c>
      <c r="X1033" s="81"/>
      <c r="Y1033" s="81"/>
      <c r="Z1033" s="81" t="s">
        <v>58</v>
      </c>
      <c r="AA1033" s="81" t="s">
        <v>58</v>
      </c>
      <c r="AB1033" s="81" t="s">
        <v>58</v>
      </c>
      <c r="AC1033" s="83">
        <v>46101</v>
      </c>
    </row>
    <row r="1034" spans="2:29" ht="23" x14ac:dyDescent="0.35">
      <c r="B1034" s="81" t="s">
        <v>338</v>
      </c>
      <c r="C1034" s="81" t="s">
        <v>339</v>
      </c>
      <c r="D1034" s="81" t="s">
        <v>340</v>
      </c>
      <c r="E1034" s="81" t="s">
        <v>496</v>
      </c>
      <c r="F1034" s="162" t="s">
        <v>497</v>
      </c>
      <c r="G1034" s="163"/>
      <c r="H1034" s="81" t="s">
        <v>1475</v>
      </c>
      <c r="I1034" s="81" t="s">
        <v>1476</v>
      </c>
      <c r="J1034" s="81" t="s">
        <v>153</v>
      </c>
      <c r="K1034" s="81" t="s">
        <v>1494</v>
      </c>
      <c r="L1034" s="81" t="s">
        <v>58</v>
      </c>
      <c r="M1034" s="164">
        <v>4.6493180000000001</v>
      </c>
      <c r="N1034" s="165"/>
      <c r="O1034" s="163"/>
      <c r="P1034" s="82">
        <v>400</v>
      </c>
      <c r="Q1034" s="164">
        <v>0</v>
      </c>
      <c r="R1034" s="163"/>
      <c r="S1034" s="81" t="s">
        <v>58</v>
      </c>
      <c r="T1034" s="82">
        <v>0</v>
      </c>
      <c r="U1034" s="82">
        <v>0</v>
      </c>
      <c r="V1034" s="82">
        <v>0</v>
      </c>
      <c r="W1034" s="82">
        <v>0</v>
      </c>
      <c r="X1034" s="81"/>
      <c r="Y1034" s="81"/>
      <c r="Z1034" s="81" t="s">
        <v>58</v>
      </c>
      <c r="AA1034" s="81" t="s">
        <v>58</v>
      </c>
      <c r="AB1034" s="81" t="s">
        <v>58</v>
      </c>
      <c r="AC1034" s="83">
        <v>46101</v>
      </c>
    </row>
    <row r="1035" spans="2:29" ht="23" x14ac:dyDescent="0.35">
      <c r="B1035" s="81" t="s">
        <v>338</v>
      </c>
      <c r="C1035" s="81" t="s">
        <v>339</v>
      </c>
      <c r="D1035" s="81" t="s">
        <v>340</v>
      </c>
      <c r="E1035" s="81" t="s">
        <v>496</v>
      </c>
      <c r="F1035" s="162" t="s">
        <v>497</v>
      </c>
      <c r="G1035" s="163"/>
      <c r="H1035" s="81" t="s">
        <v>1475</v>
      </c>
      <c r="I1035" s="81" t="s">
        <v>1476</v>
      </c>
      <c r="J1035" s="81" t="s">
        <v>153</v>
      </c>
      <c r="K1035" s="81" t="s">
        <v>1495</v>
      </c>
      <c r="L1035" s="81" t="s">
        <v>58</v>
      </c>
      <c r="M1035" s="164">
        <v>4.6493180000000001</v>
      </c>
      <c r="N1035" s="165"/>
      <c r="O1035" s="163"/>
      <c r="P1035" s="82">
        <v>400</v>
      </c>
      <c r="Q1035" s="164">
        <v>0</v>
      </c>
      <c r="R1035" s="163"/>
      <c r="S1035" s="81" t="s">
        <v>58</v>
      </c>
      <c r="T1035" s="82">
        <v>0</v>
      </c>
      <c r="U1035" s="82">
        <v>0</v>
      </c>
      <c r="V1035" s="82">
        <v>0</v>
      </c>
      <c r="W1035" s="82">
        <v>0</v>
      </c>
      <c r="X1035" s="81"/>
      <c r="Y1035" s="81"/>
      <c r="Z1035" s="81" t="s">
        <v>58</v>
      </c>
      <c r="AA1035" s="81" t="s">
        <v>58</v>
      </c>
      <c r="AB1035" s="81" t="s">
        <v>58</v>
      </c>
      <c r="AC1035" s="83">
        <v>46101</v>
      </c>
    </row>
    <row r="1036" spans="2:29" ht="23" x14ac:dyDescent="0.35">
      <c r="B1036" s="81" t="s">
        <v>338</v>
      </c>
      <c r="C1036" s="81" t="s">
        <v>339</v>
      </c>
      <c r="D1036" s="81" t="s">
        <v>340</v>
      </c>
      <c r="E1036" s="81" t="s">
        <v>496</v>
      </c>
      <c r="F1036" s="162" t="s">
        <v>497</v>
      </c>
      <c r="G1036" s="163"/>
      <c r="H1036" s="81" t="s">
        <v>1475</v>
      </c>
      <c r="I1036" s="81" t="s">
        <v>1476</v>
      </c>
      <c r="J1036" s="81" t="s">
        <v>153</v>
      </c>
      <c r="K1036" s="81" t="s">
        <v>1496</v>
      </c>
      <c r="L1036" s="81" t="s">
        <v>58</v>
      </c>
      <c r="M1036" s="164">
        <v>4.6493180000000001</v>
      </c>
      <c r="N1036" s="165"/>
      <c r="O1036" s="163"/>
      <c r="P1036" s="82">
        <v>400</v>
      </c>
      <c r="Q1036" s="164">
        <v>0</v>
      </c>
      <c r="R1036" s="163"/>
      <c r="S1036" s="81" t="s">
        <v>58</v>
      </c>
      <c r="T1036" s="82">
        <v>0</v>
      </c>
      <c r="U1036" s="82">
        <v>0</v>
      </c>
      <c r="V1036" s="82">
        <v>0</v>
      </c>
      <c r="W1036" s="82">
        <v>0</v>
      </c>
      <c r="X1036" s="81"/>
      <c r="Y1036" s="81"/>
      <c r="Z1036" s="81" t="s">
        <v>58</v>
      </c>
      <c r="AA1036" s="81" t="s">
        <v>58</v>
      </c>
      <c r="AB1036" s="81" t="s">
        <v>58</v>
      </c>
      <c r="AC1036" s="83">
        <v>46101</v>
      </c>
    </row>
    <row r="1037" spans="2:29" ht="23" x14ac:dyDescent="0.35">
      <c r="B1037" s="81" t="s">
        <v>338</v>
      </c>
      <c r="C1037" s="81" t="s">
        <v>339</v>
      </c>
      <c r="D1037" s="81" t="s">
        <v>340</v>
      </c>
      <c r="E1037" s="81" t="s">
        <v>496</v>
      </c>
      <c r="F1037" s="162" t="s">
        <v>497</v>
      </c>
      <c r="G1037" s="163"/>
      <c r="H1037" s="81" t="s">
        <v>1475</v>
      </c>
      <c r="I1037" s="81" t="s">
        <v>1476</v>
      </c>
      <c r="J1037" s="81" t="s">
        <v>153</v>
      </c>
      <c r="K1037" s="81" t="s">
        <v>1497</v>
      </c>
      <c r="L1037" s="81" t="s">
        <v>58</v>
      </c>
      <c r="M1037" s="164">
        <v>4.7627160000000002</v>
      </c>
      <c r="N1037" s="165"/>
      <c r="O1037" s="163"/>
      <c r="P1037" s="82">
        <v>400</v>
      </c>
      <c r="Q1037" s="164">
        <v>0</v>
      </c>
      <c r="R1037" s="163"/>
      <c r="S1037" s="81" t="s">
        <v>58</v>
      </c>
      <c r="T1037" s="82">
        <v>0</v>
      </c>
      <c r="U1037" s="82">
        <v>0</v>
      </c>
      <c r="V1037" s="82">
        <v>0</v>
      </c>
      <c r="W1037" s="82">
        <v>0</v>
      </c>
      <c r="X1037" s="81"/>
      <c r="Y1037" s="81"/>
      <c r="Z1037" s="81" t="s">
        <v>58</v>
      </c>
      <c r="AA1037" s="81" t="s">
        <v>58</v>
      </c>
      <c r="AB1037" s="81" t="s">
        <v>58</v>
      </c>
      <c r="AC1037" s="83">
        <v>46102</v>
      </c>
    </row>
    <row r="1038" spans="2:29" ht="23" x14ac:dyDescent="0.35">
      <c r="B1038" s="81" t="s">
        <v>338</v>
      </c>
      <c r="C1038" s="81" t="s">
        <v>339</v>
      </c>
      <c r="D1038" s="81" t="s">
        <v>340</v>
      </c>
      <c r="E1038" s="81" t="s">
        <v>496</v>
      </c>
      <c r="F1038" s="162" t="s">
        <v>497</v>
      </c>
      <c r="G1038" s="163"/>
      <c r="H1038" s="81" t="s">
        <v>1475</v>
      </c>
      <c r="I1038" s="81" t="s">
        <v>1476</v>
      </c>
      <c r="J1038" s="81" t="s">
        <v>153</v>
      </c>
      <c r="K1038" s="81" t="s">
        <v>1498</v>
      </c>
      <c r="L1038" s="81" t="s">
        <v>58</v>
      </c>
      <c r="M1038" s="164">
        <v>4.7627160000000002</v>
      </c>
      <c r="N1038" s="165"/>
      <c r="O1038" s="163"/>
      <c r="P1038" s="82">
        <v>400</v>
      </c>
      <c r="Q1038" s="164">
        <v>0</v>
      </c>
      <c r="R1038" s="163"/>
      <c r="S1038" s="81" t="s">
        <v>58</v>
      </c>
      <c r="T1038" s="82">
        <v>0</v>
      </c>
      <c r="U1038" s="82">
        <v>0</v>
      </c>
      <c r="V1038" s="82">
        <v>0</v>
      </c>
      <c r="W1038" s="82">
        <v>0</v>
      </c>
      <c r="X1038" s="81"/>
      <c r="Y1038" s="81"/>
      <c r="Z1038" s="81" t="s">
        <v>58</v>
      </c>
      <c r="AA1038" s="81" t="s">
        <v>58</v>
      </c>
      <c r="AB1038" s="81" t="s">
        <v>58</v>
      </c>
      <c r="AC1038" s="83">
        <v>46102</v>
      </c>
    </row>
    <row r="1039" spans="2:29" ht="23" x14ac:dyDescent="0.35">
      <c r="B1039" s="81" t="s">
        <v>338</v>
      </c>
      <c r="C1039" s="81" t="s">
        <v>339</v>
      </c>
      <c r="D1039" s="81" t="s">
        <v>340</v>
      </c>
      <c r="E1039" s="81" t="s">
        <v>496</v>
      </c>
      <c r="F1039" s="162" t="s">
        <v>497</v>
      </c>
      <c r="G1039" s="163"/>
      <c r="H1039" s="81" t="s">
        <v>1475</v>
      </c>
      <c r="I1039" s="81" t="s">
        <v>1476</v>
      </c>
      <c r="J1039" s="81" t="s">
        <v>153</v>
      </c>
      <c r="K1039" s="81" t="s">
        <v>1499</v>
      </c>
      <c r="L1039" s="81" t="s">
        <v>58</v>
      </c>
      <c r="M1039" s="164">
        <v>4.7627160000000002</v>
      </c>
      <c r="N1039" s="165"/>
      <c r="O1039" s="163"/>
      <c r="P1039" s="82">
        <v>400</v>
      </c>
      <c r="Q1039" s="164">
        <v>0</v>
      </c>
      <c r="R1039" s="163"/>
      <c r="S1039" s="81" t="s">
        <v>58</v>
      </c>
      <c r="T1039" s="82">
        <v>0</v>
      </c>
      <c r="U1039" s="82">
        <v>0</v>
      </c>
      <c r="V1039" s="82">
        <v>0</v>
      </c>
      <c r="W1039" s="82">
        <v>0</v>
      </c>
      <c r="X1039" s="81"/>
      <c r="Y1039" s="81"/>
      <c r="Z1039" s="81" t="s">
        <v>58</v>
      </c>
      <c r="AA1039" s="81" t="s">
        <v>58</v>
      </c>
      <c r="AB1039" s="81" t="s">
        <v>58</v>
      </c>
      <c r="AC1039" s="83">
        <v>46102</v>
      </c>
    </row>
    <row r="1040" spans="2:29" ht="23" x14ac:dyDescent="0.35">
      <c r="B1040" s="81" t="s">
        <v>338</v>
      </c>
      <c r="C1040" s="81" t="s">
        <v>339</v>
      </c>
      <c r="D1040" s="81" t="s">
        <v>340</v>
      </c>
      <c r="E1040" s="81" t="s">
        <v>496</v>
      </c>
      <c r="F1040" s="162" t="s">
        <v>497</v>
      </c>
      <c r="G1040" s="163"/>
      <c r="H1040" s="81" t="s">
        <v>1475</v>
      </c>
      <c r="I1040" s="81" t="s">
        <v>1476</v>
      </c>
      <c r="J1040" s="81" t="s">
        <v>153</v>
      </c>
      <c r="K1040" s="81" t="s">
        <v>1500</v>
      </c>
      <c r="L1040" s="81" t="s">
        <v>58</v>
      </c>
      <c r="M1040" s="164">
        <v>4.7627160000000002</v>
      </c>
      <c r="N1040" s="165"/>
      <c r="O1040" s="163"/>
      <c r="P1040" s="82">
        <v>400</v>
      </c>
      <c r="Q1040" s="164">
        <v>0</v>
      </c>
      <c r="R1040" s="163"/>
      <c r="S1040" s="81" t="s">
        <v>58</v>
      </c>
      <c r="T1040" s="82">
        <v>0</v>
      </c>
      <c r="U1040" s="82">
        <v>0</v>
      </c>
      <c r="V1040" s="82">
        <v>0</v>
      </c>
      <c r="W1040" s="82">
        <v>0</v>
      </c>
      <c r="X1040" s="81"/>
      <c r="Y1040" s="81"/>
      <c r="Z1040" s="81" t="s">
        <v>58</v>
      </c>
      <c r="AA1040" s="81" t="s">
        <v>58</v>
      </c>
      <c r="AB1040" s="81" t="s">
        <v>58</v>
      </c>
      <c r="AC1040" s="83">
        <v>46102</v>
      </c>
    </row>
    <row r="1041" spans="2:29" ht="23" x14ac:dyDescent="0.35">
      <c r="B1041" s="81" t="s">
        <v>338</v>
      </c>
      <c r="C1041" s="81" t="s">
        <v>339</v>
      </c>
      <c r="D1041" s="81" t="s">
        <v>340</v>
      </c>
      <c r="E1041" s="81" t="s">
        <v>496</v>
      </c>
      <c r="F1041" s="162" t="s">
        <v>497</v>
      </c>
      <c r="G1041" s="163"/>
      <c r="H1041" s="81" t="s">
        <v>1475</v>
      </c>
      <c r="I1041" s="81" t="s">
        <v>1476</v>
      </c>
      <c r="J1041" s="81" t="s">
        <v>153</v>
      </c>
      <c r="K1041" s="81" t="s">
        <v>1501</v>
      </c>
      <c r="L1041" s="81" t="s">
        <v>58</v>
      </c>
      <c r="M1041" s="164">
        <v>4.7627160000000002</v>
      </c>
      <c r="N1041" s="165"/>
      <c r="O1041" s="163"/>
      <c r="P1041" s="82">
        <v>400</v>
      </c>
      <c r="Q1041" s="164">
        <v>0</v>
      </c>
      <c r="R1041" s="163"/>
      <c r="S1041" s="81" t="s">
        <v>58</v>
      </c>
      <c r="T1041" s="82">
        <v>0</v>
      </c>
      <c r="U1041" s="82">
        <v>0</v>
      </c>
      <c r="V1041" s="82">
        <v>0</v>
      </c>
      <c r="W1041" s="82">
        <v>0</v>
      </c>
      <c r="X1041" s="81"/>
      <c r="Y1041" s="81"/>
      <c r="Z1041" s="81" t="s">
        <v>58</v>
      </c>
      <c r="AA1041" s="81" t="s">
        <v>58</v>
      </c>
      <c r="AB1041" s="81" t="s">
        <v>58</v>
      </c>
      <c r="AC1041" s="83">
        <v>46102</v>
      </c>
    </row>
    <row r="1042" spans="2:29" ht="23" x14ac:dyDescent="0.35">
      <c r="B1042" s="81" t="s">
        <v>338</v>
      </c>
      <c r="C1042" s="81" t="s">
        <v>339</v>
      </c>
      <c r="D1042" s="81" t="s">
        <v>340</v>
      </c>
      <c r="E1042" s="81" t="s">
        <v>496</v>
      </c>
      <c r="F1042" s="162" t="s">
        <v>497</v>
      </c>
      <c r="G1042" s="163"/>
      <c r="H1042" s="81" t="s">
        <v>1475</v>
      </c>
      <c r="I1042" s="81" t="s">
        <v>1476</v>
      </c>
      <c r="J1042" s="81" t="s">
        <v>153</v>
      </c>
      <c r="K1042" s="81" t="s">
        <v>1502</v>
      </c>
      <c r="L1042" s="81" t="s">
        <v>58</v>
      </c>
      <c r="M1042" s="164">
        <v>4.7627160000000002</v>
      </c>
      <c r="N1042" s="165"/>
      <c r="O1042" s="163"/>
      <c r="P1042" s="82">
        <v>400</v>
      </c>
      <c r="Q1042" s="164">
        <v>0</v>
      </c>
      <c r="R1042" s="163"/>
      <c r="S1042" s="81" t="s">
        <v>58</v>
      </c>
      <c r="T1042" s="82">
        <v>0</v>
      </c>
      <c r="U1042" s="82">
        <v>0</v>
      </c>
      <c r="V1042" s="82">
        <v>0</v>
      </c>
      <c r="W1042" s="82">
        <v>0</v>
      </c>
      <c r="X1042" s="81"/>
      <c r="Y1042" s="81"/>
      <c r="Z1042" s="81" t="s">
        <v>58</v>
      </c>
      <c r="AA1042" s="81" t="s">
        <v>58</v>
      </c>
      <c r="AB1042" s="81" t="s">
        <v>58</v>
      </c>
      <c r="AC1042" s="83">
        <v>46102</v>
      </c>
    </row>
    <row r="1043" spans="2:29" ht="23" x14ac:dyDescent="0.35">
      <c r="B1043" s="81" t="s">
        <v>338</v>
      </c>
      <c r="C1043" s="81" t="s">
        <v>339</v>
      </c>
      <c r="D1043" s="81" t="s">
        <v>340</v>
      </c>
      <c r="E1043" s="81" t="s">
        <v>496</v>
      </c>
      <c r="F1043" s="162" t="s">
        <v>497</v>
      </c>
      <c r="G1043" s="163"/>
      <c r="H1043" s="81" t="s">
        <v>1475</v>
      </c>
      <c r="I1043" s="81" t="s">
        <v>1476</v>
      </c>
      <c r="J1043" s="81" t="s">
        <v>153</v>
      </c>
      <c r="K1043" s="81" t="s">
        <v>1503</v>
      </c>
      <c r="L1043" s="81" t="s">
        <v>58</v>
      </c>
      <c r="M1043" s="164">
        <v>4.7627160000000002</v>
      </c>
      <c r="N1043" s="165"/>
      <c r="O1043" s="163"/>
      <c r="P1043" s="82">
        <v>400</v>
      </c>
      <c r="Q1043" s="164">
        <v>0</v>
      </c>
      <c r="R1043" s="163"/>
      <c r="S1043" s="81" t="s">
        <v>58</v>
      </c>
      <c r="T1043" s="82">
        <v>0</v>
      </c>
      <c r="U1043" s="82">
        <v>0</v>
      </c>
      <c r="V1043" s="82">
        <v>0</v>
      </c>
      <c r="W1043" s="82">
        <v>0</v>
      </c>
      <c r="X1043" s="81"/>
      <c r="Y1043" s="81"/>
      <c r="Z1043" s="81" t="s">
        <v>58</v>
      </c>
      <c r="AA1043" s="81" t="s">
        <v>58</v>
      </c>
      <c r="AB1043" s="81" t="s">
        <v>58</v>
      </c>
      <c r="AC1043" s="83">
        <v>46102</v>
      </c>
    </row>
    <row r="1044" spans="2:29" ht="23" x14ac:dyDescent="0.35">
      <c r="B1044" s="81" t="s">
        <v>338</v>
      </c>
      <c r="C1044" s="81" t="s">
        <v>339</v>
      </c>
      <c r="D1044" s="81" t="s">
        <v>340</v>
      </c>
      <c r="E1044" s="81" t="s">
        <v>496</v>
      </c>
      <c r="F1044" s="162" t="s">
        <v>497</v>
      </c>
      <c r="G1044" s="163"/>
      <c r="H1044" s="81" t="s">
        <v>1475</v>
      </c>
      <c r="I1044" s="81" t="s">
        <v>1476</v>
      </c>
      <c r="J1044" s="81" t="s">
        <v>153</v>
      </c>
      <c r="K1044" s="81" t="s">
        <v>1504</v>
      </c>
      <c r="L1044" s="81" t="s">
        <v>58</v>
      </c>
      <c r="M1044" s="164">
        <v>3.78635922</v>
      </c>
      <c r="N1044" s="165"/>
      <c r="O1044" s="163"/>
      <c r="P1044" s="82">
        <v>318</v>
      </c>
      <c r="Q1044" s="164">
        <v>0</v>
      </c>
      <c r="R1044" s="163"/>
      <c r="S1044" s="81" t="s">
        <v>58</v>
      </c>
      <c r="T1044" s="82">
        <v>0</v>
      </c>
      <c r="U1044" s="82">
        <v>0</v>
      </c>
      <c r="V1044" s="82">
        <v>0</v>
      </c>
      <c r="W1044" s="82">
        <v>0</v>
      </c>
      <c r="X1044" s="81"/>
      <c r="Y1044" s="81"/>
      <c r="Z1044" s="81" t="s">
        <v>58</v>
      </c>
      <c r="AA1044" s="81" t="s">
        <v>58</v>
      </c>
      <c r="AB1044" s="81" t="s">
        <v>58</v>
      </c>
      <c r="AC1044" s="83">
        <v>46102</v>
      </c>
    </row>
    <row r="1045" spans="2:29" ht="23" x14ac:dyDescent="0.35">
      <c r="B1045" s="81" t="s">
        <v>338</v>
      </c>
      <c r="C1045" s="81" t="s">
        <v>339</v>
      </c>
      <c r="D1045" s="81" t="s">
        <v>340</v>
      </c>
      <c r="E1045" s="81" t="s">
        <v>496</v>
      </c>
      <c r="F1045" s="162" t="s">
        <v>497</v>
      </c>
      <c r="G1045" s="163"/>
      <c r="H1045" s="81" t="s">
        <v>1475</v>
      </c>
      <c r="I1045" s="81" t="s">
        <v>1476</v>
      </c>
      <c r="J1045" s="81" t="s">
        <v>153</v>
      </c>
      <c r="K1045" s="81" t="s">
        <v>1505</v>
      </c>
      <c r="L1045" s="81" t="s">
        <v>58</v>
      </c>
      <c r="M1045" s="164">
        <v>4.8761140000000003</v>
      </c>
      <c r="N1045" s="165"/>
      <c r="O1045" s="163"/>
      <c r="P1045" s="82">
        <v>400</v>
      </c>
      <c r="Q1045" s="164">
        <v>0</v>
      </c>
      <c r="R1045" s="163"/>
      <c r="S1045" s="81" t="s">
        <v>58</v>
      </c>
      <c r="T1045" s="82">
        <v>0</v>
      </c>
      <c r="U1045" s="82">
        <v>0</v>
      </c>
      <c r="V1045" s="82">
        <v>0</v>
      </c>
      <c r="W1045" s="82">
        <v>0</v>
      </c>
      <c r="X1045" s="81"/>
      <c r="Y1045" s="81"/>
      <c r="Z1045" s="81" t="s">
        <v>58</v>
      </c>
      <c r="AA1045" s="81" t="s">
        <v>58</v>
      </c>
      <c r="AB1045" s="81" t="s">
        <v>58</v>
      </c>
      <c r="AC1045" s="83">
        <v>46102</v>
      </c>
    </row>
    <row r="1046" spans="2:29" ht="23" x14ac:dyDescent="0.35">
      <c r="B1046" s="81" t="s">
        <v>338</v>
      </c>
      <c r="C1046" s="81" t="s">
        <v>339</v>
      </c>
      <c r="D1046" s="81" t="s">
        <v>340</v>
      </c>
      <c r="E1046" s="81" t="s">
        <v>496</v>
      </c>
      <c r="F1046" s="162" t="s">
        <v>497</v>
      </c>
      <c r="G1046" s="163"/>
      <c r="H1046" s="81" t="s">
        <v>1475</v>
      </c>
      <c r="I1046" s="81" t="s">
        <v>1476</v>
      </c>
      <c r="J1046" s="81" t="s">
        <v>153</v>
      </c>
      <c r="K1046" s="81" t="s">
        <v>1506</v>
      </c>
      <c r="L1046" s="81" t="s">
        <v>58</v>
      </c>
      <c r="M1046" s="164">
        <v>4.8761140000000003</v>
      </c>
      <c r="N1046" s="165"/>
      <c r="O1046" s="163"/>
      <c r="P1046" s="82">
        <v>400</v>
      </c>
      <c r="Q1046" s="164">
        <v>0</v>
      </c>
      <c r="R1046" s="163"/>
      <c r="S1046" s="81" t="s">
        <v>58</v>
      </c>
      <c r="T1046" s="82">
        <v>0</v>
      </c>
      <c r="U1046" s="82">
        <v>0</v>
      </c>
      <c r="V1046" s="82">
        <v>0</v>
      </c>
      <c r="W1046" s="82">
        <v>0</v>
      </c>
      <c r="X1046" s="81"/>
      <c r="Y1046" s="81"/>
      <c r="Z1046" s="81" t="s">
        <v>58</v>
      </c>
      <c r="AA1046" s="81" t="s">
        <v>58</v>
      </c>
      <c r="AB1046" s="81" t="s">
        <v>58</v>
      </c>
      <c r="AC1046" s="83">
        <v>46102</v>
      </c>
    </row>
    <row r="1047" spans="2:29" ht="23" x14ac:dyDescent="0.35">
      <c r="B1047" s="81" t="s">
        <v>338</v>
      </c>
      <c r="C1047" s="81" t="s">
        <v>339</v>
      </c>
      <c r="D1047" s="81" t="s">
        <v>340</v>
      </c>
      <c r="E1047" s="81" t="s">
        <v>496</v>
      </c>
      <c r="F1047" s="162" t="s">
        <v>497</v>
      </c>
      <c r="G1047" s="163"/>
      <c r="H1047" s="81" t="s">
        <v>1475</v>
      </c>
      <c r="I1047" s="81" t="s">
        <v>1476</v>
      </c>
      <c r="J1047" s="81" t="s">
        <v>153</v>
      </c>
      <c r="K1047" s="81" t="s">
        <v>1507</v>
      </c>
      <c r="L1047" s="81" t="s">
        <v>58</v>
      </c>
      <c r="M1047" s="164">
        <v>4.8761140000000003</v>
      </c>
      <c r="N1047" s="165"/>
      <c r="O1047" s="163"/>
      <c r="P1047" s="82">
        <v>400</v>
      </c>
      <c r="Q1047" s="164">
        <v>0</v>
      </c>
      <c r="R1047" s="163"/>
      <c r="S1047" s="81" t="s">
        <v>58</v>
      </c>
      <c r="T1047" s="82">
        <v>0</v>
      </c>
      <c r="U1047" s="82">
        <v>0</v>
      </c>
      <c r="V1047" s="82">
        <v>0</v>
      </c>
      <c r="W1047" s="82">
        <v>0</v>
      </c>
      <c r="X1047" s="81"/>
      <c r="Y1047" s="81"/>
      <c r="Z1047" s="81" t="s">
        <v>58</v>
      </c>
      <c r="AA1047" s="81" t="s">
        <v>58</v>
      </c>
      <c r="AB1047" s="81" t="s">
        <v>58</v>
      </c>
      <c r="AC1047" s="83">
        <v>46102</v>
      </c>
    </row>
    <row r="1048" spans="2:29" ht="23" x14ac:dyDescent="0.35">
      <c r="B1048" s="81" t="s">
        <v>338</v>
      </c>
      <c r="C1048" s="81" t="s">
        <v>339</v>
      </c>
      <c r="D1048" s="81" t="s">
        <v>340</v>
      </c>
      <c r="E1048" s="81" t="s">
        <v>496</v>
      </c>
      <c r="F1048" s="162" t="s">
        <v>497</v>
      </c>
      <c r="G1048" s="163"/>
      <c r="H1048" s="81" t="s">
        <v>1475</v>
      </c>
      <c r="I1048" s="81" t="s">
        <v>1476</v>
      </c>
      <c r="J1048" s="81" t="s">
        <v>153</v>
      </c>
      <c r="K1048" s="81" t="s">
        <v>1508</v>
      </c>
      <c r="L1048" s="81" t="s">
        <v>58</v>
      </c>
      <c r="M1048" s="164">
        <v>4.8761140000000003</v>
      </c>
      <c r="N1048" s="165"/>
      <c r="O1048" s="163"/>
      <c r="P1048" s="82">
        <v>400</v>
      </c>
      <c r="Q1048" s="164">
        <v>0</v>
      </c>
      <c r="R1048" s="163"/>
      <c r="S1048" s="81" t="s">
        <v>58</v>
      </c>
      <c r="T1048" s="82">
        <v>0</v>
      </c>
      <c r="U1048" s="82">
        <v>0</v>
      </c>
      <c r="V1048" s="82">
        <v>0</v>
      </c>
      <c r="W1048" s="82">
        <v>0</v>
      </c>
      <c r="X1048" s="81"/>
      <c r="Y1048" s="81"/>
      <c r="Z1048" s="81" t="s">
        <v>58</v>
      </c>
      <c r="AA1048" s="81" t="s">
        <v>58</v>
      </c>
      <c r="AB1048" s="81" t="s">
        <v>58</v>
      </c>
      <c r="AC1048" s="83">
        <v>46102</v>
      </c>
    </row>
    <row r="1049" spans="2:29" ht="23" x14ac:dyDescent="0.35">
      <c r="B1049" s="81" t="s">
        <v>338</v>
      </c>
      <c r="C1049" s="81" t="s">
        <v>339</v>
      </c>
      <c r="D1049" s="81" t="s">
        <v>340</v>
      </c>
      <c r="E1049" s="81" t="s">
        <v>496</v>
      </c>
      <c r="F1049" s="162" t="s">
        <v>497</v>
      </c>
      <c r="G1049" s="163"/>
      <c r="H1049" s="81" t="s">
        <v>1475</v>
      </c>
      <c r="I1049" s="81" t="s">
        <v>1476</v>
      </c>
      <c r="J1049" s="81" t="s">
        <v>153</v>
      </c>
      <c r="K1049" s="81" t="s">
        <v>1509</v>
      </c>
      <c r="L1049" s="81" t="s">
        <v>58</v>
      </c>
      <c r="M1049" s="164">
        <v>4.4128831699999997</v>
      </c>
      <c r="N1049" s="165"/>
      <c r="O1049" s="163"/>
      <c r="P1049" s="82">
        <v>362</v>
      </c>
      <c r="Q1049" s="164">
        <v>0</v>
      </c>
      <c r="R1049" s="163"/>
      <c r="S1049" s="81" t="s">
        <v>58</v>
      </c>
      <c r="T1049" s="82">
        <v>0</v>
      </c>
      <c r="U1049" s="82">
        <v>0</v>
      </c>
      <c r="V1049" s="82">
        <v>0</v>
      </c>
      <c r="W1049" s="82">
        <v>0</v>
      </c>
      <c r="X1049" s="81"/>
      <c r="Y1049" s="81"/>
      <c r="Z1049" s="81" t="s">
        <v>58</v>
      </c>
      <c r="AA1049" s="81" t="s">
        <v>58</v>
      </c>
      <c r="AB1049" s="81" t="s">
        <v>58</v>
      </c>
      <c r="AC1049" s="83">
        <v>46102</v>
      </c>
    </row>
    <row r="1050" spans="2:29" ht="23" x14ac:dyDescent="0.35">
      <c r="B1050" s="81" t="s">
        <v>338</v>
      </c>
      <c r="C1050" s="81" t="s">
        <v>339</v>
      </c>
      <c r="D1050" s="81" t="s">
        <v>340</v>
      </c>
      <c r="E1050" s="81" t="s">
        <v>496</v>
      </c>
      <c r="F1050" s="162" t="s">
        <v>497</v>
      </c>
      <c r="G1050" s="163"/>
      <c r="H1050" s="81" t="s">
        <v>1475</v>
      </c>
      <c r="I1050" s="81" t="s">
        <v>1476</v>
      </c>
      <c r="J1050" s="81" t="s">
        <v>153</v>
      </c>
      <c r="K1050" s="81" t="s">
        <v>1510</v>
      </c>
      <c r="L1050" s="81" t="s">
        <v>58</v>
      </c>
      <c r="M1050" s="164">
        <v>5.0121916000000004</v>
      </c>
      <c r="N1050" s="165"/>
      <c r="O1050" s="163"/>
      <c r="P1050" s="82">
        <v>400</v>
      </c>
      <c r="Q1050" s="164">
        <v>0</v>
      </c>
      <c r="R1050" s="163"/>
      <c r="S1050" s="81" t="s">
        <v>58</v>
      </c>
      <c r="T1050" s="82">
        <v>0</v>
      </c>
      <c r="U1050" s="82">
        <v>0</v>
      </c>
      <c r="V1050" s="82">
        <v>0</v>
      </c>
      <c r="W1050" s="82">
        <v>0</v>
      </c>
      <c r="X1050" s="81"/>
      <c r="Y1050" s="81"/>
      <c r="Z1050" s="81" t="s">
        <v>58</v>
      </c>
      <c r="AA1050" s="81" t="s">
        <v>58</v>
      </c>
      <c r="AB1050" s="81" t="s">
        <v>58</v>
      </c>
      <c r="AC1050" s="83">
        <v>46102</v>
      </c>
    </row>
    <row r="1051" spans="2:29" ht="23" x14ac:dyDescent="0.35">
      <c r="B1051" s="81" t="s">
        <v>338</v>
      </c>
      <c r="C1051" s="81" t="s">
        <v>339</v>
      </c>
      <c r="D1051" s="81" t="s">
        <v>340</v>
      </c>
      <c r="E1051" s="81" t="s">
        <v>496</v>
      </c>
      <c r="F1051" s="162" t="s">
        <v>497</v>
      </c>
      <c r="G1051" s="163"/>
      <c r="H1051" s="81" t="s">
        <v>1475</v>
      </c>
      <c r="I1051" s="81" t="s">
        <v>1476</v>
      </c>
      <c r="J1051" s="81" t="s">
        <v>153</v>
      </c>
      <c r="K1051" s="81" t="s">
        <v>1511</v>
      </c>
      <c r="L1051" s="81" t="s">
        <v>58</v>
      </c>
      <c r="M1051" s="164">
        <v>3.859387532</v>
      </c>
      <c r="N1051" s="165"/>
      <c r="O1051" s="163"/>
      <c r="P1051" s="82">
        <v>308</v>
      </c>
      <c r="Q1051" s="164">
        <v>0</v>
      </c>
      <c r="R1051" s="163"/>
      <c r="S1051" s="81" t="s">
        <v>58</v>
      </c>
      <c r="T1051" s="82">
        <v>0</v>
      </c>
      <c r="U1051" s="82">
        <v>0</v>
      </c>
      <c r="V1051" s="82">
        <v>0</v>
      </c>
      <c r="W1051" s="82">
        <v>0</v>
      </c>
      <c r="X1051" s="81"/>
      <c r="Y1051" s="81"/>
      <c r="Z1051" s="81" t="s">
        <v>58</v>
      </c>
      <c r="AA1051" s="81" t="s">
        <v>58</v>
      </c>
      <c r="AB1051" s="81" t="s">
        <v>58</v>
      </c>
      <c r="AC1051" s="83">
        <v>46102</v>
      </c>
    </row>
    <row r="1052" spans="2:29" ht="23" x14ac:dyDescent="0.35">
      <c r="B1052" s="81" t="s">
        <v>338</v>
      </c>
      <c r="C1052" s="81" t="s">
        <v>339</v>
      </c>
      <c r="D1052" s="81" t="s">
        <v>340</v>
      </c>
      <c r="E1052" s="81" t="s">
        <v>496</v>
      </c>
      <c r="F1052" s="162" t="s">
        <v>497</v>
      </c>
      <c r="G1052" s="163"/>
      <c r="H1052" s="81" t="s">
        <v>1475</v>
      </c>
      <c r="I1052" s="81" t="s">
        <v>1476</v>
      </c>
      <c r="J1052" s="81" t="s">
        <v>153</v>
      </c>
      <c r="K1052" s="81" t="s">
        <v>1512</v>
      </c>
      <c r="L1052" s="81" t="s">
        <v>58</v>
      </c>
      <c r="M1052" s="164">
        <v>4.53592</v>
      </c>
      <c r="N1052" s="165"/>
      <c r="O1052" s="163"/>
      <c r="P1052" s="82">
        <v>400</v>
      </c>
      <c r="Q1052" s="164">
        <v>0</v>
      </c>
      <c r="R1052" s="163"/>
      <c r="S1052" s="81" t="s">
        <v>58</v>
      </c>
      <c r="T1052" s="82">
        <v>0</v>
      </c>
      <c r="U1052" s="82">
        <v>0</v>
      </c>
      <c r="V1052" s="82">
        <v>0</v>
      </c>
      <c r="W1052" s="82">
        <v>0</v>
      </c>
      <c r="X1052" s="81"/>
      <c r="Y1052" s="81"/>
      <c r="Z1052" s="81" t="s">
        <v>58</v>
      </c>
      <c r="AA1052" s="81" t="s">
        <v>58</v>
      </c>
      <c r="AB1052" s="81" t="s">
        <v>58</v>
      </c>
      <c r="AC1052" s="83">
        <v>46105</v>
      </c>
    </row>
    <row r="1053" spans="2:29" ht="23" x14ac:dyDescent="0.35">
      <c r="B1053" s="81" t="s">
        <v>338</v>
      </c>
      <c r="C1053" s="81" t="s">
        <v>339</v>
      </c>
      <c r="D1053" s="81" t="s">
        <v>340</v>
      </c>
      <c r="E1053" s="81" t="s">
        <v>806</v>
      </c>
      <c r="F1053" s="162" t="s">
        <v>807</v>
      </c>
      <c r="G1053" s="163"/>
      <c r="H1053" s="81" t="s">
        <v>1513</v>
      </c>
      <c r="I1053" s="81" t="s">
        <v>1514</v>
      </c>
      <c r="J1053" s="81" t="s">
        <v>154</v>
      </c>
      <c r="K1053" s="81" t="s">
        <v>1515</v>
      </c>
      <c r="L1053" s="81" t="s">
        <v>58</v>
      </c>
      <c r="M1053" s="164">
        <v>3.3665031249999999</v>
      </c>
      <c r="N1053" s="165"/>
      <c r="O1053" s="163"/>
      <c r="P1053" s="82">
        <v>125</v>
      </c>
      <c r="Q1053" s="164">
        <v>0</v>
      </c>
      <c r="R1053" s="163"/>
      <c r="S1053" s="81" t="s">
        <v>58</v>
      </c>
      <c r="T1053" s="82">
        <v>0</v>
      </c>
      <c r="U1053" s="82">
        <v>0</v>
      </c>
      <c r="V1053" s="82">
        <v>0</v>
      </c>
      <c r="W1053" s="82">
        <v>0</v>
      </c>
      <c r="X1053" s="81"/>
      <c r="Y1053" s="81"/>
      <c r="Z1053" s="81" t="s">
        <v>58</v>
      </c>
      <c r="AA1053" s="81" t="s">
        <v>58</v>
      </c>
      <c r="AB1053" s="81" t="s">
        <v>58</v>
      </c>
      <c r="AC1053" s="83">
        <v>46107</v>
      </c>
    </row>
    <row r="1054" spans="2:29" ht="23" x14ac:dyDescent="0.35">
      <c r="B1054" s="81" t="s">
        <v>338</v>
      </c>
      <c r="C1054" s="81" t="s">
        <v>339</v>
      </c>
      <c r="D1054" s="81" t="s">
        <v>340</v>
      </c>
      <c r="E1054" s="81" t="s">
        <v>806</v>
      </c>
      <c r="F1054" s="162" t="s">
        <v>807</v>
      </c>
      <c r="G1054" s="163"/>
      <c r="H1054" s="81" t="s">
        <v>1513</v>
      </c>
      <c r="I1054" s="81" t="s">
        <v>1514</v>
      </c>
      <c r="J1054" s="81" t="s">
        <v>154</v>
      </c>
      <c r="K1054" s="81" t="s">
        <v>1516</v>
      </c>
      <c r="L1054" s="81" t="s">
        <v>58</v>
      </c>
      <c r="M1054" s="164">
        <v>5.5848515000000001</v>
      </c>
      <c r="N1054" s="165"/>
      <c r="O1054" s="163"/>
      <c r="P1054" s="82">
        <v>200</v>
      </c>
      <c r="Q1054" s="164">
        <v>0</v>
      </c>
      <c r="R1054" s="163"/>
      <c r="S1054" s="81" t="s">
        <v>58</v>
      </c>
      <c r="T1054" s="82">
        <v>0</v>
      </c>
      <c r="U1054" s="82">
        <v>0</v>
      </c>
      <c r="V1054" s="82">
        <v>0</v>
      </c>
      <c r="W1054" s="82">
        <v>0</v>
      </c>
      <c r="X1054" s="81"/>
      <c r="Y1054" s="81"/>
      <c r="Z1054" s="81" t="s">
        <v>58</v>
      </c>
      <c r="AA1054" s="81" t="s">
        <v>58</v>
      </c>
      <c r="AB1054" s="81" t="s">
        <v>58</v>
      </c>
      <c r="AC1054" s="83">
        <v>46107</v>
      </c>
    </row>
    <row r="1055" spans="2:29" ht="23" x14ac:dyDescent="0.35">
      <c r="B1055" s="81" t="s">
        <v>338</v>
      </c>
      <c r="C1055" s="81" t="s">
        <v>339</v>
      </c>
      <c r="D1055" s="81" t="s">
        <v>340</v>
      </c>
      <c r="E1055" s="81" t="s">
        <v>806</v>
      </c>
      <c r="F1055" s="162" t="s">
        <v>807</v>
      </c>
      <c r="G1055" s="163"/>
      <c r="H1055" s="81" t="s">
        <v>1513</v>
      </c>
      <c r="I1055" s="81" t="s">
        <v>1514</v>
      </c>
      <c r="J1055" s="81" t="s">
        <v>154</v>
      </c>
      <c r="K1055" s="81" t="s">
        <v>1517</v>
      </c>
      <c r="L1055" s="81" t="s">
        <v>58</v>
      </c>
      <c r="M1055" s="164">
        <v>5.1101391224999997</v>
      </c>
      <c r="N1055" s="165"/>
      <c r="O1055" s="163"/>
      <c r="P1055" s="82">
        <v>183</v>
      </c>
      <c r="Q1055" s="164">
        <v>0</v>
      </c>
      <c r="R1055" s="163"/>
      <c r="S1055" s="81" t="s">
        <v>58</v>
      </c>
      <c r="T1055" s="82">
        <v>0</v>
      </c>
      <c r="U1055" s="82">
        <v>0</v>
      </c>
      <c r="V1055" s="82">
        <v>0</v>
      </c>
      <c r="W1055" s="82">
        <v>0</v>
      </c>
      <c r="X1055" s="81"/>
      <c r="Y1055" s="81"/>
      <c r="Z1055" s="81" t="s">
        <v>58</v>
      </c>
      <c r="AA1055" s="81" t="s">
        <v>58</v>
      </c>
      <c r="AB1055" s="81" t="s">
        <v>58</v>
      </c>
      <c r="AC1055" s="83">
        <v>46107</v>
      </c>
    </row>
    <row r="1056" spans="2:29" ht="23" x14ac:dyDescent="0.35">
      <c r="B1056" s="81" t="s">
        <v>338</v>
      </c>
      <c r="C1056" s="81" t="s">
        <v>339</v>
      </c>
      <c r="D1056" s="81" t="s">
        <v>340</v>
      </c>
      <c r="E1056" s="81" t="s">
        <v>806</v>
      </c>
      <c r="F1056" s="162" t="s">
        <v>807</v>
      </c>
      <c r="G1056" s="163"/>
      <c r="H1056" s="81" t="s">
        <v>1513</v>
      </c>
      <c r="I1056" s="81" t="s">
        <v>1514</v>
      </c>
      <c r="J1056" s="81" t="s">
        <v>154</v>
      </c>
      <c r="K1056" s="81" t="s">
        <v>1518</v>
      </c>
      <c r="L1056" s="81" t="s">
        <v>58</v>
      </c>
      <c r="M1056" s="164">
        <v>5.7832980000000003</v>
      </c>
      <c r="N1056" s="165"/>
      <c r="O1056" s="163"/>
      <c r="P1056" s="82">
        <v>200</v>
      </c>
      <c r="Q1056" s="164">
        <v>0</v>
      </c>
      <c r="R1056" s="163"/>
      <c r="S1056" s="81" t="s">
        <v>58</v>
      </c>
      <c r="T1056" s="82">
        <v>0</v>
      </c>
      <c r="U1056" s="82">
        <v>0</v>
      </c>
      <c r="V1056" s="82">
        <v>0</v>
      </c>
      <c r="W1056" s="82">
        <v>0</v>
      </c>
      <c r="X1056" s="81"/>
      <c r="Y1056" s="81"/>
      <c r="Z1056" s="81" t="s">
        <v>58</v>
      </c>
      <c r="AA1056" s="81" t="s">
        <v>58</v>
      </c>
      <c r="AB1056" s="81" t="s">
        <v>58</v>
      </c>
      <c r="AC1056" s="83">
        <v>46107</v>
      </c>
    </row>
    <row r="1057" spans="2:29" ht="23" x14ac:dyDescent="0.35">
      <c r="B1057" s="81" t="s">
        <v>338</v>
      </c>
      <c r="C1057" s="81" t="s">
        <v>339</v>
      </c>
      <c r="D1057" s="81" t="s">
        <v>340</v>
      </c>
      <c r="E1057" s="81" t="s">
        <v>806</v>
      </c>
      <c r="F1057" s="162" t="s">
        <v>807</v>
      </c>
      <c r="G1057" s="163"/>
      <c r="H1057" s="81" t="s">
        <v>1513</v>
      </c>
      <c r="I1057" s="81" t="s">
        <v>1514</v>
      </c>
      <c r="J1057" s="81" t="s">
        <v>154</v>
      </c>
      <c r="K1057" s="81" t="s">
        <v>1519</v>
      </c>
      <c r="L1057" s="81" t="s">
        <v>58</v>
      </c>
      <c r="M1057" s="164">
        <v>5.7832980000000003</v>
      </c>
      <c r="N1057" s="165"/>
      <c r="O1057" s="163"/>
      <c r="P1057" s="82">
        <v>200</v>
      </c>
      <c r="Q1057" s="164">
        <v>0</v>
      </c>
      <c r="R1057" s="163"/>
      <c r="S1057" s="81" t="s">
        <v>58</v>
      </c>
      <c r="T1057" s="82">
        <v>0</v>
      </c>
      <c r="U1057" s="82">
        <v>0</v>
      </c>
      <c r="V1057" s="82">
        <v>0</v>
      </c>
      <c r="W1057" s="82">
        <v>0</v>
      </c>
      <c r="X1057" s="81"/>
      <c r="Y1057" s="81"/>
      <c r="Z1057" s="81" t="s">
        <v>58</v>
      </c>
      <c r="AA1057" s="81" t="s">
        <v>58</v>
      </c>
      <c r="AB1057" s="81" t="s">
        <v>58</v>
      </c>
      <c r="AC1057" s="83">
        <v>46107</v>
      </c>
    </row>
    <row r="1058" spans="2:29" ht="23" x14ac:dyDescent="0.35">
      <c r="B1058" s="81" t="s">
        <v>338</v>
      </c>
      <c r="C1058" s="81" t="s">
        <v>339</v>
      </c>
      <c r="D1058" s="81" t="s">
        <v>340</v>
      </c>
      <c r="E1058" s="81" t="s">
        <v>806</v>
      </c>
      <c r="F1058" s="162" t="s">
        <v>807</v>
      </c>
      <c r="G1058" s="163"/>
      <c r="H1058" s="81" t="s">
        <v>1513</v>
      </c>
      <c r="I1058" s="81" t="s">
        <v>1514</v>
      </c>
      <c r="J1058" s="81" t="s">
        <v>154</v>
      </c>
      <c r="K1058" s="81" t="s">
        <v>1520</v>
      </c>
      <c r="L1058" s="81" t="s">
        <v>58</v>
      </c>
      <c r="M1058" s="164">
        <v>1.85065536</v>
      </c>
      <c r="N1058" s="165"/>
      <c r="O1058" s="163"/>
      <c r="P1058" s="82">
        <v>64</v>
      </c>
      <c r="Q1058" s="164">
        <v>0</v>
      </c>
      <c r="R1058" s="163"/>
      <c r="S1058" s="81" t="s">
        <v>58</v>
      </c>
      <c r="T1058" s="82">
        <v>0</v>
      </c>
      <c r="U1058" s="82">
        <v>0</v>
      </c>
      <c r="V1058" s="82">
        <v>0</v>
      </c>
      <c r="W1058" s="82">
        <v>0</v>
      </c>
      <c r="X1058" s="81"/>
      <c r="Y1058" s="81"/>
      <c r="Z1058" s="81" t="s">
        <v>58</v>
      </c>
      <c r="AA1058" s="81" t="s">
        <v>58</v>
      </c>
      <c r="AB1058" s="81" t="s">
        <v>58</v>
      </c>
      <c r="AC1058" s="83">
        <v>46107</v>
      </c>
    </row>
    <row r="1059" spans="2:29" ht="23" x14ac:dyDescent="0.35">
      <c r="B1059" s="81" t="s">
        <v>338</v>
      </c>
      <c r="C1059" s="81" t="s">
        <v>339</v>
      </c>
      <c r="D1059" s="81" t="s">
        <v>340</v>
      </c>
      <c r="E1059" s="81" t="s">
        <v>806</v>
      </c>
      <c r="F1059" s="162" t="s">
        <v>807</v>
      </c>
      <c r="G1059" s="163"/>
      <c r="H1059" s="81" t="s">
        <v>1513</v>
      </c>
      <c r="I1059" s="81" t="s">
        <v>1514</v>
      </c>
      <c r="J1059" s="81" t="s">
        <v>154</v>
      </c>
      <c r="K1059" s="81" t="s">
        <v>1521</v>
      </c>
      <c r="L1059" s="81" t="s">
        <v>58</v>
      </c>
      <c r="M1059" s="164">
        <v>5.9817444999999996</v>
      </c>
      <c r="N1059" s="165"/>
      <c r="O1059" s="163"/>
      <c r="P1059" s="82">
        <v>200</v>
      </c>
      <c r="Q1059" s="164">
        <v>0</v>
      </c>
      <c r="R1059" s="163"/>
      <c r="S1059" s="81" t="s">
        <v>58</v>
      </c>
      <c r="T1059" s="82">
        <v>0</v>
      </c>
      <c r="U1059" s="82">
        <v>0</v>
      </c>
      <c r="V1059" s="82">
        <v>0</v>
      </c>
      <c r="W1059" s="82">
        <v>0</v>
      </c>
      <c r="X1059" s="81"/>
      <c r="Y1059" s="81"/>
      <c r="Z1059" s="81" t="s">
        <v>58</v>
      </c>
      <c r="AA1059" s="81" t="s">
        <v>58</v>
      </c>
      <c r="AB1059" s="81" t="s">
        <v>58</v>
      </c>
      <c r="AC1059" s="83">
        <v>46107</v>
      </c>
    </row>
    <row r="1060" spans="2:29" ht="23" x14ac:dyDescent="0.35">
      <c r="B1060" s="81" t="s">
        <v>338</v>
      </c>
      <c r="C1060" s="81" t="s">
        <v>339</v>
      </c>
      <c r="D1060" s="81" t="s">
        <v>340</v>
      </c>
      <c r="E1060" s="81" t="s">
        <v>806</v>
      </c>
      <c r="F1060" s="162" t="s">
        <v>807</v>
      </c>
      <c r="G1060" s="163"/>
      <c r="H1060" s="81" t="s">
        <v>1513</v>
      </c>
      <c r="I1060" s="81" t="s">
        <v>1514</v>
      </c>
      <c r="J1060" s="81" t="s">
        <v>154</v>
      </c>
      <c r="K1060" s="81" t="s">
        <v>1522</v>
      </c>
      <c r="L1060" s="81" t="s">
        <v>58</v>
      </c>
      <c r="M1060" s="164">
        <v>4.7853956000000002</v>
      </c>
      <c r="N1060" s="165"/>
      <c r="O1060" s="163"/>
      <c r="P1060" s="82">
        <v>160</v>
      </c>
      <c r="Q1060" s="164">
        <v>0</v>
      </c>
      <c r="R1060" s="163"/>
      <c r="S1060" s="81" t="s">
        <v>58</v>
      </c>
      <c r="T1060" s="82">
        <v>0</v>
      </c>
      <c r="U1060" s="82">
        <v>0</v>
      </c>
      <c r="V1060" s="82">
        <v>0</v>
      </c>
      <c r="W1060" s="82">
        <v>0</v>
      </c>
      <c r="X1060" s="81"/>
      <c r="Y1060" s="81"/>
      <c r="Z1060" s="81" t="s">
        <v>58</v>
      </c>
      <c r="AA1060" s="81" t="s">
        <v>58</v>
      </c>
      <c r="AB1060" s="81" t="s">
        <v>58</v>
      </c>
      <c r="AC1060" s="83">
        <v>46107</v>
      </c>
    </row>
    <row r="1061" spans="2:29" ht="23" x14ac:dyDescent="0.35">
      <c r="B1061" s="81" t="s">
        <v>338</v>
      </c>
      <c r="C1061" s="81" t="s">
        <v>339</v>
      </c>
      <c r="D1061" s="81" t="s">
        <v>340</v>
      </c>
      <c r="E1061" s="81" t="s">
        <v>806</v>
      </c>
      <c r="F1061" s="162" t="s">
        <v>807</v>
      </c>
      <c r="G1061" s="163"/>
      <c r="H1061" s="81" t="s">
        <v>1513</v>
      </c>
      <c r="I1061" s="81" t="s">
        <v>1514</v>
      </c>
      <c r="J1061" s="81" t="s">
        <v>154</v>
      </c>
      <c r="K1061" s="81" t="s">
        <v>1523</v>
      </c>
      <c r="L1061" s="81" t="s">
        <v>58</v>
      </c>
      <c r="M1061" s="164">
        <v>7.3970932874999997</v>
      </c>
      <c r="N1061" s="165"/>
      <c r="O1061" s="163"/>
      <c r="P1061" s="82">
        <v>213</v>
      </c>
      <c r="Q1061" s="164">
        <v>0</v>
      </c>
      <c r="R1061" s="163"/>
      <c r="S1061" s="81" t="s">
        <v>58</v>
      </c>
      <c r="T1061" s="82">
        <v>0</v>
      </c>
      <c r="U1061" s="82">
        <v>0</v>
      </c>
      <c r="V1061" s="82">
        <v>0</v>
      </c>
      <c r="W1061" s="82">
        <v>0</v>
      </c>
      <c r="X1061" s="81"/>
      <c r="Y1061" s="81"/>
      <c r="Z1061" s="81" t="s">
        <v>58</v>
      </c>
      <c r="AA1061" s="81" t="s">
        <v>58</v>
      </c>
      <c r="AB1061" s="81" t="s">
        <v>58</v>
      </c>
      <c r="AC1061" s="83">
        <v>46107</v>
      </c>
    </row>
    <row r="1062" spans="2:29" ht="23" x14ac:dyDescent="0.35">
      <c r="B1062" s="81" t="s">
        <v>338</v>
      </c>
      <c r="C1062" s="81" t="s">
        <v>339</v>
      </c>
      <c r="D1062" s="81" t="s">
        <v>340</v>
      </c>
      <c r="E1062" s="81" t="s">
        <v>806</v>
      </c>
      <c r="F1062" s="162" t="s">
        <v>807</v>
      </c>
      <c r="G1062" s="163"/>
      <c r="H1062" s="81" t="s">
        <v>1513</v>
      </c>
      <c r="I1062" s="81" t="s">
        <v>1514</v>
      </c>
      <c r="J1062" s="81" t="s">
        <v>154</v>
      </c>
      <c r="K1062" s="81" t="s">
        <v>1524</v>
      </c>
      <c r="L1062" s="81" t="s">
        <v>58</v>
      </c>
      <c r="M1062" s="164">
        <v>3.7565922450000002</v>
      </c>
      <c r="N1062" s="165"/>
      <c r="O1062" s="163"/>
      <c r="P1062" s="82">
        <v>105</v>
      </c>
      <c r="Q1062" s="164">
        <v>0</v>
      </c>
      <c r="R1062" s="163"/>
      <c r="S1062" s="81" t="s">
        <v>58</v>
      </c>
      <c r="T1062" s="82">
        <v>0</v>
      </c>
      <c r="U1062" s="82">
        <v>0</v>
      </c>
      <c r="V1062" s="82">
        <v>0</v>
      </c>
      <c r="W1062" s="82">
        <v>0</v>
      </c>
      <c r="X1062" s="81"/>
      <c r="Y1062" s="81"/>
      <c r="Z1062" s="81" t="s">
        <v>58</v>
      </c>
      <c r="AA1062" s="81" t="s">
        <v>58</v>
      </c>
      <c r="AB1062" s="81" t="s">
        <v>58</v>
      </c>
      <c r="AC1062" s="83">
        <v>46107</v>
      </c>
    </row>
    <row r="1063" spans="2:29" ht="23" x14ac:dyDescent="0.35">
      <c r="B1063" s="81" t="s">
        <v>338</v>
      </c>
      <c r="C1063" s="81" t="s">
        <v>339</v>
      </c>
      <c r="D1063" s="81" t="s">
        <v>340</v>
      </c>
      <c r="E1063" s="81" t="s">
        <v>806</v>
      </c>
      <c r="F1063" s="162" t="s">
        <v>807</v>
      </c>
      <c r="G1063" s="163"/>
      <c r="H1063" s="81" t="s">
        <v>1525</v>
      </c>
      <c r="I1063" s="81" t="s">
        <v>1526</v>
      </c>
      <c r="J1063" s="81" t="s">
        <v>153</v>
      </c>
      <c r="K1063" s="81" t="s">
        <v>1527</v>
      </c>
      <c r="L1063" s="81" t="s">
        <v>58</v>
      </c>
      <c r="M1063" s="164">
        <v>2.7428141250000002</v>
      </c>
      <c r="N1063" s="165"/>
      <c r="O1063" s="163"/>
      <c r="P1063" s="82">
        <v>250</v>
      </c>
      <c r="Q1063" s="164">
        <v>0</v>
      </c>
      <c r="R1063" s="163"/>
      <c r="S1063" s="81" t="s">
        <v>58</v>
      </c>
      <c r="T1063" s="82">
        <v>0</v>
      </c>
      <c r="U1063" s="82">
        <v>0</v>
      </c>
      <c r="V1063" s="82">
        <v>0</v>
      </c>
      <c r="W1063" s="82">
        <v>0</v>
      </c>
      <c r="X1063" s="81"/>
      <c r="Y1063" s="81"/>
      <c r="Z1063" s="81" t="s">
        <v>58</v>
      </c>
      <c r="AA1063" s="81" t="s">
        <v>58</v>
      </c>
      <c r="AB1063" s="81" t="s">
        <v>58</v>
      </c>
      <c r="AC1063" s="83">
        <v>46107</v>
      </c>
    </row>
    <row r="1064" spans="2:29" ht="23" x14ac:dyDescent="0.35">
      <c r="B1064" s="81" t="s">
        <v>338</v>
      </c>
      <c r="C1064" s="81" t="s">
        <v>339</v>
      </c>
      <c r="D1064" s="81" t="s">
        <v>340</v>
      </c>
      <c r="E1064" s="81" t="s">
        <v>806</v>
      </c>
      <c r="F1064" s="162" t="s">
        <v>807</v>
      </c>
      <c r="G1064" s="163"/>
      <c r="H1064" s="81" t="s">
        <v>1525</v>
      </c>
      <c r="I1064" s="81" t="s">
        <v>1526</v>
      </c>
      <c r="J1064" s="81" t="s">
        <v>153</v>
      </c>
      <c r="K1064" s="81" t="s">
        <v>1528</v>
      </c>
      <c r="L1064" s="81" t="s">
        <v>58</v>
      </c>
      <c r="M1064" s="164">
        <v>4.53592</v>
      </c>
      <c r="N1064" s="165"/>
      <c r="O1064" s="163"/>
      <c r="P1064" s="82">
        <v>400</v>
      </c>
      <c r="Q1064" s="164">
        <v>0</v>
      </c>
      <c r="R1064" s="163"/>
      <c r="S1064" s="81" t="s">
        <v>58</v>
      </c>
      <c r="T1064" s="82">
        <v>0</v>
      </c>
      <c r="U1064" s="82">
        <v>0</v>
      </c>
      <c r="V1064" s="82">
        <v>0</v>
      </c>
      <c r="W1064" s="82">
        <v>0</v>
      </c>
      <c r="X1064" s="81"/>
      <c r="Y1064" s="81"/>
      <c r="Z1064" s="81" t="s">
        <v>58</v>
      </c>
      <c r="AA1064" s="81" t="s">
        <v>58</v>
      </c>
      <c r="AB1064" s="81" t="s">
        <v>58</v>
      </c>
      <c r="AC1064" s="83">
        <v>46107</v>
      </c>
    </row>
    <row r="1065" spans="2:29" ht="23" x14ac:dyDescent="0.35">
      <c r="B1065" s="81" t="s">
        <v>338</v>
      </c>
      <c r="C1065" s="81" t="s">
        <v>339</v>
      </c>
      <c r="D1065" s="81" t="s">
        <v>340</v>
      </c>
      <c r="E1065" s="81" t="s">
        <v>806</v>
      </c>
      <c r="F1065" s="162" t="s">
        <v>807</v>
      </c>
      <c r="G1065" s="163"/>
      <c r="H1065" s="81" t="s">
        <v>1525</v>
      </c>
      <c r="I1065" s="81" t="s">
        <v>1526</v>
      </c>
      <c r="J1065" s="81" t="s">
        <v>153</v>
      </c>
      <c r="K1065" s="81" t="s">
        <v>1529</v>
      </c>
      <c r="L1065" s="81" t="s">
        <v>58</v>
      </c>
      <c r="M1065" s="164">
        <v>3.4699787999999998</v>
      </c>
      <c r="N1065" s="165"/>
      <c r="O1065" s="163"/>
      <c r="P1065" s="82">
        <v>306</v>
      </c>
      <c r="Q1065" s="164">
        <v>0</v>
      </c>
      <c r="R1065" s="163"/>
      <c r="S1065" s="81" t="s">
        <v>58</v>
      </c>
      <c r="T1065" s="82">
        <v>0</v>
      </c>
      <c r="U1065" s="82">
        <v>0</v>
      </c>
      <c r="V1065" s="82">
        <v>0</v>
      </c>
      <c r="W1065" s="82">
        <v>0</v>
      </c>
      <c r="X1065" s="81"/>
      <c r="Y1065" s="81"/>
      <c r="Z1065" s="81" t="s">
        <v>58</v>
      </c>
      <c r="AA1065" s="81" t="s">
        <v>58</v>
      </c>
      <c r="AB1065" s="81" t="s">
        <v>58</v>
      </c>
      <c r="AC1065" s="83">
        <v>46107</v>
      </c>
    </row>
    <row r="1066" spans="2:29" ht="23" x14ac:dyDescent="0.35">
      <c r="B1066" s="81" t="s">
        <v>338</v>
      </c>
      <c r="C1066" s="81" t="s">
        <v>339</v>
      </c>
      <c r="D1066" s="81" t="s">
        <v>340</v>
      </c>
      <c r="E1066" s="81" t="s">
        <v>806</v>
      </c>
      <c r="F1066" s="162" t="s">
        <v>807</v>
      </c>
      <c r="G1066" s="163"/>
      <c r="H1066" s="81" t="s">
        <v>1525</v>
      </c>
      <c r="I1066" s="81" t="s">
        <v>1526</v>
      </c>
      <c r="J1066" s="81" t="s">
        <v>153</v>
      </c>
      <c r="K1066" s="81" t="s">
        <v>1530</v>
      </c>
      <c r="L1066" s="81" t="s">
        <v>58</v>
      </c>
      <c r="M1066" s="164">
        <v>4.6493180000000001</v>
      </c>
      <c r="N1066" s="165"/>
      <c r="O1066" s="163"/>
      <c r="P1066" s="82">
        <v>400</v>
      </c>
      <c r="Q1066" s="164">
        <v>0</v>
      </c>
      <c r="R1066" s="163"/>
      <c r="S1066" s="81" t="s">
        <v>58</v>
      </c>
      <c r="T1066" s="82">
        <v>0</v>
      </c>
      <c r="U1066" s="82">
        <v>0</v>
      </c>
      <c r="V1066" s="82">
        <v>0</v>
      </c>
      <c r="W1066" s="82">
        <v>0</v>
      </c>
      <c r="X1066" s="81"/>
      <c r="Y1066" s="81"/>
      <c r="Z1066" s="81" t="s">
        <v>58</v>
      </c>
      <c r="AA1066" s="81" t="s">
        <v>58</v>
      </c>
      <c r="AB1066" s="81" t="s">
        <v>58</v>
      </c>
      <c r="AC1066" s="83">
        <v>46107</v>
      </c>
    </row>
    <row r="1067" spans="2:29" ht="23" x14ac:dyDescent="0.35">
      <c r="B1067" s="81" t="s">
        <v>338</v>
      </c>
      <c r="C1067" s="81" t="s">
        <v>339</v>
      </c>
      <c r="D1067" s="81" t="s">
        <v>340</v>
      </c>
      <c r="E1067" s="81" t="s">
        <v>806</v>
      </c>
      <c r="F1067" s="162" t="s">
        <v>807</v>
      </c>
      <c r="G1067" s="163"/>
      <c r="H1067" s="81" t="s">
        <v>1525</v>
      </c>
      <c r="I1067" s="81" t="s">
        <v>1526</v>
      </c>
      <c r="J1067" s="81" t="s">
        <v>153</v>
      </c>
      <c r="K1067" s="81" t="s">
        <v>1531</v>
      </c>
      <c r="L1067" s="81" t="s">
        <v>58</v>
      </c>
      <c r="M1067" s="164">
        <v>4.6493180000000001</v>
      </c>
      <c r="N1067" s="165"/>
      <c r="O1067" s="163"/>
      <c r="P1067" s="82">
        <v>400</v>
      </c>
      <c r="Q1067" s="164">
        <v>0</v>
      </c>
      <c r="R1067" s="163"/>
      <c r="S1067" s="81" t="s">
        <v>58</v>
      </c>
      <c r="T1067" s="82">
        <v>0</v>
      </c>
      <c r="U1067" s="82">
        <v>0</v>
      </c>
      <c r="V1067" s="82">
        <v>0</v>
      </c>
      <c r="W1067" s="82">
        <v>0</v>
      </c>
      <c r="X1067" s="81"/>
      <c r="Y1067" s="81"/>
      <c r="Z1067" s="81" t="s">
        <v>58</v>
      </c>
      <c r="AA1067" s="81" t="s">
        <v>58</v>
      </c>
      <c r="AB1067" s="81" t="s">
        <v>58</v>
      </c>
      <c r="AC1067" s="83">
        <v>46107</v>
      </c>
    </row>
    <row r="1068" spans="2:29" ht="23" x14ac:dyDescent="0.35">
      <c r="B1068" s="81" t="s">
        <v>338</v>
      </c>
      <c r="C1068" s="81" t="s">
        <v>339</v>
      </c>
      <c r="D1068" s="81" t="s">
        <v>340</v>
      </c>
      <c r="E1068" s="81" t="s">
        <v>806</v>
      </c>
      <c r="F1068" s="162" t="s">
        <v>807</v>
      </c>
      <c r="G1068" s="163"/>
      <c r="H1068" s="81" t="s">
        <v>1525</v>
      </c>
      <c r="I1068" s="81" t="s">
        <v>1526</v>
      </c>
      <c r="J1068" s="81" t="s">
        <v>153</v>
      </c>
      <c r="K1068" s="81" t="s">
        <v>1532</v>
      </c>
      <c r="L1068" s="81" t="s">
        <v>58</v>
      </c>
      <c r="M1068" s="164">
        <v>0.79038406000000005</v>
      </c>
      <c r="N1068" s="165"/>
      <c r="O1068" s="163"/>
      <c r="P1068" s="82">
        <v>68</v>
      </c>
      <c r="Q1068" s="164">
        <v>0</v>
      </c>
      <c r="R1068" s="163"/>
      <c r="S1068" s="81" t="s">
        <v>58</v>
      </c>
      <c r="T1068" s="82">
        <v>0</v>
      </c>
      <c r="U1068" s="82">
        <v>0</v>
      </c>
      <c r="V1068" s="82">
        <v>0</v>
      </c>
      <c r="W1068" s="82">
        <v>0</v>
      </c>
      <c r="X1068" s="81"/>
      <c r="Y1068" s="81"/>
      <c r="Z1068" s="81" t="s">
        <v>58</v>
      </c>
      <c r="AA1068" s="81" t="s">
        <v>58</v>
      </c>
      <c r="AB1068" s="81" t="s">
        <v>58</v>
      </c>
      <c r="AC1068" s="83">
        <v>46107</v>
      </c>
    </row>
    <row r="1069" spans="2:29" ht="23" x14ac:dyDescent="0.35">
      <c r="B1069" s="81" t="s">
        <v>338</v>
      </c>
      <c r="C1069" s="81" t="s">
        <v>339</v>
      </c>
      <c r="D1069" s="81" t="s">
        <v>340</v>
      </c>
      <c r="E1069" s="81" t="s">
        <v>806</v>
      </c>
      <c r="F1069" s="162" t="s">
        <v>807</v>
      </c>
      <c r="G1069" s="163"/>
      <c r="H1069" s="81" t="s">
        <v>1525</v>
      </c>
      <c r="I1069" s="81" t="s">
        <v>1526</v>
      </c>
      <c r="J1069" s="81" t="s">
        <v>153</v>
      </c>
      <c r="K1069" s="81" t="s">
        <v>1533</v>
      </c>
      <c r="L1069" s="81" t="s">
        <v>58</v>
      </c>
      <c r="M1069" s="164">
        <v>4.7627160000000002</v>
      </c>
      <c r="N1069" s="165"/>
      <c r="O1069" s="163"/>
      <c r="P1069" s="82">
        <v>400</v>
      </c>
      <c r="Q1069" s="164">
        <v>0</v>
      </c>
      <c r="R1069" s="163"/>
      <c r="S1069" s="81" t="s">
        <v>58</v>
      </c>
      <c r="T1069" s="82">
        <v>0</v>
      </c>
      <c r="U1069" s="82">
        <v>0</v>
      </c>
      <c r="V1069" s="82">
        <v>0</v>
      </c>
      <c r="W1069" s="82">
        <v>0</v>
      </c>
      <c r="X1069" s="81"/>
      <c r="Y1069" s="81"/>
      <c r="Z1069" s="81" t="s">
        <v>58</v>
      </c>
      <c r="AA1069" s="81" t="s">
        <v>58</v>
      </c>
      <c r="AB1069" s="81" t="s">
        <v>58</v>
      </c>
      <c r="AC1069" s="83">
        <v>46107</v>
      </c>
    </row>
    <row r="1070" spans="2:29" ht="23" x14ac:dyDescent="0.35">
      <c r="B1070" s="81" t="s">
        <v>338</v>
      </c>
      <c r="C1070" s="81" t="s">
        <v>339</v>
      </c>
      <c r="D1070" s="81" t="s">
        <v>340</v>
      </c>
      <c r="E1070" s="81" t="s">
        <v>806</v>
      </c>
      <c r="F1070" s="162" t="s">
        <v>807</v>
      </c>
      <c r="G1070" s="163"/>
      <c r="H1070" s="81" t="s">
        <v>1525</v>
      </c>
      <c r="I1070" s="81" t="s">
        <v>1526</v>
      </c>
      <c r="J1070" s="81" t="s">
        <v>153</v>
      </c>
      <c r="K1070" s="81" t="s">
        <v>1534</v>
      </c>
      <c r="L1070" s="81" t="s">
        <v>58</v>
      </c>
      <c r="M1070" s="164">
        <v>3.8101728000000001</v>
      </c>
      <c r="N1070" s="165"/>
      <c r="O1070" s="163"/>
      <c r="P1070" s="82">
        <v>320</v>
      </c>
      <c r="Q1070" s="164">
        <v>0</v>
      </c>
      <c r="R1070" s="163"/>
      <c r="S1070" s="81" t="s">
        <v>58</v>
      </c>
      <c r="T1070" s="82">
        <v>0</v>
      </c>
      <c r="U1070" s="82">
        <v>0</v>
      </c>
      <c r="V1070" s="82">
        <v>0</v>
      </c>
      <c r="W1070" s="82">
        <v>0</v>
      </c>
      <c r="X1070" s="81"/>
      <c r="Y1070" s="81"/>
      <c r="Z1070" s="81" t="s">
        <v>58</v>
      </c>
      <c r="AA1070" s="81" t="s">
        <v>58</v>
      </c>
      <c r="AB1070" s="81" t="s">
        <v>58</v>
      </c>
      <c r="AC1070" s="83">
        <v>46107</v>
      </c>
    </row>
    <row r="1071" spans="2:29" ht="23" x14ac:dyDescent="0.35">
      <c r="B1071" s="81" t="s">
        <v>338</v>
      </c>
      <c r="C1071" s="81" t="s">
        <v>339</v>
      </c>
      <c r="D1071" s="81" t="s">
        <v>340</v>
      </c>
      <c r="E1071" s="81" t="s">
        <v>806</v>
      </c>
      <c r="F1071" s="162" t="s">
        <v>807</v>
      </c>
      <c r="G1071" s="163"/>
      <c r="H1071" s="81" t="s">
        <v>1525</v>
      </c>
      <c r="I1071" s="81" t="s">
        <v>1526</v>
      </c>
      <c r="J1071" s="81" t="s">
        <v>153</v>
      </c>
      <c r="K1071" s="81" t="s">
        <v>1535</v>
      </c>
      <c r="L1071" s="81" t="s">
        <v>58</v>
      </c>
      <c r="M1071" s="164">
        <v>5.1930614100000003</v>
      </c>
      <c r="N1071" s="165"/>
      <c r="O1071" s="163"/>
      <c r="P1071" s="82">
        <v>426</v>
      </c>
      <c r="Q1071" s="164">
        <v>0</v>
      </c>
      <c r="R1071" s="163"/>
      <c r="S1071" s="81" t="s">
        <v>58</v>
      </c>
      <c r="T1071" s="82">
        <v>0</v>
      </c>
      <c r="U1071" s="82">
        <v>0</v>
      </c>
      <c r="V1071" s="82">
        <v>0</v>
      </c>
      <c r="W1071" s="82">
        <v>0</v>
      </c>
      <c r="X1071" s="81"/>
      <c r="Y1071" s="81"/>
      <c r="Z1071" s="81" t="s">
        <v>58</v>
      </c>
      <c r="AA1071" s="81" t="s">
        <v>58</v>
      </c>
      <c r="AB1071" s="81" t="s">
        <v>58</v>
      </c>
      <c r="AC1071" s="83">
        <v>46107</v>
      </c>
    </row>
    <row r="1072" spans="2:29" ht="23" x14ac:dyDescent="0.35">
      <c r="B1072" s="81" t="s">
        <v>338</v>
      </c>
      <c r="C1072" s="81" t="s">
        <v>339</v>
      </c>
      <c r="D1072" s="81" t="s">
        <v>340</v>
      </c>
      <c r="E1072" s="81" t="s">
        <v>806</v>
      </c>
      <c r="F1072" s="162" t="s">
        <v>807</v>
      </c>
      <c r="G1072" s="163"/>
      <c r="H1072" s="81" t="s">
        <v>1525</v>
      </c>
      <c r="I1072" s="81" t="s">
        <v>1526</v>
      </c>
      <c r="J1072" s="81" t="s">
        <v>153</v>
      </c>
      <c r="K1072" s="81" t="s">
        <v>1536</v>
      </c>
      <c r="L1072" s="81" t="s">
        <v>58</v>
      </c>
      <c r="M1072" s="164">
        <v>2.625447195</v>
      </c>
      <c r="N1072" s="165"/>
      <c r="O1072" s="163"/>
      <c r="P1072" s="82">
        <v>210</v>
      </c>
      <c r="Q1072" s="164">
        <v>0</v>
      </c>
      <c r="R1072" s="163"/>
      <c r="S1072" s="81" t="s">
        <v>58</v>
      </c>
      <c r="T1072" s="82">
        <v>0</v>
      </c>
      <c r="U1072" s="82">
        <v>0</v>
      </c>
      <c r="V1072" s="82">
        <v>0</v>
      </c>
      <c r="W1072" s="82">
        <v>0</v>
      </c>
      <c r="X1072" s="81"/>
      <c r="Y1072" s="81"/>
      <c r="Z1072" s="81" t="s">
        <v>58</v>
      </c>
      <c r="AA1072" s="81" t="s">
        <v>58</v>
      </c>
      <c r="AB1072" s="81" t="s">
        <v>58</v>
      </c>
      <c r="AC1072" s="83">
        <v>46107</v>
      </c>
    </row>
    <row r="1073" spans="2:29" ht="23" x14ac:dyDescent="0.35">
      <c r="B1073" s="81" t="s">
        <v>338</v>
      </c>
      <c r="C1073" s="81" t="s">
        <v>339</v>
      </c>
      <c r="D1073" s="81" t="s">
        <v>340</v>
      </c>
      <c r="E1073" s="81" t="s">
        <v>447</v>
      </c>
      <c r="F1073" s="162" t="s">
        <v>448</v>
      </c>
      <c r="G1073" s="163"/>
      <c r="H1073" s="81" t="s">
        <v>1537</v>
      </c>
      <c r="I1073" s="81" t="s">
        <v>1436</v>
      </c>
      <c r="J1073" s="81" t="s">
        <v>154</v>
      </c>
      <c r="K1073" s="81" t="s">
        <v>1538</v>
      </c>
      <c r="L1073" s="81" t="s">
        <v>58</v>
      </c>
      <c r="M1073" s="164">
        <v>5.4431039999999999</v>
      </c>
      <c r="N1073" s="165"/>
      <c r="O1073" s="163"/>
      <c r="P1073" s="82">
        <v>200</v>
      </c>
      <c r="Q1073" s="164">
        <v>0</v>
      </c>
      <c r="R1073" s="163"/>
      <c r="S1073" s="81" t="s">
        <v>58</v>
      </c>
      <c r="T1073" s="82">
        <v>0</v>
      </c>
      <c r="U1073" s="82">
        <v>0</v>
      </c>
      <c r="V1073" s="82">
        <v>0</v>
      </c>
      <c r="W1073" s="82">
        <v>0</v>
      </c>
      <c r="X1073" s="81"/>
      <c r="Y1073" s="81"/>
      <c r="Z1073" s="81" t="s">
        <v>58</v>
      </c>
      <c r="AA1073" s="81" t="s">
        <v>58</v>
      </c>
      <c r="AB1073" s="81" t="s">
        <v>58</v>
      </c>
      <c r="AC1073" s="83">
        <v>46112</v>
      </c>
    </row>
    <row r="1074" spans="2:29" ht="23" x14ac:dyDescent="0.35">
      <c r="B1074" s="81" t="s">
        <v>338</v>
      </c>
      <c r="C1074" s="81" t="s">
        <v>339</v>
      </c>
      <c r="D1074" s="81" t="s">
        <v>340</v>
      </c>
      <c r="E1074" s="81" t="s">
        <v>447</v>
      </c>
      <c r="F1074" s="162" t="s">
        <v>448</v>
      </c>
      <c r="G1074" s="163"/>
      <c r="H1074" s="81" t="s">
        <v>1537</v>
      </c>
      <c r="I1074" s="81" t="s">
        <v>1436</v>
      </c>
      <c r="J1074" s="81" t="s">
        <v>154</v>
      </c>
      <c r="K1074" s="81" t="s">
        <v>1539</v>
      </c>
      <c r="L1074" s="81" t="s">
        <v>58</v>
      </c>
      <c r="M1074" s="164">
        <v>5.2798108800000003</v>
      </c>
      <c r="N1074" s="165"/>
      <c r="O1074" s="163"/>
      <c r="P1074" s="82">
        <v>194</v>
      </c>
      <c r="Q1074" s="164">
        <v>0</v>
      </c>
      <c r="R1074" s="163"/>
      <c r="S1074" s="81" t="s">
        <v>58</v>
      </c>
      <c r="T1074" s="82">
        <v>0</v>
      </c>
      <c r="U1074" s="82">
        <v>0</v>
      </c>
      <c r="V1074" s="82">
        <v>0</v>
      </c>
      <c r="W1074" s="82">
        <v>0</v>
      </c>
      <c r="X1074" s="81"/>
      <c r="Y1074" s="81"/>
      <c r="Z1074" s="81" t="s">
        <v>58</v>
      </c>
      <c r="AA1074" s="81" t="s">
        <v>58</v>
      </c>
      <c r="AB1074" s="81" t="s">
        <v>58</v>
      </c>
      <c r="AC1074" s="83">
        <v>46112</v>
      </c>
    </row>
    <row r="1075" spans="2:29" ht="23" x14ac:dyDescent="0.35">
      <c r="B1075" s="81" t="s">
        <v>338</v>
      </c>
      <c r="C1075" s="81" t="s">
        <v>339</v>
      </c>
      <c r="D1075" s="81" t="s">
        <v>340</v>
      </c>
      <c r="E1075" s="81" t="s">
        <v>447</v>
      </c>
      <c r="F1075" s="162" t="s">
        <v>448</v>
      </c>
      <c r="G1075" s="163"/>
      <c r="H1075" s="81" t="s">
        <v>1537</v>
      </c>
      <c r="I1075" s="81" t="s">
        <v>1436</v>
      </c>
      <c r="J1075" s="81" t="s">
        <v>154</v>
      </c>
      <c r="K1075" s="81" t="s">
        <v>1540</v>
      </c>
      <c r="L1075" s="81" t="s">
        <v>58</v>
      </c>
      <c r="M1075" s="164">
        <v>5.6415505000000001</v>
      </c>
      <c r="N1075" s="165"/>
      <c r="O1075" s="163"/>
      <c r="P1075" s="82">
        <v>200</v>
      </c>
      <c r="Q1075" s="164">
        <v>0</v>
      </c>
      <c r="R1075" s="163"/>
      <c r="S1075" s="81" t="s">
        <v>58</v>
      </c>
      <c r="T1075" s="82">
        <v>0</v>
      </c>
      <c r="U1075" s="82">
        <v>0</v>
      </c>
      <c r="V1075" s="82">
        <v>0</v>
      </c>
      <c r="W1075" s="82">
        <v>0</v>
      </c>
      <c r="X1075" s="81"/>
      <c r="Y1075" s="81"/>
      <c r="Z1075" s="81" t="s">
        <v>58</v>
      </c>
      <c r="AA1075" s="81" t="s">
        <v>58</v>
      </c>
      <c r="AB1075" s="81" t="s">
        <v>58</v>
      </c>
      <c r="AC1075" s="83">
        <v>46109</v>
      </c>
    </row>
    <row r="1076" spans="2:29" ht="23" x14ac:dyDescent="0.35">
      <c r="B1076" s="81" t="s">
        <v>338</v>
      </c>
      <c r="C1076" s="81" t="s">
        <v>339</v>
      </c>
      <c r="D1076" s="81" t="s">
        <v>340</v>
      </c>
      <c r="E1076" s="81" t="s">
        <v>447</v>
      </c>
      <c r="F1076" s="162" t="s">
        <v>448</v>
      </c>
      <c r="G1076" s="163"/>
      <c r="H1076" s="81" t="s">
        <v>1537</v>
      </c>
      <c r="I1076" s="81" t="s">
        <v>1436</v>
      </c>
      <c r="J1076" s="81" t="s">
        <v>154</v>
      </c>
      <c r="K1076" s="81" t="s">
        <v>1541</v>
      </c>
      <c r="L1076" s="81" t="s">
        <v>58</v>
      </c>
      <c r="M1076" s="164">
        <v>5.6415505000000001</v>
      </c>
      <c r="N1076" s="165"/>
      <c r="O1076" s="163"/>
      <c r="P1076" s="82">
        <v>200</v>
      </c>
      <c r="Q1076" s="164">
        <v>0</v>
      </c>
      <c r="R1076" s="163"/>
      <c r="S1076" s="81" t="s">
        <v>58</v>
      </c>
      <c r="T1076" s="82">
        <v>0</v>
      </c>
      <c r="U1076" s="82">
        <v>0</v>
      </c>
      <c r="V1076" s="82">
        <v>0</v>
      </c>
      <c r="W1076" s="82">
        <v>0</v>
      </c>
      <c r="X1076" s="81"/>
      <c r="Y1076" s="81"/>
      <c r="Z1076" s="81" t="s">
        <v>58</v>
      </c>
      <c r="AA1076" s="81" t="s">
        <v>58</v>
      </c>
      <c r="AB1076" s="81" t="s">
        <v>58</v>
      </c>
      <c r="AC1076" s="83">
        <v>46109</v>
      </c>
    </row>
    <row r="1077" spans="2:29" ht="23" x14ac:dyDescent="0.35">
      <c r="B1077" s="81" t="s">
        <v>338</v>
      </c>
      <c r="C1077" s="81" t="s">
        <v>339</v>
      </c>
      <c r="D1077" s="81" t="s">
        <v>340</v>
      </c>
      <c r="E1077" s="81" t="s">
        <v>447</v>
      </c>
      <c r="F1077" s="162" t="s">
        <v>448</v>
      </c>
      <c r="G1077" s="163"/>
      <c r="H1077" s="81" t="s">
        <v>1537</v>
      </c>
      <c r="I1077" s="81" t="s">
        <v>1436</v>
      </c>
      <c r="J1077" s="81" t="s">
        <v>154</v>
      </c>
      <c r="K1077" s="81" t="s">
        <v>1542</v>
      </c>
      <c r="L1077" s="81" t="s">
        <v>58</v>
      </c>
      <c r="M1077" s="164">
        <v>5.6415505000000001</v>
      </c>
      <c r="N1077" s="165"/>
      <c r="O1077" s="163"/>
      <c r="P1077" s="82">
        <v>200</v>
      </c>
      <c r="Q1077" s="164">
        <v>0</v>
      </c>
      <c r="R1077" s="163"/>
      <c r="S1077" s="81" t="s">
        <v>58</v>
      </c>
      <c r="T1077" s="82">
        <v>0</v>
      </c>
      <c r="U1077" s="82">
        <v>0</v>
      </c>
      <c r="V1077" s="82">
        <v>0</v>
      </c>
      <c r="W1077" s="82">
        <v>0</v>
      </c>
      <c r="X1077" s="81"/>
      <c r="Y1077" s="81"/>
      <c r="Z1077" s="81" t="s">
        <v>58</v>
      </c>
      <c r="AA1077" s="81" t="s">
        <v>58</v>
      </c>
      <c r="AB1077" s="81" t="s">
        <v>58</v>
      </c>
      <c r="AC1077" s="83">
        <v>46109</v>
      </c>
    </row>
    <row r="1078" spans="2:29" ht="23" x14ac:dyDescent="0.35">
      <c r="B1078" s="81" t="s">
        <v>338</v>
      </c>
      <c r="C1078" s="81" t="s">
        <v>339</v>
      </c>
      <c r="D1078" s="81" t="s">
        <v>340</v>
      </c>
      <c r="E1078" s="81" t="s">
        <v>447</v>
      </c>
      <c r="F1078" s="162" t="s">
        <v>448</v>
      </c>
      <c r="G1078" s="163"/>
      <c r="H1078" s="81" t="s">
        <v>1537</v>
      </c>
      <c r="I1078" s="81" t="s">
        <v>1436</v>
      </c>
      <c r="J1078" s="81" t="s">
        <v>154</v>
      </c>
      <c r="K1078" s="81" t="s">
        <v>1543</v>
      </c>
      <c r="L1078" s="81" t="s">
        <v>58</v>
      </c>
      <c r="M1078" s="164">
        <v>5.6415505000000001</v>
      </c>
      <c r="N1078" s="165"/>
      <c r="O1078" s="163"/>
      <c r="P1078" s="82">
        <v>200</v>
      </c>
      <c r="Q1078" s="164">
        <v>0</v>
      </c>
      <c r="R1078" s="163"/>
      <c r="S1078" s="81" t="s">
        <v>58</v>
      </c>
      <c r="T1078" s="82">
        <v>0</v>
      </c>
      <c r="U1078" s="82">
        <v>0</v>
      </c>
      <c r="V1078" s="82">
        <v>0</v>
      </c>
      <c r="W1078" s="82">
        <v>0</v>
      </c>
      <c r="X1078" s="81"/>
      <c r="Y1078" s="81"/>
      <c r="Z1078" s="81" t="s">
        <v>58</v>
      </c>
      <c r="AA1078" s="81" t="s">
        <v>58</v>
      </c>
      <c r="AB1078" s="81" t="s">
        <v>58</v>
      </c>
      <c r="AC1078" s="83">
        <v>46109</v>
      </c>
    </row>
    <row r="1079" spans="2:29" ht="23" x14ac:dyDescent="0.35">
      <c r="B1079" s="81" t="s">
        <v>338</v>
      </c>
      <c r="C1079" s="81" t="s">
        <v>339</v>
      </c>
      <c r="D1079" s="81" t="s">
        <v>340</v>
      </c>
      <c r="E1079" s="81" t="s">
        <v>447</v>
      </c>
      <c r="F1079" s="162" t="s">
        <v>448</v>
      </c>
      <c r="G1079" s="163"/>
      <c r="H1079" s="81" t="s">
        <v>1537</v>
      </c>
      <c r="I1079" s="81" t="s">
        <v>1436</v>
      </c>
      <c r="J1079" s="81" t="s">
        <v>154</v>
      </c>
      <c r="K1079" s="81" t="s">
        <v>1544</v>
      </c>
      <c r="L1079" s="81" t="s">
        <v>58</v>
      </c>
      <c r="M1079" s="164">
        <v>5.6415505000000001</v>
      </c>
      <c r="N1079" s="165"/>
      <c r="O1079" s="163"/>
      <c r="P1079" s="82">
        <v>200</v>
      </c>
      <c r="Q1079" s="164">
        <v>0</v>
      </c>
      <c r="R1079" s="163"/>
      <c r="S1079" s="81" t="s">
        <v>58</v>
      </c>
      <c r="T1079" s="82">
        <v>0</v>
      </c>
      <c r="U1079" s="82">
        <v>0</v>
      </c>
      <c r="V1079" s="82">
        <v>0</v>
      </c>
      <c r="W1079" s="82">
        <v>0</v>
      </c>
      <c r="X1079" s="81"/>
      <c r="Y1079" s="81"/>
      <c r="Z1079" s="81" t="s">
        <v>58</v>
      </c>
      <c r="AA1079" s="81" t="s">
        <v>58</v>
      </c>
      <c r="AB1079" s="81" t="s">
        <v>58</v>
      </c>
      <c r="AC1079" s="83">
        <v>46109</v>
      </c>
    </row>
    <row r="1080" spans="2:29" ht="23" x14ac:dyDescent="0.35">
      <c r="B1080" s="81" t="s">
        <v>338</v>
      </c>
      <c r="C1080" s="81" t="s">
        <v>339</v>
      </c>
      <c r="D1080" s="81" t="s">
        <v>340</v>
      </c>
      <c r="E1080" s="81" t="s">
        <v>447</v>
      </c>
      <c r="F1080" s="162" t="s">
        <v>448</v>
      </c>
      <c r="G1080" s="163"/>
      <c r="H1080" s="81" t="s">
        <v>1537</v>
      </c>
      <c r="I1080" s="81" t="s">
        <v>1436</v>
      </c>
      <c r="J1080" s="81" t="s">
        <v>154</v>
      </c>
      <c r="K1080" s="81" t="s">
        <v>1545</v>
      </c>
      <c r="L1080" s="81" t="s">
        <v>58</v>
      </c>
      <c r="M1080" s="164">
        <v>5.6415505000000001</v>
      </c>
      <c r="N1080" s="165"/>
      <c r="O1080" s="163"/>
      <c r="P1080" s="82">
        <v>200</v>
      </c>
      <c r="Q1080" s="164">
        <v>0</v>
      </c>
      <c r="R1080" s="163"/>
      <c r="S1080" s="81" t="s">
        <v>58</v>
      </c>
      <c r="T1080" s="82">
        <v>0</v>
      </c>
      <c r="U1080" s="82">
        <v>0</v>
      </c>
      <c r="V1080" s="82">
        <v>0</v>
      </c>
      <c r="W1080" s="82">
        <v>0</v>
      </c>
      <c r="X1080" s="81"/>
      <c r="Y1080" s="81"/>
      <c r="Z1080" s="81" t="s">
        <v>58</v>
      </c>
      <c r="AA1080" s="81" t="s">
        <v>58</v>
      </c>
      <c r="AB1080" s="81" t="s">
        <v>58</v>
      </c>
      <c r="AC1080" s="83">
        <v>46109</v>
      </c>
    </row>
    <row r="1081" spans="2:29" ht="23" x14ac:dyDescent="0.35">
      <c r="B1081" s="81" t="s">
        <v>338</v>
      </c>
      <c r="C1081" s="81" t="s">
        <v>339</v>
      </c>
      <c r="D1081" s="81" t="s">
        <v>340</v>
      </c>
      <c r="E1081" s="81" t="s">
        <v>447</v>
      </c>
      <c r="F1081" s="162" t="s">
        <v>448</v>
      </c>
      <c r="G1081" s="163"/>
      <c r="H1081" s="81" t="s">
        <v>1537</v>
      </c>
      <c r="I1081" s="81" t="s">
        <v>1436</v>
      </c>
      <c r="J1081" s="81" t="s">
        <v>154</v>
      </c>
      <c r="K1081" s="81" t="s">
        <v>1546</v>
      </c>
      <c r="L1081" s="81" t="s">
        <v>58</v>
      </c>
      <c r="M1081" s="164">
        <v>2.9053985075000002</v>
      </c>
      <c r="N1081" s="165"/>
      <c r="O1081" s="163"/>
      <c r="P1081" s="82">
        <v>103</v>
      </c>
      <c r="Q1081" s="164">
        <v>0</v>
      </c>
      <c r="R1081" s="163"/>
      <c r="S1081" s="81" t="s">
        <v>58</v>
      </c>
      <c r="T1081" s="82">
        <v>0</v>
      </c>
      <c r="U1081" s="82">
        <v>0</v>
      </c>
      <c r="V1081" s="82">
        <v>0</v>
      </c>
      <c r="W1081" s="82">
        <v>0</v>
      </c>
      <c r="X1081" s="81"/>
      <c r="Y1081" s="81"/>
      <c r="Z1081" s="81" t="s">
        <v>58</v>
      </c>
      <c r="AA1081" s="81" t="s">
        <v>58</v>
      </c>
      <c r="AB1081" s="81" t="s">
        <v>58</v>
      </c>
      <c r="AC1081" s="83">
        <v>46109</v>
      </c>
    </row>
    <row r="1082" spans="2:29" ht="23" x14ac:dyDescent="0.35">
      <c r="B1082" s="81" t="s">
        <v>338</v>
      </c>
      <c r="C1082" s="81" t="s">
        <v>339</v>
      </c>
      <c r="D1082" s="81" t="s">
        <v>340</v>
      </c>
      <c r="E1082" s="81" t="s">
        <v>447</v>
      </c>
      <c r="F1082" s="162" t="s">
        <v>448</v>
      </c>
      <c r="G1082" s="163"/>
      <c r="H1082" s="81" t="s">
        <v>1537</v>
      </c>
      <c r="I1082" s="81" t="s">
        <v>1436</v>
      </c>
      <c r="J1082" s="81" t="s">
        <v>154</v>
      </c>
      <c r="K1082" s="81" t="s">
        <v>1547</v>
      </c>
      <c r="L1082" s="81" t="s">
        <v>58</v>
      </c>
      <c r="M1082" s="164">
        <v>5.8399970000000003</v>
      </c>
      <c r="N1082" s="165"/>
      <c r="O1082" s="163"/>
      <c r="P1082" s="82">
        <v>200</v>
      </c>
      <c r="Q1082" s="164">
        <v>0</v>
      </c>
      <c r="R1082" s="163"/>
      <c r="S1082" s="81" t="s">
        <v>58</v>
      </c>
      <c r="T1082" s="82">
        <v>0</v>
      </c>
      <c r="U1082" s="82">
        <v>0</v>
      </c>
      <c r="V1082" s="82">
        <v>0</v>
      </c>
      <c r="W1082" s="82">
        <v>0</v>
      </c>
      <c r="X1082" s="81"/>
      <c r="Y1082" s="81"/>
      <c r="Z1082" s="81" t="s">
        <v>58</v>
      </c>
      <c r="AA1082" s="81" t="s">
        <v>58</v>
      </c>
      <c r="AB1082" s="81" t="s">
        <v>58</v>
      </c>
      <c r="AC1082" s="83">
        <v>46109</v>
      </c>
    </row>
    <row r="1083" spans="2:29" ht="23" x14ac:dyDescent="0.35">
      <c r="B1083" s="81" t="s">
        <v>338</v>
      </c>
      <c r="C1083" s="81" t="s">
        <v>339</v>
      </c>
      <c r="D1083" s="81" t="s">
        <v>340</v>
      </c>
      <c r="E1083" s="81" t="s">
        <v>447</v>
      </c>
      <c r="F1083" s="162" t="s">
        <v>448</v>
      </c>
      <c r="G1083" s="163"/>
      <c r="H1083" s="81" t="s">
        <v>1537</v>
      </c>
      <c r="I1083" s="81" t="s">
        <v>1436</v>
      </c>
      <c r="J1083" s="81" t="s">
        <v>154</v>
      </c>
      <c r="K1083" s="81" t="s">
        <v>1548</v>
      </c>
      <c r="L1083" s="81" t="s">
        <v>58</v>
      </c>
      <c r="M1083" s="164">
        <v>5.8399970000000003</v>
      </c>
      <c r="N1083" s="165"/>
      <c r="O1083" s="163"/>
      <c r="P1083" s="82">
        <v>200</v>
      </c>
      <c r="Q1083" s="164">
        <v>0</v>
      </c>
      <c r="R1083" s="163"/>
      <c r="S1083" s="81" t="s">
        <v>58</v>
      </c>
      <c r="T1083" s="82">
        <v>0</v>
      </c>
      <c r="U1083" s="82">
        <v>0</v>
      </c>
      <c r="V1083" s="82">
        <v>0</v>
      </c>
      <c r="W1083" s="82">
        <v>0</v>
      </c>
      <c r="X1083" s="81"/>
      <c r="Y1083" s="81"/>
      <c r="Z1083" s="81" t="s">
        <v>58</v>
      </c>
      <c r="AA1083" s="81" t="s">
        <v>58</v>
      </c>
      <c r="AB1083" s="81" t="s">
        <v>58</v>
      </c>
      <c r="AC1083" s="83">
        <v>46109</v>
      </c>
    </row>
    <row r="1084" spans="2:29" ht="23" x14ac:dyDescent="0.35">
      <c r="B1084" s="81" t="s">
        <v>338</v>
      </c>
      <c r="C1084" s="81" t="s">
        <v>339</v>
      </c>
      <c r="D1084" s="81" t="s">
        <v>340</v>
      </c>
      <c r="E1084" s="81" t="s">
        <v>447</v>
      </c>
      <c r="F1084" s="162" t="s">
        <v>448</v>
      </c>
      <c r="G1084" s="163"/>
      <c r="H1084" s="81" t="s">
        <v>1537</v>
      </c>
      <c r="I1084" s="81" t="s">
        <v>1436</v>
      </c>
      <c r="J1084" s="81" t="s">
        <v>154</v>
      </c>
      <c r="K1084" s="81" t="s">
        <v>1549</v>
      </c>
      <c r="L1084" s="81" t="s">
        <v>58</v>
      </c>
      <c r="M1084" s="164">
        <v>5.8399970000000003</v>
      </c>
      <c r="N1084" s="165"/>
      <c r="O1084" s="163"/>
      <c r="P1084" s="82">
        <v>200</v>
      </c>
      <c r="Q1084" s="164">
        <v>0</v>
      </c>
      <c r="R1084" s="163"/>
      <c r="S1084" s="81" t="s">
        <v>58</v>
      </c>
      <c r="T1084" s="82">
        <v>0</v>
      </c>
      <c r="U1084" s="82">
        <v>0</v>
      </c>
      <c r="V1084" s="82">
        <v>0</v>
      </c>
      <c r="W1084" s="82">
        <v>0</v>
      </c>
      <c r="X1084" s="81"/>
      <c r="Y1084" s="81"/>
      <c r="Z1084" s="81" t="s">
        <v>58</v>
      </c>
      <c r="AA1084" s="81" t="s">
        <v>58</v>
      </c>
      <c r="AB1084" s="81" t="s">
        <v>58</v>
      </c>
      <c r="AC1084" s="83">
        <v>46112</v>
      </c>
    </row>
    <row r="1085" spans="2:29" ht="23" x14ac:dyDescent="0.35">
      <c r="B1085" s="81" t="s">
        <v>338</v>
      </c>
      <c r="C1085" s="81" t="s">
        <v>339</v>
      </c>
      <c r="D1085" s="81" t="s">
        <v>340</v>
      </c>
      <c r="E1085" s="81" t="s">
        <v>447</v>
      </c>
      <c r="F1085" s="162" t="s">
        <v>448</v>
      </c>
      <c r="G1085" s="163"/>
      <c r="H1085" s="81" t="s">
        <v>1537</v>
      </c>
      <c r="I1085" s="81" t="s">
        <v>1436</v>
      </c>
      <c r="J1085" s="81" t="s">
        <v>154</v>
      </c>
      <c r="K1085" s="81" t="s">
        <v>1550</v>
      </c>
      <c r="L1085" s="81" t="s">
        <v>58</v>
      </c>
      <c r="M1085" s="164">
        <v>5.8399970000000003</v>
      </c>
      <c r="N1085" s="165"/>
      <c r="O1085" s="163"/>
      <c r="P1085" s="82">
        <v>200</v>
      </c>
      <c r="Q1085" s="164">
        <v>0</v>
      </c>
      <c r="R1085" s="163"/>
      <c r="S1085" s="81" t="s">
        <v>58</v>
      </c>
      <c r="T1085" s="82">
        <v>0</v>
      </c>
      <c r="U1085" s="82">
        <v>0</v>
      </c>
      <c r="V1085" s="82">
        <v>0</v>
      </c>
      <c r="W1085" s="82">
        <v>0</v>
      </c>
      <c r="X1085" s="81"/>
      <c r="Y1085" s="81"/>
      <c r="Z1085" s="81" t="s">
        <v>58</v>
      </c>
      <c r="AA1085" s="81" t="s">
        <v>58</v>
      </c>
      <c r="AB1085" s="81" t="s">
        <v>58</v>
      </c>
      <c r="AC1085" s="83">
        <v>46112</v>
      </c>
    </row>
    <row r="1086" spans="2:29" ht="23" x14ac:dyDescent="0.35">
      <c r="B1086" s="81" t="s">
        <v>338</v>
      </c>
      <c r="C1086" s="81" t="s">
        <v>339</v>
      </c>
      <c r="D1086" s="81" t="s">
        <v>340</v>
      </c>
      <c r="E1086" s="81" t="s">
        <v>447</v>
      </c>
      <c r="F1086" s="162" t="s">
        <v>448</v>
      </c>
      <c r="G1086" s="163"/>
      <c r="H1086" s="81" t="s">
        <v>1537</v>
      </c>
      <c r="I1086" s="81" t="s">
        <v>1436</v>
      </c>
      <c r="J1086" s="81" t="s">
        <v>154</v>
      </c>
      <c r="K1086" s="81" t="s">
        <v>1551</v>
      </c>
      <c r="L1086" s="81" t="s">
        <v>58</v>
      </c>
      <c r="M1086" s="164">
        <v>5.8399970000000003</v>
      </c>
      <c r="N1086" s="165"/>
      <c r="O1086" s="163"/>
      <c r="P1086" s="82">
        <v>200</v>
      </c>
      <c r="Q1086" s="164">
        <v>0</v>
      </c>
      <c r="R1086" s="163"/>
      <c r="S1086" s="81" t="s">
        <v>58</v>
      </c>
      <c r="T1086" s="82">
        <v>0</v>
      </c>
      <c r="U1086" s="82">
        <v>0</v>
      </c>
      <c r="V1086" s="82">
        <v>0</v>
      </c>
      <c r="W1086" s="82">
        <v>0</v>
      </c>
      <c r="X1086" s="81"/>
      <c r="Y1086" s="81"/>
      <c r="Z1086" s="81" t="s">
        <v>58</v>
      </c>
      <c r="AA1086" s="81" t="s">
        <v>58</v>
      </c>
      <c r="AB1086" s="81" t="s">
        <v>58</v>
      </c>
      <c r="AC1086" s="83">
        <v>46112</v>
      </c>
    </row>
    <row r="1087" spans="2:29" ht="23" x14ac:dyDescent="0.35">
      <c r="B1087" s="81" t="s">
        <v>338</v>
      </c>
      <c r="C1087" s="81" t="s">
        <v>339</v>
      </c>
      <c r="D1087" s="81" t="s">
        <v>340</v>
      </c>
      <c r="E1087" s="81" t="s">
        <v>447</v>
      </c>
      <c r="F1087" s="162" t="s">
        <v>448</v>
      </c>
      <c r="G1087" s="163"/>
      <c r="H1087" s="81" t="s">
        <v>1537</v>
      </c>
      <c r="I1087" s="81" t="s">
        <v>1436</v>
      </c>
      <c r="J1087" s="81" t="s">
        <v>154</v>
      </c>
      <c r="K1087" s="81" t="s">
        <v>1552</v>
      </c>
      <c r="L1087" s="81" t="s">
        <v>58</v>
      </c>
      <c r="M1087" s="164">
        <v>5.8399970000000003</v>
      </c>
      <c r="N1087" s="165"/>
      <c r="O1087" s="163"/>
      <c r="P1087" s="82">
        <v>200</v>
      </c>
      <c r="Q1087" s="164">
        <v>0</v>
      </c>
      <c r="R1087" s="163"/>
      <c r="S1087" s="81" t="s">
        <v>58</v>
      </c>
      <c r="T1087" s="82">
        <v>0</v>
      </c>
      <c r="U1087" s="82">
        <v>0</v>
      </c>
      <c r="V1087" s="82">
        <v>0</v>
      </c>
      <c r="W1087" s="82">
        <v>0</v>
      </c>
      <c r="X1087" s="81"/>
      <c r="Y1087" s="81"/>
      <c r="Z1087" s="81" t="s">
        <v>58</v>
      </c>
      <c r="AA1087" s="81" t="s">
        <v>58</v>
      </c>
      <c r="AB1087" s="81" t="s">
        <v>58</v>
      </c>
      <c r="AC1087" s="83">
        <v>46112</v>
      </c>
    </row>
    <row r="1088" spans="2:29" ht="23" x14ac:dyDescent="0.35">
      <c r="B1088" s="81" t="s">
        <v>338</v>
      </c>
      <c r="C1088" s="81" t="s">
        <v>339</v>
      </c>
      <c r="D1088" s="81" t="s">
        <v>340</v>
      </c>
      <c r="E1088" s="81" t="s">
        <v>447</v>
      </c>
      <c r="F1088" s="162" t="s">
        <v>448</v>
      </c>
      <c r="G1088" s="163"/>
      <c r="H1088" s="81" t="s">
        <v>1537</v>
      </c>
      <c r="I1088" s="81" t="s">
        <v>1436</v>
      </c>
      <c r="J1088" s="81" t="s">
        <v>154</v>
      </c>
      <c r="K1088" s="81" t="s">
        <v>1553</v>
      </c>
      <c r="L1088" s="81" t="s">
        <v>58</v>
      </c>
      <c r="M1088" s="164">
        <v>5.8399970000000003</v>
      </c>
      <c r="N1088" s="165"/>
      <c r="O1088" s="163"/>
      <c r="P1088" s="82">
        <v>200</v>
      </c>
      <c r="Q1088" s="164">
        <v>0</v>
      </c>
      <c r="R1088" s="163"/>
      <c r="S1088" s="81" t="s">
        <v>58</v>
      </c>
      <c r="T1088" s="82">
        <v>0</v>
      </c>
      <c r="U1088" s="82">
        <v>0</v>
      </c>
      <c r="V1088" s="82">
        <v>0</v>
      </c>
      <c r="W1088" s="82">
        <v>0</v>
      </c>
      <c r="X1088" s="81"/>
      <c r="Y1088" s="81"/>
      <c r="Z1088" s="81" t="s">
        <v>58</v>
      </c>
      <c r="AA1088" s="81" t="s">
        <v>58</v>
      </c>
      <c r="AB1088" s="81" t="s">
        <v>58</v>
      </c>
      <c r="AC1088" s="83">
        <v>46112</v>
      </c>
    </row>
    <row r="1089" spans="2:29" ht="23" x14ac:dyDescent="0.35">
      <c r="B1089" s="81" t="s">
        <v>338</v>
      </c>
      <c r="C1089" s="81" t="s">
        <v>339</v>
      </c>
      <c r="D1089" s="81" t="s">
        <v>340</v>
      </c>
      <c r="E1089" s="81" t="s">
        <v>447</v>
      </c>
      <c r="F1089" s="162" t="s">
        <v>448</v>
      </c>
      <c r="G1089" s="163"/>
      <c r="H1089" s="81" t="s">
        <v>1537</v>
      </c>
      <c r="I1089" s="81" t="s">
        <v>1436</v>
      </c>
      <c r="J1089" s="81" t="s">
        <v>154</v>
      </c>
      <c r="K1089" s="81" t="s">
        <v>1554</v>
      </c>
      <c r="L1089" s="81" t="s">
        <v>58</v>
      </c>
      <c r="M1089" s="164">
        <v>5.3435972549999997</v>
      </c>
      <c r="N1089" s="165"/>
      <c r="O1089" s="163"/>
      <c r="P1089" s="82">
        <v>183</v>
      </c>
      <c r="Q1089" s="164">
        <v>0</v>
      </c>
      <c r="R1089" s="163"/>
      <c r="S1089" s="81" t="s">
        <v>58</v>
      </c>
      <c r="T1089" s="82">
        <v>0</v>
      </c>
      <c r="U1089" s="82">
        <v>0</v>
      </c>
      <c r="V1089" s="82">
        <v>0</v>
      </c>
      <c r="W1089" s="82">
        <v>0</v>
      </c>
      <c r="X1089" s="81"/>
      <c r="Y1089" s="81"/>
      <c r="Z1089" s="81" t="s">
        <v>58</v>
      </c>
      <c r="AA1089" s="81" t="s">
        <v>58</v>
      </c>
      <c r="AB1089" s="81" t="s">
        <v>58</v>
      </c>
      <c r="AC1089" s="83">
        <v>46112</v>
      </c>
    </row>
    <row r="1090" spans="2:29" ht="23" x14ac:dyDescent="0.35">
      <c r="B1090" s="81" t="s">
        <v>338</v>
      </c>
      <c r="C1090" s="81" t="s">
        <v>339</v>
      </c>
      <c r="D1090" s="81" t="s">
        <v>340</v>
      </c>
      <c r="E1090" s="81" t="s">
        <v>447</v>
      </c>
      <c r="F1090" s="162" t="s">
        <v>448</v>
      </c>
      <c r="G1090" s="163"/>
      <c r="H1090" s="81" t="s">
        <v>1537</v>
      </c>
      <c r="I1090" s="81" t="s">
        <v>1436</v>
      </c>
      <c r="J1090" s="81" t="s">
        <v>154</v>
      </c>
      <c r="K1090" s="81" t="s">
        <v>1555</v>
      </c>
      <c r="L1090" s="81" t="s">
        <v>58</v>
      </c>
      <c r="M1090" s="164">
        <v>6.0384434999999996</v>
      </c>
      <c r="N1090" s="165"/>
      <c r="O1090" s="163"/>
      <c r="P1090" s="82">
        <v>200</v>
      </c>
      <c r="Q1090" s="164">
        <v>0</v>
      </c>
      <c r="R1090" s="163"/>
      <c r="S1090" s="81" t="s">
        <v>58</v>
      </c>
      <c r="T1090" s="82">
        <v>0</v>
      </c>
      <c r="U1090" s="82">
        <v>0</v>
      </c>
      <c r="V1090" s="82">
        <v>0</v>
      </c>
      <c r="W1090" s="82">
        <v>0</v>
      </c>
      <c r="X1090" s="81"/>
      <c r="Y1090" s="81"/>
      <c r="Z1090" s="81" t="s">
        <v>58</v>
      </c>
      <c r="AA1090" s="81" t="s">
        <v>58</v>
      </c>
      <c r="AB1090" s="81" t="s">
        <v>58</v>
      </c>
      <c r="AC1090" s="83">
        <v>46109</v>
      </c>
    </row>
    <row r="1091" spans="2:29" ht="23" x14ac:dyDescent="0.35">
      <c r="B1091" s="81" t="s">
        <v>338</v>
      </c>
      <c r="C1091" s="81" t="s">
        <v>339</v>
      </c>
      <c r="D1091" s="81" t="s">
        <v>340</v>
      </c>
      <c r="E1091" s="81" t="s">
        <v>447</v>
      </c>
      <c r="F1091" s="162" t="s">
        <v>448</v>
      </c>
      <c r="G1091" s="163"/>
      <c r="H1091" s="81" t="s">
        <v>1537</v>
      </c>
      <c r="I1091" s="81" t="s">
        <v>1436</v>
      </c>
      <c r="J1091" s="81" t="s">
        <v>154</v>
      </c>
      <c r="K1091" s="81" t="s">
        <v>1556</v>
      </c>
      <c r="L1091" s="81" t="s">
        <v>58</v>
      </c>
      <c r="M1091" s="164">
        <v>6.0384434999999996</v>
      </c>
      <c r="N1091" s="165"/>
      <c r="O1091" s="163"/>
      <c r="P1091" s="82">
        <v>200</v>
      </c>
      <c r="Q1091" s="164">
        <v>0</v>
      </c>
      <c r="R1091" s="163"/>
      <c r="S1091" s="81" t="s">
        <v>58</v>
      </c>
      <c r="T1091" s="82">
        <v>0</v>
      </c>
      <c r="U1091" s="82">
        <v>0</v>
      </c>
      <c r="V1091" s="82">
        <v>0</v>
      </c>
      <c r="W1091" s="82">
        <v>0</v>
      </c>
      <c r="X1091" s="81"/>
      <c r="Y1091" s="81"/>
      <c r="Z1091" s="81" t="s">
        <v>58</v>
      </c>
      <c r="AA1091" s="81" t="s">
        <v>58</v>
      </c>
      <c r="AB1091" s="81" t="s">
        <v>58</v>
      </c>
      <c r="AC1091" s="83">
        <v>46109</v>
      </c>
    </row>
    <row r="1092" spans="2:29" ht="23" x14ac:dyDescent="0.35">
      <c r="B1092" s="81" t="s">
        <v>338</v>
      </c>
      <c r="C1092" s="81" t="s">
        <v>339</v>
      </c>
      <c r="D1092" s="81" t="s">
        <v>340</v>
      </c>
      <c r="E1092" s="81" t="s">
        <v>447</v>
      </c>
      <c r="F1092" s="162" t="s">
        <v>448</v>
      </c>
      <c r="G1092" s="163"/>
      <c r="H1092" s="81" t="s">
        <v>1537</v>
      </c>
      <c r="I1092" s="81" t="s">
        <v>1436</v>
      </c>
      <c r="J1092" s="81" t="s">
        <v>154</v>
      </c>
      <c r="K1092" s="81" t="s">
        <v>1557</v>
      </c>
      <c r="L1092" s="81" t="s">
        <v>58</v>
      </c>
      <c r="M1092" s="164">
        <v>6.0384434999999996</v>
      </c>
      <c r="N1092" s="165"/>
      <c r="O1092" s="163"/>
      <c r="P1092" s="82">
        <v>200</v>
      </c>
      <c r="Q1092" s="164">
        <v>0</v>
      </c>
      <c r="R1092" s="163"/>
      <c r="S1092" s="81" t="s">
        <v>58</v>
      </c>
      <c r="T1092" s="82">
        <v>0</v>
      </c>
      <c r="U1092" s="82">
        <v>0</v>
      </c>
      <c r="V1092" s="82">
        <v>0</v>
      </c>
      <c r="W1092" s="82">
        <v>0</v>
      </c>
      <c r="X1092" s="81"/>
      <c r="Y1092" s="81"/>
      <c r="Z1092" s="81" t="s">
        <v>58</v>
      </c>
      <c r="AA1092" s="81" t="s">
        <v>58</v>
      </c>
      <c r="AB1092" s="81" t="s">
        <v>58</v>
      </c>
      <c r="AC1092" s="83">
        <v>46109</v>
      </c>
    </row>
    <row r="1093" spans="2:29" ht="23" x14ac:dyDescent="0.35">
      <c r="B1093" s="81" t="s">
        <v>338</v>
      </c>
      <c r="C1093" s="81" t="s">
        <v>339</v>
      </c>
      <c r="D1093" s="81" t="s">
        <v>340</v>
      </c>
      <c r="E1093" s="81" t="s">
        <v>447</v>
      </c>
      <c r="F1093" s="162" t="s">
        <v>448</v>
      </c>
      <c r="G1093" s="163"/>
      <c r="H1093" s="81" t="s">
        <v>1537</v>
      </c>
      <c r="I1093" s="81" t="s">
        <v>1436</v>
      </c>
      <c r="J1093" s="81" t="s">
        <v>154</v>
      </c>
      <c r="K1093" s="81" t="s">
        <v>1558</v>
      </c>
      <c r="L1093" s="81" t="s">
        <v>58</v>
      </c>
      <c r="M1093" s="164">
        <v>6.0384434999999996</v>
      </c>
      <c r="N1093" s="165"/>
      <c r="O1093" s="163"/>
      <c r="P1093" s="82">
        <v>200</v>
      </c>
      <c r="Q1093" s="164">
        <v>0</v>
      </c>
      <c r="R1093" s="163"/>
      <c r="S1093" s="81" t="s">
        <v>58</v>
      </c>
      <c r="T1093" s="82">
        <v>0</v>
      </c>
      <c r="U1093" s="82">
        <v>0</v>
      </c>
      <c r="V1093" s="82">
        <v>0</v>
      </c>
      <c r="W1093" s="82">
        <v>0</v>
      </c>
      <c r="X1093" s="81"/>
      <c r="Y1093" s="81"/>
      <c r="Z1093" s="81" t="s">
        <v>58</v>
      </c>
      <c r="AA1093" s="81" t="s">
        <v>58</v>
      </c>
      <c r="AB1093" s="81" t="s">
        <v>58</v>
      </c>
      <c r="AC1093" s="83">
        <v>46109</v>
      </c>
    </row>
    <row r="1094" spans="2:29" ht="23" x14ac:dyDescent="0.35">
      <c r="B1094" s="81" t="s">
        <v>338</v>
      </c>
      <c r="C1094" s="81" t="s">
        <v>339</v>
      </c>
      <c r="D1094" s="81" t="s">
        <v>340</v>
      </c>
      <c r="E1094" s="81" t="s">
        <v>447</v>
      </c>
      <c r="F1094" s="162" t="s">
        <v>448</v>
      </c>
      <c r="G1094" s="163"/>
      <c r="H1094" s="81" t="s">
        <v>1537</v>
      </c>
      <c r="I1094" s="81" t="s">
        <v>1436</v>
      </c>
      <c r="J1094" s="81" t="s">
        <v>154</v>
      </c>
      <c r="K1094" s="81" t="s">
        <v>1559</v>
      </c>
      <c r="L1094" s="81" t="s">
        <v>58</v>
      </c>
      <c r="M1094" s="164">
        <v>6.0384434999999996</v>
      </c>
      <c r="N1094" s="165"/>
      <c r="O1094" s="163"/>
      <c r="P1094" s="82">
        <v>200</v>
      </c>
      <c r="Q1094" s="164">
        <v>0</v>
      </c>
      <c r="R1094" s="163"/>
      <c r="S1094" s="81" t="s">
        <v>58</v>
      </c>
      <c r="T1094" s="82">
        <v>0</v>
      </c>
      <c r="U1094" s="82">
        <v>0</v>
      </c>
      <c r="V1094" s="82">
        <v>0</v>
      </c>
      <c r="W1094" s="82">
        <v>0</v>
      </c>
      <c r="X1094" s="81"/>
      <c r="Y1094" s="81"/>
      <c r="Z1094" s="81" t="s">
        <v>58</v>
      </c>
      <c r="AA1094" s="81" t="s">
        <v>58</v>
      </c>
      <c r="AB1094" s="81" t="s">
        <v>58</v>
      </c>
      <c r="AC1094" s="83">
        <v>46109</v>
      </c>
    </row>
    <row r="1095" spans="2:29" ht="23" x14ac:dyDescent="0.35">
      <c r="B1095" s="81" t="s">
        <v>338</v>
      </c>
      <c r="C1095" s="81" t="s">
        <v>339</v>
      </c>
      <c r="D1095" s="81" t="s">
        <v>340</v>
      </c>
      <c r="E1095" s="81" t="s">
        <v>447</v>
      </c>
      <c r="F1095" s="162" t="s">
        <v>448</v>
      </c>
      <c r="G1095" s="163"/>
      <c r="H1095" s="81" t="s">
        <v>1537</v>
      </c>
      <c r="I1095" s="81" t="s">
        <v>1436</v>
      </c>
      <c r="J1095" s="81" t="s">
        <v>154</v>
      </c>
      <c r="K1095" s="81" t="s">
        <v>1560</v>
      </c>
      <c r="L1095" s="81" t="s">
        <v>58</v>
      </c>
      <c r="M1095" s="164">
        <v>7.1253633299999999</v>
      </c>
      <c r="N1095" s="165"/>
      <c r="O1095" s="163"/>
      <c r="P1095" s="82">
        <v>236</v>
      </c>
      <c r="Q1095" s="164">
        <v>0</v>
      </c>
      <c r="R1095" s="163"/>
      <c r="S1095" s="81" t="s">
        <v>58</v>
      </c>
      <c r="T1095" s="82">
        <v>0</v>
      </c>
      <c r="U1095" s="82">
        <v>0</v>
      </c>
      <c r="V1095" s="82">
        <v>0</v>
      </c>
      <c r="W1095" s="82">
        <v>0</v>
      </c>
      <c r="X1095" s="81"/>
      <c r="Y1095" s="81"/>
      <c r="Z1095" s="81" t="s">
        <v>58</v>
      </c>
      <c r="AA1095" s="81" t="s">
        <v>58</v>
      </c>
      <c r="AB1095" s="81" t="s">
        <v>58</v>
      </c>
      <c r="AC1095" s="83">
        <v>46109</v>
      </c>
    </row>
    <row r="1096" spans="2:29" ht="23" x14ac:dyDescent="0.35">
      <c r="B1096" s="81" t="s">
        <v>338</v>
      </c>
      <c r="C1096" s="81" t="s">
        <v>339</v>
      </c>
      <c r="D1096" s="81" t="s">
        <v>340</v>
      </c>
      <c r="E1096" s="81" t="s">
        <v>447</v>
      </c>
      <c r="F1096" s="162" t="s">
        <v>448</v>
      </c>
      <c r="G1096" s="163"/>
      <c r="H1096" s="81" t="s">
        <v>1537</v>
      </c>
      <c r="I1096" s="81" t="s">
        <v>1436</v>
      </c>
      <c r="J1096" s="81" t="s">
        <v>154</v>
      </c>
      <c r="K1096" s="81" t="s">
        <v>1561</v>
      </c>
      <c r="L1096" s="81" t="s">
        <v>58</v>
      </c>
      <c r="M1096" s="164">
        <v>6.2368899999999998</v>
      </c>
      <c r="N1096" s="165"/>
      <c r="O1096" s="163"/>
      <c r="P1096" s="82">
        <v>200</v>
      </c>
      <c r="Q1096" s="164">
        <v>0</v>
      </c>
      <c r="R1096" s="163"/>
      <c r="S1096" s="81" t="s">
        <v>58</v>
      </c>
      <c r="T1096" s="82">
        <v>0</v>
      </c>
      <c r="U1096" s="82">
        <v>0</v>
      </c>
      <c r="V1096" s="82">
        <v>0</v>
      </c>
      <c r="W1096" s="82">
        <v>0</v>
      </c>
      <c r="X1096" s="81"/>
      <c r="Y1096" s="81"/>
      <c r="Z1096" s="81" t="s">
        <v>58</v>
      </c>
      <c r="AA1096" s="81" t="s">
        <v>58</v>
      </c>
      <c r="AB1096" s="81" t="s">
        <v>58</v>
      </c>
      <c r="AC1096" s="83">
        <v>46112</v>
      </c>
    </row>
    <row r="1097" spans="2:29" ht="23" x14ac:dyDescent="0.35">
      <c r="B1097" s="81" t="s">
        <v>338</v>
      </c>
      <c r="C1097" s="81" t="s">
        <v>339</v>
      </c>
      <c r="D1097" s="81" t="s">
        <v>340</v>
      </c>
      <c r="E1097" s="81" t="s">
        <v>447</v>
      </c>
      <c r="F1097" s="162" t="s">
        <v>448</v>
      </c>
      <c r="G1097" s="163"/>
      <c r="H1097" s="81" t="s">
        <v>1537</v>
      </c>
      <c r="I1097" s="81" t="s">
        <v>1436</v>
      </c>
      <c r="J1097" s="81" t="s">
        <v>154</v>
      </c>
      <c r="K1097" s="81" t="s">
        <v>1562</v>
      </c>
      <c r="L1097" s="81" t="s">
        <v>58</v>
      </c>
      <c r="M1097" s="164">
        <v>6.2368899999999998</v>
      </c>
      <c r="N1097" s="165"/>
      <c r="O1097" s="163"/>
      <c r="P1097" s="82">
        <v>200</v>
      </c>
      <c r="Q1097" s="164">
        <v>0</v>
      </c>
      <c r="R1097" s="163"/>
      <c r="S1097" s="81" t="s">
        <v>58</v>
      </c>
      <c r="T1097" s="82">
        <v>0</v>
      </c>
      <c r="U1097" s="82">
        <v>0</v>
      </c>
      <c r="V1097" s="82">
        <v>0</v>
      </c>
      <c r="W1097" s="82">
        <v>0</v>
      </c>
      <c r="X1097" s="81"/>
      <c r="Y1097" s="81"/>
      <c r="Z1097" s="81" t="s">
        <v>58</v>
      </c>
      <c r="AA1097" s="81" t="s">
        <v>58</v>
      </c>
      <c r="AB1097" s="81" t="s">
        <v>58</v>
      </c>
      <c r="AC1097" s="83">
        <v>46112</v>
      </c>
    </row>
    <row r="1098" spans="2:29" ht="23" x14ac:dyDescent="0.35">
      <c r="B1098" s="81" t="s">
        <v>338</v>
      </c>
      <c r="C1098" s="81" t="s">
        <v>339</v>
      </c>
      <c r="D1098" s="81" t="s">
        <v>340</v>
      </c>
      <c r="E1098" s="81" t="s">
        <v>447</v>
      </c>
      <c r="F1098" s="162" t="s">
        <v>448</v>
      </c>
      <c r="G1098" s="163"/>
      <c r="H1098" s="81" t="s">
        <v>1537</v>
      </c>
      <c r="I1098" s="81" t="s">
        <v>1436</v>
      </c>
      <c r="J1098" s="81" t="s">
        <v>154</v>
      </c>
      <c r="K1098" s="81" t="s">
        <v>1563</v>
      </c>
      <c r="L1098" s="81" t="s">
        <v>58</v>
      </c>
      <c r="M1098" s="164">
        <v>6.2368899999999998</v>
      </c>
      <c r="N1098" s="165"/>
      <c r="O1098" s="163"/>
      <c r="P1098" s="82">
        <v>200</v>
      </c>
      <c r="Q1098" s="164">
        <v>0</v>
      </c>
      <c r="R1098" s="163"/>
      <c r="S1098" s="81" t="s">
        <v>58</v>
      </c>
      <c r="T1098" s="82">
        <v>0</v>
      </c>
      <c r="U1098" s="82">
        <v>0</v>
      </c>
      <c r="V1098" s="82">
        <v>0</v>
      </c>
      <c r="W1098" s="82">
        <v>0</v>
      </c>
      <c r="X1098" s="81"/>
      <c r="Y1098" s="81"/>
      <c r="Z1098" s="81" t="s">
        <v>58</v>
      </c>
      <c r="AA1098" s="81" t="s">
        <v>58</v>
      </c>
      <c r="AB1098" s="81" t="s">
        <v>58</v>
      </c>
      <c r="AC1098" s="83">
        <v>46112</v>
      </c>
    </row>
    <row r="1099" spans="2:29" ht="23" x14ac:dyDescent="0.35">
      <c r="B1099" s="81" t="s">
        <v>338</v>
      </c>
      <c r="C1099" s="81" t="s">
        <v>339</v>
      </c>
      <c r="D1099" s="81" t="s">
        <v>340</v>
      </c>
      <c r="E1099" s="81" t="s">
        <v>447</v>
      </c>
      <c r="F1099" s="162" t="s">
        <v>448</v>
      </c>
      <c r="G1099" s="163"/>
      <c r="H1099" s="81" t="s">
        <v>1537</v>
      </c>
      <c r="I1099" s="81" t="s">
        <v>1436</v>
      </c>
      <c r="J1099" s="81" t="s">
        <v>154</v>
      </c>
      <c r="K1099" s="81" t="s">
        <v>1564</v>
      </c>
      <c r="L1099" s="81" t="s">
        <v>58</v>
      </c>
      <c r="M1099" s="164">
        <v>4.1163474000000004</v>
      </c>
      <c r="N1099" s="165"/>
      <c r="O1099" s="163"/>
      <c r="P1099" s="82">
        <v>132</v>
      </c>
      <c r="Q1099" s="164">
        <v>0</v>
      </c>
      <c r="R1099" s="163"/>
      <c r="S1099" s="81" t="s">
        <v>58</v>
      </c>
      <c r="T1099" s="82">
        <v>0</v>
      </c>
      <c r="U1099" s="82">
        <v>0</v>
      </c>
      <c r="V1099" s="82">
        <v>0</v>
      </c>
      <c r="W1099" s="82">
        <v>0</v>
      </c>
      <c r="X1099" s="81"/>
      <c r="Y1099" s="81"/>
      <c r="Z1099" s="81" t="s">
        <v>58</v>
      </c>
      <c r="AA1099" s="81" t="s">
        <v>58</v>
      </c>
      <c r="AB1099" s="81" t="s">
        <v>58</v>
      </c>
      <c r="AC1099" s="83">
        <v>46112</v>
      </c>
    </row>
    <row r="1100" spans="2:29" ht="23" x14ac:dyDescent="0.35">
      <c r="B1100" s="81" t="s">
        <v>338</v>
      </c>
      <c r="C1100" s="81" t="s">
        <v>339</v>
      </c>
      <c r="D1100" s="81" t="s">
        <v>340</v>
      </c>
      <c r="E1100" s="81" t="s">
        <v>447</v>
      </c>
      <c r="F1100" s="162" t="s">
        <v>448</v>
      </c>
      <c r="G1100" s="163"/>
      <c r="H1100" s="81" t="s">
        <v>1537</v>
      </c>
      <c r="I1100" s="81" t="s">
        <v>1436</v>
      </c>
      <c r="J1100" s="81" t="s">
        <v>154</v>
      </c>
      <c r="K1100" s="81" t="s">
        <v>1565</v>
      </c>
      <c r="L1100" s="81" t="s">
        <v>58</v>
      </c>
      <c r="M1100" s="164">
        <v>7.2404622999999999</v>
      </c>
      <c r="N1100" s="165"/>
      <c r="O1100" s="163"/>
      <c r="P1100" s="82">
        <v>200</v>
      </c>
      <c r="Q1100" s="164">
        <v>0</v>
      </c>
      <c r="R1100" s="163"/>
      <c r="S1100" s="81" t="s">
        <v>58</v>
      </c>
      <c r="T1100" s="82">
        <v>0</v>
      </c>
      <c r="U1100" s="82">
        <v>0</v>
      </c>
      <c r="V1100" s="82">
        <v>0</v>
      </c>
      <c r="W1100" s="82">
        <v>0</v>
      </c>
      <c r="X1100" s="81"/>
      <c r="Y1100" s="81"/>
      <c r="Z1100" s="81" t="s">
        <v>58</v>
      </c>
      <c r="AA1100" s="81" t="s">
        <v>58</v>
      </c>
      <c r="AB1100" s="81" t="s">
        <v>58</v>
      </c>
      <c r="AC1100" s="83">
        <v>46109</v>
      </c>
    </row>
    <row r="1101" spans="2:29" ht="23" x14ac:dyDescent="0.35">
      <c r="B1101" s="81" t="s">
        <v>338</v>
      </c>
      <c r="C1101" s="81" t="s">
        <v>339</v>
      </c>
      <c r="D1101" s="81" t="s">
        <v>340</v>
      </c>
      <c r="E1101" s="81" t="s">
        <v>447</v>
      </c>
      <c r="F1101" s="162" t="s">
        <v>448</v>
      </c>
      <c r="G1101" s="163"/>
      <c r="H1101" s="81" t="s">
        <v>1537</v>
      </c>
      <c r="I1101" s="81" t="s">
        <v>1436</v>
      </c>
      <c r="J1101" s="81" t="s">
        <v>154</v>
      </c>
      <c r="K1101" s="81" t="s">
        <v>1566</v>
      </c>
      <c r="L1101" s="81" t="s">
        <v>58</v>
      </c>
      <c r="M1101" s="164">
        <v>7.0232484309999998</v>
      </c>
      <c r="N1101" s="165"/>
      <c r="O1101" s="163"/>
      <c r="P1101" s="82">
        <v>194</v>
      </c>
      <c r="Q1101" s="164">
        <v>0</v>
      </c>
      <c r="R1101" s="163"/>
      <c r="S1101" s="81" t="s">
        <v>58</v>
      </c>
      <c r="T1101" s="82">
        <v>0</v>
      </c>
      <c r="U1101" s="82">
        <v>0</v>
      </c>
      <c r="V1101" s="82">
        <v>0</v>
      </c>
      <c r="W1101" s="82">
        <v>0</v>
      </c>
      <c r="X1101" s="81"/>
      <c r="Y1101" s="81"/>
      <c r="Z1101" s="81" t="s">
        <v>58</v>
      </c>
      <c r="AA1101" s="81" t="s">
        <v>58</v>
      </c>
      <c r="AB1101" s="81" t="s">
        <v>58</v>
      </c>
      <c r="AC1101" s="83">
        <v>46109</v>
      </c>
    </row>
    <row r="1102" spans="2:29" ht="23" x14ac:dyDescent="0.35">
      <c r="B1102" s="81" t="s">
        <v>338</v>
      </c>
      <c r="C1102" s="81" t="s">
        <v>339</v>
      </c>
      <c r="D1102" s="81" t="s">
        <v>340</v>
      </c>
      <c r="E1102" s="81" t="s">
        <v>447</v>
      </c>
      <c r="F1102" s="162" t="s">
        <v>448</v>
      </c>
      <c r="G1102" s="163"/>
      <c r="H1102" s="81" t="s">
        <v>1567</v>
      </c>
      <c r="I1102" s="81" t="s">
        <v>1476</v>
      </c>
      <c r="J1102" s="81" t="s">
        <v>153</v>
      </c>
      <c r="K1102" s="81" t="s">
        <v>1568</v>
      </c>
      <c r="L1102" s="81" t="s">
        <v>58</v>
      </c>
      <c r="M1102" s="164">
        <v>4.4225219999999998</v>
      </c>
      <c r="N1102" s="165"/>
      <c r="O1102" s="163"/>
      <c r="P1102" s="82">
        <v>400</v>
      </c>
      <c r="Q1102" s="164">
        <v>0</v>
      </c>
      <c r="R1102" s="163"/>
      <c r="S1102" s="81" t="s">
        <v>58</v>
      </c>
      <c r="T1102" s="82">
        <v>0</v>
      </c>
      <c r="U1102" s="82">
        <v>0</v>
      </c>
      <c r="V1102" s="82">
        <v>0</v>
      </c>
      <c r="W1102" s="82">
        <v>0</v>
      </c>
      <c r="X1102" s="81"/>
      <c r="Y1102" s="81"/>
      <c r="Z1102" s="81" t="s">
        <v>58</v>
      </c>
      <c r="AA1102" s="81" t="s">
        <v>58</v>
      </c>
      <c r="AB1102" s="81" t="s">
        <v>58</v>
      </c>
      <c r="AC1102" s="83">
        <v>46108</v>
      </c>
    </row>
    <row r="1103" spans="2:29" ht="23" x14ac:dyDescent="0.35">
      <c r="B1103" s="81" t="s">
        <v>338</v>
      </c>
      <c r="C1103" s="81" t="s">
        <v>339</v>
      </c>
      <c r="D1103" s="81" t="s">
        <v>340</v>
      </c>
      <c r="E1103" s="81" t="s">
        <v>447</v>
      </c>
      <c r="F1103" s="162" t="s">
        <v>448</v>
      </c>
      <c r="G1103" s="163"/>
      <c r="H1103" s="81" t="s">
        <v>1567</v>
      </c>
      <c r="I1103" s="81" t="s">
        <v>1476</v>
      </c>
      <c r="J1103" s="81" t="s">
        <v>153</v>
      </c>
      <c r="K1103" s="81" t="s">
        <v>1569</v>
      </c>
      <c r="L1103" s="81" t="s">
        <v>58</v>
      </c>
      <c r="M1103" s="164">
        <v>4.2898463400000004</v>
      </c>
      <c r="N1103" s="165"/>
      <c r="O1103" s="163"/>
      <c r="P1103" s="82">
        <v>388</v>
      </c>
      <c r="Q1103" s="164">
        <v>0</v>
      </c>
      <c r="R1103" s="163"/>
      <c r="S1103" s="81" t="s">
        <v>58</v>
      </c>
      <c r="T1103" s="82">
        <v>0</v>
      </c>
      <c r="U1103" s="82">
        <v>0</v>
      </c>
      <c r="V1103" s="82">
        <v>0</v>
      </c>
      <c r="W1103" s="82">
        <v>0</v>
      </c>
      <c r="X1103" s="81"/>
      <c r="Y1103" s="81"/>
      <c r="Z1103" s="81" t="s">
        <v>58</v>
      </c>
      <c r="AA1103" s="81" t="s">
        <v>58</v>
      </c>
      <c r="AB1103" s="81" t="s">
        <v>58</v>
      </c>
      <c r="AC1103" s="83">
        <v>46108</v>
      </c>
    </row>
    <row r="1104" spans="2:29" ht="23" x14ac:dyDescent="0.35">
      <c r="B1104" s="81" t="s">
        <v>338</v>
      </c>
      <c r="C1104" s="81" t="s">
        <v>339</v>
      </c>
      <c r="D1104" s="81" t="s">
        <v>340</v>
      </c>
      <c r="E1104" s="81" t="s">
        <v>447</v>
      </c>
      <c r="F1104" s="162" t="s">
        <v>448</v>
      </c>
      <c r="G1104" s="163"/>
      <c r="H1104" s="81" t="s">
        <v>1567</v>
      </c>
      <c r="I1104" s="81" t="s">
        <v>1476</v>
      </c>
      <c r="J1104" s="81" t="s">
        <v>153</v>
      </c>
      <c r="K1104" s="81" t="s">
        <v>1570</v>
      </c>
      <c r="L1104" s="81" t="s">
        <v>58</v>
      </c>
      <c r="M1104" s="164">
        <v>4.53592</v>
      </c>
      <c r="N1104" s="165"/>
      <c r="O1104" s="163"/>
      <c r="P1104" s="82">
        <v>400</v>
      </c>
      <c r="Q1104" s="164">
        <v>0</v>
      </c>
      <c r="R1104" s="163"/>
      <c r="S1104" s="81" t="s">
        <v>58</v>
      </c>
      <c r="T1104" s="82">
        <v>0</v>
      </c>
      <c r="U1104" s="82">
        <v>0</v>
      </c>
      <c r="V1104" s="82">
        <v>0</v>
      </c>
      <c r="W1104" s="82">
        <v>0</v>
      </c>
      <c r="X1104" s="81"/>
      <c r="Y1104" s="81"/>
      <c r="Z1104" s="81" t="s">
        <v>58</v>
      </c>
      <c r="AA1104" s="81" t="s">
        <v>58</v>
      </c>
      <c r="AB1104" s="81" t="s">
        <v>58</v>
      </c>
      <c r="AC1104" s="83">
        <v>46108</v>
      </c>
    </row>
    <row r="1105" spans="2:29" ht="23" x14ac:dyDescent="0.35">
      <c r="B1105" s="81" t="s">
        <v>338</v>
      </c>
      <c r="C1105" s="81" t="s">
        <v>339</v>
      </c>
      <c r="D1105" s="81" t="s">
        <v>340</v>
      </c>
      <c r="E1105" s="81" t="s">
        <v>447</v>
      </c>
      <c r="F1105" s="162" t="s">
        <v>448</v>
      </c>
      <c r="G1105" s="163"/>
      <c r="H1105" s="81" t="s">
        <v>1567</v>
      </c>
      <c r="I1105" s="81" t="s">
        <v>1476</v>
      </c>
      <c r="J1105" s="81" t="s">
        <v>153</v>
      </c>
      <c r="K1105" s="81" t="s">
        <v>1571</v>
      </c>
      <c r="L1105" s="81" t="s">
        <v>58</v>
      </c>
      <c r="M1105" s="164">
        <v>4.53592</v>
      </c>
      <c r="N1105" s="165"/>
      <c r="O1105" s="163"/>
      <c r="P1105" s="82">
        <v>400</v>
      </c>
      <c r="Q1105" s="164">
        <v>0</v>
      </c>
      <c r="R1105" s="163"/>
      <c r="S1105" s="81" t="s">
        <v>58</v>
      </c>
      <c r="T1105" s="82">
        <v>0</v>
      </c>
      <c r="U1105" s="82">
        <v>0</v>
      </c>
      <c r="V1105" s="82">
        <v>0</v>
      </c>
      <c r="W1105" s="82">
        <v>0</v>
      </c>
      <c r="X1105" s="81"/>
      <c r="Y1105" s="81"/>
      <c r="Z1105" s="81" t="s">
        <v>58</v>
      </c>
      <c r="AA1105" s="81" t="s">
        <v>58</v>
      </c>
      <c r="AB1105" s="81" t="s">
        <v>58</v>
      </c>
      <c r="AC1105" s="83">
        <v>46108</v>
      </c>
    </row>
    <row r="1106" spans="2:29" ht="23" x14ac:dyDescent="0.35">
      <c r="B1106" s="81" t="s">
        <v>338</v>
      </c>
      <c r="C1106" s="81" t="s">
        <v>339</v>
      </c>
      <c r="D1106" s="81" t="s">
        <v>340</v>
      </c>
      <c r="E1106" s="81" t="s">
        <v>447</v>
      </c>
      <c r="F1106" s="162" t="s">
        <v>448</v>
      </c>
      <c r="G1106" s="163"/>
      <c r="H1106" s="81" t="s">
        <v>1567</v>
      </c>
      <c r="I1106" s="81" t="s">
        <v>1476</v>
      </c>
      <c r="J1106" s="81" t="s">
        <v>153</v>
      </c>
      <c r="K1106" s="81" t="s">
        <v>1572</v>
      </c>
      <c r="L1106" s="81" t="s">
        <v>58</v>
      </c>
      <c r="M1106" s="164">
        <v>4.53592</v>
      </c>
      <c r="N1106" s="165"/>
      <c r="O1106" s="163"/>
      <c r="P1106" s="82">
        <v>400</v>
      </c>
      <c r="Q1106" s="164">
        <v>0</v>
      </c>
      <c r="R1106" s="163"/>
      <c r="S1106" s="81" t="s">
        <v>58</v>
      </c>
      <c r="T1106" s="82">
        <v>0</v>
      </c>
      <c r="U1106" s="82">
        <v>0</v>
      </c>
      <c r="V1106" s="82">
        <v>0</v>
      </c>
      <c r="W1106" s="82">
        <v>0</v>
      </c>
      <c r="X1106" s="81"/>
      <c r="Y1106" s="81"/>
      <c r="Z1106" s="81" t="s">
        <v>58</v>
      </c>
      <c r="AA1106" s="81" t="s">
        <v>58</v>
      </c>
      <c r="AB1106" s="81" t="s">
        <v>58</v>
      </c>
      <c r="AC1106" s="83">
        <v>46108</v>
      </c>
    </row>
    <row r="1107" spans="2:29" ht="23" x14ac:dyDescent="0.35">
      <c r="B1107" s="81" t="s">
        <v>338</v>
      </c>
      <c r="C1107" s="81" t="s">
        <v>339</v>
      </c>
      <c r="D1107" s="81" t="s">
        <v>340</v>
      </c>
      <c r="E1107" s="81" t="s">
        <v>447</v>
      </c>
      <c r="F1107" s="162" t="s">
        <v>448</v>
      </c>
      <c r="G1107" s="163"/>
      <c r="H1107" s="81" t="s">
        <v>1567</v>
      </c>
      <c r="I1107" s="81" t="s">
        <v>1476</v>
      </c>
      <c r="J1107" s="81" t="s">
        <v>153</v>
      </c>
      <c r="K1107" s="81" t="s">
        <v>1573</v>
      </c>
      <c r="L1107" s="81" t="s">
        <v>58</v>
      </c>
      <c r="M1107" s="164">
        <v>4.53592</v>
      </c>
      <c r="N1107" s="165"/>
      <c r="O1107" s="163"/>
      <c r="P1107" s="82">
        <v>400</v>
      </c>
      <c r="Q1107" s="164">
        <v>0</v>
      </c>
      <c r="R1107" s="163"/>
      <c r="S1107" s="81" t="s">
        <v>58</v>
      </c>
      <c r="T1107" s="82">
        <v>0</v>
      </c>
      <c r="U1107" s="82">
        <v>0</v>
      </c>
      <c r="V1107" s="82">
        <v>0</v>
      </c>
      <c r="W1107" s="82">
        <v>0</v>
      </c>
      <c r="X1107" s="81"/>
      <c r="Y1107" s="81"/>
      <c r="Z1107" s="81" t="s">
        <v>58</v>
      </c>
      <c r="AA1107" s="81" t="s">
        <v>58</v>
      </c>
      <c r="AB1107" s="81" t="s">
        <v>58</v>
      </c>
      <c r="AC1107" s="83">
        <v>46108</v>
      </c>
    </row>
    <row r="1108" spans="2:29" ht="23" x14ac:dyDescent="0.35">
      <c r="B1108" s="81" t="s">
        <v>338</v>
      </c>
      <c r="C1108" s="81" t="s">
        <v>339</v>
      </c>
      <c r="D1108" s="81" t="s">
        <v>340</v>
      </c>
      <c r="E1108" s="81" t="s">
        <v>447</v>
      </c>
      <c r="F1108" s="162" t="s">
        <v>448</v>
      </c>
      <c r="G1108" s="163"/>
      <c r="H1108" s="81" t="s">
        <v>1567</v>
      </c>
      <c r="I1108" s="81" t="s">
        <v>1476</v>
      </c>
      <c r="J1108" s="81" t="s">
        <v>153</v>
      </c>
      <c r="K1108" s="81" t="s">
        <v>1574</v>
      </c>
      <c r="L1108" s="81" t="s">
        <v>58</v>
      </c>
      <c r="M1108" s="164">
        <v>4.53592</v>
      </c>
      <c r="N1108" s="165"/>
      <c r="O1108" s="163"/>
      <c r="P1108" s="82">
        <v>400</v>
      </c>
      <c r="Q1108" s="164">
        <v>0</v>
      </c>
      <c r="R1108" s="163"/>
      <c r="S1108" s="81" t="s">
        <v>58</v>
      </c>
      <c r="T1108" s="82">
        <v>0</v>
      </c>
      <c r="U1108" s="82">
        <v>0</v>
      </c>
      <c r="V1108" s="82">
        <v>0</v>
      </c>
      <c r="W1108" s="82">
        <v>0</v>
      </c>
      <c r="X1108" s="81"/>
      <c r="Y1108" s="81"/>
      <c r="Z1108" s="81" t="s">
        <v>58</v>
      </c>
      <c r="AA1108" s="81" t="s">
        <v>58</v>
      </c>
      <c r="AB1108" s="81" t="s">
        <v>58</v>
      </c>
      <c r="AC1108" s="83">
        <v>46108</v>
      </c>
    </row>
    <row r="1109" spans="2:29" ht="23" x14ac:dyDescent="0.35">
      <c r="B1109" s="81" t="s">
        <v>338</v>
      </c>
      <c r="C1109" s="81" t="s">
        <v>339</v>
      </c>
      <c r="D1109" s="81" t="s">
        <v>340</v>
      </c>
      <c r="E1109" s="81" t="s">
        <v>447</v>
      </c>
      <c r="F1109" s="162" t="s">
        <v>448</v>
      </c>
      <c r="G1109" s="163"/>
      <c r="H1109" s="81" t="s">
        <v>1567</v>
      </c>
      <c r="I1109" s="81" t="s">
        <v>1476</v>
      </c>
      <c r="J1109" s="81" t="s">
        <v>153</v>
      </c>
      <c r="K1109" s="81" t="s">
        <v>1575</v>
      </c>
      <c r="L1109" s="81" t="s">
        <v>58</v>
      </c>
      <c r="M1109" s="164">
        <v>4.53592</v>
      </c>
      <c r="N1109" s="165"/>
      <c r="O1109" s="163"/>
      <c r="P1109" s="82">
        <v>400</v>
      </c>
      <c r="Q1109" s="164">
        <v>0</v>
      </c>
      <c r="R1109" s="163"/>
      <c r="S1109" s="81" t="s">
        <v>58</v>
      </c>
      <c r="T1109" s="82">
        <v>0</v>
      </c>
      <c r="U1109" s="82">
        <v>0</v>
      </c>
      <c r="V1109" s="82">
        <v>0</v>
      </c>
      <c r="W1109" s="82">
        <v>0</v>
      </c>
      <c r="X1109" s="81"/>
      <c r="Y1109" s="81"/>
      <c r="Z1109" s="81" t="s">
        <v>58</v>
      </c>
      <c r="AA1109" s="81" t="s">
        <v>58</v>
      </c>
      <c r="AB1109" s="81" t="s">
        <v>58</v>
      </c>
      <c r="AC1109" s="83">
        <v>46108</v>
      </c>
    </row>
    <row r="1110" spans="2:29" ht="23" x14ac:dyDescent="0.35">
      <c r="B1110" s="81" t="s">
        <v>338</v>
      </c>
      <c r="C1110" s="81" t="s">
        <v>339</v>
      </c>
      <c r="D1110" s="81" t="s">
        <v>340</v>
      </c>
      <c r="E1110" s="81" t="s">
        <v>447</v>
      </c>
      <c r="F1110" s="162" t="s">
        <v>448</v>
      </c>
      <c r="G1110" s="163"/>
      <c r="H1110" s="81" t="s">
        <v>1567</v>
      </c>
      <c r="I1110" s="81" t="s">
        <v>1476</v>
      </c>
      <c r="J1110" s="81" t="s">
        <v>153</v>
      </c>
      <c r="K1110" s="81" t="s">
        <v>1576</v>
      </c>
      <c r="L1110" s="81" t="s">
        <v>58</v>
      </c>
      <c r="M1110" s="164">
        <v>2.3359988</v>
      </c>
      <c r="N1110" s="165"/>
      <c r="O1110" s="163"/>
      <c r="P1110" s="82">
        <v>206</v>
      </c>
      <c r="Q1110" s="164">
        <v>0</v>
      </c>
      <c r="R1110" s="163"/>
      <c r="S1110" s="81" t="s">
        <v>58</v>
      </c>
      <c r="T1110" s="82">
        <v>0</v>
      </c>
      <c r="U1110" s="82">
        <v>0</v>
      </c>
      <c r="V1110" s="82">
        <v>0</v>
      </c>
      <c r="W1110" s="82">
        <v>0</v>
      </c>
      <c r="X1110" s="81"/>
      <c r="Y1110" s="81"/>
      <c r="Z1110" s="81" t="s">
        <v>58</v>
      </c>
      <c r="AA1110" s="81" t="s">
        <v>58</v>
      </c>
      <c r="AB1110" s="81" t="s">
        <v>58</v>
      </c>
      <c r="AC1110" s="83">
        <v>46108</v>
      </c>
    </row>
    <row r="1111" spans="2:29" ht="23" x14ac:dyDescent="0.35">
      <c r="B1111" s="81" t="s">
        <v>338</v>
      </c>
      <c r="C1111" s="81" t="s">
        <v>339</v>
      </c>
      <c r="D1111" s="81" t="s">
        <v>340</v>
      </c>
      <c r="E1111" s="81" t="s">
        <v>447</v>
      </c>
      <c r="F1111" s="162" t="s">
        <v>448</v>
      </c>
      <c r="G1111" s="163"/>
      <c r="H1111" s="81" t="s">
        <v>1567</v>
      </c>
      <c r="I1111" s="81" t="s">
        <v>1476</v>
      </c>
      <c r="J1111" s="81" t="s">
        <v>153</v>
      </c>
      <c r="K1111" s="81" t="s">
        <v>1577</v>
      </c>
      <c r="L1111" s="81" t="s">
        <v>58</v>
      </c>
      <c r="M1111" s="164">
        <v>4.6493180000000001</v>
      </c>
      <c r="N1111" s="165"/>
      <c r="O1111" s="163"/>
      <c r="P1111" s="82">
        <v>400</v>
      </c>
      <c r="Q1111" s="164">
        <v>0</v>
      </c>
      <c r="R1111" s="163"/>
      <c r="S1111" s="81" t="s">
        <v>58</v>
      </c>
      <c r="T1111" s="82">
        <v>0</v>
      </c>
      <c r="U1111" s="82">
        <v>0</v>
      </c>
      <c r="V1111" s="82">
        <v>0</v>
      </c>
      <c r="W1111" s="82">
        <v>0</v>
      </c>
      <c r="X1111" s="81"/>
      <c r="Y1111" s="81"/>
      <c r="Z1111" s="81" t="s">
        <v>58</v>
      </c>
      <c r="AA1111" s="81" t="s">
        <v>58</v>
      </c>
      <c r="AB1111" s="81" t="s">
        <v>58</v>
      </c>
      <c r="AC1111" s="83">
        <v>46108</v>
      </c>
    </row>
    <row r="1112" spans="2:29" ht="23" x14ac:dyDescent="0.35">
      <c r="B1112" s="81" t="s">
        <v>338</v>
      </c>
      <c r="C1112" s="81" t="s">
        <v>339</v>
      </c>
      <c r="D1112" s="81" t="s">
        <v>340</v>
      </c>
      <c r="E1112" s="81" t="s">
        <v>447</v>
      </c>
      <c r="F1112" s="162" t="s">
        <v>448</v>
      </c>
      <c r="G1112" s="163"/>
      <c r="H1112" s="81" t="s">
        <v>1567</v>
      </c>
      <c r="I1112" s="81" t="s">
        <v>1476</v>
      </c>
      <c r="J1112" s="81" t="s">
        <v>153</v>
      </c>
      <c r="K1112" s="81" t="s">
        <v>1578</v>
      </c>
      <c r="L1112" s="81" t="s">
        <v>58</v>
      </c>
      <c r="M1112" s="164">
        <v>4.6493180000000001</v>
      </c>
      <c r="N1112" s="165"/>
      <c r="O1112" s="163"/>
      <c r="P1112" s="82">
        <v>400</v>
      </c>
      <c r="Q1112" s="164">
        <v>0</v>
      </c>
      <c r="R1112" s="163"/>
      <c r="S1112" s="81" t="s">
        <v>58</v>
      </c>
      <c r="T1112" s="82">
        <v>0</v>
      </c>
      <c r="U1112" s="82">
        <v>0</v>
      </c>
      <c r="V1112" s="82">
        <v>0</v>
      </c>
      <c r="W1112" s="82">
        <v>0</v>
      </c>
      <c r="X1112" s="81"/>
      <c r="Y1112" s="81"/>
      <c r="Z1112" s="81" t="s">
        <v>58</v>
      </c>
      <c r="AA1112" s="81" t="s">
        <v>58</v>
      </c>
      <c r="AB1112" s="81" t="s">
        <v>58</v>
      </c>
      <c r="AC1112" s="83">
        <v>46108</v>
      </c>
    </row>
    <row r="1113" spans="2:29" ht="23" x14ac:dyDescent="0.35">
      <c r="B1113" s="81" t="s">
        <v>338</v>
      </c>
      <c r="C1113" s="81" t="s">
        <v>339</v>
      </c>
      <c r="D1113" s="81" t="s">
        <v>340</v>
      </c>
      <c r="E1113" s="81" t="s">
        <v>447</v>
      </c>
      <c r="F1113" s="162" t="s">
        <v>448</v>
      </c>
      <c r="G1113" s="163"/>
      <c r="H1113" s="81" t="s">
        <v>1567</v>
      </c>
      <c r="I1113" s="81" t="s">
        <v>1476</v>
      </c>
      <c r="J1113" s="81" t="s">
        <v>153</v>
      </c>
      <c r="K1113" s="81" t="s">
        <v>1579</v>
      </c>
      <c r="L1113" s="81" t="s">
        <v>58</v>
      </c>
      <c r="M1113" s="164">
        <v>4.6493180000000001</v>
      </c>
      <c r="N1113" s="165"/>
      <c r="O1113" s="163"/>
      <c r="P1113" s="82">
        <v>400</v>
      </c>
      <c r="Q1113" s="164">
        <v>0</v>
      </c>
      <c r="R1113" s="163"/>
      <c r="S1113" s="81" t="s">
        <v>58</v>
      </c>
      <c r="T1113" s="82">
        <v>0</v>
      </c>
      <c r="U1113" s="82">
        <v>0</v>
      </c>
      <c r="V1113" s="82">
        <v>0</v>
      </c>
      <c r="W1113" s="82">
        <v>0</v>
      </c>
      <c r="X1113" s="81"/>
      <c r="Y1113" s="81"/>
      <c r="Z1113" s="81" t="s">
        <v>58</v>
      </c>
      <c r="AA1113" s="81" t="s">
        <v>58</v>
      </c>
      <c r="AB1113" s="81" t="s">
        <v>58</v>
      </c>
      <c r="AC1113" s="83">
        <v>46108</v>
      </c>
    </row>
    <row r="1114" spans="2:29" ht="23" x14ac:dyDescent="0.35">
      <c r="B1114" s="81" t="s">
        <v>338</v>
      </c>
      <c r="C1114" s="81" t="s">
        <v>339</v>
      </c>
      <c r="D1114" s="81" t="s">
        <v>340</v>
      </c>
      <c r="E1114" s="81" t="s">
        <v>447</v>
      </c>
      <c r="F1114" s="162" t="s">
        <v>448</v>
      </c>
      <c r="G1114" s="163"/>
      <c r="H1114" s="81" t="s">
        <v>1567</v>
      </c>
      <c r="I1114" s="81" t="s">
        <v>1476</v>
      </c>
      <c r="J1114" s="81" t="s">
        <v>153</v>
      </c>
      <c r="K1114" s="81" t="s">
        <v>1580</v>
      </c>
      <c r="L1114" s="81" t="s">
        <v>58</v>
      </c>
      <c r="M1114" s="164">
        <v>4.6493180000000001</v>
      </c>
      <c r="N1114" s="165"/>
      <c r="O1114" s="163"/>
      <c r="P1114" s="82">
        <v>400</v>
      </c>
      <c r="Q1114" s="164">
        <v>0</v>
      </c>
      <c r="R1114" s="163"/>
      <c r="S1114" s="81" t="s">
        <v>58</v>
      </c>
      <c r="T1114" s="82">
        <v>0</v>
      </c>
      <c r="U1114" s="82">
        <v>0</v>
      </c>
      <c r="V1114" s="82">
        <v>0</v>
      </c>
      <c r="W1114" s="82">
        <v>0</v>
      </c>
      <c r="X1114" s="81"/>
      <c r="Y1114" s="81"/>
      <c r="Z1114" s="81" t="s">
        <v>58</v>
      </c>
      <c r="AA1114" s="81" t="s">
        <v>58</v>
      </c>
      <c r="AB1114" s="81" t="s">
        <v>58</v>
      </c>
      <c r="AC1114" s="83">
        <v>46108</v>
      </c>
    </row>
    <row r="1115" spans="2:29" ht="23" x14ac:dyDescent="0.35">
      <c r="B1115" s="81" t="s">
        <v>338</v>
      </c>
      <c r="C1115" s="81" t="s">
        <v>339</v>
      </c>
      <c r="D1115" s="81" t="s">
        <v>340</v>
      </c>
      <c r="E1115" s="81" t="s">
        <v>447</v>
      </c>
      <c r="F1115" s="162" t="s">
        <v>448</v>
      </c>
      <c r="G1115" s="163"/>
      <c r="H1115" s="81" t="s">
        <v>1567</v>
      </c>
      <c r="I1115" s="81" t="s">
        <v>1476</v>
      </c>
      <c r="J1115" s="81" t="s">
        <v>153</v>
      </c>
      <c r="K1115" s="81" t="s">
        <v>1581</v>
      </c>
      <c r="L1115" s="81" t="s">
        <v>58</v>
      </c>
      <c r="M1115" s="164">
        <v>4.6493180000000001</v>
      </c>
      <c r="N1115" s="165"/>
      <c r="O1115" s="163"/>
      <c r="P1115" s="82">
        <v>400</v>
      </c>
      <c r="Q1115" s="164">
        <v>0</v>
      </c>
      <c r="R1115" s="163"/>
      <c r="S1115" s="81" t="s">
        <v>58</v>
      </c>
      <c r="T1115" s="82">
        <v>0</v>
      </c>
      <c r="U1115" s="82">
        <v>0</v>
      </c>
      <c r="V1115" s="82">
        <v>0</v>
      </c>
      <c r="W1115" s="82">
        <v>0</v>
      </c>
      <c r="X1115" s="81"/>
      <c r="Y1115" s="81"/>
      <c r="Z1115" s="81" t="s">
        <v>58</v>
      </c>
      <c r="AA1115" s="81" t="s">
        <v>58</v>
      </c>
      <c r="AB1115" s="81" t="s">
        <v>58</v>
      </c>
      <c r="AC1115" s="83">
        <v>46108</v>
      </c>
    </row>
    <row r="1116" spans="2:29" ht="23" x14ac:dyDescent="0.35">
      <c r="B1116" s="81" t="s">
        <v>338</v>
      </c>
      <c r="C1116" s="81" t="s">
        <v>339</v>
      </c>
      <c r="D1116" s="81" t="s">
        <v>340</v>
      </c>
      <c r="E1116" s="81" t="s">
        <v>447</v>
      </c>
      <c r="F1116" s="162" t="s">
        <v>448</v>
      </c>
      <c r="G1116" s="163"/>
      <c r="H1116" s="81" t="s">
        <v>1567</v>
      </c>
      <c r="I1116" s="81" t="s">
        <v>1476</v>
      </c>
      <c r="J1116" s="81" t="s">
        <v>153</v>
      </c>
      <c r="K1116" s="81" t="s">
        <v>1582</v>
      </c>
      <c r="L1116" s="81" t="s">
        <v>58</v>
      </c>
      <c r="M1116" s="164">
        <v>4.6493180000000001</v>
      </c>
      <c r="N1116" s="165"/>
      <c r="O1116" s="163"/>
      <c r="P1116" s="82">
        <v>400</v>
      </c>
      <c r="Q1116" s="164">
        <v>0</v>
      </c>
      <c r="R1116" s="163"/>
      <c r="S1116" s="81" t="s">
        <v>58</v>
      </c>
      <c r="T1116" s="82">
        <v>0</v>
      </c>
      <c r="U1116" s="82">
        <v>0</v>
      </c>
      <c r="V1116" s="82">
        <v>0</v>
      </c>
      <c r="W1116" s="82">
        <v>0</v>
      </c>
      <c r="X1116" s="81"/>
      <c r="Y1116" s="81"/>
      <c r="Z1116" s="81" t="s">
        <v>58</v>
      </c>
      <c r="AA1116" s="81" t="s">
        <v>58</v>
      </c>
      <c r="AB1116" s="81" t="s">
        <v>58</v>
      </c>
      <c r="AC1116" s="83">
        <v>46108</v>
      </c>
    </row>
    <row r="1117" spans="2:29" ht="23" x14ac:dyDescent="0.35">
      <c r="B1117" s="81" t="s">
        <v>338</v>
      </c>
      <c r="C1117" s="81" t="s">
        <v>339</v>
      </c>
      <c r="D1117" s="81" t="s">
        <v>340</v>
      </c>
      <c r="E1117" s="81" t="s">
        <v>447</v>
      </c>
      <c r="F1117" s="162" t="s">
        <v>448</v>
      </c>
      <c r="G1117" s="163"/>
      <c r="H1117" s="81" t="s">
        <v>1567</v>
      </c>
      <c r="I1117" s="81" t="s">
        <v>1476</v>
      </c>
      <c r="J1117" s="81" t="s">
        <v>153</v>
      </c>
      <c r="K1117" s="81" t="s">
        <v>1583</v>
      </c>
      <c r="L1117" s="81" t="s">
        <v>58</v>
      </c>
      <c r="M1117" s="164">
        <v>4.6493180000000001</v>
      </c>
      <c r="N1117" s="165"/>
      <c r="O1117" s="163"/>
      <c r="P1117" s="82">
        <v>400</v>
      </c>
      <c r="Q1117" s="164">
        <v>0</v>
      </c>
      <c r="R1117" s="163"/>
      <c r="S1117" s="81" t="s">
        <v>58</v>
      </c>
      <c r="T1117" s="82">
        <v>0</v>
      </c>
      <c r="U1117" s="82">
        <v>0</v>
      </c>
      <c r="V1117" s="82">
        <v>0</v>
      </c>
      <c r="W1117" s="82">
        <v>0</v>
      </c>
      <c r="X1117" s="81"/>
      <c r="Y1117" s="81"/>
      <c r="Z1117" s="81" t="s">
        <v>58</v>
      </c>
      <c r="AA1117" s="81" t="s">
        <v>58</v>
      </c>
      <c r="AB1117" s="81" t="s">
        <v>58</v>
      </c>
      <c r="AC1117" s="83">
        <v>46108</v>
      </c>
    </row>
    <row r="1118" spans="2:29" ht="23" x14ac:dyDescent="0.35">
      <c r="B1118" s="81" t="s">
        <v>338</v>
      </c>
      <c r="C1118" s="81" t="s">
        <v>339</v>
      </c>
      <c r="D1118" s="81" t="s">
        <v>340</v>
      </c>
      <c r="E1118" s="81" t="s">
        <v>447</v>
      </c>
      <c r="F1118" s="162" t="s">
        <v>448</v>
      </c>
      <c r="G1118" s="163"/>
      <c r="H1118" s="81" t="s">
        <v>1567</v>
      </c>
      <c r="I1118" s="81" t="s">
        <v>1476</v>
      </c>
      <c r="J1118" s="81" t="s">
        <v>153</v>
      </c>
      <c r="K1118" s="81" t="s">
        <v>1584</v>
      </c>
      <c r="L1118" s="81" t="s">
        <v>58</v>
      </c>
      <c r="M1118" s="164">
        <v>4.2541259699999996</v>
      </c>
      <c r="N1118" s="165"/>
      <c r="O1118" s="163"/>
      <c r="P1118" s="82">
        <v>366</v>
      </c>
      <c r="Q1118" s="164">
        <v>0</v>
      </c>
      <c r="R1118" s="163"/>
      <c r="S1118" s="81" t="s">
        <v>58</v>
      </c>
      <c r="T1118" s="82">
        <v>0</v>
      </c>
      <c r="U1118" s="82">
        <v>0</v>
      </c>
      <c r="V1118" s="82">
        <v>0</v>
      </c>
      <c r="W1118" s="82">
        <v>0</v>
      </c>
      <c r="X1118" s="81"/>
      <c r="Y1118" s="81"/>
      <c r="Z1118" s="81" t="s">
        <v>58</v>
      </c>
      <c r="AA1118" s="81" t="s">
        <v>58</v>
      </c>
      <c r="AB1118" s="81" t="s">
        <v>58</v>
      </c>
      <c r="AC1118" s="83">
        <v>46108</v>
      </c>
    </row>
    <row r="1119" spans="2:29" ht="23" x14ac:dyDescent="0.35">
      <c r="B1119" s="81" t="s">
        <v>338</v>
      </c>
      <c r="C1119" s="81" t="s">
        <v>339</v>
      </c>
      <c r="D1119" s="81" t="s">
        <v>340</v>
      </c>
      <c r="E1119" s="81" t="s">
        <v>447</v>
      </c>
      <c r="F1119" s="162" t="s">
        <v>448</v>
      </c>
      <c r="G1119" s="163"/>
      <c r="H1119" s="81" t="s">
        <v>1567</v>
      </c>
      <c r="I1119" s="81" t="s">
        <v>1476</v>
      </c>
      <c r="J1119" s="81" t="s">
        <v>153</v>
      </c>
      <c r="K1119" s="81" t="s">
        <v>1585</v>
      </c>
      <c r="L1119" s="81" t="s">
        <v>58</v>
      </c>
      <c r="M1119" s="164">
        <v>4.7627160000000002</v>
      </c>
      <c r="N1119" s="165"/>
      <c r="O1119" s="163"/>
      <c r="P1119" s="82">
        <v>400</v>
      </c>
      <c r="Q1119" s="164">
        <v>0</v>
      </c>
      <c r="R1119" s="163"/>
      <c r="S1119" s="81" t="s">
        <v>58</v>
      </c>
      <c r="T1119" s="82">
        <v>0</v>
      </c>
      <c r="U1119" s="82">
        <v>0</v>
      </c>
      <c r="V1119" s="82">
        <v>0</v>
      </c>
      <c r="W1119" s="82">
        <v>0</v>
      </c>
      <c r="X1119" s="81"/>
      <c r="Y1119" s="81"/>
      <c r="Z1119" s="81" t="s">
        <v>58</v>
      </c>
      <c r="AA1119" s="81" t="s">
        <v>58</v>
      </c>
      <c r="AB1119" s="81" t="s">
        <v>58</v>
      </c>
      <c r="AC1119" s="83">
        <v>46108</v>
      </c>
    </row>
    <row r="1120" spans="2:29" ht="23" x14ac:dyDescent="0.35">
      <c r="B1120" s="81" t="s">
        <v>338</v>
      </c>
      <c r="C1120" s="81" t="s">
        <v>339</v>
      </c>
      <c r="D1120" s="81" t="s">
        <v>340</v>
      </c>
      <c r="E1120" s="81" t="s">
        <v>447</v>
      </c>
      <c r="F1120" s="162" t="s">
        <v>448</v>
      </c>
      <c r="G1120" s="163"/>
      <c r="H1120" s="81" t="s">
        <v>1567</v>
      </c>
      <c r="I1120" s="81" t="s">
        <v>1476</v>
      </c>
      <c r="J1120" s="81" t="s">
        <v>153</v>
      </c>
      <c r="K1120" s="81" t="s">
        <v>1586</v>
      </c>
      <c r="L1120" s="81" t="s">
        <v>58</v>
      </c>
      <c r="M1120" s="164">
        <v>4.7627160000000002</v>
      </c>
      <c r="N1120" s="165"/>
      <c r="O1120" s="163"/>
      <c r="P1120" s="82">
        <v>400</v>
      </c>
      <c r="Q1120" s="164">
        <v>0</v>
      </c>
      <c r="R1120" s="163"/>
      <c r="S1120" s="81" t="s">
        <v>58</v>
      </c>
      <c r="T1120" s="82">
        <v>0</v>
      </c>
      <c r="U1120" s="82">
        <v>0</v>
      </c>
      <c r="V1120" s="82">
        <v>0</v>
      </c>
      <c r="W1120" s="82">
        <v>0</v>
      </c>
      <c r="X1120" s="81"/>
      <c r="Y1120" s="81"/>
      <c r="Z1120" s="81" t="s">
        <v>58</v>
      </c>
      <c r="AA1120" s="81" t="s">
        <v>58</v>
      </c>
      <c r="AB1120" s="81" t="s">
        <v>58</v>
      </c>
      <c r="AC1120" s="83">
        <v>46108</v>
      </c>
    </row>
    <row r="1121" spans="2:29" ht="23" x14ac:dyDescent="0.35">
      <c r="B1121" s="81" t="s">
        <v>338</v>
      </c>
      <c r="C1121" s="81" t="s">
        <v>339</v>
      </c>
      <c r="D1121" s="81" t="s">
        <v>340</v>
      </c>
      <c r="E1121" s="81" t="s">
        <v>447</v>
      </c>
      <c r="F1121" s="162" t="s">
        <v>448</v>
      </c>
      <c r="G1121" s="163"/>
      <c r="H1121" s="81" t="s">
        <v>1567</v>
      </c>
      <c r="I1121" s="81" t="s">
        <v>1476</v>
      </c>
      <c r="J1121" s="81" t="s">
        <v>153</v>
      </c>
      <c r="K1121" s="81" t="s">
        <v>1587</v>
      </c>
      <c r="L1121" s="81" t="s">
        <v>58</v>
      </c>
      <c r="M1121" s="164">
        <v>4.7627160000000002</v>
      </c>
      <c r="N1121" s="165"/>
      <c r="O1121" s="163"/>
      <c r="P1121" s="82">
        <v>400</v>
      </c>
      <c r="Q1121" s="164">
        <v>0</v>
      </c>
      <c r="R1121" s="163"/>
      <c r="S1121" s="81" t="s">
        <v>58</v>
      </c>
      <c r="T1121" s="82">
        <v>0</v>
      </c>
      <c r="U1121" s="82">
        <v>0</v>
      </c>
      <c r="V1121" s="82">
        <v>0</v>
      </c>
      <c r="W1121" s="82">
        <v>0</v>
      </c>
      <c r="X1121" s="81"/>
      <c r="Y1121" s="81"/>
      <c r="Z1121" s="81" t="s">
        <v>58</v>
      </c>
      <c r="AA1121" s="81" t="s">
        <v>58</v>
      </c>
      <c r="AB1121" s="81" t="s">
        <v>58</v>
      </c>
      <c r="AC1121" s="83">
        <v>46108</v>
      </c>
    </row>
    <row r="1122" spans="2:29" ht="23" x14ac:dyDescent="0.35">
      <c r="B1122" s="81" t="s">
        <v>338</v>
      </c>
      <c r="C1122" s="81" t="s">
        <v>339</v>
      </c>
      <c r="D1122" s="81" t="s">
        <v>340</v>
      </c>
      <c r="E1122" s="81" t="s">
        <v>447</v>
      </c>
      <c r="F1122" s="162" t="s">
        <v>448</v>
      </c>
      <c r="G1122" s="163"/>
      <c r="H1122" s="81" t="s">
        <v>1567</v>
      </c>
      <c r="I1122" s="81" t="s">
        <v>1476</v>
      </c>
      <c r="J1122" s="81" t="s">
        <v>153</v>
      </c>
      <c r="K1122" s="81" t="s">
        <v>1588</v>
      </c>
      <c r="L1122" s="81" t="s">
        <v>58</v>
      </c>
      <c r="M1122" s="164">
        <v>4.7627160000000002</v>
      </c>
      <c r="N1122" s="165"/>
      <c r="O1122" s="163"/>
      <c r="P1122" s="82">
        <v>400</v>
      </c>
      <c r="Q1122" s="164">
        <v>0</v>
      </c>
      <c r="R1122" s="163"/>
      <c r="S1122" s="81" t="s">
        <v>58</v>
      </c>
      <c r="T1122" s="82">
        <v>0</v>
      </c>
      <c r="U1122" s="82">
        <v>0</v>
      </c>
      <c r="V1122" s="82">
        <v>0</v>
      </c>
      <c r="W1122" s="82">
        <v>0</v>
      </c>
      <c r="X1122" s="81"/>
      <c r="Y1122" s="81"/>
      <c r="Z1122" s="81" t="s">
        <v>58</v>
      </c>
      <c r="AA1122" s="81" t="s">
        <v>58</v>
      </c>
      <c r="AB1122" s="81" t="s">
        <v>58</v>
      </c>
      <c r="AC1122" s="83">
        <v>46108</v>
      </c>
    </row>
    <row r="1123" spans="2:29" ht="23" x14ac:dyDescent="0.35">
      <c r="B1123" s="81" t="s">
        <v>338</v>
      </c>
      <c r="C1123" s="81" t="s">
        <v>339</v>
      </c>
      <c r="D1123" s="81" t="s">
        <v>340</v>
      </c>
      <c r="E1123" s="81" t="s">
        <v>447</v>
      </c>
      <c r="F1123" s="162" t="s">
        <v>448</v>
      </c>
      <c r="G1123" s="163"/>
      <c r="H1123" s="81" t="s">
        <v>1567</v>
      </c>
      <c r="I1123" s="81" t="s">
        <v>1476</v>
      </c>
      <c r="J1123" s="81" t="s">
        <v>153</v>
      </c>
      <c r="K1123" s="81" t="s">
        <v>1589</v>
      </c>
      <c r="L1123" s="81" t="s">
        <v>58</v>
      </c>
      <c r="M1123" s="164">
        <v>4.7627160000000002</v>
      </c>
      <c r="N1123" s="165"/>
      <c r="O1123" s="163"/>
      <c r="P1123" s="82">
        <v>400</v>
      </c>
      <c r="Q1123" s="164">
        <v>0</v>
      </c>
      <c r="R1123" s="163"/>
      <c r="S1123" s="81" t="s">
        <v>58</v>
      </c>
      <c r="T1123" s="82">
        <v>0</v>
      </c>
      <c r="U1123" s="82">
        <v>0</v>
      </c>
      <c r="V1123" s="82">
        <v>0</v>
      </c>
      <c r="W1123" s="82">
        <v>0</v>
      </c>
      <c r="X1123" s="81"/>
      <c r="Y1123" s="81"/>
      <c r="Z1123" s="81" t="s">
        <v>58</v>
      </c>
      <c r="AA1123" s="81" t="s">
        <v>58</v>
      </c>
      <c r="AB1123" s="81" t="s">
        <v>58</v>
      </c>
      <c r="AC1123" s="83">
        <v>46108</v>
      </c>
    </row>
    <row r="1124" spans="2:29" ht="23" x14ac:dyDescent="0.35">
      <c r="B1124" s="81" t="s">
        <v>338</v>
      </c>
      <c r="C1124" s="81" t="s">
        <v>339</v>
      </c>
      <c r="D1124" s="81" t="s">
        <v>340</v>
      </c>
      <c r="E1124" s="81" t="s">
        <v>447</v>
      </c>
      <c r="F1124" s="162" t="s">
        <v>448</v>
      </c>
      <c r="G1124" s="163"/>
      <c r="H1124" s="81" t="s">
        <v>1567</v>
      </c>
      <c r="I1124" s="81" t="s">
        <v>1476</v>
      </c>
      <c r="J1124" s="81" t="s">
        <v>153</v>
      </c>
      <c r="K1124" s="81" t="s">
        <v>1590</v>
      </c>
      <c r="L1124" s="81" t="s">
        <v>58</v>
      </c>
      <c r="M1124" s="164">
        <v>5.6200048799999998</v>
      </c>
      <c r="N1124" s="165"/>
      <c r="O1124" s="163"/>
      <c r="P1124" s="82">
        <v>472</v>
      </c>
      <c r="Q1124" s="164">
        <v>0</v>
      </c>
      <c r="R1124" s="163"/>
      <c r="S1124" s="81" t="s">
        <v>58</v>
      </c>
      <c r="T1124" s="82">
        <v>0</v>
      </c>
      <c r="U1124" s="82">
        <v>0</v>
      </c>
      <c r="V1124" s="82">
        <v>0</v>
      </c>
      <c r="W1124" s="82">
        <v>0</v>
      </c>
      <c r="X1124" s="81"/>
      <c r="Y1124" s="81"/>
      <c r="Z1124" s="81" t="s">
        <v>58</v>
      </c>
      <c r="AA1124" s="81" t="s">
        <v>58</v>
      </c>
      <c r="AB1124" s="81" t="s">
        <v>58</v>
      </c>
      <c r="AC1124" s="83">
        <v>46108</v>
      </c>
    </row>
    <row r="1125" spans="2:29" ht="23" x14ac:dyDescent="0.35">
      <c r="B1125" s="81" t="s">
        <v>338</v>
      </c>
      <c r="C1125" s="81" t="s">
        <v>339</v>
      </c>
      <c r="D1125" s="81" t="s">
        <v>340</v>
      </c>
      <c r="E1125" s="81" t="s">
        <v>447</v>
      </c>
      <c r="F1125" s="162" t="s">
        <v>448</v>
      </c>
      <c r="G1125" s="163"/>
      <c r="H1125" s="81" t="s">
        <v>1567</v>
      </c>
      <c r="I1125" s="81" t="s">
        <v>1476</v>
      </c>
      <c r="J1125" s="81" t="s">
        <v>153</v>
      </c>
      <c r="K1125" s="81" t="s">
        <v>1591</v>
      </c>
      <c r="L1125" s="81" t="s">
        <v>58</v>
      </c>
      <c r="M1125" s="164">
        <v>4.8761140000000003</v>
      </c>
      <c r="N1125" s="165"/>
      <c r="O1125" s="163"/>
      <c r="P1125" s="82">
        <v>400</v>
      </c>
      <c r="Q1125" s="164">
        <v>0</v>
      </c>
      <c r="R1125" s="163"/>
      <c r="S1125" s="81" t="s">
        <v>58</v>
      </c>
      <c r="T1125" s="82">
        <v>0</v>
      </c>
      <c r="U1125" s="82">
        <v>0</v>
      </c>
      <c r="V1125" s="82">
        <v>0</v>
      </c>
      <c r="W1125" s="82">
        <v>0</v>
      </c>
      <c r="X1125" s="81"/>
      <c r="Y1125" s="81"/>
      <c r="Z1125" s="81" t="s">
        <v>58</v>
      </c>
      <c r="AA1125" s="81" t="s">
        <v>58</v>
      </c>
      <c r="AB1125" s="81" t="s">
        <v>58</v>
      </c>
      <c r="AC1125" s="83">
        <v>46108</v>
      </c>
    </row>
    <row r="1126" spans="2:29" ht="23" x14ac:dyDescent="0.35">
      <c r="B1126" s="81" t="s">
        <v>338</v>
      </c>
      <c r="C1126" s="81" t="s">
        <v>339</v>
      </c>
      <c r="D1126" s="81" t="s">
        <v>340</v>
      </c>
      <c r="E1126" s="81" t="s">
        <v>447</v>
      </c>
      <c r="F1126" s="162" t="s">
        <v>448</v>
      </c>
      <c r="G1126" s="163"/>
      <c r="H1126" s="81" t="s">
        <v>1567</v>
      </c>
      <c r="I1126" s="81" t="s">
        <v>1476</v>
      </c>
      <c r="J1126" s="81" t="s">
        <v>153</v>
      </c>
      <c r="K1126" s="81" t="s">
        <v>1592</v>
      </c>
      <c r="L1126" s="81" t="s">
        <v>58</v>
      </c>
      <c r="M1126" s="164">
        <v>4.8761140000000003</v>
      </c>
      <c r="N1126" s="165"/>
      <c r="O1126" s="163"/>
      <c r="P1126" s="82">
        <v>400</v>
      </c>
      <c r="Q1126" s="164">
        <v>0</v>
      </c>
      <c r="R1126" s="163"/>
      <c r="S1126" s="81" t="s">
        <v>58</v>
      </c>
      <c r="T1126" s="82">
        <v>0</v>
      </c>
      <c r="U1126" s="82">
        <v>0</v>
      </c>
      <c r="V1126" s="82">
        <v>0</v>
      </c>
      <c r="W1126" s="82">
        <v>0</v>
      </c>
      <c r="X1126" s="81"/>
      <c r="Y1126" s="81"/>
      <c r="Z1126" s="81" t="s">
        <v>58</v>
      </c>
      <c r="AA1126" s="81" t="s">
        <v>58</v>
      </c>
      <c r="AB1126" s="81" t="s">
        <v>58</v>
      </c>
      <c r="AC1126" s="83">
        <v>46108</v>
      </c>
    </row>
    <row r="1127" spans="2:29" ht="23" x14ac:dyDescent="0.35">
      <c r="B1127" s="81" t="s">
        <v>338</v>
      </c>
      <c r="C1127" s="81" t="s">
        <v>339</v>
      </c>
      <c r="D1127" s="81" t="s">
        <v>340</v>
      </c>
      <c r="E1127" s="81" t="s">
        <v>447</v>
      </c>
      <c r="F1127" s="162" t="s">
        <v>448</v>
      </c>
      <c r="G1127" s="163"/>
      <c r="H1127" s="81" t="s">
        <v>1567</v>
      </c>
      <c r="I1127" s="81" t="s">
        <v>1476</v>
      </c>
      <c r="J1127" s="81" t="s">
        <v>153</v>
      </c>
      <c r="K1127" s="81" t="s">
        <v>1593</v>
      </c>
      <c r="L1127" s="81" t="s">
        <v>58</v>
      </c>
      <c r="M1127" s="164">
        <v>4.8761140000000003</v>
      </c>
      <c r="N1127" s="165"/>
      <c r="O1127" s="163"/>
      <c r="P1127" s="82">
        <v>400</v>
      </c>
      <c r="Q1127" s="164">
        <v>0</v>
      </c>
      <c r="R1127" s="163"/>
      <c r="S1127" s="81" t="s">
        <v>58</v>
      </c>
      <c r="T1127" s="82">
        <v>0</v>
      </c>
      <c r="U1127" s="82">
        <v>0</v>
      </c>
      <c r="V1127" s="82">
        <v>0</v>
      </c>
      <c r="W1127" s="82">
        <v>0</v>
      </c>
      <c r="X1127" s="81"/>
      <c r="Y1127" s="81"/>
      <c r="Z1127" s="81" t="s">
        <v>58</v>
      </c>
      <c r="AA1127" s="81" t="s">
        <v>58</v>
      </c>
      <c r="AB1127" s="81" t="s">
        <v>58</v>
      </c>
      <c r="AC1127" s="83">
        <v>46108</v>
      </c>
    </row>
    <row r="1128" spans="2:29" ht="23" x14ac:dyDescent="0.35">
      <c r="B1128" s="81" t="s">
        <v>338</v>
      </c>
      <c r="C1128" s="81" t="s">
        <v>339</v>
      </c>
      <c r="D1128" s="81" t="s">
        <v>340</v>
      </c>
      <c r="E1128" s="81" t="s">
        <v>447</v>
      </c>
      <c r="F1128" s="162" t="s">
        <v>448</v>
      </c>
      <c r="G1128" s="163"/>
      <c r="H1128" s="81" t="s">
        <v>1567</v>
      </c>
      <c r="I1128" s="81" t="s">
        <v>1476</v>
      </c>
      <c r="J1128" s="81" t="s">
        <v>153</v>
      </c>
      <c r="K1128" s="81" t="s">
        <v>1594</v>
      </c>
      <c r="L1128" s="81" t="s">
        <v>58</v>
      </c>
      <c r="M1128" s="164">
        <v>3.2182352399999998</v>
      </c>
      <c r="N1128" s="165"/>
      <c r="O1128" s="163"/>
      <c r="P1128" s="82">
        <v>264</v>
      </c>
      <c r="Q1128" s="164">
        <v>0</v>
      </c>
      <c r="R1128" s="163"/>
      <c r="S1128" s="81" t="s">
        <v>58</v>
      </c>
      <c r="T1128" s="82">
        <v>0</v>
      </c>
      <c r="U1128" s="82">
        <v>0</v>
      </c>
      <c r="V1128" s="82">
        <v>0</v>
      </c>
      <c r="W1128" s="82">
        <v>0</v>
      </c>
      <c r="X1128" s="81"/>
      <c r="Y1128" s="81"/>
      <c r="Z1128" s="81" t="s">
        <v>58</v>
      </c>
      <c r="AA1128" s="81" t="s">
        <v>58</v>
      </c>
      <c r="AB1128" s="81" t="s">
        <v>58</v>
      </c>
      <c r="AC1128" s="83">
        <v>46108</v>
      </c>
    </row>
    <row r="1129" spans="2:29" ht="23" x14ac:dyDescent="0.35">
      <c r="B1129" s="81" t="s">
        <v>338</v>
      </c>
      <c r="C1129" s="81" t="s">
        <v>339</v>
      </c>
      <c r="D1129" s="81" t="s">
        <v>340</v>
      </c>
      <c r="E1129" s="81" t="s">
        <v>447</v>
      </c>
      <c r="F1129" s="162" t="s">
        <v>448</v>
      </c>
      <c r="G1129" s="163"/>
      <c r="H1129" s="81" t="s">
        <v>1567</v>
      </c>
      <c r="I1129" s="81" t="s">
        <v>1476</v>
      </c>
      <c r="J1129" s="81" t="s">
        <v>153</v>
      </c>
      <c r="K1129" s="81" t="s">
        <v>1595</v>
      </c>
      <c r="L1129" s="81" t="s">
        <v>58</v>
      </c>
      <c r="M1129" s="164">
        <v>5.0121916000000004</v>
      </c>
      <c r="N1129" s="165"/>
      <c r="O1129" s="163"/>
      <c r="P1129" s="82">
        <v>400</v>
      </c>
      <c r="Q1129" s="164">
        <v>0</v>
      </c>
      <c r="R1129" s="163"/>
      <c r="S1129" s="81" t="s">
        <v>58</v>
      </c>
      <c r="T1129" s="82">
        <v>0</v>
      </c>
      <c r="U1129" s="82">
        <v>0</v>
      </c>
      <c r="V1129" s="82">
        <v>0</v>
      </c>
      <c r="W1129" s="82">
        <v>0</v>
      </c>
      <c r="X1129" s="81"/>
      <c r="Y1129" s="81"/>
      <c r="Z1129" s="81" t="s">
        <v>58</v>
      </c>
      <c r="AA1129" s="81" t="s">
        <v>58</v>
      </c>
      <c r="AB1129" s="81" t="s">
        <v>58</v>
      </c>
      <c r="AC1129" s="83">
        <v>46108</v>
      </c>
    </row>
    <row r="1130" spans="2:29" ht="23" x14ac:dyDescent="0.35">
      <c r="B1130" s="81" t="s">
        <v>338</v>
      </c>
      <c r="C1130" s="81" t="s">
        <v>339</v>
      </c>
      <c r="D1130" s="81" t="s">
        <v>340</v>
      </c>
      <c r="E1130" s="81" t="s">
        <v>447</v>
      </c>
      <c r="F1130" s="162" t="s">
        <v>448</v>
      </c>
      <c r="G1130" s="163"/>
      <c r="H1130" s="81" t="s">
        <v>1567</v>
      </c>
      <c r="I1130" s="81" t="s">
        <v>1476</v>
      </c>
      <c r="J1130" s="81" t="s">
        <v>153</v>
      </c>
      <c r="K1130" s="81" t="s">
        <v>1596</v>
      </c>
      <c r="L1130" s="81" t="s">
        <v>58</v>
      </c>
      <c r="M1130" s="164">
        <v>4.8618258519999999</v>
      </c>
      <c r="N1130" s="165"/>
      <c r="O1130" s="163"/>
      <c r="P1130" s="82">
        <v>388</v>
      </c>
      <c r="Q1130" s="164">
        <v>0</v>
      </c>
      <c r="R1130" s="163"/>
      <c r="S1130" s="81" t="s">
        <v>58</v>
      </c>
      <c r="T1130" s="82">
        <v>0</v>
      </c>
      <c r="U1130" s="82">
        <v>0</v>
      </c>
      <c r="V1130" s="82">
        <v>0</v>
      </c>
      <c r="W1130" s="82">
        <v>0</v>
      </c>
      <c r="X1130" s="81"/>
      <c r="Y1130" s="81"/>
      <c r="Z1130" s="81" t="s">
        <v>58</v>
      </c>
      <c r="AA1130" s="81" t="s">
        <v>58</v>
      </c>
      <c r="AB1130" s="81" t="s">
        <v>58</v>
      </c>
      <c r="AC1130" s="83">
        <v>46108</v>
      </c>
    </row>
    <row r="1131" spans="2:29" ht="23" x14ac:dyDescent="0.35">
      <c r="B1131" s="81" t="s">
        <v>338</v>
      </c>
      <c r="C1131" s="81" t="s">
        <v>339</v>
      </c>
      <c r="D1131" s="81" t="s">
        <v>340</v>
      </c>
      <c r="E1131" s="81" t="s">
        <v>447</v>
      </c>
      <c r="F1131" s="162" t="s">
        <v>448</v>
      </c>
      <c r="G1131" s="163"/>
      <c r="H1131" s="81" t="s">
        <v>1537</v>
      </c>
      <c r="I1131" s="81" t="s">
        <v>1436</v>
      </c>
      <c r="J1131" s="81" t="s">
        <v>154</v>
      </c>
      <c r="K1131" s="81" t="s">
        <v>1597</v>
      </c>
      <c r="L1131" s="81" t="s">
        <v>58</v>
      </c>
      <c r="M1131" s="164">
        <v>0.29199985000000001</v>
      </c>
      <c r="N1131" s="165"/>
      <c r="O1131" s="163"/>
      <c r="P1131" s="82">
        <v>10</v>
      </c>
      <c r="Q1131" s="164">
        <v>0</v>
      </c>
      <c r="R1131" s="163"/>
      <c r="S1131" s="81" t="s">
        <v>58</v>
      </c>
      <c r="T1131" s="82">
        <v>0</v>
      </c>
      <c r="U1131" s="82">
        <v>0</v>
      </c>
      <c r="V1131" s="82">
        <v>0</v>
      </c>
      <c r="W1131" s="82">
        <v>0</v>
      </c>
      <c r="X1131" s="81"/>
      <c r="Y1131" s="81"/>
      <c r="Z1131" s="81" t="s">
        <v>58</v>
      </c>
      <c r="AA1131" s="81" t="s">
        <v>58</v>
      </c>
      <c r="AB1131" s="81" t="s">
        <v>58</v>
      </c>
      <c r="AC1131" s="83">
        <v>46113</v>
      </c>
    </row>
    <row r="1132" spans="2:29" ht="23" x14ac:dyDescent="0.35">
      <c r="B1132" s="81" t="s">
        <v>338</v>
      </c>
      <c r="C1132" s="81" t="s">
        <v>339</v>
      </c>
      <c r="D1132" s="81" t="s">
        <v>340</v>
      </c>
      <c r="E1132" s="81" t="s">
        <v>447</v>
      </c>
      <c r="F1132" s="162" t="s">
        <v>448</v>
      </c>
      <c r="G1132" s="163"/>
      <c r="H1132" s="81" t="s">
        <v>1567</v>
      </c>
      <c r="I1132" s="81" t="s">
        <v>1476</v>
      </c>
      <c r="J1132" s="81" t="s">
        <v>153</v>
      </c>
      <c r="K1132" s="81" t="s">
        <v>1598</v>
      </c>
      <c r="L1132" s="81" t="s">
        <v>58</v>
      </c>
      <c r="M1132" s="164">
        <v>0.2324659</v>
      </c>
      <c r="N1132" s="165"/>
      <c r="O1132" s="163"/>
      <c r="P1132" s="82">
        <v>20</v>
      </c>
      <c r="Q1132" s="164">
        <v>0</v>
      </c>
      <c r="R1132" s="163"/>
      <c r="S1132" s="81" t="s">
        <v>58</v>
      </c>
      <c r="T1132" s="82">
        <v>0</v>
      </c>
      <c r="U1132" s="82">
        <v>0</v>
      </c>
      <c r="V1132" s="82">
        <v>0</v>
      </c>
      <c r="W1132" s="82">
        <v>0</v>
      </c>
      <c r="X1132" s="81"/>
      <c r="Y1132" s="81"/>
      <c r="Z1132" s="81" t="s">
        <v>58</v>
      </c>
      <c r="AA1132" s="81" t="s">
        <v>58</v>
      </c>
      <c r="AB1132" s="81" t="s">
        <v>58</v>
      </c>
      <c r="AC1132" s="83">
        <v>46113</v>
      </c>
    </row>
    <row r="1133" spans="2:29" ht="23" x14ac:dyDescent="0.35">
      <c r="B1133" s="81" t="s">
        <v>338</v>
      </c>
      <c r="C1133" s="81" t="s">
        <v>339</v>
      </c>
      <c r="D1133" s="81" t="s">
        <v>340</v>
      </c>
      <c r="E1133" s="81" t="s">
        <v>806</v>
      </c>
      <c r="F1133" s="162" t="s">
        <v>807</v>
      </c>
      <c r="G1133" s="163"/>
      <c r="H1133" s="81" t="s">
        <v>1513</v>
      </c>
      <c r="I1133" s="81" t="s">
        <v>1514</v>
      </c>
      <c r="J1133" s="81" t="s">
        <v>154</v>
      </c>
      <c r="K1133" s="81" t="s">
        <v>1599</v>
      </c>
      <c r="L1133" s="81" t="s">
        <v>58</v>
      </c>
      <c r="M1133" s="164">
        <v>0.55848514999999999</v>
      </c>
      <c r="N1133" s="165"/>
      <c r="O1133" s="163"/>
      <c r="P1133" s="82">
        <v>20</v>
      </c>
      <c r="Q1133" s="164">
        <v>0</v>
      </c>
      <c r="R1133" s="163"/>
      <c r="S1133" s="81" t="s">
        <v>58</v>
      </c>
      <c r="T1133" s="82">
        <v>0</v>
      </c>
      <c r="U1133" s="82">
        <v>0</v>
      </c>
      <c r="V1133" s="82">
        <v>0</v>
      </c>
      <c r="W1133" s="82">
        <v>0</v>
      </c>
      <c r="X1133" s="81"/>
      <c r="Y1133" s="81"/>
      <c r="Z1133" s="81" t="s">
        <v>58</v>
      </c>
      <c r="AA1133" s="81" t="s">
        <v>58</v>
      </c>
      <c r="AB1133" s="81" t="s">
        <v>58</v>
      </c>
      <c r="AC1133" s="83">
        <v>46113</v>
      </c>
    </row>
    <row r="1134" spans="2:29" ht="23" x14ac:dyDescent="0.35">
      <c r="B1134" s="81" t="s">
        <v>338</v>
      </c>
      <c r="C1134" s="81" t="s">
        <v>339</v>
      </c>
      <c r="D1134" s="81" t="s">
        <v>340</v>
      </c>
      <c r="E1134" s="81" t="s">
        <v>806</v>
      </c>
      <c r="F1134" s="162" t="s">
        <v>807</v>
      </c>
      <c r="G1134" s="163"/>
      <c r="H1134" s="81" t="s">
        <v>1525</v>
      </c>
      <c r="I1134" s="81" t="s">
        <v>1526</v>
      </c>
      <c r="J1134" s="81" t="s">
        <v>153</v>
      </c>
      <c r="K1134" s="81" t="s">
        <v>1600</v>
      </c>
      <c r="L1134" s="81" t="s">
        <v>58</v>
      </c>
      <c r="M1134" s="164">
        <v>0.453592</v>
      </c>
      <c r="N1134" s="165"/>
      <c r="O1134" s="163"/>
      <c r="P1134" s="82">
        <v>40</v>
      </c>
      <c r="Q1134" s="164">
        <v>0</v>
      </c>
      <c r="R1134" s="163"/>
      <c r="S1134" s="81" t="s">
        <v>58</v>
      </c>
      <c r="T1134" s="82">
        <v>0</v>
      </c>
      <c r="U1134" s="82">
        <v>0</v>
      </c>
      <c r="V1134" s="82">
        <v>0</v>
      </c>
      <c r="W1134" s="82">
        <v>0</v>
      </c>
      <c r="X1134" s="81"/>
      <c r="Y1134" s="81"/>
      <c r="Z1134" s="81" t="s">
        <v>58</v>
      </c>
      <c r="AA1134" s="81" t="s">
        <v>58</v>
      </c>
      <c r="AB1134" s="81" t="s">
        <v>58</v>
      </c>
      <c r="AC1134" s="83">
        <v>46113</v>
      </c>
    </row>
    <row r="1135" spans="2:29" ht="23" x14ac:dyDescent="0.35">
      <c r="B1135" s="81" t="s">
        <v>338</v>
      </c>
      <c r="C1135" s="81" t="s">
        <v>339</v>
      </c>
      <c r="D1135" s="81" t="s">
        <v>340</v>
      </c>
      <c r="E1135" s="81" t="s">
        <v>496</v>
      </c>
      <c r="F1135" s="162" t="s">
        <v>497</v>
      </c>
      <c r="G1135" s="163"/>
      <c r="H1135" s="81" t="s">
        <v>1435</v>
      </c>
      <c r="I1135" s="81" t="s">
        <v>1436</v>
      </c>
      <c r="J1135" s="81" t="s">
        <v>154</v>
      </c>
      <c r="K1135" s="81" t="s">
        <v>1601</v>
      </c>
      <c r="L1135" s="81" t="s">
        <v>58</v>
      </c>
      <c r="M1135" s="164">
        <v>0.282077525</v>
      </c>
      <c r="N1135" s="165"/>
      <c r="O1135" s="163"/>
      <c r="P1135" s="82">
        <v>10</v>
      </c>
      <c r="Q1135" s="164">
        <v>0</v>
      </c>
      <c r="R1135" s="163"/>
      <c r="S1135" s="81" t="s">
        <v>58</v>
      </c>
      <c r="T1135" s="82">
        <v>0</v>
      </c>
      <c r="U1135" s="82">
        <v>0</v>
      </c>
      <c r="V1135" s="82">
        <v>0</v>
      </c>
      <c r="W1135" s="82">
        <v>0</v>
      </c>
      <c r="X1135" s="81"/>
      <c r="Y1135" s="81"/>
      <c r="Z1135" s="81" t="s">
        <v>58</v>
      </c>
      <c r="AA1135" s="81" t="s">
        <v>58</v>
      </c>
      <c r="AB1135" s="81" t="s">
        <v>58</v>
      </c>
      <c r="AC1135" s="83">
        <v>46113</v>
      </c>
    </row>
    <row r="1136" spans="2:29" ht="23" x14ac:dyDescent="0.35">
      <c r="B1136" s="81" t="s">
        <v>338</v>
      </c>
      <c r="C1136" s="81" t="s">
        <v>339</v>
      </c>
      <c r="D1136" s="81" t="s">
        <v>340</v>
      </c>
      <c r="E1136" s="81" t="s">
        <v>496</v>
      </c>
      <c r="F1136" s="162" t="s">
        <v>497</v>
      </c>
      <c r="G1136" s="163"/>
      <c r="H1136" s="81" t="s">
        <v>1435</v>
      </c>
      <c r="I1136" s="81" t="s">
        <v>1436</v>
      </c>
      <c r="J1136" s="81" t="s">
        <v>154</v>
      </c>
      <c r="K1136" s="81" t="s">
        <v>1602</v>
      </c>
      <c r="L1136" s="81" t="s">
        <v>58</v>
      </c>
      <c r="M1136" s="164">
        <v>0.29199985000000001</v>
      </c>
      <c r="N1136" s="165"/>
      <c r="O1136" s="163"/>
      <c r="P1136" s="82">
        <v>10</v>
      </c>
      <c r="Q1136" s="164">
        <v>0</v>
      </c>
      <c r="R1136" s="163"/>
      <c r="S1136" s="81" t="s">
        <v>58</v>
      </c>
      <c r="T1136" s="82">
        <v>0</v>
      </c>
      <c r="U1136" s="82">
        <v>0</v>
      </c>
      <c r="V1136" s="82">
        <v>0</v>
      </c>
      <c r="W1136" s="82">
        <v>0</v>
      </c>
      <c r="X1136" s="81"/>
      <c r="Y1136" s="81"/>
      <c r="Z1136" s="81" t="s">
        <v>58</v>
      </c>
      <c r="AA1136" s="81" t="s">
        <v>58</v>
      </c>
      <c r="AB1136" s="81" t="s">
        <v>58</v>
      </c>
      <c r="AC1136" s="83">
        <v>46113</v>
      </c>
    </row>
    <row r="1137" spans="2:29" ht="23" x14ac:dyDescent="0.35">
      <c r="B1137" s="81" t="s">
        <v>338</v>
      </c>
      <c r="C1137" s="81" t="s">
        <v>339</v>
      </c>
      <c r="D1137" s="81" t="s">
        <v>340</v>
      </c>
      <c r="E1137" s="81" t="s">
        <v>496</v>
      </c>
      <c r="F1137" s="162" t="s">
        <v>497</v>
      </c>
      <c r="G1137" s="163"/>
      <c r="H1137" s="81" t="s">
        <v>1475</v>
      </c>
      <c r="I1137" s="81" t="s">
        <v>1476</v>
      </c>
      <c r="J1137" s="81" t="s">
        <v>153</v>
      </c>
      <c r="K1137" s="81" t="s">
        <v>1603</v>
      </c>
      <c r="L1137" s="81" t="s">
        <v>58</v>
      </c>
      <c r="M1137" s="164">
        <v>0.2324659</v>
      </c>
      <c r="N1137" s="165"/>
      <c r="O1137" s="163"/>
      <c r="P1137" s="82">
        <v>20</v>
      </c>
      <c r="Q1137" s="164">
        <v>0</v>
      </c>
      <c r="R1137" s="163"/>
      <c r="S1137" s="81" t="s">
        <v>58</v>
      </c>
      <c r="T1137" s="82">
        <v>0</v>
      </c>
      <c r="U1137" s="82">
        <v>0</v>
      </c>
      <c r="V1137" s="82">
        <v>0</v>
      </c>
      <c r="W1137" s="82">
        <v>0</v>
      </c>
      <c r="X1137" s="81"/>
      <c r="Y1137" s="81"/>
      <c r="Z1137" s="81" t="s">
        <v>58</v>
      </c>
      <c r="AA1137" s="81" t="s">
        <v>58</v>
      </c>
      <c r="AB1137" s="81" t="s">
        <v>58</v>
      </c>
      <c r="AC1137" s="83">
        <v>46113</v>
      </c>
    </row>
    <row r="1138" spans="2:29" ht="23" x14ac:dyDescent="0.35">
      <c r="B1138" s="81" t="s">
        <v>338</v>
      </c>
      <c r="C1138" s="81" t="s">
        <v>339</v>
      </c>
      <c r="D1138" s="81" t="s">
        <v>340</v>
      </c>
      <c r="E1138" s="81" t="s">
        <v>496</v>
      </c>
      <c r="F1138" s="162" t="s">
        <v>497</v>
      </c>
      <c r="G1138" s="163"/>
      <c r="H1138" s="81" t="s">
        <v>1475</v>
      </c>
      <c r="I1138" s="81" t="s">
        <v>1476</v>
      </c>
      <c r="J1138" s="81" t="s">
        <v>153</v>
      </c>
      <c r="K1138" s="81" t="s">
        <v>1604</v>
      </c>
      <c r="L1138" s="81" t="s">
        <v>58</v>
      </c>
      <c r="M1138" s="164">
        <v>0.226796</v>
      </c>
      <c r="N1138" s="165"/>
      <c r="O1138" s="163"/>
      <c r="P1138" s="82">
        <v>20</v>
      </c>
      <c r="Q1138" s="164">
        <v>0</v>
      </c>
      <c r="R1138" s="163"/>
      <c r="S1138" s="81" t="s">
        <v>58</v>
      </c>
      <c r="T1138" s="82">
        <v>0</v>
      </c>
      <c r="U1138" s="82">
        <v>0</v>
      </c>
      <c r="V1138" s="82">
        <v>0</v>
      </c>
      <c r="W1138" s="82">
        <v>0</v>
      </c>
      <c r="X1138" s="81"/>
      <c r="Y1138" s="81"/>
      <c r="Z1138" s="81" t="s">
        <v>58</v>
      </c>
      <c r="AA1138" s="81" t="s">
        <v>58</v>
      </c>
      <c r="AB1138" s="81" t="s">
        <v>58</v>
      </c>
      <c r="AC1138" s="83">
        <v>46113</v>
      </c>
    </row>
    <row r="1139" spans="2:29" ht="23" x14ac:dyDescent="0.35">
      <c r="B1139" s="81" t="s">
        <v>338</v>
      </c>
      <c r="C1139" s="81" t="s">
        <v>339</v>
      </c>
      <c r="D1139" s="81" t="s">
        <v>340</v>
      </c>
      <c r="E1139" s="81" t="s">
        <v>715</v>
      </c>
      <c r="F1139" s="162" t="s">
        <v>716</v>
      </c>
      <c r="G1139" s="163"/>
      <c r="H1139" s="81" t="s">
        <v>1605</v>
      </c>
      <c r="I1139" s="81" t="s">
        <v>1436</v>
      </c>
      <c r="J1139" s="81" t="s">
        <v>154</v>
      </c>
      <c r="K1139" s="81" t="s">
        <v>1606</v>
      </c>
      <c r="L1139" s="81" t="s">
        <v>58</v>
      </c>
      <c r="M1139" s="164">
        <v>2.7242735520000001</v>
      </c>
      <c r="N1139" s="165"/>
      <c r="O1139" s="163"/>
      <c r="P1139" s="82">
        <v>104</v>
      </c>
      <c r="Q1139" s="164">
        <v>0</v>
      </c>
      <c r="R1139" s="163"/>
      <c r="S1139" s="81" t="s">
        <v>58</v>
      </c>
      <c r="T1139" s="82">
        <v>0</v>
      </c>
      <c r="U1139" s="82">
        <v>0</v>
      </c>
      <c r="V1139" s="82">
        <v>0</v>
      </c>
      <c r="W1139" s="82">
        <v>0</v>
      </c>
      <c r="X1139" s="81"/>
      <c r="Y1139" s="81"/>
      <c r="Z1139" s="81" t="s">
        <v>58</v>
      </c>
      <c r="AA1139" s="81" t="s">
        <v>58</v>
      </c>
      <c r="AB1139" s="81" t="s">
        <v>58</v>
      </c>
      <c r="AC1139" s="83">
        <v>46118</v>
      </c>
    </row>
    <row r="1140" spans="2:29" ht="23" x14ac:dyDescent="0.35">
      <c r="B1140" s="81" t="s">
        <v>338</v>
      </c>
      <c r="C1140" s="81" t="s">
        <v>339</v>
      </c>
      <c r="D1140" s="81" t="s">
        <v>340</v>
      </c>
      <c r="E1140" s="81" t="s">
        <v>715</v>
      </c>
      <c r="F1140" s="162" t="s">
        <v>716</v>
      </c>
      <c r="G1140" s="163"/>
      <c r="H1140" s="81" t="s">
        <v>1605</v>
      </c>
      <c r="I1140" s="81" t="s">
        <v>1436</v>
      </c>
      <c r="J1140" s="81" t="s">
        <v>154</v>
      </c>
      <c r="K1140" s="81" t="s">
        <v>1607</v>
      </c>
      <c r="L1140" s="81" t="s">
        <v>58</v>
      </c>
      <c r="M1140" s="164">
        <v>5.4431039999999999</v>
      </c>
      <c r="N1140" s="165"/>
      <c r="O1140" s="163"/>
      <c r="P1140" s="82">
        <v>200</v>
      </c>
      <c r="Q1140" s="164">
        <v>0</v>
      </c>
      <c r="R1140" s="163"/>
      <c r="S1140" s="81" t="s">
        <v>58</v>
      </c>
      <c r="T1140" s="82">
        <v>0</v>
      </c>
      <c r="U1140" s="82">
        <v>0</v>
      </c>
      <c r="V1140" s="82">
        <v>0</v>
      </c>
      <c r="W1140" s="82">
        <v>0</v>
      </c>
      <c r="X1140" s="81"/>
      <c r="Y1140" s="81"/>
      <c r="Z1140" s="81" t="s">
        <v>58</v>
      </c>
      <c r="AA1140" s="81" t="s">
        <v>58</v>
      </c>
      <c r="AB1140" s="81" t="s">
        <v>58</v>
      </c>
      <c r="AC1140" s="83">
        <v>46120</v>
      </c>
    </row>
    <row r="1141" spans="2:29" ht="23" x14ac:dyDescent="0.35">
      <c r="B1141" s="81" t="s">
        <v>338</v>
      </c>
      <c r="C1141" s="81" t="s">
        <v>339</v>
      </c>
      <c r="D1141" s="81" t="s">
        <v>340</v>
      </c>
      <c r="E1141" s="81" t="s">
        <v>715</v>
      </c>
      <c r="F1141" s="162" t="s">
        <v>716</v>
      </c>
      <c r="G1141" s="163"/>
      <c r="H1141" s="81" t="s">
        <v>1605</v>
      </c>
      <c r="I1141" s="81" t="s">
        <v>1436</v>
      </c>
      <c r="J1141" s="81" t="s">
        <v>154</v>
      </c>
      <c r="K1141" s="81" t="s">
        <v>1608</v>
      </c>
      <c r="L1141" s="81" t="s">
        <v>58</v>
      </c>
      <c r="M1141" s="164">
        <v>5.4431039999999999</v>
      </c>
      <c r="N1141" s="165"/>
      <c r="O1141" s="163"/>
      <c r="P1141" s="82">
        <v>200</v>
      </c>
      <c r="Q1141" s="164">
        <v>0</v>
      </c>
      <c r="R1141" s="163"/>
      <c r="S1141" s="81" t="s">
        <v>58</v>
      </c>
      <c r="T1141" s="82">
        <v>0</v>
      </c>
      <c r="U1141" s="82">
        <v>0</v>
      </c>
      <c r="V1141" s="82">
        <v>0</v>
      </c>
      <c r="W1141" s="82">
        <v>0</v>
      </c>
      <c r="X1141" s="81"/>
      <c r="Y1141" s="81"/>
      <c r="Z1141" s="81" t="s">
        <v>58</v>
      </c>
      <c r="AA1141" s="81" t="s">
        <v>58</v>
      </c>
      <c r="AB1141" s="81" t="s">
        <v>58</v>
      </c>
      <c r="AC1141" s="83">
        <v>46120</v>
      </c>
    </row>
    <row r="1142" spans="2:29" ht="23" x14ac:dyDescent="0.35">
      <c r="B1142" s="81" t="s">
        <v>338</v>
      </c>
      <c r="C1142" s="81" t="s">
        <v>339</v>
      </c>
      <c r="D1142" s="81" t="s">
        <v>340</v>
      </c>
      <c r="E1142" s="81" t="s">
        <v>715</v>
      </c>
      <c r="F1142" s="162" t="s">
        <v>716</v>
      </c>
      <c r="G1142" s="163"/>
      <c r="H1142" s="81" t="s">
        <v>1605</v>
      </c>
      <c r="I1142" s="81" t="s">
        <v>1436</v>
      </c>
      <c r="J1142" s="81" t="s">
        <v>154</v>
      </c>
      <c r="K1142" s="81" t="s">
        <v>1609</v>
      </c>
      <c r="L1142" s="81" t="s">
        <v>58</v>
      </c>
      <c r="M1142" s="164">
        <v>2.8304140800000002</v>
      </c>
      <c r="N1142" s="165"/>
      <c r="O1142" s="163"/>
      <c r="P1142" s="82">
        <v>104</v>
      </c>
      <c r="Q1142" s="164">
        <v>0</v>
      </c>
      <c r="R1142" s="163"/>
      <c r="S1142" s="81" t="s">
        <v>58</v>
      </c>
      <c r="T1142" s="82">
        <v>0</v>
      </c>
      <c r="U1142" s="82">
        <v>0</v>
      </c>
      <c r="V1142" s="82">
        <v>0</v>
      </c>
      <c r="W1142" s="82">
        <v>0</v>
      </c>
      <c r="X1142" s="81"/>
      <c r="Y1142" s="81"/>
      <c r="Z1142" s="81" t="s">
        <v>58</v>
      </c>
      <c r="AA1142" s="81" t="s">
        <v>58</v>
      </c>
      <c r="AB1142" s="81" t="s">
        <v>58</v>
      </c>
      <c r="AC1142" s="83">
        <v>46120</v>
      </c>
    </row>
    <row r="1143" spans="2:29" ht="23" x14ac:dyDescent="0.35">
      <c r="B1143" s="81" t="s">
        <v>338</v>
      </c>
      <c r="C1143" s="81" t="s">
        <v>339</v>
      </c>
      <c r="D1143" s="81" t="s">
        <v>340</v>
      </c>
      <c r="E1143" s="81" t="s">
        <v>715</v>
      </c>
      <c r="F1143" s="162" t="s">
        <v>716</v>
      </c>
      <c r="G1143" s="163"/>
      <c r="H1143" s="81" t="s">
        <v>1605</v>
      </c>
      <c r="I1143" s="81" t="s">
        <v>1436</v>
      </c>
      <c r="J1143" s="81" t="s">
        <v>154</v>
      </c>
      <c r="K1143" s="81" t="s">
        <v>1610</v>
      </c>
      <c r="L1143" s="81" t="s">
        <v>58</v>
      </c>
      <c r="M1143" s="164">
        <v>5.6415505000000001</v>
      </c>
      <c r="N1143" s="165"/>
      <c r="O1143" s="163"/>
      <c r="P1143" s="82">
        <v>200</v>
      </c>
      <c r="Q1143" s="164">
        <v>0</v>
      </c>
      <c r="R1143" s="163"/>
      <c r="S1143" s="81" t="s">
        <v>58</v>
      </c>
      <c r="T1143" s="82">
        <v>0</v>
      </c>
      <c r="U1143" s="82">
        <v>0</v>
      </c>
      <c r="V1143" s="82">
        <v>0</v>
      </c>
      <c r="W1143" s="82">
        <v>0</v>
      </c>
      <c r="X1143" s="81"/>
      <c r="Y1143" s="81"/>
      <c r="Z1143" s="81" t="s">
        <v>58</v>
      </c>
      <c r="AA1143" s="81" t="s">
        <v>58</v>
      </c>
      <c r="AB1143" s="81" t="s">
        <v>58</v>
      </c>
      <c r="AC1143" s="83">
        <v>46120</v>
      </c>
    </row>
    <row r="1144" spans="2:29" ht="23" x14ac:dyDescent="0.35">
      <c r="B1144" s="81" t="s">
        <v>338</v>
      </c>
      <c r="C1144" s="81" t="s">
        <v>339</v>
      </c>
      <c r="D1144" s="81" t="s">
        <v>340</v>
      </c>
      <c r="E1144" s="81" t="s">
        <v>715</v>
      </c>
      <c r="F1144" s="162" t="s">
        <v>716</v>
      </c>
      <c r="G1144" s="163"/>
      <c r="H1144" s="81" t="s">
        <v>1605</v>
      </c>
      <c r="I1144" s="81" t="s">
        <v>1436</v>
      </c>
      <c r="J1144" s="81" t="s">
        <v>154</v>
      </c>
      <c r="K1144" s="81" t="s">
        <v>1611</v>
      </c>
      <c r="L1144" s="81" t="s">
        <v>58</v>
      </c>
      <c r="M1144" s="164">
        <v>5.6415505000000001</v>
      </c>
      <c r="N1144" s="165"/>
      <c r="O1144" s="163"/>
      <c r="P1144" s="82">
        <v>200</v>
      </c>
      <c r="Q1144" s="164">
        <v>0</v>
      </c>
      <c r="R1144" s="163"/>
      <c r="S1144" s="81" t="s">
        <v>58</v>
      </c>
      <c r="T1144" s="82">
        <v>0</v>
      </c>
      <c r="U1144" s="82">
        <v>0</v>
      </c>
      <c r="V1144" s="82">
        <v>0</v>
      </c>
      <c r="W1144" s="82">
        <v>0</v>
      </c>
      <c r="X1144" s="81"/>
      <c r="Y1144" s="81"/>
      <c r="Z1144" s="81" t="s">
        <v>58</v>
      </c>
      <c r="AA1144" s="81" t="s">
        <v>58</v>
      </c>
      <c r="AB1144" s="81" t="s">
        <v>58</v>
      </c>
      <c r="AC1144" s="83">
        <v>46120</v>
      </c>
    </row>
    <row r="1145" spans="2:29" ht="23" x14ac:dyDescent="0.35">
      <c r="B1145" s="81" t="s">
        <v>338</v>
      </c>
      <c r="C1145" s="81" t="s">
        <v>339</v>
      </c>
      <c r="D1145" s="81" t="s">
        <v>340</v>
      </c>
      <c r="E1145" s="81" t="s">
        <v>715</v>
      </c>
      <c r="F1145" s="162" t="s">
        <v>716</v>
      </c>
      <c r="G1145" s="163"/>
      <c r="H1145" s="81" t="s">
        <v>1605</v>
      </c>
      <c r="I1145" s="81" t="s">
        <v>1436</v>
      </c>
      <c r="J1145" s="81" t="s">
        <v>154</v>
      </c>
      <c r="K1145" s="81" t="s">
        <v>1612</v>
      </c>
      <c r="L1145" s="81" t="s">
        <v>58</v>
      </c>
      <c r="M1145" s="164">
        <v>5.6415505000000001</v>
      </c>
      <c r="N1145" s="165"/>
      <c r="O1145" s="163"/>
      <c r="P1145" s="82">
        <v>200</v>
      </c>
      <c r="Q1145" s="164">
        <v>0</v>
      </c>
      <c r="R1145" s="163"/>
      <c r="S1145" s="81" t="s">
        <v>58</v>
      </c>
      <c r="T1145" s="82">
        <v>0</v>
      </c>
      <c r="U1145" s="82">
        <v>0</v>
      </c>
      <c r="V1145" s="82">
        <v>0</v>
      </c>
      <c r="W1145" s="82">
        <v>0</v>
      </c>
      <c r="X1145" s="81"/>
      <c r="Y1145" s="81"/>
      <c r="Z1145" s="81" t="s">
        <v>58</v>
      </c>
      <c r="AA1145" s="81" t="s">
        <v>58</v>
      </c>
      <c r="AB1145" s="81" t="s">
        <v>58</v>
      </c>
      <c r="AC1145" s="83">
        <v>46120</v>
      </c>
    </row>
    <row r="1146" spans="2:29" ht="23" x14ac:dyDescent="0.35">
      <c r="B1146" s="81" t="s">
        <v>338</v>
      </c>
      <c r="C1146" s="81" t="s">
        <v>339</v>
      </c>
      <c r="D1146" s="81" t="s">
        <v>340</v>
      </c>
      <c r="E1146" s="81" t="s">
        <v>715</v>
      </c>
      <c r="F1146" s="162" t="s">
        <v>716</v>
      </c>
      <c r="G1146" s="163"/>
      <c r="H1146" s="81" t="s">
        <v>1605</v>
      </c>
      <c r="I1146" s="81" t="s">
        <v>1436</v>
      </c>
      <c r="J1146" s="81" t="s">
        <v>154</v>
      </c>
      <c r="K1146" s="81" t="s">
        <v>1613</v>
      </c>
      <c r="L1146" s="81" t="s">
        <v>58</v>
      </c>
      <c r="M1146" s="164">
        <v>5.6415505000000001</v>
      </c>
      <c r="N1146" s="165"/>
      <c r="O1146" s="163"/>
      <c r="P1146" s="82">
        <v>200</v>
      </c>
      <c r="Q1146" s="164">
        <v>0</v>
      </c>
      <c r="R1146" s="163"/>
      <c r="S1146" s="81" t="s">
        <v>58</v>
      </c>
      <c r="T1146" s="82">
        <v>0</v>
      </c>
      <c r="U1146" s="82">
        <v>0</v>
      </c>
      <c r="V1146" s="82">
        <v>0</v>
      </c>
      <c r="W1146" s="82">
        <v>0</v>
      </c>
      <c r="X1146" s="81"/>
      <c r="Y1146" s="81"/>
      <c r="Z1146" s="81" t="s">
        <v>58</v>
      </c>
      <c r="AA1146" s="81" t="s">
        <v>58</v>
      </c>
      <c r="AB1146" s="81" t="s">
        <v>58</v>
      </c>
      <c r="AC1146" s="83">
        <v>46120</v>
      </c>
    </row>
    <row r="1147" spans="2:29" ht="23" x14ac:dyDescent="0.35">
      <c r="B1147" s="81" t="s">
        <v>338</v>
      </c>
      <c r="C1147" s="81" t="s">
        <v>339</v>
      </c>
      <c r="D1147" s="81" t="s">
        <v>340</v>
      </c>
      <c r="E1147" s="81" t="s">
        <v>715</v>
      </c>
      <c r="F1147" s="162" t="s">
        <v>716</v>
      </c>
      <c r="G1147" s="163"/>
      <c r="H1147" s="81" t="s">
        <v>1605</v>
      </c>
      <c r="I1147" s="81" t="s">
        <v>1436</v>
      </c>
      <c r="J1147" s="81" t="s">
        <v>154</v>
      </c>
      <c r="K1147" s="81" t="s">
        <v>1614</v>
      </c>
      <c r="L1147" s="81" t="s">
        <v>58</v>
      </c>
      <c r="M1147" s="164">
        <v>5.6415505000000001</v>
      </c>
      <c r="N1147" s="165"/>
      <c r="O1147" s="163"/>
      <c r="P1147" s="82">
        <v>200</v>
      </c>
      <c r="Q1147" s="164">
        <v>0</v>
      </c>
      <c r="R1147" s="163"/>
      <c r="S1147" s="81" t="s">
        <v>58</v>
      </c>
      <c r="T1147" s="82">
        <v>0</v>
      </c>
      <c r="U1147" s="82">
        <v>0</v>
      </c>
      <c r="V1147" s="82">
        <v>0</v>
      </c>
      <c r="W1147" s="82">
        <v>0</v>
      </c>
      <c r="X1147" s="81"/>
      <c r="Y1147" s="81"/>
      <c r="Z1147" s="81" t="s">
        <v>58</v>
      </c>
      <c r="AA1147" s="81" t="s">
        <v>58</v>
      </c>
      <c r="AB1147" s="81" t="s">
        <v>58</v>
      </c>
      <c r="AC1147" s="83">
        <v>46120</v>
      </c>
    </row>
    <row r="1148" spans="2:29" ht="23" x14ac:dyDescent="0.35">
      <c r="B1148" s="81" t="s">
        <v>338</v>
      </c>
      <c r="C1148" s="81" t="s">
        <v>339</v>
      </c>
      <c r="D1148" s="81" t="s">
        <v>340</v>
      </c>
      <c r="E1148" s="81" t="s">
        <v>715</v>
      </c>
      <c r="F1148" s="162" t="s">
        <v>716</v>
      </c>
      <c r="G1148" s="163"/>
      <c r="H1148" s="81" t="s">
        <v>1605</v>
      </c>
      <c r="I1148" s="81" t="s">
        <v>1436</v>
      </c>
      <c r="J1148" s="81" t="s">
        <v>154</v>
      </c>
      <c r="K1148" s="81" t="s">
        <v>1615</v>
      </c>
      <c r="L1148" s="81" t="s">
        <v>58</v>
      </c>
      <c r="M1148" s="164">
        <v>5.6415505000000001</v>
      </c>
      <c r="N1148" s="165"/>
      <c r="O1148" s="163"/>
      <c r="P1148" s="82">
        <v>200</v>
      </c>
      <c r="Q1148" s="164">
        <v>0</v>
      </c>
      <c r="R1148" s="163"/>
      <c r="S1148" s="81" t="s">
        <v>58</v>
      </c>
      <c r="T1148" s="82">
        <v>0</v>
      </c>
      <c r="U1148" s="82">
        <v>0</v>
      </c>
      <c r="V1148" s="82">
        <v>0</v>
      </c>
      <c r="W1148" s="82">
        <v>0</v>
      </c>
      <c r="X1148" s="81"/>
      <c r="Y1148" s="81"/>
      <c r="Z1148" s="81" t="s">
        <v>58</v>
      </c>
      <c r="AA1148" s="81" t="s">
        <v>58</v>
      </c>
      <c r="AB1148" s="81" t="s">
        <v>58</v>
      </c>
      <c r="AC1148" s="83">
        <v>46120</v>
      </c>
    </row>
    <row r="1149" spans="2:29" ht="23" x14ac:dyDescent="0.35">
      <c r="B1149" s="81" t="s">
        <v>338</v>
      </c>
      <c r="C1149" s="81" t="s">
        <v>339</v>
      </c>
      <c r="D1149" s="81" t="s">
        <v>340</v>
      </c>
      <c r="E1149" s="81" t="s">
        <v>715</v>
      </c>
      <c r="F1149" s="162" t="s">
        <v>716</v>
      </c>
      <c r="G1149" s="163"/>
      <c r="H1149" s="81" t="s">
        <v>1605</v>
      </c>
      <c r="I1149" s="81" t="s">
        <v>1436</v>
      </c>
      <c r="J1149" s="81" t="s">
        <v>154</v>
      </c>
      <c r="K1149" s="81" t="s">
        <v>1616</v>
      </c>
      <c r="L1149" s="81" t="s">
        <v>58</v>
      </c>
      <c r="M1149" s="164">
        <v>5.6415505000000001</v>
      </c>
      <c r="N1149" s="165"/>
      <c r="O1149" s="163"/>
      <c r="P1149" s="82">
        <v>200</v>
      </c>
      <c r="Q1149" s="164">
        <v>0</v>
      </c>
      <c r="R1149" s="163"/>
      <c r="S1149" s="81" t="s">
        <v>58</v>
      </c>
      <c r="T1149" s="82">
        <v>0</v>
      </c>
      <c r="U1149" s="82">
        <v>0</v>
      </c>
      <c r="V1149" s="82">
        <v>0</v>
      </c>
      <c r="W1149" s="82">
        <v>0</v>
      </c>
      <c r="X1149" s="81"/>
      <c r="Y1149" s="81"/>
      <c r="Z1149" s="81" t="s">
        <v>58</v>
      </c>
      <c r="AA1149" s="81" t="s">
        <v>58</v>
      </c>
      <c r="AB1149" s="81" t="s">
        <v>58</v>
      </c>
      <c r="AC1149" s="83">
        <v>46120</v>
      </c>
    </row>
    <row r="1150" spans="2:29" ht="23" x14ac:dyDescent="0.35">
      <c r="B1150" s="81" t="s">
        <v>338</v>
      </c>
      <c r="C1150" s="81" t="s">
        <v>339</v>
      </c>
      <c r="D1150" s="81" t="s">
        <v>340</v>
      </c>
      <c r="E1150" s="81" t="s">
        <v>715</v>
      </c>
      <c r="F1150" s="162" t="s">
        <v>716</v>
      </c>
      <c r="G1150" s="163"/>
      <c r="H1150" s="81" t="s">
        <v>1605</v>
      </c>
      <c r="I1150" s="81" t="s">
        <v>1436</v>
      </c>
      <c r="J1150" s="81" t="s">
        <v>154</v>
      </c>
      <c r="K1150" s="81" t="s">
        <v>1617</v>
      </c>
      <c r="L1150" s="81" t="s">
        <v>58</v>
      </c>
      <c r="M1150" s="164">
        <v>5.6415505000000001</v>
      </c>
      <c r="N1150" s="165"/>
      <c r="O1150" s="163"/>
      <c r="P1150" s="82">
        <v>200</v>
      </c>
      <c r="Q1150" s="164">
        <v>0</v>
      </c>
      <c r="R1150" s="163"/>
      <c r="S1150" s="81" t="s">
        <v>58</v>
      </c>
      <c r="T1150" s="82">
        <v>0</v>
      </c>
      <c r="U1150" s="82">
        <v>0</v>
      </c>
      <c r="V1150" s="82">
        <v>0</v>
      </c>
      <c r="W1150" s="82">
        <v>0</v>
      </c>
      <c r="X1150" s="81"/>
      <c r="Y1150" s="81"/>
      <c r="Z1150" s="81" t="s">
        <v>58</v>
      </c>
      <c r="AA1150" s="81" t="s">
        <v>58</v>
      </c>
      <c r="AB1150" s="81" t="s">
        <v>58</v>
      </c>
      <c r="AC1150" s="83">
        <v>46120</v>
      </c>
    </row>
    <row r="1151" spans="2:29" ht="23" x14ac:dyDescent="0.35">
      <c r="B1151" s="81" t="s">
        <v>338</v>
      </c>
      <c r="C1151" s="81" t="s">
        <v>339</v>
      </c>
      <c r="D1151" s="81" t="s">
        <v>340</v>
      </c>
      <c r="E1151" s="81" t="s">
        <v>715</v>
      </c>
      <c r="F1151" s="162" t="s">
        <v>716</v>
      </c>
      <c r="G1151" s="163"/>
      <c r="H1151" s="81" t="s">
        <v>1605</v>
      </c>
      <c r="I1151" s="81" t="s">
        <v>1436</v>
      </c>
      <c r="J1151" s="81" t="s">
        <v>154</v>
      </c>
      <c r="K1151" s="81" t="s">
        <v>1618</v>
      </c>
      <c r="L1151" s="81" t="s">
        <v>58</v>
      </c>
      <c r="M1151" s="164">
        <v>1.4950108824999999</v>
      </c>
      <c r="N1151" s="165"/>
      <c r="O1151" s="163"/>
      <c r="P1151" s="82">
        <v>53</v>
      </c>
      <c r="Q1151" s="164">
        <v>0</v>
      </c>
      <c r="R1151" s="163"/>
      <c r="S1151" s="81" t="s">
        <v>58</v>
      </c>
      <c r="T1151" s="82">
        <v>0</v>
      </c>
      <c r="U1151" s="82">
        <v>0</v>
      </c>
      <c r="V1151" s="82">
        <v>0</v>
      </c>
      <c r="W1151" s="82">
        <v>0</v>
      </c>
      <c r="X1151" s="81"/>
      <c r="Y1151" s="81"/>
      <c r="Z1151" s="81" t="s">
        <v>58</v>
      </c>
      <c r="AA1151" s="81" t="s">
        <v>58</v>
      </c>
      <c r="AB1151" s="81" t="s">
        <v>58</v>
      </c>
      <c r="AC1151" s="83">
        <v>46120</v>
      </c>
    </row>
    <row r="1152" spans="2:29" ht="23" x14ac:dyDescent="0.35">
      <c r="B1152" s="81" t="s">
        <v>338</v>
      </c>
      <c r="C1152" s="81" t="s">
        <v>339</v>
      </c>
      <c r="D1152" s="81" t="s">
        <v>340</v>
      </c>
      <c r="E1152" s="81" t="s">
        <v>715</v>
      </c>
      <c r="F1152" s="162" t="s">
        <v>716</v>
      </c>
      <c r="G1152" s="163"/>
      <c r="H1152" s="81" t="s">
        <v>1605</v>
      </c>
      <c r="I1152" s="81" t="s">
        <v>1436</v>
      </c>
      <c r="J1152" s="81" t="s">
        <v>154</v>
      </c>
      <c r="K1152" s="81" t="s">
        <v>1619</v>
      </c>
      <c r="L1152" s="81" t="s">
        <v>58</v>
      </c>
      <c r="M1152" s="164">
        <v>5.8399970000000003</v>
      </c>
      <c r="N1152" s="165"/>
      <c r="O1152" s="163"/>
      <c r="P1152" s="82">
        <v>200</v>
      </c>
      <c r="Q1152" s="164">
        <v>0</v>
      </c>
      <c r="R1152" s="163"/>
      <c r="S1152" s="81" t="s">
        <v>58</v>
      </c>
      <c r="T1152" s="82">
        <v>0</v>
      </c>
      <c r="U1152" s="82">
        <v>0</v>
      </c>
      <c r="V1152" s="82">
        <v>0</v>
      </c>
      <c r="W1152" s="82">
        <v>0</v>
      </c>
      <c r="X1152" s="81"/>
      <c r="Y1152" s="81"/>
      <c r="Z1152" s="81" t="s">
        <v>58</v>
      </c>
      <c r="AA1152" s="81" t="s">
        <v>58</v>
      </c>
      <c r="AB1152" s="81" t="s">
        <v>58</v>
      </c>
      <c r="AC1152" s="83">
        <v>46118</v>
      </c>
    </row>
    <row r="1153" spans="2:29" ht="23" x14ac:dyDescent="0.35">
      <c r="B1153" s="81" t="s">
        <v>338</v>
      </c>
      <c r="C1153" s="81" t="s">
        <v>339</v>
      </c>
      <c r="D1153" s="81" t="s">
        <v>340</v>
      </c>
      <c r="E1153" s="81" t="s">
        <v>715</v>
      </c>
      <c r="F1153" s="162" t="s">
        <v>716</v>
      </c>
      <c r="G1153" s="163"/>
      <c r="H1153" s="81" t="s">
        <v>1605</v>
      </c>
      <c r="I1153" s="81" t="s">
        <v>1436</v>
      </c>
      <c r="J1153" s="81" t="s">
        <v>154</v>
      </c>
      <c r="K1153" s="81" t="s">
        <v>1620</v>
      </c>
      <c r="L1153" s="81" t="s">
        <v>58</v>
      </c>
      <c r="M1153" s="164">
        <v>5.8399970000000003</v>
      </c>
      <c r="N1153" s="165"/>
      <c r="O1153" s="163"/>
      <c r="P1153" s="82">
        <v>200</v>
      </c>
      <c r="Q1153" s="164">
        <v>0</v>
      </c>
      <c r="R1153" s="163"/>
      <c r="S1153" s="81" t="s">
        <v>58</v>
      </c>
      <c r="T1153" s="82">
        <v>0</v>
      </c>
      <c r="U1153" s="82">
        <v>0</v>
      </c>
      <c r="V1153" s="82">
        <v>0</v>
      </c>
      <c r="W1153" s="82">
        <v>0</v>
      </c>
      <c r="X1153" s="81"/>
      <c r="Y1153" s="81"/>
      <c r="Z1153" s="81" t="s">
        <v>58</v>
      </c>
      <c r="AA1153" s="81" t="s">
        <v>58</v>
      </c>
      <c r="AB1153" s="81" t="s">
        <v>58</v>
      </c>
      <c r="AC1153" s="83">
        <v>46118</v>
      </c>
    </row>
    <row r="1154" spans="2:29" ht="23" x14ac:dyDescent="0.35">
      <c r="B1154" s="81" t="s">
        <v>338</v>
      </c>
      <c r="C1154" s="81" t="s">
        <v>339</v>
      </c>
      <c r="D1154" s="81" t="s">
        <v>340</v>
      </c>
      <c r="E1154" s="81" t="s">
        <v>715</v>
      </c>
      <c r="F1154" s="162" t="s">
        <v>716</v>
      </c>
      <c r="G1154" s="163"/>
      <c r="H1154" s="81" t="s">
        <v>1605</v>
      </c>
      <c r="I1154" s="81" t="s">
        <v>1436</v>
      </c>
      <c r="J1154" s="81" t="s">
        <v>154</v>
      </c>
      <c r="K1154" s="81" t="s">
        <v>1621</v>
      </c>
      <c r="L1154" s="81" t="s">
        <v>58</v>
      </c>
      <c r="M1154" s="164">
        <v>5.8399970000000003</v>
      </c>
      <c r="N1154" s="165"/>
      <c r="O1154" s="163"/>
      <c r="P1154" s="82">
        <v>200</v>
      </c>
      <c r="Q1154" s="164">
        <v>0</v>
      </c>
      <c r="R1154" s="163"/>
      <c r="S1154" s="81" t="s">
        <v>58</v>
      </c>
      <c r="T1154" s="82">
        <v>0</v>
      </c>
      <c r="U1154" s="82">
        <v>0</v>
      </c>
      <c r="V1154" s="82">
        <v>0</v>
      </c>
      <c r="W1154" s="82">
        <v>0</v>
      </c>
      <c r="X1154" s="81"/>
      <c r="Y1154" s="81"/>
      <c r="Z1154" s="81" t="s">
        <v>58</v>
      </c>
      <c r="AA1154" s="81" t="s">
        <v>58</v>
      </c>
      <c r="AB1154" s="81" t="s">
        <v>58</v>
      </c>
      <c r="AC1154" s="83">
        <v>46118</v>
      </c>
    </row>
    <row r="1155" spans="2:29" ht="23" x14ac:dyDescent="0.35">
      <c r="B1155" s="81" t="s">
        <v>338</v>
      </c>
      <c r="C1155" s="81" t="s">
        <v>339</v>
      </c>
      <c r="D1155" s="81" t="s">
        <v>340</v>
      </c>
      <c r="E1155" s="81" t="s">
        <v>715</v>
      </c>
      <c r="F1155" s="162" t="s">
        <v>716</v>
      </c>
      <c r="G1155" s="163"/>
      <c r="H1155" s="81" t="s">
        <v>1605</v>
      </c>
      <c r="I1155" s="81" t="s">
        <v>1436</v>
      </c>
      <c r="J1155" s="81" t="s">
        <v>154</v>
      </c>
      <c r="K1155" s="81" t="s">
        <v>1622</v>
      </c>
      <c r="L1155" s="81" t="s">
        <v>58</v>
      </c>
      <c r="M1155" s="164">
        <v>5.8399970000000003</v>
      </c>
      <c r="N1155" s="165"/>
      <c r="O1155" s="163"/>
      <c r="P1155" s="82">
        <v>200</v>
      </c>
      <c r="Q1155" s="164">
        <v>0</v>
      </c>
      <c r="R1155" s="163"/>
      <c r="S1155" s="81" t="s">
        <v>58</v>
      </c>
      <c r="T1155" s="82">
        <v>0</v>
      </c>
      <c r="U1155" s="82">
        <v>0</v>
      </c>
      <c r="V1155" s="82">
        <v>0</v>
      </c>
      <c r="W1155" s="82">
        <v>0</v>
      </c>
      <c r="X1155" s="81"/>
      <c r="Y1155" s="81"/>
      <c r="Z1155" s="81" t="s">
        <v>58</v>
      </c>
      <c r="AA1155" s="81" t="s">
        <v>58</v>
      </c>
      <c r="AB1155" s="81" t="s">
        <v>58</v>
      </c>
      <c r="AC1155" s="83">
        <v>46118</v>
      </c>
    </row>
    <row r="1156" spans="2:29" ht="23" x14ac:dyDescent="0.35">
      <c r="B1156" s="81" t="s">
        <v>338</v>
      </c>
      <c r="C1156" s="81" t="s">
        <v>339</v>
      </c>
      <c r="D1156" s="81" t="s">
        <v>340</v>
      </c>
      <c r="E1156" s="81" t="s">
        <v>715</v>
      </c>
      <c r="F1156" s="162" t="s">
        <v>716</v>
      </c>
      <c r="G1156" s="163"/>
      <c r="H1156" s="81" t="s">
        <v>1605</v>
      </c>
      <c r="I1156" s="81" t="s">
        <v>1436</v>
      </c>
      <c r="J1156" s="81" t="s">
        <v>154</v>
      </c>
      <c r="K1156" s="81" t="s">
        <v>1623</v>
      </c>
      <c r="L1156" s="81" t="s">
        <v>58</v>
      </c>
      <c r="M1156" s="164">
        <v>5.8399970000000003</v>
      </c>
      <c r="N1156" s="165"/>
      <c r="O1156" s="163"/>
      <c r="P1156" s="82">
        <v>200</v>
      </c>
      <c r="Q1156" s="164">
        <v>0</v>
      </c>
      <c r="R1156" s="163"/>
      <c r="S1156" s="81" t="s">
        <v>58</v>
      </c>
      <c r="T1156" s="82">
        <v>0</v>
      </c>
      <c r="U1156" s="82">
        <v>0</v>
      </c>
      <c r="V1156" s="82">
        <v>0</v>
      </c>
      <c r="W1156" s="82">
        <v>0</v>
      </c>
      <c r="X1156" s="81"/>
      <c r="Y1156" s="81"/>
      <c r="Z1156" s="81" t="s">
        <v>58</v>
      </c>
      <c r="AA1156" s="81" t="s">
        <v>58</v>
      </c>
      <c r="AB1156" s="81" t="s">
        <v>58</v>
      </c>
      <c r="AC1156" s="83">
        <v>46118</v>
      </c>
    </row>
    <row r="1157" spans="2:29" ht="23" x14ac:dyDescent="0.35">
      <c r="B1157" s="81" t="s">
        <v>338</v>
      </c>
      <c r="C1157" s="81" t="s">
        <v>339</v>
      </c>
      <c r="D1157" s="81" t="s">
        <v>340</v>
      </c>
      <c r="E1157" s="81" t="s">
        <v>715</v>
      </c>
      <c r="F1157" s="162" t="s">
        <v>716</v>
      </c>
      <c r="G1157" s="163"/>
      <c r="H1157" s="81" t="s">
        <v>1605</v>
      </c>
      <c r="I1157" s="81" t="s">
        <v>1436</v>
      </c>
      <c r="J1157" s="81" t="s">
        <v>154</v>
      </c>
      <c r="K1157" s="81" t="s">
        <v>1624</v>
      </c>
      <c r="L1157" s="81" t="s">
        <v>58</v>
      </c>
      <c r="M1157" s="164">
        <v>5.8399970000000003</v>
      </c>
      <c r="N1157" s="165"/>
      <c r="O1157" s="163"/>
      <c r="P1157" s="82">
        <v>200</v>
      </c>
      <c r="Q1157" s="164">
        <v>0</v>
      </c>
      <c r="R1157" s="163"/>
      <c r="S1157" s="81" t="s">
        <v>58</v>
      </c>
      <c r="T1157" s="82">
        <v>0</v>
      </c>
      <c r="U1157" s="82">
        <v>0</v>
      </c>
      <c r="V1157" s="82">
        <v>0</v>
      </c>
      <c r="W1157" s="82">
        <v>0</v>
      </c>
      <c r="X1157" s="81"/>
      <c r="Y1157" s="81"/>
      <c r="Z1157" s="81" t="s">
        <v>58</v>
      </c>
      <c r="AA1157" s="81" t="s">
        <v>58</v>
      </c>
      <c r="AB1157" s="81" t="s">
        <v>58</v>
      </c>
      <c r="AC1157" s="83">
        <v>46120</v>
      </c>
    </row>
    <row r="1158" spans="2:29" ht="23" x14ac:dyDescent="0.35">
      <c r="B1158" s="81" t="s">
        <v>338</v>
      </c>
      <c r="C1158" s="81" t="s">
        <v>339</v>
      </c>
      <c r="D1158" s="81" t="s">
        <v>340</v>
      </c>
      <c r="E1158" s="81" t="s">
        <v>715</v>
      </c>
      <c r="F1158" s="162" t="s">
        <v>716</v>
      </c>
      <c r="G1158" s="163"/>
      <c r="H1158" s="81" t="s">
        <v>1605</v>
      </c>
      <c r="I1158" s="81" t="s">
        <v>1436</v>
      </c>
      <c r="J1158" s="81" t="s">
        <v>154</v>
      </c>
      <c r="K1158" s="81" t="s">
        <v>1625</v>
      </c>
      <c r="L1158" s="81" t="s">
        <v>58</v>
      </c>
      <c r="M1158" s="164">
        <v>5.8399970000000003</v>
      </c>
      <c r="N1158" s="165"/>
      <c r="O1158" s="163"/>
      <c r="P1158" s="82">
        <v>200</v>
      </c>
      <c r="Q1158" s="164">
        <v>0</v>
      </c>
      <c r="R1158" s="163"/>
      <c r="S1158" s="81" t="s">
        <v>58</v>
      </c>
      <c r="T1158" s="82">
        <v>0</v>
      </c>
      <c r="U1158" s="82">
        <v>0</v>
      </c>
      <c r="V1158" s="82">
        <v>0</v>
      </c>
      <c r="W1158" s="82">
        <v>0</v>
      </c>
      <c r="X1158" s="81"/>
      <c r="Y1158" s="81"/>
      <c r="Z1158" s="81" t="s">
        <v>58</v>
      </c>
      <c r="AA1158" s="81" t="s">
        <v>58</v>
      </c>
      <c r="AB1158" s="81" t="s">
        <v>58</v>
      </c>
      <c r="AC1158" s="83">
        <v>46120</v>
      </c>
    </row>
    <row r="1159" spans="2:29" ht="23" x14ac:dyDescent="0.35">
      <c r="B1159" s="81" t="s">
        <v>338</v>
      </c>
      <c r="C1159" s="81" t="s">
        <v>339</v>
      </c>
      <c r="D1159" s="81" t="s">
        <v>340</v>
      </c>
      <c r="E1159" s="81" t="s">
        <v>715</v>
      </c>
      <c r="F1159" s="162" t="s">
        <v>716</v>
      </c>
      <c r="G1159" s="163"/>
      <c r="H1159" s="81" t="s">
        <v>1605</v>
      </c>
      <c r="I1159" s="81" t="s">
        <v>1436</v>
      </c>
      <c r="J1159" s="81" t="s">
        <v>154</v>
      </c>
      <c r="K1159" s="81" t="s">
        <v>1626</v>
      </c>
      <c r="L1159" s="81" t="s">
        <v>58</v>
      </c>
      <c r="M1159" s="164">
        <v>5.8399970000000003</v>
      </c>
      <c r="N1159" s="165"/>
      <c r="O1159" s="163"/>
      <c r="P1159" s="82">
        <v>200</v>
      </c>
      <c r="Q1159" s="164">
        <v>0</v>
      </c>
      <c r="R1159" s="163"/>
      <c r="S1159" s="81" t="s">
        <v>58</v>
      </c>
      <c r="T1159" s="82">
        <v>0</v>
      </c>
      <c r="U1159" s="82">
        <v>0</v>
      </c>
      <c r="V1159" s="82">
        <v>0</v>
      </c>
      <c r="W1159" s="82">
        <v>0</v>
      </c>
      <c r="X1159" s="81"/>
      <c r="Y1159" s="81"/>
      <c r="Z1159" s="81" t="s">
        <v>58</v>
      </c>
      <c r="AA1159" s="81" t="s">
        <v>58</v>
      </c>
      <c r="AB1159" s="81" t="s">
        <v>58</v>
      </c>
      <c r="AC1159" s="83">
        <v>46120</v>
      </c>
    </row>
    <row r="1160" spans="2:29" ht="23" x14ac:dyDescent="0.35">
      <c r="B1160" s="81" t="s">
        <v>338</v>
      </c>
      <c r="C1160" s="81" t="s">
        <v>339</v>
      </c>
      <c r="D1160" s="81" t="s">
        <v>340</v>
      </c>
      <c r="E1160" s="81" t="s">
        <v>715</v>
      </c>
      <c r="F1160" s="162" t="s">
        <v>716</v>
      </c>
      <c r="G1160" s="163"/>
      <c r="H1160" s="81" t="s">
        <v>1605</v>
      </c>
      <c r="I1160" s="81" t="s">
        <v>1436</v>
      </c>
      <c r="J1160" s="81" t="s">
        <v>154</v>
      </c>
      <c r="K1160" s="81" t="s">
        <v>1627</v>
      </c>
      <c r="L1160" s="81" t="s">
        <v>58</v>
      </c>
      <c r="M1160" s="164">
        <v>5.8399970000000003</v>
      </c>
      <c r="N1160" s="165"/>
      <c r="O1160" s="163"/>
      <c r="P1160" s="82">
        <v>200</v>
      </c>
      <c r="Q1160" s="164">
        <v>0</v>
      </c>
      <c r="R1160" s="163"/>
      <c r="S1160" s="81" t="s">
        <v>58</v>
      </c>
      <c r="T1160" s="82">
        <v>0</v>
      </c>
      <c r="U1160" s="82">
        <v>0</v>
      </c>
      <c r="V1160" s="82">
        <v>0</v>
      </c>
      <c r="W1160" s="82">
        <v>0</v>
      </c>
      <c r="X1160" s="81"/>
      <c r="Y1160" s="81"/>
      <c r="Z1160" s="81" t="s">
        <v>58</v>
      </c>
      <c r="AA1160" s="81" t="s">
        <v>58</v>
      </c>
      <c r="AB1160" s="81" t="s">
        <v>58</v>
      </c>
      <c r="AC1160" s="83">
        <v>46120</v>
      </c>
    </row>
    <row r="1161" spans="2:29" ht="23" x14ac:dyDescent="0.35">
      <c r="B1161" s="81" t="s">
        <v>338</v>
      </c>
      <c r="C1161" s="81" t="s">
        <v>339</v>
      </c>
      <c r="D1161" s="81" t="s">
        <v>340</v>
      </c>
      <c r="E1161" s="81" t="s">
        <v>715</v>
      </c>
      <c r="F1161" s="162" t="s">
        <v>716</v>
      </c>
      <c r="G1161" s="163"/>
      <c r="H1161" s="81" t="s">
        <v>1605</v>
      </c>
      <c r="I1161" s="81" t="s">
        <v>1436</v>
      </c>
      <c r="J1161" s="81" t="s">
        <v>154</v>
      </c>
      <c r="K1161" s="81" t="s">
        <v>1628</v>
      </c>
      <c r="L1161" s="81" t="s">
        <v>58</v>
      </c>
      <c r="M1161" s="164">
        <v>6.1611968350000001</v>
      </c>
      <c r="N1161" s="165"/>
      <c r="O1161" s="163"/>
      <c r="P1161" s="82">
        <v>211</v>
      </c>
      <c r="Q1161" s="164">
        <v>0</v>
      </c>
      <c r="R1161" s="163"/>
      <c r="S1161" s="81" t="s">
        <v>58</v>
      </c>
      <c r="T1161" s="82">
        <v>0</v>
      </c>
      <c r="U1161" s="82">
        <v>0</v>
      </c>
      <c r="V1161" s="82">
        <v>0</v>
      </c>
      <c r="W1161" s="82">
        <v>0</v>
      </c>
      <c r="X1161" s="81"/>
      <c r="Y1161" s="81"/>
      <c r="Z1161" s="81" t="s">
        <v>58</v>
      </c>
      <c r="AA1161" s="81" t="s">
        <v>58</v>
      </c>
      <c r="AB1161" s="81" t="s">
        <v>58</v>
      </c>
      <c r="AC1161" s="83">
        <v>46120</v>
      </c>
    </row>
    <row r="1162" spans="2:29" ht="23" x14ac:dyDescent="0.35">
      <c r="B1162" s="81" t="s">
        <v>338</v>
      </c>
      <c r="C1162" s="81" t="s">
        <v>339</v>
      </c>
      <c r="D1162" s="81" t="s">
        <v>340</v>
      </c>
      <c r="E1162" s="81" t="s">
        <v>715</v>
      </c>
      <c r="F1162" s="162" t="s">
        <v>716</v>
      </c>
      <c r="G1162" s="163"/>
      <c r="H1162" s="81" t="s">
        <v>1605</v>
      </c>
      <c r="I1162" s="81" t="s">
        <v>1436</v>
      </c>
      <c r="J1162" s="81" t="s">
        <v>154</v>
      </c>
      <c r="K1162" s="81" t="s">
        <v>1629</v>
      </c>
      <c r="L1162" s="81" t="s">
        <v>58</v>
      </c>
      <c r="M1162" s="164">
        <v>6.0384434999999996</v>
      </c>
      <c r="N1162" s="165"/>
      <c r="O1162" s="163"/>
      <c r="P1162" s="82">
        <v>200</v>
      </c>
      <c r="Q1162" s="164">
        <v>0</v>
      </c>
      <c r="R1162" s="163"/>
      <c r="S1162" s="81" t="s">
        <v>58</v>
      </c>
      <c r="T1162" s="82">
        <v>0</v>
      </c>
      <c r="U1162" s="82">
        <v>0</v>
      </c>
      <c r="V1162" s="82">
        <v>0</v>
      </c>
      <c r="W1162" s="82">
        <v>0</v>
      </c>
      <c r="X1162" s="81"/>
      <c r="Y1162" s="81"/>
      <c r="Z1162" s="81" t="s">
        <v>58</v>
      </c>
      <c r="AA1162" s="81" t="s">
        <v>58</v>
      </c>
      <c r="AB1162" s="81" t="s">
        <v>58</v>
      </c>
      <c r="AC1162" s="83">
        <v>46120</v>
      </c>
    </row>
    <row r="1163" spans="2:29" ht="23" x14ac:dyDescent="0.35">
      <c r="B1163" s="81" t="s">
        <v>338</v>
      </c>
      <c r="C1163" s="81" t="s">
        <v>339</v>
      </c>
      <c r="D1163" s="81" t="s">
        <v>340</v>
      </c>
      <c r="E1163" s="81" t="s">
        <v>715</v>
      </c>
      <c r="F1163" s="162" t="s">
        <v>716</v>
      </c>
      <c r="G1163" s="163"/>
      <c r="H1163" s="81" t="s">
        <v>1605</v>
      </c>
      <c r="I1163" s="81" t="s">
        <v>1436</v>
      </c>
      <c r="J1163" s="81" t="s">
        <v>154</v>
      </c>
      <c r="K1163" s="81" t="s">
        <v>1630</v>
      </c>
      <c r="L1163" s="81" t="s">
        <v>58</v>
      </c>
      <c r="M1163" s="164">
        <v>6.0384434999999996</v>
      </c>
      <c r="N1163" s="165"/>
      <c r="O1163" s="163"/>
      <c r="P1163" s="82">
        <v>200</v>
      </c>
      <c r="Q1163" s="164">
        <v>0</v>
      </c>
      <c r="R1163" s="163"/>
      <c r="S1163" s="81" t="s">
        <v>58</v>
      </c>
      <c r="T1163" s="82">
        <v>0</v>
      </c>
      <c r="U1163" s="82">
        <v>0</v>
      </c>
      <c r="V1163" s="82">
        <v>0</v>
      </c>
      <c r="W1163" s="82">
        <v>0</v>
      </c>
      <c r="X1163" s="81"/>
      <c r="Y1163" s="81"/>
      <c r="Z1163" s="81" t="s">
        <v>58</v>
      </c>
      <c r="AA1163" s="81" t="s">
        <v>58</v>
      </c>
      <c r="AB1163" s="81" t="s">
        <v>58</v>
      </c>
      <c r="AC1163" s="83">
        <v>46119</v>
      </c>
    </row>
    <row r="1164" spans="2:29" ht="23" x14ac:dyDescent="0.35">
      <c r="B1164" s="81" t="s">
        <v>338</v>
      </c>
      <c r="C1164" s="81" t="s">
        <v>339</v>
      </c>
      <c r="D1164" s="81" t="s">
        <v>340</v>
      </c>
      <c r="E1164" s="81" t="s">
        <v>715</v>
      </c>
      <c r="F1164" s="162" t="s">
        <v>716</v>
      </c>
      <c r="G1164" s="163"/>
      <c r="H1164" s="81" t="s">
        <v>1605</v>
      </c>
      <c r="I1164" s="81" t="s">
        <v>1436</v>
      </c>
      <c r="J1164" s="81" t="s">
        <v>154</v>
      </c>
      <c r="K1164" s="81" t="s">
        <v>1631</v>
      </c>
      <c r="L1164" s="81" t="s">
        <v>58</v>
      </c>
      <c r="M1164" s="164">
        <v>6.0384434999999996</v>
      </c>
      <c r="N1164" s="165"/>
      <c r="O1164" s="163"/>
      <c r="P1164" s="82">
        <v>200</v>
      </c>
      <c r="Q1164" s="164">
        <v>0</v>
      </c>
      <c r="R1164" s="163"/>
      <c r="S1164" s="81" t="s">
        <v>58</v>
      </c>
      <c r="T1164" s="82">
        <v>0</v>
      </c>
      <c r="U1164" s="82">
        <v>0</v>
      </c>
      <c r="V1164" s="82">
        <v>0</v>
      </c>
      <c r="W1164" s="82">
        <v>0</v>
      </c>
      <c r="X1164" s="81"/>
      <c r="Y1164" s="81"/>
      <c r="Z1164" s="81" t="s">
        <v>58</v>
      </c>
      <c r="AA1164" s="81" t="s">
        <v>58</v>
      </c>
      <c r="AB1164" s="81" t="s">
        <v>58</v>
      </c>
      <c r="AC1164" s="83">
        <v>46120</v>
      </c>
    </row>
    <row r="1165" spans="2:29" ht="23" x14ac:dyDescent="0.35">
      <c r="B1165" s="81" t="s">
        <v>338</v>
      </c>
      <c r="C1165" s="81" t="s">
        <v>339</v>
      </c>
      <c r="D1165" s="81" t="s">
        <v>340</v>
      </c>
      <c r="E1165" s="81" t="s">
        <v>715</v>
      </c>
      <c r="F1165" s="162" t="s">
        <v>716</v>
      </c>
      <c r="G1165" s="163"/>
      <c r="H1165" s="81" t="s">
        <v>1605</v>
      </c>
      <c r="I1165" s="81" t="s">
        <v>1436</v>
      </c>
      <c r="J1165" s="81" t="s">
        <v>154</v>
      </c>
      <c r="K1165" s="81" t="s">
        <v>1632</v>
      </c>
      <c r="L1165" s="81" t="s">
        <v>58</v>
      </c>
      <c r="M1165" s="164">
        <v>6.0384434999999996</v>
      </c>
      <c r="N1165" s="165"/>
      <c r="O1165" s="163"/>
      <c r="P1165" s="82">
        <v>200</v>
      </c>
      <c r="Q1165" s="164">
        <v>0</v>
      </c>
      <c r="R1165" s="163"/>
      <c r="S1165" s="81" t="s">
        <v>58</v>
      </c>
      <c r="T1165" s="82">
        <v>0</v>
      </c>
      <c r="U1165" s="82">
        <v>0</v>
      </c>
      <c r="V1165" s="82">
        <v>0</v>
      </c>
      <c r="W1165" s="82">
        <v>0</v>
      </c>
      <c r="X1165" s="81"/>
      <c r="Y1165" s="81"/>
      <c r="Z1165" s="81" t="s">
        <v>58</v>
      </c>
      <c r="AA1165" s="81" t="s">
        <v>58</v>
      </c>
      <c r="AB1165" s="81" t="s">
        <v>58</v>
      </c>
      <c r="AC1165" s="83">
        <v>46120</v>
      </c>
    </row>
    <row r="1166" spans="2:29" ht="23" x14ac:dyDescent="0.35">
      <c r="B1166" s="81" t="s">
        <v>338</v>
      </c>
      <c r="C1166" s="81" t="s">
        <v>339</v>
      </c>
      <c r="D1166" s="81" t="s">
        <v>340</v>
      </c>
      <c r="E1166" s="81" t="s">
        <v>715</v>
      </c>
      <c r="F1166" s="162" t="s">
        <v>716</v>
      </c>
      <c r="G1166" s="163"/>
      <c r="H1166" s="81" t="s">
        <v>1605</v>
      </c>
      <c r="I1166" s="81" t="s">
        <v>1436</v>
      </c>
      <c r="J1166" s="81" t="s">
        <v>154</v>
      </c>
      <c r="K1166" s="81" t="s">
        <v>1633</v>
      </c>
      <c r="L1166" s="81" t="s">
        <v>58</v>
      </c>
      <c r="M1166" s="164">
        <v>6.0384434999999996</v>
      </c>
      <c r="N1166" s="165"/>
      <c r="O1166" s="163"/>
      <c r="P1166" s="82">
        <v>200</v>
      </c>
      <c r="Q1166" s="164">
        <v>0</v>
      </c>
      <c r="R1166" s="163"/>
      <c r="S1166" s="81" t="s">
        <v>58</v>
      </c>
      <c r="T1166" s="82">
        <v>0</v>
      </c>
      <c r="U1166" s="82">
        <v>0</v>
      </c>
      <c r="V1166" s="82">
        <v>0</v>
      </c>
      <c r="W1166" s="82">
        <v>0</v>
      </c>
      <c r="X1166" s="81"/>
      <c r="Y1166" s="81"/>
      <c r="Z1166" s="81" t="s">
        <v>58</v>
      </c>
      <c r="AA1166" s="81" t="s">
        <v>58</v>
      </c>
      <c r="AB1166" s="81" t="s">
        <v>58</v>
      </c>
      <c r="AC1166" s="83">
        <v>46119</v>
      </c>
    </row>
    <row r="1167" spans="2:29" ht="23" x14ac:dyDescent="0.35">
      <c r="B1167" s="81" t="s">
        <v>338</v>
      </c>
      <c r="C1167" s="81" t="s">
        <v>339</v>
      </c>
      <c r="D1167" s="81" t="s">
        <v>340</v>
      </c>
      <c r="E1167" s="81" t="s">
        <v>715</v>
      </c>
      <c r="F1167" s="162" t="s">
        <v>716</v>
      </c>
      <c r="G1167" s="163"/>
      <c r="H1167" s="81" t="s">
        <v>1605</v>
      </c>
      <c r="I1167" s="81" t="s">
        <v>1436</v>
      </c>
      <c r="J1167" s="81" t="s">
        <v>154</v>
      </c>
      <c r="K1167" s="81" t="s">
        <v>1634</v>
      </c>
      <c r="L1167" s="81" t="s">
        <v>58</v>
      </c>
      <c r="M1167" s="164">
        <v>6.0384434999999996</v>
      </c>
      <c r="N1167" s="165"/>
      <c r="O1167" s="163"/>
      <c r="P1167" s="82">
        <v>200</v>
      </c>
      <c r="Q1167" s="164">
        <v>0</v>
      </c>
      <c r="R1167" s="163"/>
      <c r="S1167" s="81" t="s">
        <v>58</v>
      </c>
      <c r="T1167" s="82">
        <v>0</v>
      </c>
      <c r="U1167" s="82">
        <v>0</v>
      </c>
      <c r="V1167" s="82">
        <v>0</v>
      </c>
      <c r="W1167" s="82">
        <v>0</v>
      </c>
      <c r="X1167" s="81"/>
      <c r="Y1167" s="81"/>
      <c r="Z1167" s="81" t="s">
        <v>58</v>
      </c>
      <c r="AA1167" s="81" t="s">
        <v>58</v>
      </c>
      <c r="AB1167" s="81" t="s">
        <v>58</v>
      </c>
      <c r="AC1167" s="83">
        <v>46120</v>
      </c>
    </row>
    <row r="1168" spans="2:29" ht="23" x14ac:dyDescent="0.35">
      <c r="B1168" s="81" t="s">
        <v>338</v>
      </c>
      <c r="C1168" s="81" t="s">
        <v>339</v>
      </c>
      <c r="D1168" s="81" t="s">
        <v>340</v>
      </c>
      <c r="E1168" s="81" t="s">
        <v>715</v>
      </c>
      <c r="F1168" s="162" t="s">
        <v>716</v>
      </c>
      <c r="G1168" s="163"/>
      <c r="H1168" s="81" t="s">
        <v>1605</v>
      </c>
      <c r="I1168" s="81" t="s">
        <v>1436</v>
      </c>
      <c r="J1168" s="81" t="s">
        <v>154</v>
      </c>
      <c r="K1168" s="81" t="s">
        <v>1635</v>
      </c>
      <c r="L1168" s="81" t="s">
        <v>58</v>
      </c>
      <c r="M1168" s="164">
        <v>5.1930614100000003</v>
      </c>
      <c r="N1168" s="165"/>
      <c r="O1168" s="163"/>
      <c r="P1168" s="82">
        <v>172</v>
      </c>
      <c r="Q1168" s="164">
        <v>0</v>
      </c>
      <c r="R1168" s="163"/>
      <c r="S1168" s="81" t="s">
        <v>58</v>
      </c>
      <c r="T1168" s="82">
        <v>0</v>
      </c>
      <c r="U1168" s="82">
        <v>0</v>
      </c>
      <c r="V1168" s="82">
        <v>0</v>
      </c>
      <c r="W1168" s="82">
        <v>0</v>
      </c>
      <c r="X1168" s="81"/>
      <c r="Y1168" s="81"/>
      <c r="Z1168" s="81" t="s">
        <v>58</v>
      </c>
      <c r="AA1168" s="81" t="s">
        <v>58</v>
      </c>
      <c r="AB1168" s="81" t="s">
        <v>58</v>
      </c>
      <c r="AC1168" s="83">
        <v>46119</v>
      </c>
    </row>
    <row r="1169" spans="2:29" ht="23" x14ac:dyDescent="0.35">
      <c r="B1169" s="81" t="s">
        <v>338</v>
      </c>
      <c r="C1169" s="81" t="s">
        <v>339</v>
      </c>
      <c r="D1169" s="81" t="s">
        <v>340</v>
      </c>
      <c r="E1169" s="81" t="s">
        <v>715</v>
      </c>
      <c r="F1169" s="162" t="s">
        <v>716</v>
      </c>
      <c r="G1169" s="163"/>
      <c r="H1169" s="81" t="s">
        <v>1605</v>
      </c>
      <c r="I1169" s="81" t="s">
        <v>1436</v>
      </c>
      <c r="J1169" s="81" t="s">
        <v>154</v>
      </c>
      <c r="K1169" s="81" t="s">
        <v>1636</v>
      </c>
      <c r="L1169" s="81" t="s">
        <v>58</v>
      </c>
      <c r="M1169" s="164">
        <v>6.2368899999999998</v>
      </c>
      <c r="N1169" s="165"/>
      <c r="O1169" s="163"/>
      <c r="P1169" s="82">
        <v>200</v>
      </c>
      <c r="Q1169" s="164">
        <v>0</v>
      </c>
      <c r="R1169" s="163"/>
      <c r="S1169" s="81" t="s">
        <v>58</v>
      </c>
      <c r="T1169" s="82">
        <v>0</v>
      </c>
      <c r="U1169" s="82">
        <v>0</v>
      </c>
      <c r="V1169" s="82">
        <v>0</v>
      </c>
      <c r="W1169" s="82">
        <v>0</v>
      </c>
      <c r="X1169" s="81"/>
      <c r="Y1169" s="81"/>
      <c r="Z1169" s="81" t="s">
        <v>58</v>
      </c>
      <c r="AA1169" s="81" t="s">
        <v>58</v>
      </c>
      <c r="AB1169" s="81" t="s">
        <v>58</v>
      </c>
      <c r="AC1169" s="83">
        <v>46118</v>
      </c>
    </row>
    <row r="1170" spans="2:29" ht="23" x14ac:dyDescent="0.35">
      <c r="B1170" s="81" t="s">
        <v>338</v>
      </c>
      <c r="C1170" s="81" t="s">
        <v>339</v>
      </c>
      <c r="D1170" s="81" t="s">
        <v>340</v>
      </c>
      <c r="E1170" s="81" t="s">
        <v>715</v>
      </c>
      <c r="F1170" s="162" t="s">
        <v>716</v>
      </c>
      <c r="G1170" s="163"/>
      <c r="H1170" s="81" t="s">
        <v>1605</v>
      </c>
      <c r="I1170" s="81" t="s">
        <v>1436</v>
      </c>
      <c r="J1170" s="81" t="s">
        <v>154</v>
      </c>
      <c r="K1170" s="81" t="s">
        <v>1637</v>
      </c>
      <c r="L1170" s="81" t="s">
        <v>58</v>
      </c>
      <c r="M1170" s="164">
        <v>6.2368899999999998</v>
      </c>
      <c r="N1170" s="165"/>
      <c r="O1170" s="163"/>
      <c r="P1170" s="82">
        <v>200</v>
      </c>
      <c r="Q1170" s="164">
        <v>0</v>
      </c>
      <c r="R1170" s="163"/>
      <c r="S1170" s="81" t="s">
        <v>58</v>
      </c>
      <c r="T1170" s="82">
        <v>0</v>
      </c>
      <c r="U1170" s="82">
        <v>0</v>
      </c>
      <c r="V1170" s="82">
        <v>0</v>
      </c>
      <c r="W1170" s="82">
        <v>0</v>
      </c>
      <c r="X1170" s="81"/>
      <c r="Y1170" s="81"/>
      <c r="Z1170" s="81" t="s">
        <v>58</v>
      </c>
      <c r="AA1170" s="81" t="s">
        <v>58</v>
      </c>
      <c r="AB1170" s="81" t="s">
        <v>58</v>
      </c>
      <c r="AC1170" s="83">
        <v>46118</v>
      </c>
    </row>
    <row r="1171" spans="2:29" ht="23" x14ac:dyDescent="0.35">
      <c r="B1171" s="81" t="s">
        <v>338</v>
      </c>
      <c r="C1171" s="81" t="s">
        <v>339</v>
      </c>
      <c r="D1171" s="81" t="s">
        <v>340</v>
      </c>
      <c r="E1171" s="81" t="s">
        <v>715</v>
      </c>
      <c r="F1171" s="162" t="s">
        <v>716</v>
      </c>
      <c r="G1171" s="163"/>
      <c r="H1171" s="81" t="s">
        <v>1605</v>
      </c>
      <c r="I1171" s="81" t="s">
        <v>1436</v>
      </c>
      <c r="J1171" s="81" t="s">
        <v>154</v>
      </c>
      <c r="K1171" s="81" t="s">
        <v>1638</v>
      </c>
      <c r="L1171" s="81" t="s">
        <v>58</v>
      </c>
      <c r="M1171" s="164">
        <v>6.2368899999999998</v>
      </c>
      <c r="N1171" s="165"/>
      <c r="O1171" s="163"/>
      <c r="P1171" s="82">
        <v>200</v>
      </c>
      <c r="Q1171" s="164">
        <v>0</v>
      </c>
      <c r="R1171" s="163"/>
      <c r="S1171" s="81" t="s">
        <v>58</v>
      </c>
      <c r="T1171" s="82">
        <v>0</v>
      </c>
      <c r="U1171" s="82">
        <v>0</v>
      </c>
      <c r="V1171" s="82">
        <v>0</v>
      </c>
      <c r="W1171" s="82">
        <v>0</v>
      </c>
      <c r="X1171" s="81"/>
      <c r="Y1171" s="81"/>
      <c r="Z1171" s="81" t="s">
        <v>58</v>
      </c>
      <c r="AA1171" s="81" t="s">
        <v>58</v>
      </c>
      <c r="AB1171" s="81" t="s">
        <v>58</v>
      </c>
      <c r="AC1171" s="83">
        <v>46118</v>
      </c>
    </row>
    <row r="1172" spans="2:29" ht="23" x14ac:dyDescent="0.35">
      <c r="B1172" s="81" t="s">
        <v>338</v>
      </c>
      <c r="C1172" s="81" t="s">
        <v>339</v>
      </c>
      <c r="D1172" s="81" t="s">
        <v>340</v>
      </c>
      <c r="E1172" s="81" t="s">
        <v>715</v>
      </c>
      <c r="F1172" s="162" t="s">
        <v>716</v>
      </c>
      <c r="G1172" s="163"/>
      <c r="H1172" s="81" t="s">
        <v>1605</v>
      </c>
      <c r="I1172" s="81" t="s">
        <v>1436</v>
      </c>
      <c r="J1172" s="81" t="s">
        <v>154</v>
      </c>
      <c r="K1172" s="81" t="s">
        <v>1639</v>
      </c>
      <c r="L1172" s="81" t="s">
        <v>58</v>
      </c>
      <c r="M1172" s="164">
        <v>6.2368899999999998</v>
      </c>
      <c r="N1172" s="165"/>
      <c r="O1172" s="163"/>
      <c r="P1172" s="82">
        <v>200</v>
      </c>
      <c r="Q1172" s="164">
        <v>0</v>
      </c>
      <c r="R1172" s="163"/>
      <c r="S1172" s="81" t="s">
        <v>58</v>
      </c>
      <c r="T1172" s="82">
        <v>0</v>
      </c>
      <c r="U1172" s="82">
        <v>0</v>
      </c>
      <c r="V1172" s="82">
        <v>0</v>
      </c>
      <c r="W1172" s="82">
        <v>0</v>
      </c>
      <c r="X1172" s="81"/>
      <c r="Y1172" s="81"/>
      <c r="Z1172" s="81" t="s">
        <v>58</v>
      </c>
      <c r="AA1172" s="81" t="s">
        <v>58</v>
      </c>
      <c r="AB1172" s="81" t="s">
        <v>58</v>
      </c>
      <c r="AC1172" s="83">
        <v>46118</v>
      </c>
    </row>
    <row r="1173" spans="2:29" ht="23" x14ac:dyDescent="0.35">
      <c r="B1173" s="81" t="s">
        <v>338</v>
      </c>
      <c r="C1173" s="81" t="s">
        <v>339</v>
      </c>
      <c r="D1173" s="81" t="s">
        <v>340</v>
      </c>
      <c r="E1173" s="81" t="s">
        <v>715</v>
      </c>
      <c r="F1173" s="162" t="s">
        <v>716</v>
      </c>
      <c r="G1173" s="163"/>
      <c r="H1173" s="81" t="s">
        <v>1605</v>
      </c>
      <c r="I1173" s="81" t="s">
        <v>1436</v>
      </c>
      <c r="J1173" s="81" t="s">
        <v>154</v>
      </c>
      <c r="K1173" s="81" t="s">
        <v>1640</v>
      </c>
      <c r="L1173" s="81" t="s">
        <v>58</v>
      </c>
      <c r="M1173" s="164">
        <v>4.4281918999999998</v>
      </c>
      <c r="N1173" s="165"/>
      <c r="O1173" s="163"/>
      <c r="P1173" s="82">
        <v>142</v>
      </c>
      <c r="Q1173" s="164">
        <v>0</v>
      </c>
      <c r="R1173" s="163"/>
      <c r="S1173" s="81" t="s">
        <v>58</v>
      </c>
      <c r="T1173" s="82">
        <v>0</v>
      </c>
      <c r="U1173" s="82">
        <v>0</v>
      </c>
      <c r="V1173" s="82">
        <v>0</v>
      </c>
      <c r="W1173" s="82">
        <v>0</v>
      </c>
      <c r="X1173" s="81"/>
      <c r="Y1173" s="81"/>
      <c r="Z1173" s="81" t="s">
        <v>58</v>
      </c>
      <c r="AA1173" s="81" t="s">
        <v>58</v>
      </c>
      <c r="AB1173" s="81" t="s">
        <v>58</v>
      </c>
      <c r="AC1173" s="83">
        <v>46118</v>
      </c>
    </row>
    <row r="1174" spans="2:29" ht="23" x14ac:dyDescent="0.35">
      <c r="B1174" s="81" t="s">
        <v>338</v>
      </c>
      <c r="C1174" s="81" t="s">
        <v>339</v>
      </c>
      <c r="D1174" s="81" t="s">
        <v>340</v>
      </c>
      <c r="E1174" s="81" t="s">
        <v>715</v>
      </c>
      <c r="F1174" s="162" t="s">
        <v>716</v>
      </c>
      <c r="G1174" s="163"/>
      <c r="H1174" s="81" t="s">
        <v>1605</v>
      </c>
      <c r="I1174" s="81" t="s">
        <v>1436</v>
      </c>
      <c r="J1174" s="81" t="s">
        <v>154</v>
      </c>
      <c r="K1174" s="81" t="s">
        <v>1641</v>
      </c>
      <c r="L1174" s="81" t="s">
        <v>58</v>
      </c>
      <c r="M1174" s="164">
        <v>7.2404622999999999</v>
      </c>
      <c r="N1174" s="165"/>
      <c r="O1174" s="163"/>
      <c r="P1174" s="82">
        <v>200</v>
      </c>
      <c r="Q1174" s="164">
        <v>0</v>
      </c>
      <c r="R1174" s="163"/>
      <c r="S1174" s="81" t="s">
        <v>58</v>
      </c>
      <c r="T1174" s="82">
        <v>0</v>
      </c>
      <c r="U1174" s="82">
        <v>0</v>
      </c>
      <c r="V1174" s="82">
        <v>0</v>
      </c>
      <c r="W1174" s="82">
        <v>0</v>
      </c>
      <c r="X1174" s="81"/>
      <c r="Y1174" s="81"/>
      <c r="Z1174" s="81" t="s">
        <v>58</v>
      </c>
      <c r="AA1174" s="81" t="s">
        <v>58</v>
      </c>
      <c r="AB1174" s="81" t="s">
        <v>58</v>
      </c>
      <c r="AC1174" s="83">
        <v>46120</v>
      </c>
    </row>
    <row r="1175" spans="2:29" ht="23" x14ac:dyDescent="0.35">
      <c r="B1175" s="81" t="s">
        <v>338</v>
      </c>
      <c r="C1175" s="81" t="s">
        <v>339</v>
      </c>
      <c r="D1175" s="81" t="s">
        <v>340</v>
      </c>
      <c r="E1175" s="81" t="s">
        <v>715</v>
      </c>
      <c r="F1175" s="162" t="s">
        <v>716</v>
      </c>
      <c r="G1175" s="163"/>
      <c r="H1175" s="81" t="s">
        <v>1605</v>
      </c>
      <c r="I1175" s="81" t="s">
        <v>1436</v>
      </c>
      <c r="J1175" s="81" t="s">
        <v>154</v>
      </c>
      <c r="K1175" s="81" t="s">
        <v>1642</v>
      </c>
      <c r="L1175" s="81" t="s">
        <v>58</v>
      </c>
      <c r="M1175" s="164">
        <v>7.2404622999999999</v>
      </c>
      <c r="N1175" s="165"/>
      <c r="O1175" s="163"/>
      <c r="P1175" s="82">
        <v>200</v>
      </c>
      <c r="Q1175" s="164">
        <v>0</v>
      </c>
      <c r="R1175" s="163"/>
      <c r="S1175" s="81" t="s">
        <v>58</v>
      </c>
      <c r="T1175" s="82">
        <v>0</v>
      </c>
      <c r="U1175" s="82">
        <v>0</v>
      </c>
      <c r="V1175" s="82">
        <v>0</v>
      </c>
      <c r="W1175" s="82">
        <v>0</v>
      </c>
      <c r="X1175" s="81"/>
      <c r="Y1175" s="81"/>
      <c r="Z1175" s="81" t="s">
        <v>58</v>
      </c>
      <c r="AA1175" s="81" t="s">
        <v>58</v>
      </c>
      <c r="AB1175" s="81" t="s">
        <v>58</v>
      </c>
      <c r="AC1175" s="83">
        <v>46119</v>
      </c>
    </row>
    <row r="1176" spans="2:29" ht="23" x14ac:dyDescent="0.35">
      <c r="B1176" s="81" t="s">
        <v>338</v>
      </c>
      <c r="C1176" s="81" t="s">
        <v>339</v>
      </c>
      <c r="D1176" s="81" t="s">
        <v>340</v>
      </c>
      <c r="E1176" s="81" t="s">
        <v>715</v>
      </c>
      <c r="F1176" s="162" t="s">
        <v>716</v>
      </c>
      <c r="G1176" s="163"/>
      <c r="H1176" s="81" t="s">
        <v>1605</v>
      </c>
      <c r="I1176" s="81" t="s">
        <v>1436</v>
      </c>
      <c r="J1176" s="81" t="s">
        <v>154</v>
      </c>
      <c r="K1176" s="81" t="s">
        <v>1643</v>
      </c>
      <c r="L1176" s="81" t="s">
        <v>58</v>
      </c>
      <c r="M1176" s="164">
        <v>4.4890866259999997</v>
      </c>
      <c r="N1176" s="165"/>
      <c r="O1176" s="163"/>
      <c r="P1176" s="82">
        <v>124</v>
      </c>
      <c r="Q1176" s="164">
        <v>0</v>
      </c>
      <c r="R1176" s="163"/>
      <c r="S1176" s="81" t="s">
        <v>58</v>
      </c>
      <c r="T1176" s="82">
        <v>0</v>
      </c>
      <c r="U1176" s="82">
        <v>0</v>
      </c>
      <c r="V1176" s="82">
        <v>0</v>
      </c>
      <c r="W1176" s="82">
        <v>0</v>
      </c>
      <c r="X1176" s="81"/>
      <c r="Y1176" s="81"/>
      <c r="Z1176" s="81" t="s">
        <v>58</v>
      </c>
      <c r="AA1176" s="81" t="s">
        <v>58</v>
      </c>
      <c r="AB1176" s="81" t="s">
        <v>58</v>
      </c>
      <c r="AC1176" s="83">
        <v>46119</v>
      </c>
    </row>
    <row r="1177" spans="2:29" ht="23" x14ac:dyDescent="0.35">
      <c r="B1177" s="81" t="s">
        <v>338</v>
      </c>
      <c r="C1177" s="81" t="s">
        <v>339</v>
      </c>
      <c r="D1177" s="81" t="s">
        <v>340</v>
      </c>
      <c r="E1177" s="81" t="s">
        <v>715</v>
      </c>
      <c r="F1177" s="162" t="s">
        <v>716</v>
      </c>
      <c r="G1177" s="163"/>
      <c r="H1177" s="81" t="s">
        <v>1605</v>
      </c>
      <c r="I1177" s="81" t="s">
        <v>1436</v>
      </c>
      <c r="J1177" s="81" t="s">
        <v>154</v>
      </c>
      <c r="K1177" s="81" t="s">
        <v>1644</v>
      </c>
      <c r="L1177" s="81" t="s">
        <v>58</v>
      </c>
      <c r="M1177" s="164">
        <v>0.85808266600000005</v>
      </c>
      <c r="N1177" s="165"/>
      <c r="O1177" s="163"/>
      <c r="P1177" s="82">
        <v>23</v>
      </c>
      <c r="Q1177" s="164">
        <v>0</v>
      </c>
      <c r="R1177" s="163"/>
      <c r="S1177" s="81" t="s">
        <v>58</v>
      </c>
      <c r="T1177" s="82">
        <v>0</v>
      </c>
      <c r="U1177" s="82">
        <v>0</v>
      </c>
      <c r="V1177" s="82">
        <v>0</v>
      </c>
      <c r="W1177" s="82">
        <v>0</v>
      </c>
      <c r="X1177" s="81"/>
      <c r="Y1177" s="81"/>
      <c r="Z1177" s="81" t="s">
        <v>58</v>
      </c>
      <c r="AA1177" s="81" t="s">
        <v>58</v>
      </c>
      <c r="AB1177" s="81" t="s">
        <v>58</v>
      </c>
      <c r="AC1177" s="83">
        <v>46120</v>
      </c>
    </row>
    <row r="1178" spans="2:29" ht="23" x14ac:dyDescent="0.35">
      <c r="B1178" s="81" t="s">
        <v>338</v>
      </c>
      <c r="C1178" s="81" t="s">
        <v>339</v>
      </c>
      <c r="D1178" s="81" t="s">
        <v>340</v>
      </c>
      <c r="E1178" s="81" t="s">
        <v>715</v>
      </c>
      <c r="F1178" s="162" t="s">
        <v>716</v>
      </c>
      <c r="G1178" s="163"/>
      <c r="H1178" s="81" t="s">
        <v>1605</v>
      </c>
      <c r="I1178" s="81" t="s">
        <v>1436</v>
      </c>
      <c r="J1178" s="81" t="s">
        <v>154</v>
      </c>
      <c r="K1178" s="81" t="s">
        <v>1645</v>
      </c>
      <c r="L1178" s="81" t="s">
        <v>58</v>
      </c>
      <c r="M1178" s="164">
        <v>0.88416420600000001</v>
      </c>
      <c r="N1178" s="165"/>
      <c r="O1178" s="163"/>
      <c r="P1178" s="82">
        <v>23</v>
      </c>
      <c r="Q1178" s="164">
        <v>0</v>
      </c>
      <c r="R1178" s="163"/>
      <c r="S1178" s="81" t="s">
        <v>58</v>
      </c>
      <c r="T1178" s="82">
        <v>0</v>
      </c>
      <c r="U1178" s="82">
        <v>0</v>
      </c>
      <c r="V1178" s="82">
        <v>0</v>
      </c>
      <c r="W1178" s="82">
        <v>0</v>
      </c>
      <c r="X1178" s="81"/>
      <c r="Y1178" s="81"/>
      <c r="Z1178" s="81" t="s">
        <v>58</v>
      </c>
      <c r="AA1178" s="81" t="s">
        <v>58</v>
      </c>
      <c r="AB1178" s="81" t="s">
        <v>58</v>
      </c>
      <c r="AC1178" s="83">
        <v>46120</v>
      </c>
    </row>
    <row r="1179" spans="2:29" ht="23" x14ac:dyDescent="0.35">
      <c r="B1179" s="81" t="s">
        <v>338</v>
      </c>
      <c r="C1179" s="81" t="s">
        <v>339</v>
      </c>
      <c r="D1179" s="81" t="s">
        <v>340</v>
      </c>
      <c r="E1179" s="81" t="s">
        <v>715</v>
      </c>
      <c r="F1179" s="162" t="s">
        <v>716</v>
      </c>
      <c r="G1179" s="163"/>
      <c r="H1179" s="81" t="s">
        <v>1605</v>
      </c>
      <c r="I1179" s="81" t="s">
        <v>1436</v>
      </c>
      <c r="J1179" s="81" t="s">
        <v>154</v>
      </c>
      <c r="K1179" s="81" t="s">
        <v>1646</v>
      </c>
      <c r="L1179" s="81" t="s">
        <v>58</v>
      </c>
      <c r="M1179" s="164">
        <v>0.73277787599999999</v>
      </c>
      <c r="N1179" s="165"/>
      <c r="O1179" s="163"/>
      <c r="P1179" s="82">
        <v>18</v>
      </c>
      <c r="Q1179" s="164">
        <v>0</v>
      </c>
      <c r="R1179" s="163"/>
      <c r="S1179" s="81" t="s">
        <v>58</v>
      </c>
      <c r="T1179" s="82">
        <v>0</v>
      </c>
      <c r="U1179" s="82">
        <v>0</v>
      </c>
      <c r="V1179" s="82">
        <v>0</v>
      </c>
      <c r="W1179" s="82">
        <v>0</v>
      </c>
      <c r="X1179" s="81"/>
      <c r="Y1179" s="81"/>
      <c r="Z1179" s="81" t="s">
        <v>58</v>
      </c>
      <c r="AA1179" s="81" t="s">
        <v>58</v>
      </c>
      <c r="AB1179" s="81" t="s">
        <v>58</v>
      </c>
      <c r="AC1179" s="83">
        <v>46120</v>
      </c>
    </row>
    <row r="1180" spans="2:29" ht="23" x14ac:dyDescent="0.35">
      <c r="B1180" s="81" t="s">
        <v>338</v>
      </c>
      <c r="C1180" s="81" t="s">
        <v>339</v>
      </c>
      <c r="D1180" s="81" t="s">
        <v>340</v>
      </c>
      <c r="E1180" s="81" t="s">
        <v>715</v>
      </c>
      <c r="F1180" s="162" t="s">
        <v>716</v>
      </c>
      <c r="G1180" s="163"/>
      <c r="H1180" s="81" t="s">
        <v>1605</v>
      </c>
      <c r="I1180" s="81" t="s">
        <v>1436</v>
      </c>
      <c r="J1180" s="81" t="s">
        <v>154</v>
      </c>
      <c r="K1180" s="81" t="s">
        <v>1647</v>
      </c>
      <c r="L1180" s="81" t="s">
        <v>58</v>
      </c>
      <c r="M1180" s="164">
        <v>0.64424238749999996</v>
      </c>
      <c r="N1180" s="165"/>
      <c r="O1180" s="163"/>
      <c r="P1180" s="82">
        <v>15</v>
      </c>
      <c r="Q1180" s="164">
        <v>0</v>
      </c>
      <c r="R1180" s="163"/>
      <c r="S1180" s="81" t="s">
        <v>58</v>
      </c>
      <c r="T1180" s="82">
        <v>0</v>
      </c>
      <c r="U1180" s="82">
        <v>0</v>
      </c>
      <c r="V1180" s="82">
        <v>0</v>
      </c>
      <c r="W1180" s="82">
        <v>0</v>
      </c>
      <c r="X1180" s="81"/>
      <c r="Y1180" s="81"/>
      <c r="Z1180" s="81" t="s">
        <v>58</v>
      </c>
      <c r="AA1180" s="81" t="s">
        <v>58</v>
      </c>
      <c r="AB1180" s="81" t="s">
        <v>58</v>
      </c>
      <c r="AC1180" s="83">
        <v>46120</v>
      </c>
    </row>
    <row r="1181" spans="2:29" ht="23" x14ac:dyDescent="0.35">
      <c r="B1181" s="81" t="s">
        <v>338</v>
      </c>
      <c r="C1181" s="81" t="s">
        <v>339</v>
      </c>
      <c r="D1181" s="81" t="s">
        <v>340</v>
      </c>
      <c r="E1181" s="81" t="s">
        <v>715</v>
      </c>
      <c r="F1181" s="162" t="s">
        <v>716</v>
      </c>
      <c r="G1181" s="163"/>
      <c r="H1181" s="81" t="s">
        <v>1648</v>
      </c>
      <c r="I1181" s="81" t="s">
        <v>1476</v>
      </c>
      <c r="J1181" s="81" t="s">
        <v>153</v>
      </c>
      <c r="K1181" s="81" t="s">
        <v>1649</v>
      </c>
      <c r="L1181" s="81" t="s">
        <v>58</v>
      </c>
      <c r="M1181" s="164">
        <v>2.24074448</v>
      </c>
      <c r="N1181" s="165"/>
      <c r="O1181" s="163"/>
      <c r="P1181" s="82">
        <v>208</v>
      </c>
      <c r="Q1181" s="164">
        <v>0</v>
      </c>
      <c r="R1181" s="163"/>
      <c r="S1181" s="81" t="s">
        <v>58</v>
      </c>
      <c r="T1181" s="82">
        <v>0</v>
      </c>
      <c r="U1181" s="82">
        <v>0</v>
      </c>
      <c r="V1181" s="82">
        <v>0</v>
      </c>
      <c r="W1181" s="82">
        <v>0</v>
      </c>
      <c r="X1181" s="81"/>
      <c r="Y1181" s="81"/>
      <c r="Z1181" s="81" t="s">
        <v>58</v>
      </c>
      <c r="AA1181" s="81" t="s">
        <v>58</v>
      </c>
      <c r="AB1181" s="81" t="s">
        <v>58</v>
      </c>
      <c r="AC1181" s="83">
        <v>46116</v>
      </c>
    </row>
    <row r="1182" spans="2:29" ht="23" x14ac:dyDescent="0.35">
      <c r="B1182" s="81" t="s">
        <v>338</v>
      </c>
      <c r="C1182" s="81" t="s">
        <v>339</v>
      </c>
      <c r="D1182" s="81" t="s">
        <v>340</v>
      </c>
      <c r="E1182" s="81" t="s">
        <v>715</v>
      </c>
      <c r="F1182" s="162" t="s">
        <v>716</v>
      </c>
      <c r="G1182" s="163"/>
      <c r="H1182" s="81" t="s">
        <v>1648</v>
      </c>
      <c r="I1182" s="81" t="s">
        <v>1476</v>
      </c>
      <c r="J1182" s="81" t="s">
        <v>153</v>
      </c>
      <c r="K1182" s="81" t="s">
        <v>1650</v>
      </c>
      <c r="L1182" s="81" t="s">
        <v>58</v>
      </c>
      <c r="M1182" s="164">
        <v>4.4225219999999998</v>
      </c>
      <c r="N1182" s="165"/>
      <c r="O1182" s="163"/>
      <c r="P1182" s="82">
        <v>400</v>
      </c>
      <c r="Q1182" s="164">
        <v>0</v>
      </c>
      <c r="R1182" s="163"/>
      <c r="S1182" s="81" t="s">
        <v>58</v>
      </c>
      <c r="T1182" s="82">
        <v>0</v>
      </c>
      <c r="U1182" s="82">
        <v>0</v>
      </c>
      <c r="V1182" s="82">
        <v>0</v>
      </c>
      <c r="W1182" s="82">
        <v>0</v>
      </c>
      <c r="X1182" s="81"/>
      <c r="Y1182" s="81"/>
      <c r="Z1182" s="81" t="s">
        <v>58</v>
      </c>
      <c r="AA1182" s="81" t="s">
        <v>58</v>
      </c>
      <c r="AB1182" s="81" t="s">
        <v>58</v>
      </c>
      <c r="AC1182" s="83">
        <v>46116</v>
      </c>
    </row>
    <row r="1183" spans="2:29" ht="23" x14ac:dyDescent="0.35">
      <c r="B1183" s="81" t="s">
        <v>338</v>
      </c>
      <c r="C1183" s="81" t="s">
        <v>339</v>
      </c>
      <c r="D1183" s="81" t="s">
        <v>340</v>
      </c>
      <c r="E1183" s="81" t="s">
        <v>715</v>
      </c>
      <c r="F1183" s="162" t="s">
        <v>716</v>
      </c>
      <c r="G1183" s="163"/>
      <c r="H1183" s="81" t="s">
        <v>1648</v>
      </c>
      <c r="I1183" s="81" t="s">
        <v>1476</v>
      </c>
      <c r="J1183" s="81" t="s">
        <v>153</v>
      </c>
      <c r="K1183" s="81" t="s">
        <v>1651</v>
      </c>
      <c r="L1183" s="81" t="s">
        <v>58</v>
      </c>
      <c r="M1183" s="164">
        <v>4.4225219999999998</v>
      </c>
      <c r="N1183" s="165"/>
      <c r="O1183" s="163"/>
      <c r="P1183" s="82">
        <v>400</v>
      </c>
      <c r="Q1183" s="164">
        <v>0</v>
      </c>
      <c r="R1183" s="163"/>
      <c r="S1183" s="81" t="s">
        <v>58</v>
      </c>
      <c r="T1183" s="82">
        <v>0</v>
      </c>
      <c r="U1183" s="82">
        <v>0</v>
      </c>
      <c r="V1183" s="82">
        <v>0</v>
      </c>
      <c r="W1183" s="82">
        <v>0</v>
      </c>
      <c r="X1183" s="81"/>
      <c r="Y1183" s="81"/>
      <c r="Z1183" s="81" t="s">
        <v>58</v>
      </c>
      <c r="AA1183" s="81" t="s">
        <v>58</v>
      </c>
      <c r="AB1183" s="81" t="s">
        <v>58</v>
      </c>
      <c r="AC1183" s="83">
        <v>46116</v>
      </c>
    </row>
    <row r="1184" spans="2:29" ht="23" x14ac:dyDescent="0.35">
      <c r="B1184" s="81" t="s">
        <v>338</v>
      </c>
      <c r="C1184" s="81" t="s">
        <v>339</v>
      </c>
      <c r="D1184" s="81" t="s">
        <v>340</v>
      </c>
      <c r="E1184" s="81" t="s">
        <v>715</v>
      </c>
      <c r="F1184" s="162" t="s">
        <v>716</v>
      </c>
      <c r="G1184" s="163"/>
      <c r="H1184" s="81" t="s">
        <v>1648</v>
      </c>
      <c r="I1184" s="81" t="s">
        <v>1476</v>
      </c>
      <c r="J1184" s="81" t="s">
        <v>153</v>
      </c>
      <c r="K1184" s="81" t="s">
        <v>1652</v>
      </c>
      <c r="L1184" s="81" t="s">
        <v>58</v>
      </c>
      <c r="M1184" s="164">
        <v>0.44225219999999998</v>
      </c>
      <c r="N1184" s="165"/>
      <c r="O1184" s="163"/>
      <c r="P1184" s="82">
        <v>40</v>
      </c>
      <c r="Q1184" s="164">
        <v>0</v>
      </c>
      <c r="R1184" s="163"/>
      <c r="S1184" s="81" t="s">
        <v>58</v>
      </c>
      <c r="T1184" s="82">
        <v>0</v>
      </c>
      <c r="U1184" s="82">
        <v>0</v>
      </c>
      <c r="V1184" s="82">
        <v>0</v>
      </c>
      <c r="W1184" s="82">
        <v>0</v>
      </c>
      <c r="X1184" s="81"/>
      <c r="Y1184" s="81"/>
      <c r="Z1184" s="81" t="s">
        <v>58</v>
      </c>
      <c r="AA1184" s="81" t="s">
        <v>58</v>
      </c>
      <c r="AB1184" s="81" t="s">
        <v>58</v>
      </c>
      <c r="AC1184" s="83">
        <v>46116</v>
      </c>
    </row>
    <row r="1185" spans="2:29" ht="23" x14ac:dyDescent="0.35">
      <c r="B1185" s="81" t="s">
        <v>338</v>
      </c>
      <c r="C1185" s="81" t="s">
        <v>339</v>
      </c>
      <c r="D1185" s="81" t="s">
        <v>340</v>
      </c>
      <c r="E1185" s="81" t="s">
        <v>715</v>
      </c>
      <c r="F1185" s="162" t="s">
        <v>716</v>
      </c>
      <c r="G1185" s="163"/>
      <c r="H1185" s="81" t="s">
        <v>1648</v>
      </c>
      <c r="I1185" s="81" t="s">
        <v>1476</v>
      </c>
      <c r="J1185" s="81" t="s">
        <v>153</v>
      </c>
      <c r="K1185" s="81" t="s">
        <v>1653</v>
      </c>
      <c r="L1185" s="81" t="s">
        <v>58</v>
      </c>
      <c r="M1185" s="164">
        <v>4.53592</v>
      </c>
      <c r="N1185" s="165"/>
      <c r="O1185" s="163"/>
      <c r="P1185" s="82">
        <v>400</v>
      </c>
      <c r="Q1185" s="164">
        <v>0</v>
      </c>
      <c r="R1185" s="163"/>
      <c r="S1185" s="81" t="s">
        <v>58</v>
      </c>
      <c r="T1185" s="82">
        <v>0</v>
      </c>
      <c r="U1185" s="82">
        <v>0</v>
      </c>
      <c r="V1185" s="82">
        <v>0</v>
      </c>
      <c r="W1185" s="82">
        <v>0</v>
      </c>
      <c r="X1185" s="81"/>
      <c r="Y1185" s="81"/>
      <c r="Z1185" s="81" t="s">
        <v>58</v>
      </c>
      <c r="AA1185" s="81" t="s">
        <v>58</v>
      </c>
      <c r="AB1185" s="81" t="s">
        <v>58</v>
      </c>
      <c r="AC1185" s="83">
        <v>46115</v>
      </c>
    </row>
    <row r="1186" spans="2:29" ht="23" x14ac:dyDescent="0.35">
      <c r="B1186" s="81" t="s">
        <v>338</v>
      </c>
      <c r="C1186" s="81" t="s">
        <v>339</v>
      </c>
      <c r="D1186" s="81" t="s">
        <v>340</v>
      </c>
      <c r="E1186" s="81" t="s">
        <v>715</v>
      </c>
      <c r="F1186" s="162" t="s">
        <v>716</v>
      </c>
      <c r="G1186" s="163"/>
      <c r="H1186" s="81" t="s">
        <v>1648</v>
      </c>
      <c r="I1186" s="81" t="s">
        <v>1476</v>
      </c>
      <c r="J1186" s="81" t="s">
        <v>153</v>
      </c>
      <c r="K1186" s="81" t="s">
        <v>1654</v>
      </c>
      <c r="L1186" s="81" t="s">
        <v>58</v>
      </c>
      <c r="M1186" s="164">
        <v>4.53592</v>
      </c>
      <c r="N1186" s="165"/>
      <c r="O1186" s="163"/>
      <c r="P1186" s="82">
        <v>400</v>
      </c>
      <c r="Q1186" s="164">
        <v>0</v>
      </c>
      <c r="R1186" s="163"/>
      <c r="S1186" s="81" t="s">
        <v>58</v>
      </c>
      <c r="T1186" s="82">
        <v>0</v>
      </c>
      <c r="U1186" s="82">
        <v>0</v>
      </c>
      <c r="V1186" s="82">
        <v>0</v>
      </c>
      <c r="W1186" s="82">
        <v>0</v>
      </c>
      <c r="X1186" s="81"/>
      <c r="Y1186" s="81"/>
      <c r="Z1186" s="81" t="s">
        <v>58</v>
      </c>
      <c r="AA1186" s="81" t="s">
        <v>58</v>
      </c>
      <c r="AB1186" s="81" t="s">
        <v>58</v>
      </c>
      <c r="AC1186" s="83">
        <v>46115</v>
      </c>
    </row>
    <row r="1187" spans="2:29" ht="23" x14ac:dyDescent="0.35">
      <c r="B1187" s="81" t="s">
        <v>338</v>
      </c>
      <c r="C1187" s="81" t="s">
        <v>339</v>
      </c>
      <c r="D1187" s="81" t="s">
        <v>340</v>
      </c>
      <c r="E1187" s="81" t="s">
        <v>715</v>
      </c>
      <c r="F1187" s="162" t="s">
        <v>716</v>
      </c>
      <c r="G1187" s="163"/>
      <c r="H1187" s="81" t="s">
        <v>1648</v>
      </c>
      <c r="I1187" s="81" t="s">
        <v>1476</v>
      </c>
      <c r="J1187" s="81" t="s">
        <v>153</v>
      </c>
      <c r="K1187" s="81" t="s">
        <v>1655</v>
      </c>
      <c r="L1187" s="81" t="s">
        <v>58</v>
      </c>
      <c r="M1187" s="164">
        <v>4.53592</v>
      </c>
      <c r="N1187" s="165"/>
      <c r="O1187" s="163"/>
      <c r="P1187" s="82">
        <v>400</v>
      </c>
      <c r="Q1187" s="164">
        <v>0</v>
      </c>
      <c r="R1187" s="163"/>
      <c r="S1187" s="81" t="s">
        <v>58</v>
      </c>
      <c r="T1187" s="82">
        <v>0</v>
      </c>
      <c r="U1187" s="82">
        <v>0</v>
      </c>
      <c r="V1187" s="82">
        <v>0</v>
      </c>
      <c r="W1187" s="82">
        <v>0</v>
      </c>
      <c r="X1187" s="81"/>
      <c r="Y1187" s="81"/>
      <c r="Z1187" s="81" t="s">
        <v>58</v>
      </c>
      <c r="AA1187" s="81" t="s">
        <v>58</v>
      </c>
      <c r="AB1187" s="81" t="s">
        <v>58</v>
      </c>
      <c r="AC1187" s="83">
        <v>46115</v>
      </c>
    </row>
    <row r="1188" spans="2:29" ht="23" x14ac:dyDescent="0.35">
      <c r="B1188" s="81" t="s">
        <v>338</v>
      </c>
      <c r="C1188" s="81" t="s">
        <v>339</v>
      </c>
      <c r="D1188" s="81" t="s">
        <v>340</v>
      </c>
      <c r="E1188" s="81" t="s">
        <v>715</v>
      </c>
      <c r="F1188" s="162" t="s">
        <v>716</v>
      </c>
      <c r="G1188" s="163"/>
      <c r="H1188" s="81" t="s">
        <v>1648</v>
      </c>
      <c r="I1188" s="81" t="s">
        <v>1476</v>
      </c>
      <c r="J1188" s="81" t="s">
        <v>153</v>
      </c>
      <c r="K1188" s="81" t="s">
        <v>1656</v>
      </c>
      <c r="L1188" s="81" t="s">
        <v>58</v>
      </c>
      <c r="M1188" s="164">
        <v>4.53592</v>
      </c>
      <c r="N1188" s="165"/>
      <c r="O1188" s="163"/>
      <c r="P1188" s="82">
        <v>400</v>
      </c>
      <c r="Q1188" s="164">
        <v>0</v>
      </c>
      <c r="R1188" s="163"/>
      <c r="S1188" s="81" t="s">
        <v>58</v>
      </c>
      <c r="T1188" s="82">
        <v>0</v>
      </c>
      <c r="U1188" s="82">
        <v>0</v>
      </c>
      <c r="V1188" s="82">
        <v>0</v>
      </c>
      <c r="W1188" s="82">
        <v>0</v>
      </c>
      <c r="X1188" s="81"/>
      <c r="Y1188" s="81"/>
      <c r="Z1188" s="81" t="s">
        <v>58</v>
      </c>
      <c r="AA1188" s="81" t="s">
        <v>58</v>
      </c>
      <c r="AB1188" s="81" t="s">
        <v>58</v>
      </c>
      <c r="AC1188" s="83">
        <v>46115</v>
      </c>
    </row>
    <row r="1189" spans="2:29" ht="23" x14ac:dyDescent="0.35">
      <c r="B1189" s="81" t="s">
        <v>338</v>
      </c>
      <c r="C1189" s="81" t="s">
        <v>339</v>
      </c>
      <c r="D1189" s="81" t="s">
        <v>340</v>
      </c>
      <c r="E1189" s="81" t="s">
        <v>715</v>
      </c>
      <c r="F1189" s="162" t="s">
        <v>716</v>
      </c>
      <c r="G1189" s="163"/>
      <c r="H1189" s="81" t="s">
        <v>1648</v>
      </c>
      <c r="I1189" s="81" t="s">
        <v>1476</v>
      </c>
      <c r="J1189" s="81" t="s">
        <v>153</v>
      </c>
      <c r="K1189" s="81" t="s">
        <v>1657</v>
      </c>
      <c r="L1189" s="81" t="s">
        <v>58</v>
      </c>
      <c r="M1189" s="164">
        <v>4.53592</v>
      </c>
      <c r="N1189" s="165"/>
      <c r="O1189" s="163"/>
      <c r="P1189" s="82">
        <v>400</v>
      </c>
      <c r="Q1189" s="164">
        <v>0</v>
      </c>
      <c r="R1189" s="163"/>
      <c r="S1189" s="81" t="s">
        <v>58</v>
      </c>
      <c r="T1189" s="82">
        <v>0</v>
      </c>
      <c r="U1189" s="82">
        <v>0</v>
      </c>
      <c r="V1189" s="82">
        <v>0</v>
      </c>
      <c r="W1189" s="82">
        <v>0</v>
      </c>
      <c r="X1189" s="81"/>
      <c r="Y1189" s="81"/>
      <c r="Z1189" s="81" t="s">
        <v>58</v>
      </c>
      <c r="AA1189" s="81" t="s">
        <v>58</v>
      </c>
      <c r="AB1189" s="81" t="s">
        <v>58</v>
      </c>
      <c r="AC1189" s="83">
        <v>46115</v>
      </c>
    </row>
    <row r="1190" spans="2:29" ht="23" x14ac:dyDescent="0.35">
      <c r="B1190" s="81" t="s">
        <v>338</v>
      </c>
      <c r="C1190" s="81" t="s">
        <v>339</v>
      </c>
      <c r="D1190" s="81" t="s">
        <v>340</v>
      </c>
      <c r="E1190" s="81" t="s">
        <v>715</v>
      </c>
      <c r="F1190" s="162" t="s">
        <v>716</v>
      </c>
      <c r="G1190" s="163"/>
      <c r="H1190" s="81" t="s">
        <v>1648</v>
      </c>
      <c r="I1190" s="81" t="s">
        <v>1476</v>
      </c>
      <c r="J1190" s="81" t="s">
        <v>153</v>
      </c>
      <c r="K1190" s="81" t="s">
        <v>1658</v>
      </c>
      <c r="L1190" s="81" t="s">
        <v>58</v>
      </c>
      <c r="M1190" s="164">
        <v>4.53592</v>
      </c>
      <c r="N1190" s="165"/>
      <c r="O1190" s="163"/>
      <c r="P1190" s="82">
        <v>400</v>
      </c>
      <c r="Q1190" s="164">
        <v>0</v>
      </c>
      <c r="R1190" s="163"/>
      <c r="S1190" s="81" t="s">
        <v>58</v>
      </c>
      <c r="T1190" s="82">
        <v>0</v>
      </c>
      <c r="U1190" s="82">
        <v>0</v>
      </c>
      <c r="V1190" s="82">
        <v>0</v>
      </c>
      <c r="W1190" s="82">
        <v>0</v>
      </c>
      <c r="X1190" s="81"/>
      <c r="Y1190" s="81"/>
      <c r="Z1190" s="81" t="s">
        <v>58</v>
      </c>
      <c r="AA1190" s="81" t="s">
        <v>58</v>
      </c>
      <c r="AB1190" s="81" t="s">
        <v>58</v>
      </c>
      <c r="AC1190" s="83">
        <v>46115</v>
      </c>
    </row>
    <row r="1191" spans="2:29" ht="23" x14ac:dyDescent="0.35">
      <c r="B1191" s="81" t="s">
        <v>338</v>
      </c>
      <c r="C1191" s="81" t="s">
        <v>339</v>
      </c>
      <c r="D1191" s="81" t="s">
        <v>340</v>
      </c>
      <c r="E1191" s="81" t="s">
        <v>715</v>
      </c>
      <c r="F1191" s="162" t="s">
        <v>716</v>
      </c>
      <c r="G1191" s="163"/>
      <c r="H1191" s="81" t="s">
        <v>1648</v>
      </c>
      <c r="I1191" s="81" t="s">
        <v>1476</v>
      </c>
      <c r="J1191" s="81" t="s">
        <v>153</v>
      </c>
      <c r="K1191" s="81" t="s">
        <v>1659</v>
      </c>
      <c r="L1191" s="81" t="s">
        <v>58</v>
      </c>
      <c r="M1191" s="164">
        <v>4.53592</v>
      </c>
      <c r="N1191" s="165"/>
      <c r="O1191" s="163"/>
      <c r="P1191" s="82">
        <v>400</v>
      </c>
      <c r="Q1191" s="164">
        <v>0</v>
      </c>
      <c r="R1191" s="163"/>
      <c r="S1191" s="81" t="s">
        <v>58</v>
      </c>
      <c r="T1191" s="82">
        <v>0</v>
      </c>
      <c r="U1191" s="82">
        <v>0</v>
      </c>
      <c r="V1191" s="82">
        <v>0</v>
      </c>
      <c r="W1191" s="82">
        <v>0</v>
      </c>
      <c r="X1191" s="81"/>
      <c r="Y1191" s="81"/>
      <c r="Z1191" s="81" t="s">
        <v>58</v>
      </c>
      <c r="AA1191" s="81" t="s">
        <v>58</v>
      </c>
      <c r="AB1191" s="81" t="s">
        <v>58</v>
      </c>
      <c r="AC1191" s="83">
        <v>46115</v>
      </c>
    </row>
    <row r="1192" spans="2:29" ht="23" x14ac:dyDescent="0.35">
      <c r="B1192" s="81" t="s">
        <v>338</v>
      </c>
      <c r="C1192" s="81" t="s">
        <v>339</v>
      </c>
      <c r="D1192" s="81" t="s">
        <v>340</v>
      </c>
      <c r="E1192" s="81" t="s">
        <v>715</v>
      </c>
      <c r="F1192" s="162" t="s">
        <v>716</v>
      </c>
      <c r="G1192" s="163"/>
      <c r="H1192" s="81" t="s">
        <v>1648</v>
      </c>
      <c r="I1192" s="81" t="s">
        <v>1476</v>
      </c>
      <c r="J1192" s="81" t="s">
        <v>153</v>
      </c>
      <c r="K1192" s="81" t="s">
        <v>1660</v>
      </c>
      <c r="L1192" s="81" t="s">
        <v>58</v>
      </c>
      <c r="M1192" s="164">
        <v>4.53592</v>
      </c>
      <c r="N1192" s="165"/>
      <c r="O1192" s="163"/>
      <c r="P1192" s="82">
        <v>400</v>
      </c>
      <c r="Q1192" s="164">
        <v>0</v>
      </c>
      <c r="R1192" s="163"/>
      <c r="S1192" s="81" t="s">
        <v>58</v>
      </c>
      <c r="T1192" s="82">
        <v>0</v>
      </c>
      <c r="U1192" s="82">
        <v>0</v>
      </c>
      <c r="V1192" s="82">
        <v>0</v>
      </c>
      <c r="W1192" s="82">
        <v>0</v>
      </c>
      <c r="X1192" s="81"/>
      <c r="Y1192" s="81"/>
      <c r="Z1192" s="81" t="s">
        <v>58</v>
      </c>
      <c r="AA1192" s="81" t="s">
        <v>58</v>
      </c>
      <c r="AB1192" s="81" t="s">
        <v>58</v>
      </c>
      <c r="AC1192" s="83">
        <v>46115</v>
      </c>
    </row>
    <row r="1193" spans="2:29" ht="23" x14ac:dyDescent="0.35">
      <c r="B1193" s="81" t="s">
        <v>338</v>
      </c>
      <c r="C1193" s="81" t="s">
        <v>339</v>
      </c>
      <c r="D1193" s="81" t="s">
        <v>340</v>
      </c>
      <c r="E1193" s="81" t="s">
        <v>715</v>
      </c>
      <c r="F1193" s="162" t="s">
        <v>716</v>
      </c>
      <c r="G1193" s="163"/>
      <c r="H1193" s="81" t="s">
        <v>1648</v>
      </c>
      <c r="I1193" s="81" t="s">
        <v>1476</v>
      </c>
      <c r="J1193" s="81" t="s">
        <v>153</v>
      </c>
      <c r="K1193" s="81" t="s">
        <v>1661</v>
      </c>
      <c r="L1193" s="81" t="s">
        <v>58</v>
      </c>
      <c r="M1193" s="164">
        <v>1.2020188000000001</v>
      </c>
      <c r="N1193" s="165"/>
      <c r="O1193" s="163"/>
      <c r="P1193" s="82">
        <v>106</v>
      </c>
      <c r="Q1193" s="164">
        <v>0</v>
      </c>
      <c r="R1193" s="163"/>
      <c r="S1193" s="81" t="s">
        <v>58</v>
      </c>
      <c r="T1193" s="82">
        <v>0</v>
      </c>
      <c r="U1193" s="82">
        <v>0</v>
      </c>
      <c r="V1193" s="82">
        <v>0</v>
      </c>
      <c r="W1193" s="82">
        <v>0</v>
      </c>
      <c r="X1193" s="81"/>
      <c r="Y1193" s="81"/>
      <c r="Z1193" s="81" t="s">
        <v>58</v>
      </c>
      <c r="AA1193" s="81" t="s">
        <v>58</v>
      </c>
      <c r="AB1193" s="81" t="s">
        <v>58</v>
      </c>
      <c r="AC1193" s="83">
        <v>46115</v>
      </c>
    </row>
    <row r="1194" spans="2:29" ht="23" x14ac:dyDescent="0.35">
      <c r="B1194" s="81" t="s">
        <v>338</v>
      </c>
      <c r="C1194" s="81" t="s">
        <v>339</v>
      </c>
      <c r="D1194" s="81" t="s">
        <v>340</v>
      </c>
      <c r="E1194" s="81" t="s">
        <v>715</v>
      </c>
      <c r="F1194" s="162" t="s">
        <v>716</v>
      </c>
      <c r="G1194" s="163"/>
      <c r="H1194" s="81" t="s">
        <v>1648</v>
      </c>
      <c r="I1194" s="81" t="s">
        <v>1476</v>
      </c>
      <c r="J1194" s="81" t="s">
        <v>153</v>
      </c>
      <c r="K1194" s="81" t="s">
        <v>1662</v>
      </c>
      <c r="L1194" s="81" t="s">
        <v>58</v>
      </c>
      <c r="M1194" s="164">
        <v>4.6493180000000001</v>
      </c>
      <c r="N1194" s="165"/>
      <c r="O1194" s="163"/>
      <c r="P1194" s="82">
        <v>400</v>
      </c>
      <c r="Q1194" s="164">
        <v>0</v>
      </c>
      <c r="R1194" s="163"/>
      <c r="S1194" s="81" t="s">
        <v>58</v>
      </c>
      <c r="T1194" s="82">
        <v>0</v>
      </c>
      <c r="U1194" s="82">
        <v>0</v>
      </c>
      <c r="V1194" s="82">
        <v>0</v>
      </c>
      <c r="W1194" s="82">
        <v>0</v>
      </c>
      <c r="X1194" s="81"/>
      <c r="Y1194" s="81"/>
      <c r="Z1194" s="81" t="s">
        <v>58</v>
      </c>
      <c r="AA1194" s="81" t="s">
        <v>58</v>
      </c>
      <c r="AB1194" s="81" t="s">
        <v>58</v>
      </c>
      <c r="AC1194" s="83">
        <v>46115</v>
      </c>
    </row>
    <row r="1195" spans="2:29" ht="23" x14ac:dyDescent="0.35">
      <c r="B1195" s="81" t="s">
        <v>338</v>
      </c>
      <c r="C1195" s="81" t="s">
        <v>339</v>
      </c>
      <c r="D1195" s="81" t="s">
        <v>340</v>
      </c>
      <c r="E1195" s="81" t="s">
        <v>715</v>
      </c>
      <c r="F1195" s="162" t="s">
        <v>716</v>
      </c>
      <c r="G1195" s="163"/>
      <c r="H1195" s="81" t="s">
        <v>1648</v>
      </c>
      <c r="I1195" s="81" t="s">
        <v>1476</v>
      </c>
      <c r="J1195" s="81" t="s">
        <v>153</v>
      </c>
      <c r="K1195" s="81" t="s">
        <v>1663</v>
      </c>
      <c r="L1195" s="81" t="s">
        <v>58</v>
      </c>
      <c r="M1195" s="164">
        <v>4.6493180000000001</v>
      </c>
      <c r="N1195" s="165"/>
      <c r="O1195" s="163"/>
      <c r="P1195" s="82">
        <v>400</v>
      </c>
      <c r="Q1195" s="164">
        <v>0</v>
      </c>
      <c r="R1195" s="163"/>
      <c r="S1195" s="81" t="s">
        <v>58</v>
      </c>
      <c r="T1195" s="82">
        <v>0</v>
      </c>
      <c r="U1195" s="82">
        <v>0</v>
      </c>
      <c r="V1195" s="82">
        <v>0</v>
      </c>
      <c r="W1195" s="82">
        <v>0</v>
      </c>
      <c r="X1195" s="81"/>
      <c r="Y1195" s="81"/>
      <c r="Z1195" s="81" t="s">
        <v>58</v>
      </c>
      <c r="AA1195" s="81" t="s">
        <v>58</v>
      </c>
      <c r="AB1195" s="81" t="s">
        <v>58</v>
      </c>
      <c r="AC1195" s="83">
        <v>46115</v>
      </c>
    </row>
    <row r="1196" spans="2:29" ht="23" x14ac:dyDescent="0.35">
      <c r="B1196" s="81" t="s">
        <v>338</v>
      </c>
      <c r="C1196" s="81" t="s">
        <v>339</v>
      </c>
      <c r="D1196" s="81" t="s">
        <v>340</v>
      </c>
      <c r="E1196" s="81" t="s">
        <v>715</v>
      </c>
      <c r="F1196" s="162" t="s">
        <v>716</v>
      </c>
      <c r="G1196" s="163"/>
      <c r="H1196" s="81" t="s">
        <v>1648</v>
      </c>
      <c r="I1196" s="81" t="s">
        <v>1476</v>
      </c>
      <c r="J1196" s="81" t="s">
        <v>153</v>
      </c>
      <c r="K1196" s="81" t="s">
        <v>1664</v>
      </c>
      <c r="L1196" s="81" t="s">
        <v>58</v>
      </c>
      <c r="M1196" s="164">
        <v>4.6493180000000001</v>
      </c>
      <c r="N1196" s="165"/>
      <c r="O1196" s="163"/>
      <c r="P1196" s="82">
        <v>400</v>
      </c>
      <c r="Q1196" s="164">
        <v>0</v>
      </c>
      <c r="R1196" s="163"/>
      <c r="S1196" s="81" t="s">
        <v>58</v>
      </c>
      <c r="T1196" s="82">
        <v>0</v>
      </c>
      <c r="U1196" s="82">
        <v>0</v>
      </c>
      <c r="V1196" s="82">
        <v>0</v>
      </c>
      <c r="W1196" s="82">
        <v>0</v>
      </c>
      <c r="X1196" s="81"/>
      <c r="Y1196" s="81"/>
      <c r="Z1196" s="81" t="s">
        <v>58</v>
      </c>
      <c r="AA1196" s="81" t="s">
        <v>58</v>
      </c>
      <c r="AB1196" s="81" t="s">
        <v>58</v>
      </c>
      <c r="AC1196" s="83">
        <v>46115</v>
      </c>
    </row>
    <row r="1197" spans="2:29" ht="23" x14ac:dyDescent="0.35">
      <c r="B1197" s="81" t="s">
        <v>338</v>
      </c>
      <c r="C1197" s="81" t="s">
        <v>339</v>
      </c>
      <c r="D1197" s="81" t="s">
        <v>340</v>
      </c>
      <c r="E1197" s="81" t="s">
        <v>715</v>
      </c>
      <c r="F1197" s="162" t="s">
        <v>716</v>
      </c>
      <c r="G1197" s="163"/>
      <c r="H1197" s="81" t="s">
        <v>1648</v>
      </c>
      <c r="I1197" s="81" t="s">
        <v>1476</v>
      </c>
      <c r="J1197" s="81" t="s">
        <v>153</v>
      </c>
      <c r="K1197" s="81" t="s">
        <v>1665</v>
      </c>
      <c r="L1197" s="81" t="s">
        <v>58</v>
      </c>
      <c r="M1197" s="164">
        <v>4.6493180000000001</v>
      </c>
      <c r="N1197" s="165"/>
      <c r="O1197" s="163"/>
      <c r="P1197" s="82">
        <v>400</v>
      </c>
      <c r="Q1197" s="164">
        <v>0</v>
      </c>
      <c r="R1197" s="163"/>
      <c r="S1197" s="81" t="s">
        <v>58</v>
      </c>
      <c r="T1197" s="82">
        <v>0</v>
      </c>
      <c r="U1197" s="82">
        <v>0</v>
      </c>
      <c r="V1197" s="82">
        <v>0</v>
      </c>
      <c r="W1197" s="82">
        <v>0</v>
      </c>
      <c r="X1197" s="81"/>
      <c r="Y1197" s="81"/>
      <c r="Z1197" s="81" t="s">
        <v>58</v>
      </c>
      <c r="AA1197" s="81" t="s">
        <v>58</v>
      </c>
      <c r="AB1197" s="81" t="s">
        <v>58</v>
      </c>
      <c r="AC1197" s="83">
        <v>46115</v>
      </c>
    </row>
    <row r="1198" spans="2:29" ht="23" x14ac:dyDescent="0.35">
      <c r="B1198" s="81" t="s">
        <v>338</v>
      </c>
      <c r="C1198" s="81" t="s">
        <v>339</v>
      </c>
      <c r="D1198" s="81" t="s">
        <v>340</v>
      </c>
      <c r="E1198" s="81" t="s">
        <v>715</v>
      </c>
      <c r="F1198" s="162" t="s">
        <v>716</v>
      </c>
      <c r="G1198" s="163"/>
      <c r="H1198" s="81" t="s">
        <v>1648</v>
      </c>
      <c r="I1198" s="81" t="s">
        <v>1476</v>
      </c>
      <c r="J1198" s="81" t="s">
        <v>153</v>
      </c>
      <c r="K1198" s="81" t="s">
        <v>1666</v>
      </c>
      <c r="L1198" s="81" t="s">
        <v>58</v>
      </c>
      <c r="M1198" s="164">
        <v>4.6493180000000001</v>
      </c>
      <c r="N1198" s="165"/>
      <c r="O1198" s="163"/>
      <c r="P1198" s="82">
        <v>400</v>
      </c>
      <c r="Q1198" s="164">
        <v>0</v>
      </c>
      <c r="R1198" s="163"/>
      <c r="S1198" s="81" t="s">
        <v>58</v>
      </c>
      <c r="T1198" s="82">
        <v>0</v>
      </c>
      <c r="U1198" s="82">
        <v>0</v>
      </c>
      <c r="V1198" s="82">
        <v>0</v>
      </c>
      <c r="W1198" s="82">
        <v>0</v>
      </c>
      <c r="X1198" s="81"/>
      <c r="Y1198" s="81"/>
      <c r="Z1198" s="81" t="s">
        <v>58</v>
      </c>
      <c r="AA1198" s="81" t="s">
        <v>58</v>
      </c>
      <c r="AB1198" s="81" t="s">
        <v>58</v>
      </c>
      <c r="AC1198" s="83">
        <v>46115</v>
      </c>
    </row>
    <row r="1199" spans="2:29" ht="23" x14ac:dyDescent="0.35">
      <c r="B1199" s="81" t="s">
        <v>338</v>
      </c>
      <c r="C1199" s="81" t="s">
        <v>339</v>
      </c>
      <c r="D1199" s="81" t="s">
        <v>340</v>
      </c>
      <c r="E1199" s="81" t="s">
        <v>715</v>
      </c>
      <c r="F1199" s="162" t="s">
        <v>716</v>
      </c>
      <c r="G1199" s="163"/>
      <c r="H1199" s="81" t="s">
        <v>1648</v>
      </c>
      <c r="I1199" s="81" t="s">
        <v>1476</v>
      </c>
      <c r="J1199" s="81" t="s">
        <v>153</v>
      </c>
      <c r="K1199" s="81" t="s">
        <v>1667</v>
      </c>
      <c r="L1199" s="81" t="s">
        <v>58</v>
      </c>
      <c r="M1199" s="164">
        <v>4.6493180000000001</v>
      </c>
      <c r="N1199" s="165"/>
      <c r="O1199" s="163"/>
      <c r="P1199" s="82">
        <v>400</v>
      </c>
      <c r="Q1199" s="164">
        <v>0</v>
      </c>
      <c r="R1199" s="163"/>
      <c r="S1199" s="81" t="s">
        <v>58</v>
      </c>
      <c r="T1199" s="82">
        <v>0</v>
      </c>
      <c r="U1199" s="82">
        <v>0</v>
      </c>
      <c r="V1199" s="82">
        <v>0</v>
      </c>
      <c r="W1199" s="82">
        <v>0</v>
      </c>
      <c r="X1199" s="81"/>
      <c r="Y1199" s="81"/>
      <c r="Z1199" s="81" t="s">
        <v>58</v>
      </c>
      <c r="AA1199" s="81" t="s">
        <v>58</v>
      </c>
      <c r="AB1199" s="81" t="s">
        <v>58</v>
      </c>
      <c r="AC1199" s="83">
        <v>46116</v>
      </c>
    </row>
    <row r="1200" spans="2:29" ht="23" x14ac:dyDescent="0.35">
      <c r="B1200" s="81" t="s">
        <v>338</v>
      </c>
      <c r="C1200" s="81" t="s">
        <v>339</v>
      </c>
      <c r="D1200" s="81" t="s">
        <v>340</v>
      </c>
      <c r="E1200" s="81" t="s">
        <v>715</v>
      </c>
      <c r="F1200" s="162" t="s">
        <v>716</v>
      </c>
      <c r="G1200" s="163"/>
      <c r="H1200" s="81" t="s">
        <v>1648</v>
      </c>
      <c r="I1200" s="81" t="s">
        <v>1476</v>
      </c>
      <c r="J1200" s="81" t="s">
        <v>153</v>
      </c>
      <c r="K1200" s="81" t="s">
        <v>1668</v>
      </c>
      <c r="L1200" s="81" t="s">
        <v>58</v>
      </c>
      <c r="M1200" s="164">
        <v>4.6493180000000001</v>
      </c>
      <c r="N1200" s="165"/>
      <c r="O1200" s="163"/>
      <c r="P1200" s="82">
        <v>400</v>
      </c>
      <c r="Q1200" s="164">
        <v>0</v>
      </c>
      <c r="R1200" s="163"/>
      <c r="S1200" s="81" t="s">
        <v>58</v>
      </c>
      <c r="T1200" s="82">
        <v>0</v>
      </c>
      <c r="U1200" s="82">
        <v>0</v>
      </c>
      <c r="V1200" s="82">
        <v>0</v>
      </c>
      <c r="W1200" s="82">
        <v>0</v>
      </c>
      <c r="X1200" s="81"/>
      <c r="Y1200" s="81"/>
      <c r="Z1200" s="81" t="s">
        <v>58</v>
      </c>
      <c r="AA1200" s="81" t="s">
        <v>58</v>
      </c>
      <c r="AB1200" s="81" t="s">
        <v>58</v>
      </c>
      <c r="AC1200" s="83">
        <v>46116</v>
      </c>
    </row>
    <row r="1201" spans="2:29" ht="23" x14ac:dyDescent="0.35">
      <c r="B1201" s="81" t="s">
        <v>338</v>
      </c>
      <c r="C1201" s="81" t="s">
        <v>339</v>
      </c>
      <c r="D1201" s="81" t="s">
        <v>340</v>
      </c>
      <c r="E1201" s="81" t="s">
        <v>715</v>
      </c>
      <c r="F1201" s="162" t="s">
        <v>716</v>
      </c>
      <c r="G1201" s="163"/>
      <c r="H1201" s="81" t="s">
        <v>1648</v>
      </c>
      <c r="I1201" s="81" t="s">
        <v>1476</v>
      </c>
      <c r="J1201" s="81" t="s">
        <v>153</v>
      </c>
      <c r="K1201" s="81" t="s">
        <v>1669</v>
      </c>
      <c r="L1201" s="81" t="s">
        <v>58</v>
      </c>
      <c r="M1201" s="164">
        <v>4.6493180000000001</v>
      </c>
      <c r="N1201" s="165"/>
      <c r="O1201" s="163"/>
      <c r="P1201" s="82">
        <v>400</v>
      </c>
      <c r="Q1201" s="164">
        <v>0</v>
      </c>
      <c r="R1201" s="163"/>
      <c r="S1201" s="81" t="s">
        <v>58</v>
      </c>
      <c r="T1201" s="82">
        <v>0</v>
      </c>
      <c r="U1201" s="82">
        <v>0</v>
      </c>
      <c r="V1201" s="82">
        <v>0</v>
      </c>
      <c r="W1201" s="82">
        <v>0</v>
      </c>
      <c r="X1201" s="81"/>
      <c r="Y1201" s="81"/>
      <c r="Z1201" s="81" t="s">
        <v>58</v>
      </c>
      <c r="AA1201" s="81" t="s">
        <v>58</v>
      </c>
      <c r="AB1201" s="81" t="s">
        <v>58</v>
      </c>
      <c r="AC1201" s="83">
        <v>46116</v>
      </c>
    </row>
    <row r="1202" spans="2:29" ht="23" x14ac:dyDescent="0.35">
      <c r="B1202" s="81" t="s">
        <v>338</v>
      </c>
      <c r="C1202" s="81" t="s">
        <v>339</v>
      </c>
      <c r="D1202" s="81" t="s">
        <v>340</v>
      </c>
      <c r="E1202" s="81" t="s">
        <v>715</v>
      </c>
      <c r="F1202" s="162" t="s">
        <v>716</v>
      </c>
      <c r="G1202" s="163"/>
      <c r="H1202" s="81" t="s">
        <v>1648</v>
      </c>
      <c r="I1202" s="81" t="s">
        <v>1476</v>
      </c>
      <c r="J1202" s="81" t="s">
        <v>153</v>
      </c>
      <c r="K1202" s="81" t="s">
        <v>1670</v>
      </c>
      <c r="L1202" s="81" t="s">
        <v>58</v>
      </c>
      <c r="M1202" s="164">
        <v>4.6493180000000001</v>
      </c>
      <c r="N1202" s="165"/>
      <c r="O1202" s="163"/>
      <c r="P1202" s="82">
        <v>400</v>
      </c>
      <c r="Q1202" s="164">
        <v>0</v>
      </c>
      <c r="R1202" s="163"/>
      <c r="S1202" s="81" t="s">
        <v>58</v>
      </c>
      <c r="T1202" s="82">
        <v>0</v>
      </c>
      <c r="U1202" s="82">
        <v>0</v>
      </c>
      <c r="V1202" s="82">
        <v>0</v>
      </c>
      <c r="W1202" s="82">
        <v>0</v>
      </c>
      <c r="X1202" s="81"/>
      <c r="Y1202" s="81"/>
      <c r="Z1202" s="81" t="s">
        <v>58</v>
      </c>
      <c r="AA1202" s="81" t="s">
        <v>58</v>
      </c>
      <c r="AB1202" s="81" t="s">
        <v>58</v>
      </c>
      <c r="AC1202" s="83">
        <v>46116</v>
      </c>
    </row>
    <row r="1203" spans="2:29" ht="23" x14ac:dyDescent="0.35">
      <c r="B1203" s="81" t="s">
        <v>338</v>
      </c>
      <c r="C1203" s="81" t="s">
        <v>339</v>
      </c>
      <c r="D1203" s="81" t="s">
        <v>340</v>
      </c>
      <c r="E1203" s="81" t="s">
        <v>715</v>
      </c>
      <c r="F1203" s="162" t="s">
        <v>716</v>
      </c>
      <c r="G1203" s="163"/>
      <c r="H1203" s="81" t="s">
        <v>1648</v>
      </c>
      <c r="I1203" s="81" t="s">
        <v>1476</v>
      </c>
      <c r="J1203" s="81" t="s">
        <v>153</v>
      </c>
      <c r="K1203" s="81" t="s">
        <v>1671</v>
      </c>
      <c r="L1203" s="81" t="s">
        <v>58</v>
      </c>
      <c r="M1203" s="164">
        <v>4.9050304899999997</v>
      </c>
      <c r="N1203" s="165"/>
      <c r="O1203" s="163"/>
      <c r="P1203" s="82">
        <v>422</v>
      </c>
      <c r="Q1203" s="164">
        <v>0</v>
      </c>
      <c r="R1203" s="163"/>
      <c r="S1203" s="81" t="s">
        <v>58</v>
      </c>
      <c r="T1203" s="82">
        <v>0</v>
      </c>
      <c r="U1203" s="82">
        <v>0</v>
      </c>
      <c r="V1203" s="82">
        <v>0</v>
      </c>
      <c r="W1203" s="82">
        <v>0</v>
      </c>
      <c r="X1203" s="81"/>
      <c r="Y1203" s="81"/>
      <c r="Z1203" s="81" t="s">
        <v>58</v>
      </c>
      <c r="AA1203" s="81" t="s">
        <v>58</v>
      </c>
      <c r="AB1203" s="81" t="s">
        <v>58</v>
      </c>
      <c r="AC1203" s="83">
        <v>46116</v>
      </c>
    </row>
    <row r="1204" spans="2:29" ht="23" x14ac:dyDescent="0.35">
      <c r="B1204" s="81" t="s">
        <v>338</v>
      </c>
      <c r="C1204" s="81" t="s">
        <v>339</v>
      </c>
      <c r="D1204" s="81" t="s">
        <v>340</v>
      </c>
      <c r="E1204" s="81" t="s">
        <v>715</v>
      </c>
      <c r="F1204" s="162" t="s">
        <v>716</v>
      </c>
      <c r="G1204" s="163"/>
      <c r="H1204" s="81" t="s">
        <v>1648</v>
      </c>
      <c r="I1204" s="81" t="s">
        <v>1476</v>
      </c>
      <c r="J1204" s="81" t="s">
        <v>153</v>
      </c>
      <c r="K1204" s="81" t="s">
        <v>1672</v>
      </c>
      <c r="L1204" s="81" t="s">
        <v>58</v>
      </c>
      <c r="M1204" s="164">
        <v>4.7627160000000002</v>
      </c>
      <c r="N1204" s="165"/>
      <c r="O1204" s="163"/>
      <c r="P1204" s="82">
        <v>400</v>
      </c>
      <c r="Q1204" s="164">
        <v>0</v>
      </c>
      <c r="R1204" s="163"/>
      <c r="S1204" s="81" t="s">
        <v>58</v>
      </c>
      <c r="T1204" s="82">
        <v>0</v>
      </c>
      <c r="U1204" s="82">
        <v>0</v>
      </c>
      <c r="V1204" s="82">
        <v>0</v>
      </c>
      <c r="W1204" s="82">
        <v>0</v>
      </c>
      <c r="X1204" s="81"/>
      <c r="Y1204" s="81"/>
      <c r="Z1204" s="81" t="s">
        <v>58</v>
      </c>
      <c r="AA1204" s="81" t="s">
        <v>58</v>
      </c>
      <c r="AB1204" s="81" t="s">
        <v>58</v>
      </c>
      <c r="AC1204" s="83">
        <v>46120</v>
      </c>
    </row>
    <row r="1205" spans="2:29" ht="23" x14ac:dyDescent="0.35">
      <c r="B1205" s="81" t="s">
        <v>338</v>
      </c>
      <c r="C1205" s="81" t="s">
        <v>339</v>
      </c>
      <c r="D1205" s="81" t="s">
        <v>340</v>
      </c>
      <c r="E1205" s="81" t="s">
        <v>715</v>
      </c>
      <c r="F1205" s="162" t="s">
        <v>716</v>
      </c>
      <c r="G1205" s="163"/>
      <c r="H1205" s="81" t="s">
        <v>1648</v>
      </c>
      <c r="I1205" s="81" t="s">
        <v>1476</v>
      </c>
      <c r="J1205" s="81" t="s">
        <v>153</v>
      </c>
      <c r="K1205" s="81" t="s">
        <v>1673</v>
      </c>
      <c r="L1205" s="81" t="s">
        <v>58</v>
      </c>
      <c r="M1205" s="164">
        <v>4.7627160000000002</v>
      </c>
      <c r="N1205" s="165"/>
      <c r="O1205" s="163"/>
      <c r="P1205" s="82">
        <v>400</v>
      </c>
      <c r="Q1205" s="164">
        <v>0</v>
      </c>
      <c r="R1205" s="163"/>
      <c r="S1205" s="81" t="s">
        <v>58</v>
      </c>
      <c r="T1205" s="82">
        <v>0</v>
      </c>
      <c r="U1205" s="82">
        <v>0</v>
      </c>
      <c r="V1205" s="82">
        <v>0</v>
      </c>
      <c r="W1205" s="82">
        <v>0</v>
      </c>
      <c r="X1205" s="81"/>
      <c r="Y1205" s="81"/>
      <c r="Z1205" s="81" t="s">
        <v>58</v>
      </c>
      <c r="AA1205" s="81" t="s">
        <v>58</v>
      </c>
      <c r="AB1205" s="81" t="s">
        <v>58</v>
      </c>
      <c r="AC1205" s="83">
        <v>46115</v>
      </c>
    </row>
    <row r="1206" spans="2:29" ht="23" x14ac:dyDescent="0.35">
      <c r="B1206" s="81" t="s">
        <v>338</v>
      </c>
      <c r="C1206" s="81" t="s">
        <v>339</v>
      </c>
      <c r="D1206" s="81" t="s">
        <v>340</v>
      </c>
      <c r="E1206" s="81" t="s">
        <v>715</v>
      </c>
      <c r="F1206" s="162" t="s">
        <v>716</v>
      </c>
      <c r="G1206" s="163"/>
      <c r="H1206" s="81" t="s">
        <v>1648</v>
      </c>
      <c r="I1206" s="81" t="s">
        <v>1476</v>
      </c>
      <c r="J1206" s="81" t="s">
        <v>153</v>
      </c>
      <c r="K1206" s="81" t="s">
        <v>1674</v>
      </c>
      <c r="L1206" s="81" t="s">
        <v>58</v>
      </c>
      <c r="M1206" s="164">
        <v>4.7627160000000002</v>
      </c>
      <c r="N1206" s="165"/>
      <c r="O1206" s="163"/>
      <c r="P1206" s="82">
        <v>400</v>
      </c>
      <c r="Q1206" s="164">
        <v>0</v>
      </c>
      <c r="R1206" s="163"/>
      <c r="S1206" s="81" t="s">
        <v>58</v>
      </c>
      <c r="T1206" s="82">
        <v>0</v>
      </c>
      <c r="U1206" s="82">
        <v>0</v>
      </c>
      <c r="V1206" s="82">
        <v>0</v>
      </c>
      <c r="W1206" s="82">
        <v>0</v>
      </c>
      <c r="X1206" s="81"/>
      <c r="Y1206" s="81"/>
      <c r="Z1206" s="81" t="s">
        <v>58</v>
      </c>
      <c r="AA1206" s="81" t="s">
        <v>58</v>
      </c>
      <c r="AB1206" s="81" t="s">
        <v>58</v>
      </c>
      <c r="AC1206" s="83">
        <v>46115</v>
      </c>
    </row>
    <row r="1207" spans="2:29" ht="23" x14ac:dyDescent="0.35">
      <c r="B1207" s="81" t="s">
        <v>338</v>
      </c>
      <c r="C1207" s="81" t="s">
        <v>339</v>
      </c>
      <c r="D1207" s="81" t="s">
        <v>340</v>
      </c>
      <c r="E1207" s="81" t="s">
        <v>715</v>
      </c>
      <c r="F1207" s="162" t="s">
        <v>716</v>
      </c>
      <c r="G1207" s="163"/>
      <c r="H1207" s="81" t="s">
        <v>1648</v>
      </c>
      <c r="I1207" s="81" t="s">
        <v>1476</v>
      </c>
      <c r="J1207" s="81" t="s">
        <v>153</v>
      </c>
      <c r="K1207" s="81" t="s">
        <v>1675</v>
      </c>
      <c r="L1207" s="81" t="s">
        <v>58</v>
      </c>
      <c r="M1207" s="164">
        <v>4.7627160000000002</v>
      </c>
      <c r="N1207" s="165"/>
      <c r="O1207" s="163"/>
      <c r="P1207" s="82">
        <v>400</v>
      </c>
      <c r="Q1207" s="164">
        <v>0</v>
      </c>
      <c r="R1207" s="163"/>
      <c r="S1207" s="81" t="s">
        <v>58</v>
      </c>
      <c r="T1207" s="82">
        <v>0</v>
      </c>
      <c r="U1207" s="82">
        <v>0</v>
      </c>
      <c r="V1207" s="82">
        <v>0</v>
      </c>
      <c r="W1207" s="82">
        <v>0</v>
      </c>
      <c r="X1207" s="81"/>
      <c r="Y1207" s="81"/>
      <c r="Z1207" s="81" t="s">
        <v>58</v>
      </c>
      <c r="AA1207" s="81" t="s">
        <v>58</v>
      </c>
      <c r="AB1207" s="81" t="s">
        <v>58</v>
      </c>
      <c r="AC1207" s="83">
        <v>46115</v>
      </c>
    </row>
    <row r="1208" spans="2:29" ht="23" x14ac:dyDescent="0.35">
      <c r="B1208" s="81" t="s">
        <v>338</v>
      </c>
      <c r="C1208" s="81" t="s">
        <v>339</v>
      </c>
      <c r="D1208" s="81" t="s">
        <v>340</v>
      </c>
      <c r="E1208" s="81" t="s">
        <v>715</v>
      </c>
      <c r="F1208" s="162" t="s">
        <v>716</v>
      </c>
      <c r="G1208" s="163"/>
      <c r="H1208" s="81" t="s">
        <v>1648</v>
      </c>
      <c r="I1208" s="81" t="s">
        <v>1476</v>
      </c>
      <c r="J1208" s="81" t="s">
        <v>153</v>
      </c>
      <c r="K1208" s="81" t="s">
        <v>1676</v>
      </c>
      <c r="L1208" s="81" t="s">
        <v>58</v>
      </c>
      <c r="M1208" s="164">
        <v>4.7627160000000002</v>
      </c>
      <c r="N1208" s="165"/>
      <c r="O1208" s="163"/>
      <c r="P1208" s="82">
        <v>400</v>
      </c>
      <c r="Q1208" s="164">
        <v>0</v>
      </c>
      <c r="R1208" s="163"/>
      <c r="S1208" s="81" t="s">
        <v>58</v>
      </c>
      <c r="T1208" s="82">
        <v>0</v>
      </c>
      <c r="U1208" s="82">
        <v>0</v>
      </c>
      <c r="V1208" s="82">
        <v>0</v>
      </c>
      <c r="W1208" s="82">
        <v>0</v>
      </c>
      <c r="X1208" s="81"/>
      <c r="Y1208" s="81"/>
      <c r="Z1208" s="81" t="s">
        <v>58</v>
      </c>
      <c r="AA1208" s="81" t="s">
        <v>58</v>
      </c>
      <c r="AB1208" s="81" t="s">
        <v>58</v>
      </c>
      <c r="AC1208" s="83">
        <v>46115</v>
      </c>
    </row>
    <row r="1209" spans="2:29" ht="23" x14ac:dyDescent="0.35">
      <c r="B1209" s="81" t="s">
        <v>338</v>
      </c>
      <c r="C1209" s="81" t="s">
        <v>339</v>
      </c>
      <c r="D1209" s="81" t="s">
        <v>340</v>
      </c>
      <c r="E1209" s="81" t="s">
        <v>715</v>
      </c>
      <c r="F1209" s="162" t="s">
        <v>716</v>
      </c>
      <c r="G1209" s="163"/>
      <c r="H1209" s="81" t="s">
        <v>1648</v>
      </c>
      <c r="I1209" s="81" t="s">
        <v>1476</v>
      </c>
      <c r="J1209" s="81" t="s">
        <v>153</v>
      </c>
      <c r="K1209" s="81" t="s">
        <v>1677</v>
      </c>
      <c r="L1209" s="81" t="s">
        <v>58</v>
      </c>
      <c r="M1209" s="164">
        <v>4.7627160000000002</v>
      </c>
      <c r="N1209" s="165"/>
      <c r="O1209" s="163"/>
      <c r="P1209" s="82">
        <v>400</v>
      </c>
      <c r="Q1209" s="164">
        <v>0</v>
      </c>
      <c r="R1209" s="163"/>
      <c r="S1209" s="81" t="s">
        <v>58</v>
      </c>
      <c r="T1209" s="82">
        <v>0</v>
      </c>
      <c r="U1209" s="82">
        <v>0</v>
      </c>
      <c r="V1209" s="82">
        <v>0</v>
      </c>
      <c r="W1209" s="82">
        <v>0</v>
      </c>
      <c r="X1209" s="81"/>
      <c r="Y1209" s="81"/>
      <c r="Z1209" s="81" t="s">
        <v>58</v>
      </c>
      <c r="AA1209" s="81" t="s">
        <v>58</v>
      </c>
      <c r="AB1209" s="81" t="s">
        <v>58</v>
      </c>
      <c r="AC1209" s="83">
        <v>46115</v>
      </c>
    </row>
    <row r="1210" spans="2:29" ht="23" x14ac:dyDescent="0.35">
      <c r="B1210" s="81" t="s">
        <v>338</v>
      </c>
      <c r="C1210" s="81" t="s">
        <v>339</v>
      </c>
      <c r="D1210" s="81" t="s">
        <v>340</v>
      </c>
      <c r="E1210" s="81" t="s">
        <v>715</v>
      </c>
      <c r="F1210" s="162" t="s">
        <v>716</v>
      </c>
      <c r="G1210" s="163"/>
      <c r="H1210" s="81" t="s">
        <v>1648</v>
      </c>
      <c r="I1210" s="81" t="s">
        <v>1476</v>
      </c>
      <c r="J1210" s="81" t="s">
        <v>153</v>
      </c>
      <c r="K1210" s="81" t="s">
        <v>1678</v>
      </c>
      <c r="L1210" s="81" t="s">
        <v>58</v>
      </c>
      <c r="M1210" s="164">
        <v>4.7627160000000002</v>
      </c>
      <c r="N1210" s="165"/>
      <c r="O1210" s="163"/>
      <c r="P1210" s="82">
        <v>400</v>
      </c>
      <c r="Q1210" s="164">
        <v>0</v>
      </c>
      <c r="R1210" s="163"/>
      <c r="S1210" s="81" t="s">
        <v>58</v>
      </c>
      <c r="T1210" s="82">
        <v>0</v>
      </c>
      <c r="U1210" s="82">
        <v>0</v>
      </c>
      <c r="V1210" s="82">
        <v>0</v>
      </c>
      <c r="W1210" s="82">
        <v>0</v>
      </c>
      <c r="X1210" s="81"/>
      <c r="Y1210" s="81"/>
      <c r="Z1210" s="81" t="s">
        <v>58</v>
      </c>
      <c r="AA1210" s="81" t="s">
        <v>58</v>
      </c>
      <c r="AB1210" s="81" t="s">
        <v>58</v>
      </c>
      <c r="AC1210" s="83">
        <v>46115</v>
      </c>
    </row>
    <row r="1211" spans="2:29" ht="23" x14ac:dyDescent="0.35">
      <c r="B1211" s="81" t="s">
        <v>338</v>
      </c>
      <c r="C1211" s="81" t="s">
        <v>339</v>
      </c>
      <c r="D1211" s="81" t="s">
        <v>340</v>
      </c>
      <c r="E1211" s="81" t="s">
        <v>715</v>
      </c>
      <c r="F1211" s="162" t="s">
        <v>716</v>
      </c>
      <c r="G1211" s="163"/>
      <c r="H1211" s="81" t="s">
        <v>1648</v>
      </c>
      <c r="I1211" s="81" t="s">
        <v>1476</v>
      </c>
      <c r="J1211" s="81" t="s">
        <v>153</v>
      </c>
      <c r="K1211" s="81" t="s">
        <v>1679</v>
      </c>
      <c r="L1211" s="81" t="s">
        <v>58</v>
      </c>
      <c r="M1211" s="164">
        <v>4.0959357599999997</v>
      </c>
      <c r="N1211" s="165"/>
      <c r="O1211" s="163"/>
      <c r="P1211" s="82">
        <v>344</v>
      </c>
      <c r="Q1211" s="164">
        <v>0</v>
      </c>
      <c r="R1211" s="163"/>
      <c r="S1211" s="81" t="s">
        <v>58</v>
      </c>
      <c r="T1211" s="82">
        <v>0</v>
      </c>
      <c r="U1211" s="82">
        <v>0</v>
      </c>
      <c r="V1211" s="82">
        <v>0</v>
      </c>
      <c r="W1211" s="82">
        <v>0</v>
      </c>
      <c r="X1211" s="81"/>
      <c r="Y1211" s="81"/>
      <c r="Z1211" s="81" t="s">
        <v>58</v>
      </c>
      <c r="AA1211" s="81" t="s">
        <v>58</v>
      </c>
      <c r="AB1211" s="81" t="s">
        <v>58</v>
      </c>
      <c r="AC1211" s="83">
        <v>46115</v>
      </c>
    </row>
    <row r="1212" spans="2:29" ht="23" x14ac:dyDescent="0.35">
      <c r="B1212" s="81" t="s">
        <v>338</v>
      </c>
      <c r="C1212" s="81" t="s">
        <v>339</v>
      </c>
      <c r="D1212" s="81" t="s">
        <v>340</v>
      </c>
      <c r="E1212" s="81" t="s">
        <v>715</v>
      </c>
      <c r="F1212" s="162" t="s">
        <v>716</v>
      </c>
      <c r="G1212" s="163"/>
      <c r="H1212" s="81" t="s">
        <v>1648</v>
      </c>
      <c r="I1212" s="81" t="s">
        <v>1476</v>
      </c>
      <c r="J1212" s="81" t="s">
        <v>153</v>
      </c>
      <c r="K1212" s="81" t="s">
        <v>1680</v>
      </c>
      <c r="L1212" s="81" t="s">
        <v>58</v>
      </c>
      <c r="M1212" s="164">
        <v>4.8761140000000003</v>
      </c>
      <c r="N1212" s="165"/>
      <c r="O1212" s="163"/>
      <c r="P1212" s="82">
        <v>400</v>
      </c>
      <c r="Q1212" s="164">
        <v>0</v>
      </c>
      <c r="R1212" s="163"/>
      <c r="S1212" s="81" t="s">
        <v>58</v>
      </c>
      <c r="T1212" s="82">
        <v>0</v>
      </c>
      <c r="U1212" s="82">
        <v>0</v>
      </c>
      <c r="V1212" s="82">
        <v>0</v>
      </c>
      <c r="W1212" s="82">
        <v>0</v>
      </c>
      <c r="X1212" s="81"/>
      <c r="Y1212" s="81"/>
      <c r="Z1212" s="81" t="s">
        <v>58</v>
      </c>
      <c r="AA1212" s="81" t="s">
        <v>58</v>
      </c>
      <c r="AB1212" s="81" t="s">
        <v>58</v>
      </c>
      <c r="AC1212" s="83">
        <v>46115</v>
      </c>
    </row>
    <row r="1213" spans="2:29" ht="23" x14ac:dyDescent="0.35">
      <c r="B1213" s="81" t="s">
        <v>338</v>
      </c>
      <c r="C1213" s="81" t="s">
        <v>339</v>
      </c>
      <c r="D1213" s="81" t="s">
        <v>340</v>
      </c>
      <c r="E1213" s="81" t="s">
        <v>715</v>
      </c>
      <c r="F1213" s="162" t="s">
        <v>716</v>
      </c>
      <c r="G1213" s="163"/>
      <c r="H1213" s="81" t="s">
        <v>1648</v>
      </c>
      <c r="I1213" s="81" t="s">
        <v>1476</v>
      </c>
      <c r="J1213" s="81" t="s">
        <v>153</v>
      </c>
      <c r="K1213" s="81" t="s">
        <v>1681</v>
      </c>
      <c r="L1213" s="81" t="s">
        <v>58</v>
      </c>
      <c r="M1213" s="164">
        <v>4.8761140000000003</v>
      </c>
      <c r="N1213" s="165"/>
      <c r="O1213" s="163"/>
      <c r="P1213" s="82">
        <v>400</v>
      </c>
      <c r="Q1213" s="164">
        <v>0</v>
      </c>
      <c r="R1213" s="163"/>
      <c r="S1213" s="81" t="s">
        <v>58</v>
      </c>
      <c r="T1213" s="82">
        <v>0</v>
      </c>
      <c r="U1213" s="82">
        <v>0</v>
      </c>
      <c r="V1213" s="82">
        <v>0</v>
      </c>
      <c r="W1213" s="82">
        <v>0</v>
      </c>
      <c r="X1213" s="81"/>
      <c r="Y1213" s="81"/>
      <c r="Z1213" s="81" t="s">
        <v>58</v>
      </c>
      <c r="AA1213" s="81" t="s">
        <v>58</v>
      </c>
      <c r="AB1213" s="81" t="s">
        <v>58</v>
      </c>
      <c r="AC1213" s="83">
        <v>46115</v>
      </c>
    </row>
    <row r="1214" spans="2:29" ht="23" x14ac:dyDescent="0.35">
      <c r="B1214" s="81" t="s">
        <v>338</v>
      </c>
      <c r="C1214" s="81" t="s">
        <v>339</v>
      </c>
      <c r="D1214" s="81" t="s">
        <v>340</v>
      </c>
      <c r="E1214" s="81" t="s">
        <v>715</v>
      </c>
      <c r="F1214" s="162" t="s">
        <v>716</v>
      </c>
      <c r="G1214" s="163"/>
      <c r="H1214" s="81" t="s">
        <v>1648</v>
      </c>
      <c r="I1214" s="81" t="s">
        <v>1476</v>
      </c>
      <c r="J1214" s="81" t="s">
        <v>153</v>
      </c>
      <c r="K1214" s="81" t="s">
        <v>1682</v>
      </c>
      <c r="L1214" s="81" t="s">
        <v>58</v>
      </c>
      <c r="M1214" s="164">
        <v>4.8761140000000003</v>
      </c>
      <c r="N1214" s="165"/>
      <c r="O1214" s="163"/>
      <c r="P1214" s="82">
        <v>400</v>
      </c>
      <c r="Q1214" s="164">
        <v>0</v>
      </c>
      <c r="R1214" s="163"/>
      <c r="S1214" s="81" t="s">
        <v>58</v>
      </c>
      <c r="T1214" s="82">
        <v>0</v>
      </c>
      <c r="U1214" s="82">
        <v>0</v>
      </c>
      <c r="V1214" s="82">
        <v>0</v>
      </c>
      <c r="W1214" s="82">
        <v>0</v>
      </c>
      <c r="X1214" s="81"/>
      <c r="Y1214" s="81"/>
      <c r="Z1214" s="81" t="s">
        <v>58</v>
      </c>
      <c r="AA1214" s="81" t="s">
        <v>58</v>
      </c>
      <c r="AB1214" s="81" t="s">
        <v>58</v>
      </c>
      <c r="AC1214" s="83">
        <v>46115</v>
      </c>
    </row>
    <row r="1215" spans="2:29" ht="23" x14ac:dyDescent="0.35">
      <c r="B1215" s="81" t="s">
        <v>338</v>
      </c>
      <c r="C1215" s="81" t="s">
        <v>339</v>
      </c>
      <c r="D1215" s="81" t="s">
        <v>340</v>
      </c>
      <c r="E1215" s="81" t="s">
        <v>715</v>
      </c>
      <c r="F1215" s="162" t="s">
        <v>716</v>
      </c>
      <c r="G1215" s="163"/>
      <c r="H1215" s="81" t="s">
        <v>1648</v>
      </c>
      <c r="I1215" s="81" t="s">
        <v>1476</v>
      </c>
      <c r="J1215" s="81" t="s">
        <v>153</v>
      </c>
      <c r="K1215" s="81" t="s">
        <v>1683</v>
      </c>
      <c r="L1215" s="81" t="s">
        <v>58</v>
      </c>
      <c r="M1215" s="164">
        <v>4.8761140000000003</v>
      </c>
      <c r="N1215" s="165"/>
      <c r="O1215" s="163"/>
      <c r="P1215" s="82">
        <v>400</v>
      </c>
      <c r="Q1215" s="164">
        <v>0</v>
      </c>
      <c r="R1215" s="163"/>
      <c r="S1215" s="81" t="s">
        <v>58</v>
      </c>
      <c r="T1215" s="82">
        <v>0</v>
      </c>
      <c r="U1215" s="82">
        <v>0</v>
      </c>
      <c r="V1215" s="82">
        <v>0</v>
      </c>
      <c r="W1215" s="82">
        <v>0</v>
      </c>
      <c r="X1215" s="81"/>
      <c r="Y1215" s="81"/>
      <c r="Z1215" s="81" t="s">
        <v>58</v>
      </c>
      <c r="AA1215" s="81" t="s">
        <v>58</v>
      </c>
      <c r="AB1215" s="81" t="s">
        <v>58</v>
      </c>
      <c r="AC1215" s="83">
        <v>46115</v>
      </c>
    </row>
    <row r="1216" spans="2:29" ht="23" x14ac:dyDescent="0.35">
      <c r="B1216" s="81" t="s">
        <v>338</v>
      </c>
      <c r="C1216" s="81" t="s">
        <v>339</v>
      </c>
      <c r="D1216" s="81" t="s">
        <v>340</v>
      </c>
      <c r="E1216" s="81" t="s">
        <v>715</v>
      </c>
      <c r="F1216" s="162" t="s">
        <v>716</v>
      </c>
      <c r="G1216" s="163"/>
      <c r="H1216" s="81" t="s">
        <v>1648</v>
      </c>
      <c r="I1216" s="81" t="s">
        <v>1476</v>
      </c>
      <c r="J1216" s="81" t="s">
        <v>153</v>
      </c>
      <c r="K1216" s="81" t="s">
        <v>1684</v>
      </c>
      <c r="L1216" s="81" t="s">
        <v>58</v>
      </c>
      <c r="M1216" s="164">
        <v>3.4620409400000001</v>
      </c>
      <c r="N1216" s="165"/>
      <c r="O1216" s="163"/>
      <c r="P1216" s="82">
        <v>284</v>
      </c>
      <c r="Q1216" s="164">
        <v>0</v>
      </c>
      <c r="R1216" s="163"/>
      <c r="S1216" s="81" t="s">
        <v>58</v>
      </c>
      <c r="T1216" s="82">
        <v>0</v>
      </c>
      <c r="U1216" s="82">
        <v>0</v>
      </c>
      <c r="V1216" s="82">
        <v>0</v>
      </c>
      <c r="W1216" s="82">
        <v>0</v>
      </c>
      <c r="X1216" s="81"/>
      <c r="Y1216" s="81"/>
      <c r="Z1216" s="81" t="s">
        <v>58</v>
      </c>
      <c r="AA1216" s="81" t="s">
        <v>58</v>
      </c>
      <c r="AB1216" s="81" t="s">
        <v>58</v>
      </c>
      <c r="AC1216" s="83">
        <v>46116</v>
      </c>
    </row>
    <row r="1217" spans="2:29" ht="23" x14ac:dyDescent="0.35">
      <c r="B1217" s="81" t="s">
        <v>338</v>
      </c>
      <c r="C1217" s="81" t="s">
        <v>339</v>
      </c>
      <c r="D1217" s="81" t="s">
        <v>340</v>
      </c>
      <c r="E1217" s="81" t="s">
        <v>715</v>
      </c>
      <c r="F1217" s="162" t="s">
        <v>716</v>
      </c>
      <c r="G1217" s="163"/>
      <c r="H1217" s="81" t="s">
        <v>1648</v>
      </c>
      <c r="I1217" s="81" t="s">
        <v>1476</v>
      </c>
      <c r="J1217" s="81" t="s">
        <v>153</v>
      </c>
      <c r="K1217" s="81" t="s">
        <v>1685</v>
      </c>
      <c r="L1217" s="81" t="s">
        <v>58</v>
      </c>
      <c r="M1217" s="164">
        <v>5.0121916000000004</v>
      </c>
      <c r="N1217" s="165"/>
      <c r="O1217" s="163"/>
      <c r="P1217" s="82">
        <v>400</v>
      </c>
      <c r="Q1217" s="164">
        <v>0</v>
      </c>
      <c r="R1217" s="163"/>
      <c r="S1217" s="81" t="s">
        <v>58</v>
      </c>
      <c r="T1217" s="82">
        <v>0</v>
      </c>
      <c r="U1217" s="82">
        <v>0</v>
      </c>
      <c r="V1217" s="82">
        <v>0</v>
      </c>
      <c r="W1217" s="82">
        <v>0</v>
      </c>
      <c r="X1217" s="81"/>
      <c r="Y1217" s="81"/>
      <c r="Z1217" s="81" t="s">
        <v>58</v>
      </c>
      <c r="AA1217" s="81" t="s">
        <v>58</v>
      </c>
      <c r="AB1217" s="81" t="s">
        <v>58</v>
      </c>
      <c r="AC1217" s="83">
        <v>46116</v>
      </c>
    </row>
    <row r="1218" spans="2:29" ht="23" x14ac:dyDescent="0.35">
      <c r="B1218" s="81" t="s">
        <v>338</v>
      </c>
      <c r="C1218" s="81" t="s">
        <v>339</v>
      </c>
      <c r="D1218" s="81" t="s">
        <v>340</v>
      </c>
      <c r="E1218" s="81" t="s">
        <v>715</v>
      </c>
      <c r="F1218" s="162" t="s">
        <v>716</v>
      </c>
      <c r="G1218" s="163"/>
      <c r="H1218" s="81" t="s">
        <v>1648</v>
      </c>
      <c r="I1218" s="81" t="s">
        <v>1476</v>
      </c>
      <c r="J1218" s="81" t="s">
        <v>153</v>
      </c>
      <c r="K1218" s="81" t="s">
        <v>1686</v>
      </c>
      <c r="L1218" s="81" t="s">
        <v>58</v>
      </c>
      <c r="M1218" s="164">
        <v>5.0121916000000004</v>
      </c>
      <c r="N1218" s="165"/>
      <c r="O1218" s="163"/>
      <c r="P1218" s="82">
        <v>400</v>
      </c>
      <c r="Q1218" s="164">
        <v>0</v>
      </c>
      <c r="R1218" s="163"/>
      <c r="S1218" s="81" t="s">
        <v>58</v>
      </c>
      <c r="T1218" s="82">
        <v>0</v>
      </c>
      <c r="U1218" s="82">
        <v>0</v>
      </c>
      <c r="V1218" s="82">
        <v>0</v>
      </c>
      <c r="W1218" s="82">
        <v>0</v>
      </c>
      <c r="X1218" s="81"/>
      <c r="Y1218" s="81"/>
      <c r="Z1218" s="81" t="s">
        <v>58</v>
      </c>
      <c r="AA1218" s="81" t="s">
        <v>58</v>
      </c>
      <c r="AB1218" s="81" t="s">
        <v>58</v>
      </c>
      <c r="AC1218" s="83">
        <v>46116</v>
      </c>
    </row>
    <row r="1219" spans="2:29" ht="23" x14ac:dyDescent="0.35">
      <c r="B1219" s="81" t="s">
        <v>338</v>
      </c>
      <c r="C1219" s="81" t="s">
        <v>339</v>
      </c>
      <c r="D1219" s="81" t="s">
        <v>340</v>
      </c>
      <c r="E1219" s="81" t="s">
        <v>715</v>
      </c>
      <c r="F1219" s="162" t="s">
        <v>716</v>
      </c>
      <c r="G1219" s="163"/>
      <c r="H1219" s="81" t="s">
        <v>1648</v>
      </c>
      <c r="I1219" s="81" t="s">
        <v>1476</v>
      </c>
      <c r="J1219" s="81" t="s">
        <v>153</v>
      </c>
      <c r="K1219" s="81" t="s">
        <v>1687</v>
      </c>
      <c r="L1219" s="81" t="s">
        <v>58</v>
      </c>
      <c r="M1219" s="164">
        <v>3.1075587919999998</v>
      </c>
      <c r="N1219" s="165"/>
      <c r="O1219" s="163"/>
      <c r="P1219" s="82">
        <v>248</v>
      </c>
      <c r="Q1219" s="164">
        <v>0</v>
      </c>
      <c r="R1219" s="163"/>
      <c r="S1219" s="81" t="s">
        <v>58</v>
      </c>
      <c r="T1219" s="82">
        <v>0</v>
      </c>
      <c r="U1219" s="82">
        <v>0</v>
      </c>
      <c r="V1219" s="82">
        <v>0</v>
      </c>
      <c r="W1219" s="82">
        <v>0</v>
      </c>
      <c r="X1219" s="81"/>
      <c r="Y1219" s="81"/>
      <c r="Z1219" s="81" t="s">
        <v>58</v>
      </c>
      <c r="AA1219" s="81" t="s">
        <v>58</v>
      </c>
      <c r="AB1219" s="81" t="s">
        <v>58</v>
      </c>
      <c r="AC1219" s="83">
        <v>46116</v>
      </c>
    </row>
    <row r="1220" spans="2:29" ht="23" x14ac:dyDescent="0.35">
      <c r="B1220" s="81" t="s">
        <v>338</v>
      </c>
      <c r="C1220" s="81" t="s">
        <v>339</v>
      </c>
      <c r="D1220" s="81" t="s">
        <v>340</v>
      </c>
      <c r="E1220" s="81" t="s">
        <v>715</v>
      </c>
      <c r="F1220" s="162" t="s">
        <v>716</v>
      </c>
      <c r="G1220" s="163"/>
      <c r="H1220" s="81" t="s">
        <v>1648</v>
      </c>
      <c r="I1220" s="81" t="s">
        <v>1476</v>
      </c>
      <c r="J1220" s="81" t="s">
        <v>153</v>
      </c>
      <c r="K1220" s="81" t="s">
        <v>1688</v>
      </c>
      <c r="L1220" s="81" t="s">
        <v>58</v>
      </c>
      <c r="M1220" s="164">
        <v>0.59987542000000005</v>
      </c>
      <c r="N1220" s="165"/>
      <c r="O1220" s="163"/>
      <c r="P1220" s="82">
        <v>46</v>
      </c>
      <c r="Q1220" s="164">
        <v>0</v>
      </c>
      <c r="R1220" s="163"/>
      <c r="S1220" s="81" t="s">
        <v>58</v>
      </c>
      <c r="T1220" s="82">
        <v>0</v>
      </c>
      <c r="U1220" s="82">
        <v>0</v>
      </c>
      <c r="V1220" s="82">
        <v>0</v>
      </c>
      <c r="W1220" s="82">
        <v>0</v>
      </c>
      <c r="X1220" s="81"/>
      <c r="Y1220" s="81"/>
      <c r="Z1220" s="81" t="s">
        <v>58</v>
      </c>
      <c r="AA1220" s="81" t="s">
        <v>58</v>
      </c>
      <c r="AB1220" s="81" t="s">
        <v>58</v>
      </c>
      <c r="AC1220" s="83">
        <v>46116</v>
      </c>
    </row>
    <row r="1221" spans="2:29" ht="23" x14ac:dyDescent="0.35">
      <c r="B1221" s="81" t="s">
        <v>338</v>
      </c>
      <c r="C1221" s="81" t="s">
        <v>339</v>
      </c>
      <c r="D1221" s="81" t="s">
        <v>340</v>
      </c>
      <c r="E1221" s="81" t="s">
        <v>715</v>
      </c>
      <c r="F1221" s="162" t="s">
        <v>716</v>
      </c>
      <c r="G1221" s="163"/>
      <c r="H1221" s="81" t="s">
        <v>1648</v>
      </c>
      <c r="I1221" s="81" t="s">
        <v>1476</v>
      </c>
      <c r="J1221" s="81" t="s">
        <v>153</v>
      </c>
      <c r="K1221" s="81" t="s">
        <v>1689</v>
      </c>
      <c r="L1221" s="81" t="s">
        <v>58</v>
      </c>
      <c r="M1221" s="164">
        <v>0.61943657500000004</v>
      </c>
      <c r="N1221" s="165"/>
      <c r="O1221" s="163"/>
      <c r="P1221" s="82">
        <v>46</v>
      </c>
      <c r="Q1221" s="164">
        <v>0</v>
      </c>
      <c r="R1221" s="163"/>
      <c r="S1221" s="81" t="s">
        <v>58</v>
      </c>
      <c r="T1221" s="82">
        <v>0</v>
      </c>
      <c r="U1221" s="82">
        <v>0</v>
      </c>
      <c r="V1221" s="82">
        <v>0</v>
      </c>
      <c r="W1221" s="82">
        <v>0</v>
      </c>
      <c r="X1221" s="81"/>
      <c r="Y1221" s="81"/>
      <c r="Z1221" s="81" t="s">
        <v>58</v>
      </c>
      <c r="AA1221" s="81" t="s">
        <v>58</v>
      </c>
      <c r="AB1221" s="81" t="s">
        <v>58</v>
      </c>
      <c r="AC1221" s="83">
        <v>46116</v>
      </c>
    </row>
    <row r="1222" spans="2:29" ht="23" x14ac:dyDescent="0.35">
      <c r="B1222" s="81" t="s">
        <v>338</v>
      </c>
      <c r="C1222" s="81" t="s">
        <v>339</v>
      </c>
      <c r="D1222" s="81" t="s">
        <v>340</v>
      </c>
      <c r="E1222" s="81" t="s">
        <v>715</v>
      </c>
      <c r="F1222" s="162" t="s">
        <v>716</v>
      </c>
      <c r="G1222" s="163"/>
      <c r="H1222" s="81" t="s">
        <v>1648</v>
      </c>
      <c r="I1222" s="81" t="s">
        <v>1476</v>
      </c>
      <c r="J1222" s="81" t="s">
        <v>153</v>
      </c>
      <c r="K1222" s="81" t="s">
        <v>1690</v>
      </c>
      <c r="L1222" s="81" t="s">
        <v>58</v>
      </c>
      <c r="M1222" s="164">
        <v>0.52049681999999997</v>
      </c>
      <c r="N1222" s="165"/>
      <c r="O1222" s="163"/>
      <c r="P1222" s="82">
        <v>36</v>
      </c>
      <c r="Q1222" s="164">
        <v>0</v>
      </c>
      <c r="R1222" s="163"/>
      <c r="S1222" s="81" t="s">
        <v>58</v>
      </c>
      <c r="T1222" s="82">
        <v>0</v>
      </c>
      <c r="U1222" s="82">
        <v>0</v>
      </c>
      <c r="V1222" s="82">
        <v>0</v>
      </c>
      <c r="W1222" s="82">
        <v>0</v>
      </c>
      <c r="X1222" s="81"/>
      <c r="Y1222" s="81"/>
      <c r="Z1222" s="81" t="s">
        <v>58</v>
      </c>
      <c r="AA1222" s="81" t="s">
        <v>58</v>
      </c>
      <c r="AB1222" s="81" t="s">
        <v>58</v>
      </c>
      <c r="AC1222" s="83">
        <v>46116</v>
      </c>
    </row>
    <row r="1223" spans="2:29" ht="23" x14ac:dyDescent="0.35">
      <c r="B1223" s="81" t="s">
        <v>338</v>
      </c>
      <c r="C1223" s="81" t="s">
        <v>339</v>
      </c>
      <c r="D1223" s="81" t="s">
        <v>340</v>
      </c>
      <c r="E1223" s="81" t="s">
        <v>715</v>
      </c>
      <c r="F1223" s="162" t="s">
        <v>716</v>
      </c>
      <c r="G1223" s="163"/>
      <c r="H1223" s="81" t="s">
        <v>1648</v>
      </c>
      <c r="I1223" s="81" t="s">
        <v>1476</v>
      </c>
      <c r="J1223" s="81" t="s">
        <v>153</v>
      </c>
      <c r="K1223" s="81" t="s">
        <v>1691</v>
      </c>
      <c r="L1223" s="81" t="s">
        <v>58</v>
      </c>
      <c r="M1223" s="164">
        <v>0.4592619</v>
      </c>
      <c r="N1223" s="165"/>
      <c r="O1223" s="163"/>
      <c r="P1223" s="82">
        <v>30</v>
      </c>
      <c r="Q1223" s="164">
        <v>0</v>
      </c>
      <c r="R1223" s="163"/>
      <c r="S1223" s="81" t="s">
        <v>58</v>
      </c>
      <c r="T1223" s="82">
        <v>0</v>
      </c>
      <c r="U1223" s="82">
        <v>0</v>
      </c>
      <c r="V1223" s="82">
        <v>0</v>
      </c>
      <c r="W1223" s="82">
        <v>0</v>
      </c>
      <c r="X1223" s="81"/>
      <c r="Y1223" s="81"/>
      <c r="Z1223" s="81" t="s">
        <v>58</v>
      </c>
      <c r="AA1223" s="81" t="s">
        <v>58</v>
      </c>
      <c r="AB1223" s="81" t="s">
        <v>58</v>
      </c>
      <c r="AC1223" s="83">
        <v>46116</v>
      </c>
    </row>
    <row r="1224" spans="2:29" ht="23" x14ac:dyDescent="0.35">
      <c r="B1224" s="81" t="s">
        <v>338</v>
      </c>
      <c r="C1224" s="81" t="s">
        <v>339</v>
      </c>
      <c r="D1224" s="81" t="s">
        <v>340</v>
      </c>
      <c r="E1224" s="81" t="s">
        <v>806</v>
      </c>
      <c r="F1224" s="162" t="s">
        <v>807</v>
      </c>
      <c r="G1224" s="163"/>
      <c r="H1224" s="81" t="s">
        <v>1692</v>
      </c>
      <c r="I1224" s="81" t="s">
        <v>1514</v>
      </c>
      <c r="J1224" s="81" t="s">
        <v>154</v>
      </c>
      <c r="K1224" s="81" t="s">
        <v>1693</v>
      </c>
      <c r="L1224" s="81" t="s">
        <v>58</v>
      </c>
      <c r="M1224" s="164">
        <v>6.7060742250000001</v>
      </c>
      <c r="N1224" s="165"/>
      <c r="O1224" s="163"/>
      <c r="P1224" s="82">
        <v>249</v>
      </c>
      <c r="Q1224" s="164">
        <v>0</v>
      </c>
      <c r="R1224" s="163"/>
      <c r="S1224" s="81" t="s">
        <v>58</v>
      </c>
      <c r="T1224" s="82">
        <v>0</v>
      </c>
      <c r="U1224" s="82">
        <v>0</v>
      </c>
      <c r="V1224" s="82">
        <v>0</v>
      </c>
      <c r="W1224" s="82">
        <v>0</v>
      </c>
      <c r="X1224" s="81"/>
      <c r="Y1224" s="81"/>
      <c r="Z1224" s="81" t="s">
        <v>58</v>
      </c>
      <c r="AA1224" s="81" t="s">
        <v>58</v>
      </c>
      <c r="AB1224" s="81" t="s">
        <v>58</v>
      </c>
      <c r="AC1224" s="83">
        <v>46115</v>
      </c>
    </row>
    <row r="1225" spans="2:29" ht="23" x14ac:dyDescent="0.35">
      <c r="B1225" s="81" t="s">
        <v>338</v>
      </c>
      <c r="C1225" s="81" t="s">
        <v>339</v>
      </c>
      <c r="D1225" s="81" t="s">
        <v>340</v>
      </c>
      <c r="E1225" s="81" t="s">
        <v>806</v>
      </c>
      <c r="F1225" s="162" t="s">
        <v>807</v>
      </c>
      <c r="G1225" s="163"/>
      <c r="H1225" s="81" t="s">
        <v>1692</v>
      </c>
      <c r="I1225" s="81" t="s">
        <v>1514</v>
      </c>
      <c r="J1225" s="81" t="s">
        <v>154</v>
      </c>
      <c r="K1225" s="81" t="s">
        <v>1694</v>
      </c>
      <c r="L1225" s="81" t="s">
        <v>58</v>
      </c>
      <c r="M1225" s="164">
        <v>5.5848515000000001</v>
      </c>
      <c r="N1225" s="165"/>
      <c r="O1225" s="163"/>
      <c r="P1225" s="82">
        <v>200</v>
      </c>
      <c r="Q1225" s="164">
        <v>0</v>
      </c>
      <c r="R1225" s="163"/>
      <c r="S1225" s="81" t="s">
        <v>58</v>
      </c>
      <c r="T1225" s="82">
        <v>0</v>
      </c>
      <c r="U1225" s="82">
        <v>0</v>
      </c>
      <c r="V1225" s="82">
        <v>0</v>
      </c>
      <c r="W1225" s="82">
        <v>0</v>
      </c>
      <c r="X1225" s="81"/>
      <c r="Y1225" s="81"/>
      <c r="Z1225" s="81" t="s">
        <v>58</v>
      </c>
      <c r="AA1225" s="81" t="s">
        <v>58</v>
      </c>
      <c r="AB1225" s="81" t="s">
        <v>58</v>
      </c>
      <c r="AC1225" s="83">
        <v>46118</v>
      </c>
    </row>
    <row r="1226" spans="2:29" ht="23" x14ac:dyDescent="0.35">
      <c r="B1226" s="81" t="s">
        <v>338</v>
      </c>
      <c r="C1226" s="81" t="s">
        <v>339</v>
      </c>
      <c r="D1226" s="81" t="s">
        <v>340</v>
      </c>
      <c r="E1226" s="81" t="s">
        <v>806</v>
      </c>
      <c r="F1226" s="162" t="s">
        <v>807</v>
      </c>
      <c r="G1226" s="163"/>
      <c r="H1226" s="81" t="s">
        <v>1692</v>
      </c>
      <c r="I1226" s="81" t="s">
        <v>1514</v>
      </c>
      <c r="J1226" s="81" t="s">
        <v>154</v>
      </c>
      <c r="K1226" s="81" t="s">
        <v>1695</v>
      </c>
      <c r="L1226" s="81" t="s">
        <v>58</v>
      </c>
      <c r="M1226" s="164">
        <v>5.5848515000000001</v>
      </c>
      <c r="N1226" s="165"/>
      <c r="O1226" s="163"/>
      <c r="P1226" s="82">
        <v>200</v>
      </c>
      <c r="Q1226" s="164">
        <v>0</v>
      </c>
      <c r="R1226" s="163"/>
      <c r="S1226" s="81" t="s">
        <v>58</v>
      </c>
      <c r="T1226" s="82">
        <v>0</v>
      </c>
      <c r="U1226" s="82">
        <v>0</v>
      </c>
      <c r="V1226" s="82">
        <v>0</v>
      </c>
      <c r="W1226" s="82">
        <v>0</v>
      </c>
      <c r="X1226" s="81"/>
      <c r="Y1226" s="81"/>
      <c r="Z1226" s="81" t="s">
        <v>58</v>
      </c>
      <c r="AA1226" s="81" t="s">
        <v>58</v>
      </c>
      <c r="AB1226" s="81" t="s">
        <v>58</v>
      </c>
      <c r="AC1226" s="83">
        <v>46118</v>
      </c>
    </row>
    <row r="1227" spans="2:29" ht="23" x14ac:dyDescent="0.35">
      <c r="B1227" s="81" t="s">
        <v>338</v>
      </c>
      <c r="C1227" s="81" t="s">
        <v>339</v>
      </c>
      <c r="D1227" s="81" t="s">
        <v>340</v>
      </c>
      <c r="E1227" s="81" t="s">
        <v>806</v>
      </c>
      <c r="F1227" s="162" t="s">
        <v>807</v>
      </c>
      <c r="G1227" s="163"/>
      <c r="H1227" s="81" t="s">
        <v>1692</v>
      </c>
      <c r="I1227" s="81" t="s">
        <v>1514</v>
      </c>
      <c r="J1227" s="81" t="s">
        <v>154</v>
      </c>
      <c r="K1227" s="81" t="s">
        <v>1696</v>
      </c>
      <c r="L1227" s="81" t="s">
        <v>58</v>
      </c>
      <c r="M1227" s="164">
        <v>5.5848515000000001</v>
      </c>
      <c r="N1227" s="165"/>
      <c r="O1227" s="163"/>
      <c r="P1227" s="82">
        <v>200</v>
      </c>
      <c r="Q1227" s="164">
        <v>0</v>
      </c>
      <c r="R1227" s="163"/>
      <c r="S1227" s="81" t="s">
        <v>58</v>
      </c>
      <c r="T1227" s="82">
        <v>0</v>
      </c>
      <c r="U1227" s="82">
        <v>0</v>
      </c>
      <c r="V1227" s="82">
        <v>0</v>
      </c>
      <c r="W1227" s="82">
        <v>0</v>
      </c>
      <c r="X1227" s="81"/>
      <c r="Y1227" s="81"/>
      <c r="Z1227" s="81" t="s">
        <v>58</v>
      </c>
      <c r="AA1227" s="81" t="s">
        <v>58</v>
      </c>
      <c r="AB1227" s="81" t="s">
        <v>58</v>
      </c>
      <c r="AC1227" s="83">
        <v>46118</v>
      </c>
    </row>
    <row r="1228" spans="2:29" ht="23" x14ac:dyDescent="0.35">
      <c r="B1228" s="81" t="s">
        <v>338</v>
      </c>
      <c r="C1228" s="81" t="s">
        <v>339</v>
      </c>
      <c r="D1228" s="81" t="s">
        <v>340</v>
      </c>
      <c r="E1228" s="81" t="s">
        <v>806</v>
      </c>
      <c r="F1228" s="162" t="s">
        <v>807</v>
      </c>
      <c r="G1228" s="163"/>
      <c r="H1228" s="81" t="s">
        <v>1692</v>
      </c>
      <c r="I1228" s="81" t="s">
        <v>1514</v>
      </c>
      <c r="J1228" s="81" t="s">
        <v>154</v>
      </c>
      <c r="K1228" s="81" t="s">
        <v>1697</v>
      </c>
      <c r="L1228" s="81" t="s">
        <v>58</v>
      </c>
      <c r="M1228" s="164">
        <v>4.5795782300000001</v>
      </c>
      <c r="N1228" s="165"/>
      <c r="O1228" s="163"/>
      <c r="P1228" s="82">
        <v>164</v>
      </c>
      <c r="Q1228" s="164">
        <v>0</v>
      </c>
      <c r="R1228" s="163"/>
      <c r="S1228" s="81" t="s">
        <v>58</v>
      </c>
      <c r="T1228" s="82">
        <v>0</v>
      </c>
      <c r="U1228" s="82">
        <v>0</v>
      </c>
      <c r="V1228" s="82">
        <v>0</v>
      </c>
      <c r="W1228" s="82">
        <v>0</v>
      </c>
      <c r="X1228" s="81"/>
      <c r="Y1228" s="81"/>
      <c r="Z1228" s="81" t="s">
        <v>58</v>
      </c>
      <c r="AA1228" s="81" t="s">
        <v>58</v>
      </c>
      <c r="AB1228" s="81" t="s">
        <v>58</v>
      </c>
      <c r="AC1228" s="83">
        <v>46118</v>
      </c>
    </row>
    <row r="1229" spans="2:29" ht="23" x14ac:dyDescent="0.35">
      <c r="B1229" s="81" t="s">
        <v>338</v>
      </c>
      <c r="C1229" s="81" t="s">
        <v>339</v>
      </c>
      <c r="D1229" s="81" t="s">
        <v>340</v>
      </c>
      <c r="E1229" s="81" t="s">
        <v>806</v>
      </c>
      <c r="F1229" s="162" t="s">
        <v>807</v>
      </c>
      <c r="G1229" s="163"/>
      <c r="H1229" s="81" t="s">
        <v>1692</v>
      </c>
      <c r="I1229" s="81" t="s">
        <v>1514</v>
      </c>
      <c r="J1229" s="81" t="s">
        <v>154</v>
      </c>
      <c r="K1229" s="81" t="s">
        <v>1698</v>
      </c>
      <c r="L1229" s="81" t="s">
        <v>58</v>
      </c>
      <c r="M1229" s="164">
        <v>5.7832980000000003</v>
      </c>
      <c r="N1229" s="165"/>
      <c r="O1229" s="163"/>
      <c r="P1229" s="82">
        <v>200</v>
      </c>
      <c r="Q1229" s="164">
        <v>0</v>
      </c>
      <c r="R1229" s="163"/>
      <c r="S1229" s="81" t="s">
        <v>58</v>
      </c>
      <c r="T1229" s="82">
        <v>0</v>
      </c>
      <c r="U1229" s="82">
        <v>0</v>
      </c>
      <c r="V1229" s="82">
        <v>0</v>
      </c>
      <c r="W1229" s="82">
        <v>0</v>
      </c>
      <c r="X1229" s="81"/>
      <c r="Y1229" s="81"/>
      <c r="Z1229" s="81" t="s">
        <v>58</v>
      </c>
      <c r="AA1229" s="81" t="s">
        <v>58</v>
      </c>
      <c r="AB1229" s="81" t="s">
        <v>58</v>
      </c>
      <c r="AC1229" s="83">
        <v>46118</v>
      </c>
    </row>
    <row r="1230" spans="2:29" ht="23" x14ac:dyDescent="0.35">
      <c r="B1230" s="81" t="s">
        <v>338</v>
      </c>
      <c r="C1230" s="81" t="s">
        <v>339</v>
      </c>
      <c r="D1230" s="81" t="s">
        <v>340</v>
      </c>
      <c r="E1230" s="81" t="s">
        <v>806</v>
      </c>
      <c r="F1230" s="162" t="s">
        <v>807</v>
      </c>
      <c r="G1230" s="163"/>
      <c r="H1230" s="81" t="s">
        <v>1692</v>
      </c>
      <c r="I1230" s="81" t="s">
        <v>1514</v>
      </c>
      <c r="J1230" s="81" t="s">
        <v>154</v>
      </c>
      <c r="K1230" s="81" t="s">
        <v>1699</v>
      </c>
      <c r="L1230" s="81" t="s">
        <v>58</v>
      </c>
      <c r="M1230" s="164">
        <v>5.7832980000000003</v>
      </c>
      <c r="N1230" s="165"/>
      <c r="O1230" s="163"/>
      <c r="P1230" s="82">
        <v>200</v>
      </c>
      <c r="Q1230" s="164">
        <v>0</v>
      </c>
      <c r="R1230" s="163"/>
      <c r="S1230" s="81" t="s">
        <v>58</v>
      </c>
      <c r="T1230" s="82">
        <v>0</v>
      </c>
      <c r="U1230" s="82">
        <v>0</v>
      </c>
      <c r="V1230" s="82">
        <v>0</v>
      </c>
      <c r="W1230" s="82">
        <v>0</v>
      </c>
      <c r="X1230" s="81"/>
      <c r="Y1230" s="81"/>
      <c r="Z1230" s="81" t="s">
        <v>58</v>
      </c>
      <c r="AA1230" s="81" t="s">
        <v>58</v>
      </c>
      <c r="AB1230" s="81" t="s">
        <v>58</v>
      </c>
      <c r="AC1230" s="83">
        <v>46118</v>
      </c>
    </row>
    <row r="1231" spans="2:29" ht="23" x14ac:dyDescent="0.35">
      <c r="B1231" s="81" t="s">
        <v>338</v>
      </c>
      <c r="C1231" s="81" t="s">
        <v>339</v>
      </c>
      <c r="D1231" s="81" t="s">
        <v>340</v>
      </c>
      <c r="E1231" s="81" t="s">
        <v>806</v>
      </c>
      <c r="F1231" s="162" t="s">
        <v>807</v>
      </c>
      <c r="G1231" s="163"/>
      <c r="H1231" s="81" t="s">
        <v>1692</v>
      </c>
      <c r="I1231" s="81" t="s">
        <v>1514</v>
      </c>
      <c r="J1231" s="81" t="s">
        <v>154</v>
      </c>
      <c r="K1231" s="81" t="s">
        <v>1700</v>
      </c>
      <c r="L1231" s="81" t="s">
        <v>58</v>
      </c>
      <c r="M1231" s="164">
        <v>5.7832980000000003</v>
      </c>
      <c r="N1231" s="165"/>
      <c r="O1231" s="163"/>
      <c r="P1231" s="82">
        <v>200</v>
      </c>
      <c r="Q1231" s="164">
        <v>0</v>
      </c>
      <c r="R1231" s="163"/>
      <c r="S1231" s="81" t="s">
        <v>58</v>
      </c>
      <c r="T1231" s="82">
        <v>0</v>
      </c>
      <c r="U1231" s="82">
        <v>0</v>
      </c>
      <c r="V1231" s="82">
        <v>0</v>
      </c>
      <c r="W1231" s="82">
        <v>0</v>
      </c>
      <c r="X1231" s="81"/>
      <c r="Y1231" s="81"/>
      <c r="Z1231" s="81" t="s">
        <v>58</v>
      </c>
      <c r="AA1231" s="81" t="s">
        <v>58</v>
      </c>
      <c r="AB1231" s="81" t="s">
        <v>58</v>
      </c>
      <c r="AC1231" s="83">
        <v>46118</v>
      </c>
    </row>
    <row r="1232" spans="2:29" ht="23" x14ac:dyDescent="0.35">
      <c r="B1232" s="81" t="s">
        <v>338</v>
      </c>
      <c r="C1232" s="81" t="s">
        <v>339</v>
      </c>
      <c r="D1232" s="81" t="s">
        <v>340</v>
      </c>
      <c r="E1232" s="81" t="s">
        <v>806</v>
      </c>
      <c r="F1232" s="162" t="s">
        <v>807</v>
      </c>
      <c r="G1232" s="163"/>
      <c r="H1232" s="81" t="s">
        <v>1692</v>
      </c>
      <c r="I1232" s="81" t="s">
        <v>1514</v>
      </c>
      <c r="J1232" s="81" t="s">
        <v>154</v>
      </c>
      <c r="K1232" s="81" t="s">
        <v>1701</v>
      </c>
      <c r="L1232" s="81" t="s">
        <v>58</v>
      </c>
      <c r="M1232" s="164">
        <v>5.7832980000000003</v>
      </c>
      <c r="N1232" s="165"/>
      <c r="O1232" s="163"/>
      <c r="P1232" s="82">
        <v>200</v>
      </c>
      <c r="Q1232" s="164">
        <v>0</v>
      </c>
      <c r="R1232" s="163"/>
      <c r="S1232" s="81" t="s">
        <v>58</v>
      </c>
      <c r="T1232" s="82">
        <v>0</v>
      </c>
      <c r="U1232" s="82">
        <v>0</v>
      </c>
      <c r="V1232" s="82">
        <v>0</v>
      </c>
      <c r="W1232" s="82">
        <v>0</v>
      </c>
      <c r="X1232" s="81"/>
      <c r="Y1232" s="81"/>
      <c r="Z1232" s="81" t="s">
        <v>58</v>
      </c>
      <c r="AA1232" s="81" t="s">
        <v>58</v>
      </c>
      <c r="AB1232" s="81" t="s">
        <v>58</v>
      </c>
      <c r="AC1232" s="83">
        <v>46118</v>
      </c>
    </row>
    <row r="1233" spans="2:29" ht="23" x14ac:dyDescent="0.35">
      <c r="B1233" s="81" t="s">
        <v>338</v>
      </c>
      <c r="C1233" s="81" t="s">
        <v>339</v>
      </c>
      <c r="D1233" s="81" t="s">
        <v>340</v>
      </c>
      <c r="E1233" s="81" t="s">
        <v>806</v>
      </c>
      <c r="F1233" s="162" t="s">
        <v>807</v>
      </c>
      <c r="G1233" s="163"/>
      <c r="H1233" s="81" t="s">
        <v>1692</v>
      </c>
      <c r="I1233" s="81" t="s">
        <v>1514</v>
      </c>
      <c r="J1233" s="81" t="s">
        <v>154</v>
      </c>
      <c r="K1233" s="81" t="s">
        <v>1702</v>
      </c>
      <c r="L1233" s="81" t="s">
        <v>58</v>
      </c>
      <c r="M1233" s="164">
        <v>3.6723942300000001</v>
      </c>
      <c r="N1233" s="165"/>
      <c r="O1233" s="163"/>
      <c r="P1233" s="82">
        <v>127</v>
      </c>
      <c r="Q1233" s="164">
        <v>0</v>
      </c>
      <c r="R1233" s="163"/>
      <c r="S1233" s="81" t="s">
        <v>58</v>
      </c>
      <c r="T1233" s="82">
        <v>0</v>
      </c>
      <c r="U1233" s="82">
        <v>0</v>
      </c>
      <c r="V1233" s="82">
        <v>0</v>
      </c>
      <c r="W1233" s="82">
        <v>0</v>
      </c>
      <c r="X1233" s="81"/>
      <c r="Y1233" s="81"/>
      <c r="Z1233" s="81" t="s">
        <v>58</v>
      </c>
      <c r="AA1233" s="81" t="s">
        <v>58</v>
      </c>
      <c r="AB1233" s="81" t="s">
        <v>58</v>
      </c>
      <c r="AC1233" s="83">
        <v>46118</v>
      </c>
    </row>
    <row r="1234" spans="2:29" ht="23" x14ac:dyDescent="0.35">
      <c r="B1234" s="81" t="s">
        <v>338</v>
      </c>
      <c r="C1234" s="81" t="s">
        <v>339</v>
      </c>
      <c r="D1234" s="81" t="s">
        <v>340</v>
      </c>
      <c r="E1234" s="81" t="s">
        <v>806</v>
      </c>
      <c r="F1234" s="162" t="s">
        <v>807</v>
      </c>
      <c r="G1234" s="163"/>
      <c r="H1234" s="81" t="s">
        <v>1692</v>
      </c>
      <c r="I1234" s="81" t="s">
        <v>1514</v>
      </c>
      <c r="J1234" s="81" t="s">
        <v>154</v>
      </c>
      <c r="K1234" s="81" t="s">
        <v>1703</v>
      </c>
      <c r="L1234" s="81" t="s">
        <v>58</v>
      </c>
      <c r="M1234" s="164">
        <v>5.9817444999999996</v>
      </c>
      <c r="N1234" s="165"/>
      <c r="O1234" s="163"/>
      <c r="P1234" s="82">
        <v>200</v>
      </c>
      <c r="Q1234" s="164">
        <v>0</v>
      </c>
      <c r="R1234" s="163"/>
      <c r="S1234" s="81" t="s">
        <v>58</v>
      </c>
      <c r="T1234" s="82">
        <v>0</v>
      </c>
      <c r="U1234" s="82">
        <v>0</v>
      </c>
      <c r="V1234" s="82">
        <v>0</v>
      </c>
      <c r="W1234" s="82">
        <v>0</v>
      </c>
      <c r="X1234" s="81"/>
      <c r="Y1234" s="81"/>
      <c r="Z1234" s="81" t="s">
        <v>58</v>
      </c>
      <c r="AA1234" s="81" t="s">
        <v>58</v>
      </c>
      <c r="AB1234" s="81" t="s">
        <v>58</v>
      </c>
      <c r="AC1234" s="83">
        <v>46118</v>
      </c>
    </row>
    <row r="1235" spans="2:29" ht="23" x14ac:dyDescent="0.35">
      <c r="B1235" s="81" t="s">
        <v>338</v>
      </c>
      <c r="C1235" s="81" t="s">
        <v>339</v>
      </c>
      <c r="D1235" s="81" t="s">
        <v>340</v>
      </c>
      <c r="E1235" s="81" t="s">
        <v>806</v>
      </c>
      <c r="F1235" s="162" t="s">
        <v>807</v>
      </c>
      <c r="G1235" s="163"/>
      <c r="H1235" s="81" t="s">
        <v>1692</v>
      </c>
      <c r="I1235" s="81" t="s">
        <v>1514</v>
      </c>
      <c r="J1235" s="81" t="s">
        <v>154</v>
      </c>
      <c r="K1235" s="81" t="s">
        <v>1704</v>
      </c>
      <c r="L1235" s="81" t="s">
        <v>58</v>
      </c>
      <c r="M1235" s="164">
        <v>5.9817444999999996</v>
      </c>
      <c r="N1235" s="165"/>
      <c r="O1235" s="163"/>
      <c r="P1235" s="82">
        <v>200</v>
      </c>
      <c r="Q1235" s="164">
        <v>0</v>
      </c>
      <c r="R1235" s="163"/>
      <c r="S1235" s="81" t="s">
        <v>58</v>
      </c>
      <c r="T1235" s="82">
        <v>0</v>
      </c>
      <c r="U1235" s="82">
        <v>0</v>
      </c>
      <c r="V1235" s="82">
        <v>0</v>
      </c>
      <c r="W1235" s="82">
        <v>0</v>
      </c>
      <c r="X1235" s="81"/>
      <c r="Y1235" s="81"/>
      <c r="Z1235" s="81" t="s">
        <v>58</v>
      </c>
      <c r="AA1235" s="81" t="s">
        <v>58</v>
      </c>
      <c r="AB1235" s="81" t="s">
        <v>58</v>
      </c>
      <c r="AC1235" s="83">
        <v>46118</v>
      </c>
    </row>
    <row r="1236" spans="2:29" ht="23" x14ac:dyDescent="0.35">
      <c r="B1236" s="81" t="s">
        <v>338</v>
      </c>
      <c r="C1236" s="81" t="s">
        <v>339</v>
      </c>
      <c r="D1236" s="81" t="s">
        <v>340</v>
      </c>
      <c r="E1236" s="81" t="s">
        <v>806</v>
      </c>
      <c r="F1236" s="162" t="s">
        <v>807</v>
      </c>
      <c r="G1236" s="163"/>
      <c r="H1236" s="81" t="s">
        <v>1692</v>
      </c>
      <c r="I1236" s="81" t="s">
        <v>1514</v>
      </c>
      <c r="J1236" s="81" t="s">
        <v>154</v>
      </c>
      <c r="K1236" s="81" t="s">
        <v>1705</v>
      </c>
      <c r="L1236" s="81" t="s">
        <v>58</v>
      </c>
      <c r="M1236" s="164">
        <v>5.9817444999999996</v>
      </c>
      <c r="N1236" s="165"/>
      <c r="O1236" s="163"/>
      <c r="P1236" s="82">
        <v>200</v>
      </c>
      <c r="Q1236" s="164">
        <v>0</v>
      </c>
      <c r="R1236" s="163"/>
      <c r="S1236" s="81" t="s">
        <v>58</v>
      </c>
      <c r="T1236" s="82">
        <v>0</v>
      </c>
      <c r="U1236" s="82">
        <v>0</v>
      </c>
      <c r="V1236" s="82">
        <v>0</v>
      </c>
      <c r="W1236" s="82">
        <v>0</v>
      </c>
      <c r="X1236" s="81"/>
      <c r="Y1236" s="81"/>
      <c r="Z1236" s="81" t="s">
        <v>58</v>
      </c>
      <c r="AA1236" s="81" t="s">
        <v>58</v>
      </c>
      <c r="AB1236" s="81" t="s">
        <v>58</v>
      </c>
      <c r="AC1236" s="83">
        <v>46118</v>
      </c>
    </row>
    <row r="1237" spans="2:29" ht="23" x14ac:dyDescent="0.35">
      <c r="B1237" s="81" t="s">
        <v>338</v>
      </c>
      <c r="C1237" s="81" t="s">
        <v>339</v>
      </c>
      <c r="D1237" s="81" t="s">
        <v>340</v>
      </c>
      <c r="E1237" s="81" t="s">
        <v>806</v>
      </c>
      <c r="F1237" s="162" t="s">
        <v>807</v>
      </c>
      <c r="G1237" s="163"/>
      <c r="H1237" s="81" t="s">
        <v>1692</v>
      </c>
      <c r="I1237" s="81" t="s">
        <v>1514</v>
      </c>
      <c r="J1237" s="81" t="s">
        <v>154</v>
      </c>
      <c r="K1237" s="81" t="s">
        <v>1706</v>
      </c>
      <c r="L1237" s="81" t="s">
        <v>58</v>
      </c>
      <c r="M1237" s="164">
        <v>3.5292292550000002</v>
      </c>
      <c r="N1237" s="165"/>
      <c r="O1237" s="163"/>
      <c r="P1237" s="82">
        <v>118</v>
      </c>
      <c r="Q1237" s="164">
        <v>0</v>
      </c>
      <c r="R1237" s="163"/>
      <c r="S1237" s="81" t="s">
        <v>58</v>
      </c>
      <c r="T1237" s="82">
        <v>0</v>
      </c>
      <c r="U1237" s="82">
        <v>0</v>
      </c>
      <c r="V1237" s="82">
        <v>0</v>
      </c>
      <c r="W1237" s="82">
        <v>0</v>
      </c>
      <c r="X1237" s="81"/>
      <c r="Y1237" s="81"/>
      <c r="Z1237" s="81" t="s">
        <v>58</v>
      </c>
      <c r="AA1237" s="81" t="s">
        <v>58</v>
      </c>
      <c r="AB1237" s="81" t="s">
        <v>58</v>
      </c>
      <c r="AC1237" s="83">
        <v>46118</v>
      </c>
    </row>
    <row r="1238" spans="2:29" ht="23" x14ac:dyDescent="0.35">
      <c r="B1238" s="81" t="s">
        <v>338</v>
      </c>
      <c r="C1238" s="81" t="s">
        <v>339</v>
      </c>
      <c r="D1238" s="81" t="s">
        <v>340</v>
      </c>
      <c r="E1238" s="81" t="s">
        <v>806</v>
      </c>
      <c r="F1238" s="162" t="s">
        <v>807</v>
      </c>
      <c r="G1238" s="163"/>
      <c r="H1238" s="81" t="s">
        <v>1692</v>
      </c>
      <c r="I1238" s="81" t="s">
        <v>1514</v>
      </c>
      <c r="J1238" s="81" t="s">
        <v>154</v>
      </c>
      <c r="K1238" s="81" t="s">
        <v>1707</v>
      </c>
      <c r="L1238" s="81" t="s">
        <v>58</v>
      </c>
      <c r="M1238" s="164">
        <v>6.9456274999999996</v>
      </c>
      <c r="N1238" s="165"/>
      <c r="O1238" s="163"/>
      <c r="P1238" s="82">
        <v>200</v>
      </c>
      <c r="Q1238" s="164">
        <v>0</v>
      </c>
      <c r="R1238" s="163"/>
      <c r="S1238" s="81" t="s">
        <v>58</v>
      </c>
      <c r="T1238" s="82">
        <v>0</v>
      </c>
      <c r="U1238" s="82">
        <v>0</v>
      </c>
      <c r="V1238" s="82">
        <v>0</v>
      </c>
      <c r="W1238" s="82">
        <v>0</v>
      </c>
      <c r="X1238" s="81"/>
      <c r="Y1238" s="81"/>
      <c r="Z1238" s="81" t="s">
        <v>58</v>
      </c>
      <c r="AA1238" s="81" t="s">
        <v>58</v>
      </c>
      <c r="AB1238" s="81" t="s">
        <v>58</v>
      </c>
      <c r="AC1238" s="83">
        <v>46115</v>
      </c>
    </row>
    <row r="1239" spans="2:29" ht="23" x14ac:dyDescent="0.35">
      <c r="B1239" s="81" t="s">
        <v>338</v>
      </c>
      <c r="C1239" s="81" t="s">
        <v>339</v>
      </c>
      <c r="D1239" s="81" t="s">
        <v>340</v>
      </c>
      <c r="E1239" s="81" t="s">
        <v>806</v>
      </c>
      <c r="F1239" s="162" t="s">
        <v>807</v>
      </c>
      <c r="G1239" s="163"/>
      <c r="H1239" s="81" t="s">
        <v>1692</v>
      </c>
      <c r="I1239" s="81" t="s">
        <v>1514</v>
      </c>
      <c r="J1239" s="81" t="s">
        <v>154</v>
      </c>
      <c r="K1239" s="81" t="s">
        <v>1708</v>
      </c>
      <c r="L1239" s="81" t="s">
        <v>58</v>
      </c>
      <c r="M1239" s="164">
        <v>7.7791028000000004</v>
      </c>
      <c r="N1239" s="165"/>
      <c r="O1239" s="163"/>
      <c r="P1239" s="82">
        <v>224</v>
      </c>
      <c r="Q1239" s="164">
        <v>0</v>
      </c>
      <c r="R1239" s="163"/>
      <c r="S1239" s="81" t="s">
        <v>58</v>
      </c>
      <c r="T1239" s="82">
        <v>0</v>
      </c>
      <c r="U1239" s="82">
        <v>0</v>
      </c>
      <c r="V1239" s="82">
        <v>0</v>
      </c>
      <c r="W1239" s="82">
        <v>0</v>
      </c>
      <c r="X1239" s="81"/>
      <c r="Y1239" s="81"/>
      <c r="Z1239" s="81" t="s">
        <v>58</v>
      </c>
      <c r="AA1239" s="81" t="s">
        <v>58</v>
      </c>
      <c r="AB1239" s="81" t="s">
        <v>58</v>
      </c>
      <c r="AC1239" s="83">
        <v>46115</v>
      </c>
    </row>
    <row r="1240" spans="2:29" ht="23" x14ac:dyDescent="0.35">
      <c r="B1240" s="81" t="s">
        <v>338</v>
      </c>
      <c r="C1240" s="81" t="s">
        <v>339</v>
      </c>
      <c r="D1240" s="81" t="s">
        <v>340</v>
      </c>
      <c r="E1240" s="81" t="s">
        <v>806</v>
      </c>
      <c r="F1240" s="162" t="s">
        <v>807</v>
      </c>
      <c r="G1240" s="163"/>
      <c r="H1240" s="81" t="s">
        <v>1692</v>
      </c>
      <c r="I1240" s="81" t="s">
        <v>1514</v>
      </c>
      <c r="J1240" s="81" t="s">
        <v>154</v>
      </c>
      <c r="K1240" s="81" t="s">
        <v>1709</v>
      </c>
      <c r="L1240" s="81" t="s">
        <v>58</v>
      </c>
      <c r="M1240" s="164">
        <v>7.4774074209999997</v>
      </c>
      <c r="N1240" s="165"/>
      <c r="O1240" s="163"/>
      <c r="P1240" s="82">
        <v>209</v>
      </c>
      <c r="Q1240" s="164">
        <v>0</v>
      </c>
      <c r="R1240" s="163"/>
      <c r="S1240" s="81" t="s">
        <v>58</v>
      </c>
      <c r="T1240" s="82">
        <v>0</v>
      </c>
      <c r="U1240" s="82">
        <v>0</v>
      </c>
      <c r="V1240" s="82">
        <v>0</v>
      </c>
      <c r="W1240" s="82">
        <v>0</v>
      </c>
      <c r="X1240" s="81"/>
      <c r="Y1240" s="81"/>
      <c r="Z1240" s="81" t="s">
        <v>58</v>
      </c>
      <c r="AA1240" s="81" t="s">
        <v>58</v>
      </c>
      <c r="AB1240" s="81" t="s">
        <v>58</v>
      </c>
      <c r="AC1240" s="83">
        <v>46115</v>
      </c>
    </row>
    <row r="1241" spans="2:29" ht="23" x14ac:dyDescent="0.35">
      <c r="B1241" s="81" t="s">
        <v>338</v>
      </c>
      <c r="C1241" s="81" t="s">
        <v>339</v>
      </c>
      <c r="D1241" s="81" t="s">
        <v>340</v>
      </c>
      <c r="E1241" s="81" t="s">
        <v>806</v>
      </c>
      <c r="F1241" s="162" t="s">
        <v>807</v>
      </c>
      <c r="G1241" s="163"/>
      <c r="H1241" s="81" t="s">
        <v>1710</v>
      </c>
      <c r="I1241" s="81" t="s">
        <v>1526</v>
      </c>
      <c r="J1241" s="81" t="s">
        <v>153</v>
      </c>
      <c r="K1241" s="81" t="s">
        <v>1711</v>
      </c>
      <c r="L1241" s="81" t="s">
        <v>58</v>
      </c>
      <c r="M1241" s="164">
        <v>5.4636857369999996</v>
      </c>
      <c r="N1241" s="165"/>
      <c r="O1241" s="163"/>
      <c r="P1241" s="82">
        <v>498</v>
      </c>
      <c r="Q1241" s="164">
        <v>0</v>
      </c>
      <c r="R1241" s="163"/>
      <c r="S1241" s="81" t="s">
        <v>58</v>
      </c>
      <c r="T1241" s="82">
        <v>0</v>
      </c>
      <c r="U1241" s="82">
        <v>0</v>
      </c>
      <c r="V1241" s="82">
        <v>0</v>
      </c>
      <c r="W1241" s="82">
        <v>0</v>
      </c>
      <c r="X1241" s="81"/>
      <c r="Y1241" s="81"/>
      <c r="Z1241" s="81" t="s">
        <v>58</v>
      </c>
      <c r="AA1241" s="81" t="s">
        <v>58</v>
      </c>
      <c r="AB1241" s="81" t="s">
        <v>58</v>
      </c>
      <c r="AC1241" s="83">
        <v>46114</v>
      </c>
    </row>
    <row r="1242" spans="2:29" ht="23" x14ac:dyDescent="0.35">
      <c r="B1242" s="81" t="s">
        <v>338</v>
      </c>
      <c r="C1242" s="81" t="s">
        <v>339</v>
      </c>
      <c r="D1242" s="81" t="s">
        <v>340</v>
      </c>
      <c r="E1242" s="81" t="s">
        <v>806</v>
      </c>
      <c r="F1242" s="162" t="s">
        <v>807</v>
      </c>
      <c r="G1242" s="163"/>
      <c r="H1242" s="81" t="s">
        <v>1710</v>
      </c>
      <c r="I1242" s="81" t="s">
        <v>1526</v>
      </c>
      <c r="J1242" s="81" t="s">
        <v>153</v>
      </c>
      <c r="K1242" s="81" t="s">
        <v>1712</v>
      </c>
      <c r="L1242" s="81" t="s">
        <v>58</v>
      </c>
      <c r="M1242" s="164">
        <v>4.53592</v>
      </c>
      <c r="N1242" s="165"/>
      <c r="O1242" s="163"/>
      <c r="P1242" s="82">
        <v>400</v>
      </c>
      <c r="Q1242" s="164">
        <v>0</v>
      </c>
      <c r="R1242" s="163"/>
      <c r="S1242" s="81" t="s">
        <v>58</v>
      </c>
      <c r="T1242" s="82">
        <v>0</v>
      </c>
      <c r="U1242" s="82">
        <v>0</v>
      </c>
      <c r="V1242" s="82">
        <v>0</v>
      </c>
      <c r="W1242" s="82">
        <v>0</v>
      </c>
      <c r="X1242" s="81"/>
      <c r="Y1242" s="81"/>
      <c r="Z1242" s="81" t="s">
        <v>58</v>
      </c>
      <c r="AA1242" s="81" t="s">
        <v>58</v>
      </c>
      <c r="AB1242" s="81" t="s">
        <v>58</v>
      </c>
      <c r="AC1242" s="83">
        <v>46114</v>
      </c>
    </row>
    <row r="1243" spans="2:29" ht="23" x14ac:dyDescent="0.35">
      <c r="B1243" s="81" t="s">
        <v>338</v>
      </c>
      <c r="C1243" s="81" t="s">
        <v>339</v>
      </c>
      <c r="D1243" s="81" t="s">
        <v>340</v>
      </c>
      <c r="E1243" s="81" t="s">
        <v>806</v>
      </c>
      <c r="F1243" s="162" t="s">
        <v>807</v>
      </c>
      <c r="G1243" s="163"/>
      <c r="H1243" s="81" t="s">
        <v>1710</v>
      </c>
      <c r="I1243" s="81" t="s">
        <v>1526</v>
      </c>
      <c r="J1243" s="81" t="s">
        <v>153</v>
      </c>
      <c r="K1243" s="81" t="s">
        <v>1713</v>
      </c>
      <c r="L1243" s="81" t="s">
        <v>58</v>
      </c>
      <c r="M1243" s="164">
        <v>4.53592</v>
      </c>
      <c r="N1243" s="165"/>
      <c r="O1243" s="163"/>
      <c r="P1243" s="82">
        <v>400</v>
      </c>
      <c r="Q1243" s="164">
        <v>0</v>
      </c>
      <c r="R1243" s="163"/>
      <c r="S1243" s="81" t="s">
        <v>58</v>
      </c>
      <c r="T1243" s="82">
        <v>0</v>
      </c>
      <c r="U1243" s="82">
        <v>0</v>
      </c>
      <c r="V1243" s="82">
        <v>0</v>
      </c>
      <c r="W1243" s="82">
        <v>0</v>
      </c>
      <c r="X1243" s="81"/>
      <c r="Y1243" s="81"/>
      <c r="Z1243" s="81" t="s">
        <v>58</v>
      </c>
      <c r="AA1243" s="81" t="s">
        <v>58</v>
      </c>
      <c r="AB1243" s="81" t="s">
        <v>58</v>
      </c>
      <c r="AC1243" s="83">
        <v>46114</v>
      </c>
    </row>
    <row r="1244" spans="2:29" ht="23" x14ac:dyDescent="0.35">
      <c r="B1244" s="81" t="s">
        <v>338</v>
      </c>
      <c r="C1244" s="81" t="s">
        <v>339</v>
      </c>
      <c r="D1244" s="81" t="s">
        <v>340</v>
      </c>
      <c r="E1244" s="81" t="s">
        <v>806</v>
      </c>
      <c r="F1244" s="162" t="s">
        <v>807</v>
      </c>
      <c r="G1244" s="163"/>
      <c r="H1244" s="81" t="s">
        <v>1710</v>
      </c>
      <c r="I1244" s="81" t="s">
        <v>1526</v>
      </c>
      <c r="J1244" s="81" t="s">
        <v>153</v>
      </c>
      <c r="K1244" s="81" t="s">
        <v>1714</v>
      </c>
      <c r="L1244" s="81" t="s">
        <v>58</v>
      </c>
      <c r="M1244" s="164">
        <v>4.53592</v>
      </c>
      <c r="N1244" s="165"/>
      <c r="O1244" s="163"/>
      <c r="P1244" s="82">
        <v>400</v>
      </c>
      <c r="Q1244" s="164">
        <v>0</v>
      </c>
      <c r="R1244" s="163"/>
      <c r="S1244" s="81" t="s">
        <v>58</v>
      </c>
      <c r="T1244" s="82">
        <v>0</v>
      </c>
      <c r="U1244" s="82">
        <v>0</v>
      </c>
      <c r="V1244" s="82">
        <v>0</v>
      </c>
      <c r="W1244" s="82">
        <v>0</v>
      </c>
      <c r="X1244" s="81"/>
      <c r="Y1244" s="81"/>
      <c r="Z1244" s="81" t="s">
        <v>58</v>
      </c>
      <c r="AA1244" s="81" t="s">
        <v>58</v>
      </c>
      <c r="AB1244" s="81" t="s">
        <v>58</v>
      </c>
      <c r="AC1244" s="83">
        <v>46114</v>
      </c>
    </row>
    <row r="1245" spans="2:29" ht="23" x14ac:dyDescent="0.35">
      <c r="B1245" s="81" t="s">
        <v>338</v>
      </c>
      <c r="C1245" s="81" t="s">
        <v>339</v>
      </c>
      <c r="D1245" s="81" t="s">
        <v>340</v>
      </c>
      <c r="E1245" s="81" t="s">
        <v>806</v>
      </c>
      <c r="F1245" s="162" t="s">
        <v>807</v>
      </c>
      <c r="G1245" s="163"/>
      <c r="H1245" s="81" t="s">
        <v>1710</v>
      </c>
      <c r="I1245" s="81" t="s">
        <v>1526</v>
      </c>
      <c r="J1245" s="81" t="s">
        <v>153</v>
      </c>
      <c r="K1245" s="81" t="s">
        <v>1715</v>
      </c>
      <c r="L1245" s="81" t="s">
        <v>58</v>
      </c>
      <c r="M1245" s="164">
        <v>3.175144</v>
      </c>
      <c r="N1245" s="165"/>
      <c r="O1245" s="163"/>
      <c r="P1245" s="82">
        <v>280</v>
      </c>
      <c r="Q1245" s="164">
        <v>0</v>
      </c>
      <c r="R1245" s="163"/>
      <c r="S1245" s="81" t="s">
        <v>58</v>
      </c>
      <c r="T1245" s="82">
        <v>0</v>
      </c>
      <c r="U1245" s="82">
        <v>0</v>
      </c>
      <c r="V1245" s="82">
        <v>0</v>
      </c>
      <c r="W1245" s="82">
        <v>0</v>
      </c>
      <c r="X1245" s="81"/>
      <c r="Y1245" s="81"/>
      <c r="Z1245" s="81" t="s">
        <v>58</v>
      </c>
      <c r="AA1245" s="81" t="s">
        <v>58</v>
      </c>
      <c r="AB1245" s="81" t="s">
        <v>58</v>
      </c>
      <c r="AC1245" s="83">
        <v>46114</v>
      </c>
    </row>
    <row r="1246" spans="2:29" ht="23" x14ac:dyDescent="0.35">
      <c r="B1246" s="81" t="s">
        <v>338</v>
      </c>
      <c r="C1246" s="81" t="s">
        <v>339</v>
      </c>
      <c r="D1246" s="81" t="s">
        <v>340</v>
      </c>
      <c r="E1246" s="81" t="s">
        <v>806</v>
      </c>
      <c r="F1246" s="162" t="s">
        <v>807</v>
      </c>
      <c r="G1246" s="163"/>
      <c r="H1246" s="81" t="s">
        <v>1710</v>
      </c>
      <c r="I1246" s="81" t="s">
        <v>1526</v>
      </c>
      <c r="J1246" s="81" t="s">
        <v>153</v>
      </c>
      <c r="K1246" s="81" t="s">
        <v>1716</v>
      </c>
      <c r="L1246" s="81" t="s">
        <v>58</v>
      </c>
      <c r="M1246" s="164">
        <v>4.6493180000000001</v>
      </c>
      <c r="N1246" s="165"/>
      <c r="O1246" s="163"/>
      <c r="P1246" s="82">
        <v>400</v>
      </c>
      <c r="Q1246" s="164">
        <v>0</v>
      </c>
      <c r="R1246" s="163"/>
      <c r="S1246" s="81" t="s">
        <v>58</v>
      </c>
      <c r="T1246" s="82">
        <v>0</v>
      </c>
      <c r="U1246" s="82">
        <v>0</v>
      </c>
      <c r="V1246" s="82">
        <v>0</v>
      </c>
      <c r="W1246" s="82">
        <v>0</v>
      </c>
      <c r="X1246" s="81"/>
      <c r="Y1246" s="81"/>
      <c r="Z1246" s="81" t="s">
        <v>58</v>
      </c>
      <c r="AA1246" s="81" t="s">
        <v>58</v>
      </c>
      <c r="AB1246" s="81" t="s">
        <v>58</v>
      </c>
      <c r="AC1246" s="83">
        <v>46114</v>
      </c>
    </row>
    <row r="1247" spans="2:29" ht="23" x14ac:dyDescent="0.35">
      <c r="B1247" s="81" t="s">
        <v>338</v>
      </c>
      <c r="C1247" s="81" t="s">
        <v>339</v>
      </c>
      <c r="D1247" s="81" t="s">
        <v>340</v>
      </c>
      <c r="E1247" s="81" t="s">
        <v>806</v>
      </c>
      <c r="F1247" s="162" t="s">
        <v>807</v>
      </c>
      <c r="G1247" s="163"/>
      <c r="H1247" s="81" t="s">
        <v>1710</v>
      </c>
      <c r="I1247" s="81" t="s">
        <v>1526</v>
      </c>
      <c r="J1247" s="81" t="s">
        <v>153</v>
      </c>
      <c r="K1247" s="81" t="s">
        <v>1717</v>
      </c>
      <c r="L1247" s="81" t="s">
        <v>58</v>
      </c>
      <c r="M1247" s="164">
        <v>4.6493180000000001</v>
      </c>
      <c r="N1247" s="165"/>
      <c r="O1247" s="163"/>
      <c r="P1247" s="82">
        <v>400</v>
      </c>
      <c r="Q1247" s="164">
        <v>0</v>
      </c>
      <c r="R1247" s="163"/>
      <c r="S1247" s="81" t="s">
        <v>58</v>
      </c>
      <c r="T1247" s="82">
        <v>0</v>
      </c>
      <c r="U1247" s="82">
        <v>0</v>
      </c>
      <c r="V1247" s="82">
        <v>0</v>
      </c>
      <c r="W1247" s="82">
        <v>0</v>
      </c>
      <c r="X1247" s="81"/>
      <c r="Y1247" s="81"/>
      <c r="Z1247" s="81" t="s">
        <v>58</v>
      </c>
      <c r="AA1247" s="81" t="s">
        <v>58</v>
      </c>
      <c r="AB1247" s="81" t="s">
        <v>58</v>
      </c>
      <c r="AC1247" s="83">
        <v>46114</v>
      </c>
    </row>
    <row r="1248" spans="2:29" ht="23" x14ac:dyDescent="0.35">
      <c r="B1248" s="81" t="s">
        <v>338</v>
      </c>
      <c r="C1248" s="81" t="s">
        <v>339</v>
      </c>
      <c r="D1248" s="81" t="s">
        <v>340</v>
      </c>
      <c r="E1248" s="81" t="s">
        <v>806</v>
      </c>
      <c r="F1248" s="162" t="s">
        <v>807</v>
      </c>
      <c r="G1248" s="163"/>
      <c r="H1248" s="81" t="s">
        <v>1710</v>
      </c>
      <c r="I1248" s="81" t="s">
        <v>1526</v>
      </c>
      <c r="J1248" s="81" t="s">
        <v>153</v>
      </c>
      <c r="K1248" s="81" t="s">
        <v>1718</v>
      </c>
      <c r="L1248" s="81" t="s">
        <v>58</v>
      </c>
      <c r="M1248" s="164">
        <v>4.6493180000000001</v>
      </c>
      <c r="N1248" s="165"/>
      <c r="O1248" s="163"/>
      <c r="P1248" s="82">
        <v>400</v>
      </c>
      <c r="Q1248" s="164">
        <v>0</v>
      </c>
      <c r="R1248" s="163"/>
      <c r="S1248" s="81" t="s">
        <v>58</v>
      </c>
      <c r="T1248" s="82">
        <v>0</v>
      </c>
      <c r="U1248" s="82">
        <v>0</v>
      </c>
      <c r="V1248" s="82">
        <v>0</v>
      </c>
      <c r="W1248" s="82">
        <v>0</v>
      </c>
      <c r="X1248" s="81"/>
      <c r="Y1248" s="81"/>
      <c r="Z1248" s="81" t="s">
        <v>58</v>
      </c>
      <c r="AA1248" s="81" t="s">
        <v>58</v>
      </c>
      <c r="AB1248" s="81" t="s">
        <v>58</v>
      </c>
      <c r="AC1248" s="83">
        <v>46114</v>
      </c>
    </row>
    <row r="1249" spans="2:29" ht="23" x14ac:dyDescent="0.35">
      <c r="B1249" s="81" t="s">
        <v>338</v>
      </c>
      <c r="C1249" s="81" t="s">
        <v>339</v>
      </c>
      <c r="D1249" s="81" t="s">
        <v>340</v>
      </c>
      <c r="E1249" s="81" t="s">
        <v>806</v>
      </c>
      <c r="F1249" s="162" t="s">
        <v>807</v>
      </c>
      <c r="G1249" s="163"/>
      <c r="H1249" s="81" t="s">
        <v>1710</v>
      </c>
      <c r="I1249" s="81" t="s">
        <v>1526</v>
      </c>
      <c r="J1249" s="81" t="s">
        <v>153</v>
      </c>
      <c r="K1249" s="81" t="s">
        <v>1719</v>
      </c>
      <c r="L1249" s="81" t="s">
        <v>58</v>
      </c>
      <c r="M1249" s="164">
        <v>4.6493180000000001</v>
      </c>
      <c r="N1249" s="165"/>
      <c r="O1249" s="163"/>
      <c r="P1249" s="82">
        <v>400</v>
      </c>
      <c r="Q1249" s="164">
        <v>0</v>
      </c>
      <c r="R1249" s="163"/>
      <c r="S1249" s="81" t="s">
        <v>58</v>
      </c>
      <c r="T1249" s="82">
        <v>0</v>
      </c>
      <c r="U1249" s="82">
        <v>0</v>
      </c>
      <c r="V1249" s="82">
        <v>0</v>
      </c>
      <c r="W1249" s="82">
        <v>0</v>
      </c>
      <c r="X1249" s="81"/>
      <c r="Y1249" s="81"/>
      <c r="Z1249" s="81" t="s">
        <v>58</v>
      </c>
      <c r="AA1249" s="81" t="s">
        <v>58</v>
      </c>
      <c r="AB1249" s="81" t="s">
        <v>58</v>
      </c>
      <c r="AC1249" s="83">
        <v>46114</v>
      </c>
    </row>
    <row r="1250" spans="2:29" ht="23" x14ac:dyDescent="0.35">
      <c r="B1250" s="81" t="s">
        <v>338</v>
      </c>
      <c r="C1250" s="81" t="s">
        <v>339</v>
      </c>
      <c r="D1250" s="81" t="s">
        <v>340</v>
      </c>
      <c r="E1250" s="81" t="s">
        <v>806</v>
      </c>
      <c r="F1250" s="162" t="s">
        <v>807</v>
      </c>
      <c r="G1250" s="163"/>
      <c r="H1250" s="81" t="s">
        <v>1710</v>
      </c>
      <c r="I1250" s="81" t="s">
        <v>1526</v>
      </c>
      <c r="J1250" s="81" t="s">
        <v>153</v>
      </c>
      <c r="K1250" s="81" t="s">
        <v>1720</v>
      </c>
      <c r="L1250" s="81" t="s">
        <v>58</v>
      </c>
      <c r="M1250" s="164">
        <v>2.9523169299999998</v>
      </c>
      <c r="N1250" s="165"/>
      <c r="O1250" s="163"/>
      <c r="P1250" s="82">
        <v>254</v>
      </c>
      <c r="Q1250" s="164">
        <v>0</v>
      </c>
      <c r="R1250" s="163"/>
      <c r="S1250" s="81" t="s">
        <v>58</v>
      </c>
      <c r="T1250" s="82">
        <v>0</v>
      </c>
      <c r="U1250" s="82">
        <v>0</v>
      </c>
      <c r="V1250" s="82">
        <v>0</v>
      </c>
      <c r="W1250" s="82">
        <v>0</v>
      </c>
      <c r="X1250" s="81"/>
      <c r="Y1250" s="81"/>
      <c r="Z1250" s="81" t="s">
        <v>58</v>
      </c>
      <c r="AA1250" s="81" t="s">
        <v>58</v>
      </c>
      <c r="AB1250" s="81" t="s">
        <v>58</v>
      </c>
      <c r="AC1250" s="83">
        <v>46114</v>
      </c>
    </row>
    <row r="1251" spans="2:29" ht="23" x14ac:dyDescent="0.35">
      <c r="B1251" s="81" t="s">
        <v>338</v>
      </c>
      <c r="C1251" s="81" t="s">
        <v>339</v>
      </c>
      <c r="D1251" s="81" t="s">
        <v>340</v>
      </c>
      <c r="E1251" s="81" t="s">
        <v>806</v>
      </c>
      <c r="F1251" s="162" t="s">
        <v>807</v>
      </c>
      <c r="G1251" s="163"/>
      <c r="H1251" s="81" t="s">
        <v>1710</v>
      </c>
      <c r="I1251" s="81" t="s">
        <v>1526</v>
      </c>
      <c r="J1251" s="81" t="s">
        <v>153</v>
      </c>
      <c r="K1251" s="81" t="s">
        <v>1721</v>
      </c>
      <c r="L1251" s="81" t="s">
        <v>58</v>
      </c>
      <c r="M1251" s="164">
        <v>4.7627160000000002</v>
      </c>
      <c r="N1251" s="165"/>
      <c r="O1251" s="163"/>
      <c r="P1251" s="82">
        <v>400</v>
      </c>
      <c r="Q1251" s="164">
        <v>0</v>
      </c>
      <c r="R1251" s="163"/>
      <c r="S1251" s="81" t="s">
        <v>58</v>
      </c>
      <c r="T1251" s="82">
        <v>0</v>
      </c>
      <c r="U1251" s="82">
        <v>0</v>
      </c>
      <c r="V1251" s="82">
        <v>0</v>
      </c>
      <c r="W1251" s="82">
        <v>0</v>
      </c>
      <c r="X1251" s="81"/>
      <c r="Y1251" s="81"/>
      <c r="Z1251" s="81" t="s">
        <v>58</v>
      </c>
      <c r="AA1251" s="81" t="s">
        <v>58</v>
      </c>
      <c r="AB1251" s="81" t="s">
        <v>58</v>
      </c>
      <c r="AC1251" s="83">
        <v>46114</v>
      </c>
    </row>
    <row r="1252" spans="2:29" ht="23" x14ac:dyDescent="0.35">
      <c r="B1252" s="81" t="s">
        <v>338</v>
      </c>
      <c r="C1252" s="81" t="s">
        <v>339</v>
      </c>
      <c r="D1252" s="81" t="s">
        <v>340</v>
      </c>
      <c r="E1252" s="81" t="s">
        <v>806</v>
      </c>
      <c r="F1252" s="162" t="s">
        <v>807</v>
      </c>
      <c r="G1252" s="163"/>
      <c r="H1252" s="81" t="s">
        <v>1710</v>
      </c>
      <c r="I1252" s="81" t="s">
        <v>1526</v>
      </c>
      <c r="J1252" s="81" t="s">
        <v>153</v>
      </c>
      <c r="K1252" s="81" t="s">
        <v>1722</v>
      </c>
      <c r="L1252" s="81" t="s">
        <v>58</v>
      </c>
      <c r="M1252" s="164">
        <v>4.7627160000000002</v>
      </c>
      <c r="N1252" s="165"/>
      <c r="O1252" s="163"/>
      <c r="P1252" s="82">
        <v>400</v>
      </c>
      <c r="Q1252" s="164">
        <v>0</v>
      </c>
      <c r="R1252" s="163"/>
      <c r="S1252" s="81" t="s">
        <v>58</v>
      </c>
      <c r="T1252" s="82">
        <v>0</v>
      </c>
      <c r="U1252" s="82">
        <v>0</v>
      </c>
      <c r="V1252" s="82">
        <v>0</v>
      </c>
      <c r="W1252" s="82">
        <v>0</v>
      </c>
      <c r="X1252" s="81"/>
      <c r="Y1252" s="81"/>
      <c r="Z1252" s="81" t="s">
        <v>58</v>
      </c>
      <c r="AA1252" s="81" t="s">
        <v>58</v>
      </c>
      <c r="AB1252" s="81" t="s">
        <v>58</v>
      </c>
      <c r="AC1252" s="83">
        <v>46114</v>
      </c>
    </row>
    <row r="1253" spans="2:29" ht="23" x14ac:dyDescent="0.35">
      <c r="B1253" s="81" t="s">
        <v>338</v>
      </c>
      <c r="C1253" s="81" t="s">
        <v>339</v>
      </c>
      <c r="D1253" s="81" t="s">
        <v>340</v>
      </c>
      <c r="E1253" s="81" t="s">
        <v>806</v>
      </c>
      <c r="F1253" s="162" t="s">
        <v>807</v>
      </c>
      <c r="G1253" s="163"/>
      <c r="H1253" s="81" t="s">
        <v>1710</v>
      </c>
      <c r="I1253" s="81" t="s">
        <v>1526</v>
      </c>
      <c r="J1253" s="81" t="s">
        <v>153</v>
      </c>
      <c r="K1253" s="81" t="s">
        <v>1723</v>
      </c>
      <c r="L1253" s="81" t="s">
        <v>58</v>
      </c>
      <c r="M1253" s="164">
        <v>4.7627160000000002</v>
      </c>
      <c r="N1253" s="165"/>
      <c r="O1253" s="163"/>
      <c r="P1253" s="82">
        <v>400</v>
      </c>
      <c r="Q1253" s="164">
        <v>0</v>
      </c>
      <c r="R1253" s="163"/>
      <c r="S1253" s="81" t="s">
        <v>58</v>
      </c>
      <c r="T1253" s="82">
        <v>0</v>
      </c>
      <c r="U1253" s="82">
        <v>0</v>
      </c>
      <c r="V1253" s="82">
        <v>0</v>
      </c>
      <c r="W1253" s="82">
        <v>0</v>
      </c>
      <c r="X1253" s="81"/>
      <c r="Y1253" s="81"/>
      <c r="Z1253" s="81" t="s">
        <v>58</v>
      </c>
      <c r="AA1253" s="81" t="s">
        <v>58</v>
      </c>
      <c r="AB1253" s="81" t="s">
        <v>58</v>
      </c>
      <c r="AC1253" s="83">
        <v>46114</v>
      </c>
    </row>
    <row r="1254" spans="2:29" ht="23" x14ac:dyDescent="0.35">
      <c r="B1254" s="81" t="s">
        <v>338</v>
      </c>
      <c r="C1254" s="81" t="s">
        <v>339</v>
      </c>
      <c r="D1254" s="81" t="s">
        <v>340</v>
      </c>
      <c r="E1254" s="81" t="s">
        <v>806</v>
      </c>
      <c r="F1254" s="162" t="s">
        <v>807</v>
      </c>
      <c r="G1254" s="163"/>
      <c r="H1254" s="81" t="s">
        <v>1710</v>
      </c>
      <c r="I1254" s="81" t="s">
        <v>1526</v>
      </c>
      <c r="J1254" s="81" t="s">
        <v>153</v>
      </c>
      <c r="K1254" s="81" t="s">
        <v>1724</v>
      </c>
      <c r="L1254" s="81" t="s">
        <v>58</v>
      </c>
      <c r="M1254" s="164">
        <v>2.8100024399999999</v>
      </c>
      <c r="N1254" s="165"/>
      <c r="O1254" s="163"/>
      <c r="P1254" s="82">
        <v>236</v>
      </c>
      <c r="Q1254" s="164">
        <v>0</v>
      </c>
      <c r="R1254" s="163"/>
      <c r="S1254" s="81" t="s">
        <v>58</v>
      </c>
      <c r="T1254" s="82">
        <v>0</v>
      </c>
      <c r="U1254" s="82">
        <v>0</v>
      </c>
      <c r="V1254" s="82">
        <v>0</v>
      </c>
      <c r="W1254" s="82">
        <v>0</v>
      </c>
      <c r="X1254" s="81"/>
      <c r="Y1254" s="81"/>
      <c r="Z1254" s="81" t="s">
        <v>58</v>
      </c>
      <c r="AA1254" s="81" t="s">
        <v>58</v>
      </c>
      <c r="AB1254" s="81" t="s">
        <v>58</v>
      </c>
      <c r="AC1254" s="83">
        <v>46114</v>
      </c>
    </row>
    <row r="1255" spans="2:29" ht="23" x14ac:dyDescent="0.35">
      <c r="B1255" s="81" t="s">
        <v>338</v>
      </c>
      <c r="C1255" s="81" t="s">
        <v>339</v>
      </c>
      <c r="D1255" s="81" t="s">
        <v>340</v>
      </c>
      <c r="E1255" s="81" t="s">
        <v>806</v>
      </c>
      <c r="F1255" s="162" t="s">
        <v>807</v>
      </c>
      <c r="G1255" s="163"/>
      <c r="H1255" s="81" t="s">
        <v>1710</v>
      </c>
      <c r="I1255" s="81" t="s">
        <v>1526</v>
      </c>
      <c r="J1255" s="81" t="s">
        <v>153</v>
      </c>
      <c r="K1255" s="81" t="s">
        <v>1725</v>
      </c>
      <c r="L1255" s="81" t="s">
        <v>58</v>
      </c>
      <c r="M1255" s="164">
        <v>4.8761140000000003</v>
      </c>
      <c r="N1255" s="165"/>
      <c r="O1255" s="163"/>
      <c r="P1255" s="82">
        <v>400</v>
      </c>
      <c r="Q1255" s="164">
        <v>0</v>
      </c>
      <c r="R1255" s="163"/>
      <c r="S1255" s="81" t="s">
        <v>58</v>
      </c>
      <c r="T1255" s="82">
        <v>0</v>
      </c>
      <c r="U1255" s="82">
        <v>0</v>
      </c>
      <c r="V1255" s="82">
        <v>0</v>
      </c>
      <c r="W1255" s="82">
        <v>0</v>
      </c>
      <c r="X1255" s="81"/>
      <c r="Y1255" s="81"/>
      <c r="Z1255" s="81" t="s">
        <v>58</v>
      </c>
      <c r="AA1255" s="81" t="s">
        <v>58</v>
      </c>
      <c r="AB1255" s="81" t="s">
        <v>58</v>
      </c>
      <c r="AC1255" s="83">
        <v>46114</v>
      </c>
    </row>
    <row r="1256" spans="2:29" ht="23" x14ac:dyDescent="0.35">
      <c r="B1256" s="81" t="s">
        <v>338</v>
      </c>
      <c r="C1256" s="81" t="s">
        <v>339</v>
      </c>
      <c r="D1256" s="81" t="s">
        <v>340</v>
      </c>
      <c r="E1256" s="81" t="s">
        <v>806</v>
      </c>
      <c r="F1256" s="162" t="s">
        <v>807</v>
      </c>
      <c r="G1256" s="163"/>
      <c r="H1256" s="81" t="s">
        <v>1710</v>
      </c>
      <c r="I1256" s="81" t="s">
        <v>1526</v>
      </c>
      <c r="J1256" s="81" t="s">
        <v>153</v>
      </c>
      <c r="K1256" s="81" t="s">
        <v>1726</v>
      </c>
      <c r="L1256" s="81" t="s">
        <v>58</v>
      </c>
      <c r="M1256" s="164">
        <v>5.4612476799999996</v>
      </c>
      <c r="N1256" s="165"/>
      <c r="O1256" s="163"/>
      <c r="P1256" s="82">
        <v>448</v>
      </c>
      <c r="Q1256" s="164">
        <v>0</v>
      </c>
      <c r="R1256" s="163"/>
      <c r="S1256" s="81" t="s">
        <v>58</v>
      </c>
      <c r="T1256" s="82">
        <v>0</v>
      </c>
      <c r="U1256" s="82">
        <v>0</v>
      </c>
      <c r="V1256" s="82">
        <v>0</v>
      </c>
      <c r="W1256" s="82">
        <v>0</v>
      </c>
      <c r="X1256" s="81"/>
      <c r="Y1256" s="81"/>
      <c r="Z1256" s="81" t="s">
        <v>58</v>
      </c>
      <c r="AA1256" s="81" t="s">
        <v>58</v>
      </c>
      <c r="AB1256" s="81" t="s">
        <v>58</v>
      </c>
      <c r="AC1256" s="83">
        <v>46114</v>
      </c>
    </row>
    <row r="1257" spans="2:29" ht="23" x14ac:dyDescent="0.35">
      <c r="B1257" s="81" t="s">
        <v>338</v>
      </c>
      <c r="C1257" s="81" t="s">
        <v>339</v>
      </c>
      <c r="D1257" s="81" t="s">
        <v>340</v>
      </c>
      <c r="E1257" s="81" t="s">
        <v>806</v>
      </c>
      <c r="F1257" s="162" t="s">
        <v>807</v>
      </c>
      <c r="G1257" s="163"/>
      <c r="H1257" s="81" t="s">
        <v>1710</v>
      </c>
      <c r="I1257" s="81" t="s">
        <v>1526</v>
      </c>
      <c r="J1257" s="81" t="s">
        <v>153</v>
      </c>
      <c r="K1257" s="81" t="s">
        <v>1727</v>
      </c>
      <c r="L1257" s="81" t="s">
        <v>58</v>
      </c>
      <c r="M1257" s="164">
        <v>5.2258901309999999</v>
      </c>
      <c r="N1257" s="165"/>
      <c r="O1257" s="163"/>
      <c r="P1257" s="82">
        <v>418</v>
      </c>
      <c r="Q1257" s="164">
        <v>0</v>
      </c>
      <c r="R1257" s="163"/>
      <c r="S1257" s="81" t="s">
        <v>58</v>
      </c>
      <c r="T1257" s="82">
        <v>0</v>
      </c>
      <c r="U1257" s="82">
        <v>0</v>
      </c>
      <c r="V1257" s="82">
        <v>0</v>
      </c>
      <c r="W1257" s="82">
        <v>0</v>
      </c>
      <c r="X1257" s="81"/>
      <c r="Y1257" s="81"/>
      <c r="Z1257" s="81" t="s">
        <v>58</v>
      </c>
      <c r="AA1257" s="81" t="s">
        <v>58</v>
      </c>
      <c r="AB1257" s="81" t="s">
        <v>58</v>
      </c>
      <c r="AC1257" s="83">
        <v>46114</v>
      </c>
    </row>
    <row r="1258" spans="2:29" ht="23" x14ac:dyDescent="0.35">
      <c r="B1258" s="81" t="s">
        <v>338</v>
      </c>
      <c r="C1258" s="81" t="s">
        <v>339</v>
      </c>
      <c r="D1258" s="81" t="s">
        <v>340</v>
      </c>
      <c r="E1258" s="81" t="s">
        <v>806</v>
      </c>
      <c r="F1258" s="162" t="s">
        <v>807</v>
      </c>
      <c r="G1258" s="163"/>
      <c r="H1258" s="81" t="s">
        <v>1525</v>
      </c>
      <c r="I1258" s="81" t="s">
        <v>1526</v>
      </c>
      <c r="J1258" s="81" t="s">
        <v>153</v>
      </c>
      <c r="K1258" s="81" t="s">
        <v>1728</v>
      </c>
      <c r="L1258" s="81" t="s">
        <v>58</v>
      </c>
      <c r="M1258" s="164">
        <v>0.46493180000000001</v>
      </c>
      <c r="N1258" s="165"/>
      <c r="O1258" s="163"/>
      <c r="P1258" s="82">
        <v>40</v>
      </c>
      <c r="Q1258" s="164">
        <v>0</v>
      </c>
      <c r="R1258" s="163"/>
      <c r="S1258" s="81" t="s">
        <v>58</v>
      </c>
      <c r="T1258" s="82">
        <v>0</v>
      </c>
      <c r="U1258" s="82">
        <v>0</v>
      </c>
      <c r="V1258" s="82">
        <v>0</v>
      </c>
      <c r="W1258" s="82">
        <v>0</v>
      </c>
      <c r="X1258" s="81"/>
      <c r="Y1258" s="81"/>
      <c r="Z1258" s="81" t="s">
        <v>58</v>
      </c>
      <c r="AA1258" s="81" t="s">
        <v>58</v>
      </c>
      <c r="AB1258" s="81" t="s">
        <v>58</v>
      </c>
      <c r="AC1258" s="83">
        <v>46114</v>
      </c>
    </row>
    <row r="1259" spans="2:29" ht="23" x14ac:dyDescent="0.35">
      <c r="B1259" s="81" t="s">
        <v>338</v>
      </c>
      <c r="C1259" s="81" t="s">
        <v>339</v>
      </c>
      <c r="D1259" s="81" t="s">
        <v>340</v>
      </c>
      <c r="E1259" s="81" t="s">
        <v>806</v>
      </c>
      <c r="F1259" s="162" t="s">
        <v>807</v>
      </c>
      <c r="G1259" s="163"/>
      <c r="H1259" s="81" t="s">
        <v>1513</v>
      </c>
      <c r="I1259" s="81" t="s">
        <v>1514</v>
      </c>
      <c r="J1259" s="81" t="s">
        <v>154</v>
      </c>
      <c r="K1259" s="81" t="s">
        <v>1729</v>
      </c>
      <c r="L1259" s="81" t="s">
        <v>58</v>
      </c>
      <c r="M1259" s="164">
        <v>0.5783298</v>
      </c>
      <c r="N1259" s="165"/>
      <c r="O1259" s="163"/>
      <c r="P1259" s="82">
        <v>20</v>
      </c>
      <c r="Q1259" s="164">
        <v>0</v>
      </c>
      <c r="R1259" s="163"/>
      <c r="S1259" s="81" t="s">
        <v>58</v>
      </c>
      <c r="T1259" s="82">
        <v>0</v>
      </c>
      <c r="U1259" s="82">
        <v>0</v>
      </c>
      <c r="V1259" s="82">
        <v>0</v>
      </c>
      <c r="W1259" s="82">
        <v>0</v>
      </c>
      <c r="X1259" s="81"/>
      <c r="Y1259" s="81"/>
      <c r="Z1259" s="81" t="s">
        <v>58</v>
      </c>
      <c r="AA1259" s="81" t="s">
        <v>58</v>
      </c>
      <c r="AB1259" s="81" t="s">
        <v>58</v>
      </c>
      <c r="AC1259" s="83">
        <v>46114</v>
      </c>
    </row>
    <row r="1260" spans="2:29" ht="23" x14ac:dyDescent="0.35">
      <c r="B1260" s="81" t="s">
        <v>338</v>
      </c>
      <c r="C1260" s="81" t="s">
        <v>339</v>
      </c>
      <c r="D1260" s="81" t="s">
        <v>340</v>
      </c>
      <c r="E1260" s="81" t="s">
        <v>359</v>
      </c>
      <c r="F1260" s="162" t="s">
        <v>360</v>
      </c>
      <c r="G1260" s="163"/>
      <c r="H1260" s="81" t="s">
        <v>1730</v>
      </c>
      <c r="I1260" s="81" t="s">
        <v>1436</v>
      </c>
      <c r="J1260" s="81" t="s">
        <v>154</v>
      </c>
      <c r="K1260" s="81" t="s">
        <v>1731</v>
      </c>
      <c r="L1260" s="81" t="s">
        <v>58</v>
      </c>
      <c r="M1260" s="164">
        <v>1.93230192</v>
      </c>
      <c r="N1260" s="165"/>
      <c r="O1260" s="163"/>
      <c r="P1260" s="82">
        <v>71</v>
      </c>
      <c r="Q1260" s="164">
        <v>0</v>
      </c>
      <c r="R1260" s="163"/>
      <c r="S1260" s="81" t="s">
        <v>58</v>
      </c>
      <c r="T1260" s="82">
        <v>0</v>
      </c>
      <c r="U1260" s="82">
        <v>0</v>
      </c>
      <c r="V1260" s="82">
        <v>0</v>
      </c>
      <c r="W1260" s="82">
        <v>0</v>
      </c>
      <c r="X1260" s="81"/>
      <c r="Y1260" s="81"/>
      <c r="Z1260" s="81" t="s">
        <v>58</v>
      </c>
      <c r="AA1260" s="81" t="s">
        <v>58</v>
      </c>
      <c r="AB1260" s="81" t="s">
        <v>58</v>
      </c>
      <c r="AC1260" s="83">
        <v>46120</v>
      </c>
    </row>
    <row r="1261" spans="2:29" ht="23" x14ac:dyDescent="0.35">
      <c r="B1261" s="81" t="s">
        <v>338</v>
      </c>
      <c r="C1261" s="81" t="s">
        <v>339</v>
      </c>
      <c r="D1261" s="81" t="s">
        <v>340</v>
      </c>
      <c r="E1261" s="81" t="s">
        <v>359</v>
      </c>
      <c r="F1261" s="162" t="s">
        <v>360</v>
      </c>
      <c r="G1261" s="163"/>
      <c r="H1261" s="81" t="s">
        <v>1730</v>
      </c>
      <c r="I1261" s="81" t="s">
        <v>1436</v>
      </c>
      <c r="J1261" s="81" t="s">
        <v>154</v>
      </c>
      <c r="K1261" s="81" t="s">
        <v>1732</v>
      </c>
      <c r="L1261" s="81" t="s">
        <v>58</v>
      </c>
      <c r="M1261" s="164">
        <v>5.4431039999999999</v>
      </c>
      <c r="N1261" s="165"/>
      <c r="O1261" s="163"/>
      <c r="P1261" s="82">
        <v>200</v>
      </c>
      <c r="Q1261" s="164">
        <v>0</v>
      </c>
      <c r="R1261" s="163"/>
      <c r="S1261" s="81" t="s">
        <v>58</v>
      </c>
      <c r="T1261" s="82">
        <v>0</v>
      </c>
      <c r="U1261" s="82">
        <v>0</v>
      </c>
      <c r="V1261" s="82">
        <v>0</v>
      </c>
      <c r="W1261" s="82">
        <v>0</v>
      </c>
      <c r="X1261" s="81"/>
      <c r="Y1261" s="81"/>
      <c r="Z1261" s="81" t="s">
        <v>58</v>
      </c>
      <c r="AA1261" s="81" t="s">
        <v>58</v>
      </c>
      <c r="AB1261" s="81" t="s">
        <v>58</v>
      </c>
      <c r="AC1261" s="83">
        <v>46120</v>
      </c>
    </row>
    <row r="1262" spans="2:29" ht="23" x14ac:dyDescent="0.35">
      <c r="B1262" s="81" t="s">
        <v>338</v>
      </c>
      <c r="C1262" s="81" t="s">
        <v>339</v>
      </c>
      <c r="D1262" s="81" t="s">
        <v>340</v>
      </c>
      <c r="E1262" s="81" t="s">
        <v>359</v>
      </c>
      <c r="F1262" s="162" t="s">
        <v>360</v>
      </c>
      <c r="G1262" s="163"/>
      <c r="H1262" s="81" t="s">
        <v>1730</v>
      </c>
      <c r="I1262" s="81" t="s">
        <v>1436</v>
      </c>
      <c r="J1262" s="81" t="s">
        <v>154</v>
      </c>
      <c r="K1262" s="81" t="s">
        <v>1733</v>
      </c>
      <c r="L1262" s="81" t="s">
        <v>58</v>
      </c>
      <c r="M1262" s="164">
        <v>5.4431039999999999</v>
      </c>
      <c r="N1262" s="165"/>
      <c r="O1262" s="163"/>
      <c r="P1262" s="82">
        <v>200</v>
      </c>
      <c r="Q1262" s="164">
        <v>0</v>
      </c>
      <c r="R1262" s="163"/>
      <c r="S1262" s="81" t="s">
        <v>58</v>
      </c>
      <c r="T1262" s="82">
        <v>0</v>
      </c>
      <c r="U1262" s="82">
        <v>0</v>
      </c>
      <c r="V1262" s="82">
        <v>0</v>
      </c>
      <c r="W1262" s="82">
        <v>0</v>
      </c>
      <c r="X1262" s="81"/>
      <c r="Y1262" s="81"/>
      <c r="Z1262" s="81" t="s">
        <v>58</v>
      </c>
      <c r="AA1262" s="81" t="s">
        <v>58</v>
      </c>
      <c r="AB1262" s="81" t="s">
        <v>58</v>
      </c>
      <c r="AC1262" s="83">
        <v>46120</v>
      </c>
    </row>
    <row r="1263" spans="2:29" ht="23" x14ac:dyDescent="0.35">
      <c r="B1263" s="81" t="s">
        <v>338</v>
      </c>
      <c r="C1263" s="81" t="s">
        <v>339</v>
      </c>
      <c r="D1263" s="81" t="s">
        <v>340</v>
      </c>
      <c r="E1263" s="81" t="s">
        <v>359</v>
      </c>
      <c r="F1263" s="162" t="s">
        <v>360</v>
      </c>
      <c r="G1263" s="163"/>
      <c r="H1263" s="81" t="s">
        <v>1730</v>
      </c>
      <c r="I1263" s="81" t="s">
        <v>1436</v>
      </c>
      <c r="J1263" s="81" t="s">
        <v>154</v>
      </c>
      <c r="K1263" s="81" t="s">
        <v>1734</v>
      </c>
      <c r="L1263" s="81" t="s">
        <v>58</v>
      </c>
      <c r="M1263" s="164">
        <v>5.4431039999999999</v>
      </c>
      <c r="N1263" s="165"/>
      <c r="O1263" s="163"/>
      <c r="P1263" s="82">
        <v>200</v>
      </c>
      <c r="Q1263" s="164">
        <v>0</v>
      </c>
      <c r="R1263" s="163"/>
      <c r="S1263" s="81" t="s">
        <v>58</v>
      </c>
      <c r="T1263" s="82">
        <v>0</v>
      </c>
      <c r="U1263" s="82">
        <v>0</v>
      </c>
      <c r="V1263" s="82">
        <v>0</v>
      </c>
      <c r="W1263" s="82">
        <v>0</v>
      </c>
      <c r="X1263" s="81"/>
      <c r="Y1263" s="81"/>
      <c r="Z1263" s="81" t="s">
        <v>58</v>
      </c>
      <c r="AA1263" s="81" t="s">
        <v>58</v>
      </c>
      <c r="AB1263" s="81" t="s">
        <v>58</v>
      </c>
      <c r="AC1263" s="83">
        <v>46120</v>
      </c>
    </row>
    <row r="1264" spans="2:29" ht="23" x14ac:dyDescent="0.35">
      <c r="B1264" s="81" t="s">
        <v>338</v>
      </c>
      <c r="C1264" s="81" t="s">
        <v>339</v>
      </c>
      <c r="D1264" s="81" t="s">
        <v>340</v>
      </c>
      <c r="E1264" s="81" t="s">
        <v>359</v>
      </c>
      <c r="F1264" s="162" t="s">
        <v>360</v>
      </c>
      <c r="G1264" s="163"/>
      <c r="H1264" s="81" t="s">
        <v>1730</v>
      </c>
      <c r="I1264" s="81" t="s">
        <v>1436</v>
      </c>
      <c r="J1264" s="81" t="s">
        <v>154</v>
      </c>
      <c r="K1264" s="81" t="s">
        <v>1735</v>
      </c>
      <c r="L1264" s="81" t="s">
        <v>58</v>
      </c>
      <c r="M1264" s="164">
        <v>4.795317925</v>
      </c>
      <c r="N1264" s="165"/>
      <c r="O1264" s="163"/>
      <c r="P1264" s="82">
        <v>170</v>
      </c>
      <c r="Q1264" s="164">
        <v>0</v>
      </c>
      <c r="R1264" s="163"/>
      <c r="S1264" s="81" t="s">
        <v>58</v>
      </c>
      <c r="T1264" s="82">
        <v>0</v>
      </c>
      <c r="U1264" s="82">
        <v>0</v>
      </c>
      <c r="V1264" s="82">
        <v>0</v>
      </c>
      <c r="W1264" s="82">
        <v>0</v>
      </c>
      <c r="X1264" s="81"/>
      <c r="Y1264" s="81"/>
      <c r="Z1264" s="81" t="s">
        <v>58</v>
      </c>
      <c r="AA1264" s="81" t="s">
        <v>58</v>
      </c>
      <c r="AB1264" s="81" t="s">
        <v>58</v>
      </c>
      <c r="AC1264" s="83">
        <v>46120</v>
      </c>
    </row>
    <row r="1265" spans="2:29" ht="23" x14ac:dyDescent="0.35">
      <c r="B1265" s="81" t="s">
        <v>338</v>
      </c>
      <c r="C1265" s="81" t="s">
        <v>339</v>
      </c>
      <c r="D1265" s="81" t="s">
        <v>340</v>
      </c>
      <c r="E1265" s="81" t="s">
        <v>359</v>
      </c>
      <c r="F1265" s="162" t="s">
        <v>360</v>
      </c>
      <c r="G1265" s="163"/>
      <c r="H1265" s="81" t="s">
        <v>1730</v>
      </c>
      <c r="I1265" s="81" t="s">
        <v>1436</v>
      </c>
      <c r="J1265" s="81" t="s">
        <v>154</v>
      </c>
      <c r="K1265" s="81" t="s">
        <v>1736</v>
      </c>
      <c r="L1265" s="81" t="s">
        <v>58</v>
      </c>
      <c r="M1265" s="164">
        <v>5.6415505000000001</v>
      </c>
      <c r="N1265" s="165"/>
      <c r="O1265" s="163"/>
      <c r="P1265" s="82">
        <v>200</v>
      </c>
      <c r="Q1265" s="164">
        <v>0</v>
      </c>
      <c r="R1265" s="163"/>
      <c r="S1265" s="81" t="s">
        <v>58</v>
      </c>
      <c r="T1265" s="82">
        <v>0</v>
      </c>
      <c r="U1265" s="82">
        <v>0</v>
      </c>
      <c r="V1265" s="82">
        <v>0</v>
      </c>
      <c r="W1265" s="82">
        <v>0</v>
      </c>
      <c r="X1265" s="81"/>
      <c r="Y1265" s="81"/>
      <c r="Z1265" s="81" t="s">
        <v>58</v>
      </c>
      <c r="AA1265" s="81" t="s">
        <v>58</v>
      </c>
      <c r="AB1265" s="81" t="s">
        <v>58</v>
      </c>
      <c r="AC1265" s="83">
        <v>46120</v>
      </c>
    </row>
    <row r="1266" spans="2:29" ht="23" x14ac:dyDescent="0.35">
      <c r="B1266" s="81" t="s">
        <v>338</v>
      </c>
      <c r="C1266" s="81" t="s">
        <v>339</v>
      </c>
      <c r="D1266" s="81" t="s">
        <v>340</v>
      </c>
      <c r="E1266" s="81" t="s">
        <v>359</v>
      </c>
      <c r="F1266" s="162" t="s">
        <v>360</v>
      </c>
      <c r="G1266" s="163"/>
      <c r="H1266" s="81" t="s">
        <v>1730</v>
      </c>
      <c r="I1266" s="81" t="s">
        <v>1436</v>
      </c>
      <c r="J1266" s="81" t="s">
        <v>154</v>
      </c>
      <c r="K1266" s="81" t="s">
        <v>1737</v>
      </c>
      <c r="L1266" s="81" t="s">
        <v>58</v>
      </c>
      <c r="M1266" s="164">
        <v>5.6415505000000001</v>
      </c>
      <c r="N1266" s="165"/>
      <c r="O1266" s="163"/>
      <c r="P1266" s="82">
        <v>200</v>
      </c>
      <c r="Q1266" s="164">
        <v>0</v>
      </c>
      <c r="R1266" s="163"/>
      <c r="S1266" s="81" t="s">
        <v>58</v>
      </c>
      <c r="T1266" s="82">
        <v>0</v>
      </c>
      <c r="U1266" s="82">
        <v>0</v>
      </c>
      <c r="V1266" s="82">
        <v>0</v>
      </c>
      <c r="W1266" s="82">
        <v>0</v>
      </c>
      <c r="X1266" s="81"/>
      <c r="Y1266" s="81"/>
      <c r="Z1266" s="81" t="s">
        <v>58</v>
      </c>
      <c r="AA1266" s="81" t="s">
        <v>58</v>
      </c>
      <c r="AB1266" s="81" t="s">
        <v>58</v>
      </c>
      <c r="AC1266" s="83">
        <v>46120</v>
      </c>
    </row>
    <row r="1267" spans="2:29" ht="23" x14ac:dyDescent="0.35">
      <c r="B1267" s="81" t="s">
        <v>338</v>
      </c>
      <c r="C1267" s="81" t="s">
        <v>339</v>
      </c>
      <c r="D1267" s="81" t="s">
        <v>340</v>
      </c>
      <c r="E1267" s="81" t="s">
        <v>359</v>
      </c>
      <c r="F1267" s="162" t="s">
        <v>360</v>
      </c>
      <c r="G1267" s="163"/>
      <c r="H1267" s="81" t="s">
        <v>1730</v>
      </c>
      <c r="I1267" s="81" t="s">
        <v>1436</v>
      </c>
      <c r="J1267" s="81" t="s">
        <v>154</v>
      </c>
      <c r="K1267" s="81" t="s">
        <v>1738</v>
      </c>
      <c r="L1267" s="81" t="s">
        <v>58</v>
      </c>
      <c r="M1267" s="164">
        <v>5.6415505000000001</v>
      </c>
      <c r="N1267" s="165"/>
      <c r="O1267" s="163"/>
      <c r="P1267" s="82">
        <v>200</v>
      </c>
      <c r="Q1267" s="164">
        <v>0</v>
      </c>
      <c r="R1267" s="163"/>
      <c r="S1267" s="81" t="s">
        <v>58</v>
      </c>
      <c r="T1267" s="82">
        <v>0</v>
      </c>
      <c r="U1267" s="82">
        <v>0</v>
      </c>
      <c r="V1267" s="82">
        <v>0</v>
      </c>
      <c r="W1267" s="82">
        <v>0</v>
      </c>
      <c r="X1267" s="81"/>
      <c r="Y1267" s="81"/>
      <c r="Z1267" s="81" t="s">
        <v>58</v>
      </c>
      <c r="AA1267" s="81" t="s">
        <v>58</v>
      </c>
      <c r="AB1267" s="81" t="s">
        <v>58</v>
      </c>
      <c r="AC1267" s="83">
        <v>46126</v>
      </c>
    </row>
    <row r="1268" spans="2:29" ht="23" x14ac:dyDescent="0.35">
      <c r="B1268" s="81" t="s">
        <v>338</v>
      </c>
      <c r="C1268" s="81" t="s">
        <v>339</v>
      </c>
      <c r="D1268" s="81" t="s">
        <v>340</v>
      </c>
      <c r="E1268" s="81" t="s">
        <v>359</v>
      </c>
      <c r="F1268" s="162" t="s">
        <v>360</v>
      </c>
      <c r="G1268" s="163"/>
      <c r="H1268" s="81" t="s">
        <v>1730</v>
      </c>
      <c r="I1268" s="81" t="s">
        <v>1436</v>
      </c>
      <c r="J1268" s="81" t="s">
        <v>154</v>
      </c>
      <c r="K1268" s="81" t="s">
        <v>1739</v>
      </c>
      <c r="L1268" s="81" t="s">
        <v>58</v>
      </c>
      <c r="M1268" s="164">
        <v>5.6415505000000001</v>
      </c>
      <c r="N1268" s="165"/>
      <c r="O1268" s="163"/>
      <c r="P1268" s="82">
        <v>200</v>
      </c>
      <c r="Q1268" s="164">
        <v>0</v>
      </c>
      <c r="R1268" s="163"/>
      <c r="S1268" s="81" t="s">
        <v>58</v>
      </c>
      <c r="T1268" s="82">
        <v>0</v>
      </c>
      <c r="U1268" s="82">
        <v>0</v>
      </c>
      <c r="V1268" s="82">
        <v>0</v>
      </c>
      <c r="W1268" s="82">
        <v>0</v>
      </c>
      <c r="X1268" s="81"/>
      <c r="Y1268" s="81"/>
      <c r="Z1268" s="81" t="s">
        <v>58</v>
      </c>
      <c r="AA1268" s="81" t="s">
        <v>58</v>
      </c>
      <c r="AB1268" s="81" t="s">
        <v>58</v>
      </c>
      <c r="AC1268" s="83">
        <v>46126</v>
      </c>
    </row>
    <row r="1269" spans="2:29" ht="23" x14ac:dyDescent="0.35">
      <c r="B1269" s="81" t="s">
        <v>338</v>
      </c>
      <c r="C1269" s="81" t="s">
        <v>339</v>
      </c>
      <c r="D1269" s="81" t="s">
        <v>340</v>
      </c>
      <c r="E1269" s="81" t="s">
        <v>359</v>
      </c>
      <c r="F1269" s="162" t="s">
        <v>360</v>
      </c>
      <c r="G1269" s="163"/>
      <c r="H1269" s="81" t="s">
        <v>1730</v>
      </c>
      <c r="I1269" s="81" t="s">
        <v>1436</v>
      </c>
      <c r="J1269" s="81" t="s">
        <v>154</v>
      </c>
      <c r="K1269" s="81" t="s">
        <v>1740</v>
      </c>
      <c r="L1269" s="81" t="s">
        <v>58</v>
      </c>
      <c r="M1269" s="164">
        <v>5.6415505000000001</v>
      </c>
      <c r="N1269" s="165"/>
      <c r="O1269" s="163"/>
      <c r="P1269" s="82">
        <v>200</v>
      </c>
      <c r="Q1269" s="164">
        <v>0</v>
      </c>
      <c r="R1269" s="163"/>
      <c r="S1269" s="81" t="s">
        <v>58</v>
      </c>
      <c r="T1269" s="82">
        <v>0</v>
      </c>
      <c r="U1269" s="82">
        <v>0</v>
      </c>
      <c r="V1269" s="82">
        <v>0</v>
      </c>
      <c r="W1269" s="82">
        <v>0</v>
      </c>
      <c r="X1269" s="81"/>
      <c r="Y1269" s="81"/>
      <c r="Z1269" s="81" t="s">
        <v>58</v>
      </c>
      <c r="AA1269" s="81" t="s">
        <v>58</v>
      </c>
      <c r="AB1269" s="81" t="s">
        <v>58</v>
      </c>
      <c r="AC1269" s="83">
        <v>46126</v>
      </c>
    </row>
    <row r="1270" spans="2:29" ht="23" x14ac:dyDescent="0.35">
      <c r="B1270" s="81" t="s">
        <v>338</v>
      </c>
      <c r="C1270" s="81" t="s">
        <v>339</v>
      </c>
      <c r="D1270" s="81" t="s">
        <v>340</v>
      </c>
      <c r="E1270" s="81" t="s">
        <v>359</v>
      </c>
      <c r="F1270" s="162" t="s">
        <v>360</v>
      </c>
      <c r="G1270" s="163"/>
      <c r="H1270" s="81" t="s">
        <v>1730</v>
      </c>
      <c r="I1270" s="81" t="s">
        <v>1436</v>
      </c>
      <c r="J1270" s="81" t="s">
        <v>154</v>
      </c>
      <c r="K1270" s="81" t="s">
        <v>1741</v>
      </c>
      <c r="L1270" s="81" t="s">
        <v>58</v>
      </c>
      <c r="M1270" s="164">
        <v>5.6415505000000001</v>
      </c>
      <c r="N1270" s="165"/>
      <c r="O1270" s="163"/>
      <c r="P1270" s="82">
        <v>200</v>
      </c>
      <c r="Q1270" s="164">
        <v>0</v>
      </c>
      <c r="R1270" s="163"/>
      <c r="S1270" s="81" t="s">
        <v>58</v>
      </c>
      <c r="T1270" s="82">
        <v>0</v>
      </c>
      <c r="U1270" s="82">
        <v>0</v>
      </c>
      <c r="V1270" s="82">
        <v>0</v>
      </c>
      <c r="W1270" s="82">
        <v>0</v>
      </c>
      <c r="X1270" s="81"/>
      <c r="Y1270" s="81"/>
      <c r="Z1270" s="81" t="s">
        <v>58</v>
      </c>
      <c r="AA1270" s="81" t="s">
        <v>58</v>
      </c>
      <c r="AB1270" s="81" t="s">
        <v>58</v>
      </c>
      <c r="AC1270" s="83">
        <v>46126</v>
      </c>
    </row>
    <row r="1271" spans="2:29" ht="23" x14ac:dyDescent="0.35">
      <c r="B1271" s="81" t="s">
        <v>338</v>
      </c>
      <c r="C1271" s="81" t="s">
        <v>339</v>
      </c>
      <c r="D1271" s="81" t="s">
        <v>340</v>
      </c>
      <c r="E1271" s="81" t="s">
        <v>359</v>
      </c>
      <c r="F1271" s="162" t="s">
        <v>360</v>
      </c>
      <c r="G1271" s="163"/>
      <c r="H1271" s="81" t="s">
        <v>1730</v>
      </c>
      <c r="I1271" s="81" t="s">
        <v>1436</v>
      </c>
      <c r="J1271" s="81" t="s">
        <v>154</v>
      </c>
      <c r="K1271" s="81" t="s">
        <v>1742</v>
      </c>
      <c r="L1271" s="81" t="s">
        <v>58</v>
      </c>
      <c r="M1271" s="164">
        <v>5.6415505000000001</v>
      </c>
      <c r="N1271" s="165"/>
      <c r="O1271" s="163"/>
      <c r="P1271" s="82">
        <v>200</v>
      </c>
      <c r="Q1271" s="164">
        <v>0</v>
      </c>
      <c r="R1271" s="163"/>
      <c r="S1271" s="81" t="s">
        <v>58</v>
      </c>
      <c r="T1271" s="82">
        <v>0</v>
      </c>
      <c r="U1271" s="82">
        <v>0</v>
      </c>
      <c r="V1271" s="82">
        <v>0</v>
      </c>
      <c r="W1271" s="82">
        <v>0</v>
      </c>
      <c r="X1271" s="81"/>
      <c r="Y1271" s="81"/>
      <c r="Z1271" s="81" t="s">
        <v>58</v>
      </c>
      <c r="AA1271" s="81" t="s">
        <v>58</v>
      </c>
      <c r="AB1271" s="81" t="s">
        <v>58</v>
      </c>
      <c r="AC1271" s="83">
        <v>46126</v>
      </c>
    </row>
    <row r="1272" spans="2:29" ht="23" x14ac:dyDescent="0.35">
      <c r="B1272" s="81" t="s">
        <v>338</v>
      </c>
      <c r="C1272" s="81" t="s">
        <v>339</v>
      </c>
      <c r="D1272" s="81" t="s">
        <v>340</v>
      </c>
      <c r="E1272" s="81" t="s">
        <v>359</v>
      </c>
      <c r="F1272" s="162" t="s">
        <v>360</v>
      </c>
      <c r="G1272" s="163"/>
      <c r="H1272" s="81" t="s">
        <v>1730</v>
      </c>
      <c r="I1272" s="81" t="s">
        <v>1436</v>
      </c>
      <c r="J1272" s="81" t="s">
        <v>154</v>
      </c>
      <c r="K1272" s="81" t="s">
        <v>1743</v>
      </c>
      <c r="L1272" s="81" t="s">
        <v>58</v>
      </c>
      <c r="M1272" s="164">
        <v>5.6415505000000001</v>
      </c>
      <c r="N1272" s="165"/>
      <c r="O1272" s="163"/>
      <c r="P1272" s="82">
        <v>200</v>
      </c>
      <c r="Q1272" s="164">
        <v>0</v>
      </c>
      <c r="R1272" s="163"/>
      <c r="S1272" s="81" t="s">
        <v>58</v>
      </c>
      <c r="T1272" s="82">
        <v>0</v>
      </c>
      <c r="U1272" s="82">
        <v>0</v>
      </c>
      <c r="V1272" s="82">
        <v>0</v>
      </c>
      <c r="W1272" s="82">
        <v>0</v>
      </c>
      <c r="X1272" s="81"/>
      <c r="Y1272" s="81"/>
      <c r="Z1272" s="81" t="s">
        <v>58</v>
      </c>
      <c r="AA1272" s="81" t="s">
        <v>58</v>
      </c>
      <c r="AB1272" s="81" t="s">
        <v>58</v>
      </c>
      <c r="AC1272" s="83">
        <v>46126</v>
      </c>
    </row>
    <row r="1273" spans="2:29" ht="23" x14ac:dyDescent="0.35">
      <c r="B1273" s="81" t="s">
        <v>338</v>
      </c>
      <c r="C1273" s="81" t="s">
        <v>339</v>
      </c>
      <c r="D1273" s="81" t="s">
        <v>340</v>
      </c>
      <c r="E1273" s="81" t="s">
        <v>359</v>
      </c>
      <c r="F1273" s="162" t="s">
        <v>360</v>
      </c>
      <c r="G1273" s="163"/>
      <c r="H1273" s="81" t="s">
        <v>1730</v>
      </c>
      <c r="I1273" s="81" t="s">
        <v>1436</v>
      </c>
      <c r="J1273" s="81" t="s">
        <v>154</v>
      </c>
      <c r="K1273" s="81" t="s">
        <v>1744</v>
      </c>
      <c r="L1273" s="81" t="s">
        <v>58</v>
      </c>
      <c r="M1273" s="164">
        <v>5.6415505000000001</v>
      </c>
      <c r="N1273" s="165"/>
      <c r="O1273" s="163"/>
      <c r="P1273" s="82">
        <v>200</v>
      </c>
      <c r="Q1273" s="164">
        <v>0</v>
      </c>
      <c r="R1273" s="163"/>
      <c r="S1273" s="81" t="s">
        <v>58</v>
      </c>
      <c r="T1273" s="82">
        <v>0</v>
      </c>
      <c r="U1273" s="82">
        <v>0</v>
      </c>
      <c r="V1273" s="82">
        <v>0</v>
      </c>
      <c r="W1273" s="82">
        <v>0</v>
      </c>
      <c r="X1273" s="81"/>
      <c r="Y1273" s="81"/>
      <c r="Z1273" s="81" t="s">
        <v>58</v>
      </c>
      <c r="AA1273" s="81" t="s">
        <v>58</v>
      </c>
      <c r="AB1273" s="81" t="s">
        <v>58</v>
      </c>
      <c r="AC1273" s="83">
        <v>1</v>
      </c>
    </row>
    <row r="1274" spans="2:29" ht="23" x14ac:dyDescent="0.35">
      <c r="B1274" s="81" t="s">
        <v>338</v>
      </c>
      <c r="C1274" s="81" t="s">
        <v>339</v>
      </c>
      <c r="D1274" s="81" t="s">
        <v>340</v>
      </c>
      <c r="E1274" s="81" t="s">
        <v>359</v>
      </c>
      <c r="F1274" s="162" t="s">
        <v>360</v>
      </c>
      <c r="G1274" s="163"/>
      <c r="H1274" s="81" t="s">
        <v>1730</v>
      </c>
      <c r="I1274" s="81" t="s">
        <v>1436</v>
      </c>
      <c r="J1274" s="81" t="s">
        <v>154</v>
      </c>
      <c r="K1274" s="81" t="s">
        <v>1745</v>
      </c>
      <c r="L1274" s="81" t="s">
        <v>58</v>
      </c>
      <c r="M1274" s="164">
        <v>5.6415505000000001</v>
      </c>
      <c r="N1274" s="165"/>
      <c r="O1274" s="163"/>
      <c r="P1274" s="82">
        <v>200</v>
      </c>
      <c r="Q1274" s="164">
        <v>0</v>
      </c>
      <c r="R1274" s="163"/>
      <c r="S1274" s="81" t="s">
        <v>58</v>
      </c>
      <c r="T1274" s="82">
        <v>0</v>
      </c>
      <c r="U1274" s="82">
        <v>0</v>
      </c>
      <c r="V1274" s="82">
        <v>0</v>
      </c>
      <c r="W1274" s="82">
        <v>0</v>
      </c>
      <c r="X1274" s="81"/>
      <c r="Y1274" s="81"/>
      <c r="Z1274" s="81" t="s">
        <v>58</v>
      </c>
      <c r="AA1274" s="81" t="s">
        <v>58</v>
      </c>
      <c r="AB1274" s="81" t="s">
        <v>58</v>
      </c>
      <c r="AC1274" s="83">
        <v>1</v>
      </c>
    </row>
    <row r="1275" spans="2:29" ht="23" x14ac:dyDescent="0.35">
      <c r="B1275" s="81" t="s">
        <v>338</v>
      </c>
      <c r="C1275" s="81" t="s">
        <v>339</v>
      </c>
      <c r="D1275" s="81" t="s">
        <v>340</v>
      </c>
      <c r="E1275" s="81" t="s">
        <v>359</v>
      </c>
      <c r="F1275" s="162" t="s">
        <v>360</v>
      </c>
      <c r="G1275" s="163"/>
      <c r="H1275" s="81" t="s">
        <v>1730</v>
      </c>
      <c r="I1275" s="81" t="s">
        <v>1436</v>
      </c>
      <c r="J1275" s="81" t="s">
        <v>154</v>
      </c>
      <c r="K1275" s="81" t="s">
        <v>1746</v>
      </c>
      <c r="L1275" s="81" t="s">
        <v>58</v>
      </c>
      <c r="M1275" s="164">
        <v>2.3359988</v>
      </c>
      <c r="N1275" s="165"/>
      <c r="O1275" s="163"/>
      <c r="P1275" s="82">
        <v>80</v>
      </c>
      <c r="Q1275" s="164">
        <v>0</v>
      </c>
      <c r="R1275" s="163"/>
      <c r="S1275" s="81" t="s">
        <v>58</v>
      </c>
      <c r="T1275" s="82">
        <v>0</v>
      </c>
      <c r="U1275" s="82">
        <v>0</v>
      </c>
      <c r="V1275" s="82">
        <v>0</v>
      </c>
      <c r="W1275" s="82">
        <v>0</v>
      </c>
      <c r="X1275" s="81"/>
      <c r="Y1275" s="81"/>
      <c r="Z1275" s="81" t="s">
        <v>58</v>
      </c>
      <c r="AA1275" s="81" t="s">
        <v>58</v>
      </c>
      <c r="AB1275" s="81" t="s">
        <v>58</v>
      </c>
      <c r="AC1275" s="83">
        <v>46126</v>
      </c>
    </row>
    <row r="1276" spans="2:29" ht="23" x14ac:dyDescent="0.35">
      <c r="B1276" s="81" t="s">
        <v>338</v>
      </c>
      <c r="C1276" s="81" t="s">
        <v>339</v>
      </c>
      <c r="D1276" s="81" t="s">
        <v>340</v>
      </c>
      <c r="E1276" s="81" t="s">
        <v>359</v>
      </c>
      <c r="F1276" s="162" t="s">
        <v>360</v>
      </c>
      <c r="G1276" s="163"/>
      <c r="H1276" s="81" t="s">
        <v>1730</v>
      </c>
      <c r="I1276" s="81" t="s">
        <v>1436</v>
      </c>
      <c r="J1276" s="81" t="s">
        <v>154</v>
      </c>
      <c r="K1276" s="81" t="s">
        <v>1747</v>
      </c>
      <c r="L1276" s="81" t="s">
        <v>58</v>
      </c>
      <c r="M1276" s="164">
        <v>5.8399970000000003</v>
      </c>
      <c r="N1276" s="165"/>
      <c r="O1276" s="163"/>
      <c r="P1276" s="82">
        <v>200</v>
      </c>
      <c r="Q1276" s="164">
        <v>0</v>
      </c>
      <c r="R1276" s="163"/>
      <c r="S1276" s="81" t="s">
        <v>58</v>
      </c>
      <c r="T1276" s="82">
        <v>0</v>
      </c>
      <c r="U1276" s="82">
        <v>0</v>
      </c>
      <c r="V1276" s="82">
        <v>0</v>
      </c>
      <c r="W1276" s="82">
        <v>0</v>
      </c>
      <c r="X1276" s="81"/>
      <c r="Y1276" s="81"/>
      <c r="Z1276" s="81" t="s">
        <v>58</v>
      </c>
      <c r="AA1276" s="81" t="s">
        <v>58</v>
      </c>
      <c r="AB1276" s="81" t="s">
        <v>58</v>
      </c>
      <c r="AC1276" s="83">
        <v>46120</v>
      </c>
    </row>
    <row r="1277" spans="2:29" ht="23" x14ac:dyDescent="0.35">
      <c r="B1277" s="81" t="s">
        <v>338</v>
      </c>
      <c r="C1277" s="81" t="s">
        <v>339</v>
      </c>
      <c r="D1277" s="81" t="s">
        <v>340</v>
      </c>
      <c r="E1277" s="81" t="s">
        <v>359</v>
      </c>
      <c r="F1277" s="162" t="s">
        <v>360</v>
      </c>
      <c r="G1277" s="163"/>
      <c r="H1277" s="81" t="s">
        <v>1730</v>
      </c>
      <c r="I1277" s="81" t="s">
        <v>1436</v>
      </c>
      <c r="J1277" s="81" t="s">
        <v>154</v>
      </c>
      <c r="K1277" s="81" t="s">
        <v>1748</v>
      </c>
      <c r="L1277" s="81" t="s">
        <v>58</v>
      </c>
      <c r="M1277" s="164">
        <v>5.8399970000000003</v>
      </c>
      <c r="N1277" s="165"/>
      <c r="O1277" s="163"/>
      <c r="P1277" s="82">
        <v>200</v>
      </c>
      <c r="Q1277" s="164">
        <v>0</v>
      </c>
      <c r="R1277" s="163"/>
      <c r="S1277" s="81" t="s">
        <v>58</v>
      </c>
      <c r="T1277" s="82">
        <v>0</v>
      </c>
      <c r="U1277" s="82">
        <v>0</v>
      </c>
      <c r="V1277" s="82">
        <v>0</v>
      </c>
      <c r="W1277" s="82">
        <v>0</v>
      </c>
      <c r="X1277" s="81"/>
      <c r="Y1277" s="81"/>
      <c r="Z1277" s="81" t="s">
        <v>58</v>
      </c>
      <c r="AA1277" s="81" t="s">
        <v>58</v>
      </c>
      <c r="AB1277" s="81" t="s">
        <v>58</v>
      </c>
      <c r="AC1277" s="83">
        <v>46120</v>
      </c>
    </row>
    <row r="1278" spans="2:29" ht="23" x14ac:dyDescent="0.35">
      <c r="B1278" s="81" t="s">
        <v>338</v>
      </c>
      <c r="C1278" s="81" t="s">
        <v>339</v>
      </c>
      <c r="D1278" s="81" t="s">
        <v>340</v>
      </c>
      <c r="E1278" s="81" t="s">
        <v>359</v>
      </c>
      <c r="F1278" s="162" t="s">
        <v>360</v>
      </c>
      <c r="G1278" s="163"/>
      <c r="H1278" s="81" t="s">
        <v>1730</v>
      </c>
      <c r="I1278" s="81" t="s">
        <v>1436</v>
      </c>
      <c r="J1278" s="81" t="s">
        <v>154</v>
      </c>
      <c r="K1278" s="81" t="s">
        <v>1749</v>
      </c>
      <c r="L1278" s="81" t="s">
        <v>58</v>
      </c>
      <c r="M1278" s="164">
        <v>5.8399970000000003</v>
      </c>
      <c r="N1278" s="165"/>
      <c r="O1278" s="163"/>
      <c r="P1278" s="82">
        <v>200</v>
      </c>
      <c r="Q1278" s="164">
        <v>0</v>
      </c>
      <c r="R1278" s="163"/>
      <c r="S1278" s="81" t="s">
        <v>58</v>
      </c>
      <c r="T1278" s="82">
        <v>0</v>
      </c>
      <c r="U1278" s="82">
        <v>0</v>
      </c>
      <c r="V1278" s="82">
        <v>0</v>
      </c>
      <c r="W1278" s="82">
        <v>0</v>
      </c>
      <c r="X1278" s="81"/>
      <c r="Y1278" s="81"/>
      <c r="Z1278" s="81" t="s">
        <v>58</v>
      </c>
      <c r="AA1278" s="81" t="s">
        <v>58</v>
      </c>
      <c r="AB1278" s="81" t="s">
        <v>58</v>
      </c>
      <c r="AC1278" s="83">
        <v>46120</v>
      </c>
    </row>
    <row r="1279" spans="2:29" ht="23" x14ac:dyDescent="0.35">
      <c r="B1279" s="81" t="s">
        <v>338</v>
      </c>
      <c r="C1279" s="81" t="s">
        <v>339</v>
      </c>
      <c r="D1279" s="81" t="s">
        <v>340</v>
      </c>
      <c r="E1279" s="81" t="s">
        <v>359</v>
      </c>
      <c r="F1279" s="162" t="s">
        <v>360</v>
      </c>
      <c r="G1279" s="163"/>
      <c r="H1279" s="81" t="s">
        <v>1730</v>
      </c>
      <c r="I1279" s="81" t="s">
        <v>1436</v>
      </c>
      <c r="J1279" s="81" t="s">
        <v>154</v>
      </c>
      <c r="K1279" s="81" t="s">
        <v>1750</v>
      </c>
      <c r="L1279" s="81" t="s">
        <v>58</v>
      </c>
      <c r="M1279" s="164">
        <v>5.8399970000000003</v>
      </c>
      <c r="N1279" s="165"/>
      <c r="O1279" s="163"/>
      <c r="P1279" s="82">
        <v>200</v>
      </c>
      <c r="Q1279" s="164">
        <v>0</v>
      </c>
      <c r="R1279" s="163"/>
      <c r="S1279" s="81" t="s">
        <v>58</v>
      </c>
      <c r="T1279" s="82">
        <v>0</v>
      </c>
      <c r="U1279" s="82">
        <v>0</v>
      </c>
      <c r="V1279" s="82">
        <v>0</v>
      </c>
      <c r="W1279" s="82">
        <v>0</v>
      </c>
      <c r="X1279" s="81"/>
      <c r="Y1279" s="81"/>
      <c r="Z1279" s="81" t="s">
        <v>58</v>
      </c>
      <c r="AA1279" s="81" t="s">
        <v>58</v>
      </c>
      <c r="AB1279" s="81" t="s">
        <v>58</v>
      </c>
      <c r="AC1279" s="83">
        <v>46120</v>
      </c>
    </row>
    <row r="1280" spans="2:29" ht="23" x14ac:dyDescent="0.35">
      <c r="B1280" s="81" t="s">
        <v>338</v>
      </c>
      <c r="C1280" s="81" t="s">
        <v>339</v>
      </c>
      <c r="D1280" s="81" t="s">
        <v>340</v>
      </c>
      <c r="E1280" s="81" t="s">
        <v>359</v>
      </c>
      <c r="F1280" s="162" t="s">
        <v>360</v>
      </c>
      <c r="G1280" s="163"/>
      <c r="H1280" s="81" t="s">
        <v>1730</v>
      </c>
      <c r="I1280" s="81" t="s">
        <v>1436</v>
      </c>
      <c r="J1280" s="81" t="s">
        <v>154</v>
      </c>
      <c r="K1280" s="81" t="s">
        <v>1751</v>
      </c>
      <c r="L1280" s="81" t="s">
        <v>58</v>
      </c>
      <c r="M1280" s="164">
        <v>5.8399970000000003</v>
      </c>
      <c r="N1280" s="165"/>
      <c r="O1280" s="163"/>
      <c r="P1280" s="82">
        <v>200</v>
      </c>
      <c r="Q1280" s="164">
        <v>0</v>
      </c>
      <c r="R1280" s="163"/>
      <c r="S1280" s="81" t="s">
        <v>58</v>
      </c>
      <c r="T1280" s="82">
        <v>0</v>
      </c>
      <c r="U1280" s="82">
        <v>0</v>
      </c>
      <c r="V1280" s="82">
        <v>0</v>
      </c>
      <c r="W1280" s="82">
        <v>0</v>
      </c>
      <c r="X1280" s="81"/>
      <c r="Y1280" s="81"/>
      <c r="Z1280" s="81" t="s">
        <v>58</v>
      </c>
      <c r="AA1280" s="81" t="s">
        <v>58</v>
      </c>
      <c r="AB1280" s="81" t="s">
        <v>58</v>
      </c>
      <c r="AC1280" s="83">
        <v>46120</v>
      </c>
    </row>
    <row r="1281" spans="2:29" ht="23" x14ac:dyDescent="0.35">
      <c r="B1281" s="81" t="s">
        <v>338</v>
      </c>
      <c r="C1281" s="81" t="s">
        <v>339</v>
      </c>
      <c r="D1281" s="81" t="s">
        <v>340</v>
      </c>
      <c r="E1281" s="81" t="s">
        <v>359</v>
      </c>
      <c r="F1281" s="162" t="s">
        <v>360</v>
      </c>
      <c r="G1281" s="163"/>
      <c r="H1281" s="81" t="s">
        <v>1730</v>
      </c>
      <c r="I1281" s="81" t="s">
        <v>1436</v>
      </c>
      <c r="J1281" s="81" t="s">
        <v>154</v>
      </c>
      <c r="K1281" s="81" t="s">
        <v>1752</v>
      </c>
      <c r="L1281" s="81" t="s">
        <v>58</v>
      </c>
      <c r="M1281" s="164">
        <v>5.8399970000000003</v>
      </c>
      <c r="N1281" s="165"/>
      <c r="O1281" s="163"/>
      <c r="P1281" s="82">
        <v>200</v>
      </c>
      <c r="Q1281" s="164">
        <v>0</v>
      </c>
      <c r="R1281" s="163"/>
      <c r="S1281" s="81" t="s">
        <v>58</v>
      </c>
      <c r="T1281" s="82">
        <v>0</v>
      </c>
      <c r="U1281" s="82">
        <v>0</v>
      </c>
      <c r="V1281" s="82">
        <v>0</v>
      </c>
      <c r="W1281" s="82">
        <v>0</v>
      </c>
      <c r="X1281" s="81"/>
      <c r="Y1281" s="81"/>
      <c r="Z1281" s="81" t="s">
        <v>58</v>
      </c>
      <c r="AA1281" s="81" t="s">
        <v>58</v>
      </c>
      <c r="AB1281" s="81" t="s">
        <v>58</v>
      </c>
      <c r="AC1281" s="83">
        <v>46120</v>
      </c>
    </row>
    <row r="1282" spans="2:29" ht="23" x14ac:dyDescent="0.35">
      <c r="B1282" s="81" t="s">
        <v>338</v>
      </c>
      <c r="C1282" s="81" t="s">
        <v>339</v>
      </c>
      <c r="D1282" s="81" t="s">
        <v>340</v>
      </c>
      <c r="E1282" s="81" t="s">
        <v>359</v>
      </c>
      <c r="F1282" s="162" t="s">
        <v>360</v>
      </c>
      <c r="G1282" s="163"/>
      <c r="H1282" s="81" t="s">
        <v>1730</v>
      </c>
      <c r="I1282" s="81" t="s">
        <v>1436</v>
      </c>
      <c r="J1282" s="81" t="s">
        <v>154</v>
      </c>
      <c r="K1282" s="81" t="s">
        <v>1753</v>
      </c>
      <c r="L1282" s="81" t="s">
        <v>58</v>
      </c>
      <c r="M1282" s="164">
        <v>5.8399970000000003</v>
      </c>
      <c r="N1282" s="165"/>
      <c r="O1282" s="163"/>
      <c r="P1282" s="82">
        <v>200</v>
      </c>
      <c r="Q1282" s="164">
        <v>0</v>
      </c>
      <c r="R1282" s="163"/>
      <c r="S1282" s="81" t="s">
        <v>58</v>
      </c>
      <c r="T1282" s="82">
        <v>0</v>
      </c>
      <c r="U1282" s="82">
        <v>0</v>
      </c>
      <c r="V1282" s="82">
        <v>0</v>
      </c>
      <c r="W1282" s="82">
        <v>0</v>
      </c>
      <c r="X1282" s="81"/>
      <c r="Y1282" s="81"/>
      <c r="Z1282" s="81" t="s">
        <v>58</v>
      </c>
      <c r="AA1282" s="81" t="s">
        <v>58</v>
      </c>
      <c r="AB1282" s="81" t="s">
        <v>58</v>
      </c>
      <c r="AC1282" s="83">
        <v>46120</v>
      </c>
    </row>
    <row r="1283" spans="2:29" ht="23" x14ac:dyDescent="0.35">
      <c r="B1283" s="81" t="s">
        <v>338</v>
      </c>
      <c r="C1283" s="81" t="s">
        <v>339</v>
      </c>
      <c r="D1283" s="81" t="s">
        <v>340</v>
      </c>
      <c r="E1283" s="81" t="s">
        <v>359</v>
      </c>
      <c r="F1283" s="162" t="s">
        <v>360</v>
      </c>
      <c r="G1283" s="163"/>
      <c r="H1283" s="81" t="s">
        <v>1730</v>
      </c>
      <c r="I1283" s="81" t="s">
        <v>1436</v>
      </c>
      <c r="J1283" s="81" t="s">
        <v>154</v>
      </c>
      <c r="K1283" s="81" t="s">
        <v>1754</v>
      </c>
      <c r="L1283" s="81" t="s">
        <v>58</v>
      </c>
      <c r="M1283" s="164">
        <v>5.8399970000000003</v>
      </c>
      <c r="N1283" s="165"/>
      <c r="O1283" s="163"/>
      <c r="P1283" s="82">
        <v>200</v>
      </c>
      <c r="Q1283" s="164">
        <v>0</v>
      </c>
      <c r="R1283" s="163"/>
      <c r="S1283" s="81" t="s">
        <v>58</v>
      </c>
      <c r="T1283" s="82">
        <v>0</v>
      </c>
      <c r="U1283" s="82">
        <v>0</v>
      </c>
      <c r="V1283" s="82">
        <v>0</v>
      </c>
      <c r="W1283" s="82">
        <v>0</v>
      </c>
      <c r="X1283" s="81"/>
      <c r="Y1283" s="81"/>
      <c r="Z1283" s="81" t="s">
        <v>58</v>
      </c>
      <c r="AA1283" s="81" t="s">
        <v>58</v>
      </c>
      <c r="AB1283" s="81" t="s">
        <v>58</v>
      </c>
      <c r="AC1283" s="83">
        <v>46126</v>
      </c>
    </row>
    <row r="1284" spans="2:29" ht="23" x14ac:dyDescent="0.35">
      <c r="B1284" s="81" t="s">
        <v>338</v>
      </c>
      <c r="C1284" s="81" t="s">
        <v>339</v>
      </c>
      <c r="D1284" s="81" t="s">
        <v>340</v>
      </c>
      <c r="E1284" s="81" t="s">
        <v>359</v>
      </c>
      <c r="F1284" s="162" t="s">
        <v>360</v>
      </c>
      <c r="G1284" s="163"/>
      <c r="H1284" s="81" t="s">
        <v>1730</v>
      </c>
      <c r="I1284" s="81" t="s">
        <v>1436</v>
      </c>
      <c r="J1284" s="81" t="s">
        <v>154</v>
      </c>
      <c r="K1284" s="81" t="s">
        <v>1755</v>
      </c>
      <c r="L1284" s="81" t="s">
        <v>58</v>
      </c>
      <c r="M1284" s="164">
        <v>5.8399970000000003</v>
      </c>
      <c r="N1284" s="165"/>
      <c r="O1284" s="163"/>
      <c r="P1284" s="82">
        <v>200</v>
      </c>
      <c r="Q1284" s="164">
        <v>0</v>
      </c>
      <c r="R1284" s="163"/>
      <c r="S1284" s="81" t="s">
        <v>58</v>
      </c>
      <c r="T1284" s="82">
        <v>0</v>
      </c>
      <c r="U1284" s="82">
        <v>0</v>
      </c>
      <c r="V1284" s="82">
        <v>0</v>
      </c>
      <c r="W1284" s="82">
        <v>0</v>
      </c>
      <c r="X1284" s="81"/>
      <c r="Y1284" s="81"/>
      <c r="Z1284" s="81" t="s">
        <v>58</v>
      </c>
      <c r="AA1284" s="81" t="s">
        <v>58</v>
      </c>
      <c r="AB1284" s="81" t="s">
        <v>58</v>
      </c>
      <c r="AC1284" s="83">
        <v>46126</v>
      </c>
    </row>
    <row r="1285" spans="2:29" ht="23" x14ac:dyDescent="0.35">
      <c r="B1285" s="81" t="s">
        <v>338</v>
      </c>
      <c r="C1285" s="81" t="s">
        <v>339</v>
      </c>
      <c r="D1285" s="81" t="s">
        <v>340</v>
      </c>
      <c r="E1285" s="81" t="s">
        <v>359</v>
      </c>
      <c r="F1285" s="162" t="s">
        <v>360</v>
      </c>
      <c r="G1285" s="163"/>
      <c r="H1285" s="81" t="s">
        <v>1730</v>
      </c>
      <c r="I1285" s="81" t="s">
        <v>1436</v>
      </c>
      <c r="J1285" s="81" t="s">
        <v>154</v>
      </c>
      <c r="K1285" s="81" t="s">
        <v>1756</v>
      </c>
      <c r="L1285" s="81" t="s">
        <v>58</v>
      </c>
      <c r="M1285" s="164">
        <v>5.8399970000000003</v>
      </c>
      <c r="N1285" s="165"/>
      <c r="O1285" s="163"/>
      <c r="P1285" s="82">
        <v>200</v>
      </c>
      <c r="Q1285" s="164">
        <v>0</v>
      </c>
      <c r="R1285" s="163"/>
      <c r="S1285" s="81" t="s">
        <v>58</v>
      </c>
      <c r="T1285" s="82">
        <v>0</v>
      </c>
      <c r="U1285" s="82">
        <v>0</v>
      </c>
      <c r="V1285" s="82">
        <v>0</v>
      </c>
      <c r="W1285" s="82">
        <v>0</v>
      </c>
      <c r="X1285" s="81"/>
      <c r="Y1285" s="81"/>
      <c r="Z1285" s="81" t="s">
        <v>58</v>
      </c>
      <c r="AA1285" s="81" t="s">
        <v>58</v>
      </c>
      <c r="AB1285" s="81" t="s">
        <v>58</v>
      </c>
      <c r="AC1285" s="83">
        <v>46126</v>
      </c>
    </row>
    <row r="1286" spans="2:29" ht="23" x14ac:dyDescent="0.35">
      <c r="B1286" s="81" t="s">
        <v>338</v>
      </c>
      <c r="C1286" s="81" t="s">
        <v>339</v>
      </c>
      <c r="D1286" s="81" t="s">
        <v>340</v>
      </c>
      <c r="E1286" s="81" t="s">
        <v>359</v>
      </c>
      <c r="F1286" s="162" t="s">
        <v>360</v>
      </c>
      <c r="G1286" s="163"/>
      <c r="H1286" s="81" t="s">
        <v>1730</v>
      </c>
      <c r="I1286" s="81" t="s">
        <v>1436</v>
      </c>
      <c r="J1286" s="81" t="s">
        <v>154</v>
      </c>
      <c r="K1286" s="81" t="s">
        <v>1757</v>
      </c>
      <c r="L1286" s="81" t="s">
        <v>58</v>
      </c>
      <c r="M1286" s="164">
        <v>5.8399970000000003</v>
      </c>
      <c r="N1286" s="165"/>
      <c r="O1286" s="163"/>
      <c r="P1286" s="82">
        <v>200</v>
      </c>
      <c r="Q1286" s="164">
        <v>0</v>
      </c>
      <c r="R1286" s="163"/>
      <c r="S1286" s="81" t="s">
        <v>58</v>
      </c>
      <c r="T1286" s="82">
        <v>0</v>
      </c>
      <c r="U1286" s="82">
        <v>0</v>
      </c>
      <c r="V1286" s="82">
        <v>0</v>
      </c>
      <c r="W1286" s="82">
        <v>0</v>
      </c>
      <c r="X1286" s="81"/>
      <c r="Y1286" s="81"/>
      <c r="Z1286" s="81" t="s">
        <v>58</v>
      </c>
      <c r="AA1286" s="81" t="s">
        <v>58</v>
      </c>
      <c r="AB1286" s="81" t="s">
        <v>58</v>
      </c>
      <c r="AC1286" s="83">
        <v>46126</v>
      </c>
    </row>
    <row r="1287" spans="2:29" ht="23" x14ac:dyDescent="0.35">
      <c r="B1287" s="81" t="s">
        <v>338</v>
      </c>
      <c r="C1287" s="81" t="s">
        <v>339</v>
      </c>
      <c r="D1287" s="81" t="s">
        <v>340</v>
      </c>
      <c r="E1287" s="81" t="s">
        <v>359</v>
      </c>
      <c r="F1287" s="162" t="s">
        <v>360</v>
      </c>
      <c r="G1287" s="163"/>
      <c r="H1287" s="81" t="s">
        <v>1730</v>
      </c>
      <c r="I1287" s="81" t="s">
        <v>1436</v>
      </c>
      <c r="J1287" s="81" t="s">
        <v>154</v>
      </c>
      <c r="K1287" s="81" t="s">
        <v>1758</v>
      </c>
      <c r="L1287" s="81" t="s">
        <v>58</v>
      </c>
      <c r="M1287" s="164">
        <v>5.8399970000000003</v>
      </c>
      <c r="N1287" s="165"/>
      <c r="O1287" s="163"/>
      <c r="P1287" s="82">
        <v>200</v>
      </c>
      <c r="Q1287" s="164">
        <v>0</v>
      </c>
      <c r="R1287" s="163"/>
      <c r="S1287" s="81" t="s">
        <v>58</v>
      </c>
      <c r="T1287" s="82">
        <v>0</v>
      </c>
      <c r="U1287" s="82">
        <v>0</v>
      </c>
      <c r="V1287" s="82">
        <v>0</v>
      </c>
      <c r="W1287" s="82">
        <v>0</v>
      </c>
      <c r="X1287" s="81"/>
      <c r="Y1287" s="81"/>
      <c r="Z1287" s="81" t="s">
        <v>58</v>
      </c>
      <c r="AA1287" s="81" t="s">
        <v>58</v>
      </c>
      <c r="AB1287" s="81" t="s">
        <v>58</v>
      </c>
      <c r="AC1287" s="83">
        <v>46126</v>
      </c>
    </row>
    <row r="1288" spans="2:29" ht="23" x14ac:dyDescent="0.35">
      <c r="B1288" s="81" t="s">
        <v>338</v>
      </c>
      <c r="C1288" s="81" t="s">
        <v>339</v>
      </c>
      <c r="D1288" s="81" t="s">
        <v>340</v>
      </c>
      <c r="E1288" s="81" t="s">
        <v>359</v>
      </c>
      <c r="F1288" s="162" t="s">
        <v>360</v>
      </c>
      <c r="G1288" s="163"/>
      <c r="H1288" s="81" t="s">
        <v>1730</v>
      </c>
      <c r="I1288" s="81" t="s">
        <v>1436</v>
      </c>
      <c r="J1288" s="81" t="s">
        <v>154</v>
      </c>
      <c r="K1288" s="81" t="s">
        <v>1759</v>
      </c>
      <c r="L1288" s="81" t="s">
        <v>58</v>
      </c>
      <c r="M1288" s="164">
        <v>5.5855602375000002</v>
      </c>
      <c r="N1288" s="165"/>
      <c r="O1288" s="163"/>
      <c r="P1288" s="82">
        <v>185</v>
      </c>
      <c r="Q1288" s="164">
        <v>0</v>
      </c>
      <c r="R1288" s="163"/>
      <c r="S1288" s="81" t="s">
        <v>58</v>
      </c>
      <c r="T1288" s="82">
        <v>0</v>
      </c>
      <c r="U1288" s="82">
        <v>0</v>
      </c>
      <c r="V1288" s="82">
        <v>0</v>
      </c>
      <c r="W1288" s="82">
        <v>0</v>
      </c>
      <c r="X1288" s="81"/>
      <c r="Y1288" s="81"/>
      <c r="Z1288" s="81" t="s">
        <v>58</v>
      </c>
      <c r="AA1288" s="81" t="s">
        <v>58</v>
      </c>
      <c r="AB1288" s="81" t="s">
        <v>58</v>
      </c>
      <c r="AC1288" s="83">
        <v>46122</v>
      </c>
    </row>
    <row r="1289" spans="2:29" ht="23" x14ac:dyDescent="0.35">
      <c r="B1289" s="81" t="s">
        <v>338</v>
      </c>
      <c r="C1289" s="81" t="s">
        <v>339</v>
      </c>
      <c r="D1289" s="81" t="s">
        <v>340</v>
      </c>
      <c r="E1289" s="81" t="s">
        <v>359</v>
      </c>
      <c r="F1289" s="162" t="s">
        <v>360</v>
      </c>
      <c r="G1289" s="163"/>
      <c r="H1289" s="81" t="s">
        <v>1730</v>
      </c>
      <c r="I1289" s="81" t="s">
        <v>1436</v>
      </c>
      <c r="J1289" s="81" t="s">
        <v>154</v>
      </c>
      <c r="K1289" s="81" t="s">
        <v>1760</v>
      </c>
      <c r="L1289" s="81" t="s">
        <v>58</v>
      </c>
      <c r="M1289" s="164">
        <v>6.0384434999999996</v>
      </c>
      <c r="N1289" s="165"/>
      <c r="O1289" s="163"/>
      <c r="P1289" s="82">
        <v>200</v>
      </c>
      <c r="Q1289" s="164">
        <v>0</v>
      </c>
      <c r="R1289" s="163"/>
      <c r="S1289" s="81" t="s">
        <v>58</v>
      </c>
      <c r="T1289" s="82">
        <v>0</v>
      </c>
      <c r="U1289" s="82">
        <v>0</v>
      </c>
      <c r="V1289" s="82">
        <v>0</v>
      </c>
      <c r="W1289" s="82">
        <v>0</v>
      </c>
      <c r="X1289" s="81"/>
      <c r="Y1289" s="81"/>
      <c r="Z1289" s="81" t="s">
        <v>58</v>
      </c>
      <c r="AA1289" s="81" t="s">
        <v>58</v>
      </c>
      <c r="AB1289" s="81" t="s">
        <v>58</v>
      </c>
      <c r="AC1289" s="83">
        <v>46126</v>
      </c>
    </row>
    <row r="1290" spans="2:29" ht="23" x14ac:dyDescent="0.35">
      <c r="B1290" s="81" t="s">
        <v>338</v>
      </c>
      <c r="C1290" s="81" t="s">
        <v>339</v>
      </c>
      <c r="D1290" s="81" t="s">
        <v>340</v>
      </c>
      <c r="E1290" s="81" t="s">
        <v>359</v>
      </c>
      <c r="F1290" s="162" t="s">
        <v>360</v>
      </c>
      <c r="G1290" s="163"/>
      <c r="H1290" s="81" t="s">
        <v>1730</v>
      </c>
      <c r="I1290" s="81" t="s">
        <v>1436</v>
      </c>
      <c r="J1290" s="81" t="s">
        <v>154</v>
      </c>
      <c r="K1290" s="81" t="s">
        <v>1761</v>
      </c>
      <c r="L1290" s="81" t="s">
        <v>58</v>
      </c>
      <c r="M1290" s="164">
        <v>6.0384434999999996</v>
      </c>
      <c r="N1290" s="165"/>
      <c r="O1290" s="163"/>
      <c r="P1290" s="82">
        <v>200</v>
      </c>
      <c r="Q1290" s="164">
        <v>0</v>
      </c>
      <c r="R1290" s="163"/>
      <c r="S1290" s="81" t="s">
        <v>58</v>
      </c>
      <c r="T1290" s="82">
        <v>0</v>
      </c>
      <c r="U1290" s="82">
        <v>0</v>
      </c>
      <c r="V1290" s="82">
        <v>0</v>
      </c>
      <c r="W1290" s="82">
        <v>0</v>
      </c>
      <c r="X1290" s="81"/>
      <c r="Y1290" s="81"/>
      <c r="Z1290" s="81" t="s">
        <v>58</v>
      </c>
      <c r="AA1290" s="81" t="s">
        <v>58</v>
      </c>
      <c r="AB1290" s="81" t="s">
        <v>58</v>
      </c>
      <c r="AC1290" s="83">
        <v>46126</v>
      </c>
    </row>
    <row r="1291" spans="2:29" ht="23" x14ac:dyDescent="0.35">
      <c r="B1291" s="81" t="s">
        <v>338</v>
      </c>
      <c r="C1291" s="81" t="s">
        <v>339</v>
      </c>
      <c r="D1291" s="81" t="s">
        <v>340</v>
      </c>
      <c r="E1291" s="81" t="s">
        <v>359</v>
      </c>
      <c r="F1291" s="162" t="s">
        <v>360</v>
      </c>
      <c r="G1291" s="163"/>
      <c r="H1291" s="81" t="s">
        <v>1730</v>
      </c>
      <c r="I1291" s="81" t="s">
        <v>1436</v>
      </c>
      <c r="J1291" s="81" t="s">
        <v>154</v>
      </c>
      <c r="K1291" s="81" t="s">
        <v>1762</v>
      </c>
      <c r="L1291" s="81" t="s">
        <v>58</v>
      </c>
      <c r="M1291" s="164">
        <v>6.0384434999999996</v>
      </c>
      <c r="N1291" s="165"/>
      <c r="O1291" s="163"/>
      <c r="P1291" s="82">
        <v>200</v>
      </c>
      <c r="Q1291" s="164">
        <v>0</v>
      </c>
      <c r="R1291" s="163"/>
      <c r="S1291" s="81" t="s">
        <v>58</v>
      </c>
      <c r="T1291" s="82">
        <v>0</v>
      </c>
      <c r="U1291" s="82">
        <v>0</v>
      </c>
      <c r="V1291" s="82">
        <v>0</v>
      </c>
      <c r="W1291" s="82">
        <v>0</v>
      </c>
      <c r="X1291" s="81"/>
      <c r="Y1291" s="81"/>
      <c r="Z1291" s="81" t="s">
        <v>58</v>
      </c>
      <c r="AA1291" s="81" t="s">
        <v>58</v>
      </c>
      <c r="AB1291" s="81" t="s">
        <v>58</v>
      </c>
      <c r="AC1291" s="83">
        <v>46126</v>
      </c>
    </row>
    <row r="1292" spans="2:29" ht="23" x14ac:dyDescent="0.35">
      <c r="B1292" s="81" t="s">
        <v>338</v>
      </c>
      <c r="C1292" s="81" t="s">
        <v>339</v>
      </c>
      <c r="D1292" s="81" t="s">
        <v>340</v>
      </c>
      <c r="E1292" s="81" t="s">
        <v>359</v>
      </c>
      <c r="F1292" s="162" t="s">
        <v>360</v>
      </c>
      <c r="G1292" s="163"/>
      <c r="H1292" s="81" t="s">
        <v>1730</v>
      </c>
      <c r="I1292" s="81" t="s">
        <v>1436</v>
      </c>
      <c r="J1292" s="81" t="s">
        <v>154</v>
      </c>
      <c r="K1292" s="81" t="s">
        <v>1763</v>
      </c>
      <c r="L1292" s="81" t="s">
        <v>58</v>
      </c>
      <c r="M1292" s="164">
        <v>6.0384434999999996</v>
      </c>
      <c r="N1292" s="165"/>
      <c r="O1292" s="163"/>
      <c r="P1292" s="82">
        <v>200</v>
      </c>
      <c r="Q1292" s="164">
        <v>0</v>
      </c>
      <c r="R1292" s="163"/>
      <c r="S1292" s="81" t="s">
        <v>58</v>
      </c>
      <c r="T1292" s="82">
        <v>0</v>
      </c>
      <c r="U1292" s="82">
        <v>0</v>
      </c>
      <c r="V1292" s="82">
        <v>0</v>
      </c>
      <c r="W1292" s="82">
        <v>0</v>
      </c>
      <c r="X1292" s="81"/>
      <c r="Y1292" s="81"/>
      <c r="Z1292" s="81" t="s">
        <v>58</v>
      </c>
      <c r="AA1292" s="81" t="s">
        <v>58</v>
      </c>
      <c r="AB1292" s="81" t="s">
        <v>58</v>
      </c>
      <c r="AC1292" s="83">
        <v>46126</v>
      </c>
    </row>
    <row r="1293" spans="2:29" ht="23" x14ac:dyDescent="0.35">
      <c r="B1293" s="81" t="s">
        <v>338</v>
      </c>
      <c r="C1293" s="81" t="s">
        <v>339</v>
      </c>
      <c r="D1293" s="81" t="s">
        <v>340</v>
      </c>
      <c r="E1293" s="81" t="s">
        <v>359</v>
      </c>
      <c r="F1293" s="162" t="s">
        <v>360</v>
      </c>
      <c r="G1293" s="163"/>
      <c r="H1293" s="81" t="s">
        <v>1730</v>
      </c>
      <c r="I1293" s="81" t="s">
        <v>1436</v>
      </c>
      <c r="J1293" s="81" t="s">
        <v>154</v>
      </c>
      <c r="K1293" s="81" t="s">
        <v>1764</v>
      </c>
      <c r="L1293" s="81" t="s">
        <v>58</v>
      </c>
      <c r="M1293" s="164">
        <v>6.0384434999999996</v>
      </c>
      <c r="N1293" s="165"/>
      <c r="O1293" s="163"/>
      <c r="P1293" s="82">
        <v>200</v>
      </c>
      <c r="Q1293" s="164">
        <v>0</v>
      </c>
      <c r="R1293" s="163"/>
      <c r="S1293" s="81" t="s">
        <v>58</v>
      </c>
      <c r="T1293" s="82">
        <v>0</v>
      </c>
      <c r="U1293" s="82">
        <v>0</v>
      </c>
      <c r="V1293" s="82">
        <v>0</v>
      </c>
      <c r="W1293" s="82">
        <v>0</v>
      </c>
      <c r="X1293" s="81"/>
      <c r="Y1293" s="81"/>
      <c r="Z1293" s="81" t="s">
        <v>58</v>
      </c>
      <c r="AA1293" s="81" t="s">
        <v>58</v>
      </c>
      <c r="AB1293" s="81" t="s">
        <v>58</v>
      </c>
      <c r="AC1293" s="83">
        <v>46126</v>
      </c>
    </row>
    <row r="1294" spans="2:29" ht="23" x14ac:dyDescent="0.35">
      <c r="B1294" s="81" t="s">
        <v>338</v>
      </c>
      <c r="C1294" s="81" t="s">
        <v>339</v>
      </c>
      <c r="D1294" s="81" t="s">
        <v>340</v>
      </c>
      <c r="E1294" s="81" t="s">
        <v>359</v>
      </c>
      <c r="F1294" s="162" t="s">
        <v>360</v>
      </c>
      <c r="G1294" s="163"/>
      <c r="H1294" s="81" t="s">
        <v>1730</v>
      </c>
      <c r="I1294" s="81" t="s">
        <v>1436</v>
      </c>
      <c r="J1294" s="81" t="s">
        <v>154</v>
      </c>
      <c r="K1294" s="81" t="s">
        <v>1765</v>
      </c>
      <c r="L1294" s="81" t="s">
        <v>58</v>
      </c>
      <c r="M1294" s="164">
        <v>6.0384434999999996</v>
      </c>
      <c r="N1294" s="165"/>
      <c r="O1294" s="163"/>
      <c r="P1294" s="82">
        <v>200</v>
      </c>
      <c r="Q1294" s="164">
        <v>0</v>
      </c>
      <c r="R1294" s="163"/>
      <c r="S1294" s="81" t="s">
        <v>58</v>
      </c>
      <c r="T1294" s="82">
        <v>0</v>
      </c>
      <c r="U1294" s="82">
        <v>0</v>
      </c>
      <c r="V1294" s="82">
        <v>0</v>
      </c>
      <c r="W1294" s="82">
        <v>0</v>
      </c>
      <c r="X1294" s="81"/>
      <c r="Y1294" s="81"/>
      <c r="Z1294" s="81" t="s">
        <v>58</v>
      </c>
      <c r="AA1294" s="81" t="s">
        <v>58</v>
      </c>
      <c r="AB1294" s="81" t="s">
        <v>58</v>
      </c>
      <c r="AC1294" s="83">
        <v>46126</v>
      </c>
    </row>
    <row r="1295" spans="2:29" ht="23" x14ac:dyDescent="0.35">
      <c r="B1295" s="81" t="s">
        <v>338</v>
      </c>
      <c r="C1295" s="81" t="s">
        <v>339</v>
      </c>
      <c r="D1295" s="81" t="s">
        <v>340</v>
      </c>
      <c r="E1295" s="81" t="s">
        <v>359</v>
      </c>
      <c r="F1295" s="162" t="s">
        <v>360</v>
      </c>
      <c r="G1295" s="163"/>
      <c r="H1295" s="81" t="s">
        <v>1730</v>
      </c>
      <c r="I1295" s="81" t="s">
        <v>1436</v>
      </c>
      <c r="J1295" s="81" t="s">
        <v>154</v>
      </c>
      <c r="K1295" s="81" t="s">
        <v>1766</v>
      </c>
      <c r="L1295" s="81" t="s">
        <v>58</v>
      </c>
      <c r="M1295" s="164">
        <v>6.0384434999999996</v>
      </c>
      <c r="N1295" s="165"/>
      <c r="O1295" s="163"/>
      <c r="P1295" s="82">
        <v>200</v>
      </c>
      <c r="Q1295" s="164">
        <v>0</v>
      </c>
      <c r="R1295" s="163"/>
      <c r="S1295" s="81" t="s">
        <v>58</v>
      </c>
      <c r="T1295" s="82">
        <v>0</v>
      </c>
      <c r="U1295" s="82">
        <v>0</v>
      </c>
      <c r="V1295" s="82">
        <v>0</v>
      </c>
      <c r="W1295" s="82">
        <v>0</v>
      </c>
      <c r="X1295" s="81"/>
      <c r="Y1295" s="81"/>
      <c r="Z1295" s="81" t="s">
        <v>58</v>
      </c>
      <c r="AA1295" s="81" t="s">
        <v>58</v>
      </c>
      <c r="AB1295" s="81" t="s">
        <v>58</v>
      </c>
      <c r="AC1295" s="83">
        <v>46126</v>
      </c>
    </row>
    <row r="1296" spans="2:29" ht="23" x14ac:dyDescent="0.35">
      <c r="B1296" s="81" t="s">
        <v>338</v>
      </c>
      <c r="C1296" s="81" t="s">
        <v>339</v>
      </c>
      <c r="D1296" s="81" t="s">
        <v>340</v>
      </c>
      <c r="E1296" s="81" t="s">
        <v>359</v>
      </c>
      <c r="F1296" s="162" t="s">
        <v>360</v>
      </c>
      <c r="G1296" s="163"/>
      <c r="H1296" s="81" t="s">
        <v>1730</v>
      </c>
      <c r="I1296" s="81" t="s">
        <v>1436</v>
      </c>
      <c r="J1296" s="81" t="s">
        <v>154</v>
      </c>
      <c r="K1296" s="81" t="s">
        <v>1767</v>
      </c>
      <c r="L1296" s="81" t="s">
        <v>58</v>
      </c>
      <c r="M1296" s="164">
        <v>6.0384434999999996</v>
      </c>
      <c r="N1296" s="165"/>
      <c r="O1296" s="163"/>
      <c r="P1296" s="82">
        <v>200</v>
      </c>
      <c r="Q1296" s="164">
        <v>0</v>
      </c>
      <c r="R1296" s="163"/>
      <c r="S1296" s="81" t="s">
        <v>58</v>
      </c>
      <c r="T1296" s="82">
        <v>0</v>
      </c>
      <c r="U1296" s="82">
        <v>0</v>
      </c>
      <c r="V1296" s="82">
        <v>0</v>
      </c>
      <c r="W1296" s="82">
        <v>0</v>
      </c>
      <c r="X1296" s="81"/>
      <c r="Y1296" s="81"/>
      <c r="Z1296" s="81" t="s">
        <v>58</v>
      </c>
      <c r="AA1296" s="81" t="s">
        <v>58</v>
      </c>
      <c r="AB1296" s="81" t="s">
        <v>58</v>
      </c>
      <c r="AC1296" s="83">
        <v>46122</v>
      </c>
    </row>
    <row r="1297" spans="2:29" ht="23" x14ac:dyDescent="0.35">
      <c r="B1297" s="81" t="s">
        <v>338</v>
      </c>
      <c r="C1297" s="81" t="s">
        <v>339</v>
      </c>
      <c r="D1297" s="81" t="s">
        <v>340</v>
      </c>
      <c r="E1297" s="81" t="s">
        <v>359</v>
      </c>
      <c r="F1297" s="162" t="s">
        <v>360</v>
      </c>
      <c r="G1297" s="163"/>
      <c r="H1297" s="81" t="s">
        <v>1730</v>
      </c>
      <c r="I1297" s="81" t="s">
        <v>1436</v>
      </c>
      <c r="J1297" s="81" t="s">
        <v>154</v>
      </c>
      <c r="K1297" s="81" t="s">
        <v>1768</v>
      </c>
      <c r="L1297" s="81" t="s">
        <v>58</v>
      </c>
      <c r="M1297" s="164">
        <v>6.0384434999999996</v>
      </c>
      <c r="N1297" s="165"/>
      <c r="O1297" s="163"/>
      <c r="P1297" s="82">
        <v>200</v>
      </c>
      <c r="Q1297" s="164">
        <v>0</v>
      </c>
      <c r="R1297" s="163"/>
      <c r="S1297" s="81" t="s">
        <v>58</v>
      </c>
      <c r="T1297" s="82">
        <v>0</v>
      </c>
      <c r="U1297" s="82">
        <v>0</v>
      </c>
      <c r="V1297" s="82">
        <v>0</v>
      </c>
      <c r="W1297" s="82">
        <v>0</v>
      </c>
      <c r="X1297" s="81"/>
      <c r="Y1297" s="81"/>
      <c r="Z1297" s="81" t="s">
        <v>58</v>
      </c>
      <c r="AA1297" s="81" t="s">
        <v>58</v>
      </c>
      <c r="AB1297" s="81" t="s">
        <v>58</v>
      </c>
      <c r="AC1297" s="83">
        <v>46122</v>
      </c>
    </row>
    <row r="1298" spans="2:29" ht="23" x14ac:dyDescent="0.35">
      <c r="B1298" s="81" t="s">
        <v>338</v>
      </c>
      <c r="C1298" s="81" t="s">
        <v>339</v>
      </c>
      <c r="D1298" s="81" t="s">
        <v>340</v>
      </c>
      <c r="E1298" s="81" t="s">
        <v>359</v>
      </c>
      <c r="F1298" s="162" t="s">
        <v>360</v>
      </c>
      <c r="G1298" s="163"/>
      <c r="H1298" s="81" t="s">
        <v>1730</v>
      </c>
      <c r="I1298" s="81" t="s">
        <v>1436</v>
      </c>
      <c r="J1298" s="81" t="s">
        <v>154</v>
      </c>
      <c r="K1298" s="81" t="s">
        <v>1769</v>
      </c>
      <c r="L1298" s="81" t="s">
        <v>58</v>
      </c>
      <c r="M1298" s="164">
        <v>1.9646203499999999</v>
      </c>
      <c r="N1298" s="165"/>
      <c r="O1298" s="163"/>
      <c r="P1298" s="82">
        <v>63</v>
      </c>
      <c r="Q1298" s="164">
        <v>0</v>
      </c>
      <c r="R1298" s="163"/>
      <c r="S1298" s="81" t="s">
        <v>58</v>
      </c>
      <c r="T1298" s="82">
        <v>0</v>
      </c>
      <c r="U1298" s="82">
        <v>0</v>
      </c>
      <c r="V1298" s="82">
        <v>0</v>
      </c>
      <c r="W1298" s="82">
        <v>0</v>
      </c>
      <c r="X1298" s="81"/>
      <c r="Y1298" s="81"/>
      <c r="Z1298" s="81" t="s">
        <v>58</v>
      </c>
      <c r="AA1298" s="81" t="s">
        <v>58</v>
      </c>
      <c r="AB1298" s="81" t="s">
        <v>58</v>
      </c>
      <c r="AC1298" s="83">
        <v>46122</v>
      </c>
    </row>
    <row r="1299" spans="2:29" ht="23" x14ac:dyDescent="0.35">
      <c r="B1299" s="81" t="s">
        <v>338</v>
      </c>
      <c r="C1299" s="81" t="s">
        <v>339</v>
      </c>
      <c r="D1299" s="81" t="s">
        <v>340</v>
      </c>
      <c r="E1299" s="81" t="s">
        <v>359</v>
      </c>
      <c r="F1299" s="162" t="s">
        <v>360</v>
      </c>
      <c r="G1299" s="163"/>
      <c r="H1299" s="81" t="s">
        <v>1730</v>
      </c>
      <c r="I1299" s="81" t="s">
        <v>1436</v>
      </c>
      <c r="J1299" s="81" t="s">
        <v>154</v>
      </c>
      <c r="K1299" s="81" t="s">
        <v>1770</v>
      </c>
      <c r="L1299" s="81" t="s">
        <v>58</v>
      </c>
      <c r="M1299" s="164">
        <v>6.2368899999999998</v>
      </c>
      <c r="N1299" s="165"/>
      <c r="O1299" s="163"/>
      <c r="P1299" s="82">
        <v>200</v>
      </c>
      <c r="Q1299" s="164">
        <v>0</v>
      </c>
      <c r="R1299" s="163"/>
      <c r="S1299" s="81" t="s">
        <v>58</v>
      </c>
      <c r="T1299" s="82">
        <v>0</v>
      </c>
      <c r="U1299" s="82">
        <v>0</v>
      </c>
      <c r="V1299" s="82">
        <v>0</v>
      </c>
      <c r="W1299" s="82">
        <v>0</v>
      </c>
      <c r="X1299" s="81"/>
      <c r="Y1299" s="81"/>
      <c r="Z1299" s="81" t="s">
        <v>58</v>
      </c>
      <c r="AA1299" s="81" t="s">
        <v>58</v>
      </c>
      <c r="AB1299" s="81" t="s">
        <v>58</v>
      </c>
      <c r="AC1299" s="83">
        <v>46122</v>
      </c>
    </row>
    <row r="1300" spans="2:29" ht="23" x14ac:dyDescent="0.35">
      <c r="B1300" s="81" t="s">
        <v>338</v>
      </c>
      <c r="C1300" s="81" t="s">
        <v>339</v>
      </c>
      <c r="D1300" s="81" t="s">
        <v>340</v>
      </c>
      <c r="E1300" s="81" t="s">
        <v>359</v>
      </c>
      <c r="F1300" s="162" t="s">
        <v>360</v>
      </c>
      <c r="G1300" s="163"/>
      <c r="H1300" s="81" t="s">
        <v>1730</v>
      </c>
      <c r="I1300" s="81" t="s">
        <v>1436</v>
      </c>
      <c r="J1300" s="81" t="s">
        <v>154</v>
      </c>
      <c r="K1300" s="81" t="s">
        <v>1771</v>
      </c>
      <c r="L1300" s="81" t="s">
        <v>58</v>
      </c>
      <c r="M1300" s="164">
        <v>6.2368899999999998</v>
      </c>
      <c r="N1300" s="165"/>
      <c r="O1300" s="163"/>
      <c r="P1300" s="82">
        <v>200</v>
      </c>
      <c r="Q1300" s="164">
        <v>0</v>
      </c>
      <c r="R1300" s="163"/>
      <c r="S1300" s="81" t="s">
        <v>58</v>
      </c>
      <c r="T1300" s="82">
        <v>0</v>
      </c>
      <c r="U1300" s="82">
        <v>0</v>
      </c>
      <c r="V1300" s="82">
        <v>0</v>
      </c>
      <c r="W1300" s="82">
        <v>0</v>
      </c>
      <c r="X1300" s="81"/>
      <c r="Y1300" s="81"/>
      <c r="Z1300" s="81" t="s">
        <v>58</v>
      </c>
      <c r="AA1300" s="81" t="s">
        <v>58</v>
      </c>
      <c r="AB1300" s="81" t="s">
        <v>58</v>
      </c>
      <c r="AC1300" s="83">
        <v>46122</v>
      </c>
    </row>
    <row r="1301" spans="2:29" ht="23" x14ac:dyDescent="0.35">
      <c r="B1301" s="81" t="s">
        <v>338</v>
      </c>
      <c r="C1301" s="81" t="s">
        <v>339</v>
      </c>
      <c r="D1301" s="81" t="s">
        <v>340</v>
      </c>
      <c r="E1301" s="81" t="s">
        <v>359</v>
      </c>
      <c r="F1301" s="162" t="s">
        <v>360</v>
      </c>
      <c r="G1301" s="163"/>
      <c r="H1301" s="81" t="s">
        <v>1730</v>
      </c>
      <c r="I1301" s="81" t="s">
        <v>1436</v>
      </c>
      <c r="J1301" s="81" t="s">
        <v>154</v>
      </c>
      <c r="K1301" s="81" t="s">
        <v>1772</v>
      </c>
      <c r="L1301" s="81" t="s">
        <v>58</v>
      </c>
      <c r="M1301" s="164">
        <v>6.2368899999999998</v>
      </c>
      <c r="N1301" s="165"/>
      <c r="O1301" s="163"/>
      <c r="P1301" s="82">
        <v>200</v>
      </c>
      <c r="Q1301" s="164">
        <v>0</v>
      </c>
      <c r="R1301" s="163"/>
      <c r="S1301" s="81" t="s">
        <v>58</v>
      </c>
      <c r="T1301" s="82">
        <v>0</v>
      </c>
      <c r="U1301" s="82">
        <v>0</v>
      </c>
      <c r="V1301" s="82">
        <v>0</v>
      </c>
      <c r="W1301" s="82">
        <v>0</v>
      </c>
      <c r="X1301" s="81"/>
      <c r="Y1301" s="81"/>
      <c r="Z1301" s="81" t="s">
        <v>58</v>
      </c>
      <c r="AA1301" s="81" t="s">
        <v>58</v>
      </c>
      <c r="AB1301" s="81" t="s">
        <v>58</v>
      </c>
      <c r="AC1301" s="83">
        <v>46122</v>
      </c>
    </row>
    <row r="1302" spans="2:29" ht="23" x14ac:dyDescent="0.35">
      <c r="B1302" s="81" t="s">
        <v>338</v>
      </c>
      <c r="C1302" s="81" t="s">
        <v>339</v>
      </c>
      <c r="D1302" s="81" t="s">
        <v>340</v>
      </c>
      <c r="E1302" s="81" t="s">
        <v>359</v>
      </c>
      <c r="F1302" s="162" t="s">
        <v>360</v>
      </c>
      <c r="G1302" s="163"/>
      <c r="H1302" s="81" t="s">
        <v>1730</v>
      </c>
      <c r="I1302" s="81" t="s">
        <v>1436</v>
      </c>
      <c r="J1302" s="81" t="s">
        <v>154</v>
      </c>
      <c r="K1302" s="81" t="s">
        <v>1773</v>
      </c>
      <c r="L1302" s="81" t="s">
        <v>58</v>
      </c>
      <c r="M1302" s="164">
        <v>6.2368899999999998</v>
      </c>
      <c r="N1302" s="165"/>
      <c r="O1302" s="163"/>
      <c r="P1302" s="82">
        <v>200</v>
      </c>
      <c r="Q1302" s="164">
        <v>0</v>
      </c>
      <c r="R1302" s="163"/>
      <c r="S1302" s="81" t="s">
        <v>58</v>
      </c>
      <c r="T1302" s="82">
        <v>0</v>
      </c>
      <c r="U1302" s="82">
        <v>0</v>
      </c>
      <c r="V1302" s="82">
        <v>0</v>
      </c>
      <c r="W1302" s="82">
        <v>0</v>
      </c>
      <c r="X1302" s="81"/>
      <c r="Y1302" s="81"/>
      <c r="Z1302" s="81" t="s">
        <v>58</v>
      </c>
      <c r="AA1302" s="81" t="s">
        <v>58</v>
      </c>
      <c r="AB1302" s="81" t="s">
        <v>58</v>
      </c>
      <c r="AC1302" s="83">
        <v>46122</v>
      </c>
    </row>
    <row r="1303" spans="2:29" ht="23" x14ac:dyDescent="0.35">
      <c r="B1303" s="81" t="s">
        <v>338</v>
      </c>
      <c r="C1303" s="81" t="s">
        <v>339</v>
      </c>
      <c r="D1303" s="81" t="s">
        <v>340</v>
      </c>
      <c r="E1303" s="81" t="s">
        <v>359</v>
      </c>
      <c r="F1303" s="162" t="s">
        <v>360</v>
      </c>
      <c r="G1303" s="163"/>
      <c r="H1303" s="81" t="s">
        <v>1730</v>
      </c>
      <c r="I1303" s="81" t="s">
        <v>1436</v>
      </c>
      <c r="J1303" s="81" t="s">
        <v>154</v>
      </c>
      <c r="K1303" s="81" t="s">
        <v>1774</v>
      </c>
      <c r="L1303" s="81" t="s">
        <v>58</v>
      </c>
      <c r="M1303" s="164">
        <v>6.2368899999999998</v>
      </c>
      <c r="N1303" s="165"/>
      <c r="O1303" s="163"/>
      <c r="P1303" s="82">
        <v>200</v>
      </c>
      <c r="Q1303" s="164">
        <v>0</v>
      </c>
      <c r="R1303" s="163"/>
      <c r="S1303" s="81" t="s">
        <v>58</v>
      </c>
      <c r="T1303" s="82">
        <v>0</v>
      </c>
      <c r="U1303" s="82">
        <v>0</v>
      </c>
      <c r="V1303" s="82">
        <v>0</v>
      </c>
      <c r="W1303" s="82">
        <v>0</v>
      </c>
      <c r="X1303" s="81"/>
      <c r="Y1303" s="81"/>
      <c r="Z1303" s="81" t="s">
        <v>58</v>
      </c>
      <c r="AA1303" s="81" t="s">
        <v>58</v>
      </c>
      <c r="AB1303" s="81" t="s">
        <v>58</v>
      </c>
      <c r="AC1303" s="83">
        <v>46122</v>
      </c>
    </row>
    <row r="1304" spans="2:29" ht="23" x14ac:dyDescent="0.35">
      <c r="B1304" s="81" t="s">
        <v>338</v>
      </c>
      <c r="C1304" s="81" t="s">
        <v>339</v>
      </c>
      <c r="D1304" s="81" t="s">
        <v>340</v>
      </c>
      <c r="E1304" s="81" t="s">
        <v>359</v>
      </c>
      <c r="F1304" s="162" t="s">
        <v>360</v>
      </c>
      <c r="G1304" s="163"/>
      <c r="H1304" s="81" t="s">
        <v>1730</v>
      </c>
      <c r="I1304" s="81" t="s">
        <v>1436</v>
      </c>
      <c r="J1304" s="81" t="s">
        <v>154</v>
      </c>
      <c r="K1304" s="81" t="s">
        <v>1775</v>
      </c>
      <c r="L1304" s="81" t="s">
        <v>58</v>
      </c>
      <c r="M1304" s="164">
        <v>6.2368899999999998</v>
      </c>
      <c r="N1304" s="165"/>
      <c r="O1304" s="163"/>
      <c r="P1304" s="82">
        <v>200</v>
      </c>
      <c r="Q1304" s="164">
        <v>0</v>
      </c>
      <c r="R1304" s="163"/>
      <c r="S1304" s="81" t="s">
        <v>58</v>
      </c>
      <c r="T1304" s="82">
        <v>0</v>
      </c>
      <c r="U1304" s="82">
        <v>0</v>
      </c>
      <c r="V1304" s="82">
        <v>0</v>
      </c>
      <c r="W1304" s="82">
        <v>0</v>
      </c>
      <c r="X1304" s="81"/>
      <c r="Y1304" s="81"/>
      <c r="Z1304" s="81" t="s">
        <v>58</v>
      </c>
      <c r="AA1304" s="81" t="s">
        <v>58</v>
      </c>
      <c r="AB1304" s="81" t="s">
        <v>58</v>
      </c>
      <c r="AC1304" s="83">
        <v>46122</v>
      </c>
    </row>
    <row r="1305" spans="2:29" ht="23" x14ac:dyDescent="0.35">
      <c r="B1305" s="81" t="s">
        <v>338</v>
      </c>
      <c r="C1305" s="81" t="s">
        <v>339</v>
      </c>
      <c r="D1305" s="81" t="s">
        <v>340</v>
      </c>
      <c r="E1305" s="81" t="s">
        <v>359</v>
      </c>
      <c r="F1305" s="162" t="s">
        <v>360</v>
      </c>
      <c r="G1305" s="163"/>
      <c r="H1305" s="81" t="s">
        <v>1730</v>
      </c>
      <c r="I1305" s="81" t="s">
        <v>1436</v>
      </c>
      <c r="J1305" s="81" t="s">
        <v>154</v>
      </c>
      <c r="K1305" s="81" t="s">
        <v>1776</v>
      </c>
      <c r="L1305" s="81" t="s">
        <v>58</v>
      </c>
      <c r="M1305" s="164">
        <v>8.2903293335000008</v>
      </c>
      <c r="N1305" s="165"/>
      <c r="O1305" s="163"/>
      <c r="P1305" s="82">
        <v>229</v>
      </c>
      <c r="Q1305" s="164">
        <v>0</v>
      </c>
      <c r="R1305" s="163"/>
      <c r="S1305" s="81" t="s">
        <v>58</v>
      </c>
      <c r="T1305" s="82">
        <v>0</v>
      </c>
      <c r="U1305" s="82">
        <v>0</v>
      </c>
      <c r="V1305" s="82">
        <v>0</v>
      </c>
      <c r="W1305" s="82">
        <v>0</v>
      </c>
      <c r="X1305" s="81"/>
      <c r="Y1305" s="81"/>
      <c r="Z1305" s="81" t="s">
        <v>58</v>
      </c>
      <c r="AA1305" s="81" t="s">
        <v>58</v>
      </c>
      <c r="AB1305" s="81" t="s">
        <v>58</v>
      </c>
      <c r="AC1305" s="83">
        <v>46122</v>
      </c>
    </row>
    <row r="1306" spans="2:29" ht="23" x14ac:dyDescent="0.35">
      <c r="B1306" s="81" t="s">
        <v>338</v>
      </c>
      <c r="C1306" s="81" t="s">
        <v>339</v>
      </c>
      <c r="D1306" s="81" t="s">
        <v>340</v>
      </c>
      <c r="E1306" s="81" t="s">
        <v>359</v>
      </c>
      <c r="F1306" s="162" t="s">
        <v>360</v>
      </c>
      <c r="G1306" s="163"/>
      <c r="H1306" s="81" t="s">
        <v>1730</v>
      </c>
      <c r="I1306" s="81" t="s">
        <v>1436</v>
      </c>
      <c r="J1306" s="81" t="s">
        <v>154</v>
      </c>
      <c r="K1306" s="81" t="s">
        <v>1777</v>
      </c>
      <c r="L1306" s="81" t="s">
        <v>58</v>
      </c>
      <c r="M1306" s="164">
        <v>7.2404622999999999</v>
      </c>
      <c r="N1306" s="165"/>
      <c r="O1306" s="163"/>
      <c r="P1306" s="82">
        <v>200</v>
      </c>
      <c r="Q1306" s="164">
        <v>0</v>
      </c>
      <c r="R1306" s="163"/>
      <c r="S1306" s="81" t="s">
        <v>58</v>
      </c>
      <c r="T1306" s="82">
        <v>0</v>
      </c>
      <c r="U1306" s="82">
        <v>0</v>
      </c>
      <c r="V1306" s="82">
        <v>0</v>
      </c>
      <c r="W1306" s="82">
        <v>0</v>
      </c>
      <c r="X1306" s="81"/>
      <c r="Y1306" s="81"/>
      <c r="Z1306" s="81" t="s">
        <v>58</v>
      </c>
      <c r="AA1306" s="81" t="s">
        <v>58</v>
      </c>
      <c r="AB1306" s="81" t="s">
        <v>58</v>
      </c>
      <c r="AC1306" s="83">
        <v>46122</v>
      </c>
    </row>
    <row r="1307" spans="2:29" ht="23" x14ac:dyDescent="0.35">
      <c r="B1307" s="81" t="s">
        <v>338</v>
      </c>
      <c r="C1307" s="81" t="s">
        <v>339</v>
      </c>
      <c r="D1307" s="81" t="s">
        <v>340</v>
      </c>
      <c r="E1307" s="81" t="s">
        <v>359</v>
      </c>
      <c r="F1307" s="162" t="s">
        <v>360</v>
      </c>
      <c r="G1307" s="163"/>
      <c r="H1307" s="81" t="s">
        <v>1730</v>
      </c>
      <c r="I1307" s="81" t="s">
        <v>1436</v>
      </c>
      <c r="J1307" s="81" t="s">
        <v>154</v>
      </c>
      <c r="K1307" s="81" t="s">
        <v>1778</v>
      </c>
      <c r="L1307" s="81" t="s">
        <v>58</v>
      </c>
      <c r="M1307" s="164">
        <v>7.2404622999999999</v>
      </c>
      <c r="N1307" s="165"/>
      <c r="O1307" s="163"/>
      <c r="P1307" s="82">
        <v>200</v>
      </c>
      <c r="Q1307" s="164">
        <v>0</v>
      </c>
      <c r="R1307" s="163"/>
      <c r="S1307" s="81" t="s">
        <v>58</v>
      </c>
      <c r="T1307" s="82">
        <v>0</v>
      </c>
      <c r="U1307" s="82">
        <v>0</v>
      </c>
      <c r="V1307" s="82">
        <v>0</v>
      </c>
      <c r="W1307" s="82">
        <v>0</v>
      </c>
      <c r="X1307" s="81"/>
      <c r="Y1307" s="81"/>
      <c r="Z1307" s="81" t="s">
        <v>58</v>
      </c>
      <c r="AA1307" s="81" t="s">
        <v>58</v>
      </c>
      <c r="AB1307" s="81" t="s">
        <v>58</v>
      </c>
      <c r="AC1307" s="83">
        <v>46122</v>
      </c>
    </row>
    <row r="1308" spans="2:29" ht="23" x14ac:dyDescent="0.35">
      <c r="B1308" s="81" t="s">
        <v>338</v>
      </c>
      <c r="C1308" s="81" t="s">
        <v>339</v>
      </c>
      <c r="D1308" s="81" t="s">
        <v>340</v>
      </c>
      <c r="E1308" s="81" t="s">
        <v>359</v>
      </c>
      <c r="F1308" s="162" t="s">
        <v>360</v>
      </c>
      <c r="G1308" s="163"/>
      <c r="H1308" s="81" t="s">
        <v>1730</v>
      </c>
      <c r="I1308" s="81" t="s">
        <v>1436</v>
      </c>
      <c r="J1308" s="81" t="s">
        <v>154</v>
      </c>
      <c r="K1308" s="81" t="s">
        <v>1779</v>
      </c>
      <c r="L1308" s="81" t="s">
        <v>58</v>
      </c>
      <c r="M1308" s="164">
        <v>0.85808266600000005</v>
      </c>
      <c r="N1308" s="165"/>
      <c r="O1308" s="163"/>
      <c r="P1308" s="82">
        <v>23</v>
      </c>
      <c r="Q1308" s="164">
        <v>0</v>
      </c>
      <c r="R1308" s="163"/>
      <c r="S1308" s="81" t="s">
        <v>58</v>
      </c>
      <c r="T1308" s="82">
        <v>0</v>
      </c>
      <c r="U1308" s="82">
        <v>0</v>
      </c>
      <c r="V1308" s="82">
        <v>0</v>
      </c>
      <c r="W1308" s="82">
        <v>0</v>
      </c>
      <c r="X1308" s="81"/>
      <c r="Y1308" s="81"/>
      <c r="Z1308" s="81" t="s">
        <v>58</v>
      </c>
      <c r="AA1308" s="81" t="s">
        <v>58</v>
      </c>
      <c r="AB1308" s="81" t="s">
        <v>58</v>
      </c>
      <c r="AC1308" s="83">
        <v>46120</v>
      </c>
    </row>
    <row r="1309" spans="2:29" ht="23" x14ac:dyDescent="0.35">
      <c r="B1309" s="81" t="s">
        <v>338</v>
      </c>
      <c r="C1309" s="81" t="s">
        <v>339</v>
      </c>
      <c r="D1309" s="81" t="s">
        <v>340</v>
      </c>
      <c r="E1309" s="81" t="s">
        <v>359</v>
      </c>
      <c r="F1309" s="162" t="s">
        <v>360</v>
      </c>
      <c r="G1309" s="163"/>
      <c r="H1309" s="81" t="s">
        <v>1730</v>
      </c>
      <c r="I1309" s="81" t="s">
        <v>1436</v>
      </c>
      <c r="J1309" s="81" t="s">
        <v>154</v>
      </c>
      <c r="K1309" s="81" t="s">
        <v>1780</v>
      </c>
      <c r="L1309" s="81" t="s">
        <v>58</v>
      </c>
      <c r="M1309" s="164">
        <v>0.88416420600000001</v>
      </c>
      <c r="N1309" s="165"/>
      <c r="O1309" s="163"/>
      <c r="P1309" s="82">
        <v>23</v>
      </c>
      <c r="Q1309" s="164">
        <v>0</v>
      </c>
      <c r="R1309" s="163"/>
      <c r="S1309" s="81" t="s">
        <v>58</v>
      </c>
      <c r="T1309" s="82">
        <v>0</v>
      </c>
      <c r="U1309" s="82">
        <v>0</v>
      </c>
      <c r="V1309" s="82">
        <v>0</v>
      </c>
      <c r="W1309" s="82">
        <v>0</v>
      </c>
      <c r="X1309" s="81"/>
      <c r="Y1309" s="81"/>
      <c r="Z1309" s="81" t="s">
        <v>58</v>
      </c>
      <c r="AA1309" s="81" t="s">
        <v>58</v>
      </c>
      <c r="AB1309" s="81" t="s">
        <v>58</v>
      </c>
      <c r="AC1309" s="83">
        <v>46120</v>
      </c>
    </row>
    <row r="1310" spans="2:29" ht="23" x14ac:dyDescent="0.35">
      <c r="B1310" s="81" t="s">
        <v>338</v>
      </c>
      <c r="C1310" s="81" t="s">
        <v>339</v>
      </c>
      <c r="D1310" s="81" t="s">
        <v>340</v>
      </c>
      <c r="E1310" s="81" t="s">
        <v>359</v>
      </c>
      <c r="F1310" s="162" t="s">
        <v>360</v>
      </c>
      <c r="G1310" s="163"/>
      <c r="H1310" s="81" t="s">
        <v>1730</v>
      </c>
      <c r="I1310" s="81" t="s">
        <v>1436</v>
      </c>
      <c r="J1310" s="81" t="s">
        <v>154</v>
      </c>
      <c r="K1310" s="81" t="s">
        <v>1781</v>
      </c>
      <c r="L1310" s="81" t="s">
        <v>58</v>
      </c>
      <c r="M1310" s="164">
        <v>0.73277787599999999</v>
      </c>
      <c r="N1310" s="165"/>
      <c r="O1310" s="163"/>
      <c r="P1310" s="82">
        <v>18</v>
      </c>
      <c r="Q1310" s="164">
        <v>0</v>
      </c>
      <c r="R1310" s="163"/>
      <c r="S1310" s="81" t="s">
        <v>58</v>
      </c>
      <c r="T1310" s="82">
        <v>0</v>
      </c>
      <c r="U1310" s="82">
        <v>0</v>
      </c>
      <c r="V1310" s="82">
        <v>0</v>
      </c>
      <c r="W1310" s="82">
        <v>0</v>
      </c>
      <c r="X1310" s="81"/>
      <c r="Y1310" s="81"/>
      <c r="Z1310" s="81" t="s">
        <v>58</v>
      </c>
      <c r="AA1310" s="81" t="s">
        <v>58</v>
      </c>
      <c r="AB1310" s="81" t="s">
        <v>58</v>
      </c>
      <c r="AC1310" s="83">
        <v>46120</v>
      </c>
    </row>
    <row r="1311" spans="2:29" ht="23" x14ac:dyDescent="0.35">
      <c r="B1311" s="81" t="s">
        <v>338</v>
      </c>
      <c r="C1311" s="81" t="s">
        <v>339</v>
      </c>
      <c r="D1311" s="81" t="s">
        <v>340</v>
      </c>
      <c r="E1311" s="81" t="s">
        <v>359</v>
      </c>
      <c r="F1311" s="162" t="s">
        <v>360</v>
      </c>
      <c r="G1311" s="163"/>
      <c r="H1311" s="81" t="s">
        <v>1730</v>
      </c>
      <c r="I1311" s="81" t="s">
        <v>1436</v>
      </c>
      <c r="J1311" s="81" t="s">
        <v>154</v>
      </c>
      <c r="K1311" s="81" t="s">
        <v>1782</v>
      </c>
      <c r="L1311" s="81" t="s">
        <v>58</v>
      </c>
      <c r="M1311" s="164">
        <v>0.64424238749999996</v>
      </c>
      <c r="N1311" s="165"/>
      <c r="O1311" s="163"/>
      <c r="P1311" s="82">
        <v>15</v>
      </c>
      <c r="Q1311" s="164">
        <v>0</v>
      </c>
      <c r="R1311" s="163"/>
      <c r="S1311" s="81" t="s">
        <v>58</v>
      </c>
      <c r="T1311" s="82">
        <v>0</v>
      </c>
      <c r="U1311" s="82">
        <v>0</v>
      </c>
      <c r="V1311" s="82">
        <v>0</v>
      </c>
      <c r="W1311" s="82">
        <v>0</v>
      </c>
      <c r="X1311" s="81"/>
      <c r="Y1311" s="81"/>
      <c r="Z1311" s="81" t="s">
        <v>58</v>
      </c>
      <c r="AA1311" s="81" t="s">
        <v>58</v>
      </c>
      <c r="AB1311" s="81" t="s">
        <v>58</v>
      </c>
      <c r="AC1311" s="83">
        <v>46120</v>
      </c>
    </row>
    <row r="1312" spans="2:29" ht="23" x14ac:dyDescent="0.35">
      <c r="B1312" s="81" t="s">
        <v>338</v>
      </c>
      <c r="C1312" s="81" t="s">
        <v>339</v>
      </c>
      <c r="D1312" s="81" t="s">
        <v>340</v>
      </c>
      <c r="E1312" s="81" t="s">
        <v>359</v>
      </c>
      <c r="F1312" s="162" t="s">
        <v>360</v>
      </c>
      <c r="G1312" s="163"/>
      <c r="H1312" s="81" t="s">
        <v>1783</v>
      </c>
      <c r="I1312" s="81" t="s">
        <v>1476</v>
      </c>
      <c r="J1312" s="81" t="s">
        <v>153</v>
      </c>
      <c r="K1312" s="81" t="s">
        <v>1784</v>
      </c>
      <c r="L1312" s="81" t="s">
        <v>58</v>
      </c>
      <c r="M1312" s="164">
        <v>1.5699953099999999</v>
      </c>
      <c r="N1312" s="165"/>
      <c r="O1312" s="163"/>
      <c r="P1312" s="82">
        <v>142</v>
      </c>
      <c r="Q1312" s="164">
        <v>0</v>
      </c>
      <c r="R1312" s="163"/>
      <c r="S1312" s="81" t="s">
        <v>58</v>
      </c>
      <c r="T1312" s="82">
        <v>0</v>
      </c>
      <c r="U1312" s="82">
        <v>0</v>
      </c>
      <c r="V1312" s="82">
        <v>0</v>
      </c>
      <c r="W1312" s="82">
        <v>0</v>
      </c>
      <c r="X1312" s="81"/>
      <c r="Y1312" s="81"/>
      <c r="Z1312" s="81" t="s">
        <v>58</v>
      </c>
      <c r="AA1312" s="81" t="s">
        <v>58</v>
      </c>
      <c r="AB1312" s="81" t="s">
        <v>58</v>
      </c>
      <c r="AC1312" s="83">
        <v>46116</v>
      </c>
    </row>
    <row r="1313" spans="2:29" ht="23" x14ac:dyDescent="0.35">
      <c r="B1313" s="81" t="s">
        <v>338</v>
      </c>
      <c r="C1313" s="81" t="s">
        <v>339</v>
      </c>
      <c r="D1313" s="81" t="s">
        <v>340</v>
      </c>
      <c r="E1313" s="81" t="s">
        <v>359</v>
      </c>
      <c r="F1313" s="162" t="s">
        <v>360</v>
      </c>
      <c r="G1313" s="163"/>
      <c r="H1313" s="81" t="s">
        <v>1783</v>
      </c>
      <c r="I1313" s="81" t="s">
        <v>1476</v>
      </c>
      <c r="J1313" s="81" t="s">
        <v>153</v>
      </c>
      <c r="K1313" s="81" t="s">
        <v>1785</v>
      </c>
      <c r="L1313" s="81" t="s">
        <v>58</v>
      </c>
      <c r="M1313" s="164">
        <v>4.4225219999999998</v>
      </c>
      <c r="N1313" s="165"/>
      <c r="O1313" s="163"/>
      <c r="P1313" s="82">
        <v>400</v>
      </c>
      <c r="Q1313" s="164">
        <v>0</v>
      </c>
      <c r="R1313" s="163"/>
      <c r="S1313" s="81" t="s">
        <v>58</v>
      </c>
      <c r="T1313" s="82">
        <v>0</v>
      </c>
      <c r="U1313" s="82">
        <v>0</v>
      </c>
      <c r="V1313" s="82">
        <v>0</v>
      </c>
      <c r="W1313" s="82">
        <v>0</v>
      </c>
      <c r="X1313" s="81"/>
      <c r="Y1313" s="81"/>
      <c r="Z1313" s="81" t="s">
        <v>58</v>
      </c>
      <c r="AA1313" s="81" t="s">
        <v>58</v>
      </c>
      <c r="AB1313" s="81" t="s">
        <v>58</v>
      </c>
      <c r="AC1313" s="83">
        <v>46116</v>
      </c>
    </row>
    <row r="1314" spans="2:29" ht="23" x14ac:dyDescent="0.35">
      <c r="B1314" s="81" t="s">
        <v>338</v>
      </c>
      <c r="C1314" s="81" t="s">
        <v>339</v>
      </c>
      <c r="D1314" s="81" t="s">
        <v>340</v>
      </c>
      <c r="E1314" s="81" t="s">
        <v>359</v>
      </c>
      <c r="F1314" s="162" t="s">
        <v>360</v>
      </c>
      <c r="G1314" s="163"/>
      <c r="H1314" s="81" t="s">
        <v>1783</v>
      </c>
      <c r="I1314" s="81" t="s">
        <v>1476</v>
      </c>
      <c r="J1314" s="81" t="s">
        <v>153</v>
      </c>
      <c r="K1314" s="81" t="s">
        <v>1786</v>
      </c>
      <c r="L1314" s="81" t="s">
        <v>58</v>
      </c>
      <c r="M1314" s="164">
        <v>4.4225219999999998</v>
      </c>
      <c r="N1314" s="165"/>
      <c r="O1314" s="163"/>
      <c r="P1314" s="82">
        <v>400</v>
      </c>
      <c r="Q1314" s="164">
        <v>0</v>
      </c>
      <c r="R1314" s="163"/>
      <c r="S1314" s="81" t="s">
        <v>58</v>
      </c>
      <c r="T1314" s="82">
        <v>0</v>
      </c>
      <c r="U1314" s="82">
        <v>0</v>
      </c>
      <c r="V1314" s="82">
        <v>0</v>
      </c>
      <c r="W1314" s="82">
        <v>0</v>
      </c>
      <c r="X1314" s="81"/>
      <c r="Y1314" s="81"/>
      <c r="Z1314" s="81" t="s">
        <v>58</v>
      </c>
      <c r="AA1314" s="81" t="s">
        <v>58</v>
      </c>
      <c r="AB1314" s="81" t="s">
        <v>58</v>
      </c>
      <c r="AC1314" s="83">
        <v>46116</v>
      </c>
    </row>
    <row r="1315" spans="2:29" ht="23" x14ac:dyDescent="0.35">
      <c r="B1315" s="81" t="s">
        <v>338</v>
      </c>
      <c r="C1315" s="81" t="s">
        <v>339</v>
      </c>
      <c r="D1315" s="81" t="s">
        <v>340</v>
      </c>
      <c r="E1315" s="81" t="s">
        <v>359</v>
      </c>
      <c r="F1315" s="162" t="s">
        <v>360</v>
      </c>
      <c r="G1315" s="163"/>
      <c r="H1315" s="81" t="s">
        <v>1783</v>
      </c>
      <c r="I1315" s="81" t="s">
        <v>1476</v>
      </c>
      <c r="J1315" s="81" t="s">
        <v>153</v>
      </c>
      <c r="K1315" s="81" t="s">
        <v>1787</v>
      </c>
      <c r="L1315" s="81" t="s">
        <v>58</v>
      </c>
      <c r="M1315" s="164">
        <v>1.3380964</v>
      </c>
      <c r="N1315" s="165"/>
      <c r="O1315" s="163"/>
      <c r="P1315" s="82">
        <v>118</v>
      </c>
      <c r="Q1315" s="164">
        <v>0</v>
      </c>
      <c r="R1315" s="163"/>
      <c r="S1315" s="81" t="s">
        <v>58</v>
      </c>
      <c r="T1315" s="82">
        <v>0</v>
      </c>
      <c r="U1315" s="82">
        <v>0</v>
      </c>
      <c r="V1315" s="82">
        <v>0</v>
      </c>
      <c r="W1315" s="82">
        <v>0</v>
      </c>
      <c r="X1315" s="81"/>
      <c r="Y1315" s="81"/>
      <c r="Z1315" s="81" t="s">
        <v>58</v>
      </c>
      <c r="AA1315" s="81" t="s">
        <v>58</v>
      </c>
      <c r="AB1315" s="81" t="s">
        <v>58</v>
      </c>
      <c r="AC1315" s="83">
        <v>1</v>
      </c>
    </row>
    <row r="1316" spans="2:29" ht="23" x14ac:dyDescent="0.35">
      <c r="B1316" s="81" t="s">
        <v>338</v>
      </c>
      <c r="C1316" s="81" t="s">
        <v>339</v>
      </c>
      <c r="D1316" s="81" t="s">
        <v>340</v>
      </c>
      <c r="E1316" s="81" t="s">
        <v>359</v>
      </c>
      <c r="F1316" s="162" t="s">
        <v>360</v>
      </c>
      <c r="G1316" s="163"/>
      <c r="H1316" s="81" t="s">
        <v>1783</v>
      </c>
      <c r="I1316" s="81" t="s">
        <v>1476</v>
      </c>
      <c r="J1316" s="81" t="s">
        <v>153</v>
      </c>
      <c r="K1316" s="81" t="s">
        <v>1788</v>
      </c>
      <c r="L1316" s="81" t="s">
        <v>58</v>
      </c>
      <c r="M1316" s="164">
        <v>4.53592</v>
      </c>
      <c r="N1316" s="165"/>
      <c r="O1316" s="163"/>
      <c r="P1316" s="82">
        <v>400</v>
      </c>
      <c r="Q1316" s="164">
        <v>0</v>
      </c>
      <c r="R1316" s="163"/>
      <c r="S1316" s="81" t="s">
        <v>58</v>
      </c>
      <c r="T1316" s="82">
        <v>0</v>
      </c>
      <c r="U1316" s="82">
        <v>0</v>
      </c>
      <c r="V1316" s="82">
        <v>0</v>
      </c>
      <c r="W1316" s="82">
        <v>0</v>
      </c>
      <c r="X1316" s="81"/>
      <c r="Y1316" s="81"/>
      <c r="Z1316" s="81" t="s">
        <v>58</v>
      </c>
      <c r="AA1316" s="81" t="s">
        <v>58</v>
      </c>
      <c r="AB1316" s="81" t="s">
        <v>58</v>
      </c>
      <c r="AC1316" s="83">
        <v>46116</v>
      </c>
    </row>
    <row r="1317" spans="2:29" ht="23" x14ac:dyDescent="0.35">
      <c r="B1317" s="81" t="s">
        <v>338</v>
      </c>
      <c r="C1317" s="81" t="s">
        <v>339</v>
      </c>
      <c r="D1317" s="81" t="s">
        <v>340</v>
      </c>
      <c r="E1317" s="81" t="s">
        <v>359</v>
      </c>
      <c r="F1317" s="162" t="s">
        <v>360</v>
      </c>
      <c r="G1317" s="163"/>
      <c r="H1317" s="81" t="s">
        <v>1783</v>
      </c>
      <c r="I1317" s="81" t="s">
        <v>1476</v>
      </c>
      <c r="J1317" s="81" t="s">
        <v>153</v>
      </c>
      <c r="K1317" s="81" t="s">
        <v>1789</v>
      </c>
      <c r="L1317" s="81" t="s">
        <v>58</v>
      </c>
      <c r="M1317" s="164">
        <v>4.53592</v>
      </c>
      <c r="N1317" s="165"/>
      <c r="O1317" s="163"/>
      <c r="P1317" s="82">
        <v>400</v>
      </c>
      <c r="Q1317" s="164">
        <v>0</v>
      </c>
      <c r="R1317" s="163"/>
      <c r="S1317" s="81" t="s">
        <v>58</v>
      </c>
      <c r="T1317" s="82">
        <v>0</v>
      </c>
      <c r="U1317" s="82">
        <v>0</v>
      </c>
      <c r="V1317" s="82">
        <v>0</v>
      </c>
      <c r="W1317" s="82">
        <v>0</v>
      </c>
      <c r="X1317" s="81"/>
      <c r="Y1317" s="81"/>
      <c r="Z1317" s="81" t="s">
        <v>58</v>
      </c>
      <c r="AA1317" s="81" t="s">
        <v>58</v>
      </c>
      <c r="AB1317" s="81" t="s">
        <v>58</v>
      </c>
      <c r="AC1317" s="83">
        <v>46116</v>
      </c>
    </row>
    <row r="1318" spans="2:29" ht="23" x14ac:dyDescent="0.35">
      <c r="B1318" s="81" t="s">
        <v>338</v>
      </c>
      <c r="C1318" s="81" t="s">
        <v>339</v>
      </c>
      <c r="D1318" s="81" t="s">
        <v>340</v>
      </c>
      <c r="E1318" s="81" t="s">
        <v>359</v>
      </c>
      <c r="F1318" s="162" t="s">
        <v>360</v>
      </c>
      <c r="G1318" s="163"/>
      <c r="H1318" s="81" t="s">
        <v>1783</v>
      </c>
      <c r="I1318" s="81" t="s">
        <v>1476</v>
      </c>
      <c r="J1318" s="81" t="s">
        <v>153</v>
      </c>
      <c r="K1318" s="81" t="s">
        <v>1790</v>
      </c>
      <c r="L1318" s="81" t="s">
        <v>58</v>
      </c>
      <c r="M1318" s="164">
        <v>4.53592</v>
      </c>
      <c r="N1318" s="165"/>
      <c r="O1318" s="163"/>
      <c r="P1318" s="82">
        <v>400</v>
      </c>
      <c r="Q1318" s="164">
        <v>0</v>
      </c>
      <c r="R1318" s="163"/>
      <c r="S1318" s="81" t="s">
        <v>58</v>
      </c>
      <c r="T1318" s="82">
        <v>0</v>
      </c>
      <c r="U1318" s="82">
        <v>0</v>
      </c>
      <c r="V1318" s="82">
        <v>0</v>
      </c>
      <c r="W1318" s="82">
        <v>0</v>
      </c>
      <c r="X1318" s="81"/>
      <c r="Y1318" s="81"/>
      <c r="Z1318" s="81" t="s">
        <v>58</v>
      </c>
      <c r="AA1318" s="81" t="s">
        <v>58</v>
      </c>
      <c r="AB1318" s="81" t="s">
        <v>58</v>
      </c>
      <c r="AC1318" s="83">
        <v>46116</v>
      </c>
    </row>
    <row r="1319" spans="2:29" ht="23" x14ac:dyDescent="0.35">
      <c r="B1319" s="81" t="s">
        <v>338</v>
      </c>
      <c r="C1319" s="81" t="s">
        <v>339</v>
      </c>
      <c r="D1319" s="81" t="s">
        <v>340</v>
      </c>
      <c r="E1319" s="81" t="s">
        <v>359</v>
      </c>
      <c r="F1319" s="162" t="s">
        <v>360</v>
      </c>
      <c r="G1319" s="163"/>
      <c r="H1319" s="81" t="s">
        <v>1783</v>
      </c>
      <c r="I1319" s="81" t="s">
        <v>1476</v>
      </c>
      <c r="J1319" s="81" t="s">
        <v>153</v>
      </c>
      <c r="K1319" s="81" t="s">
        <v>1791</v>
      </c>
      <c r="L1319" s="81" t="s">
        <v>58</v>
      </c>
      <c r="M1319" s="164">
        <v>4.53592</v>
      </c>
      <c r="N1319" s="165"/>
      <c r="O1319" s="163"/>
      <c r="P1319" s="82">
        <v>400</v>
      </c>
      <c r="Q1319" s="164">
        <v>0</v>
      </c>
      <c r="R1319" s="163"/>
      <c r="S1319" s="81" t="s">
        <v>58</v>
      </c>
      <c r="T1319" s="82">
        <v>0</v>
      </c>
      <c r="U1319" s="82">
        <v>0</v>
      </c>
      <c r="V1319" s="82">
        <v>0</v>
      </c>
      <c r="W1319" s="82">
        <v>0</v>
      </c>
      <c r="X1319" s="81"/>
      <c r="Y1319" s="81"/>
      <c r="Z1319" s="81" t="s">
        <v>58</v>
      </c>
      <c r="AA1319" s="81" t="s">
        <v>58</v>
      </c>
      <c r="AB1319" s="81" t="s">
        <v>58</v>
      </c>
      <c r="AC1319" s="83">
        <v>46116</v>
      </c>
    </row>
    <row r="1320" spans="2:29" ht="23" x14ac:dyDescent="0.35">
      <c r="B1320" s="81" t="s">
        <v>338</v>
      </c>
      <c r="C1320" s="81" t="s">
        <v>339</v>
      </c>
      <c r="D1320" s="81" t="s">
        <v>340</v>
      </c>
      <c r="E1320" s="81" t="s">
        <v>359</v>
      </c>
      <c r="F1320" s="162" t="s">
        <v>360</v>
      </c>
      <c r="G1320" s="163"/>
      <c r="H1320" s="81" t="s">
        <v>1783</v>
      </c>
      <c r="I1320" s="81" t="s">
        <v>1476</v>
      </c>
      <c r="J1320" s="81" t="s">
        <v>153</v>
      </c>
      <c r="K1320" s="81" t="s">
        <v>1792</v>
      </c>
      <c r="L1320" s="81" t="s">
        <v>58</v>
      </c>
      <c r="M1320" s="164">
        <v>4.53592</v>
      </c>
      <c r="N1320" s="165"/>
      <c r="O1320" s="163"/>
      <c r="P1320" s="82">
        <v>400</v>
      </c>
      <c r="Q1320" s="164">
        <v>0</v>
      </c>
      <c r="R1320" s="163"/>
      <c r="S1320" s="81" t="s">
        <v>58</v>
      </c>
      <c r="T1320" s="82">
        <v>0</v>
      </c>
      <c r="U1320" s="82">
        <v>0</v>
      </c>
      <c r="V1320" s="82">
        <v>0</v>
      </c>
      <c r="W1320" s="82">
        <v>0</v>
      </c>
      <c r="X1320" s="81"/>
      <c r="Y1320" s="81"/>
      <c r="Z1320" s="81" t="s">
        <v>58</v>
      </c>
      <c r="AA1320" s="81" t="s">
        <v>58</v>
      </c>
      <c r="AB1320" s="81" t="s">
        <v>58</v>
      </c>
      <c r="AC1320" s="83">
        <v>46116</v>
      </c>
    </row>
    <row r="1321" spans="2:29" ht="23" x14ac:dyDescent="0.35">
      <c r="B1321" s="81" t="s">
        <v>338</v>
      </c>
      <c r="C1321" s="81" t="s">
        <v>339</v>
      </c>
      <c r="D1321" s="81" t="s">
        <v>340</v>
      </c>
      <c r="E1321" s="81" t="s">
        <v>359</v>
      </c>
      <c r="F1321" s="162" t="s">
        <v>360</v>
      </c>
      <c r="G1321" s="163"/>
      <c r="H1321" s="81" t="s">
        <v>1783</v>
      </c>
      <c r="I1321" s="81" t="s">
        <v>1476</v>
      </c>
      <c r="J1321" s="81" t="s">
        <v>153</v>
      </c>
      <c r="K1321" s="81" t="s">
        <v>1793</v>
      </c>
      <c r="L1321" s="81" t="s">
        <v>58</v>
      </c>
      <c r="M1321" s="164">
        <v>4.53592</v>
      </c>
      <c r="N1321" s="165"/>
      <c r="O1321" s="163"/>
      <c r="P1321" s="82">
        <v>400</v>
      </c>
      <c r="Q1321" s="164">
        <v>0</v>
      </c>
      <c r="R1321" s="163"/>
      <c r="S1321" s="81" t="s">
        <v>58</v>
      </c>
      <c r="T1321" s="82">
        <v>0</v>
      </c>
      <c r="U1321" s="82">
        <v>0</v>
      </c>
      <c r="V1321" s="82">
        <v>0</v>
      </c>
      <c r="W1321" s="82">
        <v>0</v>
      </c>
      <c r="X1321" s="81"/>
      <c r="Y1321" s="81"/>
      <c r="Z1321" s="81" t="s">
        <v>58</v>
      </c>
      <c r="AA1321" s="81" t="s">
        <v>58</v>
      </c>
      <c r="AB1321" s="81" t="s">
        <v>58</v>
      </c>
      <c r="AC1321" s="83">
        <v>1</v>
      </c>
    </row>
    <row r="1322" spans="2:29" ht="23" x14ac:dyDescent="0.35">
      <c r="B1322" s="81" t="s">
        <v>338</v>
      </c>
      <c r="C1322" s="81" t="s">
        <v>339</v>
      </c>
      <c r="D1322" s="81" t="s">
        <v>340</v>
      </c>
      <c r="E1322" s="81" t="s">
        <v>359</v>
      </c>
      <c r="F1322" s="162" t="s">
        <v>360</v>
      </c>
      <c r="G1322" s="163"/>
      <c r="H1322" s="81" t="s">
        <v>1783</v>
      </c>
      <c r="I1322" s="81" t="s">
        <v>1476</v>
      </c>
      <c r="J1322" s="81" t="s">
        <v>153</v>
      </c>
      <c r="K1322" s="81" t="s">
        <v>1794</v>
      </c>
      <c r="L1322" s="81" t="s">
        <v>58</v>
      </c>
      <c r="M1322" s="164">
        <v>4.53592</v>
      </c>
      <c r="N1322" s="165"/>
      <c r="O1322" s="163"/>
      <c r="P1322" s="82">
        <v>400</v>
      </c>
      <c r="Q1322" s="164">
        <v>0</v>
      </c>
      <c r="R1322" s="163"/>
      <c r="S1322" s="81" t="s">
        <v>58</v>
      </c>
      <c r="T1322" s="82">
        <v>0</v>
      </c>
      <c r="U1322" s="82">
        <v>0</v>
      </c>
      <c r="V1322" s="82">
        <v>0</v>
      </c>
      <c r="W1322" s="82">
        <v>0</v>
      </c>
      <c r="X1322" s="81"/>
      <c r="Y1322" s="81"/>
      <c r="Z1322" s="81" t="s">
        <v>58</v>
      </c>
      <c r="AA1322" s="81" t="s">
        <v>58</v>
      </c>
      <c r="AB1322" s="81" t="s">
        <v>58</v>
      </c>
      <c r="AC1322" s="83">
        <v>1</v>
      </c>
    </row>
    <row r="1323" spans="2:29" ht="23" x14ac:dyDescent="0.35">
      <c r="B1323" s="81" t="s">
        <v>338</v>
      </c>
      <c r="C1323" s="81" t="s">
        <v>339</v>
      </c>
      <c r="D1323" s="81" t="s">
        <v>340</v>
      </c>
      <c r="E1323" s="81" t="s">
        <v>359</v>
      </c>
      <c r="F1323" s="162" t="s">
        <v>360</v>
      </c>
      <c r="G1323" s="163"/>
      <c r="H1323" s="81" t="s">
        <v>1783</v>
      </c>
      <c r="I1323" s="81" t="s">
        <v>1476</v>
      </c>
      <c r="J1323" s="81" t="s">
        <v>153</v>
      </c>
      <c r="K1323" s="81" t="s">
        <v>1795</v>
      </c>
      <c r="L1323" s="81" t="s">
        <v>58</v>
      </c>
      <c r="M1323" s="164">
        <v>4.53592</v>
      </c>
      <c r="N1323" s="165"/>
      <c r="O1323" s="163"/>
      <c r="P1323" s="82">
        <v>400</v>
      </c>
      <c r="Q1323" s="164">
        <v>0</v>
      </c>
      <c r="R1323" s="163"/>
      <c r="S1323" s="81" t="s">
        <v>58</v>
      </c>
      <c r="T1323" s="82">
        <v>0</v>
      </c>
      <c r="U1323" s="82">
        <v>0</v>
      </c>
      <c r="V1323" s="82">
        <v>0</v>
      </c>
      <c r="W1323" s="82">
        <v>0</v>
      </c>
      <c r="X1323" s="81"/>
      <c r="Y1323" s="81"/>
      <c r="Z1323" s="81" t="s">
        <v>58</v>
      </c>
      <c r="AA1323" s="81" t="s">
        <v>58</v>
      </c>
      <c r="AB1323" s="81" t="s">
        <v>58</v>
      </c>
      <c r="AC1323" s="83">
        <v>46116</v>
      </c>
    </row>
    <row r="1324" spans="2:29" ht="23" x14ac:dyDescent="0.35">
      <c r="B1324" s="81" t="s">
        <v>338</v>
      </c>
      <c r="C1324" s="81" t="s">
        <v>339</v>
      </c>
      <c r="D1324" s="81" t="s">
        <v>340</v>
      </c>
      <c r="E1324" s="81" t="s">
        <v>359</v>
      </c>
      <c r="F1324" s="162" t="s">
        <v>360</v>
      </c>
      <c r="G1324" s="163"/>
      <c r="H1324" s="81" t="s">
        <v>1783</v>
      </c>
      <c r="I1324" s="81" t="s">
        <v>1476</v>
      </c>
      <c r="J1324" s="81" t="s">
        <v>153</v>
      </c>
      <c r="K1324" s="81" t="s">
        <v>1796</v>
      </c>
      <c r="L1324" s="81" t="s">
        <v>58</v>
      </c>
      <c r="M1324" s="164">
        <v>4.53592</v>
      </c>
      <c r="N1324" s="165"/>
      <c r="O1324" s="163"/>
      <c r="P1324" s="82">
        <v>400</v>
      </c>
      <c r="Q1324" s="164">
        <v>0</v>
      </c>
      <c r="R1324" s="163"/>
      <c r="S1324" s="81" t="s">
        <v>58</v>
      </c>
      <c r="T1324" s="82">
        <v>0</v>
      </c>
      <c r="U1324" s="82">
        <v>0</v>
      </c>
      <c r="V1324" s="82">
        <v>0</v>
      </c>
      <c r="W1324" s="82">
        <v>0</v>
      </c>
      <c r="X1324" s="81"/>
      <c r="Y1324" s="81"/>
      <c r="Z1324" s="81" t="s">
        <v>58</v>
      </c>
      <c r="AA1324" s="81" t="s">
        <v>58</v>
      </c>
      <c r="AB1324" s="81" t="s">
        <v>58</v>
      </c>
      <c r="AC1324" s="83">
        <v>46116</v>
      </c>
    </row>
    <row r="1325" spans="2:29" ht="23" x14ac:dyDescent="0.35">
      <c r="B1325" s="81" t="s">
        <v>338</v>
      </c>
      <c r="C1325" s="81" t="s">
        <v>339</v>
      </c>
      <c r="D1325" s="81" t="s">
        <v>340</v>
      </c>
      <c r="E1325" s="81" t="s">
        <v>359</v>
      </c>
      <c r="F1325" s="162" t="s">
        <v>360</v>
      </c>
      <c r="G1325" s="163"/>
      <c r="H1325" s="81" t="s">
        <v>1783</v>
      </c>
      <c r="I1325" s="81" t="s">
        <v>1476</v>
      </c>
      <c r="J1325" s="81" t="s">
        <v>153</v>
      </c>
      <c r="K1325" s="81" t="s">
        <v>1797</v>
      </c>
      <c r="L1325" s="81" t="s">
        <v>58</v>
      </c>
      <c r="M1325" s="164">
        <v>4.53592</v>
      </c>
      <c r="N1325" s="165"/>
      <c r="O1325" s="163"/>
      <c r="P1325" s="82">
        <v>400</v>
      </c>
      <c r="Q1325" s="164">
        <v>0</v>
      </c>
      <c r="R1325" s="163"/>
      <c r="S1325" s="81" t="s">
        <v>58</v>
      </c>
      <c r="T1325" s="82">
        <v>0</v>
      </c>
      <c r="U1325" s="82">
        <v>0</v>
      </c>
      <c r="V1325" s="82">
        <v>0</v>
      </c>
      <c r="W1325" s="82">
        <v>0</v>
      </c>
      <c r="X1325" s="81"/>
      <c r="Y1325" s="81"/>
      <c r="Z1325" s="81" t="s">
        <v>58</v>
      </c>
      <c r="AA1325" s="81" t="s">
        <v>58</v>
      </c>
      <c r="AB1325" s="81" t="s">
        <v>58</v>
      </c>
      <c r="AC1325" s="83">
        <v>46116</v>
      </c>
    </row>
    <row r="1326" spans="2:29" ht="23" x14ac:dyDescent="0.35">
      <c r="B1326" s="81" t="s">
        <v>338</v>
      </c>
      <c r="C1326" s="81" t="s">
        <v>339</v>
      </c>
      <c r="D1326" s="81" t="s">
        <v>340</v>
      </c>
      <c r="E1326" s="81" t="s">
        <v>359</v>
      </c>
      <c r="F1326" s="162" t="s">
        <v>360</v>
      </c>
      <c r="G1326" s="163"/>
      <c r="H1326" s="81" t="s">
        <v>1783</v>
      </c>
      <c r="I1326" s="81" t="s">
        <v>1476</v>
      </c>
      <c r="J1326" s="81" t="s">
        <v>153</v>
      </c>
      <c r="K1326" s="81" t="s">
        <v>1798</v>
      </c>
      <c r="L1326" s="81" t="s">
        <v>58</v>
      </c>
      <c r="M1326" s="164">
        <v>1.8597272</v>
      </c>
      <c r="N1326" s="165"/>
      <c r="O1326" s="163"/>
      <c r="P1326" s="82">
        <v>160</v>
      </c>
      <c r="Q1326" s="164">
        <v>0</v>
      </c>
      <c r="R1326" s="163"/>
      <c r="S1326" s="81" t="s">
        <v>58</v>
      </c>
      <c r="T1326" s="82">
        <v>0</v>
      </c>
      <c r="U1326" s="82">
        <v>0</v>
      </c>
      <c r="V1326" s="82">
        <v>0</v>
      </c>
      <c r="W1326" s="82">
        <v>0</v>
      </c>
      <c r="X1326" s="81"/>
      <c r="Y1326" s="81"/>
      <c r="Z1326" s="81" t="s">
        <v>58</v>
      </c>
      <c r="AA1326" s="81" t="s">
        <v>58</v>
      </c>
      <c r="AB1326" s="81" t="s">
        <v>58</v>
      </c>
      <c r="AC1326" s="83">
        <v>46116</v>
      </c>
    </row>
    <row r="1327" spans="2:29" ht="23" x14ac:dyDescent="0.35">
      <c r="B1327" s="81" t="s">
        <v>338</v>
      </c>
      <c r="C1327" s="81" t="s">
        <v>339</v>
      </c>
      <c r="D1327" s="81" t="s">
        <v>340</v>
      </c>
      <c r="E1327" s="81" t="s">
        <v>359</v>
      </c>
      <c r="F1327" s="162" t="s">
        <v>360</v>
      </c>
      <c r="G1327" s="163"/>
      <c r="H1327" s="81" t="s">
        <v>1783</v>
      </c>
      <c r="I1327" s="81" t="s">
        <v>1476</v>
      </c>
      <c r="J1327" s="81" t="s">
        <v>153</v>
      </c>
      <c r="K1327" s="81" t="s">
        <v>1799</v>
      </c>
      <c r="L1327" s="81" t="s">
        <v>58</v>
      </c>
      <c r="M1327" s="164">
        <v>4.6493180000000001</v>
      </c>
      <c r="N1327" s="165"/>
      <c r="O1327" s="163"/>
      <c r="P1327" s="82">
        <v>400</v>
      </c>
      <c r="Q1327" s="164">
        <v>0</v>
      </c>
      <c r="R1327" s="163"/>
      <c r="S1327" s="81" t="s">
        <v>58</v>
      </c>
      <c r="T1327" s="82">
        <v>0</v>
      </c>
      <c r="U1327" s="82">
        <v>0</v>
      </c>
      <c r="V1327" s="82">
        <v>0</v>
      </c>
      <c r="W1327" s="82">
        <v>0</v>
      </c>
      <c r="X1327" s="81"/>
      <c r="Y1327" s="81"/>
      <c r="Z1327" s="81" t="s">
        <v>58</v>
      </c>
      <c r="AA1327" s="81" t="s">
        <v>58</v>
      </c>
      <c r="AB1327" s="81" t="s">
        <v>58</v>
      </c>
      <c r="AC1327" s="83">
        <v>46116</v>
      </c>
    </row>
    <row r="1328" spans="2:29" ht="23" x14ac:dyDescent="0.35">
      <c r="B1328" s="81" t="s">
        <v>338</v>
      </c>
      <c r="C1328" s="81" t="s">
        <v>339</v>
      </c>
      <c r="D1328" s="81" t="s">
        <v>340</v>
      </c>
      <c r="E1328" s="81" t="s">
        <v>359</v>
      </c>
      <c r="F1328" s="162" t="s">
        <v>360</v>
      </c>
      <c r="G1328" s="163"/>
      <c r="H1328" s="81" t="s">
        <v>1783</v>
      </c>
      <c r="I1328" s="81" t="s">
        <v>1476</v>
      </c>
      <c r="J1328" s="81" t="s">
        <v>153</v>
      </c>
      <c r="K1328" s="81" t="s">
        <v>1800</v>
      </c>
      <c r="L1328" s="81" t="s">
        <v>58</v>
      </c>
      <c r="M1328" s="164">
        <v>4.6493180000000001</v>
      </c>
      <c r="N1328" s="165"/>
      <c r="O1328" s="163"/>
      <c r="P1328" s="82">
        <v>400</v>
      </c>
      <c r="Q1328" s="164">
        <v>0</v>
      </c>
      <c r="R1328" s="163"/>
      <c r="S1328" s="81" t="s">
        <v>58</v>
      </c>
      <c r="T1328" s="82">
        <v>0</v>
      </c>
      <c r="U1328" s="82">
        <v>0</v>
      </c>
      <c r="V1328" s="82">
        <v>0</v>
      </c>
      <c r="W1328" s="82">
        <v>0</v>
      </c>
      <c r="X1328" s="81"/>
      <c r="Y1328" s="81"/>
      <c r="Z1328" s="81" t="s">
        <v>58</v>
      </c>
      <c r="AA1328" s="81" t="s">
        <v>58</v>
      </c>
      <c r="AB1328" s="81" t="s">
        <v>58</v>
      </c>
      <c r="AC1328" s="83">
        <v>46116</v>
      </c>
    </row>
    <row r="1329" spans="2:29" ht="23" x14ac:dyDescent="0.35">
      <c r="B1329" s="81" t="s">
        <v>338</v>
      </c>
      <c r="C1329" s="81" t="s">
        <v>339</v>
      </c>
      <c r="D1329" s="81" t="s">
        <v>340</v>
      </c>
      <c r="E1329" s="81" t="s">
        <v>359</v>
      </c>
      <c r="F1329" s="162" t="s">
        <v>360</v>
      </c>
      <c r="G1329" s="163"/>
      <c r="H1329" s="81" t="s">
        <v>1783</v>
      </c>
      <c r="I1329" s="81" t="s">
        <v>1476</v>
      </c>
      <c r="J1329" s="81" t="s">
        <v>153</v>
      </c>
      <c r="K1329" s="81" t="s">
        <v>1801</v>
      </c>
      <c r="L1329" s="81" t="s">
        <v>58</v>
      </c>
      <c r="M1329" s="164">
        <v>4.6493180000000001</v>
      </c>
      <c r="N1329" s="165"/>
      <c r="O1329" s="163"/>
      <c r="P1329" s="82">
        <v>400</v>
      </c>
      <c r="Q1329" s="164">
        <v>0</v>
      </c>
      <c r="R1329" s="163"/>
      <c r="S1329" s="81" t="s">
        <v>58</v>
      </c>
      <c r="T1329" s="82">
        <v>0</v>
      </c>
      <c r="U1329" s="82">
        <v>0</v>
      </c>
      <c r="V1329" s="82">
        <v>0</v>
      </c>
      <c r="W1329" s="82">
        <v>0</v>
      </c>
      <c r="X1329" s="81"/>
      <c r="Y1329" s="81"/>
      <c r="Z1329" s="81" t="s">
        <v>58</v>
      </c>
      <c r="AA1329" s="81" t="s">
        <v>58</v>
      </c>
      <c r="AB1329" s="81" t="s">
        <v>58</v>
      </c>
      <c r="AC1329" s="83">
        <v>46116</v>
      </c>
    </row>
    <row r="1330" spans="2:29" ht="23" x14ac:dyDescent="0.35">
      <c r="B1330" s="81" t="s">
        <v>338</v>
      </c>
      <c r="C1330" s="81" t="s">
        <v>339</v>
      </c>
      <c r="D1330" s="81" t="s">
        <v>340</v>
      </c>
      <c r="E1330" s="81" t="s">
        <v>359</v>
      </c>
      <c r="F1330" s="162" t="s">
        <v>360</v>
      </c>
      <c r="G1330" s="163"/>
      <c r="H1330" s="81" t="s">
        <v>1783</v>
      </c>
      <c r="I1330" s="81" t="s">
        <v>1476</v>
      </c>
      <c r="J1330" s="81" t="s">
        <v>153</v>
      </c>
      <c r="K1330" s="81" t="s">
        <v>1802</v>
      </c>
      <c r="L1330" s="81" t="s">
        <v>58</v>
      </c>
      <c r="M1330" s="164">
        <v>4.6493180000000001</v>
      </c>
      <c r="N1330" s="165"/>
      <c r="O1330" s="163"/>
      <c r="P1330" s="82">
        <v>400</v>
      </c>
      <c r="Q1330" s="164">
        <v>0</v>
      </c>
      <c r="R1330" s="163"/>
      <c r="S1330" s="81" t="s">
        <v>58</v>
      </c>
      <c r="T1330" s="82">
        <v>0</v>
      </c>
      <c r="U1330" s="82">
        <v>0</v>
      </c>
      <c r="V1330" s="82">
        <v>0</v>
      </c>
      <c r="W1330" s="82">
        <v>0</v>
      </c>
      <c r="X1330" s="81"/>
      <c r="Y1330" s="81"/>
      <c r="Z1330" s="81" t="s">
        <v>58</v>
      </c>
      <c r="AA1330" s="81" t="s">
        <v>58</v>
      </c>
      <c r="AB1330" s="81" t="s">
        <v>58</v>
      </c>
      <c r="AC1330" s="83">
        <v>46116</v>
      </c>
    </row>
    <row r="1331" spans="2:29" ht="23" x14ac:dyDescent="0.35">
      <c r="B1331" s="81" t="s">
        <v>338</v>
      </c>
      <c r="C1331" s="81" t="s">
        <v>339</v>
      </c>
      <c r="D1331" s="81" t="s">
        <v>340</v>
      </c>
      <c r="E1331" s="81" t="s">
        <v>359</v>
      </c>
      <c r="F1331" s="162" t="s">
        <v>360</v>
      </c>
      <c r="G1331" s="163"/>
      <c r="H1331" s="81" t="s">
        <v>1783</v>
      </c>
      <c r="I1331" s="81" t="s">
        <v>1476</v>
      </c>
      <c r="J1331" s="81" t="s">
        <v>153</v>
      </c>
      <c r="K1331" s="81" t="s">
        <v>1803</v>
      </c>
      <c r="L1331" s="81" t="s">
        <v>58</v>
      </c>
      <c r="M1331" s="164">
        <v>4.6493180000000001</v>
      </c>
      <c r="N1331" s="165"/>
      <c r="O1331" s="163"/>
      <c r="P1331" s="82">
        <v>400</v>
      </c>
      <c r="Q1331" s="164">
        <v>0</v>
      </c>
      <c r="R1331" s="163"/>
      <c r="S1331" s="81" t="s">
        <v>58</v>
      </c>
      <c r="T1331" s="82">
        <v>0</v>
      </c>
      <c r="U1331" s="82">
        <v>0</v>
      </c>
      <c r="V1331" s="82">
        <v>0</v>
      </c>
      <c r="W1331" s="82">
        <v>0</v>
      </c>
      <c r="X1331" s="81"/>
      <c r="Y1331" s="81"/>
      <c r="Z1331" s="81" t="s">
        <v>58</v>
      </c>
      <c r="AA1331" s="81" t="s">
        <v>58</v>
      </c>
      <c r="AB1331" s="81" t="s">
        <v>58</v>
      </c>
      <c r="AC1331" s="83">
        <v>46116</v>
      </c>
    </row>
    <row r="1332" spans="2:29" ht="23" x14ac:dyDescent="0.35">
      <c r="B1332" s="81" t="s">
        <v>338</v>
      </c>
      <c r="C1332" s="81" t="s">
        <v>339</v>
      </c>
      <c r="D1332" s="81" t="s">
        <v>340</v>
      </c>
      <c r="E1332" s="81" t="s">
        <v>359</v>
      </c>
      <c r="F1332" s="162" t="s">
        <v>360</v>
      </c>
      <c r="G1332" s="163"/>
      <c r="H1332" s="81" t="s">
        <v>1783</v>
      </c>
      <c r="I1332" s="81" t="s">
        <v>1476</v>
      </c>
      <c r="J1332" s="81" t="s">
        <v>153</v>
      </c>
      <c r="K1332" s="81" t="s">
        <v>1804</v>
      </c>
      <c r="L1332" s="81" t="s">
        <v>58</v>
      </c>
      <c r="M1332" s="164">
        <v>4.6493180000000001</v>
      </c>
      <c r="N1332" s="165"/>
      <c r="O1332" s="163"/>
      <c r="P1332" s="82">
        <v>400</v>
      </c>
      <c r="Q1332" s="164">
        <v>0</v>
      </c>
      <c r="R1332" s="163"/>
      <c r="S1332" s="81" t="s">
        <v>58</v>
      </c>
      <c r="T1332" s="82">
        <v>0</v>
      </c>
      <c r="U1332" s="82">
        <v>0</v>
      </c>
      <c r="V1332" s="82">
        <v>0</v>
      </c>
      <c r="W1332" s="82">
        <v>0</v>
      </c>
      <c r="X1332" s="81"/>
      <c r="Y1332" s="81"/>
      <c r="Z1332" s="81" t="s">
        <v>58</v>
      </c>
      <c r="AA1332" s="81" t="s">
        <v>58</v>
      </c>
      <c r="AB1332" s="81" t="s">
        <v>58</v>
      </c>
      <c r="AC1332" s="83">
        <v>46116</v>
      </c>
    </row>
    <row r="1333" spans="2:29" ht="23" x14ac:dyDescent="0.35">
      <c r="B1333" s="81" t="s">
        <v>338</v>
      </c>
      <c r="C1333" s="81" t="s">
        <v>339</v>
      </c>
      <c r="D1333" s="81" t="s">
        <v>340</v>
      </c>
      <c r="E1333" s="81" t="s">
        <v>359</v>
      </c>
      <c r="F1333" s="162" t="s">
        <v>360</v>
      </c>
      <c r="G1333" s="163"/>
      <c r="H1333" s="81" t="s">
        <v>1783</v>
      </c>
      <c r="I1333" s="81" t="s">
        <v>1476</v>
      </c>
      <c r="J1333" s="81" t="s">
        <v>153</v>
      </c>
      <c r="K1333" s="81" t="s">
        <v>1805</v>
      </c>
      <c r="L1333" s="81" t="s">
        <v>58</v>
      </c>
      <c r="M1333" s="164">
        <v>4.6493180000000001</v>
      </c>
      <c r="N1333" s="165"/>
      <c r="O1333" s="163"/>
      <c r="P1333" s="82">
        <v>400</v>
      </c>
      <c r="Q1333" s="164">
        <v>0</v>
      </c>
      <c r="R1333" s="163"/>
      <c r="S1333" s="81" t="s">
        <v>58</v>
      </c>
      <c r="T1333" s="82">
        <v>0</v>
      </c>
      <c r="U1333" s="82">
        <v>0</v>
      </c>
      <c r="V1333" s="82">
        <v>0</v>
      </c>
      <c r="W1333" s="82">
        <v>0</v>
      </c>
      <c r="X1333" s="81"/>
      <c r="Y1333" s="81"/>
      <c r="Z1333" s="81" t="s">
        <v>58</v>
      </c>
      <c r="AA1333" s="81" t="s">
        <v>58</v>
      </c>
      <c r="AB1333" s="81" t="s">
        <v>58</v>
      </c>
      <c r="AC1333" s="83">
        <v>46116</v>
      </c>
    </row>
    <row r="1334" spans="2:29" ht="23" x14ac:dyDescent="0.35">
      <c r="B1334" s="81" t="s">
        <v>338</v>
      </c>
      <c r="C1334" s="81" t="s">
        <v>339</v>
      </c>
      <c r="D1334" s="81" t="s">
        <v>340</v>
      </c>
      <c r="E1334" s="81" t="s">
        <v>359</v>
      </c>
      <c r="F1334" s="162" t="s">
        <v>360</v>
      </c>
      <c r="G1334" s="163"/>
      <c r="H1334" s="81" t="s">
        <v>1783</v>
      </c>
      <c r="I1334" s="81" t="s">
        <v>1476</v>
      </c>
      <c r="J1334" s="81" t="s">
        <v>153</v>
      </c>
      <c r="K1334" s="81" t="s">
        <v>1806</v>
      </c>
      <c r="L1334" s="81" t="s">
        <v>58</v>
      </c>
      <c r="M1334" s="164">
        <v>4.6493180000000001</v>
      </c>
      <c r="N1334" s="165"/>
      <c r="O1334" s="163"/>
      <c r="P1334" s="82">
        <v>400</v>
      </c>
      <c r="Q1334" s="164">
        <v>0</v>
      </c>
      <c r="R1334" s="163"/>
      <c r="S1334" s="81" t="s">
        <v>58</v>
      </c>
      <c r="T1334" s="82">
        <v>0</v>
      </c>
      <c r="U1334" s="82">
        <v>0</v>
      </c>
      <c r="V1334" s="82">
        <v>0</v>
      </c>
      <c r="W1334" s="82">
        <v>0</v>
      </c>
      <c r="X1334" s="81"/>
      <c r="Y1334" s="81"/>
      <c r="Z1334" s="81" t="s">
        <v>58</v>
      </c>
      <c r="AA1334" s="81" t="s">
        <v>58</v>
      </c>
      <c r="AB1334" s="81" t="s">
        <v>58</v>
      </c>
      <c r="AC1334" s="83">
        <v>46116</v>
      </c>
    </row>
    <row r="1335" spans="2:29" ht="23" x14ac:dyDescent="0.35">
      <c r="B1335" s="81" t="s">
        <v>338</v>
      </c>
      <c r="C1335" s="81" t="s">
        <v>339</v>
      </c>
      <c r="D1335" s="81" t="s">
        <v>340</v>
      </c>
      <c r="E1335" s="81" t="s">
        <v>359</v>
      </c>
      <c r="F1335" s="162" t="s">
        <v>360</v>
      </c>
      <c r="G1335" s="163"/>
      <c r="H1335" s="81" t="s">
        <v>1783</v>
      </c>
      <c r="I1335" s="81" t="s">
        <v>1476</v>
      </c>
      <c r="J1335" s="81" t="s">
        <v>153</v>
      </c>
      <c r="K1335" s="81" t="s">
        <v>1807</v>
      </c>
      <c r="L1335" s="81" t="s">
        <v>58</v>
      </c>
      <c r="M1335" s="164">
        <v>4.6493180000000001</v>
      </c>
      <c r="N1335" s="165"/>
      <c r="O1335" s="163"/>
      <c r="P1335" s="82">
        <v>400</v>
      </c>
      <c r="Q1335" s="164">
        <v>0</v>
      </c>
      <c r="R1335" s="163"/>
      <c r="S1335" s="81" t="s">
        <v>58</v>
      </c>
      <c r="T1335" s="82">
        <v>0</v>
      </c>
      <c r="U1335" s="82">
        <v>0</v>
      </c>
      <c r="V1335" s="82">
        <v>0</v>
      </c>
      <c r="W1335" s="82">
        <v>0</v>
      </c>
      <c r="X1335" s="81"/>
      <c r="Y1335" s="81"/>
      <c r="Z1335" s="81" t="s">
        <v>58</v>
      </c>
      <c r="AA1335" s="81" t="s">
        <v>58</v>
      </c>
      <c r="AB1335" s="81" t="s">
        <v>58</v>
      </c>
      <c r="AC1335" s="83">
        <v>46116</v>
      </c>
    </row>
    <row r="1336" spans="2:29" ht="23" x14ac:dyDescent="0.35">
      <c r="B1336" s="81" t="s">
        <v>338</v>
      </c>
      <c r="C1336" s="81" t="s">
        <v>339</v>
      </c>
      <c r="D1336" s="81" t="s">
        <v>340</v>
      </c>
      <c r="E1336" s="81" t="s">
        <v>359</v>
      </c>
      <c r="F1336" s="162" t="s">
        <v>360</v>
      </c>
      <c r="G1336" s="163"/>
      <c r="H1336" s="81" t="s">
        <v>1783</v>
      </c>
      <c r="I1336" s="81" t="s">
        <v>1476</v>
      </c>
      <c r="J1336" s="81" t="s">
        <v>153</v>
      </c>
      <c r="K1336" s="81" t="s">
        <v>1808</v>
      </c>
      <c r="L1336" s="81" t="s">
        <v>58</v>
      </c>
      <c r="M1336" s="164">
        <v>4.6493180000000001</v>
      </c>
      <c r="N1336" s="165"/>
      <c r="O1336" s="163"/>
      <c r="P1336" s="82">
        <v>400</v>
      </c>
      <c r="Q1336" s="164">
        <v>0</v>
      </c>
      <c r="R1336" s="163"/>
      <c r="S1336" s="81" t="s">
        <v>58</v>
      </c>
      <c r="T1336" s="82">
        <v>0</v>
      </c>
      <c r="U1336" s="82">
        <v>0</v>
      </c>
      <c r="V1336" s="82">
        <v>0</v>
      </c>
      <c r="W1336" s="82">
        <v>0</v>
      </c>
      <c r="X1336" s="81"/>
      <c r="Y1336" s="81"/>
      <c r="Z1336" s="81" t="s">
        <v>58</v>
      </c>
      <c r="AA1336" s="81" t="s">
        <v>58</v>
      </c>
      <c r="AB1336" s="81" t="s">
        <v>58</v>
      </c>
      <c r="AC1336" s="83">
        <v>46116</v>
      </c>
    </row>
    <row r="1337" spans="2:29" ht="23" x14ac:dyDescent="0.35">
      <c r="B1337" s="81" t="s">
        <v>338</v>
      </c>
      <c r="C1337" s="81" t="s">
        <v>339</v>
      </c>
      <c r="D1337" s="81" t="s">
        <v>340</v>
      </c>
      <c r="E1337" s="81" t="s">
        <v>359</v>
      </c>
      <c r="F1337" s="162" t="s">
        <v>360</v>
      </c>
      <c r="G1337" s="163"/>
      <c r="H1337" s="81" t="s">
        <v>1783</v>
      </c>
      <c r="I1337" s="81" t="s">
        <v>1476</v>
      </c>
      <c r="J1337" s="81" t="s">
        <v>153</v>
      </c>
      <c r="K1337" s="81" t="s">
        <v>1809</v>
      </c>
      <c r="L1337" s="81" t="s">
        <v>58</v>
      </c>
      <c r="M1337" s="164">
        <v>4.6493180000000001</v>
      </c>
      <c r="N1337" s="165"/>
      <c r="O1337" s="163"/>
      <c r="P1337" s="82">
        <v>400</v>
      </c>
      <c r="Q1337" s="164">
        <v>0</v>
      </c>
      <c r="R1337" s="163"/>
      <c r="S1337" s="81" t="s">
        <v>58</v>
      </c>
      <c r="T1337" s="82">
        <v>0</v>
      </c>
      <c r="U1337" s="82">
        <v>0</v>
      </c>
      <c r="V1337" s="82">
        <v>0</v>
      </c>
      <c r="W1337" s="82">
        <v>0</v>
      </c>
      <c r="X1337" s="81"/>
      <c r="Y1337" s="81"/>
      <c r="Z1337" s="81" t="s">
        <v>58</v>
      </c>
      <c r="AA1337" s="81" t="s">
        <v>58</v>
      </c>
      <c r="AB1337" s="81" t="s">
        <v>58</v>
      </c>
      <c r="AC1337" s="83">
        <v>46116</v>
      </c>
    </row>
    <row r="1338" spans="2:29" ht="23" x14ac:dyDescent="0.35">
      <c r="B1338" s="81" t="s">
        <v>338</v>
      </c>
      <c r="C1338" s="81" t="s">
        <v>339</v>
      </c>
      <c r="D1338" s="81" t="s">
        <v>340</v>
      </c>
      <c r="E1338" s="81" t="s">
        <v>359</v>
      </c>
      <c r="F1338" s="162" t="s">
        <v>360</v>
      </c>
      <c r="G1338" s="163"/>
      <c r="H1338" s="81" t="s">
        <v>1783</v>
      </c>
      <c r="I1338" s="81" t="s">
        <v>1476</v>
      </c>
      <c r="J1338" s="81" t="s">
        <v>153</v>
      </c>
      <c r="K1338" s="81" t="s">
        <v>1810</v>
      </c>
      <c r="L1338" s="81" t="s">
        <v>58</v>
      </c>
      <c r="M1338" s="164">
        <v>4.6493180000000001</v>
      </c>
      <c r="N1338" s="165"/>
      <c r="O1338" s="163"/>
      <c r="P1338" s="82">
        <v>400</v>
      </c>
      <c r="Q1338" s="164">
        <v>0</v>
      </c>
      <c r="R1338" s="163"/>
      <c r="S1338" s="81" t="s">
        <v>58</v>
      </c>
      <c r="T1338" s="82">
        <v>0</v>
      </c>
      <c r="U1338" s="82">
        <v>0</v>
      </c>
      <c r="V1338" s="82">
        <v>0</v>
      </c>
      <c r="W1338" s="82">
        <v>0</v>
      </c>
      <c r="X1338" s="81"/>
      <c r="Y1338" s="81"/>
      <c r="Z1338" s="81" t="s">
        <v>58</v>
      </c>
      <c r="AA1338" s="81" t="s">
        <v>58</v>
      </c>
      <c r="AB1338" s="81" t="s">
        <v>58</v>
      </c>
      <c r="AC1338" s="83">
        <v>46116</v>
      </c>
    </row>
    <row r="1339" spans="2:29" ht="23" x14ac:dyDescent="0.35">
      <c r="B1339" s="81" t="s">
        <v>338</v>
      </c>
      <c r="C1339" s="81" t="s">
        <v>339</v>
      </c>
      <c r="D1339" s="81" t="s">
        <v>340</v>
      </c>
      <c r="E1339" s="81" t="s">
        <v>359</v>
      </c>
      <c r="F1339" s="162" t="s">
        <v>360</v>
      </c>
      <c r="G1339" s="163"/>
      <c r="H1339" s="81" t="s">
        <v>1783</v>
      </c>
      <c r="I1339" s="81" t="s">
        <v>1476</v>
      </c>
      <c r="J1339" s="81" t="s">
        <v>153</v>
      </c>
      <c r="K1339" s="81" t="s">
        <v>1811</v>
      </c>
      <c r="L1339" s="81" t="s">
        <v>58</v>
      </c>
      <c r="M1339" s="164">
        <v>4.4055122999999998</v>
      </c>
      <c r="N1339" s="165"/>
      <c r="O1339" s="163"/>
      <c r="P1339" s="82">
        <v>370</v>
      </c>
      <c r="Q1339" s="164">
        <v>0</v>
      </c>
      <c r="R1339" s="163"/>
      <c r="S1339" s="81" t="s">
        <v>58</v>
      </c>
      <c r="T1339" s="82">
        <v>0</v>
      </c>
      <c r="U1339" s="82">
        <v>0</v>
      </c>
      <c r="V1339" s="82">
        <v>0</v>
      </c>
      <c r="W1339" s="82">
        <v>0</v>
      </c>
      <c r="X1339" s="81"/>
      <c r="Y1339" s="81"/>
      <c r="Z1339" s="81" t="s">
        <v>58</v>
      </c>
      <c r="AA1339" s="81" t="s">
        <v>58</v>
      </c>
      <c r="AB1339" s="81" t="s">
        <v>58</v>
      </c>
      <c r="AC1339" s="83">
        <v>46116</v>
      </c>
    </row>
    <row r="1340" spans="2:29" ht="23" x14ac:dyDescent="0.35">
      <c r="B1340" s="81" t="s">
        <v>338</v>
      </c>
      <c r="C1340" s="81" t="s">
        <v>339</v>
      </c>
      <c r="D1340" s="81" t="s">
        <v>340</v>
      </c>
      <c r="E1340" s="81" t="s">
        <v>359</v>
      </c>
      <c r="F1340" s="162" t="s">
        <v>360</v>
      </c>
      <c r="G1340" s="163"/>
      <c r="H1340" s="81" t="s">
        <v>1783</v>
      </c>
      <c r="I1340" s="81" t="s">
        <v>1476</v>
      </c>
      <c r="J1340" s="81" t="s">
        <v>153</v>
      </c>
      <c r="K1340" s="81" t="s">
        <v>1812</v>
      </c>
      <c r="L1340" s="81" t="s">
        <v>58</v>
      </c>
      <c r="M1340" s="164">
        <v>4.7627160000000002</v>
      </c>
      <c r="N1340" s="165"/>
      <c r="O1340" s="163"/>
      <c r="P1340" s="82">
        <v>400</v>
      </c>
      <c r="Q1340" s="164">
        <v>0</v>
      </c>
      <c r="R1340" s="163"/>
      <c r="S1340" s="81" t="s">
        <v>58</v>
      </c>
      <c r="T1340" s="82">
        <v>0</v>
      </c>
      <c r="U1340" s="82">
        <v>0</v>
      </c>
      <c r="V1340" s="82">
        <v>0</v>
      </c>
      <c r="W1340" s="82">
        <v>0</v>
      </c>
      <c r="X1340" s="81"/>
      <c r="Y1340" s="81"/>
      <c r="Z1340" s="81" t="s">
        <v>58</v>
      </c>
      <c r="AA1340" s="81" t="s">
        <v>58</v>
      </c>
      <c r="AB1340" s="81" t="s">
        <v>58</v>
      </c>
      <c r="AC1340" s="83">
        <v>46116</v>
      </c>
    </row>
    <row r="1341" spans="2:29" ht="23" x14ac:dyDescent="0.35">
      <c r="B1341" s="81" t="s">
        <v>338</v>
      </c>
      <c r="C1341" s="81" t="s">
        <v>339</v>
      </c>
      <c r="D1341" s="81" t="s">
        <v>340</v>
      </c>
      <c r="E1341" s="81" t="s">
        <v>359</v>
      </c>
      <c r="F1341" s="162" t="s">
        <v>360</v>
      </c>
      <c r="G1341" s="163"/>
      <c r="H1341" s="81" t="s">
        <v>1783</v>
      </c>
      <c r="I1341" s="81" t="s">
        <v>1476</v>
      </c>
      <c r="J1341" s="81" t="s">
        <v>153</v>
      </c>
      <c r="K1341" s="81" t="s">
        <v>1813</v>
      </c>
      <c r="L1341" s="81" t="s">
        <v>58</v>
      </c>
      <c r="M1341" s="164">
        <v>4.7627160000000002</v>
      </c>
      <c r="N1341" s="165"/>
      <c r="O1341" s="163"/>
      <c r="P1341" s="82">
        <v>400</v>
      </c>
      <c r="Q1341" s="164">
        <v>0</v>
      </c>
      <c r="R1341" s="163"/>
      <c r="S1341" s="81" t="s">
        <v>58</v>
      </c>
      <c r="T1341" s="82">
        <v>0</v>
      </c>
      <c r="U1341" s="82">
        <v>0</v>
      </c>
      <c r="V1341" s="82">
        <v>0</v>
      </c>
      <c r="W1341" s="82">
        <v>0</v>
      </c>
      <c r="X1341" s="81"/>
      <c r="Y1341" s="81"/>
      <c r="Z1341" s="81" t="s">
        <v>58</v>
      </c>
      <c r="AA1341" s="81" t="s">
        <v>58</v>
      </c>
      <c r="AB1341" s="81" t="s">
        <v>58</v>
      </c>
      <c r="AC1341" s="83">
        <v>46116</v>
      </c>
    </row>
    <row r="1342" spans="2:29" ht="23" x14ac:dyDescent="0.35">
      <c r="B1342" s="81" t="s">
        <v>338</v>
      </c>
      <c r="C1342" s="81" t="s">
        <v>339</v>
      </c>
      <c r="D1342" s="81" t="s">
        <v>340</v>
      </c>
      <c r="E1342" s="81" t="s">
        <v>359</v>
      </c>
      <c r="F1342" s="162" t="s">
        <v>360</v>
      </c>
      <c r="G1342" s="163"/>
      <c r="H1342" s="81" t="s">
        <v>1783</v>
      </c>
      <c r="I1342" s="81" t="s">
        <v>1476</v>
      </c>
      <c r="J1342" s="81" t="s">
        <v>153</v>
      </c>
      <c r="K1342" s="81" t="s">
        <v>1814</v>
      </c>
      <c r="L1342" s="81" t="s">
        <v>58</v>
      </c>
      <c r="M1342" s="164">
        <v>4.7627160000000002</v>
      </c>
      <c r="N1342" s="165"/>
      <c r="O1342" s="163"/>
      <c r="P1342" s="82">
        <v>400</v>
      </c>
      <c r="Q1342" s="164">
        <v>0</v>
      </c>
      <c r="R1342" s="163"/>
      <c r="S1342" s="81" t="s">
        <v>58</v>
      </c>
      <c r="T1342" s="82">
        <v>0</v>
      </c>
      <c r="U1342" s="82">
        <v>0</v>
      </c>
      <c r="V1342" s="82">
        <v>0</v>
      </c>
      <c r="W1342" s="82">
        <v>0</v>
      </c>
      <c r="X1342" s="81"/>
      <c r="Y1342" s="81"/>
      <c r="Z1342" s="81" t="s">
        <v>58</v>
      </c>
      <c r="AA1342" s="81" t="s">
        <v>58</v>
      </c>
      <c r="AB1342" s="81" t="s">
        <v>58</v>
      </c>
      <c r="AC1342" s="83">
        <v>46116</v>
      </c>
    </row>
    <row r="1343" spans="2:29" ht="23" x14ac:dyDescent="0.35">
      <c r="B1343" s="81" t="s">
        <v>338</v>
      </c>
      <c r="C1343" s="81" t="s">
        <v>339</v>
      </c>
      <c r="D1343" s="81" t="s">
        <v>340</v>
      </c>
      <c r="E1343" s="81" t="s">
        <v>359</v>
      </c>
      <c r="F1343" s="162" t="s">
        <v>360</v>
      </c>
      <c r="G1343" s="163"/>
      <c r="H1343" s="81" t="s">
        <v>1783</v>
      </c>
      <c r="I1343" s="81" t="s">
        <v>1476</v>
      </c>
      <c r="J1343" s="81" t="s">
        <v>153</v>
      </c>
      <c r="K1343" s="81" t="s">
        <v>1815</v>
      </c>
      <c r="L1343" s="81" t="s">
        <v>58</v>
      </c>
      <c r="M1343" s="164">
        <v>4.7627160000000002</v>
      </c>
      <c r="N1343" s="165"/>
      <c r="O1343" s="163"/>
      <c r="P1343" s="82">
        <v>400</v>
      </c>
      <c r="Q1343" s="164">
        <v>0</v>
      </c>
      <c r="R1343" s="163"/>
      <c r="S1343" s="81" t="s">
        <v>58</v>
      </c>
      <c r="T1343" s="82">
        <v>0</v>
      </c>
      <c r="U1343" s="82">
        <v>0</v>
      </c>
      <c r="V1343" s="82">
        <v>0</v>
      </c>
      <c r="W1343" s="82">
        <v>0</v>
      </c>
      <c r="X1343" s="81"/>
      <c r="Y1343" s="81"/>
      <c r="Z1343" s="81" t="s">
        <v>58</v>
      </c>
      <c r="AA1343" s="81" t="s">
        <v>58</v>
      </c>
      <c r="AB1343" s="81" t="s">
        <v>58</v>
      </c>
      <c r="AC1343" s="83">
        <v>46116</v>
      </c>
    </row>
    <row r="1344" spans="2:29" ht="23" x14ac:dyDescent="0.35">
      <c r="B1344" s="81" t="s">
        <v>338</v>
      </c>
      <c r="C1344" s="81" t="s">
        <v>339</v>
      </c>
      <c r="D1344" s="81" t="s">
        <v>340</v>
      </c>
      <c r="E1344" s="81" t="s">
        <v>359</v>
      </c>
      <c r="F1344" s="162" t="s">
        <v>360</v>
      </c>
      <c r="G1344" s="163"/>
      <c r="H1344" s="81" t="s">
        <v>1783</v>
      </c>
      <c r="I1344" s="81" t="s">
        <v>1476</v>
      </c>
      <c r="J1344" s="81" t="s">
        <v>153</v>
      </c>
      <c r="K1344" s="81" t="s">
        <v>1816</v>
      </c>
      <c r="L1344" s="81" t="s">
        <v>58</v>
      </c>
      <c r="M1344" s="164">
        <v>4.7627160000000002</v>
      </c>
      <c r="N1344" s="165"/>
      <c r="O1344" s="163"/>
      <c r="P1344" s="82">
        <v>400</v>
      </c>
      <c r="Q1344" s="164">
        <v>0</v>
      </c>
      <c r="R1344" s="163"/>
      <c r="S1344" s="81" t="s">
        <v>58</v>
      </c>
      <c r="T1344" s="82">
        <v>0</v>
      </c>
      <c r="U1344" s="82">
        <v>0</v>
      </c>
      <c r="V1344" s="82">
        <v>0</v>
      </c>
      <c r="W1344" s="82">
        <v>0</v>
      </c>
      <c r="X1344" s="81"/>
      <c r="Y1344" s="81"/>
      <c r="Z1344" s="81" t="s">
        <v>58</v>
      </c>
      <c r="AA1344" s="81" t="s">
        <v>58</v>
      </c>
      <c r="AB1344" s="81" t="s">
        <v>58</v>
      </c>
      <c r="AC1344" s="83">
        <v>46116</v>
      </c>
    </row>
    <row r="1345" spans="2:29" ht="23" x14ac:dyDescent="0.35">
      <c r="B1345" s="81" t="s">
        <v>338</v>
      </c>
      <c r="C1345" s="81" t="s">
        <v>339</v>
      </c>
      <c r="D1345" s="81" t="s">
        <v>340</v>
      </c>
      <c r="E1345" s="81" t="s">
        <v>359</v>
      </c>
      <c r="F1345" s="162" t="s">
        <v>360</v>
      </c>
      <c r="G1345" s="163"/>
      <c r="H1345" s="81" t="s">
        <v>1783</v>
      </c>
      <c r="I1345" s="81" t="s">
        <v>1476</v>
      </c>
      <c r="J1345" s="81" t="s">
        <v>153</v>
      </c>
      <c r="K1345" s="81" t="s">
        <v>1817</v>
      </c>
      <c r="L1345" s="81" t="s">
        <v>58</v>
      </c>
      <c r="M1345" s="164">
        <v>4.7627160000000002</v>
      </c>
      <c r="N1345" s="165"/>
      <c r="O1345" s="163"/>
      <c r="P1345" s="82">
        <v>400</v>
      </c>
      <c r="Q1345" s="164">
        <v>0</v>
      </c>
      <c r="R1345" s="163"/>
      <c r="S1345" s="81" t="s">
        <v>58</v>
      </c>
      <c r="T1345" s="82">
        <v>0</v>
      </c>
      <c r="U1345" s="82">
        <v>0</v>
      </c>
      <c r="V1345" s="82">
        <v>0</v>
      </c>
      <c r="W1345" s="82">
        <v>0</v>
      </c>
      <c r="X1345" s="81"/>
      <c r="Y1345" s="81"/>
      <c r="Z1345" s="81" t="s">
        <v>58</v>
      </c>
      <c r="AA1345" s="81" t="s">
        <v>58</v>
      </c>
      <c r="AB1345" s="81" t="s">
        <v>58</v>
      </c>
      <c r="AC1345" s="83">
        <v>46116</v>
      </c>
    </row>
    <row r="1346" spans="2:29" ht="23" x14ac:dyDescent="0.35">
      <c r="B1346" s="81" t="s">
        <v>338</v>
      </c>
      <c r="C1346" s="81" t="s">
        <v>339</v>
      </c>
      <c r="D1346" s="81" t="s">
        <v>340</v>
      </c>
      <c r="E1346" s="81" t="s">
        <v>359</v>
      </c>
      <c r="F1346" s="162" t="s">
        <v>360</v>
      </c>
      <c r="G1346" s="163"/>
      <c r="H1346" s="81" t="s">
        <v>1783</v>
      </c>
      <c r="I1346" s="81" t="s">
        <v>1476</v>
      </c>
      <c r="J1346" s="81" t="s">
        <v>153</v>
      </c>
      <c r="K1346" s="81" t="s">
        <v>1818</v>
      </c>
      <c r="L1346" s="81" t="s">
        <v>58</v>
      </c>
      <c r="M1346" s="164">
        <v>4.7627160000000002</v>
      </c>
      <c r="N1346" s="165"/>
      <c r="O1346" s="163"/>
      <c r="P1346" s="82">
        <v>400</v>
      </c>
      <c r="Q1346" s="164">
        <v>0</v>
      </c>
      <c r="R1346" s="163"/>
      <c r="S1346" s="81" t="s">
        <v>58</v>
      </c>
      <c r="T1346" s="82">
        <v>0</v>
      </c>
      <c r="U1346" s="82">
        <v>0</v>
      </c>
      <c r="V1346" s="82">
        <v>0</v>
      </c>
      <c r="W1346" s="82">
        <v>0</v>
      </c>
      <c r="X1346" s="81"/>
      <c r="Y1346" s="81"/>
      <c r="Z1346" s="81" t="s">
        <v>58</v>
      </c>
      <c r="AA1346" s="81" t="s">
        <v>58</v>
      </c>
      <c r="AB1346" s="81" t="s">
        <v>58</v>
      </c>
      <c r="AC1346" s="83">
        <v>46116</v>
      </c>
    </row>
    <row r="1347" spans="2:29" ht="23" x14ac:dyDescent="0.35">
      <c r="B1347" s="81" t="s">
        <v>338</v>
      </c>
      <c r="C1347" s="81" t="s">
        <v>339</v>
      </c>
      <c r="D1347" s="81" t="s">
        <v>340</v>
      </c>
      <c r="E1347" s="81" t="s">
        <v>359</v>
      </c>
      <c r="F1347" s="162" t="s">
        <v>360</v>
      </c>
      <c r="G1347" s="163"/>
      <c r="H1347" s="81" t="s">
        <v>1783</v>
      </c>
      <c r="I1347" s="81" t="s">
        <v>1476</v>
      </c>
      <c r="J1347" s="81" t="s">
        <v>153</v>
      </c>
      <c r="K1347" s="81" t="s">
        <v>1819</v>
      </c>
      <c r="L1347" s="81" t="s">
        <v>58</v>
      </c>
      <c r="M1347" s="164">
        <v>4.7627160000000002</v>
      </c>
      <c r="N1347" s="165"/>
      <c r="O1347" s="163"/>
      <c r="P1347" s="82">
        <v>400</v>
      </c>
      <c r="Q1347" s="164">
        <v>0</v>
      </c>
      <c r="R1347" s="163"/>
      <c r="S1347" s="81" t="s">
        <v>58</v>
      </c>
      <c r="T1347" s="82">
        <v>0</v>
      </c>
      <c r="U1347" s="82">
        <v>0</v>
      </c>
      <c r="V1347" s="82">
        <v>0</v>
      </c>
      <c r="W1347" s="82">
        <v>0</v>
      </c>
      <c r="X1347" s="81"/>
      <c r="Y1347" s="81"/>
      <c r="Z1347" s="81" t="s">
        <v>58</v>
      </c>
      <c r="AA1347" s="81" t="s">
        <v>58</v>
      </c>
      <c r="AB1347" s="81" t="s">
        <v>58</v>
      </c>
      <c r="AC1347" s="83">
        <v>46116</v>
      </c>
    </row>
    <row r="1348" spans="2:29" ht="23" x14ac:dyDescent="0.35">
      <c r="B1348" s="81" t="s">
        <v>338</v>
      </c>
      <c r="C1348" s="81" t="s">
        <v>339</v>
      </c>
      <c r="D1348" s="81" t="s">
        <v>340</v>
      </c>
      <c r="E1348" s="81" t="s">
        <v>359</v>
      </c>
      <c r="F1348" s="162" t="s">
        <v>360</v>
      </c>
      <c r="G1348" s="163"/>
      <c r="H1348" s="81" t="s">
        <v>1783</v>
      </c>
      <c r="I1348" s="81" t="s">
        <v>1476</v>
      </c>
      <c r="J1348" s="81" t="s">
        <v>153</v>
      </c>
      <c r="K1348" s="81" t="s">
        <v>1820</v>
      </c>
      <c r="L1348" s="81" t="s">
        <v>58</v>
      </c>
      <c r="M1348" s="164">
        <v>4.7627160000000002</v>
      </c>
      <c r="N1348" s="165"/>
      <c r="O1348" s="163"/>
      <c r="P1348" s="82">
        <v>400</v>
      </c>
      <c r="Q1348" s="164">
        <v>0</v>
      </c>
      <c r="R1348" s="163"/>
      <c r="S1348" s="81" t="s">
        <v>58</v>
      </c>
      <c r="T1348" s="82">
        <v>0</v>
      </c>
      <c r="U1348" s="82">
        <v>0</v>
      </c>
      <c r="V1348" s="82">
        <v>0</v>
      </c>
      <c r="W1348" s="82">
        <v>0</v>
      </c>
      <c r="X1348" s="81"/>
      <c r="Y1348" s="81"/>
      <c r="Z1348" s="81" t="s">
        <v>58</v>
      </c>
      <c r="AA1348" s="81" t="s">
        <v>58</v>
      </c>
      <c r="AB1348" s="81" t="s">
        <v>58</v>
      </c>
      <c r="AC1348" s="83">
        <v>46116</v>
      </c>
    </row>
    <row r="1349" spans="2:29" ht="23" x14ac:dyDescent="0.35">
      <c r="B1349" s="81" t="s">
        <v>338</v>
      </c>
      <c r="C1349" s="81" t="s">
        <v>339</v>
      </c>
      <c r="D1349" s="81" t="s">
        <v>340</v>
      </c>
      <c r="E1349" s="81" t="s">
        <v>359</v>
      </c>
      <c r="F1349" s="162" t="s">
        <v>360</v>
      </c>
      <c r="G1349" s="163"/>
      <c r="H1349" s="81" t="s">
        <v>1783</v>
      </c>
      <c r="I1349" s="81" t="s">
        <v>1476</v>
      </c>
      <c r="J1349" s="81" t="s">
        <v>153</v>
      </c>
      <c r="K1349" s="81" t="s">
        <v>1821</v>
      </c>
      <c r="L1349" s="81" t="s">
        <v>58</v>
      </c>
      <c r="M1349" s="164">
        <v>1.5359759100000001</v>
      </c>
      <c r="N1349" s="165"/>
      <c r="O1349" s="163"/>
      <c r="P1349" s="82">
        <v>126</v>
      </c>
      <c r="Q1349" s="164">
        <v>0</v>
      </c>
      <c r="R1349" s="163"/>
      <c r="S1349" s="81" t="s">
        <v>58</v>
      </c>
      <c r="T1349" s="82">
        <v>0</v>
      </c>
      <c r="U1349" s="82">
        <v>0</v>
      </c>
      <c r="V1349" s="82">
        <v>0</v>
      </c>
      <c r="W1349" s="82">
        <v>0</v>
      </c>
      <c r="X1349" s="81"/>
      <c r="Y1349" s="81"/>
      <c r="Z1349" s="81" t="s">
        <v>58</v>
      </c>
      <c r="AA1349" s="81" t="s">
        <v>58</v>
      </c>
      <c r="AB1349" s="81" t="s">
        <v>58</v>
      </c>
      <c r="AC1349" s="83">
        <v>46116</v>
      </c>
    </row>
    <row r="1350" spans="2:29" ht="23" x14ac:dyDescent="0.35">
      <c r="B1350" s="81" t="s">
        <v>338</v>
      </c>
      <c r="C1350" s="81" t="s">
        <v>339</v>
      </c>
      <c r="D1350" s="81" t="s">
        <v>340</v>
      </c>
      <c r="E1350" s="81" t="s">
        <v>359</v>
      </c>
      <c r="F1350" s="162" t="s">
        <v>360</v>
      </c>
      <c r="G1350" s="163"/>
      <c r="H1350" s="81" t="s">
        <v>1783</v>
      </c>
      <c r="I1350" s="81" t="s">
        <v>1476</v>
      </c>
      <c r="J1350" s="81" t="s">
        <v>153</v>
      </c>
      <c r="K1350" s="81" t="s">
        <v>1822</v>
      </c>
      <c r="L1350" s="81" t="s">
        <v>58</v>
      </c>
      <c r="M1350" s="164">
        <v>4.8761140000000003</v>
      </c>
      <c r="N1350" s="165"/>
      <c r="O1350" s="163"/>
      <c r="P1350" s="82">
        <v>400</v>
      </c>
      <c r="Q1350" s="164">
        <v>0</v>
      </c>
      <c r="R1350" s="163"/>
      <c r="S1350" s="81" t="s">
        <v>58</v>
      </c>
      <c r="T1350" s="82">
        <v>0</v>
      </c>
      <c r="U1350" s="82">
        <v>0</v>
      </c>
      <c r="V1350" s="82">
        <v>0</v>
      </c>
      <c r="W1350" s="82">
        <v>0</v>
      </c>
      <c r="X1350" s="81"/>
      <c r="Y1350" s="81"/>
      <c r="Z1350" s="81" t="s">
        <v>58</v>
      </c>
      <c r="AA1350" s="81" t="s">
        <v>58</v>
      </c>
      <c r="AB1350" s="81" t="s">
        <v>58</v>
      </c>
      <c r="AC1350" s="83">
        <v>46116</v>
      </c>
    </row>
    <row r="1351" spans="2:29" ht="23" x14ac:dyDescent="0.35">
      <c r="B1351" s="81" t="s">
        <v>338</v>
      </c>
      <c r="C1351" s="81" t="s">
        <v>339</v>
      </c>
      <c r="D1351" s="81" t="s">
        <v>340</v>
      </c>
      <c r="E1351" s="81" t="s">
        <v>359</v>
      </c>
      <c r="F1351" s="162" t="s">
        <v>360</v>
      </c>
      <c r="G1351" s="163"/>
      <c r="H1351" s="81" t="s">
        <v>1783</v>
      </c>
      <c r="I1351" s="81" t="s">
        <v>1476</v>
      </c>
      <c r="J1351" s="81" t="s">
        <v>153</v>
      </c>
      <c r="K1351" s="81" t="s">
        <v>1823</v>
      </c>
      <c r="L1351" s="81" t="s">
        <v>58</v>
      </c>
      <c r="M1351" s="164">
        <v>4.8761140000000003</v>
      </c>
      <c r="N1351" s="165"/>
      <c r="O1351" s="163"/>
      <c r="P1351" s="82">
        <v>400</v>
      </c>
      <c r="Q1351" s="164">
        <v>0</v>
      </c>
      <c r="R1351" s="163"/>
      <c r="S1351" s="81" t="s">
        <v>58</v>
      </c>
      <c r="T1351" s="82">
        <v>0</v>
      </c>
      <c r="U1351" s="82">
        <v>0</v>
      </c>
      <c r="V1351" s="82">
        <v>0</v>
      </c>
      <c r="W1351" s="82">
        <v>0</v>
      </c>
      <c r="X1351" s="81"/>
      <c r="Y1351" s="81"/>
      <c r="Z1351" s="81" t="s">
        <v>58</v>
      </c>
      <c r="AA1351" s="81" t="s">
        <v>58</v>
      </c>
      <c r="AB1351" s="81" t="s">
        <v>58</v>
      </c>
      <c r="AC1351" s="83">
        <v>46116</v>
      </c>
    </row>
    <row r="1352" spans="2:29" ht="23" x14ac:dyDescent="0.35">
      <c r="B1352" s="81" t="s">
        <v>338</v>
      </c>
      <c r="C1352" s="81" t="s">
        <v>339</v>
      </c>
      <c r="D1352" s="81" t="s">
        <v>340</v>
      </c>
      <c r="E1352" s="81" t="s">
        <v>359</v>
      </c>
      <c r="F1352" s="162" t="s">
        <v>360</v>
      </c>
      <c r="G1352" s="163"/>
      <c r="H1352" s="81" t="s">
        <v>1783</v>
      </c>
      <c r="I1352" s="81" t="s">
        <v>1476</v>
      </c>
      <c r="J1352" s="81" t="s">
        <v>153</v>
      </c>
      <c r="K1352" s="81" t="s">
        <v>1824</v>
      </c>
      <c r="L1352" s="81" t="s">
        <v>58</v>
      </c>
      <c r="M1352" s="164">
        <v>4.8761140000000003</v>
      </c>
      <c r="N1352" s="165"/>
      <c r="O1352" s="163"/>
      <c r="P1352" s="82">
        <v>400</v>
      </c>
      <c r="Q1352" s="164">
        <v>0</v>
      </c>
      <c r="R1352" s="163"/>
      <c r="S1352" s="81" t="s">
        <v>58</v>
      </c>
      <c r="T1352" s="82">
        <v>0</v>
      </c>
      <c r="U1352" s="82">
        <v>0</v>
      </c>
      <c r="V1352" s="82">
        <v>0</v>
      </c>
      <c r="W1352" s="82">
        <v>0</v>
      </c>
      <c r="X1352" s="81"/>
      <c r="Y1352" s="81"/>
      <c r="Z1352" s="81" t="s">
        <v>58</v>
      </c>
      <c r="AA1352" s="81" t="s">
        <v>58</v>
      </c>
      <c r="AB1352" s="81" t="s">
        <v>58</v>
      </c>
      <c r="AC1352" s="83">
        <v>46116</v>
      </c>
    </row>
    <row r="1353" spans="2:29" ht="23" x14ac:dyDescent="0.35">
      <c r="B1353" s="81" t="s">
        <v>338</v>
      </c>
      <c r="C1353" s="81" t="s">
        <v>339</v>
      </c>
      <c r="D1353" s="81" t="s">
        <v>340</v>
      </c>
      <c r="E1353" s="81" t="s">
        <v>359</v>
      </c>
      <c r="F1353" s="162" t="s">
        <v>360</v>
      </c>
      <c r="G1353" s="163"/>
      <c r="H1353" s="81" t="s">
        <v>1783</v>
      </c>
      <c r="I1353" s="81" t="s">
        <v>1476</v>
      </c>
      <c r="J1353" s="81" t="s">
        <v>153</v>
      </c>
      <c r="K1353" s="81" t="s">
        <v>1825</v>
      </c>
      <c r="L1353" s="81" t="s">
        <v>58</v>
      </c>
      <c r="M1353" s="164">
        <v>4.8761140000000003</v>
      </c>
      <c r="N1353" s="165"/>
      <c r="O1353" s="163"/>
      <c r="P1353" s="82">
        <v>400</v>
      </c>
      <c r="Q1353" s="164">
        <v>0</v>
      </c>
      <c r="R1353" s="163"/>
      <c r="S1353" s="81" t="s">
        <v>58</v>
      </c>
      <c r="T1353" s="82">
        <v>0</v>
      </c>
      <c r="U1353" s="82">
        <v>0</v>
      </c>
      <c r="V1353" s="82">
        <v>0</v>
      </c>
      <c r="W1353" s="82">
        <v>0</v>
      </c>
      <c r="X1353" s="81"/>
      <c r="Y1353" s="81"/>
      <c r="Z1353" s="81" t="s">
        <v>58</v>
      </c>
      <c r="AA1353" s="81" t="s">
        <v>58</v>
      </c>
      <c r="AB1353" s="81" t="s">
        <v>58</v>
      </c>
      <c r="AC1353" s="83">
        <v>46116</v>
      </c>
    </row>
    <row r="1354" spans="2:29" ht="23" x14ac:dyDescent="0.35">
      <c r="B1354" s="81" t="s">
        <v>338</v>
      </c>
      <c r="C1354" s="81" t="s">
        <v>339</v>
      </c>
      <c r="D1354" s="81" t="s">
        <v>340</v>
      </c>
      <c r="E1354" s="81" t="s">
        <v>359</v>
      </c>
      <c r="F1354" s="162" t="s">
        <v>360</v>
      </c>
      <c r="G1354" s="163"/>
      <c r="H1354" s="81" t="s">
        <v>1783</v>
      </c>
      <c r="I1354" s="81" t="s">
        <v>1476</v>
      </c>
      <c r="J1354" s="81" t="s">
        <v>153</v>
      </c>
      <c r="K1354" s="81" t="s">
        <v>1826</v>
      </c>
      <c r="L1354" s="81" t="s">
        <v>58</v>
      </c>
      <c r="M1354" s="164">
        <v>4.8761140000000003</v>
      </c>
      <c r="N1354" s="165"/>
      <c r="O1354" s="163"/>
      <c r="P1354" s="82">
        <v>400</v>
      </c>
      <c r="Q1354" s="164">
        <v>0</v>
      </c>
      <c r="R1354" s="163"/>
      <c r="S1354" s="81" t="s">
        <v>58</v>
      </c>
      <c r="T1354" s="82">
        <v>0</v>
      </c>
      <c r="U1354" s="82">
        <v>0</v>
      </c>
      <c r="V1354" s="82">
        <v>0</v>
      </c>
      <c r="W1354" s="82">
        <v>0</v>
      </c>
      <c r="X1354" s="81"/>
      <c r="Y1354" s="81"/>
      <c r="Z1354" s="81" t="s">
        <v>58</v>
      </c>
      <c r="AA1354" s="81" t="s">
        <v>58</v>
      </c>
      <c r="AB1354" s="81" t="s">
        <v>58</v>
      </c>
      <c r="AC1354" s="83">
        <v>46116</v>
      </c>
    </row>
    <row r="1355" spans="2:29" ht="23" x14ac:dyDescent="0.35">
      <c r="B1355" s="81" t="s">
        <v>338</v>
      </c>
      <c r="C1355" s="81" t="s">
        <v>339</v>
      </c>
      <c r="D1355" s="81" t="s">
        <v>340</v>
      </c>
      <c r="E1355" s="81" t="s">
        <v>359</v>
      </c>
      <c r="F1355" s="162" t="s">
        <v>360</v>
      </c>
      <c r="G1355" s="163"/>
      <c r="H1355" s="81" t="s">
        <v>1783</v>
      </c>
      <c r="I1355" s="81" t="s">
        <v>1476</v>
      </c>
      <c r="J1355" s="81" t="s">
        <v>153</v>
      </c>
      <c r="K1355" s="81" t="s">
        <v>1827</v>
      </c>
      <c r="L1355" s="81" t="s">
        <v>58</v>
      </c>
      <c r="M1355" s="164">
        <v>4.8761140000000003</v>
      </c>
      <c r="N1355" s="165"/>
      <c r="O1355" s="163"/>
      <c r="P1355" s="82">
        <v>400</v>
      </c>
      <c r="Q1355" s="164">
        <v>0</v>
      </c>
      <c r="R1355" s="163"/>
      <c r="S1355" s="81" t="s">
        <v>58</v>
      </c>
      <c r="T1355" s="82">
        <v>0</v>
      </c>
      <c r="U1355" s="82">
        <v>0</v>
      </c>
      <c r="V1355" s="82">
        <v>0</v>
      </c>
      <c r="W1355" s="82">
        <v>0</v>
      </c>
      <c r="X1355" s="81"/>
      <c r="Y1355" s="81"/>
      <c r="Z1355" s="81" t="s">
        <v>58</v>
      </c>
      <c r="AA1355" s="81" t="s">
        <v>58</v>
      </c>
      <c r="AB1355" s="81" t="s">
        <v>58</v>
      </c>
      <c r="AC1355" s="83">
        <v>46116</v>
      </c>
    </row>
    <row r="1356" spans="2:29" ht="23" x14ac:dyDescent="0.35">
      <c r="B1356" s="81" t="s">
        <v>338</v>
      </c>
      <c r="C1356" s="81" t="s">
        <v>339</v>
      </c>
      <c r="D1356" s="81" t="s">
        <v>340</v>
      </c>
      <c r="E1356" s="81" t="s">
        <v>359</v>
      </c>
      <c r="F1356" s="162" t="s">
        <v>360</v>
      </c>
      <c r="G1356" s="163"/>
      <c r="H1356" s="81" t="s">
        <v>1783</v>
      </c>
      <c r="I1356" s="81" t="s">
        <v>1476</v>
      </c>
      <c r="J1356" s="81" t="s">
        <v>153</v>
      </c>
      <c r="K1356" s="81" t="s">
        <v>1828</v>
      </c>
      <c r="L1356" s="81" t="s">
        <v>58</v>
      </c>
      <c r="M1356" s="164">
        <v>5.738959382</v>
      </c>
      <c r="N1356" s="165"/>
      <c r="O1356" s="163"/>
      <c r="P1356" s="82">
        <v>458</v>
      </c>
      <c r="Q1356" s="164">
        <v>0</v>
      </c>
      <c r="R1356" s="163"/>
      <c r="S1356" s="81" t="s">
        <v>58</v>
      </c>
      <c r="T1356" s="82">
        <v>0</v>
      </c>
      <c r="U1356" s="82">
        <v>0</v>
      </c>
      <c r="V1356" s="82">
        <v>0</v>
      </c>
      <c r="W1356" s="82">
        <v>0</v>
      </c>
      <c r="X1356" s="81"/>
      <c r="Y1356" s="81"/>
      <c r="Z1356" s="81" t="s">
        <v>58</v>
      </c>
      <c r="AA1356" s="81" t="s">
        <v>58</v>
      </c>
      <c r="AB1356" s="81" t="s">
        <v>58</v>
      </c>
      <c r="AC1356" s="83">
        <v>46116</v>
      </c>
    </row>
    <row r="1357" spans="2:29" ht="23" x14ac:dyDescent="0.35">
      <c r="B1357" s="81" t="s">
        <v>338</v>
      </c>
      <c r="C1357" s="81" t="s">
        <v>339</v>
      </c>
      <c r="D1357" s="81" t="s">
        <v>340</v>
      </c>
      <c r="E1357" s="81" t="s">
        <v>359</v>
      </c>
      <c r="F1357" s="162" t="s">
        <v>360</v>
      </c>
      <c r="G1357" s="163"/>
      <c r="H1357" s="81" t="s">
        <v>1783</v>
      </c>
      <c r="I1357" s="81" t="s">
        <v>1476</v>
      </c>
      <c r="J1357" s="81" t="s">
        <v>153</v>
      </c>
      <c r="K1357" s="81" t="s">
        <v>1829</v>
      </c>
      <c r="L1357" s="81" t="s">
        <v>58</v>
      </c>
      <c r="M1357" s="164">
        <v>5.0121916000000004</v>
      </c>
      <c r="N1357" s="165"/>
      <c r="O1357" s="163"/>
      <c r="P1357" s="82">
        <v>400</v>
      </c>
      <c r="Q1357" s="164">
        <v>0</v>
      </c>
      <c r="R1357" s="163"/>
      <c r="S1357" s="81" t="s">
        <v>58</v>
      </c>
      <c r="T1357" s="82">
        <v>0</v>
      </c>
      <c r="U1357" s="82">
        <v>0</v>
      </c>
      <c r="V1357" s="82">
        <v>0</v>
      </c>
      <c r="W1357" s="82">
        <v>0</v>
      </c>
      <c r="X1357" s="81"/>
      <c r="Y1357" s="81"/>
      <c r="Z1357" s="81" t="s">
        <v>58</v>
      </c>
      <c r="AA1357" s="81" t="s">
        <v>58</v>
      </c>
      <c r="AB1357" s="81" t="s">
        <v>58</v>
      </c>
      <c r="AC1357" s="83">
        <v>46116</v>
      </c>
    </row>
    <row r="1358" spans="2:29" ht="23" x14ac:dyDescent="0.35">
      <c r="B1358" s="81" t="s">
        <v>338</v>
      </c>
      <c r="C1358" s="81" t="s">
        <v>339</v>
      </c>
      <c r="D1358" s="81" t="s">
        <v>340</v>
      </c>
      <c r="E1358" s="81" t="s">
        <v>359</v>
      </c>
      <c r="F1358" s="162" t="s">
        <v>360</v>
      </c>
      <c r="G1358" s="163"/>
      <c r="H1358" s="81" t="s">
        <v>1783</v>
      </c>
      <c r="I1358" s="81" t="s">
        <v>1476</v>
      </c>
      <c r="J1358" s="81" t="s">
        <v>153</v>
      </c>
      <c r="K1358" s="81" t="s">
        <v>1830</v>
      </c>
      <c r="L1358" s="81" t="s">
        <v>58</v>
      </c>
      <c r="M1358" s="164">
        <v>0.59987542000000005</v>
      </c>
      <c r="N1358" s="165"/>
      <c r="O1358" s="163"/>
      <c r="P1358" s="82">
        <v>46</v>
      </c>
      <c r="Q1358" s="164">
        <v>0</v>
      </c>
      <c r="R1358" s="163"/>
      <c r="S1358" s="81" t="s">
        <v>58</v>
      </c>
      <c r="T1358" s="82">
        <v>0</v>
      </c>
      <c r="U1358" s="82">
        <v>0</v>
      </c>
      <c r="V1358" s="82">
        <v>0</v>
      </c>
      <c r="W1358" s="82">
        <v>0</v>
      </c>
      <c r="X1358" s="81"/>
      <c r="Y1358" s="81"/>
      <c r="Z1358" s="81" t="s">
        <v>58</v>
      </c>
      <c r="AA1358" s="81" t="s">
        <v>58</v>
      </c>
      <c r="AB1358" s="81" t="s">
        <v>58</v>
      </c>
      <c r="AC1358" s="83">
        <v>46116</v>
      </c>
    </row>
    <row r="1359" spans="2:29" ht="23" x14ac:dyDescent="0.35">
      <c r="B1359" s="81" t="s">
        <v>338</v>
      </c>
      <c r="C1359" s="81" t="s">
        <v>339</v>
      </c>
      <c r="D1359" s="81" t="s">
        <v>340</v>
      </c>
      <c r="E1359" s="81" t="s">
        <v>359</v>
      </c>
      <c r="F1359" s="162" t="s">
        <v>360</v>
      </c>
      <c r="G1359" s="163"/>
      <c r="H1359" s="81" t="s">
        <v>1783</v>
      </c>
      <c r="I1359" s="81" t="s">
        <v>1476</v>
      </c>
      <c r="J1359" s="81" t="s">
        <v>153</v>
      </c>
      <c r="K1359" s="81" t="s">
        <v>1831</v>
      </c>
      <c r="L1359" s="81" t="s">
        <v>58</v>
      </c>
      <c r="M1359" s="164">
        <v>0.61943657500000004</v>
      </c>
      <c r="N1359" s="165"/>
      <c r="O1359" s="163"/>
      <c r="P1359" s="82">
        <v>46</v>
      </c>
      <c r="Q1359" s="164">
        <v>0</v>
      </c>
      <c r="R1359" s="163"/>
      <c r="S1359" s="81" t="s">
        <v>58</v>
      </c>
      <c r="T1359" s="82">
        <v>0</v>
      </c>
      <c r="U1359" s="82">
        <v>0</v>
      </c>
      <c r="V1359" s="82">
        <v>0</v>
      </c>
      <c r="W1359" s="82">
        <v>0</v>
      </c>
      <c r="X1359" s="81"/>
      <c r="Y1359" s="81"/>
      <c r="Z1359" s="81" t="s">
        <v>58</v>
      </c>
      <c r="AA1359" s="81" t="s">
        <v>58</v>
      </c>
      <c r="AB1359" s="81" t="s">
        <v>58</v>
      </c>
      <c r="AC1359" s="83">
        <v>46116</v>
      </c>
    </row>
    <row r="1360" spans="2:29" ht="23" x14ac:dyDescent="0.35">
      <c r="B1360" s="81" t="s">
        <v>338</v>
      </c>
      <c r="C1360" s="81" t="s">
        <v>339</v>
      </c>
      <c r="D1360" s="81" t="s">
        <v>340</v>
      </c>
      <c r="E1360" s="81" t="s">
        <v>359</v>
      </c>
      <c r="F1360" s="162" t="s">
        <v>360</v>
      </c>
      <c r="G1360" s="163"/>
      <c r="H1360" s="81" t="s">
        <v>1783</v>
      </c>
      <c r="I1360" s="81" t="s">
        <v>1476</v>
      </c>
      <c r="J1360" s="81" t="s">
        <v>153</v>
      </c>
      <c r="K1360" s="81" t="s">
        <v>1832</v>
      </c>
      <c r="L1360" s="81" t="s">
        <v>58</v>
      </c>
      <c r="M1360" s="164">
        <v>0.52049681999999997</v>
      </c>
      <c r="N1360" s="165"/>
      <c r="O1360" s="163"/>
      <c r="P1360" s="82">
        <v>36</v>
      </c>
      <c r="Q1360" s="164">
        <v>0</v>
      </c>
      <c r="R1360" s="163"/>
      <c r="S1360" s="81" t="s">
        <v>58</v>
      </c>
      <c r="T1360" s="82">
        <v>0</v>
      </c>
      <c r="U1360" s="82">
        <v>0</v>
      </c>
      <c r="V1360" s="82">
        <v>0</v>
      </c>
      <c r="W1360" s="82">
        <v>0</v>
      </c>
      <c r="X1360" s="81"/>
      <c r="Y1360" s="81"/>
      <c r="Z1360" s="81" t="s">
        <v>58</v>
      </c>
      <c r="AA1360" s="81" t="s">
        <v>58</v>
      </c>
      <c r="AB1360" s="81" t="s">
        <v>58</v>
      </c>
      <c r="AC1360" s="83">
        <v>46116</v>
      </c>
    </row>
    <row r="1361" spans="2:29" ht="23" x14ac:dyDescent="0.35">
      <c r="B1361" s="81" t="s">
        <v>338</v>
      </c>
      <c r="C1361" s="81" t="s">
        <v>339</v>
      </c>
      <c r="D1361" s="81" t="s">
        <v>340</v>
      </c>
      <c r="E1361" s="81" t="s">
        <v>359</v>
      </c>
      <c r="F1361" s="162" t="s">
        <v>360</v>
      </c>
      <c r="G1361" s="163"/>
      <c r="H1361" s="81" t="s">
        <v>1783</v>
      </c>
      <c r="I1361" s="81" t="s">
        <v>1476</v>
      </c>
      <c r="J1361" s="81" t="s">
        <v>153</v>
      </c>
      <c r="K1361" s="81" t="s">
        <v>1833</v>
      </c>
      <c r="L1361" s="81" t="s">
        <v>58</v>
      </c>
      <c r="M1361" s="164">
        <v>0.4592619</v>
      </c>
      <c r="N1361" s="165"/>
      <c r="O1361" s="163"/>
      <c r="P1361" s="82">
        <v>30</v>
      </c>
      <c r="Q1361" s="164">
        <v>0</v>
      </c>
      <c r="R1361" s="163"/>
      <c r="S1361" s="81" t="s">
        <v>58</v>
      </c>
      <c r="T1361" s="82">
        <v>0</v>
      </c>
      <c r="U1361" s="82">
        <v>0</v>
      </c>
      <c r="V1361" s="82">
        <v>0</v>
      </c>
      <c r="W1361" s="82">
        <v>0</v>
      </c>
      <c r="X1361" s="81"/>
      <c r="Y1361" s="81"/>
      <c r="Z1361" s="81" t="s">
        <v>58</v>
      </c>
      <c r="AA1361" s="81" t="s">
        <v>58</v>
      </c>
      <c r="AB1361" s="81" t="s">
        <v>58</v>
      </c>
      <c r="AC1361" s="83">
        <v>46116</v>
      </c>
    </row>
    <row r="1362" spans="2:29" ht="23" x14ac:dyDescent="0.35">
      <c r="B1362" s="81" t="s">
        <v>338</v>
      </c>
      <c r="C1362" s="81" t="s">
        <v>339</v>
      </c>
      <c r="D1362" s="81" t="s">
        <v>340</v>
      </c>
      <c r="E1362" s="81" t="s">
        <v>359</v>
      </c>
      <c r="F1362" s="162" t="s">
        <v>360</v>
      </c>
      <c r="G1362" s="163"/>
      <c r="H1362" s="81" t="s">
        <v>1783</v>
      </c>
      <c r="I1362" s="81" t="s">
        <v>1476</v>
      </c>
      <c r="J1362" s="81" t="s">
        <v>153</v>
      </c>
      <c r="K1362" s="81" t="s">
        <v>1834</v>
      </c>
      <c r="L1362" s="81" t="s">
        <v>58</v>
      </c>
      <c r="M1362" s="164">
        <v>3.32426237</v>
      </c>
      <c r="N1362" s="165"/>
      <c r="O1362" s="163"/>
      <c r="P1362" s="82">
        <v>286</v>
      </c>
      <c r="Q1362" s="164">
        <v>0</v>
      </c>
      <c r="R1362" s="163"/>
      <c r="S1362" s="81" t="s">
        <v>58</v>
      </c>
      <c r="T1362" s="82">
        <v>0</v>
      </c>
      <c r="U1362" s="82">
        <v>0</v>
      </c>
      <c r="V1362" s="82">
        <v>0</v>
      </c>
      <c r="W1362" s="82">
        <v>0</v>
      </c>
      <c r="X1362" s="81"/>
      <c r="Y1362" s="81"/>
      <c r="Z1362" s="81" t="s">
        <v>58</v>
      </c>
      <c r="AA1362" s="81" t="s">
        <v>58</v>
      </c>
      <c r="AB1362" s="81" t="s">
        <v>58</v>
      </c>
      <c r="AC1362" s="83">
        <v>1</v>
      </c>
    </row>
    <row r="1363" spans="2:29" ht="23" x14ac:dyDescent="0.35">
      <c r="B1363" s="81" t="s">
        <v>338</v>
      </c>
      <c r="C1363" s="81" t="s">
        <v>339</v>
      </c>
      <c r="D1363" s="81" t="s">
        <v>340</v>
      </c>
      <c r="E1363" s="81" t="s">
        <v>359</v>
      </c>
      <c r="F1363" s="162" t="s">
        <v>360</v>
      </c>
      <c r="G1363" s="163"/>
      <c r="H1363" s="81" t="s">
        <v>1783</v>
      </c>
      <c r="I1363" s="81" t="s">
        <v>1476</v>
      </c>
      <c r="J1363" s="81" t="s">
        <v>153</v>
      </c>
      <c r="K1363" s="81" t="s">
        <v>1835</v>
      </c>
      <c r="L1363" s="81" t="s">
        <v>58</v>
      </c>
      <c r="M1363" s="164">
        <v>1.587572</v>
      </c>
      <c r="N1363" s="165"/>
      <c r="O1363" s="163"/>
      <c r="P1363" s="82">
        <v>140</v>
      </c>
      <c r="Q1363" s="164">
        <v>0</v>
      </c>
      <c r="R1363" s="163"/>
      <c r="S1363" s="81" t="s">
        <v>58</v>
      </c>
      <c r="T1363" s="82">
        <v>0</v>
      </c>
      <c r="U1363" s="82">
        <v>0</v>
      </c>
      <c r="V1363" s="82">
        <v>0</v>
      </c>
      <c r="W1363" s="82">
        <v>0</v>
      </c>
      <c r="X1363" s="81"/>
      <c r="Y1363" s="81"/>
      <c r="Z1363" s="81" t="s">
        <v>58</v>
      </c>
      <c r="AA1363" s="81" t="s">
        <v>58</v>
      </c>
      <c r="AB1363" s="81" t="s">
        <v>58</v>
      </c>
      <c r="AC1363" s="83">
        <v>46116</v>
      </c>
    </row>
    <row r="1364" spans="2:29" ht="23" x14ac:dyDescent="0.35">
      <c r="B1364" s="81" t="s">
        <v>338</v>
      </c>
      <c r="C1364" s="81" t="s">
        <v>339</v>
      </c>
      <c r="D1364" s="81" t="s">
        <v>340</v>
      </c>
      <c r="E1364" s="81" t="s">
        <v>359</v>
      </c>
      <c r="F1364" s="162" t="s">
        <v>360</v>
      </c>
      <c r="G1364" s="163"/>
      <c r="H1364" s="81" t="s">
        <v>1783</v>
      </c>
      <c r="I1364" s="81" t="s">
        <v>1476</v>
      </c>
      <c r="J1364" s="81" t="s">
        <v>153</v>
      </c>
      <c r="K1364" s="81" t="s">
        <v>1836</v>
      </c>
      <c r="L1364" s="81" t="s">
        <v>58</v>
      </c>
      <c r="M1364" s="164">
        <v>1.09542468</v>
      </c>
      <c r="N1364" s="165"/>
      <c r="O1364" s="163"/>
      <c r="P1364" s="82">
        <v>92</v>
      </c>
      <c r="Q1364" s="164">
        <v>0</v>
      </c>
      <c r="R1364" s="163"/>
      <c r="S1364" s="81" t="s">
        <v>58</v>
      </c>
      <c r="T1364" s="82">
        <v>0</v>
      </c>
      <c r="U1364" s="82">
        <v>0</v>
      </c>
      <c r="V1364" s="82">
        <v>0</v>
      </c>
      <c r="W1364" s="82">
        <v>0</v>
      </c>
      <c r="X1364" s="81"/>
      <c r="Y1364" s="81"/>
      <c r="Z1364" s="81" t="s">
        <v>58</v>
      </c>
      <c r="AA1364" s="81" t="s">
        <v>58</v>
      </c>
      <c r="AB1364" s="81" t="s">
        <v>58</v>
      </c>
      <c r="AC1364" s="83">
        <v>1</v>
      </c>
    </row>
    <row r="1365" spans="2:29" ht="23" x14ac:dyDescent="0.35">
      <c r="B1365" s="81" t="s">
        <v>338</v>
      </c>
      <c r="C1365" s="81" t="s">
        <v>339</v>
      </c>
      <c r="D1365" s="81" t="s">
        <v>340</v>
      </c>
      <c r="E1365" s="81" t="s">
        <v>711</v>
      </c>
      <c r="F1365" s="162" t="s">
        <v>712</v>
      </c>
      <c r="G1365" s="163"/>
      <c r="H1365" s="81" t="s">
        <v>1837</v>
      </c>
      <c r="I1365" s="81" t="s">
        <v>1436</v>
      </c>
      <c r="J1365" s="81" t="s">
        <v>154</v>
      </c>
      <c r="K1365" s="81" t="s">
        <v>1838</v>
      </c>
      <c r="L1365" s="81" t="s">
        <v>58</v>
      </c>
      <c r="M1365" s="164">
        <v>3.7285262399999999</v>
      </c>
      <c r="N1365" s="165"/>
      <c r="O1365" s="163"/>
      <c r="P1365" s="82">
        <v>137</v>
      </c>
      <c r="Q1365" s="164">
        <v>0</v>
      </c>
      <c r="R1365" s="163"/>
      <c r="S1365" s="81" t="s">
        <v>58</v>
      </c>
      <c r="T1365" s="82">
        <v>0</v>
      </c>
      <c r="U1365" s="82">
        <v>0</v>
      </c>
      <c r="V1365" s="82">
        <v>0</v>
      </c>
      <c r="W1365" s="82">
        <v>0</v>
      </c>
      <c r="X1365" s="81"/>
      <c r="Y1365" s="81"/>
      <c r="Z1365" s="81" t="s">
        <v>58</v>
      </c>
      <c r="AA1365" s="81" t="s">
        <v>58</v>
      </c>
      <c r="AB1365" s="81" t="s">
        <v>58</v>
      </c>
      <c r="AC1365" s="83">
        <v>46126</v>
      </c>
    </row>
    <row r="1366" spans="2:29" ht="23" x14ac:dyDescent="0.35">
      <c r="B1366" s="81" t="s">
        <v>338</v>
      </c>
      <c r="C1366" s="81" t="s">
        <v>339</v>
      </c>
      <c r="D1366" s="81" t="s">
        <v>340</v>
      </c>
      <c r="E1366" s="81" t="s">
        <v>711</v>
      </c>
      <c r="F1366" s="162" t="s">
        <v>712</v>
      </c>
      <c r="G1366" s="163"/>
      <c r="H1366" s="81" t="s">
        <v>1837</v>
      </c>
      <c r="I1366" s="81" t="s">
        <v>1436</v>
      </c>
      <c r="J1366" s="81" t="s">
        <v>154</v>
      </c>
      <c r="K1366" s="81" t="s">
        <v>1839</v>
      </c>
      <c r="L1366" s="81" t="s">
        <v>58</v>
      </c>
      <c r="M1366" s="164">
        <v>5.4431039999999999</v>
      </c>
      <c r="N1366" s="165"/>
      <c r="O1366" s="163"/>
      <c r="P1366" s="82">
        <v>200</v>
      </c>
      <c r="Q1366" s="164">
        <v>0</v>
      </c>
      <c r="R1366" s="163"/>
      <c r="S1366" s="81" t="s">
        <v>58</v>
      </c>
      <c r="T1366" s="82">
        <v>0</v>
      </c>
      <c r="U1366" s="82">
        <v>0</v>
      </c>
      <c r="V1366" s="82">
        <v>0</v>
      </c>
      <c r="W1366" s="82">
        <v>0</v>
      </c>
      <c r="X1366" s="81"/>
      <c r="Y1366" s="81"/>
      <c r="Z1366" s="81" t="s">
        <v>58</v>
      </c>
      <c r="AA1366" s="81" t="s">
        <v>58</v>
      </c>
      <c r="AB1366" s="81" t="s">
        <v>58</v>
      </c>
      <c r="AC1366" s="83">
        <v>46126</v>
      </c>
    </row>
    <row r="1367" spans="2:29" ht="23" x14ac:dyDescent="0.35">
      <c r="B1367" s="81" t="s">
        <v>338</v>
      </c>
      <c r="C1367" s="81" t="s">
        <v>339</v>
      </c>
      <c r="D1367" s="81" t="s">
        <v>340</v>
      </c>
      <c r="E1367" s="81" t="s">
        <v>711</v>
      </c>
      <c r="F1367" s="162" t="s">
        <v>712</v>
      </c>
      <c r="G1367" s="163"/>
      <c r="H1367" s="81" t="s">
        <v>1837</v>
      </c>
      <c r="I1367" s="81" t="s">
        <v>1436</v>
      </c>
      <c r="J1367" s="81" t="s">
        <v>154</v>
      </c>
      <c r="K1367" s="81" t="s">
        <v>1840</v>
      </c>
      <c r="L1367" s="81" t="s">
        <v>58</v>
      </c>
      <c r="M1367" s="164">
        <v>4.2029551224999997</v>
      </c>
      <c r="N1367" s="165"/>
      <c r="O1367" s="163"/>
      <c r="P1367" s="82">
        <v>149</v>
      </c>
      <c r="Q1367" s="164">
        <v>0</v>
      </c>
      <c r="R1367" s="163"/>
      <c r="S1367" s="81" t="s">
        <v>58</v>
      </c>
      <c r="T1367" s="82">
        <v>0</v>
      </c>
      <c r="U1367" s="82">
        <v>0</v>
      </c>
      <c r="V1367" s="82">
        <v>0</v>
      </c>
      <c r="W1367" s="82">
        <v>0</v>
      </c>
      <c r="X1367" s="81"/>
      <c r="Y1367" s="81"/>
      <c r="Z1367" s="81" t="s">
        <v>58</v>
      </c>
      <c r="AA1367" s="81" t="s">
        <v>58</v>
      </c>
      <c r="AB1367" s="81" t="s">
        <v>58</v>
      </c>
      <c r="AC1367" s="83">
        <v>46126</v>
      </c>
    </row>
    <row r="1368" spans="2:29" ht="23" x14ac:dyDescent="0.35">
      <c r="B1368" s="81" t="s">
        <v>338</v>
      </c>
      <c r="C1368" s="81" t="s">
        <v>339</v>
      </c>
      <c r="D1368" s="81" t="s">
        <v>340</v>
      </c>
      <c r="E1368" s="81" t="s">
        <v>711</v>
      </c>
      <c r="F1368" s="162" t="s">
        <v>712</v>
      </c>
      <c r="G1368" s="163"/>
      <c r="H1368" s="81" t="s">
        <v>1837</v>
      </c>
      <c r="I1368" s="81" t="s">
        <v>1436</v>
      </c>
      <c r="J1368" s="81" t="s">
        <v>154</v>
      </c>
      <c r="K1368" s="81" t="s">
        <v>1841</v>
      </c>
      <c r="L1368" s="81" t="s">
        <v>58</v>
      </c>
      <c r="M1368" s="164">
        <v>5.6415505000000001</v>
      </c>
      <c r="N1368" s="165"/>
      <c r="O1368" s="163"/>
      <c r="P1368" s="82">
        <v>200</v>
      </c>
      <c r="Q1368" s="164">
        <v>0</v>
      </c>
      <c r="R1368" s="163"/>
      <c r="S1368" s="81" t="s">
        <v>58</v>
      </c>
      <c r="T1368" s="82">
        <v>0</v>
      </c>
      <c r="U1368" s="82">
        <v>0</v>
      </c>
      <c r="V1368" s="82">
        <v>0</v>
      </c>
      <c r="W1368" s="82">
        <v>0</v>
      </c>
      <c r="X1368" s="81"/>
      <c r="Y1368" s="81"/>
      <c r="Z1368" s="81" t="s">
        <v>58</v>
      </c>
      <c r="AA1368" s="81" t="s">
        <v>58</v>
      </c>
      <c r="AB1368" s="81" t="s">
        <v>58</v>
      </c>
      <c r="AC1368" s="83">
        <v>46126</v>
      </c>
    </row>
    <row r="1369" spans="2:29" ht="23" x14ac:dyDescent="0.35">
      <c r="B1369" s="81" t="s">
        <v>338</v>
      </c>
      <c r="C1369" s="81" t="s">
        <v>339</v>
      </c>
      <c r="D1369" s="81" t="s">
        <v>340</v>
      </c>
      <c r="E1369" s="81" t="s">
        <v>711</v>
      </c>
      <c r="F1369" s="162" t="s">
        <v>712</v>
      </c>
      <c r="G1369" s="163"/>
      <c r="H1369" s="81" t="s">
        <v>1837</v>
      </c>
      <c r="I1369" s="81" t="s">
        <v>1436</v>
      </c>
      <c r="J1369" s="81" t="s">
        <v>154</v>
      </c>
      <c r="K1369" s="81" t="s">
        <v>1842</v>
      </c>
      <c r="L1369" s="81" t="s">
        <v>58</v>
      </c>
      <c r="M1369" s="164">
        <v>5.6415505000000001</v>
      </c>
      <c r="N1369" s="165"/>
      <c r="O1369" s="163"/>
      <c r="P1369" s="82">
        <v>200</v>
      </c>
      <c r="Q1369" s="164">
        <v>0</v>
      </c>
      <c r="R1369" s="163"/>
      <c r="S1369" s="81" t="s">
        <v>58</v>
      </c>
      <c r="T1369" s="82">
        <v>0</v>
      </c>
      <c r="U1369" s="82">
        <v>0</v>
      </c>
      <c r="V1369" s="82">
        <v>0</v>
      </c>
      <c r="W1369" s="82">
        <v>0</v>
      </c>
      <c r="X1369" s="81"/>
      <c r="Y1369" s="81"/>
      <c r="Z1369" s="81" t="s">
        <v>58</v>
      </c>
      <c r="AA1369" s="81" t="s">
        <v>58</v>
      </c>
      <c r="AB1369" s="81" t="s">
        <v>58</v>
      </c>
      <c r="AC1369" s="83">
        <v>46126</v>
      </c>
    </row>
    <row r="1370" spans="2:29" ht="23" x14ac:dyDescent="0.35">
      <c r="B1370" s="81" t="s">
        <v>338</v>
      </c>
      <c r="C1370" s="81" t="s">
        <v>339</v>
      </c>
      <c r="D1370" s="81" t="s">
        <v>340</v>
      </c>
      <c r="E1370" s="81" t="s">
        <v>711</v>
      </c>
      <c r="F1370" s="162" t="s">
        <v>712</v>
      </c>
      <c r="G1370" s="163"/>
      <c r="H1370" s="81" t="s">
        <v>1837</v>
      </c>
      <c r="I1370" s="81" t="s">
        <v>1436</v>
      </c>
      <c r="J1370" s="81" t="s">
        <v>154</v>
      </c>
      <c r="K1370" s="81" t="s">
        <v>1843</v>
      </c>
      <c r="L1370" s="81" t="s">
        <v>58</v>
      </c>
      <c r="M1370" s="164">
        <v>5.6415505000000001</v>
      </c>
      <c r="N1370" s="165"/>
      <c r="O1370" s="163"/>
      <c r="P1370" s="82">
        <v>200</v>
      </c>
      <c r="Q1370" s="164">
        <v>0</v>
      </c>
      <c r="R1370" s="163"/>
      <c r="S1370" s="81" t="s">
        <v>58</v>
      </c>
      <c r="T1370" s="82">
        <v>0</v>
      </c>
      <c r="U1370" s="82">
        <v>0</v>
      </c>
      <c r="V1370" s="82">
        <v>0</v>
      </c>
      <c r="W1370" s="82">
        <v>0</v>
      </c>
      <c r="X1370" s="81"/>
      <c r="Y1370" s="81"/>
      <c r="Z1370" s="81" t="s">
        <v>58</v>
      </c>
      <c r="AA1370" s="81" t="s">
        <v>58</v>
      </c>
      <c r="AB1370" s="81" t="s">
        <v>58</v>
      </c>
      <c r="AC1370" s="83">
        <v>46126</v>
      </c>
    </row>
    <row r="1371" spans="2:29" ht="23" x14ac:dyDescent="0.35">
      <c r="B1371" s="81" t="s">
        <v>338</v>
      </c>
      <c r="C1371" s="81" t="s">
        <v>339</v>
      </c>
      <c r="D1371" s="81" t="s">
        <v>340</v>
      </c>
      <c r="E1371" s="81" t="s">
        <v>711</v>
      </c>
      <c r="F1371" s="162" t="s">
        <v>712</v>
      </c>
      <c r="G1371" s="163"/>
      <c r="H1371" s="81" t="s">
        <v>1837</v>
      </c>
      <c r="I1371" s="81" t="s">
        <v>1436</v>
      </c>
      <c r="J1371" s="81" t="s">
        <v>154</v>
      </c>
      <c r="K1371" s="81" t="s">
        <v>1844</v>
      </c>
      <c r="L1371" s="81" t="s">
        <v>58</v>
      </c>
      <c r="M1371" s="164">
        <v>5.6415505000000001</v>
      </c>
      <c r="N1371" s="165"/>
      <c r="O1371" s="163"/>
      <c r="P1371" s="82">
        <v>200</v>
      </c>
      <c r="Q1371" s="164">
        <v>0</v>
      </c>
      <c r="R1371" s="163"/>
      <c r="S1371" s="81" t="s">
        <v>58</v>
      </c>
      <c r="T1371" s="82">
        <v>0</v>
      </c>
      <c r="U1371" s="82">
        <v>0</v>
      </c>
      <c r="V1371" s="82">
        <v>0</v>
      </c>
      <c r="W1371" s="82">
        <v>0</v>
      </c>
      <c r="X1371" s="81"/>
      <c r="Y1371" s="81"/>
      <c r="Z1371" s="81" t="s">
        <v>58</v>
      </c>
      <c r="AA1371" s="81" t="s">
        <v>58</v>
      </c>
      <c r="AB1371" s="81" t="s">
        <v>58</v>
      </c>
      <c r="AC1371" s="83">
        <v>46126</v>
      </c>
    </row>
    <row r="1372" spans="2:29" ht="23" x14ac:dyDescent="0.35">
      <c r="B1372" s="81" t="s">
        <v>338</v>
      </c>
      <c r="C1372" s="81" t="s">
        <v>339</v>
      </c>
      <c r="D1372" s="81" t="s">
        <v>340</v>
      </c>
      <c r="E1372" s="81" t="s">
        <v>711</v>
      </c>
      <c r="F1372" s="162" t="s">
        <v>712</v>
      </c>
      <c r="G1372" s="163"/>
      <c r="H1372" s="81" t="s">
        <v>1837</v>
      </c>
      <c r="I1372" s="81" t="s">
        <v>1436</v>
      </c>
      <c r="J1372" s="81" t="s">
        <v>154</v>
      </c>
      <c r="K1372" s="81" t="s">
        <v>1845</v>
      </c>
      <c r="L1372" s="81" t="s">
        <v>58</v>
      </c>
      <c r="M1372" s="164">
        <v>4.4675977050000002</v>
      </c>
      <c r="N1372" s="165"/>
      <c r="O1372" s="163"/>
      <c r="P1372" s="82">
        <v>153</v>
      </c>
      <c r="Q1372" s="164">
        <v>0</v>
      </c>
      <c r="R1372" s="163"/>
      <c r="S1372" s="81" t="s">
        <v>58</v>
      </c>
      <c r="T1372" s="82">
        <v>0</v>
      </c>
      <c r="U1372" s="82">
        <v>0</v>
      </c>
      <c r="V1372" s="82">
        <v>0</v>
      </c>
      <c r="W1372" s="82">
        <v>0</v>
      </c>
      <c r="X1372" s="81"/>
      <c r="Y1372" s="81"/>
      <c r="Z1372" s="81" t="s">
        <v>58</v>
      </c>
      <c r="AA1372" s="81" t="s">
        <v>58</v>
      </c>
      <c r="AB1372" s="81" t="s">
        <v>58</v>
      </c>
      <c r="AC1372" s="83">
        <v>46126</v>
      </c>
    </row>
    <row r="1373" spans="2:29" ht="23" x14ac:dyDescent="0.35">
      <c r="B1373" s="81" t="s">
        <v>338</v>
      </c>
      <c r="C1373" s="81" t="s">
        <v>339</v>
      </c>
      <c r="D1373" s="81" t="s">
        <v>340</v>
      </c>
      <c r="E1373" s="81" t="s">
        <v>711</v>
      </c>
      <c r="F1373" s="162" t="s">
        <v>712</v>
      </c>
      <c r="G1373" s="163"/>
      <c r="H1373" s="81" t="s">
        <v>1837</v>
      </c>
      <c r="I1373" s="81" t="s">
        <v>1436</v>
      </c>
      <c r="J1373" s="81" t="s">
        <v>154</v>
      </c>
      <c r="K1373" s="81" t="s">
        <v>1846</v>
      </c>
      <c r="L1373" s="81" t="s">
        <v>58</v>
      </c>
      <c r="M1373" s="164">
        <v>5.8399970000000003</v>
      </c>
      <c r="N1373" s="165"/>
      <c r="O1373" s="163"/>
      <c r="P1373" s="82">
        <v>200</v>
      </c>
      <c r="Q1373" s="164">
        <v>0</v>
      </c>
      <c r="R1373" s="163"/>
      <c r="S1373" s="81" t="s">
        <v>58</v>
      </c>
      <c r="T1373" s="82">
        <v>0</v>
      </c>
      <c r="U1373" s="82">
        <v>0</v>
      </c>
      <c r="V1373" s="82">
        <v>0</v>
      </c>
      <c r="W1373" s="82">
        <v>0</v>
      </c>
      <c r="X1373" s="81"/>
      <c r="Y1373" s="81"/>
      <c r="Z1373" s="81" t="s">
        <v>58</v>
      </c>
      <c r="AA1373" s="81" t="s">
        <v>58</v>
      </c>
      <c r="AB1373" s="81" t="s">
        <v>58</v>
      </c>
      <c r="AC1373" s="83">
        <v>46126</v>
      </c>
    </row>
    <row r="1374" spans="2:29" ht="23" x14ac:dyDescent="0.35">
      <c r="B1374" s="81" t="s">
        <v>338</v>
      </c>
      <c r="C1374" s="81" t="s">
        <v>339</v>
      </c>
      <c r="D1374" s="81" t="s">
        <v>340</v>
      </c>
      <c r="E1374" s="81" t="s">
        <v>711</v>
      </c>
      <c r="F1374" s="162" t="s">
        <v>712</v>
      </c>
      <c r="G1374" s="163"/>
      <c r="H1374" s="81" t="s">
        <v>1837</v>
      </c>
      <c r="I1374" s="81" t="s">
        <v>1436</v>
      </c>
      <c r="J1374" s="81" t="s">
        <v>154</v>
      </c>
      <c r="K1374" s="81" t="s">
        <v>1847</v>
      </c>
      <c r="L1374" s="81" t="s">
        <v>58</v>
      </c>
      <c r="M1374" s="164">
        <v>5.8399970000000003</v>
      </c>
      <c r="N1374" s="165"/>
      <c r="O1374" s="163"/>
      <c r="P1374" s="82">
        <v>200</v>
      </c>
      <c r="Q1374" s="164">
        <v>0</v>
      </c>
      <c r="R1374" s="163"/>
      <c r="S1374" s="81" t="s">
        <v>58</v>
      </c>
      <c r="T1374" s="82">
        <v>0</v>
      </c>
      <c r="U1374" s="82">
        <v>0</v>
      </c>
      <c r="V1374" s="82">
        <v>0</v>
      </c>
      <c r="W1374" s="82">
        <v>0</v>
      </c>
      <c r="X1374" s="81"/>
      <c r="Y1374" s="81"/>
      <c r="Z1374" s="81" t="s">
        <v>58</v>
      </c>
      <c r="AA1374" s="81" t="s">
        <v>58</v>
      </c>
      <c r="AB1374" s="81" t="s">
        <v>58</v>
      </c>
      <c r="AC1374" s="83">
        <v>46126</v>
      </c>
    </row>
    <row r="1375" spans="2:29" ht="23" x14ac:dyDescent="0.35">
      <c r="B1375" s="81" t="s">
        <v>338</v>
      </c>
      <c r="C1375" s="81" t="s">
        <v>339</v>
      </c>
      <c r="D1375" s="81" t="s">
        <v>340</v>
      </c>
      <c r="E1375" s="81" t="s">
        <v>711</v>
      </c>
      <c r="F1375" s="162" t="s">
        <v>712</v>
      </c>
      <c r="G1375" s="163"/>
      <c r="H1375" s="81" t="s">
        <v>1837</v>
      </c>
      <c r="I1375" s="81" t="s">
        <v>1436</v>
      </c>
      <c r="J1375" s="81" t="s">
        <v>154</v>
      </c>
      <c r="K1375" s="81" t="s">
        <v>1848</v>
      </c>
      <c r="L1375" s="81" t="s">
        <v>58</v>
      </c>
      <c r="M1375" s="164">
        <v>5.8399970000000003</v>
      </c>
      <c r="N1375" s="165"/>
      <c r="O1375" s="163"/>
      <c r="P1375" s="82">
        <v>200</v>
      </c>
      <c r="Q1375" s="164">
        <v>0</v>
      </c>
      <c r="R1375" s="163"/>
      <c r="S1375" s="81" t="s">
        <v>58</v>
      </c>
      <c r="T1375" s="82">
        <v>0</v>
      </c>
      <c r="U1375" s="82">
        <v>0</v>
      </c>
      <c r="V1375" s="82">
        <v>0</v>
      </c>
      <c r="W1375" s="82">
        <v>0</v>
      </c>
      <c r="X1375" s="81"/>
      <c r="Y1375" s="81"/>
      <c r="Z1375" s="81" t="s">
        <v>58</v>
      </c>
      <c r="AA1375" s="81" t="s">
        <v>58</v>
      </c>
      <c r="AB1375" s="81" t="s">
        <v>58</v>
      </c>
      <c r="AC1375" s="83">
        <v>46126</v>
      </c>
    </row>
    <row r="1376" spans="2:29" ht="23" x14ac:dyDescent="0.35">
      <c r="B1376" s="81" t="s">
        <v>338</v>
      </c>
      <c r="C1376" s="81" t="s">
        <v>339</v>
      </c>
      <c r="D1376" s="81" t="s">
        <v>340</v>
      </c>
      <c r="E1376" s="81" t="s">
        <v>711</v>
      </c>
      <c r="F1376" s="162" t="s">
        <v>712</v>
      </c>
      <c r="G1376" s="163"/>
      <c r="H1376" s="81" t="s">
        <v>1837</v>
      </c>
      <c r="I1376" s="81" t="s">
        <v>1436</v>
      </c>
      <c r="J1376" s="81" t="s">
        <v>154</v>
      </c>
      <c r="K1376" s="81" t="s">
        <v>1849</v>
      </c>
      <c r="L1376" s="81" t="s">
        <v>58</v>
      </c>
      <c r="M1376" s="164">
        <v>5.8399970000000003</v>
      </c>
      <c r="N1376" s="165"/>
      <c r="O1376" s="163"/>
      <c r="P1376" s="82">
        <v>200</v>
      </c>
      <c r="Q1376" s="164">
        <v>0</v>
      </c>
      <c r="R1376" s="163"/>
      <c r="S1376" s="81" t="s">
        <v>58</v>
      </c>
      <c r="T1376" s="82">
        <v>0</v>
      </c>
      <c r="U1376" s="82">
        <v>0</v>
      </c>
      <c r="V1376" s="82">
        <v>0</v>
      </c>
      <c r="W1376" s="82">
        <v>0</v>
      </c>
      <c r="X1376" s="81"/>
      <c r="Y1376" s="81"/>
      <c r="Z1376" s="81" t="s">
        <v>58</v>
      </c>
      <c r="AA1376" s="81" t="s">
        <v>58</v>
      </c>
      <c r="AB1376" s="81" t="s">
        <v>58</v>
      </c>
      <c r="AC1376" s="83">
        <v>46126</v>
      </c>
    </row>
    <row r="1377" spans="2:29" ht="23" x14ac:dyDescent="0.35">
      <c r="B1377" s="81" t="s">
        <v>338</v>
      </c>
      <c r="C1377" s="81" t="s">
        <v>339</v>
      </c>
      <c r="D1377" s="81" t="s">
        <v>340</v>
      </c>
      <c r="E1377" s="81" t="s">
        <v>711</v>
      </c>
      <c r="F1377" s="162" t="s">
        <v>712</v>
      </c>
      <c r="G1377" s="163"/>
      <c r="H1377" s="81" t="s">
        <v>1837</v>
      </c>
      <c r="I1377" s="81" t="s">
        <v>1436</v>
      </c>
      <c r="J1377" s="81" t="s">
        <v>154</v>
      </c>
      <c r="K1377" s="81" t="s">
        <v>1850</v>
      </c>
      <c r="L1377" s="81" t="s">
        <v>58</v>
      </c>
      <c r="M1377" s="164">
        <v>5.8399970000000003</v>
      </c>
      <c r="N1377" s="165"/>
      <c r="O1377" s="163"/>
      <c r="P1377" s="82">
        <v>200</v>
      </c>
      <c r="Q1377" s="164">
        <v>0</v>
      </c>
      <c r="R1377" s="163"/>
      <c r="S1377" s="81" t="s">
        <v>58</v>
      </c>
      <c r="T1377" s="82">
        <v>0</v>
      </c>
      <c r="U1377" s="82">
        <v>0</v>
      </c>
      <c r="V1377" s="82">
        <v>0</v>
      </c>
      <c r="W1377" s="82">
        <v>0</v>
      </c>
      <c r="X1377" s="81"/>
      <c r="Y1377" s="81"/>
      <c r="Z1377" s="81" t="s">
        <v>58</v>
      </c>
      <c r="AA1377" s="81" t="s">
        <v>58</v>
      </c>
      <c r="AB1377" s="81" t="s">
        <v>58</v>
      </c>
      <c r="AC1377" s="83">
        <v>46126</v>
      </c>
    </row>
    <row r="1378" spans="2:29" ht="23" x14ac:dyDescent="0.35">
      <c r="B1378" s="81" t="s">
        <v>338</v>
      </c>
      <c r="C1378" s="81" t="s">
        <v>339</v>
      </c>
      <c r="D1378" s="81" t="s">
        <v>340</v>
      </c>
      <c r="E1378" s="81" t="s">
        <v>711</v>
      </c>
      <c r="F1378" s="162" t="s">
        <v>712</v>
      </c>
      <c r="G1378" s="163"/>
      <c r="H1378" s="81" t="s">
        <v>1837</v>
      </c>
      <c r="I1378" s="81" t="s">
        <v>1436</v>
      </c>
      <c r="J1378" s="81" t="s">
        <v>154</v>
      </c>
      <c r="K1378" s="81" t="s">
        <v>1851</v>
      </c>
      <c r="L1378" s="81" t="s">
        <v>58</v>
      </c>
      <c r="M1378" s="164">
        <v>2.9588373149999998</v>
      </c>
      <c r="N1378" s="165"/>
      <c r="O1378" s="163"/>
      <c r="P1378" s="82">
        <v>98</v>
      </c>
      <c r="Q1378" s="164">
        <v>0</v>
      </c>
      <c r="R1378" s="163"/>
      <c r="S1378" s="81" t="s">
        <v>58</v>
      </c>
      <c r="T1378" s="82">
        <v>0</v>
      </c>
      <c r="U1378" s="82">
        <v>0</v>
      </c>
      <c r="V1378" s="82">
        <v>0</v>
      </c>
      <c r="W1378" s="82">
        <v>0</v>
      </c>
      <c r="X1378" s="81"/>
      <c r="Y1378" s="81"/>
      <c r="Z1378" s="81" t="s">
        <v>58</v>
      </c>
      <c r="AA1378" s="81" t="s">
        <v>58</v>
      </c>
      <c r="AB1378" s="81" t="s">
        <v>58</v>
      </c>
      <c r="AC1378" s="83">
        <v>46127</v>
      </c>
    </row>
    <row r="1379" spans="2:29" ht="23" x14ac:dyDescent="0.35">
      <c r="B1379" s="81" t="s">
        <v>338</v>
      </c>
      <c r="C1379" s="81" t="s">
        <v>339</v>
      </c>
      <c r="D1379" s="81" t="s">
        <v>340</v>
      </c>
      <c r="E1379" s="81" t="s">
        <v>711</v>
      </c>
      <c r="F1379" s="162" t="s">
        <v>712</v>
      </c>
      <c r="G1379" s="163"/>
      <c r="H1379" s="81" t="s">
        <v>1837</v>
      </c>
      <c r="I1379" s="81" t="s">
        <v>1436</v>
      </c>
      <c r="J1379" s="81" t="s">
        <v>154</v>
      </c>
      <c r="K1379" s="81" t="s">
        <v>1852</v>
      </c>
      <c r="L1379" s="81" t="s">
        <v>58</v>
      </c>
      <c r="M1379" s="164">
        <v>6.0384434999999996</v>
      </c>
      <c r="N1379" s="165"/>
      <c r="O1379" s="163"/>
      <c r="P1379" s="82">
        <v>200</v>
      </c>
      <c r="Q1379" s="164">
        <v>0</v>
      </c>
      <c r="R1379" s="163"/>
      <c r="S1379" s="81" t="s">
        <v>58</v>
      </c>
      <c r="T1379" s="82">
        <v>0</v>
      </c>
      <c r="U1379" s="82">
        <v>0</v>
      </c>
      <c r="V1379" s="82">
        <v>0</v>
      </c>
      <c r="W1379" s="82">
        <v>0</v>
      </c>
      <c r="X1379" s="81"/>
      <c r="Y1379" s="81"/>
      <c r="Z1379" s="81" t="s">
        <v>58</v>
      </c>
      <c r="AA1379" s="81" t="s">
        <v>58</v>
      </c>
      <c r="AB1379" s="81" t="s">
        <v>58</v>
      </c>
      <c r="AC1379" s="83">
        <v>46127</v>
      </c>
    </row>
    <row r="1380" spans="2:29" ht="23" x14ac:dyDescent="0.35">
      <c r="B1380" s="81" t="s">
        <v>338</v>
      </c>
      <c r="C1380" s="81" t="s">
        <v>339</v>
      </c>
      <c r="D1380" s="81" t="s">
        <v>340</v>
      </c>
      <c r="E1380" s="81" t="s">
        <v>711</v>
      </c>
      <c r="F1380" s="162" t="s">
        <v>712</v>
      </c>
      <c r="G1380" s="163"/>
      <c r="H1380" s="81" t="s">
        <v>1837</v>
      </c>
      <c r="I1380" s="81" t="s">
        <v>1436</v>
      </c>
      <c r="J1380" s="81" t="s">
        <v>154</v>
      </c>
      <c r="K1380" s="81" t="s">
        <v>1853</v>
      </c>
      <c r="L1380" s="81" t="s">
        <v>58</v>
      </c>
      <c r="M1380" s="164">
        <v>6.0384434999999996</v>
      </c>
      <c r="N1380" s="165"/>
      <c r="O1380" s="163"/>
      <c r="P1380" s="82">
        <v>200</v>
      </c>
      <c r="Q1380" s="164">
        <v>0</v>
      </c>
      <c r="R1380" s="163"/>
      <c r="S1380" s="81" t="s">
        <v>58</v>
      </c>
      <c r="T1380" s="82">
        <v>0</v>
      </c>
      <c r="U1380" s="82">
        <v>0</v>
      </c>
      <c r="V1380" s="82">
        <v>0</v>
      </c>
      <c r="W1380" s="82">
        <v>0</v>
      </c>
      <c r="X1380" s="81"/>
      <c r="Y1380" s="81"/>
      <c r="Z1380" s="81" t="s">
        <v>58</v>
      </c>
      <c r="AA1380" s="81" t="s">
        <v>58</v>
      </c>
      <c r="AB1380" s="81" t="s">
        <v>58</v>
      </c>
      <c r="AC1380" s="83">
        <v>46127</v>
      </c>
    </row>
    <row r="1381" spans="2:29" ht="23" x14ac:dyDescent="0.35">
      <c r="B1381" s="81" t="s">
        <v>338</v>
      </c>
      <c r="C1381" s="81" t="s">
        <v>339</v>
      </c>
      <c r="D1381" s="81" t="s">
        <v>340</v>
      </c>
      <c r="E1381" s="81" t="s">
        <v>711</v>
      </c>
      <c r="F1381" s="162" t="s">
        <v>712</v>
      </c>
      <c r="G1381" s="163"/>
      <c r="H1381" s="81" t="s">
        <v>1837</v>
      </c>
      <c r="I1381" s="81" t="s">
        <v>1436</v>
      </c>
      <c r="J1381" s="81" t="s">
        <v>154</v>
      </c>
      <c r="K1381" s="81" t="s">
        <v>1854</v>
      </c>
      <c r="L1381" s="81" t="s">
        <v>58</v>
      </c>
      <c r="M1381" s="164">
        <v>6.0384434999999996</v>
      </c>
      <c r="N1381" s="165"/>
      <c r="O1381" s="163"/>
      <c r="P1381" s="82">
        <v>200</v>
      </c>
      <c r="Q1381" s="164">
        <v>0</v>
      </c>
      <c r="R1381" s="163"/>
      <c r="S1381" s="81" t="s">
        <v>58</v>
      </c>
      <c r="T1381" s="82">
        <v>0</v>
      </c>
      <c r="U1381" s="82">
        <v>0</v>
      </c>
      <c r="V1381" s="82">
        <v>0</v>
      </c>
      <c r="W1381" s="82">
        <v>0</v>
      </c>
      <c r="X1381" s="81"/>
      <c r="Y1381" s="81"/>
      <c r="Z1381" s="81" t="s">
        <v>58</v>
      </c>
      <c r="AA1381" s="81" t="s">
        <v>58</v>
      </c>
      <c r="AB1381" s="81" t="s">
        <v>58</v>
      </c>
      <c r="AC1381" s="83">
        <v>46127</v>
      </c>
    </row>
    <row r="1382" spans="2:29" ht="23" x14ac:dyDescent="0.35">
      <c r="B1382" s="81" t="s">
        <v>338</v>
      </c>
      <c r="C1382" s="81" t="s">
        <v>339</v>
      </c>
      <c r="D1382" s="81" t="s">
        <v>340</v>
      </c>
      <c r="E1382" s="81" t="s">
        <v>711</v>
      </c>
      <c r="F1382" s="162" t="s">
        <v>712</v>
      </c>
      <c r="G1382" s="163"/>
      <c r="H1382" s="81" t="s">
        <v>1837</v>
      </c>
      <c r="I1382" s="81" t="s">
        <v>1436</v>
      </c>
      <c r="J1382" s="81" t="s">
        <v>154</v>
      </c>
      <c r="K1382" s="81" t="s">
        <v>1855</v>
      </c>
      <c r="L1382" s="81" t="s">
        <v>58</v>
      </c>
      <c r="M1382" s="164">
        <v>6.0384434999999996</v>
      </c>
      <c r="N1382" s="165"/>
      <c r="O1382" s="163"/>
      <c r="P1382" s="82">
        <v>200</v>
      </c>
      <c r="Q1382" s="164">
        <v>0</v>
      </c>
      <c r="R1382" s="163"/>
      <c r="S1382" s="81" t="s">
        <v>58</v>
      </c>
      <c r="T1382" s="82">
        <v>0</v>
      </c>
      <c r="U1382" s="82">
        <v>0</v>
      </c>
      <c r="V1382" s="82">
        <v>0</v>
      </c>
      <c r="W1382" s="82">
        <v>0</v>
      </c>
      <c r="X1382" s="81"/>
      <c r="Y1382" s="81"/>
      <c r="Z1382" s="81" t="s">
        <v>58</v>
      </c>
      <c r="AA1382" s="81" t="s">
        <v>58</v>
      </c>
      <c r="AB1382" s="81" t="s">
        <v>58</v>
      </c>
      <c r="AC1382" s="83">
        <v>46127</v>
      </c>
    </row>
    <row r="1383" spans="2:29" ht="23" x14ac:dyDescent="0.35">
      <c r="B1383" s="81" t="s">
        <v>338</v>
      </c>
      <c r="C1383" s="81" t="s">
        <v>339</v>
      </c>
      <c r="D1383" s="81" t="s">
        <v>340</v>
      </c>
      <c r="E1383" s="81" t="s">
        <v>711</v>
      </c>
      <c r="F1383" s="162" t="s">
        <v>712</v>
      </c>
      <c r="G1383" s="163"/>
      <c r="H1383" s="81" t="s">
        <v>1837</v>
      </c>
      <c r="I1383" s="81" t="s">
        <v>1436</v>
      </c>
      <c r="J1383" s="81" t="s">
        <v>154</v>
      </c>
      <c r="K1383" s="81" t="s">
        <v>1856</v>
      </c>
      <c r="L1383" s="81" t="s">
        <v>58</v>
      </c>
      <c r="M1383" s="164">
        <v>4.08516295</v>
      </c>
      <c r="N1383" s="165"/>
      <c r="O1383" s="163"/>
      <c r="P1383" s="82">
        <v>131</v>
      </c>
      <c r="Q1383" s="164">
        <v>0</v>
      </c>
      <c r="R1383" s="163"/>
      <c r="S1383" s="81" t="s">
        <v>58</v>
      </c>
      <c r="T1383" s="82">
        <v>0</v>
      </c>
      <c r="U1383" s="82">
        <v>0</v>
      </c>
      <c r="V1383" s="82">
        <v>0</v>
      </c>
      <c r="W1383" s="82">
        <v>0</v>
      </c>
      <c r="X1383" s="81"/>
      <c r="Y1383" s="81"/>
      <c r="Z1383" s="81" t="s">
        <v>58</v>
      </c>
      <c r="AA1383" s="81" t="s">
        <v>58</v>
      </c>
      <c r="AB1383" s="81" t="s">
        <v>58</v>
      </c>
      <c r="AC1383" s="83">
        <v>46127</v>
      </c>
    </row>
    <row r="1384" spans="2:29" ht="23" x14ac:dyDescent="0.35">
      <c r="B1384" s="81" t="s">
        <v>338</v>
      </c>
      <c r="C1384" s="81" t="s">
        <v>339</v>
      </c>
      <c r="D1384" s="81" t="s">
        <v>340</v>
      </c>
      <c r="E1384" s="81" t="s">
        <v>711</v>
      </c>
      <c r="F1384" s="162" t="s">
        <v>712</v>
      </c>
      <c r="G1384" s="163"/>
      <c r="H1384" s="81" t="s">
        <v>1837</v>
      </c>
      <c r="I1384" s="81" t="s">
        <v>1436</v>
      </c>
      <c r="J1384" s="81" t="s">
        <v>154</v>
      </c>
      <c r="K1384" s="81" t="s">
        <v>1857</v>
      </c>
      <c r="L1384" s="81" t="s">
        <v>58</v>
      </c>
      <c r="M1384" s="164">
        <v>6.2368899999999998</v>
      </c>
      <c r="N1384" s="165"/>
      <c r="O1384" s="163"/>
      <c r="P1384" s="82">
        <v>200</v>
      </c>
      <c r="Q1384" s="164">
        <v>0</v>
      </c>
      <c r="R1384" s="163"/>
      <c r="S1384" s="81" t="s">
        <v>58</v>
      </c>
      <c r="T1384" s="82">
        <v>0</v>
      </c>
      <c r="U1384" s="82">
        <v>0</v>
      </c>
      <c r="V1384" s="82">
        <v>0</v>
      </c>
      <c r="W1384" s="82">
        <v>0</v>
      </c>
      <c r="X1384" s="81"/>
      <c r="Y1384" s="81"/>
      <c r="Z1384" s="81" t="s">
        <v>58</v>
      </c>
      <c r="AA1384" s="81" t="s">
        <v>58</v>
      </c>
      <c r="AB1384" s="81" t="s">
        <v>58</v>
      </c>
      <c r="AC1384" s="83">
        <v>46127</v>
      </c>
    </row>
    <row r="1385" spans="2:29" ht="23" x14ac:dyDescent="0.35">
      <c r="B1385" s="81" t="s">
        <v>338</v>
      </c>
      <c r="C1385" s="81" t="s">
        <v>339</v>
      </c>
      <c r="D1385" s="81" t="s">
        <v>340</v>
      </c>
      <c r="E1385" s="81" t="s">
        <v>711</v>
      </c>
      <c r="F1385" s="162" t="s">
        <v>712</v>
      </c>
      <c r="G1385" s="163"/>
      <c r="H1385" s="81" t="s">
        <v>1837</v>
      </c>
      <c r="I1385" s="81" t="s">
        <v>1436</v>
      </c>
      <c r="J1385" s="81" t="s">
        <v>154</v>
      </c>
      <c r="K1385" s="81" t="s">
        <v>1858</v>
      </c>
      <c r="L1385" s="81" t="s">
        <v>58</v>
      </c>
      <c r="M1385" s="164">
        <v>6.2368899999999998</v>
      </c>
      <c r="N1385" s="165"/>
      <c r="O1385" s="163"/>
      <c r="P1385" s="82">
        <v>200</v>
      </c>
      <c r="Q1385" s="164">
        <v>0</v>
      </c>
      <c r="R1385" s="163"/>
      <c r="S1385" s="81" t="s">
        <v>58</v>
      </c>
      <c r="T1385" s="82">
        <v>0</v>
      </c>
      <c r="U1385" s="82">
        <v>0</v>
      </c>
      <c r="V1385" s="82">
        <v>0</v>
      </c>
      <c r="W1385" s="82">
        <v>0</v>
      </c>
      <c r="X1385" s="81"/>
      <c r="Y1385" s="81"/>
      <c r="Z1385" s="81" t="s">
        <v>58</v>
      </c>
      <c r="AA1385" s="81" t="s">
        <v>58</v>
      </c>
      <c r="AB1385" s="81" t="s">
        <v>58</v>
      </c>
      <c r="AC1385" s="83">
        <v>46127</v>
      </c>
    </row>
    <row r="1386" spans="2:29" ht="23" x14ac:dyDescent="0.35">
      <c r="B1386" s="81" t="s">
        <v>338</v>
      </c>
      <c r="C1386" s="81" t="s">
        <v>339</v>
      </c>
      <c r="D1386" s="81" t="s">
        <v>340</v>
      </c>
      <c r="E1386" s="81" t="s">
        <v>711</v>
      </c>
      <c r="F1386" s="162" t="s">
        <v>712</v>
      </c>
      <c r="G1386" s="163"/>
      <c r="H1386" s="81" t="s">
        <v>1837</v>
      </c>
      <c r="I1386" s="81" t="s">
        <v>1436</v>
      </c>
      <c r="J1386" s="81" t="s">
        <v>154</v>
      </c>
      <c r="K1386" s="81" t="s">
        <v>1859</v>
      </c>
      <c r="L1386" s="81" t="s">
        <v>58</v>
      </c>
      <c r="M1386" s="164">
        <v>8.5437455139999994</v>
      </c>
      <c r="N1386" s="165"/>
      <c r="O1386" s="163"/>
      <c r="P1386" s="82">
        <v>236</v>
      </c>
      <c r="Q1386" s="164">
        <v>0</v>
      </c>
      <c r="R1386" s="163"/>
      <c r="S1386" s="81" t="s">
        <v>58</v>
      </c>
      <c r="T1386" s="82">
        <v>0</v>
      </c>
      <c r="U1386" s="82">
        <v>0</v>
      </c>
      <c r="V1386" s="82">
        <v>0</v>
      </c>
      <c r="W1386" s="82">
        <v>0</v>
      </c>
      <c r="X1386" s="81"/>
      <c r="Y1386" s="81"/>
      <c r="Z1386" s="81" t="s">
        <v>58</v>
      </c>
      <c r="AA1386" s="81" t="s">
        <v>58</v>
      </c>
      <c r="AB1386" s="81" t="s">
        <v>58</v>
      </c>
      <c r="AC1386" s="83">
        <v>46126</v>
      </c>
    </row>
    <row r="1387" spans="2:29" ht="23" x14ac:dyDescent="0.35">
      <c r="B1387" s="81" t="s">
        <v>338</v>
      </c>
      <c r="C1387" s="81" t="s">
        <v>339</v>
      </c>
      <c r="D1387" s="81" t="s">
        <v>340</v>
      </c>
      <c r="E1387" s="81" t="s">
        <v>711</v>
      </c>
      <c r="F1387" s="162" t="s">
        <v>712</v>
      </c>
      <c r="G1387" s="163"/>
      <c r="H1387" s="81" t="s">
        <v>1860</v>
      </c>
      <c r="I1387" s="81" t="s">
        <v>1476</v>
      </c>
      <c r="J1387" s="81" t="s">
        <v>153</v>
      </c>
      <c r="K1387" s="81" t="s">
        <v>1861</v>
      </c>
      <c r="L1387" s="81" t="s">
        <v>58</v>
      </c>
      <c r="M1387" s="164">
        <v>3.0294275700000002</v>
      </c>
      <c r="N1387" s="165"/>
      <c r="O1387" s="163"/>
      <c r="P1387" s="82">
        <v>274</v>
      </c>
      <c r="Q1387" s="164">
        <v>0</v>
      </c>
      <c r="R1387" s="163"/>
      <c r="S1387" s="81" t="s">
        <v>58</v>
      </c>
      <c r="T1387" s="82">
        <v>0</v>
      </c>
      <c r="U1387" s="82">
        <v>0</v>
      </c>
      <c r="V1387" s="82">
        <v>0</v>
      </c>
      <c r="W1387" s="82">
        <v>0</v>
      </c>
      <c r="X1387" s="81"/>
      <c r="Y1387" s="81"/>
      <c r="Z1387" s="81" t="s">
        <v>58</v>
      </c>
      <c r="AA1387" s="81" t="s">
        <v>58</v>
      </c>
      <c r="AB1387" s="81" t="s">
        <v>58</v>
      </c>
      <c r="AC1387" s="83">
        <v>46120</v>
      </c>
    </row>
    <row r="1388" spans="2:29" ht="23" x14ac:dyDescent="0.35">
      <c r="B1388" s="81" t="s">
        <v>338</v>
      </c>
      <c r="C1388" s="81" t="s">
        <v>339</v>
      </c>
      <c r="D1388" s="81" t="s">
        <v>340</v>
      </c>
      <c r="E1388" s="81" t="s">
        <v>711</v>
      </c>
      <c r="F1388" s="162" t="s">
        <v>712</v>
      </c>
      <c r="G1388" s="163"/>
      <c r="H1388" s="81" t="s">
        <v>1860</v>
      </c>
      <c r="I1388" s="81" t="s">
        <v>1476</v>
      </c>
      <c r="J1388" s="81" t="s">
        <v>153</v>
      </c>
      <c r="K1388" s="81" t="s">
        <v>1862</v>
      </c>
      <c r="L1388" s="81" t="s">
        <v>58</v>
      </c>
      <c r="M1388" s="164">
        <v>4.4225219999999998</v>
      </c>
      <c r="N1388" s="165"/>
      <c r="O1388" s="163"/>
      <c r="P1388" s="82">
        <v>400</v>
      </c>
      <c r="Q1388" s="164">
        <v>0</v>
      </c>
      <c r="R1388" s="163"/>
      <c r="S1388" s="81" t="s">
        <v>58</v>
      </c>
      <c r="T1388" s="82">
        <v>0</v>
      </c>
      <c r="U1388" s="82">
        <v>0</v>
      </c>
      <c r="V1388" s="82">
        <v>0</v>
      </c>
      <c r="W1388" s="82">
        <v>0</v>
      </c>
      <c r="X1388" s="81"/>
      <c r="Y1388" s="81"/>
      <c r="Z1388" s="81" t="s">
        <v>58</v>
      </c>
      <c r="AA1388" s="81" t="s">
        <v>58</v>
      </c>
      <c r="AB1388" s="81" t="s">
        <v>58</v>
      </c>
      <c r="AC1388" s="83">
        <v>46120</v>
      </c>
    </row>
    <row r="1389" spans="2:29" ht="23" x14ac:dyDescent="0.35">
      <c r="B1389" s="81" t="s">
        <v>338</v>
      </c>
      <c r="C1389" s="81" t="s">
        <v>339</v>
      </c>
      <c r="D1389" s="81" t="s">
        <v>340</v>
      </c>
      <c r="E1389" s="81" t="s">
        <v>711</v>
      </c>
      <c r="F1389" s="162" t="s">
        <v>712</v>
      </c>
      <c r="G1389" s="163"/>
      <c r="H1389" s="81" t="s">
        <v>1860</v>
      </c>
      <c r="I1389" s="81" t="s">
        <v>1476</v>
      </c>
      <c r="J1389" s="81" t="s">
        <v>153</v>
      </c>
      <c r="K1389" s="81" t="s">
        <v>1863</v>
      </c>
      <c r="L1389" s="81" t="s">
        <v>58</v>
      </c>
      <c r="M1389" s="164">
        <v>3.3792604000000002</v>
      </c>
      <c r="N1389" s="165"/>
      <c r="O1389" s="163"/>
      <c r="P1389" s="82">
        <v>298</v>
      </c>
      <c r="Q1389" s="164">
        <v>0</v>
      </c>
      <c r="R1389" s="163"/>
      <c r="S1389" s="81" t="s">
        <v>58</v>
      </c>
      <c r="T1389" s="82">
        <v>0</v>
      </c>
      <c r="U1389" s="82">
        <v>0</v>
      </c>
      <c r="V1389" s="82">
        <v>0</v>
      </c>
      <c r="W1389" s="82">
        <v>0</v>
      </c>
      <c r="X1389" s="81"/>
      <c r="Y1389" s="81"/>
      <c r="Z1389" s="81" t="s">
        <v>58</v>
      </c>
      <c r="AA1389" s="81" t="s">
        <v>58</v>
      </c>
      <c r="AB1389" s="81" t="s">
        <v>58</v>
      </c>
      <c r="AC1389" s="83">
        <v>46120</v>
      </c>
    </row>
    <row r="1390" spans="2:29" ht="23" x14ac:dyDescent="0.35">
      <c r="B1390" s="81" t="s">
        <v>338</v>
      </c>
      <c r="C1390" s="81" t="s">
        <v>339</v>
      </c>
      <c r="D1390" s="81" t="s">
        <v>340</v>
      </c>
      <c r="E1390" s="81" t="s">
        <v>711</v>
      </c>
      <c r="F1390" s="162" t="s">
        <v>712</v>
      </c>
      <c r="G1390" s="163"/>
      <c r="H1390" s="81" t="s">
        <v>1860</v>
      </c>
      <c r="I1390" s="81" t="s">
        <v>1476</v>
      </c>
      <c r="J1390" s="81" t="s">
        <v>153</v>
      </c>
      <c r="K1390" s="81" t="s">
        <v>1864</v>
      </c>
      <c r="L1390" s="81" t="s">
        <v>58</v>
      </c>
      <c r="M1390" s="164">
        <v>4.53592</v>
      </c>
      <c r="N1390" s="165"/>
      <c r="O1390" s="163"/>
      <c r="P1390" s="82">
        <v>400</v>
      </c>
      <c r="Q1390" s="164">
        <v>0</v>
      </c>
      <c r="R1390" s="163"/>
      <c r="S1390" s="81" t="s">
        <v>58</v>
      </c>
      <c r="T1390" s="82">
        <v>0</v>
      </c>
      <c r="U1390" s="82">
        <v>0</v>
      </c>
      <c r="V1390" s="82">
        <v>0</v>
      </c>
      <c r="W1390" s="82">
        <v>0</v>
      </c>
      <c r="X1390" s="81"/>
      <c r="Y1390" s="81"/>
      <c r="Z1390" s="81" t="s">
        <v>58</v>
      </c>
      <c r="AA1390" s="81" t="s">
        <v>58</v>
      </c>
      <c r="AB1390" s="81" t="s">
        <v>58</v>
      </c>
      <c r="AC1390" s="83">
        <v>46120</v>
      </c>
    </row>
    <row r="1391" spans="2:29" ht="23" x14ac:dyDescent="0.35">
      <c r="B1391" s="81" t="s">
        <v>338</v>
      </c>
      <c r="C1391" s="81" t="s">
        <v>339</v>
      </c>
      <c r="D1391" s="81" t="s">
        <v>340</v>
      </c>
      <c r="E1391" s="81" t="s">
        <v>711</v>
      </c>
      <c r="F1391" s="162" t="s">
        <v>712</v>
      </c>
      <c r="G1391" s="163"/>
      <c r="H1391" s="81" t="s">
        <v>1860</v>
      </c>
      <c r="I1391" s="81" t="s">
        <v>1476</v>
      </c>
      <c r="J1391" s="81" t="s">
        <v>153</v>
      </c>
      <c r="K1391" s="81" t="s">
        <v>1865</v>
      </c>
      <c r="L1391" s="81" t="s">
        <v>58</v>
      </c>
      <c r="M1391" s="164">
        <v>4.53592</v>
      </c>
      <c r="N1391" s="165"/>
      <c r="O1391" s="163"/>
      <c r="P1391" s="82">
        <v>400</v>
      </c>
      <c r="Q1391" s="164">
        <v>0</v>
      </c>
      <c r="R1391" s="163"/>
      <c r="S1391" s="81" t="s">
        <v>58</v>
      </c>
      <c r="T1391" s="82">
        <v>0</v>
      </c>
      <c r="U1391" s="82">
        <v>0</v>
      </c>
      <c r="V1391" s="82">
        <v>0</v>
      </c>
      <c r="W1391" s="82">
        <v>0</v>
      </c>
      <c r="X1391" s="81"/>
      <c r="Y1391" s="81"/>
      <c r="Z1391" s="81" t="s">
        <v>58</v>
      </c>
      <c r="AA1391" s="81" t="s">
        <v>58</v>
      </c>
      <c r="AB1391" s="81" t="s">
        <v>58</v>
      </c>
      <c r="AC1391" s="83">
        <v>46120</v>
      </c>
    </row>
    <row r="1392" spans="2:29" ht="23" x14ac:dyDescent="0.35">
      <c r="B1392" s="81" t="s">
        <v>338</v>
      </c>
      <c r="C1392" s="81" t="s">
        <v>339</v>
      </c>
      <c r="D1392" s="81" t="s">
        <v>340</v>
      </c>
      <c r="E1392" s="81" t="s">
        <v>711</v>
      </c>
      <c r="F1392" s="162" t="s">
        <v>712</v>
      </c>
      <c r="G1392" s="163"/>
      <c r="H1392" s="81" t="s">
        <v>1860</v>
      </c>
      <c r="I1392" s="81" t="s">
        <v>1476</v>
      </c>
      <c r="J1392" s="81" t="s">
        <v>153</v>
      </c>
      <c r="K1392" s="81" t="s">
        <v>1866</v>
      </c>
      <c r="L1392" s="81" t="s">
        <v>58</v>
      </c>
      <c r="M1392" s="164">
        <v>4.53592</v>
      </c>
      <c r="N1392" s="165"/>
      <c r="O1392" s="163"/>
      <c r="P1392" s="82">
        <v>400</v>
      </c>
      <c r="Q1392" s="164">
        <v>0</v>
      </c>
      <c r="R1392" s="163"/>
      <c r="S1392" s="81" t="s">
        <v>58</v>
      </c>
      <c r="T1392" s="82">
        <v>0</v>
      </c>
      <c r="U1392" s="82">
        <v>0</v>
      </c>
      <c r="V1392" s="82">
        <v>0</v>
      </c>
      <c r="W1392" s="82">
        <v>0</v>
      </c>
      <c r="X1392" s="81"/>
      <c r="Y1392" s="81"/>
      <c r="Z1392" s="81" t="s">
        <v>58</v>
      </c>
      <c r="AA1392" s="81" t="s">
        <v>58</v>
      </c>
      <c r="AB1392" s="81" t="s">
        <v>58</v>
      </c>
      <c r="AC1392" s="83">
        <v>46120</v>
      </c>
    </row>
    <row r="1393" spans="2:29" ht="23" x14ac:dyDescent="0.35">
      <c r="B1393" s="81" t="s">
        <v>338</v>
      </c>
      <c r="C1393" s="81" t="s">
        <v>339</v>
      </c>
      <c r="D1393" s="81" t="s">
        <v>340</v>
      </c>
      <c r="E1393" s="81" t="s">
        <v>711</v>
      </c>
      <c r="F1393" s="162" t="s">
        <v>712</v>
      </c>
      <c r="G1393" s="163"/>
      <c r="H1393" s="81" t="s">
        <v>1860</v>
      </c>
      <c r="I1393" s="81" t="s">
        <v>1476</v>
      </c>
      <c r="J1393" s="81" t="s">
        <v>153</v>
      </c>
      <c r="K1393" s="81" t="s">
        <v>1867</v>
      </c>
      <c r="L1393" s="81" t="s">
        <v>58</v>
      </c>
      <c r="M1393" s="164">
        <v>4.53592</v>
      </c>
      <c r="N1393" s="165"/>
      <c r="O1393" s="163"/>
      <c r="P1393" s="82">
        <v>400</v>
      </c>
      <c r="Q1393" s="164">
        <v>0</v>
      </c>
      <c r="R1393" s="163"/>
      <c r="S1393" s="81" t="s">
        <v>58</v>
      </c>
      <c r="T1393" s="82">
        <v>0</v>
      </c>
      <c r="U1393" s="82">
        <v>0</v>
      </c>
      <c r="V1393" s="82">
        <v>0</v>
      </c>
      <c r="W1393" s="82">
        <v>0</v>
      </c>
      <c r="X1393" s="81"/>
      <c r="Y1393" s="81"/>
      <c r="Z1393" s="81" t="s">
        <v>58</v>
      </c>
      <c r="AA1393" s="81" t="s">
        <v>58</v>
      </c>
      <c r="AB1393" s="81" t="s">
        <v>58</v>
      </c>
      <c r="AC1393" s="83">
        <v>46120</v>
      </c>
    </row>
    <row r="1394" spans="2:29" ht="23" x14ac:dyDescent="0.35">
      <c r="B1394" s="81" t="s">
        <v>338</v>
      </c>
      <c r="C1394" s="81" t="s">
        <v>339</v>
      </c>
      <c r="D1394" s="81" t="s">
        <v>340</v>
      </c>
      <c r="E1394" s="81" t="s">
        <v>711</v>
      </c>
      <c r="F1394" s="162" t="s">
        <v>712</v>
      </c>
      <c r="G1394" s="163"/>
      <c r="H1394" s="81" t="s">
        <v>1860</v>
      </c>
      <c r="I1394" s="81" t="s">
        <v>1476</v>
      </c>
      <c r="J1394" s="81" t="s">
        <v>153</v>
      </c>
      <c r="K1394" s="81" t="s">
        <v>1868</v>
      </c>
      <c r="L1394" s="81" t="s">
        <v>58</v>
      </c>
      <c r="M1394" s="164">
        <v>3.5567282699999998</v>
      </c>
      <c r="N1394" s="165"/>
      <c r="O1394" s="163"/>
      <c r="P1394" s="82">
        <v>306</v>
      </c>
      <c r="Q1394" s="164">
        <v>0</v>
      </c>
      <c r="R1394" s="163"/>
      <c r="S1394" s="81" t="s">
        <v>58</v>
      </c>
      <c r="T1394" s="82">
        <v>0</v>
      </c>
      <c r="U1394" s="82">
        <v>0</v>
      </c>
      <c r="V1394" s="82">
        <v>0</v>
      </c>
      <c r="W1394" s="82">
        <v>0</v>
      </c>
      <c r="X1394" s="81"/>
      <c r="Y1394" s="81"/>
      <c r="Z1394" s="81" t="s">
        <v>58</v>
      </c>
      <c r="AA1394" s="81" t="s">
        <v>58</v>
      </c>
      <c r="AB1394" s="81" t="s">
        <v>58</v>
      </c>
      <c r="AC1394" s="83">
        <v>46120</v>
      </c>
    </row>
    <row r="1395" spans="2:29" ht="23" x14ac:dyDescent="0.35">
      <c r="B1395" s="81" t="s">
        <v>338</v>
      </c>
      <c r="C1395" s="81" t="s">
        <v>339</v>
      </c>
      <c r="D1395" s="81" t="s">
        <v>340</v>
      </c>
      <c r="E1395" s="81" t="s">
        <v>711</v>
      </c>
      <c r="F1395" s="162" t="s">
        <v>712</v>
      </c>
      <c r="G1395" s="163"/>
      <c r="H1395" s="81" t="s">
        <v>1860</v>
      </c>
      <c r="I1395" s="81" t="s">
        <v>1476</v>
      </c>
      <c r="J1395" s="81" t="s">
        <v>153</v>
      </c>
      <c r="K1395" s="81" t="s">
        <v>1869</v>
      </c>
      <c r="L1395" s="81" t="s">
        <v>58</v>
      </c>
      <c r="M1395" s="164">
        <v>4.6493180000000001</v>
      </c>
      <c r="N1395" s="165"/>
      <c r="O1395" s="163"/>
      <c r="P1395" s="82">
        <v>400</v>
      </c>
      <c r="Q1395" s="164">
        <v>0</v>
      </c>
      <c r="R1395" s="163"/>
      <c r="S1395" s="81" t="s">
        <v>58</v>
      </c>
      <c r="T1395" s="82">
        <v>0</v>
      </c>
      <c r="U1395" s="82">
        <v>0</v>
      </c>
      <c r="V1395" s="82">
        <v>0</v>
      </c>
      <c r="W1395" s="82">
        <v>0</v>
      </c>
      <c r="X1395" s="81"/>
      <c r="Y1395" s="81"/>
      <c r="Z1395" s="81" t="s">
        <v>58</v>
      </c>
      <c r="AA1395" s="81" t="s">
        <v>58</v>
      </c>
      <c r="AB1395" s="81" t="s">
        <v>58</v>
      </c>
      <c r="AC1395" s="83">
        <v>46120</v>
      </c>
    </row>
    <row r="1396" spans="2:29" ht="23" x14ac:dyDescent="0.35">
      <c r="B1396" s="81" t="s">
        <v>338</v>
      </c>
      <c r="C1396" s="81" t="s">
        <v>339</v>
      </c>
      <c r="D1396" s="81" t="s">
        <v>340</v>
      </c>
      <c r="E1396" s="81" t="s">
        <v>711</v>
      </c>
      <c r="F1396" s="162" t="s">
        <v>712</v>
      </c>
      <c r="G1396" s="163"/>
      <c r="H1396" s="81" t="s">
        <v>1860</v>
      </c>
      <c r="I1396" s="81" t="s">
        <v>1476</v>
      </c>
      <c r="J1396" s="81" t="s">
        <v>153</v>
      </c>
      <c r="K1396" s="81" t="s">
        <v>1870</v>
      </c>
      <c r="L1396" s="81" t="s">
        <v>58</v>
      </c>
      <c r="M1396" s="164">
        <v>4.6493180000000001</v>
      </c>
      <c r="N1396" s="165"/>
      <c r="O1396" s="163"/>
      <c r="P1396" s="82">
        <v>400</v>
      </c>
      <c r="Q1396" s="164">
        <v>0</v>
      </c>
      <c r="R1396" s="163"/>
      <c r="S1396" s="81" t="s">
        <v>58</v>
      </c>
      <c r="T1396" s="82">
        <v>0</v>
      </c>
      <c r="U1396" s="82">
        <v>0</v>
      </c>
      <c r="V1396" s="82">
        <v>0</v>
      </c>
      <c r="W1396" s="82">
        <v>0</v>
      </c>
      <c r="X1396" s="81"/>
      <c r="Y1396" s="81"/>
      <c r="Z1396" s="81" t="s">
        <v>58</v>
      </c>
      <c r="AA1396" s="81" t="s">
        <v>58</v>
      </c>
      <c r="AB1396" s="81" t="s">
        <v>58</v>
      </c>
      <c r="AC1396" s="83">
        <v>46120</v>
      </c>
    </row>
    <row r="1397" spans="2:29" ht="23" x14ac:dyDescent="0.35">
      <c r="B1397" s="81" t="s">
        <v>338</v>
      </c>
      <c r="C1397" s="81" t="s">
        <v>339</v>
      </c>
      <c r="D1397" s="81" t="s">
        <v>340</v>
      </c>
      <c r="E1397" s="81" t="s">
        <v>711</v>
      </c>
      <c r="F1397" s="162" t="s">
        <v>712</v>
      </c>
      <c r="G1397" s="163"/>
      <c r="H1397" s="81" t="s">
        <v>1860</v>
      </c>
      <c r="I1397" s="81" t="s">
        <v>1476</v>
      </c>
      <c r="J1397" s="81" t="s">
        <v>153</v>
      </c>
      <c r="K1397" s="81" t="s">
        <v>1871</v>
      </c>
      <c r="L1397" s="81" t="s">
        <v>58</v>
      </c>
      <c r="M1397" s="164">
        <v>4.6493180000000001</v>
      </c>
      <c r="N1397" s="165"/>
      <c r="O1397" s="163"/>
      <c r="P1397" s="82">
        <v>400</v>
      </c>
      <c r="Q1397" s="164">
        <v>0</v>
      </c>
      <c r="R1397" s="163"/>
      <c r="S1397" s="81" t="s">
        <v>58</v>
      </c>
      <c r="T1397" s="82">
        <v>0</v>
      </c>
      <c r="U1397" s="82">
        <v>0</v>
      </c>
      <c r="V1397" s="82">
        <v>0</v>
      </c>
      <c r="W1397" s="82">
        <v>0</v>
      </c>
      <c r="X1397" s="81"/>
      <c r="Y1397" s="81"/>
      <c r="Z1397" s="81" t="s">
        <v>58</v>
      </c>
      <c r="AA1397" s="81" t="s">
        <v>58</v>
      </c>
      <c r="AB1397" s="81" t="s">
        <v>58</v>
      </c>
      <c r="AC1397" s="83">
        <v>46120</v>
      </c>
    </row>
    <row r="1398" spans="2:29" ht="23" x14ac:dyDescent="0.35">
      <c r="B1398" s="81" t="s">
        <v>338</v>
      </c>
      <c r="C1398" s="81" t="s">
        <v>339</v>
      </c>
      <c r="D1398" s="81" t="s">
        <v>340</v>
      </c>
      <c r="E1398" s="81" t="s">
        <v>711</v>
      </c>
      <c r="F1398" s="162" t="s">
        <v>712</v>
      </c>
      <c r="G1398" s="163"/>
      <c r="H1398" s="81" t="s">
        <v>1860</v>
      </c>
      <c r="I1398" s="81" t="s">
        <v>1476</v>
      </c>
      <c r="J1398" s="81" t="s">
        <v>153</v>
      </c>
      <c r="K1398" s="81" t="s">
        <v>1872</v>
      </c>
      <c r="L1398" s="81" t="s">
        <v>58</v>
      </c>
      <c r="M1398" s="164">
        <v>4.6493180000000001</v>
      </c>
      <c r="N1398" s="165"/>
      <c r="O1398" s="163"/>
      <c r="P1398" s="82">
        <v>400</v>
      </c>
      <c r="Q1398" s="164">
        <v>0</v>
      </c>
      <c r="R1398" s="163"/>
      <c r="S1398" s="81" t="s">
        <v>58</v>
      </c>
      <c r="T1398" s="82">
        <v>0</v>
      </c>
      <c r="U1398" s="82">
        <v>0</v>
      </c>
      <c r="V1398" s="82">
        <v>0</v>
      </c>
      <c r="W1398" s="82">
        <v>0</v>
      </c>
      <c r="X1398" s="81"/>
      <c r="Y1398" s="81"/>
      <c r="Z1398" s="81" t="s">
        <v>58</v>
      </c>
      <c r="AA1398" s="81" t="s">
        <v>58</v>
      </c>
      <c r="AB1398" s="81" t="s">
        <v>58</v>
      </c>
      <c r="AC1398" s="83">
        <v>46120</v>
      </c>
    </row>
    <row r="1399" spans="2:29" ht="23" x14ac:dyDescent="0.35">
      <c r="B1399" s="81" t="s">
        <v>338</v>
      </c>
      <c r="C1399" s="81" t="s">
        <v>339</v>
      </c>
      <c r="D1399" s="81" t="s">
        <v>340</v>
      </c>
      <c r="E1399" s="81" t="s">
        <v>711</v>
      </c>
      <c r="F1399" s="162" t="s">
        <v>712</v>
      </c>
      <c r="G1399" s="163"/>
      <c r="H1399" s="81" t="s">
        <v>1860</v>
      </c>
      <c r="I1399" s="81" t="s">
        <v>1476</v>
      </c>
      <c r="J1399" s="81" t="s">
        <v>153</v>
      </c>
      <c r="K1399" s="81" t="s">
        <v>1873</v>
      </c>
      <c r="L1399" s="81" t="s">
        <v>58</v>
      </c>
      <c r="M1399" s="164">
        <v>4.6493180000000001</v>
      </c>
      <c r="N1399" s="165"/>
      <c r="O1399" s="163"/>
      <c r="P1399" s="82">
        <v>400</v>
      </c>
      <c r="Q1399" s="164">
        <v>0</v>
      </c>
      <c r="R1399" s="163"/>
      <c r="S1399" s="81" t="s">
        <v>58</v>
      </c>
      <c r="T1399" s="82">
        <v>0</v>
      </c>
      <c r="U1399" s="82">
        <v>0</v>
      </c>
      <c r="V1399" s="82">
        <v>0</v>
      </c>
      <c r="W1399" s="82">
        <v>0</v>
      </c>
      <c r="X1399" s="81"/>
      <c r="Y1399" s="81"/>
      <c r="Z1399" s="81" t="s">
        <v>58</v>
      </c>
      <c r="AA1399" s="81" t="s">
        <v>58</v>
      </c>
      <c r="AB1399" s="81" t="s">
        <v>58</v>
      </c>
      <c r="AC1399" s="83">
        <v>46120</v>
      </c>
    </row>
    <row r="1400" spans="2:29" ht="23" x14ac:dyDescent="0.35">
      <c r="B1400" s="81" t="s">
        <v>338</v>
      </c>
      <c r="C1400" s="81" t="s">
        <v>339</v>
      </c>
      <c r="D1400" s="81" t="s">
        <v>340</v>
      </c>
      <c r="E1400" s="81" t="s">
        <v>711</v>
      </c>
      <c r="F1400" s="162" t="s">
        <v>712</v>
      </c>
      <c r="G1400" s="163"/>
      <c r="H1400" s="81" t="s">
        <v>1860</v>
      </c>
      <c r="I1400" s="81" t="s">
        <v>1476</v>
      </c>
      <c r="J1400" s="81" t="s">
        <v>153</v>
      </c>
      <c r="K1400" s="81" t="s">
        <v>1874</v>
      </c>
      <c r="L1400" s="81" t="s">
        <v>58</v>
      </c>
      <c r="M1400" s="164">
        <v>2.3337308399999999</v>
      </c>
      <c r="N1400" s="165"/>
      <c r="O1400" s="163"/>
      <c r="P1400" s="82">
        <v>196</v>
      </c>
      <c r="Q1400" s="164">
        <v>0</v>
      </c>
      <c r="R1400" s="163"/>
      <c r="S1400" s="81" t="s">
        <v>58</v>
      </c>
      <c r="T1400" s="82">
        <v>0</v>
      </c>
      <c r="U1400" s="82">
        <v>0</v>
      </c>
      <c r="V1400" s="82">
        <v>0</v>
      </c>
      <c r="W1400" s="82">
        <v>0</v>
      </c>
      <c r="X1400" s="81"/>
      <c r="Y1400" s="81"/>
      <c r="Z1400" s="81" t="s">
        <v>58</v>
      </c>
      <c r="AA1400" s="81" t="s">
        <v>58</v>
      </c>
      <c r="AB1400" s="81" t="s">
        <v>58</v>
      </c>
      <c r="AC1400" s="83">
        <v>46120</v>
      </c>
    </row>
    <row r="1401" spans="2:29" ht="23" x14ac:dyDescent="0.35">
      <c r="B1401" s="81" t="s">
        <v>338</v>
      </c>
      <c r="C1401" s="81" t="s">
        <v>339</v>
      </c>
      <c r="D1401" s="81" t="s">
        <v>340</v>
      </c>
      <c r="E1401" s="81" t="s">
        <v>711</v>
      </c>
      <c r="F1401" s="162" t="s">
        <v>712</v>
      </c>
      <c r="G1401" s="163"/>
      <c r="H1401" s="81" t="s">
        <v>1860</v>
      </c>
      <c r="I1401" s="81" t="s">
        <v>1476</v>
      </c>
      <c r="J1401" s="81" t="s">
        <v>153</v>
      </c>
      <c r="K1401" s="81" t="s">
        <v>1875</v>
      </c>
      <c r="L1401" s="81" t="s">
        <v>58</v>
      </c>
      <c r="M1401" s="164">
        <v>4.7627160000000002</v>
      </c>
      <c r="N1401" s="165"/>
      <c r="O1401" s="163"/>
      <c r="P1401" s="82">
        <v>400</v>
      </c>
      <c r="Q1401" s="164">
        <v>0</v>
      </c>
      <c r="R1401" s="163"/>
      <c r="S1401" s="81" t="s">
        <v>58</v>
      </c>
      <c r="T1401" s="82">
        <v>0</v>
      </c>
      <c r="U1401" s="82">
        <v>0</v>
      </c>
      <c r="V1401" s="82">
        <v>0</v>
      </c>
      <c r="W1401" s="82">
        <v>0</v>
      </c>
      <c r="X1401" s="81"/>
      <c r="Y1401" s="81"/>
      <c r="Z1401" s="81" t="s">
        <v>58</v>
      </c>
      <c r="AA1401" s="81" t="s">
        <v>58</v>
      </c>
      <c r="AB1401" s="81" t="s">
        <v>58</v>
      </c>
      <c r="AC1401" s="83">
        <v>46120</v>
      </c>
    </row>
    <row r="1402" spans="2:29" ht="23" x14ac:dyDescent="0.35">
      <c r="B1402" s="81" t="s">
        <v>338</v>
      </c>
      <c r="C1402" s="81" t="s">
        <v>339</v>
      </c>
      <c r="D1402" s="81" t="s">
        <v>340</v>
      </c>
      <c r="E1402" s="81" t="s">
        <v>711</v>
      </c>
      <c r="F1402" s="162" t="s">
        <v>712</v>
      </c>
      <c r="G1402" s="163"/>
      <c r="H1402" s="81" t="s">
        <v>1860</v>
      </c>
      <c r="I1402" s="81" t="s">
        <v>1476</v>
      </c>
      <c r="J1402" s="81" t="s">
        <v>153</v>
      </c>
      <c r="K1402" s="81" t="s">
        <v>1876</v>
      </c>
      <c r="L1402" s="81" t="s">
        <v>58</v>
      </c>
      <c r="M1402" s="164">
        <v>4.7627160000000002</v>
      </c>
      <c r="N1402" s="165"/>
      <c r="O1402" s="163"/>
      <c r="P1402" s="82">
        <v>400</v>
      </c>
      <c r="Q1402" s="164">
        <v>0</v>
      </c>
      <c r="R1402" s="163"/>
      <c r="S1402" s="81" t="s">
        <v>58</v>
      </c>
      <c r="T1402" s="82">
        <v>0</v>
      </c>
      <c r="U1402" s="82">
        <v>0</v>
      </c>
      <c r="V1402" s="82">
        <v>0</v>
      </c>
      <c r="W1402" s="82">
        <v>0</v>
      </c>
      <c r="X1402" s="81"/>
      <c r="Y1402" s="81"/>
      <c r="Z1402" s="81" t="s">
        <v>58</v>
      </c>
      <c r="AA1402" s="81" t="s">
        <v>58</v>
      </c>
      <c r="AB1402" s="81" t="s">
        <v>58</v>
      </c>
      <c r="AC1402" s="83">
        <v>46120</v>
      </c>
    </row>
    <row r="1403" spans="2:29" ht="23" x14ac:dyDescent="0.35">
      <c r="B1403" s="81" t="s">
        <v>338</v>
      </c>
      <c r="C1403" s="81" t="s">
        <v>339</v>
      </c>
      <c r="D1403" s="81" t="s">
        <v>340</v>
      </c>
      <c r="E1403" s="81" t="s">
        <v>711</v>
      </c>
      <c r="F1403" s="162" t="s">
        <v>712</v>
      </c>
      <c r="G1403" s="163"/>
      <c r="H1403" s="81" t="s">
        <v>1860</v>
      </c>
      <c r="I1403" s="81" t="s">
        <v>1476</v>
      </c>
      <c r="J1403" s="81" t="s">
        <v>153</v>
      </c>
      <c r="K1403" s="81" t="s">
        <v>1877</v>
      </c>
      <c r="L1403" s="81" t="s">
        <v>58</v>
      </c>
      <c r="M1403" s="164">
        <v>4.7627160000000002</v>
      </c>
      <c r="N1403" s="165"/>
      <c r="O1403" s="163"/>
      <c r="P1403" s="82">
        <v>400</v>
      </c>
      <c r="Q1403" s="164">
        <v>0</v>
      </c>
      <c r="R1403" s="163"/>
      <c r="S1403" s="81" t="s">
        <v>58</v>
      </c>
      <c r="T1403" s="82">
        <v>0</v>
      </c>
      <c r="U1403" s="82">
        <v>0</v>
      </c>
      <c r="V1403" s="82">
        <v>0</v>
      </c>
      <c r="W1403" s="82">
        <v>0</v>
      </c>
      <c r="X1403" s="81"/>
      <c r="Y1403" s="81"/>
      <c r="Z1403" s="81" t="s">
        <v>58</v>
      </c>
      <c r="AA1403" s="81" t="s">
        <v>58</v>
      </c>
      <c r="AB1403" s="81" t="s">
        <v>58</v>
      </c>
      <c r="AC1403" s="83">
        <v>46120</v>
      </c>
    </row>
    <row r="1404" spans="2:29" ht="23" x14ac:dyDescent="0.35">
      <c r="B1404" s="81" t="s">
        <v>338</v>
      </c>
      <c r="C1404" s="81" t="s">
        <v>339</v>
      </c>
      <c r="D1404" s="81" t="s">
        <v>340</v>
      </c>
      <c r="E1404" s="81" t="s">
        <v>711</v>
      </c>
      <c r="F1404" s="162" t="s">
        <v>712</v>
      </c>
      <c r="G1404" s="163"/>
      <c r="H1404" s="81" t="s">
        <v>1860</v>
      </c>
      <c r="I1404" s="81" t="s">
        <v>1476</v>
      </c>
      <c r="J1404" s="81" t="s">
        <v>153</v>
      </c>
      <c r="K1404" s="81" t="s">
        <v>1878</v>
      </c>
      <c r="L1404" s="81" t="s">
        <v>58</v>
      </c>
      <c r="M1404" s="164">
        <v>4.7627160000000002</v>
      </c>
      <c r="N1404" s="165"/>
      <c r="O1404" s="163"/>
      <c r="P1404" s="82">
        <v>400</v>
      </c>
      <c r="Q1404" s="164">
        <v>0</v>
      </c>
      <c r="R1404" s="163"/>
      <c r="S1404" s="81" t="s">
        <v>58</v>
      </c>
      <c r="T1404" s="82">
        <v>0</v>
      </c>
      <c r="U1404" s="82">
        <v>0</v>
      </c>
      <c r="V1404" s="82">
        <v>0</v>
      </c>
      <c r="W1404" s="82">
        <v>0</v>
      </c>
      <c r="X1404" s="81"/>
      <c r="Y1404" s="81"/>
      <c r="Z1404" s="81" t="s">
        <v>58</v>
      </c>
      <c r="AA1404" s="81" t="s">
        <v>58</v>
      </c>
      <c r="AB1404" s="81" t="s">
        <v>58</v>
      </c>
      <c r="AC1404" s="83">
        <v>46120</v>
      </c>
    </row>
    <row r="1405" spans="2:29" ht="23" x14ac:dyDescent="0.35">
      <c r="B1405" s="81" t="s">
        <v>338</v>
      </c>
      <c r="C1405" s="81" t="s">
        <v>339</v>
      </c>
      <c r="D1405" s="81" t="s">
        <v>340</v>
      </c>
      <c r="E1405" s="81" t="s">
        <v>711</v>
      </c>
      <c r="F1405" s="162" t="s">
        <v>712</v>
      </c>
      <c r="G1405" s="163"/>
      <c r="H1405" s="81" t="s">
        <v>1860</v>
      </c>
      <c r="I1405" s="81" t="s">
        <v>1476</v>
      </c>
      <c r="J1405" s="81" t="s">
        <v>153</v>
      </c>
      <c r="K1405" s="81" t="s">
        <v>1879</v>
      </c>
      <c r="L1405" s="81" t="s">
        <v>58</v>
      </c>
      <c r="M1405" s="164">
        <v>3.1938546699999999</v>
      </c>
      <c r="N1405" s="165"/>
      <c r="O1405" s="163"/>
      <c r="P1405" s="82">
        <v>262</v>
      </c>
      <c r="Q1405" s="164">
        <v>0</v>
      </c>
      <c r="R1405" s="163"/>
      <c r="S1405" s="81" t="s">
        <v>58</v>
      </c>
      <c r="T1405" s="82">
        <v>0</v>
      </c>
      <c r="U1405" s="82">
        <v>0</v>
      </c>
      <c r="V1405" s="82">
        <v>0</v>
      </c>
      <c r="W1405" s="82">
        <v>0</v>
      </c>
      <c r="X1405" s="81"/>
      <c r="Y1405" s="81"/>
      <c r="Z1405" s="81" t="s">
        <v>58</v>
      </c>
      <c r="AA1405" s="81" t="s">
        <v>58</v>
      </c>
      <c r="AB1405" s="81" t="s">
        <v>58</v>
      </c>
      <c r="AC1405" s="83">
        <v>46120</v>
      </c>
    </row>
    <row r="1406" spans="2:29" ht="23" x14ac:dyDescent="0.35">
      <c r="B1406" s="81" t="s">
        <v>338</v>
      </c>
      <c r="C1406" s="81" t="s">
        <v>339</v>
      </c>
      <c r="D1406" s="81" t="s">
        <v>340</v>
      </c>
      <c r="E1406" s="81" t="s">
        <v>711</v>
      </c>
      <c r="F1406" s="162" t="s">
        <v>712</v>
      </c>
      <c r="G1406" s="163"/>
      <c r="H1406" s="81" t="s">
        <v>1860</v>
      </c>
      <c r="I1406" s="81" t="s">
        <v>1476</v>
      </c>
      <c r="J1406" s="81" t="s">
        <v>153</v>
      </c>
      <c r="K1406" s="81" t="s">
        <v>1880</v>
      </c>
      <c r="L1406" s="81" t="s">
        <v>58</v>
      </c>
      <c r="M1406" s="164">
        <v>4.8761140000000003</v>
      </c>
      <c r="N1406" s="165"/>
      <c r="O1406" s="163"/>
      <c r="P1406" s="82">
        <v>400</v>
      </c>
      <c r="Q1406" s="164">
        <v>0</v>
      </c>
      <c r="R1406" s="163"/>
      <c r="S1406" s="81" t="s">
        <v>58</v>
      </c>
      <c r="T1406" s="82">
        <v>0</v>
      </c>
      <c r="U1406" s="82">
        <v>0</v>
      </c>
      <c r="V1406" s="82">
        <v>0</v>
      </c>
      <c r="W1406" s="82">
        <v>0</v>
      </c>
      <c r="X1406" s="81"/>
      <c r="Y1406" s="81"/>
      <c r="Z1406" s="81" t="s">
        <v>58</v>
      </c>
      <c r="AA1406" s="81" t="s">
        <v>58</v>
      </c>
      <c r="AB1406" s="81" t="s">
        <v>58</v>
      </c>
      <c r="AC1406" s="83">
        <v>46120</v>
      </c>
    </row>
    <row r="1407" spans="2:29" ht="23" x14ac:dyDescent="0.35">
      <c r="B1407" s="81" t="s">
        <v>338</v>
      </c>
      <c r="C1407" s="81" t="s">
        <v>339</v>
      </c>
      <c r="D1407" s="81" t="s">
        <v>340</v>
      </c>
      <c r="E1407" s="81" t="s">
        <v>711</v>
      </c>
      <c r="F1407" s="162" t="s">
        <v>712</v>
      </c>
      <c r="G1407" s="163"/>
      <c r="H1407" s="81" t="s">
        <v>1860</v>
      </c>
      <c r="I1407" s="81" t="s">
        <v>1476</v>
      </c>
      <c r="J1407" s="81" t="s">
        <v>153</v>
      </c>
      <c r="K1407" s="81" t="s">
        <v>1881</v>
      </c>
      <c r="L1407" s="81" t="s">
        <v>58</v>
      </c>
      <c r="M1407" s="164">
        <v>4.8761140000000003</v>
      </c>
      <c r="N1407" s="165"/>
      <c r="O1407" s="163"/>
      <c r="P1407" s="82">
        <v>400</v>
      </c>
      <c r="Q1407" s="164">
        <v>0</v>
      </c>
      <c r="R1407" s="163"/>
      <c r="S1407" s="81" t="s">
        <v>58</v>
      </c>
      <c r="T1407" s="82">
        <v>0</v>
      </c>
      <c r="U1407" s="82">
        <v>0</v>
      </c>
      <c r="V1407" s="82">
        <v>0</v>
      </c>
      <c r="W1407" s="82">
        <v>0</v>
      </c>
      <c r="X1407" s="81"/>
      <c r="Y1407" s="81"/>
      <c r="Z1407" s="81" t="s">
        <v>58</v>
      </c>
      <c r="AA1407" s="81" t="s">
        <v>58</v>
      </c>
      <c r="AB1407" s="81" t="s">
        <v>58</v>
      </c>
      <c r="AC1407" s="83">
        <v>46120</v>
      </c>
    </row>
    <row r="1408" spans="2:29" ht="23" x14ac:dyDescent="0.35">
      <c r="B1408" s="81" t="s">
        <v>338</v>
      </c>
      <c r="C1408" s="81" t="s">
        <v>339</v>
      </c>
      <c r="D1408" s="81" t="s">
        <v>340</v>
      </c>
      <c r="E1408" s="81" t="s">
        <v>711</v>
      </c>
      <c r="F1408" s="162" t="s">
        <v>712</v>
      </c>
      <c r="G1408" s="163"/>
      <c r="H1408" s="81" t="s">
        <v>1860</v>
      </c>
      <c r="I1408" s="81" t="s">
        <v>1476</v>
      </c>
      <c r="J1408" s="81" t="s">
        <v>153</v>
      </c>
      <c r="K1408" s="81" t="s">
        <v>1882</v>
      </c>
      <c r="L1408" s="81" t="s">
        <v>58</v>
      </c>
      <c r="M1408" s="164">
        <v>5.9143860879999997</v>
      </c>
      <c r="N1408" s="165"/>
      <c r="O1408" s="163"/>
      <c r="P1408" s="82">
        <v>472</v>
      </c>
      <c r="Q1408" s="164">
        <v>0</v>
      </c>
      <c r="R1408" s="163"/>
      <c r="S1408" s="81" t="s">
        <v>58</v>
      </c>
      <c r="T1408" s="82">
        <v>0</v>
      </c>
      <c r="U1408" s="82">
        <v>0</v>
      </c>
      <c r="V1408" s="82">
        <v>0</v>
      </c>
      <c r="W1408" s="82">
        <v>0</v>
      </c>
      <c r="X1408" s="81"/>
      <c r="Y1408" s="81"/>
      <c r="Z1408" s="81" t="s">
        <v>58</v>
      </c>
      <c r="AA1408" s="81" t="s">
        <v>58</v>
      </c>
      <c r="AB1408" s="81" t="s">
        <v>58</v>
      </c>
      <c r="AC1408" s="83">
        <v>46120</v>
      </c>
    </row>
    <row r="1409" spans="2:29" ht="23" x14ac:dyDescent="0.35">
      <c r="B1409" s="81" t="s">
        <v>338</v>
      </c>
      <c r="C1409" s="81" t="s">
        <v>339</v>
      </c>
      <c r="D1409" s="81" t="s">
        <v>340</v>
      </c>
      <c r="E1409" s="81" t="s">
        <v>715</v>
      </c>
      <c r="F1409" s="162" t="s">
        <v>716</v>
      </c>
      <c r="G1409" s="163"/>
      <c r="H1409" s="81" t="s">
        <v>1605</v>
      </c>
      <c r="I1409" s="81" t="s">
        <v>1436</v>
      </c>
      <c r="J1409" s="81" t="s">
        <v>154</v>
      </c>
      <c r="K1409" s="81" t="s">
        <v>1883</v>
      </c>
      <c r="L1409" s="81" t="s">
        <v>58</v>
      </c>
      <c r="M1409" s="164">
        <v>6.0384434999999996</v>
      </c>
      <c r="N1409" s="165"/>
      <c r="O1409" s="163"/>
      <c r="P1409" s="82">
        <v>200</v>
      </c>
      <c r="Q1409" s="164">
        <v>0</v>
      </c>
      <c r="R1409" s="163"/>
      <c r="S1409" s="81" t="s">
        <v>58</v>
      </c>
      <c r="T1409" s="82">
        <v>0</v>
      </c>
      <c r="U1409" s="82">
        <v>0</v>
      </c>
      <c r="V1409" s="82">
        <v>0</v>
      </c>
      <c r="W1409" s="82">
        <v>0</v>
      </c>
      <c r="X1409" s="81"/>
      <c r="Y1409" s="81"/>
      <c r="Z1409" s="81" t="s">
        <v>58</v>
      </c>
      <c r="AA1409" s="81" t="s">
        <v>58</v>
      </c>
      <c r="AB1409" s="81" t="s">
        <v>58</v>
      </c>
      <c r="AC1409" s="83">
        <v>46120</v>
      </c>
    </row>
    <row r="1410" spans="2:29" ht="23" x14ac:dyDescent="0.35">
      <c r="B1410" s="81" t="s">
        <v>338</v>
      </c>
      <c r="C1410" s="81" t="s">
        <v>339</v>
      </c>
      <c r="D1410" s="81" t="s">
        <v>340</v>
      </c>
      <c r="E1410" s="81" t="s">
        <v>564</v>
      </c>
      <c r="F1410" s="162" t="s">
        <v>565</v>
      </c>
      <c r="G1410" s="163"/>
      <c r="H1410" s="81" t="s">
        <v>1884</v>
      </c>
      <c r="I1410" s="81" t="s">
        <v>1885</v>
      </c>
      <c r="J1410" s="81" t="s">
        <v>154</v>
      </c>
      <c r="K1410" s="81" t="s">
        <v>1886</v>
      </c>
      <c r="L1410" s="81" t="s">
        <v>58</v>
      </c>
      <c r="M1410" s="164">
        <v>2.7242735520000001</v>
      </c>
      <c r="N1410" s="165"/>
      <c r="O1410" s="163"/>
      <c r="P1410" s="82">
        <v>104</v>
      </c>
      <c r="Q1410" s="164">
        <v>0</v>
      </c>
      <c r="R1410" s="163"/>
      <c r="S1410" s="81" t="s">
        <v>58</v>
      </c>
      <c r="T1410" s="82">
        <v>0</v>
      </c>
      <c r="U1410" s="82">
        <v>0</v>
      </c>
      <c r="V1410" s="82">
        <v>0</v>
      </c>
      <c r="W1410" s="82">
        <v>0</v>
      </c>
      <c r="X1410" s="81"/>
      <c r="Y1410" s="81"/>
      <c r="Z1410" s="81" t="s">
        <v>58</v>
      </c>
      <c r="AA1410" s="81" t="s">
        <v>58</v>
      </c>
      <c r="AB1410" s="81" t="s">
        <v>58</v>
      </c>
      <c r="AC1410" s="83">
        <v>46128</v>
      </c>
    </row>
    <row r="1411" spans="2:29" ht="23" x14ac:dyDescent="0.35">
      <c r="B1411" s="81" t="s">
        <v>338</v>
      </c>
      <c r="C1411" s="81" t="s">
        <v>339</v>
      </c>
      <c r="D1411" s="81" t="s">
        <v>340</v>
      </c>
      <c r="E1411" s="81" t="s">
        <v>564</v>
      </c>
      <c r="F1411" s="162" t="s">
        <v>565</v>
      </c>
      <c r="G1411" s="163"/>
      <c r="H1411" s="81" t="s">
        <v>1884</v>
      </c>
      <c r="I1411" s="81" t="s">
        <v>1885</v>
      </c>
      <c r="J1411" s="81" t="s">
        <v>154</v>
      </c>
      <c r="K1411" s="81" t="s">
        <v>1887</v>
      </c>
      <c r="L1411" s="81" t="s">
        <v>58</v>
      </c>
      <c r="M1411" s="164">
        <v>5.4431039999999999</v>
      </c>
      <c r="N1411" s="165"/>
      <c r="O1411" s="163"/>
      <c r="P1411" s="82">
        <v>200</v>
      </c>
      <c r="Q1411" s="164">
        <v>0</v>
      </c>
      <c r="R1411" s="163"/>
      <c r="S1411" s="81" t="s">
        <v>58</v>
      </c>
      <c r="T1411" s="82">
        <v>0</v>
      </c>
      <c r="U1411" s="82">
        <v>0</v>
      </c>
      <c r="V1411" s="82">
        <v>0</v>
      </c>
      <c r="W1411" s="82">
        <v>0</v>
      </c>
      <c r="X1411" s="81"/>
      <c r="Y1411" s="81"/>
      <c r="Z1411" s="81" t="s">
        <v>58</v>
      </c>
      <c r="AA1411" s="81" t="s">
        <v>58</v>
      </c>
      <c r="AB1411" s="81" t="s">
        <v>58</v>
      </c>
      <c r="AC1411" s="83">
        <v>46128</v>
      </c>
    </row>
    <row r="1412" spans="2:29" ht="23" x14ac:dyDescent="0.35">
      <c r="B1412" s="81" t="s">
        <v>338</v>
      </c>
      <c r="C1412" s="81" t="s">
        <v>339</v>
      </c>
      <c r="D1412" s="81" t="s">
        <v>340</v>
      </c>
      <c r="E1412" s="81" t="s">
        <v>564</v>
      </c>
      <c r="F1412" s="162" t="s">
        <v>565</v>
      </c>
      <c r="G1412" s="163"/>
      <c r="H1412" s="81" t="s">
        <v>1884</v>
      </c>
      <c r="I1412" s="81" t="s">
        <v>1885</v>
      </c>
      <c r="J1412" s="81" t="s">
        <v>154</v>
      </c>
      <c r="K1412" s="81" t="s">
        <v>1888</v>
      </c>
      <c r="L1412" s="81" t="s">
        <v>58</v>
      </c>
      <c r="M1412" s="164">
        <v>5.4431039999999999</v>
      </c>
      <c r="N1412" s="165"/>
      <c r="O1412" s="163"/>
      <c r="P1412" s="82">
        <v>200</v>
      </c>
      <c r="Q1412" s="164">
        <v>0</v>
      </c>
      <c r="R1412" s="163"/>
      <c r="S1412" s="81" t="s">
        <v>58</v>
      </c>
      <c r="T1412" s="82">
        <v>0</v>
      </c>
      <c r="U1412" s="82">
        <v>0</v>
      </c>
      <c r="V1412" s="82">
        <v>0</v>
      </c>
      <c r="W1412" s="82">
        <v>0</v>
      </c>
      <c r="X1412" s="81"/>
      <c r="Y1412" s="81"/>
      <c r="Z1412" s="81" t="s">
        <v>58</v>
      </c>
      <c r="AA1412" s="81" t="s">
        <v>58</v>
      </c>
      <c r="AB1412" s="81" t="s">
        <v>58</v>
      </c>
      <c r="AC1412" s="83">
        <v>46128</v>
      </c>
    </row>
    <row r="1413" spans="2:29" ht="23" x14ac:dyDescent="0.35">
      <c r="B1413" s="81" t="s">
        <v>338</v>
      </c>
      <c r="C1413" s="81" t="s">
        <v>339</v>
      </c>
      <c r="D1413" s="81" t="s">
        <v>340</v>
      </c>
      <c r="E1413" s="81" t="s">
        <v>564</v>
      </c>
      <c r="F1413" s="162" t="s">
        <v>565</v>
      </c>
      <c r="G1413" s="163"/>
      <c r="H1413" s="81" t="s">
        <v>1884</v>
      </c>
      <c r="I1413" s="81" t="s">
        <v>1885</v>
      </c>
      <c r="J1413" s="81" t="s">
        <v>154</v>
      </c>
      <c r="K1413" s="81" t="s">
        <v>1889</v>
      </c>
      <c r="L1413" s="81" t="s">
        <v>58</v>
      </c>
      <c r="M1413" s="164">
        <v>3.1570003199999999</v>
      </c>
      <c r="N1413" s="165"/>
      <c r="O1413" s="163"/>
      <c r="P1413" s="82">
        <v>116</v>
      </c>
      <c r="Q1413" s="164">
        <v>0</v>
      </c>
      <c r="R1413" s="163"/>
      <c r="S1413" s="81" t="s">
        <v>58</v>
      </c>
      <c r="T1413" s="82">
        <v>0</v>
      </c>
      <c r="U1413" s="82">
        <v>0</v>
      </c>
      <c r="V1413" s="82">
        <v>0</v>
      </c>
      <c r="W1413" s="82">
        <v>0</v>
      </c>
      <c r="X1413" s="81"/>
      <c r="Y1413" s="81"/>
      <c r="Z1413" s="81" t="s">
        <v>58</v>
      </c>
      <c r="AA1413" s="81" t="s">
        <v>58</v>
      </c>
      <c r="AB1413" s="81" t="s">
        <v>58</v>
      </c>
      <c r="AC1413" s="83">
        <v>46128</v>
      </c>
    </row>
    <row r="1414" spans="2:29" ht="23" x14ac:dyDescent="0.35">
      <c r="B1414" s="81" t="s">
        <v>338</v>
      </c>
      <c r="C1414" s="81" t="s">
        <v>339</v>
      </c>
      <c r="D1414" s="81" t="s">
        <v>340</v>
      </c>
      <c r="E1414" s="81" t="s">
        <v>564</v>
      </c>
      <c r="F1414" s="162" t="s">
        <v>565</v>
      </c>
      <c r="G1414" s="163"/>
      <c r="H1414" s="81" t="s">
        <v>1884</v>
      </c>
      <c r="I1414" s="81" t="s">
        <v>1885</v>
      </c>
      <c r="J1414" s="81" t="s">
        <v>154</v>
      </c>
      <c r="K1414" s="81" t="s">
        <v>1890</v>
      </c>
      <c r="L1414" s="81" t="s">
        <v>58</v>
      </c>
      <c r="M1414" s="164">
        <v>5.6415505000000001</v>
      </c>
      <c r="N1414" s="165"/>
      <c r="O1414" s="163"/>
      <c r="P1414" s="82">
        <v>200</v>
      </c>
      <c r="Q1414" s="164">
        <v>0</v>
      </c>
      <c r="R1414" s="163"/>
      <c r="S1414" s="81" t="s">
        <v>58</v>
      </c>
      <c r="T1414" s="82">
        <v>0</v>
      </c>
      <c r="U1414" s="82">
        <v>0</v>
      </c>
      <c r="V1414" s="82">
        <v>0</v>
      </c>
      <c r="W1414" s="82">
        <v>0</v>
      </c>
      <c r="X1414" s="81"/>
      <c r="Y1414" s="81"/>
      <c r="Z1414" s="81" t="s">
        <v>58</v>
      </c>
      <c r="AA1414" s="81" t="s">
        <v>58</v>
      </c>
      <c r="AB1414" s="81" t="s">
        <v>58</v>
      </c>
      <c r="AC1414" s="83">
        <v>46128</v>
      </c>
    </row>
    <row r="1415" spans="2:29" ht="23" x14ac:dyDescent="0.35">
      <c r="B1415" s="81" t="s">
        <v>338</v>
      </c>
      <c r="C1415" s="81" t="s">
        <v>339</v>
      </c>
      <c r="D1415" s="81" t="s">
        <v>340</v>
      </c>
      <c r="E1415" s="81" t="s">
        <v>564</v>
      </c>
      <c r="F1415" s="162" t="s">
        <v>565</v>
      </c>
      <c r="G1415" s="163"/>
      <c r="H1415" s="81" t="s">
        <v>1884</v>
      </c>
      <c r="I1415" s="81" t="s">
        <v>1885</v>
      </c>
      <c r="J1415" s="81" t="s">
        <v>154</v>
      </c>
      <c r="K1415" s="81" t="s">
        <v>1891</v>
      </c>
      <c r="L1415" s="81" t="s">
        <v>58</v>
      </c>
      <c r="M1415" s="164">
        <v>5.6415505000000001</v>
      </c>
      <c r="N1415" s="165"/>
      <c r="O1415" s="163"/>
      <c r="P1415" s="82">
        <v>200</v>
      </c>
      <c r="Q1415" s="164">
        <v>0</v>
      </c>
      <c r="R1415" s="163"/>
      <c r="S1415" s="81" t="s">
        <v>58</v>
      </c>
      <c r="T1415" s="82">
        <v>0</v>
      </c>
      <c r="U1415" s="82">
        <v>0</v>
      </c>
      <c r="V1415" s="82">
        <v>0</v>
      </c>
      <c r="W1415" s="82">
        <v>0</v>
      </c>
      <c r="X1415" s="81"/>
      <c r="Y1415" s="81"/>
      <c r="Z1415" s="81" t="s">
        <v>58</v>
      </c>
      <c r="AA1415" s="81" t="s">
        <v>58</v>
      </c>
      <c r="AB1415" s="81" t="s">
        <v>58</v>
      </c>
      <c r="AC1415" s="83">
        <v>46128</v>
      </c>
    </row>
    <row r="1416" spans="2:29" ht="23" x14ac:dyDescent="0.35">
      <c r="B1416" s="81" t="s">
        <v>338</v>
      </c>
      <c r="C1416" s="81" t="s">
        <v>339</v>
      </c>
      <c r="D1416" s="81" t="s">
        <v>340</v>
      </c>
      <c r="E1416" s="81" t="s">
        <v>564</v>
      </c>
      <c r="F1416" s="162" t="s">
        <v>565</v>
      </c>
      <c r="G1416" s="163"/>
      <c r="H1416" s="81" t="s">
        <v>1884</v>
      </c>
      <c r="I1416" s="81" t="s">
        <v>1885</v>
      </c>
      <c r="J1416" s="81" t="s">
        <v>154</v>
      </c>
      <c r="K1416" s="81" t="s">
        <v>1892</v>
      </c>
      <c r="L1416" s="81" t="s">
        <v>58</v>
      </c>
      <c r="M1416" s="164">
        <v>5.6415505000000001</v>
      </c>
      <c r="N1416" s="165"/>
      <c r="O1416" s="163"/>
      <c r="P1416" s="82">
        <v>200</v>
      </c>
      <c r="Q1416" s="164">
        <v>0</v>
      </c>
      <c r="R1416" s="163"/>
      <c r="S1416" s="81" t="s">
        <v>58</v>
      </c>
      <c r="T1416" s="82">
        <v>0</v>
      </c>
      <c r="U1416" s="82">
        <v>0</v>
      </c>
      <c r="V1416" s="82">
        <v>0</v>
      </c>
      <c r="W1416" s="82">
        <v>0</v>
      </c>
      <c r="X1416" s="81"/>
      <c r="Y1416" s="81"/>
      <c r="Z1416" s="81" t="s">
        <v>58</v>
      </c>
      <c r="AA1416" s="81" t="s">
        <v>58</v>
      </c>
      <c r="AB1416" s="81" t="s">
        <v>58</v>
      </c>
      <c r="AC1416" s="83">
        <v>46128</v>
      </c>
    </row>
    <row r="1417" spans="2:29" ht="23" x14ac:dyDescent="0.35">
      <c r="B1417" s="81" t="s">
        <v>338</v>
      </c>
      <c r="C1417" s="81" t="s">
        <v>339</v>
      </c>
      <c r="D1417" s="81" t="s">
        <v>340</v>
      </c>
      <c r="E1417" s="81" t="s">
        <v>564</v>
      </c>
      <c r="F1417" s="162" t="s">
        <v>565</v>
      </c>
      <c r="G1417" s="163"/>
      <c r="H1417" s="81" t="s">
        <v>1884</v>
      </c>
      <c r="I1417" s="81" t="s">
        <v>1885</v>
      </c>
      <c r="J1417" s="81" t="s">
        <v>154</v>
      </c>
      <c r="K1417" s="81" t="s">
        <v>1893</v>
      </c>
      <c r="L1417" s="81" t="s">
        <v>58</v>
      </c>
      <c r="M1417" s="164">
        <v>5.6415505000000001</v>
      </c>
      <c r="N1417" s="165"/>
      <c r="O1417" s="163"/>
      <c r="P1417" s="82">
        <v>200</v>
      </c>
      <c r="Q1417" s="164">
        <v>0</v>
      </c>
      <c r="R1417" s="163"/>
      <c r="S1417" s="81" t="s">
        <v>58</v>
      </c>
      <c r="T1417" s="82">
        <v>0</v>
      </c>
      <c r="U1417" s="82">
        <v>0</v>
      </c>
      <c r="V1417" s="82">
        <v>0</v>
      </c>
      <c r="W1417" s="82">
        <v>0</v>
      </c>
      <c r="X1417" s="81"/>
      <c r="Y1417" s="81"/>
      <c r="Z1417" s="81" t="s">
        <v>58</v>
      </c>
      <c r="AA1417" s="81" t="s">
        <v>58</v>
      </c>
      <c r="AB1417" s="81" t="s">
        <v>58</v>
      </c>
      <c r="AC1417" s="83">
        <v>46128</v>
      </c>
    </row>
    <row r="1418" spans="2:29" ht="23" x14ac:dyDescent="0.35">
      <c r="B1418" s="81" t="s">
        <v>338</v>
      </c>
      <c r="C1418" s="81" t="s">
        <v>339</v>
      </c>
      <c r="D1418" s="81" t="s">
        <v>340</v>
      </c>
      <c r="E1418" s="81" t="s">
        <v>564</v>
      </c>
      <c r="F1418" s="162" t="s">
        <v>565</v>
      </c>
      <c r="G1418" s="163"/>
      <c r="H1418" s="81" t="s">
        <v>1884</v>
      </c>
      <c r="I1418" s="81" t="s">
        <v>1885</v>
      </c>
      <c r="J1418" s="81" t="s">
        <v>154</v>
      </c>
      <c r="K1418" s="81" t="s">
        <v>1894</v>
      </c>
      <c r="L1418" s="81" t="s">
        <v>58</v>
      </c>
      <c r="M1418" s="164">
        <v>5.6415505000000001</v>
      </c>
      <c r="N1418" s="165"/>
      <c r="O1418" s="163"/>
      <c r="P1418" s="82">
        <v>200</v>
      </c>
      <c r="Q1418" s="164">
        <v>0</v>
      </c>
      <c r="R1418" s="163"/>
      <c r="S1418" s="81" t="s">
        <v>58</v>
      </c>
      <c r="T1418" s="82">
        <v>0</v>
      </c>
      <c r="U1418" s="82">
        <v>0</v>
      </c>
      <c r="V1418" s="82">
        <v>0</v>
      </c>
      <c r="W1418" s="82">
        <v>0</v>
      </c>
      <c r="X1418" s="81"/>
      <c r="Y1418" s="81"/>
      <c r="Z1418" s="81" t="s">
        <v>58</v>
      </c>
      <c r="AA1418" s="81" t="s">
        <v>58</v>
      </c>
      <c r="AB1418" s="81" t="s">
        <v>58</v>
      </c>
      <c r="AC1418" s="83">
        <v>46128</v>
      </c>
    </row>
    <row r="1419" spans="2:29" ht="23" x14ac:dyDescent="0.35">
      <c r="B1419" s="81" t="s">
        <v>338</v>
      </c>
      <c r="C1419" s="81" t="s">
        <v>339</v>
      </c>
      <c r="D1419" s="81" t="s">
        <v>340</v>
      </c>
      <c r="E1419" s="81" t="s">
        <v>564</v>
      </c>
      <c r="F1419" s="162" t="s">
        <v>565</v>
      </c>
      <c r="G1419" s="163"/>
      <c r="H1419" s="81" t="s">
        <v>1884</v>
      </c>
      <c r="I1419" s="81" t="s">
        <v>1885</v>
      </c>
      <c r="J1419" s="81" t="s">
        <v>154</v>
      </c>
      <c r="K1419" s="81" t="s">
        <v>1895</v>
      </c>
      <c r="L1419" s="81" t="s">
        <v>58</v>
      </c>
      <c r="M1419" s="164">
        <v>5.6415505000000001</v>
      </c>
      <c r="N1419" s="165"/>
      <c r="O1419" s="163"/>
      <c r="P1419" s="82">
        <v>200</v>
      </c>
      <c r="Q1419" s="164">
        <v>0</v>
      </c>
      <c r="R1419" s="163"/>
      <c r="S1419" s="81" t="s">
        <v>58</v>
      </c>
      <c r="T1419" s="82">
        <v>0</v>
      </c>
      <c r="U1419" s="82">
        <v>0</v>
      </c>
      <c r="V1419" s="82">
        <v>0</v>
      </c>
      <c r="W1419" s="82">
        <v>0</v>
      </c>
      <c r="X1419" s="81"/>
      <c r="Y1419" s="81"/>
      <c r="Z1419" s="81" t="s">
        <v>58</v>
      </c>
      <c r="AA1419" s="81" t="s">
        <v>58</v>
      </c>
      <c r="AB1419" s="81" t="s">
        <v>58</v>
      </c>
      <c r="AC1419" s="83">
        <v>46128</v>
      </c>
    </row>
    <row r="1420" spans="2:29" ht="23" x14ac:dyDescent="0.35">
      <c r="B1420" s="81" t="s">
        <v>338</v>
      </c>
      <c r="C1420" s="81" t="s">
        <v>339</v>
      </c>
      <c r="D1420" s="81" t="s">
        <v>340</v>
      </c>
      <c r="E1420" s="81" t="s">
        <v>564</v>
      </c>
      <c r="F1420" s="162" t="s">
        <v>565</v>
      </c>
      <c r="G1420" s="163"/>
      <c r="H1420" s="81" t="s">
        <v>1884</v>
      </c>
      <c r="I1420" s="81" t="s">
        <v>1885</v>
      </c>
      <c r="J1420" s="81" t="s">
        <v>154</v>
      </c>
      <c r="K1420" s="81" t="s">
        <v>1896</v>
      </c>
      <c r="L1420" s="81" t="s">
        <v>58</v>
      </c>
      <c r="M1420" s="164">
        <v>5.6415505000000001</v>
      </c>
      <c r="N1420" s="165"/>
      <c r="O1420" s="163"/>
      <c r="P1420" s="82">
        <v>200</v>
      </c>
      <c r="Q1420" s="164">
        <v>0</v>
      </c>
      <c r="R1420" s="163"/>
      <c r="S1420" s="81" t="s">
        <v>58</v>
      </c>
      <c r="T1420" s="82">
        <v>0</v>
      </c>
      <c r="U1420" s="82">
        <v>0</v>
      </c>
      <c r="V1420" s="82">
        <v>0</v>
      </c>
      <c r="W1420" s="82">
        <v>0</v>
      </c>
      <c r="X1420" s="81"/>
      <c r="Y1420" s="81"/>
      <c r="Z1420" s="81" t="s">
        <v>58</v>
      </c>
      <c r="AA1420" s="81" t="s">
        <v>58</v>
      </c>
      <c r="AB1420" s="81" t="s">
        <v>58</v>
      </c>
      <c r="AC1420" s="83">
        <v>46128</v>
      </c>
    </row>
    <row r="1421" spans="2:29" ht="23" x14ac:dyDescent="0.35">
      <c r="B1421" s="81" t="s">
        <v>338</v>
      </c>
      <c r="C1421" s="81" t="s">
        <v>339</v>
      </c>
      <c r="D1421" s="81" t="s">
        <v>340</v>
      </c>
      <c r="E1421" s="81" t="s">
        <v>564</v>
      </c>
      <c r="F1421" s="162" t="s">
        <v>565</v>
      </c>
      <c r="G1421" s="163"/>
      <c r="H1421" s="81" t="s">
        <v>1884</v>
      </c>
      <c r="I1421" s="81" t="s">
        <v>1885</v>
      </c>
      <c r="J1421" s="81" t="s">
        <v>154</v>
      </c>
      <c r="K1421" s="81" t="s">
        <v>1897</v>
      </c>
      <c r="L1421" s="81" t="s">
        <v>58</v>
      </c>
      <c r="M1421" s="164">
        <v>3.0746450224999999</v>
      </c>
      <c r="N1421" s="165"/>
      <c r="O1421" s="163"/>
      <c r="P1421" s="82">
        <v>109</v>
      </c>
      <c r="Q1421" s="164">
        <v>0</v>
      </c>
      <c r="R1421" s="163"/>
      <c r="S1421" s="81" t="s">
        <v>58</v>
      </c>
      <c r="T1421" s="82">
        <v>0</v>
      </c>
      <c r="U1421" s="82">
        <v>0</v>
      </c>
      <c r="V1421" s="82">
        <v>0</v>
      </c>
      <c r="W1421" s="82">
        <v>0</v>
      </c>
      <c r="X1421" s="81"/>
      <c r="Y1421" s="81"/>
      <c r="Z1421" s="81" t="s">
        <v>58</v>
      </c>
      <c r="AA1421" s="81" t="s">
        <v>58</v>
      </c>
      <c r="AB1421" s="81" t="s">
        <v>58</v>
      </c>
      <c r="AC1421" s="83">
        <v>46128</v>
      </c>
    </row>
    <row r="1422" spans="2:29" ht="23" x14ac:dyDescent="0.35">
      <c r="B1422" s="81" t="s">
        <v>338</v>
      </c>
      <c r="C1422" s="81" t="s">
        <v>339</v>
      </c>
      <c r="D1422" s="81" t="s">
        <v>340</v>
      </c>
      <c r="E1422" s="81" t="s">
        <v>564</v>
      </c>
      <c r="F1422" s="162" t="s">
        <v>565</v>
      </c>
      <c r="G1422" s="163"/>
      <c r="H1422" s="81" t="s">
        <v>1884</v>
      </c>
      <c r="I1422" s="81" t="s">
        <v>1885</v>
      </c>
      <c r="J1422" s="81" t="s">
        <v>154</v>
      </c>
      <c r="K1422" s="81" t="s">
        <v>1898</v>
      </c>
      <c r="L1422" s="81" t="s">
        <v>58</v>
      </c>
      <c r="M1422" s="164">
        <v>5.8399970000000003</v>
      </c>
      <c r="N1422" s="165"/>
      <c r="O1422" s="163"/>
      <c r="P1422" s="82">
        <v>200</v>
      </c>
      <c r="Q1422" s="164">
        <v>0</v>
      </c>
      <c r="R1422" s="163"/>
      <c r="S1422" s="81" t="s">
        <v>58</v>
      </c>
      <c r="T1422" s="82">
        <v>0</v>
      </c>
      <c r="U1422" s="82">
        <v>0</v>
      </c>
      <c r="V1422" s="82">
        <v>0</v>
      </c>
      <c r="W1422" s="82">
        <v>0</v>
      </c>
      <c r="X1422" s="81"/>
      <c r="Y1422" s="81"/>
      <c r="Z1422" s="81" t="s">
        <v>58</v>
      </c>
      <c r="AA1422" s="81" t="s">
        <v>58</v>
      </c>
      <c r="AB1422" s="81" t="s">
        <v>58</v>
      </c>
      <c r="AC1422" s="83">
        <v>46128</v>
      </c>
    </row>
    <row r="1423" spans="2:29" ht="23" x14ac:dyDescent="0.35">
      <c r="B1423" s="81" t="s">
        <v>338</v>
      </c>
      <c r="C1423" s="81" t="s">
        <v>339</v>
      </c>
      <c r="D1423" s="81" t="s">
        <v>340</v>
      </c>
      <c r="E1423" s="81" t="s">
        <v>564</v>
      </c>
      <c r="F1423" s="162" t="s">
        <v>565</v>
      </c>
      <c r="G1423" s="163"/>
      <c r="H1423" s="81" t="s">
        <v>1884</v>
      </c>
      <c r="I1423" s="81" t="s">
        <v>1885</v>
      </c>
      <c r="J1423" s="81" t="s">
        <v>154</v>
      </c>
      <c r="K1423" s="81" t="s">
        <v>1899</v>
      </c>
      <c r="L1423" s="81" t="s">
        <v>58</v>
      </c>
      <c r="M1423" s="164">
        <v>5.8399970000000003</v>
      </c>
      <c r="N1423" s="165"/>
      <c r="O1423" s="163"/>
      <c r="P1423" s="82">
        <v>200</v>
      </c>
      <c r="Q1423" s="164">
        <v>0</v>
      </c>
      <c r="R1423" s="163"/>
      <c r="S1423" s="81" t="s">
        <v>58</v>
      </c>
      <c r="T1423" s="82">
        <v>0</v>
      </c>
      <c r="U1423" s="82">
        <v>0</v>
      </c>
      <c r="V1423" s="82">
        <v>0</v>
      </c>
      <c r="W1423" s="82">
        <v>0</v>
      </c>
      <c r="X1423" s="81"/>
      <c r="Y1423" s="81"/>
      <c r="Z1423" s="81" t="s">
        <v>58</v>
      </c>
      <c r="AA1423" s="81" t="s">
        <v>58</v>
      </c>
      <c r="AB1423" s="81" t="s">
        <v>58</v>
      </c>
      <c r="AC1423" s="83">
        <v>46128</v>
      </c>
    </row>
    <row r="1424" spans="2:29" ht="23" x14ac:dyDescent="0.35">
      <c r="B1424" s="81" t="s">
        <v>338</v>
      </c>
      <c r="C1424" s="81" t="s">
        <v>339</v>
      </c>
      <c r="D1424" s="81" t="s">
        <v>340</v>
      </c>
      <c r="E1424" s="81" t="s">
        <v>564</v>
      </c>
      <c r="F1424" s="162" t="s">
        <v>565</v>
      </c>
      <c r="G1424" s="163"/>
      <c r="H1424" s="81" t="s">
        <v>1884</v>
      </c>
      <c r="I1424" s="81" t="s">
        <v>1885</v>
      </c>
      <c r="J1424" s="81" t="s">
        <v>154</v>
      </c>
      <c r="K1424" s="81" t="s">
        <v>1900</v>
      </c>
      <c r="L1424" s="81" t="s">
        <v>58</v>
      </c>
      <c r="M1424" s="164">
        <v>5.8399970000000003</v>
      </c>
      <c r="N1424" s="165"/>
      <c r="O1424" s="163"/>
      <c r="P1424" s="82">
        <v>200</v>
      </c>
      <c r="Q1424" s="164">
        <v>0</v>
      </c>
      <c r="R1424" s="163"/>
      <c r="S1424" s="81" t="s">
        <v>58</v>
      </c>
      <c r="T1424" s="82">
        <v>0</v>
      </c>
      <c r="U1424" s="82">
        <v>0</v>
      </c>
      <c r="V1424" s="82">
        <v>0</v>
      </c>
      <c r="W1424" s="82">
        <v>0</v>
      </c>
      <c r="X1424" s="81"/>
      <c r="Y1424" s="81"/>
      <c r="Z1424" s="81" t="s">
        <v>58</v>
      </c>
      <c r="AA1424" s="81" t="s">
        <v>58</v>
      </c>
      <c r="AB1424" s="81" t="s">
        <v>58</v>
      </c>
      <c r="AC1424" s="83">
        <v>46128</v>
      </c>
    </row>
    <row r="1425" spans="2:29" ht="23" x14ac:dyDescent="0.35">
      <c r="B1425" s="81" t="s">
        <v>338</v>
      </c>
      <c r="C1425" s="81" t="s">
        <v>339</v>
      </c>
      <c r="D1425" s="81" t="s">
        <v>340</v>
      </c>
      <c r="E1425" s="81" t="s">
        <v>564</v>
      </c>
      <c r="F1425" s="162" t="s">
        <v>565</v>
      </c>
      <c r="G1425" s="163"/>
      <c r="H1425" s="81" t="s">
        <v>1884</v>
      </c>
      <c r="I1425" s="81" t="s">
        <v>1885</v>
      </c>
      <c r="J1425" s="81" t="s">
        <v>154</v>
      </c>
      <c r="K1425" s="81" t="s">
        <v>1901</v>
      </c>
      <c r="L1425" s="81" t="s">
        <v>58</v>
      </c>
      <c r="M1425" s="164">
        <v>5.8399970000000003</v>
      </c>
      <c r="N1425" s="165"/>
      <c r="O1425" s="163"/>
      <c r="P1425" s="82">
        <v>200</v>
      </c>
      <c r="Q1425" s="164">
        <v>0</v>
      </c>
      <c r="R1425" s="163"/>
      <c r="S1425" s="81" t="s">
        <v>58</v>
      </c>
      <c r="T1425" s="82">
        <v>0</v>
      </c>
      <c r="U1425" s="82">
        <v>0</v>
      </c>
      <c r="V1425" s="82">
        <v>0</v>
      </c>
      <c r="W1425" s="82">
        <v>0</v>
      </c>
      <c r="X1425" s="81"/>
      <c r="Y1425" s="81"/>
      <c r="Z1425" s="81" t="s">
        <v>58</v>
      </c>
      <c r="AA1425" s="81" t="s">
        <v>58</v>
      </c>
      <c r="AB1425" s="81" t="s">
        <v>58</v>
      </c>
      <c r="AC1425" s="83">
        <v>46128</v>
      </c>
    </row>
    <row r="1426" spans="2:29" ht="23" x14ac:dyDescent="0.35">
      <c r="B1426" s="81" t="s">
        <v>338</v>
      </c>
      <c r="C1426" s="81" t="s">
        <v>339</v>
      </c>
      <c r="D1426" s="81" t="s">
        <v>340</v>
      </c>
      <c r="E1426" s="81" t="s">
        <v>564</v>
      </c>
      <c r="F1426" s="162" t="s">
        <v>565</v>
      </c>
      <c r="G1426" s="163"/>
      <c r="H1426" s="81" t="s">
        <v>1884</v>
      </c>
      <c r="I1426" s="81" t="s">
        <v>1885</v>
      </c>
      <c r="J1426" s="81" t="s">
        <v>154</v>
      </c>
      <c r="K1426" s="81" t="s">
        <v>1902</v>
      </c>
      <c r="L1426" s="81" t="s">
        <v>58</v>
      </c>
      <c r="M1426" s="164">
        <v>5.8399970000000003</v>
      </c>
      <c r="N1426" s="165"/>
      <c r="O1426" s="163"/>
      <c r="P1426" s="82">
        <v>200</v>
      </c>
      <c r="Q1426" s="164">
        <v>0</v>
      </c>
      <c r="R1426" s="163"/>
      <c r="S1426" s="81" t="s">
        <v>58</v>
      </c>
      <c r="T1426" s="82">
        <v>0</v>
      </c>
      <c r="U1426" s="82">
        <v>0</v>
      </c>
      <c r="V1426" s="82">
        <v>0</v>
      </c>
      <c r="W1426" s="82">
        <v>0</v>
      </c>
      <c r="X1426" s="81"/>
      <c r="Y1426" s="81"/>
      <c r="Z1426" s="81" t="s">
        <v>58</v>
      </c>
      <c r="AA1426" s="81" t="s">
        <v>58</v>
      </c>
      <c r="AB1426" s="81" t="s">
        <v>58</v>
      </c>
      <c r="AC1426" s="83">
        <v>46128</v>
      </c>
    </row>
    <row r="1427" spans="2:29" ht="23" x14ac:dyDescent="0.35">
      <c r="B1427" s="81" t="s">
        <v>338</v>
      </c>
      <c r="C1427" s="81" t="s">
        <v>339</v>
      </c>
      <c r="D1427" s="81" t="s">
        <v>340</v>
      </c>
      <c r="E1427" s="81" t="s">
        <v>564</v>
      </c>
      <c r="F1427" s="162" t="s">
        <v>565</v>
      </c>
      <c r="G1427" s="163"/>
      <c r="H1427" s="81" t="s">
        <v>1884</v>
      </c>
      <c r="I1427" s="81" t="s">
        <v>1885</v>
      </c>
      <c r="J1427" s="81" t="s">
        <v>154</v>
      </c>
      <c r="K1427" s="81" t="s">
        <v>1903</v>
      </c>
      <c r="L1427" s="81" t="s">
        <v>58</v>
      </c>
      <c r="M1427" s="164">
        <v>5.8399970000000003</v>
      </c>
      <c r="N1427" s="165"/>
      <c r="O1427" s="163"/>
      <c r="P1427" s="82">
        <v>200</v>
      </c>
      <c r="Q1427" s="164">
        <v>0</v>
      </c>
      <c r="R1427" s="163"/>
      <c r="S1427" s="81" t="s">
        <v>58</v>
      </c>
      <c r="T1427" s="82">
        <v>0</v>
      </c>
      <c r="U1427" s="82">
        <v>0</v>
      </c>
      <c r="V1427" s="82">
        <v>0</v>
      </c>
      <c r="W1427" s="82">
        <v>0</v>
      </c>
      <c r="X1427" s="81"/>
      <c r="Y1427" s="81"/>
      <c r="Z1427" s="81" t="s">
        <v>58</v>
      </c>
      <c r="AA1427" s="81" t="s">
        <v>58</v>
      </c>
      <c r="AB1427" s="81" t="s">
        <v>58</v>
      </c>
      <c r="AC1427" s="83">
        <v>46128</v>
      </c>
    </row>
    <row r="1428" spans="2:29" ht="23" x14ac:dyDescent="0.35">
      <c r="B1428" s="81" t="s">
        <v>338</v>
      </c>
      <c r="C1428" s="81" t="s">
        <v>339</v>
      </c>
      <c r="D1428" s="81" t="s">
        <v>340</v>
      </c>
      <c r="E1428" s="81" t="s">
        <v>564</v>
      </c>
      <c r="F1428" s="162" t="s">
        <v>565</v>
      </c>
      <c r="G1428" s="163"/>
      <c r="H1428" s="81" t="s">
        <v>1884</v>
      </c>
      <c r="I1428" s="81" t="s">
        <v>1885</v>
      </c>
      <c r="J1428" s="81" t="s">
        <v>154</v>
      </c>
      <c r="K1428" s="81" t="s">
        <v>1904</v>
      </c>
      <c r="L1428" s="81" t="s">
        <v>58</v>
      </c>
      <c r="M1428" s="164">
        <v>5.8399970000000003</v>
      </c>
      <c r="N1428" s="165"/>
      <c r="O1428" s="163"/>
      <c r="P1428" s="82">
        <v>200</v>
      </c>
      <c r="Q1428" s="164">
        <v>0</v>
      </c>
      <c r="R1428" s="163"/>
      <c r="S1428" s="81" t="s">
        <v>58</v>
      </c>
      <c r="T1428" s="82">
        <v>0</v>
      </c>
      <c r="U1428" s="82">
        <v>0</v>
      </c>
      <c r="V1428" s="82">
        <v>0</v>
      </c>
      <c r="W1428" s="82">
        <v>0</v>
      </c>
      <c r="X1428" s="81"/>
      <c r="Y1428" s="81"/>
      <c r="Z1428" s="81" t="s">
        <v>58</v>
      </c>
      <c r="AA1428" s="81" t="s">
        <v>58</v>
      </c>
      <c r="AB1428" s="81" t="s">
        <v>58</v>
      </c>
      <c r="AC1428" s="83">
        <v>46128</v>
      </c>
    </row>
    <row r="1429" spans="2:29" ht="23" x14ac:dyDescent="0.35">
      <c r="B1429" s="81" t="s">
        <v>338</v>
      </c>
      <c r="C1429" s="81" t="s">
        <v>339</v>
      </c>
      <c r="D1429" s="81" t="s">
        <v>340</v>
      </c>
      <c r="E1429" s="81" t="s">
        <v>564</v>
      </c>
      <c r="F1429" s="162" t="s">
        <v>565</v>
      </c>
      <c r="G1429" s="163"/>
      <c r="H1429" s="81" t="s">
        <v>1884</v>
      </c>
      <c r="I1429" s="81" t="s">
        <v>1885</v>
      </c>
      <c r="J1429" s="81" t="s">
        <v>154</v>
      </c>
      <c r="K1429" s="81" t="s">
        <v>1905</v>
      </c>
      <c r="L1429" s="81" t="s">
        <v>58</v>
      </c>
      <c r="M1429" s="164">
        <v>5.8399970000000003</v>
      </c>
      <c r="N1429" s="165"/>
      <c r="O1429" s="163"/>
      <c r="P1429" s="82">
        <v>200</v>
      </c>
      <c r="Q1429" s="164">
        <v>0</v>
      </c>
      <c r="R1429" s="163"/>
      <c r="S1429" s="81" t="s">
        <v>58</v>
      </c>
      <c r="T1429" s="82">
        <v>0</v>
      </c>
      <c r="U1429" s="82">
        <v>0</v>
      </c>
      <c r="V1429" s="82">
        <v>0</v>
      </c>
      <c r="W1429" s="82">
        <v>0</v>
      </c>
      <c r="X1429" s="81"/>
      <c r="Y1429" s="81"/>
      <c r="Z1429" s="81" t="s">
        <v>58</v>
      </c>
      <c r="AA1429" s="81" t="s">
        <v>58</v>
      </c>
      <c r="AB1429" s="81" t="s">
        <v>58</v>
      </c>
      <c r="AC1429" s="83">
        <v>46128</v>
      </c>
    </row>
    <row r="1430" spans="2:29" ht="23" x14ac:dyDescent="0.35">
      <c r="B1430" s="81" t="s">
        <v>338</v>
      </c>
      <c r="C1430" s="81" t="s">
        <v>339</v>
      </c>
      <c r="D1430" s="81" t="s">
        <v>340</v>
      </c>
      <c r="E1430" s="81" t="s">
        <v>564</v>
      </c>
      <c r="F1430" s="162" t="s">
        <v>565</v>
      </c>
      <c r="G1430" s="163"/>
      <c r="H1430" s="81" t="s">
        <v>1884</v>
      </c>
      <c r="I1430" s="81" t="s">
        <v>1885</v>
      </c>
      <c r="J1430" s="81" t="s">
        <v>154</v>
      </c>
      <c r="K1430" s="81" t="s">
        <v>1906</v>
      </c>
      <c r="L1430" s="81" t="s">
        <v>58</v>
      </c>
      <c r="M1430" s="164">
        <v>5.8399970000000003</v>
      </c>
      <c r="N1430" s="165"/>
      <c r="O1430" s="163"/>
      <c r="P1430" s="82">
        <v>200</v>
      </c>
      <c r="Q1430" s="164">
        <v>0</v>
      </c>
      <c r="R1430" s="163"/>
      <c r="S1430" s="81" t="s">
        <v>58</v>
      </c>
      <c r="T1430" s="82">
        <v>0</v>
      </c>
      <c r="U1430" s="82">
        <v>0</v>
      </c>
      <c r="V1430" s="82">
        <v>0</v>
      </c>
      <c r="W1430" s="82">
        <v>0</v>
      </c>
      <c r="X1430" s="81"/>
      <c r="Y1430" s="81"/>
      <c r="Z1430" s="81" t="s">
        <v>58</v>
      </c>
      <c r="AA1430" s="81" t="s">
        <v>58</v>
      </c>
      <c r="AB1430" s="81" t="s">
        <v>58</v>
      </c>
      <c r="AC1430" s="83">
        <v>46128</v>
      </c>
    </row>
    <row r="1431" spans="2:29" ht="23" x14ac:dyDescent="0.35">
      <c r="B1431" s="81" t="s">
        <v>338</v>
      </c>
      <c r="C1431" s="81" t="s">
        <v>339</v>
      </c>
      <c r="D1431" s="81" t="s">
        <v>340</v>
      </c>
      <c r="E1431" s="81" t="s">
        <v>564</v>
      </c>
      <c r="F1431" s="162" t="s">
        <v>565</v>
      </c>
      <c r="G1431" s="163"/>
      <c r="H1431" s="81" t="s">
        <v>1884</v>
      </c>
      <c r="I1431" s="81" t="s">
        <v>1885</v>
      </c>
      <c r="J1431" s="81" t="s">
        <v>154</v>
      </c>
      <c r="K1431" s="81" t="s">
        <v>1907</v>
      </c>
      <c r="L1431" s="81" t="s">
        <v>58</v>
      </c>
      <c r="M1431" s="164">
        <v>2.2483988450000001</v>
      </c>
      <c r="N1431" s="165"/>
      <c r="O1431" s="163"/>
      <c r="P1431" s="82">
        <v>77</v>
      </c>
      <c r="Q1431" s="164">
        <v>0</v>
      </c>
      <c r="R1431" s="163"/>
      <c r="S1431" s="81" t="s">
        <v>58</v>
      </c>
      <c r="T1431" s="82">
        <v>0</v>
      </c>
      <c r="U1431" s="82">
        <v>0</v>
      </c>
      <c r="V1431" s="82">
        <v>0</v>
      </c>
      <c r="W1431" s="82">
        <v>0</v>
      </c>
      <c r="X1431" s="81"/>
      <c r="Y1431" s="81"/>
      <c r="Z1431" s="81" t="s">
        <v>58</v>
      </c>
      <c r="AA1431" s="81" t="s">
        <v>58</v>
      </c>
      <c r="AB1431" s="81" t="s">
        <v>58</v>
      </c>
      <c r="AC1431" s="83">
        <v>46128</v>
      </c>
    </row>
    <row r="1432" spans="2:29" ht="23" x14ac:dyDescent="0.35">
      <c r="B1432" s="81" t="s">
        <v>338</v>
      </c>
      <c r="C1432" s="81" t="s">
        <v>339</v>
      </c>
      <c r="D1432" s="81" t="s">
        <v>340</v>
      </c>
      <c r="E1432" s="81" t="s">
        <v>564</v>
      </c>
      <c r="F1432" s="162" t="s">
        <v>565</v>
      </c>
      <c r="G1432" s="163"/>
      <c r="H1432" s="81" t="s">
        <v>1884</v>
      </c>
      <c r="I1432" s="81" t="s">
        <v>1885</v>
      </c>
      <c r="J1432" s="81" t="s">
        <v>154</v>
      </c>
      <c r="K1432" s="81" t="s">
        <v>1908</v>
      </c>
      <c r="L1432" s="81" t="s">
        <v>58</v>
      </c>
      <c r="M1432" s="164">
        <v>6.0384434999999996</v>
      </c>
      <c r="N1432" s="165"/>
      <c r="O1432" s="163"/>
      <c r="P1432" s="82">
        <v>200</v>
      </c>
      <c r="Q1432" s="164">
        <v>0</v>
      </c>
      <c r="R1432" s="163"/>
      <c r="S1432" s="81" t="s">
        <v>58</v>
      </c>
      <c r="T1432" s="82">
        <v>0</v>
      </c>
      <c r="U1432" s="82">
        <v>0</v>
      </c>
      <c r="V1432" s="82">
        <v>0</v>
      </c>
      <c r="W1432" s="82">
        <v>0</v>
      </c>
      <c r="X1432" s="81"/>
      <c r="Y1432" s="81"/>
      <c r="Z1432" s="81" t="s">
        <v>58</v>
      </c>
      <c r="AA1432" s="81" t="s">
        <v>58</v>
      </c>
      <c r="AB1432" s="81" t="s">
        <v>58</v>
      </c>
      <c r="AC1432" s="83">
        <v>46128</v>
      </c>
    </row>
    <row r="1433" spans="2:29" ht="23" x14ac:dyDescent="0.35">
      <c r="B1433" s="81" t="s">
        <v>338</v>
      </c>
      <c r="C1433" s="81" t="s">
        <v>339</v>
      </c>
      <c r="D1433" s="81" t="s">
        <v>340</v>
      </c>
      <c r="E1433" s="81" t="s">
        <v>564</v>
      </c>
      <c r="F1433" s="162" t="s">
        <v>565</v>
      </c>
      <c r="G1433" s="163"/>
      <c r="H1433" s="81" t="s">
        <v>1884</v>
      </c>
      <c r="I1433" s="81" t="s">
        <v>1885</v>
      </c>
      <c r="J1433" s="81" t="s">
        <v>154</v>
      </c>
      <c r="K1433" s="81" t="s">
        <v>1909</v>
      </c>
      <c r="L1433" s="81" t="s">
        <v>58</v>
      </c>
      <c r="M1433" s="164">
        <v>6.0384434999999996</v>
      </c>
      <c r="N1433" s="165"/>
      <c r="O1433" s="163"/>
      <c r="P1433" s="82">
        <v>200</v>
      </c>
      <c r="Q1433" s="164">
        <v>0</v>
      </c>
      <c r="R1433" s="163"/>
      <c r="S1433" s="81" t="s">
        <v>58</v>
      </c>
      <c r="T1433" s="82">
        <v>0</v>
      </c>
      <c r="U1433" s="82">
        <v>0</v>
      </c>
      <c r="V1433" s="82">
        <v>0</v>
      </c>
      <c r="W1433" s="82">
        <v>0</v>
      </c>
      <c r="X1433" s="81"/>
      <c r="Y1433" s="81"/>
      <c r="Z1433" s="81" t="s">
        <v>58</v>
      </c>
      <c r="AA1433" s="81" t="s">
        <v>58</v>
      </c>
      <c r="AB1433" s="81" t="s">
        <v>58</v>
      </c>
      <c r="AC1433" s="83">
        <v>46128</v>
      </c>
    </row>
    <row r="1434" spans="2:29" ht="23" x14ac:dyDescent="0.35">
      <c r="B1434" s="81" t="s">
        <v>338</v>
      </c>
      <c r="C1434" s="81" t="s">
        <v>339</v>
      </c>
      <c r="D1434" s="81" t="s">
        <v>340</v>
      </c>
      <c r="E1434" s="81" t="s">
        <v>564</v>
      </c>
      <c r="F1434" s="162" t="s">
        <v>565</v>
      </c>
      <c r="G1434" s="163"/>
      <c r="H1434" s="81" t="s">
        <v>1884</v>
      </c>
      <c r="I1434" s="81" t="s">
        <v>1885</v>
      </c>
      <c r="J1434" s="81" t="s">
        <v>154</v>
      </c>
      <c r="K1434" s="81" t="s">
        <v>1910</v>
      </c>
      <c r="L1434" s="81" t="s">
        <v>58</v>
      </c>
      <c r="M1434" s="164">
        <v>6.0384434999999996</v>
      </c>
      <c r="N1434" s="165"/>
      <c r="O1434" s="163"/>
      <c r="P1434" s="82">
        <v>200</v>
      </c>
      <c r="Q1434" s="164">
        <v>0</v>
      </c>
      <c r="R1434" s="163"/>
      <c r="S1434" s="81" t="s">
        <v>58</v>
      </c>
      <c r="T1434" s="82">
        <v>0</v>
      </c>
      <c r="U1434" s="82">
        <v>0</v>
      </c>
      <c r="V1434" s="82">
        <v>0</v>
      </c>
      <c r="W1434" s="82">
        <v>0</v>
      </c>
      <c r="X1434" s="81"/>
      <c r="Y1434" s="81"/>
      <c r="Z1434" s="81" t="s">
        <v>58</v>
      </c>
      <c r="AA1434" s="81" t="s">
        <v>58</v>
      </c>
      <c r="AB1434" s="81" t="s">
        <v>58</v>
      </c>
      <c r="AC1434" s="83">
        <v>46128</v>
      </c>
    </row>
    <row r="1435" spans="2:29" ht="23" x14ac:dyDescent="0.35">
      <c r="B1435" s="81" t="s">
        <v>338</v>
      </c>
      <c r="C1435" s="81" t="s">
        <v>339</v>
      </c>
      <c r="D1435" s="81" t="s">
        <v>340</v>
      </c>
      <c r="E1435" s="81" t="s">
        <v>564</v>
      </c>
      <c r="F1435" s="162" t="s">
        <v>565</v>
      </c>
      <c r="G1435" s="163"/>
      <c r="H1435" s="81" t="s">
        <v>1884</v>
      </c>
      <c r="I1435" s="81" t="s">
        <v>1885</v>
      </c>
      <c r="J1435" s="81" t="s">
        <v>154</v>
      </c>
      <c r="K1435" s="81" t="s">
        <v>1911</v>
      </c>
      <c r="L1435" s="81" t="s">
        <v>58</v>
      </c>
      <c r="M1435" s="164">
        <v>6.0384434999999996</v>
      </c>
      <c r="N1435" s="165"/>
      <c r="O1435" s="163"/>
      <c r="P1435" s="82">
        <v>200</v>
      </c>
      <c r="Q1435" s="164">
        <v>0</v>
      </c>
      <c r="R1435" s="163"/>
      <c r="S1435" s="81" t="s">
        <v>58</v>
      </c>
      <c r="T1435" s="82">
        <v>0</v>
      </c>
      <c r="U1435" s="82">
        <v>0</v>
      </c>
      <c r="V1435" s="82">
        <v>0</v>
      </c>
      <c r="W1435" s="82">
        <v>0</v>
      </c>
      <c r="X1435" s="81"/>
      <c r="Y1435" s="81"/>
      <c r="Z1435" s="81" t="s">
        <v>58</v>
      </c>
      <c r="AA1435" s="81" t="s">
        <v>58</v>
      </c>
      <c r="AB1435" s="81" t="s">
        <v>58</v>
      </c>
      <c r="AC1435" s="83">
        <v>46128</v>
      </c>
    </row>
    <row r="1436" spans="2:29" ht="23" x14ac:dyDescent="0.35">
      <c r="B1436" s="81" t="s">
        <v>338</v>
      </c>
      <c r="C1436" s="81" t="s">
        <v>339</v>
      </c>
      <c r="D1436" s="81" t="s">
        <v>340</v>
      </c>
      <c r="E1436" s="81" t="s">
        <v>564</v>
      </c>
      <c r="F1436" s="162" t="s">
        <v>565</v>
      </c>
      <c r="G1436" s="163"/>
      <c r="H1436" s="81" t="s">
        <v>1884</v>
      </c>
      <c r="I1436" s="81" t="s">
        <v>1885</v>
      </c>
      <c r="J1436" s="81" t="s">
        <v>154</v>
      </c>
      <c r="K1436" s="81" t="s">
        <v>1912</v>
      </c>
      <c r="L1436" s="81" t="s">
        <v>58</v>
      </c>
      <c r="M1436" s="164">
        <v>6.0384434999999996</v>
      </c>
      <c r="N1436" s="165"/>
      <c r="O1436" s="163"/>
      <c r="P1436" s="82">
        <v>200</v>
      </c>
      <c r="Q1436" s="164">
        <v>0</v>
      </c>
      <c r="R1436" s="163"/>
      <c r="S1436" s="81" t="s">
        <v>58</v>
      </c>
      <c r="T1436" s="82">
        <v>0</v>
      </c>
      <c r="U1436" s="82">
        <v>0</v>
      </c>
      <c r="V1436" s="82">
        <v>0</v>
      </c>
      <c r="W1436" s="82">
        <v>0</v>
      </c>
      <c r="X1436" s="81"/>
      <c r="Y1436" s="81"/>
      <c r="Z1436" s="81" t="s">
        <v>58</v>
      </c>
      <c r="AA1436" s="81" t="s">
        <v>58</v>
      </c>
      <c r="AB1436" s="81" t="s">
        <v>58</v>
      </c>
      <c r="AC1436" s="83">
        <v>46128</v>
      </c>
    </row>
    <row r="1437" spans="2:29" ht="23" x14ac:dyDescent="0.35">
      <c r="B1437" s="81" t="s">
        <v>338</v>
      </c>
      <c r="C1437" s="81" t="s">
        <v>339</v>
      </c>
      <c r="D1437" s="81" t="s">
        <v>340</v>
      </c>
      <c r="E1437" s="81" t="s">
        <v>564</v>
      </c>
      <c r="F1437" s="162" t="s">
        <v>565</v>
      </c>
      <c r="G1437" s="163"/>
      <c r="H1437" s="81" t="s">
        <v>1884</v>
      </c>
      <c r="I1437" s="81" t="s">
        <v>1885</v>
      </c>
      <c r="J1437" s="81" t="s">
        <v>154</v>
      </c>
      <c r="K1437" s="81" t="s">
        <v>1913</v>
      </c>
      <c r="L1437" s="81" t="s">
        <v>58</v>
      </c>
      <c r="M1437" s="164">
        <v>6.0384434999999996</v>
      </c>
      <c r="N1437" s="165"/>
      <c r="O1437" s="163"/>
      <c r="P1437" s="82">
        <v>200</v>
      </c>
      <c r="Q1437" s="164">
        <v>0</v>
      </c>
      <c r="R1437" s="163"/>
      <c r="S1437" s="81" t="s">
        <v>58</v>
      </c>
      <c r="T1437" s="82">
        <v>0</v>
      </c>
      <c r="U1437" s="82">
        <v>0</v>
      </c>
      <c r="V1437" s="82">
        <v>0</v>
      </c>
      <c r="W1437" s="82">
        <v>0</v>
      </c>
      <c r="X1437" s="81"/>
      <c r="Y1437" s="81"/>
      <c r="Z1437" s="81" t="s">
        <v>58</v>
      </c>
      <c r="AA1437" s="81" t="s">
        <v>58</v>
      </c>
      <c r="AB1437" s="81" t="s">
        <v>58</v>
      </c>
      <c r="AC1437" s="83">
        <v>46128</v>
      </c>
    </row>
    <row r="1438" spans="2:29" ht="23" x14ac:dyDescent="0.35">
      <c r="B1438" s="81" t="s">
        <v>338</v>
      </c>
      <c r="C1438" s="81" t="s">
        <v>339</v>
      </c>
      <c r="D1438" s="81" t="s">
        <v>340</v>
      </c>
      <c r="E1438" s="81" t="s">
        <v>564</v>
      </c>
      <c r="F1438" s="162" t="s">
        <v>565</v>
      </c>
      <c r="G1438" s="163"/>
      <c r="H1438" s="81" t="s">
        <v>1884</v>
      </c>
      <c r="I1438" s="81" t="s">
        <v>1885</v>
      </c>
      <c r="J1438" s="81" t="s">
        <v>154</v>
      </c>
      <c r="K1438" s="81" t="s">
        <v>1914</v>
      </c>
      <c r="L1438" s="81" t="s">
        <v>58</v>
      </c>
      <c r="M1438" s="164">
        <v>6.0384434999999996</v>
      </c>
      <c r="N1438" s="165"/>
      <c r="O1438" s="163"/>
      <c r="P1438" s="82">
        <v>200</v>
      </c>
      <c r="Q1438" s="164">
        <v>0</v>
      </c>
      <c r="R1438" s="163"/>
      <c r="S1438" s="81" t="s">
        <v>58</v>
      </c>
      <c r="T1438" s="82">
        <v>0</v>
      </c>
      <c r="U1438" s="82">
        <v>0</v>
      </c>
      <c r="V1438" s="82">
        <v>0</v>
      </c>
      <c r="W1438" s="82">
        <v>0</v>
      </c>
      <c r="X1438" s="81"/>
      <c r="Y1438" s="81"/>
      <c r="Z1438" s="81" t="s">
        <v>58</v>
      </c>
      <c r="AA1438" s="81" t="s">
        <v>58</v>
      </c>
      <c r="AB1438" s="81" t="s">
        <v>58</v>
      </c>
      <c r="AC1438" s="83">
        <v>46128</v>
      </c>
    </row>
    <row r="1439" spans="2:29" ht="23" x14ac:dyDescent="0.35">
      <c r="B1439" s="81" t="s">
        <v>338</v>
      </c>
      <c r="C1439" s="81" t="s">
        <v>339</v>
      </c>
      <c r="D1439" s="81" t="s">
        <v>340</v>
      </c>
      <c r="E1439" s="81" t="s">
        <v>564</v>
      </c>
      <c r="F1439" s="162" t="s">
        <v>565</v>
      </c>
      <c r="G1439" s="163"/>
      <c r="H1439" s="81" t="s">
        <v>1884</v>
      </c>
      <c r="I1439" s="81" t="s">
        <v>1885</v>
      </c>
      <c r="J1439" s="81" t="s">
        <v>154</v>
      </c>
      <c r="K1439" s="81" t="s">
        <v>1915</v>
      </c>
      <c r="L1439" s="81" t="s">
        <v>58</v>
      </c>
      <c r="M1439" s="164">
        <v>1.7813408325</v>
      </c>
      <c r="N1439" s="165"/>
      <c r="O1439" s="163"/>
      <c r="P1439" s="82">
        <v>59</v>
      </c>
      <c r="Q1439" s="164">
        <v>0</v>
      </c>
      <c r="R1439" s="163"/>
      <c r="S1439" s="81" t="s">
        <v>58</v>
      </c>
      <c r="T1439" s="82">
        <v>0</v>
      </c>
      <c r="U1439" s="82">
        <v>0</v>
      </c>
      <c r="V1439" s="82">
        <v>0</v>
      </c>
      <c r="W1439" s="82">
        <v>0</v>
      </c>
      <c r="X1439" s="81"/>
      <c r="Y1439" s="81"/>
      <c r="Z1439" s="81" t="s">
        <v>58</v>
      </c>
      <c r="AA1439" s="81" t="s">
        <v>58</v>
      </c>
      <c r="AB1439" s="81" t="s">
        <v>58</v>
      </c>
      <c r="AC1439" s="83">
        <v>46128</v>
      </c>
    </row>
    <row r="1440" spans="2:29" ht="23" x14ac:dyDescent="0.35">
      <c r="B1440" s="81" t="s">
        <v>338</v>
      </c>
      <c r="C1440" s="81" t="s">
        <v>339</v>
      </c>
      <c r="D1440" s="81" t="s">
        <v>340</v>
      </c>
      <c r="E1440" s="81" t="s">
        <v>564</v>
      </c>
      <c r="F1440" s="162" t="s">
        <v>565</v>
      </c>
      <c r="G1440" s="163"/>
      <c r="H1440" s="81" t="s">
        <v>1884</v>
      </c>
      <c r="I1440" s="81" t="s">
        <v>1885</v>
      </c>
      <c r="J1440" s="81" t="s">
        <v>154</v>
      </c>
      <c r="K1440" s="81" t="s">
        <v>1916</v>
      </c>
      <c r="L1440" s="81" t="s">
        <v>58</v>
      </c>
      <c r="M1440" s="164">
        <v>6.2368899999999998</v>
      </c>
      <c r="N1440" s="165"/>
      <c r="O1440" s="163"/>
      <c r="P1440" s="82">
        <v>200</v>
      </c>
      <c r="Q1440" s="164">
        <v>0</v>
      </c>
      <c r="R1440" s="163"/>
      <c r="S1440" s="81" t="s">
        <v>58</v>
      </c>
      <c r="T1440" s="82">
        <v>0</v>
      </c>
      <c r="U1440" s="82">
        <v>0</v>
      </c>
      <c r="V1440" s="82">
        <v>0</v>
      </c>
      <c r="W1440" s="82">
        <v>0</v>
      </c>
      <c r="X1440" s="81"/>
      <c r="Y1440" s="81"/>
      <c r="Z1440" s="81" t="s">
        <v>58</v>
      </c>
      <c r="AA1440" s="81" t="s">
        <v>58</v>
      </c>
      <c r="AB1440" s="81" t="s">
        <v>58</v>
      </c>
      <c r="AC1440" s="83">
        <v>46128</v>
      </c>
    </row>
    <row r="1441" spans="2:29" ht="23" x14ac:dyDescent="0.35">
      <c r="B1441" s="81" t="s">
        <v>338</v>
      </c>
      <c r="C1441" s="81" t="s">
        <v>339</v>
      </c>
      <c r="D1441" s="81" t="s">
        <v>340</v>
      </c>
      <c r="E1441" s="81" t="s">
        <v>564</v>
      </c>
      <c r="F1441" s="162" t="s">
        <v>565</v>
      </c>
      <c r="G1441" s="163"/>
      <c r="H1441" s="81" t="s">
        <v>1884</v>
      </c>
      <c r="I1441" s="81" t="s">
        <v>1885</v>
      </c>
      <c r="J1441" s="81" t="s">
        <v>154</v>
      </c>
      <c r="K1441" s="81" t="s">
        <v>1917</v>
      </c>
      <c r="L1441" s="81" t="s">
        <v>58</v>
      </c>
      <c r="M1441" s="164">
        <v>6.2368899999999998</v>
      </c>
      <c r="N1441" s="165"/>
      <c r="O1441" s="163"/>
      <c r="P1441" s="82">
        <v>200</v>
      </c>
      <c r="Q1441" s="164">
        <v>0</v>
      </c>
      <c r="R1441" s="163"/>
      <c r="S1441" s="81" t="s">
        <v>58</v>
      </c>
      <c r="T1441" s="82">
        <v>0</v>
      </c>
      <c r="U1441" s="82">
        <v>0</v>
      </c>
      <c r="V1441" s="82">
        <v>0</v>
      </c>
      <c r="W1441" s="82">
        <v>0</v>
      </c>
      <c r="X1441" s="81"/>
      <c r="Y1441" s="81"/>
      <c r="Z1441" s="81" t="s">
        <v>58</v>
      </c>
      <c r="AA1441" s="81" t="s">
        <v>58</v>
      </c>
      <c r="AB1441" s="81" t="s">
        <v>58</v>
      </c>
      <c r="AC1441" s="83">
        <v>46128</v>
      </c>
    </row>
    <row r="1442" spans="2:29" ht="23" x14ac:dyDescent="0.35">
      <c r="B1442" s="81" t="s">
        <v>338</v>
      </c>
      <c r="C1442" s="81" t="s">
        <v>339</v>
      </c>
      <c r="D1442" s="81" t="s">
        <v>340</v>
      </c>
      <c r="E1442" s="81" t="s">
        <v>564</v>
      </c>
      <c r="F1442" s="162" t="s">
        <v>565</v>
      </c>
      <c r="G1442" s="163"/>
      <c r="H1442" s="81" t="s">
        <v>1884</v>
      </c>
      <c r="I1442" s="81" t="s">
        <v>1885</v>
      </c>
      <c r="J1442" s="81" t="s">
        <v>154</v>
      </c>
      <c r="K1442" s="81" t="s">
        <v>1918</v>
      </c>
      <c r="L1442" s="81" t="s">
        <v>58</v>
      </c>
      <c r="M1442" s="164">
        <v>6.2368899999999998</v>
      </c>
      <c r="N1442" s="165"/>
      <c r="O1442" s="163"/>
      <c r="P1442" s="82">
        <v>200</v>
      </c>
      <c r="Q1442" s="164">
        <v>0</v>
      </c>
      <c r="R1442" s="163"/>
      <c r="S1442" s="81" t="s">
        <v>58</v>
      </c>
      <c r="T1442" s="82">
        <v>0</v>
      </c>
      <c r="U1442" s="82">
        <v>0</v>
      </c>
      <c r="V1442" s="82">
        <v>0</v>
      </c>
      <c r="W1442" s="82">
        <v>0</v>
      </c>
      <c r="X1442" s="81"/>
      <c r="Y1442" s="81"/>
      <c r="Z1442" s="81" t="s">
        <v>58</v>
      </c>
      <c r="AA1442" s="81" t="s">
        <v>58</v>
      </c>
      <c r="AB1442" s="81" t="s">
        <v>58</v>
      </c>
      <c r="AC1442" s="83">
        <v>46128</v>
      </c>
    </row>
    <row r="1443" spans="2:29" ht="23" x14ac:dyDescent="0.35">
      <c r="B1443" s="81" t="s">
        <v>338</v>
      </c>
      <c r="C1443" s="81" t="s">
        <v>339</v>
      </c>
      <c r="D1443" s="81" t="s">
        <v>340</v>
      </c>
      <c r="E1443" s="81" t="s">
        <v>564</v>
      </c>
      <c r="F1443" s="162" t="s">
        <v>565</v>
      </c>
      <c r="G1443" s="163"/>
      <c r="H1443" s="81" t="s">
        <v>1884</v>
      </c>
      <c r="I1443" s="81" t="s">
        <v>1885</v>
      </c>
      <c r="J1443" s="81" t="s">
        <v>154</v>
      </c>
      <c r="K1443" s="81" t="s">
        <v>1919</v>
      </c>
      <c r="L1443" s="81" t="s">
        <v>58</v>
      </c>
      <c r="M1443" s="164">
        <v>6.2368899999999998</v>
      </c>
      <c r="N1443" s="165"/>
      <c r="O1443" s="163"/>
      <c r="P1443" s="82">
        <v>200</v>
      </c>
      <c r="Q1443" s="164">
        <v>0</v>
      </c>
      <c r="R1443" s="163"/>
      <c r="S1443" s="81" t="s">
        <v>58</v>
      </c>
      <c r="T1443" s="82">
        <v>0</v>
      </c>
      <c r="U1443" s="82">
        <v>0</v>
      </c>
      <c r="V1443" s="82">
        <v>0</v>
      </c>
      <c r="W1443" s="82">
        <v>0</v>
      </c>
      <c r="X1443" s="81"/>
      <c r="Y1443" s="81"/>
      <c r="Z1443" s="81" t="s">
        <v>58</v>
      </c>
      <c r="AA1443" s="81" t="s">
        <v>58</v>
      </c>
      <c r="AB1443" s="81" t="s">
        <v>58</v>
      </c>
      <c r="AC1443" s="83">
        <v>46128</v>
      </c>
    </row>
    <row r="1444" spans="2:29" ht="23" x14ac:dyDescent="0.35">
      <c r="B1444" s="81" t="s">
        <v>338</v>
      </c>
      <c r="C1444" s="81" t="s">
        <v>339</v>
      </c>
      <c r="D1444" s="81" t="s">
        <v>340</v>
      </c>
      <c r="E1444" s="81" t="s">
        <v>564</v>
      </c>
      <c r="F1444" s="162" t="s">
        <v>565</v>
      </c>
      <c r="G1444" s="163"/>
      <c r="H1444" s="81" t="s">
        <v>1884</v>
      </c>
      <c r="I1444" s="81" t="s">
        <v>1885</v>
      </c>
      <c r="J1444" s="81" t="s">
        <v>154</v>
      </c>
      <c r="K1444" s="81" t="s">
        <v>1920</v>
      </c>
      <c r="L1444" s="81" t="s">
        <v>58</v>
      </c>
      <c r="M1444" s="164">
        <v>2.3700182000000001</v>
      </c>
      <c r="N1444" s="165"/>
      <c r="O1444" s="163"/>
      <c r="P1444" s="82">
        <v>76</v>
      </c>
      <c r="Q1444" s="164">
        <v>0</v>
      </c>
      <c r="R1444" s="163"/>
      <c r="S1444" s="81" t="s">
        <v>58</v>
      </c>
      <c r="T1444" s="82">
        <v>0</v>
      </c>
      <c r="U1444" s="82">
        <v>0</v>
      </c>
      <c r="V1444" s="82">
        <v>0</v>
      </c>
      <c r="W1444" s="82">
        <v>0</v>
      </c>
      <c r="X1444" s="81"/>
      <c r="Y1444" s="81"/>
      <c r="Z1444" s="81" t="s">
        <v>58</v>
      </c>
      <c r="AA1444" s="81" t="s">
        <v>58</v>
      </c>
      <c r="AB1444" s="81" t="s">
        <v>58</v>
      </c>
      <c r="AC1444" s="83">
        <v>46128</v>
      </c>
    </row>
    <row r="1445" spans="2:29" ht="23" x14ac:dyDescent="0.35">
      <c r="B1445" s="81" t="s">
        <v>338</v>
      </c>
      <c r="C1445" s="81" t="s">
        <v>339</v>
      </c>
      <c r="D1445" s="81" t="s">
        <v>340</v>
      </c>
      <c r="E1445" s="81" t="s">
        <v>564</v>
      </c>
      <c r="F1445" s="162" t="s">
        <v>565</v>
      </c>
      <c r="G1445" s="163"/>
      <c r="H1445" s="81" t="s">
        <v>1884</v>
      </c>
      <c r="I1445" s="81" t="s">
        <v>1885</v>
      </c>
      <c r="J1445" s="81" t="s">
        <v>154</v>
      </c>
      <c r="K1445" s="81" t="s">
        <v>1921</v>
      </c>
      <c r="L1445" s="81" t="s">
        <v>58</v>
      </c>
      <c r="M1445" s="164">
        <v>7.2404622999999999</v>
      </c>
      <c r="N1445" s="165"/>
      <c r="O1445" s="163"/>
      <c r="P1445" s="82">
        <v>200</v>
      </c>
      <c r="Q1445" s="164">
        <v>0</v>
      </c>
      <c r="R1445" s="163"/>
      <c r="S1445" s="81" t="s">
        <v>58</v>
      </c>
      <c r="T1445" s="82">
        <v>0</v>
      </c>
      <c r="U1445" s="82">
        <v>0</v>
      </c>
      <c r="V1445" s="82">
        <v>0</v>
      </c>
      <c r="W1445" s="82">
        <v>0</v>
      </c>
      <c r="X1445" s="81"/>
      <c r="Y1445" s="81"/>
      <c r="Z1445" s="81" t="s">
        <v>58</v>
      </c>
      <c r="AA1445" s="81" t="s">
        <v>58</v>
      </c>
      <c r="AB1445" s="81" t="s">
        <v>58</v>
      </c>
      <c r="AC1445" s="83">
        <v>46128</v>
      </c>
    </row>
    <row r="1446" spans="2:29" ht="23" x14ac:dyDescent="0.35">
      <c r="B1446" s="81" t="s">
        <v>338</v>
      </c>
      <c r="C1446" s="81" t="s">
        <v>339</v>
      </c>
      <c r="D1446" s="81" t="s">
        <v>340</v>
      </c>
      <c r="E1446" s="81" t="s">
        <v>564</v>
      </c>
      <c r="F1446" s="162" t="s">
        <v>565</v>
      </c>
      <c r="G1446" s="163"/>
      <c r="H1446" s="81" t="s">
        <v>1884</v>
      </c>
      <c r="I1446" s="81" t="s">
        <v>1885</v>
      </c>
      <c r="J1446" s="81" t="s">
        <v>154</v>
      </c>
      <c r="K1446" s="81" t="s">
        <v>1922</v>
      </c>
      <c r="L1446" s="81" t="s">
        <v>58</v>
      </c>
      <c r="M1446" s="164">
        <v>8.5437455139999994</v>
      </c>
      <c r="N1446" s="165"/>
      <c r="O1446" s="163"/>
      <c r="P1446" s="82">
        <v>236</v>
      </c>
      <c r="Q1446" s="164">
        <v>0</v>
      </c>
      <c r="R1446" s="163"/>
      <c r="S1446" s="81" t="s">
        <v>58</v>
      </c>
      <c r="T1446" s="82">
        <v>0</v>
      </c>
      <c r="U1446" s="82">
        <v>0</v>
      </c>
      <c r="V1446" s="82">
        <v>0</v>
      </c>
      <c r="W1446" s="82">
        <v>0</v>
      </c>
      <c r="X1446" s="81"/>
      <c r="Y1446" s="81"/>
      <c r="Z1446" s="81" t="s">
        <v>58</v>
      </c>
      <c r="AA1446" s="81" t="s">
        <v>58</v>
      </c>
      <c r="AB1446" s="81" t="s">
        <v>58</v>
      </c>
      <c r="AC1446" s="83">
        <v>46128</v>
      </c>
    </row>
    <row r="1447" spans="2:29" ht="23" x14ac:dyDescent="0.35">
      <c r="B1447" s="81" t="s">
        <v>338</v>
      </c>
      <c r="C1447" s="81" t="s">
        <v>339</v>
      </c>
      <c r="D1447" s="81" t="s">
        <v>340</v>
      </c>
      <c r="E1447" s="81" t="s">
        <v>564</v>
      </c>
      <c r="F1447" s="162" t="s">
        <v>565</v>
      </c>
      <c r="G1447" s="163"/>
      <c r="H1447" s="81" t="s">
        <v>1884</v>
      </c>
      <c r="I1447" s="81" t="s">
        <v>1885</v>
      </c>
      <c r="J1447" s="81" t="s">
        <v>154</v>
      </c>
      <c r="K1447" s="81" t="s">
        <v>1923</v>
      </c>
      <c r="L1447" s="81" t="s">
        <v>58</v>
      </c>
      <c r="M1447" s="164">
        <v>1.044622376</v>
      </c>
      <c r="N1447" s="165"/>
      <c r="O1447" s="163"/>
      <c r="P1447" s="82">
        <v>28</v>
      </c>
      <c r="Q1447" s="164">
        <v>0</v>
      </c>
      <c r="R1447" s="163"/>
      <c r="S1447" s="81" t="s">
        <v>58</v>
      </c>
      <c r="T1447" s="82">
        <v>0</v>
      </c>
      <c r="U1447" s="82">
        <v>0</v>
      </c>
      <c r="V1447" s="82">
        <v>0</v>
      </c>
      <c r="W1447" s="82">
        <v>0</v>
      </c>
      <c r="X1447" s="81"/>
      <c r="Y1447" s="81"/>
      <c r="Z1447" s="81" t="s">
        <v>58</v>
      </c>
      <c r="AA1447" s="81" t="s">
        <v>58</v>
      </c>
      <c r="AB1447" s="81" t="s">
        <v>58</v>
      </c>
      <c r="AC1447" s="83">
        <v>46128</v>
      </c>
    </row>
    <row r="1448" spans="2:29" ht="23" x14ac:dyDescent="0.35">
      <c r="B1448" s="81" t="s">
        <v>338</v>
      </c>
      <c r="C1448" s="81" t="s">
        <v>339</v>
      </c>
      <c r="D1448" s="81" t="s">
        <v>340</v>
      </c>
      <c r="E1448" s="81" t="s">
        <v>564</v>
      </c>
      <c r="F1448" s="162" t="s">
        <v>565</v>
      </c>
      <c r="G1448" s="163"/>
      <c r="H1448" s="81" t="s">
        <v>1884</v>
      </c>
      <c r="I1448" s="81" t="s">
        <v>1885</v>
      </c>
      <c r="J1448" s="81" t="s">
        <v>154</v>
      </c>
      <c r="K1448" s="81" t="s">
        <v>1924</v>
      </c>
      <c r="L1448" s="81" t="s">
        <v>58</v>
      </c>
      <c r="M1448" s="164">
        <v>0.88416420600000001</v>
      </c>
      <c r="N1448" s="165"/>
      <c r="O1448" s="163"/>
      <c r="P1448" s="82">
        <v>23</v>
      </c>
      <c r="Q1448" s="164">
        <v>0</v>
      </c>
      <c r="R1448" s="163"/>
      <c r="S1448" s="81" t="s">
        <v>58</v>
      </c>
      <c r="T1448" s="82">
        <v>0</v>
      </c>
      <c r="U1448" s="82">
        <v>0</v>
      </c>
      <c r="V1448" s="82">
        <v>0</v>
      </c>
      <c r="W1448" s="82">
        <v>0</v>
      </c>
      <c r="X1448" s="81"/>
      <c r="Y1448" s="81"/>
      <c r="Z1448" s="81" t="s">
        <v>58</v>
      </c>
      <c r="AA1448" s="81" t="s">
        <v>58</v>
      </c>
      <c r="AB1448" s="81" t="s">
        <v>58</v>
      </c>
      <c r="AC1448" s="83">
        <v>46128</v>
      </c>
    </row>
    <row r="1449" spans="2:29" ht="23" x14ac:dyDescent="0.35">
      <c r="B1449" s="81" t="s">
        <v>338</v>
      </c>
      <c r="C1449" s="81" t="s">
        <v>339</v>
      </c>
      <c r="D1449" s="81" t="s">
        <v>340</v>
      </c>
      <c r="E1449" s="81" t="s">
        <v>564</v>
      </c>
      <c r="F1449" s="162" t="s">
        <v>565</v>
      </c>
      <c r="G1449" s="163"/>
      <c r="H1449" s="81" t="s">
        <v>1884</v>
      </c>
      <c r="I1449" s="81" t="s">
        <v>1885</v>
      </c>
      <c r="J1449" s="81" t="s">
        <v>154</v>
      </c>
      <c r="K1449" s="81" t="s">
        <v>1925</v>
      </c>
      <c r="L1449" s="81" t="s">
        <v>58</v>
      </c>
      <c r="M1449" s="164">
        <v>0.85490752199999998</v>
      </c>
      <c r="N1449" s="165"/>
      <c r="O1449" s="163"/>
      <c r="P1449" s="82">
        <v>21</v>
      </c>
      <c r="Q1449" s="164">
        <v>0</v>
      </c>
      <c r="R1449" s="163"/>
      <c r="S1449" s="81" t="s">
        <v>58</v>
      </c>
      <c r="T1449" s="82">
        <v>0</v>
      </c>
      <c r="U1449" s="82">
        <v>0</v>
      </c>
      <c r="V1449" s="82">
        <v>0</v>
      </c>
      <c r="W1449" s="82">
        <v>0</v>
      </c>
      <c r="X1449" s="81"/>
      <c r="Y1449" s="81"/>
      <c r="Z1449" s="81" t="s">
        <v>58</v>
      </c>
      <c r="AA1449" s="81" t="s">
        <v>58</v>
      </c>
      <c r="AB1449" s="81" t="s">
        <v>58</v>
      </c>
      <c r="AC1449" s="83">
        <v>46128</v>
      </c>
    </row>
    <row r="1450" spans="2:29" ht="23" x14ac:dyDescent="0.35">
      <c r="B1450" s="81" t="s">
        <v>338</v>
      </c>
      <c r="C1450" s="81" t="s">
        <v>339</v>
      </c>
      <c r="D1450" s="81" t="s">
        <v>340</v>
      </c>
      <c r="E1450" s="81" t="s">
        <v>564</v>
      </c>
      <c r="F1450" s="162" t="s">
        <v>565</v>
      </c>
      <c r="G1450" s="163"/>
      <c r="H1450" s="81" t="s">
        <v>1884</v>
      </c>
      <c r="I1450" s="81" t="s">
        <v>1885</v>
      </c>
      <c r="J1450" s="81" t="s">
        <v>154</v>
      </c>
      <c r="K1450" s="81" t="s">
        <v>1926</v>
      </c>
      <c r="L1450" s="81" t="s">
        <v>58</v>
      </c>
      <c r="M1450" s="164">
        <v>0.77309086500000002</v>
      </c>
      <c r="N1450" s="165"/>
      <c r="O1450" s="163"/>
      <c r="P1450" s="82">
        <v>18</v>
      </c>
      <c r="Q1450" s="164">
        <v>0</v>
      </c>
      <c r="R1450" s="163"/>
      <c r="S1450" s="81" t="s">
        <v>58</v>
      </c>
      <c r="T1450" s="82">
        <v>0</v>
      </c>
      <c r="U1450" s="82">
        <v>0</v>
      </c>
      <c r="V1450" s="82">
        <v>0</v>
      </c>
      <c r="W1450" s="82">
        <v>0</v>
      </c>
      <c r="X1450" s="81"/>
      <c r="Y1450" s="81"/>
      <c r="Z1450" s="81" t="s">
        <v>58</v>
      </c>
      <c r="AA1450" s="81" t="s">
        <v>58</v>
      </c>
      <c r="AB1450" s="81" t="s">
        <v>58</v>
      </c>
      <c r="AC1450" s="83">
        <v>46128</v>
      </c>
    </row>
    <row r="1451" spans="2:29" ht="23" x14ac:dyDescent="0.35">
      <c r="B1451" s="81" t="s">
        <v>338</v>
      </c>
      <c r="C1451" s="81" t="s">
        <v>339</v>
      </c>
      <c r="D1451" s="81" t="s">
        <v>340</v>
      </c>
      <c r="E1451" s="81" t="s">
        <v>564</v>
      </c>
      <c r="F1451" s="162" t="s">
        <v>565</v>
      </c>
      <c r="G1451" s="163"/>
      <c r="H1451" s="81" t="s">
        <v>1927</v>
      </c>
      <c r="I1451" s="81" t="s">
        <v>1928</v>
      </c>
      <c r="J1451" s="81" t="s">
        <v>153</v>
      </c>
      <c r="K1451" s="81" t="s">
        <v>1929</v>
      </c>
      <c r="L1451" s="81" t="s">
        <v>58</v>
      </c>
      <c r="M1451" s="164">
        <v>2.24074448</v>
      </c>
      <c r="N1451" s="165"/>
      <c r="O1451" s="163"/>
      <c r="P1451" s="82">
        <v>208</v>
      </c>
      <c r="Q1451" s="164">
        <v>0</v>
      </c>
      <c r="R1451" s="163"/>
      <c r="S1451" s="81" t="s">
        <v>58</v>
      </c>
      <c r="T1451" s="82">
        <v>0</v>
      </c>
      <c r="U1451" s="82">
        <v>0</v>
      </c>
      <c r="V1451" s="82">
        <v>0</v>
      </c>
      <c r="W1451" s="82">
        <v>0</v>
      </c>
      <c r="X1451" s="81"/>
      <c r="Y1451" s="81"/>
      <c r="Z1451" s="81" t="s">
        <v>58</v>
      </c>
      <c r="AA1451" s="81" t="s">
        <v>58</v>
      </c>
      <c r="AB1451" s="81" t="s">
        <v>58</v>
      </c>
      <c r="AC1451" s="83">
        <v>46126</v>
      </c>
    </row>
    <row r="1452" spans="2:29" ht="23" x14ac:dyDescent="0.35">
      <c r="B1452" s="81" t="s">
        <v>338</v>
      </c>
      <c r="C1452" s="81" t="s">
        <v>339</v>
      </c>
      <c r="D1452" s="81" t="s">
        <v>340</v>
      </c>
      <c r="E1452" s="81" t="s">
        <v>564</v>
      </c>
      <c r="F1452" s="162" t="s">
        <v>565</v>
      </c>
      <c r="G1452" s="163"/>
      <c r="H1452" s="81" t="s">
        <v>1927</v>
      </c>
      <c r="I1452" s="81" t="s">
        <v>1928</v>
      </c>
      <c r="J1452" s="81" t="s">
        <v>153</v>
      </c>
      <c r="K1452" s="81" t="s">
        <v>1930</v>
      </c>
      <c r="L1452" s="81" t="s">
        <v>58</v>
      </c>
      <c r="M1452" s="164">
        <v>4.4225219999999998</v>
      </c>
      <c r="N1452" s="165"/>
      <c r="O1452" s="163"/>
      <c r="P1452" s="82">
        <v>400</v>
      </c>
      <c r="Q1452" s="164">
        <v>0</v>
      </c>
      <c r="R1452" s="163"/>
      <c r="S1452" s="81" t="s">
        <v>58</v>
      </c>
      <c r="T1452" s="82">
        <v>0</v>
      </c>
      <c r="U1452" s="82">
        <v>0</v>
      </c>
      <c r="V1452" s="82">
        <v>0</v>
      </c>
      <c r="W1452" s="82">
        <v>0</v>
      </c>
      <c r="X1452" s="81"/>
      <c r="Y1452" s="81"/>
      <c r="Z1452" s="81" t="s">
        <v>58</v>
      </c>
      <c r="AA1452" s="81" t="s">
        <v>58</v>
      </c>
      <c r="AB1452" s="81" t="s">
        <v>58</v>
      </c>
      <c r="AC1452" s="83">
        <v>46126</v>
      </c>
    </row>
    <row r="1453" spans="2:29" ht="23" x14ac:dyDescent="0.35">
      <c r="B1453" s="81" t="s">
        <v>338</v>
      </c>
      <c r="C1453" s="81" t="s">
        <v>339</v>
      </c>
      <c r="D1453" s="81" t="s">
        <v>340</v>
      </c>
      <c r="E1453" s="81" t="s">
        <v>564</v>
      </c>
      <c r="F1453" s="162" t="s">
        <v>565</v>
      </c>
      <c r="G1453" s="163"/>
      <c r="H1453" s="81" t="s">
        <v>1927</v>
      </c>
      <c r="I1453" s="81" t="s">
        <v>1928</v>
      </c>
      <c r="J1453" s="81" t="s">
        <v>153</v>
      </c>
      <c r="K1453" s="81" t="s">
        <v>1931</v>
      </c>
      <c r="L1453" s="81" t="s">
        <v>58</v>
      </c>
      <c r="M1453" s="164">
        <v>4.4225219999999998</v>
      </c>
      <c r="N1453" s="165"/>
      <c r="O1453" s="163"/>
      <c r="P1453" s="82">
        <v>400</v>
      </c>
      <c r="Q1453" s="164">
        <v>0</v>
      </c>
      <c r="R1453" s="163"/>
      <c r="S1453" s="81" t="s">
        <v>58</v>
      </c>
      <c r="T1453" s="82">
        <v>0</v>
      </c>
      <c r="U1453" s="82">
        <v>0</v>
      </c>
      <c r="V1453" s="82">
        <v>0</v>
      </c>
      <c r="W1453" s="82">
        <v>0</v>
      </c>
      <c r="X1453" s="81"/>
      <c r="Y1453" s="81"/>
      <c r="Z1453" s="81" t="s">
        <v>58</v>
      </c>
      <c r="AA1453" s="81" t="s">
        <v>58</v>
      </c>
      <c r="AB1453" s="81" t="s">
        <v>58</v>
      </c>
      <c r="AC1453" s="83">
        <v>46126</v>
      </c>
    </row>
    <row r="1454" spans="2:29" ht="23" x14ac:dyDescent="0.35">
      <c r="B1454" s="81" t="s">
        <v>338</v>
      </c>
      <c r="C1454" s="81" t="s">
        <v>339</v>
      </c>
      <c r="D1454" s="81" t="s">
        <v>340</v>
      </c>
      <c r="E1454" s="81" t="s">
        <v>564</v>
      </c>
      <c r="F1454" s="162" t="s">
        <v>565</v>
      </c>
      <c r="G1454" s="163"/>
      <c r="H1454" s="81" t="s">
        <v>1927</v>
      </c>
      <c r="I1454" s="81" t="s">
        <v>1928</v>
      </c>
      <c r="J1454" s="81" t="s">
        <v>153</v>
      </c>
      <c r="K1454" s="81" t="s">
        <v>1932</v>
      </c>
      <c r="L1454" s="81" t="s">
        <v>58</v>
      </c>
      <c r="M1454" s="164">
        <v>2.56506276</v>
      </c>
      <c r="N1454" s="165"/>
      <c r="O1454" s="163"/>
      <c r="P1454" s="82">
        <v>232</v>
      </c>
      <c r="Q1454" s="164">
        <v>0</v>
      </c>
      <c r="R1454" s="163"/>
      <c r="S1454" s="81" t="s">
        <v>58</v>
      </c>
      <c r="T1454" s="82">
        <v>0</v>
      </c>
      <c r="U1454" s="82">
        <v>0</v>
      </c>
      <c r="V1454" s="82">
        <v>0</v>
      </c>
      <c r="W1454" s="82">
        <v>0</v>
      </c>
      <c r="X1454" s="81"/>
      <c r="Y1454" s="81"/>
      <c r="Z1454" s="81" t="s">
        <v>58</v>
      </c>
      <c r="AA1454" s="81" t="s">
        <v>58</v>
      </c>
      <c r="AB1454" s="81" t="s">
        <v>58</v>
      </c>
      <c r="AC1454" s="83">
        <v>46126</v>
      </c>
    </row>
    <row r="1455" spans="2:29" ht="23" x14ac:dyDescent="0.35">
      <c r="B1455" s="81" t="s">
        <v>338</v>
      </c>
      <c r="C1455" s="81" t="s">
        <v>339</v>
      </c>
      <c r="D1455" s="81" t="s">
        <v>340</v>
      </c>
      <c r="E1455" s="81" t="s">
        <v>564</v>
      </c>
      <c r="F1455" s="162" t="s">
        <v>565</v>
      </c>
      <c r="G1455" s="163"/>
      <c r="H1455" s="81" t="s">
        <v>1927</v>
      </c>
      <c r="I1455" s="81" t="s">
        <v>1928</v>
      </c>
      <c r="J1455" s="81" t="s">
        <v>153</v>
      </c>
      <c r="K1455" s="81" t="s">
        <v>1933</v>
      </c>
      <c r="L1455" s="81" t="s">
        <v>58</v>
      </c>
      <c r="M1455" s="164">
        <v>4.53592</v>
      </c>
      <c r="N1455" s="165"/>
      <c r="O1455" s="163"/>
      <c r="P1455" s="82">
        <v>400</v>
      </c>
      <c r="Q1455" s="164">
        <v>0</v>
      </c>
      <c r="R1455" s="163"/>
      <c r="S1455" s="81" t="s">
        <v>58</v>
      </c>
      <c r="T1455" s="82">
        <v>0</v>
      </c>
      <c r="U1455" s="82">
        <v>0</v>
      </c>
      <c r="V1455" s="82">
        <v>0</v>
      </c>
      <c r="W1455" s="82">
        <v>0</v>
      </c>
      <c r="X1455" s="81"/>
      <c r="Y1455" s="81"/>
      <c r="Z1455" s="81" t="s">
        <v>58</v>
      </c>
      <c r="AA1455" s="81" t="s">
        <v>58</v>
      </c>
      <c r="AB1455" s="81" t="s">
        <v>58</v>
      </c>
      <c r="AC1455" s="83">
        <v>46126</v>
      </c>
    </row>
    <row r="1456" spans="2:29" ht="23" x14ac:dyDescent="0.35">
      <c r="B1456" s="81" t="s">
        <v>338</v>
      </c>
      <c r="C1456" s="81" t="s">
        <v>339</v>
      </c>
      <c r="D1456" s="81" t="s">
        <v>340</v>
      </c>
      <c r="E1456" s="81" t="s">
        <v>564</v>
      </c>
      <c r="F1456" s="162" t="s">
        <v>565</v>
      </c>
      <c r="G1456" s="163"/>
      <c r="H1456" s="81" t="s">
        <v>1927</v>
      </c>
      <c r="I1456" s="81" t="s">
        <v>1928</v>
      </c>
      <c r="J1456" s="81" t="s">
        <v>153</v>
      </c>
      <c r="K1456" s="81" t="s">
        <v>1934</v>
      </c>
      <c r="L1456" s="81" t="s">
        <v>58</v>
      </c>
      <c r="M1456" s="164">
        <v>4.53592</v>
      </c>
      <c r="N1456" s="165"/>
      <c r="O1456" s="163"/>
      <c r="P1456" s="82">
        <v>400</v>
      </c>
      <c r="Q1456" s="164">
        <v>0</v>
      </c>
      <c r="R1456" s="163"/>
      <c r="S1456" s="81" t="s">
        <v>58</v>
      </c>
      <c r="T1456" s="82">
        <v>0</v>
      </c>
      <c r="U1456" s="82">
        <v>0</v>
      </c>
      <c r="V1456" s="82">
        <v>0</v>
      </c>
      <c r="W1456" s="82">
        <v>0</v>
      </c>
      <c r="X1456" s="81"/>
      <c r="Y1456" s="81"/>
      <c r="Z1456" s="81" t="s">
        <v>58</v>
      </c>
      <c r="AA1456" s="81" t="s">
        <v>58</v>
      </c>
      <c r="AB1456" s="81" t="s">
        <v>58</v>
      </c>
      <c r="AC1456" s="83">
        <v>46126</v>
      </c>
    </row>
    <row r="1457" spans="2:29" ht="23" x14ac:dyDescent="0.35">
      <c r="B1457" s="81" t="s">
        <v>338</v>
      </c>
      <c r="C1457" s="81" t="s">
        <v>339</v>
      </c>
      <c r="D1457" s="81" t="s">
        <v>340</v>
      </c>
      <c r="E1457" s="81" t="s">
        <v>564</v>
      </c>
      <c r="F1457" s="162" t="s">
        <v>565</v>
      </c>
      <c r="G1457" s="163"/>
      <c r="H1457" s="81" t="s">
        <v>1927</v>
      </c>
      <c r="I1457" s="81" t="s">
        <v>1928</v>
      </c>
      <c r="J1457" s="81" t="s">
        <v>153</v>
      </c>
      <c r="K1457" s="81" t="s">
        <v>1935</v>
      </c>
      <c r="L1457" s="81" t="s">
        <v>58</v>
      </c>
      <c r="M1457" s="164">
        <v>4.53592</v>
      </c>
      <c r="N1457" s="165"/>
      <c r="O1457" s="163"/>
      <c r="P1457" s="82">
        <v>400</v>
      </c>
      <c r="Q1457" s="164">
        <v>0</v>
      </c>
      <c r="R1457" s="163"/>
      <c r="S1457" s="81" t="s">
        <v>58</v>
      </c>
      <c r="T1457" s="82">
        <v>0</v>
      </c>
      <c r="U1457" s="82">
        <v>0</v>
      </c>
      <c r="V1457" s="82">
        <v>0</v>
      </c>
      <c r="W1457" s="82">
        <v>0</v>
      </c>
      <c r="X1457" s="81"/>
      <c r="Y1457" s="81"/>
      <c r="Z1457" s="81" t="s">
        <v>58</v>
      </c>
      <c r="AA1457" s="81" t="s">
        <v>58</v>
      </c>
      <c r="AB1457" s="81" t="s">
        <v>58</v>
      </c>
      <c r="AC1457" s="83">
        <v>46126</v>
      </c>
    </row>
    <row r="1458" spans="2:29" ht="23" x14ac:dyDescent="0.35">
      <c r="B1458" s="81" t="s">
        <v>338</v>
      </c>
      <c r="C1458" s="81" t="s">
        <v>339</v>
      </c>
      <c r="D1458" s="81" t="s">
        <v>340</v>
      </c>
      <c r="E1458" s="81" t="s">
        <v>564</v>
      </c>
      <c r="F1458" s="162" t="s">
        <v>565</v>
      </c>
      <c r="G1458" s="163"/>
      <c r="H1458" s="81" t="s">
        <v>1927</v>
      </c>
      <c r="I1458" s="81" t="s">
        <v>1928</v>
      </c>
      <c r="J1458" s="81" t="s">
        <v>153</v>
      </c>
      <c r="K1458" s="81" t="s">
        <v>1936</v>
      </c>
      <c r="L1458" s="81" t="s">
        <v>58</v>
      </c>
      <c r="M1458" s="164">
        <v>4.53592</v>
      </c>
      <c r="N1458" s="165"/>
      <c r="O1458" s="163"/>
      <c r="P1458" s="82">
        <v>400</v>
      </c>
      <c r="Q1458" s="164">
        <v>0</v>
      </c>
      <c r="R1458" s="163"/>
      <c r="S1458" s="81" t="s">
        <v>58</v>
      </c>
      <c r="T1458" s="82">
        <v>0</v>
      </c>
      <c r="U1458" s="82">
        <v>0</v>
      </c>
      <c r="V1458" s="82">
        <v>0</v>
      </c>
      <c r="W1458" s="82">
        <v>0</v>
      </c>
      <c r="X1458" s="81"/>
      <c r="Y1458" s="81"/>
      <c r="Z1458" s="81" t="s">
        <v>58</v>
      </c>
      <c r="AA1458" s="81" t="s">
        <v>58</v>
      </c>
      <c r="AB1458" s="81" t="s">
        <v>58</v>
      </c>
      <c r="AC1458" s="83">
        <v>46126</v>
      </c>
    </row>
    <row r="1459" spans="2:29" ht="23" x14ac:dyDescent="0.35">
      <c r="B1459" s="81" t="s">
        <v>338</v>
      </c>
      <c r="C1459" s="81" t="s">
        <v>339</v>
      </c>
      <c r="D1459" s="81" t="s">
        <v>340</v>
      </c>
      <c r="E1459" s="81" t="s">
        <v>564</v>
      </c>
      <c r="F1459" s="162" t="s">
        <v>565</v>
      </c>
      <c r="G1459" s="163"/>
      <c r="H1459" s="81" t="s">
        <v>1927</v>
      </c>
      <c r="I1459" s="81" t="s">
        <v>1928</v>
      </c>
      <c r="J1459" s="81" t="s">
        <v>153</v>
      </c>
      <c r="K1459" s="81" t="s">
        <v>1937</v>
      </c>
      <c r="L1459" s="81" t="s">
        <v>58</v>
      </c>
      <c r="M1459" s="164">
        <v>4.53592</v>
      </c>
      <c r="N1459" s="165"/>
      <c r="O1459" s="163"/>
      <c r="P1459" s="82">
        <v>400</v>
      </c>
      <c r="Q1459" s="164">
        <v>0</v>
      </c>
      <c r="R1459" s="163"/>
      <c r="S1459" s="81" t="s">
        <v>58</v>
      </c>
      <c r="T1459" s="82">
        <v>0</v>
      </c>
      <c r="U1459" s="82">
        <v>0</v>
      </c>
      <c r="V1459" s="82">
        <v>0</v>
      </c>
      <c r="W1459" s="82">
        <v>0</v>
      </c>
      <c r="X1459" s="81"/>
      <c r="Y1459" s="81"/>
      <c r="Z1459" s="81" t="s">
        <v>58</v>
      </c>
      <c r="AA1459" s="81" t="s">
        <v>58</v>
      </c>
      <c r="AB1459" s="81" t="s">
        <v>58</v>
      </c>
      <c r="AC1459" s="83">
        <v>46126</v>
      </c>
    </row>
    <row r="1460" spans="2:29" ht="23" x14ac:dyDescent="0.35">
      <c r="B1460" s="81" t="s">
        <v>338</v>
      </c>
      <c r="C1460" s="81" t="s">
        <v>339</v>
      </c>
      <c r="D1460" s="81" t="s">
        <v>340</v>
      </c>
      <c r="E1460" s="81" t="s">
        <v>564</v>
      </c>
      <c r="F1460" s="162" t="s">
        <v>565</v>
      </c>
      <c r="G1460" s="163"/>
      <c r="H1460" s="81" t="s">
        <v>1927</v>
      </c>
      <c r="I1460" s="81" t="s">
        <v>1928</v>
      </c>
      <c r="J1460" s="81" t="s">
        <v>153</v>
      </c>
      <c r="K1460" s="81" t="s">
        <v>1938</v>
      </c>
      <c r="L1460" s="81" t="s">
        <v>58</v>
      </c>
      <c r="M1460" s="164">
        <v>3.1524643999999999</v>
      </c>
      <c r="N1460" s="165"/>
      <c r="O1460" s="163"/>
      <c r="P1460" s="82">
        <v>278</v>
      </c>
      <c r="Q1460" s="164">
        <v>0</v>
      </c>
      <c r="R1460" s="163"/>
      <c r="S1460" s="81" t="s">
        <v>58</v>
      </c>
      <c r="T1460" s="82">
        <v>0</v>
      </c>
      <c r="U1460" s="82">
        <v>0</v>
      </c>
      <c r="V1460" s="82">
        <v>0</v>
      </c>
      <c r="W1460" s="82">
        <v>0</v>
      </c>
      <c r="X1460" s="81"/>
      <c r="Y1460" s="81"/>
      <c r="Z1460" s="81" t="s">
        <v>58</v>
      </c>
      <c r="AA1460" s="81" t="s">
        <v>58</v>
      </c>
      <c r="AB1460" s="81" t="s">
        <v>58</v>
      </c>
      <c r="AC1460" s="83">
        <v>46126</v>
      </c>
    </row>
    <row r="1461" spans="2:29" ht="23" x14ac:dyDescent="0.35">
      <c r="B1461" s="81" t="s">
        <v>338</v>
      </c>
      <c r="C1461" s="81" t="s">
        <v>339</v>
      </c>
      <c r="D1461" s="81" t="s">
        <v>340</v>
      </c>
      <c r="E1461" s="81" t="s">
        <v>564</v>
      </c>
      <c r="F1461" s="162" t="s">
        <v>565</v>
      </c>
      <c r="G1461" s="163"/>
      <c r="H1461" s="81" t="s">
        <v>1927</v>
      </c>
      <c r="I1461" s="81" t="s">
        <v>1928</v>
      </c>
      <c r="J1461" s="81" t="s">
        <v>153</v>
      </c>
      <c r="K1461" s="81" t="s">
        <v>1939</v>
      </c>
      <c r="L1461" s="81" t="s">
        <v>58</v>
      </c>
      <c r="M1461" s="164">
        <v>4.6493180000000001</v>
      </c>
      <c r="N1461" s="165"/>
      <c r="O1461" s="163"/>
      <c r="P1461" s="82">
        <v>400</v>
      </c>
      <c r="Q1461" s="164">
        <v>0</v>
      </c>
      <c r="R1461" s="163"/>
      <c r="S1461" s="81" t="s">
        <v>58</v>
      </c>
      <c r="T1461" s="82">
        <v>0</v>
      </c>
      <c r="U1461" s="82">
        <v>0</v>
      </c>
      <c r="V1461" s="82">
        <v>0</v>
      </c>
      <c r="W1461" s="82">
        <v>0</v>
      </c>
      <c r="X1461" s="81"/>
      <c r="Y1461" s="81"/>
      <c r="Z1461" s="81" t="s">
        <v>58</v>
      </c>
      <c r="AA1461" s="81" t="s">
        <v>58</v>
      </c>
      <c r="AB1461" s="81" t="s">
        <v>58</v>
      </c>
      <c r="AC1461" s="83">
        <v>46126</v>
      </c>
    </row>
    <row r="1462" spans="2:29" ht="23" x14ac:dyDescent="0.35">
      <c r="B1462" s="81" t="s">
        <v>338</v>
      </c>
      <c r="C1462" s="81" t="s">
        <v>339</v>
      </c>
      <c r="D1462" s="81" t="s">
        <v>340</v>
      </c>
      <c r="E1462" s="81" t="s">
        <v>564</v>
      </c>
      <c r="F1462" s="162" t="s">
        <v>565</v>
      </c>
      <c r="G1462" s="163"/>
      <c r="H1462" s="81" t="s">
        <v>1927</v>
      </c>
      <c r="I1462" s="81" t="s">
        <v>1928</v>
      </c>
      <c r="J1462" s="81" t="s">
        <v>153</v>
      </c>
      <c r="K1462" s="81" t="s">
        <v>1940</v>
      </c>
      <c r="L1462" s="81" t="s">
        <v>58</v>
      </c>
      <c r="M1462" s="164">
        <v>4.6493180000000001</v>
      </c>
      <c r="N1462" s="165"/>
      <c r="O1462" s="163"/>
      <c r="P1462" s="82">
        <v>400</v>
      </c>
      <c r="Q1462" s="164">
        <v>0</v>
      </c>
      <c r="R1462" s="163"/>
      <c r="S1462" s="81" t="s">
        <v>58</v>
      </c>
      <c r="T1462" s="82">
        <v>0</v>
      </c>
      <c r="U1462" s="82">
        <v>0</v>
      </c>
      <c r="V1462" s="82">
        <v>0</v>
      </c>
      <c r="W1462" s="82">
        <v>0</v>
      </c>
      <c r="X1462" s="81"/>
      <c r="Y1462" s="81"/>
      <c r="Z1462" s="81" t="s">
        <v>58</v>
      </c>
      <c r="AA1462" s="81" t="s">
        <v>58</v>
      </c>
      <c r="AB1462" s="81" t="s">
        <v>58</v>
      </c>
      <c r="AC1462" s="83">
        <v>46126</v>
      </c>
    </row>
    <row r="1463" spans="2:29" ht="23" x14ac:dyDescent="0.35">
      <c r="B1463" s="81" t="s">
        <v>338</v>
      </c>
      <c r="C1463" s="81" t="s">
        <v>339</v>
      </c>
      <c r="D1463" s="81" t="s">
        <v>340</v>
      </c>
      <c r="E1463" s="81" t="s">
        <v>564</v>
      </c>
      <c r="F1463" s="162" t="s">
        <v>565</v>
      </c>
      <c r="G1463" s="163"/>
      <c r="H1463" s="81" t="s">
        <v>1927</v>
      </c>
      <c r="I1463" s="81" t="s">
        <v>1928</v>
      </c>
      <c r="J1463" s="81" t="s">
        <v>153</v>
      </c>
      <c r="K1463" s="81" t="s">
        <v>1941</v>
      </c>
      <c r="L1463" s="81" t="s">
        <v>58</v>
      </c>
      <c r="M1463" s="164">
        <v>4.6493180000000001</v>
      </c>
      <c r="N1463" s="165"/>
      <c r="O1463" s="163"/>
      <c r="P1463" s="82">
        <v>400</v>
      </c>
      <c r="Q1463" s="164">
        <v>0</v>
      </c>
      <c r="R1463" s="163"/>
      <c r="S1463" s="81" t="s">
        <v>58</v>
      </c>
      <c r="T1463" s="82">
        <v>0</v>
      </c>
      <c r="U1463" s="82">
        <v>0</v>
      </c>
      <c r="V1463" s="82">
        <v>0</v>
      </c>
      <c r="W1463" s="82">
        <v>0</v>
      </c>
      <c r="X1463" s="81"/>
      <c r="Y1463" s="81"/>
      <c r="Z1463" s="81" t="s">
        <v>58</v>
      </c>
      <c r="AA1463" s="81" t="s">
        <v>58</v>
      </c>
      <c r="AB1463" s="81" t="s">
        <v>58</v>
      </c>
      <c r="AC1463" s="83">
        <v>46126</v>
      </c>
    </row>
    <row r="1464" spans="2:29" ht="23" x14ac:dyDescent="0.35">
      <c r="B1464" s="81" t="s">
        <v>338</v>
      </c>
      <c r="C1464" s="81" t="s">
        <v>339</v>
      </c>
      <c r="D1464" s="81" t="s">
        <v>340</v>
      </c>
      <c r="E1464" s="81" t="s">
        <v>564</v>
      </c>
      <c r="F1464" s="162" t="s">
        <v>565</v>
      </c>
      <c r="G1464" s="163"/>
      <c r="H1464" s="81" t="s">
        <v>1927</v>
      </c>
      <c r="I1464" s="81" t="s">
        <v>1928</v>
      </c>
      <c r="J1464" s="81" t="s">
        <v>153</v>
      </c>
      <c r="K1464" s="81" t="s">
        <v>1942</v>
      </c>
      <c r="L1464" s="81" t="s">
        <v>58</v>
      </c>
      <c r="M1464" s="164">
        <v>4.6493180000000001</v>
      </c>
      <c r="N1464" s="165"/>
      <c r="O1464" s="163"/>
      <c r="P1464" s="82">
        <v>400</v>
      </c>
      <c r="Q1464" s="164">
        <v>0</v>
      </c>
      <c r="R1464" s="163"/>
      <c r="S1464" s="81" t="s">
        <v>58</v>
      </c>
      <c r="T1464" s="82">
        <v>0</v>
      </c>
      <c r="U1464" s="82">
        <v>0</v>
      </c>
      <c r="V1464" s="82">
        <v>0</v>
      </c>
      <c r="W1464" s="82">
        <v>0</v>
      </c>
      <c r="X1464" s="81"/>
      <c r="Y1464" s="81"/>
      <c r="Z1464" s="81" t="s">
        <v>58</v>
      </c>
      <c r="AA1464" s="81" t="s">
        <v>58</v>
      </c>
      <c r="AB1464" s="81" t="s">
        <v>58</v>
      </c>
      <c r="AC1464" s="83">
        <v>46126</v>
      </c>
    </row>
    <row r="1465" spans="2:29" ht="23" x14ac:dyDescent="0.35">
      <c r="B1465" s="81" t="s">
        <v>338</v>
      </c>
      <c r="C1465" s="81" t="s">
        <v>339</v>
      </c>
      <c r="D1465" s="81" t="s">
        <v>340</v>
      </c>
      <c r="E1465" s="81" t="s">
        <v>564</v>
      </c>
      <c r="F1465" s="162" t="s">
        <v>565</v>
      </c>
      <c r="G1465" s="163"/>
      <c r="H1465" s="81" t="s">
        <v>1927</v>
      </c>
      <c r="I1465" s="81" t="s">
        <v>1928</v>
      </c>
      <c r="J1465" s="81" t="s">
        <v>153</v>
      </c>
      <c r="K1465" s="81" t="s">
        <v>1943</v>
      </c>
      <c r="L1465" s="81" t="s">
        <v>58</v>
      </c>
      <c r="M1465" s="164">
        <v>4.6493180000000001</v>
      </c>
      <c r="N1465" s="165"/>
      <c r="O1465" s="163"/>
      <c r="P1465" s="82">
        <v>400</v>
      </c>
      <c r="Q1465" s="164">
        <v>0</v>
      </c>
      <c r="R1465" s="163"/>
      <c r="S1465" s="81" t="s">
        <v>58</v>
      </c>
      <c r="T1465" s="82">
        <v>0</v>
      </c>
      <c r="U1465" s="82">
        <v>0</v>
      </c>
      <c r="V1465" s="82">
        <v>0</v>
      </c>
      <c r="W1465" s="82">
        <v>0</v>
      </c>
      <c r="X1465" s="81"/>
      <c r="Y1465" s="81"/>
      <c r="Z1465" s="81" t="s">
        <v>58</v>
      </c>
      <c r="AA1465" s="81" t="s">
        <v>58</v>
      </c>
      <c r="AB1465" s="81" t="s">
        <v>58</v>
      </c>
      <c r="AC1465" s="83">
        <v>46126</v>
      </c>
    </row>
    <row r="1466" spans="2:29" ht="23" x14ac:dyDescent="0.35">
      <c r="B1466" s="81" t="s">
        <v>338</v>
      </c>
      <c r="C1466" s="81" t="s">
        <v>339</v>
      </c>
      <c r="D1466" s="81" t="s">
        <v>340</v>
      </c>
      <c r="E1466" s="81" t="s">
        <v>564</v>
      </c>
      <c r="F1466" s="162" t="s">
        <v>565</v>
      </c>
      <c r="G1466" s="163"/>
      <c r="H1466" s="81" t="s">
        <v>1927</v>
      </c>
      <c r="I1466" s="81" t="s">
        <v>1928</v>
      </c>
      <c r="J1466" s="81" t="s">
        <v>153</v>
      </c>
      <c r="K1466" s="81" t="s">
        <v>1944</v>
      </c>
      <c r="L1466" s="81" t="s">
        <v>58</v>
      </c>
      <c r="M1466" s="164">
        <v>4.6493180000000001</v>
      </c>
      <c r="N1466" s="165"/>
      <c r="O1466" s="163"/>
      <c r="P1466" s="82">
        <v>400</v>
      </c>
      <c r="Q1466" s="164">
        <v>0</v>
      </c>
      <c r="R1466" s="163"/>
      <c r="S1466" s="81" t="s">
        <v>58</v>
      </c>
      <c r="T1466" s="82">
        <v>0</v>
      </c>
      <c r="U1466" s="82">
        <v>0</v>
      </c>
      <c r="V1466" s="82">
        <v>0</v>
      </c>
      <c r="W1466" s="82">
        <v>0</v>
      </c>
      <c r="X1466" s="81"/>
      <c r="Y1466" s="81"/>
      <c r="Z1466" s="81" t="s">
        <v>58</v>
      </c>
      <c r="AA1466" s="81" t="s">
        <v>58</v>
      </c>
      <c r="AB1466" s="81" t="s">
        <v>58</v>
      </c>
      <c r="AC1466" s="83">
        <v>46126</v>
      </c>
    </row>
    <row r="1467" spans="2:29" ht="23" x14ac:dyDescent="0.35">
      <c r="B1467" s="81" t="s">
        <v>338</v>
      </c>
      <c r="C1467" s="81" t="s">
        <v>339</v>
      </c>
      <c r="D1467" s="81" t="s">
        <v>340</v>
      </c>
      <c r="E1467" s="81" t="s">
        <v>564</v>
      </c>
      <c r="F1467" s="162" t="s">
        <v>565</v>
      </c>
      <c r="G1467" s="163"/>
      <c r="H1467" s="81" t="s">
        <v>1927</v>
      </c>
      <c r="I1467" s="81" t="s">
        <v>1928</v>
      </c>
      <c r="J1467" s="81" t="s">
        <v>153</v>
      </c>
      <c r="K1467" s="81" t="s">
        <v>1945</v>
      </c>
      <c r="L1467" s="81" t="s">
        <v>58</v>
      </c>
      <c r="M1467" s="164">
        <v>4.6493180000000001</v>
      </c>
      <c r="N1467" s="165"/>
      <c r="O1467" s="163"/>
      <c r="P1467" s="82">
        <v>400</v>
      </c>
      <c r="Q1467" s="164">
        <v>0</v>
      </c>
      <c r="R1467" s="163"/>
      <c r="S1467" s="81" t="s">
        <v>58</v>
      </c>
      <c r="T1467" s="82">
        <v>0</v>
      </c>
      <c r="U1467" s="82">
        <v>0</v>
      </c>
      <c r="V1467" s="82">
        <v>0</v>
      </c>
      <c r="W1467" s="82">
        <v>0</v>
      </c>
      <c r="X1467" s="81"/>
      <c r="Y1467" s="81"/>
      <c r="Z1467" s="81" t="s">
        <v>58</v>
      </c>
      <c r="AA1467" s="81" t="s">
        <v>58</v>
      </c>
      <c r="AB1467" s="81" t="s">
        <v>58</v>
      </c>
      <c r="AC1467" s="83">
        <v>46126</v>
      </c>
    </row>
    <row r="1468" spans="2:29" ht="23" x14ac:dyDescent="0.35">
      <c r="B1468" s="81" t="s">
        <v>338</v>
      </c>
      <c r="C1468" s="81" t="s">
        <v>339</v>
      </c>
      <c r="D1468" s="81" t="s">
        <v>340</v>
      </c>
      <c r="E1468" s="81" t="s">
        <v>564</v>
      </c>
      <c r="F1468" s="162" t="s">
        <v>565</v>
      </c>
      <c r="G1468" s="163"/>
      <c r="H1468" s="81" t="s">
        <v>1927</v>
      </c>
      <c r="I1468" s="81" t="s">
        <v>1928</v>
      </c>
      <c r="J1468" s="81" t="s">
        <v>153</v>
      </c>
      <c r="K1468" s="81" t="s">
        <v>1946</v>
      </c>
      <c r="L1468" s="81" t="s">
        <v>58</v>
      </c>
      <c r="M1468" s="164">
        <v>4.6493180000000001</v>
      </c>
      <c r="N1468" s="165"/>
      <c r="O1468" s="163"/>
      <c r="P1468" s="82">
        <v>400</v>
      </c>
      <c r="Q1468" s="164">
        <v>0</v>
      </c>
      <c r="R1468" s="163"/>
      <c r="S1468" s="81" t="s">
        <v>58</v>
      </c>
      <c r="T1468" s="82">
        <v>0</v>
      </c>
      <c r="U1468" s="82">
        <v>0</v>
      </c>
      <c r="V1468" s="82">
        <v>0</v>
      </c>
      <c r="W1468" s="82">
        <v>0</v>
      </c>
      <c r="X1468" s="81"/>
      <c r="Y1468" s="81"/>
      <c r="Z1468" s="81" t="s">
        <v>58</v>
      </c>
      <c r="AA1468" s="81" t="s">
        <v>58</v>
      </c>
      <c r="AB1468" s="81" t="s">
        <v>58</v>
      </c>
      <c r="AC1468" s="83">
        <v>46126</v>
      </c>
    </row>
    <row r="1469" spans="2:29" ht="23" x14ac:dyDescent="0.35">
      <c r="B1469" s="81" t="s">
        <v>338</v>
      </c>
      <c r="C1469" s="81" t="s">
        <v>339</v>
      </c>
      <c r="D1469" s="81" t="s">
        <v>340</v>
      </c>
      <c r="E1469" s="81" t="s">
        <v>564</v>
      </c>
      <c r="F1469" s="162" t="s">
        <v>565</v>
      </c>
      <c r="G1469" s="163"/>
      <c r="H1469" s="81" t="s">
        <v>1927</v>
      </c>
      <c r="I1469" s="81" t="s">
        <v>1928</v>
      </c>
      <c r="J1469" s="81" t="s">
        <v>153</v>
      </c>
      <c r="K1469" s="81" t="s">
        <v>1947</v>
      </c>
      <c r="L1469" s="81" t="s">
        <v>58</v>
      </c>
      <c r="M1469" s="164">
        <v>4.6493180000000001</v>
      </c>
      <c r="N1469" s="165"/>
      <c r="O1469" s="163"/>
      <c r="P1469" s="82">
        <v>400</v>
      </c>
      <c r="Q1469" s="164">
        <v>0</v>
      </c>
      <c r="R1469" s="163"/>
      <c r="S1469" s="81" t="s">
        <v>58</v>
      </c>
      <c r="T1469" s="82">
        <v>0</v>
      </c>
      <c r="U1469" s="82">
        <v>0</v>
      </c>
      <c r="V1469" s="82">
        <v>0</v>
      </c>
      <c r="W1469" s="82">
        <v>0</v>
      </c>
      <c r="X1469" s="81"/>
      <c r="Y1469" s="81"/>
      <c r="Z1469" s="81" t="s">
        <v>58</v>
      </c>
      <c r="AA1469" s="81" t="s">
        <v>58</v>
      </c>
      <c r="AB1469" s="81" t="s">
        <v>58</v>
      </c>
      <c r="AC1469" s="83">
        <v>46126</v>
      </c>
    </row>
    <row r="1470" spans="2:29" ht="23" x14ac:dyDescent="0.35">
      <c r="B1470" s="81" t="s">
        <v>338</v>
      </c>
      <c r="C1470" s="81" t="s">
        <v>339</v>
      </c>
      <c r="D1470" s="81" t="s">
        <v>340</v>
      </c>
      <c r="E1470" s="81" t="s">
        <v>564</v>
      </c>
      <c r="F1470" s="162" t="s">
        <v>565</v>
      </c>
      <c r="G1470" s="163"/>
      <c r="H1470" s="81" t="s">
        <v>1927</v>
      </c>
      <c r="I1470" s="81" t="s">
        <v>1928</v>
      </c>
      <c r="J1470" s="81" t="s">
        <v>153</v>
      </c>
      <c r="K1470" s="81" t="s">
        <v>1948</v>
      </c>
      <c r="L1470" s="81" t="s">
        <v>58</v>
      </c>
      <c r="M1470" s="164">
        <v>1.55752153</v>
      </c>
      <c r="N1470" s="165"/>
      <c r="O1470" s="163"/>
      <c r="P1470" s="82">
        <v>134</v>
      </c>
      <c r="Q1470" s="164">
        <v>0</v>
      </c>
      <c r="R1470" s="163"/>
      <c r="S1470" s="81" t="s">
        <v>58</v>
      </c>
      <c r="T1470" s="82">
        <v>0</v>
      </c>
      <c r="U1470" s="82">
        <v>0</v>
      </c>
      <c r="V1470" s="82">
        <v>0</v>
      </c>
      <c r="W1470" s="82">
        <v>0</v>
      </c>
      <c r="X1470" s="81"/>
      <c r="Y1470" s="81"/>
      <c r="Z1470" s="81" t="s">
        <v>58</v>
      </c>
      <c r="AA1470" s="81" t="s">
        <v>58</v>
      </c>
      <c r="AB1470" s="81" t="s">
        <v>58</v>
      </c>
      <c r="AC1470" s="83">
        <v>46126</v>
      </c>
    </row>
    <row r="1471" spans="2:29" ht="23" x14ac:dyDescent="0.35">
      <c r="B1471" s="81" t="s">
        <v>338</v>
      </c>
      <c r="C1471" s="81" t="s">
        <v>339</v>
      </c>
      <c r="D1471" s="81" t="s">
        <v>340</v>
      </c>
      <c r="E1471" s="81" t="s">
        <v>564</v>
      </c>
      <c r="F1471" s="162" t="s">
        <v>565</v>
      </c>
      <c r="G1471" s="163"/>
      <c r="H1471" s="81" t="s">
        <v>1927</v>
      </c>
      <c r="I1471" s="81" t="s">
        <v>1928</v>
      </c>
      <c r="J1471" s="81" t="s">
        <v>153</v>
      </c>
      <c r="K1471" s="81" t="s">
        <v>1949</v>
      </c>
      <c r="L1471" s="81" t="s">
        <v>58</v>
      </c>
      <c r="M1471" s="164">
        <v>4.7627160000000002</v>
      </c>
      <c r="N1471" s="165"/>
      <c r="O1471" s="163"/>
      <c r="P1471" s="82">
        <v>400</v>
      </c>
      <c r="Q1471" s="164">
        <v>0</v>
      </c>
      <c r="R1471" s="163"/>
      <c r="S1471" s="81" t="s">
        <v>58</v>
      </c>
      <c r="T1471" s="82">
        <v>0</v>
      </c>
      <c r="U1471" s="82">
        <v>0</v>
      </c>
      <c r="V1471" s="82">
        <v>0</v>
      </c>
      <c r="W1471" s="82">
        <v>0</v>
      </c>
      <c r="X1471" s="81"/>
      <c r="Y1471" s="81"/>
      <c r="Z1471" s="81" t="s">
        <v>58</v>
      </c>
      <c r="AA1471" s="81" t="s">
        <v>58</v>
      </c>
      <c r="AB1471" s="81" t="s">
        <v>58</v>
      </c>
      <c r="AC1471" s="83">
        <v>46126</v>
      </c>
    </row>
    <row r="1472" spans="2:29" ht="23" x14ac:dyDescent="0.35">
      <c r="B1472" s="81" t="s">
        <v>338</v>
      </c>
      <c r="C1472" s="81" t="s">
        <v>339</v>
      </c>
      <c r="D1472" s="81" t="s">
        <v>340</v>
      </c>
      <c r="E1472" s="81" t="s">
        <v>564</v>
      </c>
      <c r="F1472" s="162" t="s">
        <v>565</v>
      </c>
      <c r="G1472" s="163"/>
      <c r="H1472" s="81" t="s">
        <v>1927</v>
      </c>
      <c r="I1472" s="81" t="s">
        <v>1928</v>
      </c>
      <c r="J1472" s="81" t="s">
        <v>153</v>
      </c>
      <c r="K1472" s="81" t="s">
        <v>1950</v>
      </c>
      <c r="L1472" s="81" t="s">
        <v>58</v>
      </c>
      <c r="M1472" s="164">
        <v>4.7627160000000002</v>
      </c>
      <c r="N1472" s="165"/>
      <c r="O1472" s="163"/>
      <c r="P1472" s="82">
        <v>400</v>
      </c>
      <c r="Q1472" s="164">
        <v>0</v>
      </c>
      <c r="R1472" s="163"/>
      <c r="S1472" s="81" t="s">
        <v>58</v>
      </c>
      <c r="T1472" s="82">
        <v>0</v>
      </c>
      <c r="U1472" s="82">
        <v>0</v>
      </c>
      <c r="V1472" s="82">
        <v>0</v>
      </c>
      <c r="W1472" s="82">
        <v>0</v>
      </c>
      <c r="X1472" s="81"/>
      <c r="Y1472" s="81"/>
      <c r="Z1472" s="81" t="s">
        <v>58</v>
      </c>
      <c r="AA1472" s="81" t="s">
        <v>58</v>
      </c>
      <c r="AB1472" s="81" t="s">
        <v>58</v>
      </c>
      <c r="AC1472" s="83">
        <v>46126</v>
      </c>
    </row>
    <row r="1473" spans="2:29" ht="23" x14ac:dyDescent="0.35">
      <c r="B1473" s="81" t="s">
        <v>338</v>
      </c>
      <c r="C1473" s="81" t="s">
        <v>339</v>
      </c>
      <c r="D1473" s="81" t="s">
        <v>340</v>
      </c>
      <c r="E1473" s="81" t="s">
        <v>564</v>
      </c>
      <c r="F1473" s="162" t="s">
        <v>565</v>
      </c>
      <c r="G1473" s="163"/>
      <c r="H1473" s="81" t="s">
        <v>1927</v>
      </c>
      <c r="I1473" s="81" t="s">
        <v>1928</v>
      </c>
      <c r="J1473" s="81" t="s">
        <v>153</v>
      </c>
      <c r="K1473" s="81" t="s">
        <v>1951</v>
      </c>
      <c r="L1473" s="81" t="s">
        <v>58</v>
      </c>
      <c r="M1473" s="164">
        <v>4.7627160000000002</v>
      </c>
      <c r="N1473" s="165"/>
      <c r="O1473" s="163"/>
      <c r="P1473" s="82">
        <v>400</v>
      </c>
      <c r="Q1473" s="164">
        <v>0</v>
      </c>
      <c r="R1473" s="163"/>
      <c r="S1473" s="81" t="s">
        <v>58</v>
      </c>
      <c r="T1473" s="82">
        <v>0</v>
      </c>
      <c r="U1473" s="82">
        <v>0</v>
      </c>
      <c r="V1473" s="82">
        <v>0</v>
      </c>
      <c r="W1473" s="82">
        <v>0</v>
      </c>
      <c r="X1473" s="81"/>
      <c r="Y1473" s="81"/>
      <c r="Z1473" s="81" t="s">
        <v>58</v>
      </c>
      <c r="AA1473" s="81" t="s">
        <v>58</v>
      </c>
      <c r="AB1473" s="81" t="s">
        <v>58</v>
      </c>
      <c r="AC1473" s="83">
        <v>46126</v>
      </c>
    </row>
    <row r="1474" spans="2:29" ht="23" x14ac:dyDescent="0.35">
      <c r="B1474" s="81" t="s">
        <v>338</v>
      </c>
      <c r="C1474" s="81" t="s">
        <v>339</v>
      </c>
      <c r="D1474" s="81" t="s">
        <v>340</v>
      </c>
      <c r="E1474" s="81" t="s">
        <v>564</v>
      </c>
      <c r="F1474" s="162" t="s">
        <v>565</v>
      </c>
      <c r="G1474" s="163"/>
      <c r="H1474" s="81" t="s">
        <v>1927</v>
      </c>
      <c r="I1474" s="81" t="s">
        <v>1928</v>
      </c>
      <c r="J1474" s="81" t="s">
        <v>153</v>
      </c>
      <c r="K1474" s="81" t="s">
        <v>1952</v>
      </c>
      <c r="L1474" s="81" t="s">
        <v>58</v>
      </c>
      <c r="M1474" s="164">
        <v>4.7627160000000002</v>
      </c>
      <c r="N1474" s="165"/>
      <c r="O1474" s="163"/>
      <c r="P1474" s="82">
        <v>400</v>
      </c>
      <c r="Q1474" s="164">
        <v>0</v>
      </c>
      <c r="R1474" s="163"/>
      <c r="S1474" s="81" t="s">
        <v>58</v>
      </c>
      <c r="T1474" s="82">
        <v>0</v>
      </c>
      <c r="U1474" s="82">
        <v>0</v>
      </c>
      <c r="V1474" s="82">
        <v>0</v>
      </c>
      <c r="W1474" s="82">
        <v>0</v>
      </c>
      <c r="X1474" s="81"/>
      <c r="Y1474" s="81"/>
      <c r="Z1474" s="81" t="s">
        <v>58</v>
      </c>
      <c r="AA1474" s="81" t="s">
        <v>58</v>
      </c>
      <c r="AB1474" s="81" t="s">
        <v>58</v>
      </c>
      <c r="AC1474" s="83">
        <v>46126</v>
      </c>
    </row>
    <row r="1475" spans="2:29" ht="23" x14ac:dyDescent="0.35">
      <c r="B1475" s="81" t="s">
        <v>338</v>
      </c>
      <c r="C1475" s="81" t="s">
        <v>339</v>
      </c>
      <c r="D1475" s="81" t="s">
        <v>340</v>
      </c>
      <c r="E1475" s="81" t="s">
        <v>564</v>
      </c>
      <c r="F1475" s="162" t="s">
        <v>565</v>
      </c>
      <c r="G1475" s="163"/>
      <c r="H1475" s="81" t="s">
        <v>1927</v>
      </c>
      <c r="I1475" s="81" t="s">
        <v>1928</v>
      </c>
      <c r="J1475" s="81" t="s">
        <v>153</v>
      </c>
      <c r="K1475" s="81" t="s">
        <v>1953</v>
      </c>
      <c r="L1475" s="81" t="s">
        <v>58</v>
      </c>
      <c r="M1475" s="164">
        <v>4.7627160000000002</v>
      </c>
      <c r="N1475" s="165"/>
      <c r="O1475" s="163"/>
      <c r="P1475" s="82">
        <v>400</v>
      </c>
      <c r="Q1475" s="164">
        <v>0</v>
      </c>
      <c r="R1475" s="163"/>
      <c r="S1475" s="81" t="s">
        <v>58</v>
      </c>
      <c r="T1475" s="82">
        <v>0</v>
      </c>
      <c r="U1475" s="82">
        <v>0</v>
      </c>
      <c r="V1475" s="82">
        <v>0</v>
      </c>
      <c r="W1475" s="82">
        <v>0</v>
      </c>
      <c r="X1475" s="81"/>
      <c r="Y1475" s="81"/>
      <c r="Z1475" s="81" t="s">
        <v>58</v>
      </c>
      <c r="AA1475" s="81" t="s">
        <v>58</v>
      </c>
      <c r="AB1475" s="81" t="s">
        <v>58</v>
      </c>
      <c r="AC1475" s="83">
        <v>46126</v>
      </c>
    </row>
    <row r="1476" spans="2:29" ht="23" x14ac:dyDescent="0.35">
      <c r="B1476" s="81" t="s">
        <v>338</v>
      </c>
      <c r="C1476" s="81" t="s">
        <v>339</v>
      </c>
      <c r="D1476" s="81" t="s">
        <v>340</v>
      </c>
      <c r="E1476" s="81" t="s">
        <v>564</v>
      </c>
      <c r="F1476" s="162" t="s">
        <v>565</v>
      </c>
      <c r="G1476" s="163"/>
      <c r="H1476" s="81" t="s">
        <v>1927</v>
      </c>
      <c r="I1476" s="81" t="s">
        <v>1928</v>
      </c>
      <c r="J1476" s="81" t="s">
        <v>153</v>
      </c>
      <c r="K1476" s="81" t="s">
        <v>1954</v>
      </c>
      <c r="L1476" s="81" t="s">
        <v>58</v>
      </c>
      <c r="M1476" s="164">
        <v>4.7627160000000002</v>
      </c>
      <c r="N1476" s="165"/>
      <c r="O1476" s="163"/>
      <c r="P1476" s="82">
        <v>400</v>
      </c>
      <c r="Q1476" s="164">
        <v>0</v>
      </c>
      <c r="R1476" s="163"/>
      <c r="S1476" s="81" t="s">
        <v>58</v>
      </c>
      <c r="T1476" s="82">
        <v>0</v>
      </c>
      <c r="U1476" s="82">
        <v>0</v>
      </c>
      <c r="V1476" s="82">
        <v>0</v>
      </c>
      <c r="W1476" s="82">
        <v>0</v>
      </c>
      <c r="X1476" s="81"/>
      <c r="Y1476" s="81"/>
      <c r="Z1476" s="81" t="s">
        <v>58</v>
      </c>
      <c r="AA1476" s="81" t="s">
        <v>58</v>
      </c>
      <c r="AB1476" s="81" t="s">
        <v>58</v>
      </c>
      <c r="AC1476" s="83">
        <v>46126</v>
      </c>
    </row>
    <row r="1477" spans="2:29" ht="23" x14ac:dyDescent="0.35">
      <c r="B1477" s="81" t="s">
        <v>338</v>
      </c>
      <c r="C1477" s="81" t="s">
        <v>339</v>
      </c>
      <c r="D1477" s="81" t="s">
        <v>340</v>
      </c>
      <c r="E1477" s="81" t="s">
        <v>564</v>
      </c>
      <c r="F1477" s="162" t="s">
        <v>565</v>
      </c>
      <c r="G1477" s="163"/>
      <c r="H1477" s="81" t="s">
        <v>1927</v>
      </c>
      <c r="I1477" s="81" t="s">
        <v>1928</v>
      </c>
      <c r="J1477" s="81" t="s">
        <v>153</v>
      </c>
      <c r="K1477" s="81" t="s">
        <v>1955</v>
      </c>
      <c r="L1477" s="81" t="s">
        <v>58</v>
      </c>
      <c r="M1477" s="164">
        <v>4.7627160000000002</v>
      </c>
      <c r="N1477" s="165"/>
      <c r="O1477" s="163"/>
      <c r="P1477" s="82">
        <v>400</v>
      </c>
      <c r="Q1477" s="164">
        <v>0</v>
      </c>
      <c r="R1477" s="163"/>
      <c r="S1477" s="81" t="s">
        <v>58</v>
      </c>
      <c r="T1477" s="82">
        <v>0</v>
      </c>
      <c r="U1477" s="82">
        <v>0</v>
      </c>
      <c r="V1477" s="82">
        <v>0</v>
      </c>
      <c r="W1477" s="82">
        <v>0</v>
      </c>
      <c r="X1477" s="81"/>
      <c r="Y1477" s="81"/>
      <c r="Z1477" s="81" t="s">
        <v>58</v>
      </c>
      <c r="AA1477" s="81" t="s">
        <v>58</v>
      </c>
      <c r="AB1477" s="81" t="s">
        <v>58</v>
      </c>
      <c r="AC1477" s="83">
        <v>46126</v>
      </c>
    </row>
    <row r="1478" spans="2:29" ht="23" x14ac:dyDescent="0.35">
      <c r="B1478" s="81" t="s">
        <v>338</v>
      </c>
      <c r="C1478" s="81" t="s">
        <v>339</v>
      </c>
      <c r="D1478" s="81" t="s">
        <v>340</v>
      </c>
      <c r="E1478" s="81" t="s">
        <v>564</v>
      </c>
      <c r="F1478" s="162" t="s">
        <v>565</v>
      </c>
      <c r="G1478" s="163"/>
      <c r="H1478" s="81" t="s">
        <v>1927</v>
      </c>
      <c r="I1478" s="81" t="s">
        <v>1928</v>
      </c>
      <c r="J1478" s="81" t="s">
        <v>153</v>
      </c>
      <c r="K1478" s="81" t="s">
        <v>1956</v>
      </c>
      <c r="L1478" s="81" t="s">
        <v>58</v>
      </c>
      <c r="M1478" s="164">
        <v>1.4050012199999999</v>
      </c>
      <c r="N1478" s="165"/>
      <c r="O1478" s="163"/>
      <c r="P1478" s="82">
        <v>118</v>
      </c>
      <c r="Q1478" s="164">
        <v>0</v>
      </c>
      <c r="R1478" s="163"/>
      <c r="S1478" s="81" t="s">
        <v>58</v>
      </c>
      <c r="T1478" s="82">
        <v>0</v>
      </c>
      <c r="U1478" s="82">
        <v>0</v>
      </c>
      <c r="V1478" s="82">
        <v>0</v>
      </c>
      <c r="W1478" s="82">
        <v>0</v>
      </c>
      <c r="X1478" s="81"/>
      <c r="Y1478" s="81"/>
      <c r="Z1478" s="81" t="s">
        <v>58</v>
      </c>
      <c r="AA1478" s="81" t="s">
        <v>58</v>
      </c>
      <c r="AB1478" s="81" t="s">
        <v>58</v>
      </c>
      <c r="AC1478" s="83">
        <v>46126</v>
      </c>
    </row>
    <row r="1479" spans="2:29" ht="23" x14ac:dyDescent="0.35">
      <c r="B1479" s="81" t="s">
        <v>338</v>
      </c>
      <c r="C1479" s="81" t="s">
        <v>339</v>
      </c>
      <c r="D1479" s="81" t="s">
        <v>340</v>
      </c>
      <c r="E1479" s="81" t="s">
        <v>564</v>
      </c>
      <c r="F1479" s="162" t="s">
        <v>565</v>
      </c>
      <c r="G1479" s="163"/>
      <c r="H1479" s="81" t="s">
        <v>1927</v>
      </c>
      <c r="I1479" s="81" t="s">
        <v>1928</v>
      </c>
      <c r="J1479" s="81" t="s">
        <v>153</v>
      </c>
      <c r="K1479" s="81" t="s">
        <v>1957</v>
      </c>
      <c r="L1479" s="81" t="s">
        <v>58</v>
      </c>
      <c r="M1479" s="164">
        <v>4.8761140000000003</v>
      </c>
      <c r="N1479" s="165"/>
      <c r="O1479" s="163"/>
      <c r="P1479" s="82">
        <v>400</v>
      </c>
      <c r="Q1479" s="164">
        <v>0</v>
      </c>
      <c r="R1479" s="163"/>
      <c r="S1479" s="81" t="s">
        <v>58</v>
      </c>
      <c r="T1479" s="82">
        <v>0</v>
      </c>
      <c r="U1479" s="82">
        <v>0</v>
      </c>
      <c r="V1479" s="82">
        <v>0</v>
      </c>
      <c r="W1479" s="82">
        <v>0</v>
      </c>
      <c r="X1479" s="81"/>
      <c r="Y1479" s="81"/>
      <c r="Z1479" s="81" t="s">
        <v>58</v>
      </c>
      <c r="AA1479" s="81" t="s">
        <v>58</v>
      </c>
      <c r="AB1479" s="81" t="s">
        <v>58</v>
      </c>
      <c r="AC1479" s="83">
        <v>46126</v>
      </c>
    </row>
    <row r="1480" spans="2:29" ht="23" x14ac:dyDescent="0.35">
      <c r="B1480" s="81" t="s">
        <v>338</v>
      </c>
      <c r="C1480" s="81" t="s">
        <v>339</v>
      </c>
      <c r="D1480" s="81" t="s">
        <v>340</v>
      </c>
      <c r="E1480" s="81" t="s">
        <v>564</v>
      </c>
      <c r="F1480" s="162" t="s">
        <v>565</v>
      </c>
      <c r="G1480" s="163"/>
      <c r="H1480" s="81" t="s">
        <v>1927</v>
      </c>
      <c r="I1480" s="81" t="s">
        <v>1928</v>
      </c>
      <c r="J1480" s="81" t="s">
        <v>153</v>
      </c>
      <c r="K1480" s="81" t="s">
        <v>1958</v>
      </c>
      <c r="L1480" s="81" t="s">
        <v>58</v>
      </c>
      <c r="M1480" s="164">
        <v>4.8761140000000003</v>
      </c>
      <c r="N1480" s="165"/>
      <c r="O1480" s="163"/>
      <c r="P1480" s="82">
        <v>400</v>
      </c>
      <c r="Q1480" s="164">
        <v>0</v>
      </c>
      <c r="R1480" s="163"/>
      <c r="S1480" s="81" t="s">
        <v>58</v>
      </c>
      <c r="T1480" s="82">
        <v>0</v>
      </c>
      <c r="U1480" s="82">
        <v>0</v>
      </c>
      <c r="V1480" s="82">
        <v>0</v>
      </c>
      <c r="W1480" s="82">
        <v>0</v>
      </c>
      <c r="X1480" s="81"/>
      <c r="Y1480" s="81"/>
      <c r="Z1480" s="81" t="s">
        <v>58</v>
      </c>
      <c r="AA1480" s="81" t="s">
        <v>58</v>
      </c>
      <c r="AB1480" s="81" t="s">
        <v>58</v>
      </c>
      <c r="AC1480" s="83">
        <v>46126</v>
      </c>
    </row>
    <row r="1481" spans="2:29" ht="23" x14ac:dyDescent="0.35">
      <c r="B1481" s="81" t="s">
        <v>338</v>
      </c>
      <c r="C1481" s="81" t="s">
        <v>339</v>
      </c>
      <c r="D1481" s="81" t="s">
        <v>340</v>
      </c>
      <c r="E1481" s="81" t="s">
        <v>564</v>
      </c>
      <c r="F1481" s="162" t="s">
        <v>565</v>
      </c>
      <c r="G1481" s="163"/>
      <c r="H1481" s="81" t="s">
        <v>1927</v>
      </c>
      <c r="I1481" s="81" t="s">
        <v>1928</v>
      </c>
      <c r="J1481" s="81" t="s">
        <v>153</v>
      </c>
      <c r="K1481" s="81" t="s">
        <v>1959</v>
      </c>
      <c r="L1481" s="81" t="s">
        <v>58</v>
      </c>
      <c r="M1481" s="164">
        <v>4.8761140000000003</v>
      </c>
      <c r="N1481" s="165"/>
      <c r="O1481" s="163"/>
      <c r="P1481" s="82">
        <v>400</v>
      </c>
      <c r="Q1481" s="164">
        <v>0</v>
      </c>
      <c r="R1481" s="163"/>
      <c r="S1481" s="81" t="s">
        <v>58</v>
      </c>
      <c r="T1481" s="82">
        <v>0</v>
      </c>
      <c r="U1481" s="82">
        <v>0</v>
      </c>
      <c r="V1481" s="82">
        <v>0</v>
      </c>
      <c r="W1481" s="82">
        <v>0</v>
      </c>
      <c r="X1481" s="81"/>
      <c r="Y1481" s="81"/>
      <c r="Z1481" s="81" t="s">
        <v>58</v>
      </c>
      <c r="AA1481" s="81" t="s">
        <v>58</v>
      </c>
      <c r="AB1481" s="81" t="s">
        <v>58</v>
      </c>
      <c r="AC1481" s="83">
        <v>46126</v>
      </c>
    </row>
    <row r="1482" spans="2:29" ht="23" x14ac:dyDescent="0.35">
      <c r="B1482" s="81" t="s">
        <v>338</v>
      </c>
      <c r="C1482" s="81" t="s">
        <v>339</v>
      </c>
      <c r="D1482" s="81" t="s">
        <v>340</v>
      </c>
      <c r="E1482" s="81" t="s">
        <v>564</v>
      </c>
      <c r="F1482" s="162" t="s">
        <v>565</v>
      </c>
      <c r="G1482" s="163"/>
      <c r="H1482" s="81" t="s">
        <v>1927</v>
      </c>
      <c r="I1482" s="81" t="s">
        <v>1928</v>
      </c>
      <c r="J1482" s="81" t="s">
        <v>153</v>
      </c>
      <c r="K1482" s="81" t="s">
        <v>1960</v>
      </c>
      <c r="L1482" s="81" t="s">
        <v>58</v>
      </c>
      <c r="M1482" s="164">
        <v>4.8761140000000003</v>
      </c>
      <c r="N1482" s="165"/>
      <c r="O1482" s="163"/>
      <c r="P1482" s="82">
        <v>400</v>
      </c>
      <c r="Q1482" s="164">
        <v>0</v>
      </c>
      <c r="R1482" s="163"/>
      <c r="S1482" s="81" t="s">
        <v>58</v>
      </c>
      <c r="T1482" s="82">
        <v>0</v>
      </c>
      <c r="U1482" s="82">
        <v>0</v>
      </c>
      <c r="V1482" s="82">
        <v>0</v>
      </c>
      <c r="W1482" s="82">
        <v>0</v>
      </c>
      <c r="X1482" s="81"/>
      <c r="Y1482" s="81"/>
      <c r="Z1482" s="81" t="s">
        <v>58</v>
      </c>
      <c r="AA1482" s="81" t="s">
        <v>58</v>
      </c>
      <c r="AB1482" s="81" t="s">
        <v>58</v>
      </c>
      <c r="AC1482" s="83">
        <v>46130</v>
      </c>
    </row>
    <row r="1483" spans="2:29" ht="23" x14ac:dyDescent="0.35">
      <c r="B1483" s="81" t="s">
        <v>338</v>
      </c>
      <c r="C1483" s="81" t="s">
        <v>339</v>
      </c>
      <c r="D1483" s="81" t="s">
        <v>340</v>
      </c>
      <c r="E1483" s="81" t="s">
        <v>564</v>
      </c>
      <c r="F1483" s="162" t="s">
        <v>565</v>
      </c>
      <c r="G1483" s="163"/>
      <c r="H1483" s="81" t="s">
        <v>1927</v>
      </c>
      <c r="I1483" s="81" t="s">
        <v>1928</v>
      </c>
      <c r="J1483" s="81" t="s">
        <v>153</v>
      </c>
      <c r="K1483" s="81" t="s">
        <v>1961</v>
      </c>
      <c r="L1483" s="81" t="s">
        <v>58</v>
      </c>
      <c r="M1483" s="164">
        <v>1.8529233199999999</v>
      </c>
      <c r="N1483" s="165"/>
      <c r="O1483" s="163"/>
      <c r="P1483" s="82">
        <v>152</v>
      </c>
      <c r="Q1483" s="164">
        <v>0</v>
      </c>
      <c r="R1483" s="163"/>
      <c r="S1483" s="81" t="s">
        <v>58</v>
      </c>
      <c r="T1483" s="82">
        <v>0</v>
      </c>
      <c r="U1483" s="82">
        <v>0</v>
      </c>
      <c r="V1483" s="82">
        <v>0</v>
      </c>
      <c r="W1483" s="82">
        <v>0</v>
      </c>
      <c r="X1483" s="81"/>
      <c r="Y1483" s="81"/>
      <c r="Z1483" s="81" t="s">
        <v>58</v>
      </c>
      <c r="AA1483" s="81" t="s">
        <v>58</v>
      </c>
      <c r="AB1483" s="81" t="s">
        <v>58</v>
      </c>
      <c r="AC1483" s="83">
        <v>46126</v>
      </c>
    </row>
    <row r="1484" spans="2:29" ht="23" x14ac:dyDescent="0.35">
      <c r="B1484" s="81" t="s">
        <v>338</v>
      </c>
      <c r="C1484" s="81" t="s">
        <v>339</v>
      </c>
      <c r="D1484" s="81" t="s">
        <v>340</v>
      </c>
      <c r="E1484" s="81" t="s">
        <v>564</v>
      </c>
      <c r="F1484" s="162" t="s">
        <v>565</v>
      </c>
      <c r="G1484" s="163"/>
      <c r="H1484" s="81" t="s">
        <v>1927</v>
      </c>
      <c r="I1484" s="81" t="s">
        <v>1928</v>
      </c>
      <c r="J1484" s="81" t="s">
        <v>153</v>
      </c>
      <c r="K1484" s="81" t="s">
        <v>1962</v>
      </c>
      <c r="L1484" s="81" t="s">
        <v>58</v>
      </c>
      <c r="M1484" s="164">
        <v>5.0121916000000004</v>
      </c>
      <c r="N1484" s="165"/>
      <c r="O1484" s="163"/>
      <c r="P1484" s="82">
        <v>400</v>
      </c>
      <c r="Q1484" s="164">
        <v>0</v>
      </c>
      <c r="R1484" s="163"/>
      <c r="S1484" s="81" t="s">
        <v>58</v>
      </c>
      <c r="T1484" s="82">
        <v>0</v>
      </c>
      <c r="U1484" s="82">
        <v>0</v>
      </c>
      <c r="V1484" s="82">
        <v>0</v>
      </c>
      <c r="W1484" s="82">
        <v>0</v>
      </c>
      <c r="X1484" s="81"/>
      <c r="Y1484" s="81"/>
      <c r="Z1484" s="81" t="s">
        <v>58</v>
      </c>
      <c r="AA1484" s="81" t="s">
        <v>58</v>
      </c>
      <c r="AB1484" s="81" t="s">
        <v>58</v>
      </c>
      <c r="AC1484" s="83">
        <v>46126</v>
      </c>
    </row>
    <row r="1485" spans="2:29" ht="23" x14ac:dyDescent="0.35">
      <c r="B1485" s="81" t="s">
        <v>338</v>
      </c>
      <c r="C1485" s="81" t="s">
        <v>339</v>
      </c>
      <c r="D1485" s="81" t="s">
        <v>340</v>
      </c>
      <c r="E1485" s="81" t="s">
        <v>564</v>
      </c>
      <c r="F1485" s="162" t="s">
        <v>565</v>
      </c>
      <c r="G1485" s="163"/>
      <c r="H1485" s="81" t="s">
        <v>1927</v>
      </c>
      <c r="I1485" s="81" t="s">
        <v>1928</v>
      </c>
      <c r="J1485" s="81" t="s">
        <v>153</v>
      </c>
      <c r="K1485" s="81" t="s">
        <v>1963</v>
      </c>
      <c r="L1485" s="81" t="s">
        <v>58</v>
      </c>
      <c r="M1485" s="164">
        <v>5.9143860879999997</v>
      </c>
      <c r="N1485" s="165"/>
      <c r="O1485" s="163"/>
      <c r="P1485" s="82">
        <v>472</v>
      </c>
      <c r="Q1485" s="164">
        <v>0</v>
      </c>
      <c r="R1485" s="163"/>
      <c r="S1485" s="81" t="s">
        <v>58</v>
      </c>
      <c r="T1485" s="82">
        <v>0</v>
      </c>
      <c r="U1485" s="82">
        <v>0</v>
      </c>
      <c r="V1485" s="82">
        <v>0</v>
      </c>
      <c r="W1485" s="82">
        <v>0</v>
      </c>
      <c r="X1485" s="81"/>
      <c r="Y1485" s="81"/>
      <c r="Z1485" s="81" t="s">
        <v>58</v>
      </c>
      <c r="AA1485" s="81" t="s">
        <v>58</v>
      </c>
      <c r="AB1485" s="81" t="s">
        <v>58</v>
      </c>
      <c r="AC1485" s="83">
        <v>46126</v>
      </c>
    </row>
    <row r="1486" spans="2:29" ht="23" x14ac:dyDescent="0.35">
      <c r="B1486" s="81" t="s">
        <v>338</v>
      </c>
      <c r="C1486" s="81" t="s">
        <v>339</v>
      </c>
      <c r="D1486" s="81" t="s">
        <v>340</v>
      </c>
      <c r="E1486" s="81" t="s">
        <v>564</v>
      </c>
      <c r="F1486" s="162" t="s">
        <v>565</v>
      </c>
      <c r="G1486" s="163"/>
      <c r="H1486" s="81" t="s">
        <v>1927</v>
      </c>
      <c r="I1486" s="81" t="s">
        <v>1928</v>
      </c>
      <c r="J1486" s="81" t="s">
        <v>153</v>
      </c>
      <c r="K1486" s="81" t="s">
        <v>1964</v>
      </c>
      <c r="L1486" s="81" t="s">
        <v>58</v>
      </c>
      <c r="M1486" s="164">
        <v>0.73028311999999995</v>
      </c>
      <c r="N1486" s="165"/>
      <c r="O1486" s="163"/>
      <c r="P1486" s="82">
        <v>56</v>
      </c>
      <c r="Q1486" s="164">
        <v>0</v>
      </c>
      <c r="R1486" s="163"/>
      <c r="S1486" s="81" t="s">
        <v>58</v>
      </c>
      <c r="T1486" s="82">
        <v>0</v>
      </c>
      <c r="U1486" s="82">
        <v>0</v>
      </c>
      <c r="V1486" s="82">
        <v>0</v>
      </c>
      <c r="W1486" s="82">
        <v>0</v>
      </c>
      <c r="X1486" s="81"/>
      <c r="Y1486" s="81"/>
      <c r="Z1486" s="81" t="s">
        <v>58</v>
      </c>
      <c r="AA1486" s="81" t="s">
        <v>58</v>
      </c>
      <c r="AB1486" s="81" t="s">
        <v>58</v>
      </c>
      <c r="AC1486" s="83">
        <v>46126</v>
      </c>
    </row>
    <row r="1487" spans="2:29" ht="23" x14ac:dyDescent="0.35">
      <c r="B1487" s="81" t="s">
        <v>338</v>
      </c>
      <c r="C1487" s="81" t="s">
        <v>339</v>
      </c>
      <c r="D1487" s="81" t="s">
        <v>340</v>
      </c>
      <c r="E1487" s="81" t="s">
        <v>564</v>
      </c>
      <c r="F1487" s="162" t="s">
        <v>565</v>
      </c>
      <c r="G1487" s="163"/>
      <c r="H1487" s="81" t="s">
        <v>1927</v>
      </c>
      <c r="I1487" s="81" t="s">
        <v>1928</v>
      </c>
      <c r="J1487" s="81" t="s">
        <v>153</v>
      </c>
      <c r="K1487" s="81" t="s">
        <v>1965</v>
      </c>
      <c r="L1487" s="81" t="s">
        <v>58</v>
      </c>
      <c r="M1487" s="164">
        <v>0.61943657500000004</v>
      </c>
      <c r="N1487" s="165"/>
      <c r="O1487" s="163"/>
      <c r="P1487" s="82">
        <v>46</v>
      </c>
      <c r="Q1487" s="164">
        <v>0</v>
      </c>
      <c r="R1487" s="163"/>
      <c r="S1487" s="81" t="s">
        <v>58</v>
      </c>
      <c r="T1487" s="82">
        <v>0</v>
      </c>
      <c r="U1487" s="82">
        <v>0</v>
      </c>
      <c r="V1487" s="82">
        <v>0</v>
      </c>
      <c r="W1487" s="82">
        <v>0</v>
      </c>
      <c r="X1487" s="81"/>
      <c r="Y1487" s="81"/>
      <c r="Z1487" s="81" t="s">
        <v>58</v>
      </c>
      <c r="AA1487" s="81" t="s">
        <v>58</v>
      </c>
      <c r="AB1487" s="81" t="s">
        <v>58</v>
      </c>
      <c r="AC1487" s="83">
        <v>46126</v>
      </c>
    </row>
    <row r="1488" spans="2:29" ht="23" x14ac:dyDescent="0.35">
      <c r="B1488" s="81" t="s">
        <v>338</v>
      </c>
      <c r="C1488" s="81" t="s">
        <v>339</v>
      </c>
      <c r="D1488" s="81" t="s">
        <v>340</v>
      </c>
      <c r="E1488" s="81" t="s">
        <v>564</v>
      </c>
      <c r="F1488" s="162" t="s">
        <v>565</v>
      </c>
      <c r="G1488" s="163"/>
      <c r="H1488" s="81" t="s">
        <v>1927</v>
      </c>
      <c r="I1488" s="81" t="s">
        <v>1928</v>
      </c>
      <c r="J1488" s="81" t="s">
        <v>153</v>
      </c>
      <c r="K1488" s="81" t="s">
        <v>1966</v>
      </c>
      <c r="L1488" s="81" t="s">
        <v>58</v>
      </c>
      <c r="M1488" s="164">
        <v>0.60724628999999997</v>
      </c>
      <c r="N1488" s="165"/>
      <c r="O1488" s="163"/>
      <c r="P1488" s="82">
        <v>42</v>
      </c>
      <c r="Q1488" s="164">
        <v>0</v>
      </c>
      <c r="R1488" s="163"/>
      <c r="S1488" s="81" t="s">
        <v>58</v>
      </c>
      <c r="T1488" s="82">
        <v>0</v>
      </c>
      <c r="U1488" s="82">
        <v>0</v>
      </c>
      <c r="V1488" s="82">
        <v>0</v>
      </c>
      <c r="W1488" s="82">
        <v>0</v>
      </c>
      <c r="X1488" s="81"/>
      <c r="Y1488" s="81"/>
      <c r="Z1488" s="81" t="s">
        <v>58</v>
      </c>
      <c r="AA1488" s="81" t="s">
        <v>58</v>
      </c>
      <c r="AB1488" s="81" t="s">
        <v>58</v>
      </c>
      <c r="AC1488" s="83">
        <v>46126</v>
      </c>
    </row>
    <row r="1489" spans="2:29" ht="23" x14ac:dyDescent="0.35">
      <c r="B1489" s="81" t="s">
        <v>338</v>
      </c>
      <c r="C1489" s="81" t="s">
        <v>339</v>
      </c>
      <c r="D1489" s="81" t="s">
        <v>340</v>
      </c>
      <c r="E1489" s="81" t="s">
        <v>564</v>
      </c>
      <c r="F1489" s="162" t="s">
        <v>565</v>
      </c>
      <c r="G1489" s="163"/>
      <c r="H1489" s="81" t="s">
        <v>1927</v>
      </c>
      <c r="I1489" s="81" t="s">
        <v>1928</v>
      </c>
      <c r="J1489" s="81" t="s">
        <v>153</v>
      </c>
      <c r="K1489" s="81" t="s">
        <v>1967</v>
      </c>
      <c r="L1489" s="81" t="s">
        <v>58</v>
      </c>
      <c r="M1489" s="164">
        <v>0.55111427999999996</v>
      </c>
      <c r="N1489" s="165"/>
      <c r="O1489" s="163"/>
      <c r="P1489" s="82">
        <v>36</v>
      </c>
      <c r="Q1489" s="164">
        <v>0</v>
      </c>
      <c r="R1489" s="163"/>
      <c r="S1489" s="81" t="s">
        <v>58</v>
      </c>
      <c r="T1489" s="82">
        <v>0</v>
      </c>
      <c r="U1489" s="82">
        <v>0</v>
      </c>
      <c r="V1489" s="82">
        <v>0</v>
      </c>
      <c r="W1489" s="82">
        <v>0</v>
      </c>
      <c r="X1489" s="81"/>
      <c r="Y1489" s="81"/>
      <c r="Z1489" s="81" t="s">
        <v>58</v>
      </c>
      <c r="AA1489" s="81" t="s">
        <v>58</v>
      </c>
      <c r="AB1489" s="81" t="s">
        <v>58</v>
      </c>
      <c r="AC1489" s="83">
        <v>46126</v>
      </c>
    </row>
    <row r="1490" spans="2:29" ht="23" x14ac:dyDescent="0.35">
      <c r="B1490" s="81" t="s">
        <v>338</v>
      </c>
      <c r="C1490" s="81" t="s">
        <v>339</v>
      </c>
      <c r="D1490" s="81" t="s">
        <v>340</v>
      </c>
      <c r="E1490" s="81" t="s">
        <v>603</v>
      </c>
      <c r="F1490" s="162" t="s">
        <v>604</v>
      </c>
      <c r="G1490" s="163"/>
      <c r="H1490" s="81" t="s">
        <v>1968</v>
      </c>
      <c r="I1490" s="81" t="s">
        <v>1436</v>
      </c>
      <c r="J1490" s="81" t="s">
        <v>154</v>
      </c>
      <c r="K1490" s="81" t="s">
        <v>1969</v>
      </c>
      <c r="L1490" s="81" t="s">
        <v>58</v>
      </c>
      <c r="M1490" s="164">
        <v>5.4431039999999999</v>
      </c>
      <c r="N1490" s="165"/>
      <c r="O1490" s="163"/>
      <c r="P1490" s="82">
        <v>200</v>
      </c>
      <c r="Q1490" s="164">
        <v>0</v>
      </c>
      <c r="R1490" s="163"/>
      <c r="S1490" s="81" t="s">
        <v>58</v>
      </c>
      <c r="T1490" s="82">
        <v>0</v>
      </c>
      <c r="U1490" s="82">
        <v>0</v>
      </c>
      <c r="V1490" s="82">
        <v>0</v>
      </c>
      <c r="W1490" s="82">
        <v>0</v>
      </c>
      <c r="X1490" s="81"/>
      <c r="Y1490" s="81"/>
      <c r="Z1490" s="81" t="s">
        <v>58</v>
      </c>
      <c r="AA1490" s="81" t="s">
        <v>58</v>
      </c>
      <c r="AB1490" s="81" t="s">
        <v>58</v>
      </c>
      <c r="AC1490" s="83">
        <v>46129</v>
      </c>
    </row>
    <row r="1491" spans="2:29" ht="23" x14ac:dyDescent="0.35">
      <c r="B1491" s="81" t="s">
        <v>338</v>
      </c>
      <c r="C1491" s="81" t="s">
        <v>339</v>
      </c>
      <c r="D1491" s="81" t="s">
        <v>340</v>
      </c>
      <c r="E1491" s="81" t="s">
        <v>603</v>
      </c>
      <c r="F1491" s="162" t="s">
        <v>604</v>
      </c>
      <c r="G1491" s="163"/>
      <c r="H1491" s="81" t="s">
        <v>1968</v>
      </c>
      <c r="I1491" s="81" t="s">
        <v>1436</v>
      </c>
      <c r="J1491" s="81" t="s">
        <v>154</v>
      </c>
      <c r="K1491" s="81" t="s">
        <v>1970</v>
      </c>
      <c r="L1491" s="81" t="s">
        <v>58</v>
      </c>
      <c r="M1491" s="164">
        <v>5.4431039999999999</v>
      </c>
      <c r="N1491" s="165"/>
      <c r="O1491" s="163"/>
      <c r="P1491" s="82">
        <v>200</v>
      </c>
      <c r="Q1491" s="164">
        <v>0</v>
      </c>
      <c r="R1491" s="163"/>
      <c r="S1491" s="81" t="s">
        <v>58</v>
      </c>
      <c r="T1491" s="82">
        <v>0</v>
      </c>
      <c r="U1491" s="82">
        <v>0</v>
      </c>
      <c r="V1491" s="82">
        <v>0</v>
      </c>
      <c r="W1491" s="82">
        <v>0</v>
      </c>
      <c r="X1491" s="81"/>
      <c r="Y1491" s="81"/>
      <c r="Z1491" s="81" t="s">
        <v>58</v>
      </c>
      <c r="AA1491" s="81" t="s">
        <v>58</v>
      </c>
      <c r="AB1491" s="81" t="s">
        <v>58</v>
      </c>
      <c r="AC1491" s="83">
        <v>46129</v>
      </c>
    </row>
    <row r="1492" spans="2:29" ht="23" x14ac:dyDescent="0.35">
      <c r="B1492" s="81" t="s">
        <v>338</v>
      </c>
      <c r="C1492" s="81" t="s">
        <v>339</v>
      </c>
      <c r="D1492" s="81" t="s">
        <v>340</v>
      </c>
      <c r="E1492" s="81" t="s">
        <v>603</v>
      </c>
      <c r="F1492" s="162" t="s">
        <v>604</v>
      </c>
      <c r="G1492" s="163"/>
      <c r="H1492" s="81" t="s">
        <v>1968</v>
      </c>
      <c r="I1492" s="81" t="s">
        <v>1436</v>
      </c>
      <c r="J1492" s="81" t="s">
        <v>154</v>
      </c>
      <c r="K1492" s="81" t="s">
        <v>1971</v>
      </c>
      <c r="L1492" s="81" t="s">
        <v>58</v>
      </c>
      <c r="M1492" s="164">
        <v>5.6608281600000003</v>
      </c>
      <c r="N1492" s="165"/>
      <c r="O1492" s="163"/>
      <c r="P1492" s="82">
        <v>208</v>
      </c>
      <c r="Q1492" s="164">
        <v>0</v>
      </c>
      <c r="R1492" s="163"/>
      <c r="S1492" s="81" t="s">
        <v>58</v>
      </c>
      <c r="T1492" s="82">
        <v>0</v>
      </c>
      <c r="U1492" s="82">
        <v>0</v>
      </c>
      <c r="V1492" s="82">
        <v>0</v>
      </c>
      <c r="W1492" s="82">
        <v>0</v>
      </c>
      <c r="X1492" s="81"/>
      <c r="Y1492" s="81"/>
      <c r="Z1492" s="81" t="s">
        <v>58</v>
      </c>
      <c r="AA1492" s="81" t="s">
        <v>58</v>
      </c>
      <c r="AB1492" s="81" t="s">
        <v>58</v>
      </c>
      <c r="AC1492" s="83">
        <v>46129</v>
      </c>
    </row>
    <row r="1493" spans="2:29" ht="23" x14ac:dyDescent="0.35">
      <c r="B1493" s="81" t="s">
        <v>338</v>
      </c>
      <c r="C1493" s="81" t="s">
        <v>339</v>
      </c>
      <c r="D1493" s="81" t="s">
        <v>340</v>
      </c>
      <c r="E1493" s="81" t="s">
        <v>603</v>
      </c>
      <c r="F1493" s="162" t="s">
        <v>604</v>
      </c>
      <c r="G1493" s="163"/>
      <c r="H1493" s="81" t="s">
        <v>1968</v>
      </c>
      <c r="I1493" s="81" t="s">
        <v>1436</v>
      </c>
      <c r="J1493" s="81" t="s">
        <v>154</v>
      </c>
      <c r="K1493" s="81" t="s">
        <v>1972</v>
      </c>
      <c r="L1493" s="81" t="s">
        <v>58</v>
      </c>
      <c r="M1493" s="164">
        <v>5.6415505000000001</v>
      </c>
      <c r="N1493" s="165"/>
      <c r="O1493" s="163"/>
      <c r="P1493" s="82">
        <v>200</v>
      </c>
      <c r="Q1493" s="164">
        <v>0</v>
      </c>
      <c r="R1493" s="163"/>
      <c r="S1493" s="81" t="s">
        <v>58</v>
      </c>
      <c r="T1493" s="82">
        <v>0</v>
      </c>
      <c r="U1493" s="82">
        <v>0</v>
      </c>
      <c r="V1493" s="82">
        <v>0</v>
      </c>
      <c r="W1493" s="82">
        <v>0</v>
      </c>
      <c r="X1493" s="81"/>
      <c r="Y1493" s="81"/>
      <c r="Z1493" s="81" t="s">
        <v>58</v>
      </c>
      <c r="AA1493" s="81" t="s">
        <v>58</v>
      </c>
      <c r="AB1493" s="81" t="s">
        <v>58</v>
      </c>
      <c r="AC1493" s="83">
        <v>46129</v>
      </c>
    </row>
    <row r="1494" spans="2:29" ht="23" x14ac:dyDescent="0.35">
      <c r="B1494" s="81" t="s">
        <v>338</v>
      </c>
      <c r="C1494" s="81" t="s">
        <v>339</v>
      </c>
      <c r="D1494" s="81" t="s">
        <v>340</v>
      </c>
      <c r="E1494" s="81" t="s">
        <v>603</v>
      </c>
      <c r="F1494" s="162" t="s">
        <v>604</v>
      </c>
      <c r="G1494" s="163"/>
      <c r="H1494" s="81" t="s">
        <v>1968</v>
      </c>
      <c r="I1494" s="81" t="s">
        <v>1436</v>
      </c>
      <c r="J1494" s="81" t="s">
        <v>154</v>
      </c>
      <c r="K1494" s="81" t="s">
        <v>1973</v>
      </c>
      <c r="L1494" s="81" t="s">
        <v>58</v>
      </c>
      <c r="M1494" s="164">
        <v>5.6415505000000001</v>
      </c>
      <c r="N1494" s="165"/>
      <c r="O1494" s="163"/>
      <c r="P1494" s="82">
        <v>200</v>
      </c>
      <c r="Q1494" s="164">
        <v>0</v>
      </c>
      <c r="R1494" s="163"/>
      <c r="S1494" s="81" t="s">
        <v>58</v>
      </c>
      <c r="T1494" s="82">
        <v>0</v>
      </c>
      <c r="U1494" s="82">
        <v>0</v>
      </c>
      <c r="V1494" s="82">
        <v>0</v>
      </c>
      <c r="W1494" s="82">
        <v>0</v>
      </c>
      <c r="X1494" s="81"/>
      <c r="Y1494" s="81"/>
      <c r="Z1494" s="81" t="s">
        <v>58</v>
      </c>
      <c r="AA1494" s="81" t="s">
        <v>58</v>
      </c>
      <c r="AB1494" s="81" t="s">
        <v>58</v>
      </c>
      <c r="AC1494" s="83">
        <v>46127</v>
      </c>
    </row>
    <row r="1495" spans="2:29" ht="23" x14ac:dyDescent="0.35">
      <c r="B1495" s="81" t="s">
        <v>338</v>
      </c>
      <c r="C1495" s="81" t="s">
        <v>339</v>
      </c>
      <c r="D1495" s="81" t="s">
        <v>340</v>
      </c>
      <c r="E1495" s="81" t="s">
        <v>603</v>
      </c>
      <c r="F1495" s="162" t="s">
        <v>604</v>
      </c>
      <c r="G1495" s="163"/>
      <c r="H1495" s="81" t="s">
        <v>1968</v>
      </c>
      <c r="I1495" s="81" t="s">
        <v>1436</v>
      </c>
      <c r="J1495" s="81" t="s">
        <v>154</v>
      </c>
      <c r="K1495" s="81" t="s">
        <v>1974</v>
      </c>
      <c r="L1495" s="81" t="s">
        <v>58</v>
      </c>
      <c r="M1495" s="164">
        <v>5.6415505000000001</v>
      </c>
      <c r="N1495" s="165"/>
      <c r="O1495" s="163"/>
      <c r="P1495" s="82">
        <v>200</v>
      </c>
      <c r="Q1495" s="164">
        <v>0</v>
      </c>
      <c r="R1495" s="163"/>
      <c r="S1495" s="81" t="s">
        <v>58</v>
      </c>
      <c r="T1495" s="82">
        <v>0</v>
      </c>
      <c r="U1495" s="82">
        <v>0</v>
      </c>
      <c r="V1495" s="82">
        <v>0</v>
      </c>
      <c r="W1495" s="82">
        <v>0</v>
      </c>
      <c r="X1495" s="81"/>
      <c r="Y1495" s="81"/>
      <c r="Z1495" s="81" t="s">
        <v>58</v>
      </c>
      <c r="AA1495" s="81" t="s">
        <v>58</v>
      </c>
      <c r="AB1495" s="81" t="s">
        <v>58</v>
      </c>
      <c r="AC1495" s="83">
        <v>46127</v>
      </c>
    </row>
    <row r="1496" spans="2:29" ht="23" x14ac:dyDescent="0.35">
      <c r="B1496" s="81" t="s">
        <v>338</v>
      </c>
      <c r="C1496" s="81" t="s">
        <v>339</v>
      </c>
      <c r="D1496" s="81" t="s">
        <v>340</v>
      </c>
      <c r="E1496" s="81" t="s">
        <v>603</v>
      </c>
      <c r="F1496" s="162" t="s">
        <v>604</v>
      </c>
      <c r="G1496" s="163"/>
      <c r="H1496" s="81" t="s">
        <v>1968</v>
      </c>
      <c r="I1496" s="81" t="s">
        <v>1436</v>
      </c>
      <c r="J1496" s="81" t="s">
        <v>154</v>
      </c>
      <c r="K1496" s="81" t="s">
        <v>1975</v>
      </c>
      <c r="L1496" s="81" t="s">
        <v>58</v>
      </c>
      <c r="M1496" s="164">
        <v>5.6415505000000001</v>
      </c>
      <c r="N1496" s="165"/>
      <c r="O1496" s="163"/>
      <c r="P1496" s="82">
        <v>200</v>
      </c>
      <c r="Q1496" s="164">
        <v>0</v>
      </c>
      <c r="R1496" s="163"/>
      <c r="S1496" s="81" t="s">
        <v>58</v>
      </c>
      <c r="T1496" s="82">
        <v>0</v>
      </c>
      <c r="U1496" s="82">
        <v>0</v>
      </c>
      <c r="V1496" s="82">
        <v>0</v>
      </c>
      <c r="W1496" s="82">
        <v>0</v>
      </c>
      <c r="X1496" s="81"/>
      <c r="Y1496" s="81"/>
      <c r="Z1496" s="81" t="s">
        <v>58</v>
      </c>
      <c r="AA1496" s="81" t="s">
        <v>58</v>
      </c>
      <c r="AB1496" s="81" t="s">
        <v>58</v>
      </c>
      <c r="AC1496" s="83">
        <v>46127</v>
      </c>
    </row>
    <row r="1497" spans="2:29" ht="23" x14ac:dyDescent="0.35">
      <c r="B1497" s="81" t="s">
        <v>338</v>
      </c>
      <c r="C1497" s="81" t="s">
        <v>339</v>
      </c>
      <c r="D1497" s="81" t="s">
        <v>340</v>
      </c>
      <c r="E1497" s="81" t="s">
        <v>603</v>
      </c>
      <c r="F1497" s="162" t="s">
        <v>604</v>
      </c>
      <c r="G1497" s="163"/>
      <c r="H1497" s="81" t="s">
        <v>1968</v>
      </c>
      <c r="I1497" s="81" t="s">
        <v>1436</v>
      </c>
      <c r="J1497" s="81" t="s">
        <v>154</v>
      </c>
      <c r="K1497" s="81" t="s">
        <v>1976</v>
      </c>
      <c r="L1497" s="81" t="s">
        <v>58</v>
      </c>
      <c r="M1497" s="164">
        <v>5.6415505000000001</v>
      </c>
      <c r="N1497" s="165"/>
      <c r="O1497" s="163"/>
      <c r="P1497" s="82">
        <v>200</v>
      </c>
      <c r="Q1497" s="164">
        <v>0</v>
      </c>
      <c r="R1497" s="163"/>
      <c r="S1497" s="81" t="s">
        <v>58</v>
      </c>
      <c r="T1497" s="82">
        <v>0</v>
      </c>
      <c r="U1497" s="82">
        <v>0</v>
      </c>
      <c r="V1497" s="82">
        <v>0</v>
      </c>
      <c r="W1497" s="82">
        <v>0</v>
      </c>
      <c r="X1497" s="81"/>
      <c r="Y1497" s="81"/>
      <c r="Z1497" s="81" t="s">
        <v>58</v>
      </c>
      <c r="AA1497" s="81" t="s">
        <v>58</v>
      </c>
      <c r="AB1497" s="81" t="s">
        <v>58</v>
      </c>
      <c r="AC1497" s="83">
        <v>46127</v>
      </c>
    </row>
    <row r="1498" spans="2:29" ht="23" x14ac:dyDescent="0.35">
      <c r="B1498" s="81" t="s">
        <v>338</v>
      </c>
      <c r="C1498" s="81" t="s">
        <v>339</v>
      </c>
      <c r="D1498" s="81" t="s">
        <v>340</v>
      </c>
      <c r="E1498" s="81" t="s">
        <v>603</v>
      </c>
      <c r="F1498" s="162" t="s">
        <v>604</v>
      </c>
      <c r="G1498" s="163"/>
      <c r="H1498" s="81" t="s">
        <v>1968</v>
      </c>
      <c r="I1498" s="81" t="s">
        <v>1436</v>
      </c>
      <c r="J1498" s="81" t="s">
        <v>154</v>
      </c>
      <c r="K1498" s="81" t="s">
        <v>1977</v>
      </c>
      <c r="L1498" s="81" t="s">
        <v>58</v>
      </c>
      <c r="M1498" s="164">
        <v>5.6415505000000001</v>
      </c>
      <c r="N1498" s="165"/>
      <c r="O1498" s="163"/>
      <c r="P1498" s="82">
        <v>200</v>
      </c>
      <c r="Q1498" s="164">
        <v>0</v>
      </c>
      <c r="R1498" s="163"/>
      <c r="S1498" s="81" t="s">
        <v>58</v>
      </c>
      <c r="T1498" s="82">
        <v>0</v>
      </c>
      <c r="U1498" s="82">
        <v>0</v>
      </c>
      <c r="V1498" s="82">
        <v>0</v>
      </c>
      <c r="W1498" s="82">
        <v>0</v>
      </c>
      <c r="X1498" s="81"/>
      <c r="Y1498" s="81"/>
      <c r="Z1498" s="81" t="s">
        <v>58</v>
      </c>
      <c r="AA1498" s="81" t="s">
        <v>58</v>
      </c>
      <c r="AB1498" s="81" t="s">
        <v>58</v>
      </c>
      <c r="AC1498" s="83">
        <v>46127</v>
      </c>
    </row>
    <row r="1499" spans="2:29" ht="23" x14ac:dyDescent="0.35">
      <c r="B1499" s="81" t="s">
        <v>338</v>
      </c>
      <c r="C1499" s="81" t="s">
        <v>339</v>
      </c>
      <c r="D1499" s="81" t="s">
        <v>340</v>
      </c>
      <c r="E1499" s="81" t="s">
        <v>603</v>
      </c>
      <c r="F1499" s="162" t="s">
        <v>604</v>
      </c>
      <c r="G1499" s="163"/>
      <c r="H1499" s="81" t="s">
        <v>1968</v>
      </c>
      <c r="I1499" s="81" t="s">
        <v>1436</v>
      </c>
      <c r="J1499" s="81" t="s">
        <v>154</v>
      </c>
      <c r="K1499" s="81" t="s">
        <v>1978</v>
      </c>
      <c r="L1499" s="81" t="s">
        <v>58</v>
      </c>
      <c r="M1499" s="164">
        <v>5.6415505000000001</v>
      </c>
      <c r="N1499" s="165"/>
      <c r="O1499" s="163"/>
      <c r="P1499" s="82">
        <v>200</v>
      </c>
      <c r="Q1499" s="164">
        <v>0</v>
      </c>
      <c r="R1499" s="163"/>
      <c r="S1499" s="81" t="s">
        <v>58</v>
      </c>
      <c r="T1499" s="82">
        <v>0</v>
      </c>
      <c r="U1499" s="82">
        <v>0</v>
      </c>
      <c r="V1499" s="82">
        <v>0</v>
      </c>
      <c r="W1499" s="82">
        <v>0</v>
      </c>
      <c r="X1499" s="81"/>
      <c r="Y1499" s="81"/>
      <c r="Z1499" s="81" t="s">
        <v>58</v>
      </c>
      <c r="AA1499" s="81" t="s">
        <v>58</v>
      </c>
      <c r="AB1499" s="81" t="s">
        <v>58</v>
      </c>
      <c r="AC1499" s="83">
        <v>46127</v>
      </c>
    </row>
    <row r="1500" spans="2:29" ht="23" x14ac:dyDescent="0.35">
      <c r="B1500" s="81" t="s">
        <v>338</v>
      </c>
      <c r="C1500" s="81" t="s">
        <v>339</v>
      </c>
      <c r="D1500" s="81" t="s">
        <v>340</v>
      </c>
      <c r="E1500" s="81" t="s">
        <v>603</v>
      </c>
      <c r="F1500" s="162" t="s">
        <v>604</v>
      </c>
      <c r="G1500" s="163"/>
      <c r="H1500" s="81" t="s">
        <v>1968</v>
      </c>
      <c r="I1500" s="81" t="s">
        <v>1436</v>
      </c>
      <c r="J1500" s="81" t="s">
        <v>154</v>
      </c>
      <c r="K1500" s="81" t="s">
        <v>1979</v>
      </c>
      <c r="L1500" s="81" t="s">
        <v>58</v>
      </c>
      <c r="M1500" s="164">
        <v>5.6415505000000001</v>
      </c>
      <c r="N1500" s="165"/>
      <c r="O1500" s="163"/>
      <c r="P1500" s="82">
        <v>200</v>
      </c>
      <c r="Q1500" s="164">
        <v>0</v>
      </c>
      <c r="R1500" s="163"/>
      <c r="S1500" s="81" t="s">
        <v>58</v>
      </c>
      <c r="T1500" s="82">
        <v>0</v>
      </c>
      <c r="U1500" s="82">
        <v>0</v>
      </c>
      <c r="V1500" s="82">
        <v>0</v>
      </c>
      <c r="W1500" s="82">
        <v>0</v>
      </c>
      <c r="X1500" s="81"/>
      <c r="Y1500" s="81"/>
      <c r="Z1500" s="81" t="s">
        <v>58</v>
      </c>
      <c r="AA1500" s="81" t="s">
        <v>58</v>
      </c>
      <c r="AB1500" s="81" t="s">
        <v>58</v>
      </c>
      <c r="AC1500" s="83">
        <v>46129</v>
      </c>
    </row>
    <row r="1501" spans="2:29" ht="23" x14ac:dyDescent="0.35">
      <c r="B1501" s="81" t="s">
        <v>338</v>
      </c>
      <c r="C1501" s="81" t="s">
        <v>339</v>
      </c>
      <c r="D1501" s="81" t="s">
        <v>340</v>
      </c>
      <c r="E1501" s="81" t="s">
        <v>603</v>
      </c>
      <c r="F1501" s="162" t="s">
        <v>604</v>
      </c>
      <c r="G1501" s="163"/>
      <c r="H1501" s="81" t="s">
        <v>1968</v>
      </c>
      <c r="I1501" s="81" t="s">
        <v>1436</v>
      </c>
      <c r="J1501" s="81" t="s">
        <v>154</v>
      </c>
      <c r="K1501" s="81" t="s">
        <v>1980</v>
      </c>
      <c r="L1501" s="81" t="s">
        <v>58</v>
      </c>
      <c r="M1501" s="164">
        <v>2.8207752500000001</v>
      </c>
      <c r="N1501" s="165"/>
      <c r="O1501" s="163"/>
      <c r="P1501" s="82">
        <v>100</v>
      </c>
      <c r="Q1501" s="164">
        <v>0</v>
      </c>
      <c r="R1501" s="163"/>
      <c r="S1501" s="81" t="s">
        <v>58</v>
      </c>
      <c r="T1501" s="82">
        <v>0</v>
      </c>
      <c r="U1501" s="82">
        <v>0</v>
      </c>
      <c r="V1501" s="82">
        <v>0</v>
      </c>
      <c r="W1501" s="82">
        <v>0</v>
      </c>
      <c r="X1501" s="81"/>
      <c r="Y1501" s="81"/>
      <c r="Z1501" s="81" t="s">
        <v>58</v>
      </c>
      <c r="AA1501" s="81" t="s">
        <v>58</v>
      </c>
      <c r="AB1501" s="81" t="s">
        <v>58</v>
      </c>
      <c r="AC1501" s="83">
        <v>46129</v>
      </c>
    </row>
    <row r="1502" spans="2:29" ht="23" x14ac:dyDescent="0.35">
      <c r="B1502" s="81" t="s">
        <v>338</v>
      </c>
      <c r="C1502" s="81" t="s">
        <v>339</v>
      </c>
      <c r="D1502" s="81" t="s">
        <v>340</v>
      </c>
      <c r="E1502" s="81" t="s">
        <v>603</v>
      </c>
      <c r="F1502" s="162" t="s">
        <v>604</v>
      </c>
      <c r="G1502" s="163"/>
      <c r="H1502" s="81" t="s">
        <v>1968</v>
      </c>
      <c r="I1502" s="81" t="s">
        <v>1436</v>
      </c>
      <c r="J1502" s="81" t="s">
        <v>154</v>
      </c>
      <c r="K1502" s="81" t="s">
        <v>1981</v>
      </c>
      <c r="L1502" s="81" t="s">
        <v>58</v>
      </c>
      <c r="M1502" s="164">
        <v>5.8399970000000003</v>
      </c>
      <c r="N1502" s="165"/>
      <c r="O1502" s="163"/>
      <c r="P1502" s="82">
        <v>200</v>
      </c>
      <c r="Q1502" s="164">
        <v>0</v>
      </c>
      <c r="R1502" s="163"/>
      <c r="S1502" s="81" t="s">
        <v>58</v>
      </c>
      <c r="T1502" s="82">
        <v>0</v>
      </c>
      <c r="U1502" s="82">
        <v>0</v>
      </c>
      <c r="V1502" s="82">
        <v>0</v>
      </c>
      <c r="W1502" s="82">
        <v>0</v>
      </c>
      <c r="X1502" s="81"/>
      <c r="Y1502" s="81"/>
      <c r="Z1502" s="81" t="s">
        <v>58</v>
      </c>
      <c r="AA1502" s="81" t="s">
        <v>58</v>
      </c>
      <c r="AB1502" s="81" t="s">
        <v>58</v>
      </c>
      <c r="AC1502" s="83">
        <v>46130</v>
      </c>
    </row>
    <row r="1503" spans="2:29" ht="23" x14ac:dyDescent="0.35">
      <c r="B1503" s="81" t="s">
        <v>338</v>
      </c>
      <c r="C1503" s="81" t="s">
        <v>339</v>
      </c>
      <c r="D1503" s="81" t="s">
        <v>340</v>
      </c>
      <c r="E1503" s="81" t="s">
        <v>603</v>
      </c>
      <c r="F1503" s="162" t="s">
        <v>604</v>
      </c>
      <c r="G1503" s="163"/>
      <c r="H1503" s="81" t="s">
        <v>1968</v>
      </c>
      <c r="I1503" s="81" t="s">
        <v>1436</v>
      </c>
      <c r="J1503" s="81" t="s">
        <v>154</v>
      </c>
      <c r="K1503" s="81" t="s">
        <v>1982</v>
      </c>
      <c r="L1503" s="81" t="s">
        <v>58</v>
      </c>
      <c r="M1503" s="164">
        <v>5.8399970000000003</v>
      </c>
      <c r="N1503" s="165"/>
      <c r="O1503" s="163"/>
      <c r="P1503" s="82">
        <v>200</v>
      </c>
      <c r="Q1503" s="164">
        <v>0</v>
      </c>
      <c r="R1503" s="163"/>
      <c r="S1503" s="81" t="s">
        <v>58</v>
      </c>
      <c r="T1503" s="82">
        <v>0</v>
      </c>
      <c r="U1503" s="82">
        <v>0</v>
      </c>
      <c r="V1503" s="82">
        <v>0</v>
      </c>
      <c r="W1503" s="82">
        <v>0</v>
      </c>
      <c r="X1503" s="81"/>
      <c r="Y1503" s="81"/>
      <c r="Z1503" s="81" t="s">
        <v>58</v>
      </c>
      <c r="AA1503" s="81" t="s">
        <v>58</v>
      </c>
      <c r="AB1503" s="81" t="s">
        <v>58</v>
      </c>
      <c r="AC1503" s="83">
        <v>46130</v>
      </c>
    </row>
    <row r="1504" spans="2:29" ht="23" x14ac:dyDescent="0.35">
      <c r="B1504" s="81" t="s">
        <v>338</v>
      </c>
      <c r="C1504" s="81" t="s">
        <v>339</v>
      </c>
      <c r="D1504" s="81" t="s">
        <v>340</v>
      </c>
      <c r="E1504" s="81" t="s">
        <v>603</v>
      </c>
      <c r="F1504" s="162" t="s">
        <v>604</v>
      </c>
      <c r="G1504" s="163"/>
      <c r="H1504" s="81" t="s">
        <v>1968</v>
      </c>
      <c r="I1504" s="81" t="s">
        <v>1436</v>
      </c>
      <c r="J1504" s="81" t="s">
        <v>154</v>
      </c>
      <c r="K1504" s="81" t="s">
        <v>1983</v>
      </c>
      <c r="L1504" s="81" t="s">
        <v>58</v>
      </c>
      <c r="M1504" s="164">
        <v>5.8399970000000003</v>
      </c>
      <c r="N1504" s="165"/>
      <c r="O1504" s="163"/>
      <c r="P1504" s="82">
        <v>200</v>
      </c>
      <c r="Q1504" s="164">
        <v>0</v>
      </c>
      <c r="R1504" s="163"/>
      <c r="S1504" s="81" t="s">
        <v>58</v>
      </c>
      <c r="T1504" s="82">
        <v>0</v>
      </c>
      <c r="U1504" s="82">
        <v>0</v>
      </c>
      <c r="V1504" s="82">
        <v>0</v>
      </c>
      <c r="W1504" s="82">
        <v>0</v>
      </c>
      <c r="X1504" s="81"/>
      <c r="Y1504" s="81"/>
      <c r="Z1504" s="81" t="s">
        <v>58</v>
      </c>
      <c r="AA1504" s="81" t="s">
        <v>58</v>
      </c>
      <c r="AB1504" s="81" t="s">
        <v>58</v>
      </c>
      <c r="AC1504" s="83">
        <v>46130</v>
      </c>
    </row>
    <row r="1505" spans="2:29" ht="23" x14ac:dyDescent="0.35">
      <c r="B1505" s="81" t="s">
        <v>338</v>
      </c>
      <c r="C1505" s="81" t="s">
        <v>339</v>
      </c>
      <c r="D1505" s="81" t="s">
        <v>340</v>
      </c>
      <c r="E1505" s="81" t="s">
        <v>603</v>
      </c>
      <c r="F1505" s="162" t="s">
        <v>604</v>
      </c>
      <c r="G1505" s="163"/>
      <c r="H1505" s="81" t="s">
        <v>1968</v>
      </c>
      <c r="I1505" s="81" t="s">
        <v>1436</v>
      </c>
      <c r="J1505" s="81" t="s">
        <v>154</v>
      </c>
      <c r="K1505" s="81" t="s">
        <v>1984</v>
      </c>
      <c r="L1505" s="81" t="s">
        <v>58</v>
      </c>
      <c r="M1505" s="164">
        <v>5.8399970000000003</v>
      </c>
      <c r="N1505" s="165"/>
      <c r="O1505" s="163"/>
      <c r="P1505" s="82">
        <v>200</v>
      </c>
      <c r="Q1505" s="164">
        <v>0</v>
      </c>
      <c r="R1505" s="163"/>
      <c r="S1505" s="81" t="s">
        <v>58</v>
      </c>
      <c r="T1505" s="82">
        <v>0</v>
      </c>
      <c r="U1505" s="82">
        <v>0</v>
      </c>
      <c r="V1505" s="82">
        <v>0</v>
      </c>
      <c r="W1505" s="82">
        <v>0</v>
      </c>
      <c r="X1505" s="81"/>
      <c r="Y1505" s="81"/>
      <c r="Z1505" s="81" t="s">
        <v>58</v>
      </c>
      <c r="AA1505" s="81" t="s">
        <v>58</v>
      </c>
      <c r="AB1505" s="81" t="s">
        <v>58</v>
      </c>
      <c r="AC1505" s="83">
        <v>46130</v>
      </c>
    </row>
    <row r="1506" spans="2:29" ht="23" x14ac:dyDescent="0.35">
      <c r="B1506" s="81" t="s">
        <v>338</v>
      </c>
      <c r="C1506" s="81" t="s">
        <v>339</v>
      </c>
      <c r="D1506" s="81" t="s">
        <v>340</v>
      </c>
      <c r="E1506" s="81" t="s">
        <v>603</v>
      </c>
      <c r="F1506" s="162" t="s">
        <v>604</v>
      </c>
      <c r="G1506" s="163"/>
      <c r="H1506" s="81" t="s">
        <v>1968</v>
      </c>
      <c r="I1506" s="81" t="s">
        <v>1436</v>
      </c>
      <c r="J1506" s="81" t="s">
        <v>154</v>
      </c>
      <c r="K1506" s="81" t="s">
        <v>1985</v>
      </c>
      <c r="L1506" s="81" t="s">
        <v>58</v>
      </c>
      <c r="M1506" s="164">
        <v>5.8399970000000003</v>
      </c>
      <c r="N1506" s="165"/>
      <c r="O1506" s="163"/>
      <c r="P1506" s="82">
        <v>200</v>
      </c>
      <c r="Q1506" s="164">
        <v>0</v>
      </c>
      <c r="R1506" s="163"/>
      <c r="S1506" s="81" t="s">
        <v>58</v>
      </c>
      <c r="T1506" s="82">
        <v>0</v>
      </c>
      <c r="U1506" s="82">
        <v>0</v>
      </c>
      <c r="V1506" s="82">
        <v>0</v>
      </c>
      <c r="W1506" s="82">
        <v>0</v>
      </c>
      <c r="X1506" s="81"/>
      <c r="Y1506" s="81"/>
      <c r="Z1506" s="81" t="s">
        <v>58</v>
      </c>
      <c r="AA1506" s="81" t="s">
        <v>58</v>
      </c>
      <c r="AB1506" s="81" t="s">
        <v>58</v>
      </c>
      <c r="AC1506" s="83">
        <v>46130</v>
      </c>
    </row>
    <row r="1507" spans="2:29" ht="23" x14ac:dyDescent="0.35">
      <c r="B1507" s="81" t="s">
        <v>338</v>
      </c>
      <c r="C1507" s="81" t="s">
        <v>339</v>
      </c>
      <c r="D1507" s="81" t="s">
        <v>340</v>
      </c>
      <c r="E1507" s="81" t="s">
        <v>603</v>
      </c>
      <c r="F1507" s="162" t="s">
        <v>604</v>
      </c>
      <c r="G1507" s="163"/>
      <c r="H1507" s="81" t="s">
        <v>1968</v>
      </c>
      <c r="I1507" s="81" t="s">
        <v>1436</v>
      </c>
      <c r="J1507" s="81" t="s">
        <v>154</v>
      </c>
      <c r="K1507" s="81" t="s">
        <v>1986</v>
      </c>
      <c r="L1507" s="81" t="s">
        <v>58</v>
      </c>
      <c r="M1507" s="164">
        <v>5.8399970000000003</v>
      </c>
      <c r="N1507" s="165"/>
      <c r="O1507" s="163"/>
      <c r="P1507" s="82">
        <v>200</v>
      </c>
      <c r="Q1507" s="164">
        <v>0</v>
      </c>
      <c r="R1507" s="163"/>
      <c r="S1507" s="81" t="s">
        <v>58</v>
      </c>
      <c r="T1507" s="82">
        <v>0</v>
      </c>
      <c r="U1507" s="82">
        <v>0</v>
      </c>
      <c r="V1507" s="82">
        <v>0</v>
      </c>
      <c r="W1507" s="82">
        <v>0</v>
      </c>
      <c r="X1507" s="81"/>
      <c r="Y1507" s="81"/>
      <c r="Z1507" s="81" t="s">
        <v>58</v>
      </c>
      <c r="AA1507" s="81" t="s">
        <v>58</v>
      </c>
      <c r="AB1507" s="81" t="s">
        <v>58</v>
      </c>
      <c r="AC1507" s="83">
        <v>46130</v>
      </c>
    </row>
    <row r="1508" spans="2:29" ht="23" x14ac:dyDescent="0.35">
      <c r="B1508" s="81" t="s">
        <v>338</v>
      </c>
      <c r="C1508" s="81" t="s">
        <v>339</v>
      </c>
      <c r="D1508" s="81" t="s">
        <v>340</v>
      </c>
      <c r="E1508" s="81" t="s">
        <v>603</v>
      </c>
      <c r="F1508" s="162" t="s">
        <v>604</v>
      </c>
      <c r="G1508" s="163"/>
      <c r="H1508" s="81" t="s">
        <v>1968</v>
      </c>
      <c r="I1508" s="81" t="s">
        <v>1436</v>
      </c>
      <c r="J1508" s="81" t="s">
        <v>154</v>
      </c>
      <c r="K1508" s="81" t="s">
        <v>1987</v>
      </c>
      <c r="L1508" s="81" t="s">
        <v>58</v>
      </c>
      <c r="M1508" s="164">
        <v>5.8399970000000003</v>
      </c>
      <c r="N1508" s="165"/>
      <c r="O1508" s="163"/>
      <c r="P1508" s="82">
        <v>200</v>
      </c>
      <c r="Q1508" s="164">
        <v>0</v>
      </c>
      <c r="R1508" s="163"/>
      <c r="S1508" s="81" t="s">
        <v>58</v>
      </c>
      <c r="T1508" s="82">
        <v>0</v>
      </c>
      <c r="U1508" s="82">
        <v>0</v>
      </c>
      <c r="V1508" s="82">
        <v>0</v>
      </c>
      <c r="W1508" s="82">
        <v>0</v>
      </c>
      <c r="X1508" s="81"/>
      <c r="Y1508" s="81"/>
      <c r="Z1508" s="81" t="s">
        <v>58</v>
      </c>
      <c r="AA1508" s="81" t="s">
        <v>58</v>
      </c>
      <c r="AB1508" s="81" t="s">
        <v>58</v>
      </c>
      <c r="AC1508" s="83">
        <v>46130</v>
      </c>
    </row>
    <row r="1509" spans="2:29" ht="23" x14ac:dyDescent="0.35">
      <c r="B1509" s="81" t="s">
        <v>338</v>
      </c>
      <c r="C1509" s="81" t="s">
        <v>339</v>
      </c>
      <c r="D1509" s="81" t="s">
        <v>340</v>
      </c>
      <c r="E1509" s="81" t="s">
        <v>603</v>
      </c>
      <c r="F1509" s="162" t="s">
        <v>604</v>
      </c>
      <c r="G1509" s="163"/>
      <c r="H1509" s="81" t="s">
        <v>1968</v>
      </c>
      <c r="I1509" s="81" t="s">
        <v>1436</v>
      </c>
      <c r="J1509" s="81" t="s">
        <v>154</v>
      </c>
      <c r="K1509" s="81" t="s">
        <v>1988</v>
      </c>
      <c r="L1509" s="81" t="s">
        <v>58</v>
      </c>
      <c r="M1509" s="164">
        <v>5.8399970000000003</v>
      </c>
      <c r="N1509" s="165"/>
      <c r="O1509" s="163"/>
      <c r="P1509" s="82">
        <v>200</v>
      </c>
      <c r="Q1509" s="164">
        <v>0</v>
      </c>
      <c r="R1509" s="163"/>
      <c r="S1509" s="81" t="s">
        <v>58</v>
      </c>
      <c r="T1509" s="82">
        <v>0</v>
      </c>
      <c r="U1509" s="82">
        <v>0</v>
      </c>
      <c r="V1509" s="82">
        <v>0</v>
      </c>
      <c r="W1509" s="82">
        <v>0</v>
      </c>
      <c r="X1509" s="81"/>
      <c r="Y1509" s="81"/>
      <c r="Z1509" s="81" t="s">
        <v>58</v>
      </c>
      <c r="AA1509" s="81" t="s">
        <v>58</v>
      </c>
      <c r="AB1509" s="81" t="s">
        <v>58</v>
      </c>
      <c r="AC1509" s="83">
        <v>46130</v>
      </c>
    </row>
    <row r="1510" spans="2:29" ht="23" x14ac:dyDescent="0.35">
      <c r="B1510" s="81" t="s">
        <v>338</v>
      </c>
      <c r="C1510" s="81" t="s">
        <v>339</v>
      </c>
      <c r="D1510" s="81" t="s">
        <v>340</v>
      </c>
      <c r="E1510" s="81" t="s">
        <v>603</v>
      </c>
      <c r="F1510" s="162" t="s">
        <v>604</v>
      </c>
      <c r="G1510" s="163"/>
      <c r="H1510" s="81" t="s">
        <v>1968</v>
      </c>
      <c r="I1510" s="81" t="s">
        <v>1436</v>
      </c>
      <c r="J1510" s="81" t="s">
        <v>154</v>
      </c>
      <c r="K1510" s="81" t="s">
        <v>1989</v>
      </c>
      <c r="L1510" s="81" t="s">
        <v>58</v>
      </c>
      <c r="M1510" s="164">
        <v>5.8399970000000003</v>
      </c>
      <c r="N1510" s="165"/>
      <c r="O1510" s="163"/>
      <c r="P1510" s="82">
        <v>200</v>
      </c>
      <c r="Q1510" s="164">
        <v>0</v>
      </c>
      <c r="R1510" s="163"/>
      <c r="S1510" s="81" t="s">
        <v>58</v>
      </c>
      <c r="T1510" s="82">
        <v>0</v>
      </c>
      <c r="U1510" s="82">
        <v>0</v>
      </c>
      <c r="V1510" s="82">
        <v>0</v>
      </c>
      <c r="W1510" s="82">
        <v>0</v>
      </c>
      <c r="X1510" s="81"/>
      <c r="Y1510" s="81"/>
      <c r="Z1510" s="81" t="s">
        <v>58</v>
      </c>
      <c r="AA1510" s="81" t="s">
        <v>58</v>
      </c>
      <c r="AB1510" s="81" t="s">
        <v>58</v>
      </c>
      <c r="AC1510" s="83">
        <v>46130</v>
      </c>
    </row>
    <row r="1511" spans="2:29" ht="23" x14ac:dyDescent="0.35">
      <c r="B1511" s="81" t="s">
        <v>338</v>
      </c>
      <c r="C1511" s="81" t="s">
        <v>339</v>
      </c>
      <c r="D1511" s="81" t="s">
        <v>340</v>
      </c>
      <c r="E1511" s="81" t="s">
        <v>603</v>
      </c>
      <c r="F1511" s="162" t="s">
        <v>604</v>
      </c>
      <c r="G1511" s="163"/>
      <c r="H1511" s="81" t="s">
        <v>1968</v>
      </c>
      <c r="I1511" s="81" t="s">
        <v>1436</v>
      </c>
      <c r="J1511" s="81" t="s">
        <v>154</v>
      </c>
      <c r="K1511" s="81" t="s">
        <v>1990</v>
      </c>
      <c r="L1511" s="81" t="s">
        <v>58</v>
      </c>
      <c r="M1511" s="164">
        <v>5.8399970000000003</v>
      </c>
      <c r="N1511" s="165"/>
      <c r="O1511" s="163"/>
      <c r="P1511" s="82">
        <v>200</v>
      </c>
      <c r="Q1511" s="164">
        <v>0</v>
      </c>
      <c r="R1511" s="163"/>
      <c r="S1511" s="81" t="s">
        <v>58</v>
      </c>
      <c r="T1511" s="82">
        <v>0</v>
      </c>
      <c r="U1511" s="82">
        <v>0</v>
      </c>
      <c r="V1511" s="82">
        <v>0</v>
      </c>
      <c r="W1511" s="82">
        <v>0</v>
      </c>
      <c r="X1511" s="81"/>
      <c r="Y1511" s="81"/>
      <c r="Z1511" s="81" t="s">
        <v>58</v>
      </c>
      <c r="AA1511" s="81" t="s">
        <v>58</v>
      </c>
      <c r="AB1511" s="81" t="s">
        <v>58</v>
      </c>
      <c r="AC1511" s="83">
        <v>46130</v>
      </c>
    </row>
    <row r="1512" spans="2:29" ht="23" x14ac:dyDescent="0.35">
      <c r="B1512" s="81" t="s">
        <v>338</v>
      </c>
      <c r="C1512" s="81" t="s">
        <v>339</v>
      </c>
      <c r="D1512" s="81" t="s">
        <v>340</v>
      </c>
      <c r="E1512" s="81" t="s">
        <v>603</v>
      </c>
      <c r="F1512" s="162" t="s">
        <v>604</v>
      </c>
      <c r="G1512" s="163"/>
      <c r="H1512" s="81" t="s">
        <v>1968</v>
      </c>
      <c r="I1512" s="81" t="s">
        <v>1436</v>
      </c>
      <c r="J1512" s="81" t="s">
        <v>154</v>
      </c>
      <c r="K1512" s="81" t="s">
        <v>1991</v>
      </c>
      <c r="L1512" s="81" t="s">
        <v>58</v>
      </c>
      <c r="M1512" s="164">
        <v>2.2775988300000001</v>
      </c>
      <c r="N1512" s="165"/>
      <c r="O1512" s="163"/>
      <c r="P1512" s="82">
        <v>78</v>
      </c>
      <c r="Q1512" s="164">
        <v>0</v>
      </c>
      <c r="R1512" s="163"/>
      <c r="S1512" s="81" t="s">
        <v>58</v>
      </c>
      <c r="T1512" s="82">
        <v>0</v>
      </c>
      <c r="U1512" s="82">
        <v>0</v>
      </c>
      <c r="V1512" s="82">
        <v>0</v>
      </c>
      <c r="W1512" s="82">
        <v>0</v>
      </c>
      <c r="X1512" s="81"/>
      <c r="Y1512" s="81"/>
      <c r="Z1512" s="81" t="s">
        <v>58</v>
      </c>
      <c r="AA1512" s="81" t="s">
        <v>58</v>
      </c>
      <c r="AB1512" s="81" t="s">
        <v>58</v>
      </c>
      <c r="AC1512" s="83">
        <v>46130</v>
      </c>
    </row>
    <row r="1513" spans="2:29" ht="23" x14ac:dyDescent="0.35">
      <c r="B1513" s="81" t="s">
        <v>338</v>
      </c>
      <c r="C1513" s="81" t="s">
        <v>339</v>
      </c>
      <c r="D1513" s="81" t="s">
        <v>340</v>
      </c>
      <c r="E1513" s="81" t="s">
        <v>603</v>
      </c>
      <c r="F1513" s="162" t="s">
        <v>604</v>
      </c>
      <c r="G1513" s="163"/>
      <c r="H1513" s="81" t="s">
        <v>1968</v>
      </c>
      <c r="I1513" s="81" t="s">
        <v>1436</v>
      </c>
      <c r="J1513" s="81" t="s">
        <v>154</v>
      </c>
      <c r="K1513" s="81" t="s">
        <v>1992</v>
      </c>
      <c r="L1513" s="81" t="s">
        <v>58</v>
      </c>
      <c r="M1513" s="164">
        <v>6.0384434999999996</v>
      </c>
      <c r="N1513" s="165"/>
      <c r="O1513" s="163"/>
      <c r="P1513" s="82">
        <v>200</v>
      </c>
      <c r="Q1513" s="164">
        <v>0</v>
      </c>
      <c r="R1513" s="163"/>
      <c r="S1513" s="81" t="s">
        <v>58</v>
      </c>
      <c r="T1513" s="82">
        <v>0</v>
      </c>
      <c r="U1513" s="82">
        <v>0</v>
      </c>
      <c r="V1513" s="82">
        <v>0</v>
      </c>
      <c r="W1513" s="82">
        <v>0</v>
      </c>
      <c r="X1513" s="81"/>
      <c r="Y1513" s="81"/>
      <c r="Z1513" s="81" t="s">
        <v>58</v>
      </c>
      <c r="AA1513" s="81" t="s">
        <v>58</v>
      </c>
      <c r="AB1513" s="81" t="s">
        <v>58</v>
      </c>
      <c r="AC1513" s="83">
        <v>46130</v>
      </c>
    </row>
    <row r="1514" spans="2:29" ht="23" x14ac:dyDescent="0.35">
      <c r="B1514" s="81" t="s">
        <v>338</v>
      </c>
      <c r="C1514" s="81" t="s">
        <v>339</v>
      </c>
      <c r="D1514" s="81" t="s">
        <v>340</v>
      </c>
      <c r="E1514" s="81" t="s">
        <v>603</v>
      </c>
      <c r="F1514" s="162" t="s">
        <v>604</v>
      </c>
      <c r="G1514" s="163"/>
      <c r="H1514" s="81" t="s">
        <v>1968</v>
      </c>
      <c r="I1514" s="81" t="s">
        <v>1436</v>
      </c>
      <c r="J1514" s="81" t="s">
        <v>154</v>
      </c>
      <c r="K1514" s="81" t="s">
        <v>1993</v>
      </c>
      <c r="L1514" s="81" t="s">
        <v>58</v>
      </c>
      <c r="M1514" s="164">
        <v>6.0384434999999996</v>
      </c>
      <c r="N1514" s="165"/>
      <c r="O1514" s="163"/>
      <c r="P1514" s="82">
        <v>200</v>
      </c>
      <c r="Q1514" s="164">
        <v>0</v>
      </c>
      <c r="R1514" s="163"/>
      <c r="S1514" s="81" t="s">
        <v>58</v>
      </c>
      <c r="T1514" s="82">
        <v>0</v>
      </c>
      <c r="U1514" s="82">
        <v>0</v>
      </c>
      <c r="V1514" s="82">
        <v>0</v>
      </c>
      <c r="W1514" s="82">
        <v>0</v>
      </c>
      <c r="X1514" s="81"/>
      <c r="Y1514" s="81"/>
      <c r="Z1514" s="81" t="s">
        <v>58</v>
      </c>
      <c r="AA1514" s="81" t="s">
        <v>58</v>
      </c>
      <c r="AB1514" s="81" t="s">
        <v>58</v>
      </c>
      <c r="AC1514" s="83">
        <v>46130</v>
      </c>
    </row>
    <row r="1515" spans="2:29" ht="23" x14ac:dyDescent="0.35">
      <c r="B1515" s="81" t="s">
        <v>338</v>
      </c>
      <c r="C1515" s="81" t="s">
        <v>339</v>
      </c>
      <c r="D1515" s="81" t="s">
        <v>340</v>
      </c>
      <c r="E1515" s="81" t="s">
        <v>603</v>
      </c>
      <c r="F1515" s="162" t="s">
        <v>604</v>
      </c>
      <c r="G1515" s="163"/>
      <c r="H1515" s="81" t="s">
        <v>1968</v>
      </c>
      <c r="I1515" s="81" t="s">
        <v>1436</v>
      </c>
      <c r="J1515" s="81" t="s">
        <v>154</v>
      </c>
      <c r="K1515" s="81" t="s">
        <v>1994</v>
      </c>
      <c r="L1515" s="81" t="s">
        <v>58</v>
      </c>
      <c r="M1515" s="164">
        <v>6.0384434999999996</v>
      </c>
      <c r="N1515" s="165"/>
      <c r="O1515" s="163"/>
      <c r="P1515" s="82">
        <v>200</v>
      </c>
      <c r="Q1515" s="164">
        <v>0</v>
      </c>
      <c r="R1515" s="163"/>
      <c r="S1515" s="81" t="s">
        <v>58</v>
      </c>
      <c r="T1515" s="82">
        <v>0</v>
      </c>
      <c r="U1515" s="82">
        <v>0</v>
      </c>
      <c r="V1515" s="82">
        <v>0</v>
      </c>
      <c r="W1515" s="82">
        <v>0</v>
      </c>
      <c r="X1515" s="81"/>
      <c r="Y1515" s="81"/>
      <c r="Z1515" s="81" t="s">
        <v>58</v>
      </c>
      <c r="AA1515" s="81" t="s">
        <v>58</v>
      </c>
      <c r="AB1515" s="81" t="s">
        <v>58</v>
      </c>
      <c r="AC1515" s="83">
        <v>46130</v>
      </c>
    </row>
    <row r="1516" spans="2:29" ht="23" x14ac:dyDescent="0.35">
      <c r="B1516" s="81" t="s">
        <v>338</v>
      </c>
      <c r="C1516" s="81" t="s">
        <v>339</v>
      </c>
      <c r="D1516" s="81" t="s">
        <v>340</v>
      </c>
      <c r="E1516" s="81" t="s">
        <v>603</v>
      </c>
      <c r="F1516" s="162" t="s">
        <v>604</v>
      </c>
      <c r="G1516" s="163"/>
      <c r="H1516" s="81" t="s">
        <v>1968</v>
      </c>
      <c r="I1516" s="81" t="s">
        <v>1436</v>
      </c>
      <c r="J1516" s="81" t="s">
        <v>154</v>
      </c>
      <c r="K1516" s="81" t="s">
        <v>1995</v>
      </c>
      <c r="L1516" s="81" t="s">
        <v>58</v>
      </c>
      <c r="M1516" s="164">
        <v>6.0384434999999996</v>
      </c>
      <c r="N1516" s="165"/>
      <c r="O1516" s="163"/>
      <c r="P1516" s="82">
        <v>200</v>
      </c>
      <c r="Q1516" s="164">
        <v>0</v>
      </c>
      <c r="R1516" s="163"/>
      <c r="S1516" s="81" t="s">
        <v>58</v>
      </c>
      <c r="T1516" s="82">
        <v>0</v>
      </c>
      <c r="U1516" s="82">
        <v>0</v>
      </c>
      <c r="V1516" s="82">
        <v>0</v>
      </c>
      <c r="W1516" s="82">
        <v>0</v>
      </c>
      <c r="X1516" s="81"/>
      <c r="Y1516" s="81"/>
      <c r="Z1516" s="81" t="s">
        <v>58</v>
      </c>
      <c r="AA1516" s="81" t="s">
        <v>58</v>
      </c>
      <c r="AB1516" s="81" t="s">
        <v>58</v>
      </c>
      <c r="AC1516" s="83">
        <v>46130</v>
      </c>
    </row>
    <row r="1517" spans="2:29" ht="23" x14ac:dyDescent="0.35">
      <c r="B1517" s="81" t="s">
        <v>338</v>
      </c>
      <c r="C1517" s="81" t="s">
        <v>339</v>
      </c>
      <c r="D1517" s="81" t="s">
        <v>340</v>
      </c>
      <c r="E1517" s="81" t="s">
        <v>603</v>
      </c>
      <c r="F1517" s="162" t="s">
        <v>604</v>
      </c>
      <c r="G1517" s="163"/>
      <c r="H1517" s="81" t="s">
        <v>1968</v>
      </c>
      <c r="I1517" s="81" t="s">
        <v>1436</v>
      </c>
      <c r="J1517" s="81" t="s">
        <v>154</v>
      </c>
      <c r="K1517" s="81" t="s">
        <v>1996</v>
      </c>
      <c r="L1517" s="81" t="s">
        <v>58</v>
      </c>
      <c r="M1517" s="164">
        <v>6.0384434999999996</v>
      </c>
      <c r="N1517" s="165"/>
      <c r="O1517" s="163"/>
      <c r="P1517" s="82">
        <v>200</v>
      </c>
      <c r="Q1517" s="164">
        <v>0</v>
      </c>
      <c r="R1517" s="163"/>
      <c r="S1517" s="81" t="s">
        <v>58</v>
      </c>
      <c r="T1517" s="82">
        <v>0</v>
      </c>
      <c r="U1517" s="82">
        <v>0</v>
      </c>
      <c r="V1517" s="82">
        <v>0</v>
      </c>
      <c r="W1517" s="82">
        <v>0</v>
      </c>
      <c r="X1517" s="81"/>
      <c r="Y1517" s="81"/>
      <c r="Z1517" s="81" t="s">
        <v>58</v>
      </c>
      <c r="AA1517" s="81" t="s">
        <v>58</v>
      </c>
      <c r="AB1517" s="81" t="s">
        <v>58</v>
      </c>
      <c r="AC1517" s="83">
        <v>46130</v>
      </c>
    </row>
    <row r="1518" spans="2:29" ht="23" x14ac:dyDescent="0.35">
      <c r="B1518" s="81" t="s">
        <v>338</v>
      </c>
      <c r="C1518" s="81" t="s">
        <v>339</v>
      </c>
      <c r="D1518" s="81" t="s">
        <v>340</v>
      </c>
      <c r="E1518" s="81" t="s">
        <v>603</v>
      </c>
      <c r="F1518" s="162" t="s">
        <v>604</v>
      </c>
      <c r="G1518" s="163"/>
      <c r="H1518" s="81" t="s">
        <v>1968</v>
      </c>
      <c r="I1518" s="81" t="s">
        <v>1436</v>
      </c>
      <c r="J1518" s="81" t="s">
        <v>154</v>
      </c>
      <c r="K1518" s="81" t="s">
        <v>1997</v>
      </c>
      <c r="L1518" s="81" t="s">
        <v>58</v>
      </c>
      <c r="M1518" s="164">
        <v>6.0384434999999996</v>
      </c>
      <c r="N1518" s="165"/>
      <c r="O1518" s="163"/>
      <c r="P1518" s="82">
        <v>200</v>
      </c>
      <c r="Q1518" s="164">
        <v>0</v>
      </c>
      <c r="R1518" s="163"/>
      <c r="S1518" s="81" t="s">
        <v>58</v>
      </c>
      <c r="T1518" s="82">
        <v>0</v>
      </c>
      <c r="U1518" s="82">
        <v>0</v>
      </c>
      <c r="V1518" s="82">
        <v>0</v>
      </c>
      <c r="W1518" s="82">
        <v>0</v>
      </c>
      <c r="X1518" s="81"/>
      <c r="Y1518" s="81"/>
      <c r="Z1518" s="81" t="s">
        <v>58</v>
      </c>
      <c r="AA1518" s="81" t="s">
        <v>58</v>
      </c>
      <c r="AB1518" s="81" t="s">
        <v>58</v>
      </c>
      <c r="AC1518" s="83">
        <v>46130</v>
      </c>
    </row>
    <row r="1519" spans="2:29" ht="23" x14ac:dyDescent="0.35">
      <c r="B1519" s="81" t="s">
        <v>338</v>
      </c>
      <c r="C1519" s="81" t="s">
        <v>339</v>
      </c>
      <c r="D1519" s="81" t="s">
        <v>340</v>
      </c>
      <c r="E1519" s="81" t="s">
        <v>603</v>
      </c>
      <c r="F1519" s="162" t="s">
        <v>604</v>
      </c>
      <c r="G1519" s="163"/>
      <c r="H1519" s="81" t="s">
        <v>1968</v>
      </c>
      <c r="I1519" s="81" t="s">
        <v>1436</v>
      </c>
      <c r="J1519" s="81" t="s">
        <v>154</v>
      </c>
      <c r="K1519" s="81" t="s">
        <v>1998</v>
      </c>
      <c r="L1519" s="81" t="s">
        <v>58</v>
      </c>
      <c r="M1519" s="164">
        <v>6.0384434999999996</v>
      </c>
      <c r="N1519" s="165"/>
      <c r="O1519" s="163"/>
      <c r="P1519" s="82">
        <v>200</v>
      </c>
      <c r="Q1519" s="164">
        <v>0</v>
      </c>
      <c r="R1519" s="163"/>
      <c r="S1519" s="81" t="s">
        <v>58</v>
      </c>
      <c r="T1519" s="82">
        <v>0</v>
      </c>
      <c r="U1519" s="82">
        <v>0</v>
      </c>
      <c r="V1519" s="82">
        <v>0</v>
      </c>
      <c r="W1519" s="82">
        <v>0</v>
      </c>
      <c r="X1519" s="81"/>
      <c r="Y1519" s="81"/>
      <c r="Z1519" s="81" t="s">
        <v>58</v>
      </c>
      <c r="AA1519" s="81" t="s">
        <v>58</v>
      </c>
      <c r="AB1519" s="81" t="s">
        <v>58</v>
      </c>
      <c r="AC1519" s="83">
        <v>46130</v>
      </c>
    </row>
    <row r="1520" spans="2:29" ht="23" x14ac:dyDescent="0.35">
      <c r="B1520" s="81" t="s">
        <v>338</v>
      </c>
      <c r="C1520" s="81" t="s">
        <v>339</v>
      </c>
      <c r="D1520" s="81" t="s">
        <v>340</v>
      </c>
      <c r="E1520" s="81" t="s">
        <v>603</v>
      </c>
      <c r="F1520" s="162" t="s">
        <v>604</v>
      </c>
      <c r="G1520" s="163"/>
      <c r="H1520" s="81" t="s">
        <v>1968</v>
      </c>
      <c r="I1520" s="81" t="s">
        <v>1436</v>
      </c>
      <c r="J1520" s="81" t="s">
        <v>154</v>
      </c>
      <c r="K1520" s="81" t="s">
        <v>1999</v>
      </c>
      <c r="L1520" s="81" t="s">
        <v>58</v>
      </c>
      <c r="M1520" s="164">
        <v>6.1894045875000003</v>
      </c>
      <c r="N1520" s="165"/>
      <c r="O1520" s="163"/>
      <c r="P1520" s="82">
        <v>205</v>
      </c>
      <c r="Q1520" s="164">
        <v>0</v>
      </c>
      <c r="R1520" s="163"/>
      <c r="S1520" s="81" t="s">
        <v>58</v>
      </c>
      <c r="T1520" s="82">
        <v>0</v>
      </c>
      <c r="U1520" s="82">
        <v>0</v>
      </c>
      <c r="V1520" s="82">
        <v>0</v>
      </c>
      <c r="W1520" s="82">
        <v>0</v>
      </c>
      <c r="X1520" s="81"/>
      <c r="Y1520" s="81"/>
      <c r="Z1520" s="81" t="s">
        <v>58</v>
      </c>
      <c r="AA1520" s="81" t="s">
        <v>58</v>
      </c>
      <c r="AB1520" s="81" t="s">
        <v>58</v>
      </c>
      <c r="AC1520" s="83">
        <v>46130</v>
      </c>
    </row>
    <row r="1521" spans="2:29" ht="23" x14ac:dyDescent="0.35">
      <c r="B1521" s="81" t="s">
        <v>338</v>
      </c>
      <c r="C1521" s="81" t="s">
        <v>339</v>
      </c>
      <c r="D1521" s="81" t="s">
        <v>340</v>
      </c>
      <c r="E1521" s="81" t="s">
        <v>603</v>
      </c>
      <c r="F1521" s="162" t="s">
        <v>604</v>
      </c>
      <c r="G1521" s="163"/>
      <c r="H1521" s="81" t="s">
        <v>1968</v>
      </c>
      <c r="I1521" s="81" t="s">
        <v>1436</v>
      </c>
      <c r="J1521" s="81" t="s">
        <v>154</v>
      </c>
      <c r="K1521" s="81" t="s">
        <v>2000</v>
      </c>
      <c r="L1521" s="81" t="s">
        <v>58</v>
      </c>
      <c r="M1521" s="164">
        <v>6.2368899999999998</v>
      </c>
      <c r="N1521" s="165"/>
      <c r="O1521" s="163"/>
      <c r="P1521" s="82">
        <v>200</v>
      </c>
      <c r="Q1521" s="164">
        <v>0</v>
      </c>
      <c r="R1521" s="163"/>
      <c r="S1521" s="81" t="s">
        <v>58</v>
      </c>
      <c r="T1521" s="82">
        <v>0</v>
      </c>
      <c r="U1521" s="82">
        <v>0</v>
      </c>
      <c r="V1521" s="82">
        <v>0</v>
      </c>
      <c r="W1521" s="82">
        <v>0</v>
      </c>
      <c r="X1521" s="81"/>
      <c r="Y1521" s="81"/>
      <c r="Z1521" s="81" t="s">
        <v>58</v>
      </c>
      <c r="AA1521" s="81" t="s">
        <v>58</v>
      </c>
      <c r="AB1521" s="81" t="s">
        <v>58</v>
      </c>
      <c r="AC1521" s="83">
        <v>46129</v>
      </c>
    </row>
    <row r="1522" spans="2:29" ht="23" x14ac:dyDescent="0.35">
      <c r="B1522" s="81" t="s">
        <v>338</v>
      </c>
      <c r="C1522" s="81" t="s">
        <v>339</v>
      </c>
      <c r="D1522" s="81" t="s">
        <v>340</v>
      </c>
      <c r="E1522" s="81" t="s">
        <v>603</v>
      </c>
      <c r="F1522" s="162" t="s">
        <v>604</v>
      </c>
      <c r="G1522" s="163"/>
      <c r="H1522" s="81" t="s">
        <v>1968</v>
      </c>
      <c r="I1522" s="81" t="s">
        <v>1436</v>
      </c>
      <c r="J1522" s="81" t="s">
        <v>154</v>
      </c>
      <c r="K1522" s="81" t="s">
        <v>2001</v>
      </c>
      <c r="L1522" s="81" t="s">
        <v>58</v>
      </c>
      <c r="M1522" s="164">
        <v>6.2368899999999998</v>
      </c>
      <c r="N1522" s="165"/>
      <c r="O1522" s="163"/>
      <c r="P1522" s="82">
        <v>200</v>
      </c>
      <c r="Q1522" s="164">
        <v>0</v>
      </c>
      <c r="R1522" s="163"/>
      <c r="S1522" s="81" t="s">
        <v>58</v>
      </c>
      <c r="T1522" s="82">
        <v>0</v>
      </c>
      <c r="U1522" s="82">
        <v>0</v>
      </c>
      <c r="V1522" s="82">
        <v>0</v>
      </c>
      <c r="W1522" s="82">
        <v>0</v>
      </c>
      <c r="X1522" s="81"/>
      <c r="Y1522" s="81"/>
      <c r="Z1522" s="81" t="s">
        <v>58</v>
      </c>
      <c r="AA1522" s="81" t="s">
        <v>58</v>
      </c>
      <c r="AB1522" s="81" t="s">
        <v>58</v>
      </c>
      <c r="AC1522" s="83">
        <v>46129</v>
      </c>
    </row>
    <row r="1523" spans="2:29" ht="23" x14ac:dyDescent="0.35">
      <c r="B1523" s="81" t="s">
        <v>338</v>
      </c>
      <c r="C1523" s="81" t="s">
        <v>339</v>
      </c>
      <c r="D1523" s="81" t="s">
        <v>340</v>
      </c>
      <c r="E1523" s="81" t="s">
        <v>603</v>
      </c>
      <c r="F1523" s="162" t="s">
        <v>604</v>
      </c>
      <c r="G1523" s="163"/>
      <c r="H1523" s="81" t="s">
        <v>1968</v>
      </c>
      <c r="I1523" s="81" t="s">
        <v>1436</v>
      </c>
      <c r="J1523" s="81" t="s">
        <v>154</v>
      </c>
      <c r="K1523" s="81" t="s">
        <v>2002</v>
      </c>
      <c r="L1523" s="81" t="s">
        <v>58</v>
      </c>
      <c r="M1523" s="164">
        <v>6.2368899999999998</v>
      </c>
      <c r="N1523" s="165"/>
      <c r="O1523" s="163"/>
      <c r="P1523" s="82">
        <v>200</v>
      </c>
      <c r="Q1523" s="164">
        <v>0</v>
      </c>
      <c r="R1523" s="163"/>
      <c r="S1523" s="81" t="s">
        <v>58</v>
      </c>
      <c r="T1523" s="82">
        <v>0</v>
      </c>
      <c r="U1523" s="82">
        <v>0</v>
      </c>
      <c r="V1523" s="82">
        <v>0</v>
      </c>
      <c r="W1523" s="82">
        <v>0</v>
      </c>
      <c r="X1523" s="81"/>
      <c r="Y1523" s="81"/>
      <c r="Z1523" s="81" t="s">
        <v>58</v>
      </c>
      <c r="AA1523" s="81" t="s">
        <v>58</v>
      </c>
      <c r="AB1523" s="81" t="s">
        <v>58</v>
      </c>
      <c r="AC1523" s="83">
        <v>46129</v>
      </c>
    </row>
    <row r="1524" spans="2:29" ht="23" x14ac:dyDescent="0.35">
      <c r="B1524" s="81" t="s">
        <v>338</v>
      </c>
      <c r="C1524" s="81" t="s">
        <v>339</v>
      </c>
      <c r="D1524" s="81" t="s">
        <v>340</v>
      </c>
      <c r="E1524" s="81" t="s">
        <v>603</v>
      </c>
      <c r="F1524" s="162" t="s">
        <v>604</v>
      </c>
      <c r="G1524" s="163"/>
      <c r="H1524" s="81" t="s">
        <v>1968</v>
      </c>
      <c r="I1524" s="81" t="s">
        <v>1436</v>
      </c>
      <c r="J1524" s="81" t="s">
        <v>154</v>
      </c>
      <c r="K1524" s="81" t="s">
        <v>2003</v>
      </c>
      <c r="L1524" s="81" t="s">
        <v>58</v>
      </c>
      <c r="M1524" s="164">
        <v>6.2368899999999998</v>
      </c>
      <c r="N1524" s="165"/>
      <c r="O1524" s="163"/>
      <c r="P1524" s="82">
        <v>200</v>
      </c>
      <c r="Q1524" s="164">
        <v>0</v>
      </c>
      <c r="R1524" s="163"/>
      <c r="S1524" s="81" t="s">
        <v>58</v>
      </c>
      <c r="T1524" s="82">
        <v>0</v>
      </c>
      <c r="U1524" s="82">
        <v>0</v>
      </c>
      <c r="V1524" s="82">
        <v>0</v>
      </c>
      <c r="W1524" s="82">
        <v>0</v>
      </c>
      <c r="X1524" s="81"/>
      <c r="Y1524" s="81"/>
      <c r="Z1524" s="81" t="s">
        <v>58</v>
      </c>
      <c r="AA1524" s="81" t="s">
        <v>58</v>
      </c>
      <c r="AB1524" s="81" t="s">
        <v>58</v>
      </c>
      <c r="AC1524" s="83">
        <v>46129</v>
      </c>
    </row>
    <row r="1525" spans="2:29" ht="23" x14ac:dyDescent="0.35">
      <c r="B1525" s="81" t="s">
        <v>338</v>
      </c>
      <c r="C1525" s="81" t="s">
        <v>339</v>
      </c>
      <c r="D1525" s="81" t="s">
        <v>340</v>
      </c>
      <c r="E1525" s="81" t="s">
        <v>603</v>
      </c>
      <c r="F1525" s="162" t="s">
        <v>604</v>
      </c>
      <c r="G1525" s="163"/>
      <c r="H1525" s="81" t="s">
        <v>1968</v>
      </c>
      <c r="I1525" s="81" t="s">
        <v>1436</v>
      </c>
      <c r="J1525" s="81" t="s">
        <v>154</v>
      </c>
      <c r="K1525" s="81" t="s">
        <v>2004</v>
      </c>
      <c r="L1525" s="81" t="s">
        <v>58</v>
      </c>
      <c r="M1525" s="164">
        <v>6.9541323500000001</v>
      </c>
      <c r="N1525" s="165"/>
      <c r="O1525" s="163"/>
      <c r="P1525" s="82">
        <v>223</v>
      </c>
      <c r="Q1525" s="164">
        <v>0</v>
      </c>
      <c r="R1525" s="163"/>
      <c r="S1525" s="81" t="s">
        <v>58</v>
      </c>
      <c r="T1525" s="82">
        <v>0</v>
      </c>
      <c r="U1525" s="82">
        <v>0</v>
      </c>
      <c r="V1525" s="82">
        <v>0</v>
      </c>
      <c r="W1525" s="82">
        <v>0</v>
      </c>
      <c r="X1525" s="81"/>
      <c r="Y1525" s="81"/>
      <c r="Z1525" s="81" t="s">
        <v>58</v>
      </c>
      <c r="AA1525" s="81" t="s">
        <v>58</v>
      </c>
      <c r="AB1525" s="81" t="s">
        <v>58</v>
      </c>
      <c r="AC1525" s="83">
        <v>46129</v>
      </c>
    </row>
    <row r="1526" spans="2:29" ht="23" x14ac:dyDescent="0.35">
      <c r="B1526" s="81" t="s">
        <v>338</v>
      </c>
      <c r="C1526" s="81" t="s">
        <v>339</v>
      </c>
      <c r="D1526" s="81" t="s">
        <v>340</v>
      </c>
      <c r="E1526" s="81" t="s">
        <v>603</v>
      </c>
      <c r="F1526" s="162" t="s">
        <v>604</v>
      </c>
      <c r="G1526" s="163"/>
      <c r="H1526" s="81" t="s">
        <v>1968</v>
      </c>
      <c r="I1526" s="81" t="s">
        <v>1436</v>
      </c>
      <c r="J1526" s="81" t="s">
        <v>154</v>
      </c>
      <c r="K1526" s="81" t="s">
        <v>2005</v>
      </c>
      <c r="L1526" s="81" t="s">
        <v>58</v>
      </c>
      <c r="M1526" s="164">
        <v>7.2404622999999999</v>
      </c>
      <c r="N1526" s="165"/>
      <c r="O1526" s="163"/>
      <c r="P1526" s="82">
        <v>200</v>
      </c>
      <c r="Q1526" s="164">
        <v>0</v>
      </c>
      <c r="R1526" s="163"/>
      <c r="S1526" s="81" t="s">
        <v>58</v>
      </c>
      <c r="T1526" s="82">
        <v>0</v>
      </c>
      <c r="U1526" s="82">
        <v>0</v>
      </c>
      <c r="V1526" s="82">
        <v>0</v>
      </c>
      <c r="W1526" s="82">
        <v>0</v>
      </c>
      <c r="X1526" s="81"/>
      <c r="Y1526" s="81"/>
      <c r="Z1526" s="81" t="s">
        <v>58</v>
      </c>
      <c r="AA1526" s="81" t="s">
        <v>58</v>
      </c>
      <c r="AB1526" s="81" t="s">
        <v>58</v>
      </c>
      <c r="AC1526" s="83">
        <v>46129</v>
      </c>
    </row>
    <row r="1527" spans="2:29" ht="23" x14ac:dyDescent="0.35">
      <c r="B1527" s="81" t="s">
        <v>338</v>
      </c>
      <c r="C1527" s="81" t="s">
        <v>339</v>
      </c>
      <c r="D1527" s="81" t="s">
        <v>340</v>
      </c>
      <c r="E1527" s="81" t="s">
        <v>603</v>
      </c>
      <c r="F1527" s="162" t="s">
        <v>604</v>
      </c>
      <c r="G1527" s="163"/>
      <c r="H1527" s="81" t="s">
        <v>1968</v>
      </c>
      <c r="I1527" s="81" t="s">
        <v>1436</v>
      </c>
      <c r="J1527" s="81" t="s">
        <v>154</v>
      </c>
      <c r="K1527" s="81" t="s">
        <v>2006</v>
      </c>
      <c r="L1527" s="81" t="s">
        <v>58</v>
      </c>
      <c r="M1527" s="164">
        <v>7.2404622999999999</v>
      </c>
      <c r="N1527" s="165"/>
      <c r="O1527" s="163"/>
      <c r="P1527" s="82">
        <v>200</v>
      </c>
      <c r="Q1527" s="164">
        <v>0</v>
      </c>
      <c r="R1527" s="163"/>
      <c r="S1527" s="81" t="s">
        <v>58</v>
      </c>
      <c r="T1527" s="82">
        <v>0</v>
      </c>
      <c r="U1527" s="82">
        <v>0</v>
      </c>
      <c r="V1527" s="82">
        <v>0</v>
      </c>
      <c r="W1527" s="82">
        <v>0</v>
      </c>
      <c r="X1527" s="81"/>
      <c r="Y1527" s="81"/>
      <c r="Z1527" s="81" t="s">
        <v>58</v>
      </c>
      <c r="AA1527" s="81" t="s">
        <v>58</v>
      </c>
      <c r="AB1527" s="81" t="s">
        <v>58</v>
      </c>
      <c r="AC1527" s="83">
        <v>46129</v>
      </c>
    </row>
    <row r="1528" spans="2:29" ht="23" x14ac:dyDescent="0.35">
      <c r="B1528" s="81" t="s">
        <v>338</v>
      </c>
      <c r="C1528" s="81" t="s">
        <v>339</v>
      </c>
      <c r="D1528" s="81" t="s">
        <v>340</v>
      </c>
      <c r="E1528" s="81" t="s">
        <v>603</v>
      </c>
      <c r="F1528" s="162" t="s">
        <v>604</v>
      </c>
      <c r="G1528" s="163"/>
      <c r="H1528" s="81" t="s">
        <v>2007</v>
      </c>
      <c r="I1528" s="81" t="s">
        <v>1476</v>
      </c>
      <c r="J1528" s="81" t="s">
        <v>153</v>
      </c>
      <c r="K1528" s="81" t="s">
        <v>2008</v>
      </c>
      <c r="L1528" s="81" t="s">
        <v>58</v>
      </c>
      <c r="M1528" s="164">
        <v>4.4225219999999998</v>
      </c>
      <c r="N1528" s="165"/>
      <c r="O1528" s="163"/>
      <c r="P1528" s="82">
        <v>400</v>
      </c>
      <c r="Q1528" s="164">
        <v>0</v>
      </c>
      <c r="R1528" s="163"/>
      <c r="S1528" s="81" t="s">
        <v>58</v>
      </c>
      <c r="T1528" s="82">
        <v>0</v>
      </c>
      <c r="U1528" s="82">
        <v>0</v>
      </c>
      <c r="V1528" s="82">
        <v>0</v>
      </c>
      <c r="W1528" s="82">
        <v>0</v>
      </c>
      <c r="X1528" s="81"/>
      <c r="Y1528" s="81"/>
      <c r="Z1528" s="81" t="s">
        <v>58</v>
      </c>
      <c r="AA1528" s="81" t="s">
        <v>58</v>
      </c>
      <c r="AB1528" s="81" t="s">
        <v>58</v>
      </c>
      <c r="AC1528" s="83">
        <v>46127</v>
      </c>
    </row>
    <row r="1529" spans="2:29" ht="23" x14ac:dyDescent="0.35">
      <c r="B1529" s="81" t="s">
        <v>338</v>
      </c>
      <c r="C1529" s="81" t="s">
        <v>339</v>
      </c>
      <c r="D1529" s="81" t="s">
        <v>340</v>
      </c>
      <c r="E1529" s="81" t="s">
        <v>603</v>
      </c>
      <c r="F1529" s="162" t="s">
        <v>604</v>
      </c>
      <c r="G1529" s="163"/>
      <c r="H1529" s="81" t="s">
        <v>2007</v>
      </c>
      <c r="I1529" s="81" t="s">
        <v>1476</v>
      </c>
      <c r="J1529" s="81" t="s">
        <v>153</v>
      </c>
      <c r="K1529" s="81" t="s">
        <v>2009</v>
      </c>
      <c r="L1529" s="81" t="s">
        <v>58</v>
      </c>
      <c r="M1529" s="164">
        <v>4.4225219999999998</v>
      </c>
      <c r="N1529" s="165"/>
      <c r="O1529" s="163"/>
      <c r="P1529" s="82">
        <v>400</v>
      </c>
      <c r="Q1529" s="164">
        <v>0</v>
      </c>
      <c r="R1529" s="163"/>
      <c r="S1529" s="81" t="s">
        <v>58</v>
      </c>
      <c r="T1529" s="82">
        <v>0</v>
      </c>
      <c r="U1529" s="82">
        <v>0</v>
      </c>
      <c r="V1529" s="82">
        <v>0</v>
      </c>
      <c r="W1529" s="82">
        <v>0</v>
      </c>
      <c r="X1529" s="81"/>
      <c r="Y1529" s="81"/>
      <c r="Z1529" s="81" t="s">
        <v>58</v>
      </c>
      <c r="AA1529" s="81" t="s">
        <v>58</v>
      </c>
      <c r="AB1529" s="81" t="s">
        <v>58</v>
      </c>
      <c r="AC1529" s="83">
        <v>46127</v>
      </c>
    </row>
    <row r="1530" spans="2:29" ht="23" x14ac:dyDescent="0.35">
      <c r="B1530" s="81" t="s">
        <v>338</v>
      </c>
      <c r="C1530" s="81" t="s">
        <v>339</v>
      </c>
      <c r="D1530" s="81" t="s">
        <v>340</v>
      </c>
      <c r="E1530" s="81" t="s">
        <v>603</v>
      </c>
      <c r="F1530" s="162" t="s">
        <v>604</v>
      </c>
      <c r="G1530" s="163"/>
      <c r="H1530" s="81" t="s">
        <v>2007</v>
      </c>
      <c r="I1530" s="81" t="s">
        <v>1476</v>
      </c>
      <c r="J1530" s="81" t="s">
        <v>153</v>
      </c>
      <c r="K1530" s="81" t="s">
        <v>2010</v>
      </c>
      <c r="L1530" s="81" t="s">
        <v>58</v>
      </c>
      <c r="M1530" s="164">
        <v>4.5994228799999997</v>
      </c>
      <c r="N1530" s="165"/>
      <c r="O1530" s="163"/>
      <c r="P1530" s="82">
        <v>416</v>
      </c>
      <c r="Q1530" s="164">
        <v>0</v>
      </c>
      <c r="R1530" s="163"/>
      <c r="S1530" s="81" t="s">
        <v>58</v>
      </c>
      <c r="T1530" s="82">
        <v>0</v>
      </c>
      <c r="U1530" s="82">
        <v>0</v>
      </c>
      <c r="V1530" s="82">
        <v>0</v>
      </c>
      <c r="W1530" s="82">
        <v>0</v>
      </c>
      <c r="X1530" s="81"/>
      <c r="Y1530" s="81"/>
      <c r="Z1530" s="81" t="s">
        <v>58</v>
      </c>
      <c r="AA1530" s="81" t="s">
        <v>58</v>
      </c>
      <c r="AB1530" s="81" t="s">
        <v>58</v>
      </c>
      <c r="AC1530" s="83">
        <v>46127</v>
      </c>
    </row>
    <row r="1531" spans="2:29" ht="23" x14ac:dyDescent="0.35">
      <c r="B1531" s="81" t="s">
        <v>338</v>
      </c>
      <c r="C1531" s="81" t="s">
        <v>339</v>
      </c>
      <c r="D1531" s="81" t="s">
        <v>340</v>
      </c>
      <c r="E1531" s="81" t="s">
        <v>603</v>
      </c>
      <c r="F1531" s="162" t="s">
        <v>604</v>
      </c>
      <c r="G1531" s="163"/>
      <c r="H1531" s="81" t="s">
        <v>2007</v>
      </c>
      <c r="I1531" s="81" t="s">
        <v>1476</v>
      </c>
      <c r="J1531" s="81" t="s">
        <v>153</v>
      </c>
      <c r="K1531" s="81" t="s">
        <v>2011</v>
      </c>
      <c r="L1531" s="81" t="s">
        <v>58</v>
      </c>
      <c r="M1531" s="164">
        <v>4.53592</v>
      </c>
      <c r="N1531" s="165"/>
      <c r="O1531" s="163"/>
      <c r="P1531" s="82">
        <v>400</v>
      </c>
      <c r="Q1531" s="164">
        <v>0</v>
      </c>
      <c r="R1531" s="163"/>
      <c r="S1531" s="81" t="s">
        <v>58</v>
      </c>
      <c r="T1531" s="82">
        <v>0</v>
      </c>
      <c r="U1531" s="82">
        <v>0</v>
      </c>
      <c r="V1531" s="82">
        <v>0</v>
      </c>
      <c r="W1531" s="82">
        <v>0</v>
      </c>
      <c r="X1531" s="81"/>
      <c r="Y1531" s="81"/>
      <c r="Z1531" s="81" t="s">
        <v>58</v>
      </c>
      <c r="AA1531" s="81" t="s">
        <v>58</v>
      </c>
      <c r="AB1531" s="81" t="s">
        <v>58</v>
      </c>
      <c r="AC1531" s="83">
        <v>46127</v>
      </c>
    </row>
    <row r="1532" spans="2:29" ht="23" x14ac:dyDescent="0.35">
      <c r="B1532" s="81" t="s">
        <v>338</v>
      </c>
      <c r="C1532" s="81" t="s">
        <v>339</v>
      </c>
      <c r="D1532" s="81" t="s">
        <v>340</v>
      </c>
      <c r="E1532" s="81" t="s">
        <v>603</v>
      </c>
      <c r="F1532" s="162" t="s">
        <v>604</v>
      </c>
      <c r="G1532" s="163"/>
      <c r="H1532" s="81" t="s">
        <v>2007</v>
      </c>
      <c r="I1532" s="81" t="s">
        <v>1476</v>
      </c>
      <c r="J1532" s="81" t="s">
        <v>153</v>
      </c>
      <c r="K1532" s="81" t="s">
        <v>2012</v>
      </c>
      <c r="L1532" s="81" t="s">
        <v>58</v>
      </c>
      <c r="M1532" s="164">
        <v>4.53592</v>
      </c>
      <c r="N1532" s="165"/>
      <c r="O1532" s="163"/>
      <c r="P1532" s="82">
        <v>400</v>
      </c>
      <c r="Q1532" s="164">
        <v>0</v>
      </c>
      <c r="R1532" s="163"/>
      <c r="S1532" s="81" t="s">
        <v>58</v>
      </c>
      <c r="T1532" s="82">
        <v>0</v>
      </c>
      <c r="U1532" s="82">
        <v>0</v>
      </c>
      <c r="V1532" s="82">
        <v>0</v>
      </c>
      <c r="W1532" s="82">
        <v>0</v>
      </c>
      <c r="X1532" s="81"/>
      <c r="Y1532" s="81"/>
      <c r="Z1532" s="81" t="s">
        <v>58</v>
      </c>
      <c r="AA1532" s="81" t="s">
        <v>58</v>
      </c>
      <c r="AB1532" s="81" t="s">
        <v>58</v>
      </c>
      <c r="AC1532" s="83">
        <v>46127</v>
      </c>
    </row>
    <row r="1533" spans="2:29" ht="23" x14ac:dyDescent="0.35">
      <c r="B1533" s="81" t="s">
        <v>338</v>
      </c>
      <c r="C1533" s="81" t="s">
        <v>339</v>
      </c>
      <c r="D1533" s="81" t="s">
        <v>340</v>
      </c>
      <c r="E1533" s="81" t="s">
        <v>603</v>
      </c>
      <c r="F1533" s="162" t="s">
        <v>604</v>
      </c>
      <c r="G1533" s="163"/>
      <c r="H1533" s="81" t="s">
        <v>2007</v>
      </c>
      <c r="I1533" s="81" t="s">
        <v>1476</v>
      </c>
      <c r="J1533" s="81" t="s">
        <v>153</v>
      </c>
      <c r="K1533" s="81" t="s">
        <v>2013</v>
      </c>
      <c r="L1533" s="81" t="s">
        <v>58</v>
      </c>
      <c r="M1533" s="164">
        <v>4.53592</v>
      </c>
      <c r="N1533" s="165"/>
      <c r="O1533" s="163"/>
      <c r="P1533" s="82">
        <v>400</v>
      </c>
      <c r="Q1533" s="164">
        <v>0</v>
      </c>
      <c r="R1533" s="163"/>
      <c r="S1533" s="81" t="s">
        <v>58</v>
      </c>
      <c r="T1533" s="82">
        <v>0</v>
      </c>
      <c r="U1533" s="82">
        <v>0</v>
      </c>
      <c r="V1533" s="82">
        <v>0</v>
      </c>
      <c r="W1533" s="82">
        <v>0</v>
      </c>
      <c r="X1533" s="81"/>
      <c r="Y1533" s="81"/>
      <c r="Z1533" s="81" t="s">
        <v>58</v>
      </c>
      <c r="AA1533" s="81" t="s">
        <v>58</v>
      </c>
      <c r="AB1533" s="81" t="s">
        <v>58</v>
      </c>
      <c r="AC1533" s="83">
        <v>46127</v>
      </c>
    </row>
    <row r="1534" spans="2:29" ht="23" x14ac:dyDescent="0.35">
      <c r="B1534" s="81" t="s">
        <v>338</v>
      </c>
      <c r="C1534" s="81" t="s">
        <v>339</v>
      </c>
      <c r="D1534" s="81" t="s">
        <v>340</v>
      </c>
      <c r="E1534" s="81" t="s">
        <v>603</v>
      </c>
      <c r="F1534" s="162" t="s">
        <v>604</v>
      </c>
      <c r="G1534" s="163"/>
      <c r="H1534" s="81" t="s">
        <v>2007</v>
      </c>
      <c r="I1534" s="81" t="s">
        <v>1476</v>
      </c>
      <c r="J1534" s="81" t="s">
        <v>153</v>
      </c>
      <c r="K1534" s="81" t="s">
        <v>2014</v>
      </c>
      <c r="L1534" s="81" t="s">
        <v>58</v>
      </c>
      <c r="M1534" s="164">
        <v>4.53592</v>
      </c>
      <c r="N1534" s="165"/>
      <c r="O1534" s="163"/>
      <c r="P1534" s="82">
        <v>400</v>
      </c>
      <c r="Q1534" s="164">
        <v>0</v>
      </c>
      <c r="R1534" s="163"/>
      <c r="S1534" s="81" t="s">
        <v>58</v>
      </c>
      <c r="T1534" s="82">
        <v>0</v>
      </c>
      <c r="U1534" s="82">
        <v>0</v>
      </c>
      <c r="V1534" s="82">
        <v>0</v>
      </c>
      <c r="W1534" s="82">
        <v>0</v>
      </c>
      <c r="X1534" s="81"/>
      <c r="Y1534" s="81"/>
      <c r="Z1534" s="81" t="s">
        <v>58</v>
      </c>
      <c r="AA1534" s="81" t="s">
        <v>58</v>
      </c>
      <c r="AB1534" s="81" t="s">
        <v>58</v>
      </c>
      <c r="AC1534" s="83">
        <v>46127</v>
      </c>
    </row>
    <row r="1535" spans="2:29" ht="23" x14ac:dyDescent="0.35">
      <c r="B1535" s="81" t="s">
        <v>338</v>
      </c>
      <c r="C1535" s="81" t="s">
        <v>339</v>
      </c>
      <c r="D1535" s="81" t="s">
        <v>340</v>
      </c>
      <c r="E1535" s="81" t="s">
        <v>603</v>
      </c>
      <c r="F1535" s="162" t="s">
        <v>604</v>
      </c>
      <c r="G1535" s="163"/>
      <c r="H1535" s="81" t="s">
        <v>2007</v>
      </c>
      <c r="I1535" s="81" t="s">
        <v>1476</v>
      </c>
      <c r="J1535" s="81" t="s">
        <v>153</v>
      </c>
      <c r="K1535" s="81" t="s">
        <v>2015</v>
      </c>
      <c r="L1535" s="81" t="s">
        <v>58</v>
      </c>
      <c r="M1535" s="164">
        <v>4.53592</v>
      </c>
      <c r="N1535" s="165"/>
      <c r="O1535" s="163"/>
      <c r="P1535" s="82">
        <v>400</v>
      </c>
      <c r="Q1535" s="164">
        <v>0</v>
      </c>
      <c r="R1535" s="163"/>
      <c r="S1535" s="81" t="s">
        <v>58</v>
      </c>
      <c r="T1535" s="82">
        <v>0</v>
      </c>
      <c r="U1535" s="82">
        <v>0</v>
      </c>
      <c r="V1535" s="82">
        <v>0</v>
      </c>
      <c r="W1535" s="82">
        <v>0</v>
      </c>
      <c r="X1535" s="81"/>
      <c r="Y1535" s="81"/>
      <c r="Z1535" s="81" t="s">
        <v>58</v>
      </c>
      <c r="AA1535" s="81" t="s">
        <v>58</v>
      </c>
      <c r="AB1535" s="81" t="s">
        <v>58</v>
      </c>
      <c r="AC1535" s="83">
        <v>46127</v>
      </c>
    </row>
    <row r="1536" spans="2:29" ht="23" x14ac:dyDescent="0.35">
      <c r="B1536" s="81" t="s">
        <v>338</v>
      </c>
      <c r="C1536" s="81" t="s">
        <v>339</v>
      </c>
      <c r="D1536" s="81" t="s">
        <v>340</v>
      </c>
      <c r="E1536" s="81" t="s">
        <v>603</v>
      </c>
      <c r="F1536" s="162" t="s">
        <v>604</v>
      </c>
      <c r="G1536" s="163"/>
      <c r="H1536" s="81" t="s">
        <v>2007</v>
      </c>
      <c r="I1536" s="81" t="s">
        <v>1476</v>
      </c>
      <c r="J1536" s="81" t="s">
        <v>153</v>
      </c>
      <c r="K1536" s="81" t="s">
        <v>2016</v>
      </c>
      <c r="L1536" s="81" t="s">
        <v>58</v>
      </c>
      <c r="M1536" s="164">
        <v>4.53592</v>
      </c>
      <c r="N1536" s="165"/>
      <c r="O1536" s="163"/>
      <c r="P1536" s="82">
        <v>400</v>
      </c>
      <c r="Q1536" s="164">
        <v>0</v>
      </c>
      <c r="R1536" s="163"/>
      <c r="S1536" s="81" t="s">
        <v>58</v>
      </c>
      <c r="T1536" s="82">
        <v>0</v>
      </c>
      <c r="U1536" s="82">
        <v>0</v>
      </c>
      <c r="V1536" s="82">
        <v>0</v>
      </c>
      <c r="W1536" s="82">
        <v>0</v>
      </c>
      <c r="X1536" s="81"/>
      <c r="Y1536" s="81"/>
      <c r="Z1536" s="81" t="s">
        <v>58</v>
      </c>
      <c r="AA1536" s="81" t="s">
        <v>58</v>
      </c>
      <c r="AB1536" s="81" t="s">
        <v>58</v>
      </c>
      <c r="AC1536" s="83">
        <v>46127</v>
      </c>
    </row>
    <row r="1537" spans="2:29" ht="23" x14ac:dyDescent="0.35">
      <c r="B1537" s="81" t="s">
        <v>338</v>
      </c>
      <c r="C1537" s="81" t="s">
        <v>339</v>
      </c>
      <c r="D1537" s="81" t="s">
        <v>340</v>
      </c>
      <c r="E1537" s="81" t="s">
        <v>603</v>
      </c>
      <c r="F1537" s="162" t="s">
        <v>604</v>
      </c>
      <c r="G1537" s="163"/>
      <c r="H1537" s="81" t="s">
        <v>2007</v>
      </c>
      <c r="I1537" s="81" t="s">
        <v>1476</v>
      </c>
      <c r="J1537" s="81" t="s">
        <v>153</v>
      </c>
      <c r="K1537" s="81" t="s">
        <v>2017</v>
      </c>
      <c r="L1537" s="81" t="s">
        <v>58</v>
      </c>
      <c r="M1537" s="164">
        <v>4.53592</v>
      </c>
      <c r="N1537" s="165"/>
      <c r="O1537" s="163"/>
      <c r="P1537" s="82">
        <v>400</v>
      </c>
      <c r="Q1537" s="164">
        <v>0</v>
      </c>
      <c r="R1537" s="163"/>
      <c r="S1537" s="81" t="s">
        <v>58</v>
      </c>
      <c r="T1537" s="82">
        <v>0</v>
      </c>
      <c r="U1537" s="82">
        <v>0</v>
      </c>
      <c r="V1537" s="82">
        <v>0</v>
      </c>
      <c r="W1537" s="82">
        <v>0</v>
      </c>
      <c r="X1537" s="81"/>
      <c r="Y1537" s="81"/>
      <c r="Z1537" s="81" t="s">
        <v>58</v>
      </c>
      <c r="AA1537" s="81" t="s">
        <v>58</v>
      </c>
      <c r="AB1537" s="81" t="s">
        <v>58</v>
      </c>
      <c r="AC1537" s="83">
        <v>46127</v>
      </c>
    </row>
    <row r="1538" spans="2:29" ht="23" x14ac:dyDescent="0.35">
      <c r="B1538" s="81" t="s">
        <v>338</v>
      </c>
      <c r="C1538" s="81" t="s">
        <v>339</v>
      </c>
      <c r="D1538" s="81" t="s">
        <v>340</v>
      </c>
      <c r="E1538" s="81" t="s">
        <v>603</v>
      </c>
      <c r="F1538" s="162" t="s">
        <v>604</v>
      </c>
      <c r="G1538" s="163"/>
      <c r="H1538" s="81" t="s">
        <v>2007</v>
      </c>
      <c r="I1538" s="81" t="s">
        <v>1476</v>
      </c>
      <c r="J1538" s="81" t="s">
        <v>153</v>
      </c>
      <c r="K1538" s="81" t="s">
        <v>2018</v>
      </c>
      <c r="L1538" s="81" t="s">
        <v>58</v>
      </c>
      <c r="M1538" s="164">
        <v>4.53592</v>
      </c>
      <c r="N1538" s="165"/>
      <c r="O1538" s="163"/>
      <c r="P1538" s="82">
        <v>400</v>
      </c>
      <c r="Q1538" s="164">
        <v>0</v>
      </c>
      <c r="R1538" s="163"/>
      <c r="S1538" s="81" t="s">
        <v>58</v>
      </c>
      <c r="T1538" s="82">
        <v>0</v>
      </c>
      <c r="U1538" s="82">
        <v>0</v>
      </c>
      <c r="V1538" s="82">
        <v>0</v>
      </c>
      <c r="W1538" s="82">
        <v>0</v>
      </c>
      <c r="X1538" s="81"/>
      <c r="Y1538" s="81"/>
      <c r="Z1538" s="81" t="s">
        <v>58</v>
      </c>
      <c r="AA1538" s="81" t="s">
        <v>58</v>
      </c>
      <c r="AB1538" s="81" t="s">
        <v>58</v>
      </c>
      <c r="AC1538" s="83">
        <v>46127</v>
      </c>
    </row>
    <row r="1539" spans="2:29" ht="23" x14ac:dyDescent="0.35">
      <c r="B1539" s="81" t="s">
        <v>338</v>
      </c>
      <c r="C1539" s="81" t="s">
        <v>339</v>
      </c>
      <c r="D1539" s="81" t="s">
        <v>340</v>
      </c>
      <c r="E1539" s="81" t="s">
        <v>603</v>
      </c>
      <c r="F1539" s="162" t="s">
        <v>604</v>
      </c>
      <c r="G1539" s="163"/>
      <c r="H1539" s="81" t="s">
        <v>2007</v>
      </c>
      <c r="I1539" s="81" t="s">
        <v>1476</v>
      </c>
      <c r="J1539" s="81" t="s">
        <v>153</v>
      </c>
      <c r="K1539" s="81" t="s">
        <v>2019</v>
      </c>
      <c r="L1539" s="81" t="s">
        <v>58</v>
      </c>
      <c r="M1539" s="164">
        <v>2.26796</v>
      </c>
      <c r="N1539" s="165"/>
      <c r="O1539" s="163"/>
      <c r="P1539" s="82">
        <v>200</v>
      </c>
      <c r="Q1539" s="164">
        <v>0</v>
      </c>
      <c r="R1539" s="163"/>
      <c r="S1539" s="81" t="s">
        <v>58</v>
      </c>
      <c r="T1539" s="82">
        <v>0</v>
      </c>
      <c r="U1539" s="82">
        <v>0</v>
      </c>
      <c r="V1539" s="82">
        <v>0</v>
      </c>
      <c r="W1539" s="82">
        <v>0</v>
      </c>
      <c r="X1539" s="81"/>
      <c r="Y1539" s="81"/>
      <c r="Z1539" s="81" t="s">
        <v>58</v>
      </c>
      <c r="AA1539" s="81" t="s">
        <v>58</v>
      </c>
      <c r="AB1539" s="81" t="s">
        <v>58</v>
      </c>
      <c r="AC1539" s="83">
        <v>46127</v>
      </c>
    </row>
    <row r="1540" spans="2:29" ht="23" x14ac:dyDescent="0.35">
      <c r="B1540" s="81" t="s">
        <v>338</v>
      </c>
      <c r="C1540" s="81" t="s">
        <v>339</v>
      </c>
      <c r="D1540" s="81" t="s">
        <v>340</v>
      </c>
      <c r="E1540" s="81" t="s">
        <v>603</v>
      </c>
      <c r="F1540" s="162" t="s">
        <v>604</v>
      </c>
      <c r="G1540" s="163"/>
      <c r="H1540" s="81" t="s">
        <v>2007</v>
      </c>
      <c r="I1540" s="81" t="s">
        <v>1476</v>
      </c>
      <c r="J1540" s="81" t="s">
        <v>153</v>
      </c>
      <c r="K1540" s="81" t="s">
        <v>2020</v>
      </c>
      <c r="L1540" s="81" t="s">
        <v>58</v>
      </c>
      <c r="M1540" s="164">
        <v>4.6493180000000001</v>
      </c>
      <c r="N1540" s="165"/>
      <c r="O1540" s="163"/>
      <c r="P1540" s="82">
        <v>400</v>
      </c>
      <c r="Q1540" s="164">
        <v>0</v>
      </c>
      <c r="R1540" s="163"/>
      <c r="S1540" s="81" t="s">
        <v>58</v>
      </c>
      <c r="T1540" s="82">
        <v>0</v>
      </c>
      <c r="U1540" s="82">
        <v>0</v>
      </c>
      <c r="V1540" s="82">
        <v>0</v>
      </c>
      <c r="W1540" s="82">
        <v>0</v>
      </c>
      <c r="X1540" s="81"/>
      <c r="Y1540" s="81"/>
      <c r="Z1540" s="81" t="s">
        <v>58</v>
      </c>
      <c r="AA1540" s="81" t="s">
        <v>58</v>
      </c>
      <c r="AB1540" s="81" t="s">
        <v>58</v>
      </c>
      <c r="AC1540" s="83">
        <v>46127</v>
      </c>
    </row>
    <row r="1541" spans="2:29" ht="23" x14ac:dyDescent="0.35">
      <c r="B1541" s="81" t="s">
        <v>338</v>
      </c>
      <c r="C1541" s="81" t="s">
        <v>339</v>
      </c>
      <c r="D1541" s="81" t="s">
        <v>340</v>
      </c>
      <c r="E1541" s="81" t="s">
        <v>603</v>
      </c>
      <c r="F1541" s="162" t="s">
        <v>604</v>
      </c>
      <c r="G1541" s="163"/>
      <c r="H1541" s="81" t="s">
        <v>2007</v>
      </c>
      <c r="I1541" s="81" t="s">
        <v>1476</v>
      </c>
      <c r="J1541" s="81" t="s">
        <v>153</v>
      </c>
      <c r="K1541" s="81" t="s">
        <v>2021</v>
      </c>
      <c r="L1541" s="81" t="s">
        <v>58</v>
      </c>
      <c r="M1541" s="164">
        <v>4.6493180000000001</v>
      </c>
      <c r="N1541" s="165"/>
      <c r="O1541" s="163"/>
      <c r="P1541" s="82">
        <v>400</v>
      </c>
      <c r="Q1541" s="164">
        <v>0</v>
      </c>
      <c r="R1541" s="163"/>
      <c r="S1541" s="81" t="s">
        <v>58</v>
      </c>
      <c r="T1541" s="82">
        <v>0</v>
      </c>
      <c r="U1541" s="82">
        <v>0</v>
      </c>
      <c r="V1541" s="82">
        <v>0</v>
      </c>
      <c r="W1541" s="82">
        <v>0</v>
      </c>
      <c r="X1541" s="81"/>
      <c r="Y1541" s="81"/>
      <c r="Z1541" s="81" t="s">
        <v>58</v>
      </c>
      <c r="AA1541" s="81" t="s">
        <v>58</v>
      </c>
      <c r="AB1541" s="81" t="s">
        <v>58</v>
      </c>
      <c r="AC1541" s="83">
        <v>46127</v>
      </c>
    </row>
    <row r="1542" spans="2:29" ht="23" x14ac:dyDescent="0.35">
      <c r="B1542" s="81" t="s">
        <v>338</v>
      </c>
      <c r="C1542" s="81" t="s">
        <v>339</v>
      </c>
      <c r="D1542" s="81" t="s">
        <v>340</v>
      </c>
      <c r="E1542" s="81" t="s">
        <v>603</v>
      </c>
      <c r="F1542" s="162" t="s">
        <v>604</v>
      </c>
      <c r="G1542" s="163"/>
      <c r="H1542" s="81" t="s">
        <v>2007</v>
      </c>
      <c r="I1542" s="81" t="s">
        <v>1476</v>
      </c>
      <c r="J1542" s="81" t="s">
        <v>153</v>
      </c>
      <c r="K1542" s="81" t="s">
        <v>2022</v>
      </c>
      <c r="L1542" s="81" t="s">
        <v>58</v>
      </c>
      <c r="M1542" s="164">
        <v>4.6493180000000001</v>
      </c>
      <c r="N1542" s="165"/>
      <c r="O1542" s="163"/>
      <c r="P1542" s="82">
        <v>400</v>
      </c>
      <c r="Q1542" s="164">
        <v>0</v>
      </c>
      <c r="R1542" s="163"/>
      <c r="S1542" s="81" t="s">
        <v>58</v>
      </c>
      <c r="T1542" s="82">
        <v>0</v>
      </c>
      <c r="U1542" s="82">
        <v>0</v>
      </c>
      <c r="V1542" s="82">
        <v>0</v>
      </c>
      <c r="W1542" s="82">
        <v>0</v>
      </c>
      <c r="X1542" s="81"/>
      <c r="Y1542" s="81"/>
      <c r="Z1542" s="81" t="s">
        <v>58</v>
      </c>
      <c r="AA1542" s="81" t="s">
        <v>58</v>
      </c>
      <c r="AB1542" s="81" t="s">
        <v>58</v>
      </c>
      <c r="AC1542" s="83">
        <v>46127</v>
      </c>
    </row>
    <row r="1543" spans="2:29" ht="23" x14ac:dyDescent="0.35">
      <c r="B1543" s="81" t="s">
        <v>338</v>
      </c>
      <c r="C1543" s="81" t="s">
        <v>339</v>
      </c>
      <c r="D1543" s="81" t="s">
        <v>340</v>
      </c>
      <c r="E1543" s="81" t="s">
        <v>603</v>
      </c>
      <c r="F1543" s="162" t="s">
        <v>604</v>
      </c>
      <c r="G1543" s="163"/>
      <c r="H1543" s="81" t="s">
        <v>2007</v>
      </c>
      <c r="I1543" s="81" t="s">
        <v>1476</v>
      </c>
      <c r="J1543" s="81" t="s">
        <v>153</v>
      </c>
      <c r="K1543" s="81" t="s">
        <v>2023</v>
      </c>
      <c r="L1543" s="81" t="s">
        <v>58</v>
      </c>
      <c r="M1543" s="164">
        <v>4.6493180000000001</v>
      </c>
      <c r="N1543" s="165"/>
      <c r="O1543" s="163"/>
      <c r="P1543" s="82">
        <v>400</v>
      </c>
      <c r="Q1543" s="164">
        <v>0</v>
      </c>
      <c r="R1543" s="163"/>
      <c r="S1543" s="81" t="s">
        <v>58</v>
      </c>
      <c r="T1543" s="82">
        <v>0</v>
      </c>
      <c r="U1543" s="82">
        <v>0</v>
      </c>
      <c r="V1543" s="82">
        <v>0</v>
      </c>
      <c r="W1543" s="82">
        <v>0</v>
      </c>
      <c r="X1543" s="81"/>
      <c r="Y1543" s="81"/>
      <c r="Z1543" s="81" t="s">
        <v>58</v>
      </c>
      <c r="AA1543" s="81" t="s">
        <v>58</v>
      </c>
      <c r="AB1543" s="81" t="s">
        <v>58</v>
      </c>
      <c r="AC1543" s="83">
        <v>46127</v>
      </c>
    </row>
    <row r="1544" spans="2:29" ht="23" x14ac:dyDescent="0.35">
      <c r="B1544" s="81" t="s">
        <v>338</v>
      </c>
      <c r="C1544" s="81" t="s">
        <v>339</v>
      </c>
      <c r="D1544" s="81" t="s">
        <v>340</v>
      </c>
      <c r="E1544" s="81" t="s">
        <v>603</v>
      </c>
      <c r="F1544" s="162" t="s">
        <v>604</v>
      </c>
      <c r="G1544" s="163"/>
      <c r="H1544" s="81" t="s">
        <v>2007</v>
      </c>
      <c r="I1544" s="81" t="s">
        <v>1476</v>
      </c>
      <c r="J1544" s="81" t="s">
        <v>153</v>
      </c>
      <c r="K1544" s="81" t="s">
        <v>2024</v>
      </c>
      <c r="L1544" s="81" t="s">
        <v>58</v>
      </c>
      <c r="M1544" s="164">
        <v>4.6493180000000001</v>
      </c>
      <c r="N1544" s="165"/>
      <c r="O1544" s="163"/>
      <c r="P1544" s="82">
        <v>400</v>
      </c>
      <c r="Q1544" s="164">
        <v>0</v>
      </c>
      <c r="R1544" s="163"/>
      <c r="S1544" s="81" t="s">
        <v>58</v>
      </c>
      <c r="T1544" s="82">
        <v>0</v>
      </c>
      <c r="U1544" s="82">
        <v>0</v>
      </c>
      <c r="V1544" s="82">
        <v>0</v>
      </c>
      <c r="W1544" s="82">
        <v>0</v>
      </c>
      <c r="X1544" s="81"/>
      <c r="Y1544" s="81"/>
      <c r="Z1544" s="81" t="s">
        <v>58</v>
      </c>
      <c r="AA1544" s="81" t="s">
        <v>58</v>
      </c>
      <c r="AB1544" s="81" t="s">
        <v>58</v>
      </c>
      <c r="AC1544" s="83">
        <v>46127</v>
      </c>
    </row>
    <row r="1545" spans="2:29" ht="23" x14ac:dyDescent="0.35">
      <c r="B1545" s="81" t="s">
        <v>338</v>
      </c>
      <c r="C1545" s="81" t="s">
        <v>339</v>
      </c>
      <c r="D1545" s="81" t="s">
        <v>340</v>
      </c>
      <c r="E1545" s="81" t="s">
        <v>603</v>
      </c>
      <c r="F1545" s="162" t="s">
        <v>604</v>
      </c>
      <c r="G1545" s="163"/>
      <c r="H1545" s="81" t="s">
        <v>2007</v>
      </c>
      <c r="I1545" s="81" t="s">
        <v>1476</v>
      </c>
      <c r="J1545" s="81" t="s">
        <v>153</v>
      </c>
      <c r="K1545" s="81" t="s">
        <v>2025</v>
      </c>
      <c r="L1545" s="81" t="s">
        <v>58</v>
      </c>
      <c r="M1545" s="164">
        <v>4.6493180000000001</v>
      </c>
      <c r="N1545" s="165"/>
      <c r="O1545" s="163"/>
      <c r="P1545" s="82">
        <v>400</v>
      </c>
      <c r="Q1545" s="164">
        <v>0</v>
      </c>
      <c r="R1545" s="163"/>
      <c r="S1545" s="81" t="s">
        <v>58</v>
      </c>
      <c r="T1545" s="82">
        <v>0</v>
      </c>
      <c r="U1545" s="82">
        <v>0</v>
      </c>
      <c r="V1545" s="82">
        <v>0</v>
      </c>
      <c r="W1545" s="82">
        <v>0</v>
      </c>
      <c r="X1545" s="81"/>
      <c r="Y1545" s="81"/>
      <c r="Z1545" s="81" t="s">
        <v>58</v>
      </c>
      <c r="AA1545" s="81" t="s">
        <v>58</v>
      </c>
      <c r="AB1545" s="81" t="s">
        <v>58</v>
      </c>
      <c r="AC1545" s="83">
        <v>46127</v>
      </c>
    </row>
    <row r="1546" spans="2:29" ht="23" x14ac:dyDescent="0.35">
      <c r="B1546" s="81" t="s">
        <v>338</v>
      </c>
      <c r="C1546" s="81" t="s">
        <v>339</v>
      </c>
      <c r="D1546" s="81" t="s">
        <v>340</v>
      </c>
      <c r="E1546" s="81" t="s">
        <v>603</v>
      </c>
      <c r="F1546" s="162" t="s">
        <v>604</v>
      </c>
      <c r="G1546" s="163"/>
      <c r="H1546" s="81" t="s">
        <v>2007</v>
      </c>
      <c r="I1546" s="81" t="s">
        <v>1476</v>
      </c>
      <c r="J1546" s="81" t="s">
        <v>153</v>
      </c>
      <c r="K1546" s="81" t="s">
        <v>2026</v>
      </c>
      <c r="L1546" s="81" t="s">
        <v>58</v>
      </c>
      <c r="M1546" s="164">
        <v>4.6493180000000001</v>
      </c>
      <c r="N1546" s="165"/>
      <c r="O1546" s="163"/>
      <c r="P1546" s="82">
        <v>400</v>
      </c>
      <c r="Q1546" s="164">
        <v>0</v>
      </c>
      <c r="R1546" s="163"/>
      <c r="S1546" s="81" t="s">
        <v>58</v>
      </c>
      <c r="T1546" s="82">
        <v>0</v>
      </c>
      <c r="U1546" s="82">
        <v>0</v>
      </c>
      <c r="V1546" s="82">
        <v>0</v>
      </c>
      <c r="W1546" s="82">
        <v>0</v>
      </c>
      <c r="X1546" s="81"/>
      <c r="Y1546" s="81"/>
      <c r="Z1546" s="81" t="s">
        <v>58</v>
      </c>
      <c r="AA1546" s="81" t="s">
        <v>58</v>
      </c>
      <c r="AB1546" s="81" t="s">
        <v>58</v>
      </c>
      <c r="AC1546" s="83">
        <v>46127</v>
      </c>
    </row>
    <row r="1547" spans="2:29" ht="23" x14ac:dyDescent="0.35">
      <c r="B1547" s="81" t="s">
        <v>338</v>
      </c>
      <c r="C1547" s="81" t="s">
        <v>339</v>
      </c>
      <c r="D1547" s="81" t="s">
        <v>340</v>
      </c>
      <c r="E1547" s="81" t="s">
        <v>603</v>
      </c>
      <c r="F1547" s="162" t="s">
        <v>604</v>
      </c>
      <c r="G1547" s="163"/>
      <c r="H1547" s="81" t="s">
        <v>2007</v>
      </c>
      <c r="I1547" s="81" t="s">
        <v>1476</v>
      </c>
      <c r="J1547" s="81" t="s">
        <v>153</v>
      </c>
      <c r="K1547" s="81" t="s">
        <v>2027</v>
      </c>
      <c r="L1547" s="81" t="s">
        <v>58</v>
      </c>
      <c r="M1547" s="164">
        <v>4.6493180000000001</v>
      </c>
      <c r="N1547" s="165"/>
      <c r="O1547" s="163"/>
      <c r="P1547" s="82">
        <v>400</v>
      </c>
      <c r="Q1547" s="164">
        <v>0</v>
      </c>
      <c r="R1547" s="163"/>
      <c r="S1547" s="81" t="s">
        <v>58</v>
      </c>
      <c r="T1547" s="82">
        <v>0</v>
      </c>
      <c r="U1547" s="82">
        <v>0</v>
      </c>
      <c r="V1547" s="82">
        <v>0</v>
      </c>
      <c r="W1547" s="82">
        <v>0</v>
      </c>
      <c r="X1547" s="81"/>
      <c r="Y1547" s="81"/>
      <c r="Z1547" s="81" t="s">
        <v>58</v>
      </c>
      <c r="AA1547" s="81" t="s">
        <v>58</v>
      </c>
      <c r="AB1547" s="81" t="s">
        <v>58</v>
      </c>
      <c r="AC1547" s="83">
        <v>46127</v>
      </c>
    </row>
    <row r="1548" spans="2:29" ht="23" x14ac:dyDescent="0.35">
      <c r="B1548" s="81" t="s">
        <v>338</v>
      </c>
      <c r="C1548" s="81" t="s">
        <v>339</v>
      </c>
      <c r="D1548" s="81" t="s">
        <v>340</v>
      </c>
      <c r="E1548" s="81" t="s">
        <v>603</v>
      </c>
      <c r="F1548" s="162" t="s">
        <v>604</v>
      </c>
      <c r="G1548" s="163"/>
      <c r="H1548" s="81" t="s">
        <v>2007</v>
      </c>
      <c r="I1548" s="81" t="s">
        <v>1476</v>
      </c>
      <c r="J1548" s="81" t="s">
        <v>153</v>
      </c>
      <c r="K1548" s="81" t="s">
        <v>2028</v>
      </c>
      <c r="L1548" s="81" t="s">
        <v>58</v>
      </c>
      <c r="M1548" s="164">
        <v>4.6493180000000001</v>
      </c>
      <c r="N1548" s="165"/>
      <c r="O1548" s="163"/>
      <c r="P1548" s="82">
        <v>400</v>
      </c>
      <c r="Q1548" s="164">
        <v>0</v>
      </c>
      <c r="R1548" s="163"/>
      <c r="S1548" s="81" t="s">
        <v>58</v>
      </c>
      <c r="T1548" s="82">
        <v>0</v>
      </c>
      <c r="U1548" s="82">
        <v>0</v>
      </c>
      <c r="V1548" s="82">
        <v>0</v>
      </c>
      <c r="W1548" s="82">
        <v>0</v>
      </c>
      <c r="X1548" s="81"/>
      <c r="Y1548" s="81"/>
      <c r="Z1548" s="81" t="s">
        <v>58</v>
      </c>
      <c r="AA1548" s="81" t="s">
        <v>58</v>
      </c>
      <c r="AB1548" s="81" t="s">
        <v>58</v>
      </c>
      <c r="AC1548" s="83">
        <v>46127</v>
      </c>
    </row>
    <row r="1549" spans="2:29" ht="23" x14ac:dyDescent="0.35">
      <c r="B1549" s="81" t="s">
        <v>338</v>
      </c>
      <c r="C1549" s="81" t="s">
        <v>339</v>
      </c>
      <c r="D1549" s="81" t="s">
        <v>340</v>
      </c>
      <c r="E1549" s="81" t="s">
        <v>603</v>
      </c>
      <c r="F1549" s="162" t="s">
        <v>604</v>
      </c>
      <c r="G1549" s="163"/>
      <c r="H1549" s="81" t="s">
        <v>2007</v>
      </c>
      <c r="I1549" s="81" t="s">
        <v>1476</v>
      </c>
      <c r="J1549" s="81" t="s">
        <v>153</v>
      </c>
      <c r="K1549" s="81" t="s">
        <v>2029</v>
      </c>
      <c r="L1549" s="81" t="s">
        <v>58</v>
      </c>
      <c r="M1549" s="164">
        <v>4.6493180000000001</v>
      </c>
      <c r="N1549" s="165"/>
      <c r="O1549" s="163"/>
      <c r="P1549" s="82">
        <v>400</v>
      </c>
      <c r="Q1549" s="164">
        <v>0</v>
      </c>
      <c r="R1549" s="163"/>
      <c r="S1549" s="81" t="s">
        <v>58</v>
      </c>
      <c r="T1549" s="82">
        <v>0</v>
      </c>
      <c r="U1549" s="82">
        <v>0</v>
      </c>
      <c r="V1549" s="82">
        <v>0</v>
      </c>
      <c r="W1549" s="82">
        <v>0</v>
      </c>
      <c r="X1549" s="81"/>
      <c r="Y1549" s="81"/>
      <c r="Z1549" s="81" t="s">
        <v>58</v>
      </c>
      <c r="AA1549" s="81" t="s">
        <v>58</v>
      </c>
      <c r="AB1549" s="81" t="s">
        <v>58</v>
      </c>
      <c r="AC1549" s="83">
        <v>46127</v>
      </c>
    </row>
    <row r="1550" spans="2:29" ht="23" x14ac:dyDescent="0.35">
      <c r="B1550" s="81" t="s">
        <v>338</v>
      </c>
      <c r="C1550" s="81" t="s">
        <v>339</v>
      </c>
      <c r="D1550" s="81" t="s">
        <v>340</v>
      </c>
      <c r="E1550" s="81" t="s">
        <v>603</v>
      </c>
      <c r="F1550" s="162" t="s">
        <v>604</v>
      </c>
      <c r="G1550" s="163"/>
      <c r="H1550" s="81" t="s">
        <v>2007</v>
      </c>
      <c r="I1550" s="81" t="s">
        <v>1476</v>
      </c>
      <c r="J1550" s="81" t="s">
        <v>153</v>
      </c>
      <c r="K1550" s="81" t="s">
        <v>2030</v>
      </c>
      <c r="L1550" s="81" t="s">
        <v>58</v>
      </c>
      <c r="M1550" s="164">
        <v>1.8132340199999999</v>
      </c>
      <c r="N1550" s="165"/>
      <c r="O1550" s="163"/>
      <c r="P1550" s="82">
        <v>156</v>
      </c>
      <c r="Q1550" s="164">
        <v>0</v>
      </c>
      <c r="R1550" s="163"/>
      <c r="S1550" s="81" t="s">
        <v>58</v>
      </c>
      <c r="T1550" s="82">
        <v>0</v>
      </c>
      <c r="U1550" s="82">
        <v>0</v>
      </c>
      <c r="V1550" s="82">
        <v>0</v>
      </c>
      <c r="W1550" s="82">
        <v>0</v>
      </c>
      <c r="X1550" s="81"/>
      <c r="Y1550" s="81"/>
      <c r="Z1550" s="81" t="s">
        <v>58</v>
      </c>
      <c r="AA1550" s="81" t="s">
        <v>58</v>
      </c>
      <c r="AB1550" s="81" t="s">
        <v>58</v>
      </c>
      <c r="AC1550" s="83">
        <v>46127</v>
      </c>
    </row>
    <row r="1551" spans="2:29" ht="23" x14ac:dyDescent="0.35">
      <c r="B1551" s="81" t="s">
        <v>338</v>
      </c>
      <c r="C1551" s="81" t="s">
        <v>339</v>
      </c>
      <c r="D1551" s="81" t="s">
        <v>340</v>
      </c>
      <c r="E1551" s="81" t="s">
        <v>603</v>
      </c>
      <c r="F1551" s="162" t="s">
        <v>604</v>
      </c>
      <c r="G1551" s="163"/>
      <c r="H1551" s="81" t="s">
        <v>2007</v>
      </c>
      <c r="I1551" s="81" t="s">
        <v>1476</v>
      </c>
      <c r="J1551" s="81" t="s">
        <v>153</v>
      </c>
      <c r="K1551" s="81" t="s">
        <v>2031</v>
      </c>
      <c r="L1551" s="81" t="s">
        <v>58</v>
      </c>
      <c r="M1551" s="164">
        <v>4.7627160000000002</v>
      </c>
      <c r="N1551" s="165"/>
      <c r="O1551" s="163"/>
      <c r="P1551" s="82">
        <v>400</v>
      </c>
      <c r="Q1551" s="164">
        <v>0</v>
      </c>
      <c r="R1551" s="163"/>
      <c r="S1551" s="81" t="s">
        <v>58</v>
      </c>
      <c r="T1551" s="82">
        <v>0</v>
      </c>
      <c r="U1551" s="82">
        <v>0</v>
      </c>
      <c r="V1551" s="82">
        <v>0</v>
      </c>
      <c r="W1551" s="82">
        <v>0</v>
      </c>
      <c r="X1551" s="81"/>
      <c r="Y1551" s="81"/>
      <c r="Z1551" s="81" t="s">
        <v>58</v>
      </c>
      <c r="AA1551" s="81" t="s">
        <v>58</v>
      </c>
      <c r="AB1551" s="81" t="s">
        <v>58</v>
      </c>
      <c r="AC1551" s="83">
        <v>46127</v>
      </c>
    </row>
    <row r="1552" spans="2:29" ht="23" x14ac:dyDescent="0.35">
      <c r="B1552" s="81" t="s">
        <v>338</v>
      </c>
      <c r="C1552" s="81" t="s">
        <v>339</v>
      </c>
      <c r="D1552" s="81" t="s">
        <v>340</v>
      </c>
      <c r="E1552" s="81" t="s">
        <v>603</v>
      </c>
      <c r="F1552" s="162" t="s">
        <v>604</v>
      </c>
      <c r="G1552" s="163"/>
      <c r="H1552" s="81" t="s">
        <v>2007</v>
      </c>
      <c r="I1552" s="81" t="s">
        <v>1476</v>
      </c>
      <c r="J1552" s="81" t="s">
        <v>153</v>
      </c>
      <c r="K1552" s="81" t="s">
        <v>2032</v>
      </c>
      <c r="L1552" s="81" t="s">
        <v>58</v>
      </c>
      <c r="M1552" s="164">
        <v>4.7627160000000002</v>
      </c>
      <c r="N1552" s="165"/>
      <c r="O1552" s="163"/>
      <c r="P1552" s="82">
        <v>400</v>
      </c>
      <c r="Q1552" s="164">
        <v>0</v>
      </c>
      <c r="R1552" s="163"/>
      <c r="S1552" s="81" t="s">
        <v>58</v>
      </c>
      <c r="T1552" s="82">
        <v>0</v>
      </c>
      <c r="U1552" s="82">
        <v>0</v>
      </c>
      <c r="V1552" s="82">
        <v>0</v>
      </c>
      <c r="W1552" s="82">
        <v>0</v>
      </c>
      <c r="X1552" s="81"/>
      <c r="Y1552" s="81"/>
      <c r="Z1552" s="81" t="s">
        <v>58</v>
      </c>
      <c r="AA1552" s="81" t="s">
        <v>58</v>
      </c>
      <c r="AB1552" s="81" t="s">
        <v>58</v>
      </c>
      <c r="AC1552" s="83">
        <v>46127</v>
      </c>
    </row>
    <row r="1553" spans="2:29" ht="23" x14ac:dyDescent="0.35">
      <c r="B1553" s="81" t="s">
        <v>338</v>
      </c>
      <c r="C1553" s="81" t="s">
        <v>339</v>
      </c>
      <c r="D1553" s="81" t="s">
        <v>340</v>
      </c>
      <c r="E1553" s="81" t="s">
        <v>603</v>
      </c>
      <c r="F1553" s="162" t="s">
        <v>604</v>
      </c>
      <c r="G1553" s="163"/>
      <c r="H1553" s="81" t="s">
        <v>2007</v>
      </c>
      <c r="I1553" s="81" t="s">
        <v>1476</v>
      </c>
      <c r="J1553" s="81" t="s">
        <v>153</v>
      </c>
      <c r="K1553" s="81" t="s">
        <v>2033</v>
      </c>
      <c r="L1553" s="81" t="s">
        <v>58</v>
      </c>
      <c r="M1553" s="164">
        <v>4.7627160000000002</v>
      </c>
      <c r="N1553" s="165"/>
      <c r="O1553" s="163"/>
      <c r="P1553" s="82">
        <v>400</v>
      </c>
      <c r="Q1553" s="164">
        <v>0</v>
      </c>
      <c r="R1553" s="163"/>
      <c r="S1553" s="81" t="s">
        <v>58</v>
      </c>
      <c r="T1553" s="82">
        <v>0</v>
      </c>
      <c r="U1553" s="82">
        <v>0</v>
      </c>
      <c r="V1553" s="82">
        <v>0</v>
      </c>
      <c r="W1553" s="82">
        <v>0</v>
      </c>
      <c r="X1553" s="81"/>
      <c r="Y1553" s="81"/>
      <c r="Z1553" s="81" t="s">
        <v>58</v>
      </c>
      <c r="AA1553" s="81" t="s">
        <v>58</v>
      </c>
      <c r="AB1553" s="81" t="s">
        <v>58</v>
      </c>
      <c r="AC1553" s="83">
        <v>46127</v>
      </c>
    </row>
    <row r="1554" spans="2:29" ht="23" x14ac:dyDescent="0.35">
      <c r="B1554" s="81" t="s">
        <v>338</v>
      </c>
      <c r="C1554" s="81" t="s">
        <v>339</v>
      </c>
      <c r="D1554" s="81" t="s">
        <v>340</v>
      </c>
      <c r="E1554" s="81" t="s">
        <v>603</v>
      </c>
      <c r="F1554" s="162" t="s">
        <v>604</v>
      </c>
      <c r="G1554" s="163"/>
      <c r="H1554" s="81" t="s">
        <v>2007</v>
      </c>
      <c r="I1554" s="81" t="s">
        <v>1476</v>
      </c>
      <c r="J1554" s="81" t="s">
        <v>153</v>
      </c>
      <c r="K1554" s="81" t="s">
        <v>2034</v>
      </c>
      <c r="L1554" s="81" t="s">
        <v>58</v>
      </c>
      <c r="M1554" s="164">
        <v>4.7627160000000002</v>
      </c>
      <c r="N1554" s="165"/>
      <c r="O1554" s="163"/>
      <c r="P1554" s="82">
        <v>400</v>
      </c>
      <c r="Q1554" s="164">
        <v>0</v>
      </c>
      <c r="R1554" s="163"/>
      <c r="S1554" s="81" t="s">
        <v>58</v>
      </c>
      <c r="T1554" s="82">
        <v>0</v>
      </c>
      <c r="U1554" s="82">
        <v>0</v>
      </c>
      <c r="V1554" s="82">
        <v>0</v>
      </c>
      <c r="W1554" s="82">
        <v>0</v>
      </c>
      <c r="X1554" s="81"/>
      <c r="Y1554" s="81"/>
      <c r="Z1554" s="81" t="s">
        <v>58</v>
      </c>
      <c r="AA1554" s="81" t="s">
        <v>58</v>
      </c>
      <c r="AB1554" s="81" t="s">
        <v>58</v>
      </c>
      <c r="AC1554" s="83">
        <v>46127</v>
      </c>
    </row>
    <row r="1555" spans="2:29" ht="23" x14ac:dyDescent="0.35">
      <c r="B1555" s="81" t="s">
        <v>338</v>
      </c>
      <c r="C1555" s="81" t="s">
        <v>339</v>
      </c>
      <c r="D1555" s="81" t="s">
        <v>340</v>
      </c>
      <c r="E1555" s="81" t="s">
        <v>603</v>
      </c>
      <c r="F1555" s="162" t="s">
        <v>604</v>
      </c>
      <c r="G1555" s="163"/>
      <c r="H1555" s="81" t="s">
        <v>2007</v>
      </c>
      <c r="I1555" s="81" t="s">
        <v>1476</v>
      </c>
      <c r="J1555" s="81" t="s">
        <v>153</v>
      </c>
      <c r="K1555" s="81" t="s">
        <v>2035</v>
      </c>
      <c r="L1555" s="81" t="s">
        <v>58</v>
      </c>
      <c r="M1555" s="164">
        <v>4.7627160000000002</v>
      </c>
      <c r="N1555" s="165"/>
      <c r="O1555" s="163"/>
      <c r="P1555" s="82">
        <v>400</v>
      </c>
      <c r="Q1555" s="164">
        <v>0</v>
      </c>
      <c r="R1555" s="163"/>
      <c r="S1555" s="81" t="s">
        <v>58</v>
      </c>
      <c r="T1555" s="82">
        <v>0</v>
      </c>
      <c r="U1555" s="82">
        <v>0</v>
      </c>
      <c r="V1555" s="82">
        <v>0</v>
      </c>
      <c r="W1555" s="82">
        <v>0</v>
      </c>
      <c r="X1555" s="81"/>
      <c r="Y1555" s="81"/>
      <c r="Z1555" s="81" t="s">
        <v>58</v>
      </c>
      <c r="AA1555" s="81" t="s">
        <v>58</v>
      </c>
      <c r="AB1555" s="81" t="s">
        <v>58</v>
      </c>
      <c r="AC1555" s="83">
        <v>46127</v>
      </c>
    </row>
    <row r="1556" spans="2:29" ht="23" x14ac:dyDescent="0.35">
      <c r="B1556" s="81" t="s">
        <v>338</v>
      </c>
      <c r="C1556" s="81" t="s">
        <v>339</v>
      </c>
      <c r="D1556" s="81" t="s">
        <v>340</v>
      </c>
      <c r="E1556" s="81" t="s">
        <v>603</v>
      </c>
      <c r="F1556" s="162" t="s">
        <v>604</v>
      </c>
      <c r="G1556" s="163"/>
      <c r="H1556" s="81" t="s">
        <v>2007</v>
      </c>
      <c r="I1556" s="81" t="s">
        <v>1476</v>
      </c>
      <c r="J1556" s="81" t="s">
        <v>153</v>
      </c>
      <c r="K1556" s="81" t="s">
        <v>2036</v>
      </c>
      <c r="L1556" s="81" t="s">
        <v>58</v>
      </c>
      <c r="M1556" s="164">
        <v>4.7627160000000002</v>
      </c>
      <c r="N1556" s="165"/>
      <c r="O1556" s="163"/>
      <c r="P1556" s="82">
        <v>400</v>
      </c>
      <c r="Q1556" s="164">
        <v>0</v>
      </c>
      <c r="R1556" s="163"/>
      <c r="S1556" s="81" t="s">
        <v>58</v>
      </c>
      <c r="T1556" s="82">
        <v>0</v>
      </c>
      <c r="U1556" s="82">
        <v>0</v>
      </c>
      <c r="V1556" s="82">
        <v>0</v>
      </c>
      <c r="W1556" s="82">
        <v>0</v>
      </c>
      <c r="X1556" s="81"/>
      <c r="Y1556" s="81"/>
      <c r="Z1556" s="81" t="s">
        <v>58</v>
      </c>
      <c r="AA1556" s="81" t="s">
        <v>58</v>
      </c>
      <c r="AB1556" s="81" t="s">
        <v>58</v>
      </c>
      <c r="AC1556" s="83">
        <v>46127</v>
      </c>
    </row>
    <row r="1557" spans="2:29" ht="23" x14ac:dyDescent="0.35">
      <c r="B1557" s="81" t="s">
        <v>338</v>
      </c>
      <c r="C1557" s="81" t="s">
        <v>339</v>
      </c>
      <c r="D1557" s="81" t="s">
        <v>340</v>
      </c>
      <c r="E1557" s="81" t="s">
        <v>603</v>
      </c>
      <c r="F1557" s="162" t="s">
        <v>604</v>
      </c>
      <c r="G1557" s="163"/>
      <c r="H1557" s="81" t="s">
        <v>2007</v>
      </c>
      <c r="I1557" s="81" t="s">
        <v>1476</v>
      </c>
      <c r="J1557" s="81" t="s">
        <v>153</v>
      </c>
      <c r="K1557" s="81" t="s">
        <v>2037</v>
      </c>
      <c r="L1557" s="81" t="s">
        <v>58</v>
      </c>
      <c r="M1557" s="164">
        <v>4.8817839000000003</v>
      </c>
      <c r="N1557" s="165"/>
      <c r="O1557" s="163"/>
      <c r="P1557" s="82">
        <v>410</v>
      </c>
      <c r="Q1557" s="164">
        <v>0</v>
      </c>
      <c r="R1557" s="163"/>
      <c r="S1557" s="81" t="s">
        <v>58</v>
      </c>
      <c r="T1557" s="82">
        <v>0</v>
      </c>
      <c r="U1557" s="82">
        <v>0</v>
      </c>
      <c r="V1557" s="82">
        <v>0</v>
      </c>
      <c r="W1557" s="82">
        <v>0</v>
      </c>
      <c r="X1557" s="81"/>
      <c r="Y1557" s="81"/>
      <c r="Z1557" s="81" t="s">
        <v>58</v>
      </c>
      <c r="AA1557" s="81" t="s">
        <v>58</v>
      </c>
      <c r="AB1557" s="81" t="s">
        <v>58</v>
      </c>
      <c r="AC1557" s="83">
        <v>46127</v>
      </c>
    </row>
    <row r="1558" spans="2:29" ht="23" x14ac:dyDescent="0.35">
      <c r="B1558" s="81" t="s">
        <v>338</v>
      </c>
      <c r="C1558" s="81" t="s">
        <v>339</v>
      </c>
      <c r="D1558" s="81" t="s">
        <v>340</v>
      </c>
      <c r="E1558" s="81" t="s">
        <v>603</v>
      </c>
      <c r="F1558" s="162" t="s">
        <v>604</v>
      </c>
      <c r="G1558" s="163"/>
      <c r="H1558" s="81" t="s">
        <v>2007</v>
      </c>
      <c r="I1558" s="81" t="s">
        <v>1476</v>
      </c>
      <c r="J1558" s="81" t="s">
        <v>153</v>
      </c>
      <c r="K1558" s="81" t="s">
        <v>2038</v>
      </c>
      <c r="L1558" s="81" t="s">
        <v>58</v>
      </c>
      <c r="M1558" s="164">
        <v>4.8761140000000003</v>
      </c>
      <c r="N1558" s="165"/>
      <c r="O1558" s="163"/>
      <c r="P1558" s="82">
        <v>400</v>
      </c>
      <c r="Q1558" s="164">
        <v>0</v>
      </c>
      <c r="R1558" s="163"/>
      <c r="S1558" s="81" t="s">
        <v>58</v>
      </c>
      <c r="T1558" s="82">
        <v>0</v>
      </c>
      <c r="U1558" s="82">
        <v>0</v>
      </c>
      <c r="V1558" s="82">
        <v>0</v>
      </c>
      <c r="W1558" s="82">
        <v>0</v>
      </c>
      <c r="X1558" s="81"/>
      <c r="Y1558" s="81"/>
      <c r="Z1558" s="81" t="s">
        <v>58</v>
      </c>
      <c r="AA1558" s="81" t="s">
        <v>58</v>
      </c>
      <c r="AB1558" s="81" t="s">
        <v>58</v>
      </c>
      <c r="AC1558" s="83">
        <v>46127</v>
      </c>
    </row>
    <row r="1559" spans="2:29" ht="23" x14ac:dyDescent="0.35">
      <c r="B1559" s="81" t="s">
        <v>338</v>
      </c>
      <c r="C1559" s="81" t="s">
        <v>339</v>
      </c>
      <c r="D1559" s="81" t="s">
        <v>340</v>
      </c>
      <c r="E1559" s="81" t="s">
        <v>603</v>
      </c>
      <c r="F1559" s="162" t="s">
        <v>604</v>
      </c>
      <c r="G1559" s="163"/>
      <c r="H1559" s="81" t="s">
        <v>2007</v>
      </c>
      <c r="I1559" s="81" t="s">
        <v>1476</v>
      </c>
      <c r="J1559" s="81" t="s">
        <v>153</v>
      </c>
      <c r="K1559" s="81" t="s">
        <v>2039</v>
      </c>
      <c r="L1559" s="81" t="s">
        <v>58</v>
      </c>
      <c r="M1559" s="164">
        <v>4.8761140000000003</v>
      </c>
      <c r="N1559" s="165"/>
      <c r="O1559" s="163"/>
      <c r="P1559" s="82">
        <v>400</v>
      </c>
      <c r="Q1559" s="164">
        <v>0</v>
      </c>
      <c r="R1559" s="163"/>
      <c r="S1559" s="81" t="s">
        <v>58</v>
      </c>
      <c r="T1559" s="82">
        <v>0</v>
      </c>
      <c r="U1559" s="82">
        <v>0</v>
      </c>
      <c r="V1559" s="82">
        <v>0</v>
      </c>
      <c r="W1559" s="82">
        <v>0</v>
      </c>
      <c r="X1559" s="81"/>
      <c r="Y1559" s="81"/>
      <c r="Z1559" s="81" t="s">
        <v>58</v>
      </c>
      <c r="AA1559" s="81" t="s">
        <v>58</v>
      </c>
      <c r="AB1559" s="81" t="s">
        <v>58</v>
      </c>
      <c r="AC1559" s="83">
        <v>46127</v>
      </c>
    </row>
    <row r="1560" spans="2:29" ht="23" x14ac:dyDescent="0.35">
      <c r="B1560" s="81" t="s">
        <v>338</v>
      </c>
      <c r="C1560" s="81" t="s">
        <v>339</v>
      </c>
      <c r="D1560" s="81" t="s">
        <v>340</v>
      </c>
      <c r="E1560" s="81" t="s">
        <v>603</v>
      </c>
      <c r="F1560" s="162" t="s">
        <v>604</v>
      </c>
      <c r="G1560" s="163"/>
      <c r="H1560" s="81" t="s">
        <v>2007</v>
      </c>
      <c r="I1560" s="81" t="s">
        <v>1476</v>
      </c>
      <c r="J1560" s="81" t="s">
        <v>153</v>
      </c>
      <c r="K1560" s="81" t="s">
        <v>2040</v>
      </c>
      <c r="L1560" s="81" t="s">
        <v>58</v>
      </c>
      <c r="M1560" s="164">
        <v>4.8761140000000003</v>
      </c>
      <c r="N1560" s="165"/>
      <c r="O1560" s="163"/>
      <c r="P1560" s="82">
        <v>400</v>
      </c>
      <c r="Q1560" s="164">
        <v>0</v>
      </c>
      <c r="R1560" s="163"/>
      <c r="S1560" s="81" t="s">
        <v>58</v>
      </c>
      <c r="T1560" s="82">
        <v>0</v>
      </c>
      <c r="U1560" s="82">
        <v>0</v>
      </c>
      <c r="V1560" s="82">
        <v>0</v>
      </c>
      <c r="W1560" s="82">
        <v>0</v>
      </c>
      <c r="X1560" s="81"/>
      <c r="Y1560" s="81"/>
      <c r="Z1560" s="81" t="s">
        <v>58</v>
      </c>
      <c r="AA1560" s="81" t="s">
        <v>58</v>
      </c>
      <c r="AB1560" s="81" t="s">
        <v>58</v>
      </c>
      <c r="AC1560" s="83">
        <v>46127</v>
      </c>
    </row>
    <row r="1561" spans="2:29" ht="23" x14ac:dyDescent="0.35">
      <c r="B1561" s="81" t="s">
        <v>338</v>
      </c>
      <c r="C1561" s="81" t="s">
        <v>339</v>
      </c>
      <c r="D1561" s="81" t="s">
        <v>340</v>
      </c>
      <c r="E1561" s="81" t="s">
        <v>603</v>
      </c>
      <c r="F1561" s="162" t="s">
        <v>604</v>
      </c>
      <c r="G1561" s="163"/>
      <c r="H1561" s="81" t="s">
        <v>2007</v>
      </c>
      <c r="I1561" s="81" t="s">
        <v>1476</v>
      </c>
      <c r="J1561" s="81" t="s">
        <v>153</v>
      </c>
      <c r="K1561" s="81" t="s">
        <v>2041</v>
      </c>
      <c r="L1561" s="81" t="s">
        <v>58</v>
      </c>
      <c r="M1561" s="164">
        <v>4.8761140000000003</v>
      </c>
      <c r="N1561" s="165"/>
      <c r="O1561" s="163"/>
      <c r="P1561" s="82">
        <v>400</v>
      </c>
      <c r="Q1561" s="164">
        <v>0</v>
      </c>
      <c r="R1561" s="163"/>
      <c r="S1561" s="81" t="s">
        <v>58</v>
      </c>
      <c r="T1561" s="82">
        <v>0</v>
      </c>
      <c r="U1561" s="82">
        <v>0</v>
      </c>
      <c r="V1561" s="82">
        <v>0</v>
      </c>
      <c r="W1561" s="82">
        <v>0</v>
      </c>
      <c r="X1561" s="81"/>
      <c r="Y1561" s="81"/>
      <c r="Z1561" s="81" t="s">
        <v>58</v>
      </c>
      <c r="AA1561" s="81" t="s">
        <v>58</v>
      </c>
      <c r="AB1561" s="81" t="s">
        <v>58</v>
      </c>
      <c r="AC1561" s="83">
        <v>46127</v>
      </c>
    </row>
    <row r="1562" spans="2:29" ht="23" x14ac:dyDescent="0.35">
      <c r="B1562" s="81" t="s">
        <v>338</v>
      </c>
      <c r="C1562" s="81" t="s">
        <v>339</v>
      </c>
      <c r="D1562" s="81" t="s">
        <v>340</v>
      </c>
      <c r="E1562" s="81" t="s">
        <v>603</v>
      </c>
      <c r="F1562" s="162" t="s">
        <v>604</v>
      </c>
      <c r="G1562" s="163"/>
      <c r="H1562" s="81" t="s">
        <v>2007</v>
      </c>
      <c r="I1562" s="81" t="s">
        <v>1476</v>
      </c>
      <c r="J1562" s="81" t="s">
        <v>153</v>
      </c>
      <c r="K1562" s="81" t="s">
        <v>2042</v>
      </c>
      <c r="L1562" s="81" t="s">
        <v>58</v>
      </c>
      <c r="M1562" s="164">
        <v>5.4368671099999997</v>
      </c>
      <c r="N1562" s="165"/>
      <c r="O1562" s="163"/>
      <c r="P1562" s="82">
        <v>446</v>
      </c>
      <c r="Q1562" s="164">
        <v>0</v>
      </c>
      <c r="R1562" s="163"/>
      <c r="S1562" s="81" t="s">
        <v>58</v>
      </c>
      <c r="T1562" s="82">
        <v>0</v>
      </c>
      <c r="U1562" s="82">
        <v>0</v>
      </c>
      <c r="V1562" s="82">
        <v>0</v>
      </c>
      <c r="W1562" s="82">
        <v>0</v>
      </c>
      <c r="X1562" s="81"/>
      <c r="Y1562" s="81"/>
      <c r="Z1562" s="81" t="s">
        <v>58</v>
      </c>
      <c r="AA1562" s="81" t="s">
        <v>58</v>
      </c>
      <c r="AB1562" s="81" t="s">
        <v>58</v>
      </c>
      <c r="AC1562" s="83">
        <v>46127</v>
      </c>
    </row>
    <row r="1563" spans="2:29" ht="23" x14ac:dyDescent="0.35">
      <c r="B1563" s="81" t="s">
        <v>338</v>
      </c>
      <c r="C1563" s="81" t="s">
        <v>339</v>
      </c>
      <c r="D1563" s="81" t="s">
        <v>340</v>
      </c>
      <c r="E1563" s="81" t="s">
        <v>603</v>
      </c>
      <c r="F1563" s="162" t="s">
        <v>604</v>
      </c>
      <c r="G1563" s="163"/>
      <c r="H1563" s="81" t="s">
        <v>2007</v>
      </c>
      <c r="I1563" s="81" t="s">
        <v>1476</v>
      </c>
      <c r="J1563" s="81" t="s">
        <v>153</v>
      </c>
      <c r="K1563" s="81" t="s">
        <v>2043</v>
      </c>
      <c r="L1563" s="81" t="s">
        <v>58</v>
      </c>
      <c r="M1563" s="164">
        <v>5.0121916000000004</v>
      </c>
      <c r="N1563" s="165"/>
      <c r="O1563" s="163"/>
      <c r="P1563" s="82">
        <v>400</v>
      </c>
      <c r="Q1563" s="164">
        <v>0</v>
      </c>
      <c r="R1563" s="163"/>
      <c r="S1563" s="81" t="s">
        <v>58</v>
      </c>
      <c r="T1563" s="82">
        <v>0</v>
      </c>
      <c r="U1563" s="82">
        <v>0</v>
      </c>
      <c r="V1563" s="82">
        <v>0</v>
      </c>
      <c r="W1563" s="82">
        <v>0</v>
      </c>
      <c r="X1563" s="81"/>
      <c r="Y1563" s="81"/>
      <c r="Z1563" s="81" t="s">
        <v>58</v>
      </c>
      <c r="AA1563" s="81" t="s">
        <v>58</v>
      </c>
      <c r="AB1563" s="81" t="s">
        <v>58</v>
      </c>
      <c r="AC1563" s="83">
        <v>46127</v>
      </c>
    </row>
    <row r="1564" spans="2:29" ht="23" x14ac:dyDescent="0.35">
      <c r="B1564" s="81" t="s">
        <v>338</v>
      </c>
      <c r="C1564" s="81" t="s">
        <v>339</v>
      </c>
      <c r="D1564" s="81" t="s">
        <v>340</v>
      </c>
      <c r="E1564" s="81" t="s">
        <v>603</v>
      </c>
      <c r="F1564" s="162" t="s">
        <v>604</v>
      </c>
      <c r="G1564" s="163"/>
      <c r="H1564" s="81" t="s">
        <v>2007</v>
      </c>
      <c r="I1564" s="81" t="s">
        <v>1476</v>
      </c>
      <c r="J1564" s="81" t="s">
        <v>153</v>
      </c>
      <c r="K1564" s="81" t="s">
        <v>2044</v>
      </c>
      <c r="L1564" s="81" t="s">
        <v>58</v>
      </c>
      <c r="M1564" s="164">
        <v>5.0121916000000004</v>
      </c>
      <c r="N1564" s="165"/>
      <c r="O1564" s="163"/>
      <c r="P1564" s="82">
        <v>400</v>
      </c>
      <c r="Q1564" s="164">
        <v>0</v>
      </c>
      <c r="R1564" s="163"/>
      <c r="S1564" s="81" t="s">
        <v>58</v>
      </c>
      <c r="T1564" s="82">
        <v>0</v>
      </c>
      <c r="U1564" s="82">
        <v>0</v>
      </c>
      <c r="V1564" s="82">
        <v>0</v>
      </c>
      <c r="W1564" s="82">
        <v>0</v>
      </c>
      <c r="X1564" s="81"/>
      <c r="Y1564" s="81"/>
      <c r="Z1564" s="81" t="s">
        <v>58</v>
      </c>
      <c r="AA1564" s="81" t="s">
        <v>58</v>
      </c>
      <c r="AB1564" s="81" t="s">
        <v>58</v>
      </c>
      <c r="AC1564" s="83">
        <v>46127</v>
      </c>
    </row>
    <row r="1565" spans="2:29" ht="23" x14ac:dyDescent="0.35">
      <c r="B1565" s="81" t="s">
        <v>338</v>
      </c>
      <c r="C1565" s="81" t="s">
        <v>339</v>
      </c>
      <c r="D1565" s="81" t="s">
        <v>340</v>
      </c>
      <c r="E1565" s="81" t="s">
        <v>771</v>
      </c>
      <c r="F1565" s="162" t="s">
        <v>772</v>
      </c>
      <c r="G1565" s="163"/>
      <c r="H1565" s="81" t="s">
        <v>2045</v>
      </c>
      <c r="I1565" s="81" t="s">
        <v>1436</v>
      </c>
      <c r="J1565" s="81" t="s">
        <v>154</v>
      </c>
      <c r="K1565" s="81" t="s">
        <v>2046</v>
      </c>
      <c r="L1565" s="81" t="s">
        <v>58</v>
      </c>
      <c r="M1565" s="164">
        <v>2.7242735520000001</v>
      </c>
      <c r="N1565" s="165"/>
      <c r="O1565" s="163"/>
      <c r="P1565" s="82">
        <v>104</v>
      </c>
      <c r="Q1565" s="164">
        <v>0</v>
      </c>
      <c r="R1565" s="163"/>
      <c r="S1565" s="81" t="s">
        <v>58</v>
      </c>
      <c r="T1565" s="82">
        <v>0</v>
      </c>
      <c r="U1565" s="82">
        <v>0</v>
      </c>
      <c r="V1565" s="82">
        <v>0</v>
      </c>
      <c r="W1565" s="82">
        <v>0</v>
      </c>
      <c r="X1565" s="81"/>
      <c r="Y1565" s="81"/>
      <c r="Z1565" s="81" t="s">
        <v>58</v>
      </c>
      <c r="AA1565" s="81" t="s">
        <v>58</v>
      </c>
      <c r="AB1565" s="81" t="s">
        <v>58</v>
      </c>
      <c r="AC1565" s="83">
        <v>46132</v>
      </c>
    </row>
    <row r="1566" spans="2:29" ht="23" x14ac:dyDescent="0.35">
      <c r="B1566" s="81" t="s">
        <v>338</v>
      </c>
      <c r="C1566" s="81" t="s">
        <v>339</v>
      </c>
      <c r="D1566" s="81" t="s">
        <v>340</v>
      </c>
      <c r="E1566" s="81" t="s">
        <v>771</v>
      </c>
      <c r="F1566" s="162" t="s">
        <v>772</v>
      </c>
      <c r="G1566" s="163"/>
      <c r="H1566" s="81" t="s">
        <v>2045</v>
      </c>
      <c r="I1566" s="81" t="s">
        <v>1436</v>
      </c>
      <c r="J1566" s="81" t="s">
        <v>154</v>
      </c>
      <c r="K1566" s="81" t="s">
        <v>2047</v>
      </c>
      <c r="L1566" s="81" t="s">
        <v>58</v>
      </c>
      <c r="M1566" s="164">
        <v>5.4431039999999999</v>
      </c>
      <c r="N1566" s="165"/>
      <c r="O1566" s="163"/>
      <c r="P1566" s="82">
        <v>200</v>
      </c>
      <c r="Q1566" s="164">
        <v>0</v>
      </c>
      <c r="R1566" s="163"/>
      <c r="S1566" s="81" t="s">
        <v>58</v>
      </c>
      <c r="T1566" s="82">
        <v>0</v>
      </c>
      <c r="U1566" s="82">
        <v>0</v>
      </c>
      <c r="V1566" s="82">
        <v>0</v>
      </c>
      <c r="W1566" s="82">
        <v>0</v>
      </c>
      <c r="X1566" s="81"/>
      <c r="Y1566" s="81"/>
      <c r="Z1566" s="81" t="s">
        <v>58</v>
      </c>
      <c r="AA1566" s="81" t="s">
        <v>58</v>
      </c>
      <c r="AB1566" s="81" t="s">
        <v>58</v>
      </c>
      <c r="AC1566" s="83">
        <v>46132</v>
      </c>
    </row>
    <row r="1567" spans="2:29" ht="23" x14ac:dyDescent="0.35">
      <c r="B1567" s="81" t="s">
        <v>338</v>
      </c>
      <c r="C1567" s="81" t="s">
        <v>339</v>
      </c>
      <c r="D1567" s="81" t="s">
        <v>340</v>
      </c>
      <c r="E1567" s="81" t="s">
        <v>771</v>
      </c>
      <c r="F1567" s="162" t="s">
        <v>772</v>
      </c>
      <c r="G1567" s="163"/>
      <c r="H1567" s="81" t="s">
        <v>2045</v>
      </c>
      <c r="I1567" s="81" t="s">
        <v>1436</v>
      </c>
      <c r="J1567" s="81" t="s">
        <v>154</v>
      </c>
      <c r="K1567" s="81" t="s">
        <v>2048</v>
      </c>
      <c r="L1567" s="81" t="s">
        <v>58</v>
      </c>
      <c r="M1567" s="164">
        <v>3.7285262399999999</v>
      </c>
      <c r="N1567" s="165"/>
      <c r="O1567" s="163"/>
      <c r="P1567" s="82">
        <v>137</v>
      </c>
      <c r="Q1567" s="164">
        <v>0</v>
      </c>
      <c r="R1567" s="163"/>
      <c r="S1567" s="81" t="s">
        <v>58</v>
      </c>
      <c r="T1567" s="82">
        <v>0</v>
      </c>
      <c r="U1567" s="82">
        <v>0</v>
      </c>
      <c r="V1567" s="82">
        <v>0</v>
      </c>
      <c r="W1567" s="82">
        <v>0</v>
      </c>
      <c r="X1567" s="81"/>
      <c r="Y1567" s="81"/>
      <c r="Z1567" s="81" t="s">
        <v>58</v>
      </c>
      <c r="AA1567" s="81" t="s">
        <v>58</v>
      </c>
      <c r="AB1567" s="81" t="s">
        <v>58</v>
      </c>
      <c r="AC1567" s="83">
        <v>46132</v>
      </c>
    </row>
    <row r="1568" spans="2:29" ht="23" x14ac:dyDescent="0.35">
      <c r="B1568" s="81" t="s">
        <v>338</v>
      </c>
      <c r="C1568" s="81" t="s">
        <v>339</v>
      </c>
      <c r="D1568" s="81" t="s">
        <v>340</v>
      </c>
      <c r="E1568" s="81" t="s">
        <v>771</v>
      </c>
      <c r="F1568" s="162" t="s">
        <v>772</v>
      </c>
      <c r="G1568" s="163"/>
      <c r="H1568" s="81" t="s">
        <v>2045</v>
      </c>
      <c r="I1568" s="81" t="s">
        <v>1436</v>
      </c>
      <c r="J1568" s="81" t="s">
        <v>154</v>
      </c>
      <c r="K1568" s="81" t="s">
        <v>2049</v>
      </c>
      <c r="L1568" s="81" t="s">
        <v>58</v>
      </c>
      <c r="M1568" s="164">
        <v>5.6415505000000001</v>
      </c>
      <c r="N1568" s="165"/>
      <c r="O1568" s="163"/>
      <c r="P1568" s="82">
        <v>200</v>
      </c>
      <c r="Q1568" s="164">
        <v>0</v>
      </c>
      <c r="R1568" s="163"/>
      <c r="S1568" s="81" t="s">
        <v>58</v>
      </c>
      <c r="T1568" s="82">
        <v>0</v>
      </c>
      <c r="U1568" s="82">
        <v>0</v>
      </c>
      <c r="V1568" s="82">
        <v>0</v>
      </c>
      <c r="W1568" s="82">
        <v>0</v>
      </c>
      <c r="X1568" s="81"/>
      <c r="Y1568" s="81"/>
      <c r="Z1568" s="81" t="s">
        <v>58</v>
      </c>
      <c r="AA1568" s="81" t="s">
        <v>58</v>
      </c>
      <c r="AB1568" s="81" t="s">
        <v>58</v>
      </c>
      <c r="AC1568" s="83">
        <v>46132</v>
      </c>
    </row>
    <row r="1569" spans="2:29" ht="23" x14ac:dyDescent="0.35">
      <c r="B1569" s="81" t="s">
        <v>338</v>
      </c>
      <c r="C1569" s="81" t="s">
        <v>339</v>
      </c>
      <c r="D1569" s="81" t="s">
        <v>340</v>
      </c>
      <c r="E1569" s="81" t="s">
        <v>771</v>
      </c>
      <c r="F1569" s="162" t="s">
        <v>772</v>
      </c>
      <c r="G1569" s="163"/>
      <c r="H1569" s="81" t="s">
        <v>2045</v>
      </c>
      <c r="I1569" s="81" t="s">
        <v>1436</v>
      </c>
      <c r="J1569" s="81" t="s">
        <v>154</v>
      </c>
      <c r="K1569" s="81" t="s">
        <v>2050</v>
      </c>
      <c r="L1569" s="81" t="s">
        <v>58</v>
      </c>
      <c r="M1569" s="164">
        <v>5.6415505000000001</v>
      </c>
      <c r="N1569" s="165"/>
      <c r="O1569" s="163"/>
      <c r="P1569" s="82">
        <v>200</v>
      </c>
      <c r="Q1569" s="164">
        <v>0</v>
      </c>
      <c r="R1569" s="163"/>
      <c r="S1569" s="81" t="s">
        <v>58</v>
      </c>
      <c r="T1569" s="82">
        <v>0</v>
      </c>
      <c r="U1569" s="82">
        <v>0</v>
      </c>
      <c r="V1569" s="82">
        <v>0</v>
      </c>
      <c r="W1569" s="82">
        <v>0</v>
      </c>
      <c r="X1569" s="81"/>
      <c r="Y1569" s="81"/>
      <c r="Z1569" s="81" t="s">
        <v>58</v>
      </c>
      <c r="AA1569" s="81" t="s">
        <v>58</v>
      </c>
      <c r="AB1569" s="81" t="s">
        <v>58</v>
      </c>
      <c r="AC1569" s="83">
        <v>46132</v>
      </c>
    </row>
    <row r="1570" spans="2:29" ht="23" x14ac:dyDescent="0.35">
      <c r="B1570" s="81" t="s">
        <v>338</v>
      </c>
      <c r="C1570" s="81" t="s">
        <v>339</v>
      </c>
      <c r="D1570" s="81" t="s">
        <v>340</v>
      </c>
      <c r="E1570" s="81" t="s">
        <v>771</v>
      </c>
      <c r="F1570" s="162" t="s">
        <v>772</v>
      </c>
      <c r="G1570" s="163"/>
      <c r="H1570" s="81" t="s">
        <v>2045</v>
      </c>
      <c r="I1570" s="81" t="s">
        <v>1436</v>
      </c>
      <c r="J1570" s="81" t="s">
        <v>154</v>
      </c>
      <c r="K1570" s="81" t="s">
        <v>2051</v>
      </c>
      <c r="L1570" s="81" t="s">
        <v>58</v>
      </c>
      <c r="M1570" s="164">
        <v>5.6415505000000001</v>
      </c>
      <c r="N1570" s="165"/>
      <c r="O1570" s="163"/>
      <c r="P1570" s="82">
        <v>200</v>
      </c>
      <c r="Q1570" s="164">
        <v>0</v>
      </c>
      <c r="R1570" s="163"/>
      <c r="S1570" s="81" t="s">
        <v>58</v>
      </c>
      <c r="T1570" s="82">
        <v>0</v>
      </c>
      <c r="U1570" s="82">
        <v>0</v>
      </c>
      <c r="V1570" s="82">
        <v>0</v>
      </c>
      <c r="W1570" s="82">
        <v>0</v>
      </c>
      <c r="X1570" s="81"/>
      <c r="Y1570" s="81"/>
      <c r="Z1570" s="81" t="s">
        <v>58</v>
      </c>
      <c r="AA1570" s="81" t="s">
        <v>58</v>
      </c>
      <c r="AB1570" s="81" t="s">
        <v>58</v>
      </c>
      <c r="AC1570" s="83">
        <v>46132</v>
      </c>
    </row>
    <row r="1571" spans="2:29" ht="23" x14ac:dyDescent="0.35">
      <c r="B1571" s="81" t="s">
        <v>338</v>
      </c>
      <c r="C1571" s="81" t="s">
        <v>339</v>
      </c>
      <c r="D1571" s="81" t="s">
        <v>340</v>
      </c>
      <c r="E1571" s="81" t="s">
        <v>771</v>
      </c>
      <c r="F1571" s="162" t="s">
        <v>772</v>
      </c>
      <c r="G1571" s="163"/>
      <c r="H1571" s="81" t="s">
        <v>2045</v>
      </c>
      <c r="I1571" s="81" t="s">
        <v>1436</v>
      </c>
      <c r="J1571" s="81" t="s">
        <v>154</v>
      </c>
      <c r="K1571" s="81" t="s">
        <v>2052</v>
      </c>
      <c r="L1571" s="81" t="s">
        <v>58</v>
      </c>
      <c r="M1571" s="164">
        <v>5.6415505000000001</v>
      </c>
      <c r="N1571" s="165"/>
      <c r="O1571" s="163"/>
      <c r="P1571" s="82">
        <v>200</v>
      </c>
      <c r="Q1571" s="164">
        <v>0</v>
      </c>
      <c r="R1571" s="163"/>
      <c r="S1571" s="81" t="s">
        <v>58</v>
      </c>
      <c r="T1571" s="82">
        <v>0</v>
      </c>
      <c r="U1571" s="82">
        <v>0</v>
      </c>
      <c r="V1571" s="82">
        <v>0</v>
      </c>
      <c r="W1571" s="82">
        <v>0</v>
      </c>
      <c r="X1571" s="81"/>
      <c r="Y1571" s="81"/>
      <c r="Z1571" s="81" t="s">
        <v>58</v>
      </c>
      <c r="AA1571" s="81" t="s">
        <v>58</v>
      </c>
      <c r="AB1571" s="81" t="s">
        <v>58</v>
      </c>
      <c r="AC1571" s="83">
        <v>46132</v>
      </c>
    </row>
    <row r="1572" spans="2:29" ht="23" x14ac:dyDescent="0.35">
      <c r="B1572" s="81" t="s">
        <v>338</v>
      </c>
      <c r="C1572" s="81" t="s">
        <v>339</v>
      </c>
      <c r="D1572" s="81" t="s">
        <v>340</v>
      </c>
      <c r="E1572" s="81" t="s">
        <v>771</v>
      </c>
      <c r="F1572" s="162" t="s">
        <v>772</v>
      </c>
      <c r="G1572" s="163"/>
      <c r="H1572" s="81" t="s">
        <v>2045</v>
      </c>
      <c r="I1572" s="81" t="s">
        <v>1436</v>
      </c>
      <c r="J1572" s="81" t="s">
        <v>154</v>
      </c>
      <c r="K1572" s="81" t="s">
        <v>2053</v>
      </c>
      <c r="L1572" s="81" t="s">
        <v>58</v>
      </c>
      <c r="M1572" s="164">
        <v>4.2029551224999997</v>
      </c>
      <c r="N1572" s="165"/>
      <c r="O1572" s="163"/>
      <c r="P1572" s="82">
        <v>149</v>
      </c>
      <c r="Q1572" s="164">
        <v>0</v>
      </c>
      <c r="R1572" s="163"/>
      <c r="S1572" s="81" t="s">
        <v>58</v>
      </c>
      <c r="T1572" s="82">
        <v>0</v>
      </c>
      <c r="U1572" s="82">
        <v>0</v>
      </c>
      <c r="V1572" s="82">
        <v>0</v>
      </c>
      <c r="W1572" s="82">
        <v>0</v>
      </c>
      <c r="X1572" s="81"/>
      <c r="Y1572" s="81"/>
      <c r="Z1572" s="81" t="s">
        <v>58</v>
      </c>
      <c r="AA1572" s="81" t="s">
        <v>58</v>
      </c>
      <c r="AB1572" s="81" t="s">
        <v>58</v>
      </c>
      <c r="AC1572" s="83">
        <v>46132</v>
      </c>
    </row>
    <row r="1573" spans="2:29" ht="23" x14ac:dyDescent="0.35">
      <c r="B1573" s="81" t="s">
        <v>338</v>
      </c>
      <c r="C1573" s="81" t="s">
        <v>339</v>
      </c>
      <c r="D1573" s="81" t="s">
        <v>340</v>
      </c>
      <c r="E1573" s="81" t="s">
        <v>771</v>
      </c>
      <c r="F1573" s="162" t="s">
        <v>772</v>
      </c>
      <c r="G1573" s="163"/>
      <c r="H1573" s="81" t="s">
        <v>2045</v>
      </c>
      <c r="I1573" s="81" t="s">
        <v>1436</v>
      </c>
      <c r="J1573" s="81" t="s">
        <v>154</v>
      </c>
      <c r="K1573" s="81" t="s">
        <v>2054</v>
      </c>
      <c r="L1573" s="81" t="s">
        <v>58</v>
      </c>
      <c r="M1573" s="164">
        <v>5.8399970000000003</v>
      </c>
      <c r="N1573" s="165"/>
      <c r="O1573" s="163"/>
      <c r="P1573" s="82">
        <v>200</v>
      </c>
      <c r="Q1573" s="164">
        <v>0</v>
      </c>
      <c r="R1573" s="163"/>
      <c r="S1573" s="81" t="s">
        <v>58</v>
      </c>
      <c r="T1573" s="82">
        <v>0</v>
      </c>
      <c r="U1573" s="82">
        <v>0</v>
      </c>
      <c r="V1573" s="82">
        <v>0</v>
      </c>
      <c r="W1573" s="82">
        <v>0</v>
      </c>
      <c r="X1573" s="81"/>
      <c r="Y1573" s="81"/>
      <c r="Z1573" s="81" t="s">
        <v>58</v>
      </c>
      <c r="AA1573" s="81" t="s">
        <v>58</v>
      </c>
      <c r="AB1573" s="81" t="s">
        <v>58</v>
      </c>
      <c r="AC1573" s="83">
        <v>46132</v>
      </c>
    </row>
    <row r="1574" spans="2:29" ht="23" x14ac:dyDescent="0.35">
      <c r="B1574" s="81" t="s">
        <v>338</v>
      </c>
      <c r="C1574" s="81" t="s">
        <v>339</v>
      </c>
      <c r="D1574" s="81" t="s">
        <v>340</v>
      </c>
      <c r="E1574" s="81" t="s">
        <v>771</v>
      </c>
      <c r="F1574" s="162" t="s">
        <v>772</v>
      </c>
      <c r="G1574" s="163"/>
      <c r="H1574" s="81" t="s">
        <v>2045</v>
      </c>
      <c r="I1574" s="81" t="s">
        <v>1436</v>
      </c>
      <c r="J1574" s="81" t="s">
        <v>154</v>
      </c>
      <c r="K1574" s="81" t="s">
        <v>2055</v>
      </c>
      <c r="L1574" s="81" t="s">
        <v>58</v>
      </c>
      <c r="M1574" s="164">
        <v>5.8399970000000003</v>
      </c>
      <c r="N1574" s="165"/>
      <c r="O1574" s="163"/>
      <c r="P1574" s="82">
        <v>200</v>
      </c>
      <c r="Q1574" s="164">
        <v>0</v>
      </c>
      <c r="R1574" s="163"/>
      <c r="S1574" s="81" t="s">
        <v>58</v>
      </c>
      <c r="T1574" s="82">
        <v>0</v>
      </c>
      <c r="U1574" s="82">
        <v>0</v>
      </c>
      <c r="V1574" s="82">
        <v>0</v>
      </c>
      <c r="W1574" s="82">
        <v>0</v>
      </c>
      <c r="X1574" s="81"/>
      <c r="Y1574" s="81"/>
      <c r="Z1574" s="81" t="s">
        <v>58</v>
      </c>
      <c r="AA1574" s="81" t="s">
        <v>58</v>
      </c>
      <c r="AB1574" s="81" t="s">
        <v>58</v>
      </c>
      <c r="AC1574" s="83">
        <v>46132</v>
      </c>
    </row>
    <row r="1575" spans="2:29" ht="23" x14ac:dyDescent="0.35">
      <c r="B1575" s="81" t="s">
        <v>338</v>
      </c>
      <c r="C1575" s="81" t="s">
        <v>339</v>
      </c>
      <c r="D1575" s="81" t="s">
        <v>340</v>
      </c>
      <c r="E1575" s="81" t="s">
        <v>771</v>
      </c>
      <c r="F1575" s="162" t="s">
        <v>772</v>
      </c>
      <c r="G1575" s="163"/>
      <c r="H1575" s="81" t="s">
        <v>2045</v>
      </c>
      <c r="I1575" s="81" t="s">
        <v>1436</v>
      </c>
      <c r="J1575" s="81" t="s">
        <v>154</v>
      </c>
      <c r="K1575" s="81" t="s">
        <v>2056</v>
      </c>
      <c r="L1575" s="81" t="s">
        <v>58</v>
      </c>
      <c r="M1575" s="164">
        <v>5.8399970000000003</v>
      </c>
      <c r="N1575" s="165"/>
      <c r="O1575" s="163"/>
      <c r="P1575" s="82">
        <v>200</v>
      </c>
      <c r="Q1575" s="164">
        <v>0</v>
      </c>
      <c r="R1575" s="163"/>
      <c r="S1575" s="81" t="s">
        <v>58</v>
      </c>
      <c r="T1575" s="82">
        <v>0</v>
      </c>
      <c r="U1575" s="82">
        <v>0</v>
      </c>
      <c r="V1575" s="82">
        <v>0</v>
      </c>
      <c r="W1575" s="82">
        <v>0</v>
      </c>
      <c r="X1575" s="81"/>
      <c r="Y1575" s="81"/>
      <c r="Z1575" s="81" t="s">
        <v>58</v>
      </c>
      <c r="AA1575" s="81" t="s">
        <v>58</v>
      </c>
      <c r="AB1575" s="81" t="s">
        <v>58</v>
      </c>
      <c r="AC1575" s="83">
        <v>46132</v>
      </c>
    </row>
    <row r="1576" spans="2:29" ht="23" x14ac:dyDescent="0.35">
      <c r="B1576" s="81" t="s">
        <v>338</v>
      </c>
      <c r="C1576" s="81" t="s">
        <v>339</v>
      </c>
      <c r="D1576" s="81" t="s">
        <v>340</v>
      </c>
      <c r="E1576" s="81" t="s">
        <v>771</v>
      </c>
      <c r="F1576" s="162" t="s">
        <v>772</v>
      </c>
      <c r="G1576" s="163"/>
      <c r="H1576" s="81" t="s">
        <v>2045</v>
      </c>
      <c r="I1576" s="81" t="s">
        <v>1436</v>
      </c>
      <c r="J1576" s="81" t="s">
        <v>154</v>
      </c>
      <c r="K1576" s="81" t="s">
        <v>2057</v>
      </c>
      <c r="L1576" s="81" t="s">
        <v>58</v>
      </c>
      <c r="M1576" s="164">
        <v>5.8399970000000003</v>
      </c>
      <c r="N1576" s="165"/>
      <c r="O1576" s="163"/>
      <c r="P1576" s="82">
        <v>200</v>
      </c>
      <c r="Q1576" s="164">
        <v>0</v>
      </c>
      <c r="R1576" s="163"/>
      <c r="S1576" s="81" t="s">
        <v>58</v>
      </c>
      <c r="T1576" s="82">
        <v>0</v>
      </c>
      <c r="U1576" s="82">
        <v>0</v>
      </c>
      <c r="V1576" s="82">
        <v>0</v>
      </c>
      <c r="W1576" s="82">
        <v>0</v>
      </c>
      <c r="X1576" s="81"/>
      <c r="Y1576" s="81"/>
      <c r="Z1576" s="81" t="s">
        <v>58</v>
      </c>
      <c r="AA1576" s="81" t="s">
        <v>58</v>
      </c>
      <c r="AB1576" s="81" t="s">
        <v>58</v>
      </c>
      <c r="AC1576" s="83">
        <v>46132</v>
      </c>
    </row>
    <row r="1577" spans="2:29" ht="23" x14ac:dyDescent="0.35">
      <c r="B1577" s="81" t="s">
        <v>338</v>
      </c>
      <c r="C1577" s="81" t="s">
        <v>339</v>
      </c>
      <c r="D1577" s="81" t="s">
        <v>340</v>
      </c>
      <c r="E1577" s="81" t="s">
        <v>771</v>
      </c>
      <c r="F1577" s="162" t="s">
        <v>772</v>
      </c>
      <c r="G1577" s="163"/>
      <c r="H1577" s="81" t="s">
        <v>2045</v>
      </c>
      <c r="I1577" s="81" t="s">
        <v>1436</v>
      </c>
      <c r="J1577" s="81" t="s">
        <v>154</v>
      </c>
      <c r="K1577" s="81" t="s">
        <v>2058</v>
      </c>
      <c r="L1577" s="81" t="s">
        <v>58</v>
      </c>
      <c r="M1577" s="164">
        <v>5.8399970000000003</v>
      </c>
      <c r="N1577" s="165"/>
      <c r="O1577" s="163"/>
      <c r="P1577" s="82">
        <v>200</v>
      </c>
      <c r="Q1577" s="164">
        <v>0</v>
      </c>
      <c r="R1577" s="163"/>
      <c r="S1577" s="81" t="s">
        <v>58</v>
      </c>
      <c r="T1577" s="82">
        <v>0</v>
      </c>
      <c r="U1577" s="82">
        <v>0</v>
      </c>
      <c r="V1577" s="82">
        <v>0</v>
      </c>
      <c r="W1577" s="82">
        <v>0</v>
      </c>
      <c r="X1577" s="81"/>
      <c r="Y1577" s="81"/>
      <c r="Z1577" s="81" t="s">
        <v>58</v>
      </c>
      <c r="AA1577" s="81" t="s">
        <v>58</v>
      </c>
      <c r="AB1577" s="81" t="s">
        <v>58</v>
      </c>
      <c r="AC1577" s="83">
        <v>46132</v>
      </c>
    </row>
    <row r="1578" spans="2:29" ht="23" x14ac:dyDescent="0.35">
      <c r="B1578" s="81" t="s">
        <v>338</v>
      </c>
      <c r="C1578" s="81" t="s">
        <v>339</v>
      </c>
      <c r="D1578" s="81" t="s">
        <v>340</v>
      </c>
      <c r="E1578" s="81" t="s">
        <v>771</v>
      </c>
      <c r="F1578" s="162" t="s">
        <v>772</v>
      </c>
      <c r="G1578" s="163"/>
      <c r="H1578" s="81" t="s">
        <v>2045</v>
      </c>
      <c r="I1578" s="81" t="s">
        <v>1436</v>
      </c>
      <c r="J1578" s="81" t="s">
        <v>154</v>
      </c>
      <c r="K1578" s="81" t="s">
        <v>2059</v>
      </c>
      <c r="L1578" s="81" t="s">
        <v>58</v>
      </c>
      <c r="M1578" s="164">
        <v>4.4675977050000002</v>
      </c>
      <c r="N1578" s="165"/>
      <c r="O1578" s="163"/>
      <c r="P1578" s="82">
        <v>153</v>
      </c>
      <c r="Q1578" s="164">
        <v>0</v>
      </c>
      <c r="R1578" s="163"/>
      <c r="S1578" s="81" t="s">
        <v>58</v>
      </c>
      <c r="T1578" s="82">
        <v>0</v>
      </c>
      <c r="U1578" s="82">
        <v>0</v>
      </c>
      <c r="V1578" s="82">
        <v>0</v>
      </c>
      <c r="W1578" s="82">
        <v>0</v>
      </c>
      <c r="X1578" s="81"/>
      <c r="Y1578" s="81"/>
      <c r="Z1578" s="81" t="s">
        <v>58</v>
      </c>
      <c r="AA1578" s="81" t="s">
        <v>58</v>
      </c>
      <c r="AB1578" s="81" t="s">
        <v>58</v>
      </c>
      <c r="AC1578" s="83">
        <v>46132</v>
      </c>
    </row>
    <row r="1579" spans="2:29" ht="23" x14ac:dyDescent="0.35">
      <c r="B1579" s="81" t="s">
        <v>338</v>
      </c>
      <c r="C1579" s="81" t="s">
        <v>339</v>
      </c>
      <c r="D1579" s="81" t="s">
        <v>340</v>
      </c>
      <c r="E1579" s="81" t="s">
        <v>771</v>
      </c>
      <c r="F1579" s="162" t="s">
        <v>772</v>
      </c>
      <c r="G1579" s="163"/>
      <c r="H1579" s="81" t="s">
        <v>2045</v>
      </c>
      <c r="I1579" s="81" t="s">
        <v>1436</v>
      </c>
      <c r="J1579" s="81" t="s">
        <v>154</v>
      </c>
      <c r="K1579" s="81" t="s">
        <v>2060</v>
      </c>
      <c r="L1579" s="81" t="s">
        <v>58</v>
      </c>
      <c r="M1579" s="164">
        <v>6.0384434999999996</v>
      </c>
      <c r="N1579" s="165"/>
      <c r="O1579" s="163"/>
      <c r="P1579" s="82">
        <v>200</v>
      </c>
      <c r="Q1579" s="164">
        <v>0</v>
      </c>
      <c r="R1579" s="163"/>
      <c r="S1579" s="81" t="s">
        <v>58</v>
      </c>
      <c r="T1579" s="82">
        <v>0</v>
      </c>
      <c r="U1579" s="82">
        <v>0</v>
      </c>
      <c r="V1579" s="82">
        <v>0</v>
      </c>
      <c r="W1579" s="82">
        <v>0</v>
      </c>
      <c r="X1579" s="81"/>
      <c r="Y1579" s="81"/>
      <c r="Z1579" s="81" t="s">
        <v>58</v>
      </c>
      <c r="AA1579" s="81" t="s">
        <v>58</v>
      </c>
      <c r="AB1579" s="81" t="s">
        <v>58</v>
      </c>
      <c r="AC1579" s="83">
        <v>46132</v>
      </c>
    </row>
    <row r="1580" spans="2:29" ht="23" x14ac:dyDescent="0.35">
      <c r="B1580" s="81" t="s">
        <v>338</v>
      </c>
      <c r="C1580" s="81" t="s">
        <v>339</v>
      </c>
      <c r="D1580" s="81" t="s">
        <v>340</v>
      </c>
      <c r="E1580" s="81" t="s">
        <v>771</v>
      </c>
      <c r="F1580" s="162" t="s">
        <v>772</v>
      </c>
      <c r="G1580" s="163"/>
      <c r="H1580" s="81" t="s">
        <v>2045</v>
      </c>
      <c r="I1580" s="81" t="s">
        <v>1436</v>
      </c>
      <c r="J1580" s="81" t="s">
        <v>154</v>
      </c>
      <c r="K1580" s="81" t="s">
        <v>2061</v>
      </c>
      <c r="L1580" s="81" t="s">
        <v>58</v>
      </c>
      <c r="M1580" s="164">
        <v>6.0384434999999996</v>
      </c>
      <c r="N1580" s="165"/>
      <c r="O1580" s="163"/>
      <c r="P1580" s="82">
        <v>200</v>
      </c>
      <c r="Q1580" s="164">
        <v>0</v>
      </c>
      <c r="R1580" s="163"/>
      <c r="S1580" s="81" t="s">
        <v>58</v>
      </c>
      <c r="T1580" s="82">
        <v>0</v>
      </c>
      <c r="U1580" s="82">
        <v>0</v>
      </c>
      <c r="V1580" s="82">
        <v>0</v>
      </c>
      <c r="W1580" s="82">
        <v>0</v>
      </c>
      <c r="X1580" s="81"/>
      <c r="Y1580" s="81"/>
      <c r="Z1580" s="81" t="s">
        <v>58</v>
      </c>
      <c r="AA1580" s="81" t="s">
        <v>58</v>
      </c>
      <c r="AB1580" s="81" t="s">
        <v>58</v>
      </c>
      <c r="AC1580" s="83">
        <v>46132</v>
      </c>
    </row>
    <row r="1581" spans="2:29" ht="23" x14ac:dyDescent="0.35">
      <c r="B1581" s="81" t="s">
        <v>338</v>
      </c>
      <c r="C1581" s="81" t="s">
        <v>339</v>
      </c>
      <c r="D1581" s="81" t="s">
        <v>340</v>
      </c>
      <c r="E1581" s="81" t="s">
        <v>771</v>
      </c>
      <c r="F1581" s="162" t="s">
        <v>772</v>
      </c>
      <c r="G1581" s="163"/>
      <c r="H1581" s="81" t="s">
        <v>2045</v>
      </c>
      <c r="I1581" s="81" t="s">
        <v>1436</v>
      </c>
      <c r="J1581" s="81" t="s">
        <v>154</v>
      </c>
      <c r="K1581" s="81" t="s">
        <v>2062</v>
      </c>
      <c r="L1581" s="81" t="s">
        <v>58</v>
      </c>
      <c r="M1581" s="164">
        <v>6.0384434999999996</v>
      </c>
      <c r="N1581" s="165"/>
      <c r="O1581" s="163"/>
      <c r="P1581" s="82">
        <v>200</v>
      </c>
      <c r="Q1581" s="164">
        <v>0</v>
      </c>
      <c r="R1581" s="163"/>
      <c r="S1581" s="81" t="s">
        <v>58</v>
      </c>
      <c r="T1581" s="82">
        <v>0</v>
      </c>
      <c r="U1581" s="82">
        <v>0</v>
      </c>
      <c r="V1581" s="82">
        <v>0</v>
      </c>
      <c r="W1581" s="82">
        <v>0</v>
      </c>
      <c r="X1581" s="81"/>
      <c r="Y1581" s="81"/>
      <c r="Z1581" s="81" t="s">
        <v>58</v>
      </c>
      <c r="AA1581" s="81" t="s">
        <v>58</v>
      </c>
      <c r="AB1581" s="81" t="s">
        <v>58</v>
      </c>
      <c r="AC1581" s="83">
        <v>46132</v>
      </c>
    </row>
    <row r="1582" spans="2:29" ht="23" x14ac:dyDescent="0.35">
      <c r="B1582" s="81" t="s">
        <v>338</v>
      </c>
      <c r="C1582" s="81" t="s">
        <v>339</v>
      </c>
      <c r="D1582" s="81" t="s">
        <v>340</v>
      </c>
      <c r="E1582" s="81" t="s">
        <v>771</v>
      </c>
      <c r="F1582" s="162" t="s">
        <v>772</v>
      </c>
      <c r="G1582" s="163"/>
      <c r="H1582" s="81" t="s">
        <v>2045</v>
      </c>
      <c r="I1582" s="81" t="s">
        <v>1436</v>
      </c>
      <c r="J1582" s="81" t="s">
        <v>154</v>
      </c>
      <c r="K1582" s="81" t="s">
        <v>2063</v>
      </c>
      <c r="L1582" s="81" t="s">
        <v>58</v>
      </c>
      <c r="M1582" s="164">
        <v>6.0384434999999996</v>
      </c>
      <c r="N1582" s="165"/>
      <c r="O1582" s="163"/>
      <c r="P1582" s="82">
        <v>200</v>
      </c>
      <c r="Q1582" s="164">
        <v>0</v>
      </c>
      <c r="R1582" s="163"/>
      <c r="S1582" s="81" t="s">
        <v>58</v>
      </c>
      <c r="T1582" s="82">
        <v>0</v>
      </c>
      <c r="U1582" s="82">
        <v>0</v>
      </c>
      <c r="V1582" s="82">
        <v>0</v>
      </c>
      <c r="W1582" s="82">
        <v>0</v>
      </c>
      <c r="X1582" s="81"/>
      <c r="Y1582" s="81"/>
      <c r="Z1582" s="81" t="s">
        <v>58</v>
      </c>
      <c r="AA1582" s="81" t="s">
        <v>58</v>
      </c>
      <c r="AB1582" s="81" t="s">
        <v>58</v>
      </c>
      <c r="AC1582" s="83">
        <v>46132</v>
      </c>
    </row>
    <row r="1583" spans="2:29" ht="23" x14ac:dyDescent="0.35">
      <c r="B1583" s="81" t="s">
        <v>338</v>
      </c>
      <c r="C1583" s="81" t="s">
        <v>339</v>
      </c>
      <c r="D1583" s="81" t="s">
        <v>340</v>
      </c>
      <c r="E1583" s="81" t="s">
        <v>771</v>
      </c>
      <c r="F1583" s="162" t="s">
        <v>772</v>
      </c>
      <c r="G1583" s="163"/>
      <c r="H1583" s="81" t="s">
        <v>2045</v>
      </c>
      <c r="I1583" s="81" t="s">
        <v>1436</v>
      </c>
      <c r="J1583" s="81" t="s">
        <v>154</v>
      </c>
      <c r="K1583" s="81" t="s">
        <v>2064</v>
      </c>
      <c r="L1583" s="81" t="s">
        <v>58</v>
      </c>
      <c r="M1583" s="164">
        <v>2.9588373149999998</v>
      </c>
      <c r="N1583" s="165"/>
      <c r="O1583" s="163"/>
      <c r="P1583" s="82">
        <v>98</v>
      </c>
      <c r="Q1583" s="164">
        <v>0</v>
      </c>
      <c r="R1583" s="163"/>
      <c r="S1583" s="81" t="s">
        <v>58</v>
      </c>
      <c r="T1583" s="82">
        <v>0</v>
      </c>
      <c r="U1583" s="82">
        <v>0</v>
      </c>
      <c r="V1583" s="82">
        <v>0</v>
      </c>
      <c r="W1583" s="82">
        <v>0</v>
      </c>
      <c r="X1583" s="81"/>
      <c r="Y1583" s="81"/>
      <c r="Z1583" s="81" t="s">
        <v>58</v>
      </c>
      <c r="AA1583" s="81" t="s">
        <v>58</v>
      </c>
      <c r="AB1583" s="81" t="s">
        <v>58</v>
      </c>
      <c r="AC1583" s="83">
        <v>46132</v>
      </c>
    </row>
    <row r="1584" spans="2:29" ht="23" x14ac:dyDescent="0.35">
      <c r="B1584" s="81" t="s">
        <v>338</v>
      </c>
      <c r="C1584" s="81" t="s">
        <v>339</v>
      </c>
      <c r="D1584" s="81" t="s">
        <v>340</v>
      </c>
      <c r="E1584" s="81" t="s">
        <v>771</v>
      </c>
      <c r="F1584" s="162" t="s">
        <v>772</v>
      </c>
      <c r="G1584" s="163"/>
      <c r="H1584" s="81" t="s">
        <v>2045</v>
      </c>
      <c r="I1584" s="81" t="s">
        <v>1436</v>
      </c>
      <c r="J1584" s="81" t="s">
        <v>154</v>
      </c>
      <c r="K1584" s="81" t="s">
        <v>2065</v>
      </c>
      <c r="L1584" s="81" t="s">
        <v>58</v>
      </c>
      <c r="M1584" s="164">
        <v>6.2368899999999998</v>
      </c>
      <c r="N1584" s="165"/>
      <c r="O1584" s="163"/>
      <c r="P1584" s="82">
        <v>200</v>
      </c>
      <c r="Q1584" s="164">
        <v>0</v>
      </c>
      <c r="R1584" s="163"/>
      <c r="S1584" s="81" t="s">
        <v>58</v>
      </c>
      <c r="T1584" s="82">
        <v>0</v>
      </c>
      <c r="U1584" s="82">
        <v>0</v>
      </c>
      <c r="V1584" s="82">
        <v>0</v>
      </c>
      <c r="W1584" s="82">
        <v>0</v>
      </c>
      <c r="X1584" s="81"/>
      <c r="Y1584" s="81"/>
      <c r="Z1584" s="81" t="s">
        <v>58</v>
      </c>
      <c r="AA1584" s="81" t="s">
        <v>58</v>
      </c>
      <c r="AB1584" s="81" t="s">
        <v>58</v>
      </c>
      <c r="AC1584" s="83">
        <v>46132</v>
      </c>
    </row>
    <row r="1585" spans="2:29" ht="23" x14ac:dyDescent="0.35">
      <c r="B1585" s="81" t="s">
        <v>338</v>
      </c>
      <c r="C1585" s="81" t="s">
        <v>339</v>
      </c>
      <c r="D1585" s="81" t="s">
        <v>340</v>
      </c>
      <c r="E1585" s="81" t="s">
        <v>771</v>
      </c>
      <c r="F1585" s="162" t="s">
        <v>772</v>
      </c>
      <c r="G1585" s="163"/>
      <c r="H1585" s="81" t="s">
        <v>2045</v>
      </c>
      <c r="I1585" s="81" t="s">
        <v>1436</v>
      </c>
      <c r="J1585" s="81" t="s">
        <v>154</v>
      </c>
      <c r="K1585" s="81" t="s">
        <v>2066</v>
      </c>
      <c r="L1585" s="81" t="s">
        <v>58</v>
      </c>
      <c r="M1585" s="164">
        <v>6.2368899999999998</v>
      </c>
      <c r="N1585" s="165"/>
      <c r="O1585" s="163"/>
      <c r="P1585" s="82">
        <v>200</v>
      </c>
      <c r="Q1585" s="164">
        <v>0</v>
      </c>
      <c r="R1585" s="163"/>
      <c r="S1585" s="81" t="s">
        <v>58</v>
      </c>
      <c r="T1585" s="82">
        <v>0</v>
      </c>
      <c r="U1585" s="82">
        <v>0</v>
      </c>
      <c r="V1585" s="82">
        <v>0</v>
      </c>
      <c r="W1585" s="82">
        <v>0</v>
      </c>
      <c r="X1585" s="81"/>
      <c r="Y1585" s="81"/>
      <c r="Z1585" s="81" t="s">
        <v>58</v>
      </c>
      <c r="AA1585" s="81" t="s">
        <v>58</v>
      </c>
      <c r="AB1585" s="81" t="s">
        <v>58</v>
      </c>
      <c r="AC1585" s="83">
        <v>46132</v>
      </c>
    </row>
    <row r="1586" spans="2:29" ht="23" x14ac:dyDescent="0.35">
      <c r="B1586" s="81" t="s">
        <v>338</v>
      </c>
      <c r="C1586" s="81" t="s">
        <v>339</v>
      </c>
      <c r="D1586" s="81" t="s">
        <v>340</v>
      </c>
      <c r="E1586" s="81" t="s">
        <v>771</v>
      </c>
      <c r="F1586" s="162" t="s">
        <v>772</v>
      </c>
      <c r="G1586" s="163"/>
      <c r="H1586" s="81" t="s">
        <v>2045</v>
      </c>
      <c r="I1586" s="81" t="s">
        <v>1436</v>
      </c>
      <c r="J1586" s="81" t="s">
        <v>154</v>
      </c>
      <c r="K1586" s="81" t="s">
        <v>2067</v>
      </c>
      <c r="L1586" s="81" t="s">
        <v>58</v>
      </c>
      <c r="M1586" s="164">
        <v>4.08516295</v>
      </c>
      <c r="N1586" s="165"/>
      <c r="O1586" s="163"/>
      <c r="P1586" s="82">
        <v>131</v>
      </c>
      <c r="Q1586" s="164">
        <v>0</v>
      </c>
      <c r="R1586" s="163"/>
      <c r="S1586" s="81" t="s">
        <v>58</v>
      </c>
      <c r="T1586" s="82">
        <v>0</v>
      </c>
      <c r="U1586" s="82">
        <v>0</v>
      </c>
      <c r="V1586" s="82">
        <v>0</v>
      </c>
      <c r="W1586" s="82">
        <v>0</v>
      </c>
      <c r="X1586" s="81"/>
      <c r="Y1586" s="81"/>
      <c r="Z1586" s="81" t="s">
        <v>58</v>
      </c>
      <c r="AA1586" s="81" t="s">
        <v>58</v>
      </c>
      <c r="AB1586" s="81" t="s">
        <v>58</v>
      </c>
      <c r="AC1586" s="83">
        <v>46132</v>
      </c>
    </row>
    <row r="1587" spans="2:29" ht="23" x14ac:dyDescent="0.35">
      <c r="B1587" s="81" t="s">
        <v>338</v>
      </c>
      <c r="C1587" s="81" t="s">
        <v>339</v>
      </c>
      <c r="D1587" s="81" t="s">
        <v>340</v>
      </c>
      <c r="E1587" s="81" t="s">
        <v>771</v>
      </c>
      <c r="F1587" s="162" t="s">
        <v>772</v>
      </c>
      <c r="G1587" s="163"/>
      <c r="H1587" s="81" t="s">
        <v>2045</v>
      </c>
      <c r="I1587" s="81" t="s">
        <v>1436</v>
      </c>
      <c r="J1587" s="81" t="s">
        <v>154</v>
      </c>
      <c r="K1587" s="81" t="s">
        <v>2068</v>
      </c>
      <c r="L1587" s="81" t="s">
        <v>58</v>
      </c>
      <c r="M1587" s="164">
        <v>8.5437455139999994</v>
      </c>
      <c r="N1587" s="165"/>
      <c r="O1587" s="163"/>
      <c r="P1587" s="82">
        <v>236</v>
      </c>
      <c r="Q1587" s="164">
        <v>0</v>
      </c>
      <c r="R1587" s="163"/>
      <c r="S1587" s="81" t="s">
        <v>58</v>
      </c>
      <c r="T1587" s="82">
        <v>0</v>
      </c>
      <c r="U1587" s="82">
        <v>0</v>
      </c>
      <c r="V1587" s="82">
        <v>0</v>
      </c>
      <c r="W1587" s="82">
        <v>0</v>
      </c>
      <c r="X1587" s="81"/>
      <c r="Y1587" s="81"/>
      <c r="Z1587" s="81" t="s">
        <v>58</v>
      </c>
      <c r="AA1587" s="81" t="s">
        <v>58</v>
      </c>
      <c r="AB1587" s="81" t="s">
        <v>58</v>
      </c>
      <c r="AC1587" s="83">
        <v>46132</v>
      </c>
    </row>
    <row r="1588" spans="2:29" ht="23" x14ac:dyDescent="0.35">
      <c r="B1588" s="81" t="s">
        <v>338</v>
      </c>
      <c r="C1588" s="81" t="s">
        <v>339</v>
      </c>
      <c r="D1588" s="81" t="s">
        <v>340</v>
      </c>
      <c r="E1588" s="81" t="s">
        <v>771</v>
      </c>
      <c r="F1588" s="162" t="s">
        <v>772</v>
      </c>
      <c r="G1588" s="163"/>
      <c r="H1588" s="81" t="s">
        <v>2069</v>
      </c>
      <c r="I1588" s="81" t="s">
        <v>1476</v>
      </c>
      <c r="J1588" s="81" t="s">
        <v>153</v>
      </c>
      <c r="K1588" s="81" t="s">
        <v>2070</v>
      </c>
      <c r="L1588" s="81" t="s">
        <v>58</v>
      </c>
      <c r="M1588" s="164">
        <v>2.24074448</v>
      </c>
      <c r="N1588" s="165"/>
      <c r="O1588" s="163"/>
      <c r="P1588" s="82">
        <v>208</v>
      </c>
      <c r="Q1588" s="164">
        <v>0</v>
      </c>
      <c r="R1588" s="163"/>
      <c r="S1588" s="81" t="s">
        <v>58</v>
      </c>
      <c r="T1588" s="82">
        <v>0</v>
      </c>
      <c r="U1588" s="82">
        <v>0</v>
      </c>
      <c r="V1588" s="82">
        <v>0</v>
      </c>
      <c r="W1588" s="82">
        <v>0</v>
      </c>
      <c r="X1588" s="81"/>
      <c r="Y1588" s="81"/>
      <c r="Z1588" s="81" t="s">
        <v>58</v>
      </c>
      <c r="AA1588" s="81" t="s">
        <v>58</v>
      </c>
      <c r="AB1588" s="81" t="s">
        <v>58</v>
      </c>
      <c r="AC1588" s="83">
        <v>46129</v>
      </c>
    </row>
    <row r="1589" spans="2:29" ht="23" x14ac:dyDescent="0.35">
      <c r="B1589" s="81" t="s">
        <v>338</v>
      </c>
      <c r="C1589" s="81" t="s">
        <v>339</v>
      </c>
      <c r="D1589" s="81" t="s">
        <v>340</v>
      </c>
      <c r="E1589" s="81" t="s">
        <v>771</v>
      </c>
      <c r="F1589" s="162" t="s">
        <v>772</v>
      </c>
      <c r="G1589" s="163"/>
      <c r="H1589" s="81" t="s">
        <v>2069</v>
      </c>
      <c r="I1589" s="81" t="s">
        <v>1476</v>
      </c>
      <c r="J1589" s="81" t="s">
        <v>153</v>
      </c>
      <c r="K1589" s="81" t="s">
        <v>2071</v>
      </c>
      <c r="L1589" s="81" t="s">
        <v>58</v>
      </c>
      <c r="M1589" s="164">
        <v>4.4225219999999998</v>
      </c>
      <c r="N1589" s="165"/>
      <c r="O1589" s="163"/>
      <c r="P1589" s="82">
        <v>400</v>
      </c>
      <c r="Q1589" s="164">
        <v>0</v>
      </c>
      <c r="R1589" s="163"/>
      <c r="S1589" s="81" t="s">
        <v>58</v>
      </c>
      <c r="T1589" s="82">
        <v>0</v>
      </c>
      <c r="U1589" s="82">
        <v>0</v>
      </c>
      <c r="V1589" s="82">
        <v>0</v>
      </c>
      <c r="W1589" s="82">
        <v>0</v>
      </c>
      <c r="X1589" s="81"/>
      <c r="Y1589" s="81"/>
      <c r="Z1589" s="81" t="s">
        <v>58</v>
      </c>
      <c r="AA1589" s="81" t="s">
        <v>58</v>
      </c>
      <c r="AB1589" s="81" t="s">
        <v>58</v>
      </c>
      <c r="AC1589" s="83">
        <v>46129</v>
      </c>
    </row>
    <row r="1590" spans="2:29" ht="23" x14ac:dyDescent="0.35">
      <c r="B1590" s="81" t="s">
        <v>338</v>
      </c>
      <c r="C1590" s="81" t="s">
        <v>339</v>
      </c>
      <c r="D1590" s="81" t="s">
        <v>340</v>
      </c>
      <c r="E1590" s="81" t="s">
        <v>771</v>
      </c>
      <c r="F1590" s="162" t="s">
        <v>772</v>
      </c>
      <c r="G1590" s="163"/>
      <c r="H1590" s="81" t="s">
        <v>2069</v>
      </c>
      <c r="I1590" s="81" t="s">
        <v>1476</v>
      </c>
      <c r="J1590" s="81" t="s">
        <v>153</v>
      </c>
      <c r="K1590" s="81" t="s">
        <v>2072</v>
      </c>
      <c r="L1590" s="81" t="s">
        <v>58</v>
      </c>
      <c r="M1590" s="164">
        <v>3.0294275700000002</v>
      </c>
      <c r="N1590" s="165"/>
      <c r="O1590" s="163"/>
      <c r="P1590" s="82">
        <v>274</v>
      </c>
      <c r="Q1590" s="164">
        <v>0</v>
      </c>
      <c r="R1590" s="163"/>
      <c r="S1590" s="81" t="s">
        <v>58</v>
      </c>
      <c r="T1590" s="82">
        <v>0</v>
      </c>
      <c r="U1590" s="82">
        <v>0</v>
      </c>
      <c r="V1590" s="82">
        <v>0</v>
      </c>
      <c r="W1590" s="82">
        <v>0</v>
      </c>
      <c r="X1590" s="81"/>
      <c r="Y1590" s="81"/>
      <c r="Z1590" s="81" t="s">
        <v>58</v>
      </c>
      <c r="AA1590" s="81" t="s">
        <v>58</v>
      </c>
      <c r="AB1590" s="81" t="s">
        <v>58</v>
      </c>
      <c r="AC1590" s="83">
        <v>46129</v>
      </c>
    </row>
    <row r="1591" spans="2:29" ht="23" x14ac:dyDescent="0.35">
      <c r="B1591" s="81" t="s">
        <v>338</v>
      </c>
      <c r="C1591" s="81" t="s">
        <v>339</v>
      </c>
      <c r="D1591" s="81" t="s">
        <v>340</v>
      </c>
      <c r="E1591" s="81" t="s">
        <v>771</v>
      </c>
      <c r="F1591" s="162" t="s">
        <v>772</v>
      </c>
      <c r="G1591" s="163"/>
      <c r="H1591" s="81" t="s">
        <v>2069</v>
      </c>
      <c r="I1591" s="81" t="s">
        <v>1476</v>
      </c>
      <c r="J1591" s="81" t="s">
        <v>153</v>
      </c>
      <c r="K1591" s="81" t="s">
        <v>2073</v>
      </c>
      <c r="L1591" s="81" t="s">
        <v>58</v>
      </c>
      <c r="M1591" s="164">
        <v>4.53592</v>
      </c>
      <c r="N1591" s="165"/>
      <c r="O1591" s="163"/>
      <c r="P1591" s="82">
        <v>400</v>
      </c>
      <c r="Q1591" s="164">
        <v>0</v>
      </c>
      <c r="R1591" s="163"/>
      <c r="S1591" s="81" t="s">
        <v>58</v>
      </c>
      <c r="T1591" s="82">
        <v>0</v>
      </c>
      <c r="U1591" s="82">
        <v>0</v>
      </c>
      <c r="V1591" s="82">
        <v>0</v>
      </c>
      <c r="W1591" s="82">
        <v>0</v>
      </c>
      <c r="X1591" s="81"/>
      <c r="Y1591" s="81"/>
      <c r="Z1591" s="81" t="s">
        <v>58</v>
      </c>
      <c r="AA1591" s="81" t="s">
        <v>58</v>
      </c>
      <c r="AB1591" s="81" t="s">
        <v>58</v>
      </c>
      <c r="AC1591" s="83">
        <v>46129</v>
      </c>
    </row>
    <row r="1592" spans="2:29" ht="23" x14ac:dyDescent="0.35">
      <c r="B1592" s="81" t="s">
        <v>338</v>
      </c>
      <c r="C1592" s="81" t="s">
        <v>339</v>
      </c>
      <c r="D1592" s="81" t="s">
        <v>340</v>
      </c>
      <c r="E1592" s="81" t="s">
        <v>771</v>
      </c>
      <c r="F1592" s="162" t="s">
        <v>772</v>
      </c>
      <c r="G1592" s="163"/>
      <c r="H1592" s="81" t="s">
        <v>2069</v>
      </c>
      <c r="I1592" s="81" t="s">
        <v>1476</v>
      </c>
      <c r="J1592" s="81" t="s">
        <v>153</v>
      </c>
      <c r="K1592" s="81" t="s">
        <v>2074</v>
      </c>
      <c r="L1592" s="81" t="s">
        <v>58</v>
      </c>
      <c r="M1592" s="164">
        <v>4.53592</v>
      </c>
      <c r="N1592" s="165"/>
      <c r="O1592" s="163"/>
      <c r="P1592" s="82">
        <v>400</v>
      </c>
      <c r="Q1592" s="164">
        <v>0</v>
      </c>
      <c r="R1592" s="163"/>
      <c r="S1592" s="81" t="s">
        <v>58</v>
      </c>
      <c r="T1592" s="82">
        <v>0</v>
      </c>
      <c r="U1592" s="82">
        <v>0</v>
      </c>
      <c r="V1592" s="82">
        <v>0</v>
      </c>
      <c r="W1592" s="82">
        <v>0</v>
      </c>
      <c r="X1592" s="81"/>
      <c r="Y1592" s="81"/>
      <c r="Z1592" s="81" t="s">
        <v>58</v>
      </c>
      <c r="AA1592" s="81" t="s">
        <v>58</v>
      </c>
      <c r="AB1592" s="81" t="s">
        <v>58</v>
      </c>
      <c r="AC1592" s="83">
        <v>46129</v>
      </c>
    </row>
    <row r="1593" spans="2:29" ht="23" x14ac:dyDescent="0.35">
      <c r="B1593" s="81" t="s">
        <v>338</v>
      </c>
      <c r="C1593" s="81" t="s">
        <v>339</v>
      </c>
      <c r="D1593" s="81" t="s">
        <v>340</v>
      </c>
      <c r="E1593" s="81" t="s">
        <v>771</v>
      </c>
      <c r="F1593" s="162" t="s">
        <v>772</v>
      </c>
      <c r="G1593" s="163"/>
      <c r="H1593" s="81" t="s">
        <v>2069</v>
      </c>
      <c r="I1593" s="81" t="s">
        <v>1476</v>
      </c>
      <c r="J1593" s="81" t="s">
        <v>153</v>
      </c>
      <c r="K1593" s="81" t="s">
        <v>2075</v>
      </c>
      <c r="L1593" s="81" t="s">
        <v>58</v>
      </c>
      <c r="M1593" s="164">
        <v>4.53592</v>
      </c>
      <c r="N1593" s="165"/>
      <c r="O1593" s="163"/>
      <c r="P1593" s="82">
        <v>400</v>
      </c>
      <c r="Q1593" s="164">
        <v>0</v>
      </c>
      <c r="R1593" s="163"/>
      <c r="S1593" s="81" t="s">
        <v>58</v>
      </c>
      <c r="T1593" s="82">
        <v>0</v>
      </c>
      <c r="U1593" s="82">
        <v>0</v>
      </c>
      <c r="V1593" s="82">
        <v>0</v>
      </c>
      <c r="W1593" s="82">
        <v>0</v>
      </c>
      <c r="X1593" s="81"/>
      <c r="Y1593" s="81"/>
      <c r="Z1593" s="81" t="s">
        <v>58</v>
      </c>
      <c r="AA1593" s="81" t="s">
        <v>58</v>
      </c>
      <c r="AB1593" s="81" t="s">
        <v>58</v>
      </c>
      <c r="AC1593" s="83">
        <v>46129</v>
      </c>
    </row>
    <row r="1594" spans="2:29" ht="23" x14ac:dyDescent="0.35">
      <c r="B1594" s="81" t="s">
        <v>338</v>
      </c>
      <c r="C1594" s="81" t="s">
        <v>339</v>
      </c>
      <c r="D1594" s="81" t="s">
        <v>340</v>
      </c>
      <c r="E1594" s="81" t="s">
        <v>771</v>
      </c>
      <c r="F1594" s="162" t="s">
        <v>772</v>
      </c>
      <c r="G1594" s="163"/>
      <c r="H1594" s="81" t="s">
        <v>2069</v>
      </c>
      <c r="I1594" s="81" t="s">
        <v>1476</v>
      </c>
      <c r="J1594" s="81" t="s">
        <v>153</v>
      </c>
      <c r="K1594" s="81" t="s">
        <v>2076</v>
      </c>
      <c r="L1594" s="81" t="s">
        <v>58</v>
      </c>
      <c r="M1594" s="164">
        <v>4.53592</v>
      </c>
      <c r="N1594" s="165"/>
      <c r="O1594" s="163"/>
      <c r="P1594" s="82">
        <v>400</v>
      </c>
      <c r="Q1594" s="164">
        <v>0</v>
      </c>
      <c r="R1594" s="163"/>
      <c r="S1594" s="81" t="s">
        <v>58</v>
      </c>
      <c r="T1594" s="82">
        <v>0</v>
      </c>
      <c r="U1594" s="82">
        <v>0</v>
      </c>
      <c r="V1594" s="82">
        <v>0</v>
      </c>
      <c r="W1594" s="82">
        <v>0</v>
      </c>
      <c r="X1594" s="81"/>
      <c r="Y1594" s="81"/>
      <c r="Z1594" s="81" t="s">
        <v>58</v>
      </c>
      <c r="AA1594" s="81" t="s">
        <v>58</v>
      </c>
      <c r="AB1594" s="81" t="s">
        <v>58</v>
      </c>
      <c r="AC1594" s="83">
        <v>46129</v>
      </c>
    </row>
    <row r="1595" spans="2:29" ht="23" x14ac:dyDescent="0.35">
      <c r="B1595" s="81" t="s">
        <v>338</v>
      </c>
      <c r="C1595" s="81" t="s">
        <v>339</v>
      </c>
      <c r="D1595" s="81" t="s">
        <v>340</v>
      </c>
      <c r="E1595" s="81" t="s">
        <v>771</v>
      </c>
      <c r="F1595" s="162" t="s">
        <v>772</v>
      </c>
      <c r="G1595" s="163"/>
      <c r="H1595" s="81" t="s">
        <v>2069</v>
      </c>
      <c r="I1595" s="81" t="s">
        <v>1476</v>
      </c>
      <c r="J1595" s="81" t="s">
        <v>153</v>
      </c>
      <c r="K1595" s="81" t="s">
        <v>2077</v>
      </c>
      <c r="L1595" s="81" t="s">
        <v>58</v>
      </c>
      <c r="M1595" s="164">
        <v>3.3792604000000002</v>
      </c>
      <c r="N1595" s="165"/>
      <c r="O1595" s="163"/>
      <c r="P1595" s="82">
        <v>298</v>
      </c>
      <c r="Q1595" s="164">
        <v>0</v>
      </c>
      <c r="R1595" s="163"/>
      <c r="S1595" s="81" t="s">
        <v>58</v>
      </c>
      <c r="T1595" s="82">
        <v>0</v>
      </c>
      <c r="U1595" s="82">
        <v>0</v>
      </c>
      <c r="V1595" s="82">
        <v>0</v>
      </c>
      <c r="W1595" s="82">
        <v>0</v>
      </c>
      <c r="X1595" s="81"/>
      <c r="Y1595" s="81"/>
      <c r="Z1595" s="81" t="s">
        <v>58</v>
      </c>
      <c r="AA1595" s="81" t="s">
        <v>58</v>
      </c>
      <c r="AB1595" s="81" t="s">
        <v>58</v>
      </c>
      <c r="AC1595" s="83">
        <v>46129</v>
      </c>
    </row>
    <row r="1596" spans="2:29" ht="23" x14ac:dyDescent="0.35">
      <c r="B1596" s="81" t="s">
        <v>338</v>
      </c>
      <c r="C1596" s="81" t="s">
        <v>339</v>
      </c>
      <c r="D1596" s="81" t="s">
        <v>340</v>
      </c>
      <c r="E1596" s="81" t="s">
        <v>771</v>
      </c>
      <c r="F1596" s="162" t="s">
        <v>772</v>
      </c>
      <c r="G1596" s="163"/>
      <c r="H1596" s="81" t="s">
        <v>2069</v>
      </c>
      <c r="I1596" s="81" t="s">
        <v>1476</v>
      </c>
      <c r="J1596" s="81" t="s">
        <v>153</v>
      </c>
      <c r="K1596" s="81" t="s">
        <v>2078</v>
      </c>
      <c r="L1596" s="81" t="s">
        <v>58</v>
      </c>
      <c r="M1596" s="164">
        <v>4.6493180000000001</v>
      </c>
      <c r="N1596" s="165"/>
      <c r="O1596" s="163"/>
      <c r="P1596" s="82">
        <v>400</v>
      </c>
      <c r="Q1596" s="164">
        <v>0</v>
      </c>
      <c r="R1596" s="163"/>
      <c r="S1596" s="81" t="s">
        <v>58</v>
      </c>
      <c r="T1596" s="82">
        <v>0</v>
      </c>
      <c r="U1596" s="82">
        <v>0</v>
      </c>
      <c r="V1596" s="82">
        <v>0</v>
      </c>
      <c r="W1596" s="82">
        <v>0</v>
      </c>
      <c r="X1596" s="81"/>
      <c r="Y1596" s="81"/>
      <c r="Z1596" s="81" t="s">
        <v>58</v>
      </c>
      <c r="AA1596" s="81" t="s">
        <v>58</v>
      </c>
      <c r="AB1596" s="81" t="s">
        <v>58</v>
      </c>
      <c r="AC1596" s="83">
        <v>46129</v>
      </c>
    </row>
    <row r="1597" spans="2:29" ht="23" x14ac:dyDescent="0.35">
      <c r="B1597" s="81" t="s">
        <v>338</v>
      </c>
      <c r="C1597" s="81" t="s">
        <v>339</v>
      </c>
      <c r="D1597" s="81" t="s">
        <v>340</v>
      </c>
      <c r="E1597" s="81" t="s">
        <v>771</v>
      </c>
      <c r="F1597" s="162" t="s">
        <v>772</v>
      </c>
      <c r="G1597" s="163"/>
      <c r="H1597" s="81" t="s">
        <v>2069</v>
      </c>
      <c r="I1597" s="81" t="s">
        <v>1476</v>
      </c>
      <c r="J1597" s="81" t="s">
        <v>153</v>
      </c>
      <c r="K1597" s="81" t="s">
        <v>2079</v>
      </c>
      <c r="L1597" s="81" t="s">
        <v>58</v>
      </c>
      <c r="M1597" s="164">
        <v>4.6493180000000001</v>
      </c>
      <c r="N1597" s="165"/>
      <c r="O1597" s="163"/>
      <c r="P1597" s="82">
        <v>400</v>
      </c>
      <c r="Q1597" s="164">
        <v>0</v>
      </c>
      <c r="R1597" s="163"/>
      <c r="S1597" s="81" t="s">
        <v>58</v>
      </c>
      <c r="T1597" s="82">
        <v>0</v>
      </c>
      <c r="U1597" s="82">
        <v>0</v>
      </c>
      <c r="V1597" s="82">
        <v>0</v>
      </c>
      <c r="W1597" s="82">
        <v>0</v>
      </c>
      <c r="X1597" s="81"/>
      <c r="Y1597" s="81"/>
      <c r="Z1597" s="81" t="s">
        <v>58</v>
      </c>
      <c r="AA1597" s="81" t="s">
        <v>58</v>
      </c>
      <c r="AB1597" s="81" t="s">
        <v>58</v>
      </c>
      <c r="AC1597" s="83">
        <v>46129</v>
      </c>
    </row>
    <row r="1598" spans="2:29" ht="23" x14ac:dyDescent="0.35">
      <c r="B1598" s="81" t="s">
        <v>338</v>
      </c>
      <c r="C1598" s="81" t="s">
        <v>339</v>
      </c>
      <c r="D1598" s="81" t="s">
        <v>340</v>
      </c>
      <c r="E1598" s="81" t="s">
        <v>771</v>
      </c>
      <c r="F1598" s="162" t="s">
        <v>772</v>
      </c>
      <c r="G1598" s="163"/>
      <c r="H1598" s="81" t="s">
        <v>2069</v>
      </c>
      <c r="I1598" s="81" t="s">
        <v>1476</v>
      </c>
      <c r="J1598" s="81" t="s">
        <v>153</v>
      </c>
      <c r="K1598" s="81" t="s">
        <v>2080</v>
      </c>
      <c r="L1598" s="81" t="s">
        <v>58</v>
      </c>
      <c r="M1598" s="164">
        <v>4.6493180000000001</v>
      </c>
      <c r="N1598" s="165"/>
      <c r="O1598" s="163"/>
      <c r="P1598" s="82">
        <v>400</v>
      </c>
      <c r="Q1598" s="164">
        <v>0</v>
      </c>
      <c r="R1598" s="163"/>
      <c r="S1598" s="81" t="s">
        <v>58</v>
      </c>
      <c r="T1598" s="82">
        <v>0</v>
      </c>
      <c r="U1598" s="82">
        <v>0</v>
      </c>
      <c r="V1598" s="82">
        <v>0</v>
      </c>
      <c r="W1598" s="82">
        <v>0</v>
      </c>
      <c r="X1598" s="81"/>
      <c r="Y1598" s="81"/>
      <c r="Z1598" s="81" t="s">
        <v>58</v>
      </c>
      <c r="AA1598" s="81" t="s">
        <v>58</v>
      </c>
      <c r="AB1598" s="81" t="s">
        <v>58</v>
      </c>
      <c r="AC1598" s="83">
        <v>46129</v>
      </c>
    </row>
    <row r="1599" spans="2:29" ht="23" x14ac:dyDescent="0.35">
      <c r="B1599" s="81" t="s">
        <v>338</v>
      </c>
      <c r="C1599" s="81" t="s">
        <v>339</v>
      </c>
      <c r="D1599" s="81" t="s">
        <v>340</v>
      </c>
      <c r="E1599" s="81" t="s">
        <v>771</v>
      </c>
      <c r="F1599" s="162" t="s">
        <v>772</v>
      </c>
      <c r="G1599" s="163"/>
      <c r="H1599" s="81" t="s">
        <v>2069</v>
      </c>
      <c r="I1599" s="81" t="s">
        <v>1476</v>
      </c>
      <c r="J1599" s="81" t="s">
        <v>153</v>
      </c>
      <c r="K1599" s="81" t="s">
        <v>2081</v>
      </c>
      <c r="L1599" s="81" t="s">
        <v>58</v>
      </c>
      <c r="M1599" s="164">
        <v>4.6493180000000001</v>
      </c>
      <c r="N1599" s="165"/>
      <c r="O1599" s="163"/>
      <c r="P1599" s="82">
        <v>400</v>
      </c>
      <c r="Q1599" s="164">
        <v>0</v>
      </c>
      <c r="R1599" s="163"/>
      <c r="S1599" s="81" t="s">
        <v>58</v>
      </c>
      <c r="T1599" s="82">
        <v>0</v>
      </c>
      <c r="U1599" s="82">
        <v>0</v>
      </c>
      <c r="V1599" s="82">
        <v>0</v>
      </c>
      <c r="W1599" s="82">
        <v>0</v>
      </c>
      <c r="X1599" s="81"/>
      <c r="Y1599" s="81"/>
      <c r="Z1599" s="81" t="s">
        <v>58</v>
      </c>
      <c r="AA1599" s="81" t="s">
        <v>58</v>
      </c>
      <c r="AB1599" s="81" t="s">
        <v>58</v>
      </c>
      <c r="AC1599" s="83">
        <v>46129</v>
      </c>
    </row>
    <row r="1600" spans="2:29" ht="23" x14ac:dyDescent="0.35">
      <c r="B1600" s="81" t="s">
        <v>338</v>
      </c>
      <c r="C1600" s="81" t="s">
        <v>339</v>
      </c>
      <c r="D1600" s="81" t="s">
        <v>340</v>
      </c>
      <c r="E1600" s="81" t="s">
        <v>771</v>
      </c>
      <c r="F1600" s="162" t="s">
        <v>772</v>
      </c>
      <c r="G1600" s="163"/>
      <c r="H1600" s="81" t="s">
        <v>2069</v>
      </c>
      <c r="I1600" s="81" t="s">
        <v>1476</v>
      </c>
      <c r="J1600" s="81" t="s">
        <v>153</v>
      </c>
      <c r="K1600" s="81" t="s">
        <v>2082</v>
      </c>
      <c r="L1600" s="81" t="s">
        <v>58</v>
      </c>
      <c r="M1600" s="164">
        <v>4.6493180000000001</v>
      </c>
      <c r="N1600" s="165"/>
      <c r="O1600" s="163"/>
      <c r="P1600" s="82">
        <v>400</v>
      </c>
      <c r="Q1600" s="164">
        <v>0</v>
      </c>
      <c r="R1600" s="163"/>
      <c r="S1600" s="81" t="s">
        <v>58</v>
      </c>
      <c r="T1600" s="82">
        <v>0</v>
      </c>
      <c r="U1600" s="82">
        <v>0</v>
      </c>
      <c r="V1600" s="82">
        <v>0</v>
      </c>
      <c r="W1600" s="82">
        <v>0</v>
      </c>
      <c r="X1600" s="81"/>
      <c r="Y1600" s="81"/>
      <c r="Z1600" s="81" t="s">
        <v>58</v>
      </c>
      <c r="AA1600" s="81" t="s">
        <v>58</v>
      </c>
      <c r="AB1600" s="81" t="s">
        <v>58</v>
      </c>
      <c r="AC1600" s="83">
        <v>46129</v>
      </c>
    </row>
    <row r="1601" spans="2:29" ht="23" x14ac:dyDescent="0.35">
      <c r="B1601" s="81" t="s">
        <v>338</v>
      </c>
      <c r="C1601" s="81" t="s">
        <v>339</v>
      </c>
      <c r="D1601" s="81" t="s">
        <v>340</v>
      </c>
      <c r="E1601" s="81" t="s">
        <v>771</v>
      </c>
      <c r="F1601" s="162" t="s">
        <v>772</v>
      </c>
      <c r="G1601" s="163"/>
      <c r="H1601" s="81" t="s">
        <v>2069</v>
      </c>
      <c r="I1601" s="81" t="s">
        <v>1476</v>
      </c>
      <c r="J1601" s="81" t="s">
        <v>153</v>
      </c>
      <c r="K1601" s="81" t="s">
        <v>2083</v>
      </c>
      <c r="L1601" s="81" t="s">
        <v>58</v>
      </c>
      <c r="M1601" s="164">
        <v>3.5567282699999998</v>
      </c>
      <c r="N1601" s="165"/>
      <c r="O1601" s="163"/>
      <c r="P1601" s="82">
        <v>306</v>
      </c>
      <c r="Q1601" s="164">
        <v>0</v>
      </c>
      <c r="R1601" s="163"/>
      <c r="S1601" s="81" t="s">
        <v>58</v>
      </c>
      <c r="T1601" s="82">
        <v>0</v>
      </c>
      <c r="U1601" s="82">
        <v>0</v>
      </c>
      <c r="V1601" s="82">
        <v>0</v>
      </c>
      <c r="W1601" s="82">
        <v>0</v>
      </c>
      <c r="X1601" s="81"/>
      <c r="Y1601" s="81"/>
      <c r="Z1601" s="81" t="s">
        <v>58</v>
      </c>
      <c r="AA1601" s="81" t="s">
        <v>58</v>
      </c>
      <c r="AB1601" s="81" t="s">
        <v>58</v>
      </c>
      <c r="AC1601" s="83">
        <v>46129</v>
      </c>
    </row>
    <row r="1602" spans="2:29" ht="23" x14ac:dyDescent="0.35">
      <c r="B1602" s="81" t="s">
        <v>338</v>
      </c>
      <c r="C1602" s="81" t="s">
        <v>339</v>
      </c>
      <c r="D1602" s="81" t="s">
        <v>340</v>
      </c>
      <c r="E1602" s="81" t="s">
        <v>771</v>
      </c>
      <c r="F1602" s="162" t="s">
        <v>772</v>
      </c>
      <c r="G1602" s="163"/>
      <c r="H1602" s="81" t="s">
        <v>2069</v>
      </c>
      <c r="I1602" s="81" t="s">
        <v>1476</v>
      </c>
      <c r="J1602" s="81" t="s">
        <v>153</v>
      </c>
      <c r="K1602" s="81" t="s">
        <v>2084</v>
      </c>
      <c r="L1602" s="81" t="s">
        <v>58</v>
      </c>
      <c r="M1602" s="164">
        <v>4.7627160000000002</v>
      </c>
      <c r="N1602" s="165"/>
      <c r="O1602" s="163"/>
      <c r="P1602" s="82">
        <v>400</v>
      </c>
      <c r="Q1602" s="164">
        <v>0</v>
      </c>
      <c r="R1602" s="163"/>
      <c r="S1602" s="81" t="s">
        <v>58</v>
      </c>
      <c r="T1602" s="82">
        <v>0</v>
      </c>
      <c r="U1602" s="82">
        <v>0</v>
      </c>
      <c r="V1602" s="82">
        <v>0</v>
      </c>
      <c r="W1602" s="82">
        <v>0</v>
      </c>
      <c r="X1602" s="81"/>
      <c r="Y1602" s="81"/>
      <c r="Z1602" s="81" t="s">
        <v>58</v>
      </c>
      <c r="AA1602" s="81" t="s">
        <v>58</v>
      </c>
      <c r="AB1602" s="81" t="s">
        <v>58</v>
      </c>
      <c r="AC1602" s="83">
        <v>46129</v>
      </c>
    </row>
    <row r="1603" spans="2:29" ht="23" x14ac:dyDescent="0.35">
      <c r="B1603" s="81" t="s">
        <v>338</v>
      </c>
      <c r="C1603" s="81" t="s">
        <v>339</v>
      </c>
      <c r="D1603" s="81" t="s">
        <v>340</v>
      </c>
      <c r="E1603" s="81" t="s">
        <v>771</v>
      </c>
      <c r="F1603" s="162" t="s">
        <v>772</v>
      </c>
      <c r="G1603" s="163"/>
      <c r="H1603" s="81" t="s">
        <v>2069</v>
      </c>
      <c r="I1603" s="81" t="s">
        <v>1476</v>
      </c>
      <c r="J1603" s="81" t="s">
        <v>153</v>
      </c>
      <c r="K1603" s="81" t="s">
        <v>2085</v>
      </c>
      <c r="L1603" s="81" t="s">
        <v>58</v>
      </c>
      <c r="M1603" s="164">
        <v>4.7627160000000002</v>
      </c>
      <c r="N1603" s="165"/>
      <c r="O1603" s="163"/>
      <c r="P1603" s="82">
        <v>400</v>
      </c>
      <c r="Q1603" s="164">
        <v>0</v>
      </c>
      <c r="R1603" s="163"/>
      <c r="S1603" s="81" t="s">
        <v>58</v>
      </c>
      <c r="T1603" s="82">
        <v>0</v>
      </c>
      <c r="U1603" s="82">
        <v>0</v>
      </c>
      <c r="V1603" s="82">
        <v>0</v>
      </c>
      <c r="W1603" s="82">
        <v>0</v>
      </c>
      <c r="X1603" s="81"/>
      <c r="Y1603" s="81"/>
      <c r="Z1603" s="81" t="s">
        <v>58</v>
      </c>
      <c r="AA1603" s="81" t="s">
        <v>58</v>
      </c>
      <c r="AB1603" s="81" t="s">
        <v>58</v>
      </c>
      <c r="AC1603" s="83">
        <v>46129</v>
      </c>
    </row>
    <row r="1604" spans="2:29" ht="23" x14ac:dyDescent="0.35">
      <c r="B1604" s="81" t="s">
        <v>338</v>
      </c>
      <c r="C1604" s="81" t="s">
        <v>339</v>
      </c>
      <c r="D1604" s="81" t="s">
        <v>340</v>
      </c>
      <c r="E1604" s="81" t="s">
        <v>771</v>
      </c>
      <c r="F1604" s="162" t="s">
        <v>772</v>
      </c>
      <c r="G1604" s="163"/>
      <c r="H1604" s="81" t="s">
        <v>2069</v>
      </c>
      <c r="I1604" s="81" t="s">
        <v>1476</v>
      </c>
      <c r="J1604" s="81" t="s">
        <v>153</v>
      </c>
      <c r="K1604" s="81" t="s">
        <v>2086</v>
      </c>
      <c r="L1604" s="81" t="s">
        <v>58</v>
      </c>
      <c r="M1604" s="164">
        <v>4.7627160000000002</v>
      </c>
      <c r="N1604" s="165"/>
      <c r="O1604" s="163"/>
      <c r="P1604" s="82">
        <v>400</v>
      </c>
      <c r="Q1604" s="164">
        <v>0</v>
      </c>
      <c r="R1604" s="163"/>
      <c r="S1604" s="81" t="s">
        <v>58</v>
      </c>
      <c r="T1604" s="82">
        <v>0</v>
      </c>
      <c r="U1604" s="82">
        <v>0</v>
      </c>
      <c r="V1604" s="82">
        <v>0</v>
      </c>
      <c r="W1604" s="82">
        <v>0</v>
      </c>
      <c r="X1604" s="81"/>
      <c r="Y1604" s="81"/>
      <c r="Z1604" s="81" t="s">
        <v>58</v>
      </c>
      <c r="AA1604" s="81" t="s">
        <v>58</v>
      </c>
      <c r="AB1604" s="81" t="s">
        <v>58</v>
      </c>
      <c r="AC1604" s="83">
        <v>46129</v>
      </c>
    </row>
    <row r="1605" spans="2:29" ht="23" x14ac:dyDescent="0.35">
      <c r="B1605" s="81" t="s">
        <v>338</v>
      </c>
      <c r="C1605" s="81" t="s">
        <v>339</v>
      </c>
      <c r="D1605" s="81" t="s">
        <v>340</v>
      </c>
      <c r="E1605" s="81" t="s">
        <v>771</v>
      </c>
      <c r="F1605" s="162" t="s">
        <v>772</v>
      </c>
      <c r="G1605" s="163"/>
      <c r="H1605" s="81" t="s">
        <v>2069</v>
      </c>
      <c r="I1605" s="81" t="s">
        <v>1476</v>
      </c>
      <c r="J1605" s="81" t="s">
        <v>153</v>
      </c>
      <c r="K1605" s="81" t="s">
        <v>2087</v>
      </c>
      <c r="L1605" s="81" t="s">
        <v>58</v>
      </c>
      <c r="M1605" s="164">
        <v>4.7627160000000002</v>
      </c>
      <c r="N1605" s="165"/>
      <c r="O1605" s="163"/>
      <c r="P1605" s="82">
        <v>400</v>
      </c>
      <c r="Q1605" s="164">
        <v>0</v>
      </c>
      <c r="R1605" s="163"/>
      <c r="S1605" s="81" t="s">
        <v>58</v>
      </c>
      <c r="T1605" s="82">
        <v>0</v>
      </c>
      <c r="U1605" s="82">
        <v>0</v>
      </c>
      <c r="V1605" s="82">
        <v>0</v>
      </c>
      <c r="W1605" s="82">
        <v>0</v>
      </c>
      <c r="X1605" s="81"/>
      <c r="Y1605" s="81"/>
      <c r="Z1605" s="81" t="s">
        <v>58</v>
      </c>
      <c r="AA1605" s="81" t="s">
        <v>58</v>
      </c>
      <c r="AB1605" s="81" t="s">
        <v>58</v>
      </c>
      <c r="AC1605" s="83">
        <v>46129</v>
      </c>
    </row>
    <row r="1606" spans="2:29" ht="23" x14ac:dyDescent="0.35">
      <c r="B1606" s="81" t="s">
        <v>338</v>
      </c>
      <c r="C1606" s="81" t="s">
        <v>339</v>
      </c>
      <c r="D1606" s="81" t="s">
        <v>340</v>
      </c>
      <c r="E1606" s="81" t="s">
        <v>771</v>
      </c>
      <c r="F1606" s="162" t="s">
        <v>772</v>
      </c>
      <c r="G1606" s="163"/>
      <c r="H1606" s="81" t="s">
        <v>2069</v>
      </c>
      <c r="I1606" s="81" t="s">
        <v>1476</v>
      </c>
      <c r="J1606" s="81" t="s">
        <v>153</v>
      </c>
      <c r="K1606" s="81" t="s">
        <v>2088</v>
      </c>
      <c r="L1606" s="81" t="s">
        <v>58</v>
      </c>
      <c r="M1606" s="164">
        <v>2.3337308399999999</v>
      </c>
      <c r="N1606" s="165"/>
      <c r="O1606" s="163"/>
      <c r="P1606" s="82">
        <v>196</v>
      </c>
      <c r="Q1606" s="164">
        <v>0</v>
      </c>
      <c r="R1606" s="163"/>
      <c r="S1606" s="81" t="s">
        <v>58</v>
      </c>
      <c r="T1606" s="82">
        <v>0</v>
      </c>
      <c r="U1606" s="82">
        <v>0</v>
      </c>
      <c r="V1606" s="82">
        <v>0</v>
      </c>
      <c r="W1606" s="82">
        <v>0</v>
      </c>
      <c r="X1606" s="81"/>
      <c r="Y1606" s="81"/>
      <c r="Z1606" s="81" t="s">
        <v>58</v>
      </c>
      <c r="AA1606" s="81" t="s">
        <v>58</v>
      </c>
      <c r="AB1606" s="81" t="s">
        <v>58</v>
      </c>
      <c r="AC1606" s="83">
        <v>46129</v>
      </c>
    </row>
    <row r="1607" spans="2:29" ht="23" x14ac:dyDescent="0.35">
      <c r="B1607" s="81" t="s">
        <v>338</v>
      </c>
      <c r="C1607" s="81" t="s">
        <v>339</v>
      </c>
      <c r="D1607" s="81" t="s">
        <v>340</v>
      </c>
      <c r="E1607" s="81" t="s">
        <v>771</v>
      </c>
      <c r="F1607" s="162" t="s">
        <v>772</v>
      </c>
      <c r="G1607" s="163"/>
      <c r="H1607" s="81" t="s">
        <v>2069</v>
      </c>
      <c r="I1607" s="81" t="s">
        <v>1476</v>
      </c>
      <c r="J1607" s="81" t="s">
        <v>153</v>
      </c>
      <c r="K1607" s="81" t="s">
        <v>2089</v>
      </c>
      <c r="L1607" s="81" t="s">
        <v>58</v>
      </c>
      <c r="M1607" s="164">
        <v>4.8761140000000003</v>
      </c>
      <c r="N1607" s="165"/>
      <c r="O1607" s="163"/>
      <c r="P1607" s="82">
        <v>400</v>
      </c>
      <c r="Q1607" s="164">
        <v>0</v>
      </c>
      <c r="R1607" s="163"/>
      <c r="S1607" s="81" t="s">
        <v>58</v>
      </c>
      <c r="T1607" s="82">
        <v>0</v>
      </c>
      <c r="U1607" s="82">
        <v>0</v>
      </c>
      <c r="V1607" s="82">
        <v>0</v>
      </c>
      <c r="W1607" s="82">
        <v>0</v>
      </c>
      <c r="X1607" s="81"/>
      <c r="Y1607" s="81"/>
      <c r="Z1607" s="81" t="s">
        <v>58</v>
      </c>
      <c r="AA1607" s="81" t="s">
        <v>58</v>
      </c>
      <c r="AB1607" s="81" t="s">
        <v>58</v>
      </c>
      <c r="AC1607" s="83">
        <v>46129</v>
      </c>
    </row>
    <row r="1608" spans="2:29" ht="23" x14ac:dyDescent="0.35">
      <c r="B1608" s="81" t="s">
        <v>338</v>
      </c>
      <c r="C1608" s="81" t="s">
        <v>339</v>
      </c>
      <c r="D1608" s="81" t="s">
        <v>340</v>
      </c>
      <c r="E1608" s="81" t="s">
        <v>771</v>
      </c>
      <c r="F1608" s="162" t="s">
        <v>772</v>
      </c>
      <c r="G1608" s="163"/>
      <c r="H1608" s="81" t="s">
        <v>2069</v>
      </c>
      <c r="I1608" s="81" t="s">
        <v>1476</v>
      </c>
      <c r="J1608" s="81" t="s">
        <v>153</v>
      </c>
      <c r="K1608" s="81" t="s">
        <v>2090</v>
      </c>
      <c r="L1608" s="81" t="s">
        <v>58</v>
      </c>
      <c r="M1608" s="164">
        <v>4.8761140000000003</v>
      </c>
      <c r="N1608" s="165"/>
      <c r="O1608" s="163"/>
      <c r="P1608" s="82">
        <v>400</v>
      </c>
      <c r="Q1608" s="164">
        <v>0</v>
      </c>
      <c r="R1608" s="163"/>
      <c r="S1608" s="81" t="s">
        <v>58</v>
      </c>
      <c r="T1608" s="82">
        <v>0</v>
      </c>
      <c r="U1608" s="82">
        <v>0</v>
      </c>
      <c r="V1608" s="82">
        <v>0</v>
      </c>
      <c r="W1608" s="82">
        <v>0</v>
      </c>
      <c r="X1608" s="81"/>
      <c r="Y1608" s="81"/>
      <c r="Z1608" s="81" t="s">
        <v>58</v>
      </c>
      <c r="AA1608" s="81" t="s">
        <v>58</v>
      </c>
      <c r="AB1608" s="81" t="s">
        <v>58</v>
      </c>
      <c r="AC1608" s="83">
        <v>46129</v>
      </c>
    </row>
    <row r="1609" spans="2:29" ht="23" x14ac:dyDescent="0.35">
      <c r="B1609" s="81" t="s">
        <v>338</v>
      </c>
      <c r="C1609" s="81" t="s">
        <v>339</v>
      </c>
      <c r="D1609" s="81" t="s">
        <v>340</v>
      </c>
      <c r="E1609" s="81" t="s">
        <v>771</v>
      </c>
      <c r="F1609" s="162" t="s">
        <v>772</v>
      </c>
      <c r="G1609" s="163"/>
      <c r="H1609" s="81" t="s">
        <v>2069</v>
      </c>
      <c r="I1609" s="81" t="s">
        <v>1476</v>
      </c>
      <c r="J1609" s="81" t="s">
        <v>153</v>
      </c>
      <c r="K1609" s="81" t="s">
        <v>2091</v>
      </c>
      <c r="L1609" s="81" t="s">
        <v>58</v>
      </c>
      <c r="M1609" s="164">
        <v>3.1938546699999999</v>
      </c>
      <c r="N1609" s="165"/>
      <c r="O1609" s="163"/>
      <c r="P1609" s="82">
        <v>262</v>
      </c>
      <c r="Q1609" s="164">
        <v>0</v>
      </c>
      <c r="R1609" s="163"/>
      <c r="S1609" s="81" t="s">
        <v>58</v>
      </c>
      <c r="T1609" s="82">
        <v>0</v>
      </c>
      <c r="U1609" s="82">
        <v>0</v>
      </c>
      <c r="V1609" s="82">
        <v>0</v>
      </c>
      <c r="W1609" s="82">
        <v>0</v>
      </c>
      <c r="X1609" s="81"/>
      <c r="Y1609" s="81"/>
      <c r="Z1609" s="81" t="s">
        <v>58</v>
      </c>
      <c r="AA1609" s="81" t="s">
        <v>58</v>
      </c>
      <c r="AB1609" s="81" t="s">
        <v>58</v>
      </c>
      <c r="AC1609" s="83">
        <v>46129</v>
      </c>
    </row>
    <row r="1610" spans="2:29" ht="23" x14ac:dyDescent="0.35">
      <c r="B1610" s="81" t="s">
        <v>338</v>
      </c>
      <c r="C1610" s="81" t="s">
        <v>339</v>
      </c>
      <c r="D1610" s="81" t="s">
        <v>340</v>
      </c>
      <c r="E1610" s="81" t="s">
        <v>771</v>
      </c>
      <c r="F1610" s="162" t="s">
        <v>772</v>
      </c>
      <c r="G1610" s="163"/>
      <c r="H1610" s="81" t="s">
        <v>2069</v>
      </c>
      <c r="I1610" s="81" t="s">
        <v>1476</v>
      </c>
      <c r="J1610" s="81" t="s">
        <v>153</v>
      </c>
      <c r="K1610" s="81" t="s">
        <v>2092</v>
      </c>
      <c r="L1610" s="81" t="s">
        <v>58</v>
      </c>
      <c r="M1610" s="164">
        <v>5.9143860879999997</v>
      </c>
      <c r="N1610" s="165"/>
      <c r="O1610" s="163"/>
      <c r="P1610" s="82">
        <v>472</v>
      </c>
      <c r="Q1610" s="164">
        <v>0</v>
      </c>
      <c r="R1610" s="163"/>
      <c r="S1610" s="81" t="s">
        <v>58</v>
      </c>
      <c r="T1610" s="82">
        <v>0</v>
      </c>
      <c r="U1610" s="82">
        <v>0</v>
      </c>
      <c r="V1610" s="82">
        <v>0</v>
      </c>
      <c r="W1610" s="82">
        <v>0</v>
      </c>
      <c r="X1610" s="81"/>
      <c r="Y1610" s="81"/>
      <c r="Z1610" s="81" t="s">
        <v>58</v>
      </c>
      <c r="AA1610" s="81" t="s">
        <v>58</v>
      </c>
      <c r="AB1610" s="81" t="s">
        <v>58</v>
      </c>
      <c r="AC1610" s="83">
        <v>46129</v>
      </c>
    </row>
    <row r="1611" spans="2:29" ht="23" x14ac:dyDescent="0.35">
      <c r="B1611" s="81" t="s">
        <v>338</v>
      </c>
      <c r="C1611" s="81" t="s">
        <v>339</v>
      </c>
      <c r="D1611" s="81" t="s">
        <v>340</v>
      </c>
      <c r="E1611" s="81" t="s">
        <v>711</v>
      </c>
      <c r="F1611" s="162" t="s">
        <v>712</v>
      </c>
      <c r="G1611" s="163"/>
      <c r="H1611" s="81" t="s">
        <v>1837</v>
      </c>
      <c r="I1611" s="81" t="s">
        <v>1436</v>
      </c>
      <c r="J1611" s="81" t="s">
        <v>154</v>
      </c>
      <c r="K1611" s="81" t="s">
        <v>2093</v>
      </c>
      <c r="L1611" s="81" t="s">
        <v>58</v>
      </c>
      <c r="M1611" s="164">
        <v>0.282077525</v>
      </c>
      <c r="N1611" s="165"/>
      <c r="O1611" s="163"/>
      <c r="P1611" s="82">
        <v>10</v>
      </c>
      <c r="Q1611" s="164">
        <v>0</v>
      </c>
      <c r="R1611" s="163"/>
      <c r="S1611" s="81" t="s">
        <v>58</v>
      </c>
      <c r="T1611" s="82">
        <v>0</v>
      </c>
      <c r="U1611" s="82">
        <v>0</v>
      </c>
      <c r="V1611" s="82">
        <v>0</v>
      </c>
      <c r="W1611" s="82">
        <v>0</v>
      </c>
      <c r="X1611" s="81"/>
      <c r="Y1611" s="81"/>
      <c r="Z1611" s="81" t="s">
        <v>58</v>
      </c>
      <c r="AA1611" s="81" t="s">
        <v>58</v>
      </c>
      <c r="AB1611" s="81" t="s">
        <v>58</v>
      </c>
      <c r="AC1611" s="83">
        <v>46133</v>
      </c>
    </row>
    <row r="1612" spans="2:29" ht="23" x14ac:dyDescent="0.35">
      <c r="B1612" s="81" t="s">
        <v>338</v>
      </c>
      <c r="C1612" s="81" t="s">
        <v>339</v>
      </c>
      <c r="D1612" s="81" t="s">
        <v>340</v>
      </c>
      <c r="E1612" s="81" t="s">
        <v>711</v>
      </c>
      <c r="F1612" s="162" t="s">
        <v>712</v>
      </c>
      <c r="G1612" s="163"/>
      <c r="H1612" s="81" t="s">
        <v>1837</v>
      </c>
      <c r="I1612" s="81" t="s">
        <v>1436</v>
      </c>
      <c r="J1612" s="81" t="s">
        <v>154</v>
      </c>
      <c r="K1612" s="81" t="s">
        <v>2094</v>
      </c>
      <c r="L1612" s="81" t="s">
        <v>58</v>
      </c>
      <c r="M1612" s="164">
        <v>0.29199985000000001</v>
      </c>
      <c r="N1612" s="165"/>
      <c r="O1612" s="163"/>
      <c r="P1612" s="82">
        <v>10</v>
      </c>
      <c r="Q1612" s="164">
        <v>0</v>
      </c>
      <c r="R1612" s="163"/>
      <c r="S1612" s="81" t="s">
        <v>58</v>
      </c>
      <c r="T1612" s="82">
        <v>0</v>
      </c>
      <c r="U1612" s="82">
        <v>0</v>
      </c>
      <c r="V1612" s="82">
        <v>0</v>
      </c>
      <c r="W1612" s="82">
        <v>0</v>
      </c>
      <c r="X1612" s="81"/>
      <c r="Y1612" s="81"/>
      <c r="Z1612" s="81" t="s">
        <v>58</v>
      </c>
      <c r="AA1612" s="81" t="s">
        <v>58</v>
      </c>
      <c r="AB1612" s="81" t="s">
        <v>58</v>
      </c>
      <c r="AC1612" s="83">
        <v>46133</v>
      </c>
    </row>
    <row r="1613" spans="2:29" ht="23" x14ac:dyDescent="0.35">
      <c r="B1613" s="81" t="s">
        <v>338</v>
      </c>
      <c r="C1613" s="81" t="s">
        <v>339</v>
      </c>
      <c r="D1613" s="81" t="s">
        <v>340</v>
      </c>
      <c r="E1613" s="81" t="s">
        <v>711</v>
      </c>
      <c r="F1613" s="162" t="s">
        <v>712</v>
      </c>
      <c r="G1613" s="163"/>
      <c r="H1613" s="81" t="s">
        <v>1860</v>
      </c>
      <c r="I1613" s="81" t="s">
        <v>1476</v>
      </c>
      <c r="J1613" s="81" t="s">
        <v>153</v>
      </c>
      <c r="K1613" s="81" t="s">
        <v>2095</v>
      </c>
      <c r="L1613" s="81" t="s">
        <v>58</v>
      </c>
      <c r="M1613" s="164">
        <v>0.2324659</v>
      </c>
      <c r="N1613" s="165"/>
      <c r="O1613" s="163"/>
      <c r="P1613" s="82">
        <v>20</v>
      </c>
      <c r="Q1613" s="164">
        <v>0</v>
      </c>
      <c r="R1613" s="163"/>
      <c r="S1613" s="81" t="s">
        <v>58</v>
      </c>
      <c r="T1613" s="82">
        <v>0</v>
      </c>
      <c r="U1613" s="82">
        <v>0</v>
      </c>
      <c r="V1613" s="82">
        <v>0</v>
      </c>
      <c r="W1613" s="82">
        <v>0</v>
      </c>
      <c r="X1613" s="81"/>
      <c r="Y1613" s="81"/>
      <c r="Z1613" s="81" t="s">
        <v>58</v>
      </c>
      <c r="AA1613" s="81" t="s">
        <v>58</v>
      </c>
      <c r="AB1613" s="81" t="s">
        <v>58</v>
      </c>
      <c r="AC1613" s="83">
        <v>46133</v>
      </c>
    </row>
    <row r="1614" spans="2:29" ht="23" x14ac:dyDescent="0.35">
      <c r="B1614" s="81" t="s">
        <v>338</v>
      </c>
      <c r="C1614" s="81" t="s">
        <v>339</v>
      </c>
      <c r="D1614" s="81" t="s">
        <v>340</v>
      </c>
      <c r="E1614" s="81" t="s">
        <v>711</v>
      </c>
      <c r="F1614" s="162" t="s">
        <v>712</v>
      </c>
      <c r="G1614" s="163"/>
      <c r="H1614" s="81" t="s">
        <v>1860</v>
      </c>
      <c r="I1614" s="81" t="s">
        <v>1476</v>
      </c>
      <c r="J1614" s="81" t="s">
        <v>153</v>
      </c>
      <c r="K1614" s="81" t="s">
        <v>2096</v>
      </c>
      <c r="L1614" s="81" t="s">
        <v>58</v>
      </c>
      <c r="M1614" s="164">
        <v>0.226796</v>
      </c>
      <c r="N1614" s="165"/>
      <c r="O1614" s="163"/>
      <c r="P1614" s="82">
        <v>20</v>
      </c>
      <c r="Q1614" s="164">
        <v>0</v>
      </c>
      <c r="R1614" s="163"/>
      <c r="S1614" s="81" t="s">
        <v>58</v>
      </c>
      <c r="T1614" s="82">
        <v>0</v>
      </c>
      <c r="U1614" s="82">
        <v>0</v>
      </c>
      <c r="V1614" s="82">
        <v>0</v>
      </c>
      <c r="W1614" s="82">
        <v>0</v>
      </c>
      <c r="X1614" s="81"/>
      <c r="Y1614" s="81"/>
      <c r="Z1614" s="81" t="s">
        <v>58</v>
      </c>
      <c r="AA1614" s="81" t="s">
        <v>58</v>
      </c>
      <c r="AB1614" s="81" t="s">
        <v>58</v>
      </c>
      <c r="AC1614" s="83">
        <v>46133</v>
      </c>
    </row>
    <row r="1615" spans="2:29" ht="23" x14ac:dyDescent="0.35">
      <c r="B1615" s="81" t="s">
        <v>338</v>
      </c>
      <c r="C1615" s="81" t="s">
        <v>339</v>
      </c>
      <c r="D1615" s="81" t="s">
        <v>340</v>
      </c>
      <c r="E1615" s="81" t="s">
        <v>771</v>
      </c>
      <c r="F1615" s="162" t="s">
        <v>772</v>
      </c>
      <c r="G1615" s="163"/>
      <c r="H1615" s="81" t="s">
        <v>2045</v>
      </c>
      <c r="I1615" s="81" t="s">
        <v>1436</v>
      </c>
      <c r="J1615" s="81" t="s">
        <v>154</v>
      </c>
      <c r="K1615" s="81" t="s">
        <v>2097</v>
      </c>
      <c r="L1615" s="81" t="s">
        <v>58</v>
      </c>
      <c r="M1615" s="164">
        <v>0.29199985000000001</v>
      </c>
      <c r="N1615" s="165"/>
      <c r="O1615" s="163"/>
      <c r="P1615" s="82">
        <v>10</v>
      </c>
      <c r="Q1615" s="164">
        <v>0</v>
      </c>
      <c r="R1615" s="163"/>
      <c r="S1615" s="81" t="s">
        <v>58</v>
      </c>
      <c r="T1615" s="82">
        <v>0</v>
      </c>
      <c r="U1615" s="82">
        <v>0</v>
      </c>
      <c r="V1615" s="82">
        <v>0</v>
      </c>
      <c r="W1615" s="82">
        <v>0</v>
      </c>
      <c r="X1615" s="81"/>
      <c r="Y1615" s="81"/>
      <c r="Z1615" s="81" t="s">
        <v>58</v>
      </c>
      <c r="AA1615" s="81" t="s">
        <v>58</v>
      </c>
      <c r="AB1615" s="81" t="s">
        <v>58</v>
      </c>
      <c r="AC1615" s="83">
        <v>46133</v>
      </c>
    </row>
    <row r="1616" spans="2:29" ht="23" x14ac:dyDescent="0.35">
      <c r="B1616" s="81" t="s">
        <v>338</v>
      </c>
      <c r="C1616" s="81" t="s">
        <v>339</v>
      </c>
      <c r="D1616" s="81" t="s">
        <v>340</v>
      </c>
      <c r="E1616" s="81" t="s">
        <v>771</v>
      </c>
      <c r="F1616" s="162" t="s">
        <v>772</v>
      </c>
      <c r="G1616" s="163"/>
      <c r="H1616" s="81" t="s">
        <v>2045</v>
      </c>
      <c r="I1616" s="81" t="s">
        <v>1436</v>
      </c>
      <c r="J1616" s="81" t="s">
        <v>154</v>
      </c>
      <c r="K1616" s="81" t="s">
        <v>2098</v>
      </c>
      <c r="L1616" s="81" t="s">
        <v>58</v>
      </c>
      <c r="M1616" s="164">
        <v>0.282077525</v>
      </c>
      <c r="N1616" s="165"/>
      <c r="O1616" s="163"/>
      <c r="P1616" s="82">
        <v>10</v>
      </c>
      <c r="Q1616" s="164">
        <v>0</v>
      </c>
      <c r="R1616" s="163"/>
      <c r="S1616" s="81" t="s">
        <v>58</v>
      </c>
      <c r="T1616" s="82">
        <v>0</v>
      </c>
      <c r="U1616" s="82">
        <v>0</v>
      </c>
      <c r="V1616" s="82">
        <v>0</v>
      </c>
      <c r="W1616" s="82">
        <v>0</v>
      </c>
      <c r="X1616" s="81"/>
      <c r="Y1616" s="81"/>
      <c r="Z1616" s="81" t="s">
        <v>58</v>
      </c>
      <c r="AA1616" s="81" t="s">
        <v>58</v>
      </c>
      <c r="AB1616" s="81" t="s">
        <v>58</v>
      </c>
      <c r="AC1616" s="83">
        <v>46133</v>
      </c>
    </row>
    <row r="1617" spans="2:29" ht="23" x14ac:dyDescent="0.35">
      <c r="B1617" s="81" t="s">
        <v>338</v>
      </c>
      <c r="C1617" s="81" t="s">
        <v>339</v>
      </c>
      <c r="D1617" s="81" t="s">
        <v>340</v>
      </c>
      <c r="E1617" s="81" t="s">
        <v>771</v>
      </c>
      <c r="F1617" s="162" t="s">
        <v>772</v>
      </c>
      <c r="G1617" s="163"/>
      <c r="H1617" s="81" t="s">
        <v>2069</v>
      </c>
      <c r="I1617" s="81" t="s">
        <v>1476</v>
      </c>
      <c r="J1617" s="81" t="s">
        <v>153</v>
      </c>
      <c r="K1617" s="81" t="s">
        <v>2099</v>
      </c>
      <c r="L1617" s="81" t="s">
        <v>58</v>
      </c>
      <c r="M1617" s="164">
        <v>0.2324659</v>
      </c>
      <c r="N1617" s="165"/>
      <c r="O1617" s="163"/>
      <c r="P1617" s="82">
        <v>20</v>
      </c>
      <c r="Q1617" s="164">
        <v>0</v>
      </c>
      <c r="R1617" s="163"/>
      <c r="S1617" s="81" t="s">
        <v>58</v>
      </c>
      <c r="T1617" s="82">
        <v>0</v>
      </c>
      <c r="U1617" s="82">
        <v>0</v>
      </c>
      <c r="V1617" s="82">
        <v>0</v>
      </c>
      <c r="W1617" s="82">
        <v>0</v>
      </c>
      <c r="X1617" s="81"/>
      <c r="Y1617" s="81"/>
      <c r="Z1617" s="81" t="s">
        <v>58</v>
      </c>
      <c r="AA1617" s="81" t="s">
        <v>58</v>
      </c>
      <c r="AB1617" s="81" t="s">
        <v>58</v>
      </c>
      <c r="AC1617" s="83">
        <v>46133</v>
      </c>
    </row>
    <row r="1618" spans="2:29" ht="23" x14ac:dyDescent="0.35">
      <c r="B1618" s="81" t="s">
        <v>338</v>
      </c>
      <c r="C1618" s="81" t="s">
        <v>339</v>
      </c>
      <c r="D1618" s="81" t="s">
        <v>340</v>
      </c>
      <c r="E1618" s="81" t="s">
        <v>771</v>
      </c>
      <c r="F1618" s="162" t="s">
        <v>772</v>
      </c>
      <c r="G1618" s="163"/>
      <c r="H1618" s="81" t="s">
        <v>2069</v>
      </c>
      <c r="I1618" s="81" t="s">
        <v>1476</v>
      </c>
      <c r="J1618" s="81" t="s">
        <v>153</v>
      </c>
      <c r="K1618" s="81" t="s">
        <v>2100</v>
      </c>
      <c r="L1618" s="81" t="s">
        <v>58</v>
      </c>
      <c r="M1618" s="164">
        <v>0.226796</v>
      </c>
      <c r="N1618" s="165"/>
      <c r="O1618" s="163"/>
      <c r="P1618" s="82">
        <v>20</v>
      </c>
      <c r="Q1618" s="164">
        <v>0</v>
      </c>
      <c r="R1618" s="163"/>
      <c r="S1618" s="81" t="s">
        <v>58</v>
      </c>
      <c r="T1618" s="82">
        <v>0</v>
      </c>
      <c r="U1618" s="82">
        <v>0</v>
      </c>
      <c r="V1618" s="82">
        <v>0</v>
      </c>
      <c r="W1618" s="82">
        <v>0</v>
      </c>
      <c r="X1618" s="81"/>
      <c r="Y1618" s="81"/>
      <c r="Z1618" s="81" t="s">
        <v>58</v>
      </c>
      <c r="AA1618" s="81" t="s">
        <v>58</v>
      </c>
      <c r="AB1618" s="81" t="s">
        <v>58</v>
      </c>
      <c r="AC1618" s="83">
        <v>46133</v>
      </c>
    </row>
    <row r="1619" spans="2:29" ht="23" x14ac:dyDescent="0.35">
      <c r="B1619" s="81" t="s">
        <v>338</v>
      </c>
      <c r="C1619" s="81" t="s">
        <v>339</v>
      </c>
      <c r="D1619" s="81" t="s">
        <v>340</v>
      </c>
      <c r="E1619" s="81" t="s">
        <v>564</v>
      </c>
      <c r="F1619" s="162" t="s">
        <v>565</v>
      </c>
      <c r="G1619" s="163"/>
      <c r="H1619" s="81" t="s">
        <v>1884</v>
      </c>
      <c r="I1619" s="81" t="s">
        <v>1885</v>
      </c>
      <c r="J1619" s="81" t="s">
        <v>154</v>
      </c>
      <c r="K1619" s="81" t="s">
        <v>2101</v>
      </c>
      <c r="L1619" s="81" t="s">
        <v>58</v>
      </c>
      <c r="M1619" s="164">
        <v>0.282077525</v>
      </c>
      <c r="N1619" s="165"/>
      <c r="O1619" s="163"/>
      <c r="P1619" s="82">
        <v>10</v>
      </c>
      <c r="Q1619" s="164">
        <v>0</v>
      </c>
      <c r="R1619" s="163"/>
      <c r="S1619" s="81" t="s">
        <v>58</v>
      </c>
      <c r="T1619" s="82">
        <v>0</v>
      </c>
      <c r="U1619" s="82">
        <v>0</v>
      </c>
      <c r="V1619" s="82">
        <v>0</v>
      </c>
      <c r="W1619" s="82">
        <v>0</v>
      </c>
      <c r="X1619" s="81"/>
      <c r="Y1619" s="81"/>
      <c r="Z1619" s="81" t="s">
        <v>58</v>
      </c>
      <c r="AA1619" s="81" t="s">
        <v>58</v>
      </c>
      <c r="AB1619" s="81" t="s">
        <v>58</v>
      </c>
      <c r="AC1619" s="83">
        <v>46133</v>
      </c>
    </row>
    <row r="1620" spans="2:29" ht="23" x14ac:dyDescent="0.35">
      <c r="B1620" s="81" t="s">
        <v>338</v>
      </c>
      <c r="C1620" s="81" t="s">
        <v>339</v>
      </c>
      <c r="D1620" s="81" t="s">
        <v>340</v>
      </c>
      <c r="E1620" s="81" t="s">
        <v>564</v>
      </c>
      <c r="F1620" s="162" t="s">
        <v>565</v>
      </c>
      <c r="G1620" s="163"/>
      <c r="H1620" s="81" t="s">
        <v>1884</v>
      </c>
      <c r="I1620" s="81" t="s">
        <v>1885</v>
      </c>
      <c r="J1620" s="81" t="s">
        <v>154</v>
      </c>
      <c r="K1620" s="81" t="s">
        <v>2102</v>
      </c>
      <c r="L1620" s="81" t="s">
        <v>58</v>
      </c>
      <c r="M1620" s="164">
        <v>0.29199985000000001</v>
      </c>
      <c r="N1620" s="165"/>
      <c r="O1620" s="163"/>
      <c r="P1620" s="82">
        <v>10</v>
      </c>
      <c r="Q1620" s="164">
        <v>0</v>
      </c>
      <c r="R1620" s="163"/>
      <c r="S1620" s="81" t="s">
        <v>58</v>
      </c>
      <c r="T1620" s="82">
        <v>0</v>
      </c>
      <c r="U1620" s="82">
        <v>0</v>
      </c>
      <c r="V1620" s="82">
        <v>0</v>
      </c>
      <c r="W1620" s="82">
        <v>0</v>
      </c>
      <c r="X1620" s="81"/>
      <c r="Y1620" s="81"/>
      <c r="Z1620" s="81" t="s">
        <v>58</v>
      </c>
      <c r="AA1620" s="81" t="s">
        <v>58</v>
      </c>
      <c r="AB1620" s="81" t="s">
        <v>58</v>
      </c>
      <c r="AC1620" s="83">
        <v>46133</v>
      </c>
    </row>
    <row r="1621" spans="2:29" ht="23" x14ac:dyDescent="0.35">
      <c r="B1621" s="81" t="s">
        <v>338</v>
      </c>
      <c r="C1621" s="81" t="s">
        <v>339</v>
      </c>
      <c r="D1621" s="81" t="s">
        <v>340</v>
      </c>
      <c r="E1621" s="81" t="s">
        <v>564</v>
      </c>
      <c r="F1621" s="162" t="s">
        <v>565</v>
      </c>
      <c r="G1621" s="163"/>
      <c r="H1621" s="81" t="s">
        <v>1927</v>
      </c>
      <c r="I1621" s="81" t="s">
        <v>1928</v>
      </c>
      <c r="J1621" s="81" t="s">
        <v>153</v>
      </c>
      <c r="K1621" s="81" t="s">
        <v>2103</v>
      </c>
      <c r="L1621" s="81" t="s">
        <v>58</v>
      </c>
      <c r="M1621" s="164">
        <v>0.226796</v>
      </c>
      <c r="N1621" s="165"/>
      <c r="O1621" s="163"/>
      <c r="P1621" s="82">
        <v>20</v>
      </c>
      <c r="Q1621" s="164">
        <v>0</v>
      </c>
      <c r="R1621" s="163"/>
      <c r="S1621" s="81" t="s">
        <v>58</v>
      </c>
      <c r="T1621" s="82">
        <v>0</v>
      </c>
      <c r="U1621" s="82">
        <v>0</v>
      </c>
      <c r="V1621" s="82">
        <v>0</v>
      </c>
      <c r="W1621" s="82">
        <v>0</v>
      </c>
      <c r="X1621" s="81"/>
      <c r="Y1621" s="81"/>
      <c r="Z1621" s="81" t="s">
        <v>58</v>
      </c>
      <c r="AA1621" s="81" t="s">
        <v>58</v>
      </c>
      <c r="AB1621" s="81" t="s">
        <v>58</v>
      </c>
      <c r="AC1621" s="83">
        <v>46133</v>
      </c>
    </row>
    <row r="1622" spans="2:29" ht="23" x14ac:dyDescent="0.35">
      <c r="B1622" s="81" t="s">
        <v>338</v>
      </c>
      <c r="C1622" s="81" t="s">
        <v>339</v>
      </c>
      <c r="D1622" s="81" t="s">
        <v>340</v>
      </c>
      <c r="E1622" s="81" t="s">
        <v>564</v>
      </c>
      <c r="F1622" s="162" t="s">
        <v>565</v>
      </c>
      <c r="G1622" s="163"/>
      <c r="H1622" s="81" t="s">
        <v>1927</v>
      </c>
      <c r="I1622" s="81" t="s">
        <v>1928</v>
      </c>
      <c r="J1622" s="81" t="s">
        <v>153</v>
      </c>
      <c r="K1622" s="81" t="s">
        <v>2104</v>
      </c>
      <c r="L1622" s="81" t="s">
        <v>58</v>
      </c>
      <c r="M1622" s="164">
        <v>0.2324659</v>
      </c>
      <c r="N1622" s="165"/>
      <c r="O1622" s="163"/>
      <c r="P1622" s="82">
        <v>20</v>
      </c>
      <c r="Q1622" s="164">
        <v>0</v>
      </c>
      <c r="R1622" s="163"/>
      <c r="S1622" s="81" t="s">
        <v>58</v>
      </c>
      <c r="T1622" s="82">
        <v>0</v>
      </c>
      <c r="U1622" s="82">
        <v>0</v>
      </c>
      <c r="V1622" s="82">
        <v>0</v>
      </c>
      <c r="W1622" s="82">
        <v>0</v>
      </c>
      <c r="X1622" s="81"/>
      <c r="Y1622" s="81"/>
      <c r="Z1622" s="81" t="s">
        <v>58</v>
      </c>
      <c r="AA1622" s="81" t="s">
        <v>58</v>
      </c>
      <c r="AB1622" s="81" t="s">
        <v>58</v>
      </c>
      <c r="AC1622" s="83">
        <v>46133</v>
      </c>
    </row>
    <row r="1623" spans="2:29" ht="23" x14ac:dyDescent="0.35">
      <c r="B1623" s="81" t="s">
        <v>338</v>
      </c>
      <c r="C1623" s="81" t="s">
        <v>339</v>
      </c>
      <c r="D1623" s="81" t="s">
        <v>340</v>
      </c>
      <c r="E1623" s="81" t="s">
        <v>564</v>
      </c>
      <c r="F1623" s="162" t="s">
        <v>565</v>
      </c>
      <c r="G1623" s="163"/>
      <c r="H1623" s="81" t="s">
        <v>1884</v>
      </c>
      <c r="I1623" s="81" t="s">
        <v>1885</v>
      </c>
      <c r="J1623" s="81" t="s">
        <v>154</v>
      </c>
      <c r="K1623" s="81" t="s">
        <v>2105</v>
      </c>
      <c r="L1623" s="81" t="s">
        <v>58</v>
      </c>
      <c r="M1623" s="164">
        <v>0.56415504999999999</v>
      </c>
      <c r="N1623" s="165"/>
      <c r="O1623" s="163"/>
      <c r="P1623" s="82">
        <v>20</v>
      </c>
      <c r="Q1623" s="164">
        <v>0</v>
      </c>
      <c r="R1623" s="163"/>
      <c r="S1623" s="81" t="s">
        <v>58</v>
      </c>
      <c r="T1623" s="82">
        <v>0</v>
      </c>
      <c r="U1623" s="82">
        <v>0</v>
      </c>
      <c r="V1623" s="82">
        <v>0</v>
      </c>
      <c r="W1623" s="82">
        <v>0</v>
      </c>
      <c r="X1623" s="81"/>
      <c r="Y1623" s="81"/>
      <c r="Z1623" s="81" t="s">
        <v>58</v>
      </c>
      <c r="AA1623" s="81" t="s">
        <v>58</v>
      </c>
      <c r="AB1623" s="81" t="s">
        <v>58</v>
      </c>
      <c r="AC1623" s="83">
        <v>46132</v>
      </c>
    </row>
    <row r="1624" spans="2:29" ht="23" x14ac:dyDescent="0.35">
      <c r="B1624" s="81" t="s">
        <v>338</v>
      </c>
      <c r="C1624" s="81" t="s">
        <v>339</v>
      </c>
      <c r="D1624" s="81" t="s">
        <v>340</v>
      </c>
      <c r="E1624" s="81" t="s">
        <v>475</v>
      </c>
      <c r="F1624" s="162" t="s">
        <v>476</v>
      </c>
      <c r="G1624" s="163"/>
      <c r="H1624" s="81" t="s">
        <v>2106</v>
      </c>
      <c r="I1624" s="81" t="s">
        <v>1436</v>
      </c>
      <c r="J1624" s="81" t="s">
        <v>154</v>
      </c>
      <c r="K1624" s="81" t="s">
        <v>2107</v>
      </c>
      <c r="L1624" s="81" t="s">
        <v>58</v>
      </c>
      <c r="M1624" s="164">
        <v>2.7242735520000001</v>
      </c>
      <c r="N1624" s="165"/>
      <c r="O1624" s="163"/>
      <c r="P1624" s="82">
        <v>104</v>
      </c>
      <c r="Q1624" s="164">
        <v>0</v>
      </c>
      <c r="R1624" s="163"/>
      <c r="S1624" s="81" t="s">
        <v>58</v>
      </c>
      <c r="T1624" s="82">
        <v>0</v>
      </c>
      <c r="U1624" s="82">
        <v>0</v>
      </c>
      <c r="V1624" s="82">
        <v>0</v>
      </c>
      <c r="W1624" s="82">
        <v>0</v>
      </c>
      <c r="X1624" s="81"/>
      <c r="Y1624" s="81"/>
      <c r="Z1624" s="81" t="s">
        <v>58</v>
      </c>
      <c r="AA1624" s="81" t="s">
        <v>58</v>
      </c>
      <c r="AB1624" s="81" t="s">
        <v>58</v>
      </c>
      <c r="AC1624" s="83">
        <v>46140</v>
      </c>
    </row>
    <row r="1625" spans="2:29" ht="23" x14ac:dyDescent="0.35">
      <c r="B1625" s="81" t="s">
        <v>338</v>
      </c>
      <c r="C1625" s="81" t="s">
        <v>339</v>
      </c>
      <c r="D1625" s="81" t="s">
        <v>340</v>
      </c>
      <c r="E1625" s="81" t="s">
        <v>475</v>
      </c>
      <c r="F1625" s="162" t="s">
        <v>476</v>
      </c>
      <c r="G1625" s="163"/>
      <c r="H1625" s="81" t="s">
        <v>2106</v>
      </c>
      <c r="I1625" s="81" t="s">
        <v>1436</v>
      </c>
      <c r="J1625" s="81" t="s">
        <v>154</v>
      </c>
      <c r="K1625" s="81" t="s">
        <v>2108</v>
      </c>
      <c r="L1625" s="81" t="s">
        <v>58</v>
      </c>
      <c r="M1625" s="164">
        <v>5.8513368000000003</v>
      </c>
      <c r="N1625" s="165"/>
      <c r="O1625" s="163"/>
      <c r="P1625" s="82">
        <v>215</v>
      </c>
      <c r="Q1625" s="164">
        <v>0</v>
      </c>
      <c r="R1625" s="163"/>
      <c r="S1625" s="81" t="s">
        <v>58</v>
      </c>
      <c r="T1625" s="82">
        <v>0</v>
      </c>
      <c r="U1625" s="82">
        <v>0</v>
      </c>
      <c r="V1625" s="82">
        <v>0</v>
      </c>
      <c r="W1625" s="82">
        <v>0</v>
      </c>
      <c r="X1625" s="81"/>
      <c r="Y1625" s="81"/>
      <c r="Z1625" s="81" t="s">
        <v>58</v>
      </c>
      <c r="AA1625" s="81" t="s">
        <v>58</v>
      </c>
      <c r="AB1625" s="81" t="s">
        <v>58</v>
      </c>
      <c r="AC1625" s="83">
        <v>46140</v>
      </c>
    </row>
    <row r="1626" spans="2:29" ht="23" x14ac:dyDescent="0.35">
      <c r="B1626" s="81" t="s">
        <v>338</v>
      </c>
      <c r="C1626" s="81" t="s">
        <v>339</v>
      </c>
      <c r="D1626" s="81" t="s">
        <v>340</v>
      </c>
      <c r="E1626" s="81" t="s">
        <v>475</v>
      </c>
      <c r="F1626" s="162" t="s">
        <v>476</v>
      </c>
      <c r="G1626" s="163"/>
      <c r="H1626" s="81" t="s">
        <v>2106</v>
      </c>
      <c r="I1626" s="81" t="s">
        <v>1436</v>
      </c>
      <c r="J1626" s="81" t="s">
        <v>154</v>
      </c>
      <c r="K1626" s="81" t="s">
        <v>2109</v>
      </c>
      <c r="L1626" s="81" t="s">
        <v>58</v>
      </c>
      <c r="M1626" s="164">
        <v>5.6415505000000001</v>
      </c>
      <c r="N1626" s="165"/>
      <c r="O1626" s="163"/>
      <c r="P1626" s="82">
        <v>200</v>
      </c>
      <c r="Q1626" s="164">
        <v>0</v>
      </c>
      <c r="R1626" s="163"/>
      <c r="S1626" s="81" t="s">
        <v>58</v>
      </c>
      <c r="T1626" s="82">
        <v>0</v>
      </c>
      <c r="U1626" s="82">
        <v>0</v>
      </c>
      <c r="V1626" s="82">
        <v>0</v>
      </c>
      <c r="W1626" s="82">
        <v>0</v>
      </c>
      <c r="X1626" s="81"/>
      <c r="Y1626" s="81"/>
      <c r="Z1626" s="81" t="s">
        <v>58</v>
      </c>
      <c r="AA1626" s="81" t="s">
        <v>58</v>
      </c>
      <c r="AB1626" s="81" t="s">
        <v>58</v>
      </c>
      <c r="AC1626" s="83">
        <v>46140</v>
      </c>
    </row>
    <row r="1627" spans="2:29" ht="23" x14ac:dyDescent="0.35">
      <c r="B1627" s="81" t="s">
        <v>338</v>
      </c>
      <c r="C1627" s="81" t="s">
        <v>339</v>
      </c>
      <c r="D1627" s="81" t="s">
        <v>340</v>
      </c>
      <c r="E1627" s="81" t="s">
        <v>475</v>
      </c>
      <c r="F1627" s="162" t="s">
        <v>476</v>
      </c>
      <c r="G1627" s="163"/>
      <c r="H1627" s="81" t="s">
        <v>2106</v>
      </c>
      <c r="I1627" s="81" t="s">
        <v>1436</v>
      </c>
      <c r="J1627" s="81" t="s">
        <v>154</v>
      </c>
      <c r="K1627" s="81" t="s">
        <v>2110</v>
      </c>
      <c r="L1627" s="81" t="s">
        <v>58</v>
      </c>
      <c r="M1627" s="164">
        <v>5.6415505000000001</v>
      </c>
      <c r="N1627" s="165"/>
      <c r="O1627" s="163"/>
      <c r="P1627" s="82">
        <v>200</v>
      </c>
      <c r="Q1627" s="164">
        <v>0</v>
      </c>
      <c r="R1627" s="163"/>
      <c r="S1627" s="81" t="s">
        <v>58</v>
      </c>
      <c r="T1627" s="82">
        <v>0</v>
      </c>
      <c r="U1627" s="82">
        <v>0</v>
      </c>
      <c r="V1627" s="82">
        <v>0</v>
      </c>
      <c r="W1627" s="82">
        <v>0</v>
      </c>
      <c r="X1627" s="81"/>
      <c r="Y1627" s="81"/>
      <c r="Z1627" s="81" t="s">
        <v>58</v>
      </c>
      <c r="AA1627" s="81" t="s">
        <v>58</v>
      </c>
      <c r="AB1627" s="81" t="s">
        <v>58</v>
      </c>
      <c r="AC1627" s="83">
        <v>46140</v>
      </c>
    </row>
    <row r="1628" spans="2:29" ht="23" x14ac:dyDescent="0.35">
      <c r="B1628" s="81" t="s">
        <v>338</v>
      </c>
      <c r="C1628" s="81" t="s">
        <v>339</v>
      </c>
      <c r="D1628" s="81" t="s">
        <v>340</v>
      </c>
      <c r="E1628" s="81" t="s">
        <v>475</v>
      </c>
      <c r="F1628" s="162" t="s">
        <v>476</v>
      </c>
      <c r="G1628" s="163"/>
      <c r="H1628" s="81" t="s">
        <v>2106</v>
      </c>
      <c r="I1628" s="81" t="s">
        <v>1436</v>
      </c>
      <c r="J1628" s="81" t="s">
        <v>154</v>
      </c>
      <c r="K1628" s="81" t="s">
        <v>2111</v>
      </c>
      <c r="L1628" s="81" t="s">
        <v>58</v>
      </c>
      <c r="M1628" s="164">
        <v>5.6415505000000001</v>
      </c>
      <c r="N1628" s="165"/>
      <c r="O1628" s="163"/>
      <c r="P1628" s="82">
        <v>200</v>
      </c>
      <c r="Q1628" s="164">
        <v>0</v>
      </c>
      <c r="R1628" s="163"/>
      <c r="S1628" s="81" t="s">
        <v>58</v>
      </c>
      <c r="T1628" s="82">
        <v>0</v>
      </c>
      <c r="U1628" s="82">
        <v>0</v>
      </c>
      <c r="V1628" s="82">
        <v>0</v>
      </c>
      <c r="W1628" s="82">
        <v>0</v>
      </c>
      <c r="X1628" s="81"/>
      <c r="Y1628" s="81"/>
      <c r="Z1628" s="81" t="s">
        <v>58</v>
      </c>
      <c r="AA1628" s="81" t="s">
        <v>58</v>
      </c>
      <c r="AB1628" s="81" t="s">
        <v>58</v>
      </c>
      <c r="AC1628" s="83">
        <v>46140</v>
      </c>
    </row>
    <row r="1629" spans="2:29" ht="23" x14ac:dyDescent="0.35">
      <c r="B1629" s="81" t="s">
        <v>338</v>
      </c>
      <c r="C1629" s="81" t="s">
        <v>339</v>
      </c>
      <c r="D1629" s="81" t="s">
        <v>340</v>
      </c>
      <c r="E1629" s="81" t="s">
        <v>475</v>
      </c>
      <c r="F1629" s="162" t="s">
        <v>476</v>
      </c>
      <c r="G1629" s="163"/>
      <c r="H1629" s="81" t="s">
        <v>2106</v>
      </c>
      <c r="I1629" s="81" t="s">
        <v>1436</v>
      </c>
      <c r="J1629" s="81" t="s">
        <v>154</v>
      </c>
      <c r="K1629" s="81" t="s">
        <v>2112</v>
      </c>
      <c r="L1629" s="81" t="s">
        <v>58</v>
      </c>
      <c r="M1629" s="164">
        <v>3.2438915375000001</v>
      </c>
      <c r="N1629" s="165"/>
      <c r="O1629" s="163"/>
      <c r="P1629" s="82">
        <v>115</v>
      </c>
      <c r="Q1629" s="164">
        <v>0</v>
      </c>
      <c r="R1629" s="163"/>
      <c r="S1629" s="81" t="s">
        <v>58</v>
      </c>
      <c r="T1629" s="82">
        <v>0</v>
      </c>
      <c r="U1629" s="82">
        <v>0</v>
      </c>
      <c r="V1629" s="82">
        <v>0</v>
      </c>
      <c r="W1629" s="82">
        <v>0</v>
      </c>
      <c r="X1629" s="81"/>
      <c r="Y1629" s="81"/>
      <c r="Z1629" s="81" t="s">
        <v>58</v>
      </c>
      <c r="AA1629" s="81" t="s">
        <v>58</v>
      </c>
      <c r="AB1629" s="81" t="s">
        <v>58</v>
      </c>
      <c r="AC1629" s="83">
        <v>46140</v>
      </c>
    </row>
    <row r="1630" spans="2:29" ht="23" x14ac:dyDescent="0.35">
      <c r="B1630" s="81" t="s">
        <v>338</v>
      </c>
      <c r="C1630" s="81" t="s">
        <v>339</v>
      </c>
      <c r="D1630" s="81" t="s">
        <v>340</v>
      </c>
      <c r="E1630" s="81" t="s">
        <v>475</v>
      </c>
      <c r="F1630" s="162" t="s">
        <v>476</v>
      </c>
      <c r="G1630" s="163"/>
      <c r="H1630" s="81" t="s">
        <v>2106</v>
      </c>
      <c r="I1630" s="81" t="s">
        <v>1436</v>
      </c>
      <c r="J1630" s="81" t="s">
        <v>154</v>
      </c>
      <c r="K1630" s="81" t="s">
        <v>2113</v>
      </c>
      <c r="L1630" s="81" t="s">
        <v>58</v>
      </c>
      <c r="M1630" s="164">
        <v>5.8399970000000003</v>
      </c>
      <c r="N1630" s="165"/>
      <c r="O1630" s="163"/>
      <c r="P1630" s="82">
        <v>200</v>
      </c>
      <c r="Q1630" s="164">
        <v>0</v>
      </c>
      <c r="R1630" s="163"/>
      <c r="S1630" s="81" t="s">
        <v>58</v>
      </c>
      <c r="T1630" s="82">
        <v>0</v>
      </c>
      <c r="U1630" s="82">
        <v>0</v>
      </c>
      <c r="V1630" s="82">
        <v>0</v>
      </c>
      <c r="W1630" s="82">
        <v>0</v>
      </c>
      <c r="X1630" s="81"/>
      <c r="Y1630" s="81"/>
      <c r="Z1630" s="81" t="s">
        <v>58</v>
      </c>
      <c r="AA1630" s="81" t="s">
        <v>58</v>
      </c>
      <c r="AB1630" s="81" t="s">
        <v>58</v>
      </c>
      <c r="AC1630" s="83">
        <v>46140</v>
      </c>
    </row>
    <row r="1631" spans="2:29" ht="23" x14ac:dyDescent="0.35">
      <c r="B1631" s="81" t="s">
        <v>338</v>
      </c>
      <c r="C1631" s="81" t="s">
        <v>339</v>
      </c>
      <c r="D1631" s="81" t="s">
        <v>340</v>
      </c>
      <c r="E1631" s="81" t="s">
        <v>475</v>
      </c>
      <c r="F1631" s="162" t="s">
        <v>476</v>
      </c>
      <c r="G1631" s="163"/>
      <c r="H1631" s="81" t="s">
        <v>2106</v>
      </c>
      <c r="I1631" s="81" t="s">
        <v>1436</v>
      </c>
      <c r="J1631" s="81" t="s">
        <v>154</v>
      </c>
      <c r="K1631" s="81" t="s">
        <v>2114</v>
      </c>
      <c r="L1631" s="81" t="s">
        <v>58</v>
      </c>
      <c r="M1631" s="164">
        <v>5.8399970000000003</v>
      </c>
      <c r="N1631" s="165"/>
      <c r="O1631" s="163"/>
      <c r="P1631" s="82">
        <v>200</v>
      </c>
      <c r="Q1631" s="164">
        <v>0</v>
      </c>
      <c r="R1631" s="163"/>
      <c r="S1631" s="81" t="s">
        <v>58</v>
      </c>
      <c r="T1631" s="82">
        <v>0</v>
      </c>
      <c r="U1631" s="82">
        <v>0</v>
      </c>
      <c r="V1631" s="82">
        <v>0</v>
      </c>
      <c r="W1631" s="82">
        <v>0</v>
      </c>
      <c r="X1631" s="81"/>
      <c r="Y1631" s="81"/>
      <c r="Z1631" s="81" t="s">
        <v>58</v>
      </c>
      <c r="AA1631" s="81" t="s">
        <v>58</v>
      </c>
      <c r="AB1631" s="81" t="s">
        <v>58</v>
      </c>
      <c r="AC1631" s="83">
        <v>46140</v>
      </c>
    </row>
    <row r="1632" spans="2:29" ht="23" x14ac:dyDescent="0.35">
      <c r="B1632" s="81" t="s">
        <v>338</v>
      </c>
      <c r="C1632" s="81" t="s">
        <v>339</v>
      </c>
      <c r="D1632" s="81" t="s">
        <v>340</v>
      </c>
      <c r="E1632" s="81" t="s">
        <v>475</v>
      </c>
      <c r="F1632" s="162" t="s">
        <v>476</v>
      </c>
      <c r="G1632" s="163"/>
      <c r="H1632" s="81" t="s">
        <v>2106</v>
      </c>
      <c r="I1632" s="81" t="s">
        <v>1436</v>
      </c>
      <c r="J1632" s="81" t="s">
        <v>154</v>
      </c>
      <c r="K1632" s="81" t="s">
        <v>2115</v>
      </c>
      <c r="L1632" s="81" t="s">
        <v>58</v>
      </c>
      <c r="M1632" s="164">
        <v>6.2779967750000001</v>
      </c>
      <c r="N1632" s="165"/>
      <c r="O1632" s="163"/>
      <c r="P1632" s="82">
        <v>215</v>
      </c>
      <c r="Q1632" s="164">
        <v>0</v>
      </c>
      <c r="R1632" s="163"/>
      <c r="S1632" s="81" t="s">
        <v>58</v>
      </c>
      <c r="T1632" s="82">
        <v>0</v>
      </c>
      <c r="U1632" s="82">
        <v>0</v>
      </c>
      <c r="V1632" s="82">
        <v>0</v>
      </c>
      <c r="W1632" s="82">
        <v>0</v>
      </c>
      <c r="X1632" s="81"/>
      <c r="Y1632" s="81"/>
      <c r="Z1632" s="81" t="s">
        <v>58</v>
      </c>
      <c r="AA1632" s="81" t="s">
        <v>58</v>
      </c>
      <c r="AB1632" s="81" t="s">
        <v>58</v>
      </c>
      <c r="AC1632" s="83">
        <v>46140</v>
      </c>
    </row>
    <row r="1633" spans="2:29" ht="23" x14ac:dyDescent="0.35">
      <c r="B1633" s="81" t="s">
        <v>338</v>
      </c>
      <c r="C1633" s="81" t="s">
        <v>339</v>
      </c>
      <c r="D1633" s="81" t="s">
        <v>340</v>
      </c>
      <c r="E1633" s="81" t="s">
        <v>475</v>
      </c>
      <c r="F1633" s="162" t="s">
        <v>476</v>
      </c>
      <c r="G1633" s="163"/>
      <c r="H1633" s="81" t="s">
        <v>2106</v>
      </c>
      <c r="I1633" s="81" t="s">
        <v>1436</v>
      </c>
      <c r="J1633" s="81" t="s">
        <v>154</v>
      </c>
      <c r="K1633" s="81" t="s">
        <v>2116</v>
      </c>
      <c r="L1633" s="81" t="s">
        <v>58</v>
      </c>
      <c r="M1633" s="164">
        <v>6.0384434999999996</v>
      </c>
      <c r="N1633" s="165"/>
      <c r="O1633" s="163"/>
      <c r="P1633" s="82">
        <v>200</v>
      </c>
      <c r="Q1633" s="164">
        <v>0</v>
      </c>
      <c r="R1633" s="163"/>
      <c r="S1633" s="81" t="s">
        <v>58</v>
      </c>
      <c r="T1633" s="82">
        <v>0</v>
      </c>
      <c r="U1633" s="82">
        <v>0</v>
      </c>
      <c r="V1633" s="82">
        <v>0</v>
      </c>
      <c r="W1633" s="82">
        <v>0</v>
      </c>
      <c r="X1633" s="81"/>
      <c r="Y1633" s="81"/>
      <c r="Z1633" s="81" t="s">
        <v>58</v>
      </c>
      <c r="AA1633" s="81" t="s">
        <v>58</v>
      </c>
      <c r="AB1633" s="81" t="s">
        <v>58</v>
      </c>
      <c r="AC1633" s="83">
        <v>46140</v>
      </c>
    </row>
    <row r="1634" spans="2:29" ht="23" x14ac:dyDescent="0.35">
      <c r="B1634" s="81" t="s">
        <v>338</v>
      </c>
      <c r="C1634" s="81" t="s">
        <v>339</v>
      </c>
      <c r="D1634" s="81" t="s">
        <v>340</v>
      </c>
      <c r="E1634" s="81" t="s">
        <v>475</v>
      </c>
      <c r="F1634" s="162" t="s">
        <v>476</v>
      </c>
      <c r="G1634" s="163"/>
      <c r="H1634" s="81" t="s">
        <v>2106</v>
      </c>
      <c r="I1634" s="81" t="s">
        <v>1436</v>
      </c>
      <c r="J1634" s="81" t="s">
        <v>154</v>
      </c>
      <c r="K1634" s="81" t="s">
        <v>2117</v>
      </c>
      <c r="L1634" s="81" t="s">
        <v>58</v>
      </c>
      <c r="M1634" s="164">
        <v>6.0384434999999996</v>
      </c>
      <c r="N1634" s="165"/>
      <c r="O1634" s="163"/>
      <c r="P1634" s="82">
        <v>200</v>
      </c>
      <c r="Q1634" s="164">
        <v>0</v>
      </c>
      <c r="R1634" s="163"/>
      <c r="S1634" s="81" t="s">
        <v>58</v>
      </c>
      <c r="T1634" s="82">
        <v>0</v>
      </c>
      <c r="U1634" s="82">
        <v>0</v>
      </c>
      <c r="V1634" s="82">
        <v>0</v>
      </c>
      <c r="W1634" s="82">
        <v>0</v>
      </c>
      <c r="X1634" s="81"/>
      <c r="Y1634" s="81"/>
      <c r="Z1634" s="81" t="s">
        <v>58</v>
      </c>
      <c r="AA1634" s="81" t="s">
        <v>58</v>
      </c>
      <c r="AB1634" s="81" t="s">
        <v>58</v>
      </c>
      <c r="AC1634" s="83">
        <v>46140</v>
      </c>
    </row>
    <row r="1635" spans="2:29" ht="23" x14ac:dyDescent="0.35">
      <c r="B1635" s="81" t="s">
        <v>338</v>
      </c>
      <c r="C1635" s="81" t="s">
        <v>339</v>
      </c>
      <c r="D1635" s="81" t="s">
        <v>340</v>
      </c>
      <c r="E1635" s="81" t="s">
        <v>475</v>
      </c>
      <c r="F1635" s="162" t="s">
        <v>476</v>
      </c>
      <c r="G1635" s="163"/>
      <c r="H1635" s="81" t="s">
        <v>2106</v>
      </c>
      <c r="I1635" s="81" t="s">
        <v>1436</v>
      </c>
      <c r="J1635" s="81" t="s">
        <v>154</v>
      </c>
      <c r="K1635" s="81" t="s">
        <v>2118</v>
      </c>
      <c r="L1635" s="81" t="s">
        <v>58</v>
      </c>
      <c r="M1635" s="164">
        <v>6.0384434999999996</v>
      </c>
      <c r="N1635" s="165"/>
      <c r="O1635" s="163"/>
      <c r="P1635" s="82">
        <v>200</v>
      </c>
      <c r="Q1635" s="164">
        <v>0</v>
      </c>
      <c r="R1635" s="163"/>
      <c r="S1635" s="81" t="s">
        <v>58</v>
      </c>
      <c r="T1635" s="82">
        <v>0</v>
      </c>
      <c r="U1635" s="82">
        <v>0</v>
      </c>
      <c r="V1635" s="82">
        <v>0</v>
      </c>
      <c r="W1635" s="82">
        <v>0</v>
      </c>
      <c r="X1635" s="81"/>
      <c r="Y1635" s="81"/>
      <c r="Z1635" s="81" t="s">
        <v>58</v>
      </c>
      <c r="AA1635" s="81" t="s">
        <v>58</v>
      </c>
      <c r="AB1635" s="81" t="s">
        <v>58</v>
      </c>
      <c r="AC1635" s="83">
        <v>46140</v>
      </c>
    </row>
    <row r="1636" spans="2:29" ht="23" x14ac:dyDescent="0.35">
      <c r="B1636" s="81" t="s">
        <v>338</v>
      </c>
      <c r="C1636" s="81" t="s">
        <v>339</v>
      </c>
      <c r="D1636" s="81" t="s">
        <v>340</v>
      </c>
      <c r="E1636" s="81" t="s">
        <v>475</v>
      </c>
      <c r="F1636" s="162" t="s">
        <v>476</v>
      </c>
      <c r="G1636" s="163"/>
      <c r="H1636" s="81" t="s">
        <v>2106</v>
      </c>
      <c r="I1636" s="81" t="s">
        <v>1436</v>
      </c>
      <c r="J1636" s="81" t="s">
        <v>154</v>
      </c>
      <c r="K1636" s="81" t="s">
        <v>2119</v>
      </c>
      <c r="L1636" s="81" t="s">
        <v>58</v>
      </c>
      <c r="M1636" s="164">
        <v>2.2342240950000001</v>
      </c>
      <c r="N1636" s="165"/>
      <c r="O1636" s="163"/>
      <c r="P1636" s="82">
        <v>74</v>
      </c>
      <c r="Q1636" s="164">
        <v>0</v>
      </c>
      <c r="R1636" s="163"/>
      <c r="S1636" s="81" t="s">
        <v>58</v>
      </c>
      <c r="T1636" s="82">
        <v>0</v>
      </c>
      <c r="U1636" s="82">
        <v>0</v>
      </c>
      <c r="V1636" s="82">
        <v>0</v>
      </c>
      <c r="W1636" s="82">
        <v>0</v>
      </c>
      <c r="X1636" s="81"/>
      <c r="Y1636" s="81"/>
      <c r="Z1636" s="81" t="s">
        <v>58</v>
      </c>
      <c r="AA1636" s="81" t="s">
        <v>58</v>
      </c>
      <c r="AB1636" s="81" t="s">
        <v>58</v>
      </c>
      <c r="AC1636" s="83">
        <v>46140</v>
      </c>
    </row>
    <row r="1637" spans="2:29" ht="23" x14ac:dyDescent="0.35">
      <c r="B1637" s="81" t="s">
        <v>338</v>
      </c>
      <c r="C1637" s="81" t="s">
        <v>339</v>
      </c>
      <c r="D1637" s="81" t="s">
        <v>340</v>
      </c>
      <c r="E1637" s="81" t="s">
        <v>475</v>
      </c>
      <c r="F1637" s="162" t="s">
        <v>476</v>
      </c>
      <c r="G1637" s="163"/>
      <c r="H1637" s="81" t="s">
        <v>2106</v>
      </c>
      <c r="I1637" s="81" t="s">
        <v>1436</v>
      </c>
      <c r="J1637" s="81" t="s">
        <v>154</v>
      </c>
      <c r="K1637" s="81" t="s">
        <v>2120</v>
      </c>
      <c r="L1637" s="81" t="s">
        <v>58</v>
      </c>
      <c r="M1637" s="164">
        <v>6.2368899999999998</v>
      </c>
      <c r="N1637" s="165"/>
      <c r="O1637" s="163"/>
      <c r="P1637" s="82">
        <v>200</v>
      </c>
      <c r="Q1637" s="164">
        <v>0</v>
      </c>
      <c r="R1637" s="163"/>
      <c r="S1637" s="81" t="s">
        <v>58</v>
      </c>
      <c r="T1637" s="82">
        <v>0</v>
      </c>
      <c r="U1637" s="82">
        <v>0</v>
      </c>
      <c r="V1637" s="82">
        <v>0</v>
      </c>
      <c r="W1637" s="82">
        <v>0</v>
      </c>
      <c r="X1637" s="81"/>
      <c r="Y1637" s="81"/>
      <c r="Z1637" s="81" t="s">
        <v>58</v>
      </c>
      <c r="AA1637" s="81" t="s">
        <v>58</v>
      </c>
      <c r="AB1637" s="81" t="s">
        <v>58</v>
      </c>
      <c r="AC1637" s="83">
        <v>46140</v>
      </c>
    </row>
    <row r="1638" spans="2:29" ht="23" x14ac:dyDescent="0.35">
      <c r="B1638" s="81" t="s">
        <v>338</v>
      </c>
      <c r="C1638" s="81" t="s">
        <v>339</v>
      </c>
      <c r="D1638" s="81" t="s">
        <v>340</v>
      </c>
      <c r="E1638" s="81" t="s">
        <v>475</v>
      </c>
      <c r="F1638" s="162" t="s">
        <v>476</v>
      </c>
      <c r="G1638" s="163"/>
      <c r="H1638" s="81" t="s">
        <v>2106</v>
      </c>
      <c r="I1638" s="81" t="s">
        <v>1436</v>
      </c>
      <c r="J1638" s="81" t="s">
        <v>154</v>
      </c>
      <c r="K1638" s="81" t="s">
        <v>2121</v>
      </c>
      <c r="L1638" s="81" t="s">
        <v>58</v>
      </c>
      <c r="M1638" s="164">
        <v>6.2057055500000002</v>
      </c>
      <c r="N1638" s="165"/>
      <c r="O1638" s="163"/>
      <c r="P1638" s="82">
        <v>199</v>
      </c>
      <c r="Q1638" s="164">
        <v>0</v>
      </c>
      <c r="R1638" s="163"/>
      <c r="S1638" s="81" t="s">
        <v>58</v>
      </c>
      <c r="T1638" s="82">
        <v>0</v>
      </c>
      <c r="U1638" s="82">
        <v>0</v>
      </c>
      <c r="V1638" s="82">
        <v>0</v>
      </c>
      <c r="W1638" s="82">
        <v>0</v>
      </c>
      <c r="X1638" s="81"/>
      <c r="Y1638" s="81"/>
      <c r="Z1638" s="81" t="s">
        <v>58</v>
      </c>
      <c r="AA1638" s="81" t="s">
        <v>58</v>
      </c>
      <c r="AB1638" s="81" t="s">
        <v>58</v>
      </c>
      <c r="AC1638" s="83">
        <v>46140</v>
      </c>
    </row>
    <row r="1639" spans="2:29" ht="23" x14ac:dyDescent="0.35">
      <c r="B1639" s="81" t="s">
        <v>338</v>
      </c>
      <c r="C1639" s="81" t="s">
        <v>339</v>
      </c>
      <c r="D1639" s="81" t="s">
        <v>340</v>
      </c>
      <c r="E1639" s="81" t="s">
        <v>475</v>
      </c>
      <c r="F1639" s="162" t="s">
        <v>476</v>
      </c>
      <c r="G1639" s="163"/>
      <c r="H1639" s="81" t="s">
        <v>2106</v>
      </c>
      <c r="I1639" s="81" t="s">
        <v>1436</v>
      </c>
      <c r="J1639" s="81" t="s">
        <v>154</v>
      </c>
      <c r="K1639" s="81" t="s">
        <v>2122</v>
      </c>
      <c r="L1639" s="81" t="s">
        <v>58</v>
      </c>
      <c r="M1639" s="164">
        <v>7.7834969725000001</v>
      </c>
      <c r="N1639" s="165"/>
      <c r="O1639" s="163"/>
      <c r="P1639" s="82">
        <v>215</v>
      </c>
      <c r="Q1639" s="164">
        <v>0</v>
      </c>
      <c r="R1639" s="163"/>
      <c r="S1639" s="81" t="s">
        <v>58</v>
      </c>
      <c r="T1639" s="82">
        <v>0</v>
      </c>
      <c r="U1639" s="82">
        <v>0</v>
      </c>
      <c r="V1639" s="82">
        <v>0</v>
      </c>
      <c r="W1639" s="82">
        <v>0</v>
      </c>
      <c r="X1639" s="81"/>
      <c r="Y1639" s="81"/>
      <c r="Z1639" s="81" t="s">
        <v>58</v>
      </c>
      <c r="AA1639" s="81" t="s">
        <v>58</v>
      </c>
      <c r="AB1639" s="81" t="s">
        <v>58</v>
      </c>
      <c r="AC1639" s="83">
        <v>46140</v>
      </c>
    </row>
    <row r="1640" spans="2:29" ht="23" x14ac:dyDescent="0.35">
      <c r="B1640" s="81" t="s">
        <v>338</v>
      </c>
      <c r="C1640" s="81" t="s">
        <v>339</v>
      </c>
      <c r="D1640" s="81" t="s">
        <v>340</v>
      </c>
      <c r="E1640" s="81" t="s">
        <v>475</v>
      </c>
      <c r="F1640" s="162" t="s">
        <v>476</v>
      </c>
      <c r="G1640" s="163"/>
      <c r="H1640" s="81" t="s">
        <v>2123</v>
      </c>
      <c r="I1640" s="81" t="s">
        <v>1476</v>
      </c>
      <c r="J1640" s="81" t="s">
        <v>153</v>
      </c>
      <c r="K1640" s="81" t="s">
        <v>2124</v>
      </c>
      <c r="L1640" s="81" t="s">
        <v>58</v>
      </c>
      <c r="M1640" s="164">
        <v>2.24074448</v>
      </c>
      <c r="N1640" s="165"/>
      <c r="O1640" s="163"/>
      <c r="P1640" s="82">
        <v>208</v>
      </c>
      <c r="Q1640" s="164">
        <v>0</v>
      </c>
      <c r="R1640" s="163"/>
      <c r="S1640" s="81" t="s">
        <v>58</v>
      </c>
      <c r="T1640" s="82">
        <v>0</v>
      </c>
      <c r="U1640" s="82">
        <v>0</v>
      </c>
      <c r="V1640" s="82">
        <v>0</v>
      </c>
      <c r="W1640" s="82">
        <v>0</v>
      </c>
      <c r="X1640" s="81"/>
      <c r="Y1640" s="81"/>
      <c r="Z1640" s="81" t="s">
        <v>58</v>
      </c>
      <c r="AA1640" s="81" t="s">
        <v>58</v>
      </c>
      <c r="AB1640" s="81" t="s">
        <v>58</v>
      </c>
      <c r="AC1640" s="83">
        <v>46140</v>
      </c>
    </row>
    <row r="1641" spans="2:29" ht="23" x14ac:dyDescent="0.35">
      <c r="B1641" s="81" t="s">
        <v>338</v>
      </c>
      <c r="C1641" s="81" t="s">
        <v>339</v>
      </c>
      <c r="D1641" s="81" t="s">
        <v>340</v>
      </c>
      <c r="E1641" s="81" t="s">
        <v>475</v>
      </c>
      <c r="F1641" s="162" t="s">
        <v>476</v>
      </c>
      <c r="G1641" s="163"/>
      <c r="H1641" s="81" t="s">
        <v>2123</v>
      </c>
      <c r="I1641" s="81" t="s">
        <v>1476</v>
      </c>
      <c r="J1641" s="81" t="s">
        <v>153</v>
      </c>
      <c r="K1641" s="81" t="s">
        <v>2125</v>
      </c>
      <c r="L1641" s="81" t="s">
        <v>58</v>
      </c>
      <c r="M1641" s="164">
        <v>4.7542111499999997</v>
      </c>
      <c r="N1641" s="165"/>
      <c r="O1641" s="163"/>
      <c r="P1641" s="82">
        <v>430</v>
      </c>
      <c r="Q1641" s="164">
        <v>0</v>
      </c>
      <c r="R1641" s="163"/>
      <c r="S1641" s="81" t="s">
        <v>58</v>
      </c>
      <c r="T1641" s="82">
        <v>0</v>
      </c>
      <c r="U1641" s="82">
        <v>0</v>
      </c>
      <c r="V1641" s="82">
        <v>0</v>
      </c>
      <c r="W1641" s="82">
        <v>0</v>
      </c>
      <c r="X1641" s="81"/>
      <c r="Y1641" s="81"/>
      <c r="Z1641" s="81" t="s">
        <v>58</v>
      </c>
      <c r="AA1641" s="81" t="s">
        <v>58</v>
      </c>
      <c r="AB1641" s="81" t="s">
        <v>58</v>
      </c>
      <c r="AC1641" s="83">
        <v>46140</v>
      </c>
    </row>
    <row r="1642" spans="2:29" ht="23" x14ac:dyDescent="0.35">
      <c r="B1642" s="81" t="s">
        <v>338</v>
      </c>
      <c r="C1642" s="81" t="s">
        <v>339</v>
      </c>
      <c r="D1642" s="81" t="s">
        <v>340</v>
      </c>
      <c r="E1642" s="81" t="s">
        <v>475</v>
      </c>
      <c r="F1642" s="162" t="s">
        <v>476</v>
      </c>
      <c r="G1642" s="163"/>
      <c r="H1642" s="81" t="s">
        <v>2123</v>
      </c>
      <c r="I1642" s="81" t="s">
        <v>1476</v>
      </c>
      <c r="J1642" s="81" t="s">
        <v>153</v>
      </c>
      <c r="K1642" s="81" t="s">
        <v>2126</v>
      </c>
      <c r="L1642" s="81" t="s">
        <v>58</v>
      </c>
      <c r="M1642" s="164">
        <v>4.53592</v>
      </c>
      <c r="N1642" s="165"/>
      <c r="O1642" s="163"/>
      <c r="P1642" s="82">
        <v>400</v>
      </c>
      <c r="Q1642" s="164">
        <v>0</v>
      </c>
      <c r="R1642" s="163"/>
      <c r="S1642" s="81" t="s">
        <v>58</v>
      </c>
      <c r="T1642" s="82">
        <v>0</v>
      </c>
      <c r="U1642" s="82">
        <v>0</v>
      </c>
      <c r="V1642" s="82">
        <v>0</v>
      </c>
      <c r="W1642" s="82">
        <v>0</v>
      </c>
      <c r="X1642" s="81"/>
      <c r="Y1642" s="81"/>
      <c r="Z1642" s="81" t="s">
        <v>58</v>
      </c>
      <c r="AA1642" s="81" t="s">
        <v>58</v>
      </c>
      <c r="AB1642" s="81" t="s">
        <v>58</v>
      </c>
      <c r="AC1642" s="83">
        <v>46140</v>
      </c>
    </row>
    <row r="1643" spans="2:29" ht="23" x14ac:dyDescent="0.35">
      <c r="B1643" s="81" t="s">
        <v>338</v>
      </c>
      <c r="C1643" s="81" t="s">
        <v>339</v>
      </c>
      <c r="D1643" s="81" t="s">
        <v>340</v>
      </c>
      <c r="E1643" s="81" t="s">
        <v>475</v>
      </c>
      <c r="F1643" s="162" t="s">
        <v>476</v>
      </c>
      <c r="G1643" s="163"/>
      <c r="H1643" s="81" t="s">
        <v>2123</v>
      </c>
      <c r="I1643" s="81" t="s">
        <v>1476</v>
      </c>
      <c r="J1643" s="81" t="s">
        <v>153</v>
      </c>
      <c r="K1643" s="81" t="s">
        <v>2127</v>
      </c>
      <c r="L1643" s="81" t="s">
        <v>58</v>
      </c>
      <c r="M1643" s="164">
        <v>4.53592</v>
      </c>
      <c r="N1643" s="165"/>
      <c r="O1643" s="163"/>
      <c r="P1643" s="82">
        <v>400</v>
      </c>
      <c r="Q1643" s="164">
        <v>0</v>
      </c>
      <c r="R1643" s="163"/>
      <c r="S1643" s="81" t="s">
        <v>58</v>
      </c>
      <c r="T1643" s="82">
        <v>0</v>
      </c>
      <c r="U1643" s="82">
        <v>0</v>
      </c>
      <c r="V1643" s="82">
        <v>0</v>
      </c>
      <c r="W1643" s="82">
        <v>0</v>
      </c>
      <c r="X1643" s="81"/>
      <c r="Y1643" s="81"/>
      <c r="Z1643" s="81" t="s">
        <v>58</v>
      </c>
      <c r="AA1643" s="81" t="s">
        <v>58</v>
      </c>
      <c r="AB1643" s="81" t="s">
        <v>58</v>
      </c>
      <c r="AC1643" s="83">
        <v>46140</v>
      </c>
    </row>
    <row r="1644" spans="2:29" ht="23" x14ac:dyDescent="0.35">
      <c r="B1644" s="81" t="s">
        <v>338</v>
      </c>
      <c r="C1644" s="81" t="s">
        <v>339</v>
      </c>
      <c r="D1644" s="81" t="s">
        <v>340</v>
      </c>
      <c r="E1644" s="81" t="s">
        <v>475</v>
      </c>
      <c r="F1644" s="162" t="s">
        <v>476</v>
      </c>
      <c r="G1644" s="163"/>
      <c r="H1644" s="81" t="s">
        <v>2123</v>
      </c>
      <c r="I1644" s="81" t="s">
        <v>1476</v>
      </c>
      <c r="J1644" s="81" t="s">
        <v>153</v>
      </c>
      <c r="K1644" s="81" t="s">
        <v>2128</v>
      </c>
      <c r="L1644" s="81" t="s">
        <v>58</v>
      </c>
      <c r="M1644" s="164">
        <v>4.53592</v>
      </c>
      <c r="N1644" s="165"/>
      <c r="O1644" s="163"/>
      <c r="P1644" s="82">
        <v>400</v>
      </c>
      <c r="Q1644" s="164">
        <v>0</v>
      </c>
      <c r="R1644" s="163"/>
      <c r="S1644" s="81" t="s">
        <v>58</v>
      </c>
      <c r="T1644" s="82">
        <v>0</v>
      </c>
      <c r="U1644" s="82">
        <v>0</v>
      </c>
      <c r="V1644" s="82">
        <v>0</v>
      </c>
      <c r="W1644" s="82">
        <v>0</v>
      </c>
      <c r="X1644" s="81"/>
      <c r="Y1644" s="81"/>
      <c r="Z1644" s="81" t="s">
        <v>58</v>
      </c>
      <c r="AA1644" s="81" t="s">
        <v>58</v>
      </c>
      <c r="AB1644" s="81" t="s">
        <v>58</v>
      </c>
      <c r="AC1644" s="83">
        <v>46140</v>
      </c>
    </row>
    <row r="1645" spans="2:29" ht="23" x14ac:dyDescent="0.35">
      <c r="B1645" s="81" t="s">
        <v>338</v>
      </c>
      <c r="C1645" s="81" t="s">
        <v>339</v>
      </c>
      <c r="D1645" s="81" t="s">
        <v>340</v>
      </c>
      <c r="E1645" s="81" t="s">
        <v>475</v>
      </c>
      <c r="F1645" s="162" t="s">
        <v>476</v>
      </c>
      <c r="G1645" s="163"/>
      <c r="H1645" s="81" t="s">
        <v>2123</v>
      </c>
      <c r="I1645" s="81" t="s">
        <v>1476</v>
      </c>
      <c r="J1645" s="81" t="s">
        <v>153</v>
      </c>
      <c r="K1645" s="81" t="s">
        <v>2129</v>
      </c>
      <c r="L1645" s="81" t="s">
        <v>58</v>
      </c>
      <c r="M1645" s="164">
        <v>2.6081539999999999</v>
      </c>
      <c r="N1645" s="165"/>
      <c r="O1645" s="163"/>
      <c r="P1645" s="82">
        <v>230</v>
      </c>
      <c r="Q1645" s="164">
        <v>0</v>
      </c>
      <c r="R1645" s="163"/>
      <c r="S1645" s="81" t="s">
        <v>58</v>
      </c>
      <c r="T1645" s="82">
        <v>0</v>
      </c>
      <c r="U1645" s="82">
        <v>0</v>
      </c>
      <c r="V1645" s="82">
        <v>0</v>
      </c>
      <c r="W1645" s="82">
        <v>0</v>
      </c>
      <c r="X1645" s="81"/>
      <c r="Y1645" s="81"/>
      <c r="Z1645" s="81" t="s">
        <v>58</v>
      </c>
      <c r="AA1645" s="81" t="s">
        <v>58</v>
      </c>
      <c r="AB1645" s="81" t="s">
        <v>58</v>
      </c>
      <c r="AC1645" s="83">
        <v>46140</v>
      </c>
    </row>
    <row r="1646" spans="2:29" ht="23" x14ac:dyDescent="0.35">
      <c r="B1646" s="81" t="s">
        <v>338</v>
      </c>
      <c r="C1646" s="81" t="s">
        <v>339</v>
      </c>
      <c r="D1646" s="81" t="s">
        <v>340</v>
      </c>
      <c r="E1646" s="81" t="s">
        <v>475</v>
      </c>
      <c r="F1646" s="162" t="s">
        <v>476</v>
      </c>
      <c r="G1646" s="163"/>
      <c r="H1646" s="81" t="s">
        <v>2123</v>
      </c>
      <c r="I1646" s="81" t="s">
        <v>1476</v>
      </c>
      <c r="J1646" s="81" t="s">
        <v>153</v>
      </c>
      <c r="K1646" s="81" t="s">
        <v>2130</v>
      </c>
      <c r="L1646" s="81" t="s">
        <v>58</v>
      </c>
      <c r="M1646" s="164">
        <v>4.6493180000000001</v>
      </c>
      <c r="N1646" s="165"/>
      <c r="O1646" s="163"/>
      <c r="P1646" s="82">
        <v>400</v>
      </c>
      <c r="Q1646" s="164">
        <v>0</v>
      </c>
      <c r="R1646" s="163"/>
      <c r="S1646" s="81" t="s">
        <v>58</v>
      </c>
      <c r="T1646" s="82">
        <v>0</v>
      </c>
      <c r="U1646" s="82">
        <v>0</v>
      </c>
      <c r="V1646" s="82">
        <v>0</v>
      </c>
      <c r="W1646" s="82">
        <v>0</v>
      </c>
      <c r="X1646" s="81"/>
      <c r="Y1646" s="81"/>
      <c r="Z1646" s="81" t="s">
        <v>58</v>
      </c>
      <c r="AA1646" s="81" t="s">
        <v>58</v>
      </c>
      <c r="AB1646" s="81" t="s">
        <v>58</v>
      </c>
      <c r="AC1646" s="83">
        <v>46140</v>
      </c>
    </row>
    <row r="1647" spans="2:29" ht="23" x14ac:dyDescent="0.35">
      <c r="B1647" s="81" t="s">
        <v>338</v>
      </c>
      <c r="C1647" s="81" t="s">
        <v>339</v>
      </c>
      <c r="D1647" s="81" t="s">
        <v>340</v>
      </c>
      <c r="E1647" s="81" t="s">
        <v>475</v>
      </c>
      <c r="F1647" s="162" t="s">
        <v>476</v>
      </c>
      <c r="G1647" s="163"/>
      <c r="H1647" s="81" t="s">
        <v>2123</v>
      </c>
      <c r="I1647" s="81" t="s">
        <v>1476</v>
      </c>
      <c r="J1647" s="81" t="s">
        <v>153</v>
      </c>
      <c r="K1647" s="81" t="s">
        <v>2131</v>
      </c>
      <c r="L1647" s="81" t="s">
        <v>58</v>
      </c>
      <c r="M1647" s="164">
        <v>4.6493180000000001</v>
      </c>
      <c r="N1647" s="165"/>
      <c r="O1647" s="163"/>
      <c r="P1647" s="82">
        <v>400</v>
      </c>
      <c r="Q1647" s="164">
        <v>0</v>
      </c>
      <c r="R1647" s="163"/>
      <c r="S1647" s="81" t="s">
        <v>58</v>
      </c>
      <c r="T1647" s="82">
        <v>0</v>
      </c>
      <c r="U1647" s="82">
        <v>0</v>
      </c>
      <c r="V1647" s="82">
        <v>0</v>
      </c>
      <c r="W1647" s="82">
        <v>0</v>
      </c>
      <c r="X1647" s="81"/>
      <c r="Y1647" s="81"/>
      <c r="Z1647" s="81" t="s">
        <v>58</v>
      </c>
      <c r="AA1647" s="81" t="s">
        <v>58</v>
      </c>
      <c r="AB1647" s="81" t="s">
        <v>58</v>
      </c>
      <c r="AC1647" s="83">
        <v>46140</v>
      </c>
    </row>
    <row r="1648" spans="2:29" ht="23" x14ac:dyDescent="0.35">
      <c r="B1648" s="81" t="s">
        <v>338</v>
      </c>
      <c r="C1648" s="81" t="s">
        <v>339</v>
      </c>
      <c r="D1648" s="81" t="s">
        <v>340</v>
      </c>
      <c r="E1648" s="81" t="s">
        <v>475</v>
      </c>
      <c r="F1648" s="162" t="s">
        <v>476</v>
      </c>
      <c r="G1648" s="163"/>
      <c r="H1648" s="81" t="s">
        <v>2123</v>
      </c>
      <c r="I1648" s="81" t="s">
        <v>1476</v>
      </c>
      <c r="J1648" s="81" t="s">
        <v>153</v>
      </c>
      <c r="K1648" s="81" t="s">
        <v>2132</v>
      </c>
      <c r="L1648" s="81" t="s">
        <v>58</v>
      </c>
      <c r="M1648" s="164">
        <v>4.99801685</v>
      </c>
      <c r="N1648" s="165"/>
      <c r="O1648" s="163"/>
      <c r="P1648" s="82">
        <v>430</v>
      </c>
      <c r="Q1648" s="164">
        <v>0</v>
      </c>
      <c r="R1648" s="163"/>
      <c r="S1648" s="81" t="s">
        <v>58</v>
      </c>
      <c r="T1648" s="82">
        <v>0</v>
      </c>
      <c r="U1648" s="82">
        <v>0</v>
      </c>
      <c r="V1648" s="82">
        <v>0</v>
      </c>
      <c r="W1648" s="82">
        <v>0</v>
      </c>
      <c r="X1648" s="81"/>
      <c r="Y1648" s="81"/>
      <c r="Z1648" s="81" t="s">
        <v>58</v>
      </c>
      <c r="AA1648" s="81" t="s">
        <v>58</v>
      </c>
      <c r="AB1648" s="81" t="s">
        <v>58</v>
      </c>
      <c r="AC1648" s="83">
        <v>46140</v>
      </c>
    </row>
    <row r="1649" spans="2:29" ht="23" x14ac:dyDescent="0.35">
      <c r="B1649" s="81" t="s">
        <v>338</v>
      </c>
      <c r="C1649" s="81" t="s">
        <v>339</v>
      </c>
      <c r="D1649" s="81" t="s">
        <v>340</v>
      </c>
      <c r="E1649" s="81" t="s">
        <v>475</v>
      </c>
      <c r="F1649" s="162" t="s">
        <v>476</v>
      </c>
      <c r="G1649" s="163"/>
      <c r="H1649" s="81" t="s">
        <v>2123</v>
      </c>
      <c r="I1649" s="81" t="s">
        <v>1476</v>
      </c>
      <c r="J1649" s="81" t="s">
        <v>153</v>
      </c>
      <c r="K1649" s="81" t="s">
        <v>2133</v>
      </c>
      <c r="L1649" s="81" t="s">
        <v>58</v>
      </c>
      <c r="M1649" s="164">
        <v>4.7627160000000002</v>
      </c>
      <c r="N1649" s="165"/>
      <c r="O1649" s="163"/>
      <c r="P1649" s="82">
        <v>400</v>
      </c>
      <c r="Q1649" s="164">
        <v>0</v>
      </c>
      <c r="R1649" s="163"/>
      <c r="S1649" s="81" t="s">
        <v>58</v>
      </c>
      <c r="T1649" s="82">
        <v>0</v>
      </c>
      <c r="U1649" s="82">
        <v>0</v>
      </c>
      <c r="V1649" s="82">
        <v>0</v>
      </c>
      <c r="W1649" s="82">
        <v>0</v>
      </c>
      <c r="X1649" s="81"/>
      <c r="Y1649" s="81"/>
      <c r="Z1649" s="81" t="s">
        <v>58</v>
      </c>
      <c r="AA1649" s="81" t="s">
        <v>58</v>
      </c>
      <c r="AB1649" s="81" t="s">
        <v>58</v>
      </c>
      <c r="AC1649" s="83">
        <v>46140</v>
      </c>
    </row>
    <row r="1650" spans="2:29" ht="23" x14ac:dyDescent="0.35">
      <c r="B1650" s="81" t="s">
        <v>338</v>
      </c>
      <c r="C1650" s="81" t="s">
        <v>339</v>
      </c>
      <c r="D1650" s="81" t="s">
        <v>340</v>
      </c>
      <c r="E1650" s="81" t="s">
        <v>475</v>
      </c>
      <c r="F1650" s="162" t="s">
        <v>476</v>
      </c>
      <c r="G1650" s="163"/>
      <c r="H1650" s="81" t="s">
        <v>2123</v>
      </c>
      <c r="I1650" s="81" t="s">
        <v>1476</v>
      </c>
      <c r="J1650" s="81" t="s">
        <v>153</v>
      </c>
      <c r="K1650" s="81" t="s">
        <v>2134</v>
      </c>
      <c r="L1650" s="81" t="s">
        <v>58</v>
      </c>
      <c r="M1650" s="164">
        <v>4.7627160000000002</v>
      </c>
      <c r="N1650" s="165"/>
      <c r="O1650" s="163"/>
      <c r="P1650" s="82">
        <v>400</v>
      </c>
      <c r="Q1650" s="164">
        <v>0</v>
      </c>
      <c r="R1650" s="163"/>
      <c r="S1650" s="81" t="s">
        <v>58</v>
      </c>
      <c r="T1650" s="82">
        <v>0</v>
      </c>
      <c r="U1650" s="82">
        <v>0</v>
      </c>
      <c r="V1650" s="82">
        <v>0</v>
      </c>
      <c r="W1650" s="82">
        <v>0</v>
      </c>
      <c r="X1650" s="81"/>
      <c r="Y1650" s="81"/>
      <c r="Z1650" s="81" t="s">
        <v>58</v>
      </c>
      <c r="AA1650" s="81" t="s">
        <v>58</v>
      </c>
      <c r="AB1650" s="81" t="s">
        <v>58</v>
      </c>
      <c r="AC1650" s="83">
        <v>46140</v>
      </c>
    </row>
    <row r="1651" spans="2:29" ht="23" x14ac:dyDescent="0.35">
      <c r="B1651" s="81" t="s">
        <v>338</v>
      </c>
      <c r="C1651" s="81" t="s">
        <v>339</v>
      </c>
      <c r="D1651" s="81" t="s">
        <v>340</v>
      </c>
      <c r="E1651" s="81" t="s">
        <v>475</v>
      </c>
      <c r="F1651" s="162" t="s">
        <v>476</v>
      </c>
      <c r="G1651" s="163"/>
      <c r="H1651" s="81" t="s">
        <v>2123</v>
      </c>
      <c r="I1651" s="81" t="s">
        <v>1476</v>
      </c>
      <c r="J1651" s="81" t="s">
        <v>153</v>
      </c>
      <c r="K1651" s="81" t="s">
        <v>2135</v>
      </c>
      <c r="L1651" s="81" t="s">
        <v>58</v>
      </c>
      <c r="M1651" s="164">
        <v>4.7627160000000002</v>
      </c>
      <c r="N1651" s="165"/>
      <c r="O1651" s="163"/>
      <c r="P1651" s="82">
        <v>400</v>
      </c>
      <c r="Q1651" s="164">
        <v>0</v>
      </c>
      <c r="R1651" s="163"/>
      <c r="S1651" s="81" t="s">
        <v>58</v>
      </c>
      <c r="T1651" s="82">
        <v>0</v>
      </c>
      <c r="U1651" s="82">
        <v>0</v>
      </c>
      <c r="V1651" s="82">
        <v>0</v>
      </c>
      <c r="W1651" s="82">
        <v>0</v>
      </c>
      <c r="X1651" s="81"/>
      <c r="Y1651" s="81"/>
      <c r="Z1651" s="81" t="s">
        <v>58</v>
      </c>
      <c r="AA1651" s="81" t="s">
        <v>58</v>
      </c>
      <c r="AB1651" s="81" t="s">
        <v>58</v>
      </c>
      <c r="AC1651" s="83">
        <v>46140</v>
      </c>
    </row>
    <row r="1652" spans="2:29" ht="23" x14ac:dyDescent="0.35">
      <c r="B1652" s="81" t="s">
        <v>338</v>
      </c>
      <c r="C1652" s="81" t="s">
        <v>339</v>
      </c>
      <c r="D1652" s="81" t="s">
        <v>340</v>
      </c>
      <c r="E1652" s="81" t="s">
        <v>475</v>
      </c>
      <c r="F1652" s="162" t="s">
        <v>476</v>
      </c>
      <c r="G1652" s="163"/>
      <c r="H1652" s="81" t="s">
        <v>2123</v>
      </c>
      <c r="I1652" s="81" t="s">
        <v>1476</v>
      </c>
      <c r="J1652" s="81" t="s">
        <v>153</v>
      </c>
      <c r="K1652" s="81" t="s">
        <v>2136</v>
      </c>
      <c r="L1652" s="81" t="s">
        <v>58</v>
      </c>
      <c r="M1652" s="164">
        <v>1.7622049200000001</v>
      </c>
      <c r="N1652" s="165"/>
      <c r="O1652" s="163"/>
      <c r="P1652" s="82">
        <v>148</v>
      </c>
      <c r="Q1652" s="164">
        <v>0</v>
      </c>
      <c r="R1652" s="163"/>
      <c r="S1652" s="81" t="s">
        <v>58</v>
      </c>
      <c r="T1652" s="82">
        <v>0</v>
      </c>
      <c r="U1652" s="82">
        <v>0</v>
      </c>
      <c r="V1652" s="82">
        <v>0</v>
      </c>
      <c r="W1652" s="82">
        <v>0</v>
      </c>
      <c r="X1652" s="81"/>
      <c r="Y1652" s="81"/>
      <c r="Z1652" s="81" t="s">
        <v>58</v>
      </c>
      <c r="AA1652" s="81" t="s">
        <v>58</v>
      </c>
      <c r="AB1652" s="81" t="s">
        <v>58</v>
      </c>
      <c r="AC1652" s="83">
        <v>46140</v>
      </c>
    </row>
    <row r="1653" spans="2:29" ht="23" x14ac:dyDescent="0.35">
      <c r="B1653" s="81" t="s">
        <v>338</v>
      </c>
      <c r="C1653" s="81" t="s">
        <v>339</v>
      </c>
      <c r="D1653" s="81" t="s">
        <v>340</v>
      </c>
      <c r="E1653" s="81" t="s">
        <v>475</v>
      </c>
      <c r="F1653" s="162" t="s">
        <v>476</v>
      </c>
      <c r="G1653" s="163"/>
      <c r="H1653" s="81" t="s">
        <v>2123</v>
      </c>
      <c r="I1653" s="81" t="s">
        <v>1476</v>
      </c>
      <c r="J1653" s="81" t="s">
        <v>153</v>
      </c>
      <c r="K1653" s="81" t="s">
        <v>2137</v>
      </c>
      <c r="L1653" s="81" t="s">
        <v>58</v>
      </c>
      <c r="M1653" s="164">
        <v>4.8761140000000003</v>
      </c>
      <c r="N1653" s="165"/>
      <c r="O1653" s="163"/>
      <c r="P1653" s="82">
        <v>400</v>
      </c>
      <c r="Q1653" s="164">
        <v>0</v>
      </c>
      <c r="R1653" s="163"/>
      <c r="S1653" s="81" t="s">
        <v>58</v>
      </c>
      <c r="T1653" s="82">
        <v>0</v>
      </c>
      <c r="U1653" s="82">
        <v>0</v>
      </c>
      <c r="V1653" s="82">
        <v>0</v>
      </c>
      <c r="W1653" s="82">
        <v>0</v>
      </c>
      <c r="X1653" s="81"/>
      <c r="Y1653" s="81"/>
      <c r="Z1653" s="81" t="s">
        <v>58</v>
      </c>
      <c r="AA1653" s="81" t="s">
        <v>58</v>
      </c>
      <c r="AB1653" s="81" t="s">
        <v>58</v>
      </c>
      <c r="AC1653" s="83">
        <v>46140</v>
      </c>
    </row>
    <row r="1654" spans="2:29" ht="23" x14ac:dyDescent="0.35">
      <c r="B1654" s="81" t="s">
        <v>338</v>
      </c>
      <c r="C1654" s="81" t="s">
        <v>339</v>
      </c>
      <c r="D1654" s="81" t="s">
        <v>340</v>
      </c>
      <c r="E1654" s="81" t="s">
        <v>475</v>
      </c>
      <c r="F1654" s="162" t="s">
        <v>476</v>
      </c>
      <c r="G1654" s="163"/>
      <c r="H1654" s="81" t="s">
        <v>2123</v>
      </c>
      <c r="I1654" s="81" t="s">
        <v>1476</v>
      </c>
      <c r="J1654" s="81" t="s">
        <v>153</v>
      </c>
      <c r="K1654" s="81" t="s">
        <v>2138</v>
      </c>
      <c r="L1654" s="81" t="s">
        <v>58</v>
      </c>
      <c r="M1654" s="164">
        <v>4.8517334300000003</v>
      </c>
      <c r="N1654" s="165"/>
      <c r="O1654" s="163"/>
      <c r="P1654" s="82">
        <v>398</v>
      </c>
      <c r="Q1654" s="164">
        <v>0</v>
      </c>
      <c r="R1654" s="163"/>
      <c r="S1654" s="81" t="s">
        <v>58</v>
      </c>
      <c r="T1654" s="82">
        <v>0</v>
      </c>
      <c r="U1654" s="82">
        <v>0</v>
      </c>
      <c r="V1654" s="82">
        <v>0</v>
      </c>
      <c r="W1654" s="82">
        <v>0</v>
      </c>
      <c r="X1654" s="81"/>
      <c r="Y1654" s="81"/>
      <c r="Z1654" s="81" t="s">
        <v>58</v>
      </c>
      <c r="AA1654" s="81" t="s">
        <v>58</v>
      </c>
      <c r="AB1654" s="81" t="s">
        <v>58</v>
      </c>
      <c r="AC1654" s="83">
        <v>46140</v>
      </c>
    </row>
    <row r="1655" spans="2:29" ht="23" x14ac:dyDescent="0.35">
      <c r="B1655" s="81" t="s">
        <v>338</v>
      </c>
      <c r="C1655" s="81" t="s">
        <v>339</v>
      </c>
      <c r="D1655" s="81" t="s">
        <v>340</v>
      </c>
      <c r="E1655" s="81" t="s">
        <v>475</v>
      </c>
      <c r="F1655" s="162" t="s">
        <v>476</v>
      </c>
      <c r="G1655" s="163"/>
      <c r="H1655" s="81" t="s">
        <v>2123</v>
      </c>
      <c r="I1655" s="81" t="s">
        <v>1476</v>
      </c>
      <c r="J1655" s="81" t="s">
        <v>153</v>
      </c>
      <c r="K1655" s="81" t="s">
        <v>2139</v>
      </c>
      <c r="L1655" s="81" t="s">
        <v>58</v>
      </c>
      <c r="M1655" s="164">
        <v>5.3881059699999998</v>
      </c>
      <c r="N1655" s="165"/>
      <c r="O1655" s="163"/>
      <c r="P1655" s="82">
        <v>430</v>
      </c>
      <c r="Q1655" s="164">
        <v>0</v>
      </c>
      <c r="R1655" s="163"/>
      <c r="S1655" s="81" t="s">
        <v>58</v>
      </c>
      <c r="T1655" s="82">
        <v>0</v>
      </c>
      <c r="U1655" s="82">
        <v>0</v>
      </c>
      <c r="V1655" s="82">
        <v>0</v>
      </c>
      <c r="W1655" s="82">
        <v>0</v>
      </c>
      <c r="X1655" s="81"/>
      <c r="Y1655" s="81"/>
      <c r="Z1655" s="81" t="s">
        <v>58</v>
      </c>
      <c r="AA1655" s="81" t="s">
        <v>58</v>
      </c>
      <c r="AB1655" s="81" t="s">
        <v>58</v>
      </c>
      <c r="AC1655" s="83">
        <v>46140</v>
      </c>
    </row>
    <row r="1656" spans="2:29" ht="23" x14ac:dyDescent="0.35">
      <c r="B1656" s="81" t="s">
        <v>338</v>
      </c>
      <c r="C1656" s="81" t="s">
        <v>339</v>
      </c>
      <c r="D1656" s="81" t="s">
        <v>340</v>
      </c>
      <c r="E1656" s="81" t="s">
        <v>406</v>
      </c>
      <c r="F1656" s="162" t="s">
        <v>407</v>
      </c>
      <c r="G1656" s="163"/>
      <c r="H1656" s="81" t="s">
        <v>2140</v>
      </c>
      <c r="I1656" s="81" t="s">
        <v>1436</v>
      </c>
      <c r="J1656" s="81" t="s">
        <v>154</v>
      </c>
      <c r="K1656" s="81" t="s">
        <v>2141</v>
      </c>
      <c r="L1656" s="81" t="s">
        <v>58</v>
      </c>
      <c r="M1656" s="164">
        <v>5.8513368000000003</v>
      </c>
      <c r="N1656" s="165"/>
      <c r="O1656" s="163"/>
      <c r="P1656" s="82">
        <v>215</v>
      </c>
      <c r="Q1656" s="164">
        <v>0</v>
      </c>
      <c r="R1656" s="163"/>
      <c r="S1656" s="81" t="s">
        <v>58</v>
      </c>
      <c r="T1656" s="82">
        <v>0</v>
      </c>
      <c r="U1656" s="82">
        <v>0</v>
      </c>
      <c r="V1656" s="82">
        <v>0</v>
      </c>
      <c r="W1656" s="82">
        <v>0</v>
      </c>
      <c r="X1656" s="81"/>
      <c r="Y1656" s="81"/>
      <c r="Z1656" s="81" t="s">
        <v>58</v>
      </c>
      <c r="AA1656" s="81" t="s">
        <v>58</v>
      </c>
      <c r="AB1656" s="81" t="s">
        <v>58</v>
      </c>
      <c r="AC1656" s="83">
        <v>46141</v>
      </c>
    </row>
    <row r="1657" spans="2:29" ht="23" x14ac:dyDescent="0.35">
      <c r="B1657" s="81" t="s">
        <v>338</v>
      </c>
      <c r="C1657" s="81" t="s">
        <v>339</v>
      </c>
      <c r="D1657" s="81" t="s">
        <v>340</v>
      </c>
      <c r="E1657" s="81" t="s">
        <v>406</v>
      </c>
      <c r="F1657" s="162" t="s">
        <v>407</v>
      </c>
      <c r="G1657" s="163"/>
      <c r="H1657" s="81" t="s">
        <v>2140</v>
      </c>
      <c r="I1657" s="81" t="s">
        <v>1436</v>
      </c>
      <c r="J1657" s="81" t="s">
        <v>154</v>
      </c>
      <c r="K1657" s="81" t="s">
        <v>2142</v>
      </c>
      <c r="L1657" s="81" t="s">
        <v>58</v>
      </c>
      <c r="M1657" s="164">
        <v>5.6415505000000001</v>
      </c>
      <c r="N1657" s="165"/>
      <c r="O1657" s="163"/>
      <c r="P1657" s="82">
        <v>200</v>
      </c>
      <c r="Q1657" s="164">
        <v>0</v>
      </c>
      <c r="R1657" s="163"/>
      <c r="S1657" s="81" t="s">
        <v>58</v>
      </c>
      <c r="T1657" s="82">
        <v>0</v>
      </c>
      <c r="U1657" s="82">
        <v>0</v>
      </c>
      <c r="V1657" s="82">
        <v>0</v>
      </c>
      <c r="W1657" s="82">
        <v>0</v>
      </c>
      <c r="X1657" s="81"/>
      <c r="Y1657" s="81"/>
      <c r="Z1657" s="81" t="s">
        <v>58</v>
      </c>
      <c r="AA1657" s="81" t="s">
        <v>58</v>
      </c>
      <c r="AB1657" s="81" t="s">
        <v>58</v>
      </c>
      <c r="AC1657" s="83">
        <v>46141</v>
      </c>
    </row>
    <row r="1658" spans="2:29" ht="23" x14ac:dyDescent="0.35">
      <c r="B1658" s="81" t="s">
        <v>338</v>
      </c>
      <c r="C1658" s="81" t="s">
        <v>339</v>
      </c>
      <c r="D1658" s="81" t="s">
        <v>340</v>
      </c>
      <c r="E1658" s="81" t="s">
        <v>406</v>
      </c>
      <c r="F1658" s="162" t="s">
        <v>407</v>
      </c>
      <c r="G1658" s="163"/>
      <c r="H1658" s="81" t="s">
        <v>2140</v>
      </c>
      <c r="I1658" s="81" t="s">
        <v>1436</v>
      </c>
      <c r="J1658" s="81" t="s">
        <v>154</v>
      </c>
      <c r="K1658" s="81" t="s">
        <v>2143</v>
      </c>
      <c r="L1658" s="81" t="s">
        <v>58</v>
      </c>
      <c r="M1658" s="164">
        <v>5.6415505000000001</v>
      </c>
      <c r="N1658" s="165"/>
      <c r="O1658" s="163"/>
      <c r="P1658" s="82">
        <v>200</v>
      </c>
      <c r="Q1658" s="164">
        <v>0</v>
      </c>
      <c r="R1658" s="163"/>
      <c r="S1658" s="81" t="s">
        <v>58</v>
      </c>
      <c r="T1658" s="82">
        <v>0</v>
      </c>
      <c r="U1658" s="82">
        <v>0</v>
      </c>
      <c r="V1658" s="82">
        <v>0</v>
      </c>
      <c r="W1658" s="82">
        <v>0</v>
      </c>
      <c r="X1658" s="81"/>
      <c r="Y1658" s="81"/>
      <c r="Z1658" s="81" t="s">
        <v>58</v>
      </c>
      <c r="AA1658" s="81" t="s">
        <v>58</v>
      </c>
      <c r="AB1658" s="81" t="s">
        <v>58</v>
      </c>
      <c r="AC1658" s="83">
        <v>46141</v>
      </c>
    </row>
    <row r="1659" spans="2:29" ht="23" x14ac:dyDescent="0.35">
      <c r="B1659" s="81" t="s">
        <v>338</v>
      </c>
      <c r="C1659" s="81" t="s">
        <v>339</v>
      </c>
      <c r="D1659" s="81" t="s">
        <v>340</v>
      </c>
      <c r="E1659" s="81" t="s">
        <v>406</v>
      </c>
      <c r="F1659" s="162" t="s">
        <v>407</v>
      </c>
      <c r="G1659" s="163"/>
      <c r="H1659" s="81" t="s">
        <v>2140</v>
      </c>
      <c r="I1659" s="81" t="s">
        <v>1436</v>
      </c>
      <c r="J1659" s="81" t="s">
        <v>154</v>
      </c>
      <c r="K1659" s="81" t="s">
        <v>2144</v>
      </c>
      <c r="L1659" s="81" t="s">
        <v>58</v>
      </c>
      <c r="M1659" s="164">
        <v>5.6415505000000001</v>
      </c>
      <c r="N1659" s="165"/>
      <c r="O1659" s="163"/>
      <c r="P1659" s="82">
        <v>200</v>
      </c>
      <c r="Q1659" s="164">
        <v>0</v>
      </c>
      <c r="R1659" s="163"/>
      <c r="S1659" s="81" t="s">
        <v>58</v>
      </c>
      <c r="T1659" s="82">
        <v>0</v>
      </c>
      <c r="U1659" s="82">
        <v>0</v>
      </c>
      <c r="V1659" s="82">
        <v>0</v>
      </c>
      <c r="W1659" s="82">
        <v>0</v>
      </c>
      <c r="X1659" s="81"/>
      <c r="Y1659" s="81"/>
      <c r="Z1659" s="81" t="s">
        <v>58</v>
      </c>
      <c r="AA1659" s="81" t="s">
        <v>58</v>
      </c>
      <c r="AB1659" s="81" t="s">
        <v>58</v>
      </c>
      <c r="AC1659" s="83">
        <v>46141</v>
      </c>
    </row>
    <row r="1660" spans="2:29" ht="23" x14ac:dyDescent="0.35">
      <c r="B1660" s="81" t="s">
        <v>338</v>
      </c>
      <c r="C1660" s="81" t="s">
        <v>339</v>
      </c>
      <c r="D1660" s="81" t="s">
        <v>340</v>
      </c>
      <c r="E1660" s="81" t="s">
        <v>406</v>
      </c>
      <c r="F1660" s="162" t="s">
        <v>407</v>
      </c>
      <c r="G1660" s="163"/>
      <c r="H1660" s="81" t="s">
        <v>2140</v>
      </c>
      <c r="I1660" s="81" t="s">
        <v>1436</v>
      </c>
      <c r="J1660" s="81" t="s">
        <v>154</v>
      </c>
      <c r="K1660" s="81" t="s">
        <v>2145</v>
      </c>
      <c r="L1660" s="81" t="s">
        <v>58</v>
      </c>
      <c r="M1660" s="164">
        <v>3.2438915375000001</v>
      </c>
      <c r="N1660" s="165"/>
      <c r="O1660" s="163"/>
      <c r="P1660" s="82">
        <v>115</v>
      </c>
      <c r="Q1660" s="164">
        <v>0</v>
      </c>
      <c r="R1660" s="163"/>
      <c r="S1660" s="81" t="s">
        <v>58</v>
      </c>
      <c r="T1660" s="82">
        <v>0</v>
      </c>
      <c r="U1660" s="82">
        <v>0</v>
      </c>
      <c r="V1660" s="82">
        <v>0</v>
      </c>
      <c r="W1660" s="82">
        <v>0</v>
      </c>
      <c r="X1660" s="81"/>
      <c r="Y1660" s="81"/>
      <c r="Z1660" s="81" t="s">
        <v>58</v>
      </c>
      <c r="AA1660" s="81" t="s">
        <v>58</v>
      </c>
      <c r="AB1660" s="81" t="s">
        <v>58</v>
      </c>
      <c r="AC1660" s="83">
        <v>46141</v>
      </c>
    </row>
    <row r="1661" spans="2:29" ht="23" x14ac:dyDescent="0.35">
      <c r="B1661" s="81" t="s">
        <v>338</v>
      </c>
      <c r="C1661" s="81" t="s">
        <v>339</v>
      </c>
      <c r="D1661" s="81" t="s">
        <v>340</v>
      </c>
      <c r="E1661" s="81" t="s">
        <v>406</v>
      </c>
      <c r="F1661" s="162" t="s">
        <v>407</v>
      </c>
      <c r="G1661" s="163"/>
      <c r="H1661" s="81" t="s">
        <v>2140</v>
      </c>
      <c r="I1661" s="81" t="s">
        <v>1436</v>
      </c>
      <c r="J1661" s="81" t="s">
        <v>154</v>
      </c>
      <c r="K1661" s="81" t="s">
        <v>2146</v>
      </c>
      <c r="L1661" s="81" t="s">
        <v>58</v>
      </c>
      <c r="M1661" s="164">
        <v>5.8399970000000003</v>
      </c>
      <c r="N1661" s="165"/>
      <c r="O1661" s="163"/>
      <c r="P1661" s="82">
        <v>200</v>
      </c>
      <c r="Q1661" s="164">
        <v>0</v>
      </c>
      <c r="R1661" s="163"/>
      <c r="S1661" s="81" t="s">
        <v>58</v>
      </c>
      <c r="T1661" s="82">
        <v>0</v>
      </c>
      <c r="U1661" s="82">
        <v>0</v>
      </c>
      <c r="V1661" s="82">
        <v>0</v>
      </c>
      <c r="W1661" s="82">
        <v>0</v>
      </c>
      <c r="X1661" s="81"/>
      <c r="Y1661" s="81"/>
      <c r="Z1661" s="81" t="s">
        <v>58</v>
      </c>
      <c r="AA1661" s="81" t="s">
        <v>58</v>
      </c>
      <c r="AB1661" s="81" t="s">
        <v>58</v>
      </c>
      <c r="AC1661" s="83">
        <v>46141</v>
      </c>
    </row>
    <row r="1662" spans="2:29" ht="23" x14ac:dyDescent="0.35">
      <c r="B1662" s="81" t="s">
        <v>338</v>
      </c>
      <c r="C1662" s="81" t="s">
        <v>339</v>
      </c>
      <c r="D1662" s="81" t="s">
        <v>340</v>
      </c>
      <c r="E1662" s="81" t="s">
        <v>406</v>
      </c>
      <c r="F1662" s="162" t="s">
        <v>407</v>
      </c>
      <c r="G1662" s="163"/>
      <c r="H1662" s="81" t="s">
        <v>2140</v>
      </c>
      <c r="I1662" s="81" t="s">
        <v>1436</v>
      </c>
      <c r="J1662" s="81" t="s">
        <v>154</v>
      </c>
      <c r="K1662" s="81" t="s">
        <v>2147</v>
      </c>
      <c r="L1662" s="81" t="s">
        <v>58</v>
      </c>
      <c r="M1662" s="164">
        <v>5.8399970000000003</v>
      </c>
      <c r="N1662" s="165"/>
      <c r="O1662" s="163"/>
      <c r="P1662" s="82">
        <v>200</v>
      </c>
      <c r="Q1662" s="164">
        <v>0</v>
      </c>
      <c r="R1662" s="163"/>
      <c r="S1662" s="81" t="s">
        <v>58</v>
      </c>
      <c r="T1662" s="82">
        <v>0</v>
      </c>
      <c r="U1662" s="82">
        <v>0</v>
      </c>
      <c r="V1662" s="82">
        <v>0</v>
      </c>
      <c r="W1662" s="82">
        <v>0</v>
      </c>
      <c r="X1662" s="81"/>
      <c r="Y1662" s="81"/>
      <c r="Z1662" s="81" t="s">
        <v>58</v>
      </c>
      <c r="AA1662" s="81" t="s">
        <v>58</v>
      </c>
      <c r="AB1662" s="81" t="s">
        <v>58</v>
      </c>
      <c r="AC1662" s="83">
        <v>46141</v>
      </c>
    </row>
    <row r="1663" spans="2:29" ht="23" x14ac:dyDescent="0.35">
      <c r="B1663" s="81" t="s">
        <v>338</v>
      </c>
      <c r="C1663" s="81" t="s">
        <v>339</v>
      </c>
      <c r="D1663" s="81" t="s">
        <v>340</v>
      </c>
      <c r="E1663" s="81" t="s">
        <v>406</v>
      </c>
      <c r="F1663" s="162" t="s">
        <v>407</v>
      </c>
      <c r="G1663" s="163"/>
      <c r="H1663" s="81" t="s">
        <v>2140</v>
      </c>
      <c r="I1663" s="81" t="s">
        <v>1436</v>
      </c>
      <c r="J1663" s="81" t="s">
        <v>154</v>
      </c>
      <c r="K1663" s="81" t="s">
        <v>2148</v>
      </c>
      <c r="L1663" s="81" t="s">
        <v>58</v>
      </c>
      <c r="M1663" s="164">
        <v>5.8399970000000003</v>
      </c>
      <c r="N1663" s="165"/>
      <c r="O1663" s="163"/>
      <c r="P1663" s="82">
        <v>200</v>
      </c>
      <c r="Q1663" s="164">
        <v>0</v>
      </c>
      <c r="R1663" s="163"/>
      <c r="S1663" s="81" t="s">
        <v>58</v>
      </c>
      <c r="T1663" s="82">
        <v>0</v>
      </c>
      <c r="U1663" s="82">
        <v>0</v>
      </c>
      <c r="V1663" s="82">
        <v>0</v>
      </c>
      <c r="W1663" s="82">
        <v>0</v>
      </c>
      <c r="X1663" s="81"/>
      <c r="Y1663" s="81"/>
      <c r="Z1663" s="81" t="s">
        <v>58</v>
      </c>
      <c r="AA1663" s="81" t="s">
        <v>58</v>
      </c>
      <c r="AB1663" s="81" t="s">
        <v>58</v>
      </c>
      <c r="AC1663" s="83">
        <v>46141</v>
      </c>
    </row>
    <row r="1664" spans="2:29" ht="23" x14ac:dyDescent="0.35">
      <c r="B1664" s="81" t="s">
        <v>338</v>
      </c>
      <c r="C1664" s="81" t="s">
        <v>339</v>
      </c>
      <c r="D1664" s="81" t="s">
        <v>340</v>
      </c>
      <c r="E1664" s="81" t="s">
        <v>406</v>
      </c>
      <c r="F1664" s="162" t="s">
        <v>407</v>
      </c>
      <c r="G1664" s="163"/>
      <c r="H1664" s="81" t="s">
        <v>2140</v>
      </c>
      <c r="I1664" s="81" t="s">
        <v>1436</v>
      </c>
      <c r="J1664" s="81" t="s">
        <v>154</v>
      </c>
      <c r="K1664" s="81" t="s">
        <v>2149</v>
      </c>
      <c r="L1664" s="81" t="s">
        <v>58</v>
      </c>
      <c r="M1664" s="164">
        <v>5.8399970000000003</v>
      </c>
      <c r="N1664" s="165"/>
      <c r="O1664" s="163"/>
      <c r="P1664" s="82">
        <v>200</v>
      </c>
      <c r="Q1664" s="164">
        <v>0</v>
      </c>
      <c r="R1664" s="163"/>
      <c r="S1664" s="81" t="s">
        <v>58</v>
      </c>
      <c r="T1664" s="82">
        <v>0</v>
      </c>
      <c r="U1664" s="82">
        <v>0</v>
      </c>
      <c r="V1664" s="82">
        <v>0</v>
      </c>
      <c r="W1664" s="82">
        <v>0</v>
      </c>
      <c r="X1664" s="81"/>
      <c r="Y1664" s="81"/>
      <c r="Z1664" s="81" t="s">
        <v>58</v>
      </c>
      <c r="AA1664" s="81" t="s">
        <v>58</v>
      </c>
      <c r="AB1664" s="81" t="s">
        <v>58</v>
      </c>
      <c r="AC1664" s="83">
        <v>46141</v>
      </c>
    </row>
    <row r="1665" spans="2:29" ht="23" x14ac:dyDescent="0.35">
      <c r="B1665" s="81" t="s">
        <v>338</v>
      </c>
      <c r="C1665" s="81" t="s">
        <v>339</v>
      </c>
      <c r="D1665" s="81" t="s">
        <v>340</v>
      </c>
      <c r="E1665" s="81" t="s">
        <v>406</v>
      </c>
      <c r="F1665" s="162" t="s">
        <v>407</v>
      </c>
      <c r="G1665" s="163"/>
      <c r="H1665" s="81" t="s">
        <v>2140</v>
      </c>
      <c r="I1665" s="81" t="s">
        <v>1436</v>
      </c>
      <c r="J1665" s="81" t="s">
        <v>154</v>
      </c>
      <c r="K1665" s="81" t="s">
        <v>2150</v>
      </c>
      <c r="L1665" s="81" t="s">
        <v>58</v>
      </c>
      <c r="M1665" s="164">
        <v>1.98559898</v>
      </c>
      <c r="N1665" s="165"/>
      <c r="O1665" s="163"/>
      <c r="P1665" s="82">
        <v>68</v>
      </c>
      <c r="Q1665" s="164">
        <v>0</v>
      </c>
      <c r="R1665" s="163"/>
      <c r="S1665" s="81" t="s">
        <v>58</v>
      </c>
      <c r="T1665" s="82">
        <v>0</v>
      </c>
      <c r="U1665" s="82">
        <v>0</v>
      </c>
      <c r="V1665" s="82">
        <v>0</v>
      </c>
      <c r="W1665" s="82">
        <v>0</v>
      </c>
      <c r="X1665" s="81"/>
      <c r="Y1665" s="81"/>
      <c r="Z1665" s="81" t="s">
        <v>58</v>
      </c>
      <c r="AA1665" s="81" t="s">
        <v>58</v>
      </c>
      <c r="AB1665" s="81" t="s">
        <v>58</v>
      </c>
      <c r="AC1665" s="83">
        <v>46141</v>
      </c>
    </row>
    <row r="1666" spans="2:29" ht="23" x14ac:dyDescent="0.35">
      <c r="B1666" s="81" t="s">
        <v>338</v>
      </c>
      <c r="C1666" s="81" t="s">
        <v>339</v>
      </c>
      <c r="D1666" s="81" t="s">
        <v>340</v>
      </c>
      <c r="E1666" s="81" t="s">
        <v>406</v>
      </c>
      <c r="F1666" s="162" t="s">
        <v>407</v>
      </c>
      <c r="G1666" s="163"/>
      <c r="H1666" s="81" t="s">
        <v>2140</v>
      </c>
      <c r="I1666" s="81" t="s">
        <v>1436</v>
      </c>
      <c r="J1666" s="81" t="s">
        <v>154</v>
      </c>
      <c r="K1666" s="81" t="s">
        <v>2151</v>
      </c>
      <c r="L1666" s="81" t="s">
        <v>58</v>
      </c>
      <c r="M1666" s="164">
        <v>6.0384434999999996</v>
      </c>
      <c r="N1666" s="165"/>
      <c r="O1666" s="163"/>
      <c r="P1666" s="82">
        <v>200</v>
      </c>
      <c r="Q1666" s="164">
        <v>0</v>
      </c>
      <c r="R1666" s="163"/>
      <c r="S1666" s="81" t="s">
        <v>58</v>
      </c>
      <c r="T1666" s="82">
        <v>0</v>
      </c>
      <c r="U1666" s="82">
        <v>0</v>
      </c>
      <c r="V1666" s="82">
        <v>0</v>
      </c>
      <c r="W1666" s="82">
        <v>0</v>
      </c>
      <c r="X1666" s="81"/>
      <c r="Y1666" s="81"/>
      <c r="Z1666" s="81" t="s">
        <v>58</v>
      </c>
      <c r="AA1666" s="81" t="s">
        <v>58</v>
      </c>
      <c r="AB1666" s="81" t="s">
        <v>58</v>
      </c>
      <c r="AC1666" s="83">
        <v>46141</v>
      </c>
    </row>
    <row r="1667" spans="2:29" ht="23" x14ac:dyDescent="0.35">
      <c r="B1667" s="81" t="s">
        <v>338</v>
      </c>
      <c r="C1667" s="81" t="s">
        <v>339</v>
      </c>
      <c r="D1667" s="81" t="s">
        <v>340</v>
      </c>
      <c r="E1667" s="81" t="s">
        <v>406</v>
      </c>
      <c r="F1667" s="162" t="s">
        <v>407</v>
      </c>
      <c r="G1667" s="163"/>
      <c r="H1667" s="81" t="s">
        <v>2140</v>
      </c>
      <c r="I1667" s="81" t="s">
        <v>1436</v>
      </c>
      <c r="J1667" s="81" t="s">
        <v>154</v>
      </c>
      <c r="K1667" s="81" t="s">
        <v>2152</v>
      </c>
      <c r="L1667" s="81" t="s">
        <v>58</v>
      </c>
      <c r="M1667" s="164">
        <v>6.0384434999999996</v>
      </c>
      <c r="N1667" s="165"/>
      <c r="O1667" s="163"/>
      <c r="P1667" s="82">
        <v>200</v>
      </c>
      <c r="Q1667" s="164">
        <v>0</v>
      </c>
      <c r="R1667" s="163"/>
      <c r="S1667" s="81" t="s">
        <v>58</v>
      </c>
      <c r="T1667" s="82">
        <v>0</v>
      </c>
      <c r="U1667" s="82">
        <v>0</v>
      </c>
      <c r="V1667" s="82">
        <v>0</v>
      </c>
      <c r="W1667" s="82">
        <v>0</v>
      </c>
      <c r="X1667" s="81"/>
      <c r="Y1667" s="81"/>
      <c r="Z1667" s="81" t="s">
        <v>58</v>
      </c>
      <c r="AA1667" s="81" t="s">
        <v>58</v>
      </c>
      <c r="AB1667" s="81" t="s">
        <v>58</v>
      </c>
      <c r="AC1667" s="83">
        <v>46141</v>
      </c>
    </row>
    <row r="1668" spans="2:29" ht="23" x14ac:dyDescent="0.35">
      <c r="B1668" s="81" t="s">
        <v>338</v>
      </c>
      <c r="C1668" s="81" t="s">
        <v>339</v>
      </c>
      <c r="D1668" s="81" t="s">
        <v>340</v>
      </c>
      <c r="E1668" s="81" t="s">
        <v>406</v>
      </c>
      <c r="F1668" s="162" t="s">
        <v>407</v>
      </c>
      <c r="G1668" s="163"/>
      <c r="H1668" s="81" t="s">
        <v>2140</v>
      </c>
      <c r="I1668" s="81" t="s">
        <v>1436</v>
      </c>
      <c r="J1668" s="81" t="s">
        <v>154</v>
      </c>
      <c r="K1668" s="81" t="s">
        <v>2153</v>
      </c>
      <c r="L1668" s="81" t="s">
        <v>58</v>
      </c>
      <c r="M1668" s="164">
        <v>6.0384434999999996</v>
      </c>
      <c r="N1668" s="165"/>
      <c r="O1668" s="163"/>
      <c r="P1668" s="82">
        <v>200</v>
      </c>
      <c r="Q1668" s="164">
        <v>0</v>
      </c>
      <c r="R1668" s="163"/>
      <c r="S1668" s="81" t="s">
        <v>58</v>
      </c>
      <c r="T1668" s="82">
        <v>0</v>
      </c>
      <c r="U1668" s="82">
        <v>0</v>
      </c>
      <c r="V1668" s="82">
        <v>0</v>
      </c>
      <c r="W1668" s="82">
        <v>0</v>
      </c>
      <c r="X1668" s="81"/>
      <c r="Y1668" s="81"/>
      <c r="Z1668" s="81" t="s">
        <v>58</v>
      </c>
      <c r="AA1668" s="81" t="s">
        <v>58</v>
      </c>
      <c r="AB1668" s="81" t="s">
        <v>58</v>
      </c>
      <c r="AC1668" s="83">
        <v>46141</v>
      </c>
    </row>
    <row r="1669" spans="2:29" ht="23" x14ac:dyDescent="0.35">
      <c r="B1669" s="81" t="s">
        <v>338</v>
      </c>
      <c r="C1669" s="81" t="s">
        <v>339</v>
      </c>
      <c r="D1669" s="81" t="s">
        <v>340</v>
      </c>
      <c r="E1669" s="81" t="s">
        <v>406</v>
      </c>
      <c r="F1669" s="162" t="s">
        <v>407</v>
      </c>
      <c r="G1669" s="163"/>
      <c r="H1669" s="81" t="s">
        <v>2140</v>
      </c>
      <c r="I1669" s="81" t="s">
        <v>1436</v>
      </c>
      <c r="J1669" s="81" t="s">
        <v>154</v>
      </c>
      <c r="K1669" s="81" t="s">
        <v>2154</v>
      </c>
      <c r="L1669" s="81" t="s">
        <v>58</v>
      </c>
      <c r="M1669" s="164">
        <v>2.2342240950000001</v>
      </c>
      <c r="N1669" s="165"/>
      <c r="O1669" s="163"/>
      <c r="P1669" s="82">
        <v>74</v>
      </c>
      <c r="Q1669" s="164">
        <v>0</v>
      </c>
      <c r="R1669" s="163"/>
      <c r="S1669" s="81" t="s">
        <v>58</v>
      </c>
      <c r="T1669" s="82">
        <v>0</v>
      </c>
      <c r="U1669" s="82">
        <v>0</v>
      </c>
      <c r="V1669" s="82">
        <v>0</v>
      </c>
      <c r="W1669" s="82">
        <v>0</v>
      </c>
      <c r="X1669" s="81"/>
      <c r="Y1669" s="81"/>
      <c r="Z1669" s="81" t="s">
        <v>58</v>
      </c>
      <c r="AA1669" s="81" t="s">
        <v>58</v>
      </c>
      <c r="AB1669" s="81" t="s">
        <v>58</v>
      </c>
      <c r="AC1669" s="83">
        <v>46141</v>
      </c>
    </row>
    <row r="1670" spans="2:29" ht="23" x14ac:dyDescent="0.35">
      <c r="B1670" s="81" t="s">
        <v>338</v>
      </c>
      <c r="C1670" s="81" t="s">
        <v>339</v>
      </c>
      <c r="D1670" s="81" t="s">
        <v>340</v>
      </c>
      <c r="E1670" s="81" t="s">
        <v>406</v>
      </c>
      <c r="F1670" s="162" t="s">
        <v>407</v>
      </c>
      <c r="G1670" s="163"/>
      <c r="H1670" s="81" t="s">
        <v>2140</v>
      </c>
      <c r="I1670" s="81" t="s">
        <v>1436</v>
      </c>
      <c r="J1670" s="81" t="s">
        <v>154</v>
      </c>
      <c r="K1670" s="81" t="s">
        <v>2155</v>
      </c>
      <c r="L1670" s="81" t="s">
        <v>58</v>
      </c>
      <c r="M1670" s="164">
        <v>6.2368899999999998</v>
      </c>
      <c r="N1670" s="165"/>
      <c r="O1670" s="163"/>
      <c r="P1670" s="82">
        <v>200</v>
      </c>
      <c r="Q1670" s="164">
        <v>0</v>
      </c>
      <c r="R1670" s="163"/>
      <c r="S1670" s="81" t="s">
        <v>58</v>
      </c>
      <c r="T1670" s="82">
        <v>0</v>
      </c>
      <c r="U1670" s="82">
        <v>0</v>
      </c>
      <c r="V1670" s="82">
        <v>0</v>
      </c>
      <c r="W1670" s="82">
        <v>0</v>
      </c>
      <c r="X1670" s="81"/>
      <c r="Y1670" s="81"/>
      <c r="Z1670" s="81" t="s">
        <v>58</v>
      </c>
      <c r="AA1670" s="81" t="s">
        <v>58</v>
      </c>
      <c r="AB1670" s="81" t="s">
        <v>58</v>
      </c>
      <c r="AC1670" s="83">
        <v>46141</v>
      </c>
    </row>
    <row r="1671" spans="2:29" ht="23" x14ac:dyDescent="0.35">
      <c r="B1671" s="81" t="s">
        <v>338</v>
      </c>
      <c r="C1671" s="81" t="s">
        <v>339</v>
      </c>
      <c r="D1671" s="81" t="s">
        <v>340</v>
      </c>
      <c r="E1671" s="81" t="s">
        <v>406</v>
      </c>
      <c r="F1671" s="162" t="s">
        <v>407</v>
      </c>
      <c r="G1671" s="163"/>
      <c r="H1671" s="81" t="s">
        <v>2140</v>
      </c>
      <c r="I1671" s="81" t="s">
        <v>1436</v>
      </c>
      <c r="J1671" s="81" t="s">
        <v>154</v>
      </c>
      <c r="K1671" s="81" t="s">
        <v>2156</v>
      </c>
      <c r="L1671" s="81" t="s">
        <v>58</v>
      </c>
      <c r="M1671" s="164">
        <v>6.2057055500000002</v>
      </c>
      <c r="N1671" s="165"/>
      <c r="O1671" s="163"/>
      <c r="P1671" s="82">
        <v>199</v>
      </c>
      <c r="Q1671" s="164">
        <v>0</v>
      </c>
      <c r="R1671" s="163"/>
      <c r="S1671" s="81" t="s">
        <v>58</v>
      </c>
      <c r="T1671" s="82">
        <v>0</v>
      </c>
      <c r="U1671" s="82">
        <v>0</v>
      </c>
      <c r="V1671" s="82">
        <v>0</v>
      </c>
      <c r="W1671" s="82">
        <v>0</v>
      </c>
      <c r="X1671" s="81"/>
      <c r="Y1671" s="81"/>
      <c r="Z1671" s="81" t="s">
        <v>58</v>
      </c>
      <c r="AA1671" s="81" t="s">
        <v>58</v>
      </c>
      <c r="AB1671" s="81" t="s">
        <v>58</v>
      </c>
      <c r="AC1671" s="83">
        <v>46141</v>
      </c>
    </row>
    <row r="1672" spans="2:29" ht="23" x14ac:dyDescent="0.35">
      <c r="B1672" s="81" t="s">
        <v>338</v>
      </c>
      <c r="C1672" s="81" t="s">
        <v>339</v>
      </c>
      <c r="D1672" s="81" t="s">
        <v>340</v>
      </c>
      <c r="E1672" s="81" t="s">
        <v>406</v>
      </c>
      <c r="F1672" s="162" t="s">
        <v>407</v>
      </c>
      <c r="G1672" s="163"/>
      <c r="H1672" s="81" t="s">
        <v>2140</v>
      </c>
      <c r="I1672" s="81" t="s">
        <v>1436</v>
      </c>
      <c r="J1672" s="81" t="s">
        <v>154</v>
      </c>
      <c r="K1672" s="81" t="s">
        <v>2157</v>
      </c>
      <c r="L1672" s="81" t="s">
        <v>58</v>
      </c>
      <c r="M1672" s="164">
        <v>7.7834969725000001</v>
      </c>
      <c r="N1672" s="165"/>
      <c r="O1672" s="163"/>
      <c r="P1672" s="82">
        <v>215</v>
      </c>
      <c r="Q1672" s="164">
        <v>0</v>
      </c>
      <c r="R1672" s="163"/>
      <c r="S1672" s="81" t="s">
        <v>58</v>
      </c>
      <c r="T1672" s="82">
        <v>0</v>
      </c>
      <c r="U1672" s="82">
        <v>0</v>
      </c>
      <c r="V1672" s="82">
        <v>0</v>
      </c>
      <c r="W1672" s="82">
        <v>0</v>
      </c>
      <c r="X1672" s="81"/>
      <c r="Y1672" s="81"/>
      <c r="Z1672" s="81" t="s">
        <v>58</v>
      </c>
      <c r="AA1672" s="81" t="s">
        <v>58</v>
      </c>
      <c r="AB1672" s="81" t="s">
        <v>58</v>
      </c>
      <c r="AC1672" s="83">
        <v>46141</v>
      </c>
    </row>
    <row r="1673" spans="2:29" ht="23" x14ac:dyDescent="0.35">
      <c r="B1673" s="81" t="s">
        <v>338</v>
      </c>
      <c r="C1673" s="81" t="s">
        <v>339</v>
      </c>
      <c r="D1673" s="81" t="s">
        <v>340</v>
      </c>
      <c r="E1673" s="81" t="s">
        <v>406</v>
      </c>
      <c r="F1673" s="162" t="s">
        <v>407</v>
      </c>
      <c r="G1673" s="163"/>
      <c r="H1673" s="81" t="s">
        <v>2158</v>
      </c>
      <c r="I1673" s="81" t="s">
        <v>1476</v>
      </c>
      <c r="J1673" s="81" t="s">
        <v>153</v>
      </c>
      <c r="K1673" s="81" t="s">
        <v>2159</v>
      </c>
      <c r="L1673" s="81" t="s">
        <v>58</v>
      </c>
      <c r="M1673" s="164">
        <v>4.7542111499999997</v>
      </c>
      <c r="N1673" s="165"/>
      <c r="O1673" s="163"/>
      <c r="P1673" s="82">
        <v>430</v>
      </c>
      <c r="Q1673" s="164">
        <v>0</v>
      </c>
      <c r="R1673" s="163"/>
      <c r="S1673" s="81" t="s">
        <v>58</v>
      </c>
      <c r="T1673" s="82">
        <v>0</v>
      </c>
      <c r="U1673" s="82">
        <v>0</v>
      </c>
      <c r="V1673" s="82">
        <v>0</v>
      </c>
      <c r="W1673" s="82">
        <v>0</v>
      </c>
      <c r="X1673" s="81"/>
      <c r="Y1673" s="81"/>
      <c r="Z1673" s="81" t="s">
        <v>58</v>
      </c>
      <c r="AA1673" s="81" t="s">
        <v>58</v>
      </c>
      <c r="AB1673" s="81" t="s">
        <v>58</v>
      </c>
      <c r="AC1673" s="83">
        <v>46140</v>
      </c>
    </row>
    <row r="1674" spans="2:29" ht="23" x14ac:dyDescent="0.35">
      <c r="B1674" s="81" t="s">
        <v>338</v>
      </c>
      <c r="C1674" s="81" t="s">
        <v>339</v>
      </c>
      <c r="D1674" s="81" t="s">
        <v>340</v>
      </c>
      <c r="E1674" s="81" t="s">
        <v>406</v>
      </c>
      <c r="F1674" s="162" t="s">
        <v>407</v>
      </c>
      <c r="G1674" s="163"/>
      <c r="H1674" s="81" t="s">
        <v>2158</v>
      </c>
      <c r="I1674" s="81" t="s">
        <v>1476</v>
      </c>
      <c r="J1674" s="81" t="s">
        <v>153</v>
      </c>
      <c r="K1674" s="81" t="s">
        <v>2160</v>
      </c>
      <c r="L1674" s="81" t="s">
        <v>58</v>
      </c>
      <c r="M1674" s="164">
        <v>4.53592</v>
      </c>
      <c r="N1674" s="165"/>
      <c r="O1674" s="163"/>
      <c r="P1674" s="82">
        <v>400</v>
      </c>
      <c r="Q1674" s="164">
        <v>0</v>
      </c>
      <c r="R1674" s="163"/>
      <c r="S1674" s="81" t="s">
        <v>58</v>
      </c>
      <c r="T1674" s="82">
        <v>0</v>
      </c>
      <c r="U1674" s="82">
        <v>0</v>
      </c>
      <c r="V1674" s="82">
        <v>0</v>
      </c>
      <c r="W1674" s="82">
        <v>0</v>
      </c>
      <c r="X1674" s="81"/>
      <c r="Y1674" s="81"/>
      <c r="Z1674" s="81" t="s">
        <v>58</v>
      </c>
      <c r="AA1674" s="81" t="s">
        <v>58</v>
      </c>
      <c r="AB1674" s="81" t="s">
        <v>58</v>
      </c>
      <c r="AC1674" s="83">
        <v>46140</v>
      </c>
    </row>
    <row r="1675" spans="2:29" ht="23" x14ac:dyDescent="0.35">
      <c r="B1675" s="81" t="s">
        <v>338</v>
      </c>
      <c r="C1675" s="81" t="s">
        <v>339</v>
      </c>
      <c r="D1675" s="81" t="s">
        <v>340</v>
      </c>
      <c r="E1675" s="81" t="s">
        <v>406</v>
      </c>
      <c r="F1675" s="162" t="s">
        <v>407</v>
      </c>
      <c r="G1675" s="163"/>
      <c r="H1675" s="81" t="s">
        <v>2158</v>
      </c>
      <c r="I1675" s="81" t="s">
        <v>1476</v>
      </c>
      <c r="J1675" s="81" t="s">
        <v>153</v>
      </c>
      <c r="K1675" s="81" t="s">
        <v>2161</v>
      </c>
      <c r="L1675" s="81" t="s">
        <v>58</v>
      </c>
      <c r="M1675" s="164">
        <v>4.53592</v>
      </c>
      <c r="N1675" s="165"/>
      <c r="O1675" s="163"/>
      <c r="P1675" s="82">
        <v>400</v>
      </c>
      <c r="Q1675" s="164">
        <v>0</v>
      </c>
      <c r="R1675" s="163"/>
      <c r="S1675" s="81" t="s">
        <v>58</v>
      </c>
      <c r="T1675" s="82">
        <v>0</v>
      </c>
      <c r="U1675" s="82">
        <v>0</v>
      </c>
      <c r="V1675" s="82">
        <v>0</v>
      </c>
      <c r="W1675" s="82">
        <v>0</v>
      </c>
      <c r="X1675" s="81"/>
      <c r="Y1675" s="81"/>
      <c r="Z1675" s="81" t="s">
        <v>58</v>
      </c>
      <c r="AA1675" s="81" t="s">
        <v>58</v>
      </c>
      <c r="AB1675" s="81" t="s">
        <v>58</v>
      </c>
      <c r="AC1675" s="83">
        <v>46140</v>
      </c>
    </row>
    <row r="1676" spans="2:29" ht="23" x14ac:dyDescent="0.35">
      <c r="B1676" s="81" t="s">
        <v>338</v>
      </c>
      <c r="C1676" s="81" t="s">
        <v>339</v>
      </c>
      <c r="D1676" s="81" t="s">
        <v>340</v>
      </c>
      <c r="E1676" s="81" t="s">
        <v>406</v>
      </c>
      <c r="F1676" s="162" t="s">
        <v>407</v>
      </c>
      <c r="G1676" s="163"/>
      <c r="H1676" s="81" t="s">
        <v>2158</v>
      </c>
      <c r="I1676" s="81" t="s">
        <v>1476</v>
      </c>
      <c r="J1676" s="81" t="s">
        <v>153</v>
      </c>
      <c r="K1676" s="81" t="s">
        <v>2162</v>
      </c>
      <c r="L1676" s="81" t="s">
        <v>58</v>
      </c>
      <c r="M1676" s="164">
        <v>4.53592</v>
      </c>
      <c r="N1676" s="165"/>
      <c r="O1676" s="163"/>
      <c r="P1676" s="82">
        <v>400</v>
      </c>
      <c r="Q1676" s="164">
        <v>0</v>
      </c>
      <c r="R1676" s="163"/>
      <c r="S1676" s="81" t="s">
        <v>58</v>
      </c>
      <c r="T1676" s="82">
        <v>0</v>
      </c>
      <c r="U1676" s="82">
        <v>0</v>
      </c>
      <c r="V1676" s="82">
        <v>0</v>
      </c>
      <c r="W1676" s="82">
        <v>0</v>
      </c>
      <c r="X1676" s="81"/>
      <c r="Y1676" s="81"/>
      <c r="Z1676" s="81" t="s">
        <v>58</v>
      </c>
      <c r="AA1676" s="81" t="s">
        <v>58</v>
      </c>
      <c r="AB1676" s="81" t="s">
        <v>58</v>
      </c>
      <c r="AC1676" s="83">
        <v>46140</v>
      </c>
    </row>
    <row r="1677" spans="2:29" ht="23" x14ac:dyDescent="0.35">
      <c r="B1677" s="81" t="s">
        <v>338</v>
      </c>
      <c r="C1677" s="81" t="s">
        <v>339</v>
      </c>
      <c r="D1677" s="81" t="s">
        <v>340</v>
      </c>
      <c r="E1677" s="81" t="s">
        <v>406</v>
      </c>
      <c r="F1677" s="162" t="s">
        <v>407</v>
      </c>
      <c r="G1677" s="163"/>
      <c r="H1677" s="81" t="s">
        <v>2158</v>
      </c>
      <c r="I1677" s="81" t="s">
        <v>1476</v>
      </c>
      <c r="J1677" s="81" t="s">
        <v>153</v>
      </c>
      <c r="K1677" s="81" t="s">
        <v>2163</v>
      </c>
      <c r="L1677" s="81" t="s">
        <v>58</v>
      </c>
      <c r="M1677" s="164">
        <v>2.6081539999999999</v>
      </c>
      <c r="N1677" s="165"/>
      <c r="O1677" s="163"/>
      <c r="P1677" s="82">
        <v>230</v>
      </c>
      <c r="Q1677" s="164">
        <v>0</v>
      </c>
      <c r="R1677" s="163"/>
      <c r="S1677" s="81" t="s">
        <v>58</v>
      </c>
      <c r="T1677" s="82">
        <v>0</v>
      </c>
      <c r="U1677" s="82">
        <v>0</v>
      </c>
      <c r="V1677" s="82">
        <v>0</v>
      </c>
      <c r="W1677" s="82">
        <v>0</v>
      </c>
      <c r="X1677" s="81"/>
      <c r="Y1677" s="81"/>
      <c r="Z1677" s="81" t="s">
        <v>58</v>
      </c>
      <c r="AA1677" s="81" t="s">
        <v>58</v>
      </c>
      <c r="AB1677" s="81" t="s">
        <v>58</v>
      </c>
      <c r="AC1677" s="83">
        <v>46140</v>
      </c>
    </row>
    <row r="1678" spans="2:29" ht="23" x14ac:dyDescent="0.35">
      <c r="B1678" s="81" t="s">
        <v>338</v>
      </c>
      <c r="C1678" s="81" t="s">
        <v>339</v>
      </c>
      <c r="D1678" s="81" t="s">
        <v>340</v>
      </c>
      <c r="E1678" s="81" t="s">
        <v>406</v>
      </c>
      <c r="F1678" s="162" t="s">
        <v>407</v>
      </c>
      <c r="G1678" s="163"/>
      <c r="H1678" s="81" t="s">
        <v>2158</v>
      </c>
      <c r="I1678" s="81" t="s">
        <v>1476</v>
      </c>
      <c r="J1678" s="81" t="s">
        <v>153</v>
      </c>
      <c r="K1678" s="81" t="s">
        <v>2164</v>
      </c>
      <c r="L1678" s="81" t="s">
        <v>58</v>
      </c>
      <c r="M1678" s="164">
        <v>4.6493180000000001</v>
      </c>
      <c r="N1678" s="165"/>
      <c r="O1678" s="163"/>
      <c r="P1678" s="82">
        <v>400</v>
      </c>
      <c r="Q1678" s="164">
        <v>0</v>
      </c>
      <c r="R1678" s="163"/>
      <c r="S1678" s="81" t="s">
        <v>58</v>
      </c>
      <c r="T1678" s="82">
        <v>0</v>
      </c>
      <c r="U1678" s="82">
        <v>0</v>
      </c>
      <c r="V1678" s="82">
        <v>0</v>
      </c>
      <c r="W1678" s="82">
        <v>0</v>
      </c>
      <c r="X1678" s="81"/>
      <c r="Y1678" s="81"/>
      <c r="Z1678" s="81" t="s">
        <v>58</v>
      </c>
      <c r="AA1678" s="81" t="s">
        <v>58</v>
      </c>
      <c r="AB1678" s="81" t="s">
        <v>58</v>
      </c>
      <c r="AC1678" s="83">
        <v>46140</v>
      </c>
    </row>
    <row r="1679" spans="2:29" ht="23" x14ac:dyDescent="0.35">
      <c r="B1679" s="81" t="s">
        <v>338</v>
      </c>
      <c r="C1679" s="81" t="s">
        <v>339</v>
      </c>
      <c r="D1679" s="81" t="s">
        <v>340</v>
      </c>
      <c r="E1679" s="81" t="s">
        <v>406</v>
      </c>
      <c r="F1679" s="162" t="s">
        <v>407</v>
      </c>
      <c r="G1679" s="163"/>
      <c r="H1679" s="81" t="s">
        <v>2158</v>
      </c>
      <c r="I1679" s="81" t="s">
        <v>1476</v>
      </c>
      <c r="J1679" s="81" t="s">
        <v>153</v>
      </c>
      <c r="K1679" s="81" t="s">
        <v>2165</v>
      </c>
      <c r="L1679" s="81" t="s">
        <v>58</v>
      </c>
      <c r="M1679" s="164">
        <v>4.6493180000000001</v>
      </c>
      <c r="N1679" s="165"/>
      <c r="O1679" s="163"/>
      <c r="P1679" s="82">
        <v>400</v>
      </c>
      <c r="Q1679" s="164">
        <v>0</v>
      </c>
      <c r="R1679" s="163"/>
      <c r="S1679" s="81" t="s">
        <v>58</v>
      </c>
      <c r="T1679" s="82">
        <v>0</v>
      </c>
      <c r="U1679" s="82">
        <v>0</v>
      </c>
      <c r="V1679" s="82">
        <v>0</v>
      </c>
      <c r="W1679" s="82">
        <v>0</v>
      </c>
      <c r="X1679" s="81"/>
      <c r="Y1679" s="81"/>
      <c r="Z1679" s="81" t="s">
        <v>58</v>
      </c>
      <c r="AA1679" s="81" t="s">
        <v>58</v>
      </c>
      <c r="AB1679" s="81" t="s">
        <v>58</v>
      </c>
      <c r="AC1679" s="83">
        <v>46140</v>
      </c>
    </row>
    <row r="1680" spans="2:29" ht="23" x14ac:dyDescent="0.35">
      <c r="B1680" s="81" t="s">
        <v>338</v>
      </c>
      <c r="C1680" s="81" t="s">
        <v>339</v>
      </c>
      <c r="D1680" s="81" t="s">
        <v>340</v>
      </c>
      <c r="E1680" s="81" t="s">
        <v>406</v>
      </c>
      <c r="F1680" s="162" t="s">
        <v>407</v>
      </c>
      <c r="G1680" s="163"/>
      <c r="H1680" s="81" t="s">
        <v>2158</v>
      </c>
      <c r="I1680" s="81" t="s">
        <v>1476</v>
      </c>
      <c r="J1680" s="81" t="s">
        <v>153</v>
      </c>
      <c r="K1680" s="81" t="s">
        <v>2166</v>
      </c>
      <c r="L1680" s="81" t="s">
        <v>58</v>
      </c>
      <c r="M1680" s="164">
        <v>1.5807681200000001</v>
      </c>
      <c r="N1680" s="165"/>
      <c r="O1680" s="163"/>
      <c r="P1680" s="82">
        <v>136</v>
      </c>
      <c r="Q1680" s="164">
        <v>0</v>
      </c>
      <c r="R1680" s="163"/>
      <c r="S1680" s="81" t="s">
        <v>58</v>
      </c>
      <c r="T1680" s="82">
        <v>0</v>
      </c>
      <c r="U1680" s="82">
        <v>0</v>
      </c>
      <c r="V1680" s="82">
        <v>0</v>
      </c>
      <c r="W1680" s="82">
        <v>0</v>
      </c>
      <c r="X1680" s="81"/>
      <c r="Y1680" s="81"/>
      <c r="Z1680" s="81" t="s">
        <v>58</v>
      </c>
      <c r="AA1680" s="81" t="s">
        <v>58</v>
      </c>
      <c r="AB1680" s="81" t="s">
        <v>58</v>
      </c>
      <c r="AC1680" s="83">
        <v>46140</v>
      </c>
    </row>
    <row r="1681" spans="2:29" ht="23" x14ac:dyDescent="0.35">
      <c r="B1681" s="81" t="s">
        <v>338</v>
      </c>
      <c r="C1681" s="81" t="s">
        <v>339</v>
      </c>
      <c r="D1681" s="81" t="s">
        <v>340</v>
      </c>
      <c r="E1681" s="81" t="s">
        <v>406</v>
      </c>
      <c r="F1681" s="162" t="s">
        <v>407</v>
      </c>
      <c r="G1681" s="163"/>
      <c r="H1681" s="81" t="s">
        <v>2158</v>
      </c>
      <c r="I1681" s="81" t="s">
        <v>1476</v>
      </c>
      <c r="J1681" s="81" t="s">
        <v>153</v>
      </c>
      <c r="K1681" s="81" t="s">
        <v>2167</v>
      </c>
      <c r="L1681" s="81" t="s">
        <v>58</v>
      </c>
      <c r="M1681" s="164">
        <v>4.7627160000000002</v>
      </c>
      <c r="N1681" s="165"/>
      <c r="O1681" s="163"/>
      <c r="P1681" s="82">
        <v>400</v>
      </c>
      <c r="Q1681" s="164">
        <v>0</v>
      </c>
      <c r="R1681" s="163"/>
      <c r="S1681" s="81" t="s">
        <v>58</v>
      </c>
      <c r="T1681" s="82">
        <v>0</v>
      </c>
      <c r="U1681" s="82">
        <v>0</v>
      </c>
      <c r="V1681" s="82">
        <v>0</v>
      </c>
      <c r="W1681" s="82">
        <v>0</v>
      </c>
      <c r="X1681" s="81"/>
      <c r="Y1681" s="81"/>
      <c r="Z1681" s="81" t="s">
        <v>58</v>
      </c>
      <c r="AA1681" s="81" t="s">
        <v>58</v>
      </c>
      <c r="AB1681" s="81" t="s">
        <v>58</v>
      </c>
      <c r="AC1681" s="83">
        <v>46140</v>
      </c>
    </row>
    <row r="1682" spans="2:29" ht="23" x14ac:dyDescent="0.35">
      <c r="B1682" s="81" t="s">
        <v>338</v>
      </c>
      <c r="C1682" s="81" t="s">
        <v>339</v>
      </c>
      <c r="D1682" s="81" t="s">
        <v>340</v>
      </c>
      <c r="E1682" s="81" t="s">
        <v>406</v>
      </c>
      <c r="F1682" s="162" t="s">
        <v>407</v>
      </c>
      <c r="G1682" s="163"/>
      <c r="H1682" s="81" t="s">
        <v>2158</v>
      </c>
      <c r="I1682" s="81" t="s">
        <v>1476</v>
      </c>
      <c r="J1682" s="81" t="s">
        <v>153</v>
      </c>
      <c r="K1682" s="81" t="s">
        <v>2168</v>
      </c>
      <c r="L1682" s="81" t="s">
        <v>58</v>
      </c>
      <c r="M1682" s="164">
        <v>4.7627160000000002</v>
      </c>
      <c r="N1682" s="165"/>
      <c r="O1682" s="163"/>
      <c r="P1682" s="82">
        <v>400</v>
      </c>
      <c r="Q1682" s="164">
        <v>0</v>
      </c>
      <c r="R1682" s="163"/>
      <c r="S1682" s="81" t="s">
        <v>58</v>
      </c>
      <c r="T1682" s="82">
        <v>0</v>
      </c>
      <c r="U1682" s="82">
        <v>0</v>
      </c>
      <c r="V1682" s="82">
        <v>0</v>
      </c>
      <c r="W1682" s="82">
        <v>0</v>
      </c>
      <c r="X1682" s="81"/>
      <c r="Y1682" s="81"/>
      <c r="Z1682" s="81" t="s">
        <v>58</v>
      </c>
      <c r="AA1682" s="81" t="s">
        <v>58</v>
      </c>
      <c r="AB1682" s="81" t="s">
        <v>58</v>
      </c>
      <c r="AC1682" s="83">
        <v>46140</v>
      </c>
    </row>
    <row r="1683" spans="2:29" ht="23" x14ac:dyDescent="0.35">
      <c r="B1683" s="81" t="s">
        <v>338</v>
      </c>
      <c r="C1683" s="81" t="s">
        <v>339</v>
      </c>
      <c r="D1683" s="81" t="s">
        <v>340</v>
      </c>
      <c r="E1683" s="81" t="s">
        <v>406</v>
      </c>
      <c r="F1683" s="162" t="s">
        <v>407</v>
      </c>
      <c r="G1683" s="163"/>
      <c r="H1683" s="81" t="s">
        <v>2158</v>
      </c>
      <c r="I1683" s="81" t="s">
        <v>1476</v>
      </c>
      <c r="J1683" s="81" t="s">
        <v>153</v>
      </c>
      <c r="K1683" s="81" t="s">
        <v>2169</v>
      </c>
      <c r="L1683" s="81" t="s">
        <v>58</v>
      </c>
      <c r="M1683" s="164">
        <v>4.7627160000000002</v>
      </c>
      <c r="N1683" s="165"/>
      <c r="O1683" s="163"/>
      <c r="P1683" s="82">
        <v>400</v>
      </c>
      <c r="Q1683" s="164">
        <v>0</v>
      </c>
      <c r="R1683" s="163"/>
      <c r="S1683" s="81" t="s">
        <v>58</v>
      </c>
      <c r="T1683" s="82">
        <v>0</v>
      </c>
      <c r="U1683" s="82">
        <v>0</v>
      </c>
      <c r="V1683" s="82">
        <v>0</v>
      </c>
      <c r="W1683" s="82">
        <v>0</v>
      </c>
      <c r="X1683" s="81"/>
      <c r="Y1683" s="81"/>
      <c r="Z1683" s="81" t="s">
        <v>58</v>
      </c>
      <c r="AA1683" s="81" t="s">
        <v>58</v>
      </c>
      <c r="AB1683" s="81" t="s">
        <v>58</v>
      </c>
      <c r="AC1683" s="83">
        <v>46140</v>
      </c>
    </row>
    <row r="1684" spans="2:29" ht="23" x14ac:dyDescent="0.35">
      <c r="B1684" s="81" t="s">
        <v>338</v>
      </c>
      <c r="C1684" s="81" t="s">
        <v>339</v>
      </c>
      <c r="D1684" s="81" t="s">
        <v>340</v>
      </c>
      <c r="E1684" s="81" t="s">
        <v>406</v>
      </c>
      <c r="F1684" s="162" t="s">
        <v>407</v>
      </c>
      <c r="G1684" s="163"/>
      <c r="H1684" s="81" t="s">
        <v>2158</v>
      </c>
      <c r="I1684" s="81" t="s">
        <v>1476</v>
      </c>
      <c r="J1684" s="81" t="s">
        <v>153</v>
      </c>
      <c r="K1684" s="81" t="s">
        <v>2170</v>
      </c>
      <c r="L1684" s="81" t="s">
        <v>58</v>
      </c>
      <c r="M1684" s="164">
        <v>1.7622049200000001</v>
      </c>
      <c r="N1684" s="165"/>
      <c r="O1684" s="163"/>
      <c r="P1684" s="82">
        <v>148</v>
      </c>
      <c r="Q1684" s="164">
        <v>0</v>
      </c>
      <c r="R1684" s="163"/>
      <c r="S1684" s="81" t="s">
        <v>58</v>
      </c>
      <c r="T1684" s="82">
        <v>0</v>
      </c>
      <c r="U1684" s="82">
        <v>0</v>
      </c>
      <c r="V1684" s="82">
        <v>0</v>
      </c>
      <c r="W1684" s="82">
        <v>0</v>
      </c>
      <c r="X1684" s="81"/>
      <c r="Y1684" s="81"/>
      <c r="Z1684" s="81" t="s">
        <v>58</v>
      </c>
      <c r="AA1684" s="81" t="s">
        <v>58</v>
      </c>
      <c r="AB1684" s="81" t="s">
        <v>58</v>
      </c>
      <c r="AC1684" s="83">
        <v>46140</v>
      </c>
    </row>
    <row r="1685" spans="2:29" ht="23" x14ac:dyDescent="0.35">
      <c r="B1685" s="81" t="s">
        <v>338</v>
      </c>
      <c r="C1685" s="81" t="s">
        <v>339</v>
      </c>
      <c r="D1685" s="81" t="s">
        <v>340</v>
      </c>
      <c r="E1685" s="81" t="s">
        <v>406</v>
      </c>
      <c r="F1685" s="162" t="s">
        <v>407</v>
      </c>
      <c r="G1685" s="163"/>
      <c r="H1685" s="81" t="s">
        <v>2158</v>
      </c>
      <c r="I1685" s="81" t="s">
        <v>1476</v>
      </c>
      <c r="J1685" s="81" t="s">
        <v>153</v>
      </c>
      <c r="K1685" s="81" t="s">
        <v>2171</v>
      </c>
      <c r="L1685" s="81" t="s">
        <v>58</v>
      </c>
      <c r="M1685" s="164">
        <v>4.8761140000000003</v>
      </c>
      <c r="N1685" s="165"/>
      <c r="O1685" s="163"/>
      <c r="P1685" s="82">
        <v>400</v>
      </c>
      <c r="Q1685" s="164">
        <v>0</v>
      </c>
      <c r="R1685" s="163"/>
      <c r="S1685" s="81" t="s">
        <v>58</v>
      </c>
      <c r="T1685" s="82">
        <v>0</v>
      </c>
      <c r="U1685" s="82">
        <v>0</v>
      </c>
      <c r="V1685" s="82">
        <v>0</v>
      </c>
      <c r="W1685" s="82">
        <v>0</v>
      </c>
      <c r="X1685" s="81"/>
      <c r="Y1685" s="81"/>
      <c r="Z1685" s="81" t="s">
        <v>58</v>
      </c>
      <c r="AA1685" s="81" t="s">
        <v>58</v>
      </c>
      <c r="AB1685" s="81" t="s">
        <v>58</v>
      </c>
      <c r="AC1685" s="83">
        <v>46140</v>
      </c>
    </row>
    <row r="1686" spans="2:29" ht="23" x14ac:dyDescent="0.35">
      <c r="B1686" s="81" t="s">
        <v>338</v>
      </c>
      <c r="C1686" s="81" t="s">
        <v>339</v>
      </c>
      <c r="D1686" s="81" t="s">
        <v>340</v>
      </c>
      <c r="E1686" s="81" t="s">
        <v>406</v>
      </c>
      <c r="F1686" s="162" t="s">
        <v>407</v>
      </c>
      <c r="G1686" s="163"/>
      <c r="H1686" s="81" t="s">
        <v>2158</v>
      </c>
      <c r="I1686" s="81" t="s">
        <v>1476</v>
      </c>
      <c r="J1686" s="81" t="s">
        <v>153</v>
      </c>
      <c r="K1686" s="81" t="s">
        <v>2172</v>
      </c>
      <c r="L1686" s="81" t="s">
        <v>58</v>
      </c>
      <c r="M1686" s="164">
        <v>4.8517334300000003</v>
      </c>
      <c r="N1686" s="165"/>
      <c r="O1686" s="163"/>
      <c r="P1686" s="82">
        <v>398</v>
      </c>
      <c r="Q1686" s="164">
        <v>0</v>
      </c>
      <c r="R1686" s="163"/>
      <c r="S1686" s="81" t="s">
        <v>58</v>
      </c>
      <c r="T1686" s="82">
        <v>0</v>
      </c>
      <c r="U1686" s="82">
        <v>0</v>
      </c>
      <c r="V1686" s="82">
        <v>0</v>
      </c>
      <c r="W1686" s="82">
        <v>0</v>
      </c>
      <c r="X1686" s="81"/>
      <c r="Y1686" s="81"/>
      <c r="Z1686" s="81" t="s">
        <v>58</v>
      </c>
      <c r="AA1686" s="81" t="s">
        <v>58</v>
      </c>
      <c r="AB1686" s="81" t="s">
        <v>58</v>
      </c>
      <c r="AC1686" s="83">
        <v>46140</v>
      </c>
    </row>
    <row r="1687" spans="2:29" ht="23" x14ac:dyDescent="0.35">
      <c r="B1687" s="81" t="s">
        <v>338</v>
      </c>
      <c r="C1687" s="81" t="s">
        <v>339</v>
      </c>
      <c r="D1687" s="81" t="s">
        <v>340</v>
      </c>
      <c r="E1687" s="81" t="s">
        <v>406</v>
      </c>
      <c r="F1687" s="162" t="s">
        <v>407</v>
      </c>
      <c r="G1687" s="163"/>
      <c r="H1687" s="81" t="s">
        <v>2158</v>
      </c>
      <c r="I1687" s="81" t="s">
        <v>1476</v>
      </c>
      <c r="J1687" s="81" t="s">
        <v>153</v>
      </c>
      <c r="K1687" s="81" t="s">
        <v>2173</v>
      </c>
      <c r="L1687" s="81" t="s">
        <v>58</v>
      </c>
      <c r="M1687" s="164">
        <v>5.3881059699999998</v>
      </c>
      <c r="N1687" s="165"/>
      <c r="O1687" s="163"/>
      <c r="P1687" s="82">
        <v>430</v>
      </c>
      <c r="Q1687" s="164">
        <v>0</v>
      </c>
      <c r="R1687" s="163"/>
      <c r="S1687" s="81" t="s">
        <v>58</v>
      </c>
      <c r="T1687" s="82">
        <v>0</v>
      </c>
      <c r="U1687" s="82">
        <v>0</v>
      </c>
      <c r="V1687" s="82">
        <v>0</v>
      </c>
      <c r="W1687" s="82">
        <v>0</v>
      </c>
      <c r="X1687" s="81"/>
      <c r="Y1687" s="81"/>
      <c r="Z1687" s="81" t="s">
        <v>58</v>
      </c>
      <c r="AA1687" s="81" t="s">
        <v>58</v>
      </c>
      <c r="AB1687" s="81" t="s">
        <v>58</v>
      </c>
      <c r="AC1687" s="83">
        <v>46140</v>
      </c>
    </row>
    <row r="1688" spans="2:29" ht="23" x14ac:dyDescent="0.35">
      <c r="B1688" s="81" t="s">
        <v>338</v>
      </c>
      <c r="C1688" s="81" t="s">
        <v>339</v>
      </c>
      <c r="D1688" s="81" t="s">
        <v>340</v>
      </c>
      <c r="E1688" s="81" t="s">
        <v>406</v>
      </c>
      <c r="F1688" s="162" t="s">
        <v>407</v>
      </c>
      <c r="G1688" s="163"/>
      <c r="H1688" s="81" t="s">
        <v>2158</v>
      </c>
      <c r="I1688" s="81" t="s">
        <v>1476</v>
      </c>
      <c r="J1688" s="81" t="s">
        <v>153</v>
      </c>
      <c r="K1688" s="81" t="s">
        <v>2174</v>
      </c>
      <c r="L1688" s="81" t="s">
        <v>58</v>
      </c>
      <c r="M1688" s="164">
        <v>4.6493180000000001</v>
      </c>
      <c r="N1688" s="165"/>
      <c r="O1688" s="163"/>
      <c r="P1688" s="82">
        <v>400</v>
      </c>
      <c r="Q1688" s="164">
        <v>0</v>
      </c>
      <c r="R1688" s="163"/>
      <c r="S1688" s="81" t="s">
        <v>58</v>
      </c>
      <c r="T1688" s="82">
        <v>0</v>
      </c>
      <c r="U1688" s="82">
        <v>0</v>
      </c>
      <c r="V1688" s="82">
        <v>0</v>
      </c>
      <c r="W1688" s="82">
        <v>0</v>
      </c>
      <c r="X1688" s="81"/>
      <c r="Y1688" s="81"/>
      <c r="Z1688" s="81" t="s">
        <v>58</v>
      </c>
      <c r="AA1688" s="81" t="s">
        <v>58</v>
      </c>
      <c r="AB1688" s="81" t="s">
        <v>58</v>
      </c>
      <c r="AC1688" s="83">
        <v>46140</v>
      </c>
    </row>
    <row r="1689" spans="2:29" ht="23" x14ac:dyDescent="0.35">
      <c r="B1689" s="81" t="s">
        <v>338</v>
      </c>
      <c r="C1689" s="81" t="s">
        <v>339</v>
      </c>
      <c r="D1689" s="81" t="s">
        <v>340</v>
      </c>
      <c r="E1689" s="81" t="s">
        <v>406</v>
      </c>
      <c r="F1689" s="162" t="s">
        <v>407</v>
      </c>
      <c r="G1689" s="163"/>
      <c r="H1689" s="81" t="s">
        <v>2158</v>
      </c>
      <c r="I1689" s="81" t="s">
        <v>1476</v>
      </c>
      <c r="J1689" s="81" t="s">
        <v>153</v>
      </c>
      <c r="K1689" s="81" t="s">
        <v>2175</v>
      </c>
      <c r="L1689" s="81" t="s">
        <v>58</v>
      </c>
      <c r="M1689" s="164">
        <v>4.6493180000000001</v>
      </c>
      <c r="N1689" s="165"/>
      <c r="O1689" s="163"/>
      <c r="P1689" s="82">
        <v>400</v>
      </c>
      <c r="Q1689" s="164">
        <v>0</v>
      </c>
      <c r="R1689" s="163"/>
      <c r="S1689" s="81" t="s">
        <v>58</v>
      </c>
      <c r="T1689" s="82">
        <v>0</v>
      </c>
      <c r="U1689" s="82">
        <v>0</v>
      </c>
      <c r="V1689" s="82">
        <v>0</v>
      </c>
      <c r="W1689" s="82">
        <v>0</v>
      </c>
      <c r="X1689" s="81"/>
      <c r="Y1689" s="81"/>
      <c r="Z1689" s="81" t="s">
        <v>58</v>
      </c>
      <c r="AA1689" s="81" t="s">
        <v>58</v>
      </c>
      <c r="AB1689" s="81" t="s">
        <v>58</v>
      </c>
      <c r="AC1689" s="83">
        <v>46140</v>
      </c>
    </row>
    <row r="1690" spans="2:29" ht="23" x14ac:dyDescent="0.35">
      <c r="B1690" s="81" t="s">
        <v>338</v>
      </c>
      <c r="C1690" s="81" t="s">
        <v>339</v>
      </c>
      <c r="D1690" s="81" t="s">
        <v>340</v>
      </c>
      <c r="E1690" s="81" t="s">
        <v>341</v>
      </c>
      <c r="F1690" s="162" t="s">
        <v>342</v>
      </c>
      <c r="G1690" s="163"/>
      <c r="H1690" s="81" t="s">
        <v>2176</v>
      </c>
      <c r="I1690" s="81" t="s">
        <v>1885</v>
      </c>
      <c r="J1690" s="81" t="s">
        <v>154</v>
      </c>
      <c r="K1690" s="81" t="s">
        <v>2177</v>
      </c>
      <c r="L1690" s="81" t="s">
        <v>58</v>
      </c>
      <c r="M1690" s="164">
        <v>5.4431039999999999</v>
      </c>
      <c r="N1690" s="165"/>
      <c r="O1690" s="163"/>
      <c r="P1690" s="82">
        <v>200</v>
      </c>
      <c r="Q1690" s="164">
        <v>0</v>
      </c>
      <c r="R1690" s="163"/>
      <c r="S1690" s="81" t="s">
        <v>58</v>
      </c>
      <c r="T1690" s="82">
        <v>0</v>
      </c>
      <c r="U1690" s="82">
        <v>0</v>
      </c>
      <c r="V1690" s="82">
        <v>0</v>
      </c>
      <c r="W1690" s="82">
        <v>0</v>
      </c>
      <c r="X1690" s="81"/>
      <c r="Y1690" s="81"/>
      <c r="Z1690" s="81" t="s">
        <v>58</v>
      </c>
      <c r="AA1690" s="81" t="s">
        <v>58</v>
      </c>
      <c r="AB1690" s="81" t="s">
        <v>58</v>
      </c>
      <c r="AC1690" s="83">
        <v>46146</v>
      </c>
    </row>
    <row r="1691" spans="2:29" ht="23" x14ac:dyDescent="0.35">
      <c r="B1691" s="81" t="s">
        <v>338</v>
      </c>
      <c r="C1691" s="81" t="s">
        <v>339</v>
      </c>
      <c r="D1691" s="81" t="s">
        <v>340</v>
      </c>
      <c r="E1691" s="81" t="s">
        <v>341</v>
      </c>
      <c r="F1691" s="162" t="s">
        <v>342</v>
      </c>
      <c r="G1691" s="163"/>
      <c r="H1691" s="81" t="s">
        <v>2176</v>
      </c>
      <c r="I1691" s="81" t="s">
        <v>1885</v>
      </c>
      <c r="J1691" s="81" t="s">
        <v>154</v>
      </c>
      <c r="K1691" s="81" t="s">
        <v>2178</v>
      </c>
      <c r="L1691" s="81" t="s">
        <v>58</v>
      </c>
      <c r="M1691" s="164">
        <v>1.7962243200000001</v>
      </c>
      <c r="N1691" s="165"/>
      <c r="O1691" s="163"/>
      <c r="P1691" s="82">
        <v>66</v>
      </c>
      <c r="Q1691" s="164">
        <v>0</v>
      </c>
      <c r="R1691" s="163"/>
      <c r="S1691" s="81" t="s">
        <v>58</v>
      </c>
      <c r="T1691" s="82">
        <v>0</v>
      </c>
      <c r="U1691" s="82">
        <v>0</v>
      </c>
      <c r="V1691" s="82">
        <v>0</v>
      </c>
      <c r="W1691" s="82">
        <v>0</v>
      </c>
      <c r="X1691" s="81"/>
      <c r="Y1691" s="81"/>
      <c r="Z1691" s="81" t="s">
        <v>58</v>
      </c>
      <c r="AA1691" s="81" t="s">
        <v>58</v>
      </c>
      <c r="AB1691" s="81" t="s">
        <v>58</v>
      </c>
      <c r="AC1691" s="83">
        <v>46146</v>
      </c>
    </row>
    <row r="1692" spans="2:29" ht="23" x14ac:dyDescent="0.35">
      <c r="B1692" s="81" t="s">
        <v>338</v>
      </c>
      <c r="C1692" s="81" t="s">
        <v>339</v>
      </c>
      <c r="D1692" s="81" t="s">
        <v>340</v>
      </c>
      <c r="E1692" s="81" t="s">
        <v>341</v>
      </c>
      <c r="F1692" s="162" t="s">
        <v>342</v>
      </c>
      <c r="G1692" s="163"/>
      <c r="H1692" s="81" t="s">
        <v>2176</v>
      </c>
      <c r="I1692" s="81" t="s">
        <v>1885</v>
      </c>
      <c r="J1692" s="81" t="s">
        <v>154</v>
      </c>
      <c r="K1692" s="81" t="s">
        <v>2179</v>
      </c>
      <c r="L1692" s="81" t="s">
        <v>58</v>
      </c>
      <c r="M1692" s="164">
        <v>5.6415505000000001</v>
      </c>
      <c r="N1692" s="165"/>
      <c r="O1692" s="163"/>
      <c r="P1692" s="82">
        <v>200</v>
      </c>
      <c r="Q1692" s="164">
        <v>0</v>
      </c>
      <c r="R1692" s="163"/>
      <c r="S1692" s="81" t="s">
        <v>58</v>
      </c>
      <c r="T1692" s="82">
        <v>0</v>
      </c>
      <c r="U1692" s="82">
        <v>0</v>
      </c>
      <c r="V1692" s="82">
        <v>0</v>
      </c>
      <c r="W1692" s="82">
        <v>0</v>
      </c>
      <c r="X1692" s="81"/>
      <c r="Y1692" s="81"/>
      <c r="Z1692" s="81" t="s">
        <v>58</v>
      </c>
      <c r="AA1692" s="81" t="s">
        <v>58</v>
      </c>
      <c r="AB1692" s="81" t="s">
        <v>58</v>
      </c>
      <c r="AC1692" s="83">
        <v>46146</v>
      </c>
    </row>
    <row r="1693" spans="2:29" ht="23" x14ac:dyDescent="0.35">
      <c r="B1693" s="81" t="s">
        <v>338</v>
      </c>
      <c r="C1693" s="81" t="s">
        <v>339</v>
      </c>
      <c r="D1693" s="81" t="s">
        <v>340</v>
      </c>
      <c r="E1693" s="81" t="s">
        <v>341</v>
      </c>
      <c r="F1693" s="162" t="s">
        <v>342</v>
      </c>
      <c r="G1693" s="163"/>
      <c r="H1693" s="81" t="s">
        <v>2176</v>
      </c>
      <c r="I1693" s="81" t="s">
        <v>1885</v>
      </c>
      <c r="J1693" s="81" t="s">
        <v>154</v>
      </c>
      <c r="K1693" s="81" t="s">
        <v>2180</v>
      </c>
      <c r="L1693" s="81" t="s">
        <v>58</v>
      </c>
      <c r="M1693" s="164">
        <v>5.6415505000000001</v>
      </c>
      <c r="N1693" s="165"/>
      <c r="O1693" s="163"/>
      <c r="P1693" s="82">
        <v>200</v>
      </c>
      <c r="Q1693" s="164">
        <v>0</v>
      </c>
      <c r="R1693" s="163"/>
      <c r="S1693" s="81" t="s">
        <v>58</v>
      </c>
      <c r="T1693" s="82">
        <v>0</v>
      </c>
      <c r="U1693" s="82">
        <v>0</v>
      </c>
      <c r="V1693" s="82">
        <v>0</v>
      </c>
      <c r="W1693" s="82">
        <v>0</v>
      </c>
      <c r="X1693" s="81"/>
      <c r="Y1693" s="81"/>
      <c r="Z1693" s="81" t="s">
        <v>58</v>
      </c>
      <c r="AA1693" s="81" t="s">
        <v>58</v>
      </c>
      <c r="AB1693" s="81" t="s">
        <v>58</v>
      </c>
      <c r="AC1693" s="83">
        <v>46146</v>
      </c>
    </row>
    <row r="1694" spans="2:29" ht="23" x14ac:dyDescent="0.35">
      <c r="B1694" s="81" t="s">
        <v>338</v>
      </c>
      <c r="C1694" s="81" t="s">
        <v>339</v>
      </c>
      <c r="D1694" s="81" t="s">
        <v>340</v>
      </c>
      <c r="E1694" s="81" t="s">
        <v>341</v>
      </c>
      <c r="F1694" s="162" t="s">
        <v>342</v>
      </c>
      <c r="G1694" s="163"/>
      <c r="H1694" s="81" t="s">
        <v>2176</v>
      </c>
      <c r="I1694" s="81" t="s">
        <v>1885</v>
      </c>
      <c r="J1694" s="81" t="s">
        <v>154</v>
      </c>
      <c r="K1694" s="81" t="s">
        <v>2181</v>
      </c>
      <c r="L1694" s="81" t="s">
        <v>58</v>
      </c>
      <c r="M1694" s="164">
        <v>5.6415505000000001</v>
      </c>
      <c r="N1694" s="165"/>
      <c r="O1694" s="163"/>
      <c r="P1694" s="82">
        <v>200</v>
      </c>
      <c r="Q1694" s="164">
        <v>0</v>
      </c>
      <c r="R1694" s="163"/>
      <c r="S1694" s="81" t="s">
        <v>58</v>
      </c>
      <c r="T1694" s="82">
        <v>0</v>
      </c>
      <c r="U1694" s="82">
        <v>0</v>
      </c>
      <c r="V1694" s="82">
        <v>0</v>
      </c>
      <c r="W1694" s="82">
        <v>0</v>
      </c>
      <c r="X1694" s="81"/>
      <c r="Y1694" s="81"/>
      <c r="Z1694" s="81" t="s">
        <v>58</v>
      </c>
      <c r="AA1694" s="81" t="s">
        <v>58</v>
      </c>
      <c r="AB1694" s="81" t="s">
        <v>58</v>
      </c>
      <c r="AC1694" s="83">
        <v>46146</v>
      </c>
    </row>
    <row r="1695" spans="2:29" ht="23" x14ac:dyDescent="0.35">
      <c r="B1695" s="81" t="s">
        <v>338</v>
      </c>
      <c r="C1695" s="81" t="s">
        <v>339</v>
      </c>
      <c r="D1695" s="81" t="s">
        <v>340</v>
      </c>
      <c r="E1695" s="81" t="s">
        <v>341</v>
      </c>
      <c r="F1695" s="162" t="s">
        <v>342</v>
      </c>
      <c r="G1695" s="163"/>
      <c r="H1695" s="81" t="s">
        <v>2176</v>
      </c>
      <c r="I1695" s="81" t="s">
        <v>1885</v>
      </c>
      <c r="J1695" s="81" t="s">
        <v>154</v>
      </c>
      <c r="K1695" s="81" t="s">
        <v>2182</v>
      </c>
      <c r="L1695" s="81" t="s">
        <v>58</v>
      </c>
      <c r="M1695" s="164">
        <v>6.4031598174999997</v>
      </c>
      <c r="N1695" s="165"/>
      <c r="O1695" s="163"/>
      <c r="P1695" s="82">
        <v>227</v>
      </c>
      <c r="Q1695" s="164">
        <v>0</v>
      </c>
      <c r="R1695" s="163"/>
      <c r="S1695" s="81" t="s">
        <v>58</v>
      </c>
      <c r="T1695" s="82">
        <v>0</v>
      </c>
      <c r="U1695" s="82">
        <v>0</v>
      </c>
      <c r="V1695" s="82">
        <v>0</v>
      </c>
      <c r="W1695" s="82">
        <v>0</v>
      </c>
      <c r="X1695" s="81"/>
      <c r="Y1695" s="81"/>
      <c r="Z1695" s="81" t="s">
        <v>58</v>
      </c>
      <c r="AA1695" s="81" t="s">
        <v>58</v>
      </c>
      <c r="AB1695" s="81" t="s">
        <v>58</v>
      </c>
      <c r="AC1695" s="83">
        <v>46146</v>
      </c>
    </row>
    <row r="1696" spans="2:29" ht="23" x14ac:dyDescent="0.35">
      <c r="B1696" s="81" t="s">
        <v>338</v>
      </c>
      <c r="C1696" s="81" t="s">
        <v>339</v>
      </c>
      <c r="D1696" s="81" t="s">
        <v>340</v>
      </c>
      <c r="E1696" s="81" t="s">
        <v>341</v>
      </c>
      <c r="F1696" s="162" t="s">
        <v>342</v>
      </c>
      <c r="G1696" s="163"/>
      <c r="H1696" s="81" t="s">
        <v>2176</v>
      </c>
      <c r="I1696" s="81" t="s">
        <v>1885</v>
      </c>
      <c r="J1696" s="81" t="s">
        <v>154</v>
      </c>
      <c r="K1696" s="81" t="s">
        <v>2183</v>
      </c>
      <c r="L1696" s="81" t="s">
        <v>58</v>
      </c>
      <c r="M1696" s="164">
        <v>5.8399970000000003</v>
      </c>
      <c r="N1696" s="165"/>
      <c r="O1696" s="163"/>
      <c r="P1696" s="82">
        <v>200</v>
      </c>
      <c r="Q1696" s="164">
        <v>0</v>
      </c>
      <c r="R1696" s="163"/>
      <c r="S1696" s="81" t="s">
        <v>58</v>
      </c>
      <c r="T1696" s="82">
        <v>0</v>
      </c>
      <c r="U1696" s="82">
        <v>0</v>
      </c>
      <c r="V1696" s="82">
        <v>0</v>
      </c>
      <c r="W1696" s="82">
        <v>0</v>
      </c>
      <c r="X1696" s="81"/>
      <c r="Y1696" s="81"/>
      <c r="Z1696" s="81" t="s">
        <v>58</v>
      </c>
      <c r="AA1696" s="81" t="s">
        <v>58</v>
      </c>
      <c r="AB1696" s="81" t="s">
        <v>58</v>
      </c>
      <c r="AC1696" s="83">
        <v>46149</v>
      </c>
    </row>
    <row r="1697" spans="2:29" ht="23" x14ac:dyDescent="0.35">
      <c r="B1697" s="81" t="s">
        <v>338</v>
      </c>
      <c r="C1697" s="81" t="s">
        <v>339</v>
      </c>
      <c r="D1697" s="81" t="s">
        <v>340</v>
      </c>
      <c r="E1697" s="81" t="s">
        <v>341</v>
      </c>
      <c r="F1697" s="162" t="s">
        <v>342</v>
      </c>
      <c r="G1697" s="163"/>
      <c r="H1697" s="81" t="s">
        <v>2176</v>
      </c>
      <c r="I1697" s="81" t="s">
        <v>1885</v>
      </c>
      <c r="J1697" s="81" t="s">
        <v>154</v>
      </c>
      <c r="K1697" s="81" t="s">
        <v>2184</v>
      </c>
      <c r="L1697" s="81" t="s">
        <v>58</v>
      </c>
      <c r="M1697" s="164">
        <v>5.8399970000000003</v>
      </c>
      <c r="N1697" s="165"/>
      <c r="O1697" s="163"/>
      <c r="P1697" s="82">
        <v>200</v>
      </c>
      <c r="Q1697" s="164">
        <v>0</v>
      </c>
      <c r="R1697" s="163"/>
      <c r="S1697" s="81" t="s">
        <v>58</v>
      </c>
      <c r="T1697" s="82">
        <v>0</v>
      </c>
      <c r="U1697" s="82">
        <v>0</v>
      </c>
      <c r="V1697" s="82">
        <v>0</v>
      </c>
      <c r="W1697" s="82">
        <v>0</v>
      </c>
      <c r="X1697" s="81"/>
      <c r="Y1697" s="81"/>
      <c r="Z1697" s="81" t="s">
        <v>58</v>
      </c>
      <c r="AA1697" s="81" t="s">
        <v>58</v>
      </c>
      <c r="AB1697" s="81" t="s">
        <v>58</v>
      </c>
      <c r="AC1697" s="83">
        <v>46149</v>
      </c>
    </row>
    <row r="1698" spans="2:29" ht="23" x14ac:dyDescent="0.35">
      <c r="B1698" s="81" t="s">
        <v>338</v>
      </c>
      <c r="C1698" s="81" t="s">
        <v>339</v>
      </c>
      <c r="D1698" s="81" t="s">
        <v>340</v>
      </c>
      <c r="E1698" s="81" t="s">
        <v>341</v>
      </c>
      <c r="F1698" s="162" t="s">
        <v>342</v>
      </c>
      <c r="G1698" s="163"/>
      <c r="H1698" s="81" t="s">
        <v>2176</v>
      </c>
      <c r="I1698" s="81" t="s">
        <v>1885</v>
      </c>
      <c r="J1698" s="81" t="s">
        <v>154</v>
      </c>
      <c r="K1698" s="81" t="s">
        <v>2185</v>
      </c>
      <c r="L1698" s="81" t="s">
        <v>58</v>
      </c>
      <c r="M1698" s="164">
        <v>5.8399970000000003</v>
      </c>
      <c r="N1698" s="165"/>
      <c r="O1698" s="163"/>
      <c r="P1698" s="82">
        <v>200</v>
      </c>
      <c r="Q1698" s="164">
        <v>0</v>
      </c>
      <c r="R1698" s="163"/>
      <c r="S1698" s="81" t="s">
        <v>58</v>
      </c>
      <c r="T1698" s="82">
        <v>0</v>
      </c>
      <c r="U1698" s="82">
        <v>0</v>
      </c>
      <c r="V1698" s="82">
        <v>0</v>
      </c>
      <c r="W1698" s="82">
        <v>0</v>
      </c>
      <c r="X1698" s="81"/>
      <c r="Y1698" s="81"/>
      <c r="Z1698" s="81" t="s">
        <v>58</v>
      </c>
      <c r="AA1698" s="81" t="s">
        <v>58</v>
      </c>
      <c r="AB1698" s="81" t="s">
        <v>58</v>
      </c>
      <c r="AC1698" s="83">
        <v>46149</v>
      </c>
    </row>
    <row r="1699" spans="2:29" ht="23" x14ac:dyDescent="0.35">
      <c r="B1699" s="81" t="s">
        <v>338</v>
      </c>
      <c r="C1699" s="81" t="s">
        <v>339</v>
      </c>
      <c r="D1699" s="81" t="s">
        <v>340</v>
      </c>
      <c r="E1699" s="81" t="s">
        <v>341</v>
      </c>
      <c r="F1699" s="162" t="s">
        <v>342</v>
      </c>
      <c r="G1699" s="163"/>
      <c r="H1699" s="81" t="s">
        <v>2176</v>
      </c>
      <c r="I1699" s="81" t="s">
        <v>1885</v>
      </c>
      <c r="J1699" s="81" t="s">
        <v>154</v>
      </c>
      <c r="K1699" s="81" t="s">
        <v>2186</v>
      </c>
      <c r="L1699" s="81" t="s">
        <v>58</v>
      </c>
      <c r="M1699" s="164">
        <v>5.8399970000000003</v>
      </c>
      <c r="N1699" s="165"/>
      <c r="O1699" s="163"/>
      <c r="P1699" s="82">
        <v>200</v>
      </c>
      <c r="Q1699" s="164">
        <v>0</v>
      </c>
      <c r="R1699" s="163"/>
      <c r="S1699" s="81" t="s">
        <v>58</v>
      </c>
      <c r="T1699" s="82">
        <v>0</v>
      </c>
      <c r="U1699" s="82">
        <v>0</v>
      </c>
      <c r="V1699" s="82">
        <v>0</v>
      </c>
      <c r="W1699" s="82">
        <v>0</v>
      </c>
      <c r="X1699" s="81"/>
      <c r="Y1699" s="81"/>
      <c r="Z1699" s="81" t="s">
        <v>58</v>
      </c>
      <c r="AA1699" s="81" t="s">
        <v>58</v>
      </c>
      <c r="AB1699" s="81" t="s">
        <v>58</v>
      </c>
      <c r="AC1699" s="83">
        <v>46149</v>
      </c>
    </row>
    <row r="1700" spans="2:29" ht="23" x14ac:dyDescent="0.35">
      <c r="B1700" s="81" t="s">
        <v>338</v>
      </c>
      <c r="C1700" s="81" t="s">
        <v>339</v>
      </c>
      <c r="D1700" s="81" t="s">
        <v>340</v>
      </c>
      <c r="E1700" s="81" t="s">
        <v>341</v>
      </c>
      <c r="F1700" s="162" t="s">
        <v>342</v>
      </c>
      <c r="G1700" s="163"/>
      <c r="H1700" s="81" t="s">
        <v>2176</v>
      </c>
      <c r="I1700" s="81" t="s">
        <v>1885</v>
      </c>
      <c r="J1700" s="81" t="s">
        <v>154</v>
      </c>
      <c r="K1700" s="81" t="s">
        <v>2187</v>
      </c>
      <c r="L1700" s="81" t="s">
        <v>58</v>
      </c>
      <c r="M1700" s="164">
        <v>6.7451965349999998</v>
      </c>
      <c r="N1700" s="165"/>
      <c r="O1700" s="163"/>
      <c r="P1700" s="82">
        <v>231</v>
      </c>
      <c r="Q1700" s="164">
        <v>0</v>
      </c>
      <c r="R1700" s="163"/>
      <c r="S1700" s="81" t="s">
        <v>58</v>
      </c>
      <c r="T1700" s="82">
        <v>0</v>
      </c>
      <c r="U1700" s="82">
        <v>0</v>
      </c>
      <c r="V1700" s="82">
        <v>0</v>
      </c>
      <c r="W1700" s="82">
        <v>0</v>
      </c>
      <c r="X1700" s="81"/>
      <c r="Y1700" s="81"/>
      <c r="Z1700" s="81" t="s">
        <v>58</v>
      </c>
      <c r="AA1700" s="81" t="s">
        <v>58</v>
      </c>
      <c r="AB1700" s="81" t="s">
        <v>58</v>
      </c>
      <c r="AC1700" s="83">
        <v>46149</v>
      </c>
    </row>
    <row r="1701" spans="2:29" ht="23" x14ac:dyDescent="0.35">
      <c r="B1701" s="81" t="s">
        <v>338</v>
      </c>
      <c r="C1701" s="81" t="s">
        <v>339</v>
      </c>
      <c r="D1701" s="81" t="s">
        <v>340</v>
      </c>
      <c r="E1701" s="81" t="s">
        <v>341</v>
      </c>
      <c r="F1701" s="162" t="s">
        <v>342</v>
      </c>
      <c r="G1701" s="163"/>
      <c r="H1701" s="81" t="s">
        <v>2176</v>
      </c>
      <c r="I1701" s="81" t="s">
        <v>1885</v>
      </c>
      <c r="J1701" s="81" t="s">
        <v>154</v>
      </c>
      <c r="K1701" s="81" t="s">
        <v>2188</v>
      </c>
      <c r="L1701" s="81" t="s">
        <v>58</v>
      </c>
      <c r="M1701" s="164">
        <v>6.0384434999999996</v>
      </c>
      <c r="N1701" s="165"/>
      <c r="O1701" s="163"/>
      <c r="P1701" s="82">
        <v>200</v>
      </c>
      <c r="Q1701" s="164">
        <v>0</v>
      </c>
      <c r="R1701" s="163"/>
      <c r="S1701" s="81" t="s">
        <v>58</v>
      </c>
      <c r="T1701" s="82">
        <v>0</v>
      </c>
      <c r="U1701" s="82">
        <v>0</v>
      </c>
      <c r="V1701" s="82">
        <v>0</v>
      </c>
      <c r="W1701" s="82">
        <v>0</v>
      </c>
      <c r="X1701" s="81"/>
      <c r="Y1701" s="81"/>
      <c r="Z1701" s="81" t="s">
        <v>58</v>
      </c>
      <c r="AA1701" s="81" t="s">
        <v>58</v>
      </c>
      <c r="AB1701" s="81" t="s">
        <v>58</v>
      </c>
      <c r="AC1701" s="83">
        <v>46146</v>
      </c>
    </row>
    <row r="1702" spans="2:29" ht="23" x14ac:dyDescent="0.35">
      <c r="B1702" s="81" t="s">
        <v>338</v>
      </c>
      <c r="C1702" s="81" t="s">
        <v>339</v>
      </c>
      <c r="D1702" s="81" t="s">
        <v>340</v>
      </c>
      <c r="E1702" s="81" t="s">
        <v>341</v>
      </c>
      <c r="F1702" s="162" t="s">
        <v>342</v>
      </c>
      <c r="G1702" s="163"/>
      <c r="H1702" s="81" t="s">
        <v>2176</v>
      </c>
      <c r="I1702" s="81" t="s">
        <v>1885</v>
      </c>
      <c r="J1702" s="81" t="s">
        <v>154</v>
      </c>
      <c r="K1702" s="81" t="s">
        <v>2189</v>
      </c>
      <c r="L1702" s="81" t="s">
        <v>58</v>
      </c>
      <c r="M1702" s="164">
        <v>6.0384434999999996</v>
      </c>
      <c r="N1702" s="165"/>
      <c r="O1702" s="163"/>
      <c r="P1702" s="82">
        <v>200</v>
      </c>
      <c r="Q1702" s="164">
        <v>0</v>
      </c>
      <c r="R1702" s="163"/>
      <c r="S1702" s="81" t="s">
        <v>58</v>
      </c>
      <c r="T1702" s="82">
        <v>0</v>
      </c>
      <c r="U1702" s="82">
        <v>0</v>
      </c>
      <c r="V1702" s="82">
        <v>0</v>
      </c>
      <c r="W1702" s="82">
        <v>0</v>
      </c>
      <c r="X1702" s="81"/>
      <c r="Y1702" s="81"/>
      <c r="Z1702" s="81" t="s">
        <v>58</v>
      </c>
      <c r="AA1702" s="81" t="s">
        <v>58</v>
      </c>
      <c r="AB1702" s="81" t="s">
        <v>58</v>
      </c>
      <c r="AC1702" s="83">
        <v>46146</v>
      </c>
    </row>
    <row r="1703" spans="2:29" ht="23" x14ac:dyDescent="0.35">
      <c r="B1703" s="81" t="s">
        <v>338</v>
      </c>
      <c r="C1703" s="81" t="s">
        <v>339</v>
      </c>
      <c r="D1703" s="81" t="s">
        <v>340</v>
      </c>
      <c r="E1703" s="81" t="s">
        <v>341</v>
      </c>
      <c r="F1703" s="162" t="s">
        <v>342</v>
      </c>
      <c r="G1703" s="163"/>
      <c r="H1703" s="81" t="s">
        <v>2176</v>
      </c>
      <c r="I1703" s="81" t="s">
        <v>1885</v>
      </c>
      <c r="J1703" s="81" t="s">
        <v>154</v>
      </c>
      <c r="K1703" s="81" t="s">
        <v>2190</v>
      </c>
      <c r="L1703" s="81" t="s">
        <v>58</v>
      </c>
      <c r="M1703" s="164">
        <v>6.0384434999999996</v>
      </c>
      <c r="N1703" s="165"/>
      <c r="O1703" s="163"/>
      <c r="P1703" s="82">
        <v>200</v>
      </c>
      <c r="Q1703" s="164">
        <v>0</v>
      </c>
      <c r="R1703" s="163"/>
      <c r="S1703" s="81" t="s">
        <v>58</v>
      </c>
      <c r="T1703" s="82">
        <v>0</v>
      </c>
      <c r="U1703" s="82">
        <v>0</v>
      </c>
      <c r="V1703" s="82">
        <v>0</v>
      </c>
      <c r="W1703" s="82">
        <v>0</v>
      </c>
      <c r="X1703" s="81"/>
      <c r="Y1703" s="81"/>
      <c r="Z1703" s="81" t="s">
        <v>58</v>
      </c>
      <c r="AA1703" s="81" t="s">
        <v>58</v>
      </c>
      <c r="AB1703" s="81" t="s">
        <v>58</v>
      </c>
      <c r="AC1703" s="83">
        <v>46146</v>
      </c>
    </row>
    <row r="1704" spans="2:29" ht="23" x14ac:dyDescent="0.35">
      <c r="B1704" s="81" t="s">
        <v>338</v>
      </c>
      <c r="C1704" s="81" t="s">
        <v>339</v>
      </c>
      <c r="D1704" s="81" t="s">
        <v>340</v>
      </c>
      <c r="E1704" s="81" t="s">
        <v>341</v>
      </c>
      <c r="F1704" s="162" t="s">
        <v>342</v>
      </c>
      <c r="G1704" s="163"/>
      <c r="H1704" s="81" t="s">
        <v>2176</v>
      </c>
      <c r="I1704" s="81" t="s">
        <v>1885</v>
      </c>
      <c r="J1704" s="81" t="s">
        <v>154</v>
      </c>
      <c r="K1704" s="81" t="s">
        <v>2191</v>
      </c>
      <c r="L1704" s="81" t="s">
        <v>58</v>
      </c>
      <c r="M1704" s="164">
        <v>5.736521325</v>
      </c>
      <c r="N1704" s="165"/>
      <c r="O1704" s="163"/>
      <c r="P1704" s="82">
        <v>190</v>
      </c>
      <c r="Q1704" s="164">
        <v>0</v>
      </c>
      <c r="R1704" s="163"/>
      <c r="S1704" s="81" t="s">
        <v>58</v>
      </c>
      <c r="T1704" s="82">
        <v>0</v>
      </c>
      <c r="U1704" s="82">
        <v>0</v>
      </c>
      <c r="V1704" s="82">
        <v>0</v>
      </c>
      <c r="W1704" s="82">
        <v>0</v>
      </c>
      <c r="X1704" s="81"/>
      <c r="Y1704" s="81"/>
      <c r="Z1704" s="81" t="s">
        <v>58</v>
      </c>
      <c r="AA1704" s="81" t="s">
        <v>58</v>
      </c>
      <c r="AB1704" s="81" t="s">
        <v>58</v>
      </c>
      <c r="AC1704" s="83">
        <v>46146</v>
      </c>
    </row>
    <row r="1705" spans="2:29" ht="23" x14ac:dyDescent="0.35">
      <c r="B1705" s="81" t="s">
        <v>338</v>
      </c>
      <c r="C1705" s="81" t="s">
        <v>339</v>
      </c>
      <c r="D1705" s="81" t="s">
        <v>340</v>
      </c>
      <c r="E1705" s="81" t="s">
        <v>341</v>
      </c>
      <c r="F1705" s="162" t="s">
        <v>342</v>
      </c>
      <c r="G1705" s="163"/>
      <c r="H1705" s="81" t="s">
        <v>2176</v>
      </c>
      <c r="I1705" s="81" t="s">
        <v>1885</v>
      </c>
      <c r="J1705" s="81" t="s">
        <v>154</v>
      </c>
      <c r="K1705" s="81" t="s">
        <v>2192</v>
      </c>
      <c r="L1705" s="81" t="s">
        <v>58</v>
      </c>
      <c r="M1705" s="164">
        <v>6.2368899999999998</v>
      </c>
      <c r="N1705" s="165"/>
      <c r="O1705" s="163"/>
      <c r="P1705" s="82">
        <v>200</v>
      </c>
      <c r="Q1705" s="164">
        <v>0</v>
      </c>
      <c r="R1705" s="163"/>
      <c r="S1705" s="81" t="s">
        <v>58</v>
      </c>
      <c r="T1705" s="82">
        <v>0</v>
      </c>
      <c r="U1705" s="82">
        <v>0</v>
      </c>
      <c r="V1705" s="82">
        <v>0</v>
      </c>
      <c r="W1705" s="82">
        <v>0</v>
      </c>
      <c r="X1705" s="81"/>
      <c r="Y1705" s="81"/>
      <c r="Z1705" s="81" t="s">
        <v>58</v>
      </c>
      <c r="AA1705" s="81" t="s">
        <v>58</v>
      </c>
      <c r="AB1705" s="81" t="s">
        <v>58</v>
      </c>
      <c r="AC1705" s="83">
        <v>46146</v>
      </c>
    </row>
    <row r="1706" spans="2:29" ht="23" x14ac:dyDescent="0.35">
      <c r="B1706" s="81" t="s">
        <v>338</v>
      </c>
      <c r="C1706" s="81" t="s">
        <v>339</v>
      </c>
      <c r="D1706" s="81" t="s">
        <v>340</v>
      </c>
      <c r="E1706" s="81" t="s">
        <v>341</v>
      </c>
      <c r="F1706" s="162" t="s">
        <v>342</v>
      </c>
      <c r="G1706" s="163"/>
      <c r="H1706" s="81" t="s">
        <v>2176</v>
      </c>
      <c r="I1706" s="81" t="s">
        <v>1885</v>
      </c>
      <c r="J1706" s="81" t="s">
        <v>154</v>
      </c>
      <c r="K1706" s="81" t="s">
        <v>2193</v>
      </c>
      <c r="L1706" s="81" t="s">
        <v>58</v>
      </c>
      <c r="M1706" s="164">
        <v>6.2368899999999998</v>
      </c>
      <c r="N1706" s="165"/>
      <c r="O1706" s="163"/>
      <c r="P1706" s="82">
        <v>200</v>
      </c>
      <c r="Q1706" s="164">
        <v>0</v>
      </c>
      <c r="R1706" s="163"/>
      <c r="S1706" s="81" t="s">
        <v>58</v>
      </c>
      <c r="T1706" s="82">
        <v>0</v>
      </c>
      <c r="U1706" s="82">
        <v>0</v>
      </c>
      <c r="V1706" s="82">
        <v>0</v>
      </c>
      <c r="W1706" s="82">
        <v>0</v>
      </c>
      <c r="X1706" s="81"/>
      <c r="Y1706" s="81"/>
      <c r="Z1706" s="81" t="s">
        <v>58</v>
      </c>
      <c r="AA1706" s="81" t="s">
        <v>58</v>
      </c>
      <c r="AB1706" s="81" t="s">
        <v>58</v>
      </c>
      <c r="AC1706" s="83">
        <v>46146</v>
      </c>
    </row>
    <row r="1707" spans="2:29" ht="23" x14ac:dyDescent="0.35">
      <c r="B1707" s="81" t="s">
        <v>338</v>
      </c>
      <c r="C1707" s="81" t="s">
        <v>339</v>
      </c>
      <c r="D1707" s="81" t="s">
        <v>340</v>
      </c>
      <c r="E1707" s="81" t="s">
        <v>341</v>
      </c>
      <c r="F1707" s="162" t="s">
        <v>342</v>
      </c>
      <c r="G1707" s="163"/>
      <c r="H1707" s="81" t="s">
        <v>2176</v>
      </c>
      <c r="I1707" s="81" t="s">
        <v>1885</v>
      </c>
      <c r="J1707" s="81" t="s">
        <v>154</v>
      </c>
      <c r="K1707" s="81" t="s">
        <v>2194</v>
      </c>
      <c r="L1707" s="81" t="s">
        <v>58</v>
      </c>
      <c r="M1707" s="164">
        <v>3.6173962</v>
      </c>
      <c r="N1707" s="165"/>
      <c r="O1707" s="163"/>
      <c r="P1707" s="82">
        <v>116</v>
      </c>
      <c r="Q1707" s="164">
        <v>0</v>
      </c>
      <c r="R1707" s="163"/>
      <c r="S1707" s="81" t="s">
        <v>58</v>
      </c>
      <c r="T1707" s="82">
        <v>0</v>
      </c>
      <c r="U1707" s="82">
        <v>0</v>
      </c>
      <c r="V1707" s="82">
        <v>0</v>
      </c>
      <c r="W1707" s="82">
        <v>0</v>
      </c>
      <c r="X1707" s="81"/>
      <c r="Y1707" s="81"/>
      <c r="Z1707" s="81" t="s">
        <v>58</v>
      </c>
      <c r="AA1707" s="81" t="s">
        <v>58</v>
      </c>
      <c r="AB1707" s="81" t="s">
        <v>58</v>
      </c>
      <c r="AC1707" s="83">
        <v>46146</v>
      </c>
    </row>
    <row r="1708" spans="2:29" ht="23" x14ac:dyDescent="0.35">
      <c r="B1708" s="81" t="s">
        <v>338</v>
      </c>
      <c r="C1708" s="81" t="s">
        <v>339</v>
      </c>
      <c r="D1708" s="81" t="s">
        <v>340</v>
      </c>
      <c r="E1708" s="81" t="s">
        <v>341</v>
      </c>
      <c r="F1708" s="162" t="s">
        <v>342</v>
      </c>
      <c r="G1708" s="163"/>
      <c r="H1708" s="81" t="s">
        <v>2176</v>
      </c>
      <c r="I1708" s="81" t="s">
        <v>1885</v>
      </c>
      <c r="J1708" s="81" t="s">
        <v>154</v>
      </c>
      <c r="K1708" s="81" t="s">
        <v>2195</v>
      </c>
      <c r="L1708" s="81" t="s">
        <v>58</v>
      </c>
      <c r="M1708" s="164">
        <v>8.0007108415000001</v>
      </c>
      <c r="N1708" s="165"/>
      <c r="O1708" s="163"/>
      <c r="P1708" s="82">
        <v>221</v>
      </c>
      <c r="Q1708" s="164">
        <v>0</v>
      </c>
      <c r="R1708" s="163"/>
      <c r="S1708" s="81" t="s">
        <v>58</v>
      </c>
      <c r="T1708" s="82">
        <v>0</v>
      </c>
      <c r="U1708" s="82">
        <v>0</v>
      </c>
      <c r="V1708" s="82">
        <v>0</v>
      </c>
      <c r="W1708" s="82">
        <v>0</v>
      </c>
      <c r="X1708" s="81"/>
      <c r="Y1708" s="81"/>
      <c r="Z1708" s="81" t="s">
        <v>58</v>
      </c>
      <c r="AA1708" s="81" t="s">
        <v>58</v>
      </c>
      <c r="AB1708" s="81" t="s">
        <v>58</v>
      </c>
      <c r="AC1708" s="83">
        <v>46149</v>
      </c>
    </row>
    <row r="1709" spans="2:29" ht="23" x14ac:dyDescent="0.35">
      <c r="B1709" s="81" t="s">
        <v>338</v>
      </c>
      <c r="C1709" s="81" t="s">
        <v>339</v>
      </c>
      <c r="D1709" s="81" t="s">
        <v>340</v>
      </c>
      <c r="E1709" s="81" t="s">
        <v>341</v>
      </c>
      <c r="F1709" s="162" t="s">
        <v>342</v>
      </c>
      <c r="G1709" s="163"/>
      <c r="H1709" s="81" t="s">
        <v>2196</v>
      </c>
      <c r="I1709" s="81" t="s">
        <v>1928</v>
      </c>
      <c r="J1709" s="81" t="s">
        <v>153</v>
      </c>
      <c r="K1709" s="81" t="s">
        <v>2197</v>
      </c>
      <c r="L1709" s="81" t="s">
        <v>58</v>
      </c>
      <c r="M1709" s="164">
        <v>4.4225219999999998</v>
      </c>
      <c r="N1709" s="165"/>
      <c r="O1709" s="163"/>
      <c r="P1709" s="82">
        <v>400</v>
      </c>
      <c r="Q1709" s="164">
        <v>0</v>
      </c>
      <c r="R1709" s="163"/>
      <c r="S1709" s="81" t="s">
        <v>58</v>
      </c>
      <c r="T1709" s="82">
        <v>0</v>
      </c>
      <c r="U1709" s="82">
        <v>0</v>
      </c>
      <c r="V1709" s="82">
        <v>0</v>
      </c>
      <c r="W1709" s="82">
        <v>0</v>
      </c>
      <c r="X1709" s="81"/>
      <c r="Y1709" s="81"/>
      <c r="Z1709" s="81" t="s">
        <v>58</v>
      </c>
      <c r="AA1709" s="81" t="s">
        <v>58</v>
      </c>
      <c r="AB1709" s="81" t="s">
        <v>58</v>
      </c>
      <c r="AC1709" s="83">
        <v>46146</v>
      </c>
    </row>
    <row r="1710" spans="2:29" ht="23" x14ac:dyDescent="0.35">
      <c r="B1710" s="81" t="s">
        <v>338</v>
      </c>
      <c r="C1710" s="81" t="s">
        <v>339</v>
      </c>
      <c r="D1710" s="81" t="s">
        <v>340</v>
      </c>
      <c r="E1710" s="81" t="s">
        <v>341</v>
      </c>
      <c r="F1710" s="162" t="s">
        <v>342</v>
      </c>
      <c r="G1710" s="163"/>
      <c r="H1710" s="81" t="s">
        <v>2196</v>
      </c>
      <c r="I1710" s="81" t="s">
        <v>1928</v>
      </c>
      <c r="J1710" s="81" t="s">
        <v>153</v>
      </c>
      <c r="K1710" s="81" t="s">
        <v>2198</v>
      </c>
      <c r="L1710" s="81" t="s">
        <v>58</v>
      </c>
      <c r="M1710" s="164">
        <v>1.45943226</v>
      </c>
      <c r="N1710" s="165"/>
      <c r="O1710" s="163"/>
      <c r="P1710" s="82">
        <v>132</v>
      </c>
      <c r="Q1710" s="164">
        <v>0</v>
      </c>
      <c r="R1710" s="163"/>
      <c r="S1710" s="81" t="s">
        <v>58</v>
      </c>
      <c r="T1710" s="82">
        <v>0</v>
      </c>
      <c r="U1710" s="82">
        <v>0</v>
      </c>
      <c r="V1710" s="82">
        <v>0</v>
      </c>
      <c r="W1710" s="82">
        <v>0</v>
      </c>
      <c r="X1710" s="81"/>
      <c r="Y1710" s="81"/>
      <c r="Z1710" s="81" t="s">
        <v>58</v>
      </c>
      <c r="AA1710" s="81" t="s">
        <v>58</v>
      </c>
      <c r="AB1710" s="81" t="s">
        <v>58</v>
      </c>
      <c r="AC1710" s="83">
        <v>46146</v>
      </c>
    </row>
    <row r="1711" spans="2:29" ht="23" x14ac:dyDescent="0.35">
      <c r="B1711" s="81" t="s">
        <v>338</v>
      </c>
      <c r="C1711" s="81" t="s">
        <v>339</v>
      </c>
      <c r="D1711" s="81" t="s">
        <v>340</v>
      </c>
      <c r="E1711" s="81" t="s">
        <v>341</v>
      </c>
      <c r="F1711" s="162" t="s">
        <v>342</v>
      </c>
      <c r="G1711" s="163"/>
      <c r="H1711" s="81" t="s">
        <v>2196</v>
      </c>
      <c r="I1711" s="81" t="s">
        <v>1928</v>
      </c>
      <c r="J1711" s="81" t="s">
        <v>153</v>
      </c>
      <c r="K1711" s="81" t="s">
        <v>2199</v>
      </c>
      <c r="L1711" s="81" t="s">
        <v>58</v>
      </c>
      <c r="M1711" s="164">
        <v>4.53592</v>
      </c>
      <c r="N1711" s="165"/>
      <c r="O1711" s="163"/>
      <c r="P1711" s="82">
        <v>400</v>
      </c>
      <c r="Q1711" s="164">
        <v>0</v>
      </c>
      <c r="R1711" s="163"/>
      <c r="S1711" s="81" t="s">
        <v>58</v>
      </c>
      <c r="T1711" s="82">
        <v>0</v>
      </c>
      <c r="U1711" s="82">
        <v>0</v>
      </c>
      <c r="V1711" s="82">
        <v>0</v>
      </c>
      <c r="W1711" s="82">
        <v>0</v>
      </c>
      <c r="X1711" s="81"/>
      <c r="Y1711" s="81"/>
      <c r="Z1711" s="81" t="s">
        <v>58</v>
      </c>
      <c r="AA1711" s="81" t="s">
        <v>58</v>
      </c>
      <c r="AB1711" s="81" t="s">
        <v>58</v>
      </c>
      <c r="AC1711" s="83">
        <v>46146</v>
      </c>
    </row>
    <row r="1712" spans="2:29" ht="23" x14ac:dyDescent="0.35">
      <c r="B1712" s="81" t="s">
        <v>338</v>
      </c>
      <c r="C1712" s="81" t="s">
        <v>339</v>
      </c>
      <c r="D1712" s="81" t="s">
        <v>340</v>
      </c>
      <c r="E1712" s="81" t="s">
        <v>341</v>
      </c>
      <c r="F1712" s="162" t="s">
        <v>342</v>
      </c>
      <c r="G1712" s="163"/>
      <c r="H1712" s="81" t="s">
        <v>2196</v>
      </c>
      <c r="I1712" s="81" t="s">
        <v>1928</v>
      </c>
      <c r="J1712" s="81" t="s">
        <v>153</v>
      </c>
      <c r="K1712" s="81" t="s">
        <v>2200</v>
      </c>
      <c r="L1712" s="81" t="s">
        <v>58</v>
      </c>
      <c r="M1712" s="164">
        <v>4.53592</v>
      </c>
      <c r="N1712" s="165"/>
      <c r="O1712" s="163"/>
      <c r="P1712" s="82">
        <v>400</v>
      </c>
      <c r="Q1712" s="164">
        <v>0</v>
      </c>
      <c r="R1712" s="163"/>
      <c r="S1712" s="81" t="s">
        <v>58</v>
      </c>
      <c r="T1712" s="82">
        <v>0</v>
      </c>
      <c r="U1712" s="82">
        <v>0</v>
      </c>
      <c r="V1712" s="82">
        <v>0</v>
      </c>
      <c r="W1712" s="82">
        <v>0</v>
      </c>
      <c r="X1712" s="81"/>
      <c r="Y1712" s="81"/>
      <c r="Z1712" s="81" t="s">
        <v>58</v>
      </c>
      <c r="AA1712" s="81" t="s">
        <v>58</v>
      </c>
      <c r="AB1712" s="81" t="s">
        <v>58</v>
      </c>
      <c r="AC1712" s="83">
        <v>46146</v>
      </c>
    </row>
    <row r="1713" spans="2:29" ht="23" x14ac:dyDescent="0.35">
      <c r="B1713" s="81" t="s">
        <v>338</v>
      </c>
      <c r="C1713" s="81" t="s">
        <v>339</v>
      </c>
      <c r="D1713" s="81" t="s">
        <v>340</v>
      </c>
      <c r="E1713" s="81" t="s">
        <v>341</v>
      </c>
      <c r="F1713" s="162" t="s">
        <v>342</v>
      </c>
      <c r="G1713" s="163"/>
      <c r="H1713" s="81" t="s">
        <v>2196</v>
      </c>
      <c r="I1713" s="81" t="s">
        <v>1928</v>
      </c>
      <c r="J1713" s="81" t="s">
        <v>153</v>
      </c>
      <c r="K1713" s="81" t="s">
        <v>2201</v>
      </c>
      <c r="L1713" s="81" t="s">
        <v>58</v>
      </c>
      <c r="M1713" s="164">
        <v>4.53592</v>
      </c>
      <c r="N1713" s="165"/>
      <c r="O1713" s="163"/>
      <c r="P1713" s="82">
        <v>400</v>
      </c>
      <c r="Q1713" s="164">
        <v>0</v>
      </c>
      <c r="R1713" s="163"/>
      <c r="S1713" s="81" t="s">
        <v>58</v>
      </c>
      <c r="T1713" s="82">
        <v>0</v>
      </c>
      <c r="U1713" s="82">
        <v>0</v>
      </c>
      <c r="V1713" s="82">
        <v>0</v>
      </c>
      <c r="W1713" s="82">
        <v>0</v>
      </c>
      <c r="X1713" s="81"/>
      <c r="Y1713" s="81"/>
      <c r="Z1713" s="81" t="s">
        <v>58</v>
      </c>
      <c r="AA1713" s="81" t="s">
        <v>58</v>
      </c>
      <c r="AB1713" s="81" t="s">
        <v>58</v>
      </c>
      <c r="AC1713" s="83">
        <v>46146</v>
      </c>
    </row>
    <row r="1714" spans="2:29" ht="23" x14ac:dyDescent="0.35">
      <c r="B1714" s="81" t="s">
        <v>338</v>
      </c>
      <c r="C1714" s="81" t="s">
        <v>339</v>
      </c>
      <c r="D1714" s="81" t="s">
        <v>340</v>
      </c>
      <c r="E1714" s="81" t="s">
        <v>341</v>
      </c>
      <c r="F1714" s="162" t="s">
        <v>342</v>
      </c>
      <c r="G1714" s="163"/>
      <c r="H1714" s="81" t="s">
        <v>2196</v>
      </c>
      <c r="I1714" s="81" t="s">
        <v>1928</v>
      </c>
      <c r="J1714" s="81" t="s">
        <v>153</v>
      </c>
      <c r="K1714" s="81" t="s">
        <v>2202</v>
      </c>
      <c r="L1714" s="81" t="s">
        <v>58</v>
      </c>
      <c r="M1714" s="164">
        <v>4.9214732000000003</v>
      </c>
      <c r="N1714" s="165"/>
      <c r="O1714" s="163"/>
      <c r="P1714" s="82">
        <v>434</v>
      </c>
      <c r="Q1714" s="164">
        <v>0</v>
      </c>
      <c r="R1714" s="163"/>
      <c r="S1714" s="81" t="s">
        <v>58</v>
      </c>
      <c r="T1714" s="82">
        <v>0</v>
      </c>
      <c r="U1714" s="82">
        <v>0</v>
      </c>
      <c r="V1714" s="82">
        <v>0</v>
      </c>
      <c r="W1714" s="82">
        <v>0</v>
      </c>
      <c r="X1714" s="81"/>
      <c r="Y1714" s="81"/>
      <c r="Z1714" s="81" t="s">
        <v>58</v>
      </c>
      <c r="AA1714" s="81" t="s">
        <v>58</v>
      </c>
      <c r="AB1714" s="81" t="s">
        <v>58</v>
      </c>
      <c r="AC1714" s="83">
        <v>46146</v>
      </c>
    </row>
    <row r="1715" spans="2:29" ht="23" x14ac:dyDescent="0.35">
      <c r="B1715" s="81" t="s">
        <v>338</v>
      </c>
      <c r="C1715" s="81" t="s">
        <v>339</v>
      </c>
      <c r="D1715" s="81" t="s">
        <v>340</v>
      </c>
      <c r="E1715" s="81" t="s">
        <v>341</v>
      </c>
      <c r="F1715" s="162" t="s">
        <v>342</v>
      </c>
      <c r="G1715" s="163"/>
      <c r="H1715" s="81" t="s">
        <v>2196</v>
      </c>
      <c r="I1715" s="81" t="s">
        <v>1928</v>
      </c>
      <c r="J1715" s="81" t="s">
        <v>153</v>
      </c>
      <c r="K1715" s="81" t="s">
        <v>2203</v>
      </c>
      <c r="L1715" s="81" t="s">
        <v>58</v>
      </c>
      <c r="M1715" s="164">
        <v>4.6493180000000001</v>
      </c>
      <c r="N1715" s="165"/>
      <c r="O1715" s="163"/>
      <c r="P1715" s="82">
        <v>400</v>
      </c>
      <c r="Q1715" s="164">
        <v>0</v>
      </c>
      <c r="R1715" s="163"/>
      <c r="S1715" s="81" t="s">
        <v>58</v>
      </c>
      <c r="T1715" s="82">
        <v>0</v>
      </c>
      <c r="U1715" s="82">
        <v>0</v>
      </c>
      <c r="V1715" s="82">
        <v>0</v>
      </c>
      <c r="W1715" s="82">
        <v>0</v>
      </c>
      <c r="X1715" s="81"/>
      <c r="Y1715" s="81"/>
      <c r="Z1715" s="81" t="s">
        <v>58</v>
      </c>
      <c r="AA1715" s="81" t="s">
        <v>58</v>
      </c>
      <c r="AB1715" s="81" t="s">
        <v>58</v>
      </c>
      <c r="AC1715" s="83">
        <v>46146</v>
      </c>
    </row>
    <row r="1716" spans="2:29" ht="23" x14ac:dyDescent="0.35">
      <c r="B1716" s="81" t="s">
        <v>338</v>
      </c>
      <c r="C1716" s="81" t="s">
        <v>339</v>
      </c>
      <c r="D1716" s="81" t="s">
        <v>340</v>
      </c>
      <c r="E1716" s="81" t="s">
        <v>341</v>
      </c>
      <c r="F1716" s="162" t="s">
        <v>342</v>
      </c>
      <c r="G1716" s="163"/>
      <c r="H1716" s="81" t="s">
        <v>2196</v>
      </c>
      <c r="I1716" s="81" t="s">
        <v>1928</v>
      </c>
      <c r="J1716" s="81" t="s">
        <v>153</v>
      </c>
      <c r="K1716" s="81" t="s">
        <v>2204</v>
      </c>
      <c r="L1716" s="81" t="s">
        <v>58</v>
      </c>
      <c r="M1716" s="164">
        <v>4.6493180000000001</v>
      </c>
      <c r="N1716" s="165"/>
      <c r="O1716" s="163"/>
      <c r="P1716" s="82">
        <v>400</v>
      </c>
      <c r="Q1716" s="164">
        <v>0</v>
      </c>
      <c r="R1716" s="163"/>
      <c r="S1716" s="81" t="s">
        <v>58</v>
      </c>
      <c r="T1716" s="82">
        <v>0</v>
      </c>
      <c r="U1716" s="82">
        <v>0</v>
      </c>
      <c r="V1716" s="82">
        <v>0</v>
      </c>
      <c r="W1716" s="82">
        <v>0</v>
      </c>
      <c r="X1716" s="81"/>
      <c r="Y1716" s="81"/>
      <c r="Z1716" s="81" t="s">
        <v>58</v>
      </c>
      <c r="AA1716" s="81" t="s">
        <v>58</v>
      </c>
      <c r="AB1716" s="81" t="s">
        <v>58</v>
      </c>
      <c r="AC1716" s="83">
        <v>46146</v>
      </c>
    </row>
    <row r="1717" spans="2:29" ht="23" x14ac:dyDescent="0.35">
      <c r="B1717" s="81" t="s">
        <v>338</v>
      </c>
      <c r="C1717" s="81" t="s">
        <v>339</v>
      </c>
      <c r="D1717" s="81" t="s">
        <v>340</v>
      </c>
      <c r="E1717" s="81" t="s">
        <v>341</v>
      </c>
      <c r="F1717" s="162" t="s">
        <v>342</v>
      </c>
      <c r="G1717" s="163"/>
      <c r="H1717" s="81" t="s">
        <v>2196</v>
      </c>
      <c r="I1717" s="81" t="s">
        <v>1928</v>
      </c>
      <c r="J1717" s="81" t="s">
        <v>153</v>
      </c>
      <c r="K1717" s="81" t="s">
        <v>2205</v>
      </c>
      <c r="L1717" s="81" t="s">
        <v>58</v>
      </c>
      <c r="M1717" s="164">
        <v>4.6493180000000001</v>
      </c>
      <c r="N1717" s="165"/>
      <c r="O1717" s="163"/>
      <c r="P1717" s="82">
        <v>400</v>
      </c>
      <c r="Q1717" s="164">
        <v>0</v>
      </c>
      <c r="R1717" s="163"/>
      <c r="S1717" s="81" t="s">
        <v>58</v>
      </c>
      <c r="T1717" s="82">
        <v>0</v>
      </c>
      <c r="U1717" s="82">
        <v>0</v>
      </c>
      <c r="V1717" s="82">
        <v>0</v>
      </c>
      <c r="W1717" s="82">
        <v>0</v>
      </c>
      <c r="X1717" s="81"/>
      <c r="Y1717" s="81"/>
      <c r="Z1717" s="81" t="s">
        <v>58</v>
      </c>
      <c r="AA1717" s="81" t="s">
        <v>58</v>
      </c>
      <c r="AB1717" s="81" t="s">
        <v>58</v>
      </c>
      <c r="AC1717" s="83">
        <v>46146</v>
      </c>
    </row>
    <row r="1718" spans="2:29" ht="23" x14ac:dyDescent="0.35">
      <c r="B1718" s="81" t="s">
        <v>338</v>
      </c>
      <c r="C1718" s="81" t="s">
        <v>339</v>
      </c>
      <c r="D1718" s="81" t="s">
        <v>340</v>
      </c>
      <c r="E1718" s="81" t="s">
        <v>341</v>
      </c>
      <c r="F1718" s="162" t="s">
        <v>342</v>
      </c>
      <c r="G1718" s="163"/>
      <c r="H1718" s="81" t="s">
        <v>2196</v>
      </c>
      <c r="I1718" s="81" t="s">
        <v>1928</v>
      </c>
      <c r="J1718" s="81" t="s">
        <v>153</v>
      </c>
      <c r="K1718" s="81" t="s">
        <v>2206</v>
      </c>
      <c r="L1718" s="81" t="s">
        <v>58</v>
      </c>
      <c r="M1718" s="164">
        <v>4.6493180000000001</v>
      </c>
      <c r="N1718" s="165"/>
      <c r="O1718" s="163"/>
      <c r="P1718" s="82">
        <v>400</v>
      </c>
      <c r="Q1718" s="164">
        <v>0</v>
      </c>
      <c r="R1718" s="163"/>
      <c r="S1718" s="81" t="s">
        <v>58</v>
      </c>
      <c r="T1718" s="82">
        <v>0</v>
      </c>
      <c r="U1718" s="82">
        <v>0</v>
      </c>
      <c r="V1718" s="82">
        <v>0</v>
      </c>
      <c r="W1718" s="82">
        <v>0</v>
      </c>
      <c r="X1718" s="81"/>
      <c r="Y1718" s="81"/>
      <c r="Z1718" s="81" t="s">
        <v>58</v>
      </c>
      <c r="AA1718" s="81" t="s">
        <v>58</v>
      </c>
      <c r="AB1718" s="81" t="s">
        <v>58</v>
      </c>
      <c r="AC1718" s="83">
        <v>46146</v>
      </c>
    </row>
    <row r="1719" spans="2:29" ht="23" x14ac:dyDescent="0.35">
      <c r="B1719" s="81" t="s">
        <v>338</v>
      </c>
      <c r="C1719" s="81" t="s">
        <v>339</v>
      </c>
      <c r="D1719" s="81" t="s">
        <v>340</v>
      </c>
      <c r="E1719" s="81" t="s">
        <v>341</v>
      </c>
      <c r="F1719" s="162" t="s">
        <v>342</v>
      </c>
      <c r="G1719" s="163"/>
      <c r="H1719" s="81" t="s">
        <v>2196</v>
      </c>
      <c r="I1719" s="81" t="s">
        <v>1928</v>
      </c>
      <c r="J1719" s="81" t="s">
        <v>153</v>
      </c>
      <c r="K1719" s="81" t="s">
        <v>2207</v>
      </c>
      <c r="L1719" s="81" t="s">
        <v>58</v>
      </c>
      <c r="M1719" s="164">
        <v>5.3699622900000001</v>
      </c>
      <c r="N1719" s="165"/>
      <c r="O1719" s="163"/>
      <c r="P1719" s="82">
        <v>462</v>
      </c>
      <c r="Q1719" s="164">
        <v>0</v>
      </c>
      <c r="R1719" s="163"/>
      <c r="S1719" s="81" t="s">
        <v>58</v>
      </c>
      <c r="T1719" s="82">
        <v>0</v>
      </c>
      <c r="U1719" s="82">
        <v>0</v>
      </c>
      <c r="V1719" s="82">
        <v>0</v>
      </c>
      <c r="W1719" s="82">
        <v>0</v>
      </c>
      <c r="X1719" s="81"/>
      <c r="Y1719" s="81"/>
      <c r="Z1719" s="81" t="s">
        <v>58</v>
      </c>
      <c r="AA1719" s="81" t="s">
        <v>58</v>
      </c>
      <c r="AB1719" s="81" t="s">
        <v>58</v>
      </c>
      <c r="AC1719" s="83">
        <v>46146</v>
      </c>
    </row>
    <row r="1720" spans="2:29" ht="23" x14ac:dyDescent="0.35">
      <c r="B1720" s="81" t="s">
        <v>338</v>
      </c>
      <c r="C1720" s="81" t="s">
        <v>339</v>
      </c>
      <c r="D1720" s="81" t="s">
        <v>340</v>
      </c>
      <c r="E1720" s="81" t="s">
        <v>341</v>
      </c>
      <c r="F1720" s="162" t="s">
        <v>342</v>
      </c>
      <c r="G1720" s="163"/>
      <c r="H1720" s="81" t="s">
        <v>2196</v>
      </c>
      <c r="I1720" s="81" t="s">
        <v>1928</v>
      </c>
      <c r="J1720" s="81" t="s">
        <v>153</v>
      </c>
      <c r="K1720" s="81" t="s">
        <v>2208</v>
      </c>
      <c r="L1720" s="81" t="s">
        <v>58</v>
      </c>
      <c r="M1720" s="164">
        <v>4.7627160000000002</v>
      </c>
      <c r="N1720" s="165"/>
      <c r="O1720" s="163"/>
      <c r="P1720" s="82">
        <v>400</v>
      </c>
      <c r="Q1720" s="164">
        <v>0</v>
      </c>
      <c r="R1720" s="163"/>
      <c r="S1720" s="81" t="s">
        <v>58</v>
      </c>
      <c r="T1720" s="82">
        <v>0</v>
      </c>
      <c r="U1720" s="82">
        <v>0</v>
      </c>
      <c r="V1720" s="82">
        <v>0</v>
      </c>
      <c r="W1720" s="82">
        <v>0</v>
      </c>
      <c r="X1720" s="81"/>
      <c r="Y1720" s="81"/>
      <c r="Z1720" s="81" t="s">
        <v>58</v>
      </c>
      <c r="AA1720" s="81" t="s">
        <v>58</v>
      </c>
      <c r="AB1720" s="81" t="s">
        <v>58</v>
      </c>
      <c r="AC1720" s="83">
        <v>46146</v>
      </c>
    </row>
    <row r="1721" spans="2:29" ht="23" x14ac:dyDescent="0.35">
      <c r="B1721" s="81" t="s">
        <v>338</v>
      </c>
      <c r="C1721" s="81" t="s">
        <v>339</v>
      </c>
      <c r="D1721" s="81" t="s">
        <v>340</v>
      </c>
      <c r="E1721" s="81" t="s">
        <v>341</v>
      </c>
      <c r="F1721" s="162" t="s">
        <v>342</v>
      </c>
      <c r="G1721" s="163"/>
      <c r="H1721" s="81" t="s">
        <v>2196</v>
      </c>
      <c r="I1721" s="81" t="s">
        <v>1928</v>
      </c>
      <c r="J1721" s="81" t="s">
        <v>153</v>
      </c>
      <c r="K1721" s="81" t="s">
        <v>2209</v>
      </c>
      <c r="L1721" s="81" t="s">
        <v>58</v>
      </c>
      <c r="M1721" s="164">
        <v>4.7627160000000002</v>
      </c>
      <c r="N1721" s="165"/>
      <c r="O1721" s="163"/>
      <c r="P1721" s="82">
        <v>400</v>
      </c>
      <c r="Q1721" s="164">
        <v>0</v>
      </c>
      <c r="R1721" s="163"/>
      <c r="S1721" s="81" t="s">
        <v>58</v>
      </c>
      <c r="T1721" s="82">
        <v>0</v>
      </c>
      <c r="U1721" s="82">
        <v>0</v>
      </c>
      <c r="V1721" s="82">
        <v>0</v>
      </c>
      <c r="W1721" s="82">
        <v>0</v>
      </c>
      <c r="X1721" s="81"/>
      <c r="Y1721" s="81"/>
      <c r="Z1721" s="81" t="s">
        <v>58</v>
      </c>
      <c r="AA1721" s="81" t="s">
        <v>58</v>
      </c>
      <c r="AB1721" s="81" t="s">
        <v>58</v>
      </c>
      <c r="AC1721" s="83">
        <v>46146</v>
      </c>
    </row>
    <row r="1722" spans="2:29" ht="23" x14ac:dyDescent="0.35">
      <c r="B1722" s="81" t="s">
        <v>338</v>
      </c>
      <c r="C1722" s="81" t="s">
        <v>339</v>
      </c>
      <c r="D1722" s="81" t="s">
        <v>340</v>
      </c>
      <c r="E1722" s="81" t="s">
        <v>341</v>
      </c>
      <c r="F1722" s="162" t="s">
        <v>342</v>
      </c>
      <c r="G1722" s="163"/>
      <c r="H1722" s="81" t="s">
        <v>2196</v>
      </c>
      <c r="I1722" s="81" t="s">
        <v>1928</v>
      </c>
      <c r="J1722" s="81" t="s">
        <v>153</v>
      </c>
      <c r="K1722" s="81" t="s">
        <v>2210</v>
      </c>
      <c r="L1722" s="81" t="s">
        <v>58</v>
      </c>
      <c r="M1722" s="164">
        <v>4.7627160000000002</v>
      </c>
      <c r="N1722" s="165"/>
      <c r="O1722" s="163"/>
      <c r="P1722" s="82">
        <v>400</v>
      </c>
      <c r="Q1722" s="164">
        <v>0</v>
      </c>
      <c r="R1722" s="163"/>
      <c r="S1722" s="81" t="s">
        <v>58</v>
      </c>
      <c r="T1722" s="82">
        <v>0</v>
      </c>
      <c r="U1722" s="82">
        <v>0</v>
      </c>
      <c r="V1722" s="82">
        <v>0</v>
      </c>
      <c r="W1722" s="82">
        <v>0</v>
      </c>
      <c r="X1722" s="81"/>
      <c r="Y1722" s="81"/>
      <c r="Z1722" s="81" t="s">
        <v>58</v>
      </c>
      <c r="AA1722" s="81" t="s">
        <v>58</v>
      </c>
      <c r="AB1722" s="81" t="s">
        <v>58</v>
      </c>
      <c r="AC1722" s="83">
        <v>46146</v>
      </c>
    </row>
    <row r="1723" spans="2:29" ht="23" x14ac:dyDescent="0.35">
      <c r="B1723" s="81" t="s">
        <v>338</v>
      </c>
      <c r="C1723" s="81" t="s">
        <v>339</v>
      </c>
      <c r="D1723" s="81" t="s">
        <v>340</v>
      </c>
      <c r="E1723" s="81" t="s">
        <v>341</v>
      </c>
      <c r="F1723" s="162" t="s">
        <v>342</v>
      </c>
      <c r="G1723" s="163"/>
      <c r="H1723" s="81" t="s">
        <v>2196</v>
      </c>
      <c r="I1723" s="81" t="s">
        <v>1928</v>
      </c>
      <c r="J1723" s="81" t="s">
        <v>153</v>
      </c>
      <c r="K1723" s="81" t="s">
        <v>2211</v>
      </c>
      <c r="L1723" s="81" t="s">
        <v>58</v>
      </c>
      <c r="M1723" s="164">
        <v>4.5245801999999999</v>
      </c>
      <c r="N1723" s="165"/>
      <c r="O1723" s="163"/>
      <c r="P1723" s="82">
        <v>380</v>
      </c>
      <c r="Q1723" s="164">
        <v>0</v>
      </c>
      <c r="R1723" s="163"/>
      <c r="S1723" s="81" t="s">
        <v>58</v>
      </c>
      <c r="T1723" s="82">
        <v>0</v>
      </c>
      <c r="U1723" s="82">
        <v>0</v>
      </c>
      <c r="V1723" s="82">
        <v>0</v>
      </c>
      <c r="W1723" s="82">
        <v>0</v>
      </c>
      <c r="X1723" s="81"/>
      <c r="Y1723" s="81"/>
      <c r="Z1723" s="81" t="s">
        <v>58</v>
      </c>
      <c r="AA1723" s="81" t="s">
        <v>58</v>
      </c>
      <c r="AB1723" s="81" t="s">
        <v>58</v>
      </c>
      <c r="AC1723" s="83">
        <v>46146</v>
      </c>
    </row>
    <row r="1724" spans="2:29" ht="23" x14ac:dyDescent="0.35">
      <c r="B1724" s="81" t="s">
        <v>338</v>
      </c>
      <c r="C1724" s="81" t="s">
        <v>339</v>
      </c>
      <c r="D1724" s="81" t="s">
        <v>340</v>
      </c>
      <c r="E1724" s="81" t="s">
        <v>341</v>
      </c>
      <c r="F1724" s="162" t="s">
        <v>342</v>
      </c>
      <c r="G1724" s="163"/>
      <c r="H1724" s="81" t="s">
        <v>2196</v>
      </c>
      <c r="I1724" s="81" t="s">
        <v>1928</v>
      </c>
      <c r="J1724" s="81" t="s">
        <v>153</v>
      </c>
      <c r="K1724" s="81" t="s">
        <v>2212</v>
      </c>
      <c r="L1724" s="81" t="s">
        <v>58</v>
      </c>
      <c r="M1724" s="164">
        <v>4.8761140000000003</v>
      </c>
      <c r="N1724" s="165"/>
      <c r="O1724" s="163"/>
      <c r="P1724" s="82">
        <v>400</v>
      </c>
      <c r="Q1724" s="164">
        <v>0</v>
      </c>
      <c r="R1724" s="163"/>
      <c r="S1724" s="81" t="s">
        <v>58</v>
      </c>
      <c r="T1724" s="82">
        <v>0</v>
      </c>
      <c r="U1724" s="82">
        <v>0</v>
      </c>
      <c r="V1724" s="82">
        <v>0</v>
      </c>
      <c r="W1724" s="82">
        <v>0</v>
      </c>
      <c r="X1724" s="81"/>
      <c r="Y1724" s="81"/>
      <c r="Z1724" s="81" t="s">
        <v>58</v>
      </c>
      <c r="AA1724" s="81" t="s">
        <v>58</v>
      </c>
      <c r="AB1724" s="81" t="s">
        <v>58</v>
      </c>
      <c r="AC1724" s="83">
        <v>46146</v>
      </c>
    </row>
    <row r="1725" spans="2:29" ht="23" x14ac:dyDescent="0.35">
      <c r="B1725" s="81" t="s">
        <v>338</v>
      </c>
      <c r="C1725" s="81" t="s">
        <v>339</v>
      </c>
      <c r="D1725" s="81" t="s">
        <v>340</v>
      </c>
      <c r="E1725" s="81" t="s">
        <v>341</v>
      </c>
      <c r="F1725" s="162" t="s">
        <v>342</v>
      </c>
      <c r="G1725" s="163"/>
      <c r="H1725" s="81" t="s">
        <v>2196</v>
      </c>
      <c r="I1725" s="81" t="s">
        <v>1928</v>
      </c>
      <c r="J1725" s="81" t="s">
        <v>153</v>
      </c>
      <c r="K1725" s="81" t="s">
        <v>2213</v>
      </c>
      <c r="L1725" s="81" t="s">
        <v>58</v>
      </c>
      <c r="M1725" s="164">
        <v>4.8761140000000003</v>
      </c>
      <c r="N1725" s="165"/>
      <c r="O1725" s="163"/>
      <c r="P1725" s="82">
        <v>400</v>
      </c>
      <c r="Q1725" s="164">
        <v>0</v>
      </c>
      <c r="R1725" s="163"/>
      <c r="S1725" s="81" t="s">
        <v>58</v>
      </c>
      <c r="T1725" s="82">
        <v>0</v>
      </c>
      <c r="U1725" s="82">
        <v>0</v>
      </c>
      <c r="V1725" s="82">
        <v>0</v>
      </c>
      <c r="W1725" s="82">
        <v>0</v>
      </c>
      <c r="X1725" s="81"/>
      <c r="Y1725" s="81"/>
      <c r="Z1725" s="81" t="s">
        <v>58</v>
      </c>
      <c r="AA1725" s="81" t="s">
        <v>58</v>
      </c>
      <c r="AB1725" s="81" t="s">
        <v>58</v>
      </c>
      <c r="AC1725" s="83">
        <v>46146</v>
      </c>
    </row>
    <row r="1726" spans="2:29" ht="23" x14ac:dyDescent="0.35">
      <c r="B1726" s="81" t="s">
        <v>338</v>
      </c>
      <c r="C1726" s="81" t="s">
        <v>339</v>
      </c>
      <c r="D1726" s="81" t="s">
        <v>340</v>
      </c>
      <c r="E1726" s="81" t="s">
        <v>341</v>
      </c>
      <c r="F1726" s="162" t="s">
        <v>342</v>
      </c>
      <c r="G1726" s="163"/>
      <c r="H1726" s="81" t="s">
        <v>2196</v>
      </c>
      <c r="I1726" s="81" t="s">
        <v>1928</v>
      </c>
      <c r="J1726" s="81" t="s">
        <v>153</v>
      </c>
      <c r="K1726" s="81" t="s">
        <v>2214</v>
      </c>
      <c r="L1726" s="81" t="s">
        <v>58</v>
      </c>
      <c r="M1726" s="164">
        <v>2.82814612</v>
      </c>
      <c r="N1726" s="165"/>
      <c r="O1726" s="163"/>
      <c r="P1726" s="82">
        <v>232</v>
      </c>
      <c r="Q1726" s="164">
        <v>0</v>
      </c>
      <c r="R1726" s="163"/>
      <c r="S1726" s="81" t="s">
        <v>58</v>
      </c>
      <c r="T1726" s="82">
        <v>0</v>
      </c>
      <c r="U1726" s="82">
        <v>0</v>
      </c>
      <c r="V1726" s="82">
        <v>0</v>
      </c>
      <c r="W1726" s="82">
        <v>0</v>
      </c>
      <c r="X1726" s="81"/>
      <c r="Y1726" s="81"/>
      <c r="Z1726" s="81" t="s">
        <v>58</v>
      </c>
      <c r="AA1726" s="81" t="s">
        <v>58</v>
      </c>
      <c r="AB1726" s="81" t="s">
        <v>58</v>
      </c>
      <c r="AC1726" s="83">
        <v>46146</v>
      </c>
    </row>
    <row r="1727" spans="2:29" ht="23" x14ac:dyDescent="0.35">
      <c r="B1727" s="81" t="s">
        <v>338</v>
      </c>
      <c r="C1727" s="81" t="s">
        <v>339</v>
      </c>
      <c r="D1727" s="81" t="s">
        <v>340</v>
      </c>
      <c r="E1727" s="81" t="s">
        <v>341</v>
      </c>
      <c r="F1727" s="162" t="s">
        <v>342</v>
      </c>
      <c r="G1727" s="163"/>
      <c r="H1727" s="81" t="s">
        <v>2196</v>
      </c>
      <c r="I1727" s="81" t="s">
        <v>1928</v>
      </c>
      <c r="J1727" s="81" t="s">
        <v>153</v>
      </c>
      <c r="K1727" s="81" t="s">
        <v>2215</v>
      </c>
      <c r="L1727" s="81" t="s">
        <v>58</v>
      </c>
      <c r="M1727" s="164">
        <v>5.5384717180000003</v>
      </c>
      <c r="N1727" s="165"/>
      <c r="O1727" s="163"/>
      <c r="P1727" s="82">
        <v>442</v>
      </c>
      <c r="Q1727" s="164">
        <v>0</v>
      </c>
      <c r="R1727" s="163"/>
      <c r="S1727" s="81" t="s">
        <v>58</v>
      </c>
      <c r="T1727" s="82">
        <v>0</v>
      </c>
      <c r="U1727" s="82">
        <v>0</v>
      </c>
      <c r="V1727" s="82">
        <v>0</v>
      </c>
      <c r="W1727" s="82">
        <v>0</v>
      </c>
      <c r="X1727" s="81"/>
      <c r="Y1727" s="81"/>
      <c r="Z1727" s="81" t="s">
        <v>58</v>
      </c>
      <c r="AA1727" s="81" t="s">
        <v>58</v>
      </c>
      <c r="AB1727" s="81" t="s">
        <v>58</v>
      </c>
      <c r="AC1727" s="83">
        <v>46146</v>
      </c>
    </row>
    <row r="1728" spans="2:29" ht="23" x14ac:dyDescent="0.35">
      <c r="B1728" s="81" t="s">
        <v>338</v>
      </c>
      <c r="C1728" s="81" t="s">
        <v>339</v>
      </c>
      <c r="D1728" s="81" t="s">
        <v>340</v>
      </c>
      <c r="E1728" s="81" t="s">
        <v>363</v>
      </c>
      <c r="F1728" s="162" t="s">
        <v>364</v>
      </c>
      <c r="G1728" s="163"/>
      <c r="H1728" s="81" t="s">
        <v>2216</v>
      </c>
      <c r="I1728" s="81" t="s">
        <v>1436</v>
      </c>
      <c r="J1728" s="81" t="s">
        <v>154</v>
      </c>
      <c r="K1728" s="81" t="s">
        <v>2217</v>
      </c>
      <c r="L1728" s="81" t="s">
        <v>58</v>
      </c>
      <c r="M1728" s="164">
        <v>5.4431039999999999</v>
      </c>
      <c r="N1728" s="165"/>
      <c r="O1728" s="163"/>
      <c r="P1728" s="82">
        <v>200</v>
      </c>
      <c r="Q1728" s="164">
        <v>0</v>
      </c>
      <c r="R1728" s="163"/>
      <c r="S1728" s="81" t="s">
        <v>58</v>
      </c>
      <c r="T1728" s="82">
        <v>0</v>
      </c>
      <c r="U1728" s="82">
        <v>0</v>
      </c>
      <c r="V1728" s="82">
        <v>0</v>
      </c>
      <c r="W1728" s="82">
        <v>0</v>
      </c>
      <c r="X1728" s="81"/>
      <c r="Y1728" s="81"/>
      <c r="Z1728" s="81" t="s">
        <v>58</v>
      </c>
      <c r="AA1728" s="81" t="s">
        <v>58</v>
      </c>
      <c r="AB1728" s="81" t="s">
        <v>58</v>
      </c>
      <c r="AC1728" s="83">
        <v>46153</v>
      </c>
    </row>
    <row r="1729" spans="2:29" ht="23" x14ac:dyDescent="0.35">
      <c r="B1729" s="81" t="s">
        <v>338</v>
      </c>
      <c r="C1729" s="81" t="s">
        <v>339</v>
      </c>
      <c r="D1729" s="81" t="s">
        <v>340</v>
      </c>
      <c r="E1729" s="81" t="s">
        <v>363</v>
      </c>
      <c r="F1729" s="162" t="s">
        <v>364</v>
      </c>
      <c r="G1729" s="163"/>
      <c r="H1729" s="81" t="s">
        <v>2216</v>
      </c>
      <c r="I1729" s="81" t="s">
        <v>1436</v>
      </c>
      <c r="J1729" s="81" t="s">
        <v>154</v>
      </c>
      <c r="K1729" s="81" t="s">
        <v>2218</v>
      </c>
      <c r="L1729" s="81" t="s">
        <v>58</v>
      </c>
      <c r="M1729" s="164">
        <v>2.3677502399999999</v>
      </c>
      <c r="N1729" s="165"/>
      <c r="O1729" s="163"/>
      <c r="P1729" s="82">
        <v>87</v>
      </c>
      <c r="Q1729" s="164">
        <v>0</v>
      </c>
      <c r="R1729" s="163"/>
      <c r="S1729" s="81" t="s">
        <v>58</v>
      </c>
      <c r="T1729" s="82">
        <v>0</v>
      </c>
      <c r="U1729" s="82">
        <v>0</v>
      </c>
      <c r="V1729" s="82">
        <v>0</v>
      </c>
      <c r="W1729" s="82">
        <v>0</v>
      </c>
      <c r="X1729" s="81"/>
      <c r="Y1729" s="81"/>
      <c r="Z1729" s="81" t="s">
        <v>58</v>
      </c>
      <c r="AA1729" s="81" t="s">
        <v>58</v>
      </c>
      <c r="AB1729" s="81" t="s">
        <v>58</v>
      </c>
      <c r="AC1729" s="83">
        <v>46153</v>
      </c>
    </row>
    <row r="1730" spans="2:29" ht="23" x14ac:dyDescent="0.35">
      <c r="B1730" s="81" t="s">
        <v>338</v>
      </c>
      <c r="C1730" s="81" t="s">
        <v>339</v>
      </c>
      <c r="D1730" s="81" t="s">
        <v>340</v>
      </c>
      <c r="E1730" s="81" t="s">
        <v>363</v>
      </c>
      <c r="F1730" s="162" t="s">
        <v>364</v>
      </c>
      <c r="G1730" s="163"/>
      <c r="H1730" s="81" t="s">
        <v>2216</v>
      </c>
      <c r="I1730" s="81" t="s">
        <v>1436</v>
      </c>
      <c r="J1730" s="81" t="s">
        <v>154</v>
      </c>
      <c r="K1730" s="81" t="s">
        <v>2219</v>
      </c>
      <c r="L1730" s="81" t="s">
        <v>58</v>
      </c>
      <c r="M1730" s="164">
        <v>5.6415505000000001</v>
      </c>
      <c r="N1730" s="165"/>
      <c r="O1730" s="163"/>
      <c r="P1730" s="82">
        <v>200</v>
      </c>
      <c r="Q1730" s="164">
        <v>0</v>
      </c>
      <c r="R1730" s="163"/>
      <c r="S1730" s="81" t="s">
        <v>58</v>
      </c>
      <c r="T1730" s="82">
        <v>0</v>
      </c>
      <c r="U1730" s="82">
        <v>0</v>
      </c>
      <c r="V1730" s="82">
        <v>0</v>
      </c>
      <c r="W1730" s="82">
        <v>0</v>
      </c>
      <c r="X1730" s="81"/>
      <c r="Y1730" s="81"/>
      <c r="Z1730" s="81" t="s">
        <v>58</v>
      </c>
      <c r="AA1730" s="81" t="s">
        <v>58</v>
      </c>
      <c r="AB1730" s="81" t="s">
        <v>58</v>
      </c>
      <c r="AC1730" s="83">
        <v>46153</v>
      </c>
    </row>
    <row r="1731" spans="2:29" ht="23" x14ac:dyDescent="0.35">
      <c r="B1731" s="81" t="s">
        <v>338</v>
      </c>
      <c r="C1731" s="81" t="s">
        <v>339</v>
      </c>
      <c r="D1731" s="81" t="s">
        <v>340</v>
      </c>
      <c r="E1731" s="81" t="s">
        <v>363</v>
      </c>
      <c r="F1731" s="162" t="s">
        <v>364</v>
      </c>
      <c r="G1731" s="163"/>
      <c r="H1731" s="81" t="s">
        <v>2216</v>
      </c>
      <c r="I1731" s="81" t="s">
        <v>1436</v>
      </c>
      <c r="J1731" s="81" t="s">
        <v>154</v>
      </c>
      <c r="K1731" s="81" t="s">
        <v>2220</v>
      </c>
      <c r="L1731" s="81" t="s">
        <v>58</v>
      </c>
      <c r="M1731" s="164">
        <v>5.6415505000000001</v>
      </c>
      <c r="N1731" s="165"/>
      <c r="O1731" s="163"/>
      <c r="P1731" s="82">
        <v>200</v>
      </c>
      <c r="Q1731" s="164">
        <v>0</v>
      </c>
      <c r="R1731" s="163"/>
      <c r="S1731" s="81" t="s">
        <v>58</v>
      </c>
      <c r="T1731" s="82">
        <v>0</v>
      </c>
      <c r="U1731" s="82">
        <v>0</v>
      </c>
      <c r="V1731" s="82">
        <v>0</v>
      </c>
      <c r="W1731" s="82">
        <v>0</v>
      </c>
      <c r="X1731" s="81"/>
      <c r="Y1731" s="81"/>
      <c r="Z1731" s="81" t="s">
        <v>58</v>
      </c>
      <c r="AA1731" s="81" t="s">
        <v>58</v>
      </c>
      <c r="AB1731" s="81" t="s">
        <v>58</v>
      </c>
      <c r="AC1731" s="83">
        <v>46153</v>
      </c>
    </row>
    <row r="1732" spans="2:29" ht="23" x14ac:dyDescent="0.35">
      <c r="B1732" s="81" t="s">
        <v>338</v>
      </c>
      <c r="C1732" s="81" t="s">
        <v>339</v>
      </c>
      <c r="D1732" s="81" t="s">
        <v>340</v>
      </c>
      <c r="E1732" s="81" t="s">
        <v>363</v>
      </c>
      <c r="F1732" s="162" t="s">
        <v>364</v>
      </c>
      <c r="G1732" s="163"/>
      <c r="H1732" s="81" t="s">
        <v>2216</v>
      </c>
      <c r="I1732" s="81" t="s">
        <v>1436</v>
      </c>
      <c r="J1732" s="81" t="s">
        <v>154</v>
      </c>
      <c r="K1732" s="81" t="s">
        <v>2221</v>
      </c>
      <c r="L1732" s="81" t="s">
        <v>58</v>
      </c>
      <c r="M1732" s="164">
        <v>5.6415505000000001</v>
      </c>
      <c r="N1732" s="165"/>
      <c r="O1732" s="163"/>
      <c r="P1732" s="82">
        <v>200</v>
      </c>
      <c r="Q1732" s="164">
        <v>0</v>
      </c>
      <c r="R1732" s="163"/>
      <c r="S1732" s="81" t="s">
        <v>58</v>
      </c>
      <c r="T1732" s="82">
        <v>0</v>
      </c>
      <c r="U1732" s="82">
        <v>0</v>
      </c>
      <c r="V1732" s="82">
        <v>0</v>
      </c>
      <c r="W1732" s="82">
        <v>0</v>
      </c>
      <c r="X1732" s="81"/>
      <c r="Y1732" s="81"/>
      <c r="Z1732" s="81" t="s">
        <v>58</v>
      </c>
      <c r="AA1732" s="81" t="s">
        <v>58</v>
      </c>
      <c r="AB1732" s="81" t="s">
        <v>58</v>
      </c>
      <c r="AC1732" s="83">
        <v>46153</v>
      </c>
    </row>
    <row r="1733" spans="2:29" ht="23" x14ac:dyDescent="0.35">
      <c r="B1733" s="81" t="s">
        <v>338</v>
      </c>
      <c r="C1733" s="81" t="s">
        <v>339</v>
      </c>
      <c r="D1733" s="81" t="s">
        <v>340</v>
      </c>
      <c r="E1733" s="81" t="s">
        <v>363</v>
      </c>
      <c r="F1733" s="162" t="s">
        <v>364</v>
      </c>
      <c r="G1733" s="163"/>
      <c r="H1733" s="81" t="s">
        <v>2216</v>
      </c>
      <c r="I1733" s="81" t="s">
        <v>1436</v>
      </c>
      <c r="J1733" s="81" t="s">
        <v>154</v>
      </c>
      <c r="K1733" s="81" t="s">
        <v>2222</v>
      </c>
      <c r="L1733" s="81" t="s">
        <v>58</v>
      </c>
      <c r="M1733" s="164">
        <v>5.6415505000000001</v>
      </c>
      <c r="N1733" s="165"/>
      <c r="O1733" s="163"/>
      <c r="P1733" s="82">
        <v>200</v>
      </c>
      <c r="Q1733" s="164">
        <v>0</v>
      </c>
      <c r="R1733" s="163"/>
      <c r="S1733" s="81" t="s">
        <v>58</v>
      </c>
      <c r="T1733" s="82">
        <v>0</v>
      </c>
      <c r="U1733" s="82">
        <v>0</v>
      </c>
      <c r="V1733" s="82">
        <v>0</v>
      </c>
      <c r="W1733" s="82">
        <v>0</v>
      </c>
      <c r="X1733" s="81"/>
      <c r="Y1733" s="81"/>
      <c r="Z1733" s="81" t="s">
        <v>58</v>
      </c>
      <c r="AA1733" s="81" t="s">
        <v>58</v>
      </c>
      <c r="AB1733" s="81" t="s">
        <v>58</v>
      </c>
      <c r="AC1733" s="83">
        <v>46153</v>
      </c>
    </row>
    <row r="1734" spans="2:29" ht="23" x14ac:dyDescent="0.35">
      <c r="B1734" s="81" t="s">
        <v>338</v>
      </c>
      <c r="C1734" s="81" t="s">
        <v>339</v>
      </c>
      <c r="D1734" s="81" t="s">
        <v>340</v>
      </c>
      <c r="E1734" s="81" t="s">
        <v>363</v>
      </c>
      <c r="F1734" s="162" t="s">
        <v>364</v>
      </c>
      <c r="G1734" s="163"/>
      <c r="H1734" s="81" t="s">
        <v>2216</v>
      </c>
      <c r="I1734" s="81" t="s">
        <v>1436</v>
      </c>
      <c r="J1734" s="81" t="s">
        <v>154</v>
      </c>
      <c r="K1734" s="81" t="s">
        <v>2223</v>
      </c>
      <c r="L1734" s="81" t="s">
        <v>58</v>
      </c>
      <c r="M1734" s="164">
        <v>4.2593706275000001</v>
      </c>
      <c r="N1734" s="165"/>
      <c r="O1734" s="163"/>
      <c r="P1734" s="82">
        <v>151</v>
      </c>
      <c r="Q1734" s="164">
        <v>0</v>
      </c>
      <c r="R1734" s="163"/>
      <c r="S1734" s="81" t="s">
        <v>58</v>
      </c>
      <c r="T1734" s="82">
        <v>0</v>
      </c>
      <c r="U1734" s="82">
        <v>0</v>
      </c>
      <c r="V1734" s="82">
        <v>0</v>
      </c>
      <c r="W1734" s="82">
        <v>0</v>
      </c>
      <c r="X1734" s="81"/>
      <c r="Y1734" s="81"/>
      <c r="Z1734" s="81" t="s">
        <v>58</v>
      </c>
      <c r="AA1734" s="81" t="s">
        <v>58</v>
      </c>
      <c r="AB1734" s="81" t="s">
        <v>58</v>
      </c>
      <c r="AC1734" s="83">
        <v>46153</v>
      </c>
    </row>
    <row r="1735" spans="2:29" ht="23" x14ac:dyDescent="0.35">
      <c r="B1735" s="81" t="s">
        <v>338</v>
      </c>
      <c r="C1735" s="81" t="s">
        <v>339</v>
      </c>
      <c r="D1735" s="81" t="s">
        <v>340</v>
      </c>
      <c r="E1735" s="81" t="s">
        <v>363</v>
      </c>
      <c r="F1735" s="162" t="s">
        <v>364</v>
      </c>
      <c r="G1735" s="163"/>
      <c r="H1735" s="81" t="s">
        <v>2216</v>
      </c>
      <c r="I1735" s="81" t="s">
        <v>1436</v>
      </c>
      <c r="J1735" s="81" t="s">
        <v>154</v>
      </c>
      <c r="K1735" s="81" t="s">
        <v>2224</v>
      </c>
      <c r="L1735" s="81" t="s">
        <v>58</v>
      </c>
      <c r="M1735" s="164">
        <v>5.8399970000000003</v>
      </c>
      <c r="N1735" s="165"/>
      <c r="O1735" s="163"/>
      <c r="P1735" s="82">
        <v>200</v>
      </c>
      <c r="Q1735" s="164">
        <v>0</v>
      </c>
      <c r="R1735" s="163"/>
      <c r="S1735" s="81" t="s">
        <v>58</v>
      </c>
      <c r="T1735" s="82">
        <v>0</v>
      </c>
      <c r="U1735" s="82">
        <v>0</v>
      </c>
      <c r="V1735" s="82">
        <v>0</v>
      </c>
      <c r="W1735" s="82">
        <v>0</v>
      </c>
      <c r="X1735" s="81"/>
      <c r="Y1735" s="81"/>
      <c r="Z1735" s="81" t="s">
        <v>58</v>
      </c>
      <c r="AA1735" s="81" t="s">
        <v>58</v>
      </c>
      <c r="AB1735" s="81" t="s">
        <v>58</v>
      </c>
      <c r="AC1735" s="83">
        <v>46153</v>
      </c>
    </row>
    <row r="1736" spans="2:29" ht="23" x14ac:dyDescent="0.35">
      <c r="B1736" s="81" t="s">
        <v>338</v>
      </c>
      <c r="C1736" s="81" t="s">
        <v>339</v>
      </c>
      <c r="D1736" s="81" t="s">
        <v>340</v>
      </c>
      <c r="E1736" s="81" t="s">
        <v>363</v>
      </c>
      <c r="F1736" s="162" t="s">
        <v>364</v>
      </c>
      <c r="G1736" s="163"/>
      <c r="H1736" s="81" t="s">
        <v>2216</v>
      </c>
      <c r="I1736" s="81" t="s">
        <v>1436</v>
      </c>
      <c r="J1736" s="81" t="s">
        <v>154</v>
      </c>
      <c r="K1736" s="81" t="s">
        <v>2225</v>
      </c>
      <c r="L1736" s="81" t="s">
        <v>58</v>
      </c>
      <c r="M1736" s="164">
        <v>5.8399970000000003</v>
      </c>
      <c r="N1736" s="165"/>
      <c r="O1736" s="163"/>
      <c r="P1736" s="82">
        <v>200</v>
      </c>
      <c r="Q1736" s="164">
        <v>0</v>
      </c>
      <c r="R1736" s="163"/>
      <c r="S1736" s="81" t="s">
        <v>58</v>
      </c>
      <c r="T1736" s="82">
        <v>0</v>
      </c>
      <c r="U1736" s="82">
        <v>0</v>
      </c>
      <c r="V1736" s="82">
        <v>0</v>
      </c>
      <c r="W1736" s="82">
        <v>0</v>
      </c>
      <c r="X1736" s="81"/>
      <c r="Y1736" s="81"/>
      <c r="Z1736" s="81" t="s">
        <v>58</v>
      </c>
      <c r="AA1736" s="81" t="s">
        <v>58</v>
      </c>
      <c r="AB1736" s="81" t="s">
        <v>58</v>
      </c>
      <c r="AC1736" s="83">
        <v>46153</v>
      </c>
    </row>
    <row r="1737" spans="2:29" ht="23" x14ac:dyDescent="0.35">
      <c r="B1737" s="81" t="s">
        <v>338</v>
      </c>
      <c r="C1737" s="81" t="s">
        <v>339</v>
      </c>
      <c r="D1737" s="81" t="s">
        <v>340</v>
      </c>
      <c r="E1737" s="81" t="s">
        <v>363</v>
      </c>
      <c r="F1737" s="162" t="s">
        <v>364</v>
      </c>
      <c r="G1737" s="163"/>
      <c r="H1737" s="81" t="s">
        <v>2216</v>
      </c>
      <c r="I1737" s="81" t="s">
        <v>1436</v>
      </c>
      <c r="J1737" s="81" t="s">
        <v>154</v>
      </c>
      <c r="K1737" s="81" t="s">
        <v>2226</v>
      </c>
      <c r="L1737" s="81" t="s">
        <v>58</v>
      </c>
      <c r="M1737" s="164">
        <v>5.8399970000000003</v>
      </c>
      <c r="N1737" s="165"/>
      <c r="O1737" s="163"/>
      <c r="P1737" s="82">
        <v>200</v>
      </c>
      <c r="Q1737" s="164">
        <v>0</v>
      </c>
      <c r="R1737" s="163"/>
      <c r="S1737" s="81" t="s">
        <v>58</v>
      </c>
      <c r="T1737" s="82">
        <v>0</v>
      </c>
      <c r="U1737" s="82">
        <v>0</v>
      </c>
      <c r="V1737" s="82">
        <v>0</v>
      </c>
      <c r="W1737" s="82">
        <v>0</v>
      </c>
      <c r="X1737" s="81"/>
      <c r="Y1737" s="81"/>
      <c r="Z1737" s="81" t="s">
        <v>58</v>
      </c>
      <c r="AA1737" s="81" t="s">
        <v>58</v>
      </c>
      <c r="AB1737" s="81" t="s">
        <v>58</v>
      </c>
      <c r="AC1737" s="83">
        <v>46153</v>
      </c>
    </row>
    <row r="1738" spans="2:29" ht="23" x14ac:dyDescent="0.35">
      <c r="B1738" s="81" t="s">
        <v>338</v>
      </c>
      <c r="C1738" s="81" t="s">
        <v>339</v>
      </c>
      <c r="D1738" s="81" t="s">
        <v>340</v>
      </c>
      <c r="E1738" s="81" t="s">
        <v>363</v>
      </c>
      <c r="F1738" s="162" t="s">
        <v>364</v>
      </c>
      <c r="G1738" s="163"/>
      <c r="H1738" s="81" t="s">
        <v>2216</v>
      </c>
      <c r="I1738" s="81" t="s">
        <v>1436</v>
      </c>
      <c r="J1738" s="81" t="s">
        <v>154</v>
      </c>
      <c r="K1738" s="81" t="s">
        <v>2227</v>
      </c>
      <c r="L1738" s="81" t="s">
        <v>58</v>
      </c>
      <c r="M1738" s="164">
        <v>5.8399970000000003</v>
      </c>
      <c r="N1738" s="165"/>
      <c r="O1738" s="163"/>
      <c r="P1738" s="82">
        <v>200</v>
      </c>
      <c r="Q1738" s="164">
        <v>0</v>
      </c>
      <c r="R1738" s="163"/>
      <c r="S1738" s="81" t="s">
        <v>58</v>
      </c>
      <c r="T1738" s="82">
        <v>0</v>
      </c>
      <c r="U1738" s="82">
        <v>0</v>
      </c>
      <c r="V1738" s="82">
        <v>0</v>
      </c>
      <c r="W1738" s="82">
        <v>0</v>
      </c>
      <c r="X1738" s="81"/>
      <c r="Y1738" s="81"/>
      <c r="Z1738" s="81" t="s">
        <v>58</v>
      </c>
      <c r="AA1738" s="81" t="s">
        <v>58</v>
      </c>
      <c r="AB1738" s="81" t="s">
        <v>58</v>
      </c>
      <c r="AC1738" s="83">
        <v>46153</v>
      </c>
    </row>
    <row r="1739" spans="2:29" ht="23" x14ac:dyDescent="0.35">
      <c r="B1739" s="81" t="s">
        <v>338</v>
      </c>
      <c r="C1739" s="81" t="s">
        <v>339</v>
      </c>
      <c r="D1739" s="81" t="s">
        <v>340</v>
      </c>
      <c r="E1739" s="81" t="s">
        <v>363</v>
      </c>
      <c r="F1739" s="162" t="s">
        <v>364</v>
      </c>
      <c r="G1739" s="163"/>
      <c r="H1739" s="81" t="s">
        <v>2216</v>
      </c>
      <c r="I1739" s="81" t="s">
        <v>1436</v>
      </c>
      <c r="J1739" s="81" t="s">
        <v>154</v>
      </c>
      <c r="K1739" s="81" t="s">
        <v>2228</v>
      </c>
      <c r="L1739" s="81" t="s">
        <v>58</v>
      </c>
      <c r="M1739" s="164">
        <v>5.8399970000000003</v>
      </c>
      <c r="N1739" s="165"/>
      <c r="O1739" s="163"/>
      <c r="P1739" s="82">
        <v>200</v>
      </c>
      <c r="Q1739" s="164">
        <v>0</v>
      </c>
      <c r="R1739" s="163"/>
      <c r="S1739" s="81" t="s">
        <v>58</v>
      </c>
      <c r="T1739" s="82">
        <v>0</v>
      </c>
      <c r="U1739" s="82">
        <v>0</v>
      </c>
      <c r="V1739" s="82">
        <v>0</v>
      </c>
      <c r="W1739" s="82">
        <v>0</v>
      </c>
      <c r="X1739" s="81"/>
      <c r="Y1739" s="81"/>
      <c r="Z1739" s="81" t="s">
        <v>58</v>
      </c>
      <c r="AA1739" s="81" t="s">
        <v>58</v>
      </c>
      <c r="AB1739" s="81" t="s">
        <v>58</v>
      </c>
      <c r="AC1739" s="83">
        <v>46153</v>
      </c>
    </row>
    <row r="1740" spans="2:29" ht="23" x14ac:dyDescent="0.35">
      <c r="B1740" s="81" t="s">
        <v>338</v>
      </c>
      <c r="C1740" s="81" t="s">
        <v>339</v>
      </c>
      <c r="D1740" s="81" t="s">
        <v>340</v>
      </c>
      <c r="E1740" s="81" t="s">
        <v>363</v>
      </c>
      <c r="F1740" s="162" t="s">
        <v>364</v>
      </c>
      <c r="G1740" s="163"/>
      <c r="H1740" s="81" t="s">
        <v>2216</v>
      </c>
      <c r="I1740" s="81" t="s">
        <v>1436</v>
      </c>
      <c r="J1740" s="81" t="s">
        <v>154</v>
      </c>
      <c r="K1740" s="81" t="s">
        <v>2229</v>
      </c>
      <c r="L1740" s="81" t="s">
        <v>58</v>
      </c>
      <c r="M1740" s="164">
        <v>4.5259976750000002</v>
      </c>
      <c r="N1740" s="165"/>
      <c r="O1740" s="163"/>
      <c r="P1740" s="82">
        <v>155</v>
      </c>
      <c r="Q1740" s="164">
        <v>0</v>
      </c>
      <c r="R1740" s="163"/>
      <c r="S1740" s="81" t="s">
        <v>58</v>
      </c>
      <c r="T1740" s="82">
        <v>0</v>
      </c>
      <c r="U1740" s="82">
        <v>0</v>
      </c>
      <c r="V1740" s="82">
        <v>0</v>
      </c>
      <c r="W1740" s="82">
        <v>0</v>
      </c>
      <c r="X1740" s="81"/>
      <c r="Y1740" s="81"/>
      <c r="Z1740" s="81" t="s">
        <v>58</v>
      </c>
      <c r="AA1740" s="81" t="s">
        <v>58</v>
      </c>
      <c r="AB1740" s="81" t="s">
        <v>58</v>
      </c>
      <c r="AC1740" s="83">
        <v>46153</v>
      </c>
    </row>
    <row r="1741" spans="2:29" ht="23" x14ac:dyDescent="0.35">
      <c r="B1741" s="81" t="s">
        <v>338</v>
      </c>
      <c r="C1741" s="81" t="s">
        <v>339</v>
      </c>
      <c r="D1741" s="81" t="s">
        <v>340</v>
      </c>
      <c r="E1741" s="81" t="s">
        <v>363</v>
      </c>
      <c r="F1741" s="162" t="s">
        <v>364</v>
      </c>
      <c r="G1741" s="163"/>
      <c r="H1741" s="81" t="s">
        <v>2216</v>
      </c>
      <c r="I1741" s="81" t="s">
        <v>1436</v>
      </c>
      <c r="J1741" s="81" t="s">
        <v>154</v>
      </c>
      <c r="K1741" s="81" t="s">
        <v>2230</v>
      </c>
      <c r="L1741" s="81" t="s">
        <v>58</v>
      </c>
      <c r="M1741" s="164">
        <v>6.0384434999999996</v>
      </c>
      <c r="N1741" s="165"/>
      <c r="O1741" s="163"/>
      <c r="P1741" s="82">
        <v>200</v>
      </c>
      <c r="Q1741" s="164">
        <v>0</v>
      </c>
      <c r="R1741" s="163"/>
      <c r="S1741" s="81" t="s">
        <v>58</v>
      </c>
      <c r="T1741" s="82">
        <v>0</v>
      </c>
      <c r="U1741" s="82">
        <v>0</v>
      </c>
      <c r="V1741" s="82">
        <v>0</v>
      </c>
      <c r="W1741" s="82">
        <v>0</v>
      </c>
      <c r="X1741" s="81"/>
      <c r="Y1741" s="81"/>
      <c r="Z1741" s="81" t="s">
        <v>58</v>
      </c>
      <c r="AA1741" s="81" t="s">
        <v>58</v>
      </c>
      <c r="AB1741" s="81" t="s">
        <v>58</v>
      </c>
      <c r="AC1741" s="83">
        <v>46153</v>
      </c>
    </row>
    <row r="1742" spans="2:29" ht="23" x14ac:dyDescent="0.35">
      <c r="B1742" s="81" t="s">
        <v>338</v>
      </c>
      <c r="C1742" s="81" t="s">
        <v>339</v>
      </c>
      <c r="D1742" s="81" t="s">
        <v>340</v>
      </c>
      <c r="E1742" s="81" t="s">
        <v>363</v>
      </c>
      <c r="F1742" s="162" t="s">
        <v>364</v>
      </c>
      <c r="G1742" s="163"/>
      <c r="H1742" s="81" t="s">
        <v>2216</v>
      </c>
      <c r="I1742" s="81" t="s">
        <v>1436</v>
      </c>
      <c r="J1742" s="81" t="s">
        <v>154</v>
      </c>
      <c r="K1742" s="81" t="s">
        <v>2231</v>
      </c>
      <c r="L1742" s="81" t="s">
        <v>58</v>
      </c>
      <c r="M1742" s="164">
        <v>6.0384434999999996</v>
      </c>
      <c r="N1742" s="165"/>
      <c r="O1742" s="163"/>
      <c r="P1742" s="82">
        <v>200</v>
      </c>
      <c r="Q1742" s="164">
        <v>0</v>
      </c>
      <c r="R1742" s="163"/>
      <c r="S1742" s="81" t="s">
        <v>58</v>
      </c>
      <c r="T1742" s="82">
        <v>0</v>
      </c>
      <c r="U1742" s="82">
        <v>0</v>
      </c>
      <c r="V1742" s="82">
        <v>0</v>
      </c>
      <c r="W1742" s="82">
        <v>0</v>
      </c>
      <c r="X1742" s="81"/>
      <c r="Y1742" s="81"/>
      <c r="Z1742" s="81" t="s">
        <v>58</v>
      </c>
      <c r="AA1742" s="81" t="s">
        <v>58</v>
      </c>
      <c r="AB1742" s="81" t="s">
        <v>58</v>
      </c>
      <c r="AC1742" s="83">
        <v>46153</v>
      </c>
    </row>
    <row r="1743" spans="2:29" ht="23" x14ac:dyDescent="0.35">
      <c r="B1743" s="81" t="s">
        <v>338</v>
      </c>
      <c r="C1743" s="81" t="s">
        <v>339</v>
      </c>
      <c r="D1743" s="81" t="s">
        <v>340</v>
      </c>
      <c r="E1743" s="81" t="s">
        <v>363</v>
      </c>
      <c r="F1743" s="162" t="s">
        <v>364</v>
      </c>
      <c r="G1743" s="163"/>
      <c r="H1743" s="81" t="s">
        <v>2216</v>
      </c>
      <c r="I1743" s="81" t="s">
        <v>1436</v>
      </c>
      <c r="J1743" s="81" t="s">
        <v>154</v>
      </c>
      <c r="K1743" s="81" t="s">
        <v>2232</v>
      </c>
      <c r="L1743" s="81" t="s">
        <v>58</v>
      </c>
      <c r="M1743" s="164">
        <v>6.0384434999999996</v>
      </c>
      <c r="N1743" s="165"/>
      <c r="O1743" s="163"/>
      <c r="P1743" s="82">
        <v>200</v>
      </c>
      <c r="Q1743" s="164">
        <v>0</v>
      </c>
      <c r="R1743" s="163"/>
      <c r="S1743" s="81" t="s">
        <v>58</v>
      </c>
      <c r="T1743" s="82">
        <v>0</v>
      </c>
      <c r="U1743" s="82">
        <v>0</v>
      </c>
      <c r="V1743" s="82">
        <v>0</v>
      </c>
      <c r="W1743" s="82">
        <v>0</v>
      </c>
      <c r="X1743" s="81"/>
      <c r="Y1743" s="81"/>
      <c r="Z1743" s="81" t="s">
        <v>58</v>
      </c>
      <c r="AA1743" s="81" t="s">
        <v>58</v>
      </c>
      <c r="AB1743" s="81" t="s">
        <v>58</v>
      </c>
      <c r="AC1743" s="83">
        <v>46153</v>
      </c>
    </row>
    <row r="1744" spans="2:29" ht="23" x14ac:dyDescent="0.35">
      <c r="B1744" s="81" t="s">
        <v>338</v>
      </c>
      <c r="C1744" s="81" t="s">
        <v>339</v>
      </c>
      <c r="D1744" s="81" t="s">
        <v>340</v>
      </c>
      <c r="E1744" s="81" t="s">
        <v>363</v>
      </c>
      <c r="F1744" s="162" t="s">
        <v>364</v>
      </c>
      <c r="G1744" s="163"/>
      <c r="H1744" s="81" t="s">
        <v>2216</v>
      </c>
      <c r="I1744" s="81" t="s">
        <v>1436</v>
      </c>
      <c r="J1744" s="81" t="s">
        <v>154</v>
      </c>
      <c r="K1744" s="81" t="s">
        <v>2233</v>
      </c>
      <c r="L1744" s="81" t="s">
        <v>58</v>
      </c>
      <c r="M1744" s="164">
        <v>6.0384434999999996</v>
      </c>
      <c r="N1744" s="165"/>
      <c r="O1744" s="163"/>
      <c r="P1744" s="82">
        <v>200</v>
      </c>
      <c r="Q1744" s="164">
        <v>0</v>
      </c>
      <c r="R1744" s="163"/>
      <c r="S1744" s="81" t="s">
        <v>58</v>
      </c>
      <c r="T1744" s="82">
        <v>0</v>
      </c>
      <c r="U1744" s="82">
        <v>0</v>
      </c>
      <c r="V1744" s="82">
        <v>0</v>
      </c>
      <c r="W1744" s="82">
        <v>0</v>
      </c>
      <c r="X1744" s="81"/>
      <c r="Y1744" s="81"/>
      <c r="Z1744" s="81" t="s">
        <v>58</v>
      </c>
      <c r="AA1744" s="81" t="s">
        <v>58</v>
      </c>
      <c r="AB1744" s="81" t="s">
        <v>58</v>
      </c>
      <c r="AC1744" s="83">
        <v>46153</v>
      </c>
    </row>
    <row r="1745" spans="2:29" ht="23" x14ac:dyDescent="0.35">
      <c r="B1745" s="81" t="s">
        <v>338</v>
      </c>
      <c r="C1745" s="81" t="s">
        <v>339</v>
      </c>
      <c r="D1745" s="81" t="s">
        <v>340</v>
      </c>
      <c r="E1745" s="81" t="s">
        <v>363</v>
      </c>
      <c r="F1745" s="162" t="s">
        <v>364</v>
      </c>
      <c r="G1745" s="163"/>
      <c r="H1745" s="81" t="s">
        <v>2216</v>
      </c>
      <c r="I1745" s="81" t="s">
        <v>1436</v>
      </c>
      <c r="J1745" s="81" t="s">
        <v>154</v>
      </c>
      <c r="K1745" s="81" t="s">
        <v>2234</v>
      </c>
      <c r="L1745" s="81" t="s">
        <v>58</v>
      </c>
      <c r="M1745" s="164">
        <v>3.7740271875000002</v>
      </c>
      <c r="N1745" s="165"/>
      <c r="O1745" s="163"/>
      <c r="P1745" s="82">
        <v>125</v>
      </c>
      <c r="Q1745" s="164">
        <v>0</v>
      </c>
      <c r="R1745" s="163"/>
      <c r="S1745" s="81" t="s">
        <v>58</v>
      </c>
      <c r="T1745" s="82">
        <v>0</v>
      </c>
      <c r="U1745" s="82">
        <v>0</v>
      </c>
      <c r="V1745" s="82">
        <v>0</v>
      </c>
      <c r="W1745" s="82">
        <v>0</v>
      </c>
      <c r="X1745" s="81"/>
      <c r="Y1745" s="81"/>
      <c r="Z1745" s="81" t="s">
        <v>58</v>
      </c>
      <c r="AA1745" s="81" t="s">
        <v>58</v>
      </c>
      <c r="AB1745" s="81" t="s">
        <v>58</v>
      </c>
      <c r="AC1745" s="83">
        <v>46153</v>
      </c>
    </row>
    <row r="1746" spans="2:29" ht="23" x14ac:dyDescent="0.35">
      <c r="B1746" s="81" t="s">
        <v>338</v>
      </c>
      <c r="C1746" s="81" t="s">
        <v>339</v>
      </c>
      <c r="D1746" s="81" t="s">
        <v>340</v>
      </c>
      <c r="E1746" s="81" t="s">
        <v>363</v>
      </c>
      <c r="F1746" s="162" t="s">
        <v>364</v>
      </c>
      <c r="G1746" s="163"/>
      <c r="H1746" s="81" t="s">
        <v>2216</v>
      </c>
      <c r="I1746" s="81" t="s">
        <v>1436</v>
      </c>
      <c r="J1746" s="81" t="s">
        <v>154</v>
      </c>
      <c r="K1746" s="81" t="s">
        <v>2235</v>
      </c>
      <c r="L1746" s="81" t="s">
        <v>58</v>
      </c>
      <c r="M1746" s="164">
        <v>6.2368899999999998</v>
      </c>
      <c r="N1746" s="165"/>
      <c r="O1746" s="163"/>
      <c r="P1746" s="82">
        <v>200</v>
      </c>
      <c r="Q1746" s="164">
        <v>0</v>
      </c>
      <c r="R1746" s="163"/>
      <c r="S1746" s="81" t="s">
        <v>58</v>
      </c>
      <c r="T1746" s="82">
        <v>0</v>
      </c>
      <c r="U1746" s="82">
        <v>0</v>
      </c>
      <c r="V1746" s="82">
        <v>0</v>
      </c>
      <c r="W1746" s="82">
        <v>0</v>
      </c>
      <c r="X1746" s="81"/>
      <c r="Y1746" s="81"/>
      <c r="Z1746" s="81" t="s">
        <v>58</v>
      </c>
      <c r="AA1746" s="81" t="s">
        <v>58</v>
      </c>
      <c r="AB1746" s="81" t="s">
        <v>58</v>
      </c>
      <c r="AC1746" s="83">
        <v>46153</v>
      </c>
    </row>
    <row r="1747" spans="2:29" ht="23" x14ac:dyDescent="0.35">
      <c r="B1747" s="81" t="s">
        <v>338</v>
      </c>
      <c r="C1747" s="81" t="s">
        <v>339</v>
      </c>
      <c r="D1747" s="81" t="s">
        <v>340</v>
      </c>
      <c r="E1747" s="81" t="s">
        <v>363</v>
      </c>
      <c r="F1747" s="162" t="s">
        <v>364</v>
      </c>
      <c r="G1747" s="163"/>
      <c r="H1747" s="81" t="s">
        <v>2216</v>
      </c>
      <c r="I1747" s="81" t="s">
        <v>1436</v>
      </c>
      <c r="J1747" s="81" t="s">
        <v>154</v>
      </c>
      <c r="K1747" s="81" t="s">
        <v>2236</v>
      </c>
      <c r="L1747" s="81" t="s">
        <v>58</v>
      </c>
      <c r="M1747" s="164">
        <v>6.2368899999999998</v>
      </c>
      <c r="N1747" s="165"/>
      <c r="O1747" s="163"/>
      <c r="P1747" s="82">
        <v>200</v>
      </c>
      <c r="Q1747" s="164">
        <v>0</v>
      </c>
      <c r="R1747" s="163"/>
      <c r="S1747" s="81" t="s">
        <v>58</v>
      </c>
      <c r="T1747" s="82">
        <v>0</v>
      </c>
      <c r="U1747" s="82">
        <v>0</v>
      </c>
      <c r="V1747" s="82">
        <v>0</v>
      </c>
      <c r="W1747" s="82">
        <v>0</v>
      </c>
      <c r="X1747" s="81"/>
      <c r="Y1747" s="81"/>
      <c r="Z1747" s="81" t="s">
        <v>58</v>
      </c>
      <c r="AA1747" s="81" t="s">
        <v>58</v>
      </c>
      <c r="AB1747" s="81" t="s">
        <v>58</v>
      </c>
      <c r="AC1747" s="83">
        <v>46153</v>
      </c>
    </row>
    <row r="1748" spans="2:29" ht="23" x14ac:dyDescent="0.35">
      <c r="B1748" s="81" t="s">
        <v>338</v>
      </c>
      <c r="C1748" s="81" t="s">
        <v>339</v>
      </c>
      <c r="D1748" s="81" t="s">
        <v>340</v>
      </c>
      <c r="E1748" s="81" t="s">
        <v>363</v>
      </c>
      <c r="F1748" s="162" t="s">
        <v>364</v>
      </c>
      <c r="G1748" s="163"/>
      <c r="H1748" s="81" t="s">
        <v>2216</v>
      </c>
      <c r="I1748" s="81" t="s">
        <v>1436</v>
      </c>
      <c r="J1748" s="81" t="s">
        <v>154</v>
      </c>
      <c r="K1748" s="81" t="s">
        <v>2237</v>
      </c>
      <c r="L1748" s="81" t="s">
        <v>58</v>
      </c>
      <c r="M1748" s="164">
        <v>4.5841141500000004</v>
      </c>
      <c r="N1748" s="165"/>
      <c r="O1748" s="163"/>
      <c r="P1748" s="82">
        <v>147</v>
      </c>
      <c r="Q1748" s="164">
        <v>0</v>
      </c>
      <c r="R1748" s="163"/>
      <c r="S1748" s="81" t="s">
        <v>58</v>
      </c>
      <c r="T1748" s="82">
        <v>0</v>
      </c>
      <c r="U1748" s="82">
        <v>0</v>
      </c>
      <c r="V1748" s="82">
        <v>0</v>
      </c>
      <c r="W1748" s="82">
        <v>0</v>
      </c>
      <c r="X1748" s="81"/>
      <c r="Y1748" s="81"/>
      <c r="Z1748" s="81" t="s">
        <v>58</v>
      </c>
      <c r="AA1748" s="81" t="s">
        <v>58</v>
      </c>
      <c r="AB1748" s="81" t="s">
        <v>58</v>
      </c>
      <c r="AC1748" s="83">
        <v>46153</v>
      </c>
    </row>
    <row r="1749" spans="2:29" ht="23" x14ac:dyDescent="0.35">
      <c r="B1749" s="81" t="s">
        <v>338</v>
      </c>
      <c r="C1749" s="81" t="s">
        <v>339</v>
      </c>
      <c r="D1749" s="81" t="s">
        <v>340</v>
      </c>
      <c r="E1749" s="81" t="s">
        <v>363</v>
      </c>
      <c r="F1749" s="162" t="s">
        <v>364</v>
      </c>
      <c r="G1749" s="163"/>
      <c r="H1749" s="81" t="s">
        <v>2216</v>
      </c>
      <c r="I1749" s="81" t="s">
        <v>1436</v>
      </c>
      <c r="J1749" s="81" t="s">
        <v>154</v>
      </c>
      <c r="K1749" s="81" t="s">
        <v>2238</v>
      </c>
      <c r="L1749" s="81" t="s">
        <v>58</v>
      </c>
      <c r="M1749" s="164">
        <v>7.2404622999999999</v>
      </c>
      <c r="N1749" s="165"/>
      <c r="O1749" s="163"/>
      <c r="P1749" s="82">
        <v>200</v>
      </c>
      <c r="Q1749" s="164">
        <v>0</v>
      </c>
      <c r="R1749" s="163"/>
      <c r="S1749" s="81" t="s">
        <v>58</v>
      </c>
      <c r="T1749" s="82">
        <v>0</v>
      </c>
      <c r="U1749" s="82">
        <v>0</v>
      </c>
      <c r="V1749" s="82">
        <v>0</v>
      </c>
      <c r="W1749" s="82">
        <v>0</v>
      </c>
      <c r="X1749" s="81"/>
      <c r="Y1749" s="81"/>
      <c r="Z1749" s="81" t="s">
        <v>58</v>
      </c>
      <c r="AA1749" s="81" t="s">
        <v>58</v>
      </c>
      <c r="AB1749" s="81" t="s">
        <v>58</v>
      </c>
      <c r="AC1749" s="83">
        <v>46153</v>
      </c>
    </row>
    <row r="1750" spans="2:29" ht="23" x14ac:dyDescent="0.35">
      <c r="B1750" s="81" t="s">
        <v>338</v>
      </c>
      <c r="C1750" s="81" t="s">
        <v>339</v>
      </c>
      <c r="D1750" s="81" t="s">
        <v>340</v>
      </c>
      <c r="E1750" s="81" t="s">
        <v>363</v>
      </c>
      <c r="F1750" s="162" t="s">
        <v>364</v>
      </c>
      <c r="G1750" s="163"/>
      <c r="H1750" s="81" t="s">
        <v>2216</v>
      </c>
      <c r="I1750" s="81" t="s">
        <v>1436</v>
      </c>
      <c r="J1750" s="81" t="s">
        <v>154</v>
      </c>
      <c r="K1750" s="81" t="s">
        <v>2239</v>
      </c>
      <c r="L1750" s="81" t="s">
        <v>58</v>
      </c>
      <c r="M1750" s="164">
        <v>3.1496011005</v>
      </c>
      <c r="N1750" s="165"/>
      <c r="O1750" s="163"/>
      <c r="P1750" s="82">
        <v>87</v>
      </c>
      <c r="Q1750" s="164">
        <v>0</v>
      </c>
      <c r="R1750" s="163"/>
      <c r="S1750" s="81" t="s">
        <v>58</v>
      </c>
      <c r="T1750" s="82">
        <v>0</v>
      </c>
      <c r="U1750" s="82">
        <v>0</v>
      </c>
      <c r="V1750" s="82">
        <v>0</v>
      </c>
      <c r="W1750" s="82">
        <v>0</v>
      </c>
      <c r="X1750" s="81"/>
      <c r="Y1750" s="81"/>
      <c r="Z1750" s="81" t="s">
        <v>58</v>
      </c>
      <c r="AA1750" s="81" t="s">
        <v>58</v>
      </c>
      <c r="AB1750" s="81" t="s">
        <v>58</v>
      </c>
      <c r="AC1750" s="83">
        <v>46153</v>
      </c>
    </row>
    <row r="1751" spans="2:29" ht="23" x14ac:dyDescent="0.35">
      <c r="B1751" s="81" t="s">
        <v>338</v>
      </c>
      <c r="C1751" s="81" t="s">
        <v>339</v>
      </c>
      <c r="D1751" s="81" t="s">
        <v>340</v>
      </c>
      <c r="E1751" s="81" t="s">
        <v>363</v>
      </c>
      <c r="F1751" s="162" t="s">
        <v>364</v>
      </c>
      <c r="G1751" s="163"/>
      <c r="H1751" s="81" t="s">
        <v>2240</v>
      </c>
      <c r="I1751" s="81" t="s">
        <v>1476</v>
      </c>
      <c r="J1751" s="81" t="s">
        <v>153</v>
      </c>
      <c r="K1751" s="81" t="s">
        <v>2241</v>
      </c>
      <c r="L1751" s="81" t="s">
        <v>58</v>
      </c>
      <c r="M1751" s="164">
        <v>4.4225219999999998</v>
      </c>
      <c r="N1751" s="165"/>
      <c r="O1751" s="163"/>
      <c r="P1751" s="82">
        <v>400</v>
      </c>
      <c r="Q1751" s="164">
        <v>0</v>
      </c>
      <c r="R1751" s="163"/>
      <c r="S1751" s="81" t="s">
        <v>58</v>
      </c>
      <c r="T1751" s="82">
        <v>0</v>
      </c>
      <c r="U1751" s="82">
        <v>0</v>
      </c>
      <c r="V1751" s="82">
        <v>0</v>
      </c>
      <c r="W1751" s="82">
        <v>0</v>
      </c>
      <c r="X1751" s="81"/>
      <c r="Y1751" s="81"/>
      <c r="Z1751" s="81" t="s">
        <v>58</v>
      </c>
      <c r="AA1751" s="81" t="s">
        <v>58</v>
      </c>
      <c r="AB1751" s="81" t="s">
        <v>58</v>
      </c>
      <c r="AC1751" s="83">
        <v>46149</v>
      </c>
    </row>
    <row r="1752" spans="2:29" ht="23" x14ac:dyDescent="0.35">
      <c r="B1752" s="81" t="s">
        <v>338</v>
      </c>
      <c r="C1752" s="81" t="s">
        <v>339</v>
      </c>
      <c r="D1752" s="81" t="s">
        <v>340</v>
      </c>
      <c r="E1752" s="81" t="s">
        <v>363</v>
      </c>
      <c r="F1752" s="162" t="s">
        <v>364</v>
      </c>
      <c r="G1752" s="163"/>
      <c r="H1752" s="81" t="s">
        <v>2240</v>
      </c>
      <c r="I1752" s="81" t="s">
        <v>1476</v>
      </c>
      <c r="J1752" s="81" t="s">
        <v>153</v>
      </c>
      <c r="K1752" s="81" t="s">
        <v>2242</v>
      </c>
      <c r="L1752" s="81" t="s">
        <v>58</v>
      </c>
      <c r="M1752" s="164">
        <v>1.92379707</v>
      </c>
      <c r="N1752" s="165"/>
      <c r="O1752" s="163"/>
      <c r="P1752" s="82">
        <v>174</v>
      </c>
      <c r="Q1752" s="164">
        <v>0</v>
      </c>
      <c r="R1752" s="163"/>
      <c r="S1752" s="81" t="s">
        <v>58</v>
      </c>
      <c r="T1752" s="82">
        <v>0</v>
      </c>
      <c r="U1752" s="82">
        <v>0</v>
      </c>
      <c r="V1752" s="82">
        <v>0</v>
      </c>
      <c r="W1752" s="82">
        <v>0</v>
      </c>
      <c r="X1752" s="81"/>
      <c r="Y1752" s="81"/>
      <c r="Z1752" s="81" t="s">
        <v>58</v>
      </c>
      <c r="AA1752" s="81" t="s">
        <v>58</v>
      </c>
      <c r="AB1752" s="81" t="s">
        <v>58</v>
      </c>
      <c r="AC1752" s="83">
        <v>46149</v>
      </c>
    </row>
    <row r="1753" spans="2:29" ht="23" x14ac:dyDescent="0.35">
      <c r="B1753" s="81" t="s">
        <v>338</v>
      </c>
      <c r="C1753" s="81" t="s">
        <v>339</v>
      </c>
      <c r="D1753" s="81" t="s">
        <v>340</v>
      </c>
      <c r="E1753" s="81" t="s">
        <v>363</v>
      </c>
      <c r="F1753" s="162" t="s">
        <v>364</v>
      </c>
      <c r="G1753" s="163"/>
      <c r="H1753" s="81" t="s">
        <v>2240</v>
      </c>
      <c r="I1753" s="81" t="s">
        <v>1476</v>
      </c>
      <c r="J1753" s="81" t="s">
        <v>153</v>
      </c>
      <c r="K1753" s="81" t="s">
        <v>2243</v>
      </c>
      <c r="L1753" s="81" t="s">
        <v>58</v>
      </c>
      <c r="M1753" s="164">
        <v>4.53592</v>
      </c>
      <c r="N1753" s="165"/>
      <c r="O1753" s="163"/>
      <c r="P1753" s="82">
        <v>400</v>
      </c>
      <c r="Q1753" s="164">
        <v>0</v>
      </c>
      <c r="R1753" s="163"/>
      <c r="S1753" s="81" t="s">
        <v>58</v>
      </c>
      <c r="T1753" s="82">
        <v>0</v>
      </c>
      <c r="U1753" s="82">
        <v>0</v>
      </c>
      <c r="V1753" s="82">
        <v>0</v>
      </c>
      <c r="W1753" s="82">
        <v>0</v>
      </c>
      <c r="X1753" s="81"/>
      <c r="Y1753" s="81"/>
      <c r="Z1753" s="81" t="s">
        <v>58</v>
      </c>
      <c r="AA1753" s="81" t="s">
        <v>58</v>
      </c>
      <c r="AB1753" s="81" t="s">
        <v>58</v>
      </c>
      <c r="AC1753" s="83">
        <v>46149</v>
      </c>
    </row>
    <row r="1754" spans="2:29" ht="23" x14ac:dyDescent="0.35">
      <c r="B1754" s="81" t="s">
        <v>338</v>
      </c>
      <c r="C1754" s="81" t="s">
        <v>339</v>
      </c>
      <c r="D1754" s="81" t="s">
        <v>340</v>
      </c>
      <c r="E1754" s="81" t="s">
        <v>363</v>
      </c>
      <c r="F1754" s="162" t="s">
        <v>364</v>
      </c>
      <c r="G1754" s="163"/>
      <c r="H1754" s="81" t="s">
        <v>2240</v>
      </c>
      <c r="I1754" s="81" t="s">
        <v>1476</v>
      </c>
      <c r="J1754" s="81" t="s">
        <v>153</v>
      </c>
      <c r="K1754" s="81" t="s">
        <v>2244</v>
      </c>
      <c r="L1754" s="81" t="s">
        <v>58</v>
      </c>
      <c r="M1754" s="164">
        <v>4.53592</v>
      </c>
      <c r="N1754" s="165"/>
      <c r="O1754" s="163"/>
      <c r="P1754" s="82">
        <v>400</v>
      </c>
      <c r="Q1754" s="164">
        <v>0</v>
      </c>
      <c r="R1754" s="163"/>
      <c r="S1754" s="81" t="s">
        <v>58</v>
      </c>
      <c r="T1754" s="82">
        <v>0</v>
      </c>
      <c r="U1754" s="82">
        <v>0</v>
      </c>
      <c r="V1754" s="82">
        <v>0</v>
      </c>
      <c r="W1754" s="82">
        <v>0</v>
      </c>
      <c r="X1754" s="81"/>
      <c r="Y1754" s="81"/>
      <c r="Z1754" s="81" t="s">
        <v>58</v>
      </c>
      <c r="AA1754" s="81" t="s">
        <v>58</v>
      </c>
      <c r="AB1754" s="81" t="s">
        <v>58</v>
      </c>
      <c r="AC1754" s="83">
        <v>46149</v>
      </c>
    </row>
    <row r="1755" spans="2:29" ht="23" x14ac:dyDescent="0.35">
      <c r="B1755" s="81" t="s">
        <v>338</v>
      </c>
      <c r="C1755" s="81" t="s">
        <v>339</v>
      </c>
      <c r="D1755" s="81" t="s">
        <v>340</v>
      </c>
      <c r="E1755" s="81" t="s">
        <v>363</v>
      </c>
      <c r="F1755" s="162" t="s">
        <v>364</v>
      </c>
      <c r="G1755" s="163"/>
      <c r="H1755" s="81" t="s">
        <v>2240</v>
      </c>
      <c r="I1755" s="81" t="s">
        <v>1476</v>
      </c>
      <c r="J1755" s="81" t="s">
        <v>153</v>
      </c>
      <c r="K1755" s="81" t="s">
        <v>2245</v>
      </c>
      <c r="L1755" s="81" t="s">
        <v>58</v>
      </c>
      <c r="M1755" s="164">
        <v>4.53592</v>
      </c>
      <c r="N1755" s="165"/>
      <c r="O1755" s="163"/>
      <c r="P1755" s="82">
        <v>400</v>
      </c>
      <c r="Q1755" s="164">
        <v>0</v>
      </c>
      <c r="R1755" s="163"/>
      <c r="S1755" s="81" t="s">
        <v>58</v>
      </c>
      <c r="T1755" s="82">
        <v>0</v>
      </c>
      <c r="U1755" s="82">
        <v>0</v>
      </c>
      <c r="V1755" s="82">
        <v>0</v>
      </c>
      <c r="W1755" s="82">
        <v>0</v>
      </c>
      <c r="X1755" s="81"/>
      <c r="Y1755" s="81"/>
      <c r="Z1755" s="81" t="s">
        <v>58</v>
      </c>
      <c r="AA1755" s="81" t="s">
        <v>58</v>
      </c>
      <c r="AB1755" s="81" t="s">
        <v>58</v>
      </c>
      <c r="AC1755" s="83">
        <v>46149</v>
      </c>
    </row>
    <row r="1756" spans="2:29" ht="23" x14ac:dyDescent="0.35">
      <c r="B1756" s="81" t="s">
        <v>338</v>
      </c>
      <c r="C1756" s="81" t="s">
        <v>339</v>
      </c>
      <c r="D1756" s="81" t="s">
        <v>340</v>
      </c>
      <c r="E1756" s="81" t="s">
        <v>363</v>
      </c>
      <c r="F1756" s="162" t="s">
        <v>364</v>
      </c>
      <c r="G1756" s="163"/>
      <c r="H1756" s="81" t="s">
        <v>2240</v>
      </c>
      <c r="I1756" s="81" t="s">
        <v>1476</v>
      </c>
      <c r="J1756" s="81" t="s">
        <v>153</v>
      </c>
      <c r="K1756" s="81" t="s">
        <v>2246</v>
      </c>
      <c r="L1756" s="81" t="s">
        <v>58</v>
      </c>
      <c r="M1756" s="164">
        <v>4.53592</v>
      </c>
      <c r="N1756" s="165"/>
      <c r="O1756" s="163"/>
      <c r="P1756" s="82">
        <v>400</v>
      </c>
      <c r="Q1756" s="164">
        <v>0</v>
      </c>
      <c r="R1756" s="163"/>
      <c r="S1756" s="81" t="s">
        <v>58</v>
      </c>
      <c r="T1756" s="82">
        <v>0</v>
      </c>
      <c r="U1756" s="82">
        <v>0</v>
      </c>
      <c r="V1756" s="82">
        <v>0</v>
      </c>
      <c r="W1756" s="82">
        <v>0</v>
      </c>
      <c r="X1756" s="81"/>
      <c r="Y1756" s="81"/>
      <c r="Z1756" s="81" t="s">
        <v>58</v>
      </c>
      <c r="AA1756" s="81" t="s">
        <v>58</v>
      </c>
      <c r="AB1756" s="81" t="s">
        <v>58</v>
      </c>
      <c r="AC1756" s="83">
        <v>46149</v>
      </c>
    </row>
    <row r="1757" spans="2:29" ht="23" x14ac:dyDescent="0.35">
      <c r="B1757" s="81" t="s">
        <v>338</v>
      </c>
      <c r="C1757" s="81" t="s">
        <v>339</v>
      </c>
      <c r="D1757" s="81" t="s">
        <v>340</v>
      </c>
      <c r="E1757" s="81" t="s">
        <v>363</v>
      </c>
      <c r="F1757" s="162" t="s">
        <v>364</v>
      </c>
      <c r="G1757" s="163"/>
      <c r="H1757" s="81" t="s">
        <v>2240</v>
      </c>
      <c r="I1757" s="81" t="s">
        <v>1476</v>
      </c>
      <c r="J1757" s="81" t="s">
        <v>153</v>
      </c>
      <c r="K1757" s="81" t="s">
        <v>2247</v>
      </c>
      <c r="L1757" s="81" t="s">
        <v>58</v>
      </c>
      <c r="M1757" s="164">
        <v>3.4246196000000002</v>
      </c>
      <c r="N1757" s="165"/>
      <c r="O1757" s="163"/>
      <c r="P1757" s="82">
        <v>302</v>
      </c>
      <c r="Q1757" s="164">
        <v>0</v>
      </c>
      <c r="R1757" s="163"/>
      <c r="S1757" s="81" t="s">
        <v>58</v>
      </c>
      <c r="T1757" s="82">
        <v>0</v>
      </c>
      <c r="U1757" s="82">
        <v>0</v>
      </c>
      <c r="V1757" s="82">
        <v>0</v>
      </c>
      <c r="W1757" s="82">
        <v>0</v>
      </c>
      <c r="X1757" s="81"/>
      <c r="Y1757" s="81"/>
      <c r="Z1757" s="81" t="s">
        <v>58</v>
      </c>
      <c r="AA1757" s="81" t="s">
        <v>58</v>
      </c>
      <c r="AB1757" s="81" t="s">
        <v>58</v>
      </c>
      <c r="AC1757" s="83">
        <v>46149</v>
      </c>
    </row>
    <row r="1758" spans="2:29" ht="23" x14ac:dyDescent="0.35">
      <c r="B1758" s="81" t="s">
        <v>338</v>
      </c>
      <c r="C1758" s="81" t="s">
        <v>339</v>
      </c>
      <c r="D1758" s="81" t="s">
        <v>340</v>
      </c>
      <c r="E1758" s="81" t="s">
        <v>363</v>
      </c>
      <c r="F1758" s="162" t="s">
        <v>364</v>
      </c>
      <c r="G1758" s="163"/>
      <c r="H1758" s="81" t="s">
        <v>2240</v>
      </c>
      <c r="I1758" s="81" t="s">
        <v>1476</v>
      </c>
      <c r="J1758" s="81" t="s">
        <v>153</v>
      </c>
      <c r="K1758" s="81" t="s">
        <v>2248</v>
      </c>
      <c r="L1758" s="81" t="s">
        <v>58</v>
      </c>
      <c r="M1758" s="164">
        <v>4.6493180000000001</v>
      </c>
      <c r="N1758" s="165"/>
      <c r="O1758" s="163"/>
      <c r="P1758" s="82">
        <v>400</v>
      </c>
      <c r="Q1758" s="164">
        <v>0</v>
      </c>
      <c r="R1758" s="163"/>
      <c r="S1758" s="81" t="s">
        <v>58</v>
      </c>
      <c r="T1758" s="82">
        <v>0</v>
      </c>
      <c r="U1758" s="82">
        <v>0</v>
      </c>
      <c r="V1758" s="82">
        <v>0</v>
      </c>
      <c r="W1758" s="82">
        <v>0</v>
      </c>
      <c r="X1758" s="81"/>
      <c r="Y1758" s="81"/>
      <c r="Z1758" s="81" t="s">
        <v>58</v>
      </c>
      <c r="AA1758" s="81" t="s">
        <v>58</v>
      </c>
      <c r="AB1758" s="81" t="s">
        <v>58</v>
      </c>
      <c r="AC1758" s="83">
        <v>46149</v>
      </c>
    </row>
    <row r="1759" spans="2:29" ht="23" x14ac:dyDescent="0.35">
      <c r="B1759" s="81" t="s">
        <v>338</v>
      </c>
      <c r="C1759" s="81" t="s">
        <v>339</v>
      </c>
      <c r="D1759" s="81" t="s">
        <v>340</v>
      </c>
      <c r="E1759" s="81" t="s">
        <v>363</v>
      </c>
      <c r="F1759" s="162" t="s">
        <v>364</v>
      </c>
      <c r="G1759" s="163"/>
      <c r="H1759" s="81" t="s">
        <v>2240</v>
      </c>
      <c r="I1759" s="81" t="s">
        <v>1476</v>
      </c>
      <c r="J1759" s="81" t="s">
        <v>153</v>
      </c>
      <c r="K1759" s="81" t="s">
        <v>2249</v>
      </c>
      <c r="L1759" s="81" t="s">
        <v>58</v>
      </c>
      <c r="M1759" s="164">
        <v>4.6493180000000001</v>
      </c>
      <c r="N1759" s="165"/>
      <c r="O1759" s="163"/>
      <c r="P1759" s="82">
        <v>400</v>
      </c>
      <c r="Q1759" s="164">
        <v>0</v>
      </c>
      <c r="R1759" s="163"/>
      <c r="S1759" s="81" t="s">
        <v>58</v>
      </c>
      <c r="T1759" s="82">
        <v>0</v>
      </c>
      <c r="U1759" s="82">
        <v>0</v>
      </c>
      <c r="V1759" s="82">
        <v>0</v>
      </c>
      <c r="W1759" s="82">
        <v>0</v>
      </c>
      <c r="X1759" s="81"/>
      <c r="Y1759" s="81"/>
      <c r="Z1759" s="81" t="s">
        <v>58</v>
      </c>
      <c r="AA1759" s="81" t="s">
        <v>58</v>
      </c>
      <c r="AB1759" s="81" t="s">
        <v>58</v>
      </c>
      <c r="AC1759" s="83">
        <v>46149</v>
      </c>
    </row>
    <row r="1760" spans="2:29" ht="23" x14ac:dyDescent="0.35">
      <c r="B1760" s="81" t="s">
        <v>338</v>
      </c>
      <c r="C1760" s="81" t="s">
        <v>339</v>
      </c>
      <c r="D1760" s="81" t="s">
        <v>340</v>
      </c>
      <c r="E1760" s="81" t="s">
        <v>363</v>
      </c>
      <c r="F1760" s="162" t="s">
        <v>364</v>
      </c>
      <c r="G1760" s="163"/>
      <c r="H1760" s="81" t="s">
        <v>2240</v>
      </c>
      <c r="I1760" s="81" t="s">
        <v>1476</v>
      </c>
      <c r="J1760" s="81" t="s">
        <v>153</v>
      </c>
      <c r="K1760" s="81" t="s">
        <v>2250</v>
      </c>
      <c r="L1760" s="81" t="s">
        <v>58</v>
      </c>
      <c r="M1760" s="164">
        <v>4.6493180000000001</v>
      </c>
      <c r="N1760" s="165"/>
      <c r="O1760" s="163"/>
      <c r="P1760" s="82">
        <v>400</v>
      </c>
      <c r="Q1760" s="164">
        <v>0</v>
      </c>
      <c r="R1760" s="163"/>
      <c r="S1760" s="81" t="s">
        <v>58</v>
      </c>
      <c r="T1760" s="82">
        <v>0</v>
      </c>
      <c r="U1760" s="82">
        <v>0</v>
      </c>
      <c r="V1760" s="82">
        <v>0</v>
      </c>
      <c r="W1760" s="82">
        <v>0</v>
      </c>
      <c r="X1760" s="81"/>
      <c r="Y1760" s="81"/>
      <c r="Z1760" s="81" t="s">
        <v>58</v>
      </c>
      <c r="AA1760" s="81" t="s">
        <v>58</v>
      </c>
      <c r="AB1760" s="81" t="s">
        <v>58</v>
      </c>
      <c r="AC1760" s="83">
        <v>46149</v>
      </c>
    </row>
    <row r="1761" spans="2:29" ht="23" x14ac:dyDescent="0.35">
      <c r="B1761" s="81" t="s">
        <v>338</v>
      </c>
      <c r="C1761" s="81" t="s">
        <v>339</v>
      </c>
      <c r="D1761" s="81" t="s">
        <v>340</v>
      </c>
      <c r="E1761" s="81" t="s">
        <v>363</v>
      </c>
      <c r="F1761" s="162" t="s">
        <v>364</v>
      </c>
      <c r="G1761" s="163"/>
      <c r="H1761" s="81" t="s">
        <v>2240</v>
      </c>
      <c r="I1761" s="81" t="s">
        <v>1476</v>
      </c>
      <c r="J1761" s="81" t="s">
        <v>153</v>
      </c>
      <c r="K1761" s="81" t="s">
        <v>2251</v>
      </c>
      <c r="L1761" s="81" t="s">
        <v>58</v>
      </c>
      <c r="M1761" s="164">
        <v>4.6493180000000001</v>
      </c>
      <c r="N1761" s="165"/>
      <c r="O1761" s="163"/>
      <c r="P1761" s="82">
        <v>400</v>
      </c>
      <c r="Q1761" s="164">
        <v>0</v>
      </c>
      <c r="R1761" s="163"/>
      <c r="S1761" s="81" t="s">
        <v>58</v>
      </c>
      <c r="T1761" s="82">
        <v>0</v>
      </c>
      <c r="U1761" s="82">
        <v>0</v>
      </c>
      <c r="V1761" s="82">
        <v>0</v>
      </c>
      <c r="W1761" s="82">
        <v>0</v>
      </c>
      <c r="X1761" s="81"/>
      <c r="Y1761" s="81"/>
      <c r="Z1761" s="81" t="s">
        <v>58</v>
      </c>
      <c r="AA1761" s="81" t="s">
        <v>58</v>
      </c>
      <c r="AB1761" s="81" t="s">
        <v>58</v>
      </c>
      <c r="AC1761" s="83">
        <v>46149</v>
      </c>
    </row>
    <row r="1762" spans="2:29" ht="23" x14ac:dyDescent="0.35">
      <c r="B1762" s="81" t="s">
        <v>338</v>
      </c>
      <c r="C1762" s="81" t="s">
        <v>339</v>
      </c>
      <c r="D1762" s="81" t="s">
        <v>340</v>
      </c>
      <c r="E1762" s="81" t="s">
        <v>363</v>
      </c>
      <c r="F1762" s="162" t="s">
        <v>364</v>
      </c>
      <c r="G1762" s="163"/>
      <c r="H1762" s="81" t="s">
        <v>2240</v>
      </c>
      <c r="I1762" s="81" t="s">
        <v>1476</v>
      </c>
      <c r="J1762" s="81" t="s">
        <v>153</v>
      </c>
      <c r="K1762" s="81" t="s">
        <v>2252</v>
      </c>
      <c r="L1762" s="81" t="s">
        <v>58</v>
      </c>
      <c r="M1762" s="164">
        <v>4.6493180000000001</v>
      </c>
      <c r="N1762" s="165"/>
      <c r="O1762" s="163"/>
      <c r="P1762" s="82">
        <v>400</v>
      </c>
      <c r="Q1762" s="164">
        <v>0</v>
      </c>
      <c r="R1762" s="163"/>
      <c r="S1762" s="81" t="s">
        <v>58</v>
      </c>
      <c r="T1762" s="82">
        <v>0</v>
      </c>
      <c r="U1762" s="82">
        <v>0</v>
      </c>
      <c r="V1762" s="82">
        <v>0</v>
      </c>
      <c r="W1762" s="82">
        <v>0</v>
      </c>
      <c r="X1762" s="81"/>
      <c r="Y1762" s="81"/>
      <c r="Z1762" s="81" t="s">
        <v>58</v>
      </c>
      <c r="AA1762" s="81" t="s">
        <v>58</v>
      </c>
      <c r="AB1762" s="81" t="s">
        <v>58</v>
      </c>
      <c r="AC1762" s="83">
        <v>46149</v>
      </c>
    </row>
    <row r="1763" spans="2:29" ht="23" x14ac:dyDescent="0.35">
      <c r="B1763" s="81" t="s">
        <v>338</v>
      </c>
      <c r="C1763" s="81" t="s">
        <v>339</v>
      </c>
      <c r="D1763" s="81" t="s">
        <v>340</v>
      </c>
      <c r="E1763" s="81" t="s">
        <v>363</v>
      </c>
      <c r="F1763" s="162" t="s">
        <v>364</v>
      </c>
      <c r="G1763" s="163"/>
      <c r="H1763" s="81" t="s">
        <v>2240</v>
      </c>
      <c r="I1763" s="81" t="s">
        <v>1476</v>
      </c>
      <c r="J1763" s="81" t="s">
        <v>153</v>
      </c>
      <c r="K1763" s="81" t="s">
        <v>2253</v>
      </c>
      <c r="L1763" s="81" t="s">
        <v>58</v>
      </c>
      <c r="M1763" s="164">
        <v>3.6032214499999999</v>
      </c>
      <c r="N1763" s="165"/>
      <c r="O1763" s="163"/>
      <c r="P1763" s="82">
        <v>310</v>
      </c>
      <c r="Q1763" s="164">
        <v>0</v>
      </c>
      <c r="R1763" s="163"/>
      <c r="S1763" s="81" t="s">
        <v>58</v>
      </c>
      <c r="T1763" s="82">
        <v>0</v>
      </c>
      <c r="U1763" s="82">
        <v>0</v>
      </c>
      <c r="V1763" s="82">
        <v>0</v>
      </c>
      <c r="W1763" s="82">
        <v>0</v>
      </c>
      <c r="X1763" s="81"/>
      <c r="Y1763" s="81"/>
      <c r="Z1763" s="81" t="s">
        <v>58</v>
      </c>
      <c r="AA1763" s="81" t="s">
        <v>58</v>
      </c>
      <c r="AB1763" s="81" t="s">
        <v>58</v>
      </c>
      <c r="AC1763" s="83">
        <v>46149</v>
      </c>
    </row>
    <row r="1764" spans="2:29" ht="23" x14ac:dyDescent="0.35">
      <c r="B1764" s="81" t="s">
        <v>338</v>
      </c>
      <c r="C1764" s="81" t="s">
        <v>339</v>
      </c>
      <c r="D1764" s="81" t="s">
        <v>340</v>
      </c>
      <c r="E1764" s="81" t="s">
        <v>363</v>
      </c>
      <c r="F1764" s="162" t="s">
        <v>364</v>
      </c>
      <c r="G1764" s="163"/>
      <c r="H1764" s="81" t="s">
        <v>2240</v>
      </c>
      <c r="I1764" s="81" t="s">
        <v>1476</v>
      </c>
      <c r="J1764" s="81" t="s">
        <v>153</v>
      </c>
      <c r="K1764" s="81" t="s">
        <v>2254</v>
      </c>
      <c r="L1764" s="81" t="s">
        <v>58</v>
      </c>
      <c r="M1764" s="164">
        <v>4.7627160000000002</v>
      </c>
      <c r="N1764" s="165"/>
      <c r="O1764" s="163"/>
      <c r="P1764" s="82">
        <v>400</v>
      </c>
      <c r="Q1764" s="164">
        <v>0</v>
      </c>
      <c r="R1764" s="163"/>
      <c r="S1764" s="81" t="s">
        <v>58</v>
      </c>
      <c r="T1764" s="82">
        <v>0</v>
      </c>
      <c r="U1764" s="82">
        <v>0</v>
      </c>
      <c r="V1764" s="82">
        <v>0</v>
      </c>
      <c r="W1764" s="82">
        <v>0</v>
      </c>
      <c r="X1764" s="81"/>
      <c r="Y1764" s="81"/>
      <c r="Z1764" s="81" t="s">
        <v>58</v>
      </c>
      <c r="AA1764" s="81" t="s">
        <v>58</v>
      </c>
      <c r="AB1764" s="81" t="s">
        <v>58</v>
      </c>
      <c r="AC1764" s="83">
        <v>46149</v>
      </c>
    </row>
    <row r="1765" spans="2:29" ht="23" x14ac:dyDescent="0.35">
      <c r="B1765" s="81" t="s">
        <v>338</v>
      </c>
      <c r="C1765" s="81" t="s">
        <v>339</v>
      </c>
      <c r="D1765" s="81" t="s">
        <v>340</v>
      </c>
      <c r="E1765" s="81" t="s">
        <v>363</v>
      </c>
      <c r="F1765" s="162" t="s">
        <v>364</v>
      </c>
      <c r="G1765" s="163"/>
      <c r="H1765" s="81" t="s">
        <v>2240</v>
      </c>
      <c r="I1765" s="81" t="s">
        <v>1476</v>
      </c>
      <c r="J1765" s="81" t="s">
        <v>153</v>
      </c>
      <c r="K1765" s="81" t="s">
        <v>2255</v>
      </c>
      <c r="L1765" s="81" t="s">
        <v>58</v>
      </c>
      <c r="M1765" s="164">
        <v>4.7627160000000002</v>
      </c>
      <c r="N1765" s="165"/>
      <c r="O1765" s="163"/>
      <c r="P1765" s="82">
        <v>400</v>
      </c>
      <c r="Q1765" s="164">
        <v>0</v>
      </c>
      <c r="R1765" s="163"/>
      <c r="S1765" s="81" t="s">
        <v>58</v>
      </c>
      <c r="T1765" s="82">
        <v>0</v>
      </c>
      <c r="U1765" s="82">
        <v>0</v>
      </c>
      <c r="V1765" s="82">
        <v>0</v>
      </c>
      <c r="W1765" s="82">
        <v>0</v>
      </c>
      <c r="X1765" s="81"/>
      <c r="Y1765" s="81"/>
      <c r="Z1765" s="81" t="s">
        <v>58</v>
      </c>
      <c r="AA1765" s="81" t="s">
        <v>58</v>
      </c>
      <c r="AB1765" s="81" t="s">
        <v>58</v>
      </c>
      <c r="AC1765" s="83">
        <v>46149</v>
      </c>
    </row>
    <row r="1766" spans="2:29" ht="23" x14ac:dyDescent="0.35">
      <c r="B1766" s="81" t="s">
        <v>338</v>
      </c>
      <c r="C1766" s="81" t="s">
        <v>339</v>
      </c>
      <c r="D1766" s="81" t="s">
        <v>340</v>
      </c>
      <c r="E1766" s="81" t="s">
        <v>363</v>
      </c>
      <c r="F1766" s="162" t="s">
        <v>364</v>
      </c>
      <c r="G1766" s="163"/>
      <c r="H1766" s="81" t="s">
        <v>2240</v>
      </c>
      <c r="I1766" s="81" t="s">
        <v>1476</v>
      </c>
      <c r="J1766" s="81" t="s">
        <v>153</v>
      </c>
      <c r="K1766" s="81" t="s">
        <v>2256</v>
      </c>
      <c r="L1766" s="81" t="s">
        <v>58</v>
      </c>
      <c r="M1766" s="164">
        <v>4.7627160000000002</v>
      </c>
      <c r="N1766" s="165"/>
      <c r="O1766" s="163"/>
      <c r="P1766" s="82">
        <v>400</v>
      </c>
      <c r="Q1766" s="164">
        <v>0</v>
      </c>
      <c r="R1766" s="163"/>
      <c r="S1766" s="81" t="s">
        <v>58</v>
      </c>
      <c r="T1766" s="82">
        <v>0</v>
      </c>
      <c r="U1766" s="82">
        <v>0</v>
      </c>
      <c r="V1766" s="82">
        <v>0</v>
      </c>
      <c r="W1766" s="82">
        <v>0</v>
      </c>
      <c r="X1766" s="81"/>
      <c r="Y1766" s="81"/>
      <c r="Z1766" s="81" t="s">
        <v>58</v>
      </c>
      <c r="AA1766" s="81" t="s">
        <v>58</v>
      </c>
      <c r="AB1766" s="81" t="s">
        <v>58</v>
      </c>
      <c r="AC1766" s="83">
        <v>46149</v>
      </c>
    </row>
    <row r="1767" spans="2:29" ht="23" x14ac:dyDescent="0.35">
      <c r="B1767" s="81" t="s">
        <v>338</v>
      </c>
      <c r="C1767" s="81" t="s">
        <v>339</v>
      </c>
      <c r="D1767" s="81" t="s">
        <v>340</v>
      </c>
      <c r="E1767" s="81" t="s">
        <v>363</v>
      </c>
      <c r="F1767" s="162" t="s">
        <v>364</v>
      </c>
      <c r="G1767" s="163"/>
      <c r="H1767" s="81" t="s">
        <v>2240</v>
      </c>
      <c r="I1767" s="81" t="s">
        <v>1476</v>
      </c>
      <c r="J1767" s="81" t="s">
        <v>153</v>
      </c>
      <c r="K1767" s="81" t="s">
        <v>2257</v>
      </c>
      <c r="L1767" s="81" t="s">
        <v>58</v>
      </c>
      <c r="M1767" s="164">
        <v>4.7627160000000002</v>
      </c>
      <c r="N1767" s="165"/>
      <c r="O1767" s="163"/>
      <c r="P1767" s="82">
        <v>400</v>
      </c>
      <c r="Q1767" s="164">
        <v>0</v>
      </c>
      <c r="R1767" s="163"/>
      <c r="S1767" s="81" t="s">
        <v>58</v>
      </c>
      <c r="T1767" s="82">
        <v>0</v>
      </c>
      <c r="U1767" s="82">
        <v>0</v>
      </c>
      <c r="V1767" s="82">
        <v>0</v>
      </c>
      <c r="W1767" s="82">
        <v>0</v>
      </c>
      <c r="X1767" s="81"/>
      <c r="Y1767" s="81"/>
      <c r="Z1767" s="81" t="s">
        <v>58</v>
      </c>
      <c r="AA1767" s="81" t="s">
        <v>58</v>
      </c>
      <c r="AB1767" s="81" t="s">
        <v>58</v>
      </c>
      <c r="AC1767" s="83">
        <v>46149</v>
      </c>
    </row>
    <row r="1768" spans="2:29" ht="23" x14ac:dyDescent="0.35">
      <c r="B1768" s="81" t="s">
        <v>338</v>
      </c>
      <c r="C1768" s="81" t="s">
        <v>339</v>
      </c>
      <c r="D1768" s="81" t="s">
        <v>340</v>
      </c>
      <c r="E1768" s="81" t="s">
        <v>363</v>
      </c>
      <c r="F1768" s="162" t="s">
        <v>364</v>
      </c>
      <c r="G1768" s="163"/>
      <c r="H1768" s="81" t="s">
        <v>2240</v>
      </c>
      <c r="I1768" s="81" t="s">
        <v>1476</v>
      </c>
      <c r="J1768" s="81" t="s">
        <v>153</v>
      </c>
      <c r="K1768" s="81" t="s">
        <v>2258</v>
      </c>
      <c r="L1768" s="81" t="s">
        <v>58</v>
      </c>
      <c r="M1768" s="164">
        <v>2.9766975000000002</v>
      </c>
      <c r="N1768" s="165"/>
      <c r="O1768" s="163"/>
      <c r="P1768" s="82">
        <v>250</v>
      </c>
      <c r="Q1768" s="164">
        <v>0</v>
      </c>
      <c r="R1768" s="163"/>
      <c r="S1768" s="81" t="s">
        <v>58</v>
      </c>
      <c r="T1768" s="82">
        <v>0</v>
      </c>
      <c r="U1768" s="82">
        <v>0</v>
      </c>
      <c r="V1768" s="82">
        <v>0</v>
      </c>
      <c r="W1768" s="82">
        <v>0</v>
      </c>
      <c r="X1768" s="81"/>
      <c r="Y1768" s="81"/>
      <c r="Z1768" s="81" t="s">
        <v>58</v>
      </c>
      <c r="AA1768" s="81" t="s">
        <v>58</v>
      </c>
      <c r="AB1768" s="81" t="s">
        <v>58</v>
      </c>
      <c r="AC1768" s="83">
        <v>46149</v>
      </c>
    </row>
    <row r="1769" spans="2:29" ht="23" x14ac:dyDescent="0.35">
      <c r="B1769" s="81" t="s">
        <v>338</v>
      </c>
      <c r="C1769" s="81" t="s">
        <v>339</v>
      </c>
      <c r="D1769" s="81" t="s">
        <v>340</v>
      </c>
      <c r="E1769" s="81" t="s">
        <v>363</v>
      </c>
      <c r="F1769" s="162" t="s">
        <v>364</v>
      </c>
      <c r="G1769" s="163"/>
      <c r="H1769" s="81" t="s">
        <v>2240</v>
      </c>
      <c r="I1769" s="81" t="s">
        <v>1476</v>
      </c>
      <c r="J1769" s="81" t="s">
        <v>153</v>
      </c>
      <c r="K1769" s="81" t="s">
        <v>2259</v>
      </c>
      <c r="L1769" s="81" t="s">
        <v>58</v>
      </c>
      <c r="M1769" s="164">
        <v>4.8761140000000003</v>
      </c>
      <c r="N1769" s="165"/>
      <c r="O1769" s="163"/>
      <c r="P1769" s="82">
        <v>400</v>
      </c>
      <c r="Q1769" s="164">
        <v>0</v>
      </c>
      <c r="R1769" s="163"/>
      <c r="S1769" s="81" t="s">
        <v>58</v>
      </c>
      <c r="T1769" s="82">
        <v>0</v>
      </c>
      <c r="U1769" s="82">
        <v>0</v>
      </c>
      <c r="V1769" s="82">
        <v>0</v>
      </c>
      <c r="W1769" s="82">
        <v>0</v>
      </c>
      <c r="X1769" s="81"/>
      <c r="Y1769" s="81"/>
      <c r="Z1769" s="81" t="s">
        <v>58</v>
      </c>
      <c r="AA1769" s="81" t="s">
        <v>58</v>
      </c>
      <c r="AB1769" s="81" t="s">
        <v>58</v>
      </c>
      <c r="AC1769" s="83">
        <v>46149</v>
      </c>
    </row>
    <row r="1770" spans="2:29" ht="23" x14ac:dyDescent="0.35">
      <c r="B1770" s="81" t="s">
        <v>338</v>
      </c>
      <c r="C1770" s="81" t="s">
        <v>339</v>
      </c>
      <c r="D1770" s="81" t="s">
        <v>340</v>
      </c>
      <c r="E1770" s="81" t="s">
        <v>363</v>
      </c>
      <c r="F1770" s="162" t="s">
        <v>364</v>
      </c>
      <c r="G1770" s="163"/>
      <c r="H1770" s="81" t="s">
        <v>2240</v>
      </c>
      <c r="I1770" s="81" t="s">
        <v>1476</v>
      </c>
      <c r="J1770" s="81" t="s">
        <v>153</v>
      </c>
      <c r="K1770" s="81" t="s">
        <v>2260</v>
      </c>
      <c r="L1770" s="81" t="s">
        <v>58</v>
      </c>
      <c r="M1770" s="164">
        <v>4.8761140000000003</v>
      </c>
      <c r="N1770" s="165"/>
      <c r="O1770" s="163"/>
      <c r="P1770" s="82">
        <v>400</v>
      </c>
      <c r="Q1770" s="164">
        <v>0</v>
      </c>
      <c r="R1770" s="163"/>
      <c r="S1770" s="81" t="s">
        <v>58</v>
      </c>
      <c r="T1770" s="82">
        <v>0</v>
      </c>
      <c r="U1770" s="82">
        <v>0</v>
      </c>
      <c r="V1770" s="82">
        <v>0</v>
      </c>
      <c r="W1770" s="82">
        <v>0</v>
      </c>
      <c r="X1770" s="81"/>
      <c r="Y1770" s="81"/>
      <c r="Z1770" s="81" t="s">
        <v>58</v>
      </c>
      <c r="AA1770" s="81" t="s">
        <v>58</v>
      </c>
      <c r="AB1770" s="81" t="s">
        <v>58</v>
      </c>
      <c r="AC1770" s="83">
        <v>46149</v>
      </c>
    </row>
    <row r="1771" spans="2:29" ht="23" x14ac:dyDescent="0.35">
      <c r="B1771" s="81" t="s">
        <v>338</v>
      </c>
      <c r="C1771" s="81" t="s">
        <v>339</v>
      </c>
      <c r="D1771" s="81" t="s">
        <v>340</v>
      </c>
      <c r="E1771" s="81" t="s">
        <v>363</v>
      </c>
      <c r="F1771" s="162" t="s">
        <v>364</v>
      </c>
      <c r="G1771" s="163"/>
      <c r="H1771" s="81" t="s">
        <v>2240</v>
      </c>
      <c r="I1771" s="81" t="s">
        <v>1476</v>
      </c>
      <c r="J1771" s="81" t="s">
        <v>153</v>
      </c>
      <c r="K1771" s="81" t="s">
        <v>2261</v>
      </c>
      <c r="L1771" s="81" t="s">
        <v>58</v>
      </c>
      <c r="M1771" s="164">
        <v>3.5839437900000002</v>
      </c>
      <c r="N1771" s="165"/>
      <c r="O1771" s="163"/>
      <c r="P1771" s="82">
        <v>294</v>
      </c>
      <c r="Q1771" s="164">
        <v>0</v>
      </c>
      <c r="R1771" s="163"/>
      <c r="S1771" s="81" t="s">
        <v>58</v>
      </c>
      <c r="T1771" s="82">
        <v>0</v>
      </c>
      <c r="U1771" s="82">
        <v>0</v>
      </c>
      <c r="V1771" s="82">
        <v>0</v>
      </c>
      <c r="W1771" s="82">
        <v>0</v>
      </c>
      <c r="X1771" s="81"/>
      <c r="Y1771" s="81"/>
      <c r="Z1771" s="81" t="s">
        <v>58</v>
      </c>
      <c r="AA1771" s="81" t="s">
        <v>58</v>
      </c>
      <c r="AB1771" s="81" t="s">
        <v>58</v>
      </c>
      <c r="AC1771" s="83">
        <v>46149</v>
      </c>
    </row>
    <row r="1772" spans="2:29" ht="23" x14ac:dyDescent="0.35">
      <c r="B1772" s="81" t="s">
        <v>338</v>
      </c>
      <c r="C1772" s="81" t="s">
        <v>339</v>
      </c>
      <c r="D1772" s="81" t="s">
        <v>340</v>
      </c>
      <c r="E1772" s="81" t="s">
        <v>363</v>
      </c>
      <c r="F1772" s="162" t="s">
        <v>364</v>
      </c>
      <c r="G1772" s="163"/>
      <c r="H1772" s="81" t="s">
        <v>2240</v>
      </c>
      <c r="I1772" s="81" t="s">
        <v>1476</v>
      </c>
      <c r="J1772" s="81" t="s">
        <v>153</v>
      </c>
      <c r="K1772" s="81" t="s">
        <v>2262</v>
      </c>
      <c r="L1772" s="81" t="s">
        <v>58</v>
      </c>
      <c r="M1772" s="164">
        <v>5.0121916000000004</v>
      </c>
      <c r="N1772" s="165"/>
      <c r="O1772" s="163"/>
      <c r="P1772" s="82">
        <v>400</v>
      </c>
      <c r="Q1772" s="164">
        <v>0</v>
      </c>
      <c r="R1772" s="163"/>
      <c r="S1772" s="81" t="s">
        <v>58</v>
      </c>
      <c r="T1772" s="82">
        <v>0</v>
      </c>
      <c r="U1772" s="82">
        <v>0</v>
      </c>
      <c r="V1772" s="82">
        <v>0</v>
      </c>
      <c r="W1772" s="82">
        <v>0</v>
      </c>
      <c r="X1772" s="81"/>
      <c r="Y1772" s="81"/>
      <c r="Z1772" s="81" t="s">
        <v>58</v>
      </c>
      <c r="AA1772" s="81" t="s">
        <v>58</v>
      </c>
      <c r="AB1772" s="81" t="s">
        <v>58</v>
      </c>
      <c r="AC1772" s="83">
        <v>46149</v>
      </c>
    </row>
    <row r="1773" spans="2:29" ht="23" x14ac:dyDescent="0.35">
      <c r="B1773" s="81" t="s">
        <v>338</v>
      </c>
      <c r="C1773" s="81" t="s">
        <v>339</v>
      </c>
      <c r="D1773" s="81" t="s">
        <v>340</v>
      </c>
      <c r="E1773" s="81" t="s">
        <v>363</v>
      </c>
      <c r="F1773" s="162" t="s">
        <v>364</v>
      </c>
      <c r="G1773" s="163"/>
      <c r="H1773" s="81" t="s">
        <v>2240</v>
      </c>
      <c r="I1773" s="81" t="s">
        <v>1476</v>
      </c>
      <c r="J1773" s="81" t="s">
        <v>153</v>
      </c>
      <c r="K1773" s="81" t="s">
        <v>2263</v>
      </c>
      <c r="L1773" s="81" t="s">
        <v>58</v>
      </c>
      <c r="M1773" s="164">
        <v>2.1803033460000001</v>
      </c>
      <c r="N1773" s="165"/>
      <c r="O1773" s="163"/>
      <c r="P1773" s="82">
        <v>174</v>
      </c>
      <c r="Q1773" s="164">
        <v>0</v>
      </c>
      <c r="R1773" s="163"/>
      <c r="S1773" s="81" t="s">
        <v>58</v>
      </c>
      <c r="T1773" s="82">
        <v>0</v>
      </c>
      <c r="U1773" s="82">
        <v>0</v>
      </c>
      <c r="V1773" s="82">
        <v>0</v>
      </c>
      <c r="W1773" s="82">
        <v>0</v>
      </c>
      <c r="X1773" s="81"/>
      <c r="Y1773" s="81"/>
      <c r="Z1773" s="81" t="s">
        <v>58</v>
      </c>
      <c r="AA1773" s="81" t="s">
        <v>58</v>
      </c>
      <c r="AB1773" s="81" t="s">
        <v>58</v>
      </c>
      <c r="AC1773" s="83">
        <v>46149</v>
      </c>
    </row>
    <row r="1774" spans="2:29" ht="23" x14ac:dyDescent="0.35">
      <c r="B1774" s="81" t="s">
        <v>338</v>
      </c>
      <c r="C1774" s="81" t="s">
        <v>339</v>
      </c>
      <c r="D1774" s="81" t="s">
        <v>340</v>
      </c>
      <c r="E1774" s="81" t="s">
        <v>475</v>
      </c>
      <c r="F1774" s="162" t="s">
        <v>476</v>
      </c>
      <c r="G1774" s="163"/>
      <c r="H1774" s="81" t="s">
        <v>2264</v>
      </c>
      <c r="I1774" s="81" t="s">
        <v>1476</v>
      </c>
      <c r="J1774" s="81" t="s">
        <v>153</v>
      </c>
      <c r="K1774" s="81" t="s">
        <v>2265</v>
      </c>
      <c r="L1774" s="81" t="s">
        <v>58</v>
      </c>
      <c r="M1774" s="164">
        <v>4.6493180000000001</v>
      </c>
      <c r="N1774" s="165"/>
      <c r="O1774" s="163"/>
      <c r="P1774" s="82">
        <v>400</v>
      </c>
      <c r="Q1774" s="164">
        <v>0</v>
      </c>
      <c r="R1774" s="163"/>
      <c r="S1774" s="81" t="s">
        <v>58</v>
      </c>
      <c r="T1774" s="82">
        <v>0</v>
      </c>
      <c r="U1774" s="82">
        <v>0</v>
      </c>
      <c r="V1774" s="82">
        <v>0</v>
      </c>
      <c r="W1774" s="82">
        <v>0</v>
      </c>
      <c r="X1774" s="81"/>
      <c r="Y1774" s="81"/>
      <c r="Z1774" s="81" t="s">
        <v>58</v>
      </c>
      <c r="AA1774" s="81" t="s">
        <v>58</v>
      </c>
      <c r="AB1774" s="81" t="s">
        <v>58</v>
      </c>
      <c r="AC1774" s="83">
        <v>46153</v>
      </c>
    </row>
    <row r="1775" spans="2:29" ht="23" x14ac:dyDescent="0.35">
      <c r="B1775" s="81" t="s">
        <v>338</v>
      </c>
      <c r="C1775" s="81" t="s">
        <v>339</v>
      </c>
      <c r="D1775" s="81" t="s">
        <v>340</v>
      </c>
      <c r="E1775" s="81" t="s">
        <v>475</v>
      </c>
      <c r="F1775" s="162" t="s">
        <v>476</v>
      </c>
      <c r="G1775" s="163"/>
      <c r="H1775" s="81" t="s">
        <v>2264</v>
      </c>
      <c r="I1775" s="81" t="s">
        <v>1476</v>
      </c>
      <c r="J1775" s="81" t="s">
        <v>153</v>
      </c>
      <c r="K1775" s="81" t="s">
        <v>2266</v>
      </c>
      <c r="L1775" s="81" t="s">
        <v>58</v>
      </c>
      <c r="M1775" s="164">
        <v>4.6493180000000001</v>
      </c>
      <c r="N1775" s="165"/>
      <c r="O1775" s="163"/>
      <c r="P1775" s="82">
        <v>400</v>
      </c>
      <c r="Q1775" s="164">
        <v>0</v>
      </c>
      <c r="R1775" s="163"/>
      <c r="S1775" s="81" t="s">
        <v>58</v>
      </c>
      <c r="T1775" s="82">
        <v>0</v>
      </c>
      <c r="U1775" s="82">
        <v>0</v>
      </c>
      <c r="V1775" s="82">
        <v>0</v>
      </c>
      <c r="W1775" s="82">
        <v>0</v>
      </c>
      <c r="X1775" s="81"/>
      <c r="Y1775" s="81"/>
      <c r="Z1775" s="81" t="s">
        <v>58</v>
      </c>
      <c r="AA1775" s="81" t="s">
        <v>58</v>
      </c>
      <c r="AB1775" s="81" t="s">
        <v>58</v>
      </c>
      <c r="AC1775" s="83">
        <v>46153</v>
      </c>
    </row>
    <row r="1776" spans="2:29" ht="23" x14ac:dyDescent="0.35">
      <c r="B1776" s="81" t="s">
        <v>338</v>
      </c>
      <c r="C1776" s="81" t="s">
        <v>339</v>
      </c>
      <c r="D1776" s="81" t="s">
        <v>340</v>
      </c>
      <c r="E1776" s="81" t="s">
        <v>475</v>
      </c>
      <c r="F1776" s="162" t="s">
        <v>476</v>
      </c>
      <c r="G1776" s="163"/>
      <c r="H1776" s="81" t="s">
        <v>2264</v>
      </c>
      <c r="I1776" s="81" t="s">
        <v>1476</v>
      </c>
      <c r="J1776" s="81" t="s">
        <v>153</v>
      </c>
      <c r="K1776" s="81" t="s">
        <v>2267</v>
      </c>
      <c r="L1776" s="81" t="s">
        <v>58</v>
      </c>
      <c r="M1776" s="164">
        <v>4.6493180000000001</v>
      </c>
      <c r="N1776" s="165"/>
      <c r="O1776" s="163"/>
      <c r="P1776" s="82">
        <v>400</v>
      </c>
      <c r="Q1776" s="164">
        <v>0</v>
      </c>
      <c r="R1776" s="163"/>
      <c r="S1776" s="81" t="s">
        <v>58</v>
      </c>
      <c r="T1776" s="82">
        <v>0</v>
      </c>
      <c r="U1776" s="82">
        <v>0</v>
      </c>
      <c r="V1776" s="82">
        <v>0</v>
      </c>
      <c r="W1776" s="82">
        <v>0</v>
      </c>
      <c r="X1776" s="81"/>
      <c r="Y1776" s="81"/>
      <c r="Z1776" s="81" t="s">
        <v>58</v>
      </c>
      <c r="AA1776" s="81" t="s">
        <v>58</v>
      </c>
      <c r="AB1776" s="81" t="s">
        <v>58</v>
      </c>
      <c r="AC1776" s="83">
        <v>46153</v>
      </c>
    </row>
    <row r="1777" spans="2:29" ht="23" x14ac:dyDescent="0.35">
      <c r="B1777" s="81" t="s">
        <v>338</v>
      </c>
      <c r="C1777" s="81" t="s">
        <v>339</v>
      </c>
      <c r="D1777" s="81" t="s">
        <v>340</v>
      </c>
      <c r="E1777" s="81" t="s">
        <v>475</v>
      </c>
      <c r="F1777" s="162" t="s">
        <v>476</v>
      </c>
      <c r="G1777" s="163"/>
      <c r="H1777" s="81" t="s">
        <v>2268</v>
      </c>
      <c r="I1777" s="81" t="s">
        <v>1436</v>
      </c>
      <c r="J1777" s="81" t="s">
        <v>154</v>
      </c>
      <c r="K1777" s="81" t="s">
        <v>2269</v>
      </c>
      <c r="L1777" s="81" t="s">
        <v>58</v>
      </c>
      <c r="M1777" s="164">
        <v>5.8399970000000003</v>
      </c>
      <c r="N1777" s="165"/>
      <c r="O1777" s="163"/>
      <c r="P1777" s="82">
        <v>200</v>
      </c>
      <c r="Q1777" s="164">
        <v>0</v>
      </c>
      <c r="R1777" s="163"/>
      <c r="S1777" s="81" t="s">
        <v>58</v>
      </c>
      <c r="T1777" s="82">
        <v>0</v>
      </c>
      <c r="U1777" s="82">
        <v>0</v>
      </c>
      <c r="V1777" s="82">
        <v>0</v>
      </c>
      <c r="W1777" s="82">
        <v>0</v>
      </c>
      <c r="X1777" s="81"/>
      <c r="Y1777" s="81"/>
      <c r="Z1777" s="81" t="s">
        <v>58</v>
      </c>
      <c r="AA1777" s="81" t="s">
        <v>58</v>
      </c>
      <c r="AB1777" s="81" t="s">
        <v>58</v>
      </c>
      <c r="AC1777" s="83">
        <v>46153</v>
      </c>
    </row>
    <row r="1778" spans="2:29" ht="23" x14ac:dyDescent="0.35">
      <c r="B1778" s="81" t="s">
        <v>338</v>
      </c>
      <c r="C1778" s="81" t="s">
        <v>339</v>
      </c>
      <c r="D1778" s="81" t="s">
        <v>340</v>
      </c>
      <c r="E1778" s="81" t="s">
        <v>475</v>
      </c>
      <c r="F1778" s="162" t="s">
        <v>476</v>
      </c>
      <c r="G1778" s="163"/>
      <c r="H1778" s="81" t="s">
        <v>2268</v>
      </c>
      <c r="I1778" s="81" t="s">
        <v>1436</v>
      </c>
      <c r="J1778" s="81" t="s">
        <v>154</v>
      </c>
      <c r="K1778" s="81" t="s">
        <v>2270</v>
      </c>
      <c r="L1778" s="81" t="s">
        <v>58</v>
      </c>
      <c r="M1778" s="164">
        <v>5.8399970000000003</v>
      </c>
      <c r="N1778" s="165"/>
      <c r="O1778" s="163"/>
      <c r="P1778" s="82">
        <v>200</v>
      </c>
      <c r="Q1778" s="164">
        <v>0</v>
      </c>
      <c r="R1778" s="163"/>
      <c r="S1778" s="81" t="s">
        <v>58</v>
      </c>
      <c r="T1778" s="82">
        <v>0</v>
      </c>
      <c r="U1778" s="82">
        <v>0</v>
      </c>
      <c r="V1778" s="82">
        <v>0</v>
      </c>
      <c r="W1778" s="82">
        <v>0</v>
      </c>
      <c r="X1778" s="81"/>
      <c r="Y1778" s="81"/>
      <c r="Z1778" s="81" t="s">
        <v>58</v>
      </c>
      <c r="AA1778" s="81" t="s">
        <v>58</v>
      </c>
      <c r="AB1778" s="81" t="s">
        <v>58</v>
      </c>
      <c r="AC1778" s="83">
        <v>46153</v>
      </c>
    </row>
    <row r="1779" spans="2:29" ht="23" x14ac:dyDescent="0.35">
      <c r="B1779" s="81" t="s">
        <v>338</v>
      </c>
      <c r="C1779" s="81" t="s">
        <v>339</v>
      </c>
      <c r="D1779" s="81" t="s">
        <v>340</v>
      </c>
      <c r="E1779" s="81" t="s">
        <v>475</v>
      </c>
      <c r="F1779" s="162" t="s">
        <v>476</v>
      </c>
      <c r="G1779" s="163"/>
      <c r="H1779" s="81" t="s">
        <v>2268</v>
      </c>
      <c r="I1779" s="81" t="s">
        <v>1436</v>
      </c>
      <c r="J1779" s="81" t="s">
        <v>154</v>
      </c>
      <c r="K1779" s="81" t="s">
        <v>2271</v>
      </c>
      <c r="L1779" s="81" t="s">
        <v>58</v>
      </c>
      <c r="M1779" s="164">
        <v>5.8399970000000003</v>
      </c>
      <c r="N1779" s="165"/>
      <c r="O1779" s="163"/>
      <c r="P1779" s="82">
        <v>200</v>
      </c>
      <c r="Q1779" s="164">
        <v>0</v>
      </c>
      <c r="R1779" s="163"/>
      <c r="S1779" s="81" t="s">
        <v>58</v>
      </c>
      <c r="T1779" s="82">
        <v>0</v>
      </c>
      <c r="U1779" s="82">
        <v>0</v>
      </c>
      <c r="V1779" s="82">
        <v>0</v>
      </c>
      <c r="W1779" s="82">
        <v>0</v>
      </c>
      <c r="X1779" s="81"/>
      <c r="Y1779" s="81"/>
      <c r="Z1779" s="81" t="s">
        <v>58</v>
      </c>
      <c r="AA1779" s="81" t="s">
        <v>58</v>
      </c>
      <c r="AB1779" s="81" t="s">
        <v>58</v>
      </c>
      <c r="AC1779" s="83">
        <v>46153</v>
      </c>
    </row>
    <row r="1780" spans="2:29" ht="23" x14ac:dyDescent="0.35">
      <c r="B1780" s="81" t="s">
        <v>338</v>
      </c>
      <c r="C1780" s="81" t="s">
        <v>339</v>
      </c>
      <c r="D1780" s="81" t="s">
        <v>340</v>
      </c>
      <c r="E1780" s="81" t="s">
        <v>406</v>
      </c>
      <c r="F1780" s="162" t="s">
        <v>407</v>
      </c>
      <c r="G1780" s="163"/>
      <c r="H1780" s="81" t="s">
        <v>2140</v>
      </c>
      <c r="I1780" s="81" t="s">
        <v>1436</v>
      </c>
      <c r="J1780" s="81" t="s">
        <v>154</v>
      </c>
      <c r="K1780" s="81" t="s">
        <v>2272</v>
      </c>
      <c r="L1780" s="81" t="s">
        <v>58</v>
      </c>
      <c r="M1780" s="164">
        <v>0.282077525</v>
      </c>
      <c r="N1780" s="165"/>
      <c r="O1780" s="163"/>
      <c r="P1780" s="82">
        <v>10</v>
      </c>
      <c r="Q1780" s="164">
        <v>0</v>
      </c>
      <c r="R1780" s="163"/>
      <c r="S1780" s="81" t="s">
        <v>58</v>
      </c>
      <c r="T1780" s="82">
        <v>0</v>
      </c>
      <c r="U1780" s="82">
        <v>0</v>
      </c>
      <c r="V1780" s="82">
        <v>0</v>
      </c>
      <c r="W1780" s="82">
        <v>0</v>
      </c>
      <c r="X1780" s="81"/>
      <c r="Y1780" s="81"/>
      <c r="Z1780" s="81" t="s">
        <v>58</v>
      </c>
      <c r="AA1780" s="81" t="s">
        <v>58</v>
      </c>
      <c r="AB1780" s="81" t="s">
        <v>58</v>
      </c>
      <c r="AC1780" s="83">
        <v>46155</v>
      </c>
    </row>
    <row r="1781" spans="2:29" ht="23" x14ac:dyDescent="0.35">
      <c r="B1781" s="81" t="s">
        <v>338</v>
      </c>
      <c r="C1781" s="81" t="s">
        <v>339</v>
      </c>
      <c r="D1781" s="81" t="s">
        <v>340</v>
      </c>
      <c r="E1781" s="81" t="s">
        <v>406</v>
      </c>
      <c r="F1781" s="162" t="s">
        <v>407</v>
      </c>
      <c r="G1781" s="163"/>
      <c r="H1781" s="81" t="s">
        <v>2140</v>
      </c>
      <c r="I1781" s="81" t="s">
        <v>1436</v>
      </c>
      <c r="J1781" s="81" t="s">
        <v>154</v>
      </c>
      <c r="K1781" s="81" t="s">
        <v>2273</v>
      </c>
      <c r="L1781" s="81" t="s">
        <v>58</v>
      </c>
      <c r="M1781" s="164">
        <v>0.29199985000000001</v>
      </c>
      <c r="N1781" s="165"/>
      <c r="O1781" s="163"/>
      <c r="P1781" s="82">
        <v>10</v>
      </c>
      <c r="Q1781" s="164">
        <v>0</v>
      </c>
      <c r="R1781" s="163"/>
      <c r="S1781" s="81" t="s">
        <v>58</v>
      </c>
      <c r="T1781" s="82">
        <v>0</v>
      </c>
      <c r="U1781" s="82">
        <v>0</v>
      </c>
      <c r="V1781" s="82">
        <v>0</v>
      </c>
      <c r="W1781" s="82">
        <v>0</v>
      </c>
      <c r="X1781" s="81"/>
      <c r="Y1781" s="81"/>
      <c r="Z1781" s="81" t="s">
        <v>58</v>
      </c>
      <c r="AA1781" s="81" t="s">
        <v>58</v>
      </c>
      <c r="AB1781" s="81" t="s">
        <v>58</v>
      </c>
      <c r="AC1781" s="83">
        <v>46155</v>
      </c>
    </row>
    <row r="1782" spans="2:29" ht="23" x14ac:dyDescent="0.35">
      <c r="B1782" s="81" t="s">
        <v>338</v>
      </c>
      <c r="C1782" s="81" t="s">
        <v>339</v>
      </c>
      <c r="D1782" s="81" t="s">
        <v>340</v>
      </c>
      <c r="E1782" s="81" t="s">
        <v>406</v>
      </c>
      <c r="F1782" s="162" t="s">
        <v>407</v>
      </c>
      <c r="G1782" s="163"/>
      <c r="H1782" s="81" t="s">
        <v>2158</v>
      </c>
      <c r="I1782" s="81" t="s">
        <v>1476</v>
      </c>
      <c r="J1782" s="81" t="s">
        <v>153</v>
      </c>
      <c r="K1782" s="81" t="s">
        <v>2274</v>
      </c>
      <c r="L1782" s="81" t="s">
        <v>58</v>
      </c>
      <c r="M1782" s="164">
        <v>0.226796</v>
      </c>
      <c r="N1782" s="165"/>
      <c r="O1782" s="163"/>
      <c r="P1782" s="82">
        <v>20</v>
      </c>
      <c r="Q1782" s="164">
        <v>0</v>
      </c>
      <c r="R1782" s="163"/>
      <c r="S1782" s="81" t="s">
        <v>58</v>
      </c>
      <c r="T1782" s="82">
        <v>0</v>
      </c>
      <c r="U1782" s="82">
        <v>0</v>
      </c>
      <c r="V1782" s="82">
        <v>0</v>
      </c>
      <c r="W1782" s="82">
        <v>0</v>
      </c>
      <c r="X1782" s="81"/>
      <c r="Y1782" s="81"/>
      <c r="Z1782" s="81" t="s">
        <v>58</v>
      </c>
      <c r="AA1782" s="81" t="s">
        <v>58</v>
      </c>
      <c r="AB1782" s="81" t="s">
        <v>58</v>
      </c>
      <c r="AC1782" s="83">
        <v>46155</v>
      </c>
    </row>
    <row r="1783" spans="2:29" ht="23" x14ac:dyDescent="0.35">
      <c r="B1783" s="81" t="s">
        <v>338</v>
      </c>
      <c r="C1783" s="81" t="s">
        <v>339</v>
      </c>
      <c r="D1783" s="81" t="s">
        <v>340</v>
      </c>
      <c r="E1783" s="81" t="s">
        <v>406</v>
      </c>
      <c r="F1783" s="162" t="s">
        <v>407</v>
      </c>
      <c r="G1783" s="163"/>
      <c r="H1783" s="81" t="s">
        <v>2158</v>
      </c>
      <c r="I1783" s="81" t="s">
        <v>1476</v>
      </c>
      <c r="J1783" s="81" t="s">
        <v>153</v>
      </c>
      <c r="K1783" s="81" t="s">
        <v>2275</v>
      </c>
      <c r="L1783" s="81" t="s">
        <v>58</v>
      </c>
      <c r="M1783" s="164">
        <v>0.2324659</v>
      </c>
      <c r="N1783" s="165"/>
      <c r="O1783" s="163"/>
      <c r="P1783" s="82">
        <v>20</v>
      </c>
      <c r="Q1783" s="164">
        <v>0</v>
      </c>
      <c r="R1783" s="163"/>
      <c r="S1783" s="81" t="s">
        <v>58</v>
      </c>
      <c r="T1783" s="82">
        <v>0</v>
      </c>
      <c r="U1783" s="82">
        <v>0</v>
      </c>
      <c r="V1783" s="82">
        <v>0</v>
      </c>
      <c r="W1783" s="82">
        <v>0</v>
      </c>
      <c r="X1783" s="81"/>
      <c r="Y1783" s="81"/>
      <c r="Z1783" s="81" t="s">
        <v>58</v>
      </c>
      <c r="AA1783" s="81" t="s">
        <v>58</v>
      </c>
      <c r="AB1783" s="81" t="s">
        <v>58</v>
      </c>
      <c r="AC1783" s="83">
        <v>46155</v>
      </c>
    </row>
    <row r="1784" spans="2:29" ht="23" x14ac:dyDescent="0.35">
      <c r="B1784" s="81" t="s">
        <v>338</v>
      </c>
      <c r="C1784" s="81" t="s">
        <v>339</v>
      </c>
      <c r="D1784" s="81" t="s">
        <v>340</v>
      </c>
      <c r="E1784" s="81" t="s">
        <v>475</v>
      </c>
      <c r="F1784" s="162" t="s">
        <v>476</v>
      </c>
      <c r="G1784" s="163"/>
      <c r="H1784" s="81" t="s">
        <v>2106</v>
      </c>
      <c r="I1784" s="81" t="s">
        <v>1436</v>
      </c>
      <c r="J1784" s="81" t="s">
        <v>154</v>
      </c>
      <c r="K1784" s="81" t="s">
        <v>2276</v>
      </c>
      <c r="L1784" s="81" t="s">
        <v>58</v>
      </c>
      <c r="M1784" s="164">
        <v>0.282077525</v>
      </c>
      <c r="N1784" s="165"/>
      <c r="O1784" s="163"/>
      <c r="P1784" s="82">
        <v>10</v>
      </c>
      <c r="Q1784" s="164">
        <v>0</v>
      </c>
      <c r="R1784" s="163"/>
      <c r="S1784" s="81" t="s">
        <v>58</v>
      </c>
      <c r="T1784" s="82">
        <v>0</v>
      </c>
      <c r="U1784" s="82">
        <v>0</v>
      </c>
      <c r="V1784" s="82">
        <v>0</v>
      </c>
      <c r="W1784" s="82">
        <v>0</v>
      </c>
      <c r="X1784" s="81"/>
      <c r="Y1784" s="81"/>
      <c r="Z1784" s="81" t="s">
        <v>58</v>
      </c>
      <c r="AA1784" s="81" t="s">
        <v>58</v>
      </c>
      <c r="AB1784" s="81" t="s">
        <v>58</v>
      </c>
      <c r="AC1784" s="83">
        <v>46155</v>
      </c>
    </row>
    <row r="1785" spans="2:29" ht="23" x14ac:dyDescent="0.35">
      <c r="B1785" s="81" t="s">
        <v>338</v>
      </c>
      <c r="C1785" s="81" t="s">
        <v>339</v>
      </c>
      <c r="D1785" s="81" t="s">
        <v>340</v>
      </c>
      <c r="E1785" s="81" t="s">
        <v>475</v>
      </c>
      <c r="F1785" s="162" t="s">
        <v>476</v>
      </c>
      <c r="G1785" s="163"/>
      <c r="H1785" s="81" t="s">
        <v>2106</v>
      </c>
      <c r="I1785" s="81" t="s">
        <v>1436</v>
      </c>
      <c r="J1785" s="81" t="s">
        <v>154</v>
      </c>
      <c r="K1785" s="81" t="s">
        <v>2277</v>
      </c>
      <c r="L1785" s="81" t="s">
        <v>58</v>
      </c>
      <c r="M1785" s="164">
        <v>0.29199985000000001</v>
      </c>
      <c r="N1785" s="165"/>
      <c r="O1785" s="163"/>
      <c r="P1785" s="82">
        <v>10</v>
      </c>
      <c r="Q1785" s="164">
        <v>0</v>
      </c>
      <c r="R1785" s="163"/>
      <c r="S1785" s="81" t="s">
        <v>58</v>
      </c>
      <c r="T1785" s="82">
        <v>0</v>
      </c>
      <c r="U1785" s="82">
        <v>0</v>
      </c>
      <c r="V1785" s="82">
        <v>0</v>
      </c>
      <c r="W1785" s="82">
        <v>0</v>
      </c>
      <c r="X1785" s="81"/>
      <c r="Y1785" s="81"/>
      <c r="Z1785" s="81" t="s">
        <v>58</v>
      </c>
      <c r="AA1785" s="81" t="s">
        <v>58</v>
      </c>
      <c r="AB1785" s="81" t="s">
        <v>58</v>
      </c>
      <c r="AC1785" s="83">
        <v>46155</v>
      </c>
    </row>
    <row r="1786" spans="2:29" ht="23" x14ac:dyDescent="0.35">
      <c r="B1786" s="81" t="s">
        <v>338</v>
      </c>
      <c r="C1786" s="81" t="s">
        <v>339</v>
      </c>
      <c r="D1786" s="81" t="s">
        <v>340</v>
      </c>
      <c r="E1786" s="81" t="s">
        <v>475</v>
      </c>
      <c r="F1786" s="162" t="s">
        <v>476</v>
      </c>
      <c r="G1786" s="163"/>
      <c r="H1786" s="81" t="s">
        <v>2123</v>
      </c>
      <c r="I1786" s="81" t="s">
        <v>1476</v>
      </c>
      <c r="J1786" s="81" t="s">
        <v>153</v>
      </c>
      <c r="K1786" s="81" t="s">
        <v>2278</v>
      </c>
      <c r="L1786" s="81" t="s">
        <v>58</v>
      </c>
      <c r="M1786" s="164">
        <v>0.2324659</v>
      </c>
      <c r="N1786" s="165"/>
      <c r="O1786" s="163"/>
      <c r="P1786" s="82">
        <v>20</v>
      </c>
      <c r="Q1786" s="164">
        <v>0</v>
      </c>
      <c r="R1786" s="163"/>
      <c r="S1786" s="81" t="s">
        <v>58</v>
      </c>
      <c r="T1786" s="82">
        <v>0</v>
      </c>
      <c r="U1786" s="82">
        <v>0</v>
      </c>
      <c r="V1786" s="82">
        <v>0</v>
      </c>
      <c r="W1786" s="82">
        <v>0</v>
      </c>
      <c r="X1786" s="81"/>
      <c r="Y1786" s="81"/>
      <c r="Z1786" s="81" t="s">
        <v>58</v>
      </c>
      <c r="AA1786" s="81" t="s">
        <v>58</v>
      </c>
      <c r="AB1786" s="81" t="s">
        <v>58</v>
      </c>
      <c r="AC1786" s="83">
        <v>46155</v>
      </c>
    </row>
    <row r="1787" spans="2:29" ht="23" x14ac:dyDescent="0.35">
      <c r="B1787" s="81" t="s">
        <v>338</v>
      </c>
      <c r="C1787" s="81" t="s">
        <v>339</v>
      </c>
      <c r="D1787" s="81" t="s">
        <v>340</v>
      </c>
      <c r="E1787" s="81" t="s">
        <v>475</v>
      </c>
      <c r="F1787" s="162" t="s">
        <v>476</v>
      </c>
      <c r="G1787" s="163"/>
      <c r="H1787" s="81" t="s">
        <v>2123</v>
      </c>
      <c r="I1787" s="81" t="s">
        <v>1476</v>
      </c>
      <c r="J1787" s="81" t="s">
        <v>153</v>
      </c>
      <c r="K1787" s="81" t="s">
        <v>2279</v>
      </c>
      <c r="L1787" s="81" t="s">
        <v>58</v>
      </c>
      <c r="M1787" s="164">
        <v>0.226796</v>
      </c>
      <c r="N1787" s="165"/>
      <c r="O1787" s="163"/>
      <c r="P1787" s="82">
        <v>20</v>
      </c>
      <c r="Q1787" s="164">
        <v>0</v>
      </c>
      <c r="R1787" s="163"/>
      <c r="S1787" s="81" t="s">
        <v>58</v>
      </c>
      <c r="T1787" s="82">
        <v>0</v>
      </c>
      <c r="U1787" s="82">
        <v>0</v>
      </c>
      <c r="V1787" s="82">
        <v>0</v>
      </c>
      <c r="W1787" s="82">
        <v>0</v>
      </c>
      <c r="X1787" s="81"/>
      <c r="Y1787" s="81"/>
      <c r="Z1787" s="81" t="s">
        <v>58</v>
      </c>
      <c r="AA1787" s="81" t="s">
        <v>58</v>
      </c>
      <c r="AB1787" s="81" t="s">
        <v>58</v>
      </c>
      <c r="AC1787" s="83">
        <v>46155</v>
      </c>
    </row>
    <row r="1788" spans="2:29" ht="23" x14ac:dyDescent="0.35">
      <c r="B1788" s="81" t="s">
        <v>338</v>
      </c>
      <c r="C1788" s="81" t="s">
        <v>339</v>
      </c>
      <c r="D1788" s="81" t="s">
        <v>340</v>
      </c>
      <c r="E1788" s="81" t="s">
        <v>341</v>
      </c>
      <c r="F1788" s="162" t="s">
        <v>342</v>
      </c>
      <c r="G1788" s="163"/>
      <c r="H1788" s="81" t="s">
        <v>2176</v>
      </c>
      <c r="I1788" s="81" t="s">
        <v>1885</v>
      </c>
      <c r="J1788" s="81" t="s">
        <v>154</v>
      </c>
      <c r="K1788" s="81" t="s">
        <v>2280</v>
      </c>
      <c r="L1788" s="81" t="s">
        <v>58</v>
      </c>
      <c r="M1788" s="164">
        <v>0.282077525</v>
      </c>
      <c r="N1788" s="165"/>
      <c r="O1788" s="163"/>
      <c r="P1788" s="82">
        <v>10</v>
      </c>
      <c r="Q1788" s="164">
        <v>0</v>
      </c>
      <c r="R1788" s="163"/>
      <c r="S1788" s="81" t="s">
        <v>58</v>
      </c>
      <c r="T1788" s="82">
        <v>0</v>
      </c>
      <c r="U1788" s="82">
        <v>0</v>
      </c>
      <c r="V1788" s="82">
        <v>0</v>
      </c>
      <c r="W1788" s="82">
        <v>0</v>
      </c>
      <c r="X1788" s="81"/>
      <c r="Y1788" s="81"/>
      <c r="Z1788" s="81" t="s">
        <v>58</v>
      </c>
      <c r="AA1788" s="81" t="s">
        <v>58</v>
      </c>
      <c r="AB1788" s="81" t="s">
        <v>58</v>
      </c>
      <c r="AC1788" s="83">
        <v>46155</v>
      </c>
    </row>
    <row r="1789" spans="2:29" ht="23" x14ac:dyDescent="0.35">
      <c r="B1789" s="81" t="s">
        <v>338</v>
      </c>
      <c r="C1789" s="81" t="s">
        <v>339</v>
      </c>
      <c r="D1789" s="81" t="s">
        <v>340</v>
      </c>
      <c r="E1789" s="81" t="s">
        <v>341</v>
      </c>
      <c r="F1789" s="162" t="s">
        <v>342</v>
      </c>
      <c r="G1789" s="163"/>
      <c r="H1789" s="81" t="s">
        <v>2176</v>
      </c>
      <c r="I1789" s="81" t="s">
        <v>1885</v>
      </c>
      <c r="J1789" s="81" t="s">
        <v>154</v>
      </c>
      <c r="K1789" s="81" t="s">
        <v>2281</v>
      </c>
      <c r="L1789" s="81" t="s">
        <v>58</v>
      </c>
      <c r="M1789" s="164">
        <v>0.29199985000000001</v>
      </c>
      <c r="N1789" s="165"/>
      <c r="O1789" s="163"/>
      <c r="P1789" s="82">
        <v>10</v>
      </c>
      <c r="Q1789" s="164">
        <v>0</v>
      </c>
      <c r="R1789" s="163"/>
      <c r="S1789" s="81" t="s">
        <v>58</v>
      </c>
      <c r="T1789" s="82">
        <v>0</v>
      </c>
      <c r="U1789" s="82">
        <v>0</v>
      </c>
      <c r="V1789" s="82">
        <v>0</v>
      </c>
      <c r="W1789" s="82">
        <v>0</v>
      </c>
      <c r="X1789" s="81"/>
      <c r="Y1789" s="81"/>
      <c r="Z1789" s="81" t="s">
        <v>58</v>
      </c>
      <c r="AA1789" s="81" t="s">
        <v>58</v>
      </c>
      <c r="AB1789" s="81" t="s">
        <v>58</v>
      </c>
      <c r="AC1789" s="83">
        <v>46155</v>
      </c>
    </row>
    <row r="1790" spans="2:29" ht="23" x14ac:dyDescent="0.35">
      <c r="B1790" s="81" t="s">
        <v>338</v>
      </c>
      <c r="C1790" s="81" t="s">
        <v>339</v>
      </c>
      <c r="D1790" s="81" t="s">
        <v>340</v>
      </c>
      <c r="E1790" s="81" t="s">
        <v>341</v>
      </c>
      <c r="F1790" s="162" t="s">
        <v>342</v>
      </c>
      <c r="G1790" s="163"/>
      <c r="H1790" s="81" t="s">
        <v>2196</v>
      </c>
      <c r="I1790" s="81" t="s">
        <v>1928</v>
      </c>
      <c r="J1790" s="81" t="s">
        <v>153</v>
      </c>
      <c r="K1790" s="81" t="s">
        <v>2282</v>
      </c>
      <c r="L1790" s="81" t="s">
        <v>58</v>
      </c>
      <c r="M1790" s="164">
        <v>0.226796</v>
      </c>
      <c r="N1790" s="165"/>
      <c r="O1790" s="163"/>
      <c r="P1790" s="82">
        <v>20</v>
      </c>
      <c r="Q1790" s="164">
        <v>0</v>
      </c>
      <c r="R1790" s="163"/>
      <c r="S1790" s="81" t="s">
        <v>58</v>
      </c>
      <c r="T1790" s="82">
        <v>0</v>
      </c>
      <c r="U1790" s="82">
        <v>0</v>
      </c>
      <c r="V1790" s="82">
        <v>0</v>
      </c>
      <c r="W1790" s="82">
        <v>0</v>
      </c>
      <c r="X1790" s="81"/>
      <c r="Y1790" s="81"/>
      <c r="Z1790" s="81" t="s">
        <v>58</v>
      </c>
      <c r="AA1790" s="81" t="s">
        <v>58</v>
      </c>
      <c r="AB1790" s="81" t="s">
        <v>58</v>
      </c>
      <c r="AC1790" s="83">
        <v>46155</v>
      </c>
    </row>
    <row r="1791" spans="2:29" ht="23" x14ac:dyDescent="0.35">
      <c r="B1791" s="81" t="s">
        <v>338</v>
      </c>
      <c r="C1791" s="81" t="s">
        <v>339</v>
      </c>
      <c r="D1791" s="81" t="s">
        <v>340</v>
      </c>
      <c r="E1791" s="81" t="s">
        <v>341</v>
      </c>
      <c r="F1791" s="162" t="s">
        <v>342</v>
      </c>
      <c r="G1791" s="163"/>
      <c r="H1791" s="81" t="s">
        <v>2196</v>
      </c>
      <c r="I1791" s="81" t="s">
        <v>1928</v>
      </c>
      <c r="J1791" s="81" t="s">
        <v>153</v>
      </c>
      <c r="K1791" s="81" t="s">
        <v>2283</v>
      </c>
      <c r="L1791" s="81" t="s">
        <v>58</v>
      </c>
      <c r="M1791" s="164">
        <v>0.2324659</v>
      </c>
      <c r="N1791" s="165"/>
      <c r="O1791" s="163"/>
      <c r="P1791" s="82">
        <v>20</v>
      </c>
      <c r="Q1791" s="164">
        <v>0</v>
      </c>
      <c r="R1791" s="163"/>
      <c r="S1791" s="81" t="s">
        <v>58</v>
      </c>
      <c r="T1791" s="82">
        <v>0</v>
      </c>
      <c r="U1791" s="82">
        <v>0</v>
      </c>
      <c r="V1791" s="82">
        <v>0</v>
      </c>
      <c r="W1791" s="82">
        <v>0</v>
      </c>
      <c r="X1791" s="81"/>
      <c r="Y1791" s="81"/>
      <c r="Z1791" s="81" t="s">
        <v>58</v>
      </c>
      <c r="AA1791" s="81" t="s">
        <v>58</v>
      </c>
      <c r="AB1791" s="81" t="s">
        <v>58</v>
      </c>
      <c r="AC1791" s="83">
        <v>46155</v>
      </c>
    </row>
    <row r="1792" spans="2:29" ht="23" x14ac:dyDescent="0.35">
      <c r="B1792" s="81" t="s">
        <v>338</v>
      </c>
      <c r="C1792" s="81" t="s">
        <v>339</v>
      </c>
      <c r="D1792" s="81" t="s">
        <v>340</v>
      </c>
      <c r="E1792" s="81" t="s">
        <v>564</v>
      </c>
      <c r="F1792" s="162" t="s">
        <v>565</v>
      </c>
      <c r="G1792" s="163"/>
      <c r="H1792" s="81" t="s">
        <v>2284</v>
      </c>
      <c r="I1792" s="81" t="s">
        <v>1885</v>
      </c>
      <c r="J1792" s="81" t="s">
        <v>154</v>
      </c>
      <c r="K1792" s="81" t="s">
        <v>2285</v>
      </c>
      <c r="L1792" s="81" t="s">
        <v>58</v>
      </c>
      <c r="M1792" s="164">
        <v>5.6415505000000001</v>
      </c>
      <c r="N1792" s="165"/>
      <c r="O1792" s="163"/>
      <c r="P1792" s="82">
        <v>200</v>
      </c>
      <c r="Q1792" s="164">
        <v>0</v>
      </c>
      <c r="R1792" s="163"/>
      <c r="S1792" s="81" t="s">
        <v>58</v>
      </c>
      <c r="T1792" s="82">
        <v>0</v>
      </c>
      <c r="U1792" s="82">
        <v>0</v>
      </c>
      <c r="V1792" s="82">
        <v>0</v>
      </c>
      <c r="W1792" s="82">
        <v>0</v>
      </c>
      <c r="X1792" s="81"/>
      <c r="Y1792" s="81"/>
      <c r="Z1792" s="81" t="s">
        <v>58</v>
      </c>
      <c r="AA1792" s="81" t="s">
        <v>58</v>
      </c>
      <c r="AB1792" s="81" t="s">
        <v>58</v>
      </c>
      <c r="AC1792" s="83">
        <v>46163</v>
      </c>
    </row>
    <row r="1793" spans="2:29" ht="23" x14ac:dyDescent="0.35">
      <c r="B1793" s="81" t="s">
        <v>338</v>
      </c>
      <c r="C1793" s="81" t="s">
        <v>339</v>
      </c>
      <c r="D1793" s="81" t="s">
        <v>340</v>
      </c>
      <c r="E1793" s="81" t="s">
        <v>564</v>
      </c>
      <c r="F1793" s="162" t="s">
        <v>565</v>
      </c>
      <c r="G1793" s="163"/>
      <c r="H1793" s="81" t="s">
        <v>2284</v>
      </c>
      <c r="I1793" s="81" t="s">
        <v>1885</v>
      </c>
      <c r="J1793" s="81" t="s">
        <v>154</v>
      </c>
      <c r="K1793" s="81" t="s">
        <v>2286</v>
      </c>
      <c r="L1793" s="81" t="s">
        <v>58</v>
      </c>
      <c r="M1793" s="164">
        <v>5.6415505000000001</v>
      </c>
      <c r="N1793" s="165"/>
      <c r="O1793" s="163"/>
      <c r="P1793" s="82">
        <v>200</v>
      </c>
      <c r="Q1793" s="164">
        <v>0</v>
      </c>
      <c r="R1793" s="163"/>
      <c r="S1793" s="81" t="s">
        <v>58</v>
      </c>
      <c r="T1793" s="82">
        <v>0</v>
      </c>
      <c r="U1793" s="82">
        <v>0</v>
      </c>
      <c r="V1793" s="82">
        <v>0</v>
      </c>
      <c r="W1793" s="82">
        <v>0</v>
      </c>
      <c r="X1793" s="81"/>
      <c r="Y1793" s="81"/>
      <c r="Z1793" s="81" t="s">
        <v>58</v>
      </c>
      <c r="AA1793" s="81" t="s">
        <v>58</v>
      </c>
      <c r="AB1793" s="81" t="s">
        <v>58</v>
      </c>
      <c r="AC1793" s="83">
        <v>46163</v>
      </c>
    </row>
    <row r="1794" spans="2:29" ht="23" x14ac:dyDescent="0.35">
      <c r="B1794" s="81" t="s">
        <v>338</v>
      </c>
      <c r="C1794" s="81" t="s">
        <v>339</v>
      </c>
      <c r="D1794" s="81" t="s">
        <v>340</v>
      </c>
      <c r="E1794" s="81" t="s">
        <v>564</v>
      </c>
      <c r="F1794" s="162" t="s">
        <v>565</v>
      </c>
      <c r="G1794" s="163"/>
      <c r="H1794" s="81" t="s">
        <v>2284</v>
      </c>
      <c r="I1794" s="81" t="s">
        <v>1885</v>
      </c>
      <c r="J1794" s="81" t="s">
        <v>154</v>
      </c>
      <c r="K1794" s="81" t="s">
        <v>2287</v>
      </c>
      <c r="L1794" s="81" t="s">
        <v>58</v>
      </c>
      <c r="M1794" s="164">
        <v>4.9927721925000004</v>
      </c>
      <c r="N1794" s="165"/>
      <c r="O1794" s="163"/>
      <c r="P1794" s="82">
        <v>177</v>
      </c>
      <c r="Q1794" s="164">
        <v>0</v>
      </c>
      <c r="R1794" s="163"/>
      <c r="S1794" s="81" t="s">
        <v>58</v>
      </c>
      <c r="T1794" s="82">
        <v>0</v>
      </c>
      <c r="U1794" s="82">
        <v>0</v>
      </c>
      <c r="V1794" s="82">
        <v>0</v>
      </c>
      <c r="W1794" s="82">
        <v>0</v>
      </c>
      <c r="X1794" s="81"/>
      <c r="Y1794" s="81"/>
      <c r="Z1794" s="81" t="s">
        <v>58</v>
      </c>
      <c r="AA1794" s="81" t="s">
        <v>58</v>
      </c>
      <c r="AB1794" s="81" t="s">
        <v>58</v>
      </c>
      <c r="AC1794" s="83">
        <v>46163</v>
      </c>
    </row>
    <row r="1795" spans="2:29" ht="23" x14ac:dyDescent="0.35">
      <c r="B1795" s="81" t="s">
        <v>338</v>
      </c>
      <c r="C1795" s="81" t="s">
        <v>339</v>
      </c>
      <c r="D1795" s="81" t="s">
        <v>340</v>
      </c>
      <c r="E1795" s="81" t="s">
        <v>564</v>
      </c>
      <c r="F1795" s="162" t="s">
        <v>565</v>
      </c>
      <c r="G1795" s="163"/>
      <c r="H1795" s="81" t="s">
        <v>2288</v>
      </c>
      <c r="I1795" s="81" t="s">
        <v>1928</v>
      </c>
      <c r="J1795" s="81" t="s">
        <v>153</v>
      </c>
      <c r="K1795" s="81" t="s">
        <v>2289</v>
      </c>
      <c r="L1795" s="81" t="s">
        <v>58</v>
      </c>
      <c r="M1795" s="164">
        <v>4.53592</v>
      </c>
      <c r="N1795" s="165"/>
      <c r="O1795" s="163"/>
      <c r="P1795" s="82">
        <v>400</v>
      </c>
      <c r="Q1795" s="164">
        <v>0</v>
      </c>
      <c r="R1795" s="163"/>
      <c r="S1795" s="81" t="s">
        <v>58</v>
      </c>
      <c r="T1795" s="82">
        <v>0</v>
      </c>
      <c r="U1795" s="82">
        <v>0</v>
      </c>
      <c r="V1795" s="82">
        <v>0</v>
      </c>
      <c r="W1795" s="82">
        <v>0</v>
      </c>
      <c r="X1795" s="81"/>
      <c r="Y1795" s="81"/>
      <c r="Z1795" s="81" t="s">
        <v>58</v>
      </c>
      <c r="AA1795" s="81" t="s">
        <v>58</v>
      </c>
      <c r="AB1795" s="81" t="s">
        <v>58</v>
      </c>
      <c r="AC1795" s="83">
        <v>46167</v>
      </c>
    </row>
    <row r="1796" spans="2:29" ht="23" x14ac:dyDescent="0.35">
      <c r="B1796" s="81" t="s">
        <v>338</v>
      </c>
      <c r="C1796" s="81" t="s">
        <v>339</v>
      </c>
      <c r="D1796" s="81" t="s">
        <v>340</v>
      </c>
      <c r="E1796" s="81" t="s">
        <v>564</v>
      </c>
      <c r="F1796" s="162" t="s">
        <v>565</v>
      </c>
      <c r="G1796" s="163"/>
      <c r="H1796" s="81" t="s">
        <v>2288</v>
      </c>
      <c r="I1796" s="81" t="s">
        <v>1928</v>
      </c>
      <c r="J1796" s="81" t="s">
        <v>153</v>
      </c>
      <c r="K1796" s="81" t="s">
        <v>2290</v>
      </c>
      <c r="L1796" s="81" t="s">
        <v>58</v>
      </c>
      <c r="M1796" s="164">
        <v>4.53592</v>
      </c>
      <c r="N1796" s="165"/>
      <c r="O1796" s="163"/>
      <c r="P1796" s="82">
        <v>400</v>
      </c>
      <c r="Q1796" s="164">
        <v>0</v>
      </c>
      <c r="R1796" s="163"/>
      <c r="S1796" s="81" t="s">
        <v>58</v>
      </c>
      <c r="T1796" s="82">
        <v>0</v>
      </c>
      <c r="U1796" s="82">
        <v>0</v>
      </c>
      <c r="V1796" s="82">
        <v>0</v>
      </c>
      <c r="W1796" s="82">
        <v>0</v>
      </c>
      <c r="X1796" s="81"/>
      <c r="Y1796" s="81"/>
      <c r="Z1796" s="81" t="s">
        <v>58</v>
      </c>
      <c r="AA1796" s="81" t="s">
        <v>58</v>
      </c>
      <c r="AB1796" s="81" t="s">
        <v>58</v>
      </c>
      <c r="AC1796" s="83">
        <v>46167</v>
      </c>
    </row>
    <row r="1797" spans="2:29" ht="23" x14ac:dyDescent="0.35">
      <c r="B1797" s="81" t="s">
        <v>338</v>
      </c>
      <c r="C1797" s="81" t="s">
        <v>339</v>
      </c>
      <c r="D1797" s="81" t="s">
        <v>340</v>
      </c>
      <c r="E1797" s="81" t="s">
        <v>564</v>
      </c>
      <c r="F1797" s="162" t="s">
        <v>565</v>
      </c>
      <c r="G1797" s="163"/>
      <c r="H1797" s="81" t="s">
        <v>2288</v>
      </c>
      <c r="I1797" s="81" t="s">
        <v>1928</v>
      </c>
      <c r="J1797" s="81" t="s">
        <v>153</v>
      </c>
      <c r="K1797" s="81" t="s">
        <v>2291</v>
      </c>
      <c r="L1797" s="81" t="s">
        <v>58</v>
      </c>
      <c r="M1797" s="164">
        <v>4.0142892000000003</v>
      </c>
      <c r="N1797" s="165"/>
      <c r="O1797" s="163"/>
      <c r="P1797" s="82">
        <v>354</v>
      </c>
      <c r="Q1797" s="164">
        <v>0</v>
      </c>
      <c r="R1797" s="163"/>
      <c r="S1797" s="81" t="s">
        <v>58</v>
      </c>
      <c r="T1797" s="82">
        <v>0</v>
      </c>
      <c r="U1797" s="82">
        <v>0</v>
      </c>
      <c r="V1797" s="82">
        <v>0</v>
      </c>
      <c r="W1797" s="82">
        <v>0</v>
      </c>
      <c r="X1797" s="81"/>
      <c r="Y1797" s="81"/>
      <c r="Z1797" s="81" t="s">
        <v>58</v>
      </c>
      <c r="AA1797" s="81" t="s">
        <v>58</v>
      </c>
      <c r="AB1797" s="81" t="s">
        <v>58</v>
      </c>
      <c r="AC1797" s="83">
        <v>46163</v>
      </c>
    </row>
    <row r="1798" spans="2:29" ht="0" hidden="1" customHeight="1" x14ac:dyDescent="0.35"/>
    <row r="1799" spans="2:29" ht="11.9" customHeight="1" x14ac:dyDescent="0.35"/>
  </sheetData>
  <mergeCells count="5381">
    <mergeCell ref="F1403:G1403"/>
    <mergeCell ref="M1403:O1403"/>
    <mergeCell ref="Q1403:R1403"/>
    <mergeCell ref="F1401:G1401"/>
    <mergeCell ref="M1401:O1401"/>
    <mergeCell ref="Q1401:R1401"/>
    <mergeCell ref="F1402:G1402"/>
    <mergeCell ref="M1402:O1402"/>
    <mergeCell ref="Q1402:R1402"/>
    <mergeCell ref="F1399:G1399"/>
    <mergeCell ref="M1399:O1399"/>
    <mergeCell ref="Q1399:R1399"/>
    <mergeCell ref="F1400:G1400"/>
    <mergeCell ref="M1400:O1400"/>
    <mergeCell ref="Q1400:R1400"/>
    <mergeCell ref="F1397:G1397"/>
    <mergeCell ref="M1397:O1397"/>
    <mergeCell ref="Q1397:R1397"/>
    <mergeCell ref="F1398:G1398"/>
    <mergeCell ref="M1398:O1398"/>
    <mergeCell ref="Q1398:R1398"/>
    <mergeCell ref="F1395:G1395"/>
    <mergeCell ref="M1395:O1395"/>
    <mergeCell ref="Q1395:R1395"/>
    <mergeCell ref="F1396:G1396"/>
    <mergeCell ref="M1396:O1396"/>
    <mergeCell ref="Q1396:R1396"/>
    <mergeCell ref="F1393:G1393"/>
    <mergeCell ref="M1393:O1393"/>
    <mergeCell ref="Q1393:R1393"/>
    <mergeCell ref="F1394:G1394"/>
    <mergeCell ref="M1394:O1394"/>
    <mergeCell ref="Q1394:R1394"/>
    <mergeCell ref="F1391:G1391"/>
    <mergeCell ref="M1391:O1391"/>
    <mergeCell ref="Q1391:R1391"/>
    <mergeCell ref="F1392:G1392"/>
    <mergeCell ref="M1392:O1392"/>
    <mergeCell ref="Q1392:R1392"/>
    <mergeCell ref="F1389:G1389"/>
    <mergeCell ref="M1389:O1389"/>
    <mergeCell ref="Q1389:R1389"/>
    <mergeCell ref="F1390:G1390"/>
    <mergeCell ref="M1390:O1390"/>
    <mergeCell ref="Q1390:R1390"/>
    <mergeCell ref="F1387:G1387"/>
    <mergeCell ref="M1387:O1387"/>
    <mergeCell ref="Q1387:R1387"/>
    <mergeCell ref="F1388:G1388"/>
    <mergeCell ref="M1388:O1388"/>
    <mergeCell ref="Q1388:R1388"/>
    <mergeCell ref="F1385:G1385"/>
    <mergeCell ref="M1385:O1385"/>
    <mergeCell ref="Q1385:R1385"/>
    <mergeCell ref="F1386:G1386"/>
    <mergeCell ref="M1386:O1386"/>
    <mergeCell ref="Q1386:R1386"/>
    <mergeCell ref="F1383:G1383"/>
    <mergeCell ref="M1383:O1383"/>
    <mergeCell ref="Q1383:R1383"/>
    <mergeCell ref="F1384:G1384"/>
    <mergeCell ref="M1384:O1384"/>
    <mergeCell ref="Q1384:R1384"/>
    <mergeCell ref="F1381:G1381"/>
    <mergeCell ref="M1381:O1381"/>
    <mergeCell ref="Q1381:R1381"/>
    <mergeCell ref="F1382:G1382"/>
    <mergeCell ref="M1382:O1382"/>
    <mergeCell ref="Q1382:R1382"/>
    <mergeCell ref="F1379:G1379"/>
    <mergeCell ref="M1379:O1379"/>
    <mergeCell ref="Q1379:R1379"/>
    <mergeCell ref="F1380:G1380"/>
    <mergeCell ref="M1380:O1380"/>
    <mergeCell ref="Q1380:R1380"/>
    <mergeCell ref="F1377:G1377"/>
    <mergeCell ref="M1377:O1377"/>
    <mergeCell ref="Q1377:R1377"/>
    <mergeCell ref="F1378:G1378"/>
    <mergeCell ref="M1378:O1378"/>
    <mergeCell ref="Q1378:R1378"/>
    <mergeCell ref="F1375:G1375"/>
    <mergeCell ref="M1375:O1375"/>
    <mergeCell ref="Q1375:R1375"/>
    <mergeCell ref="F1376:G1376"/>
    <mergeCell ref="M1376:O1376"/>
    <mergeCell ref="Q1376:R1376"/>
    <mergeCell ref="F1373:G1373"/>
    <mergeCell ref="M1373:O1373"/>
    <mergeCell ref="Q1373:R1373"/>
    <mergeCell ref="F1374:G1374"/>
    <mergeCell ref="M1374:O1374"/>
    <mergeCell ref="Q1374:R1374"/>
    <mergeCell ref="F1371:G1371"/>
    <mergeCell ref="M1371:O1371"/>
    <mergeCell ref="Q1371:R1371"/>
    <mergeCell ref="F1372:G1372"/>
    <mergeCell ref="M1372:O1372"/>
    <mergeCell ref="Q1372:R1372"/>
    <mergeCell ref="F1369:G1369"/>
    <mergeCell ref="M1369:O1369"/>
    <mergeCell ref="Q1369:R1369"/>
    <mergeCell ref="F1370:G1370"/>
    <mergeCell ref="M1370:O1370"/>
    <mergeCell ref="Q1370:R1370"/>
    <mergeCell ref="F1367:G1367"/>
    <mergeCell ref="M1367:O1367"/>
    <mergeCell ref="Q1367:R1367"/>
    <mergeCell ref="F1368:G1368"/>
    <mergeCell ref="M1368:O1368"/>
    <mergeCell ref="Q1368:R1368"/>
    <mergeCell ref="F1365:G1365"/>
    <mergeCell ref="M1365:O1365"/>
    <mergeCell ref="Q1365:R1365"/>
    <mergeCell ref="F1366:G1366"/>
    <mergeCell ref="M1366:O1366"/>
    <mergeCell ref="Q1366:R1366"/>
    <mergeCell ref="F1363:G1363"/>
    <mergeCell ref="M1363:O1363"/>
    <mergeCell ref="Q1363:R1363"/>
    <mergeCell ref="F1364:G1364"/>
    <mergeCell ref="M1364:O1364"/>
    <mergeCell ref="Q1364:R1364"/>
    <mergeCell ref="F1361:G1361"/>
    <mergeCell ref="M1361:O1361"/>
    <mergeCell ref="Q1361:R1361"/>
    <mergeCell ref="F1362:G1362"/>
    <mergeCell ref="M1362:O1362"/>
    <mergeCell ref="Q1362:R1362"/>
    <mergeCell ref="F1359:G1359"/>
    <mergeCell ref="M1359:O1359"/>
    <mergeCell ref="Q1359:R1359"/>
    <mergeCell ref="F1360:G1360"/>
    <mergeCell ref="M1360:O1360"/>
    <mergeCell ref="Q1360:R1360"/>
    <mergeCell ref="F1357:G1357"/>
    <mergeCell ref="M1357:O1357"/>
    <mergeCell ref="Q1357:R1357"/>
    <mergeCell ref="F1358:G1358"/>
    <mergeCell ref="M1358:O1358"/>
    <mergeCell ref="Q1358:R1358"/>
    <mergeCell ref="F1355:G1355"/>
    <mergeCell ref="M1355:O1355"/>
    <mergeCell ref="Q1355:R1355"/>
    <mergeCell ref="F1356:G1356"/>
    <mergeCell ref="M1356:O1356"/>
    <mergeCell ref="Q1356:R1356"/>
    <mergeCell ref="F1353:G1353"/>
    <mergeCell ref="M1353:O1353"/>
    <mergeCell ref="Q1353:R1353"/>
    <mergeCell ref="F1354:G1354"/>
    <mergeCell ref="M1354:O1354"/>
    <mergeCell ref="Q1354:R1354"/>
    <mergeCell ref="F1351:G1351"/>
    <mergeCell ref="M1351:O1351"/>
    <mergeCell ref="Q1351:R1351"/>
    <mergeCell ref="F1352:G1352"/>
    <mergeCell ref="M1352:O1352"/>
    <mergeCell ref="Q1352:R1352"/>
    <mergeCell ref="F1349:G1349"/>
    <mergeCell ref="M1349:O1349"/>
    <mergeCell ref="Q1349:R1349"/>
    <mergeCell ref="F1350:G1350"/>
    <mergeCell ref="M1350:O1350"/>
    <mergeCell ref="Q1350:R1350"/>
    <mergeCell ref="F1347:G1347"/>
    <mergeCell ref="M1347:O1347"/>
    <mergeCell ref="Q1347:R1347"/>
    <mergeCell ref="F1348:G1348"/>
    <mergeCell ref="M1348:O1348"/>
    <mergeCell ref="Q1348:R1348"/>
    <mergeCell ref="F1345:G1345"/>
    <mergeCell ref="M1345:O1345"/>
    <mergeCell ref="Q1345:R1345"/>
    <mergeCell ref="F1346:G1346"/>
    <mergeCell ref="M1346:O1346"/>
    <mergeCell ref="Q1346:R1346"/>
    <mergeCell ref="F1343:G1343"/>
    <mergeCell ref="M1343:O1343"/>
    <mergeCell ref="Q1343:R1343"/>
    <mergeCell ref="F1344:G1344"/>
    <mergeCell ref="M1344:O1344"/>
    <mergeCell ref="Q1344:R1344"/>
    <mergeCell ref="F1341:G1341"/>
    <mergeCell ref="M1341:O1341"/>
    <mergeCell ref="Q1341:R1341"/>
    <mergeCell ref="F1342:G1342"/>
    <mergeCell ref="M1342:O1342"/>
    <mergeCell ref="Q1342:R1342"/>
    <mergeCell ref="F1339:G1339"/>
    <mergeCell ref="M1339:O1339"/>
    <mergeCell ref="Q1339:R1339"/>
    <mergeCell ref="F1340:G1340"/>
    <mergeCell ref="M1340:O1340"/>
    <mergeCell ref="Q1340:R1340"/>
    <mergeCell ref="F1337:G1337"/>
    <mergeCell ref="M1337:O1337"/>
    <mergeCell ref="Q1337:R1337"/>
    <mergeCell ref="F1338:G1338"/>
    <mergeCell ref="M1338:O1338"/>
    <mergeCell ref="Q1338:R1338"/>
    <mergeCell ref="F1335:G1335"/>
    <mergeCell ref="M1335:O1335"/>
    <mergeCell ref="Q1335:R1335"/>
    <mergeCell ref="F1336:G1336"/>
    <mergeCell ref="M1336:O1336"/>
    <mergeCell ref="Q1336:R1336"/>
    <mergeCell ref="F1333:G1333"/>
    <mergeCell ref="M1333:O1333"/>
    <mergeCell ref="Q1333:R1333"/>
    <mergeCell ref="F1334:G1334"/>
    <mergeCell ref="M1334:O1334"/>
    <mergeCell ref="Q1334:R1334"/>
    <mergeCell ref="F1331:G1331"/>
    <mergeCell ref="M1331:O1331"/>
    <mergeCell ref="Q1331:R1331"/>
    <mergeCell ref="F1332:G1332"/>
    <mergeCell ref="M1332:O1332"/>
    <mergeCell ref="Q1332:R1332"/>
    <mergeCell ref="F1329:G1329"/>
    <mergeCell ref="M1329:O1329"/>
    <mergeCell ref="Q1329:R1329"/>
    <mergeCell ref="F1330:G1330"/>
    <mergeCell ref="M1330:O1330"/>
    <mergeCell ref="Q1330:R1330"/>
    <mergeCell ref="F1327:G1327"/>
    <mergeCell ref="M1327:O1327"/>
    <mergeCell ref="Q1327:R1327"/>
    <mergeCell ref="F1328:G1328"/>
    <mergeCell ref="M1328:O1328"/>
    <mergeCell ref="Q1328:R1328"/>
    <mergeCell ref="F1325:G1325"/>
    <mergeCell ref="M1325:O1325"/>
    <mergeCell ref="Q1325:R1325"/>
    <mergeCell ref="F1326:G1326"/>
    <mergeCell ref="M1326:O1326"/>
    <mergeCell ref="Q1326:R1326"/>
    <mergeCell ref="F1323:G1323"/>
    <mergeCell ref="M1323:O1323"/>
    <mergeCell ref="Q1323:R1323"/>
    <mergeCell ref="F1324:G1324"/>
    <mergeCell ref="M1324:O1324"/>
    <mergeCell ref="Q1324:R1324"/>
    <mergeCell ref="F1321:G1321"/>
    <mergeCell ref="M1321:O1321"/>
    <mergeCell ref="Q1321:R1321"/>
    <mergeCell ref="F1322:G1322"/>
    <mergeCell ref="M1322:O1322"/>
    <mergeCell ref="Q1322:R1322"/>
    <mergeCell ref="F1319:G1319"/>
    <mergeCell ref="M1319:O1319"/>
    <mergeCell ref="Q1319:R1319"/>
    <mergeCell ref="F1320:G1320"/>
    <mergeCell ref="M1320:O1320"/>
    <mergeCell ref="Q1320:R1320"/>
    <mergeCell ref="F1317:G1317"/>
    <mergeCell ref="M1317:O1317"/>
    <mergeCell ref="Q1317:R1317"/>
    <mergeCell ref="F1318:G1318"/>
    <mergeCell ref="M1318:O1318"/>
    <mergeCell ref="Q1318:R1318"/>
    <mergeCell ref="F1315:G1315"/>
    <mergeCell ref="M1315:O1315"/>
    <mergeCell ref="Q1315:R1315"/>
    <mergeCell ref="F1316:G1316"/>
    <mergeCell ref="M1316:O1316"/>
    <mergeCell ref="Q1316:R1316"/>
    <mergeCell ref="F1313:G1313"/>
    <mergeCell ref="M1313:O1313"/>
    <mergeCell ref="Q1313:R1313"/>
    <mergeCell ref="F1314:G1314"/>
    <mergeCell ref="M1314:O1314"/>
    <mergeCell ref="Q1314:R1314"/>
    <mergeCell ref="F1311:G1311"/>
    <mergeCell ref="M1311:O1311"/>
    <mergeCell ref="Q1311:R1311"/>
    <mergeCell ref="F1312:G1312"/>
    <mergeCell ref="M1312:O1312"/>
    <mergeCell ref="Q1312:R1312"/>
    <mergeCell ref="F1309:G1309"/>
    <mergeCell ref="M1309:O1309"/>
    <mergeCell ref="Q1309:R1309"/>
    <mergeCell ref="F1310:G1310"/>
    <mergeCell ref="M1310:O1310"/>
    <mergeCell ref="Q1310:R1310"/>
    <mergeCell ref="F1307:G1307"/>
    <mergeCell ref="M1307:O1307"/>
    <mergeCell ref="Q1307:R1307"/>
    <mergeCell ref="F1308:G1308"/>
    <mergeCell ref="M1308:O1308"/>
    <mergeCell ref="Q1308:R1308"/>
    <mergeCell ref="F1305:G1305"/>
    <mergeCell ref="M1305:O1305"/>
    <mergeCell ref="Q1305:R1305"/>
    <mergeCell ref="F1306:G1306"/>
    <mergeCell ref="M1306:O1306"/>
    <mergeCell ref="Q1306:R1306"/>
    <mergeCell ref="F1303:G1303"/>
    <mergeCell ref="M1303:O1303"/>
    <mergeCell ref="Q1303:R1303"/>
    <mergeCell ref="F1304:G1304"/>
    <mergeCell ref="M1304:O1304"/>
    <mergeCell ref="Q1304:R1304"/>
    <mergeCell ref="F1301:G1301"/>
    <mergeCell ref="M1301:O1301"/>
    <mergeCell ref="Q1301:R1301"/>
    <mergeCell ref="F1302:G1302"/>
    <mergeCell ref="M1302:O1302"/>
    <mergeCell ref="Q1302:R1302"/>
    <mergeCell ref="F1299:G1299"/>
    <mergeCell ref="M1299:O1299"/>
    <mergeCell ref="Q1299:R1299"/>
    <mergeCell ref="F1300:G1300"/>
    <mergeCell ref="M1300:O1300"/>
    <mergeCell ref="Q1300:R1300"/>
    <mergeCell ref="F1297:G1297"/>
    <mergeCell ref="M1297:O1297"/>
    <mergeCell ref="Q1297:R1297"/>
    <mergeCell ref="F1298:G1298"/>
    <mergeCell ref="M1298:O1298"/>
    <mergeCell ref="Q1298:R1298"/>
    <mergeCell ref="F1295:G1295"/>
    <mergeCell ref="M1295:O1295"/>
    <mergeCell ref="Q1295:R1295"/>
    <mergeCell ref="F1296:G1296"/>
    <mergeCell ref="M1296:O1296"/>
    <mergeCell ref="Q1296:R1296"/>
    <mergeCell ref="F1293:G1293"/>
    <mergeCell ref="M1293:O1293"/>
    <mergeCell ref="Q1293:R1293"/>
    <mergeCell ref="F1294:G1294"/>
    <mergeCell ref="M1294:O1294"/>
    <mergeCell ref="Q1294:R1294"/>
    <mergeCell ref="F1291:G1291"/>
    <mergeCell ref="M1291:O1291"/>
    <mergeCell ref="Q1291:R1291"/>
    <mergeCell ref="F1292:G1292"/>
    <mergeCell ref="M1292:O1292"/>
    <mergeCell ref="Q1292:R1292"/>
    <mergeCell ref="F1289:G1289"/>
    <mergeCell ref="M1289:O1289"/>
    <mergeCell ref="Q1289:R1289"/>
    <mergeCell ref="F1290:G1290"/>
    <mergeCell ref="M1290:O1290"/>
    <mergeCell ref="Q1290:R1290"/>
    <mergeCell ref="F1287:G1287"/>
    <mergeCell ref="M1287:O1287"/>
    <mergeCell ref="Q1287:R1287"/>
    <mergeCell ref="F1288:G1288"/>
    <mergeCell ref="M1288:O1288"/>
    <mergeCell ref="Q1288:R1288"/>
    <mergeCell ref="F1285:G1285"/>
    <mergeCell ref="M1285:O1285"/>
    <mergeCell ref="Q1285:R1285"/>
    <mergeCell ref="F1286:G1286"/>
    <mergeCell ref="M1286:O1286"/>
    <mergeCell ref="Q1286:R1286"/>
    <mergeCell ref="F1283:G1283"/>
    <mergeCell ref="M1283:O1283"/>
    <mergeCell ref="Q1283:R1283"/>
    <mergeCell ref="F1284:G1284"/>
    <mergeCell ref="M1284:O1284"/>
    <mergeCell ref="Q1284:R1284"/>
    <mergeCell ref="F1281:G1281"/>
    <mergeCell ref="M1281:O1281"/>
    <mergeCell ref="Q1281:R1281"/>
    <mergeCell ref="F1282:G1282"/>
    <mergeCell ref="M1282:O1282"/>
    <mergeCell ref="Q1282:R1282"/>
    <mergeCell ref="F1279:G1279"/>
    <mergeCell ref="M1279:O1279"/>
    <mergeCell ref="Q1279:R1279"/>
    <mergeCell ref="F1280:G1280"/>
    <mergeCell ref="M1280:O1280"/>
    <mergeCell ref="Q1280:R1280"/>
    <mergeCell ref="F1277:G1277"/>
    <mergeCell ref="M1277:O1277"/>
    <mergeCell ref="Q1277:R1277"/>
    <mergeCell ref="F1278:G1278"/>
    <mergeCell ref="M1278:O1278"/>
    <mergeCell ref="Q1278:R1278"/>
    <mergeCell ref="F1275:G1275"/>
    <mergeCell ref="M1275:O1275"/>
    <mergeCell ref="Q1275:R1275"/>
    <mergeCell ref="F1276:G1276"/>
    <mergeCell ref="M1276:O1276"/>
    <mergeCell ref="Q1276:R1276"/>
    <mergeCell ref="F1273:G1273"/>
    <mergeCell ref="M1273:O1273"/>
    <mergeCell ref="Q1273:R1273"/>
    <mergeCell ref="F1274:G1274"/>
    <mergeCell ref="M1274:O1274"/>
    <mergeCell ref="Q1274:R1274"/>
    <mergeCell ref="F1271:G1271"/>
    <mergeCell ref="M1271:O1271"/>
    <mergeCell ref="Q1271:R1271"/>
    <mergeCell ref="F1272:G1272"/>
    <mergeCell ref="M1272:O1272"/>
    <mergeCell ref="Q1272:R1272"/>
    <mergeCell ref="F1269:G1269"/>
    <mergeCell ref="M1269:O1269"/>
    <mergeCell ref="Q1269:R1269"/>
    <mergeCell ref="F1270:G1270"/>
    <mergeCell ref="M1270:O1270"/>
    <mergeCell ref="Q1270:R1270"/>
    <mergeCell ref="F1267:G1267"/>
    <mergeCell ref="M1267:O1267"/>
    <mergeCell ref="Q1267:R1267"/>
    <mergeCell ref="F1268:G1268"/>
    <mergeCell ref="M1268:O1268"/>
    <mergeCell ref="Q1268:R1268"/>
    <mergeCell ref="F1265:G1265"/>
    <mergeCell ref="M1265:O1265"/>
    <mergeCell ref="Q1265:R1265"/>
    <mergeCell ref="F1266:G1266"/>
    <mergeCell ref="M1266:O1266"/>
    <mergeCell ref="Q1266:R1266"/>
    <mergeCell ref="F1263:G1263"/>
    <mergeCell ref="M1263:O1263"/>
    <mergeCell ref="Q1263:R1263"/>
    <mergeCell ref="F1264:G1264"/>
    <mergeCell ref="M1264:O1264"/>
    <mergeCell ref="Q1264:R1264"/>
    <mergeCell ref="F1261:G1261"/>
    <mergeCell ref="M1261:O1261"/>
    <mergeCell ref="Q1261:R1261"/>
    <mergeCell ref="F1262:G1262"/>
    <mergeCell ref="M1262:O1262"/>
    <mergeCell ref="Q1262:R1262"/>
    <mergeCell ref="F1259:G1259"/>
    <mergeCell ref="M1259:O1259"/>
    <mergeCell ref="Q1259:R1259"/>
    <mergeCell ref="F1260:G1260"/>
    <mergeCell ref="M1260:O1260"/>
    <mergeCell ref="Q1260:R1260"/>
    <mergeCell ref="F1257:G1257"/>
    <mergeCell ref="M1257:O1257"/>
    <mergeCell ref="Q1257:R1257"/>
    <mergeCell ref="F1258:G1258"/>
    <mergeCell ref="M1258:O1258"/>
    <mergeCell ref="Q1258:R1258"/>
    <mergeCell ref="F1255:G1255"/>
    <mergeCell ref="M1255:O1255"/>
    <mergeCell ref="Q1255:R1255"/>
    <mergeCell ref="F1256:G1256"/>
    <mergeCell ref="M1256:O1256"/>
    <mergeCell ref="Q1256:R1256"/>
    <mergeCell ref="F1253:G1253"/>
    <mergeCell ref="M1253:O1253"/>
    <mergeCell ref="Q1253:R1253"/>
    <mergeCell ref="F1254:G1254"/>
    <mergeCell ref="M1254:O1254"/>
    <mergeCell ref="Q1254:R1254"/>
    <mergeCell ref="F1251:G1251"/>
    <mergeCell ref="M1251:O1251"/>
    <mergeCell ref="Q1251:R1251"/>
    <mergeCell ref="F1252:G1252"/>
    <mergeCell ref="M1252:O1252"/>
    <mergeCell ref="Q1252:R1252"/>
    <mergeCell ref="F1249:G1249"/>
    <mergeCell ref="M1249:O1249"/>
    <mergeCell ref="Q1249:R1249"/>
    <mergeCell ref="F1250:G1250"/>
    <mergeCell ref="M1250:O1250"/>
    <mergeCell ref="Q1250:R1250"/>
    <mergeCell ref="F1247:G1247"/>
    <mergeCell ref="M1247:O1247"/>
    <mergeCell ref="Q1247:R1247"/>
    <mergeCell ref="F1248:G1248"/>
    <mergeCell ref="M1248:O1248"/>
    <mergeCell ref="Q1248:R1248"/>
    <mergeCell ref="F1245:G1245"/>
    <mergeCell ref="M1245:O1245"/>
    <mergeCell ref="Q1245:R1245"/>
    <mergeCell ref="F1246:G1246"/>
    <mergeCell ref="M1246:O1246"/>
    <mergeCell ref="Q1246:R1246"/>
    <mergeCell ref="F1243:G1243"/>
    <mergeCell ref="M1243:O1243"/>
    <mergeCell ref="Q1243:R1243"/>
    <mergeCell ref="F1244:G1244"/>
    <mergeCell ref="M1244:O1244"/>
    <mergeCell ref="Q1244:R1244"/>
    <mergeCell ref="F1241:G1241"/>
    <mergeCell ref="M1241:O1241"/>
    <mergeCell ref="Q1241:R1241"/>
    <mergeCell ref="F1242:G1242"/>
    <mergeCell ref="M1242:O1242"/>
    <mergeCell ref="Q1242:R1242"/>
    <mergeCell ref="F1239:G1239"/>
    <mergeCell ref="M1239:O1239"/>
    <mergeCell ref="Q1239:R1239"/>
    <mergeCell ref="F1240:G1240"/>
    <mergeCell ref="M1240:O1240"/>
    <mergeCell ref="Q1240:R1240"/>
    <mergeCell ref="F1237:G1237"/>
    <mergeCell ref="M1237:O1237"/>
    <mergeCell ref="Q1237:R1237"/>
    <mergeCell ref="F1238:G1238"/>
    <mergeCell ref="M1238:O1238"/>
    <mergeCell ref="Q1238:R1238"/>
    <mergeCell ref="F1235:G1235"/>
    <mergeCell ref="M1235:O1235"/>
    <mergeCell ref="Q1235:R1235"/>
    <mergeCell ref="F1236:G1236"/>
    <mergeCell ref="M1236:O1236"/>
    <mergeCell ref="Q1236:R1236"/>
    <mergeCell ref="F1233:G1233"/>
    <mergeCell ref="M1233:O1233"/>
    <mergeCell ref="Q1233:R1233"/>
    <mergeCell ref="F1234:G1234"/>
    <mergeCell ref="M1234:O1234"/>
    <mergeCell ref="Q1234:R1234"/>
    <mergeCell ref="F1231:G1231"/>
    <mergeCell ref="M1231:O1231"/>
    <mergeCell ref="Q1231:R1231"/>
    <mergeCell ref="F1232:G1232"/>
    <mergeCell ref="M1232:O1232"/>
    <mergeCell ref="Q1232:R1232"/>
    <mergeCell ref="F1229:G1229"/>
    <mergeCell ref="M1229:O1229"/>
    <mergeCell ref="Q1229:R1229"/>
    <mergeCell ref="F1230:G1230"/>
    <mergeCell ref="M1230:O1230"/>
    <mergeCell ref="Q1230:R1230"/>
    <mergeCell ref="F1227:G1227"/>
    <mergeCell ref="M1227:O1227"/>
    <mergeCell ref="Q1227:R1227"/>
    <mergeCell ref="F1228:G1228"/>
    <mergeCell ref="M1228:O1228"/>
    <mergeCell ref="Q1228:R1228"/>
    <mergeCell ref="F1225:G1225"/>
    <mergeCell ref="M1225:O1225"/>
    <mergeCell ref="Q1225:R1225"/>
    <mergeCell ref="F1226:G1226"/>
    <mergeCell ref="M1226:O1226"/>
    <mergeCell ref="Q1226:R1226"/>
    <mergeCell ref="F1223:G1223"/>
    <mergeCell ref="M1223:O1223"/>
    <mergeCell ref="Q1223:R1223"/>
    <mergeCell ref="F1224:G1224"/>
    <mergeCell ref="M1224:O1224"/>
    <mergeCell ref="Q1224:R1224"/>
    <mergeCell ref="F1221:G1221"/>
    <mergeCell ref="M1221:O1221"/>
    <mergeCell ref="Q1221:R1221"/>
    <mergeCell ref="F1222:G1222"/>
    <mergeCell ref="M1222:O1222"/>
    <mergeCell ref="Q1222:R1222"/>
    <mergeCell ref="F1219:G1219"/>
    <mergeCell ref="M1219:O1219"/>
    <mergeCell ref="Q1219:R1219"/>
    <mergeCell ref="F1220:G1220"/>
    <mergeCell ref="M1220:O1220"/>
    <mergeCell ref="Q1220:R1220"/>
    <mergeCell ref="F1217:G1217"/>
    <mergeCell ref="M1217:O1217"/>
    <mergeCell ref="Q1217:R1217"/>
    <mergeCell ref="F1218:G1218"/>
    <mergeCell ref="M1218:O1218"/>
    <mergeCell ref="Q1218:R1218"/>
    <mergeCell ref="F1215:G1215"/>
    <mergeCell ref="M1215:O1215"/>
    <mergeCell ref="Q1215:R1215"/>
    <mergeCell ref="F1216:G1216"/>
    <mergeCell ref="M1216:O1216"/>
    <mergeCell ref="Q1216:R1216"/>
    <mergeCell ref="F1213:G1213"/>
    <mergeCell ref="M1213:O1213"/>
    <mergeCell ref="Q1213:R1213"/>
    <mergeCell ref="F1214:G1214"/>
    <mergeCell ref="M1214:O1214"/>
    <mergeCell ref="Q1214:R1214"/>
    <mergeCell ref="F1211:G1211"/>
    <mergeCell ref="M1211:O1211"/>
    <mergeCell ref="Q1211:R1211"/>
    <mergeCell ref="F1212:G1212"/>
    <mergeCell ref="M1212:O1212"/>
    <mergeCell ref="Q1212:R1212"/>
    <mergeCell ref="F1209:G1209"/>
    <mergeCell ref="M1209:O1209"/>
    <mergeCell ref="Q1209:R1209"/>
    <mergeCell ref="F1210:G1210"/>
    <mergeCell ref="M1210:O1210"/>
    <mergeCell ref="Q1210:R1210"/>
    <mergeCell ref="F1207:G1207"/>
    <mergeCell ref="M1207:O1207"/>
    <mergeCell ref="Q1207:R1207"/>
    <mergeCell ref="F1208:G1208"/>
    <mergeCell ref="M1208:O1208"/>
    <mergeCell ref="Q1208:R1208"/>
    <mergeCell ref="F1205:G1205"/>
    <mergeCell ref="M1205:O1205"/>
    <mergeCell ref="Q1205:R1205"/>
    <mergeCell ref="F1206:G1206"/>
    <mergeCell ref="M1206:O1206"/>
    <mergeCell ref="Q1206:R1206"/>
    <mergeCell ref="F1203:G1203"/>
    <mergeCell ref="M1203:O1203"/>
    <mergeCell ref="Q1203:R1203"/>
    <mergeCell ref="F1204:G1204"/>
    <mergeCell ref="M1204:O1204"/>
    <mergeCell ref="Q1204:R1204"/>
    <mergeCell ref="F1201:G1201"/>
    <mergeCell ref="M1201:O1201"/>
    <mergeCell ref="Q1201:R1201"/>
    <mergeCell ref="F1202:G1202"/>
    <mergeCell ref="M1202:O1202"/>
    <mergeCell ref="Q1202:R1202"/>
    <mergeCell ref="F1199:G1199"/>
    <mergeCell ref="M1199:O1199"/>
    <mergeCell ref="Q1199:R1199"/>
    <mergeCell ref="F1200:G1200"/>
    <mergeCell ref="M1200:O1200"/>
    <mergeCell ref="Q1200:R1200"/>
    <mergeCell ref="F1197:G1197"/>
    <mergeCell ref="M1197:O1197"/>
    <mergeCell ref="Q1197:R1197"/>
    <mergeCell ref="F1198:G1198"/>
    <mergeCell ref="M1198:O1198"/>
    <mergeCell ref="Q1198:R1198"/>
    <mergeCell ref="F1195:G1195"/>
    <mergeCell ref="M1195:O1195"/>
    <mergeCell ref="Q1195:R1195"/>
    <mergeCell ref="F1196:G1196"/>
    <mergeCell ref="M1196:O1196"/>
    <mergeCell ref="Q1196:R1196"/>
    <mergeCell ref="F1193:G1193"/>
    <mergeCell ref="M1193:O1193"/>
    <mergeCell ref="Q1193:R1193"/>
    <mergeCell ref="F1194:G1194"/>
    <mergeCell ref="M1194:O1194"/>
    <mergeCell ref="Q1194:R1194"/>
    <mergeCell ref="F1191:G1191"/>
    <mergeCell ref="M1191:O1191"/>
    <mergeCell ref="Q1191:R1191"/>
    <mergeCell ref="F1192:G1192"/>
    <mergeCell ref="M1192:O1192"/>
    <mergeCell ref="Q1192:R1192"/>
    <mergeCell ref="F1189:G1189"/>
    <mergeCell ref="M1189:O1189"/>
    <mergeCell ref="Q1189:R1189"/>
    <mergeCell ref="F1190:G1190"/>
    <mergeCell ref="M1190:O1190"/>
    <mergeCell ref="Q1190:R1190"/>
    <mergeCell ref="F1187:G1187"/>
    <mergeCell ref="M1187:O1187"/>
    <mergeCell ref="Q1187:R1187"/>
    <mergeCell ref="F1188:G1188"/>
    <mergeCell ref="M1188:O1188"/>
    <mergeCell ref="Q1188:R1188"/>
    <mergeCell ref="F1185:G1185"/>
    <mergeCell ref="M1185:O1185"/>
    <mergeCell ref="Q1185:R1185"/>
    <mergeCell ref="F1186:G1186"/>
    <mergeCell ref="M1186:O1186"/>
    <mergeCell ref="Q1186:R1186"/>
    <mergeCell ref="F1183:G1183"/>
    <mergeCell ref="M1183:O1183"/>
    <mergeCell ref="Q1183:R1183"/>
    <mergeCell ref="F1184:G1184"/>
    <mergeCell ref="M1184:O1184"/>
    <mergeCell ref="Q1184:R1184"/>
    <mergeCell ref="F1181:G1181"/>
    <mergeCell ref="M1181:O1181"/>
    <mergeCell ref="Q1181:R1181"/>
    <mergeCell ref="F1182:G1182"/>
    <mergeCell ref="M1182:O1182"/>
    <mergeCell ref="Q1182:R1182"/>
    <mergeCell ref="F1179:G1179"/>
    <mergeCell ref="M1179:O1179"/>
    <mergeCell ref="Q1179:R1179"/>
    <mergeCell ref="F1180:G1180"/>
    <mergeCell ref="M1180:O1180"/>
    <mergeCell ref="Q1180:R1180"/>
    <mergeCell ref="F1177:G1177"/>
    <mergeCell ref="M1177:O1177"/>
    <mergeCell ref="Q1177:R1177"/>
    <mergeCell ref="F1178:G1178"/>
    <mergeCell ref="M1178:O1178"/>
    <mergeCell ref="Q1178:R1178"/>
    <mergeCell ref="F1175:G1175"/>
    <mergeCell ref="M1175:O1175"/>
    <mergeCell ref="Q1175:R1175"/>
    <mergeCell ref="F1176:G1176"/>
    <mergeCell ref="M1176:O1176"/>
    <mergeCell ref="Q1176:R1176"/>
    <mergeCell ref="F1173:G1173"/>
    <mergeCell ref="M1173:O1173"/>
    <mergeCell ref="Q1173:R1173"/>
    <mergeCell ref="F1174:G1174"/>
    <mergeCell ref="M1174:O1174"/>
    <mergeCell ref="Q1174:R1174"/>
    <mergeCell ref="F1171:G1171"/>
    <mergeCell ref="M1171:O1171"/>
    <mergeCell ref="Q1171:R1171"/>
    <mergeCell ref="F1172:G1172"/>
    <mergeCell ref="M1172:O1172"/>
    <mergeCell ref="Q1172:R1172"/>
    <mergeCell ref="F1169:G1169"/>
    <mergeCell ref="M1169:O1169"/>
    <mergeCell ref="Q1169:R1169"/>
    <mergeCell ref="F1170:G1170"/>
    <mergeCell ref="M1170:O1170"/>
    <mergeCell ref="Q1170:R1170"/>
    <mergeCell ref="F1167:G1167"/>
    <mergeCell ref="M1167:O1167"/>
    <mergeCell ref="Q1167:R1167"/>
    <mergeCell ref="F1168:G1168"/>
    <mergeCell ref="M1168:O1168"/>
    <mergeCell ref="Q1168:R1168"/>
    <mergeCell ref="F1165:G1165"/>
    <mergeCell ref="M1165:O1165"/>
    <mergeCell ref="Q1165:R1165"/>
    <mergeCell ref="F1166:G1166"/>
    <mergeCell ref="M1166:O1166"/>
    <mergeCell ref="Q1166:R1166"/>
    <mergeCell ref="F1163:G1163"/>
    <mergeCell ref="M1163:O1163"/>
    <mergeCell ref="Q1163:R1163"/>
    <mergeCell ref="F1164:G1164"/>
    <mergeCell ref="M1164:O1164"/>
    <mergeCell ref="Q1164:R1164"/>
    <mergeCell ref="F1161:G1161"/>
    <mergeCell ref="M1161:O1161"/>
    <mergeCell ref="Q1161:R1161"/>
    <mergeCell ref="F1162:G1162"/>
    <mergeCell ref="M1162:O1162"/>
    <mergeCell ref="Q1162:R1162"/>
    <mergeCell ref="F1159:G1159"/>
    <mergeCell ref="M1159:O1159"/>
    <mergeCell ref="Q1159:R1159"/>
    <mergeCell ref="F1160:G1160"/>
    <mergeCell ref="M1160:O1160"/>
    <mergeCell ref="Q1160:R1160"/>
    <mergeCell ref="F1157:G1157"/>
    <mergeCell ref="M1157:O1157"/>
    <mergeCell ref="Q1157:R1157"/>
    <mergeCell ref="F1158:G1158"/>
    <mergeCell ref="M1158:O1158"/>
    <mergeCell ref="Q1158:R1158"/>
    <mergeCell ref="F1155:G1155"/>
    <mergeCell ref="M1155:O1155"/>
    <mergeCell ref="Q1155:R1155"/>
    <mergeCell ref="F1156:G1156"/>
    <mergeCell ref="M1156:O1156"/>
    <mergeCell ref="Q1156:R1156"/>
    <mergeCell ref="F1153:G1153"/>
    <mergeCell ref="M1153:O1153"/>
    <mergeCell ref="Q1153:R1153"/>
    <mergeCell ref="F1154:G1154"/>
    <mergeCell ref="M1154:O1154"/>
    <mergeCell ref="Q1154:R1154"/>
    <mergeCell ref="F1151:G1151"/>
    <mergeCell ref="M1151:O1151"/>
    <mergeCell ref="Q1151:R1151"/>
    <mergeCell ref="F1152:G1152"/>
    <mergeCell ref="M1152:O1152"/>
    <mergeCell ref="Q1152:R1152"/>
    <mergeCell ref="F1149:G1149"/>
    <mergeCell ref="M1149:O1149"/>
    <mergeCell ref="Q1149:R1149"/>
    <mergeCell ref="F1150:G1150"/>
    <mergeCell ref="M1150:O1150"/>
    <mergeCell ref="Q1150:R1150"/>
    <mergeCell ref="F1147:G1147"/>
    <mergeCell ref="M1147:O1147"/>
    <mergeCell ref="Q1147:R1147"/>
    <mergeCell ref="F1148:G1148"/>
    <mergeCell ref="M1148:O1148"/>
    <mergeCell ref="Q1148:R1148"/>
    <mergeCell ref="F1145:G1145"/>
    <mergeCell ref="M1145:O1145"/>
    <mergeCell ref="Q1145:R1145"/>
    <mergeCell ref="F1146:G1146"/>
    <mergeCell ref="M1146:O1146"/>
    <mergeCell ref="Q1146:R1146"/>
    <mergeCell ref="F1143:G1143"/>
    <mergeCell ref="M1143:O1143"/>
    <mergeCell ref="Q1143:R1143"/>
    <mergeCell ref="F1144:G1144"/>
    <mergeCell ref="M1144:O1144"/>
    <mergeCell ref="Q1144:R1144"/>
    <mergeCell ref="F1141:G1141"/>
    <mergeCell ref="M1141:O1141"/>
    <mergeCell ref="Q1141:R1141"/>
    <mergeCell ref="F1142:G1142"/>
    <mergeCell ref="M1142:O1142"/>
    <mergeCell ref="Q1142:R1142"/>
    <mergeCell ref="F1139:G1139"/>
    <mergeCell ref="M1139:O1139"/>
    <mergeCell ref="Q1139:R1139"/>
    <mergeCell ref="F1140:G1140"/>
    <mergeCell ref="M1140:O1140"/>
    <mergeCell ref="Q1140:R1140"/>
    <mergeCell ref="F1137:G1137"/>
    <mergeCell ref="M1137:O1137"/>
    <mergeCell ref="Q1137:R1137"/>
    <mergeCell ref="F1138:G1138"/>
    <mergeCell ref="M1138:O1138"/>
    <mergeCell ref="Q1138:R1138"/>
    <mergeCell ref="F1135:G1135"/>
    <mergeCell ref="M1135:O1135"/>
    <mergeCell ref="Q1135:R1135"/>
    <mergeCell ref="F1136:G1136"/>
    <mergeCell ref="M1136:O1136"/>
    <mergeCell ref="Q1136:R1136"/>
    <mergeCell ref="F1133:G1133"/>
    <mergeCell ref="M1133:O1133"/>
    <mergeCell ref="Q1133:R1133"/>
    <mergeCell ref="F1134:G1134"/>
    <mergeCell ref="M1134:O1134"/>
    <mergeCell ref="Q1134:R1134"/>
    <mergeCell ref="F1131:G1131"/>
    <mergeCell ref="M1131:O1131"/>
    <mergeCell ref="Q1131:R1131"/>
    <mergeCell ref="F1132:G1132"/>
    <mergeCell ref="M1132:O1132"/>
    <mergeCell ref="Q1132:R1132"/>
    <mergeCell ref="F1129:G1129"/>
    <mergeCell ref="M1129:O1129"/>
    <mergeCell ref="Q1129:R1129"/>
    <mergeCell ref="F1130:G1130"/>
    <mergeCell ref="M1130:O1130"/>
    <mergeCell ref="Q1130:R1130"/>
    <mergeCell ref="F1127:G1127"/>
    <mergeCell ref="M1127:O1127"/>
    <mergeCell ref="Q1127:R1127"/>
    <mergeCell ref="F1128:G1128"/>
    <mergeCell ref="M1128:O1128"/>
    <mergeCell ref="Q1128:R1128"/>
    <mergeCell ref="F1125:G1125"/>
    <mergeCell ref="M1125:O1125"/>
    <mergeCell ref="Q1125:R1125"/>
    <mergeCell ref="F1126:G1126"/>
    <mergeCell ref="M1126:O1126"/>
    <mergeCell ref="Q1126:R1126"/>
    <mergeCell ref="F1123:G1123"/>
    <mergeCell ref="M1123:O1123"/>
    <mergeCell ref="Q1123:R1123"/>
    <mergeCell ref="F1124:G1124"/>
    <mergeCell ref="M1124:O1124"/>
    <mergeCell ref="Q1124:R1124"/>
    <mergeCell ref="F1121:G1121"/>
    <mergeCell ref="M1121:O1121"/>
    <mergeCell ref="Q1121:R1121"/>
    <mergeCell ref="F1122:G1122"/>
    <mergeCell ref="M1122:O1122"/>
    <mergeCell ref="Q1122:R1122"/>
    <mergeCell ref="F1119:G1119"/>
    <mergeCell ref="M1119:O1119"/>
    <mergeCell ref="Q1119:R1119"/>
    <mergeCell ref="F1120:G1120"/>
    <mergeCell ref="M1120:O1120"/>
    <mergeCell ref="Q1120:R1120"/>
    <mergeCell ref="F1117:G1117"/>
    <mergeCell ref="M1117:O1117"/>
    <mergeCell ref="Q1117:R1117"/>
    <mergeCell ref="F1118:G1118"/>
    <mergeCell ref="M1118:O1118"/>
    <mergeCell ref="Q1118:R1118"/>
    <mergeCell ref="F1115:G1115"/>
    <mergeCell ref="M1115:O1115"/>
    <mergeCell ref="Q1115:R1115"/>
    <mergeCell ref="F1116:G1116"/>
    <mergeCell ref="M1116:O1116"/>
    <mergeCell ref="Q1116:R1116"/>
    <mergeCell ref="F1113:G1113"/>
    <mergeCell ref="M1113:O1113"/>
    <mergeCell ref="Q1113:R1113"/>
    <mergeCell ref="F1114:G1114"/>
    <mergeCell ref="M1114:O1114"/>
    <mergeCell ref="Q1114:R1114"/>
    <mergeCell ref="F1111:G1111"/>
    <mergeCell ref="M1111:O1111"/>
    <mergeCell ref="Q1111:R1111"/>
    <mergeCell ref="F1112:G1112"/>
    <mergeCell ref="M1112:O1112"/>
    <mergeCell ref="Q1112:R1112"/>
    <mergeCell ref="F1109:G1109"/>
    <mergeCell ref="M1109:O1109"/>
    <mergeCell ref="Q1109:R1109"/>
    <mergeCell ref="F1110:G1110"/>
    <mergeCell ref="M1110:O1110"/>
    <mergeCell ref="Q1110:R1110"/>
    <mergeCell ref="F1107:G1107"/>
    <mergeCell ref="M1107:O1107"/>
    <mergeCell ref="Q1107:R1107"/>
    <mergeCell ref="F1108:G1108"/>
    <mergeCell ref="M1108:O1108"/>
    <mergeCell ref="Q1108:R1108"/>
    <mergeCell ref="F1105:G1105"/>
    <mergeCell ref="M1105:O1105"/>
    <mergeCell ref="Q1105:R1105"/>
    <mergeCell ref="F1106:G1106"/>
    <mergeCell ref="M1106:O1106"/>
    <mergeCell ref="Q1106:R1106"/>
    <mergeCell ref="F1103:G1103"/>
    <mergeCell ref="M1103:O1103"/>
    <mergeCell ref="Q1103:R1103"/>
    <mergeCell ref="F1104:G1104"/>
    <mergeCell ref="M1104:O1104"/>
    <mergeCell ref="Q1104:R1104"/>
    <mergeCell ref="F1101:G1101"/>
    <mergeCell ref="M1101:O1101"/>
    <mergeCell ref="Q1101:R1101"/>
    <mergeCell ref="F1102:G1102"/>
    <mergeCell ref="M1102:O1102"/>
    <mergeCell ref="Q1102:R1102"/>
    <mergeCell ref="F1099:G1099"/>
    <mergeCell ref="M1099:O1099"/>
    <mergeCell ref="Q1099:R1099"/>
    <mergeCell ref="F1100:G1100"/>
    <mergeCell ref="M1100:O1100"/>
    <mergeCell ref="Q1100:R1100"/>
    <mergeCell ref="F1097:G1097"/>
    <mergeCell ref="M1097:O1097"/>
    <mergeCell ref="Q1097:R1097"/>
    <mergeCell ref="F1098:G1098"/>
    <mergeCell ref="M1098:O1098"/>
    <mergeCell ref="Q1098:R1098"/>
    <mergeCell ref="F1095:G1095"/>
    <mergeCell ref="M1095:O1095"/>
    <mergeCell ref="Q1095:R1095"/>
    <mergeCell ref="F1096:G1096"/>
    <mergeCell ref="M1096:O1096"/>
    <mergeCell ref="Q1096:R1096"/>
    <mergeCell ref="F1093:G1093"/>
    <mergeCell ref="M1093:O1093"/>
    <mergeCell ref="Q1093:R1093"/>
    <mergeCell ref="F1094:G1094"/>
    <mergeCell ref="M1094:O1094"/>
    <mergeCell ref="Q1094:R1094"/>
    <mergeCell ref="F1091:G1091"/>
    <mergeCell ref="M1091:O1091"/>
    <mergeCell ref="Q1091:R1091"/>
    <mergeCell ref="F1092:G1092"/>
    <mergeCell ref="M1092:O1092"/>
    <mergeCell ref="Q1092:R1092"/>
    <mergeCell ref="F1089:G1089"/>
    <mergeCell ref="M1089:O1089"/>
    <mergeCell ref="Q1089:R1089"/>
    <mergeCell ref="F1090:G1090"/>
    <mergeCell ref="M1090:O1090"/>
    <mergeCell ref="Q1090:R1090"/>
    <mergeCell ref="F1087:G1087"/>
    <mergeCell ref="M1087:O1087"/>
    <mergeCell ref="Q1087:R1087"/>
    <mergeCell ref="F1088:G1088"/>
    <mergeCell ref="M1088:O1088"/>
    <mergeCell ref="Q1088:R1088"/>
    <mergeCell ref="F1085:G1085"/>
    <mergeCell ref="M1085:O1085"/>
    <mergeCell ref="Q1085:R1085"/>
    <mergeCell ref="F1086:G1086"/>
    <mergeCell ref="M1086:O1086"/>
    <mergeCell ref="Q1086:R1086"/>
    <mergeCell ref="F1083:G1083"/>
    <mergeCell ref="M1083:O1083"/>
    <mergeCell ref="Q1083:R1083"/>
    <mergeCell ref="F1084:G1084"/>
    <mergeCell ref="M1084:O1084"/>
    <mergeCell ref="Q1084:R1084"/>
    <mergeCell ref="F1081:G1081"/>
    <mergeCell ref="M1081:O1081"/>
    <mergeCell ref="Q1081:R1081"/>
    <mergeCell ref="F1082:G1082"/>
    <mergeCell ref="M1082:O1082"/>
    <mergeCell ref="Q1082:R1082"/>
    <mergeCell ref="F1079:G1079"/>
    <mergeCell ref="M1079:O1079"/>
    <mergeCell ref="Q1079:R1079"/>
    <mergeCell ref="F1080:G1080"/>
    <mergeCell ref="M1080:O1080"/>
    <mergeCell ref="Q1080:R1080"/>
    <mergeCell ref="F1077:G1077"/>
    <mergeCell ref="M1077:O1077"/>
    <mergeCell ref="Q1077:R1077"/>
    <mergeCell ref="F1078:G1078"/>
    <mergeCell ref="M1078:O1078"/>
    <mergeCell ref="Q1078:R1078"/>
    <mergeCell ref="F1075:G1075"/>
    <mergeCell ref="M1075:O1075"/>
    <mergeCell ref="Q1075:R1075"/>
    <mergeCell ref="F1076:G1076"/>
    <mergeCell ref="M1076:O1076"/>
    <mergeCell ref="Q1076:R1076"/>
    <mergeCell ref="F1073:G1073"/>
    <mergeCell ref="M1073:O1073"/>
    <mergeCell ref="Q1073:R1073"/>
    <mergeCell ref="F1074:G1074"/>
    <mergeCell ref="M1074:O1074"/>
    <mergeCell ref="Q1074:R1074"/>
    <mergeCell ref="F1071:G1071"/>
    <mergeCell ref="M1071:O1071"/>
    <mergeCell ref="Q1071:R1071"/>
    <mergeCell ref="F1072:G1072"/>
    <mergeCell ref="M1072:O1072"/>
    <mergeCell ref="Q1072:R1072"/>
    <mergeCell ref="F1069:G1069"/>
    <mergeCell ref="M1069:O1069"/>
    <mergeCell ref="Q1069:R1069"/>
    <mergeCell ref="F1070:G1070"/>
    <mergeCell ref="M1070:O1070"/>
    <mergeCell ref="Q1070:R1070"/>
    <mergeCell ref="F1067:G1067"/>
    <mergeCell ref="M1067:O1067"/>
    <mergeCell ref="Q1067:R1067"/>
    <mergeCell ref="F1068:G1068"/>
    <mergeCell ref="M1068:O1068"/>
    <mergeCell ref="Q1068:R1068"/>
    <mergeCell ref="F1065:G1065"/>
    <mergeCell ref="M1065:O1065"/>
    <mergeCell ref="Q1065:R1065"/>
    <mergeCell ref="F1066:G1066"/>
    <mergeCell ref="M1066:O1066"/>
    <mergeCell ref="Q1066:R1066"/>
    <mergeCell ref="F1063:G1063"/>
    <mergeCell ref="M1063:O1063"/>
    <mergeCell ref="Q1063:R1063"/>
    <mergeCell ref="F1064:G1064"/>
    <mergeCell ref="M1064:O1064"/>
    <mergeCell ref="Q1064:R1064"/>
    <mergeCell ref="F1061:G1061"/>
    <mergeCell ref="M1061:O1061"/>
    <mergeCell ref="Q1061:R1061"/>
    <mergeCell ref="F1062:G1062"/>
    <mergeCell ref="M1062:O1062"/>
    <mergeCell ref="Q1062:R1062"/>
    <mergeCell ref="F1059:G1059"/>
    <mergeCell ref="M1059:O1059"/>
    <mergeCell ref="Q1059:R1059"/>
    <mergeCell ref="F1060:G1060"/>
    <mergeCell ref="M1060:O1060"/>
    <mergeCell ref="Q1060:R1060"/>
    <mergeCell ref="F1057:G1057"/>
    <mergeCell ref="M1057:O1057"/>
    <mergeCell ref="Q1057:R1057"/>
    <mergeCell ref="F1058:G1058"/>
    <mergeCell ref="M1058:O1058"/>
    <mergeCell ref="Q1058:R1058"/>
    <mergeCell ref="F1055:G1055"/>
    <mergeCell ref="M1055:O1055"/>
    <mergeCell ref="Q1055:R1055"/>
    <mergeCell ref="F1056:G1056"/>
    <mergeCell ref="M1056:O1056"/>
    <mergeCell ref="Q1056:R1056"/>
    <mergeCell ref="F1053:G1053"/>
    <mergeCell ref="M1053:O1053"/>
    <mergeCell ref="Q1053:R1053"/>
    <mergeCell ref="F1054:G1054"/>
    <mergeCell ref="M1054:O1054"/>
    <mergeCell ref="Q1054:R1054"/>
    <mergeCell ref="F1051:G1051"/>
    <mergeCell ref="M1051:O1051"/>
    <mergeCell ref="Q1051:R1051"/>
    <mergeCell ref="F1052:G1052"/>
    <mergeCell ref="M1052:O1052"/>
    <mergeCell ref="Q1052:R1052"/>
    <mergeCell ref="F1049:G1049"/>
    <mergeCell ref="M1049:O1049"/>
    <mergeCell ref="Q1049:R1049"/>
    <mergeCell ref="F1050:G1050"/>
    <mergeCell ref="M1050:O1050"/>
    <mergeCell ref="Q1050:R1050"/>
    <mergeCell ref="F1047:G1047"/>
    <mergeCell ref="M1047:O1047"/>
    <mergeCell ref="Q1047:R1047"/>
    <mergeCell ref="F1048:G1048"/>
    <mergeCell ref="M1048:O1048"/>
    <mergeCell ref="Q1048:R1048"/>
    <mergeCell ref="F1045:G1045"/>
    <mergeCell ref="M1045:O1045"/>
    <mergeCell ref="Q1045:R1045"/>
    <mergeCell ref="F1046:G1046"/>
    <mergeCell ref="M1046:O1046"/>
    <mergeCell ref="Q1046:R1046"/>
    <mergeCell ref="F1043:G1043"/>
    <mergeCell ref="M1043:O1043"/>
    <mergeCell ref="Q1043:R1043"/>
    <mergeCell ref="F1044:G1044"/>
    <mergeCell ref="M1044:O1044"/>
    <mergeCell ref="Q1044:R1044"/>
    <mergeCell ref="F1041:G1041"/>
    <mergeCell ref="M1041:O1041"/>
    <mergeCell ref="Q1041:R1041"/>
    <mergeCell ref="F1042:G1042"/>
    <mergeCell ref="M1042:O1042"/>
    <mergeCell ref="Q1042:R1042"/>
    <mergeCell ref="F1039:G1039"/>
    <mergeCell ref="M1039:O1039"/>
    <mergeCell ref="Q1039:R1039"/>
    <mergeCell ref="F1040:G1040"/>
    <mergeCell ref="M1040:O1040"/>
    <mergeCell ref="Q1040:R1040"/>
    <mergeCell ref="F1037:G1037"/>
    <mergeCell ref="M1037:O1037"/>
    <mergeCell ref="Q1037:R1037"/>
    <mergeCell ref="F1038:G1038"/>
    <mergeCell ref="M1038:O1038"/>
    <mergeCell ref="Q1038:R1038"/>
    <mergeCell ref="F1035:G1035"/>
    <mergeCell ref="M1035:O1035"/>
    <mergeCell ref="Q1035:R1035"/>
    <mergeCell ref="F1036:G1036"/>
    <mergeCell ref="M1036:O1036"/>
    <mergeCell ref="Q1036:R1036"/>
    <mergeCell ref="F1033:G1033"/>
    <mergeCell ref="M1033:O1033"/>
    <mergeCell ref="Q1033:R1033"/>
    <mergeCell ref="F1034:G1034"/>
    <mergeCell ref="M1034:O1034"/>
    <mergeCell ref="Q1034:R1034"/>
    <mergeCell ref="F1031:G1031"/>
    <mergeCell ref="M1031:O1031"/>
    <mergeCell ref="Q1031:R1031"/>
    <mergeCell ref="F1032:G1032"/>
    <mergeCell ref="M1032:O1032"/>
    <mergeCell ref="Q1032:R1032"/>
    <mergeCell ref="F1029:G1029"/>
    <mergeCell ref="M1029:O1029"/>
    <mergeCell ref="Q1029:R1029"/>
    <mergeCell ref="F1030:G1030"/>
    <mergeCell ref="M1030:O1030"/>
    <mergeCell ref="Q1030:R1030"/>
    <mergeCell ref="F1027:G1027"/>
    <mergeCell ref="M1027:O1027"/>
    <mergeCell ref="Q1027:R1027"/>
    <mergeCell ref="F1028:G1028"/>
    <mergeCell ref="M1028:O1028"/>
    <mergeCell ref="Q1028:R1028"/>
    <mergeCell ref="F1025:G1025"/>
    <mergeCell ref="M1025:O1025"/>
    <mergeCell ref="Q1025:R1025"/>
    <mergeCell ref="F1026:G1026"/>
    <mergeCell ref="M1026:O1026"/>
    <mergeCell ref="Q1026:R1026"/>
    <mergeCell ref="F1023:G1023"/>
    <mergeCell ref="M1023:O1023"/>
    <mergeCell ref="Q1023:R1023"/>
    <mergeCell ref="F1024:G1024"/>
    <mergeCell ref="M1024:O1024"/>
    <mergeCell ref="Q1024:R1024"/>
    <mergeCell ref="F1021:G1021"/>
    <mergeCell ref="M1021:O1021"/>
    <mergeCell ref="Q1021:R1021"/>
    <mergeCell ref="F1022:G1022"/>
    <mergeCell ref="M1022:O1022"/>
    <mergeCell ref="Q1022:R1022"/>
    <mergeCell ref="F1019:G1019"/>
    <mergeCell ref="M1019:O1019"/>
    <mergeCell ref="Q1019:R1019"/>
    <mergeCell ref="F1020:G1020"/>
    <mergeCell ref="M1020:O1020"/>
    <mergeCell ref="Q1020:R1020"/>
    <mergeCell ref="F1017:G1017"/>
    <mergeCell ref="M1017:O1017"/>
    <mergeCell ref="Q1017:R1017"/>
    <mergeCell ref="F1018:G1018"/>
    <mergeCell ref="M1018:O1018"/>
    <mergeCell ref="Q1018:R1018"/>
    <mergeCell ref="F1015:G1015"/>
    <mergeCell ref="M1015:O1015"/>
    <mergeCell ref="Q1015:R1015"/>
    <mergeCell ref="F1016:G1016"/>
    <mergeCell ref="M1016:O1016"/>
    <mergeCell ref="Q1016:R1016"/>
    <mergeCell ref="F1013:G1013"/>
    <mergeCell ref="M1013:O1013"/>
    <mergeCell ref="Q1013:R1013"/>
    <mergeCell ref="F1014:G1014"/>
    <mergeCell ref="M1014:O1014"/>
    <mergeCell ref="Q1014:R1014"/>
    <mergeCell ref="F1011:G1011"/>
    <mergeCell ref="M1011:O1011"/>
    <mergeCell ref="Q1011:R1011"/>
    <mergeCell ref="F1012:G1012"/>
    <mergeCell ref="M1012:O1012"/>
    <mergeCell ref="Q1012:R1012"/>
    <mergeCell ref="F1009:G1009"/>
    <mergeCell ref="M1009:O1009"/>
    <mergeCell ref="Q1009:R1009"/>
    <mergeCell ref="F1010:G1010"/>
    <mergeCell ref="M1010:O1010"/>
    <mergeCell ref="Q1010:R1010"/>
    <mergeCell ref="F1007:G1007"/>
    <mergeCell ref="M1007:O1007"/>
    <mergeCell ref="Q1007:R1007"/>
    <mergeCell ref="F1008:G1008"/>
    <mergeCell ref="M1008:O1008"/>
    <mergeCell ref="Q1008:R1008"/>
    <mergeCell ref="F1005:G1005"/>
    <mergeCell ref="M1005:O1005"/>
    <mergeCell ref="Q1005:R1005"/>
    <mergeCell ref="F1006:G1006"/>
    <mergeCell ref="M1006:O1006"/>
    <mergeCell ref="Q1006:R1006"/>
    <mergeCell ref="F1003:G1003"/>
    <mergeCell ref="M1003:O1003"/>
    <mergeCell ref="Q1003:R1003"/>
    <mergeCell ref="F1004:G1004"/>
    <mergeCell ref="M1004:O1004"/>
    <mergeCell ref="Q1004:R1004"/>
    <mergeCell ref="F1001:G1001"/>
    <mergeCell ref="M1001:O1001"/>
    <mergeCell ref="Q1001:R1001"/>
    <mergeCell ref="F1002:G1002"/>
    <mergeCell ref="M1002:O1002"/>
    <mergeCell ref="Q1002:R1002"/>
    <mergeCell ref="F999:G999"/>
    <mergeCell ref="M999:O999"/>
    <mergeCell ref="Q999:R999"/>
    <mergeCell ref="F1000:G1000"/>
    <mergeCell ref="M1000:O1000"/>
    <mergeCell ref="Q1000:R1000"/>
    <mergeCell ref="F997:G997"/>
    <mergeCell ref="M997:O997"/>
    <mergeCell ref="Q997:R997"/>
    <mergeCell ref="F998:G998"/>
    <mergeCell ref="M998:O998"/>
    <mergeCell ref="Q998:R998"/>
    <mergeCell ref="F995:G995"/>
    <mergeCell ref="M995:O995"/>
    <mergeCell ref="Q995:R995"/>
    <mergeCell ref="F996:G996"/>
    <mergeCell ref="M996:O996"/>
    <mergeCell ref="Q996:R996"/>
    <mergeCell ref="F993:G993"/>
    <mergeCell ref="M993:O993"/>
    <mergeCell ref="Q993:R993"/>
    <mergeCell ref="F994:G994"/>
    <mergeCell ref="M994:O994"/>
    <mergeCell ref="Q994:R994"/>
    <mergeCell ref="F991:G991"/>
    <mergeCell ref="M991:O991"/>
    <mergeCell ref="Q991:R991"/>
    <mergeCell ref="F992:G992"/>
    <mergeCell ref="M992:O992"/>
    <mergeCell ref="Q992:R992"/>
    <mergeCell ref="F989:G989"/>
    <mergeCell ref="M989:O989"/>
    <mergeCell ref="Q989:R989"/>
    <mergeCell ref="F990:G990"/>
    <mergeCell ref="M990:O990"/>
    <mergeCell ref="Q990:R990"/>
    <mergeCell ref="F987:G987"/>
    <mergeCell ref="M987:O987"/>
    <mergeCell ref="Q987:R987"/>
    <mergeCell ref="F988:G988"/>
    <mergeCell ref="M988:O988"/>
    <mergeCell ref="Q988:R988"/>
    <mergeCell ref="F985:G985"/>
    <mergeCell ref="M985:O985"/>
    <mergeCell ref="Q985:R985"/>
    <mergeCell ref="F986:G986"/>
    <mergeCell ref="M986:O986"/>
    <mergeCell ref="Q986:R986"/>
    <mergeCell ref="F983:G983"/>
    <mergeCell ref="M983:O983"/>
    <mergeCell ref="Q983:R983"/>
    <mergeCell ref="F984:G984"/>
    <mergeCell ref="M984:O984"/>
    <mergeCell ref="Q984:R984"/>
    <mergeCell ref="F981:G981"/>
    <mergeCell ref="M981:O981"/>
    <mergeCell ref="Q981:R981"/>
    <mergeCell ref="F982:G982"/>
    <mergeCell ref="M982:O982"/>
    <mergeCell ref="Q982:R982"/>
    <mergeCell ref="F979:G979"/>
    <mergeCell ref="M979:O979"/>
    <mergeCell ref="Q979:R979"/>
    <mergeCell ref="F980:G980"/>
    <mergeCell ref="M980:O980"/>
    <mergeCell ref="Q980:R980"/>
    <mergeCell ref="F977:G977"/>
    <mergeCell ref="M977:O977"/>
    <mergeCell ref="Q977:R977"/>
    <mergeCell ref="F978:G978"/>
    <mergeCell ref="M978:O978"/>
    <mergeCell ref="Q978:R978"/>
    <mergeCell ref="F975:G975"/>
    <mergeCell ref="M975:O975"/>
    <mergeCell ref="Q975:R975"/>
    <mergeCell ref="F976:G976"/>
    <mergeCell ref="M976:O976"/>
    <mergeCell ref="Q976:R976"/>
    <mergeCell ref="F973:G973"/>
    <mergeCell ref="M973:O973"/>
    <mergeCell ref="Q973:R973"/>
    <mergeCell ref="F974:G974"/>
    <mergeCell ref="M974:O974"/>
    <mergeCell ref="Q974:R974"/>
    <mergeCell ref="F971:G971"/>
    <mergeCell ref="M971:O971"/>
    <mergeCell ref="Q971:R971"/>
    <mergeCell ref="F972:G972"/>
    <mergeCell ref="M972:O972"/>
    <mergeCell ref="Q972:R972"/>
    <mergeCell ref="F969:G969"/>
    <mergeCell ref="M969:O969"/>
    <mergeCell ref="Q969:R969"/>
    <mergeCell ref="F970:G970"/>
    <mergeCell ref="M970:O970"/>
    <mergeCell ref="Q970:R970"/>
    <mergeCell ref="F967:G967"/>
    <mergeCell ref="M967:O967"/>
    <mergeCell ref="Q967:R967"/>
    <mergeCell ref="F968:G968"/>
    <mergeCell ref="M968:O968"/>
    <mergeCell ref="Q968:R968"/>
    <mergeCell ref="F965:G965"/>
    <mergeCell ref="M965:O965"/>
    <mergeCell ref="Q965:R965"/>
    <mergeCell ref="F966:G966"/>
    <mergeCell ref="M966:O966"/>
    <mergeCell ref="Q966:R966"/>
    <mergeCell ref="F963:G963"/>
    <mergeCell ref="M963:O963"/>
    <mergeCell ref="Q963:R963"/>
    <mergeCell ref="F964:G964"/>
    <mergeCell ref="M964:O964"/>
    <mergeCell ref="Q964:R964"/>
    <mergeCell ref="F961:G961"/>
    <mergeCell ref="M961:O961"/>
    <mergeCell ref="Q961:R961"/>
    <mergeCell ref="F962:G962"/>
    <mergeCell ref="M962:O962"/>
    <mergeCell ref="Q962:R962"/>
    <mergeCell ref="F959:G959"/>
    <mergeCell ref="M959:O959"/>
    <mergeCell ref="Q959:R959"/>
    <mergeCell ref="F960:G960"/>
    <mergeCell ref="M960:O960"/>
    <mergeCell ref="Q960:R960"/>
    <mergeCell ref="F957:G957"/>
    <mergeCell ref="M957:O957"/>
    <mergeCell ref="Q957:R957"/>
    <mergeCell ref="F958:G958"/>
    <mergeCell ref="M958:O958"/>
    <mergeCell ref="Q958:R958"/>
    <mergeCell ref="F955:G955"/>
    <mergeCell ref="M955:O955"/>
    <mergeCell ref="Q955:R955"/>
    <mergeCell ref="F956:G956"/>
    <mergeCell ref="M956:O956"/>
    <mergeCell ref="Q956:R956"/>
    <mergeCell ref="F953:G953"/>
    <mergeCell ref="M953:O953"/>
    <mergeCell ref="Q953:R953"/>
    <mergeCell ref="F954:G954"/>
    <mergeCell ref="M954:O954"/>
    <mergeCell ref="Q954:R954"/>
    <mergeCell ref="F951:G951"/>
    <mergeCell ref="M951:O951"/>
    <mergeCell ref="Q951:R951"/>
    <mergeCell ref="F952:G952"/>
    <mergeCell ref="M952:O952"/>
    <mergeCell ref="Q952:R952"/>
    <mergeCell ref="F949:G949"/>
    <mergeCell ref="M949:O949"/>
    <mergeCell ref="Q949:R949"/>
    <mergeCell ref="F950:G950"/>
    <mergeCell ref="M950:O950"/>
    <mergeCell ref="Q950:R950"/>
    <mergeCell ref="F947:G947"/>
    <mergeCell ref="M947:O947"/>
    <mergeCell ref="Q947:R947"/>
    <mergeCell ref="F948:G948"/>
    <mergeCell ref="M948:O948"/>
    <mergeCell ref="Q948:R948"/>
    <mergeCell ref="F945:G945"/>
    <mergeCell ref="M945:O945"/>
    <mergeCell ref="Q945:R945"/>
    <mergeCell ref="F946:G946"/>
    <mergeCell ref="M946:O946"/>
    <mergeCell ref="Q946:R946"/>
    <mergeCell ref="F943:G943"/>
    <mergeCell ref="M943:O943"/>
    <mergeCell ref="Q943:R943"/>
    <mergeCell ref="F944:G944"/>
    <mergeCell ref="M944:O944"/>
    <mergeCell ref="Q944:R944"/>
    <mergeCell ref="F941:G941"/>
    <mergeCell ref="M941:O941"/>
    <mergeCell ref="Q941:R941"/>
    <mergeCell ref="F942:G942"/>
    <mergeCell ref="M942:O942"/>
    <mergeCell ref="Q942:R942"/>
    <mergeCell ref="F939:G939"/>
    <mergeCell ref="M939:O939"/>
    <mergeCell ref="Q939:R939"/>
    <mergeCell ref="F940:G940"/>
    <mergeCell ref="M940:O940"/>
    <mergeCell ref="Q940:R940"/>
    <mergeCell ref="F937:G937"/>
    <mergeCell ref="M937:O937"/>
    <mergeCell ref="Q937:R937"/>
    <mergeCell ref="F938:G938"/>
    <mergeCell ref="M938:O938"/>
    <mergeCell ref="Q938:R938"/>
    <mergeCell ref="F935:G935"/>
    <mergeCell ref="M935:O935"/>
    <mergeCell ref="Q935:R935"/>
    <mergeCell ref="F936:G936"/>
    <mergeCell ref="M936:O936"/>
    <mergeCell ref="Q936:R936"/>
    <mergeCell ref="F933:G933"/>
    <mergeCell ref="M933:O933"/>
    <mergeCell ref="Q933:R933"/>
    <mergeCell ref="F934:G934"/>
    <mergeCell ref="M934:O934"/>
    <mergeCell ref="Q934:R934"/>
    <mergeCell ref="F931:G931"/>
    <mergeCell ref="M931:O931"/>
    <mergeCell ref="Q931:R931"/>
    <mergeCell ref="F932:G932"/>
    <mergeCell ref="M932:O932"/>
    <mergeCell ref="Q932:R932"/>
    <mergeCell ref="F929:G929"/>
    <mergeCell ref="M929:O929"/>
    <mergeCell ref="Q929:R929"/>
    <mergeCell ref="F930:G930"/>
    <mergeCell ref="M930:O930"/>
    <mergeCell ref="Q930:R930"/>
    <mergeCell ref="F927:G927"/>
    <mergeCell ref="M927:O927"/>
    <mergeCell ref="Q927:R927"/>
    <mergeCell ref="F928:G928"/>
    <mergeCell ref="M928:O928"/>
    <mergeCell ref="Q928:R928"/>
    <mergeCell ref="F925:G925"/>
    <mergeCell ref="M925:O925"/>
    <mergeCell ref="Q925:R925"/>
    <mergeCell ref="F926:G926"/>
    <mergeCell ref="M926:O926"/>
    <mergeCell ref="Q926:R926"/>
    <mergeCell ref="F923:G923"/>
    <mergeCell ref="M923:O923"/>
    <mergeCell ref="Q923:R923"/>
    <mergeCell ref="F924:G924"/>
    <mergeCell ref="M924:O924"/>
    <mergeCell ref="Q924:R924"/>
    <mergeCell ref="F921:G921"/>
    <mergeCell ref="M921:O921"/>
    <mergeCell ref="Q921:R921"/>
    <mergeCell ref="F922:G922"/>
    <mergeCell ref="M922:O922"/>
    <mergeCell ref="Q922:R922"/>
    <mergeCell ref="F919:G919"/>
    <mergeCell ref="M919:O919"/>
    <mergeCell ref="Q919:R919"/>
    <mergeCell ref="F920:G920"/>
    <mergeCell ref="M920:O920"/>
    <mergeCell ref="Q920:R920"/>
    <mergeCell ref="F917:G917"/>
    <mergeCell ref="M917:O917"/>
    <mergeCell ref="Q917:R917"/>
    <mergeCell ref="F918:G918"/>
    <mergeCell ref="M918:O918"/>
    <mergeCell ref="Q918:R918"/>
    <mergeCell ref="F915:G915"/>
    <mergeCell ref="M915:O915"/>
    <mergeCell ref="Q915:R915"/>
    <mergeCell ref="F916:G916"/>
    <mergeCell ref="M916:O916"/>
    <mergeCell ref="Q916:R916"/>
    <mergeCell ref="F913:G913"/>
    <mergeCell ref="M913:O913"/>
    <mergeCell ref="Q913:R913"/>
    <mergeCell ref="F914:G914"/>
    <mergeCell ref="M914:O914"/>
    <mergeCell ref="Q914:R914"/>
    <mergeCell ref="F911:G911"/>
    <mergeCell ref="M911:O911"/>
    <mergeCell ref="Q911:R911"/>
    <mergeCell ref="F912:G912"/>
    <mergeCell ref="M912:O912"/>
    <mergeCell ref="Q912:R912"/>
    <mergeCell ref="F909:G909"/>
    <mergeCell ref="M909:O909"/>
    <mergeCell ref="Q909:R909"/>
    <mergeCell ref="F910:G910"/>
    <mergeCell ref="M910:O910"/>
    <mergeCell ref="Q910:R910"/>
    <mergeCell ref="F907:G907"/>
    <mergeCell ref="M907:O907"/>
    <mergeCell ref="Q907:R907"/>
    <mergeCell ref="F908:G908"/>
    <mergeCell ref="M908:O908"/>
    <mergeCell ref="Q908:R908"/>
    <mergeCell ref="F905:G905"/>
    <mergeCell ref="M905:O905"/>
    <mergeCell ref="Q905:R905"/>
    <mergeCell ref="F906:G906"/>
    <mergeCell ref="M906:O906"/>
    <mergeCell ref="Q906:R906"/>
    <mergeCell ref="F903:G903"/>
    <mergeCell ref="M903:O903"/>
    <mergeCell ref="Q903:R903"/>
    <mergeCell ref="F904:G904"/>
    <mergeCell ref="M904:O904"/>
    <mergeCell ref="Q904:R904"/>
    <mergeCell ref="F901:G901"/>
    <mergeCell ref="M901:O901"/>
    <mergeCell ref="Q901:R901"/>
    <mergeCell ref="F902:G902"/>
    <mergeCell ref="M902:O902"/>
    <mergeCell ref="Q902:R902"/>
    <mergeCell ref="F899:G899"/>
    <mergeCell ref="M899:O899"/>
    <mergeCell ref="Q899:R899"/>
    <mergeCell ref="F900:G900"/>
    <mergeCell ref="M900:O900"/>
    <mergeCell ref="Q900:R900"/>
    <mergeCell ref="F897:G897"/>
    <mergeCell ref="M897:O897"/>
    <mergeCell ref="Q897:R897"/>
    <mergeCell ref="F898:G898"/>
    <mergeCell ref="M898:O898"/>
    <mergeCell ref="Q898:R898"/>
    <mergeCell ref="F895:G895"/>
    <mergeCell ref="M895:O895"/>
    <mergeCell ref="Q895:R895"/>
    <mergeCell ref="F896:G896"/>
    <mergeCell ref="M896:O896"/>
    <mergeCell ref="Q896:R896"/>
    <mergeCell ref="F893:G893"/>
    <mergeCell ref="M893:O893"/>
    <mergeCell ref="Q893:R893"/>
    <mergeCell ref="F894:G894"/>
    <mergeCell ref="M894:O894"/>
    <mergeCell ref="Q894:R894"/>
    <mergeCell ref="F891:G891"/>
    <mergeCell ref="M891:O891"/>
    <mergeCell ref="Q891:R891"/>
    <mergeCell ref="F892:G892"/>
    <mergeCell ref="M892:O892"/>
    <mergeCell ref="Q892:R892"/>
    <mergeCell ref="F889:G889"/>
    <mergeCell ref="M889:O889"/>
    <mergeCell ref="Q889:R889"/>
    <mergeCell ref="F890:G890"/>
    <mergeCell ref="M890:O890"/>
    <mergeCell ref="Q890:R890"/>
    <mergeCell ref="F887:G887"/>
    <mergeCell ref="M887:O887"/>
    <mergeCell ref="Q887:R887"/>
    <mergeCell ref="F888:G888"/>
    <mergeCell ref="M888:O888"/>
    <mergeCell ref="Q888:R888"/>
    <mergeCell ref="F885:G885"/>
    <mergeCell ref="M885:O885"/>
    <mergeCell ref="Q885:R885"/>
    <mergeCell ref="F886:G886"/>
    <mergeCell ref="M886:O886"/>
    <mergeCell ref="Q886:R886"/>
    <mergeCell ref="F883:G883"/>
    <mergeCell ref="M883:O883"/>
    <mergeCell ref="Q883:R883"/>
    <mergeCell ref="F884:G884"/>
    <mergeCell ref="M884:O884"/>
    <mergeCell ref="Q884:R884"/>
    <mergeCell ref="F881:G881"/>
    <mergeCell ref="M881:O881"/>
    <mergeCell ref="Q881:R881"/>
    <mergeCell ref="F882:G882"/>
    <mergeCell ref="M882:O882"/>
    <mergeCell ref="Q882:R882"/>
    <mergeCell ref="F879:G879"/>
    <mergeCell ref="M879:O879"/>
    <mergeCell ref="Q879:R879"/>
    <mergeCell ref="F880:G880"/>
    <mergeCell ref="M880:O880"/>
    <mergeCell ref="Q880:R880"/>
    <mergeCell ref="F877:G877"/>
    <mergeCell ref="M877:O877"/>
    <mergeCell ref="Q877:R877"/>
    <mergeCell ref="F878:G878"/>
    <mergeCell ref="M878:O878"/>
    <mergeCell ref="Q878:R878"/>
    <mergeCell ref="F875:G875"/>
    <mergeCell ref="M875:O875"/>
    <mergeCell ref="Q875:R875"/>
    <mergeCell ref="F876:G876"/>
    <mergeCell ref="M876:O876"/>
    <mergeCell ref="Q876:R876"/>
    <mergeCell ref="F873:G873"/>
    <mergeCell ref="M873:O873"/>
    <mergeCell ref="Q873:R873"/>
    <mergeCell ref="F874:G874"/>
    <mergeCell ref="M874:O874"/>
    <mergeCell ref="Q874:R874"/>
    <mergeCell ref="F871:G871"/>
    <mergeCell ref="M871:O871"/>
    <mergeCell ref="Q871:R871"/>
    <mergeCell ref="F872:G872"/>
    <mergeCell ref="M872:O872"/>
    <mergeCell ref="Q872:R872"/>
    <mergeCell ref="F869:G869"/>
    <mergeCell ref="M869:O869"/>
    <mergeCell ref="Q869:R869"/>
    <mergeCell ref="F870:G870"/>
    <mergeCell ref="M870:O870"/>
    <mergeCell ref="Q870:R870"/>
    <mergeCell ref="F867:G867"/>
    <mergeCell ref="M867:O867"/>
    <mergeCell ref="Q867:R867"/>
    <mergeCell ref="F868:G868"/>
    <mergeCell ref="M868:O868"/>
    <mergeCell ref="Q868:R868"/>
    <mergeCell ref="F865:G865"/>
    <mergeCell ref="M865:O865"/>
    <mergeCell ref="Q865:R865"/>
    <mergeCell ref="F866:G866"/>
    <mergeCell ref="M866:O866"/>
    <mergeCell ref="Q866:R866"/>
    <mergeCell ref="F863:G863"/>
    <mergeCell ref="M863:O863"/>
    <mergeCell ref="Q863:R863"/>
    <mergeCell ref="F864:G864"/>
    <mergeCell ref="M864:O864"/>
    <mergeCell ref="Q864:R864"/>
    <mergeCell ref="F861:G861"/>
    <mergeCell ref="M861:O861"/>
    <mergeCell ref="Q861:R861"/>
    <mergeCell ref="F862:G862"/>
    <mergeCell ref="M862:O862"/>
    <mergeCell ref="Q862:R862"/>
    <mergeCell ref="F859:G859"/>
    <mergeCell ref="M859:O859"/>
    <mergeCell ref="Q859:R859"/>
    <mergeCell ref="F860:G860"/>
    <mergeCell ref="M860:O860"/>
    <mergeCell ref="Q860:R860"/>
    <mergeCell ref="F857:G857"/>
    <mergeCell ref="M857:O857"/>
    <mergeCell ref="Q857:R857"/>
    <mergeCell ref="F858:G858"/>
    <mergeCell ref="M858:O858"/>
    <mergeCell ref="Q858:R858"/>
    <mergeCell ref="F855:G855"/>
    <mergeCell ref="M855:O855"/>
    <mergeCell ref="Q855:R855"/>
    <mergeCell ref="F856:G856"/>
    <mergeCell ref="M856:O856"/>
    <mergeCell ref="Q856:R856"/>
    <mergeCell ref="F853:G853"/>
    <mergeCell ref="M853:O853"/>
    <mergeCell ref="Q853:R853"/>
    <mergeCell ref="F854:G854"/>
    <mergeCell ref="M854:O854"/>
    <mergeCell ref="Q854:R854"/>
    <mergeCell ref="F851:G851"/>
    <mergeCell ref="M851:O851"/>
    <mergeCell ref="Q851:R851"/>
    <mergeCell ref="F852:G852"/>
    <mergeCell ref="M852:O852"/>
    <mergeCell ref="Q852:R852"/>
    <mergeCell ref="F849:G849"/>
    <mergeCell ref="M849:O849"/>
    <mergeCell ref="Q849:R849"/>
    <mergeCell ref="F850:G850"/>
    <mergeCell ref="M850:O850"/>
    <mergeCell ref="Q850:R850"/>
    <mergeCell ref="F847:G847"/>
    <mergeCell ref="M847:O847"/>
    <mergeCell ref="Q847:R847"/>
    <mergeCell ref="F848:G848"/>
    <mergeCell ref="M848:O848"/>
    <mergeCell ref="Q848:R848"/>
    <mergeCell ref="F845:G845"/>
    <mergeCell ref="M845:O845"/>
    <mergeCell ref="Q845:R845"/>
    <mergeCell ref="F846:G846"/>
    <mergeCell ref="M846:O846"/>
    <mergeCell ref="Q846:R846"/>
    <mergeCell ref="F843:G843"/>
    <mergeCell ref="M843:O843"/>
    <mergeCell ref="Q843:R843"/>
    <mergeCell ref="F844:G844"/>
    <mergeCell ref="M844:O844"/>
    <mergeCell ref="Q844:R844"/>
    <mergeCell ref="F841:G841"/>
    <mergeCell ref="M841:O841"/>
    <mergeCell ref="Q841:R841"/>
    <mergeCell ref="F842:G842"/>
    <mergeCell ref="M842:O842"/>
    <mergeCell ref="Q842:R842"/>
    <mergeCell ref="F839:G839"/>
    <mergeCell ref="M839:O839"/>
    <mergeCell ref="Q839:R839"/>
    <mergeCell ref="F840:G840"/>
    <mergeCell ref="M840:O840"/>
    <mergeCell ref="Q840:R840"/>
    <mergeCell ref="F837:G837"/>
    <mergeCell ref="M837:O837"/>
    <mergeCell ref="Q837:R837"/>
    <mergeCell ref="F838:G838"/>
    <mergeCell ref="M838:O838"/>
    <mergeCell ref="Q838:R838"/>
    <mergeCell ref="F835:G835"/>
    <mergeCell ref="M835:O835"/>
    <mergeCell ref="Q835:R835"/>
    <mergeCell ref="F836:G836"/>
    <mergeCell ref="M836:O836"/>
    <mergeCell ref="Q836:R836"/>
    <mergeCell ref="F833:G833"/>
    <mergeCell ref="M833:O833"/>
    <mergeCell ref="Q833:R833"/>
    <mergeCell ref="F834:G834"/>
    <mergeCell ref="M834:O834"/>
    <mergeCell ref="Q834:R834"/>
    <mergeCell ref="F831:G831"/>
    <mergeCell ref="M831:O831"/>
    <mergeCell ref="Q831:R831"/>
    <mergeCell ref="F832:G832"/>
    <mergeCell ref="M832:O832"/>
    <mergeCell ref="Q832:R832"/>
    <mergeCell ref="F829:G829"/>
    <mergeCell ref="M829:O829"/>
    <mergeCell ref="Q829:R829"/>
    <mergeCell ref="F830:G830"/>
    <mergeCell ref="M830:O830"/>
    <mergeCell ref="Q830:R830"/>
    <mergeCell ref="F827:G827"/>
    <mergeCell ref="M827:O827"/>
    <mergeCell ref="Q827:R827"/>
    <mergeCell ref="F828:G828"/>
    <mergeCell ref="M828:O828"/>
    <mergeCell ref="Q828:R828"/>
    <mergeCell ref="F825:G825"/>
    <mergeCell ref="M825:O825"/>
    <mergeCell ref="Q825:R825"/>
    <mergeCell ref="F826:G826"/>
    <mergeCell ref="M826:O826"/>
    <mergeCell ref="Q826:R826"/>
    <mergeCell ref="F823:G823"/>
    <mergeCell ref="M823:O823"/>
    <mergeCell ref="Q823:R823"/>
    <mergeCell ref="F824:G824"/>
    <mergeCell ref="M824:O824"/>
    <mergeCell ref="Q824:R824"/>
    <mergeCell ref="F821:G821"/>
    <mergeCell ref="M821:O821"/>
    <mergeCell ref="Q821:R821"/>
    <mergeCell ref="F822:G822"/>
    <mergeCell ref="M822:O822"/>
    <mergeCell ref="Q822:R822"/>
    <mergeCell ref="F819:G819"/>
    <mergeCell ref="M819:O819"/>
    <mergeCell ref="Q819:R819"/>
    <mergeCell ref="F820:G820"/>
    <mergeCell ref="M820:O820"/>
    <mergeCell ref="Q820:R820"/>
    <mergeCell ref="F817:G817"/>
    <mergeCell ref="M817:O817"/>
    <mergeCell ref="Q817:R817"/>
    <mergeCell ref="F818:G818"/>
    <mergeCell ref="M818:O818"/>
    <mergeCell ref="Q818:R818"/>
    <mergeCell ref="F815:G815"/>
    <mergeCell ref="M815:O815"/>
    <mergeCell ref="Q815:R815"/>
    <mergeCell ref="F816:G816"/>
    <mergeCell ref="M816:O816"/>
    <mergeCell ref="Q816:R816"/>
    <mergeCell ref="F813:G813"/>
    <mergeCell ref="M813:O813"/>
    <mergeCell ref="Q813:R813"/>
    <mergeCell ref="F814:G814"/>
    <mergeCell ref="M814:O814"/>
    <mergeCell ref="Q814:R814"/>
    <mergeCell ref="F811:G811"/>
    <mergeCell ref="M811:O811"/>
    <mergeCell ref="Q811:R811"/>
    <mergeCell ref="F812:G812"/>
    <mergeCell ref="M812:O812"/>
    <mergeCell ref="Q812:R812"/>
    <mergeCell ref="F809:G809"/>
    <mergeCell ref="M809:O809"/>
    <mergeCell ref="Q809:R809"/>
    <mergeCell ref="F810:G810"/>
    <mergeCell ref="M810:O810"/>
    <mergeCell ref="Q810:R810"/>
    <mergeCell ref="F807:G807"/>
    <mergeCell ref="M807:O807"/>
    <mergeCell ref="Q807:R807"/>
    <mergeCell ref="F808:G808"/>
    <mergeCell ref="M808:O808"/>
    <mergeCell ref="Q808:R808"/>
    <mergeCell ref="F805:G805"/>
    <mergeCell ref="M805:O805"/>
    <mergeCell ref="Q805:R805"/>
    <mergeCell ref="F806:G806"/>
    <mergeCell ref="M806:O806"/>
    <mergeCell ref="Q806:R806"/>
    <mergeCell ref="F803:G803"/>
    <mergeCell ref="M803:O803"/>
    <mergeCell ref="Q803:R803"/>
    <mergeCell ref="F804:G804"/>
    <mergeCell ref="M804:O804"/>
    <mergeCell ref="Q804:R804"/>
    <mergeCell ref="F801:G801"/>
    <mergeCell ref="M801:O801"/>
    <mergeCell ref="Q801:R801"/>
    <mergeCell ref="F802:G802"/>
    <mergeCell ref="M802:O802"/>
    <mergeCell ref="Q802:R802"/>
    <mergeCell ref="F799:G799"/>
    <mergeCell ref="M799:O799"/>
    <mergeCell ref="Q799:R799"/>
    <mergeCell ref="F800:G800"/>
    <mergeCell ref="M800:O800"/>
    <mergeCell ref="Q800:R800"/>
    <mergeCell ref="F797:G797"/>
    <mergeCell ref="M797:O797"/>
    <mergeCell ref="Q797:R797"/>
    <mergeCell ref="F798:G798"/>
    <mergeCell ref="M798:O798"/>
    <mergeCell ref="Q798:R798"/>
    <mergeCell ref="F795:G795"/>
    <mergeCell ref="M795:O795"/>
    <mergeCell ref="Q795:R795"/>
    <mergeCell ref="F796:G796"/>
    <mergeCell ref="M796:O796"/>
    <mergeCell ref="Q796:R796"/>
    <mergeCell ref="F793:G793"/>
    <mergeCell ref="M793:O793"/>
    <mergeCell ref="Q793:R793"/>
    <mergeCell ref="F794:G794"/>
    <mergeCell ref="M794:O794"/>
    <mergeCell ref="Q794:R794"/>
    <mergeCell ref="F791:G791"/>
    <mergeCell ref="M791:O791"/>
    <mergeCell ref="Q791:R791"/>
    <mergeCell ref="F792:G792"/>
    <mergeCell ref="M792:O792"/>
    <mergeCell ref="Q792:R792"/>
    <mergeCell ref="F789:G789"/>
    <mergeCell ref="M789:O789"/>
    <mergeCell ref="Q789:R789"/>
    <mergeCell ref="F790:G790"/>
    <mergeCell ref="M790:O790"/>
    <mergeCell ref="Q790:R790"/>
    <mergeCell ref="F787:G787"/>
    <mergeCell ref="M787:O787"/>
    <mergeCell ref="Q787:R787"/>
    <mergeCell ref="F788:G788"/>
    <mergeCell ref="M788:O788"/>
    <mergeCell ref="Q788:R788"/>
    <mergeCell ref="F785:G785"/>
    <mergeCell ref="M785:O785"/>
    <mergeCell ref="Q785:R785"/>
    <mergeCell ref="F786:G786"/>
    <mergeCell ref="M786:O786"/>
    <mergeCell ref="Q786:R786"/>
    <mergeCell ref="F783:G783"/>
    <mergeCell ref="M783:O783"/>
    <mergeCell ref="Q783:R783"/>
    <mergeCell ref="F784:G784"/>
    <mergeCell ref="M784:O784"/>
    <mergeCell ref="Q784:R784"/>
    <mergeCell ref="F781:G781"/>
    <mergeCell ref="M781:O781"/>
    <mergeCell ref="Q781:R781"/>
    <mergeCell ref="F782:G782"/>
    <mergeCell ref="M782:O782"/>
    <mergeCell ref="Q782:R782"/>
    <mergeCell ref="F779:G779"/>
    <mergeCell ref="M779:O779"/>
    <mergeCell ref="Q779:R779"/>
    <mergeCell ref="F780:G780"/>
    <mergeCell ref="M780:O780"/>
    <mergeCell ref="Q780:R780"/>
    <mergeCell ref="F777:G777"/>
    <mergeCell ref="M777:O777"/>
    <mergeCell ref="Q777:R777"/>
    <mergeCell ref="F778:G778"/>
    <mergeCell ref="M778:O778"/>
    <mergeCell ref="Q778:R778"/>
    <mergeCell ref="F775:G775"/>
    <mergeCell ref="M775:O775"/>
    <mergeCell ref="Q775:R775"/>
    <mergeCell ref="F776:G776"/>
    <mergeCell ref="M776:O776"/>
    <mergeCell ref="Q776:R776"/>
    <mergeCell ref="F773:G773"/>
    <mergeCell ref="M773:O773"/>
    <mergeCell ref="Q773:R773"/>
    <mergeCell ref="F774:G774"/>
    <mergeCell ref="M774:O774"/>
    <mergeCell ref="Q774:R774"/>
    <mergeCell ref="F771:G771"/>
    <mergeCell ref="M771:O771"/>
    <mergeCell ref="Q771:R771"/>
    <mergeCell ref="F772:G772"/>
    <mergeCell ref="M772:O772"/>
    <mergeCell ref="Q772:R772"/>
    <mergeCell ref="F769:G769"/>
    <mergeCell ref="M769:O769"/>
    <mergeCell ref="Q769:R769"/>
    <mergeCell ref="F770:G770"/>
    <mergeCell ref="M770:O770"/>
    <mergeCell ref="Q770:R770"/>
    <mergeCell ref="F767:G767"/>
    <mergeCell ref="M767:O767"/>
    <mergeCell ref="Q767:R767"/>
    <mergeCell ref="F768:G768"/>
    <mergeCell ref="M768:O768"/>
    <mergeCell ref="Q768:R768"/>
    <mergeCell ref="F765:G765"/>
    <mergeCell ref="M765:O765"/>
    <mergeCell ref="Q765:R765"/>
    <mergeCell ref="F766:G766"/>
    <mergeCell ref="M766:O766"/>
    <mergeCell ref="Q766:R766"/>
    <mergeCell ref="F763:G763"/>
    <mergeCell ref="M763:O763"/>
    <mergeCell ref="Q763:R763"/>
    <mergeCell ref="F764:G764"/>
    <mergeCell ref="M764:O764"/>
    <mergeCell ref="Q764:R764"/>
    <mergeCell ref="F761:G761"/>
    <mergeCell ref="M761:O761"/>
    <mergeCell ref="Q761:R761"/>
    <mergeCell ref="F762:G762"/>
    <mergeCell ref="M762:O762"/>
    <mergeCell ref="Q762:R762"/>
    <mergeCell ref="F759:G759"/>
    <mergeCell ref="M759:O759"/>
    <mergeCell ref="Q759:R759"/>
    <mergeCell ref="F760:G760"/>
    <mergeCell ref="M760:O760"/>
    <mergeCell ref="Q760:R760"/>
    <mergeCell ref="F757:G757"/>
    <mergeCell ref="M757:O757"/>
    <mergeCell ref="Q757:R757"/>
    <mergeCell ref="F758:G758"/>
    <mergeCell ref="M758:O758"/>
    <mergeCell ref="Q758:R758"/>
    <mergeCell ref="F755:G755"/>
    <mergeCell ref="M755:O755"/>
    <mergeCell ref="Q755:R755"/>
    <mergeCell ref="F756:G756"/>
    <mergeCell ref="M756:O756"/>
    <mergeCell ref="Q756:R756"/>
    <mergeCell ref="F753:G753"/>
    <mergeCell ref="M753:O753"/>
    <mergeCell ref="Q753:R753"/>
    <mergeCell ref="F754:G754"/>
    <mergeCell ref="M754:O754"/>
    <mergeCell ref="Q754:R754"/>
    <mergeCell ref="F751:G751"/>
    <mergeCell ref="M751:O751"/>
    <mergeCell ref="Q751:R751"/>
    <mergeCell ref="F752:G752"/>
    <mergeCell ref="M752:O752"/>
    <mergeCell ref="Q752:R752"/>
    <mergeCell ref="F749:G749"/>
    <mergeCell ref="M749:O749"/>
    <mergeCell ref="Q749:R749"/>
    <mergeCell ref="F750:G750"/>
    <mergeCell ref="M750:O750"/>
    <mergeCell ref="Q750:R750"/>
    <mergeCell ref="F747:G747"/>
    <mergeCell ref="M747:O747"/>
    <mergeCell ref="Q747:R747"/>
    <mergeCell ref="F748:G748"/>
    <mergeCell ref="M748:O748"/>
    <mergeCell ref="Q748:R748"/>
    <mergeCell ref="F745:G745"/>
    <mergeCell ref="M745:O745"/>
    <mergeCell ref="Q745:R745"/>
    <mergeCell ref="F746:G746"/>
    <mergeCell ref="M746:O746"/>
    <mergeCell ref="Q746:R746"/>
    <mergeCell ref="F743:G743"/>
    <mergeCell ref="M743:O743"/>
    <mergeCell ref="Q743:R743"/>
    <mergeCell ref="F744:G744"/>
    <mergeCell ref="M744:O744"/>
    <mergeCell ref="Q744:R744"/>
    <mergeCell ref="F741:G741"/>
    <mergeCell ref="M741:O741"/>
    <mergeCell ref="Q741:R741"/>
    <mergeCell ref="F742:G742"/>
    <mergeCell ref="M742:O742"/>
    <mergeCell ref="Q742:R742"/>
    <mergeCell ref="F739:G739"/>
    <mergeCell ref="M739:O739"/>
    <mergeCell ref="Q739:R739"/>
    <mergeCell ref="F740:G740"/>
    <mergeCell ref="M740:O740"/>
    <mergeCell ref="Q740:R740"/>
    <mergeCell ref="F737:G737"/>
    <mergeCell ref="M737:O737"/>
    <mergeCell ref="Q737:R737"/>
    <mergeCell ref="F738:G738"/>
    <mergeCell ref="M738:O738"/>
    <mergeCell ref="Q738:R738"/>
    <mergeCell ref="F735:G735"/>
    <mergeCell ref="M735:O735"/>
    <mergeCell ref="Q735:R735"/>
    <mergeCell ref="F736:G736"/>
    <mergeCell ref="M736:O736"/>
    <mergeCell ref="Q736:R736"/>
    <mergeCell ref="F733:G733"/>
    <mergeCell ref="M733:O733"/>
    <mergeCell ref="Q733:R733"/>
    <mergeCell ref="F734:G734"/>
    <mergeCell ref="M734:O734"/>
    <mergeCell ref="Q734:R734"/>
    <mergeCell ref="F731:G731"/>
    <mergeCell ref="M731:O731"/>
    <mergeCell ref="Q731:R731"/>
    <mergeCell ref="F732:G732"/>
    <mergeCell ref="M732:O732"/>
    <mergeCell ref="Q732:R732"/>
    <mergeCell ref="F729:G729"/>
    <mergeCell ref="M729:O729"/>
    <mergeCell ref="Q729:R729"/>
    <mergeCell ref="F730:G730"/>
    <mergeCell ref="M730:O730"/>
    <mergeCell ref="Q730:R730"/>
    <mergeCell ref="F727:G727"/>
    <mergeCell ref="M727:O727"/>
    <mergeCell ref="Q727:R727"/>
    <mergeCell ref="F728:G728"/>
    <mergeCell ref="M728:O728"/>
    <mergeCell ref="Q728:R728"/>
    <mergeCell ref="F725:G725"/>
    <mergeCell ref="M725:O725"/>
    <mergeCell ref="Q725:R725"/>
    <mergeCell ref="F726:G726"/>
    <mergeCell ref="M726:O726"/>
    <mergeCell ref="Q726:R726"/>
    <mergeCell ref="F723:G723"/>
    <mergeCell ref="M723:O723"/>
    <mergeCell ref="Q723:R723"/>
    <mergeCell ref="F724:G724"/>
    <mergeCell ref="M724:O724"/>
    <mergeCell ref="Q724:R724"/>
    <mergeCell ref="F721:G721"/>
    <mergeCell ref="M721:O721"/>
    <mergeCell ref="Q721:R721"/>
    <mergeCell ref="F722:G722"/>
    <mergeCell ref="M722:O722"/>
    <mergeCell ref="Q722:R722"/>
    <mergeCell ref="F719:G719"/>
    <mergeCell ref="M719:O719"/>
    <mergeCell ref="Q719:R719"/>
    <mergeCell ref="F720:G720"/>
    <mergeCell ref="M720:O720"/>
    <mergeCell ref="Q720:R720"/>
    <mergeCell ref="F717:G717"/>
    <mergeCell ref="M717:O717"/>
    <mergeCell ref="Q717:R717"/>
    <mergeCell ref="F718:G718"/>
    <mergeCell ref="M718:O718"/>
    <mergeCell ref="Q718:R718"/>
    <mergeCell ref="F715:G715"/>
    <mergeCell ref="M715:O715"/>
    <mergeCell ref="Q715:R715"/>
    <mergeCell ref="F716:G716"/>
    <mergeCell ref="M716:O716"/>
    <mergeCell ref="Q716:R716"/>
    <mergeCell ref="F713:G713"/>
    <mergeCell ref="M713:O713"/>
    <mergeCell ref="Q713:R713"/>
    <mergeCell ref="F714:G714"/>
    <mergeCell ref="M714:O714"/>
    <mergeCell ref="Q714:R714"/>
    <mergeCell ref="F711:G711"/>
    <mergeCell ref="M711:O711"/>
    <mergeCell ref="Q711:R711"/>
    <mergeCell ref="F712:G712"/>
    <mergeCell ref="M712:O712"/>
    <mergeCell ref="Q712:R712"/>
    <mergeCell ref="F709:G709"/>
    <mergeCell ref="M709:O709"/>
    <mergeCell ref="Q709:R709"/>
    <mergeCell ref="F710:G710"/>
    <mergeCell ref="M710:O710"/>
    <mergeCell ref="Q710:R710"/>
    <mergeCell ref="F707:G707"/>
    <mergeCell ref="M707:O707"/>
    <mergeCell ref="Q707:R707"/>
    <mergeCell ref="F708:G708"/>
    <mergeCell ref="M708:O708"/>
    <mergeCell ref="Q708:R708"/>
    <mergeCell ref="F705:G705"/>
    <mergeCell ref="M705:O705"/>
    <mergeCell ref="Q705:R705"/>
    <mergeCell ref="F706:G706"/>
    <mergeCell ref="M706:O706"/>
    <mergeCell ref="Q706:R706"/>
    <mergeCell ref="F703:G703"/>
    <mergeCell ref="M703:O703"/>
    <mergeCell ref="Q703:R703"/>
    <mergeCell ref="F704:G704"/>
    <mergeCell ref="M704:O704"/>
    <mergeCell ref="Q704:R704"/>
    <mergeCell ref="F701:G701"/>
    <mergeCell ref="M701:O701"/>
    <mergeCell ref="Q701:R701"/>
    <mergeCell ref="F702:G702"/>
    <mergeCell ref="M702:O702"/>
    <mergeCell ref="Q702:R702"/>
    <mergeCell ref="F699:G699"/>
    <mergeCell ref="M699:O699"/>
    <mergeCell ref="Q699:R699"/>
    <mergeCell ref="F700:G700"/>
    <mergeCell ref="M700:O700"/>
    <mergeCell ref="Q700:R700"/>
    <mergeCell ref="F697:G697"/>
    <mergeCell ref="M697:O697"/>
    <mergeCell ref="Q697:R697"/>
    <mergeCell ref="F698:G698"/>
    <mergeCell ref="M698:O698"/>
    <mergeCell ref="Q698:R698"/>
    <mergeCell ref="F695:G695"/>
    <mergeCell ref="M695:O695"/>
    <mergeCell ref="Q695:R695"/>
    <mergeCell ref="F696:G696"/>
    <mergeCell ref="M696:O696"/>
    <mergeCell ref="Q696:R696"/>
    <mergeCell ref="F693:G693"/>
    <mergeCell ref="M693:O693"/>
    <mergeCell ref="Q693:R693"/>
    <mergeCell ref="F694:G694"/>
    <mergeCell ref="M694:O694"/>
    <mergeCell ref="Q694:R694"/>
    <mergeCell ref="F691:G691"/>
    <mergeCell ref="M691:O691"/>
    <mergeCell ref="Q691:R691"/>
    <mergeCell ref="F692:G692"/>
    <mergeCell ref="M692:O692"/>
    <mergeCell ref="Q692:R692"/>
    <mergeCell ref="F689:G689"/>
    <mergeCell ref="M689:O689"/>
    <mergeCell ref="Q689:R689"/>
    <mergeCell ref="F690:G690"/>
    <mergeCell ref="M690:O690"/>
    <mergeCell ref="Q690:R690"/>
    <mergeCell ref="F687:G687"/>
    <mergeCell ref="M687:O687"/>
    <mergeCell ref="Q687:R687"/>
    <mergeCell ref="F688:G688"/>
    <mergeCell ref="M688:O688"/>
    <mergeCell ref="Q688:R688"/>
    <mergeCell ref="F685:G685"/>
    <mergeCell ref="M685:O685"/>
    <mergeCell ref="Q685:R685"/>
    <mergeCell ref="F686:G686"/>
    <mergeCell ref="M686:O686"/>
    <mergeCell ref="Q686:R686"/>
    <mergeCell ref="F683:G683"/>
    <mergeCell ref="M683:O683"/>
    <mergeCell ref="Q683:R683"/>
    <mergeCell ref="F684:G684"/>
    <mergeCell ref="M684:O684"/>
    <mergeCell ref="Q684:R684"/>
    <mergeCell ref="F681:G681"/>
    <mergeCell ref="M681:O681"/>
    <mergeCell ref="Q681:R681"/>
    <mergeCell ref="F682:G682"/>
    <mergeCell ref="M682:O682"/>
    <mergeCell ref="Q682:R682"/>
    <mergeCell ref="F679:G679"/>
    <mergeCell ref="M679:O679"/>
    <mergeCell ref="Q679:R679"/>
    <mergeCell ref="F680:G680"/>
    <mergeCell ref="M680:O680"/>
    <mergeCell ref="Q680:R680"/>
    <mergeCell ref="F677:G677"/>
    <mergeCell ref="M677:O677"/>
    <mergeCell ref="Q677:R677"/>
    <mergeCell ref="F678:G678"/>
    <mergeCell ref="M678:O678"/>
    <mergeCell ref="Q678:R678"/>
    <mergeCell ref="F675:G675"/>
    <mergeCell ref="M675:O675"/>
    <mergeCell ref="Q675:R675"/>
    <mergeCell ref="F676:G676"/>
    <mergeCell ref="M676:O676"/>
    <mergeCell ref="Q676:R676"/>
    <mergeCell ref="F673:G673"/>
    <mergeCell ref="M673:O673"/>
    <mergeCell ref="Q673:R673"/>
    <mergeCell ref="F674:G674"/>
    <mergeCell ref="M674:O674"/>
    <mergeCell ref="Q674:R674"/>
    <mergeCell ref="F671:G671"/>
    <mergeCell ref="M671:O671"/>
    <mergeCell ref="Q671:R671"/>
    <mergeCell ref="F672:G672"/>
    <mergeCell ref="M672:O672"/>
    <mergeCell ref="Q672:R672"/>
    <mergeCell ref="F669:G669"/>
    <mergeCell ref="M669:O669"/>
    <mergeCell ref="Q669:R669"/>
    <mergeCell ref="F670:G670"/>
    <mergeCell ref="M670:O670"/>
    <mergeCell ref="Q670:R670"/>
    <mergeCell ref="F667:G667"/>
    <mergeCell ref="M667:O667"/>
    <mergeCell ref="Q667:R667"/>
    <mergeCell ref="F668:G668"/>
    <mergeCell ref="M668:O668"/>
    <mergeCell ref="Q668:R668"/>
    <mergeCell ref="F665:G665"/>
    <mergeCell ref="M665:O665"/>
    <mergeCell ref="Q665:R665"/>
    <mergeCell ref="F666:G666"/>
    <mergeCell ref="M666:O666"/>
    <mergeCell ref="Q666:R666"/>
    <mergeCell ref="F663:G663"/>
    <mergeCell ref="M663:O663"/>
    <mergeCell ref="Q663:R663"/>
    <mergeCell ref="F664:G664"/>
    <mergeCell ref="M664:O664"/>
    <mergeCell ref="Q664:R664"/>
    <mergeCell ref="F661:G661"/>
    <mergeCell ref="M661:O661"/>
    <mergeCell ref="Q661:R661"/>
    <mergeCell ref="F662:G662"/>
    <mergeCell ref="M662:O662"/>
    <mergeCell ref="Q662:R662"/>
    <mergeCell ref="F659:G659"/>
    <mergeCell ref="M659:O659"/>
    <mergeCell ref="Q659:R659"/>
    <mergeCell ref="F660:G660"/>
    <mergeCell ref="M660:O660"/>
    <mergeCell ref="Q660:R660"/>
    <mergeCell ref="F657:G657"/>
    <mergeCell ref="M657:O657"/>
    <mergeCell ref="Q657:R657"/>
    <mergeCell ref="F658:G658"/>
    <mergeCell ref="M658:O658"/>
    <mergeCell ref="Q658:R658"/>
    <mergeCell ref="F655:G655"/>
    <mergeCell ref="M655:O655"/>
    <mergeCell ref="Q655:R655"/>
    <mergeCell ref="F656:G656"/>
    <mergeCell ref="M656:O656"/>
    <mergeCell ref="Q656:R656"/>
    <mergeCell ref="F653:G653"/>
    <mergeCell ref="M653:O653"/>
    <mergeCell ref="Q653:R653"/>
    <mergeCell ref="F654:G654"/>
    <mergeCell ref="M654:O654"/>
    <mergeCell ref="Q654:R654"/>
    <mergeCell ref="F651:G651"/>
    <mergeCell ref="M651:O651"/>
    <mergeCell ref="Q651:R651"/>
    <mergeCell ref="F652:G652"/>
    <mergeCell ref="M652:O652"/>
    <mergeCell ref="Q652:R652"/>
    <mergeCell ref="F649:G649"/>
    <mergeCell ref="M649:O649"/>
    <mergeCell ref="Q649:R649"/>
    <mergeCell ref="F650:G650"/>
    <mergeCell ref="M650:O650"/>
    <mergeCell ref="Q650:R650"/>
    <mergeCell ref="F647:G647"/>
    <mergeCell ref="M647:O647"/>
    <mergeCell ref="Q647:R647"/>
    <mergeCell ref="F648:G648"/>
    <mergeCell ref="M648:O648"/>
    <mergeCell ref="Q648:R648"/>
    <mergeCell ref="F645:G645"/>
    <mergeCell ref="M645:O645"/>
    <mergeCell ref="Q645:R645"/>
    <mergeCell ref="F646:G646"/>
    <mergeCell ref="M646:O646"/>
    <mergeCell ref="Q646:R646"/>
    <mergeCell ref="F643:G643"/>
    <mergeCell ref="M643:O643"/>
    <mergeCell ref="Q643:R643"/>
    <mergeCell ref="F644:G644"/>
    <mergeCell ref="M644:O644"/>
    <mergeCell ref="Q644:R644"/>
    <mergeCell ref="F641:G641"/>
    <mergeCell ref="M641:O641"/>
    <mergeCell ref="Q641:R641"/>
    <mergeCell ref="F642:G642"/>
    <mergeCell ref="M642:O642"/>
    <mergeCell ref="Q642:R642"/>
    <mergeCell ref="F639:G639"/>
    <mergeCell ref="M639:O639"/>
    <mergeCell ref="Q639:R639"/>
    <mergeCell ref="F640:G640"/>
    <mergeCell ref="M640:O640"/>
    <mergeCell ref="Q640:R640"/>
    <mergeCell ref="F637:G637"/>
    <mergeCell ref="M637:O637"/>
    <mergeCell ref="Q637:R637"/>
    <mergeCell ref="F638:G638"/>
    <mergeCell ref="M638:O638"/>
    <mergeCell ref="Q638:R638"/>
    <mergeCell ref="F635:G635"/>
    <mergeCell ref="M635:O635"/>
    <mergeCell ref="Q635:R635"/>
    <mergeCell ref="F636:G636"/>
    <mergeCell ref="M636:O636"/>
    <mergeCell ref="Q636:R636"/>
    <mergeCell ref="F633:G633"/>
    <mergeCell ref="M633:O633"/>
    <mergeCell ref="Q633:R633"/>
    <mergeCell ref="F634:G634"/>
    <mergeCell ref="M634:O634"/>
    <mergeCell ref="Q634:R634"/>
    <mergeCell ref="F631:G631"/>
    <mergeCell ref="M631:O631"/>
    <mergeCell ref="Q631:R631"/>
    <mergeCell ref="F632:G632"/>
    <mergeCell ref="M632:O632"/>
    <mergeCell ref="Q632:R632"/>
    <mergeCell ref="F629:G629"/>
    <mergeCell ref="M629:O629"/>
    <mergeCell ref="Q629:R629"/>
    <mergeCell ref="F630:G630"/>
    <mergeCell ref="M630:O630"/>
    <mergeCell ref="Q630:R630"/>
    <mergeCell ref="F627:G627"/>
    <mergeCell ref="M627:O627"/>
    <mergeCell ref="Q627:R627"/>
    <mergeCell ref="F628:G628"/>
    <mergeCell ref="M628:O628"/>
    <mergeCell ref="Q628:R628"/>
    <mergeCell ref="F625:G625"/>
    <mergeCell ref="M625:O625"/>
    <mergeCell ref="Q625:R625"/>
    <mergeCell ref="F626:G626"/>
    <mergeCell ref="M626:O626"/>
    <mergeCell ref="Q626:R626"/>
    <mergeCell ref="F623:G623"/>
    <mergeCell ref="M623:O623"/>
    <mergeCell ref="Q623:R623"/>
    <mergeCell ref="F624:G624"/>
    <mergeCell ref="M624:O624"/>
    <mergeCell ref="Q624:R624"/>
    <mergeCell ref="F621:G621"/>
    <mergeCell ref="M621:O621"/>
    <mergeCell ref="Q621:R621"/>
    <mergeCell ref="F622:G622"/>
    <mergeCell ref="M622:O622"/>
    <mergeCell ref="Q622:R622"/>
    <mergeCell ref="F619:G619"/>
    <mergeCell ref="M619:O619"/>
    <mergeCell ref="Q619:R619"/>
    <mergeCell ref="F620:G620"/>
    <mergeCell ref="M620:O620"/>
    <mergeCell ref="Q620:R620"/>
    <mergeCell ref="F617:G617"/>
    <mergeCell ref="M617:O617"/>
    <mergeCell ref="Q617:R617"/>
    <mergeCell ref="F618:G618"/>
    <mergeCell ref="M618:O618"/>
    <mergeCell ref="Q618:R618"/>
    <mergeCell ref="F615:G615"/>
    <mergeCell ref="M615:O615"/>
    <mergeCell ref="Q615:R615"/>
    <mergeCell ref="F616:G616"/>
    <mergeCell ref="M616:O616"/>
    <mergeCell ref="Q616:R616"/>
    <mergeCell ref="F613:G613"/>
    <mergeCell ref="M613:O613"/>
    <mergeCell ref="Q613:R613"/>
    <mergeCell ref="F614:G614"/>
    <mergeCell ref="M614:O614"/>
    <mergeCell ref="Q614:R614"/>
    <mergeCell ref="F611:G611"/>
    <mergeCell ref="M611:O611"/>
    <mergeCell ref="Q611:R611"/>
    <mergeCell ref="F612:G612"/>
    <mergeCell ref="M612:O612"/>
    <mergeCell ref="Q612:R612"/>
    <mergeCell ref="F609:G609"/>
    <mergeCell ref="M609:O609"/>
    <mergeCell ref="Q609:R609"/>
    <mergeCell ref="F610:G610"/>
    <mergeCell ref="M610:O610"/>
    <mergeCell ref="Q610:R610"/>
    <mergeCell ref="F607:G607"/>
    <mergeCell ref="M607:O607"/>
    <mergeCell ref="Q607:R607"/>
    <mergeCell ref="F608:G608"/>
    <mergeCell ref="M608:O608"/>
    <mergeCell ref="Q608:R608"/>
    <mergeCell ref="F605:G605"/>
    <mergeCell ref="M605:O605"/>
    <mergeCell ref="Q605:R605"/>
    <mergeCell ref="F606:G606"/>
    <mergeCell ref="M606:O606"/>
    <mergeCell ref="Q606:R606"/>
    <mergeCell ref="F603:G603"/>
    <mergeCell ref="M603:O603"/>
    <mergeCell ref="Q603:R603"/>
    <mergeCell ref="F604:G604"/>
    <mergeCell ref="M604:O604"/>
    <mergeCell ref="Q604:R604"/>
    <mergeCell ref="F601:G601"/>
    <mergeCell ref="M601:O601"/>
    <mergeCell ref="Q601:R601"/>
    <mergeCell ref="F602:G602"/>
    <mergeCell ref="M602:O602"/>
    <mergeCell ref="Q602:R602"/>
    <mergeCell ref="F599:G599"/>
    <mergeCell ref="M599:O599"/>
    <mergeCell ref="Q599:R599"/>
    <mergeCell ref="F600:G600"/>
    <mergeCell ref="M600:O600"/>
    <mergeCell ref="Q600:R600"/>
    <mergeCell ref="F597:G597"/>
    <mergeCell ref="M597:O597"/>
    <mergeCell ref="Q597:R597"/>
    <mergeCell ref="F598:G598"/>
    <mergeCell ref="M598:O598"/>
    <mergeCell ref="Q598:R598"/>
    <mergeCell ref="F595:G595"/>
    <mergeCell ref="M595:O595"/>
    <mergeCell ref="Q595:R595"/>
    <mergeCell ref="F596:G596"/>
    <mergeCell ref="M596:O596"/>
    <mergeCell ref="Q596:R596"/>
    <mergeCell ref="F593:G593"/>
    <mergeCell ref="M593:O593"/>
    <mergeCell ref="Q593:R593"/>
    <mergeCell ref="F594:G594"/>
    <mergeCell ref="M594:O594"/>
    <mergeCell ref="Q594:R594"/>
    <mergeCell ref="F591:G591"/>
    <mergeCell ref="M591:O591"/>
    <mergeCell ref="Q591:R591"/>
    <mergeCell ref="F592:G592"/>
    <mergeCell ref="M592:O592"/>
    <mergeCell ref="Q592:R592"/>
    <mergeCell ref="F589:G589"/>
    <mergeCell ref="M589:O589"/>
    <mergeCell ref="Q589:R589"/>
    <mergeCell ref="F590:G590"/>
    <mergeCell ref="M590:O590"/>
    <mergeCell ref="Q590:R590"/>
    <mergeCell ref="F587:G587"/>
    <mergeCell ref="M587:O587"/>
    <mergeCell ref="Q587:R587"/>
    <mergeCell ref="F588:G588"/>
    <mergeCell ref="M588:O588"/>
    <mergeCell ref="Q588:R588"/>
    <mergeCell ref="F585:G585"/>
    <mergeCell ref="M585:O585"/>
    <mergeCell ref="Q585:R585"/>
    <mergeCell ref="F586:G586"/>
    <mergeCell ref="M586:O586"/>
    <mergeCell ref="Q586:R586"/>
    <mergeCell ref="F583:G583"/>
    <mergeCell ref="M583:O583"/>
    <mergeCell ref="Q583:R583"/>
    <mergeCell ref="F584:G584"/>
    <mergeCell ref="M584:O584"/>
    <mergeCell ref="Q584:R584"/>
    <mergeCell ref="F581:G581"/>
    <mergeCell ref="M581:O581"/>
    <mergeCell ref="Q581:R581"/>
    <mergeCell ref="F582:G582"/>
    <mergeCell ref="M582:O582"/>
    <mergeCell ref="Q582:R582"/>
    <mergeCell ref="F579:G579"/>
    <mergeCell ref="M579:O579"/>
    <mergeCell ref="Q579:R579"/>
    <mergeCell ref="F580:G580"/>
    <mergeCell ref="M580:O580"/>
    <mergeCell ref="Q580:R580"/>
    <mergeCell ref="F577:G577"/>
    <mergeCell ref="M577:O577"/>
    <mergeCell ref="Q577:R577"/>
    <mergeCell ref="F578:G578"/>
    <mergeCell ref="M578:O578"/>
    <mergeCell ref="Q578:R578"/>
    <mergeCell ref="F575:G575"/>
    <mergeCell ref="M575:O575"/>
    <mergeCell ref="Q575:R575"/>
    <mergeCell ref="F576:G576"/>
    <mergeCell ref="M576:O576"/>
    <mergeCell ref="Q576:R576"/>
    <mergeCell ref="F573:G573"/>
    <mergeCell ref="M573:O573"/>
    <mergeCell ref="Q573:R573"/>
    <mergeCell ref="F574:G574"/>
    <mergeCell ref="M574:O574"/>
    <mergeCell ref="Q574:R574"/>
    <mergeCell ref="F571:G571"/>
    <mergeCell ref="M571:O571"/>
    <mergeCell ref="Q571:R571"/>
    <mergeCell ref="F572:G572"/>
    <mergeCell ref="M572:O572"/>
    <mergeCell ref="Q572:R572"/>
    <mergeCell ref="F569:G569"/>
    <mergeCell ref="M569:O569"/>
    <mergeCell ref="Q569:R569"/>
    <mergeCell ref="F570:G570"/>
    <mergeCell ref="M570:O570"/>
    <mergeCell ref="Q570:R570"/>
    <mergeCell ref="F567:G567"/>
    <mergeCell ref="M567:O567"/>
    <mergeCell ref="Q567:R567"/>
    <mergeCell ref="F568:G568"/>
    <mergeCell ref="M568:O568"/>
    <mergeCell ref="Q568:R568"/>
    <mergeCell ref="F565:G565"/>
    <mergeCell ref="M565:O565"/>
    <mergeCell ref="Q565:R565"/>
    <mergeCell ref="F566:G566"/>
    <mergeCell ref="M566:O566"/>
    <mergeCell ref="Q566:R566"/>
    <mergeCell ref="F563:G563"/>
    <mergeCell ref="M563:O563"/>
    <mergeCell ref="Q563:R563"/>
    <mergeCell ref="F564:G564"/>
    <mergeCell ref="M564:O564"/>
    <mergeCell ref="Q564:R564"/>
    <mergeCell ref="F561:G561"/>
    <mergeCell ref="M561:O561"/>
    <mergeCell ref="Q561:R561"/>
    <mergeCell ref="F562:G562"/>
    <mergeCell ref="M562:O562"/>
    <mergeCell ref="Q562:R562"/>
    <mergeCell ref="F559:G559"/>
    <mergeCell ref="M559:O559"/>
    <mergeCell ref="Q559:R559"/>
    <mergeCell ref="F560:G560"/>
    <mergeCell ref="M560:O560"/>
    <mergeCell ref="Q560:R560"/>
    <mergeCell ref="F557:G557"/>
    <mergeCell ref="M557:O557"/>
    <mergeCell ref="Q557:R557"/>
    <mergeCell ref="F558:G558"/>
    <mergeCell ref="M558:O558"/>
    <mergeCell ref="Q558:R558"/>
    <mergeCell ref="F555:G555"/>
    <mergeCell ref="M555:O555"/>
    <mergeCell ref="Q555:R555"/>
    <mergeCell ref="F556:G556"/>
    <mergeCell ref="M556:O556"/>
    <mergeCell ref="Q556:R556"/>
    <mergeCell ref="F553:G553"/>
    <mergeCell ref="M553:O553"/>
    <mergeCell ref="Q553:R553"/>
    <mergeCell ref="F554:G554"/>
    <mergeCell ref="M554:O554"/>
    <mergeCell ref="Q554:R554"/>
    <mergeCell ref="F551:G551"/>
    <mergeCell ref="M551:O551"/>
    <mergeCell ref="Q551:R551"/>
    <mergeCell ref="F552:G552"/>
    <mergeCell ref="M552:O552"/>
    <mergeCell ref="Q552:R552"/>
    <mergeCell ref="F549:G549"/>
    <mergeCell ref="M549:O549"/>
    <mergeCell ref="Q549:R549"/>
    <mergeCell ref="F550:G550"/>
    <mergeCell ref="M550:O550"/>
    <mergeCell ref="Q550:R550"/>
    <mergeCell ref="F547:G547"/>
    <mergeCell ref="M547:O547"/>
    <mergeCell ref="Q547:R547"/>
    <mergeCell ref="F548:G548"/>
    <mergeCell ref="M548:O548"/>
    <mergeCell ref="Q548:R548"/>
    <mergeCell ref="F545:G545"/>
    <mergeCell ref="M545:O545"/>
    <mergeCell ref="Q545:R545"/>
    <mergeCell ref="F546:G546"/>
    <mergeCell ref="M546:O546"/>
    <mergeCell ref="Q546:R546"/>
    <mergeCell ref="F543:G543"/>
    <mergeCell ref="M543:O543"/>
    <mergeCell ref="Q543:R543"/>
    <mergeCell ref="F544:G544"/>
    <mergeCell ref="M544:O544"/>
    <mergeCell ref="Q544:R544"/>
    <mergeCell ref="F541:G541"/>
    <mergeCell ref="M541:O541"/>
    <mergeCell ref="Q541:R541"/>
    <mergeCell ref="F542:G542"/>
    <mergeCell ref="M542:O542"/>
    <mergeCell ref="Q542:R542"/>
    <mergeCell ref="F539:G539"/>
    <mergeCell ref="M539:O539"/>
    <mergeCell ref="Q539:R539"/>
    <mergeCell ref="F540:G540"/>
    <mergeCell ref="M540:O540"/>
    <mergeCell ref="Q540:R540"/>
    <mergeCell ref="F537:G537"/>
    <mergeCell ref="M537:O537"/>
    <mergeCell ref="Q537:R537"/>
    <mergeCell ref="F538:G538"/>
    <mergeCell ref="M538:O538"/>
    <mergeCell ref="Q538:R538"/>
    <mergeCell ref="F535:G535"/>
    <mergeCell ref="M535:O535"/>
    <mergeCell ref="Q535:R535"/>
    <mergeCell ref="F536:G536"/>
    <mergeCell ref="M536:O536"/>
    <mergeCell ref="Q536:R536"/>
    <mergeCell ref="F533:G533"/>
    <mergeCell ref="M533:O533"/>
    <mergeCell ref="Q533:R533"/>
    <mergeCell ref="F534:G534"/>
    <mergeCell ref="M534:O534"/>
    <mergeCell ref="Q534:R534"/>
    <mergeCell ref="F531:G531"/>
    <mergeCell ref="M531:O531"/>
    <mergeCell ref="Q531:R531"/>
    <mergeCell ref="F532:G532"/>
    <mergeCell ref="M532:O532"/>
    <mergeCell ref="Q532:R532"/>
    <mergeCell ref="F529:G529"/>
    <mergeCell ref="M529:O529"/>
    <mergeCell ref="Q529:R529"/>
    <mergeCell ref="F530:G530"/>
    <mergeCell ref="M530:O530"/>
    <mergeCell ref="Q530:R530"/>
    <mergeCell ref="F527:G527"/>
    <mergeCell ref="M527:O527"/>
    <mergeCell ref="Q527:R527"/>
    <mergeCell ref="F528:G528"/>
    <mergeCell ref="M528:O528"/>
    <mergeCell ref="Q528:R528"/>
    <mergeCell ref="F525:G525"/>
    <mergeCell ref="M525:O525"/>
    <mergeCell ref="Q525:R525"/>
    <mergeCell ref="F526:G526"/>
    <mergeCell ref="M526:O526"/>
    <mergeCell ref="Q526:R526"/>
    <mergeCell ref="F523:G523"/>
    <mergeCell ref="M523:O523"/>
    <mergeCell ref="Q523:R523"/>
    <mergeCell ref="F524:G524"/>
    <mergeCell ref="M524:O524"/>
    <mergeCell ref="Q524:R524"/>
    <mergeCell ref="F521:G521"/>
    <mergeCell ref="M521:O521"/>
    <mergeCell ref="Q521:R521"/>
    <mergeCell ref="F522:G522"/>
    <mergeCell ref="M522:O522"/>
    <mergeCell ref="Q522:R522"/>
    <mergeCell ref="F519:G519"/>
    <mergeCell ref="M519:O519"/>
    <mergeCell ref="Q519:R519"/>
    <mergeCell ref="F520:G520"/>
    <mergeCell ref="M520:O520"/>
    <mergeCell ref="Q520:R520"/>
    <mergeCell ref="F517:G517"/>
    <mergeCell ref="M517:O517"/>
    <mergeCell ref="Q517:R517"/>
    <mergeCell ref="F518:G518"/>
    <mergeCell ref="M518:O518"/>
    <mergeCell ref="Q518:R518"/>
    <mergeCell ref="F515:G515"/>
    <mergeCell ref="M515:O515"/>
    <mergeCell ref="Q515:R515"/>
    <mergeCell ref="F516:G516"/>
    <mergeCell ref="M516:O516"/>
    <mergeCell ref="Q516:R516"/>
    <mergeCell ref="F513:G513"/>
    <mergeCell ref="M513:O513"/>
    <mergeCell ref="Q513:R513"/>
    <mergeCell ref="F514:G514"/>
    <mergeCell ref="M514:O514"/>
    <mergeCell ref="Q514:R514"/>
    <mergeCell ref="F511:G511"/>
    <mergeCell ref="M511:O511"/>
    <mergeCell ref="Q511:R511"/>
    <mergeCell ref="F512:G512"/>
    <mergeCell ref="M512:O512"/>
    <mergeCell ref="Q512:R512"/>
    <mergeCell ref="F509:G509"/>
    <mergeCell ref="M509:O509"/>
    <mergeCell ref="Q509:R509"/>
    <mergeCell ref="F510:G510"/>
    <mergeCell ref="M510:O510"/>
    <mergeCell ref="Q510:R510"/>
    <mergeCell ref="F507:G507"/>
    <mergeCell ref="M507:O507"/>
    <mergeCell ref="Q507:R507"/>
    <mergeCell ref="F508:G508"/>
    <mergeCell ref="M508:O508"/>
    <mergeCell ref="Q508:R508"/>
    <mergeCell ref="F505:G505"/>
    <mergeCell ref="M505:O505"/>
    <mergeCell ref="Q505:R505"/>
    <mergeCell ref="F506:G506"/>
    <mergeCell ref="M506:O506"/>
    <mergeCell ref="Q506:R506"/>
    <mergeCell ref="F503:G503"/>
    <mergeCell ref="M503:O503"/>
    <mergeCell ref="Q503:R503"/>
    <mergeCell ref="F504:G504"/>
    <mergeCell ref="M504:O504"/>
    <mergeCell ref="Q504:R504"/>
    <mergeCell ref="F501:G501"/>
    <mergeCell ref="M501:O501"/>
    <mergeCell ref="Q501:R501"/>
    <mergeCell ref="F502:G502"/>
    <mergeCell ref="M502:O502"/>
    <mergeCell ref="Q502:R502"/>
    <mergeCell ref="F499:G499"/>
    <mergeCell ref="M499:O499"/>
    <mergeCell ref="Q499:R499"/>
    <mergeCell ref="F500:G500"/>
    <mergeCell ref="M500:O500"/>
    <mergeCell ref="Q500:R500"/>
    <mergeCell ref="F497:G497"/>
    <mergeCell ref="M497:O497"/>
    <mergeCell ref="Q497:R497"/>
    <mergeCell ref="F498:G498"/>
    <mergeCell ref="M498:O498"/>
    <mergeCell ref="Q498:R498"/>
    <mergeCell ref="F495:G495"/>
    <mergeCell ref="M495:O495"/>
    <mergeCell ref="Q495:R495"/>
    <mergeCell ref="F496:G496"/>
    <mergeCell ref="M496:O496"/>
    <mergeCell ref="Q496:R496"/>
    <mergeCell ref="F493:G493"/>
    <mergeCell ref="M493:O493"/>
    <mergeCell ref="Q493:R493"/>
    <mergeCell ref="F494:G494"/>
    <mergeCell ref="M494:O494"/>
    <mergeCell ref="Q494:R494"/>
    <mergeCell ref="F491:G491"/>
    <mergeCell ref="M491:O491"/>
    <mergeCell ref="Q491:R491"/>
    <mergeCell ref="F492:G492"/>
    <mergeCell ref="M492:O492"/>
    <mergeCell ref="Q492:R492"/>
    <mergeCell ref="F489:G489"/>
    <mergeCell ref="M489:O489"/>
    <mergeCell ref="Q489:R489"/>
    <mergeCell ref="F490:G490"/>
    <mergeCell ref="M490:O490"/>
    <mergeCell ref="Q490:R490"/>
    <mergeCell ref="F487:G487"/>
    <mergeCell ref="M487:O487"/>
    <mergeCell ref="Q487:R487"/>
    <mergeCell ref="F488:G488"/>
    <mergeCell ref="M488:O488"/>
    <mergeCell ref="Q488:R488"/>
    <mergeCell ref="F485:G485"/>
    <mergeCell ref="M485:O485"/>
    <mergeCell ref="Q485:R485"/>
    <mergeCell ref="F486:G486"/>
    <mergeCell ref="M486:O486"/>
    <mergeCell ref="Q486:R486"/>
    <mergeCell ref="F483:G483"/>
    <mergeCell ref="M483:O483"/>
    <mergeCell ref="Q483:R483"/>
    <mergeCell ref="F484:G484"/>
    <mergeCell ref="M484:O484"/>
    <mergeCell ref="Q484:R484"/>
    <mergeCell ref="F481:G481"/>
    <mergeCell ref="M481:O481"/>
    <mergeCell ref="Q481:R481"/>
    <mergeCell ref="F482:G482"/>
    <mergeCell ref="M482:O482"/>
    <mergeCell ref="Q482:R482"/>
    <mergeCell ref="F479:G479"/>
    <mergeCell ref="M479:O479"/>
    <mergeCell ref="Q479:R479"/>
    <mergeCell ref="F480:G480"/>
    <mergeCell ref="M480:O480"/>
    <mergeCell ref="Q480:R480"/>
    <mergeCell ref="F477:G477"/>
    <mergeCell ref="M477:O477"/>
    <mergeCell ref="Q477:R477"/>
    <mergeCell ref="F478:G478"/>
    <mergeCell ref="M478:O478"/>
    <mergeCell ref="Q478:R478"/>
    <mergeCell ref="F475:G475"/>
    <mergeCell ref="M475:O475"/>
    <mergeCell ref="Q475:R475"/>
    <mergeCell ref="F476:G476"/>
    <mergeCell ref="M476:O476"/>
    <mergeCell ref="Q476:R476"/>
    <mergeCell ref="F473:G473"/>
    <mergeCell ref="M473:O473"/>
    <mergeCell ref="Q473:R473"/>
    <mergeCell ref="F474:G474"/>
    <mergeCell ref="M474:O474"/>
    <mergeCell ref="Q474:R474"/>
    <mergeCell ref="F471:G471"/>
    <mergeCell ref="M471:O471"/>
    <mergeCell ref="Q471:R471"/>
    <mergeCell ref="F472:G472"/>
    <mergeCell ref="M472:O472"/>
    <mergeCell ref="Q472:R472"/>
    <mergeCell ref="F469:G469"/>
    <mergeCell ref="M469:O469"/>
    <mergeCell ref="Q469:R469"/>
    <mergeCell ref="F470:G470"/>
    <mergeCell ref="M470:O470"/>
    <mergeCell ref="Q470:R470"/>
    <mergeCell ref="F467:G467"/>
    <mergeCell ref="M467:O467"/>
    <mergeCell ref="Q467:R467"/>
    <mergeCell ref="F468:G468"/>
    <mergeCell ref="M468:O468"/>
    <mergeCell ref="Q468:R468"/>
    <mergeCell ref="F465:G465"/>
    <mergeCell ref="M465:O465"/>
    <mergeCell ref="Q465:R465"/>
    <mergeCell ref="F466:G466"/>
    <mergeCell ref="M466:O466"/>
    <mergeCell ref="Q466:R466"/>
    <mergeCell ref="F463:G463"/>
    <mergeCell ref="M463:O463"/>
    <mergeCell ref="Q463:R463"/>
    <mergeCell ref="F464:G464"/>
    <mergeCell ref="M464:O464"/>
    <mergeCell ref="Q464:R464"/>
    <mergeCell ref="F461:G461"/>
    <mergeCell ref="M461:O461"/>
    <mergeCell ref="Q461:R461"/>
    <mergeCell ref="F462:G462"/>
    <mergeCell ref="M462:O462"/>
    <mergeCell ref="Q462:R462"/>
    <mergeCell ref="F459:G459"/>
    <mergeCell ref="M459:O459"/>
    <mergeCell ref="Q459:R459"/>
    <mergeCell ref="F460:G460"/>
    <mergeCell ref="M460:O460"/>
    <mergeCell ref="Q460:R460"/>
    <mergeCell ref="F457:G457"/>
    <mergeCell ref="M457:O457"/>
    <mergeCell ref="Q457:R457"/>
    <mergeCell ref="F458:G458"/>
    <mergeCell ref="M458:O458"/>
    <mergeCell ref="Q458:R458"/>
    <mergeCell ref="F455:G455"/>
    <mergeCell ref="M455:O455"/>
    <mergeCell ref="Q455:R455"/>
    <mergeCell ref="F456:G456"/>
    <mergeCell ref="M456:O456"/>
    <mergeCell ref="Q456:R456"/>
    <mergeCell ref="F453:G453"/>
    <mergeCell ref="M453:O453"/>
    <mergeCell ref="Q453:R453"/>
    <mergeCell ref="F454:G454"/>
    <mergeCell ref="M454:O454"/>
    <mergeCell ref="Q454:R454"/>
    <mergeCell ref="F451:G451"/>
    <mergeCell ref="M451:O451"/>
    <mergeCell ref="Q451:R451"/>
    <mergeCell ref="F452:G452"/>
    <mergeCell ref="M452:O452"/>
    <mergeCell ref="Q452:R452"/>
    <mergeCell ref="F449:G449"/>
    <mergeCell ref="M449:O449"/>
    <mergeCell ref="Q449:R449"/>
    <mergeCell ref="F450:G450"/>
    <mergeCell ref="M450:O450"/>
    <mergeCell ref="Q450:R450"/>
    <mergeCell ref="F447:G447"/>
    <mergeCell ref="M447:O447"/>
    <mergeCell ref="Q447:R447"/>
    <mergeCell ref="F448:G448"/>
    <mergeCell ref="M448:O448"/>
    <mergeCell ref="Q448:R448"/>
    <mergeCell ref="F445:G445"/>
    <mergeCell ref="M445:O445"/>
    <mergeCell ref="Q445:R445"/>
    <mergeCell ref="F446:G446"/>
    <mergeCell ref="M446:O446"/>
    <mergeCell ref="Q446:R446"/>
    <mergeCell ref="F443:G443"/>
    <mergeCell ref="M443:O443"/>
    <mergeCell ref="Q443:R443"/>
    <mergeCell ref="F444:G444"/>
    <mergeCell ref="M444:O444"/>
    <mergeCell ref="Q444:R444"/>
    <mergeCell ref="F441:G441"/>
    <mergeCell ref="M441:O441"/>
    <mergeCell ref="Q441:R441"/>
    <mergeCell ref="F442:G442"/>
    <mergeCell ref="M442:O442"/>
    <mergeCell ref="Q442:R442"/>
    <mergeCell ref="F439:G439"/>
    <mergeCell ref="M439:O439"/>
    <mergeCell ref="Q439:R439"/>
    <mergeCell ref="F440:G440"/>
    <mergeCell ref="M440:O440"/>
    <mergeCell ref="Q440:R440"/>
    <mergeCell ref="F437:G437"/>
    <mergeCell ref="M437:O437"/>
    <mergeCell ref="Q437:R437"/>
    <mergeCell ref="F438:G438"/>
    <mergeCell ref="M438:O438"/>
    <mergeCell ref="Q438:R438"/>
    <mergeCell ref="F435:G435"/>
    <mergeCell ref="M435:O435"/>
    <mergeCell ref="Q435:R435"/>
    <mergeCell ref="F436:G436"/>
    <mergeCell ref="M436:O436"/>
    <mergeCell ref="Q436:R436"/>
    <mergeCell ref="F433:G433"/>
    <mergeCell ref="M433:O433"/>
    <mergeCell ref="Q433:R433"/>
    <mergeCell ref="F434:G434"/>
    <mergeCell ref="M434:O434"/>
    <mergeCell ref="Q434:R434"/>
    <mergeCell ref="F431:G431"/>
    <mergeCell ref="M431:O431"/>
    <mergeCell ref="Q431:R431"/>
    <mergeCell ref="F432:G432"/>
    <mergeCell ref="M432:O432"/>
    <mergeCell ref="Q432:R432"/>
    <mergeCell ref="F429:G429"/>
    <mergeCell ref="M429:O429"/>
    <mergeCell ref="Q429:R429"/>
    <mergeCell ref="F430:G430"/>
    <mergeCell ref="M430:O430"/>
    <mergeCell ref="Q430:R430"/>
    <mergeCell ref="F427:G427"/>
    <mergeCell ref="M427:O427"/>
    <mergeCell ref="Q427:R427"/>
    <mergeCell ref="F428:G428"/>
    <mergeCell ref="M428:O428"/>
    <mergeCell ref="Q428:R428"/>
    <mergeCell ref="F425:G425"/>
    <mergeCell ref="M425:O425"/>
    <mergeCell ref="Q425:R425"/>
    <mergeCell ref="F426:G426"/>
    <mergeCell ref="M426:O426"/>
    <mergeCell ref="Q426:R426"/>
    <mergeCell ref="F423:G423"/>
    <mergeCell ref="M423:O423"/>
    <mergeCell ref="Q423:R423"/>
    <mergeCell ref="F424:G424"/>
    <mergeCell ref="M424:O424"/>
    <mergeCell ref="Q424:R424"/>
    <mergeCell ref="F421:G421"/>
    <mergeCell ref="M421:O421"/>
    <mergeCell ref="Q421:R421"/>
    <mergeCell ref="F422:G422"/>
    <mergeCell ref="M422:O422"/>
    <mergeCell ref="Q422:R422"/>
    <mergeCell ref="F419:G419"/>
    <mergeCell ref="M419:O419"/>
    <mergeCell ref="Q419:R419"/>
    <mergeCell ref="F420:G420"/>
    <mergeCell ref="M420:O420"/>
    <mergeCell ref="Q420:R420"/>
    <mergeCell ref="F417:G417"/>
    <mergeCell ref="M417:O417"/>
    <mergeCell ref="Q417:R417"/>
    <mergeCell ref="F418:G418"/>
    <mergeCell ref="M418:O418"/>
    <mergeCell ref="Q418:R418"/>
    <mergeCell ref="F415:G415"/>
    <mergeCell ref="M415:O415"/>
    <mergeCell ref="Q415:R415"/>
    <mergeCell ref="F416:G416"/>
    <mergeCell ref="M416:O416"/>
    <mergeCell ref="Q416:R416"/>
    <mergeCell ref="F413:G413"/>
    <mergeCell ref="M413:O413"/>
    <mergeCell ref="Q413:R413"/>
    <mergeCell ref="F414:G414"/>
    <mergeCell ref="M414:O414"/>
    <mergeCell ref="Q414:R414"/>
    <mergeCell ref="F411:G411"/>
    <mergeCell ref="M411:O411"/>
    <mergeCell ref="Q411:R411"/>
    <mergeCell ref="F412:G412"/>
    <mergeCell ref="M412:O412"/>
    <mergeCell ref="Q412:R412"/>
    <mergeCell ref="F409:G409"/>
    <mergeCell ref="M409:O409"/>
    <mergeCell ref="Q409:R409"/>
    <mergeCell ref="F410:G410"/>
    <mergeCell ref="M410:O410"/>
    <mergeCell ref="Q410:R410"/>
    <mergeCell ref="F407:G407"/>
    <mergeCell ref="M407:O407"/>
    <mergeCell ref="Q407:R407"/>
    <mergeCell ref="F408:G408"/>
    <mergeCell ref="M408:O408"/>
    <mergeCell ref="Q408:R408"/>
    <mergeCell ref="F405:G405"/>
    <mergeCell ref="M405:O405"/>
    <mergeCell ref="Q405:R405"/>
    <mergeCell ref="F406:G406"/>
    <mergeCell ref="M406:O406"/>
    <mergeCell ref="Q406:R406"/>
    <mergeCell ref="F403:G403"/>
    <mergeCell ref="M403:O403"/>
    <mergeCell ref="Q403:R403"/>
    <mergeCell ref="F404:G404"/>
    <mergeCell ref="M404:O404"/>
    <mergeCell ref="Q404:R404"/>
    <mergeCell ref="F401:G401"/>
    <mergeCell ref="M401:O401"/>
    <mergeCell ref="Q401:R401"/>
    <mergeCell ref="F402:G402"/>
    <mergeCell ref="M402:O402"/>
    <mergeCell ref="Q402:R402"/>
    <mergeCell ref="F399:G399"/>
    <mergeCell ref="M399:O399"/>
    <mergeCell ref="Q399:R399"/>
    <mergeCell ref="F400:G400"/>
    <mergeCell ref="M400:O400"/>
    <mergeCell ref="Q400:R400"/>
    <mergeCell ref="F397:G397"/>
    <mergeCell ref="M397:O397"/>
    <mergeCell ref="Q397:R397"/>
    <mergeCell ref="F398:G398"/>
    <mergeCell ref="M398:O398"/>
    <mergeCell ref="Q398:R398"/>
    <mergeCell ref="F395:G395"/>
    <mergeCell ref="M395:O395"/>
    <mergeCell ref="Q395:R395"/>
    <mergeCell ref="F396:G396"/>
    <mergeCell ref="M396:O396"/>
    <mergeCell ref="Q396:R396"/>
    <mergeCell ref="F393:G393"/>
    <mergeCell ref="M393:O393"/>
    <mergeCell ref="Q393:R393"/>
    <mergeCell ref="F394:G394"/>
    <mergeCell ref="M394:O394"/>
    <mergeCell ref="Q394:R394"/>
    <mergeCell ref="F391:G391"/>
    <mergeCell ref="M391:O391"/>
    <mergeCell ref="Q391:R391"/>
    <mergeCell ref="F392:G392"/>
    <mergeCell ref="M392:O392"/>
    <mergeCell ref="Q392:R392"/>
    <mergeCell ref="F389:G389"/>
    <mergeCell ref="M389:O389"/>
    <mergeCell ref="Q389:R389"/>
    <mergeCell ref="F390:G390"/>
    <mergeCell ref="M390:O390"/>
    <mergeCell ref="Q390:R390"/>
    <mergeCell ref="F387:G387"/>
    <mergeCell ref="M387:O387"/>
    <mergeCell ref="Q387:R387"/>
    <mergeCell ref="F388:G388"/>
    <mergeCell ref="M388:O388"/>
    <mergeCell ref="Q388:R388"/>
    <mergeCell ref="F385:G385"/>
    <mergeCell ref="M385:O385"/>
    <mergeCell ref="Q385:R385"/>
    <mergeCell ref="F386:G386"/>
    <mergeCell ref="M386:O386"/>
    <mergeCell ref="Q386:R386"/>
    <mergeCell ref="F383:G383"/>
    <mergeCell ref="M383:O383"/>
    <mergeCell ref="Q383:R383"/>
    <mergeCell ref="F384:G384"/>
    <mergeCell ref="M384:O384"/>
    <mergeCell ref="Q384:R384"/>
    <mergeCell ref="F381:G381"/>
    <mergeCell ref="M381:O381"/>
    <mergeCell ref="Q381:R381"/>
    <mergeCell ref="F382:G382"/>
    <mergeCell ref="M382:O382"/>
    <mergeCell ref="Q382:R382"/>
    <mergeCell ref="F379:G379"/>
    <mergeCell ref="M379:O379"/>
    <mergeCell ref="Q379:R379"/>
    <mergeCell ref="F380:G380"/>
    <mergeCell ref="M380:O380"/>
    <mergeCell ref="Q380:R380"/>
    <mergeCell ref="F377:G377"/>
    <mergeCell ref="M377:O377"/>
    <mergeCell ref="Q377:R377"/>
    <mergeCell ref="F378:G378"/>
    <mergeCell ref="M378:O378"/>
    <mergeCell ref="Q378:R378"/>
    <mergeCell ref="F375:G375"/>
    <mergeCell ref="M375:O375"/>
    <mergeCell ref="Q375:R375"/>
    <mergeCell ref="F376:G376"/>
    <mergeCell ref="M376:O376"/>
    <mergeCell ref="Q376:R376"/>
    <mergeCell ref="F373:G373"/>
    <mergeCell ref="M373:O373"/>
    <mergeCell ref="Q373:R373"/>
    <mergeCell ref="F374:G374"/>
    <mergeCell ref="M374:O374"/>
    <mergeCell ref="Q374:R374"/>
    <mergeCell ref="F371:G371"/>
    <mergeCell ref="M371:O371"/>
    <mergeCell ref="Q371:R371"/>
    <mergeCell ref="F372:G372"/>
    <mergeCell ref="M372:O372"/>
    <mergeCell ref="Q372:R372"/>
    <mergeCell ref="F369:G369"/>
    <mergeCell ref="M369:O369"/>
    <mergeCell ref="Q369:R369"/>
    <mergeCell ref="F370:G370"/>
    <mergeCell ref="M370:O370"/>
    <mergeCell ref="Q370:R370"/>
    <mergeCell ref="F367:G367"/>
    <mergeCell ref="M367:O367"/>
    <mergeCell ref="Q367:R367"/>
    <mergeCell ref="F368:G368"/>
    <mergeCell ref="M368:O368"/>
    <mergeCell ref="Q368:R368"/>
    <mergeCell ref="F365:G365"/>
    <mergeCell ref="M365:O365"/>
    <mergeCell ref="Q365:R365"/>
    <mergeCell ref="F366:G366"/>
    <mergeCell ref="M366:O366"/>
    <mergeCell ref="Q366:R366"/>
    <mergeCell ref="F363:G363"/>
    <mergeCell ref="M363:O363"/>
    <mergeCell ref="Q363:R363"/>
    <mergeCell ref="F364:G364"/>
    <mergeCell ref="M364:O364"/>
    <mergeCell ref="Q364:R364"/>
    <mergeCell ref="F361:G361"/>
    <mergeCell ref="M361:O361"/>
    <mergeCell ref="Q361:R361"/>
    <mergeCell ref="F362:G362"/>
    <mergeCell ref="M362:O362"/>
    <mergeCell ref="Q362:R362"/>
    <mergeCell ref="F359:G359"/>
    <mergeCell ref="M359:O359"/>
    <mergeCell ref="Q359:R359"/>
    <mergeCell ref="F360:G360"/>
    <mergeCell ref="M360:O360"/>
    <mergeCell ref="Q360:R360"/>
    <mergeCell ref="F357:G357"/>
    <mergeCell ref="M357:O357"/>
    <mergeCell ref="Q357:R357"/>
    <mergeCell ref="F358:G358"/>
    <mergeCell ref="M358:O358"/>
    <mergeCell ref="Q358:R358"/>
    <mergeCell ref="F355:G355"/>
    <mergeCell ref="M355:O355"/>
    <mergeCell ref="Q355:R355"/>
    <mergeCell ref="F356:G356"/>
    <mergeCell ref="M356:O356"/>
    <mergeCell ref="Q356:R356"/>
    <mergeCell ref="F353:G353"/>
    <mergeCell ref="M353:O353"/>
    <mergeCell ref="Q353:R353"/>
    <mergeCell ref="F354:G354"/>
    <mergeCell ref="M354:O354"/>
    <mergeCell ref="Q354:R354"/>
    <mergeCell ref="F351:G351"/>
    <mergeCell ref="M351:O351"/>
    <mergeCell ref="Q351:R351"/>
    <mergeCell ref="F352:G352"/>
    <mergeCell ref="M352:O352"/>
    <mergeCell ref="Q352:R352"/>
    <mergeCell ref="F349:G349"/>
    <mergeCell ref="M349:O349"/>
    <mergeCell ref="Q349:R349"/>
    <mergeCell ref="F350:G350"/>
    <mergeCell ref="M350:O350"/>
    <mergeCell ref="Q350:R350"/>
    <mergeCell ref="F347:G347"/>
    <mergeCell ref="M347:O347"/>
    <mergeCell ref="Q347:R347"/>
    <mergeCell ref="F348:G348"/>
    <mergeCell ref="M348:O348"/>
    <mergeCell ref="Q348:R348"/>
    <mergeCell ref="F345:G345"/>
    <mergeCell ref="M345:O345"/>
    <mergeCell ref="Q345:R345"/>
    <mergeCell ref="F346:G346"/>
    <mergeCell ref="M346:O346"/>
    <mergeCell ref="Q346:R346"/>
    <mergeCell ref="F343:G343"/>
    <mergeCell ref="M343:O343"/>
    <mergeCell ref="Q343:R343"/>
    <mergeCell ref="F344:G344"/>
    <mergeCell ref="M344:O344"/>
    <mergeCell ref="Q344:R344"/>
    <mergeCell ref="F341:G341"/>
    <mergeCell ref="M341:O341"/>
    <mergeCell ref="Q341:R341"/>
    <mergeCell ref="F342:G342"/>
    <mergeCell ref="M342:O342"/>
    <mergeCell ref="Q342:R342"/>
    <mergeCell ref="F339:G339"/>
    <mergeCell ref="M339:O339"/>
    <mergeCell ref="Q339:R339"/>
    <mergeCell ref="F340:G340"/>
    <mergeCell ref="M340:O340"/>
    <mergeCell ref="Q340:R340"/>
    <mergeCell ref="F337:G337"/>
    <mergeCell ref="M337:O337"/>
    <mergeCell ref="Q337:R337"/>
    <mergeCell ref="F338:G338"/>
    <mergeCell ref="M338:O338"/>
    <mergeCell ref="Q338:R338"/>
    <mergeCell ref="F335:G335"/>
    <mergeCell ref="M335:O335"/>
    <mergeCell ref="Q335:R335"/>
    <mergeCell ref="F336:G336"/>
    <mergeCell ref="M336:O336"/>
    <mergeCell ref="Q336:R336"/>
    <mergeCell ref="F333:G333"/>
    <mergeCell ref="M333:O333"/>
    <mergeCell ref="Q333:R333"/>
    <mergeCell ref="F334:G334"/>
    <mergeCell ref="M334:O334"/>
    <mergeCell ref="Q334:R334"/>
    <mergeCell ref="F331:G331"/>
    <mergeCell ref="M331:O331"/>
    <mergeCell ref="Q331:R331"/>
    <mergeCell ref="F332:G332"/>
    <mergeCell ref="M332:O332"/>
    <mergeCell ref="Q332:R332"/>
    <mergeCell ref="F329:G329"/>
    <mergeCell ref="M329:O329"/>
    <mergeCell ref="Q329:R329"/>
    <mergeCell ref="F330:G330"/>
    <mergeCell ref="M330:O330"/>
    <mergeCell ref="Q330:R330"/>
    <mergeCell ref="F327:G327"/>
    <mergeCell ref="M327:O327"/>
    <mergeCell ref="Q327:R327"/>
    <mergeCell ref="F328:G328"/>
    <mergeCell ref="M328:O328"/>
    <mergeCell ref="Q328:R328"/>
    <mergeCell ref="F325:G325"/>
    <mergeCell ref="M325:O325"/>
    <mergeCell ref="Q325:R325"/>
    <mergeCell ref="F326:G326"/>
    <mergeCell ref="M326:O326"/>
    <mergeCell ref="Q326:R326"/>
    <mergeCell ref="F323:G323"/>
    <mergeCell ref="M323:O323"/>
    <mergeCell ref="Q323:R323"/>
    <mergeCell ref="F324:G324"/>
    <mergeCell ref="M324:O324"/>
    <mergeCell ref="Q324:R324"/>
    <mergeCell ref="F321:G321"/>
    <mergeCell ref="M321:O321"/>
    <mergeCell ref="Q321:R321"/>
    <mergeCell ref="F322:G322"/>
    <mergeCell ref="M322:O322"/>
    <mergeCell ref="Q322:R322"/>
    <mergeCell ref="F319:G319"/>
    <mergeCell ref="M319:O319"/>
    <mergeCell ref="Q319:R319"/>
    <mergeCell ref="F320:G320"/>
    <mergeCell ref="M320:O320"/>
    <mergeCell ref="Q320:R320"/>
    <mergeCell ref="F317:G317"/>
    <mergeCell ref="M317:O317"/>
    <mergeCell ref="Q317:R317"/>
    <mergeCell ref="F318:G318"/>
    <mergeCell ref="M318:O318"/>
    <mergeCell ref="Q318:R318"/>
    <mergeCell ref="F315:G315"/>
    <mergeCell ref="M315:O315"/>
    <mergeCell ref="Q315:R315"/>
    <mergeCell ref="F316:G316"/>
    <mergeCell ref="M316:O316"/>
    <mergeCell ref="Q316:R316"/>
    <mergeCell ref="F313:G313"/>
    <mergeCell ref="M313:O313"/>
    <mergeCell ref="Q313:R313"/>
    <mergeCell ref="F314:G314"/>
    <mergeCell ref="M314:O314"/>
    <mergeCell ref="Q314:R314"/>
    <mergeCell ref="F311:G311"/>
    <mergeCell ref="M311:O311"/>
    <mergeCell ref="Q311:R311"/>
    <mergeCell ref="F312:G312"/>
    <mergeCell ref="M312:O312"/>
    <mergeCell ref="Q312:R312"/>
    <mergeCell ref="F309:G309"/>
    <mergeCell ref="M309:O309"/>
    <mergeCell ref="Q309:R309"/>
    <mergeCell ref="F310:G310"/>
    <mergeCell ref="M310:O310"/>
    <mergeCell ref="Q310:R310"/>
    <mergeCell ref="F307:G307"/>
    <mergeCell ref="M307:O307"/>
    <mergeCell ref="Q307:R307"/>
    <mergeCell ref="F308:G308"/>
    <mergeCell ref="M308:O308"/>
    <mergeCell ref="Q308:R308"/>
    <mergeCell ref="F305:G305"/>
    <mergeCell ref="M305:O305"/>
    <mergeCell ref="Q305:R305"/>
    <mergeCell ref="F306:G306"/>
    <mergeCell ref="M306:O306"/>
    <mergeCell ref="Q306:R306"/>
    <mergeCell ref="F303:G303"/>
    <mergeCell ref="M303:O303"/>
    <mergeCell ref="Q303:R303"/>
    <mergeCell ref="F304:G304"/>
    <mergeCell ref="M304:O304"/>
    <mergeCell ref="Q304:R304"/>
    <mergeCell ref="F301:G301"/>
    <mergeCell ref="M301:O301"/>
    <mergeCell ref="Q301:R301"/>
    <mergeCell ref="F302:G302"/>
    <mergeCell ref="M302:O302"/>
    <mergeCell ref="Q302:R302"/>
    <mergeCell ref="F299:G299"/>
    <mergeCell ref="M299:O299"/>
    <mergeCell ref="Q299:R299"/>
    <mergeCell ref="F300:G300"/>
    <mergeCell ref="M300:O300"/>
    <mergeCell ref="Q300:R300"/>
    <mergeCell ref="F297:G297"/>
    <mergeCell ref="M297:O297"/>
    <mergeCell ref="Q297:R297"/>
    <mergeCell ref="F298:G298"/>
    <mergeCell ref="M298:O298"/>
    <mergeCell ref="Q298:R298"/>
    <mergeCell ref="F295:G295"/>
    <mergeCell ref="M295:O295"/>
    <mergeCell ref="Q295:R295"/>
    <mergeCell ref="F296:G296"/>
    <mergeCell ref="M296:O296"/>
    <mergeCell ref="Q296:R296"/>
    <mergeCell ref="F293:G293"/>
    <mergeCell ref="M293:O293"/>
    <mergeCell ref="Q293:R293"/>
    <mergeCell ref="F294:G294"/>
    <mergeCell ref="M294:O294"/>
    <mergeCell ref="Q294:R294"/>
    <mergeCell ref="F291:G291"/>
    <mergeCell ref="M291:O291"/>
    <mergeCell ref="Q291:R291"/>
    <mergeCell ref="F292:G292"/>
    <mergeCell ref="M292:O292"/>
    <mergeCell ref="Q292:R292"/>
    <mergeCell ref="F289:G289"/>
    <mergeCell ref="M289:O289"/>
    <mergeCell ref="Q289:R289"/>
    <mergeCell ref="F290:G290"/>
    <mergeCell ref="M290:O290"/>
    <mergeCell ref="Q290:R290"/>
    <mergeCell ref="F287:G287"/>
    <mergeCell ref="M287:O287"/>
    <mergeCell ref="Q287:R287"/>
    <mergeCell ref="F288:G288"/>
    <mergeCell ref="M288:O288"/>
    <mergeCell ref="Q288:R288"/>
    <mergeCell ref="F285:G285"/>
    <mergeCell ref="M285:O285"/>
    <mergeCell ref="Q285:R285"/>
    <mergeCell ref="F286:G286"/>
    <mergeCell ref="M286:O286"/>
    <mergeCell ref="Q286:R286"/>
    <mergeCell ref="F283:G283"/>
    <mergeCell ref="M283:O283"/>
    <mergeCell ref="Q283:R283"/>
    <mergeCell ref="F284:G284"/>
    <mergeCell ref="M284:O284"/>
    <mergeCell ref="Q284:R284"/>
    <mergeCell ref="F281:G281"/>
    <mergeCell ref="M281:O281"/>
    <mergeCell ref="Q281:R281"/>
    <mergeCell ref="F282:G282"/>
    <mergeCell ref="M282:O282"/>
    <mergeCell ref="Q282:R282"/>
    <mergeCell ref="F279:G279"/>
    <mergeCell ref="M279:O279"/>
    <mergeCell ref="Q279:R279"/>
    <mergeCell ref="F280:G280"/>
    <mergeCell ref="M280:O280"/>
    <mergeCell ref="Q280:R280"/>
    <mergeCell ref="F277:G277"/>
    <mergeCell ref="M277:O277"/>
    <mergeCell ref="Q277:R277"/>
    <mergeCell ref="F278:G278"/>
    <mergeCell ref="M278:O278"/>
    <mergeCell ref="Q278:R278"/>
    <mergeCell ref="F275:G275"/>
    <mergeCell ref="M275:O275"/>
    <mergeCell ref="Q275:R275"/>
    <mergeCell ref="F276:G276"/>
    <mergeCell ref="M276:O276"/>
    <mergeCell ref="Q276:R276"/>
    <mergeCell ref="F273:G273"/>
    <mergeCell ref="M273:O273"/>
    <mergeCell ref="Q273:R273"/>
    <mergeCell ref="F274:G274"/>
    <mergeCell ref="M274:O274"/>
    <mergeCell ref="Q274:R274"/>
    <mergeCell ref="F271:G271"/>
    <mergeCell ref="M271:O271"/>
    <mergeCell ref="Q271:R271"/>
    <mergeCell ref="F272:G272"/>
    <mergeCell ref="M272:O272"/>
    <mergeCell ref="Q272:R272"/>
    <mergeCell ref="F269:G269"/>
    <mergeCell ref="M269:O269"/>
    <mergeCell ref="Q269:R269"/>
    <mergeCell ref="F270:G270"/>
    <mergeCell ref="M270:O270"/>
    <mergeCell ref="Q270:R270"/>
    <mergeCell ref="F267:G267"/>
    <mergeCell ref="M267:O267"/>
    <mergeCell ref="Q267:R267"/>
    <mergeCell ref="F268:G268"/>
    <mergeCell ref="M268:O268"/>
    <mergeCell ref="Q268:R268"/>
    <mergeCell ref="F265:G265"/>
    <mergeCell ref="M265:O265"/>
    <mergeCell ref="Q265:R265"/>
    <mergeCell ref="F266:G266"/>
    <mergeCell ref="M266:O266"/>
    <mergeCell ref="Q266:R266"/>
    <mergeCell ref="F263:G263"/>
    <mergeCell ref="M263:O263"/>
    <mergeCell ref="Q263:R263"/>
    <mergeCell ref="F264:G264"/>
    <mergeCell ref="M264:O264"/>
    <mergeCell ref="Q264:R264"/>
    <mergeCell ref="F261:G261"/>
    <mergeCell ref="M261:O261"/>
    <mergeCell ref="Q261:R261"/>
    <mergeCell ref="F262:G262"/>
    <mergeCell ref="M262:O262"/>
    <mergeCell ref="Q262:R262"/>
    <mergeCell ref="F259:G259"/>
    <mergeCell ref="M259:O259"/>
    <mergeCell ref="Q259:R259"/>
    <mergeCell ref="F260:G260"/>
    <mergeCell ref="M260:O260"/>
    <mergeCell ref="Q260:R260"/>
    <mergeCell ref="F257:G257"/>
    <mergeCell ref="M257:O257"/>
    <mergeCell ref="Q257:R257"/>
    <mergeCell ref="F258:G258"/>
    <mergeCell ref="M258:O258"/>
    <mergeCell ref="Q258:R258"/>
    <mergeCell ref="F255:G255"/>
    <mergeCell ref="M255:O255"/>
    <mergeCell ref="Q255:R255"/>
    <mergeCell ref="F256:G256"/>
    <mergeCell ref="M256:O256"/>
    <mergeCell ref="Q256:R256"/>
    <mergeCell ref="F253:G253"/>
    <mergeCell ref="M253:O253"/>
    <mergeCell ref="Q253:R253"/>
    <mergeCell ref="F254:G254"/>
    <mergeCell ref="M254:O254"/>
    <mergeCell ref="Q254:R254"/>
    <mergeCell ref="F251:G251"/>
    <mergeCell ref="M251:O251"/>
    <mergeCell ref="Q251:R251"/>
    <mergeCell ref="F252:G252"/>
    <mergeCell ref="M252:O252"/>
    <mergeCell ref="Q252:R252"/>
    <mergeCell ref="F249:G249"/>
    <mergeCell ref="M249:O249"/>
    <mergeCell ref="Q249:R249"/>
    <mergeCell ref="F250:G250"/>
    <mergeCell ref="M250:O250"/>
    <mergeCell ref="Q250:R250"/>
    <mergeCell ref="F247:G247"/>
    <mergeCell ref="M247:O247"/>
    <mergeCell ref="Q247:R247"/>
    <mergeCell ref="F248:G248"/>
    <mergeCell ref="M248:O248"/>
    <mergeCell ref="Q248:R248"/>
    <mergeCell ref="F245:G245"/>
    <mergeCell ref="M245:O245"/>
    <mergeCell ref="Q245:R245"/>
    <mergeCell ref="F246:G246"/>
    <mergeCell ref="M246:O246"/>
    <mergeCell ref="Q246:R246"/>
    <mergeCell ref="F243:G243"/>
    <mergeCell ref="M243:O243"/>
    <mergeCell ref="Q243:R243"/>
    <mergeCell ref="F244:G244"/>
    <mergeCell ref="M244:O244"/>
    <mergeCell ref="Q244:R244"/>
    <mergeCell ref="F241:G241"/>
    <mergeCell ref="M241:O241"/>
    <mergeCell ref="Q241:R241"/>
    <mergeCell ref="F242:G242"/>
    <mergeCell ref="M242:O242"/>
    <mergeCell ref="Q242:R242"/>
    <mergeCell ref="F239:G239"/>
    <mergeCell ref="M239:O239"/>
    <mergeCell ref="Q239:R239"/>
    <mergeCell ref="F240:G240"/>
    <mergeCell ref="M240:O240"/>
    <mergeCell ref="Q240:R240"/>
    <mergeCell ref="F237:G237"/>
    <mergeCell ref="M237:O237"/>
    <mergeCell ref="Q237:R237"/>
    <mergeCell ref="F238:G238"/>
    <mergeCell ref="M238:O238"/>
    <mergeCell ref="Q238:R238"/>
    <mergeCell ref="F235:G235"/>
    <mergeCell ref="M235:O235"/>
    <mergeCell ref="Q235:R235"/>
    <mergeCell ref="F236:G236"/>
    <mergeCell ref="M236:O236"/>
    <mergeCell ref="Q236:R236"/>
    <mergeCell ref="F233:G233"/>
    <mergeCell ref="M233:O233"/>
    <mergeCell ref="Q233:R233"/>
    <mergeCell ref="F234:G234"/>
    <mergeCell ref="M234:O234"/>
    <mergeCell ref="Q234:R234"/>
    <mergeCell ref="F231:G231"/>
    <mergeCell ref="M231:O231"/>
    <mergeCell ref="Q231:R231"/>
    <mergeCell ref="F232:G232"/>
    <mergeCell ref="M232:O232"/>
    <mergeCell ref="Q232:R232"/>
    <mergeCell ref="F229:G229"/>
    <mergeCell ref="M229:O229"/>
    <mergeCell ref="Q229:R229"/>
    <mergeCell ref="F230:G230"/>
    <mergeCell ref="M230:O230"/>
    <mergeCell ref="Q230:R230"/>
    <mergeCell ref="F227:G227"/>
    <mergeCell ref="M227:O227"/>
    <mergeCell ref="Q227:R227"/>
    <mergeCell ref="F228:G228"/>
    <mergeCell ref="M228:O228"/>
    <mergeCell ref="Q228:R228"/>
    <mergeCell ref="F225:G225"/>
    <mergeCell ref="M225:O225"/>
    <mergeCell ref="Q225:R225"/>
    <mergeCell ref="F226:G226"/>
    <mergeCell ref="M226:O226"/>
    <mergeCell ref="Q226:R226"/>
    <mergeCell ref="F223:G223"/>
    <mergeCell ref="M223:O223"/>
    <mergeCell ref="Q223:R223"/>
    <mergeCell ref="F224:G224"/>
    <mergeCell ref="M224:O224"/>
    <mergeCell ref="Q224:R224"/>
    <mergeCell ref="F221:G221"/>
    <mergeCell ref="M221:O221"/>
    <mergeCell ref="Q221:R221"/>
    <mergeCell ref="F222:G222"/>
    <mergeCell ref="M222:O222"/>
    <mergeCell ref="Q222:R222"/>
    <mergeCell ref="F219:G219"/>
    <mergeCell ref="M219:O219"/>
    <mergeCell ref="Q219:R219"/>
    <mergeCell ref="F220:G220"/>
    <mergeCell ref="M220:O220"/>
    <mergeCell ref="Q220:R220"/>
    <mergeCell ref="F217:G217"/>
    <mergeCell ref="M217:O217"/>
    <mergeCell ref="Q217:R217"/>
    <mergeCell ref="F218:G218"/>
    <mergeCell ref="M218:O218"/>
    <mergeCell ref="Q218:R218"/>
    <mergeCell ref="F215:G215"/>
    <mergeCell ref="M215:O215"/>
    <mergeCell ref="Q215:R215"/>
    <mergeCell ref="F216:G216"/>
    <mergeCell ref="M216:O216"/>
    <mergeCell ref="Q216:R216"/>
    <mergeCell ref="F213:G213"/>
    <mergeCell ref="M213:O213"/>
    <mergeCell ref="Q213:R213"/>
    <mergeCell ref="F214:G214"/>
    <mergeCell ref="M214:O214"/>
    <mergeCell ref="Q214:R214"/>
    <mergeCell ref="F211:G211"/>
    <mergeCell ref="M211:O211"/>
    <mergeCell ref="Q211:R211"/>
    <mergeCell ref="F212:G212"/>
    <mergeCell ref="M212:O212"/>
    <mergeCell ref="Q212:R212"/>
    <mergeCell ref="F209:G209"/>
    <mergeCell ref="M209:O209"/>
    <mergeCell ref="Q209:R209"/>
    <mergeCell ref="F210:G210"/>
    <mergeCell ref="M210:O210"/>
    <mergeCell ref="Q210:R210"/>
    <mergeCell ref="F207:G207"/>
    <mergeCell ref="M207:O207"/>
    <mergeCell ref="Q207:R207"/>
    <mergeCell ref="F208:G208"/>
    <mergeCell ref="M208:O208"/>
    <mergeCell ref="Q208:R208"/>
    <mergeCell ref="F205:G205"/>
    <mergeCell ref="M205:O205"/>
    <mergeCell ref="Q205:R205"/>
    <mergeCell ref="F206:G206"/>
    <mergeCell ref="M206:O206"/>
    <mergeCell ref="Q206:R206"/>
    <mergeCell ref="F203:G203"/>
    <mergeCell ref="M203:O203"/>
    <mergeCell ref="Q203:R203"/>
    <mergeCell ref="F204:G204"/>
    <mergeCell ref="M204:O204"/>
    <mergeCell ref="Q204:R204"/>
    <mergeCell ref="F201:G201"/>
    <mergeCell ref="M201:O201"/>
    <mergeCell ref="Q201:R201"/>
    <mergeCell ref="F202:G202"/>
    <mergeCell ref="M202:O202"/>
    <mergeCell ref="Q202:R202"/>
    <mergeCell ref="F199:G199"/>
    <mergeCell ref="M199:O199"/>
    <mergeCell ref="Q199:R199"/>
    <mergeCell ref="F200:G200"/>
    <mergeCell ref="M200:O200"/>
    <mergeCell ref="Q200:R200"/>
    <mergeCell ref="F197:G197"/>
    <mergeCell ref="M197:O197"/>
    <mergeCell ref="Q197:R197"/>
    <mergeCell ref="F198:G198"/>
    <mergeCell ref="M198:O198"/>
    <mergeCell ref="Q198:R198"/>
    <mergeCell ref="F195:G195"/>
    <mergeCell ref="M195:O195"/>
    <mergeCell ref="Q195:R195"/>
    <mergeCell ref="F196:G196"/>
    <mergeCell ref="M196:O196"/>
    <mergeCell ref="Q196:R196"/>
    <mergeCell ref="F193:G193"/>
    <mergeCell ref="M193:O193"/>
    <mergeCell ref="Q193:R193"/>
    <mergeCell ref="F194:G194"/>
    <mergeCell ref="M194:O194"/>
    <mergeCell ref="Q194:R194"/>
    <mergeCell ref="F191:G191"/>
    <mergeCell ref="M191:O191"/>
    <mergeCell ref="Q191:R191"/>
    <mergeCell ref="F192:G192"/>
    <mergeCell ref="M192:O192"/>
    <mergeCell ref="Q192:R192"/>
    <mergeCell ref="F189:G189"/>
    <mergeCell ref="M189:O189"/>
    <mergeCell ref="Q189:R189"/>
    <mergeCell ref="F190:G190"/>
    <mergeCell ref="M190:O190"/>
    <mergeCell ref="Q190:R190"/>
    <mergeCell ref="F187:G187"/>
    <mergeCell ref="M187:O187"/>
    <mergeCell ref="Q187:R187"/>
    <mergeCell ref="F188:G188"/>
    <mergeCell ref="M188:O188"/>
    <mergeCell ref="Q188:R188"/>
    <mergeCell ref="F185:G185"/>
    <mergeCell ref="M185:O185"/>
    <mergeCell ref="Q185:R185"/>
    <mergeCell ref="F186:G186"/>
    <mergeCell ref="M186:O186"/>
    <mergeCell ref="Q186:R186"/>
    <mergeCell ref="F183:G183"/>
    <mergeCell ref="M183:O183"/>
    <mergeCell ref="Q183:R183"/>
    <mergeCell ref="F184:G184"/>
    <mergeCell ref="M184:O184"/>
    <mergeCell ref="Q184:R184"/>
    <mergeCell ref="F181:G181"/>
    <mergeCell ref="M181:O181"/>
    <mergeCell ref="Q181:R181"/>
    <mergeCell ref="F182:G182"/>
    <mergeCell ref="M182:O182"/>
    <mergeCell ref="Q182:R182"/>
    <mergeCell ref="F179:G179"/>
    <mergeCell ref="M179:O179"/>
    <mergeCell ref="Q179:R179"/>
    <mergeCell ref="F180:G180"/>
    <mergeCell ref="M180:O180"/>
    <mergeCell ref="Q180:R180"/>
    <mergeCell ref="F177:G177"/>
    <mergeCell ref="M177:O177"/>
    <mergeCell ref="Q177:R177"/>
    <mergeCell ref="F178:G178"/>
    <mergeCell ref="M178:O178"/>
    <mergeCell ref="Q178:R178"/>
    <mergeCell ref="F175:G175"/>
    <mergeCell ref="M175:O175"/>
    <mergeCell ref="Q175:R175"/>
    <mergeCell ref="F176:G176"/>
    <mergeCell ref="M176:O176"/>
    <mergeCell ref="Q176:R176"/>
    <mergeCell ref="F173:G173"/>
    <mergeCell ref="M173:O173"/>
    <mergeCell ref="Q173:R173"/>
    <mergeCell ref="F174:G174"/>
    <mergeCell ref="M174:O174"/>
    <mergeCell ref="Q174:R174"/>
    <mergeCell ref="F171:G171"/>
    <mergeCell ref="M171:O171"/>
    <mergeCell ref="Q171:R171"/>
    <mergeCell ref="F172:G172"/>
    <mergeCell ref="M172:O172"/>
    <mergeCell ref="Q172:R172"/>
    <mergeCell ref="F169:G169"/>
    <mergeCell ref="M169:O169"/>
    <mergeCell ref="Q169:R169"/>
    <mergeCell ref="F170:G170"/>
    <mergeCell ref="M170:O170"/>
    <mergeCell ref="Q170:R170"/>
    <mergeCell ref="F167:G167"/>
    <mergeCell ref="M167:O167"/>
    <mergeCell ref="Q167:R167"/>
    <mergeCell ref="F168:G168"/>
    <mergeCell ref="M168:O168"/>
    <mergeCell ref="Q168:R168"/>
    <mergeCell ref="F165:G165"/>
    <mergeCell ref="M165:O165"/>
    <mergeCell ref="Q165:R165"/>
    <mergeCell ref="F166:G166"/>
    <mergeCell ref="M166:O166"/>
    <mergeCell ref="Q166:R166"/>
    <mergeCell ref="F163:G163"/>
    <mergeCell ref="M163:O163"/>
    <mergeCell ref="Q163:R163"/>
    <mergeCell ref="F164:G164"/>
    <mergeCell ref="M164:O164"/>
    <mergeCell ref="Q164:R164"/>
    <mergeCell ref="F161:G161"/>
    <mergeCell ref="M161:O161"/>
    <mergeCell ref="Q161:R161"/>
    <mergeCell ref="F162:G162"/>
    <mergeCell ref="M162:O162"/>
    <mergeCell ref="Q162:R162"/>
    <mergeCell ref="F159:G159"/>
    <mergeCell ref="M159:O159"/>
    <mergeCell ref="Q159:R159"/>
    <mergeCell ref="F160:G160"/>
    <mergeCell ref="M160:O160"/>
    <mergeCell ref="Q160:R160"/>
    <mergeCell ref="F157:G157"/>
    <mergeCell ref="M157:O157"/>
    <mergeCell ref="Q157:R157"/>
    <mergeCell ref="F158:G158"/>
    <mergeCell ref="M158:O158"/>
    <mergeCell ref="Q158:R158"/>
    <mergeCell ref="F155:G155"/>
    <mergeCell ref="M155:O155"/>
    <mergeCell ref="Q155:R155"/>
    <mergeCell ref="F156:G156"/>
    <mergeCell ref="M156:O156"/>
    <mergeCell ref="Q156:R156"/>
    <mergeCell ref="F153:G153"/>
    <mergeCell ref="M153:O153"/>
    <mergeCell ref="Q153:R153"/>
    <mergeCell ref="F154:G154"/>
    <mergeCell ref="M154:O154"/>
    <mergeCell ref="Q154:R154"/>
    <mergeCell ref="F151:G151"/>
    <mergeCell ref="M151:O151"/>
    <mergeCell ref="Q151:R151"/>
    <mergeCell ref="F152:G152"/>
    <mergeCell ref="M152:O152"/>
    <mergeCell ref="Q152:R152"/>
    <mergeCell ref="F149:G149"/>
    <mergeCell ref="M149:O149"/>
    <mergeCell ref="Q149:R149"/>
    <mergeCell ref="F150:G150"/>
    <mergeCell ref="M150:O150"/>
    <mergeCell ref="Q150:R150"/>
    <mergeCell ref="F147:G147"/>
    <mergeCell ref="M147:O147"/>
    <mergeCell ref="Q147:R147"/>
    <mergeCell ref="F148:G148"/>
    <mergeCell ref="M148:O148"/>
    <mergeCell ref="Q148:R148"/>
    <mergeCell ref="F145:G145"/>
    <mergeCell ref="M145:O145"/>
    <mergeCell ref="Q145:R145"/>
    <mergeCell ref="F146:G146"/>
    <mergeCell ref="M146:O146"/>
    <mergeCell ref="Q146:R146"/>
    <mergeCell ref="F143:G143"/>
    <mergeCell ref="M143:O143"/>
    <mergeCell ref="Q143:R143"/>
    <mergeCell ref="F144:G144"/>
    <mergeCell ref="M144:O144"/>
    <mergeCell ref="Q144:R144"/>
    <mergeCell ref="F141:G141"/>
    <mergeCell ref="M141:O141"/>
    <mergeCell ref="Q141:R141"/>
    <mergeCell ref="F142:G142"/>
    <mergeCell ref="M142:O142"/>
    <mergeCell ref="Q142:R142"/>
    <mergeCell ref="F139:G139"/>
    <mergeCell ref="M139:O139"/>
    <mergeCell ref="Q139:R139"/>
    <mergeCell ref="F140:G140"/>
    <mergeCell ref="M140:O140"/>
    <mergeCell ref="Q140:R140"/>
    <mergeCell ref="F137:G137"/>
    <mergeCell ref="M137:O137"/>
    <mergeCell ref="Q137:R137"/>
    <mergeCell ref="F138:G138"/>
    <mergeCell ref="M138:O138"/>
    <mergeCell ref="Q138:R138"/>
    <mergeCell ref="F135:G135"/>
    <mergeCell ref="M135:O135"/>
    <mergeCell ref="Q135:R135"/>
    <mergeCell ref="F136:G136"/>
    <mergeCell ref="M136:O136"/>
    <mergeCell ref="Q136:R136"/>
    <mergeCell ref="F133:G133"/>
    <mergeCell ref="M133:O133"/>
    <mergeCell ref="Q133:R133"/>
    <mergeCell ref="F134:G134"/>
    <mergeCell ref="M134:O134"/>
    <mergeCell ref="Q134:R134"/>
    <mergeCell ref="F131:G131"/>
    <mergeCell ref="M131:O131"/>
    <mergeCell ref="Q131:R131"/>
    <mergeCell ref="F132:G132"/>
    <mergeCell ref="M132:O132"/>
    <mergeCell ref="Q132:R132"/>
    <mergeCell ref="F129:G129"/>
    <mergeCell ref="M129:O129"/>
    <mergeCell ref="Q129:R129"/>
    <mergeCell ref="F130:G130"/>
    <mergeCell ref="M130:O130"/>
    <mergeCell ref="Q130:R130"/>
    <mergeCell ref="F127:G127"/>
    <mergeCell ref="M127:O127"/>
    <mergeCell ref="Q127:R127"/>
    <mergeCell ref="F128:G128"/>
    <mergeCell ref="M128:O128"/>
    <mergeCell ref="Q128:R128"/>
    <mergeCell ref="F125:G125"/>
    <mergeCell ref="M125:O125"/>
    <mergeCell ref="Q125:R125"/>
    <mergeCell ref="F126:G126"/>
    <mergeCell ref="M126:O126"/>
    <mergeCell ref="Q126:R126"/>
    <mergeCell ref="F123:G123"/>
    <mergeCell ref="M123:O123"/>
    <mergeCell ref="Q123:R123"/>
    <mergeCell ref="F124:G124"/>
    <mergeCell ref="M124:O124"/>
    <mergeCell ref="Q124:R124"/>
    <mergeCell ref="F121:G121"/>
    <mergeCell ref="M121:O121"/>
    <mergeCell ref="Q121:R121"/>
    <mergeCell ref="F122:G122"/>
    <mergeCell ref="M122:O122"/>
    <mergeCell ref="Q122:R122"/>
    <mergeCell ref="F119:G119"/>
    <mergeCell ref="M119:O119"/>
    <mergeCell ref="Q119:R119"/>
    <mergeCell ref="F120:G120"/>
    <mergeCell ref="M120:O120"/>
    <mergeCell ref="Q120:R120"/>
    <mergeCell ref="F117:G117"/>
    <mergeCell ref="M117:O117"/>
    <mergeCell ref="Q117:R117"/>
    <mergeCell ref="F118:G118"/>
    <mergeCell ref="M118:O118"/>
    <mergeCell ref="Q118:R118"/>
    <mergeCell ref="F115:G115"/>
    <mergeCell ref="M115:O115"/>
    <mergeCell ref="Q115:R115"/>
    <mergeCell ref="F116:G116"/>
    <mergeCell ref="M116:O116"/>
    <mergeCell ref="Q116:R116"/>
    <mergeCell ref="F113:G113"/>
    <mergeCell ref="M113:O113"/>
    <mergeCell ref="Q113:R113"/>
    <mergeCell ref="F114:G114"/>
    <mergeCell ref="M114:O114"/>
    <mergeCell ref="Q114:R114"/>
    <mergeCell ref="F111:G111"/>
    <mergeCell ref="M111:O111"/>
    <mergeCell ref="Q111:R111"/>
    <mergeCell ref="F112:G112"/>
    <mergeCell ref="M112:O112"/>
    <mergeCell ref="Q112:R112"/>
    <mergeCell ref="F109:G109"/>
    <mergeCell ref="M109:O109"/>
    <mergeCell ref="Q109:R109"/>
    <mergeCell ref="F110:G110"/>
    <mergeCell ref="M110:O110"/>
    <mergeCell ref="Q110:R110"/>
    <mergeCell ref="F107:G107"/>
    <mergeCell ref="M107:O107"/>
    <mergeCell ref="Q107:R107"/>
    <mergeCell ref="F108:G108"/>
    <mergeCell ref="M108:O108"/>
    <mergeCell ref="Q108:R108"/>
    <mergeCell ref="F105:G105"/>
    <mergeCell ref="M105:O105"/>
    <mergeCell ref="Q105:R105"/>
    <mergeCell ref="F106:G106"/>
    <mergeCell ref="M106:O106"/>
    <mergeCell ref="Q106:R106"/>
    <mergeCell ref="F103:G103"/>
    <mergeCell ref="M103:O103"/>
    <mergeCell ref="Q103:R103"/>
    <mergeCell ref="F104:G104"/>
    <mergeCell ref="M104:O104"/>
    <mergeCell ref="Q104:R104"/>
    <mergeCell ref="F101:G101"/>
    <mergeCell ref="M101:O101"/>
    <mergeCell ref="Q101:R101"/>
    <mergeCell ref="F102:G102"/>
    <mergeCell ref="M102:O102"/>
    <mergeCell ref="Q102:R102"/>
    <mergeCell ref="F99:G99"/>
    <mergeCell ref="M99:O99"/>
    <mergeCell ref="Q99:R99"/>
    <mergeCell ref="F100:G100"/>
    <mergeCell ref="M100:O100"/>
    <mergeCell ref="Q100:R100"/>
    <mergeCell ref="F97:G97"/>
    <mergeCell ref="M97:O97"/>
    <mergeCell ref="Q97:R97"/>
    <mergeCell ref="F98:G98"/>
    <mergeCell ref="M98:O98"/>
    <mergeCell ref="Q98:R98"/>
    <mergeCell ref="F95:G95"/>
    <mergeCell ref="M95:O95"/>
    <mergeCell ref="Q95:R95"/>
    <mergeCell ref="F96:G96"/>
    <mergeCell ref="M96:O96"/>
    <mergeCell ref="Q96:R96"/>
    <mergeCell ref="F93:G93"/>
    <mergeCell ref="M93:O93"/>
    <mergeCell ref="Q93:R93"/>
    <mergeCell ref="F94:G94"/>
    <mergeCell ref="M94:O94"/>
    <mergeCell ref="Q94:R94"/>
    <mergeCell ref="F91:G91"/>
    <mergeCell ref="M91:O91"/>
    <mergeCell ref="Q91:R91"/>
    <mergeCell ref="F92:G92"/>
    <mergeCell ref="M92:O92"/>
    <mergeCell ref="Q92:R92"/>
    <mergeCell ref="F89:G89"/>
    <mergeCell ref="M89:O89"/>
    <mergeCell ref="Q89:R89"/>
    <mergeCell ref="F90:G90"/>
    <mergeCell ref="M90:O90"/>
    <mergeCell ref="Q90:R90"/>
    <mergeCell ref="F87:G87"/>
    <mergeCell ref="M87:O87"/>
    <mergeCell ref="Q87:R87"/>
    <mergeCell ref="F88:G88"/>
    <mergeCell ref="M88:O88"/>
    <mergeCell ref="Q88:R88"/>
    <mergeCell ref="F85:G85"/>
    <mergeCell ref="M85:O85"/>
    <mergeCell ref="Q85:R85"/>
    <mergeCell ref="F86:G86"/>
    <mergeCell ref="M86:O86"/>
    <mergeCell ref="Q86:R86"/>
    <mergeCell ref="F83:G83"/>
    <mergeCell ref="M83:O83"/>
    <mergeCell ref="Q83:R83"/>
    <mergeCell ref="F84:G84"/>
    <mergeCell ref="M84:O84"/>
    <mergeCell ref="Q84:R84"/>
    <mergeCell ref="F81:G81"/>
    <mergeCell ref="M81:O81"/>
    <mergeCell ref="Q81:R81"/>
    <mergeCell ref="F82:G82"/>
    <mergeCell ref="M82:O82"/>
    <mergeCell ref="Q82:R82"/>
    <mergeCell ref="F79:G79"/>
    <mergeCell ref="M79:O79"/>
    <mergeCell ref="Q79:R79"/>
    <mergeCell ref="F80:G80"/>
    <mergeCell ref="M80:O80"/>
    <mergeCell ref="Q80:R80"/>
    <mergeCell ref="F77:G77"/>
    <mergeCell ref="M77:O77"/>
    <mergeCell ref="Q77:R77"/>
    <mergeCell ref="F78:G78"/>
    <mergeCell ref="M78:O78"/>
    <mergeCell ref="Q78:R78"/>
    <mergeCell ref="F75:G75"/>
    <mergeCell ref="M75:O75"/>
    <mergeCell ref="Q75:R75"/>
    <mergeCell ref="F76:G76"/>
    <mergeCell ref="M76:O76"/>
    <mergeCell ref="Q76:R76"/>
    <mergeCell ref="F73:G73"/>
    <mergeCell ref="M73:O73"/>
    <mergeCell ref="Q73:R73"/>
    <mergeCell ref="F74:G74"/>
    <mergeCell ref="M74:O74"/>
    <mergeCell ref="Q74:R74"/>
    <mergeCell ref="F71:G71"/>
    <mergeCell ref="M71:O71"/>
    <mergeCell ref="Q71:R71"/>
    <mergeCell ref="F72:G72"/>
    <mergeCell ref="M72:O72"/>
    <mergeCell ref="Q72:R72"/>
    <mergeCell ref="F69:G69"/>
    <mergeCell ref="M69:O69"/>
    <mergeCell ref="Q69:R69"/>
    <mergeCell ref="F70:G70"/>
    <mergeCell ref="M70:O70"/>
    <mergeCell ref="Q70:R70"/>
    <mergeCell ref="F67:G67"/>
    <mergeCell ref="M67:O67"/>
    <mergeCell ref="Q67:R67"/>
    <mergeCell ref="F68:G68"/>
    <mergeCell ref="M68:O68"/>
    <mergeCell ref="Q68:R68"/>
    <mergeCell ref="F65:G65"/>
    <mergeCell ref="M65:O65"/>
    <mergeCell ref="Q65:R65"/>
    <mergeCell ref="F66:G66"/>
    <mergeCell ref="M66:O66"/>
    <mergeCell ref="Q66:R66"/>
    <mergeCell ref="F63:G63"/>
    <mergeCell ref="M63:O63"/>
    <mergeCell ref="Q63:R63"/>
    <mergeCell ref="F64:G64"/>
    <mergeCell ref="M64:O64"/>
    <mergeCell ref="Q64:R64"/>
    <mergeCell ref="F61:G61"/>
    <mergeCell ref="M61:O61"/>
    <mergeCell ref="Q61:R61"/>
    <mergeCell ref="F62:G62"/>
    <mergeCell ref="M62:O62"/>
    <mergeCell ref="Q62:R62"/>
    <mergeCell ref="F59:G59"/>
    <mergeCell ref="M59:O59"/>
    <mergeCell ref="Q59:R59"/>
    <mergeCell ref="F60:G60"/>
    <mergeCell ref="M60:O60"/>
    <mergeCell ref="Q60:R60"/>
    <mergeCell ref="F57:G57"/>
    <mergeCell ref="M57:O57"/>
    <mergeCell ref="Q57:R57"/>
    <mergeCell ref="F58:G58"/>
    <mergeCell ref="M58:O58"/>
    <mergeCell ref="Q58:R58"/>
    <mergeCell ref="F55:G55"/>
    <mergeCell ref="M55:O55"/>
    <mergeCell ref="Q55:R55"/>
    <mergeCell ref="F56:G56"/>
    <mergeCell ref="M56:O56"/>
    <mergeCell ref="Q56:R56"/>
    <mergeCell ref="F53:G53"/>
    <mergeCell ref="M53:O53"/>
    <mergeCell ref="Q53:R53"/>
    <mergeCell ref="F54:G54"/>
    <mergeCell ref="M54:O54"/>
    <mergeCell ref="Q54:R54"/>
    <mergeCell ref="F51:G51"/>
    <mergeCell ref="M51:O51"/>
    <mergeCell ref="Q51:R51"/>
    <mergeCell ref="F52:G52"/>
    <mergeCell ref="M52:O52"/>
    <mergeCell ref="Q52:R52"/>
    <mergeCell ref="F49:G49"/>
    <mergeCell ref="M49:O49"/>
    <mergeCell ref="Q49:R49"/>
    <mergeCell ref="F50:G50"/>
    <mergeCell ref="M50:O50"/>
    <mergeCell ref="Q50:R50"/>
    <mergeCell ref="F47:G47"/>
    <mergeCell ref="M47:O47"/>
    <mergeCell ref="Q47:R47"/>
    <mergeCell ref="F48:G48"/>
    <mergeCell ref="M48:O48"/>
    <mergeCell ref="Q48:R48"/>
    <mergeCell ref="F45:G45"/>
    <mergeCell ref="M45:O45"/>
    <mergeCell ref="Q45:R45"/>
    <mergeCell ref="F46:G46"/>
    <mergeCell ref="M46:O46"/>
    <mergeCell ref="Q46:R46"/>
    <mergeCell ref="F43:G43"/>
    <mergeCell ref="M43:O43"/>
    <mergeCell ref="Q43:R43"/>
    <mergeCell ref="F44:G44"/>
    <mergeCell ref="M44:O44"/>
    <mergeCell ref="Q44:R44"/>
    <mergeCell ref="F41:G41"/>
    <mergeCell ref="M41:O41"/>
    <mergeCell ref="Q41:R41"/>
    <mergeCell ref="F42:G42"/>
    <mergeCell ref="M42:O42"/>
    <mergeCell ref="Q42:R42"/>
    <mergeCell ref="F39:G39"/>
    <mergeCell ref="M39:O39"/>
    <mergeCell ref="Q39:R39"/>
    <mergeCell ref="F40:G40"/>
    <mergeCell ref="M40:O40"/>
    <mergeCell ref="Q40:R40"/>
    <mergeCell ref="F37:G37"/>
    <mergeCell ref="M37:O37"/>
    <mergeCell ref="Q37:R37"/>
    <mergeCell ref="F38:G38"/>
    <mergeCell ref="M38:O38"/>
    <mergeCell ref="Q38:R38"/>
    <mergeCell ref="F35:G35"/>
    <mergeCell ref="M35:O35"/>
    <mergeCell ref="Q35:R35"/>
    <mergeCell ref="F36:G36"/>
    <mergeCell ref="M36:O36"/>
    <mergeCell ref="Q36:R36"/>
    <mergeCell ref="F33:G33"/>
    <mergeCell ref="M33:O33"/>
    <mergeCell ref="Q33:R33"/>
    <mergeCell ref="F34:G34"/>
    <mergeCell ref="M34:O34"/>
    <mergeCell ref="Q34:R34"/>
    <mergeCell ref="F31:G31"/>
    <mergeCell ref="M31:O31"/>
    <mergeCell ref="Q31:R31"/>
    <mergeCell ref="F32:G32"/>
    <mergeCell ref="M32:O32"/>
    <mergeCell ref="Q32:R32"/>
    <mergeCell ref="F29:G29"/>
    <mergeCell ref="M29:O29"/>
    <mergeCell ref="Q29:R29"/>
    <mergeCell ref="F30:G30"/>
    <mergeCell ref="M30:O30"/>
    <mergeCell ref="Q30:R30"/>
    <mergeCell ref="F27:G27"/>
    <mergeCell ref="M27:O27"/>
    <mergeCell ref="Q27:R27"/>
    <mergeCell ref="F28:G28"/>
    <mergeCell ref="M28:O28"/>
    <mergeCell ref="Q28:R28"/>
    <mergeCell ref="F25:G25"/>
    <mergeCell ref="M25:O25"/>
    <mergeCell ref="Q25:R25"/>
    <mergeCell ref="F26:G26"/>
    <mergeCell ref="M26:O26"/>
    <mergeCell ref="Q26:R26"/>
    <mergeCell ref="F23:G23"/>
    <mergeCell ref="M23:O23"/>
    <mergeCell ref="Q23:R23"/>
    <mergeCell ref="F24:G24"/>
    <mergeCell ref="M24:O24"/>
    <mergeCell ref="Q24:R24"/>
    <mergeCell ref="F21:G21"/>
    <mergeCell ref="M21:O21"/>
    <mergeCell ref="Q21:R21"/>
    <mergeCell ref="F22:G22"/>
    <mergeCell ref="M22:O22"/>
    <mergeCell ref="Q22:R22"/>
    <mergeCell ref="F19:G19"/>
    <mergeCell ref="M19:O19"/>
    <mergeCell ref="Q19:R19"/>
    <mergeCell ref="F20:G20"/>
    <mergeCell ref="M20:O20"/>
    <mergeCell ref="Q20:R20"/>
    <mergeCell ref="F17:G17"/>
    <mergeCell ref="M17:O17"/>
    <mergeCell ref="Q17:R17"/>
    <mergeCell ref="F18:G18"/>
    <mergeCell ref="M18:O18"/>
    <mergeCell ref="Q18:R18"/>
    <mergeCell ref="F15:G15"/>
    <mergeCell ref="M15:O15"/>
    <mergeCell ref="Q15:R15"/>
    <mergeCell ref="F16:G16"/>
    <mergeCell ref="M16:O16"/>
    <mergeCell ref="Q16:R16"/>
    <mergeCell ref="F13:G13"/>
    <mergeCell ref="M13:O13"/>
    <mergeCell ref="Q13:R13"/>
    <mergeCell ref="F14:G14"/>
    <mergeCell ref="M14:O14"/>
    <mergeCell ref="Q14:R14"/>
    <mergeCell ref="F11:G11"/>
    <mergeCell ref="M11:O11"/>
    <mergeCell ref="Q11:R11"/>
    <mergeCell ref="F12:G12"/>
    <mergeCell ref="M12:O12"/>
    <mergeCell ref="Q12:R12"/>
    <mergeCell ref="F9:G9"/>
    <mergeCell ref="M9:O9"/>
    <mergeCell ref="Q9:R9"/>
    <mergeCell ref="F10:G10"/>
    <mergeCell ref="M10:O10"/>
    <mergeCell ref="Q10:R10"/>
    <mergeCell ref="F7:G7"/>
    <mergeCell ref="M7:O7"/>
    <mergeCell ref="Q7:R7"/>
    <mergeCell ref="F8:G8"/>
    <mergeCell ref="M8:O8"/>
    <mergeCell ref="Q8:R8"/>
    <mergeCell ref="G1:M2"/>
    <mergeCell ref="O2:Q2"/>
    <mergeCell ref="F5:G5"/>
    <mergeCell ref="M5:O5"/>
    <mergeCell ref="Q5:R5"/>
    <mergeCell ref="F6:G6"/>
    <mergeCell ref="M6:O6"/>
    <mergeCell ref="Q6:R6"/>
    <mergeCell ref="F1404:G1404"/>
    <mergeCell ref="M1404:O1404"/>
    <mergeCell ref="Q1404:R1404"/>
    <mergeCell ref="F1405:G1405"/>
    <mergeCell ref="M1405:O1405"/>
    <mergeCell ref="Q1405:R1405"/>
    <mergeCell ref="F1406:G1406"/>
    <mergeCell ref="M1406:O1406"/>
    <mergeCell ref="Q1406:R1406"/>
    <mergeCell ref="F1407:G1407"/>
    <mergeCell ref="M1407:O1407"/>
    <mergeCell ref="Q1407:R1407"/>
    <mergeCell ref="F1408:G1408"/>
    <mergeCell ref="M1408:O1408"/>
    <mergeCell ref="Q1408:R1408"/>
    <mergeCell ref="F1409:G1409"/>
    <mergeCell ref="M1409:O1409"/>
    <mergeCell ref="Q1409:R1409"/>
    <mergeCell ref="F1410:G1410"/>
    <mergeCell ref="M1410:O1410"/>
    <mergeCell ref="Q1410:R1410"/>
    <mergeCell ref="F1411:G1411"/>
    <mergeCell ref="M1411:O1411"/>
    <mergeCell ref="Q1411:R1411"/>
    <mergeCell ref="F1412:G1412"/>
    <mergeCell ref="M1412:O1412"/>
    <mergeCell ref="Q1412:R1412"/>
    <mergeCell ref="F1413:G1413"/>
    <mergeCell ref="M1413:O1413"/>
    <mergeCell ref="Q1413:R1413"/>
    <mergeCell ref="F1414:G1414"/>
    <mergeCell ref="M1414:O1414"/>
    <mergeCell ref="Q1414:R1414"/>
    <mergeCell ref="F1415:G1415"/>
    <mergeCell ref="M1415:O1415"/>
    <mergeCell ref="Q1415:R1415"/>
    <mergeCell ref="F1416:G1416"/>
    <mergeCell ref="M1416:O1416"/>
    <mergeCell ref="Q1416:R1416"/>
    <mergeCell ref="F1417:G1417"/>
    <mergeCell ref="M1417:O1417"/>
    <mergeCell ref="Q1417:R1417"/>
    <mergeCell ref="F1418:G1418"/>
    <mergeCell ref="M1418:O1418"/>
    <mergeCell ref="Q1418:R1418"/>
    <mergeCell ref="F1419:G1419"/>
    <mergeCell ref="M1419:O1419"/>
    <mergeCell ref="Q1419:R1419"/>
    <mergeCell ref="F1420:G1420"/>
    <mergeCell ref="M1420:O1420"/>
    <mergeCell ref="Q1420:R1420"/>
    <mergeCell ref="F1421:G1421"/>
    <mergeCell ref="M1421:O1421"/>
    <mergeCell ref="Q1421:R1421"/>
    <mergeCell ref="F1422:G1422"/>
    <mergeCell ref="M1422:O1422"/>
    <mergeCell ref="Q1422:R1422"/>
    <mergeCell ref="F1423:G1423"/>
    <mergeCell ref="M1423:O1423"/>
    <mergeCell ref="Q1423:R1423"/>
    <mergeCell ref="F1424:G1424"/>
    <mergeCell ref="M1424:O1424"/>
    <mergeCell ref="Q1424:R1424"/>
    <mergeCell ref="F1425:G1425"/>
    <mergeCell ref="M1425:O1425"/>
    <mergeCell ref="Q1425:R1425"/>
    <mergeCell ref="F1426:G1426"/>
    <mergeCell ref="M1426:O1426"/>
    <mergeCell ref="Q1426:R1426"/>
    <mergeCell ref="F1427:G1427"/>
    <mergeCell ref="M1427:O1427"/>
    <mergeCell ref="Q1427:R1427"/>
    <mergeCell ref="F1428:G1428"/>
    <mergeCell ref="M1428:O1428"/>
    <mergeCell ref="Q1428:R1428"/>
    <mergeCell ref="F1429:G1429"/>
    <mergeCell ref="M1429:O1429"/>
    <mergeCell ref="Q1429:R1429"/>
    <mergeCell ref="F1430:G1430"/>
    <mergeCell ref="M1430:O1430"/>
    <mergeCell ref="Q1430:R1430"/>
    <mergeCell ref="F1431:G1431"/>
    <mergeCell ref="M1431:O1431"/>
    <mergeCell ref="Q1431:R1431"/>
    <mergeCell ref="F1432:G1432"/>
    <mergeCell ref="M1432:O1432"/>
    <mergeCell ref="Q1432:R1432"/>
    <mergeCell ref="F1433:G1433"/>
    <mergeCell ref="M1433:O1433"/>
    <mergeCell ref="Q1433:R1433"/>
    <mergeCell ref="F1434:G1434"/>
    <mergeCell ref="M1434:O1434"/>
    <mergeCell ref="Q1434:R1434"/>
    <mergeCell ref="F1435:G1435"/>
    <mergeCell ref="M1435:O1435"/>
    <mergeCell ref="Q1435:R1435"/>
    <mergeCell ref="F1436:G1436"/>
    <mergeCell ref="M1436:O1436"/>
    <mergeCell ref="Q1436:R1436"/>
    <mergeCell ref="F1437:G1437"/>
    <mergeCell ref="M1437:O1437"/>
    <mergeCell ref="Q1437:R1437"/>
    <mergeCell ref="F1438:G1438"/>
    <mergeCell ref="M1438:O1438"/>
    <mergeCell ref="Q1438:R1438"/>
    <mergeCell ref="F1439:G1439"/>
    <mergeCell ref="M1439:O1439"/>
    <mergeCell ref="Q1439:R1439"/>
    <mergeCell ref="F1440:G1440"/>
    <mergeCell ref="M1440:O1440"/>
    <mergeCell ref="Q1440:R1440"/>
    <mergeCell ref="F1441:G1441"/>
    <mergeCell ref="M1441:O1441"/>
    <mergeCell ref="Q1441:R1441"/>
    <mergeCell ref="F1442:G1442"/>
    <mergeCell ref="M1442:O1442"/>
    <mergeCell ref="Q1442:R1442"/>
    <mergeCell ref="F1443:G1443"/>
    <mergeCell ref="M1443:O1443"/>
    <mergeCell ref="Q1443:R1443"/>
    <mergeCell ref="F1444:G1444"/>
    <mergeCell ref="M1444:O1444"/>
    <mergeCell ref="Q1444:R1444"/>
    <mergeCell ref="F1445:G1445"/>
    <mergeCell ref="M1445:O1445"/>
    <mergeCell ref="Q1445:R1445"/>
    <mergeCell ref="F1446:G1446"/>
    <mergeCell ref="M1446:O1446"/>
    <mergeCell ref="Q1446:R1446"/>
    <mergeCell ref="F1447:G1447"/>
    <mergeCell ref="M1447:O1447"/>
    <mergeCell ref="Q1447:R1447"/>
    <mergeCell ref="F1448:G1448"/>
    <mergeCell ref="M1448:O1448"/>
    <mergeCell ref="Q1448:R1448"/>
    <mergeCell ref="F1449:G1449"/>
    <mergeCell ref="M1449:O1449"/>
    <mergeCell ref="Q1449:R1449"/>
    <mergeCell ref="F1450:G1450"/>
    <mergeCell ref="M1450:O1450"/>
    <mergeCell ref="Q1450:R1450"/>
    <mergeCell ref="F1451:G1451"/>
    <mergeCell ref="M1451:O1451"/>
    <mergeCell ref="Q1451:R1451"/>
    <mergeCell ref="F1452:G1452"/>
    <mergeCell ref="M1452:O1452"/>
    <mergeCell ref="Q1452:R1452"/>
    <mergeCell ref="F1453:G1453"/>
    <mergeCell ref="M1453:O1453"/>
    <mergeCell ref="Q1453:R1453"/>
    <mergeCell ref="F1454:G1454"/>
    <mergeCell ref="M1454:O1454"/>
    <mergeCell ref="Q1454:R1454"/>
    <mergeCell ref="F1455:G1455"/>
    <mergeCell ref="M1455:O1455"/>
    <mergeCell ref="Q1455:R1455"/>
    <mergeCell ref="F1456:G1456"/>
    <mergeCell ref="M1456:O1456"/>
    <mergeCell ref="Q1456:R1456"/>
    <mergeCell ref="F1457:G1457"/>
    <mergeCell ref="M1457:O1457"/>
    <mergeCell ref="Q1457:R1457"/>
    <mergeCell ref="F1458:G1458"/>
    <mergeCell ref="M1458:O1458"/>
    <mergeCell ref="Q1458:R1458"/>
    <mergeCell ref="F1459:G1459"/>
    <mergeCell ref="M1459:O1459"/>
    <mergeCell ref="Q1459:R1459"/>
    <mergeCell ref="F1460:G1460"/>
    <mergeCell ref="M1460:O1460"/>
    <mergeCell ref="Q1460:R1460"/>
    <mergeCell ref="F1461:G1461"/>
    <mergeCell ref="M1461:O1461"/>
    <mergeCell ref="Q1461:R1461"/>
    <mergeCell ref="F1462:G1462"/>
    <mergeCell ref="M1462:O1462"/>
    <mergeCell ref="Q1462:R1462"/>
    <mergeCell ref="F1463:G1463"/>
    <mergeCell ref="M1463:O1463"/>
    <mergeCell ref="Q1463:R1463"/>
    <mergeCell ref="F1464:G1464"/>
    <mergeCell ref="M1464:O1464"/>
    <mergeCell ref="Q1464:R1464"/>
    <mergeCell ref="F1465:G1465"/>
    <mergeCell ref="M1465:O1465"/>
    <mergeCell ref="Q1465:R1465"/>
    <mergeCell ref="F1466:G1466"/>
    <mergeCell ref="M1466:O1466"/>
    <mergeCell ref="Q1466:R1466"/>
    <mergeCell ref="F1467:G1467"/>
    <mergeCell ref="M1467:O1467"/>
    <mergeCell ref="Q1467:R1467"/>
    <mergeCell ref="F1468:G1468"/>
    <mergeCell ref="M1468:O1468"/>
    <mergeCell ref="Q1468:R1468"/>
    <mergeCell ref="F1469:G1469"/>
    <mergeCell ref="M1469:O1469"/>
    <mergeCell ref="Q1469:R1469"/>
    <mergeCell ref="F1470:G1470"/>
    <mergeCell ref="M1470:O1470"/>
    <mergeCell ref="Q1470:R1470"/>
    <mergeCell ref="F1471:G1471"/>
    <mergeCell ref="M1471:O1471"/>
    <mergeCell ref="Q1471:R1471"/>
    <mergeCell ref="F1472:G1472"/>
    <mergeCell ref="M1472:O1472"/>
    <mergeCell ref="Q1472:R1472"/>
    <mergeCell ref="F1473:G1473"/>
    <mergeCell ref="M1473:O1473"/>
    <mergeCell ref="Q1473:R1473"/>
    <mergeCell ref="F1474:G1474"/>
    <mergeCell ref="M1474:O1474"/>
    <mergeCell ref="Q1474:R1474"/>
    <mergeCell ref="F1475:G1475"/>
    <mergeCell ref="M1475:O1475"/>
    <mergeCell ref="Q1475:R1475"/>
    <mergeCell ref="F1476:G1476"/>
    <mergeCell ref="M1476:O1476"/>
    <mergeCell ref="Q1476:R1476"/>
    <mergeCell ref="F1477:G1477"/>
    <mergeCell ref="M1477:O1477"/>
    <mergeCell ref="Q1477:R1477"/>
    <mergeCell ref="F1478:G1478"/>
    <mergeCell ref="M1478:O1478"/>
    <mergeCell ref="Q1478:R1478"/>
    <mergeCell ref="F1479:G1479"/>
    <mergeCell ref="M1479:O1479"/>
    <mergeCell ref="Q1479:R1479"/>
    <mergeCell ref="F1480:G1480"/>
    <mergeCell ref="M1480:O1480"/>
    <mergeCell ref="Q1480:R1480"/>
    <mergeCell ref="F1481:G1481"/>
    <mergeCell ref="M1481:O1481"/>
    <mergeCell ref="Q1481:R1481"/>
    <mergeCell ref="F1482:G1482"/>
    <mergeCell ref="M1482:O1482"/>
    <mergeCell ref="Q1482:R1482"/>
    <mergeCell ref="F1483:G1483"/>
    <mergeCell ref="M1483:O1483"/>
    <mergeCell ref="Q1483:R1483"/>
    <mergeCell ref="F1484:G1484"/>
    <mergeCell ref="M1484:O1484"/>
    <mergeCell ref="Q1484:R1484"/>
    <mergeCell ref="F1485:G1485"/>
    <mergeCell ref="M1485:O1485"/>
    <mergeCell ref="Q1485:R1485"/>
    <mergeCell ref="F1486:G1486"/>
    <mergeCell ref="M1486:O1486"/>
    <mergeCell ref="Q1486:R1486"/>
    <mergeCell ref="F1487:G1487"/>
    <mergeCell ref="M1487:O1487"/>
    <mergeCell ref="Q1487:R1487"/>
    <mergeCell ref="F1488:G1488"/>
    <mergeCell ref="M1488:O1488"/>
    <mergeCell ref="Q1488:R1488"/>
    <mergeCell ref="F1489:G1489"/>
    <mergeCell ref="M1489:O1489"/>
    <mergeCell ref="Q1489:R1489"/>
    <mergeCell ref="F1490:G1490"/>
    <mergeCell ref="M1490:O1490"/>
    <mergeCell ref="Q1490:R1490"/>
    <mergeCell ref="F1491:G1491"/>
    <mergeCell ref="M1491:O1491"/>
    <mergeCell ref="Q1491:R1491"/>
    <mergeCell ref="F1492:G1492"/>
    <mergeCell ref="M1492:O1492"/>
    <mergeCell ref="Q1492:R1492"/>
    <mergeCell ref="F1493:G1493"/>
    <mergeCell ref="M1493:O1493"/>
    <mergeCell ref="Q1493:R1493"/>
    <mergeCell ref="F1494:G1494"/>
    <mergeCell ref="M1494:O1494"/>
    <mergeCell ref="Q1494:R1494"/>
    <mergeCell ref="F1495:G1495"/>
    <mergeCell ref="M1495:O1495"/>
    <mergeCell ref="Q1495:R1495"/>
    <mergeCell ref="F1496:G1496"/>
    <mergeCell ref="M1496:O1496"/>
    <mergeCell ref="Q1496:R1496"/>
    <mergeCell ref="F1497:G1497"/>
    <mergeCell ref="M1497:O1497"/>
    <mergeCell ref="Q1497:R1497"/>
    <mergeCell ref="F1498:G1498"/>
    <mergeCell ref="M1498:O1498"/>
    <mergeCell ref="Q1498:R1498"/>
    <mergeCell ref="F1499:G1499"/>
    <mergeCell ref="M1499:O1499"/>
    <mergeCell ref="Q1499:R1499"/>
    <mergeCell ref="F1500:G1500"/>
    <mergeCell ref="M1500:O1500"/>
    <mergeCell ref="Q1500:R1500"/>
    <mergeCell ref="F1501:G1501"/>
    <mergeCell ref="M1501:O1501"/>
    <mergeCell ref="Q1501:R1501"/>
    <mergeCell ref="F1502:G1502"/>
    <mergeCell ref="M1502:O1502"/>
    <mergeCell ref="Q1502:R1502"/>
    <mergeCell ref="F1503:G1503"/>
    <mergeCell ref="M1503:O1503"/>
    <mergeCell ref="Q1503:R1503"/>
    <mergeCell ref="F1504:G1504"/>
    <mergeCell ref="M1504:O1504"/>
    <mergeCell ref="Q1504:R1504"/>
    <mergeCell ref="F1505:G1505"/>
    <mergeCell ref="M1505:O1505"/>
    <mergeCell ref="Q1505:R1505"/>
    <mergeCell ref="F1506:G1506"/>
    <mergeCell ref="M1506:O1506"/>
    <mergeCell ref="Q1506:R1506"/>
    <mergeCell ref="F1507:G1507"/>
    <mergeCell ref="M1507:O1507"/>
    <mergeCell ref="Q1507:R1507"/>
    <mergeCell ref="F1508:G1508"/>
    <mergeCell ref="M1508:O1508"/>
    <mergeCell ref="Q1508:R1508"/>
    <mergeCell ref="F1509:G1509"/>
    <mergeCell ref="M1509:O1509"/>
    <mergeCell ref="Q1509:R1509"/>
    <mergeCell ref="F1510:G1510"/>
    <mergeCell ref="M1510:O1510"/>
    <mergeCell ref="Q1510:R1510"/>
    <mergeCell ref="F1511:G1511"/>
    <mergeCell ref="M1511:O1511"/>
    <mergeCell ref="Q1511:R1511"/>
    <mergeCell ref="F1512:G1512"/>
    <mergeCell ref="M1512:O1512"/>
    <mergeCell ref="Q1512:R1512"/>
    <mergeCell ref="F1513:G1513"/>
    <mergeCell ref="M1513:O1513"/>
    <mergeCell ref="Q1513:R1513"/>
    <mergeCell ref="F1514:G1514"/>
    <mergeCell ref="M1514:O1514"/>
    <mergeCell ref="Q1514:R1514"/>
    <mergeCell ref="F1515:G1515"/>
    <mergeCell ref="M1515:O1515"/>
    <mergeCell ref="Q1515:R1515"/>
    <mergeCell ref="F1516:G1516"/>
    <mergeCell ref="M1516:O1516"/>
    <mergeCell ref="Q1516:R1516"/>
    <mergeCell ref="F1517:G1517"/>
    <mergeCell ref="M1517:O1517"/>
    <mergeCell ref="Q1517:R1517"/>
    <mergeCell ref="F1518:G1518"/>
    <mergeCell ref="M1518:O1518"/>
    <mergeCell ref="Q1518:R1518"/>
    <mergeCell ref="F1519:G1519"/>
    <mergeCell ref="M1519:O1519"/>
    <mergeCell ref="Q1519:R1519"/>
    <mergeCell ref="F1520:G1520"/>
    <mergeCell ref="M1520:O1520"/>
    <mergeCell ref="Q1520:R1520"/>
    <mergeCell ref="F1521:G1521"/>
    <mergeCell ref="M1521:O1521"/>
    <mergeCell ref="Q1521:R1521"/>
    <mergeCell ref="F1522:G1522"/>
    <mergeCell ref="M1522:O1522"/>
    <mergeCell ref="Q1522:R1522"/>
    <mergeCell ref="F1523:G1523"/>
    <mergeCell ref="M1523:O1523"/>
    <mergeCell ref="Q1523:R1523"/>
    <mergeCell ref="F1524:G1524"/>
    <mergeCell ref="M1524:O1524"/>
    <mergeCell ref="Q1524:R1524"/>
    <mergeCell ref="F1525:G1525"/>
    <mergeCell ref="M1525:O1525"/>
    <mergeCell ref="Q1525:R1525"/>
    <mergeCell ref="F1526:G1526"/>
    <mergeCell ref="M1526:O1526"/>
    <mergeCell ref="Q1526:R1526"/>
    <mergeCell ref="F1527:G1527"/>
    <mergeCell ref="M1527:O1527"/>
    <mergeCell ref="Q1527:R1527"/>
    <mergeCell ref="F1528:G1528"/>
    <mergeCell ref="M1528:O1528"/>
    <mergeCell ref="Q1528:R1528"/>
    <mergeCell ref="F1529:G1529"/>
    <mergeCell ref="M1529:O1529"/>
    <mergeCell ref="Q1529:R1529"/>
    <mergeCell ref="F1530:G1530"/>
    <mergeCell ref="M1530:O1530"/>
    <mergeCell ref="Q1530:R1530"/>
    <mergeCell ref="F1531:G1531"/>
    <mergeCell ref="M1531:O1531"/>
    <mergeCell ref="Q1531:R1531"/>
    <mergeCell ref="F1532:G1532"/>
    <mergeCell ref="M1532:O1532"/>
    <mergeCell ref="Q1532:R1532"/>
    <mergeCell ref="F1533:G1533"/>
    <mergeCell ref="M1533:O1533"/>
    <mergeCell ref="Q1533:R1533"/>
    <mergeCell ref="F1534:G1534"/>
    <mergeCell ref="M1534:O1534"/>
    <mergeCell ref="Q1534:R1534"/>
    <mergeCell ref="F1535:G1535"/>
    <mergeCell ref="M1535:O1535"/>
    <mergeCell ref="Q1535:R1535"/>
    <mergeCell ref="F1536:G1536"/>
    <mergeCell ref="M1536:O1536"/>
    <mergeCell ref="Q1536:R1536"/>
    <mergeCell ref="F1537:G1537"/>
    <mergeCell ref="M1537:O1537"/>
    <mergeCell ref="Q1537:R1537"/>
    <mergeCell ref="F1538:G1538"/>
    <mergeCell ref="M1538:O1538"/>
    <mergeCell ref="Q1538:R1538"/>
    <mergeCell ref="F1539:G1539"/>
    <mergeCell ref="M1539:O1539"/>
    <mergeCell ref="Q1539:R1539"/>
    <mergeCell ref="F1540:G1540"/>
    <mergeCell ref="M1540:O1540"/>
    <mergeCell ref="Q1540:R1540"/>
    <mergeCell ref="F1541:G1541"/>
    <mergeCell ref="M1541:O1541"/>
    <mergeCell ref="Q1541:R1541"/>
    <mergeCell ref="F1542:G1542"/>
    <mergeCell ref="M1542:O1542"/>
    <mergeCell ref="Q1542:R1542"/>
    <mergeCell ref="F1543:G1543"/>
    <mergeCell ref="M1543:O1543"/>
    <mergeCell ref="Q1543:R1543"/>
    <mergeCell ref="F1544:G1544"/>
    <mergeCell ref="M1544:O1544"/>
    <mergeCell ref="Q1544:R1544"/>
    <mergeCell ref="F1545:G1545"/>
    <mergeCell ref="M1545:O1545"/>
    <mergeCell ref="Q1545:R1545"/>
    <mergeCell ref="F1546:G1546"/>
    <mergeCell ref="M1546:O1546"/>
    <mergeCell ref="Q1546:R1546"/>
    <mergeCell ref="F1547:G1547"/>
    <mergeCell ref="M1547:O1547"/>
    <mergeCell ref="Q1547:R1547"/>
    <mergeCell ref="F1548:G1548"/>
    <mergeCell ref="M1548:O1548"/>
    <mergeCell ref="Q1548:R1548"/>
    <mergeCell ref="F1549:G1549"/>
    <mergeCell ref="M1549:O1549"/>
    <mergeCell ref="Q1549:R1549"/>
    <mergeCell ref="F1550:G1550"/>
    <mergeCell ref="M1550:O1550"/>
    <mergeCell ref="Q1550:R1550"/>
    <mergeCell ref="F1551:G1551"/>
    <mergeCell ref="M1551:O1551"/>
    <mergeCell ref="Q1551:R1551"/>
    <mergeCell ref="F1552:G1552"/>
    <mergeCell ref="M1552:O1552"/>
    <mergeCell ref="Q1552:R1552"/>
    <mergeCell ref="F1553:G1553"/>
    <mergeCell ref="M1553:O1553"/>
    <mergeCell ref="Q1553:R1553"/>
    <mergeCell ref="F1554:G1554"/>
    <mergeCell ref="M1554:O1554"/>
    <mergeCell ref="Q1554:R1554"/>
    <mergeCell ref="F1555:G1555"/>
    <mergeCell ref="M1555:O1555"/>
    <mergeCell ref="Q1555:R1555"/>
    <mergeCell ref="F1556:G1556"/>
    <mergeCell ref="M1556:O1556"/>
    <mergeCell ref="Q1556:R1556"/>
    <mergeCell ref="F1557:G1557"/>
    <mergeCell ref="M1557:O1557"/>
    <mergeCell ref="Q1557:R1557"/>
    <mergeCell ref="F1558:G1558"/>
    <mergeCell ref="M1558:O1558"/>
    <mergeCell ref="Q1558:R1558"/>
    <mergeCell ref="F1559:G1559"/>
    <mergeCell ref="M1559:O1559"/>
    <mergeCell ref="Q1559:R1559"/>
    <mergeCell ref="F1560:G1560"/>
    <mergeCell ref="M1560:O1560"/>
    <mergeCell ref="Q1560:R1560"/>
    <mergeCell ref="F1561:G1561"/>
    <mergeCell ref="M1561:O1561"/>
    <mergeCell ref="Q1561:R1561"/>
    <mergeCell ref="F1562:G1562"/>
    <mergeCell ref="M1562:O1562"/>
    <mergeCell ref="Q1562:R1562"/>
    <mergeCell ref="F1563:G1563"/>
    <mergeCell ref="M1563:O1563"/>
    <mergeCell ref="Q1563:R1563"/>
    <mergeCell ref="F1564:G1564"/>
    <mergeCell ref="M1564:O1564"/>
    <mergeCell ref="Q1564:R1564"/>
    <mergeCell ref="F1565:G1565"/>
    <mergeCell ref="M1565:O1565"/>
    <mergeCell ref="Q1565:R1565"/>
    <mergeCell ref="F1566:G1566"/>
    <mergeCell ref="M1566:O1566"/>
    <mergeCell ref="Q1566:R1566"/>
    <mergeCell ref="F1567:G1567"/>
    <mergeCell ref="M1567:O1567"/>
    <mergeCell ref="Q1567:R1567"/>
    <mergeCell ref="F1568:G1568"/>
    <mergeCell ref="M1568:O1568"/>
    <mergeCell ref="Q1568:R1568"/>
    <mergeCell ref="F1569:G1569"/>
    <mergeCell ref="M1569:O1569"/>
    <mergeCell ref="Q1569:R1569"/>
    <mergeCell ref="F1570:G1570"/>
    <mergeCell ref="M1570:O1570"/>
    <mergeCell ref="Q1570:R1570"/>
    <mergeCell ref="F1571:G1571"/>
    <mergeCell ref="M1571:O1571"/>
    <mergeCell ref="Q1571:R1571"/>
    <mergeCell ref="F1572:G1572"/>
    <mergeCell ref="M1572:O1572"/>
    <mergeCell ref="Q1572:R1572"/>
    <mergeCell ref="F1573:G1573"/>
    <mergeCell ref="M1573:O1573"/>
    <mergeCell ref="Q1573:R1573"/>
    <mergeCell ref="F1574:G1574"/>
    <mergeCell ref="M1574:O1574"/>
    <mergeCell ref="Q1574:R1574"/>
    <mergeCell ref="F1575:G1575"/>
    <mergeCell ref="M1575:O1575"/>
    <mergeCell ref="Q1575:R1575"/>
    <mergeCell ref="F1576:G1576"/>
    <mergeCell ref="M1576:O1576"/>
    <mergeCell ref="Q1576:R1576"/>
    <mergeCell ref="F1577:G1577"/>
    <mergeCell ref="M1577:O1577"/>
    <mergeCell ref="Q1577:R1577"/>
    <mergeCell ref="F1578:G1578"/>
    <mergeCell ref="M1578:O1578"/>
    <mergeCell ref="Q1578:R1578"/>
    <mergeCell ref="F1579:G1579"/>
    <mergeCell ref="M1579:O1579"/>
    <mergeCell ref="Q1579:R1579"/>
    <mergeCell ref="F1580:G1580"/>
    <mergeCell ref="M1580:O1580"/>
    <mergeCell ref="Q1580:R1580"/>
    <mergeCell ref="F1581:G1581"/>
    <mergeCell ref="M1581:O1581"/>
    <mergeCell ref="Q1581:R1581"/>
    <mergeCell ref="F1582:G1582"/>
    <mergeCell ref="M1582:O1582"/>
    <mergeCell ref="Q1582:R1582"/>
    <mergeCell ref="F1583:G1583"/>
    <mergeCell ref="M1583:O1583"/>
    <mergeCell ref="Q1583:R1583"/>
    <mergeCell ref="F1584:G1584"/>
    <mergeCell ref="M1584:O1584"/>
    <mergeCell ref="Q1584:R1584"/>
    <mergeCell ref="F1585:G1585"/>
    <mergeCell ref="M1585:O1585"/>
    <mergeCell ref="Q1585:R1585"/>
    <mergeCell ref="F1586:G1586"/>
    <mergeCell ref="M1586:O1586"/>
    <mergeCell ref="Q1586:R1586"/>
    <mergeCell ref="F1587:G1587"/>
    <mergeCell ref="M1587:O1587"/>
    <mergeCell ref="Q1587:R1587"/>
    <mergeCell ref="F1588:G1588"/>
    <mergeCell ref="M1588:O1588"/>
    <mergeCell ref="Q1588:R1588"/>
    <mergeCell ref="F1589:G1589"/>
    <mergeCell ref="M1589:O1589"/>
    <mergeCell ref="Q1589:R1589"/>
    <mergeCell ref="F1590:G1590"/>
    <mergeCell ref="M1590:O1590"/>
    <mergeCell ref="Q1590:R1590"/>
    <mergeCell ref="F1591:G1591"/>
    <mergeCell ref="M1591:O1591"/>
    <mergeCell ref="Q1591:R1591"/>
    <mergeCell ref="F1592:G1592"/>
    <mergeCell ref="M1592:O1592"/>
    <mergeCell ref="Q1592:R1592"/>
    <mergeCell ref="F1593:G1593"/>
    <mergeCell ref="M1593:O1593"/>
    <mergeCell ref="Q1593:R1593"/>
    <mergeCell ref="F1594:G1594"/>
    <mergeCell ref="M1594:O1594"/>
    <mergeCell ref="Q1594:R1594"/>
    <mergeCell ref="F1595:G1595"/>
    <mergeCell ref="M1595:O1595"/>
    <mergeCell ref="Q1595:R1595"/>
    <mergeCell ref="F1596:G1596"/>
    <mergeCell ref="M1596:O1596"/>
    <mergeCell ref="Q1596:R1596"/>
    <mergeCell ref="F1597:G1597"/>
    <mergeCell ref="M1597:O1597"/>
    <mergeCell ref="Q1597:R1597"/>
    <mergeCell ref="F1598:G1598"/>
    <mergeCell ref="M1598:O1598"/>
    <mergeCell ref="Q1598:R1598"/>
    <mergeCell ref="F1599:G1599"/>
    <mergeCell ref="M1599:O1599"/>
    <mergeCell ref="Q1599:R1599"/>
    <mergeCell ref="F1600:G1600"/>
    <mergeCell ref="M1600:O1600"/>
    <mergeCell ref="Q1600:R1600"/>
    <mergeCell ref="F1601:G1601"/>
    <mergeCell ref="M1601:O1601"/>
    <mergeCell ref="Q1601:R1601"/>
    <mergeCell ref="F1602:G1602"/>
    <mergeCell ref="M1602:O1602"/>
    <mergeCell ref="Q1602:R1602"/>
    <mergeCell ref="F1603:G1603"/>
    <mergeCell ref="M1603:O1603"/>
    <mergeCell ref="Q1603:R1603"/>
    <mergeCell ref="F1604:G1604"/>
    <mergeCell ref="M1604:O1604"/>
    <mergeCell ref="Q1604:R1604"/>
    <mergeCell ref="F1605:G1605"/>
    <mergeCell ref="M1605:O1605"/>
    <mergeCell ref="Q1605:R1605"/>
    <mergeCell ref="F1606:G1606"/>
    <mergeCell ref="M1606:O1606"/>
    <mergeCell ref="Q1606:R1606"/>
    <mergeCell ref="F1607:G1607"/>
    <mergeCell ref="M1607:O1607"/>
    <mergeCell ref="Q1607:R1607"/>
    <mergeCell ref="F1608:G1608"/>
    <mergeCell ref="M1608:O1608"/>
    <mergeCell ref="Q1608:R1608"/>
    <mergeCell ref="F1609:G1609"/>
    <mergeCell ref="M1609:O1609"/>
    <mergeCell ref="Q1609:R1609"/>
    <mergeCell ref="F1610:G1610"/>
    <mergeCell ref="M1610:O1610"/>
    <mergeCell ref="Q1610:R1610"/>
    <mergeCell ref="F1611:G1611"/>
    <mergeCell ref="M1611:O1611"/>
    <mergeCell ref="Q1611:R1611"/>
    <mergeCell ref="F1612:G1612"/>
    <mergeCell ref="M1612:O1612"/>
    <mergeCell ref="Q1612:R1612"/>
    <mergeCell ref="F1613:G1613"/>
    <mergeCell ref="M1613:O1613"/>
    <mergeCell ref="Q1613:R1613"/>
    <mergeCell ref="F1614:G1614"/>
    <mergeCell ref="M1614:O1614"/>
    <mergeCell ref="Q1614:R1614"/>
    <mergeCell ref="F1615:G1615"/>
    <mergeCell ref="M1615:O1615"/>
    <mergeCell ref="Q1615:R1615"/>
    <mergeCell ref="F1616:G1616"/>
    <mergeCell ref="M1616:O1616"/>
    <mergeCell ref="Q1616:R1616"/>
    <mergeCell ref="F1617:G1617"/>
    <mergeCell ref="M1617:O1617"/>
    <mergeCell ref="Q1617:R1617"/>
    <mergeCell ref="F1618:G1618"/>
    <mergeCell ref="M1618:O1618"/>
    <mergeCell ref="Q1618:R1618"/>
    <mergeCell ref="F1619:G1619"/>
    <mergeCell ref="M1619:O1619"/>
    <mergeCell ref="Q1619:R1619"/>
    <mergeCell ref="F1620:G1620"/>
    <mergeCell ref="M1620:O1620"/>
    <mergeCell ref="Q1620:R1620"/>
    <mergeCell ref="F1621:G1621"/>
    <mergeCell ref="M1621:O1621"/>
    <mergeCell ref="Q1621:R1621"/>
    <mergeCell ref="F1622:G1622"/>
    <mergeCell ref="M1622:O1622"/>
    <mergeCell ref="Q1622:R1622"/>
    <mergeCell ref="F1623:G1623"/>
    <mergeCell ref="M1623:O1623"/>
    <mergeCell ref="Q1623:R1623"/>
    <mergeCell ref="F1624:G1624"/>
    <mergeCell ref="M1624:O1624"/>
    <mergeCell ref="Q1624:R1624"/>
    <mergeCell ref="F1625:G1625"/>
    <mergeCell ref="M1625:O1625"/>
    <mergeCell ref="Q1625:R1625"/>
    <mergeCell ref="F1626:G1626"/>
    <mergeCell ref="M1626:O1626"/>
    <mergeCell ref="Q1626:R1626"/>
    <mergeCell ref="F1627:G1627"/>
    <mergeCell ref="M1627:O1627"/>
    <mergeCell ref="Q1627:R1627"/>
    <mergeCell ref="F1628:G1628"/>
    <mergeCell ref="M1628:O1628"/>
    <mergeCell ref="Q1628:R1628"/>
    <mergeCell ref="F1629:G1629"/>
    <mergeCell ref="M1629:O1629"/>
    <mergeCell ref="Q1629:R1629"/>
    <mergeCell ref="F1630:G1630"/>
    <mergeCell ref="M1630:O1630"/>
    <mergeCell ref="Q1630:R1630"/>
    <mergeCell ref="F1631:G1631"/>
    <mergeCell ref="M1631:O1631"/>
    <mergeCell ref="Q1631:R1631"/>
    <mergeCell ref="F1632:G1632"/>
    <mergeCell ref="M1632:O1632"/>
    <mergeCell ref="Q1632:R1632"/>
    <mergeCell ref="F1633:G1633"/>
    <mergeCell ref="M1633:O1633"/>
    <mergeCell ref="Q1633:R1633"/>
    <mergeCell ref="F1634:G1634"/>
    <mergeCell ref="M1634:O1634"/>
    <mergeCell ref="Q1634:R1634"/>
    <mergeCell ref="F1635:G1635"/>
    <mergeCell ref="M1635:O1635"/>
    <mergeCell ref="Q1635:R1635"/>
    <mergeCell ref="F1636:G1636"/>
    <mergeCell ref="M1636:O1636"/>
    <mergeCell ref="Q1636:R1636"/>
    <mergeCell ref="F1637:G1637"/>
    <mergeCell ref="M1637:O1637"/>
    <mergeCell ref="Q1637:R1637"/>
    <mergeCell ref="F1638:G1638"/>
    <mergeCell ref="M1638:O1638"/>
    <mergeCell ref="Q1638:R1638"/>
    <mergeCell ref="F1639:G1639"/>
    <mergeCell ref="M1639:O1639"/>
    <mergeCell ref="Q1639:R1639"/>
    <mergeCell ref="F1640:G1640"/>
    <mergeCell ref="M1640:O1640"/>
    <mergeCell ref="Q1640:R1640"/>
    <mergeCell ref="F1641:G1641"/>
    <mergeCell ref="M1641:O1641"/>
    <mergeCell ref="Q1641:R1641"/>
    <mergeCell ref="F1642:G1642"/>
    <mergeCell ref="M1642:O1642"/>
    <mergeCell ref="Q1642:R1642"/>
    <mergeCell ref="F1643:G1643"/>
    <mergeCell ref="M1643:O1643"/>
    <mergeCell ref="Q1643:R1643"/>
    <mergeCell ref="F1644:G1644"/>
    <mergeCell ref="M1644:O1644"/>
    <mergeCell ref="Q1644:R1644"/>
    <mergeCell ref="F1645:G1645"/>
    <mergeCell ref="M1645:O1645"/>
    <mergeCell ref="Q1645:R1645"/>
    <mergeCell ref="F1646:G1646"/>
    <mergeCell ref="M1646:O1646"/>
    <mergeCell ref="Q1646:R1646"/>
    <mergeCell ref="F1647:G1647"/>
    <mergeCell ref="M1647:O1647"/>
    <mergeCell ref="Q1647:R1647"/>
    <mergeCell ref="F1648:G1648"/>
    <mergeCell ref="M1648:O1648"/>
    <mergeCell ref="Q1648:R1648"/>
    <mergeCell ref="F1649:G1649"/>
    <mergeCell ref="M1649:O1649"/>
    <mergeCell ref="Q1649:R1649"/>
    <mergeCell ref="F1650:G1650"/>
    <mergeCell ref="M1650:O1650"/>
    <mergeCell ref="Q1650:R1650"/>
    <mergeCell ref="F1651:G1651"/>
    <mergeCell ref="M1651:O1651"/>
    <mergeCell ref="Q1651:R1651"/>
    <mergeCell ref="F1652:G1652"/>
    <mergeCell ref="M1652:O1652"/>
    <mergeCell ref="Q1652:R1652"/>
    <mergeCell ref="F1653:G1653"/>
    <mergeCell ref="M1653:O1653"/>
    <mergeCell ref="Q1653:R1653"/>
    <mergeCell ref="F1654:G1654"/>
    <mergeCell ref="M1654:O1654"/>
    <mergeCell ref="Q1654:R1654"/>
    <mergeCell ref="F1655:G1655"/>
    <mergeCell ref="M1655:O1655"/>
    <mergeCell ref="Q1655:R1655"/>
    <mergeCell ref="F1656:G1656"/>
    <mergeCell ref="M1656:O1656"/>
    <mergeCell ref="Q1656:R1656"/>
    <mergeCell ref="F1657:G1657"/>
    <mergeCell ref="M1657:O1657"/>
    <mergeCell ref="Q1657:R1657"/>
    <mergeCell ref="F1658:G1658"/>
    <mergeCell ref="M1658:O1658"/>
    <mergeCell ref="Q1658:R1658"/>
    <mergeCell ref="F1659:G1659"/>
    <mergeCell ref="M1659:O1659"/>
    <mergeCell ref="Q1659:R1659"/>
    <mergeCell ref="F1660:G1660"/>
    <mergeCell ref="M1660:O1660"/>
    <mergeCell ref="Q1660:R1660"/>
    <mergeCell ref="F1661:G1661"/>
    <mergeCell ref="M1661:O1661"/>
    <mergeCell ref="Q1661:R1661"/>
    <mergeCell ref="F1662:G1662"/>
    <mergeCell ref="M1662:O1662"/>
    <mergeCell ref="Q1662:R1662"/>
    <mergeCell ref="F1663:G1663"/>
    <mergeCell ref="M1663:O1663"/>
    <mergeCell ref="Q1663:R1663"/>
    <mergeCell ref="F1664:G1664"/>
    <mergeCell ref="M1664:O1664"/>
    <mergeCell ref="Q1664:R1664"/>
    <mergeCell ref="F1665:G1665"/>
    <mergeCell ref="M1665:O1665"/>
    <mergeCell ref="Q1665:R1665"/>
    <mergeCell ref="F1666:G1666"/>
    <mergeCell ref="M1666:O1666"/>
    <mergeCell ref="Q1666:R1666"/>
    <mergeCell ref="F1667:G1667"/>
    <mergeCell ref="M1667:O1667"/>
    <mergeCell ref="Q1667:R1667"/>
    <mergeCell ref="F1668:G1668"/>
    <mergeCell ref="M1668:O1668"/>
    <mergeCell ref="Q1668:R1668"/>
    <mergeCell ref="F1669:G1669"/>
    <mergeCell ref="M1669:O1669"/>
    <mergeCell ref="Q1669:R1669"/>
    <mergeCell ref="F1670:G1670"/>
    <mergeCell ref="M1670:O1670"/>
    <mergeCell ref="Q1670:R1670"/>
    <mergeCell ref="F1671:G1671"/>
    <mergeCell ref="M1671:O1671"/>
    <mergeCell ref="Q1671:R1671"/>
    <mergeCell ref="F1672:G1672"/>
    <mergeCell ref="M1672:O1672"/>
    <mergeCell ref="Q1672:R1672"/>
    <mergeCell ref="F1673:G1673"/>
    <mergeCell ref="M1673:O1673"/>
    <mergeCell ref="Q1673:R1673"/>
    <mergeCell ref="F1674:G1674"/>
    <mergeCell ref="M1674:O1674"/>
    <mergeCell ref="Q1674:R1674"/>
    <mergeCell ref="F1675:G1675"/>
    <mergeCell ref="M1675:O1675"/>
    <mergeCell ref="Q1675:R1675"/>
    <mergeCell ref="F1676:G1676"/>
    <mergeCell ref="M1676:O1676"/>
    <mergeCell ref="Q1676:R1676"/>
    <mergeCell ref="F1677:G1677"/>
    <mergeCell ref="M1677:O1677"/>
    <mergeCell ref="Q1677:R1677"/>
    <mergeCell ref="F1678:G1678"/>
    <mergeCell ref="M1678:O1678"/>
    <mergeCell ref="Q1678:R1678"/>
    <mergeCell ref="F1679:G1679"/>
    <mergeCell ref="M1679:O1679"/>
    <mergeCell ref="Q1679:R1679"/>
    <mergeCell ref="F1680:G1680"/>
    <mergeCell ref="M1680:O1680"/>
    <mergeCell ref="Q1680:R1680"/>
    <mergeCell ref="F1681:G1681"/>
    <mergeCell ref="M1681:O1681"/>
    <mergeCell ref="Q1681:R1681"/>
    <mergeCell ref="F1682:G1682"/>
    <mergeCell ref="M1682:O1682"/>
    <mergeCell ref="Q1682:R1682"/>
    <mergeCell ref="F1683:G1683"/>
    <mergeCell ref="M1683:O1683"/>
    <mergeCell ref="Q1683:R1683"/>
    <mergeCell ref="F1684:G1684"/>
    <mergeCell ref="M1684:O1684"/>
    <mergeCell ref="Q1684:R1684"/>
    <mergeCell ref="F1685:G1685"/>
    <mergeCell ref="M1685:O1685"/>
    <mergeCell ref="Q1685:R1685"/>
    <mergeCell ref="F1686:G1686"/>
    <mergeCell ref="M1686:O1686"/>
    <mergeCell ref="Q1686:R1686"/>
    <mergeCell ref="F1687:G1687"/>
    <mergeCell ref="M1687:O1687"/>
    <mergeCell ref="Q1687:R1687"/>
    <mergeCell ref="F1688:G1688"/>
    <mergeCell ref="M1688:O1688"/>
    <mergeCell ref="Q1688:R1688"/>
    <mergeCell ref="F1689:G1689"/>
    <mergeCell ref="M1689:O1689"/>
    <mergeCell ref="Q1689:R1689"/>
    <mergeCell ref="F1690:G1690"/>
    <mergeCell ref="M1690:O1690"/>
    <mergeCell ref="Q1690:R1690"/>
    <mergeCell ref="F1691:G1691"/>
    <mergeCell ref="M1691:O1691"/>
    <mergeCell ref="Q1691:R1691"/>
    <mergeCell ref="F1692:G1692"/>
    <mergeCell ref="M1692:O1692"/>
    <mergeCell ref="Q1692:R1692"/>
    <mergeCell ref="F1693:G1693"/>
    <mergeCell ref="M1693:O1693"/>
    <mergeCell ref="Q1693:R1693"/>
    <mergeCell ref="F1694:G1694"/>
    <mergeCell ref="M1694:O1694"/>
    <mergeCell ref="Q1694:R1694"/>
    <mergeCell ref="F1695:G1695"/>
    <mergeCell ref="M1695:O1695"/>
    <mergeCell ref="Q1695:R1695"/>
    <mergeCell ref="F1696:G1696"/>
    <mergeCell ref="M1696:O1696"/>
    <mergeCell ref="Q1696:R1696"/>
    <mergeCell ref="F1697:G1697"/>
    <mergeCell ref="M1697:O1697"/>
    <mergeCell ref="Q1697:R1697"/>
    <mergeCell ref="F1698:G1698"/>
    <mergeCell ref="M1698:O1698"/>
    <mergeCell ref="Q1698:R1698"/>
    <mergeCell ref="F1699:G1699"/>
    <mergeCell ref="M1699:O1699"/>
    <mergeCell ref="Q1699:R1699"/>
    <mergeCell ref="F1700:G1700"/>
    <mergeCell ref="M1700:O1700"/>
    <mergeCell ref="Q1700:R1700"/>
    <mergeCell ref="F1701:G1701"/>
    <mergeCell ref="M1701:O1701"/>
    <mergeCell ref="Q1701:R1701"/>
    <mergeCell ref="F1702:G1702"/>
    <mergeCell ref="M1702:O1702"/>
    <mergeCell ref="Q1702:R1702"/>
    <mergeCell ref="F1703:G1703"/>
    <mergeCell ref="M1703:O1703"/>
    <mergeCell ref="Q1703:R1703"/>
    <mergeCell ref="F1704:G1704"/>
    <mergeCell ref="M1704:O1704"/>
    <mergeCell ref="Q1704:R1704"/>
    <mergeCell ref="F1705:G1705"/>
    <mergeCell ref="M1705:O1705"/>
    <mergeCell ref="Q1705:R1705"/>
    <mergeCell ref="F1706:G1706"/>
    <mergeCell ref="M1706:O1706"/>
    <mergeCell ref="Q1706:R1706"/>
    <mergeCell ref="F1707:G1707"/>
    <mergeCell ref="M1707:O1707"/>
    <mergeCell ref="Q1707:R1707"/>
    <mergeCell ref="F1708:G1708"/>
    <mergeCell ref="M1708:O1708"/>
    <mergeCell ref="Q1708:R1708"/>
    <mergeCell ref="F1709:G1709"/>
    <mergeCell ref="M1709:O1709"/>
    <mergeCell ref="Q1709:R1709"/>
    <mergeCell ref="F1710:G1710"/>
    <mergeCell ref="M1710:O1710"/>
    <mergeCell ref="Q1710:R1710"/>
    <mergeCell ref="F1711:G1711"/>
    <mergeCell ref="M1711:O1711"/>
    <mergeCell ref="Q1711:R1711"/>
    <mergeCell ref="F1712:G1712"/>
    <mergeCell ref="M1712:O1712"/>
    <mergeCell ref="Q1712:R1712"/>
    <mergeCell ref="F1713:G1713"/>
    <mergeCell ref="M1713:O1713"/>
    <mergeCell ref="Q1713:R1713"/>
    <mergeCell ref="F1714:G1714"/>
    <mergeCell ref="M1714:O1714"/>
    <mergeCell ref="Q1714:R1714"/>
    <mergeCell ref="F1715:G1715"/>
    <mergeCell ref="M1715:O1715"/>
    <mergeCell ref="Q1715:R1715"/>
    <mergeCell ref="F1716:G1716"/>
    <mergeCell ref="M1716:O1716"/>
    <mergeCell ref="Q1716:R1716"/>
    <mergeCell ref="F1717:G1717"/>
    <mergeCell ref="M1717:O1717"/>
    <mergeCell ref="Q1717:R1717"/>
    <mergeCell ref="F1718:G1718"/>
    <mergeCell ref="M1718:O1718"/>
    <mergeCell ref="Q1718:R1718"/>
    <mergeCell ref="F1719:G1719"/>
    <mergeCell ref="M1719:O1719"/>
    <mergeCell ref="Q1719:R1719"/>
    <mergeCell ref="F1720:G1720"/>
    <mergeCell ref="M1720:O1720"/>
    <mergeCell ref="Q1720:R1720"/>
    <mergeCell ref="F1721:G1721"/>
    <mergeCell ref="M1721:O1721"/>
    <mergeCell ref="Q1721:R1721"/>
    <mergeCell ref="F1722:G1722"/>
    <mergeCell ref="M1722:O1722"/>
    <mergeCell ref="Q1722:R1722"/>
    <mergeCell ref="F1723:G1723"/>
    <mergeCell ref="M1723:O1723"/>
    <mergeCell ref="Q1723:R1723"/>
    <mergeCell ref="F1724:G1724"/>
    <mergeCell ref="M1724:O1724"/>
    <mergeCell ref="Q1724:R1724"/>
    <mergeCell ref="F1725:G1725"/>
    <mergeCell ref="M1725:O1725"/>
    <mergeCell ref="Q1725:R1725"/>
    <mergeCell ref="F1726:G1726"/>
    <mergeCell ref="M1726:O1726"/>
    <mergeCell ref="Q1726:R1726"/>
    <mergeCell ref="F1727:G1727"/>
    <mergeCell ref="M1727:O1727"/>
    <mergeCell ref="Q1727:R1727"/>
    <mergeCell ref="F1728:G1728"/>
    <mergeCell ref="M1728:O1728"/>
    <mergeCell ref="Q1728:R1728"/>
    <mergeCell ref="F1729:G1729"/>
    <mergeCell ref="M1729:O1729"/>
    <mergeCell ref="Q1729:R1729"/>
    <mergeCell ref="F1730:G1730"/>
    <mergeCell ref="M1730:O1730"/>
    <mergeCell ref="Q1730:R1730"/>
    <mergeCell ref="F1731:G1731"/>
    <mergeCell ref="M1731:O1731"/>
    <mergeCell ref="Q1731:R1731"/>
    <mergeCell ref="F1732:G1732"/>
    <mergeCell ref="M1732:O1732"/>
    <mergeCell ref="Q1732:R1732"/>
    <mergeCell ref="F1733:G1733"/>
    <mergeCell ref="M1733:O1733"/>
    <mergeCell ref="Q1733:R1733"/>
    <mergeCell ref="F1734:G1734"/>
    <mergeCell ref="M1734:O1734"/>
    <mergeCell ref="Q1734:R1734"/>
    <mergeCell ref="F1735:G1735"/>
    <mergeCell ref="M1735:O1735"/>
    <mergeCell ref="Q1735:R1735"/>
    <mergeCell ref="F1736:G1736"/>
    <mergeCell ref="M1736:O1736"/>
    <mergeCell ref="Q1736:R1736"/>
    <mergeCell ref="F1737:G1737"/>
    <mergeCell ref="M1737:O1737"/>
    <mergeCell ref="Q1737:R1737"/>
    <mergeCell ref="F1738:G1738"/>
    <mergeCell ref="M1738:O1738"/>
    <mergeCell ref="Q1738:R1738"/>
    <mergeCell ref="F1739:G1739"/>
    <mergeCell ref="M1739:O1739"/>
    <mergeCell ref="Q1739:R1739"/>
    <mergeCell ref="F1740:G1740"/>
    <mergeCell ref="M1740:O1740"/>
    <mergeCell ref="Q1740:R1740"/>
    <mergeCell ref="F1741:G1741"/>
    <mergeCell ref="M1741:O1741"/>
    <mergeCell ref="Q1741:R1741"/>
    <mergeCell ref="F1742:G1742"/>
    <mergeCell ref="M1742:O1742"/>
    <mergeCell ref="Q1742:R1742"/>
    <mergeCell ref="F1743:G1743"/>
    <mergeCell ref="M1743:O1743"/>
    <mergeCell ref="Q1743:R1743"/>
    <mergeCell ref="F1744:G1744"/>
    <mergeCell ref="M1744:O1744"/>
    <mergeCell ref="Q1744:R1744"/>
    <mergeCell ref="F1745:G1745"/>
    <mergeCell ref="M1745:O1745"/>
    <mergeCell ref="Q1745:R1745"/>
    <mergeCell ref="F1746:G1746"/>
    <mergeCell ref="M1746:O1746"/>
    <mergeCell ref="Q1746:R1746"/>
    <mergeCell ref="F1747:G1747"/>
    <mergeCell ref="M1747:O1747"/>
    <mergeCell ref="Q1747:R1747"/>
    <mergeCell ref="F1748:G1748"/>
    <mergeCell ref="M1748:O1748"/>
    <mergeCell ref="Q1748:R1748"/>
    <mergeCell ref="F1749:G1749"/>
    <mergeCell ref="M1749:O1749"/>
    <mergeCell ref="Q1749:R1749"/>
    <mergeCell ref="F1750:G1750"/>
    <mergeCell ref="M1750:O1750"/>
    <mergeCell ref="Q1750:R1750"/>
    <mergeCell ref="F1751:G1751"/>
    <mergeCell ref="M1751:O1751"/>
    <mergeCell ref="Q1751:R1751"/>
    <mergeCell ref="F1752:G1752"/>
    <mergeCell ref="M1752:O1752"/>
    <mergeCell ref="Q1752:R1752"/>
    <mergeCell ref="F1753:G1753"/>
    <mergeCell ref="M1753:O1753"/>
    <mergeCell ref="Q1753:R1753"/>
    <mergeCell ref="F1754:G1754"/>
    <mergeCell ref="M1754:O1754"/>
    <mergeCell ref="Q1754:R1754"/>
    <mergeCell ref="F1755:G1755"/>
    <mergeCell ref="M1755:O1755"/>
    <mergeCell ref="Q1755:R1755"/>
    <mergeCell ref="F1756:G1756"/>
    <mergeCell ref="M1756:O1756"/>
    <mergeCell ref="Q1756:R1756"/>
    <mergeCell ref="F1757:G1757"/>
    <mergeCell ref="M1757:O1757"/>
    <mergeCell ref="Q1757:R1757"/>
    <mergeCell ref="F1758:G1758"/>
    <mergeCell ref="M1758:O1758"/>
    <mergeCell ref="Q1758:R1758"/>
    <mergeCell ref="F1759:G1759"/>
    <mergeCell ref="M1759:O1759"/>
    <mergeCell ref="Q1759:R1759"/>
    <mergeCell ref="F1760:G1760"/>
    <mergeCell ref="M1760:O1760"/>
    <mergeCell ref="Q1760:R1760"/>
    <mergeCell ref="F1761:G1761"/>
    <mergeCell ref="M1761:O1761"/>
    <mergeCell ref="Q1761:R1761"/>
    <mergeCell ref="F1762:G1762"/>
    <mergeCell ref="M1762:O1762"/>
    <mergeCell ref="Q1762:R1762"/>
    <mergeCell ref="F1763:G1763"/>
    <mergeCell ref="M1763:O1763"/>
    <mergeCell ref="Q1763:R1763"/>
    <mergeCell ref="F1764:G1764"/>
    <mergeCell ref="M1764:O1764"/>
    <mergeCell ref="Q1764:R1764"/>
    <mergeCell ref="F1765:G1765"/>
    <mergeCell ref="M1765:O1765"/>
    <mergeCell ref="Q1765:R1765"/>
    <mergeCell ref="F1766:G1766"/>
    <mergeCell ref="M1766:O1766"/>
    <mergeCell ref="Q1766:R1766"/>
    <mergeCell ref="F1767:G1767"/>
    <mergeCell ref="M1767:O1767"/>
    <mergeCell ref="Q1767:R1767"/>
    <mergeCell ref="F1768:G1768"/>
    <mergeCell ref="M1768:O1768"/>
    <mergeCell ref="Q1768:R1768"/>
    <mergeCell ref="F1769:G1769"/>
    <mergeCell ref="M1769:O1769"/>
    <mergeCell ref="Q1769:R1769"/>
    <mergeCell ref="F1770:G1770"/>
    <mergeCell ref="M1770:O1770"/>
    <mergeCell ref="Q1770:R1770"/>
    <mergeCell ref="F1771:G1771"/>
    <mergeCell ref="M1771:O1771"/>
    <mergeCell ref="Q1771:R1771"/>
    <mergeCell ref="F1772:G1772"/>
    <mergeCell ref="M1772:O1772"/>
    <mergeCell ref="Q1772:R1772"/>
    <mergeCell ref="F1773:G1773"/>
    <mergeCell ref="M1773:O1773"/>
    <mergeCell ref="Q1773:R1773"/>
    <mergeCell ref="F1774:G1774"/>
    <mergeCell ref="M1774:O1774"/>
    <mergeCell ref="Q1774:R1774"/>
    <mergeCell ref="F1775:G1775"/>
    <mergeCell ref="M1775:O1775"/>
    <mergeCell ref="Q1775:R1775"/>
    <mergeCell ref="F1776:G1776"/>
    <mergeCell ref="M1776:O1776"/>
    <mergeCell ref="Q1776:R1776"/>
    <mergeCell ref="F1777:G1777"/>
    <mergeCell ref="M1777:O1777"/>
    <mergeCell ref="Q1777:R1777"/>
    <mergeCell ref="F1778:G1778"/>
    <mergeCell ref="M1778:O1778"/>
    <mergeCell ref="Q1778:R1778"/>
    <mergeCell ref="F1779:G1779"/>
    <mergeCell ref="M1779:O1779"/>
    <mergeCell ref="Q1779:R1779"/>
    <mergeCell ref="F1780:G1780"/>
    <mergeCell ref="M1780:O1780"/>
    <mergeCell ref="Q1780:R1780"/>
    <mergeCell ref="F1781:G1781"/>
    <mergeCell ref="M1781:O1781"/>
    <mergeCell ref="Q1781:R1781"/>
    <mergeCell ref="F1782:G1782"/>
    <mergeCell ref="M1782:O1782"/>
    <mergeCell ref="Q1782:R1782"/>
    <mergeCell ref="F1783:G1783"/>
    <mergeCell ref="M1783:O1783"/>
    <mergeCell ref="Q1783:R1783"/>
    <mergeCell ref="F1784:G1784"/>
    <mergeCell ref="M1784:O1784"/>
    <mergeCell ref="Q1784:R1784"/>
    <mergeCell ref="F1785:G1785"/>
    <mergeCell ref="M1785:O1785"/>
    <mergeCell ref="Q1785:R1785"/>
    <mergeCell ref="F1786:G1786"/>
    <mergeCell ref="M1786:O1786"/>
    <mergeCell ref="Q1786:R1786"/>
    <mergeCell ref="F1787:G1787"/>
    <mergeCell ref="M1787:O1787"/>
    <mergeCell ref="Q1787:R1787"/>
    <mergeCell ref="F1794:G1794"/>
    <mergeCell ref="M1794:O1794"/>
    <mergeCell ref="Q1794:R1794"/>
    <mergeCell ref="F1795:G1795"/>
    <mergeCell ref="M1795:O1795"/>
    <mergeCell ref="Q1795:R1795"/>
    <mergeCell ref="F1796:G1796"/>
    <mergeCell ref="M1796:O1796"/>
    <mergeCell ref="Q1796:R1796"/>
    <mergeCell ref="F1797:G1797"/>
    <mergeCell ref="M1797:O1797"/>
    <mergeCell ref="Q1797:R1797"/>
    <mergeCell ref="F1788:G1788"/>
    <mergeCell ref="M1788:O1788"/>
    <mergeCell ref="Q1788:R1788"/>
    <mergeCell ref="F1789:G1789"/>
    <mergeCell ref="M1789:O1789"/>
    <mergeCell ref="Q1789:R1789"/>
    <mergeCell ref="F1790:G1790"/>
    <mergeCell ref="M1790:O1790"/>
    <mergeCell ref="Q1790:R1790"/>
    <mergeCell ref="F1791:G1791"/>
    <mergeCell ref="M1791:O1791"/>
    <mergeCell ref="Q1791:R1791"/>
    <mergeCell ref="F1792:G1792"/>
    <mergeCell ref="M1792:O1792"/>
    <mergeCell ref="Q1792:R1792"/>
    <mergeCell ref="F1793:G1793"/>
    <mergeCell ref="M1793:O1793"/>
    <mergeCell ref="Q1793:R179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F4206-075A-44DE-B9F6-8FC4A0ADE465}">
  <sheetPr codeName="Sheet9">
    <tabColor theme="5" tint="-0.249977111117893"/>
    <pageSetUpPr fitToPage="1"/>
  </sheetPr>
  <dimension ref="A1:R950"/>
  <sheetViews>
    <sheetView topLeftCell="A839" zoomScale="40" zoomScaleNormal="40" workbookViewId="0">
      <selection activeCell="C898" sqref="C898"/>
    </sheetView>
  </sheetViews>
  <sheetFormatPr defaultColWidth="18.54296875" defaultRowHeight="14.5" x14ac:dyDescent="0.35"/>
  <cols>
    <col min="1" max="1" width="30" customWidth="1"/>
    <col min="2" max="2" width="44.1796875" customWidth="1"/>
    <col min="3" max="3" width="41.453125" customWidth="1"/>
    <col min="4" max="4" width="30" customWidth="1"/>
    <col min="5" max="5" width="32.54296875" customWidth="1"/>
    <col min="6" max="6" width="34" customWidth="1"/>
    <col min="7" max="7" width="19.1796875" customWidth="1"/>
    <col min="8" max="8" width="34" customWidth="1"/>
    <col min="9" max="9" width="22.453125" customWidth="1"/>
    <col min="10" max="10" width="32.1796875" customWidth="1"/>
    <col min="11" max="11" width="0" hidden="1" customWidth="1"/>
    <col min="12" max="12" width="33.1796875" customWidth="1"/>
    <col min="13" max="13" width="32" customWidth="1"/>
    <col min="14" max="14" width="31.1796875" customWidth="1"/>
    <col min="15" max="15" width="63.1796875" customWidth="1"/>
    <col min="16" max="16" width="66.453125" customWidth="1"/>
    <col min="17" max="17" width="134.54296875" customWidth="1"/>
    <col min="18" max="18" width="25.81640625" customWidth="1"/>
  </cols>
  <sheetData>
    <row r="1" spans="1:18" s="90" customFormat="1" ht="26" x14ac:dyDescent="0.35">
      <c r="A1" s="169" t="s">
        <v>104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1"/>
    </row>
    <row r="2" spans="1:18" s="90" customFormat="1" ht="15" customHeight="1" x14ac:dyDescent="0.35">
      <c r="A2" s="172"/>
      <c r="B2" s="173"/>
      <c r="C2" s="173"/>
      <c r="D2" s="173"/>
      <c r="E2" s="173"/>
      <c r="F2" s="173"/>
      <c r="G2" s="173"/>
      <c r="H2" s="173"/>
      <c r="I2" s="173"/>
      <c r="J2" s="173"/>
      <c r="K2" s="173"/>
      <c r="L2" s="173"/>
      <c r="M2" s="173"/>
      <c r="N2" s="173"/>
      <c r="O2" s="173"/>
      <c r="P2" s="173"/>
      <c r="Q2" s="173"/>
      <c r="R2" s="174"/>
    </row>
    <row r="3" spans="1:18" s="90" customFormat="1" ht="4.4000000000000004" customHeight="1" x14ac:dyDescent="0.35">
      <c r="A3" s="172"/>
      <c r="B3" s="173"/>
      <c r="C3" s="173"/>
      <c r="D3" s="173"/>
      <c r="E3" s="173"/>
      <c r="F3" s="173"/>
      <c r="G3" s="173"/>
      <c r="H3" s="173"/>
      <c r="I3" s="173"/>
      <c r="J3" s="173"/>
      <c r="K3" s="173"/>
      <c r="L3" s="173"/>
      <c r="M3" s="173"/>
      <c r="N3" s="173"/>
      <c r="O3" s="173"/>
      <c r="P3" s="173"/>
      <c r="Q3" s="173"/>
      <c r="R3" s="174"/>
    </row>
    <row r="4" spans="1:18" s="90" customFormat="1" ht="26" hidden="1" x14ac:dyDescent="0.35">
      <c r="A4" s="175"/>
      <c r="B4" s="176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O4" s="176"/>
      <c r="P4" s="176"/>
      <c r="Q4" s="176"/>
      <c r="R4" s="177"/>
    </row>
    <row r="5" spans="1:18" s="90" customFormat="1" ht="58.75" customHeight="1" x14ac:dyDescent="0.35">
      <c r="A5" s="91" t="s">
        <v>105</v>
      </c>
      <c r="B5" s="91" t="s">
        <v>107</v>
      </c>
      <c r="C5" s="91" t="s">
        <v>108</v>
      </c>
      <c r="D5" s="91" t="s">
        <v>109</v>
      </c>
      <c r="E5" s="91" t="s">
        <v>110</v>
      </c>
      <c r="F5" s="91" t="s">
        <v>111</v>
      </c>
      <c r="G5" s="91" t="s">
        <v>112</v>
      </c>
      <c r="H5" s="91" t="s">
        <v>113</v>
      </c>
      <c r="I5" s="91" t="s">
        <v>114</v>
      </c>
      <c r="J5" s="91" t="s">
        <v>115</v>
      </c>
      <c r="K5" s="91"/>
      <c r="L5" s="91" t="s">
        <v>116</v>
      </c>
      <c r="M5" s="91" t="s">
        <v>118</v>
      </c>
      <c r="N5" s="91" t="s">
        <v>119</v>
      </c>
      <c r="O5" s="91" t="s">
        <v>123</v>
      </c>
      <c r="P5" s="92" t="s">
        <v>100</v>
      </c>
      <c r="Q5" s="92" t="s">
        <v>126</v>
      </c>
      <c r="R5" s="93" t="s">
        <v>127</v>
      </c>
    </row>
    <row r="6" spans="1:18" s="90" customFormat="1" ht="55" customHeight="1" x14ac:dyDescent="0.35">
      <c r="A6" s="97" t="str" cm="1">
        <f t="array" aca="1" ref="A6:A949" ca="1">_xlfn.LET(_xlpm.dòng_cuối, 'NHẬP LV FM '!$AG$6 + 5, _xlpm.vùng_quét, INDIRECT("'NHẬP LV FM '!$B$6:$B$" &amp; _xlpm.dòng_cuối), _xlpm.vùng_điều_kiện, INDIRECT("'NHẬP LV FM '!$J$6:$J$" &amp;_xlpm.dòng_cuối), _xlpm.kết_quả, _xlfn._xlws.FILTER(_xlpm.vùng_quét, _xlpm.vùng_điều_kiện="B", ""), IF(_xlpm.kết_quả="", "", _xlpm.kết_quả))</f>
        <v>S25V10883</v>
      </c>
      <c r="B6" s="98" t="str" cm="1">
        <f t="array" aca="1" ref="B6:B949" ca="1">_xlfn.LET(_xlpm.dòng_cuối, 'NHẬP LV FM '!$AG$6 + 5, _xlpm.vùng_quét, INDIRECT("'NHẬP LV FM '!$d$6:$d$" &amp; _xlpm.dòng_cuối), _xlpm.vùng_điều_kiện, INDIRECT("'NHẬP LV FM '!$J$6:$J$" &amp;_xlpm.dòng_cuối), _xlpm.kết_quả, _xlfn._xlws.FILTER(_xlpm.vùng_quét, _xlpm.vùng_điều_kiện="B", ""), IF(_xlpm.kết_quả="", "", _xlpm.kết_quả))</f>
        <v>PKEK25VE0010883A</v>
      </c>
      <c r="C6" s="98" t="str" cm="1">
        <f t="array" aca="1" ref="C6:C949" ca="1">_xlfn.LET(_xlpm.dòng_cuối, 'NHẬP LV FM '!$AG$6 + 5, _xlpm.vùng_quét, INDIRECT("'NHẬP LV FM '!$e$6:$e$" &amp; _xlpm.dòng_cuối), _xlpm.vùng_điều_kiện, INDIRECT("'NHẬP LV FM '!$J$6:$J$" &amp;_xlpm.dòng_cuối), _xlpm.kết_quả, _xlfn._xlws.FILTER(_xlpm.vùng_quét, _xlpm.vùng_điều_kiện="B", ""), IF(_xlpm.kết_quả="", "", _xlpm.kết_quả))</f>
        <v>PEACH</v>
      </c>
      <c r="D6" s="98" t="str" cm="1">
        <f t="array" aca="1" ref="D6:D949" ca="1">_xlfn.LET(_xlpm.dòng_cuối, 'NHẬP LV FM '!$AG$6 + 5, _xlpm.vùng_quét, INDIRECT("'NHẬP LV FM '!$f$6:$f$" &amp; _xlpm.dòng_cuối), _xlpm.vùng_điều_kiện, INDIRECT("'NHẬP LV FM '!$J$6:$J$" &amp;_xlpm.dòng_cuối), _xlpm.kết_quả, _xlfn._xlws.FILTER(_xlpm.vùng_quét, _xlpm.vùng_điều_kiện="B", ""), IF(_xlpm.kết_quả="", "", _xlpm.kết_quả))</f>
        <v>807</v>
      </c>
      <c r="E6" s="98" t="str" cm="1">
        <f t="array" aca="1" ref="E6:E949" ca="1">_xlfn.LET(_xlpm.dòng_cuối, 'NHẬP LV FM '!$AG$6 + 5, _xlpm.vùng_quét, INDIRECT("'NHẬP LV FM '!$h$6:$h$" &amp; _xlpm.dòng_cuối), _xlpm.vùng_điều_kiện, INDIRECT("'NHẬP LV FM '!$J$6:$J$" &amp;_xlpm.dòng_cuối), _xlpm.kết_quả, _xlfn._xlws.FILTER(_xlpm.vùng_quét, _xlpm.vùng_điều_kiện="B", ""), IF(_xlpm.kết_quả="", "", _xlpm.kết_quả))</f>
        <v>FV012282301</v>
      </c>
      <c r="F6" s="98" t="str" cm="1">
        <f t="array" aca="1" ref="F6:F949" ca="1">_xlfn.LET(_xlpm.dòng_cuối, 'NHẬP LV FM '!$AG$6 + 5, _xlpm.vùng_quét, INDIRECT("'NHẬP LV FM '!$i$6:$i$" &amp; _xlpm.dòng_cuối), _xlpm.vùng_điều_kiện, INDIRECT("'NHẬP LV FM '!$J$6:$J$" &amp;_xlpm.dòng_cuối), _xlpm.kết_quả, _xlfn._xlws.FILTER(_xlpm.vùng_quét, _xlpm.vùng_điều_kiện="B", ""), IF(_xlpm.kết_quả="", "", _xlpm.kết_quả))</f>
        <v>C1500427</v>
      </c>
      <c r="G6" s="98" t="str" cm="1">
        <f t="array" aca="1" ref="G6:G949" ca="1">_xlfn.LET(_xlpm.dòng_cuối, 'NHẬP LV FM '!$AG$6 + 5, _xlpm.vùng_quét, INDIRECT("'NHẬP LV FM '!$j$6:$j$" &amp; _xlpm.dòng_cuối), _xlpm.vùng_điều_kiện, INDIRECT("'NHẬP LV FM '!$J$6:$J$" &amp;_xlpm.dòng_cuối), _xlpm.kết_quả, _xlfn._xlws.FILTER(_xlpm.vùng_quét, _xlpm.vùng_điều_kiện="B", ""), IF(_xlpm.kết_quả="", "", _xlpm.kết_quả))</f>
        <v>B</v>
      </c>
      <c r="H6" s="98" t="str" cm="1">
        <f t="array" aca="1" ref="H6:H949" ca="1">_xlfn.LET(_xlpm.dòng_cuối, 'NHẬP LV FM '!$AG$6 + 5, _xlpm.vùng_quét, INDIRECT("'NHẬP LV FM '!$k$6:$k$" &amp; _xlpm.dòng_cuối), _xlpm.vùng_điều_kiện, INDIRECT("'NHẬP LV FM '!$J$6:$J$" &amp;_xlpm.dòng_cuối), _xlpm.kết_quả, _xlfn._xlws.FILTER(_xlpm.vùng_quét, _xlpm.vùng_điều_kiện="B", ""), IF(_xlpm.kết_quả="", "", _xlpm.kết_quả))</f>
        <v>CF003100862</v>
      </c>
      <c r="I6" s="98" t="str" cm="1">
        <f t="array" aca="1" ref="I6:I949" ca="1">_xlfn.LET(_xlpm.dòng_cuối, 'NHẬP LV FM '!$AG$6 + 5, _xlpm.vùng_quét, INDIRECT("'NHẬP LV FM '!$l$6:$l$" &amp; _xlpm.dòng_cuối), _xlpm.vùng_điều_kiện, INDIRECT("'NHẬP LV FM '!$J$6:$J$" &amp;_xlpm.dòng_cuối), _xlpm.kết_quả, _xlfn._xlws.FILTER(_xlpm.vùng_quét, _xlpm.vùng_điều_kiện="B", ""), IF(_xlpm.kết_quả="", "", _xlpm.kết_quả))</f>
        <v>A</v>
      </c>
      <c r="J6" s="98" cm="1">
        <f t="array" aca="1" ref="J6:J949" ca="1">_xlfn.LET(_xlpm.dòng_cuối, 'NHẬP LV FM '!$AG$6 + 5, _xlpm.vùng_quét, INDIRECT("'NHẬP LV FM '!$m$6:$m$" &amp; _xlpm.dòng_cuối), _xlpm.vùng_điều_kiện, INDIRECT("'NHẬP LV FM '!$J$6:$J$" &amp;_xlpm.dòng_cuối), _xlpm.kết_quả, _xlfn._xlws.FILTER(_xlpm.vùng_quét, _xlpm.vùng_điều_kiện="B", ""), IF(_xlpm.kết_quả="", "", _xlpm.kết_quả))</f>
        <v>290</v>
      </c>
      <c r="K6" s="98"/>
      <c r="L6" s="98" cm="1">
        <f t="array" aca="1" ref="L6:L949" ca="1">_xlfn.LET(_xlpm.dòng_cuối, 'NHẬP LV FM '!$AG$6 + 5, _xlpm.vùng_quét, INDIRECT("'NHẬP LV FM '!$p$6:$p$" &amp; _xlpm.dòng_cuối), _xlpm.vùng_điều_kiện, INDIRECT("'NHẬP LV FM '!$J$6:$J$" &amp;_xlpm.dòng_cuối), _xlpm.kết_quả, _xlfn._xlws.FILTER(_xlpm.vùng_quét, _xlpm.vùng_điều_kiện="B", ""), IF(_xlpm.kết_quả="", "", _xlpm.kết_quả))</f>
        <v>1032.77</v>
      </c>
      <c r="M6" s="98" t="str" cm="1">
        <f t="array" aca="1" ref="M6:M949" ca="1">_xlfn.LET(_xlpm.dòng_cuối, 'NHẬP LV FM '!$AG$6 + 5, _xlpm.vùng_quét, INDIRECT("'NHẬP LV FM '!$s$6:$s$" &amp; _xlpm.dòng_cuối), _xlpm.vùng_điều_kiện, INDIRECT("'NHẬP LV FM '!$J$6:$J$" &amp;_xlpm.dòng_cuối), _xlpm.kết_quả, _xlfn._xlws.FILTER(_xlpm.vùng_quét, _xlpm.vùng_điều_kiện="B", ""), IF(_xlpm.kết_quả="", "", _xlpm.kết_quả))</f>
        <v>63/65"</v>
      </c>
      <c r="N6" s="98" cm="1">
        <f t="array" aca="1" ref="N6:N949" ca="1">_xlfn.LET(_xlpm.dòng_cuối, 'NHẬP LV FM '!$AG$6 + 5, _xlpm.vùng_quét, INDIRECT("'NHẬP LV FM '!$t$6:$t$" &amp; _xlpm.dòng_cuối), _xlpm.vùng_điều_kiện, INDIRECT("'NHẬP LV FM '!$J$6:$J$" &amp;_xlpm.dòng_cuối), _xlpm.kết_quả, _xlfn._xlws.FILTER(_xlpm.vùng_quét, _xlpm.vùng_điều_kiện="B", ""), IF(_xlpm.kết_quả="", "", _xlpm.kết_quả))</f>
        <v>63</v>
      </c>
      <c r="O6" s="98" t="str" cm="1">
        <f t="array" aca="1" ref="O6:O949" ca="1">_xlfn.LET(_xlpm.dòng_cuối, 'NHẬP LV FM '!$AG$6 + 5, _xlpm.vùng_quét, INDIRECT("'NHẬP LV FM '!$x$6:$x$" &amp; _xlpm.dòng_cuối), _xlpm.vùng_điều_kiện, INDIRECT("'NHẬP LV FM '!$J$6:$J$" &amp;_xlpm.dòng_cuối), _xlpm.kết_quả, _xlfn._xlws.FILTER(_xlpm.vùng_quét, _xlpm.vùng_điều_kiện="B", ""), IF(_xlpm.kết_quả="", "", _xlpm.kết_quả))</f>
        <v>White mark [白印]</v>
      </c>
      <c r="P6" s="99" t="str" cm="1">
        <f t="array" aca="1" ref="P6:P949" ca="1">_xlfn.LET(_xlpm.dòng_cuối, 'NHẬP LV FM '!$AG$6 + 5, _xlpm.vùng_quét, INDIRECT("'NHẬP LV FM '!$aa$6:$aa$" &amp; _xlpm.dòng_cuối), _xlpm.vùng_điều_kiện, INDIRECT("'NHẬP LV FM '!$J$6:$J$" &amp;_xlpm.dòng_cuối), _xlpm.kết_quả, _xlfn._xlws.FILTER(_xlpm.vùng_quét, _xlpm.vùng_điều_kiện="B", ""), IF(_xlpm.kết_quả="", "", _xlpm.kết_quả))</f>
        <v/>
      </c>
      <c r="Q6" s="99" t="str" cm="1">
        <f t="array" aca="1" ref="Q6:Q949" ca="1">_xlfn.LET(_xlpm.dòng_cuối, 'NHẬP LV FM '!$AG$6 + 5, _xlpm.vùng_quét, INDIRECT("'NHẬP LV FM '!$aB$6:$aB$" &amp; _xlpm.dòng_cuối), _xlpm.vùng_điều_kiện, INDIRECT("'NHẬP LV FM '!$J$6:$J$" &amp;_xlpm.dòng_cuối), _xlpm.kết_quả, _xlfn._xlws.FILTER(_xlpm.vùng_quét, _xlpm.vùng_điều_kiện="B", ""), IF(_xlpm.kết_quả="", "", _xlpm.kết_quả))</f>
        <v/>
      </c>
      <c r="R6" s="100" cm="1">
        <f t="array" aca="1" ref="R6:R949" ca="1">_xlfn.LET(_xlpm.dòng_cuối, 'NHẬP LV FM '!$AG$6 + 5, _xlpm.vùng_quét, INDIRECT("'NHẬP LV FM '!$ac$6:$ac$" &amp; _xlpm.dòng_cuối), _xlpm.vùng_điều_kiện, INDIRECT("'NHẬP LV FM '!$J$6:$J$" &amp;_xlpm.dòng_cuối), _xlpm.kết_quả, _xlfn._xlws.FILTER(_xlpm.vùng_quét, _xlpm.vùng_điều_kiện="B", ""), IF(_xlpm.kết_quả="", "", _xlpm.kết_quả))</f>
        <v>46085</v>
      </c>
    </row>
    <row r="7" spans="1:18" s="90" customFormat="1" ht="55" customHeight="1" x14ac:dyDescent="0.35">
      <c r="A7" s="94" t="str">
        <f ca="1"/>
        <v>S25V10883</v>
      </c>
      <c r="B7" s="94" t="str">
        <f ca="1"/>
        <v>PKEK25VE0010883A</v>
      </c>
      <c r="C7" s="94" t="str">
        <f ca="1"/>
        <v>PEACH</v>
      </c>
      <c r="D7" s="94" t="str">
        <f ca="1"/>
        <v>807</v>
      </c>
      <c r="E7" s="94" t="str">
        <f ca="1"/>
        <v>FV012282301</v>
      </c>
      <c r="F7" s="94" t="str">
        <f ca="1"/>
        <v>C1500427</v>
      </c>
      <c r="G7" s="94" t="str">
        <f ca="1"/>
        <v>B</v>
      </c>
      <c r="H7" s="94" t="str">
        <f ca="1"/>
        <v>CF003100863</v>
      </c>
      <c r="I7" s="94" t="str">
        <f ca="1"/>
        <v>A</v>
      </c>
      <c r="J7" s="94">
        <f ca="1"/>
        <v>269</v>
      </c>
      <c r="K7" s="94"/>
      <c r="L7" s="94">
        <f ca="1"/>
        <v>957.99</v>
      </c>
      <c r="M7" s="94" t="str">
        <f ca="1"/>
        <v>63/65"</v>
      </c>
      <c r="N7" s="94">
        <f ca="1"/>
        <v>63</v>
      </c>
      <c r="O7" s="94" t="str">
        <f ca="1"/>
        <v>loose yarn [跳纱]</v>
      </c>
      <c r="P7" s="95" t="str">
        <f ca="1"/>
        <v/>
      </c>
      <c r="Q7" s="95" t="str">
        <f ca="1"/>
        <v/>
      </c>
      <c r="R7" s="96">
        <f ca="1"/>
        <v>46085</v>
      </c>
    </row>
    <row r="8" spans="1:18" s="90" customFormat="1" ht="55" customHeight="1" x14ac:dyDescent="0.35">
      <c r="A8" s="94" t="str">
        <f ca="1"/>
        <v>S25V10883</v>
      </c>
      <c r="B8" s="94" t="str">
        <f ca="1"/>
        <v>PKEK25VE0010883A</v>
      </c>
      <c r="C8" s="94" t="str">
        <f ca="1"/>
        <v>PEACH</v>
      </c>
      <c r="D8" s="94" t="str">
        <f ca="1"/>
        <v>807</v>
      </c>
      <c r="E8" s="94" t="str">
        <f ca="1"/>
        <v>FV012282301</v>
      </c>
      <c r="F8" s="94" t="str">
        <f ca="1"/>
        <v>C1500427</v>
      </c>
      <c r="G8" s="94" t="str">
        <f ca="1"/>
        <v>B</v>
      </c>
      <c r="H8" s="94" t="str">
        <f ca="1"/>
        <v>CF003100864</v>
      </c>
      <c r="I8" s="94" t="str">
        <f ca="1"/>
        <v>A</v>
      </c>
      <c r="J8" s="94">
        <f ca="1"/>
        <v>212</v>
      </c>
      <c r="K8" s="94"/>
      <c r="L8" s="94">
        <f ca="1"/>
        <v>754.99</v>
      </c>
      <c r="M8" s="94" t="str">
        <f ca="1"/>
        <v>63/65"</v>
      </c>
      <c r="N8" s="94">
        <f ca="1"/>
        <v>63</v>
      </c>
      <c r="O8" s="94" t="str">
        <f ca="1"/>
        <v>Dirt [针织污渍]</v>
      </c>
      <c r="P8" s="95" t="str">
        <f ca="1"/>
        <v/>
      </c>
      <c r="Q8" s="95" t="str">
        <f ca="1"/>
        <v/>
      </c>
      <c r="R8" s="96">
        <f ca="1"/>
        <v>46085</v>
      </c>
    </row>
    <row r="9" spans="1:18" s="90" customFormat="1" ht="55" customHeight="1" x14ac:dyDescent="0.35">
      <c r="A9" s="94" t="str">
        <f ca="1"/>
        <v>S25V10883</v>
      </c>
      <c r="B9" s="94" t="str">
        <f ca="1"/>
        <v>PKEK25VE0010883A</v>
      </c>
      <c r="C9" s="94" t="str">
        <f ca="1"/>
        <v>PEACH</v>
      </c>
      <c r="D9" s="94" t="str">
        <f ca="1"/>
        <v>807</v>
      </c>
      <c r="E9" s="94" t="str">
        <f ca="1"/>
        <v>FV012282301</v>
      </c>
      <c r="F9" s="94" t="str">
        <f ca="1"/>
        <v>C1500427</v>
      </c>
      <c r="G9" s="94" t="str">
        <f ca="1"/>
        <v>B</v>
      </c>
      <c r="H9" s="94" t="str">
        <f ca="1"/>
        <v>CF003100865</v>
      </c>
      <c r="I9" s="94" t="str">
        <f ca="1"/>
        <v>A</v>
      </c>
      <c r="J9" s="94">
        <f ca="1"/>
        <v>275</v>
      </c>
      <c r="K9" s="94"/>
      <c r="L9" s="94">
        <f ca="1"/>
        <v>979.35</v>
      </c>
      <c r="M9" s="94" t="str">
        <f ca="1"/>
        <v>63/65"</v>
      </c>
      <c r="N9" s="94">
        <f ca="1"/>
        <v>63</v>
      </c>
      <c r="O9" s="94" t="str">
        <f ca="1"/>
        <v>Dirt [针织污渍]</v>
      </c>
      <c r="P9" s="95" t="str">
        <f ca="1"/>
        <v/>
      </c>
      <c r="Q9" s="95" t="str">
        <f ca="1"/>
        <v/>
      </c>
      <c r="R9" s="96">
        <f ca="1"/>
        <v>46085</v>
      </c>
    </row>
    <row r="10" spans="1:18" s="90" customFormat="1" ht="55" customHeight="1" x14ac:dyDescent="0.35">
      <c r="A10" s="94" t="str">
        <f ca="1"/>
        <v>S25V10883</v>
      </c>
      <c r="B10" s="94" t="str">
        <f ca="1"/>
        <v>PKEK25VE0010883A</v>
      </c>
      <c r="C10" s="94" t="str">
        <f ca="1"/>
        <v>PEACH</v>
      </c>
      <c r="D10" s="94" t="str">
        <f ca="1"/>
        <v>807</v>
      </c>
      <c r="E10" s="94" t="str">
        <f ca="1"/>
        <v>FV012282301</v>
      </c>
      <c r="F10" s="94" t="str">
        <f ca="1"/>
        <v>C1500427</v>
      </c>
      <c r="G10" s="94" t="str">
        <f ca="1"/>
        <v>B</v>
      </c>
      <c r="H10" s="94" t="str">
        <f ca="1"/>
        <v>CF003101099</v>
      </c>
      <c r="I10" s="94" t="str">
        <f ca="1"/>
        <v>A</v>
      </c>
      <c r="J10" s="94">
        <f ca="1"/>
        <v>23</v>
      </c>
      <c r="K10" s="94"/>
      <c r="L10" s="94">
        <f ca="1"/>
        <v>81.91</v>
      </c>
      <c r="M10" s="94" t="str">
        <f ca="1"/>
        <v>63/65"</v>
      </c>
      <c r="N10" s="94">
        <f ca="1"/>
        <v>63</v>
      </c>
      <c r="O10" s="94" t="str">
        <f ca="1"/>
        <v/>
      </c>
      <c r="P10" s="95" t="str">
        <f ca="1"/>
        <v/>
      </c>
      <c r="Q10" s="95" t="str">
        <f ca="1"/>
        <v/>
      </c>
      <c r="R10" s="96">
        <f ca="1"/>
        <v>46113</v>
      </c>
    </row>
    <row r="11" spans="1:18" s="90" customFormat="1" ht="55" customHeight="1" x14ac:dyDescent="0.35">
      <c r="A11" s="94" t="str">
        <f ca="1"/>
        <v>S25V10883</v>
      </c>
      <c r="B11" s="94" t="str">
        <f ca="1"/>
        <v>PKEK25VE0010883A</v>
      </c>
      <c r="C11" s="94" t="str">
        <f ca="1"/>
        <v>PEACH</v>
      </c>
      <c r="D11" s="94" t="str">
        <f ca="1"/>
        <v>807</v>
      </c>
      <c r="E11" s="94" t="str">
        <f ca="1"/>
        <v>FV012282301</v>
      </c>
      <c r="F11" s="94" t="str">
        <f ca="1"/>
        <v>C1500427</v>
      </c>
      <c r="G11" s="94" t="str">
        <f ca="1"/>
        <v>B</v>
      </c>
      <c r="H11" s="94" t="str">
        <f ca="1"/>
        <v>CF003101100</v>
      </c>
      <c r="I11" s="94" t="str">
        <f ca="1"/>
        <v>A</v>
      </c>
      <c r="J11" s="94">
        <f ca="1"/>
        <v>21</v>
      </c>
      <c r="K11" s="94"/>
      <c r="L11" s="94">
        <f ca="1"/>
        <v>74.790000000000006</v>
      </c>
      <c r="M11" s="94" t="str">
        <f ca="1"/>
        <v>63/65"</v>
      </c>
      <c r="N11" s="94">
        <f ca="1"/>
        <v>63</v>
      </c>
      <c r="O11" s="94" t="str">
        <f ca="1"/>
        <v>White mark [白印]</v>
      </c>
      <c r="P11" s="95" t="str">
        <f ca="1"/>
        <v/>
      </c>
      <c r="Q11" s="95" t="str">
        <f ca="1"/>
        <v/>
      </c>
      <c r="R11" s="96">
        <f ca="1"/>
        <v>46093</v>
      </c>
    </row>
    <row r="12" spans="1:18" s="90" customFormat="1" ht="55" customHeight="1" x14ac:dyDescent="0.35">
      <c r="A12" s="94" t="str">
        <f ca="1"/>
        <v>S25V10883</v>
      </c>
      <c r="B12" s="94" t="str">
        <f ca="1"/>
        <v>PKEK25VE0010883A</v>
      </c>
      <c r="C12" s="94" t="str">
        <f ca="1"/>
        <v>PEACH</v>
      </c>
      <c r="D12" s="94" t="str">
        <f ca="1"/>
        <v>807</v>
      </c>
      <c r="E12" s="94" t="str">
        <f ca="1"/>
        <v>FV012282301</v>
      </c>
      <c r="F12" s="94" t="str">
        <f ca="1"/>
        <v>C1500427</v>
      </c>
      <c r="G12" s="94" t="str">
        <f ca="1"/>
        <v>B</v>
      </c>
      <c r="H12" s="94" t="str">
        <f ca="1"/>
        <v>CF003101101</v>
      </c>
      <c r="I12" s="94" t="str">
        <f ca="1"/>
        <v>A</v>
      </c>
      <c r="J12" s="94">
        <f ca="1"/>
        <v>23.3</v>
      </c>
      <c r="K12" s="94"/>
      <c r="L12" s="94">
        <f ca="1"/>
        <v>82.98</v>
      </c>
      <c r="M12" s="94" t="str">
        <f ca="1"/>
        <v>63/65"</v>
      </c>
      <c r="N12" s="94">
        <f ca="1"/>
        <v>63</v>
      </c>
      <c r="O12" s="94" t="str">
        <f ca="1"/>
        <v/>
      </c>
      <c r="P12" s="95" t="str">
        <f ca="1"/>
        <v/>
      </c>
      <c r="Q12" s="95" t="str">
        <f ca="1"/>
        <v/>
      </c>
      <c r="R12" s="96">
        <f ca="1"/>
        <v>46093</v>
      </c>
    </row>
    <row r="13" spans="1:18" s="90" customFormat="1" ht="55" customHeight="1" x14ac:dyDescent="0.35">
      <c r="A13" s="94" t="str">
        <f ca="1"/>
        <v>S25V10883</v>
      </c>
      <c r="B13" s="94" t="str">
        <f ca="1"/>
        <v>PKEK25VE0010883A</v>
      </c>
      <c r="C13" s="94" t="str">
        <f ca="1"/>
        <v>PEACH</v>
      </c>
      <c r="D13" s="94" t="str">
        <f ca="1"/>
        <v>807</v>
      </c>
      <c r="E13" s="94" t="str">
        <f ca="1"/>
        <v>FV012282301</v>
      </c>
      <c r="F13" s="94" t="str">
        <f ca="1"/>
        <v>C1500427</v>
      </c>
      <c r="G13" s="94" t="str">
        <f ca="1"/>
        <v>B</v>
      </c>
      <c r="H13" s="94" t="str">
        <f ca="1"/>
        <v>CF003101102</v>
      </c>
      <c r="I13" s="94" t="str">
        <f ca="1"/>
        <v>A</v>
      </c>
      <c r="J13" s="94">
        <f ca="1"/>
        <v>20.8</v>
      </c>
      <c r="K13" s="94"/>
      <c r="L13" s="94">
        <f ca="1"/>
        <v>74.069999999999993</v>
      </c>
      <c r="M13" s="94" t="str">
        <f ca="1"/>
        <v>63/65"</v>
      </c>
      <c r="N13" s="94">
        <f ca="1"/>
        <v>63</v>
      </c>
      <c r="O13" s="94" t="str">
        <f ca="1"/>
        <v/>
      </c>
      <c r="P13" s="95" t="str">
        <f ca="1"/>
        <v/>
      </c>
      <c r="Q13" s="95" t="str">
        <f ca="1"/>
        <v/>
      </c>
      <c r="R13" s="96">
        <f ca="1"/>
        <v>46093</v>
      </c>
    </row>
    <row r="14" spans="1:18" s="90" customFormat="1" ht="55" customHeight="1" x14ac:dyDescent="0.35">
      <c r="A14" s="94" t="str">
        <f ca="1"/>
        <v>S25V10883</v>
      </c>
      <c r="B14" s="94" t="str">
        <f ca="1"/>
        <v>PKEK25VE0010883A</v>
      </c>
      <c r="C14" s="94" t="str">
        <f ca="1"/>
        <v>PEACH</v>
      </c>
      <c r="D14" s="94" t="str">
        <f ca="1"/>
        <v>807</v>
      </c>
      <c r="E14" s="94" t="str">
        <f ca="1"/>
        <v>FV012282301</v>
      </c>
      <c r="F14" s="94" t="str">
        <f ca="1"/>
        <v>C1500427</v>
      </c>
      <c r="G14" s="94" t="str">
        <f ca="1"/>
        <v>B</v>
      </c>
      <c r="H14" s="94" t="str">
        <f ca="1"/>
        <v>CF003101103</v>
      </c>
      <c r="I14" s="94" t="str">
        <f ca="1"/>
        <v>A</v>
      </c>
      <c r="J14" s="94">
        <f ca="1"/>
        <v>17.5</v>
      </c>
      <c r="K14" s="94"/>
      <c r="L14" s="94">
        <f ca="1"/>
        <v>62.32</v>
      </c>
      <c r="M14" s="94" t="str">
        <f ca="1"/>
        <v>63/65"</v>
      </c>
      <c r="N14" s="94">
        <f ca="1"/>
        <v>63</v>
      </c>
      <c r="O14" s="94" t="str">
        <f ca="1"/>
        <v/>
      </c>
      <c r="P14" s="95" t="str">
        <f ca="1"/>
        <v/>
      </c>
      <c r="Q14" s="95" t="str">
        <f ca="1"/>
        <v/>
      </c>
      <c r="R14" s="96">
        <f ca="1"/>
        <v>46093</v>
      </c>
    </row>
    <row r="15" spans="1:18" s="90" customFormat="1" ht="55" customHeight="1" x14ac:dyDescent="0.35">
      <c r="A15" s="94" t="str">
        <f ca="1"/>
        <v>S25V10883</v>
      </c>
      <c r="B15" s="94" t="str">
        <f ca="1"/>
        <v>PKEK25VE0010883A</v>
      </c>
      <c r="C15" s="94" t="str">
        <f ca="1"/>
        <v>SURF</v>
      </c>
      <c r="D15" s="94" t="str">
        <f ca="1"/>
        <v>484</v>
      </c>
      <c r="E15" s="94" t="str">
        <f ca="1"/>
        <v>FV012282701</v>
      </c>
      <c r="F15" s="94" t="str">
        <f ca="1"/>
        <v>C1500427</v>
      </c>
      <c r="G15" s="94" t="str">
        <f ca="1"/>
        <v>B</v>
      </c>
      <c r="H15" s="94" t="str">
        <f ca="1"/>
        <v>CF003108346</v>
      </c>
      <c r="I15" s="94" t="str">
        <f ca="1"/>
        <v>A</v>
      </c>
      <c r="J15" s="94">
        <f ca="1"/>
        <v>20.6</v>
      </c>
      <c r="K15" s="94"/>
      <c r="L15" s="94">
        <f ca="1"/>
        <v>75.81</v>
      </c>
      <c r="M15" s="94" t="str">
        <f ca="1"/>
        <v>63/65"</v>
      </c>
      <c r="N15" s="94">
        <f ca="1"/>
        <v>63</v>
      </c>
      <c r="O15" s="94" t="str">
        <f ca="1"/>
        <v>Hole (KN) [针织破洞]</v>
      </c>
      <c r="P15" s="95" t="str">
        <f ca="1"/>
        <v/>
      </c>
      <c r="Q15" s="95" t="str">
        <f ca="1"/>
        <v/>
      </c>
      <c r="R15" s="96">
        <f ca="1"/>
        <v>46091</v>
      </c>
    </row>
    <row r="16" spans="1:18" s="90" customFormat="1" ht="55" customHeight="1" x14ac:dyDescent="0.35">
      <c r="A16" s="94" t="str">
        <f ca="1"/>
        <v>S25V10883</v>
      </c>
      <c r="B16" s="94" t="str">
        <f ca="1"/>
        <v>PKEK25VE0010883A</v>
      </c>
      <c r="C16" s="94" t="str">
        <f ca="1"/>
        <v>SURF</v>
      </c>
      <c r="D16" s="94" t="str">
        <f ca="1"/>
        <v>484</v>
      </c>
      <c r="E16" s="94" t="str">
        <f ca="1"/>
        <v>FV012282701</v>
      </c>
      <c r="F16" s="94" t="str">
        <f ca="1"/>
        <v>C1500427</v>
      </c>
      <c r="G16" s="94" t="str">
        <f ca="1"/>
        <v>B</v>
      </c>
      <c r="H16" s="94" t="str">
        <f ca="1"/>
        <v>CF003108347</v>
      </c>
      <c r="I16" s="94" t="str">
        <f ca="1"/>
        <v>A</v>
      </c>
      <c r="J16" s="94">
        <f ca="1"/>
        <v>27.6</v>
      </c>
      <c r="K16" s="94"/>
      <c r="L16" s="94">
        <f ca="1"/>
        <v>101.57</v>
      </c>
      <c r="M16" s="94" t="str">
        <f ca="1"/>
        <v>63/65"</v>
      </c>
      <c r="N16" s="94">
        <f ca="1"/>
        <v>63</v>
      </c>
      <c r="O16" s="94" t="str">
        <f ca="1"/>
        <v>Dirt [针织污渍]</v>
      </c>
      <c r="P16" s="95" t="str">
        <f ca="1"/>
        <v/>
      </c>
      <c r="Q16" s="95" t="str">
        <f ca="1"/>
        <v/>
      </c>
      <c r="R16" s="96">
        <f ca="1"/>
        <v>46091</v>
      </c>
    </row>
    <row r="17" spans="1:18" s="90" customFormat="1" ht="55" customHeight="1" x14ac:dyDescent="0.35">
      <c r="A17" s="94" t="str">
        <f ca="1"/>
        <v>S25V10883</v>
      </c>
      <c r="B17" s="94" t="str">
        <f ca="1"/>
        <v>PKEK25VE0010883A</v>
      </c>
      <c r="C17" s="94" t="str">
        <f ca="1"/>
        <v>SURF</v>
      </c>
      <c r="D17" s="94" t="str">
        <f ca="1"/>
        <v>484</v>
      </c>
      <c r="E17" s="94" t="str">
        <f ca="1"/>
        <v>FV012282701</v>
      </c>
      <c r="F17" s="94" t="str">
        <f ca="1"/>
        <v>C1500427</v>
      </c>
      <c r="G17" s="94" t="str">
        <f ca="1"/>
        <v>B</v>
      </c>
      <c r="H17" s="94" t="str">
        <f ca="1"/>
        <v>CF003108348</v>
      </c>
      <c r="I17" s="94" t="str">
        <f ca="1"/>
        <v>A</v>
      </c>
      <c r="J17" s="94">
        <f ca="1"/>
        <v>23.3</v>
      </c>
      <c r="K17" s="94"/>
      <c r="L17" s="94">
        <f ca="1"/>
        <v>85.74</v>
      </c>
      <c r="M17" s="94" t="str">
        <f ca="1"/>
        <v>63/65"</v>
      </c>
      <c r="N17" s="94">
        <f ca="1"/>
        <v>63</v>
      </c>
      <c r="O17" s="94" t="str">
        <f ca="1"/>
        <v>Hole (KN) [针织破洞]</v>
      </c>
      <c r="P17" s="95" t="str">
        <f ca="1"/>
        <v/>
      </c>
      <c r="Q17" s="95" t="str">
        <f ca="1"/>
        <v/>
      </c>
      <c r="R17" s="96">
        <f ca="1"/>
        <v>46091</v>
      </c>
    </row>
    <row r="18" spans="1:18" s="90" customFormat="1" ht="55" customHeight="1" x14ac:dyDescent="0.35">
      <c r="A18" s="94" t="str">
        <f ca="1"/>
        <v>S25V10883</v>
      </c>
      <c r="B18" s="94" t="str">
        <f ca="1"/>
        <v>PKEK25VE0010883A</v>
      </c>
      <c r="C18" s="94" t="str">
        <f ca="1"/>
        <v>SURF</v>
      </c>
      <c r="D18" s="94" t="str">
        <f ca="1"/>
        <v>484</v>
      </c>
      <c r="E18" s="94" t="str">
        <f ca="1"/>
        <v>FV012282701</v>
      </c>
      <c r="F18" s="94" t="str">
        <f ca="1"/>
        <v>C1500427</v>
      </c>
      <c r="G18" s="94" t="str">
        <f ca="1"/>
        <v>B</v>
      </c>
      <c r="H18" s="94" t="str">
        <f ca="1"/>
        <v>CF003108349</v>
      </c>
      <c r="I18" s="94" t="str">
        <f ca="1"/>
        <v>A</v>
      </c>
      <c r="J18" s="94">
        <f ca="1"/>
        <v>23.3</v>
      </c>
      <c r="K18" s="94"/>
      <c r="L18" s="94">
        <f ca="1"/>
        <v>85.74</v>
      </c>
      <c r="M18" s="94" t="str">
        <f ca="1"/>
        <v>63/65"</v>
      </c>
      <c r="N18" s="94">
        <f ca="1"/>
        <v>63</v>
      </c>
      <c r="O18" s="94" t="str">
        <f ca="1"/>
        <v>Hole (KN) [针织破洞]</v>
      </c>
      <c r="P18" s="95" t="str">
        <f ca="1"/>
        <v/>
      </c>
      <c r="Q18" s="95" t="str">
        <f ca="1"/>
        <v/>
      </c>
      <c r="R18" s="96">
        <f ca="1"/>
        <v>46091</v>
      </c>
    </row>
    <row r="19" spans="1:18" s="90" customFormat="1" ht="55" customHeight="1" x14ac:dyDescent="0.35">
      <c r="A19" s="94" t="str">
        <f ca="1"/>
        <v>S25V10883</v>
      </c>
      <c r="B19" s="94" t="str">
        <f ca="1"/>
        <v>PKEK25VE0010883A</v>
      </c>
      <c r="C19" s="94" t="str">
        <f ca="1"/>
        <v>SURF</v>
      </c>
      <c r="D19" s="94" t="str">
        <f ca="1"/>
        <v>484</v>
      </c>
      <c r="E19" s="94" t="str">
        <f ca="1"/>
        <v>FV012282701</v>
      </c>
      <c r="F19" s="94" t="str">
        <f ca="1"/>
        <v>C1500427</v>
      </c>
      <c r="G19" s="94" t="str">
        <f ca="1"/>
        <v>B</v>
      </c>
      <c r="H19" s="94" t="str">
        <f ca="1"/>
        <v>CF003108350</v>
      </c>
      <c r="I19" s="94" t="str">
        <f ca="1"/>
        <v>A</v>
      </c>
      <c r="J19" s="94">
        <f ca="1"/>
        <v>23</v>
      </c>
      <c r="K19" s="94"/>
      <c r="L19" s="94">
        <f ca="1"/>
        <v>84.64</v>
      </c>
      <c r="M19" s="94" t="str">
        <f ca="1"/>
        <v>63/65"</v>
      </c>
      <c r="N19" s="94">
        <f ca="1"/>
        <v>63</v>
      </c>
      <c r="O19" s="94" t="str">
        <f ca="1"/>
        <v/>
      </c>
      <c r="P19" s="95" t="str">
        <f ca="1"/>
        <v/>
      </c>
      <c r="Q19" s="95" t="str">
        <f ca="1"/>
        <v/>
      </c>
      <c r="R19" s="96">
        <f ca="1"/>
        <v>46091</v>
      </c>
    </row>
    <row r="20" spans="1:18" s="90" customFormat="1" ht="55" customHeight="1" x14ac:dyDescent="0.35">
      <c r="A20" s="94" t="str">
        <f ca="1"/>
        <v>S25V10883</v>
      </c>
      <c r="B20" s="94" t="str">
        <f ca="1"/>
        <v>PKEK25VE0010883A</v>
      </c>
      <c r="C20" s="94" t="str">
        <f ca="1"/>
        <v>SURF</v>
      </c>
      <c r="D20" s="94" t="str">
        <f ca="1"/>
        <v>484</v>
      </c>
      <c r="E20" s="94" t="str">
        <f ca="1"/>
        <v>FV012282701</v>
      </c>
      <c r="F20" s="94" t="str">
        <f ca="1"/>
        <v>C1500427</v>
      </c>
      <c r="G20" s="94" t="str">
        <f ca="1"/>
        <v>B</v>
      </c>
      <c r="H20" s="94" t="str">
        <f ca="1"/>
        <v>CF003108356</v>
      </c>
      <c r="I20" s="94" t="str">
        <f ca="1"/>
        <v>A</v>
      </c>
      <c r="J20" s="94">
        <f ca="1"/>
        <v>23.3</v>
      </c>
      <c r="K20" s="94"/>
      <c r="L20" s="94">
        <f ca="1"/>
        <v>85.74</v>
      </c>
      <c r="M20" s="94" t="str">
        <f ca="1"/>
        <v>63/65"</v>
      </c>
      <c r="N20" s="94">
        <f ca="1"/>
        <v>63</v>
      </c>
      <c r="O20" s="94" t="str">
        <f ca="1"/>
        <v/>
      </c>
      <c r="P20" s="95" t="str">
        <f ca="1"/>
        <v/>
      </c>
      <c r="Q20" s="95" t="str">
        <f ca="1"/>
        <v/>
      </c>
      <c r="R20" s="96">
        <f ca="1"/>
        <v>46091</v>
      </c>
    </row>
    <row r="21" spans="1:18" s="90" customFormat="1" ht="55" customHeight="1" x14ac:dyDescent="0.35">
      <c r="A21" s="94" t="str">
        <f ca="1"/>
        <v>S25V10883</v>
      </c>
      <c r="B21" s="94" t="str">
        <f ca="1"/>
        <v>PKEK25VE0010883A</v>
      </c>
      <c r="C21" s="94" t="str">
        <f ca="1"/>
        <v>SURF</v>
      </c>
      <c r="D21" s="94" t="str">
        <f ca="1"/>
        <v>484</v>
      </c>
      <c r="E21" s="94" t="str">
        <f ca="1"/>
        <v>FV012282701</v>
      </c>
      <c r="F21" s="94" t="str">
        <f ca="1"/>
        <v>C1500427</v>
      </c>
      <c r="G21" s="94" t="str">
        <f ca="1"/>
        <v>B</v>
      </c>
      <c r="H21" s="94" t="str">
        <f ca="1"/>
        <v>CF003108357</v>
      </c>
      <c r="I21" s="94" t="str">
        <f ca="1"/>
        <v>A</v>
      </c>
      <c r="J21" s="94">
        <f ca="1"/>
        <v>23.3</v>
      </c>
      <c r="K21" s="94"/>
      <c r="L21" s="94">
        <f ca="1"/>
        <v>85.74</v>
      </c>
      <c r="M21" s="94" t="str">
        <f ca="1"/>
        <v>63/65"</v>
      </c>
      <c r="N21" s="94">
        <f ca="1"/>
        <v>63</v>
      </c>
      <c r="O21" s="94" t="str">
        <f ca="1"/>
        <v>Hole (KN) [针织破洞]</v>
      </c>
      <c r="P21" s="95" t="str">
        <f ca="1"/>
        <v/>
      </c>
      <c r="Q21" s="95" t="str">
        <f ca="1"/>
        <v/>
      </c>
      <c r="R21" s="96">
        <f ca="1"/>
        <v>46091</v>
      </c>
    </row>
    <row r="22" spans="1:18" s="90" customFormat="1" ht="55" customHeight="1" x14ac:dyDescent="0.35">
      <c r="A22" s="94" t="str">
        <f ca="1"/>
        <v>S25V10883</v>
      </c>
      <c r="B22" s="94" t="str">
        <f ca="1"/>
        <v>PKEK25VE0010883A</v>
      </c>
      <c r="C22" s="94" t="str">
        <f ca="1"/>
        <v>SURF</v>
      </c>
      <c r="D22" s="94" t="str">
        <f ca="1"/>
        <v>484</v>
      </c>
      <c r="E22" s="94" t="str">
        <f ca="1"/>
        <v>FV012282701</v>
      </c>
      <c r="F22" s="94" t="str">
        <f ca="1"/>
        <v>C1500427</v>
      </c>
      <c r="G22" s="94" t="str">
        <f ca="1"/>
        <v>B</v>
      </c>
      <c r="H22" s="94" t="str">
        <f ca="1"/>
        <v>CF003108358</v>
      </c>
      <c r="I22" s="94" t="str">
        <f ca="1"/>
        <v>A</v>
      </c>
      <c r="J22" s="94">
        <f ca="1"/>
        <v>23.2</v>
      </c>
      <c r="K22" s="94"/>
      <c r="L22" s="94">
        <f ca="1"/>
        <v>85.38</v>
      </c>
      <c r="M22" s="94" t="str">
        <f ca="1"/>
        <v>63/65"</v>
      </c>
      <c r="N22" s="94">
        <f ca="1"/>
        <v>63</v>
      </c>
      <c r="O22" s="94" t="str">
        <f ca="1"/>
        <v>Needle Line [针路]</v>
      </c>
      <c r="P22" s="95" t="str">
        <f ca="1"/>
        <v/>
      </c>
      <c r="Q22" s="95" t="str">
        <f ca="1"/>
        <v/>
      </c>
      <c r="R22" s="96">
        <f ca="1"/>
        <v>46091</v>
      </c>
    </row>
    <row r="23" spans="1:18" s="90" customFormat="1" ht="55" customHeight="1" x14ac:dyDescent="0.35">
      <c r="A23" s="94" t="str">
        <f ca="1"/>
        <v>S25V10883</v>
      </c>
      <c r="B23" s="94" t="str">
        <f ca="1"/>
        <v>PKEK25VE0010883A</v>
      </c>
      <c r="C23" s="94" t="str">
        <f ca="1"/>
        <v>SURF</v>
      </c>
      <c r="D23" s="94" t="str">
        <f ca="1"/>
        <v>484</v>
      </c>
      <c r="E23" s="94" t="str">
        <f ca="1"/>
        <v>FV012282701</v>
      </c>
      <c r="F23" s="94" t="str">
        <f ca="1"/>
        <v>C1500427</v>
      </c>
      <c r="G23" s="94" t="str">
        <f ca="1"/>
        <v>B</v>
      </c>
      <c r="H23" s="94" t="str">
        <f ca="1"/>
        <v>CF003108359</v>
      </c>
      <c r="I23" s="94" t="str">
        <f ca="1"/>
        <v>A</v>
      </c>
      <c r="J23" s="94">
        <f ca="1"/>
        <v>23.2</v>
      </c>
      <c r="K23" s="94"/>
      <c r="L23" s="94">
        <f ca="1"/>
        <v>85.38</v>
      </c>
      <c r="M23" s="94" t="str">
        <f ca="1"/>
        <v>63/65"</v>
      </c>
      <c r="N23" s="94">
        <f ca="1"/>
        <v>63</v>
      </c>
      <c r="O23" s="94" t="str">
        <f ca="1"/>
        <v/>
      </c>
      <c r="P23" s="95" t="str">
        <f ca="1"/>
        <v/>
      </c>
      <c r="Q23" s="95" t="str">
        <f ca="1"/>
        <v/>
      </c>
      <c r="R23" s="96">
        <f ca="1"/>
        <v>46091</v>
      </c>
    </row>
    <row r="24" spans="1:18" s="90" customFormat="1" ht="55" customHeight="1" x14ac:dyDescent="0.35">
      <c r="A24" s="94" t="str">
        <f ca="1"/>
        <v>S25V10883</v>
      </c>
      <c r="B24" s="94" t="str">
        <f ca="1"/>
        <v>PKEK25VE0010883A</v>
      </c>
      <c r="C24" s="94" t="str">
        <f ca="1"/>
        <v>SURF</v>
      </c>
      <c r="D24" s="94" t="str">
        <f ca="1"/>
        <v>484</v>
      </c>
      <c r="E24" s="94" t="str">
        <f ca="1"/>
        <v>FV012282701</v>
      </c>
      <c r="F24" s="94" t="str">
        <f ca="1"/>
        <v>C1500427</v>
      </c>
      <c r="G24" s="94" t="str">
        <f ca="1"/>
        <v>B</v>
      </c>
      <c r="H24" s="94" t="str">
        <f ca="1"/>
        <v>CF003108360</v>
      </c>
      <c r="I24" s="94" t="str">
        <f ca="1"/>
        <v>A</v>
      </c>
      <c r="J24" s="94">
        <f ca="1"/>
        <v>22.7</v>
      </c>
      <c r="K24" s="94"/>
      <c r="L24" s="94">
        <f ca="1"/>
        <v>83.54</v>
      </c>
      <c r="M24" s="94" t="str">
        <f ca="1"/>
        <v>63/65"</v>
      </c>
      <c r="N24" s="94">
        <f ca="1"/>
        <v>63</v>
      </c>
      <c r="O24" s="94" t="str">
        <f ca="1"/>
        <v>Hole (KN) [针织破洞]</v>
      </c>
      <c r="P24" s="95" t="str">
        <f ca="1"/>
        <v/>
      </c>
      <c r="Q24" s="95" t="str">
        <f ca="1"/>
        <v/>
      </c>
      <c r="R24" s="96">
        <f ca="1"/>
        <v>46091</v>
      </c>
    </row>
    <row r="25" spans="1:18" s="90" customFormat="1" ht="55" customHeight="1" x14ac:dyDescent="0.35">
      <c r="A25" s="94" t="str">
        <f ca="1"/>
        <v>S25V10883</v>
      </c>
      <c r="B25" s="94" t="str">
        <f ca="1"/>
        <v>PKEK25VE0010883A</v>
      </c>
      <c r="C25" s="94" t="str">
        <f ca="1"/>
        <v>SURF</v>
      </c>
      <c r="D25" s="94" t="str">
        <f ca="1"/>
        <v>484</v>
      </c>
      <c r="E25" s="94" t="str">
        <f ca="1"/>
        <v>FV012282701</v>
      </c>
      <c r="F25" s="94" t="str">
        <f ca="1"/>
        <v>C1500427</v>
      </c>
      <c r="G25" s="94" t="str">
        <f ca="1"/>
        <v>B</v>
      </c>
      <c r="H25" s="94" t="str">
        <f ca="1"/>
        <v>CF003108361</v>
      </c>
      <c r="I25" s="94" t="str">
        <f ca="1"/>
        <v>A</v>
      </c>
      <c r="J25" s="94">
        <f ca="1"/>
        <v>23.1</v>
      </c>
      <c r="K25" s="94"/>
      <c r="L25" s="94">
        <f ca="1"/>
        <v>85.01</v>
      </c>
      <c r="M25" s="94" t="str">
        <f ca="1"/>
        <v>63/65"</v>
      </c>
      <c r="N25" s="94">
        <f ca="1"/>
        <v>63</v>
      </c>
      <c r="O25" s="94" t="str">
        <f ca="1"/>
        <v>Hole (KN) [针织破洞]</v>
      </c>
      <c r="P25" s="95" t="str">
        <f ca="1"/>
        <v/>
      </c>
      <c r="Q25" s="95" t="str">
        <f ca="1"/>
        <v/>
      </c>
      <c r="R25" s="96">
        <f ca="1"/>
        <v>46091</v>
      </c>
    </row>
    <row r="26" spans="1:18" s="90" customFormat="1" ht="55" customHeight="1" x14ac:dyDescent="0.35">
      <c r="A26" s="94" t="str">
        <f ca="1"/>
        <v>S25V10883</v>
      </c>
      <c r="B26" s="94" t="str">
        <f ca="1"/>
        <v>PKEK25VE0010883A</v>
      </c>
      <c r="C26" s="94" t="str">
        <f ca="1"/>
        <v>SURF</v>
      </c>
      <c r="D26" s="94" t="str">
        <f ca="1"/>
        <v>484</v>
      </c>
      <c r="E26" s="94" t="str">
        <f ca="1"/>
        <v>FV012282701</v>
      </c>
      <c r="F26" s="94" t="str">
        <f ca="1"/>
        <v>C1500427</v>
      </c>
      <c r="G26" s="94" t="str">
        <f ca="1"/>
        <v>B</v>
      </c>
      <c r="H26" s="94" t="str">
        <f ca="1"/>
        <v>CF003108362</v>
      </c>
      <c r="I26" s="94" t="str">
        <f ca="1"/>
        <v>A</v>
      </c>
      <c r="J26" s="94">
        <f ca="1"/>
        <v>22.7</v>
      </c>
      <c r="K26" s="94"/>
      <c r="L26" s="94">
        <f ca="1"/>
        <v>83.54</v>
      </c>
      <c r="M26" s="94" t="str">
        <f ca="1"/>
        <v>63/65"</v>
      </c>
      <c r="N26" s="94">
        <f ca="1"/>
        <v>63</v>
      </c>
      <c r="O26" s="94" t="str">
        <f ca="1"/>
        <v/>
      </c>
      <c r="P26" s="95" t="str">
        <f ca="1"/>
        <v/>
      </c>
      <c r="Q26" s="95" t="str">
        <f ca="1"/>
        <v/>
      </c>
      <c r="R26" s="96">
        <f ca="1"/>
        <v>46091</v>
      </c>
    </row>
    <row r="27" spans="1:18" s="90" customFormat="1" ht="55" customHeight="1" x14ac:dyDescent="0.35">
      <c r="A27" s="94" t="str">
        <f ca="1"/>
        <v>S25V10883</v>
      </c>
      <c r="B27" s="94" t="str">
        <f ca="1"/>
        <v>PKEK25VE0010883A</v>
      </c>
      <c r="C27" s="94" t="str">
        <f ca="1"/>
        <v>SURF</v>
      </c>
      <c r="D27" s="94" t="str">
        <f ca="1"/>
        <v>484</v>
      </c>
      <c r="E27" s="94" t="str">
        <f ca="1"/>
        <v>FV012282701</v>
      </c>
      <c r="F27" s="94" t="str">
        <f ca="1"/>
        <v>C1500427</v>
      </c>
      <c r="G27" s="94" t="str">
        <f ca="1"/>
        <v>B</v>
      </c>
      <c r="H27" s="94" t="str">
        <f ca="1"/>
        <v>CF003108363</v>
      </c>
      <c r="I27" s="94" t="str">
        <f ca="1"/>
        <v>A</v>
      </c>
      <c r="J27" s="94">
        <f ca="1"/>
        <v>21</v>
      </c>
      <c r="K27" s="94"/>
      <c r="L27" s="94">
        <f ca="1"/>
        <v>77.28</v>
      </c>
      <c r="M27" s="94" t="str">
        <f ca="1"/>
        <v>63/65"</v>
      </c>
      <c r="N27" s="94">
        <f ca="1"/>
        <v>63</v>
      </c>
      <c r="O27" s="94" t="str">
        <f ca="1"/>
        <v/>
      </c>
      <c r="P27" s="95" t="str">
        <f ca="1"/>
        <v/>
      </c>
      <c r="Q27" s="95" t="str">
        <f ca="1"/>
        <v/>
      </c>
      <c r="R27" s="96">
        <f ca="1"/>
        <v>46091</v>
      </c>
    </row>
    <row r="28" spans="1:18" s="90" customFormat="1" ht="55" customHeight="1" x14ac:dyDescent="0.35">
      <c r="A28" s="94" t="str">
        <f ca="1"/>
        <v>S25V10883</v>
      </c>
      <c r="B28" s="94" t="str">
        <f ca="1"/>
        <v>PKEK25VE0010883A</v>
      </c>
      <c r="C28" s="94" t="str">
        <f ca="1"/>
        <v>SURF</v>
      </c>
      <c r="D28" s="94" t="str">
        <f ca="1"/>
        <v>484</v>
      </c>
      <c r="E28" s="94" t="str">
        <f ca="1"/>
        <v>FV012282701</v>
      </c>
      <c r="F28" s="94" t="str">
        <f ca="1"/>
        <v>C1500427</v>
      </c>
      <c r="G28" s="94" t="str">
        <f ca="1"/>
        <v>B</v>
      </c>
      <c r="H28" s="94" t="str">
        <f ca="1"/>
        <v>CF003108364</v>
      </c>
      <c r="I28" s="94" t="str">
        <f ca="1"/>
        <v>A</v>
      </c>
      <c r="J28" s="94">
        <f ca="1"/>
        <v>23.2</v>
      </c>
      <c r="K28" s="94"/>
      <c r="L28" s="94">
        <f ca="1"/>
        <v>85.38</v>
      </c>
      <c r="M28" s="94" t="str">
        <f ca="1"/>
        <v>63/65"</v>
      </c>
      <c r="N28" s="94">
        <f ca="1"/>
        <v>63</v>
      </c>
      <c r="O28" s="94" t="str">
        <f ca="1"/>
        <v>Oil (PD) [匹染油污]</v>
      </c>
      <c r="P28" s="95" t="str">
        <f ca="1"/>
        <v/>
      </c>
      <c r="Q28" s="95" t="str">
        <f ca="1"/>
        <v/>
      </c>
      <c r="R28" s="96">
        <f ca="1"/>
        <v>46091</v>
      </c>
    </row>
    <row r="29" spans="1:18" s="90" customFormat="1" ht="55" customHeight="1" x14ac:dyDescent="0.35">
      <c r="A29" s="94" t="str">
        <f ca="1"/>
        <v>S25V10883</v>
      </c>
      <c r="B29" s="94" t="str">
        <f ca="1"/>
        <v>PKEK25VE0010883A</v>
      </c>
      <c r="C29" s="94" t="str">
        <f ca="1"/>
        <v>SURF</v>
      </c>
      <c r="D29" s="94" t="str">
        <f ca="1"/>
        <v>484</v>
      </c>
      <c r="E29" s="94" t="str">
        <f ca="1"/>
        <v>FV012282701</v>
      </c>
      <c r="F29" s="94" t="str">
        <f ca="1"/>
        <v>C1500427</v>
      </c>
      <c r="G29" s="94" t="str">
        <f ca="1"/>
        <v>B</v>
      </c>
      <c r="H29" s="94" t="str">
        <f ca="1"/>
        <v>CF003108365</v>
      </c>
      <c r="I29" s="94" t="str">
        <f ca="1"/>
        <v>A</v>
      </c>
      <c r="J29" s="94">
        <f ca="1"/>
        <v>23</v>
      </c>
      <c r="K29" s="94"/>
      <c r="L29" s="94">
        <f ca="1"/>
        <v>84.64</v>
      </c>
      <c r="M29" s="94" t="str">
        <f ca="1"/>
        <v>63/65"</v>
      </c>
      <c r="N29" s="94">
        <f ca="1"/>
        <v>63</v>
      </c>
      <c r="O29" s="94" t="str">
        <f ca="1"/>
        <v>Broken Selvedge (PD) [PD烂边]</v>
      </c>
      <c r="P29" s="95" t="str">
        <f ca="1"/>
        <v/>
      </c>
      <c r="Q29" s="95" t="str">
        <f ca="1"/>
        <v/>
      </c>
      <c r="R29" s="96">
        <f ca="1"/>
        <v>46091</v>
      </c>
    </row>
    <row r="30" spans="1:18" s="90" customFormat="1" ht="55" customHeight="1" x14ac:dyDescent="0.35">
      <c r="A30" s="94" t="str">
        <f ca="1"/>
        <v>S25V10883</v>
      </c>
      <c r="B30" s="94" t="str">
        <f ca="1"/>
        <v>PKEK25VE0010883A</v>
      </c>
      <c r="C30" s="94" t="str">
        <f ca="1"/>
        <v>SURF</v>
      </c>
      <c r="D30" s="94" t="str">
        <f ca="1"/>
        <v>484</v>
      </c>
      <c r="E30" s="94" t="str">
        <f ca="1"/>
        <v>FV012282701</v>
      </c>
      <c r="F30" s="94" t="str">
        <f ca="1"/>
        <v>C1500427</v>
      </c>
      <c r="G30" s="94" t="str">
        <f ca="1"/>
        <v>B</v>
      </c>
      <c r="H30" s="94" t="str">
        <f ca="1"/>
        <v>CF003108375</v>
      </c>
      <c r="I30" s="94" t="str">
        <f ca="1"/>
        <v>A</v>
      </c>
      <c r="J30" s="94">
        <f ca="1"/>
        <v>23.1</v>
      </c>
      <c r="K30" s="94"/>
      <c r="L30" s="94">
        <f ca="1"/>
        <v>85.01</v>
      </c>
      <c r="M30" s="94" t="str">
        <f ca="1"/>
        <v>63/65"</v>
      </c>
      <c r="N30" s="94">
        <f ca="1"/>
        <v>63</v>
      </c>
      <c r="O30" s="94" t="str">
        <f ca="1"/>
        <v>Hole (KN) [针织破洞]</v>
      </c>
      <c r="P30" s="95" t="str">
        <f ca="1"/>
        <v/>
      </c>
      <c r="Q30" s="95" t="str">
        <f ca="1"/>
        <v/>
      </c>
      <c r="R30" s="96">
        <f ca="1"/>
        <v>46091</v>
      </c>
    </row>
    <row r="31" spans="1:18" s="90" customFormat="1" ht="55" customHeight="1" x14ac:dyDescent="0.35">
      <c r="A31" s="94" t="str">
        <f ca="1"/>
        <v>S25V10883</v>
      </c>
      <c r="B31" s="94" t="str">
        <f ca="1"/>
        <v>PKEK25VE0010883A</v>
      </c>
      <c r="C31" s="94" t="str">
        <f ca="1"/>
        <v>SURF</v>
      </c>
      <c r="D31" s="94" t="str">
        <f ca="1"/>
        <v>484</v>
      </c>
      <c r="E31" s="94" t="str">
        <f ca="1"/>
        <v>FV012282701</v>
      </c>
      <c r="F31" s="94" t="str">
        <f ca="1"/>
        <v>C1500427</v>
      </c>
      <c r="G31" s="94" t="str">
        <f ca="1"/>
        <v>B</v>
      </c>
      <c r="H31" s="94" t="str">
        <f ca="1"/>
        <v>CF003108386</v>
      </c>
      <c r="I31" s="94" t="str">
        <f ca="1"/>
        <v>A</v>
      </c>
      <c r="J31" s="94">
        <f ca="1"/>
        <v>25.9</v>
      </c>
      <c r="K31" s="94"/>
      <c r="L31" s="94">
        <f ca="1"/>
        <v>95.31</v>
      </c>
      <c r="M31" s="94" t="str">
        <f ca="1"/>
        <v>63/65"</v>
      </c>
      <c r="N31" s="94">
        <f ca="1"/>
        <v>63</v>
      </c>
      <c r="O31" s="94" t="str">
        <f ca="1"/>
        <v>Piece-up(FN) [后整接口]</v>
      </c>
      <c r="P31" s="95" t="str">
        <f ca="1"/>
        <v/>
      </c>
      <c r="Q31" s="95" t="str">
        <f ca="1"/>
        <v/>
      </c>
      <c r="R31" s="96">
        <f ca="1"/>
        <v>46091</v>
      </c>
    </row>
    <row r="32" spans="1:18" s="90" customFormat="1" ht="55" customHeight="1" x14ac:dyDescent="0.35">
      <c r="A32" s="94" t="str">
        <f ca="1"/>
        <v>S25V10883</v>
      </c>
      <c r="B32" s="94" t="str">
        <f ca="1"/>
        <v>PKEK25VE0010883A</v>
      </c>
      <c r="C32" s="94" t="str">
        <f ca="1"/>
        <v>SURF</v>
      </c>
      <c r="D32" s="94" t="str">
        <f ca="1"/>
        <v>484</v>
      </c>
      <c r="E32" s="94" t="str">
        <f ca="1"/>
        <v>FV012282701</v>
      </c>
      <c r="F32" s="94" t="str">
        <f ca="1"/>
        <v>C1500427</v>
      </c>
      <c r="G32" s="94" t="str">
        <f ca="1"/>
        <v>B</v>
      </c>
      <c r="H32" s="94" t="str">
        <f ca="1"/>
        <v>CF003108387</v>
      </c>
      <c r="I32" s="94" t="str">
        <f ca="1"/>
        <v>A</v>
      </c>
      <c r="J32" s="94">
        <f ca="1"/>
        <v>23.1</v>
      </c>
      <c r="K32" s="94"/>
      <c r="L32" s="94">
        <f ca="1"/>
        <v>85.01</v>
      </c>
      <c r="M32" s="94" t="str">
        <f ca="1"/>
        <v>63/65"</v>
      </c>
      <c r="N32" s="94">
        <f ca="1"/>
        <v>63</v>
      </c>
      <c r="O32" s="94" t="str">
        <f ca="1"/>
        <v/>
      </c>
      <c r="P32" s="95" t="str">
        <f ca="1"/>
        <v/>
      </c>
      <c r="Q32" s="95" t="str">
        <f ca="1"/>
        <v/>
      </c>
      <c r="R32" s="96">
        <f ca="1"/>
        <v>46091</v>
      </c>
    </row>
    <row r="33" spans="1:18" s="90" customFormat="1" ht="55" customHeight="1" x14ac:dyDescent="0.35">
      <c r="A33" s="94" t="str">
        <f ca="1"/>
        <v>S25V10883</v>
      </c>
      <c r="B33" s="94" t="str">
        <f ca="1"/>
        <v>PKEK25VE0010883A</v>
      </c>
      <c r="C33" s="94" t="str">
        <f ca="1"/>
        <v>SURF</v>
      </c>
      <c r="D33" s="94" t="str">
        <f ca="1"/>
        <v>484</v>
      </c>
      <c r="E33" s="94" t="str">
        <f ca="1"/>
        <v>FV012282701</v>
      </c>
      <c r="F33" s="94" t="str">
        <f ca="1"/>
        <v>C1500427</v>
      </c>
      <c r="G33" s="94" t="str">
        <f ca="1"/>
        <v>B</v>
      </c>
      <c r="H33" s="94" t="str">
        <f ca="1"/>
        <v>CF003108388</v>
      </c>
      <c r="I33" s="94" t="str">
        <f ca="1"/>
        <v>A</v>
      </c>
      <c r="J33" s="94">
        <f ca="1"/>
        <v>23.2</v>
      </c>
      <c r="K33" s="94"/>
      <c r="L33" s="94">
        <f ca="1"/>
        <v>85.38</v>
      </c>
      <c r="M33" s="94" t="str">
        <f ca="1"/>
        <v>63/65"</v>
      </c>
      <c r="N33" s="94">
        <f ca="1"/>
        <v>63</v>
      </c>
      <c r="O33" s="94" t="str">
        <f ca="1"/>
        <v/>
      </c>
      <c r="P33" s="95" t="str">
        <f ca="1"/>
        <v/>
      </c>
      <c r="Q33" s="95" t="str">
        <f ca="1"/>
        <v/>
      </c>
      <c r="R33" s="96">
        <f ca="1"/>
        <v>46091</v>
      </c>
    </row>
    <row r="34" spans="1:18" s="90" customFormat="1" ht="55" customHeight="1" x14ac:dyDescent="0.35">
      <c r="A34" s="94" t="str">
        <f ca="1"/>
        <v>S25V10883</v>
      </c>
      <c r="B34" s="94" t="str">
        <f ca="1"/>
        <v>PKEK25VE0010883A</v>
      </c>
      <c r="C34" s="94" t="str">
        <f ca="1"/>
        <v>SURF</v>
      </c>
      <c r="D34" s="94" t="str">
        <f ca="1"/>
        <v>484</v>
      </c>
      <c r="E34" s="94" t="str">
        <f ca="1"/>
        <v>FV012282701</v>
      </c>
      <c r="F34" s="94" t="str">
        <f ca="1"/>
        <v>C1500427</v>
      </c>
      <c r="G34" s="94" t="str">
        <f ca="1"/>
        <v>B</v>
      </c>
      <c r="H34" s="94" t="str">
        <f ca="1"/>
        <v>CF003108389</v>
      </c>
      <c r="I34" s="94" t="str">
        <f ca="1"/>
        <v>A</v>
      </c>
      <c r="J34" s="94">
        <f ca="1"/>
        <v>23.1</v>
      </c>
      <c r="K34" s="94"/>
      <c r="L34" s="94">
        <f ca="1"/>
        <v>85.01</v>
      </c>
      <c r="M34" s="94" t="str">
        <f ca="1"/>
        <v>63/65"</v>
      </c>
      <c r="N34" s="94">
        <f ca="1"/>
        <v>63</v>
      </c>
      <c r="O34" s="94" t="str">
        <f ca="1"/>
        <v/>
      </c>
      <c r="P34" s="95" t="str">
        <f ca="1"/>
        <v/>
      </c>
      <c r="Q34" s="95" t="str">
        <f ca="1"/>
        <v/>
      </c>
      <c r="R34" s="96">
        <f ca="1"/>
        <v>46091</v>
      </c>
    </row>
    <row r="35" spans="1:18" s="90" customFormat="1" ht="55" customHeight="1" x14ac:dyDescent="0.35">
      <c r="A35" s="94" t="str">
        <f ca="1"/>
        <v>S25V10883</v>
      </c>
      <c r="B35" s="94" t="str">
        <f ca="1"/>
        <v>PKEK25VE0010883A</v>
      </c>
      <c r="C35" s="94" t="str">
        <f ca="1"/>
        <v>SURF</v>
      </c>
      <c r="D35" s="94" t="str">
        <f ca="1"/>
        <v>484</v>
      </c>
      <c r="E35" s="94" t="str">
        <f ca="1"/>
        <v>FV012282701</v>
      </c>
      <c r="F35" s="94" t="str">
        <f ca="1"/>
        <v>C1500427</v>
      </c>
      <c r="G35" s="94" t="str">
        <f ca="1"/>
        <v>B</v>
      </c>
      <c r="H35" s="94" t="str">
        <f ca="1"/>
        <v>CF003108390</v>
      </c>
      <c r="I35" s="94" t="str">
        <f ca="1"/>
        <v>A</v>
      </c>
      <c r="J35" s="94">
        <f ca="1"/>
        <v>23.2</v>
      </c>
      <c r="K35" s="94"/>
      <c r="L35" s="94">
        <f ca="1"/>
        <v>85.38</v>
      </c>
      <c r="M35" s="94" t="str">
        <f ca="1"/>
        <v>63/65"</v>
      </c>
      <c r="N35" s="94">
        <f ca="1"/>
        <v>63</v>
      </c>
      <c r="O35" s="94" t="str">
        <f ca="1"/>
        <v/>
      </c>
      <c r="P35" s="95" t="str">
        <f ca="1"/>
        <v/>
      </c>
      <c r="Q35" s="95" t="str">
        <f ca="1"/>
        <v/>
      </c>
      <c r="R35" s="96">
        <f ca="1"/>
        <v>46091</v>
      </c>
    </row>
    <row r="36" spans="1:18" s="90" customFormat="1" ht="55" customHeight="1" x14ac:dyDescent="0.35">
      <c r="A36" s="94" t="str">
        <f ca="1"/>
        <v>S25V10883</v>
      </c>
      <c r="B36" s="94" t="str">
        <f ca="1"/>
        <v>PKEK25VE0010883A</v>
      </c>
      <c r="C36" s="94" t="str">
        <f ca="1"/>
        <v>SURF</v>
      </c>
      <c r="D36" s="94" t="str">
        <f ca="1"/>
        <v>484</v>
      </c>
      <c r="E36" s="94" t="str">
        <f ca="1"/>
        <v>FV012282701</v>
      </c>
      <c r="F36" s="94" t="str">
        <f ca="1"/>
        <v>C1500427</v>
      </c>
      <c r="G36" s="94" t="str">
        <f ca="1"/>
        <v>B</v>
      </c>
      <c r="H36" s="94" t="str">
        <f ca="1"/>
        <v>CF003108391</v>
      </c>
      <c r="I36" s="94" t="str">
        <f ca="1"/>
        <v>A</v>
      </c>
      <c r="J36" s="94">
        <f ca="1"/>
        <v>23.3</v>
      </c>
      <c r="K36" s="94"/>
      <c r="L36" s="94">
        <f ca="1"/>
        <v>85.74</v>
      </c>
      <c r="M36" s="94" t="str">
        <f ca="1"/>
        <v>63/65"</v>
      </c>
      <c r="N36" s="94">
        <f ca="1"/>
        <v>63</v>
      </c>
      <c r="O36" s="94" t="str">
        <f ca="1"/>
        <v/>
      </c>
      <c r="P36" s="95" t="str">
        <f ca="1"/>
        <v/>
      </c>
      <c r="Q36" s="95" t="str">
        <f ca="1"/>
        <v/>
      </c>
      <c r="R36" s="96">
        <f ca="1"/>
        <v>46091</v>
      </c>
    </row>
    <row r="37" spans="1:18" s="90" customFormat="1" ht="55" customHeight="1" x14ac:dyDescent="0.35">
      <c r="A37" s="94" t="str">
        <f ca="1"/>
        <v>S25V10883</v>
      </c>
      <c r="B37" s="94" t="str">
        <f ca="1"/>
        <v>PKEK25VE0010883A</v>
      </c>
      <c r="C37" s="94" t="str">
        <f ca="1"/>
        <v>SURF</v>
      </c>
      <c r="D37" s="94" t="str">
        <f ca="1"/>
        <v>484</v>
      </c>
      <c r="E37" s="94" t="str">
        <f ca="1"/>
        <v>FV012282701</v>
      </c>
      <c r="F37" s="94" t="str">
        <f ca="1"/>
        <v>C1500427</v>
      </c>
      <c r="G37" s="94" t="str">
        <f ca="1"/>
        <v>B</v>
      </c>
      <c r="H37" s="94" t="str">
        <f ca="1"/>
        <v>CF003108392</v>
      </c>
      <c r="I37" s="94" t="str">
        <f ca="1"/>
        <v>A</v>
      </c>
      <c r="J37" s="94">
        <f ca="1"/>
        <v>22.3</v>
      </c>
      <c r="K37" s="94"/>
      <c r="L37" s="94">
        <f ca="1"/>
        <v>82.06</v>
      </c>
      <c r="M37" s="94" t="str">
        <f ca="1"/>
        <v>63/65"</v>
      </c>
      <c r="N37" s="94">
        <f ca="1"/>
        <v>63</v>
      </c>
      <c r="O37" s="94" t="str">
        <f ca="1"/>
        <v/>
      </c>
      <c r="P37" s="95" t="str">
        <f ca="1"/>
        <v/>
      </c>
      <c r="Q37" s="95" t="str">
        <f ca="1"/>
        <v/>
      </c>
      <c r="R37" s="96">
        <f ca="1"/>
        <v>46091</v>
      </c>
    </row>
    <row r="38" spans="1:18" s="90" customFormat="1" ht="55" customHeight="1" x14ac:dyDescent="0.35">
      <c r="A38" s="94" t="str">
        <f ca="1"/>
        <v>S25V10883</v>
      </c>
      <c r="B38" s="94" t="str">
        <f ca="1"/>
        <v>PKEK25VE0010883A</v>
      </c>
      <c r="C38" s="94" t="str">
        <f ca="1"/>
        <v>SURF</v>
      </c>
      <c r="D38" s="94" t="str">
        <f ca="1"/>
        <v>484</v>
      </c>
      <c r="E38" s="94" t="str">
        <f ca="1"/>
        <v>FV012282701</v>
      </c>
      <c r="F38" s="94" t="str">
        <f ca="1"/>
        <v>C1500427</v>
      </c>
      <c r="G38" s="94" t="str">
        <f ca="1"/>
        <v>B</v>
      </c>
      <c r="H38" s="94" t="str">
        <f ca="1"/>
        <v>CF003108393</v>
      </c>
      <c r="I38" s="94" t="str">
        <f ca="1"/>
        <v>A</v>
      </c>
      <c r="J38" s="94">
        <f ca="1"/>
        <v>10.6</v>
      </c>
      <c r="K38" s="94"/>
      <c r="L38" s="94">
        <f ca="1"/>
        <v>39.01</v>
      </c>
      <c r="M38" s="94" t="str">
        <f ca="1"/>
        <v>63/65"</v>
      </c>
      <c r="N38" s="94">
        <f ca="1"/>
        <v>63</v>
      </c>
      <c r="O38" s="94" t="str">
        <f ca="1"/>
        <v/>
      </c>
      <c r="P38" s="95" t="str">
        <f ca="1"/>
        <v/>
      </c>
      <c r="Q38" s="95" t="str">
        <f ca="1"/>
        <v/>
      </c>
      <c r="R38" s="96">
        <f ca="1"/>
        <v>46091</v>
      </c>
    </row>
    <row r="39" spans="1:18" s="90" customFormat="1" ht="55" customHeight="1" x14ac:dyDescent="0.35">
      <c r="A39" s="94" t="str">
        <f ca="1"/>
        <v>S25V10883</v>
      </c>
      <c r="B39" s="94" t="str">
        <f ca="1"/>
        <v>PKEK25VE0010883A</v>
      </c>
      <c r="C39" s="94" t="str">
        <f ca="1"/>
        <v>SURF</v>
      </c>
      <c r="D39" s="94" t="str">
        <f ca="1"/>
        <v>484</v>
      </c>
      <c r="E39" s="94" t="str">
        <f ca="1"/>
        <v>FV012282701</v>
      </c>
      <c r="F39" s="94" t="str">
        <f ca="1"/>
        <v>C1500427</v>
      </c>
      <c r="G39" s="94" t="str">
        <f ca="1"/>
        <v>B</v>
      </c>
      <c r="H39" s="94" t="str">
        <f ca="1"/>
        <v>CF003108394</v>
      </c>
      <c r="I39" s="94" t="str">
        <f ca="1"/>
        <v>A</v>
      </c>
      <c r="J39" s="94">
        <f ca="1"/>
        <v>23</v>
      </c>
      <c r="K39" s="94"/>
      <c r="L39" s="94">
        <f ca="1"/>
        <v>84.64</v>
      </c>
      <c r="M39" s="94" t="str">
        <f ca="1"/>
        <v>63/65"</v>
      </c>
      <c r="N39" s="94">
        <f ca="1"/>
        <v>63</v>
      </c>
      <c r="O39" s="94" t="str">
        <f ca="1"/>
        <v/>
      </c>
      <c r="P39" s="95" t="str">
        <f ca="1"/>
        <v/>
      </c>
      <c r="Q39" s="95" t="str">
        <f ca="1"/>
        <v/>
      </c>
      <c r="R39" s="96">
        <f ca="1"/>
        <v>46091</v>
      </c>
    </row>
    <row r="40" spans="1:18" s="90" customFormat="1" ht="55" customHeight="1" x14ac:dyDescent="0.35">
      <c r="A40" s="94" t="str">
        <f ca="1"/>
        <v>S25V10883</v>
      </c>
      <c r="B40" s="94" t="str">
        <f ca="1"/>
        <v>PKEK25VE0010883A</v>
      </c>
      <c r="C40" s="94" t="str">
        <f ca="1"/>
        <v>SURF</v>
      </c>
      <c r="D40" s="94" t="str">
        <f ca="1"/>
        <v>484</v>
      </c>
      <c r="E40" s="94" t="str">
        <f ca="1"/>
        <v>FV012282701</v>
      </c>
      <c r="F40" s="94" t="str">
        <f ca="1"/>
        <v>C1500427</v>
      </c>
      <c r="G40" s="94" t="str">
        <f ca="1"/>
        <v>B</v>
      </c>
      <c r="H40" s="94" t="str">
        <f ca="1"/>
        <v>CF003108395</v>
      </c>
      <c r="I40" s="94" t="str">
        <f ca="1"/>
        <v>A</v>
      </c>
      <c r="J40" s="94">
        <f ca="1"/>
        <v>23</v>
      </c>
      <c r="K40" s="94"/>
      <c r="L40" s="94">
        <f ca="1"/>
        <v>84.64</v>
      </c>
      <c r="M40" s="94" t="str">
        <f ca="1"/>
        <v>63/65"</v>
      </c>
      <c r="N40" s="94">
        <f ca="1"/>
        <v>63</v>
      </c>
      <c r="O40" s="94" t="str">
        <f ca="1"/>
        <v/>
      </c>
      <c r="P40" s="95" t="str">
        <f ca="1"/>
        <v/>
      </c>
      <c r="Q40" s="95" t="str">
        <f ca="1"/>
        <v/>
      </c>
      <c r="R40" s="96">
        <f ca="1"/>
        <v>46091</v>
      </c>
    </row>
    <row r="41" spans="1:18" s="90" customFormat="1" ht="55" customHeight="1" x14ac:dyDescent="0.35">
      <c r="A41" s="94" t="str">
        <f ca="1"/>
        <v>S25V10883</v>
      </c>
      <c r="B41" s="94" t="str">
        <f ca="1"/>
        <v>PKEK25VE0010883A</v>
      </c>
      <c r="C41" s="94" t="str">
        <f ca="1"/>
        <v>SURF</v>
      </c>
      <c r="D41" s="94" t="str">
        <f ca="1"/>
        <v>484</v>
      </c>
      <c r="E41" s="94" t="str">
        <f ca="1"/>
        <v>FV012282701</v>
      </c>
      <c r="F41" s="94" t="str">
        <f ca="1"/>
        <v>C1500427</v>
      </c>
      <c r="G41" s="94" t="str">
        <f ca="1"/>
        <v>B</v>
      </c>
      <c r="H41" s="94" t="str">
        <f ca="1"/>
        <v>CF003108432</v>
      </c>
      <c r="I41" s="94" t="str">
        <f ca="1"/>
        <v>A</v>
      </c>
      <c r="J41" s="94">
        <f ca="1"/>
        <v>23.1</v>
      </c>
      <c r="K41" s="94"/>
      <c r="L41" s="94">
        <f ca="1"/>
        <v>85.01</v>
      </c>
      <c r="M41" s="94" t="str">
        <f ca="1"/>
        <v>63/65"</v>
      </c>
      <c r="N41" s="94">
        <f ca="1"/>
        <v>63</v>
      </c>
      <c r="O41" s="94" t="str">
        <f ca="1"/>
        <v>Oil (PD) [匹染油污]</v>
      </c>
      <c r="P41" s="95" t="str">
        <f ca="1"/>
        <v/>
      </c>
      <c r="Q41" s="95" t="str">
        <f ca="1"/>
        <v/>
      </c>
      <c r="R41" s="96">
        <f ca="1"/>
        <v>46091</v>
      </c>
    </row>
    <row r="42" spans="1:18" s="90" customFormat="1" ht="55" customHeight="1" x14ac:dyDescent="0.35">
      <c r="A42" s="94" t="str">
        <f ca="1"/>
        <v>S25V10883</v>
      </c>
      <c r="B42" s="94" t="str">
        <f ca="1"/>
        <v>PKEK25VE0010883A</v>
      </c>
      <c r="C42" s="94" t="str">
        <f ca="1"/>
        <v>SURF</v>
      </c>
      <c r="D42" s="94" t="str">
        <f ca="1"/>
        <v>484</v>
      </c>
      <c r="E42" s="94" t="str">
        <f ca="1"/>
        <v>FV012282701</v>
      </c>
      <c r="F42" s="94" t="str">
        <f ca="1"/>
        <v>C1500427</v>
      </c>
      <c r="G42" s="94" t="str">
        <f ca="1"/>
        <v>B</v>
      </c>
      <c r="H42" s="94" t="str">
        <f ca="1"/>
        <v>CF003108433</v>
      </c>
      <c r="I42" s="94" t="str">
        <f ca="1"/>
        <v>A</v>
      </c>
      <c r="J42" s="94">
        <f ca="1"/>
        <v>23.1</v>
      </c>
      <c r="K42" s="94"/>
      <c r="L42" s="94">
        <f ca="1"/>
        <v>85.01</v>
      </c>
      <c r="M42" s="94" t="str">
        <f ca="1"/>
        <v>63/65"</v>
      </c>
      <c r="N42" s="94">
        <f ca="1"/>
        <v>63</v>
      </c>
      <c r="O42" s="94" t="str">
        <f ca="1"/>
        <v/>
      </c>
      <c r="P42" s="95" t="str">
        <f ca="1"/>
        <v/>
      </c>
      <c r="Q42" s="95" t="str">
        <f ca="1"/>
        <v/>
      </c>
      <c r="R42" s="96">
        <f ca="1"/>
        <v>46091</v>
      </c>
    </row>
    <row r="43" spans="1:18" s="90" customFormat="1" ht="55" customHeight="1" x14ac:dyDescent="0.35">
      <c r="A43" s="94" t="str">
        <f ca="1"/>
        <v>S25V10883</v>
      </c>
      <c r="B43" s="94" t="str">
        <f ca="1"/>
        <v>PKEK25VE0010883A</v>
      </c>
      <c r="C43" s="94" t="str">
        <f ca="1"/>
        <v>SURF</v>
      </c>
      <c r="D43" s="94" t="str">
        <f ca="1"/>
        <v>484</v>
      </c>
      <c r="E43" s="94" t="str">
        <f ca="1"/>
        <v>FV012282701</v>
      </c>
      <c r="F43" s="94" t="str">
        <f ca="1"/>
        <v>C1500427</v>
      </c>
      <c r="G43" s="94" t="str">
        <f ca="1"/>
        <v>B</v>
      </c>
      <c r="H43" s="94" t="str">
        <f ca="1"/>
        <v>CF003108434</v>
      </c>
      <c r="I43" s="94" t="str">
        <f ca="1"/>
        <v>A</v>
      </c>
      <c r="J43" s="94">
        <f ca="1"/>
        <v>23.1</v>
      </c>
      <c r="K43" s="94"/>
      <c r="L43" s="94">
        <f ca="1"/>
        <v>85.01</v>
      </c>
      <c r="M43" s="94" t="str">
        <f ca="1"/>
        <v>63/65"</v>
      </c>
      <c r="N43" s="94">
        <f ca="1"/>
        <v>63</v>
      </c>
      <c r="O43" s="94" t="str">
        <f ca="1"/>
        <v/>
      </c>
      <c r="P43" s="95" t="str">
        <f ca="1"/>
        <v/>
      </c>
      <c r="Q43" s="95" t="str">
        <f ca="1"/>
        <v/>
      </c>
      <c r="R43" s="96">
        <f ca="1"/>
        <v>46091</v>
      </c>
    </row>
    <row r="44" spans="1:18" s="90" customFormat="1" ht="55" customHeight="1" x14ac:dyDescent="0.35">
      <c r="A44" s="94" t="str">
        <f ca="1"/>
        <v>S25V10883</v>
      </c>
      <c r="B44" s="94" t="str">
        <f ca="1"/>
        <v>PKEK25VE0010883A</v>
      </c>
      <c r="C44" s="94" t="str">
        <f ca="1"/>
        <v>SURF</v>
      </c>
      <c r="D44" s="94" t="str">
        <f ca="1"/>
        <v>484</v>
      </c>
      <c r="E44" s="94" t="str">
        <f ca="1"/>
        <v>FV012282701</v>
      </c>
      <c r="F44" s="94" t="str">
        <f ca="1"/>
        <v>C1500427</v>
      </c>
      <c r="G44" s="94" t="str">
        <f ca="1"/>
        <v>B</v>
      </c>
      <c r="H44" s="94" t="str">
        <f ca="1"/>
        <v>CF003108435</v>
      </c>
      <c r="I44" s="94" t="str">
        <f ca="1"/>
        <v>A</v>
      </c>
      <c r="J44" s="94">
        <f ca="1"/>
        <v>22.9</v>
      </c>
      <c r="K44" s="94"/>
      <c r="L44" s="94">
        <f ca="1"/>
        <v>84.27</v>
      </c>
      <c r="M44" s="94" t="str">
        <f ca="1"/>
        <v>63/65"</v>
      </c>
      <c r="N44" s="94">
        <f ca="1"/>
        <v>63</v>
      </c>
      <c r="O44" s="94" t="str">
        <f ca="1"/>
        <v>Oil (PD) [匹染油污]</v>
      </c>
      <c r="P44" s="95" t="str">
        <f ca="1"/>
        <v/>
      </c>
      <c r="Q44" s="95" t="str">
        <f ca="1"/>
        <v/>
      </c>
      <c r="R44" s="96">
        <f ca="1"/>
        <v>46091</v>
      </c>
    </row>
    <row r="45" spans="1:18" s="90" customFormat="1" ht="55" customHeight="1" x14ac:dyDescent="0.35">
      <c r="A45" s="94" t="str">
        <f ca="1"/>
        <v>S25V10883</v>
      </c>
      <c r="B45" s="94" t="str">
        <f ca="1"/>
        <v>PKEK25VE0010883A</v>
      </c>
      <c r="C45" s="94" t="str">
        <f ca="1"/>
        <v>SURF</v>
      </c>
      <c r="D45" s="94" t="str">
        <f ca="1"/>
        <v>484</v>
      </c>
      <c r="E45" s="94" t="str">
        <f ca="1"/>
        <v>FV012282701</v>
      </c>
      <c r="F45" s="94" t="str">
        <f ca="1"/>
        <v>C1500427</v>
      </c>
      <c r="G45" s="94" t="str">
        <f ca="1"/>
        <v>B</v>
      </c>
      <c r="H45" s="94" t="str">
        <f ca="1"/>
        <v>CF003108466</v>
      </c>
      <c r="I45" s="94" t="str">
        <f ca="1"/>
        <v>A</v>
      </c>
      <c r="J45" s="94">
        <f ca="1"/>
        <v>23.1</v>
      </c>
      <c r="K45" s="94"/>
      <c r="L45" s="94">
        <f ca="1"/>
        <v>85.01</v>
      </c>
      <c r="M45" s="94" t="str">
        <f ca="1"/>
        <v>63/65"</v>
      </c>
      <c r="N45" s="94">
        <f ca="1"/>
        <v>63</v>
      </c>
      <c r="O45" s="94" t="str">
        <f ca="1"/>
        <v>Color Mark (PD) [PD沾色]</v>
      </c>
      <c r="P45" s="95" t="str">
        <f ca="1"/>
        <v/>
      </c>
      <c r="Q45" s="95" t="str">
        <f ca="1"/>
        <v/>
      </c>
      <c r="R45" s="96">
        <f ca="1"/>
        <v>46091</v>
      </c>
    </row>
    <row r="46" spans="1:18" s="90" customFormat="1" ht="55" customHeight="1" x14ac:dyDescent="0.35">
      <c r="A46" s="94" t="str">
        <f ca="1"/>
        <v>S25V10883</v>
      </c>
      <c r="B46" s="94" t="str">
        <f ca="1"/>
        <v>PKEK25VE0010883A</v>
      </c>
      <c r="C46" s="94" t="str">
        <f ca="1"/>
        <v>SURF</v>
      </c>
      <c r="D46" s="94" t="str">
        <f ca="1"/>
        <v>484</v>
      </c>
      <c r="E46" s="94" t="str">
        <f ca="1"/>
        <v>FV012282701</v>
      </c>
      <c r="F46" s="94" t="str">
        <f ca="1"/>
        <v>C1500427</v>
      </c>
      <c r="G46" s="94" t="str">
        <f ca="1"/>
        <v>B</v>
      </c>
      <c r="H46" s="94" t="str">
        <f ca="1"/>
        <v>CF003108467</v>
      </c>
      <c r="I46" s="94" t="str">
        <f ca="1"/>
        <v>A</v>
      </c>
      <c r="J46" s="94">
        <f ca="1"/>
        <v>28.4</v>
      </c>
      <c r="K46" s="94"/>
      <c r="L46" s="94">
        <f ca="1"/>
        <v>104.51</v>
      </c>
      <c r="M46" s="94" t="str">
        <f ca="1"/>
        <v>63/65"</v>
      </c>
      <c r="N46" s="94">
        <f ca="1"/>
        <v>63</v>
      </c>
      <c r="O46" s="94" t="str">
        <f ca="1"/>
        <v>Piece-up(FN) [后整接口]</v>
      </c>
      <c r="P46" s="95" t="str">
        <f ca="1"/>
        <v/>
      </c>
      <c r="Q46" s="95" t="str">
        <f ca="1"/>
        <v/>
      </c>
      <c r="R46" s="96">
        <f ca="1"/>
        <v>46091</v>
      </c>
    </row>
    <row r="47" spans="1:18" s="90" customFormat="1" ht="55" customHeight="1" x14ac:dyDescent="0.35">
      <c r="A47" s="94" t="str">
        <f ca="1"/>
        <v>S25V10883</v>
      </c>
      <c r="B47" s="94" t="str">
        <f ca="1"/>
        <v>PKEK25VE0010883A</v>
      </c>
      <c r="C47" s="94" t="str">
        <f ca="1"/>
        <v>SURF</v>
      </c>
      <c r="D47" s="94" t="str">
        <f ca="1"/>
        <v>484</v>
      </c>
      <c r="E47" s="94" t="str">
        <f ca="1"/>
        <v>FV012282701</v>
      </c>
      <c r="F47" s="94" t="str">
        <f ca="1"/>
        <v>C1500427</v>
      </c>
      <c r="G47" s="94" t="str">
        <f ca="1"/>
        <v>B</v>
      </c>
      <c r="H47" s="94" t="str">
        <f ca="1"/>
        <v>CF003108468</v>
      </c>
      <c r="I47" s="94" t="str">
        <f ca="1"/>
        <v>A</v>
      </c>
      <c r="J47" s="94">
        <f ca="1"/>
        <v>23</v>
      </c>
      <c r="K47" s="94"/>
      <c r="L47" s="94">
        <f ca="1"/>
        <v>84.64</v>
      </c>
      <c r="M47" s="94" t="str">
        <f ca="1"/>
        <v>63/65"</v>
      </c>
      <c r="N47" s="94">
        <f ca="1"/>
        <v>63</v>
      </c>
      <c r="O47" s="94" t="str">
        <f ca="1"/>
        <v/>
      </c>
      <c r="P47" s="95" t="str">
        <f ca="1"/>
        <v/>
      </c>
      <c r="Q47" s="95" t="str">
        <f ca="1"/>
        <v/>
      </c>
      <c r="R47" s="96">
        <f ca="1"/>
        <v>46091</v>
      </c>
    </row>
    <row r="48" spans="1:18" s="90" customFormat="1" ht="55" customHeight="1" x14ac:dyDescent="0.35">
      <c r="A48" s="94" t="str">
        <f ca="1"/>
        <v>S25V10883</v>
      </c>
      <c r="B48" s="94" t="str">
        <f ca="1"/>
        <v>PKEK25VE0010883A</v>
      </c>
      <c r="C48" s="94" t="str">
        <f ca="1"/>
        <v>SURF</v>
      </c>
      <c r="D48" s="94" t="str">
        <f ca="1"/>
        <v>484</v>
      </c>
      <c r="E48" s="94" t="str">
        <f ca="1"/>
        <v>FV012282701</v>
      </c>
      <c r="F48" s="94" t="str">
        <f ca="1"/>
        <v>C1500427</v>
      </c>
      <c r="G48" s="94" t="str">
        <f ca="1"/>
        <v>B</v>
      </c>
      <c r="H48" s="94" t="str">
        <f ca="1"/>
        <v>CF003108469</v>
      </c>
      <c r="I48" s="94" t="str">
        <f ca="1"/>
        <v>A</v>
      </c>
      <c r="J48" s="94">
        <f ca="1"/>
        <v>23</v>
      </c>
      <c r="K48" s="94"/>
      <c r="L48" s="94">
        <f ca="1"/>
        <v>84.64</v>
      </c>
      <c r="M48" s="94" t="str">
        <f ca="1"/>
        <v>63/65"</v>
      </c>
      <c r="N48" s="94">
        <f ca="1"/>
        <v>63</v>
      </c>
      <c r="O48" s="94" t="str">
        <f ca="1"/>
        <v/>
      </c>
      <c r="P48" s="95" t="str">
        <f ca="1"/>
        <v/>
      </c>
      <c r="Q48" s="95" t="str">
        <f ca="1"/>
        <v/>
      </c>
      <c r="R48" s="96">
        <f ca="1"/>
        <v>46091</v>
      </c>
    </row>
    <row r="49" spans="1:18" s="90" customFormat="1" ht="55" customHeight="1" x14ac:dyDescent="0.35">
      <c r="A49" s="94" t="str">
        <f ca="1"/>
        <v>S25V10883</v>
      </c>
      <c r="B49" s="94" t="str">
        <f ca="1"/>
        <v>PKEK25VE0010883A</v>
      </c>
      <c r="C49" s="94" t="str">
        <f ca="1"/>
        <v>SURF</v>
      </c>
      <c r="D49" s="94" t="str">
        <f ca="1"/>
        <v>484</v>
      </c>
      <c r="E49" s="94" t="str">
        <f ca="1"/>
        <v>FV012282701</v>
      </c>
      <c r="F49" s="94" t="str">
        <f ca="1"/>
        <v>C1500427</v>
      </c>
      <c r="G49" s="94" t="str">
        <f ca="1"/>
        <v>B</v>
      </c>
      <c r="H49" s="94" t="str">
        <f ca="1"/>
        <v>CF003108470</v>
      </c>
      <c r="I49" s="94" t="str">
        <f ca="1"/>
        <v>A</v>
      </c>
      <c r="J49" s="94">
        <f ca="1"/>
        <v>23</v>
      </c>
      <c r="K49" s="94"/>
      <c r="L49" s="94">
        <f ca="1"/>
        <v>84.64</v>
      </c>
      <c r="M49" s="94" t="str">
        <f ca="1"/>
        <v>63/65"</v>
      </c>
      <c r="N49" s="94">
        <f ca="1"/>
        <v>63</v>
      </c>
      <c r="O49" s="94" t="str">
        <f ca="1"/>
        <v/>
      </c>
      <c r="P49" s="95" t="str">
        <f ca="1"/>
        <v/>
      </c>
      <c r="Q49" s="95" t="str">
        <f ca="1"/>
        <v/>
      </c>
      <c r="R49" s="96">
        <f ca="1"/>
        <v>46091</v>
      </c>
    </row>
    <row r="50" spans="1:18" s="90" customFormat="1" ht="55" customHeight="1" x14ac:dyDescent="0.35">
      <c r="A50" s="94" t="str">
        <f ca="1"/>
        <v>S25V10883</v>
      </c>
      <c r="B50" s="94" t="str">
        <f ca="1"/>
        <v>PKEK25VE0010883A</v>
      </c>
      <c r="C50" s="94" t="str">
        <f ca="1"/>
        <v>SURF</v>
      </c>
      <c r="D50" s="94" t="str">
        <f ca="1"/>
        <v>484</v>
      </c>
      <c r="E50" s="94" t="str">
        <f ca="1"/>
        <v>FV012282701</v>
      </c>
      <c r="F50" s="94" t="str">
        <f ca="1"/>
        <v>C1500427</v>
      </c>
      <c r="G50" s="94" t="str">
        <f ca="1"/>
        <v>B</v>
      </c>
      <c r="H50" s="94" t="str">
        <f ca="1"/>
        <v>CF003108477</v>
      </c>
      <c r="I50" s="94" t="str">
        <f ca="1"/>
        <v>A</v>
      </c>
      <c r="J50" s="94">
        <f ca="1"/>
        <v>23.1</v>
      </c>
      <c r="K50" s="94"/>
      <c r="L50" s="94">
        <f ca="1"/>
        <v>85.01</v>
      </c>
      <c r="M50" s="94" t="str">
        <f ca="1"/>
        <v>63/65"</v>
      </c>
      <c r="N50" s="94">
        <f ca="1"/>
        <v>63</v>
      </c>
      <c r="O50" s="94" t="str">
        <f ca="1"/>
        <v/>
      </c>
      <c r="P50" s="95" t="str">
        <f ca="1"/>
        <v/>
      </c>
      <c r="Q50" s="95" t="str">
        <f ca="1"/>
        <v/>
      </c>
      <c r="R50" s="96">
        <f ca="1"/>
        <v>46091</v>
      </c>
    </row>
    <row r="51" spans="1:18" s="90" customFormat="1" ht="55" customHeight="1" x14ac:dyDescent="0.35">
      <c r="A51" s="94" t="str">
        <f ca="1"/>
        <v>S25V10883</v>
      </c>
      <c r="B51" s="94" t="str">
        <f ca="1"/>
        <v>PKEK25VE0010883A</v>
      </c>
      <c r="C51" s="94" t="str">
        <f ca="1"/>
        <v>SURF</v>
      </c>
      <c r="D51" s="94" t="str">
        <f ca="1"/>
        <v>484</v>
      </c>
      <c r="E51" s="94" t="str">
        <f ca="1"/>
        <v>FV012282701</v>
      </c>
      <c r="F51" s="94" t="str">
        <f ca="1"/>
        <v>C1500427</v>
      </c>
      <c r="G51" s="94" t="str">
        <f ca="1"/>
        <v>B</v>
      </c>
      <c r="H51" s="94" t="str">
        <f ca="1"/>
        <v>CF003108478</v>
      </c>
      <c r="I51" s="94" t="str">
        <f ca="1"/>
        <v>A</v>
      </c>
      <c r="J51" s="94">
        <f ca="1"/>
        <v>23.1</v>
      </c>
      <c r="K51" s="94"/>
      <c r="L51" s="94">
        <f ca="1"/>
        <v>85.01</v>
      </c>
      <c r="M51" s="94" t="str">
        <f ca="1"/>
        <v>63/65"</v>
      </c>
      <c r="N51" s="94">
        <f ca="1"/>
        <v>63</v>
      </c>
      <c r="O51" s="94" t="str">
        <f ca="1"/>
        <v/>
      </c>
      <c r="P51" s="95" t="str">
        <f ca="1"/>
        <v/>
      </c>
      <c r="Q51" s="95" t="str">
        <f ca="1"/>
        <v/>
      </c>
      <c r="R51" s="96">
        <f ca="1"/>
        <v>46091</v>
      </c>
    </row>
    <row r="52" spans="1:18" s="90" customFormat="1" ht="55" customHeight="1" x14ac:dyDescent="0.35">
      <c r="A52" s="94" t="str">
        <f ca="1"/>
        <v>S25V10883</v>
      </c>
      <c r="B52" s="94" t="str">
        <f ca="1"/>
        <v>PKEK25VE0010883A</v>
      </c>
      <c r="C52" s="94" t="str">
        <f ca="1"/>
        <v>SURF</v>
      </c>
      <c r="D52" s="94" t="str">
        <f ca="1"/>
        <v>484</v>
      </c>
      <c r="E52" s="94" t="str">
        <f ca="1"/>
        <v>FV012282701</v>
      </c>
      <c r="F52" s="94" t="str">
        <f ca="1"/>
        <v>C1500427</v>
      </c>
      <c r="G52" s="94" t="str">
        <f ca="1"/>
        <v>B</v>
      </c>
      <c r="H52" s="94" t="str">
        <f ca="1"/>
        <v>CF003108479</v>
      </c>
      <c r="I52" s="94" t="str">
        <f ca="1"/>
        <v>A</v>
      </c>
      <c r="J52" s="94">
        <f ca="1"/>
        <v>18.3</v>
      </c>
      <c r="K52" s="94"/>
      <c r="L52" s="94">
        <f ca="1"/>
        <v>67.34</v>
      </c>
      <c r="M52" s="94" t="str">
        <f ca="1"/>
        <v>63/65"</v>
      </c>
      <c r="N52" s="94">
        <f ca="1"/>
        <v>63</v>
      </c>
      <c r="O52" s="94" t="str">
        <f ca="1"/>
        <v/>
      </c>
      <c r="P52" s="95" t="str">
        <f ca="1"/>
        <v/>
      </c>
      <c r="Q52" s="95" t="str">
        <f ca="1"/>
        <v/>
      </c>
      <c r="R52" s="96">
        <f ca="1"/>
        <v>46091</v>
      </c>
    </row>
    <row r="53" spans="1:18" s="90" customFormat="1" ht="55" customHeight="1" x14ac:dyDescent="0.35">
      <c r="A53" s="94" t="str">
        <f ca="1"/>
        <v>S25V10883</v>
      </c>
      <c r="B53" s="94" t="str">
        <f ca="1"/>
        <v>PKEK25VE0010883A</v>
      </c>
      <c r="C53" s="94" t="str">
        <f ca="1"/>
        <v>SURF</v>
      </c>
      <c r="D53" s="94" t="str">
        <f ca="1"/>
        <v>484</v>
      </c>
      <c r="E53" s="94" t="str">
        <f ca="1"/>
        <v>FV012282701</v>
      </c>
      <c r="F53" s="94" t="str">
        <f ca="1"/>
        <v>C1500427</v>
      </c>
      <c r="G53" s="94" t="str">
        <f ca="1"/>
        <v>B</v>
      </c>
      <c r="H53" s="94" t="str">
        <f ca="1"/>
        <v>CF003108480</v>
      </c>
      <c r="I53" s="94" t="str">
        <f ca="1"/>
        <v>A</v>
      </c>
      <c r="J53" s="94">
        <f ca="1"/>
        <v>27.8</v>
      </c>
      <c r="K53" s="94"/>
      <c r="L53" s="94">
        <f ca="1"/>
        <v>102.3</v>
      </c>
      <c r="M53" s="94" t="str">
        <f ca="1"/>
        <v>63/65"</v>
      </c>
      <c r="N53" s="94">
        <f ca="1"/>
        <v>63</v>
      </c>
      <c r="O53" s="94" t="str">
        <f ca="1"/>
        <v/>
      </c>
      <c r="P53" s="95" t="str">
        <f ca="1"/>
        <v/>
      </c>
      <c r="Q53" s="95" t="str">
        <f ca="1"/>
        <v/>
      </c>
      <c r="R53" s="96">
        <f ca="1"/>
        <v>46091</v>
      </c>
    </row>
    <row r="54" spans="1:18" s="90" customFormat="1" ht="55" customHeight="1" x14ac:dyDescent="0.35">
      <c r="A54" s="94" t="str">
        <f ca="1"/>
        <v>S25V10883</v>
      </c>
      <c r="B54" s="94" t="str">
        <f ca="1"/>
        <v>PKEK25VE0010883A</v>
      </c>
      <c r="C54" s="94" t="str">
        <f ca="1"/>
        <v>SURF</v>
      </c>
      <c r="D54" s="94" t="str">
        <f ca="1"/>
        <v>484</v>
      </c>
      <c r="E54" s="94" t="str">
        <f ca="1"/>
        <v>FV012282701</v>
      </c>
      <c r="F54" s="94" t="str">
        <f ca="1"/>
        <v>C1500427</v>
      </c>
      <c r="G54" s="94" t="str">
        <f ca="1"/>
        <v>B</v>
      </c>
      <c r="H54" s="94" t="str">
        <f ca="1"/>
        <v>CF003108481</v>
      </c>
      <c r="I54" s="94" t="str">
        <f ca="1"/>
        <v>A</v>
      </c>
      <c r="J54" s="94">
        <f ca="1"/>
        <v>23.4</v>
      </c>
      <c r="K54" s="94"/>
      <c r="L54" s="94">
        <f ca="1"/>
        <v>86.11</v>
      </c>
      <c r="M54" s="94" t="str">
        <f ca="1"/>
        <v>63/65"</v>
      </c>
      <c r="N54" s="94">
        <f ca="1"/>
        <v>63</v>
      </c>
      <c r="O54" s="94" t="str">
        <f ca="1"/>
        <v/>
      </c>
      <c r="P54" s="95" t="str">
        <f ca="1"/>
        <v/>
      </c>
      <c r="Q54" s="95" t="str">
        <f ca="1"/>
        <v/>
      </c>
      <c r="R54" s="96">
        <f ca="1"/>
        <v>46091</v>
      </c>
    </row>
    <row r="55" spans="1:18" s="90" customFormat="1" ht="55" customHeight="1" x14ac:dyDescent="0.35">
      <c r="A55" s="94" t="str">
        <f ca="1"/>
        <v>S25V10883</v>
      </c>
      <c r="B55" s="94" t="str">
        <f ca="1"/>
        <v>PKEK25VE0010883A</v>
      </c>
      <c r="C55" s="94" t="str">
        <f ca="1"/>
        <v>MAGENTA</v>
      </c>
      <c r="D55" s="94" t="str">
        <f ca="1"/>
        <v>604</v>
      </c>
      <c r="E55" s="94" t="str">
        <f ca="1"/>
        <v>FV012282101</v>
      </c>
      <c r="F55" s="94" t="str">
        <f ca="1"/>
        <v>C1500427</v>
      </c>
      <c r="G55" s="94" t="str">
        <f ca="1"/>
        <v>B</v>
      </c>
      <c r="H55" s="94" t="str">
        <f ca="1"/>
        <v>CF003109741</v>
      </c>
      <c r="I55" s="94" t="str">
        <f ca="1"/>
        <v>A</v>
      </c>
      <c r="J55" s="94">
        <f ca="1"/>
        <v>11</v>
      </c>
      <c r="K55" s="94"/>
      <c r="L55" s="94">
        <f ca="1"/>
        <v>37.29</v>
      </c>
      <c r="M55" s="94" t="str">
        <f ca="1"/>
        <v>63/65"</v>
      </c>
      <c r="N55" s="94">
        <f ca="1"/>
        <v>64</v>
      </c>
      <c r="O55" s="94" t="str">
        <f ca="1"/>
        <v/>
      </c>
      <c r="P55" s="95" t="str">
        <f ca="1"/>
        <v>khác màu rằn ri biên trái 3''</v>
      </c>
      <c r="Q55" s="95" t="str">
        <f ca="1"/>
        <v>né biên trái vào 3'' do khác màu rằn ri</v>
      </c>
      <c r="R55" s="96">
        <f ca="1"/>
        <v>46092</v>
      </c>
    </row>
    <row r="56" spans="1:18" s="90" customFormat="1" ht="55" customHeight="1" x14ac:dyDescent="0.35">
      <c r="A56" s="94" t="str">
        <f ca="1"/>
        <v>S25V10883</v>
      </c>
      <c r="B56" s="94" t="str">
        <f ca="1"/>
        <v>PKEK25VE0010883A</v>
      </c>
      <c r="C56" s="94" t="str">
        <f ca="1"/>
        <v>MAGENTA</v>
      </c>
      <c r="D56" s="94" t="str">
        <f ca="1"/>
        <v>604</v>
      </c>
      <c r="E56" s="94" t="str">
        <f ca="1"/>
        <v>FV012282101</v>
      </c>
      <c r="F56" s="94" t="str">
        <f ca="1"/>
        <v>C1500427</v>
      </c>
      <c r="G56" s="94" t="str">
        <f ca="1"/>
        <v>B</v>
      </c>
      <c r="H56" s="94" t="str">
        <f ca="1"/>
        <v>CF003109742</v>
      </c>
      <c r="I56" s="94" t="str">
        <f ca="1"/>
        <v>A</v>
      </c>
      <c r="J56" s="94">
        <f ca="1"/>
        <v>24.1</v>
      </c>
      <c r="K56" s="94"/>
      <c r="L56" s="94">
        <f ca="1"/>
        <v>81.7</v>
      </c>
      <c r="M56" s="94" t="str">
        <f ca="1"/>
        <v>63/65"</v>
      </c>
      <c r="N56" s="94">
        <f ca="1"/>
        <v>64</v>
      </c>
      <c r="O56" s="94" t="str">
        <f ca="1"/>
        <v/>
      </c>
      <c r="P56" s="95" t="str">
        <f ca="1"/>
        <v>khác màu rằn ri biên trái 3''</v>
      </c>
      <c r="Q56" s="95" t="str">
        <f ca="1"/>
        <v>né biên trái vào 3'' do khác màu rằn ri</v>
      </c>
      <c r="R56" s="96">
        <f ca="1"/>
        <v>46092</v>
      </c>
    </row>
    <row r="57" spans="1:18" s="90" customFormat="1" ht="55" customHeight="1" x14ac:dyDescent="0.35">
      <c r="A57" s="94" t="str">
        <f ca="1"/>
        <v>S25V10883</v>
      </c>
      <c r="B57" s="94" t="str">
        <f ca="1"/>
        <v>PKEK25VE0010883A</v>
      </c>
      <c r="C57" s="94" t="str">
        <f ca="1"/>
        <v>MAGENTA</v>
      </c>
      <c r="D57" s="94" t="str">
        <f ca="1"/>
        <v>604</v>
      </c>
      <c r="E57" s="94" t="str">
        <f ca="1"/>
        <v>FV012282101</v>
      </c>
      <c r="F57" s="94" t="str">
        <f ca="1"/>
        <v>C1500427</v>
      </c>
      <c r="G57" s="94" t="str">
        <f ca="1"/>
        <v>B</v>
      </c>
      <c r="H57" s="94" t="str">
        <f ca="1"/>
        <v>CF003109743</v>
      </c>
      <c r="I57" s="94" t="str">
        <f ca="1"/>
        <v>A</v>
      </c>
      <c r="J57" s="94">
        <f ca="1"/>
        <v>24</v>
      </c>
      <c r="K57" s="94"/>
      <c r="L57" s="94">
        <f ca="1"/>
        <v>81.36</v>
      </c>
      <c r="M57" s="94" t="str">
        <f ca="1"/>
        <v>63/65"</v>
      </c>
      <c r="N57" s="94">
        <f ca="1"/>
        <v>64</v>
      </c>
      <c r="O57" s="94" t="str">
        <f ca="1"/>
        <v/>
      </c>
      <c r="P57" s="95" t="str">
        <f ca="1"/>
        <v>khác màu rằn ri biên trái 3''</v>
      </c>
      <c r="Q57" s="95" t="str">
        <f ca="1"/>
        <v>né biên trái vào 3'' do khác màu rằn ri</v>
      </c>
      <c r="R57" s="96">
        <f ca="1"/>
        <v>46092</v>
      </c>
    </row>
    <row r="58" spans="1:18" s="90" customFormat="1" ht="55" customHeight="1" x14ac:dyDescent="0.35">
      <c r="A58" s="94" t="str">
        <f ca="1"/>
        <v>S25V10883</v>
      </c>
      <c r="B58" s="94" t="str">
        <f ca="1"/>
        <v>PKEK25VE0010883A</v>
      </c>
      <c r="C58" s="94" t="str">
        <f ca="1"/>
        <v>MAGENTA</v>
      </c>
      <c r="D58" s="94" t="str">
        <f ca="1"/>
        <v>604</v>
      </c>
      <c r="E58" s="94" t="str">
        <f ca="1"/>
        <v>FV012282101</v>
      </c>
      <c r="F58" s="94" t="str">
        <f ca="1"/>
        <v>C1500427</v>
      </c>
      <c r="G58" s="94" t="str">
        <f ca="1"/>
        <v>B</v>
      </c>
      <c r="H58" s="94" t="str">
        <f ca="1"/>
        <v>CF003109744</v>
      </c>
      <c r="I58" s="94" t="str">
        <f ca="1"/>
        <v>A</v>
      </c>
      <c r="J58" s="94">
        <f ca="1"/>
        <v>23.5</v>
      </c>
      <c r="K58" s="94"/>
      <c r="L58" s="94">
        <f ca="1"/>
        <v>79.66</v>
      </c>
      <c r="M58" s="94" t="str">
        <f ca="1"/>
        <v>63/65"</v>
      </c>
      <c r="N58" s="94">
        <f ca="1"/>
        <v>64</v>
      </c>
      <c r="O58" s="94" t="str">
        <f ca="1"/>
        <v>White mark [白印]</v>
      </c>
      <c r="P58" s="95" t="str">
        <f ca="1"/>
        <v>khác màu rằn ri biên trái 3''</v>
      </c>
      <c r="Q58" s="95" t="str">
        <f ca="1"/>
        <v>né biên trái vào 3'' do khác màu rằn ri</v>
      </c>
      <c r="R58" s="96">
        <f ca="1"/>
        <v>46092</v>
      </c>
    </row>
    <row r="59" spans="1:18" s="90" customFormat="1" ht="55" customHeight="1" x14ac:dyDescent="0.35">
      <c r="A59" s="94" t="str">
        <f ca="1"/>
        <v>S25V10883</v>
      </c>
      <c r="B59" s="94" t="str">
        <f ca="1"/>
        <v>PKEK25VE0010883A</v>
      </c>
      <c r="C59" s="94" t="str">
        <f ca="1"/>
        <v>MAGENTA</v>
      </c>
      <c r="D59" s="94" t="str">
        <f ca="1"/>
        <v>604</v>
      </c>
      <c r="E59" s="94" t="str">
        <f ca="1"/>
        <v>FV012282101</v>
      </c>
      <c r="F59" s="94" t="str">
        <f ca="1"/>
        <v>C1500427</v>
      </c>
      <c r="G59" s="94" t="str">
        <f ca="1"/>
        <v>B</v>
      </c>
      <c r="H59" s="94" t="str">
        <f ca="1"/>
        <v>CF003109745</v>
      </c>
      <c r="I59" s="94" t="str">
        <f ca="1"/>
        <v>A</v>
      </c>
      <c r="J59" s="94">
        <f ca="1"/>
        <v>13.2</v>
      </c>
      <c r="K59" s="94"/>
      <c r="L59" s="94">
        <f ca="1"/>
        <v>44.75</v>
      </c>
      <c r="M59" s="94" t="str">
        <f ca="1"/>
        <v>63/65"</v>
      </c>
      <c r="N59" s="94">
        <f ca="1"/>
        <v>64</v>
      </c>
      <c r="O59" s="94" t="str">
        <f ca="1"/>
        <v>White mark [白印]</v>
      </c>
      <c r="P59" s="95" t="str">
        <f ca="1"/>
        <v>khác màu rằn ri biên trái 3''</v>
      </c>
      <c r="Q59" s="95" t="str">
        <f ca="1"/>
        <v>né biên trái vào 3'' do khác màu rằn ri</v>
      </c>
      <c r="R59" s="96">
        <f ca="1"/>
        <v>46092</v>
      </c>
    </row>
    <row r="60" spans="1:18" s="90" customFormat="1" ht="55" customHeight="1" x14ac:dyDescent="0.35">
      <c r="A60" s="94" t="str">
        <f ca="1"/>
        <v>S25V10883</v>
      </c>
      <c r="B60" s="94" t="str">
        <f ca="1"/>
        <v>PKEK25VE0010883A</v>
      </c>
      <c r="C60" s="94" t="str">
        <f ca="1"/>
        <v>MAGENTA</v>
      </c>
      <c r="D60" s="94" t="str">
        <f ca="1"/>
        <v>604</v>
      </c>
      <c r="E60" s="94" t="str">
        <f ca="1"/>
        <v>FV012282101</v>
      </c>
      <c r="F60" s="94" t="str">
        <f ca="1"/>
        <v>C1500427</v>
      </c>
      <c r="G60" s="94" t="str">
        <f ca="1"/>
        <v>B</v>
      </c>
      <c r="H60" s="94" t="str">
        <f ca="1"/>
        <v>CF003109746</v>
      </c>
      <c r="I60" s="94" t="str">
        <f ca="1"/>
        <v>A</v>
      </c>
      <c r="J60" s="94">
        <f ca="1"/>
        <v>14.5</v>
      </c>
      <c r="K60" s="94"/>
      <c r="L60" s="94">
        <f ca="1"/>
        <v>49.15</v>
      </c>
      <c r="M60" s="94" t="str">
        <f ca="1"/>
        <v>63/65"</v>
      </c>
      <c r="N60" s="94">
        <f ca="1"/>
        <v>64</v>
      </c>
      <c r="O60" s="94" t="str">
        <f ca="1"/>
        <v>White mark [白印]</v>
      </c>
      <c r="P60" s="95" t="str">
        <f ca="1"/>
        <v>khác màu rằn ri biên trái 3''</v>
      </c>
      <c r="Q60" s="95" t="str">
        <f ca="1"/>
        <v>né biên trái vào 3'' do khác màu rằn ri</v>
      </c>
      <c r="R60" s="96">
        <f ca="1"/>
        <v>46092</v>
      </c>
    </row>
    <row r="61" spans="1:18" s="90" customFormat="1" ht="55" customHeight="1" x14ac:dyDescent="0.35">
      <c r="A61" s="94" t="str">
        <f ca="1"/>
        <v>S25V10883</v>
      </c>
      <c r="B61" s="94" t="str">
        <f ca="1"/>
        <v>PKEK25VE0010883A</v>
      </c>
      <c r="C61" s="94" t="str">
        <f ca="1"/>
        <v>MAGENTA</v>
      </c>
      <c r="D61" s="94" t="str">
        <f ca="1"/>
        <v>604</v>
      </c>
      <c r="E61" s="94" t="str">
        <f ca="1"/>
        <v>FV012282101</v>
      </c>
      <c r="F61" s="94" t="str">
        <f ca="1"/>
        <v>C1500427</v>
      </c>
      <c r="G61" s="94" t="str">
        <f ca="1"/>
        <v>B</v>
      </c>
      <c r="H61" s="94" t="str">
        <f ca="1"/>
        <v>CF003109747</v>
      </c>
      <c r="I61" s="94" t="str">
        <f ca="1"/>
        <v>A</v>
      </c>
      <c r="J61" s="94">
        <f ca="1"/>
        <v>23.5</v>
      </c>
      <c r="K61" s="94"/>
      <c r="L61" s="94">
        <f ca="1"/>
        <v>79.66</v>
      </c>
      <c r="M61" s="94" t="str">
        <f ca="1"/>
        <v>63/65"</v>
      </c>
      <c r="N61" s="94">
        <f ca="1"/>
        <v>64</v>
      </c>
      <c r="O61" s="94" t="str">
        <f ca="1"/>
        <v/>
      </c>
      <c r="P61" s="95" t="str">
        <f ca="1"/>
        <v>khác màu rằn ri biên trái 3''</v>
      </c>
      <c r="Q61" s="95" t="str">
        <f ca="1"/>
        <v>né biên trái vào 3'' do khác màu rằn ri</v>
      </c>
      <c r="R61" s="96">
        <f ca="1"/>
        <v>46092</v>
      </c>
    </row>
    <row r="62" spans="1:18" s="90" customFormat="1" ht="55" customHeight="1" x14ac:dyDescent="0.35">
      <c r="A62" s="94" t="str">
        <f ca="1"/>
        <v>S25V10883</v>
      </c>
      <c r="B62" s="94" t="str">
        <f ca="1"/>
        <v>PKEK25VE0010883A</v>
      </c>
      <c r="C62" s="94" t="str">
        <f ca="1"/>
        <v>MAGENTA</v>
      </c>
      <c r="D62" s="94" t="str">
        <f ca="1"/>
        <v>604</v>
      </c>
      <c r="E62" s="94" t="str">
        <f ca="1"/>
        <v>FV012282101</v>
      </c>
      <c r="F62" s="94" t="str">
        <f ca="1"/>
        <v>C1500427</v>
      </c>
      <c r="G62" s="94" t="str">
        <f ca="1"/>
        <v>B</v>
      </c>
      <c r="H62" s="94" t="str">
        <f ca="1"/>
        <v>CF003109748</v>
      </c>
      <c r="I62" s="94" t="str">
        <f ca="1"/>
        <v>A</v>
      </c>
      <c r="J62" s="94">
        <f ca="1"/>
        <v>23.5</v>
      </c>
      <c r="K62" s="94"/>
      <c r="L62" s="94">
        <f ca="1"/>
        <v>79.66</v>
      </c>
      <c r="M62" s="94" t="str">
        <f ca="1"/>
        <v>63/65"</v>
      </c>
      <c r="N62" s="94">
        <f ca="1"/>
        <v>64</v>
      </c>
      <c r="O62" s="94" t="str">
        <f ca="1"/>
        <v>White mark [白印]</v>
      </c>
      <c r="P62" s="95" t="str">
        <f ca="1"/>
        <v>khác màu rằn ri biên trái 3''</v>
      </c>
      <c r="Q62" s="95" t="str">
        <f ca="1"/>
        <v>né biên trái vào 3'' do khác màu rằn ri</v>
      </c>
      <c r="R62" s="96">
        <f ca="1"/>
        <v>46092</v>
      </c>
    </row>
    <row r="63" spans="1:18" s="90" customFormat="1" ht="55" customHeight="1" x14ac:dyDescent="0.35">
      <c r="A63" s="94" t="str">
        <f ca="1"/>
        <v>S25V10883</v>
      </c>
      <c r="B63" s="94" t="str">
        <f ca="1"/>
        <v>PKEK25VE0010883A</v>
      </c>
      <c r="C63" s="94" t="str">
        <f ca="1"/>
        <v>MAGENTA</v>
      </c>
      <c r="D63" s="94" t="str">
        <f ca="1"/>
        <v>604</v>
      </c>
      <c r="E63" s="94" t="str">
        <f ca="1"/>
        <v>FV012282101</v>
      </c>
      <c r="F63" s="94" t="str">
        <f ca="1"/>
        <v>C1500427</v>
      </c>
      <c r="G63" s="94" t="str">
        <f ca="1"/>
        <v>B</v>
      </c>
      <c r="H63" s="94" t="str">
        <f ca="1"/>
        <v>CF003109749</v>
      </c>
      <c r="I63" s="94" t="str">
        <f ca="1"/>
        <v>A</v>
      </c>
      <c r="J63" s="94">
        <f ca="1"/>
        <v>23.3</v>
      </c>
      <c r="K63" s="94"/>
      <c r="L63" s="94">
        <f ca="1"/>
        <v>78.989999999999995</v>
      </c>
      <c r="M63" s="94" t="str">
        <f ca="1"/>
        <v>63/65"</v>
      </c>
      <c r="N63" s="94">
        <f ca="1"/>
        <v>64</v>
      </c>
      <c r="O63" s="94" t="str">
        <f ca="1"/>
        <v>White mark [白印]</v>
      </c>
      <c r="P63" s="95" t="str">
        <f ca="1"/>
        <v>khác màu rằn ri biên trái 3''</v>
      </c>
      <c r="Q63" s="95" t="str">
        <f ca="1"/>
        <v>né biên trái vào 3'' do khác màu rằn ri</v>
      </c>
      <c r="R63" s="96">
        <f ca="1"/>
        <v>46092</v>
      </c>
    </row>
    <row r="64" spans="1:18" s="90" customFormat="1" ht="55" customHeight="1" x14ac:dyDescent="0.35">
      <c r="A64" s="94" t="str">
        <f ca="1"/>
        <v>S25V10883</v>
      </c>
      <c r="B64" s="94" t="str">
        <f ca="1"/>
        <v>PKEK25VE0010883A</v>
      </c>
      <c r="C64" s="94" t="str">
        <f ca="1"/>
        <v>MAGENTA</v>
      </c>
      <c r="D64" s="94" t="str">
        <f ca="1"/>
        <v>604</v>
      </c>
      <c r="E64" s="94" t="str">
        <f ca="1"/>
        <v>FV012282101</v>
      </c>
      <c r="F64" s="94" t="str">
        <f ca="1"/>
        <v>C1500427</v>
      </c>
      <c r="G64" s="94" t="str">
        <f ca="1"/>
        <v>B</v>
      </c>
      <c r="H64" s="94" t="str">
        <f ca="1"/>
        <v>CF003109750</v>
      </c>
      <c r="I64" s="94" t="str">
        <f ca="1"/>
        <v>A</v>
      </c>
      <c r="J64" s="94">
        <f ca="1"/>
        <v>23.6</v>
      </c>
      <c r="K64" s="94"/>
      <c r="L64" s="94">
        <f ca="1"/>
        <v>80</v>
      </c>
      <c r="M64" s="94" t="str">
        <f ca="1"/>
        <v>63/65"</v>
      </c>
      <c r="N64" s="94">
        <f ca="1"/>
        <v>64</v>
      </c>
      <c r="O64" s="94" t="str">
        <f ca="1"/>
        <v>White mark [白印]</v>
      </c>
      <c r="P64" s="95" t="str">
        <f ca="1"/>
        <v>khác màu rằn ri biên trái 3''</v>
      </c>
      <c r="Q64" s="95" t="str">
        <f ca="1"/>
        <v>né biên trái vào 3'' do khác màu rằn ri</v>
      </c>
      <c r="R64" s="96">
        <f ca="1"/>
        <v>46092</v>
      </c>
    </row>
    <row r="65" spans="1:18" s="90" customFormat="1" ht="55" customHeight="1" x14ac:dyDescent="0.35">
      <c r="A65" s="94" t="str">
        <f ca="1"/>
        <v>S25V10883</v>
      </c>
      <c r="B65" s="94" t="str">
        <f ca="1"/>
        <v>PKEK25VE0010883A</v>
      </c>
      <c r="C65" s="94" t="str">
        <f ca="1"/>
        <v>MAGENTA</v>
      </c>
      <c r="D65" s="94" t="str">
        <f ca="1"/>
        <v>604</v>
      </c>
      <c r="E65" s="94" t="str">
        <f ca="1"/>
        <v>FV012282101</v>
      </c>
      <c r="F65" s="94" t="str">
        <f ca="1"/>
        <v>C1500427</v>
      </c>
      <c r="G65" s="94" t="str">
        <f ca="1"/>
        <v>B</v>
      </c>
      <c r="H65" s="94" t="str">
        <f ca="1"/>
        <v>CF003109751</v>
      </c>
      <c r="I65" s="94" t="str">
        <f ca="1"/>
        <v>A</v>
      </c>
      <c r="J65" s="94">
        <f ca="1"/>
        <v>23.6</v>
      </c>
      <c r="K65" s="94"/>
      <c r="L65" s="94">
        <f ca="1"/>
        <v>80</v>
      </c>
      <c r="M65" s="94" t="str">
        <f ca="1"/>
        <v>63/65"</v>
      </c>
      <c r="N65" s="94">
        <f ca="1"/>
        <v>64</v>
      </c>
      <c r="O65" s="94" t="str">
        <f ca="1"/>
        <v>White mark [白印]</v>
      </c>
      <c r="P65" s="95" t="str">
        <f ca="1"/>
        <v>khác màu rằn ri biên trái 3''</v>
      </c>
      <c r="Q65" s="95" t="str">
        <f ca="1"/>
        <v>né biên trái vào 3'' do khác màu rằn ri</v>
      </c>
      <c r="R65" s="96">
        <f ca="1"/>
        <v>46092</v>
      </c>
    </row>
    <row r="66" spans="1:18" s="90" customFormat="1" ht="55" customHeight="1" x14ac:dyDescent="0.35">
      <c r="A66" s="94" t="str">
        <f ca="1"/>
        <v>S25V10883</v>
      </c>
      <c r="B66" s="94" t="str">
        <f ca="1"/>
        <v>PKEK25VE0010883A</v>
      </c>
      <c r="C66" s="94" t="str">
        <f ca="1"/>
        <v>MAGENTA</v>
      </c>
      <c r="D66" s="94" t="str">
        <f ca="1"/>
        <v>604</v>
      </c>
      <c r="E66" s="94" t="str">
        <f ca="1"/>
        <v>FV012282101</v>
      </c>
      <c r="F66" s="94" t="str">
        <f ca="1"/>
        <v>C1500427</v>
      </c>
      <c r="G66" s="94" t="str">
        <f ca="1"/>
        <v>B</v>
      </c>
      <c r="H66" s="94" t="str">
        <f ca="1"/>
        <v>CF003109752</v>
      </c>
      <c r="I66" s="94" t="str">
        <f ca="1"/>
        <v>A</v>
      </c>
      <c r="J66" s="94">
        <f ca="1"/>
        <v>23.5</v>
      </c>
      <c r="K66" s="94"/>
      <c r="L66" s="94">
        <f ca="1"/>
        <v>79.66</v>
      </c>
      <c r="M66" s="94" t="str">
        <f ca="1"/>
        <v>63/65"</v>
      </c>
      <c r="N66" s="94">
        <f ca="1"/>
        <v>64</v>
      </c>
      <c r="O66" s="94" t="str">
        <f ca="1"/>
        <v>White mark [白印]</v>
      </c>
      <c r="P66" s="95" t="str">
        <f ca="1"/>
        <v>khác màu rằn ri biên trái 3''</v>
      </c>
      <c r="Q66" s="95" t="str">
        <f ca="1"/>
        <v>né biên trái vào 3'' do khác màu rằn ri</v>
      </c>
      <c r="R66" s="96">
        <f ca="1"/>
        <v>46092</v>
      </c>
    </row>
    <row r="67" spans="1:18" s="90" customFormat="1" ht="55" customHeight="1" x14ac:dyDescent="0.35">
      <c r="A67" s="94" t="str">
        <f ca="1"/>
        <v>S25V10883</v>
      </c>
      <c r="B67" s="94" t="str">
        <f ca="1"/>
        <v>PKEK25VE0010883A</v>
      </c>
      <c r="C67" s="94" t="str">
        <f ca="1"/>
        <v>MAGENTA</v>
      </c>
      <c r="D67" s="94" t="str">
        <f ca="1"/>
        <v>604</v>
      </c>
      <c r="E67" s="94" t="str">
        <f ca="1"/>
        <v>FV012282101</v>
      </c>
      <c r="F67" s="94" t="str">
        <f ca="1"/>
        <v>C1500427</v>
      </c>
      <c r="G67" s="94" t="str">
        <f ca="1"/>
        <v>B</v>
      </c>
      <c r="H67" s="94" t="str">
        <f ca="1"/>
        <v>CF003109753</v>
      </c>
      <c r="I67" s="94" t="str">
        <f ca="1"/>
        <v>A</v>
      </c>
      <c r="J67" s="94">
        <f ca="1"/>
        <v>20.7</v>
      </c>
      <c r="K67" s="94"/>
      <c r="L67" s="94">
        <f ca="1"/>
        <v>70.17</v>
      </c>
      <c r="M67" s="94" t="str">
        <f ca="1"/>
        <v>63/65"</v>
      </c>
      <c r="N67" s="94">
        <f ca="1"/>
        <v>64</v>
      </c>
      <c r="O67" s="94" t="str">
        <f ca="1"/>
        <v>White mark [白印]</v>
      </c>
      <c r="P67" s="95" t="str">
        <f ca="1"/>
        <v>khác màu rằn ri biên trái 3''</v>
      </c>
      <c r="Q67" s="95" t="str">
        <f ca="1"/>
        <v>né biên trái vào 3'' do khác màu rằn ri</v>
      </c>
      <c r="R67" s="96">
        <f ca="1"/>
        <v>46092</v>
      </c>
    </row>
    <row r="68" spans="1:18" s="90" customFormat="1" ht="55" customHeight="1" x14ac:dyDescent="0.35">
      <c r="A68" s="94" t="str">
        <f ca="1"/>
        <v>S25V10883</v>
      </c>
      <c r="B68" s="94" t="str">
        <f ca="1"/>
        <v>PKEK25VE0010883A</v>
      </c>
      <c r="C68" s="94" t="str">
        <f ca="1"/>
        <v>MAGENTA</v>
      </c>
      <c r="D68" s="94" t="str">
        <f ca="1"/>
        <v>604</v>
      </c>
      <c r="E68" s="94" t="str">
        <f ca="1"/>
        <v>FV012282101</v>
      </c>
      <c r="F68" s="94" t="str">
        <f ca="1"/>
        <v>C1500427</v>
      </c>
      <c r="G68" s="94" t="str">
        <f ca="1"/>
        <v>B</v>
      </c>
      <c r="H68" s="94" t="str">
        <f ca="1"/>
        <v>CF003109754</v>
      </c>
      <c r="I68" s="94" t="str">
        <f ca="1"/>
        <v>A</v>
      </c>
      <c r="J68" s="94">
        <f ca="1"/>
        <v>23.7</v>
      </c>
      <c r="K68" s="94"/>
      <c r="L68" s="94">
        <f ca="1"/>
        <v>80.34</v>
      </c>
      <c r="M68" s="94" t="str">
        <f ca="1"/>
        <v>63/65"</v>
      </c>
      <c r="N68" s="94">
        <f ca="1"/>
        <v>64</v>
      </c>
      <c r="O68" s="94" t="str">
        <f ca="1"/>
        <v>White mark [白印]</v>
      </c>
      <c r="P68" s="95" t="str">
        <f ca="1"/>
        <v>khác màu rằn ri biên trái 3''</v>
      </c>
      <c r="Q68" s="95" t="str">
        <f ca="1"/>
        <v>né biên trái vào 3'' do khác màu rằn ri</v>
      </c>
      <c r="R68" s="96">
        <f ca="1"/>
        <v>46092</v>
      </c>
    </row>
    <row r="69" spans="1:18" s="90" customFormat="1" ht="55" customHeight="1" x14ac:dyDescent="0.35">
      <c r="A69" s="94" t="str">
        <f ca="1"/>
        <v>S25V10883</v>
      </c>
      <c r="B69" s="94" t="str">
        <f ca="1"/>
        <v>PKEK25VE0010883A</v>
      </c>
      <c r="C69" s="94" t="str">
        <f ca="1"/>
        <v>MAGENTA</v>
      </c>
      <c r="D69" s="94" t="str">
        <f ca="1"/>
        <v>604</v>
      </c>
      <c r="E69" s="94" t="str">
        <f ca="1"/>
        <v>FV012282101</v>
      </c>
      <c r="F69" s="94" t="str">
        <f ca="1"/>
        <v>C1500427</v>
      </c>
      <c r="G69" s="94" t="str">
        <f ca="1"/>
        <v>B</v>
      </c>
      <c r="H69" s="94" t="str">
        <f ca="1"/>
        <v>CF003109755</v>
      </c>
      <c r="I69" s="94" t="str">
        <f ca="1"/>
        <v>A</v>
      </c>
      <c r="J69" s="94">
        <f ca="1"/>
        <v>23.9</v>
      </c>
      <c r="K69" s="94"/>
      <c r="L69" s="94">
        <f ca="1"/>
        <v>81.02</v>
      </c>
      <c r="M69" s="94" t="str">
        <f ca="1"/>
        <v>63/65"</v>
      </c>
      <c r="N69" s="94">
        <f ca="1"/>
        <v>64</v>
      </c>
      <c r="O69" s="94" t="str">
        <f ca="1"/>
        <v/>
      </c>
      <c r="P69" s="95" t="str">
        <f ca="1"/>
        <v>khác màu rằn ri biên trái 3''</v>
      </c>
      <c r="Q69" s="95" t="str">
        <f ca="1"/>
        <v>né biên trái vào 3'' do khác màu rằn ri</v>
      </c>
      <c r="R69" s="96">
        <f ca="1"/>
        <v>46092</v>
      </c>
    </row>
    <row r="70" spans="1:18" s="90" customFormat="1" ht="55" customHeight="1" x14ac:dyDescent="0.35">
      <c r="A70" s="94" t="str">
        <f ca="1"/>
        <v>S25V10883</v>
      </c>
      <c r="B70" s="94" t="str">
        <f ca="1"/>
        <v>PKEK25VE0010883A</v>
      </c>
      <c r="C70" s="94" t="str">
        <f ca="1"/>
        <v>MAGENTA</v>
      </c>
      <c r="D70" s="94" t="str">
        <f ca="1"/>
        <v>604</v>
      </c>
      <c r="E70" s="94" t="str">
        <f ca="1"/>
        <v>FV012282101</v>
      </c>
      <c r="F70" s="94" t="str">
        <f ca="1"/>
        <v>C1500427</v>
      </c>
      <c r="G70" s="94" t="str">
        <f ca="1"/>
        <v>B</v>
      </c>
      <c r="H70" s="94" t="str">
        <f ca="1"/>
        <v>CF003109756</v>
      </c>
      <c r="I70" s="94" t="str">
        <f ca="1"/>
        <v>A</v>
      </c>
      <c r="J70" s="94">
        <f ca="1"/>
        <v>23.7</v>
      </c>
      <c r="K70" s="94"/>
      <c r="L70" s="94">
        <f ca="1"/>
        <v>80.34</v>
      </c>
      <c r="M70" s="94" t="str">
        <f ca="1"/>
        <v>63/65"</v>
      </c>
      <c r="N70" s="94">
        <f ca="1"/>
        <v>64</v>
      </c>
      <c r="O70" s="94" t="str">
        <f ca="1"/>
        <v>White mark [白印]</v>
      </c>
      <c r="P70" s="95" t="str">
        <f ca="1"/>
        <v>khác màu rằn ri biên trái 3''</v>
      </c>
      <c r="Q70" s="95" t="str">
        <f ca="1"/>
        <v>né biên trái vào 3'' do khác màu rằn ri</v>
      </c>
      <c r="R70" s="96">
        <f ca="1"/>
        <v>46092</v>
      </c>
    </row>
    <row r="71" spans="1:18" s="90" customFormat="1" ht="55" customHeight="1" x14ac:dyDescent="0.35">
      <c r="A71" s="94" t="str">
        <f ca="1"/>
        <v>S25V10883</v>
      </c>
      <c r="B71" s="94" t="str">
        <f ca="1"/>
        <v>PKEK25VE0010883A</v>
      </c>
      <c r="C71" s="94" t="str">
        <f ca="1"/>
        <v>MAGENTA</v>
      </c>
      <c r="D71" s="94" t="str">
        <f ca="1"/>
        <v>604</v>
      </c>
      <c r="E71" s="94" t="str">
        <f ca="1"/>
        <v>FV012282101</v>
      </c>
      <c r="F71" s="94" t="str">
        <f ca="1"/>
        <v>C1500427</v>
      </c>
      <c r="G71" s="94" t="str">
        <f ca="1"/>
        <v>B</v>
      </c>
      <c r="H71" s="94" t="str">
        <f ca="1"/>
        <v>CF003109757</v>
      </c>
      <c r="I71" s="94" t="str">
        <f ca="1"/>
        <v>A</v>
      </c>
      <c r="J71" s="94">
        <f ca="1"/>
        <v>23.3</v>
      </c>
      <c r="K71" s="94"/>
      <c r="L71" s="94">
        <f ca="1"/>
        <v>78.989999999999995</v>
      </c>
      <c r="M71" s="94" t="str">
        <f ca="1"/>
        <v>63/65"</v>
      </c>
      <c r="N71" s="94">
        <f ca="1"/>
        <v>64</v>
      </c>
      <c r="O71" s="94" t="str">
        <f ca="1"/>
        <v>White mark [白印]</v>
      </c>
      <c r="P71" s="95" t="str">
        <f ca="1"/>
        <v>khác màu rằn ri biên trái 3''</v>
      </c>
      <c r="Q71" s="95" t="str">
        <f ca="1"/>
        <v>né biên trái vào 3'' do khác màu rằn ri</v>
      </c>
      <c r="R71" s="96">
        <f ca="1"/>
        <v>46092</v>
      </c>
    </row>
    <row r="72" spans="1:18" s="90" customFormat="1" ht="55" customHeight="1" x14ac:dyDescent="0.35">
      <c r="A72" s="94" t="str">
        <f ca="1"/>
        <v>S25V10883</v>
      </c>
      <c r="B72" s="94" t="str">
        <f ca="1"/>
        <v>PKEK25VE0010883A</v>
      </c>
      <c r="C72" s="94" t="str">
        <f ca="1"/>
        <v>MAGENTA</v>
      </c>
      <c r="D72" s="94" t="str">
        <f ca="1"/>
        <v>604</v>
      </c>
      <c r="E72" s="94" t="str">
        <f ca="1"/>
        <v>FV012282101</v>
      </c>
      <c r="F72" s="94" t="str">
        <f ca="1"/>
        <v>C1500427</v>
      </c>
      <c r="G72" s="94" t="str">
        <f ca="1"/>
        <v>B</v>
      </c>
      <c r="H72" s="94" t="str">
        <f ca="1"/>
        <v>CF003109758</v>
      </c>
      <c r="I72" s="94" t="str">
        <f ca="1"/>
        <v>A</v>
      </c>
      <c r="J72" s="94">
        <f ca="1"/>
        <v>23.6</v>
      </c>
      <c r="K72" s="94"/>
      <c r="L72" s="94">
        <f ca="1"/>
        <v>80</v>
      </c>
      <c r="M72" s="94" t="str">
        <f ca="1"/>
        <v>63/65"</v>
      </c>
      <c r="N72" s="94">
        <f ca="1"/>
        <v>64</v>
      </c>
      <c r="O72" s="94" t="str">
        <f ca="1"/>
        <v>Piece-up(FN) [后整接口]</v>
      </c>
      <c r="P72" s="95" t="str">
        <f ca="1"/>
        <v>khác màu rằn ri biên trái 3''</v>
      </c>
      <c r="Q72" s="95" t="str">
        <f ca="1"/>
        <v>né biên trái vào 3'' do khác màu rằn ri</v>
      </c>
      <c r="R72" s="96">
        <f ca="1"/>
        <v>46092</v>
      </c>
    </row>
    <row r="73" spans="1:18" s="90" customFormat="1" ht="55" customHeight="1" x14ac:dyDescent="0.35">
      <c r="A73" s="94" t="str">
        <f ca="1"/>
        <v>S25V10883</v>
      </c>
      <c r="B73" s="94" t="str">
        <f ca="1"/>
        <v>PKEK25VE0010883A</v>
      </c>
      <c r="C73" s="94" t="str">
        <f ca="1"/>
        <v>MAGENTA</v>
      </c>
      <c r="D73" s="94" t="str">
        <f ca="1"/>
        <v>604</v>
      </c>
      <c r="E73" s="94" t="str">
        <f ca="1"/>
        <v>FV012282101</v>
      </c>
      <c r="F73" s="94" t="str">
        <f ca="1"/>
        <v>C1500427</v>
      </c>
      <c r="G73" s="94" t="str">
        <f ca="1"/>
        <v>B</v>
      </c>
      <c r="H73" s="94" t="str">
        <f ca="1"/>
        <v>CF003109759</v>
      </c>
      <c r="I73" s="94" t="str">
        <f ca="1"/>
        <v>A</v>
      </c>
      <c r="J73" s="94">
        <f ca="1"/>
        <v>23.7</v>
      </c>
      <c r="K73" s="94"/>
      <c r="L73" s="94">
        <f ca="1"/>
        <v>80.34</v>
      </c>
      <c r="M73" s="94" t="str">
        <f ca="1"/>
        <v>63/65"</v>
      </c>
      <c r="N73" s="94">
        <f ca="1"/>
        <v>64</v>
      </c>
      <c r="O73" s="94" t="str">
        <f ca="1"/>
        <v>White mark [白印]</v>
      </c>
      <c r="P73" s="95" t="str">
        <f ca="1"/>
        <v>khác màu rằn ri biên trái 3''</v>
      </c>
      <c r="Q73" s="95" t="str">
        <f ca="1"/>
        <v>né biên trái vào 3'' do khác màu rằn ri</v>
      </c>
      <c r="R73" s="96">
        <f ca="1"/>
        <v>46092</v>
      </c>
    </row>
    <row r="74" spans="1:18" s="90" customFormat="1" ht="55" customHeight="1" x14ac:dyDescent="0.35">
      <c r="A74" s="94" t="str">
        <f ca="1"/>
        <v>S25V10883</v>
      </c>
      <c r="B74" s="94" t="str">
        <f ca="1"/>
        <v>PKEK25VE0010883A</v>
      </c>
      <c r="C74" s="94" t="str">
        <f ca="1"/>
        <v>MAGENTA</v>
      </c>
      <c r="D74" s="94" t="str">
        <f ca="1"/>
        <v>604</v>
      </c>
      <c r="E74" s="94" t="str">
        <f ca="1"/>
        <v>FV012282101</v>
      </c>
      <c r="F74" s="94" t="str">
        <f ca="1"/>
        <v>C1500427</v>
      </c>
      <c r="G74" s="94" t="str">
        <f ca="1"/>
        <v>B</v>
      </c>
      <c r="H74" s="94" t="str">
        <f ca="1"/>
        <v>CF003109760</v>
      </c>
      <c r="I74" s="94" t="str">
        <f ca="1"/>
        <v>A</v>
      </c>
      <c r="J74" s="94">
        <f ca="1"/>
        <v>23.7</v>
      </c>
      <c r="K74" s="94"/>
      <c r="L74" s="94">
        <f ca="1"/>
        <v>80.34</v>
      </c>
      <c r="M74" s="94" t="str">
        <f ca="1"/>
        <v>63/65"</v>
      </c>
      <c r="N74" s="94">
        <f ca="1"/>
        <v>64</v>
      </c>
      <c r="O74" s="94" t="str">
        <f ca="1"/>
        <v>White mark [白印]</v>
      </c>
      <c r="P74" s="95" t="str">
        <f ca="1"/>
        <v>khác màu rằn ri biên trái 3''</v>
      </c>
      <c r="Q74" s="95" t="str">
        <f ca="1"/>
        <v>né biên trái vào 3'' do khác màu rằn ri</v>
      </c>
      <c r="R74" s="96">
        <f ca="1"/>
        <v>46092</v>
      </c>
    </row>
    <row r="75" spans="1:18" s="90" customFormat="1" ht="55" customHeight="1" x14ac:dyDescent="0.35">
      <c r="A75" s="94" t="str">
        <f ca="1"/>
        <v>S25V10883</v>
      </c>
      <c r="B75" s="94" t="str">
        <f ca="1"/>
        <v>PKEK25VE0010883A</v>
      </c>
      <c r="C75" s="94" t="str">
        <f ca="1"/>
        <v>MAGENTA</v>
      </c>
      <c r="D75" s="94" t="str">
        <f ca="1"/>
        <v>604</v>
      </c>
      <c r="E75" s="94" t="str">
        <f ca="1"/>
        <v>FV012282101</v>
      </c>
      <c r="F75" s="94" t="str">
        <f ca="1"/>
        <v>C1500427</v>
      </c>
      <c r="G75" s="94" t="str">
        <f ca="1"/>
        <v>B</v>
      </c>
      <c r="H75" s="94" t="str">
        <f ca="1"/>
        <v>CF003109761</v>
      </c>
      <c r="I75" s="94" t="str">
        <f ca="1"/>
        <v>A</v>
      </c>
      <c r="J75" s="94">
        <f ca="1"/>
        <v>23.6</v>
      </c>
      <c r="K75" s="94"/>
      <c r="L75" s="94">
        <f ca="1"/>
        <v>80</v>
      </c>
      <c r="M75" s="94" t="str">
        <f ca="1"/>
        <v>63/65"</v>
      </c>
      <c r="N75" s="94">
        <f ca="1"/>
        <v>64</v>
      </c>
      <c r="O75" s="94" t="str">
        <f ca="1"/>
        <v>Color Mark (PD) [PD沾色]</v>
      </c>
      <c r="P75" s="95" t="str">
        <f ca="1"/>
        <v>khác màu rằn ri biên trái 3''</v>
      </c>
      <c r="Q75" s="95" t="str">
        <f ca="1"/>
        <v>né biên trái vào 3'' do khác màu rằn ri</v>
      </c>
      <c r="R75" s="96">
        <f ca="1"/>
        <v>46092</v>
      </c>
    </row>
    <row r="76" spans="1:18" s="90" customFormat="1" ht="55" customHeight="1" x14ac:dyDescent="0.35">
      <c r="A76" s="94" t="str">
        <f ca="1"/>
        <v>S25V10883</v>
      </c>
      <c r="B76" s="94" t="str">
        <f ca="1"/>
        <v>PKEK25VE0010883A</v>
      </c>
      <c r="C76" s="94" t="str">
        <f ca="1"/>
        <v>MAGENTA</v>
      </c>
      <c r="D76" s="94" t="str">
        <f ca="1"/>
        <v>604</v>
      </c>
      <c r="E76" s="94" t="str">
        <f ca="1"/>
        <v>FV012282101</v>
      </c>
      <c r="F76" s="94" t="str">
        <f ca="1"/>
        <v>C1500427</v>
      </c>
      <c r="G76" s="94" t="str">
        <f ca="1"/>
        <v>B</v>
      </c>
      <c r="H76" s="94" t="str">
        <f ca="1"/>
        <v>CF003109762</v>
      </c>
      <c r="I76" s="94" t="str">
        <f ca="1"/>
        <v>A</v>
      </c>
      <c r="J76" s="94">
        <f ca="1"/>
        <v>29.9</v>
      </c>
      <c r="K76" s="94"/>
      <c r="L76" s="94">
        <f ca="1"/>
        <v>101.36</v>
      </c>
      <c r="M76" s="94" t="str">
        <f ca="1"/>
        <v>63/65"</v>
      </c>
      <c r="N76" s="94">
        <f ca="1"/>
        <v>64</v>
      </c>
      <c r="O76" s="94" t="str">
        <f ca="1"/>
        <v>Piece-up(FN) [后整接口]</v>
      </c>
      <c r="P76" s="95" t="str">
        <f ca="1"/>
        <v>khác màu rằn ri biên trái 3''</v>
      </c>
      <c r="Q76" s="95" t="str">
        <f ca="1"/>
        <v>né biên trái vào 3'' do khác màu rằn ri</v>
      </c>
      <c r="R76" s="96">
        <f ca="1"/>
        <v>46092</v>
      </c>
    </row>
    <row r="77" spans="1:18" s="90" customFormat="1" ht="55" customHeight="1" x14ac:dyDescent="0.35">
      <c r="A77" s="94" t="str">
        <f ca="1"/>
        <v>S25V10883</v>
      </c>
      <c r="B77" s="94" t="str">
        <f ca="1"/>
        <v>PKEK25VE0010883A</v>
      </c>
      <c r="C77" s="94" t="str">
        <f ca="1"/>
        <v>MAGENTA</v>
      </c>
      <c r="D77" s="94" t="str">
        <f ca="1"/>
        <v>604</v>
      </c>
      <c r="E77" s="94" t="str">
        <f ca="1"/>
        <v>FV012282101</v>
      </c>
      <c r="F77" s="94" t="str">
        <f ca="1"/>
        <v>C1500427</v>
      </c>
      <c r="G77" s="94" t="str">
        <f ca="1"/>
        <v>B</v>
      </c>
      <c r="H77" s="94" t="str">
        <f ca="1"/>
        <v>CF003109763</v>
      </c>
      <c r="I77" s="94" t="str">
        <f ca="1"/>
        <v>A</v>
      </c>
      <c r="J77" s="94">
        <f ca="1"/>
        <v>23.5</v>
      </c>
      <c r="K77" s="94"/>
      <c r="L77" s="94">
        <f ca="1"/>
        <v>79.66</v>
      </c>
      <c r="M77" s="94" t="str">
        <f ca="1"/>
        <v>63/65"</v>
      </c>
      <c r="N77" s="94">
        <f ca="1"/>
        <v>64</v>
      </c>
      <c r="O77" s="94" t="str">
        <f ca="1"/>
        <v>White mark [白印]</v>
      </c>
      <c r="P77" s="95" t="str">
        <f ca="1"/>
        <v>khác màu rằn ri biên trái 3''</v>
      </c>
      <c r="Q77" s="95" t="str">
        <f ca="1"/>
        <v>né biên trái vào 3'' do khác màu rằn ri</v>
      </c>
      <c r="R77" s="96">
        <f ca="1"/>
        <v>46092</v>
      </c>
    </row>
    <row r="78" spans="1:18" s="90" customFormat="1" ht="55" customHeight="1" x14ac:dyDescent="0.35">
      <c r="A78" s="94" t="str">
        <f ca="1"/>
        <v>S25V10883</v>
      </c>
      <c r="B78" s="94" t="str">
        <f ca="1"/>
        <v>PKEK25VE0010883A</v>
      </c>
      <c r="C78" s="94" t="str">
        <f ca="1"/>
        <v>MAGENTA</v>
      </c>
      <c r="D78" s="94" t="str">
        <f ca="1"/>
        <v>604</v>
      </c>
      <c r="E78" s="94" t="str">
        <f ca="1"/>
        <v>FV012282101</v>
      </c>
      <c r="F78" s="94" t="str">
        <f ca="1"/>
        <v>C1500427</v>
      </c>
      <c r="G78" s="94" t="str">
        <f ca="1"/>
        <v>B</v>
      </c>
      <c r="H78" s="94" t="str">
        <f ca="1"/>
        <v>CF003109764</v>
      </c>
      <c r="I78" s="94" t="str">
        <f ca="1"/>
        <v>A</v>
      </c>
      <c r="J78" s="94">
        <f ca="1"/>
        <v>23.9</v>
      </c>
      <c r="K78" s="94"/>
      <c r="L78" s="94">
        <f ca="1"/>
        <v>81.02</v>
      </c>
      <c r="M78" s="94" t="str">
        <f ca="1"/>
        <v>63/65"</v>
      </c>
      <c r="N78" s="94">
        <f ca="1"/>
        <v>64</v>
      </c>
      <c r="O78" s="94" t="str">
        <f ca="1"/>
        <v>White mark [白印]</v>
      </c>
      <c r="P78" s="95" t="str">
        <f ca="1"/>
        <v>khác màu rằn ri biên trái 3''</v>
      </c>
      <c r="Q78" s="95" t="str">
        <f ca="1"/>
        <v>né biên trái vào 3'' do khác màu rằn ri</v>
      </c>
      <c r="R78" s="96">
        <f ca="1"/>
        <v>46092</v>
      </c>
    </row>
    <row r="79" spans="1:18" s="90" customFormat="1" ht="55" customHeight="1" x14ac:dyDescent="0.35">
      <c r="A79" s="94" t="str">
        <f ca="1"/>
        <v>S25V10883</v>
      </c>
      <c r="B79" s="94" t="str">
        <f ca="1"/>
        <v>PKEK25VE0010883A</v>
      </c>
      <c r="C79" s="94" t="str">
        <f ca="1"/>
        <v>MAGENTA</v>
      </c>
      <c r="D79" s="94" t="str">
        <f ca="1"/>
        <v>604</v>
      </c>
      <c r="E79" s="94" t="str">
        <f ca="1"/>
        <v>FV012282101</v>
      </c>
      <c r="F79" s="94" t="str">
        <f ca="1"/>
        <v>C1500427</v>
      </c>
      <c r="G79" s="94" t="str">
        <f ca="1"/>
        <v>B</v>
      </c>
      <c r="H79" s="94" t="str">
        <f ca="1"/>
        <v>CF003109765</v>
      </c>
      <c r="I79" s="94" t="str">
        <f ca="1"/>
        <v>A</v>
      </c>
      <c r="J79" s="94">
        <f ca="1"/>
        <v>24</v>
      </c>
      <c r="K79" s="94"/>
      <c r="L79" s="94">
        <f ca="1"/>
        <v>81.36</v>
      </c>
      <c r="M79" s="94" t="str">
        <f ca="1"/>
        <v>63/65"</v>
      </c>
      <c r="N79" s="94">
        <f ca="1"/>
        <v>64</v>
      </c>
      <c r="O79" s="94" t="str">
        <f ca="1"/>
        <v>White mark [白印]</v>
      </c>
      <c r="P79" s="95" t="str">
        <f ca="1"/>
        <v>khác màu rằn ri biên trái 3''</v>
      </c>
      <c r="Q79" s="95" t="str">
        <f ca="1"/>
        <v>né biên trái vào 3'' do khác màu rằn ri</v>
      </c>
      <c r="R79" s="96">
        <f ca="1"/>
        <v>46092</v>
      </c>
    </row>
    <row r="80" spans="1:18" s="90" customFormat="1" ht="55" customHeight="1" x14ac:dyDescent="0.35">
      <c r="A80" s="94" t="str">
        <f ca="1"/>
        <v>S25V10883</v>
      </c>
      <c r="B80" s="94" t="str">
        <f ca="1"/>
        <v>PKEK25VE0010883A</v>
      </c>
      <c r="C80" s="94" t="str">
        <f ca="1"/>
        <v>MAGENTA</v>
      </c>
      <c r="D80" s="94" t="str">
        <f ca="1"/>
        <v>604</v>
      </c>
      <c r="E80" s="94" t="str">
        <f ca="1"/>
        <v>FV012282101</v>
      </c>
      <c r="F80" s="94" t="str">
        <f ca="1"/>
        <v>C1500427</v>
      </c>
      <c r="G80" s="94" t="str">
        <f ca="1"/>
        <v>B</v>
      </c>
      <c r="H80" s="94" t="str">
        <f ca="1"/>
        <v>CF003109766</v>
      </c>
      <c r="I80" s="94" t="str">
        <f ca="1"/>
        <v>A</v>
      </c>
      <c r="J80" s="94">
        <f ca="1"/>
        <v>23.9</v>
      </c>
      <c r="K80" s="94"/>
      <c r="L80" s="94">
        <f ca="1"/>
        <v>81.02</v>
      </c>
      <c r="M80" s="94" t="str">
        <f ca="1"/>
        <v>63/65"</v>
      </c>
      <c r="N80" s="94">
        <f ca="1"/>
        <v>64</v>
      </c>
      <c r="O80" s="94" t="str">
        <f ca="1"/>
        <v/>
      </c>
      <c r="P80" s="95" t="str">
        <f ca="1"/>
        <v>khác màu rằn ri biên trái 3''</v>
      </c>
      <c r="Q80" s="95" t="str">
        <f ca="1"/>
        <v>né biên trái vào 3'' do khác màu rằn ri</v>
      </c>
      <c r="R80" s="96">
        <f ca="1"/>
        <v>46092</v>
      </c>
    </row>
    <row r="81" spans="1:18" s="90" customFormat="1" ht="55" customHeight="1" x14ac:dyDescent="0.35">
      <c r="A81" s="94" t="str">
        <f ca="1"/>
        <v>S25V10883</v>
      </c>
      <c r="B81" s="94" t="str">
        <f ca="1"/>
        <v>PKEK25VE0010883A</v>
      </c>
      <c r="C81" s="94" t="str">
        <f ca="1"/>
        <v>MAGENTA</v>
      </c>
      <c r="D81" s="94" t="str">
        <f ca="1"/>
        <v>604</v>
      </c>
      <c r="E81" s="94" t="str">
        <f ca="1"/>
        <v>FV012282101</v>
      </c>
      <c r="F81" s="94" t="str">
        <f ca="1"/>
        <v>C1500427</v>
      </c>
      <c r="G81" s="94" t="str">
        <f ca="1"/>
        <v>B</v>
      </c>
      <c r="H81" s="94" t="str">
        <f ca="1"/>
        <v>CF003109767</v>
      </c>
      <c r="I81" s="94" t="str">
        <f ca="1"/>
        <v>A</v>
      </c>
      <c r="J81" s="94">
        <f ca="1"/>
        <v>24</v>
      </c>
      <c r="K81" s="94"/>
      <c r="L81" s="94">
        <f ca="1"/>
        <v>81.36</v>
      </c>
      <c r="M81" s="94" t="str">
        <f ca="1"/>
        <v>63/65"</v>
      </c>
      <c r="N81" s="94">
        <f ca="1"/>
        <v>64</v>
      </c>
      <c r="O81" s="94" t="str">
        <f ca="1"/>
        <v/>
      </c>
      <c r="P81" s="95" t="str">
        <f ca="1"/>
        <v>khác màu rằn ri biên trái 3''</v>
      </c>
      <c r="Q81" s="95" t="str">
        <f ca="1"/>
        <v>né biên trái vào 3'' do khác màu rằn ri</v>
      </c>
      <c r="R81" s="96">
        <f ca="1"/>
        <v>46092</v>
      </c>
    </row>
    <row r="82" spans="1:18" s="90" customFormat="1" ht="55" customHeight="1" x14ac:dyDescent="0.35">
      <c r="A82" s="94" t="str">
        <f ca="1"/>
        <v>S25V10883</v>
      </c>
      <c r="B82" s="94" t="str">
        <f ca="1"/>
        <v>PKEK25VE0010883A</v>
      </c>
      <c r="C82" s="94" t="str">
        <f ca="1"/>
        <v>MAGENTA</v>
      </c>
      <c r="D82" s="94" t="str">
        <f ca="1"/>
        <v>604</v>
      </c>
      <c r="E82" s="94" t="str">
        <f ca="1"/>
        <v>FV012282101</v>
      </c>
      <c r="F82" s="94" t="str">
        <f ca="1"/>
        <v>C1500427</v>
      </c>
      <c r="G82" s="94" t="str">
        <f ca="1"/>
        <v>B</v>
      </c>
      <c r="H82" s="94" t="str">
        <f ca="1"/>
        <v>CF003109768</v>
      </c>
      <c r="I82" s="94" t="str">
        <f ca="1"/>
        <v>A</v>
      </c>
      <c r="J82" s="94">
        <f ca="1"/>
        <v>23.5</v>
      </c>
      <c r="K82" s="94"/>
      <c r="L82" s="94">
        <f ca="1"/>
        <v>79.66</v>
      </c>
      <c r="M82" s="94" t="str">
        <f ca="1"/>
        <v>63/65"</v>
      </c>
      <c r="N82" s="94">
        <f ca="1"/>
        <v>64</v>
      </c>
      <c r="O82" s="94" t="str">
        <f ca="1"/>
        <v/>
      </c>
      <c r="P82" s="95" t="str">
        <f ca="1"/>
        <v>khác màu rằn ri biên trái 3''</v>
      </c>
      <c r="Q82" s="95" t="str">
        <f ca="1"/>
        <v>né biên trái vào 3'' do khác màu rằn ri</v>
      </c>
      <c r="R82" s="96">
        <f ca="1"/>
        <v>46092</v>
      </c>
    </row>
    <row r="83" spans="1:18" s="90" customFormat="1" ht="55" customHeight="1" x14ac:dyDescent="0.35">
      <c r="A83" s="94" t="str">
        <f ca="1"/>
        <v>S25V10883</v>
      </c>
      <c r="B83" s="94" t="str">
        <f ca="1"/>
        <v>PKEK25VE0010883A</v>
      </c>
      <c r="C83" s="94" t="str">
        <f ca="1"/>
        <v>MAGENTA</v>
      </c>
      <c r="D83" s="94" t="str">
        <f ca="1"/>
        <v>604</v>
      </c>
      <c r="E83" s="94" t="str">
        <f ca="1"/>
        <v>FV012282101</v>
      </c>
      <c r="F83" s="94" t="str">
        <f ca="1"/>
        <v>C1500427</v>
      </c>
      <c r="G83" s="94" t="str">
        <f ca="1"/>
        <v>B</v>
      </c>
      <c r="H83" s="94" t="str">
        <f ca="1"/>
        <v>CF003109769</v>
      </c>
      <c r="I83" s="94" t="str">
        <f ca="1"/>
        <v>A</v>
      </c>
      <c r="J83" s="94">
        <f ca="1"/>
        <v>23.5</v>
      </c>
      <c r="K83" s="94"/>
      <c r="L83" s="94">
        <f ca="1"/>
        <v>79.66</v>
      </c>
      <c r="M83" s="94" t="str">
        <f ca="1"/>
        <v>63/65"</v>
      </c>
      <c r="N83" s="94">
        <f ca="1"/>
        <v>64</v>
      </c>
      <c r="O83" s="94" t="str">
        <f ca="1"/>
        <v>White mark [白印]</v>
      </c>
      <c r="P83" s="95" t="str">
        <f ca="1"/>
        <v>khác màu rằn ri biên trái 3''</v>
      </c>
      <c r="Q83" s="95" t="str">
        <f ca="1"/>
        <v>né biên trái vào 3'' do khác màu rằn ri</v>
      </c>
      <c r="R83" s="96">
        <f ca="1"/>
        <v>46092</v>
      </c>
    </row>
    <row r="84" spans="1:18" s="90" customFormat="1" ht="55" customHeight="1" x14ac:dyDescent="0.35">
      <c r="A84" s="94" t="str">
        <f ca="1"/>
        <v>S25V10883</v>
      </c>
      <c r="B84" s="94" t="str">
        <f ca="1"/>
        <v>PKEK25VE0010883A</v>
      </c>
      <c r="C84" s="94" t="str">
        <f ca="1"/>
        <v>MAGENTA</v>
      </c>
      <c r="D84" s="94" t="str">
        <f ca="1"/>
        <v>604</v>
      </c>
      <c r="E84" s="94" t="str">
        <f ca="1"/>
        <v>FV012282101</v>
      </c>
      <c r="F84" s="94" t="str">
        <f ca="1"/>
        <v>C1500427</v>
      </c>
      <c r="G84" s="94" t="str">
        <f ca="1"/>
        <v>B</v>
      </c>
      <c r="H84" s="94" t="str">
        <f ca="1"/>
        <v>CF003109770</v>
      </c>
      <c r="I84" s="94" t="str">
        <f ca="1"/>
        <v>A</v>
      </c>
      <c r="J84" s="94">
        <f ca="1"/>
        <v>23.5</v>
      </c>
      <c r="K84" s="94"/>
      <c r="L84" s="94">
        <f ca="1"/>
        <v>79.66</v>
      </c>
      <c r="M84" s="94" t="str">
        <f ca="1"/>
        <v>63/65"</v>
      </c>
      <c r="N84" s="94">
        <f ca="1"/>
        <v>64</v>
      </c>
      <c r="O84" s="94" t="str">
        <f ca="1"/>
        <v>White mark [白印]</v>
      </c>
      <c r="P84" s="95" t="str">
        <f ca="1"/>
        <v>khác màu rằn ri biên trái 3''</v>
      </c>
      <c r="Q84" s="95" t="str">
        <f ca="1"/>
        <v>né biên trái vào 3'' do khác màu rằn ri</v>
      </c>
      <c r="R84" s="96">
        <f ca="1"/>
        <v>46092</v>
      </c>
    </row>
    <row r="85" spans="1:18" s="90" customFormat="1" ht="55" customHeight="1" x14ac:dyDescent="0.35">
      <c r="A85" s="94" t="str">
        <f ca="1"/>
        <v>S25V10883</v>
      </c>
      <c r="B85" s="94" t="str">
        <f ca="1"/>
        <v>PKEK25VE0010883A</v>
      </c>
      <c r="C85" s="94" t="str">
        <f ca="1"/>
        <v>MAGENTA</v>
      </c>
      <c r="D85" s="94" t="str">
        <f ca="1"/>
        <v>604</v>
      </c>
      <c r="E85" s="94" t="str">
        <f ca="1"/>
        <v>FV012282101</v>
      </c>
      <c r="F85" s="94" t="str">
        <f ca="1"/>
        <v>C1500427</v>
      </c>
      <c r="G85" s="94" t="str">
        <f ca="1"/>
        <v>B</v>
      </c>
      <c r="H85" s="94" t="str">
        <f ca="1"/>
        <v>CF003109771</v>
      </c>
      <c r="I85" s="94" t="str">
        <f ca="1"/>
        <v>A</v>
      </c>
      <c r="J85" s="94">
        <f ca="1"/>
        <v>28.8</v>
      </c>
      <c r="K85" s="94"/>
      <c r="L85" s="94">
        <f ca="1"/>
        <v>97.63</v>
      </c>
      <c r="M85" s="94" t="str">
        <f ca="1"/>
        <v>63/65"</v>
      </c>
      <c r="N85" s="94">
        <f ca="1"/>
        <v>64</v>
      </c>
      <c r="O85" s="94" t="str">
        <f ca="1"/>
        <v>White mark [白印]</v>
      </c>
      <c r="P85" s="95" t="str">
        <f ca="1"/>
        <v>khác màu rằn ri biên trái 3''</v>
      </c>
      <c r="Q85" s="95" t="str">
        <f ca="1"/>
        <v>né biên trái vào 3'' do khác màu rằn ri</v>
      </c>
      <c r="R85" s="96">
        <f ca="1"/>
        <v>46092</v>
      </c>
    </row>
    <row r="86" spans="1:18" s="90" customFormat="1" ht="55" customHeight="1" x14ac:dyDescent="0.35">
      <c r="A86" s="94" t="str">
        <f ca="1"/>
        <v>S25V10883</v>
      </c>
      <c r="B86" s="94" t="str">
        <f ca="1"/>
        <v>PKEK25VE0010883A</v>
      </c>
      <c r="C86" s="94" t="str">
        <f ca="1"/>
        <v>MAGENTA</v>
      </c>
      <c r="D86" s="94" t="str">
        <f ca="1"/>
        <v>604</v>
      </c>
      <c r="E86" s="94" t="str">
        <f ca="1"/>
        <v>FV012282101</v>
      </c>
      <c r="F86" s="94" t="str">
        <f ca="1"/>
        <v>C1500427</v>
      </c>
      <c r="G86" s="94" t="str">
        <f ca="1"/>
        <v>B</v>
      </c>
      <c r="H86" s="94" t="str">
        <f ca="1"/>
        <v>CF003109772</v>
      </c>
      <c r="I86" s="94" t="str">
        <f ca="1"/>
        <v>A</v>
      </c>
      <c r="J86" s="94">
        <f ca="1"/>
        <v>23.6</v>
      </c>
      <c r="K86" s="94"/>
      <c r="L86" s="94">
        <f ca="1"/>
        <v>80</v>
      </c>
      <c r="M86" s="94" t="str">
        <f ca="1"/>
        <v>63/65"</v>
      </c>
      <c r="N86" s="94">
        <f ca="1"/>
        <v>64</v>
      </c>
      <c r="O86" s="94" t="str">
        <f ca="1"/>
        <v/>
      </c>
      <c r="P86" s="95" t="str">
        <f ca="1"/>
        <v>khác màu rằn ri biên trái 3''</v>
      </c>
      <c r="Q86" s="95" t="str">
        <f ca="1"/>
        <v>né biên trái vào 3'' do khác màu rằn ri</v>
      </c>
      <c r="R86" s="96">
        <f ca="1"/>
        <v>46092</v>
      </c>
    </row>
    <row r="87" spans="1:18" s="90" customFormat="1" ht="55" customHeight="1" x14ac:dyDescent="0.35">
      <c r="A87" s="94" t="str">
        <f ca="1"/>
        <v>S25V10883</v>
      </c>
      <c r="B87" s="94" t="str">
        <f ca="1"/>
        <v>PKEK25VE0010883A</v>
      </c>
      <c r="C87" s="94" t="str">
        <f ca="1"/>
        <v>MAGENTA</v>
      </c>
      <c r="D87" s="94" t="str">
        <f ca="1"/>
        <v>604</v>
      </c>
      <c r="E87" s="94" t="str">
        <f ca="1"/>
        <v>FV012282101</v>
      </c>
      <c r="F87" s="94" t="str">
        <f ca="1"/>
        <v>C1500427</v>
      </c>
      <c r="G87" s="94" t="str">
        <f ca="1"/>
        <v>B</v>
      </c>
      <c r="H87" s="94" t="str">
        <f ca="1"/>
        <v>CF003109773</v>
      </c>
      <c r="I87" s="94" t="str">
        <f ca="1"/>
        <v>A</v>
      </c>
      <c r="J87" s="94">
        <f ca="1"/>
        <v>20.3</v>
      </c>
      <c r="K87" s="94"/>
      <c r="L87" s="94">
        <f ca="1"/>
        <v>68.819999999999993</v>
      </c>
      <c r="M87" s="94" t="str">
        <f ca="1"/>
        <v>63/65"</v>
      </c>
      <c r="N87" s="94">
        <f ca="1"/>
        <v>64</v>
      </c>
      <c r="O87" s="94" t="str">
        <f ca="1"/>
        <v/>
      </c>
      <c r="P87" s="95" t="str">
        <f ca="1"/>
        <v>khác màu rằn ri biên trái 3''</v>
      </c>
      <c r="Q87" s="95" t="str">
        <f ca="1"/>
        <v>né biên trái vào 3'' do khác màu rằn ri</v>
      </c>
      <c r="R87" s="96">
        <f ca="1"/>
        <v>46092</v>
      </c>
    </row>
    <row r="88" spans="1:18" s="90" customFormat="1" ht="55" customHeight="1" x14ac:dyDescent="0.35">
      <c r="A88" s="94" t="str">
        <f ca="1"/>
        <v>S25V10883</v>
      </c>
      <c r="B88" s="94" t="str">
        <f ca="1"/>
        <v>PKEK25VE0010883A</v>
      </c>
      <c r="C88" s="94" t="str">
        <f ca="1"/>
        <v>MAGENTA</v>
      </c>
      <c r="D88" s="94" t="str">
        <f ca="1"/>
        <v>604</v>
      </c>
      <c r="E88" s="94" t="str">
        <f ca="1"/>
        <v>FV012282101</v>
      </c>
      <c r="F88" s="94" t="str">
        <f ca="1"/>
        <v>C1500427</v>
      </c>
      <c r="G88" s="94" t="str">
        <f ca="1"/>
        <v>B</v>
      </c>
      <c r="H88" s="94" t="str">
        <f ca="1"/>
        <v>CF003109774</v>
      </c>
      <c r="I88" s="94" t="str">
        <f ca="1"/>
        <v>A</v>
      </c>
      <c r="J88" s="94">
        <f ca="1"/>
        <v>23.4</v>
      </c>
      <c r="K88" s="94"/>
      <c r="L88" s="94">
        <f ca="1"/>
        <v>79.33</v>
      </c>
      <c r="M88" s="94" t="str">
        <f ca="1"/>
        <v>63/65"</v>
      </c>
      <c r="N88" s="94">
        <f ca="1"/>
        <v>64</v>
      </c>
      <c r="O88" s="94" t="str">
        <f ca="1"/>
        <v/>
      </c>
      <c r="P88" s="95" t="str">
        <f ca="1"/>
        <v>khác màu rằn ri biên trái 3''</v>
      </c>
      <c r="Q88" s="95" t="str">
        <f ca="1"/>
        <v>né biên trái vào 3'' do khác màu rằn ri</v>
      </c>
      <c r="R88" s="96">
        <f ca="1"/>
        <v>46092</v>
      </c>
    </row>
    <row r="89" spans="1:18" s="90" customFormat="1" ht="55" customHeight="1" x14ac:dyDescent="0.35">
      <c r="A89" s="94" t="str">
        <f ca="1"/>
        <v>S25V10883</v>
      </c>
      <c r="B89" s="94" t="str">
        <f ca="1"/>
        <v>PKEK25VE0010883A</v>
      </c>
      <c r="C89" s="94" t="str">
        <f ca="1"/>
        <v>LAGOON</v>
      </c>
      <c r="D89" s="94" t="str">
        <f ca="1"/>
        <v>457</v>
      </c>
      <c r="E89" s="94" t="str">
        <f ca="1"/>
        <v>FV012283101</v>
      </c>
      <c r="F89" s="94" t="str">
        <f ca="1"/>
        <v>C1500427</v>
      </c>
      <c r="G89" s="94" t="str">
        <f ca="1"/>
        <v>B</v>
      </c>
      <c r="H89" s="94" t="str">
        <f ca="1"/>
        <v>CF003113564</v>
      </c>
      <c r="I89" s="94" t="str">
        <f ca="1"/>
        <v>A</v>
      </c>
      <c r="J89" s="94">
        <f ca="1"/>
        <v>24</v>
      </c>
      <c r="K89" s="94"/>
      <c r="L89" s="94">
        <f ca="1"/>
        <v>81.55</v>
      </c>
      <c r="M89" s="94" t="str">
        <f ca="1"/>
        <v>63/65"</v>
      </c>
      <c r="N89" s="94">
        <f ca="1"/>
        <v>63</v>
      </c>
      <c r="O89" s="94" t="str">
        <f ca="1"/>
        <v>Oil (PD) [匹染油污]</v>
      </c>
      <c r="P89" s="95" t="str">
        <f ca="1"/>
        <v>không đều mau nhẹ</v>
      </c>
      <c r="Q89" s="95" t="str">
        <f ca="1"/>
        <v/>
      </c>
      <c r="R89" s="96">
        <f ca="1"/>
        <v>46095</v>
      </c>
    </row>
    <row r="90" spans="1:18" s="90" customFormat="1" ht="55" customHeight="1" x14ac:dyDescent="0.35">
      <c r="A90" s="94" t="str">
        <f ca="1"/>
        <v>S25V10883</v>
      </c>
      <c r="B90" s="94" t="str">
        <f ca="1"/>
        <v>PKEK25VE0010883A</v>
      </c>
      <c r="C90" s="94" t="str">
        <f ca="1"/>
        <v>LAGOON</v>
      </c>
      <c r="D90" s="94" t="str">
        <f ca="1"/>
        <v>457</v>
      </c>
      <c r="E90" s="94" t="str">
        <f ca="1"/>
        <v>FV012283101</v>
      </c>
      <c r="F90" s="94" t="str">
        <f ca="1"/>
        <v>C1500427</v>
      </c>
      <c r="G90" s="94" t="str">
        <f ca="1"/>
        <v>B</v>
      </c>
      <c r="H90" s="94" t="str">
        <f ca="1"/>
        <v>CF003113565</v>
      </c>
      <c r="I90" s="94" t="str">
        <f ca="1"/>
        <v>B</v>
      </c>
      <c r="J90" s="94">
        <f ca="1"/>
        <v>23.3</v>
      </c>
      <c r="K90" s="94"/>
      <c r="L90" s="94">
        <f ca="1"/>
        <v>79.17</v>
      </c>
      <c r="M90" s="94" t="str">
        <f ca="1"/>
        <v>63/65"</v>
      </c>
      <c r="N90" s="94">
        <f ca="1"/>
        <v>63</v>
      </c>
      <c r="O90" s="94" t="str">
        <f ca="1"/>
        <v>Color Mark (PD) [PD沾色]</v>
      </c>
      <c r="P90" s="95" t="str">
        <f ca="1"/>
        <v>không đều mau nhẹ</v>
      </c>
      <c r="Q90" s="95" t="str">
        <f ca="1"/>
        <v/>
      </c>
      <c r="R90" s="96">
        <f ca="1"/>
        <v>46095</v>
      </c>
    </row>
    <row r="91" spans="1:18" s="90" customFormat="1" ht="55" customHeight="1" x14ac:dyDescent="0.35">
      <c r="A91" s="94" t="str">
        <f ca="1"/>
        <v>S25V10883</v>
      </c>
      <c r="B91" s="94" t="str">
        <f ca="1"/>
        <v>PKEK25VE0010883A</v>
      </c>
      <c r="C91" s="94" t="str">
        <f ca="1"/>
        <v>LAGOON</v>
      </c>
      <c r="D91" s="94" t="str">
        <f ca="1"/>
        <v>457</v>
      </c>
      <c r="E91" s="94" t="str">
        <f ca="1"/>
        <v>FV012283101</v>
      </c>
      <c r="F91" s="94" t="str">
        <f ca="1"/>
        <v>C1500427</v>
      </c>
      <c r="G91" s="94" t="str">
        <f ca="1"/>
        <v>B</v>
      </c>
      <c r="H91" s="94" t="str">
        <f ca="1"/>
        <v>CF003113592</v>
      </c>
      <c r="I91" s="94" t="str">
        <f ca="1"/>
        <v>A</v>
      </c>
      <c r="J91" s="94">
        <f ca="1"/>
        <v>32.200000000000003</v>
      </c>
      <c r="K91" s="94"/>
      <c r="L91" s="94">
        <f ca="1"/>
        <v>109.41</v>
      </c>
      <c r="M91" s="94" t="str">
        <f ca="1"/>
        <v>63/65"</v>
      </c>
      <c r="N91" s="94">
        <f ca="1"/>
        <v>63</v>
      </c>
      <c r="O91" s="94" t="str">
        <f ca="1"/>
        <v>Color Mark (PD) [PD沾色]</v>
      </c>
      <c r="P91" s="95" t="str">
        <f ca="1"/>
        <v>không đều mau nhẹ + ma sát phải vào 24''</v>
      </c>
      <c r="Q91" s="95" t="str">
        <f ca="1"/>
        <v>né biên phải vào 24''</v>
      </c>
      <c r="R91" s="96">
        <f ca="1"/>
        <v>46095</v>
      </c>
    </row>
    <row r="92" spans="1:18" s="90" customFormat="1" ht="55" customHeight="1" x14ac:dyDescent="0.35">
      <c r="A92" s="94" t="str">
        <f ca="1"/>
        <v>S25V10883</v>
      </c>
      <c r="B92" s="94" t="str">
        <f ca="1"/>
        <v>PKEK25VE0010883A</v>
      </c>
      <c r="C92" s="94" t="str">
        <f ca="1"/>
        <v>LAGOON</v>
      </c>
      <c r="D92" s="94" t="str">
        <f ca="1"/>
        <v>457</v>
      </c>
      <c r="E92" s="94" t="str">
        <f ca="1"/>
        <v>FV012283101</v>
      </c>
      <c r="F92" s="94" t="str">
        <f ca="1"/>
        <v>C1500427</v>
      </c>
      <c r="G92" s="94" t="str">
        <f ca="1"/>
        <v>B</v>
      </c>
      <c r="H92" s="94" t="str">
        <f ca="1"/>
        <v>CF003113593</v>
      </c>
      <c r="I92" s="94" t="str">
        <f ca="1"/>
        <v>A</v>
      </c>
      <c r="J92" s="94">
        <f ca="1"/>
        <v>15.3</v>
      </c>
      <c r="K92" s="94"/>
      <c r="L92" s="94">
        <f ca="1"/>
        <v>51.99</v>
      </c>
      <c r="M92" s="94" t="str">
        <f ca="1"/>
        <v>63/65"</v>
      </c>
      <c r="N92" s="94">
        <f ca="1"/>
        <v>63</v>
      </c>
      <c r="O92" s="94" t="str">
        <f ca="1"/>
        <v>Color Mark (PD) [PD沾色]</v>
      </c>
      <c r="P92" s="95" t="str">
        <f ca="1"/>
        <v>không đều mau nhẹ + ma sát phải vào 24''</v>
      </c>
      <c r="Q92" s="95" t="str">
        <f ca="1"/>
        <v>né biên phải vào 24''</v>
      </c>
      <c r="R92" s="96">
        <f ca="1"/>
        <v>46095</v>
      </c>
    </row>
    <row r="93" spans="1:18" s="90" customFormat="1" ht="55" customHeight="1" x14ac:dyDescent="0.35">
      <c r="A93" s="94" t="str">
        <f ca="1"/>
        <v>S25V10883</v>
      </c>
      <c r="B93" s="94" t="str">
        <f ca="1"/>
        <v>PKEK25VE0010883A</v>
      </c>
      <c r="C93" s="94" t="str">
        <f ca="1"/>
        <v>LAGOON</v>
      </c>
      <c r="D93" s="94" t="str">
        <f ca="1"/>
        <v>457</v>
      </c>
      <c r="E93" s="94" t="str">
        <f ca="1"/>
        <v>FV012283101</v>
      </c>
      <c r="F93" s="94" t="str">
        <f ca="1"/>
        <v>C1500427</v>
      </c>
      <c r="G93" s="94" t="str">
        <f ca="1"/>
        <v>B</v>
      </c>
      <c r="H93" s="94" t="str">
        <f ca="1"/>
        <v>CF003113594</v>
      </c>
      <c r="I93" s="94" t="str">
        <f ca="1"/>
        <v>A</v>
      </c>
      <c r="J93" s="94">
        <f ca="1"/>
        <v>23.1</v>
      </c>
      <c r="K93" s="94"/>
      <c r="L93" s="94">
        <f ca="1"/>
        <v>78.489999999999995</v>
      </c>
      <c r="M93" s="94" t="str">
        <f ca="1"/>
        <v>63/65"</v>
      </c>
      <c r="N93" s="94">
        <f ca="1"/>
        <v>63</v>
      </c>
      <c r="O93" s="94" t="str">
        <f ca="1"/>
        <v>White mark [白印]</v>
      </c>
      <c r="P93" s="95" t="str">
        <f ca="1"/>
        <v>không đều mau nhẹ + ma sát phải vào 24''</v>
      </c>
      <c r="Q93" s="95" t="str">
        <f ca="1"/>
        <v>né biên phải vào 24''</v>
      </c>
      <c r="R93" s="96">
        <f ca="1"/>
        <v>46095</v>
      </c>
    </row>
    <row r="94" spans="1:18" s="90" customFormat="1" ht="55" customHeight="1" x14ac:dyDescent="0.35">
      <c r="A94" s="94" t="str">
        <f ca="1"/>
        <v>S25V10883</v>
      </c>
      <c r="B94" s="94" t="str">
        <f ca="1"/>
        <v>PKEK25VE0010883A</v>
      </c>
      <c r="C94" s="94" t="str">
        <f ca="1"/>
        <v>LAGOON</v>
      </c>
      <c r="D94" s="94" t="str">
        <f ca="1"/>
        <v>457</v>
      </c>
      <c r="E94" s="94" t="str">
        <f ca="1"/>
        <v>FV012283101</v>
      </c>
      <c r="F94" s="94" t="str">
        <f ca="1"/>
        <v>C1500427</v>
      </c>
      <c r="G94" s="94" t="str">
        <f ca="1"/>
        <v>B</v>
      </c>
      <c r="H94" s="94" t="str">
        <f ca="1"/>
        <v>CF003113595</v>
      </c>
      <c r="I94" s="94" t="str">
        <f ca="1"/>
        <v>A</v>
      </c>
      <c r="J94" s="94">
        <f ca="1"/>
        <v>23</v>
      </c>
      <c r="K94" s="94"/>
      <c r="L94" s="94">
        <f ca="1"/>
        <v>78.150000000000006</v>
      </c>
      <c r="M94" s="94" t="str">
        <f ca="1"/>
        <v>63/65"</v>
      </c>
      <c r="N94" s="94">
        <f ca="1"/>
        <v>63</v>
      </c>
      <c r="O94" s="94" t="str">
        <f ca="1"/>
        <v/>
      </c>
      <c r="P94" s="95" t="str">
        <f ca="1"/>
        <v>không đều mau nhẹ</v>
      </c>
      <c r="Q94" s="95" t="str">
        <f ca="1"/>
        <v/>
      </c>
      <c r="R94" s="96">
        <f ca="1"/>
        <v>46095</v>
      </c>
    </row>
    <row r="95" spans="1:18" s="90" customFormat="1" ht="55" customHeight="1" x14ac:dyDescent="0.35">
      <c r="A95" s="94" t="str">
        <f ca="1"/>
        <v>S25V10883</v>
      </c>
      <c r="B95" s="94" t="str">
        <f ca="1"/>
        <v>PKEK25VE0010883A</v>
      </c>
      <c r="C95" s="94" t="str">
        <f ca="1"/>
        <v>LAGOON</v>
      </c>
      <c r="D95" s="94" t="str">
        <f ca="1"/>
        <v>457</v>
      </c>
      <c r="E95" s="94" t="str">
        <f ca="1"/>
        <v>FV012283101</v>
      </c>
      <c r="F95" s="94" t="str">
        <f ca="1"/>
        <v>C1500427</v>
      </c>
      <c r="G95" s="94" t="str">
        <f ca="1"/>
        <v>B</v>
      </c>
      <c r="H95" s="94" t="str">
        <f ca="1"/>
        <v>CF003113596</v>
      </c>
      <c r="I95" s="94" t="str">
        <f ca="1"/>
        <v>A</v>
      </c>
      <c r="J95" s="94">
        <f ca="1"/>
        <v>23.4</v>
      </c>
      <c r="K95" s="94"/>
      <c r="L95" s="94">
        <f ca="1"/>
        <v>79.510000000000005</v>
      </c>
      <c r="M95" s="94" t="str">
        <f ca="1"/>
        <v>63/65"</v>
      </c>
      <c r="N95" s="94">
        <f ca="1"/>
        <v>63</v>
      </c>
      <c r="O95" s="94" t="str">
        <f ca="1"/>
        <v>thick yarn</v>
      </c>
      <c r="P95" s="95" t="str">
        <f ca="1"/>
        <v>không đều mau nhẹ</v>
      </c>
      <c r="Q95" s="95" t="str">
        <f ca="1"/>
        <v/>
      </c>
      <c r="R95" s="96">
        <f ca="1"/>
        <v>46095</v>
      </c>
    </row>
    <row r="96" spans="1:18" s="90" customFormat="1" ht="55" customHeight="1" x14ac:dyDescent="0.35">
      <c r="A96" s="94" t="str">
        <f ca="1"/>
        <v>S25V10883</v>
      </c>
      <c r="B96" s="94" t="str">
        <f ca="1"/>
        <v>PKEK25VE0010883A</v>
      </c>
      <c r="C96" s="94" t="str">
        <f ca="1"/>
        <v>LAGOON</v>
      </c>
      <c r="D96" s="94" t="str">
        <f ca="1"/>
        <v>457</v>
      </c>
      <c r="E96" s="94" t="str">
        <f ca="1"/>
        <v>FV012283101</v>
      </c>
      <c r="F96" s="94" t="str">
        <f ca="1"/>
        <v>C1500427</v>
      </c>
      <c r="G96" s="94" t="str">
        <f ca="1"/>
        <v>B</v>
      </c>
      <c r="H96" s="94" t="str">
        <f ca="1"/>
        <v>CF003113597</v>
      </c>
      <c r="I96" s="94" t="str">
        <f ca="1"/>
        <v>A</v>
      </c>
      <c r="J96" s="94">
        <f ca="1"/>
        <v>23.4</v>
      </c>
      <c r="K96" s="94"/>
      <c r="L96" s="94">
        <f ca="1"/>
        <v>79.510000000000005</v>
      </c>
      <c r="M96" s="94" t="str">
        <f ca="1"/>
        <v>63/65"</v>
      </c>
      <c r="N96" s="94">
        <f ca="1"/>
        <v>63</v>
      </c>
      <c r="O96" s="94" t="str">
        <f ca="1"/>
        <v>Needle Line [针路]</v>
      </c>
      <c r="P96" s="95" t="str">
        <f ca="1"/>
        <v>không đều mau nhẹ</v>
      </c>
      <c r="Q96" s="95" t="str">
        <f ca="1"/>
        <v/>
      </c>
      <c r="R96" s="96">
        <f ca="1"/>
        <v>46095</v>
      </c>
    </row>
    <row r="97" spans="1:18" s="90" customFormat="1" ht="55" customHeight="1" x14ac:dyDescent="0.35">
      <c r="A97" s="94" t="str">
        <f ca="1"/>
        <v>S25V10883</v>
      </c>
      <c r="B97" s="94" t="str">
        <f ca="1"/>
        <v>PKEK25VE0010883A</v>
      </c>
      <c r="C97" s="94" t="str">
        <f ca="1"/>
        <v>LAGOON</v>
      </c>
      <c r="D97" s="94" t="str">
        <f ca="1"/>
        <v>457</v>
      </c>
      <c r="E97" s="94" t="str">
        <f ca="1"/>
        <v>FV012283101</v>
      </c>
      <c r="F97" s="94" t="str">
        <f ca="1"/>
        <v>C1500427</v>
      </c>
      <c r="G97" s="94" t="str">
        <f ca="1"/>
        <v>B</v>
      </c>
      <c r="H97" s="94" t="str">
        <f ca="1"/>
        <v>CF003113598</v>
      </c>
      <c r="I97" s="94" t="str">
        <f ca="1"/>
        <v>A</v>
      </c>
      <c r="J97" s="94">
        <f ca="1"/>
        <v>15.8</v>
      </c>
      <c r="K97" s="94"/>
      <c r="L97" s="94">
        <f ca="1"/>
        <v>53.68</v>
      </c>
      <c r="M97" s="94" t="str">
        <f ca="1"/>
        <v>63/65"</v>
      </c>
      <c r="N97" s="94">
        <f ca="1"/>
        <v>63</v>
      </c>
      <c r="O97" s="94" t="str">
        <f ca="1"/>
        <v>Color Mark (PD) [PD沾色]</v>
      </c>
      <c r="P97" s="95" t="str">
        <f ca="1"/>
        <v>không đều mau nhẹ</v>
      </c>
      <c r="Q97" s="95" t="str">
        <f ca="1"/>
        <v/>
      </c>
      <c r="R97" s="96">
        <f ca="1"/>
        <v>46095</v>
      </c>
    </row>
    <row r="98" spans="1:18" s="90" customFormat="1" ht="55" customHeight="1" x14ac:dyDescent="0.35">
      <c r="A98" s="94" t="str">
        <f ca="1"/>
        <v>S25V10883</v>
      </c>
      <c r="B98" s="94" t="str">
        <f ca="1"/>
        <v>PKEK25VE0010883A</v>
      </c>
      <c r="C98" s="94" t="str">
        <f ca="1"/>
        <v>LAGOON</v>
      </c>
      <c r="D98" s="94" t="str">
        <f ca="1"/>
        <v>457</v>
      </c>
      <c r="E98" s="94" t="str">
        <f ca="1"/>
        <v>FV012283101</v>
      </c>
      <c r="F98" s="94" t="str">
        <f ca="1"/>
        <v>C1500427</v>
      </c>
      <c r="G98" s="94" t="str">
        <f ca="1"/>
        <v>B</v>
      </c>
      <c r="H98" s="94" t="str">
        <f ca="1"/>
        <v>CF003113602</v>
      </c>
      <c r="I98" s="94" t="str">
        <f ca="1"/>
        <v>A</v>
      </c>
      <c r="J98" s="94">
        <f ca="1"/>
        <v>21.8</v>
      </c>
      <c r="K98" s="94"/>
      <c r="L98" s="94">
        <f ca="1"/>
        <v>74.069999999999993</v>
      </c>
      <c r="M98" s="94" t="str">
        <f ca="1"/>
        <v>63/65"</v>
      </c>
      <c r="N98" s="94">
        <f ca="1"/>
        <v>63</v>
      </c>
      <c r="O98" s="94" t="str">
        <f ca="1"/>
        <v>Broken Selvedge (FN) [FN烂边]</v>
      </c>
      <c r="P98" s="95" t="str">
        <f ca="1"/>
        <v>không đều mau nhẹ</v>
      </c>
      <c r="Q98" s="95" t="str">
        <f ca="1"/>
        <v/>
      </c>
      <c r="R98" s="96">
        <f ca="1"/>
        <v>46095</v>
      </c>
    </row>
    <row r="99" spans="1:18" s="90" customFormat="1" ht="55" customHeight="1" x14ac:dyDescent="0.35">
      <c r="A99" s="94" t="str">
        <f ca="1"/>
        <v>S25V10883</v>
      </c>
      <c r="B99" s="94" t="str">
        <f ca="1"/>
        <v>PKEK25VE0010883A</v>
      </c>
      <c r="C99" s="94" t="str">
        <f ca="1"/>
        <v>LAGOON</v>
      </c>
      <c r="D99" s="94" t="str">
        <f ca="1"/>
        <v>457</v>
      </c>
      <c r="E99" s="94" t="str">
        <f ca="1"/>
        <v>FV012283101</v>
      </c>
      <c r="F99" s="94" t="str">
        <f ca="1"/>
        <v>C1500427</v>
      </c>
      <c r="G99" s="94" t="str">
        <f ca="1"/>
        <v>B</v>
      </c>
      <c r="H99" s="94" t="str">
        <f ca="1"/>
        <v>CF003113603</v>
      </c>
      <c r="I99" s="94" t="str">
        <f ca="1"/>
        <v>A</v>
      </c>
      <c r="J99" s="94">
        <f ca="1"/>
        <v>23.3</v>
      </c>
      <c r="K99" s="94"/>
      <c r="L99" s="94">
        <f ca="1"/>
        <v>79.17</v>
      </c>
      <c r="M99" s="94" t="str">
        <f ca="1"/>
        <v>63/65"</v>
      </c>
      <c r="N99" s="94">
        <f ca="1"/>
        <v>63</v>
      </c>
      <c r="O99" s="94" t="str">
        <f ca="1"/>
        <v>Broken Selvedge (FN) [FN烂边]</v>
      </c>
      <c r="P99" s="95" t="str">
        <f ca="1"/>
        <v>không đều mau nhẹ</v>
      </c>
      <c r="Q99" s="95" t="str">
        <f ca="1"/>
        <v/>
      </c>
      <c r="R99" s="96">
        <f ca="1"/>
        <v>46095</v>
      </c>
    </row>
    <row r="100" spans="1:18" s="90" customFormat="1" ht="55" customHeight="1" x14ac:dyDescent="0.35">
      <c r="A100" s="94" t="str">
        <f ca="1"/>
        <v>S25V10883</v>
      </c>
      <c r="B100" s="94" t="str">
        <f ca="1"/>
        <v>PKEK25VE0010883A</v>
      </c>
      <c r="C100" s="94" t="str">
        <f ca="1"/>
        <v>LAGOON</v>
      </c>
      <c r="D100" s="94" t="str">
        <f ca="1"/>
        <v>457</v>
      </c>
      <c r="E100" s="94" t="str">
        <f ca="1"/>
        <v>FV012283101</v>
      </c>
      <c r="F100" s="94" t="str">
        <f ca="1"/>
        <v>C1500427</v>
      </c>
      <c r="G100" s="94" t="str">
        <f ca="1"/>
        <v>B</v>
      </c>
      <c r="H100" s="94" t="str">
        <f ca="1"/>
        <v>CF003113604</v>
      </c>
      <c r="I100" s="94" t="str">
        <f ca="1"/>
        <v>A</v>
      </c>
      <c r="J100" s="94">
        <f ca="1"/>
        <v>22.4</v>
      </c>
      <c r="K100" s="94"/>
      <c r="L100" s="94">
        <f ca="1"/>
        <v>76.11</v>
      </c>
      <c r="M100" s="94" t="str">
        <f ca="1"/>
        <v>63/65"</v>
      </c>
      <c r="N100" s="94">
        <f ca="1"/>
        <v>63</v>
      </c>
      <c r="O100" s="94" t="str">
        <f ca="1"/>
        <v>Crease Mark [折痕]</v>
      </c>
      <c r="P100" s="95" t="str">
        <f ca="1"/>
        <v>không đều mau nhẹ</v>
      </c>
      <c r="Q100" s="95" t="str">
        <f ca="1"/>
        <v/>
      </c>
      <c r="R100" s="96">
        <f ca="1"/>
        <v>46095</v>
      </c>
    </row>
    <row r="101" spans="1:18" s="90" customFormat="1" ht="55" customHeight="1" x14ac:dyDescent="0.35">
      <c r="A101" s="94" t="str">
        <f ca="1"/>
        <v>S25V10883</v>
      </c>
      <c r="B101" s="94" t="str">
        <f ca="1"/>
        <v>PKEK25VE0010883A</v>
      </c>
      <c r="C101" s="94" t="str">
        <f ca="1"/>
        <v>LAGOON</v>
      </c>
      <c r="D101" s="94" t="str">
        <f ca="1"/>
        <v>457</v>
      </c>
      <c r="E101" s="94" t="str">
        <f ca="1"/>
        <v>FV012283101</v>
      </c>
      <c r="F101" s="94" t="str">
        <f ca="1"/>
        <v>C1500427</v>
      </c>
      <c r="G101" s="94" t="str">
        <f ca="1"/>
        <v>B</v>
      </c>
      <c r="H101" s="94" t="str">
        <f ca="1"/>
        <v>CF003113605</v>
      </c>
      <c r="I101" s="94" t="str">
        <f ca="1"/>
        <v>A</v>
      </c>
      <c r="J101" s="94">
        <f ca="1"/>
        <v>20.100000000000001</v>
      </c>
      <c r="K101" s="94"/>
      <c r="L101" s="94">
        <f ca="1"/>
        <v>68.290000000000006</v>
      </c>
      <c r="M101" s="94" t="str">
        <f ca="1"/>
        <v>63/65"</v>
      </c>
      <c r="N101" s="94">
        <f ca="1"/>
        <v>63</v>
      </c>
      <c r="O101" s="94" t="str">
        <f ca="1"/>
        <v>Color Mark (PD) [PD沾色]</v>
      </c>
      <c r="P101" s="95" t="str">
        <f ca="1"/>
        <v>không đều mau nhẹ</v>
      </c>
      <c r="Q101" s="95" t="str">
        <f ca="1"/>
        <v/>
      </c>
      <c r="R101" s="96">
        <f ca="1"/>
        <v>46095</v>
      </c>
    </row>
    <row r="102" spans="1:18" s="90" customFormat="1" ht="55" customHeight="1" x14ac:dyDescent="0.35">
      <c r="A102" s="94" t="str">
        <f ca="1"/>
        <v>S25V10883</v>
      </c>
      <c r="B102" s="94" t="str">
        <f ca="1"/>
        <v>PKEK25VE0010883A</v>
      </c>
      <c r="C102" s="94" t="str">
        <f ca="1"/>
        <v>LAGOON</v>
      </c>
      <c r="D102" s="94" t="str">
        <f ca="1"/>
        <v>457</v>
      </c>
      <c r="E102" s="94" t="str">
        <f ca="1"/>
        <v>FV012283101</v>
      </c>
      <c r="F102" s="94" t="str">
        <f ca="1"/>
        <v>C1500427</v>
      </c>
      <c r="G102" s="94" t="str">
        <f ca="1"/>
        <v>B</v>
      </c>
      <c r="H102" s="94" t="str">
        <f ca="1"/>
        <v>CF003113611</v>
      </c>
      <c r="I102" s="94" t="str">
        <f ca="1"/>
        <v>B</v>
      </c>
      <c r="J102" s="94">
        <f ca="1"/>
        <v>11.4</v>
      </c>
      <c r="K102" s="94"/>
      <c r="L102" s="94">
        <f ca="1"/>
        <v>38.729999999999997</v>
      </c>
      <c r="M102" s="94" t="str">
        <f ca="1"/>
        <v>63/65"</v>
      </c>
      <c r="N102" s="94">
        <f ca="1"/>
        <v>63</v>
      </c>
      <c r="O102" s="94" t="str">
        <f ca="1"/>
        <v>Color Mark (PD) [PD沾色]</v>
      </c>
      <c r="P102" s="95" t="str">
        <f ca="1"/>
        <v>không đều mau nhẹ</v>
      </c>
      <c r="Q102" s="95" t="str">
        <f ca="1"/>
        <v/>
      </c>
      <c r="R102" s="96">
        <f ca="1"/>
        <v>46095</v>
      </c>
    </row>
    <row r="103" spans="1:18" s="90" customFormat="1" ht="55" customHeight="1" x14ac:dyDescent="0.35">
      <c r="A103" s="94" t="str">
        <f ca="1"/>
        <v>S25V10883</v>
      </c>
      <c r="B103" s="94" t="str">
        <f ca="1"/>
        <v>PKEK25VE0010883A</v>
      </c>
      <c r="C103" s="94" t="str">
        <f ca="1"/>
        <v>LAGOON</v>
      </c>
      <c r="D103" s="94" t="str">
        <f ca="1"/>
        <v>457</v>
      </c>
      <c r="E103" s="94" t="str">
        <f ca="1"/>
        <v>FV012283101</v>
      </c>
      <c r="F103" s="94" t="str">
        <f ca="1"/>
        <v>C1500427</v>
      </c>
      <c r="G103" s="94" t="str">
        <f ca="1"/>
        <v>B</v>
      </c>
      <c r="H103" s="94" t="str">
        <f ca="1"/>
        <v>CF003113614</v>
      </c>
      <c r="I103" s="94" t="str">
        <f ca="1"/>
        <v>A</v>
      </c>
      <c r="J103" s="94">
        <f ca="1"/>
        <v>23.1</v>
      </c>
      <c r="K103" s="94"/>
      <c r="L103" s="94">
        <f ca="1"/>
        <v>78.489999999999995</v>
      </c>
      <c r="M103" s="94" t="str">
        <f ca="1"/>
        <v>63/65"</v>
      </c>
      <c r="N103" s="94">
        <f ca="1"/>
        <v>63</v>
      </c>
      <c r="O103" s="94" t="str">
        <f ca="1"/>
        <v>Color Mark (PD) [PD沾色]</v>
      </c>
      <c r="P103" s="95" t="str">
        <f ca="1"/>
        <v>không đều mau nhẹ</v>
      </c>
      <c r="Q103" s="95" t="str">
        <f ca="1"/>
        <v/>
      </c>
      <c r="R103" s="96">
        <f ca="1"/>
        <v>46095</v>
      </c>
    </row>
    <row r="104" spans="1:18" s="90" customFormat="1" ht="55" customHeight="1" x14ac:dyDescent="0.35">
      <c r="A104" s="94" t="str">
        <f ca="1"/>
        <v>S25V10883</v>
      </c>
      <c r="B104" s="94" t="str">
        <f ca="1"/>
        <v>PKEK25VE0010883A</v>
      </c>
      <c r="C104" s="94" t="str">
        <f ca="1"/>
        <v>LAGOON</v>
      </c>
      <c r="D104" s="94" t="str">
        <f ca="1"/>
        <v>457</v>
      </c>
      <c r="E104" s="94" t="str">
        <f ca="1"/>
        <v>FV012283101</v>
      </c>
      <c r="F104" s="94" t="str">
        <f ca="1"/>
        <v>C1500427</v>
      </c>
      <c r="G104" s="94" t="str">
        <f ca="1"/>
        <v>B</v>
      </c>
      <c r="H104" s="94" t="str">
        <f ca="1"/>
        <v>CF003113615</v>
      </c>
      <c r="I104" s="94" t="str">
        <f ca="1"/>
        <v>A</v>
      </c>
      <c r="J104" s="94">
        <f ca="1"/>
        <v>22.4</v>
      </c>
      <c r="K104" s="94"/>
      <c r="L104" s="94">
        <f ca="1"/>
        <v>76.11</v>
      </c>
      <c r="M104" s="94" t="str">
        <f ca="1"/>
        <v>63/65"</v>
      </c>
      <c r="N104" s="94">
        <f ca="1"/>
        <v>63</v>
      </c>
      <c r="O104" s="94" t="str">
        <f ca="1"/>
        <v>Color Mark (PD) [PD沾色]</v>
      </c>
      <c r="P104" s="95" t="str">
        <f ca="1"/>
        <v>không đều mau nhẹ</v>
      </c>
      <c r="Q104" s="95" t="str">
        <f ca="1"/>
        <v/>
      </c>
      <c r="R104" s="96">
        <f ca="1"/>
        <v>46095</v>
      </c>
    </row>
    <row r="105" spans="1:18" s="90" customFormat="1" ht="55" customHeight="1" x14ac:dyDescent="0.35">
      <c r="A105" s="94" t="str">
        <f ca="1"/>
        <v>S25V10883</v>
      </c>
      <c r="B105" s="94" t="str">
        <f ca="1"/>
        <v>PKEK25VE0010883A</v>
      </c>
      <c r="C105" s="94" t="str">
        <f ca="1"/>
        <v>LAGOON</v>
      </c>
      <c r="D105" s="94" t="str">
        <f ca="1"/>
        <v>457</v>
      </c>
      <c r="E105" s="94" t="str">
        <f ca="1"/>
        <v>FV012283101</v>
      </c>
      <c r="F105" s="94" t="str">
        <f ca="1"/>
        <v>C1500427</v>
      </c>
      <c r="G105" s="94" t="str">
        <f ca="1"/>
        <v>B</v>
      </c>
      <c r="H105" s="94" t="str">
        <f ca="1"/>
        <v>CF003113616</v>
      </c>
      <c r="I105" s="94" t="str">
        <f ca="1"/>
        <v>A</v>
      </c>
      <c r="J105" s="94">
        <f ca="1"/>
        <v>22</v>
      </c>
      <c r="K105" s="94"/>
      <c r="L105" s="94">
        <f ca="1"/>
        <v>74.75</v>
      </c>
      <c r="M105" s="94" t="str">
        <f ca="1"/>
        <v>63/65"</v>
      </c>
      <c r="N105" s="94">
        <f ca="1"/>
        <v>63</v>
      </c>
      <c r="O105" s="94" t="str">
        <f ca="1"/>
        <v>Hole (KN) [针织破洞]</v>
      </c>
      <c r="P105" s="95" t="str">
        <f ca="1"/>
        <v>không đều mau nhẹ</v>
      </c>
      <c r="Q105" s="95" t="str">
        <f ca="1"/>
        <v/>
      </c>
      <c r="R105" s="96">
        <f ca="1"/>
        <v>46095</v>
      </c>
    </row>
    <row r="106" spans="1:18" s="90" customFormat="1" ht="55" customHeight="1" x14ac:dyDescent="0.35">
      <c r="A106" s="94" t="str">
        <f ca="1"/>
        <v>S25V10883</v>
      </c>
      <c r="B106" s="94" t="str">
        <f ca="1"/>
        <v>PKEK25VE0010883A</v>
      </c>
      <c r="C106" s="94" t="str">
        <f ca="1"/>
        <v>LAGOON</v>
      </c>
      <c r="D106" s="94" t="str">
        <f ca="1"/>
        <v>457</v>
      </c>
      <c r="E106" s="94" t="str">
        <f ca="1"/>
        <v>FV012283101</v>
      </c>
      <c r="F106" s="94" t="str">
        <f ca="1"/>
        <v>C1500427</v>
      </c>
      <c r="G106" s="94" t="str">
        <f ca="1"/>
        <v>B</v>
      </c>
      <c r="H106" s="94" t="str">
        <f ca="1"/>
        <v>CF003113617</v>
      </c>
      <c r="I106" s="94" t="str">
        <f ca="1"/>
        <v>A</v>
      </c>
      <c r="J106" s="94">
        <f ca="1"/>
        <v>22.3</v>
      </c>
      <c r="K106" s="94"/>
      <c r="L106" s="94">
        <f ca="1"/>
        <v>75.77</v>
      </c>
      <c r="M106" s="94" t="str">
        <f ca="1"/>
        <v>63/65"</v>
      </c>
      <c r="N106" s="94">
        <f ca="1"/>
        <v>63</v>
      </c>
      <c r="O106" s="94" t="str">
        <f ca="1"/>
        <v>thick yarn</v>
      </c>
      <c r="P106" s="95" t="str">
        <f ca="1"/>
        <v>không đều mau nhẹ</v>
      </c>
      <c r="Q106" s="95" t="str">
        <f ca="1"/>
        <v/>
      </c>
      <c r="R106" s="96">
        <f ca="1"/>
        <v>46095</v>
      </c>
    </row>
    <row r="107" spans="1:18" s="90" customFormat="1" ht="55" customHeight="1" x14ac:dyDescent="0.35">
      <c r="A107" s="94" t="str">
        <f ca="1"/>
        <v>S25V10883</v>
      </c>
      <c r="B107" s="94" t="str">
        <f ca="1"/>
        <v>PKEK25VE0010883A</v>
      </c>
      <c r="C107" s="94" t="str">
        <f ca="1"/>
        <v>LAGOON</v>
      </c>
      <c r="D107" s="94" t="str">
        <f ca="1"/>
        <v>457</v>
      </c>
      <c r="E107" s="94" t="str">
        <f ca="1"/>
        <v>FV012283101</v>
      </c>
      <c r="F107" s="94" t="str">
        <f ca="1"/>
        <v>C1500427</v>
      </c>
      <c r="G107" s="94" t="str">
        <f ca="1"/>
        <v>B</v>
      </c>
      <c r="H107" s="94" t="str">
        <f ca="1"/>
        <v>CF003113618</v>
      </c>
      <c r="I107" s="94" t="str">
        <f ca="1"/>
        <v>A</v>
      </c>
      <c r="J107" s="94">
        <f ca="1"/>
        <v>22.1</v>
      </c>
      <c r="K107" s="94"/>
      <c r="L107" s="94">
        <f ca="1"/>
        <v>75.09</v>
      </c>
      <c r="M107" s="94" t="str">
        <f ca="1"/>
        <v>63/65"</v>
      </c>
      <c r="N107" s="94">
        <f ca="1"/>
        <v>63</v>
      </c>
      <c r="O107" s="94" t="str">
        <f ca="1"/>
        <v>Color Mark (FN) [FN沾色]</v>
      </c>
      <c r="P107" s="95" t="str">
        <f ca="1"/>
        <v>không đều mau nhẹ</v>
      </c>
      <c r="Q107" s="95" t="str">
        <f ca="1"/>
        <v/>
      </c>
      <c r="R107" s="96">
        <f ca="1"/>
        <v>46095</v>
      </c>
    </row>
    <row r="108" spans="1:18" s="90" customFormat="1" ht="55" customHeight="1" x14ac:dyDescent="0.35">
      <c r="A108" s="94" t="str">
        <f ca="1"/>
        <v>S25V10883</v>
      </c>
      <c r="B108" s="94" t="str">
        <f ca="1"/>
        <v>PKEK25VE0010883A</v>
      </c>
      <c r="C108" s="94" t="str">
        <f ca="1"/>
        <v>PALE YELLOW</v>
      </c>
      <c r="D108" s="94" t="str">
        <f ca="1"/>
        <v>702</v>
      </c>
      <c r="E108" s="94" t="str">
        <f ca="1"/>
        <v>FV012282401</v>
      </c>
      <c r="F108" s="94" t="str">
        <f ca="1"/>
        <v>C1500427</v>
      </c>
      <c r="G108" s="94" t="str">
        <f ca="1"/>
        <v>B</v>
      </c>
      <c r="H108" s="94" t="str">
        <f ca="1"/>
        <v>CF003113623</v>
      </c>
      <c r="I108" s="94" t="str">
        <f ca="1"/>
        <v>A</v>
      </c>
      <c r="J108" s="94">
        <f ca="1"/>
        <v>21.6</v>
      </c>
      <c r="K108" s="94"/>
      <c r="L108" s="94">
        <f ca="1"/>
        <v>76.89</v>
      </c>
      <c r="M108" s="94" t="str">
        <f ca="1"/>
        <v>63/65"</v>
      </c>
      <c r="N108" s="94">
        <f ca="1"/>
        <v>63</v>
      </c>
      <c r="O108" s="94" t="str">
        <f ca="1"/>
        <v/>
      </c>
      <c r="P108" s="95" t="str">
        <f ca="1"/>
        <v/>
      </c>
      <c r="Q108" s="95" t="str">
        <f ca="1"/>
        <v/>
      </c>
      <c r="R108" s="96">
        <f ca="1"/>
        <v>46094</v>
      </c>
    </row>
    <row r="109" spans="1:18" s="90" customFormat="1" ht="55" customHeight="1" x14ac:dyDescent="0.35">
      <c r="A109" s="94" t="str">
        <f ca="1"/>
        <v>S25V10883</v>
      </c>
      <c r="B109" s="94" t="str">
        <f ca="1"/>
        <v>PKEK25VE0010883A</v>
      </c>
      <c r="C109" s="94" t="str">
        <f ca="1"/>
        <v>PALE YELLOW</v>
      </c>
      <c r="D109" s="94" t="str">
        <f ca="1"/>
        <v>702</v>
      </c>
      <c r="E109" s="94" t="str">
        <f ca="1"/>
        <v>FV012282401</v>
      </c>
      <c r="F109" s="94" t="str">
        <f ca="1"/>
        <v>C1500427</v>
      </c>
      <c r="G109" s="94" t="str">
        <f ca="1"/>
        <v>B</v>
      </c>
      <c r="H109" s="94" t="str">
        <f ca="1"/>
        <v>CF003113624</v>
      </c>
      <c r="I109" s="94" t="str">
        <f ca="1"/>
        <v>A</v>
      </c>
      <c r="J109" s="94">
        <f ca="1"/>
        <v>23</v>
      </c>
      <c r="K109" s="94"/>
      <c r="L109" s="94">
        <f ca="1"/>
        <v>81.87</v>
      </c>
      <c r="M109" s="94" t="str">
        <f ca="1"/>
        <v>63/65"</v>
      </c>
      <c r="N109" s="94">
        <f ca="1"/>
        <v>63</v>
      </c>
      <c r="O109" s="94" t="str">
        <f ca="1"/>
        <v/>
      </c>
      <c r="P109" s="95" t="str">
        <f ca="1"/>
        <v/>
      </c>
      <c r="Q109" s="95" t="str">
        <f ca="1"/>
        <v/>
      </c>
      <c r="R109" s="96">
        <f ca="1"/>
        <v>46094</v>
      </c>
    </row>
    <row r="110" spans="1:18" s="90" customFormat="1" ht="55" customHeight="1" x14ac:dyDescent="0.35">
      <c r="A110" s="94" t="str">
        <f ca="1"/>
        <v>S25V10883</v>
      </c>
      <c r="B110" s="94" t="str">
        <f ca="1"/>
        <v>PKEK25VE0010883A</v>
      </c>
      <c r="C110" s="94" t="str">
        <f ca="1"/>
        <v>PALE YELLOW</v>
      </c>
      <c r="D110" s="94" t="str">
        <f ca="1"/>
        <v>702</v>
      </c>
      <c r="E110" s="94" t="str">
        <f ca="1"/>
        <v>FV012282401</v>
      </c>
      <c r="F110" s="94" t="str">
        <f ca="1"/>
        <v>C1500427</v>
      </c>
      <c r="G110" s="94" t="str">
        <f ca="1"/>
        <v>B</v>
      </c>
      <c r="H110" s="94" t="str">
        <f ca="1"/>
        <v>CF003113625</v>
      </c>
      <c r="I110" s="94" t="str">
        <f ca="1"/>
        <v>A</v>
      </c>
      <c r="J110" s="94">
        <f ca="1"/>
        <v>23</v>
      </c>
      <c r="K110" s="94"/>
      <c r="L110" s="94">
        <f ca="1"/>
        <v>81.87</v>
      </c>
      <c r="M110" s="94" t="str">
        <f ca="1"/>
        <v>63/65"</v>
      </c>
      <c r="N110" s="94">
        <f ca="1"/>
        <v>63</v>
      </c>
      <c r="O110" s="94" t="str">
        <f ca="1"/>
        <v>Hole (KN) [针织破洞]</v>
      </c>
      <c r="P110" s="95" t="str">
        <f ca="1"/>
        <v/>
      </c>
      <c r="Q110" s="95" t="str">
        <f ca="1"/>
        <v/>
      </c>
      <c r="R110" s="96">
        <f ca="1"/>
        <v>46094</v>
      </c>
    </row>
    <row r="111" spans="1:18" s="90" customFormat="1" ht="55" customHeight="1" x14ac:dyDescent="0.35">
      <c r="A111" s="94" t="str">
        <f ca="1"/>
        <v>S25V10883</v>
      </c>
      <c r="B111" s="94" t="str">
        <f ca="1"/>
        <v>PKEK25VE0010883A</v>
      </c>
      <c r="C111" s="94" t="str">
        <f ca="1"/>
        <v>PALE YELLOW</v>
      </c>
      <c r="D111" s="94" t="str">
        <f ca="1"/>
        <v>702</v>
      </c>
      <c r="E111" s="94" t="str">
        <f ca="1"/>
        <v>FV012282401</v>
      </c>
      <c r="F111" s="94" t="str">
        <f ca="1"/>
        <v>C1500427</v>
      </c>
      <c r="G111" s="94" t="str">
        <f ca="1"/>
        <v>B</v>
      </c>
      <c r="H111" s="94" t="str">
        <f ca="1"/>
        <v>CF003113631</v>
      </c>
      <c r="I111" s="94" t="str">
        <f ca="1"/>
        <v>A</v>
      </c>
      <c r="J111" s="94">
        <f ca="1"/>
        <v>23.1</v>
      </c>
      <c r="K111" s="94"/>
      <c r="L111" s="94">
        <f ca="1"/>
        <v>82.23</v>
      </c>
      <c r="M111" s="94" t="str">
        <f ca="1"/>
        <v>63/65"</v>
      </c>
      <c r="N111" s="94">
        <f ca="1"/>
        <v>63</v>
      </c>
      <c r="O111" s="94" t="str">
        <f ca="1"/>
        <v>Color Mark (PD) [PD沾色]</v>
      </c>
      <c r="P111" s="95" t="str">
        <f ca="1"/>
        <v/>
      </c>
      <c r="Q111" s="95" t="str">
        <f ca="1"/>
        <v/>
      </c>
      <c r="R111" s="96">
        <f ca="1"/>
        <v>46094</v>
      </c>
    </row>
    <row r="112" spans="1:18" s="90" customFormat="1" ht="55" customHeight="1" x14ac:dyDescent="0.35">
      <c r="A112" s="94" t="str">
        <f ca="1"/>
        <v>S25V10883</v>
      </c>
      <c r="B112" s="94" t="str">
        <f ca="1"/>
        <v>PKEK25VE0010883A</v>
      </c>
      <c r="C112" s="94" t="str">
        <f ca="1"/>
        <v>PALE YELLOW</v>
      </c>
      <c r="D112" s="94" t="str">
        <f ca="1"/>
        <v>702</v>
      </c>
      <c r="E112" s="94" t="str">
        <f ca="1"/>
        <v>FV012282401</v>
      </c>
      <c r="F112" s="94" t="str">
        <f ca="1"/>
        <v>C1500427</v>
      </c>
      <c r="G112" s="94" t="str">
        <f ca="1"/>
        <v>B</v>
      </c>
      <c r="H112" s="94" t="str">
        <f ca="1"/>
        <v>CF003113632</v>
      </c>
      <c r="I112" s="94" t="str">
        <f ca="1"/>
        <v>A</v>
      </c>
      <c r="J112" s="94">
        <f ca="1"/>
        <v>18.8</v>
      </c>
      <c r="K112" s="94"/>
      <c r="L112" s="94">
        <f ca="1"/>
        <v>66.92</v>
      </c>
      <c r="M112" s="94" t="str">
        <f ca="1"/>
        <v>63/65"</v>
      </c>
      <c r="N112" s="94">
        <f ca="1"/>
        <v>63</v>
      </c>
      <c r="O112" s="94" t="str">
        <f ca="1"/>
        <v>Hole (KN) [针织破洞]</v>
      </c>
      <c r="P112" s="95" t="str">
        <f ca="1"/>
        <v/>
      </c>
      <c r="Q112" s="95" t="str">
        <f ca="1"/>
        <v/>
      </c>
      <c r="R112" s="96">
        <f ca="1"/>
        <v>46094</v>
      </c>
    </row>
    <row r="113" spans="1:18" s="90" customFormat="1" ht="55" customHeight="1" x14ac:dyDescent="0.35">
      <c r="A113" s="94" t="str">
        <f ca="1"/>
        <v>S25V10883</v>
      </c>
      <c r="B113" s="94" t="str">
        <f ca="1"/>
        <v>PKEK25VE0010883A</v>
      </c>
      <c r="C113" s="94" t="str">
        <f ca="1"/>
        <v>PALE YELLOW</v>
      </c>
      <c r="D113" s="94" t="str">
        <f ca="1"/>
        <v>702</v>
      </c>
      <c r="E113" s="94" t="str">
        <f ca="1"/>
        <v>FV012282401</v>
      </c>
      <c r="F113" s="94" t="str">
        <f ca="1"/>
        <v>C1500427</v>
      </c>
      <c r="G113" s="94" t="str">
        <f ca="1"/>
        <v>B</v>
      </c>
      <c r="H113" s="94" t="str">
        <f ca="1"/>
        <v>CF003113633</v>
      </c>
      <c r="I113" s="94" t="str">
        <f ca="1"/>
        <v>A</v>
      </c>
      <c r="J113" s="94">
        <f ca="1"/>
        <v>23.2</v>
      </c>
      <c r="K113" s="94"/>
      <c r="L113" s="94">
        <f ca="1"/>
        <v>82.58</v>
      </c>
      <c r="M113" s="94" t="str">
        <f ca="1"/>
        <v>63/65"</v>
      </c>
      <c r="N113" s="94">
        <f ca="1"/>
        <v>63</v>
      </c>
      <c r="O113" s="94" t="str">
        <f ca="1"/>
        <v/>
      </c>
      <c r="P113" s="95" t="str">
        <f ca="1"/>
        <v/>
      </c>
      <c r="Q113" s="95" t="str">
        <f ca="1"/>
        <v/>
      </c>
      <c r="R113" s="96">
        <f ca="1"/>
        <v>46094</v>
      </c>
    </row>
    <row r="114" spans="1:18" s="90" customFormat="1" ht="55" customHeight="1" x14ac:dyDescent="0.35">
      <c r="A114" s="94" t="str">
        <f ca="1"/>
        <v>S25V10883</v>
      </c>
      <c r="B114" s="94" t="str">
        <f ca="1"/>
        <v>PKEK25VE0010883A</v>
      </c>
      <c r="C114" s="94" t="str">
        <f ca="1"/>
        <v>PALE YELLOW</v>
      </c>
      <c r="D114" s="94" t="str">
        <f ca="1"/>
        <v>702</v>
      </c>
      <c r="E114" s="94" t="str">
        <f ca="1"/>
        <v>FV012282401</v>
      </c>
      <c r="F114" s="94" t="str">
        <f ca="1"/>
        <v>C1500427</v>
      </c>
      <c r="G114" s="94" t="str">
        <f ca="1"/>
        <v>B</v>
      </c>
      <c r="H114" s="94" t="str">
        <f ca="1"/>
        <v>CF003113634</v>
      </c>
      <c r="I114" s="94" t="str">
        <f ca="1"/>
        <v>A</v>
      </c>
      <c r="J114" s="94">
        <f ca="1"/>
        <v>22.5</v>
      </c>
      <c r="K114" s="94"/>
      <c r="L114" s="94">
        <f ca="1"/>
        <v>80.09</v>
      </c>
      <c r="M114" s="94" t="str">
        <f ca="1"/>
        <v>63/65"</v>
      </c>
      <c r="N114" s="94">
        <f ca="1"/>
        <v>63</v>
      </c>
      <c r="O114" s="94" t="str">
        <f ca="1"/>
        <v/>
      </c>
      <c r="P114" s="95" t="str">
        <f ca="1"/>
        <v/>
      </c>
      <c r="Q114" s="95" t="str">
        <f ca="1"/>
        <v/>
      </c>
      <c r="R114" s="96">
        <f ca="1"/>
        <v>46094</v>
      </c>
    </row>
    <row r="115" spans="1:18" s="90" customFormat="1" ht="55" customHeight="1" x14ac:dyDescent="0.35">
      <c r="A115" s="94" t="str">
        <f ca="1"/>
        <v>S25V10883</v>
      </c>
      <c r="B115" s="94" t="str">
        <f ca="1"/>
        <v>PKEK25VE0010883A</v>
      </c>
      <c r="C115" s="94" t="str">
        <f ca="1"/>
        <v>PALE YELLOW</v>
      </c>
      <c r="D115" s="94" t="str">
        <f ca="1"/>
        <v>702</v>
      </c>
      <c r="E115" s="94" t="str">
        <f ca="1"/>
        <v>FV012282401</v>
      </c>
      <c r="F115" s="94" t="str">
        <f ca="1"/>
        <v>C1500427</v>
      </c>
      <c r="G115" s="94" t="str">
        <f ca="1"/>
        <v>B</v>
      </c>
      <c r="H115" s="94" t="str">
        <f ca="1"/>
        <v>CF003113635</v>
      </c>
      <c r="I115" s="94" t="str">
        <f ca="1"/>
        <v>A</v>
      </c>
      <c r="J115" s="94">
        <f ca="1"/>
        <v>23.4</v>
      </c>
      <c r="K115" s="94"/>
      <c r="L115" s="94">
        <f ca="1"/>
        <v>83.29</v>
      </c>
      <c r="M115" s="94" t="str">
        <f ca="1"/>
        <v>63/65"</v>
      </c>
      <c r="N115" s="94">
        <f ca="1"/>
        <v>63</v>
      </c>
      <c r="O115" s="94" t="str">
        <f ca="1"/>
        <v/>
      </c>
      <c r="P115" s="95" t="str">
        <f ca="1"/>
        <v/>
      </c>
      <c r="Q115" s="95" t="str">
        <f ca="1"/>
        <v/>
      </c>
      <c r="R115" s="96">
        <f ca="1"/>
        <v>46094</v>
      </c>
    </row>
    <row r="116" spans="1:18" s="90" customFormat="1" ht="55" customHeight="1" x14ac:dyDescent="0.35">
      <c r="A116" s="94" t="str">
        <f ca="1"/>
        <v>S25V10883</v>
      </c>
      <c r="B116" s="94" t="str">
        <f ca="1"/>
        <v>PKEK25VE0010883A</v>
      </c>
      <c r="C116" s="94" t="str">
        <f ca="1"/>
        <v>PALE YELLOW</v>
      </c>
      <c r="D116" s="94" t="str">
        <f ca="1"/>
        <v>702</v>
      </c>
      <c r="E116" s="94" t="str">
        <f ca="1"/>
        <v>FV012282401</v>
      </c>
      <c r="F116" s="94" t="str">
        <f ca="1"/>
        <v>C1500427</v>
      </c>
      <c r="G116" s="94" t="str">
        <f ca="1"/>
        <v>B</v>
      </c>
      <c r="H116" s="94" t="str">
        <f ca="1"/>
        <v>CF003113641</v>
      </c>
      <c r="I116" s="94" t="str">
        <f ca="1"/>
        <v>A</v>
      </c>
      <c r="J116" s="94">
        <f ca="1"/>
        <v>22.6</v>
      </c>
      <c r="K116" s="94"/>
      <c r="L116" s="94">
        <f ca="1"/>
        <v>80.45</v>
      </c>
      <c r="M116" s="94" t="str">
        <f ca="1"/>
        <v>63/65"</v>
      </c>
      <c r="N116" s="94">
        <f ca="1"/>
        <v>63</v>
      </c>
      <c r="O116" s="94" t="str">
        <f ca="1"/>
        <v/>
      </c>
      <c r="P116" s="95" t="str">
        <f ca="1"/>
        <v/>
      </c>
      <c r="Q116" s="95" t="str">
        <f ca="1"/>
        <v/>
      </c>
      <c r="R116" s="96">
        <f ca="1"/>
        <v>46094</v>
      </c>
    </row>
    <row r="117" spans="1:18" s="90" customFormat="1" ht="55" customHeight="1" x14ac:dyDescent="0.35">
      <c r="A117" s="94" t="str">
        <f ca="1"/>
        <v>S25V10883</v>
      </c>
      <c r="B117" s="94" t="str">
        <f ca="1"/>
        <v>PKEK25VE0010883A</v>
      </c>
      <c r="C117" s="94" t="str">
        <f ca="1"/>
        <v>PALE YELLOW</v>
      </c>
      <c r="D117" s="94" t="str">
        <f ca="1"/>
        <v>702</v>
      </c>
      <c r="E117" s="94" t="str">
        <f ca="1"/>
        <v>FV012282401</v>
      </c>
      <c r="F117" s="94" t="str">
        <f ca="1"/>
        <v>C1500427</v>
      </c>
      <c r="G117" s="94" t="str">
        <f ca="1"/>
        <v>B</v>
      </c>
      <c r="H117" s="94" t="str">
        <f ca="1"/>
        <v>CF003113642</v>
      </c>
      <c r="I117" s="94" t="str">
        <f ca="1"/>
        <v>A</v>
      </c>
      <c r="J117" s="94">
        <f ca="1"/>
        <v>23</v>
      </c>
      <c r="K117" s="94"/>
      <c r="L117" s="94">
        <f ca="1"/>
        <v>81.87</v>
      </c>
      <c r="M117" s="94" t="str">
        <f ca="1"/>
        <v>63/65"</v>
      </c>
      <c r="N117" s="94">
        <f ca="1"/>
        <v>63</v>
      </c>
      <c r="O117" s="94" t="str">
        <f ca="1"/>
        <v/>
      </c>
      <c r="P117" s="95" t="str">
        <f ca="1"/>
        <v/>
      </c>
      <c r="Q117" s="95" t="str">
        <f ca="1"/>
        <v/>
      </c>
      <c r="R117" s="96">
        <f ca="1"/>
        <v>46094</v>
      </c>
    </row>
    <row r="118" spans="1:18" s="90" customFormat="1" ht="55" customHeight="1" x14ac:dyDescent="0.35">
      <c r="A118" s="94" t="str">
        <f ca="1"/>
        <v>S25V10883</v>
      </c>
      <c r="B118" s="94" t="str">
        <f ca="1"/>
        <v>PKEK25VE0010883A</v>
      </c>
      <c r="C118" s="94" t="str">
        <f ca="1"/>
        <v>PALE YELLOW</v>
      </c>
      <c r="D118" s="94" t="str">
        <f ca="1"/>
        <v>702</v>
      </c>
      <c r="E118" s="94" t="str">
        <f ca="1"/>
        <v>FV012282401</v>
      </c>
      <c r="F118" s="94" t="str">
        <f ca="1"/>
        <v>C1500427</v>
      </c>
      <c r="G118" s="94" t="str">
        <f ca="1"/>
        <v>B</v>
      </c>
      <c r="H118" s="94" t="str">
        <f ca="1"/>
        <v>CF003113643</v>
      </c>
      <c r="I118" s="94" t="str">
        <f ca="1"/>
        <v>A</v>
      </c>
      <c r="J118" s="94">
        <f ca="1"/>
        <v>23.1</v>
      </c>
      <c r="K118" s="94"/>
      <c r="L118" s="94">
        <f ca="1"/>
        <v>82.23</v>
      </c>
      <c r="M118" s="94" t="str">
        <f ca="1"/>
        <v>63/65"</v>
      </c>
      <c r="N118" s="94">
        <f ca="1"/>
        <v>63</v>
      </c>
      <c r="O118" s="94" t="str">
        <f ca="1"/>
        <v>Hole (KN) [针织破洞]</v>
      </c>
      <c r="P118" s="95" t="str">
        <f ca="1"/>
        <v/>
      </c>
      <c r="Q118" s="95" t="str">
        <f ca="1"/>
        <v/>
      </c>
      <c r="R118" s="96">
        <f ca="1"/>
        <v>46094</v>
      </c>
    </row>
    <row r="119" spans="1:18" s="90" customFormat="1" ht="55" customHeight="1" x14ac:dyDescent="0.35">
      <c r="A119" s="94" t="str">
        <f ca="1"/>
        <v>S25V10883</v>
      </c>
      <c r="B119" s="94" t="str">
        <f ca="1"/>
        <v>PKEK25VE0010883A</v>
      </c>
      <c r="C119" s="94" t="str">
        <f ca="1"/>
        <v>PALE YELLOW</v>
      </c>
      <c r="D119" s="94" t="str">
        <f ca="1"/>
        <v>702</v>
      </c>
      <c r="E119" s="94" t="str">
        <f ca="1"/>
        <v>FV012282401</v>
      </c>
      <c r="F119" s="94" t="str">
        <f ca="1"/>
        <v>C1500427</v>
      </c>
      <c r="G119" s="94" t="str">
        <f ca="1"/>
        <v>B</v>
      </c>
      <c r="H119" s="94" t="str">
        <f ca="1"/>
        <v>CF003113644</v>
      </c>
      <c r="I119" s="94" t="str">
        <f ca="1"/>
        <v>A</v>
      </c>
      <c r="J119" s="94">
        <f ca="1"/>
        <v>5.2</v>
      </c>
      <c r="K119" s="94"/>
      <c r="L119" s="94">
        <f ca="1"/>
        <v>18.05</v>
      </c>
      <c r="M119" s="94" t="str">
        <f ca="1"/>
        <v>63/65"</v>
      </c>
      <c r="N119" s="94">
        <f ca="1"/>
        <v>63</v>
      </c>
      <c r="O119" s="94" t="str">
        <f ca="1"/>
        <v>Needle Line [针路]</v>
      </c>
      <c r="P119" s="95" t="str">
        <f ca="1"/>
        <v/>
      </c>
      <c r="Q119" s="95" t="str">
        <f ca="1"/>
        <v/>
      </c>
      <c r="R119" s="96">
        <f ca="1"/>
        <v>46114</v>
      </c>
    </row>
    <row r="120" spans="1:18" s="90" customFormat="1" ht="55" customHeight="1" x14ac:dyDescent="0.35">
      <c r="A120" s="94" t="str">
        <f ca="1"/>
        <v>S25V10883</v>
      </c>
      <c r="B120" s="94" t="str">
        <f ca="1"/>
        <v>PKEK25VE0010883A</v>
      </c>
      <c r="C120" s="94" t="str">
        <f ca="1"/>
        <v>PALE YELLOW</v>
      </c>
      <c r="D120" s="94" t="str">
        <f ca="1"/>
        <v>702</v>
      </c>
      <c r="E120" s="94" t="str">
        <f ca="1"/>
        <v>FV012282401</v>
      </c>
      <c r="F120" s="94" t="str">
        <f ca="1"/>
        <v>C1500427</v>
      </c>
      <c r="G120" s="94" t="str">
        <f ca="1"/>
        <v>B</v>
      </c>
      <c r="H120" s="94" t="str">
        <f ca="1"/>
        <v>CF003113645</v>
      </c>
      <c r="I120" s="94" t="str">
        <f ca="1"/>
        <v>A</v>
      </c>
      <c r="J120" s="94">
        <f ca="1"/>
        <v>32.299999999999997</v>
      </c>
      <c r="K120" s="94"/>
      <c r="L120" s="94">
        <f ca="1"/>
        <v>114.97</v>
      </c>
      <c r="M120" s="94" t="str">
        <f ca="1"/>
        <v>63/65"</v>
      </c>
      <c r="N120" s="94">
        <f ca="1"/>
        <v>63</v>
      </c>
      <c r="O120" s="94" t="str">
        <f ca="1"/>
        <v>Color Mark (PD) [PD沾色]</v>
      </c>
      <c r="P120" s="95" t="str">
        <f ca="1"/>
        <v/>
      </c>
      <c r="Q120" s="95" t="str">
        <f ca="1"/>
        <v/>
      </c>
      <c r="R120" s="96">
        <f ca="1"/>
        <v>46094</v>
      </c>
    </row>
    <row r="121" spans="1:18" s="90" customFormat="1" ht="55" customHeight="1" x14ac:dyDescent="0.35">
      <c r="A121" s="94" t="str">
        <f ca="1"/>
        <v>S25V10883</v>
      </c>
      <c r="B121" s="94" t="str">
        <f ca="1"/>
        <v>PKEK25VE0010883A</v>
      </c>
      <c r="C121" s="94" t="str">
        <f ca="1"/>
        <v>PALE YELLOW</v>
      </c>
      <c r="D121" s="94" t="str">
        <f ca="1"/>
        <v>702</v>
      </c>
      <c r="E121" s="94" t="str">
        <f ca="1"/>
        <v>FV012282401</v>
      </c>
      <c r="F121" s="94" t="str">
        <f ca="1"/>
        <v>C1500427</v>
      </c>
      <c r="G121" s="94" t="str">
        <f ca="1"/>
        <v>B</v>
      </c>
      <c r="H121" s="94" t="str">
        <f ca="1"/>
        <v>CF003113656</v>
      </c>
      <c r="I121" s="94" t="str">
        <f ca="1"/>
        <v>A</v>
      </c>
      <c r="J121" s="94">
        <f ca="1"/>
        <v>22.8</v>
      </c>
      <c r="K121" s="94"/>
      <c r="L121" s="94">
        <f ca="1"/>
        <v>81.16</v>
      </c>
      <c r="M121" s="94" t="str">
        <f ca="1"/>
        <v>63/65"</v>
      </c>
      <c r="N121" s="94">
        <f ca="1"/>
        <v>63</v>
      </c>
      <c r="O121" s="94" t="str">
        <f ca="1"/>
        <v>Color Mark (PD) [PD沾色]</v>
      </c>
      <c r="P121" s="95" t="str">
        <f ca="1"/>
        <v/>
      </c>
      <c r="Q121" s="95" t="str">
        <f ca="1"/>
        <v/>
      </c>
      <c r="R121" s="96">
        <f ca="1"/>
        <v>46094</v>
      </c>
    </row>
    <row r="122" spans="1:18" s="90" customFormat="1" ht="55" customHeight="1" x14ac:dyDescent="0.35">
      <c r="A122" s="94" t="str">
        <f ca="1"/>
        <v>S25V10883</v>
      </c>
      <c r="B122" s="94" t="str">
        <f ca="1"/>
        <v>PKEK25VE0010883A</v>
      </c>
      <c r="C122" s="94" t="str">
        <f ca="1"/>
        <v>PALE YELLOW</v>
      </c>
      <c r="D122" s="94" t="str">
        <f ca="1"/>
        <v>702</v>
      </c>
      <c r="E122" s="94" t="str">
        <f ca="1"/>
        <v>FV012282401</v>
      </c>
      <c r="F122" s="94" t="str">
        <f ca="1"/>
        <v>C1500427</v>
      </c>
      <c r="G122" s="94" t="str">
        <f ca="1"/>
        <v>B</v>
      </c>
      <c r="H122" s="94" t="str">
        <f ca="1"/>
        <v>CF003113657</v>
      </c>
      <c r="I122" s="94" t="str">
        <f ca="1"/>
        <v>A</v>
      </c>
      <c r="J122" s="94">
        <f ca="1"/>
        <v>22.3</v>
      </c>
      <c r="K122" s="94"/>
      <c r="L122" s="94">
        <f ca="1"/>
        <v>79.38</v>
      </c>
      <c r="M122" s="94" t="str">
        <f ca="1"/>
        <v>63/65"</v>
      </c>
      <c r="N122" s="94">
        <f ca="1"/>
        <v>63</v>
      </c>
      <c r="O122" s="94" t="str">
        <f ca="1"/>
        <v>Color Mark (PD) [PD沾色]</v>
      </c>
      <c r="P122" s="95" t="str">
        <f ca="1"/>
        <v/>
      </c>
      <c r="Q122" s="95" t="str">
        <f ca="1"/>
        <v/>
      </c>
      <c r="R122" s="96">
        <f ca="1"/>
        <v>46094</v>
      </c>
    </row>
    <row r="123" spans="1:18" s="90" customFormat="1" ht="55" customHeight="1" x14ac:dyDescent="0.35">
      <c r="A123" s="94" t="str">
        <f ca="1"/>
        <v>S25V10883</v>
      </c>
      <c r="B123" s="94" t="str">
        <f ca="1"/>
        <v>PKEK25VE0010883A</v>
      </c>
      <c r="C123" s="94" t="str">
        <f ca="1"/>
        <v>PALE YELLOW</v>
      </c>
      <c r="D123" s="94" t="str">
        <f ca="1"/>
        <v>702</v>
      </c>
      <c r="E123" s="94" t="str">
        <f ca="1"/>
        <v>FV012282401</v>
      </c>
      <c r="F123" s="94" t="str">
        <f ca="1"/>
        <v>C1500427</v>
      </c>
      <c r="G123" s="94" t="str">
        <f ca="1"/>
        <v>B</v>
      </c>
      <c r="H123" s="94" t="str">
        <f ca="1"/>
        <v>CF003113658</v>
      </c>
      <c r="I123" s="94" t="str">
        <f ca="1"/>
        <v>A</v>
      </c>
      <c r="J123" s="94">
        <f ca="1"/>
        <v>21.5</v>
      </c>
      <c r="K123" s="94"/>
      <c r="L123" s="94">
        <f ca="1"/>
        <v>76.53</v>
      </c>
      <c r="M123" s="94" t="str">
        <f ca="1"/>
        <v>63/65"</v>
      </c>
      <c r="N123" s="94">
        <f ca="1"/>
        <v>63</v>
      </c>
      <c r="O123" s="94" t="str">
        <f ca="1"/>
        <v>Color Mark (PD) [PD沾色]</v>
      </c>
      <c r="P123" s="95" t="str">
        <f ca="1"/>
        <v/>
      </c>
      <c r="Q123" s="95" t="str">
        <f ca="1"/>
        <v/>
      </c>
      <c r="R123" s="96">
        <f ca="1"/>
        <v>46094</v>
      </c>
    </row>
    <row r="124" spans="1:18" s="90" customFormat="1" ht="55" customHeight="1" x14ac:dyDescent="0.35">
      <c r="A124" s="94" t="str">
        <f ca="1"/>
        <v>S25V10883</v>
      </c>
      <c r="B124" s="94" t="str">
        <f ca="1"/>
        <v>PKEK25VE0010883A</v>
      </c>
      <c r="C124" s="94" t="str">
        <f ca="1"/>
        <v>PALE YELLOW</v>
      </c>
      <c r="D124" s="94" t="str">
        <f ca="1"/>
        <v>702</v>
      </c>
      <c r="E124" s="94" t="str">
        <f ca="1"/>
        <v>FV012282401</v>
      </c>
      <c r="F124" s="94" t="str">
        <f ca="1"/>
        <v>C1500427</v>
      </c>
      <c r="G124" s="94" t="str">
        <f ca="1"/>
        <v>B</v>
      </c>
      <c r="H124" s="94" t="str">
        <f ca="1"/>
        <v>CF003113659</v>
      </c>
      <c r="I124" s="94" t="str">
        <f ca="1"/>
        <v>A</v>
      </c>
      <c r="J124" s="94">
        <f ca="1"/>
        <v>24.4</v>
      </c>
      <c r="K124" s="94"/>
      <c r="L124" s="94">
        <f ca="1"/>
        <v>86.85</v>
      </c>
      <c r="M124" s="94" t="str">
        <f ca="1"/>
        <v>63/65"</v>
      </c>
      <c r="N124" s="94">
        <f ca="1"/>
        <v>63</v>
      </c>
      <c r="O124" s="94" t="str">
        <f ca="1"/>
        <v>Color Mark (PD) [PD沾色]</v>
      </c>
      <c r="P124" s="95" t="str">
        <f ca="1"/>
        <v/>
      </c>
      <c r="Q124" s="95" t="str">
        <f ca="1"/>
        <v/>
      </c>
      <c r="R124" s="96">
        <f ca="1"/>
        <v>46094</v>
      </c>
    </row>
    <row r="125" spans="1:18" s="90" customFormat="1" ht="55" customHeight="1" x14ac:dyDescent="0.35">
      <c r="A125" s="94" t="str">
        <f ca="1"/>
        <v>S25V10883</v>
      </c>
      <c r="B125" s="94" t="str">
        <f ca="1"/>
        <v>PKEK25VE0010883A</v>
      </c>
      <c r="C125" s="94" t="str">
        <f ca="1"/>
        <v>PALE YELLOW</v>
      </c>
      <c r="D125" s="94" t="str">
        <f ca="1"/>
        <v>702</v>
      </c>
      <c r="E125" s="94" t="str">
        <f ca="1"/>
        <v>FV012282401</v>
      </c>
      <c r="F125" s="94" t="str">
        <f ca="1"/>
        <v>C1500427</v>
      </c>
      <c r="G125" s="94" t="str">
        <f ca="1"/>
        <v>B</v>
      </c>
      <c r="H125" s="94" t="str">
        <f ca="1"/>
        <v>CF003113660</v>
      </c>
      <c r="I125" s="94" t="str">
        <f ca="1"/>
        <v>A</v>
      </c>
      <c r="J125" s="94">
        <f ca="1"/>
        <v>23.2</v>
      </c>
      <c r="K125" s="94"/>
      <c r="L125" s="94">
        <f ca="1"/>
        <v>82.58</v>
      </c>
      <c r="M125" s="94" t="str">
        <f ca="1"/>
        <v>63/65"</v>
      </c>
      <c r="N125" s="94">
        <f ca="1"/>
        <v>63</v>
      </c>
      <c r="O125" s="94" t="str">
        <f ca="1"/>
        <v>Color Mark (PD) [PD沾色]</v>
      </c>
      <c r="P125" s="95" t="str">
        <f ca="1"/>
        <v/>
      </c>
      <c r="Q125" s="95" t="str">
        <f ca="1"/>
        <v/>
      </c>
      <c r="R125" s="96">
        <f ca="1"/>
        <v>46094</v>
      </c>
    </row>
    <row r="126" spans="1:18" s="90" customFormat="1" ht="55" customHeight="1" x14ac:dyDescent="0.35">
      <c r="A126" s="94" t="str">
        <f ca="1"/>
        <v>S25V10883</v>
      </c>
      <c r="B126" s="94" t="str">
        <f ca="1"/>
        <v>PKEK25VE0010883A</v>
      </c>
      <c r="C126" s="94" t="str">
        <f ca="1"/>
        <v>BERRY</v>
      </c>
      <c r="D126" s="94" t="str">
        <f ca="1"/>
        <v>652</v>
      </c>
      <c r="E126" s="94" t="str">
        <f ca="1"/>
        <v>FV012282601</v>
      </c>
      <c r="F126" s="94" t="str">
        <f ca="1"/>
        <v>C1500427</v>
      </c>
      <c r="G126" s="94" t="str">
        <f ca="1"/>
        <v>B</v>
      </c>
      <c r="H126" s="94" t="str">
        <f ca="1"/>
        <v>CF003113663</v>
      </c>
      <c r="I126" s="94" t="str">
        <f ca="1"/>
        <v>A</v>
      </c>
      <c r="J126" s="94">
        <f ca="1"/>
        <v>23.4</v>
      </c>
      <c r="K126" s="94"/>
      <c r="L126" s="94">
        <f ca="1"/>
        <v>85.09</v>
      </c>
      <c r="M126" s="94" t="str">
        <f ca="1"/>
        <v>63/65"</v>
      </c>
      <c r="N126" s="94">
        <f ca="1"/>
        <v>63</v>
      </c>
      <c r="O126" s="94" t="str">
        <f ca="1"/>
        <v/>
      </c>
      <c r="P126" s="95" t="str">
        <f ca="1"/>
        <v/>
      </c>
      <c r="Q126" s="95" t="str">
        <f ca="1"/>
        <v/>
      </c>
      <c r="R126" s="96">
        <f ca="1"/>
        <v>46094</v>
      </c>
    </row>
    <row r="127" spans="1:18" s="90" customFormat="1" ht="55" customHeight="1" x14ac:dyDescent="0.35">
      <c r="A127" s="94" t="str">
        <f ca="1"/>
        <v>S25V10883</v>
      </c>
      <c r="B127" s="94" t="str">
        <f ca="1"/>
        <v>PKEK25VE0010883A</v>
      </c>
      <c r="C127" s="94" t="str">
        <f ca="1"/>
        <v>BERRY</v>
      </c>
      <c r="D127" s="94" t="str">
        <f ca="1"/>
        <v>652</v>
      </c>
      <c r="E127" s="94" t="str">
        <f ca="1"/>
        <v>FV012282601</v>
      </c>
      <c r="F127" s="94" t="str">
        <f ca="1"/>
        <v>C1500427</v>
      </c>
      <c r="G127" s="94" t="str">
        <f ca="1"/>
        <v>B</v>
      </c>
      <c r="H127" s="94" t="str">
        <f ca="1"/>
        <v>CF003113664</v>
      </c>
      <c r="I127" s="94" t="str">
        <f ca="1"/>
        <v>A</v>
      </c>
      <c r="J127" s="94">
        <f ca="1"/>
        <v>23.1</v>
      </c>
      <c r="K127" s="94"/>
      <c r="L127" s="94">
        <f ca="1"/>
        <v>84</v>
      </c>
      <c r="M127" s="94" t="str">
        <f ca="1"/>
        <v>63/65"</v>
      </c>
      <c r="N127" s="94">
        <f ca="1"/>
        <v>63</v>
      </c>
      <c r="O127" s="94" t="str">
        <f ca="1"/>
        <v/>
      </c>
      <c r="P127" s="95" t="str">
        <f ca="1"/>
        <v/>
      </c>
      <c r="Q127" s="95" t="str">
        <f ca="1"/>
        <v/>
      </c>
      <c r="R127" s="96">
        <f ca="1"/>
        <v>46094</v>
      </c>
    </row>
    <row r="128" spans="1:18" s="90" customFormat="1" ht="55" customHeight="1" x14ac:dyDescent="0.35">
      <c r="A128" s="94" t="str">
        <f ca="1"/>
        <v>S25V10883</v>
      </c>
      <c r="B128" s="94" t="str">
        <f ca="1"/>
        <v>PKEK25VE0010883A</v>
      </c>
      <c r="C128" s="94" t="str">
        <f ca="1"/>
        <v>BERRY</v>
      </c>
      <c r="D128" s="94" t="str">
        <f ca="1"/>
        <v>652</v>
      </c>
      <c r="E128" s="94" t="str">
        <f ca="1"/>
        <v>FV012282601</v>
      </c>
      <c r="F128" s="94" t="str">
        <f ca="1"/>
        <v>C1500427</v>
      </c>
      <c r="G128" s="94" t="str">
        <f ca="1"/>
        <v>B</v>
      </c>
      <c r="H128" s="94" t="str">
        <f ca="1"/>
        <v>CF003113665</v>
      </c>
      <c r="I128" s="94" t="str">
        <f ca="1"/>
        <v>A</v>
      </c>
      <c r="J128" s="94">
        <f ca="1"/>
        <v>23.1</v>
      </c>
      <c r="K128" s="94"/>
      <c r="L128" s="94">
        <f ca="1"/>
        <v>84</v>
      </c>
      <c r="M128" s="94" t="str">
        <f ca="1"/>
        <v>63/65"</v>
      </c>
      <c r="N128" s="94">
        <f ca="1"/>
        <v>63</v>
      </c>
      <c r="O128" s="94" t="str">
        <f ca="1"/>
        <v>White mark [白印]</v>
      </c>
      <c r="P128" s="95" t="str">
        <f ca="1"/>
        <v/>
      </c>
      <c r="Q128" s="95" t="str">
        <f ca="1"/>
        <v/>
      </c>
      <c r="R128" s="96">
        <f ca="1"/>
        <v>46094</v>
      </c>
    </row>
    <row r="129" spans="1:18" s="90" customFormat="1" ht="55" customHeight="1" x14ac:dyDescent="0.35">
      <c r="A129" s="94" t="str">
        <f ca="1"/>
        <v>S25V10883</v>
      </c>
      <c r="B129" s="94" t="str">
        <f ca="1"/>
        <v>PKEK25VE0010883A</v>
      </c>
      <c r="C129" s="94" t="str">
        <f ca="1"/>
        <v>PALE YELLOW</v>
      </c>
      <c r="D129" s="94" t="str">
        <f ca="1"/>
        <v>702</v>
      </c>
      <c r="E129" s="94" t="str">
        <f ca="1"/>
        <v>FV012282401</v>
      </c>
      <c r="F129" s="94" t="str">
        <f ca="1"/>
        <v>C1500427</v>
      </c>
      <c r="G129" s="94" t="str">
        <f ca="1"/>
        <v>B</v>
      </c>
      <c r="H129" s="94" t="str">
        <f ca="1"/>
        <v>CF003113666</v>
      </c>
      <c r="I129" s="94" t="str">
        <f ca="1"/>
        <v>B</v>
      </c>
      <c r="J129" s="94">
        <f ca="1"/>
        <v>23</v>
      </c>
      <c r="K129" s="94"/>
      <c r="L129" s="94">
        <f ca="1"/>
        <v>81.87</v>
      </c>
      <c r="M129" s="94" t="str">
        <f ca="1"/>
        <v>63/65"</v>
      </c>
      <c r="N129" s="94">
        <f ca="1"/>
        <v>63</v>
      </c>
      <c r="O129" s="94" t="str">
        <f ca="1"/>
        <v>Color Mark (PD) [PD沾色]</v>
      </c>
      <c r="P129" s="95" t="str">
        <f ca="1"/>
        <v/>
      </c>
      <c r="Q129" s="95" t="str">
        <f ca="1"/>
        <v/>
      </c>
      <c r="R129" s="96">
        <f ca="1"/>
        <v>46094</v>
      </c>
    </row>
    <row r="130" spans="1:18" s="90" customFormat="1" ht="55" customHeight="1" x14ac:dyDescent="0.35">
      <c r="A130" s="94" t="str">
        <f ca="1"/>
        <v>S25V10883</v>
      </c>
      <c r="B130" s="94" t="str">
        <f ca="1"/>
        <v>PKEK25VE0010883A</v>
      </c>
      <c r="C130" s="94" t="str">
        <f ca="1"/>
        <v>PALE YELLOW</v>
      </c>
      <c r="D130" s="94" t="str">
        <f ca="1"/>
        <v>702</v>
      </c>
      <c r="E130" s="94" t="str">
        <f ca="1"/>
        <v>FV012282401</v>
      </c>
      <c r="F130" s="94" t="str">
        <f ca="1"/>
        <v>C1500427</v>
      </c>
      <c r="G130" s="94" t="str">
        <f ca="1"/>
        <v>B</v>
      </c>
      <c r="H130" s="94" t="str">
        <f ca="1"/>
        <v>CF003113667</v>
      </c>
      <c r="I130" s="94" t="str">
        <f ca="1"/>
        <v>A</v>
      </c>
      <c r="J130" s="94">
        <f ca="1"/>
        <v>23</v>
      </c>
      <c r="K130" s="94"/>
      <c r="L130" s="94">
        <f ca="1"/>
        <v>81.87</v>
      </c>
      <c r="M130" s="94" t="str">
        <f ca="1"/>
        <v>63/65"</v>
      </c>
      <c r="N130" s="94">
        <f ca="1"/>
        <v>63</v>
      </c>
      <c r="O130" s="94" t="str">
        <f ca="1"/>
        <v>Color Mark (PD) [PD沾色]</v>
      </c>
      <c r="P130" s="95" t="str">
        <f ca="1"/>
        <v/>
      </c>
      <c r="Q130" s="95" t="str">
        <f ca="1"/>
        <v/>
      </c>
      <c r="R130" s="96">
        <f ca="1"/>
        <v>46094</v>
      </c>
    </row>
    <row r="131" spans="1:18" s="90" customFormat="1" ht="55" customHeight="1" x14ac:dyDescent="0.35">
      <c r="A131" s="94" t="str">
        <f ca="1"/>
        <v>S25V10883</v>
      </c>
      <c r="B131" s="94" t="str">
        <f ca="1"/>
        <v>PKEK25VE0010883A</v>
      </c>
      <c r="C131" s="94" t="str">
        <f ca="1"/>
        <v>PALE YELLOW</v>
      </c>
      <c r="D131" s="94" t="str">
        <f ca="1"/>
        <v>702</v>
      </c>
      <c r="E131" s="94" t="str">
        <f ca="1"/>
        <v>FV012282401</v>
      </c>
      <c r="F131" s="94" t="str">
        <f ca="1"/>
        <v>C1500427</v>
      </c>
      <c r="G131" s="94" t="str">
        <f ca="1"/>
        <v>B</v>
      </c>
      <c r="H131" s="94" t="str">
        <f ca="1"/>
        <v>CF003113668</v>
      </c>
      <c r="I131" s="94" t="str">
        <f ca="1"/>
        <v>A</v>
      </c>
      <c r="J131" s="94">
        <f ca="1"/>
        <v>23</v>
      </c>
      <c r="K131" s="94"/>
      <c r="L131" s="94">
        <f ca="1"/>
        <v>81.87</v>
      </c>
      <c r="M131" s="94" t="str">
        <f ca="1"/>
        <v>63/65"</v>
      </c>
      <c r="N131" s="94">
        <f ca="1"/>
        <v>63</v>
      </c>
      <c r="O131" s="94" t="str">
        <f ca="1"/>
        <v>Color Mark (PD) [PD沾色]</v>
      </c>
      <c r="P131" s="95" t="str">
        <f ca="1"/>
        <v/>
      </c>
      <c r="Q131" s="95" t="str">
        <f ca="1"/>
        <v/>
      </c>
      <c r="R131" s="96">
        <f ca="1"/>
        <v>46094</v>
      </c>
    </row>
    <row r="132" spans="1:18" s="90" customFormat="1" ht="55" customHeight="1" x14ac:dyDescent="0.35">
      <c r="A132" s="94" t="str">
        <f ca="1"/>
        <v>S25V10883</v>
      </c>
      <c r="B132" s="94" t="str">
        <f ca="1"/>
        <v>PKEK25VE0010883A</v>
      </c>
      <c r="C132" s="94" t="str">
        <f ca="1"/>
        <v>PALE YELLOW</v>
      </c>
      <c r="D132" s="94" t="str">
        <f ca="1"/>
        <v>702</v>
      </c>
      <c r="E132" s="94" t="str">
        <f ca="1"/>
        <v>FV012282401</v>
      </c>
      <c r="F132" s="94" t="str">
        <f ca="1"/>
        <v>C1500427</v>
      </c>
      <c r="G132" s="94" t="str">
        <f ca="1"/>
        <v>B</v>
      </c>
      <c r="H132" s="94" t="str">
        <f ca="1"/>
        <v>CF003113669</v>
      </c>
      <c r="I132" s="94" t="str">
        <f ca="1"/>
        <v>A</v>
      </c>
      <c r="J132" s="94">
        <f ca="1"/>
        <v>23.2</v>
      </c>
      <c r="K132" s="94"/>
      <c r="L132" s="94">
        <f ca="1"/>
        <v>82.58</v>
      </c>
      <c r="M132" s="94" t="str">
        <f ca="1"/>
        <v>63/65"</v>
      </c>
      <c r="N132" s="94">
        <f ca="1"/>
        <v>63</v>
      </c>
      <c r="O132" s="94" t="str">
        <f ca="1"/>
        <v>Color Mark (PD) [PD沾色]</v>
      </c>
      <c r="P132" s="95" t="str">
        <f ca="1"/>
        <v/>
      </c>
      <c r="Q132" s="95" t="str">
        <f ca="1"/>
        <v/>
      </c>
      <c r="R132" s="96">
        <f ca="1"/>
        <v>46094</v>
      </c>
    </row>
    <row r="133" spans="1:18" s="90" customFormat="1" ht="55" customHeight="1" x14ac:dyDescent="0.35">
      <c r="A133" s="94" t="str">
        <f ca="1"/>
        <v>S25V10883</v>
      </c>
      <c r="B133" s="94" t="str">
        <f ca="1"/>
        <v>PKEK25VE0010883A</v>
      </c>
      <c r="C133" s="94" t="str">
        <f ca="1"/>
        <v>PALE YELLOW</v>
      </c>
      <c r="D133" s="94" t="str">
        <f ca="1"/>
        <v>702</v>
      </c>
      <c r="E133" s="94" t="str">
        <f ca="1"/>
        <v>FV012282401</v>
      </c>
      <c r="F133" s="94" t="str">
        <f ca="1"/>
        <v>C1500427</v>
      </c>
      <c r="G133" s="94" t="str">
        <f ca="1"/>
        <v>B</v>
      </c>
      <c r="H133" s="94" t="str">
        <f ca="1"/>
        <v>CF003113670</v>
      </c>
      <c r="I133" s="94" t="str">
        <f ca="1"/>
        <v>A</v>
      </c>
      <c r="J133" s="94">
        <f ca="1"/>
        <v>23.2</v>
      </c>
      <c r="K133" s="94"/>
      <c r="L133" s="94">
        <f ca="1"/>
        <v>82.58</v>
      </c>
      <c r="M133" s="94" t="str">
        <f ca="1"/>
        <v>63/65"</v>
      </c>
      <c r="N133" s="94">
        <f ca="1"/>
        <v>63</v>
      </c>
      <c r="O133" s="94" t="str">
        <f ca="1"/>
        <v>Color Mark (PD) [PD沾色]</v>
      </c>
      <c r="P133" s="95" t="str">
        <f ca="1"/>
        <v/>
      </c>
      <c r="Q133" s="95" t="str">
        <f ca="1"/>
        <v/>
      </c>
      <c r="R133" s="96">
        <f ca="1"/>
        <v>46094</v>
      </c>
    </row>
    <row r="134" spans="1:18" s="90" customFormat="1" ht="55" customHeight="1" x14ac:dyDescent="0.35">
      <c r="A134" s="94" t="str">
        <f ca="1"/>
        <v>S25V10883</v>
      </c>
      <c r="B134" s="94" t="str">
        <f ca="1"/>
        <v>PKEK25VE0010883A</v>
      </c>
      <c r="C134" s="94" t="str">
        <f ca="1"/>
        <v>PALE YELLOW</v>
      </c>
      <c r="D134" s="94" t="str">
        <f ca="1"/>
        <v>702</v>
      </c>
      <c r="E134" s="94" t="str">
        <f ca="1"/>
        <v>FV012282401</v>
      </c>
      <c r="F134" s="94" t="str">
        <f ca="1"/>
        <v>C1500427</v>
      </c>
      <c r="G134" s="94" t="str">
        <f ca="1"/>
        <v>B</v>
      </c>
      <c r="H134" s="94" t="str">
        <f ca="1"/>
        <v>CF003113671</v>
      </c>
      <c r="I134" s="94" t="str">
        <f ca="1"/>
        <v>A</v>
      </c>
      <c r="J134" s="94">
        <f ca="1"/>
        <v>23.2</v>
      </c>
      <c r="K134" s="94"/>
      <c r="L134" s="94">
        <f ca="1"/>
        <v>82.58</v>
      </c>
      <c r="M134" s="94" t="str">
        <f ca="1"/>
        <v>63/65"</v>
      </c>
      <c r="N134" s="94">
        <f ca="1"/>
        <v>63</v>
      </c>
      <c r="O134" s="94" t="str">
        <f ca="1"/>
        <v>Color Mark (PD) [PD沾色]</v>
      </c>
      <c r="P134" s="95" t="str">
        <f ca="1"/>
        <v/>
      </c>
      <c r="Q134" s="95" t="str">
        <f ca="1"/>
        <v/>
      </c>
      <c r="R134" s="96">
        <f ca="1"/>
        <v>46094</v>
      </c>
    </row>
    <row r="135" spans="1:18" s="90" customFormat="1" ht="55" customHeight="1" x14ac:dyDescent="0.35">
      <c r="A135" s="94" t="str">
        <f ca="1"/>
        <v>S25V10883</v>
      </c>
      <c r="B135" s="94" t="str">
        <f ca="1"/>
        <v>PKEK25VE0010883A</v>
      </c>
      <c r="C135" s="94" t="str">
        <f ca="1"/>
        <v>PALE YELLOW</v>
      </c>
      <c r="D135" s="94" t="str">
        <f ca="1"/>
        <v>702</v>
      </c>
      <c r="E135" s="94" t="str">
        <f ca="1"/>
        <v>FV012282401</v>
      </c>
      <c r="F135" s="94" t="str">
        <f ca="1"/>
        <v>C1500427</v>
      </c>
      <c r="G135" s="94" t="str">
        <f ca="1"/>
        <v>B</v>
      </c>
      <c r="H135" s="94" t="str">
        <f ca="1"/>
        <v>CF003113672</v>
      </c>
      <c r="I135" s="94" t="str">
        <f ca="1"/>
        <v>A</v>
      </c>
      <c r="J135" s="94">
        <f ca="1"/>
        <v>23.1</v>
      </c>
      <c r="K135" s="94"/>
      <c r="L135" s="94">
        <f ca="1"/>
        <v>82.23</v>
      </c>
      <c r="M135" s="94" t="str">
        <f ca="1"/>
        <v>63/65"</v>
      </c>
      <c r="N135" s="94">
        <f ca="1"/>
        <v>63</v>
      </c>
      <c r="O135" s="94" t="str">
        <f ca="1"/>
        <v>Color Mark (PD) [PD沾色]</v>
      </c>
      <c r="P135" s="95" t="str">
        <f ca="1"/>
        <v/>
      </c>
      <c r="Q135" s="95" t="str">
        <f ca="1"/>
        <v/>
      </c>
      <c r="R135" s="96">
        <f ca="1"/>
        <v>46094</v>
      </c>
    </row>
    <row r="136" spans="1:18" s="90" customFormat="1" ht="55" customHeight="1" x14ac:dyDescent="0.35">
      <c r="A136" s="94" t="str">
        <f ca="1"/>
        <v>S25V10883</v>
      </c>
      <c r="B136" s="94" t="str">
        <f ca="1"/>
        <v>PKEK25VE0010883A</v>
      </c>
      <c r="C136" s="94" t="str">
        <f ca="1"/>
        <v>PALE YELLOW</v>
      </c>
      <c r="D136" s="94" t="str">
        <f ca="1"/>
        <v>702</v>
      </c>
      <c r="E136" s="94" t="str">
        <f ca="1"/>
        <v>FV012282401</v>
      </c>
      <c r="F136" s="94" t="str">
        <f ca="1"/>
        <v>C1500427</v>
      </c>
      <c r="G136" s="94" t="str">
        <f ca="1"/>
        <v>B</v>
      </c>
      <c r="H136" s="94" t="str">
        <f ca="1"/>
        <v>CF003113673</v>
      </c>
      <c r="I136" s="94" t="str">
        <f ca="1"/>
        <v>A</v>
      </c>
      <c r="J136" s="94">
        <f ca="1"/>
        <v>23</v>
      </c>
      <c r="K136" s="94"/>
      <c r="L136" s="94">
        <f ca="1"/>
        <v>81.87</v>
      </c>
      <c r="M136" s="94" t="str">
        <f ca="1"/>
        <v>63/65"</v>
      </c>
      <c r="N136" s="94">
        <f ca="1"/>
        <v>63</v>
      </c>
      <c r="O136" s="94" t="str">
        <f ca="1"/>
        <v>Color Mark (PD) [PD沾色]</v>
      </c>
      <c r="P136" s="95" t="str">
        <f ca="1"/>
        <v/>
      </c>
      <c r="Q136" s="95" t="str">
        <f ca="1"/>
        <v/>
      </c>
      <c r="R136" s="96">
        <f ca="1"/>
        <v>46094</v>
      </c>
    </row>
    <row r="137" spans="1:18" s="90" customFormat="1" ht="55" customHeight="1" x14ac:dyDescent="0.35">
      <c r="A137" s="94" t="str">
        <f ca="1"/>
        <v>S25V10883</v>
      </c>
      <c r="B137" s="94" t="str">
        <f ca="1"/>
        <v>PKEK25VE0010883A</v>
      </c>
      <c r="C137" s="94" t="str">
        <f ca="1"/>
        <v>PALE YELLOW</v>
      </c>
      <c r="D137" s="94" t="str">
        <f ca="1"/>
        <v>702</v>
      </c>
      <c r="E137" s="94" t="str">
        <f ca="1"/>
        <v>FV012282401</v>
      </c>
      <c r="F137" s="94" t="str">
        <f ca="1"/>
        <v>C1500427</v>
      </c>
      <c r="G137" s="94" t="str">
        <f ca="1"/>
        <v>B</v>
      </c>
      <c r="H137" s="94" t="str">
        <f ca="1"/>
        <v>CF003113674</v>
      </c>
      <c r="I137" s="94" t="str">
        <f ca="1"/>
        <v>A</v>
      </c>
      <c r="J137" s="94">
        <f ca="1"/>
        <v>30.4</v>
      </c>
      <c r="K137" s="94"/>
      <c r="L137" s="94">
        <f ca="1"/>
        <v>108.21</v>
      </c>
      <c r="M137" s="94" t="str">
        <f ca="1"/>
        <v>63/65"</v>
      </c>
      <c r="N137" s="94">
        <f ca="1"/>
        <v>63</v>
      </c>
      <c r="O137" s="94" t="str">
        <f ca="1"/>
        <v>Color Mark (PD) [PD沾色]</v>
      </c>
      <c r="P137" s="95" t="str">
        <f ca="1"/>
        <v/>
      </c>
      <c r="Q137" s="95" t="str">
        <f ca="1"/>
        <v/>
      </c>
      <c r="R137" s="96">
        <f ca="1"/>
        <v>46094</v>
      </c>
    </row>
    <row r="138" spans="1:18" s="90" customFormat="1" ht="55" customHeight="1" x14ac:dyDescent="0.35">
      <c r="A138" s="94" t="str">
        <f ca="1"/>
        <v>S25V10883</v>
      </c>
      <c r="B138" s="94" t="str">
        <f ca="1"/>
        <v>PKEK25VE0010883A</v>
      </c>
      <c r="C138" s="94" t="str">
        <f ca="1"/>
        <v>BERRY</v>
      </c>
      <c r="D138" s="94" t="str">
        <f ca="1"/>
        <v>652</v>
      </c>
      <c r="E138" s="94" t="str">
        <f ca="1"/>
        <v>FV012282601</v>
      </c>
      <c r="F138" s="94" t="str">
        <f ca="1"/>
        <v>C1500427</v>
      </c>
      <c r="G138" s="94" t="str">
        <f ca="1"/>
        <v>B</v>
      </c>
      <c r="H138" s="94" t="str">
        <f ca="1"/>
        <v>CF003113676</v>
      </c>
      <c r="I138" s="94" t="str">
        <f ca="1"/>
        <v>A</v>
      </c>
      <c r="J138" s="94">
        <f ca="1"/>
        <v>23</v>
      </c>
      <c r="K138" s="94"/>
      <c r="L138" s="94">
        <f ca="1"/>
        <v>83.64</v>
      </c>
      <c r="M138" s="94" t="str">
        <f ca="1"/>
        <v>63/65"</v>
      </c>
      <c r="N138" s="94">
        <f ca="1"/>
        <v>63</v>
      </c>
      <c r="O138" s="94" t="str">
        <f ca="1"/>
        <v>White mark [白印]</v>
      </c>
      <c r="P138" s="95" t="str">
        <f ca="1"/>
        <v/>
      </c>
      <c r="Q138" s="95" t="str">
        <f ca="1"/>
        <v/>
      </c>
      <c r="R138" s="96">
        <f ca="1"/>
        <v>46094</v>
      </c>
    </row>
    <row r="139" spans="1:18" s="90" customFormat="1" ht="55" customHeight="1" x14ac:dyDescent="0.35">
      <c r="A139" s="94" t="str">
        <f ca="1"/>
        <v>S25V10883</v>
      </c>
      <c r="B139" s="94" t="str">
        <f ca="1"/>
        <v>PKEK25VE0010883A</v>
      </c>
      <c r="C139" s="94" t="str">
        <f ca="1"/>
        <v>BERRY</v>
      </c>
      <c r="D139" s="94" t="str">
        <f ca="1"/>
        <v>652</v>
      </c>
      <c r="E139" s="94" t="str">
        <f ca="1"/>
        <v>FV012282601</v>
      </c>
      <c r="F139" s="94" t="str">
        <f ca="1"/>
        <v>C1500427</v>
      </c>
      <c r="G139" s="94" t="str">
        <f ca="1"/>
        <v>B</v>
      </c>
      <c r="H139" s="94" t="str">
        <f ca="1"/>
        <v>CF003113677</v>
      </c>
      <c r="I139" s="94" t="str">
        <f ca="1"/>
        <v>A</v>
      </c>
      <c r="J139" s="94">
        <f ca="1"/>
        <v>22.8</v>
      </c>
      <c r="K139" s="94"/>
      <c r="L139" s="94">
        <f ca="1"/>
        <v>82.91</v>
      </c>
      <c r="M139" s="94" t="str">
        <f ca="1"/>
        <v>63/65"</v>
      </c>
      <c r="N139" s="94">
        <f ca="1"/>
        <v>63</v>
      </c>
      <c r="O139" s="94" t="str">
        <f ca="1"/>
        <v>White mark [白印]</v>
      </c>
      <c r="P139" s="95" t="str">
        <f ca="1"/>
        <v/>
      </c>
      <c r="Q139" s="95" t="str">
        <f ca="1"/>
        <v/>
      </c>
      <c r="R139" s="96">
        <f ca="1"/>
        <v>46094</v>
      </c>
    </row>
    <row r="140" spans="1:18" s="90" customFormat="1" ht="55" customHeight="1" x14ac:dyDescent="0.35">
      <c r="A140" s="94" t="str">
        <f ca="1"/>
        <v>S25V10883</v>
      </c>
      <c r="B140" s="94" t="str">
        <f ca="1"/>
        <v>PKEK25VE0010883A</v>
      </c>
      <c r="C140" s="94" t="str">
        <f ca="1"/>
        <v>BERRY</v>
      </c>
      <c r="D140" s="94" t="str">
        <f ca="1"/>
        <v>652</v>
      </c>
      <c r="E140" s="94" t="str">
        <f ca="1"/>
        <v>FV012282601</v>
      </c>
      <c r="F140" s="94" t="str">
        <f ca="1"/>
        <v>C1500427</v>
      </c>
      <c r="G140" s="94" t="str">
        <f ca="1"/>
        <v>B</v>
      </c>
      <c r="H140" s="94" t="str">
        <f ca="1"/>
        <v>CF003113678</v>
      </c>
      <c r="I140" s="94" t="str">
        <f ca="1"/>
        <v>A</v>
      </c>
      <c r="J140" s="94">
        <f ca="1"/>
        <v>23</v>
      </c>
      <c r="K140" s="94"/>
      <c r="L140" s="94">
        <f ca="1"/>
        <v>83.64</v>
      </c>
      <c r="M140" s="94" t="str">
        <f ca="1"/>
        <v>63/65"</v>
      </c>
      <c r="N140" s="94">
        <f ca="1"/>
        <v>63</v>
      </c>
      <c r="O140" s="94" t="str">
        <f ca="1"/>
        <v>Oil (PD) [匹染油污]</v>
      </c>
      <c r="P140" s="95" t="str">
        <f ca="1"/>
        <v/>
      </c>
      <c r="Q140" s="95" t="str">
        <f ca="1"/>
        <v/>
      </c>
      <c r="R140" s="96">
        <f ca="1"/>
        <v>46094</v>
      </c>
    </row>
    <row r="141" spans="1:18" s="90" customFormat="1" ht="55" customHeight="1" x14ac:dyDescent="0.35">
      <c r="A141" s="94" t="str">
        <f ca="1"/>
        <v>S25V10883</v>
      </c>
      <c r="B141" s="94" t="str">
        <f ca="1"/>
        <v>PKEK25VE0010883A</v>
      </c>
      <c r="C141" s="94" t="str">
        <f ca="1"/>
        <v>BERRY</v>
      </c>
      <c r="D141" s="94" t="str">
        <f ca="1"/>
        <v>652</v>
      </c>
      <c r="E141" s="94" t="str">
        <f ca="1"/>
        <v>FV012282601</v>
      </c>
      <c r="F141" s="94" t="str">
        <f ca="1"/>
        <v>C1500427</v>
      </c>
      <c r="G141" s="94" t="str">
        <f ca="1"/>
        <v>B</v>
      </c>
      <c r="H141" s="94" t="str">
        <f ca="1"/>
        <v>CF003113679</v>
      </c>
      <c r="I141" s="94" t="str">
        <f ca="1"/>
        <v>A</v>
      </c>
      <c r="J141" s="94">
        <f ca="1"/>
        <v>21.8</v>
      </c>
      <c r="K141" s="94"/>
      <c r="L141" s="94">
        <f ca="1"/>
        <v>79.28</v>
      </c>
      <c r="M141" s="94" t="str">
        <f ca="1"/>
        <v>63/65"</v>
      </c>
      <c r="N141" s="94">
        <f ca="1"/>
        <v>63</v>
      </c>
      <c r="O141" s="94" t="str">
        <f ca="1"/>
        <v/>
      </c>
      <c r="P141" s="95" t="str">
        <f ca="1"/>
        <v/>
      </c>
      <c r="Q141" s="95" t="str">
        <f ca="1"/>
        <v/>
      </c>
      <c r="R141" s="96">
        <f ca="1"/>
        <v>46094</v>
      </c>
    </row>
    <row r="142" spans="1:18" s="90" customFormat="1" ht="55" customHeight="1" x14ac:dyDescent="0.35">
      <c r="A142" s="94" t="str">
        <f ca="1"/>
        <v>S25V10883</v>
      </c>
      <c r="B142" s="94" t="str">
        <f ca="1"/>
        <v>PKEK25VE0010883A</v>
      </c>
      <c r="C142" s="94" t="str">
        <f ca="1"/>
        <v>BERRY</v>
      </c>
      <c r="D142" s="94" t="str">
        <f ca="1"/>
        <v>652</v>
      </c>
      <c r="E142" s="94" t="str">
        <f ca="1"/>
        <v>FV012282601</v>
      </c>
      <c r="F142" s="94" t="str">
        <f ca="1"/>
        <v>C1500427</v>
      </c>
      <c r="G142" s="94" t="str">
        <f ca="1"/>
        <v>B</v>
      </c>
      <c r="H142" s="94" t="str">
        <f ca="1"/>
        <v>CF003113680</v>
      </c>
      <c r="I142" s="94" t="str">
        <f ca="1"/>
        <v>A</v>
      </c>
      <c r="J142" s="94">
        <f ca="1"/>
        <v>23</v>
      </c>
      <c r="K142" s="94"/>
      <c r="L142" s="94">
        <f ca="1"/>
        <v>83.64</v>
      </c>
      <c r="M142" s="94" t="str">
        <f ca="1"/>
        <v>63/65"</v>
      </c>
      <c r="N142" s="94">
        <f ca="1"/>
        <v>63</v>
      </c>
      <c r="O142" s="94" t="str">
        <f ca="1"/>
        <v>Hole (KN) [针织破洞]</v>
      </c>
      <c r="P142" s="95" t="str">
        <f ca="1"/>
        <v/>
      </c>
      <c r="Q142" s="95" t="str">
        <f ca="1"/>
        <v/>
      </c>
      <c r="R142" s="96">
        <f ca="1"/>
        <v>46094</v>
      </c>
    </row>
    <row r="143" spans="1:18" s="90" customFormat="1" ht="55" customHeight="1" x14ac:dyDescent="0.35">
      <c r="A143" s="94" t="str">
        <f ca="1"/>
        <v>S25V10883</v>
      </c>
      <c r="B143" s="94" t="str">
        <f ca="1"/>
        <v>PKEK25VE0010883A</v>
      </c>
      <c r="C143" s="94" t="str">
        <f ca="1"/>
        <v>BERRY</v>
      </c>
      <c r="D143" s="94" t="str">
        <f ca="1"/>
        <v>652</v>
      </c>
      <c r="E143" s="94" t="str">
        <f ca="1"/>
        <v>FV012282601</v>
      </c>
      <c r="F143" s="94" t="str">
        <f ca="1"/>
        <v>C1500427</v>
      </c>
      <c r="G143" s="94" t="str">
        <f ca="1"/>
        <v>B</v>
      </c>
      <c r="H143" s="94" t="str">
        <f ca="1"/>
        <v>CF003113681</v>
      </c>
      <c r="I143" s="94" t="str">
        <f ca="1"/>
        <v>A</v>
      </c>
      <c r="J143" s="94">
        <f ca="1"/>
        <v>22.7</v>
      </c>
      <c r="K143" s="94"/>
      <c r="L143" s="94">
        <f ca="1"/>
        <v>82.55</v>
      </c>
      <c r="M143" s="94" t="str">
        <f ca="1"/>
        <v>63/65"</v>
      </c>
      <c r="N143" s="94">
        <f ca="1"/>
        <v>63</v>
      </c>
      <c r="O143" s="94" t="str">
        <f ca="1"/>
        <v>Hole (KN) [针织破洞]</v>
      </c>
      <c r="P143" s="95" t="str">
        <f ca="1"/>
        <v/>
      </c>
      <c r="Q143" s="95" t="str">
        <f ca="1"/>
        <v/>
      </c>
      <c r="R143" s="96">
        <f ca="1"/>
        <v>46094</v>
      </c>
    </row>
    <row r="144" spans="1:18" s="90" customFormat="1" ht="55" customHeight="1" x14ac:dyDescent="0.35">
      <c r="A144" s="94" t="str">
        <f ca="1"/>
        <v>S25V10883</v>
      </c>
      <c r="B144" s="94" t="str">
        <f ca="1"/>
        <v>PKEK25VE0010883A</v>
      </c>
      <c r="C144" s="94" t="str">
        <f ca="1"/>
        <v>BERRY</v>
      </c>
      <c r="D144" s="94" t="str">
        <f ca="1"/>
        <v>652</v>
      </c>
      <c r="E144" s="94" t="str">
        <f ca="1"/>
        <v>FV012282601</v>
      </c>
      <c r="F144" s="94" t="str">
        <f ca="1"/>
        <v>C1500427</v>
      </c>
      <c r="G144" s="94" t="str">
        <f ca="1"/>
        <v>B</v>
      </c>
      <c r="H144" s="94" t="str">
        <f ca="1"/>
        <v>CF003113682</v>
      </c>
      <c r="I144" s="94" t="str">
        <f ca="1"/>
        <v>A</v>
      </c>
      <c r="J144" s="94">
        <f ca="1"/>
        <v>23</v>
      </c>
      <c r="K144" s="94"/>
      <c r="L144" s="94">
        <f ca="1"/>
        <v>83.64</v>
      </c>
      <c r="M144" s="94" t="str">
        <f ca="1"/>
        <v>63/65"</v>
      </c>
      <c r="N144" s="94">
        <f ca="1"/>
        <v>63</v>
      </c>
      <c r="O144" s="94" t="str">
        <f ca="1"/>
        <v>Unever Dye Hole [染花破洞]</v>
      </c>
      <c r="P144" s="95" t="str">
        <f ca="1"/>
        <v/>
      </c>
      <c r="Q144" s="95" t="str">
        <f ca="1"/>
        <v/>
      </c>
      <c r="R144" s="96">
        <f ca="1"/>
        <v>46094</v>
      </c>
    </row>
    <row r="145" spans="1:18" s="90" customFormat="1" ht="55" customHeight="1" x14ac:dyDescent="0.35">
      <c r="A145" s="94" t="str">
        <f ca="1"/>
        <v>S25V10883</v>
      </c>
      <c r="B145" s="94" t="str">
        <f ca="1"/>
        <v>PKEK25VE0010883A</v>
      </c>
      <c r="C145" s="94" t="str">
        <f ca="1"/>
        <v>BERRY</v>
      </c>
      <c r="D145" s="94" t="str">
        <f ca="1"/>
        <v>652</v>
      </c>
      <c r="E145" s="94" t="str">
        <f ca="1"/>
        <v>FV012282601</v>
      </c>
      <c r="F145" s="94" t="str">
        <f ca="1"/>
        <v>C1500427</v>
      </c>
      <c r="G145" s="94" t="str">
        <f ca="1"/>
        <v>B</v>
      </c>
      <c r="H145" s="94" t="str">
        <f ca="1"/>
        <v>CF003113683</v>
      </c>
      <c r="I145" s="94" t="str">
        <f ca="1"/>
        <v>A</v>
      </c>
      <c r="J145" s="94">
        <f ca="1"/>
        <v>23</v>
      </c>
      <c r="K145" s="94"/>
      <c r="L145" s="94">
        <f ca="1"/>
        <v>83.64</v>
      </c>
      <c r="M145" s="94" t="str">
        <f ca="1"/>
        <v>63/65"</v>
      </c>
      <c r="N145" s="94">
        <f ca="1"/>
        <v>63</v>
      </c>
      <c r="O145" s="94" t="str">
        <f ca="1"/>
        <v/>
      </c>
      <c r="P145" s="95" t="str">
        <f ca="1"/>
        <v/>
      </c>
      <c r="Q145" s="95" t="str">
        <f ca="1"/>
        <v/>
      </c>
      <c r="R145" s="96">
        <f ca="1"/>
        <v>46094</v>
      </c>
    </row>
    <row r="146" spans="1:18" s="90" customFormat="1" ht="55" customHeight="1" x14ac:dyDescent="0.35">
      <c r="A146" s="94" t="str">
        <f ca="1"/>
        <v>S25V10883</v>
      </c>
      <c r="B146" s="94" t="str">
        <f ca="1"/>
        <v>PKEK25VE0010883A</v>
      </c>
      <c r="C146" s="94" t="str">
        <f ca="1"/>
        <v>BERRY</v>
      </c>
      <c r="D146" s="94" t="str">
        <f ca="1"/>
        <v>652</v>
      </c>
      <c r="E146" s="94" t="str">
        <f ca="1"/>
        <v>FV012282601</v>
      </c>
      <c r="F146" s="94" t="str">
        <f ca="1"/>
        <v>C1500427</v>
      </c>
      <c r="G146" s="94" t="str">
        <f ca="1"/>
        <v>B</v>
      </c>
      <c r="H146" s="94" t="str">
        <f ca="1"/>
        <v>CF003113684</v>
      </c>
      <c r="I146" s="94" t="str">
        <f ca="1"/>
        <v>A</v>
      </c>
      <c r="J146" s="94">
        <f ca="1"/>
        <v>23</v>
      </c>
      <c r="K146" s="94"/>
      <c r="L146" s="94">
        <f ca="1"/>
        <v>83.64</v>
      </c>
      <c r="M146" s="94" t="str">
        <f ca="1"/>
        <v>63/65"</v>
      </c>
      <c r="N146" s="94">
        <f ca="1"/>
        <v>63</v>
      </c>
      <c r="O146" s="94" t="str">
        <f ca="1"/>
        <v>White mark [白印]</v>
      </c>
      <c r="P146" s="95" t="str">
        <f ca="1"/>
        <v/>
      </c>
      <c r="Q146" s="95" t="str">
        <f ca="1"/>
        <v/>
      </c>
      <c r="R146" s="96">
        <f ca="1"/>
        <v>46094</v>
      </c>
    </row>
    <row r="147" spans="1:18" s="90" customFormat="1" ht="55" customHeight="1" x14ac:dyDescent="0.35">
      <c r="A147" s="94" t="str">
        <f ca="1"/>
        <v>S25V10883</v>
      </c>
      <c r="B147" s="94" t="str">
        <f ca="1"/>
        <v>PKEK25VE0010883A</v>
      </c>
      <c r="C147" s="94" t="str">
        <f ca="1"/>
        <v>BERRY</v>
      </c>
      <c r="D147" s="94" t="str">
        <f ca="1"/>
        <v>652</v>
      </c>
      <c r="E147" s="94" t="str">
        <f ca="1"/>
        <v>FV012282601</v>
      </c>
      <c r="F147" s="94" t="str">
        <f ca="1"/>
        <v>C1500427</v>
      </c>
      <c r="G147" s="94" t="str">
        <f ca="1"/>
        <v>B</v>
      </c>
      <c r="H147" s="94" t="str">
        <f ca="1"/>
        <v>CF003113685</v>
      </c>
      <c r="I147" s="94" t="str">
        <f ca="1"/>
        <v>A</v>
      </c>
      <c r="J147" s="94">
        <f ca="1"/>
        <v>15.1</v>
      </c>
      <c r="K147" s="94"/>
      <c r="L147" s="94">
        <f ca="1"/>
        <v>54.91</v>
      </c>
      <c r="M147" s="94" t="str">
        <f ca="1"/>
        <v>63/65"</v>
      </c>
      <c r="N147" s="94">
        <f ca="1"/>
        <v>63</v>
      </c>
      <c r="O147" s="94" t="str">
        <f ca="1"/>
        <v>White mark [白印]</v>
      </c>
      <c r="P147" s="95" t="str">
        <f ca="1"/>
        <v/>
      </c>
      <c r="Q147" s="95" t="str">
        <f ca="1"/>
        <v/>
      </c>
      <c r="R147" s="96">
        <f ca="1"/>
        <v>46094</v>
      </c>
    </row>
    <row r="148" spans="1:18" s="90" customFormat="1" ht="55" customHeight="1" x14ac:dyDescent="0.35">
      <c r="A148" s="94" t="str">
        <f ca="1"/>
        <v>S25V10883</v>
      </c>
      <c r="B148" s="94" t="str">
        <f ca="1"/>
        <v>PKEK25VE0010883A</v>
      </c>
      <c r="C148" s="94" t="str">
        <f ca="1"/>
        <v>BERRY</v>
      </c>
      <c r="D148" s="94" t="str">
        <f ca="1"/>
        <v>652</v>
      </c>
      <c r="E148" s="94" t="str">
        <f ca="1"/>
        <v>FV012282601</v>
      </c>
      <c r="F148" s="94" t="str">
        <f ca="1"/>
        <v>C1500427</v>
      </c>
      <c r="G148" s="94" t="str">
        <f ca="1"/>
        <v>B</v>
      </c>
      <c r="H148" s="94" t="str">
        <f ca="1"/>
        <v>CF003113686</v>
      </c>
      <c r="I148" s="94" t="str">
        <f ca="1"/>
        <v>A</v>
      </c>
      <c r="J148" s="94">
        <f ca="1"/>
        <v>23.3</v>
      </c>
      <c r="K148" s="94"/>
      <c r="L148" s="94">
        <f ca="1"/>
        <v>84.73</v>
      </c>
      <c r="M148" s="94" t="str">
        <f ca="1"/>
        <v>63/65"</v>
      </c>
      <c r="N148" s="94">
        <f ca="1"/>
        <v>63</v>
      </c>
      <c r="O148" s="94" t="str">
        <f ca="1"/>
        <v/>
      </c>
      <c r="P148" s="95" t="str">
        <f ca="1"/>
        <v/>
      </c>
      <c r="Q148" s="95" t="str">
        <f ca="1"/>
        <v/>
      </c>
      <c r="R148" s="96">
        <f ca="1"/>
        <v>46094</v>
      </c>
    </row>
    <row r="149" spans="1:18" s="90" customFormat="1" ht="55" customHeight="1" x14ac:dyDescent="0.35">
      <c r="A149" s="94" t="str">
        <f ca="1"/>
        <v>S25V10883</v>
      </c>
      <c r="B149" s="94" t="str">
        <f ca="1"/>
        <v>PKEK25VE0010883A</v>
      </c>
      <c r="C149" s="94" t="str">
        <f ca="1"/>
        <v>BERRY</v>
      </c>
      <c r="D149" s="94" t="str">
        <f ca="1"/>
        <v>652</v>
      </c>
      <c r="E149" s="94" t="str">
        <f ca="1"/>
        <v>FV012282601</v>
      </c>
      <c r="F149" s="94" t="str">
        <f ca="1"/>
        <v>C1500427</v>
      </c>
      <c r="G149" s="94" t="str">
        <f ca="1"/>
        <v>B</v>
      </c>
      <c r="H149" s="94" t="str">
        <f ca="1"/>
        <v>CF003113687</v>
      </c>
      <c r="I149" s="94" t="str">
        <f ca="1"/>
        <v>A</v>
      </c>
      <c r="J149" s="94">
        <f ca="1"/>
        <v>23.1</v>
      </c>
      <c r="K149" s="94"/>
      <c r="L149" s="94">
        <f ca="1"/>
        <v>84</v>
      </c>
      <c r="M149" s="94" t="str">
        <f ca="1"/>
        <v>63/65"</v>
      </c>
      <c r="N149" s="94">
        <f ca="1"/>
        <v>63</v>
      </c>
      <c r="O149" s="94" t="str">
        <f ca="1"/>
        <v/>
      </c>
      <c r="P149" s="95" t="str">
        <f ca="1"/>
        <v/>
      </c>
      <c r="Q149" s="95" t="str">
        <f ca="1"/>
        <v/>
      </c>
      <c r="R149" s="96">
        <f ca="1"/>
        <v>46094</v>
      </c>
    </row>
    <row r="150" spans="1:18" s="90" customFormat="1" ht="55" customHeight="1" x14ac:dyDescent="0.35">
      <c r="A150" s="94" t="str">
        <f ca="1"/>
        <v>S25V10883</v>
      </c>
      <c r="B150" s="94" t="str">
        <f ca="1"/>
        <v>PKEK25VE0010883A</v>
      </c>
      <c r="C150" s="94" t="str">
        <f ca="1"/>
        <v>BERRY</v>
      </c>
      <c r="D150" s="94" t="str">
        <f ca="1"/>
        <v>652</v>
      </c>
      <c r="E150" s="94" t="str">
        <f ca="1"/>
        <v>FV012282601</v>
      </c>
      <c r="F150" s="94" t="str">
        <f ca="1"/>
        <v>C1500427</v>
      </c>
      <c r="G150" s="94" t="str">
        <f ca="1"/>
        <v>B</v>
      </c>
      <c r="H150" s="94" t="str">
        <f ca="1"/>
        <v>CF003113688</v>
      </c>
      <c r="I150" s="94" t="str">
        <f ca="1"/>
        <v>A</v>
      </c>
      <c r="J150" s="94">
        <f ca="1"/>
        <v>23.1</v>
      </c>
      <c r="K150" s="94"/>
      <c r="L150" s="94">
        <f ca="1"/>
        <v>84</v>
      </c>
      <c r="M150" s="94" t="str">
        <f ca="1"/>
        <v>63/65"</v>
      </c>
      <c r="N150" s="94">
        <f ca="1"/>
        <v>63</v>
      </c>
      <c r="O150" s="94" t="str">
        <f ca="1"/>
        <v>Unever Dye Hole [染花破洞]</v>
      </c>
      <c r="P150" s="95" t="str">
        <f ca="1"/>
        <v/>
      </c>
      <c r="Q150" s="95" t="str">
        <f ca="1"/>
        <v/>
      </c>
      <c r="R150" s="96">
        <f ca="1"/>
        <v>46094</v>
      </c>
    </row>
    <row r="151" spans="1:18" s="90" customFormat="1" ht="55" customHeight="1" x14ac:dyDescent="0.35">
      <c r="A151" s="94" t="str">
        <f ca="1"/>
        <v>S25V10883</v>
      </c>
      <c r="B151" s="94" t="str">
        <f ca="1"/>
        <v>PKEK25VE0010883A</v>
      </c>
      <c r="C151" s="94" t="str">
        <f ca="1"/>
        <v>BERRY</v>
      </c>
      <c r="D151" s="94" t="str">
        <f ca="1"/>
        <v>652</v>
      </c>
      <c r="E151" s="94" t="str">
        <f ca="1"/>
        <v>FV012282601</v>
      </c>
      <c r="F151" s="94" t="str">
        <f ca="1"/>
        <v>C1500427</v>
      </c>
      <c r="G151" s="94" t="str">
        <f ca="1"/>
        <v>B</v>
      </c>
      <c r="H151" s="94" t="str">
        <f ca="1"/>
        <v>CF003113689</v>
      </c>
      <c r="I151" s="94" t="str">
        <f ca="1"/>
        <v>A</v>
      </c>
      <c r="J151" s="94">
        <f ca="1"/>
        <v>23.1</v>
      </c>
      <c r="K151" s="94"/>
      <c r="L151" s="94">
        <f ca="1"/>
        <v>84</v>
      </c>
      <c r="M151" s="94" t="str">
        <f ca="1"/>
        <v>63/65"</v>
      </c>
      <c r="N151" s="94">
        <f ca="1"/>
        <v>63</v>
      </c>
      <c r="O151" s="94" t="str">
        <f ca="1"/>
        <v/>
      </c>
      <c r="P151" s="95" t="str">
        <f ca="1"/>
        <v/>
      </c>
      <c r="Q151" s="95" t="str">
        <f ca="1"/>
        <v/>
      </c>
      <c r="R151" s="96">
        <f ca="1"/>
        <v>46094</v>
      </c>
    </row>
    <row r="152" spans="1:18" s="90" customFormat="1" ht="55" customHeight="1" x14ac:dyDescent="0.35">
      <c r="A152" s="94" t="str">
        <f ca="1"/>
        <v>S25V10883</v>
      </c>
      <c r="B152" s="94" t="str">
        <f ca="1"/>
        <v>PKEK25VE0010883A</v>
      </c>
      <c r="C152" s="94" t="str">
        <f ca="1"/>
        <v>BERRY</v>
      </c>
      <c r="D152" s="94" t="str">
        <f ca="1"/>
        <v>652</v>
      </c>
      <c r="E152" s="94" t="str">
        <f ca="1"/>
        <v>FV012282601</v>
      </c>
      <c r="F152" s="94" t="str">
        <f ca="1"/>
        <v>C1500427</v>
      </c>
      <c r="G152" s="94" t="str">
        <f ca="1"/>
        <v>B</v>
      </c>
      <c r="H152" s="94" t="str">
        <f ca="1"/>
        <v>CF003113690</v>
      </c>
      <c r="I152" s="94" t="str">
        <f ca="1"/>
        <v>A</v>
      </c>
      <c r="J152" s="94">
        <f ca="1"/>
        <v>23.3</v>
      </c>
      <c r="K152" s="94"/>
      <c r="L152" s="94">
        <f ca="1"/>
        <v>84.73</v>
      </c>
      <c r="M152" s="94" t="str">
        <f ca="1"/>
        <v>63/65"</v>
      </c>
      <c r="N152" s="94">
        <f ca="1"/>
        <v>63</v>
      </c>
      <c r="O152" s="94" t="str">
        <f ca="1"/>
        <v/>
      </c>
      <c r="P152" s="95" t="str">
        <f ca="1"/>
        <v/>
      </c>
      <c r="Q152" s="95" t="str">
        <f ca="1"/>
        <v/>
      </c>
      <c r="R152" s="96">
        <f ca="1"/>
        <v>46094</v>
      </c>
    </row>
    <row r="153" spans="1:18" s="90" customFormat="1" ht="55" customHeight="1" x14ac:dyDescent="0.35">
      <c r="A153" s="94" t="str">
        <f ca="1"/>
        <v>S25V10883</v>
      </c>
      <c r="B153" s="94" t="str">
        <f ca="1"/>
        <v>PKEK25VE0010883A</v>
      </c>
      <c r="C153" s="94" t="str">
        <f ca="1"/>
        <v>PALE YELLOW</v>
      </c>
      <c r="D153" s="94" t="str">
        <f ca="1"/>
        <v>702</v>
      </c>
      <c r="E153" s="94" t="str">
        <f ca="1"/>
        <v>FV012282401</v>
      </c>
      <c r="F153" s="94" t="str">
        <f ca="1"/>
        <v>C1500427</v>
      </c>
      <c r="G153" s="94" t="str">
        <f ca="1"/>
        <v>B</v>
      </c>
      <c r="H153" s="94" t="str">
        <f ca="1"/>
        <v>CF003113691</v>
      </c>
      <c r="I153" s="94" t="str">
        <f ca="1"/>
        <v>A</v>
      </c>
      <c r="J153" s="94">
        <f ca="1"/>
        <v>26.6</v>
      </c>
      <c r="K153" s="94"/>
      <c r="L153" s="94">
        <f ca="1"/>
        <v>94.68</v>
      </c>
      <c r="M153" s="94" t="str">
        <f ca="1"/>
        <v>63/65"</v>
      </c>
      <c r="N153" s="94">
        <f ca="1"/>
        <v>63</v>
      </c>
      <c r="O153" s="94" t="str">
        <f ca="1"/>
        <v>Color Mark (PD) [PD沾色]</v>
      </c>
      <c r="P153" s="95" t="str">
        <f ca="1"/>
        <v/>
      </c>
      <c r="Q153" s="95" t="str">
        <f ca="1"/>
        <v/>
      </c>
      <c r="R153" s="96">
        <f ca="1"/>
        <v>46094</v>
      </c>
    </row>
    <row r="154" spans="1:18" s="90" customFormat="1" ht="55" customHeight="1" x14ac:dyDescent="0.35">
      <c r="A154" s="94" t="str">
        <f ca="1"/>
        <v>S25V10883</v>
      </c>
      <c r="B154" s="94" t="str">
        <f ca="1"/>
        <v>PKEK25VE0010883A</v>
      </c>
      <c r="C154" s="94" t="str">
        <f ca="1"/>
        <v>PALE YELLOW</v>
      </c>
      <c r="D154" s="94" t="str">
        <f ca="1"/>
        <v>702</v>
      </c>
      <c r="E154" s="94" t="str">
        <f ca="1"/>
        <v>FV012282401</v>
      </c>
      <c r="F154" s="94" t="str">
        <f ca="1"/>
        <v>C1500427</v>
      </c>
      <c r="G154" s="94" t="str">
        <f ca="1"/>
        <v>B</v>
      </c>
      <c r="H154" s="94" t="str">
        <f ca="1"/>
        <v>CF003113692</v>
      </c>
      <c r="I154" s="94" t="str">
        <f ca="1"/>
        <v>A</v>
      </c>
      <c r="J154" s="94">
        <f ca="1"/>
        <v>23</v>
      </c>
      <c r="K154" s="94"/>
      <c r="L154" s="94">
        <f ca="1"/>
        <v>81.87</v>
      </c>
      <c r="M154" s="94" t="str">
        <f ca="1"/>
        <v>63/65"</v>
      </c>
      <c r="N154" s="94">
        <f ca="1"/>
        <v>63</v>
      </c>
      <c r="O154" s="94" t="str">
        <f ca="1"/>
        <v>Color Mark (PD) [PD沾色]</v>
      </c>
      <c r="P154" s="95" t="str">
        <f ca="1"/>
        <v/>
      </c>
      <c r="Q154" s="95" t="str">
        <f ca="1"/>
        <v/>
      </c>
      <c r="R154" s="96">
        <f ca="1"/>
        <v>46094</v>
      </c>
    </row>
    <row r="155" spans="1:18" s="90" customFormat="1" ht="55" customHeight="1" x14ac:dyDescent="0.35">
      <c r="A155" s="94" t="str">
        <f ca="1"/>
        <v>S25V10883</v>
      </c>
      <c r="B155" s="94" t="str">
        <f ca="1"/>
        <v>PKEK25VE0010883A</v>
      </c>
      <c r="C155" s="94" t="str">
        <f ca="1"/>
        <v>PALE YELLOW</v>
      </c>
      <c r="D155" s="94" t="str">
        <f ca="1"/>
        <v>702</v>
      </c>
      <c r="E155" s="94" t="str">
        <f ca="1"/>
        <v>FV012282401</v>
      </c>
      <c r="F155" s="94" t="str">
        <f ca="1"/>
        <v>C1500427</v>
      </c>
      <c r="G155" s="94" t="str">
        <f ca="1"/>
        <v>B</v>
      </c>
      <c r="H155" s="94" t="str">
        <f ca="1"/>
        <v>CF003113693</v>
      </c>
      <c r="I155" s="94" t="str">
        <f ca="1"/>
        <v>A</v>
      </c>
      <c r="J155" s="94">
        <f ca="1"/>
        <v>23.1</v>
      </c>
      <c r="K155" s="94"/>
      <c r="L155" s="94">
        <f ca="1"/>
        <v>82.23</v>
      </c>
      <c r="M155" s="94" t="str">
        <f ca="1"/>
        <v>63/65"</v>
      </c>
      <c r="N155" s="94">
        <f ca="1"/>
        <v>63</v>
      </c>
      <c r="O155" s="94" t="str">
        <f ca="1"/>
        <v>Color Mark (PD) [PD沾色]</v>
      </c>
      <c r="P155" s="95" t="str">
        <f ca="1"/>
        <v/>
      </c>
      <c r="Q155" s="95" t="str">
        <f ca="1"/>
        <v/>
      </c>
      <c r="R155" s="96">
        <f ca="1"/>
        <v>46094</v>
      </c>
    </row>
    <row r="156" spans="1:18" s="90" customFormat="1" ht="55" customHeight="1" x14ac:dyDescent="0.35">
      <c r="A156" s="94" t="str">
        <f ca="1"/>
        <v>S25V10883</v>
      </c>
      <c r="B156" s="94" t="str">
        <f ca="1"/>
        <v>PKEK25VE0010883A</v>
      </c>
      <c r="C156" s="94" t="str">
        <f ca="1"/>
        <v>PALE YELLOW</v>
      </c>
      <c r="D156" s="94" t="str">
        <f ca="1"/>
        <v>702</v>
      </c>
      <c r="E156" s="94" t="str">
        <f ca="1"/>
        <v>FV012282401</v>
      </c>
      <c r="F156" s="94" t="str">
        <f ca="1"/>
        <v>C1500427</v>
      </c>
      <c r="G156" s="94" t="str">
        <f ca="1"/>
        <v>B</v>
      </c>
      <c r="H156" s="94" t="str">
        <f ca="1"/>
        <v>CF003113694</v>
      </c>
      <c r="I156" s="94" t="str">
        <f ca="1"/>
        <v>A</v>
      </c>
      <c r="J156" s="94">
        <f ca="1"/>
        <v>22</v>
      </c>
      <c r="K156" s="94"/>
      <c r="L156" s="94">
        <f ca="1"/>
        <v>78.31</v>
      </c>
      <c r="M156" s="94" t="str">
        <f ca="1"/>
        <v>63/65"</v>
      </c>
      <c r="N156" s="94">
        <f ca="1"/>
        <v>63</v>
      </c>
      <c r="O156" s="94" t="str">
        <f ca="1"/>
        <v>Color Mark (PD) [PD沾色]</v>
      </c>
      <c r="P156" s="95" t="str">
        <f ca="1"/>
        <v/>
      </c>
      <c r="Q156" s="95" t="str">
        <f ca="1"/>
        <v/>
      </c>
      <c r="R156" s="96">
        <f ca="1"/>
        <v>46094</v>
      </c>
    </row>
    <row r="157" spans="1:18" s="90" customFormat="1" ht="55" customHeight="1" x14ac:dyDescent="0.35">
      <c r="A157" s="94" t="str">
        <f ca="1"/>
        <v>S25V10883</v>
      </c>
      <c r="B157" s="94" t="str">
        <f ca="1"/>
        <v>PKEK25VE0010883A</v>
      </c>
      <c r="C157" s="94" t="str">
        <f ca="1"/>
        <v>PALE YELLOW</v>
      </c>
      <c r="D157" s="94" t="str">
        <f ca="1"/>
        <v>702</v>
      </c>
      <c r="E157" s="94" t="str">
        <f ca="1"/>
        <v>FV012282401</v>
      </c>
      <c r="F157" s="94" t="str">
        <f ca="1"/>
        <v>C1500427</v>
      </c>
      <c r="G157" s="94" t="str">
        <f ca="1"/>
        <v>B</v>
      </c>
      <c r="H157" s="94" t="str">
        <f ca="1"/>
        <v>CF003113695</v>
      </c>
      <c r="I157" s="94" t="str">
        <f ca="1"/>
        <v>A</v>
      </c>
      <c r="J157" s="94">
        <f ca="1"/>
        <v>23.2</v>
      </c>
      <c r="K157" s="94"/>
      <c r="L157" s="94">
        <f ca="1"/>
        <v>82.58</v>
      </c>
      <c r="M157" s="94" t="str">
        <f ca="1"/>
        <v>63/65"</v>
      </c>
      <c r="N157" s="94">
        <f ca="1"/>
        <v>63</v>
      </c>
      <c r="O157" s="94" t="str">
        <f ca="1"/>
        <v>Color Mark (PD) [PD沾色]</v>
      </c>
      <c r="P157" s="95" t="str">
        <f ca="1"/>
        <v/>
      </c>
      <c r="Q157" s="95" t="str">
        <f ca="1"/>
        <v/>
      </c>
      <c r="R157" s="96">
        <f ca="1"/>
        <v>46094</v>
      </c>
    </row>
    <row r="158" spans="1:18" s="90" customFormat="1" ht="55" customHeight="1" x14ac:dyDescent="0.35">
      <c r="A158" s="94" t="str">
        <f ca="1"/>
        <v>S25V10883</v>
      </c>
      <c r="B158" s="94" t="str">
        <f ca="1"/>
        <v>PKEK25VE0010883A</v>
      </c>
      <c r="C158" s="94" t="str">
        <f ca="1"/>
        <v>PALE YELLOW</v>
      </c>
      <c r="D158" s="94" t="str">
        <f ca="1"/>
        <v>702</v>
      </c>
      <c r="E158" s="94" t="str">
        <f ca="1"/>
        <v>FV012282401</v>
      </c>
      <c r="F158" s="94" t="str">
        <f ca="1"/>
        <v>C1500427</v>
      </c>
      <c r="G158" s="94" t="str">
        <f ca="1"/>
        <v>B</v>
      </c>
      <c r="H158" s="94" t="str">
        <f ca="1"/>
        <v>CF003113701</v>
      </c>
      <c r="I158" s="94" t="str">
        <f ca="1"/>
        <v>A</v>
      </c>
      <c r="J158" s="94">
        <f ca="1"/>
        <v>23</v>
      </c>
      <c r="K158" s="94"/>
      <c r="L158" s="94">
        <f ca="1"/>
        <v>81.87</v>
      </c>
      <c r="M158" s="94" t="str">
        <f ca="1"/>
        <v>63/65"</v>
      </c>
      <c r="N158" s="94">
        <f ca="1"/>
        <v>63</v>
      </c>
      <c r="O158" s="94" t="str">
        <f ca="1"/>
        <v>Color Mark (PD) [PD沾色]</v>
      </c>
      <c r="P158" s="95" t="str">
        <f ca="1"/>
        <v/>
      </c>
      <c r="Q158" s="95" t="str">
        <f ca="1"/>
        <v/>
      </c>
      <c r="R158" s="96">
        <f ca="1"/>
        <v>46094</v>
      </c>
    </row>
    <row r="159" spans="1:18" s="90" customFormat="1" ht="55" customHeight="1" x14ac:dyDescent="0.35">
      <c r="A159" s="94" t="str">
        <f ca="1"/>
        <v>S25V10883</v>
      </c>
      <c r="B159" s="94" t="str">
        <f ca="1"/>
        <v>PKEK25VE0010883A</v>
      </c>
      <c r="C159" s="94" t="str">
        <f ca="1"/>
        <v>PALE YELLOW</v>
      </c>
      <c r="D159" s="94" t="str">
        <f ca="1"/>
        <v>702</v>
      </c>
      <c r="E159" s="94" t="str">
        <f ca="1"/>
        <v>FV012282401</v>
      </c>
      <c r="F159" s="94" t="str">
        <f ca="1"/>
        <v>C1500427</v>
      </c>
      <c r="G159" s="94" t="str">
        <f ca="1"/>
        <v>B</v>
      </c>
      <c r="H159" s="94" t="str">
        <f ca="1"/>
        <v>CF003113702</v>
      </c>
      <c r="I159" s="94" t="str">
        <f ca="1"/>
        <v>A</v>
      </c>
      <c r="J159" s="94">
        <f ca="1"/>
        <v>34.6</v>
      </c>
      <c r="K159" s="94"/>
      <c r="L159" s="94">
        <f ca="1"/>
        <v>123.16</v>
      </c>
      <c r="M159" s="94" t="str">
        <f ca="1"/>
        <v>63/65"</v>
      </c>
      <c r="N159" s="94">
        <f ca="1"/>
        <v>63</v>
      </c>
      <c r="O159" s="94" t="str">
        <f ca="1"/>
        <v>Color Mark (PD) [PD沾色]</v>
      </c>
      <c r="P159" s="95" t="str">
        <f ca="1"/>
        <v/>
      </c>
      <c r="Q159" s="95" t="str">
        <f ca="1"/>
        <v/>
      </c>
      <c r="R159" s="96">
        <f ca="1"/>
        <v>46094</v>
      </c>
    </row>
    <row r="160" spans="1:18" s="90" customFormat="1" ht="55" customHeight="1" x14ac:dyDescent="0.35">
      <c r="A160" s="94" t="str">
        <f ca="1"/>
        <v>S25V10883</v>
      </c>
      <c r="B160" s="94" t="str">
        <f ca="1"/>
        <v>PKEK25VE0010883A</v>
      </c>
      <c r="C160" s="94" t="str">
        <f ca="1"/>
        <v>PALE YELLOW</v>
      </c>
      <c r="D160" s="94" t="str">
        <f ca="1"/>
        <v>702</v>
      </c>
      <c r="E160" s="94" t="str">
        <f ca="1"/>
        <v>FV012282401</v>
      </c>
      <c r="F160" s="94" t="str">
        <f ca="1"/>
        <v>C1500427</v>
      </c>
      <c r="G160" s="94" t="str">
        <f ca="1"/>
        <v>B</v>
      </c>
      <c r="H160" s="94" t="str">
        <f ca="1"/>
        <v>CF003113703</v>
      </c>
      <c r="I160" s="94" t="str">
        <f ca="1"/>
        <v>A</v>
      </c>
      <c r="J160" s="94">
        <f ca="1"/>
        <v>23</v>
      </c>
      <c r="K160" s="94"/>
      <c r="L160" s="94">
        <f ca="1"/>
        <v>81.87</v>
      </c>
      <c r="M160" s="94" t="str">
        <f ca="1"/>
        <v>63/65"</v>
      </c>
      <c r="N160" s="94">
        <f ca="1"/>
        <v>63</v>
      </c>
      <c r="O160" s="94" t="str">
        <f ca="1"/>
        <v>Color Mark (PD) [PD沾色]</v>
      </c>
      <c r="P160" s="95" t="str">
        <f ca="1"/>
        <v/>
      </c>
      <c r="Q160" s="95" t="str">
        <f ca="1"/>
        <v/>
      </c>
      <c r="R160" s="96">
        <f ca="1"/>
        <v>46094</v>
      </c>
    </row>
    <row r="161" spans="1:18" s="90" customFormat="1" ht="55" customHeight="1" x14ac:dyDescent="0.35">
      <c r="A161" s="94" t="str">
        <f ca="1"/>
        <v>S25V10883</v>
      </c>
      <c r="B161" s="94" t="str">
        <f ca="1"/>
        <v>PKEK25VE0010883A</v>
      </c>
      <c r="C161" s="94" t="str">
        <f ca="1"/>
        <v>PALE YELLOW</v>
      </c>
      <c r="D161" s="94" t="str">
        <f ca="1"/>
        <v>702</v>
      </c>
      <c r="E161" s="94" t="str">
        <f ca="1"/>
        <v>FV012282401</v>
      </c>
      <c r="F161" s="94" t="str">
        <f ca="1"/>
        <v>C1500427</v>
      </c>
      <c r="G161" s="94" t="str">
        <f ca="1"/>
        <v>B</v>
      </c>
      <c r="H161" s="94" t="str">
        <f ca="1"/>
        <v>CF003113704</v>
      </c>
      <c r="I161" s="94" t="str">
        <f ca="1"/>
        <v>A</v>
      </c>
      <c r="J161" s="94">
        <f ca="1"/>
        <v>23.2</v>
      </c>
      <c r="K161" s="94"/>
      <c r="L161" s="94">
        <f ca="1"/>
        <v>82.58</v>
      </c>
      <c r="M161" s="94" t="str">
        <f ca="1"/>
        <v>63/65"</v>
      </c>
      <c r="N161" s="94">
        <f ca="1"/>
        <v>63</v>
      </c>
      <c r="O161" s="94" t="str">
        <f ca="1"/>
        <v>Color Mark (PD) [PD沾色]</v>
      </c>
      <c r="P161" s="95" t="str">
        <f ca="1"/>
        <v/>
      </c>
      <c r="Q161" s="95" t="str">
        <f ca="1"/>
        <v/>
      </c>
      <c r="R161" s="96">
        <f ca="1"/>
        <v>46094</v>
      </c>
    </row>
    <row r="162" spans="1:18" s="90" customFormat="1" ht="55" customHeight="1" x14ac:dyDescent="0.35">
      <c r="A162" s="94" t="str">
        <f ca="1"/>
        <v>S25V10883</v>
      </c>
      <c r="B162" s="94" t="str">
        <f ca="1"/>
        <v>PKEK25VE0010883A</v>
      </c>
      <c r="C162" s="94" t="str">
        <f ca="1"/>
        <v>PALE YELLOW</v>
      </c>
      <c r="D162" s="94" t="str">
        <f ca="1"/>
        <v>702</v>
      </c>
      <c r="E162" s="94" t="str">
        <f ca="1"/>
        <v>FV012282401</v>
      </c>
      <c r="F162" s="94" t="str">
        <f ca="1"/>
        <v>C1500427</v>
      </c>
      <c r="G162" s="94" t="str">
        <f ca="1"/>
        <v>B</v>
      </c>
      <c r="H162" s="94" t="str">
        <f ca="1"/>
        <v>CF003113705</v>
      </c>
      <c r="I162" s="94" t="str">
        <f ca="1"/>
        <v>A</v>
      </c>
      <c r="J162" s="94">
        <f ca="1"/>
        <v>32.299999999999997</v>
      </c>
      <c r="K162" s="94"/>
      <c r="L162" s="94">
        <f ca="1"/>
        <v>114.97</v>
      </c>
      <c r="M162" s="94" t="str">
        <f ca="1"/>
        <v>63/65"</v>
      </c>
      <c r="N162" s="94">
        <f ca="1"/>
        <v>63</v>
      </c>
      <c r="O162" s="94" t="str">
        <f ca="1"/>
        <v>Color Mark (PD) [PD沾色]</v>
      </c>
      <c r="P162" s="95" t="str">
        <f ca="1"/>
        <v/>
      </c>
      <c r="Q162" s="95" t="str">
        <f ca="1"/>
        <v/>
      </c>
      <c r="R162" s="96">
        <f ca="1"/>
        <v>46094</v>
      </c>
    </row>
    <row r="163" spans="1:18" s="90" customFormat="1" ht="55" customHeight="1" x14ac:dyDescent="0.35">
      <c r="A163" s="94" t="str">
        <f ca="1"/>
        <v>S25V10883</v>
      </c>
      <c r="B163" s="94" t="str">
        <f ca="1"/>
        <v>PKEK25VE0010883A</v>
      </c>
      <c r="C163" s="94" t="str">
        <f ca="1"/>
        <v>PALE YELLOW</v>
      </c>
      <c r="D163" s="94" t="str">
        <f ca="1"/>
        <v>702</v>
      </c>
      <c r="E163" s="94" t="str">
        <f ca="1"/>
        <v>FV012282401</v>
      </c>
      <c r="F163" s="94" t="str">
        <f ca="1"/>
        <v>C1500427</v>
      </c>
      <c r="G163" s="94" t="str">
        <f ca="1"/>
        <v>B</v>
      </c>
      <c r="H163" s="94" t="str">
        <f ca="1"/>
        <v>CF003113706</v>
      </c>
      <c r="I163" s="94" t="str">
        <f ca="1"/>
        <v>A</v>
      </c>
      <c r="J163" s="94">
        <f ca="1"/>
        <v>25.6</v>
      </c>
      <c r="K163" s="94"/>
      <c r="L163" s="94">
        <f ca="1"/>
        <v>91.12</v>
      </c>
      <c r="M163" s="94" t="str">
        <f ca="1"/>
        <v>63/65"</v>
      </c>
      <c r="N163" s="94">
        <f ca="1"/>
        <v>63</v>
      </c>
      <c r="O163" s="94" t="str">
        <f ca="1"/>
        <v>Color Mark (PD) [PD沾色]</v>
      </c>
      <c r="P163" s="95" t="str">
        <f ca="1"/>
        <v/>
      </c>
      <c r="Q163" s="95" t="str">
        <f ca="1"/>
        <v/>
      </c>
      <c r="R163" s="96">
        <f ca="1"/>
        <v>46094</v>
      </c>
    </row>
    <row r="164" spans="1:18" s="90" customFormat="1" ht="55" customHeight="1" x14ac:dyDescent="0.35">
      <c r="A164" s="94" t="str">
        <f ca="1"/>
        <v>S25V10883</v>
      </c>
      <c r="B164" s="94" t="str">
        <f ca="1"/>
        <v>PKEK25VE0010883A</v>
      </c>
      <c r="C164" s="94" t="str">
        <f ca="1"/>
        <v>PALE YELLOW</v>
      </c>
      <c r="D164" s="94" t="str">
        <f ca="1"/>
        <v>702</v>
      </c>
      <c r="E164" s="94" t="str">
        <f ca="1"/>
        <v>FV012282401</v>
      </c>
      <c r="F164" s="94" t="str">
        <f ca="1"/>
        <v>C1500427</v>
      </c>
      <c r="G164" s="94" t="str">
        <f ca="1"/>
        <v>B</v>
      </c>
      <c r="H164" s="94" t="str">
        <f ca="1"/>
        <v>CF003113707</v>
      </c>
      <c r="I164" s="94" t="str">
        <f ca="1"/>
        <v>A</v>
      </c>
      <c r="J164" s="94">
        <f ca="1"/>
        <v>23</v>
      </c>
      <c r="K164" s="94"/>
      <c r="L164" s="94">
        <f ca="1"/>
        <v>81.87</v>
      </c>
      <c r="M164" s="94" t="str">
        <f ca="1"/>
        <v>63/65"</v>
      </c>
      <c r="N164" s="94">
        <f ca="1"/>
        <v>63</v>
      </c>
      <c r="O164" s="94" t="str">
        <f ca="1"/>
        <v/>
      </c>
      <c r="P164" s="95" t="str">
        <f ca="1"/>
        <v/>
      </c>
      <c r="Q164" s="95" t="str">
        <f ca="1"/>
        <v/>
      </c>
      <c r="R164" s="96">
        <f ca="1"/>
        <v>46094</v>
      </c>
    </row>
    <row r="165" spans="1:18" s="90" customFormat="1" ht="55" customHeight="1" x14ac:dyDescent="0.35">
      <c r="A165" s="94" t="str">
        <f ca="1"/>
        <v>S25V10883</v>
      </c>
      <c r="B165" s="94" t="str">
        <f ca="1"/>
        <v>PKEK25VE0010883A</v>
      </c>
      <c r="C165" s="94" t="str">
        <f ca="1"/>
        <v>PALE YELLOW</v>
      </c>
      <c r="D165" s="94" t="str">
        <f ca="1"/>
        <v>702</v>
      </c>
      <c r="E165" s="94" t="str">
        <f ca="1"/>
        <v>FV012282401</v>
      </c>
      <c r="F165" s="94" t="str">
        <f ca="1"/>
        <v>C1500427</v>
      </c>
      <c r="G165" s="94" t="str">
        <f ca="1"/>
        <v>B</v>
      </c>
      <c r="H165" s="94" t="str">
        <f ca="1"/>
        <v>CF003113708</v>
      </c>
      <c r="I165" s="94" t="str">
        <f ca="1"/>
        <v>A</v>
      </c>
      <c r="J165" s="94">
        <f ca="1"/>
        <v>23.3</v>
      </c>
      <c r="K165" s="94"/>
      <c r="L165" s="94">
        <f ca="1"/>
        <v>82.94</v>
      </c>
      <c r="M165" s="94" t="str">
        <f ca="1"/>
        <v>63/65"</v>
      </c>
      <c r="N165" s="94">
        <f ca="1"/>
        <v>63</v>
      </c>
      <c r="O165" s="94" t="str">
        <f ca="1"/>
        <v/>
      </c>
      <c r="P165" s="95" t="str">
        <f ca="1"/>
        <v/>
      </c>
      <c r="Q165" s="95" t="str">
        <f ca="1"/>
        <v/>
      </c>
      <c r="R165" s="96">
        <f ca="1"/>
        <v>46094</v>
      </c>
    </row>
    <row r="166" spans="1:18" s="90" customFormat="1" ht="55" customHeight="1" x14ac:dyDescent="0.35">
      <c r="A166" s="94" t="str">
        <f ca="1"/>
        <v>S25V10883</v>
      </c>
      <c r="B166" s="94" t="str">
        <f ca="1"/>
        <v>PKEK25VE0010883A</v>
      </c>
      <c r="C166" s="94" t="str">
        <f ca="1"/>
        <v>PALE YELLOW</v>
      </c>
      <c r="D166" s="94" t="str">
        <f ca="1"/>
        <v>702</v>
      </c>
      <c r="E166" s="94" t="str">
        <f ca="1"/>
        <v>FV012282401</v>
      </c>
      <c r="F166" s="94" t="str">
        <f ca="1"/>
        <v>C1500427</v>
      </c>
      <c r="G166" s="94" t="str">
        <f ca="1"/>
        <v>B</v>
      </c>
      <c r="H166" s="94" t="str">
        <f ca="1"/>
        <v>CF003113709</v>
      </c>
      <c r="I166" s="94" t="str">
        <f ca="1"/>
        <v>A</v>
      </c>
      <c r="J166" s="94">
        <f ca="1"/>
        <v>23</v>
      </c>
      <c r="K166" s="94"/>
      <c r="L166" s="94">
        <f ca="1"/>
        <v>81.87</v>
      </c>
      <c r="M166" s="94" t="str">
        <f ca="1"/>
        <v>63/65"</v>
      </c>
      <c r="N166" s="94">
        <f ca="1"/>
        <v>63</v>
      </c>
      <c r="O166" s="94" t="str">
        <f ca="1"/>
        <v>Hole (KN) [针织破洞]</v>
      </c>
      <c r="P166" s="95" t="str">
        <f ca="1"/>
        <v/>
      </c>
      <c r="Q166" s="95" t="str">
        <f ca="1"/>
        <v/>
      </c>
      <c r="R166" s="96">
        <f ca="1"/>
        <v>46094</v>
      </c>
    </row>
    <row r="167" spans="1:18" s="90" customFormat="1" ht="55" customHeight="1" x14ac:dyDescent="0.35">
      <c r="A167" s="94" t="str">
        <f ca="1"/>
        <v>S25V10883</v>
      </c>
      <c r="B167" s="94" t="str">
        <f ca="1"/>
        <v>PKEK25VE0010883A</v>
      </c>
      <c r="C167" s="94" t="str">
        <f ca="1"/>
        <v>PALE YELLOW</v>
      </c>
      <c r="D167" s="94" t="str">
        <f ca="1"/>
        <v>702</v>
      </c>
      <c r="E167" s="94" t="str">
        <f ca="1"/>
        <v>FV012282401</v>
      </c>
      <c r="F167" s="94" t="str">
        <f ca="1"/>
        <v>C1500427</v>
      </c>
      <c r="G167" s="94" t="str">
        <f ca="1"/>
        <v>B</v>
      </c>
      <c r="H167" s="94" t="str">
        <f ca="1"/>
        <v>CF003113710</v>
      </c>
      <c r="I167" s="94" t="str">
        <f ca="1"/>
        <v>A</v>
      </c>
      <c r="J167" s="94">
        <f ca="1"/>
        <v>22.5</v>
      </c>
      <c r="K167" s="94"/>
      <c r="L167" s="94">
        <f ca="1"/>
        <v>80.09</v>
      </c>
      <c r="M167" s="94" t="str">
        <f ca="1"/>
        <v>63/65"</v>
      </c>
      <c r="N167" s="94">
        <f ca="1"/>
        <v>63</v>
      </c>
      <c r="O167" s="94" t="str">
        <f ca="1"/>
        <v>Color Mark (PD) [PD沾色]</v>
      </c>
      <c r="P167" s="95" t="str">
        <f ca="1"/>
        <v/>
      </c>
      <c r="Q167" s="95" t="str">
        <f ca="1"/>
        <v/>
      </c>
      <c r="R167" s="96">
        <f ca="1"/>
        <v>46094</v>
      </c>
    </row>
    <row r="168" spans="1:18" s="90" customFormat="1" ht="55" customHeight="1" x14ac:dyDescent="0.35">
      <c r="A168" s="94" t="str">
        <f ca="1"/>
        <v>S25V10883</v>
      </c>
      <c r="B168" s="94" t="str">
        <f ca="1"/>
        <v>PKEK25VE0010883A</v>
      </c>
      <c r="C168" s="94" t="str">
        <f ca="1"/>
        <v>BERRY</v>
      </c>
      <c r="D168" s="94" t="str">
        <f ca="1"/>
        <v>652</v>
      </c>
      <c r="E168" s="94" t="str">
        <f ca="1"/>
        <v>FV012282601</v>
      </c>
      <c r="F168" s="94" t="str">
        <f ca="1"/>
        <v>C1500427</v>
      </c>
      <c r="G168" s="94" t="str">
        <f ca="1"/>
        <v>B</v>
      </c>
      <c r="H168" s="94" t="str">
        <f ca="1"/>
        <v>CF003113711</v>
      </c>
      <c r="I168" s="94" t="str">
        <f ca="1"/>
        <v>A</v>
      </c>
      <c r="J168" s="94">
        <f ca="1"/>
        <v>23.1</v>
      </c>
      <c r="K168" s="94"/>
      <c r="L168" s="94">
        <f ca="1"/>
        <v>84</v>
      </c>
      <c r="M168" s="94" t="str">
        <f ca="1"/>
        <v>63/65"</v>
      </c>
      <c r="N168" s="94">
        <f ca="1"/>
        <v>63</v>
      </c>
      <c r="O168" s="94" t="str">
        <f ca="1"/>
        <v/>
      </c>
      <c r="P168" s="95" t="str">
        <f ca="1"/>
        <v/>
      </c>
      <c r="Q168" s="95" t="str">
        <f ca="1"/>
        <v/>
      </c>
      <c r="R168" s="96">
        <f ca="1"/>
        <v>46094</v>
      </c>
    </row>
    <row r="169" spans="1:18" s="90" customFormat="1" ht="55" customHeight="1" x14ac:dyDescent="0.35">
      <c r="A169" s="94" t="str">
        <f ca="1"/>
        <v>S25V10883</v>
      </c>
      <c r="B169" s="94" t="str">
        <f ca="1"/>
        <v>PKEK25VE0010883A</v>
      </c>
      <c r="C169" s="94" t="str">
        <f ca="1"/>
        <v>BERRY</v>
      </c>
      <c r="D169" s="94" t="str">
        <f ca="1"/>
        <v>652</v>
      </c>
      <c r="E169" s="94" t="str">
        <f ca="1"/>
        <v>FV012282601</v>
      </c>
      <c r="F169" s="94" t="str">
        <f ca="1"/>
        <v>C1500427</v>
      </c>
      <c r="G169" s="94" t="str">
        <f ca="1"/>
        <v>B</v>
      </c>
      <c r="H169" s="94" t="str">
        <f ca="1"/>
        <v>CF003113712</v>
      </c>
      <c r="I169" s="94" t="str">
        <f ca="1"/>
        <v>A</v>
      </c>
      <c r="J169" s="94">
        <f ca="1"/>
        <v>22.6</v>
      </c>
      <c r="K169" s="94"/>
      <c r="L169" s="94">
        <f ca="1"/>
        <v>82.18</v>
      </c>
      <c r="M169" s="94" t="str">
        <f ca="1"/>
        <v>63/65"</v>
      </c>
      <c r="N169" s="94">
        <f ca="1"/>
        <v>63</v>
      </c>
      <c r="O169" s="94" t="str">
        <f ca="1"/>
        <v/>
      </c>
      <c r="P169" s="95" t="str">
        <f ca="1"/>
        <v/>
      </c>
      <c r="Q169" s="95" t="str">
        <f ca="1"/>
        <v/>
      </c>
      <c r="R169" s="96">
        <f ca="1"/>
        <v>46094</v>
      </c>
    </row>
    <row r="170" spans="1:18" s="90" customFormat="1" ht="55" customHeight="1" x14ac:dyDescent="0.35">
      <c r="A170" s="94" t="str">
        <f ca="1"/>
        <v>S25V10883</v>
      </c>
      <c r="B170" s="94" t="str">
        <f ca="1"/>
        <v>PKEK25VE0010883A</v>
      </c>
      <c r="C170" s="94" t="str">
        <f ca="1"/>
        <v>BERRY</v>
      </c>
      <c r="D170" s="94" t="str">
        <f ca="1"/>
        <v>652</v>
      </c>
      <c r="E170" s="94" t="str">
        <f ca="1"/>
        <v>FV012282601</v>
      </c>
      <c r="F170" s="94" t="str">
        <f ca="1"/>
        <v>C1500427</v>
      </c>
      <c r="G170" s="94" t="str">
        <f ca="1"/>
        <v>B</v>
      </c>
      <c r="H170" s="94" t="str">
        <f ca="1"/>
        <v>CF003113713</v>
      </c>
      <c r="I170" s="94" t="str">
        <f ca="1"/>
        <v>A</v>
      </c>
      <c r="J170" s="94">
        <f ca="1"/>
        <v>23.1</v>
      </c>
      <c r="K170" s="94"/>
      <c r="L170" s="94">
        <f ca="1"/>
        <v>84</v>
      </c>
      <c r="M170" s="94" t="str">
        <f ca="1"/>
        <v>63/65"</v>
      </c>
      <c r="N170" s="94">
        <f ca="1"/>
        <v>63</v>
      </c>
      <c r="O170" s="94" t="str">
        <f ca="1"/>
        <v>Friction Mark (PD) [匹染擦痕]</v>
      </c>
      <c r="P170" s="95" t="str">
        <f ca="1"/>
        <v/>
      </c>
      <c r="Q170" s="95" t="str">
        <f ca="1"/>
        <v/>
      </c>
      <c r="R170" s="96">
        <f ca="1"/>
        <v>46094</v>
      </c>
    </row>
    <row r="171" spans="1:18" s="90" customFormat="1" ht="55" customHeight="1" x14ac:dyDescent="0.35">
      <c r="A171" s="94" t="str">
        <f ca="1"/>
        <v>S25V10883</v>
      </c>
      <c r="B171" s="94" t="str">
        <f ca="1"/>
        <v>PKEK25VE0010883A</v>
      </c>
      <c r="C171" s="94" t="str">
        <f ca="1"/>
        <v>BERRY</v>
      </c>
      <c r="D171" s="94" t="str">
        <f ca="1"/>
        <v>652</v>
      </c>
      <c r="E171" s="94" t="str">
        <f ca="1"/>
        <v>FV012282601</v>
      </c>
      <c r="F171" s="94" t="str">
        <f ca="1"/>
        <v>C1500427</v>
      </c>
      <c r="G171" s="94" t="str">
        <f ca="1"/>
        <v>B</v>
      </c>
      <c r="H171" s="94" t="str">
        <f ca="1"/>
        <v>CF003113714</v>
      </c>
      <c r="I171" s="94" t="str">
        <f ca="1"/>
        <v>A</v>
      </c>
      <c r="J171" s="94">
        <f ca="1"/>
        <v>18</v>
      </c>
      <c r="K171" s="94"/>
      <c r="L171" s="94">
        <f ca="1"/>
        <v>65.459999999999994</v>
      </c>
      <c r="M171" s="94" t="str">
        <f ca="1"/>
        <v>63/65"</v>
      </c>
      <c r="N171" s="94">
        <f ca="1"/>
        <v>63</v>
      </c>
      <c r="O171" s="94" t="str">
        <f ca="1"/>
        <v>Needle Line [针路]</v>
      </c>
      <c r="P171" s="95" t="str">
        <f ca="1"/>
        <v/>
      </c>
      <c r="Q171" s="95" t="str">
        <f ca="1"/>
        <v/>
      </c>
      <c r="R171" s="96">
        <f ca="1"/>
        <v>46094</v>
      </c>
    </row>
    <row r="172" spans="1:18" s="90" customFormat="1" ht="55" customHeight="1" x14ac:dyDescent="0.35">
      <c r="A172" s="94" t="str">
        <f ca="1"/>
        <v>S25V10883</v>
      </c>
      <c r="B172" s="94" t="str">
        <f ca="1"/>
        <v>PKEK25VE0010883A</v>
      </c>
      <c r="C172" s="94" t="str">
        <f ca="1"/>
        <v>BERRY</v>
      </c>
      <c r="D172" s="94" t="str">
        <f ca="1"/>
        <v>652</v>
      </c>
      <c r="E172" s="94" t="str">
        <f ca="1"/>
        <v>FV012282601</v>
      </c>
      <c r="F172" s="94" t="str">
        <f ca="1"/>
        <v>C1500427</v>
      </c>
      <c r="G172" s="94" t="str">
        <f ca="1"/>
        <v>B</v>
      </c>
      <c r="H172" s="94" t="str">
        <f ca="1"/>
        <v>CF003113715</v>
      </c>
      <c r="I172" s="94" t="str">
        <f ca="1"/>
        <v>A</v>
      </c>
      <c r="J172" s="94">
        <f ca="1"/>
        <v>23</v>
      </c>
      <c r="K172" s="94"/>
      <c r="L172" s="94">
        <f ca="1"/>
        <v>83.64</v>
      </c>
      <c r="M172" s="94" t="str">
        <f ca="1"/>
        <v>63/65"</v>
      </c>
      <c r="N172" s="94">
        <f ca="1"/>
        <v>63</v>
      </c>
      <c r="O172" s="94" t="str">
        <f ca="1"/>
        <v>Color Mark (PD) [PD沾色]</v>
      </c>
      <c r="P172" s="95" t="str">
        <f ca="1"/>
        <v/>
      </c>
      <c r="Q172" s="95" t="str">
        <f ca="1"/>
        <v/>
      </c>
      <c r="R172" s="96">
        <f ca="1"/>
        <v>46094</v>
      </c>
    </row>
    <row r="173" spans="1:18" s="90" customFormat="1" ht="55" customHeight="1" x14ac:dyDescent="0.35">
      <c r="A173" s="94" t="str">
        <f ca="1"/>
        <v>S25V10883</v>
      </c>
      <c r="B173" s="94" t="str">
        <f ca="1"/>
        <v>PKEK25VE0010883A</v>
      </c>
      <c r="C173" s="94" t="str">
        <f ca="1"/>
        <v>BERRY</v>
      </c>
      <c r="D173" s="94" t="str">
        <f ca="1"/>
        <v>652</v>
      </c>
      <c r="E173" s="94" t="str">
        <f ca="1"/>
        <v>FV012282601</v>
      </c>
      <c r="F173" s="94" t="str">
        <f ca="1"/>
        <v>C1500427</v>
      </c>
      <c r="G173" s="94" t="str">
        <f ca="1"/>
        <v>B</v>
      </c>
      <c r="H173" s="94" t="str">
        <f ca="1"/>
        <v>CF003113716</v>
      </c>
      <c r="I173" s="94" t="str">
        <f ca="1"/>
        <v>A</v>
      </c>
      <c r="J173" s="94">
        <f ca="1"/>
        <v>22.5</v>
      </c>
      <c r="K173" s="94"/>
      <c r="L173" s="94">
        <f ca="1"/>
        <v>81.819999999999993</v>
      </c>
      <c r="M173" s="94" t="str">
        <f ca="1"/>
        <v>63/65"</v>
      </c>
      <c r="N173" s="94">
        <f ca="1"/>
        <v>63</v>
      </c>
      <c r="O173" s="94" t="str">
        <f ca="1"/>
        <v/>
      </c>
      <c r="P173" s="95" t="str">
        <f ca="1"/>
        <v/>
      </c>
      <c r="Q173" s="95" t="str">
        <f ca="1"/>
        <v/>
      </c>
      <c r="R173" s="96">
        <f ca="1"/>
        <v>46094</v>
      </c>
    </row>
    <row r="174" spans="1:18" s="90" customFormat="1" ht="55" customHeight="1" x14ac:dyDescent="0.35">
      <c r="A174" s="94" t="str">
        <f ca="1"/>
        <v>S25V10883</v>
      </c>
      <c r="B174" s="94" t="str">
        <f ca="1"/>
        <v>PKEK25VE0010883A</v>
      </c>
      <c r="C174" s="94" t="str">
        <f ca="1"/>
        <v>BERRY</v>
      </c>
      <c r="D174" s="94" t="str">
        <f ca="1"/>
        <v>652</v>
      </c>
      <c r="E174" s="94" t="str">
        <f ca="1"/>
        <v>FV012282601</v>
      </c>
      <c r="F174" s="94" t="str">
        <f ca="1"/>
        <v>C1500427</v>
      </c>
      <c r="G174" s="94" t="str">
        <f ca="1"/>
        <v>B</v>
      </c>
      <c r="H174" s="94" t="str">
        <f ca="1"/>
        <v>CF003113717</v>
      </c>
      <c r="I174" s="94" t="str">
        <f ca="1"/>
        <v>A</v>
      </c>
      <c r="J174" s="94">
        <f ca="1"/>
        <v>19.600000000000001</v>
      </c>
      <c r="K174" s="94"/>
      <c r="L174" s="94">
        <f ca="1"/>
        <v>71.28</v>
      </c>
      <c r="M174" s="94" t="str">
        <f ca="1"/>
        <v>63/65"</v>
      </c>
      <c r="N174" s="94">
        <f ca="1"/>
        <v>63</v>
      </c>
      <c r="O174" s="94" t="str">
        <f ca="1"/>
        <v/>
      </c>
      <c r="P174" s="95" t="str">
        <f ca="1"/>
        <v/>
      </c>
      <c r="Q174" s="95" t="str">
        <f ca="1"/>
        <v/>
      </c>
      <c r="R174" s="96">
        <f ca="1"/>
        <v>46094</v>
      </c>
    </row>
    <row r="175" spans="1:18" s="90" customFormat="1" ht="55" customHeight="1" x14ac:dyDescent="0.35">
      <c r="A175" s="94" t="str">
        <f ca="1"/>
        <v>S25V10883</v>
      </c>
      <c r="B175" s="94" t="str">
        <f ca="1"/>
        <v>PKEK25VE0010883A</v>
      </c>
      <c r="C175" s="94" t="str">
        <f ca="1"/>
        <v>BERRY</v>
      </c>
      <c r="D175" s="94" t="str">
        <f ca="1"/>
        <v>652</v>
      </c>
      <c r="E175" s="94" t="str">
        <f ca="1"/>
        <v>FV012282601</v>
      </c>
      <c r="F175" s="94" t="str">
        <f ca="1"/>
        <v>C1500427</v>
      </c>
      <c r="G175" s="94" t="str">
        <f ca="1"/>
        <v>B</v>
      </c>
      <c r="H175" s="94" t="str">
        <f ca="1"/>
        <v>CF003113718</v>
      </c>
      <c r="I175" s="94" t="str">
        <f ca="1"/>
        <v>A</v>
      </c>
      <c r="J175" s="94">
        <f ca="1"/>
        <v>23.8</v>
      </c>
      <c r="K175" s="94"/>
      <c r="L175" s="94">
        <f ca="1"/>
        <v>86.55</v>
      </c>
      <c r="M175" s="94" t="str">
        <f ca="1"/>
        <v>63/65"</v>
      </c>
      <c r="N175" s="94">
        <f ca="1"/>
        <v>63</v>
      </c>
      <c r="O175" s="94" t="str">
        <f ca="1"/>
        <v>Piece-up(FN) [后整接口]</v>
      </c>
      <c r="P175" s="95" t="str">
        <f ca="1"/>
        <v/>
      </c>
      <c r="Q175" s="95" t="str">
        <f ca="1"/>
        <v/>
      </c>
      <c r="R175" s="96">
        <f ca="1"/>
        <v>46094</v>
      </c>
    </row>
    <row r="176" spans="1:18" s="90" customFormat="1" ht="55" customHeight="1" x14ac:dyDescent="0.35">
      <c r="A176" s="94" t="str">
        <f ca="1"/>
        <v>S25V10883</v>
      </c>
      <c r="B176" s="94" t="str">
        <f ca="1"/>
        <v>PKEK25VE0010883A</v>
      </c>
      <c r="C176" s="94" t="str">
        <f ca="1"/>
        <v>BERRY</v>
      </c>
      <c r="D176" s="94" t="str">
        <f ca="1"/>
        <v>652</v>
      </c>
      <c r="E176" s="94" t="str">
        <f ca="1"/>
        <v>FV012282601</v>
      </c>
      <c r="F176" s="94" t="str">
        <f ca="1"/>
        <v>C1500427</v>
      </c>
      <c r="G176" s="94" t="str">
        <f ca="1"/>
        <v>B</v>
      </c>
      <c r="H176" s="94" t="str">
        <f ca="1"/>
        <v>CF003113719</v>
      </c>
      <c r="I176" s="94" t="str">
        <f ca="1"/>
        <v>A</v>
      </c>
      <c r="J176" s="94">
        <f ca="1"/>
        <v>19.5</v>
      </c>
      <c r="K176" s="94"/>
      <c r="L176" s="94">
        <f ca="1"/>
        <v>70.91</v>
      </c>
      <c r="M176" s="94" t="str">
        <f ca="1"/>
        <v>63/65"</v>
      </c>
      <c r="N176" s="94">
        <f ca="1"/>
        <v>63</v>
      </c>
      <c r="O176" s="94" t="str">
        <f ca="1"/>
        <v>White mark [白印]</v>
      </c>
      <c r="P176" s="95" t="str">
        <f ca="1"/>
        <v/>
      </c>
      <c r="Q176" s="95" t="str">
        <f ca="1"/>
        <v/>
      </c>
      <c r="R176" s="96">
        <f ca="1"/>
        <v>46094</v>
      </c>
    </row>
    <row r="177" spans="1:18" s="90" customFormat="1" ht="55" customHeight="1" x14ac:dyDescent="0.35">
      <c r="A177" s="94" t="str">
        <f ca="1"/>
        <v>S25V10883</v>
      </c>
      <c r="B177" s="94" t="str">
        <f ca="1"/>
        <v>PKEK25VE0010883A</v>
      </c>
      <c r="C177" s="94" t="str">
        <f ca="1"/>
        <v>BERRY</v>
      </c>
      <c r="D177" s="94" t="str">
        <f ca="1"/>
        <v>652</v>
      </c>
      <c r="E177" s="94" t="str">
        <f ca="1"/>
        <v>FV012282601</v>
      </c>
      <c r="F177" s="94" t="str">
        <f ca="1"/>
        <v>C1500427</v>
      </c>
      <c r="G177" s="94" t="str">
        <f ca="1"/>
        <v>B</v>
      </c>
      <c r="H177" s="94" t="str">
        <f ca="1"/>
        <v>CF003113720</v>
      </c>
      <c r="I177" s="94" t="str">
        <f ca="1"/>
        <v>A</v>
      </c>
      <c r="J177" s="94">
        <f ca="1"/>
        <v>22.1</v>
      </c>
      <c r="K177" s="94"/>
      <c r="L177" s="94">
        <f ca="1"/>
        <v>80.37</v>
      </c>
      <c r="M177" s="94" t="str">
        <f ca="1"/>
        <v>63/65"</v>
      </c>
      <c r="N177" s="94">
        <f ca="1"/>
        <v>63</v>
      </c>
      <c r="O177" s="94" t="str">
        <f ca="1"/>
        <v/>
      </c>
      <c r="P177" s="95" t="str">
        <f ca="1"/>
        <v/>
      </c>
      <c r="Q177" s="95" t="str">
        <f ca="1"/>
        <v/>
      </c>
      <c r="R177" s="96">
        <f ca="1"/>
        <v>46094</v>
      </c>
    </row>
    <row r="178" spans="1:18" s="90" customFormat="1" ht="55" customHeight="1" x14ac:dyDescent="0.35">
      <c r="A178" s="94" t="str">
        <f ca="1"/>
        <v>S25V10883</v>
      </c>
      <c r="B178" s="94" t="str">
        <f ca="1"/>
        <v>PKEK25VE0010883A</v>
      </c>
      <c r="C178" s="94" t="str">
        <f ca="1"/>
        <v>BERRY</v>
      </c>
      <c r="D178" s="94" t="str">
        <f ca="1"/>
        <v>652</v>
      </c>
      <c r="E178" s="94" t="str">
        <f ca="1"/>
        <v>FV012282601</v>
      </c>
      <c r="F178" s="94" t="str">
        <f ca="1"/>
        <v>C1500427</v>
      </c>
      <c r="G178" s="94" t="str">
        <f ca="1"/>
        <v>B</v>
      </c>
      <c r="H178" s="94" t="str">
        <f ca="1"/>
        <v>CF003113721</v>
      </c>
      <c r="I178" s="94" t="str">
        <f ca="1"/>
        <v>A</v>
      </c>
      <c r="J178" s="94">
        <f ca="1"/>
        <v>22.8</v>
      </c>
      <c r="K178" s="94"/>
      <c r="L178" s="94">
        <f ca="1"/>
        <v>82.91</v>
      </c>
      <c r="M178" s="94" t="str">
        <f ca="1"/>
        <v>63/65"</v>
      </c>
      <c r="N178" s="94">
        <f ca="1"/>
        <v>63</v>
      </c>
      <c r="O178" s="94" t="str">
        <f ca="1"/>
        <v/>
      </c>
      <c r="P178" s="95" t="str">
        <f ca="1"/>
        <v/>
      </c>
      <c r="Q178" s="95" t="str">
        <f ca="1"/>
        <v/>
      </c>
      <c r="R178" s="96">
        <f ca="1"/>
        <v>46094</v>
      </c>
    </row>
    <row r="179" spans="1:18" s="90" customFormat="1" ht="55" customHeight="1" x14ac:dyDescent="0.35">
      <c r="A179" s="94" t="str">
        <f ca="1"/>
        <v>S25V10883</v>
      </c>
      <c r="B179" s="94" t="str">
        <f ca="1"/>
        <v>PKEK25VE0010883A</v>
      </c>
      <c r="C179" s="94" t="str">
        <f ca="1"/>
        <v>BERRY</v>
      </c>
      <c r="D179" s="94" t="str">
        <f ca="1"/>
        <v>652</v>
      </c>
      <c r="E179" s="94" t="str">
        <f ca="1"/>
        <v>FV012282601</v>
      </c>
      <c r="F179" s="94" t="str">
        <f ca="1"/>
        <v>C1500427</v>
      </c>
      <c r="G179" s="94" t="str">
        <f ca="1"/>
        <v>B</v>
      </c>
      <c r="H179" s="94" t="str">
        <f ca="1"/>
        <v>CF003113722</v>
      </c>
      <c r="I179" s="94" t="str">
        <f ca="1"/>
        <v>A</v>
      </c>
      <c r="J179" s="94">
        <f ca="1"/>
        <v>23</v>
      </c>
      <c r="K179" s="94"/>
      <c r="L179" s="94">
        <f ca="1"/>
        <v>83.64</v>
      </c>
      <c r="M179" s="94" t="str">
        <f ca="1"/>
        <v>63/65"</v>
      </c>
      <c r="N179" s="94">
        <f ca="1"/>
        <v>63</v>
      </c>
      <c r="O179" s="94" t="str">
        <f ca="1"/>
        <v/>
      </c>
      <c r="P179" s="95" t="str">
        <f ca="1"/>
        <v/>
      </c>
      <c r="Q179" s="95" t="str">
        <f ca="1"/>
        <v/>
      </c>
      <c r="R179" s="96">
        <f ca="1"/>
        <v>46094</v>
      </c>
    </row>
    <row r="180" spans="1:18" s="90" customFormat="1" ht="55" customHeight="1" x14ac:dyDescent="0.35">
      <c r="A180" s="94" t="str">
        <f ca="1"/>
        <v>S25V10883</v>
      </c>
      <c r="B180" s="94" t="str">
        <f ca="1"/>
        <v>PKEK25VE0010883A</v>
      </c>
      <c r="C180" s="94" t="str">
        <f ca="1"/>
        <v>BERRY</v>
      </c>
      <c r="D180" s="94" t="str">
        <f ca="1"/>
        <v>652</v>
      </c>
      <c r="E180" s="94" t="str">
        <f ca="1"/>
        <v>FV012282601</v>
      </c>
      <c r="F180" s="94" t="str">
        <f ca="1"/>
        <v>C1500427</v>
      </c>
      <c r="G180" s="94" t="str">
        <f ca="1"/>
        <v>B</v>
      </c>
      <c r="H180" s="94" t="str">
        <f ca="1"/>
        <v>CF003113723</v>
      </c>
      <c r="I180" s="94" t="str">
        <f ca="1"/>
        <v>A</v>
      </c>
      <c r="J180" s="94">
        <f ca="1"/>
        <v>23</v>
      </c>
      <c r="K180" s="94"/>
      <c r="L180" s="94">
        <f ca="1"/>
        <v>83.64</v>
      </c>
      <c r="M180" s="94" t="str">
        <f ca="1"/>
        <v>63/65"</v>
      </c>
      <c r="N180" s="94">
        <f ca="1"/>
        <v>63</v>
      </c>
      <c r="O180" s="94" t="str">
        <f ca="1"/>
        <v/>
      </c>
      <c r="P180" s="95" t="str">
        <f ca="1"/>
        <v/>
      </c>
      <c r="Q180" s="95" t="str">
        <f ca="1"/>
        <v/>
      </c>
      <c r="R180" s="96">
        <f ca="1"/>
        <v>46094</v>
      </c>
    </row>
    <row r="181" spans="1:18" s="90" customFormat="1" ht="55" customHeight="1" x14ac:dyDescent="0.35">
      <c r="A181" s="94" t="str">
        <f ca="1"/>
        <v>S25V10883</v>
      </c>
      <c r="B181" s="94" t="str">
        <f ca="1"/>
        <v>PKEK25VE0010883A</v>
      </c>
      <c r="C181" s="94" t="str">
        <f ca="1"/>
        <v>BERRY</v>
      </c>
      <c r="D181" s="94" t="str">
        <f ca="1"/>
        <v>652</v>
      </c>
      <c r="E181" s="94" t="str">
        <f ca="1"/>
        <v>FV012282601</v>
      </c>
      <c r="F181" s="94" t="str">
        <f ca="1"/>
        <v>C1500427</v>
      </c>
      <c r="G181" s="94" t="str">
        <f ca="1"/>
        <v>B</v>
      </c>
      <c r="H181" s="94" t="str">
        <f ca="1"/>
        <v>CF003113724</v>
      </c>
      <c r="I181" s="94" t="str">
        <f ca="1"/>
        <v>A</v>
      </c>
      <c r="J181" s="94">
        <f ca="1"/>
        <v>23</v>
      </c>
      <c r="K181" s="94"/>
      <c r="L181" s="94">
        <f ca="1"/>
        <v>83.64</v>
      </c>
      <c r="M181" s="94" t="str">
        <f ca="1"/>
        <v>63/65"</v>
      </c>
      <c r="N181" s="94">
        <f ca="1"/>
        <v>63</v>
      </c>
      <c r="O181" s="94" t="str">
        <f ca="1"/>
        <v>White mark [白印]</v>
      </c>
      <c r="P181" s="95" t="str">
        <f ca="1"/>
        <v/>
      </c>
      <c r="Q181" s="95" t="str">
        <f ca="1"/>
        <v/>
      </c>
      <c r="R181" s="96">
        <f ca="1"/>
        <v>46094</v>
      </c>
    </row>
    <row r="182" spans="1:18" s="90" customFormat="1" ht="55" customHeight="1" x14ac:dyDescent="0.35">
      <c r="A182" s="94" t="str">
        <f ca="1"/>
        <v>S25V10883</v>
      </c>
      <c r="B182" s="94" t="str">
        <f ca="1"/>
        <v>PKEK25VE0010883A</v>
      </c>
      <c r="C182" s="94" t="str">
        <f ca="1"/>
        <v>BERRY</v>
      </c>
      <c r="D182" s="94" t="str">
        <f ca="1"/>
        <v>652</v>
      </c>
      <c r="E182" s="94" t="str">
        <f ca="1"/>
        <v>FV012282601</v>
      </c>
      <c r="F182" s="94" t="str">
        <f ca="1"/>
        <v>C1500427</v>
      </c>
      <c r="G182" s="94" t="str">
        <f ca="1"/>
        <v>B</v>
      </c>
      <c r="H182" s="94" t="str">
        <f ca="1"/>
        <v>CF003113725</v>
      </c>
      <c r="I182" s="94" t="str">
        <f ca="1"/>
        <v>A</v>
      </c>
      <c r="J182" s="94">
        <f ca="1"/>
        <v>23</v>
      </c>
      <c r="K182" s="94"/>
      <c r="L182" s="94">
        <f ca="1"/>
        <v>83.64</v>
      </c>
      <c r="M182" s="94" t="str">
        <f ca="1"/>
        <v>63/65"</v>
      </c>
      <c r="N182" s="94">
        <f ca="1"/>
        <v>63</v>
      </c>
      <c r="O182" s="94" t="str">
        <f ca="1"/>
        <v>Hole (KN) [针织破洞]</v>
      </c>
      <c r="P182" s="95" t="str">
        <f ca="1"/>
        <v/>
      </c>
      <c r="Q182" s="95" t="str">
        <f ca="1"/>
        <v/>
      </c>
      <c r="R182" s="96">
        <f ca="1"/>
        <v>46094</v>
      </c>
    </row>
    <row r="183" spans="1:18" s="90" customFormat="1" ht="55" customHeight="1" x14ac:dyDescent="0.35">
      <c r="A183" s="94" t="str">
        <f ca="1"/>
        <v>S25V10883</v>
      </c>
      <c r="B183" s="94" t="str">
        <f ca="1"/>
        <v>PKEK25VE0010883A</v>
      </c>
      <c r="C183" s="94" t="str">
        <f ca="1"/>
        <v>BERRY</v>
      </c>
      <c r="D183" s="94" t="str">
        <f ca="1"/>
        <v>652</v>
      </c>
      <c r="E183" s="94" t="str">
        <f ca="1"/>
        <v>FV012282601</v>
      </c>
      <c r="F183" s="94" t="str">
        <f ca="1"/>
        <v>C1500427</v>
      </c>
      <c r="G183" s="94" t="str">
        <f ca="1"/>
        <v>B</v>
      </c>
      <c r="H183" s="94" t="str">
        <f ca="1"/>
        <v>CF003113726</v>
      </c>
      <c r="I183" s="94" t="str">
        <f ca="1"/>
        <v>A</v>
      </c>
      <c r="J183" s="94">
        <f ca="1"/>
        <v>22.4</v>
      </c>
      <c r="K183" s="94"/>
      <c r="L183" s="94">
        <f ca="1"/>
        <v>81.459999999999994</v>
      </c>
      <c r="M183" s="94" t="str">
        <f ca="1"/>
        <v>63/65"</v>
      </c>
      <c r="N183" s="94">
        <f ca="1"/>
        <v>63</v>
      </c>
      <c r="O183" s="94" t="str">
        <f ca="1"/>
        <v>White mark [白印]</v>
      </c>
      <c r="P183" s="95" t="str">
        <f ca="1"/>
        <v/>
      </c>
      <c r="Q183" s="95" t="str">
        <f ca="1"/>
        <v/>
      </c>
      <c r="R183" s="96">
        <f ca="1"/>
        <v>46094</v>
      </c>
    </row>
    <row r="184" spans="1:18" s="90" customFormat="1" ht="55" customHeight="1" x14ac:dyDescent="0.35">
      <c r="A184" s="94" t="str">
        <f ca="1"/>
        <v>S25V10883</v>
      </c>
      <c r="B184" s="94" t="str">
        <f ca="1"/>
        <v>PKEK25VE0010883A</v>
      </c>
      <c r="C184" s="94" t="str">
        <f ca="1"/>
        <v>SURF</v>
      </c>
      <c r="D184" s="94" t="str">
        <f ca="1"/>
        <v>484</v>
      </c>
      <c r="E184" s="94" t="str">
        <f ca="1"/>
        <v>FV012282701</v>
      </c>
      <c r="F184" s="94" t="str">
        <f ca="1"/>
        <v>C1500427</v>
      </c>
      <c r="G184" s="94" t="str">
        <f ca="1"/>
        <v>B</v>
      </c>
      <c r="H184" s="94" t="str">
        <f ca="1"/>
        <v>CF003114125</v>
      </c>
      <c r="I184" s="94" t="str">
        <f ca="1"/>
        <v>A</v>
      </c>
      <c r="J184" s="94">
        <f ca="1"/>
        <v>6</v>
      </c>
      <c r="K184" s="94"/>
      <c r="L184" s="94">
        <f ca="1"/>
        <v>21.53</v>
      </c>
      <c r="M184" s="94" t="str">
        <f ca="1"/>
        <v>63/65"</v>
      </c>
      <c r="N184" s="94">
        <f ca="1"/>
        <v>63</v>
      </c>
      <c r="O184" s="94" t="str">
        <f ca="1"/>
        <v/>
      </c>
      <c r="P184" s="95" t="str">
        <f ca="1"/>
        <v/>
      </c>
      <c r="Q184" s="95" t="str">
        <f ca="1"/>
        <v/>
      </c>
      <c r="R184" s="96">
        <f ca="1"/>
        <v>46095</v>
      </c>
    </row>
    <row r="185" spans="1:18" s="90" customFormat="1" ht="55" customHeight="1" x14ac:dyDescent="0.35">
      <c r="A185" s="94" t="str">
        <f ca="1"/>
        <v>S25V10883</v>
      </c>
      <c r="B185" s="94" t="str">
        <f ca="1"/>
        <v>PKEK25VE0010883A</v>
      </c>
      <c r="C185" s="94" t="str">
        <f ca="1"/>
        <v>CABERNET</v>
      </c>
      <c r="D185" s="94" t="str">
        <f ca="1"/>
        <v>617</v>
      </c>
      <c r="E185" s="94" t="str">
        <f ca="1"/>
        <v>FV012282501</v>
      </c>
      <c r="F185" s="94" t="str">
        <f ca="1"/>
        <v>C1500427</v>
      </c>
      <c r="G185" s="94" t="str">
        <f ca="1"/>
        <v>B</v>
      </c>
      <c r="H185" s="94" t="str">
        <f ca="1"/>
        <v>CF003116961</v>
      </c>
      <c r="I185" s="94" t="str">
        <f ca="1"/>
        <v>A</v>
      </c>
      <c r="J185" s="94">
        <f ca="1"/>
        <v>21.9</v>
      </c>
      <c r="K185" s="94"/>
      <c r="L185" s="94">
        <f ca="1"/>
        <v>74.78</v>
      </c>
      <c r="M185" s="94" t="str">
        <f ca="1"/>
        <v>63/65"</v>
      </c>
      <c r="N185" s="94">
        <f ca="1"/>
        <v>64</v>
      </c>
      <c r="O185" s="94" t="str">
        <f ca="1"/>
        <v>White mark [白印]</v>
      </c>
      <c r="P185" s="95" t="str">
        <f ca="1"/>
        <v/>
      </c>
      <c r="Q185" s="95" t="str">
        <f ca="1"/>
        <v/>
      </c>
      <c r="R185" s="96">
        <f ca="1"/>
        <v>46098</v>
      </c>
    </row>
    <row r="186" spans="1:18" s="90" customFormat="1" ht="55" customHeight="1" x14ac:dyDescent="0.35">
      <c r="A186" s="94" t="str">
        <f ca="1"/>
        <v>S25V10883</v>
      </c>
      <c r="B186" s="94" t="str">
        <f ca="1"/>
        <v>PKEK25VE0010883A</v>
      </c>
      <c r="C186" s="94" t="str">
        <f ca="1"/>
        <v>CABERNET</v>
      </c>
      <c r="D186" s="94" t="str">
        <f ca="1"/>
        <v>617</v>
      </c>
      <c r="E186" s="94" t="str">
        <f ca="1"/>
        <v>FV012282501</v>
      </c>
      <c r="F186" s="94" t="str">
        <f ca="1"/>
        <v>C1500427</v>
      </c>
      <c r="G186" s="94" t="str">
        <f ca="1"/>
        <v>B</v>
      </c>
      <c r="H186" s="94" t="str">
        <f ca="1"/>
        <v>CF003116962</v>
      </c>
      <c r="I186" s="94" t="str">
        <f ca="1"/>
        <v>A</v>
      </c>
      <c r="J186" s="94">
        <f ca="1"/>
        <v>23.7</v>
      </c>
      <c r="K186" s="94"/>
      <c r="L186" s="94">
        <f ca="1"/>
        <v>80.92</v>
      </c>
      <c r="M186" s="94" t="str">
        <f ca="1"/>
        <v>63/65"</v>
      </c>
      <c r="N186" s="94">
        <f ca="1"/>
        <v>64</v>
      </c>
      <c r="O186" s="94" t="str">
        <f ca="1"/>
        <v>White mark [白印]</v>
      </c>
      <c r="P186" s="95" t="str">
        <f ca="1"/>
        <v/>
      </c>
      <c r="Q186" s="95" t="str">
        <f ca="1"/>
        <v/>
      </c>
      <c r="R186" s="96">
        <f ca="1"/>
        <v>46098</v>
      </c>
    </row>
    <row r="187" spans="1:18" s="90" customFormat="1" ht="55" customHeight="1" x14ac:dyDescent="0.35">
      <c r="A187" s="94" t="str">
        <f ca="1"/>
        <v>S25V10883</v>
      </c>
      <c r="B187" s="94" t="str">
        <f ca="1"/>
        <v>PKEK25VE0010883A</v>
      </c>
      <c r="C187" s="94" t="str">
        <f ca="1"/>
        <v>CABERNET</v>
      </c>
      <c r="D187" s="94" t="str">
        <f ca="1"/>
        <v>617</v>
      </c>
      <c r="E187" s="94" t="str">
        <f ca="1"/>
        <v>FV012282501</v>
      </c>
      <c r="F187" s="94" t="str">
        <f ca="1"/>
        <v>C1500427</v>
      </c>
      <c r="G187" s="94" t="str">
        <f ca="1"/>
        <v>B</v>
      </c>
      <c r="H187" s="94" t="str">
        <f ca="1"/>
        <v>CF003116963</v>
      </c>
      <c r="I187" s="94" t="str">
        <f ca="1"/>
        <v>A</v>
      </c>
      <c r="J187" s="94">
        <f ca="1"/>
        <v>23.7</v>
      </c>
      <c r="K187" s="94"/>
      <c r="L187" s="94">
        <f ca="1"/>
        <v>80.92</v>
      </c>
      <c r="M187" s="94" t="str">
        <f ca="1"/>
        <v>63/65"</v>
      </c>
      <c r="N187" s="94">
        <f ca="1"/>
        <v>64</v>
      </c>
      <c r="O187" s="94" t="str">
        <f ca="1"/>
        <v>White mark [白印]</v>
      </c>
      <c r="P187" s="95" t="str">
        <f ca="1"/>
        <v/>
      </c>
      <c r="Q187" s="95" t="str">
        <f ca="1"/>
        <v/>
      </c>
      <c r="R187" s="96">
        <f ca="1"/>
        <v>46098</v>
      </c>
    </row>
    <row r="188" spans="1:18" s="90" customFormat="1" ht="55" customHeight="1" x14ac:dyDescent="0.35">
      <c r="A188" s="94" t="str">
        <f ca="1"/>
        <v>S25V10883</v>
      </c>
      <c r="B188" s="94" t="str">
        <f ca="1"/>
        <v>PKEK25VE0010883A</v>
      </c>
      <c r="C188" s="94" t="str">
        <f ca="1"/>
        <v>CABERNET</v>
      </c>
      <c r="D188" s="94" t="str">
        <f ca="1"/>
        <v>617</v>
      </c>
      <c r="E188" s="94" t="str">
        <f ca="1"/>
        <v>FV012282501</v>
      </c>
      <c r="F188" s="94" t="str">
        <f ca="1"/>
        <v>C1500427</v>
      </c>
      <c r="G188" s="94" t="str">
        <f ca="1"/>
        <v>B</v>
      </c>
      <c r="H188" s="94" t="str">
        <f ca="1"/>
        <v>CF003116964</v>
      </c>
      <c r="I188" s="94" t="str">
        <f ca="1"/>
        <v>B</v>
      </c>
      <c r="J188" s="94">
        <f ca="1"/>
        <v>15.7</v>
      </c>
      <c r="K188" s="94"/>
      <c r="L188" s="94">
        <f ca="1"/>
        <v>53.61</v>
      </c>
      <c r="M188" s="94" t="str">
        <f ca="1"/>
        <v>63/65"</v>
      </c>
      <c r="N188" s="94">
        <f ca="1"/>
        <v>64</v>
      </c>
      <c r="O188" s="94" t="str">
        <f ca="1"/>
        <v>White mark [白印]</v>
      </c>
      <c r="P188" s="95" t="str">
        <f ca="1"/>
        <v/>
      </c>
      <c r="Q188" s="95" t="str">
        <f ca="1"/>
        <v/>
      </c>
      <c r="R188" s="96">
        <f ca="1"/>
        <v>46098</v>
      </c>
    </row>
    <row r="189" spans="1:18" s="90" customFormat="1" ht="55" customHeight="1" x14ac:dyDescent="0.35">
      <c r="A189" s="94" t="str">
        <f ca="1"/>
        <v>S25V10883</v>
      </c>
      <c r="B189" s="94" t="str">
        <f ca="1"/>
        <v>PKEK25VE0010883A</v>
      </c>
      <c r="C189" s="94" t="str">
        <f ca="1"/>
        <v>CABERNET</v>
      </c>
      <c r="D189" s="94" t="str">
        <f ca="1"/>
        <v>617</v>
      </c>
      <c r="E189" s="94" t="str">
        <f ca="1"/>
        <v>FV012282501</v>
      </c>
      <c r="F189" s="94" t="str">
        <f ca="1"/>
        <v>C1500427</v>
      </c>
      <c r="G189" s="94" t="str">
        <f ca="1"/>
        <v>B</v>
      </c>
      <c r="H189" s="94" t="str">
        <f ca="1"/>
        <v>CF003116965</v>
      </c>
      <c r="I189" s="94" t="str">
        <f ca="1"/>
        <v>A</v>
      </c>
      <c r="J189" s="94">
        <f ca="1"/>
        <v>23.7</v>
      </c>
      <c r="K189" s="94"/>
      <c r="L189" s="94">
        <f ca="1"/>
        <v>80.92</v>
      </c>
      <c r="M189" s="94" t="str">
        <f ca="1"/>
        <v>63/65"</v>
      </c>
      <c r="N189" s="94">
        <f ca="1"/>
        <v>64</v>
      </c>
      <c r="O189" s="94" t="str">
        <f ca="1"/>
        <v>White mark [白印]</v>
      </c>
      <c r="P189" s="95" t="str">
        <f ca="1"/>
        <v/>
      </c>
      <c r="Q189" s="95" t="str">
        <f ca="1"/>
        <v/>
      </c>
      <c r="R189" s="96">
        <f ca="1"/>
        <v>46098</v>
      </c>
    </row>
    <row r="190" spans="1:18" s="90" customFormat="1" ht="55" customHeight="1" x14ac:dyDescent="0.35">
      <c r="A190" s="94" t="str">
        <f ca="1"/>
        <v>S25V10883</v>
      </c>
      <c r="B190" s="94" t="str">
        <f ca="1"/>
        <v>PKEK25VE0010883A</v>
      </c>
      <c r="C190" s="94" t="str">
        <f ca="1"/>
        <v>CABERNET</v>
      </c>
      <c r="D190" s="94" t="str">
        <f ca="1"/>
        <v>617</v>
      </c>
      <c r="E190" s="94" t="str">
        <f ca="1"/>
        <v>FV012282501</v>
      </c>
      <c r="F190" s="94" t="str">
        <f ca="1"/>
        <v>C1500427</v>
      </c>
      <c r="G190" s="94" t="str">
        <f ca="1"/>
        <v>B</v>
      </c>
      <c r="H190" s="94" t="str">
        <f ca="1"/>
        <v>CF003116976</v>
      </c>
      <c r="I190" s="94" t="str">
        <f ca="1"/>
        <v>A</v>
      </c>
      <c r="J190" s="94">
        <f ca="1"/>
        <v>23.7</v>
      </c>
      <c r="K190" s="94"/>
      <c r="L190" s="94">
        <f ca="1"/>
        <v>80.92</v>
      </c>
      <c r="M190" s="94" t="str">
        <f ca="1"/>
        <v>63/65"</v>
      </c>
      <c r="N190" s="94">
        <f ca="1"/>
        <v>64</v>
      </c>
      <c r="O190" s="94" t="str">
        <f ca="1"/>
        <v>White mark [白印]</v>
      </c>
      <c r="P190" s="95" t="str">
        <f ca="1"/>
        <v/>
      </c>
      <c r="Q190" s="95" t="str">
        <f ca="1"/>
        <v/>
      </c>
      <c r="R190" s="96">
        <f ca="1"/>
        <v>46098</v>
      </c>
    </row>
    <row r="191" spans="1:18" s="90" customFormat="1" ht="55" customHeight="1" x14ac:dyDescent="0.35">
      <c r="A191" s="94" t="str">
        <f ca="1"/>
        <v>S25V10883</v>
      </c>
      <c r="B191" s="94" t="str">
        <f ca="1"/>
        <v>PKEK25VE0010883A</v>
      </c>
      <c r="C191" s="94" t="str">
        <f ca="1"/>
        <v>CABERNET</v>
      </c>
      <c r="D191" s="94" t="str">
        <f ca="1"/>
        <v>617</v>
      </c>
      <c r="E191" s="94" t="str">
        <f ca="1"/>
        <v>FV012282501</v>
      </c>
      <c r="F191" s="94" t="str">
        <f ca="1"/>
        <v>C1500427</v>
      </c>
      <c r="G191" s="94" t="str">
        <f ca="1"/>
        <v>B</v>
      </c>
      <c r="H191" s="94" t="str">
        <f ca="1"/>
        <v>CF003116977</v>
      </c>
      <c r="I191" s="94" t="str">
        <f ca="1"/>
        <v>B</v>
      </c>
      <c r="J191" s="94">
        <f ca="1"/>
        <v>23.7</v>
      </c>
      <c r="K191" s="94"/>
      <c r="L191" s="94">
        <f ca="1"/>
        <v>80.92</v>
      </c>
      <c r="M191" s="94" t="str">
        <f ca="1"/>
        <v>63/65"</v>
      </c>
      <c r="N191" s="94">
        <f ca="1"/>
        <v>64</v>
      </c>
      <c r="O191" s="94" t="str">
        <f ca="1"/>
        <v>White mark [白印]</v>
      </c>
      <c r="P191" s="95" t="str">
        <f ca="1"/>
        <v/>
      </c>
      <c r="Q191" s="95" t="str">
        <f ca="1"/>
        <v/>
      </c>
      <c r="R191" s="96">
        <f ca="1"/>
        <v>46098</v>
      </c>
    </row>
    <row r="192" spans="1:18" s="90" customFormat="1" ht="55" customHeight="1" x14ac:dyDescent="0.35">
      <c r="A192" s="94" t="str">
        <f ca="1"/>
        <v>S25V10883</v>
      </c>
      <c r="B192" s="94" t="str">
        <f ca="1"/>
        <v>PKEK25VE0010883A</v>
      </c>
      <c r="C192" s="94" t="str">
        <f ca="1"/>
        <v>CABERNET</v>
      </c>
      <c r="D192" s="94" t="str">
        <f ca="1"/>
        <v>617</v>
      </c>
      <c r="E192" s="94" t="str">
        <f ca="1"/>
        <v>FV012282501</v>
      </c>
      <c r="F192" s="94" t="str">
        <f ca="1"/>
        <v>C1500427</v>
      </c>
      <c r="G192" s="94" t="str">
        <f ca="1"/>
        <v>B</v>
      </c>
      <c r="H192" s="94" t="str">
        <f ca="1"/>
        <v>CF003116978</v>
      </c>
      <c r="I192" s="94" t="str">
        <f ca="1"/>
        <v>A</v>
      </c>
      <c r="J192" s="94">
        <f ca="1"/>
        <v>24</v>
      </c>
      <c r="K192" s="94"/>
      <c r="L192" s="94">
        <f ca="1"/>
        <v>81.95</v>
      </c>
      <c r="M192" s="94" t="str">
        <f ca="1"/>
        <v>63/65"</v>
      </c>
      <c r="N192" s="94">
        <f ca="1"/>
        <v>64</v>
      </c>
      <c r="O192" s="94" t="str">
        <f ca="1"/>
        <v>White mark [白印]</v>
      </c>
      <c r="P192" s="95" t="str">
        <f ca="1"/>
        <v/>
      </c>
      <c r="Q192" s="95" t="str">
        <f ca="1"/>
        <v/>
      </c>
      <c r="R192" s="96">
        <f ca="1"/>
        <v>46098</v>
      </c>
    </row>
    <row r="193" spans="1:18" s="90" customFormat="1" ht="55" customHeight="1" x14ac:dyDescent="0.35">
      <c r="A193" s="94" t="str">
        <f ca="1"/>
        <v>S25V10883</v>
      </c>
      <c r="B193" s="94" t="str">
        <f ca="1"/>
        <v>PKEK25VE0010883A</v>
      </c>
      <c r="C193" s="94" t="str">
        <f ca="1"/>
        <v>CABERNET</v>
      </c>
      <c r="D193" s="94" t="str">
        <f ca="1"/>
        <v>617</v>
      </c>
      <c r="E193" s="94" t="str">
        <f ca="1"/>
        <v>FV012282501</v>
      </c>
      <c r="F193" s="94" t="str">
        <f ca="1"/>
        <v>C1500427</v>
      </c>
      <c r="G193" s="94" t="str">
        <f ca="1"/>
        <v>B</v>
      </c>
      <c r="H193" s="94" t="str">
        <f ca="1"/>
        <v>CF003116979</v>
      </c>
      <c r="I193" s="94" t="str">
        <f ca="1"/>
        <v>A</v>
      </c>
      <c r="J193" s="94">
        <f ca="1"/>
        <v>23.8</v>
      </c>
      <c r="K193" s="94"/>
      <c r="L193" s="94">
        <f ca="1"/>
        <v>81.260000000000005</v>
      </c>
      <c r="M193" s="94" t="str">
        <f ca="1"/>
        <v>63/65"</v>
      </c>
      <c r="N193" s="94">
        <f ca="1"/>
        <v>64</v>
      </c>
      <c r="O193" s="94" t="str">
        <f ca="1"/>
        <v>White mark [白印]</v>
      </c>
      <c r="P193" s="95" t="str">
        <f ca="1"/>
        <v/>
      </c>
      <c r="Q193" s="95" t="str">
        <f ca="1"/>
        <v/>
      </c>
      <c r="R193" s="96">
        <f ca="1"/>
        <v>46098</v>
      </c>
    </row>
    <row r="194" spans="1:18" s="90" customFormat="1" ht="55" customHeight="1" x14ac:dyDescent="0.35">
      <c r="A194" s="94" t="str">
        <f ca="1"/>
        <v>S25V10883</v>
      </c>
      <c r="B194" s="94" t="str">
        <f ca="1"/>
        <v>PKEK25VE0010883A</v>
      </c>
      <c r="C194" s="94" t="str">
        <f ca="1"/>
        <v>CABERNET</v>
      </c>
      <c r="D194" s="94" t="str">
        <f ca="1"/>
        <v>617</v>
      </c>
      <c r="E194" s="94" t="str">
        <f ca="1"/>
        <v>FV012282501</v>
      </c>
      <c r="F194" s="94" t="str">
        <f ca="1"/>
        <v>C1500427</v>
      </c>
      <c r="G194" s="94" t="str">
        <f ca="1"/>
        <v>B</v>
      </c>
      <c r="H194" s="94" t="str">
        <f ca="1"/>
        <v>CF003116980</v>
      </c>
      <c r="I194" s="94" t="str">
        <f ca="1"/>
        <v>B</v>
      </c>
      <c r="J194" s="94">
        <f ca="1"/>
        <v>23.8</v>
      </c>
      <c r="K194" s="94"/>
      <c r="L194" s="94">
        <f ca="1"/>
        <v>81.260000000000005</v>
      </c>
      <c r="M194" s="94" t="str">
        <f ca="1"/>
        <v>63/65"</v>
      </c>
      <c r="N194" s="94">
        <f ca="1"/>
        <v>64</v>
      </c>
      <c r="O194" s="94" t="str">
        <f ca="1"/>
        <v>White mark [白印]</v>
      </c>
      <c r="P194" s="95" t="str">
        <f ca="1"/>
        <v/>
      </c>
      <c r="Q194" s="95" t="str">
        <f ca="1"/>
        <v/>
      </c>
      <c r="R194" s="96">
        <f ca="1"/>
        <v>46098</v>
      </c>
    </row>
    <row r="195" spans="1:18" s="90" customFormat="1" ht="55" customHeight="1" x14ac:dyDescent="0.35">
      <c r="A195" s="94" t="str">
        <f ca="1"/>
        <v>S25V10883</v>
      </c>
      <c r="B195" s="94" t="str">
        <f ca="1"/>
        <v>PKEK25VE0010883A</v>
      </c>
      <c r="C195" s="94" t="str">
        <f ca="1"/>
        <v>CABERNET</v>
      </c>
      <c r="D195" s="94" t="str">
        <f ca="1"/>
        <v>617</v>
      </c>
      <c r="E195" s="94" t="str">
        <f ca="1"/>
        <v>FV012282501</v>
      </c>
      <c r="F195" s="94" t="str">
        <f ca="1"/>
        <v>C1500427</v>
      </c>
      <c r="G195" s="94" t="str">
        <f ca="1"/>
        <v>B</v>
      </c>
      <c r="H195" s="94" t="str">
        <f ca="1"/>
        <v>CF003116981</v>
      </c>
      <c r="I195" s="94" t="str">
        <f ca="1"/>
        <v>A</v>
      </c>
      <c r="J195" s="94">
        <f ca="1"/>
        <v>22.1</v>
      </c>
      <c r="K195" s="94"/>
      <c r="L195" s="94">
        <f ca="1"/>
        <v>75.459999999999994</v>
      </c>
      <c r="M195" s="94" t="str">
        <f ca="1"/>
        <v>63/65"</v>
      </c>
      <c r="N195" s="94">
        <f ca="1"/>
        <v>64</v>
      </c>
      <c r="O195" s="94" t="str">
        <f ca="1"/>
        <v>White mark [白印]</v>
      </c>
      <c r="P195" s="95" t="str">
        <f ca="1"/>
        <v/>
      </c>
      <c r="Q195" s="95" t="str">
        <f ca="1"/>
        <v/>
      </c>
      <c r="R195" s="96">
        <f ca="1"/>
        <v>46098</v>
      </c>
    </row>
    <row r="196" spans="1:18" s="90" customFormat="1" ht="55" customHeight="1" x14ac:dyDescent="0.35">
      <c r="A196" s="94" t="str">
        <f ca="1"/>
        <v>S25V10883</v>
      </c>
      <c r="B196" s="94" t="str">
        <f ca="1"/>
        <v>PKEK25VE0010883A</v>
      </c>
      <c r="C196" s="94" t="str">
        <f ca="1"/>
        <v>CABERNET</v>
      </c>
      <c r="D196" s="94" t="str">
        <f ca="1"/>
        <v>617</v>
      </c>
      <c r="E196" s="94" t="str">
        <f ca="1"/>
        <v>FV012282501</v>
      </c>
      <c r="F196" s="94" t="str">
        <f ca="1"/>
        <v>C1500427</v>
      </c>
      <c r="G196" s="94" t="str">
        <f ca="1"/>
        <v>B</v>
      </c>
      <c r="H196" s="94" t="str">
        <f ca="1"/>
        <v>CF003116982</v>
      </c>
      <c r="I196" s="94" t="str">
        <f ca="1"/>
        <v>A</v>
      </c>
      <c r="J196" s="94">
        <f ca="1"/>
        <v>8.8000000000000007</v>
      </c>
      <c r="K196" s="94"/>
      <c r="L196" s="94">
        <f ca="1"/>
        <v>30.05</v>
      </c>
      <c r="M196" s="94" t="str">
        <f ca="1"/>
        <v>63/65"</v>
      </c>
      <c r="N196" s="94">
        <f ca="1"/>
        <v>64</v>
      </c>
      <c r="O196" s="94" t="str">
        <f ca="1"/>
        <v>White mark [白印]</v>
      </c>
      <c r="P196" s="95" t="str">
        <f ca="1"/>
        <v/>
      </c>
      <c r="Q196" s="95" t="str">
        <f ca="1"/>
        <v/>
      </c>
      <c r="R196" s="96">
        <f ca="1"/>
        <v>46098</v>
      </c>
    </row>
    <row r="197" spans="1:18" s="90" customFormat="1" ht="55" customHeight="1" x14ac:dyDescent="0.35">
      <c r="A197" s="94" t="str">
        <f ca="1"/>
        <v>S25V10883</v>
      </c>
      <c r="B197" s="94" t="str">
        <f ca="1"/>
        <v>PKEK25VE0010883A</v>
      </c>
      <c r="C197" s="94" t="str">
        <f ca="1"/>
        <v>CABERNET</v>
      </c>
      <c r="D197" s="94" t="str">
        <f ca="1"/>
        <v>617</v>
      </c>
      <c r="E197" s="94" t="str">
        <f ca="1"/>
        <v>FV012282501</v>
      </c>
      <c r="F197" s="94" t="str">
        <f ca="1"/>
        <v>C1500427</v>
      </c>
      <c r="G197" s="94" t="str">
        <f ca="1"/>
        <v>B</v>
      </c>
      <c r="H197" s="94" t="str">
        <f ca="1"/>
        <v>CF003116983</v>
      </c>
      <c r="I197" s="94" t="str">
        <f ca="1"/>
        <v>A</v>
      </c>
      <c r="J197" s="94">
        <f ca="1"/>
        <v>24.1</v>
      </c>
      <c r="K197" s="94"/>
      <c r="L197" s="94">
        <f ca="1"/>
        <v>82.29</v>
      </c>
      <c r="M197" s="94" t="str">
        <f ca="1"/>
        <v>63/65"</v>
      </c>
      <c r="N197" s="94">
        <f ca="1"/>
        <v>64</v>
      </c>
      <c r="O197" s="94" t="str">
        <f ca="1"/>
        <v>White mark [白印]</v>
      </c>
      <c r="P197" s="95" t="str">
        <f ca="1"/>
        <v/>
      </c>
      <c r="Q197" s="95" t="str">
        <f ca="1"/>
        <v/>
      </c>
      <c r="R197" s="96">
        <f ca="1"/>
        <v>46098</v>
      </c>
    </row>
    <row r="198" spans="1:18" s="90" customFormat="1" ht="55" customHeight="1" x14ac:dyDescent="0.35">
      <c r="A198" s="94" t="str">
        <f ca="1"/>
        <v>S25V10883</v>
      </c>
      <c r="B198" s="94" t="str">
        <f ca="1"/>
        <v>PKEK25VE0010883A</v>
      </c>
      <c r="C198" s="94" t="str">
        <f ca="1"/>
        <v>CABERNET</v>
      </c>
      <c r="D198" s="94" t="str">
        <f ca="1"/>
        <v>617</v>
      </c>
      <c r="E198" s="94" t="str">
        <f ca="1"/>
        <v>FV012282501</v>
      </c>
      <c r="F198" s="94" t="str">
        <f ca="1"/>
        <v>C1500427</v>
      </c>
      <c r="G198" s="94" t="str">
        <f ca="1"/>
        <v>B</v>
      </c>
      <c r="H198" s="94" t="str">
        <f ca="1"/>
        <v>CF003116984</v>
      </c>
      <c r="I198" s="94" t="str">
        <f ca="1"/>
        <v>A</v>
      </c>
      <c r="J198" s="94">
        <f ca="1"/>
        <v>17.8</v>
      </c>
      <c r="K198" s="94"/>
      <c r="L198" s="94">
        <f ca="1"/>
        <v>60.78</v>
      </c>
      <c r="M198" s="94" t="str">
        <f ca="1"/>
        <v>63/65"</v>
      </c>
      <c r="N198" s="94">
        <f ca="1"/>
        <v>64</v>
      </c>
      <c r="O198" s="94" t="str">
        <f ca="1"/>
        <v>White mark [白印]</v>
      </c>
      <c r="P198" s="95" t="str">
        <f ca="1"/>
        <v/>
      </c>
      <c r="Q198" s="95" t="str">
        <f ca="1"/>
        <v/>
      </c>
      <c r="R198" s="96">
        <f ca="1"/>
        <v>46098</v>
      </c>
    </row>
    <row r="199" spans="1:18" s="90" customFormat="1" ht="55" customHeight="1" x14ac:dyDescent="0.35">
      <c r="A199" s="94" t="str">
        <f ca="1"/>
        <v>S25V10883</v>
      </c>
      <c r="B199" s="94" t="str">
        <f ca="1"/>
        <v>PKEK25VE0010883A</v>
      </c>
      <c r="C199" s="94" t="str">
        <f ca="1"/>
        <v>CABERNET</v>
      </c>
      <c r="D199" s="94" t="str">
        <f ca="1"/>
        <v>617</v>
      </c>
      <c r="E199" s="94" t="str">
        <f ca="1"/>
        <v>FV012282501</v>
      </c>
      <c r="F199" s="94" t="str">
        <f ca="1"/>
        <v>C1500427</v>
      </c>
      <c r="G199" s="94" t="str">
        <f ca="1"/>
        <v>B</v>
      </c>
      <c r="H199" s="94" t="str">
        <f ca="1"/>
        <v>CF003116985</v>
      </c>
      <c r="I199" s="94" t="str">
        <f ca="1"/>
        <v>A</v>
      </c>
      <c r="J199" s="94">
        <f ca="1"/>
        <v>23.8</v>
      </c>
      <c r="K199" s="94"/>
      <c r="L199" s="94">
        <f ca="1"/>
        <v>81.260000000000005</v>
      </c>
      <c r="M199" s="94" t="str">
        <f ca="1"/>
        <v>63/65"</v>
      </c>
      <c r="N199" s="94">
        <f ca="1"/>
        <v>64</v>
      </c>
      <c r="O199" s="94" t="str">
        <f ca="1"/>
        <v>White mark [白印]</v>
      </c>
      <c r="P199" s="95" t="str">
        <f ca="1"/>
        <v/>
      </c>
      <c r="Q199" s="95" t="str">
        <f ca="1"/>
        <v/>
      </c>
      <c r="R199" s="96">
        <f ca="1"/>
        <v>46098</v>
      </c>
    </row>
    <row r="200" spans="1:18" s="90" customFormat="1" ht="55" customHeight="1" x14ac:dyDescent="0.35">
      <c r="A200" s="94" t="str">
        <f ca="1"/>
        <v>S25V10883</v>
      </c>
      <c r="B200" s="94" t="str">
        <f ca="1"/>
        <v>PKEK25VE0010883A</v>
      </c>
      <c r="C200" s="94" t="str">
        <f ca="1"/>
        <v>CABERNET</v>
      </c>
      <c r="D200" s="94" t="str">
        <f ca="1"/>
        <v>617</v>
      </c>
      <c r="E200" s="94" t="str">
        <f ca="1"/>
        <v>FV012282501</v>
      </c>
      <c r="F200" s="94" t="str">
        <f ca="1"/>
        <v>C1500427</v>
      </c>
      <c r="G200" s="94" t="str">
        <f ca="1"/>
        <v>B</v>
      </c>
      <c r="H200" s="94" t="str">
        <f ca="1"/>
        <v>CF003116986</v>
      </c>
      <c r="I200" s="94" t="str">
        <f ca="1"/>
        <v>A</v>
      </c>
      <c r="J200" s="94">
        <f ca="1"/>
        <v>24.2</v>
      </c>
      <c r="K200" s="94"/>
      <c r="L200" s="94">
        <f ca="1"/>
        <v>82.63</v>
      </c>
      <c r="M200" s="94" t="str">
        <f ca="1"/>
        <v>63/65"</v>
      </c>
      <c r="N200" s="94">
        <f ca="1"/>
        <v>64</v>
      </c>
      <c r="O200" s="94" t="str">
        <f ca="1"/>
        <v>White mark [白印]</v>
      </c>
      <c r="P200" s="95" t="str">
        <f ca="1"/>
        <v/>
      </c>
      <c r="Q200" s="95" t="str">
        <f ca="1"/>
        <v/>
      </c>
      <c r="R200" s="96">
        <f ca="1"/>
        <v>46098</v>
      </c>
    </row>
    <row r="201" spans="1:18" s="90" customFormat="1" ht="55" customHeight="1" x14ac:dyDescent="0.35">
      <c r="A201" s="94" t="str">
        <f ca="1"/>
        <v>S25V10883</v>
      </c>
      <c r="B201" s="94" t="str">
        <f ca="1"/>
        <v>PKEK25VE0010883A</v>
      </c>
      <c r="C201" s="94" t="str">
        <f ca="1"/>
        <v>CABERNET</v>
      </c>
      <c r="D201" s="94" t="str">
        <f ca="1"/>
        <v>617</v>
      </c>
      <c r="E201" s="94" t="str">
        <f ca="1"/>
        <v>FV012282501</v>
      </c>
      <c r="F201" s="94" t="str">
        <f ca="1"/>
        <v>C1500427</v>
      </c>
      <c r="G201" s="94" t="str">
        <f ca="1"/>
        <v>B</v>
      </c>
      <c r="H201" s="94" t="str">
        <f ca="1"/>
        <v>CF003116987</v>
      </c>
      <c r="I201" s="94" t="str">
        <f ca="1"/>
        <v>A</v>
      </c>
      <c r="J201" s="94">
        <f ca="1"/>
        <v>15.9</v>
      </c>
      <c r="K201" s="94"/>
      <c r="L201" s="94">
        <f ca="1"/>
        <v>54.29</v>
      </c>
      <c r="M201" s="94" t="str">
        <f ca="1"/>
        <v>63/65"</v>
      </c>
      <c r="N201" s="94">
        <f ca="1"/>
        <v>64</v>
      </c>
      <c r="O201" s="94" t="str">
        <f ca="1"/>
        <v>White mark [白印]</v>
      </c>
      <c r="P201" s="95" t="str">
        <f ca="1"/>
        <v/>
      </c>
      <c r="Q201" s="95" t="str">
        <f ca="1"/>
        <v/>
      </c>
      <c r="R201" s="96">
        <f ca="1"/>
        <v>46098</v>
      </c>
    </row>
    <row r="202" spans="1:18" s="90" customFormat="1" ht="55" customHeight="1" x14ac:dyDescent="0.35">
      <c r="A202" s="94" t="str">
        <f ca="1"/>
        <v>S25V10883</v>
      </c>
      <c r="B202" s="94" t="str">
        <f ca="1"/>
        <v>PKEK25VE0010883A</v>
      </c>
      <c r="C202" s="94" t="str">
        <f ca="1"/>
        <v>CABERNET</v>
      </c>
      <c r="D202" s="94" t="str">
        <f ca="1"/>
        <v>617</v>
      </c>
      <c r="E202" s="94" t="str">
        <f ca="1"/>
        <v>FV012282501</v>
      </c>
      <c r="F202" s="94" t="str">
        <f ca="1"/>
        <v>C1500427</v>
      </c>
      <c r="G202" s="94" t="str">
        <f ca="1"/>
        <v>B</v>
      </c>
      <c r="H202" s="94" t="str">
        <f ca="1"/>
        <v>CF003116988</v>
      </c>
      <c r="I202" s="94" t="str">
        <f ca="1"/>
        <v>A</v>
      </c>
      <c r="J202" s="94">
        <f ca="1"/>
        <v>23.6</v>
      </c>
      <c r="K202" s="94"/>
      <c r="L202" s="94">
        <f ca="1"/>
        <v>80.58</v>
      </c>
      <c r="M202" s="94" t="str">
        <f ca="1"/>
        <v>63/65"</v>
      </c>
      <c r="N202" s="94">
        <f ca="1"/>
        <v>64</v>
      </c>
      <c r="O202" s="94" t="str">
        <f ca="1"/>
        <v>White mark [白印]</v>
      </c>
      <c r="P202" s="95" t="str">
        <f ca="1"/>
        <v/>
      </c>
      <c r="Q202" s="95" t="str">
        <f ca="1"/>
        <v/>
      </c>
      <c r="R202" s="96">
        <f ca="1"/>
        <v>46098</v>
      </c>
    </row>
    <row r="203" spans="1:18" s="90" customFormat="1" ht="55" customHeight="1" x14ac:dyDescent="0.35">
      <c r="A203" s="94" t="str">
        <f ca="1"/>
        <v>S25V10883</v>
      </c>
      <c r="B203" s="94" t="str">
        <f ca="1"/>
        <v>PKEK25VE0010883A</v>
      </c>
      <c r="C203" s="94" t="str">
        <f ca="1"/>
        <v>CABERNET</v>
      </c>
      <c r="D203" s="94" t="str">
        <f ca="1"/>
        <v>617</v>
      </c>
      <c r="E203" s="94" t="str">
        <f ca="1"/>
        <v>FV012282501</v>
      </c>
      <c r="F203" s="94" t="str">
        <f ca="1"/>
        <v>C1500427</v>
      </c>
      <c r="G203" s="94" t="str">
        <f ca="1"/>
        <v>B</v>
      </c>
      <c r="H203" s="94" t="str">
        <f ca="1"/>
        <v>CF003116989</v>
      </c>
      <c r="I203" s="94" t="str">
        <f ca="1"/>
        <v>A</v>
      </c>
      <c r="J203" s="94">
        <f ca="1"/>
        <v>24</v>
      </c>
      <c r="K203" s="94"/>
      <c r="L203" s="94">
        <f ca="1"/>
        <v>81.95</v>
      </c>
      <c r="M203" s="94" t="str">
        <f ca="1"/>
        <v>63/65"</v>
      </c>
      <c r="N203" s="94">
        <f ca="1"/>
        <v>64</v>
      </c>
      <c r="O203" s="94" t="str">
        <f ca="1"/>
        <v>White mark [白印]</v>
      </c>
      <c r="P203" s="95" t="str">
        <f ca="1"/>
        <v/>
      </c>
      <c r="Q203" s="95" t="str">
        <f ca="1"/>
        <v/>
      </c>
      <c r="R203" s="96">
        <f ca="1"/>
        <v>46098</v>
      </c>
    </row>
    <row r="204" spans="1:18" s="90" customFormat="1" ht="55" customHeight="1" x14ac:dyDescent="0.35">
      <c r="A204" s="94" t="str">
        <f ca="1"/>
        <v>S25V10883</v>
      </c>
      <c r="B204" s="94" t="str">
        <f ca="1"/>
        <v>PKEK25VE0010883A</v>
      </c>
      <c r="C204" s="94" t="str">
        <f ca="1"/>
        <v>CABERNET</v>
      </c>
      <c r="D204" s="94" t="str">
        <f ca="1"/>
        <v>617</v>
      </c>
      <c r="E204" s="94" t="str">
        <f ca="1"/>
        <v>FV012282501</v>
      </c>
      <c r="F204" s="94" t="str">
        <f ca="1"/>
        <v>C1500427</v>
      </c>
      <c r="G204" s="94" t="str">
        <f ca="1"/>
        <v>B</v>
      </c>
      <c r="H204" s="94" t="str">
        <f ca="1"/>
        <v>CF003116990</v>
      </c>
      <c r="I204" s="94" t="str">
        <f ca="1"/>
        <v>A</v>
      </c>
      <c r="J204" s="94">
        <f ca="1"/>
        <v>21.2</v>
      </c>
      <c r="K204" s="94"/>
      <c r="L204" s="94">
        <f ca="1"/>
        <v>72.39</v>
      </c>
      <c r="M204" s="94" t="str">
        <f ca="1"/>
        <v>63/65"</v>
      </c>
      <c r="N204" s="94">
        <f ca="1"/>
        <v>64</v>
      </c>
      <c r="O204" s="94" t="str">
        <f ca="1"/>
        <v>White mark [白印]</v>
      </c>
      <c r="P204" s="95" t="str">
        <f ca="1"/>
        <v/>
      </c>
      <c r="Q204" s="95" t="str">
        <f ca="1"/>
        <v/>
      </c>
      <c r="R204" s="96">
        <f ca="1"/>
        <v>46098</v>
      </c>
    </row>
    <row r="205" spans="1:18" s="90" customFormat="1" ht="55" customHeight="1" x14ac:dyDescent="0.35">
      <c r="A205" s="94" t="str">
        <f ca="1"/>
        <v>S25V10883</v>
      </c>
      <c r="B205" s="94" t="str">
        <f ca="1"/>
        <v>PKEK25VE0010883A</v>
      </c>
      <c r="C205" s="94" t="str">
        <f ca="1"/>
        <v>CABERNET</v>
      </c>
      <c r="D205" s="94" t="str">
        <f ca="1"/>
        <v>617</v>
      </c>
      <c r="E205" s="94" t="str">
        <f ca="1"/>
        <v>FV012282501</v>
      </c>
      <c r="F205" s="94" t="str">
        <f ca="1"/>
        <v>C1500427</v>
      </c>
      <c r="G205" s="94" t="str">
        <f ca="1"/>
        <v>B</v>
      </c>
      <c r="H205" s="94" t="str">
        <f ca="1"/>
        <v>CF003116991</v>
      </c>
      <c r="I205" s="94" t="str">
        <f ca="1"/>
        <v>A</v>
      </c>
      <c r="J205" s="94">
        <f ca="1"/>
        <v>23.6</v>
      </c>
      <c r="K205" s="94"/>
      <c r="L205" s="94">
        <f ca="1"/>
        <v>80.58</v>
      </c>
      <c r="M205" s="94" t="str">
        <f ca="1"/>
        <v>63/65"</v>
      </c>
      <c r="N205" s="94">
        <f ca="1"/>
        <v>64</v>
      </c>
      <c r="O205" s="94" t="str">
        <f ca="1"/>
        <v>White mark [白印]</v>
      </c>
      <c r="P205" s="95" t="str">
        <f ca="1"/>
        <v/>
      </c>
      <c r="Q205" s="95" t="str">
        <f ca="1"/>
        <v/>
      </c>
      <c r="R205" s="96">
        <f ca="1"/>
        <v>46098</v>
      </c>
    </row>
    <row r="206" spans="1:18" s="90" customFormat="1" ht="55" customHeight="1" x14ac:dyDescent="0.35">
      <c r="A206" s="94" t="str">
        <f ca="1"/>
        <v>S25V10883</v>
      </c>
      <c r="B206" s="94" t="str">
        <f ca="1"/>
        <v>PKEK25VE0010883A</v>
      </c>
      <c r="C206" s="94" t="str">
        <f ca="1"/>
        <v>CABERNET</v>
      </c>
      <c r="D206" s="94" t="str">
        <f ca="1"/>
        <v>617</v>
      </c>
      <c r="E206" s="94" t="str">
        <f ca="1"/>
        <v>FV012282501</v>
      </c>
      <c r="F206" s="94" t="str">
        <f ca="1"/>
        <v>C1500427</v>
      </c>
      <c r="G206" s="94" t="str">
        <f ca="1"/>
        <v>B</v>
      </c>
      <c r="H206" s="94" t="str">
        <f ca="1"/>
        <v>CF003116992</v>
      </c>
      <c r="I206" s="94" t="str">
        <f ca="1"/>
        <v>A</v>
      </c>
      <c r="J206" s="94">
        <f ca="1"/>
        <v>23.6</v>
      </c>
      <c r="K206" s="94"/>
      <c r="L206" s="94">
        <f ca="1"/>
        <v>80.58</v>
      </c>
      <c r="M206" s="94" t="str">
        <f ca="1"/>
        <v>63/65"</v>
      </c>
      <c r="N206" s="94">
        <f ca="1"/>
        <v>64</v>
      </c>
      <c r="O206" s="94" t="str">
        <f ca="1"/>
        <v>White mark [白印]</v>
      </c>
      <c r="P206" s="95" t="str">
        <f ca="1"/>
        <v/>
      </c>
      <c r="Q206" s="95" t="str">
        <f ca="1"/>
        <v/>
      </c>
      <c r="R206" s="96">
        <f ca="1"/>
        <v>46098</v>
      </c>
    </row>
    <row r="207" spans="1:18" s="90" customFormat="1" ht="55" customHeight="1" x14ac:dyDescent="0.35">
      <c r="A207" s="94" t="str">
        <f ca="1"/>
        <v>S25V10883</v>
      </c>
      <c r="B207" s="94" t="str">
        <f ca="1"/>
        <v>PKEK25VE0010883A</v>
      </c>
      <c r="C207" s="94" t="str">
        <f ca="1"/>
        <v>CABERNET</v>
      </c>
      <c r="D207" s="94" t="str">
        <f ca="1"/>
        <v>617</v>
      </c>
      <c r="E207" s="94" t="str">
        <f ca="1"/>
        <v>FV012282501</v>
      </c>
      <c r="F207" s="94" t="str">
        <f ca="1"/>
        <v>C1500427</v>
      </c>
      <c r="G207" s="94" t="str">
        <f ca="1"/>
        <v>B</v>
      </c>
      <c r="H207" s="94" t="str">
        <f ca="1"/>
        <v>CF003116993</v>
      </c>
      <c r="I207" s="94" t="str">
        <f ca="1"/>
        <v>A</v>
      </c>
      <c r="J207" s="94">
        <f ca="1"/>
        <v>23.7</v>
      </c>
      <c r="K207" s="94"/>
      <c r="L207" s="94">
        <f ca="1"/>
        <v>80.92</v>
      </c>
      <c r="M207" s="94" t="str">
        <f ca="1"/>
        <v>63/65"</v>
      </c>
      <c r="N207" s="94">
        <f ca="1"/>
        <v>64</v>
      </c>
      <c r="O207" s="94" t="str">
        <f ca="1"/>
        <v>White mark [白印]</v>
      </c>
      <c r="P207" s="95" t="str">
        <f ca="1"/>
        <v/>
      </c>
      <c r="Q207" s="95" t="str">
        <f ca="1"/>
        <v/>
      </c>
      <c r="R207" s="96">
        <f ca="1"/>
        <v>46098</v>
      </c>
    </row>
    <row r="208" spans="1:18" s="90" customFormat="1" ht="55" customHeight="1" x14ac:dyDescent="0.35">
      <c r="A208" s="94" t="str">
        <f ca="1"/>
        <v>S25V10883</v>
      </c>
      <c r="B208" s="94" t="str">
        <f ca="1"/>
        <v>PKEK25VE0010883A</v>
      </c>
      <c r="C208" s="94" t="str">
        <f ca="1"/>
        <v>CABERNET</v>
      </c>
      <c r="D208" s="94" t="str">
        <f ca="1"/>
        <v>617</v>
      </c>
      <c r="E208" s="94" t="str">
        <f ca="1"/>
        <v>FV012282501</v>
      </c>
      <c r="F208" s="94" t="str">
        <f ca="1"/>
        <v>C1500427</v>
      </c>
      <c r="G208" s="94" t="str">
        <f ca="1"/>
        <v>B</v>
      </c>
      <c r="H208" s="94" t="str">
        <f ca="1"/>
        <v>CF003116994</v>
      </c>
      <c r="I208" s="94" t="str">
        <f ca="1"/>
        <v>A</v>
      </c>
      <c r="J208" s="94">
        <f ca="1"/>
        <v>30.6</v>
      </c>
      <c r="K208" s="94"/>
      <c r="L208" s="94">
        <f ca="1"/>
        <v>104.48</v>
      </c>
      <c r="M208" s="94" t="str">
        <f ca="1"/>
        <v>63/65"</v>
      </c>
      <c r="N208" s="94">
        <f ca="1"/>
        <v>65</v>
      </c>
      <c r="O208" s="94" t="str">
        <f ca="1"/>
        <v>White mark [白印]</v>
      </c>
      <c r="P208" s="95" t="str">
        <f ca="1"/>
        <v/>
      </c>
      <c r="Q208" s="95" t="str">
        <f ca="1"/>
        <v/>
      </c>
      <c r="R208" s="96">
        <f ca="1"/>
        <v>46098</v>
      </c>
    </row>
    <row r="209" spans="1:18" s="90" customFormat="1" ht="55" customHeight="1" x14ac:dyDescent="0.35">
      <c r="A209" s="94" t="str">
        <f ca="1"/>
        <v>S25V10883</v>
      </c>
      <c r="B209" s="94" t="str">
        <f ca="1"/>
        <v>PKEK25VE0010883A</v>
      </c>
      <c r="C209" s="94" t="str">
        <f ca="1"/>
        <v>CABERNET</v>
      </c>
      <c r="D209" s="94" t="str">
        <f ca="1"/>
        <v>617</v>
      </c>
      <c r="E209" s="94" t="str">
        <f ca="1"/>
        <v>FV012282501</v>
      </c>
      <c r="F209" s="94" t="str">
        <f ca="1"/>
        <v>C1500427</v>
      </c>
      <c r="G209" s="94" t="str">
        <f ca="1"/>
        <v>B</v>
      </c>
      <c r="H209" s="94" t="str">
        <f ca="1"/>
        <v>CF003116995</v>
      </c>
      <c r="I209" s="94" t="str">
        <f ca="1"/>
        <v>A</v>
      </c>
      <c r="J209" s="94">
        <f ca="1"/>
        <v>23.8</v>
      </c>
      <c r="K209" s="94"/>
      <c r="L209" s="94">
        <f ca="1"/>
        <v>81.260000000000005</v>
      </c>
      <c r="M209" s="94" t="str">
        <f ca="1"/>
        <v>63/65"</v>
      </c>
      <c r="N209" s="94">
        <f ca="1"/>
        <v>64</v>
      </c>
      <c r="O209" s="94" t="str">
        <f ca="1"/>
        <v>White mark [白印]</v>
      </c>
      <c r="P209" s="95" t="str">
        <f ca="1"/>
        <v/>
      </c>
      <c r="Q209" s="95" t="str">
        <f ca="1"/>
        <v/>
      </c>
      <c r="R209" s="96">
        <f ca="1"/>
        <v>46098</v>
      </c>
    </row>
    <row r="210" spans="1:18" s="90" customFormat="1" ht="55" customHeight="1" x14ac:dyDescent="0.35">
      <c r="A210" s="94" t="str">
        <f ca="1"/>
        <v>S25V10883</v>
      </c>
      <c r="B210" s="94" t="str">
        <f ca="1"/>
        <v>PKEK25VE0010883A</v>
      </c>
      <c r="C210" s="94" t="str">
        <f ca="1"/>
        <v>CABERNET</v>
      </c>
      <c r="D210" s="94" t="str">
        <f ca="1"/>
        <v>617</v>
      </c>
      <c r="E210" s="94" t="str">
        <f ca="1"/>
        <v>FV012282501</v>
      </c>
      <c r="F210" s="94" t="str">
        <f ca="1"/>
        <v>C1500427</v>
      </c>
      <c r="G210" s="94" t="str">
        <f ca="1"/>
        <v>B</v>
      </c>
      <c r="H210" s="94" t="str">
        <f ca="1"/>
        <v>CF003116996</v>
      </c>
      <c r="I210" s="94" t="str">
        <f ca="1"/>
        <v>A</v>
      </c>
      <c r="J210" s="94">
        <f ca="1"/>
        <v>23.8</v>
      </c>
      <c r="K210" s="94"/>
      <c r="L210" s="94">
        <f ca="1"/>
        <v>81.260000000000005</v>
      </c>
      <c r="M210" s="94" t="str">
        <f ca="1"/>
        <v>63/65"</v>
      </c>
      <c r="N210" s="94">
        <f ca="1"/>
        <v>64</v>
      </c>
      <c r="O210" s="94" t="str">
        <f ca="1"/>
        <v>White mark [白印]</v>
      </c>
      <c r="P210" s="95" t="str">
        <f ca="1"/>
        <v/>
      </c>
      <c r="Q210" s="95" t="str">
        <f ca="1"/>
        <v/>
      </c>
      <c r="R210" s="96">
        <f ca="1"/>
        <v>46098</v>
      </c>
    </row>
    <row r="211" spans="1:18" s="90" customFormat="1" ht="55" customHeight="1" x14ac:dyDescent="0.35">
      <c r="A211" s="94" t="str">
        <f ca="1"/>
        <v>S25V10883</v>
      </c>
      <c r="B211" s="94" t="str">
        <f ca="1"/>
        <v>PKEK25VE0010883A</v>
      </c>
      <c r="C211" s="94" t="str">
        <f ca="1"/>
        <v>CABERNET</v>
      </c>
      <c r="D211" s="94" t="str">
        <f ca="1"/>
        <v>617</v>
      </c>
      <c r="E211" s="94" t="str">
        <f ca="1"/>
        <v>FV012282501</v>
      </c>
      <c r="F211" s="94" t="str">
        <f ca="1"/>
        <v>C1500427</v>
      </c>
      <c r="G211" s="94" t="str">
        <f ca="1"/>
        <v>B</v>
      </c>
      <c r="H211" s="94" t="str">
        <f ca="1"/>
        <v>CF003116997</v>
      </c>
      <c r="I211" s="94" t="str">
        <f ca="1"/>
        <v>A</v>
      </c>
      <c r="J211" s="94">
        <f ca="1"/>
        <v>23.7</v>
      </c>
      <c r="K211" s="94"/>
      <c r="L211" s="94">
        <f ca="1"/>
        <v>80.92</v>
      </c>
      <c r="M211" s="94" t="str">
        <f ca="1"/>
        <v>63/65"</v>
      </c>
      <c r="N211" s="94">
        <f ca="1"/>
        <v>64</v>
      </c>
      <c r="O211" s="94" t="str">
        <f ca="1"/>
        <v>White mark [白印]</v>
      </c>
      <c r="P211" s="95" t="str">
        <f ca="1"/>
        <v/>
      </c>
      <c r="Q211" s="95" t="str">
        <f ca="1"/>
        <v/>
      </c>
      <c r="R211" s="96">
        <f ca="1"/>
        <v>46098</v>
      </c>
    </row>
    <row r="212" spans="1:18" s="90" customFormat="1" ht="55" customHeight="1" x14ac:dyDescent="0.35">
      <c r="A212" s="94" t="str">
        <f ca="1"/>
        <v>S25V10883</v>
      </c>
      <c r="B212" s="94" t="str">
        <f ca="1"/>
        <v>PKEK25VE0010883A</v>
      </c>
      <c r="C212" s="94" t="str">
        <f ca="1"/>
        <v>CABERNET</v>
      </c>
      <c r="D212" s="94" t="str">
        <f ca="1"/>
        <v>617</v>
      </c>
      <c r="E212" s="94" t="str">
        <f ca="1"/>
        <v>FV012282501</v>
      </c>
      <c r="F212" s="94" t="str">
        <f ca="1"/>
        <v>C1500427</v>
      </c>
      <c r="G212" s="94" t="str">
        <f ca="1"/>
        <v>B</v>
      </c>
      <c r="H212" s="94" t="str">
        <f ca="1"/>
        <v>CF003116998</v>
      </c>
      <c r="I212" s="94" t="str">
        <f ca="1"/>
        <v>A</v>
      </c>
      <c r="J212" s="94">
        <f ca="1"/>
        <v>23.2</v>
      </c>
      <c r="K212" s="94"/>
      <c r="L212" s="94">
        <f ca="1"/>
        <v>79.209999999999994</v>
      </c>
      <c r="M212" s="94" t="str">
        <f ca="1"/>
        <v>63/65"</v>
      </c>
      <c r="N212" s="94">
        <f ca="1"/>
        <v>64</v>
      </c>
      <c r="O212" s="94" t="str">
        <f ca="1"/>
        <v>White mark [白印]</v>
      </c>
      <c r="P212" s="95" t="str">
        <f ca="1"/>
        <v/>
      </c>
      <c r="Q212" s="95" t="str">
        <f ca="1"/>
        <v/>
      </c>
      <c r="R212" s="96">
        <f ca="1"/>
        <v>46098</v>
      </c>
    </row>
    <row r="213" spans="1:18" s="90" customFormat="1" ht="55" customHeight="1" x14ac:dyDescent="0.35">
      <c r="A213" s="94" t="str">
        <f ca="1"/>
        <v>S25V10883</v>
      </c>
      <c r="B213" s="94" t="str">
        <f ca="1"/>
        <v>PKEK25VE0010883A</v>
      </c>
      <c r="C213" s="94" t="str">
        <f ca="1"/>
        <v>CABERNET</v>
      </c>
      <c r="D213" s="94" t="str">
        <f ca="1"/>
        <v>617</v>
      </c>
      <c r="E213" s="94" t="str">
        <f ca="1"/>
        <v>FV012282501</v>
      </c>
      <c r="F213" s="94" t="str">
        <f ca="1"/>
        <v>C1500427</v>
      </c>
      <c r="G213" s="94" t="str">
        <f ca="1"/>
        <v>B</v>
      </c>
      <c r="H213" s="94" t="str">
        <f ca="1"/>
        <v>CF003116999</v>
      </c>
      <c r="I213" s="94" t="str">
        <f ca="1"/>
        <v>A</v>
      </c>
      <c r="J213" s="94">
        <f ca="1"/>
        <v>24.2</v>
      </c>
      <c r="K213" s="94"/>
      <c r="L213" s="94">
        <f ca="1"/>
        <v>82.63</v>
      </c>
      <c r="M213" s="94" t="str">
        <f ca="1"/>
        <v>63/65"</v>
      </c>
      <c r="N213" s="94">
        <f ca="1"/>
        <v>64</v>
      </c>
      <c r="O213" s="94" t="str">
        <f ca="1"/>
        <v>White mark [白印]</v>
      </c>
      <c r="P213" s="95" t="str">
        <f ca="1"/>
        <v/>
      </c>
      <c r="Q213" s="95" t="str">
        <f ca="1"/>
        <v/>
      </c>
      <c r="R213" s="96">
        <f ca="1"/>
        <v>46098</v>
      </c>
    </row>
    <row r="214" spans="1:18" s="90" customFormat="1" ht="55" customHeight="1" x14ac:dyDescent="0.35">
      <c r="A214" s="94" t="str">
        <f ca="1"/>
        <v>S25V10883</v>
      </c>
      <c r="B214" s="94" t="str">
        <f ca="1"/>
        <v>PKEK25VE0010883A</v>
      </c>
      <c r="C214" s="94" t="str">
        <f ca="1"/>
        <v>CABERNET</v>
      </c>
      <c r="D214" s="94" t="str">
        <f ca="1"/>
        <v>617</v>
      </c>
      <c r="E214" s="94" t="str">
        <f ca="1"/>
        <v>FV012282501</v>
      </c>
      <c r="F214" s="94" t="str">
        <f ca="1"/>
        <v>C1500427</v>
      </c>
      <c r="G214" s="94" t="str">
        <f ca="1"/>
        <v>B</v>
      </c>
      <c r="H214" s="94" t="str">
        <f ca="1"/>
        <v>CF003117000</v>
      </c>
      <c r="I214" s="94" t="str">
        <f ca="1"/>
        <v>A</v>
      </c>
      <c r="J214" s="94">
        <f ca="1"/>
        <v>23.9</v>
      </c>
      <c r="K214" s="94"/>
      <c r="L214" s="94">
        <f ca="1"/>
        <v>81.599999999999994</v>
      </c>
      <c r="M214" s="94" t="str">
        <f ca="1"/>
        <v>63/65"</v>
      </c>
      <c r="N214" s="94">
        <f ca="1"/>
        <v>64</v>
      </c>
      <c r="O214" s="94" t="str">
        <f ca="1"/>
        <v>White mark [白印]</v>
      </c>
      <c r="P214" s="95" t="str">
        <f ca="1"/>
        <v/>
      </c>
      <c r="Q214" s="95" t="str">
        <f ca="1"/>
        <v/>
      </c>
      <c r="R214" s="96">
        <f ca="1"/>
        <v>46098</v>
      </c>
    </row>
    <row r="215" spans="1:18" s="90" customFormat="1" ht="55" customHeight="1" x14ac:dyDescent="0.35">
      <c r="A215" s="94" t="str">
        <f ca="1"/>
        <v>S25V10883</v>
      </c>
      <c r="B215" s="94" t="str">
        <f ca="1"/>
        <v>PKEK25VE0010883A</v>
      </c>
      <c r="C215" s="94" t="str">
        <f ca="1"/>
        <v>CABERNET</v>
      </c>
      <c r="D215" s="94" t="str">
        <f ca="1"/>
        <v>617</v>
      </c>
      <c r="E215" s="94" t="str">
        <f ca="1"/>
        <v>FV012282501</v>
      </c>
      <c r="F215" s="94" t="str">
        <f ca="1"/>
        <v>C1500427</v>
      </c>
      <c r="G215" s="94" t="str">
        <f ca="1"/>
        <v>B</v>
      </c>
      <c r="H215" s="94" t="str">
        <f ca="1"/>
        <v>CF003117001</v>
      </c>
      <c r="I215" s="94" t="str">
        <f ca="1"/>
        <v>A</v>
      </c>
      <c r="J215" s="94">
        <f ca="1"/>
        <v>14.7</v>
      </c>
      <c r="K215" s="94"/>
      <c r="L215" s="94">
        <f ca="1"/>
        <v>50.19</v>
      </c>
      <c r="M215" s="94" t="str">
        <f ca="1"/>
        <v>63/65"</v>
      </c>
      <c r="N215" s="94">
        <f ca="1"/>
        <v>64</v>
      </c>
      <c r="O215" s="94" t="str">
        <f ca="1"/>
        <v>White mark [白印]</v>
      </c>
      <c r="P215" s="95" t="str">
        <f ca="1"/>
        <v/>
      </c>
      <c r="Q215" s="95" t="str">
        <f ca="1"/>
        <v/>
      </c>
      <c r="R215" s="96">
        <f ca="1"/>
        <v>46098</v>
      </c>
    </row>
    <row r="216" spans="1:18" s="90" customFormat="1" ht="55" customHeight="1" x14ac:dyDescent="0.35">
      <c r="A216" s="94" t="str">
        <f ca="1"/>
        <v>S25V10883</v>
      </c>
      <c r="B216" s="94" t="str">
        <f ca="1"/>
        <v>PKEK25VE0010883A</v>
      </c>
      <c r="C216" s="94" t="str">
        <f ca="1"/>
        <v>CABERNET</v>
      </c>
      <c r="D216" s="94" t="str">
        <f ca="1"/>
        <v>617</v>
      </c>
      <c r="E216" s="94" t="str">
        <f ca="1"/>
        <v>FV012282501</v>
      </c>
      <c r="F216" s="94" t="str">
        <f ca="1"/>
        <v>C1500427</v>
      </c>
      <c r="G216" s="94" t="str">
        <f ca="1"/>
        <v>B</v>
      </c>
      <c r="H216" s="94" t="str">
        <f ca="1"/>
        <v>CF003117002</v>
      </c>
      <c r="I216" s="94" t="str">
        <f ca="1"/>
        <v>A</v>
      </c>
      <c r="J216" s="94">
        <f ca="1"/>
        <v>16.2</v>
      </c>
      <c r="K216" s="94"/>
      <c r="L216" s="94">
        <f ca="1"/>
        <v>55.31</v>
      </c>
      <c r="M216" s="94" t="str">
        <f ca="1"/>
        <v>63/65"</v>
      </c>
      <c r="N216" s="94">
        <f ca="1"/>
        <v>64</v>
      </c>
      <c r="O216" s="94" t="str">
        <f ca="1"/>
        <v>Needle Line [针路]</v>
      </c>
      <c r="P216" s="95" t="str">
        <f ca="1"/>
        <v/>
      </c>
      <c r="Q216" s="95" t="str">
        <f ca="1"/>
        <v/>
      </c>
      <c r="R216" s="96">
        <f ca="1"/>
        <v>46098</v>
      </c>
    </row>
    <row r="217" spans="1:18" s="90" customFormat="1" ht="55" customHeight="1" x14ac:dyDescent="0.35">
      <c r="A217" s="94" t="str">
        <f ca="1"/>
        <v>S25V10883</v>
      </c>
      <c r="B217" s="94" t="str">
        <f ca="1"/>
        <v>PKEK25VE0010883A</v>
      </c>
      <c r="C217" s="94" t="str">
        <f ca="1"/>
        <v>CABERNET</v>
      </c>
      <c r="D217" s="94" t="str">
        <f ca="1"/>
        <v>617</v>
      </c>
      <c r="E217" s="94" t="str">
        <f ca="1"/>
        <v>FV012282501</v>
      </c>
      <c r="F217" s="94" t="str">
        <f ca="1"/>
        <v>C1500427</v>
      </c>
      <c r="G217" s="94" t="str">
        <f ca="1"/>
        <v>B</v>
      </c>
      <c r="H217" s="94" t="str">
        <f ca="1"/>
        <v>CF003117003</v>
      </c>
      <c r="I217" s="94" t="str">
        <f ca="1"/>
        <v>A</v>
      </c>
      <c r="J217" s="94">
        <f ca="1"/>
        <v>24</v>
      </c>
      <c r="K217" s="94"/>
      <c r="L217" s="94">
        <f ca="1"/>
        <v>81.95</v>
      </c>
      <c r="M217" s="94" t="str">
        <f ca="1"/>
        <v>63/65"</v>
      </c>
      <c r="N217" s="94">
        <f ca="1"/>
        <v>64</v>
      </c>
      <c r="O217" s="94" t="str">
        <f ca="1"/>
        <v>Piece-up(FN) [后整接口]</v>
      </c>
      <c r="P217" s="95" t="str">
        <f ca="1"/>
        <v/>
      </c>
      <c r="Q217" s="95" t="str">
        <f ca="1"/>
        <v/>
      </c>
      <c r="R217" s="96">
        <f ca="1"/>
        <v>46098</v>
      </c>
    </row>
    <row r="218" spans="1:18" s="90" customFormat="1" ht="55" customHeight="1" x14ac:dyDescent="0.35">
      <c r="A218" s="94" t="str">
        <f ca="1"/>
        <v>S25V10883</v>
      </c>
      <c r="B218" s="94" t="str">
        <f ca="1"/>
        <v>PKEK25VE0010883A</v>
      </c>
      <c r="C218" s="94" t="str">
        <f ca="1"/>
        <v>CABERNET</v>
      </c>
      <c r="D218" s="94" t="str">
        <f ca="1"/>
        <v>617</v>
      </c>
      <c r="E218" s="94" t="str">
        <f ca="1"/>
        <v>FV012282501</v>
      </c>
      <c r="F218" s="94" t="str">
        <f ca="1"/>
        <v>C1500427</v>
      </c>
      <c r="G218" s="94" t="str">
        <f ca="1"/>
        <v>B</v>
      </c>
      <c r="H218" s="94" t="str">
        <f ca="1"/>
        <v>CF003117004</v>
      </c>
      <c r="I218" s="94" t="str">
        <f ca="1"/>
        <v>A</v>
      </c>
      <c r="J218" s="94">
        <f ca="1"/>
        <v>23.8</v>
      </c>
      <c r="K218" s="94"/>
      <c r="L218" s="94">
        <f ca="1"/>
        <v>81.260000000000005</v>
      </c>
      <c r="M218" s="94" t="str">
        <f ca="1"/>
        <v>63/65"</v>
      </c>
      <c r="N218" s="94">
        <f ca="1"/>
        <v>64</v>
      </c>
      <c r="O218" s="94" t="str">
        <f ca="1"/>
        <v>Friction Mark (PD) [匹染擦痕]</v>
      </c>
      <c r="P218" s="95" t="str">
        <f ca="1"/>
        <v/>
      </c>
      <c r="Q218" s="95" t="str">
        <f ca="1"/>
        <v/>
      </c>
      <c r="R218" s="96">
        <f ca="1"/>
        <v>46098</v>
      </c>
    </row>
    <row r="219" spans="1:18" s="90" customFormat="1" ht="55" customHeight="1" x14ac:dyDescent="0.35">
      <c r="A219" s="94" t="str">
        <f ca="1"/>
        <v>S25V10883</v>
      </c>
      <c r="B219" s="94" t="str">
        <f ca="1"/>
        <v>PKEK25VE0010883A</v>
      </c>
      <c r="C219" s="94" t="str">
        <f ca="1"/>
        <v>CABERNET</v>
      </c>
      <c r="D219" s="94" t="str">
        <f ca="1"/>
        <v>617</v>
      </c>
      <c r="E219" s="94" t="str">
        <f ca="1"/>
        <v>FV012282501</v>
      </c>
      <c r="F219" s="94" t="str">
        <f ca="1"/>
        <v>C1500427</v>
      </c>
      <c r="G219" s="94" t="str">
        <f ca="1"/>
        <v>B</v>
      </c>
      <c r="H219" s="94" t="str">
        <f ca="1"/>
        <v>CF003117005</v>
      </c>
      <c r="I219" s="94" t="str">
        <f ca="1"/>
        <v>B</v>
      </c>
      <c r="J219" s="94">
        <f ca="1"/>
        <v>25.9</v>
      </c>
      <c r="K219" s="94"/>
      <c r="L219" s="94">
        <f ca="1"/>
        <v>88.43</v>
      </c>
      <c r="M219" s="94" t="str">
        <f ca="1"/>
        <v>63/65"</v>
      </c>
      <c r="N219" s="94">
        <f ca="1"/>
        <v>64</v>
      </c>
      <c r="O219" s="94" t="str">
        <f ca="1"/>
        <v>White mark [白印]</v>
      </c>
      <c r="P219" s="95" t="str">
        <f ca="1"/>
        <v/>
      </c>
      <c r="Q219" s="95" t="str">
        <f ca="1"/>
        <v/>
      </c>
      <c r="R219" s="96">
        <f ca="1"/>
        <v>46098</v>
      </c>
    </row>
    <row r="220" spans="1:18" s="90" customFormat="1" ht="55" customHeight="1" x14ac:dyDescent="0.35">
      <c r="A220" s="94" t="str">
        <f ca="1"/>
        <v>S25V10883</v>
      </c>
      <c r="B220" s="94" t="str">
        <f ca="1"/>
        <v>PKEK25VE0010883A</v>
      </c>
      <c r="C220" s="94" t="str">
        <f ca="1"/>
        <v>CABERNET</v>
      </c>
      <c r="D220" s="94" t="str">
        <f ca="1"/>
        <v>617</v>
      </c>
      <c r="E220" s="94" t="str">
        <f ca="1"/>
        <v>FV012282501</v>
      </c>
      <c r="F220" s="94" t="str">
        <f ca="1"/>
        <v>C1500427</v>
      </c>
      <c r="G220" s="94" t="str">
        <f ca="1"/>
        <v>B</v>
      </c>
      <c r="H220" s="94" t="str">
        <f ca="1"/>
        <v>CF003117006</v>
      </c>
      <c r="I220" s="94" t="str">
        <f ca="1"/>
        <v>B</v>
      </c>
      <c r="J220" s="94">
        <f ca="1"/>
        <v>23.9</v>
      </c>
      <c r="K220" s="94"/>
      <c r="L220" s="94">
        <f ca="1"/>
        <v>81.599999999999994</v>
      </c>
      <c r="M220" s="94" t="str">
        <f ca="1"/>
        <v>63/65"</v>
      </c>
      <c r="N220" s="94">
        <f ca="1"/>
        <v>64</v>
      </c>
      <c r="O220" s="94" t="str">
        <f ca="1"/>
        <v>White mark [白印]</v>
      </c>
      <c r="P220" s="95" t="str">
        <f ca="1"/>
        <v/>
      </c>
      <c r="Q220" s="95" t="str">
        <f ca="1"/>
        <v/>
      </c>
      <c r="R220" s="96">
        <f ca="1"/>
        <v>46098</v>
      </c>
    </row>
    <row r="221" spans="1:18" s="90" customFormat="1" ht="55" customHeight="1" x14ac:dyDescent="0.35">
      <c r="A221" s="94" t="str">
        <f ca="1"/>
        <v>S25V10883</v>
      </c>
      <c r="B221" s="94" t="str">
        <f ca="1"/>
        <v>PKEK25VE0010883A</v>
      </c>
      <c r="C221" s="94" t="str">
        <f ca="1"/>
        <v>MOCHA</v>
      </c>
      <c r="D221" s="94" t="str">
        <f ca="1"/>
        <v>292</v>
      </c>
      <c r="E221" s="94" t="str">
        <f ca="1"/>
        <v>FV012283001</v>
      </c>
      <c r="F221" s="94" t="str">
        <f ca="1"/>
        <v>C1500427</v>
      </c>
      <c r="G221" s="94" t="str">
        <f ca="1"/>
        <v>B</v>
      </c>
      <c r="H221" s="94" t="str">
        <f ca="1"/>
        <v>CF003117616</v>
      </c>
      <c r="I221" s="94" t="str">
        <f ca="1"/>
        <v>A</v>
      </c>
      <c r="J221" s="94">
        <f ca="1"/>
        <v>20.3</v>
      </c>
      <c r="K221" s="94"/>
      <c r="L221" s="94">
        <f ca="1"/>
        <v>74.59</v>
      </c>
      <c r="M221" s="94" t="str">
        <f ca="1"/>
        <v>63/65"</v>
      </c>
      <c r="N221" s="94">
        <f ca="1"/>
        <v>62</v>
      </c>
      <c r="O221" s="94" t="str">
        <f ca="1"/>
        <v>Color Mark (PD) [PD沾色]</v>
      </c>
      <c r="P221" s="95" t="str">
        <f ca="1"/>
        <v/>
      </c>
      <c r="Q221" s="95" t="str">
        <f ca="1"/>
        <v/>
      </c>
      <c r="R221" s="96">
        <f ca="1"/>
        <v>46098</v>
      </c>
    </row>
    <row r="222" spans="1:18" s="90" customFormat="1" ht="55" customHeight="1" x14ac:dyDescent="0.35">
      <c r="A222" s="94" t="str">
        <f ca="1"/>
        <v>S25V10883</v>
      </c>
      <c r="B222" s="94" t="str">
        <f ca="1"/>
        <v>PKEK25VE0010883A</v>
      </c>
      <c r="C222" s="94" t="str">
        <f ca="1"/>
        <v>MOCHA</v>
      </c>
      <c r="D222" s="94" t="str">
        <f ca="1"/>
        <v>292</v>
      </c>
      <c r="E222" s="94" t="str">
        <f ca="1"/>
        <v>FV012283001</v>
      </c>
      <c r="F222" s="94" t="str">
        <f ca="1"/>
        <v>C1500427</v>
      </c>
      <c r="G222" s="94" t="str">
        <f ca="1"/>
        <v>B</v>
      </c>
      <c r="H222" s="94" t="str">
        <f ca="1"/>
        <v>CF003117617</v>
      </c>
      <c r="I222" s="94" t="str">
        <f ca="1"/>
        <v>A</v>
      </c>
      <c r="J222" s="94">
        <f ca="1"/>
        <v>22.8</v>
      </c>
      <c r="K222" s="94"/>
      <c r="L222" s="94">
        <f ca="1"/>
        <v>83.78</v>
      </c>
      <c r="M222" s="94" t="str">
        <f ca="1"/>
        <v>63/65"</v>
      </c>
      <c r="N222" s="94">
        <f ca="1"/>
        <v>62</v>
      </c>
      <c r="O222" s="94" t="str">
        <f ca="1"/>
        <v>Color Mark (PD) [PD沾色]</v>
      </c>
      <c r="P222" s="95" t="str">
        <f ca="1"/>
        <v/>
      </c>
      <c r="Q222" s="95" t="str">
        <f ca="1"/>
        <v/>
      </c>
      <c r="R222" s="96">
        <f ca="1"/>
        <v>46098</v>
      </c>
    </row>
    <row r="223" spans="1:18" s="90" customFormat="1" ht="55" customHeight="1" x14ac:dyDescent="0.35">
      <c r="A223" s="94" t="str">
        <f ca="1"/>
        <v>S25V10883</v>
      </c>
      <c r="B223" s="94" t="str">
        <f ca="1"/>
        <v>PKEK25VE0010883A</v>
      </c>
      <c r="C223" s="94" t="str">
        <f ca="1"/>
        <v>MOCHA</v>
      </c>
      <c r="D223" s="94" t="str">
        <f ca="1"/>
        <v>292</v>
      </c>
      <c r="E223" s="94" t="str">
        <f ca="1"/>
        <v>FV012283001</v>
      </c>
      <c r="F223" s="94" t="str">
        <f ca="1"/>
        <v>C1500427</v>
      </c>
      <c r="G223" s="94" t="str">
        <f ca="1"/>
        <v>B</v>
      </c>
      <c r="H223" s="94" t="str">
        <f ca="1"/>
        <v>CF003117618</v>
      </c>
      <c r="I223" s="94" t="str">
        <f ca="1"/>
        <v>B</v>
      </c>
      <c r="J223" s="94">
        <f ca="1"/>
        <v>23</v>
      </c>
      <c r="K223" s="94"/>
      <c r="L223" s="94">
        <f ca="1"/>
        <v>84.51</v>
      </c>
      <c r="M223" s="94" t="str">
        <f ca="1"/>
        <v>63/65"</v>
      </c>
      <c r="N223" s="94">
        <f ca="1"/>
        <v>62</v>
      </c>
      <c r="O223" s="94" t="str">
        <f ca="1"/>
        <v>Color Mark (PD) [PD沾色]</v>
      </c>
      <c r="P223" s="95" t="str">
        <f ca="1"/>
        <v/>
      </c>
      <c r="Q223" s="95" t="str">
        <f ca="1"/>
        <v/>
      </c>
      <c r="R223" s="96">
        <f ca="1"/>
        <v>46098</v>
      </c>
    </row>
    <row r="224" spans="1:18" s="90" customFormat="1" ht="55" customHeight="1" x14ac:dyDescent="0.35">
      <c r="A224" s="94" t="str">
        <f ca="1"/>
        <v>S25V10883</v>
      </c>
      <c r="B224" s="94" t="str">
        <f ca="1"/>
        <v>PKEK25VE0010883A</v>
      </c>
      <c r="C224" s="94" t="str">
        <f ca="1"/>
        <v>MOCHA</v>
      </c>
      <c r="D224" s="94" t="str">
        <f ca="1"/>
        <v>292</v>
      </c>
      <c r="E224" s="94" t="str">
        <f ca="1"/>
        <v>FV012283001</v>
      </c>
      <c r="F224" s="94" t="str">
        <f ca="1"/>
        <v>C1500427</v>
      </c>
      <c r="G224" s="94" t="str">
        <f ca="1"/>
        <v>B</v>
      </c>
      <c r="H224" s="94" t="str">
        <f ca="1"/>
        <v>CF003117619</v>
      </c>
      <c r="I224" s="94" t="str">
        <f ca="1"/>
        <v>A</v>
      </c>
      <c r="J224" s="94">
        <f ca="1"/>
        <v>22.6</v>
      </c>
      <c r="K224" s="94"/>
      <c r="L224" s="94">
        <f ca="1"/>
        <v>83.04</v>
      </c>
      <c r="M224" s="94" t="str">
        <f ca="1"/>
        <v>63/65"</v>
      </c>
      <c r="N224" s="94">
        <f ca="1"/>
        <v>62</v>
      </c>
      <c r="O224" s="94" t="str">
        <f ca="1"/>
        <v>Color Mark (PD) [PD沾色]</v>
      </c>
      <c r="P224" s="95" t="str">
        <f ca="1"/>
        <v/>
      </c>
      <c r="Q224" s="95" t="str">
        <f ca="1"/>
        <v/>
      </c>
      <c r="R224" s="96">
        <f ca="1"/>
        <v>46098</v>
      </c>
    </row>
    <row r="225" spans="1:18" s="90" customFormat="1" ht="55" customHeight="1" x14ac:dyDescent="0.35">
      <c r="A225" s="94" t="str">
        <f ca="1"/>
        <v>S25V10883</v>
      </c>
      <c r="B225" s="94" t="str">
        <f ca="1"/>
        <v>PKEK25VE0010883A</v>
      </c>
      <c r="C225" s="94" t="str">
        <f ca="1"/>
        <v>MOCHA</v>
      </c>
      <c r="D225" s="94" t="str">
        <f ca="1"/>
        <v>292</v>
      </c>
      <c r="E225" s="94" t="str">
        <f ca="1"/>
        <v>FV012283001</v>
      </c>
      <c r="F225" s="94" t="str">
        <f ca="1"/>
        <v>C1500427</v>
      </c>
      <c r="G225" s="94" t="str">
        <f ca="1"/>
        <v>B</v>
      </c>
      <c r="H225" s="94" t="str">
        <f ca="1"/>
        <v>CF003117620</v>
      </c>
      <c r="I225" s="94" t="str">
        <f ca="1"/>
        <v>A</v>
      </c>
      <c r="J225" s="94">
        <f ca="1"/>
        <v>14.7</v>
      </c>
      <c r="K225" s="94"/>
      <c r="L225" s="94">
        <f ca="1"/>
        <v>54.01</v>
      </c>
      <c r="M225" s="94" t="str">
        <f ca="1"/>
        <v>63/65"</v>
      </c>
      <c r="N225" s="94">
        <f ca="1"/>
        <v>62</v>
      </c>
      <c r="O225" s="94" t="str">
        <f ca="1"/>
        <v>White mark [白印]</v>
      </c>
      <c r="P225" s="95" t="str">
        <f ca="1"/>
        <v/>
      </c>
      <c r="Q225" s="95" t="str">
        <f ca="1"/>
        <v/>
      </c>
      <c r="R225" s="96">
        <f ca="1"/>
        <v>46098</v>
      </c>
    </row>
    <row r="226" spans="1:18" s="90" customFormat="1" ht="55" customHeight="1" x14ac:dyDescent="0.35">
      <c r="A226" s="94" t="str">
        <f ca="1"/>
        <v>S25V10883</v>
      </c>
      <c r="B226" s="94" t="str">
        <f ca="1"/>
        <v>PKEK25VE0010883A</v>
      </c>
      <c r="C226" s="94" t="str">
        <f ca="1"/>
        <v>MOCHA</v>
      </c>
      <c r="D226" s="94" t="str">
        <f ca="1"/>
        <v>292</v>
      </c>
      <c r="E226" s="94" t="str">
        <f ca="1"/>
        <v>FV012283001</v>
      </c>
      <c r="F226" s="94" t="str">
        <f ca="1"/>
        <v>C1500427</v>
      </c>
      <c r="G226" s="94" t="str">
        <f ca="1"/>
        <v>B</v>
      </c>
      <c r="H226" s="94" t="str">
        <f ca="1"/>
        <v>CF003117621</v>
      </c>
      <c r="I226" s="94" t="str">
        <f ca="1"/>
        <v>A</v>
      </c>
      <c r="J226" s="94">
        <f ca="1"/>
        <v>14.3</v>
      </c>
      <c r="K226" s="94"/>
      <c r="L226" s="94">
        <f ca="1"/>
        <v>52.54</v>
      </c>
      <c r="M226" s="94" t="str">
        <f ca="1"/>
        <v>63/65"</v>
      </c>
      <c r="N226" s="94">
        <f ca="1"/>
        <v>62</v>
      </c>
      <c r="O226" s="94" t="str">
        <f ca="1"/>
        <v/>
      </c>
      <c r="P226" s="95" t="str">
        <f ca="1"/>
        <v/>
      </c>
      <c r="Q226" s="95" t="str">
        <f ca="1"/>
        <v/>
      </c>
      <c r="R226" s="96">
        <f ca="1"/>
        <v>46098</v>
      </c>
    </row>
    <row r="227" spans="1:18" s="90" customFormat="1" ht="55" customHeight="1" x14ac:dyDescent="0.35">
      <c r="A227" s="94" t="str">
        <f ca="1"/>
        <v>S25V10883</v>
      </c>
      <c r="B227" s="94" t="str">
        <f ca="1"/>
        <v>PKEK25VE0010883A</v>
      </c>
      <c r="C227" s="94" t="str">
        <f ca="1"/>
        <v>MOCHA</v>
      </c>
      <c r="D227" s="94" t="str">
        <f ca="1"/>
        <v>292</v>
      </c>
      <c r="E227" s="94" t="str">
        <f ca="1"/>
        <v>FV012283001</v>
      </c>
      <c r="F227" s="94" t="str">
        <f ca="1"/>
        <v>C1500427</v>
      </c>
      <c r="G227" s="94" t="str">
        <f ca="1"/>
        <v>B</v>
      </c>
      <c r="H227" s="94" t="str">
        <f ca="1"/>
        <v>CF003117622</v>
      </c>
      <c r="I227" s="94" t="str">
        <f ca="1"/>
        <v>A</v>
      </c>
      <c r="J227" s="94">
        <f ca="1"/>
        <v>23</v>
      </c>
      <c r="K227" s="94"/>
      <c r="L227" s="94">
        <f ca="1"/>
        <v>84.51</v>
      </c>
      <c r="M227" s="94" t="str">
        <f ca="1"/>
        <v>63/65"</v>
      </c>
      <c r="N227" s="94">
        <f ca="1"/>
        <v>62</v>
      </c>
      <c r="O227" s="94" t="str">
        <f ca="1"/>
        <v/>
      </c>
      <c r="P227" s="95" t="str">
        <f ca="1"/>
        <v/>
      </c>
      <c r="Q227" s="95" t="str">
        <f ca="1"/>
        <v/>
      </c>
      <c r="R227" s="96">
        <f ca="1"/>
        <v>46098</v>
      </c>
    </row>
    <row r="228" spans="1:18" s="90" customFormat="1" ht="55" customHeight="1" x14ac:dyDescent="0.35">
      <c r="A228" s="94" t="str">
        <f ca="1"/>
        <v>S25V10883</v>
      </c>
      <c r="B228" s="94" t="str">
        <f ca="1"/>
        <v>PKEK25VE0010883A</v>
      </c>
      <c r="C228" s="94" t="str">
        <f ca="1"/>
        <v>MOCHA</v>
      </c>
      <c r="D228" s="94" t="str">
        <f ca="1"/>
        <v>292</v>
      </c>
      <c r="E228" s="94" t="str">
        <f ca="1"/>
        <v>FV012283001</v>
      </c>
      <c r="F228" s="94" t="str">
        <f ca="1"/>
        <v>C1500427</v>
      </c>
      <c r="G228" s="94" t="str">
        <f ca="1"/>
        <v>B</v>
      </c>
      <c r="H228" s="94" t="str">
        <f ca="1"/>
        <v>CF003117623</v>
      </c>
      <c r="I228" s="94" t="str">
        <f ca="1"/>
        <v>A</v>
      </c>
      <c r="J228" s="94">
        <f ca="1"/>
        <v>22.9</v>
      </c>
      <c r="K228" s="94"/>
      <c r="L228" s="94">
        <f ca="1"/>
        <v>84.14</v>
      </c>
      <c r="M228" s="94" t="str">
        <f ca="1"/>
        <v>63/65"</v>
      </c>
      <c r="N228" s="94">
        <f ca="1"/>
        <v>62</v>
      </c>
      <c r="O228" s="94" t="str">
        <f ca="1"/>
        <v/>
      </c>
      <c r="P228" s="95" t="str">
        <f ca="1"/>
        <v/>
      </c>
      <c r="Q228" s="95" t="str">
        <f ca="1"/>
        <v/>
      </c>
      <c r="R228" s="96">
        <f ca="1"/>
        <v>46098</v>
      </c>
    </row>
    <row r="229" spans="1:18" s="90" customFormat="1" ht="55" customHeight="1" x14ac:dyDescent="0.35">
      <c r="A229" s="94" t="str">
        <f ca="1"/>
        <v>S25V10883</v>
      </c>
      <c r="B229" s="94" t="str">
        <f ca="1"/>
        <v>PKEK25VE0010883A</v>
      </c>
      <c r="C229" s="94" t="str">
        <f ca="1"/>
        <v>MOCHA</v>
      </c>
      <c r="D229" s="94" t="str">
        <f ca="1"/>
        <v>292</v>
      </c>
      <c r="E229" s="94" t="str">
        <f ca="1"/>
        <v>FV012283001</v>
      </c>
      <c r="F229" s="94" t="str">
        <f ca="1"/>
        <v>C1500427</v>
      </c>
      <c r="G229" s="94" t="str">
        <f ca="1"/>
        <v>B</v>
      </c>
      <c r="H229" s="94" t="str">
        <f ca="1"/>
        <v>CF003117624</v>
      </c>
      <c r="I229" s="94" t="str">
        <f ca="1"/>
        <v>A</v>
      </c>
      <c r="J229" s="94">
        <f ca="1"/>
        <v>22.8</v>
      </c>
      <c r="K229" s="94"/>
      <c r="L229" s="94">
        <f ca="1"/>
        <v>83.78</v>
      </c>
      <c r="M229" s="94" t="str">
        <f ca="1"/>
        <v>63/65"</v>
      </c>
      <c r="N229" s="94">
        <f ca="1"/>
        <v>62</v>
      </c>
      <c r="O229" s="94" t="str">
        <f ca="1"/>
        <v/>
      </c>
      <c r="P229" s="95" t="str">
        <f ca="1"/>
        <v/>
      </c>
      <c r="Q229" s="95" t="str">
        <f ca="1"/>
        <v/>
      </c>
      <c r="R229" s="96">
        <f ca="1"/>
        <v>46098</v>
      </c>
    </row>
    <row r="230" spans="1:18" s="90" customFormat="1" ht="55" customHeight="1" x14ac:dyDescent="0.35">
      <c r="A230" s="94" t="str">
        <f ca="1"/>
        <v>S25V10883</v>
      </c>
      <c r="B230" s="94" t="str">
        <f ca="1"/>
        <v>PKEK25VE0010883A</v>
      </c>
      <c r="C230" s="94" t="str">
        <f ca="1"/>
        <v>MOCHA</v>
      </c>
      <c r="D230" s="94" t="str">
        <f ca="1"/>
        <v>292</v>
      </c>
      <c r="E230" s="94" t="str">
        <f ca="1"/>
        <v>FV012283001</v>
      </c>
      <c r="F230" s="94" t="str">
        <f ca="1"/>
        <v>C1500427</v>
      </c>
      <c r="G230" s="94" t="str">
        <f ca="1"/>
        <v>B</v>
      </c>
      <c r="H230" s="94" t="str">
        <f ca="1"/>
        <v>CF003117625</v>
      </c>
      <c r="I230" s="94" t="str">
        <f ca="1"/>
        <v>A</v>
      </c>
      <c r="J230" s="94">
        <f ca="1"/>
        <v>22.6</v>
      </c>
      <c r="K230" s="94"/>
      <c r="L230" s="94">
        <f ca="1"/>
        <v>83.04</v>
      </c>
      <c r="M230" s="94" t="str">
        <f ca="1"/>
        <v>63/65"</v>
      </c>
      <c r="N230" s="94">
        <f ca="1"/>
        <v>62</v>
      </c>
      <c r="O230" s="94" t="str">
        <f ca="1"/>
        <v>White mark [白印]</v>
      </c>
      <c r="P230" s="95" t="str">
        <f ca="1"/>
        <v/>
      </c>
      <c r="Q230" s="95" t="str">
        <f ca="1"/>
        <v/>
      </c>
      <c r="R230" s="96">
        <f ca="1"/>
        <v>46098</v>
      </c>
    </row>
    <row r="231" spans="1:18" s="90" customFormat="1" ht="55" customHeight="1" x14ac:dyDescent="0.35">
      <c r="A231" s="94" t="str">
        <f ca="1"/>
        <v>S25V10883</v>
      </c>
      <c r="B231" s="94" t="str">
        <f ca="1"/>
        <v>PKEK25VE0010883A</v>
      </c>
      <c r="C231" s="94" t="str">
        <f ca="1"/>
        <v>MOCHA</v>
      </c>
      <c r="D231" s="94" t="str">
        <f ca="1"/>
        <v>292</v>
      </c>
      <c r="E231" s="94" t="str">
        <f ca="1"/>
        <v>FV012283001</v>
      </c>
      <c r="F231" s="94" t="str">
        <f ca="1"/>
        <v>C1500427</v>
      </c>
      <c r="G231" s="94" t="str">
        <f ca="1"/>
        <v>B</v>
      </c>
      <c r="H231" s="94" t="str">
        <f ca="1"/>
        <v>CF003117631</v>
      </c>
      <c r="I231" s="94" t="str">
        <f ca="1"/>
        <v>A</v>
      </c>
      <c r="J231" s="94">
        <f ca="1"/>
        <v>22.6</v>
      </c>
      <c r="K231" s="94"/>
      <c r="L231" s="94">
        <f ca="1"/>
        <v>83.04</v>
      </c>
      <c r="M231" s="94" t="str">
        <f ca="1"/>
        <v>63/65"</v>
      </c>
      <c r="N231" s="94">
        <f ca="1"/>
        <v>62</v>
      </c>
      <c r="O231" s="94" t="str">
        <f ca="1"/>
        <v>White mark [白印]</v>
      </c>
      <c r="P231" s="95" t="str">
        <f ca="1"/>
        <v/>
      </c>
      <c r="Q231" s="95" t="str">
        <f ca="1"/>
        <v/>
      </c>
      <c r="R231" s="96">
        <f ca="1"/>
        <v>46098</v>
      </c>
    </row>
    <row r="232" spans="1:18" s="90" customFormat="1" ht="55" customHeight="1" x14ac:dyDescent="0.35">
      <c r="A232" s="94" t="str">
        <f ca="1"/>
        <v>S25V10883</v>
      </c>
      <c r="B232" s="94" t="str">
        <f ca="1"/>
        <v>PKEK25VE0010883A</v>
      </c>
      <c r="C232" s="94" t="str">
        <f ca="1"/>
        <v>MOCHA</v>
      </c>
      <c r="D232" s="94" t="str">
        <f ca="1"/>
        <v>292</v>
      </c>
      <c r="E232" s="94" t="str">
        <f ca="1"/>
        <v>FV012283001</v>
      </c>
      <c r="F232" s="94" t="str">
        <f ca="1"/>
        <v>C1500427</v>
      </c>
      <c r="G232" s="94" t="str">
        <f ca="1"/>
        <v>B</v>
      </c>
      <c r="H232" s="94" t="str">
        <f ca="1"/>
        <v>CF003117632</v>
      </c>
      <c r="I232" s="94" t="str">
        <f ca="1"/>
        <v>A</v>
      </c>
      <c r="J232" s="94">
        <f ca="1"/>
        <v>22.7</v>
      </c>
      <c r="K232" s="94"/>
      <c r="L232" s="94">
        <f ca="1"/>
        <v>83.41</v>
      </c>
      <c r="M232" s="94" t="str">
        <f ca="1"/>
        <v>63/65"</v>
      </c>
      <c r="N232" s="94">
        <f ca="1"/>
        <v>62</v>
      </c>
      <c r="O232" s="94" t="str">
        <f ca="1"/>
        <v/>
      </c>
      <c r="P232" s="95" t="str">
        <f ca="1"/>
        <v/>
      </c>
      <c r="Q232" s="95" t="str">
        <f ca="1"/>
        <v/>
      </c>
      <c r="R232" s="96">
        <f ca="1"/>
        <v>46098</v>
      </c>
    </row>
    <row r="233" spans="1:18" s="90" customFormat="1" ht="55" customHeight="1" x14ac:dyDescent="0.35">
      <c r="A233" s="94" t="str">
        <f ca="1"/>
        <v>S25V10883</v>
      </c>
      <c r="B233" s="94" t="str">
        <f ca="1"/>
        <v>PKEK25VE0010883A</v>
      </c>
      <c r="C233" s="94" t="str">
        <f ca="1"/>
        <v>MOCHA</v>
      </c>
      <c r="D233" s="94" t="str">
        <f ca="1"/>
        <v>292</v>
      </c>
      <c r="E233" s="94" t="str">
        <f ca="1"/>
        <v>FV012283001</v>
      </c>
      <c r="F233" s="94" t="str">
        <f ca="1"/>
        <v>C1500427</v>
      </c>
      <c r="G233" s="94" t="str">
        <f ca="1"/>
        <v>B</v>
      </c>
      <c r="H233" s="94" t="str">
        <f ca="1"/>
        <v>CF003117633</v>
      </c>
      <c r="I233" s="94" t="str">
        <f ca="1"/>
        <v>A</v>
      </c>
      <c r="J233" s="94">
        <f ca="1"/>
        <v>22.8</v>
      </c>
      <c r="K233" s="94"/>
      <c r="L233" s="94">
        <f ca="1"/>
        <v>83.78</v>
      </c>
      <c r="M233" s="94" t="str">
        <f ca="1"/>
        <v>63/65"</v>
      </c>
      <c r="N233" s="94">
        <f ca="1"/>
        <v>62</v>
      </c>
      <c r="O233" s="94" t="str">
        <f ca="1"/>
        <v/>
      </c>
      <c r="P233" s="95" t="str">
        <f ca="1"/>
        <v/>
      </c>
      <c r="Q233" s="95" t="str">
        <f ca="1"/>
        <v/>
      </c>
      <c r="R233" s="96">
        <f ca="1"/>
        <v>46098</v>
      </c>
    </row>
    <row r="234" spans="1:18" s="90" customFormat="1" ht="55" customHeight="1" x14ac:dyDescent="0.35">
      <c r="A234" s="94" t="str">
        <f ca="1"/>
        <v>S25V10883</v>
      </c>
      <c r="B234" s="94" t="str">
        <f ca="1"/>
        <v>PKEK25VE0010883A</v>
      </c>
      <c r="C234" s="94" t="str">
        <f ca="1"/>
        <v>MOCHA</v>
      </c>
      <c r="D234" s="94" t="str">
        <f ca="1"/>
        <v>292</v>
      </c>
      <c r="E234" s="94" t="str">
        <f ca="1"/>
        <v>FV012283001</v>
      </c>
      <c r="F234" s="94" t="str">
        <f ca="1"/>
        <v>C1500427</v>
      </c>
      <c r="G234" s="94" t="str">
        <f ca="1"/>
        <v>B</v>
      </c>
      <c r="H234" s="94" t="str">
        <f ca="1"/>
        <v>CF003117634</v>
      </c>
      <c r="I234" s="94" t="str">
        <f ca="1"/>
        <v>A</v>
      </c>
      <c r="J234" s="94">
        <f ca="1"/>
        <v>33.5</v>
      </c>
      <c r="K234" s="94"/>
      <c r="L234" s="94">
        <f ca="1"/>
        <v>123.09</v>
      </c>
      <c r="M234" s="94" t="str">
        <f ca="1"/>
        <v>63/65"</v>
      </c>
      <c r="N234" s="94">
        <f ca="1"/>
        <v>62</v>
      </c>
      <c r="O234" s="94" t="str">
        <f ca="1"/>
        <v>Color Mark (PD) [PD沾色]</v>
      </c>
      <c r="P234" s="95" t="str">
        <f ca="1"/>
        <v/>
      </c>
      <c r="Q234" s="95" t="str">
        <f ca="1"/>
        <v/>
      </c>
      <c r="R234" s="96">
        <f ca="1"/>
        <v>46098</v>
      </c>
    </row>
    <row r="235" spans="1:18" s="90" customFormat="1" ht="55" customHeight="1" x14ac:dyDescent="0.35">
      <c r="A235" s="94" t="str">
        <f ca="1"/>
        <v>S25V10883</v>
      </c>
      <c r="B235" s="94" t="str">
        <f ca="1"/>
        <v>PKEK25VE0010883A</v>
      </c>
      <c r="C235" s="94" t="str">
        <f ca="1"/>
        <v>MOCHA</v>
      </c>
      <c r="D235" s="94" t="str">
        <f ca="1"/>
        <v>292</v>
      </c>
      <c r="E235" s="94" t="str">
        <f ca="1"/>
        <v>FV012283001</v>
      </c>
      <c r="F235" s="94" t="str">
        <f ca="1"/>
        <v>C1500427</v>
      </c>
      <c r="G235" s="94" t="str">
        <f ca="1"/>
        <v>B</v>
      </c>
      <c r="H235" s="94" t="str">
        <f ca="1"/>
        <v>CF003117635</v>
      </c>
      <c r="I235" s="94" t="str">
        <f ca="1"/>
        <v>A</v>
      </c>
      <c r="J235" s="94">
        <f ca="1"/>
        <v>22.7</v>
      </c>
      <c r="K235" s="94"/>
      <c r="L235" s="94">
        <f ca="1"/>
        <v>83.41</v>
      </c>
      <c r="M235" s="94" t="str">
        <f ca="1"/>
        <v>63/65"</v>
      </c>
      <c r="N235" s="94">
        <f ca="1"/>
        <v>62</v>
      </c>
      <c r="O235" s="94" t="str">
        <f ca="1"/>
        <v>Color Mark (PD) [PD沾色]</v>
      </c>
      <c r="P235" s="95" t="str">
        <f ca="1"/>
        <v/>
      </c>
      <c r="Q235" s="95" t="str">
        <f ca="1"/>
        <v/>
      </c>
      <c r="R235" s="96">
        <f ca="1"/>
        <v>46098</v>
      </c>
    </row>
    <row r="236" spans="1:18" s="90" customFormat="1" ht="55" customHeight="1" x14ac:dyDescent="0.35">
      <c r="A236" s="94" t="str">
        <f ca="1"/>
        <v>S25V10883</v>
      </c>
      <c r="B236" s="94" t="str">
        <f ca="1"/>
        <v>PKEK25VE0010883A</v>
      </c>
      <c r="C236" s="94" t="str">
        <f ca="1"/>
        <v>MOCHA</v>
      </c>
      <c r="D236" s="94" t="str">
        <f ca="1"/>
        <v>292</v>
      </c>
      <c r="E236" s="94" t="str">
        <f ca="1"/>
        <v>FV012283001</v>
      </c>
      <c r="F236" s="94" t="str">
        <f ca="1"/>
        <v>C1500427</v>
      </c>
      <c r="G236" s="94" t="str">
        <f ca="1"/>
        <v>B</v>
      </c>
      <c r="H236" s="94" t="str">
        <f ca="1"/>
        <v>CF003117636</v>
      </c>
      <c r="I236" s="94" t="str">
        <f ca="1"/>
        <v>A</v>
      </c>
      <c r="J236" s="94">
        <f ca="1"/>
        <v>22.6</v>
      </c>
      <c r="K236" s="94"/>
      <c r="L236" s="94">
        <f ca="1"/>
        <v>83.04</v>
      </c>
      <c r="M236" s="94" t="str">
        <f ca="1"/>
        <v>63/65"</v>
      </c>
      <c r="N236" s="94">
        <f ca="1"/>
        <v>62</v>
      </c>
      <c r="O236" s="94" t="str">
        <f ca="1"/>
        <v>Color Mark (PD) [PD沾色]</v>
      </c>
      <c r="P236" s="95" t="str">
        <f ca="1"/>
        <v/>
      </c>
      <c r="Q236" s="95" t="str">
        <f ca="1"/>
        <v/>
      </c>
      <c r="R236" s="96">
        <f ca="1"/>
        <v>46098</v>
      </c>
    </row>
    <row r="237" spans="1:18" s="90" customFormat="1" ht="55" customHeight="1" x14ac:dyDescent="0.35">
      <c r="A237" s="94" t="str">
        <f ca="1"/>
        <v>S25V10883</v>
      </c>
      <c r="B237" s="94" t="str">
        <f ca="1"/>
        <v>PKEK25VE0010883A</v>
      </c>
      <c r="C237" s="94" t="str">
        <f ca="1"/>
        <v>MOCHA</v>
      </c>
      <c r="D237" s="94" t="str">
        <f ca="1"/>
        <v>292</v>
      </c>
      <c r="E237" s="94" t="str">
        <f ca="1"/>
        <v>FV012283001</v>
      </c>
      <c r="F237" s="94" t="str">
        <f ca="1"/>
        <v>C1500427</v>
      </c>
      <c r="G237" s="94" t="str">
        <f ca="1"/>
        <v>B</v>
      </c>
      <c r="H237" s="94" t="str">
        <f ca="1"/>
        <v>CF003117637</v>
      </c>
      <c r="I237" s="94" t="str">
        <f ca="1"/>
        <v>A</v>
      </c>
      <c r="J237" s="94">
        <f ca="1"/>
        <v>22.9</v>
      </c>
      <c r="K237" s="94"/>
      <c r="L237" s="94">
        <f ca="1"/>
        <v>84.14</v>
      </c>
      <c r="M237" s="94" t="str">
        <f ca="1"/>
        <v>63/65"</v>
      </c>
      <c r="N237" s="94">
        <f ca="1"/>
        <v>62</v>
      </c>
      <c r="O237" s="94" t="str">
        <f ca="1"/>
        <v>Hole (KN) [针织破洞]</v>
      </c>
      <c r="P237" s="95" t="str">
        <f ca="1"/>
        <v/>
      </c>
      <c r="Q237" s="95" t="str">
        <f ca="1"/>
        <v/>
      </c>
      <c r="R237" s="96">
        <f ca="1"/>
        <v>46098</v>
      </c>
    </row>
    <row r="238" spans="1:18" s="90" customFormat="1" ht="55" customHeight="1" x14ac:dyDescent="0.35">
      <c r="A238" s="94" t="str">
        <f ca="1"/>
        <v>S25V10883</v>
      </c>
      <c r="B238" s="94" t="str">
        <f ca="1"/>
        <v>PKEK25VE0010883A</v>
      </c>
      <c r="C238" s="94" t="str">
        <f ca="1"/>
        <v>MOCHA</v>
      </c>
      <c r="D238" s="94" t="str">
        <f ca="1"/>
        <v>292</v>
      </c>
      <c r="E238" s="94" t="str">
        <f ca="1"/>
        <v>FV012283001</v>
      </c>
      <c r="F238" s="94" t="str">
        <f ca="1"/>
        <v>C1500427</v>
      </c>
      <c r="G238" s="94" t="str">
        <f ca="1"/>
        <v>B</v>
      </c>
      <c r="H238" s="94" t="str">
        <f ca="1"/>
        <v>CF003117638</v>
      </c>
      <c r="I238" s="94" t="str">
        <f ca="1"/>
        <v>A</v>
      </c>
      <c r="J238" s="94">
        <f ca="1"/>
        <v>12.1</v>
      </c>
      <c r="K238" s="94"/>
      <c r="L238" s="94">
        <f ca="1"/>
        <v>44.46</v>
      </c>
      <c r="M238" s="94" t="str">
        <f ca="1"/>
        <v>63/65"</v>
      </c>
      <c r="N238" s="94">
        <f ca="1"/>
        <v>62</v>
      </c>
      <c r="O238" s="94" t="str">
        <f ca="1"/>
        <v>Color Mark (PD) [PD沾色]</v>
      </c>
      <c r="P238" s="95" t="str">
        <f ca="1"/>
        <v/>
      </c>
      <c r="Q238" s="95" t="str">
        <f ca="1"/>
        <v/>
      </c>
      <c r="R238" s="96">
        <f ca="1"/>
        <v>46098</v>
      </c>
    </row>
    <row r="239" spans="1:18" s="90" customFormat="1" ht="55" customHeight="1" x14ac:dyDescent="0.35">
      <c r="A239" s="94" t="str">
        <f ca="1"/>
        <v>S25V10883</v>
      </c>
      <c r="B239" s="94" t="str">
        <f ca="1"/>
        <v>PKEK25VE0010883A</v>
      </c>
      <c r="C239" s="94" t="str">
        <f ca="1"/>
        <v>MOCHA</v>
      </c>
      <c r="D239" s="94" t="str">
        <f ca="1"/>
        <v>292</v>
      </c>
      <c r="E239" s="94" t="str">
        <f ca="1"/>
        <v>FV012283001</v>
      </c>
      <c r="F239" s="94" t="str">
        <f ca="1"/>
        <v>C1500427</v>
      </c>
      <c r="G239" s="94" t="str">
        <f ca="1"/>
        <v>B</v>
      </c>
      <c r="H239" s="94" t="str">
        <f ca="1"/>
        <v>CF003117639</v>
      </c>
      <c r="I239" s="94" t="str">
        <f ca="1"/>
        <v>A</v>
      </c>
      <c r="J239" s="94">
        <f ca="1"/>
        <v>22.8</v>
      </c>
      <c r="K239" s="94"/>
      <c r="L239" s="94">
        <f ca="1"/>
        <v>83.78</v>
      </c>
      <c r="M239" s="94" t="str">
        <f ca="1"/>
        <v>63/65"</v>
      </c>
      <c r="N239" s="94">
        <f ca="1"/>
        <v>62</v>
      </c>
      <c r="O239" s="94" t="str">
        <f ca="1"/>
        <v>Color Mark (PD) [PD沾色]</v>
      </c>
      <c r="P239" s="95" t="str">
        <f ca="1"/>
        <v/>
      </c>
      <c r="Q239" s="95" t="str">
        <f ca="1"/>
        <v/>
      </c>
      <c r="R239" s="96">
        <f ca="1"/>
        <v>46098</v>
      </c>
    </row>
    <row r="240" spans="1:18" s="90" customFormat="1" ht="55" customHeight="1" x14ac:dyDescent="0.35">
      <c r="A240" s="94" t="str">
        <f ca="1"/>
        <v>S25V10883</v>
      </c>
      <c r="B240" s="94" t="str">
        <f ca="1"/>
        <v>PKEK25VE0010883A</v>
      </c>
      <c r="C240" s="94" t="str">
        <f ca="1"/>
        <v>MOCHA</v>
      </c>
      <c r="D240" s="94" t="str">
        <f ca="1"/>
        <v>292</v>
      </c>
      <c r="E240" s="94" t="str">
        <f ca="1"/>
        <v>FV012283001</v>
      </c>
      <c r="F240" s="94" t="str">
        <f ca="1"/>
        <v>C1500427</v>
      </c>
      <c r="G240" s="94" t="str">
        <f ca="1"/>
        <v>B</v>
      </c>
      <c r="H240" s="94" t="str">
        <f ca="1"/>
        <v>CF003117640</v>
      </c>
      <c r="I240" s="94" t="str">
        <f ca="1"/>
        <v>A</v>
      </c>
      <c r="J240" s="94">
        <f ca="1"/>
        <v>22.8</v>
      </c>
      <c r="K240" s="94"/>
      <c r="L240" s="94">
        <f ca="1"/>
        <v>83.78</v>
      </c>
      <c r="M240" s="94" t="str">
        <f ca="1"/>
        <v>63/65"</v>
      </c>
      <c r="N240" s="94">
        <f ca="1"/>
        <v>62</v>
      </c>
      <c r="O240" s="94" t="str">
        <f ca="1"/>
        <v>White mark [白印]</v>
      </c>
      <c r="P240" s="95" t="str">
        <f ca="1"/>
        <v/>
      </c>
      <c r="Q240" s="95" t="str">
        <f ca="1"/>
        <v/>
      </c>
      <c r="R240" s="96">
        <f ca="1"/>
        <v>46098</v>
      </c>
    </row>
    <row r="241" spans="1:18" s="90" customFormat="1" ht="55" customHeight="1" x14ac:dyDescent="0.35">
      <c r="A241" s="94" t="str">
        <f ca="1"/>
        <v>S25V10883</v>
      </c>
      <c r="B241" s="94" t="str">
        <f ca="1"/>
        <v>PKEK25VE0010883A</v>
      </c>
      <c r="C241" s="94" t="str">
        <f ca="1"/>
        <v>MOCHA</v>
      </c>
      <c r="D241" s="94" t="str">
        <f ca="1"/>
        <v>292</v>
      </c>
      <c r="E241" s="94" t="str">
        <f ca="1"/>
        <v>FV012283001</v>
      </c>
      <c r="F241" s="94" t="str">
        <f ca="1"/>
        <v>C1500427</v>
      </c>
      <c r="G241" s="94" t="str">
        <f ca="1"/>
        <v>B</v>
      </c>
      <c r="H241" s="94" t="str">
        <f ca="1"/>
        <v>CF003117641</v>
      </c>
      <c r="I241" s="94" t="str">
        <f ca="1"/>
        <v>A</v>
      </c>
      <c r="J241" s="94">
        <f ca="1"/>
        <v>22.2</v>
      </c>
      <c r="K241" s="94"/>
      <c r="L241" s="94">
        <f ca="1"/>
        <v>81.569999999999993</v>
      </c>
      <c r="M241" s="94" t="str">
        <f ca="1"/>
        <v>63/65"</v>
      </c>
      <c r="N241" s="94">
        <f ca="1"/>
        <v>62</v>
      </c>
      <c r="O241" s="94" t="str">
        <f ca="1"/>
        <v>White mark [白印]</v>
      </c>
      <c r="P241" s="95" t="str">
        <f ca="1"/>
        <v/>
      </c>
      <c r="Q241" s="95" t="str">
        <f ca="1"/>
        <v/>
      </c>
      <c r="R241" s="96">
        <f ca="1"/>
        <v>46098</v>
      </c>
    </row>
    <row r="242" spans="1:18" s="90" customFormat="1" ht="55" customHeight="1" x14ac:dyDescent="0.35">
      <c r="A242" s="94" t="str">
        <f ca="1"/>
        <v>S25V10883</v>
      </c>
      <c r="B242" s="94" t="str">
        <f ca="1"/>
        <v>PKEK25VE0010883A</v>
      </c>
      <c r="C242" s="94" t="str">
        <f ca="1"/>
        <v>MOCHA</v>
      </c>
      <c r="D242" s="94" t="str">
        <f ca="1"/>
        <v>292</v>
      </c>
      <c r="E242" s="94" t="str">
        <f ca="1"/>
        <v>FV012283001</v>
      </c>
      <c r="F242" s="94" t="str">
        <f ca="1"/>
        <v>C1500427</v>
      </c>
      <c r="G242" s="94" t="str">
        <f ca="1"/>
        <v>B</v>
      </c>
      <c r="H242" s="94" t="str">
        <f ca="1"/>
        <v>CF003117642</v>
      </c>
      <c r="I242" s="94" t="str">
        <f ca="1"/>
        <v>A</v>
      </c>
      <c r="J242" s="94">
        <f ca="1"/>
        <v>22.8</v>
      </c>
      <c r="K242" s="94"/>
      <c r="L242" s="94">
        <f ca="1"/>
        <v>83.78</v>
      </c>
      <c r="M242" s="94" t="str">
        <f ca="1"/>
        <v>63/65"</v>
      </c>
      <c r="N242" s="94">
        <f ca="1"/>
        <v>62</v>
      </c>
      <c r="O242" s="94" t="str">
        <f ca="1"/>
        <v>White mark [白印]</v>
      </c>
      <c r="P242" s="95" t="str">
        <f ca="1"/>
        <v/>
      </c>
      <c r="Q242" s="95" t="str">
        <f ca="1"/>
        <v/>
      </c>
      <c r="R242" s="96">
        <f ca="1"/>
        <v>46098</v>
      </c>
    </row>
    <row r="243" spans="1:18" s="90" customFormat="1" ht="55" customHeight="1" x14ac:dyDescent="0.35">
      <c r="A243" s="94" t="str">
        <f ca="1"/>
        <v>S25V10883</v>
      </c>
      <c r="B243" s="94" t="str">
        <f ca="1"/>
        <v>PKEK25VE0010883A</v>
      </c>
      <c r="C243" s="94" t="str">
        <f ca="1"/>
        <v>MOCHA</v>
      </c>
      <c r="D243" s="94" t="str">
        <f ca="1"/>
        <v>292</v>
      </c>
      <c r="E243" s="94" t="str">
        <f ca="1"/>
        <v>FV012283001</v>
      </c>
      <c r="F243" s="94" t="str">
        <f ca="1"/>
        <v>C1500427</v>
      </c>
      <c r="G243" s="94" t="str">
        <f ca="1"/>
        <v>B</v>
      </c>
      <c r="H243" s="94" t="str">
        <f ca="1"/>
        <v>CF003117643</v>
      </c>
      <c r="I243" s="94" t="str">
        <f ca="1"/>
        <v>B</v>
      </c>
      <c r="J243" s="94">
        <f ca="1"/>
        <v>22.7</v>
      </c>
      <c r="K243" s="94"/>
      <c r="L243" s="94">
        <f ca="1"/>
        <v>83.41</v>
      </c>
      <c r="M243" s="94" t="str">
        <f ca="1"/>
        <v>63/65"</v>
      </c>
      <c r="N243" s="94">
        <f ca="1"/>
        <v>62</v>
      </c>
      <c r="O243" s="94" t="str">
        <f ca="1"/>
        <v>Color Mark (PD) [PD沾色]</v>
      </c>
      <c r="P243" s="95" t="str">
        <f ca="1"/>
        <v/>
      </c>
      <c r="Q243" s="95" t="str">
        <f ca="1"/>
        <v/>
      </c>
      <c r="R243" s="96">
        <f ca="1"/>
        <v>46098</v>
      </c>
    </row>
    <row r="244" spans="1:18" s="90" customFormat="1" ht="55" customHeight="1" x14ac:dyDescent="0.35">
      <c r="A244" s="94" t="str">
        <f ca="1"/>
        <v>S25V10883</v>
      </c>
      <c r="B244" s="94" t="str">
        <f ca="1"/>
        <v>PKEK25VE0010883A</v>
      </c>
      <c r="C244" s="94" t="str">
        <f ca="1"/>
        <v>MOCHA</v>
      </c>
      <c r="D244" s="94" t="str">
        <f ca="1"/>
        <v>292</v>
      </c>
      <c r="E244" s="94" t="str">
        <f ca="1"/>
        <v>FV012283001</v>
      </c>
      <c r="F244" s="94" t="str">
        <f ca="1"/>
        <v>C1500427</v>
      </c>
      <c r="G244" s="94" t="str">
        <f ca="1"/>
        <v>B</v>
      </c>
      <c r="H244" s="94" t="str">
        <f ca="1"/>
        <v>CF003117644</v>
      </c>
      <c r="I244" s="94" t="str">
        <f ca="1"/>
        <v>A</v>
      </c>
      <c r="J244" s="94">
        <f ca="1"/>
        <v>22.8</v>
      </c>
      <c r="K244" s="94"/>
      <c r="L244" s="94">
        <f ca="1"/>
        <v>83.78</v>
      </c>
      <c r="M244" s="94" t="str">
        <f ca="1"/>
        <v>63/65"</v>
      </c>
      <c r="N244" s="94">
        <f ca="1"/>
        <v>62</v>
      </c>
      <c r="O244" s="94" t="str">
        <f ca="1"/>
        <v>Hole (KN) [针织破洞]</v>
      </c>
      <c r="P244" s="95" t="str">
        <f ca="1"/>
        <v/>
      </c>
      <c r="Q244" s="95" t="str">
        <f ca="1"/>
        <v/>
      </c>
      <c r="R244" s="96">
        <f ca="1"/>
        <v>46098</v>
      </c>
    </row>
    <row r="245" spans="1:18" s="90" customFormat="1" ht="55" customHeight="1" x14ac:dyDescent="0.35">
      <c r="A245" s="94" t="str">
        <f ca="1"/>
        <v>S25V10883</v>
      </c>
      <c r="B245" s="94" t="str">
        <f ca="1"/>
        <v>PKEK25VE0010883A</v>
      </c>
      <c r="C245" s="94" t="str">
        <f ca="1"/>
        <v>MOCHA</v>
      </c>
      <c r="D245" s="94" t="str">
        <f ca="1"/>
        <v>292</v>
      </c>
      <c r="E245" s="94" t="str">
        <f ca="1"/>
        <v>FV012283001</v>
      </c>
      <c r="F245" s="94" t="str">
        <f ca="1"/>
        <v>C1500427</v>
      </c>
      <c r="G245" s="94" t="str">
        <f ca="1"/>
        <v>B</v>
      </c>
      <c r="H245" s="94" t="str">
        <f ca="1"/>
        <v>CF003117645</v>
      </c>
      <c r="I245" s="94" t="str">
        <f ca="1"/>
        <v>A</v>
      </c>
      <c r="J245" s="94">
        <f ca="1"/>
        <v>22.5</v>
      </c>
      <c r="K245" s="94"/>
      <c r="L245" s="94">
        <f ca="1"/>
        <v>82.67</v>
      </c>
      <c r="M245" s="94" t="str">
        <f ca="1"/>
        <v>63/65"</v>
      </c>
      <c r="N245" s="94">
        <f ca="1"/>
        <v>62</v>
      </c>
      <c r="O245" s="94" t="str">
        <f ca="1"/>
        <v>White mark [白印]</v>
      </c>
      <c r="P245" s="95" t="str">
        <f ca="1"/>
        <v/>
      </c>
      <c r="Q245" s="95" t="str">
        <f ca="1"/>
        <v/>
      </c>
      <c r="R245" s="96">
        <f ca="1"/>
        <v>46098</v>
      </c>
    </row>
    <row r="246" spans="1:18" s="90" customFormat="1" ht="55" customHeight="1" x14ac:dyDescent="0.35">
      <c r="A246" s="94" t="str">
        <f ca="1"/>
        <v>S25V10883</v>
      </c>
      <c r="B246" s="94" t="str">
        <f ca="1"/>
        <v>PKEK25VE0010883A</v>
      </c>
      <c r="C246" s="94" t="str">
        <f ca="1"/>
        <v>MOCHA</v>
      </c>
      <c r="D246" s="94" t="str">
        <f ca="1"/>
        <v>292</v>
      </c>
      <c r="E246" s="94" t="str">
        <f ca="1"/>
        <v>FV012283001</v>
      </c>
      <c r="F246" s="94" t="str">
        <f ca="1"/>
        <v>C1500427</v>
      </c>
      <c r="G246" s="94" t="str">
        <f ca="1"/>
        <v>B</v>
      </c>
      <c r="H246" s="94" t="str">
        <f ca="1"/>
        <v>CF003117646</v>
      </c>
      <c r="I246" s="94" t="str">
        <f ca="1"/>
        <v>A</v>
      </c>
      <c r="J246" s="94">
        <f ca="1"/>
        <v>20</v>
      </c>
      <c r="K246" s="94"/>
      <c r="L246" s="94">
        <f ca="1"/>
        <v>73.489999999999995</v>
      </c>
      <c r="M246" s="94" t="str">
        <f ca="1"/>
        <v>63/65"</v>
      </c>
      <c r="N246" s="94">
        <f ca="1"/>
        <v>62</v>
      </c>
      <c r="O246" s="94" t="str">
        <f ca="1"/>
        <v/>
      </c>
      <c r="P246" s="95" t="str">
        <f ca="1"/>
        <v/>
      </c>
      <c r="Q246" s="95" t="str">
        <f ca="1"/>
        <v/>
      </c>
      <c r="R246" s="96">
        <f ca="1"/>
        <v>46098</v>
      </c>
    </row>
    <row r="247" spans="1:18" s="90" customFormat="1" ht="55" customHeight="1" x14ac:dyDescent="0.35">
      <c r="A247" s="94" t="str">
        <f ca="1"/>
        <v>S25V10883</v>
      </c>
      <c r="B247" s="94" t="str">
        <f ca="1"/>
        <v>PKEK25VE0010883A</v>
      </c>
      <c r="C247" s="94" t="str">
        <f ca="1"/>
        <v>MOCHA</v>
      </c>
      <c r="D247" s="94" t="str">
        <f ca="1"/>
        <v>292</v>
      </c>
      <c r="E247" s="94" t="str">
        <f ca="1"/>
        <v>FV012283001</v>
      </c>
      <c r="F247" s="94" t="str">
        <f ca="1"/>
        <v>C1500427</v>
      </c>
      <c r="G247" s="94" t="str">
        <f ca="1"/>
        <v>B</v>
      </c>
      <c r="H247" s="94" t="str">
        <f ca="1"/>
        <v>CF003117647</v>
      </c>
      <c r="I247" s="94" t="str">
        <f ca="1"/>
        <v>A</v>
      </c>
      <c r="J247" s="94">
        <f ca="1"/>
        <v>22.6</v>
      </c>
      <c r="K247" s="94"/>
      <c r="L247" s="94">
        <f ca="1"/>
        <v>83.04</v>
      </c>
      <c r="M247" s="94" t="str">
        <f ca="1"/>
        <v>63/65"</v>
      </c>
      <c r="N247" s="94">
        <f ca="1"/>
        <v>62</v>
      </c>
      <c r="O247" s="94" t="str">
        <f ca="1"/>
        <v>White mark [白印]</v>
      </c>
      <c r="P247" s="95" t="str">
        <f ca="1"/>
        <v/>
      </c>
      <c r="Q247" s="95" t="str">
        <f ca="1"/>
        <v/>
      </c>
      <c r="R247" s="96">
        <f ca="1"/>
        <v>46098</v>
      </c>
    </row>
    <row r="248" spans="1:18" s="90" customFormat="1" ht="55" customHeight="1" x14ac:dyDescent="0.35">
      <c r="A248" s="94" t="str">
        <f ca="1"/>
        <v>S25V10883</v>
      </c>
      <c r="B248" s="94" t="str">
        <f ca="1"/>
        <v>PKEK25VE0010883A</v>
      </c>
      <c r="C248" s="94" t="str">
        <f ca="1"/>
        <v>MOCHA</v>
      </c>
      <c r="D248" s="94" t="str">
        <f ca="1"/>
        <v>292</v>
      </c>
      <c r="E248" s="94" t="str">
        <f ca="1"/>
        <v>FV012283001</v>
      </c>
      <c r="F248" s="94" t="str">
        <f ca="1"/>
        <v>C1500427</v>
      </c>
      <c r="G248" s="94" t="str">
        <f ca="1"/>
        <v>B</v>
      </c>
      <c r="H248" s="94" t="str">
        <f ca="1"/>
        <v>CF003117648</v>
      </c>
      <c r="I248" s="94" t="str">
        <f ca="1"/>
        <v>A</v>
      </c>
      <c r="J248" s="94">
        <f ca="1"/>
        <v>22.8</v>
      </c>
      <c r="K248" s="94"/>
      <c r="L248" s="94">
        <f ca="1"/>
        <v>83.78</v>
      </c>
      <c r="M248" s="94" t="str">
        <f ca="1"/>
        <v>63/65"</v>
      </c>
      <c r="N248" s="94">
        <f ca="1"/>
        <v>62</v>
      </c>
      <c r="O248" s="94" t="str">
        <f ca="1"/>
        <v>Color Mark (PD) [PD沾色]</v>
      </c>
      <c r="P248" s="95" t="str">
        <f ca="1"/>
        <v/>
      </c>
      <c r="Q248" s="95" t="str">
        <f ca="1"/>
        <v/>
      </c>
      <c r="R248" s="96">
        <f ca="1"/>
        <v>46098</v>
      </c>
    </row>
    <row r="249" spans="1:18" s="90" customFormat="1" ht="55" customHeight="1" x14ac:dyDescent="0.35">
      <c r="A249" s="94" t="str">
        <f ca="1"/>
        <v>S25V10883</v>
      </c>
      <c r="B249" s="94" t="str">
        <f ca="1"/>
        <v>PKEK25VE0010883A</v>
      </c>
      <c r="C249" s="94" t="str">
        <f ca="1"/>
        <v>MOCHA</v>
      </c>
      <c r="D249" s="94" t="str">
        <f ca="1"/>
        <v>292</v>
      </c>
      <c r="E249" s="94" t="str">
        <f ca="1"/>
        <v>FV012283001</v>
      </c>
      <c r="F249" s="94" t="str">
        <f ca="1"/>
        <v>C1500427</v>
      </c>
      <c r="G249" s="94" t="str">
        <f ca="1"/>
        <v>B</v>
      </c>
      <c r="H249" s="94" t="str">
        <f ca="1"/>
        <v>CF003117649</v>
      </c>
      <c r="I249" s="94" t="str">
        <f ca="1"/>
        <v>A</v>
      </c>
      <c r="J249" s="94">
        <f ca="1"/>
        <v>22.7</v>
      </c>
      <c r="K249" s="94"/>
      <c r="L249" s="94">
        <f ca="1"/>
        <v>83.41</v>
      </c>
      <c r="M249" s="94" t="str">
        <f ca="1"/>
        <v>63/65"</v>
      </c>
      <c r="N249" s="94">
        <f ca="1"/>
        <v>62</v>
      </c>
      <c r="O249" s="94" t="str">
        <f ca="1"/>
        <v/>
      </c>
      <c r="P249" s="95" t="str">
        <f ca="1"/>
        <v/>
      </c>
      <c r="Q249" s="95" t="str">
        <f ca="1"/>
        <v/>
      </c>
      <c r="R249" s="96">
        <f ca="1"/>
        <v>46098</v>
      </c>
    </row>
    <row r="250" spans="1:18" s="90" customFormat="1" ht="55" customHeight="1" x14ac:dyDescent="0.35">
      <c r="A250" s="94" t="str">
        <f ca="1"/>
        <v>S25V10883</v>
      </c>
      <c r="B250" s="94" t="str">
        <f ca="1"/>
        <v>PKEK25VE0010883A</v>
      </c>
      <c r="C250" s="94" t="str">
        <f ca="1"/>
        <v>MOCHA</v>
      </c>
      <c r="D250" s="94" t="str">
        <f ca="1"/>
        <v>292</v>
      </c>
      <c r="E250" s="94" t="str">
        <f ca="1"/>
        <v>FV012283001</v>
      </c>
      <c r="F250" s="94" t="str">
        <f ca="1"/>
        <v>C1500427</v>
      </c>
      <c r="G250" s="94" t="str">
        <f ca="1"/>
        <v>B</v>
      </c>
      <c r="H250" s="94" t="str">
        <f ca="1"/>
        <v>CF003117650</v>
      </c>
      <c r="I250" s="94" t="str">
        <f ca="1"/>
        <v>A</v>
      </c>
      <c r="J250" s="94">
        <f ca="1"/>
        <v>22.8</v>
      </c>
      <c r="K250" s="94"/>
      <c r="L250" s="94">
        <f ca="1"/>
        <v>83.78</v>
      </c>
      <c r="M250" s="94" t="str">
        <f ca="1"/>
        <v>63/65"</v>
      </c>
      <c r="N250" s="94">
        <f ca="1"/>
        <v>62</v>
      </c>
      <c r="O250" s="94" t="str">
        <f ca="1"/>
        <v>Hole (KN) [针织破洞]</v>
      </c>
      <c r="P250" s="95" t="str">
        <f ca="1"/>
        <v/>
      </c>
      <c r="Q250" s="95" t="str">
        <f ca="1"/>
        <v/>
      </c>
      <c r="R250" s="96">
        <f ca="1"/>
        <v>46098</v>
      </c>
    </row>
    <row r="251" spans="1:18" s="90" customFormat="1" ht="55" customHeight="1" x14ac:dyDescent="0.35">
      <c r="A251" s="94" t="str">
        <f ca="1"/>
        <v>S25V10883</v>
      </c>
      <c r="B251" s="94" t="str">
        <f ca="1"/>
        <v>PKEK25VE0010883A</v>
      </c>
      <c r="C251" s="94" t="str">
        <f ca="1"/>
        <v>MOCHA</v>
      </c>
      <c r="D251" s="94" t="str">
        <f ca="1"/>
        <v>292</v>
      </c>
      <c r="E251" s="94" t="str">
        <f ca="1"/>
        <v>FV012283001</v>
      </c>
      <c r="F251" s="94" t="str">
        <f ca="1"/>
        <v>C1500427</v>
      </c>
      <c r="G251" s="94" t="str">
        <f ca="1"/>
        <v>B</v>
      </c>
      <c r="H251" s="94" t="str">
        <f ca="1"/>
        <v>CF003117674</v>
      </c>
      <c r="I251" s="94" t="str">
        <f ca="1"/>
        <v>A*</v>
      </c>
      <c r="J251" s="94">
        <f ca="1"/>
        <v>22.7</v>
      </c>
      <c r="K251" s="94"/>
      <c r="L251" s="94">
        <f ca="1"/>
        <v>83.41</v>
      </c>
      <c r="M251" s="94" t="str">
        <f ca="1"/>
        <v>63/65"</v>
      </c>
      <c r="N251" s="94">
        <f ca="1"/>
        <v>62</v>
      </c>
      <c r="O251" s="94" t="str">
        <f ca="1"/>
        <v>Dirt [针织污渍]</v>
      </c>
      <c r="P251" s="95" t="str">
        <f ca="1"/>
        <v/>
      </c>
      <c r="Q251" s="95" t="str">
        <f ca="1"/>
        <v/>
      </c>
      <c r="R251" s="96">
        <f ca="1"/>
        <v>46098</v>
      </c>
    </row>
    <row r="252" spans="1:18" s="90" customFormat="1" ht="55" customHeight="1" x14ac:dyDescent="0.35">
      <c r="A252" s="94" t="str">
        <f ca="1"/>
        <v>S25V10883</v>
      </c>
      <c r="B252" s="94" t="str">
        <f ca="1"/>
        <v>PKEK25VE0010883A</v>
      </c>
      <c r="C252" s="94" t="str">
        <f ca="1"/>
        <v>MOCHA</v>
      </c>
      <c r="D252" s="94" t="str">
        <f ca="1"/>
        <v>292</v>
      </c>
      <c r="E252" s="94" t="str">
        <f ca="1"/>
        <v>FV012283001</v>
      </c>
      <c r="F252" s="94" t="str">
        <f ca="1"/>
        <v>C1500427</v>
      </c>
      <c r="G252" s="94" t="str">
        <f ca="1"/>
        <v>B</v>
      </c>
      <c r="H252" s="94" t="str">
        <f ca="1"/>
        <v>CF003117675</v>
      </c>
      <c r="I252" s="94" t="str">
        <f ca="1"/>
        <v>A*</v>
      </c>
      <c r="J252" s="94">
        <f ca="1"/>
        <v>22.7</v>
      </c>
      <c r="K252" s="94"/>
      <c r="L252" s="94">
        <f ca="1"/>
        <v>83.41</v>
      </c>
      <c r="M252" s="94" t="str">
        <f ca="1"/>
        <v>63/65"</v>
      </c>
      <c r="N252" s="94">
        <f ca="1"/>
        <v>62</v>
      </c>
      <c r="O252" s="94" t="str">
        <f ca="1"/>
        <v>White mark [白印]</v>
      </c>
      <c r="P252" s="95" t="str">
        <f ca="1"/>
        <v/>
      </c>
      <c r="Q252" s="95" t="str">
        <f ca="1"/>
        <v/>
      </c>
      <c r="R252" s="96">
        <f ca="1"/>
        <v>46098</v>
      </c>
    </row>
    <row r="253" spans="1:18" s="90" customFormat="1" ht="55" customHeight="1" x14ac:dyDescent="0.35">
      <c r="A253" s="94" t="str">
        <f ca="1"/>
        <v>S25V10883</v>
      </c>
      <c r="B253" s="94" t="str">
        <f ca="1"/>
        <v>PKEK25VE0010883A</v>
      </c>
      <c r="C253" s="94" t="str">
        <f ca="1"/>
        <v>MOCHA</v>
      </c>
      <c r="D253" s="94" t="str">
        <f ca="1"/>
        <v>292</v>
      </c>
      <c r="E253" s="94" t="str">
        <f ca="1"/>
        <v>FV012283001</v>
      </c>
      <c r="F253" s="94" t="str">
        <f ca="1"/>
        <v>C1500427</v>
      </c>
      <c r="G253" s="94" t="str">
        <f ca="1"/>
        <v>B</v>
      </c>
      <c r="H253" s="94" t="str">
        <f ca="1"/>
        <v>CF003117676</v>
      </c>
      <c r="I253" s="94" t="str">
        <f ca="1"/>
        <v>A*</v>
      </c>
      <c r="J253" s="94">
        <f ca="1"/>
        <v>22.9</v>
      </c>
      <c r="K253" s="94"/>
      <c r="L253" s="94">
        <f ca="1"/>
        <v>84.14</v>
      </c>
      <c r="M253" s="94" t="str">
        <f ca="1"/>
        <v>63/65"</v>
      </c>
      <c r="N253" s="94">
        <f ca="1"/>
        <v>62</v>
      </c>
      <c r="O253" s="94" t="str">
        <f ca="1"/>
        <v>White mark [白印]</v>
      </c>
      <c r="P253" s="95" t="str">
        <f ca="1"/>
        <v/>
      </c>
      <c r="Q253" s="95" t="str">
        <f ca="1"/>
        <v/>
      </c>
      <c r="R253" s="96">
        <f ca="1"/>
        <v>46098</v>
      </c>
    </row>
    <row r="254" spans="1:18" s="90" customFormat="1" ht="55" customHeight="1" x14ac:dyDescent="0.35">
      <c r="A254" s="94" t="str">
        <f ca="1"/>
        <v>S25V10883</v>
      </c>
      <c r="B254" s="94" t="str">
        <f ca="1"/>
        <v>PKEK25VE0010883A</v>
      </c>
      <c r="C254" s="94" t="str">
        <f ca="1"/>
        <v>MOCHA</v>
      </c>
      <c r="D254" s="94" t="str">
        <f ca="1"/>
        <v>292</v>
      </c>
      <c r="E254" s="94" t="str">
        <f ca="1"/>
        <v>FV012283001</v>
      </c>
      <c r="F254" s="94" t="str">
        <f ca="1"/>
        <v>C1500427</v>
      </c>
      <c r="G254" s="94" t="str">
        <f ca="1"/>
        <v>B</v>
      </c>
      <c r="H254" s="94" t="str">
        <f ca="1"/>
        <v>CF003117677</v>
      </c>
      <c r="I254" s="94" t="str">
        <f ca="1"/>
        <v>A</v>
      </c>
      <c r="J254" s="94">
        <f ca="1"/>
        <v>16.8</v>
      </c>
      <c r="K254" s="94"/>
      <c r="L254" s="94">
        <f ca="1"/>
        <v>61.73</v>
      </c>
      <c r="M254" s="94" t="str">
        <f ca="1"/>
        <v>63/65"</v>
      </c>
      <c r="N254" s="94">
        <f ca="1"/>
        <v>62</v>
      </c>
      <c r="O254" s="94" t="str">
        <f ca="1"/>
        <v>Needle Line [针路]</v>
      </c>
      <c r="P254" s="95" t="str">
        <f ca="1"/>
        <v/>
      </c>
      <c r="Q254" s="95" t="str">
        <f ca="1"/>
        <v/>
      </c>
      <c r="R254" s="96">
        <f ca="1"/>
        <v>46098</v>
      </c>
    </row>
    <row r="255" spans="1:18" s="90" customFormat="1" ht="55" customHeight="1" x14ac:dyDescent="0.35">
      <c r="A255" s="94" t="str">
        <f ca="1"/>
        <v>S25V10883</v>
      </c>
      <c r="B255" s="94" t="str">
        <f ca="1"/>
        <v>PKEK25VE0010883A</v>
      </c>
      <c r="C255" s="94" t="str">
        <f ca="1"/>
        <v>MOCHA</v>
      </c>
      <c r="D255" s="94" t="str">
        <f ca="1"/>
        <v>292</v>
      </c>
      <c r="E255" s="94" t="str">
        <f ca="1"/>
        <v>FV012283001</v>
      </c>
      <c r="F255" s="94" t="str">
        <f ca="1"/>
        <v>C1500427</v>
      </c>
      <c r="G255" s="94" t="str">
        <f ca="1"/>
        <v>B</v>
      </c>
      <c r="H255" s="94" t="str">
        <f ca="1"/>
        <v>CF003117678</v>
      </c>
      <c r="I255" s="94" t="str">
        <f ca="1"/>
        <v>A*</v>
      </c>
      <c r="J255" s="94">
        <f ca="1"/>
        <v>22.9</v>
      </c>
      <c r="K255" s="94"/>
      <c r="L255" s="94">
        <f ca="1"/>
        <v>84.14</v>
      </c>
      <c r="M255" s="94" t="str">
        <f ca="1"/>
        <v>63/65"</v>
      </c>
      <c r="N255" s="94">
        <f ca="1"/>
        <v>62</v>
      </c>
      <c r="O255" s="94" t="str">
        <f ca="1"/>
        <v>Color Mark (PD) [PD沾色]</v>
      </c>
      <c r="P255" s="95" t="str">
        <f ca="1"/>
        <v/>
      </c>
      <c r="Q255" s="95" t="str">
        <f ca="1"/>
        <v/>
      </c>
      <c r="R255" s="96">
        <f ca="1"/>
        <v>46098</v>
      </c>
    </row>
    <row r="256" spans="1:18" s="90" customFormat="1" ht="55" customHeight="1" x14ac:dyDescent="0.35">
      <c r="A256" s="94" t="str">
        <f ca="1"/>
        <v>S25V10883</v>
      </c>
      <c r="B256" s="94" t="str">
        <f ca="1"/>
        <v>PKEK25VE0010883A</v>
      </c>
      <c r="C256" s="94" t="str">
        <f ca="1"/>
        <v>MOCHA</v>
      </c>
      <c r="D256" s="94" t="str">
        <f ca="1"/>
        <v>292</v>
      </c>
      <c r="E256" s="94" t="str">
        <f ca="1"/>
        <v>FV012283001</v>
      </c>
      <c r="F256" s="94" t="str">
        <f ca="1"/>
        <v>C1500427</v>
      </c>
      <c r="G256" s="94" t="str">
        <f ca="1"/>
        <v>B</v>
      </c>
      <c r="H256" s="94" t="str">
        <f ca="1"/>
        <v>CF003117679</v>
      </c>
      <c r="I256" s="94" t="str">
        <f ca="1"/>
        <v>A*</v>
      </c>
      <c r="J256" s="94">
        <f ca="1"/>
        <v>22.7</v>
      </c>
      <c r="K256" s="94"/>
      <c r="L256" s="94">
        <f ca="1"/>
        <v>83.41</v>
      </c>
      <c r="M256" s="94" t="str">
        <f ca="1"/>
        <v>63/65"</v>
      </c>
      <c r="N256" s="94">
        <f ca="1"/>
        <v>62</v>
      </c>
      <c r="O256" s="94" t="str">
        <f ca="1"/>
        <v>Color Mark (PD) [PD沾色]</v>
      </c>
      <c r="P256" s="95" t="str">
        <f ca="1"/>
        <v/>
      </c>
      <c r="Q256" s="95" t="str">
        <f ca="1"/>
        <v/>
      </c>
      <c r="R256" s="96">
        <f ca="1"/>
        <v>46098</v>
      </c>
    </row>
    <row r="257" spans="1:18" s="90" customFormat="1" ht="55" customHeight="1" x14ac:dyDescent="0.35">
      <c r="A257" s="94" t="str">
        <f ca="1"/>
        <v>S25V10883</v>
      </c>
      <c r="B257" s="94" t="str">
        <f ca="1"/>
        <v>PKEK25VE0010883A</v>
      </c>
      <c r="C257" s="94" t="str">
        <f ca="1"/>
        <v>MOCHA</v>
      </c>
      <c r="D257" s="94" t="str">
        <f ca="1"/>
        <v>292</v>
      </c>
      <c r="E257" s="94" t="str">
        <f ca="1"/>
        <v>FV012283001</v>
      </c>
      <c r="F257" s="94" t="str">
        <f ca="1"/>
        <v>C1500427</v>
      </c>
      <c r="G257" s="94" t="str">
        <f ca="1"/>
        <v>B</v>
      </c>
      <c r="H257" s="94" t="str">
        <f ca="1"/>
        <v>CF003117680</v>
      </c>
      <c r="I257" s="94" t="str">
        <f ca="1"/>
        <v>A*</v>
      </c>
      <c r="J257" s="94">
        <f ca="1"/>
        <v>22.9</v>
      </c>
      <c r="K257" s="94"/>
      <c r="L257" s="94">
        <f ca="1"/>
        <v>84.14</v>
      </c>
      <c r="M257" s="94" t="str">
        <f ca="1"/>
        <v>63/65"</v>
      </c>
      <c r="N257" s="94">
        <f ca="1"/>
        <v>62</v>
      </c>
      <c r="O257" s="94" t="str">
        <f ca="1"/>
        <v>Hole (KN) [针织破洞]</v>
      </c>
      <c r="P257" s="95" t="str">
        <f ca="1"/>
        <v/>
      </c>
      <c r="Q257" s="95" t="str">
        <f ca="1"/>
        <v/>
      </c>
      <c r="R257" s="96">
        <f ca="1"/>
        <v>46098</v>
      </c>
    </row>
    <row r="258" spans="1:18" s="90" customFormat="1" ht="55" customHeight="1" x14ac:dyDescent="0.35">
      <c r="A258" s="94" t="str">
        <f ca="1"/>
        <v>S25V10883</v>
      </c>
      <c r="B258" s="94" t="str">
        <f ca="1"/>
        <v>PKEK25VE0010883A</v>
      </c>
      <c r="C258" s="94" t="str">
        <f ca="1"/>
        <v>MOCHA</v>
      </c>
      <c r="D258" s="94" t="str">
        <f ca="1"/>
        <v>292</v>
      </c>
      <c r="E258" s="94" t="str">
        <f ca="1"/>
        <v>FV012283001</v>
      </c>
      <c r="F258" s="94" t="str">
        <f ca="1"/>
        <v>C1500427</v>
      </c>
      <c r="G258" s="94" t="str">
        <f ca="1"/>
        <v>B</v>
      </c>
      <c r="H258" s="94" t="str">
        <f ca="1"/>
        <v>CF003117681</v>
      </c>
      <c r="I258" s="94" t="str">
        <f ca="1"/>
        <v>A*</v>
      </c>
      <c r="J258" s="94">
        <f ca="1"/>
        <v>22.5</v>
      </c>
      <c r="K258" s="94"/>
      <c r="L258" s="94">
        <f ca="1"/>
        <v>82.67</v>
      </c>
      <c r="M258" s="94" t="str">
        <f ca="1"/>
        <v>63/65"</v>
      </c>
      <c r="N258" s="94">
        <f ca="1"/>
        <v>62</v>
      </c>
      <c r="O258" s="94" t="str">
        <f ca="1"/>
        <v>Hole (KN) [针织破洞]</v>
      </c>
      <c r="P258" s="95" t="str">
        <f ca="1"/>
        <v/>
      </c>
      <c r="Q258" s="95" t="str">
        <f ca="1"/>
        <v/>
      </c>
      <c r="R258" s="96">
        <f ca="1"/>
        <v>46098</v>
      </c>
    </row>
    <row r="259" spans="1:18" s="90" customFormat="1" ht="55" customHeight="1" x14ac:dyDescent="0.35">
      <c r="A259" s="94" t="str">
        <f ca="1"/>
        <v>S25V10883</v>
      </c>
      <c r="B259" s="94" t="str">
        <f ca="1"/>
        <v>PKEK25VE0010883A</v>
      </c>
      <c r="C259" s="94" t="str">
        <f ca="1"/>
        <v>MOCHA</v>
      </c>
      <c r="D259" s="94" t="str">
        <f ca="1"/>
        <v>292</v>
      </c>
      <c r="E259" s="94" t="str">
        <f ca="1"/>
        <v>FV012283001</v>
      </c>
      <c r="F259" s="94" t="str">
        <f ca="1"/>
        <v>C1500427</v>
      </c>
      <c r="G259" s="94" t="str">
        <f ca="1"/>
        <v>B</v>
      </c>
      <c r="H259" s="94" t="str">
        <f ca="1"/>
        <v>CF003117682</v>
      </c>
      <c r="I259" s="94" t="str">
        <f ca="1"/>
        <v>A</v>
      </c>
      <c r="J259" s="94">
        <f ca="1"/>
        <v>21.7</v>
      </c>
      <c r="K259" s="94"/>
      <c r="L259" s="94">
        <f ca="1"/>
        <v>79.73</v>
      </c>
      <c r="M259" s="94" t="str">
        <f ca="1"/>
        <v>63/65"</v>
      </c>
      <c r="N259" s="94">
        <f ca="1"/>
        <v>62</v>
      </c>
      <c r="O259" s="94" t="str">
        <f ca="1"/>
        <v/>
      </c>
      <c r="P259" s="95" t="str">
        <f ca="1"/>
        <v/>
      </c>
      <c r="Q259" s="95" t="str">
        <f ca="1"/>
        <v/>
      </c>
      <c r="R259" s="96">
        <f ca="1"/>
        <v>46098</v>
      </c>
    </row>
    <row r="260" spans="1:18" s="90" customFormat="1" ht="55" customHeight="1" x14ac:dyDescent="0.35">
      <c r="A260" s="94" t="str">
        <f ca="1"/>
        <v>S25V10883</v>
      </c>
      <c r="B260" s="94" t="str">
        <f ca="1"/>
        <v>PKEK25VE0010883A</v>
      </c>
      <c r="C260" s="94" t="str">
        <f ca="1"/>
        <v>MOCHA</v>
      </c>
      <c r="D260" s="94" t="str">
        <f ca="1"/>
        <v>292</v>
      </c>
      <c r="E260" s="94" t="str">
        <f ca="1"/>
        <v>FV012283001</v>
      </c>
      <c r="F260" s="94" t="str">
        <f ca="1"/>
        <v>C1500427</v>
      </c>
      <c r="G260" s="94" t="str">
        <f ca="1"/>
        <v>B</v>
      </c>
      <c r="H260" s="94" t="str">
        <f ca="1"/>
        <v>CF003117683</v>
      </c>
      <c r="I260" s="94" t="str">
        <f ca="1"/>
        <v>A*</v>
      </c>
      <c r="J260" s="94">
        <f ca="1"/>
        <v>21.7</v>
      </c>
      <c r="K260" s="94"/>
      <c r="L260" s="94">
        <f ca="1"/>
        <v>79.73</v>
      </c>
      <c r="M260" s="94" t="str">
        <f ca="1"/>
        <v>63/65"</v>
      </c>
      <c r="N260" s="94">
        <f ca="1"/>
        <v>62</v>
      </c>
      <c r="O260" s="94" t="str">
        <f ca="1"/>
        <v>White mark [白印]</v>
      </c>
      <c r="P260" s="95" t="str">
        <f ca="1"/>
        <v/>
      </c>
      <c r="Q260" s="95" t="str">
        <f ca="1"/>
        <v/>
      </c>
      <c r="R260" s="96">
        <f ca="1"/>
        <v>46098</v>
      </c>
    </row>
    <row r="261" spans="1:18" s="90" customFormat="1" ht="55" customHeight="1" x14ac:dyDescent="0.35">
      <c r="A261" s="94" t="str">
        <f ca="1"/>
        <v>S25V10883</v>
      </c>
      <c r="B261" s="94" t="str">
        <f ca="1"/>
        <v>PKEK25VE0010883A</v>
      </c>
      <c r="C261" s="94" t="str">
        <f ca="1"/>
        <v>MOCHA</v>
      </c>
      <c r="D261" s="94" t="str">
        <f ca="1"/>
        <v>292</v>
      </c>
      <c r="E261" s="94" t="str">
        <f ca="1"/>
        <v>FV012283001</v>
      </c>
      <c r="F261" s="94" t="str">
        <f ca="1"/>
        <v>C1500427</v>
      </c>
      <c r="G261" s="94" t="str">
        <f ca="1"/>
        <v>B</v>
      </c>
      <c r="H261" s="94" t="str">
        <f ca="1"/>
        <v>CF003117684</v>
      </c>
      <c r="I261" s="94" t="str">
        <f ca="1"/>
        <v>A*</v>
      </c>
      <c r="J261" s="94">
        <f ca="1"/>
        <v>22.6</v>
      </c>
      <c r="K261" s="94"/>
      <c r="L261" s="94">
        <f ca="1"/>
        <v>83.04</v>
      </c>
      <c r="M261" s="94" t="str">
        <f ca="1"/>
        <v>63/65"</v>
      </c>
      <c r="N261" s="94">
        <f ca="1"/>
        <v>62</v>
      </c>
      <c r="O261" s="94" t="str">
        <f ca="1"/>
        <v>White mark [白印]</v>
      </c>
      <c r="P261" s="95" t="str">
        <f ca="1"/>
        <v/>
      </c>
      <c r="Q261" s="95" t="str">
        <f ca="1"/>
        <v/>
      </c>
      <c r="R261" s="96">
        <f ca="1"/>
        <v>46098</v>
      </c>
    </row>
    <row r="262" spans="1:18" s="90" customFormat="1" ht="55" customHeight="1" x14ac:dyDescent="0.35">
      <c r="A262" s="94" t="str">
        <f ca="1"/>
        <v>S25V10883</v>
      </c>
      <c r="B262" s="94" t="str">
        <f ca="1"/>
        <v>PKEK25VE0010883A</v>
      </c>
      <c r="C262" s="94" t="str">
        <f ca="1"/>
        <v>MOCHA</v>
      </c>
      <c r="D262" s="94" t="str">
        <f ca="1"/>
        <v>292</v>
      </c>
      <c r="E262" s="94" t="str">
        <f ca="1"/>
        <v>FV012283001</v>
      </c>
      <c r="F262" s="94" t="str">
        <f ca="1"/>
        <v>C1500427</v>
      </c>
      <c r="G262" s="94" t="str">
        <f ca="1"/>
        <v>B</v>
      </c>
      <c r="H262" s="94" t="str">
        <f ca="1"/>
        <v>CF003117685</v>
      </c>
      <c r="I262" s="94" t="str">
        <f ca="1"/>
        <v>B</v>
      </c>
      <c r="J262" s="94">
        <f ca="1"/>
        <v>22.8</v>
      </c>
      <c r="K262" s="94"/>
      <c r="L262" s="94">
        <f ca="1"/>
        <v>83.78</v>
      </c>
      <c r="M262" s="94" t="str">
        <f ca="1"/>
        <v>63/65"</v>
      </c>
      <c r="N262" s="94">
        <f ca="1"/>
        <v>62</v>
      </c>
      <c r="O262" s="94" t="str">
        <f ca="1"/>
        <v>Color Mark (PD) [PD沾色]</v>
      </c>
      <c r="P262" s="95" t="str">
        <f ca="1"/>
        <v/>
      </c>
      <c r="Q262" s="95" t="str">
        <f ca="1"/>
        <v/>
      </c>
      <c r="R262" s="96">
        <f ca="1"/>
        <v>46098</v>
      </c>
    </row>
    <row r="263" spans="1:18" s="90" customFormat="1" ht="55" customHeight="1" x14ac:dyDescent="0.35">
      <c r="A263" s="94" t="str">
        <f ca="1"/>
        <v>S25V10883</v>
      </c>
      <c r="B263" s="94" t="str">
        <f ca="1"/>
        <v>PKEK25VE0010883A</v>
      </c>
      <c r="C263" s="94" t="str">
        <f ca="1"/>
        <v>MOCHA</v>
      </c>
      <c r="D263" s="94" t="str">
        <f ca="1"/>
        <v>292</v>
      </c>
      <c r="E263" s="94" t="str">
        <f ca="1"/>
        <v>FV012283001</v>
      </c>
      <c r="F263" s="94" t="str">
        <f ca="1"/>
        <v>C1500427</v>
      </c>
      <c r="G263" s="94" t="str">
        <f ca="1"/>
        <v>B</v>
      </c>
      <c r="H263" s="94" t="str">
        <f ca="1"/>
        <v>CF003117691</v>
      </c>
      <c r="I263" s="94" t="str">
        <f ca="1"/>
        <v>A</v>
      </c>
      <c r="J263" s="94">
        <f ca="1"/>
        <v>28.7</v>
      </c>
      <c r="K263" s="94"/>
      <c r="L263" s="94">
        <f ca="1"/>
        <v>105.45</v>
      </c>
      <c r="M263" s="94" t="str">
        <f ca="1"/>
        <v>63/65"</v>
      </c>
      <c r="N263" s="94">
        <f ca="1"/>
        <v>62</v>
      </c>
      <c r="O263" s="94" t="str">
        <f ca="1"/>
        <v>Color Mark (PD) [PD沾色]</v>
      </c>
      <c r="P263" s="95" t="str">
        <f ca="1"/>
        <v/>
      </c>
      <c r="Q263" s="95" t="str">
        <f ca="1"/>
        <v/>
      </c>
      <c r="R263" s="96">
        <f ca="1"/>
        <v>46098</v>
      </c>
    </row>
    <row r="264" spans="1:18" s="90" customFormat="1" ht="55" customHeight="1" x14ac:dyDescent="0.35">
      <c r="A264" s="94" t="str">
        <f ca="1"/>
        <v>S25V10883</v>
      </c>
      <c r="B264" s="94" t="str">
        <f ca="1"/>
        <v>PKEK25VE0010883A</v>
      </c>
      <c r="C264" s="94" t="str">
        <f ca="1"/>
        <v>MOCHA</v>
      </c>
      <c r="D264" s="94" t="str">
        <f ca="1"/>
        <v>292</v>
      </c>
      <c r="E264" s="94" t="str">
        <f ca="1"/>
        <v>FV012283001</v>
      </c>
      <c r="F264" s="94" t="str">
        <f ca="1"/>
        <v>C1500427</v>
      </c>
      <c r="G264" s="94" t="str">
        <f ca="1"/>
        <v>B</v>
      </c>
      <c r="H264" s="94" t="str">
        <f ca="1"/>
        <v>CF003117692</v>
      </c>
      <c r="I264" s="94" t="str">
        <f ca="1"/>
        <v>A*</v>
      </c>
      <c r="J264" s="94">
        <f ca="1"/>
        <v>22.6</v>
      </c>
      <c r="K264" s="94"/>
      <c r="L264" s="94">
        <f ca="1"/>
        <v>83.04</v>
      </c>
      <c r="M264" s="94" t="str">
        <f ca="1"/>
        <v>63/65"</v>
      </c>
      <c r="N264" s="94">
        <f ca="1"/>
        <v>62</v>
      </c>
      <c r="O264" s="94" t="str">
        <f ca="1"/>
        <v>Color Mark (PD) [PD沾色]</v>
      </c>
      <c r="P264" s="95" t="str">
        <f ca="1"/>
        <v/>
      </c>
      <c r="Q264" s="95" t="str">
        <f ca="1"/>
        <v/>
      </c>
      <c r="R264" s="96">
        <f ca="1"/>
        <v>46098</v>
      </c>
    </row>
    <row r="265" spans="1:18" s="90" customFormat="1" ht="55" customHeight="1" x14ac:dyDescent="0.35">
      <c r="A265" s="94" t="str">
        <f ca="1"/>
        <v>S25V10883</v>
      </c>
      <c r="B265" s="94" t="str">
        <f ca="1"/>
        <v>PKEK25VE0010883A</v>
      </c>
      <c r="C265" s="94" t="str">
        <f ca="1"/>
        <v>MOCHA</v>
      </c>
      <c r="D265" s="94" t="str">
        <f ca="1"/>
        <v>292</v>
      </c>
      <c r="E265" s="94" t="str">
        <f ca="1"/>
        <v>FV012283001</v>
      </c>
      <c r="F265" s="94" t="str">
        <f ca="1"/>
        <v>C1500427</v>
      </c>
      <c r="G265" s="94" t="str">
        <f ca="1"/>
        <v>B</v>
      </c>
      <c r="H265" s="94" t="str">
        <f ca="1"/>
        <v>CF003117693</v>
      </c>
      <c r="I265" s="94" t="str">
        <f ca="1"/>
        <v>A*</v>
      </c>
      <c r="J265" s="94">
        <f ca="1"/>
        <v>22.8</v>
      </c>
      <c r="K265" s="94"/>
      <c r="L265" s="94">
        <f ca="1"/>
        <v>83.78</v>
      </c>
      <c r="M265" s="94" t="str">
        <f ca="1"/>
        <v>63/65"</v>
      </c>
      <c r="N265" s="94">
        <f ca="1"/>
        <v>62</v>
      </c>
      <c r="O265" s="94" t="str">
        <f ca="1"/>
        <v>Color Mark (PD) [PD沾色]</v>
      </c>
      <c r="P265" s="95" t="str">
        <f ca="1"/>
        <v/>
      </c>
      <c r="Q265" s="95" t="str">
        <f ca="1"/>
        <v/>
      </c>
      <c r="R265" s="96">
        <f ca="1"/>
        <v>46098</v>
      </c>
    </row>
    <row r="266" spans="1:18" s="90" customFormat="1" ht="55" customHeight="1" x14ac:dyDescent="0.35">
      <c r="A266" s="94" t="str">
        <f ca="1"/>
        <v>S25V10883</v>
      </c>
      <c r="B266" s="94" t="str">
        <f ca="1"/>
        <v>PKEK25VE0010883A</v>
      </c>
      <c r="C266" s="94" t="str">
        <f ca="1"/>
        <v>MOCHA</v>
      </c>
      <c r="D266" s="94" t="str">
        <f ca="1"/>
        <v>292</v>
      </c>
      <c r="E266" s="94" t="str">
        <f ca="1"/>
        <v>FV012283001</v>
      </c>
      <c r="F266" s="94" t="str">
        <f ca="1"/>
        <v>C1500427</v>
      </c>
      <c r="G266" s="94" t="str">
        <f ca="1"/>
        <v>B</v>
      </c>
      <c r="H266" s="94" t="str">
        <f ca="1"/>
        <v>CF003117694</v>
      </c>
      <c r="I266" s="94" t="str">
        <f ca="1"/>
        <v>A*</v>
      </c>
      <c r="J266" s="94">
        <f ca="1"/>
        <v>22.5</v>
      </c>
      <c r="K266" s="94"/>
      <c r="L266" s="94">
        <f ca="1"/>
        <v>82.67</v>
      </c>
      <c r="M266" s="94" t="str">
        <f ca="1"/>
        <v>63/65"</v>
      </c>
      <c r="N266" s="94">
        <f ca="1"/>
        <v>62</v>
      </c>
      <c r="O266" s="94" t="str">
        <f ca="1"/>
        <v>White mark [白印]</v>
      </c>
      <c r="P266" s="95" t="str">
        <f ca="1"/>
        <v/>
      </c>
      <c r="Q266" s="95" t="str">
        <f ca="1"/>
        <v/>
      </c>
      <c r="R266" s="96">
        <f ca="1"/>
        <v>46098</v>
      </c>
    </row>
    <row r="267" spans="1:18" s="90" customFormat="1" ht="55" customHeight="1" x14ac:dyDescent="0.35">
      <c r="A267" s="94" t="str">
        <f ca="1"/>
        <v>S25V10883</v>
      </c>
      <c r="B267" s="94" t="str">
        <f ca="1"/>
        <v>PKEK25VE0010883A</v>
      </c>
      <c r="C267" s="94" t="str">
        <f ca="1"/>
        <v>MOCHA</v>
      </c>
      <c r="D267" s="94" t="str">
        <f ca="1"/>
        <v>292</v>
      </c>
      <c r="E267" s="94" t="str">
        <f ca="1"/>
        <v>FV012283001</v>
      </c>
      <c r="F267" s="94" t="str">
        <f ca="1"/>
        <v>C1500427</v>
      </c>
      <c r="G267" s="94" t="str">
        <f ca="1"/>
        <v>B</v>
      </c>
      <c r="H267" s="94" t="str">
        <f ca="1"/>
        <v>CF003117695</v>
      </c>
      <c r="I267" s="94" t="str">
        <f ca="1"/>
        <v>A*</v>
      </c>
      <c r="J267" s="94">
        <f ca="1"/>
        <v>22.7</v>
      </c>
      <c r="K267" s="94"/>
      <c r="L267" s="94">
        <f ca="1"/>
        <v>83.41</v>
      </c>
      <c r="M267" s="94" t="str">
        <f ca="1"/>
        <v>63/65"</v>
      </c>
      <c r="N267" s="94">
        <f ca="1"/>
        <v>62</v>
      </c>
      <c r="O267" s="94" t="str">
        <f ca="1"/>
        <v>Color Mark (PD) [PD沾色]</v>
      </c>
      <c r="P267" s="95" t="str">
        <f ca="1"/>
        <v/>
      </c>
      <c r="Q267" s="95" t="str">
        <f ca="1"/>
        <v/>
      </c>
      <c r="R267" s="96">
        <f ca="1"/>
        <v>46098</v>
      </c>
    </row>
    <row r="268" spans="1:18" s="90" customFormat="1" ht="55" customHeight="1" x14ac:dyDescent="0.35">
      <c r="A268" s="94" t="str">
        <f ca="1"/>
        <v>S25V10883</v>
      </c>
      <c r="B268" s="94" t="str">
        <f ca="1"/>
        <v>PKEK25VE0010883A</v>
      </c>
      <c r="C268" s="94" t="str">
        <f ca="1"/>
        <v>MOCHA</v>
      </c>
      <c r="D268" s="94" t="str">
        <f ca="1"/>
        <v>292</v>
      </c>
      <c r="E268" s="94" t="str">
        <f ca="1"/>
        <v>FV012283001</v>
      </c>
      <c r="F268" s="94" t="str">
        <f ca="1"/>
        <v>C1500427</v>
      </c>
      <c r="G268" s="94" t="str">
        <f ca="1"/>
        <v>B</v>
      </c>
      <c r="H268" s="94" t="str">
        <f ca="1"/>
        <v>CF003117696</v>
      </c>
      <c r="I268" s="94" t="str">
        <f ca="1"/>
        <v>A</v>
      </c>
      <c r="J268" s="94">
        <f ca="1"/>
        <v>22.2</v>
      </c>
      <c r="K268" s="94"/>
      <c r="L268" s="94">
        <f ca="1"/>
        <v>81.569999999999993</v>
      </c>
      <c r="M268" s="94" t="str">
        <f ca="1"/>
        <v>63/65"</v>
      </c>
      <c r="N268" s="94">
        <f ca="1"/>
        <v>62</v>
      </c>
      <c r="O268" s="94" t="str">
        <f ca="1"/>
        <v>White mark [白印]</v>
      </c>
      <c r="P268" s="95" t="str">
        <f ca="1"/>
        <v/>
      </c>
      <c r="Q268" s="95" t="str">
        <f ca="1"/>
        <v/>
      </c>
      <c r="R268" s="96">
        <f ca="1"/>
        <v>46098</v>
      </c>
    </row>
    <row r="269" spans="1:18" s="90" customFormat="1" ht="55" customHeight="1" x14ac:dyDescent="0.35">
      <c r="A269" s="94" t="str">
        <f ca="1"/>
        <v>S25V10883</v>
      </c>
      <c r="B269" s="94" t="str">
        <f ca="1"/>
        <v>PKEK25VE0010883A</v>
      </c>
      <c r="C269" s="94" t="str">
        <f ca="1"/>
        <v>DEEP SEA</v>
      </c>
      <c r="D269" s="94" t="str">
        <f ca="1"/>
        <v>365</v>
      </c>
      <c r="E269" s="94" t="str">
        <f ca="1"/>
        <v>FV012282001A</v>
      </c>
      <c r="F269" s="94" t="str">
        <f ca="1"/>
        <v>C1500427</v>
      </c>
      <c r="G269" s="94" t="str">
        <f ca="1"/>
        <v>B</v>
      </c>
      <c r="H269" s="94" t="str">
        <f ca="1"/>
        <v>CF003120194</v>
      </c>
      <c r="I269" s="94" t="str">
        <f ca="1"/>
        <v>B</v>
      </c>
      <c r="J269" s="94">
        <f ca="1"/>
        <v>14.8</v>
      </c>
      <c r="K269" s="94"/>
      <c r="L269" s="94">
        <f ca="1"/>
        <v>53.59</v>
      </c>
      <c r="M269" s="94" t="str">
        <f ca="1"/>
        <v>63/65"</v>
      </c>
      <c r="N269" s="94">
        <f ca="1"/>
        <v>61</v>
      </c>
      <c r="O269" s="94" t="str">
        <f ca="1"/>
        <v>White mark [白印]</v>
      </c>
      <c r="P269" s="95" t="str">
        <f ca="1"/>
        <v>khác màu hai biên mỗi biên vào 2 inch+ bên trái vao 4 in</v>
      </c>
      <c r="Q269" s="95" t="str">
        <f ca="1"/>
        <v>balance Marker khác màu hai biên, né ben trái vào 4 in</v>
      </c>
      <c r="R269" s="96">
        <f ca="1"/>
        <v>46100</v>
      </c>
    </row>
    <row r="270" spans="1:18" s="90" customFormat="1" ht="55" customHeight="1" x14ac:dyDescent="0.35">
      <c r="A270" s="94" t="str">
        <f ca="1"/>
        <v>S25V10883</v>
      </c>
      <c r="B270" s="94" t="str">
        <f ca="1"/>
        <v>PKEK25VE0010883A</v>
      </c>
      <c r="C270" s="94" t="str">
        <f ca="1"/>
        <v>DEEP SEA</v>
      </c>
      <c r="D270" s="94" t="str">
        <f ca="1"/>
        <v>365</v>
      </c>
      <c r="E270" s="94" t="str">
        <f ca="1"/>
        <v>FV012282001A</v>
      </c>
      <c r="F270" s="94" t="str">
        <f ca="1"/>
        <v>C1500427</v>
      </c>
      <c r="G270" s="94" t="str">
        <f ca="1"/>
        <v>B</v>
      </c>
      <c r="H270" s="94" t="str">
        <f ca="1"/>
        <v>CF003120195</v>
      </c>
      <c r="I270" s="94" t="str">
        <f ca="1"/>
        <v>A</v>
      </c>
      <c r="J270" s="94">
        <f ca="1"/>
        <v>32.700000000000003</v>
      </c>
      <c r="K270" s="94"/>
      <c r="L270" s="94">
        <f ca="1"/>
        <v>118.4</v>
      </c>
      <c r="M270" s="94" t="str">
        <f ca="1"/>
        <v>63/65"</v>
      </c>
      <c r="N270" s="94">
        <f ca="1"/>
        <v>61</v>
      </c>
      <c r="O270" s="94" t="str">
        <f ca="1"/>
        <v>Friction Mark (PD) [匹染擦痕]</v>
      </c>
      <c r="P270" s="95" t="str">
        <f ca="1"/>
        <v>khác màu hai biên mỗi biên vào 2 inch</v>
      </c>
      <c r="Q270" s="95" t="str">
        <f ca="1"/>
        <v>balance Marker khác màu hai biên</v>
      </c>
      <c r="R270" s="96">
        <f ca="1"/>
        <v>46100</v>
      </c>
    </row>
    <row r="271" spans="1:18" s="90" customFormat="1" ht="55" customHeight="1" x14ac:dyDescent="0.35">
      <c r="A271" s="94" t="str">
        <f ca="1"/>
        <v>S25V10883</v>
      </c>
      <c r="B271" s="94" t="str">
        <f ca="1"/>
        <v>PKEK25VE0010883A</v>
      </c>
      <c r="C271" s="94" t="str">
        <f ca="1"/>
        <v>DEEP SEA</v>
      </c>
      <c r="D271" s="94" t="str">
        <f ca="1"/>
        <v>365</v>
      </c>
      <c r="E271" s="94" t="str">
        <f ca="1"/>
        <v>FV012282001A</v>
      </c>
      <c r="F271" s="94" t="str">
        <f ca="1"/>
        <v>C1500427</v>
      </c>
      <c r="G271" s="94" t="str">
        <f ca="1"/>
        <v>B</v>
      </c>
      <c r="H271" s="94" t="str">
        <f ca="1"/>
        <v>CF003120196</v>
      </c>
      <c r="I271" s="94" t="str">
        <f ca="1"/>
        <v>A</v>
      </c>
      <c r="J271" s="94">
        <f ca="1"/>
        <v>14.2</v>
      </c>
      <c r="K271" s="94"/>
      <c r="L271" s="94">
        <f ca="1"/>
        <v>51.41</v>
      </c>
      <c r="M271" s="94" t="str">
        <f ca="1"/>
        <v>63/65"</v>
      </c>
      <c r="N271" s="94">
        <f ca="1"/>
        <v>61</v>
      </c>
      <c r="O271" s="94" t="str">
        <f ca="1"/>
        <v>Color Mark (PD) [PD沾色]</v>
      </c>
      <c r="P271" s="95" t="str">
        <f ca="1"/>
        <v>khác màu hai biên mỗi biên vào 2 inch</v>
      </c>
      <c r="Q271" s="95" t="str">
        <f ca="1"/>
        <v>balance Marker khác màu hai biên</v>
      </c>
      <c r="R271" s="96">
        <f ca="1"/>
        <v>46100</v>
      </c>
    </row>
    <row r="272" spans="1:18" s="90" customFormat="1" ht="55" customHeight="1" x14ac:dyDescent="0.35">
      <c r="A272" s="94" t="str">
        <f ca="1"/>
        <v>S25V10883</v>
      </c>
      <c r="B272" s="94" t="str">
        <f ca="1"/>
        <v>PKEK25VE0010883A</v>
      </c>
      <c r="C272" s="94" t="str">
        <f ca="1"/>
        <v>DEEP SEA</v>
      </c>
      <c r="D272" s="94" t="str">
        <f ca="1"/>
        <v>365</v>
      </c>
      <c r="E272" s="94" t="str">
        <f ca="1"/>
        <v>FV012282001A</v>
      </c>
      <c r="F272" s="94" t="str">
        <f ca="1"/>
        <v>C1500427</v>
      </c>
      <c r="G272" s="94" t="str">
        <f ca="1"/>
        <v>B</v>
      </c>
      <c r="H272" s="94" t="str">
        <f ca="1"/>
        <v>CF003120197</v>
      </c>
      <c r="I272" s="94" t="str">
        <f ca="1"/>
        <v>A</v>
      </c>
      <c r="J272" s="94">
        <f ca="1"/>
        <v>11.1</v>
      </c>
      <c r="K272" s="94"/>
      <c r="L272" s="94">
        <f ca="1"/>
        <v>40.19</v>
      </c>
      <c r="M272" s="94" t="str">
        <f ca="1"/>
        <v>63/65"</v>
      </c>
      <c r="N272" s="94">
        <f ca="1"/>
        <v>61</v>
      </c>
      <c r="O272" s="94" t="str">
        <f ca="1"/>
        <v>Friction Mark (PD) [匹染擦痕]</v>
      </c>
      <c r="P272" s="95" t="str">
        <f ca="1"/>
        <v>khác màu hai biên mỗi biên vào 2 inch</v>
      </c>
      <c r="Q272" s="95" t="str">
        <f ca="1"/>
        <v>balance Marker khác màu hai biên</v>
      </c>
      <c r="R272" s="96">
        <f ca="1"/>
        <v>46100</v>
      </c>
    </row>
    <row r="273" spans="1:18" s="90" customFormat="1" ht="55" customHeight="1" x14ac:dyDescent="0.35">
      <c r="A273" s="94" t="str">
        <f ca="1"/>
        <v>S25V10883</v>
      </c>
      <c r="B273" s="94" t="str">
        <f ca="1"/>
        <v>PKEK25VE0010883A</v>
      </c>
      <c r="C273" s="94" t="str">
        <f ca="1"/>
        <v>DEEP SEA</v>
      </c>
      <c r="D273" s="94" t="str">
        <f ca="1"/>
        <v>365</v>
      </c>
      <c r="E273" s="94" t="str">
        <f ca="1"/>
        <v>FV012282001A</v>
      </c>
      <c r="F273" s="94" t="str">
        <f ca="1"/>
        <v>C1500427</v>
      </c>
      <c r="G273" s="94" t="str">
        <f ca="1"/>
        <v>B</v>
      </c>
      <c r="H273" s="94" t="str">
        <f ca="1"/>
        <v>CF003120198</v>
      </c>
      <c r="I273" s="94" t="str">
        <f ca="1"/>
        <v>A</v>
      </c>
      <c r="J273" s="94">
        <f ca="1"/>
        <v>23.4</v>
      </c>
      <c r="K273" s="94"/>
      <c r="L273" s="94">
        <f ca="1"/>
        <v>84.72</v>
      </c>
      <c r="M273" s="94" t="str">
        <f ca="1"/>
        <v>63/65"</v>
      </c>
      <c r="N273" s="94">
        <f ca="1"/>
        <v>61</v>
      </c>
      <c r="O273" s="94" t="str">
        <f ca="1"/>
        <v>Friction Mark (PD) [匹染擦痕]</v>
      </c>
      <c r="P273" s="95" t="str">
        <f ca="1"/>
        <v>khác màu hai biên mỗi biên vào 2 inch</v>
      </c>
      <c r="Q273" s="95" t="str">
        <f ca="1"/>
        <v>balance Marker khác màu hai biên</v>
      </c>
      <c r="R273" s="96">
        <f ca="1"/>
        <v>46100</v>
      </c>
    </row>
    <row r="274" spans="1:18" s="90" customFormat="1" ht="55" customHeight="1" x14ac:dyDescent="0.35">
      <c r="A274" s="94" t="str">
        <f ca="1"/>
        <v>S25V10883</v>
      </c>
      <c r="B274" s="94" t="str">
        <f ca="1"/>
        <v>PKEK25VE0010883A</v>
      </c>
      <c r="C274" s="94" t="str">
        <f ca="1"/>
        <v>DEEP SEA</v>
      </c>
      <c r="D274" s="94" t="str">
        <f ca="1"/>
        <v>365</v>
      </c>
      <c r="E274" s="94" t="str">
        <f ca="1"/>
        <v>FV012282001A</v>
      </c>
      <c r="F274" s="94" t="str">
        <f ca="1"/>
        <v>C1500427</v>
      </c>
      <c r="G274" s="94" t="str">
        <f ca="1"/>
        <v>B</v>
      </c>
      <c r="H274" s="94" t="str">
        <f ca="1"/>
        <v>CF003120199</v>
      </c>
      <c r="I274" s="94" t="str">
        <f ca="1"/>
        <v>A</v>
      </c>
      <c r="J274" s="94">
        <f ca="1"/>
        <v>22</v>
      </c>
      <c r="K274" s="94"/>
      <c r="L274" s="94">
        <f ca="1"/>
        <v>79.66</v>
      </c>
      <c r="M274" s="94" t="str">
        <f ca="1"/>
        <v>63/65"</v>
      </c>
      <c r="N274" s="94">
        <f ca="1"/>
        <v>61</v>
      </c>
      <c r="O274" s="94" t="str">
        <f ca="1"/>
        <v/>
      </c>
      <c r="P274" s="95" t="str">
        <f ca="1"/>
        <v>khác màu hai biên mỗi biên vào 2 inch</v>
      </c>
      <c r="Q274" s="95" t="str">
        <f ca="1"/>
        <v>balance Marker khác màu hai biên</v>
      </c>
      <c r="R274" s="96">
        <f ca="1"/>
        <v>46100</v>
      </c>
    </row>
    <row r="275" spans="1:18" s="90" customFormat="1" ht="55" customHeight="1" x14ac:dyDescent="0.35">
      <c r="A275" s="94" t="str">
        <f ca="1"/>
        <v>S25V10883</v>
      </c>
      <c r="B275" s="94" t="str">
        <f ca="1"/>
        <v>PKEK25VE0010883A</v>
      </c>
      <c r="C275" s="94" t="str">
        <f ca="1"/>
        <v>DEEP SEA</v>
      </c>
      <c r="D275" s="94" t="str">
        <f ca="1"/>
        <v>365</v>
      </c>
      <c r="E275" s="94" t="str">
        <f ca="1"/>
        <v>FV012282001A</v>
      </c>
      <c r="F275" s="94" t="str">
        <f ca="1"/>
        <v>C1500427</v>
      </c>
      <c r="G275" s="94" t="str">
        <f ca="1"/>
        <v>B</v>
      </c>
      <c r="H275" s="94" t="str">
        <f ca="1"/>
        <v>CF003120200</v>
      </c>
      <c r="I275" s="94" t="str">
        <f ca="1"/>
        <v>A</v>
      </c>
      <c r="J275" s="94">
        <f ca="1"/>
        <v>23.8</v>
      </c>
      <c r="K275" s="94"/>
      <c r="L275" s="94">
        <f ca="1"/>
        <v>86.17</v>
      </c>
      <c r="M275" s="94" t="str">
        <f ca="1"/>
        <v>63/65"</v>
      </c>
      <c r="N275" s="94">
        <f ca="1"/>
        <v>61</v>
      </c>
      <c r="O275" s="94" t="str">
        <f ca="1"/>
        <v>Piece-up(FN) [后整接口]</v>
      </c>
      <c r="P275" s="95" t="str">
        <f ca="1"/>
        <v>khác màu hai biên mỗi biên vào 2 inch</v>
      </c>
      <c r="Q275" s="95" t="str">
        <f ca="1"/>
        <v>balance Marker khác màu hai biên</v>
      </c>
      <c r="R275" s="96">
        <f ca="1"/>
        <v>46100</v>
      </c>
    </row>
    <row r="276" spans="1:18" s="90" customFormat="1" ht="55" customHeight="1" x14ac:dyDescent="0.35">
      <c r="A276" s="94" t="str">
        <f ca="1"/>
        <v>S25V10883</v>
      </c>
      <c r="B276" s="94" t="str">
        <f ca="1"/>
        <v>PKEK25VE0010883A</v>
      </c>
      <c r="C276" s="94" t="str">
        <f ca="1"/>
        <v>DEEP SEA</v>
      </c>
      <c r="D276" s="94" t="str">
        <f ca="1"/>
        <v>365</v>
      </c>
      <c r="E276" s="94" t="str">
        <f ca="1"/>
        <v>FV012282001A</v>
      </c>
      <c r="F276" s="94" t="str">
        <f ca="1"/>
        <v>C1500427</v>
      </c>
      <c r="G276" s="94" t="str">
        <f ca="1"/>
        <v>B</v>
      </c>
      <c r="H276" s="94" t="str">
        <f ca="1"/>
        <v>CF003120201</v>
      </c>
      <c r="I276" s="94" t="str">
        <f ca="1"/>
        <v>A</v>
      </c>
      <c r="J276" s="94">
        <f ca="1"/>
        <v>23.1</v>
      </c>
      <c r="K276" s="94"/>
      <c r="L276" s="94">
        <f ca="1"/>
        <v>83.64</v>
      </c>
      <c r="M276" s="94" t="str">
        <f ca="1"/>
        <v>63/65"</v>
      </c>
      <c r="N276" s="94">
        <f ca="1"/>
        <v>61</v>
      </c>
      <c r="O276" s="94" t="str">
        <f ca="1"/>
        <v>Hole (KN) [针织破洞]</v>
      </c>
      <c r="P276" s="95" t="str">
        <f ca="1"/>
        <v>khác màu hai biên mỗi biên vào 2 inch</v>
      </c>
      <c r="Q276" s="95" t="str">
        <f ca="1"/>
        <v>balance Marker khác màu hai biên</v>
      </c>
      <c r="R276" s="96">
        <f ca="1"/>
        <v>46100</v>
      </c>
    </row>
    <row r="277" spans="1:18" s="90" customFormat="1" ht="55" customHeight="1" x14ac:dyDescent="0.35">
      <c r="A277" s="94" t="str">
        <f ca="1"/>
        <v>S25V10883</v>
      </c>
      <c r="B277" s="94" t="str">
        <f ca="1"/>
        <v>PKEK25VE0010883A</v>
      </c>
      <c r="C277" s="94" t="str">
        <f ca="1"/>
        <v>DEEP SEA</v>
      </c>
      <c r="D277" s="94" t="str">
        <f ca="1"/>
        <v>365</v>
      </c>
      <c r="E277" s="94" t="str">
        <f ca="1"/>
        <v>FV012282001A</v>
      </c>
      <c r="F277" s="94" t="str">
        <f ca="1"/>
        <v>C1500427</v>
      </c>
      <c r="G277" s="94" t="str">
        <f ca="1"/>
        <v>B</v>
      </c>
      <c r="H277" s="94" t="str">
        <f ca="1"/>
        <v>CF003120202</v>
      </c>
      <c r="I277" s="94" t="str">
        <f ca="1"/>
        <v>B</v>
      </c>
      <c r="J277" s="94">
        <f ca="1"/>
        <v>19.2</v>
      </c>
      <c r="K277" s="94"/>
      <c r="L277" s="94">
        <f ca="1"/>
        <v>69.52</v>
      </c>
      <c r="M277" s="94" t="str">
        <f ca="1"/>
        <v>63/65"</v>
      </c>
      <c r="N277" s="94">
        <f ca="1"/>
        <v>61</v>
      </c>
      <c r="O277" s="94" t="str">
        <f ca="1"/>
        <v>Color Mark (PD) [PD沾色]</v>
      </c>
      <c r="P277" s="95" t="str">
        <f ca="1"/>
        <v>khác màu hai biên mỗi biên vào 2 inch</v>
      </c>
      <c r="Q277" s="95" t="str">
        <f ca="1"/>
        <v>balance Marker khác màu hai biên</v>
      </c>
      <c r="R277" s="96">
        <f ca="1"/>
        <v>46100</v>
      </c>
    </row>
    <row r="278" spans="1:18" s="90" customFormat="1" ht="55" customHeight="1" x14ac:dyDescent="0.35">
      <c r="A278" s="94" t="str">
        <f ca="1"/>
        <v>S25V10883</v>
      </c>
      <c r="B278" s="94" t="str">
        <f ca="1"/>
        <v>PKEK25VE0010883A</v>
      </c>
      <c r="C278" s="94" t="str">
        <f ca="1"/>
        <v>DEEP SEA</v>
      </c>
      <c r="D278" s="94" t="str">
        <f ca="1"/>
        <v>365</v>
      </c>
      <c r="E278" s="94" t="str">
        <f ca="1"/>
        <v>FV012282001A</v>
      </c>
      <c r="F278" s="94" t="str">
        <f ca="1"/>
        <v>C1500427</v>
      </c>
      <c r="G278" s="94" t="str">
        <f ca="1"/>
        <v>B</v>
      </c>
      <c r="H278" s="94" t="str">
        <f ca="1"/>
        <v>CF003120203</v>
      </c>
      <c r="I278" s="94" t="str">
        <f ca="1"/>
        <v>B</v>
      </c>
      <c r="J278" s="94">
        <f ca="1"/>
        <v>23.2</v>
      </c>
      <c r="K278" s="94"/>
      <c r="L278" s="94">
        <f ca="1"/>
        <v>84</v>
      </c>
      <c r="M278" s="94" t="str">
        <f ca="1"/>
        <v>63/65"</v>
      </c>
      <c r="N278" s="94">
        <f ca="1"/>
        <v>61</v>
      </c>
      <c r="O278" s="94" t="str">
        <f ca="1"/>
        <v>Color Mark (PD) [PD沾色]</v>
      </c>
      <c r="P278" s="95" t="str">
        <f ca="1"/>
        <v>khác màu hai biên mỗi biên vào 2 inch</v>
      </c>
      <c r="Q278" s="95" t="str">
        <f ca="1"/>
        <v>balance Marker khác màu hai biên</v>
      </c>
      <c r="R278" s="96">
        <f ca="1"/>
        <v>46100</v>
      </c>
    </row>
    <row r="279" spans="1:18" s="90" customFormat="1" ht="55" customHeight="1" x14ac:dyDescent="0.35">
      <c r="A279" s="94" t="str">
        <f ca="1"/>
        <v>S25V10883</v>
      </c>
      <c r="B279" s="94" t="str">
        <f ca="1"/>
        <v>PKEK25VE0010883A</v>
      </c>
      <c r="C279" s="94" t="str">
        <f ca="1"/>
        <v>DEEP SEA</v>
      </c>
      <c r="D279" s="94" t="str">
        <f ca="1"/>
        <v>365</v>
      </c>
      <c r="E279" s="94" t="str">
        <f ca="1"/>
        <v>FV012282001A</v>
      </c>
      <c r="F279" s="94" t="str">
        <f ca="1"/>
        <v>C1500427</v>
      </c>
      <c r="G279" s="94" t="str">
        <f ca="1"/>
        <v>B</v>
      </c>
      <c r="H279" s="94" t="str">
        <f ca="1"/>
        <v>CF003120204</v>
      </c>
      <c r="I279" s="94" t="str">
        <f ca="1"/>
        <v>B</v>
      </c>
      <c r="J279" s="94">
        <f ca="1"/>
        <v>21.6</v>
      </c>
      <c r="K279" s="94"/>
      <c r="L279" s="94">
        <f ca="1"/>
        <v>78.209999999999994</v>
      </c>
      <c r="M279" s="94" t="str">
        <f ca="1"/>
        <v>63/65"</v>
      </c>
      <c r="N279" s="94">
        <f ca="1"/>
        <v>61</v>
      </c>
      <c r="O279" s="94" t="str">
        <f ca="1"/>
        <v>Color Mark (PD) [PD沾色]</v>
      </c>
      <c r="P279" s="95" t="str">
        <f ca="1"/>
        <v>khác màu hai biên mỗi biên vào 2 inch</v>
      </c>
      <c r="Q279" s="95" t="str">
        <f ca="1"/>
        <v>balance Marker khác màu hai biên</v>
      </c>
      <c r="R279" s="96">
        <f ca="1"/>
        <v>46100</v>
      </c>
    </row>
    <row r="280" spans="1:18" s="90" customFormat="1" ht="55" customHeight="1" x14ac:dyDescent="0.35">
      <c r="A280" s="94" t="str">
        <f ca="1"/>
        <v>S25V10883</v>
      </c>
      <c r="B280" s="94" t="str">
        <f ca="1"/>
        <v>PKEK25VE0010883A</v>
      </c>
      <c r="C280" s="94" t="str">
        <f ca="1"/>
        <v>DEEP SEA</v>
      </c>
      <c r="D280" s="94" t="str">
        <f ca="1"/>
        <v>365</v>
      </c>
      <c r="E280" s="94" t="str">
        <f ca="1"/>
        <v>FV012282001A</v>
      </c>
      <c r="F280" s="94" t="str">
        <f ca="1"/>
        <v>C1500427</v>
      </c>
      <c r="G280" s="94" t="str">
        <f ca="1"/>
        <v>B</v>
      </c>
      <c r="H280" s="94" t="str">
        <f ca="1"/>
        <v>CF003120205</v>
      </c>
      <c r="I280" s="94" t="str">
        <f ca="1"/>
        <v>A</v>
      </c>
      <c r="J280" s="94">
        <f ca="1"/>
        <v>14.6</v>
      </c>
      <c r="K280" s="94"/>
      <c r="L280" s="94">
        <f ca="1"/>
        <v>52.86</v>
      </c>
      <c r="M280" s="94" t="str">
        <f ca="1"/>
        <v>63/65"</v>
      </c>
      <c r="N280" s="94">
        <f ca="1"/>
        <v>61</v>
      </c>
      <c r="O280" s="94" t="str">
        <f ca="1"/>
        <v>Unever Dye Hole [染花破洞]</v>
      </c>
      <c r="P280" s="95" t="str">
        <f ca="1"/>
        <v>khác màu hai biên mỗi biên vào 2 inch</v>
      </c>
      <c r="Q280" s="95" t="str">
        <f ca="1"/>
        <v>balance Marker khác màu hai biên</v>
      </c>
      <c r="R280" s="96">
        <f ca="1"/>
        <v>46100</v>
      </c>
    </row>
    <row r="281" spans="1:18" s="90" customFormat="1" ht="55" customHeight="1" x14ac:dyDescent="0.35">
      <c r="A281" s="94" t="str">
        <f ca="1"/>
        <v>S25V10883</v>
      </c>
      <c r="B281" s="94" t="str">
        <f ca="1"/>
        <v>PKEK25VE0010883A</v>
      </c>
      <c r="C281" s="94" t="str">
        <f ca="1"/>
        <v>DEEP SEA</v>
      </c>
      <c r="D281" s="94" t="str">
        <f ca="1"/>
        <v>365</v>
      </c>
      <c r="E281" s="94" t="str">
        <f ca="1"/>
        <v>FV012282001A</v>
      </c>
      <c r="F281" s="94" t="str">
        <f ca="1"/>
        <v>C1500427</v>
      </c>
      <c r="G281" s="94" t="str">
        <f ca="1"/>
        <v>B</v>
      </c>
      <c r="H281" s="94" t="str">
        <f ca="1"/>
        <v>CF003120206</v>
      </c>
      <c r="I281" s="94" t="str">
        <f ca="1"/>
        <v>A</v>
      </c>
      <c r="J281" s="94">
        <f ca="1"/>
        <v>25.4</v>
      </c>
      <c r="K281" s="94"/>
      <c r="L281" s="94">
        <f ca="1"/>
        <v>91.97</v>
      </c>
      <c r="M281" s="94" t="str">
        <f ca="1"/>
        <v>63/65"</v>
      </c>
      <c r="N281" s="94">
        <f ca="1"/>
        <v>61</v>
      </c>
      <c r="O281" s="94" t="str">
        <f ca="1"/>
        <v>Unever Dye Hole [染花破洞]</v>
      </c>
      <c r="P281" s="95" t="str">
        <f ca="1"/>
        <v>khác màu hai biên mỗi biên vào 2 inch</v>
      </c>
      <c r="Q281" s="95" t="str">
        <f ca="1"/>
        <v>balance Marker khác màu hai biên</v>
      </c>
      <c r="R281" s="96">
        <f ca="1"/>
        <v>46100</v>
      </c>
    </row>
    <row r="282" spans="1:18" s="90" customFormat="1" ht="55" customHeight="1" x14ac:dyDescent="0.35">
      <c r="A282" s="94" t="str">
        <f ca="1"/>
        <v>S25V10883</v>
      </c>
      <c r="B282" s="94" t="str">
        <f ca="1"/>
        <v>PKEK25VE0010883A</v>
      </c>
      <c r="C282" s="94" t="str">
        <f ca="1"/>
        <v>DEEP SEA</v>
      </c>
      <c r="D282" s="94" t="str">
        <f ca="1"/>
        <v>365</v>
      </c>
      <c r="E282" s="94" t="str">
        <f ca="1"/>
        <v>FV012282001A</v>
      </c>
      <c r="F282" s="94" t="str">
        <f ca="1"/>
        <v>C1500427</v>
      </c>
      <c r="G282" s="94" t="str">
        <f ca="1"/>
        <v>B</v>
      </c>
      <c r="H282" s="94" t="str">
        <f ca="1"/>
        <v>CF003120207</v>
      </c>
      <c r="I282" s="94" t="str">
        <f ca="1"/>
        <v>B</v>
      </c>
      <c r="J282" s="94">
        <f ca="1"/>
        <v>16.100000000000001</v>
      </c>
      <c r="K282" s="94"/>
      <c r="L282" s="94">
        <f ca="1"/>
        <v>58.29</v>
      </c>
      <c r="M282" s="94" t="str">
        <f ca="1"/>
        <v>63/65"</v>
      </c>
      <c r="N282" s="94">
        <f ca="1"/>
        <v>61</v>
      </c>
      <c r="O282" s="94" t="str">
        <f ca="1"/>
        <v>Unever Dye Hole [染花破洞]</v>
      </c>
      <c r="P282" s="95" t="str">
        <f ca="1"/>
        <v>khác màu hai biên mỗi biên vào 2 inch, ma satsbeen phải vào 4in</v>
      </c>
      <c r="Q282" s="95" t="str">
        <f ca="1"/>
        <v>balance Marker khác màu hai biên, né beên phải 4 in</v>
      </c>
      <c r="R282" s="96">
        <f ca="1"/>
        <v>46100</v>
      </c>
    </row>
    <row r="283" spans="1:18" s="90" customFormat="1" ht="55" customHeight="1" x14ac:dyDescent="0.35">
      <c r="A283" s="94" t="str">
        <f ca="1"/>
        <v>S25V10883</v>
      </c>
      <c r="B283" s="94" t="str">
        <f ca="1"/>
        <v>PKEK25VE0010883A</v>
      </c>
      <c r="C283" s="94" t="str">
        <f ca="1"/>
        <v>DEEP SEA</v>
      </c>
      <c r="D283" s="94" t="str">
        <f ca="1"/>
        <v>365</v>
      </c>
      <c r="E283" s="94" t="str">
        <f ca="1"/>
        <v>FV012282001A</v>
      </c>
      <c r="F283" s="94" t="str">
        <f ca="1"/>
        <v>C1500427</v>
      </c>
      <c r="G283" s="94" t="str">
        <f ca="1"/>
        <v>B</v>
      </c>
      <c r="H283" s="94" t="str">
        <f ca="1"/>
        <v>CF003120208</v>
      </c>
      <c r="I283" s="94" t="str">
        <f ca="1"/>
        <v>A</v>
      </c>
      <c r="J283" s="94">
        <f ca="1"/>
        <v>19.2</v>
      </c>
      <c r="K283" s="94"/>
      <c r="L283" s="94">
        <f ca="1"/>
        <v>69.52</v>
      </c>
      <c r="M283" s="94" t="str">
        <f ca="1"/>
        <v>63/65"</v>
      </c>
      <c r="N283" s="94">
        <f ca="1"/>
        <v>61</v>
      </c>
      <c r="O283" s="94" t="str">
        <f ca="1"/>
        <v>Unever Dye Hole [染花破洞]</v>
      </c>
      <c r="P283" s="95" t="str">
        <f ca="1"/>
        <v>khác màu hai biên mỗi biên vào 2 inch, ma saát bên phải vào 4 in.</v>
      </c>
      <c r="Q283" s="95" t="str">
        <f ca="1"/>
        <v>balance Marker khác màu hai biên, né biên phải vào 4 in.</v>
      </c>
      <c r="R283" s="96">
        <f ca="1"/>
        <v>46100</v>
      </c>
    </row>
    <row r="284" spans="1:18" s="90" customFormat="1" ht="55" customHeight="1" x14ac:dyDescent="0.35">
      <c r="A284" s="94" t="str">
        <f ca="1"/>
        <v>S25V10883</v>
      </c>
      <c r="B284" s="94" t="str">
        <f ca="1"/>
        <v>PKEK25VE0010883A</v>
      </c>
      <c r="C284" s="94" t="str">
        <f ca="1"/>
        <v>DEEP SEA</v>
      </c>
      <c r="D284" s="94" t="str">
        <f ca="1"/>
        <v>365</v>
      </c>
      <c r="E284" s="94" t="str">
        <f ca="1"/>
        <v>FV012282001A</v>
      </c>
      <c r="F284" s="94" t="str">
        <f ca="1"/>
        <v>C1500427</v>
      </c>
      <c r="G284" s="94" t="str">
        <f ca="1"/>
        <v>B</v>
      </c>
      <c r="H284" s="94" t="str">
        <f ca="1"/>
        <v>CF003120209</v>
      </c>
      <c r="I284" s="94" t="str">
        <f ca="1"/>
        <v>A</v>
      </c>
      <c r="J284" s="94">
        <f ca="1"/>
        <v>33.200000000000003</v>
      </c>
      <c r="K284" s="94"/>
      <c r="L284" s="94">
        <f ca="1"/>
        <v>120.21</v>
      </c>
      <c r="M284" s="94" t="str">
        <f ca="1"/>
        <v>63/65"</v>
      </c>
      <c r="N284" s="94">
        <f ca="1"/>
        <v>61</v>
      </c>
      <c r="O284" s="94" t="str">
        <f ca="1"/>
        <v>Unever Dye Hole [染花破洞]</v>
      </c>
      <c r="P284" s="95" t="str">
        <f ca="1"/>
        <v>khác màu hai biên mỗi biên vào 2 inch</v>
      </c>
      <c r="Q284" s="95" t="str">
        <f ca="1"/>
        <v>balance Marker khác màu hai biên</v>
      </c>
      <c r="R284" s="96">
        <f ca="1"/>
        <v>46100</v>
      </c>
    </row>
    <row r="285" spans="1:18" s="90" customFormat="1" ht="55" customHeight="1" x14ac:dyDescent="0.35">
      <c r="A285" s="94" t="str">
        <f ca="1"/>
        <v>S25V10883</v>
      </c>
      <c r="B285" s="94" t="str">
        <f ca="1"/>
        <v>PKEK25VE0010883A</v>
      </c>
      <c r="C285" s="94" t="str">
        <f ca="1"/>
        <v>DEEP SEA</v>
      </c>
      <c r="D285" s="94" t="str">
        <f ca="1"/>
        <v>365</v>
      </c>
      <c r="E285" s="94" t="str">
        <f ca="1"/>
        <v>FV012282001A</v>
      </c>
      <c r="F285" s="94" t="str">
        <f ca="1"/>
        <v>C1500427</v>
      </c>
      <c r="G285" s="94" t="str">
        <f ca="1"/>
        <v>B</v>
      </c>
      <c r="H285" s="94" t="str">
        <f ca="1"/>
        <v>CF003120210</v>
      </c>
      <c r="I285" s="94" t="str">
        <f ca="1"/>
        <v>A</v>
      </c>
      <c r="J285" s="94">
        <f ca="1"/>
        <v>23.4</v>
      </c>
      <c r="K285" s="94"/>
      <c r="L285" s="94">
        <f ca="1"/>
        <v>84.72</v>
      </c>
      <c r="M285" s="94" t="str">
        <f ca="1"/>
        <v>63/65"</v>
      </c>
      <c r="N285" s="94">
        <f ca="1"/>
        <v>61</v>
      </c>
      <c r="O285" s="94" t="str">
        <f ca="1"/>
        <v>Unever Dye Hole [染花破洞]</v>
      </c>
      <c r="P285" s="95" t="str">
        <f ca="1"/>
        <v>khác màu hai biên mỗi biên vào 2 inch</v>
      </c>
      <c r="Q285" s="95" t="str">
        <f ca="1"/>
        <v>balance Marker khác màu hai biên</v>
      </c>
      <c r="R285" s="96">
        <f ca="1"/>
        <v>46100</v>
      </c>
    </row>
    <row r="286" spans="1:18" s="90" customFormat="1" ht="55" customHeight="1" x14ac:dyDescent="0.35">
      <c r="A286" s="94" t="str">
        <f ca="1"/>
        <v>S25V10883</v>
      </c>
      <c r="B286" s="94" t="str">
        <f ca="1"/>
        <v>PKEK25VE0010883A</v>
      </c>
      <c r="C286" s="94" t="str">
        <f ca="1"/>
        <v>DEEP SEA</v>
      </c>
      <c r="D286" s="94" t="str">
        <f ca="1"/>
        <v>365</v>
      </c>
      <c r="E286" s="94" t="str">
        <f ca="1"/>
        <v>FV012282001A</v>
      </c>
      <c r="F286" s="94" t="str">
        <f ca="1"/>
        <v>C1500427</v>
      </c>
      <c r="G286" s="94" t="str">
        <f ca="1"/>
        <v>B</v>
      </c>
      <c r="H286" s="94" t="str">
        <f ca="1"/>
        <v>CF003120211</v>
      </c>
      <c r="I286" s="94" t="str">
        <f ca="1"/>
        <v>A</v>
      </c>
      <c r="J286" s="94">
        <f ca="1"/>
        <v>23.3</v>
      </c>
      <c r="K286" s="94"/>
      <c r="L286" s="94">
        <f ca="1"/>
        <v>84.36</v>
      </c>
      <c r="M286" s="94" t="str">
        <f ca="1"/>
        <v>63/65"</v>
      </c>
      <c r="N286" s="94">
        <f ca="1"/>
        <v>61</v>
      </c>
      <c r="O286" s="94" t="str">
        <f ca="1"/>
        <v>Friction Mark (PD) [匹染擦痕]</v>
      </c>
      <c r="P286" s="95" t="str">
        <f ca="1"/>
        <v>khác màu hai biên mỗi biên vào 2 inch</v>
      </c>
      <c r="Q286" s="95" t="str">
        <f ca="1"/>
        <v>balance Marker khác màu hai biên</v>
      </c>
      <c r="R286" s="96">
        <f ca="1"/>
        <v>46100</v>
      </c>
    </row>
    <row r="287" spans="1:18" s="90" customFormat="1" ht="55" customHeight="1" x14ac:dyDescent="0.35">
      <c r="A287" s="94" t="str">
        <f ca="1"/>
        <v>S25V10883</v>
      </c>
      <c r="B287" s="94" t="str">
        <f ca="1"/>
        <v>PKEK25VE0010883A</v>
      </c>
      <c r="C287" s="94" t="str">
        <f ca="1"/>
        <v>DEEP SEA</v>
      </c>
      <c r="D287" s="94" t="str">
        <f ca="1"/>
        <v>365</v>
      </c>
      <c r="E287" s="94" t="str">
        <f ca="1"/>
        <v>FV012282001A</v>
      </c>
      <c r="F287" s="94" t="str">
        <f ca="1"/>
        <v>C1500427</v>
      </c>
      <c r="G287" s="94" t="str">
        <f ca="1"/>
        <v>B</v>
      </c>
      <c r="H287" s="94" t="str">
        <f ca="1"/>
        <v>CF003120212</v>
      </c>
      <c r="I287" s="94" t="str">
        <f ca="1"/>
        <v>A</v>
      </c>
      <c r="J287" s="94">
        <f ca="1"/>
        <v>18.600000000000001</v>
      </c>
      <c r="K287" s="94"/>
      <c r="L287" s="94">
        <f ca="1"/>
        <v>67.349999999999994</v>
      </c>
      <c r="M287" s="94" t="str">
        <f ca="1"/>
        <v>63/65"</v>
      </c>
      <c r="N287" s="94">
        <f ca="1"/>
        <v>61</v>
      </c>
      <c r="O287" s="94" t="str">
        <f ca="1"/>
        <v>Unever Dye Hole [染花破洞]</v>
      </c>
      <c r="P287" s="95" t="str">
        <f ca="1"/>
        <v>khác màu hai biên mỗi biên vào 2 inch</v>
      </c>
      <c r="Q287" s="95" t="str">
        <f ca="1"/>
        <v>balance Marker khác màu hai biên</v>
      </c>
      <c r="R287" s="96">
        <f ca="1"/>
        <v>46100</v>
      </c>
    </row>
    <row r="288" spans="1:18" s="90" customFormat="1" ht="55" customHeight="1" x14ac:dyDescent="0.35">
      <c r="A288" s="94" t="str">
        <f ca="1"/>
        <v>S25V10883</v>
      </c>
      <c r="B288" s="94" t="str">
        <f ca="1"/>
        <v>PKEK25VE0010883A</v>
      </c>
      <c r="C288" s="94" t="str">
        <f ca="1"/>
        <v>DEEP SEA</v>
      </c>
      <c r="D288" s="94" t="str">
        <f ca="1"/>
        <v>365</v>
      </c>
      <c r="E288" s="94" t="str">
        <f ca="1"/>
        <v>FV012282001A</v>
      </c>
      <c r="F288" s="94" t="str">
        <f ca="1"/>
        <v>C1500427</v>
      </c>
      <c r="G288" s="94" t="str">
        <f ca="1"/>
        <v>B</v>
      </c>
      <c r="H288" s="94" t="str">
        <f ca="1"/>
        <v>CF003120213</v>
      </c>
      <c r="I288" s="94" t="str">
        <f ca="1"/>
        <v>A</v>
      </c>
      <c r="J288" s="94">
        <f ca="1"/>
        <v>27.4</v>
      </c>
      <c r="K288" s="94"/>
      <c r="L288" s="94">
        <f ca="1"/>
        <v>99.21</v>
      </c>
      <c r="M288" s="94" t="str">
        <f ca="1"/>
        <v>63/65"</v>
      </c>
      <c r="N288" s="94">
        <f ca="1"/>
        <v>61</v>
      </c>
      <c r="O288" s="94" t="str">
        <f ca="1"/>
        <v>Unever Dye Hole [染花破洞]</v>
      </c>
      <c r="P288" s="95" t="str">
        <f ca="1"/>
        <v>khác màu hai biên mỗi biên vào 2 inch</v>
      </c>
      <c r="Q288" s="95" t="str">
        <f ca="1"/>
        <v>balance Marker khác màu hai biên</v>
      </c>
      <c r="R288" s="96">
        <f ca="1"/>
        <v>46100</v>
      </c>
    </row>
    <row r="289" spans="1:18" s="90" customFormat="1" ht="55" customHeight="1" x14ac:dyDescent="0.35">
      <c r="A289" s="94" t="str">
        <f ca="1"/>
        <v>S25V10883</v>
      </c>
      <c r="B289" s="94" t="str">
        <f ca="1"/>
        <v>PKEK25VE0010883A</v>
      </c>
      <c r="C289" s="94" t="str">
        <f ca="1"/>
        <v>DEEP SEA</v>
      </c>
      <c r="D289" s="94" t="str">
        <f ca="1"/>
        <v>365</v>
      </c>
      <c r="E289" s="94" t="str">
        <f ca="1"/>
        <v>FV012282001A</v>
      </c>
      <c r="F289" s="94" t="str">
        <f ca="1"/>
        <v>C1500427</v>
      </c>
      <c r="G289" s="94" t="str">
        <f ca="1"/>
        <v>B</v>
      </c>
      <c r="H289" s="94" t="str">
        <f ca="1"/>
        <v>CF003120214</v>
      </c>
      <c r="I289" s="94" t="str">
        <f ca="1"/>
        <v>A</v>
      </c>
      <c r="J289" s="94">
        <f ca="1"/>
        <v>34.200000000000003</v>
      </c>
      <c r="K289" s="94"/>
      <c r="L289" s="94">
        <f ca="1"/>
        <v>123.83</v>
      </c>
      <c r="M289" s="94" t="str">
        <f ca="1"/>
        <v>63/65"</v>
      </c>
      <c r="N289" s="94">
        <f ca="1"/>
        <v>61</v>
      </c>
      <c r="O289" s="94" t="str">
        <f ca="1"/>
        <v>Unever Dye Hole [染花破洞]</v>
      </c>
      <c r="P289" s="95" t="str">
        <f ca="1"/>
        <v>khác màu hai biên mỗi biên vào 2 inch</v>
      </c>
      <c r="Q289" s="95" t="str">
        <f ca="1"/>
        <v>balance Marker khác màu hai biên</v>
      </c>
      <c r="R289" s="96">
        <f ca="1"/>
        <v>46100</v>
      </c>
    </row>
    <row r="290" spans="1:18" s="90" customFormat="1" ht="55" customHeight="1" x14ac:dyDescent="0.35">
      <c r="A290" s="94" t="str">
        <f ca="1"/>
        <v>S25V10883</v>
      </c>
      <c r="B290" s="94" t="str">
        <f ca="1"/>
        <v>PKEK25VE0010883A</v>
      </c>
      <c r="C290" s="94" t="str">
        <f ca="1"/>
        <v>DEEP SEA</v>
      </c>
      <c r="D290" s="94" t="str">
        <f ca="1"/>
        <v>365</v>
      </c>
      <c r="E290" s="94" t="str">
        <f ca="1"/>
        <v>FV012282001A</v>
      </c>
      <c r="F290" s="94" t="str">
        <f ca="1"/>
        <v>C1500427</v>
      </c>
      <c r="G290" s="94" t="str">
        <f ca="1"/>
        <v>B</v>
      </c>
      <c r="H290" s="94" t="str">
        <f ca="1"/>
        <v>CF003120215</v>
      </c>
      <c r="I290" s="94" t="str">
        <f ca="1"/>
        <v>A</v>
      </c>
      <c r="J290" s="94">
        <f ca="1"/>
        <v>15.9</v>
      </c>
      <c r="K290" s="94"/>
      <c r="L290" s="94">
        <f ca="1"/>
        <v>57.57</v>
      </c>
      <c r="M290" s="94" t="str">
        <f ca="1"/>
        <v>63/65"</v>
      </c>
      <c r="N290" s="94">
        <f ca="1"/>
        <v>61</v>
      </c>
      <c r="O290" s="94" t="str">
        <f ca="1"/>
        <v>Color Mark (PD) [PD沾色]</v>
      </c>
      <c r="P290" s="95" t="str">
        <f ca="1"/>
        <v>khác màu hai biên mỗi biên vào 2 inch</v>
      </c>
      <c r="Q290" s="95" t="str">
        <f ca="1"/>
        <v>balance Marker khác màu hai biên</v>
      </c>
      <c r="R290" s="96">
        <f ca="1"/>
        <v>46100</v>
      </c>
    </row>
    <row r="291" spans="1:18" s="90" customFormat="1" ht="55" customHeight="1" x14ac:dyDescent="0.35">
      <c r="A291" s="94" t="str">
        <f ca="1"/>
        <v>S25V10883</v>
      </c>
      <c r="B291" s="94" t="str">
        <f ca="1"/>
        <v>PKEK25VE0010883A</v>
      </c>
      <c r="C291" s="94" t="str">
        <f ca="1"/>
        <v>DEEP SEA</v>
      </c>
      <c r="D291" s="94" t="str">
        <f ca="1"/>
        <v>365</v>
      </c>
      <c r="E291" s="94" t="str">
        <f ca="1"/>
        <v>FV012282001A</v>
      </c>
      <c r="F291" s="94" t="str">
        <f ca="1"/>
        <v>C1500427</v>
      </c>
      <c r="G291" s="94" t="str">
        <f ca="1"/>
        <v>B</v>
      </c>
      <c r="H291" s="94" t="str">
        <f ca="1"/>
        <v>CF003120216</v>
      </c>
      <c r="I291" s="94" t="str">
        <f ca="1"/>
        <v>A</v>
      </c>
      <c r="J291" s="94">
        <f ca="1"/>
        <v>30.8</v>
      </c>
      <c r="K291" s="94"/>
      <c r="L291" s="94">
        <f ca="1"/>
        <v>111.52</v>
      </c>
      <c r="M291" s="94" t="str">
        <f ca="1"/>
        <v>63/65"</v>
      </c>
      <c r="N291" s="94">
        <f ca="1"/>
        <v>61</v>
      </c>
      <c r="O291" s="94" t="str">
        <f ca="1"/>
        <v>Unever Dye Hole [染花破洞]</v>
      </c>
      <c r="P291" s="95" t="str">
        <f ca="1"/>
        <v>khác màu hai biên mỗi biên vào 2 inch</v>
      </c>
      <c r="Q291" s="95" t="str">
        <f ca="1"/>
        <v>balance Marker khác màu hai biên</v>
      </c>
      <c r="R291" s="96">
        <f ca="1"/>
        <v>46100</v>
      </c>
    </row>
    <row r="292" spans="1:18" s="90" customFormat="1" ht="55" customHeight="1" x14ac:dyDescent="0.35">
      <c r="A292" s="94" t="str">
        <f ca="1"/>
        <v>S25V10883</v>
      </c>
      <c r="B292" s="94" t="str">
        <f ca="1"/>
        <v>PKEK25VE0010883A</v>
      </c>
      <c r="C292" s="94" t="str">
        <f ca="1"/>
        <v>DEEP SEA</v>
      </c>
      <c r="D292" s="94" t="str">
        <f ca="1"/>
        <v>365</v>
      </c>
      <c r="E292" s="94" t="str">
        <f ca="1"/>
        <v>FV012282001A</v>
      </c>
      <c r="F292" s="94" t="str">
        <f ca="1"/>
        <v>C1500427</v>
      </c>
      <c r="G292" s="94" t="str">
        <f ca="1"/>
        <v>B</v>
      </c>
      <c r="H292" s="94" t="str">
        <f ca="1"/>
        <v>CF003120217</v>
      </c>
      <c r="I292" s="94" t="str">
        <f ca="1"/>
        <v>A</v>
      </c>
      <c r="J292" s="94">
        <f ca="1"/>
        <v>23.2</v>
      </c>
      <c r="K292" s="94"/>
      <c r="L292" s="94">
        <f ca="1"/>
        <v>84</v>
      </c>
      <c r="M292" s="94" t="str">
        <f ca="1"/>
        <v>63/65"</v>
      </c>
      <c r="N292" s="94">
        <f ca="1"/>
        <v>61</v>
      </c>
      <c r="O292" s="94" t="str">
        <f ca="1"/>
        <v>Color Mark (PD) [PD沾色]</v>
      </c>
      <c r="P292" s="95" t="str">
        <f ca="1"/>
        <v>khác màu hai biên mỗi biên vào 2 inch</v>
      </c>
      <c r="Q292" s="95" t="str">
        <f ca="1"/>
        <v>balance Marker khác màu hai biên</v>
      </c>
      <c r="R292" s="96">
        <f ca="1"/>
        <v>46100</v>
      </c>
    </row>
    <row r="293" spans="1:18" s="90" customFormat="1" ht="55" customHeight="1" x14ac:dyDescent="0.35">
      <c r="A293" s="94" t="str">
        <f ca="1"/>
        <v>S25V10883</v>
      </c>
      <c r="B293" s="94" t="str">
        <f ca="1"/>
        <v>PKEK25VE0010883A</v>
      </c>
      <c r="C293" s="94" t="str">
        <f ca="1"/>
        <v>DEEP SEA</v>
      </c>
      <c r="D293" s="94" t="str">
        <f ca="1"/>
        <v>365</v>
      </c>
      <c r="E293" s="94" t="str">
        <f ca="1"/>
        <v>FV012282001A</v>
      </c>
      <c r="F293" s="94" t="str">
        <f ca="1"/>
        <v>C1500427</v>
      </c>
      <c r="G293" s="94" t="str">
        <f ca="1"/>
        <v>B</v>
      </c>
      <c r="H293" s="94" t="str">
        <f ca="1"/>
        <v>CF003120218</v>
      </c>
      <c r="I293" s="94" t="str">
        <f ca="1"/>
        <v>A</v>
      </c>
      <c r="J293" s="94">
        <f ca="1"/>
        <v>17.2</v>
      </c>
      <c r="K293" s="94"/>
      <c r="L293" s="94">
        <f ca="1"/>
        <v>62.28</v>
      </c>
      <c r="M293" s="94" t="str">
        <f ca="1"/>
        <v>63/65"</v>
      </c>
      <c r="N293" s="94">
        <f ca="1"/>
        <v>61</v>
      </c>
      <c r="O293" s="94" t="str">
        <f ca="1"/>
        <v>Unever Dye Hole [染花破洞]</v>
      </c>
      <c r="P293" s="95" t="str">
        <f ca="1"/>
        <v>khác màu hai biên mỗi biên vào 2 inch</v>
      </c>
      <c r="Q293" s="95" t="str">
        <f ca="1"/>
        <v>balance Marker khác màu hai biên</v>
      </c>
      <c r="R293" s="96">
        <f ca="1"/>
        <v>46100</v>
      </c>
    </row>
    <row r="294" spans="1:18" s="90" customFormat="1" ht="55" customHeight="1" x14ac:dyDescent="0.35">
      <c r="A294" s="94" t="str">
        <f ca="1"/>
        <v>S25V10883</v>
      </c>
      <c r="B294" s="94" t="str">
        <f ca="1"/>
        <v>PKEK25VE0010883A</v>
      </c>
      <c r="C294" s="94" t="str">
        <f ca="1"/>
        <v>DEEP SEA</v>
      </c>
      <c r="D294" s="94" t="str">
        <f ca="1"/>
        <v>365</v>
      </c>
      <c r="E294" s="94" t="str">
        <f ca="1"/>
        <v>FV012282001A</v>
      </c>
      <c r="F294" s="94" t="str">
        <f ca="1"/>
        <v>C1500427</v>
      </c>
      <c r="G294" s="94" t="str">
        <f ca="1"/>
        <v>B</v>
      </c>
      <c r="H294" s="94" t="str">
        <f ca="1"/>
        <v>CF003120219</v>
      </c>
      <c r="I294" s="94" t="str">
        <f ca="1"/>
        <v>A</v>
      </c>
      <c r="J294" s="94">
        <f ca="1"/>
        <v>22.8</v>
      </c>
      <c r="K294" s="94"/>
      <c r="L294" s="94">
        <f ca="1"/>
        <v>82.55</v>
      </c>
      <c r="M294" s="94" t="str">
        <f ca="1"/>
        <v>63/65"</v>
      </c>
      <c r="N294" s="94">
        <f ca="1"/>
        <v>61</v>
      </c>
      <c r="O294" s="94" t="str">
        <f ca="1"/>
        <v>Unever Dye Hole [染花破洞]</v>
      </c>
      <c r="P294" s="95" t="str">
        <f ca="1"/>
        <v>khác màu hai biên mỗi biên vào 2 inch</v>
      </c>
      <c r="Q294" s="95" t="str">
        <f ca="1"/>
        <v>balance Marker khác màu hai biên</v>
      </c>
      <c r="R294" s="96">
        <f ca="1"/>
        <v>46100</v>
      </c>
    </row>
    <row r="295" spans="1:18" s="90" customFormat="1" ht="55" customHeight="1" x14ac:dyDescent="0.35">
      <c r="A295" s="94" t="str">
        <f ca="1"/>
        <v>S25V10883</v>
      </c>
      <c r="B295" s="94" t="str">
        <f ca="1"/>
        <v>PKEK25VE0010883A</v>
      </c>
      <c r="C295" s="94" t="str">
        <f ca="1"/>
        <v>DEEP SEA</v>
      </c>
      <c r="D295" s="94" t="str">
        <f ca="1"/>
        <v>365</v>
      </c>
      <c r="E295" s="94" t="str">
        <f ca="1"/>
        <v>FV012282001A</v>
      </c>
      <c r="F295" s="94" t="str">
        <f ca="1"/>
        <v>C1500427</v>
      </c>
      <c r="G295" s="94" t="str">
        <f ca="1"/>
        <v>B</v>
      </c>
      <c r="H295" s="94" t="str">
        <f ca="1"/>
        <v>CF003120220</v>
      </c>
      <c r="I295" s="94" t="str">
        <f ca="1"/>
        <v>A</v>
      </c>
      <c r="J295" s="94">
        <f ca="1"/>
        <v>23.3</v>
      </c>
      <c r="K295" s="94"/>
      <c r="L295" s="94">
        <f ca="1"/>
        <v>84.36</v>
      </c>
      <c r="M295" s="94" t="str">
        <f ca="1"/>
        <v>63/65"</v>
      </c>
      <c r="N295" s="94">
        <f ca="1"/>
        <v>61</v>
      </c>
      <c r="O295" s="94" t="str">
        <f ca="1"/>
        <v>Unever Dye Hole [染花破洞]</v>
      </c>
      <c r="P295" s="95" t="str">
        <f ca="1"/>
        <v>khác màu hai biên mỗi biên vào 2 inch</v>
      </c>
      <c r="Q295" s="95" t="str">
        <f ca="1"/>
        <v>balance Marker khác màu hai biên</v>
      </c>
      <c r="R295" s="96">
        <f ca="1"/>
        <v>46100</v>
      </c>
    </row>
    <row r="296" spans="1:18" s="90" customFormat="1" ht="55" customHeight="1" x14ac:dyDescent="0.35">
      <c r="A296" s="94" t="str">
        <f ca="1"/>
        <v>S25V10883</v>
      </c>
      <c r="B296" s="94" t="str">
        <f ca="1"/>
        <v>PKEK25VE0010883A</v>
      </c>
      <c r="C296" s="94" t="str">
        <f ca="1"/>
        <v>DEEP SEA</v>
      </c>
      <c r="D296" s="94" t="str">
        <f ca="1"/>
        <v>365</v>
      </c>
      <c r="E296" s="94" t="str">
        <f ca="1"/>
        <v>FV012282001A</v>
      </c>
      <c r="F296" s="94" t="str">
        <f ca="1"/>
        <v>C1500427</v>
      </c>
      <c r="G296" s="94" t="str">
        <f ca="1"/>
        <v>B</v>
      </c>
      <c r="H296" s="94" t="str">
        <f ca="1"/>
        <v>CF003120221</v>
      </c>
      <c r="I296" s="94" t="str">
        <f ca="1"/>
        <v>A</v>
      </c>
      <c r="J296" s="94">
        <f ca="1"/>
        <v>23.3</v>
      </c>
      <c r="K296" s="94"/>
      <c r="L296" s="94">
        <f ca="1"/>
        <v>84.36</v>
      </c>
      <c r="M296" s="94" t="str">
        <f ca="1"/>
        <v>63/65"</v>
      </c>
      <c r="N296" s="94">
        <f ca="1"/>
        <v>61</v>
      </c>
      <c r="O296" s="94" t="str">
        <f ca="1"/>
        <v>Unever Dye Hole [染花破洞]</v>
      </c>
      <c r="P296" s="95" t="str">
        <f ca="1"/>
        <v>khác màu hai biên mỗi biên vào 2 inch</v>
      </c>
      <c r="Q296" s="95" t="str">
        <f ca="1"/>
        <v>balance Marker khác màu hai biên</v>
      </c>
      <c r="R296" s="96">
        <f ca="1"/>
        <v>46100</v>
      </c>
    </row>
    <row r="297" spans="1:18" s="90" customFormat="1" ht="55" customHeight="1" x14ac:dyDescent="0.35">
      <c r="A297" s="94" t="str">
        <f ca="1"/>
        <v>S25V10883</v>
      </c>
      <c r="B297" s="94" t="str">
        <f ca="1"/>
        <v>PKEK25VE0010883A</v>
      </c>
      <c r="C297" s="94" t="str">
        <f ca="1"/>
        <v>DEEP SEA</v>
      </c>
      <c r="D297" s="94" t="str">
        <f ca="1"/>
        <v>365</v>
      </c>
      <c r="E297" s="94" t="str">
        <f ca="1"/>
        <v>FV012282001A</v>
      </c>
      <c r="F297" s="94" t="str">
        <f ca="1"/>
        <v>C1500427</v>
      </c>
      <c r="G297" s="94" t="str">
        <f ca="1"/>
        <v>B</v>
      </c>
      <c r="H297" s="94" t="str">
        <f ca="1"/>
        <v>CF003120222</v>
      </c>
      <c r="I297" s="94" t="str">
        <f ca="1"/>
        <v>A</v>
      </c>
      <c r="J297" s="94">
        <f ca="1"/>
        <v>29.3</v>
      </c>
      <c r="K297" s="94"/>
      <c r="L297" s="94">
        <f ca="1"/>
        <v>106.09</v>
      </c>
      <c r="M297" s="94" t="str">
        <f ca="1"/>
        <v>63/65"</v>
      </c>
      <c r="N297" s="94">
        <f ca="1"/>
        <v>61</v>
      </c>
      <c r="O297" s="94" t="str">
        <f ca="1"/>
        <v>Unever Dye Hole [染花破洞]</v>
      </c>
      <c r="P297" s="95" t="str">
        <f ca="1"/>
        <v>khác màu hai biên mỗi biên vào 2 inch</v>
      </c>
      <c r="Q297" s="95" t="str">
        <f ca="1"/>
        <v>balance Marker khác màu hai biên</v>
      </c>
      <c r="R297" s="96">
        <f ca="1"/>
        <v>46100</v>
      </c>
    </row>
    <row r="298" spans="1:18" s="90" customFormat="1" ht="55" customHeight="1" x14ac:dyDescent="0.35">
      <c r="A298" s="94" t="str">
        <f ca="1"/>
        <v>S25V10883</v>
      </c>
      <c r="B298" s="94" t="str">
        <f ca="1"/>
        <v>PKEK25VE0010883A</v>
      </c>
      <c r="C298" s="94" t="str">
        <f ca="1"/>
        <v>DEEP SEA</v>
      </c>
      <c r="D298" s="94" t="str">
        <f ca="1"/>
        <v>365</v>
      </c>
      <c r="E298" s="94" t="str">
        <f ca="1"/>
        <v>FV012282001A</v>
      </c>
      <c r="F298" s="94" t="str">
        <f ca="1"/>
        <v>C1500427</v>
      </c>
      <c r="G298" s="94" t="str">
        <f ca="1"/>
        <v>B</v>
      </c>
      <c r="H298" s="94" t="str">
        <f ca="1"/>
        <v>CF003120223</v>
      </c>
      <c r="I298" s="94" t="str">
        <f ca="1"/>
        <v>A</v>
      </c>
      <c r="J298" s="94">
        <f ca="1"/>
        <v>23.6</v>
      </c>
      <c r="K298" s="94"/>
      <c r="L298" s="94">
        <f ca="1"/>
        <v>85.45</v>
      </c>
      <c r="M298" s="94" t="str">
        <f ca="1"/>
        <v>63/65"</v>
      </c>
      <c r="N298" s="94">
        <f ca="1"/>
        <v>61</v>
      </c>
      <c r="O298" s="94" t="str">
        <f ca="1"/>
        <v>Unever Dye Hole [染花破洞]</v>
      </c>
      <c r="P298" s="95" t="str">
        <f ca="1"/>
        <v>khác màu hai biên mỗi biên vào 2 inch</v>
      </c>
      <c r="Q298" s="95" t="str">
        <f ca="1"/>
        <v>balance Marker khác màu hai biên</v>
      </c>
      <c r="R298" s="96">
        <f ca="1"/>
        <v>46100</v>
      </c>
    </row>
    <row r="299" spans="1:18" s="90" customFormat="1" ht="55" customHeight="1" x14ac:dyDescent="0.35">
      <c r="A299" s="94" t="str">
        <f ca="1"/>
        <v>S25V10883</v>
      </c>
      <c r="B299" s="94" t="str">
        <f ca="1"/>
        <v>PKEK25VE0010883A</v>
      </c>
      <c r="C299" s="94" t="str">
        <f ca="1"/>
        <v>DEEP SEA</v>
      </c>
      <c r="D299" s="94" t="str">
        <f ca="1"/>
        <v>365</v>
      </c>
      <c r="E299" s="94" t="str">
        <f ca="1"/>
        <v>FV012282001A</v>
      </c>
      <c r="F299" s="94" t="str">
        <f ca="1"/>
        <v>C1500427</v>
      </c>
      <c r="G299" s="94" t="str">
        <f ca="1"/>
        <v>B</v>
      </c>
      <c r="H299" s="94" t="str">
        <f ca="1"/>
        <v>CF003120224</v>
      </c>
      <c r="I299" s="94" t="str">
        <f ca="1"/>
        <v>A</v>
      </c>
      <c r="J299" s="94">
        <f ca="1"/>
        <v>25.3</v>
      </c>
      <c r="K299" s="94"/>
      <c r="L299" s="94">
        <f ca="1"/>
        <v>91.6</v>
      </c>
      <c r="M299" s="94" t="str">
        <f ca="1"/>
        <v>63/65"</v>
      </c>
      <c r="N299" s="94">
        <f ca="1"/>
        <v>61</v>
      </c>
      <c r="O299" s="94" t="str">
        <f ca="1"/>
        <v>Unever Dye Hole [染花破洞]</v>
      </c>
      <c r="P299" s="95" t="str">
        <f ca="1"/>
        <v>khác màu hai biên mỗi biên vào 2 inch</v>
      </c>
      <c r="Q299" s="95" t="str">
        <f ca="1"/>
        <v>balance Marker khác màu hai biên</v>
      </c>
      <c r="R299" s="96">
        <f ca="1"/>
        <v>46100</v>
      </c>
    </row>
    <row r="300" spans="1:18" s="90" customFormat="1" ht="55" customHeight="1" x14ac:dyDescent="0.35">
      <c r="A300" s="94" t="str">
        <f ca="1"/>
        <v>S25V10883</v>
      </c>
      <c r="B300" s="94" t="str">
        <f ca="1"/>
        <v>PKEK25VE0010883A</v>
      </c>
      <c r="C300" s="94" t="str">
        <f ca="1"/>
        <v>DEEP SEA</v>
      </c>
      <c r="D300" s="94" t="str">
        <f ca="1"/>
        <v>365</v>
      </c>
      <c r="E300" s="94" t="str">
        <f ca="1"/>
        <v>FV012282001A</v>
      </c>
      <c r="F300" s="94" t="str">
        <f ca="1"/>
        <v>C1500427</v>
      </c>
      <c r="G300" s="94" t="str">
        <f ca="1"/>
        <v>B</v>
      </c>
      <c r="H300" s="94" t="str">
        <f ca="1"/>
        <v>CF003120225</v>
      </c>
      <c r="I300" s="94" t="str">
        <f ca="1"/>
        <v>A</v>
      </c>
      <c r="J300" s="94">
        <f ca="1"/>
        <v>23.2</v>
      </c>
      <c r="K300" s="94"/>
      <c r="L300" s="94">
        <f ca="1"/>
        <v>84</v>
      </c>
      <c r="M300" s="94" t="str">
        <f ca="1"/>
        <v>63/65"</v>
      </c>
      <c r="N300" s="94">
        <f ca="1"/>
        <v>61</v>
      </c>
      <c r="O300" s="94" t="str">
        <f ca="1"/>
        <v>Color Mark (PD) [PD沾色]</v>
      </c>
      <c r="P300" s="95" t="str">
        <f ca="1"/>
        <v>khác màu hai biên mỗi biên vào 2 inch</v>
      </c>
      <c r="Q300" s="95" t="str">
        <f ca="1"/>
        <v>balance Marker khác màu hai biên</v>
      </c>
      <c r="R300" s="96">
        <f ca="1"/>
        <v>46100</v>
      </c>
    </row>
    <row r="301" spans="1:18" s="90" customFormat="1" ht="55" customHeight="1" x14ac:dyDescent="0.35">
      <c r="A301" s="94" t="str">
        <f ca="1"/>
        <v>S25V10883</v>
      </c>
      <c r="B301" s="94" t="str">
        <f ca="1"/>
        <v>PKEK25VE0010883A</v>
      </c>
      <c r="C301" s="94" t="str">
        <f ca="1"/>
        <v>DEEP SEA</v>
      </c>
      <c r="D301" s="94" t="str">
        <f ca="1"/>
        <v>365</v>
      </c>
      <c r="E301" s="94" t="str">
        <f ca="1"/>
        <v>FV012282001A</v>
      </c>
      <c r="F301" s="94" t="str">
        <f ca="1"/>
        <v>C1500427</v>
      </c>
      <c r="G301" s="94" t="str">
        <f ca="1"/>
        <v>B</v>
      </c>
      <c r="H301" s="94" t="str">
        <f ca="1"/>
        <v>CF003120226</v>
      </c>
      <c r="I301" s="94" t="str">
        <f ca="1"/>
        <v>A</v>
      </c>
      <c r="J301" s="94">
        <f ca="1"/>
        <v>23.8</v>
      </c>
      <c r="K301" s="94"/>
      <c r="L301" s="94">
        <f ca="1"/>
        <v>86.17</v>
      </c>
      <c r="M301" s="94" t="str">
        <f ca="1"/>
        <v>63/65"</v>
      </c>
      <c r="N301" s="94">
        <f ca="1"/>
        <v>61</v>
      </c>
      <c r="O301" s="94" t="str">
        <f ca="1"/>
        <v>Color Mark (PD) [PD沾色]</v>
      </c>
      <c r="P301" s="95" t="str">
        <f ca="1"/>
        <v>khác màu hai biên mỗi biên vào 2 inch</v>
      </c>
      <c r="Q301" s="95" t="str">
        <f ca="1"/>
        <v>balance Marker khác màu hai biên</v>
      </c>
      <c r="R301" s="96">
        <f ca="1"/>
        <v>46100</v>
      </c>
    </row>
    <row r="302" spans="1:18" s="90" customFormat="1" ht="55" customHeight="1" x14ac:dyDescent="0.35">
      <c r="A302" s="94" t="str">
        <f ca="1"/>
        <v>S25V10883</v>
      </c>
      <c r="B302" s="94" t="str">
        <f ca="1"/>
        <v>PKEK25VE0010883A</v>
      </c>
      <c r="C302" s="94" t="str">
        <f ca="1"/>
        <v>DEEP SEA</v>
      </c>
      <c r="D302" s="94" t="str">
        <f ca="1"/>
        <v>365</v>
      </c>
      <c r="E302" s="94" t="str">
        <f ca="1"/>
        <v>FV012282001A</v>
      </c>
      <c r="F302" s="94" t="str">
        <f ca="1"/>
        <v>C1500427</v>
      </c>
      <c r="G302" s="94" t="str">
        <f ca="1"/>
        <v>B</v>
      </c>
      <c r="H302" s="94" t="str">
        <f ca="1"/>
        <v>CF003120227</v>
      </c>
      <c r="I302" s="94" t="str">
        <f ca="1"/>
        <v>A</v>
      </c>
      <c r="J302" s="94">
        <f ca="1"/>
        <v>22.6</v>
      </c>
      <c r="K302" s="94"/>
      <c r="L302" s="94">
        <f ca="1"/>
        <v>81.83</v>
      </c>
      <c r="M302" s="94" t="str">
        <f ca="1"/>
        <v>63/65"</v>
      </c>
      <c r="N302" s="94">
        <f ca="1"/>
        <v>61</v>
      </c>
      <c r="O302" s="94" t="str">
        <f ca="1"/>
        <v>Color Mark (PD) [PD沾色]</v>
      </c>
      <c r="P302" s="95" t="str">
        <f ca="1"/>
        <v>khác màu hai biên mỗi biên vào 2 inch</v>
      </c>
      <c r="Q302" s="95" t="str">
        <f ca="1"/>
        <v>balance Marker khác màu hai biên</v>
      </c>
      <c r="R302" s="96">
        <f ca="1"/>
        <v>46100</v>
      </c>
    </row>
    <row r="303" spans="1:18" s="90" customFormat="1" ht="55" customHeight="1" x14ac:dyDescent="0.35">
      <c r="A303" s="94" t="str">
        <f ca="1"/>
        <v>S25V10883</v>
      </c>
      <c r="B303" s="94" t="str">
        <f ca="1"/>
        <v>PKEK25VE0010883A</v>
      </c>
      <c r="C303" s="94" t="str">
        <f ca="1"/>
        <v>DEEP SEA</v>
      </c>
      <c r="D303" s="94" t="str">
        <f ca="1"/>
        <v>365</v>
      </c>
      <c r="E303" s="94" t="str">
        <f ca="1"/>
        <v>FV012282001A</v>
      </c>
      <c r="F303" s="94" t="str">
        <f ca="1"/>
        <v>C1500427</v>
      </c>
      <c r="G303" s="94" t="str">
        <f ca="1"/>
        <v>B</v>
      </c>
      <c r="H303" s="94" t="str">
        <f ca="1"/>
        <v>CF003120228</v>
      </c>
      <c r="I303" s="94" t="str">
        <f ca="1"/>
        <v>A</v>
      </c>
      <c r="J303" s="94">
        <f ca="1"/>
        <v>23.3</v>
      </c>
      <c r="K303" s="94"/>
      <c r="L303" s="94">
        <f ca="1"/>
        <v>84.36</v>
      </c>
      <c r="M303" s="94" t="str">
        <f ca="1"/>
        <v>63/65"</v>
      </c>
      <c r="N303" s="94">
        <f ca="1"/>
        <v>61</v>
      </c>
      <c r="O303" s="94" t="str">
        <f ca="1"/>
        <v>Color Mark (PD) [PD沾色]</v>
      </c>
      <c r="P303" s="95" t="str">
        <f ca="1"/>
        <v>khác màu hai biên mỗi biên vào 2 inch</v>
      </c>
      <c r="Q303" s="95" t="str">
        <f ca="1"/>
        <v>balance Marker khác màu hai biên</v>
      </c>
      <c r="R303" s="96">
        <f ca="1"/>
        <v>46100</v>
      </c>
    </row>
    <row r="304" spans="1:18" s="90" customFormat="1" ht="55" customHeight="1" x14ac:dyDescent="0.35">
      <c r="A304" s="94" t="str">
        <f ca="1"/>
        <v>S25V10883</v>
      </c>
      <c r="B304" s="94" t="str">
        <f ca="1"/>
        <v>PKEK25VE0010883A</v>
      </c>
      <c r="C304" s="94" t="str">
        <f ca="1"/>
        <v>DEEP SEA</v>
      </c>
      <c r="D304" s="94" t="str">
        <f ca="1"/>
        <v>365</v>
      </c>
      <c r="E304" s="94" t="str">
        <f ca="1"/>
        <v>FV012282001A</v>
      </c>
      <c r="F304" s="94" t="str">
        <f ca="1"/>
        <v>C1500427</v>
      </c>
      <c r="G304" s="94" t="str">
        <f ca="1"/>
        <v>B</v>
      </c>
      <c r="H304" s="94" t="str">
        <f ca="1"/>
        <v>CF003120229</v>
      </c>
      <c r="I304" s="94" t="str">
        <f ca="1"/>
        <v>B</v>
      </c>
      <c r="J304" s="94">
        <f ca="1"/>
        <v>13.5</v>
      </c>
      <c r="K304" s="94"/>
      <c r="L304" s="94">
        <f ca="1"/>
        <v>48.88</v>
      </c>
      <c r="M304" s="94" t="str">
        <f ca="1"/>
        <v>63/65"</v>
      </c>
      <c r="N304" s="94">
        <f ca="1"/>
        <v>61</v>
      </c>
      <c r="O304" s="94" t="str">
        <f ca="1"/>
        <v>Friction Mark (PD) [匹染擦痕]</v>
      </c>
      <c r="P304" s="95" t="str">
        <f ca="1"/>
        <v>khác màu hai biên mỗi biên vào 2 inch</v>
      </c>
      <c r="Q304" s="95" t="str">
        <f ca="1"/>
        <v>balance Marker khác màu hai biên</v>
      </c>
      <c r="R304" s="96">
        <f ca="1"/>
        <v>46100</v>
      </c>
    </row>
    <row r="305" spans="1:18" s="90" customFormat="1" ht="55" customHeight="1" x14ac:dyDescent="0.35">
      <c r="A305" s="94" t="str">
        <f ca="1"/>
        <v>S25V10883</v>
      </c>
      <c r="B305" s="94" t="str">
        <f ca="1"/>
        <v>PKEK25VE0010883A</v>
      </c>
      <c r="C305" s="94" t="str">
        <f ca="1"/>
        <v>DEEP SEA</v>
      </c>
      <c r="D305" s="94" t="str">
        <f ca="1"/>
        <v>365</v>
      </c>
      <c r="E305" s="94" t="str">
        <f ca="1"/>
        <v>FV012282001A</v>
      </c>
      <c r="F305" s="94" t="str">
        <f ca="1"/>
        <v>C1500427</v>
      </c>
      <c r="G305" s="94" t="str">
        <f ca="1"/>
        <v>B</v>
      </c>
      <c r="H305" s="94" t="str">
        <f ca="1"/>
        <v>CF003120230</v>
      </c>
      <c r="I305" s="94" t="str">
        <f ca="1"/>
        <v>A</v>
      </c>
      <c r="J305" s="94">
        <f ca="1"/>
        <v>20.9</v>
      </c>
      <c r="K305" s="94"/>
      <c r="L305" s="94">
        <f ca="1"/>
        <v>75.67</v>
      </c>
      <c r="M305" s="94" t="str">
        <f ca="1"/>
        <v>63/65"</v>
      </c>
      <c r="N305" s="94">
        <f ca="1"/>
        <v>61</v>
      </c>
      <c r="O305" s="94" t="str">
        <f ca="1"/>
        <v>Unever Dye Hole [染花破洞]</v>
      </c>
      <c r="P305" s="95" t="str">
        <f ca="1"/>
        <v>khác màu hai biên mỗi biên vào 2 inch</v>
      </c>
      <c r="Q305" s="95" t="str">
        <f ca="1"/>
        <v>balance Marker khác màu hai biên</v>
      </c>
      <c r="R305" s="96">
        <f ca="1"/>
        <v>46100</v>
      </c>
    </row>
    <row r="306" spans="1:18" s="90" customFormat="1" ht="55" customHeight="1" x14ac:dyDescent="0.35">
      <c r="A306" s="94" t="str">
        <f ca="1"/>
        <v>S25V10883</v>
      </c>
      <c r="B306" s="94" t="str">
        <f ca="1"/>
        <v>PKEK25VE0010883A</v>
      </c>
      <c r="C306" s="94" t="str">
        <f ca="1"/>
        <v>DEEP SEA</v>
      </c>
      <c r="D306" s="94" t="str">
        <f ca="1"/>
        <v>365</v>
      </c>
      <c r="E306" s="94" t="str">
        <f ca="1"/>
        <v>FV012282001A</v>
      </c>
      <c r="F306" s="94" t="str">
        <f ca="1"/>
        <v>C1500427</v>
      </c>
      <c r="G306" s="94" t="str">
        <f ca="1"/>
        <v>B</v>
      </c>
      <c r="H306" s="94" t="str">
        <f ca="1"/>
        <v>CF003120231</v>
      </c>
      <c r="I306" s="94" t="str">
        <f ca="1"/>
        <v>A</v>
      </c>
      <c r="J306" s="94">
        <f ca="1"/>
        <v>31.7</v>
      </c>
      <c r="K306" s="94"/>
      <c r="L306" s="94">
        <f ca="1"/>
        <v>114.78</v>
      </c>
      <c r="M306" s="94" t="str">
        <f ca="1"/>
        <v>63/65"</v>
      </c>
      <c r="N306" s="94">
        <f ca="1"/>
        <v>61</v>
      </c>
      <c r="O306" s="94" t="str">
        <f ca="1"/>
        <v>Needle Line [针路]</v>
      </c>
      <c r="P306" s="95" t="str">
        <f ca="1"/>
        <v>khác màu hai biên mỗi biên vào 2 inch</v>
      </c>
      <c r="Q306" s="95" t="str">
        <f ca="1"/>
        <v>balance Marker khác màu hai biên</v>
      </c>
      <c r="R306" s="96">
        <f ca="1"/>
        <v>46100</v>
      </c>
    </row>
    <row r="307" spans="1:18" s="90" customFormat="1" ht="55" customHeight="1" x14ac:dyDescent="0.35">
      <c r="A307" s="94" t="str">
        <f ca="1"/>
        <v>S25V10883</v>
      </c>
      <c r="B307" s="94" t="str">
        <f ca="1"/>
        <v>PKEK25VE0010883A</v>
      </c>
      <c r="C307" s="94" t="str">
        <f ca="1"/>
        <v>DEEP SEA</v>
      </c>
      <c r="D307" s="94" t="str">
        <f ca="1"/>
        <v>365</v>
      </c>
      <c r="E307" s="94" t="str">
        <f ca="1"/>
        <v>FV012282001A</v>
      </c>
      <c r="F307" s="94" t="str">
        <f ca="1"/>
        <v>C1500427</v>
      </c>
      <c r="G307" s="94" t="str">
        <f ca="1"/>
        <v>B</v>
      </c>
      <c r="H307" s="94" t="str">
        <f ca="1"/>
        <v>CF003120232</v>
      </c>
      <c r="I307" s="94" t="str">
        <f ca="1"/>
        <v>A</v>
      </c>
      <c r="J307" s="94">
        <f ca="1"/>
        <v>23</v>
      </c>
      <c r="K307" s="94"/>
      <c r="L307" s="94">
        <f ca="1"/>
        <v>83.28</v>
      </c>
      <c r="M307" s="94" t="str">
        <f ca="1"/>
        <v>63/65"</v>
      </c>
      <c r="N307" s="94">
        <f ca="1"/>
        <v>61</v>
      </c>
      <c r="O307" s="94" t="str">
        <f ca="1"/>
        <v>Unever Dye Hole [染花破洞]</v>
      </c>
      <c r="P307" s="95" t="str">
        <f ca="1"/>
        <v>khác màu hai biên mỗi biên vào 2 inch</v>
      </c>
      <c r="Q307" s="95" t="str">
        <f ca="1"/>
        <v>balance Marker khác màu hai biên</v>
      </c>
      <c r="R307" s="96">
        <f ca="1"/>
        <v>46100</v>
      </c>
    </row>
    <row r="308" spans="1:18" s="90" customFormat="1" ht="55" customHeight="1" x14ac:dyDescent="0.35">
      <c r="A308" s="94" t="str">
        <f ca="1"/>
        <v>S25V10883</v>
      </c>
      <c r="B308" s="94" t="str">
        <f ca="1"/>
        <v>PKEK25VE0010883A</v>
      </c>
      <c r="C308" s="94" t="str">
        <f ca="1"/>
        <v>DEEP SEA</v>
      </c>
      <c r="D308" s="94" t="str">
        <f ca="1"/>
        <v>365</v>
      </c>
      <c r="E308" s="94" t="str">
        <f ca="1"/>
        <v>FV012282001A</v>
      </c>
      <c r="F308" s="94" t="str">
        <f ca="1"/>
        <v>C1500427</v>
      </c>
      <c r="G308" s="94" t="str">
        <f ca="1"/>
        <v>B</v>
      </c>
      <c r="H308" s="94" t="str">
        <f ca="1"/>
        <v>CF003120233</v>
      </c>
      <c r="I308" s="94" t="str">
        <f ca="1"/>
        <v>A</v>
      </c>
      <c r="J308" s="94">
        <f ca="1"/>
        <v>30.7</v>
      </c>
      <c r="K308" s="94"/>
      <c r="L308" s="94">
        <f ca="1"/>
        <v>111.16</v>
      </c>
      <c r="M308" s="94" t="str">
        <f ca="1"/>
        <v>63/65"</v>
      </c>
      <c r="N308" s="94">
        <f ca="1"/>
        <v>61</v>
      </c>
      <c r="O308" s="94" t="str">
        <f ca="1"/>
        <v>Friction Mark (PD) [匹染擦痕]</v>
      </c>
      <c r="P308" s="95" t="str">
        <f ca="1"/>
        <v>khác màu hai biên mỗi biên vào 2 inch</v>
      </c>
      <c r="Q308" s="95" t="str">
        <f ca="1"/>
        <v>balance Marker khác màu hai biên</v>
      </c>
      <c r="R308" s="96">
        <f ca="1"/>
        <v>46100</v>
      </c>
    </row>
    <row r="309" spans="1:18" s="90" customFormat="1" ht="55" customHeight="1" x14ac:dyDescent="0.35">
      <c r="A309" s="94" t="str">
        <f ca="1"/>
        <v>S25V10883</v>
      </c>
      <c r="B309" s="94" t="str">
        <f ca="1"/>
        <v>PKEK25VE0010883A</v>
      </c>
      <c r="C309" s="94" t="str">
        <f ca="1"/>
        <v>DEEP SEA</v>
      </c>
      <c r="D309" s="94" t="str">
        <f ca="1"/>
        <v>365</v>
      </c>
      <c r="E309" s="94" t="str">
        <f ca="1"/>
        <v>FV012282001A</v>
      </c>
      <c r="F309" s="94" t="str">
        <f ca="1"/>
        <v>C1500427</v>
      </c>
      <c r="G309" s="94" t="str">
        <f ca="1"/>
        <v>B</v>
      </c>
      <c r="H309" s="94" t="str">
        <f ca="1"/>
        <v>CF003120234</v>
      </c>
      <c r="I309" s="94" t="str">
        <f ca="1"/>
        <v>A</v>
      </c>
      <c r="J309" s="94">
        <f ca="1"/>
        <v>22.9</v>
      </c>
      <c r="K309" s="94"/>
      <c r="L309" s="94">
        <f ca="1"/>
        <v>82.91</v>
      </c>
      <c r="M309" s="94" t="str">
        <f ca="1"/>
        <v>63/65"</v>
      </c>
      <c r="N309" s="94">
        <f ca="1"/>
        <v>61</v>
      </c>
      <c r="O309" s="94" t="str">
        <f ca="1"/>
        <v>Unever Dye Hole [染花破洞]</v>
      </c>
      <c r="P309" s="95" t="str">
        <f ca="1"/>
        <v>khác màu hai biên mỗi biên vào 2 inch</v>
      </c>
      <c r="Q309" s="95" t="str">
        <f ca="1"/>
        <v>balance Marker khác màu hai biên</v>
      </c>
      <c r="R309" s="96">
        <f ca="1"/>
        <v>46100</v>
      </c>
    </row>
    <row r="310" spans="1:18" s="90" customFormat="1" ht="55" customHeight="1" x14ac:dyDescent="0.35">
      <c r="A310" s="94" t="str">
        <f ca="1"/>
        <v>S25V10883</v>
      </c>
      <c r="B310" s="94" t="str">
        <f ca="1"/>
        <v>PKEK25VE0010883A</v>
      </c>
      <c r="C310" s="94" t="str">
        <f ca="1"/>
        <v>DEEP SEA</v>
      </c>
      <c r="D310" s="94" t="str">
        <f ca="1"/>
        <v>365</v>
      </c>
      <c r="E310" s="94" t="str">
        <f ca="1"/>
        <v>FV012282001A</v>
      </c>
      <c r="F310" s="94" t="str">
        <f ca="1"/>
        <v>C1500427</v>
      </c>
      <c r="G310" s="94" t="str">
        <f ca="1"/>
        <v>B</v>
      </c>
      <c r="H310" s="94" t="str">
        <f ca="1"/>
        <v>CF003120235</v>
      </c>
      <c r="I310" s="94" t="str">
        <f ca="1"/>
        <v>A</v>
      </c>
      <c r="J310" s="94">
        <f ca="1"/>
        <v>29.9</v>
      </c>
      <c r="K310" s="94"/>
      <c r="L310" s="94">
        <f ca="1"/>
        <v>108.26</v>
      </c>
      <c r="M310" s="94" t="str">
        <f ca="1"/>
        <v>63/65"</v>
      </c>
      <c r="N310" s="94">
        <f ca="1"/>
        <v>61</v>
      </c>
      <c r="O310" s="94" t="str">
        <f ca="1"/>
        <v>Friction Mark (PD) [匹染擦痕]</v>
      </c>
      <c r="P310" s="95" t="str">
        <f ca="1"/>
        <v>khác màu hai biên mỗi biên vào 2 inch</v>
      </c>
      <c r="Q310" s="95" t="str">
        <f ca="1"/>
        <v>balance Marker khác màu hai biên</v>
      </c>
      <c r="R310" s="96">
        <f ca="1"/>
        <v>46100</v>
      </c>
    </row>
    <row r="311" spans="1:18" s="90" customFormat="1" ht="55" customHeight="1" x14ac:dyDescent="0.35">
      <c r="A311" s="94" t="str">
        <f ca="1"/>
        <v>S25V10883</v>
      </c>
      <c r="B311" s="94" t="str">
        <f ca="1"/>
        <v>PKEK25VE0010883A</v>
      </c>
      <c r="C311" s="94" t="str">
        <f ca="1"/>
        <v>LEAF</v>
      </c>
      <c r="D311" s="94" t="str">
        <f ca="1"/>
        <v>396</v>
      </c>
      <c r="E311" s="94" t="str">
        <f ca="1"/>
        <v>FV012282901</v>
      </c>
      <c r="F311" s="94" t="str">
        <f ca="1"/>
        <v>C1500427</v>
      </c>
      <c r="G311" s="94" t="str">
        <f ca="1"/>
        <v>B</v>
      </c>
      <c r="H311" s="94" t="str">
        <f ca="1"/>
        <v>CF003124926</v>
      </c>
      <c r="I311" s="94" t="str">
        <f ca="1"/>
        <v>A</v>
      </c>
      <c r="J311" s="94">
        <f ca="1"/>
        <v>21.7</v>
      </c>
      <c r="K311" s="94"/>
      <c r="L311" s="94">
        <f ca="1"/>
        <v>75.72</v>
      </c>
      <c r="M311" s="94" t="str">
        <f ca="1"/>
        <v>63/65"</v>
      </c>
      <c r="N311" s="94">
        <f ca="1"/>
        <v>63</v>
      </c>
      <c r="O311" s="94" t="str">
        <f ca="1"/>
        <v/>
      </c>
      <c r="P311" s="95" t="str">
        <f ca="1"/>
        <v/>
      </c>
      <c r="Q311" s="95" t="str">
        <f ca="1"/>
        <v/>
      </c>
      <c r="R311" s="96">
        <f ca="1"/>
        <v>46105</v>
      </c>
    </row>
    <row r="312" spans="1:18" s="90" customFormat="1" ht="55" customHeight="1" x14ac:dyDescent="0.35">
      <c r="A312" s="94" t="str">
        <f ca="1"/>
        <v>S25V10883</v>
      </c>
      <c r="B312" s="94" t="str">
        <f ca="1"/>
        <v>PKEK25VE0010883A</v>
      </c>
      <c r="C312" s="94" t="str">
        <f ca="1"/>
        <v>LEAF</v>
      </c>
      <c r="D312" s="94" t="str">
        <f ca="1"/>
        <v>396</v>
      </c>
      <c r="E312" s="94" t="str">
        <f ca="1"/>
        <v>FV012282901</v>
      </c>
      <c r="F312" s="94" t="str">
        <f ca="1"/>
        <v>C1500427</v>
      </c>
      <c r="G312" s="94" t="str">
        <f ca="1"/>
        <v>B</v>
      </c>
      <c r="H312" s="94" t="str">
        <f ca="1"/>
        <v>CF003124927</v>
      </c>
      <c r="I312" s="94" t="str">
        <f ca="1"/>
        <v>A</v>
      </c>
      <c r="J312" s="94">
        <f ca="1"/>
        <v>22.4</v>
      </c>
      <c r="K312" s="94"/>
      <c r="L312" s="94">
        <f ca="1"/>
        <v>78.16</v>
      </c>
      <c r="M312" s="94" t="str">
        <f ca="1"/>
        <v>63/65"</v>
      </c>
      <c r="N312" s="94">
        <f ca="1"/>
        <v>63</v>
      </c>
      <c r="O312" s="94" t="str">
        <f ca="1"/>
        <v>Color Mark (PD) [PD沾色]</v>
      </c>
      <c r="P312" s="95" t="str">
        <f ca="1"/>
        <v/>
      </c>
      <c r="Q312" s="95" t="str">
        <f ca="1"/>
        <v/>
      </c>
      <c r="R312" s="96">
        <f ca="1"/>
        <v>46105</v>
      </c>
    </row>
    <row r="313" spans="1:18" s="90" customFormat="1" ht="55" customHeight="1" x14ac:dyDescent="0.35">
      <c r="A313" s="94" t="str">
        <f ca="1"/>
        <v>S25V10883</v>
      </c>
      <c r="B313" s="94" t="str">
        <f ca="1"/>
        <v>PKEK25VE0010883A</v>
      </c>
      <c r="C313" s="94" t="str">
        <f ca="1"/>
        <v>LEAF</v>
      </c>
      <c r="D313" s="94" t="str">
        <f ca="1"/>
        <v>396</v>
      </c>
      <c r="E313" s="94" t="str">
        <f ca="1"/>
        <v>FV012282901</v>
      </c>
      <c r="F313" s="94" t="str">
        <f ca="1"/>
        <v>C1500427</v>
      </c>
      <c r="G313" s="94" t="str">
        <f ca="1"/>
        <v>B</v>
      </c>
      <c r="H313" s="94" t="str">
        <f ca="1"/>
        <v>CF003124928</v>
      </c>
      <c r="I313" s="94" t="str">
        <f ca="1"/>
        <v>A</v>
      </c>
      <c r="J313" s="94">
        <f ca="1"/>
        <v>22.4</v>
      </c>
      <c r="K313" s="94"/>
      <c r="L313" s="94">
        <f ca="1"/>
        <v>78.16</v>
      </c>
      <c r="M313" s="94" t="str">
        <f ca="1"/>
        <v>63/65"</v>
      </c>
      <c r="N313" s="94">
        <f ca="1"/>
        <v>63</v>
      </c>
      <c r="O313" s="94" t="str">
        <f ca="1"/>
        <v>Hole (KN) [针织破洞]</v>
      </c>
      <c r="P313" s="95" t="str">
        <f ca="1"/>
        <v/>
      </c>
      <c r="Q313" s="95" t="str">
        <f ca="1"/>
        <v/>
      </c>
      <c r="R313" s="96">
        <f ca="1"/>
        <v>46105</v>
      </c>
    </row>
    <row r="314" spans="1:18" s="90" customFormat="1" ht="55" customHeight="1" x14ac:dyDescent="0.35">
      <c r="A314" s="94" t="str">
        <f ca="1"/>
        <v>S25V10883</v>
      </c>
      <c r="B314" s="94" t="str">
        <f ca="1"/>
        <v>PKEK25VE0010883A</v>
      </c>
      <c r="C314" s="94" t="str">
        <f ca="1"/>
        <v>LEAF</v>
      </c>
      <c r="D314" s="94" t="str">
        <f ca="1"/>
        <v>396</v>
      </c>
      <c r="E314" s="94" t="str">
        <f ca="1"/>
        <v>FV012282901</v>
      </c>
      <c r="F314" s="94" t="str">
        <f ca="1"/>
        <v>C1500427</v>
      </c>
      <c r="G314" s="94" t="str">
        <f ca="1"/>
        <v>B</v>
      </c>
      <c r="H314" s="94" t="str">
        <f ca="1"/>
        <v>CF003124929</v>
      </c>
      <c r="I314" s="94" t="str">
        <f ca="1"/>
        <v>A</v>
      </c>
      <c r="J314" s="94">
        <f ca="1"/>
        <v>22.3</v>
      </c>
      <c r="K314" s="94"/>
      <c r="L314" s="94">
        <f ca="1"/>
        <v>77.81</v>
      </c>
      <c r="M314" s="94" t="str">
        <f ca="1"/>
        <v>63/65"</v>
      </c>
      <c r="N314" s="94">
        <f ca="1"/>
        <v>63</v>
      </c>
      <c r="O314" s="94" t="str">
        <f ca="1"/>
        <v>Friction Mark (PD) [匹染擦痕]</v>
      </c>
      <c r="P314" s="95" t="str">
        <f ca="1"/>
        <v/>
      </c>
      <c r="Q314" s="95" t="str">
        <f ca="1"/>
        <v/>
      </c>
      <c r="R314" s="96">
        <f ca="1"/>
        <v>46105</v>
      </c>
    </row>
    <row r="315" spans="1:18" s="90" customFormat="1" ht="55" customHeight="1" x14ac:dyDescent="0.35">
      <c r="A315" s="94" t="str">
        <f ca="1"/>
        <v>S25V10883</v>
      </c>
      <c r="B315" s="94" t="str">
        <f ca="1"/>
        <v>PKEK25VE0010883A</v>
      </c>
      <c r="C315" s="94" t="str">
        <f ca="1"/>
        <v>LEAF</v>
      </c>
      <c r="D315" s="94" t="str">
        <f ca="1"/>
        <v>396</v>
      </c>
      <c r="E315" s="94" t="str">
        <f ca="1"/>
        <v>FV012282901</v>
      </c>
      <c r="F315" s="94" t="str">
        <f ca="1"/>
        <v>C1500427</v>
      </c>
      <c r="G315" s="94" t="str">
        <f ca="1"/>
        <v>B</v>
      </c>
      <c r="H315" s="94" t="str">
        <f ca="1"/>
        <v>CF003124930</v>
      </c>
      <c r="I315" s="94" t="str">
        <f ca="1"/>
        <v>A</v>
      </c>
      <c r="J315" s="94">
        <f ca="1"/>
        <v>22.3</v>
      </c>
      <c r="K315" s="94"/>
      <c r="L315" s="94">
        <f ca="1"/>
        <v>77.81</v>
      </c>
      <c r="M315" s="94" t="str">
        <f ca="1"/>
        <v>63/65"</v>
      </c>
      <c r="N315" s="94">
        <f ca="1"/>
        <v>63</v>
      </c>
      <c r="O315" s="94" t="str">
        <f ca="1"/>
        <v>Color Mark (PD) [PD沾色]</v>
      </c>
      <c r="P315" s="95" t="str">
        <f ca="1"/>
        <v/>
      </c>
      <c r="Q315" s="95" t="str">
        <f ca="1"/>
        <v/>
      </c>
      <c r="R315" s="96">
        <f ca="1"/>
        <v>46105</v>
      </c>
    </row>
    <row r="316" spans="1:18" s="90" customFormat="1" ht="55" customHeight="1" x14ac:dyDescent="0.35">
      <c r="A316" s="94" t="str">
        <f ca="1"/>
        <v>S25V10883</v>
      </c>
      <c r="B316" s="94" t="str">
        <f ca="1"/>
        <v>PKEK25VE0010883A</v>
      </c>
      <c r="C316" s="94" t="str">
        <f ca="1"/>
        <v>LEAF</v>
      </c>
      <c r="D316" s="94" t="str">
        <f ca="1"/>
        <v>396</v>
      </c>
      <c r="E316" s="94" t="str">
        <f ca="1"/>
        <v>FV012282901</v>
      </c>
      <c r="F316" s="94" t="str">
        <f ca="1"/>
        <v>C1500427</v>
      </c>
      <c r="G316" s="94" t="str">
        <f ca="1"/>
        <v>B</v>
      </c>
      <c r="H316" s="94" t="str">
        <f ca="1"/>
        <v>CF003124931</v>
      </c>
      <c r="I316" s="94" t="str">
        <f ca="1"/>
        <v>A</v>
      </c>
      <c r="J316" s="94">
        <f ca="1"/>
        <v>22.3</v>
      </c>
      <c r="K316" s="94"/>
      <c r="L316" s="94">
        <f ca="1"/>
        <v>77.81</v>
      </c>
      <c r="M316" s="94" t="str">
        <f ca="1"/>
        <v>63/65"</v>
      </c>
      <c r="N316" s="94">
        <f ca="1"/>
        <v>63</v>
      </c>
      <c r="O316" s="94" t="str">
        <f ca="1"/>
        <v/>
      </c>
      <c r="P316" s="95" t="str">
        <f ca="1"/>
        <v/>
      </c>
      <c r="Q316" s="95" t="str">
        <f ca="1"/>
        <v/>
      </c>
      <c r="R316" s="96">
        <f ca="1"/>
        <v>46105</v>
      </c>
    </row>
    <row r="317" spans="1:18" s="90" customFormat="1" ht="55" customHeight="1" x14ac:dyDescent="0.35">
      <c r="A317" s="94" t="str">
        <f ca="1"/>
        <v>S25V10883</v>
      </c>
      <c r="B317" s="94" t="str">
        <f ca="1"/>
        <v>PKEK25VE0010883A</v>
      </c>
      <c r="C317" s="94" t="str">
        <f ca="1"/>
        <v>LEAF</v>
      </c>
      <c r="D317" s="94" t="str">
        <f ca="1"/>
        <v>396</v>
      </c>
      <c r="E317" s="94" t="str">
        <f ca="1"/>
        <v>FV012282901</v>
      </c>
      <c r="F317" s="94" t="str">
        <f ca="1"/>
        <v>C1500427</v>
      </c>
      <c r="G317" s="94" t="str">
        <f ca="1"/>
        <v>B</v>
      </c>
      <c r="H317" s="94" t="str">
        <f ca="1"/>
        <v>CF003124932</v>
      </c>
      <c r="I317" s="94" t="str">
        <f ca="1"/>
        <v>A</v>
      </c>
      <c r="J317" s="94">
        <f ca="1"/>
        <v>22.2</v>
      </c>
      <c r="K317" s="94"/>
      <c r="L317" s="94">
        <f ca="1"/>
        <v>77.459999999999994</v>
      </c>
      <c r="M317" s="94" t="str">
        <f ca="1"/>
        <v>63/65"</v>
      </c>
      <c r="N317" s="94">
        <f ca="1"/>
        <v>63</v>
      </c>
      <c r="O317" s="94" t="str">
        <f ca="1"/>
        <v>Hole (KN) [针织破洞]</v>
      </c>
      <c r="P317" s="95" t="str">
        <f ca="1"/>
        <v/>
      </c>
      <c r="Q317" s="95" t="str">
        <f ca="1"/>
        <v/>
      </c>
      <c r="R317" s="96">
        <f ca="1"/>
        <v>46105</v>
      </c>
    </row>
    <row r="318" spans="1:18" s="90" customFormat="1" ht="55" customHeight="1" x14ac:dyDescent="0.35">
      <c r="A318" s="94" t="str">
        <f ca="1"/>
        <v>S25V10883</v>
      </c>
      <c r="B318" s="94" t="str">
        <f ca="1"/>
        <v>PKEK25VE0010883A</v>
      </c>
      <c r="C318" s="94" t="str">
        <f ca="1"/>
        <v>LEAF</v>
      </c>
      <c r="D318" s="94" t="str">
        <f ca="1"/>
        <v>396</v>
      </c>
      <c r="E318" s="94" t="str">
        <f ca="1"/>
        <v>FV012282901</v>
      </c>
      <c r="F318" s="94" t="str">
        <f ca="1"/>
        <v>C1500427</v>
      </c>
      <c r="G318" s="94" t="str">
        <f ca="1"/>
        <v>B</v>
      </c>
      <c r="H318" s="94" t="str">
        <f ca="1"/>
        <v>CF003124933</v>
      </c>
      <c r="I318" s="94" t="str">
        <f ca="1"/>
        <v>A</v>
      </c>
      <c r="J318" s="94">
        <f ca="1"/>
        <v>21.7</v>
      </c>
      <c r="K318" s="94"/>
      <c r="L318" s="94">
        <f ca="1"/>
        <v>75.72</v>
      </c>
      <c r="M318" s="94" t="str">
        <f ca="1"/>
        <v>63/65"</v>
      </c>
      <c r="N318" s="94">
        <f ca="1"/>
        <v>63</v>
      </c>
      <c r="O318" s="94" t="str">
        <f ca="1"/>
        <v>Hole (KN) [针织破洞]</v>
      </c>
      <c r="P318" s="95" t="str">
        <f ca="1"/>
        <v/>
      </c>
      <c r="Q318" s="95" t="str">
        <f ca="1"/>
        <v/>
      </c>
      <c r="R318" s="96">
        <f ca="1"/>
        <v>46105</v>
      </c>
    </row>
    <row r="319" spans="1:18" s="90" customFormat="1" ht="55" customHeight="1" x14ac:dyDescent="0.35">
      <c r="A319" s="94" t="str">
        <f ca="1"/>
        <v>S25V10883</v>
      </c>
      <c r="B319" s="94" t="str">
        <f ca="1"/>
        <v>PKEK25VE0010883A</v>
      </c>
      <c r="C319" s="94" t="str">
        <f ca="1"/>
        <v>LEAF</v>
      </c>
      <c r="D319" s="94" t="str">
        <f ca="1"/>
        <v>396</v>
      </c>
      <c r="E319" s="94" t="str">
        <f ca="1"/>
        <v>FV012282901</v>
      </c>
      <c r="F319" s="94" t="str">
        <f ca="1"/>
        <v>C1500427</v>
      </c>
      <c r="G319" s="94" t="str">
        <f ca="1"/>
        <v>B</v>
      </c>
      <c r="H319" s="94" t="str">
        <f ca="1"/>
        <v>CF003124934</v>
      </c>
      <c r="I319" s="94" t="str">
        <f ca="1"/>
        <v>A</v>
      </c>
      <c r="J319" s="94">
        <f ca="1"/>
        <v>22.2</v>
      </c>
      <c r="K319" s="94"/>
      <c r="L319" s="94">
        <f ca="1"/>
        <v>77.459999999999994</v>
      </c>
      <c r="M319" s="94" t="str">
        <f ca="1"/>
        <v>63/65"</v>
      </c>
      <c r="N319" s="94">
        <f ca="1"/>
        <v>63</v>
      </c>
      <c r="O319" s="94" t="str">
        <f ca="1"/>
        <v>Hole (KN) [针织破洞]</v>
      </c>
      <c r="P319" s="95" t="str">
        <f ca="1"/>
        <v/>
      </c>
      <c r="Q319" s="95" t="str">
        <f ca="1"/>
        <v/>
      </c>
      <c r="R319" s="96">
        <f ca="1"/>
        <v>46105</v>
      </c>
    </row>
    <row r="320" spans="1:18" s="90" customFormat="1" ht="55" customHeight="1" x14ac:dyDescent="0.35">
      <c r="A320" s="94" t="str">
        <f ca="1"/>
        <v>S25V10883</v>
      </c>
      <c r="B320" s="94" t="str">
        <f ca="1"/>
        <v>PKEK25VE0010883A</v>
      </c>
      <c r="C320" s="94" t="str">
        <f ca="1"/>
        <v>LEAF</v>
      </c>
      <c r="D320" s="94" t="str">
        <f ca="1"/>
        <v>396</v>
      </c>
      <c r="E320" s="94" t="str">
        <f ca="1"/>
        <v>FV012282901</v>
      </c>
      <c r="F320" s="94" t="str">
        <f ca="1"/>
        <v>C1500427</v>
      </c>
      <c r="G320" s="94" t="str">
        <f ca="1"/>
        <v>B</v>
      </c>
      <c r="H320" s="94" t="str">
        <f ca="1"/>
        <v>CF003124935</v>
      </c>
      <c r="I320" s="94" t="str">
        <f ca="1"/>
        <v>A</v>
      </c>
      <c r="J320" s="94">
        <f ca="1"/>
        <v>22.2</v>
      </c>
      <c r="K320" s="94"/>
      <c r="L320" s="94">
        <f ca="1"/>
        <v>77.459999999999994</v>
      </c>
      <c r="M320" s="94" t="str">
        <f ca="1"/>
        <v>63/65"</v>
      </c>
      <c r="N320" s="94">
        <f ca="1"/>
        <v>63</v>
      </c>
      <c r="O320" s="94" t="str">
        <f ca="1"/>
        <v>Hole (KN) [针织破洞]</v>
      </c>
      <c r="P320" s="95" t="str">
        <f ca="1"/>
        <v/>
      </c>
      <c r="Q320" s="95" t="str">
        <f ca="1"/>
        <v/>
      </c>
      <c r="R320" s="96">
        <f ca="1"/>
        <v>46105</v>
      </c>
    </row>
    <row r="321" spans="1:18" s="90" customFormat="1" ht="55" customHeight="1" x14ac:dyDescent="0.35">
      <c r="A321" s="94" t="str">
        <f ca="1"/>
        <v>S25V10883</v>
      </c>
      <c r="B321" s="94" t="str">
        <f ca="1"/>
        <v>PKEK25VE0010883A</v>
      </c>
      <c r="C321" s="94" t="str">
        <f ca="1"/>
        <v>LEAF</v>
      </c>
      <c r="D321" s="94" t="str">
        <f ca="1"/>
        <v>396</v>
      </c>
      <c r="E321" s="94" t="str">
        <f ca="1"/>
        <v>FV012282901</v>
      </c>
      <c r="F321" s="94" t="str">
        <f ca="1"/>
        <v>C1500427</v>
      </c>
      <c r="G321" s="94" t="str">
        <f ca="1"/>
        <v>B</v>
      </c>
      <c r="H321" s="94" t="str">
        <f ca="1"/>
        <v>CF003124936</v>
      </c>
      <c r="I321" s="94" t="str">
        <f ca="1"/>
        <v>A</v>
      </c>
      <c r="J321" s="94">
        <f ca="1"/>
        <v>17.899999999999999</v>
      </c>
      <c r="K321" s="94"/>
      <c r="L321" s="94">
        <f ca="1"/>
        <v>62.46</v>
      </c>
      <c r="M321" s="94" t="str">
        <f ca="1"/>
        <v>63/65"</v>
      </c>
      <c r="N321" s="94">
        <f ca="1"/>
        <v>63</v>
      </c>
      <c r="O321" s="94" t="str">
        <f ca="1"/>
        <v>Hole (KN) [针织破洞]</v>
      </c>
      <c r="P321" s="95" t="str">
        <f ca="1"/>
        <v/>
      </c>
      <c r="Q321" s="95" t="str">
        <f ca="1"/>
        <v/>
      </c>
      <c r="R321" s="96">
        <f ca="1"/>
        <v>46105</v>
      </c>
    </row>
    <row r="322" spans="1:18" s="90" customFormat="1" ht="55" customHeight="1" x14ac:dyDescent="0.35">
      <c r="A322" s="94" t="str">
        <f ca="1"/>
        <v>S25V10883</v>
      </c>
      <c r="B322" s="94" t="str">
        <f ca="1"/>
        <v>PKEK25VE0010883A</v>
      </c>
      <c r="C322" s="94" t="str">
        <f ca="1"/>
        <v>LEAF</v>
      </c>
      <c r="D322" s="94" t="str">
        <f ca="1"/>
        <v>396</v>
      </c>
      <c r="E322" s="94" t="str">
        <f ca="1"/>
        <v>FV012282901</v>
      </c>
      <c r="F322" s="94" t="str">
        <f ca="1"/>
        <v>C1500427</v>
      </c>
      <c r="G322" s="94" t="str">
        <f ca="1"/>
        <v>B</v>
      </c>
      <c r="H322" s="94" t="str">
        <f ca="1"/>
        <v>CF003124937</v>
      </c>
      <c r="I322" s="94" t="str">
        <f ca="1"/>
        <v>A</v>
      </c>
      <c r="J322" s="94">
        <f ca="1"/>
        <v>13.9</v>
      </c>
      <c r="K322" s="94"/>
      <c r="L322" s="94">
        <f ca="1"/>
        <v>48.5</v>
      </c>
      <c r="M322" s="94" t="str">
        <f ca="1"/>
        <v>63/65"</v>
      </c>
      <c r="N322" s="94">
        <f ca="1"/>
        <v>63</v>
      </c>
      <c r="O322" s="94" t="str">
        <f ca="1"/>
        <v>Friction Mark (PD) [匹染擦痕]</v>
      </c>
      <c r="P322" s="95" t="str">
        <f ca="1"/>
        <v/>
      </c>
      <c r="Q322" s="95" t="str">
        <f ca="1"/>
        <v/>
      </c>
      <c r="R322" s="96">
        <f ca="1"/>
        <v>46105</v>
      </c>
    </row>
    <row r="323" spans="1:18" s="90" customFormat="1" ht="55" customHeight="1" x14ac:dyDescent="0.35">
      <c r="A323" s="94" t="str">
        <f ca="1"/>
        <v>S25V10883</v>
      </c>
      <c r="B323" s="94" t="str">
        <f ca="1"/>
        <v>PKEK25VE0010883A</v>
      </c>
      <c r="C323" s="94" t="str">
        <f ca="1"/>
        <v>LEAF</v>
      </c>
      <c r="D323" s="94" t="str">
        <f ca="1"/>
        <v>396</v>
      </c>
      <c r="E323" s="94" t="str">
        <f ca="1"/>
        <v>FV012282901</v>
      </c>
      <c r="F323" s="94" t="str">
        <f ca="1"/>
        <v>C1500427</v>
      </c>
      <c r="G323" s="94" t="str">
        <f ca="1"/>
        <v>B</v>
      </c>
      <c r="H323" s="94" t="str">
        <f ca="1"/>
        <v>CF003124938</v>
      </c>
      <c r="I323" s="94" t="str">
        <f ca="1"/>
        <v>A</v>
      </c>
      <c r="J323" s="94">
        <f ca="1"/>
        <v>22.4</v>
      </c>
      <c r="K323" s="94"/>
      <c r="L323" s="94">
        <f ca="1"/>
        <v>78.16</v>
      </c>
      <c r="M323" s="94" t="str">
        <f ca="1"/>
        <v>63/65"</v>
      </c>
      <c r="N323" s="94">
        <f ca="1"/>
        <v>63</v>
      </c>
      <c r="O323" s="94" t="str">
        <f ca="1"/>
        <v>Friction Mark (PD) [匹染擦痕]</v>
      </c>
      <c r="P323" s="95" t="str">
        <f ca="1"/>
        <v/>
      </c>
      <c r="Q323" s="95" t="str">
        <f ca="1"/>
        <v/>
      </c>
      <c r="R323" s="96">
        <f ca="1"/>
        <v>46105</v>
      </c>
    </row>
    <row r="324" spans="1:18" s="90" customFormat="1" ht="55" customHeight="1" x14ac:dyDescent="0.35">
      <c r="A324" s="94" t="str">
        <f ca="1"/>
        <v>S25V10883</v>
      </c>
      <c r="B324" s="94" t="str">
        <f ca="1"/>
        <v>PKEK25VE0010883A</v>
      </c>
      <c r="C324" s="94" t="str">
        <f ca="1"/>
        <v>LEAF</v>
      </c>
      <c r="D324" s="94" t="str">
        <f ca="1"/>
        <v>396</v>
      </c>
      <c r="E324" s="94" t="str">
        <f ca="1"/>
        <v>FV012282901</v>
      </c>
      <c r="F324" s="94" t="str">
        <f ca="1"/>
        <v>C1500427</v>
      </c>
      <c r="G324" s="94" t="str">
        <f ca="1"/>
        <v>B</v>
      </c>
      <c r="H324" s="94" t="str">
        <f ca="1"/>
        <v>CF003124939</v>
      </c>
      <c r="I324" s="94" t="str">
        <f ca="1"/>
        <v>A</v>
      </c>
      <c r="J324" s="94">
        <f ca="1"/>
        <v>22.5</v>
      </c>
      <c r="K324" s="94"/>
      <c r="L324" s="94">
        <f ca="1"/>
        <v>78.510000000000005</v>
      </c>
      <c r="M324" s="94" t="str">
        <f ca="1"/>
        <v>63/65"</v>
      </c>
      <c r="N324" s="94">
        <f ca="1"/>
        <v>63</v>
      </c>
      <c r="O324" s="94" t="str">
        <f ca="1"/>
        <v>Hole (KN) [针织破洞]</v>
      </c>
      <c r="P324" s="95" t="str">
        <f ca="1"/>
        <v/>
      </c>
      <c r="Q324" s="95" t="str">
        <f ca="1"/>
        <v/>
      </c>
      <c r="R324" s="96">
        <f ca="1"/>
        <v>46105</v>
      </c>
    </row>
    <row r="325" spans="1:18" s="90" customFormat="1" ht="55" customHeight="1" x14ac:dyDescent="0.35">
      <c r="A325" s="94" t="str">
        <f ca="1"/>
        <v>S25V10883</v>
      </c>
      <c r="B325" s="94" t="str">
        <f ca="1"/>
        <v>PKEK25VE0010883A</v>
      </c>
      <c r="C325" s="94" t="str">
        <f ca="1"/>
        <v>LEAF</v>
      </c>
      <c r="D325" s="94" t="str">
        <f ca="1"/>
        <v>396</v>
      </c>
      <c r="E325" s="94" t="str">
        <f ca="1"/>
        <v>FV012282901</v>
      </c>
      <c r="F325" s="94" t="str">
        <f ca="1"/>
        <v>C1500427</v>
      </c>
      <c r="G325" s="94" t="str">
        <f ca="1"/>
        <v>B</v>
      </c>
      <c r="H325" s="94" t="str">
        <f ca="1"/>
        <v>CF003124940</v>
      </c>
      <c r="I325" s="94" t="str">
        <f ca="1"/>
        <v>A</v>
      </c>
      <c r="J325" s="94">
        <f ca="1"/>
        <v>22.4</v>
      </c>
      <c r="K325" s="94"/>
      <c r="L325" s="94">
        <f ca="1"/>
        <v>78.16</v>
      </c>
      <c r="M325" s="94" t="str">
        <f ca="1"/>
        <v>63/65"</v>
      </c>
      <c r="N325" s="94">
        <f ca="1"/>
        <v>63</v>
      </c>
      <c r="O325" s="94" t="str">
        <f ca="1"/>
        <v/>
      </c>
      <c r="P325" s="95" t="str">
        <f ca="1"/>
        <v/>
      </c>
      <c r="Q325" s="95" t="str">
        <f ca="1"/>
        <v/>
      </c>
      <c r="R325" s="96">
        <f ca="1"/>
        <v>46105</v>
      </c>
    </row>
    <row r="326" spans="1:18" s="90" customFormat="1" ht="55" customHeight="1" x14ac:dyDescent="0.35">
      <c r="A326" s="94" t="str">
        <f ca="1"/>
        <v>S25V10883</v>
      </c>
      <c r="B326" s="94" t="str">
        <f ca="1"/>
        <v>PKEK25VE0010883A</v>
      </c>
      <c r="C326" s="94" t="str">
        <f ca="1"/>
        <v>LEAF</v>
      </c>
      <c r="D326" s="94" t="str">
        <f ca="1"/>
        <v>396</v>
      </c>
      <c r="E326" s="94" t="str">
        <f ca="1"/>
        <v>FV012282901</v>
      </c>
      <c r="F326" s="94" t="str">
        <f ca="1"/>
        <v>C1500427</v>
      </c>
      <c r="G326" s="94" t="str">
        <f ca="1"/>
        <v>B</v>
      </c>
      <c r="H326" s="94" t="str">
        <f ca="1"/>
        <v>CF003124941</v>
      </c>
      <c r="I326" s="94" t="str">
        <f ca="1"/>
        <v>A</v>
      </c>
      <c r="J326" s="94">
        <f ca="1"/>
        <v>22.3</v>
      </c>
      <c r="K326" s="94"/>
      <c r="L326" s="94">
        <f ca="1"/>
        <v>77.81</v>
      </c>
      <c r="M326" s="94" t="str">
        <f ca="1"/>
        <v>63/65"</v>
      </c>
      <c r="N326" s="94">
        <f ca="1"/>
        <v>63</v>
      </c>
      <c r="O326" s="94" t="str">
        <f ca="1"/>
        <v/>
      </c>
      <c r="P326" s="95" t="str">
        <f ca="1"/>
        <v/>
      </c>
      <c r="Q326" s="95" t="str">
        <f ca="1"/>
        <v/>
      </c>
      <c r="R326" s="96">
        <f ca="1"/>
        <v>46105</v>
      </c>
    </row>
    <row r="327" spans="1:18" s="90" customFormat="1" ht="55" customHeight="1" x14ac:dyDescent="0.35">
      <c r="A327" s="94" t="str">
        <f ca="1"/>
        <v>S25V10883</v>
      </c>
      <c r="B327" s="94" t="str">
        <f ca="1"/>
        <v>PKEK25VE0010883A</v>
      </c>
      <c r="C327" s="94" t="str">
        <f ca="1"/>
        <v>LEAF</v>
      </c>
      <c r="D327" s="94" t="str">
        <f ca="1"/>
        <v>396</v>
      </c>
      <c r="E327" s="94" t="str">
        <f ca="1"/>
        <v>FV012282901</v>
      </c>
      <c r="F327" s="94" t="str">
        <f ca="1"/>
        <v>C1500427</v>
      </c>
      <c r="G327" s="94" t="str">
        <f ca="1"/>
        <v>B</v>
      </c>
      <c r="H327" s="94" t="str">
        <f ca="1"/>
        <v>CF003124942</v>
      </c>
      <c r="I327" s="94" t="str">
        <f ca="1"/>
        <v>A</v>
      </c>
      <c r="J327" s="94">
        <f ca="1"/>
        <v>22.2</v>
      </c>
      <c r="K327" s="94"/>
      <c r="L327" s="94">
        <f ca="1"/>
        <v>77.459999999999994</v>
      </c>
      <c r="M327" s="94" t="str">
        <f ca="1"/>
        <v>63/65"</v>
      </c>
      <c r="N327" s="94">
        <f ca="1"/>
        <v>63</v>
      </c>
      <c r="O327" s="94" t="str">
        <f ca="1"/>
        <v>Hole (KN) [针织破洞]</v>
      </c>
      <c r="P327" s="95" t="str">
        <f ca="1"/>
        <v/>
      </c>
      <c r="Q327" s="95" t="str">
        <f ca="1"/>
        <v/>
      </c>
      <c r="R327" s="96">
        <f ca="1"/>
        <v>46105</v>
      </c>
    </row>
    <row r="328" spans="1:18" s="90" customFormat="1" ht="55" customHeight="1" x14ac:dyDescent="0.35">
      <c r="A328" s="94" t="str">
        <f ca="1"/>
        <v>S25V10883</v>
      </c>
      <c r="B328" s="94" t="str">
        <f ca="1"/>
        <v>PKEK25VE0010883A</v>
      </c>
      <c r="C328" s="94" t="str">
        <f ca="1"/>
        <v>LEAF</v>
      </c>
      <c r="D328" s="94" t="str">
        <f ca="1"/>
        <v>396</v>
      </c>
      <c r="E328" s="94" t="str">
        <f ca="1"/>
        <v>FV012282901</v>
      </c>
      <c r="F328" s="94" t="str">
        <f ca="1"/>
        <v>C1500427</v>
      </c>
      <c r="G328" s="94" t="str">
        <f ca="1"/>
        <v>B</v>
      </c>
      <c r="H328" s="94" t="str">
        <f ca="1"/>
        <v>CF003124943</v>
      </c>
      <c r="I328" s="94" t="str">
        <f ca="1"/>
        <v>A</v>
      </c>
      <c r="J328" s="94">
        <f ca="1"/>
        <v>22.3</v>
      </c>
      <c r="K328" s="94"/>
      <c r="L328" s="94">
        <f ca="1"/>
        <v>77.81</v>
      </c>
      <c r="M328" s="94" t="str">
        <f ca="1"/>
        <v>63/65"</v>
      </c>
      <c r="N328" s="94">
        <f ca="1"/>
        <v>63</v>
      </c>
      <c r="O328" s="94" t="str">
        <f ca="1"/>
        <v/>
      </c>
      <c r="P328" s="95" t="str">
        <f ca="1"/>
        <v/>
      </c>
      <c r="Q328" s="95" t="str">
        <f ca="1"/>
        <v/>
      </c>
      <c r="R328" s="96">
        <f ca="1"/>
        <v>46105</v>
      </c>
    </row>
    <row r="329" spans="1:18" s="90" customFormat="1" ht="55" customHeight="1" x14ac:dyDescent="0.35">
      <c r="A329" s="94" t="str">
        <f ca="1"/>
        <v>S25V10883</v>
      </c>
      <c r="B329" s="94" t="str">
        <f ca="1"/>
        <v>PKEK25VE0010883A</v>
      </c>
      <c r="C329" s="94" t="str">
        <f ca="1"/>
        <v>LEAF</v>
      </c>
      <c r="D329" s="94" t="str">
        <f ca="1"/>
        <v>396</v>
      </c>
      <c r="E329" s="94" t="str">
        <f ca="1"/>
        <v>FV012282901</v>
      </c>
      <c r="F329" s="94" t="str">
        <f ca="1"/>
        <v>C1500427</v>
      </c>
      <c r="G329" s="94" t="str">
        <f ca="1"/>
        <v>B</v>
      </c>
      <c r="H329" s="94" t="str">
        <f ca="1"/>
        <v>CF003124944</v>
      </c>
      <c r="I329" s="94" t="str">
        <f ca="1"/>
        <v>A</v>
      </c>
      <c r="J329" s="94">
        <f ca="1"/>
        <v>22.3</v>
      </c>
      <c r="K329" s="94"/>
      <c r="L329" s="94">
        <f ca="1"/>
        <v>77.81</v>
      </c>
      <c r="M329" s="94" t="str">
        <f ca="1"/>
        <v>63/65"</v>
      </c>
      <c r="N329" s="94">
        <f ca="1"/>
        <v>63</v>
      </c>
      <c r="O329" s="94" t="str">
        <f ca="1"/>
        <v>Hole (KN) [针织破洞]</v>
      </c>
      <c r="P329" s="95" t="str">
        <f ca="1"/>
        <v/>
      </c>
      <c r="Q329" s="95" t="str">
        <f ca="1"/>
        <v/>
      </c>
      <c r="R329" s="96">
        <f ca="1"/>
        <v>46105</v>
      </c>
    </row>
    <row r="330" spans="1:18" s="90" customFormat="1" ht="55" customHeight="1" x14ac:dyDescent="0.35">
      <c r="A330" s="94" t="str">
        <f ca="1"/>
        <v>S25V10883</v>
      </c>
      <c r="B330" s="94" t="str">
        <f ca="1"/>
        <v>PKEK25VE0010883A</v>
      </c>
      <c r="C330" s="94" t="str">
        <f ca="1"/>
        <v>LEAF</v>
      </c>
      <c r="D330" s="94" t="str">
        <f ca="1"/>
        <v>396</v>
      </c>
      <c r="E330" s="94" t="str">
        <f ca="1"/>
        <v>FV012282901</v>
      </c>
      <c r="F330" s="94" t="str">
        <f ca="1"/>
        <v>C1500427</v>
      </c>
      <c r="G330" s="94" t="str">
        <f ca="1"/>
        <v>B</v>
      </c>
      <c r="H330" s="94" t="str">
        <f ca="1"/>
        <v>CF003124945</v>
      </c>
      <c r="I330" s="94" t="str">
        <f ca="1"/>
        <v>A</v>
      </c>
      <c r="J330" s="94">
        <f ca="1"/>
        <v>22.4</v>
      </c>
      <c r="K330" s="94"/>
      <c r="L330" s="94">
        <f ca="1"/>
        <v>78.16</v>
      </c>
      <c r="M330" s="94" t="str">
        <f ca="1"/>
        <v>63/65"</v>
      </c>
      <c r="N330" s="94">
        <f ca="1"/>
        <v>63</v>
      </c>
      <c r="O330" s="94" t="str">
        <f ca="1"/>
        <v>Hole (KN) [针织破洞]</v>
      </c>
      <c r="P330" s="95" t="str">
        <f ca="1"/>
        <v/>
      </c>
      <c r="Q330" s="95" t="str">
        <f ca="1"/>
        <v/>
      </c>
      <c r="R330" s="96">
        <f ca="1"/>
        <v>46105</v>
      </c>
    </row>
    <row r="331" spans="1:18" s="90" customFormat="1" ht="55" customHeight="1" x14ac:dyDescent="0.35">
      <c r="A331" s="94" t="str">
        <f ca="1"/>
        <v>S25V10883</v>
      </c>
      <c r="B331" s="94" t="str">
        <f ca="1"/>
        <v>PKEK25VE0010883A</v>
      </c>
      <c r="C331" s="94" t="str">
        <f ca="1"/>
        <v>LEAF</v>
      </c>
      <c r="D331" s="94" t="str">
        <f ca="1"/>
        <v>396</v>
      </c>
      <c r="E331" s="94" t="str">
        <f ca="1"/>
        <v>FV012282901</v>
      </c>
      <c r="F331" s="94" t="str">
        <f ca="1"/>
        <v>C1500427</v>
      </c>
      <c r="G331" s="94" t="str">
        <f ca="1"/>
        <v>B</v>
      </c>
      <c r="H331" s="94" t="str">
        <f ca="1"/>
        <v>CF003124946</v>
      </c>
      <c r="I331" s="94" t="str">
        <f ca="1"/>
        <v>A</v>
      </c>
      <c r="J331" s="94">
        <f ca="1"/>
        <v>14.8</v>
      </c>
      <c r="K331" s="94"/>
      <c r="L331" s="94">
        <f ca="1"/>
        <v>51.64</v>
      </c>
      <c r="M331" s="94" t="str">
        <f ca="1"/>
        <v>63/65"</v>
      </c>
      <c r="N331" s="94">
        <f ca="1"/>
        <v>63</v>
      </c>
      <c r="O331" s="94" t="str">
        <f ca="1"/>
        <v>Friction Mark (PD) [匹染擦痕]</v>
      </c>
      <c r="P331" s="95" t="str">
        <f ca="1"/>
        <v/>
      </c>
      <c r="Q331" s="95" t="str">
        <f ca="1"/>
        <v/>
      </c>
      <c r="R331" s="96">
        <f ca="1"/>
        <v>46105</v>
      </c>
    </row>
    <row r="332" spans="1:18" s="90" customFormat="1" ht="55" customHeight="1" x14ac:dyDescent="0.35">
      <c r="A332" s="94" t="str">
        <f ca="1"/>
        <v>S25V10883</v>
      </c>
      <c r="B332" s="94" t="str">
        <f ca="1"/>
        <v>PKEK25VE0010883A</v>
      </c>
      <c r="C332" s="94" t="str">
        <f ca="1"/>
        <v>LEAF</v>
      </c>
      <c r="D332" s="94" t="str">
        <f ca="1"/>
        <v>396</v>
      </c>
      <c r="E332" s="94" t="str">
        <f ca="1"/>
        <v>FV012282901</v>
      </c>
      <c r="F332" s="94" t="str">
        <f ca="1"/>
        <v>C1500427</v>
      </c>
      <c r="G332" s="94" t="str">
        <f ca="1"/>
        <v>B</v>
      </c>
      <c r="H332" s="94" t="str">
        <f ca="1"/>
        <v>CF003124947</v>
      </c>
      <c r="I332" s="94" t="str">
        <f ca="1"/>
        <v>A</v>
      </c>
      <c r="J332" s="94">
        <f ca="1"/>
        <v>20.2</v>
      </c>
      <c r="K332" s="94"/>
      <c r="L332" s="94">
        <f ca="1"/>
        <v>70.489999999999995</v>
      </c>
      <c r="M332" s="94" t="str">
        <f ca="1"/>
        <v>63/65"</v>
      </c>
      <c r="N332" s="94">
        <f ca="1"/>
        <v>63</v>
      </c>
      <c r="O332" s="94" t="str">
        <f ca="1"/>
        <v>Friction Mark (PD) [匹染擦痕]</v>
      </c>
      <c r="P332" s="95" t="str">
        <f ca="1"/>
        <v/>
      </c>
      <c r="Q332" s="95" t="str">
        <f ca="1"/>
        <v/>
      </c>
      <c r="R332" s="96">
        <f ca="1"/>
        <v>46105</v>
      </c>
    </row>
    <row r="333" spans="1:18" s="90" customFormat="1" ht="55" customHeight="1" x14ac:dyDescent="0.35">
      <c r="A333" s="94" t="str">
        <f ca="1"/>
        <v>S25V10883</v>
      </c>
      <c r="B333" s="94" t="str">
        <f ca="1"/>
        <v>PKEK25VE0010883A</v>
      </c>
      <c r="C333" s="94" t="str">
        <f ca="1"/>
        <v>LEAF</v>
      </c>
      <c r="D333" s="94" t="str">
        <f ca="1"/>
        <v>396</v>
      </c>
      <c r="E333" s="94" t="str">
        <f ca="1"/>
        <v>FV012282901</v>
      </c>
      <c r="F333" s="94" t="str">
        <f ca="1"/>
        <v>C1500427</v>
      </c>
      <c r="G333" s="94" t="str">
        <f ca="1"/>
        <v>B</v>
      </c>
      <c r="H333" s="94" t="str">
        <f ca="1"/>
        <v>CF003124948</v>
      </c>
      <c r="I333" s="94" t="str">
        <f ca="1"/>
        <v>A</v>
      </c>
      <c r="J333" s="94">
        <f ca="1"/>
        <v>20.2</v>
      </c>
      <c r="K333" s="94"/>
      <c r="L333" s="94">
        <f ca="1"/>
        <v>70.489999999999995</v>
      </c>
      <c r="M333" s="94" t="str">
        <f ca="1"/>
        <v>63/65"</v>
      </c>
      <c r="N333" s="94">
        <f ca="1"/>
        <v>63</v>
      </c>
      <c r="O333" s="94" t="str">
        <f ca="1"/>
        <v>Hole (KN) [针织破洞]</v>
      </c>
      <c r="P333" s="95" t="str">
        <f ca="1"/>
        <v/>
      </c>
      <c r="Q333" s="95" t="str">
        <f ca="1"/>
        <v/>
      </c>
      <c r="R333" s="96">
        <f ca="1"/>
        <v>46105</v>
      </c>
    </row>
    <row r="334" spans="1:18" s="90" customFormat="1" ht="55" customHeight="1" x14ac:dyDescent="0.35">
      <c r="A334" s="94" t="str">
        <f ca="1"/>
        <v>S25V10883</v>
      </c>
      <c r="B334" s="94" t="str">
        <f ca="1"/>
        <v>PKEK25VE0010883A</v>
      </c>
      <c r="C334" s="94" t="str">
        <f ca="1"/>
        <v>LEAF</v>
      </c>
      <c r="D334" s="94" t="str">
        <f ca="1"/>
        <v>396</v>
      </c>
      <c r="E334" s="94" t="str">
        <f ca="1"/>
        <v>FV012282901</v>
      </c>
      <c r="F334" s="94" t="str">
        <f ca="1"/>
        <v>C1500427</v>
      </c>
      <c r="G334" s="94" t="str">
        <f ca="1"/>
        <v>B</v>
      </c>
      <c r="H334" s="94" t="str">
        <f ca="1"/>
        <v>CF003124949</v>
      </c>
      <c r="I334" s="94" t="str">
        <f ca="1"/>
        <v>A</v>
      </c>
      <c r="J334" s="94">
        <f ca="1"/>
        <v>22.7</v>
      </c>
      <c r="K334" s="94"/>
      <c r="L334" s="94">
        <f ca="1"/>
        <v>79.209999999999994</v>
      </c>
      <c r="M334" s="94" t="str">
        <f ca="1"/>
        <v>63/65"</v>
      </c>
      <c r="N334" s="94">
        <f ca="1"/>
        <v>63</v>
      </c>
      <c r="O334" s="94" t="str">
        <f ca="1"/>
        <v>Color Mark (PD) [PD沾色]</v>
      </c>
      <c r="P334" s="95" t="str">
        <f ca="1"/>
        <v/>
      </c>
      <c r="Q334" s="95" t="str">
        <f ca="1"/>
        <v/>
      </c>
      <c r="R334" s="96">
        <f ca="1"/>
        <v>46105</v>
      </c>
    </row>
    <row r="335" spans="1:18" s="90" customFormat="1" ht="55" customHeight="1" x14ac:dyDescent="0.35">
      <c r="A335" s="94" t="str">
        <f ca="1"/>
        <v>S25V10883</v>
      </c>
      <c r="B335" s="94" t="str">
        <f ca="1"/>
        <v>PKEK25VE0010883A</v>
      </c>
      <c r="C335" s="94" t="str">
        <f ca="1"/>
        <v>LEAF</v>
      </c>
      <c r="D335" s="94" t="str">
        <f ca="1"/>
        <v>396</v>
      </c>
      <c r="E335" s="94" t="str">
        <f ca="1"/>
        <v>FV012282901</v>
      </c>
      <c r="F335" s="94" t="str">
        <f ca="1"/>
        <v>C1500427</v>
      </c>
      <c r="G335" s="94" t="str">
        <f ca="1"/>
        <v>B</v>
      </c>
      <c r="H335" s="94" t="str">
        <f ca="1"/>
        <v>CF003124950</v>
      </c>
      <c r="I335" s="94" t="str">
        <f ca="1"/>
        <v>A</v>
      </c>
      <c r="J335" s="94">
        <f ca="1"/>
        <v>22.4</v>
      </c>
      <c r="K335" s="94"/>
      <c r="L335" s="94">
        <f ca="1"/>
        <v>78.16</v>
      </c>
      <c r="M335" s="94" t="str">
        <f ca="1"/>
        <v>63/65"</v>
      </c>
      <c r="N335" s="94">
        <f ca="1"/>
        <v>63</v>
      </c>
      <c r="O335" s="94" t="str">
        <f ca="1"/>
        <v>Hole (KN) [针织破洞]</v>
      </c>
      <c r="P335" s="95" t="str">
        <f ca="1"/>
        <v/>
      </c>
      <c r="Q335" s="95" t="str">
        <f ca="1"/>
        <v/>
      </c>
      <c r="R335" s="96">
        <f ca="1"/>
        <v>46105</v>
      </c>
    </row>
    <row r="336" spans="1:18" s="90" customFormat="1" ht="55" customHeight="1" x14ac:dyDescent="0.35">
      <c r="A336" s="94" t="str">
        <f ca="1"/>
        <v>S25V10883</v>
      </c>
      <c r="B336" s="94" t="str">
        <f ca="1"/>
        <v>PKEK25VE0010883A</v>
      </c>
      <c r="C336" s="94" t="str">
        <f ca="1"/>
        <v>LEAF</v>
      </c>
      <c r="D336" s="94" t="str">
        <f ca="1"/>
        <v>396</v>
      </c>
      <c r="E336" s="94" t="str">
        <f ca="1"/>
        <v>FV012282901</v>
      </c>
      <c r="F336" s="94" t="str">
        <f ca="1"/>
        <v>C1500427</v>
      </c>
      <c r="G336" s="94" t="str">
        <f ca="1"/>
        <v>B</v>
      </c>
      <c r="H336" s="94" t="str">
        <f ca="1"/>
        <v>CF003124951</v>
      </c>
      <c r="I336" s="94" t="str">
        <f ca="1"/>
        <v>A</v>
      </c>
      <c r="J336" s="94">
        <f ca="1"/>
        <v>31.4</v>
      </c>
      <c r="K336" s="94"/>
      <c r="L336" s="94">
        <f ca="1"/>
        <v>109.57</v>
      </c>
      <c r="M336" s="94" t="str">
        <f ca="1"/>
        <v>63/65"</v>
      </c>
      <c r="N336" s="94">
        <f ca="1"/>
        <v>63</v>
      </c>
      <c r="O336" s="94" t="str">
        <f ca="1"/>
        <v>Friction Mark (PD) [匹染擦痕]</v>
      </c>
      <c r="P336" s="95" t="str">
        <f ca="1"/>
        <v/>
      </c>
      <c r="Q336" s="95" t="str">
        <f ca="1"/>
        <v/>
      </c>
      <c r="R336" s="96">
        <f ca="1"/>
        <v>46105</v>
      </c>
    </row>
    <row r="337" spans="1:18" s="90" customFormat="1" ht="55" customHeight="1" x14ac:dyDescent="0.35">
      <c r="A337" s="94" t="str">
        <f ca="1"/>
        <v>S25V10883</v>
      </c>
      <c r="B337" s="94" t="str">
        <f ca="1"/>
        <v>PKEK25VE0010883A</v>
      </c>
      <c r="C337" s="94" t="str">
        <f ca="1"/>
        <v>LEAF</v>
      </c>
      <c r="D337" s="94" t="str">
        <f ca="1"/>
        <v>396</v>
      </c>
      <c r="E337" s="94" t="str">
        <f ca="1"/>
        <v>FV012282901</v>
      </c>
      <c r="F337" s="94" t="str">
        <f ca="1"/>
        <v>C1500427</v>
      </c>
      <c r="G337" s="94" t="str">
        <f ca="1"/>
        <v>B</v>
      </c>
      <c r="H337" s="94" t="str">
        <f ca="1"/>
        <v>CF003124952</v>
      </c>
      <c r="I337" s="94" t="str">
        <f ca="1"/>
        <v>A</v>
      </c>
      <c r="J337" s="94">
        <f ca="1"/>
        <v>27.7</v>
      </c>
      <c r="K337" s="94"/>
      <c r="L337" s="94">
        <f ca="1"/>
        <v>96.66</v>
      </c>
      <c r="M337" s="94" t="str">
        <f ca="1"/>
        <v>63/65"</v>
      </c>
      <c r="N337" s="94">
        <f ca="1"/>
        <v>63</v>
      </c>
      <c r="O337" s="94" t="str">
        <f ca="1"/>
        <v>Hole (KN) [针织破洞]</v>
      </c>
      <c r="P337" s="95" t="str">
        <f ca="1"/>
        <v/>
      </c>
      <c r="Q337" s="95" t="str">
        <f ca="1"/>
        <v/>
      </c>
      <c r="R337" s="96">
        <f ca="1"/>
        <v>46105</v>
      </c>
    </row>
    <row r="338" spans="1:18" s="90" customFormat="1" ht="55" customHeight="1" x14ac:dyDescent="0.35">
      <c r="A338" s="94" t="str">
        <f ca="1"/>
        <v>S25V10883</v>
      </c>
      <c r="B338" s="94" t="str">
        <f ca="1"/>
        <v>PKEK25VE0010883A</v>
      </c>
      <c r="C338" s="94" t="str">
        <f ca="1"/>
        <v>LEAF</v>
      </c>
      <c r="D338" s="94" t="str">
        <f ca="1"/>
        <v>396</v>
      </c>
      <c r="E338" s="94" t="str">
        <f ca="1"/>
        <v>FV012282901</v>
      </c>
      <c r="F338" s="94" t="str">
        <f ca="1"/>
        <v>C1500427</v>
      </c>
      <c r="G338" s="94" t="str">
        <f ca="1"/>
        <v>B</v>
      </c>
      <c r="H338" s="94" t="str">
        <f ca="1"/>
        <v>CF003124953</v>
      </c>
      <c r="I338" s="94" t="str">
        <f ca="1"/>
        <v>A</v>
      </c>
      <c r="J338" s="94">
        <f ca="1"/>
        <v>16.899999999999999</v>
      </c>
      <c r="K338" s="94"/>
      <c r="L338" s="94">
        <f ca="1"/>
        <v>58.97</v>
      </c>
      <c r="M338" s="94" t="str">
        <f ca="1"/>
        <v>63/65"</v>
      </c>
      <c r="N338" s="94">
        <f ca="1"/>
        <v>63</v>
      </c>
      <c r="O338" s="94" t="str">
        <f ca="1"/>
        <v>Hole (KN) [针织破洞]</v>
      </c>
      <c r="P338" s="95" t="str">
        <f ca="1"/>
        <v/>
      </c>
      <c r="Q338" s="95" t="str">
        <f ca="1"/>
        <v/>
      </c>
      <c r="R338" s="96">
        <f ca="1"/>
        <v>46105</v>
      </c>
    </row>
    <row r="339" spans="1:18" s="90" customFormat="1" ht="55" customHeight="1" x14ac:dyDescent="0.35">
      <c r="A339" s="94" t="str">
        <f ca="1"/>
        <v>S25V10883</v>
      </c>
      <c r="B339" s="94" t="str">
        <f ca="1"/>
        <v>PKEK25VE0010883A</v>
      </c>
      <c r="C339" s="94" t="str">
        <f ca="1"/>
        <v>LEAF</v>
      </c>
      <c r="D339" s="94" t="str">
        <f ca="1"/>
        <v>396</v>
      </c>
      <c r="E339" s="94" t="str">
        <f ca="1"/>
        <v>FV012282901</v>
      </c>
      <c r="F339" s="94" t="str">
        <f ca="1"/>
        <v>C1500427</v>
      </c>
      <c r="G339" s="94" t="str">
        <f ca="1"/>
        <v>B</v>
      </c>
      <c r="H339" s="94" t="str">
        <f ca="1"/>
        <v>CF003124954</v>
      </c>
      <c r="I339" s="94" t="str">
        <f ca="1"/>
        <v>A</v>
      </c>
      <c r="J339" s="94">
        <f ca="1"/>
        <v>22.4</v>
      </c>
      <c r="K339" s="94"/>
      <c r="L339" s="94">
        <f ca="1"/>
        <v>78.16</v>
      </c>
      <c r="M339" s="94" t="str">
        <f ca="1"/>
        <v>63/65"</v>
      </c>
      <c r="N339" s="94">
        <f ca="1"/>
        <v>63</v>
      </c>
      <c r="O339" s="94" t="str">
        <f ca="1"/>
        <v>Hole (KN) [针织破洞]</v>
      </c>
      <c r="P339" s="95" t="str">
        <f ca="1"/>
        <v/>
      </c>
      <c r="Q339" s="95" t="str">
        <f ca="1"/>
        <v/>
      </c>
      <c r="R339" s="96">
        <f ca="1"/>
        <v>46105</v>
      </c>
    </row>
    <row r="340" spans="1:18" s="90" customFormat="1" ht="55" customHeight="1" x14ac:dyDescent="0.35">
      <c r="A340" s="94" t="str">
        <f ca="1"/>
        <v>S25V10883</v>
      </c>
      <c r="B340" s="94" t="str">
        <f ca="1"/>
        <v>PKEK25VE0010883A</v>
      </c>
      <c r="C340" s="94" t="str">
        <f ca="1"/>
        <v>LEAF</v>
      </c>
      <c r="D340" s="94" t="str">
        <f ca="1"/>
        <v>396</v>
      </c>
      <c r="E340" s="94" t="str">
        <f ca="1"/>
        <v>FV012282901</v>
      </c>
      <c r="F340" s="94" t="str">
        <f ca="1"/>
        <v>C1500427</v>
      </c>
      <c r="G340" s="94" t="str">
        <f ca="1"/>
        <v>B</v>
      </c>
      <c r="H340" s="94" t="str">
        <f ca="1"/>
        <v>CF003124955</v>
      </c>
      <c r="I340" s="94" t="str">
        <f ca="1"/>
        <v>A</v>
      </c>
      <c r="J340" s="94">
        <f ca="1"/>
        <v>22</v>
      </c>
      <c r="K340" s="94"/>
      <c r="L340" s="94">
        <f ca="1"/>
        <v>76.77</v>
      </c>
      <c r="M340" s="94" t="str">
        <f ca="1"/>
        <v>63/65"</v>
      </c>
      <c r="N340" s="94">
        <f ca="1"/>
        <v>63</v>
      </c>
      <c r="O340" s="94" t="str">
        <f ca="1"/>
        <v/>
      </c>
      <c r="P340" s="95" t="str">
        <f ca="1"/>
        <v/>
      </c>
      <c r="Q340" s="95" t="str">
        <f ca="1"/>
        <v/>
      </c>
      <c r="R340" s="96">
        <f ca="1"/>
        <v>46105</v>
      </c>
    </row>
    <row r="341" spans="1:18" s="90" customFormat="1" ht="55" customHeight="1" x14ac:dyDescent="0.35">
      <c r="A341" s="94" t="str">
        <f ca="1"/>
        <v>S25V10883</v>
      </c>
      <c r="B341" s="94" t="str">
        <f ca="1"/>
        <v>PKEK25VE0010883A</v>
      </c>
      <c r="C341" s="94" t="str">
        <f ca="1"/>
        <v>LEAF</v>
      </c>
      <c r="D341" s="94" t="str">
        <f ca="1"/>
        <v>396</v>
      </c>
      <c r="E341" s="94" t="str">
        <f ca="1"/>
        <v>FV012282901</v>
      </c>
      <c r="F341" s="94" t="str">
        <f ca="1"/>
        <v>C1500427</v>
      </c>
      <c r="G341" s="94" t="str">
        <f ca="1"/>
        <v>B</v>
      </c>
      <c r="H341" s="94" t="str">
        <f ca="1"/>
        <v>CF003124956</v>
      </c>
      <c r="I341" s="94" t="str">
        <f ca="1"/>
        <v>A</v>
      </c>
      <c r="J341" s="94">
        <f ca="1"/>
        <v>22.2</v>
      </c>
      <c r="K341" s="94"/>
      <c r="L341" s="94">
        <f ca="1"/>
        <v>77.459999999999994</v>
      </c>
      <c r="M341" s="94" t="str">
        <f ca="1"/>
        <v>63/65"</v>
      </c>
      <c r="N341" s="94">
        <f ca="1"/>
        <v>63</v>
      </c>
      <c r="O341" s="94" t="str">
        <f ca="1"/>
        <v/>
      </c>
      <c r="P341" s="95" t="str">
        <f ca="1"/>
        <v/>
      </c>
      <c r="Q341" s="95" t="str">
        <f ca="1"/>
        <v/>
      </c>
      <c r="R341" s="96">
        <f ca="1"/>
        <v>46105</v>
      </c>
    </row>
    <row r="342" spans="1:18" s="90" customFormat="1" ht="55" customHeight="1" x14ac:dyDescent="0.35">
      <c r="A342" s="94" t="str">
        <f ca="1"/>
        <v>S25V10883</v>
      </c>
      <c r="B342" s="94" t="str">
        <f ca="1"/>
        <v>PKEK25VE0010883A</v>
      </c>
      <c r="C342" s="94" t="str">
        <f ca="1"/>
        <v>LEAF</v>
      </c>
      <c r="D342" s="94" t="str">
        <f ca="1"/>
        <v>396</v>
      </c>
      <c r="E342" s="94" t="str">
        <f ca="1"/>
        <v>FV012282901</v>
      </c>
      <c r="F342" s="94" t="str">
        <f ca="1"/>
        <v>C1500427</v>
      </c>
      <c r="G342" s="94" t="str">
        <f ca="1"/>
        <v>B</v>
      </c>
      <c r="H342" s="94" t="str">
        <f ca="1"/>
        <v>CF003124957</v>
      </c>
      <c r="I342" s="94" t="str">
        <f ca="1"/>
        <v>A</v>
      </c>
      <c r="J342" s="94">
        <f ca="1"/>
        <v>22.2</v>
      </c>
      <c r="K342" s="94"/>
      <c r="L342" s="94">
        <f ca="1"/>
        <v>77.459999999999994</v>
      </c>
      <c r="M342" s="94" t="str">
        <f ca="1"/>
        <v>63/65"</v>
      </c>
      <c r="N342" s="94">
        <f ca="1"/>
        <v>63</v>
      </c>
      <c r="O342" s="94" t="str">
        <f ca="1"/>
        <v/>
      </c>
      <c r="P342" s="95" t="str">
        <f ca="1"/>
        <v/>
      </c>
      <c r="Q342" s="95" t="str">
        <f ca="1"/>
        <v/>
      </c>
      <c r="R342" s="96">
        <f ca="1"/>
        <v>46105</v>
      </c>
    </row>
    <row r="343" spans="1:18" s="90" customFormat="1" ht="55" customHeight="1" x14ac:dyDescent="0.35">
      <c r="A343" s="94" t="str">
        <f ca="1"/>
        <v>S25V10883</v>
      </c>
      <c r="B343" s="94" t="str">
        <f ca="1"/>
        <v>PKEK25VE0010883A</v>
      </c>
      <c r="C343" s="94" t="str">
        <f ca="1"/>
        <v>LEAF</v>
      </c>
      <c r="D343" s="94" t="str">
        <f ca="1"/>
        <v>396</v>
      </c>
      <c r="E343" s="94" t="str">
        <f ca="1"/>
        <v>FV012282901</v>
      </c>
      <c r="F343" s="94" t="str">
        <f ca="1"/>
        <v>C1500427</v>
      </c>
      <c r="G343" s="94" t="str">
        <f ca="1"/>
        <v>B</v>
      </c>
      <c r="H343" s="94" t="str">
        <f ca="1"/>
        <v>CF003124958</v>
      </c>
      <c r="I343" s="94" t="str">
        <f ca="1"/>
        <v>A</v>
      </c>
      <c r="J343" s="94">
        <f ca="1"/>
        <v>22.3</v>
      </c>
      <c r="K343" s="94"/>
      <c r="L343" s="94">
        <f ca="1"/>
        <v>77.81</v>
      </c>
      <c r="M343" s="94" t="str">
        <f ca="1"/>
        <v>63/65"</v>
      </c>
      <c r="N343" s="94">
        <f ca="1"/>
        <v>63</v>
      </c>
      <c r="O343" s="94" t="str">
        <f ca="1"/>
        <v>Hole (KN) [针织破洞]</v>
      </c>
      <c r="P343" s="95" t="str">
        <f ca="1"/>
        <v/>
      </c>
      <c r="Q343" s="95" t="str">
        <f ca="1"/>
        <v/>
      </c>
      <c r="R343" s="96">
        <f ca="1"/>
        <v>46105</v>
      </c>
    </row>
    <row r="344" spans="1:18" s="90" customFormat="1" ht="55" customHeight="1" x14ac:dyDescent="0.35">
      <c r="A344" s="94" t="str">
        <f ca="1"/>
        <v>S25V10883</v>
      </c>
      <c r="B344" s="94" t="str">
        <f ca="1"/>
        <v>PKEK25VE0010883A</v>
      </c>
      <c r="C344" s="94" t="str">
        <f ca="1"/>
        <v>LEAF</v>
      </c>
      <c r="D344" s="94" t="str">
        <f ca="1"/>
        <v>396</v>
      </c>
      <c r="E344" s="94" t="str">
        <f ca="1"/>
        <v>FV012282901</v>
      </c>
      <c r="F344" s="94" t="str">
        <f ca="1"/>
        <v>C1500427</v>
      </c>
      <c r="G344" s="94" t="str">
        <f ca="1"/>
        <v>B</v>
      </c>
      <c r="H344" s="94" t="str">
        <f ca="1"/>
        <v>CF003124959</v>
      </c>
      <c r="I344" s="94" t="str">
        <f ca="1"/>
        <v>A</v>
      </c>
      <c r="J344" s="94">
        <f ca="1"/>
        <v>20.7</v>
      </c>
      <c r="K344" s="94"/>
      <c r="L344" s="94">
        <f ca="1"/>
        <v>72.23</v>
      </c>
      <c r="M344" s="94" t="str">
        <f ca="1"/>
        <v>63/65"</v>
      </c>
      <c r="N344" s="94">
        <f ca="1"/>
        <v>63</v>
      </c>
      <c r="O344" s="94" t="str">
        <f ca="1"/>
        <v>White mark [白印]</v>
      </c>
      <c r="P344" s="95" t="str">
        <f ca="1"/>
        <v/>
      </c>
      <c r="Q344" s="95" t="str">
        <f ca="1"/>
        <v/>
      </c>
      <c r="R344" s="96">
        <f ca="1"/>
        <v>46105</v>
      </c>
    </row>
    <row r="345" spans="1:18" s="90" customFormat="1" ht="55" customHeight="1" x14ac:dyDescent="0.35">
      <c r="A345" s="94" t="str">
        <f ca="1"/>
        <v>S25V10883</v>
      </c>
      <c r="B345" s="94" t="str">
        <f ca="1"/>
        <v>PKEK25VE0010883A</v>
      </c>
      <c r="C345" s="94" t="str">
        <f ca="1"/>
        <v>LEAF</v>
      </c>
      <c r="D345" s="94" t="str">
        <f ca="1"/>
        <v>396</v>
      </c>
      <c r="E345" s="94" t="str">
        <f ca="1"/>
        <v>FV012282901</v>
      </c>
      <c r="F345" s="94" t="str">
        <f ca="1"/>
        <v>C1500427</v>
      </c>
      <c r="G345" s="94" t="str">
        <f ca="1"/>
        <v>B</v>
      </c>
      <c r="H345" s="94" t="str">
        <f ca="1"/>
        <v>CF003124960</v>
      </c>
      <c r="I345" s="94" t="str">
        <f ca="1"/>
        <v>A</v>
      </c>
      <c r="J345" s="94">
        <f ca="1"/>
        <v>22.7</v>
      </c>
      <c r="K345" s="94"/>
      <c r="L345" s="94">
        <f ca="1"/>
        <v>79.209999999999994</v>
      </c>
      <c r="M345" s="94" t="str">
        <f ca="1"/>
        <v>63/65"</v>
      </c>
      <c r="N345" s="94">
        <f ca="1"/>
        <v>63</v>
      </c>
      <c r="O345" s="94" t="str">
        <f ca="1"/>
        <v>Hole (KN) [针织破洞]</v>
      </c>
      <c r="P345" s="95" t="str">
        <f ca="1"/>
        <v/>
      </c>
      <c r="Q345" s="95" t="str">
        <f ca="1"/>
        <v/>
      </c>
      <c r="R345" s="96">
        <f ca="1"/>
        <v>46105</v>
      </c>
    </row>
    <row r="346" spans="1:18" s="90" customFormat="1" ht="55" customHeight="1" x14ac:dyDescent="0.35">
      <c r="A346" s="94" t="str">
        <f ca="1"/>
        <v>S25V10883</v>
      </c>
      <c r="B346" s="94" t="str">
        <f ca="1"/>
        <v>PKEK25VE0010883A</v>
      </c>
      <c r="C346" s="94" t="str">
        <f ca="1"/>
        <v>LEAF</v>
      </c>
      <c r="D346" s="94" t="str">
        <f ca="1"/>
        <v>396</v>
      </c>
      <c r="E346" s="94" t="str">
        <f ca="1"/>
        <v>FV012282901</v>
      </c>
      <c r="F346" s="94" t="str">
        <f ca="1"/>
        <v>C1500427</v>
      </c>
      <c r="G346" s="94" t="str">
        <f ca="1"/>
        <v>B</v>
      </c>
      <c r="H346" s="94" t="str">
        <f ca="1"/>
        <v>CF003124961</v>
      </c>
      <c r="I346" s="94" t="str">
        <f ca="1"/>
        <v>A</v>
      </c>
      <c r="J346" s="94">
        <f ca="1"/>
        <v>21.8</v>
      </c>
      <c r="K346" s="94"/>
      <c r="L346" s="94">
        <f ca="1"/>
        <v>76.069999999999993</v>
      </c>
      <c r="M346" s="94" t="str">
        <f ca="1"/>
        <v>63/65"</v>
      </c>
      <c r="N346" s="94">
        <f ca="1"/>
        <v>63</v>
      </c>
      <c r="O346" s="94" t="str">
        <f ca="1"/>
        <v>Friction Mark (PD) [匹染擦痕]</v>
      </c>
      <c r="P346" s="95" t="str">
        <f ca="1"/>
        <v/>
      </c>
      <c r="Q346" s="95" t="str">
        <f ca="1"/>
        <v/>
      </c>
      <c r="R346" s="96">
        <f ca="1"/>
        <v>46105</v>
      </c>
    </row>
    <row r="347" spans="1:18" s="90" customFormat="1" ht="55" customHeight="1" x14ac:dyDescent="0.35">
      <c r="A347" s="94" t="str">
        <f ca="1"/>
        <v>S25V10883</v>
      </c>
      <c r="B347" s="94" t="str">
        <f ca="1"/>
        <v>PKEK25VE0010883A</v>
      </c>
      <c r="C347" s="94" t="str">
        <f ca="1"/>
        <v>LEAF</v>
      </c>
      <c r="D347" s="94" t="str">
        <f ca="1"/>
        <v>396</v>
      </c>
      <c r="E347" s="94" t="str">
        <f ca="1"/>
        <v>FV012282901</v>
      </c>
      <c r="F347" s="94" t="str">
        <f ca="1"/>
        <v>C1500427</v>
      </c>
      <c r="G347" s="94" t="str">
        <f ca="1"/>
        <v>B</v>
      </c>
      <c r="H347" s="94" t="str">
        <f ca="1"/>
        <v>CF003124962</v>
      </c>
      <c r="I347" s="94" t="str">
        <f ca="1"/>
        <v>A</v>
      </c>
      <c r="J347" s="94">
        <f ca="1"/>
        <v>22.6</v>
      </c>
      <c r="K347" s="94"/>
      <c r="L347" s="94">
        <f ca="1"/>
        <v>78.86</v>
      </c>
      <c r="M347" s="94" t="str">
        <f ca="1"/>
        <v>63/65"</v>
      </c>
      <c r="N347" s="94">
        <f ca="1"/>
        <v>63</v>
      </c>
      <c r="O347" s="94" t="str">
        <f ca="1"/>
        <v>Oil (PD) [匹染油污]</v>
      </c>
      <c r="P347" s="95" t="str">
        <f ca="1"/>
        <v/>
      </c>
      <c r="Q347" s="95" t="str">
        <f ca="1"/>
        <v/>
      </c>
      <c r="R347" s="96">
        <f ca="1"/>
        <v>46105</v>
      </c>
    </row>
    <row r="348" spans="1:18" s="90" customFormat="1" ht="55" customHeight="1" x14ac:dyDescent="0.35">
      <c r="A348" s="94" t="str">
        <f ca="1"/>
        <v>S25V10883</v>
      </c>
      <c r="B348" s="94" t="str">
        <f ca="1"/>
        <v>PKEK25VE0010883A</v>
      </c>
      <c r="C348" s="94" t="str">
        <f ca="1"/>
        <v>LEAF</v>
      </c>
      <c r="D348" s="94" t="str">
        <f ca="1"/>
        <v>396</v>
      </c>
      <c r="E348" s="94" t="str">
        <f ca="1"/>
        <v>FV012282901</v>
      </c>
      <c r="F348" s="94" t="str">
        <f ca="1"/>
        <v>C1500427</v>
      </c>
      <c r="G348" s="94" t="str">
        <f ca="1"/>
        <v>B</v>
      </c>
      <c r="H348" s="94" t="str">
        <f ca="1"/>
        <v>CF003124963</v>
      </c>
      <c r="I348" s="94" t="str">
        <f ca="1"/>
        <v>A</v>
      </c>
      <c r="J348" s="94">
        <f ca="1"/>
        <v>22.5</v>
      </c>
      <c r="K348" s="94"/>
      <c r="L348" s="94">
        <f ca="1"/>
        <v>78.510000000000005</v>
      </c>
      <c r="M348" s="94" t="str">
        <f ca="1"/>
        <v>63/65"</v>
      </c>
      <c r="N348" s="94">
        <f ca="1"/>
        <v>63</v>
      </c>
      <c r="O348" s="94" t="str">
        <f ca="1"/>
        <v>Oil (PD) [匹染油污]</v>
      </c>
      <c r="P348" s="95" t="str">
        <f ca="1"/>
        <v/>
      </c>
      <c r="Q348" s="95" t="str">
        <f ca="1"/>
        <v/>
      </c>
      <c r="R348" s="96">
        <f ca="1"/>
        <v>46105</v>
      </c>
    </row>
    <row r="349" spans="1:18" s="90" customFormat="1" ht="55" customHeight="1" x14ac:dyDescent="0.35">
      <c r="A349" s="94" t="str">
        <f ca="1"/>
        <v>S25V10883</v>
      </c>
      <c r="B349" s="94" t="str">
        <f ca="1"/>
        <v>PKEK25VE0010883A</v>
      </c>
      <c r="C349" s="94" t="str">
        <f ca="1"/>
        <v>LEAF</v>
      </c>
      <c r="D349" s="94" t="str">
        <f ca="1"/>
        <v>396</v>
      </c>
      <c r="E349" s="94" t="str">
        <f ca="1"/>
        <v>FV012282901</v>
      </c>
      <c r="F349" s="94" t="str">
        <f ca="1"/>
        <v>C1500427</v>
      </c>
      <c r="G349" s="94" t="str">
        <f ca="1"/>
        <v>B</v>
      </c>
      <c r="H349" s="94" t="str">
        <f ca="1"/>
        <v>CF003124964</v>
      </c>
      <c r="I349" s="94" t="str">
        <f ca="1"/>
        <v>A</v>
      </c>
      <c r="J349" s="94">
        <f ca="1"/>
        <v>22.5</v>
      </c>
      <c r="K349" s="94"/>
      <c r="L349" s="94">
        <f ca="1"/>
        <v>78.510000000000005</v>
      </c>
      <c r="M349" s="94" t="str">
        <f ca="1"/>
        <v>63/65"</v>
      </c>
      <c r="N349" s="94">
        <f ca="1"/>
        <v>63</v>
      </c>
      <c r="O349" s="94" t="str">
        <f ca="1"/>
        <v>Hole (KN) [针织破洞]</v>
      </c>
      <c r="P349" s="95" t="str">
        <f ca="1"/>
        <v/>
      </c>
      <c r="Q349" s="95" t="str">
        <f ca="1"/>
        <v/>
      </c>
      <c r="R349" s="96">
        <f ca="1"/>
        <v>46105</v>
      </c>
    </row>
    <row r="350" spans="1:18" s="90" customFormat="1" ht="55" customHeight="1" x14ac:dyDescent="0.35">
      <c r="A350" s="94" t="str">
        <f ca="1"/>
        <v>S25V10883</v>
      </c>
      <c r="B350" s="94" t="str">
        <f ca="1"/>
        <v>PKEK25VE0010883A</v>
      </c>
      <c r="C350" s="94" t="str">
        <f ca="1"/>
        <v>LEAF</v>
      </c>
      <c r="D350" s="94" t="str">
        <f ca="1"/>
        <v>396</v>
      </c>
      <c r="E350" s="94" t="str">
        <f ca="1"/>
        <v>FV012282901</v>
      </c>
      <c r="F350" s="94" t="str">
        <f ca="1"/>
        <v>C1500427</v>
      </c>
      <c r="G350" s="94" t="str">
        <f ca="1"/>
        <v>B</v>
      </c>
      <c r="H350" s="94" t="str">
        <f ca="1"/>
        <v>CF003124965</v>
      </c>
      <c r="I350" s="94" t="str">
        <f ca="1"/>
        <v>A</v>
      </c>
      <c r="J350" s="94">
        <f ca="1"/>
        <v>22.5</v>
      </c>
      <c r="K350" s="94"/>
      <c r="L350" s="94">
        <f ca="1"/>
        <v>78.510000000000005</v>
      </c>
      <c r="M350" s="94" t="str">
        <f ca="1"/>
        <v>63/65"</v>
      </c>
      <c r="N350" s="94">
        <f ca="1"/>
        <v>63</v>
      </c>
      <c r="O350" s="94" t="str">
        <f ca="1"/>
        <v>White mark [白印]</v>
      </c>
      <c r="P350" s="95" t="str">
        <f ca="1"/>
        <v/>
      </c>
      <c r="Q350" s="95" t="str">
        <f ca="1"/>
        <v/>
      </c>
      <c r="R350" s="96">
        <f ca="1"/>
        <v>46105</v>
      </c>
    </row>
    <row r="351" spans="1:18" s="90" customFormat="1" ht="55" customHeight="1" x14ac:dyDescent="0.35">
      <c r="A351" s="94" t="str">
        <f ca="1"/>
        <v>S25V10883</v>
      </c>
      <c r="B351" s="94" t="str">
        <f ca="1"/>
        <v>PKEK25VE0010883A</v>
      </c>
      <c r="C351" s="94" t="str">
        <f ca="1"/>
        <v>LEAF</v>
      </c>
      <c r="D351" s="94" t="str">
        <f ca="1"/>
        <v>396</v>
      </c>
      <c r="E351" s="94" t="str">
        <f ca="1"/>
        <v>FV012282901</v>
      </c>
      <c r="F351" s="94" t="str">
        <f ca="1"/>
        <v>C1500427</v>
      </c>
      <c r="G351" s="94" t="str">
        <f ca="1"/>
        <v>B</v>
      </c>
      <c r="H351" s="94" t="str">
        <f ca="1"/>
        <v>CF003124966</v>
      </c>
      <c r="I351" s="94" t="str">
        <f ca="1"/>
        <v>A</v>
      </c>
      <c r="J351" s="94">
        <f ca="1"/>
        <v>24.2</v>
      </c>
      <c r="K351" s="94"/>
      <c r="L351" s="94">
        <f ca="1"/>
        <v>84.44</v>
      </c>
      <c r="M351" s="94" t="str">
        <f ca="1"/>
        <v>63/65"</v>
      </c>
      <c r="N351" s="94">
        <f ca="1"/>
        <v>63</v>
      </c>
      <c r="O351" s="94" t="str">
        <f ca="1"/>
        <v>Piece-up(FN) [后整接口]</v>
      </c>
      <c r="P351" s="95" t="str">
        <f ca="1"/>
        <v/>
      </c>
      <c r="Q351" s="95" t="str">
        <f ca="1"/>
        <v/>
      </c>
      <c r="R351" s="96">
        <f ca="1"/>
        <v>46105</v>
      </c>
    </row>
    <row r="352" spans="1:18" s="90" customFormat="1" ht="55" customHeight="1" x14ac:dyDescent="0.35">
      <c r="A352" s="94" t="str">
        <f ca="1"/>
        <v>S25V10883</v>
      </c>
      <c r="B352" s="94" t="str">
        <f ca="1"/>
        <v>PKEK25VE0010883A</v>
      </c>
      <c r="C352" s="94" t="str">
        <f ca="1"/>
        <v>LEAF</v>
      </c>
      <c r="D352" s="94" t="str">
        <f ca="1"/>
        <v>396</v>
      </c>
      <c r="E352" s="94" t="str">
        <f ca="1"/>
        <v>FV012282901</v>
      </c>
      <c r="F352" s="94" t="str">
        <f ca="1"/>
        <v>C1500427</v>
      </c>
      <c r="G352" s="94" t="str">
        <f ca="1"/>
        <v>B</v>
      </c>
      <c r="H352" s="94" t="str">
        <f ca="1"/>
        <v>CF003124967</v>
      </c>
      <c r="I352" s="94" t="str">
        <f ca="1"/>
        <v>A</v>
      </c>
      <c r="J352" s="94">
        <f ca="1"/>
        <v>22.5</v>
      </c>
      <c r="K352" s="94"/>
      <c r="L352" s="94">
        <f ca="1"/>
        <v>78.510000000000005</v>
      </c>
      <c r="M352" s="94" t="str">
        <f ca="1"/>
        <v>63/65"</v>
      </c>
      <c r="N352" s="94">
        <f ca="1"/>
        <v>63</v>
      </c>
      <c r="O352" s="94" t="str">
        <f ca="1"/>
        <v>White mark [白印]</v>
      </c>
      <c r="P352" s="95" t="str">
        <f ca="1"/>
        <v/>
      </c>
      <c r="Q352" s="95" t="str">
        <f ca="1"/>
        <v/>
      </c>
      <c r="R352" s="96">
        <f ca="1"/>
        <v>46105</v>
      </c>
    </row>
    <row r="353" spans="1:18" s="90" customFormat="1" ht="55" customHeight="1" x14ac:dyDescent="0.35">
      <c r="A353" s="94" t="str">
        <f ca="1"/>
        <v>S25V10883</v>
      </c>
      <c r="B353" s="94" t="str">
        <f ca="1"/>
        <v>PKEK25VE0010883A</v>
      </c>
      <c r="C353" s="94" t="str">
        <f ca="1"/>
        <v>LEAF</v>
      </c>
      <c r="D353" s="94" t="str">
        <f ca="1"/>
        <v>396</v>
      </c>
      <c r="E353" s="94" t="str">
        <f ca="1"/>
        <v>FV012282901</v>
      </c>
      <c r="F353" s="94" t="str">
        <f ca="1"/>
        <v>C1500427</v>
      </c>
      <c r="G353" s="94" t="str">
        <f ca="1"/>
        <v>B</v>
      </c>
      <c r="H353" s="94" t="str">
        <f ca="1"/>
        <v>CF003124968</v>
      </c>
      <c r="I353" s="94" t="str">
        <f ca="1"/>
        <v>A</v>
      </c>
      <c r="J353" s="94">
        <f ca="1"/>
        <v>23.8</v>
      </c>
      <c r="K353" s="94"/>
      <c r="L353" s="94">
        <f ca="1"/>
        <v>83.05</v>
      </c>
      <c r="M353" s="94" t="str">
        <f ca="1"/>
        <v>63/65"</v>
      </c>
      <c r="N353" s="94">
        <f ca="1"/>
        <v>63</v>
      </c>
      <c r="O353" s="94" t="str">
        <f ca="1"/>
        <v>Piece-up(FN) [后整接口]</v>
      </c>
      <c r="P353" s="95" t="str">
        <f ca="1"/>
        <v/>
      </c>
      <c r="Q353" s="95" t="str">
        <f ca="1"/>
        <v/>
      </c>
      <c r="R353" s="96">
        <f ca="1"/>
        <v>46105</v>
      </c>
    </row>
    <row r="354" spans="1:18" s="90" customFormat="1" ht="55" customHeight="1" x14ac:dyDescent="0.35">
      <c r="A354" s="94" t="str">
        <f ca="1"/>
        <v>S25V10883</v>
      </c>
      <c r="B354" s="94" t="str">
        <f ca="1"/>
        <v>PKEK25VE0010883A</v>
      </c>
      <c r="C354" s="94" t="str">
        <f ca="1"/>
        <v>LEAF</v>
      </c>
      <c r="D354" s="94" t="str">
        <f ca="1"/>
        <v>396</v>
      </c>
      <c r="E354" s="94" t="str">
        <f ca="1"/>
        <v>FV012282901</v>
      </c>
      <c r="F354" s="94" t="str">
        <f ca="1"/>
        <v>C1500427</v>
      </c>
      <c r="G354" s="94" t="str">
        <f ca="1"/>
        <v>B</v>
      </c>
      <c r="H354" s="94" t="str">
        <f ca="1"/>
        <v>CF003124969</v>
      </c>
      <c r="I354" s="94" t="str">
        <f ca="1"/>
        <v>A</v>
      </c>
      <c r="J354" s="94">
        <f ca="1"/>
        <v>22.7</v>
      </c>
      <c r="K354" s="94"/>
      <c r="L354" s="94">
        <f ca="1"/>
        <v>79.209999999999994</v>
      </c>
      <c r="M354" s="94" t="str">
        <f ca="1"/>
        <v>63/65"</v>
      </c>
      <c r="N354" s="94">
        <f ca="1"/>
        <v>63</v>
      </c>
      <c r="O354" s="94" t="str">
        <f ca="1"/>
        <v>Hole (KN) [针织破洞]</v>
      </c>
      <c r="P354" s="95" t="str">
        <f ca="1"/>
        <v/>
      </c>
      <c r="Q354" s="95" t="str">
        <f ca="1"/>
        <v/>
      </c>
      <c r="R354" s="96">
        <f ca="1"/>
        <v>46105</v>
      </c>
    </row>
    <row r="355" spans="1:18" s="90" customFormat="1" ht="55" customHeight="1" x14ac:dyDescent="0.35">
      <c r="A355" s="94" t="str">
        <f ca="1"/>
        <v>S25V10883</v>
      </c>
      <c r="B355" s="94" t="str">
        <f ca="1"/>
        <v>PKEK25VE0010883A</v>
      </c>
      <c r="C355" s="94" t="str">
        <f ca="1"/>
        <v>LEAF</v>
      </c>
      <c r="D355" s="94" t="str">
        <f ca="1"/>
        <v>396</v>
      </c>
      <c r="E355" s="94" t="str">
        <f ca="1"/>
        <v>FV012282901</v>
      </c>
      <c r="F355" s="94" t="str">
        <f ca="1"/>
        <v>C1500427</v>
      </c>
      <c r="G355" s="94" t="str">
        <f ca="1"/>
        <v>B</v>
      </c>
      <c r="H355" s="94" t="str">
        <f ca="1"/>
        <v>CF003124970</v>
      </c>
      <c r="I355" s="94" t="str">
        <f ca="1"/>
        <v>A</v>
      </c>
      <c r="J355" s="94">
        <f ca="1"/>
        <v>22.5</v>
      </c>
      <c r="K355" s="94"/>
      <c r="L355" s="94">
        <f ca="1"/>
        <v>78.510000000000005</v>
      </c>
      <c r="M355" s="94" t="str">
        <f ca="1"/>
        <v>63/65"</v>
      </c>
      <c r="N355" s="94">
        <f ca="1"/>
        <v>63</v>
      </c>
      <c r="O355" s="94" t="str">
        <f ca="1"/>
        <v/>
      </c>
      <c r="P355" s="95" t="str">
        <f ca="1"/>
        <v/>
      </c>
      <c r="Q355" s="95" t="str">
        <f ca="1"/>
        <v/>
      </c>
      <c r="R355" s="96">
        <f ca="1"/>
        <v>46105</v>
      </c>
    </row>
    <row r="356" spans="1:18" s="90" customFormat="1" ht="55" customHeight="1" x14ac:dyDescent="0.35">
      <c r="A356" s="94" t="str">
        <f ca="1"/>
        <v>S25V10883</v>
      </c>
      <c r="B356" s="94" t="str">
        <f ca="1"/>
        <v>PKEK25VE0010883A</v>
      </c>
      <c r="C356" s="94" t="str">
        <f ca="1"/>
        <v>LEAF</v>
      </c>
      <c r="D356" s="94" t="str">
        <f ca="1"/>
        <v>396</v>
      </c>
      <c r="E356" s="94" t="str">
        <f ca="1"/>
        <v>FV012282901</v>
      </c>
      <c r="F356" s="94" t="str">
        <f ca="1"/>
        <v>C1500427</v>
      </c>
      <c r="G356" s="94" t="str">
        <f ca="1"/>
        <v>B</v>
      </c>
      <c r="H356" s="94" t="str">
        <f ca="1"/>
        <v>CF003124971</v>
      </c>
      <c r="I356" s="94" t="str">
        <f ca="1"/>
        <v>A</v>
      </c>
      <c r="J356" s="94">
        <f ca="1"/>
        <v>22.5</v>
      </c>
      <c r="K356" s="94"/>
      <c r="L356" s="94">
        <f ca="1"/>
        <v>78.510000000000005</v>
      </c>
      <c r="M356" s="94" t="str">
        <f ca="1"/>
        <v>63/65"</v>
      </c>
      <c r="N356" s="94">
        <f ca="1"/>
        <v>63</v>
      </c>
      <c r="O356" s="94" t="str">
        <f ca="1"/>
        <v/>
      </c>
      <c r="P356" s="95" t="str">
        <f ca="1"/>
        <v/>
      </c>
      <c r="Q356" s="95" t="str">
        <f ca="1"/>
        <v/>
      </c>
      <c r="R356" s="96">
        <f ca="1"/>
        <v>46105</v>
      </c>
    </row>
    <row r="357" spans="1:18" s="90" customFormat="1" ht="55" customHeight="1" x14ac:dyDescent="0.35">
      <c r="A357" s="94" t="str">
        <f ca="1"/>
        <v>S25V10883</v>
      </c>
      <c r="B357" s="94" t="str">
        <f ca="1"/>
        <v>PKEK25VE0010883A</v>
      </c>
      <c r="C357" s="94" t="str">
        <f ca="1"/>
        <v>LEAF</v>
      </c>
      <c r="D357" s="94" t="str">
        <f ca="1"/>
        <v>396</v>
      </c>
      <c r="E357" s="94" t="str">
        <f ca="1"/>
        <v>FV012282901</v>
      </c>
      <c r="F357" s="94" t="str">
        <f ca="1"/>
        <v>C1500427</v>
      </c>
      <c r="G357" s="94" t="str">
        <f ca="1"/>
        <v>B</v>
      </c>
      <c r="H357" s="94" t="str">
        <f ca="1"/>
        <v>CF003124972</v>
      </c>
      <c r="I357" s="94" t="str">
        <f ca="1"/>
        <v>A</v>
      </c>
      <c r="J357" s="94">
        <f ca="1"/>
        <v>22.5</v>
      </c>
      <c r="K357" s="94"/>
      <c r="L357" s="94">
        <f ca="1"/>
        <v>78.510000000000005</v>
      </c>
      <c r="M357" s="94" t="str">
        <f ca="1"/>
        <v>63/65"</v>
      </c>
      <c r="N357" s="94">
        <f ca="1"/>
        <v>63</v>
      </c>
      <c r="O357" s="94" t="str">
        <f ca="1"/>
        <v>Color Mark (PD) [PD沾色]</v>
      </c>
      <c r="P357" s="95" t="str">
        <f ca="1"/>
        <v/>
      </c>
      <c r="Q357" s="95" t="str">
        <f ca="1"/>
        <v/>
      </c>
      <c r="R357" s="96">
        <f ca="1"/>
        <v>46105</v>
      </c>
    </row>
    <row r="358" spans="1:18" s="90" customFormat="1" ht="55" customHeight="1" x14ac:dyDescent="0.35">
      <c r="A358" s="94" t="str">
        <f ca="1"/>
        <v>S25V10883</v>
      </c>
      <c r="B358" s="94" t="str">
        <f ca="1"/>
        <v>PKEK25VE0010883A</v>
      </c>
      <c r="C358" s="94" t="str">
        <f ca="1"/>
        <v>LEAF</v>
      </c>
      <c r="D358" s="94" t="str">
        <f ca="1"/>
        <v>396</v>
      </c>
      <c r="E358" s="94" t="str">
        <f ca="1"/>
        <v>FV012282901</v>
      </c>
      <c r="F358" s="94" t="str">
        <f ca="1"/>
        <v>C1500427</v>
      </c>
      <c r="G358" s="94" t="str">
        <f ca="1"/>
        <v>B</v>
      </c>
      <c r="H358" s="94" t="str">
        <f ca="1"/>
        <v>CF003124973</v>
      </c>
      <c r="I358" s="94" t="str">
        <f ca="1"/>
        <v>A</v>
      </c>
      <c r="J358" s="94">
        <f ca="1"/>
        <v>19.7</v>
      </c>
      <c r="K358" s="94"/>
      <c r="L358" s="94">
        <f ca="1"/>
        <v>68.739999999999995</v>
      </c>
      <c r="M358" s="94" t="str">
        <f ca="1"/>
        <v>63/65"</v>
      </c>
      <c r="N358" s="94">
        <f ca="1"/>
        <v>63</v>
      </c>
      <c r="O358" s="94" t="str">
        <f ca="1"/>
        <v/>
      </c>
      <c r="P358" s="95" t="str">
        <f ca="1"/>
        <v/>
      </c>
      <c r="Q358" s="95" t="str">
        <f ca="1"/>
        <v/>
      </c>
      <c r="R358" s="96">
        <f ca="1"/>
        <v>46105</v>
      </c>
    </row>
    <row r="359" spans="1:18" s="90" customFormat="1" ht="55" customHeight="1" x14ac:dyDescent="0.35">
      <c r="A359" s="94" t="str">
        <f ca="1"/>
        <v>S25V10883</v>
      </c>
      <c r="B359" s="94" t="str">
        <f ca="1"/>
        <v>PKEK25VE0010883A</v>
      </c>
      <c r="C359" s="94" t="str">
        <f ca="1"/>
        <v>LEAF</v>
      </c>
      <c r="D359" s="94" t="str">
        <f ca="1"/>
        <v>396</v>
      </c>
      <c r="E359" s="94" t="str">
        <f ca="1"/>
        <v>FV012282901</v>
      </c>
      <c r="F359" s="94" t="str">
        <f ca="1"/>
        <v>C1500427</v>
      </c>
      <c r="G359" s="94" t="str">
        <f ca="1"/>
        <v>B</v>
      </c>
      <c r="H359" s="94" t="str">
        <f ca="1"/>
        <v>CF003124974</v>
      </c>
      <c r="I359" s="94" t="str">
        <f ca="1"/>
        <v>A</v>
      </c>
      <c r="J359" s="94">
        <f ca="1"/>
        <v>32.9</v>
      </c>
      <c r="K359" s="94"/>
      <c r="L359" s="94">
        <f ca="1"/>
        <v>114.8</v>
      </c>
      <c r="M359" s="94" t="str">
        <f ca="1"/>
        <v>63/65"</v>
      </c>
      <c r="N359" s="94">
        <f ca="1"/>
        <v>63</v>
      </c>
      <c r="O359" s="94" t="str">
        <f ca="1"/>
        <v>Hole (KN) [针织破洞]</v>
      </c>
      <c r="P359" s="95" t="str">
        <f ca="1"/>
        <v/>
      </c>
      <c r="Q359" s="95" t="str">
        <f ca="1"/>
        <v/>
      </c>
      <c r="R359" s="96">
        <f ca="1"/>
        <v>46105</v>
      </c>
    </row>
    <row r="360" spans="1:18" s="90" customFormat="1" ht="55" customHeight="1" x14ac:dyDescent="0.35">
      <c r="A360" s="94" t="str">
        <f ca="1"/>
        <v>S25V10883</v>
      </c>
      <c r="B360" s="94" t="str">
        <f ca="1"/>
        <v>PKEK25VE0010883A</v>
      </c>
      <c r="C360" s="94" t="str">
        <f ca="1"/>
        <v>LEAF</v>
      </c>
      <c r="D360" s="94" t="str">
        <f ca="1"/>
        <v>396</v>
      </c>
      <c r="E360" s="94" t="str">
        <f ca="1"/>
        <v>FV012282901</v>
      </c>
      <c r="F360" s="94" t="str">
        <f ca="1"/>
        <v>C1500427</v>
      </c>
      <c r="G360" s="94" t="str">
        <f ca="1"/>
        <v>B</v>
      </c>
      <c r="H360" s="94" t="str">
        <f ca="1"/>
        <v>CF003124975</v>
      </c>
      <c r="I360" s="94" t="str">
        <f ca="1"/>
        <v>A</v>
      </c>
      <c r="J360" s="94">
        <f ca="1"/>
        <v>22.3</v>
      </c>
      <c r="K360" s="94"/>
      <c r="L360" s="94">
        <f ca="1"/>
        <v>77.81</v>
      </c>
      <c r="M360" s="94" t="str">
        <f ca="1"/>
        <v>63/65"</v>
      </c>
      <c r="N360" s="94">
        <f ca="1"/>
        <v>63</v>
      </c>
      <c r="O360" s="94" t="str">
        <f ca="1"/>
        <v>White mark [白印]</v>
      </c>
      <c r="P360" s="95" t="str">
        <f ca="1"/>
        <v/>
      </c>
      <c r="Q360" s="95" t="str">
        <f ca="1"/>
        <v/>
      </c>
      <c r="R360" s="96">
        <f ca="1"/>
        <v>46105</v>
      </c>
    </row>
    <row r="361" spans="1:18" s="90" customFormat="1" ht="55" customHeight="1" x14ac:dyDescent="0.35">
      <c r="A361" s="94" t="str">
        <f ca="1"/>
        <v>S25V10883</v>
      </c>
      <c r="B361" s="94" t="str">
        <f ca="1"/>
        <v>PKEK25VE0010883A</v>
      </c>
      <c r="C361" s="94" t="str">
        <f ca="1"/>
        <v>CANVAS</v>
      </c>
      <c r="D361" s="94" t="str">
        <f ca="1"/>
        <v>286</v>
      </c>
      <c r="E361" s="94" t="str">
        <f ca="1"/>
        <v>FV012282201</v>
      </c>
      <c r="F361" s="94" t="str">
        <f ca="1"/>
        <v>C1500427</v>
      </c>
      <c r="G361" s="94" t="str">
        <f ca="1"/>
        <v>B</v>
      </c>
      <c r="H361" s="94" t="str">
        <f ca="1"/>
        <v>CF003124976</v>
      </c>
      <c r="I361" s="94" t="str">
        <f ca="1"/>
        <v>A</v>
      </c>
      <c r="J361" s="94">
        <f ca="1"/>
        <v>22.8</v>
      </c>
      <c r="K361" s="94"/>
      <c r="L361" s="94">
        <f ca="1"/>
        <v>83.73</v>
      </c>
      <c r="M361" s="94" t="str">
        <f ca="1"/>
        <v>63/65"</v>
      </c>
      <c r="N361" s="94">
        <f ca="1"/>
        <v>62</v>
      </c>
      <c r="O361" s="94" t="str">
        <f ca="1"/>
        <v>Dirt [针织污渍]</v>
      </c>
      <c r="P361" s="95" t="str">
        <f ca="1"/>
        <v/>
      </c>
      <c r="Q361" s="95" t="str">
        <f ca="1"/>
        <v/>
      </c>
      <c r="R361" s="96">
        <f ca="1"/>
        <v>46106</v>
      </c>
    </row>
    <row r="362" spans="1:18" s="90" customFormat="1" ht="55" customHeight="1" x14ac:dyDescent="0.35">
      <c r="A362" s="94" t="str">
        <f ca="1"/>
        <v>S25V10883</v>
      </c>
      <c r="B362" s="94" t="str">
        <f ca="1"/>
        <v>PKEK25VE0010883A</v>
      </c>
      <c r="C362" s="94" t="str">
        <f ca="1"/>
        <v>CANVAS</v>
      </c>
      <c r="D362" s="94" t="str">
        <f ca="1"/>
        <v>286</v>
      </c>
      <c r="E362" s="94" t="str">
        <f ca="1"/>
        <v>FV012282201</v>
      </c>
      <c r="F362" s="94" t="str">
        <f ca="1"/>
        <v>C1500427</v>
      </c>
      <c r="G362" s="94" t="str">
        <f ca="1"/>
        <v>B</v>
      </c>
      <c r="H362" s="94" t="str">
        <f ca="1"/>
        <v>CF003124977</v>
      </c>
      <c r="I362" s="94" t="str">
        <f ca="1"/>
        <v>A</v>
      </c>
      <c r="J362" s="94">
        <f ca="1"/>
        <v>22.6</v>
      </c>
      <c r="K362" s="94"/>
      <c r="L362" s="94">
        <f ca="1"/>
        <v>82.99</v>
      </c>
      <c r="M362" s="94" t="str">
        <f ca="1"/>
        <v>63/65"</v>
      </c>
      <c r="N362" s="94">
        <f ca="1"/>
        <v>62</v>
      </c>
      <c r="O362" s="94" t="str">
        <f ca="1"/>
        <v>Color Mark (PD) [PD沾色]</v>
      </c>
      <c r="P362" s="95" t="str">
        <f ca="1"/>
        <v/>
      </c>
      <c r="Q362" s="95" t="str">
        <f ca="1"/>
        <v/>
      </c>
      <c r="R362" s="96">
        <f ca="1"/>
        <v>46106</v>
      </c>
    </row>
    <row r="363" spans="1:18" s="90" customFormat="1" ht="55" customHeight="1" x14ac:dyDescent="0.35">
      <c r="A363" s="94" t="str">
        <f ca="1"/>
        <v>S25V10883</v>
      </c>
      <c r="B363" s="94" t="str">
        <f ca="1"/>
        <v>PKEK25VE0010883A</v>
      </c>
      <c r="C363" s="94" t="str">
        <f ca="1"/>
        <v>CANVAS</v>
      </c>
      <c r="D363" s="94" t="str">
        <f ca="1"/>
        <v>286</v>
      </c>
      <c r="E363" s="94" t="str">
        <f ca="1"/>
        <v>FV012282201</v>
      </c>
      <c r="F363" s="94" t="str">
        <f ca="1"/>
        <v>C1500427</v>
      </c>
      <c r="G363" s="94" t="str">
        <f ca="1"/>
        <v>B</v>
      </c>
      <c r="H363" s="94" t="str">
        <f ca="1"/>
        <v>CF003124978</v>
      </c>
      <c r="I363" s="94" t="str">
        <f ca="1"/>
        <v>A</v>
      </c>
      <c r="J363" s="94">
        <f ca="1"/>
        <v>22.5</v>
      </c>
      <c r="K363" s="94"/>
      <c r="L363" s="94">
        <f ca="1"/>
        <v>82.62</v>
      </c>
      <c r="M363" s="94" t="str">
        <f ca="1"/>
        <v>63/65"</v>
      </c>
      <c r="N363" s="94">
        <f ca="1"/>
        <v>62</v>
      </c>
      <c r="O363" s="94" t="str">
        <f ca="1"/>
        <v/>
      </c>
      <c r="P363" s="95" t="str">
        <f ca="1"/>
        <v/>
      </c>
      <c r="Q363" s="95" t="str">
        <f ca="1"/>
        <v/>
      </c>
      <c r="R363" s="96">
        <f ca="1"/>
        <v>46106</v>
      </c>
    </row>
    <row r="364" spans="1:18" s="90" customFormat="1" ht="55" customHeight="1" x14ac:dyDescent="0.35">
      <c r="A364" s="94" t="str">
        <f ca="1"/>
        <v>S25V10883</v>
      </c>
      <c r="B364" s="94" t="str">
        <f ca="1"/>
        <v>PKEK25VE0010883A</v>
      </c>
      <c r="C364" s="94" t="str">
        <f ca="1"/>
        <v>CANVAS</v>
      </c>
      <c r="D364" s="94" t="str">
        <f ca="1"/>
        <v>286</v>
      </c>
      <c r="E364" s="94" t="str">
        <f ca="1"/>
        <v>FV012282201</v>
      </c>
      <c r="F364" s="94" t="str">
        <f ca="1"/>
        <v>C1500427</v>
      </c>
      <c r="G364" s="94" t="str">
        <f ca="1"/>
        <v>B</v>
      </c>
      <c r="H364" s="94" t="str">
        <f ca="1"/>
        <v>CF003124979</v>
      </c>
      <c r="I364" s="94" t="str">
        <f ca="1"/>
        <v>A</v>
      </c>
      <c r="J364" s="94">
        <f ca="1"/>
        <v>22.5</v>
      </c>
      <c r="K364" s="94"/>
      <c r="L364" s="94">
        <f ca="1"/>
        <v>82.62</v>
      </c>
      <c r="M364" s="94" t="str">
        <f ca="1"/>
        <v>63/65"</v>
      </c>
      <c r="N364" s="94">
        <f ca="1"/>
        <v>62</v>
      </c>
      <c r="O364" s="94" t="str">
        <f ca="1"/>
        <v/>
      </c>
      <c r="P364" s="95" t="str">
        <f ca="1"/>
        <v/>
      </c>
      <c r="Q364" s="95" t="str">
        <f ca="1"/>
        <v/>
      </c>
      <c r="R364" s="96">
        <f ca="1"/>
        <v>46106</v>
      </c>
    </row>
    <row r="365" spans="1:18" s="90" customFormat="1" ht="55" customHeight="1" x14ac:dyDescent="0.35">
      <c r="A365" s="94" t="str">
        <f ca="1"/>
        <v>S25V10883</v>
      </c>
      <c r="B365" s="94" t="str">
        <f ca="1"/>
        <v>PKEK25VE0010883A</v>
      </c>
      <c r="C365" s="94" t="str">
        <f ca="1"/>
        <v>CANVAS</v>
      </c>
      <c r="D365" s="94" t="str">
        <f ca="1"/>
        <v>286</v>
      </c>
      <c r="E365" s="94" t="str">
        <f ca="1"/>
        <v>FV012282201</v>
      </c>
      <c r="F365" s="94" t="str">
        <f ca="1"/>
        <v>C1500427</v>
      </c>
      <c r="G365" s="94" t="str">
        <f ca="1"/>
        <v>B</v>
      </c>
      <c r="H365" s="94" t="str">
        <f ca="1"/>
        <v>CF003124980</v>
      </c>
      <c r="I365" s="94" t="str">
        <f ca="1"/>
        <v>A</v>
      </c>
      <c r="J365" s="94">
        <f ca="1"/>
        <v>22.5</v>
      </c>
      <c r="K365" s="94"/>
      <c r="L365" s="94">
        <f ca="1"/>
        <v>82.62</v>
      </c>
      <c r="M365" s="94" t="str">
        <f ca="1"/>
        <v>63/65"</v>
      </c>
      <c r="N365" s="94">
        <f ca="1"/>
        <v>62</v>
      </c>
      <c r="O365" s="94" t="str">
        <f ca="1"/>
        <v/>
      </c>
      <c r="P365" s="95" t="str">
        <f ca="1"/>
        <v/>
      </c>
      <c r="Q365" s="95" t="str">
        <f ca="1"/>
        <v/>
      </c>
      <c r="R365" s="96">
        <f ca="1"/>
        <v>46106</v>
      </c>
    </row>
    <row r="366" spans="1:18" s="90" customFormat="1" ht="55" customHeight="1" x14ac:dyDescent="0.35">
      <c r="A366" s="94" t="str">
        <f ca="1"/>
        <v>S25V10883</v>
      </c>
      <c r="B366" s="94" t="str">
        <f ca="1"/>
        <v>PKEK25VE0010883A</v>
      </c>
      <c r="C366" s="94" t="str">
        <f ca="1"/>
        <v>CANVAS</v>
      </c>
      <c r="D366" s="94" t="str">
        <f ca="1"/>
        <v>286</v>
      </c>
      <c r="E366" s="94" t="str">
        <f ca="1"/>
        <v>FV012282201</v>
      </c>
      <c r="F366" s="94" t="str">
        <f ca="1"/>
        <v>C1500427</v>
      </c>
      <c r="G366" s="94" t="str">
        <f ca="1"/>
        <v>B</v>
      </c>
      <c r="H366" s="94" t="str">
        <f ca="1"/>
        <v>CF003124981</v>
      </c>
      <c r="I366" s="94" t="str">
        <f ca="1"/>
        <v>A</v>
      </c>
      <c r="J366" s="94">
        <f ca="1"/>
        <v>22.6</v>
      </c>
      <c r="K366" s="94"/>
      <c r="L366" s="94">
        <f ca="1"/>
        <v>82.99</v>
      </c>
      <c r="M366" s="94" t="str">
        <f ca="1"/>
        <v>63/65"</v>
      </c>
      <c r="N366" s="94">
        <f ca="1"/>
        <v>62</v>
      </c>
      <c r="O366" s="94" t="str">
        <f ca="1"/>
        <v/>
      </c>
      <c r="P366" s="95" t="str">
        <f ca="1"/>
        <v/>
      </c>
      <c r="Q366" s="95" t="str">
        <f ca="1"/>
        <v/>
      </c>
      <c r="R366" s="96">
        <f ca="1"/>
        <v>46106</v>
      </c>
    </row>
    <row r="367" spans="1:18" s="90" customFormat="1" ht="55" customHeight="1" x14ac:dyDescent="0.35">
      <c r="A367" s="94" t="str">
        <f ca="1"/>
        <v>S25V10883</v>
      </c>
      <c r="B367" s="94" t="str">
        <f ca="1"/>
        <v>PKEK25VE0010883A</v>
      </c>
      <c r="C367" s="94" t="str">
        <f ca="1"/>
        <v>CANVAS</v>
      </c>
      <c r="D367" s="94" t="str">
        <f ca="1"/>
        <v>286</v>
      </c>
      <c r="E367" s="94" t="str">
        <f ca="1"/>
        <v>FV012282201</v>
      </c>
      <c r="F367" s="94" t="str">
        <f ca="1"/>
        <v>C1500427</v>
      </c>
      <c r="G367" s="94" t="str">
        <f ca="1"/>
        <v>B</v>
      </c>
      <c r="H367" s="94" t="str">
        <f ca="1"/>
        <v>CF003124982</v>
      </c>
      <c r="I367" s="94" t="str">
        <f ca="1"/>
        <v>A</v>
      </c>
      <c r="J367" s="94">
        <f ca="1"/>
        <v>30</v>
      </c>
      <c r="K367" s="94"/>
      <c r="L367" s="94">
        <f ca="1"/>
        <v>110.17</v>
      </c>
      <c r="M367" s="94" t="str">
        <f ca="1"/>
        <v>63/65"</v>
      </c>
      <c r="N367" s="94">
        <f ca="1"/>
        <v>62</v>
      </c>
      <c r="O367" s="94" t="str">
        <f ca="1"/>
        <v>Hole (KN) [针织破洞]</v>
      </c>
      <c r="P367" s="95" t="str">
        <f ca="1"/>
        <v/>
      </c>
      <c r="Q367" s="95" t="str">
        <f ca="1"/>
        <v/>
      </c>
      <c r="R367" s="96">
        <f ca="1"/>
        <v>46106</v>
      </c>
    </row>
    <row r="368" spans="1:18" s="90" customFormat="1" ht="55" customHeight="1" x14ac:dyDescent="0.35">
      <c r="A368" s="94" t="str">
        <f ca="1"/>
        <v>S25V10883</v>
      </c>
      <c r="B368" s="94" t="str">
        <f ca="1"/>
        <v>PKEK25VE0010883A</v>
      </c>
      <c r="C368" s="94" t="str">
        <f ca="1"/>
        <v>CANVAS</v>
      </c>
      <c r="D368" s="94" t="str">
        <f ca="1"/>
        <v>286</v>
      </c>
      <c r="E368" s="94" t="str">
        <f ca="1"/>
        <v>FV012282201</v>
      </c>
      <c r="F368" s="94" t="str">
        <f ca="1"/>
        <v>C1500427</v>
      </c>
      <c r="G368" s="94" t="str">
        <f ca="1"/>
        <v>B</v>
      </c>
      <c r="H368" s="94" t="str">
        <f ca="1"/>
        <v>CF003124983</v>
      </c>
      <c r="I368" s="94" t="str">
        <f ca="1"/>
        <v>A</v>
      </c>
      <c r="J368" s="94">
        <f ca="1"/>
        <v>22.6</v>
      </c>
      <c r="K368" s="94"/>
      <c r="L368" s="94">
        <f ca="1"/>
        <v>82.99</v>
      </c>
      <c r="M368" s="94" t="str">
        <f ca="1"/>
        <v>63/65"</v>
      </c>
      <c r="N368" s="94">
        <f ca="1"/>
        <v>62</v>
      </c>
      <c r="O368" s="94" t="str">
        <f ca="1"/>
        <v>Friction Mark (PD) [匹染擦痕]</v>
      </c>
      <c r="P368" s="95" t="str">
        <f ca="1"/>
        <v/>
      </c>
      <c r="Q368" s="95" t="str">
        <f ca="1"/>
        <v/>
      </c>
      <c r="R368" s="96">
        <f ca="1"/>
        <v>46106</v>
      </c>
    </row>
    <row r="369" spans="1:18" s="90" customFormat="1" ht="55" customHeight="1" x14ac:dyDescent="0.35">
      <c r="A369" s="94" t="str">
        <f ca="1"/>
        <v>S25V10883</v>
      </c>
      <c r="B369" s="94" t="str">
        <f ca="1"/>
        <v>PKEK25VE0010883A</v>
      </c>
      <c r="C369" s="94" t="str">
        <f ca="1"/>
        <v>CANVAS</v>
      </c>
      <c r="D369" s="94" t="str">
        <f ca="1"/>
        <v>286</v>
      </c>
      <c r="E369" s="94" t="str">
        <f ca="1"/>
        <v>FV012282201</v>
      </c>
      <c r="F369" s="94" t="str">
        <f ca="1"/>
        <v>C1500427</v>
      </c>
      <c r="G369" s="94" t="str">
        <f ca="1"/>
        <v>B</v>
      </c>
      <c r="H369" s="94" t="str">
        <f ca="1"/>
        <v>CF003124984</v>
      </c>
      <c r="I369" s="94" t="str">
        <f ca="1"/>
        <v>A</v>
      </c>
      <c r="J369" s="94">
        <f ca="1"/>
        <v>22.7</v>
      </c>
      <c r="K369" s="94"/>
      <c r="L369" s="94">
        <f ca="1"/>
        <v>83.36</v>
      </c>
      <c r="M369" s="94" t="str">
        <f ca="1"/>
        <v>63/65"</v>
      </c>
      <c r="N369" s="94">
        <f ca="1"/>
        <v>62</v>
      </c>
      <c r="O369" s="94" t="str">
        <f ca="1"/>
        <v/>
      </c>
      <c r="P369" s="95" t="str">
        <f ca="1"/>
        <v/>
      </c>
      <c r="Q369" s="95" t="str">
        <f ca="1"/>
        <v/>
      </c>
      <c r="R369" s="96">
        <f ca="1"/>
        <v>46106</v>
      </c>
    </row>
    <row r="370" spans="1:18" s="90" customFormat="1" ht="55" customHeight="1" x14ac:dyDescent="0.35">
      <c r="A370" s="94" t="str">
        <f ca="1"/>
        <v>S25V10883</v>
      </c>
      <c r="B370" s="94" t="str">
        <f ca="1"/>
        <v>PKEK25VE0010883A</v>
      </c>
      <c r="C370" s="94" t="str">
        <f ca="1"/>
        <v>CANVAS</v>
      </c>
      <c r="D370" s="94" t="str">
        <f ca="1"/>
        <v>286</v>
      </c>
      <c r="E370" s="94" t="str">
        <f ca="1"/>
        <v>FV012282201</v>
      </c>
      <c r="F370" s="94" t="str">
        <f ca="1"/>
        <v>C1500427</v>
      </c>
      <c r="G370" s="94" t="str">
        <f ca="1"/>
        <v>B</v>
      </c>
      <c r="H370" s="94" t="str">
        <f ca="1"/>
        <v>CF003124985</v>
      </c>
      <c r="I370" s="94" t="str">
        <f ca="1"/>
        <v>A</v>
      </c>
      <c r="J370" s="94">
        <f ca="1"/>
        <v>22.8</v>
      </c>
      <c r="K370" s="94"/>
      <c r="L370" s="94">
        <f ca="1"/>
        <v>83.73</v>
      </c>
      <c r="M370" s="94" t="str">
        <f ca="1"/>
        <v>63/65"</v>
      </c>
      <c r="N370" s="94">
        <f ca="1"/>
        <v>62</v>
      </c>
      <c r="O370" s="94" t="str">
        <f ca="1"/>
        <v/>
      </c>
      <c r="P370" s="95" t="str">
        <f ca="1"/>
        <v/>
      </c>
      <c r="Q370" s="95" t="str">
        <f ca="1"/>
        <v/>
      </c>
      <c r="R370" s="96">
        <f ca="1"/>
        <v>46106</v>
      </c>
    </row>
    <row r="371" spans="1:18" s="90" customFormat="1" ht="55" customHeight="1" x14ac:dyDescent="0.35">
      <c r="A371" s="94" t="str">
        <f ca="1"/>
        <v>S25V10883</v>
      </c>
      <c r="B371" s="94" t="str">
        <f ca="1"/>
        <v>PKEK25VE0010883A</v>
      </c>
      <c r="C371" s="94" t="str">
        <f ca="1"/>
        <v>CANVAS</v>
      </c>
      <c r="D371" s="94" t="str">
        <f ca="1"/>
        <v>286</v>
      </c>
      <c r="E371" s="94" t="str">
        <f ca="1"/>
        <v>FV012282201</v>
      </c>
      <c r="F371" s="94" t="str">
        <f ca="1"/>
        <v>C1500427</v>
      </c>
      <c r="G371" s="94" t="str">
        <f ca="1"/>
        <v>B</v>
      </c>
      <c r="H371" s="94" t="str">
        <f ca="1"/>
        <v>CF003124986</v>
      </c>
      <c r="I371" s="94" t="str">
        <f ca="1"/>
        <v>A</v>
      </c>
      <c r="J371" s="94">
        <f ca="1"/>
        <v>18.8</v>
      </c>
      <c r="K371" s="94"/>
      <c r="L371" s="94">
        <f ca="1"/>
        <v>69.040000000000006</v>
      </c>
      <c r="M371" s="94" t="str">
        <f ca="1"/>
        <v>63/65"</v>
      </c>
      <c r="N371" s="94">
        <f ca="1"/>
        <v>62</v>
      </c>
      <c r="O371" s="94" t="str">
        <f ca="1"/>
        <v/>
      </c>
      <c r="P371" s="95" t="str">
        <f ca="1"/>
        <v/>
      </c>
      <c r="Q371" s="95" t="str">
        <f ca="1"/>
        <v/>
      </c>
      <c r="R371" s="96">
        <f ca="1"/>
        <v>46106</v>
      </c>
    </row>
    <row r="372" spans="1:18" s="90" customFormat="1" ht="55" customHeight="1" x14ac:dyDescent="0.35">
      <c r="A372" s="94" t="str">
        <f ca="1"/>
        <v>S25V10883</v>
      </c>
      <c r="B372" s="94" t="str">
        <f ca="1"/>
        <v>PKEK25VE0010883A</v>
      </c>
      <c r="C372" s="94" t="str">
        <f ca="1"/>
        <v>CANVAS</v>
      </c>
      <c r="D372" s="94" t="str">
        <f ca="1"/>
        <v>286</v>
      </c>
      <c r="E372" s="94" t="str">
        <f ca="1"/>
        <v>FV012282201</v>
      </c>
      <c r="F372" s="94" t="str">
        <f ca="1"/>
        <v>C1500427</v>
      </c>
      <c r="G372" s="94" t="str">
        <f ca="1"/>
        <v>B</v>
      </c>
      <c r="H372" s="94" t="str">
        <f ca="1"/>
        <v>CF003124987</v>
      </c>
      <c r="I372" s="94" t="str">
        <f ca="1"/>
        <v>A</v>
      </c>
      <c r="J372" s="94">
        <f ca="1"/>
        <v>22.6</v>
      </c>
      <c r="K372" s="94"/>
      <c r="L372" s="94">
        <f ca="1"/>
        <v>82.99</v>
      </c>
      <c r="M372" s="94" t="str">
        <f ca="1"/>
        <v>63/65"</v>
      </c>
      <c r="N372" s="94">
        <f ca="1"/>
        <v>62</v>
      </c>
      <c r="O372" s="94" t="str">
        <f ca="1"/>
        <v>Dirt [针织污渍]</v>
      </c>
      <c r="P372" s="95" t="str">
        <f ca="1"/>
        <v/>
      </c>
      <c r="Q372" s="95" t="str">
        <f ca="1"/>
        <v/>
      </c>
      <c r="R372" s="96">
        <f ca="1"/>
        <v>46106</v>
      </c>
    </row>
    <row r="373" spans="1:18" s="90" customFormat="1" ht="55" customHeight="1" x14ac:dyDescent="0.35">
      <c r="A373" s="94" t="str">
        <f ca="1"/>
        <v>S25V10883</v>
      </c>
      <c r="B373" s="94" t="str">
        <f ca="1"/>
        <v>PKEK25VE0010883A</v>
      </c>
      <c r="C373" s="94" t="str">
        <f ca="1"/>
        <v>CANVAS</v>
      </c>
      <c r="D373" s="94" t="str">
        <f ca="1"/>
        <v>286</v>
      </c>
      <c r="E373" s="94" t="str">
        <f ca="1"/>
        <v>FV012282201</v>
      </c>
      <c r="F373" s="94" t="str">
        <f ca="1"/>
        <v>C1500427</v>
      </c>
      <c r="G373" s="94" t="str">
        <f ca="1"/>
        <v>B</v>
      </c>
      <c r="H373" s="94" t="str">
        <f ca="1"/>
        <v>CF003124988</v>
      </c>
      <c r="I373" s="94" t="str">
        <f ca="1"/>
        <v>A</v>
      </c>
      <c r="J373" s="94">
        <f ca="1"/>
        <v>19.2</v>
      </c>
      <c r="K373" s="94"/>
      <c r="L373" s="94">
        <f ca="1"/>
        <v>70.510000000000005</v>
      </c>
      <c r="M373" s="94" t="str">
        <f ca="1"/>
        <v>63/65"</v>
      </c>
      <c r="N373" s="94">
        <f ca="1"/>
        <v>62</v>
      </c>
      <c r="O373" s="94" t="str">
        <f ca="1"/>
        <v/>
      </c>
      <c r="P373" s="95" t="str">
        <f ca="1"/>
        <v/>
      </c>
      <c r="Q373" s="95" t="str">
        <f ca="1"/>
        <v/>
      </c>
      <c r="R373" s="96">
        <f ca="1"/>
        <v>46106</v>
      </c>
    </row>
    <row r="374" spans="1:18" s="90" customFormat="1" ht="55" customHeight="1" x14ac:dyDescent="0.35">
      <c r="A374" s="94" t="str">
        <f ca="1"/>
        <v>S25V10883</v>
      </c>
      <c r="B374" s="94" t="str">
        <f ca="1"/>
        <v>PKEK25VE0010883A</v>
      </c>
      <c r="C374" s="94" t="str">
        <f ca="1"/>
        <v>CANVAS</v>
      </c>
      <c r="D374" s="94" t="str">
        <f ca="1"/>
        <v>286</v>
      </c>
      <c r="E374" s="94" t="str">
        <f ca="1"/>
        <v>FV012282201</v>
      </c>
      <c r="F374" s="94" t="str">
        <f ca="1"/>
        <v>C1500427</v>
      </c>
      <c r="G374" s="94" t="str">
        <f ca="1"/>
        <v>B</v>
      </c>
      <c r="H374" s="94" t="str">
        <f ca="1"/>
        <v>CF003124989</v>
      </c>
      <c r="I374" s="94" t="str">
        <f ca="1"/>
        <v>A</v>
      </c>
      <c r="J374" s="94">
        <f ca="1"/>
        <v>22.4</v>
      </c>
      <c r="K374" s="94"/>
      <c r="L374" s="94">
        <f ca="1"/>
        <v>82.26</v>
      </c>
      <c r="M374" s="94" t="str">
        <f ca="1"/>
        <v>63/65"</v>
      </c>
      <c r="N374" s="94">
        <f ca="1"/>
        <v>62</v>
      </c>
      <c r="O374" s="94" t="str">
        <f ca="1"/>
        <v/>
      </c>
      <c r="P374" s="95" t="str">
        <f ca="1"/>
        <v/>
      </c>
      <c r="Q374" s="95" t="str">
        <f ca="1"/>
        <v/>
      </c>
      <c r="R374" s="96">
        <f ca="1"/>
        <v>46106</v>
      </c>
    </row>
    <row r="375" spans="1:18" s="90" customFormat="1" ht="55" customHeight="1" x14ac:dyDescent="0.35">
      <c r="A375" s="94" t="str">
        <f ca="1"/>
        <v>S25V10883</v>
      </c>
      <c r="B375" s="94" t="str">
        <f ca="1"/>
        <v>PKEK25VE0010883A</v>
      </c>
      <c r="C375" s="94" t="str">
        <f ca="1"/>
        <v>CANVAS</v>
      </c>
      <c r="D375" s="94" t="str">
        <f ca="1"/>
        <v>286</v>
      </c>
      <c r="E375" s="94" t="str">
        <f ca="1"/>
        <v>FV012282201</v>
      </c>
      <c r="F375" s="94" t="str">
        <f ca="1"/>
        <v>C1500427</v>
      </c>
      <c r="G375" s="94" t="str">
        <f ca="1"/>
        <v>B</v>
      </c>
      <c r="H375" s="94" t="str">
        <f ca="1"/>
        <v>CF003124990</v>
      </c>
      <c r="I375" s="94" t="str">
        <f ca="1"/>
        <v>A</v>
      </c>
      <c r="J375" s="94">
        <f ca="1"/>
        <v>22.7</v>
      </c>
      <c r="K375" s="94"/>
      <c r="L375" s="94">
        <f ca="1"/>
        <v>83.36</v>
      </c>
      <c r="M375" s="94" t="str">
        <f ca="1"/>
        <v>63/65"</v>
      </c>
      <c r="N375" s="94">
        <f ca="1"/>
        <v>62</v>
      </c>
      <c r="O375" s="94" t="str">
        <f ca="1"/>
        <v>Dirt [针织污渍]</v>
      </c>
      <c r="P375" s="95" t="str">
        <f ca="1"/>
        <v/>
      </c>
      <c r="Q375" s="95" t="str">
        <f ca="1"/>
        <v/>
      </c>
      <c r="R375" s="96">
        <f ca="1"/>
        <v>46106</v>
      </c>
    </row>
    <row r="376" spans="1:18" s="90" customFormat="1" ht="55" customHeight="1" x14ac:dyDescent="0.35">
      <c r="A376" s="94" t="str">
        <f ca="1"/>
        <v>S25V10883</v>
      </c>
      <c r="B376" s="94" t="str">
        <f ca="1"/>
        <v>PKEK25VE0010883A</v>
      </c>
      <c r="C376" s="94" t="str">
        <f ca="1"/>
        <v>CANVAS</v>
      </c>
      <c r="D376" s="94" t="str">
        <f ca="1"/>
        <v>286</v>
      </c>
      <c r="E376" s="94" t="str">
        <f ca="1"/>
        <v>FV012282201</v>
      </c>
      <c r="F376" s="94" t="str">
        <f ca="1"/>
        <v>C1500427</v>
      </c>
      <c r="G376" s="94" t="str">
        <f ca="1"/>
        <v>B</v>
      </c>
      <c r="H376" s="94" t="str">
        <f ca="1"/>
        <v>CF003124991</v>
      </c>
      <c r="I376" s="94" t="str">
        <f ca="1"/>
        <v>A</v>
      </c>
      <c r="J376" s="94">
        <f ca="1"/>
        <v>22.4</v>
      </c>
      <c r="K376" s="94"/>
      <c r="L376" s="94">
        <f ca="1"/>
        <v>82.26</v>
      </c>
      <c r="M376" s="94" t="str">
        <f ca="1"/>
        <v>63/65"</v>
      </c>
      <c r="N376" s="94">
        <f ca="1"/>
        <v>62</v>
      </c>
      <c r="O376" s="94" t="str">
        <f ca="1"/>
        <v/>
      </c>
      <c r="P376" s="95" t="str">
        <f ca="1"/>
        <v/>
      </c>
      <c r="Q376" s="95" t="str">
        <f ca="1"/>
        <v/>
      </c>
      <c r="R376" s="96">
        <f ca="1"/>
        <v>46106</v>
      </c>
    </row>
    <row r="377" spans="1:18" s="90" customFormat="1" ht="55" customHeight="1" x14ac:dyDescent="0.35">
      <c r="A377" s="94" t="str">
        <f ca="1"/>
        <v>S25V10883</v>
      </c>
      <c r="B377" s="94" t="str">
        <f ca="1"/>
        <v>PKEK25VE0010883A</v>
      </c>
      <c r="C377" s="94" t="str">
        <f ca="1"/>
        <v>CANVAS</v>
      </c>
      <c r="D377" s="94" t="str">
        <f ca="1"/>
        <v>286</v>
      </c>
      <c r="E377" s="94" t="str">
        <f ca="1"/>
        <v>FV012282201</v>
      </c>
      <c r="F377" s="94" t="str">
        <f ca="1"/>
        <v>C1500427</v>
      </c>
      <c r="G377" s="94" t="str">
        <f ca="1"/>
        <v>B</v>
      </c>
      <c r="H377" s="94" t="str">
        <f ca="1"/>
        <v>CF003124992</v>
      </c>
      <c r="I377" s="94" t="str">
        <f ca="1"/>
        <v>A</v>
      </c>
      <c r="J377" s="94">
        <f ca="1"/>
        <v>22.7</v>
      </c>
      <c r="K377" s="94"/>
      <c r="L377" s="94">
        <f ca="1"/>
        <v>83.36</v>
      </c>
      <c r="M377" s="94" t="str">
        <f ca="1"/>
        <v>63/65"</v>
      </c>
      <c r="N377" s="94">
        <f ca="1"/>
        <v>62</v>
      </c>
      <c r="O377" s="94" t="str">
        <f ca="1"/>
        <v>Hole (KN) [针织破洞]</v>
      </c>
      <c r="P377" s="95" t="str">
        <f ca="1"/>
        <v/>
      </c>
      <c r="Q377" s="95" t="str">
        <f ca="1"/>
        <v/>
      </c>
      <c r="R377" s="96">
        <f ca="1"/>
        <v>46106</v>
      </c>
    </row>
    <row r="378" spans="1:18" s="90" customFormat="1" ht="55" customHeight="1" x14ac:dyDescent="0.35">
      <c r="A378" s="94" t="str">
        <f ca="1"/>
        <v>S25V10883</v>
      </c>
      <c r="B378" s="94" t="str">
        <f ca="1"/>
        <v>PKEK25VE0010883A</v>
      </c>
      <c r="C378" s="94" t="str">
        <f ca="1"/>
        <v>CANVAS</v>
      </c>
      <c r="D378" s="94" t="str">
        <f ca="1"/>
        <v>286</v>
      </c>
      <c r="E378" s="94" t="str">
        <f ca="1"/>
        <v>FV012282201</v>
      </c>
      <c r="F378" s="94" t="str">
        <f ca="1"/>
        <v>C1500427</v>
      </c>
      <c r="G378" s="94" t="str">
        <f ca="1"/>
        <v>B</v>
      </c>
      <c r="H378" s="94" t="str">
        <f ca="1"/>
        <v>CF003124993</v>
      </c>
      <c r="I378" s="94" t="str">
        <f ca="1"/>
        <v>A</v>
      </c>
      <c r="J378" s="94">
        <f ca="1"/>
        <v>22.7</v>
      </c>
      <c r="K378" s="94"/>
      <c r="L378" s="94">
        <f ca="1"/>
        <v>83.36</v>
      </c>
      <c r="M378" s="94" t="str">
        <f ca="1"/>
        <v>63/65"</v>
      </c>
      <c r="N378" s="94">
        <f ca="1"/>
        <v>62</v>
      </c>
      <c r="O378" s="94" t="str">
        <f ca="1"/>
        <v/>
      </c>
      <c r="P378" s="95" t="str">
        <f ca="1"/>
        <v/>
      </c>
      <c r="Q378" s="95" t="str">
        <f ca="1"/>
        <v/>
      </c>
      <c r="R378" s="96">
        <f ca="1"/>
        <v>46106</v>
      </c>
    </row>
    <row r="379" spans="1:18" s="90" customFormat="1" ht="55" customHeight="1" x14ac:dyDescent="0.35">
      <c r="A379" s="94" t="str">
        <f ca="1"/>
        <v>S25V10883</v>
      </c>
      <c r="B379" s="94" t="str">
        <f ca="1"/>
        <v>PKEK25VE0010883A</v>
      </c>
      <c r="C379" s="94" t="str">
        <f ca="1"/>
        <v>CANVAS</v>
      </c>
      <c r="D379" s="94" t="str">
        <f ca="1"/>
        <v>286</v>
      </c>
      <c r="E379" s="94" t="str">
        <f ca="1"/>
        <v>FV012282201</v>
      </c>
      <c r="F379" s="94" t="str">
        <f ca="1"/>
        <v>C1500427</v>
      </c>
      <c r="G379" s="94" t="str">
        <f ca="1"/>
        <v>B</v>
      </c>
      <c r="H379" s="94" t="str">
        <f ca="1"/>
        <v>CF003124994</v>
      </c>
      <c r="I379" s="94" t="str">
        <f ca="1"/>
        <v>A</v>
      </c>
      <c r="J379" s="94">
        <f ca="1"/>
        <v>22.6</v>
      </c>
      <c r="K379" s="94"/>
      <c r="L379" s="94">
        <f ca="1"/>
        <v>82.99</v>
      </c>
      <c r="M379" s="94" t="str">
        <f ca="1"/>
        <v>63/65"</v>
      </c>
      <c r="N379" s="94">
        <f ca="1"/>
        <v>62</v>
      </c>
      <c r="O379" s="94" t="str">
        <f ca="1"/>
        <v/>
      </c>
      <c r="P379" s="95" t="str">
        <f ca="1"/>
        <v/>
      </c>
      <c r="Q379" s="95" t="str">
        <f ca="1"/>
        <v/>
      </c>
      <c r="R379" s="96">
        <f ca="1"/>
        <v>46106</v>
      </c>
    </row>
    <row r="380" spans="1:18" s="90" customFormat="1" ht="55" customHeight="1" x14ac:dyDescent="0.35">
      <c r="A380" s="94" t="str">
        <f ca="1"/>
        <v>S25V10883</v>
      </c>
      <c r="B380" s="94" t="str">
        <f ca="1"/>
        <v>PKEK25VE0010883A</v>
      </c>
      <c r="C380" s="94" t="str">
        <f ca="1"/>
        <v>CANVAS</v>
      </c>
      <c r="D380" s="94" t="str">
        <f ca="1"/>
        <v>286</v>
      </c>
      <c r="E380" s="94" t="str">
        <f ca="1"/>
        <v>FV012282201</v>
      </c>
      <c r="F380" s="94" t="str">
        <f ca="1"/>
        <v>C1500427</v>
      </c>
      <c r="G380" s="94" t="str">
        <f ca="1"/>
        <v>B</v>
      </c>
      <c r="H380" s="94" t="str">
        <f ca="1"/>
        <v>CF003124995</v>
      </c>
      <c r="I380" s="94" t="str">
        <f ca="1"/>
        <v>A</v>
      </c>
      <c r="J380" s="94">
        <f ca="1"/>
        <v>22.6</v>
      </c>
      <c r="K380" s="94"/>
      <c r="L380" s="94">
        <f ca="1"/>
        <v>82.99</v>
      </c>
      <c r="M380" s="94" t="str">
        <f ca="1"/>
        <v>63/65"</v>
      </c>
      <c r="N380" s="94">
        <f ca="1"/>
        <v>62</v>
      </c>
      <c r="O380" s="94" t="str">
        <f ca="1"/>
        <v/>
      </c>
      <c r="P380" s="95" t="str">
        <f ca="1"/>
        <v/>
      </c>
      <c r="Q380" s="95" t="str">
        <f ca="1"/>
        <v/>
      </c>
      <c r="R380" s="96">
        <f ca="1"/>
        <v>46106</v>
      </c>
    </row>
    <row r="381" spans="1:18" s="90" customFormat="1" ht="55" customHeight="1" x14ac:dyDescent="0.35">
      <c r="A381" s="94" t="str">
        <f ca="1"/>
        <v>S25V10883</v>
      </c>
      <c r="B381" s="94" t="str">
        <f ca="1"/>
        <v>PKEK25VE0010883A</v>
      </c>
      <c r="C381" s="94" t="str">
        <f ca="1"/>
        <v>CANVAS</v>
      </c>
      <c r="D381" s="94" t="str">
        <f ca="1"/>
        <v>286</v>
      </c>
      <c r="E381" s="94" t="str">
        <f ca="1"/>
        <v>FV012282201</v>
      </c>
      <c r="F381" s="94" t="str">
        <f ca="1"/>
        <v>C1500427</v>
      </c>
      <c r="G381" s="94" t="str">
        <f ca="1"/>
        <v>B</v>
      </c>
      <c r="H381" s="94" t="str">
        <f ca="1"/>
        <v>CF003124996</v>
      </c>
      <c r="I381" s="94" t="str">
        <f ca="1"/>
        <v>A</v>
      </c>
      <c r="J381" s="94">
        <f ca="1"/>
        <v>22.6</v>
      </c>
      <c r="K381" s="94"/>
      <c r="L381" s="94">
        <f ca="1"/>
        <v>82.99</v>
      </c>
      <c r="M381" s="94" t="str">
        <f ca="1"/>
        <v>63/65"</v>
      </c>
      <c r="N381" s="94">
        <f ca="1"/>
        <v>62</v>
      </c>
      <c r="O381" s="94" t="str">
        <f ca="1"/>
        <v/>
      </c>
      <c r="P381" s="95" t="str">
        <f ca="1"/>
        <v/>
      </c>
      <c r="Q381" s="95" t="str">
        <f ca="1"/>
        <v/>
      </c>
      <c r="R381" s="96">
        <f ca="1"/>
        <v>46106</v>
      </c>
    </row>
    <row r="382" spans="1:18" s="90" customFormat="1" ht="55" customHeight="1" x14ac:dyDescent="0.35">
      <c r="A382" s="94" t="str">
        <f ca="1"/>
        <v>S25V10883</v>
      </c>
      <c r="B382" s="94" t="str">
        <f ca="1"/>
        <v>PKEK25VE0010883A</v>
      </c>
      <c r="C382" s="94" t="str">
        <f ca="1"/>
        <v>CANVAS</v>
      </c>
      <c r="D382" s="94" t="str">
        <f ca="1"/>
        <v>286</v>
      </c>
      <c r="E382" s="94" t="str">
        <f ca="1"/>
        <v>FV012282201</v>
      </c>
      <c r="F382" s="94" t="str">
        <f ca="1"/>
        <v>C1500427</v>
      </c>
      <c r="G382" s="94" t="str">
        <f ca="1"/>
        <v>B</v>
      </c>
      <c r="H382" s="94" t="str">
        <f ca="1"/>
        <v>CF003124997</v>
      </c>
      <c r="I382" s="94" t="str">
        <f ca="1"/>
        <v>A</v>
      </c>
      <c r="J382" s="94">
        <f ca="1"/>
        <v>19.5</v>
      </c>
      <c r="K382" s="94"/>
      <c r="L382" s="94">
        <f ca="1"/>
        <v>71.61</v>
      </c>
      <c r="M382" s="94" t="str">
        <f ca="1"/>
        <v>63/65"</v>
      </c>
      <c r="N382" s="94">
        <f ca="1"/>
        <v>62</v>
      </c>
      <c r="O382" s="94" t="str">
        <f ca="1"/>
        <v>Piece-up(FN) [后整接口]</v>
      </c>
      <c r="P382" s="95" t="str">
        <f ca="1"/>
        <v/>
      </c>
      <c r="Q382" s="95" t="str">
        <f ca="1"/>
        <v/>
      </c>
      <c r="R382" s="96">
        <f ca="1"/>
        <v>46106</v>
      </c>
    </row>
    <row r="383" spans="1:18" s="90" customFormat="1" ht="55" customHeight="1" x14ac:dyDescent="0.35">
      <c r="A383" s="94" t="str">
        <f ca="1"/>
        <v>S25V10883</v>
      </c>
      <c r="B383" s="94" t="str">
        <f ca="1"/>
        <v>PKEK25VE0010883A</v>
      </c>
      <c r="C383" s="94" t="str">
        <f ca="1"/>
        <v>CANVAS</v>
      </c>
      <c r="D383" s="94" t="str">
        <f ca="1"/>
        <v>286</v>
      </c>
      <c r="E383" s="94" t="str">
        <f ca="1"/>
        <v>FV012282201</v>
      </c>
      <c r="F383" s="94" t="str">
        <f ca="1"/>
        <v>C1500427</v>
      </c>
      <c r="G383" s="94" t="str">
        <f ca="1"/>
        <v>B</v>
      </c>
      <c r="H383" s="94" t="str">
        <f ca="1"/>
        <v>CF003124998</v>
      </c>
      <c r="I383" s="94" t="str">
        <f ca="1"/>
        <v>A</v>
      </c>
      <c r="J383" s="94">
        <f ca="1"/>
        <v>22.7</v>
      </c>
      <c r="K383" s="94"/>
      <c r="L383" s="94">
        <f ca="1"/>
        <v>83.36</v>
      </c>
      <c r="M383" s="94" t="str">
        <f ca="1"/>
        <v>63/65"</v>
      </c>
      <c r="N383" s="94">
        <f ca="1"/>
        <v>62</v>
      </c>
      <c r="O383" s="94" t="str">
        <f ca="1"/>
        <v/>
      </c>
      <c r="P383" s="95" t="str">
        <f ca="1"/>
        <v/>
      </c>
      <c r="Q383" s="95" t="str">
        <f ca="1"/>
        <v/>
      </c>
      <c r="R383" s="96">
        <f ca="1"/>
        <v>46106</v>
      </c>
    </row>
    <row r="384" spans="1:18" s="90" customFormat="1" ht="55" customHeight="1" x14ac:dyDescent="0.35">
      <c r="A384" s="94" t="str">
        <f ca="1"/>
        <v>S25V10883</v>
      </c>
      <c r="B384" s="94" t="str">
        <f ca="1"/>
        <v>PKEK25VE0010883A</v>
      </c>
      <c r="C384" s="94" t="str">
        <f ca="1"/>
        <v>CANVAS</v>
      </c>
      <c r="D384" s="94" t="str">
        <f ca="1"/>
        <v>286</v>
      </c>
      <c r="E384" s="94" t="str">
        <f ca="1"/>
        <v>FV012282201</v>
      </c>
      <c r="F384" s="94" t="str">
        <f ca="1"/>
        <v>C1500427</v>
      </c>
      <c r="G384" s="94" t="str">
        <f ca="1"/>
        <v>B</v>
      </c>
      <c r="H384" s="94" t="str">
        <f ca="1"/>
        <v>CF003124999</v>
      </c>
      <c r="I384" s="94" t="str">
        <f ca="1"/>
        <v>A</v>
      </c>
      <c r="J384" s="94">
        <f ca="1"/>
        <v>22.6</v>
      </c>
      <c r="K384" s="94"/>
      <c r="L384" s="94">
        <f ca="1"/>
        <v>82.99</v>
      </c>
      <c r="M384" s="94" t="str">
        <f ca="1"/>
        <v>63/65"</v>
      </c>
      <c r="N384" s="94">
        <f ca="1"/>
        <v>62</v>
      </c>
      <c r="O384" s="94" t="str">
        <f ca="1"/>
        <v/>
      </c>
      <c r="P384" s="95" t="str">
        <f ca="1"/>
        <v/>
      </c>
      <c r="Q384" s="95" t="str">
        <f ca="1"/>
        <v/>
      </c>
      <c r="R384" s="96">
        <f ca="1"/>
        <v>46106</v>
      </c>
    </row>
    <row r="385" spans="1:18" s="90" customFormat="1" ht="55" customHeight="1" x14ac:dyDescent="0.35">
      <c r="A385" s="94" t="str">
        <f ca="1"/>
        <v>S25V10883</v>
      </c>
      <c r="B385" s="94" t="str">
        <f ca="1"/>
        <v>PKEK25VE0010883A</v>
      </c>
      <c r="C385" s="94" t="str">
        <f ca="1"/>
        <v>CANVAS</v>
      </c>
      <c r="D385" s="94" t="str">
        <f ca="1"/>
        <v>286</v>
      </c>
      <c r="E385" s="94" t="str">
        <f ca="1"/>
        <v>FV012282201</v>
      </c>
      <c r="F385" s="94" t="str">
        <f ca="1"/>
        <v>C1500427</v>
      </c>
      <c r="G385" s="94" t="str">
        <f ca="1"/>
        <v>B</v>
      </c>
      <c r="H385" s="94" t="str">
        <f ca="1"/>
        <v>CF003125000</v>
      </c>
      <c r="I385" s="94" t="str">
        <f ca="1"/>
        <v>A</v>
      </c>
      <c r="J385" s="94">
        <f ca="1"/>
        <v>22.7</v>
      </c>
      <c r="K385" s="94"/>
      <c r="L385" s="94">
        <f ca="1"/>
        <v>83.36</v>
      </c>
      <c r="M385" s="94" t="str">
        <f ca="1"/>
        <v>63/65"</v>
      </c>
      <c r="N385" s="94">
        <f ca="1"/>
        <v>62</v>
      </c>
      <c r="O385" s="94" t="str">
        <f ca="1"/>
        <v/>
      </c>
      <c r="P385" s="95" t="str">
        <f ca="1"/>
        <v/>
      </c>
      <c r="Q385" s="95" t="str">
        <f ca="1"/>
        <v/>
      </c>
      <c r="R385" s="96">
        <f ca="1"/>
        <v>46106</v>
      </c>
    </row>
    <row r="386" spans="1:18" s="90" customFormat="1" ht="55" customHeight="1" x14ac:dyDescent="0.35">
      <c r="A386" s="94" t="str">
        <f ca="1"/>
        <v>S25V10883</v>
      </c>
      <c r="B386" s="94" t="str">
        <f ca="1"/>
        <v>PKEK25VE0010883A</v>
      </c>
      <c r="C386" s="94" t="str">
        <f ca="1"/>
        <v>CANVAS</v>
      </c>
      <c r="D386" s="94" t="str">
        <f ca="1"/>
        <v>286</v>
      </c>
      <c r="E386" s="94" t="str">
        <f ca="1"/>
        <v>FV012282201</v>
      </c>
      <c r="F386" s="94" t="str">
        <f ca="1"/>
        <v>C1500427</v>
      </c>
      <c r="G386" s="94" t="str">
        <f ca="1"/>
        <v>B</v>
      </c>
      <c r="H386" s="94" t="str">
        <f ca="1"/>
        <v>CF003125001</v>
      </c>
      <c r="I386" s="94" t="str">
        <f ca="1"/>
        <v>A</v>
      </c>
      <c r="J386" s="94">
        <f ca="1"/>
        <v>22.3</v>
      </c>
      <c r="K386" s="94"/>
      <c r="L386" s="94">
        <f ca="1"/>
        <v>81.89</v>
      </c>
      <c r="M386" s="94" t="str">
        <f ca="1"/>
        <v>63/65"</v>
      </c>
      <c r="N386" s="94">
        <f ca="1"/>
        <v>62</v>
      </c>
      <c r="O386" s="94" t="str">
        <f ca="1"/>
        <v/>
      </c>
      <c r="P386" s="95" t="str">
        <f ca="1"/>
        <v/>
      </c>
      <c r="Q386" s="95" t="str">
        <f ca="1"/>
        <v/>
      </c>
      <c r="R386" s="96">
        <f ca="1"/>
        <v>46106</v>
      </c>
    </row>
    <row r="387" spans="1:18" s="90" customFormat="1" ht="55" customHeight="1" x14ac:dyDescent="0.35">
      <c r="A387" s="94" t="str">
        <f ca="1"/>
        <v>S25V10883</v>
      </c>
      <c r="B387" s="94" t="str">
        <f ca="1"/>
        <v>PKEK25VE0010883A</v>
      </c>
      <c r="C387" s="94" t="str">
        <f ca="1"/>
        <v>CANVAS</v>
      </c>
      <c r="D387" s="94" t="str">
        <f ca="1"/>
        <v>286</v>
      </c>
      <c r="E387" s="94" t="str">
        <f ca="1"/>
        <v>FV012282201</v>
      </c>
      <c r="F387" s="94" t="str">
        <f ca="1"/>
        <v>C1500427</v>
      </c>
      <c r="G387" s="94" t="str">
        <f ca="1"/>
        <v>B</v>
      </c>
      <c r="H387" s="94" t="str">
        <f ca="1"/>
        <v>CF003125002</v>
      </c>
      <c r="I387" s="94" t="str">
        <f ca="1"/>
        <v>A</v>
      </c>
      <c r="J387" s="94">
        <f ca="1"/>
        <v>22.7</v>
      </c>
      <c r="K387" s="94"/>
      <c r="L387" s="94">
        <f ca="1"/>
        <v>84.68</v>
      </c>
      <c r="M387" s="94" t="str">
        <f ca="1"/>
        <v>63/65"</v>
      </c>
      <c r="N387" s="94">
        <f ca="1"/>
        <v>62</v>
      </c>
      <c r="O387" s="94" t="str">
        <f ca="1"/>
        <v/>
      </c>
      <c r="P387" s="95" t="str">
        <f ca="1"/>
        <v/>
      </c>
      <c r="Q387" s="95" t="str">
        <f ca="1"/>
        <v/>
      </c>
      <c r="R387" s="96">
        <f ca="1"/>
        <v>46106</v>
      </c>
    </row>
    <row r="388" spans="1:18" s="90" customFormat="1" ht="55" customHeight="1" x14ac:dyDescent="0.35">
      <c r="A388" s="94" t="str">
        <f ca="1"/>
        <v>S25V10883</v>
      </c>
      <c r="B388" s="94" t="str">
        <f ca="1"/>
        <v>PKEK25VE0010883A</v>
      </c>
      <c r="C388" s="94" t="str">
        <f ca="1"/>
        <v>CANVAS</v>
      </c>
      <c r="D388" s="94" t="str">
        <f ca="1"/>
        <v>286</v>
      </c>
      <c r="E388" s="94" t="str">
        <f ca="1"/>
        <v>FV012282201</v>
      </c>
      <c r="F388" s="94" t="str">
        <f ca="1"/>
        <v>C1500427</v>
      </c>
      <c r="G388" s="94" t="str">
        <f ca="1"/>
        <v>B</v>
      </c>
      <c r="H388" s="94" t="str">
        <f ca="1"/>
        <v>CF003125003</v>
      </c>
      <c r="I388" s="94" t="str">
        <f ca="1"/>
        <v>A</v>
      </c>
      <c r="J388" s="94">
        <f ca="1"/>
        <v>22.7</v>
      </c>
      <c r="K388" s="94"/>
      <c r="L388" s="94">
        <f ca="1"/>
        <v>83.36</v>
      </c>
      <c r="M388" s="94" t="str">
        <f ca="1"/>
        <v>63/65"</v>
      </c>
      <c r="N388" s="94">
        <f ca="1"/>
        <v>62</v>
      </c>
      <c r="O388" s="94" t="str">
        <f ca="1"/>
        <v/>
      </c>
      <c r="P388" s="95" t="str">
        <f ca="1"/>
        <v/>
      </c>
      <c r="Q388" s="95" t="str">
        <f ca="1"/>
        <v/>
      </c>
      <c r="R388" s="96">
        <f ca="1"/>
        <v>46106</v>
      </c>
    </row>
    <row r="389" spans="1:18" s="90" customFormat="1" ht="55" customHeight="1" x14ac:dyDescent="0.35">
      <c r="A389" s="94" t="str">
        <f ca="1"/>
        <v>S25V10883</v>
      </c>
      <c r="B389" s="94" t="str">
        <f ca="1"/>
        <v>PKEK25VE0010883A</v>
      </c>
      <c r="C389" s="94" t="str">
        <f ca="1"/>
        <v>CANVAS</v>
      </c>
      <c r="D389" s="94" t="str">
        <f ca="1"/>
        <v>286</v>
      </c>
      <c r="E389" s="94" t="str">
        <f ca="1"/>
        <v>FV012282201</v>
      </c>
      <c r="F389" s="94" t="str">
        <f ca="1"/>
        <v>C1500427</v>
      </c>
      <c r="G389" s="94" t="str">
        <f ca="1"/>
        <v>B</v>
      </c>
      <c r="H389" s="94" t="str">
        <f ca="1"/>
        <v>CF003125004</v>
      </c>
      <c r="I389" s="94" t="str">
        <f ca="1"/>
        <v>A</v>
      </c>
      <c r="J389" s="94">
        <f ca="1"/>
        <v>22.5</v>
      </c>
      <c r="K389" s="94"/>
      <c r="L389" s="94">
        <f ca="1"/>
        <v>82.62</v>
      </c>
      <c r="M389" s="94" t="str">
        <f ca="1"/>
        <v>63/65"</v>
      </c>
      <c r="N389" s="94">
        <f ca="1"/>
        <v>62</v>
      </c>
      <c r="O389" s="94" t="str">
        <f ca="1"/>
        <v/>
      </c>
      <c r="P389" s="95" t="str">
        <f ca="1"/>
        <v/>
      </c>
      <c r="Q389" s="95" t="str">
        <f ca="1"/>
        <v/>
      </c>
      <c r="R389" s="96">
        <f ca="1"/>
        <v>46106</v>
      </c>
    </row>
    <row r="390" spans="1:18" s="90" customFormat="1" ht="55" customHeight="1" x14ac:dyDescent="0.35">
      <c r="A390" s="94" t="str">
        <f ca="1"/>
        <v>S25V10883</v>
      </c>
      <c r="B390" s="94" t="str">
        <f ca="1"/>
        <v>PKEK25VE0010883A</v>
      </c>
      <c r="C390" s="94" t="str">
        <f ca="1"/>
        <v>CANVAS</v>
      </c>
      <c r="D390" s="94" t="str">
        <f ca="1"/>
        <v>286</v>
      </c>
      <c r="E390" s="94" t="str">
        <f ca="1"/>
        <v>FV012282201</v>
      </c>
      <c r="F390" s="94" t="str">
        <f ca="1"/>
        <v>C1500427</v>
      </c>
      <c r="G390" s="94" t="str">
        <f ca="1"/>
        <v>B</v>
      </c>
      <c r="H390" s="94" t="str">
        <f ca="1"/>
        <v>CF003125005</v>
      </c>
      <c r="I390" s="94" t="str">
        <f ca="1"/>
        <v>A</v>
      </c>
      <c r="J390" s="94">
        <f ca="1"/>
        <v>22.1</v>
      </c>
      <c r="K390" s="94"/>
      <c r="L390" s="94">
        <f ca="1"/>
        <v>81.16</v>
      </c>
      <c r="M390" s="94" t="str">
        <f ca="1"/>
        <v>63/65"</v>
      </c>
      <c r="N390" s="94">
        <f ca="1"/>
        <v>62</v>
      </c>
      <c r="O390" s="94" t="str">
        <f ca="1"/>
        <v>Needle Line [针路]</v>
      </c>
      <c r="P390" s="95" t="str">
        <f ca="1"/>
        <v/>
      </c>
      <c r="Q390" s="95" t="str">
        <f ca="1"/>
        <v/>
      </c>
      <c r="R390" s="96">
        <f ca="1"/>
        <v>46106</v>
      </c>
    </row>
    <row r="391" spans="1:18" s="90" customFormat="1" ht="55" customHeight="1" x14ac:dyDescent="0.35">
      <c r="A391" s="94" t="str">
        <f ca="1"/>
        <v>S25V10883</v>
      </c>
      <c r="B391" s="94" t="str">
        <f ca="1"/>
        <v>PKEK25VE0010883A</v>
      </c>
      <c r="C391" s="94" t="str">
        <f ca="1"/>
        <v>CANVAS</v>
      </c>
      <c r="D391" s="94" t="str">
        <f ca="1"/>
        <v>286</v>
      </c>
      <c r="E391" s="94" t="str">
        <f ca="1"/>
        <v>FV012282201</v>
      </c>
      <c r="F391" s="94" t="str">
        <f ca="1"/>
        <v>C1500427</v>
      </c>
      <c r="G391" s="94" t="str">
        <f ca="1"/>
        <v>B</v>
      </c>
      <c r="H391" s="94" t="str">
        <f ca="1"/>
        <v>CF003125006</v>
      </c>
      <c r="I391" s="94" t="str">
        <f ca="1"/>
        <v>A</v>
      </c>
      <c r="J391" s="94">
        <f ca="1"/>
        <v>22.6</v>
      </c>
      <c r="K391" s="94"/>
      <c r="L391" s="94">
        <f ca="1"/>
        <v>82.99</v>
      </c>
      <c r="M391" s="94" t="str">
        <f ca="1"/>
        <v>63/65"</v>
      </c>
      <c r="N391" s="94">
        <f ca="1"/>
        <v>62</v>
      </c>
      <c r="O391" s="94" t="str">
        <f ca="1"/>
        <v/>
      </c>
      <c r="P391" s="95" t="str">
        <f ca="1"/>
        <v/>
      </c>
      <c r="Q391" s="95" t="str">
        <f ca="1"/>
        <v/>
      </c>
      <c r="R391" s="96">
        <f ca="1"/>
        <v>46106</v>
      </c>
    </row>
    <row r="392" spans="1:18" s="90" customFormat="1" ht="55" customHeight="1" x14ac:dyDescent="0.35">
      <c r="A392" s="94" t="str">
        <f ca="1"/>
        <v>S25V10883</v>
      </c>
      <c r="B392" s="94" t="str">
        <f ca="1"/>
        <v>PKEK25VE0010883A</v>
      </c>
      <c r="C392" s="94" t="str">
        <f ca="1"/>
        <v>CANVAS</v>
      </c>
      <c r="D392" s="94" t="str">
        <f ca="1"/>
        <v>286</v>
      </c>
      <c r="E392" s="94" t="str">
        <f ca="1"/>
        <v>FV012282201</v>
      </c>
      <c r="F392" s="94" t="str">
        <f ca="1"/>
        <v>C1500427</v>
      </c>
      <c r="G392" s="94" t="str">
        <f ca="1"/>
        <v>B</v>
      </c>
      <c r="H392" s="94" t="str">
        <f ca="1"/>
        <v>CF003125007</v>
      </c>
      <c r="I392" s="94" t="str">
        <f ca="1"/>
        <v>A</v>
      </c>
      <c r="J392" s="94">
        <f ca="1"/>
        <v>22.7</v>
      </c>
      <c r="K392" s="94"/>
      <c r="L392" s="94">
        <f ca="1"/>
        <v>83.36</v>
      </c>
      <c r="M392" s="94" t="str">
        <f ca="1"/>
        <v>63/65"</v>
      </c>
      <c r="N392" s="94">
        <f ca="1"/>
        <v>62</v>
      </c>
      <c r="O392" s="94" t="str">
        <f ca="1"/>
        <v>Dirt [针织污渍]</v>
      </c>
      <c r="P392" s="95" t="str">
        <f ca="1"/>
        <v/>
      </c>
      <c r="Q392" s="95" t="str">
        <f ca="1"/>
        <v/>
      </c>
      <c r="R392" s="96">
        <f ca="1"/>
        <v>46106</v>
      </c>
    </row>
    <row r="393" spans="1:18" s="90" customFormat="1" ht="55" customHeight="1" x14ac:dyDescent="0.35">
      <c r="A393" s="94" t="str">
        <f ca="1"/>
        <v>S25V10883</v>
      </c>
      <c r="B393" s="94" t="str">
        <f ca="1"/>
        <v>PKEK25VE0010883A</v>
      </c>
      <c r="C393" s="94" t="str">
        <f ca="1"/>
        <v>BLUE MELANGE</v>
      </c>
      <c r="D393" s="94" t="str">
        <f ca="1"/>
        <v>468</v>
      </c>
      <c r="E393" s="94" t="str">
        <f ca="1"/>
        <v>FV012280102</v>
      </c>
      <c r="F393" s="94" t="str">
        <f ca="1"/>
        <v>C1600074</v>
      </c>
      <c r="G393" s="94" t="str">
        <f ca="1"/>
        <v>B</v>
      </c>
      <c r="H393" s="94" t="str">
        <f ca="1"/>
        <v>CF003126181</v>
      </c>
      <c r="I393" s="94" t="str">
        <f ca="1"/>
        <v>A</v>
      </c>
      <c r="J393" s="94">
        <f ca="1"/>
        <v>10.5</v>
      </c>
      <c r="K393" s="94"/>
      <c r="L393" s="94">
        <f ca="1"/>
        <v>35.770000000000003</v>
      </c>
      <c r="M393" s="94" t="str">
        <f ca="1"/>
        <v>63/65"</v>
      </c>
      <c r="N393" s="94">
        <f ca="1"/>
        <v>62</v>
      </c>
      <c r="O393" s="94" t="str">
        <f ca="1"/>
        <v/>
      </c>
      <c r="P393" s="95" t="str">
        <f ca="1"/>
        <v/>
      </c>
      <c r="Q393" s="95" t="str">
        <f ca="1"/>
        <v/>
      </c>
      <c r="R393" s="96">
        <f ca="1"/>
        <v>46106</v>
      </c>
    </row>
    <row r="394" spans="1:18" s="90" customFormat="1" ht="55" customHeight="1" x14ac:dyDescent="0.35">
      <c r="A394" s="94" t="str">
        <f ca="1"/>
        <v>S25V10883</v>
      </c>
      <c r="B394" s="94" t="str">
        <f ca="1"/>
        <v>PKEK25VE0010883A</v>
      </c>
      <c r="C394" s="94" t="str">
        <f ca="1"/>
        <v>BLUE MELANGE</v>
      </c>
      <c r="D394" s="94" t="str">
        <f ca="1"/>
        <v>468</v>
      </c>
      <c r="E394" s="94" t="str">
        <f ca="1"/>
        <v>FV012280102</v>
      </c>
      <c r="F394" s="94" t="str">
        <f ca="1"/>
        <v>C1600074</v>
      </c>
      <c r="G394" s="94" t="str">
        <f ca="1"/>
        <v>B</v>
      </c>
      <c r="H394" s="94" t="str">
        <f ca="1"/>
        <v>CF003126182</v>
      </c>
      <c r="I394" s="94" t="str">
        <f ca="1"/>
        <v>A</v>
      </c>
      <c r="J394" s="94">
        <f ca="1"/>
        <v>23.7</v>
      </c>
      <c r="K394" s="94"/>
      <c r="L394" s="94">
        <f ca="1"/>
        <v>80.739999999999995</v>
      </c>
      <c r="M394" s="94" t="str">
        <f ca="1"/>
        <v>63/65"</v>
      </c>
      <c r="N394" s="94">
        <f ca="1"/>
        <v>62</v>
      </c>
      <c r="O394" s="94" t="str">
        <f ca="1"/>
        <v>Dirt [针织污渍]</v>
      </c>
      <c r="P394" s="95" t="str">
        <f ca="1"/>
        <v/>
      </c>
      <c r="Q394" s="95" t="str">
        <f ca="1"/>
        <v/>
      </c>
      <c r="R394" s="96">
        <f ca="1"/>
        <v>46106</v>
      </c>
    </row>
    <row r="395" spans="1:18" s="90" customFormat="1" ht="55" customHeight="1" x14ac:dyDescent="0.35">
      <c r="A395" s="94" t="str">
        <f ca="1"/>
        <v>S25V10883</v>
      </c>
      <c r="B395" s="94" t="str">
        <f ca="1"/>
        <v>PKEK25VE0010883A</v>
      </c>
      <c r="C395" s="94" t="str">
        <f ca="1"/>
        <v>BLUE MELANGE</v>
      </c>
      <c r="D395" s="94" t="str">
        <f ca="1"/>
        <v>468</v>
      </c>
      <c r="E395" s="94" t="str">
        <f ca="1"/>
        <v>FV012280102</v>
      </c>
      <c r="F395" s="94" t="str">
        <f ca="1"/>
        <v>C1600074</v>
      </c>
      <c r="G395" s="94" t="str">
        <f ca="1"/>
        <v>B</v>
      </c>
      <c r="H395" s="94" t="str">
        <f ca="1"/>
        <v>CF003126183</v>
      </c>
      <c r="I395" s="94" t="str">
        <f ca="1"/>
        <v>A</v>
      </c>
      <c r="J395" s="94">
        <f ca="1"/>
        <v>21.8</v>
      </c>
      <c r="K395" s="94"/>
      <c r="L395" s="94">
        <f ca="1"/>
        <v>74.27</v>
      </c>
      <c r="M395" s="94" t="str">
        <f ca="1"/>
        <v>63/65"</v>
      </c>
      <c r="N395" s="94">
        <f ca="1"/>
        <v>62</v>
      </c>
      <c r="O395" s="94" t="str">
        <f ca="1"/>
        <v>Piece-up(FN) [后整接口]</v>
      </c>
      <c r="P395" s="95" t="str">
        <f ca="1"/>
        <v/>
      </c>
      <c r="Q395" s="95" t="str">
        <f ca="1"/>
        <v/>
      </c>
      <c r="R395" s="96">
        <f ca="1"/>
        <v>46106</v>
      </c>
    </row>
    <row r="396" spans="1:18" s="90" customFormat="1" ht="55" customHeight="1" x14ac:dyDescent="0.35">
      <c r="A396" s="94" t="str">
        <f ca="1"/>
        <v>S25V10883</v>
      </c>
      <c r="B396" s="94" t="str">
        <f ca="1"/>
        <v>PKEK25VE0010883A</v>
      </c>
      <c r="C396" s="94" t="str">
        <f ca="1"/>
        <v>BLUE MELANGE</v>
      </c>
      <c r="D396" s="94" t="str">
        <f ca="1"/>
        <v>468</v>
      </c>
      <c r="E396" s="94" t="str">
        <f ca="1"/>
        <v>FV012280102</v>
      </c>
      <c r="F396" s="94" t="str">
        <f ca="1"/>
        <v>C1600074</v>
      </c>
      <c r="G396" s="94" t="str">
        <f ca="1"/>
        <v>B</v>
      </c>
      <c r="H396" s="94" t="str">
        <f ca="1"/>
        <v>CF003126184</v>
      </c>
      <c r="I396" s="94" t="str">
        <f ca="1"/>
        <v>A</v>
      </c>
      <c r="J396" s="94">
        <f ca="1"/>
        <v>23.7</v>
      </c>
      <c r="K396" s="94"/>
      <c r="L396" s="94">
        <f ca="1"/>
        <v>80.739999999999995</v>
      </c>
      <c r="M396" s="94" t="str">
        <f ca="1"/>
        <v>63/65"</v>
      </c>
      <c r="N396" s="94">
        <f ca="1"/>
        <v>62</v>
      </c>
      <c r="O396" s="94" t="str">
        <f ca="1"/>
        <v>Dirt [针织污渍]</v>
      </c>
      <c r="P396" s="95" t="str">
        <f ca="1"/>
        <v/>
      </c>
      <c r="Q396" s="95" t="str">
        <f ca="1"/>
        <v/>
      </c>
      <c r="R396" s="96">
        <f ca="1"/>
        <v>46106</v>
      </c>
    </row>
    <row r="397" spans="1:18" s="90" customFormat="1" ht="55" customHeight="1" x14ac:dyDescent="0.35">
      <c r="A397" s="94" t="str">
        <f ca="1"/>
        <v>S25V10883</v>
      </c>
      <c r="B397" s="94" t="str">
        <f ca="1"/>
        <v>PKEK25VE0010883A</v>
      </c>
      <c r="C397" s="94" t="str">
        <f ca="1"/>
        <v>BLUE MELANGE</v>
      </c>
      <c r="D397" s="94" t="str">
        <f ca="1"/>
        <v>468</v>
      </c>
      <c r="E397" s="94" t="str">
        <f ca="1"/>
        <v>FV012280102</v>
      </c>
      <c r="F397" s="94" t="str">
        <f ca="1"/>
        <v>C1600074</v>
      </c>
      <c r="G397" s="94" t="str">
        <f ca="1"/>
        <v>B</v>
      </c>
      <c r="H397" s="94" t="str">
        <f ca="1"/>
        <v>CF003126185</v>
      </c>
      <c r="I397" s="94" t="str">
        <f ca="1"/>
        <v>A</v>
      </c>
      <c r="J397" s="94">
        <f ca="1"/>
        <v>23.5</v>
      </c>
      <c r="K397" s="94"/>
      <c r="L397" s="94">
        <f ca="1"/>
        <v>80.06</v>
      </c>
      <c r="M397" s="94" t="str">
        <f ca="1"/>
        <v>63/65"</v>
      </c>
      <c r="N397" s="94">
        <f ca="1"/>
        <v>62</v>
      </c>
      <c r="O397" s="94" t="str">
        <f ca="1"/>
        <v>Hole (KN) [针织破洞]</v>
      </c>
      <c r="P397" s="95" t="str">
        <f ca="1"/>
        <v/>
      </c>
      <c r="Q397" s="95" t="str">
        <f ca="1"/>
        <v/>
      </c>
      <c r="R397" s="96">
        <f ca="1"/>
        <v>46106</v>
      </c>
    </row>
    <row r="398" spans="1:18" s="90" customFormat="1" ht="55" customHeight="1" x14ac:dyDescent="0.35">
      <c r="A398" s="94" t="str">
        <f ca="1"/>
        <v>S25V10883</v>
      </c>
      <c r="B398" s="94" t="str">
        <f ca="1"/>
        <v>PKEK25VE0010883A</v>
      </c>
      <c r="C398" s="94" t="str">
        <f ca="1"/>
        <v>BLUE MELANGE</v>
      </c>
      <c r="D398" s="94" t="str">
        <f ca="1"/>
        <v>468</v>
      </c>
      <c r="E398" s="94" t="str">
        <f ca="1"/>
        <v>FV012280102</v>
      </c>
      <c r="F398" s="94" t="str">
        <f ca="1"/>
        <v>C1600074</v>
      </c>
      <c r="G398" s="94" t="str">
        <f ca="1"/>
        <v>B</v>
      </c>
      <c r="H398" s="94" t="str">
        <f ca="1"/>
        <v>CF003126191</v>
      </c>
      <c r="I398" s="94" t="str">
        <f ca="1"/>
        <v>A</v>
      </c>
      <c r="J398" s="94">
        <f ca="1"/>
        <v>23.6</v>
      </c>
      <c r="K398" s="94"/>
      <c r="L398" s="94">
        <f ca="1"/>
        <v>80.400000000000006</v>
      </c>
      <c r="M398" s="94" t="str">
        <f ca="1"/>
        <v>63/65"</v>
      </c>
      <c r="N398" s="94">
        <f ca="1"/>
        <v>62</v>
      </c>
      <c r="O398" s="94" t="str">
        <f ca="1"/>
        <v>Color Mark (PD) [PD沾色]</v>
      </c>
      <c r="P398" s="95" t="str">
        <f ca="1"/>
        <v/>
      </c>
      <c r="Q398" s="95" t="str">
        <f ca="1"/>
        <v/>
      </c>
      <c r="R398" s="96">
        <f ca="1"/>
        <v>46106</v>
      </c>
    </row>
    <row r="399" spans="1:18" s="90" customFormat="1" ht="55" customHeight="1" x14ac:dyDescent="0.35">
      <c r="A399" s="94" t="str">
        <f ca="1"/>
        <v>S25V10883</v>
      </c>
      <c r="B399" s="94" t="str">
        <f ca="1"/>
        <v>PKEK25VE0010883A</v>
      </c>
      <c r="C399" s="94" t="str">
        <f ca="1"/>
        <v>BLUE MELANGE</v>
      </c>
      <c r="D399" s="94" t="str">
        <f ca="1"/>
        <v>468</v>
      </c>
      <c r="E399" s="94" t="str">
        <f ca="1"/>
        <v>FV012280102</v>
      </c>
      <c r="F399" s="94" t="str">
        <f ca="1"/>
        <v>C1600074</v>
      </c>
      <c r="G399" s="94" t="str">
        <f ca="1"/>
        <v>B</v>
      </c>
      <c r="H399" s="94" t="str">
        <f ca="1"/>
        <v>CF003126192</v>
      </c>
      <c r="I399" s="94" t="str">
        <f ca="1"/>
        <v>A</v>
      </c>
      <c r="J399" s="94">
        <f ca="1"/>
        <v>23.3</v>
      </c>
      <c r="K399" s="94"/>
      <c r="L399" s="94">
        <f ca="1"/>
        <v>79.38</v>
      </c>
      <c r="M399" s="94" t="str">
        <f ca="1"/>
        <v>63/65"</v>
      </c>
      <c r="N399" s="94">
        <f ca="1"/>
        <v>62</v>
      </c>
      <c r="O399" s="94" t="str">
        <f ca="1"/>
        <v>Dirt [针织污渍]</v>
      </c>
      <c r="P399" s="95" t="str">
        <f ca="1"/>
        <v/>
      </c>
      <c r="Q399" s="95" t="str">
        <f ca="1"/>
        <v/>
      </c>
      <c r="R399" s="96">
        <f ca="1"/>
        <v>46106</v>
      </c>
    </row>
    <row r="400" spans="1:18" s="90" customFormat="1" ht="55" customHeight="1" x14ac:dyDescent="0.35">
      <c r="A400" s="94" t="str">
        <f ca="1"/>
        <v>S25V10883</v>
      </c>
      <c r="B400" s="94" t="str">
        <f ca="1"/>
        <v>PKEK25VE0010883A</v>
      </c>
      <c r="C400" s="94" t="str">
        <f ca="1"/>
        <v>BLUE MELANGE</v>
      </c>
      <c r="D400" s="94" t="str">
        <f ca="1"/>
        <v>468</v>
      </c>
      <c r="E400" s="94" t="str">
        <f ca="1"/>
        <v>FV012280102</v>
      </c>
      <c r="F400" s="94" t="str">
        <f ca="1"/>
        <v>C1600074</v>
      </c>
      <c r="G400" s="94" t="str">
        <f ca="1"/>
        <v>B</v>
      </c>
      <c r="H400" s="94" t="str">
        <f ca="1"/>
        <v>CF003126193</v>
      </c>
      <c r="I400" s="94" t="str">
        <f ca="1"/>
        <v>A</v>
      </c>
      <c r="J400" s="94">
        <f ca="1"/>
        <v>23.5</v>
      </c>
      <c r="K400" s="94"/>
      <c r="L400" s="94">
        <f ca="1"/>
        <v>80.06</v>
      </c>
      <c r="M400" s="94" t="str">
        <f ca="1"/>
        <v>63/65"</v>
      </c>
      <c r="N400" s="94">
        <f ca="1"/>
        <v>62</v>
      </c>
      <c r="O400" s="94" t="str">
        <f ca="1"/>
        <v>Hole (KN) [针织破洞]</v>
      </c>
      <c r="P400" s="95" t="str">
        <f ca="1"/>
        <v/>
      </c>
      <c r="Q400" s="95" t="str">
        <f ca="1"/>
        <v/>
      </c>
      <c r="R400" s="96">
        <f ca="1"/>
        <v>46106</v>
      </c>
    </row>
    <row r="401" spans="1:18" s="90" customFormat="1" ht="55" customHeight="1" x14ac:dyDescent="0.35">
      <c r="A401" s="94" t="str">
        <f ca="1"/>
        <v>S25V10883</v>
      </c>
      <c r="B401" s="94" t="str">
        <f ca="1"/>
        <v>PKEK25VE0010883A</v>
      </c>
      <c r="C401" s="94" t="str">
        <f ca="1"/>
        <v>BLUE MELANGE</v>
      </c>
      <c r="D401" s="94" t="str">
        <f ca="1"/>
        <v>468</v>
      </c>
      <c r="E401" s="94" t="str">
        <f ca="1"/>
        <v>FV012280102</v>
      </c>
      <c r="F401" s="94" t="str">
        <f ca="1"/>
        <v>C1600074</v>
      </c>
      <c r="G401" s="94" t="str">
        <f ca="1"/>
        <v>B</v>
      </c>
      <c r="H401" s="94" t="str">
        <f ca="1"/>
        <v>CF003126194</v>
      </c>
      <c r="I401" s="94" t="str">
        <f ca="1"/>
        <v>A</v>
      </c>
      <c r="J401" s="94">
        <f ca="1"/>
        <v>23.6</v>
      </c>
      <c r="K401" s="94"/>
      <c r="L401" s="94">
        <f ca="1"/>
        <v>80.400000000000006</v>
      </c>
      <c r="M401" s="94" t="str">
        <f ca="1"/>
        <v>63/65"</v>
      </c>
      <c r="N401" s="94">
        <f ca="1"/>
        <v>62</v>
      </c>
      <c r="O401" s="94" t="str">
        <f ca="1"/>
        <v/>
      </c>
      <c r="P401" s="95" t="str">
        <f ca="1"/>
        <v/>
      </c>
      <c r="Q401" s="95" t="str">
        <f ca="1"/>
        <v/>
      </c>
      <c r="R401" s="96">
        <f ca="1"/>
        <v>46106</v>
      </c>
    </row>
    <row r="402" spans="1:18" s="90" customFormat="1" ht="55" customHeight="1" x14ac:dyDescent="0.35">
      <c r="A402" s="94" t="str">
        <f ca="1"/>
        <v>S25V10883</v>
      </c>
      <c r="B402" s="94" t="str">
        <f ca="1"/>
        <v>PKEK25VE0010883A</v>
      </c>
      <c r="C402" s="94" t="str">
        <f ca="1"/>
        <v>BLUE MELANGE</v>
      </c>
      <c r="D402" s="94" t="str">
        <f ca="1"/>
        <v>468</v>
      </c>
      <c r="E402" s="94" t="str">
        <f ca="1"/>
        <v>FV012280102</v>
      </c>
      <c r="F402" s="94" t="str">
        <f ca="1"/>
        <v>C1600074</v>
      </c>
      <c r="G402" s="94" t="str">
        <f ca="1"/>
        <v>B</v>
      </c>
      <c r="H402" s="94" t="str">
        <f ca="1"/>
        <v>CF003126195</v>
      </c>
      <c r="I402" s="94" t="str">
        <f ca="1"/>
        <v>A</v>
      </c>
      <c r="J402" s="94">
        <f ca="1"/>
        <v>23.7</v>
      </c>
      <c r="K402" s="94"/>
      <c r="L402" s="94">
        <f ca="1"/>
        <v>80.739999999999995</v>
      </c>
      <c r="M402" s="94" t="str">
        <f ca="1"/>
        <v>63/65"</v>
      </c>
      <c r="N402" s="94">
        <f ca="1"/>
        <v>62</v>
      </c>
      <c r="O402" s="94" t="str">
        <f ca="1"/>
        <v>Dirt [针织污渍]</v>
      </c>
      <c r="P402" s="95" t="str">
        <f ca="1"/>
        <v/>
      </c>
      <c r="Q402" s="95" t="str">
        <f ca="1"/>
        <v/>
      </c>
      <c r="R402" s="96">
        <f ca="1"/>
        <v>46106</v>
      </c>
    </row>
    <row r="403" spans="1:18" s="90" customFormat="1" ht="55" customHeight="1" x14ac:dyDescent="0.35">
      <c r="A403" s="94" t="str">
        <f ca="1"/>
        <v>S25V10883</v>
      </c>
      <c r="B403" s="94" t="str">
        <f ca="1"/>
        <v>PKEK25VE0010883A</v>
      </c>
      <c r="C403" s="94" t="str">
        <f ca="1"/>
        <v>BLUE MELANGE</v>
      </c>
      <c r="D403" s="94" t="str">
        <f ca="1"/>
        <v>468</v>
      </c>
      <c r="E403" s="94" t="str">
        <f ca="1"/>
        <v>FV012280102</v>
      </c>
      <c r="F403" s="94" t="str">
        <f ca="1"/>
        <v>C1600074</v>
      </c>
      <c r="G403" s="94" t="str">
        <f ca="1"/>
        <v>B</v>
      </c>
      <c r="H403" s="94" t="str">
        <f ca="1"/>
        <v>CF003126196</v>
      </c>
      <c r="I403" s="94" t="str">
        <f ca="1"/>
        <v>A</v>
      </c>
      <c r="J403" s="94">
        <f ca="1"/>
        <v>22.7</v>
      </c>
      <c r="K403" s="94"/>
      <c r="L403" s="94">
        <f ca="1"/>
        <v>77.34</v>
      </c>
      <c r="M403" s="94" t="str">
        <f ca="1"/>
        <v>63/65"</v>
      </c>
      <c r="N403" s="94">
        <f ca="1"/>
        <v>62</v>
      </c>
      <c r="O403" s="94" t="str">
        <f ca="1"/>
        <v>Dirt [针织污渍]</v>
      </c>
      <c r="P403" s="95" t="str">
        <f ca="1"/>
        <v/>
      </c>
      <c r="Q403" s="95" t="str">
        <f ca="1"/>
        <v/>
      </c>
      <c r="R403" s="96">
        <f ca="1"/>
        <v>46106</v>
      </c>
    </row>
    <row r="404" spans="1:18" s="90" customFormat="1" ht="55" customHeight="1" x14ac:dyDescent="0.35">
      <c r="A404" s="94" t="str">
        <f ca="1"/>
        <v>S25V10883</v>
      </c>
      <c r="B404" s="94" t="str">
        <f ca="1"/>
        <v>PKEK25VE0010883A</v>
      </c>
      <c r="C404" s="94" t="str">
        <f ca="1"/>
        <v>BLUE MELANGE</v>
      </c>
      <c r="D404" s="94" t="str">
        <f ca="1"/>
        <v>468</v>
      </c>
      <c r="E404" s="94" t="str">
        <f ca="1"/>
        <v>FV012280102</v>
      </c>
      <c r="F404" s="94" t="str">
        <f ca="1"/>
        <v>C1600074</v>
      </c>
      <c r="G404" s="94" t="str">
        <f ca="1"/>
        <v>B</v>
      </c>
      <c r="H404" s="94" t="str">
        <f ca="1"/>
        <v>CF003126197</v>
      </c>
      <c r="I404" s="94" t="str">
        <f ca="1"/>
        <v>A</v>
      </c>
      <c r="J404" s="94">
        <f ca="1"/>
        <v>23.8</v>
      </c>
      <c r="K404" s="94"/>
      <c r="L404" s="94">
        <f ca="1"/>
        <v>81.08</v>
      </c>
      <c r="M404" s="94" t="str">
        <f ca="1"/>
        <v>63/65"</v>
      </c>
      <c r="N404" s="94">
        <f ca="1"/>
        <v>62</v>
      </c>
      <c r="O404" s="94" t="str">
        <f ca="1"/>
        <v/>
      </c>
      <c r="P404" s="95" t="str">
        <f ca="1"/>
        <v/>
      </c>
      <c r="Q404" s="95" t="str">
        <f ca="1"/>
        <v/>
      </c>
      <c r="R404" s="96">
        <f ca="1"/>
        <v>46106</v>
      </c>
    </row>
    <row r="405" spans="1:18" s="90" customFormat="1" ht="55" customHeight="1" x14ac:dyDescent="0.35">
      <c r="A405" s="94" t="str">
        <f ca="1"/>
        <v>S25V10883</v>
      </c>
      <c r="B405" s="94" t="str">
        <f ca="1"/>
        <v>PKEK25VE0010883A</v>
      </c>
      <c r="C405" s="94" t="str">
        <f ca="1"/>
        <v>BLUE MELANGE</v>
      </c>
      <c r="D405" s="94" t="str">
        <f ca="1"/>
        <v>468</v>
      </c>
      <c r="E405" s="94" t="str">
        <f ca="1"/>
        <v>FV012280102</v>
      </c>
      <c r="F405" s="94" t="str">
        <f ca="1"/>
        <v>C1600074</v>
      </c>
      <c r="G405" s="94" t="str">
        <f ca="1"/>
        <v>B</v>
      </c>
      <c r="H405" s="94" t="str">
        <f ca="1"/>
        <v>CF003126198</v>
      </c>
      <c r="I405" s="94" t="str">
        <f ca="1"/>
        <v>A</v>
      </c>
      <c r="J405" s="94">
        <f ca="1"/>
        <v>23.4</v>
      </c>
      <c r="K405" s="94"/>
      <c r="L405" s="94">
        <f ca="1"/>
        <v>79.72</v>
      </c>
      <c r="M405" s="94" t="str">
        <f ca="1"/>
        <v>63/65"</v>
      </c>
      <c r="N405" s="94">
        <f ca="1"/>
        <v>62</v>
      </c>
      <c r="O405" s="94" t="str">
        <f ca="1"/>
        <v>Hole (KN) [针织破洞]</v>
      </c>
      <c r="P405" s="95" t="str">
        <f ca="1"/>
        <v/>
      </c>
      <c r="Q405" s="95" t="str">
        <f ca="1"/>
        <v/>
      </c>
      <c r="R405" s="96">
        <f ca="1"/>
        <v>46106</v>
      </c>
    </row>
    <row r="406" spans="1:18" s="90" customFormat="1" ht="55" customHeight="1" x14ac:dyDescent="0.35">
      <c r="A406" s="94" t="str">
        <f ca="1"/>
        <v>S25V10883</v>
      </c>
      <c r="B406" s="94" t="str">
        <f ca="1"/>
        <v>PKEK25VE0010883A</v>
      </c>
      <c r="C406" s="94" t="str">
        <f ca="1"/>
        <v>BLUE MELANGE</v>
      </c>
      <c r="D406" s="94" t="str">
        <f ca="1"/>
        <v>468</v>
      </c>
      <c r="E406" s="94" t="str">
        <f ca="1"/>
        <v>FV012280102</v>
      </c>
      <c r="F406" s="94" t="str">
        <f ca="1"/>
        <v>C1600074</v>
      </c>
      <c r="G406" s="94" t="str">
        <f ca="1"/>
        <v>B</v>
      </c>
      <c r="H406" s="94" t="str">
        <f ca="1"/>
        <v>CF003126199</v>
      </c>
      <c r="I406" s="94" t="str">
        <f ca="1"/>
        <v>A</v>
      </c>
      <c r="J406" s="94">
        <f ca="1"/>
        <v>23.2</v>
      </c>
      <c r="K406" s="94"/>
      <c r="L406" s="94">
        <f ca="1"/>
        <v>79.040000000000006</v>
      </c>
      <c r="M406" s="94" t="str">
        <f ca="1"/>
        <v>63/65"</v>
      </c>
      <c r="N406" s="94">
        <f ca="1"/>
        <v>62</v>
      </c>
      <c r="O406" s="94" t="str">
        <f ca="1"/>
        <v/>
      </c>
      <c r="P406" s="95" t="str">
        <f ca="1"/>
        <v/>
      </c>
      <c r="Q406" s="95" t="str">
        <f ca="1"/>
        <v/>
      </c>
      <c r="R406" s="96">
        <f ca="1"/>
        <v>46106</v>
      </c>
    </row>
    <row r="407" spans="1:18" s="90" customFormat="1" ht="55" customHeight="1" x14ac:dyDescent="0.35">
      <c r="A407" s="94" t="str">
        <f ca="1"/>
        <v>S25V10883</v>
      </c>
      <c r="B407" s="94" t="str">
        <f ca="1"/>
        <v>PKEK25VE0010883A</v>
      </c>
      <c r="C407" s="94" t="str">
        <f ca="1"/>
        <v>BLUE MELANGE</v>
      </c>
      <c r="D407" s="94" t="str">
        <f ca="1"/>
        <v>468</v>
      </c>
      <c r="E407" s="94" t="str">
        <f ca="1"/>
        <v>FV012280102</v>
      </c>
      <c r="F407" s="94" t="str">
        <f ca="1"/>
        <v>C1600074</v>
      </c>
      <c r="G407" s="94" t="str">
        <f ca="1"/>
        <v>B</v>
      </c>
      <c r="H407" s="94" t="str">
        <f ca="1"/>
        <v>CF003126200</v>
      </c>
      <c r="I407" s="94" t="str">
        <f ca="1"/>
        <v>A</v>
      </c>
      <c r="J407" s="94">
        <f ca="1"/>
        <v>22.6</v>
      </c>
      <c r="K407" s="94"/>
      <c r="L407" s="94">
        <f ca="1"/>
        <v>77</v>
      </c>
      <c r="M407" s="94" t="str">
        <f ca="1"/>
        <v>63/65"</v>
      </c>
      <c r="N407" s="94">
        <f ca="1"/>
        <v>62</v>
      </c>
      <c r="O407" s="94" t="str">
        <f ca="1"/>
        <v/>
      </c>
      <c r="P407" s="95" t="str">
        <f ca="1"/>
        <v/>
      </c>
      <c r="Q407" s="95" t="str">
        <f ca="1"/>
        <v/>
      </c>
      <c r="R407" s="96">
        <f ca="1"/>
        <v>46106</v>
      </c>
    </row>
    <row r="408" spans="1:18" s="90" customFormat="1" ht="55" customHeight="1" x14ac:dyDescent="0.35">
      <c r="A408" s="94" t="str">
        <f ca="1"/>
        <v>S25V10883</v>
      </c>
      <c r="B408" s="94" t="str">
        <f ca="1"/>
        <v>PKEK25VE0010883A</v>
      </c>
      <c r="C408" s="94" t="str">
        <f ca="1"/>
        <v>BLUE MELANGE</v>
      </c>
      <c r="D408" s="94" t="str">
        <f ca="1"/>
        <v>468</v>
      </c>
      <c r="E408" s="94" t="str">
        <f ca="1"/>
        <v>FV012280102</v>
      </c>
      <c r="F408" s="94" t="str">
        <f ca="1"/>
        <v>C1600074</v>
      </c>
      <c r="G408" s="94" t="str">
        <f ca="1"/>
        <v>B</v>
      </c>
      <c r="H408" s="94" t="str">
        <f ca="1"/>
        <v>CF003126201</v>
      </c>
      <c r="I408" s="94" t="str">
        <f ca="1"/>
        <v>A</v>
      </c>
      <c r="J408" s="94">
        <f ca="1"/>
        <v>23.4</v>
      </c>
      <c r="K408" s="94"/>
      <c r="L408" s="94">
        <f ca="1"/>
        <v>79.72</v>
      </c>
      <c r="M408" s="94" t="str">
        <f ca="1"/>
        <v>63/65"</v>
      </c>
      <c r="N408" s="94">
        <f ca="1"/>
        <v>62</v>
      </c>
      <c r="O408" s="94" t="str">
        <f ca="1"/>
        <v/>
      </c>
      <c r="P408" s="95" t="str">
        <f ca="1"/>
        <v/>
      </c>
      <c r="Q408" s="95" t="str">
        <f ca="1"/>
        <v/>
      </c>
      <c r="R408" s="96">
        <f ca="1"/>
        <v>46106</v>
      </c>
    </row>
    <row r="409" spans="1:18" s="90" customFormat="1" ht="55" customHeight="1" x14ac:dyDescent="0.35">
      <c r="A409" s="94" t="str">
        <f ca="1"/>
        <v>S25V10883</v>
      </c>
      <c r="B409" s="94" t="str">
        <f ca="1"/>
        <v>PKEK25VE0010883A</v>
      </c>
      <c r="C409" s="94" t="str">
        <f ca="1"/>
        <v>BLUE MELANGE</v>
      </c>
      <c r="D409" s="94" t="str">
        <f ca="1"/>
        <v>468</v>
      </c>
      <c r="E409" s="94" t="str">
        <f ca="1"/>
        <v>FV012280102</v>
      </c>
      <c r="F409" s="94" t="str">
        <f ca="1"/>
        <v>C1600074</v>
      </c>
      <c r="G409" s="94" t="str">
        <f ca="1"/>
        <v>B</v>
      </c>
      <c r="H409" s="94" t="str">
        <f ca="1"/>
        <v>CF003126202</v>
      </c>
      <c r="I409" s="94" t="str">
        <f ca="1"/>
        <v>A</v>
      </c>
      <c r="J409" s="94">
        <f ca="1"/>
        <v>23.5</v>
      </c>
      <c r="K409" s="94"/>
      <c r="L409" s="94">
        <f ca="1"/>
        <v>80.06</v>
      </c>
      <c r="M409" s="94" t="str">
        <f ca="1"/>
        <v>63/65"</v>
      </c>
      <c r="N409" s="94">
        <f ca="1"/>
        <v>62</v>
      </c>
      <c r="O409" s="94" t="str">
        <f ca="1"/>
        <v>Dirt [针织污渍]</v>
      </c>
      <c r="P409" s="95" t="str">
        <f ca="1"/>
        <v/>
      </c>
      <c r="Q409" s="95" t="str">
        <f ca="1"/>
        <v/>
      </c>
      <c r="R409" s="96">
        <f ca="1"/>
        <v>46106</v>
      </c>
    </row>
    <row r="410" spans="1:18" s="90" customFormat="1" ht="55" customHeight="1" x14ac:dyDescent="0.35">
      <c r="A410" s="94" t="str">
        <f ca="1"/>
        <v>S25V10883</v>
      </c>
      <c r="B410" s="94" t="str">
        <f ca="1"/>
        <v>PKEK25VE0010883A</v>
      </c>
      <c r="C410" s="94" t="str">
        <f ca="1"/>
        <v>BLUE MELANGE</v>
      </c>
      <c r="D410" s="94" t="str">
        <f ca="1"/>
        <v>468</v>
      </c>
      <c r="E410" s="94" t="str">
        <f ca="1"/>
        <v>FV012280102</v>
      </c>
      <c r="F410" s="94" t="str">
        <f ca="1"/>
        <v>C1600074</v>
      </c>
      <c r="G410" s="94" t="str">
        <f ca="1"/>
        <v>B</v>
      </c>
      <c r="H410" s="94" t="str">
        <f ca="1"/>
        <v>CF003126203</v>
      </c>
      <c r="I410" s="94" t="str">
        <f ca="1"/>
        <v>A</v>
      </c>
      <c r="J410" s="94">
        <f ca="1"/>
        <v>32.799999999999997</v>
      </c>
      <c r="K410" s="94"/>
      <c r="L410" s="94">
        <f ca="1"/>
        <v>111.75</v>
      </c>
      <c r="M410" s="94" t="str">
        <f ca="1"/>
        <v>63/65"</v>
      </c>
      <c r="N410" s="94">
        <f ca="1"/>
        <v>62</v>
      </c>
      <c r="O410" s="94" t="str">
        <f ca="1"/>
        <v>Hole (KN) [针织破洞]</v>
      </c>
      <c r="P410" s="95" t="str">
        <f ca="1"/>
        <v/>
      </c>
      <c r="Q410" s="95" t="str">
        <f ca="1"/>
        <v/>
      </c>
      <c r="R410" s="96">
        <f ca="1"/>
        <v>46106</v>
      </c>
    </row>
    <row r="411" spans="1:18" s="90" customFormat="1" ht="55" customHeight="1" x14ac:dyDescent="0.35">
      <c r="A411" s="94" t="str">
        <f ca="1"/>
        <v>S25V10883</v>
      </c>
      <c r="B411" s="94" t="str">
        <f ca="1"/>
        <v>PKEK25VE0010883A</v>
      </c>
      <c r="C411" s="94" t="str">
        <f ca="1"/>
        <v>BLUE MELANGE</v>
      </c>
      <c r="D411" s="94" t="str">
        <f ca="1"/>
        <v>468</v>
      </c>
      <c r="E411" s="94" t="str">
        <f ca="1"/>
        <v>FV012280102</v>
      </c>
      <c r="F411" s="94" t="str">
        <f ca="1"/>
        <v>C1600074</v>
      </c>
      <c r="G411" s="94" t="str">
        <f ca="1"/>
        <v>B</v>
      </c>
      <c r="H411" s="94" t="str">
        <f ca="1"/>
        <v>CF003126204</v>
      </c>
      <c r="I411" s="94" t="str">
        <f ca="1"/>
        <v>A</v>
      </c>
      <c r="J411" s="94">
        <f ca="1"/>
        <v>23.8</v>
      </c>
      <c r="K411" s="94"/>
      <c r="L411" s="94">
        <f ca="1"/>
        <v>81.08</v>
      </c>
      <c r="M411" s="94" t="str">
        <f ca="1"/>
        <v>63/65"</v>
      </c>
      <c r="N411" s="94">
        <f ca="1"/>
        <v>62</v>
      </c>
      <c r="O411" s="94" t="str">
        <f ca="1"/>
        <v/>
      </c>
      <c r="P411" s="95" t="str">
        <f ca="1"/>
        <v/>
      </c>
      <c r="Q411" s="95" t="str">
        <f ca="1"/>
        <v/>
      </c>
      <c r="R411" s="96">
        <f ca="1"/>
        <v>46106</v>
      </c>
    </row>
    <row r="412" spans="1:18" s="90" customFormat="1" ht="55" customHeight="1" x14ac:dyDescent="0.35">
      <c r="A412" s="94" t="str">
        <f ca="1"/>
        <v>S25V10883</v>
      </c>
      <c r="B412" s="94" t="str">
        <f ca="1"/>
        <v>PKEK25VE0010883A</v>
      </c>
      <c r="C412" s="94" t="str">
        <f ca="1"/>
        <v>BLUE MELANGE</v>
      </c>
      <c r="D412" s="94" t="str">
        <f ca="1"/>
        <v>468</v>
      </c>
      <c r="E412" s="94" t="str">
        <f ca="1"/>
        <v>FV012280102</v>
      </c>
      <c r="F412" s="94" t="str">
        <f ca="1"/>
        <v>C1600074</v>
      </c>
      <c r="G412" s="94" t="str">
        <f ca="1"/>
        <v>B</v>
      </c>
      <c r="H412" s="94" t="str">
        <f ca="1"/>
        <v>CF003126205</v>
      </c>
      <c r="I412" s="94" t="str">
        <f ca="1"/>
        <v>A</v>
      </c>
      <c r="J412" s="94">
        <f ca="1"/>
        <v>23.4</v>
      </c>
      <c r="K412" s="94"/>
      <c r="L412" s="94">
        <f ca="1"/>
        <v>79.72</v>
      </c>
      <c r="M412" s="94" t="str">
        <f ca="1"/>
        <v>63/65"</v>
      </c>
      <c r="N412" s="94">
        <f ca="1"/>
        <v>62</v>
      </c>
      <c r="O412" s="94" t="str">
        <f ca="1"/>
        <v/>
      </c>
      <c r="P412" s="95" t="str">
        <f ca="1"/>
        <v/>
      </c>
      <c r="Q412" s="95" t="str">
        <f ca="1"/>
        <v/>
      </c>
      <c r="R412" s="96">
        <f ca="1"/>
        <v>46106</v>
      </c>
    </row>
    <row r="413" spans="1:18" s="90" customFormat="1" ht="55" customHeight="1" x14ac:dyDescent="0.35">
      <c r="A413" s="94" t="str">
        <f ca="1"/>
        <v>S25V10883</v>
      </c>
      <c r="B413" s="94" t="str">
        <f ca="1"/>
        <v>PKEK25VE0010883A</v>
      </c>
      <c r="C413" s="94" t="str">
        <f ca="1"/>
        <v>BLUE MELANGE</v>
      </c>
      <c r="D413" s="94" t="str">
        <f ca="1"/>
        <v>468</v>
      </c>
      <c r="E413" s="94" t="str">
        <f ca="1"/>
        <v>FV012280102</v>
      </c>
      <c r="F413" s="94" t="str">
        <f ca="1"/>
        <v>C1600074</v>
      </c>
      <c r="G413" s="94" t="str">
        <f ca="1"/>
        <v>B</v>
      </c>
      <c r="H413" s="94" t="str">
        <f ca="1"/>
        <v>CF003126206</v>
      </c>
      <c r="I413" s="94" t="str">
        <f ca="1"/>
        <v>A</v>
      </c>
      <c r="J413" s="94">
        <f ca="1"/>
        <v>23.8</v>
      </c>
      <c r="K413" s="94"/>
      <c r="L413" s="94">
        <f ca="1"/>
        <v>81.08</v>
      </c>
      <c r="M413" s="94" t="str">
        <f ca="1"/>
        <v>63/65"</v>
      </c>
      <c r="N413" s="94">
        <f ca="1"/>
        <v>62</v>
      </c>
      <c r="O413" s="94" t="str">
        <f ca="1"/>
        <v/>
      </c>
      <c r="P413" s="95" t="str">
        <f ca="1"/>
        <v/>
      </c>
      <c r="Q413" s="95" t="str">
        <f ca="1"/>
        <v/>
      </c>
      <c r="R413" s="96">
        <f ca="1"/>
        <v>46106</v>
      </c>
    </row>
    <row r="414" spans="1:18" s="90" customFormat="1" ht="55" customHeight="1" x14ac:dyDescent="0.35">
      <c r="A414" s="94" t="str">
        <f ca="1"/>
        <v>S25V10883</v>
      </c>
      <c r="B414" s="94" t="str">
        <f ca="1"/>
        <v>PKEK25VE0010883A</v>
      </c>
      <c r="C414" s="94" t="str">
        <f ca="1"/>
        <v>BLUE MELANGE</v>
      </c>
      <c r="D414" s="94" t="str">
        <f ca="1"/>
        <v>468</v>
      </c>
      <c r="E414" s="94" t="str">
        <f ca="1"/>
        <v>FV012280102</v>
      </c>
      <c r="F414" s="94" t="str">
        <f ca="1"/>
        <v>C1600074</v>
      </c>
      <c r="G414" s="94" t="str">
        <f ca="1"/>
        <v>B</v>
      </c>
      <c r="H414" s="94" t="str">
        <f ca="1"/>
        <v>CF003126207</v>
      </c>
      <c r="I414" s="94" t="str">
        <f ca="1"/>
        <v>A</v>
      </c>
      <c r="J414" s="94">
        <f ca="1"/>
        <v>23.7</v>
      </c>
      <c r="K414" s="94"/>
      <c r="L414" s="94">
        <f ca="1"/>
        <v>80.739999999999995</v>
      </c>
      <c r="M414" s="94" t="str">
        <f ca="1"/>
        <v>63/65"</v>
      </c>
      <c r="N414" s="94">
        <f ca="1"/>
        <v>62</v>
      </c>
      <c r="O414" s="94" t="str">
        <f ca="1"/>
        <v/>
      </c>
      <c r="P414" s="95" t="str">
        <f ca="1"/>
        <v/>
      </c>
      <c r="Q414" s="95" t="str">
        <f ca="1"/>
        <v/>
      </c>
      <c r="R414" s="96">
        <f ca="1"/>
        <v>46106</v>
      </c>
    </row>
    <row r="415" spans="1:18" s="90" customFormat="1" ht="55" customHeight="1" x14ac:dyDescent="0.35">
      <c r="A415" s="94" t="str">
        <f ca="1"/>
        <v>S25V10883</v>
      </c>
      <c r="B415" s="94" t="str">
        <f ca="1"/>
        <v>PKEK25VE0010883A</v>
      </c>
      <c r="C415" s="94" t="str">
        <f ca="1"/>
        <v>DEEP SEA</v>
      </c>
      <c r="D415" s="94" t="str">
        <f ca="1"/>
        <v>365</v>
      </c>
      <c r="E415" s="94" t="str">
        <f ca="1"/>
        <v>FV012282003B</v>
      </c>
      <c r="F415" s="94" t="str">
        <f ca="1"/>
        <v>C1500427</v>
      </c>
      <c r="G415" s="94" t="str">
        <f ca="1"/>
        <v>B</v>
      </c>
      <c r="H415" s="94" t="str">
        <f ca="1"/>
        <v>CF003126353</v>
      </c>
      <c r="I415" s="94" t="str">
        <f ca="1"/>
        <v>A</v>
      </c>
      <c r="J415" s="94">
        <f ca="1"/>
        <v>23.9</v>
      </c>
      <c r="K415" s="94"/>
      <c r="L415" s="94">
        <f ca="1"/>
        <v>79.63</v>
      </c>
      <c r="M415" s="94" t="str">
        <f ca="1"/>
        <v>63/65"</v>
      </c>
      <c r="N415" s="94">
        <f ca="1"/>
        <v>64</v>
      </c>
      <c r="O415" s="94" t="str">
        <f ca="1"/>
        <v/>
      </c>
      <c r="P415" s="95" t="str">
        <f ca="1"/>
        <v/>
      </c>
      <c r="Q415" s="95" t="str">
        <f ca="1"/>
        <v/>
      </c>
      <c r="R415" s="96">
        <f ca="1"/>
        <v>1</v>
      </c>
    </row>
    <row r="416" spans="1:18" s="90" customFormat="1" ht="55" customHeight="1" x14ac:dyDescent="0.35">
      <c r="A416" s="94" t="str">
        <f ca="1"/>
        <v>S25V10883</v>
      </c>
      <c r="B416" s="94" t="str">
        <f ca="1"/>
        <v>PKEK25VE0010883A</v>
      </c>
      <c r="C416" s="94" t="str">
        <f ca="1"/>
        <v>DEEP SEA</v>
      </c>
      <c r="D416" s="94" t="str">
        <f ca="1"/>
        <v>365</v>
      </c>
      <c r="E416" s="94" t="str">
        <f ca="1"/>
        <v>FV012282003B</v>
      </c>
      <c r="F416" s="94" t="str">
        <f ca="1"/>
        <v>C1500427</v>
      </c>
      <c r="G416" s="94" t="str">
        <f ca="1"/>
        <v>B</v>
      </c>
      <c r="H416" s="94" t="str">
        <f ca="1"/>
        <v>CF003126354</v>
      </c>
      <c r="I416" s="94" t="str">
        <f ca="1"/>
        <v>A</v>
      </c>
      <c r="J416" s="94">
        <f ca="1"/>
        <v>12.3</v>
      </c>
      <c r="K416" s="94"/>
      <c r="L416" s="94">
        <f ca="1"/>
        <v>40.98</v>
      </c>
      <c r="M416" s="94" t="str">
        <f ca="1"/>
        <v>63/65"</v>
      </c>
      <c r="N416" s="94">
        <f ca="1"/>
        <v>64</v>
      </c>
      <c r="O416" s="94" t="str">
        <f ca="1"/>
        <v/>
      </c>
      <c r="P416" s="95" t="str">
        <f ca="1"/>
        <v/>
      </c>
      <c r="Q416" s="95" t="str">
        <f ca="1"/>
        <v/>
      </c>
      <c r="R416" s="96">
        <f ca="1"/>
        <v>1</v>
      </c>
    </row>
    <row r="417" spans="1:18" s="90" customFormat="1" ht="55" customHeight="1" x14ac:dyDescent="0.35">
      <c r="A417" s="94" t="str">
        <f ca="1"/>
        <v>S25V10883</v>
      </c>
      <c r="B417" s="94" t="str">
        <f ca="1"/>
        <v>PKEK25VE0010883A</v>
      </c>
      <c r="C417" s="94" t="str">
        <f ca="1"/>
        <v>DEEP SEA</v>
      </c>
      <c r="D417" s="94" t="str">
        <f ca="1"/>
        <v>365</v>
      </c>
      <c r="E417" s="94" t="str">
        <f ca="1"/>
        <v>FV012282003B</v>
      </c>
      <c r="F417" s="94" t="str">
        <f ca="1"/>
        <v>C1500427</v>
      </c>
      <c r="G417" s="94" t="str">
        <f ca="1"/>
        <v>B</v>
      </c>
      <c r="H417" s="94" t="str">
        <f ca="1"/>
        <v>CF003126362</v>
      </c>
      <c r="I417" s="94" t="str">
        <f ca="1"/>
        <v>A</v>
      </c>
      <c r="J417" s="94">
        <f ca="1"/>
        <v>24</v>
      </c>
      <c r="K417" s="94"/>
      <c r="L417" s="94">
        <f ca="1"/>
        <v>79.97</v>
      </c>
      <c r="M417" s="94" t="str">
        <f ca="1"/>
        <v>63/65"</v>
      </c>
      <c r="N417" s="94">
        <f ca="1"/>
        <v>64</v>
      </c>
      <c r="O417" s="94" t="str">
        <f ca="1"/>
        <v/>
      </c>
      <c r="P417" s="95" t="str">
        <f ca="1"/>
        <v/>
      </c>
      <c r="Q417" s="95" t="str">
        <f ca="1"/>
        <v/>
      </c>
      <c r="R417" s="96">
        <f ca="1"/>
        <v>1</v>
      </c>
    </row>
    <row r="418" spans="1:18" s="90" customFormat="1" ht="55" customHeight="1" x14ac:dyDescent="0.35">
      <c r="A418" s="94" t="str">
        <f ca="1"/>
        <v>S25V10883</v>
      </c>
      <c r="B418" s="94" t="str">
        <f ca="1"/>
        <v>PKEK25VE0010883A</v>
      </c>
      <c r="C418" s="94" t="str">
        <f ca="1"/>
        <v>Air Force Blue</v>
      </c>
      <c r="D418" s="94" t="str">
        <f ca="1"/>
        <v>957</v>
      </c>
      <c r="E418" s="94" t="str">
        <f ca="1"/>
        <v>FV012282801</v>
      </c>
      <c r="F418" s="94" t="str">
        <f ca="1"/>
        <v>C1500427</v>
      </c>
      <c r="G418" s="94" t="str">
        <f ca="1"/>
        <v>B</v>
      </c>
      <c r="H418" s="94" t="str">
        <f ca="1"/>
        <v>CF003127629</v>
      </c>
      <c r="I418" s="94" t="str">
        <f ca="1"/>
        <v>A</v>
      </c>
      <c r="J418" s="94">
        <f ca="1"/>
        <v>22.9</v>
      </c>
      <c r="K418" s="94"/>
      <c r="L418" s="94">
        <f ca="1"/>
        <v>79.84</v>
      </c>
      <c r="M418" s="94" t="str">
        <f ca="1"/>
        <v>63/65"</v>
      </c>
      <c r="N418" s="94">
        <f ca="1"/>
        <v>63</v>
      </c>
      <c r="O418" s="94" t="str">
        <f ca="1"/>
        <v>White mark [白印]</v>
      </c>
      <c r="P418" s="95" t="str">
        <f ca="1"/>
        <v>Vết trắng 10%, vêt trắng tech không sử lý thêm được.</v>
      </c>
      <c r="Q418" s="95" t="str">
        <f ca="1"/>
        <v>sort out BTP VẾT Trắng</v>
      </c>
      <c r="R418" s="96">
        <f ca="1"/>
        <v>46108</v>
      </c>
    </row>
    <row r="419" spans="1:18" s="90" customFormat="1" ht="55" customHeight="1" x14ac:dyDescent="0.35">
      <c r="A419" s="94" t="str">
        <f ca="1"/>
        <v>S25V10883</v>
      </c>
      <c r="B419" s="94" t="str">
        <f ca="1"/>
        <v>PKEK25VE0010883A</v>
      </c>
      <c r="C419" s="94" t="str">
        <f ca="1"/>
        <v>Air Force Blue</v>
      </c>
      <c r="D419" s="94" t="str">
        <f ca="1"/>
        <v>957</v>
      </c>
      <c r="E419" s="94" t="str">
        <f ca="1"/>
        <v>FV012282801</v>
      </c>
      <c r="F419" s="94" t="str">
        <f ca="1"/>
        <v>C1500427</v>
      </c>
      <c r="G419" s="94" t="str">
        <f ca="1"/>
        <v>B</v>
      </c>
      <c r="H419" s="94" t="str">
        <f ca="1"/>
        <v>CF003127630</v>
      </c>
      <c r="I419" s="94" t="str">
        <f ca="1"/>
        <v>A</v>
      </c>
      <c r="J419" s="94">
        <f ca="1"/>
        <v>22.3</v>
      </c>
      <c r="K419" s="94"/>
      <c r="L419" s="94">
        <f ca="1"/>
        <v>77.739999999999995</v>
      </c>
      <c r="M419" s="94" t="str">
        <f ca="1"/>
        <v>63/65"</v>
      </c>
      <c r="N419" s="94">
        <f ca="1"/>
        <v>63</v>
      </c>
      <c r="O419" s="94" t="str">
        <f ca="1"/>
        <v>White mark [白印]</v>
      </c>
      <c r="P419" s="95" t="str">
        <f ca="1"/>
        <v>Vết trắng 10%, vêt trắng tech không sử lý thêm được.</v>
      </c>
      <c r="Q419" s="95" t="str">
        <f ca="1"/>
        <v>sort out BTP VẾT Trắng</v>
      </c>
      <c r="R419" s="96">
        <f ca="1"/>
        <v>46108</v>
      </c>
    </row>
    <row r="420" spans="1:18" s="90" customFormat="1" ht="55" customHeight="1" x14ac:dyDescent="0.35">
      <c r="A420" s="94" t="str">
        <f ca="1"/>
        <v>S25V10883</v>
      </c>
      <c r="B420" s="94" t="str">
        <f ca="1"/>
        <v>PKEK25VE0010883A</v>
      </c>
      <c r="C420" s="94" t="str">
        <f ca="1"/>
        <v>Air Force Blue</v>
      </c>
      <c r="D420" s="94" t="str">
        <f ca="1"/>
        <v>957</v>
      </c>
      <c r="E420" s="94" t="str">
        <f ca="1"/>
        <v>FV012282801</v>
      </c>
      <c r="F420" s="94" t="str">
        <f ca="1"/>
        <v>C1500427</v>
      </c>
      <c r="G420" s="94" t="str">
        <f ca="1"/>
        <v>B</v>
      </c>
      <c r="H420" s="94" t="str">
        <f ca="1"/>
        <v>CF003127631</v>
      </c>
      <c r="I420" s="94" t="str">
        <f ca="1"/>
        <v>B</v>
      </c>
      <c r="J420" s="94">
        <f ca="1"/>
        <v>20.7</v>
      </c>
      <c r="K420" s="94"/>
      <c r="L420" s="94">
        <f ca="1"/>
        <v>72.17</v>
      </c>
      <c r="M420" s="94" t="str">
        <f ca="1"/>
        <v>63/65"</v>
      </c>
      <c r="N420" s="94">
        <f ca="1"/>
        <v>63</v>
      </c>
      <c r="O420" s="94" t="str">
        <f ca="1"/>
        <v>White mark [白印]</v>
      </c>
      <c r="P420" s="95" t="str">
        <f ca="1"/>
        <v>Vết trắng 10%, vêt trắng tech không sử lý thêm được.</v>
      </c>
      <c r="Q420" s="95" t="str">
        <f ca="1"/>
        <v>sort out BTP VẾT Trắng</v>
      </c>
      <c r="R420" s="96">
        <f ca="1"/>
        <v>46108</v>
      </c>
    </row>
    <row r="421" spans="1:18" s="90" customFormat="1" ht="55" customHeight="1" x14ac:dyDescent="0.35">
      <c r="A421" s="94" t="str">
        <f ca="1"/>
        <v>S25V10883</v>
      </c>
      <c r="B421" s="94" t="str">
        <f ca="1"/>
        <v>PKEK25VE0010883A</v>
      </c>
      <c r="C421" s="94" t="str">
        <f ca="1"/>
        <v>Air Force Blue</v>
      </c>
      <c r="D421" s="94" t="str">
        <f ca="1"/>
        <v>957</v>
      </c>
      <c r="E421" s="94" t="str">
        <f ca="1"/>
        <v>FV012282801</v>
      </c>
      <c r="F421" s="94" t="str">
        <f ca="1"/>
        <v>C1500427</v>
      </c>
      <c r="G421" s="94" t="str">
        <f ca="1"/>
        <v>B</v>
      </c>
      <c r="H421" s="94" t="str">
        <f ca="1"/>
        <v>CF003127632</v>
      </c>
      <c r="I421" s="94" t="str">
        <f ca="1"/>
        <v>A</v>
      </c>
      <c r="J421" s="94">
        <f ca="1"/>
        <v>26</v>
      </c>
      <c r="K421" s="94"/>
      <c r="L421" s="94">
        <f ca="1"/>
        <v>90.64</v>
      </c>
      <c r="M421" s="94" t="str">
        <f ca="1"/>
        <v>63/65"</v>
      </c>
      <c r="N421" s="94">
        <f ca="1"/>
        <v>63</v>
      </c>
      <c r="O421" s="94" t="str">
        <f ca="1"/>
        <v>White mark [白印]</v>
      </c>
      <c r="P421" s="95" t="str">
        <f ca="1"/>
        <v>Vết trắng 10%, vêt trắng tech không sử lý thêm được.</v>
      </c>
      <c r="Q421" s="95" t="str">
        <f ca="1"/>
        <v>sort out BTP VẾT Trắng</v>
      </c>
      <c r="R421" s="96">
        <f ca="1"/>
        <v>46108</v>
      </c>
    </row>
    <row r="422" spans="1:18" s="90" customFormat="1" ht="55" customHeight="1" x14ac:dyDescent="0.35">
      <c r="A422" s="94" t="str">
        <f ca="1"/>
        <v>S25V10883</v>
      </c>
      <c r="B422" s="94" t="str">
        <f ca="1"/>
        <v>PKEK25VE0010883A</v>
      </c>
      <c r="C422" s="94" t="str">
        <f ca="1"/>
        <v>Air Force Blue</v>
      </c>
      <c r="D422" s="94" t="str">
        <f ca="1"/>
        <v>957</v>
      </c>
      <c r="E422" s="94" t="str">
        <f ca="1"/>
        <v>FV012282801</v>
      </c>
      <c r="F422" s="94" t="str">
        <f ca="1"/>
        <v>C1500427</v>
      </c>
      <c r="G422" s="94" t="str">
        <f ca="1"/>
        <v>B</v>
      </c>
      <c r="H422" s="94" t="str">
        <f ca="1"/>
        <v>CF003127633</v>
      </c>
      <c r="I422" s="94" t="str">
        <f ca="1"/>
        <v>A</v>
      </c>
      <c r="J422" s="94">
        <f ca="1"/>
        <v>22.5</v>
      </c>
      <c r="K422" s="94"/>
      <c r="L422" s="94">
        <f ca="1"/>
        <v>78.44</v>
      </c>
      <c r="M422" s="94" t="str">
        <f ca="1"/>
        <v>63/65"</v>
      </c>
      <c r="N422" s="94">
        <f ca="1"/>
        <v>63</v>
      </c>
      <c r="O422" s="94" t="str">
        <f ca="1"/>
        <v>White mark [白印]</v>
      </c>
      <c r="P422" s="95" t="str">
        <f ca="1"/>
        <v>Vết trắng 10%, vêt trắng tech không sử lý thêm được.</v>
      </c>
      <c r="Q422" s="95" t="str">
        <f ca="1"/>
        <v>sort out BTP VẾT Trắng</v>
      </c>
      <c r="R422" s="96">
        <f ca="1"/>
        <v>46108</v>
      </c>
    </row>
    <row r="423" spans="1:18" s="90" customFormat="1" ht="55" customHeight="1" x14ac:dyDescent="0.35">
      <c r="A423" s="94" t="str">
        <f ca="1"/>
        <v>S25V10883</v>
      </c>
      <c r="B423" s="94" t="str">
        <f ca="1"/>
        <v>PKEK25VE0010883A</v>
      </c>
      <c r="C423" s="94" t="str">
        <f ca="1"/>
        <v>Air Force Blue</v>
      </c>
      <c r="D423" s="94" t="str">
        <f ca="1"/>
        <v>957</v>
      </c>
      <c r="E423" s="94" t="str">
        <f ca="1"/>
        <v>FV012282801</v>
      </c>
      <c r="F423" s="94" t="str">
        <f ca="1"/>
        <v>C1500427</v>
      </c>
      <c r="G423" s="94" t="str">
        <f ca="1"/>
        <v>B</v>
      </c>
      <c r="H423" s="94" t="str">
        <f ca="1"/>
        <v>CF003127634</v>
      </c>
      <c r="I423" s="94" t="str">
        <f ca="1"/>
        <v>A</v>
      </c>
      <c r="J423" s="94">
        <f ca="1"/>
        <v>23.3</v>
      </c>
      <c r="K423" s="94"/>
      <c r="L423" s="94">
        <f ca="1"/>
        <v>81.23</v>
      </c>
      <c r="M423" s="94" t="str">
        <f ca="1"/>
        <v>63/65"</v>
      </c>
      <c r="N423" s="94">
        <f ca="1"/>
        <v>63</v>
      </c>
      <c r="O423" s="94" t="str">
        <f ca="1"/>
        <v>White mark [白印]</v>
      </c>
      <c r="P423" s="95" t="str">
        <f ca="1"/>
        <v>Vết trắng 10%, vêt trắng tech không sử lý thêm được.</v>
      </c>
      <c r="Q423" s="95" t="str">
        <f ca="1"/>
        <v>sort out BTP VẾT Trắng</v>
      </c>
      <c r="R423" s="96">
        <f ca="1"/>
        <v>46108</v>
      </c>
    </row>
    <row r="424" spans="1:18" s="90" customFormat="1" ht="55" customHeight="1" x14ac:dyDescent="0.35">
      <c r="A424" s="94" t="str">
        <f ca="1"/>
        <v>S25V10883</v>
      </c>
      <c r="B424" s="94" t="str">
        <f ca="1"/>
        <v>PKEK25VE0010883A</v>
      </c>
      <c r="C424" s="94" t="str">
        <f ca="1"/>
        <v>Air Force Blue</v>
      </c>
      <c r="D424" s="94" t="str">
        <f ca="1"/>
        <v>957</v>
      </c>
      <c r="E424" s="94" t="str">
        <f ca="1"/>
        <v>FV012282801</v>
      </c>
      <c r="F424" s="94" t="str">
        <f ca="1"/>
        <v>C1500427</v>
      </c>
      <c r="G424" s="94" t="str">
        <f ca="1"/>
        <v>B</v>
      </c>
      <c r="H424" s="94" t="str">
        <f ca="1"/>
        <v>CF003127635</v>
      </c>
      <c r="I424" s="94" t="str">
        <f ca="1"/>
        <v>A</v>
      </c>
      <c r="J424" s="94">
        <f ca="1"/>
        <v>22.5</v>
      </c>
      <c r="K424" s="94"/>
      <c r="L424" s="94">
        <f ca="1"/>
        <v>78.44</v>
      </c>
      <c r="M424" s="94" t="str">
        <f ca="1"/>
        <v>63/65"</v>
      </c>
      <c r="N424" s="94">
        <f ca="1"/>
        <v>63</v>
      </c>
      <c r="O424" s="94" t="str">
        <f ca="1"/>
        <v/>
      </c>
      <c r="P424" s="95" t="str">
        <f ca="1"/>
        <v>Vết trắng 10%, vêt trắng tech không sử lý thêm được.</v>
      </c>
      <c r="Q424" s="95" t="str">
        <f ca="1"/>
        <v>sort out BTP VẾT Trắng</v>
      </c>
      <c r="R424" s="96">
        <f ca="1"/>
        <v>46108</v>
      </c>
    </row>
    <row r="425" spans="1:18" s="90" customFormat="1" ht="55" customHeight="1" x14ac:dyDescent="0.35">
      <c r="A425" s="94" t="str">
        <f ca="1"/>
        <v>S25V10883</v>
      </c>
      <c r="B425" s="94" t="str">
        <f ca="1"/>
        <v>PKEK25VE0010883A</v>
      </c>
      <c r="C425" s="94" t="str">
        <f ca="1"/>
        <v>Air Force Blue</v>
      </c>
      <c r="D425" s="94" t="str">
        <f ca="1"/>
        <v>957</v>
      </c>
      <c r="E425" s="94" t="str">
        <f ca="1"/>
        <v>FV012282801</v>
      </c>
      <c r="F425" s="94" t="str">
        <f ca="1"/>
        <v>C1500427</v>
      </c>
      <c r="G425" s="94" t="str">
        <f ca="1"/>
        <v>B</v>
      </c>
      <c r="H425" s="94" t="str">
        <f ca="1"/>
        <v>CF003127636</v>
      </c>
      <c r="I425" s="94" t="str">
        <f ca="1"/>
        <v>A</v>
      </c>
      <c r="J425" s="94">
        <f ca="1"/>
        <v>23.3</v>
      </c>
      <c r="K425" s="94"/>
      <c r="L425" s="94">
        <f ca="1"/>
        <v>81.23</v>
      </c>
      <c r="M425" s="94" t="str">
        <f ca="1"/>
        <v>63/65"</v>
      </c>
      <c r="N425" s="94">
        <f ca="1"/>
        <v>63</v>
      </c>
      <c r="O425" s="94" t="str">
        <f ca="1"/>
        <v>White mark [白印]</v>
      </c>
      <c r="P425" s="95" t="str">
        <f ca="1"/>
        <v>Vết trắng 10%, vêt trắng tech không sử lý thêm được.</v>
      </c>
      <c r="Q425" s="95" t="str">
        <f ca="1"/>
        <v>sort out BTP VẾT Trắng</v>
      </c>
      <c r="R425" s="96">
        <f ca="1"/>
        <v>46108</v>
      </c>
    </row>
    <row r="426" spans="1:18" s="90" customFormat="1" ht="55" customHeight="1" x14ac:dyDescent="0.35">
      <c r="A426" s="94" t="str">
        <f ca="1"/>
        <v>S25V10883</v>
      </c>
      <c r="B426" s="94" t="str">
        <f ca="1"/>
        <v>PKEK25VE0010883A</v>
      </c>
      <c r="C426" s="94" t="str">
        <f ca="1"/>
        <v>Air Force Blue</v>
      </c>
      <c r="D426" s="94" t="str">
        <f ca="1"/>
        <v>957</v>
      </c>
      <c r="E426" s="94" t="str">
        <f ca="1"/>
        <v>FV012282801</v>
      </c>
      <c r="F426" s="94" t="str">
        <f ca="1"/>
        <v>C1500427</v>
      </c>
      <c r="G426" s="94" t="str">
        <f ca="1"/>
        <v>B</v>
      </c>
      <c r="H426" s="94" t="str">
        <f ca="1"/>
        <v>CF003127637</v>
      </c>
      <c r="I426" s="94" t="str">
        <f ca="1"/>
        <v>A</v>
      </c>
      <c r="J426" s="94">
        <f ca="1"/>
        <v>11.8</v>
      </c>
      <c r="K426" s="94"/>
      <c r="L426" s="94">
        <f ca="1"/>
        <v>41.14</v>
      </c>
      <c r="M426" s="94" t="str">
        <f ca="1"/>
        <v>63/65"</v>
      </c>
      <c r="N426" s="94">
        <f ca="1"/>
        <v>63</v>
      </c>
      <c r="O426" s="94" t="str">
        <f ca="1"/>
        <v>White mark [白印]</v>
      </c>
      <c r="P426" s="95" t="str">
        <f ca="1"/>
        <v>Vết trắng 10%, vêt trắng tech không sử lý thêm được.</v>
      </c>
      <c r="Q426" s="95" t="str">
        <f ca="1"/>
        <v>sort out BTP VẾT Trắng</v>
      </c>
      <c r="R426" s="96">
        <f ca="1"/>
        <v>46108</v>
      </c>
    </row>
    <row r="427" spans="1:18" s="90" customFormat="1" ht="55" customHeight="1" x14ac:dyDescent="0.35">
      <c r="A427" s="94" t="str">
        <f ca="1"/>
        <v>S25V10883</v>
      </c>
      <c r="B427" s="94" t="str">
        <f ca="1"/>
        <v>PKEK25VE0010883A</v>
      </c>
      <c r="C427" s="94" t="str">
        <f ca="1"/>
        <v>Air Force Blue</v>
      </c>
      <c r="D427" s="94" t="str">
        <f ca="1"/>
        <v>957</v>
      </c>
      <c r="E427" s="94" t="str">
        <f ca="1"/>
        <v>FV012282801</v>
      </c>
      <c r="F427" s="94" t="str">
        <f ca="1"/>
        <v>C1500427</v>
      </c>
      <c r="G427" s="94" t="str">
        <f ca="1"/>
        <v>B</v>
      </c>
      <c r="H427" s="94" t="str">
        <f ca="1"/>
        <v>CF003127638</v>
      </c>
      <c r="I427" s="94" t="str">
        <f ca="1"/>
        <v>A</v>
      </c>
      <c r="J427" s="94">
        <f ca="1"/>
        <v>22.6</v>
      </c>
      <c r="K427" s="94"/>
      <c r="L427" s="94">
        <f ca="1"/>
        <v>78.790000000000006</v>
      </c>
      <c r="M427" s="94" t="str">
        <f ca="1"/>
        <v>63/65"</v>
      </c>
      <c r="N427" s="94">
        <f ca="1"/>
        <v>63</v>
      </c>
      <c r="O427" s="94" t="str">
        <f ca="1"/>
        <v>White mark [白印]</v>
      </c>
      <c r="P427" s="95" t="str">
        <f ca="1"/>
        <v>Vết trắng 10%, vêt trắng tech không sử lý thêm được.</v>
      </c>
      <c r="Q427" s="95" t="str">
        <f ca="1"/>
        <v>sort out BTP VẾT Trắng</v>
      </c>
      <c r="R427" s="96">
        <f ca="1"/>
        <v>46108</v>
      </c>
    </row>
    <row r="428" spans="1:18" s="90" customFormat="1" ht="55" customHeight="1" x14ac:dyDescent="0.35">
      <c r="A428" s="94" t="str">
        <f ca="1"/>
        <v>S25V10883</v>
      </c>
      <c r="B428" s="94" t="str">
        <f ca="1"/>
        <v>PKEK25VE0010883A</v>
      </c>
      <c r="C428" s="94" t="str">
        <f ca="1"/>
        <v>Air Force Blue</v>
      </c>
      <c r="D428" s="94" t="str">
        <f ca="1"/>
        <v>957</v>
      </c>
      <c r="E428" s="94" t="str">
        <f ca="1"/>
        <v>FV012282801</v>
      </c>
      <c r="F428" s="94" t="str">
        <f ca="1"/>
        <v>C1500427</v>
      </c>
      <c r="G428" s="94" t="str">
        <f ca="1"/>
        <v>B</v>
      </c>
      <c r="H428" s="94" t="str">
        <f ca="1"/>
        <v>CF003127639</v>
      </c>
      <c r="I428" s="94" t="str">
        <f ca="1"/>
        <v>A</v>
      </c>
      <c r="J428" s="94">
        <f ca="1"/>
        <v>16</v>
      </c>
      <c r="K428" s="94"/>
      <c r="L428" s="94">
        <f ca="1"/>
        <v>55.78</v>
      </c>
      <c r="M428" s="94" t="str">
        <f ca="1"/>
        <v>63/65"</v>
      </c>
      <c r="N428" s="94">
        <f ca="1"/>
        <v>63</v>
      </c>
      <c r="O428" s="94" t="str">
        <f ca="1"/>
        <v>White mark [白印]</v>
      </c>
      <c r="P428" s="95" t="str">
        <f ca="1"/>
        <v>Vết trắng 10%, vêt trắng tech không sử lý thêm được.</v>
      </c>
      <c r="Q428" s="95" t="str">
        <f ca="1"/>
        <v>sort out BTP VẾT Trắng</v>
      </c>
      <c r="R428" s="96">
        <f ca="1"/>
        <v>46108</v>
      </c>
    </row>
    <row r="429" spans="1:18" s="90" customFormat="1" ht="55" customHeight="1" x14ac:dyDescent="0.35">
      <c r="A429" s="94" t="str">
        <f ca="1"/>
        <v>S25V10883</v>
      </c>
      <c r="B429" s="94" t="str">
        <f ca="1"/>
        <v>PKEK25VE0010883A</v>
      </c>
      <c r="C429" s="94" t="str">
        <f ca="1"/>
        <v>Air Force Blue</v>
      </c>
      <c r="D429" s="94" t="str">
        <f ca="1"/>
        <v>957</v>
      </c>
      <c r="E429" s="94" t="str">
        <f ca="1"/>
        <v>FV012282801</v>
      </c>
      <c r="F429" s="94" t="str">
        <f ca="1"/>
        <v>C1500427</v>
      </c>
      <c r="G429" s="94" t="str">
        <f ca="1"/>
        <v>B</v>
      </c>
      <c r="H429" s="94" t="str">
        <f ca="1"/>
        <v>CF003127640</v>
      </c>
      <c r="I429" s="94" t="str">
        <f ca="1"/>
        <v>A</v>
      </c>
      <c r="J429" s="94">
        <f ca="1"/>
        <v>32.299999999999997</v>
      </c>
      <c r="K429" s="94"/>
      <c r="L429" s="94">
        <f ca="1"/>
        <v>112.61</v>
      </c>
      <c r="M429" s="94" t="str">
        <f ca="1"/>
        <v>63/65"</v>
      </c>
      <c r="N429" s="94">
        <f ca="1"/>
        <v>63</v>
      </c>
      <c r="O429" s="94" t="str">
        <f ca="1"/>
        <v>White mark [白印]</v>
      </c>
      <c r="P429" s="95" t="str">
        <f ca="1"/>
        <v>Vết trắng 10%, vêt trắng tech không sử lý thêm được.</v>
      </c>
      <c r="Q429" s="95" t="str">
        <f ca="1"/>
        <v>sort out BTP VẾT Trắng</v>
      </c>
      <c r="R429" s="96">
        <f ca="1"/>
        <v>46108</v>
      </c>
    </row>
    <row r="430" spans="1:18" s="90" customFormat="1" ht="55" customHeight="1" x14ac:dyDescent="0.35">
      <c r="A430" s="94" t="str">
        <f ca="1"/>
        <v>S25V10883</v>
      </c>
      <c r="B430" s="94" t="str">
        <f ca="1"/>
        <v>PKEK25VE0010883A</v>
      </c>
      <c r="C430" s="94" t="str">
        <f ca="1"/>
        <v>Air Force Blue</v>
      </c>
      <c r="D430" s="94" t="str">
        <f ca="1"/>
        <v>957</v>
      </c>
      <c r="E430" s="94" t="str">
        <f ca="1"/>
        <v>FV012282801</v>
      </c>
      <c r="F430" s="94" t="str">
        <f ca="1"/>
        <v>C1500427</v>
      </c>
      <c r="G430" s="94" t="str">
        <f ca="1"/>
        <v>B</v>
      </c>
      <c r="H430" s="94" t="str">
        <f ca="1"/>
        <v>CF003127641</v>
      </c>
      <c r="I430" s="94" t="str">
        <f ca="1"/>
        <v>B</v>
      </c>
      <c r="J430" s="94">
        <f ca="1"/>
        <v>23.1</v>
      </c>
      <c r="K430" s="94"/>
      <c r="L430" s="94">
        <f ca="1"/>
        <v>80.53</v>
      </c>
      <c r="M430" s="94" t="str">
        <f ca="1"/>
        <v>63/65"</v>
      </c>
      <c r="N430" s="94">
        <f ca="1"/>
        <v>63</v>
      </c>
      <c r="O430" s="94" t="str">
        <f ca="1"/>
        <v>White mark [白印]</v>
      </c>
      <c r="P430" s="95" t="str">
        <f ca="1"/>
        <v>Vết trắng 10%, vêt trắng tech không sử lý thêm được.</v>
      </c>
      <c r="Q430" s="95" t="str">
        <f ca="1"/>
        <v>sort out BTP VẾT Trắng</v>
      </c>
      <c r="R430" s="96">
        <f ca="1"/>
        <v>46108</v>
      </c>
    </row>
    <row r="431" spans="1:18" s="90" customFormat="1" ht="55" customHeight="1" x14ac:dyDescent="0.35">
      <c r="A431" s="94" t="str">
        <f ca="1"/>
        <v>S25V10883</v>
      </c>
      <c r="B431" s="94" t="str">
        <f ca="1"/>
        <v>PKEK25VE0010883A</v>
      </c>
      <c r="C431" s="94" t="str">
        <f ca="1"/>
        <v>Air Force Blue</v>
      </c>
      <c r="D431" s="94" t="str">
        <f ca="1"/>
        <v>957</v>
      </c>
      <c r="E431" s="94" t="str">
        <f ca="1"/>
        <v>FV012282801</v>
      </c>
      <c r="F431" s="94" t="str">
        <f ca="1"/>
        <v>C1500427</v>
      </c>
      <c r="G431" s="94" t="str">
        <f ca="1"/>
        <v>B</v>
      </c>
      <c r="H431" s="94" t="str">
        <f ca="1"/>
        <v>CF003127642</v>
      </c>
      <c r="I431" s="94" t="str">
        <f ca="1"/>
        <v>A</v>
      </c>
      <c r="J431" s="94">
        <f ca="1"/>
        <v>23</v>
      </c>
      <c r="K431" s="94"/>
      <c r="L431" s="94">
        <f ca="1"/>
        <v>80.19</v>
      </c>
      <c r="M431" s="94" t="str">
        <f ca="1"/>
        <v>63/65"</v>
      </c>
      <c r="N431" s="94">
        <f ca="1"/>
        <v>63</v>
      </c>
      <c r="O431" s="94" t="str">
        <f ca="1"/>
        <v>White mark [白印]</v>
      </c>
      <c r="P431" s="95" t="str">
        <f ca="1"/>
        <v>Vết trắng 10%, vêt trắng tech không sử lý thêm được.</v>
      </c>
      <c r="Q431" s="95" t="str">
        <f ca="1"/>
        <v>sort out BTP VẾT Trắng</v>
      </c>
      <c r="R431" s="96">
        <f ca="1"/>
        <v>46108</v>
      </c>
    </row>
    <row r="432" spans="1:18" s="90" customFormat="1" ht="55" customHeight="1" x14ac:dyDescent="0.35">
      <c r="A432" s="94" t="str">
        <f ca="1"/>
        <v>S25V10883</v>
      </c>
      <c r="B432" s="94" t="str">
        <f ca="1"/>
        <v>PKEK25VE0010883A</v>
      </c>
      <c r="C432" s="94" t="str">
        <f ca="1"/>
        <v>Air Force Blue</v>
      </c>
      <c r="D432" s="94" t="str">
        <f ca="1"/>
        <v>957</v>
      </c>
      <c r="E432" s="94" t="str">
        <f ca="1"/>
        <v>FV012282801</v>
      </c>
      <c r="F432" s="94" t="str">
        <f ca="1"/>
        <v>C1500427</v>
      </c>
      <c r="G432" s="94" t="str">
        <f ca="1"/>
        <v>B</v>
      </c>
      <c r="H432" s="94" t="str">
        <f ca="1"/>
        <v>CF003127643</v>
      </c>
      <c r="I432" s="94" t="str">
        <f ca="1"/>
        <v>A</v>
      </c>
      <c r="J432" s="94">
        <f ca="1"/>
        <v>20.3</v>
      </c>
      <c r="K432" s="94"/>
      <c r="L432" s="94">
        <f ca="1"/>
        <v>70.77</v>
      </c>
      <c r="M432" s="94" t="str">
        <f ca="1"/>
        <v>63/65"</v>
      </c>
      <c r="N432" s="94">
        <f ca="1"/>
        <v>63</v>
      </c>
      <c r="O432" s="94" t="str">
        <f ca="1"/>
        <v>Dirt [针织污渍]</v>
      </c>
      <c r="P432" s="95" t="str">
        <f ca="1"/>
        <v>Vết trắng 10%, vêt trắng tech không sử lý thêm được.</v>
      </c>
      <c r="Q432" s="95" t="str">
        <f ca="1"/>
        <v>sort out BTP VẾT Trắng</v>
      </c>
      <c r="R432" s="96">
        <f ca="1"/>
        <v>46108</v>
      </c>
    </row>
    <row r="433" spans="1:18" s="90" customFormat="1" ht="55" customHeight="1" x14ac:dyDescent="0.35">
      <c r="A433" s="94" t="str">
        <f ca="1"/>
        <v>S25V10883</v>
      </c>
      <c r="B433" s="94" t="str">
        <f ca="1"/>
        <v>PKEK25VE0010883A</v>
      </c>
      <c r="C433" s="94" t="str">
        <f ca="1"/>
        <v>Air Force Blue</v>
      </c>
      <c r="D433" s="94" t="str">
        <f ca="1"/>
        <v>957</v>
      </c>
      <c r="E433" s="94" t="str">
        <f ca="1"/>
        <v>FV012282801</v>
      </c>
      <c r="F433" s="94" t="str">
        <f ca="1"/>
        <v>C1500427</v>
      </c>
      <c r="G433" s="94" t="str">
        <f ca="1"/>
        <v>B</v>
      </c>
      <c r="H433" s="94" t="str">
        <f ca="1"/>
        <v>CF003127644</v>
      </c>
      <c r="I433" s="94" t="str">
        <f ca="1"/>
        <v>A</v>
      </c>
      <c r="J433" s="94">
        <f ca="1"/>
        <v>21.7</v>
      </c>
      <c r="K433" s="94"/>
      <c r="L433" s="94">
        <f ca="1"/>
        <v>75.650000000000006</v>
      </c>
      <c r="M433" s="94" t="str">
        <f ca="1"/>
        <v>63/65"</v>
      </c>
      <c r="N433" s="94">
        <f ca="1"/>
        <v>63</v>
      </c>
      <c r="O433" s="94" t="str">
        <f ca="1"/>
        <v>Oil (PD) [匹染油污]</v>
      </c>
      <c r="P433" s="95" t="str">
        <f ca="1"/>
        <v>Vết trắng 10%, vêt trắng tech không sử lý thêm được.</v>
      </c>
      <c r="Q433" s="95" t="str">
        <f ca="1"/>
        <v>sort out BTP VẾT Trắng</v>
      </c>
      <c r="R433" s="96">
        <f ca="1"/>
        <v>46108</v>
      </c>
    </row>
    <row r="434" spans="1:18" s="90" customFormat="1" ht="55" customHeight="1" x14ac:dyDescent="0.35">
      <c r="A434" s="94" t="str">
        <f ca="1"/>
        <v>S25V10883</v>
      </c>
      <c r="B434" s="94" t="str">
        <f ca="1"/>
        <v>PKEK25VE0010883A</v>
      </c>
      <c r="C434" s="94" t="str">
        <f ca="1"/>
        <v>Air Force Blue</v>
      </c>
      <c r="D434" s="94" t="str">
        <f ca="1"/>
        <v>957</v>
      </c>
      <c r="E434" s="94" t="str">
        <f ca="1"/>
        <v>FV012282801</v>
      </c>
      <c r="F434" s="94" t="str">
        <f ca="1"/>
        <v>C1500427</v>
      </c>
      <c r="G434" s="94" t="str">
        <f ca="1"/>
        <v>B</v>
      </c>
      <c r="H434" s="94" t="str">
        <f ca="1"/>
        <v>CF003127645</v>
      </c>
      <c r="I434" s="94" t="str">
        <f ca="1"/>
        <v>A</v>
      </c>
      <c r="J434" s="94">
        <f ca="1"/>
        <v>22.5</v>
      </c>
      <c r="K434" s="94"/>
      <c r="L434" s="94">
        <f ca="1"/>
        <v>78.44</v>
      </c>
      <c r="M434" s="94" t="str">
        <f ca="1"/>
        <v>63/65"</v>
      </c>
      <c r="N434" s="94">
        <f ca="1"/>
        <v>63</v>
      </c>
      <c r="O434" s="94" t="str">
        <f ca="1"/>
        <v>Oil (PD) [匹染油污]</v>
      </c>
      <c r="P434" s="95" t="str">
        <f ca="1"/>
        <v>Vết trắng 10%, vêt trắng tech không sử lý thêm được.</v>
      </c>
      <c r="Q434" s="95" t="str">
        <f ca="1"/>
        <v>sort out BTP VẾT Trắng</v>
      </c>
      <c r="R434" s="96">
        <f ca="1"/>
        <v>46108</v>
      </c>
    </row>
    <row r="435" spans="1:18" s="90" customFormat="1" ht="55" customHeight="1" x14ac:dyDescent="0.35">
      <c r="A435" s="94" t="str">
        <f ca="1"/>
        <v>S25V10883</v>
      </c>
      <c r="B435" s="94" t="str">
        <f ca="1"/>
        <v>PKEK25VE0010883A</v>
      </c>
      <c r="C435" s="94" t="str">
        <f ca="1"/>
        <v>Air Force Blue</v>
      </c>
      <c r="D435" s="94" t="str">
        <f ca="1"/>
        <v>957</v>
      </c>
      <c r="E435" s="94" t="str">
        <f ca="1"/>
        <v>FV012282801</v>
      </c>
      <c r="F435" s="94" t="str">
        <f ca="1"/>
        <v>C1500427</v>
      </c>
      <c r="G435" s="94" t="str">
        <f ca="1"/>
        <v>B</v>
      </c>
      <c r="H435" s="94" t="str">
        <f ca="1"/>
        <v>CF003127646</v>
      </c>
      <c r="I435" s="94" t="str">
        <f ca="1"/>
        <v>A</v>
      </c>
      <c r="J435" s="94">
        <f ca="1"/>
        <v>22.8</v>
      </c>
      <c r="K435" s="94"/>
      <c r="L435" s="94">
        <f ca="1"/>
        <v>79.489999999999995</v>
      </c>
      <c r="M435" s="94" t="str">
        <f ca="1"/>
        <v>63/65"</v>
      </c>
      <c r="N435" s="94">
        <f ca="1"/>
        <v>63</v>
      </c>
      <c r="O435" s="94" t="str">
        <f ca="1"/>
        <v>White mark [白印]</v>
      </c>
      <c r="P435" s="95" t="str">
        <f ca="1"/>
        <v>Vết trắng 10%, vêt trắng tech không sử lý thêm được.</v>
      </c>
      <c r="Q435" s="95" t="str">
        <f ca="1"/>
        <v>sort out BTP VẾT Trắng</v>
      </c>
      <c r="R435" s="96">
        <f ca="1"/>
        <v>46108</v>
      </c>
    </row>
    <row r="436" spans="1:18" s="90" customFormat="1" ht="55" customHeight="1" x14ac:dyDescent="0.35">
      <c r="A436" s="94" t="str">
        <f ca="1"/>
        <v>S25V10883</v>
      </c>
      <c r="B436" s="94" t="str">
        <f ca="1"/>
        <v>PKEK25VE0010883A</v>
      </c>
      <c r="C436" s="94" t="str">
        <f ca="1"/>
        <v>Air Force Blue</v>
      </c>
      <c r="D436" s="94" t="str">
        <f ca="1"/>
        <v>957</v>
      </c>
      <c r="E436" s="94" t="str">
        <f ca="1"/>
        <v>FV012282801</v>
      </c>
      <c r="F436" s="94" t="str">
        <f ca="1"/>
        <v>C1500427</v>
      </c>
      <c r="G436" s="94" t="str">
        <f ca="1"/>
        <v>B</v>
      </c>
      <c r="H436" s="94" t="str">
        <f ca="1"/>
        <v>CF003127647</v>
      </c>
      <c r="I436" s="94" t="str">
        <f ca="1"/>
        <v>A</v>
      </c>
      <c r="J436" s="94">
        <f ca="1"/>
        <v>21.7</v>
      </c>
      <c r="K436" s="94"/>
      <c r="L436" s="94">
        <f ca="1"/>
        <v>75.650000000000006</v>
      </c>
      <c r="M436" s="94" t="str">
        <f ca="1"/>
        <v>63/65"</v>
      </c>
      <c r="N436" s="94">
        <f ca="1"/>
        <v>63</v>
      </c>
      <c r="O436" s="94" t="str">
        <f ca="1"/>
        <v>Dirt [针织污渍]</v>
      </c>
      <c r="P436" s="95" t="str">
        <f ca="1"/>
        <v>Vết trắng 10%, vêt trắng tech không sử lý thêm được.</v>
      </c>
      <c r="Q436" s="95" t="str">
        <f ca="1"/>
        <v>sort out BTP VẾT Trắng</v>
      </c>
      <c r="R436" s="96">
        <f ca="1"/>
        <v>46108</v>
      </c>
    </row>
    <row r="437" spans="1:18" s="90" customFormat="1" ht="55" customHeight="1" x14ac:dyDescent="0.35">
      <c r="A437" s="94" t="str">
        <f ca="1"/>
        <v>S25V10883</v>
      </c>
      <c r="B437" s="94" t="str">
        <f ca="1"/>
        <v>PKEK25VE0010883A</v>
      </c>
      <c r="C437" s="94" t="str">
        <f ca="1"/>
        <v>Air Force Blue</v>
      </c>
      <c r="D437" s="94" t="str">
        <f ca="1"/>
        <v>957</v>
      </c>
      <c r="E437" s="94" t="str">
        <f ca="1"/>
        <v>FV012282801</v>
      </c>
      <c r="F437" s="94" t="str">
        <f ca="1"/>
        <v>C1500427</v>
      </c>
      <c r="G437" s="94" t="str">
        <f ca="1"/>
        <v>B</v>
      </c>
      <c r="H437" s="94" t="str">
        <f ca="1"/>
        <v>CF003127648</v>
      </c>
      <c r="I437" s="94" t="str">
        <f ca="1"/>
        <v>A</v>
      </c>
      <c r="J437" s="94">
        <f ca="1"/>
        <v>22.5</v>
      </c>
      <c r="K437" s="94"/>
      <c r="L437" s="94">
        <f ca="1"/>
        <v>78.44</v>
      </c>
      <c r="M437" s="94" t="str">
        <f ca="1"/>
        <v>63/65"</v>
      </c>
      <c r="N437" s="94">
        <f ca="1"/>
        <v>63</v>
      </c>
      <c r="O437" s="94" t="str">
        <f ca="1"/>
        <v>White mark [白印]</v>
      </c>
      <c r="P437" s="95" t="str">
        <f ca="1"/>
        <v>Vết trắng 10%, vêt trắng tech không sử lý thêm được.</v>
      </c>
      <c r="Q437" s="95" t="str">
        <f ca="1"/>
        <v>sort out BTP VẾT Trắng</v>
      </c>
      <c r="R437" s="96">
        <f ca="1"/>
        <v>46108</v>
      </c>
    </row>
    <row r="438" spans="1:18" s="90" customFormat="1" ht="55" customHeight="1" x14ac:dyDescent="0.35">
      <c r="A438" s="94" t="str">
        <f ca="1"/>
        <v>S25V10883</v>
      </c>
      <c r="B438" s="94" t="str">
        <f ca="1"/>
        <v>PKEK25VE0010883A</v>
      </c>
      <c r="C438" s="94" t="str">
        <f ca="1"/>
        <v>Air Force Blue</v>
      </c>
      <c r="D438" s="94" t="str">
        <f ca="1"/>
        <v>957</v>
      </c>
      <c r="E438" s="94" t="str">
        <f ca="1"/>
        <v>FV012282801</v>
      </c>
      <c r="F438" s="94" t="str">
        <f ca="1"/>
        <v>C1500427</v>
      </c>
      <c r="G438" s="94" t="str">
        <f ca="1"/>
        <v>B</v>
      </c>
      <c r="H438" s="94" t="str">
        <f ca="1"/>
        <v>CF003127649</v>
      </c>
      <c r="I438" s="94" t="str">
        <f ca="1"/>
        <v>A</v>
      </c>
      <c r="J438" s="94">
        <f ca="1"/>
        <v>22.7</v>
      </c>
      <c r="K438" s="94"/>
      <c r="L438" s="94">
        <f ca="1"/>
        <v>79.14</v>
      </c>
      <c r="M438" s="94" t="str">
        <f ca="1"/>
        <v>63/65"</v>
      </c>
      <c r="N438" s="94">
        <f ca="1"/>
        <v>63</v>
      </c>
      <c r="O438" s="94" t="str">
        <f ca="1"/>
        <v>White mark [白印]</v>
      </c>
      <c r="P438" s="95" t="str">
        <f ca="1"/>
        <v>Vết trắng 10%, vêt trắng tech không sử lý thêm được.</v>
      </c>
      <c r="Q438" s="95" t="str">
        <f ca="1"/>
        <v>sort out BTP VẾT Trắng</v>
      </c>
      <c r="R438" s="96">
        <f ca="1"/>
        <v>46108</v>
      </c>
    </row>
    <row r="439" spans="1:18" s="90" customFormat="1" ht="55" customHeight="1" x14ac:dyDescent="0.35">
      <c r="A439" s="94" t="str">
        <f ca="1"/>
        <v>S25V10883</v>
      </c>
      <c r="B439" s="94" t="str">
        <f ca="1"/>
        <v>PKEK25VE0010883A</v>
      </c>
      <c r="C439" s="94" t="str">
        <f ca="1"/>
        <v>Air Force Blue</v>
      </c>
      <c r="D439" s="94" t="str">
        <f ca="1"/>
        <v>957</v>
      </c>
      <c r="E439" s="94" t="str">
        <f ca="1"/>
        <v>FV012282801</v>
      </c>
      <c r="F439" s="94" t="str">
        <f ca="1"/>
        <v>C1500427</v>
      </c>
      <c r="G439" s="94" t="str">
        <f ca="1"/>
        <v>B</v>
      </c>
      <c r="H439" s="94" t="str">
        <f ca="1"/>
        <v>CF003127650</v>
      </c>
      <c r="I439" s="94" t="str">
        <f ca="1"/>
        <v>A</v>
      </c>
      <c r="J439" s="94">
        <f ca="1"/>
        <v>22.1</v>
      </c>
      <c r="K439" s="94"/>
      <c r="L439" s="94">
        <f ca="1"/>
        <v>77.05</v>
      </c>
      <c r="M439" s="94" t="str">
        <f ca="1"/>
        <v>63/65"</v>
      </c>
      <c r="N439" s="94">
        <f ca="1"/>
        <v>63</v>
      </c>
      <c r="O439" s="94" t="str">
        <f ca="1"/>
        <v>White mark [白印]</v>
      </c>
      <c r="P439" s="95" t="str">
        <f ca="1"/>
        <v>Vết trắng 10%, vêt trắng tech không sử lý thêm được.</v>
      </c>
      <c r="Q439" s="95" t="str">
        <f ca="1"/>
        <v>sort out BTP VẾT Trắng</v>
      </c>
      <c r="R439" s="96">
        <f ca="1"/>
        <v>46108</v>
      </c>
    </row>
    <row r="440" spans="1:18" s="90" customFormat="1" ht="55" customHeight="1" x14ac:dyDescent="0.35">
      <c r="A440" s="94" t="str">
        <f ca="1"/>
        <v>S25V10883</v>
      </c>
      <c r="B440" s="94" t="str">
        <f ca="1"/>
        <v>PKEK25VE0010883A</v>
      </c>
      <c r="C440" s="94" t="str">
        <f ca="1"/>
        <v>Air Force Blue</v>
      </c>
      <c r="D440" s="94" t="str">
        <f ca="1"/>
        <v>957</v>
      </c>
      <c r="E440" s="94" t="str">
        <f ca="1"/>
        <v>FV012282801</v>
      </c>
      <c r="F440" s="94" t="str">
        <f ca="1"/>
        <v>C1500427</v>
      </c>
      <c r="G440" s="94" t="str">
        <f ca="1"/>
        <v>B</v>
      </c>
      <c r="H440" s="94" t="str">
        <f ca="1"/>
        <v>CF003127656</v>
      </c>
      <c r="I440" s="94" t="str">
        <f ca="1"/>
        <v>A</v>
      </c>
      <c r="J440" s="94">
        <f ca="1"/>
        <v>16.100000000000001</v>
      </c>
      <c r="K440" s="94"/>
      <c r="L440" s="94">
        <f ca="1"/>
        <v>56.13</v>
      </c>
      <c r="M440" s="94" t="str">
        <f ca="1"/>
        <v>63/65"</v>
      </c>
      <c r="N440" s="94">
        <f ca="1"/>
        <v>63</v>
      </c>
      <c r="O440" s="94" t="str">
        <f ca="1"/>
        <v>White mark [白印]</v>
      </c>
      <c r="P440" s="95" t="str">
        <f ca="1"/>
        <v>Vết trắng 10%, vêt trắng tech không sử lý thêm được.</v>
      </c>
      <c r="Q440" s="95" t="str">
        <f ca="1"/>
        <v>sort out BTP VẾT Trắng</v>
      </c>
      <c r="R440" s="96">
        <f ca="1"/>
        <v>46108</v>
      </c>
    </row>
    <row r="441" spans="1:18" s="90" customFormat="1" ht="55" customHeight="1" x14ac:dyDescent="0.35">
      <c r="A441" s="94" t="str">
        <f ca="1"/>
        <v>S25V10883</v>
      </c>
      <c r="B441" s="94" t="str">
        <f ca="1"/>
        <v>PKEK25VE0010883A</v>
      </c>
      <c r="C441" s="94" t="str">
        <f ca="1"/>
        <v>Air Force Blue</v>
      </c>
      <c r="D441" s="94" t="str">
        <f ca="1"/>
        <v>957</v>
      </c>
      <c r="E441" s="94" t="str">
        <f ca="1"/>
        <v>FV012282801</v>
      </c>
      <c r="F441" s="94" t="str">
        <f ca="1"/>
        <v>C1500427</v>
      </c>
      <c r="G441" s="94" t="str">
        <f ca="1"/>
        <v>B</v>
      </c>
      <c r="H441" s="94" t="str">
        <f ca="1"/>
        <v>CF003127661</v>
      </c>
      <c r="I441" s="94" t="str">
        <f ca="1"/>
        <v>A</v>
      </c>
      <c r="J441" s="94">
        <f ca="1"/>
        <v>26</v>
      </c>
      <c r="K441" s="94"/>
      <c r="L441" s="94">
        <f ca="1"/>
        <v>90.64</v>
      </c>
      <c r="M441" s="94" t="str">
        <f ca="1"/>
        <v>63/65"</v>
      </c>
      <c r="N441" s="94">
        <f ca="1"/>
        <v>63</v>
      </c>
      <c r="O441" s="94" t="str">
        <f ca="1"/>
        <v>White mark [白印]</v>
      </c>
      <c r="P441" s="95" t="str">
        <f ca="1"/>
        <v>Vết trắng 10%, vêt trắng tech không sử lý thêm được.</v>
      </c>
      <c r="Q441" s="95" t="str">
        <f ca="1"/>
        <v>sort out BTP VẾT Trắng</v>
      </c>
      <c r="R441" s="96">
        <f ca="1"/>
        <v>46108</v>
      </c>
    </row>
    <row r="442" spans="1:18" s="90" customFormat="1" ht="55" customHeight="1" x14ac:dyDescent="0.35">
      <c r="A442" s="94" t="str">
        <f ca="1"/>
        <v>S25V10883</v>
      </c>
      <c r="B442" s="94" t="str">
        <f ca="1"/>
        <v>PKEK25VE0010883A</v>
      </c>
      <c r="C442" s="94" t="str">
        <f ca="1"/>
        <v>Air Force Blue</v>
      </c>
      <c r="D442" s="94" t="str">
        <f ca="1"/>
        <v>957</v>
      </c>
      <c r="E442" s="94" t="str">
        <f ca="1"/>
        <v>FV012282801</v>
      </c>
      <c r="F442" s="94" t="str">
        <f ca="1"/>
        <v>C1500427</v>
      </c>
      <c r="G442" s="94" t="str">
        <f ca="1"/>
        <v>B</v>
      </c>
      <c r="H442" s="94" t="str">
        <f ca="1"/>
        <v>CF003127662</v>
      </c>
      <c r="I442" s="94" t="str">
        <f ca="1"/>
        <v>B</v>
      </c>
      <c r="J442" s="94">
        <f ca="1"/>
        <v>14.2</v>
      </c>
      <c r="K442" s="94"/>
      <c r="L442" s="94">
        <f ca="1"/>
        <v>49.51</v>
      </c>
      <c r="M442" s="94" t="str">
        <f ca="1"/>
        <v>63/65"</v>
      </c>
      <c r="N442" s="94">
        <f ca="1"/>
        <v>63</v>
      </c>
      <c r="O442" s="94" t="str">
        <f ca="1"/>
        <v>White mark [白印]</v>
      </c>
      <c r="P442" s="95" t="str">
        <f ca="1"/>
        <v>Vết trắng 10%, vêt trắng tech không sử lý thêm được.</v>
      </c>
      <c r="Q442" s="95" t="str">
        <f ca="1"/>
        <v>sort out BTP VẾT Trắng</v>
      </c>
      <c r="R442" s="96">
        <f ca="1"/>
        <v>46108</v>
      </c>
    </row>
    <row r="443" spans="1:18" s="90" customFormat="1" ht="55" customHeight="1" x14ac:dyDescent="0.35">
      <c r="A443" s="94" t="str">
        <f ca="1"/>
        <v>S25V10883</v>
      </c>
      <c r="B443" s="94" t="str">
        <f ca="1"/>
        <v>PKEK25VE0010883A</v>
      </c>
      <c r="C443" s="94" t="str">
        <f ca="1"/>
        <v>Air Force Blue</v>
      </c>
      <c r="D443" s="94" t="str">
        <f ca="1"/>
        <v>957</v>
      </c>
      <c r="E443" s="94" t="str">
        <f ca="1"/>
        <v>FV012282801</v>
      </c>
      <c r="F443" s="94" t="str">
        <f ca="1"/>
        <v>C1500427</v>
      </c>
      <c r="G443" s="94" t="str">
        <f ca="1"/>
        <v>B</v>
      </c>
      <c r="H443" s="94" t="str">
        <f ca="1"/>
        <v>CF003127663</v>
      </c>
      <c r="I443" s="94" t="str">
        <f ca="1"/>
        <v>A</v>
      </c>
      <c r="J443" s="94">
        <f ca="1"/>
        <v>22.9</v>
      </c>
      <c r="K443" s="94"/>
      <c r="L443" s="94">
        <f ca="1"/>
        <v>79.84</v>
      </c>
      <c r="M443" s="94" t="str">
        <f ca="1"/>
        <v>63/65"</v>
      </c>
      <c r="N443" s="94">
        <f ca="1"/>
        <v>63</v>
      </c>
      <c r="O443" s="94" t="str">
        <f ca="1"/>
        <v>White mark [白印]</v>
      </c>
      <c r="P443" s="95" t="str">
        <f ca="1"/>
        <v>Vết trắng 10%, vêt trắng tech không sử lý thêm được.</v>
      </c>
      <c r="Q443" s="95" t="str">
        <f ca="1"/>
        <v>sort out BTP VẾT Trắng</v>
      </c>
      <c r="R443" s="96">
        <f ca="1"/>
        <v>46108</v>
      </c>
    </row>
    <row r="444" spans="1:18" s="90" customFormat="1" ht="55" customHeight="1" x14ac:dyDescent="0.35">
      <c r="A444" s="94" t="str">
        <f ca="1"/>
        <v>S25V10883</v>
      </c>
      <c r="B444" s="94" t="str">
        <f ca="1"/>
        <v>PKEK25VE0010883A</v>
      </c>
      <c r="C444" s="94" t="str">
        <f ca="1"/>
        <v>Air Force Blue</v>
      </c>
      <c r="D444" s="94" t="str">
        <f ca="1"/>
        <v>957</v>
      </c>
      <c r="E444" s="94" t="str">
        <f ca="1"/>
        <v>FV012282801</v>
      </c>
      <c r="F444" s="94" t="str">
        <f ca="1"/>
        <v>C1500427</v>
      </c>
      <c r="G444" s="94" t="str">
        <f ca="1"/>
        <v>B</v>
      </c>
      <c r="H444" s="94" t="str">
        <f ca="1"/>
        <v>CF003127664</v>
      </c>
      <c r="I444" s="94" t="str">
        <f ca="1"/>
        <v>A</v>
      </c>
      <c r="J444" s="94">
        <f ca="1"/>
        <v>22.7</v>
      </c>
      <c r="K444" s="94"/>
      <c r="L444" s="94">
        <f ca="1"/>
        <v>79.14</v>
      </c>
      <c r="M444" s="94" t="str">
        <f ca="1"/>
        <v>63/65"</v>
      </c>
      <c r="N444" s="94">
        <f ca="1"/>
        <v>63</v>
      </c>
      <c r="O444" s="94" t="str">
        <f ca="1"/>
        <v>White mark [白印]</v>
      </c>
      <c r="P444" s="95" t="str">
        <f ca="1"/>
        <v>Vết trắng 10%, vêt trắng tech không sử lý thêm được.</v>
      </c>
      <c r="Q444" s="95" t="str">
        <f ca="1"/>
        <v>sort out BTP VẾT Trắng</v>
      </c>
      <c r="R444" s="96">
        <f ca="1"/>
        <v>46108</v>
      </c>
    </row>
    <row r="445" spans="1:18" s="90" customFormat="1" ht="55" customHeight="1" x14ac:dyDescent="0.35">
      <c r="A445" s="94" t="str">
        <f ca="1"/>
        <v>S25V10883</v>
      </c>
      <c r="B445" s="94" t="str">
        <f ca="1"/>
        <v>PKEK25VE0010883A</v>
      </c>
      <c r="C445" s="94" t="str">
        <f ca="1"/>
        <v>Air Force Blue</v>
      </c>
      <c r="D445" s="94" t="str">
        <f ca="1"/>
        <v>957</v>
      </c>
      <c r="E445" s="94" t="str">
        <f ca="1"/>
        <v>FV012282801</v>
      </c>
      <c r="F445" s="94" t="str">
        <f ca="1"/>
        <v>C1500427</v>
      </c>
      <c r="G445" s="94" t="str">
        <f ca="1"/>
        <v>B</v>
      </c>
      <c r="H445" s="94" t="str">
        <f ca="1"/>
        <v>CF003127665</v>
      </c>
      <c r="I445" s="94" t="str">
        <f ca="1"/>
        <v>A</v>
      </c>
      <c r="J445" s="94">
        <f ca="1"/>
        <v>22.6</v>
      </c>
      <c r="K445" s="94"/>
      <c r="L445" s="94">
        <f ca="1"/>
        <v>78.790000000000006</v>
      </c>
      <c r="M445" s="94" t="str">
        <f ca="1"/>
        <v>63/65"</v>
      </c>
      <c r="N445" s="94">
        <f ca="1"/>
        <v>63</v>
      </c>
      <c r="O445" s="94" t="str">
        <f ca="1"/>
        <v>White mark [白印]</v>
      </c>
      <c r="P445" s="95" t="str">
        <f ca="1"/>
        <v>Vết trắng 10%, vêt trắng tech không sử lý thêm được.</v>
      </c>
      <c r="Q445" s="95" t="str">
        <f ca="1"/>
        <v>sort out BTP VẾT Trắng</v>
      </c>
      <c r="R445" s="96">
        <f ca="1"/>
        <v>46108</v>
      </c>
    </row>
    <row r="446" spans="1:18" s="90" customFormat="1" ht="55" customHeight="1" x14ac:dyDescent="0.35">
      <c r="A446" s="94" t="str">
        <f ca="1"/>
        <v>S25V10883</v>
      </c>
      <c r="B446" s="94" t="str">
        <f ca="1"/>
        <v>PKEK25VE0010883A</v>
      </c>
      <c r="C446" s="94" t="str">
        <f ca="1"/>
        <v>Air Force Blue</v>
      </c>
      <c r="D446" s="94" t="str">
        <f ca="1"/>
        <v>957</v>
      </c>
      <c r="E446" s="94" t="str">
        <f ca="1"/>
        <v>FV012282801</v>
      </c>
      <c r="F446" s="94" t="str">
        <f ca="1"/>
        <v>C1500427</v>
      </c>
      <c r="G446" s="94" t="str">
        <f ca="1"/>
        <v>B</v>
      </c>
      <c r="H446" s="94" t="str">
        <f ca="1"/>
        <v>CF003127666</v>
      </c>
      <c r="I446" s="94" t="str">
        <f ca="1"/>
        <v>A</v>
      </c>
      <c r="J446" s="94">
        <f ca="1"/>
        <v>22.7</v>
      </c>
      <c r="K446" s="94"/>
      <c r="L446" s="94">
        <f ca="1"/>
        <v>79.14</v>
      </c>
      <c r="M446" s="94" t="str">
        <f ca="1"/>
        <v>63/65"</v>
      </c>
      <c r="N446" s="94">
        <f ca="1"/>
        <v>63</v>
      </c>
      <c r="O446" s="94" t="str">
        <f ca="1"/>
        <v>White mark [白印]</v>
      </c>
      <c r="P446" s="95" t="str">
        <f ca="1"/>
        <v>Vết trắng 10%, vêt trắng tech không sử lý thêm được.</v>
      </c>
      <c r="Q446" s="95" t="str">
        <f ca="1"/>
        <v>sort out BTP VẾT Trắng</v>
      </c>
      <c r="R446" s="96">
        <f ca="1"/>
        <v>46108</v>
      </c>
    </row>
    <row r="447" spans="1:18" s="90" customFormat="1" ht="55" customHeight="1" x14ac:dyDescent="0.35">
      <c r="A447" s="94" t="str">
        <f ca="1"/>
        <v>S25V10883</v>
      </c>
      <c r="B447" s="94" t="str">
        <f ca="1"/>
        <v>PKEK25VE0010883A</v>
      </c>
      <c r="C447" s="94" t="str">
        <f ca="1"/>
        <v>Air Force Blue</v>
      </c>
      <c r="D447" s="94" t="str">
        <f ca="1"/>
        <v>957</v>
      </c>
      <c r="E447" s="94" t="str">
        <f ca="1"/>
        <v>FV012282801</v>
      </c>
      <c r="F447" s="94" t="str">
        <f ca="1"/>
        <v>C1500427</v>
      </c>
      <c r="G447" s="94" t="str">
        <f ca="1"/>
        <v>B</v>
      </c>
      <c r="H447" s="94" t="str">
        <f ca="1"/>
        <v>CF003127667</v>
      </c>
      <c r="I447" s="94" t="str">
        <f ca="1"/>
        <v>A</v>
      </c>
      <c r="J447" s="94">
        <f ca="1"/>
        <v>22.8</v>
      </c>
      <c r="K447" s="94"/>
      <c r="L447" s="94">
        <f ca="1"/>
        <v>79.489999999999995</v>
      </c>
      <c r="M447" s="94" t="str">
        <f ca="1"/>
        <v>63/65"</v>
      </c>
      <c r="N447" s="94">
        <f ca="1"/>
        <v>63</v>
      </c>
      <c r="O447" s="94" t="str">
        <f ca="1"/>
        <v>White mark [白印]</v>
      </c>
      <c r="P447" s="95" t="str">
        <f ca="1"/>
        <v>Vết trắng 10%, vêt trắng tech không sử lý thêm được.</v>
      </c>
      <c r="Q447" s="95" t="str">
        <f ca="1"/>
        <v>sort out BTP VẾT Trắng</v>
      </c>
      <c r="R447" s="96">
        <f ca="1"/>
        <v>46108</v>
      </c>
    </row>
    <row r="448" spans="1:18" s="90" customFormat="1" ht="55" customHeight="1" x14ac:dyDescent="0.35">
      <c r="A448" s="94" t="str">
        <f ca="1"/>
        <v>S25V10883</v>
      </c>
      <c r="B448" s="94" t="str">
        <f ca="1"/>
        <v>PKEK25VE0010883A</v>
      </c>
      <c r="C448" s="94" t="str">
        <f ca="1"/>
        <v>Air Force Blue</v>
      </c>
      <c r="D448" s="94" t="str">
        <f ca="1"/>
        <v>957</v>
      </c>
      <c r="E448" s="94" t="str">
        <f ca="1"/>
        <v>FV012282801</v>
      </c>
      <c r="F448" s="94" t="str">
        <f ca="1"/>
        <v>C1500427</v>
      </c>
      <c r="G448" s="94" t="str">
        <f ca="1"/>
        <v>B</v>
      </c>
      <c r="H448" s="94" t="str">
        <f ca="1"/>
        <v>CF003127668</v>
      </c>
      <c r="I448" s="94" t="str">
        <f ca="1"/>
        <v>A</v>
      </c>
      <c r="J448" s="94">
        <f ca="1"/>
        <v>19</v>
      </c>
      <c r="K448" s="94"/>
      <c r="L448" s="94">
        <f ca="1"/>
        <v>66.239999999999995</v>
      </c>
      <c r="M448" s="94" t="str">
        <f ca="1"/>
        <v>63/65"</v>
      </c>
      <c r="N448" s="94">
        <f ca="1"/>
        <v>63</v>
      </c>
      <c r="O448" s="94" t="str">
        <f ca="1"/>
        <v>Oil (PD) [匹染油污]</v>
      </c>
      <c r="P448" s="95" t="str">
        <f ca="1"/>
        <v>Vết trắng 10%, vêt trắng tech không sử lý thêm được.</v>
      </c>
      <c r="Q448" s="95" t="str">
        <f ca="1"/>
        <v>sort out BTP VẾT Trắng</v>
      </c>
      <c r="R448" s="96">
        <f ca="1"/>
        <v>46108</v>
      </c>
    </row>
    <row r="449" spans="1:18" s="90" customFormat="1" ht="55" customHeight="1" x14ac:dyDescent="0.35">
      <c r="A449" s="94" t="str">
        <f ca="1"/>
        <v>S25V10883</v>
      </c>
      <c r="B449" s="94" t="str">
        <f ca="1"/>
        <v>PKEK25VE0010883A</v>
      </c>
      <c r="C449" s="94" t="str">
        <f ca="1"/>
        <v>Air Force Blue</v>
      </c>
      <c r="D449" s="94" t="str">
        <f ca="1"/>
        <v>957</v>
      </c>
      <c r="E449" s="94" t="str">
        <f ca="1"/>
        <v>FV012282801</v>
      </c>
      <c r="F449" s="94" t="str">
        <f ca="1"/>
        <v>C1500427</v>
      </c>
      <c r="G449" s="94" t="str">
        <f ca="1"/>
        <v>B</v>
      </c>
      <c r="H449" s="94" t="str">
        <f ca="1"/>
        <v>CF003127669</v>
      </c>
      <c r="I449" s="94" t="str">
        <f ca="1"/>
        <v>A</v>
      </c>
      <c r="J449" s="94">
        <f ca="1"/>
        <v>23.2</v>
      </c>
      <c r="K449" s="94"/>
      <c r="L449" s="94">
        <f ca="1"/>
        <v>80.88</v>
      </c>
      <c r="M449" s="94" t="str">
        <f ca="1"/>
        <v>63/65"</v>
      </c>
      <c r="N449" s="94">
        <f ca="1"/>
        <v>63</v>
      </c>
      <c r="O449" s="94" t="str">
        <f ca="1"/>
        <v>Oil (PD) [匹染油污]</v>
      </c>
      <c r="P449" s="95" t="str">
        <f ca="1"/>
        <v>Vết trắng 10%, vêt trắng tech không sử lý thêm được.</v>
      </c>
      <c r="Q449" s="95" t="str">
        <f ca="1"/>
        <v>sort out BTP VẾT Trắng</v>
      </c>
      <c r="R449" s="96">
        <f ca="1"/>
        <v>46108</v>
      </c>
    </row>
    <row r="450" spans="1:18" s="90" customFormat="1" ht="55" customHeight="1" x14ac:dyDescent="0.35">
      <c r="A450" s="94" t="str">
        <f ca="1"/>
        <v>S25V10883</v>
      </c>
      <c r="B450" s="94" t="str">
        <f ca="1"/>
        <v>PKEK25VE0010883A</v>
      </c>
      <c r="C450" s="94" t="str">
        <f ca="1"/>
        <v>Air Force Blue</v>
      </c>
      <c r="D450" s="94" t="str">
        <f ca="1"/>
        <v>957</v>
      </c>
      <c r="E450" s="94" t="str">
        <f ca="1"/>
        <v>FV012282801</v>
      </c>
      <c r="F450" s="94" t="str">
        <f ca="1"/>
        <v>C1500427</v>
      </c>
      <c r="G450" s="94" t="str">
        <f ca="1"/>
        <v>B</v>
      </c>
      <c r="H450" s="94" t="str">
        <f ca="1"/>
        <v>CF003127670</v>
      </c>
      <c r="I450" s="94" t="str">
        <f ca="1"/>
        <v>A</v>
      </c>
      <c r="J450" s="94">
        <f ca="1"/>
        <v>23.1</v>
      </c>
      <c r="K450" s="94"/>
      <c r="L450" s="94">
        <f ca="1"/>
        <v>80.53</v>
      </c>
      <c r="M450" s="94" t="str">
        <f ca="1"/>
        <v>63/65"</v>
      </c>
      <c r="N450" s="94">
        <f ca="1"/>
        <v>63</v>
      </c>
      <c r="O450" s="94" t="str">
        <f ca="1"/>
        <v>White mark [白印]</v>
      </c>
      <c r="P450" s="95" t="str">
        <f ca="1"/>
        <v>Vết trắng 10%, vêt trắng tech không sử lý thêm được.</v>
      </c>
      <c r="Q450" s="95" t="str">
        <f ca="1"/>
        <v>sort out BTP VẾT Trắng</v>
      </c>
      <c r="R450" s="96">
        <f ca="1"/>
        <v>46108</v>
      </c>
    </row>
    <row r="451" spans="1:18" s="90" customFormat="1" ht="55" customHeight="1" x14ac:dyDescent="0.35">
      <c r="A451" s="94" t="str">
        <f ca="1"/>
        <v>S25V10883</v>
      </c>
      <c r="B451" s="94" t="str">
        <f ca="1"/>
        <v>PKEK25VE0010883A</v>
      </c>
      <c r="C451" s="94" t="str">
        <f ca="1"/>
        <v>Air Force Blue</v>
      </c>
      <c r="D451" s="94" t="str">
        <f ca="1"/>
        <v>957</v>
      </c>
      <c r="E451" s="94" t="str">
        <f ca="1"/>
        <v>FV012282801</v>
      </c>
      <c r="F451" s="94" t="str">
        <f ca="1"/>
        <v>C1500427</v>
      </c>
      <c r="G451" s="94" t="str">
        <f ca="1"/>
        <v>B</v>
      </c>
      <c r="H451" s="94" t="str">
        <f ca="1"/>
        <v>CF003127672</v>
      </c>
      <c r="I451" s="94" t="str">
        <f ca="1"/>
        <v>A</v>
      </c>
      <c r="J451" s="94">
        <f ca="1"/>
        <v>13</v>
      </c>
      <c r="K451" s="94"/>
      <c r="L451" s="94">
        <f ca="1"/>
        <v>45.32</v>
      </c>
      <c r="M451" s="94" t="str">
        <f ca="1"/>
        <v>63/65"</v>
      </c>
      <c r="N451" s="94">
        <f ca="1"/>
        <v>63</v>
      </c>
      <c r="O451" s="94" t="str">
        <f ca="1"/>
        <v>White mark [白印]</v>
      </c>
      <c r="P451" s="95" t="str">
        <f ca="1"/>
        <v>Vết trắng 10%, vêt trắng tech không sử lý thêm được.</v>
      </c>
      <c r="Q451" s="95" t="str">
        <f ca="1"/>
        <v>sort out BTP VẾT Trắng</v>
      </c>
      <c r="R451" s="96">
        <f ca="1"/>
        <v>46108</v>
      </c>
    </row>
    <row r="452" spans="1:18" s="90" customFormat="1" ht="55" customHeight="1" x14ac:dyDescent="0.35">
      <c r="A452" s="94" t="str">
        <f ca="1"/>
        <v>S25V10883</v>
      </c>
      <c r="B452" s="94" t="str">
        <f ca="1"/>
        <v>PKEK25VE0010883A</v>
      </c>
      <c r="C452" s="94" t="str">
        <f ca="1"/>
        <v>Air Force Blue</v>
      </c>
      <c r="D452" s="94" t="str">
        <f ca="1"/>
        <v>957</v>
      </c>
      <c r="E452" s="94" t="str">
        <f ca="1"/>
        <v>FV012282801</v>
      </c>
      <c r="F452" s="94" t="str">
        <f ca="1"/>
        <v>C1500427</v>
      </c>
      <c r="G452" s="94" t="str">
        <f ca="1"/>
        <v>B</v>
      </c>
      <c r="H452" s="94" t="str">
        <f ca="1"/>
        <v>CF003127673</v>
      </c>
      <c r="I452" s="94" t="str">
        <f ca="1"/>
        <v>A</v>
      </c>
      <c r="J452" s="94">
        <f ca="1"/>
        <v>22.4</v>
      </c>
      <c r="K452" s="94"/>
      <c r="L452" s="94">
        <f ca="1"/>
        <v>78.09</v>
      </c>
      <c r="M452" s="94" t="str">
        <f ca="1"/>
        <v>63/65"</v>
      </c>
      <c r="N452" s="94">
        <f ca="1"/>
        <v>63</v>
      </c>
      <c r="O452" s="94" t="str">
        <f ca="1"/>
        <v>White mark [白印]</v>
      </c>
      <c r="P452" s="95" t="str">
        <f ca="1"/>
        <v>Vết trắng 10%, vêt trắng tech không sử lý thêm được.</v>
      </c>
      <c r="Q452" s="95" t="str">
        <f ca="1"/>
        <v>sort out BTP VẾT Trắng</v>
      </c>
      <c r="R452" s="96">
        <f ca="1"/>
        <v>46108</v>
      </c>
    </row>
    <row r="453" spans="1:18" s="90" customFormat="1" ht="55" customHeight="1" x14ac:dyDescent="0.35">
      <c r="A453" s="94" t="str">
        <f ca="1"/>
        <v>S25V10883</v>
      </c>
      <c r="B453" s="94" t="str">
        <f ca="1"/>
        <v>PKEK25VE0010883A</v>
      </c>
      <c r="C453" s="94" t="str">
        <f ca="1"/>
        <v>Air Force Blue</v>
      </c>
      <c r="D453" s="94" t="str">
        <f ca="1"/>
        <v>957</v>
      </c>
      <c r="E453" s="94" t="str">
        <f ca="1"/>
        <v>FV012282801</v>
      </c>
      <c r="F453" s="94" t="str">
        <f ca="1"/>
        <v>C1500427</v>
      </c>
      <c r="G453" s="94" t="str">
        <f ca="1"/>
        <v>B</v>
      </c>
      <c r="H453" s="94" t="str">
        <f ca="1"/>
        <v>CF003127675</v>
      </c>
      <c r="I453" s="94" t="str">
        <f ca="1"/>
        <v>A</v>
      </c>
      <c r="J453" s="94">
        <f ca="1"/>
        <v>22.6</v>
      </c>
      <c r="K453" s="94"/>
      <c r="L453" s="94">
        <f ca="1"/>
        <v>78.790000000000006</v>
      </c>
      <c r="M453" s="94" t="str">
        <f ca="1"/>
        <v>63/65"</v>
      </c>
      <c r="N453" s="94">
        <f ca="1"/>
        <v>63</v>
      </c>
      <c r="O453" s="94" t="str">
        <f ca="1"/>
        <v>Piece-up(FN) [后整接口]</v>
      </c>
      <c r="P453" s="95" t="str">
        <f ca="1"/>
        <v>Vết trắng 10%, vêt trắng tech không sử lý thêm được.</v>
      </c>
      <c r="Q453" s="95" t="str">
        <f ca="1"/>
        <v>sort out BTP VẾT Trắng</v>
      </c>
      <c r="R453" s="96">
        <f ca="1"/>
        <v>46108</v>
      </c>
    </row>
    <row r="454" spans="1:18" s="90" customFormat="1" ht="55" customHeight="1" x14ac:dyDescent="0.35">
      <c r="A454" s="94" t="str">
        <f ca="1"/>
        <v>S25V10883</v>
      </c>
      <c r="B454" s="94" t="str">
        <f ca="1"/>
        <v>PKEK25VE0010883A</v>
      </c>
      <c r="C454" s="94" t="str">
        <f ca="1"/>
        <v>Air Force Blue</v>
      </c>
      <c r="D454" s="94" t="str">
        <f ca="1"/>
        <v>957</v>
      </c>
      <c r="E454" s="94" t="str">
        <f ca="1"/>
        <v>FV012282801</v>
      </c>
      <c r="F454" s="94" t="str">
        <f ca="1"/>
        <v>C1500427</v>
      </c>
      <c r="G454" s="94" t="str">
        <f ca="1"/>
        <v>B</v>
      </c>
      <c r="H454" s="94" t="str">
        <f ca="1"/>
        <v>CF003127676</v>
      </c>
      <c r="I454" s="94" t="str">
        <f ca="1"/>
        <v>A</v>
      </c>
      <c r="J454" s="94">
        <f ca="1"/>
        <v>22.8</v>
      </c>
      <c r="K454" s="94"/>
      <c r="L454" s="94">
        <f ca="1"/>
        <v>79.489999999999995</v>
      </c>
      <c r="M454" s="94" t="str">
        <f ca="1"/>
        <v>63/65"</v>
      </c>
      <c r="N454" s="94">
        <f ca="1"/>
        <v>63</v>
      </c>
      <c r="O454" s="94" t="str">
        <f ca="1"/>
        <v>Dirt [针织污渍]</v>
      </c>
      <c r="P454" s="95" t="str">
        <f ca="1"/>
        <v>Vết trắng 10%, vêt trắng tech không sử lý thêm được.</v>
      </c>
      <c r="Q454" s="95" t="str">
        <f ca="1"/>
        <v>sort out BTP VẾT Trắng</v>
      </c>
      <c r="R454" s="96">
        <f ca="1"/>
        <v>46108</v>
      </c>
    </row>
    <row r="455" spans="1:18" s="90" customFormat="1" ht="55" customHeight="1" x14ac:dyDescent="0.35">
      <c r="A455" s="94" t="str">
        <f ca="1"/>
        <v>S25V10883</v>
      </c>
      <c r="B455" s="94" t="str">
        <f ca="1"/>
        <v>PKEK25VE0010883A</v>
      </c>
      <c r="C455" s="94" t="str">
        <f ca="1"/>
        <v>Air Force Blue</v>
      </c>
      <c r="D455" s="94" t="str">
        <f ca="1"/>
        <v>957</v>
      </c>
      <c r="E455" s="94" t="str">
        <f ca="1"/>
        <v>FV012282801</v>
      </c>
      <c r="F455" s="94" t="str">
        <f ca="1"/>
        <v>C1500427</v>
      </c>
      <c r="G455" s="94" t="str">
        <f ca="1"/>
        <v>B</v>
      </c>
      <c r="H455" s="94" t="str">
        <f ca="1"/>
        <v>CF003127677</v>
      </c>
      <c r="I455" s="94" t="str">
        <f ca="1"/>
        <v>A</v>
      </c>
      <c r="J455" s="94">
        <f ca="1"/>
        <v>22.7</v>
      </c>
      <c r="K455" s="94"/>
      <c r="L455" s="94">
        <f ca="1"/>
        <v>79.14</v>
      </c>
      <c r="M455" s="94" t="str">
        <f ca="1"/>
        <v>63/65"</v>
      </c>
      <c r="N455" s="94">
        <f ca="1"/>
        <v>63</v>
      </c>
      <c r="O455" s="94" t="str">
        <f ca="1"/>
        <v>White mark [白印]</v>
      </c>
      <c r="P455" s="95" t="str">
        <f ca="1"/>
        <v>Vết trắng 10%, vêt trắng tech không sử lý thêm được.</v>
      </c>
      <c r="Q455" s="95" t="str">
        <f ca="1"/>
        <v>sort out BTP VẾT Trắng</v>
      </c>
      <c r="R455" s="96">
        <f ca="1"/>
        <v>46108</v>
      </c>
    </row>
    <row r="456" spans="1:18" s="90" customFormat="1" ht="55" customHeight="1" x14ac:dyDescent="0.35">
      <c r="A456" s="94" t="str">
        <f ca="1"/>
        <v>S25V10883</v>
      </c>
      <c r="B456" s="94" t="str">
        <f ca="1"/>
        <v>PKEK25VE0010883A</v>
      </c>
      <c r="C456" s="94" t="str">
        <f ca="1"/>
        <v>Air Force Blue</v>
      </c>
      <c r="D456" s="94" t="str">
        <f ca="1"/>
        <v>957</v>
      </c>
      <c r="E456" s="94" t="str">
        <f ca="1"/>
        <v>FV012282801</v>
      </c>
      <c r="F456" s="94" t="str">
        <f ca="1"/>
        <v>C1500427</v>
      </c>
      <c r="G456" s="94" t="str">
        <f ca="1"/>
        <v>B</v>
      </c>
      <c r="H456" s="94" t="str">
        <f ca="1"/>
        <v>CF003127678</v>
      </c>
      <c r="I456" s="94" t="str">
        <f ca="1"/>
        <v>A</v>
      </c>
      <c r="J456" s="94">
        <f ca="1"/>
        <v>22.6</v>
      </c>
      <c r="K456" s="94"/>
      <c r="L456" s="94">
        <f ca="1"/>
        <v>78.790000000000006</v>
      </c>
      <c r="M456" s="94" t="str">
        <f ca="1"/>
        <v>63/65"</v>
      </c>
      <c r="N456" s="94">
        <f ca="1"/>
        <v>63</v>
      </c>
      <c r="O456" s="94" t="str">
        <f ca="1"/>
        <v>White mark [白印]</v>
      </c>
      <c r="P456" s="95" t="str">
        <f ca="1"/>
        <v>Vết trắng 10%, vêt trắng tech không sử lý thêm được.</v>
      </c>
      <c r="Q456" s="95" t="str">
        <f ca="1"/>
        <v>sort out BTP VẾT Trắng</v>
      </c>
      <c r="R456" s="96">
        <f ca="1"/>
        <v>46108</v>
      </c>
    </row>
    <row r="457" spans="1:18" s="90" customFormat="1" ht="55" customHeight="1" x14ac:dyDescent="0.35">
      <c r="A457" s="94" t="str">
        <f ca="1"/>
        <v>S25V10883</v>
      </c>
      <c r="B457" s="94" t="str">
        <f ca="1"/>
        <v>PKEK25VE0010883A</v>
      </c>
      <c r="C457" s="94" t="str">
        <f ca="1"/>
        <v>Air Force Blue</v>
      </c>
      <c r="D457" s="94" t="str">
        <f ca="1"/>
        <v>957</v>
      </c>
      <c r="E457" s="94" t="str">
        <f ca="1"/>
        <v>FV012282801</v>
      </c>
      <c r="F457" s="94" t="str">
        <f ca="1"/>
        <v>C1500427</v>
      </c>
      <c r="G457" s="94" t="str">
        <f ca="1"/>
        <v>B</v>
      </c>
      <c r="H457" s="94" t="str">
        <f ca="1"/>
        <v>CF003127679</v>
      </c>
      <c r="I457" s="94" t="str">
        <f ca="1"/>
        <v>A</v>
      </c>
      <c r="J457" s="94">
        <f ca="1"/>
        <v>22.6</v>
      </c>
      <c r="K457" s="94"/>
      <c r="L457" s="94">
        <f ca="1"/>
        <v>78.790000000000006</v>
      </c>
      <c r="M457" s="94" t="str">
        <f ca="1"/>
        <v>63/65"</v>
      </c>
      <c r="N457" s="94">
        <f ca="1"/>
        <v>63</v>
      </c>
      <c r="O457" s="94" t="str">
        <f ca="1"/>
        <v>White mark [白印]</v>
      </c>
      <c r="P457" s="95" t="str">
        <f ca="1"/>
        <v>Vết trắng 10%, vêt trắng tech không sử lý thêm được.</v>
      </c>
      <c r="Q457" s="95" t="str">
        <f ca="1"/>
        <v>sort out BTP VẾT Trắng</v>
      </c>
      <c r="R457" s="96">
        <f ca="1"/>
        <v>46108</v>
      </c>
    </row>
    <row r="458" spans="1:18" s="90" customFormat="1" ht="55" customHeight="1" x14ac:dyDescent="0.35">
      <c r="A458" s="94" t="str">
        <f ca="1"/>
        <v>S25V10883</v>
      </c>
      <c r="B458" s="94" t="str">
        <f ca="1"/>
        <v>PKEK25VE0010883A</v>
      </c>
      <c r="C458" s="94" t="str">
        <f ca="1"/>
        <v>Air Force Blue</v>
      </c>
      <c r="D458" s="94" t="str">
        <f ca="1"/>
        <v>957</v>
      </c>
      <c r="E458" s="94" t="str">
        <f ca="1"/>
        <v>FV012282801</v>
      </c>
      <c r="F458" s="94" t="str">
        <f ca="1"/>
        <v>C1500427</v>
      </c>
      <c r="G458" s="94" t="str">
        <f ca="1"/>
        <v>B</v>
      </c>
      <c r="H458" s="94" t="str">
        <f ca="1"/>
        <v>CF003127680</v>
      </c>
      <c r="I458" s="94" t="str">
        <f ca="1"/>
        <v>A</v>
      </c>
      <c r="J458" s="94">
        <f ca="1"/>
        <v>22.8</v>
      </c>
      <c r="K458" s="94"/>
      <c r="L458" s="94">
        <f ca="1"/>
        <v>79.489999999999995</v>
      </c>
      <c r="M458" s="94" t="str">
        <f ca="1"/>
        <v>63/65"</v>
      </c>
      <c r="N458" s="94">
        <f ca="1"/>
        <v>63</v>
      </c>
      <c r="O458" s="94" t="str">
        <f ca="1"/>
        <v>Hole (KN) [针织破洞]</v>
      </c>
      <c r="P458" s="95" t="str">
        <f ca="1"/>
        <v>Vết trắng 10%, vêt trắng tech không sử lý thêm được.</v>
      </c>
      <c r="Q458" s="95" t="str">
        <f ca="1"/>
        <v>sort out BTP VẾT Trắng</v>
      </c>
      <c r="R458" s="96">
        <f ca="1"/>
        <v>46108</v>
      </c>
    </row>
    <row r="459" spans="1:18" s="90" customFormat="1" ht="55" customHeight="1" x14ac:dyDescent="0.35">
      <c r="A459" s="94" t="str">
        <f ca="1"/>
        <v>S25V10883</v>
      </c>
      <c r="B459" s="94" t="str">
        <f ca="1"/>
        <v>PKEK25VE0010883A</v>
      </c>
      <c r="C459" s="94" t="str">
        <f ca="1"/>
        <v>Air Force Blue</v>
      </c>
      <c r="D459" s="94" t="str">
        <f ca="1"/>
        <v>957</v>
      </c>
      <c r="E459" s="94" t="str">
        <f ca="1"/>
        <v>FV012282801</v>
      </c>
      <c r="F459" s="94" t="str">
        <f ca="1"/>
        <v>C1500427</v>
      </c>
      <c r="G459" s="94" t="str">
        <f ca="1"/>
        <v>B</v>
      </c>
      <c r="H459" s="94" t="str">
        <f ca="1"/>
        <v>CF003127681</v>
      </c>
      <c r="I459" s="94" t="str">
        <f ca="1"/>
        <v>A</v>
      </c>
      <c r="J459" s="94">
        <f ca="1"/>
        <v>22.7</v>
      </c>
      <c r="K459" s="94"/>
      <c r="L459" s="94">
        <f ca="1"/>
        <v>79.14</v>
      </c>
      <c r="M459" s="94" t="str">
        <f ca="1"/>
        <v>63/65"</v>
      </c>
      <c r="N459" s="94">
        <f ca="1"/>
        <v>63</v>
      </c>
      <c r="O459" s="94" t="str">
        <f ca="1"/>
        <v>White mark [白印]</v>
      </c>
      <c r="P459" s="95" t="str">
        <f ca="1"/>
        <v>Vết trắng 10%, vêt trắng tech không sử lý thêm được.</v>
      </c>
      <c r="Q459" s="95" t="str">
        <f ca="1"/>
        <v>sort out BTP VẾT Trắng</v>
      </c>
      <c r="R459" s="96">
        <f ca="1"/>
        <v>46108</v>
      </c>
    </row>
    <row r="460" spans="1:18" s="90" customFormat="1" ht="55" customHeight="1" x14ac:dyDescent="0.35">
      <c r="A460" s="94" t="str">
        <f ca="1"/>
        <v>S25V10883</v>
      </c>
      <c r="B460" s="94" t="str">
        <f ca="1"/>
        <v>PKEK25VE0010883A</v>
      </c>
      <c r="C460" s="94" t="str">
        <f ca="1"/>
        <v>Air Force Blue</v>
      </c>
      <c r="D460" s="94" t="str">
        <f ca="1"/>
        <v>957</v>
      </c>
      <c r="E460" s="94" t="str">
        <f ca="1"/>
        <v>FV012282801</v>
      </c>
      <c r="F460" s="94" t="str">
        <f ca="1"/>
        <v>C1500427</v>
      </c>
      <c r="G460" s="94" t="str">
        <f ca="1"/>
        <v>B</v>
      </c>
      <c r="H460" s="94" t="str">
        <f ca="1"/>
        <v>CF003127682</v>
      </c>
      <c r="I460" s="94" t="str">
        <f ca="1"/>
        <v>A</v>
      </c>
      <c r="J460" s="94">
        <f ca="1"/>
        <v>22.2</v>
      </c>
      <c r="K460" s="94"/>
      <c r="L460" s="94">
        <f ca="1"/>
        <v>77.400000000000006</v>
      </c>
      <c r="M460" s="94" t="str">
        <f ca="1"/>
        <v>63/65"</v>
      </c>
      <c r="N460" s="94">
        <f ca="1"/>
        <v>63</v>
      </c>
      <c r="O460" s="94" t="str">
        <f ca="1"/>
        <v>White mark [白印]</v>
      </c>
      <c r="P460" s="95" t="str">
        <f ca="1"/>
        <v>Vết trắng 10%, vêt trắng tech không sử lý thêm được.</v>
      </c>
      <c r="Q460" s="95" t="str">
        <f ca="1"/>
        <v>sort out BTP VẾT Trắng</v>
      </c>
      <c r="R460" s="96">
        <f ca="1"/>
        <v>46108</v>
      </c>
    </row>
    <row r="461" spans="1:18" s="90" customFormat="1" ht="55" customHeight="1" x14ac:dyDescent="0.35">
      <c r="A461" s="94" t="str">
        <f ca="1"/>
        <v>S25V10883</v>
      </c>
      <c r="B461" s="94" t="str">
        <f ca="1"/>
        <v>PKEK25VE0010883A</v>
      </c>
      <c r="C461" s="94" t="str">
        <f ca="1"/>
        <v>Air Force Blue</v>
      </c>
      <c r="D461" s="94" t="str">
        <f ca="1"/>
        <v>957</v>
      </c>
      <c r="E461" s="94" t="str">
        <f ca="1"/>
        <v>FV012282801</v>
      </c>
      <c r="F461" s="94" t="str">
        <f ca="1"/>
        <v>C1500427</v>
      </c>
      <c r="G461" s="94" t="str">
        <f ca="1"/>
        <v>B</v>
      </c>
      <c r="H461" s="94" t="str">
        <f ca="1"/>
        <v>CF003127683</v>
      </c>
      <c r="I461" s="94" t="str">
        <f ca="1"/>
        <v>A</v>
      </c>
      <c r="J461" s="94">
        <f ca="1"/>
        <v>22.7</v>
      </c>
      <c r="K461" s="94"/>
      <c r="L461" s="94">
        <f ca="1"/>
        <v>79.14</v>
      </c>
      <c r="M461" s="94" t="str">
        <f ca="1"/>
        <v>63/65"</v>
      </c>
      <c r="N461" s="94">
        <f ca="1"/>
        <v>63</v>
      </c>
      <c r="O461" s="94" t="str">
        <f ca="1"/>
        <v>Hole (KN) [针织破洞]</v>
      </c>
      <c r="P461" s="95" t="str">
        <f ca="1"/>
        <v>Vết trắng 10%, vêt trắng tech không sử lý thêm được.</v>
      </c>
      <c r="Q461" s="95" t="str">
        <f ca="1"/>
        <v>sort out BTP VẾT Trắng</v>
      </c>
      <c r="R461" s="96">
        <f ca="1"/>
        <v>46108</v>
      </c>
    </row>
    <row r="462" spans="1:18" s="90" customFormat="1" ht="55" customHeight="1" x14ac:dyDescent="0.35">
      <c r="A462" s="94" t="str">
        <f ca="1"/>
        <v>S25V10883</v>
      </c>
      <c r="B462" s="94" t="str">
        <f ca="1"/>
        <v>PKEK25VE0010883A</v>
      </c>
      <c r="C462" s="94" t="str">
        <f ca="1"/>
        <v>Air Force Blue</v>
      </c>
      <c r="D462" s="94" t="str">
        <f ca="1"/>
        <v>957</v>
      </c>
      <c r="E462" s="94" t="str">
        <f ca="1"/>
        <v>FV012282801</v>
      </c>
      <c r="F462" s="94" t="str">
        <f ca="1"/>
        <v>C1500427</v>
      </c>
      <c r="G462" s="94" t="str">
        <f ca="1"/>
        <v>B</v>
      </c>
      <c r="H462" s="94" t="str">
        <f ca="1"/>
        <v>CF003127684</v>
      </c>
      <c r="I462" s="94" t="str">
        <f ca="1"/>
        <v>A</v>
      </c>
      <c r="J462" s="94">
        <f ca="1"/>
        <v>22.9</v>
      </c>
      <c r="K462" s="94"/>
      <c r="L462" s="94">
        <f ca="1"/>
        <v>79.84</v>
      </c>
      <c r="M462" s="94" t="str">
        <f ca="1"/>
        <v>63/65"</v>
      </c>
      <c r="N462" s="94">
        <f ca="1"/>
        <v>63</v>
      </c>
      <c r="O462" s="94" t="str">
        <f ca="1"/>
        <v>Hole (KN) [针织破洞]</v>
      </c>
      <c r="P462" s="95" t="str">
        <f ca="1"/>
        <v>Vết trắng 10%, vêt trắng tech không sử lý thêm được.</v>
      </c>
      <c r="Q462" s="95" t="str">
        <f ca="1"/>
        <v>sort out BTP VẾT Trắng</v>
      </c>
      <c r="R462" s="96">
        <f ca="1"/>
        <v>46108</v>
      </c>
    </row>
    <row r="463" spans="1:18" s="90" customFormat="1" ht="55" customHeight="1" x14ac:dyDescent="0.35">
      <c r="A463" s="94" t="str">
        <f ca="1"/>
        <v>S25V10883</v>
      </c>
      <c r="B463" s="94" t="str">
        <f ca="1"/>
        <v>PKEK25VE0010883A</v>
      </c>
      <c r="C463" s="94" t="str">
        <f ca="1"/>
        <v>Air Force Blue</v>
      </c>
      <c r="D463" s="94" t="str">
        <f ca="1"/>
        <v>957</v>
      </c>
      <c r="E463" s="94" t="str">
        <f ca="1"/>
        <v>FV012282801</v>
      </c>
      <c r="F463" s="94" t="str">
        <f ca="1"/>
        <v>C1500427</v>
      </c>
      <c r="G463" s="94" t="str">
        <f ca="1"/>
        <v>B</v>
      </c>
      <c r="H463" s="94" t="str">
        <f ca="1"/>
        <v>CF003127714</v>
      </c>
      <c r="I463" s="94" t="str">
        <f ca="1"/>
        <v>B</v>
      </c>
      <c r="J463" s="94">
        <f ca="1"/>
        <v>22.3</v>
      </c>
      <c r="K463" s="94"/>
      <c r="L463" s="94">
        <f ca="1"/>
        <v>77.739999999999995</v>
      </c>
      <c r="M463" s="94" t="str">
        <f ca="1"/>
        <v>63/65"</v>
      </c>
      <c r="N463" s="94">
        <f ca="1"/>
        <v>63</v>
      </c>
      <c r="O463" s="94" t="str">
        <f ca="1"/>
        <v>White mark [白印]</v>
      </c>
      <c r="P463" s="95" t="str">
        <f ca="1"/>
        <v>Vết trắng 10%, vêt trắng tech không sử lý thêm được.</v>
      </c>
      <c r="Q463" s="95" t="str">
        <f ca="1"/>
        <v>sort out BTP VẾT Trắng</v>
      </c>
      <c r="R463" s="96">
        <f ca="1"/>
        <v>46108</v>
      </c>
    </row>
    <row r="464" spans="1:18" s="90" customFormat="1" ht="55" customHeight="1" x14ac:dyDescent="0.35">
      <c r="A464" s="94" t="str">
        <f ca="1"/>
        <v>S25V10883</v>
      </c>
      <c r="B464" s="94" t="str">
        <f ca="1"/>
        <v>PKEK25VE0010883A</v>
      </c>
      <c r="C464" s="94" t="str">
        <f ca="1"/>
        <v>BLUE MELANGE</v>
      </c>
      <c r="D464" s="94" t="str">
        <f ca="1"/>
        <v>468</v>
      </c>
      <c r="E464" s="94" t="str">
        <f ca="1"/>
        <v>FV012280101</v>
      </c>
      <c r="F464" s="94" t="str">
        <f ca="1"/>
        <v>C1600074</v>
      </c>
      <c r="G464" s="94" t="str">
        <f ca="1"/>
        <v>B</v>
      </c>
      <c r="H464" s="94" t="str">
        <f ca="1"/>
        <v>CF003128339</v>
      </c>
      <c r="I464" s="94" t="str">
        <f ca="1"/>
        <v>A</v>
      </c>
      <c r="J464" s="94">
        <f ca="1"/>
        <v>24.5</v>
      </c>
      <c r="K464" s="94"/>
      <c r="L464" s="94">
        <f ca="1"/>
        <v>79.44</v>
      </c>
      <c r="M464" s="94" t="str">
        <f ca="1"/>
        <v>63/65"</v>
      </c>
      <c r="N464" s="94">
        <f ca="1"/>
        <v>65</v>
      </c>
      <c r="O464" s="94" t="str">
        <f ca="1"/>
        <v>Hole (KN) [针织破洞]</v>
      </c>
      <c r="P464" s="95" t="str">
        <f ca="1"/>
        <v/>
      </c>
      <c r="Q464" s="95" t="str">
        <f ca="1"/>
        <v/>
      </c>
      <c r="R464" s="96">
        <f ca="1"/>
        <v>46108</v>
      </c>
    </row>
    <row r="465" spans="1:18" s="90" customFormat="1" ht="55" customHeight="1" x14ac:dyDescent="0.35">
      <c r="A465" s="94" t="str">
        <f ca="1"/>
        <v>S25V10883</v>
      </c>
      <c r="B465" s="94" t="str">
        <f ca="1"/>
        <v>PKEK25VE0010883A</v>
      </c>
      <c r="C465" s="94" t="str">
        <f ca="1"/>
        <v>BLUE MELANGE</v>
      </c>
      <c r="D465" s="94" t="str">
        <f ca="1"/>
        <v>468</v>
      </c>
      <c r="E465" s="94" t="str">
        <f ca="1"/>
        <v>FV012280101</v>
      </c>
      <c r="F465" s="94" t="str">
        <f ca="1"/>
        <v>C1600074</v>
      </c>
      <c r="G465" s="94" t="str">
        <f ca="1"/>
        <v>B</v>
      </c>
      <c r="H465" s="94" t="str">
        <f ca="1"/>
        <v>CF003128340</v>
      </c>
      <c r="I465" s="94" t="str">
        <f ca="1"/>
        <v>A</v>
      </c>
      <c r="J465" s="94">
        <f ca="1"/>
        <v>24.5</v>
      </c>
      <c r="K465" s="94"/>
      <c r="L465" s="94">
        <f ca="1"/>
        <v>79.44</v>
      </c>
      <c r="M465" s="94" t="str">
        <f ca="1"/>
        <v>63/65"</v>
      </c>
      <c r="N465" s="94">
        <f ca="1"/>
        <v>65</v>
      </c>
      <c r="O465" s="94" t="str">
        <f ca="1"/>
        <v>Piece-up(FN) [后整接口]</v>
      </c>
      <c r="P465" s="95" t="str">
        <f ca="1"/>
        <v/>
      </c>
      <c r="Q465" s="95" t="str">
        <f ca="1"/>
        <v/>
      </c>
      <c r="R465" s="96">
        <f ca="1"/>
        <v>46108</v>
      </c>
    </row>
    <row r="466" spans="1:18" s="90" customFormat="1" ht="55" customHeight="1" x14ac:dyDescent="0.35">
      <c r="A466" s="94" t="str">
        <f ca="1"/>
        <v>S25V10883</v>
      </c>
      <c r="B466" s="94" t="str">
        <f ca="1"/>
        <v>PKEK25VE0010883A</v>
      </c>
      <c r="C466" s="94" t="str">
        <f ca="1"/>
        <v>BLUE MELANGE</v>
      </c>
      <c r="D466" s="94" t="str">
        <f ca="1"/>
        <v>468</v>
      </c>
      <c r="E466" s="94" t="str">
        <f ca="1"/>
        <v>FV012280101</v>
      </c>
      <c r="F466" s="94" t="str">
        <f ca="1"/>
        <v>C1600074</v>
      </c>
      <c r="G466" s="94" t="str">
        <f ca="1"/>
        <v>B</v>
      </c>
      <c r="H466" s="94" t="str">
        <f ca="1"/>
        <v>CF003128341</v>
      </c>
      <c r="I466" s="94" t="str">
        <f ca="1"/>
        <v>A</v>
      </c>
      <c r="J466" s="94">
        <f ca="1"/>
        <v>24.3</v>
      </c>
      <c r="K466" s="94"/>
      <c r="L466" s="94">
        <f ca="1"/>
        <v>78.790000000000006</v>
      </c>
      <c r="M466" s="94" t="str">
        <f ca="1"/>
        <v>63/65"</v>
      </c>
      <c r="N466" s="94">
        <f ca="1"/>
        <v>65</v>
      </c>
      <c r="O466" s="94" t="str">
        <f ca="1"/>
        <v>Hole (KN) [针织破洞]</v>
      </c>
      <c r="P466" s="95" t="str">
        <f ca="1"/>
        <v/>
      </c>
      <c r="Q466" s="95" t="str">
        <f ca="1"/>
        <v/>
      </c>
      <c r="R466" s="96">
        <f ca="1"/>
        <v>46108</v>
      </c>
    </row>
    <row r="467" spans="1:18" s="90" customFormat="1" ht="55" customHeight="1" x14ac:dyDescent="0.35">
      <c r="A467" s="94" t="str">
        <f ca="1"/>
        <v>S25V10883</v>
      </c>
      <c r="B467" s="94" t="str">
        <f ca="1"/>
        <v>PKEK25VE0010883A</v>
      </c>
      <c r="C467" s="94" t="str">
        <f ca="1"/>
        <v>BLUE MELANGE</v>
      </c>
      <c r="D467" s="94" t="str">
        <f ca="1"/>
        <v>468</v>
      </c>
      <c r="E467" s="94" t="str">
        <f ca="1"/>
        <v>FV012280101</v>
      </c>
      <c r="F467" s="94" t="str">
        <f ca="1"/>
        <v>C1600074</v>
      </c>
      <c r="G467" s="94" t="str">
        <f ca="1"/>
        <v>B</v>
      </c>
      <c r="H467" s="94" t="str">
        <f ca="1"/>
        <v>CF003128342</v>
      </c>
      <c r="I467" s="94" t="str">
        <f ca="1"/>
        <v>A</v>
      </c>
      <c r="J467" s="94">
        <f ca="1"/>
        <v>23</v>
      </c>
      <c r="K467" s="94"/>
      <c r="L467" s="94">
        <f ca="1"/>
        <v>74.569999999999993</v>
      </c>
      <c r="M467" s="94" t="str">
        <f ca="1"/>
        <v>63/65"</v>
      </c>
      <c r="N467" s="94">
        <f ca="1"/>
        <v>65</v>
      </c>
      <c r="O467" s="94" t="str">
        <f ca="1"/>
        <v>Hole (KN) [针织破洞]</v>
      </c>
      <c r="P467" s="95" t="str">
        <f ca="1"/>
        <v/>
      </c>
      <c r="Q467" s="95" t="str">
        <f ca="1"/>
        <v/>
      </c>
      <c r="R467" s="96">
        <f ca="1"/>
        <v>46108</v>
      </c>
    </row>
    <row r="468" spans="1:18" s="90" customFormat="1" ht="55" customHeight="1" x14ac:dyDescent="0.35">
      <c r="A468" s="94" t="str">
        <f ca="1"/>
        <v>S25V10883</v>
      </c>
      <c r="B468" s="94" t="str">
        <f ca="1"/>
        <v>PKEK25VE0010883A</v>
      </c>
      <c r="C468" s="94" t="str">
        <f ca="1"/>
        <v>BLUE MELANGE</v>
      </c>
      <c r="D468" s="94" t="str">
        <f ca="1"/>
        <v>468</v>
      </c>
      <c r="E468" s="94" t="str">
        <f ca="1"/>
        <v>FV012280101</v>
      </c>
      <c r="F468" s="94" t="str">
        <f ca="1"/>
        <v>C1600074</v>
      </c>
      <c r="G468" s="94" t="str">
        <f ca="1"/>
        <v>B</v>
      </c>
      <c r="H468" s="94" t="str">
        <f ca="1"/>
        <v>CF003128343</v>
      </c>
      <c r="I468" s="94" t="str">
        <f ca="1"/>
        <v>A</v>
      </c>
      <c r="J468" s="94">
        <f ca="1"/>
        <v>24.4</v>
      </c>
      <c r="K468" s="94"/>
      <c r="L468" s="94">
        <f ca="1"/>
        <v>79.11</v>
      </c>
      <c r="M468" s="94" t="str">
        <f ca="1"/>
        <v>63/65"</v>
      </c>
      <c r="N468" s="94">
        <f ca="1"/>
        <v>65</v>
      </c>
      <c r="O468" s="94" t="str">
        <f ca="1"/>
        <v>Hole (KN) [针织破洞]</v>
      </c>
      <c r="P468" s="95" t="str">
        <f ca="1"/>
        <v/>
      </c>
      <c r="Q468" s="95" t="str">
        <f ca="1"/>
        <v/>
      </c>
      <c r="R468" s="96">
        <f ca="1"/>
        <v>46108</v>
      </c>
    </row>
    <row r="469" spans="1:18" s="90" customFormat="1" ht="55" customHeight="1" x14ac:dyDescent="0.35">
      <c r="A469" s="94" t="str">
        <f ca="1"/>
        <v>S25V10883</v>
      </c>
      <c r="B469" s="94" t="str">
        <f ca="1"/>
        <v>PKEK25VE0010883A</v>
      </c>
      <c r="C469" s="94" t="str">
        <f ca="1"/>
        <v>BLUE MELANGE</v>
      </c>
      <c r="D469" s="94" t="str">
        <f ca="1"/>
        <v>468</v>
      </c>
      <c r="E469" s="94" t="str">
        <f ca="1"/>
        <v>FV012280101</v>
      </c>
      <c r="F469" s="94" t="str">
        <f ca="1"/>
        <v>C1600074</v>
      </c>
      <c r="G469" s="94" t="str">
        <f ca="1"/>
        <v>B</v>
      </c>
      <c r="H469" s="94" t="str">
        <f ca="1"/>
        <v>CF003128344</v>
      </c>
      <c r="I469" s="94" t="str">
        <f ca="1"/>
        <v>A</v>
      </c>
      <c r="J469" s="94">
        <f ca="1"/>
        <v>24</v>
      </c>
      <c r="K469" s="94"/>
      <c r="L469" s="94">
        <f ca="1"/>
        <v>77.819999999999993</v>
      </c>
      <c r="M469" s="94" t="str">
        <f ca="1"/>
        <v>63/65"</v>
      </c>
      <c r="N469" s="94">
        <f ca="1"/>
        <v>65</v>
      </c>
      <c r="O469" s="94" t="str">
        <f ca="1"/>
        <v>Dirt [针织污渍]</v>
      </c>
      <c r="P469" s="95" t="str">
        <f ca="1"/>
        <v/>
      </c>
      <c r="Q469" s="95" t="str">
        <f ca="1"/>
        <v/>
      </c>
      <c r="R469" s="96">
        <f ca="1"/>
        <v>46108</v>
      </c>
    </row>
    <row r="470" spans="1:18" s="90" customFormat="1" ht="55" customHeight="1" x14ac:dyDescent="0.35">
      <c r="A470" s="94" t="str">
        <f ca="1"/>
        <v>S25V10883</v>
      </c>
      <c r="B470" s="94" t="str">
        <f ca="1"/>
        <v>PKEK25VE0010883A</v>
      </c>
      <c r="C470" s="94" t="str">
        <f ca="1"/>
        <v>BLUE MELANGE</v>
      </c>
      <c r="D470" s="94" t="str">
        <f ca="1"/>
        <v>468</v>
      </c>
      <c r="E470" s="94" t="str">
        <f ca="1"/>
        <v>FV012280101</v>
      </c>
      <c r="F470" s="94" t="str">
        <f ca="1"/>
        <v>C1600074</v>
      </c>
      <c r="G470" s="94" t="str">
        <f ca="1"/>
        <v>B</v>
      </c>
      <c r="H470" s="94" t="str">
        <f ca="1"/>
        <v>CF003128345</v>
      </c>
      <c r="I470" s="94" t="str">
        <f ca="1"/>
        <v>A</v>
      </c>
      <c r="J470" s="94">
        <f ca="1"/>
        <v>24</v>
      </c>
      <c r="K470" s="94"/>
      <c r="L470" s="94">
        <f ca="1"/>
        <v>77.819999999999993</v>
      </c>
      <c r="M470" s="94" t="str">
        <f ca="1"/>
        <v>63/65"</v>
      </c>
      <c r="N470" s="94">
        <f ca="1"/>
        <v>65</v>
      </c>
      <c r="O470" s="94" t="str">
        <f ca="1"/>
        <v>Hole (KN) [针织破洞]</v>
      </c>
      <c r="P470" s="95" t="str">
        <f ca="1"/>
        <v/>
      </c>
      <c r="Q470" s="95" t="str">
        <f ca="1"/>
        <v/>
      </c>
      <c r="R470" s="96">
        <f ca="1"/>
        <v>46108</v>
      </c>
    </row>
    <row r="471" spans="1:18" s="90" customFormat="1" ht="55" customHeight="1" x14ac:dyDescent="0.35">
      <c r="A471" s="94" t="str">
        <f ca="1"/>
        <v>S25V10883</v>
      </c>
      <c r="B471" s="94" t="str">
        <f ca="1"/>
        <v>PKEK25VE0010883A</v>
      </c>
      <c r="C471" s="94" t="str">
        <f ca="1"/>
        <v>BLUE MELANGE</v>
      </c>
      <c r="D471" s="94" t="str">
        <f ca="1"/>
        <v>468</v>
      </c>
      <c r="E471" s="94" t="str">
        <f ca="1"/>
        <v>FV012280101</v>
      </c>
      <c r="F471" s="94" t="str">
        <f ca="1"/>
        <v>C1600074</v>
      </c>
      <c r="G471" s="94" t="str">
        <f ca="1"/>
        <v>B</v>
      </c>
      <c r="H471" s="94" t="str">
        <f ca="1"/>
        <v>CF003128351</v>
      </c>
      <c r="I471" s="94" t="str">
        <f ca="1"/>
        <v>A</v>
      </c>
      <c r="J471" s="94">
        <f ca="1"/>
        <v>30.8</v>
      </c>
      <c r="K471" s="94"/>
      <c r="L471" s="94">
        <f ca="1"/>
        <v>99.86</v>
      </c>
      <c r="M471" s="94" t="str">
        <f ca="1"/>
        <v>63/65"</v>
      </c>
      <c r="N471" s="94">
        <f ca="1"/>
        <v>65</v>
      </c>
      <c r="O471" s="94" t="str">
        <f ca="1"/>
        <v>Dirt [针织污渍]</v>
      </c>
      <c r="P471" s="95" t="str">
        <f ca="1"/>
        <v/>
      </c>
      <c r="Q471" s="95" t="str">
        <f ca="1"/>
        <v/>
      </c>
      <c r="R471" s="96">
        <f ca="1"/>
        <v>46108</v>
      </c>
    </row>
    <row r="472" spans="1:18" s="90" customFormat="1" ht="55" customHeight="1" x14ac:dyDescent="0.35">
      <c r="A472" s="94" t="str">
        <f ca="1"/>
        <v>S25V10883</v>
      </c>
      <c r="B472" s="94" t="str">
        <f ca="1"/>
        <v>PKEK25VE0010883A</v>
      </c>
      <c r="C472" s="94" t="str">
        <f ca="1"/>
        <v>BLUE MELANGE</v>
      </c>
      <c r="D472" s="94" t="str">
        <f ca="1"/>
        <v>468</v>
      </c>
      <c r="E472" s="94" t="str">
        <f ca="1"/>
        <v>FV012280101</v>
      </c>
      <c r="F472" s="94" t="str">
        <f ca="1"/>
        <v>C1600074</v>
      </c>
      <c r="G472" s="94" t="str">
        <f ca="1"/>
        <v>B</v>
      </c>
      <c r="H472" s="94" t="str">
        <f ca="1"/>
        <v>CF003128352</v>
      </c>
      <c r="I472" s="94" t="str">
        <f ca="1"/>
        <v>A</v>
      </c>
      <c r="J472" s="94">
        <f ca="1"/>
        <v>23.7</v>
      </c>
      <c r="K472" s="94"/>
      <c r="L472" s="94">
        <f ca="1"/>
        <v>76.84</v>
      </c>
      <c r="M472" s="94" t="str">
        <f ca="1"/>
        <v>63/65"</v>
      </c>
      <c r="N472" s="94">
        <f ca="1"/>
        <v>65</v>
      </c>
      <c r="O472" s="94" t="str">
        <f ca="1"/>
        <v/>
      </c>
      <c r="P472" s="95" t="str">
        <f ca="1"/>
        <v/>
      </c>
      <c r="Q472" s="95" t="str">
        <f ca="1"/>
        <v/>
      </c>
      <c r="R472" s="96">
        <f ca="1"/>
        <v>46108</v>
      </c>
    </row>
    <row r="473" spans="1:18" s="90" customFormat="1" ht="55" customHeight="1" x14ac:dyDescent="0.35">
      <c r="A473" s="94" t="str">
        <f ca="1"/>
        <v>S25V10883</v>
      </c>
      <c r="B473" s="94" t="str">
        <f ca="1"/>
        <v>PKEK25VE0010883A</v>
      </c>
      <c r="C473" s="94" t="str">
        <f ca="1"/>
        <v>BLUE MELANGE</v>
      </c>
      <c r="D473" s="94" t="str">
        <f ca="1"/>
        <v>468</v>
      </c>
      <c r="E473" s="94" t="str">
        <f ca="1"/>
        <v>FV012280101</v>
      </c>
      <c r="F473" s="94" t="str">
        <f ca="1"/>
        <v>C1600074</v>
      </c>
      <c r="G473" s="94" t="str">
        <f ca="1"/>
        <v>B</v>
      </c>
      <c r="H473" s="94" t="str">
        <f ca="1"/>
        <v>CF003128353</v>
      </c>
      <c r="I473" s="94" t="str">
        <f ca="1"/>
        <v>A</v>
      </c>
      <c r="J473" s="94">
        <f ca="1"/>
        <v>23.7</v>
      </c>
      <c r="K473" s="94"/>
      <c r="L473" s="94">
        <f ca="1"/>
        <v>76.84</v>
      </c>
      <c r="M473" s="94" t="str">
        <f ca="1"/>
        <v>63/65"</v>
      </c>
      <c r="N473" s="94">
        <f ca="1"/>
        <v>65</v>
      </c>
      <c r="O473" s="94" t="str">
        <f ca="1"/>
        <v>Hole (KN) [针织破洞]</v>
      </c>
      <c r="P473" s="95" t="str">
        <f ca="1"/>
        <v/>
      </c>
      <c r="Q473" s="95" t="str">
        <f ca="1"/>
        <v/>
      </c>
      <c r="R473" s="96">
        <f ca="1"/>
        <v>46108</v>
      </c>
    </row>
    <row r="474" spans="1:18" s="90" customFormat="1" ht="55" customHeight="1" x14ac:dyDescent="0.35">
      <c r="A474" s="94" t="str">
        <f ca="1"/>
        <v>S25V10883</v>
      </c>
      <c r="B474" s="94" t="str">
        <f ca="1"/>
        <v>PKEK25VE0010883A</v>
      </c>
      <c r="C474" s="94" t="str">
        <f ca="1"/>
        <v>BLUE MELANGE</v>
      </c>
      <c r="D474" s="94" t="str">
        <f ca="1"/>
        <v>468</v>
      </c>
      <c r="E474" s="94" t="str">
        <f ca="1"/>
        <v>FV012280101</v>
      </c>
      <c r="F474" s="94" t="str">
        <f ca="1"/>
        <v>C1600074</v>
      </c>
      <c r="G474" s="94" t="str">
        <f ca="1"/>
        <v>B</v>
      </c>
      <c r="H474" s="94" t="str">
        <f ca="1"/>
        <v>CF003128354</v>
      </c>
      <c r="I474" s="94" t="str">
        <f ca="1"/>
        <v>A</v>
      </c>
      <c r="J474" s="94">
        <f ca="1"/>
        <v>21.9</v>
      </c>
      <c r="K474" s="94"/>
      <c r="L474" s="94">
        <f ca="1"/>
        <v>71.010000000000005</v>
      </c>
      <c r="M474" s="94" t="str">
        <f ca="1"/>
        <v>63/65"</v>
      </c>
      <c r="N474" s="94">
        <f ca="1"/>
        <v>65</v>
      </c>
      <c r="O474" s="94" t="str">
        <f ca="1"/>
        <v>Hole (KN) [针织破洞]</v>
      </c>
      <c r="P474" s="95" t="str">
        <f ca="1"/>
        <v/>
      </c>
      <c r="Q474" s="95" t="str">
        <f ca="1"/>
        <v/>
      </c>
      <c r="R474" s="96">
        <f ca="1"/>
        <v>46108</v>
      </c>
    </row>
    <row r="475" spans="1:18" s="90" customFormat="1" ht="55" customHeight="1" x14ac:dyDescent="0.35">
      <c r="A475" s="94" t="str">
        <f ca="1"/>
        <v>S25V10883</v>
      </c>
      <c r="B475" s="94" t="str">
        <f ca="1"/>
        <v>PKEK25VE0010883A</v>
      </c>
      <c r="C475" s="94" t="str">
        <f ca="1"/>
        <v>BLUE MELANGE</v>
      </c>
      <c r="D475" s="94" t="str">
        <f ca="1"/>
        <v>468</v>
      </c>
      <c r="E475" s="94" t="str">
        <f ca="1"/>
        <v>FV012280101</v>
      </c>
      <c r="F475" s="94" t="str">
        <f ca="1"/>
        <v>C1600074</v>
      </c>
      <c r="G475" s="94" t="str">
        <f ca="1"/>
        <v>B</v>
      </c>
      <c r="H475" s="94" t="str">
        <f ca="1"/>
        <v>CF003128355</v>
      </c>
      <c r="I475" s="94" t="str">
        <f ca="1"/>
        <v>A</v>
      </c>
      <c r="J475" s="94">
        <f ca="1"/>
        <v>23.9</v>
      </c>
      <c r="K475" s="94"/>
      <c r="L475" s="94">
        <f ca="1"/>
        <v>77.489999999999995</v>
      </c>
      <c r="M475" s="94" t="str">
        <f ca="1"/>
        <v>63/65"</v>
      </c>
      <c r="N475" s="94">
        <f ca="1"/>
        <v>65</v>
      </c>
      <c r="O475" s="94" t="str">
        <f ca="1"/>
        <v/>
      </c>
      <c r="P475" s="95" t="str">
        <f ca="1"/>
        <v/>
      </c>
      <c r="Q475" s="95" t="str">
        <f ca="1"/>
        <v/>
      </c>
      <c r="R475" s="96">
        <f ca="1"/>
        <v>46108</v>
      </c>
    </row>
    <row r="476" spans="1:18" s="90" customFormat="1" ht="55" customHeight="1" x14ac:dyDescent="0.35">
      <c r="A476" s="94" t="str">
        <f ca="1"/>
        <v>S25V10883</v>
      </c>
      <c r="B476" s="94" t="str">
        <f ca="1"/>
        <v>PKEK25VE0010883A</v>
      </c>
      <c r="C476" s="94" t="str">
        <f ca="1"/>
        <v>BLUE MELANGE</v>
      </c>
      <c r="D476" s="94" t="str">
        <f ca="1"/>
        <v>468</v>
      </c>
      <c r="E476" s="94" t="str">
        <f ca="1"/>
        <v>FV012280101</v>
      </c>
      <c r="F476" s="94" t="str">
        <f ca="1"/>
        <v>C1600074</v>
      </c>
      <c r="G476" s="94" t="str">
        <f ca="1"/>
        <v>B</v>
      </c>
      <c r="H476" s="94" t="str">
        <f ca="1"/>
        <v>CF003128361</v>
      </c>
      <c r="I476" s="94" t="str">
        <f ca="1"/>
        <v>A</v>
      </c>
      <c r="J476" s="94">
        <f ca="1"/>
        <v>23.8</v>
      </c>
      <c r="K476" s="94"/>
      <c r="L476" s="94">
        <f ca="1"/>
        <v>77.17</v>
      </c>
      <c r="M476" s="94" t="str">
        <f ca="1"/>
        <v>63/65"</v>
      </c>
      <c r="N476" s="94">
        <f ca="1"/>
        <v>65</v>
      </c>
      <c r="O476" s="94" t="str">
        <f ca="1"/>
        <v/>
      </c>
      <c r="P476" s="95" t="str">
        <f ca="1"/>
        <v/>
      </c>
      <c r="Q476" s="95" t="str">
        <f ca="1"/>
        <v/>
      </c>
      <c r="R476" s="96">
        <f ca="1"/>
        <v>46108</v>
      </c>
    </row>
    <row r="477" spans="1:18" s="90" customFormat="1" ht="55" customHeight="1" x14ac:dyDescent="0.35">
      <c r="A477" s="94" t="str">
        <f ca="1"/>
        <v>S25V10883</v>
      </c>
      <c r="B477" s="94" t="str">
        <f ca="1"/>
        <v>PKEK25VE0010883A</v>
      </c>
      <c r="C477" s="94" t="str">
        <f ca="1"/>
        <v>BLUE MELANGE</v>
      </c>
      <c r="D477" s="94" t="str">
        <f ca="1"/>
        <v>468</v>
      </c>
      <c r="E477" s="94" t="str">
        <f ca="1"/>
        <v>FV012280101</v>
      </c>
      <c r="F477" s="94" t="str">
        <f ca="1"/>
        <v>C1600074</v>
      </c>
      <c r="G477" s="94" t="str">
        <f ca="1"/>
        <v>B</v>
      </c>
      <c r="H477" s="94" t="str">
        <f ca="1"/>
        <v>CF003128362</v>
      </c>
      <c r="I477" s="94" t="str">
        <f ca="1"/>
        <v>A</v>
      </c>
      <c r="J477" s="94">
        <f ca="1"/>
        <v>24</v>
      </c>
      <c r="K477" s="94"/>
      <c r="L477" s="94">
        <f ca="1"/>
        <v>77.819999999999993</v>
      </c>
      <c r="M477" s="94" t="str">
        <f ca="1"/>
        <v>63/65"</v>
      </c>
      <c r="N477" s="94">
        <f ca="1"/>
        <v>65</v>
      </c>
      <c r="O477" s="94" t="str">
        <f ca="1"/>
        <v>Piece-up(FN) [后整接口]</v>
      </c>
      <c r="P477" s="95" t="str">
        <f ca="1"/>
        <v/>
      </c>
      <c r="Q477" s="95" t="str">
        <f ca="1"/>
        <v/>
      </c>
      <c r="R477" s="96">
        <f ca="1"/>
        <v>46108</v>
      </c>
    </row>
    <row r="478" spans="1:18" s="90" customFormat="1" ht="55" customHeight="1" x14ac:dyDescent="0.35">
      <c r="A478" s="94" t="str">
        <f ca="1"/>
        <v>S25V10883</v>
      </c>
      <c r="B478" s="94" t="str">
        <f ca="1"/>
        <v>PKEK25VE0010883A</v>
      </c>
      <c r="C478" s="94" t="str">
        <f ca="1"/>
        <v>BLUE MELANGE</v>
      </c>
      <c r="D478" s="94" t="str">
        <f ca="1"/>
        <v>468</v>
      </c>
      <c r="E478" s="94" t="str">
        <f ca="1"/>
        <v>FV012280101</v>
      </c>
      <c r="F478" s="94" t="str">
        <f ca="1"/>
        <v>C1600074</v>
      </c>
      <c r="G478" s="94" t="str">
        <f ca="1"/>
        <v>B</v>
      </c>
      <c r="H478" s="94" t="str">
        <f ca="1"/>
        <v>CF003128363</v>
      </c>
      <c r="I478" s="94" t="str">
        <f ca="1"/>
        <v>A</v>
      </c>
      <c r="J478" s="94">
        <f ca="1"/>
        <v>24</v>
      </c>
      <c r="K478" s="94"/>
      <c r="L478" s="94">
        <f ca="1"/>
        <v>77.819999999999993</v>
      </c>
      <c r="M478" s="94" t="str">
        <f ca="1"/>
        <v>63/65"</v>
      </c>
      <c r="N478" s="94">
        <f ca="1"/>
        <v>65</v>
      </c>
      <c r="O478" s="94" t="str">
        <f ca="1"/>
        <v/>
      </c>
      <c r="P478" s="95" t="str">
        <f ca="1"/>
        <v/>
      </c>
      <c r="Q478" s="95" t="str">
        <f ca="1"/>
        <v/>
      </c>
      <c r="R478" s="96">
        <f ca="1"/>
        <v>46108</v>
      </c>
    </row>
    <row r="479" spans="1:18" s="90" customFormat="1" ht="55" customHeight="1" x14ac:dyDescent="0.35">
      <c r="A479" s="94" t="str">
        <f ca="1"/>
        <v>S25V10883</v>
      </c>
      <c r="B479" s="94" t="str">
        <f ca="1"/>
        <v>PKEK25VE0010883A</v>
      </c>
      <c r="C479" s="94" t="str">
        <f ca="1"/>
        <v>BLUE MELANGE</v>
      </c>
      <c r="D479" s="94" t="str">
        <f ca="1"/>
        <v>468</v>
      </c>
      <c r="E479" s="94" t="str">
        <f ca="1"/>
        <v>FV012280101</v>
      </c>
      <c r="F479" s="94" t="str">
        <f ca="1"/>
        <v>C1600074</v>
      </c>
      <c r="G479" s="94" t="str">
        <f ca="1"/>
        <v>B</v>
      </c>
      <c r="H479" s="94" t="str">
        <f ca="1"/>
        <v>CF003128364</v>
      </c>
      <c r="I479" s="94" t="str">
        <f ca="1"/>
        <v>A</v>
      </c>
      <c r="J479" s="94">
        <f ca="1"/>
        <v>24</v>
      </c>
      <c r="K479" s="94"/>
      <c r="L479" s="94">
        <f ca="1"/>
        <v>77.819999999999993</v>
      </c>
      <c r="M479" s="94" t="str">
        <f ca="1"/>
        <v>63/65"</v>
      </c>
      <c r="N479" s="94">
        <f ca="1"/>
        <v>65</v>
      </c>
      <c r="O479" s="94" t="str">
        <f ca="1"/>
        <v/>
      </c>
      <c r="P479" s="95" t="str">
        <f ca="1"/>
        <v/>
      </c>
      <c r="Q479" s="95" t="str">
        <f ca="1"/>
        <v/>
      </c>
      <c r="R479" s="96">
        <f ca="1"/>
        <v>46108</v>
      </c>
    </row>
    <row r="480" spans="1:18" s="90" customFormat="1" ht="55" customHeight="1" x14ac:dyDescent="0.35">
      <c r="A480" s="94" t="str">
        <f ca="1"/>
        <v>S25V10883</v>
      </c>
      <c r="B480" s="94" t="str">
        <f ca="1"/>
        <v>PKEK25VE0010883A</v>
      </c>
      <c r="C480" s="94" t="str">
        <f ca="1"/>
        <v>BLUE MELANGE</v>
      </c>
      <c r="D480" s="94" t="str">
        <f ca="1"/>
        <v>468</v>
      </c>
      <c r="E480" s="94" t="str">
        <f ca="1"/>
        <v>FV012280101</v>
      </c>
      <c r="F480" s="94" t="str">
        <f ca="1"/>
        <v>C1600074</v>
      </c>
      <c r="G480" s="94" t="str">
        <f ca="1"/>
        <v>B</v>
      </c>
      <c r="H480" s="94" t="str">
        <f ca="1"/>
        <v>CF003128365</v>
      </c>
      <c r="I480" s="94" t="str">
        <f ca="1"/>
        <v>A</v>
      </c>
      <c r="J480" s="94">
        <f ca="1"/>
        <v>24</v>
      </c>
      <c r="K480" s="94"/>
      <c r="L480" s="94">
        <f ca="1"/>
        <v>77.819999999999993</v>
      </c>
      <c r="M480" s="94" t="str">
        <f ca="1"/>
        <v>63/65"</v>
      </c>
      <c r="N480" s="94">
        <f ca="1"/>
        <v>65</v>
      </c>
      <c r="O480" s="94" t="str">
        <f ca="1"/>
        <v/>
      </c>
      <c r="P480" s="95" t="str">
        <f ca="1"/>
        <v/>
      </c>
      <c r="Q480" s="95" t="str">
        <f ca="1"/>
        <v/>
      </c>
      <c r="R480" s="96">
        <f ca="1"/>
        <v>46108</v>
      </c>
    </row>
    <row r="481" spans="1:18" s="90" customFormat="1" ht="55" customHeight="1" x14ac:dyDescent="0.35">
      <c r="A481" s="94" t="str">
        <f ca="1"/>
        <v>S25V10883</v>
      </c>
      <c r="B481" s="94" t="str">
        <f ca="1"/>
        <v>PKEK25VE0010883A</v>
      </c>
      <c r="C481" s="94" t="str">
        <f ca="1"/>
        <v>BLUE MELANGE</v>
      </c>
      <c r="D481" s="94" t="str">
        <f ca="1"/>
        <v>468</v>
      </c>
      <c r="E481" s="94" t="str">
        <f ca="1"/>
        <v>FV012280101</v>
      </c>
      <c r="F481" s="94" t="str">
        <f ca="1"/>
        <v>C1600074</v>
      </c>
      <c r="G481" s="94" t="str">
        <f ca="1"/>
        <v>B</v>
      </c>
      <c r="H481" s="94" t="str">
        <f ca="1"/>
        <v>CF003128366</v>
      </c>
      <c r="I481" s="94" t="str">
        <f ca="1"/>
        <v>A</v>
      </c>
      <c r="J481" s="94">
        <f ca="1"/>
        <v>24</v>
      </c>
      <c r="K481" s="94"/>
      <c r="L481" s="94">
        <f ca="1"/>
        <v>77.819999999999993</v>
      </c>
      <c r="M481" s="94" t="str">
        <f ca="1"/>
        <v>63/65"</v>
      </c>
      <c r="N481" s="94">
        <f ca="1"/>
        <v>65</v>
      </c>
      <c r="O481" s="94" t="str">
        <f ca="1"/>
        <v>Needle Line [针路]</v>
      </c>
      <c r="P481" s="95" t="str">
        <f ca="1"/>
        <v/>
      </c>
      <c r="Q481" s="95" t="str">
        <f ca="1"/>
        <v/>
      </c>
      <c r="R481" s="96">
        <f ca="1"/>
        <v>46108</v>
      </c>
    </row>
    <row r="482" spans="1:18" s="90" customFormat="1" ht="55" customHeight="1" x14ac:dyDescent="0.35">
      <c r="A482" s="94" t="str">
        <f ca="1"/>
        <v>S25V10883</v>
      </c>
      <c r="B482" s="94" t="str">
        <f ca="1"/>
        <v>PKEK25VE0010883A</v>
      </c>
      <c r="C482" s="94" t="str">
        <f ca="1"/>
        <v>BLUE MELANGE</v>
      </c>
      <c r="D482" s="94" t="str">
        <f ca="1"/>
        <v>468</v>
      </c>
      <c r="E482" s="94" t="str">
        <f ca="1"/>
        <v>FV012280101</v>
      </c>
      <c r="F482" s="94" t="str">
        <f ca="1"/>
        <v>C1600074</v>
      </c>
      <c r="G482" s="94" t="str">
        <f ca="1"/>
        <v>B</v>
      </c>
      <c r="H482" s="94" t="str">
        <f ca="1"/>
        <v>CF003128367</v>
      </c>
      <c r="I482" s="94" t="str">
        <f ca="1"/>
        <v>A</v>
      </c>
      <c r="J482" s="94">
        <f ca="1"/>
        <v>23.8</v>
      </c>
      <c r="K482" s="94"/>
      <c r="L482" s="94">
        <f ca="1"/>
        <v>77.17</v>
      </c>
      <c r="M482" s="94" t="str">
        <f ca="1"/>
        <v>63/65"</v>
      </c>
      <c r="N482" s="94">
        <f ca="1"/>
        <v>65</v>
      </c>
      <c r="O482" s="94" t="str">
        <f ca="1"/>
        <v>Dirt [针织污渍]</v>
      </c>
      <c r="P482" s="95" t="str">
        <f ca="1"/>
        <v/>
      </c>
      <c r="Q482" s="95" t="str">
        <f ca="1"/>
        <v/>
      </c>
      <c r="R482" s="96">
        <f ca="1"/>
        <v>46108</v>
      </c>
    </row>
    <row r="483" spans="1:18" s="90" customFormat="1" ht="55" customHeight="1" x14ac:dyDescent="0.35">
      <c r="A483" s="94" t="str">
        <f ca="1"/>
        <v>S25V10883</v>
      </c>
      <c r="B483" s="94" t="str">
        <f ca="1"/>
        <v>PKEK25VE0010883A</v>
      </c>
      <c r="C483" s="94" t="str">
        <f ca="1"/>
        <v>BLUE MELANGE</v>
      </c>
      <c r="D483" s="94" t="str">
        <f ca="1"/>
        <v>468</v>
      </c>
      <c r="E483" s="94" t="str">
        <f ca="1"/>
        <v>FV012280101</v>
      </c>
      <c r="F483" s="94" t="str">
        <f ca="1"/>
        <v>C1600074</v>
      </c>
      <c r="G483" s="94" t="str">
        <f ca="1"/>
        <v>B</v>
      </c>
      <c r="H483" s="94" t="str">
        <f ca="1"/>
        <v>CF003128368</v>
      </c>
      <c r="I483" s="94" t="str">
        <f ca="1"/>
        <v>A</v>
      </c>
      <c r="J483" s="94">
        <f ca="1"/>
        <v>23.9</v>
      </c>
      <c r="K483" s="94"/>
      <c r="L483" s="94">
        <f ca="1"/>
        <v>77.489999999999995</v>
      </c>
      <c r="M483" s="94" t="str">
        <f ca="1"/>
        <v>63/65"</v>
      </c>
      <c r="N483" s="94">
        <f ca="1"/>
        <v>65</v>
      </c>
      <c r="O483" s="94" t="str">
        <f ca="1"/>
        <v/>
      </c>
      <c r="P483" s="95" t="str">
        <f ca="1"/>
        <v/>
      </c>
      <c r="Q483" s="95" t="str">
        <f ca="1"/>
        <v/>
      </c>
      <c r="R483" s="96">
        <f ca="1"/>
        <v>46108</v>
      </c>
    </row>
    <row r="484" spans="1:18" s="90" customFormat="1" ht="55" customHeight="1" x14ac:dyDescent="0.35">
      <c r="A484" s="94" t="str">
        <f ca="1"/>
        <v>S25V10883</v>
      </c>
      <c r="B484" s="94" t="str">
        <f ca="1"/>
        <v>PKEK25VE0010883A</v>
      </c>
      <c r="C484" s="94" t="str">
        <f ca="1"/>
        <v>BLUE MELANGE</v>
      </c>
      <c r="D484" s="94" t="str">
        <f ca="1"/>
        <v>468</v>
      </c>
      <c r="E484" s="94" t="str">
        <f ca="1"/>
        <v>FV012280101</v>
      </c>
      <c r="F484" s="94" t="str">
        <f ca="1"/>
        <v>C1600074</v>
      </c>
      <c r="G484" s="94" t="str">
        <f ca="1"/>
        <v>B</v>
      </c>
      <c r="H484" s="94" t="str">
        <f ca="1"/>
        <v>CF003128369</v>
      </c>
      <c r="I484" s="94" t="str">
        <f ca="1"/>
        <v>A</v>
      </c>
      <c r="J484" s="94">
        <f ca="1"/>
        <v>24</v>
      </c>
      <c r="K484" s="94"/>
      <c r="L484" s="94">
        <f ca="1"/>
        <v>77.819999999999993</v>
      </c>
      <c r="M484" s="94" t="str">
        <f ca="1"/>
        <v>63/65"</v>
      </c>
      <c r="N484" s="94">
        <f ca="1"/>
        <v>65</v>
      </c>
      <c r="O484" s="94" t="str">
        <f ca="1"/>
        <v/>
      </c>
      <c r="P484" s="95" t="str">
        <f ca="1"/>
        <v/>
      </c>
      <c r="Q484" s="95" t="str">
        <f ca="1"/>
        <v/>
      </c>
      <c r="R484" s="96">
        <f ca="1"/>
        <v>46108</v>
      </c>
    </row>
    <row r="485" spans="1:18" s="90" customFormat="1" ht="55" customHeight="1" x14ac:dyDescent="0.35">
      <c r="A485" s="94" t="str">
        <f ca="1"/>
        <v>S25V10883</v>
      </c>
      <c r="B485" s="94" t="str">
        <f ca="1"/>
        <v>PKEK25VE0010883A</v>
      </c>
      <c r="C485" s="94" t="str">
        <f ca="1"/>
        <v>BLUE MELANGE</v>
      </c>
      <c r="D485" s="94" t="str">
        <f ca="1"/>
        <v>468</v>
      </c>
      <c r="E485" s="94" t="str">
        <f ca="1"/>
        <v>FV012280101</v>
      </c>
      <c r="F485" s="94" t="str">
        <f ca="1"/>
        <v>C1600074</v>
      </c>
      <c r="G485" s="94" t="str">
        <f ca="1"/>
        <v>B</v>
      </c>
      <c r="H485" s="94" t="str">
        <f ca="1"/>
        <v>CF003128370</v>
      </c>
      <c r="I485" s="94" t="str">
        <f ca="1"/>
        <v>A</v>
      </c>
      <c r="J485" s="94">
        <f ca="1"/>
        <v>24.1</v>
      </c>
      <c r="K485" s="94"/>
      <c r="L485" s="94">
        <f ca="1"/>
        <v>78.14</v>
      </c>
      <c r="M485" s="94" t="str">
        <f ca="1"/>
        <v>63/65"</v>
      </c>
      <c r="N485" s="94">
        <f ca="1"/>
        <v>65</v>
      </c>
      <c r="O485" s="94" t="str">
        <f ca="1"/>
        <v>Hole (KN) [针织破洞]</v>
      </c>
      <c r="P485" s="95" t="str">
        <f ca="1"/>
        <v/>
      </c>
      <c r="Q485" s="95" t="str">
        <f ca="1"/>
        <v/>
      </c>
      <c r="R485" s="96">
        <f ca="1"/>
        <v>46108</v>
      </c>
    </row>
    <row r="486" spans="1:18" s="90" customFormat="1" ht="55" customHeight="1" x14ac:dyDescent="0.35">
      <c r="A486" s="94" t="str">
        <f ca="1"/>
        <v>S25V10883</v>
      </c>
      <c r="B486" s="94" t="str">
        <f ca="1"/>
        <v>PKEK25VE0010883A</v>
      </c>
      <c r="C486" s="94" t="str">
        <f ca="1"/>
        <v>BLUE MELANGE</v>
      </c>
      <c r="D486" s="94" t="str">
        <f ca="1"/>
        <v>468</v>
      </c>
      <c r="E486" s="94" t="str">
        <f ca="1"/>
        <v>FV012280101</v>
      </c>
      <c r="F486" s="94" t="str">
        <f ca="1"/>
        <v>C1600074</v>
      </c>
      <c r="G486" s="94" t="str">
        <f ca="1"/>
        <v>B</v>
      </c>
      <c r="H486" s="94" t="str">
        <f ca="1"/>
        <v>CF003128371</v>
      </c>
      <c r="I486" s="94" t="str">
        <f ca="1"/>
        <v>A</v>
      </c>
      <c r="J486" s="94">
        <f ca="1"/>
        <v>23.8</v>
      </c>
      <c r="K486" s="94"/>
      <c r="L486" s="94">
        <f ca="1"/>
        <v>77.17</v>
      </c>
      <c r="M486" s="94" t="str">
        <f ca="1"/>
        <v>63/65"</v>
      </c>
      <c r="N486" s="94">
        <f ca="1"/>
        <v>65</v>
      </c>
      <c r="O486" s="94" t="str">
        <f ca="1"/>
        <v/>
      </c>
      <c r="P486" s="95" t="str">
        <f ca="1"/>
        <v/>
      </c>
      <c r="Q486" s="95" t="str">
        <f ca="1"/>
        <v/>
      </c>
      <c r="R486" s="96">
        <f ca="1"/>
        <v>46108</v>
      </c>
    </row>
    <row r="487" spans="1:18" s="90" customFormat="1" ht="55" customHeight="1" x14ac:dyDescent="0.35">
      <c r="A487" s="94" t="str">
        <f ca="1"/>
        <v>S25V10883</v>
      </c>
      <c r="B487" s="94" t="str">
        <f ca="1"/>
        <v>PKEK25VE0010883A</v>
      </c>
      <c r="C487" s="94" t="str">
        <f ca="1"/>
        <v>BLUE MELANGE</v>
      </c>
      <c r="D487" s="94" t="str">
        <f ca="1"/>
        <v>468</v>
      </c>
      <c r="E487" s="94" t="str">
        <f ca="1"/>
        <v>FV012280101</v>
      </c>
      <c r="F487" s="94" t="str">
        <f ca="1"/>
        <v>C1600074</v>
      </c>
      <c r="G487" s="94" t="str">
        <f ca="1"/>
        <v>B</v>
      </c>
      <c r="H487" s="94" t="str">
        <f ca="1"/>
        <v>CF003128372</v>
      </c>
      <c r="I487" s="94" t="str">
        <f ca="1"/>
        <v>A</v>
      </c>
      <c r="J487" s="94">
        <f ca="1"/>
        <v>24.1</v>
      </c>
      <c r="K487" s="94"/>
      <c r="L487" s="94">
        <f ca="1"/>
        <v>78.14</v>
      </c>
      <c r="M487" s="94" t="str">
        <f ca="1"/>
        <v>63/65"</v>
      </c>
      <c r="N487" s="94">
        <f ca="1"/>
        <v>65</v>
      </c>
      <c r="O487" s="94" t="str">
        <f ca="1"/>
        <v/>
      </c>
      <c r="P487" s="95" t="str">
        <f ca="1"/>
        <v/>
      </c>
      <c r="Q487" s="95" t="str">
        <f ca="1"/>
        <v/>
      </c>
      <c r="R487" s="96">
        <f ca="1"/>
        <v>46108</v>
      </c>
    </row>
    <row r="488" spans="1:18" s="90" customFormat="1" ht="55" customHeight="1" x14ac:dyDescent="0.35">
      <c r="A488" s="94" t="str">
        <f ca="1"/>
        <v>S25V10883</v>
      </c>
      <c r="B488" s="94" t="str">
        <f ca="1"/>
        <v>PKEK25VE0010883A</v>
      </c>
      <c r="C488" s="94" t="str">
        <f ca="1"/>
        <v>BLUE MELANGE</v>
      </c>
      <c r="D488" s="94" t="str">
        <f ca="1"/>
        <v>468</v>
      </c>
      <c r="E488" s="94" t="str">
        <f ca="1"/>
        <v>FV012280101</v>
      </c>
      <c r="F488" s="94" t="str">
        <f ca="1"/>
        <v>C1600074</v>
      </c>
      <c r="G488" s="94" t="str">
        <f ca="1"/>
        <v>B</v>
      </c>
      <c r="H488" s="94" t="str">
        <f ca="1"/>
        <v>CF003128373</v>
      </c>
      <c r="I488" s="94" t="str">
        <f ca="1"/>
        <v>A</v>
      </c>
      <c r="J488" s="94">
        <f ca="1"/>
        <v>24</v>
      </c>
      <c r="K488" s="94"/>
      <c r="L488" s="94">
        <f ca="1"/>
        <v>77.819999999999993</v>
      </c>
      <c r="M488" s="94" t="str">
        <f ca="1"/>
        <v>63/65"</v>
      </c>
      <c r="N488" s="94">
        <f ca="1"/>
        <v>65</v>
      </c>
      <c r="O488" s="94" t="str">
        <f ca="1"/>
        <v/>
      </c>
      <c r="P488" s="95" t="str">
        <f ca="1"/>
        <v/>
      </c>
      <c r="Q488" s="95" t="str">
        <f ca="1"/>
        <v/>
      </c>
      <c r="R488" s="96">
        <f ca="1"/>
        <v>46108</v>
      </c>
    </row>
    <row r="489" spans="1:18" s="90" customFormat="1" ht="55" customHeight="1" x14ac:dyDescent="0.35">
      <c r="A489" s="94" t="str">
        <f ca="1"/>
        <v>S25V10883</v>
      </c>
      <c r="B489" s="94" t="str">
        <f ca="1"/>
        <v>PKEK25VE0010883A</v>
      </c>
      <c r="C489" s="94" t="str">
        <f ca="1"/>
        <v>BLUE MELANGE</v>
      </c>
      <c r="D489" s="94" t="str">
        <f ca="1"/>
        <v>468</v>
      </c>
      <c r="E489" s="94" t="str">
        <f ca="1"/>
        <v>FV012280101</v>
      </c>
      <c r="F489" s="94" t="str">
        <f ca="1"/>
        <v>C1600074</v>
      </c>
      <c r="G489" s="94" t="str">
        <f ca="1"/>
        <v>B</v>
      </c>
      <c r="H489" s="94" t="str">
        <f ca="1"/>
        <v>CF003128374</v>
      </c>
      <c r="I489" s="94" t="str">
        <f ca="1"/>
        <v>A</v>
      </c>
      <c r="J489" s="94">
        <f ca="1"/>
        <v>23.8</v>
      </c>
      <c r="K489" s="94"/>
      <c r="L489" s="94">
        <f ca="1"/>
        <v>77.17</v>
      </c>
      <c r="M489" s="94" t="str">
        <f ca="1"/>
        <v>63/65"</v>
      </c>
      <c r="N489" s="94">
        <f ca="1"/>
        <v>65</v>
      </c>
      <c r="O489" s="94" t="str">
        <f ca="1"/>
        <v>Hole (KN) [针织破洞]</v>
      </c>
      <c r="P489" s="95" t="str">
        <f ca="1"/>
        <v/>
      </c>
      <c r="Q489" s="95" t="str">
        <f ca="1"/>
        <v/>
      </c>
      <c r="R489" s="96">
        <f ca="1"/>
        <v>46108</v>
      </c>
    </row>
    <row r="490" spans="1:18" s="90" customFormat="1" ht="55" customHeight="1" x14ac:dyDescent="0.35">
      <c r="A490" s="94" t="str">
        <f ca="1"/>
        <v>S25V10883</v>
      </c>
      <c r="B490" s="94" t="str">
        <f ca="1"/>
        <v>PKEK25VE0010883A</v>
      </c>
      <c r="C490" s="94" t="str">
        <f ca="1"/>
        <v>BLUE MELANGE</v>
      </c>
      <c r="D490" s="94" t="str">
        <f ca="1"/>
        <v>468</v>
      </c>
      <c r="E490" s="94" t="str">
        <f ca="1"/>
        <v>FV012280101</v>
      </c>
      <c r="F490" s="94" t="str">
        <f ca="1"/>
        <v>C1600074</v>
      </c>
      <c r="G490" s="94" t="str">
        <f ca="1"/>
        <v>B</v>
      </c>
      <c r="H490" s="94" t="str">
        <f ca="1"/>
        <v>CF003128375</v>
      </c>
      <c r="I490" s="94" t="str">
        <f ca="1"/>
        <v>A</v>
      </c>
      <c r="J490" s="94">
        <f ca="1"/>
        <v>23.9</v>
      </c>
      <c r="K490" s="94"/>
      <c r="L490" s="94">
        <f ca="1"/>
        <v>77.489999999999995</v>
      </c>
      <c r="M490" s="94" t="str">
        <f ca="1"/>
        <v>63/65"</v>
      </c>
      <c r="N490" s="94">
        <f ca="1"/>
        <v>65</v>
      </c>
      <c r="O490" s="94" t="str">
        <f ca="1"/>
        <v>Hole (KN) [针织破洞]</v>
      </c>
      <c r="P490" s="95" t="str">
        <f ca="1"/>
        <v/>
      </c>
      <c r="Q490" s="95" t="str">
        <f ca="1"/>
        <v/>
      </c>
      <c r="R490" s="96">
        <f ca="1"/>
        <v>46108</v>
      </c>
    </row>
    <row r="491" spans="1:18" s="90" customFormat="1" ht="55" customHeight="1" x14ac:dyDescent="0.35">
      <c r="A491" s="94" t="str">
        <f ca="1"/>
        <v>S25V10883</v>
      </c>
      <c r="B491" s="94" t="str">
        <f ca="1"/>
        <v>PKEK25VE0010883A</v>
      </c>
      <c r="C491" s="94" t="str">
        <f ca="1"/>
        <v>BLUE MELANGE</v>
      </c>
      <c r="D491" s="94" t="str">
        <f ca="1"/>
        <v>468</v>
      </c>
      <c r="E491" s="94" t="str">
        <f ca="1"/>
        <v>FV012280101</v>
      </c>
      <c r="F491" s="94" t="str">
        <f ca="1"/>
        <v>C1600074</v>
      </c>
      <c r="G491" s="94" t="str">
        <f ca="1"/>
        <v>B</v>
      </c>
      <c r="H491" s="94" t="str">
        <f ca="1"/>
        <v>CF003128376</v>
      </c>
      <c r="I491" s="94" t="str">
        <f ca="1"/>
        <v>A</v>
      </c>
      <c r="J491" s="94">
        <f ca="1"/>
        <v>23.9</v>
      </c>
      <c r="K491" s="94"/>
      <c r="L491" s="94">
        <f ca="1"/>
        <v>77.489999999999995</v>
      </c>
      <c r="M491" s="94" t="str">
        <f ca="1"/>
        <v>63/65"</v>
      </c>
      <c r="N491" s="94">
        <f ca="1"/>
        <v>65</v>
      </c>
      <c r="O491" s="94" t="str">
        <f ca="1"/>
        <v/>
      </c>
      <c r="P491" s="95" t="str">
        <f ca="1"/>
        <v/>
      </c>
      <c r="Q491" s="95" t="str">
        <f ca="1"/>
        <v/>
      </c>
      <c r="R491" s="96">
        <f ca="1"/>
        <v>46108</v>
      </c>
    </row>
    <row r="492" spans="1:18" s="90" customFormat="1" ht="55" customHeight="1" x14ac:dyDescent="0.35">
      <c r="A492" s="94" t="str">
        <f ca="1"/>
        <v>S25V10883</v>
      </c>
      <c r="B492" s="94" t="str">
        <f ca="1"/>
        <v>PKEK25VE0010883A</v>
      </c>
      <c r="C492" s="94" t="str">
        <f ca="1"/>
        <v>BLUE MELANGE</v>
      </c>
      <c r="D492" s="94" t="str">
        <f ca="1"/>
        <v>468</v>
      </c>
      <c r="E492" s="94" t="str">
        <f ca="1"/>
        <v>FV012280101</v>
      </c>
      <c r="F492" s="94" t="str">
        <f ca="1"/>
        <v>C1600074</v>
      </c>
      <c r="G492" s="94" t="str">
        <f ca="1"/>
        <v>B</v>
      </c>
      <c r="H492" s="94" t="str">
        <f ca="1"/>
        <v>CF003128377</v>
      </c>
      <c r="I492" s="94" t="str">
        <f ca="1"/>
        <v>A</v>
      </c>
      <c r="J492" s="94">
        <f ca="1"/>
        <v>23.7</v>
      </c>
      <c r="K492" s="94"/>
      <c r="L492" s="94">
        <f ca="1"/>
        <v>76.84</v>
      </c>
      <c r="M492" s="94" t="str">
        <f ca="1"/>
        <v>63/65"</v>
      </c>
      <c r="N492" s="94">
        <f ca="1"/>
        <v>65</v>
      </c>
      <c r="O492" s="94" t="str">
        <f ca="1"/>
        <v/>
      </c>
      <c r="P492" s="95" t="str">
        <f ca="1"/>
        <v/>
      </c>
      <c r="Q492" s="95" t="str">
        <f ca="1"/>
        <v/>
      </c>
      <c r="R492" s="96">
        <f ca="1"/>
        <v>46108</v>
      </c>
    </row>
    <row r="493" spans="1:18" s="90" customFormat="1" ht="55" customHeight="1" x14ac:dyDescent="0.35">
      <c r="A493" s="94" t="str">
        <f ca="1"/>
        <v>S25V10883</v>
      </c>
      <c r="B493" s="94" t="str">
        <f ca="1"/>
        <v>PKEK25VE0010883A</v>
      </c>
      <c r="C493" s="94" t="str">
        <f ca="1"/>
        <v>BLUE MELANGE</v>
      </c>
      <c r="D493" s="94" t="str">
        <f ca="1"/>
        <v>468</v>
      </c>
      <c r="E493" s="94" t="str">
        <f ca="1"/>
        <v>FV012280101</v>
      </c>
      <c r="F493" s="94" t="str">
        <f ca="1"/>
        <v>C1600074</v>
      </c>
      <c r="G493" s="94" t="str">
        <f ca="1"/>
        <v>B</v>
      </c>
      <c r="H493" s="94" t="str">
        <f ca="1"/>
        <v>CF003128378</v>
      </c>
      <c r="I493" s="94" t="str">
        <f ca="1"/>
        <v>A</v>
      </c>
      <c r="J493" s="94">
        <f ca="1"/>
        <v>21.4</v>
      </c>
      <c r="K493" s="94"/>
      <c r="L493" s="94">
        <f ca="1"/>
        <v>69.39</v>
      </c>
      <c r="M493" s="94" t="str">
        <f ca="1"/>
        <v>63/65"</v>
      </c>
      <c r="N493" s="94">
        <f ca="1"/>
        <v>65</v>
      </c>
      <c r="O493" s="94" t="str">
        <f ca="1"/>
        <v>Hole (KN) [针织破洞]</v>
      </c>
      <c r="P493" s="95" t="str">
        <f ca="1"/>
        <v/>
      </c>
      <c r="Q493" s="95" t="str">
        <f ca="1"/>
        <v/>
      </c>
      <c r="R493" s="96">
        <f ca="1"/>
        <v>46108</v>
      </c>
    </row>
    <row r="494" spans="1:18" s="90" customFormat="1" ht="55" customHeight="1" x14ac:dyDescent="0.35">
      <c r="A494" s="94" t="str">
        <f ca="1"/>
        <v>S25V10883</v>
      </c>
      <c r="B494" s="94" t="str">
        <f ca="1"/>
        <v>PKEK25VE0010883A</v>
      </c>
      <c r="C494" s="94" t="str">
        <f ca="1"/>
        <v>BLUE MELANGE</v>
      </c>
      <c r="D494" s="94" t="str">
        <f ca="1"/>
        <v>468</v>
      </c>
      <c r="E494" s="94" t="str">
        <f ca="1"/>
        <v>FV012280101</v>
      </c>
      <c r="F494" s="94" t="str">
        <f ca="1"/>
        <v>C1600074</v>
      </c>
      <c r="G494" s="94" t="str">
        <f ca="1"/>
        <v>B</v>
      </c>
      <c r="H494" s="94" t="str">
        <f ca="1"/>
        <v>CF003128379</v>
      </c>
      <c r="I494" s="94" t="str">
        <f ca="1"/>
        <v>A</v>
      </c>
      <c r="J494" s="94">
        <f ca="1"/>
        <v>23.9</v>
      </c>
      <c r="K494" s="94"/>
      <c r="L494" s="94">
        <f ca="1"/>
        <v>77.489999999999995</v>
      </c>
      <c r="M494" s="94" t="str">
        <f ca="1"/>
        <v>63/65"</v>
      </c>
      <c r="N494" s="94">
        <f ca="1"/>
        <v>65</v>
      </c>
      <c r="O494" s="94" t="str">
        <f ca="1"/>
        <v>Hole (KN) [针织破洞]</v>
      </c>
      <c r="P494" s="95" t="str">
        <f ca="1"/>
        <v/>
      </c>
      <c r="Q494" s="95" t="str">
        <f ca="1"/>
        <v/>
      </c>
      <c r="R494" s="96">
        <f ca="1"/>
        <v>46108</v>
      </c>
    </row>
    <row r="495" spans="1:18" s="90" customFormat="1" ht="55" customHeight="1" x14ac:dyDescent="0.35">
      <c r="A495" s="94" t="str">
        <f ca="1"/>
        <v>S25V10883</v>
      </c>
      <c r="B495" s="94" t="str">
        <f ca="1"/>
        <v>PKEK25VE0010883A</v>
      </c>
      <c r="C495" s="94" t="str">
        <f ca="1"/>
        <v>BLUE MELANGE</v>
      </c>
      <c r="D495" s="94" t="str">
        <f ca="1"/>
        <v>468</v>
      </c>
      <c r="E495" s="94" t="str">
        <f ca="1"/>
        <v>FV012280101</v>
      </c>
      <c r="F495" s="94" t="str">
        <f ca="1"/>
        <v>C1600074</v>
      </c>
      <c r="G495" s="94" t="str">
        <f ca="1"/>
        <v>B</v>
      </c>
      <c r="H495" s="94" t="str">
        <f ca="1"/>
        <v>CF003128380</v>
      </c>
      <c r="I495" s="94" t="str">
        <f ca="1"/>
        <v>A</v>
      </c>
      <c r="J495" s="94">
        <f ca="1"/>
        <v>23.8</v>
      </c>
      <c r="K495" s="94"/>
      <c r="L495" s="94">
        <f ca="1"/>
        <v>77.17</v>
      </c>
      <c r="M495" s="94" t="str">
        <f ca="1"/>
        <v>63/65"</v>
      </c>
      <c r="N495" s="94">
        <f ca="1"/>
        <v>65</v>
      </c>
      <c r="O495" s="94" t="str">
        <f ca="1"/>
        <v/>
      </c>
      <c r="P495" s="95" t="str">
        <f ca="1"/>
        <v/>
      </c>
      <c r="Q495" s="95" t="str">
        <f ca="1"/>
        <v/>
      </c>
      <c r="R495" s="96">
        <f ca="1"/>
        <v>46108</v>
      </c>
    </row>
    <row r="496" spans="1:18" s="90" customFormat="1" ht="55" customHeight="1" x14ac:dyDescent="0.35">
      <c r="A496" s="94" t="str">
        <f ca="1"/>
        <v>S25V10883</v>
      </c>
      <c r="B496" s="94" t="str">
        <f ca="1"/>
        <v>PKEK25VE0010883A</v>
      </c>
      <c r="C496" s="94" t="str">
        <f ca="1"/>
        <v>BLUE MELANGE</v>
      </c>
      <c r="D496" s="94" t="str">
        <f ca="1"/>
        <v>468</v>
      </c>
      <c r="E496" s="94" t="str">
        <f ca="1"/>
        <v>FV012280101</v>
      </c>
      <c r="F496" s="94" t="str">
        <f ca="1"/>
        <v>C1600074</v>
      </c>
      <c r="G496" s="94" t="str">
        <f ca="1"/>
        <v>B</v>
      </c>
      <c r="H496" s="94" t="str">
        <f ca="1"/>
        <v>CF003128386</v>
      </c>
      <c r="I496" s="94" t="str">
        <f ca="1"/>
        <v>A</v>
      </c>
      <c r="J496" s="94">
        <f ca="1"/>
        <v>23.9</v>
      </c>
      <c r="K496" s="94"/>
      <c r="L496" s="94">
        <f ca="1"/>
        <v>77.489999999999995</v>
      </c>
      <c r="M496" s="94" t="str">
        <f ca="1"/>
        <v>63/65"</v>
      </c>
      <c r="N496" s="94">
        <f ca="1"/>
        <v>65</v>
      </c>
      <c r="O496" s="94" t="str">
        <f ca="1"/>
        <v>Hole (KN) [针织破洞]</v>
      </c>
      <c r="P496" s="95" t="str">
        <f ca="1"/>
        <v/>
      </c>
      <c r="Q496" s="95" t="str">
        <f ca="1"/>
        <v/>
      </c>
      <c r="R496" s="96">
        <f ca="1"/>
        <v>46108</v>
      </c>
    </row>
    <row r="497" spans="1:18" s="90" customFormat="1" ht="55" customHeight="1" x14ac:dyDescent="0.35">
      <c r="A497" s="94" t="str">
        <f ca="1"/>
        <v>S25V10883</v>
      </c>
      <c r="B497" s="94" t="str">
        <f ca="1"/>
        <v>PKEK25VE0010883A</v>
      </c>
      <c r="C497" s="94" t="str">
        <f ca="1"/>
        <v>BLUE MELANGE</v>
      </c>
      <c r="D497" s="94" t="str">
        <f ca="1"/>
        <v>468</v>
      </c>
      <c r="E497" s="94" t="str">
        <f ca="1"/>
        <v>FV012280101</v>
      </c>
      <c r="F497" s="94" t="str">
        <f ca="1"/>
        <v>C1600074</v>
      </c>
      <c r="G497" s="94" t="str">
        <f ca="1"/>
        <v>B</v>
      </c>
      <c r="H497" s="94" t="str">
        <f ca="1"/>
        <v>CF003128387</v>
      </c>
      <c r="I497" s="94" t="str">
        <f ca="1"/>
        <v>A</v>
      </c>
      <c r="J497" s="94">
        <f ca="1"/>
        <v>23.9</v>
      </c>
      <c r="K497" s="94"/>
      <c r="L497" s="94">
        <f ca="1"/>
        <v>77.489999999999995</v>
      </c>
      <c r="M497" s="94" t="str">
        <f ca="1"/>
        <v>63/65"</v>
      </c>
      <c r="N497" s="94">
        <f ca="1"/>
        <v>65</v>
      </c>
      <c r="O497" s="94" t="str">
        <f ca="1"/>
        <v/>
      </c>
      <c r="P497" s="95" t="str">
        <f ca="1"/>
        <v/>
      </c>
      <c r="Q497" s="95" t="str">
        <f ca="1"/>
        <v/>
      </c>
      <c r="R497" s="96">
        <f ca="1"/>
        <v>46108</v>
      </c>
    </row>
    <row r="498" spans="1:18" s="90" customFormat="1" ht="55" customHeight="1" x14ac:dyDescent="0.35">
      <c r="A498" s="94" t="str">
        <f ca="1"/>
        <v>S25V10883</v>
      </c>
      <c r="B498" s="94" t="str">
        <f ca="1"/>
        <v>PKEK25VE0010883A</v>
      </c>
      <c r="C498" s="94" t="str">
        <f ca="1"/>
        <v>BLUE MELANGE</v>
      </c>
      <c r="D498" s="94" t="str">
        <f ca="1"/>
        <v>468</v>
      </c>
      <c r="E498" s="94" t="str">
        <f ca="1"/>
        <v>FV012280101</v>
      </c>
      <c r="F498" s="94" t="str">
        <f ca="1"/>
        <v>C1600074</v>
      </c>
      <c r="G498" s="94" t="str">
        <f ca="1"/>
        <v>B</v>
      </c>
      <c r="H498" s="94" t="str">
        <f ca="1"/>
        <v>CF003128388</v>
      </c>
      <c r="I498" s="94" t="str">
        <f ca="1"/>
        <v>A</v>
      </c>
      <c r="J498" s="94">
        <f ca="1"/>
        <v>23.9</v>
      </c>
      <c r="K498" s="94"/>
      <c r="L498" s="94">
        <f ca="1"/>
        <v>77.489999999999995</v>
      </c>
      <c r="M498" s="94" t="str">
        <f ca="1"/>
        <v>63/65"</v>
      </c>
      <c r="N498" s="94">
        <f ca="1"/>
        <v>65</v>
      </c>
      <c r="O498" s="94" t="str">
        <f ca="1"/>
        <v>Hole (KN) [针织破洞]</v>
      </c>
      <c r="P498" s="95" t="str">
        <f ca="1"/>
        <v/>
      </c>
      <c r="Q498" s="95" t="str">
        <f ca="1"/>
        <v/>
      </c>
      <c r="R498" s="96">
        <f ca="1"/>
        <v>46108</v>
      </c>
    </row>
    <row r="499" spans="1:18" s="90" customFormat="1" ht="55" customHeight="1" x14ac:dyDescent="0.35">
      <c r="A499" s="94" t="str">
        <f ca="1"/>
        <v>S25V10883</v>
      </c>
      <c r="B499" s="94" t="str">
        <f ca="1"/>
        <v>PKEK25VE0010883A</v>
      </c>
      <c r="C499" s="94" t="str">
        <f ca="1"/>
        <v>BLUE MELANGE</v>
      </c>
      <c r="D499" s="94" t="str">
        <f ca="1"/>
        <v>468</v>
      </c>
      <c r="E499" s="94" t="str">
        <f ca="1"/>
        <v>FV012280101</v>
      </c>
      <c r="F499" s="94" t="str">
        <f ca="1"/>
        <v>C1600074</v>
      </c>
      <c r="G499" s="94" t="str">
        <f ca="1"/>
        <v>B</v>
      </c>
      <c r="H499" s="94" t="str">
        <f ca="1"/>
        <v>CF003128389</v>
      </c>
      <c r="I499" s="94" t="str">
        <f ca="1"/>
        <v>A</v>
      </c>
      <c r="J499" s="94">
        <f ca="1"/>
        <v>23.9</v>
      </c>
      <c r="K499" s="94"/>
      <c r="L499" s="94">
        <f ca="1"/>
        <v>77.489999999999995</v>
      </c>
      <c r="M499" s="94" t="str">
        <f ca="1"/>
        <v>63/65"</v>
      </c>
      <c r="N499" s="94">
        <f ca="1"/>
        <v>65</v>
      </c>
      <c r="O499" s="94" t="str">
        <f ca="1"/>
        <v/>
      </c>
      <c r="P499" s="95" t="str">
        <f ca="1"/>
        <v/>
      </c>
      <c r="Q499" s="95" t="str">
        <f ca="1"/>
        <v/>
      </c>
      <c r="R499" s="96">
        <f ca="1"/>
        <v>46108</v>
      </c>
    </row>
    <row r="500" spans="1:18" s="90" customFormat="1" ht="55" customHeight="1" x14ac:dyDescent="0.35">
      <c r="A500" s="94" t="str">
        <f ca="1"/>
        <v>S25V10883</v>
      </c>
      <c r="B500" s="94" t="str">
        <f ca="1"/>
        <v>PKEK25VE0010883A</v>
      </c>
      <c r="C500" s="94" t="str">
        <f ca="1"/>
        <v>BLUE MELANGE</v>
      </c>
      <c r="D500" s="94" t="str">
        <f ca="1"/>
        <v>468</v>
      </c>
      <c r="E500" s="94" t="str">
        <f ca="1"/>
        <v>FV012280101</v>
      </c>
      <c r="F500" s="94" t="str">
        <f ca="1"/>
        <v>C1600074</v>
      </c>
      <c r="G500" s="94" t="str">
        <f ca="1"/>
        <v>B</v>
      </c>
      <c r="H500" s="94" t="str">
        <f ca="1"/>
        <v>CF003128390</v>
      </c>
      <c r="I500" s="94" t="str">
        <f ca="1"/>
        <v>A</v>
      </c>
      <c r="J500" s="94">
        <f ca="1"/>
        <v>23.9</v>
      </c>
      <c r="K500" s="94"/>
      <c r="L500" s="94">
        <f ca="1"/>
        <v>77.489999999999995</v>
      </c>
      <c r="M500" s="94" t="str">
        <f ca="1"/>
        <v>63/65"</v>
      </c>
      <c r="N500" s="94">
        <f ca="1"/>
        <v>65</v>
      </c>
      <c r="O500" s="94" t="str">
        <f ca="1"/>
        <v>Piece-up(FN) [后整接口]</v>
      </c>
      <c r="P500" s="95" t="str">
        <f ca="1"/>
        <v/>
      </c>
      <c r="Q500" s="95" t="str">
        <f ca="1"/>
        <v/>
      </c>
      <c r="R500" s="96">
        <f ca="1"/>
        <v>46108</v>
      </c>
    </row>
    <row r="501" spans="1:18" s="90" customFormat="1" ht="55" customHeight="1" x14ac:dyDescent="0.35">
      <c r="A501" s="94" t="str">
        <f ca="1"/>
        <v>S25V10883</v>
      </c>
      <c r="B501" s="94" t="str">
        <f ca="1"/>
        <v>PKEK25VE0010883A</v>
      </c>
      <c r="C501" s="94" t="str">
        <f ca="1"/>
        <v>BLUE MELANGE</v>
      </c>
      <c r="D501" s="94" t="str">
        <f ca="1"/>
        <v>468</v>
      </c>
      <c r="E501" s="94" t="str">
        <f ca="1"/>
        <v>FV012280101</v>
      </c>
      <c r="F501" s="94" t="str">
        <f ca="1"/>
        <v>C1600074</v>
      </c>
      <c r="G501" s="94" t="str">
        <f ca="1"/>
        <v>B</v>
      </c>
      <c r="H501" s="94" t="str">
        <f ca="1"/>
        <v>CF003128391</v>
      </c>
      <c r="I501" s="94" t="str">
        <f ca="1"/>
        <v>A</v>
      </c>
      <c r="J501" s="94">
        <f ca="1"/>
        <v>24.1</v>
      </c>
      <c r="K501" s="94"/>
      <c r="L501" s="94">
        <f ca="1"/>
        <v>78.14</v>
      </c>
      <c r="M501" s="94" t="str">
        <f ca="1"/>
        <v>63/65"</v>
      </c>
      <c r="N501" s="94">
        <f ca="1"/>
        <v>65</v>
      </c>
      <c r="O501" s="94" t="str">
        <f ca="1"/>
        <v>Hole (KN) [针织破洞]</v>
      </c>
      <c r="P501" s="95" t="str">
        <f ca="1"/>
        <v/>
      </c>
      <c r="Q501" s="95" t="str">
        <f ca="1"/>
        <v/>
      </c>
      <c r="R501" s="96">
        <f ca="1"/>
        <v>46108</v>
      </c>
    </row>
    <row r="502" spans="1:18" s="90" customFormat="1" ht="55" customHeight="1" x14ac:dyDescent="0.35">
      <c r="A502" s="94" t="str">
        <f ca="1"/>
        <v>S25V10883</v>
      </c>
      <c r="B502" s="94" t="str">
        <f ca="1"/>
        <v>PKEK25VE0010883A</v>
      </c>
      <c r="C502" s="94" t="str">
        <f ca="1"/>
        <v>BLUE MELANGE</v>
      </c>
      <c r="D502" s="94" t="str">
        <f ca="1"/>
        <v>468</v>
      </c>
      <c r="E502" s="94" t="str">
        <f ca="1"/>
        <v>FV012280101</v>
      </c>
      <c r="F502" s="94" t="str">
        <f ca="1"/>
        <v>C1600074</v>
      </c>
      <c r="G502" s="94" t="str">
        <f ca="1"/>
        <v>B</v>
      </c>
      <c r="H502" s="94" t="str">
        <f ca="1"/>
        <v>CF003128392</v>
      </c>
      <c r="I502" s="94" t="str">
        <f ca="1"/>
        <v>A</v>
      </c>
      <c r="J502" s="94">
        <f ca="1"/>
        <v>33.6</v>
      </c>
      <c r="K502" s="94"/>
      <c r="L502" s="94">
        <f ca="1"/>
        <v>108.94</v>
      </c>
      <c r="M502" s="94" t="str">
        <f ca="1"/>
        <v>63/65"</v>
      </c>
      <c r="N502" s="94">
        <f ca="1"/>
        <v>65</v>
      </c>
      <c r="O502" s="94" t="str">
        <f ca="1"/>
        <v>Hole (KN) [针织破洞]</v>
      </c>
      <c r="P502" s="95" t="str">
        <f ca="1"/>
        <v/>
      </c>
      <c r="Q502" s="95" t="str">
        <f ca="1"/>
        <v/>
      </c>
      <c r="R502" s="96">
        <f ca="1"/>
        <v>46108</v>
      </c>
    </row>
    <row r="503" spans="1:18" s="90" customFormat="1" ht="55" customHeight="1" x14ac:dyDescent="0.35">
      <c r="A503" s="94" t="str">
        <f ca="1"/>
        <v>S25V10883</v>
      </c>
      <c r="B503" s="94" t="str">
        <f ca="1"/>
        <v>PKEK25VE0010883A</v>
      </c>
      <c r="C503" s="94" t="str">
        <f ca="1"/>
        <v>BLUE MELANGE</v>
      </c>
      <c r="D503" s="94" t="str">
        <f ca="1"/>
        <v>468</v>
      </c>
      <c r="E503" s="94" t="str">
        <f ca="1"/>
        <v>FV012280101</v>
      </c>
      <c r="F503" s="94" t="str">
        <f ca="1"/>
        <v>C1600074</v>
      </c>
      <c r="G503" s="94" t="str">
        <f ca="1"/>
        <v>B</v>
      </c>
      <c r="H503" s="94" t="str">
        <f ca="1"/>
        <v>CF003128393</v>
      </c>
      <c r="I503" s="94" t="str">
        <f ca="1"/>
        <v>A</v>
      </c>
      <c r="J503" s="94">
        <f ca="1"/>
        <v>24.1</v>
      </c>
      <c r="K503" s="94"/>
      <c r="L503" s="94">
        <f ca="1"/>
        <v>78.14</v>
      </c>
      <c r="M503" s="94" t="str">
        <f ca="1"/>
        <v>63/65"</v>
      </c>
      <c r="N503" s="94">
        <f ca="1"/>
        <v>65</v>
      </c>
      <c r="O503" s="94" t="str">
        <f ca="1"/>
        <v>Hole (KN) [针织破洞]</v>
      </c>
      <c r="P503" s="95" t="str">
        <f ca="1"/>
        <v/>
      </c>
      <c r="Q503" s="95" t="str">
        <f ca="1"/>
        <v/>
      </c>
      <c r="R503" s="96">
        <f ca="1"/>
        <v>46108</v>
      </c>
    </row>
    <row r="504" spans="1:18" s="90" customFormat="1" ht="55" customHeight="1" x14ac:dyDescent="0.35">
      <c r="A504" s="94" t="str">
        <f ca="1"/>
        <v>S25V10883</v>
      </c>
      <c r="B504" s="94" t="str">
        <f ca="1"/>
        <v>PKEK25VE0010883A</v>
      </c>
      <c r="C504" s="94" t="str">
        <f ca="1"/>
        <v>BLUE MELANGE</v>
      </c>
      <c r="D504" s="94" t="str">
        <f ca="1"/>
        <v>468</v>
      </c>
      <c r="E504" s="94" t="str">
        <f ca="1"/>
        <v>FV012280101</v>
      </c>
      <c r="F504" s="94" t="str">
        <f ca="1"/>
        <v>C1600074</v>
      </c>
      <c r="G504" s="94" t="str">
        <f ca="1"/>
        <v>B</v>
      </c>
      <c r="H504" s="94" t="str">
        <f ca="1"/>
        <v>CF003128394</v>
      </c>
      <c r="I504" s="94" t="str">
        <f ca="1"/>
        <v>A</v>
      </c>
      <c r="J504" s="94">
        <f ca="1"/>
        <v>24.1</v>
      </c>
      <c r="K504" s="94"/>
      <c r="L504" s="94">
        <f ca="1"/>
        <v>78.14</v>
      </c>
      <c r="M504" s="94" t="str">
        <f ca="1"/>
        <v>63/65"</v>
      </c>
      <c r="N504" s="94">
        <f ca="1"/>
        <v>65</v>
      </c>
      <c r="O504" s="94" t="str">
        <f ca="1"/>
        <v>Hole (KN) [针织破洞]</v>
      </c>
      <c r="P504" s="95" t="str">
        <f ca="1"/>
        <v/>
      </c>
      <c r="Q504" s="95" t="str">
        <f ca="1"/>
        <v/>
      </c>
      <c r="R504" s="96">
        <f ca="1"/>
        <v>46108</v>
      </c>
    </row>
    <row r="505" spans="1:18" s="90" customFormat="1" ht="55" customHeight="1" x14ac:dyDescent="0.35">
      <c r="A505" s="94" t="str">
        <f ca="1"/>
        <v>S25V10883</v>
      </c>
      <c r="B505" s="94" t="str">
        <f ca="1"/>
        <v>PKEK25VE0010883A</v>
      </c>
      <c r="C505" s="94" t="str">
        <f ca="1"/>
        <v>BLUE MELANGE</v>
      </c>
      <c r="D505" s="94" t="str">
        <f ca="1"/>
        <v>468</v>
      </c>
      <c r="E505" s="94" t="str">
        <f ca="1"/>
        <v>FV012280101</v>
      </c>
      <c r="F505" s="94" t="str">
        <f ca="1"/>
        <v>C1600074</v>
      </c>
      <c r="G505" s="94" t="str">
        <f ca="1"/>
        <v>B</v>
      </c>
      <c r="H505" s="94" t="str">
        <f ca="1"/>
        <v>CF003128395</v>
      </c>
      <c r="I505" s="94" t="str">
        <f ca="1"/>
        <v>A</v>
      </c>
      <c r="J505" s="94">
        <f ca="1"/>
        <v>24.2</v>
      </c>
      <c r="K505" s="94"/>
      <c r="L505" s="94">
        <f ca="1"/>
        <v>78.47</v>
      </c>
      <c r="M505" s="94" t="str">
        <f ca="1"/>
        <v>63/65"</v>
      </c>
      <c r="N505" s="94">
        <f ca="1"/>
        <v>65</v>
      </c>
      <c r="O505" s="94" t="str">
        <f ca="1"/>
        <v/>
      </c>
      <c r="P505" s="95" t="str">
        <f ca="1"/>
        <v/>
      </c>
      <c r="Q505" s="95" t="str">
        <f ca="1"/>
        <v/>
      </c>
      <c r="R505" s="96">
        <f ca="1"/>
        <v>46108</v>
      </c>
    </row>
    <row r="506" spans="1:18" s="90" customFormat="1" ht="55" customHeight="1" x14ac:dyDescent="0.35">
      <c r="A506" s="94" t="str">
        <f ca="1"/>
        <v>S25V10883</v>
      </c>
      <c r="B506" s="94" t="str">
        <f ca="1"/>
        <v>PKEK25VE0010883A</v>
      </c>
      <c r="C506" s="94" t="str">
        <f ca="1"/>
        <v>BLUE MELANGE</v>
      </c>
      <c r="D506" s="94" t="str">
        <f ca="1"/>
        <v>468</v>
      </c>
      <c r="E506" s="94" t="str">
        <f ca="1"/>
        <v>FV012280101</v>
      </c>
      <c r="F506" s="94" t="str">
        <f ca="1"/>
        <v>C1600074</v>
      </c>
      <c r="G506" s="94" t="str">
        <f ca="1"/>
        <v>B</v>
      </c>
      <c r="H506" s="94" t="str">
        <f ca="1"/>
        <v>CF003128411</v>
      </c>
      <c r="I506" s="94" t="str">
        <f ca="1"/>
        <v>A</v>
      </c>
      <c r="J506" s="94">
        <f ca="1"/>
        <v>24.2</v>
      </c>
      <c r="K506" s="94"/>
      <c r="L506" s="94">
        <f ca="1"/>
        <v>78.47</v>
      </c>
      <c r="M506" s="94" t="str">
        <f ca="1"/>
        <v>63/65"</v>
      </c>
      <c r="N506" s="94">
        <f ca="1"/>
        <v>65</v>
      </c>
      <c r="O506" s="94" t="str">
        <f ca="1"/>
        <v>Piece-up(FN) [后整接口]</v>
      </c>
      <c r="P506" s="95" t="str">
        <f ca="1"/>
        <v/>
      </c>
      <c r="Q506" s="95" t="str">
        <f ca="1"/>
        <v/>
      </c>
      <c r="R506" s="96">
        <f ca="1"/>
        <v>46108</v>
      </c>
    </row>
    <row r="507" spans="1:18" s="90" customFormat="1" ht="55" customHeight="1" x14ac:dyDescent="0.35">
      <c r="A507" s="94" t="str">
        <f ca="1"/>
        <v>S25V10883</v>
      </c>
      <c r="B507" s="94" t="str">
        <f ca="1"/>
        <v>PKEK25VE0010883A</v>
      </c>
      <c r="C507" s="94" t="str">
        <f ca="1"/>
        <v>BLUE MELANGE</v>
      </c>
      <c r="D507" s="94" t="str">
        <f ca="1"/>
        <v>468</v>
      </c>
      <c r="E507" s="94" t="str">
        <f ca="1"/>
        <v>FV012280101</v>
      </c>
      <c r="F507" s="94" t="str">
        <f ca="1"/>
        <v>C1600074</v>
      </c>
      <c r="G507" s="94" t="str">
        <f ca="1"/>
        <v>B</v>
      </c>
      <c r="H507" s="94" t="str">
        <f ca="1"/>
        <v>CF003128412</v>
      </c>
      <c r="I507" s="94" t="str">
        <f ca="1"/>
        <v>A</v>
      </c>
      <c r="J507" s="94">
        <f ca="1"/>
        <v>23.8</v>
      </c>
      <c r="K507" s="94"/>
      <c r="L507" s="94">
        <f ca="1"/>
        <v>77.17</v>
      </c>
      <c r="M507" s="94" t="str">
        <f ca="1"/>
        <v>63/65"</v>
      </c>
      <c r="N507" s="94">
        <f ca="1"/>
        <v>65</v>
      </c>
      <c r="O507" s="94" t="str">
        <f ca="1"/>
        <v/>
      </c>
      <c r="P507" s="95" t="str">
        <f ca="1"/>
        <v/>
      </c>
      <c r="Q507" s="95" t="str">
        <f ca="1"/>
        <v/>
      </c>
      <c r="R507" s="96">
        <f ca="1"/>
        <v>46108</v>
      </c>
    </row>
    <row r="508" spans="1:18" s="90" customFormat="1" ht="55" customHeight="1" x14ac:dyDescent="0.35">
      <c r="A508" s="94" t="str">
        <f ca="1"/>
        <v>S25V10883</v>
      </c>
      <c r="B508" s="94" t="str">
        <f ca="1"/>
        <v>PKEK25VE0010883A</v>
      </c>
      <c r="C508" s="94" t="str">
        <f ca="1"/>
        <v>BLUE MELANGE</v>
      </c>
      <c r="D508" s="94" t="str">
        <f ca="1"/>
        <v>468</v>
      </c>
      <c r="E508" s="94" t="str">
        <f ca="1"/>
        <v>FV012280101</v>
      </c>
      <c r="F508" s="94" t="str">
        <f ca="1"/>
        <v>C1600074</v>
      </c>
      <c r="G508" s="94" t="str">
        <f ca="1"/>
        <v>B</v>
      </c>
      <c r="H508" s="94" t="str">
        <f ca="1"/>
        <v>CF003128413</v>
      </c>
      <c r="I508" s="94" t="str">
        <f ca="1"/>
        <v>A</v>
      </c>
      <c r="J508" s="94">
        <f ca="1"/>
        <v>24.1</v>
      </c>
      <c r="K508" s="94"/>
      <c r="L508" s="94">
        <f ca="1"/>
        <v>79.34</v>
      </c>
      <c r="M508" s="94" t="str">
        <f ca="1"/>
        <v>63/65"</v>
      </c>
      <c r="N508" s="94">
        <f ca="1"/>
        <v>65</v>
      </c>
      <c r="O508" s="94" t="str">
        <f ca="1"/>
        <v>Hole (KN) [针织破洞]</v>
      </c>
      <c r="P508" s="95" t="str">
        <f ca="1"/>
        <v/>
      </c>
      <c r="Q508" s="95" t="str">
        <f ca="1"/>
        <v/>
      </c>
      <c r="R508" s="96">
        <f ca="1"/>
        <v>46108</v>
      </c>
    </row>
    <row r="509" spans="1:18" s="90" customFormat="1" ht="55" customHeight="1" x14ac:dyDescent="0.35">
      <c r="A509" s="94" t="str">
        <f ca="1"/>
        <v>S25V10883</v>
      </c>
      <c r="B509" s="94" t="str">
        <f ca="1"/>
        <v>PKEK25VE0010883A</v>
      </c>
      <c r="C509" s="94" t="str">
        <f ca="1"/>
        <v>BLUE MELANGE</v>
      </c>
      <c r="D509" s="94" t="str">
        <f ca="1"/>
        <v>468</v>
      </c>
      <c r="E509" s="94" t="str">
        <f ca="1"/>
        <v>FV012280101</v>
      </c>
      <c r="F509" s="94" t="str">
        <f ca="1"/>
        <v>C1600074</v>
      </c>
      <c r="G509" s="94" t="str">
        <f ca="1"/>
        <v>B</v>
      </c>
      <c r="H509" s="94" t="str">
        <f ca="1"/>
        <v>CF003128414</v>
      </c>
      <c r="I509" s="94" t="str">
        <f ca="1"/>
        <v>A</v>
      </c>
      <c r="J509" s="94">
        <f ca="1"/>
        <v>24.1</v>
      </c>
      <c r="K509" s="94"/>
      <c r="L509" s="94">
        <f ca="1"/>
        <v>78.14</v>
      </c>
      <c r="M509" s="94" t="str">
        <f ca="1"/>
        <v>63/65"</v>
      </c>
      <c r="N509" s="94">
        <f ca="1"/>
        <v>65</v>
      </c>
      <c r="O509" s="94" t="str">
        <f ca="1"/>
        <v>Dirt [针织污渍]</v>
      </c>
      <c r="P509" s="95" t="str">
        <f ca="1"/>
        <v/>
      </c>
      <c r="Q509" s="95" t="str">
        <f ca="1"/>
        <v/>
      </c>
      <c r="R509" s="96">
        <f ca="1"/>
        <v>46108</v>
      </c>
    </row>
    <row r="510" spans="1:18" s="90" customFormat="1" ht="55" customHeight="1" x14ac:dyDescent="0.35">
      <c r="A510" s="94" t="str">
        <f ca="1"/>
        <v>S25V10883</v>
      </c>
      <c r="B510" s="94" t="str">
        <f ca="1"/>
        <v>PKEK25VE0010883A</v>
      </c>
      <c r="C510" s="94" t="str">
        <f ca="1"/>
        <v>BERRY</v>
      </c>
      <c r="D510" s="94" t="str">
        <f ca="1"/>
        <v>652</v>
      </c>
      <c r="E510" s="94" t="str">
        <f ca="1"/>
        <v>FV012282602</v>
      </c>
      <c r="F510" s="94" t="str">
        <f ca="1"/>
        <v>C1500427</v>
      </c>
      <c r="G510" s="94" t="str">
        <f ca="1"/>
        <v>B</v>
      </c>
      <c r="H510" s="94" t="str">
        <f ca="1"/>
        <v>CF003128700</v>
      </c>
      <c r="I510" s="94" t="str">
        <f ca="1"/>
        <v>A</v>
      </c>
      <c r="J510" s="94">
        <f ca="1"/>
        <v>23.4</v>
      </c>
      <c r="K510" s="94"/>
      <c r="L510" s="94">
        <f ca="1"/>
        <v>84.45</v>
      </c>
      <c r="M510" s="94" t="str">
        <f ca="1"/>
        <v>63/65"</v>
      </c>
      <c r="N510" s="94">
        <f ca="1"/>
        <v>63</v>
      </c>
      <c r="O510" s="94" t="str">
        <f ca="1"/>
        <v>Broken Selvedge (FN) [FN烂边]</v>
      </c>
      <c r="P510" s="95" t="str">
        <f ca="1"/>
        <v/>
      </c>
      <c r="Q510" s="95" t="str">
        <f ca="1"/>
        <v/>
      </c>
      <c r="R510" s="96">
        <f ca="1"/>
        <v>46108</v>
      </c>
    </row>
    <row r="511" spans="1:18" s="90" customFormat="1" ht="55" customHeight="1" x14ac:dyDescent="0.35">
      <c r="A511" s="94" t="str">
        <f ca="1"/>
        <v>S25V10883</v>
      </c>
      <c r="B511" s="94" t="str">
        <f ca="1"/>
        <v>PKEK25VE0010883A</v>
      </c>
      <c r="C511" s="94" t="str">
        <f ca="1"/>
        <v>BERRY</v>
      </c>
      <c r="D511" s="94" t="str">
        <f ca="1"/>
        <v>652</v>
      </c>
      <c r="E511" s="94" t="str">
        <f ca="1"/>
        <v>FV012282602</v>
      </c>
      <c r="F511" s="94" t="str">
        <f ca="1"/>
        <v>C1500427</v>
      </c>
      <c r="G511" s="94" t="str">
        <f ca="1"/>
        <v>B</v>
      </c>
      <c r="H511" s="94" t="str">
        <f ca="1"/>
        <v>CF003128701</v>
      </c>
      <c r="I511" s="94" t="str">
        <f ca="1"/>
        <v>A</v>
      </c>
      <c r="J511" s="94">
        <f ca="1"/>
        <v>23.1</v>
      </c>
      <c r="K511" s="94"/>
      <c r="L511" s="94">
        <f ca="1"/>
        <v>83.37</v>
      </c>
      <c r="M511" s="94" t="str">
        <f ca="1"/>
        <v>63/65"</v>
      </c>
      <c r="N511" s="94">
        <f ca="1"/>
        <v>63</v>
      </c>
      <c r="O511" s="94" t="str">
        <f ca="1"/>
        <v>White mark [白印]</v>
      </c>
      <c r="P511" s="95" t="str">
        <f ca="1"/>
        <v/>
      </c>
      <c r="Q511" s="95" t="str">
        <f ca="1"/>
        <v/>
      </c>
      <c r="R511" s="96">
        <f ca="1"/>
        <v>46108</v>
      </c>
    </row>
    <row r="512" spans="1:18" s="90" customFormat="1" ht="55" customHeight="1" x14ac:dyDescent="0.35">
      <c r="A512" s="94" t="str">
        <f ca="1"/>
        <v>S25V10883</v>
      </c>
      <c r="B512" s="94" t="str">
        <f ca="1"/>
        <v>PKEK25VE0010883A</v>
      </c>
      <c r="C512" s="94" t="str">
        <f ca="1"/>
        <v>BERRY</v>
      </c>
      <c r="D512" s="94" t="str">
        <f ca="1"/>
        <v>652</v>
      </c>
      <c r="E512" s="94" t="str">
        <f ca="1"/>
        <v>FV012282602</v>
      </c>
      <c r="F512" s="94" t="str">
        <f ca="1"/>
        <v>C1500427</v>
      </c>
      <c r="G512" s="94" t="str">
        <f ca="1"/>
        <v>B</v>
      </c>
      <c r="H512" s="94" t="str">
        <f ca="1"/>
        <v>CF003128702</v>
      </c>
      <c r="I512" s="94" t="str">
        <f ca="1"/>
        <v>A</v>
      </c>
      <c r="J512" s="94">
        <f ca="1"/>
        <v>15.8</v>
      </c>
      <c r="K512" s="94"/>
      <c r="L512" s="94">
        <f ca="1"/>
        <v>57.02</v>
      </c>
      <c r="M512" s="94" t="str">
        <f ca="1"/>
        <v>63/65"</v>
      </c>
      <c r="N512" s="94">
        <f ca="1"/>
        <v>63</v>
      </c>
      <c r="O512" s="94" t="str">
        <f ca="1"/>
        <v>White mark [白印]</v>
      </c>
      <c r="P512" s="95" t="str">
        <f ca="1"/>
        <v/>
      </c>
      <c r="Q512" s="95" t="str">
        <f ca="1"/>
        <v/>
      </c>
      <c r="R512" s="96">
        <f ca="1"/>
        <v>46108</v>
      </c>
    </row>
    <row r="513" spans="1:18" s="90" customFormat="1" ht="55" customHeight="1" x14ac:dyDescent="0.35">
      <c r="A513" s="94" t="str">
        <f ca="1"/>
        <v>S25V10883</v>
      </c>
      <c r="B513" s="94" t="str">
        <f ca="1"/>
        <v>PKEK25VE0010883A</v>
      </c>
      <c r="C513" s="94" t="str">
        <f ca="1"/>
        <v>BERRY</v>
      </c>
      <c r="D513" s="94" t="str">
        <f ca="1"/>
        <v>652</v>
      </c>
      <c r="E513" s="94" t="str">
        <f ca="1"/>
        <v>FV012282602</v>
      </c>
      <c r="F513" s="94" t="str">
        <f ca="1"/>
        <v>C1500427</v>
      </c>
      <c r="G513" s="94" t="str">
        <f ca="1"/>
        <v>B</v>
      </c>
      <c r="H513" s="94" t="str">
        <f ca="1"/>
        <v>CF003128703</v>
      </c>
      <c r="I513" s="94" t="str">
        <f ca="1"/>
        <v>A</v>
      </c>
      <c r="J513" s="94">
        <f ca="1"/>
        <v>21.6</v>
      </c>
      <c r="K513" s="94"/>
      <c r="L513" s="94">
        <f ca="1"/>
        <v>77.959999999999994</v>
      </c>
      <c r="M513" s="94" t="str">
        <f ca="1"/>
        <v>63/65"</v>
      </c>
      <c r="N513" s="94">
        <f ca="1"/>
        <v>63</v>
      </c>
      <c r="O513" s="94" t="str">
        <f ca="1"/>
        <v>White mark [白印]</v>
      </c>
      <c r="P513" s="95" t="str">
        <f ca="1"/>
        <v/>
      </c>
      <c r="Q513" s="95" t="str">
        <f ca="1"/>
        <v/>
      </c>
      <c r="R513" s="96">
        <f ca="1"/>
        <v>46108</v>
      </c>
    </row>
    <row r="514" spans="1:18" s="90" customFormat="1" ht="55" customHeight="1" x14ac:dyDescent="0.35">
      <c r="A514" s="94" t="str">
        <f ca="1"/>
        <v>S25V10883</v>
      </c>
      <c r="B514" s="94" t="str">
        <f ca="1"/>
        <v>PKEK25VE0010883A</v>
      </c>
      <c r="C514" s="94" t="str">
        <f ca="1"/>
        <v>BERRY</v>
      </c>
      <c r="D514" s="94" t="str">
        <f ca="1"/>
        <v>652</v>
      </c>
      <c r="E514" s="94" t="str">
        <f ca="1"/>
        <v>FV012282602</v>
      </c>
      <c r="F514" s="94" t="str">
        <f ca="1"/>
        <v>C1500427</v>
      </c>
      <c r="G514" s="94" t="str">
        <f ca="1"/>
        <v>B</v>
      </c>
      <c r="H514" s="94" t="str">
        <f ca="1"/>
        <v>CF003128704</v>
      </c>
      <c r="I514" s="94" t="str">
        <f ca="1"/>
        <v>A</v>
      </c>
      <c r="J514" s="94">
        <f ca="1"/>
        <v>23.6</v>
      </c>
      <c r="K514" s="94"/>
      <c r="L514" s="94">
        <f ca="1"/>
        <v>85.18</v>
      </c>
      <c r="M514" s="94" t="str">
        <f ca="1"/>
        <v>63/65"</v>
      </c>
      <c r="N514" s="94">
        <f ca="1"/>
        <v>63</v>
      </c>
      <c r="O514" s="94" t="str">
        <f ca="1"/>
        <v>White mark [白印]</v>
      </c>
      <c r="P514" s="95" t="str">
        <f ca="1"/>
        <v/>
      </c>
      <c r="Q514" s="95" t="str">
        <f ca="1"/>
        <v/>
      </c>
      <c r="R514" s="96">
        <f ca="1"/>
        <v>46108</v>
      </c>
    </row>
    <row r="515" spans="1:18" s="90" customFormat="1" ht="55" customHeight="1" x14ac:dyDescent="0.35">
      <c r="A515" s="94" t="str">
        <f ca="1"/>
        <v>S25V10883</v>
      </c>
      <c r="B515" s="94" t="str">
        <f ca="1"/>
        <v>PKEK25VE0010883A</v>
      </c>
      <c r="C515" s="94" t="str">
        <f ca="1"/>
        <v>BERRY</v>
      </c>
      <c r="D515" s="94" t="str">
        <f ca="1"/>
        <v>652</v>
      </c>
      <c r="E515" s="94" t="str">
        <f ca="1"/>
        <v>FV012282602</v>
      </c>
      <c r="F515" s="94" t="str">
        <f ca="1"/>
        <v>C1500427</v>
      </c>
      <c r="G515" s="94" t="str">
        <f ca="1"/>
        <v>B</v>
      </c>
      <c r="H515" s="94" t="str">
        <f ca="1"/>
        <v>CF003128705</v>
      </c>
      <c r="I515" s="94" t="str">
        <f ca="1"/>
        <v>A</v>
      </c>
      <c r="J515" s="94">
        <f ca="1"/>
        <v>22.9</v>
      </c>
      <c r="K515" s="94"/>
      <c r="L515" s="94">
        <f ca="1"/>
        <v>82.65</v>
      </c>
      <c r="M515" s="94" t="str">
        <f ca="1"/>
        <v>63/65"</v>
      </c>
      <c r="N515" s="94">
        <f ca="1"/>
        <v>63</v>
      </c>
      <c r="O515" s="94" t="str">
        <f ca="1"/>
        <v>Friction Mark (PD) [匹染擦痕]</v>
      </c>
      <c r="P515" s="95" t="str">
        <f ca="1"/>
        <v/>
      </c>
      <c r="Q515" s="95" t="str">
        <f ca="1"/>
        <v/>
      </c>
      <c r="R515" s="96">
        <f ca="1"/>
        <v>46108</v>
      </c>
    </row>
    <row r="516" spans="1:18" s="90" customFormat="1" ht="55" customHeight="1" x14ac:dyDescent="0.35">
      <c r="A516" s="94" t="str">
        <f ca="1"/>
        <v>S25V10883</v>
      </c>
      <c r="B516" s="94" t="str">
        <f ca="1"/>
        <v>PKEK25VE0010883A</v>
      </c>
      <c r="C516" s="94" t="str">
        <f ca="1"/>
        <v>BERRY</v>
      </c>
      <c r="D516" s="94" t="str">
        <f ca="1"/>
        <v>652</v>
      </c>
      <c r="E516" s="94" t="str">
        <f ca="1"/>
        <v>FV012282602</v>
      </c>
      <c r="F516" s="94" t="str">
        <f ca="1"/>
        <v>C1500427</v>
      </c>
      <c r="G516" s="94" t="str">
        <f ca="1"/>
        <v>B</v>
      </c>
      <c r="H516" s="94" t="str">
        <f ca="1"/>
        <v>CF003128706</v>
      </c>
      <c r="I516" s="94" t="str">
        <f ca="1"/>
        <v>A</v>
      </c>
      <c r="J516" s="94">
        <f ca="1"/>
        <v>23.6</v>
      </c>
      <c r="K516" s="94"/>
      <c r="L516" s="94">
        <f ca="1"/>
        <v>85.18</v>
      </c>
      <c r="M516" s="94" t="str">
        <f ca="1"/>
        <v>63/65"</v>
      </c>
      <c r="N516" s="94">
        <f ca="1"/>
        <v>63</v>
      </c>
      <c r="O516" s="94" t="str">
        <f ca="1"/>
        <v>White mark [白印]</v>
      </c>
      <c r="P516" s="95" t="str">
        <f ca="1"/>
        <v/>
      </c>
      <c r="Q516" s="95" t="str">
        <f ca="1"/>
        <v/>
      </c>
      <c r="R516" s="96">
        <f ca="1"/>
        <v>46108</v>
      </c>
    </row>
    <row r="517" spans="1:18" s="90" customFormat="1" ht="55" customHeight="1" x14ac:dyDescent="0.35">
      <c r="A517" s="94" t="str">
        <f ca="1"/>
        <v>S25V10883</v>
      </c>
      <c r="B517" s="94" t="str">
        <f ca="1"/>
        <v>PKEK25VE0010883A</v>
      </c>
      <c r="C517" s="94" t="str">
        <f ca="1"/>
        <v>BERRY</v>
      </c>
      <c r="D517" s="94" t="str">
        <f ca="1"/>
        <v>652</v>
      </c>
      <c r="E517" s="94" t="str">
        <f ca="1"/>
        <v>FV012282602</v>
      </c>
      <c r="F517" s="94" t="str">
        <f ca="1"/>
        <v>C1500427</v>
      </c>
      <c r="G517" s="94" t="str">
        <f ca="1"/>
        <v>B</v>
      </c>
      <c r="H517" s="94" t="str">
        <f ca="1"/>
        <v>CF003128707</v>
      </c>
      <c r="I517" s="94" t="str">
        <f ca="1"/>
        <v>A</v>
      </c>
      <c r="J517" s="94">
        <f ca="1"/>
        <v>23.3</v>
      </c>
      <c r="K517" s="94"/>
      <c r="L517" s="94">
        <f ca="1"/>
        <v>84.09</v>
      </c>
      <c r="M517" s="94" t="str">
        <f ca="1"/>
        <v>63/65"</v>
      </c>
      <c r="N517" s="94">
        <f ca="1"/>
        <v>63</v>
      </c>
      <c r="O517" s="94" t="str">
        <f ca="1"/>
        <v>White mark [白印]</v>
      </c>
      <c r="P517" s="95" t="str">
        <f ca="1"/>
        <v/>
      </c>
      <c r="Q517" s="95" t="str">
        <f ca="1"/>
        <v/>
      </c>
      <c r="R517" s="96">
        <f ca="1"/>
        <v>46108</v>
      </c>
    </row>
    <row r="518" spans="1:18" s="90" customFormat="1" ht="55" customHeight="1" x14ac:dyDescent="0.35">
      <c r="A518" s="94" t="str">
        <f ca="1"/>
        <v>S25V10883</v>
      </c>
      <c r="B518" s="94" t="str">
        <f ca="1"/>
        <v>PKEK25VE0010883A</v>
      </c>
      <c r="C518" s="94" t="str">
        <f ca="1"/>
        <v>BERRY</v>
      </c>
      <c r="D518" s="94" t="str">
        <f ca="1"/>
        <v>652</v>
      </c>
      <c r="E518" s="94" t="str">
        <f ca="1"/>
        <v>FV012282602</v>
      </c>
      <c r="F518" s="94" t="str">
        <f ca="1"/>
        <v>C1500427</v>
      </c>
      <c r="G518" s="94" t="str">
        <f ca="1"/>
        <v>B</v>
      </c>
      <c r="H518" s="94" t="str">
        <f ca="1"/>
        <v>CF003128708</v>
      </c>
      <c r="I518" s="94" t="str">
        <f ca="1"/>
        <v>A</v>
      </c>
      <c r="J518" s="94">
        <f ca="1"/>
        <v>23.1</v>
      </c>
      <c r="K518" s="94"/>
      <c r="L518" s="94">
        <f ca="1"/>
        <v>83.37</v>
      </c>
      <c r="M518" s="94" t="str">
        <f ca="1"/>
        <v>63/65"</v>
      </c>
      <c r="N518" s="94">
        <f ca="1"/>
        <v>63</v>
      </c>
      <c r="O518" s="94" t="str">
        <f ca="1"/>
        <v>White mark [白印]</v>
      </c>
      <c r="P518" s="95" t="str">
        <f ca="1"/>
        <v/>
      </c>
      <c r="Q518" s="95" t="str">
        <f ca="1"/>
        <v/>
      </c>
      <c r="R518" s="96">
        <f ca="1"/>
        <v>46108</v>
      </c>
    </row>
    <row r="519" spans="1:18" s="90" customFormat="1" ht="55" customHeight="1" x14ac:dyDescent="0.35">
      <c r="A519" s="94" t="str">
        <f ca="1"/>
        <v>S25V10883</v>
      </c>
      <c r="B519" s="94" t="str">
        <f ca="1"/>
        <v>PKEK25VE0010883A</v>
      </c>
      <c r="C519" s="94" t="str">
        <f ca="1"/>
        <v>BERRY</v>
      </c>
      <c r="D519" s="94" t="str">
        <f ca="1"/>
        <v>652</v>
      </c>
      <c r="E519" s="94" t="str">
        <f ca="1"/>
        <v>FV012282602</v>
      </c>
      <c r="F519" s="94" t="str">
        <f ca="1"/>
        <v>C1500427</v>
      </c>
      <c r="G519" s="94" t="str">
        <f ca="1"/>
        <v>B</v>
      </c>
      <c r="H519" s="94" t="str">
        <f ca="1"/>
        <v>CF003128709</v>
      </c>
      <c r="I519" s="94" t="str">
        <f ca="1"/>
        <v>A</v>
      </c>
      <c r="J519" s="94">
        <f ca="1"/>
        <v>23.1</v>
      </c>
      <c r="K519" s="94"/>
      <c r="L519" s="94">
        <f ca="1"/>
        <v>83.37</v>
      </c>
      <c r="M519" s="94" t="str">
        <f ca="1"/>
        <v>63/65"</v>
      </c>
      <c r="N519" s="94">
        <f ca="1"/>
        <v>63</v>
      </c>
      <c r="O519" s="94" t="str">
        <f ca="1"/>
        <v>White mark [白印]</v>
      </c>
      <c r="P519" s="95" t="str">
        <f ca="1"/>
        <v/>
      </c>
      <c r="Q519" s="95" t="str">
        <f ca="1"/>
        <v/>
      </c>
      <c r="R519" s="96">
        <f ca="1"/>
        <v>46108</v>
      </c>
    </row>
    <row r="520" spans="1:18" s="90" customFormat="1" ht="55" customHeight="1" x14ac:dyDescent="0.35">
      <c r="A520" s="94" t="str">
        <f ca="1"/>
        <v>S25V10883</v>
      </c>
      <c r="B520" s="94" t="str">
        <f ca="1"/>
        <v>PKEK25VE0010883A</v>
      </c>
      <c r="C520" s="94" t="str">
        <f ca="1"/>
        <v>BERRY</v>
      </c>
      <c r="D520" s="94" t="str">
        <f ca="1"/>
        <v>652</v>
      </c>
      <c r="E520" s="94" t="str">
        <f ca="1"/>
        <v>FV012282602</v>
      </c>
      <c r="F520" s="94" t="str">
        <f ca="1"/>
        <v>C1500427</v>
      </c>
      <c r="G520" s="94" t="str">
        <f ca="1"/>
        <v>B</v>
      </c>
      <c r="H520" s="94" t="str">
        <f ca="1"/>
        <v>CF003128710</v>
      </c>
      <c r="I520" s="94" t="str">
        <f ca="1"/>
        <v>A</v>
      </c>
      <c r="J520" s="94">
        <f ca="1"/>
        <v>23.6</v>
      </c>
      <c r="K520" s="94"/>
      <c r="L520" s="94">
        <f ca="1"/>
        <v>85.18</v>
      </c>
      <c r="M520" s="94" t="str">
        <f ca="1"/>
        <v>63/65"</v>
      </c>
      <c r="N520" s="94">
        <f ca="1"/>
        <v>63</v>
      </c>
      <c r="O520" s="94" t="str">
        <f ca="1"/>
        <v>Friction Mark (PD) [匹染擦痕]</v>
      </c>
      <c r="P520" s="95" t="str">
        <f ca="1"/>
        <v/>
      </c>
      <c r="Q520" s="95" t="str">
        <f ca="1"/>
        <v/>
      </c>
      <c r="R520" s="96">
        <f ca="1"/>
        <v>46108</v>
      </c>
    </row>
    <row r="521" spans="1:18" s="90" customFormat="1" ht="55" customHeight="1" x14ac:dyDescent="0.35">
      <c r="A521" s="94" t="str">
        <f ca="1"/>
        <v>S25V10883</v>
      </c>
      <c r="B521" s="94" t="str">
        <f ca="1"/>
        <v>PKEK25VE0010883A</v>
      </c>
      <c r="C521" s="94" t="str">
        <f ca="1"/>
        <v>BERRY</v>
      </c>
      <c r="D521" s="94" t="str">
        <f ca="1"/>
        <v>652</v>
      </c>
      <c r="E521" s="94" t="str">
        <f ca="1"/>
        <v>FV012282602</v>
      </c>
      <c r="F521" s="94" t="str">
        <f ca="1"/>
        <v>C1500427</v>
      </c>
      <c r="G521" s="94" t="str">
        <f ca="1"/>
        <v>B</v>
      </c>
      <c r="H521" s="94" t="str">
        <f ca="1"/>
        <v>CF003128711</v>
      </c>
      <c r="I521" s="94" t="str">
        <f ca="1"/>
        <v>A</v>
      </c>
      <c r="J521" s="94">
        <f ca="1"/>
        <v>15.8</v>
      </c>
      <c r="K521" s="94"/>
      <c r="L521" s="94">
        <f ca="1"/>
        <v>57.02</v>
      </c>
      <c r="M521" s="94" t="str">
        <f ca="1"/>
        <v>63/65"</v>
      </c>
      <c r="N521" s="94">
        <f ca="1"/>
        <v>63</v>
      </c>
      <c r="O521" s="94" t="str">
        <f ca="1"/>
        <v/>
      </c>
      <c r="P521" s="95" t="str">
        <f ca="1"/>
        <v/>
      </c>
      <c r="Q521" s="95" t="str">
        <f ca="1"/>
        <v/>
      </c>
      <c r="R521" s="96">
        <f ca="1"/>
        <v>46108</v>
      </c>
    </row>
    <row r="522" spans="1:18" s="90" customFormat="1" ht="55" customHeight="1" x14ac:dyDescent="0.35">
      <c r="A522" s="94" t="str">
        <f ca="1"/>
        <v>S25V10883</v>
      </c>
      <c r="B522" s="94" t="str">
        <f ca="1"/>
        <v>PKEK25VE0010883A</v>
      </c>
      <c r="C522" s="94" t="str">
        <f ca="1"/>
        <v>BERRY</v>
      </c>
      <c r="D522" s="94" t="str">
        <f ca="1"/>
        <v>652</v>
      </c>
      <c r="E522" s="94" t="str">
        <f ca="1"/>
        <v>FV012282602</v>
      </c>
      <c r="F522" s="94" t="str">
        <f ca="1"/>
        <v>C1500427</v>
      </c>
      <c r="G522" s="94" t="str">
        <f ca="1"/>
        <v>B</v>
      </c>
      <c r="H522" s="94" t="str">
        <f ca="1"/>
        <v>CF003128712</v>
      </c>
      <c r="I522" s="94" t="str">
        <f ca="1"/>
        <v>A</v>
      </c>
      <c r="J522" s="94">
        <f ca="1"/>
        <v>23.3</v>
      </c>
      <c r="K522" s="94"/>
      <c r="L522" s="94">
        <f ca="1"/>
        <v>84.09</v>
      </c>
      <c r="M522" s="94" t="str">
        <f ca="1"/>
        <v>63/65"</v>
      </c>
      <c r="N522" s="94">
        <f ca="1"/>
        <v>63</v>
      </c>
      <c r="O522" s="94" t="str">
        <f ca="1"/>
        <v>White mark [白印]</v>
      </c>
      <c r="P522" s="95" t="str">
        <f ca="1"/>
        <v/>
      </c>
      <c r="Q522" s="95" t="str">
        <f ca="1"/>
        <v/>
      </c>
      <c r="R522" s="96">
        <f ca="1"/>
        <v>46108</v>
      </c>
    </row>
    <row r="523" spans="1:18" s="90" customFormat="1" ht="55" customHeight="1" x14ac:dyDescent="0.35">
      <c r="A523" s="94" t="str">
        <f ca="1"/>
        <v>S25V10883</v>
      </c>
      <c r="B523" s="94" t="str">
        <f ca="1"/>
        <v>PKEK25VE0010883A</v>
      </c>
      <c r="C523" s="94" t="str">
        <f ca="1"/>
        <v>BERRY</v>
      </c>
      <c r="D523" s="94" t="str">
        <f ca="1"/>
        <v>652</v>
      </c>
      <c r="E523" s="94" t="str">
        <f ca="1"/>
        <v>FV012282602</v>
      </c>
      <c r="F523" s="94" t="str">
        <f ca="1"/>
        <v>C1500427</v>
      </c>
      <c r="G523" s="94" t="str">
        <f ca="1"/>
        <v>B</v>
      </c>
      <c r="H523" s="94" t="str">
        <f ca="1"/>
        <v>CF003128713</v>
      </c>
      <c r="I523" s="94" t="str">
        <f ca="1"/>
        <v>A</v>
      </c>
      <c r="J523" s="94">
        <f ca="1"/>
        <v>23.3</v>
      </c>
      <c r="K523" s="94"/>
      <c r="L523" s="94">
        <f ca="1"/>
        <v>84.09</v>
      </c>
      <c r="M523" s="94" t="str">
        <f ca="1"/>
        <v>63/65"</v>
      </c>
      <c r="N523" s="94">
        <f ca="1"/>
        <v>63</v>
      </c>
      <c r="O523" s="94" t="str">
        <f ca="1"/>
        <v>White mark [白印]</v>
      </c>
      <c r="P523" s="95" t="str">
        <f ca="1"/>
        <v/>
      </c>
      <c r="Q523" s="95" t="str">
        <f ca="1"/>
        <v/>
      </c>
      <c r="R523" s="96">
        <f ca="1"/>
        <v>46108</v>
      </c>
    </row>
    <row r="524" spans="1:18" s="90" customFormat="1" ht="55" customHeight="1" x14ac:dyDescent="0.35">
      <c r="A524" s="94" t="str">
        <f ca="1"/>
        <v>S25V10883</v>
      </c>
      <c r="B524" s="94" t="str">
        <f ca="1"/>
        <v>PKEK25VE0010883A</v>
      </c>
      <c r="C524" s="94" t="str">
        <f ca="1"/>
        <v>BERRY</v>
      </c>
      <c r="D524" s="94" t="str">
        <f ca="1"/>
        <v>652</v>
      </c>
      <c r="E524" s="94" t="str">
        <f ca="1"/>
        <v>FV012282602</v>
      </c>
      <c r="F524" s="94" t="str">
        <f ca="1"/>
        <v>C1500427</v>
      </c>
      <c r="G524" s="94" t="str">
        <f ca="1"/>
        <v>B</v>
      </c>
      <c r="H524" s="94" t="str">
        <f ca="1"/>
        <v>CF003128714</v>
      </c>
      <c r="I524" s="94" t="str">
        <f ca="1"/>
        <v>A</v>
      </c>
      <c r="J524" s="94">
        <f ca="1"/>
        <v>23.4</v>
      </c>
      <c r="K524" s="94"/>
      <c r="L524" s="94">
        <f ca="1"/>
        <v>84.45</v>
      </c>
      <c r="M524" s="94" t="str">
        <f ca="1"/>
        <v>63/65"</v>
      </c>
      <c r="N524" s="94">
        <f ca="1"/>
        <v>63</v>
      </c>
      <c r="O524" s="94" t="str">
        <f ca="1"/>
        <v>White mark [白印]</v>
      </c>
      <c r="P524" s="95" t="str">
        <f ca="1"/>
        <v/>
      </c>
      <c r="Q524" s="95" t="str">
        <f ca="1"/>
        <v/>
      </c>
      <c r="R524" s="96">
        <f ca="1"/>
        <v>46108</v>
      </c>
    </row>
    <row r="525" spans="1:18" s="90" customFormat="1" ht="55" customHeight="1" x14ac:dyDescent="0.35">
      <c r="A525" s="94" t="str">
        <f ca="1"/>
        <v>S25V10883</v>
      </c>
      <c r="B525" s="94" t="str">
        <f ca="1"/>
        <v>PKEK25VE0010883A</v>
      </c>
      <c r="C525" s="94" t="str">
        <f ca="1"/>
        <v>BERRY</v>
      </c>
      <c r="D525" s="94" t="str">
        <f ca="1"/>
        <v>652</v>
      </c>
      <c r="E525" s="94" t="str">
        <f ca="1"/>
        <v>FV012282602</v>
      </c>
      <c r="F525" s="94" t="str">
        <f ca="1"/>
        <v>C1500427</v>
      </c>
      <c r="G525" s="94" t="str">
        <f ca="1"/>
        <v>B</v>
      </c>
      <c r="H525" s="94" t="str">
        <f ca="1"/>
        <v>CF003128715</v>
      </c>
      <c r="I525" s="94" t="str">
        <f ca="1"/>
        <v>A</v>
      </c>
      <c r="J525" s="94">
        <f ca="1"/>
        <v>23.3</v>
      </c>
      <c r="K525" s="94"/>
      <c r="L525" s="94">
        <f ca="1"/>
        <v>84.09</v>
      </c>
      <c r="M525" s="94" t="str">
        <f ca="1"/>
        <v>63/65"</v>
      </c>
      <c r="N525" s="94">
        <f ca="1"/>
        <v>63</v>
      </c>
      <c r="O525" s="94" t="str">
        <f ca="1"/>
        <v>White mark [白印]</v>
      </c>
      <c r="P525" s="95" t="str">
        <f ca="1"/>
        <v/>
      </c>
      <c r="Q525" s="95" t="str">
        <f ca="1"/>
        <v/>
      </c>
      <c r="R525" s="96">
        <f ca="1"/>
        <v>46108</v>
      </c>
    </row>
    <row r="526" spans="1:18" s="90" customFormat="1" ht="55" customHeight="1" x14ac:dyDescent="0.35">
      <c r="A526" s="94" t="str">
        <f ca="1"/>
        <v>S25V10883</v>
      </c>
      <c r="B526" s="94" t="str">
        <f ca="1"/>
        <v>PKEK25VE0010883A</v>
      </c>
      <c r="C526" s="94" t="str">
        <f ca="1"/>
        <v>BERRY</v>
      </c>
      <c r="D526" s="94" t="str">
        <f ca="1"/>
        <v>652</v>
      </c>
      <c r="E526" s="94" t="str">
        <f ca="1"/>
        <v>FV012282602</v>
      </c>
      <c r="F526" s="94" t="str">
        <f ca="1"/>
        <v>C1500427</v>
      </c>
      <c r="G526" s="94" t="str">
        <f ca="1"/>
        <v>B</v>
      </c>
      <c r="H526" s="94" t="str">
        <f ca="1"/>
        <v>CF003128716</v>
      </c>
      <c r="I526" s="94" t="str">
        <f ca="1"/>
        <v>A</v>
      </c>
      <c r="J526" s="94">
        <f ca="1"/>
        <v>23.3</v>
      </c>
      <c r="K526" s="94"/>
      <c r="L526" s="94">
        <f ca="1"/>
        <v>84.09</v>
      </c>
      <c r="M526" s="94" t="str">
        <f ca="1"/>
        <v>63/65"</v>
      </c>
      <c r="N526" s="94">
        <f ca="1"/>
        <v>63</v>
      </c>
      <c r="O526" s="94" t="str">
        <f ca="1"/>
        <v>White mark [白印]</v>
      </c>
      <c r="P526" s="95" t="str">
        <f ca="1"/>
        <v/>
      </c>
      <c r="Q526" s="95" t="str">
        <f ca="1"/>
        <v/>
      </c>
      <c r="R526" s="96">
        <f ca="1"/>
        <v>46108</v>
      </c>
    </row>
    <row r="527" spans="1:18" s="90" customFormat="1" ht="55" customHeight="1" x14ac:dyDescent="0.35">
      <c r="A527" s="94" t="str">
        <f ca="1"/>
        <v>S25V10883</v>
      </c>
      <c r="B527" s="94" t="str">
        <f ca="1"/>
        <v>PKEK25VE0010883A</v>
      </c>
      <c r="C527" s="94" t="str">
        <f ca="1"/>
        <v>BERRY</v>
      </c>
      <c r="D527" s="94" t="str">
        <f ca="1"/>
        <v>652</v>
      </c>
      <c r="E527" s="94" t="str">
        <f ca="1"/>
        <v>FV012282602</v>
      </c>
      <c r="F527" s="94" t="str">
        <f ca="1"/>
        <v>C1500427</v>
      </c>
      <c r="G527" s="94" t="str">
        <f ca="1"/>
        <v>B</v>
      </c>
      <c r="H527" s="94" t="str">
        <f ca="1"/>
        <v>CF003128717</v>
      </c>
      <c r="I527" s="94" t="str">
        <f ca="1"/>
        <v>A</v>
      </c>
      <c r="J527" s="94">
        <f ca="1"/>
        <v>23.3</v>
      </c>
      <c r="K527" s="94"/>
      <c r="L527" s="94">
        <f ca="1"/>
        <v>84.09</v>
      </c>
      <c r="M527" s="94" t="str">
        <f ca="1"/>
        <v>63/65"</v>
      </c>
      <c r="N527" s="94">
        <f ca="1"/>
        <v>63</v>
      </c>
      <c r="O527" s="94" t="str">
        <f ca="1"/>
        <v>White mark [白印]</v>
      </c>
      <c r="P527" s="95" t="str">
        <f ca="1"/>
        <v/>
      </c>
      <c r="Q527" s="95" t="str">
        <f ca="1"/>
        <v/>
      </c>
      <c r="R527" s="96">
        <f ca="1"/>
        <v>46108</v>
      </c>
    </row>
    <row r="528" spans="1:18" s="90" customFormat="1" ht="55" customHeight="1" x14ac:dyDescent="0.35">
      <c r="A528" s="94" t="str">
        <f ca="1"/>
        <v>S25V10883</v>
      </c>
      <c r="B528" s="94" t="str">
        <f ca="1"/>
        <v>PKEK25VE0010883A</v>
      </c>
      <c r="C528" s="94" t="str">
        <f ca="1"/>
        <v>BERRY</v>
      </c>
      <c r="D528" s="94" t="str">
        <f ca="1"/>
        <v>652</v>
      </c>
      <c r="E528" s="94" t="str">
        <f ca="1"/>
        <v>FV012282602</v>
      </c>
      <c r="F528" s="94" t="str">
        <f ca="1"/>
        <v>C1500427</v>
      </c>
      <c r="G528" s="94" t="str">
        <f ca="1"/>
        <v>B</v>
      </c>
      <c r="H528" s="94" t="str">
        <f ca="1"/>
        <v>CF003128718</v>
      </c>
      <c r="I528" s="94" t="str">
        <f ca="1"/>
        <v>A</v>
      </c>
      <c r="J528" s="94">
        <f ca="1"/>
        <v>23.3</v>
      </c>
      <c r="K528" s="94"/>
      <c r="L528" s="94">
        <f ca="1"/>
        <v>84.09</v>
      </c>
      <c r="M528" s="94" t="str">
        <f ca="1"/>
        <v>63/65"</v>
      </c>
      <c r="N528" s="94">
        <f ca="1"/>
        <v>63</v>
      </c>
      <c r="O528" s="94" t="str">
        <f ca="1"/>
        <v>White mark [白印]</v>
      </c>
      <c r="P528" s="95" t="str">
        <f ca="1"/>
        <v/>
      </c>
      <c r="Q528" s="95" t="str">
        <f ca="1"/>
        <v/>
      </c>
      <c r="R528" s="96">
        <f ca="1"/>
        <v>46108</v>
      </c>
    </row>
    <row r="529" spans="1:18" s="90" customFormat="1" ht="55" customHeight="1" x14ac:dyDescent="0.35">
      <c r="A529" s="94" t="str">
        <f ca="1"/>
        <v>S25V10883</v>
      </c>
      <c r="B529" s="94" t="str">
        <f ca="1"/>
        <v>PKEK25VE0010883A</v>
      </c>
      <c r="C529" s="94" t="str">
        <f ca="1"/>
        <v>BERRY</v>
      </c>
      <c r="D529" s="94" t="str">
        <f ca="1"/>
        <v>652</v>
      </c>
      <c r="E529" s="94" t="str">
        <f ca="1"/>
        <v>FV012282602</v>
      </c>
      <c r="F529" s="94" t="str">
        <f ca="1"/>
        <v>C1500427</v>
      </c>
      <c r="G529" s="94" t="str">
        <f ca="1"/>
        <v>B</v>
      </c>
      <c r="H529" s="94" t="str">
        <f ca="1"/>
        <v>CF003128719</v>
      </c>
      <c r="I529" s="94" t="str">
        <f ca="1"/>
        <v>A</v>
      </c>
      <c r="J529" s="94">
        <f ca="1"/>
        <v>24.6</v>
      </c>
      <c r="K529" s="94"/>
      <c r="L529" s="94">
        <f ca="1"/>
        <v>88.79</v>
      </c>
      <c r="M529" s="94" t="str">
        <f ca="1"/>
        <v>63/65"</v>
      </c>
      <c r="N529" s="94">
        <f ca="1"/>
        <v>63</v>
      </c>
      <c r="O529" s="94" t="str">
        <f ca="1"/>
        <v>White mark [白印]</v>
      </c>
      <c r="P529" s="95" t="str">
        <f ca="1"/>
        <v/>
      </c>
      <c r="Q529" s="95" t="str">
        <f ca="1"/>
        <v/>
      </c>
      <c r="R529" s="96">
        <f ca="1"/>
        <v>46108</v>
      </c>
    </row>
    <row r="530" spans="1:18" s="90" customFormat="1" ht="55" customHeight="1" x14ac:dyDescent="0.35">
      <c r="A530" s="94" t="str">
        <f ca="1"/>
        <v>S25V10883</v>
      </c>
      <c r="B530" s="94" t="str">
        <f ca="1"/>
        <v>PKEK25VE0010883A</v>
      </c>
      <c r="C530" s="94" t="str">
        <f ca="1"/>
        <v>BERRY</v>
      </c>
      <c r="D530" s="94" t="str">
        <f ca="1"/>
        <v>652</v>
      </c>
      <c r="E530" s="94" t="str">
        <f ca="1"/>
        <v>FV012282602</v>
      </c>
      <c r="F530" s="94" t="str">
        <f ca="1"/>
        <v>C1500427</v>
      </c>
      <c r="G530" s="94" t="str">
        <f ca="1"/>
        <v>B</v>
      </c>
      <c r="H530" s="94" t="str">
        <f ca="1"/>
        <v>CF003128720</v>
      </c>
      <c r="I530" s="94" t="str">
        <f ca="1"/>
        <v>A</v>
      </c>
      <c r="J530" s="94">
        <f ca="1"/>
        <v>23.7</v>
      </c>
      <c r="K530" s="94"/>
      <c r="L530" s="94">
        <f ca="1"/>
        <v>85.54</v>
      </c>
      <c r="M530" s="94" t="str">
        <f ca="1"/>
        <v>63/65"</v>
      </c>
      <c r="N530" s="94">
        <f ca="1"/>
        <v>63</v>
      </c>
      <c r="O530" s="94" t="str">
        <f ca="1"/>
        <v>White mark [白印]</v>
      </c>
      <c r="P530" s="95" t="str">
        <f ca="1"/>
        <v/>
      </c>
      <c r="Q530" s="95" t="str">
        <f ca="1"/>
        <v/>
      </c>
      <c r="R530" s="96">
        <f ca="1"/>
        <v>46108</v>
      </c>
    </row>
    <row r="531" spans="1:18" s="90" customFormat="1" ht="55" customHeight="1" x14ac:dyDescent="0.35">
      <c r="A531" s="94" t="str">
        <f ca="1"/>
        <v>S25V10883</v>
      </c>
      <c r="B531" s="94" t="str">
        <f ca="1"/>
        <v>PKEK25VE0010883A</v>
      </c>
      <c r="C531" s="94" t="str">
        <f ca="1"/>
        <v>BERRY</v>
      </c>
      <c r="D531" s="94" t="str">
        <f ca="1"/>
        <v>652</v>
      </c>
      <c r="E531" s="94" t="str">
        <f ca="1"/>
        <v>FV012282602</v>
      </c>
      <c r="F531" s="94" t="str">
        <f ca="1"/>
        <v>C1500427</v>
      </c>
      <c r="G531" s="94" t="str">
        <f ca="1"/>
        <v>B</v>
      </c>
      <c r="H531" s="94" t="str">
        <f ca="1"/>
        <v>CF003128721</v>
      </c>
      <c r="I531" s="94" t="str">
        <f ca="1"/>
        <v>A</v>
      </c>
      <c r="J531" s="94">
        <f ca="1"/>
        <v>22.8</v>
      </c>
      <c r="K531" s="94"/>
      <c r="L531" s="94">
        <f ca="1"/>
        <v>82.29</v>
      </c>
      <c r="M531" s="94" t="str">
        <f ca="1"/>
        <v>63/65"</v>
      </c>
      <c r="N531" s="94">
        <f ca="1"/>
        <v>63</v>
      </c>
      <c r="O531" s="94" t="str">
        <f ca="1"/>
        <v>White mark [白印]</v>
      </c>
      <c r="P531" s="95" t="str">
        <f ca="1"/>
        <v/>
      </c>
      <c r="Q531" s="95" t="str">
        <f ca="1"/>
        <v/>
      </c>
      <c r="R531" s="96">
        <f ca="1"/>
        <v>46108</v>
      </c>
    </row>
    <row r="532" spans="1:18" s="90" customFormat="1" ht="55" customHeight="1" x14ac:dyDescent="0.35">
      <c r="A532" s="94" t="str">
        <f ca="1"/>
        <v>S25V10883</v>
      </c>
      <c r="B532" s="94" t="str">
        <f ca="1"/>
        <v>PKEK25VE0010883A</v>
      </c>
      <c r="C532" s="94" t="str">
        <f ca="1"/>
        <v>BERRY</v>
      </c>
      <c r="D532" s="94" t="str">
        <f ca="1"/>
        <v>652</v>
      </c>
      <c r="E532" s="94" t="str">
        <f ca="1"/>
        <v>FV012282602</v>
      </c>
      <c r="F532" s="94" t="str">
        <f ca="1"/>
        <v>C1500427</v>
      </c>
      <c r="G532" s="94" t="str">
        <f ca="1"/>
        <v>B</v>
      </c>
      <c r="H532" s="94" t="str">
        <f ca="1"/>
        <v>CF003128722</v>
      </c>
      <c r="I532" s="94" t="str">
        <f ca="1"/>
        <v>A</v>
      </c>
      <c r="J532" s="94">
        <f ca="1"/>
        <v>22.9</v>
      </c>
      <c r="K532" s="94"/>
      <c r="L532" s="94">
        <f ca="1"/>
        <v>82.65</v>
      </c>
      <c r="M532" s="94" t="str">
        <f ca="1"/>
        <v>63/65"</v>
      </c>
      <c r="N532" s="94">
        <f ca="1"/>
        <v>63</v>
      </c>
      <c r="O532" s="94" t="str">
        <f ca="1"/>
        <v>White mark [白印]</v>
      </c>
      <c r="P532" s="95" t="str">
        <f ca="1"/>
        <v/>
      </c>
      <c r="Q532" s="95" t="str">
        <f ca="1"/>
        <v/>
      </c>
      <c r="R532" s="96">
        <f ca="1"/>
        <v>46108</v>
      </c>
    </row>
    <row r="533" spans="1:18" s="90" customFormat="1" ht="55" customHeight="1" x14ac:dyDescent="0.35">
      <c r="A533" s="94" t="str">
        <f ca="1"/>
        <v>S25V10883</v>
      </c>
      <c r="B533" s="94" t="str">
        <f ca="1"/>
        <v>PKEK25VE0010883A</v>
      </c>
      <c r="C533" s="94" t="str">
        <f ca="1"/>
        <v>BERRY</v>
      </c>
      <c r="D533" s="94" t="str">
        <f ca="1"/>
        <v>652</v>
      </c>
      <c r="E533" s="94" t="str">
        <f ca="1"/>
        <v>FV012282602</v>
      </c>
      <c r="F533" s="94" t="str">
        <f ca="1"/>
        <v>C1500427</v>
      </c>
      <c r="G533" s="94" t="str">
        <f ca="1"/>
        <v>B</v>
      </c>
      <c r="H533" s="94" t="str">
        <f ca="1"/>
        <v>CF003128723</v>
      </c>
      <c r="I533" s="94" t="str">
        <f ca="1"/>
        <v>A</v>
      </c>
      <c r="J533" s="94">
        <f ca="1"/>
        <v>23.3</v>
      </c>
      <c r="K533" s="94"/>
      <c r="L533" s="94">
        <f ca="1"/>
        <v>84.09</v>
      </c>
      <c r="M533" s="94" t="str">
        <f ca="1"/>
        <v>63/65"</v>
      </c>
      <c r="N533" s="94">
        <f ca="1"/>
        <v>63</v>
      </c>
      <c r="O533" s="94" t="str">
        <f ca="1"/>
        <v>Color Mark (PD) [PD沾色]</v>
      </c>
      <c r="P533" s="95" t="str">
        <f ca="1"/>
        <v/>
      </c>
      <c r="Q533" s="95" t="str">
        <f ca="1"/>
        <v/>
      </c>
      <c r="R533" s="96">
        <f ca="1"/>
        <v>46108</v>
      </c>
    </row>
    <row r="534" spans="1:18" s="90" customFormat="1" ht="55" customHeight="1" x14ac:dyDescent="0.35">
      <c r="A534" s="94" t="str">
        <f ca="1"/>
        <v>S25V10883</v>
      </c>
      <c r="B534" s="94" t="str">
        <f ca="1"/>
        <v>PKEK25VE0010883A</v>
      </c>
      <c r="C534" s="94" t="str">
        <f ca="1"/>
        <v>BERRY</v>
      </c>
      <c r="D534" s="94" t="str">
        <f ca="1"/>
        <v>652</v>
      </c>
      <c r="E534" s="94" t="str">
        <f ca="1"/>
        <v>FV012282602</v>
      </c>
      <c r="F534" s="94" t="str">
        <f ca="1"/>
        <v>C1500427</v>
      </c>
      <c r="G534" s="94" t="str">
        <f ca="1"/>
        <v>B</v>
      </c>
      <c r="H534" s="94" t="str">
        <f ca="1"/>
        <v>CF003128724</v>
      </c>
      <c r="I534" s="94" t="str">
        <f ca="1"/>
        <v>A</v>
      </c>
      <c r="J534" s="94">
        <f ca="1"/>
        <v>23.5</v>
      </c>
      <c r="K534" s="94"/>
      <c r="L534" s="94">
        <f ca="1"/>
        <v>84.82</v>
      </c>
      <c r="M534" s="94" t="str">
        <f ca="1"/>
        <v>63/65"</v>
      </c>
      <c r="N534" s="94">
        <f ca="1"/>
        <v>63</v>
      </c>
      <c r="O534" s="94" t="str">
        <f ca="1"/>
        <v>White mark [白印]</v>
      </c>
      <c r="P534" s="95" t="str">
        <f ca="1"/>
        <v/>
      </c>
      <c r="Q534" s="95" t="str">
        <f ca="1"/>
        <v/>
      </c>
      <c r="R534" s="96">
        <f ca="1"/>
        <v>46108</v>
      </c>
    </row>
    <row r="535" spans="1:18" s="90" customFormat="1" ht="55" customHeight="1" x14ac:dyDescent="0.35">
      <c r="A535" s="94" t="str">
        <f ca="1"/>
        <v>S25V10883</v>
      </c>
      <c r="B535" s="94" t="str">
        <f ca="1"/>
        <v>PKEK25VE0010883A</v>
      </c>
      <c r="C535" s="94" t="str">
        <f ca="1"/>
        <v>BERRY</v>
      </c>
      <c r="D535" s="94" t="str">
        <f ca="1"/>
        <v>652</v>
      </c>
      <c r="E535" s="94" t="str">
        <f ca="1"/>
        <v>FV012282602</v>
      </c>
      <c r="F535" s="94" t="str">
        <f ca="1"/>
        <v>C1500427</v>
      </c>
      <c r="G535" s="94" t="str">
        <f ca="1"/>
        <v>B</v>
      </c>
      <c r="H535" s="94" t="str">
        <f ca="1"/>
        <v>CF003128725</v>
      </c>
      <c r="I535" s="94" t="str">
        <f ca="1"/>
        <v>A</v>
      </c>
      <c r="J535" s="94">
        <f ca="1"/>
        <v>23.3</v>
      </c>
      <c r="K535" s="94"/>
      <c r="L535" s="94">
        <f ca="1"/>
        <v>84.09</v>
      </c>
      <c r="M535" s="94" t="str">
        <f ca="1"/>
        <v>63/65"</v>
      </c>
      <c r="N535" s="94">
        <f ca="1"/>
        <v>63</v>
      </c>
      <c r="O535" s="94" t="str">
        <f ca="1"/>
        <v>Hole (KN) [针织破洞]</v>
      </c>
      <c r="P535" s="95" t="str">
        <f ca="1"/>
        <v/>
      </c>
      <c r="Q535" s="95" t="str">
        <f ca="1"/>
        <v/>
      </c>
      <c r="R535" s="96">
        <f ca="1"/>
        <v>46108</v>
      </c>
    </row>
    <row r="536" spans="1:18" s="90" customFormat="1" ht="55" customHeight="1" x14ac:dyDescent="0.35">
      <c r="A536" s="94" t="str">
        <f ca="1"/>
        <v>S25V10883</v>
      </c>
      <c r="B536" s="94" t="str">
        <f ca="1"/>
        <v>PKEK25VE0010883A</v>
      </c>
      <c r="C536" s="94" t="str">
        <f ca="1"/>
        <v>BERRY</v>
      </c>
      <c r="D536" s="94" t="str">
        <f ca="1"/>
        <v>652</v>
      </c>
      <c r="E536" s="94" t="str">
        <f ca="1"/>
        <v>FV012282602</v>
      </c>
      <c r="F536" s="94" t="str">
        <f ca="1"/>
        <v>C1500427</v>
      </c>
      <c r="G536" s="94" t="str">
        <f ca="1"/>
        <v>B</v>
      </c>
      <c r="H536" s="94" t="str">
        <f ca="1"/>
        <v>CF003128726</v>
      </c>
      <c r="I536" s="94" t="str">
        <f ca="1"/>
        <v>A</v>
      </c>
      <c r="J536" s="94">
        <f ca="1"/>
        <v>11.8</v>
      </c>
      <c r="K536" s="94"/>
      <c r="L536" s="94">
        <f ca="1"/>
        <v>42.59</v>
      </c>
      <c r="M536" s="94" t="str">
        <f ca="1"/>
        <v>63/65"</v>
      </c>
      <c r="N536" s="94">
        <f ca="1"/>
        <v>63</v>
      </c>
      <c r="O536" s="94" t="str">
        <f ca="1"/>
        <v>Hole (KN) [针织破洞]</v>
      </c>
      <c r="P536" s="95" t="str">
        <f ca="1"/>
        <v/>
      </c>
      <c r="Q536" s="95" t="str">
        <f ca="1"/>
        <v/>
      </c>
      <c r="R536" s="96">
        <f ca="1"/>
        <v>46108</v>
      </c>
    </row>
    <row r="537" spans="1:18" s="90" customFormat="1" ht="55" customHeight="1" x14ac:dyDescent="0.35">
      <c r="A537" s="94" t="str">
        <f ca="1"/>
        <v>S25V10883</v>
      </c>
      <c r="B537" s="94" t="str">
        <f ca="1"/>
        <v>PKEK25VE0010883A</v>
      </c>
      <c r="C537" s="94" t="str">
        <f ca="1"/>
        <v>BERRY</v>
      </c>
      <c r="D537" s="94" t="str">
        <f ca="1"/>
        <v>652</v>
      </c>
      <c r="E537" s="94" t="str">
        <f ca="1"/>
        <v>FV012282602</v>
      </c>
      <c r="F537" s="94" t="str">
        <f ca="1"/>
        <v>C1500427</v>
      </c>
      <c r="G537" s="94" t="str">
        <f ca="1"/>
        <v>B</v>
      </c>
      <c r="H537" s="94" t="str">
        <f ca="1"/>
        <v>CF003128727</v>
      </c>
      <c r="I537" s="94" t="str">
        <f ca="1"/>
        <v>A</v>
      </c>
      <c r="J537" s="94">
        <f ca="1"/>
        <v>23.6</v>
      </c>
      <c r="K537" s="94"/>
      <c r="L537" s="94">
        <f ca="1"/>
        <v>85.18</v>
      </c>
      <c r="M537" s="94" t="str">
        <f ca="1"/>
        <v>63/65"</v>
      </c>
      <c r="N537" s="94">
        <f ca="1"/>
        <v>63</v>
      </c>
      <c r="O537" s="94" t="str">
        <f ca="1"/>
        <v>White mark [白印]</v>
      </c>
      <c r="P537" s="95" t="str">
        <f ca="1"/>
        <v/>
      </c>
      <c r="Q537" s="95" t="str">
        <f ca="1"/>
        <v/>
      </c>
      <c r="R537" s="96">
        <f ca="1"/>
        <v>46108</v>
      </c>
    </row>
    <row r="538" spans="1:18" s="90" customFormat="1" ht="55" customHeight="1" x14ac:dyDescent="0.35">
      <c r="A538" s="94" t="str">
        <f ca="1"/>
        <v>S25V10883</v>
      </c>
      <c r="B538" s="94" t="str">
        <f ca="1"/>
        <v>PKEK25VE0010883A</v>
      </c>
      <c r="C538" s="94" t="str">
        <f ca="1"/>
        <v>BERRY</v>
      </c>
      <c r="D538" s="94" t="str">
        <f ca="1"/>
        <v>652</v>
      </c>
      <c r="E538" s="94" t="str">
        <f ca="1"/>
        <v>FV012282602</v>
      </c>
      <c r="F538" s="94" t="str">
        <f ca="1"/>
        <v>C1500427</v>
      </c>
      <c r="G538" s="94" t="str">
        <f ca="1"/>
        <v>B</v>
      </c>
      <c r="H538" s="94" t="str">
        <f ca="1"/>
        <v>CF003128728</v>
      </c>
      <c r="I538" s="94" t="str">
        <f ca="1"/>
        <v>A</v>
      </c>
      <c r="J538" s="94">
        <f ca="1"/>
        <v>23.9</v>
      </c>
      <c r="K538" s="94"/>
      <c r="L538" s="94">
        <f ca="1"/>
        <v>86.26</v>
      </c>
      <c r="M538" s="94" t="str">
        <f ca="1"/>
        <v>63/65"</v>
      </c>
      <c r="N538" s="94">
        <f ca="1"/>
        <v>63</v>
      </c>
      <c r="O538" s="94" t="str">
        <f ca="1"/>
        <v>White mark [白印]</v>
      </c>
      <c r="P538" s="95" t="str">
        <f ca="1"/>
        <v/>
      </c>
      <c r="Q538" s="95" t="str">
        <f ca="1"/>
        <v/>
      </c>
      <c r="R538" s="96">
        <f ca="1"/>
        <v>46108</v>
      </c>
    </row>
    <row r="539" spans="1:18" s="90" customFormat="1" ht="55" customHeight="1" x14ac:dyDescent="0.35">
      <c r="A539" s="94" t="str">
        <f ca="1"/>
        <v>S25V10883</v>
      </c>
      <c r="B539" s="94" t="str">
        <f ca="1"/>
        <v>PKEK25VE0010883A</v>
      </c>
      <c r="C539" s="94" t="str">
        <f ca="1"/>
        <v>BERRY</v>
      </c>
      <c r="D539" s="94" t="str">
        <f ca="1"/>
        <v>652</v>
      </c>
      <c r="E539" s="94" t="str">
        <f ca="1"/>
        <v>FV012282602</v>
      </c>
      <c r="F539" s="94" t="str">
        <f ca="1"/>
        <v>C1500427</v>
      </c>
      <c r="G539" s="94" t="str">
        <f ca="1"/>
        <v>B</v>
      </c>
      <c r="H539" s="94" t="str">
        <f ca="1"/>
        <v>CF003128729</v>
      </c>
      <c r="I539" s="94" t="str">
        <f ca="1"/>
        <v>A</v>
      </c>
      <c r="J539" s="94">
        <f ca="1"/>
        <v>23.9</v>
      </c>
      <c r="K539" s="94"/>
      <c r="L539" s="94">
        <f ca="1"/>
        <v>86.26</v>
      </c>
      <c r="M539" s="94" t="str">
        <f ca="1"/>
        <v>63/65"</v>
      </c>
      <c r="N539" s="94">
        <f ca="1"/>
        <v>63</v>
      </c>
      <c r="O539" s="94" t="str">
        <f ca="1"/>
        <v>Color Mark (PD) [PD沾色]</v>
      </c>
      <c r="P539" s="95" t="str">
        <f ca="1"/>
        <v/>
      </c>
      <c r="Q539" s="95" t="str">
        <f ca="1"/>
        <v/>
      </c>
      <c r="R539" s="96">
        <f ca="1"/>
        <v>46108</v>
      </c>
    </row>
    <row r="540" spans="1:18" s="90" customFormat="1" ht="55" customHeight="1" x14ac:dyDescent="0.35">
      <c r="A540" s="94" t="str">
        <f ca="1"/>
        <v>S25V10883</v>
      </c>
      <c r="B540" s="94" t="str">
        <f ca="1"/>
        <v>PKEK25VE0010883A</v>
      </c>
      <c r="C540" s="94" t="str">
        <f ca="1"/>
        <v>BERRY</v>
      </c>
      <c r="D540" s="94" t="str">
        <f ca="1"/>
        <v>652</v>
      </c>
      <c r="E540" s="94" t="str">
        <f ca="1"/>
        <v>FV012282602</v>
      </c>
      <c r="F540" s="94" t="str">
        <f ca="1"/>
        <v>C1500427</v>
      </c>
      <c r="G540" s="94" t="str">
        <f ca="1"/>
        <v>B</v>
      </c>
      <c r="H540" s="94" t="str">
        <f ca="1"/>
        <v>CF003128730</v>
      </c>
      <c r="I540" s="94" t="str">
        <f ca="1"/>
        <v>A</v>
      </c>
      <c r="J540" s="94">
        <f ca="1"/>
        <v>23.4</v>
      </c>
      <c r="K540" s="94"/>
      <c r="L540" s="94">
        <f ca="1"/>
        <v>84.45</v>
      </c>
      <c r="M540" s="94" t="str">
        <f ca="1"/>
        <v>63/65"</v>
      </c>
      <c r="N540" s="94">
        <f ca="1"/>
        <v>63</v>
      </c>
      <c r="O540" s="94" t="str">
        <f ca="1"/>
        <v>Color Mark (PD) [PD沾色]</v>
      </c>
      <c r="P540" s="95" t="str">
        <f ca="1"/>
        <v/>
      </c>
      <c r="Q540" s="95" t="str">
        <f ca="1"/>
        <v/>
      </c>
      <c r="R540" s="96">
        <f ca="1"/>
        <v>46108</v>
      </c>
    </row>
    <row r="541" spans="1:18" s="90" customFormat="1" ht="55" customHeight="1" x14ac:dyDescent="0.35">
      <c r="A541" s="94" t="str">
        <f ca="1"/>
        <v>S25V10883</v>
      </c>
      <c r="B541" s="94" t="str">
        <f ca="1"/>
        <v>PKEK25VE0010883A</v>
      </c>
      <c r="C541" s="94" t="str">
        <f ca="1"/>
        <v>BERRY</v>
      </c>
      <c r="D541" s="94" t="str">
        <f ca="1"/>
        <v>652</v>
      </c>
      <c r="E541" s="94" t="str">
        <f ca="1"/>
        <v>FV012282602</v>
      </c>
      <c r="F541" s="94" t="str">
        <f ca="1"/>
        <v>C1500427</v>
      </c>
      <c r="G541" s="94" t="str">
        <f ca="1"/>
        <v>B</v>
      </c>
      <c r="H541" s="94" t="str">
        <f ca="1"/>
        <v>CF003128731</v>
      </c>
      <c r="I541" s="94" t="str">
        <f ca="1"/>
        <v>A</v>
      </c>
      <c r="J541" s="94">
        <f ca="1"/>
        <v>23.4</v>
      </c>
      <c r="K541" s="94"/>
      <c r="L541" s="94">
        <f ca="1"/>
        <v>84.45</v>
      </c>
      <c r="M541" s="94" t="str">
        <f ca="1"/>
        <v>63/65"</v>
      </c>
      <c r="N541" s="94">
        <f ca="1"/>
        <v>63</v>
      </c>
      <c r="O541" s="94" t="str">
        <f ca="1"/>
        <v/>
      </c>
      <c r="P541" s="95" t="str">
        <f ca="1"/>
        <v/>
      </c>
      <c r="Q541" s="95" t="str">
        <f ca="1"/>
        <v/>
      </c>
      <c r="R541" s="96">
        <f ca="1"/>
        <v>46108</v>
      </c>
    </row>
    <row r="542" spans="1:18" s="90" customFormat="1" ht="55" customHeight="1" x14ac:dyDescent="0.35">
      <c r="A542" s="94" t="str">
        <f ca="1"/>
        <v>S25V10883</v>
      </c>
      <c r="B542" s="94" t="str">
        <f ca="1"/>
        <v>PKEK25VE0010883A</v>
      </c>
      <c r="C542" s="94" t="str">
        <f ca="1"/>
        <v>BERRY</v>
      </c>
      <c r="D542" s="94" t="str">
        <f ca="1"/>
        <v>652</v>
      </c>
      <c r="E542" s="94" t="str">
        <f ca="1"/>
        <v>FV012282602</v>
      </c>
      <c r="F542" s="94" t="str">
        <f ca="1"/>
        <v>C1500427</v>
      </c>
      <c r="G542" s="94" t="str">
        <f ca="1"/>
        <v>B</v>
      </c>
      <c r="H542" s="94" t="str">
        <f ca="1"/>
        <v>CF003128732</v>
      </c>
      <c r="I542" s="94" t="str">
        <f ca="1"/>
        <v>A</v>
      </c>
      <c r="J542" s="94">
        <f ca="1"/>
        <v>23.5</v>
      </c>
      <c r="K542" s="94"/>
      <c r="L542" s="94">
        <f ca="1"/>
        <v>84.82</v>
      </c>
      <c r="M542" s="94" t="str">
        <f ca="1"/>
        <v>63/65"</v>
      </c>
      <c r="N542" s="94">
        <f ca="1"/>
        <v>63</v>
      </c>
      <c r="O542" s="94" t="str">
        <f ca="1"/>
        <v>White mark [白印]</v>
      </c>
      <c r="P542" s="95" t="str">
        <f ca="1"/>
        <v/>
      </c>
      <c r="Q542" s="95" t="str">
        <f ca="1"/>
        <v/>
      </c>
      <c r="R542" s="96">
        <f ca="1"/>
        <v>46108</v>
      </c>
    </row>
    <row r="543" spans="1:18" s="90" customFormat="1" ht="55" customHeight="1" x14ac:dyDescent="0.35">
      <c r="A543" s="94" t="str">
        <f ca="1"/>
        <v>S25V10883</v>
      </c>
      <c r="B543" s="94" t="str">
        <f ca="1"/>
        <v>PKEK25VE0010883A</v>
      </c>
      <c r="C543" s="94" t="str">
        <f ca="1"/>
        <v>BERRY</v>
      </c>
      <c r="D543" s="94" t="str">
        <f ca="1"/>
        <v>652</v>
      </c>
      <c r="E543" s="94" t="str">
        <f ca="1"/>
        <v>FV012282602</v>
      </c>
      <c r="F543" s="94" t="str">
        <f ca="1"/>
        <v>C1500427</v>
      </c>
      <c r="G543" s="94" t="str">
        <f ca="1"/>
        <v>B</v>
      </c>
      <c r="H543" s="94" t="str">
        <f ca="1"/>
        <v>CF003128733</v>
      </c>
      <c r="I543" s="94" t="str">
        <f ca="1"/>
        <v>A</v>
      </c>
      <c r="J543" s="94">
        <f ca="1"/>
        <v>23.4</v>
      </c>
      <c r="K543" s="94"/>
      <c r="L543" s="94">
        <f ca="1"/>
        <v>84.45</v>
      </c>
      <c r="M543" s="94" t="str">
        <f ca="1"/>
        <v>63/65"</v>
      </c>
      <c r="N543" s="94">
        <f ca="1"/>
        <v>63</v>
      </c>
      <c r="O543" s="94" t="str">
        <f ca="1"/>
        <v>White mark [白印]</v>
      </c>
      <c r="P543" s="95" t="str">
        <f ca="1"/>
        <v/>
      </c>
      <c r="Q543" s="95" t="str">
        <f ca="1"/>
        <v/>
      </c>
      <c r="R543" s="96">
        <f ca="1"/>
        <v>46108</v>
      </c>
    </row>
    <row r="544" spans="1:18" s="90" customFormat="1" ht="55" customHeight="1" x14ac:dyDescent="0.35">
      <c r="A544" s="94" t="str">
        <f ca="1"/>
        <v>S25V10883</v>
      </c>
      <c r="B544" s="94" t="str">
        <f ca="1"/>
        <v>PKEK25VE0010883A</v>
      </c>
      <c r="C544" s="94" t="str">
        <f ca="1"/>
        <v>BERRY</v>
      </c>
      <c r="D544" s="94" t="str">
        <f ca="1"/>
        <v>652</v>
      </c>
      <c r="E544" s="94" t="str">
        <f ca="1"/>
        <v>FV012282602</v>
      </c>
      <c r="F544" s="94" t="str">
        <f ca="1"/>
        <v>C1500427</v>
      </c>
      <c r="G544" s="94" t="str">
        <f ca="1"/>
        <v>B</v>
      </c>
      <c r="H544" s="94" t="str">
        <f ca="1"/>
        <v>CF003128734</v>
      </c>
      <c r="I544" s="94" t="str">
        <f ca="1"/>
        <v>A</v>
      </c>
      <c r="J544" s="94">
        <f ca="1"/>
        <v>15.5</v>
      </c>
      <c r="K544" s="94"/>
      <c r="L544" s="94">
        <f ca="1"/>
        <v>55.94</v>
      </c>
      <c r="M544" s="94" t="str">
        <f ca="1"/>
        <v>63/65"</v>
      </c>
      <c r="N544" s="94">
        <f ca="1"/>
        <v>63</v>
      </c>
      <c r="O544" s="94" t="str">
        <f ca="1"/>
        <v>White mark [白印]</v>
      </c>
      <c r="P544" s="95" t="str">
        <f ca="1"/>
        <v/>
      </c>
      <c r="Q544" s="95" t="str">
        <f ca="1"/>
        <v/>
      </c>
      <c r="R544" s="96">
        <f ca="1"/>
        <v>46108</v>
      </c>
    </row>
    <row r="545" spans="1:18" s="90" customFormat="1" ht="55" customHeight="1" x14ac:dyDescent="0.35">
      <c r="A545" s="94" t="str">
        <f ca="1"/>
        <v>S25V10883</v>
      </c>
      <c r="B545" s="94" t="str">
        <f ca="1"/>
        <v>PKEK25VE0010883A</v>
      </c>
      <c r="C545" s="94" t="str">
        <f ca="1"/>
        <v>BERRY</v>
      </c>
      <c r="D545" s="94" t="str">
        <f ca="1"/>
        <v>652</v>
      </c>
      <c r="E545" s="94" t="str">
        <f ca="1"/>
        <v>FV012282602</v>
      </c>
      <c r="F545" s="94" t="str">
        <f ca="1"/>
        <v>C1500427</v>
      </c>
      <c r="G545" s="94" t="str">
        <f ca="1"/>
        <v>B</v>
      </c>
      <c r="H545" s="94" t="str">
        <f ca="1"/>
        <v>CF003128735</v>
      </c>
      <c r="I545" s="94" t="str">
        <f ca="1"/>
        <v>A</v>
      </c>
      <c r="J545" s="94">
        <f ca="1"/>
        <v>14.3</v>
      </c>
      <c r="K545" s="94"/>
      <c r="L545" s="94">
        <f ca="1"/>
        <v>51.61</v>
      </c>
      <c r="M545" s="94" t="str">
        <f ca="1"/>
        <v>63/65"</v>
      </c>
      <c r="N545" s="94">
        <f ca="1"/>
        <v>63</v>
      </c>
      <c r="O545" s="94" t="str">
        <f ca="1"/>
        <v>Piece-up(FN) [后整接口]</v>
      </c>
      <c r="P545" s="95" t="str">
        <f ca="1"/>
        <v/>
      </c>
      <c r="Q545" s="95" t="str">
        <f ca="1"/>
        <v/>
      </c>
      <c r="R545" s="96">
        <f ca="1"/>
        <v>46108</v>
      </c>
    </row>
    <row r="546" spans="1:18" s="90" customFormat="1" ht="55" customHeight="1" x14ac:dyDescent="0.35">
      <c r="A546" s="94" t="str">
        <f ca="1"/>
        <v>S25V10883</v>
      </c>
      <c r="B546" s="94" t="str">
        <f ca="1"/>
        <v>PKEK25VE0010883A</v>
      </c>
      <c r="C546" s="94" t="str">
        <f ca="1"/>
        <v>BERRY</v>
      </c>
      <c r="D546" s="94" t="str">
        <f ca="1"/>
        <v>652</v>
      </c>
      <c r="E546" s="94" t="str">
        <f ca="1"/>
        <v>FV012282602</v>
      </c>
      <c r="F546" s="94" t="str">
        <f ca="1"/>
        <v>C1500427</v>
      </c>
      <c r="G546" s="94" t="str">
        <f ca="1"/>
        <v>B</v>
      </c>
      <c r="H546" s="94" t="str">
        <f ca="1"/>
        <v>CF003128736</v>
      </c>
      <c r="I546" s="94" t="str">
        <f ca="1"/>
        <v>A</v>
      </c>
      <c r="J546" s="94">
        <f ca="1"/>
        <v>10.6</v>
      </c>
      <c r="K546" s="94"/>
      <c r="L546" s="94">
        <f ca="1"/>
        <v>38.26</v>
      </c>
      <c r="M546" s="94" t="str">
        <f ca="1"/>
        <v>63/65"</v>
      </c>
      <c r="N546" s="94">
        <f ca="1"/>
        <v>63</v>
      </c>
      <c r="O546" s="94" t="str">
        <f ca="1"/>
        <v>White mark [白印]</v>
      </c>
      <c r="P546" s="95" t="str">
        <f ca="1"/>
        <v/>
      </c>
      <c r="Q546" s="95" t="str">
        <f ca="1"/>
        <v/>
      </c>
      <c r="R546" s="96">
        <f ca="1"/>
        <v>46108</v>
      </c>
    </row>
    <row r="547" spans="1:18" s="90" customFormat="1" ht="55" customHeight="1" x14ac:dyDescent="0.35">
      <c r="A547" s="94" t="str">
        <f ca="1"/>
        <v>S25V10883</v>
      </c>
      <c r="B547" s="94" t="str">
        <f ca="1"/>
        <v>PKEK25VE0010883A</v>
      </c>
      <c r="C547" s="94" t="str">
        <f ca="1"/>
        <v>LEAF</v>
      </c>
      <c r="D547" s="94" t="str">
        <f ca="1"/>
        <v>396</v>
      </c>
      <c r="E547" s="94" t="str">
        <f ca="1"/>
        <v>FV012282902</v>
      </c>
      <c r="F547" s="94" t="str">
        <f ca="1"/>
        <v>C1500427</v>
      </c>
      <c r="G547" s="94" t="str">
        <f ca="1"/>
        <v>B</v>
      </c>
      <c r="H547" s="94" t="str">
        <f ca="1"/>
        <v>CF003130442</v>
      </c>
      <c r="I547" s="94" t="str">
        <f ca="1"/>
        <v>A</v>
      </c>
      <c r="J547" s="94">
        <f ca="1"/>
        <v>22.5</v>
      </c>
      <c r="K547" s="94"/>
      <c r="L547" s="94">
        <f ca="1"/>
        <v>78.69</v>
      </c>
      <c r="M547" s="94" t="str">
        <f ca="1"/>
        <v>63/65"</v>
      </c>
      <c r="N547" s="94">
        <f ca="1"/>
        <v>64</v>
      </c>
      <c r="O547" s="94" t="str">
        <f ca="1"/>
        <v/>
      </c>
      <c r="P547" s="95" t="str">
        <f ca="1"/>
        <v/>
      </c>
      <c r="Q547" s="95" t="str">
        <f ca="1"/>
        <v/>
      </c>
      <c r="R547" s="96">
        <f ca="1"/>
        <v>46109</v>
      </c>
    </row>
    <row r="548" spans="1:18" s="90" customFormat="1" ht="55" customHeight="1" x14ac:dyDescent="0.35">
      <c r="A548" s="94" t="str">
        <f ca="1"/>
        <v>S25V10883</v>
      </c>
      <c r="B548" s="94" t="str">
        <f ca="1"/>
        <v>PKEK25VE0010883A</v>
      </c>
      <c r="C548" s="94" t="str">
        <f ca="1"/>
        <v>LEAF</v>
      </c>
      <c r="D548" s="94" t="str">
        <f ca="1"/>
        <v>396</v>
      </c>
      <c r="E548" s="94" t="str">
        <f ca="1"/>
        <v>FV012282902</v>
      </c>
      <c r="F548" s="94" t="str">
        <f ca="1"/>
        <v>C1500427</v>
      </c>
      <c r="G548" s="94" t="str">
        <f ca="1"/>
        <v>B</v>
      </c>
      <c r="H548" s="94" t="str">
        <f ca="1"/>
        <v>CF003130443</v>
      </c>
      <c r="I548" s="94" t="str">
        <f ca="1"/>
        <v>A</v>
      </c>
      <c r="J548" s="94">
        <f ca="1"/>
        <v>22.3</v>
      </c>
      <c r="K548" s="94"/>
      <c r="L548" s="94">
        <f ca="1"/>
        <v>77.989999999999995</v>
      </c>
      <c r="M548" s="94" t="str">
        <f ca="1"/>
        <v>63/65"</v>
      </c>
      <c r="N548" s="94">
        <f ca="1"/>
        <v>64</v>
      </c>
      <c r="O548" s="94" t="str">
        <f ca="1"/>
        <v>Hole (KN) [针织破洞]</v>
      </c>
      <c r="P548" s="95" t="str">
        <f ca="1"/>
        <v/>
      </c>
      <c r="Q548" s="95" t="str">
        <f ca="1"/>
        <v/>
      </c>
      <c r="R548" s="96">
        <f ca="1"/>
        <v>46109</v>
      </c>
    </row>
    <row r="549" spans="1:18" s="90" customFormat="1" ht="55" customHeight="1" x14ac:dyDescent="0.35">
      <c r="A549" s="94" t="str">
        <f ca="1"/>
        <v>S25V10883</v>
      </c>
      <c r="B549" s="94" t="str">
        <f ca="1"/>
        <v>PKEK25VE0010883A</v>
      </c>
      <c r="C549" s="94" t="str">
        <f ca="1"/>
        <v>LEAF</v>
      </c>
      <c r="D549" s="94" t="str">
        <f ca="1"/>
        <v>396</v>
      </c>
      <c r="E549" s="94" t="str">
        <f ca="1"/>
        <v>FV012282902</v>
      </c>
      <c r="F549" s="94" t="str">
        <f ca="1"/>
        <v>C1500427</v>
      </c>
      <c r="G549" s="94" t="str">
        <f ca="1"/>
        <v>B</v>
      </c>
      <c r="H549" s="94" t="str">
        <f ca="1"/>
        <v>CF003130444</v>
      </c>
      <c r="I549" s="94" t="str">
        <f ca="1"/>
        <v>A</v>
      </c>
      <c r="J549" s="94">
        <f ca="1"/>
        <v>22.2</v>
      </c>
      <c r="K549" s="94"/>
      <c r="L549" s="94">
        <f ca="1"/>
        <v>77.64</v>
      </c>
      <c r="M549" s="94" t="str">
        <f ca="1"/>
        <v>63/65"</v>
      </c>
      <c r="N549" s="94">
        <f ca="1"/>
        <v>64</v>
      </c>
      <c r="O549" s="94" t="str">
        <f ca="1"/>
        <v>Dirt [针织污渍]</v>
      </c>
      <c r="P549" s="95" t="str">
        <f ca="1"/>
        <v/>
      </c>
      <c r="Q549" s="95" t="str">
        <f ca="1"/>
        <v/>
      </c>
      <c r="R549" s="96">
        <f ca="1"/>
        <v>46109</v>
      </c>
    </row>
    <row r="550" spans="1:18" s="90" customFormat="1" ht="55" customHeight="1" x14ac:dyDescent="0.35">
      <c r="A550" s="94" t="str">
        <f ca="1"/>
        <v>S25V10883</v>
      </c>
      <c r="B550" s="94" t="str">
        <f ca="1"/>
        <v>PKEK25VE0010883A</v>
      </c>
      <c r="C550" s="94" t="str">
        <f ca="1"/>
        <v>LEAF</v>
      </c>
      <c r="D550" s="94" t="str">
        <f ca="1"/>
        <v>396</v>
      </c>
      <c r="E550" s="94" t="str">
        <f ca="1"/>
        <v>FV012282902</v>
      </c>
      <c r="F550" s="94" t="str">
        <f ca="1"/>
        <v>C1500427</v>
      </c>
      <c r="G550" s="94" t="str">
        <f ca="1"/>
        <v>B</v>
      </c>
      <c r="H550" s="94" t="str">
        <f ca="1"/>
        <v>CF003130445</v>
      </c>
      <c r="I550" s="94" t="str">
        <f ca="1"/>
        <v>A</v>
      </c>
      <c r="J550" s="94">
        <f ca="1"/>
        <v>22.2</v>
      </c>
      <c r="K550" s="94"/>
      <c r="L550" s="94">
        <f ca="1"/>
        <v>77.64</v>
      </c>
      <c r="M550" s="94" t="str">
        <f ca="1"/>
        <v>63/65"</v>
      </c>
      <c r="N550" s="94">
        <f ca="1"/>
        <v>64</v>
      </c>
      <c r="O550" s="94" t="str">
        <f ca="1"/>
        <v>thick yarn</v>
      </c>
      <c r="P550" s="95" t="str">
        <f ca="1"/>
        <v/>
      </c>
      <c r="Q550" s="95" t="str">
        <f ca="1"/>
        <v/>
      </c>
      <c r="R550" s="96">
        <f ca="1"/>
        <v>46109</v>
      </c>
    </row>
    <row r="551" spans="1:18" s="90" customFormat="1" ht="55" customHeight="1" x14ac:dyDescent="0.35">
      <c r="A551" s="94" t="str">
        <f ca="1"/>
        <v>S25V10883</v>
      </c>
      <c r="B551" s="94" t="str">
        <f ca="1"/>
        <v>PKEK25VE0010883A</v>
      </c>
      <c r="C551" s="94" t="str">
        <f ca="1"/>
        <v>LEAF</v>
      </c>
      <c r="D551" s="94" t="str">
        <f ca="1"/>
        <v>396</v>
      </c>
      <c r="E551" s="94" t="str">
        <f ca="1"/>
        <v>FV012282902</v>
      </c>
      <c r="F551" s="94" t="str">
        <f ca="1"/>
        <v>C1500427</v>
      </c>
      <c r="G551" s="94" t="str">
        <f ca="1"/>
        <v>B</v>
      </c>
      <c r="H551" s="94" t="str">
        <f ca="1"/>
        <v>CF003130446</v>
      </c>
      <c r="I551" s="94" t="str">
        <f ca="1"/>
        <v>A</v>
      </c>
      <c r="J551" s="94">
        <f ca="1"/>
        <v>22.2</v>
      </c>
      <c r="K551" s="94"/>
      <c r="L551" s="94">
        <f ca="1"/>
        <v>77.64</v>
      </c>
      <c r="M551" s="94" t="str">
        <f ca="1"/>
        <v>63/65"</v>
      </c>
      <c r="N551" s="94">
        <f ca="1"/>
        <v>64</v>
      </c>
      <c r="O551" s="94" t="str">
        <f ca="1"/>
        <v>White mark [白印]</v>
      </c>
      <c r="P551" s="95" t="str">
        <f ca="1"/>
        <v/>
      </c>
      <c r="Q551" s="95" t="str">
        <f ca="1"/>
        <v/>
      </c>
      <c r="R551" s="96">
        <f ca="1"/>
        <v>46109</v>
      </c>
    </row>
    <row r="552" spans="1:18" s="90" customFormat="1" ht="55" customHeight="1" x14ac:dyDescent="0.35">
      <c r="A552" s="94" t="str">
        <f ca="1"/>
        <v>S25V10883</v>
      </c>
      <c r="B552" s="94" t="str">
        <f ca="1"/>
        <v>PKEK25VE0010883A</v>
      </c>
      <c r="C552" s="94" t="str">
        <f ca="1"/>
        <v>LEAF</v>
      </c>
      <c r="D552" s="94" t="str">
        <f ca="1"/>
        <v>396</v>
      </c>
      <c r="E552" s="94" t="str">
        <f ca="1"/>
        <v>FV012282902</v>
      </c>
      <c r="F552" s="94" t="str">
        <f ca="1"/>
        <v>C1500427</v>
      </c>
      <c r="G552" s="94" t="str">
        <f ca="1"/>
        <v>B</v>
      </c>
      <c r="H552" s="94" t="str">
        <f ca="1"/>
        <v>CF003130447</v>
      </c>
      <c r="I552" s="94" t="str">
        <f ca="1"/>
        <v>A</v>
      </c>
      <c r="J552" s="94">
        <f ca="1"/>
        <v>31.8</v>
      </c>
      <c r="K552" s="94"/>
      <c r="L552" s="94">
        <f ca="1"/>
        <v>111.22</v>
      </c>
      <c r="M552" s="94" t="str">
        <f ca="1"/>
        <v>63/65"</v>
      </c>
      <c r="N552" s="94">
        <f ca="1"/>
        <v>64</v>
      </c>
      <c r="O552" s="94" t="str">
        <f ca="1"/>
        <v>Color Mark (PD) [PD沾色]</v>
      </c>
      <c r="P552" s="95" t="str">
        <f ca="1"/>
        <v/>
      </c>
      <c r="Q552" s="95" t="str">
        <f ca="1"/>
        <v/>
      </c>
      <c r="R552" s="96">
        <f ca="1"/>
        <v>46109</v>
      </c>
    </row>
    <row r="553" spans="1:18" s="90" customFormat="1" ht="55" customHeight="1" x14ac:dyDescent="0.35">
      <c r="A553" s="94" t="str">
        <f ca="1"/>
        <v>S25V10883</v>
      </c>
      <c r="B553" s="94" t="str">
        <f ca="1"/>
        <v>PKEK25VE0010883A</v>
      </c>
      <c r="C553" s="94" t="str">
        <f ca="1"/>
        <v>LEAF</v>
      </c>
      <c r="D553" s="94" t="str">
        <f ca="1"/>
        <v>396</v>
      </c>
      <c r="E553" s="94" t="str">
        <f ca="1"/>
        <v>FV012282902</v>
      </c>
      <c r="F553" s="94" t="str">
        <f ca="1"/>
        <v>C1500427</v>
      </c>
      <c r="G553" s="94" t="str">
        <f ca="1"/>
        <v>B</v>
      </c>
      <c r="H553" s="94" t="str">
        <f ca="1"/>
        <v>CF003130448</v>
      </c>
      <c r="I553" s="94" t="str">
        <f ca="1"/>
        <v>A</v>
      </c>
      <c r="J553" s="94">
        <f ca="1"/>
        <v>22.3</v>
      </c>
      <c r="K553" s="94"/>
      <c r="L553" s="94">
        <f ca="1"/>
        <v>77.989999999999995</v>
      </c>
      <c r="M553" s="94" t="str">
        <f ca="1"/>
        <v>63/65"</v>
      </c>
      <c r="N553" s="94">
        <f ca="1"/>
        <v>64</v>
      </c>
      <c r="O553" s="94" t="str">
        <f ca="1"/>
        <v>White mark [白印]</v>
      </c>
      <c r="P553" s="95" t="str">
        <f ca="1"/>
        <v/>
      </c>
      <c r="Q553" s="95" t="str">
        <f ca="1"/>
        <v/>
      </c>
      <c r="R553" s="96">
        <f ca="1"/>
        <v>46109</v>
      </c>
    </row>
    <row r="554" spans="1:18" s="90" customFormat="1" ht="55" customHeight="1" x14ac:dyDescent="0.35">
      <c r="A554" s="94" t="str">
        <f ca="1"/>
        <v>S25V10883</v>
      </c>
      <c r="B554" s="94" t="str">
        <f ca="1"/>
        <v>PKEK25VE0010883A</v>
      </c>
      <c r="C554" s="94" t="str">
        <f ca="1"/>
        <v>LEAF</v>
      </c>
      <c r="D554" s="94" t="str">
        <f ca="1"/>
        <v>396</v>
      </c>
      <c r="E554" s="94" t="str">
        <f ca="1"/>
        <v>FV012282902</v>
      </c>
      <c r="F554" s="94" t="str">
        <f ca="1"/>
        <v>C1500427</v>
      </c>
      <c r="G554" s="94" t="str">
        <f ca="1"/>
        <v>B</v>
      </c>
      <c r="H554" s="94" t="str">
        <f ca="1"/>
        <v>CF003130449</v>
      </c>
      <c r="I554" s="94" t="str">
        <f ca="1"/>
        <v>A</v>
      </c>
      <c r="J554" s="94">
        <f ca="1"/>
        <v>22.8</v>
      </c>
      <c r="K554" s="94"/>
      <c r="L554" s="94">
        <f ca="1"/>
        <v>79.739999999999995</v>
      </c>
      <c r="M554" s="94" t="str">
        <f ca="1"/>
        <v>63/65"</v>
      </c>
      <c r="N554" s="94">
        <f ca="1"/>
        <v>64</v>
      </c>
      <c r="O554" s="94" t="str">
        <f ca="1"/>
        <v>White mark [白印]</v>
      </c>
      <c r="P554" s="95" t="str">
        <f ca="1"/>
        <v/>
      </c>
      <c r="Q554" s="95" t="str">
        <f ca="1"/>
        <v/>
      </c>
      <c r="R554" s="96">
        <f ca="1"/>
        <v>46109</v>
      </c>
    </row>
    <row r="555" spans="1:18" s="90" customFormat="1" ht="55" customHeight="1" x14ac:dyDescent="0.35">
      <c r="A555" s="94" t="str">
        <f ca="1"/>
        <v>S25V10883</v>
      </c>
      <c r="B555" s="94" t="str">
        <f ca="1"/>
        <v>PKEK25VE0010883A</v>
      </c>
      <c r="C555" s="94" t="str">
        <f ca="1"/>
        <v>LEAF</v>
      </c>
      <c r="D555" s="94" t="str">
        <f ca="1"/>
        <v>396</v>
      </c>
      <c r="E555" s="94" t="str">
        <f ca="1"/>
        <v>FV012282902</v>
      </c>
      <c r="F555" s="94" t="str">
        <f ca="1"/>
        <v>C1500427</v>
      </c>
      <c r="G555" s="94" t="str">
        <f ca="1"/>
        <v>B</v>
      </c>
      <c r="H555" s="94" t="str">
        <f ca="1"/>
        <v>CF003130450</v>
      </c>
      <c r="I555" s="94" t="str">
        <f ca="1"/>
        <v>A</v>
      </c>
      <c r="J555" s="94">
        <f ca="1"/>
        <v>20.5</v>
      </c>
      <c r="K555" s="94"/>
      <c r="L555" s="94">
        <f ca="1"/>
        <v>71.7</v>
      </c>
      <c r="M555" s="94" t="str">
        <f ca="1"/>
        <v>63/65"</v>
      </c>
      <c r="N555" s="94">
        <f ca="1"/>
        <v>64</v>
      </c>
      <c r="O555" s="94" t="str">
        <f ca="1"/>
        <v/>
      </c>
      <c r="P555" s="95" t="str">
        <f ca="1"/>
        <v/>
      </c>
      <c r="Q555" s="95" t="str">
        <f ca="1"/>
        <v/>
      </c>
      <c r="R555" s="96">
        <f ca="1"/>
        <v>46109</v>
      </c>
    </row>
    <row r="556" spans="1:18" s="90" customFormat="1" ht="55" customHeight="1" x14ac:dyDescent="0.35">
      <c r="A556" s="94" t="str">
        <f ca="1"/>
        <v>S25V10883</v>
      </c>
      <c r="B556" s="94" t="str">
        <f ca="1"/>
        <v>PKEK25VE0010883A</v>
      </c>
      <c r="C556" s="94" t="str">
        <f ca="1"/>
        <v>LEAF</v>
      </c>
      <c r="D556" s="94" t="str">
        <f ca="1"/>
        <v>396</v>
      </c>
      <c r="E556" s="94" t="str">
        <f ca="1"/>
        <v>FV012282902</v>
      </c>
      <c r="F556" s="94" t="str">
        <f ca="1"/>
        <v>C1500427</v>
      </c>
      <c r="G556" s="94" t="str">
        <f ca="1"/>
        <v>B</v>
      </c>
      <c r="H556" s="94" t="str">
        <f ca="1"/>
        <v>CF003130451</v>
      </c>
      <c r="I556" s="94" t="str">
        <f ca="1"/>
        <v>A</v>
      </c>
      <c r="J556" s="94">
        <f ca="1"/>
        <v>23.1</v>
      </c>
      <c r="K556" s="94"/>
      <c r="L556" s="94">
        <f ca="1"/>
        <v>80.790000000000006</v>
      </c>
      <c r="M556" s="94" t="str">
        <f ca="1"/>
        <v>63/65"</v>
      </c>
      <c r="N556" s="94">
        <f ca="1"/>
        <v>64</v>
      </c>
      <c r="O556" s="94" t="str">
        <f ca="1"/>
        <v/>
      </c>
      <c r="P556" s="95" t="str">
        <f ca="1"/>
        <v/>
      </c>
      <c r="Q556" s="95" t="str">
        <f ca="1"/>
        <v/>
      </c>
      <c r="R556" s="96">
        <f ca="1"/>
        <v>46109</v>
      </c>
    </row>
    <row r="557" spans="1:18" s="90" customFormat="1" ht="55" customHeight="1" x14ac:dyDescent="0.35">
      <c r="A557" s="94" t="str">
        <f ca="1"/>
        <v>S25V10883</v>
      </c>
      <c r="B557" s="94" t="str">
        <f ca="1"/>
        <v>PKEK25VE0010883A</v>
      </c>
      <c r="C557" s="94" t="str">
        <f ca="1"/>
        <v>LEAF</v>
      </c>
      <c r="D557" s="94" t="str">
        <f ca="1"/>
        <v>396</v>
      </c>
      <c r="E557" s="94" t="str">
        <f ca="1"/>
        <v>FV012282902</v>
      </c>
      <c r="F557" s="94" t="str">
        <f ca="1"/>
        <v>C1500427</v>
      </c>
      <c r="G557" s="94" t="str">
        <f ca="1"/>
        <v>B</v>
      </c>
      <c r="H557" s="94" t="str">
        <f ca="1"/>
        <v>CF003130452</v>
      </c>
      <c r="I557" s="94" t="str">
        <f ca="1"/>
        <v>A</v>
      </c>
      <c r="J557" s="94">
        <f ca="1"/>
        <v>23</v>
      </c>
      <c r="K557" s="94"/>
      <c r="L557" s="94">
        <f ca="1"/>
        <v>80.44</v>
      </c>
      <c r="M557" s="94" t="str">
        <f ca="1"/>
        <v>63/65"</v>
      </c>
      <c r="N557" s="94">
        <f ca="1"/>
        <v>64</v>
      </c>
      <c r="O557" s="94" t="str">
        <f ca="1"/>
        <v>Hole (KN) [针织破洞]</v>
      </c>
      <c r="P557" s="95" t="str">
        <f ca="1"/>
        <v/>
      </c>
      <c r="Q557" s="95" t="str">
        <f ca="1"/>
        <v/>
      </c>
      <c r="R557" s="96">
        <f ca="1"/>
        <v>46109</v>
      </c>
    </row>
    <row r="558" spans="1:18" s="90" customFormat="1" ht="55" customHeight="1" x14ac:dyDescent="0.35">
      <c r="A558" s="94" t="str">
        <f ca="1"/>
        <v>S25V10883</v>
      </c>
      <c r="B558" s="94" t="str">
        <f ca="1"/>
        <v>PKEK25VE0010883A</v>
      </c>
      <c r="C558" s="94" t="str">
        <f ca="1"/>
        <v>LEAF</v>
      </c>
      <c r="D558" s="94" t="str">
        <f ca="1"/>
        <v>396</v>
      </c>
      <c r="E558" s="94" t="str">
        <f ca="1"/>
        <v>FV012282902</v>
      </c>
      <c r="F558" s="94" t="str">
        <f ca="1"/>
        <v>C1500427</v>
      </c>
      <c r="G558" s="94" t="str">
        <f ca="1"/>
        <v>B</v>
      </c>
      <c r="H558" s="94" t="str">
        <f ca="1"/>
        <v>CF003130453</v>
      </c>
      <c r="I558" s="94" t="str">
        <f ca="1"/>
        <v>A</v>
      </c>
      <c r="J558" s="94">
        <f ca="1"/>
        <v>22.3</v>
      </c>
      <c r="K558" s="94"/>
      <c r="L558" s="94">
        <f ca="1"/>
        <v>77.989999999999995</v>
      </c>
      <c r="M558" s="94" t="str">
        <f ca="1"/>
        <v>63/65"</v>
      </c>
      <c r="N558" s="94">
        <f ca="1"/>
        <v>64</v>
      </c>
      <c r="O558" s="94" t="str">
        <f ca="1"/>
        <v>White mark [白印]</v>
      </c>
      <c r="P558" s="95" t="str">
        <f ca="1"/>
        <v/>
      </c>
      <c r="Q558" s="95" t="str">
        <f ca="1"/>
        <v/>
      </c>
      <c r="R558" s="96">
        <f ca="1"/>
        <v>46109</v>
      </c>
    </row>
    <row r="559" spans="1:18" s="90" customFormat="1" ht="55" customHeight="1" x14ac:dyDescent="0.35">
      <c r="A559" s="94" t="str">
        <f ca="1"/>
        <v>S25V10883</v>
      </c>
      <c r="B559" s="94" t="str">
        <f ca="1"/>
        <v>PKEK25VE0010883A</v>
      </c>
      <c r="C559" s="94" t="str">
        <f ca="1"/>
        <v>LEAF</v>
      </c>
      <c r="D559" s="94" t="str">
        <f ca="1"/>
        <v>396</v>
      </c>
      <c r="E559" s="94" t="str">
        <f ca="1"/>
        <v>FV012282902</v>
      </c>
      <c r="F559" s="94" t="str">
        <f ca="1"/>
        <v>C1500427</v>
      </c>
      <c r="G559" s="94" t="str">
        <f ca="1"/>
        <v>B</v>
      </c>
      <c r="H559" s="94" t="str">
        <f ca="1"/>
        <v>CF003130454</v>
      </c>
      <c r="I559" s="94" t="str">
        <f ca="1"/>
        <v>A</v>
      </c>
      <c r="J559" s="94">
        <f ca="1"/>
        <v>22.8</v>
      </c>
      <c r="K559" s="94"/>
      <c r="L559" s="94">
        <f ca="1"/>
        <v>79.739999999999995</v>
      </c>
      <c r="M559" s="94" t="str">
        <f ca="1"/>
        <v>63/65"</v>
      </c>
      <c r="N559" s="94">
        <f ca="1"/>
        <v>64</v>
      </c>
      <c r="O559" s="94" t="str">
        <f ca="1"/>
        <v>Friction Mark (PD) [匹染擦痕]</v>
      </c>
      <c r="P559" s="95" t="str">
        <f ca="1"/>
        <v/>
      </c>
      <c r="Q559" s="95" t="str">
        <f ca="1"/>
        <v/>
      </c>
      <c r="R559" s="96">
        <f ca="1"/>
        <v>46109</v>
      </c>
    </row>
    <row r="560" spans="1:18" s="90" customFormat="1" ht="55" customHeight="1" x14ac:dyDescent="0.35">
      <c r="A560" s="94" t="str">
        <f ca="1"/>
        <v>S25V10883</v>
      </c>
      <c r="B560" s="94" t="str">
        <f ca="1"/>
        <v>PKEK25VE0010883A</v>
      </c>
      <c r="C560" s="94" t="str">
        <f ca="1"/>
        <v>LEAF</v>
      </c>
      <c r="D560" s="94" t="str">
        <f ca="1"/>
        <v>396</v>
      </c>
      <c r="E560" s="94" t="str">
        <f ca="1"/>
        <v>FV012282902</v>
      </c>
      <c r="F560" s="94" t="str">
        <f ca="1"/>
        <v>C1500427</v>
      </c>
      <c r="G560" s="94" t="str">
        <f ca="1"/>
        <v>B</v>
      </c>
      <c r="H560" s="94" t="str">
        <f ca="1"/>
        <v>CF003130455</v>
      </c>
      <c r="I560" s="94" t="str">
        <f ca="1"/>
        <v>A</v>
      </c>
      <c r="J560" s="94">
        <f ca="1"/>
        <v>22.9</v>
      </c>
      <c r="K560" s="94"/>
      <c r="L560" s="94">
        <f ca="1"/>
        <v>80.09</v>
      </c>
      <c r="M560" s="94" t="str">
        <f ca="1"/>
        <v>63/65"</v>
      </c>
      <c r="N560" s="94">
        <f ca="1"/>
        <v>64</v>
      </c>
      <c r="O560" s="94" t="str">
        <f ca="1"/>
        <v>White mark [白印]</v>
      </c>
      <c r="P560" s="95" t="str">
        <f ca="1"/>
        <v/>
      </c>
      <c r="Q560" s="95" t="str">
        <f ca="1"/>
        <v/>
      </c>
      <c r="R560" s="96">
        <f ca="1"/>
        <v>46109</v>
      </c>
    </row>
    <row r="561" spans="1:18" s="90" customFormat="1" ht="55" customHeight="1" x14ac:dyDescent="0.35">
      <c r="A561" s="94" t="str">
        <f ca="1"/>
        <v>S25V10883</v>
      </c>
      <c r="B561" s="94" t="str">
        <f ca="1"/>
        <v>PKEK25VE0010883A</v>
      </c>
      <c r="C561" s="94" t="str">
        <f ca="1"/>
        <v>LEAF</v>
      </c>
      <c r="D561" s="94" t="str">
        <f ca="1"/>
        <v>396</v>
      </c>
      <c r="E561" s="94" t="str">
        <f ca="1"/>
        <v>FV012282902</v>
      </c>
      <c r="F561" s="94" t="str">
        <f ca="1"/>
        <v>C1500427</v>
      </c>
      <c r="G561" s="94" t="str">
        <f ca="1"/>
        <v>B</v>
      </c>
      <c r="H561" s="94" t="str">
        <f ca="1"/>
        <v>CF003130456</v>
      </c>
      <c r="I561" s="94" t="str">
        <f ca="1"/>
        <v>A</v>
      </c>
      <c r="J561" s="94">
        <f ca="1"/>
        <v>22.5</v>
      </c>
      <c r="K561" s="94"/>
      <c r="L561" s="94">
        <f ca="1"/>
        <v>78.69</v>
      </c>
      <c r="M561" s="94" t="str">
        <f ca="1"/>
        <v>63/65"</v>
      </c>
      <c r="N561" s="94">
        <f ca="1"/>
        <v>64</v>
      </c>
      <c r="O561" s="94" t="str">
        <f ca="1"/>
        <v/>
      </c>
      <c r="P561" s="95" t="str">
        <f ca="1"/>
        <v/>
      </c>
      <c r="Q561" s="95" t="str">
        <f ca="1"/>
        <v/>
      </c>
      <c r="R561" s="96">
        <f ca="1"/>
        <v>46109</v>
      </c>
    </row>
    <row r="562" spans="1:18" s="90" customFormat="1" ht="55" customHeight="1" x14ac:dyDescent="0.35">
      <c r="A562" s="94" t="str">
        <f ca="1"/>
        <v>S25V10883</v>
      </c>
      <c r="B562" s="94" t="str">
        <f ca="1"/>
        <v>PKEK25VE0010883A</v>
      </c>
      <c r="C562" s="94" t="str">
        <f ca="1"/>
        <v>LEAF</v>
      </c>
      <c r="D562" s="94" t="str">
        <f ca="1"/>
        <v>396</v>
      </c>
      <c r="E562" s="94" t="str">
        <f ca="1"/>
        <v>FV012282902</v>
      </c>
      <c r="F562" s="94" t="str">
        <f ca="1"/>
        <v>C1500427</v>
      </c>
      <c r="G562" s="94" t="str">
        <f ca="1"/>
        <v>B</v>
      </c>
      <c r="H562" s="94" t="str">
        <f ca="1"/>
        <v>CF003130457</v>
      </c>
      <c r="I562" s="94" t="str">
        <f ca="1"/>
        <v>A</v>
      </c>
      <c r="J562" s="94">
        <f ca="1"/>
        <v>22.3</v>
      </c>
      <c r="K562" s="94"/>
      <c r="L562" s="94">
        <f ca="1"/>
        <v>77.989999999999995</v>
      </c>
      <c r="M562" s="94" t="str">
        <f ca="1"/>
        <v>63/65"</v>
      </c>
      <c r="N562" s="94">
        <f ca="1"/>
        <v>64</v>
      </c>
      <c r="O562" s="94" t="str">
        <f ca="1"/>
        <v/>
      </c>
      <c r="P562" s="95" t="str">
        <f ca="1"/>
        <v/>
      </c>
      <c r="Q562" s="95" t="str">
        <f ca="1"/>
        <v/>
      </c>
      <c r="R562" s="96">
        <f ca="1"/>
        <v>46109</v>
      </c>
    </row>
    <row r="563" spans="1:18" s="90" customFormat="1" ht="55" customHeight="1" x14ac:dyDescent="0.35">
      <c r="A563" s="94" t="str">
        <f ca="1"/>
        <v>S25V10883</v>
      </c>
      <c r="B563" s="94" t="str">
        <f ca="1"/>
        <v>PKEK25VE0010883A</v>
      </c>
      <c r="C563" s="94" t="str">
        <f ca="1"/>
        <v>LEAF</v>
      </c>
      <c r="D563" s="94" t="str">
        <f ca="1"/>
        <v>396</v>
      </c>
      <c r="E563" s="94" t="str">
        <f ca="1"/>
        <v>FV012282902</v>
      </c>
      <c r="F563" s="94" t="str">
        <f ca="1"/>
        <v>C1500427</v>
      </c>
      <c r="G563" s="94" t="str">
        <f ca="1"/>
        <v>B</v>
      </c>
      <c r="H563" s="94" t="str">
        <f ca="1"/>
        <v>CF003130458</v>
      </c>
      <c r="I563" s="94" t="str">
        <f ca="1"/>
        <v>A</v>
      </c>
      <c r="J563" s="94">
        <f ca="1"/>
        <v>21.4</v>
      </c>
      <c r="K563" s="94"/>
      <c r="L563" s="94">
        <f ca="1"/>
        <v>74.84</v>
      </c>
      <c r="M563" s="94" t="str">
        <f ca="1"/>
        <v>63/65"</v>
      </c>
      <c r="N563" s="94">
        <f ca="1"/>
        <v>64</v>
      </c>
      <c r="O563" s="94" t="str">
        <f ca="1"/>
        <v/>
      </c>
      <c r="P563" s="95" t="str">
        <f ca="1"/>
        <v/>
      </c>
      <c r="Q563" s="95" t="str">
        <f ca="1"/>
        <v/>
      </c>
      <c r="R563" s="96">
        <f ca="1"/>
        <v>46109</v>
      </c>
    </row>
    <row r="564" spans="1:18" s="90" customFormat="1" ht="55" customHeight="1" x14ac:dyDescent="0.35">
      <c r="A564" s="94" t="str">
        <f ca="1"/>
        <v>S25V10883</v>
      </c>
      <c r="B564" s="94" t="str">
        <f ca="1"/>
        <v>PKEK25VE0010883A</v>
      </c>
      <c r="C564" s="94" t="str">
        <f ca="1"/>
        <v>LEAF</v>
      </c>
      <c r="D564" s="94" t="str">
        <f ca="1"/>
        <v>396</v>
      </c>
      <c r="E564" s="94" t="str">
        <f ca="1"/>
        <v>FV012282902</v>
      </c>
      <c r="F564" s="94" t="str">
        <f ca="1"/>
        <v>C1500427</v>
      </c>
      <c r="G564" s="94" t="str">
        <f ca="1"/>
        <v>B</v>
      </c>
      <c r="H564" s="94" t="str">
        <f ca="1"/>
        <v>CF003130459</v>
      </c>
      <c r="I564" s="94" t="str">
        <f ca="1"/>
        <v>A</v>
      </c>
      <c r="J564" s="94">
        <f ca="1"/>
        <v>22.3</v>
      </c>
      <c r="K564" s="94"/>
      <c r="L564" s="94">
        <f ca="1"/>
        <v>77.989999999999995</v>
      </c>
      <c r="M564" s="94" t="str">
        <f ca="1"/>
        <v>63/65"</v>
      </c>
      <c r="N564" s="94">
        <f ca="1"/>
        <v>64</v>
      </c>
      <c r="O564" s="94" t="str">
        <f ca="1"/>
        <v/>
      </c>
      <c r="P564" s="95" t="str">
        <f ca="1"/>
        <v/>
      </c>
      <c r="Q564" s="95" t="str">
        <f ca="1"/>
        <v/>
      </c>
      <c r="R564" s="96">
        <f ca="1"/>
        <v>46109</v>
      </c>
    </row>
    <row r="565" spans="1:18" s="90" customFormat="1" ht="55" customHeight="1" x14ac:dyDescent="0.35">
      <c r="A565" s="94" t="str">
        <f ca="1"/>
        <v>S25V10883</v>
      </c>
      <c r="B565" s="94" t="str">
        <f ca="1"/>
        <v>PKEK25VE0010883A</v>
      </c>
      <c r="C565" s="94" t="str">
        <f ca="1"/>
        <v>LEAF</v>
      </c>
      <c r="D565" s="94" t="str">
        <f ca="1"/>
        <v>396</v>
      </c>
      <c r="E565" s="94" t="str">
        <f ca="1"/>
        <v>FV012282902</v>
      </c>
      <c r="F565" s="94" t="str">
        <f ca="1"/>
        <v>C1500427</v>
      </c>
      <c r="G565" s="94" t="str">
        <f ca="1"/>
        <v>B</v>
      </c>
      <c r="H565" s="94" t="str">
        <f ca="1"/>
        <v>CF003130460</v>
      </c>
      <c r="I565" s="94" t="str">
        <f ca="1"/>
        <v>A</v>
      </c>
      <c r="J565" s="94">
        <f ca="1"/>
        <v>22.3</v>
      </c>
      <c r="K565" s="94"/>
      <c r="L565" s="94">
        <f ca="1"/>
        <v>77.989999999999995</v>
      </c>
      <c r="M565" s="94" t="str">
        <f ca="1"/>
        <v>63/65"</v>
      </c>
      <c r="N565" s="94">
        <f ca="1"/>
        <v>64</v>
      </c>
      <c r="O565" s="94" t="str">
        <f ca="1"/>
        <v>Hole (KN) [针织破洞]</v>
      </c>
      <c r="P565" s="95" t="str">
        <f ca="1"/>
        <v/>
      </c>
      <c r="Q565" s="95" t="str">
        <f ca="1"/>
        <v/>
      </c>
      <c r="R565" s="96">
        <f ca="1"/>
        <v>46109</v>
      </c>
    </row>
    <row r="566" spans="1:18" s="90" customFormat="1" ht="55" customHeight="1" x14ac:dyDescent="0.35">
      <c r="A566" s="94" t="str">
        <f ca="1"/>
        <v>S25V10883</v>
      </c>
      <c r="B566" s="94" t="str">
        <f ca="1"/>
        <v>PKEK25VE0010883A</v>
      </c>
      <c r="C566" s="94" t="str">
        <f ca="1"/>
        <v>LEAF</v>
      </c>
      <c r="D566" s="94" t="str">
        <f ca="1"/>
        <v>396</v>
      </c>
      <c r="E566" s="94" t="str">
        <f ca="1"/>
        <v>FV012282902</v>
      </c>
      <c r="F566" s="94" t="str">
        <f ca="1"/>
        <v>C1500427</v>
      </c>
      <c r="G566" s="94" t="str">
        <f ca="1"/>
        <v>B</v>
      </c>
      <c r="H566" s="94" t="str">
        <f ca="1"/>
        <v>CF003130461</v>
      </c>
      <c r="I566" s="94" t="str">
        <f ca="1"/>
        <v>A</v>
      </c>
      <c r="J566" s="94">
        <f ca="1"/>
        <v>22.4</v>
      </c>
      <c r="K566" s="94"/>
      <c r="L566" s="94">
        <f ca="1"/>
        <v>78.34</v>
      </c>
      <c r="M566" s="94" t="str">
        <f ca="1"/>
        <v>63/65"</v>
      </c>
      <c r="N566" s="94">
        <f ca="1"/>
        <v>64</v>
      </c>
      <c r="O566" s="94" t="str">
        <f ca="1"/>
        <v/>
      </c>
      <c r="P566" s="95" t="str">
        <f ca="1"/>
        <v/>
      </c>
      <c r="Q566" s="95" t="str">
        <f ca="1"/>
        <v/>
      </c>
      <c r="R566" s="96">
        <f ca="1"/>
        <v>46109</v>
      </c>
    </row>
    <row r="567" spans="1:18" s="90" customFormat="1" ht="55" customHeight="1" x14ac:dyDescent="0.35">
      <c r="A567" s="94" t="str">
        <f ca="1"/>
        <v>S25V10883</v>
      </c>
      <c r="B567" s="94" t="str">
        <f ca="1"/>
        <v>PKEK25VE0010883A</v>
      </c>
      <c r="C567" s="94" t="str">
        <f ca="1"/>
        <v>LEAF</v>
      </c>
      <c r="D567" s="94" t="str">
        <f ca="1"/>
        <v>396</v>
      </c>
      <c r="E567" s="94" t="str">
        <f ca="1"/>
        <v>FV012282902</v>
      </c>
      <c r="F567" s="94" t="str">
        <f ca="1"/>
        <v>C1500427</v>
      </c>
      <c r="G567" s="94" t="str">
        <f ca="1"/>
        <v>B</v>
      </c>
      <c r="H567" s="94" t="str">
        <f ca="1"/>
        <v>CF003130462</v>
      </c>
      <c r="I567" s="94" t="str">
        <f ca="1"/>
        <v>A</v>
      </c>
      <c r="J567" s="94">
        <f ca="1"/>
        <v>22.5</v>
      </c>
      <c r="K567" s="94"/>
      <c r="L567" s="94">
        <f ca="1"/>
        <v>78.69</v>
      </c>
      <c r="M567" s="94" t="str">
        <f ca="1"/>
        <v>63/65"</v>
      </c>
      <c r="N567" s="94">
        <f ca="1"/>
        <v>64</v>
      </c>
      <c r="O567" s="94" t="str">
        <f ca="1"/>
        <v/>
      </c>
      <c r="P567" s="95" t="str">
        <f ca="1"/>
        <v/>
      </c>
      <c r="Q567" s="95" t="str">
        <f ca="1"/>
        <v/>
      </c>
      <c r="R567" s="96">
        <f ca="1"/>
        <v>46109</v>
      </c>
    </row>
    <row r="568" spans="1:18" s="90" customFormat="1" ht="55" customHeight="1" x14ac:dyDescent="0.35">
      <c r="A568" s="94" t="str">
        <f ca="1"/>
        <v>S25V10883</v>
      </c>
      <c r="B568" s="94" t="str">
        <f ca="1"/>
        <v>PKEK25VE0010883A</v>
      </c>
      <c r="C568" s="94" t="str">
        <f ca="1"/>
        <v>LEAF</v>
      </c>
      <c r="D568" s="94" t="str">
        <f ca="1"/>
        <v>396</v>
      </c>
      <c r="E568" s="94" t="str">
        <f ca="1"/>
        <v>FV012282902</v>
      </c>
      <c r="F568" s="94" t="str">
        <f ca="1"/>
        <v>C1500427</v>
      </c>
      <c r="G568" s="94" t="str">
        <f ca="1"/>
        <v>B</v>
      </c>
      <c r="H568" s="94" t="str">
        <f ca="1"/>
        <v>CF003130463</v>
      </c>
      <c r="I568" s="94" t="str">
        <f ca="1"/>
        <v>A</v>
      </c>
      <c r="J568" s="94">
        <f ca="1"/>
        <v>12.2</v>
      </c>
      <c r="K568" s="94"/>
      <c r="L568" s="94">
        <f ca="1"/>
        <v>42.67</v>
      </c>
      <c r="M568" s="94" t="str">
        <f ca="1"/>
        <v>63/65"</v>
      </c>
      <c r="N568" s="94">
        <f ca="1"/>
        <v>64</v>
      </c>
      <c r="O568" s="94" t="str">
        <f ca="1"/>
        <v>White mark [白印]</v>
      </c>
      <c r="P568" s="95" t="str">
        <f ca="1"/>
        <v/>
      </c>
      <c r="Q568" s="95" t="str">
        <f ca="1"/>
        <v/>
      </c>
      <c r="R568" s="96">
        <f ca="1"/>
        <v>46109</v>
      </c>
    </row>
    <row r="569" spans="1:18" s="90" customFormat="1" ht="55" customHeight="1" x14ac:dyDescent="0.35">
      <c r="A569" s="94" t="str">
        <f ca="1"/>
        <v>S25V10883</v>
      </c>
      <c r="B569" s="94" t="str">
        <f ca="1"/>
        <v>PKEK25VE0010883A</v>
      </c>
      <c r="C569" s="94" t="str">
        <f ca="1"/>
        <v>LEAF</v>
      </c>
      <c r="D569" s="94" t="str">
        <f ca="1"/>
        <v>396</v>
      </c>
      <c r="E569" s="94" t="str">
        <f ca="1"/>
        <v>FV012282902</v>
      </c>
      <c r="F569" s="94" t="str">
        <f ca="1"/>
        <v>C1500427</v>
      </c>
      <c r="G569" s="94" t="str">
        <f ca="1"/>
        <v>B</v>
      </c>
      <c r="H569" s="94" t="str">
        <f ca="1"/>
        <v>CF003130464</v>
      </c>
      <c r="I569" s="94" t="str">
        <f ca="1"/>
        <v>A</v>
      </c>
      <c r="J569" s="94">
        <f ca="1"/>
        <v>22.4</v>
      </c>
      <c r="K569" s="94"/>
      <c r="L569" s="94">
        <f ca="1"/>
        <v>78.34</v>
      </c>
      <c r="M569" s="94" t="str">
        <f ca="1"/>
        <v>63/65"</v>
      </c>
      <c r="N569" s="94">
        <f ca="1"/>
        <v>64</v>
      </c>
      <c r="O569" s="94" t="str">
        <f ca="1"/>
        <v>White mark [白印]</v>
      </c>
      <c r="P569" s="95" t="str">
        <f ca="1"/>
        <v/>
      </c>
      <c r="Q569" s="95" t="str">
        <f ca="1"/>
        <v/>
      </c>
      <c r="R569" s="96">
        <f ca="1"/>
        <v>46109</v>
      </c>
    </row>
    <row r="570" spans="1:18" s="90" customFormat="1" ht="55" customHeight="1" x14ac:dyDescent="0.35">
      <c r="A570" s="94" t="str">
        <f ca="1"/>
        <v>S25V10883</v>
      </c>
      <c r="B570" s="94" t="str">
        <f ca="1"/>
        <v>PKEK25VE0010883A</v>
      </c>
      <c r="C570" s="94" t="str">
        <f ca="1"/>
        <v>LEAF</v>
      </c>
      <c r="D570" s="94" t="str">
        <f ca="1"/>
        <v>396</v>
      </c>
      <c r="E570" s="94" t="str">
        <f ca="1"/>
        <v>FV012282902</v>
      </c>
      <c r="F570" s="94" t="str">
        <f ca="1"/>
        <v>C1500427</v>
      </c>
      <c r="G570" s="94" t="str">
        <f ca="1"/>
        <v>B</v>
      </c>
      <c r="H570" s="94" t="str">
        <f ca="1"/>
        <v>CF003130465</v>
      </c>
      <c r="I570" s="94" t="str">
        <f ca="1"/>
        <v>A</v>
      </c>
      <c r="J570" s="94">
        <f ca="1"/>
        <v>22.4</v>
      </c>
      <c r="K570" s="94"/>
      <c r="L570" s="94">
        <f ca="1"/>
        <v>78.34</v>
      </c>
      <c r="M570" s="94" t="str">
        <f ca="1"/>
        <v>63/65"</v>
      </c>
      <c r="N570" s="94">
        <f ca="1"/>
        <v>64</v>
      </c>
      <c r="O570" s="94" t="str">
        <f ca="1"/>
        <v/>
      </c>
      <c r="P570" s="95" t="str">
        <f ca="1"/>
        <v/>
      </c>
      <c r="Q570" s="95" t="str">
        <f ca="1"/>
        <v/>
      </c>
      <c r="R570" s="96">
        <f ca="1"/>
        <v>46109</v>
      </c>
    </row>
    <row r="571" spans="1:18" s="90" customFormat="1" ht="55" customHeight="1" x14ac:dyDescent="0.35">
      <c r="A571" s="94" t="str">
        <f ca="1"/>
        <v>S25V10883</v>
      </c>
      <c r="B571" s="94" t="str">
        <f ca="1"/>
        <v>PKEK25VE0010883A</v>
      </c>
      <c r="C571" s="94" t="str">
        <f ca="1"/>
        <v>LEAF</v>
      </c>
      <c r="D571" s="94" t="str">
        <f ca="1"/>
        <v>396</v>
      </c>
      <c r="E571" s="94" t="str">
        <f ca="1"/>
        <v>FV012282902</v>
      </c>
      <c r="F571" s="94" t="str">
        <f ca="1"/>
        <v>C1500427</v>
      </c>
      <c r="G571" s="94" t="str">
        <f ca="1"/>
        <v>B</v>
      </c>
      <c r="H571" s="94" t="str">
        <f ca="1"/>
        <v>CF003130466</v>
      </c>
      <c r="I571" s="94" t="str">
        <f ca="1"/>
        <v>A</v>
      </c>
      <c r="J571" s="94">
        <f ca="1"/>
        <v>22.4</v>
      </c>
      <c r="K571" s="94"/>
      <c r="L571" s="94">
        <f ca="1"/>
        <v>78.34</v>
      </c>
      <c r="M571" s="94" t="str">
        <f ca="1"/>
        <v>63/65"</v>
      </c>
      <c r="N571" s="94">
        <f ca="1"/>
        <v>64</v>
      </c>
      <c r="O571" s="94" t="str">
        <f ca="1"/>
        <v/>
      </c>
      <c r="P571" s="95" t="str">
        <f ca="1"/>
        <v/>
      </c>
      <c r="Q571" s="95" t="str">
        <f ca="1"/>
        <v/>
      </c>
      <c r="R571" s="96">
        <f ca="1"/>
        <v>46109</v>
      </c>
    </row>
    <row r="572" spans="1:18" s="90" customFormat="1" ht="55" customHeight="1" x14ac:dyDescent="0.35">
      <c r="A572" s="94" t="str">
        <f ca="1"/>
        <v>S25V10883</v>
      </c>
      <c r="B572" s="94" t="str">
        <f ca="1"/>
        <v>PKEK25VE0010883A</v>
      </c>
      <c r="C572" s="94" t="str">
        <f ca="1"/>
        <v>LEAF</v>
      </c>
      <c r="D572" s="94" t="str">
        <f ca="1"/>
        <v>396</v>
      </c>
      <c r="E572" s="94" t="str">
        <f ca="1"/>
        <v>FV012282902</v>
      </c>
      <c r="F572" s="94" t="str">
        <f ca="1"/>
        <v>C1500427</v>
      </c>
      <c r="G572" s="94" t="str">
        <f ca="1"/>
        <v>B</v>
      </c>
      <c r="H572" s="94" t="str">
        <f ca="1"/>
        <v>CF003130467</v>
      </c>
      <c r="I572" s="94" t="str">
        <f ca="1"/>
        <v>A</v>
      </c>
      <c r="J572" s="94">
        <f ca="1"/>
        <v>22.4</v>
      </c>
      <c r="K572" s="94"/>
      <c r="L572" s="94">
        <f ca="1"/>
        <v>78.34</v>
      </c>
      <c r="M572" s="94" t="str">
        <f ca="1"/>
        <v>63/65"</v>
      </c>
      <c r="N572" s="94">
        <f ca="1"/>
        <v>64</v>
      </c>
      <c r="O572" s="94" t="str">
        <f ca="1"/>
        <v/>
      </c>
      <c r="P572" s="95" t="str">
        <f ca="1"/>
        <v/>
      </c>
      <c r="Q572" s="95" t="str">
        <f ca="1"/>
        <v/>
      </c>
      <c r="R572" s="96">
        <f ca="1"/>
        <v>46109</v>
      </c>
    </row>
    <row r="573" spans="1:18" s="90" customFormat="1" ht="55" customHeight="1" x14ac:dyDescent="0.35">
      <c r="A573" s="94" t="str">
        <f ca="1"/>
        <v>S25V10883</v>
      </c>
      <c r="B573" s="94" t="str">
        <f ca="1"/>
        <v>PKEK25VE0010883A</v>
      </c>
      <c r="C573" s="94" t="str">
        <f ca="1"/>
        <v>LEAF</v>
      </c>
      <c r="D573" s="94" t="str">
        <f ca="1"/>
        <v>396</v>
      </c>
      <c r="E573" s="94" t="str">
        <f ca="1"/>
        <v>FV012282902</v>
      </c>
      <c r="F573" s="94" t="str">
        <f ca="1"/>
        <v>C1500427</v>
      </c>
      <c r="G573" s="94" t="str">
        <f ca="1"/>
        <v>B</v>
      </c>
      <c r="H573" s="94" t="str">
        <f ca="1"/>
        <v>CF003130468</v>
      </c>
      <c r="I573" s="94" t="str">
        <f ca="1"/>
        <v>A</v>
      </c>
      <c r="J573" s="94">
        <f ca="1"/>
        <v>22.4</v>
      </c>
      <c r="K573" s="94"/>
      <c r="L573" s="94">
        <f ca="1"/>
        <v>78.34</v>
      </c>
      <c r="M573" s="94" t="str">
        <f ca="1"/>
        <v>63/65"</v>
      </c>
      <c r="N573" s="94">
        <f ca="1"/>
        <v>64</v>
      </c>
      <c r="O573" s="94" t="str">
        <f ca="1"/>
        <v/>
      </c>
      <c r="P573" s="95" t="str">
        <f ca="1"/>
        <v/>
      </c>
      <c r="Q573" s="95" t="str">
        <f ca="1"/>
        <v/>
      </c>
      <c r="R573" s="96">
        <f ca="1"/>
        <v>46109</v>
      </c>
    </row>
    <row r="574" spans="1:18" s="90" customFormat="1" ht="55" customHeight="1" x14ac:dyDescent="0.35">
      <c r="A574" s="94" t="str">
        <f ca="1"/>
        <v>S25V10883</v>
      </c>
      <c r="B574" s="94" t="str">
        <f ca="1"/>
        <v>PKEK25VE0010883A</v>
      </c>
      <c r="C574" s="94" t="str">
        <f ca="1"/>
        <v>LEAF</v>
      </c>
      <c r="D574" s="94" t="str">
        <f ca="1"/>
        <v>396</v>
      </c>
      <c r="E574" s="94" t="str">
        <f ca="1"/>
        <v>FV012282902</v>
      </c>
      <c r="F574" s="94" t="str">
        <f ca="1"/>
        <v>C1500427</v>
      </c>
      <c r="G574" s="94" t="str">
        <f ca="1"/>
        <v>B</v>
      </c>
      <c r="H574" s="94" t="str">
        <f ca="1"/>
        <v>CF003130469</v>
      </c>
      <c r="I574" s="94" t="str">
        <f ca="1"/>
        <v>A</v>
      </c>
      <c r="J574" s="94">
        <f ca="1"/>
        <v>22.3</v>
      </c>
      <c r="K574" s="94"/>
      <c r="L574" s="94">
        <f ca="1"/>
        <v>77.989999999999995</v>
      </c>
      <c r="M574" s="94" t="str">
        <f ca="1"/>
        <v>63/65"</v>
      </c>
      <c r="N574" s="94">
        <f ca="1"/>
        <v>64</v>
      </c>
      <c r="O574" s="94" t="str">
        <f ca="1"/>
        <v/>
      </c>
      <c r="P574" s="95" t="str">
        <f ca="1"/>
        <v/>
      </c>
      <c r="Q574" s="95" t="str">
        <f ca="1"/>
        <v/>
      </c>
      <c r="R574" s="96">
        <f ca="1"/>
        <v>46109</v>
      </c>
    </row>
    <row r="575" spans="1:18" s="90" customFormat="1" ht="55" customHeight="1" x14ac:dyDescent="0.35">
      <c r="A575" s="94" t="str">
        <f ca="1"/>
        <v>S25V10883</v>
      </c>
      <c r="B575" s="94" t="str">
        <f ca="1"/>
        <v>PKEK25VE0010883A</v>
      </c>
      <c r="C575" s="94" t="str">
        <f ca="1"/>
        <v>LEAF</v>
      </c>
      <c r="D575" s="94" t="str">
        <f ca="1"/>
        <v>396</v>
      </c>
      <c r="E575" s="94" t="str">
        <f ca="1"/>
        <v>FV012282902</v>
      </c>
      <c r="F575" s="94" t="str">
        <f ca="1"/>
        <v>C1500427</v>
      </c>
      <c r="G575" s="94" t="str">
        <f ca="1"/>
        <v>B</v>
      </c>
      <c r="H575" s="94" t="str">
        <f ca="1"/>
        <v>CF003130470</v>
      </c>
      <c r="I575" s="94" t="str">
        <f ca="1"/>
        <v>A</v>
      </c>
      <c r="J575" s="94">
        <f ca="1"/>
        <v>22.4</v>
      </c>
      <c r="K575" s="94"/>
      <c r="L575" s="94">
        <f ca="1"/>
        <v>78.34</v>
      </c>
      <c r="M575" s="94" t="str">
        <f ca="1"/>
        <v>63/65"</v>
      </c>
      <c r="N575" s="94">
        <f ca="1"/>
        <v>64</v>
      </c>
      <c r="O575" s="94" t="str">
        <f ca="1"/>
        <v/>
      </c>
      <c r="P575" s="95" t="str">
        <f ca="1"/>
        <v/>
      </c>
      <c r="Q575" s="95" t="str">
        <f ca="1"/>
        <v/>
      </c>
      <c r="R575" s="96">
        <f ca="1"/>
        <v>46109</v>
      </c>
    </row>
    <row r="576" spans="1:18" s="90" customFormat="1" ht="55" customHeight="1" x14ac:dyDescent="0.35">
      <c r="A576" s="94" t="str">
        <f ca="1"/>
        <v>S25V10883</v>
      </c>
      <c r="B576" s="94" t="str">
        <f ca="1"/>
        <v>PKEK25VE0010883A</v>
      </c>
      <c r="C576" s="94" t="str">
        <f ca="1"/>
        <v>LEAF</v>
      </c>
      <c r="D576" s="94" t="str">
        <f ca="1"/>
        <v>396</v>
      </c>
      <c r="E576" s="94" t="str">
        <f ca="1"/>
        <v>FV012282902</v>
      </c>
      <c r="F576" s="94" t="str">
        <f ca="1"/>
        <v>C1500427</v>
      </c>
      <c r="G576" s="94" t="str">
        <f ca="1"/>
        <v>B</v>
      </c>
      <c r="H576" s="94" t="str">
        <f ca="1"/>
        <v>CF003130471</v>
      </c>
      <c r="I576" s="94" t="str">
        <f ca="1"/>
        <v>A</v>
      </c>
      <c r="J576" s="94">
        <f ca="1"/>
        <v>22.1</v>
      </c>
      <c r="K576" s="94"/>
      <c r="L576" s="94">
        <f ca="1"/>
        <v>77.290000000000006</v>
      </c>
      <c r="M576" s="94" t="str">
        <f ca="1"/>
        <v>63/65"</v>
      </c>
      <c r="N576" s="94">
        <f ca="1"/>
        <v>64</v>
      </c>
      <c r="O576" s="94" t="str">
        <f ca="1"/>
        <v>Hole (KN) [针织破洞]</v>
      </c>
      <c r="P576" s="95" t="str">
        <f ca="1"/>
        <v/>
      </c>
      <c r="Q576" s="95" t="str">
        <f ca="1"/>
        <v/>
      </c>
      <c r="R576" s="96">
        <f ca="1"/>
        <v>46109</v>
      </c>
    </row>
    <row r="577" spans="1:18" s="90" customFormat="1" ht="55" customHeight="1" x14ac:dyDescent="0.35">
      <c r="A577" s="94" t="str">
        <f ca="1"/>
        <v>S25V10883</v>
      </c>
      <c r="B577" s="94" t="str">
        <f ca="1"/>
        <v>PKEK25VE0010883A</v>
      </c>
      <c r="C577" s="94" t="str">
        <f ca="1"/>
        <v>LEAF</v>
      </c>
      <c r="D577" s="94" t="str">
        <f ca="1"/>
        <v>396</v>
      </c>
      <c r="E577" s="94" t="str">
        <f ca="1"/>
        <v>FV012282902</v>
      </c>
      <c r="F577" s="94" t="str">
        <f ca="1"/>
        <v>C1500427</v>
      </c>
      <c r="G577" s="94" t="str">
        <f ca="1"/>
        <v>B</v>
      </c>
      <c r="H577" s="94" t="str">
        <f ca="1"/>
        <v>CF003130472</v>
      </c>
      <c r="I577" s="94" t="str">
        <f ca="1"/>
        <v>A</v>
      </c>
      <c r="J577" s="94">
        <f ca="1"/>
        <v>22.4</v>
      </c>
      <c r="K577" s="94"/>
      <c r="L577" s="94">
        <f ca="1"/>
        <v>78.34</v>
      </c>
      <c r="M577" s="94" t="str">
        <f ca="1"/>
        <v>63/65"</v>
      </c>
      <c r="N577" s="94">
        <f ca="1"/>
        <v>64</v>
      </c>
      <c r="O577" s="94" t="str">
        <f ca="1"/>
        <v>White mark [白印]</v>
      </c>
      <c r="P577" s="95" t="str">
        <f ca="1"/>
        <v/>
      </c>
      <c r="Q577" s="95" t="str">
        <f ca="1"/>
        <v/>
      </c>
      <c r="R577" s="96">
        <f ca="1"/>
        <v>46109</v>
      </c>
    </row>
    <row r="578" spans="1:18" s="90" customFormat="1" ht="55" customHeight="1" x14ac:dyDescent="0.35">
      <c r="A578" s="94" t="str">
        <f ca="1"/>
        <v>S25V10883</v>
      </c>
      <c r="B578" s="94" t="str">
        <f ca="1"/>
        <v>PKEK25VE0010883A</v>
      </c>
      <c r="C578" s="94" t="str">
        <f ca="1"/>
        <v>LEAF</v>
      </c>
      <c r="D578" s="94" t="str">
        <f ca="1"/>
        <v>396</v>
      </c>
      <c r="E578" s="94" t="str">
        <f ca="1"/>
        <v>FV012282902</v>
      </c>
      <c r="F578" s="94" t="str">
        <f ca="1"/>
        <v>C1500427</v>
      </c>
      <c r="G578" s="94" t="str">
        <f ca="1"/>
        <v>B</v>
      </c>
      <c r="H578" s="94" t="str">
        <f ca="1"/>
        <v>CF003130473</v>
      </c>
      <c r="I578" s="94" t="str">
        <f ca="1"/>
        <v>A</v>
      </c>
      <c r="J578" s="94">
        <f ca="1"/>
        <v>22.4</v>
      </c>
      <c r="K578" s="94"/>
      <c r="L578" s="94">
        <f ca="1"/>
        <v>78.34</v>
      </c>
      <c r="M578" s="94" t="str">
        <f ca="1"/>
        <v>63/65"</v>
      </c>
      <c r="N578" s="94">
        <f ca="1"/>
        <v>64</v>
      </c>
      <c r="O578" s="94" t="str">
        <f ca="1"/>
        <v/>
      </c>
      <c r="P578" s="95" t="str">
        <f ca="1"/>
        <v/>
      </c>
      <c r="Q578" s="95" t="str">
        <f ca="1"/>
        <v/>
      </c>
      <c r="R578" s="96">
        <f ca="1"/>
        <v>46109</v>
      </c>
    </row>
    <row r="579" spans="1:18" s="90" customFormat="1" ht="55" customHeight="1" x14ac:dyDescent="0.35">
      <c r="A579" s="94" t="str">
        <f ca="1"/>
        <v>S25V10883</v>
      </c>
      <c r="B579" s="94" t="str">
        <f ca="1"/>
        <v>PKEK25VE0010883A</v>
      </c>
      <c r="C579" s="94" t="str">
        <f ca="1"/>
        <v>LEAF</v>
      </c>
      <c r="D579" s="94" t="str">
        <f ca="1"/>
        <v>396</v>
      </c>
      <c r="E579" s="94" t="str">
        <f ca="1"/>
        <v>FV012282902</v>
      </c>
      <c r="F579" s="94" t="str">
        <f ca="1"/>
        <v>C1500427</v>
      </c>
      <c r="G579" s="94" t="str">
        <f ca="1"/>
        <v>B</v>
      </c>
      <c r="H579" s="94" t="str">
        <f ca="1"/>
        <v>CF003130474</v>
      </c>
      <c r="I579" s="94" t="str">
        <f ca="1"/>
        <v>A</v>
      </c>
      <c r="J579" s="94">
        <f ca="1"/>
        <v>22.3</v>
      </c>
      <c r="K579" s="94"/>
      <c r="L579" s="94">
        <f ca="1"/>
        <v>77.989999999999995</v>
      </c>
      <c r="M579" s="94" t="str">
        <f ca="1"/>
        <v>63/65"</v>
      </c>
      <c r="N579" s="94">
        <f ca="1"/>
        <v>64</v>
      </c>
      <c r="O579" s="94" t="str">
        <f ca="1"/>
        <v>Oil (PD) [匹染油污]</v>
      </c>
      <c r="P579" s="95" t="str">
        <f ca="1"/>
        <v/>
      </c>
      <c r="Q579" s="95" t="str">
        <f ca="1"/>
        <v/>
      </c>
      <c r="R579" s="96">
        <f ca="1"/>
        <v>46109</v>
      </c>
    </row>
    <row r="580" spans="1:18" s="90" customFormat="1" ht="55" customHeight="1" x14ac:dyDescent="0.35">
      <c r="A580" s="94" t="str">
        <f ca="1"/>
        <v>S25V10883</v>
      </c>
      <c r="B580" s="94" t="str">
        <f ca="1"/>
        <v>PKEK25VE0010883A</v>
      </c>
      <c r="C580" s="94" t="str">
        <f ca="1"/>
        <v>LEAF</v>
      </c>
      <c r="D580" s="94" t="str">
        <f ca="1"/>
        <v>396</v>
      </c>
      <c r="E580" s="94" t="str">
        <f ca="1"/>
        <v>FV012282902</v>
      </c>
      <c r="F580" s="94" t="str">
        <f ca="1"/>
        <v>C1500427</v>
      </c>
      <c r="G580" s="94" t="str">
        <f ca="1"/>
        <v>B</v>
      </c>
      <c r="H580" s="94" t="str">
        <f ca="1"/>
        <v>CF003130475</v>
      </c>
      <c r="I580" s="94" t="str">
        <f ca="1"/>
        <v>A</v>
      </c>
      <c r="J580" s="94">
        <f ca="1"/>
        <v>22.5</v>
      </c>
      <c r="K580" s="94"/>
      <c r="L580" s="94">
        <f ca="1"/>
        <v>78.69</v>
      </c>
      <c r="M580" s="94" t="str">
        <f ca="1"/>
        <v>63/65"</v>
      </c>
      <c r="N580" s="94">
        <f ca="1"/>
        <v>64</v>
      </c>
      <c r="O580" s="94" t="str">
        <f ca="1"/>
        <v/>
      </c>
      <c r="P580" s="95" t="str">
        <f ca="1"/>
        <v/>
      </c>
      <c r="Q580" s="95" t="str">
        <f ca="1"/>
        <v/>
      </c>
      <c r="R580" s="96">
        <f ca="1"/>
        <v>46109</v>
      </c>
    </row>
    <row r="581" spans="1:18" s="90" customFormat="1" ht="55" customHeight="1" x14ac:dyDescent="0.35">
      <c r="A581" s="94" t="str">
        <f ca="1"/>
        <v>S25V10883</v>
      </c>
      <c r="B581" s="94" t="str">
        <f ca="1"/>
        <v>PKEK25VE0010883A</v>
      </c>
      <c r="C581" s="94" t="str">
        <f ca="1"/>
        <v>LEAF</v>
      </c>
      <c r="D581" s="94" t="str">
        <f ca="1"/>
        <v>396</v>
      </c>
      <c r="E581" s="94" t="str">
        <f ca="1"/>
        <v>FV012282902</v>
      </c>
      <c r="F581" s="94" t="str">
        <f ca="1"/>
        <v>C1500427</v>
      </c>
      <c r="G581" s="94" t="str">
        <f ca="1"/>
        <v>B</v>
      </c>
      <c r="H581" s="94" t="str">
        <f ca="1"/>
        <v>CF003130476</v>
      </c>
      <c r="I581" s="94" t="str">
        <f ca="1"/>
        <v>A</v>
      </c>
      <c r="J581" s="94">
        <f ca="1"/>
        <v>22.3</v>
      </c>
      <c r="K581" s="94"/>
      <c r="L581" s="94">
        <f ca="1"/>
        <v>77.989999999999995</v>
      </c>
      <c r="M581" s="94" t="str">
        <f ca="1"/>
        <v>63/65"</v>
      </c>
      <c r="N581" s="94">
        <f ca="1"/>
        <v>64</v>
      </c>
      <c r="O581" s="94" t="str">
        <f ca="1"/>
        <v/>
      </c>
      <c r="P581" s="95" t="str">
        <f ca="1"/>
        <v/>
      </c>
      <c r="Q581" s="95" t="str">
        <f ca="1"/>
        <v/>
      </c>
      <c r="R581" s="96">
        <f ca="1"/>
        <v>46109</v>
      </c>
    </row>
    <row r="582" spans="1:18" s="90" customFormat="1" ht="55" customHeight="1" x14ac:dyDescent="0.35">
      <c r="A582" s="94" t="str">
        <f ca="1"/>
        <v>S25V10883</v>
      </c>
      <c r="B582" s="94" t="str">
        <f ca="1"/>
        <v>PKEK25VE0010883A</v>
      </c>
      <c r="C582" s="94" t="str">
        <f ca="1"/>
        <v>LEAF</v>
      </c>
      <c r="D582" s="94" t="str">
        <f ca="1"/>
        <v>396</v>
      </c>
      <c r="E582" s="94" t="str">
        <f ca="1"/>
        <v>FV012282902</v>
      </c>
      <c r="F582" s="94" t="str">
        <f ca="1"/>
        <v>C1500427</v>
      </c>
      <c r="G582" s="94" t="str">
        <f ca="1"/>
        <v>B</v>
      </c>
      <c r="H582" s="94" t="str">
        <f ca="1"/>
        <v>CF003130477</v>
      </c>
      <c r="I582" s="94" t="str">
        <f ca="1"/>
        <v>A</v>
      </c>
      <c r="J582" s="94">
        <f ca="1"/>
        <v>22.3</v>
      </c>
      <c r="K582" s="94"/>
      <c r="L582" s="94">
        <f ca="1"/>
        <v>77.989999999999995</v>
      </c>
      <c r="M582" s="94" t="str">
        <f ca="1"/>
        <v>63/65"</v>
      </c>
      <c r="N582" s="94">
        <f ca="1"/>
        <v>64</v>
      </c>
      <c r="O582" s="94" t="str">
        <f ca="1"/>
        <v/>
      </c>
      <c r="P582" s="95" t="str">
        <f ca="1"/>
        <v/>
      </c>
      <c r="Q582" s="95" t="str">
        <f ca="1"/>
        <v/>
      </c>
      <c r="R582" s="96">
        <f ca="1"/>
        <v>46109</v>
      </c>
    </row>
    <row r="583" spans="1:18" s="90" customFormat="1" ht="55" customHeight="1" x14ac:dyDescent="0.35">
      <c r="A583" s="94" t="str">
        <f ca="1"/>
        <v>S25V10883</v>
      </c>
      <c r="B583" s="94" t="str">
        <f ca="1"/>
        <v>PKEK25VE0010883A</v>
      </c>
      <c r="C583" s="94" t="str">
        <f ca="1"/>
        <v>LEAF</v>
      </c>
      <c r="D583" s="94" t="str">
        <f ca="1"/>
        <v>396</v>
      </c>
      <c r="E583" s="94" t="str">
        <f ca="1"/>
        <v>FV012282902</v>
      </c>
      <c r="F583" s="94" t="str">
        <f ca="1"/>
        <v>C1500427</v>
      </c>
      <c r="G583" s="94" t="str">
        <f ca="1"/>
        <v>B</v>
      </c>
      <c r="H583" s="94" t="str">
        <f ca="1"/>
        <v>CF003130478</v>
      </c>
      <c r="I583" s="94" t="str">
        <f ca="1"/>
        <v>A</v>
      </c>
      <c r="J583" s="94">
        <f ca="1"/>
        <v>22.2</v>
      </c>
      <c r="K583" s="94"/>
      <c r="L583" s="94">
        <f ca="1"/>
        <v>77.64</v>
      </c>
      <c r="M583" s="94" t="str">
        <f ca="1"/>
        <v>63/65"</v>
      </c>
      <c r="N583" s="94">
        <f ca="1"/>
        <v>64</v>
      </c>
      <c r="O583" s="94" t="str">
        <f ca="1"/>
        <v/>
      </c>
      <c r="P583" s="95" t="str">
        <f ca="1"/>
        <v/>
      </c>
      <c r="Q583" s="95" t="str">
        <f ca="1"/>
        <v/>
      </c>
      <c r="R583" s="96">
        <f ca="1"/>
        <v>46109</v>
      </c>
    </row>
    <row r="584" spans="1:18" s="90" customFormat="1" ht="55" customHeight="1" x14ac:dyDescent="0.35">
      <c r="A584" s="94" t="str">
        <f ca="1"/>
        <v>S25V10883</v>
      </c>
      <c r="B584" s="94" t="str">
        <f ca="1"/>
        <v>PKEK25VE0010883A</v>
      </c>
      <c r="C584" s="94" t="str">
        <f ca="1"/>
        <v>LEAF</v>
      </c>
      <c r="D584" s="94" t="str">
        <f ca="1"/>
        <v>396</v>
      </c>
      <c r="E584" s="94" t="str">
        <f ca="1"/>
        <v>FV012282902</v>
      </c>
      <c r="F584" s="94" t="str">
        <f ca="1"/>
        <v>C1500427</v>
      </c>
      <c r="G584" s="94" t="str">
        <f ca="1"/>
        <v>B</v>
      </c>
      <c r="H584" s="94" t="str">
        <f ca="1"/>
        <v>CF003130479</v>
      </c>
      <c r="I584" s="94" t="str">
        <f ca="1"/>
        <v>A</v>
      </c>
      <c r="J584" s="94">
        <f ca="1"/>
        <v>22.1</v>
      </c>
      <c r="K584" s="94"/>
      <c r="L584" s="94">
        <f ca="1"/>
        <v>77.290000000000006</v>
      </c>
      <c r="M584" s="94" t="str">
        <f ca="1"/>
        <v>63/65"</v>
      </c>
      <c r="N584" s="94">
        <f ca="1"/>
        <v>64</v>
      </c>
      <c r="O584" s="94" t="str">
        <f ca="1"/>
        <v/>
      </c>
      <c r="P584" s="95" t="str">
        <f ca="1"/>
        <v/>
      </c>
      <c r="Q584" s="95" t="str">
        <f ca="1"/>
        <v/>
      </c>
      <c r="R584" s="96">
        <f ca="1"/>
        <v>46109</v>
      </c>
    </row>
    <row r="585" spans="1:18" s="90" customFormat="1" ht="55" customHeight="1" x14ac:dyDescent="0.35">
      <c r="A585" s="94" t="str">
        <f ca="1"/>
        <v>S25V10883</v>
      </c>
      <c r="B585" s="94" t="str">
        <f ca="1"/>
        <v>PKEK25VE0010883A</v>
      </c>
      <c r="C585" s="94" t="str">
        <f ca="1"/>
        <v>LEAF</v>
      </c>
      <c r="D585" s="94" t="str">
        <f ca="1"/>
        <v>396</v>
      </c>
      <c r="E585" s="94" t="str">
        <f ca="1"/>
        <v>FV012282902</v>
      </c>
      <c r="F585" s="94" t="str">
        <f ca="1"/>
        <v>C1500427</v>
      </c>
      <c r="G585" s="94" t="str">
        <f ca="1"/>
        <v>B</v>
      </c>
      <c r="H585" s="94" t="str">
        <f ca="1"/>
        <v>CF003130480</v>
      </c>
      <c r="I585" s="94" t="str">
        <f ca="1"/>
        <v>A</v>
      </c>
      <c r="J585" s="94">
        <f ca="1"/>
        <v>22.5</v>
      </c>
      <c r="K585" s="94"/>
      <c r="L585" s="94">
        <f ca="1"/>
        <v>78.69</v>
      </c>
      <c r="M585" s="94" t="str">
        <f ca="1"/>
        <v>63/65"</v>
      </c>
      <c r="N585" s="94">
        <f ca="1"/>
        <v>64</v>
      </c>
      <c r="O585" s="94" t="str">
        <f ca="1"/>
        <v>Dirt [针织污渍]</v>
      </c>
      <c r="P585" s="95" t="str">
        <f ca="1"/>
        <v/>
      </c>
      <c r="Q585" s="95" t="str">
        <f ca="1"/>
        <v/>
      </c>
      <c r="R585" s="96">
        <f ca="1"/>
        <v>46109</v>
      </c>
    </row>
    <row r="586" spans="1:18" s="90" customFormat="1" ht="55" customHeight="1" x14ac:dyDescent="0.35">
      <c r="A586" s="94" t="str">
        <f ca="1"/>
        <v>S25V10883</v>
      </c>
      <c r="B586" s="94" t="str">
        <f ca="1"/>
        <v>PKEK25VE0010883A</v>
      </c>
      <c r="C586" s="94" t="str">
        <f ca="1"/>
        <v>LEAF</v>
      </c>
      <c r="D586" s="94" t="str">
        <f ca="1"/>
        <v>396</v>
      </c>
      <c r="E586" s="94" t="str">
        <f ca="1"/>
        <v>FV012282902</v>
      </c>
      <c r="F586" s="94" t="str">
        <f ca="1"/>
        <v>C1500427</v>
      </c>
      <c r="G586" s="94" t="str">
        <f ca="1"/>
        <v>B</v>
      </c>
      <c r="H586" s="94" t="str">
        <f ca="1"/>
        <v>CF003130481</v>
      </c>
      <c r="I586" s="94" t="str">
        <f ca="1"/>
        <v>A</v>
      </c>
      <c r="J586" s="94">
        <f ca="1"/>
        <v>22.5</v>
      </c>
      <c r="K586" s="94"/>
      <c r="L586" s="94">
        <f ca="1"/>
        <v>78.69</v>
      </c>
      <c r="M586" s="94" t="str">
        <f ca="1"/>
        <v>63/65"</v>
      </c>
      <c r="N586" s="94">
        <f ca="1"/>
        <v>64</v>
      </c>
      <c r="O586" s="94" t="str">
        <f ca="1"/>
        <v/>
      </c>
      <c r="P586" s="95" t="str">
        <f ca="1"/>
        <v/>
      </c>
      <c r="Q586" s="95" t="str">
        <f ca="1"/>
        <v/>
      </c>
      <c r="R586" s="96">
        <f ca="1"/>
        <v>46109</v>
      </c>
    </row>
    <row r="587" spans="1:18" s="90" customFormat="1" ht="55" customHeight="1" x14ac:dyDescent="0.35">
      <c r="A587" s="94" t="str">
        <f ca="1"/>
        <v>S25V10883</v>
      </c>
      <c r="B587" s="94" t="str">
        <f ca="1"/>
        <v>PKEK25VE0010883A</v>
      </c>
      <c r="C587" s="94" t="str">
        <f ca="1"/>
        <v>LEAF</v>
      </c>
      <c r="D587" s="94" t="str">
        <f ca="1"/>
        <v>396</v>
      </c>
      <c r="E587" s="94" t="str">
        <f ca="1"/>
        <v>FV012282902</v>
      </c>
      <c r="F587" s="94" t="str">
        <f ca="1"/>
        <v>C1500427</v>
      </c>
      <c r="G587" s="94" t="str">
        <f ca="1"/>
        <v>B</v>
      </c>
      <c r="H587" s="94" t="str">
        <f ca="1"/>
        <v>CF003130482</v>
      </c>
      <c r="I587" s="94" t="str">
        <f ca="1"/>
        <v>A</v>
      </c>
      <c r="J587" s="94">
        <f ca="1"/>
        <v>22.1</v>
      </c>
      <c r="K587" s="94"/>
      <c r="L587" s="94">
        <f ca="1"/>
        <v>77.290000000000006</v>
      </c>
      <c r="M587" s="94" t="str">
        <f ca="1"/>
        <v>63/65"</v>
      </c>
      <c r="N587" s="94">
        <f ca="1"/>
        <v>64</v>
      </c>
      <c r="O587" s="94" t="str">
        <f ca="1"/>
        <v/>
      </c>
      <c r="P587" s="95" t="str">
        <f ca="1"/>
        <v/>
      </c>
      <c r="Q587" s="95" t="str">
        <f ca="1"/>
        <v/>
      </c>
      <c r="R587" s="96">
        <f ca="1"/>
        <v>46109</v>
      </c>
    </row>
    <row r="588" spans="1:18" s="90" customFormat="1" ht="55" customHeight="1" x14ac:dyDescent="0.35">
      <c r="A588" s="94" t="str">
        <f ca="1"/>
        <v>S25V10883</v>
      </c>
      <c r="B588" s="94" t="str">
        <f ca="1"/>
        <v>PKEK25VE0010883A</v>
      </c>
      <c r="C588" s="94" t="str">
        <f ca="1"/>
        <v>LEAF</v>
      </c>
      <c r="D588" s="94" t="str">
        <f ca="1"/>
        <v>396</v>
      </c>
      <c r="E588" s="94" t="str">
        <f ca="1"/>
        <v>FV012282902</v>
      </c>
      <c r="F588" s="94" t="str">
        <f ca="1"/>
        <v>C1500427</v>
      </c>
      <c r="G588" s="94" t="str">
        <f ca="1"/>
        <v>B</v>
      </c>
      <c r="H588" s="94" t="str">
        <f ca="1"/>
        <v>CF003130483</v>
      </c>
      <c r="I588" s="94" t="str">
        <f ca="1"/>
        <v>A</v>
      </c>
      <c r="J588" s="94">
        <f ca="1"/>
        <v>22.5</v>
      </c>
      <c r="K588" s="94"/>
      <c r="L588" s="94">
        <f ca="1"/>
        <v>78.69</v>
      </c>
      <c r="M588" s="94" t="str">
        <f ca="1"/>
        <v>63/65"</v>
      </c>
      <c r="N588" s="94">
        <f ca="1"/>
        <v>64</v>
      </c>
      <c r="O588" s="94" t="str">
        <f ca="1"/>
        <v/>
      </c>
      <c r="P588" s="95" t="str">
        <f ca="1"/>
        <v/>
      </c>
      <c r="Q588" s="95" t="str">
        <f ca="1"/>
        <v/>
      </c>
      <c r="R588" s="96">
        <f ca="1"/>
        <v>46109</v>
      </c>
    </row>
    <row r="589" spans="1:18" s="90" customFormat="1" ht="55" customHeight="1" x14ac:dyDescent="0.35">
      <c r="A589" s="94" t="str">
        <f ca="1"/>
        <v>S25V10883</v>
      </c>
      <c r="B589" s="94" t="str">
        <f ca="1"/>
        <v>PKEK25VE0010883A</v>
      </c>
      <c r="C589" s="94" t="str">
        <f ca="1"/>
        <v>LEAF</v>
      </c>
      <c r="D589" s="94" t="str">
        <f ca="1"/>
        <v>396</v>
      </c>
      <c r="E589" s="94" t="str">
        <f ca="1"/>
        <v>FV012282902</v>
      </c>
      <c r="F589" s="94" t="str">
        <f ca="1"/>
        <v>C1500427</v>
      </c>
      <c r="G589" s="94" t="str">
        <f ca="1"/>
        <v>B</v>
      </c>
      <c r="H589" s="94" t="str">
        <f ca="1"/>
        <v>CF003130484</v>
      </c>
      <c r="I589" s="94" t="str">
        <f ca="1"/>
        <v>A</v>
      </c>
      <c r="J589" s="94">
        <f ca="1"/>
        <v>12.4</v>
      </c>
      <c r="K589" s="94"/>
      <c r="L589" s="94">
        <f ca="1"/>
        <v>43.37</v>
      </c>
      <c r="M589" s="94" t="str">
        <f ca="1"/>
        <v>63/65"</v>
      </c>
      <c r="N589" s="94">
        <f ca="1"/>
        <v>64</v>
      </c>
      <c r="O589" s="94" t="str">
        <f ca="1"/>
        <v>Color Mark (PD) [PD沾色]</v>
      </c>
      <c r="P589" s="95" t="str">
        <f ca="1"/>
        <v/>
      </c>
      <c r="Q589" s="95" t="str">
        <f ca="1"/>
        <v/>
      </c>
      <c r="R589" s="96">
        <f ca="1"/>
        <v>46109</v>
      </c>
    </row>
    <row r="590" spans="1:18" s="90" customFormat="1" ht="55" customHeight="1" x14ac:dyDescent="0.35">
      <c r="A590" s="94" t="str">
        <f ca="1"/>
        <v>S25V10883</v>
      </c>
      <c r="B590" s="94" t="str">
        <f ca="1"/>
        <v>PKEK25VE0010883A</v>
      </c>
      <c r="C590" s="94" t="str">
        <f ca="1"/>
        <v>LEAF</v>
      </c>
      <c r="D590" s="94" t="str">
        <f ca="1"/>
        <v>396</v>
      </c>
      <c r="E590" s="94" t="str">
        <f ca="1"/>
        <v>FV012282902</v>
      </c>
      <c r="F590" s="94" t="str">
        <f ca="1"/>
        <v>C1500427</v>
      </c>
      <c r="G590" s="94" t="str">
        <f ca="1"/>
        <v>B</v>
      </c>
      <c r="H590" s="94" t="str">
        <f ca="1"/>
        <v>CF003130485</v>
      </c>
      <c r="I590" s="94" t="str">
        <f ca="1"/>
        <v>A</v>
      </c>
      <c r="J590" s="94">
        <f ca="1"/>
        <v>22.3</v>
      </c>
      <c r="K590" s="94"/>
      <c r="L590" s="94">
        <f ca="1"/>
        <v>77.989999999999995</v>
      </c>
      <c r="M590" s="94" t="str">
        <f ca="1"/>
        <v>63/65"</v>
      </c>
      <c r="N590" s="94">
        <f ca="1"/>
        <v>64</v>
      </c>
      <c r="O590" s="94" t="str">
        <f ca="1"/>
        <v/>
      </c>
      <c r="P590" s="95" t="str">
        <f ca="1"/>
        <v/>
      </c>
      <c r="Q590" s="95" t="str">
        <f ca="1"/>
        <v/>
      </c>
      <c r="R590" s="96">
        <f ca="1"/>
        <v>46109</v>
      </c>
    </row>
    <row r="591" spans="1:18" s="90" customFormat="1" ht="55" customHeight="1" x14ac:dyDescent="0.35">
      <c r="A591" s="94" t="str">
        <f ca="1"/>
        <v>S25V10883</v>
      </c>
      <c r="B591" s="94" t="str">
        <f ca="1"/>
        <v>PKEK25VE0010883A</v>
      </c>
      <c r="C591" s="94" t="str">
        <f ca="1"/>
        <v>LEAF</v>
      </c>
      <c r="D591" s="94" t="str">
        <f ca="1"/>
        <v>396</v>
      </c>
      <c r="E591" s="94" t="str">
        <f ca="1"/>
        <v>FV012282902</v>
      </c>
      <c r="F591" s="94" t="str">
        <f ca="1"/>
        <v>C1500427</v>
      </c>
      <c r="G591" s="94" t="str">
        <f ca="1"/>
        <v>B</v>
      </c>
      <c r="H591" s="94" t="str">
        <f ca="1"/>
        <v>CF003130486</v>
      </c>
      <c r="I591" s="94" t="str">
        <f ca="1"/>
        <v>A</v>
      </c>
      <c r="J591" s="94">
        <f ca="1"/>
        <v>17</v>
      </c>
      <c r="K591" s="94"/>
      <c r="L591" s="94">
        <f ca="1"/>
        <v>59.46</v>
      </c>
      <c r="M591" s="94" t="str">
        <f ca="1"/>
        <v>63/65"</v>
      </c>
      <c r="N591" s="94">
        <f ca="1"/>
        <v>64</v>
      </c>
      <c r="O591" s="94" t="str">
        <f ca="1"/>
        <v/>
      </c>
      <c r="P591" s="95" t="str">
        <f ca="1"/>
        <v/>
      </c>
      <c r="Q591" s="95" t="str">
        <f ca="1"/>
        <v/>
      </c>
      <c r="R591" s="96">
        <f ca="1"/>
        <v>46109</v>
      </c>
    </row>
    <row r="592" spans="1:18" s="90" customFormat="1" ht="55" customHeight="1" x14ac:dyDescent="0.35">
      <c r="A592" s="94" t="str">
        <f ca="1"/>
        <v>S25V10883</v>
      </c>
      <c r="B592" s="94" t="str">
        <f ca="1"/>
        <v>PKEK25VE0010883A</v>
      </c>
      <c r="C592" s="94" t="str">
        <f ca="1"/>
        <v>LEAF</v>
      </c>
      <c r="D592" s="94" t="str">
        <f ca="1"/>
        <v>396</v>
      </c>
      <c r="E592" s="94" t="str">
        <f ca="1"/>
        <v>FV012282902</v>
      </c>
      <c r="F592" s="94" t="str">
        <f ca="1"/>
        <v>C1500427</v>
      </c>
      <c r="G592" s="94" t="str">
        <f ca="1"/>
        <v>B</v>
      </c>
      <c r="H592" s="94" t="str">
        <f ca="1"/>
        <v>CF003130487</v>
      </c>
      <c r="I592" s="94" t="str">
        <f ca="1"/>
        <v>A</v>
      </c>
      <c r="J592" s="94">
        <f ca="1"/>
        <v>22.4</v>
      </c>
      <c r="K592" s="94"/>
      <c r="L592" s="94">
        <f ca="1"/>
        <v>78.34</v>
      </c>
      <c r="M592" s="94" t="str">
        <f ca="1"/>
        <v>63/65"</v>
      </c>
      <c r="N592" s="94">
        <f ca="1"/>
        <v>64</v>
      </c>
      <c r="O592" s="94" t="str">
        <f ca="1"/>
        <v/>
      </c>
      <c r="P592" s="95" t="str">
        <f ca="1"/>
        <v/>
      </c>
      <c r="Q592" s="95" t="str">
        <f ca="1"/>
        <v/>
      </c>
      <c r="R592" s="96">
        <f ca="1"/>
        <v>46111</v>
      </c>
    </row>
    <row r="593" spans="1:18" s="90" customFormat="1" ht="55" customHeight="1" x14ac:dyDescent="0.35">
      <c r="A593" s="94" t="str">
        <f ca="1"/>
        <v>S25V10883</v>
      </c>
      <c r="B593" s="94" t="str">
        <f ca="1"/>
        <v>PKEK25VE0010883A</v>
      </c>
      <c r="C593" s="94" t="str">
        <f ca="1"/>
        <v>LEAF</v>
      </c>
      <c r="D593" s="94" t="str">
        <f ca="1"/>
        <v>396</v>
      </c>
      <c r="E593" s="94" t="str">
        <f ca="1"/>
        <v>FV012282902</v>
      </c>
      <c r="F593" s="94" t="str">
        <f ca="1"/>
        <v>C1500427</v>
      </c>
      <c r="G593" s="94" t="str">
        <f ca="1"/>
        <v>B</v>
      </c>
      <c r="H593" s="94" t="str">
        <f ca="1"/>
        <v>CF003130488</v>
      </c>
      <c r="I593" s="94" t="str">
        <f ca="1"/>
        <v>A</v>
      </c>
      <c r="J593" s="94">
        <f ca="1"/>
        <v>22.4</v>
      </c>
      <c r="K593" s="94"/>
      <c r="L593" s="94">
        <f ca="1"/>
        <v>78.34</v>
      </c>
      <c r="M593" s="94" t="str">
        <f ca="1"/>
        <v>63/65"</v>
      </c>
      <c r="N593" s="94">
        <f ca="1"/>
        <v>64</v>
      </c>
      <c r="O593" s="94" t="str">
        <f ca="1"/>
        <v/>
      </c>
      <c r="P593" s="95" t="str">
        <f ca="1"/>
        <v/>
      </c>
      <c r="Q593" s="95" t="str">
        <f ca="1"/>
        <v/>
      </c>
      <c r="R593" s="96">
        <f ca="1"/>
        <v>46109</v>
      </c>
    </row>
    <row r="594" spans="1:18" s="90" customFormat="1" ht="55" customHeight="1" x14ac:dyDescent="0.35">
      <c r="A594" s="94" t="str">
        <f ca="1"/>
        <v>S25V10883</v>
      </c>
      <c r="B594" s="94" t="str">
        <f ca="1"/>
        <v>PKEK25VE0010883A</v>
      </c>
      <c r="C594" s="94" t="str">
        <f ca="1"/>
        <v>LEAF</v>
      </c>
      <c r="D594" s="94" t="str">
        <f ca="1"/>
        <v>396</v>
      </c>
      <c r="E594" s="94" t="str">
        <f ca="1"/>
        <v>FV012282902</v>
      </c>
      <c r="F594" s="94" t="str">
        <f ca="1"/>
        <v>C1500427</v>
      </c>
      <c r="G594" s="94" t="str">
        <f ca="1"/>
        <v>B</v>
      </c>
      <c r="H594" s="94" t="str">
        <f ca="1"/>
        <v>CF003130489</v>
      </c>
      <c r="I594" s="94" t="str">
        <f ca="1"/>
        <v>A</v>
      </c>
      <c r="J594" s="94">
        <f ca="1"/>
        <v>22</v>
      </c>
      <c r="K594" s="94"/>
      <c r="L594" s="94">
        <f ca="1"/>
        <v>76.94</v>
      </c>
      <c r="M594" s="94" t="str">
        <f ca="1"/>
        <v>63/65"</v>
      </c>
      <c r="N594" s="94">
        <f ca="1"/>
        <v>64</v>
      </c>
      <c r="O594" s="94" t="str">
        <f ca="1"/>
        <v/>
      </c>
      <c r="P594" s="95" t="str">
        <f ca="1"/>
        <v/>
      </c>
      <c r="Q594" s="95" t="str">
        <f ca="1"/>
        <v/>
      </c>
      <c r="R594" s="96">
        <f ca="1"/>
        <v>46111</v>
      </c>
    </row>
    <row r="595" spans="1:18" s="90" customFormat="1" ht="55" customHeight="1" x14ac:dyDescent="0.35">
      <c r="A595" s="94" t="str">
        <f ca="1"/>
        <v>S25V10883</v>
      </c>
      <c r="B595" s="94" t="str">
        <f ca="1"/>
        <v>PKEK25VE0010883A</v>
      </c>
      <c r="C595" s="94" t="str">
        <f ca="1"/>
        <v>LEAF</v>
      </c>
      <c r="D595" s="94" t="str">
        <f ca="1"/>
        <v>396</v>
      </c>
      <c r="E595" s="94" t="str">
        <f ca="1"/>
        <v>FV012282902</v>
      </c>
      <c r="F595" s="94" t="str">
        <f ca="1"/>
        <v>C1500427</v>
      </c>
      <c r="G595" s="94" t="str">
        <f ca="1"/>
        <v>B</v>
      </c>
      <c r="H595" s="94" t="str">
        <f ca="1"/>
        <v>CF003130490</v>
      </c>
      <c r="I595" s="94" t="str">
        <f ca="1"/>
        <v>A</v>
      </c>
      <c r="J595" s="94">
        <f ca="1"/>
        <v>32.1</v>
      </c>
      <c r="K595" s="94"/>
      <c r="L595" s="94">
        <f ca="1"/>
        <v>112.27</v>
      </c>
      <c r="M595" s="94" t="str">
        <f ca="1"/>
        <v>63/65"</v>
      </c>
      <c r="N595" s="94">
        <f ca="1"/>
        <v>64</v>
      </c>
      <c r="O595" s="94" t="str">
        <f ca="1"/>
        <v/>
      </c>
      <c r="P595" s="95" t="str">
        <f ca="1"/>
        <v/>
      </c>
      <c r="Q595" s="95" t="str">
        <f ca="1"/>
        <v/>
      </c>
      <c r="R595" s="96">
        <f ca="1"/>
        <v>46111</v>
      </c>
    </row>
    <row r="596" spans="1:18" s="90" customFormat="1" ht="55" customHeight="1" x14ac:dyDescent="0.35">
      <c r="A596" s="94" t="str">
        <f ca="1"/>
        <v>S25V10883</v>
      </c>
      <c r="B596" s="94" t="str">
        <f ca="1"/>
        <v>PKEK25VE0010883A</v>
      </c>
      <c r="C596" s="94" t="str">
        <f ca="1"/>
        <v>LEAF</v>
      </c>
      <c r="D596" s="94" t="str">
        <f ca="1"/>
        <v>396</v>
      </c>
      <c r="E596" s="94" t="str">
        <f ca="1"/>
        <v>FV012282902</v>
      </c>
      <c r="F596" s="94" t="str">
        <f ca="1"/>
        <v>C1500427</v>
      </c>
      <c r="G596" s="94" t="str">
        <f ca="1"/>
        <v>B</v>
      </c>
      <c r="H596" s="94" t="str">
        <f ca="1"/>
        <v>CF003130557</v>
      </c>
      <c r="I596" s="94" t="str">
        <f ca="1"/>
        <v>A</v>
      </c>
      <c r="J596" s="94">
        <f ca="1"/>
        <v>22.3</v>
      </c>
      <c r="K596" s="94"/>
      <c r="L596" s="94">
        <f ca="1"/>
        <v>77.989999999999995</v>
      </c>
      <c r="M596" s="94" t="str">
        <f ca="1"/>
        <v>63/65"</v>
      </c>
      <c r="N596" s="94">
        <f ca="1"/>
        <v>64</v>
      </c>
      <c r="O596" s="94" t="str">
        <f ca="1"/>
        <v/>
      </c>
      <c r="P596" s="95" t="str">
        <f ca="1"/>
        <v/>
      </c>
      <c r="Q596" s="95" t="str">
        <f ca="1"/>
        <v/>
      </c>
      <c r="R596" s="96">
        <f ca="1"/>
        <v>46109</v>
      </c>
    </row>
    <row r="597" spans="1:18" s="90" customFormat="1" ht="55" customHeight="1" x14ac:dyDescent="0.35">
      <c r="A597" s="94" t="str">
        <f ca="1"/>
        <v>S25V10883</v>
      </c>
      <c r="B597" s="94" t="str">
        <f ca="1"/>
        <v>PKEK25VE0010883A</v>
      </c>
      <c r="C597" s="94" t="str">
        <f ca="1"/>
        <v>LEAF</v>
      </c>
      <c r="D597" s="94" t="str">
        <f ca="1"/>
        <v>396</v>
      </c>
      <c r="E597" s="94" t="str">
        <f ca="1"/>
        <v>FV012282902</v>
      </c>
      <c r="F597" s="94" t="str">
        <f ca="1"/>
        <v>C1500427</v>
      </c>
      <c r="G597" s="94" t="str">
        <f ca="1"/>
        <v>B</v>
      </c>
      <c r="H597" s="94" t="str">
        <f ca="1"/>
        <v>CF003130558</v>
      </c>
      <c r="I597" s="94" t="str">
        <f ca="1"/>
        <v>A</v>
      </c>
      <c r="J597" s="94">
        <f ca="1"/>
        <v>17</v>
      </c>
      <c r="K597" s="94"/>
      <c r="L597" s="94">
        <f ca="1"/>
        <v>59.46</v>
      </c>
      <c r="M597" s="94" t="str">
        <f ca="1"/>
        <v>63/65"</v>
      </c>
      <c r="N597" s="94">
        <f ca="1"/>
        <v>64</v>
      </c>
      <c r="O597" s="94" t="str">
        <f ca="1"/>
        <v/>
      </c>
      <c r="P597" s="95" t="str">
        <f ca="1"/>
        <v/>
      </c>
      <c r="Q597" s="95" t="str">
        <f ca="1"/>
        <v/>
      </c>
      <c r="R597" s="96">
        <f ca="1"/>
        <v>46109</v>
      </c>
    </row>
    <row r="598" spans="1:18" s="90" customFormat="1" ht="55" customHeight="1" x14ac:dyDescent="0.35">
      <c r="A598" s="94" t="str">
        <f ca="1"/>
        <v>S25V10883</v>
      </c>
      <c r="B598" s="94" t="str">
        <f ca="1"/>
        <v>PKEK25VE0010883A</v>
      </c>
      <c r="C598" s="94" t="str">
        <f ca="1"/>
        <v>LEAF</v>
      </c>
      <c r="D598" s="94" t="str">
        <f ca="1"/>
        <v>396</v>
      </c>
      <c r="E598" s="94" t="str">
        <f ca="1"/>
        <v>FV012282902</v>
      </c>
      <c r="F598" s="94" t="str">
        <f ca="1"/>
        <v>C1500427</v>
      </c>
      <c r="G598" s="94" t="str">
        <f ca="1"/>
        <v>B</v>
      </c>
      <c r="H598" s="94" t="str">
        <f ca="1"/>
        <v>CF003130560</v>
      </c>
      <c r="I598" s="94" t="str">
        <f ca="1"/>
        <v>A</v>
      </c>
      <c r="J598" s="94">
        <f ca="1"/>
        <v>22.4</v>
      </c>
      <c r="K598" s="94"/>
      <c r="L598" s="94">
        <f ca="1"/>
        <v>78.34</v>
      </c>
      <c r="M598" s="94" t="str">
        <f ca="1"/>
        <v>63/65"</v>
      </c>
      <c r="N598" s="94">
        <f ca="1"/>
        <v>64</v>
      </c>
      <c r="O598" s="94" t="str">
        <f ca="1"/>
        <v/>
      </c>
      <c r="P598" s="95" t="str">
        <f ca="1"/>
        <v/>
      </c>
      <c r="Q598" s="95" t="str">
        <f ca="1"/>
        <v/>
      </c>
      <c r="R598" s="96">
        <f ca="1"/>
        <v>46111</v>
      </c>
    </row>
    <row r="599" spans="1:18" s="90" customFormat="1" ht="55" customHeight="1" x14ac:dyDescent="0.35">
      <c r="A599" s="94" t="str">
        <f ca="1"/>
        <v>S25V10883</v>
      </c>
      <c r="B599" s="94" t="str">
        <f ca="1"/>
        <v>PKEK25VE0010883A</v>
      </c>
      <c r="C599" s="94" t="str">
        <f ca="1"/>
        <v>MAGENTA</v>
      </c>
      <c r="D599" s="94" t="str">
        <f ca="1"/>
        <v>604</v>
      </c>
      <c r="E599" s="94" t="str">
        <f ca="1"/>
        <v>FV012282101</v>
      </c>
      <c r="F599" s="94" t="str">
        <f ca="1"/>
        <v>C1500427</v>
      </c>
      <c r="G599" s="94" t="str">
        <f ca="1"/>
        <v>B</v>
      </c>
      <c r="H599" s="94" t="str">
        <f ca="1"/>
        <v>CF003133655</v>
      </c>
      <c r="I599" s="94" t="str">
        <f ca="1"/>
        <v>A</v>
      </c>
      <c r="J599" s="94">
        <f ca="1"/>
        <v>6</v>
      </c>
      <c r="K599" s="94"/>
      <c r="L599" s="94">
        <f ca="1"/>
        <v>20.34</v>
      </c>
      <c r="M599" s="94" t="str">
        <f ca="1"/>
        <v>63/65"</v>
      </c>
      <c r="N599" s="94">
        <f ca="1"/>
        <v>63</v>
      </c>
      <c r="O599" s="94" t="str">
        <f ca="1"/>
        <v/>
      </c>
      <c r="P599" s="95" t="str">
        <f ca="1"/>
        <v/>
      </c>
      <c r="Q599" s="95" t="str">
        <f ca="1"/>
        <v/>
      </c>
      <c r="R599" s="96">
        <f ca="1"/>
        <v>46113</v>
      </c>
    </row>
    <row r="600" spans="1:18" s="90" customFormat="1" ht="55" customHeight="1" x14ac:dyDescent="0.35">
      <c r="A600" s="94" t="str">
        <f ca="1"/>
        <v>S25V10883</v>
      </c>
      <c r="B600" s="94" t="str">
        <f ca="1"/>
        <v>PKEK25VE0010883A</v>
      </c>
      <c r="C600" s="94" t="str">
        <f ca="1"/>
        <v>PALE YELLOW</v>
      </c>
      <c r="D600" s="94" t="str">
        <f ca="1"/>
        <v>702</v>
      </c>
      <c r="E600" s="94" t="str">
        <f ca="1"/>
        <v>FV012282401</v>
      </c>
      <c r="F600" s="94" t="str">
        <f ca="1"/>
        <v>C1500427</v>
      </c>
      <c r="G600" s="94" t="str">
        <f ca="1"/>
        <v>B</v>
      </c>
      <c r="H600" s="94" t="str">
        <f ca="1"/>
        <v>CF003134011</v>
      </c>
      <c r="I600" s="94" t="str">
        <f ca="1"/>
        <v>A</v>
      </c>
      <c r="J600" s="94">
        <f ca="1"/>
        <v>6</v>
      </c>
      <c r="K600" s="94"/>
      <c r="L600" s="94">
        <f ca="1"/>
        <v>20.51</v>
      </c>
      <c r="M600" s="94" t="str">
        <f ca="1"/>
        <v>63/65"</v>
      </c>
      <c r="N600" s="94">
        <f ca="1"/>
        <v>63</v>
      </c>
      <c r="O600" s="94" t="str">
        <f ca="1"/>
        <v/>
      </c>
      <c r="P600" s="95" t="str">
        <f ca="1"/>
        <v/>
      </c>
      <c r="Q600" s="95" t="str">
        <f ca="1"/>
        <v/>
      </c>
      <c r="R600" s="96">
        <f ca="1"/>
        <v>46113</v>
      </c>
    </row>
    <row r="601" spans="1:18" s="90" customFormat="1" ht="55" customHeight="1" x14ac:dyDescent="0.35">
      <c r="A601" s="94" t="str">
        <f ca="1"/>
        <v>S25V10883</v>
      </c>
      <c r="B601" s="94" t="str">
        <f ca="1"/>
        <v>PKEK25VE0010883A</v>
      </c>
      <c r="C601" s="94" t="str">
        <f ca="1"/>
        <v>BERRY</v>
      </c>
      <c r="D601" s="94" t="str">
        <f ca="1"/>
        <v>652</v>
      </c>
      <c r="E601" s="94" t="str">
        <f ca="1"/>
        <v>FV012282601</v>
      </c>
      <c r="F601" s="94" t="str">
        <f ca="1"/>
        <v>C1500427</v>
      </c>
      <c r="G601" s="94" t="str">
        <f ca="1"/>
        <v>B</v>
      </c>
      <c r="H601" s="94" t="str">
        <f ca="1"/>
        <v>CF003134475</v>
      </c>
      <c r="I601" s="94" t="str">
        <f ca="1"/>
        <v>A</v>
      </c>
      <c r="J601" s="94">
        <f ca="1"/>
        <v>6</v>
      </c>
      <c r="K601" s="94"/>
      <c r="L601" s="94">
        <f ca="1"/>
        <v>20.87</v>
      </c>
      <c r="M601" s="94" t="str">
        <f ca="1"/>
        <v>63/65"</v>
      </c>
      <c r="N601" s="94">
        <f ca="1"/>
        <v>63</v>
      </c>
      <c r="O601" s="94" t="str">
        <f ca="1"/>
        <v/>
      </c>
      <c r="P601" s="95" t="str">
        <f ca="1"/>
        <v/>
      </c>
      <c r="Q601" s="95" t="str">
        <f ca="1"/>
        <v/>
      </c>
      <c r="R601" s="96">
        <f ca="1"/>
        <v>46113</v>
      </c>
    </row>
    <row r="602" spans="1:18" s="90" customFormat="1" ht="55" customHeight="1" x14ac:dyDescent="0.35">
      <c r="A602" s="94" t="str">
        <f ca="1"/>
        <v>S25V10883</v>
      </c>
      <c r="B602" s="94" t="str">
        <f ca="1"/>
        <v>PKEK25VE0010883A</v>
      </c>
      <c r="C602" s="94" t="str">
        <f ca="1"/>
        <v>Air Force Blue</v>
      </c>
      <c r="D602" s="94" t="str">
        <f ca="1"/>
        <v>957</v>
      </c>
      <c r="E602" s="94" t="str">
        <f ca="1"/>
        <v>FV012282801</v>
      </c>
      <c r="F602" s="94" t="str">
        <f ca="1"/>
        <v>C1500427</v>
      </c>
      <c r="G602" s="94" t="str">
        <f ca="1"/>
        <v>B</v>
      </c>
      <c r="H602" s="94" t="str">
        <f ca="1"/>
        <v>CF003134489</v>
      </c>
      <c r="I602" s="94" t="str">
        <f ca="1"/>
        <v>A</v>
      </c>
      <c r="J602" s="94">
        <f ca="1"/>
        <v>6</v>
      </c>
      <c r="K602" s="94"/>
      <c r="L602" s="94">
        <f ca="1"/>
        <v>20.92</v>
      </c>
      <c r="M602" s="94" t="str">
        <f ca="1"/>
        <v>63/65"</v>
      </c>
      <c r="N602" s="94">
        <f ca="1"/>
        <v>63</v>
      </c>
      <c r="O602" s="94" t="str">
        <f ca="1"/>
        <v/>
      </c>
      <c r="P602" s="95" t="str">
        <f ca="1"/>
        <v/>
      </c>
      <c r="Q602" s="95" t="str">
        <f ca="1"/>
        <v/>
      </c>
      <c r="R602" s="96">
        <f ca="1"/>
        <v>46113</v>
      </c>
    </row>
    <row r="603" spans="1:18" s="90" customFormat="1" ht="55" customHeight="1" x14ac:dyDescent="0.35">
      <c r="A603" s="94" t="str">
        <f ca="1"/>
        <v>S25V10883</v>
      </c>
      <c r="B603" s="94" t="str">
        <f ca="1"/>
        <v>PKEK25VE0010883A</v>
      </c>
      <c r="C603" s="94" t="str">
        <f ca="1"/>
        <v>CANVAS</v>
      </c>
      <c r="D603" s="94" t="str">
        <f ca="1"/>
        <v>286</v>
      </c>
      <c r="E603" s="94" t="str">
        <f ca="1"/>
        <v>FV012282201</v>
      </c>
      <c r="F603" s="94" t="str">
        <f ca="1"/>
        <v>C1500427</v>
      </c>
      <c r="G603" s="94" t="str">
        <f ca="1"/>
        <v>B</v>
      </c>
      <c r="H603" s="94" t="str">
        <f ca="1"/>
        <v>CF003135450</v>
      </c>
      <c r="I603" s="94" t="str">
        <f ca="1"/>
        <v>A</v>
      </c>
      <c r="J603" s="94">
        <f ca="1"/>
        <v>6</v>
      </c>
      <c r="K603" s="94"/>
      <c r="L603" s="94">
        <f ca="1"/>
        <v>21.69</v>
      </c>
      <c r="M603" s="94" t="str">
        <f ca="1"/>
        <v>63/65"</v>
      </c>
      <c r="N603" s="94">
        <f ca="1"/>
        <v>63</v>
      </c>
      <c r="O603" s="94" t="str">
        <f ca="1"/>
        <v/>
      </c>
      <c r="P603" s="95" t="str">
        <f ca="1"/>
        <v/>
      </c>
      <c r="Q603" s="95" t="str">
        <f ca="1"/>
        <v/>
      </c>
      <c r="R603" s="96">
        <f ca="1"/>
        <v>46114</v>
      </c>
    </row>
    <row r="604" spans="1:18" s="90" customFormat="1" ht="55" customHeight="1" x14ac:dyDescent="0.35">
      <c r="A604" s="94" t="str">
        <f ca="1"/>
        <v>S25V10883</v>
      </c>
      <c r="B604" s="94" t="str">
        <f ca="1"/>
        <v>PKEK25VE0010883A</v>
      </c>
      <c r="C604" s="94" t="str">
        <f ca="1"/>
        <v>BLUE MELANGE</v>
      </c>
      <c r="D604" s="94" t="str">
        <f ca="1"/>
        <v>468</v>
      </c>
      <c r="E604" s="94" t="str">
        <f ca="1"/>
        <v>FV012280102</v>
      </c>
      <c r="F604" s="94" t="str">
        <f ca="1"/>
        <v>C1600074</v>
      </c>
      <c r="G604" s="94" t="str">
        <f ca="1"/>
        <v>B</v>
      </c>
      <c r="H604" s="94" t="str">
        <f ca="1"/>
        <v>CF003135637</v>
      </c>
      <c r="I604" s="94" t="str">
        <f ca="1"/>
        <v>A</v>
      </c>
      <c r="J604" s="94">
        <f ca="1"/>
        <v>6.5</v>
      </c>
      <c r="K604" s="94"/>
      <c r="L604" s="94">
        <f ca="1"/>
        <v>21.46</v>
      </c>
      <c r="M604" s="94" t="str">
        <f ca="1"/>
        <v>63/65"</v>
      </c>
      <c r="N604" s="94">
        <f ca="1"/>
        <v>63</v>
      </c>
      <c r="O604" s="94" t="str">
        <f ca="1"/>
        <v/>
      </c>
      <c r="P604" s="95" t="str">
        <f ca="1"/>
        <v/>
      </c>
      <c r="Q604" s="95" t="str">
        <f ca="1"/>
        <v/>
      </c>
      <c r="R604" s="96">
        <f ca="1"/>
        <v>46114</v>
      </c>
    </row>
    <row r="605" spans="1:18" s="90" customFormat="1" ht="55" customHeight="1" x14ac:dyDescent="0.35">
      <c r="A605" s="94" t="str">
        <f ca="1"/>
        <v>S25V10883</v>
      </c>
      <c r="B605" s="94" t="str">
        <f ca="1"/>
        <v>PKEK25VE0010883A</v>
      </c>
      <c r="C605" s="94" t="str">
        <f ca="1"/>
        <v>LEAF</v>
      </c>
      <c r="D605" s="94" t="str">
        <f ca="1"/>
        <v>396</v>
      </c>
      <c r="E605" s="94" t="str">
        <f ca="1"/>
        <v>FV012282901</v>
      </c>
      <c r="F605" s="94" t="str">
        <f ca="1"/>
        <v>C1500427</v>
      </c>
      <c r="G605" s="94" t="str">
        <f ca="1"/>
        <v>B</v>
      </c>
      <c r="H605" s="94" t="str">
        <f ca="1"/>
        <v>CF003135639</v>
      </c>
      <c r="I605" s="94" t="str">
        <f ca="1"/>
        <v>A</v>
      </c>
      <c r="J605" s="94">
        <f ca="1"/>
        <v>6</v>
      </c>
      <c r="K605" s="94"/>
      <c r="L605" s="94">
        <f ca="1"/>
        <v>20.61</v>
      </c>
      <c r="M605" s="94" t="str">
        <f ca="1"/>
        <v>63/65"</v>
      </c>
      <c r="N605" s="94">
        <f ca="1"/>
        <v>63</v>
      </c>
      <c r="O605" s="94" t="str">
        <f ca="1"/>
        <v/>
      </c>
      <c r="P605" s="95" t="str">
        <f ca="1"/>
        <v/>
      </c>
      <c r="Q605" s="95" t="str">
        <f ca="1"/>
        <v/>
      </c>
      <c r="R605" s="96">
        <f ca="1"/>
        <v>46114</v>
      </c>
    </row>
    <row r="606" spans="1:18" s="90" customFormat="1" ht="55" customHeight="1" x14ac:dyDescent="0.35">
      <c r="A606" s="94" t="str">
        <f ca="1"/>
        <v>S25V10883</v>
      </c>
      <c r="B606" s="94" t="str">
        <f ca="1"/>
        <v>PKEK25VE0010883A</v>
      </c>
      <c r="C606" s="94" t="str">
        <f ca="1"/>
        <v>DEEP SEA</v>
      </c>
      <c r="D606" s="94" t="str">
        <f ca="1"/>
        <v>365</v>
      </c>
      <c r="E606" s="94" t="str">
        <f ca="1"/>
        <v>FV012282001A</v>
      </c>
      <c r="F606" s="94" t="str">
        <f ca="1"/>
        <v>C1500427</v>
      </c>
      <c r="G606" s="94" t="str">
        <f ca="1"/>
        <v>B</v>
      </c>
      <c r="H606" s="94" t="str">
        <f ca="1"/>
        <v>CF003135640</v>
      </c>
      <c r="I606" s="94" t="str">
        <f ca="1"/>
        <v>A</v>
      </c>
      <c r="J606" s="94">
        <f ca="1"/>
        <v>6</v>
      </c>
      <c r="K606" s="94"/>
      <c r="L606" s="94">
        <f ca="1"/>
        <v>20.72</v>
      </c>
      <c r="M606" s="94" t="str">
        <f ca="1"/>
        <v>63/65"</v>
      </c>
      <c r="N606" s="94">
        <f ca="1"/>
        <v>63</v>
      </c>
      <c r="O606" s="94" t="str">
        <f ca="1"/>
        <v/>
      </c>
      <c r="P606" s="95" t="str">
        <f ca="1"/>
        <v/>
      </c>
      <c r="Q606" s="95" t="str">
        <f ca="1"/>
        <v/>
      </c>
      <c r="R606" s="96">
        <f ca="1"/>
        <v>46114</v>
      </c>
    </row>
    <row r="607" spans="1:18" s="90" customFormat="1" ht="55" customHeight="1" x14ac:dyDescent="0.35">
      <c r="A607" s="94" t="str">
        <f ca="1"/>
        <v>S25V10883</v>
      </c>
      <c r="B607" s="94" t="str">
        <f ca="1"/>
        <v>PKEK25VE0010883A</v>
      </c>
      <c r="C607" s="94" t="str">
        <f ca="1"/>
        <v>DEEP SEA</v>
      </c>
      <c r="D607" s="94" t="str">
        <f ca="1"/>
        <v>365</v>
      </c>
      <c r="E607" s="94" t="str">
        <f ca="1"/>
        <v>FV012282002</v>
      </c>
      <c r="F607" s="94" t="str">
        <f ca="1"/>
        <v>C1500427</v>
      </c>
      <c r="G607" s="94" t="str">
        <f ca="1"/>
        <v>B</v>
      </c>
      <c r="H607" s="94" t="str">
        <f ca="1"/>
        <v>CF003136452</v>
      </c>
      <c r="I607" s="94" t="str">
        <f ca="1"/>
        <v>A</v>
      </c>
      <c r="J607" s="94">
        <f ca="1"/>
        <v>16.8</v>
      </c>
      <c r="K607" s="94"/>
      <c r="L607" s="94">
        <f ca="1"/>
        <v>60.15</v>
      </c>
      <c r="M607" s="94" t="str">
        <f ca="1"/>
        <v>63/65"</v>
      </c>
      <c r="N607" s="94">
        <f ca="1"/>
        <v>64</v>
      </c>
      <c r="O607" s="94" t="str">
        <f ca="1"/>
        <v>White mark [白印]</v>
      </c>
      <c r="P607" s="95" t="str">
        <f ca="1"/>
        <v/>
      </c>
      <c r="Q607" s="95" t="str">
        <f ca="1"/>
        <v/>
      </c>
      <c r="R607" s="96">
        <f ca="1"/>
        <v>46114</v>
      </c>
    </row>
    <row r="608" spans="1:18" s="90" customFormat="1" ht="55" customHeight="1" x14ac:dyDescent="0.35">
      <c r="A608" s="94" t="str">
        <f ca="1"/>
        <v>S25V10883</v>
      </c>
      <c r="B608" s="94" t="str">
        <f ca="1"/>
        <v>PKEK25VE0010883A</v>
      </c>
      <c r="C608" s="94" t="str">
        <f ca="1"/>
        <v>DEEP SEA</v>
      </c>
      <c r="D608" s="94" t="str">
        <f ca="1"/>
        <v>365</v>
      </c>
      <c r="E608" s="94" t="str">
        <f ca="1"/>
        <v>FV012282002</v>
      </c>
      <c r="F608" s="94" t="str">
        <f ca="1"/>
        <v>C1500427</v>
      </c>
      <c r="G608" s="94" t="str">
        <f ca="1"/>
        <v>B</v>
      </c>
      <c r="H608" s="94" t="str">
        <f ca="1"/>
        <v>CF003136453</v>
      </c>
      <c r="I608" s="94" t="str">
        <f ca="1"/>
        <v>A</v>
      </c>
      <c r="J608" s="94">
        <f ca="1"/>
        <v>18.899999999999999</v>
      </c>
      <c r="K608" s="94"/>
      <c r="L608" s="94">
        <f ca="1"/>
        <v>67.67</v>
      </c>
      <c r="M608" s="94" t="str">
        <f ca="1"/>
        <v>63/65"</v>
      </c>
      <c r="N608" s="94">
        <f ca="1"/>
        <v>64</v>
      </c>
      <c r="O608" s="94" t="str">
        <f ca="1"/>
        <v>White mark [白印]</v>
      </c>
      <c r="P608" s="95" t="str">
        <f ca="1"/>
        <v/>
      </c>
      <c r="Q608" s="95" t="str">
        <f ca="1"/>
        <v/>
      </c>
      <c r="R608" s="96">
        <f ca="1"/>
        <v>46114</v>
      </c>
    </row>
    <row r="609" spans="1:18" s="90" customFormat="1" ht="55" customHeight="1" x14ac:dyDescent="0.35">
      <c r="A609" s="94" t="str">
        <f ca="1"/>
        <v>S25V10883</v>
      </c>
      <c r="B609" s="94" t="str">
        <f ca="1"/>
        <v>PKEK25VE0010883A</v>
      </c>
      <c r="C609" s="94" t="str">
        <f ca="1"/>
        <v>DEEP SEA</v>
      </c>
      <c r="D609" s="94" t="str">
        <f ca="1"/>
        <v>365</v>
      </c>
      <c r="E609" s="94" t="str">
        <f ca="1"/>
        <v>FV012282002</v>
      </c>
      <c r="F609" s="94" t="str">
        <f ca="1"/>
        <v>C1500427</v>
      </c>
      <c r="G609" s="94" t="str">
        <f ca="1"/>
        <v>B</v>
      </c>
      <c r="H609" s="94" t="str">
        <f ca="1"/>
        <v>CF003136454</v>
      </c>
      <c r="I609" s="94" t="str">
        <f ca="1"/>
        <v>A</v>
      </c>
      <c r="J609" s="94">
        <f ca="1"/>
        <v>21.7</v>
      </c>
      <c r="K609" s="94"/>
      <c r="L609" s="94">
        <f ca="1"/>
        <v>77.7</v>
      </c>
      <c r="M609" s="94" t="str">
        <f ca="1"/>
        <v>63/65"</v>
      </c>
      <c r="N609" s="94">
        <f ca="1"/>
        <v>64</v>
      </c>
      <c r="O609" s="94" t="str">
        <f ca="1"/>
        <v>Hole (KN) [针织破洞]</v>
      </c>
      <c r="P609" s="95" t="str">
        <f ca="1"/>
        <v/>
      </c>
      <c r="Q609" s="95" t="str">
        <f ca="1"/>
        <v/>
      </c>
      <c r="R609" s="96">
        <f ca="1"/>
        <v>46114</v>
      </c>
    </row>
    <row r="610" spans="1:18" s="90" customFormat="1" ht="55" customHeight="1" x14ac:dyDescent="0.35">
      <c r="A610" s="94" t="str">
        <f ca="1"/>
        <v>S25V10883</v>
      </c>
      <c r="B610" s="94" t="str">
        <f ca="1"/>
        <v>PKEK25VE0010883A</v>
      </c>
      <c r="C610" s="94" t="str">
        <f ca="1"/>
        <v>DEEP SEA</v>
      </c>
      <c r="D610" s="94" t="str">
        <f ca="1"/>
        <v>365</v>
      </c>
      <c r="E610" s="94" t="str">
        <f ca="1"/>
        <v>FV012282002</v>
      </c>
      <c r="F610" s="94" t="str">
        <f ca="1"/>
        <v>C1500427</v>
      </c>
      <c r="G610" s="94" t="str">
        <f ca="1"/>
        <v>B</v>
      </c>
      <c r="H610" s="94" t="str">
        <f ca="1"/>
        <v>CF003136455</v>
      </c>
      <c r="I610" s="94" t="str">
        <f ca="1"/>
        <v>A</v>
      </c>
      <c r="J610" s="94">
        <f ca="1"/>
        <v>23.6</v>
      </c>
      <c r="K610" s="94"/>
      <c r="L610" s="94">
        <f ca="1"/>
        <v>84.5</v>
      </c>
      <c r="M610" s="94" t="str">
        <f ca="1"/>
        <v>63/65"</v>
      </c>
      <c r="N610" s="94">
        <f ca="1"/>
        <v>64</v>
      </c>
      <c r="O610" s="94" t="str">
        <f ca="1"/>
        <v/>
      </c>
      <c r="P610" s="95" t="str">
        <f ca="1"/>
        <v/>
      </c>
      <c r="Q610" s="95" t="str">
        <f ca="1"/>
        <v/>
      </c>
      <c r="R610" s="96">
        <f ca="1"/>
        <v>46114</v>
      </c>
    </row>
    <row r="611" spans="1:18" s="90" customFormat="1" ht="55" customHeight="1" x14ac:dyDescent="0.35">
      <c r="A611" s="94" t="str">
        <f ca="1"/>
        <v>S25V10883</v>
      </c>
      <c r="B611" s="94" t="str">
        <f ca="1"/>
        <v>PKEK25VE0010883A</v>
      </c>
      <c r="C611" s="94" t="str">
        <f ca="1"/>
        <v>DEEP SEA</v>
      </c>
      <c r="D611" s="94" t="str">
        <f ca="1"/>
        <v>365</v>
      </c>
      <c r="E611" s="94" t="str">
        <f ca="1"/>
        <v>FV012282002</v>
      </c>
      <c r="F611" s="94" t="str">
        <f ca="1"/>
        <v>C1500427</v>
      </c>
      <c r="G611" s="94" t="str">
        <f ca="1"/>
        <v>B</v>
      </c>
      <c r="H611" s="94" t="str">
        <f ca="1"/>
        <v>CF003136456</v>
      </c>
      <c r="I611" s="94" t="str">
        <f ca="1"/>
        <v>A</v>
      </c>
      <c r="J611" s="94">
        <f ca="1"/>
        <v>23.5</v>
      </c>
      <c r="K611" s="94"/>
      <c r="L611" s="94">
        <f ca="1"/>
        <v>84.14</v>
      </c>
      <c r="M611" s="94" t="str">
        <f ca="1"/>
        <v>63/65"</v>
      </c>
      <c r="N611" s="94">
        <f ca="1"/>
        <v>64</v>
      </c>
      <c r="O611" s="94" t="str">
        <f ca="1"/>
        <v/>
      </c>
      <c r="P611" s="95" t="str">
        <f ca="1"/>
        <v/>
      </c>
      <c r="Q611" s="95" t="str">
        <f ca="1"/>
        <v/>
      </c>
      <c r="R611" s="96">
        <f ca="1"/>
        <v>46114</v>
      </c>
    </row>
    <row r="612" spans="1:18" s="90" customFormat="1" ht="55" customHeight="1" x14ac:dyDescent="0.35">
      <c r="A612" s="94" t="str">
        <f ca="1"/>
        <v>S25V10883</v>
      </c>
      <c r="B612" s="94" t="str">
        <f ca="1"/>
        <v>PKEK25VE0010883A</v>
      </c>
      <c r="C612" s="94" t="str">
        <f ca="1"/>
        <v>DEEP SEA</v>
      </c>
      <c r="D612" s="94" t="str">
        <f ca="1"/>
        <v>365</v>
      </c>
      <c r="E612" s="94" t="str">
        <f ca="1"/>
        <v>FV012282002</v>
      </c>
      <c r="F612" s="94" t="str">
        <f ca="1"/>
        <v>C1500427</v>
      </c>
      <c r="G612" s="94" t="str">
        <f ca="1"/>
        <v>B</v>
      </c>
      <c r="H612" s="94" t="str">
        <f ca="1"/>
        <v>CF003136457</v>
      </c>
      <c r="I612" s="94" t="str">
        <f ca="1"/>
        <v>A</v>
      </c>
      <c r="J612" s="94">
        <f ca="1"/>
        <v>23.4</v>
      </c>
      <c r="K612" s="94"/>
      <c r="L612" s="94">
        <f ca="1"/>
        <v>83.78</v>
      </c>
      <c r="M612" s="94" t="str">
        <f ca="1"/>
        <v>63/65"</v>
      </c>
      <c r="N612" s="94">
        <f ca="1"/>
        <v>64</v>
      </c>
      <c r="O612" s="94" t="str">
        <f ca="1"/>
        <v>Hole (KN) [针织破洞]</v>
      </c>
      <c r="P612" s="95" t="str">
        <f ca="1"/>
        <v/>
      </c>
      <c r="Q612" s="95" t="str">
        <f ca="1"/>
        <v/>
      </c>
      <c r="R612" s="96">
        <f ca="1"/>
        <v>46114</v>
      </c>
    </row>
    <row r="613" spans="1:18" s="90" customFormat="1" ht="55" customHeight="1" x14ac:dyDescent="0.35">
      <c r="A613" s="94" t="str">
        <f ca="1"/>
        <v>S25V10883</v>
      </c>
      <c r="B613" s="94" t="str">
        <f ca="1"/>
        <v>PKEK25VE0010883A</v>
      </c>
      <c r="C613" s="94" t="str">
        <f ca="1"/>
        <v>DEEP SEA</v>
      </c>
      <c r="D613" s="94" t="str">
        <f ca="1"/>
        <v>365</v>
      </c>
      <c r="E613" s="94" t="str">
        <f ca="1"/>
        <v>FV012282002</v>
      </c>
      <c r="F613" s="94" t="str">
        <f ca="1"/>
        <v>C1500427</v>
      </c>
      <c r="G613" s="94" t="str">
        <f ca="1"/>
        <v>B</v>
      </c>
      <c r="H613" s="94" t="str">
        <f ca="1"/>
        <v>CF003136458</v>
      </c>
      <c r="I613" s="94" t="str">
        <f ca="1"/>
        <v>A</v>
      </c>
      <c r="J613" s="94">
        <f ca="1"/>
        <v>23.4</v>
      </c>
      <c r="K613" s="94"/>
      <c r="L613" s="94">
        <f ca="1"/>
        <v>83.78</v>
      </c>
      <c r="M613" s="94" t="str">
        <f ca="1"/>
        <v>63/65"</v>
      </c>
      <c r="N613" s="94">
        <f ca="1"/>
        <v>64</v>
      </c>
      <c r="O613" s="94" t="str">
        <f ca="1"/>
        <v>White mark [白印]</v>
      </c>
      <c r="P613" s="95" t="str">
        <f ca="1"/>
        <v/>
      </c>
      <c r="Q613" s="95" t="str">
        <f ca="1"/>
        <v/>
      </c>
      <c r="R613" s="96">
        <f ca="1"/>
        <v>46114</v>
      </c>
    </row>
    <row r="614" spans="1:18" s="90" customFormat="1" ht="55" customHeight="1" x14ac:dyDescent="0.35">
      <c r="A614" s="94" t="str">
        <f ca="1"/>
        <v>S25V10883</v>
      </c>
      <c r="B614" s="94" t="str">
        <f ca="1"/>
        <v>PKEK25VE0010883A</v>
      </c>
      <c r="C614" s="94" t="str">
        <f ca="1"/>
        <v>DEEP SEA</v>
      </c>
      <c r="D614" s="94" t="str">
        <f ca="1"/>
        <v>365</v>
      </c>
      <c r="E614" s="94" t="str">
        <f ca="1"/>
        <v>FV012282002</v>
      </c>
      <c r="F614" s="94" t="str">
        <f ca="1"/>
        <v>C1500427</v>
      </c>
      <c r="G614" s="94" t="str">
        <f ca="1"/>
        <v>B</v>
      </c>
      <c r="H614" s="94" t="str">
        <f ca="1"/>
        <v>CF003136459</v>
      </c>
      <c r="I614" s="94" t="str">
        <f ca="1"/>
        <v>A</v>
      </c>
      <c r="J614" s="94">
        <f ca="1"/>
        <v>11.6</v>
      </c>
      <c r="K614" s="94"/>
      <c r="L614" s="94">
        <f ca="1"/>
        <v>41.53</v>
      </c>
      <c r="M614" s="94" t="str">
        <f ca="1"/>
        <v>63/65"</v>
      </c>
      <c r="N614" s="94">
        <f ca="1"/>
        <v>64</v>
      </c>
      <c r="O614" s="94" t="str">
        <f ca="1"/>
        <v>Piece-up(FN) [后整接口]</v>
      </c>
      <c r="P614" s="95" t="str">
        <f ca="1"/>
        <v/>
      </c>
      <c r="Q614" s="95" t="str">
        <f ca="1"/>
        <v/>
      </c>
      <c r="R614" s="96">
        <f ca="1"/>
        <v>46114</v>
      </c>
    </row>
    <row r="615" spans="1:18" s="90" customFormat="1" ht="55" customHeight="1" x14ac:dyDescent="0.35">
      <c r="A615" s="94" t="str">
        <f ca="1"/>
        <v>S25V10883</v>
      </c>
      <c r="B615" s="94" t="str">
        <f ca="1"/>
        <v>PKEK25VE0010883A</v>
      </c>
      <c r="C615" s="94" t="str">
        <f ca="1"/>
        <v>DEEP SEA</v>
      </c>
      <c r="D615" s="94" t="str">
        <f ca="1"/>
        <v>365</v>
      </c>
      <c r="E615" s="94" t="str">
        <f ca="1"/>
        <v>FV012282002</v>
      </c>
      <c r="F615" s="94" t="str">
        <f ca="1"/>
        <v>C1500427</v>
      </c>
      <c r="G615" s="94" t="str">
        <f ca="1"/>
        <v>B</v>
      </c>
      <c r="H615" s="94" t="str">
        <f ca="1"/>
        <v>CF003136460</v>
      </c>
      <c r="I615" s="94" t="str">
        <f ca="1"/>
        <v>A</v>
      </c>
      <c r="J615" s="94">
        <f ca="1"/>
        <v>23.7</v>
      </c>
      <c r="K615" s="94"/>
      <c r="L615" s="94">
        <f ca="1"/>
        <v>84.86</v>
      </c>
      <c r="M615" s="94" t="str">
        <f ca="1"/>
        <v>63/65"</v>
      </c>
      <c r="N615" s="94">
        <f ca="1"/>
        <v>64</v>
      </c>
      <c r="O615" s="94" t="str">
        <f ca="1"/>
        <v>White mark [白印]</v>
      </c>
      <c r="P615" s="95" t="str">
        <f ca="1"/>
        <v/>
      </c>
      <c r="Q615" s="95" t="str">
        <f ca="1"/>
        <v/>
      </c>
      <c r="R615" s="96">
        <f ca="1"/>
        <v>46114</v>
      </c>
    </row>
    <row r="616" spans="1:18" s="90" customFormat="1" ht="55" customHeight="1" x14ac:dyDescent="0.35">
      <c r="A616" s="94" t="str">
        <f ca="1"/>
        <v>S25V10883</v>
      </c>
      <c r="B616" s="94" t="str">
        <f ca="1"/>
        <v>PKEK25VE0010883A</v>
      </c>
      <c r="C616" s="94" t="str">
        <f ca="1"/>
        <v>DEEP SEA</v>
      </c>
      <c r="D616" s="94" t="str">
        <f ca="1"/>
        <v>365</v>
      </c>
      <c r="E616" s="94" t="str">
        <f ca="1"/>
        <v>FV012282002</v>
      </c>
      <c r="F616" s="94" t="str">
        <f ca="1"/>
        <v>C1500427</v>
      </c>
      <c r="G616" s="94" t="str">
        <f ca="1"/>
        <v>B</v>
      </c>
      <c r="H616" s="94" t="str">
        <f ca="1"/>
        <v>CF003136461</v>
      </c>
      <c r="I616" s="94" t="str">
        <f ca="1"/>
        <v>A</v>
      </c>
      <c r="J616" s="94">
        <f ca="1"/>
        <v>23.5</v>
      </c>
      <c r="K616" s="94"/>
      <c r="L616" s="94">
        <f ca="1"/>
        <v>84.14</v>
      </c>
      <c r="M616" s="94" t="str">
        <f ca="1"/>
        <v>63/65"</v>
      </c>
      <c r="N616" s="94">
        <f ca="1"/>
        <v>64</v>
      </c>
      <c r="O616" s="94" t="str">
        <f ca="1"/>
        <v>Oil (PD) [匹染油污]</v>
      </c>
      <c r="P616" s="95" t="str">
        <f ca="1"/>
        <v/>
      </c>
      <c r="Q616" s="95" t="str">
        <f ca="1"/>
        <v/>
      </c>
      <c r="R616" s="96">
        <f ca="1"/>
        <v>46114</v>
      </c>
    </row>
    <row r="617" spans="1:18" s="90" customFormat="1" ht="55" customHeight="1" x14ac:dyDescent="0.35">
      <c r="A617" s="94" t="str">
        <f ca="1"/>
        <v>S25V10883</v>
      </c>
      <c r="B617" s="94" t="str">
        <f ca="1"/>
        <v>PKEK25VE0010883A</v>
      </c>
      <c r="C617" s="94" t="str">
        <f ca="1"/>
        <v>DEEP SEA</v>
      </c>
      <c r="D617" s="94" t="str">
        <f ca="1"/>
        <v>365</v>
      </c>
      <c r="E617" s="94" t="str">
        <f ca="1"/>
        <v>FV012282002</v>
      </c>
      <c r="F617" s="94" t="str">
        <f ca="1"/>
        <v>C1500427</v>
      </c>
      <c r="G617" s="94" t="str">
        <f ca="1"/>
        <v>B</v>
      </c>
      <c r="H617" s="94" t="str">
        <f ca="1"/>
        <v>CF003136462</v>
      </c>
      <c r="I617" s="94" t="str">
        <f ca="1"/>
        <v>A</v>
      </c>
      <c r="J617" s="94">
        <f ca="1"/>
        <v>23.5</v>
      </c>
      <c r="K617" s="94"/>
      <c r="L617" s="94">
        <f ca="1"/>
        <v>84.14</v>
      </c>
      <c r="M617" s="94" t="str">
        <f ca="1"/>
        <v>63/65"</v>
      </c>
      <c r="N617" s="94">
        <f ca="1"/>
        <v>64</v>
      </c>
      <c r="O617" s="94" t="str">
        <f ca="1"/>
        <v>Oil (PD) [匹染油污]</v>
      </c>
      <c r="P617" s="95" t="str">
        <f ca="1"/>
        <v/>
      </c>
      <c r="Q617" s="95" t="str">
        <f ca="1"/>
        <v/>
      </c>
      <c r="R617" s="96">
        <f ca="1"/>
        <v>46114</v>
      </c>
    </row>
    <row r="618" spans="1:18" s="90" customFormat="1" ht="55" customHeight="1" x14ac:dyDescent="0.35">
      <c r="A618" s="94" t="str">
        <f ca="1"/>
        <v>S25V10883</v>
      </c>
      <c r="B618" s="94" t="str">
        <f ca="1"/>
        <v>PKEK25VE0010883A</v>
      </c>
      <c r="C618" s="94" t="str">
        <f ca="1"/>
        <v>DEEP SEA</v>
      </c>
      <c r="D618" s="94" t="str">
        <f ca="1"/>
        <v>365</v>
      </c>
      <c r="E618" s="94" t="str">
        <f ca="1"/>
        <v>FV012282002</v>
      </c>
      <c r="F618" s="94" t="str">
        <f ca="1"/>
        <v>C1500427</v>
      </c>
      <c r="G618" s="94" t="str">
        <f ca="1"/>
        <v>B</v>
      </c>
      <c r="H618" s="94" t="str">
        <f ca="1"/>
        <v>CF003136463</v>
      </c>
      <c r="I618" s="94" t="str">
        <f ca="1"/>
        <v>A</v>
      </c>
      <c r="J618" s="94">
        <f ca="1"/>
        <v>23.8</v>
      </c>
      <c r="K618" s="94"/>
      <c r="L618" s="94">
        <f ca="1"/>
        <v>85.22</v>
      </c>
      <c r="M618" s="94" t="str">
        <f ca="1"/>
        <v>63/65"</v>
      </c>
      <c r="N618" s="94">
        <f ca="1"/>
        <v>64</v>
      </c>
      <c r="O618" s="94" t="str">
        <f ca="1"/>
        <v/>
      </c>
      <c r="P618" s="95" t="str">
        <f ca="1"/>
        <v/>
      </c>
      <c r="Q618" s="95" t="str">
        <f ca="1"/>
        <v/>
      </c>
      <c r="R618" s="96">
        <f ca="1"/>
        <v>46114</v>
      </c>
    </row>
    <row r="619" spans="1:18" s="90" customFormat="1" ht="55" customHeight="1" x14ac:dyDescent="0.35">
      <c r="A619" s="94" t="str">
        <f ca="1"/>
        <v>S25V10883</v>
      </c>
      <c r="B619" s="94" t="str">
        <f ca="1"/>
        <v>PKEK25VE0010883A</v>
      </c>
      <c r="C619" s="94" t="str">
        <f ca="1"/>
        <v>DEEP SEA</v>
      </c>
      <c r="D619" s="94" t="str">
        <f ca="1"/>
        <v>365</v>
      </c>
      <c r="E619" s="94" t="str">
        <f ca="1"/>
        <v>FV012282002</v>
      </c>
      <c r="F619" s="94" t="str">
        <f ca="1"/>
        <v>C1500427</v>
      </c>
      <c r="G619" s="94" t="str">
        <f ca="1"/>
        <v>B</v>
      </c>
      <c r="H619" s="94" t="str">
        <f ca="1"/>
        <v>CF003136464</v>
      </c>
      <c r="I619" s="94" t="str">
        <f ca="1"/>
        <v>A</v>
      </c>
      <c r="J619" s="94">
        <f ca="1"/>
        <v>11</v>
      </c>
      <c r="K619" s="94"/>
      <c r="L619" s="94">
        <f ca="1"/>
        <v>39.39</v>
      </c>
      <c r="M619" s="94" t="str">
        <f ca="1"/>
        <v>63/65"</v>
      </c>
      <c r="N619" s="94">
        <f ca="1"/>
        <v>64</v>
      </c>
      <c r="O619" s="94" t="str">
        <f ca="1"/>
        <v>Foreign Yarn [异纤]</v>
      </c>
      <c r="P619" s="95" t="str">
        <f ca="1"/>
        <v/>
      </c>
      <c r="Q619" s="95" t="str">
        <f ca="1"/>
        <v/>
      </c>
      <c r="R619" s="96">
        <f ca="1"/>
        <v>46114</v>
      </c>
    </row>
    <row r="620" spans="1:18" s="90" customFormat="1" ht="55" customHeight="1" x14ac:dyDescent="0.35">
      <c r="A620" s="94" t="str">
        <f ca="1"/>
        <v>S25V10883</v>
      </c>
      <c r="B620" s="94" t="str">
        <f ca="1"/>
        <v>PKEK25VE0010883A</v>
      </c>
      <c r="C620" s="94" t="str">
        <f ca="1"/>
        <v>DEEP SEA</v>
      </c>
      <c r="D620" s="94" t="str">
        <f ca="1"/>
        <v>365</v>
      </c>
      <c r="E620" s="94" t="str">
        <f ca="1"/>
        <v>FV012282002</v>
      </c>
      <c r="F620" s="94" t="str">
        <f ca="1"/>
        <v>C1500427</v>
      </c>
      <c r="G620" s="94" t="str">
        <f ca="1"/>
        <v>B</v>
      </c>
      <c r="H620" s="94" t="str">
        <f ca="1"/>
        <v>CF003136465</v>
      </c>
      <c r="I620" s="94" t="str">
        <f ca="1"/>
        <v>A</v>
      </c>
      <c r="J620" s="94">
        <f ca="1"/>
        <v>23.8</v>
      </c>
      <c r="K620" s="94"/>
      <c r="L620" s="94">
        <f ca="1"/>
        <v>85.22</v>
      </c>
      <c r="M620" s="94" t="str">
        <f ca="1"/>
        <v>63/65"</v>
      </c>
      <c r="N620" s="94">
        <f ca="1"/>
        <v>64</v>
      </c>
      <c r="O620" s="94" t="str">
        <f ca="1"/>
        <v/>
      </c>
      <c r="P620" s="95" t="str">
        <f ca="1"/>
        <v/>
      </c>
      <c r="Q620" s="95" t="str">
        <f ca="1"/>
        <v/>
      </c>
      <c r="R620" s="96">
        <f ca="1"/>
        <v>46114</v>
      </c>
    </row>
    <row r="621" spans="1:18" s="90" customFormat="1" ht="55" customHeight="1" x14ac:dyDescent="0.35">
      <c r="A621" s="94" t="str">
        <f ca="1"/>
        <v>S25V10883</v>
      </c>
      <c r="B621" s="94" t="str">
        <f ca="1"/>
        <v>PKEK25VE0010883A</v>
      </c>
      <c r="C621" s="94" t="str">
        <f ca="1"/>
        <v>DEEP SEA</v>
      </c>
      <c r="D621" s="94" t="str">
        <f ca="1"/>
        <v>365</v>
      </c>
      <c r="E621" s="94" t="str">
        <f ca="1"/>
        <v>FV012282002</v>
      </c>
      <c r="F621" s="94" t="str">
        <f ca="1"/>
        <v>C1500427</v>
      </c>
      <c r="G621" s="94" t="str">
        <f ca="1"/>
        <v>B</v>
      </c>
      <c r="H621" s="94" t="str">
        <f ca="1"/>
        <v>CF003136466</v>
      </c>
      <c r="I621" s="94" t="str">
        <f ca="1"/>
        <v>A</v>
      </c>
      <c r="J621" s="94">
        <f ca="1"/>
        <v>23.8</v>
      </c>
      <c r="K621" s="94"/>
      <c r="L621" s="94">
        <f ca="1"/>
        <v>85.22</v>
      </c>
      <c r="M621" s="94" t="str">
        <f ca="1"/>
        <v>63/65"</v>
      </c>
      <c r="N621" s="94">
        <f ca="1"/>
        <v>64</v>
      </c>
      <c r="O621" s="94" t="str">
        <f ca="1"/>
        <v>White mark [白印]</v>
      </c>
      <c r="P621" s="95" t="str">
        <f ca="1"/>
        <v/>
      </c>
      <c r="Q621" s="95" t="str">
        <f ca="1"/>
        <v/>
      </c>
      <c r="R621" s="96">
        <f ca="1"/>
        <v>46114</v>
      </c>
    </row>
    <row r="622" spans="1:18" s="90" customFormat="1" ht="55" customHeight="1" x14ac:dyDescent="0.35">
      <c r="A622" s="94" t="str">
        <f ca="1"/>
        <v>S25V10883</v>
      </c>
      <c r="B622" s="94" t="str">
        <f ca="1"/>
        <v>PKEK25VE0010883A</v>
      </c>
      <c r="C622" s="94" t="str">
        <f ca="1"/>
        <v>DEEP SEA</v>
      </c>
      <c r="D622" s="94" t="str">
        <f ca="1"/>
        <v>365</v>
      </c>
      <c r="E622" s="94" t="str">
        <f ca="1"/>
        <v>FV012282002</v>
      </c>
      <c r="F622" s="94" t="str">
        <f ca="1"/>
        <v>C1500427</v>
      </c>
      <c r="G622" s="94" t="str">
        <f ca="1"/>
        <v>B</v>
      </c>
      <c r="H622" s="94" t="str">
        <f ca="1"/>
        <v>CF003136467</v>
      </c>
      <c r="I622" s="94" t="str">
        <f ca="1"/>
        <v>A</v>
      </c>
      <c r="J622" s="94">
        <f ca="1"/>
        <v>23.8</v>
      </c>
      <c r="K622" s="94"/>
      <c r="L622" s="94">
        <f ca="1"/>
        <v>85.22</v>
      </c>
      <c r="M622" s="94" t="str">
        <f ca="1"/>
        <v>63/65"</v>
      </c>
      <c r="N622" s="94">
        <f ca="1"/>
        <v>64</v>
      </c>
      <c r="O622" s="94" t="str">
        <f ca="1"/>
        <v>White mark [白印]</v>
      </c>
      <c r="P622" s="95" t="str">
        <f ca="1"/>
        <v/>
      </c>
      <c r="Q622" s="95" t="str">
        <f ca="1"/>
        <v/>
      </c>
      <c r="R622" s="96">
        <f ca="1"/>
        <v>46114</v>
      </c>
    </row>
    <row r="623" spans="1:18" s="90" customFormat="1" ht="55" customHeight="1" x14ac:dyDescent="0.35">
      <c r="A623" s="94" t="str">
        <f ca="1"/>
        <v>S25V10883</v>
      </c>
      <c r="B623" s="94" t="str">
        <f ca="1"/>
        <v>PKEK25VE0010883A</v>
      </c>
      <c r="C623" s="94" t="str">
        <f ca="1"/>
        <v>DEEP SEA</v>
      </c>
      <c r="D623" s="94" t="str">
        <f ca="1"/>
        <v>365</v>
      </c>
      <c r="E623" s="94" t="str">
        <f ca="1"/>
        <v>FV012282002</v>
      </c>
      <c r="F623" s="94" t="str">
        <f ca="1"/>
        <v>C1500427</v>
      </c>
      <c r="G623" s="94" t="str">
        <f ca="1"/>
        <v>B</v>
      </c>
      <c r="H623" s="94" t="str">
        <f ca="1"/>
        <v>CF003136468</v>
      </c>
      <c r="I623" s="94" t="str">
        <f ca="1"/>
        <v>A</v>
      </c>
      <c r="J623" s="94">
        <f ca="1"/>
        <v>23.5</v>
      </c>
      <c r="K623" s="94"/>
      <c r="L623" s="94">
        <f ca="1"/>
        <v>84.14</v>
      </c>
      <c r="M623" s="94" t="str">
        <f ca="1"/>
        <v>63/65"</v>
      </c>
      <c r="N623" s="94">
        <f ca="1"/>
        <v>64</v>
      </c>
      <c r="O623" s="94" t="str">
        <f ca="1"/>
        <v>White mark [白印]</v>
      </c>
      <c r="P623" s="95" t="str">
        <f ca="1"/>
        <v/>
      </c>
      <c r="Q623" s="95" t="str">
        <f ca="1"/>
        <v/>
      </c>
      <c r="R623" s="96">
        <f ca="1"/>
        <v>46114</v>
      </c>
    </row>
    <row r="624" spans="1:18" s="90" customFormat="1" ht="55" customHeight="1" x14ac:dyDescent="0.35">
      <c r="A624" s="94" t="str">
        <f ca="1"/>
        <v>S25V10883</v>
      </c>
      <c r="B624" s="94" t="str">
        <f ca="1"/>
        <v>PKEK25VE0010883A</v>
      </c>
      <c r="C624" s="94" t="str">
        <f ca="1"/>
        <v>DEEP SEA</v>
      </c>
      <c r="D624" s="94" t="str">
        <f ca="1"/>
        <v>365</v>
      </c>
      <c r="E624" s="94" t="str">
        <f ca="1"/>
        <v>FV012282002</v>
      </c>
      <c r="F624" s="94" t="str">
        <f ca="1"/>
        <v>C1500427</v>
      </c>
      <c r="G624" s="94" t="str">
        <f ca="1"/>
        <v>B</v>
      </c>
      <c r="H624" s="94" t="str">
        <f ca="1"/>
        <v>CF003136469</v>
      </c>
      <c r="I624" s="94" t="str">
        <f ca="1"/>
        <v>A</v>
      </c>
      <c r="J624" s="94">
        <f ca="1"/>
        <v>23.9</v>
      </c>
      <c r="K624" s="94"/>
      <c r="L624" s="94">
        <f ca="1"/>
        <v>85.57</v>
      </c>
      <c r="M624" s="94" t="str">
        <f ca="1"/>
        <v>63/65"</v>
      </c>
      <c r="N624" s="94">
        <f ca="1"/>
        <v>64</v>
      </c>
      <c r="O624" s="94" t="str">
        <f ca="1"/>
        <v>White mark [白印]</v>
      </c>
      <c r="P624" s="95" t="str">
        <f ca="1"/>
        <v/>
      </c>
      <c r="Q624" s="95" t="str">
        <f ca="1"/>
        <v/>
      </c>
      <c r="R624" s="96">
        <f ca="1"/>
        <v>46114</v>
      </c>
    </row>
    <row r="625" spans="1:18" s="90" customFormat="1" ht="55" customHeight="1" x14ac:dyDescent="0.35">
      <c r="A625" s="94" t="str">
        <f ca="1"/>
        <v>S25V10883</v>
      </c>
      <c r="B625" s="94" t="str">
        <f ca="1"/>
        <v>PKEK25VE0010883A</v>
      </c>
      <c r="C625" s="94" t="str">
        <f ca="1"/>
        <v>DEEP SEA</v>
      </c>
      <c r="D625" s="94" t="str">
        <f ca="1"/>
        <v>365</v>
      </c>
      <c r="E625" s="94" t="str">
        <f ca="1"/>
        <v>FV012282002</v>
      </c>
      <c r="F625" s="94" t="str">
        <f ca="1"/>
        <v>C1500427</v>
      </c>
      <c r="G625" s="94" t="str">
        <f ca="1"/>
        <v>B</v>
      </c>
      <c r="H625" s="94" t="str">
        <f ca="1"/>
        <v>CF003136470</v>
      </c>
      <c r="I625" s="94" t="str">
        <f ca="1"/>
        <v>A</v>
      </c>
      <c r="J625" s="94">
        <f ca="1"/>
        <v>23.7</v>
      </c>
      <c r="K625" s="94"/>
      <c r="L625" s="94">
        <f ca="1"/>
        <v>84.86</v>
      </c>
      <c r="M625" s="94" t="str">
        <f ca="1"/>
        <v>63/65"</v>
      </c>
      <c r="N625" s="94">
        <f ca="1"/>
        <v>64</v>
      </c>
      <c r="O625" s="94" t="str">
        <f ca="1"/>
        <v/>
      </c>
      <c r="P625" s="95" t="str">
        <f ca="1"/>
        <v/>
      </c>
      <c r="Q625" s="95" t="str">
        <f ca="1"/>
        <v/>
      </c>
      <c r="R625" s="96">
        <f ca="1"/>
        <v>46114</v>
      </c>
    </row>
    <row r="626" spans="1:18" s="90" customFormat="1" ht="55" customHeight="1" x14ac:dyDescent="0.35">
      <c r="A626" s="94" t="str">
        <f ca="1"/>
        <v>S25V10883</v>
      </c>
      <c r="B626" s="94" t="str">
        <f ca="1"/>
        <v>PKEK25VE0010883A</v>
      </c>
      <c r="C626" s="94" t="str">
        <f ca="1"/>
        <v>DEEP SEA</v>
      </c>
      <c r="D626" s="94" t="str">
        <f ca="1"/>
        <v>365</v>
      </c>
      <c r="E626" s="94" t="str">
        <f ca="1"/>
        <v>FV012282002</v>
      </c>
      <c r="F626" s="94" t="str">
        <f ca="1"/>
        <v>C1500427</v>
      </c>
      <c r="G626" s="94" t="str">
        <f ca="1"/>
        <v>B</v>
      </c>
      <c r="H626" s="94" t="str">
        <f ca="1"/>
        <v>CF003136471</v>
      </c>
      <c r="I626" s="94" t="str">
        <f ca="1"/>
        <v>A</v>
      </c>
      <c r="J626" s="94">
        <f ca="1"/>
        <v>23.6</v>
      </c>
      <c r="K626" s="94"/>
      <c r="L626" s="94">
        <f ca="1"/>
        <v>84.5</v>
      </c>
      <c r="M626" s="94" t="str">
        <f ca="1"/>
        <v>63/65"</v>
      </c>
      <c r="N626" s="94">
        <f ca="1"/>
        <v>64</v>
      </c>
      <c r="O626" s="94" t="str">
        <f ca="1"/>
        <v/>
      </c>
      <c r="P626" s="95" t="str">
        <f ca="1"/>
        <v/>
      </c>
      <c r="Q626" s="95" t="str">
        <f ca="1"/>
        <v/>
      </c>
      <c r="R626" s="96">
        <f ca="1"/>
        <v>46114</v>
      </c>
    </row>
    <row r="627" spans="1:18" s="90" customFormat="1" ht="55" customHeight="1" x14ac:dyDescent="0.35">
      <c r="A627" s="94" t="str">
        <f ca="1"/>
        <v>S25V10883</v>
      </c>
      <c r="B627" s="94" t="str">
        <f ca="1"/>
        <v>PKEK25VE0010883A</v>
      </c>
      <c r="C627" s="94" t="str">
        <f ca="1"/>
        <v>DEEP SEA</v>
      </c>
      <c r="D627" s="94" t="str">
        <f ca="1"/>
        <v>365</v>
      </c>
      <c r="E627" s="94" t="str">
        <f ca="1"/>
        <v>FV012282002</v>
      </c>
      <c r="F627" s="94" t="str">
        <f ca="1"/>
        <v>C1500427</v>
      </c>
      <c r="G627" s="94" t="str">
        <f ca="1"/>
        <v>B</v>
      </c>
      <c r="H627" s="94" t="str">
        <f ca="1"/>
        <v>CF003136472</v>
      </c>
      <c r="I627" s="94" t="str">
        <f ca="1"/>
        <v>A</v>
      </c>
      <c r="J627" s="94">
        <f ca="1"/>
        <v>23.6</v>
      </c>
      <c r="K627" s="94"/>
      <c r="L627" s="94">
        <f ca="1"/>
        <v>84.5</v>
      </c>
      <c r="M627" s="94" t="str">
        <f ca="1"/>
        <v>63/65"</v>
      </c>
      <c r="N627" s="94">
        <f ca="1"/>
        <v>64</v>
      </c>
      <c r="O627" s="94" t="str">
        <f ca="1"/>
        <v>Hole (KN) [针织破洞]</v>
      </c>
      <c r="P627" s="95" t="str">
        <f ca="1"/>
        <v/>
      </c>
      <c r="Q627" s="95" t="str">
        <f ca="1"/>
        <v/>
      </c>
      <c r="R627" s="96">
        <f ca="1"/>
        <v>46114</v>
      </c>
    </row>
    <row r="628" spans="1:18" s="90" customFormat="1" ht="55" customHeight="1" x14ac:dyDescent="0.35">
      <c r="A628" s="94" t="str">
        <f ca="1"/>
        <v>S25V10883</v>
      </c>
      <c r="B628" s="94" t="str">
        <f ca="1"/>
        <v>PKEK25VE0010883A</v>
      </c>
      <c r="C628" s="94" t="str">
        <f ca="1"/>
        <v>DEEP SEA</v>
      </c>
      <c r="D628" s="94" t="str">
        <f ca="1"/>
        <v>365</v>
      </c>
      <c r="E628" s="94" t="str">
        <f ca="1"/>
        <v>FV012282002</v>
      </c>
      <c r="F628" s="94" t="str">
        <f ca="1"/>
        <v>C1500427</v>
      </c>
      <c r="G628" s="94" t="str">
        <f ca="1"/>
        <v>B</v>
      </c>
      <c r="H628" s="94" t="str">
        <f ca="1"/>
        <v>CF003136473</v>
      </c>
      <c r="I628" s="94" t="str">
        <f ca="1"/>
        <v>A</v>
      </c>
      <c r="J628" s="94">
        <f ca="1"/>
        <v>23.6</v>
      </c>
      <c r="K628" s="94"/>
      <c r="L628" s="94">
        <f ca="1"/>
        <v>84.5</v>
      </c>
      <c r="M628" s="94" t="str">
        <f ca="1"/>
        <v>63/65"</v>
      </c>
      <c r="N628" s="94">
        <f ca="1"/>
        <v>64</v>
      </c>
      <c r="O628" s="94" t="str">
        <f ca="1"/>
        <v>Hole (KN) [针织破洞]</v>
      </c>
      <c r="P628" s="95" t="str">
        <f ca="1"/>
        <v/>
      </c>
      <c r="Q628" s="95" t="str">
        <f ca="1"/>
        <v/>
      </c>
      <c r="R628" s="96">
        <f ca="1"/>
        <v>46114</v>
      </c>
    </row>
    <row r="629" spans="1:18" s="90" customFormat="1" ht="55" customHeight="1" x14ac:dyDescent="0.35">
      <c r="A629" s="94" t="str">
        <f ca="1"/>
        <v>S25V10883</v>
      </c>
      <c r="B629" s="94" t="str">
        <f ca="1"/>
        <v>PKEK25VE0010883A</v>
      </c>
      <c r="C629" s="94" t="str">
        <f ca="1"/>
        <v>DEEP SEA</v>
      </c>
      <c r="D629" s="94" t="str">
        <f ca="1"/>
        <v>365</v>
      </c>
      <c r="E629" s="94" t="str">
        <f ca="1"/>
        <v>FV012282002</v>
      </c>
      <c r="F629" s="94" t="str">
        <f ca="1"/>
        <v>C1500427</v>
      </c>
      <c r="G629" s="94" t="str">
        <f ca="1"/>
        <v>B</v>
      </c>
      <c r="H629" s="94" t="str">
        <f ca="1"/>
        <v>CF003136474</v>
      </c>
      <c r="I629" s="94" t="str">
        <f ca="1"/>
        <v>A</v>
      </c>
      <c r="J629" s="94">
        <f ca="1"/>
        <v>23.6</v>
      </c>
      <c r="K629" s="94"/>
      <c r="L629" s="94">
        <f ca="1"/>
        <v>84.5</v>
      </c>
      <c r="M629" s="94" t="str">
        <f ca="1"/>
        <v>63/65"</v>
      </c>
      <c r="N629" s="94">
        <f ca="1"/>
        <v>64</v>
      </c>
      <c r="O629" s="94" t="str">
        <f ca="1"/>
        <v>White mark [白印]</v>
      </c>
      <c r="P629" s="95" t="str">
        <f ca="1"/>
        <v/>
      </c>
      <c r="Q629" s="95" t="str">
        <f ca="1"/>
        <v/>
      </c>
      <c r="R629" s="96">
        <f ca="1"/>
        <v>46114</v>
      </c>
    </row>
    <row r="630" spans="1:18" s="90" customFormat="1" ht="55" customHeight="1" x14ac:dyDescent="0.35">
      <c r="A630" s="94" t="str">
        <f ca="1"/>
        <v>S25V10883</v>
      </c>
      <c r="B630" s="94" t="str">
        <f ca="1"/>
        <v>PKEK25VE0010883A</v>
      </c>
      <c r="C630" s="94" t="str">
        <f ca="1"/>
        <v>DEEP SEA</v>
      </c>
      <c r="D630" s="94" t="str">
        <f ca="1"/>
        <v>365</v>
      </c>
      <c r="E630" s="94" t="str">
        <f ca="1"/>
        <v>FV012282002</v>
      </c>
      <c r="F630" s="94" t="str">
        <f ca="1"/>
        <v>C1500427</v>
      </c>
      <c r="G630" s="94" t="str">
        <f ca="1"/>
        <v>B</v>
      </c>
      <c r="H630" s="94" t="str">
        <f ca="1"/>
        <v>CF003136475</v>
      </c>
      <c r="I630" s="94" t="str">
        <f ca="1"/>
        <v>A</v>
      </c>
      <c r="J630" s="94">
        <f ca="1"/>
        <v>23.8</v>
      </c>
      <c r="K630" s="94"/>
      <c r="L630" s="94">
        <f ca="1"/>
        <v>85.22</v>
      </c>
      <c r="M630" s="94" t="str">
        <f ca="1"/>
        <v>63/65"</v>
      </c>
      <c r="N630" s="94">
        <f ca="1"/>
        <v>64</v>
      </c>
      <c r="O630" s="94" t="str">
        <f ca="1"/>
        <v>Hole (KN) [针织破洞]</v>
      </c>
      <c r="P630" s="95" t="str">
        <f ca="1"/>
        <v/>
      </c>
      <c r="Q630" s="95" t="str">
        <f ca="1"/>
        <v/>
      </c>
      <c r="R630" s="96">
        <f ca="1"/>
        <v>46114</v>
      </c>
    </row>
    <row r="631" spans="1:18" s="90" customFormat="1" ht="55" customHeight="1" x14ac:dyDescent="0.35">
      <c r="A631" s="94" t="str">
        <f ca="1"/>
        <v>S25V10883</v>
      </c>
      <c r="B631" s="94" t="str">
        <f ca="1"/>
        <v>PKEK25VE0010883A</v>
      </c>
      <c r="C631" s="94" t="str">
        <f ca="1"/>
        <v>DEEP SEA</v>
      </c>
      <c r="D631" s="94" t="str">
        <f ca="1"/>
        <v>365</v>
      </c>
      <c r="E631" s="94" t="str">
        <f ca="1"/>
        <v>FV012282002</v>
      </c>
      <c r="F631" s="94" t="str">
        <f ca="1"/>
        <v>C1500427</v>
      </c>
      <c r="G631" s="94" t="str">
        <f ca="1"/>
        <v>B</v>
      </c>
      <c r="H631" s="94" t="str">
        <f ca="1"/>
        <v>CF003136476</v>
      </c>
      <c r="I631" s="94" t="str">
        <f ca="1"/>
        <v>A</v>
      </c>
      <c r="J631" s="94">
        <f ca="1"/>
        <v>30.6</v>
      </c>
      <c r="K631" s="94"/>
      <c r="L631" s="94">
        <f ca="1"/>
        <v>109.56</v>
      </c>
      <c r="M631" s="94" t="str">
        <f ca="1"/>
        <v>63/65"</v>
      </c>
      <c r="N631" s="94">
        <f ca="1"/>
        <v>64</v>
      </c>
      <c r="O631" s="94" t="str">
        <f ca="1"/>
        <v>Friction Mark (PD) [匹染擦痕]</v>
      </c>
      <c r="P631" s="95" t="str">
        <f ca="1"/>
        <v/>
      </c>
      <c r="Q631" s="95" t="str">
        <f ca="1"/>
        <v/>
      </c>
      <c r="R631" s="96">
        <f ca="1"/>
        <v>46114</v>
      </c>
    </row>
    <row r="632" spans="1:18" s="90" customFormat="1" ht="55" customHeight="1" x14ac:dyDescent="0.35">
      <c r="A632" s="94" t="str">
        <f ca="1"/>
        <v>S25V10883</v>
      </c>
      <c r="B632" s="94" t="str">
        <f ca="1"/>
        <v>PKEK25VE0010883A</v>
      </c>
      <c r="C632" s="94" t="str">
        <f ca="1"/>
        <v>DEEP SEA</v>
      </c>
      <c r="D632" s="94" t="str">
        <f ca="1"/>
        <v>365</v>
      </c>
      <c r="E632" s="94" t="str">
        <f ca="1"/>
        <v>FV012282002</v>
      </c>
      <c r="F632" s="94" t="str">
        <f ca="1"/>
        <v>C1500427</v>
      </c>
      <c r="G632" s="94" t="str">
        <f ca="1"/>
        <v>B</v>
      </c>
      <c r="H632" s="94" t="str">
        <f ca="1"/>
        <v>CF003136477</v>
      </c>
      <c r="I632" s="94" t="str">
        <f ca="1"/>
        <v>A</v>
      </c>
      <c r="J632" s="94">
        <f ca="1"/>
        <v>23.7</v>
      </c>
      <c r="K632" s="94"/>
      <c r="L632" s="94">
        <f ca="1"/>
        <v>84.86</v>
      </c>
      <c r="M632" s="94" t="str">
        <f ca="1"/>
        <v>63/65"</v>
      </c>
      <c r="N632" s="94">
        <f ca="1"/>
        <v>64</v>
      </c>
      <c r="O632" s="94" t="str">
        <f ca="1"/>
        <v>White mark [白印]</v>
      </c>
      <c r="P632" s="95" t="str">
        <f ca="1"/>
        <v/>
      </c>
      <c r="Q632" s="95" t="str">
        <f ca="1"/>
        <v/>
      </c>
      <c r="R632" s="96">
        <f ca="1"/>
        <v>46114</v>
      </c>
    </row>
    <row r="633" spans="1:18" s="90" customFormat="1" ht="55" customHeight="1" x14ac:dyDescent="0.35">
      <c r="A633" s="94" t="str">
        <f ca="1"/>
        <v>S25V10883</v>
      </c>
      <c r="B633" s="94" t="str">
        <f ca="1"/>
        <v>PKEK25VE0010883A</v>
      </c>
      <c r="C633" s="94" t="str">
        <f ca="1"/>
        <v>DEEP SEA</v>
      </c>
      <c r="D633" s="94" t="str">
        <f ca="1"/>
        <v>365</v>
      </c>
      <c r="E633" s="94" t="str">
        <f ca="1"/>
        <v>FV012282002</v>
      </c>
      <c r="F633" s="94" t="str">
        <f ca="1"/>
        <v>C1500427</v>
      </c>
      <c r="G633" s="94" t="str">
        <f ca="1"/>
        <v>B</v>
      </c>
      <c r="H633" s="94" t="str">
        <f ca="1"/>
        <v>CF003136481</v>
      </c>
      <c r="I633" s="94" t="str">
        <f ca="1"/>
        <v>A</v>
      </c>
      <c r="J633" s="94">
        <f ca="1"/>
        <v>23.1</v>
      </c>
      <c r="K633" s="94"/>
      <c r="L633" s="94">
        <f ca="1"/>
        <v>77.83</v>
      </c>
      <c r="M633" s="94" t="str">
        <f ca="1"/>
        <v>63/65"</v>
      </c>
      <c r="N633" s="94">
        <f ca="1"/>
        <v>64</v>
      </c>
      <c r="O633" s="94" t="str">
        <f ca="1"/>
        <v>Friction Mark (PD) [匹染擦痕]</v>
      </c>
      <c r="P633" s="95" t="str">
        <f ca="1"/>
        <v/>
      </c>
      <c r="Q633" s="95" t="str">
        <f ca="1"/>
        <v/>
      </c>
      <c r="R633" s="96">
        <f ca="1"/>
        <v>46114</v>
      </c>
    </row>
    <row r="634" spans="1:18" s="90" customFormat="1" ht="55" customHeight="1" x14ac:dyDescent="0.35">
      <c r="A634" s="94" t="str">
        <f ca="1"/>
        <v>S25V10883</v>
      </c>
      <c r="B634" s="94" t="str">
        <f ca="1"/>
        <v>PKEK25VE0010883A</v>
      </c>
      <c r="C634" s="94" t="str">
        <f ca="1"/>
        <v>DEEP SEA</v>
      </c>
      <c r="D634" s="94" t="str">
        <f ca="1"/>
        <v>365</v>
      </c>
      <c r="E634" s="94" t="str">
        <f ca="1"/>
        <v>FV012282002</v>
      </c>
      <c r="F634" s="94" t="str">
        <f ca="1"/>
        <v>C1500427</v>
      </c>
      <c r="G634" s="94" t="str">
        <f ca="1"/>
        <v>B</v>
      </c>
      <c r="H634" s="94" t="str">
        <f ca="1"/>
        <v>CF003136482</v>
      </c>
      <c r="I634" s="94" t="str">
        <f ca="1"/>
        <v>A</v>
      </c>
      <c r="J634" s="94">
        <f ca="1"/>
        <v>14.6</v>
      </c>
      <c r="K634" s="94"/>
      <c r="L634" s="94">
        <f ca="1"/>
        <v>49.19</v>
      </c>
      <c r="M634" s="94" t="str">
        <f ca="1"/>
        <v>63/65"</v>
      </c>
      <c r="N634" s="94">
        <f ca="1"/>
        <v>64</v>
      </c>
      <c r="O634" s="94" t="str">
        <f ca="1"/>
        <v>Friction Mark (PD) [匹染擦痕]</v>
      </c>
      <c r="P634" s="95" t="str">
        <f ca="1"/>
        <v/>
      </c>
      <c r="Q634" s="95" t="str">
        <f ca="1"/>
        <v/>
      </c>
      <c r="R634" s="96">
        <f ca="1"/>
        <v>46114</v>
      </c>
    </row>
    <row r="635" spans="1:18" s="90" customFormat="1" ht="55" customHeight="1" x14ac:dyDescent="0.35">
      <c r="A635" s="94" t="str">
        <f ca="1"/>
        <v>S25V10883</v>
      </c>
      <c r="B635" s="94" t="str">
        <f ca="1"/>
        <v>PKEK25VE0010883A</v>
      </c>
      <c r="C635" s="94" t="str">
        <f ca="1"/>
        <v>DEEP SEA</v>
      </c>
      <c r="D635" s="94" t="str">
        <f ca="1"/>
        <v>365</v>
      </c>
      <c r="E635" s="94" t="str">
        <f ca="1"/>
        <v>FV012282002</v>
      </c>
      <c r="F635" s="94" t="str">
        <f ca="1"/>
        <v>C1500427</v>
      </c>
      <c r="G635" s="94" t="str">
        <f ca="1"/>
        <v>B</v>
      </c>
      <c r="H635" s="94" t="str">
        <f ca="1"/>
        <v>CF003136483</v>
      </c>
      <c r="I635" s="94" t="str">
        <f ca="1"/>
        <v>A</v>
      </c>
      <c r="J635" s="94">
        <f ca="1"/>
        <v>23.5</v>
      </c>
      <c r="K635" s="94"/>
      <c r="L635" s="94">
        <f ca="1"/>
        <v>79.180000000000007</v>
      </c>
      <c r="M635" s="94" t="str">
        <f ca="1"/>
        <v>63/65"</v>
      </c>
      <c r="N635" s="94">
        <f ca="1"/>
        <v>64</v>
      </c>
      <c r="O635" s="94" t="str">
        <f ca="1"/>
        <v/>
      </c>
      <c r="P635" s="95" t="str">
        <f ca="1"/>
        <v/>
      </c>
      <c r="Q635" s="95" t="str">
        <f ca="1"/>
        <v/>
      </c>
      <c r="R635" s="96">
        <f ca="1"/>
        <v>46114</v>
      </c>
    </row>
    <row r="636" spans="1:18" s="90" customFormat="1" ht="55" customHeight="1" x14ac:dyDescent="0.35">
      <c r="A636" s="94" t="str">
        <f ca="1"/>
        <v>S25V10883</v>
      </c>
      <c r="B636" s="94" t="str">
        <f ca="1"/>
        <v>PKEK25VE0010883A</v>
      </c>
      <c r="C636" s="94" t="str">
        <f ca="1"/>
        <v>DEEP SEA</v>
      </c>
      <c r="D636" s="94" t="str">
        <f ca="1"/>
        <v>365</v>
      </c>
      <c r="E636" s="94" t="str">
        <f ca="1"/>
        <v>FV012282002</v>
      </c>
      <c r="F636" s="94" t="str">
        <f ca="1"/>
        <v>C1500427</v>
      </c>
      <c r="G636" s="94" t="str">
        <f ca="1"/>
        <v>B</v>
      </c>
      <c r="H636" s="94" t="str">
        <f ca="1"/>
        <v>CF003136484</v>
      </c>
      <c r="I636" s="94" t="str">
        <f ca="1"/>
        <v>A</v>
      </c>
      <c r="J636" s="94">
        <f ca="1"/>
        <v>23.4</v>
      </c>
      <c r="K636" s="94"/>
      <c r="L636" s="94">
        <f ca="1"/>
        <v>78.84</v>
      </c>
      <c r="M636" s="94" t="str">
        <f ca="1"/>
        <v>63/65"</v>
      </c>
      <c r="N636" s="94">
        <f ca="1"/>
        <v>64</v>
      </c>
      <c r="O636" s="94" t="str">
        <f ca="1"/>
        <v/>
      </c>
      <c r="P636" s="95" t="str">
        <f ca="1"/>
        <v/>
      </c>
      <c r="Q636" s="95" t="str">
        <f ca="1"/>
        <v/>
      </c>
      <c r="R636" s="96">
        <f ca="1"/>
        <v>46114</v>
      </c>
    </row>
    <row r="637" spans="1:18" s="90" customFormat="1" ht="55" customHeight="1" x14ac:dyDescent="0.35">
      <c r="A637" s="94" t="str">
        <f ca="1"/>
        <v>S25V10883</v>
      </c>
      <c r="B637" s="94" t="str">
        <f ca="1"/>
        <v>PKEK25VE0010883A</v>
      </c>
      <c r="C637" s="94" t="str">
        <f ca="1"/>
        <v>DEEP SEA</v>
      </c>
      <c r="D637" s="94" t="str">
        <f ca="1"/>
        <v>365</v>
      </c>
      <c r="E637" s="94" t="str">
        <f ca="1"/>
        <v>FV012282002</v>
      </c>
      <c r="F637" s="94" t="str">
        <f ca="1"/>
        <v>C1500427</v>
      </c>
      <c r="G637" s="94" t="str">
        <f ca="1"/>
        <v>B</v>
      </c>
      <c r="H637" s="94" t="str">
        <f ca="1"/>
        <v>CF003136496</v>
      </c>
      <c r="I637" s="94" t="str">
        <f ca="1"/>
        <v>A</v>
      </c>
      <c r="J637" s="94">
        <f ca="1"/>
        <v>23</v>
      </c>
      <c r="K637" s="94"/>
      <c r="L637" s="94">
        <f ca="1"/>
        <v>77.489999999999995</v>
      </c>
      <c r="M637" s="94" t="str">
        <f ca="1"/>
        <v>63/65"</v>
      </c>
      <c r="N637" s="94">
        <f ca="1"/>
        <v>64</v>
      </c>
      <c r="O637" s="94" t="str">
        <f ca="1"/>
        <v>Hole (KN) [针织破洞]</v>
      </c>
      <c r="P637" s="95" t="str">
        <f ca="1"/>
        <v/>
      </c>
      <c r="Q637" s="95" t="str">
        <f ca="1"/>
        <v/>
      </c>
      <c r="R637" s="96">
        <f ca="1"/>
        <v>46114</v>
      </c>
    </row>
    <row r="638" spans="1:18" s="90" customFormat="1" ht="55" customHeight="1" x14ac:dyDescent="0.35">
      <c r="A638" s="94" t="str">
        <f ca="1"/>
        <v>S25V10883</v>
      </c>
      <c r="B638" s="94" t="str">
        <f ca="1"/>
        <v>PKEK25VE0010883A</v>
      </c>
      <c r="C638" s="94" t="str">
        <f ca="1"/>
        <v>DEEP SEA</v>
      </c>
      <c r="D638" s="94" t="str">
        <f ca="1"/>
        <v>365</v>
      </c>
      <c r="E638" s="94" t="str">
        <f ca="1"/>
        <v>FV012282002</v>
      </c>
      <c r="F638" s="94" t="str">
        <f ca="1"/>
        <v>C1500427</v>
      </c>
      <c r="G638" s="94" t="str">
        <f ca="1"/>
        <v>B</v>
      </c>
      <c r="H638" s="94" t="str">
        <f ca="1"/>
        <v>CF003136497</v>
      </c>
      <c r="I638" s="94" t="str">
        <f ca="1"/>
        <v>A</v>
      </c>
      <c r="J638" s="94">
        <f ca="1"/>
        <v>23.5</v>
      </c>
      <c r="K638" s="94"/>
      <c r="L638" s="94">
        <f ca="1"/>
        <v>79.180000000000007</v>
      </c>
      <c r="M638" s="94" t="str">
        <f ca="1"/>
        <v>63/65"</v>
      </c>
      <c r="N638" s="94">
        <f ca="1"/>
        <v>64</v>
      </c>
      <c r="O638" s="94" t="str">
        <f ca="1"/>
        <v/>
      </c>
      <c r="P638" s="95" t="str">
        <f ca="1"/>
        <v/>
      </c>
      <c r="Q638" s="95" t="str">
        <f ca="1"/>
        <v/>
      </c>
      <c r="R638" s="96">
        <f ca="1"/>
        <v>46114</v>
      </c>
    </row>
    <row r="639" spans="1:18" s="90" customFormat="1" ht="55" customHeight="1" x14ac:dyDescent="0.35">
      <c r="A639" s="94" t="str">
        <f ca="1"/>
        <v>S25V10883</v>
      </c>
      <c r="B639" s="94" t="str">
        <f ca="1"/>
        <v>PKEK25VE0010883A</v>
      </c>
      <c r="C639" s="94" t="str">
        <f ca="1"/>
        <v>DEEP SEA</v>
      </c>
      <c r="D639" s="94" t="str">
        <f ca="1"/>
        <v>365</v>
      </c>
      <c r="E639" s="94" t="str">
        <f ca="1"/>
        <v>FV012282002</v>
      </c>
      <c r="F639" s="94" t="str">
        <f ca="1"/>
        <v>C1500427</v>
      </c>
      <c r="G639" s="94" t="str">
        <f ca="1"/>
        <v>B</v>
      </c>
      <c r="H639" s="94" t="str">
        <f ca="1"/>
        <v>CF003136498</v>
      </c>
      <c r="I639" s="94" t="str">
        <f ca="1"/>
        <v>A</v>
      </c>
      <c r="J639" s="94">
        <f ca="1"/>
        <v>23.6</v>
      </c>
      <c r="K639" s="94"/>
      <c r="L639" s="94">
        <f ca="1"/>
        <v>79.510000000000005</v>
      </c>
      <c r="M639" s="94" t="str">
        <f ca="1"/>
        <v>63/65"</v>
      </c>
      <c r="N639" s="94">
        <f ca="1"/>
        <v>64</v>
      </c>
      <c r="O639" s="94" t="str">
        <f ca="1"/>
        <v>Unever Dye Hole [染花破洞]</v>
      </c>
      <c r="P639" s="95" t="str">
        <f ca="1"/>
        <v/>
      </c>
      <c r="Q639" s="95" t="str">
        <f ca="1"/>
        <v/>
      </c>
      <c r="R639" s="96">
        <f ca="1"/>
        <v>46114</v>
      </c>
    </row>
    <row r="640" spans="1:18" s="90" customFormat="1" ht="55" customHeight="1" x14ac:dyDescent="0.35">
      <c r="A640" s="94" t="str">
        <f ca="1"/>
        <v>S25V10883</v>
      </c>
      <c r="B640" s="94" t="str">
        <f ca="1"/>
        <v>PKEK25VE0010883A</v>
      </c>
      <c r="C640" s="94" t="str">
        <f ca="1"/>
        <v>DEEP SEA</v>
      </c>
      <c r="D640" s="94" t="str">
        <f ca="1"/>
        <v>365</v>
      </c>
      <c r="E640" s="94" t="str">
        <f ca="1"/>
        <v>FV012282002</v>
      </c>
      <c r="F640" s="94" t="str">
        <f ca="1"/>
        <v>C1500427</v>
      </c>
      <c r="G640" s="94" t="str">
        <f ca="1"/>
        <v>B</v>
      </c>
      <c r="H640" s="94" t="str">
        <f ca="1"/>
        <v>CF003136499</v>
      </c>
      <c r="I640" s="94" t="str">
        <f ca="1"/>
        <v>A</v>
      </c>
      <c r="J640" s="94">
        <f ca="1"/>
        <v>23.6</v>
      </c>
      <c r="K640" s="94"/>
      <c r="L640" s="94">
        <f ca="1"/>
        <v>79.510000000000005</v>
      </c>
      <c r="M640" s="94" t="str">
        <f ca="1"/>
        <v>63/65"</v>
      </c>
      <c r="N640" s="94">
        <f ca="1"/>
        <v>64</v>
      </c>
      <c r="O640" s="94" t="str">
        <f ca="1"/>
        <v>Hole (KN) [针织破洞]</v>
      </c>
      <c r="P640" s="95" t="str">
        <f ca="1"/>
        <v/>
      </c>
      <c r="Q640" s="95" t="str">
        <f ca="1"/>
        <v/>
      </c>
      <c r="R640" s="96">
        <f ca="1"/>
        <v>46114</v>
      </c>
    </row>
    <row r="641" spans="1:18" s="90" customFormat="1" ht="55" customHeight="1" x14ac:dyDescent="0.35">
      <c r="A641" s="94" t="str">
        <f ca="1"/>
        <v>S25V10883</v>
      </c>
      <c r="B641" s="94" t="str">
        <f ca="1"/>
        <v>PKEK25VE0010883A</v>
      </c>
      <c r="C641" s="94" t="str">
        <f ca="1"/>
        <v>DEEP SEA</v>
      </c>
      <c r="D641" s="94" t="str">
        <f ca="1"/>
        <v>365</v>
      </c>
      <c r="E641" s="94" t="str">
        <f ca="1"/>
        <v>FV012282002</v>
      </c>
      <c r="F641" s="94" t="str">
        <f ca="1"/>
        <v>C1500427</v>
      </c>
      <c r="G641" s="94" t="str">
        <f ca="1"/>
        <v>B</v>
      </c>
      <c r="H641" s="94" t="str">
        <f ca="1"/>
        <v>CF003136500</v>
      </c>
      <c r="I641" s="94" t="str">
        <f ca="1"/>
        <v>A</v>
      </c>
      <c r="J641" s="94">
        <f ca="1"/>
        <v>11.9</v>
      </c>
      <c r="K641" s="94"/>
      <c r="L641" s="94">
        <f ca="1"/>
        <v>40.090000000000003</v>
      </c>
      <c r="M641" s="94" t="str">
        <f ca="1"/>
        <v>63/65"</v>
      </c>
      <c r="N641" s="94">
        <f ca="1"/>
        <v>64</v>
      </c>
      <c r="O641" s="94" t="str">
        <f ca="1"/>
        <v>Friction Mark (PD) [匹染擦痕]</v>
      </c>
      <c r="P641" s="95" t="str">
        <f ca="1"/>
        <v/>
      </c>
      <c r="Q641" s="95" t="str">
        <f ca="1"/>
        <v/>
      </c>
      <c r="R641" s="96">
        <f ca="1"/>
        <v>46114</v>
      </c>
    </row>
    <row r="642" spans="1:18" s="90" customFormat="1" ht="55" customHeight="1" x14ac:dyDescent="0.35">
      <c r="A642" s="94" t="str">
        <f ca="1"/>
        <v>S25V10883</v>
      </c>
      <c r="B642" s="94" t="str">
        <f ca="1"/>
        <v>PKEK25VE0010883A</v>
      </c>
      <c r="C642" s="94" t="str">
        <f ca="1"/>
        <v>DEEP SEA</v>
      </c>
      <c r="D642" s="94" t="str">
        <f ca="1"/>
        <v>365</v>
      </c>
      <c r="E642" s="94" t="str">
        <f ca="1"/>
        <v>FV012282002</v>
      </c>
      <c r="F642" s="94" t="str">
        <f ca="1"/>
        <v>C1500427</v>
      </c>
      <c r="G642" s="94" t="str">
        <f ca="1"/>
        <v>B</v>
      </c>
      <c r="H642" s="94" t="str">
        <f ca="1"/>
        <v>CF003136501</v>
      </c>
      <c r="I642" s="94" t="str">
        <f ca="1"/>
        <v>A</v>
      </c>
      <c r="J642" s="94">
        <f ca="1"/>
        <v>16.899999999999999</v>
      </c>
      <c r="K642" s="94"/>
      <c r="L642" s="94">
        <f ca="1"/>
        <v>56.94</v>
      </c>
      <c r="M642" s="94" t="str">
        <f ca="1"/>
        <v>63/65"</v>
      </c>
      <c r="N642" s="94">
        <f ca="1"/>
        <v>64</v>
      </c>
      <c r="O642" s="94" t="str">
        <f ca="1"/>
        <v>Friction Mark (PD) [匹染擦痕]</v>
      </c>
      <c r="P642" s="95" t="str">
        <f ca="1"/>
        <v/>
      </c>
      <c r="Q642" s="95" t="str">
        <f ca="1"/>
        <v/>
      </c>
      <c r="R642" s="96">
        <f ca="1"/>
        <v>46114</v>
      </c>
    </row>
    <row r="643" spans="1:18" s="90" customFormat="1" ht="55" customHeight="1" x14ac:dyDescent="0.35">
      <c r="A643" s="94" t="str">
        <f ca="1"/>
        <v>S25V10883</v>
      </c>
      <c r="B643" s="94" t="str">
        <f ca="1"/>
        <v>PKEK25VE0010883A</v>
      </c>
      <c r="C643" s="94" t="str">
        <f ca="1"/>
        <v>DEEP SEA</v>
      </c>
      <c r="D643" s="94" t="str">
        <f ca="1"/>
        <v>365</v>
      </c>
      <c r="E643" s="94" t="str">
        <f ca="1"/>
        <v>FV012282002</v>
      </c>
      <c r="F643" s="94" t="str">
        <f ca="1"/>
        <v>C1500427</v>
      </c>
      <c r="G643" s="94" t="str">
        <f ca="1"/>
        <v>B</v>
      </c>
      <c r="H643" s="94" t="str">
        <f ca="1"/>
        <v>CF003136502</v>
      </c>
      <c r="I643" s="94" t="str">
        <f ca="1"/>
        <v>A</v>
      </c>
      <c r="J643" s="94">
        <f ca="1"/>
        <v>24</v>
      </c>
      <c r="K643" s="94"/>
      <c r="L643" s="94">
        <f ca="1"/>
        <v>80.86</v>
      </c>
      <c r="M643" s="94" t="str">
        <f ca="1"/>
        <v>63/65"</v>
      </c>
      <c r="N643" s="94">
        <f ca="1"/>
        <v>64</v>
      </c>
      <c r="O643" s="94" t="str">
        <f ca="1"/>
        <v>Friction Mark (PD) [匹染擦痕]</v>
      </c>
      <c r="P643" s="95" t="str">
        <f ca="1"/>
        <v/>
      </c>
      <c r="Q643" s="95" t="str">
        <f ca="1"/>
        <v/>
      </c>
      <c r="R643" s="96">
        <f ca="1"/>
        <v>46114</v>
      </c>
    </row>
    <row r="644" spans="1:18" s="90" customFormat="1" ht="55" customHeight="1" x14ac:dyDescent="0.35">
      <c r="A644" s="94" t="str">
        <f ca="1"/>
        <v>S25V10883</v>
      </c>
      <c r="B644" s="94" t="str">
        <f ca="1"/>
        <v>PKEK25VE0010883A</v>
      </c>
      <c r="C644" s="94" t="str">
        <f ca="1"/>
        <v>DEEP SEA</v>
      </c>
      <c r="D644" s="94" t="str">
        <f ca="1"/>
        <v>365</v>
      </c>
      <c r="E644" s="94" t="str">
        <f ca="1"/>
        <v>FV012282002</v>
      </c>
      <c r="F644" s="94" t="str">
        <f ca="1"/>
        <v>C1500427</v>
      </c>
      <c r="G644" s="94" t="str">
        <f ca="1"/>
        <v>B</v>
      </c>
      <c r="H644" s="94" t="str">
        <f ca="1"/>
        <v>CF003136503</v>
      </c>
      <c r="I644" s="94" t="str">
        <f ca="1"/>
        <v>A</v>
      </c>
      <c r="J644" s="94">
        <f ca="1"/>
        <v>23.8</v>
      </c>
      <c r="K644" s="94"/>
      <c r="L644" s="94">
        <f ca="1"/>
        <v>80.19</v>
      </c>
      <c r="M644" s="94" t="str">
        <f ca="1"/>
        <v>63/65"</v>
      </c>
      <c r="N644" s="94">
        <f ca="1"/>
        <v>64</v>
      </c>
      <c r="O644" s="94" t="str">
        <f ca="1"/>
        <v>White mark [白印]</v>
      </c>
      <c r="P644" s="95" t="str">
        <f ca="1"/>
        <v/>
      </c>
      <c r="Q644" s="95" t="str">
        <f ca="1"/>
        <v/>
      </c>
      <c r="R644" s="96">
        <f ca="1"/>
        <v>46114</v>
      </c>
    </row>
    <row r="645" spans="1:18" s="90" customFormat="1" ht="55" customHeight="1" x14ac:dyDescent="0.35">
      <c r="A645" s="94" t="str">
        <f ca="1"/>
        <v>S25V10883</v>
      </c>
      <c r="B645" s="94" t="str">
        <f ca="1"/>
        <v>PKEK25VE0010883A</v>
      </c>
      <c r="C645" s="94" t="str">
        <f ca="1"/>
        <v>DEEP SEA</v>
      </c>
      <c r="D645" s="94" t="str">
        <f ca="1"/>
        <v>365</v>
      </c>
      <c r="E645" s="94" t="str">
        <f ca="1"/>
        <v>FV012282002</v>
      </c>
      <c r="F645" s="94" t="str">
        <f ca="1"/>
        <v>C1500427</v>
      </c>
      <c r="G645" s="94" t="str">
        <f ca="1"/>
        <v>B</v>
      </c>
      <c r="H645" s="94" t="str">
        <f ca="1"/>
        <v>CF003136504</v>
      </c>
      <c r="I645" s="94" t="str">
        <f ca="1"/>
        <v>A</v>
      </c>
      <c r="J645" s="94">
        <f ca="1"/>
        <v>23.7</v>
      </c>
      <c r="K645" s="94"/>
      <c r="L645" s="94">
        <f ca="1"/>
        <v>79.849999999999994</v>
      </c>
      <c r="M645" s="94" t="str">
        <f ca="1"/>
        <v>63/65"</v>
      </c>
      <c r="N645" s="94">
        <f ca="1"/>
        <v>64</v>
      </c>
      <c r="O645" s="94" t="str">
        <f ca="1"/>
        <v/>
      </c>
      <c r="P645" s="95" t="str">
        <f ca="1"/>
        <v/>
      </c>
      <c r="Q645" s="95" t="str">
        <f ca="1"/>
        <v/>
      </c>
      <c r="R645" s="96">
        <f ca="1"/>
        <v>46114</v>
      </c>
    </row>
    <row r="646" spans="1:18" s="90" customFormat="1" ht="55" customHeight="1" x14ac:dyDescent="0.35">
      <c r="A646" s="94" t="str">
        <f ca="1"/>
        <v>S25V10883</v>
      </c>
      <c r="B646" s="94" t="str">
        <f ca="1"/>
        <v>PKEK25VE0010883A</v>
      </c>
      <c r="C646" s="94" t="str">
        <f ca="1"/>
        <v>DEEP SEA</v>
      </c>
      <c r="D646" s="94" t="str">
        <f ca="1"/>
        <v>365</v>
      </c>
      <c r="E646" s="94" t="str">
        <f ca="1"/>
        <v>FV012282002</v>
      </c>
      <c r="F646" s="94" t="str">
        <f ca="1"/>
        <v>C1500427</v>
      </c>
      <c r="G646" s="94" t="str">
        <f ca="1"/>
        <v>B</v>
      </c>
      <c r="H646" s="94" t="str">
        <f ca="1"/>
        <v>CF003136505</v>
      </c>
      <c r="I646" s="94" t="str">
        <f ca="1"/>
        <v>A</v>
      </c>
      <c r="J646" s="94">
        <f ca="1"/>
        <v>23.6</v>
      </c>
      <c r="K646" s="94"/>
      <c r="L646" s="94">
        <f ca="1"/>
        <v>79.510000000000005</v>
      </c>
      <c r="M646" s="94" t="str">
        <f ca="1"/>
        <v>63/65"</v>
      </c>
      <c r="N646" s="94">
        <f ca="1"/>
        <v>64</v>
      </c>
      <c r="O646" s="94" t="str">
        <f ca="1"/>
        <v>White mark [白印]</v>
      </c>
      <c r="P646" s="95" t="str">
        <f ca="1"/>
        <v/>
      </c>
      <c r="Q646" s="95" t="str">
        <f ca="1"/>
        <v/>
      </c>
      <c r="R646" s="96">
        <f ca="1"/>
        <v>46114</v>
      </c>
    </row>
    <row r="647" spans="1:18" s="90" customFormat="1" ht="55" customHeight="1" x14ac:dyDescent="0.35">
      <c r="A647" s="94" t="str">
        <f ca="1"/>
        <v>S25V10883</v>
      </c>
      <c r="B647" s="94" t="str">
        <f ca="1"/>
        <v>PKEK25VE0010883A</v>
      </c>
      <c r="C647" s="94" t="str">
        <f ca="1"/>
        <v>DEEP SEA</v>
      </c>
      <c r="D647" s="94" t="str">
        <f ca="1"/>
        <v>365</v>
      </c>
      <c r="E647" s="94" t="str">
        <f ca="1"/>
        <v>FV012282002</v>
      </c>
      <c r="F647" s="94" t="str">
        <f ca="1"/>
        <v>C1500427</v>
      </c>
      <c r="G647" s="94" t="str">
        <f ca="1"/>
        <v>B</v>
      </c>
      <c r="H647" s="94" t="str">
        <f ca="1"/>
        <v>CF003136506</v>
      </c>
      <c r="I647" s="94" t="str">
        <f ca="1"/>
        <v>A</v>
      </c>
      <c r="J647" s="94">
        <f ca="1"/>
        <v>23.7</v>
      </c>
      <c r="K647" s="94"/>
      <c r="L647" s="94">
        <f ca="1"/>
        <v>79.849999999999994</v>
      </c>
      <c r="M647" s="94" t="str">
        <f ca="1"/>
        <v>63/65"</v>
      </c>
      <c r="N647" s="94">
        <f ca="1"/>
        <v>64</v>
      </c>
      <c r="O647" s="94" t="str">
        <f ca="1"/>
        <v>White mark [白印]</v>
      </c>
      <c r="P647" s="95" t="str">
        <f ca="1"/>
        <v/>
      </c>
      <c r="Q647" s="95" t="str">
        <f ca="1"/>
        <v/>
      </c>
      <c r="R647" s="96">
        <f ca="1"/>
        <v>46114</v>
      </c>
    </row>
    <row r="648" spans="1:18" s="90" customFormat="1" ht="55" customHeight="1" x14ac:dyDescent="0.35">
      <c r="A648" s="94" t="str">
        <f ca="1"/>
        <v>S25V10883</v>
      </c>
      <c r="B648" s="94" t="str">
        <f ca="1"/>
        <v>PKEK25VE0010883A</v>
      </c>
      <c r="C648" s="94" t="str">
        <f ca="1"/>
        <v>DEEP SEA</v>
      </c>
      <c r="D648" s="94" t="str">
        <f ca="1"/>
        <v>365</v>
      </c>
      <c r="E648" s="94" t="str">
        <f ca="1"/>
        <v>FV012282002</v>
      </c>
      <c r="F648" s="94" t="str">
        <f ca="1"/>
        <v>C1500427</v>
      </c>
      <c r="G648" s="94" t="str">
        <f ca="1"/>
        <v>B</v>
      </c>
      <c r="H648" s="94" t="str">
        <f ca="1"/>
        <v>CF003136507</v>
      </c>
      <c r="I648" s="94" t="str">
        <f ca="1"/>
        <v>A</v>
      </c>
      <c r="J648" s="94">
        <f ca="1"/>
        <v>23.5</v>
      </c>
      <c r="K648" s="94"/>
      <c r="L648" s="94">
        <f ca="1"/>
        <v>79.180000000000007</v>
      </c>
      <c r="M648" s="94" t="str">
        <f ca="1"/>
        <v>63/65"</v>
      </c>
      <c r="N648" s="94">
        <f ca="1"/>
        <v>64</v>
      </c>
      <c r="O648" s="94" t="str">
        <f ca="1"/>
        <v>White mark [白印]</v>
      </c>
      <c r="P648" s="95" t="str">
        <f ca="1"/>
        <v/>
      </c>
      <c r="Q648" s="95" t="str">
        <f ca="1"/>
        <v/>
      </c>
      <c r="R648" s="96">
        <f ca="1"/>
        <v>46114</v>
      </c>
    </row>
    <row r="649" spans="1:18" s="90" customFormat="1" ht="55" customHeight="1" x14ac:dyDescent="0.35">
      <c r="A649" s="94" t="str">
        <f ca="1"/>
        <v>S25V10883</v>
      </c>
      <c r="B649" s="94" t="str">
        <f ca="1"/>
        <v>PKEK25VE0010883A</v>
      </c>
      <c r="C649" s="94" t="str">
        <f ca="1"/>
        <v>DEEP SEA</v>
      </c>
      <c r="D649" s="94" t="str">
        <f ca="1"/>
        <v>365</v>
      </c>
      <c r="E649" s="94" t="str">
        <f ca="1"/>
        <v>FV012282002</v>
      </c>
      <c r="F649" s="94" t="str">
        <f ca="1"/>
        <v>C1500427</v>
      </c>
      <c r="G649" s="94" t="str">
        <f ca="1"/>
        <v>B</v>
      </c>
      <c r="H649" s="94" t="str">
        <f ca="1"/>
        <v>CF003136508</v>
      </c>
      <c r="I649" s="94" t="str">
        <f ca="1"/>
        <v>A</v>
      </c>
      <c r="J649" s="94">
        <f ca="1"/>
        <v>19.600000000000001</v>
      </c>
      <c r="K649" s="94"/>
      <c r="L649" s="94">
        <f ca="1"/>
        <v>66.040000000000006</v>
      </c>
      <c r="M649" s="94" t="str">
        <f ca="1"/>
        <v>63/65"</v>
      </c>
      <c r="N649" s="94">
        <f ca="1"/>
        <v>64</v>
      </c>
      <c r="O649" s="94" t="str">
        <f ca="1"/>
        <v>Friction Mark (PD) [匹染擦痕]</v>
      </c>
      <c r="P649" s="95" t="str">
        <f ca="1"/>
        <v/>
      </c>
      <c r="Q649" s="95" t="str">
        <f ca="1"/>
        <v/>
      </c>
      <c r="R649" s="96">
        <f ca="1"/>
        <v>46114</v>
      </c>
    </row>
    <row r="650" spans="1:18" s="90" customFormat="1" ht="55" customHeight="1" x14ac:dyDescent="0.35">
      <c r="A650" s="94" t="str">
        <f ca="1"/>
        <v>S25V10883</v>
      </c>
      <c r="B650" s="94" t="str">
        <f ca="1"/>
        <v>PKEK25VE0010883A</v>
      </c>
      <c r="C650" s="94" t="str">
        <f ca="1"/>
        <v>DEEP SEA</v>
      </c>
      <c r="D650" s="94" t="str">
        <f ca="1"/>
        <v>365</v>
      </c>
      <c r="E650" s="94" t="str">
        <f ca="1"/>
        <v>FV012282002</v>
      </c>
      <c r="F650" s="94" t="str">
        <f ca="1"/>
        <v>C1500427</v>
      </c>
      <c r="G650" s="94" t="str">
        <f ca="1"/>
        <v>B</v>
      </c>
      <c r="H650" s="94" t="str">
        <f ca="1"/>
        <v>CF003136513</v>
      </c>
      <c r="I650" s="94" t="str">
        <f ca="1"/>
        <v>A</v>
      </c>
      <c r="J650" s="94">
        <f ca="1"/>
        <v>23.7</v>
      </c>
      <c r="K650" s="94"/>
      <c r="L650" s="94">
        <f ca="1"/>
        <v>79.849999999999994</v>
      </c>
      <c r="M650" s="94" t="str">
        <f ca="1"/>
        <v>63/65"</v>
      </c>
      <c r="N650" s="94">
        <f ca="1"/>
        <v>64</v>
      </c>
      <c r="O650" s="94" t="str">
        <f ca="1"/>
        <v>White mark [白印]</v>
      </c>
      <c r="P650" s="95" t="str">
        <f ca="1"/>
        <v/>
      </c>
      <c r="Q650" s="95" t="str">
        <f ca="1"/>
        <v/>
      </c>
      <c r="R650" s="96">
        <f ca="1"/>
        <v>46157</v>
      </c>
    </row>
    <row r="651" spans="1:18" s="90" customFormat="1" ht="55" customHeight="1" x14ac:dyDescent="0.35">
      <c r="A651" s="94" t="str">
        <f ca="1"/>
        <v>S25V10883</v>
      </c>
      <c r="B651" s="94" t="str">
        <f ca="1"/>
        <v>PKEK25VE0010883A</v>
      </c>
      <c r="C651" s="94" t="str">
        <f ca="1"/>
        <v>DEEP SEA</v>
      </c>
      <c r="D651" s="94" t="str">
        <f ca="1"/>
        <v>365</v>
      </c>
      <c r="E651" s="94" t="str">
        <f ca="1"/>
        <v>FV012282002</v>
      </c>
      <c r="F651" s="94" t="str">
        <f ca="1"/>
        <v>C1500427</v>
      </c>
      <c r="G651" s="94" t="str">
        <f ca="1"/>
        <v>B</v>
      </c>
      <c r="H651" s="94" t="str">
        <f ca="1"/>
        <v>CF003136514</v>
      </c>
      <c r="I651" s="94" t="str">
        <f ca="1"/>
        <v>A</v>
      </c>
      <c r="J651" s="94">
        <f ca="1"/>
        <v>12.5</v>
      </c>
      <c r="K651" s="94"/>
      <c r="L651" s="94">
        <f ca="1"/>
        <v>42.12</v>
      </c>
      <c r="M651" s="94" t="str">
        <f ca="1"/>
        <v>63/65"</v>
      </c>
      <c r="N651" s="94">
        <f ca="1"/>
        <v>64</v>
      </c>
      <c r="O651" s="94" t="str">
        <f ca="1"/>
        <v>White mark [白印]</v>
      </c>
      <c r="P651" s="95" t="str">
        <f ca="1"/>
        <v/>
      </c>
      <c r="Q651" s="95" t="str">
        <f ca="1"/>
        <v/>
      </c>
      <c r="R651" s="96">
        <f ca="1"/>
        <v>1</v>
      </c>
    </row>
    <row r="652" spans="1:18" s="90" customFormat="1" ht="55" customHeight="1" x14ac:dyDescent="0.35">
      <c r="A652" s="94" t="str">
        <f ca="1"/>
        <v>S25V10883</v>
      </c>
      <c r="B652" s="94" t="str">
        <f ca="1"/>
        <v>PKEK25VE0010883A</v>
      </c>
      <c r="C652" s="94" t="str">
        <f ca="1"/>
        <v>CABERNET</v>
      </c>
      <c r="D652" s="94" t="str">
        <f ca="1"/>
        <v>617</v>
      </c>
      <c r="E652" s="94" t="str">
        <f ca="1"/>
        <v>FV012282502</v>
      </c>
      <c r="F652" s="94" t="str">
        <f ca="1"/>
        <v>C1500427</v>
      </c>
      <c r="G652" s="94" t="str">
        <f ca="1"/>
        <v>B</v>
      </c>
      <c r="H652" s="94" t="str">
        <f ca="1"/>
        <v>CF003138107</v>
      </c>
      <c r="I652" s="94" t="str">
        <f ca="1"/>
        <v>A</v>
      </c>
      <c r="J652" s="94">
        <f ca="1"/>
        <v>22.1</v>
      </c>
      <c r="K652" s="94"/>
      <c r="L652" s="94">
        <f ca="1"/>
        <v>76.959999999999994</v>
      </c>
      <c r="M652" s="94" t="str">
        <f ca="1"/>
        <v>63/65"</v>
      </c>
      <c r="N652" s="94">
        <f ca="1"/>
        <v>63</v>
      </c>
      <c r="O652" s="94" t="str">
        <f ca="1"/>
        <v>White mark [白印]</v>
      </c>
      <c r="P652" s="95" t="str">
        <f ca="1"/>
        <v>rằn ri biên phải vào 3'' + vết trắng 15%</v>
      </c>
      <c r="Q652" s="95" t="str">
        <f ca="1"/>
        <v>vết trắng sort uot trên btp +trừ biên phải vào 3''</v>
      </c>
      <c r="R652" s="96">
        <f ca="1"/>
        <v>46115</v>
      </c>
    </row>
    <row r="653" spans="1:18" s="90" customFormat="1" ht="55" customHeight="1" x14ac:dyDescent="0.35">
      <c r="A653" s="94" t="str">
        <f ca="1"/>
        <v>S25V10883</v>
      </c>
      <c r="B653" s="94" t="str">
        <f ca="1"/>
        <v>PKEK25VE0010883A</v>
      </c>
      <c r="C653" s="94" t="str">
        <f ca="1"/>
        <v>CABERNET</v>
      </c>
      <c r="D653" s="94" t="str">
        <f ca="1"/>
        <v>617</v>
      </c>
      <c r="E653" s="94" t="str">
        <f ca="1"/>
        <v>FV012282502</v>
      </c>
      <c r="F653" s="94" t="str">
        <f ca="1"/>
        <v>C1500427</v>
      </c>
      <c r="G653" s="94" t="str">
        <f ca="1"/>
        <v>B</v>
      </c>
      <c r="H653" s="94" t="str">
        <f ca="1"/>
        <v>CF003138108</v>
      </c>
      <c r="I653" s="94" t="str">
        <f ca="1"/>
        <v>A</v>
      </c>
      <c r="J653" s="94">
        <f ca="1"/>
        <v>24</v>
      </c>
      <c r="K653" s="94"/>
      <c r="L653" s="94">
        <f ca="1"/>
        <v>83.57</v>
      </c>
      <c r="M653" s="94" t="str">
        <f ca="1"/>
        <v>63/65"</v>
      </c>
      <c r="N653" s="94">
        <f ca="1"/>
        <v>63</v>
      </c>
      <c r="O653" s="94" t="str">
        <f ca="1"/>
        <v>White mark [白印]</v>
      </c>
      <c r="P653" s="95" t="str">
        <f ca="1"/>
        <v>rằn ri biên phải vào 3'' + vết trắng 15%</v>
      </c>
      <c r="Q653" s="95" t="str">
        <f ca="1"/>
        <v>vết trắng sort uot trên btp +trừ biên phải vào 3''</v>
      </c>
      <c r="R653" s="96">
        <f ca="1"/>
        <v>46115</v>
      </c>
    </row>
    <row r="654" spans="1:18" s="90" customFormat="1" ht="55" customHeight="1" x14ac:dyDescent="0.35">
      <c r="A654" s="94" t="str">
        <f ca="1"/>
        <v>S25V10883</v>
      </c>
      <c r="B654" s="94" t="str">
        <f ca="1"/>
        <v>PKEK25VE0010883A</v>
      </c>
      <c r="C654" s="94" t="str">
        <f ca="1"/>
        <v>CABERNET</v>
      </c>
      <c r="D654" s="94" t="str">
        <f ca="1"/>
        <v>617</v>
      </c>
      <c r="E654" s="94" t="str">
        <f ca="1"/>
        <v>FV012282502</v>
      </c>
      <c r="F654" s="94" t="str">
        <f ca="1"/>
        <v>C1500427</v>
      </c>
      <c r="G654" s="94" t="str">
        <f ca="1"/>
        <v>B</v>
      </c>
      <c r="H654" s="94" t="str">
        <f ca="1"/>
        <v>CF003138109</v>
      </c>
      <c r="I654" s="94" t="str">
        <f ca="1"/>
        <v>A</v>
      </c>
      <c r="J654" s="94">
        <f ca="1"/>
        <v>23.7</v>
      </c>
      <c r="K654" s="94"/>
      <c r="L654" s="94">
        <f ca="1"/>
        <v>82.53</v>
      </c>
      <c r="M654" s="94" t="str">
        <f ca="1"/>
        <v>63/65"</v>
      </c>
      <c r="N654" s="94">
        <f ca="1"/>
        <v>63</v>
      </c>
      <c r="O654" s="94" t="str">
        <f ca="1"/>
        <v>White mark [白印]</v>
      </c>
      <c r="P654" s="95" t="str">
        <f ca="1"/>
        <v>rằn ri biên trái vào 3'' + vết trắng 15%</v>
      </c>
      <c r="Q654" s="95" t="str">
        <f ca="1"/>
        <v>vết trắng sort uot trên btp +trừ biên trái vào 3''</v>
      </c>
      <c r="R654" s="96">
        <f ca="1"/>
        <v>46115</v>
      </c>
    </row>
    <row r="655" spans="1:18" s="90" customFormat="1" ht="55" customHeight="1" x14ac:dyDescent="0.35">
      <c r="A655" s="94" t="str">
        <f ca="1"/>
        <v>S25V10883</v>
      </c>
      <c r="B655" s="94" t="str">
        <f ca="1"/>
        <v>PKEK25VE0010883A</v>
      </c>
      <c r="C655" s="94" t="str">
        <f ca="1"/>
        <v>CABERNET</v>
      </c>
      <c r="D655" s="94" t="str">
        <f ca="1"/>
        <v>617</v>
      </c>
      <c r="E655" s="94" t="str">
        <f ca="1"/>
        <v>FV012282502</v>
      </c>
      <c r="F655" s="94" t="str">
        <f ca="1"/>
        <v>C1500427</v>
      </c>
      <c r="G655" s="94" t="str">
        <f ca="1"/>
        <v>B</v>
      </c>
      <c r="H655" s="94" t="str">
        <f ca="1"/>
        <v>CF003138110</v>
      </c>
      <c r="I655" s="94" t="str">
        <f ca="1"/>
        <v>A</v>
      </c>
      <c r="J655" s="94">
        <f ca="1"/>
        <v>23.5</v>
      </c>
      <c r="K655" s="94"/>
      <c r="L655" s="94">
        <f ca="1"/>
        <v>81.83</v>
      </c>
      <c r="M655" s="94" t="str">
        <f ca="1"/>
        <v>63/65"</v>
      </c>
      <c r="N655" s="94">
        <f ca="1"/>
        <v>63</v>
      </c>
      <c r="O655" s="94" t="str">
        <f ca="1"/>
        <v>White mark [白印]</v>
      </c>
      <c r="P655" s="95" t="str">
        <f ca="1"/>
        <v>rằn ri biên trái vào 3'' + vết trắng 15%</v>
      </c>
      <c r="Q655" s="95" t="str">
        <f ca="1"/>
        <v>vết trắng sort uot trên btp +trừ biên trái vào 3''</v>
      </c>
      <c r="R655" s="96">
        <f ca="1"/>
        <v>46115</v>
      </c>
    </row>
    <row r="656" spans="1:18" s="90" customFormat="1" ht="55" customHeight="1" x14ac:dyDescent="0.35">
      <c r="A656" s="94" t="str">
        <f ca="1"/>
        <v>S25V10883</v>
      </c>
      <c r="B656" s="94" t="str">
        <f ca="1"/>
        <v>PKEK25VE0010883A</v>
      </c>
      <c r="C656" s="94" t="str">
        <f ca="1"/>
        <v>CABERNET</v>
      </c>
      <c r="D656" s="94" t="str">
        <f ca="1"/>
        <v>617</v>
      </c>
      <c r="E656" s="94" t="str">
        <f ca="1"/>
        <v>FV012282502</v>
      </c>
      <c r="F656" s="94" t="str">
        <f ca="1"/>
        <v>C1500427</v>
      </c>
      <c r="G656" s="94" t="str">
        <f ca="1"/>
        <v>B</v>
      </c>
      <c r="H656" s="94" t="str">
        <f ca="1"/>
        <v>CF003138111</v>
      </c>
      <c r="I656" s="94" t="str">
        <f ca="1"/>
        <v>A</v>
      </c>
      <c r="J656" s="94">
        <f ca="1"/>
        <v>23.3</v>
      </c>
      <c r="K656" s="94"/>
      <c r="L656" s="94">
        <f ca="1"/>
        <v>81.13</v>
      </c>
      <c r="M656" s="94" t="str">
        <f ca="1"/>
        <v>63/65"</v>
      </c>
      <c r="N656" s="94">
        <f ca="1"/>
        <v>63</v>
      </c>
      <c r="O656" s="94" t="str">
        <f ca="1"/>
        <v>White mark [白印]</v>
      </c>
      <c r="P656" s="95" t="str">
        <f ca="1"/>
        <v>rằn ri biên trái vào 3'' + vết trắng 15%</v>
      </c>
      <c r="Q656" s="95" t="str">
        <f ca="1"/>
        <v>vết trắng sort uot trên btp +trừ biên trái vào 3''</v>
      </c>
      <c r="R656" s="96">
        <f ca="1"/>
        <v>46115</v>
      </c>
    </row>
    <row r="657" spans="1:18" s="90" customFormat="1" ht="55" customHeight="1" x14ac:dyDescent="0.35">
      <c r="A657" s="94" t="str">
        <f ca="1"/>
        <v>S25V10883</v>
      </c>
      <c r="B657" s="94" t="str">
        <f ca="1"/>
        <v>PKEK25VE0010883A</v>
      </c>
      <c r="C657" s="94" t="str">
        <f ca="1"/>
        <v>CABERNET</v>
      </c>
      <c r="D657" s="94" t="str">
        <f ca="1"/>
        <v>617</v>
      </c>
      <c r="E657" s="94" t="str">
        <f ca="1"/>
        <v>FV012282502</v>
      </c>
      <c r="F657" s="94" t="str">
        <f ca="1"/>
        <v>C1500427</v>
      </c>
      <c r="G657" s="94" t="str">
        <f ca="1"/>
        <v>B</v>
      </c>
      <c r="H657" s="94" t="str">
        <f ca="1"/>
        <v>CF003138112</v>
      </c>
      <c r="I657" s="94" t="str">
        <f ca="1"/>
        <v>A</v>
      </c>
      <c r="J657" s="94">
        <f ca="1"/>
        <v>23.8</v>
      </c>
      <c r="K657" s="94"/>
      <c r="L657" s="94">
        <f ca="1"/>
        <v>82.87</v>
      </c>
      <c r="M657" s="94" t="str">
        <f ca="1"/>
        <v>63/65"</v>
      </c>
      <c r="N657" s="94">
        <f ca="1"/>
        <v>63</v>
      </c>
      <c r="O657" s="94" t="str">
        <f ca="1"/>
        <v>White mark [白印]</v>
      </c>
      <c r="P657" s="95" t="str">
        <f ca="1"/>
        <v>rằn ri biên phải vào 3'' + vết trắng 15%</v>
      </c>
      <c r="Q657" s="95" t="str">
        <f ca="1"/>
        <v>vết trắng sort uot trên btp +trừ biên phải vào 3''</v>
      </c>
      <c r="R657" s="96">
        <f ca="1"/>
        <v>46115</v>
      </c>
    </row>
    <row r="658" spans="1:18" s="90" customFormat="1" ht="55" customHeight="1" x14ac:dyDescent="0.35">
      <c r="A658" s="94" t="str">
        <f ca="1"/>
        <v>S25V10883</v>
      </c>
      <c r="B658" s="94" t="str">
        <f ca="1"/>
        <v>PKEK25VE0010883A</v>
      </c>
      <c r="C658" s="94" t="str">
        <f ca="1"/>
        <v>CABERNET</v>
      </c>
      <c r="D658" s="94" t="str">
        <f ca="1"/>
        <v>617</v>
      </c>
      <c r="E658" s="94" t="str">
        <f ca="1"/>
        <v>FV012282502</v>
      </c>
      <c r="F658" s="94" t="str">
        <f ca="1"/>
        <v>C1500427</v>
      </c>
      <c r="G658" s="94" t="str">
        <f ca="1"/>
        <v>B</v>
      </c>
      <c r="H658" s="94" t="str">
        <f ca="1"/>
        <v>CF003138113</v>
      </c>
      <c r="I658" s="94" t="str">
        <f ca="1"/>
        <v>A</v>
      </c>
      <c r="J658" s="94">
        <f ca="1"/>
        <v>23.7</v>
      </c>
      <c r="K658" s="94"/>
      <c r="L658" s="94">
        <f ca="1"/>
        <v>82.53</v>
      </c>
      <c r="M658" s="94" t="str">
        <f ca="1"/>
        <v>63/65"</v>
      </c>
      <c r="N658" s="94">
        <f ca="1"/>
        <v>63</v>
      </c>
      <c r="O658" s="94" t="str">
        <f ca="1"/>
        <v>White mark [白印]</v>
      </c>
      <c r="P658" s="95" t="str">
        <f ca="1"/>
        <v>rằn ri biên trái vào 3'' + vết trắng 15%</v>
      </c>
      <c r="Q658" s="95" t="str">
        <f ca="1"/>
        <v>vết trắng sort uot trên btp +trừ biên trái vào 3''</v>
      </c>
      <c r="R658" s="96">
        <f ca="1"/>
        <v>46115</v>
      </c>
    </row>
    <row r="659" spans="1:18" s="90" customFormat="1" ht="55" customHeight="1" x14ac:dyDescent="0.35">
      <c r="A659" s="94" t="str">
        <f ca="1"/>
        <v>S25V10883</v>
      </c>
      <c r="B659" s="94" t="str">
        <f ca="1"/>
        <v>PKEK25VE0010883A</v>
      </c>
      <c r="C659" s="94" t="str">
        <f ca="1"/>
        <v>CABERNET</v>
      </c>
      <c r="D659" s="94" t="str">
        <f ca="1"/>
        <v>617</v>
      </c>
      <c r="E659" s="94" t="str">
        <f ca="1"/>
        <v>FV012282502</v>
      </c>
      <c r="F659" s="94" t="str">
        <f ca="1"/>
        <v>C1500427</v>
      </c>
      <c r="G659" s="94" t="str">
        <f ca="1"/>
        <v>B</v>
      </c>
      <c r="H659" s="94" t="str">
        <f ca="1"/>
        <v>CF003138114</v>
      </c>
      <c r="I659" s="94" t="str">
        <f ca="1"/>
        <v>A</v>
      </c>
      <c r="J659" s="94">
        <f ca="1"/>
        <v>23.6</v>
      </c>
      <c r="K659" s="94"/>
      <c r="L659" s="94">
        <f ca="1"/>
        <v>82.18</v>
      </c>
      <c r="M659" s="94" t="str">
        <f ca="1"/>
        <v>63/65"</v>
      </c>
      <c r="N659" s="94">
        <f ca="1"/>
        <v>63</v>
      </c>
      <c r="O659" s="94" t="str">
        <f ca="1"/>
        <v>White mark [白印]</v>
      </c>
      <c r="P659" s="95" t="str">
        <f ca="1"/>
        <v>rằn ri biên trái vào 3'' + vết trắng 15%</v>
      </c>
      <c r="Q659" s="95" t="str">
        <f ca="1"/>
        <v>vết trắng sort uot trên btp +trừ biên trái vào 3''</v>
      </c>
      <c r="R659" s="96">
        <f ca="1"/>
        <v>46115</v>
      </c>
    </row>
    <row r="660" spans="1:18" s="90" customFormat="1" ht="55" customHeight="1" x14ac:dyDescent="0.35">
      <c r="A660" s="94" t="str">
        <f ca="1"/>
        <v>S25V10883</v>
      </c>
      <c r="B660" s="94" t="str">
        <f ca="1"/>
        <v>PKEK25VE0010883A</v>
      </c>
      <c r="C660" s="94" t="str">
        <f ca="1"/>
        <v>CABERNET</v>
      </c>
      <c r="D660" s="94" t="str">
        <f ca="1"/>
        <v>617</v>
      </c>
      <c r="E660" s="94" t="str">
        <f ca="1"/>
        <v>FV012282502</v>
      </c>
      <c r="F660" s="94" t="str">
        <f ca="1"/>
        <v>C1500427</v>
      </c>
      <c r="G660" s="94" t="str">
        <f ca="1"/>
        <v>B</v>
      </c>
      <c r="H660" s="94" t="str">
        <f ca="1"/>
        <v>CF003138115</v>
      </c>
      <c r="I660" s="94" t="str">
        <f ca="1"/>
        <v>A</v>
      </c>
      <c r="J660" s="94">
        <f ca="1"/>
        <v>23.7</v>
      </c>
      <c r="K660" s="94"/>
      <c r="L660" s="94">
        <f ca="1"/>
        <v>82.53</v>
      </c>
      <c r="M660" s="94" t="str">
        <f ca="1"/>
        <v>63/65"</v>
      </c>
      <c r="N660" s="94">
        <f ca="1"/>
        <v>63</v>
      </c>
      <c r="O660" s="94" t="str">
        <f ca="1"/>
        <v>White mark [白印]</v>
      </c>
      <c r="P660" s="95" t="str">
        <f ca="1"/>
        <v>rằn ri biên trái vào 3'' + vết trắng 15%</v>
      </c>
      <c r="Q660" s="95" t="str">
        <f ca="1"/>
        <v>vết trắng sort uot trên btp +trừ biên trái vào 3''</v>
      </c>
      <c r="R660" s="96">
        <f ca="1"/>
        <v>46115</v>
      </c>
    </row>
    <row r="661" spans="1:18" s="90" customFormat="1" ht="55" customHeight="1" x14ac:dyDescent="0.35">
      <c r="A661" s="94" t="str">
        <f ca="1"/>
        <v>S25V10883</v>
      </c>
      <c r="B661" s="94" t="str">
        <f ca="1"/>
        <v>PKEK25VE0010883A</v>
      </c>
      <c r="C661" s="94" t="str">
        <f ca="1"/>
        <v>CABERNET</v>
      </c>
      <c r="D661" s="94" t="str">
        <f ca="1"/>
        <v>617</v>
      </c>
      <c r="E661" s="94" t="str">
        <f ca="1"/>
        <v>FV012282502</v>
      </c>
      <c r="F661" s="94" t="str">
        <f ca="1"/>
        <v>C1500427</v>
      </c>
      <c r="G661" s="94" t="str">
        <f ca="1"/>
        <v>B</v>
      </c>
      <c r="H661" s="94" t="str">
        <f ca="1"/>
        <v>CF003138116</v>
      </c>
      <c r="I661" s="94" t="str">
        <f ca="1"/>
        <v>A</v>
      </c>
      <c r="J661" s="94">
        <f ca="1"/>
        <v>30</v>
      </c>
      <c r="K661" s="94"/>
      <c r="L661" s="94">
        <f ca="1"/>
        <v>104.46</v>
      </c>
      <c r="M661" s="94" t="str">
        <f ca="1"/>
        <v>63/65"</v>
      </c>
      <c r="N661" s="94">
        <f ca="1"/>
        <v>63</v>
      </c>
      <c r="O661" s="94" t="str">
        <f ca="1"/>
        <v>White mark [白印]</v>
      </c>
      <c r="P661" s="95" t="str">
        <f ca="1"/>
        <v>rằn ri biên trái vào 3'' + vết trắng 15%</v>
      </c>
      <c r="Q661" s="95" t="str">
        <f ca="1"/>
        <v>vết trắng sort uot trên btp +trừ biên trái vào 3''</v>
      </c>
      <c r="R661" s="96">
        <f ca="1"/>
        <v>46115</v>
      </c>
    </row>
    <row r="662" spans="1:18" s="90" customFormat="1" ht="55" customHeight="1" x14ac:dyDescent="0.35">
      <c r="A662" s="94" t="str">
        <f ca="1"/>
        <v>S25V10883</v>
      </c>
      <c r="B662" s="94" t="str">
        <f ca="1"/>
        <v>PKEK25VE0010883A</v>
      </c>
      <c r="C662" s="94" t="str">
        <f ca="1"/>
        <v>CABERNET</v>
      </c>
      <c r="D662" s="94" t="str">
        <f ca="1"/>
        <v>617</v>
      </c>
      <c r="E662" s="94" t="str">
        <f ca="1"/>
        <v>FV012282502</v>
      </c>
      <c r="F662" s="94" t="str">
        <f ca="1"/>
        <v>C1500427</v>
      </c>
      <c r="G662" s="94" t="str">
        <f ca="1"/>
        <v>B</v>
      </c>
      <c r="H662" s="94" t="str">
        <f ca="1"/>
        <v>CF003138117</v>
      </c>
      <c r="I662" s="94" t="str">
        <f ca="1"/>
        <v>A</v>
      </c>
      <c r="J662" s="94">
        <f ca="1"/>
        <v>24</v>
      </c>
      <c r="K662" s="94"/>
      <c r="L662" s="94">
        <f ca="1"/>
        <v>83.57</v>
      </c>
      <c r="M662" s="94" t="str">
        <f ca="1"/>
        <v>63/65"</v>
      </c>
      <c r="N662" s="94">
        <f ca="1"/>
        <v>63</v>
      </c>
      <c r="O662" s="94" t="str">
        <f ca="1"/>
        <v>White mark [白印]</v>
      </c>
      <c r="P662" s="95" t="str">
        <f ca="1"/>
        <v>rằn ri biên trái vào 3'' + vết trắng 15%</v>
      </c>
      <c r="Q662" s="95" t="str">
        <f ca="1"/>
        <v>vết trắng sort uot trên btp +trừ biên trái vào 3''</v>
      </c>
      <c r="R662" s="96">
        <f ca="1"/>
        <v>46115</v>
      </c>
    </row>
    <row r="663" spans="1:18" s="90" customFormat="1" ht="55" customHeight="1" x14ac:dyDescent="0.35">
      <c r="A663" s="94" t="str">
        <f ca="1"/>
        <v>S25V10883</v>
      </c>
      <c r="B663" s="94" t="str">
        <f ca="1"/>
        <v>PKEK25VE0010883A</v>
      </c>
      <c r="C663" s="94" t="str">
        <f ca="1"/>
        <v>CABERNET</v>
      </c>
      <c r="D663" s="94" t="str">
        <f ca="1"/>
        <v>617</v>
      </c>
      <c r="E663" s="94" t="str">
        <f ca="1"/>
        <v>FV012282502</v>
      </c>
      <c r="F663" s="94" t="str">
        <f ca="1"/>
        <v>C1500427</v>
      </c>
      <c r="G663" s="94" t="str">
        <f ca="1"/>
        <v>B</v>
      </c>
      <c r="H663" s="94" t="str">
        <f ca="1"/>
        <v>CF003138118</v>
      </c>
      <c r="I663" s="94" t="str">
        <f ca="1"/>
        <v>A</v>
      </c>
      <c r="J663" s="94">
        <f ca="1"/>
        <v>24.3</v>
      </c>
      <c r="K663" s="94"/>
      <c r="L663" s="94">
        <f ca="1"/>
        <v>84.62</v>
      </c>
      <c r="M663" s="94" t="str">
        <f ca="1"/>
        <v>63/65"</v>
      </c>
      <c r="N663" s="94">
        <f ca="1"/>
        <v>63</v>
      </c>
      <c r="O663" s="94" t="str">
        <f ca="1"/>
        <v>White mark [白印]</v>
      </c>
      <c r="P663" s="95" t="str">
        <f ca="1"/>
        <v>rằn ri biên trái vào 3'' + vết trắng 15%</v>
      </c>
      <c r="Q663" s="95" t="str">
        <f ca="1"/>
        <v>vết trắng sort uot trên btp +trừ biên trái vào 3''</v>
      </c>
      <c r="R663" s="96">
        <f ca="1"/>
        <v>46115</v>
      </c>
    </row>
    <row r="664" spans="1:18" s="90" customFormat="1" ht="55" customHeight="1" x14ac:dyDescent="0.35">
      <c r="A664" s="94" t="str">
        <f ca="1"/>
        <v>S25V10883</v>
      </c>
      <c r="B664" s="94" t="str">
        <f ca="1"/>
        <v>PKEK25VE0010883A</v>
      </c>
      <c r="C664" s="94" t="str">
        <f ca="1"/>
        <v>CABERNET</v>
      </c>
      <c r="D664" s="94" t="str">
        <f ca="1"/>
        <v>617</v>
      </c>
      <c r="E664" s="94" t="str">
        <f ca="1"/>
        <v>FV012282502</v>
      </c>
      <c r="F664" s="94" t="str">
        <f ca="1"/>
        <v>C1500427</v>
      </c>
      <c r="G664" s="94" t="str">
        <f ca="1"/>
        <v>B</v>
      </c>
      <c r="H664" s="94" t="str">
        <f ca="1"/>
        <v>CF003138119</v>
      </c>
      <c r="I664" s="94" t="str">
        <f ca="1"/>
        <v>A</v>
      </c>
      <c r="J664" s="94">
        <f ca="1"/>
        <v>24.1</v>
      </c>
      <c r="K664" s="94"/>
      <c r="L664" s="94">
        <f ca="1"/>
        <v>83.92</v>
      </c>
      <c r="M664" s="94" t="str">
        <f ca="1"/>
        <v>63/65"</v>
      </c>
      <c r="N664" s="94">
        <f ca="1"/>
        <v>63</v>
      </c>
      <c r="O664" s="94" t="str">
        <f ca="1"/>
        <v>White mark [白印]</v>
      </c>
      <c r="P664" s="95" t="str">
        <f ca="1"/>
        <v>rằn ri biên trái vào 3'' + vết trắng 15%</v>
      </c>
      <c r="Q664" s="95" t="str">
        <f ca="1"/>
        <v>vết trắng sort uot trên btp +trừ biên trái vào 3''</v>
      </c>
      <c r="R664" s="96">
        <f ca="1"/>
        <v>46115</v>
      </c>
    </row>
    <row r="665" spans="1:18" s="90" customFormat="1" ht="55" customHeight="1" x14ac:dyDescent="0.35">
      <c r="A665" s="94" t="str">
        <f ca="1"/>
        <v>S25V10883</v>
      </c>
      <c r="B665" s="94" t="str">
        <f ca="1"/>
        <v>PKEK25VE0010883A</v>
      </c>
      <c r="C665" s="94" t="str">
        <f ca="1"/>
        <v>CABERNET</v>
      </c>
      <c r="D665" s="94" t="str">
        <f ca="1"/>
        <v>617</v>
      </c>
      <c r="E665" s="94" t="str">
        <f ca="1"/>
        <v>FV012282502</v>
      </c>
      <c r="F665" s="94" t="str">
        <f ca="1"/>
        <v>C1500427</v>
      </c>
      <c r="G665" s="94" t="str">
        <f ca="1"/>
        <v>B</v>
      </c>
      <c r="H665" s="94" t="str">
        <f ca="1"/>
        <v>CF003138120</v>
      </c>
      <c r="I665" s="94" t="str">
        <f ca="1"/>
        <v>A</v>
      </c>
      <c r="J665" s="94">
        <f ca="1"/>
        <v>23.9</v>
      </c>
      <c r="K665" s="94"/>
      <c r="L665" s="94">
        <f ca="1"/>
        <v>83.22</v>
      </c>
      <c r="M665" s="94" t="str">
        <f ca="1"/>
        <v>63/65"</v>
      </c>
      <c r="N665" s="94">
        <f ca="1"/>
        <v>63</v>
      </c>
      <c r="O665" s="94" t="str">
        <f ca="1"/>
        <v>White mark [白印]</v>
      </c>
      <c r="P665" s="95" t="str">
        <f ca="1"/>
        <v>rằn ri biên trái vào 3'' + vết trắng 15%</v>
      </c>
      <c r="Q665" s="95" t="str">
        <f ca="1"/>
        <v>vết trắng sort uot trên btp +trừ biên trái vào 3''</v>
      </c>
      <c r="R665" s="96">
        <f ca="1"/>
        <v>46115</v>
      </c>
    </row>
    <row r="666" spans="1:18" s="90" customFormat="1" ht="55" customHeight="1" x14ac:dyDescent="0.35">
      <c r="A666" s="94" t="str">
        <f ca="1"/>
        <v>S25V10883</v>
      </c>
      <c r="B666" s="94" t="str">
        <f ca="1"/>
        <v>PKEK25VE0010883A</v>
      </c>
      <c r="C666" s="94" t="str">
        <f ca="1"/>
        <v>CABERNET</v>
      </c>
      <c r="D666" s="94" t="str">
        <f ca="1"/>
        <v>617</v>
      </c>
      <c r="E666" s="94" t="str">
        <f ca="1"/>
        <v>FV012282502</v>
      </c>
      <c r="F666" s="94" t="str">
        <f ca="1"/>
        <v>C1500427</v>
      </c>
      <c r="G666" s="94" t="str">
        <f ca="1"/>
        <v>B</v>
      </c>
      <c r="H666" s="94" t="str">
        <f ca="1"/>
        <v>CF003138121</v>
      </c>
      <c r="I666" s="94" t="str">
        <f ca="1"/>
        <v>A</v>
      </c>
      <c r="J666" s="94">
        <f ca="1"/>
        <v>23.8</v>
      </c>
      <c r="K666" s="94"/>
      <c r="L666" s="94">
        <f ca="1"/>
        <v>82.87</v>
      </c>
      <c r="M666" s="94" t="str">
        <f ca="1"/>
        <v>63/65"</v>
      </c>
      <c r="N666" s="94">
        <f ca="1"/>
        <v>63</v>
      </c>
      <c r="O666" s="94" t="str">
        <f ca="1"/>
        <v>White mark [白印]</v>
      </c>
      <c r="P666" s="95" t="str">
        <f ca="1"/>
        <v>rằn ri biên trái vào 3'' + vết trắng 15% + ma sát biên trái 11'' biên phải 10''</v>
      </c>
      <c r="Q666" s="95" t="str">
        <f ca="1"/>
        <v>vết trắng sort uot trên btp +trừ biên trái vào 3'' + biên trái 11'' + phải 10''</v>
      </c>
      <c r="R666" s="96">
        <f ca="1"/>
        <v>46115</v>
      </c>
    </row>
    <row r="667" spans="1:18" s="90" customFormat="1" ht="55" customHeight="1" x14ac:dyDescent="0.35">
      <c r="A667" s="94" t="str">
        <f ca="1"/>
        <v>S25V10883</v>
      </c>
      <c r="B667" s="94" t="str">
        <f ca="1"/>
        <v>PKEK25VE0010883A</v>
      </c>
      <c r="C667" s="94" t="str">
        <f ca="1"/>
        <v>CABERNET</v>
      </c>
      <c r="D667" s="94" t="str">
        <f ca="1"/>
        <v>617</v>
      </c>
      <c r="E667" s="94" t="str">
        <f ca="1"/>
        <v>FV012282502</v>
      </c>
      <c r="F667" s="94" t="str">
        <f ca="1"/>
        <v>C1500427</v>
      </c>
      <c r="G667" s="94" t="str">
        <f ca="1"/>
        <v>B</v>
      </c>
      <c r="H667" s="94" t="str">
        <f ca="1"/>
        <v>CF003138122</v>
      </c>
      <c r="I667" s="94" t="str">
        <f ca="1"/>
        <v>A</v>
      </c>
      <c r="J667" s="94">
        <f ca="1"/>
        <v>24.1</v>
      </c>
      <c r="K667" s="94"/>
      <c r="L667" s="94">
        <f ca="1"/>
        <v>83.92</v>
      </c>
      <c r="M667" s="94" t="str">
        <f ca="1"/>
        <v>63/65"</v>
      </c>
      <c r="N667" s="94">
        <f ca="1"/>
        <v>63</v>
      </c>
      <c r="O667" s="94" t="str">
        <f ca="1"/>
        <v>White mark [白印]</v>
      </c>
      <c r="P667" s="95" t="str">
        <f ca="1"/>
        <v>rằn ri biên trái vào 3'' + vết trắng 15%</v>
      </c>
      <c r="Q667" s="95" t="str">
        <f ca="1"/>
        <v>vết trắng sort uot trên btp +trừ biên trái vào 3''</v>
      </c>
      <c r="R667" s="96">
        <f ca="1"/>
        <v>46115</v>
      </c>
    </row>
    <row r="668" spans="1:18" s="90" customFormat="1" ht="55" customHeight="1" x14ac:dyDescent="0.35">
      <c r="A668" s="94" t="str">
        <f ca="1"/>
        <v>S25V10883</v>
      </c>
      <c r="B668" s="94" t="str">
        <f ca="1"/>
        <v>PKEK25VE0010883A</v>
      </c>
      <c r="C668" s="94" t="str">
        <f ca="1"/>
        <v>CABERNET</v>
      </c>
      <c r="D668" s="94" t="str">
        <f ca="1"/>
        <v>617</v>
      </c>
      <c r="E668" s="94" t="str">
        <f ca="1"/>
        <v>FV012282502</v>
      </c>
      <c r="F668" s="94" t="str">
        <f ca="1"/>
        <v>C1500427</v>
      </c>
      <c r="G668" s="94" t="str">
        <f ca="1"/>
        <v>B</v>
      </c>
      <c r="H668" s="94" t="str">
        <f ca="1"/>
        <v>CF003138123</v>
      </c>
      <c r="I668" s="94" t="str">
        <f ca="1"/>
        <v>A</v>
      </c>
      <c r="J668" s="94">
        <f ca="1"/>
        <v>23.9</v>
      </c>
      <c r="K668" s="94"/>
      <c r="L668" s="94">
        <f ca="1"/>
        <v>83.22</v>
      </c>
      <c r="M668" s="94" t="str">
        <f ca="1"/>
        <v>63/65"</v>
      </c>
      <c r="N668" s="94">
        <f ca="1"/>
        <v>63</v>
      </c>
      <c r="O668" s="94" t="str">
        <f ca="1"/>
        <v>White mark [白印]</v>
      </c>
      <c r="P668" s="95" t="str">
        <f ca="1"/>
        <v>rằn ri biên trái vào 3'' + vết trắng 15%</v>
      </c>
      <c r="Q668" s="95" t="str">
        <f ca="1"/>
        <v>vết trắng sort uot trên btp +trừ biên trái vào 3''</v>
      </c>
      <c r="R668" s="96">
        <f ca="1"/>
        <v>46115</v>
      </c>
    </row>
    <row r="669" spans="1:18" s="90" customFormat="1" ht="55" customHeight="1" x14ac:dyDescent="0.35">
      <c r="A669" s="94" t="str">
        <f ca="1"/>
        <v>S25V10883</v>
      </c>
      <c r="B669" s="94" t="str">
        <f ca="1"/>
        <v>PKEK25VE0010883A</v>
      </c>
      <c r="C669" s="94" t="str">
        <f ca="1"/>
        <v>CABERNET</v>
      </c>
      <c r="D669" s="94" t="str">
        <f ca="1"/>
        <v>617</v>
      </c>
      <c r="E669" s="94" t="str">
        <f ca="1"/>
        <v>FV012282502</v>
      </c>
      <c r="F669" s="94" t="str">
        <f ca="1"/>
        <v>C1500427</v>
      </c>
      <c r="G669" s="94" t="str">
        <f ca="1"/>
        <v>B</v>
      </c>
      <c r="H669" s="94" t="str">
        <f ca="1"/>
        <v>CF003138124</v>
      </c>
      <c r="I669" s="94" t="str">
        <f ca="1"/>
        <v>A</v>
      </c>
      <c r="J669" s="94">
        <f ca="1"/>
        <v>11</v>
      </c>
      <c r="K669" s="94"/>
      <c r="L669" s="94">
        <f ca="1"/>
        <v>38.299999999999997</v>
      </c>
      <c r="M669" s="94" t="str">
        <f ca="1"/>
        <v>63/65"</v>
      </c>
      <c r="N669" s="94">
        <f ca="1"/>
        <v>63</v>
      </c>
      <c r="O669" s="94" t="str">
        <f ca="1"/>
        <v>White mark [白印]</v>
      </c>
      <c r="P669" s="95" t="str">
        <f ca="1"/>
        <v>rằn ri biên trái vào 3'' + vết trắng 15%</v>
      </c>
      <c r="Q669" s="95" t="str">
        <f ca="1"/>
        <v>vết trắng sort uot trên btp +trừ biên trái vào 3''</v>
      </c>
      <c r="R669" s="96">
        <f ca="1"/>
        <v>46115</v>
      </c>
    </row>
    <row r="670" spans="1:18" s="90" customFormat="1" ht="55" customHeight="1" x14ac:dyDescent="0.35">
      <c r="A670" s="94" t="str">
        <f ca="1"/>
        <v>S25V10883</v>
      </c>
      <c r="B670" s="94" t="str">
        <f ca="1"/>
        <v>PKEK25VE0010883A</v>
      </c>
      <c r="C670" s="94" t="str">
        <f ca="1"/>
        <v>CABERNET</v>
      </c>
      <c r="D670" s="94" t="str">
        <f ca="1"/>
        <v>617</v>
      </c>
      <c r="E670" s="94" t="str">
        <f ca="1"/>
        <v>FV012282502</v>
      </c>
      <c r="F670" s="94" t="str">
        <f ca="1"/>
        <v>C1500427</v>
      </c>
      <c r="G670" s="94" t="str">
        <f ca="1"/>
        <v>B</v>
      </c>
      <c r="H670" s="94" t="str">
        <f ca="1"/>
        <v>CF003138125</v>
      </c>
      <c r="I670" s="94" t="str">
        <f ca="1"/>
        <v>A</v>
      </c>
      <c r="J670" s="94">
        <f ca="1"/>
        <v>23.9</v>
      </c>
      <c r="K670" s="94"/>
      <c r="L670" s="94">
        <f ca="1"/>
        <v>83.22</v>
      </c>
      <c r="M670" s="94" t="str">
        <f ca="1"/>
        <v>63/65"</v>
      </c>
      <c r="N670" s="94">
        <f ca="1"/>
        <v>63</v>
      </c>
      <c r="O670" s="94" t="str">
        <f ca="1"/>
        <v>White mark [白印]</v>
      </c>
      <c r="P670" s="95" t="str">
        <f ca="1"/>
        <v>rằn ri biên phải vào 3'' + vết trắng 15%</v>
      </c>
      <c r="Q670" s="95" t="str">
        <f ca="1"/>
        <v>vết trắng sort uot trên btp +trừ biên phải vào 3''</v>
      </c>
      <c r="R670" s="96">
        <f ca="1"/>
        <v>46115</v>
      </c>
    </row>
    <row r="671" spans="1:18" s="90" customFormat="1" ht="55" customHeight="1" x14ac:dyDescent="0.35">
      <c r="A671" s="94" t="str">
        <f ca="1"/>
        <v>S25V10883</v>
      </c>
      <c r="B671" s="94" t="str">
        <f ca="1"/>
        <v>PKEK25VE0010883A</v>
      </c>
      <c r="C671" s="94" t="str">
        <f ca="1"/>
        <v>CABERNET</v>
      </c>
      <c r="D671" s="94" t="str">
        <f ca="1"/>
        <v>617</v>
      </c>
      <c r="E671" s="94" t="str">
        <f ca="1"/>
        <v>FV012282502</v>
      </c>
      <c r="F671" s="94" t="str">
        <f ca="1"/>
        <v>C1500427</v>
      </c>
      <c r="G671" s="94" t="str">
        <f ca="1"/>
        <v>B</v>
      </c>
      <c r="H671" s="94" t="str">
        <f ca="1"/>
        <v>CF003138127</v>
      </c>
      <c r="I671" s="94" t="str">
        <f ca="1"/>
        <v>A</v>
      </c>
      <c r="J671" s="94">
        <f ca="1"/>
        <v>24</v>
      </c>
      <c r="K671" s="94"/>
      <c r="L671" s="94">
        <f ca="1"/>
        <v>83.57</v>
      </c>
      <c r="M671" s="94" t="str">
        <f ca="1"/>
        <v>63/65"</v>
      </c>
      <c r="N671" s="94">
        <f ca="1"/>
        <v>63</v>
      </c>
      <c r="O671" s="94" t="str">
        <f ca="1"/>
        <v>White mark [白印]</v>
      </c>
      <c r="P671" s="95" t="str">
        <f ca="1"/>
        <v>rằn ri biên phải vào 3'' + vết trắng 15%</v>
      </c>
      <c r="Q671" s="95" t="str">
        <f ca="1"/>
        <v>vết trắng sort uot trên btp +trừ biên phải vào 3''</v>
      </c>
      <c r="R671" s="96">
        <f ca="1"/>
        <v>46115</v>
      </c>
    </row>
    <row r="672" spans="1:18" s="90" customFormat="1" ht="55" customHeight="1" x14ac:dyDescent="0.35">
      <c r="A672" s="94" t="str">
        <f ca="1"/>
        <v>S25V10883</v>
      </c>
      <c r="B672" s="94" t="str">
        <f ca="1"/>
        <v>PKEK25VE0010883A</v>
      </c>
      <c r="C672" s="94" t="str">
        <f ca="1"/>
        <v>CABERNET</v>
      </c>
      <c r="D672" s="94" t="str">
        <f ca="1"/>
        <v>617</v>
      </c>
      <c r="E672" s="94" t="str">
        <f ca="1"/>
        <v>FV012282502</v>
      </c>
      <c r="F672" s="94" t="str">
        <f ca="1"/>
        <v>C1500427</v>
      </c>
      <c r="G672" s="94" t="str">
        <f ca="1"/>
        <v>B</v>
      </c>
      <c r="H672" s="94" t="str">
        <f ca="1"/>
        <v>CF003138128</v>
      </c>
      <c r="I672" s="94" t="str">
        <f ca="1"/>
        <v>A</v>
      </c>
      <c r="J672" s="94">
        <f ca="1"/>
        <v>24</v>
      </c>
      <c r="K672" s="94"/>
      <c r="L672" s="94">
        <f ca="1"/>
        <v>83.57</v>
      </c>
      <c r="M672" s="94" t="str">
        <f ca="1"/>
        <v>63/65"</v>
      </c>
      <c r="N672" s="94">
        <f ca="1"/>
        <v>63</v>
      </c>
      <c r="O672" s="94" t="str">
        <f ca="1"/>
        <v>White mark [白印]</v>
      </c>
      <c r="P672" s="95" t="str">
        <f ca="1"/>
        <v>rằn ri biên trái vào 3'' + vết trắng 15%</v>
      </c>
      <c r="Q672" s="95" t="str">
        <f ca="1"/>
        <v>vết trắng sort uot trên btp +trừ biên trái vào 3''</v>
      </c>
      <c r="R672" s="96">
        <f ca="1"/>
        <v>46115</v>
      </c>
    </row>
    <row r="673" spans="1:18" s="90" customFormat="1" ht="55" customHeight="1" x14ac:dyDescent="0.35">
      <c r="A673" s="94" t="str">
        <f ca="1"/>
        <v>S25V10883</v>
      </c>
      <c r="B673" s="94" t="str">
        <f ca="1"/>
        <v>PKEK25VE0010883A</v>
      </c>
      <c r="C673" s="94" t="str">
        <f ca="1"/>
        <v>CABERNET</v>
      </c>
      <c r="D673" s="94" t="str">
        <f ca="1"/>
        <v>617</v>
      </c>
      <c r="E673" s="94" t="str">
        <f ca="1"/>
        <v>FV012282502</v>
      </c>
      <c r="F673" s="94" t="str">
        <f ca="1"/>
        <v>C1500427</v>
      </c>
      <c r="G673" s="94" t="str">
        <f ca="1"/>
        <v>B</v>
      </c>
      <c r="H673" s="94" t="str">
        <f ca="1"/>
        <v>CF003138129</v>
      </c>
      <c r="I673" s="94" t="str">
        <f ca="1"/>
        <v>A</v>
      </c>
      <c r="J673" s="94">
        <f ca="1"/>
        <v>30</v>
      </c>
      <c r="K673" s="94"/>
      <c r="L673" s="94">
        <f ca="1"/>
        <v>104.46</v>
      </c>
      <c r="M673" s="94" t="str">
        <f ca="1"/>
        <v>63/65"</v>
      </c>
      <c r="N673" s="94">
        <f ca="1"/>
        <v>63</v>
      </c>
      <c r="O673" s="94" t="str">
        <f ca="1"/>
        <v>White mark [白印]</v>
      </c>
      <c r="P673" s="95" t="str">
        <f ca="1"/>
        <v>rằn ri biên trái vào 3'' + vết trắng 15%</v>
      </c>
      <c r="Q673" s="95" t="str">
        <f ca="1"/>
        <v>vết trắng sort uot trên btp +trừ biên trái vào 3''</v>
      </c>
      <c r="R673" s="96">
        <f ca="1"/>
        <v>46115</v>
      </c>
    </row>
    <row r="674" spans="1:18" s="90" customFormat="1" ht="55" customHeight="1" x14ac:dyDescent="0.35">
      <c r="A674" s="94" t="str">
        <f ca="1"/>
        <v>S25V10883</v>
      </c>
      <c r="B674" s="94" t="str">
        <f ca="1"/>
        <v>PKEK25VE0010883A</v>
      </c>
      <c r="C674" s="94" t="str">
        <f ca="1"/>
        <v>CABERNET</v>
      </c>
      <c r="D674" s="94" t="str">
        <f ca="1"/>
        <v>617</v>
      </c>
      <c r="E674" s="94" t="str">
        <f ca="1"/>
        <v>FV012282502</v>
      </c>
      <c r="F674" s="94" t="str">
        <f ca="1"/>
        <v>C1500427</v>
      </c>
      <c r="G674" s="94" t="str">
        <f ca="1"/>
        <v>B</v>
      </c>
      <c r="H674" s="94" t="str">
        <f ca="1"/>
        <v>CF003138130</v>
      </c>
      <c r="I674" s="94" t="str">
        <f ca="1"/>
        <v>A</v>
      </c>
      <c r="J674" s="94">
        <f ca="1"/>
        <v>23.9</v>
      </c>
      <c r="K674" s="94"/>
      <c r="L674" s="94">
        <f ca="1"/>
        <v>83.22</v>
      </c>
      <c r="M674" s="94" t="str">
        <f ca="1"/>
        <v>63/65"</v>
      </c>
      <c r="N674" s="94">
        <f ca="1"/>
        <v>63</v>
      </c>
      <c r="O674" s="94" t="str">
        <f ca="1"/>
        <v>White mark [白印]</v>
      </c>
      <c r="P674" s="95" t="str">
        <f ca="1"/>
        <v>rằn ri biên trái vào 3'' + vết trắng 15%</v>
      </c>
      <c r="Q674" s="95" t="str">
        <f ca="1"/>
        <v>vết trắng sort uot trên btp +trừ biên trái vào 3''</v>
      </c>
      <c r="R674" s="96">
        <f ca="1"/>
        <v>46115</v>
      </c>
    </row>
    <row r="675" spans="1:18" s="90" customFormat="1" ht="55" customHeight="1" x14ac:dyDescent="0.35">
      <c r="A675" s="94" t="str">
        <f ca="1"/>
        <v>S25V10883</v>
      </c>
      <c r="B675" s="94" t="str">
        <f ca="1"/>
        <v>PKEK25VE0010883A</v>
      </c>
      <c r="C675" s="94" t="str">
        <f ca="1"/>
        <v>CABERNET</v>
      </c>
      <c r="D675" s="94" t="str">
        <f ca="1"/>
        <v>617</v>
      </c>
      <c r="E675" s="94" t="str">
        <f ca="1"/>
        <v>FV012282502</v>
      </c>
      <c r="F675" s="94" t="str">
        <f ca="1"/>
        <v>C1500427</v>
      </c>
      <c r="G675" s="94" t="str">
        <f ca="1"/>
        <v>B</v>
      </c>
      <c r="H675" s="94" t="str">
        <f ca="1"/>
        <v>CF003138131</v>
      </c>
      <c r="I675" s="94" t="str">
        <f ca="1"/>
        <v>A</v>
      </c>
      <c r="J675" s="94">
        <f ca="1"/>
        <v>23.8</v>
      </c>
      <c r="K675" s="94"/>
      <c r="L675" s="94">
        <f ca="1"/>
        <v>82.87</v>
      </c>
      <c r="M675" s="94" t="str">
        <f ca="1"/>
        <v>63/65"</v>
      </c>
      <c r="N675" s="94">
        <f ca="1"/>
        <v>63</v>
      </c>
      <c r="O675" s="94" t="str">
        <f ca="1"/>
        <v>White mark [白印]</v>
      </c>
      <c r="P675" s="95" t="str">
        <f ca="1"/>
        <v>rằn ri biên trái vào 3'' + vết trắng 15%</v>
      </c>
      <c r="Q675" s="95" t="str">
        <f ca="1"/>
        <v>vết trắng sort uot trên btp +trừ biên trái vào 3''</v>
      </c>
      <c r="R675" s="96">
        <f ca="1"/>
        <v>46115</v>
      </c>
    </row>
    <row r="676" spans="1:18" s="90" customFormat="1" ht="55" customHeight="1" x14ac:dyDescent="0.35">
      <c r="A676" s="94" t="str">
        <f ca="1"/>
        <v>S25V10883</v>
      </c>
      <c r="B676" s="94" t="str">
        <f ca="1"/>
        <v>PKEK25VE0010883A</v>
      </c>
      <c r="C676" s="94" t="str">
        <f ca="1"/>
        <v>CABERNET</v>
      </c>
      <c r="D676" s="94" t="str">
        <f ca="1"/>
        <v>617</v>
      </c>
      <c r="E676" s="94" t="str">
        <f ca="1"/>
        <v>FV012282502</v>
      </c>
      <c r="F676" s="94" t="str">
        <f ca="1"/>
        <v>C1500427</v>
      </c>
      <c r="G676" s="94" t="str">
        <f ca="1"/>
        <v>B</v>
      </c>
      <c r="H676" s="94" t="str">
        <f ca="1"/>
        <v>CF003138132</v>
      </c>
      <c r="I676" s="94" t="str">
        <f ca="1"/>
        <v>A</v>
      </c>
      <c r="J676" s="94">
        <f ca="1"/>
        <v>24</v>
      </c>
      <c r="K676" s="94"/>
      <c r="L676" s="94">
        <f ca="1"/>
        <v>83.57</v>
      </c>
      <c r="M676" s="94" t="str">
        <f ca="1"/>
        <v>63/65"</v>
      </c>
      <c r="N676" s="94">
        <f ca="1"/>
        <v>63</v>
      </c>
      <c r="O676" s="94" t="str">
        <f ca="1"/>
        <v>White mark [白印]</v>
      </c>
      <c r="P676" s="95" t="str">
        <f ca="1"/>
        <v>rằn ri biên phải vào 3'' + vết trắng 15%</v>
      </c>
      <c r="Q676" s="95" t="str">
        <f ca="1"/>
        <v>vết trắng sort uot trên btp +trừ biên phải vào 3''</v>
      </c>
      <c r="R676" s="96">
        <f ca="1"/>
        <v>46115</v>
      </c>
    </row>
    <row r="677" spans="1:18" s="90" customFormat="1" ht="55" customHeight="1" x14ac:dyDescent="0.35">
      <c r="A677" s="94" t="str">
        <f ca="1"/>
        <v>S25V10883</v>
      </c>
      <c r="B677" s="94" t="str">
        <f ca="1"/>
        <v>PKEK25VE0010883A</v>
      </c>
      <c r="C677" s="94" t="str">
        <f ca="1"/>
        <v>CABERNET</v>
      </c>
      <c r="D677" s="94" t="str">
        <f ca="1"/>
        <v>617</v>
      </c>
      <c r="E677" s="94" t="str">
        <f ca="1"/>
        <v>FV012282502</v>
      </c>
      <c r="F677" s="94" t="str">
        <f ca="1"/>
        <v>C1500427</v>
      </c>
      <c r="G677" s="94" t="str">
        <f ca="1"/>
        <v>B</v>
      </c>
      <c r="H677" s="94" t="str">
        <f ca="1"/>
        <v>CF003138133</v>
      </c>
      <c r="I677" s="94" t="str">
        <f ca="1"/>
        <v>A</v>
      </c>
      <c r="J677" s="94">
        <f ca="1"/>
        <v>23.9</v>
      </c>
      <c r="K677" s="94"/>
      <c r="L677" s="94">
        <f ca="1"/>
        <v>83.22</v>
      </c>
      <c r="M677" s="94" t="str">
        <f ca="1"/>
        <v>63/65"</v>
      </c>
      <c r="N677" s="94">
        <f ca="1"/>
        <v>63</v>
      </c>
      <c r="O677" s="94" t="str">
        <f ca="1"/>
        <v>White mark [白印]</v>
      </c>
      <c r="P677" s="95" t="str">
        <f ca="1"/>
        <v>rằn ri biên phải vào 3'' + vết trắng 15%</v>
      </c>
      <c r="Q677" s="95" t="str">
        <f ca="1"/>
        <v>vết trắng sort uot trên btp +trừ biên phải vào 3''</v>
      </c>
      <c r="R677" s="96">
        <f ca="1"/>
        <v>46115</v>
      </c>
    </row>
    <row r="678" spans="1:18" s="90" customFormat="1" ht="55" customHeight="1" x14ac:dyDescent="0.35">
      <c r="A678" s="94" t="str">
        <f ca="1"/>
        <v>S25V10883</v>
      </c>
      <c r="B678" s="94" t="str">
        <f ca="1"/>
        <v>PKEK25VE0010883A</v>
      </c>
      <c r="C678" s="94" t="str">
        <f ca="1"/>
        <v>CABERNET</v>
      </c>
      <c r="D678" s="94" t="str">
        <f ca="1"/>
        <v>617</v>
      </c>
      <c r="E678" s="94" t="str">
        <f ca="1"/>
        <v>FV012282502</v>
      </c>
      <c r="F678" s="94" t="str">
        <f ca="1"/>
        <v>C1500427</v>
      </c>
      <c r="G678" s="94" t="str">
        <f ca="1"/>
        <v>B</v>
      </c>
      <c r="H678" s="94" t="str">
        <f ca="1"/>
        <v>CF003138134</v>
      </c>
      <c r="I678" s="94" t="str">
        <f ca="1"/>
        <v>A</v>
      </c>
      <c r="J678" s="94">
        <f ca="1"/>
        <v>24.1</v>
      </c>
      <c r="K678" s="94"/>
      <c r="L678" s="94">
        <f ca="1"/>
        <v>83.92</v>
      </c>
      <c r="M678" s="94" t="str">
        <f ca="1"/>
        <v>63/65"</v>
      </c>
      <c r="N678" s="94">
        <f ca="1"/>
        <v>63</v>
      </c>
      <c r="O678" s="94" t="str">
        <f ca="1"/>
        <v>White mark [白印]</v>
      </c>
      <c r="P678" s="95" t="str">
        <f ca="1"/>
        <v>rằn ri biên phải vào 3'' + vết trắng 15%</v>
      </c>
      <c r="Q678" s="95" t="str">
        <f ca="1"/>
        <v>vết trắng sort uot trên btp +trừ biên phải vào 3''</v>
      </c>
      <c r="R678" s="96">
        <f ca="1"/>
        <v>46115</v>
      </c>
    </row>
    <row r="679" spans="1:18" s="90" customFormat="1" ht="55" customHeight="1" x14ac:dyDescent="0.35">
      <c r="A679" s="94" t="str">
        <f ca="1"/>
        <v>S25V10883</v>
      </c>
      <c r="B679" s="94" t="str">
        <f ca="1"/>
        <v>PKEK25VE0010883A</v>
      </c>
      <c r="C679" s="94" t="str">
        <f ca="1"/>
        <v>CABERNET</v>
      </c>
      <c r="D679" s="94" t="str">
        <f ca="1"/>
        <v>617</v>
      </c>
      <c r="E679" s="94" t="str">
        <f ca="1"/>
        <v>FV012282502</v>
      </c>
      <c r="F679" s="94" t="str">
        <f ca="1"/>
        <v>C1500427</v>
      </c>
      <c r="G679" s="94" t="str">
        <f ca="1"/>
        <v>B</v>
      </c>
      <c r="H679" s="94" t="str">
        <f ca="1"/>
        <v>CF003138136</v>
      </c>
      <c r="I679" s="94" t="str">
        <f ca="1"/>
        <v>A</v>
      </c>
      <c r="J679" s="94">
        <f ca="1"/>
        <v>24</v>
      </c>
      <c r="K679" s="94"/>
      <c r="L679" s="94">
        <f ca="1"/>
        <v>83.57</v>
      </c>
      <c r="M679" s="94" t="str">
        <f ca="1"/>
        <v>63/65"</v>
      </c>
      <c r="N679" s="94">
        <f ca="1"/>
        <v>63</v>
      </c>
      <c r="O679" s="94" t="str">
        <f ca="1"/>
        <v>White mark [白印]</v>
      </c>
      <c r="P679" s="95" t="str">
        <f ca="1"/>
        <v>rằn ri biên phải vào 3'' + vết trắng 15%</v>
      </c>
      <c r="Q679" s="95" t="str">
        <f ca="1"/>
        <v>vết trắng sort uot trên btp +trừ biên phải vào 3''</v>
      </c>
      <c r="R679" s="96">
        <f ca="1"/>
        <v>46115</v>
      </c>
    </row>
    <row r="680" spans="1:18" s="90" customFormat="1" ht="55" customHeight="1" x14ac:dyDescent="0.35">
      <c r="A680" s="94" t="str">
        <f ca="1"/>
        <v>S25V10883</v>
      </c>
      <c r="B680" s="94" t="str">
        <f ca="1"/>
        <v>PKEK25VE0010883A</v>
      </c>
      <c r="C680" s="94" t="str">
        <f ca="1"/>
        <v>CABERNET</v>
      </c>
      <c r="D680" s="94" t="str">
        <f ca="1"/>
        <v>617</v>
      </c>
      <c r="E680" s="94" t="str">
        <f ca="1"/>
        <v>FV012282502</v>
      </c>
      <c r="F680" s="94" t="str">
        <f ca="1"/>
        <v>C1500427</v>
      </c>
      <c r="G680" s="94" t="str">
        <f ca="1"/>
        <v>B</v>
      </c>
      <c r="H680" s="94" t="str">
        <f ca="1"/>
        <v>CF003138137</v>
      </c>
      <c r="I680" s="94" t="str">
        <f ca="1"/>
        <v>A</v>
      </c>
      <c r="J680" s="94">
        <f ca="1"/>
        <v>23.8</v>
      </c>
      <c r="K680" s="94"/>
      <c r="L680" s="94">
        <f ca="1"/>
        <v>82.87</v>
      </c>
      <c r="M680" s="94" t="str">
        <f ca="1"/>
        <v>63/65"</v>
      </c>
      <c r="N680" s="94">
        <f ca="1"/>
        <v>63</v>
      </c>
      <c r="O680" s="94" t="str">
        <f ca="1"/>
        <v>White mark [白印]</v>
      </c>
      <c r="P680" s="95" t="str">
        <f ca="1"/>
        <v>rằn ri biên trái vào 3'' + vết trắng 15%</v>
      </c>
      <c r="Q680" s="95" t="str">
        <f ca="1"/>
        <v>vết trắng sort uot trên btp +trừ biên trái vào 3''</v>
      </c>
      <c r="R680" s="96">
        <f ca="1"/>
        <v>46115</v>
      </c>
    </row>
    <row r="681" spans="1:18" s="90" customFormat="1" ht="55" customHeight="1" x14ac:dyDescent="0.35">
      <c r="A681" s="94" t="str">
        <f ca="1"/>
        <v>S25V10883</v>
      </c>
      <c r="B681" s="94" t="str">
        <f ca="1"/>
        <v>PKEK25VE0010883A</v>
      </c>
      <c r="C681" s="94" t="str">
        <f ca="1"/>
        <v>CABERNET</v>
      </c>
      <c r="D681" s="94" t="str">
        <f ca="1"/>
        <v>617</v>
      </c>
      <c r="E681" s="94" t="str">
        <f ca="1"/>
        <v>FV012282502</v>
      </c>
      <c r="F681" s="94" t="str">
        <f ca="1"/>
        <v>C1500427</v>
      </c>
      <c r="G681" s="94" t="str">
        <f ca="1"/>
        <v>B</v>
      </c>
      <c r="H681" s="94" t="str">
        <f ca="1"/>
        <v>CF003138138</v>
      </c>
      <c r="I681" s="94" t="str">
        <f ca="1"/>
        <v>A</v>
      </c>
      <c r="J681" s="94">
        <f ca="1"/>
        <v>23.9</v>
      </c>
      <c r="K681" s="94"/>
      <c r="L681" s="94">
        <f ca="1"/>
        <v>83.22</v>
      </c>
      <c r="M681" s="94" t="str">
        <f ca="1"/>
        <v>63/65"</v>
      </c>
      <c r="N681" s="94">
        <f ca="1"/>
        <v>63</v>
      </c>
      <c r="O681" s="94" t="str">
        <f ca="1"/>
        <v>White mark [白印]</v>
      </c>
      <c r="P681" s="95" t="str">
        <f ca="1"/>
        <v>rằn ri biên trái vào 3'' + vết trắng 15%</v>
      </c>
      <c r="Q681" s="95" t="str">
        <f ca="1"/>
        <v>vết trắng sort uot trên btp +trừ biên trái vào 3''</v>
      </c>
      <c r="R681" s="96">
        <f ca="1"/>
        <v>46115</v>
      </c>
    </row>
    <row r="682" spans="1:18" s="90" customFormat="1" ht="55" customHeight="1" x14ac:dyDescent="0.35">
      <c r="A682" s="94" t="str">
        <f ca="1"/>
        <v>S25V10883</v>
      </c>
      <c r="B682" s="94" t="str">
        <f ca="1"/>
        <v>PKEK25VE0010883A</v>
      </c>
      <c r="C682" s="94" t="str">
        <f ca="1"/>
        <v>CABERNET</v>
      </c>
      <c r="D682" s="94" t="str">
        <f ca="1"/>
        <v>617</v>
      </c>
      <c r="E682" s="94" t="str">
        <f ca="1"/>
        <v>FV012282502</v>
      </c>
      <c r="F682" s="94" t="str">
        <f ca="1"/>
        <v>C1500427</v>
      </c>
      <c r="G682" s="94" t="str">
        <f ca="1"/>
        <v>B</v>
      </c>
      <c r="H682" s="94" t="str">
        <f ca="1"/>
        <v>CF003138139</v>
      </c>
      <c r="I682" s="94" t="str">
        <f ca="1"/>
        <v>B</v>
      </c>
      <c r="J682" s="94">
        <f ca="1"/>
        <v>23.8</v>
      </c>
      <c r="K682" s="94"/>
      <c r="L682" s="94">
        <f ca="1"/>
        <v>82.87</v>
      </c>
      <c r="M682" s="94" t="str">
        <f ca="1"/>
        <v>63/65"</v>
      </c>
      <c r="N682" s="94">
        <f ca="1"/>
        <v>63</v>
      </c>
      <c r="O682" s="94" t="str">
        <f ca="1"/>
        <v>White mark [白印]</v>
      </c>
      <c r="P682" s="95" t="str">
        <f ca="1"/>
        <v>rằn ri biên trái vào 3'' + vết trắng 15%</v>
      </c>
      <c r="Q682" s="95" t="str">
        <f ca="1"/>
        <v>vết trắng sort uot trên btp +trừ biên trái vào 3''</v>
      </c>
      <c r="R682" s="96">
        <f ca="1"/>
        <v>46115</v>
      </c>
    </row>
    <row r="683" spans="1:18" s="90" customFormat="1" ht="55" customHeight="1" x14ac:dyDescent="0.35">
      <c r="A683" s="94" t="str">
        <f ca="1"/>
        <v>S25V10883</v>
      </c>
      <c r="B683" s="94" t="str">
        <f ca="1"/>
        <v>PKEK25VE0010883A</v>
      </c>
      <c r="C683" s="94" t="str">
        <f ca="1"/>
        <v>CABERNET</v>
      </c>
      <c r="D683" s="94" t="str">
        <f ca="1"/>
        <v>617</v>
      </c>
      <c r="E683" s="94" t="str">
        <f ca="1"/>
        <v>FV012282502</v>
      </c>
      <c r="F683" s="94" t="str">
        <f ca="1"/>
        <v>C1500427</v>
      </c>
      <c r="G683" s="94" t="str">
        <f ca="1"/>
        <v>B</v>
      </c>
      <c r="H683" s="94" t="str">
        <f ca="1"/>
        <v>CF003138140</v>
      </c>
      <c r="I683" s="94" t="str">
        <f ca="1"/>
        <v>B</v>
      </c>
      <c r="J683" s="94">
        <f ca="1"/>
        <v>23.7</v>
      </c>
      <c r="K683" s="94"/>
      <c r="L683" s="94">
        <f ca="1"/>
        <v>82.53</v>
      </c>
      <c r="M683" s="94" t="str">
        <f ca="1"/>
        <v>63/65"</v>
      </c>
      <c r="N683" s="94">
        <f ca="1"/>
        <v>63</v>
      </c>
      <c r="O683" s="94" t="str">
        <f ca="1"/>
        <v>White mark [白印]</v>
      </c>
      <c r="P683" s="95" t="str">
        <f ca="1"/>
        <v>rằn ri biên trái vào 3'' + vết trắng 15%</v>
      </c>
      <c r="Q683" s="95" t="str">
        <f ca="1"/>
        <v>vết trắng sort uot trên btp +trừ biên trái vào 3''</v>
      </c>
      <c r="R683" s="96">
        <f ca="1"/>
        <v>46115</v>
      </c>
    </row>
    <row r="684" spans="1:18" s="90" customFormat="1" ht="55" customHeight="1" x14ac:dyDescent="0.35">
      <c r="A684" s="94" t="str">
        <f ca="1"/>
        <v>S25V10883</v>
      </c>
      <c r="B684" s="94" t="str">
        <f ca="1"/>
        <v>PKEK25VE0010883A</v>
      </c>
      <c r="C684" s="94" t="str">
        <f ca="1"/>
        <v>CABERNET</v>
      </c>
      <c r="D684" s="94" t="str">
        <f ca="1"/>
        <v>617</v>
      </c>
      <c r="E684" s="94" t="str">
        <f ca="1"/>
        <v>FV012282502</v>
      </c>
      <c r="F684" s="94" t="str">
        <f ca="1"/>
        <v>C1500427</v>
      </c>
      <c r="G684" s="94" t="str">
        <f ca="1"/>
        <v>B</v>
      </c>
      <c r="H684" s="94" t="str">
        <f ca="1"/>
        <v>CF003138141</v>
      </c>
      <c r="I684" s="94" t="str">
        <f ca="1"/>
        <v>A</v>
      </c>
      <c r="J684" s="94">
        <f ca="1"/>
        <v>29.4</v>
      </c>
      <c r="K684" s="94"/>
      <c r="L684" s="94">
        <f ca="1"/>
        <v>102.38</v>
      </c>
      <c r="M684" s="94" t="str">
        <f ca="1"/>
        <v>63/65"</v>
      </c>
      <c r="N684" s="94">
        <f ca="1"/>
        <v>63</v>
      </c>
      <c r="O684" s="94" t="str">
        <f ca="1"/>
        <v>White mark [白印]</v>
      </c>
      <c r="P684" s="95" t="str">
        <f ca="1"/>
        <v>rằn ri biên trái vào 3'' + vết trắng 15%</v>
      </c>
      <c r="Q684" s="95" t="str">
        <f ca="1"/>
        <v>vết trắng sort uot trên btp +trừ biên trái vào 3''</v>
      </c>
      <c r="R684" s="96">
        <f ca="1"/>
        <v>46115</v>
      </c>
    </row>
    <row r="685" spans="1:18" s="90" customFormat="1" ht="55" customHeight="1" x14ac:dyDescent="0.35">
      <c r="A685" s="94" t="str">
        <f ca="1"/>
        <v>S25V10883</v>
      </c>
      <c r="B685" s="94" t="str">
        <f ca="1"/>
        <v>PKEK25VE0010883A</v>
      </c>
      <c r="C685" s="94" t="str">
        <f ca="1"/>
        <v>CABERNET</v>
      </c>
      <c r="D685" s="94" t="str">
        <f ca="1"/>
        <v>617</v>
      </c>
      <c r="E685" s="94" t="str">
        <f ca="1"/>
        <v>FV012282502</v>
      </c>
      <c r="F685" s="94" t="str">
        <f ca="1"/>
        <v>C1500427</v>
      </c>
      <c r="G685" s="94" t="str">
        <f ca="1"/>
        <v>B</v>
      </c>
      <c r="H685" s="94" t="str">
        <f ca="1"/>
        <v>CF003138142</v>
      </c>
      <c r="I685" s="94" t="str">
        <f ca="1"/>
        <v>A</v>
      </c>
      <c r="J685" s="94">
        <f ca="1"/>
        <v>23.1</v>
      </c>
      <c r="K685" s="94"/>
      <c r="L685" s="94">
        <f ca="1"/>
        <v>80.44</v>
      </c>
      <c r="M685" s="94" t="str">
        <f ca="1"/>
        <v>63/65"</v>
      </c>
      <c r="N685" s="94">
        <f ca="1"/>
        <v>63</v>
      </c>
      <c r="O685" s="94" t="str">
        <f ca="1"/>
        <v>White mark [白印]</v>
      </c>
      <c r="P685" s="95" t="str">
        <f ca="1"/>
        <v>rằn ri biên trái vào 3'' + vết trắng 15%</v>
      </c>
      <c r="Q685" s="95" t="str">
        <f ca="1"/>
        <v>vết trắng sort uot trên btp +trừ biên trái vào 3''</v>
      </c>
      <c r="R685" s="96">
        <f ca="1"/>
        <v>46115</v>
      </c>
    </row>
    <row r="686" spans="1:18" s="90" customFormat="1" ht="55" customHeight="1" x14ac:dyDescent="0.35">
      <c r="A686" s="94" t="str">
        <f ca="1"/>
        <v>S25V10883</v>
      </c>
      <c r="B686" s="94" t="str">
        <f ca="1"/>
        <v>PKEK25VE0010883A</v>
      </c>
      <c r="C686" s="94" t="str">
        <f ca="1"/>
        <v>CABERNET</v>
      </c>
      <c r="D686" s="94" t="str">
        <f ca="1"/>
        <v>617</v>
      </c>
      <c r="E686" s="94" t="str">
        <f ca="1"/>
        <v>FV012282502</v>
      </c>
      <c r="F686" s="94" t="str">
        <f ca="1"/>
        <v>C1500427</v>
      </c>
      <c r="G686" s="94" t="str">
        <f ca="1"/>
        <v>B</v>
      </c>
      <c r="H686" s="94" t="str">
        <f ca="1"/>
        <v>CF003138143</v>
      </c>
      <c r="I686" s="94" t="str">
        <f ca="1"/>
        <v>A</v>
      </c>
      <c r="J686" s="94">
        <f ca="1"/>
        <v>14.7</v>
      </c>
      <c r="K686" s="94"/>
      <c r="L686" s="94">
        <f ca="1"/>
        <v>51.19</v>
      </c>
      <c r="M686" s="94" t="str">
        <f ca="1"/>
        <v>63/65"</v>
      </c>
      <c r="N686" s="94">
        <f ca="1"/>
        <v>63</v>
      </c>
      <c r="O686" s="94" t="str">
        <f ca="1"/>
        <v>White mark [白印]</v>
      </c>
      <c r="P686" s="95" t="str">
        <f ca="1"/>
        <v>rằn ri biên phải vào 3'' + vết trắng 15%+ ma sát 2 biên mỗi biên 10''</v>
      </c>
      <c r="Q686" s="95" t="str">
        <f ca="1"/>
        <v>vết trắng sort uot trên btp +trừ biên phải vào 3'' + nè 2 biên mỗi biên 10''</v>
      </c>
      <c r="R686" s="96">
        <f ca="1"/>
        <v>46115</v>
      </c>
    </row>
    <row r="687" spans="1:18" s="90" customFormat="1" ht="55" customHeight="1" x14ac:dyDescent="0.35">
      <c r="A687" s="94" t="str">
        <f ca="1"/>
        <v>S25V10883</v>
      </c>
      <c r="B687" s="94" t="str">
        <f ca="1"/>
        <v>PKEK25VE0010883A</v>
      </c>
      <c r="C687" s="94" t="str">
        <f ca="1"/>
        <v>CABERNET</v>
      </c>
      <c r="D687" s="94" t="str">
        <f ca="1"/>
        <v>617</v>
      </c>
      <c r="E687" s="94" t="str">
        <f ca="1"/>
        <v>FV012282502</v>
      </c>
      <c r="F687" s="94" t="str">
        <f ca="1"/>
        <v>C1500427</v>
      </c>
      <c r="G687" s="94" t="str">
        <f ca="1"/>
        <v>B</v>
      </c>
      <c r="H687" s="94" t="str">
        <f ca="1"/>
        <v>CF003138144</v>
      </c>
      <c r="I687" s="94" t="str">
        <f ca="1"/>
        <v>A</v>
      </c>
      <c r="J687" s="94">
        <f ca="1"/>
        <v>9.1999999999999993</v>
      </c>
      <c r="K687" s="94"/>
      <c r="L687" s="94">
        <f ca="1"/>
        <v>32.04</v>
      </c>
      <c r="M687" s="94" t="str">
        <f ca="1"/>
        <v>63/65"</v>
      </c>
      <c r="N687" s="94">
        <f ca="1"/>
        <v>63</v>
      </c>
      <c r="O687" s="94" t="str">
        <f ca="1"/>
        <v>White mark [白印]</v>
      </c>
      <c r="P687" s="95" t="str">
        <f ca="1"/>
        <v>rằn ri biên phải vào 3'' + vết trắng 15%</v>
      </c>
      <c r="Q687" s="95" t="str">
        <f ca="1"/>
        <v>vết trắng sort uot trên btp +trừ biên phải vào 3''</v>
      </c>
      <c r="R687" s="96">
        <f ca="1"/>
        <v>46115</v>
      </c>
    </row>
    <row r="688" spans="1:18" s="90" customFormat="1" ht="55" customHeight="1" x14ac:dyDescent="0.35">
      <c r="A688" s="94" t="str">
        <f ca="1"/>
        <v>S25V10883</v>
      </c>
      <c r="B688" s="94" t="str">
        <f ca="1"/>
        <v>PKEK25VE0010883A</v>
      </c>
      <c r="C688" s="94" t="str">
        <f ca="1"/>
        <v>CABERNET</v>
      </c>
      <c r="D688" s="94" t="str">
        <f ca="1"/>
        <v>617</v>
      </c>
      <c r="E688" s="94" t="str">
        <f ca="1"/>
        <v>FV012282502</v>
      </c>
      <c r="F688" s="94" t="str">
        <f ca="1"/>
        <v>C1500427</v>
      </c>
      <c r="G688" s="94" t="str">
        <f ca="1"/>
        <v>B</v>
      </c>
      <c r="H688" s="94" t="str">
        <f ca="1"/>
        <v>CF003138145</v>
      </c>
      <c r="I688" s="94" t="str">
        <f ca="1"/>
        <v>A</v>
      </c>
      <c r="J688" s="94">
        <f ca="1"/>
        <v>24.1</v>
      </c>
      <c r="K688" s="94"/>
      <c r="L688" s="94">
        <f ca="1"/>
        <v>83.92</v>
      </c>
      <c r="M688" s="94" t="str">
        <f ca="1"/>
        <v>63/65"</v>
      </c>
      <c r="N688" s="94">
        <f ca="1"/>
        <v>63</v>
      </c>
      <c r="O688" s="94" t="str">
        <f ca="1"/>
        <v>White mark [白印]</v>
      </c>
      <c r="P688" s="95" t="str">
        <f ca="1"/>
        <v>rằn ri biên trái vào 3'' + vết trắng 15%</v>
      </c>
      <c r="Q688" s="95" t="str">
        <f ca="1"/>
        <v>vết trắng sort uot trên btp +trừ biên trái vào 3''</v>
      </c>
      <c r="R688" s="96">
        <f ca="1"/>
        <v>46115</v>
      </c>
    </row>
    <row r="689" spans="1:18" s="90" customFormat="1" ht="55" customHeight="1" x14ac:dyDescent="0.35">
      <c r="A689" s="94" t="str">
        <f ca="1"/>
        <v>S25V10883</v>
      </c>
      <c r="B689" s="94" t="str">
        <f ca="1"/>
        <v>PKEK25VE0010883A</v>
      </c>
      <c r="C689" s="94" t="str">
        <f ca="1"/>
        <v>CABERNET</v>
      </c>
      <c r="D689" s="94" t="str">
        <f ca="1"/>
        <v>617</v>
      </c>
      <c r="E689" s="94" t="str">
        <f ca="1"/>
        <v>FV012282502</v>
      </c>
      <c r="F689" s="94" t="str">
        <f ca="1"/>
        <v>C1500427</v>
      </c>
      <c r="G689" s="94" t="str">
        <f ca="1"/>
        <v>B</v>
      </c>
      <c r="H689" s="94" t="str">
        <f ca="1"/>
        <v>CF003138146</v>
      </c>
      <c r="I689" s="94" t="str">
        <f ca="1"/>
        <v>A</v>
      </c>
      <c r="J689" s="94">
        <f ca="1"/>
        <v>23.8</v>
      </c>
      <c r="K689" s="94"/>
      <c r="L689" s="94">
        <f ca="1"/>
        <v>82.87</v>
      </c>
      <c r="M689" s="94" t="str">
        <f ca="1"/>
        <v>63/65"</v>
      </c>
      <c r="N689" s="94">
        <f ca="1"/>
        <v>63</v>
      </c>
      <c r="O689" s="94" t="str">
        <f ca="1"/>
        <v>White mark [白印]</v>
      </c>
      <c r="P689" s="95" t="str">
        <f ca="1"/>
        <v>rằn ri biên trái vào 3'' + vết trắng 15%</v>
      </c>
      <c r="Q689" s="95" t="str">
        <f ca="1"/>
        <v>vết trắng sort uot trên btp +trừ biên trái vào 3''</v>
      </c>
      <c r="R689" s="96">
        <f ca="1"/>
        <v>46115</v>
      </c>
    </row>
    <row r="690" spans="1:18" s="90" customFormat="1" ht="55" customHeight="1" x14ac:dyDescent="0.35">
      <c r="A690" s="94" t="str">
        <f ca="1"/>
        <v>S25V10883</v>
      </c>
      <c r="B690" s="94" t="str">
        <f ca="1"/>
        <v>PKEK25VE0010883A</v>
      </c>
      <c r="C690" s="94" t="str">
        <f ca="1"/>
        <v>CABERNET</v>
      </c>
      <c r="D690" s="94" t="str">
        <f ca="1"/>
        <v>617</v>
      </c>
      <c r="E690" s="94" t="str">
        <f ca="1"/>
        <v>FV012282502</v>
      </c>
      <c r="F690" s="94" t="str">
        <f ca="1"/>
        <v>C1500427</v>
      </c>
      <c r="G690" s="94" t="str">
        <f ca="1"/>
        <v>B</v>
      </c>
      <c r="H690" s="94" t="str">
        <f ca="1"/>
        <v>CF003138147</v>
      </c>
      <c r="I690" s="94" t="str">
        <f ca="1"/>
        <v>A</v>
      </c>
      <c r="J690" s="94">
        <f ca="1"/>
        <v>23.8</v>
      </c>
      <c r="K690" s="94"/>
      <c r="L690" s="94">
        <f ca="1"/>
        <v>82.87</v>
      </c>
      <c r="M690" s="94" t="str">
        <f ca="1"/>
        <v>63/65"</v>
      </c>
      <c r="N690" s="94">
        <f ca="1"/>
        <v>63</v>
      </c>
      <c r="O690" s="94" t="str">
        <f ca="1"/>
        <v>White mark [白印]</v>
      </c>
      <c r="P690" s="95" t="str">
        <f ca="1"/>
        <v>rằn ri biên trái vào 3'' + vết trắng 15%</v>
      </c>
      <c r="Q690" s="95" t="str">
        <f ca="1"/>
        <v>vết trắng sort uot trên btp +trừ biên trái vào 3''</v>
      </c>
      <c r="R690" s="96">
        <f ca="1"/>
        <v>46115</v>
      </c>
    </row>
    <row r="691" spans="1:18" s="90" customFormat="1" ht="55" customHeight="1" x14ac:dyDescent="0.35">
      <c r="A691" s="94" t="str">
        <f ca="1"/>
        <v>S25V10883</v>
      </c>
      <c r="B691" s="94" t="str">
        <f ca="1"/>
        <v>PKEK25VE0010883A</v>
      </c>
      <c r="C691" s="94" t="str">
        <f ca="1"/>
        <v>CABERNET</v>
      </c>
      <c r="D691" s="94" t="str">
        <f ca="1"/>
        <v>617</v>
      </c>
      <c r="E691" s="94" t="str">
        <f ca="1"/>
        <v>FV012282502</v>
      </c>
      <c r="F691" s="94" t="str">
        <f ca="1"/>
        <v>C1500427</v>
      </c>
      <c r="G691" s="94" t="str">
        <f ca="1"/>
        <v>B</v>
      </c>
      <c r="H691" s="94" t="str">
        <f ca="1"/>
        <v>CF003138148</v>
      </c>
      <c r="I691" s="94" t="str">
        <f ca="1"/>
        <v>B</v>
      </c>
      <c r="J691" s="94">
        <f ca="1"/>
        <v>29.9</v>
      </c>
      <c r="K691" s="94"/>
      <c r="L691" s="94">
        <f ca="1"/>
        <v>104.12</v>
      </c>
      <c r="M691" s="94" t="str">
        <f ca="1"/>
        <v>63/65"</v>
      </c>
      <c r="N691" s="94">
        <f ca="1"/>
        <v>63</v>
      </c>
      <c r="O691" s="94" t="str">
        <f ca="1"/>
        <v>White mark [白印]</v>
      </c>
      <c r="P691" s="95" t="str">
        <f ca="1"/>
        <v>rằn ri biên trái vào 3'' + vết trắng 15%</v>
      </c>
      <c r="Q691" s="95" t="str">
        <f ca="1"/>
        <v>vết trắng sort uot trên btp +trừ biên trái vào 3''</v>
      </c>
      <c r="R691" s="96">
        <f ca="1"/>
        <v>46115</v>
      </c>
    </row>
    <row r="692" spans="1:18" s="90" customFormat="1" ht="55" customHeight="1" x14ac:dyDescent="0.35">
      <c r="A692" s="94" t="str">
        <f ca="1"/>
        <v>S25V10883</v>
      </c>
      <c r="B692" s="94" t="str">
        <f ca="1"/>
        <v>PKEK25VE0010883A</v>
      </c>
      <c r="C692" s="94" t="str">
        <f ca="1"/>
        <v>CABERNET</v>
      </c>
      <c r="D692" s="94" t="str">
        <f ca="1"/>
        <v>617</v>
      </c>
      <c r="E692" s="94" t="str">
        <f ca="1"/>
        <v>FV012282502</v>
      </c>
      <c r="F692" s="94" t="str">
        <f ca="1"/>
        <v>C1500427</v>
      </c>
      <c r="G692" s="94" t="str">
        <f ca="1"/>
        <v>B</v>
      </c>
      <c r="H692" s="94" t="str">
        <f ca="1"/>
        <v>CF003138149</v>
      </c>
      <c r="I692" s="94" t="str">
        <f ca="1"/>
        <v>A</v>
      </c>
      <c r="J692" s="94">
        <f ca="1"/>
        <v>23.9</v>
      </c>
      <c r="K692" s="94"/>
      <c r="L692" s="94">
        <f ca="1"/>
        <v>83.22</v>
      </c>
      <c r="M692" s="94" t="str">
        <f ca="1"/>
        <v>63/65"</v>
      </c>
      <c r="N692" s="94">
        <f ca="1"/>
        <v>63</v>
      </c>
      <c r="O692" s="94" t="str">
        <f ca="1"/>
        <v>White mark [白印]</v>
      </c>
      <c r="P692" s="95" t="str">
        <f ca="1"/>
        <v>rằn ri biên trái vào 3'' + vết trắng 15%</v>
      </c>
      <c r="Q692" s="95" t="str">
        <f ca="1"/>
        <v>vết trắng sort uot trên btp +trừ biên trái vào 3''</v>
      </c>
      <c r="R692" s="96">
        <f ca="1"/>
        <v>46115</v>
      </c>
    </row>
    <row r="693" spans="1:18" s="90" customFormat="1" ht="55" customHeight="1" x14ac:dyDescent="0.35">
      <c r="A693" s="94" t="str">
        <f ca="1"/>
        <v>S25V10883</v>
      </c>
      <c r="B693" s="94" t="str">
        <f ca="1"/>
        <v>PKEK25VE0010883A</v>
      </c>
      <c r="C693" s="94" t="str">
        <f ca="1"/>
        <v>CABERNET</v>
      </c>
      <c r="D693" s="94" t="str">
        <f ca="1"/>
        <v>617</v>
      </c>
      <c r="E693" s="94" t="str">
        <f ca="1"/>
        <v>FV012282502</v>
      </c>
      <c r="F693" s="94" t="str">
        <f ca="1"/>
        <v>C1500427</v>
      </c>
      <c r="G693" s="94" t="str">
        <f ca="1"/>
        <v>B</v>
      </c>
      <c r="H693" s="94" t="str">
        <f ca="1"/>
        <v>CF003138150</v>
      </c>
      <c r="I693" s="94" t="str">
        <f ca="1"/>
        <v>A</v>
      </c>
      <c r="J693" s="94">
        <f ca="1"/>
        <v>23.9</v>
      </c>
      <c r="K693" s="94"/>
      <c r="L693" s="94">
        <f ca="1"/>
        <v>83.22</v>
      </c>
      <c r="M693" s="94" t="str">
        <f ca="1"/>
        <v>63/65"</v>
      </c>
      <c r="N693" s="94">
        <f ca="1"/>
        <v>63</v>
      </c>
      <c r="O693" s="94" t="str">
        <f ca="1"/>
        <v>White mark [白印]</v>
      </c>
      <c r="P693" s="95" t="str">
        <f ca="1"/>
        <v>rằn ri biên trái vào 3'' + vết trắng 15%</v>
      </c>
      <c r="Q693" s="95" t="str">
        <f ca="1"/>
        <v>vết trắng sort uot trên btp +trừ biên trái vào 3''</v>
      </c>
      <c r="R693" s="96">
        <f ca="1"/>
        <v>46115</v>
      </c>
    </row>
    <row r="694" spans="1:18" s="90" customFormat="1" ht="55" customHeight="1" x14ac:dyDescent="0.35">
      <c r="A694" s="94" t="str">
        <f ca="1"/>
        <v>S25V10883</v>
      </c>
      <c r="B694" s="94" t="str">
        <f ca="1"/>
        <v>PKEK25VE0010883A</v>
      </c>
      <c r="C694" s="94" t="str">
        <f ca="1"/>
        <v>CABERNET</v>
      </c>
      <c r="D694" s="94" t="str">
        <f ca="1"/>
        <v>617</v>
      </c>
      <c r="E694" s="94" t="str">
        <f ca="1"/>
        <v>FV012282502</v>
      </c>
      <c r="F694" s="94" t="str">
        <f ca="1"/>
        <v>C1500427</v>
      </c>
      <c r="G694" s="94" t="str">
        <f ca="1"/>
        <v>B</v>
      </c>
      <c r="H694" s="94" t="str">
        <f ca="1"/>
        <v>CF003138151</v>
      </c>
      <c r="I694" s="94" t="str">
        <f ca="1"/>
        <v>B</v>
      </c>
      <c r="J694" s="94">
        <f ca="1"/>
        <v>24</v>
      </c>
      <c r="K694" s="94"/>
      <c r="L694" s="94">
        <f ca="1"/>
        <v>83.57</v>
      </c>
      <c r="M694" s="94" t="str">
        <f ca="1"/>
        <v>63/65"</v>
      </c>
      <c r="N694" s="94">
        <f ca="1"/>
        <v>63</v>
      </c>
      <c r="O694" s="94" t="str">
        <f ca="1"/>
        <v>White mark [白印]</v>
      </c>
      <c r="P694" s="95" t="str">
        <f ca="1"/>
        <v>rằn ri biên trái vào 3'' + vết trắng 15%</v>
      </c>
      <c r="Q694" s="95" t="str">
        <f ca="1"/>
        <v>vết trắng sort uot trên btp +trừ biên trái vào 3''</v>
      </c>
      <c r="R694" s="96">
        <f ca="1"/>
        <v>46115</v>
      </c>
    </row>
    <row r="695" spans="1:18" s="90" customFormat="1" ht="55" customHeight="1" x14ac:dyDescent="0.35">
      <c r="A695" s="94" t="str">
        <f ca="1"/>
        <v>S25V10883</v>
      </c>
      <c r="B695" s="94" t="str">
        <f ca="1"/>
        <v>PKEK25VE0010883A</v>
      </c>
      <c r="C695" s="94" t="str">
        <f ca="1"/>
        <v>CABERNET</v>
      </c>
      <c r="D695" s="94" t="str">
        <f ca="1"/>
        <v>617</v>
      </c>
      <c r="E695" s="94" t="str">
        <f ca="1"/>
        <v>FV012282502</v>
      </c>
      <c r="F695" s="94" t="str">
        <f ca="1"/>
        <v>C1500427</v>
      </c>
      <c r="G695" s="94" t="str">
        <f ca="1"/>
        <v>B</v>
      </c>
      <c r="H695" s="94" t="str">
        <f ca="1"/>
        <v>CF003138152</v>
      </c>
      <c r="I695" s="94" t="str">
        <f ca="1"/>
        <v>B</v>
      </c>
      <c r="J695" s="94">
        <f ca="1"/>
        <v>21.2</v>
      </c>
      <c r="K695" s="94"/>
      <c r="L695" s="94">
        <f ca="1"/>
        <v>73.819999999999993</v>
      </c>
      <c r="M695" s="94" t="str">
        <f ca="1"/>
        <v>63/65"</v>
      </c>
      <c r="N695" s="94">
        <f ca="1"/>
        <v>63</v>
      </c>
      <c r="O695" s="94" t="str">
        <f ca="1"/>
        <v>White mark [白印]</v>
      </c>
      <c r="P695" s="95" t="str">
        <f ca="1"/>
        <v>rằn ri biên trái vào 3'' + vết trắng 15%</v>
      </c>
      <c r="Q695" s="95" t="str">
        <f ca="1"/>
        <v>vết trắng sort uot trên btp +trừ biên trái vào 3''</v>
      </c>
      <c r="R695" s="96">
        <f ca="1"/>
        <v>46115</v>
      </c>
    </row>
    <row r="696" spans="1:18" s="90" customFormat="1" ht="55" customHeight="1" x14ac:dyDescent="0.35">
      <c r="A696" s="94" t="str">
        <f ca="1"/>
        <v>S25V10883</v>
      </c>
      <c r="B696" s="94" t="str">
        <f ca="1"/>
        <v>PKEK25VE0010883A</v>
      </c>
      <c r="C696" s="94" t="str">
        <f ca="1"/>
        <v>CANVAS</v>
      </c>
      <c r="D696" s="94" t="str">
        <f ca="1"/>
        <v>286</v>
      </c>
      <c r="E696" s="94" t="str">
        <f ca="1"/>
        <v>FV012282202</v>
      </c>
      <c r="F696" s="94" t="str">
        <f ca="1"/>
        <v>C1500427</v>
      </c>
      <c r="G696" s="94" t="str">
        <f ca="1"/>
        <v>B</v>
      </c>
      <c r="H696" s="94" t="str">
        <f ca="1"/>
        <v>CF003150698</v>
      </c>
      <c r="I696" s="94" t="str">
        <f ca="1"/>
        <v>A</v>
      </c>
      <c r="J696" s="94">
        <f ca="1"/>
        <v>23.3</v>
      </c>
      <c r="K696" s="94"/>
      <c r="L696" s="94">
        <f ca="1"/>
        <v>79.83</v>
      </c>
      <c r="M696" s="94" t="str">
        <f ca="1"/>
        <v>63/65"</v>
      </c>
      <c r="N696" s="94">
        <f ca="1"/>
        <v>65</v>
      </c>
      <c r="O696" s="94" t="str">
        <f ca="1"/>
        <v>Dirt [针织污渍]</v>
      </c>
      <c r="P696" s="95" t="str">
        <f ca="1"/>
        <v/>
      </c>
      <c r="Q696" s="95" t="str">
        <f ca="1"/>
        <v/>
      </c>
      <c r="R696" s="96">
        <f ca="1"/>
        <v>46125</v>
      </c>
    </row>
    <row r="697" spans="1:18" s="90" customFormat="1" ht="55" customHeight="1" x14ac:dyDescent="0.35">
      <c r="A697" s="94" t="str">
        <f ca="1"/>
        <v>S25V10883</v>
      </c>
      <c r="B697" s="94" t="str">
        <f ca="1"/>
        <v>PKEK25VE0010883A</v>
      </c>
      <c r="C697" s="94" t="str">
        <f ca="1"/>
        <v>CANVAS</v>
      </c>
      <c r="D697" s="94" t="str">
        <f ca="1"/>
        <v>286</v>
      </c>
      <c r="E697" s="94" t="str">
        <f ca="1"/>
        <v>FV012282202</v>
      </c>
      <c r="F697" s="94" t="str">
        <f ca="1"/>
        <v>C1500427</v>
      </c>
      <c r="G697" s="94" t="str">
        <f ca="1"/>
        <v>B</v>
      </c>
      <c r="H697" s="94" t="str">
        <f ca="1"/>
        <v>CF003150699</v>
      </c>
      <c r="I697" s="94" t="str">
        <f ca="1"/>
        <v>A</v>
      </c>
      <c r="J697" s="94">
        <f ca="1"/>
        <v>22.4</v>
      </c>
      <c r="K697" s="94"/>
      <c r="L697" s="94">
        <f ca="1"/>
        <v>76.75</v>
      </c>
      <c r="M697" s="94" t="str">
        <f ca="1"/>
        <v>63/65"</v>
      </c>
      <c r="N697" s="94">
        <f ca="1"/>
        <v>65</v>
      </c>
      <c r="O697" s="94" t="str">
        <f ca="1"/>
        <v>Dirt [针织污渍]</v>
      </c>
      <c r="P697" s="95" t="str">
        <f ca="1"/>
        <v/>
      </c>
      <c r="Q697" s="95" t="str">
        <f ca="1"/>
        <v/>
      </c>
      <c r="R697" s="96">
        <f ca="1"/>
        <v>46125</v>
      </c>
    </row>
    <row r="698" spans="1:18" s="90" customFormat="1" ht="55" customHeight="1" x14ac:dyDescent="0.35">
      <c r="A698" s="94" t="str">
        <f ca="1"/>
        <v>S25V10883</v>
      </c>
      <c r="B698" s="94" t="str">
        <f ca="1"/>
        <v>PKEK25VE0010883A</v>
      </c>
      <c r="C698" s="94" t="str">
        <f ca="1"/>
        <v>CANVAS</v>
      </c>
      <c r="D698" s="94" t="str">
        <f ca="1"/>
        <v>286</v>
      </c>
      <c r="E698" s="94" t="str">
        <f ca="1"/>
        <v>FV012282202</v>
      </c>
      <c r="F698" s="94" t="str">
        <f ca="1"/>
        <v>C1500427</v>
      </c>
      <c r="G698" s="94" t="str">
        <f ca="1"/>
        <v>B</v>
      </c>
      <c r="H698" s="94" t="str">
        <f ca="1"/>
        <v>CF003150700</v>
      </c>
      <c r="I698" s="94" t="str">
        <f ca="1"/>
        <v>A</v>
      </c>
      <c r="J698" s="94">
        <f ca="1"/>
        <v>23.4</v>
      </c>
      <c r="K698" s="94"/>
      <c r="L698" s="94">
        <f ca="1"/>
        <v>80.17</v>
      </c>
      <c r="M698" s="94" t="str">
        <f ca="1"/>
        <v>63/65"</v>
      </c>
      <c r="N698" s="94">
        <f ca="1"/>
        <v>65</v>
      </c>
      <c r="O698" s="94" t="str">
        <f ca="1"/>
        <v>Hole (KN) [针织破洞]</v>
      </c>
      <c r="P698" s="95" t="str">
        <f ca="1"/>
        <v/>
      </c>
      <c r="Q698" s="95" t="str">
        <f ca="1"/>
        <v/>
      </c>
      <c r="R698" s="96">
        <f ca="1"/>
        <v>46125</v>
      </c>
    </row>
    <row r="699" spans="1:18" s="90" customFormat="1" ht="55" customHeight="1" x14ac:dyDescent="0.35">
      <c r="A699" s="94" t="str">
        <f ca="1"/>
        <v>S25V10883</v>
      </c>
      <c r="B699" s="94" t="str">
        <f ca="1"/>
        <v>PKEK25VE0010883A</v>
      </c>
      <c r="C699" s="94" t="str">
        <f ca="1"/>
        <v>CANVAS</v>
      </c>
      <c r="D699" s="94" t="str">
        <f ca="1"/>
        <v>286</v>
      </c>
      <c r="E699" s="94" t="str">
        <f ca="1"/>
        <v>FV012282202</v>
      </c>
      <c r="F699" s="94" t="str">
        <f ca="1"/>
        <v>C1500427</v>
      </c>
      <c r="G699" s="94" t="str">
        <f ca="1"/>
        <v>B</v>
      </c>
      <c r="H699" s="94" t="str">
        <f ca="1"/>
        <v>CF003150701</v>
      </c>
      <c r="I699" s="94" t="str">
        <f ca="1"/>
        <v>A</v>
      </c>
      <c r="J699" s="94">
        <f ca="1"/>
        <v>22.8</v>
      </c>
      <c r="K699" s="94"/>
      <c r="L699" s="94">
        <f ca="1"/>
        <v>78.12</v>
      </c>
      <c r="M699" s="94" t="str">
        <f ca="1"/>
        <v>63/65"</v>
      </c>
      <c r="N699" s="94">
        <f ca="1"/>
        <v>65</v>
      </c>
      <c r="O699" s="94" t="str">
        <f ca="1"/>
        <v/>
      </c>
      <c r="P699" s="95" t="str">
        <f ca="1"/>
        <v/>
      </c>
      <c r="Q699" s="95" t="str">
        <f ca="1"/>
        <v/>
      </c>
      <c r="R699" s="96">
        <f ca="1"/>
        <v>46125</v>
      </c>
    </row>
    <row r="700" spans="1:18" s="90" customFormat="1" ht="55" customHeight="1" x14ac:dyDescent="0.35">
      <c r="A700" s="94" t="str">
        <f ca="1"/>
        <v>S25V10883</v>
      </c>
      <c r="B700" s="94" t="str">
        <f ca="1"/>
        <v>PKEK25VE0010883A</v>
      </c>
      <c r="C700" s="94" t="str">
        <f ca="1"/>
        <v>CANVAS</v>
      </c>
      <c r="D700" s="94" t="str">
        <f ca="1"/>
        <v>286</v>
      </c>
      <c r="E700" s="94" t="str">
        <f ca="1"/>
        <v>FV012282202</v>
      </c>
      <c r="F700" s="94" t="str">
        <f ca="1"/>
        <v>C1500427</v>
      </c>
      <c r="G700" s="94" t="str">
        <f ca="1"/>
        <v>B</v>
      </c>
      <c r="H700" s="94" t="str">
        <f ca="1"/>
        <v>CF003150702</v>
      </c>
      <c r="I700" s="94" t="str">
        <f ca="1"/>
        <v>A</v>
      </c>
      <c r="J700" s="94">
        <f ca="1"/>
        <v>22.4</v>
      </c>
      <c r="K700" s="94"/>
      <c r="L700" s="94">
        <f ca="1"/>
        <v>76.75</v>
      </c>
      <c r="M700" s="94" t="str">
        <f ca="1"/>
        <v>63/65"</v>
      </c>
      <c r="N700" s="94">
        <f ca="1"/>
        <v>65</v>
      </c>
      <c r="O700" s="94" t="str">
        <f ca="1"/>
        <v/>
      </c>
      <c r="P700" s="95" t="str">
        <f ca="1"/>
        <v/>
      </c>
      <c r="Q700" s="95" t="str">
        <f ca="1"/>
        <v/>
      </c>
      <c r="R700" s="96">
        <f ca="1"/>
        <v>46125</v>
      </c>
    </row>
    <row r="701" spans="1:18" s="90" customFormat="1" ht="55" customHeight="1" x14ac:dyDescent="0.35">
      <c r="A701" s="94" t="str">
        <f ca="1"/>
        <v>S25V10883</v>
      </c>
      <c r="B701" s="94" t="str">
        <f ca="1"/>
        <v>PKEK25VE0010883A</v>
      </c>
      <c r="C701" s="94" t="str">
        <f ca="1"/>
        <v>CANVAS</v>
      </c>
      <c r="D701" s="94" t="str">
        <f ca="1"/>
        <v>286</v>
      </c>
      <c r="E701" s="94" t="str">
        <f ca="1"/>
        <v>FV012282202</v>
      </c>
      <c r="F701" s="94" t="str">
        <f ca="1"/>
        <v>C1500427</v>
      </c>
      <c r="G701" s="94" t="str">
        <f ca="1"/>
        <v>B</v>
      </c>
      <c r="H701" s="94" t="str">
        <f ca="1"/>
        <v>CF003150703</v>
      </c>
      <c r="I701" s="94" t="str">
        <f ca="1"/>
        <v>A</v>
      </c>
      <c r="J701" s="94">
        <f ca="1"/>
        <v>21</v>
      </c>
      <c r="K701" s="94"/>
      <c r="L701" s="94">
        <f ca="1"/>
        <v>71.95</v>
      </c>
      <c r="M701" s="94" t="str">
        <f ca="1"/>
        <v>63/65"</v>
      </c>
      <c r="N701" s="94">
        <f ca="1"/>
        <v>65</v>
      </c>
      <c r="O701" s="94" t="str">
        <f ca="1"/>
        <v>Dirt [针织污渍]</v>
      </c>
      <c r="P701" s="95" t="str">
        <f ca="1"/>
        <v/>
      </c>
      <c r="Q701" s="95" t="str">
        <f ca="1"/>
        <v/>
      </c>
      <c r="R701" s="96">
        <f ca="1"/>
        <v>46125</v>
      </c>
    </row>
    <row r="702" spans="1:18" s="90" customFormat="1" ht="55" customHeight="1" x14ac:dyDescent="0.35">
      <c r="A702" s="94" t="str">
        <f ca="1"/>
        <v>S25V10883</v>
      </c>
      <c r="B702" s="94" t="str">
        <f ca="1"/>
        <v>PKEK25VE0010883A</v>
      </c>
      <c r="C702" s="94" t="str">
        <f ca="1"/>
        <v>CANVAS</v>
      </c>
      <c r="D702" s="94" t="str">
        <f ca="1"/>
        <v>286</v>
      </c>
      <c r="E702" s="94" t="str">
        <f ca="1"/>
        <v>FV012282202</v>
      </c>
      <c r="F702" s="94" t="str">
        <f ca="1"/>
        <v>C1500427</v>
      </c>
      <c r="G702" s="94" t="str">
        <f ca="1"/>
        <v>B</v>
      </c>
      <c r="H702" s="94" t="str">
        <f ca="1"/>
        <v>CF003150704</v>
      </c>
      <c r="I702" s="94" t="str">
        <f ca="1"/>
        <v>A</v>
      </c>
      <c r="J702" s="94">
        <f ca="1"/>
        <v>22.6</v>
      </c>
      <c r="K702" s="94"/>
      <c r="L702" s="94">
        <f ca="1"/>
        <v>77.430000000000007</v>
      </c>
      <c r="M702" s="94" t="str">
        <f ca="1"/>
        <v>63/65"</v>
      </c>
      <c r="N702" s="94">
        <f ca="1"/>
        <v>65</v>
      </c>
      <c r="O702" s="94" t="str">
        <f ca="1"/>
        <v>Dirt [针织污渍]</v>
      </c>
      <c r="P702" s="95" t="str">
        <f ca="1"/>
        <v/>
      </c>
      <c r="Q702" s="95" t="str">
        <f ca="1"/>
        <v/>
      </c>
      <c r="R702" s="96">
        <f ca="1"/>
        <v>46125</v>
      </c>
    </row>
    <row r="703" spans="1:18" s="90" customFormat="1" ht="55" customHeight="1" x14ac:dyDescent="0.35">
      <c r="A703" s="94" t="str">
        <f ca="1"/>
        <v>S25V10883</v>
      </c>
      <c r="B703" s="94" t="str">
        <f ca="1"/>
        <v>PKEK25VE0010883A</v>
      </c>
      <c r="C703" s="94" t="str">
        <f ca="1"/>
        <v>CANVAS</v>
      </c>
      <c r="D703" s="94" t="str">
        <f ca="1"/>
        <v>286</v>
      </c>
      <c r="E703" s="94" t="str">
        <f ca="1"/>
        <v>FV012282202</v>
      </c>
      <c r="F703" s="94" t="str">
        <f ca="1"/>
        <v>C1500427</v>
      </c>
      <c r="G703" s="94" t="str">
        <f ca="1"/>
        <v>B</v>
      </c>
      <c r="H703" s="94" t="str">
        <f ca="1"/>
        <v>CF003150705</v>
      </c>
      <c r="I703" s="94" t="str">
        <f ca="1"/>
        <v>A</v>
      </c>
      <c r="J703" s="94">
        <f ca="1"/>
        <v>22.4</v>
      </c>
      <c r="K703" s="94"/>
      <c r="L703" s="94">
        <f ca="1"/>
        <v>76.75</v>
      </c>
      <c r="M703" s="94" t="str">
        <f ca="1"/>
        <v>63/65"</v>
      </c>
      <c r="N703" s="94">
        <f ca="1"/>
        <v>65</v>
      </c>
      <c r="O703" s="94" t="str">
        <f ca="1"/>
        <v>Dirt [针织污渍]</v>
      </c>
      <c r="P703" s="95" t="str">
        <f ca="1"/>
        <v/>
      </c>
      <c r="Q703" s="95" t="str">
        <f ca="1"/>
        <v/>
      </c>
      <c r="R703" s="96">
        <f ca="1"/>
        <v>46125</v>
      </c>
    </row>
    <row r="704" spans="1:18" s="90" customFormat="1" ht="55" customHeight="1" x14ac:dyDescent="0.35">
      <c r="A704" s="94" t="str">
        <f ca="1"/>
        <v>S25V10883</v>
      </c>
      <c r="B704" s="94" t="str">
        <f ca="1"/>
        <v>PKEK25VE0010883A</v>
      </c>
      <c r="C704" s="94" t="str">
        <f ca="1"/>
        <v>CANVAS</v>
      </c>
      <c r="D704" s="94" t="str">
        <f ca="1"/>
        <v>286</v>
      </c>
      <c r="E704" s="94" t="str">
        <f ca="1"/>
        <v>FV012282202</v>
      </c>
      <c r="F704" s="94" t="str">
        <f ca="1"/>
        <v>C1500427</v>
      </c>
      <c r="G704" s="94" t="str">
        <f ca="1"/>
        <v>B</v>
      </c>
      <c r="H704" s="94" t="str">
        <f ca="1"/>
        <v>CF003150706</v>
      </c>
      <c r="I704" s="94" t="str">
        <f ca="1"/>
        <v>A</v>
      </c>
      <c r="J704" s="94">
        <f ca="1"/>
        <v>22.5</v>
      </c>
      <c r="K704" s="94"/>
      <c r="L704" s="94">
        <f ca="1"/>
        <v>77.09</v>
      </c>
      <c r="M704" s="94" t="str">
        <f ca="1"/>
        <v>63/65"</v>
      </c>
      <c r="N704" s="94">
        <f ca="1"/>
        <v>65</v>
      </c>
      <c r="O704" s="94" t="str">
        <f ca="1"/>
        <v>Hole (KN) [针织破洞]</v>
      </c>
      <c r="P704" s="95" t="str">
        <f ca="1"/>
        <v/>
      </c>
      <c r="Q704" s="95" t="str">
        <f ca="1"/>
        <v/>
      </c>
      <c r="R704" s="96">
        <f ca="1"/>
        <v>46125</v>
      </c>
    </row>
    <row r="705" spans="1:18" s="90" customFormat="1" ht="55" customHeight="1" x14ac:dyDescent="0.35">
      <c r="A705" s="94" t="str">
        <f ca="1"/>
        <v>S25V10883</v>
      </c>
      <c r="B705" s="94" t="str">
        <f ca="1"/>
        <v>PKEK25VE0010883A</v>
      </c>
      <c r="C705" s="94" t="str">
        <f ca="1"/>
        <v>CANVAS</v>
      </c>
      <c r="D705" s="94" t="str">
        <f ca="1"/>
        <v>286</v>
      </c>
      <c r="E705" s="94" t="str">
        <f ca="1"/>
        <v>FV012282202</v>
      </c>
      <c r="F705" s="94" t="str">
        <f ca="1"/>
        <v>C1500427</v>
      </c>
      <c r="G705" s="94" t="str">
        <f ca="1"/>
        <v>B</v>
      </c>
      <c r="H705" s="94" t="str">
        <f ca="1"/>
        <v>CF003150707</v>
      </c>
      <c r="I705" s="94" t="str">
        <f ca="1"/>
        <v>A</v>
      </c>
      <c r="J705" s="94">
        <f ca="1"/>
        <v>23</v>
      </c>
      <c r="K705" s="94"/>
      <c r="L705" s="94">
        <f ca="1"/>
        <v>78.8</v>
      </c>
      <c r="M705" s="94" t="str">
        <f ca="1"/>
        <v>63/65"</v>
      </c>
      <c r="N705" s="94">
        <f ca="1"/>
        <v>65</v>
      </c>
      <c r="O705" s="94" t="str">
        <f ca="1"/>
        <v>Dirt [针织污渍]</v>
      </c>
      <c r="P705" s="95" t="str">
        <f ca="1"/>
        <v/>
      </c>
      <c r="Q705" s="95" t="str">
        <f ca="1"/>
        <v/>
      </c>
      <c r="R705" s="96">
        <f ca="1"/>
        <v>46125</v>
      </c>
    </row>
    <row r="706" spans="1:18" s="90" customFormat="1" ht="55" customHeight="1" x14ac:dyDescent="0.35">
      <c r="A706" s="94" t="str">
        <f ca="1"/>
        <v>S25V10883</v>
      </c>
      <c r="B706" s="94" t="str">
        <f ca="1"/>
        <v>PKEK25VE0010883A</v>
      </c>
      <c r="C706" s="94" t="str">
        <f ca="1"/>
        <v>CANVAS</v>
      </c>
      <c r="D706" s="94" t="str">
        <f ca="1"/>
        <v>286</v>
      </c>
      <c r="E706" s="94" t="str">
        <f ca="1"/>
        <v>FV012282202</v>
      </c>
      <c r="F706" s="94" t="str">
        <f ca="1"/>
        <v>C1500427</v>
      </c>
      <c r="G706" s="94" t="str">
        <f ca="1"/>
        <v>B</v>
      </c>
      <c r="H706" s="94" t="str">
        <f ca="1"/>
        <v>CF003150708</v>
      </c>
      <c r="I706" s="94" t="str">
        <f ca="1"/>
        <v>A</v>
      </c>
      <c r="J706" s="94">
        <f ca="1"/>
        <v>22.9</v>
      </c>
      <c r="K706" s="94"/>
      <c r="L706" s="94">
        <f ca="1"/>
        <v>78.459999999999994</v>
      </c>
      <c r="M706" s="94" t="str">
        <f ca="1"/>
        <v>63/65"</v>
      </c>
      <c r="N706" s="94">
        <f ca="1"/>
        <v>65</v>
      </c>
      <c r="O706" s="94" t="str">
        <f ca="1"/>
        <v/>
      </c>
      <c r="P706" s="95" t="str">
        <f ca="1"/>
        <v/>
      </c>
      <c r="Q706" s="95" t="str">
        <f ca="1"/>
        <v/>
      </c>
      <c r="R706" s="96">
        <f ca="1"/>
        <v>46125</v>
      </c>
    </row>
    <row r="707" spans="1:18" s="90" customFormat="1" ht="55" customHeight="1" x14ac:dyDescent="0.35">
      <c r="A707" s="94" t="str">
        <f ca="1"/>
        <v>S25V10883</v>
      </c>
      <c r="B707" s="94" t="str">
        <f ca="1"/>
        <v>PKEK25VE0010883A</v>
      </c>
      <c r="C707" s="94" t="str">
        <f ca="1"/>
        <v>CANVAS</v>
      </c>
      <c r="D707" s="94" t="str">
        <f ca="1"/>
        <v>286</v>
      </c>
      <c r="E707" s="94" t="str">
        <f ca="1"/>
        <v>FV012282202</v>
      </c>
      <c r="F707" s="94" t="str">
        <f ca="1"/>
        <v>C1500427</v>
      </c>
      <c r="G707" s="94" t="str">
        <f ca="1"/>
        <v>B</v>
      </c>
      <c r="H707" s="94" t="str">
        <f ca="1"/>
        <v>CF003150709</v>
      </c>
      <c r="I707" s="94" t="str">
        <f ca="1"/>
        <v>A</v>
      </c>
      <c r="J707" s="94">
        <f ca="1"/>
        <v>7.3</v>
      </c>
      <c r="K707" s="94"/>
      <c r="L707" s="94">
        <f ca="1"/>
        <v>25.01</v>
      </c>
      <c r="M707" s="94" t="str">
        <f ca="1"/>
        <v>63/65"</v>
      </c>
      <c r="N707" s="94">
        <f ca="1"/>
        <v>65</v>
      </c>
      <c r="O707" s="94" t="str">
        <f ca="1"/>
        <v/>
      </c>
      <c r="P707" s="95" t="str">
        <f ca="1"/>
        <v/>
      </c>
      <c r="Q707" s="95" t="str">
        <f ca="1"/>
        <v/>
      </c>
      <c r="R707" s="96">
        <f ca="1"/>
        <v>46125</v>
      </c>
    </row>
    <row r="708" spans="1:18" s="90" customFormat="1" ht="55" customHeight="1" x14ac:dyDescent="0.35">
      <c r="A708" s="94" t="str">
        <f ca="1"/>
        <v>S25V10883</v>
      </c>
      <c r="B708" s="94" t="str">
        <f ca="1"/>
        <v>PKEK25VE0010883A</v>
      </c>
      <c r="C708" s="94" t="str">
        <f ca="1"/>
        <v>CANVAS</v>
      </c>
      <c r="D708" s="94" t="str">
        <f ca="1"/>
        <v>286</v>
      </c>
      <c r="E708" s="94" t="str">
        <f ca="1"/>
        <v>FV012282202</v>
      </c>
      <c r="F708" s="94" t="str">
        <f ca="1"/>
        <v>C1500427</v>
      </c>
      <c r="G708" s="94" t="str">
        <f ca="1"/>
        <v>B</v>
      </c>
      <c r="H708" s="94" t="str">
        <f ca="1"/>
        <v>CF003150710</v>
      </c>
      <c r="I708" s="94" t="str">
        <f ca="1"/>
        <v>A</v>
      </c>
      <c r="J708" s="94">
        <f ca="1"/>
        <v>22.6</v>
      </c>
      <c r="K708" s="94"/>
      <c r="L708" s="94">
        <f ca="1"/>
        <v>77.430000000000007</v>
      </c>
      <c r="M708" s="94" t="str">
        <f ca="1"/>
        <v>63/65"</v>
      </c>
      <c r="N708" s="94">
        <f ca="1"/>
        <v>65</v>
      </c>
      <c r="O708" s="94" t="str">
        <f ca="1"/>
        <v>Dirt [针织污渍]</v>
      </c>
      <c r="P708" s="95" t="str">
        <f ca="1"/>
        <v/>
      </c>
      <c r="Q708" s="95" t="str">
        <f ca="1"/>
        <v/>
      </c>
      <c r="R708" s="96">
        <f ca="1"/>
        <v>46125</v>
      </c>
    </row>
    <row r="709" spans="1:18" s="90" customFormat="1" ht="55" customHeight="1" x14ac:dyDescent="0.35">
      <c r="A709" s="94" t="str">
        <f ca="1"/>
        <v>S25V10883</v>
      </c>
      <c r="B709" s="94" t="str">
        <f ca="1"/>
        <v>PKEK25VE0010883A</v>
      </c>
      <c r="C709" s="94" t="str">
        <f ca="1"/>
        <v>CANVAS</v>
      </c>
      <c r="D709" s="94" t="str">
        <f ca="1"/>
        <v>286</v>
      </c>
      <c r="E709" s="94" t="str">
        <f ca="1"/>
        <v>FV012282202</v>
      </c>
      <c r="F709" s="94" t="str">
        <f ca="1"/>
        <v>C1500427</v>
      </c>
      <c r="G709" s="94" t="str">
        <f ca="1"/>
        <v>B</v>
      </c>
      <c r="H709" s="94" t="str">
        <f ca="1"/>
        <v>CF003150711</v>
      </c>
      <c r="I709" s="94" t="str">
        <f ca="1"/>
        <v>A</v>
      </c>
      <c r="J709" s="94">
        <f ca="1"/>
        <v>22.5</v>
      </c>
      <c r="K709" s="94"/>
      <c r="L709" s="94">
        <f ca="1"/>
        <v>77.09</v>
      </c>
      <c r="M709" s="94" t="str">
        <f ca="1"/>
        <v>63/65"</v>
      </c>
      <c r="N709" s="94">
        <f ca="1"/>
        <v>65</v>
      </c>
      <c r="O709" s="94" t="str">
        <f ca="1"/>
        <v/>
      </c>
      <c r="P709" s="95" t="str">
        <f ca="1"/>
        <v/>
      </c>
      <c r="Q709" s="95" t="str">
        <f ca="1"/>
        <v/>
      </c>
      <c r="R709" s="96">
        <f ca="1"/>
        <v>46125</v>
      </c>
    </row>
    <row r="710" spans="1:18" s="90" customFormat="1" ht="55" customHeight="1" x14ac:dyDescent="0.35">
      <c r="A710" s="94" t="str">
        <f ca="1"/>
        <v>S25V10883</v>
      </c>
      <c r="B710" s="94" t="str">
        <f ca="1"/>
        <v>PKEK25VE0010883A</v>
      </c>
      <c r="C710" s="94" t="str">
        <f ca="1"/>
        <v>CANVAS</v>
      </c>
      <c r="D710" s="94" t="str">
        <f ca="1"/>
        <v>286</v>
      </c>
      <c r="E710" s="94" t="str">
        <f ca="1"/>
        <v>FV012282202</v>
      </c>
      <c r="F710" s="94" t="str">
        <f ca="1"/>
        <v>C1500427</v>
      </c>
      <c r="G710" s="94" t="str">
        <f ca="1"/>
        <v>B</v>
      </c>
      <c r="H710" s="94" t="str">
        <f ca="1"/>
        <v>CF003150712</v>
      </c>
      <c r="I710" s="94" t="str">
        <f ca="1"/>
        <v>A</v>
      </c>
      <c r="J710" s="94">
        <f ca="1"/>
        <v>22.5</v>
      </c>
      <c r="K710" s="94"/>
      <c r="L710" s="94">
        <f ca="1"/>
        <v>77.09</v>
      </c>
      <c r="M710" s="94" t="str">
        <f ca="1"/>
        <v>63/65"</v>
      </c>
      <c r="N710" s="94">
        <f ca="1"/>
        <v>65</v>
      </c>
      <c r="O710" s="94" t="str">
        <f ca="1"/>
        <v>Dirt [针织污渍]</v>
      </c>
      <c r="P710" s="95" t="str">
        <f ca="1"/>
        <v/>
      </c>
      <c r="Q710" s="95" t="str">
        <f ca="1"/>
        <v/>
      </c>
      <c r="R710" s="96">
        <f ca="1"/>
        <v>46125</v>
      </c>
    </row>
    <row r="711" spans="1:18" s="90" customFormat="1" ht="55" customHeight="1" x14ac:dyDescent="0.35">
      <c r="A711" s="94" t="str">
        <f ca="1"/>
        <v>S25V10883</v>
      </c>
      <c r="B711" s="94" t="str">
        <f ca="1"/>
        <v>PKEK25VE0010883A</v>
      </c>
      <c r="C711" s="94" t="str">
        <f ca="1"/>
        <v>CANVAS</v>
      </c>
      <c r="D711" s="94" t="str">
        <f ca="1"/>
        <v>286</v>
      </c>
      <c r="E711" s="94" t="str">
        <f ca="1"/>
        <v>FV012282202</v>
      </c>
      <c r="F711" s="94" t="str">
        <f ca="1"/>
        <v>C1500427</v>
      </c>
      <c r="G711" s="94" t="str">
        <f ca="1"/>
        <v>B</v>
      </c>
      <c r="H711" s="94" t="str">
        <f ca="1"/>
        <v>CF003150713</v>
      </c>
      <c r="I711" s="94" t="str">
        <f ca="1"/>
        <v>A</v>
      </c>
      <c r="J711" s="94">
        <f ca="1"/>
        <v>22.6</v>
      </c>
      <c r="K711" s="94"/>
      <c r="L711" s="94">
        <f ca="1"/>
        <v>77.430000000000007</v>
      </c>
      <c r="M711" s="94" t="str">
        <f ca="1"/>
        <v>63/65"</v>
      </c>
      <c r="N711" s="94">
        <f ca="1"/>
        <v>65</v>
      </c>
      <c r="O711" s="94" t="str">
        <f ca="1"/>
        <v>Hole (KN) [针织破洞]</v>
      </c>
      <c r="P711" s="95" t="str">
        <f ca="1"/>
        <v/>
      </c>
      <c r="Q711" s="95" t="str">
        <f ca="1"/>
        <v/>
      </c>
      <c r="R711" s="96">
        <f ca="1"/>
        <v>46125</v>
      </c>
    </row>
    <row r="712" spans="1:18" s="90" customFormat="1" ht="55" customHeight="1" x14ac:dyDescent="0.35">
      <c r="A712" s="94" t="str">
        <f ca="1"/>
        <v>S25V10883</v>
      </c>
      <c r="B712" s="94" t="str">
        <f ca="1"/>
        <v>PKEK25VE0010883A</v>
      </c>
      <c r="C712" s="94" t="str">
        <f ca="1"/>
        <v>CANVAS</v>
      </c>
      <c r="D712" s="94" t="str">
        <f ca="1"/>
        <v>286</v>
      </c>
      <c r="E712" s="94" t="str">
        <f ca="1"/>
        <v>FV012282202</v>
      </c>
      <c r="F712" s="94" t="str">
        <f ca="1"/>
        <v>C1500427</v>
      </c>
      <c r="G712" s="94" t="str">
        <f ca="1"/>
        <v>B</v>
      </c>
      <c r="H712" s="94" t="str">
        <f ca="1"/>
        <v>CF003150714</v>
      </c>
      <c r="I712" s="94" t="str">
        <f ca="1"/>
        <v>A</v>
      </c>
      <c r="J712" s="94">
        <f ca="1"/>
        <v>22.2</v>
      </c>
      <c r="K712" s="94"/>
      <c r="L712" s="94">
        <f ca="1"/>
        <v>76.06</v>
      </c>
      <c r="M712" s="94" t="str">
        <f ca="1"/>
        <v>63/65"</v>
      </c>
      <c r="N712" s="94">
        <f ca="1"/>
        <v>65</v>
      </c>
      <c r="O712" s="94" t="str">
        <f ca="1"/>
        <v>Dirt [针织污渍]</v>
      </c>
      <c r="P712" s="95" t="str">
        <f ca="1"/>
        <v/>
      </c>
      <c r="Q712" s="95" t="str">
        <f ca="1"/>
        <v/>
      </c>
      <c r="R712" s="96">
        <f ca="1"/>
        <v>46125</v>
      </c>
    </row>
    <row r="713" spans="1:18" s="90" customFormat="1" ht="55" customHeight="1" x14ac:dyDescent="0.35">
      <c r="A713" s="94" t="str">
        <f ca="1"/>
        <v>S25V10883</v>
      </c>
      <c r="B713" s="94" t="str">
        <f ca="1"/>
        <v>PKEK25VE0010883A</v>
      </c>
      <c r="C713" s="94" t="str">
        <f ca="1"/>
        <v>CANVAS</v>
      </c>
      <c r="D713" s="94" t="str">
        <f ca="1"/>
        <v>286</v>
      </c>
      <c r="E713" s="94" t="str">
        <f ca="1"/>
        <v>FV012282202</v>
      </c>
      <c r="F713" s="94" t="str">
        <f ca="1"/>
        <v>C1500427</v>
      </c>
      <c r="G713" s="94" t="str">
        <f ca="1"/>
        <v>B</v>
      </c>
      <c r="H713" s="94" t="str">
        <f ca="1"/>
        <v>CF003150715</v>
      </c>
      <c r="I713" s="94" t="str">
        <f ca="1"/>
        <v>A</v>
      </c>
      <c r="J713" s="94">
        <f ca="1"/>
        <v>22.6</v>
      </c>
      <c r="K713" s="94"/>
      <c r="L713" s="94">
        <f ca="1"/>
        <v>77.430000000000007</v>
      </c>
      <c r="M713" s="94" t="str">
        <f ca="1"/>
        <v>63/65"</v>
      </c>
      <c r="N713" s="94">
        <f ca="1"/>
        <v>65</v>
      </c>
      <c r="O713" s="94" t="str">
        <f ca="1"/>
        <v/>
      </c>
      <c r="P713" s="95" t="str">
        <f ca="1"/>
        <v/>
      </c>
      <c r="Q713" s="95" t="str">
        <f ca="1"/>
        <v/>
      </c>
      <c r="R713" s="96">
        <f ca="1"/>
        <v>46125</v>
      </c>
    </row>
    <row r="714" spans="1:18" s="90" customFormat="1" ht="55" customHeight="1" x14ac:dyDescent="0.35">
      <c r="A714" s="94" t="str">
        <f ca="1"/>
        <v>S25V10883</v>
      </c>
      <c r="B714" s="94" t="str">
        <f ca="1"/>
        <v>PKEK25VE0010883A</v>
      </c>
      <c r="C714" s="94" t="str">
        <f ca="1"/>
        <v>CANVAS</v>
      </c>
      <c r="D714" s="94" t="str">
        <f ca="1"/>
        <v>286</v>
      </c>
      <c r="E714" s="94" t="str">
        <f ca="1"/>
        <v>FV012282202</v>
      </c>
      <c r="F714" s="94" t="str">
        <f ca="1"/>
        <v>C1500427</v>
      </c>
      <c r="G714" s="94" t="str">
        <f ca="1"/>
        <v>B</v>
      </c>
      <c r="H714" s="94" t="str">
        <f ca="1"/>
        <v>CF003150716</v>
      </c>
      <c r="I714" s="94" t="str">
        <f ca="1"/>
        <v>A</v>
      </c>
      <c r="J714" s="94">
        <f ca="1"/>
        <v>22.5</v>
      </c>
      <c r="K714" s="94"/>
      <c r="L714" s="94">
        <f ca="1"/>
        <v>77.09</v>
      </c>
      <c r="M714" s="94" t="str">
        <f ca="1"/>
        <v>63/65"</v>
      </c>
      <c r="N714" s="94">
        <f ca="1"/>
        <v>65</v>
      </c>
      <c r="O714" s="94" t="str">
        <f ca="1"/>
        <v/>
      </c>
      <c r="P714" s="95" t="str">
        <f ca="1"/>
        <v/>
      </c>
      <c r="Q714" s="95" t="str">
        <f ca="1"/>
        <v/>
      </c>
      <c r="R714" s="96">
        <f ca="1"/>
        <v>46125</v>
      </c>
    </row>
    <row r="715" spans="1:18" s="90" customFormat="1" ht="55" customHeight="1" x14ac:dyDescent="0.35">
      <c r="A715" s="94" t="str">
        <f ca="1"/>
        <v>S25V10883</v>
      </c>
      <c r="B715" s="94" t="str">
        <f ca="1"/>
        <v>PKEK25VE0010883A</v>
      </c>
      <c r="C715" s="94" t="str">
        <f ca="1"/>
        <v>CANVAS</v>
      </c>
      <c r="D715" s="94" t="str">
        <f ca="1"/>
        <v>286</v>
      </c>
      <c r="E715" s="94" t="str">
        <f ca="1"/>
        <v>FV012282202</v>
      </c>
      <c r="F715" s="94" t="str">
        <f ca="1"/>
        <v>C1500427</v>
      </c>
      <c r="G715" s="94" t="str">
        <f ca="1"/>
        <v>B</v>
      </c>
      <c r="H715" s="94" t="str">
        <f ca="1"/>
        <v>CF003150717</v>
      </c>
      <c r="I715" s="94" t="str">
        <f ca="1"/>
        <v>A</v>
      </c>
      <c r="J715" s="94">
        <f ca="1"/>
        <v>23</v>
      </c>
      <c r="K715" s="94"/>
      <c r="L715" s="94">
        <f ca="1"/>
        <v>78.8</v>
      </c>
      <c r="M715" s="94" t="str">
        <f ca="1"/>
        <v>63/65"</v>
      </c>
      <c r="N715" s="94">
        <f ca="1"/>
        <v>65</v>
      </c>
      <c r="O715" s="94" t="str">
        <f ca="1"/>
        <v>Hole (KN) [针织破洞]</v>
      </c>
      <c r="P715" s="95" t="str">
        <f ca="1"/>
        <v/>
      </c>
      <c r="Q715" s="95" t="str">
        <f ca="1"/>
        <v/>
      </c>
      <c r="R715" s="96">
        <f ca="1"/>
        <v>46125</v>
      </c>
    </row>
    <row r="716" spans="1:18" s="90" customFormat="1" ht="55" customHeight="1" x14ac:dyDescent="0.35">
      <c r="A716" s="94" t="str">
        <f ca="1"/>
        <v>S25V10883</v>
      </c>
      <c r="B716" s="94" t="str">
        <f ca="1"/>
        <v>PKEK25VE0010883A</v>
      </c>
      <c r="C716" s="94" t="str">
        <f ca="1"/>
        <v>CANVAS</v>
      </c>
      <c r="D716" s="94" t="str">
        <f ca="1"/>
        <v>286</v>
      </c>
      <c r="E716" s="94" t="str">
        <f ca="1"/>
        <v>FV012282202</v>
      </c>
      <c r="F716" s="94" t="str">
        <f ca="1"/>
        <v>C1500427</v>
      </c>
      <c r="G716" s="94" t="str">
        <f ca="1"/>
        <v>B</v>
      </c>
      <c r="H716" s="94" t="str">
        <f ca="1"/>
        <v>CF003150718</v>
      </c>
      <c r="I716" s="94" t="str">
        <f ca="1"/>
        <v>A</v>
      </c>
      <c r="J716" s="94">
        <f ca="1"/>
        <v>13.9</v>
      </c>
      <c r="K716" s="94"/>
      <c r="L716" s="94">
        <f ca="1"/>
        <v>47.63</v>
      </c>
      <c r="M716" s="94" t="str">
        <f ca="1"/>
        <v>63/65"</v>
      </c>
      <c r="N716" s="94">
        <f ca="1"/>
        <v>65</v>
      </c>
      <c r="O716" s="94" t="str">
        <f ca="1"/>
        <v>White mark [白印]</v>
      </c>
      <c r="P716" s="95" t="str">
        <f ca="1"/>
        <v/>
      </c>
      <c r="Q716" s="95" t="str">
        <f ca="1"/>
        <v/>
      </c>
      <c r="R716" s="96">
        <f ca="1"/>
        <v>46125</v>
      </c>
    </row>
    <row r="717" spans="1:18" s="90" customFormat="1" ht="55" customHeight="1" x14ac:dyDescent="0.35">
      <c r="A717" s="94" t="str">
        <f ca="1"/>
        <v>S25V10883</v>
      </c>
      <c r="B717" s="94" t="str">
        <f ca="1"/>
        <v>PKEK25VE0010883A</v>
      </c>
      <c r="C717" s="94" t="str">
        <f ca="1"/>
        <v>CANVAS</v>
      </c>
      <c r="D717" s="94" t="str">
        <f ca="1"/>
        <v>286</v>
      </c>
      <c r="E717" s="94" t="str">
        <f ca="1"/>
        <v>FV012282202</v>
      </c>
      <c r="F717" s="94" t="str">
        <f ca="1"/>
        <v>C1500427</v>
      </c>
      <c r="G717" s="94" t="str">
        <f ca="1"/>
        <v>B</v>
      </c>
      <c r="H717" s="94" t="str">
        <f ca="1"/>
        <v>CF003150719</v>
      </c>
      <c r="I717" s="94" t="str">
        <f ca="1"/>
        <v>A</v>
      </c>
      <c r="J717" s="94">
        <f ca="1"/>
        <v>23</v>
      </c>
      <c r="K717" s="94"/>
      <c r="L717" s="94">
        <f ca="1"/>
        <v>78.8</v>
      </c>
      <c r="M717" s="94" t="str">
        <f ca="1"/>
        <v>63/65"</v>
      </c>
      <c r="N717" s="94">
        <f ca="1"/>
        <v>65</v>
      </c>
      <c r="O717" s="94" t="str">
        <f ca="1"/>
        <v/>
      </c>
      <c r="P717" s="95" t="str">
        <f ca="1"/>
        <v/>
      </c>
      <c r="Q717" s="95" t="str">
        <f ca="1"/>
        <v/>
      </c>
      <c r="R717" s="96">
        <f ca="1"/>
        <v>46125</v>
      </c>
    </row>
    <row r="718" spans="1:18" s="90" customFormat="1" ht="55" customHeight="1" x14ac:dyDescent="0.35">
      <c r="A718" s="94" t="str">
        <f ca="1"/>
        <v>S25V10883</v>
      </c>
      <c r="B718" s="94" t="str">
        <f ca="1"/>
        <v>PKEK25VE0010883A</v>
      </c>
      <c r="C718" s="94" t="str">
        <f ca="1"/>
        <v>CANVAS</v>
      </c>
      <c r="D718" s="94" t="str">
        <f ca="1"/>
        <v>286</v>
      </c>
      <c r="E718" s="94" t="str">
        <f ca="1"/>
        <v>FV012282202</v>
      </c>
      <c r="F718" s="94" t="str">
        <f ca="1"/>
        <v>C1500427</v>
      </c>
      <c r="G718" s="94" t="str">
        <f ca="1"/>
        <v>B</v>
      </c>
      <c r="H718" s="94" t="str">
        <f ca="1"/>
        <v>CF003150720</v>
      </c>
      <c r="I718" s="94" t="str">
        <f ca="1"/>
        <v>A</v>
      </c>
      <c r="J718" s="94">
        <f ca="1"/>
        <v>22.8</v>
      </c>
      <c r="K718" s="94"/>
      <c r="L718" s="94">
        <f ca="1"/>
        <v>78.12</v>
      </c>
      <c r="M718" s="94" t="str">
        <f ca="1"/>
        <v>63/65"</v>
      </c>
      <c r="N718" s="94">
        <f ca="1"/>
        <v>65</v>
      </c>
      <c r="O718" s="94" t="str">
        <f ca="1"/>
        <v/>
      </c>
      <c r="P718" s="95" t="str">
        <f ca="1"/>
        <v/>
      </c>
      <c r="Q718" s="95" t="str">
        <f ca="1"/>
        <v/>
      </c>
      <c r="R718" s="96">
        <f ca="1"/>
        <v>46125</v>
      </c>
    </row>
    <row r="719" spans="1:18" s="90" customFormat="1" ht="55" customHeight="1" x14ac:dyDescent="0.35">
      <c r="A719" s="94" t="str">
        <f ca="1"/>
        <v>S25V10883</v>
      </c>
      <c r="B719" s="94" t="str">
        <f ca="1"/>
        <v>PKEK25VE0010883A</v>
      </c>
      <c r="C719" s="94" t="str">
        <f ca="1"/>
        <v>CANVAS</v>
      </c>
      <c r="D719" s="94" t="str">
        <f ca="1"/>
        <v>286</v>
      </c>
      <c r="E719" s="94" t="str">
        <f ca="1"/>
        <v>FV012282202</v>
      </c>
      <c r="F719" s="94" t="str">
        <f ca="1"/>
        <v>C1500427</v>
      </c>
      <c r="G719" s="94" t="str">
        <f ca="1"/>
        <v>B</v>
      </c>
      <c r="H719" s="94" t="str">
        <f ca="1"/>
        <v>CF003150721</v>
      </c>
      <c r="I719" s="94" t="str">
        <f ca="1"/>
        <v>A</v>
      </c>
      <c r="J719" s="94">
        <f ca="1"/>
        <v>23.1</v>
      </c>
      <c r="K719" s="94"/>
      <c r="L719" s="94">
        <f ca="1"/>
        <v>79.150000000000006</v>
      </c>
      <c r="M719" s="94" t="str">
        <f ca="1"/>
        <v>63/65"</v>
      </c>
      <c r="N719" s="94">
        <f ca="1"/>
        <v>65</v>
      </c>
      <c r="O719" s="94" t="str">
        <f ca="1"/>
        <v>Dirt [针织污渍]</v>
      </c>
      <c r="P719" s="95" t="str">
        <f ca="1"/>
        <v/>
      </c>
      <c r="Q719" s="95" t="str">
        <f ca="1"/>
        <v/>
      </c>
      <c r="R719" s="96">
        <f ca="1"/>
        <v>46125</v>
      </c>
    </row>
    <row r="720" spans="1:18" s="90" customFormat="1" ht="55" customHeight="1" x14ac:dyDescent="0.35">
      <c r="A720" s="94" t="str">
        <f ca="1"/>
        <v>S25V10883</v>
      </c>
      <c r="B720" s="94" t="str">
        <f ca="1"/>
        <v>PKEK25VE0010883A</v>
      </c>
      <c r="C720" s="94" t="str">
        <f ca="1"/>
        <v>CANVAS</v>
      </c>
      <c r="D720" s="94" t="str">
        <f ca="1"/>
        <v>286</v>
      </c>
      <c r="E720" s="94" t="str">
        <f ca="1"/>
        <v>FV012282202</v>
      </c>
      <c r="F720" s="94" t="str">
        <f ca="1"/>
        <v>C1500427</v>
      </c>
      <c r="G720" s="94" t="str">
        <f ca="1"/>
        <v>B</v>
      </c>
      <c r="H720" s="94" t="str">
        <f ca="1"/>
        <v>CF003150722</v>
      </c>
      <c r="I720" s="94" t="str">
        <f ca="1"/>
        <v>A</v>
      </c>
      <c r="J720" s="94">
        <f ca="1"/>
        <v>23.1</v>
      </c>
      <c r="K720" s="94"/>
      <c r="L720" s="94">
        <f ca="1"/>
        <v>79.150000000000006</v>
      </c>
      <c r="M720" s="94" t="str">
        <f ca="1"/>
        <v>63/65"</v>
      </c>
      <c r="N720" s="94">
        <f ca="1"/>
        <v>65</v>
      </c>
      <c r="O720" s="94" t="str">
        <f ca="1"/>
        <v>Dirt [针织污渍]</v>
      </c>
      <c r="P720" s="95" t="str">
        <f ca="1"/>
        <v/>
      </c>
      <c r="Q720" s="95" t="str">
        <f ca="1"/>
        <v/>
      </c>
      <c r="R720" s="96">
        <f ca="1"/>
        <v>46125</v>
      </c>
    </row>
    <row r="721" spans="1:18" s="90" customFormat="1" ht="55" customHeight="1" x14ac:dyDescent="0.35">
      <c r="A721" s="94" t="str">
        <f ca="1"/>
        <v>S25V10883</v>
      </c>
      <c r="B721" s="94" t="str">
        <f ca="1"/>
        <v>PKEK25VE0010883A</v>
      </c>
      <c r="C721" s="94" t="str">
        <f ca="1"/>
        <v>CANVAS</v>
      </c>
      <c r="D721" s="94" t="str">
        <f ca="1"/>
        <v>286</v>
      </c>
      <c r="E721" s="94" t="str">
        <f ca="1"/>
        <v>FV012282202</v>
      </c>
      <c r="F721" s="94" t="str">
        <f ca="1"/>
        <v>C1500427</v>
      </c>
      <c r="G721" s="94" t="str">
        <f ca="1"/>
        <v>B</v>
      </c>
      <c r="H721" s="94" t="str">
        <f ca="1"/>
        <v>CF003150723</v>
      </c>
      <c r="I721" s="94" t="str">
        <f ca="1"/>
        <v>A</v>
      </c>
      <c r="J721" s="94">
        <f ca="1"/>
        <v>22.4</v>
      </c>
      <c r="K721" s="94"/>
      <c r="L721" s="94">
        <f ca="1"/>
        <v>76.75</v>
      </c>
      <c r="M721" s="94" t="str">
        <f ca="1"/>
        <v>63/65"</v>
      </c>
      <c r="N721" s="94">
        <f ca="1"/>
        <v>65</v>
      </c>
      <c r="O721" s="94" t="str">
        <f ca="1"/>
        <v>Dirt [针织污渍]</v>
      </c>
      <c r="P721" s="95" t="str">
        <f ca="1"/>
        <v/>
      </c>
      <c r="Q721" s="95" t="str">
        <f ca="1"/>
        <v/>
      </c>
      <c r="R721" s="96">
        <f ca="1"/>
        <v>46125</v>
      </c>
    </row>
    <row r="722" spans="1:18" s="90" customFormat="1" ht="55" customHeight="1" x14ac:dyDescent="0.35">
      <c r="A722" s="94" t="str">
        <f ca="1"/>
        <v>S25V10883</v>
      </c>
      <c r="B722" s="94" t="str">
        <f ca="1"/>
        <v>PKEK25VE0010883A</v>
      </c>
      <c r="C722" s="94" t="str">
        <f ca="1"/>
        <v>BERRY</v>
      </c>
      <c r="D722" s="94" t="str">
        <f ca="1"/>
        <v>652</v>
      </c>
      <c r="E722" s="94" t="str">
        <f ca="1"/>
        <v>FV012282603</v>
      </c>
      <c r="F722" s="94" t="str">
        <f ca="1"/>
        <v>C1500427</v>
      </c>
      <c r="G722" s="94" t="str">
        <f ca="1"/>
        <v>B</v>
      </c>
      <c r="H722" s="94" t="str">
        <f ca="1"/>
        <v>CF003158668</v>
      </c>
      <c r="I722" s="94" t="str">
        <f ca="1"/>
        <v>A</v>
      </c>
      <c r="J722" s="94">
        <f ca="1"/>
        <v>22.7</v>
      </c>
      <c r="K722" s="94"/>
      <c r="L722" s="94">
        <f ca="1"/>
        <v>78.150000000000006</v>
      </c>
      <c r="M722" s="94" t="str">
        <f ca="1"/>
        <v>63/65"</v>
      </c>
      <c r="N722" s="94">
        <f ca="1"/>
        <v>63</v>
      </c>
      <c r="O722" s="94" t="str">
        <f ca="1"/>
        <v>Friction Mark (PD) [匹染擦痕]</v>
      </c>
      <c r="P722" s="95" t="str">
        <f ca="1"/>
        <v>rằn ri biên phải 4" cả đơn</v>
      </c>
      <c r="Q722" s="95" t="str">
        <f ca="1"/>
        <v>sort out htp+né biên phải vào 4"</v>
      </c>
      <c r="R722" s="96">
        <f ca="1"/>
        <v>46129</v>
      </c>
    </row>
    <row r="723" spans="1:18" s="90" customFormat="1" ht="55" customHeight="1" x14ac:dyDescent="0.35">
      <c r="A723" s="94" t="str">
        <f ca="1"/>
        <v>S25V10883</v>
      </c>
      <c r="B723" s="94" t="str">
        <f ca="1"/>
        <v>PKEK25VE0010883A</v>
      </c>
      <c r="C723" s="94" t="str">
        <f ca="1"/>
        <v>BERRY</v>
      </c>
      <c r="D723" s="94" t="str">
        <f ca="1"/>
        <v>652</v>
      </c>
      <c r="E723" s="94" t="str">
        <f ca="1"/>
        <v>FV012282603</v>
      </c>
      <c r="F723" s="94" t="str">
        <f ca="1"/>
        <v>C1500427</v>
      </c>
      <c r="G723" s="94" t="str">
        <f ca="1"/>
        <v>B</v>
      </c>
      <c r="H723" s="94" t="str">
        <f ca="1"/>
        <v>CF003158669</v>
      </c>
      <c r="I723" s="94" t="str">
        <f ca="1"/>
        <v>A</v>
      </c>
      <c r="J723" s="94">
        <f ca="1"/>
        <v>16</v>
      </c>
      <c r="K723" s="94"/>
      <c r="L723" s="94">
        <f ca="1"/>
        <v>55.09</v>
      </c>
      <c r="M723" s="94" t="str">
        <f ca="1"/>
        <v>63/65"</v>
      </c>
      <c r="N723" s="94">
        <f ca="1"/>
        <v>63</v>
      </c>
      <c r="O723" s="94" t="str">
        <f ca="1"/>
        <v>Broken Selvedge (FN) [FN烂边]</v>
      </c>
      <c r="P723" s="95" t="str">
        <f ca="1"/>
        <v>rằn ri biên phải 4" cả đơn</v>
      </c>
      <c r="Q723" s="95" t="str">
        <f ca="1"/>
        <v>sort out htp+né biên phải vào 4"</v>
      </c>
      <c r="R723" s="96">
        <f ca="1"/>
        <v>46129</v>
      </c>
    </row>
    <row r="724" spans="1:18" s="90" customFormat="1" ht="55" customHeight="1" x14ac:dyDescent="0.35">
      <c r="A724" s="94" t="str">
        <f ca="1"/>
        <v>S25V10883</v>
      </c>
      <c r="B724" s="94" t="str">
        <f ca="1"/>
        <v>PKEK25VE0010883A</v>
      </c>
      <c r="C724" s="94" t="str">
        <f ca="1"/>
        <v>BERRY</v>
      </c>
      <c r="D724" s="94" t="str">
        <f ca="1"/>
        <v>652</v>
      </c>
      <c r="E724" s="94" t="str">
        <f ca="1"/>
        <v>FV012282603</v>
      </c>
      <c r="F724" s="94" t="str">
        <f ca="1"/>
        <v>C1500427</v>
      </c>
      <c r="G724" s="94" t="str">
        <f ca="1"/>
        <v>B</v>
      </c>
      <c r="H724" s="94" t="str">
        <f ca="1"/>
        <v>CF003158670</v>
      </c>
      <c r="I724" s="94" t="str">
        <f ca="1"/>
        <v>A</v>
      </c>
      <c r="J724" s="94">
        <f ca="1"/>
        <v>21.4</v>
      </c>
      <c r="K724" s="94"/>
      <c r="L724" s="94">
        <f ca="1"/>
        <v>73.680000000000007</v>
      </c>
      <c r="M724" s="94" t="str">
        <f ca="1"/>
        <v>63/65"</v>
      </c>
      <c r="N724" s="94">
        <f ca="1"/>
        <v>63</v>
      </c>
      <c r="O724" s="94" t="str">
        <f ca="1"/>
        <v>Dirt [针织污渍]</v>
      </c>
      <c r="P724" s="95" t="str">
        <f ca="1"/>
        <v>rằn ri biên phải 4" cả đơn</v>
      </c>
      <c r="Q724" s="95" t="str">
        <f ca="1"/>
        <v>sort out htp+né biên phải vào 4"</v>
      </c>
      <c r="R724" s="96">
        <f ca="1"/>
        <v>46129</v>
      </c>
    </row>
    <row r="725" spans="1:18" s="90" customFormat="1" ht="55" customHeight="1" x14ac:dyDescent="0.35">
      <c r="A725" s="94" t="str">
        <f ca="1"/>
        <v>S25V10883</v>
      </c>
      <c r="B725" s="94" t="str">
        <f ca="1"/>
        <v>PKEK25VE0010883A</v>
      </c>
      <c r="C725" s="94" t="str">
        <f ca="1"/>
        <v>BERRY</v>
      </c>
      <c r="D725" s="94" t="str">
        <f ca="1"/>
        <v>652</v>
      </c>
      <c r="E725" s="94" t="str">
        <f ca="1"/>
        <v>FV012282603</v>
      </c>
      <c r="F725" s="94" t="str">
        <f ca="1"/>
        <v>C1500427</v>
      </c>
      <c r="G725" s="94" t="str">
        <f ca="1"/>
        <v>B</v>
      </c>
      <c r="H725" s="94" t="str">
        <f ca="1"/>
        <v>CF003158671</v>
      </c>
      <c r="I725" s="94" t="str">
        <f ca="1"/>
        <v>A</v>
      </c>
      <c r="J725" s="94">
        <f ca="1"/>
        <v>23.3</v>
      </c>
      <c r="K725" s="94"/>
      <c r="L725" s="94">
        <f ca="1"/>
        <v>80.22</v>
      </c>
      <c r="M725" s="94" t="str">
        <f ca="1"/>
        <v>63/65"</v>
      </c>
      <c r="N725" s="94">
        <f ca="1"/>
        <v>63</v>
      </c>
      <c r="O725" s="94" t="str">
        <f ca="1"/>
        <v>Dirt [针织污渍]</v>
      </c>
      <c r="P725" s="95" t="str">
        <f ca="1"/>
        <v>rằn ri biên phải 4" cả đơn</v>
      </c>
      <c r="Q725" s="95" t="str">
        <f ca="1"/>
        <v>sort out htp+né biên phải vào 4"</v>
      </c>
      <c r="R725" s="96">
        <f ca="1"/>
        <v>46129</v>
      </c>
    </row>
    <row r="726" spans="1:18" s="90" customFormat="1" ht="55" customHeight="1" x14ac:dyDescent="0.35">
      <c r="A726" s="94" t="str">
        <f ca="1"/>
        <v>S25V10883</v>
      </c>
      <c r="B726" s="94" t="str">
        <f ca="1"/>
        <v>PKEK25VE0010883A</v>
      </c>
      <c r="C726" s="94" t="str">
        <f ca="1"/>
        <v>BERRY</v>
      </c>
      <c r="D726" s="94" t="str">
        <f ca="1"/>
        <v>652</v>
      </c>
      <c r="E726" s="94" t="str">
        <f ca="1"/>
        <v>FV012282603</v>
      </c>
      <c r="F726" s="94" t="str">
        <f ca="1"/>
        <v>C1500427</v>
      </c>
      <c r="G726" s="94" t="str">
        <f ca="1"/>
        <v>B</v>
      </c>
      <c r="H726" s="94" t="str">
        <f ca="1"/>
        <v>CF003158672</v>
      </c>
      <c r="I726" s="94" t="str">
        <f ca="1"/>
        <v>A</v>
      </c>
      <c r="J726" s="94">
        <f ca="1"/>
        <v>23.2</v>
      </c>
      <c r="K726" s="94"/>
      <c r="L726" s="94">
        <f ca="1"/>
        <v>79.88</v>
      </c>
      <c r="M726" s="94" t="str">
        <f ca="1"/>
        <v>63/65"</v>
      </c>
      <c r="N726" s="94">
        <f ca="1"/>
        <v>63</v>
      </c>
      <c r="O726" s="94" t="str">
        <f ca="1"/>
        <v>Dirt [针织污渍]</v>
      </c>
      <c r="P726" s="95" t="str">
        <f ca="1"/>
        <v>rằn ri biên phải 4" cả đơn</v>
      </c>
      <c r="Q726" s="95" t="str">
        <f ca="1"/>
        <v>sort out htp+né biên phải vào 4"</v>
      </c>
      <c r="R726" s="96">
        <f ca="1"/>
        <v>46129</v>
      </c>
    </row>
    <row r="727" spans="1:18" s="90" customFormat="1" ht="55" customHeight="1" x14ac:dyDescent="0.35">
      <c r="A727" s="94" t="str">
        <f ca="1"/>
        <v>S25V10883</v>
      </c>
      <c r="B727" s="94" t="str">
        <f ca="1"/>
        <v>PKEK25VE0010883A</v>
      </c>
      <c r="C727" s="94" t="str">
        <f ca="1"/>
        <v>BERRY</v>
      </c>
      <c r="D727" s="94" t="str">
        <f ca="1"/>
        <v>652</v>
      </c>
      <c r="E727" s="94" t="str">
        <f ca="1"/>
        <v>FV012282603</v>
      </c>
      <c r="F727" s="94" t="str">
        <f ca="1"/>
        <v>C1500427</v>
      </c>
      <c r="G727" s="94" t="str">
        <f ca="1"/>
        <v>B</v>
      </c>
      <c r="H727" s="94" t="str">
        <f ca="1"/>
        <v>CF003158673</v>
      </c>
      <c r="I727" s="94" t="str">
        <f ca="1"/>
        <v>A</v>
      </c>
      <c r="J727" s="94">
        <f ca="1"/>
        <v>23.1</v>
      </c>
      <c r="K727" s="94"/>
      <c r="L727" s="94">
        <f ca="1"/>
        <v>79.53</v>
      </c>
      <c r="M727" s="94" t="str">
        <f ca="1"/>
        <v>63/65"</v>
      </c>
      <c r="N727" s="94">
        <f ca="1"/>
        <v>63</v>
      </c>
      <c r="O727" s="94" t="str">
        <f ca="1"/>
        <v>Dirt [针织污渍]</v>
      </c>
      <c r="P727" s="95" t="str">
        <f ca="1"/>
        <v>rằn ri biên phải 4" cả đơn</v>
      </c>
      <c r="Q727" s="95" t="str">
        <f ca="1"/>
        <v>sort out htp+né biên phải vào 4"</v>
      </c>
      <c r="R727" s="96">
        <f ca="1"/>
        <v>46129</v>
      </c>
    </row>
    <row r="728" spans="1:18" s="90" customFormat="1" ht="55" customHeight="1" x14ac:dyDescent="0.35">
      <c r="A728" s="94" t="str">
        <f ca="1"/>
        <v>S25V10883</v>
      </c>
      <c r="B728" s="94" t="str">
        <f ca="1"/>
        <v>PKEK25VE0010883A</v>
      </c>
      <c r="C728" s="94" t="str">
        <f ca="1"/>
        <v>BERRY</v>
      </c>
      <c r="D728" s="94" t="str">
        <f ca="1"/>
        <v>652</v>
      </c>
      <c r="E728" s="94" t="str">
        <f ca="1"/>
        <v>FV012282603</v>
      </c>
      <c r="F728" s="94" t="str">
        <f ca="1"/>
        <v>C1500427</v>
      </c>
      <c r="G728" s="94" t="str">
        <f ca="1"/>
        <v>B</v>
      </c>
      <c r="H728" s="94" t="str">
        <f ca="1"/>
        <v>CF003158674</v>
      </c>
      <c r="I728" s="94" t="str">
        <f ca="1"/>
        <v>A</v>
      </c>
      <c r="J728" s="94">
        <f ca="1"/>
        <v>23.1</v>
      </c>
      <c r="K728" s="94"/>
      <c r="L728" s="94">
        <f ca="1"/>
        <v>79.53</v>
      </c>
      <c r="M728" s="94" t="str">
        <f ca="1"/>
        <v>63/65"</v>
      </c>
      <c r="N728" s="94">
        <f ca="1"/>
        <v>63</v>
      </c>
      <c r="O728" s="94" t="str">
        <f ca="1"/>
        <v>Dirt [针织污渍]</v>
      </c>
      <c r="P728" s="95" t="str">
        <f ca="1"/>
        <v>rằn ri biên phải 4" cả đơn</v>
      </c>
      <c r="Q728" s="95" t="str">
        <f ca="1"/>
        <v>sort out htp+né biên phải vào 4"</v>
      </c>
      <c r="R728" s="96">
        <f ca="1"/>
        <v>46129</v>
      </c>
    </row>
    <row r="729" spans="1:18" s="90" customFormat="1" ht="55" customHeight="1" x14ac:dyDescent="0.35">
      <c r="A729" s="94" t="str">
        <f ca="1"/>
        <v>S25V10883</v>
      </c>
      <c r="B729" s="94" t="str">
        <f ca="1"/>
        <v>PKEK25VE0010883A</v>
      </c>
      <c r="C729" s="94" t="str">
        <f ca="1"/>
        <v>BERRY</v>
      </c>
      <c r="D729" s="94" t="str">
        <f ca="1"/>
        <v>652</v>
      </c>
      <c r="E729" s="94" t="str">
        <f ca="1"/>
        <v>FV012282603</v>
      </c>
      <c r="F729" s="94" t="str">
        <f ca="1"/>
        <v>C1500427</v>
      </c>
      <c r="G729" s="94" t="str">
        <f ca="1"/>
        <v>B</v>
      </c>
      <c r="H729" s="94" t="str">
        <f ca="1"/>
        <v>CF003158675</v>
      </c>
      <c r="I729" s="94" t="str">
        <f ca="1"/>
        <v>A</v>
      </c>
      <c r="J729" s="94">
        <f ca="1"/>
        <v>23.2</v>
      </c>
      <c r="K729" s="94"/>
      <c r="L729" s="94">
        <f ca="1"/>
        <v>79.88</v>
      </c>
      <c r="M729" s="94" t="str">
        <f ca="1"/>
        <v>63/65"</v>
      </c>
      <c r="N729" s="94">
        <f ca="1"/>
        <v>63</v>
      </c>
      <c r="O729" s="94" t="str">
        <f ca="1"/>
        <v>Dirt [针织污渍]</v>
      </c>
      <c r="P729" s="95" t="str">
        <f ca="1"/>
        <v>rằn ri biên phải 4" cả đơn</v>
      </c>
      <c r="Q729" s="95" t="str">
        <f ca="1"/>
        <v>sort out htp+né biên phải vào 4"</v>
      </c>
      <c r="R729" s="96">
        <f ca="1"/>
        <v>46129</v>
      </c>
    </row>
    <row r="730" spans="1:18" s="90" customFormat="1" ht="55" customHeight="1" x14ac:dyDescent="0.35">
      <c r="A730" s="94" t="str">
        <f ca="1"/>
        <v>S25V10883</v>
      </c>
      <c r="B730" s="94" t="str">
        <f ca="1"/>
        <v>PKEK25VE0010883A</v>
      </c>
      <c r="C730" s="94" t="str">
        <f ca="1"/>
        <v>BERRY</v>
      </c>
      <c r="D730" s="94" t="str">
        <f ca="1"/>
        <v>652</v>
      </c>
      <c r="E730" s="94" t="str">
        <f ca="1"/>
        <v>FV012282603</v>
      </c>
      <c r="F730" s="94" t="str">
        <f ca="1"/>
        <v>C1500427</v>
      </c>
      <c r="G730" s="94" t="str">
        <f ca="1"/>
        <v>B</v>
      </c>
      <c r="H730" s="94" t="str">
        <f ca="1"/>
        <v>CF003158676</v>
      </c>
      <c r="I730" s="94" t="str">
        <f ca="1"/>
        <v>A</v>
      </c>
      <c r="J730" s="94">
        <f ca="1"/>
        <v>23.2</v>
      </c>
      <c r="K730" s="94"/>
      <c r="L730" s="94">
        <f ca="1"/>
        <v>79.88</v>
      </c>
      <c r="M730" s="94" t="str">
        <f ca="1"/>
        <v>63/65"</v>
      </c>
      <c r="N730" s="94">
        <f ca="1"/>
        <v>63</v>
      </c>
      <c r="O730" s="94" t="str">
        <f ca="1"/>
        <v>Dirt [针织污渍]</v>
      </c>
      <c r="P730" s="95" t="str">
        <f ca="1"/>
        <v>rằn ri biên phải 4" cả đơn</v>
      </c>
      <c r="Q730" s="95" t="str">
        <f ca="1"/>
        <v>sort out htp+né biên phải vào 4"</v>
      </c>
      <c r="R730" s="96">
        <f ca="1"/>
        <v>46129</v>
      </c>
    </row>
    <row r="731" spans="1:18" s="90" customFormat="1" ht="55" customHeight="1" x14ac:dyDescent="0.35">
      <c r="A731" s="94" t="str">
        <f ca="1"/>
        <v>S25V10883</v>
      </c>
      <c r="B731" s="94" t="str">
        <f ca="1"/>
        <v>PKEK25VE0010883A</v>
      </c>
      <c r="C731" s="94" t="str">
        <f ca="1"/>
        <v>BERRY</v>
      </c>
      <c r="D731" s="94" t="str">
        <f ca="1"/>
        <v>652</v>
      </c>
      <c r="E731" s="94" t="str">
        <f ca="1"/>
        <v>FV012282603</v>
      </c>
      <c r="F731" s="94" t="str">
        <f ca="1"/>
        <v>C1500427</v>
      </c>
      <c r="G731" s="94" t="str">
        <f ca="1"/>
        <v>B</v>
      </c>
      <c r="H731" s="94" t="str">
        <f ca="1"/>
        <v>CF003158677</v>
      </c>
      <c r="I731" s="94" t="str">
        <f ca="1"/>
        <v>A</v>
      </c>
      <c r="J731" s="94">
        <f ca="1"/>
        <v>23.4</v>
      </c>
      <c r="K731" s="94"/>
      <c r="L731" s="94">
        <f ca="1"/>
        <v>80.56</v>
      </c>
      <c r="M731" s="94" t="str">
        <f ca="1"/>
        <v>63/65"</v>
      </c>
      <c r="N731" s="94">
        <f ca="1"/>
        <v>63</v>
      </c>
      <c r="O731" s="94" t="str">
        <f ca="1"/>
        <v>Unever Dye Hole [染花破洞]</v>
      </c>
      <c r="P731" s="95" t="str">
        <f ca="1"/>
        <v>rằn ri biên phải 4" cả đơn</v>
      </c>
      <c r="Q731" s="95" t="str">
        <f ca="1"/>
        <v>sort out htp+né biên phải vào 4"</v>
      </c>
      <c r="R731" s="96">
        <f ca="1"/>
        <v>46129</v>
      </c>
    </row>
    <row r="732" spans="1:18" s="90" customFormat="1" ht="55" customHeight="1" x14ac:dyDescent="0.35">
      <c r="A732" s="94" t="str">
        <f ca="1"/>
        <v>S25V10883</v>
      </c>
      <c r="B732" s="94" t="str">
        <f ca="1"/>
        <v>PKEK25VE0010883A</v>
      </c>
      <c r="C732" s="94" t="str">
        <f ca="1"/>
        <v>BERRY</v>
      </c>
      <c r="D732" s="94" t="str">
        <f ca="1"/>
        <v>652</v>
      </c>
      <c r="E732" s="94" t="str">
        <f ca="1"/>
        <v>FV012282603</v>
      </c>
      <c r="F732" s="94" t="str">
        <f ca="1"/>
        <v>C1500427</v>
      </c>
      <c r="G732" s="94" t="str">
        <f ca="1"/>
        <v>B</v>
      </c>
      <c r="H732" s="94" t="str">
        <f ca="1"/>
        <v>CF003158678</v>
      </c>
      <c r="I732" s="94" t="str">
        <f ca="1"/>
        <v>A</v>
      </c>
      <c r="J732" s="94">
        <f ca="1"/>
        <v>23.5</v>
      </c>
      <c r="K732" s="94"/>
      <c r="L732" s="94">
        <f ca="1"/>
        <v>80.91</v>
      </c>
      <c r="M732" s="94" t="str">
        <f ca="1"/>
        <v>63/65"</v>
      </c>
      <c r="N732" s="94">
        <f ca="1"/>
        <v>63</v>
      </c>
      <c r="O732" s="94" t="str">
        <f ca="1"/>
        <v>Dirt [针织污渍]</v>
      </c>
      <c r="P732" s="95" t="str">
        <f ca="1"/>
        <v>rằn ri biên phải 4" cả đơn</v>
      </c>
      <c r="Q732" s="95" t="str">
        <f ca="1"/>
        <v>sort out htp+né biên phải vào 4"</v>
      </c>
      <c r="R732" s="96">
        <f ca="1"/>
        <v>46129</v>
      </c>
    </row>
    <row r="733" spans="1:18" s="90" customFormat="1" ht="55" customHeight="1" x14ac:dyDescent="0.35">
      <c r="A733" s="94" t="str">
        <f ca="1"/>
        <v>S25V10883</v>
      </c>
      <c r="B733" s="94" t="str">
        <f ca="1"/>
        <v>PKEK25VE0010883A</v>
      </c>
      <c r="C733" s="94" t="str">
        <f ca="1"/>
        <v>BERRY</v>
      </c>
      <c r="D733" s="94" t="str">
        <f ca="1"/>
        <v>652</v>
      </c>
      <c r="E733" s="94" t="str">
        <f ca="1"/>
        <v>FV012282603</v>
      </c>
      <c r="F733" s="94" t="str">
        <f ca="1"/>
        <v>C1500427</v>
      </c>
      <c r="G733" s="94" t="str">
        <f ca="1"/>
        <v>B</v>
      </c>
      <c r="H733" s="94" t="str">
        <f ca="1"/>
        <v>CF003158679</v>
      </c>
      <c r="I733" s="94" t="str">
        <f ca="1"/>
        <v>B</v>
      </c>
      <c r="J733" s="94">
        <f ca="1"/>
        <v>23.4</v>
      </c>
      <c r="K733" s="94"/>
      <c r="L733" s="94">
        <f ca="1"/>
        <v>80.56</v>
      </c>
      <c r="M733" s="94" t="str">
        <f ca="1"/>
        <v>63/65"</v>
      </c>
      <c r="N733" s="94">
        <f ca="1"/>
        <v>63</v>
      </c>
      <c r="O733" s="94" t="str">
        <f ca="1"/>
        <v>Dirt [针织污渍]</v>
      </c>
      <c r="P733" s="95" t="str">
        <f ca="1"/>
        <v>rằn ri biên phải 4" cả đơn</v>
      </c>
      <c r="Q733" s="95" t="str">
        <f ca="1"/>
        <v>sort out htp+né biên phải vào 4"</v>
      </c>
      <c r="R733" s="96">
        <f ca="1"/>
        <v>46129</v>
      </c>
    </row>
    <row r="734" spans="1:18" s="90" customFormat="1" ht="55" customHeight="1" x14ac:dyDescent="0.35">
      <c r="A734" s="94" t="str">
        <f ca="1"/>
        <v>S25V10883</v>
      </c>
      <c r="B734" s="94" t="str">
        <f ca="1"/>
        <v>PKEK25VE0010883A</v>
      </c>
      <c r="C734" s="94" t="str">
        <f ca="1"/>
        <v>BERRY</v>
      </c>
      <c r="D734" s="94" t="str">
        <f ca="1"/>
        <v>652</v>
      </c>
      <c r="E734" s="94" t="str">
        <f ca="1"/>
        <v>FV012282603</v>
      </c>
      <c r="F734" s="94" t="str">
        <f ca="1"/>
        <v>C1500427</v>
      </c>
      <c r="G734" s="94" t="str">
        <f ca="1"/>
        <v>B</v>
      </c>
      <c r="H734" s="94" t="str">
        <f ca="1"/>
        <v>CF003158680</v>
      </c>
      <c r="I734" s="94" t="str">
        <f ca="1"/>
        <v>A</v>
      </c>
      <c r="J734" s="94">
        <f ca="1"/>
        <v>23.1</v>
      </c>
      <c r="K734" s="94"/>
      <c r="L734" s="94">
        <f ca="1"/>
        <v>79.53</v>
      </c>
      <c r="M734" s="94" t="str">
        <f ca="1"/>
        <v>63/65"</v>
      </c>
      <c r="N734" s="94">
        <f ca="1"/>
        <v>63</v>
      </c>
      <c r="O734" s="94" t="str">
        <f ca="1"/>
        <v>Dirt [针织污渍]</v>
      </c>
      <c r="P734" s="95" t="str">
        <f ca="1"/>
        <v>rằn ri biên phải 4" cả đơn</v>
      </c>
      <c r="Q734" s="95" t="str">
        <f ca="1"/>
        <v>sort out htp+né biên phải vào 4"</v>
      </c>
      <c r="R734" s="96">
        <f ca="1"/>
        <v>46129</v>
      </c>
    </row>
    <row r="735" spans="1:18" s="90" customFormat="1" ht="55" customHeight="1" x14ac:dyDescent="0.35">
      <c r="A735" s="94" t="str">
        <f ca="1"/>
        <v>S25V10883</v>
      </c>
      <c r="B735" s="94" t="str">
        <f ca="1"/>
        <v>PKEK25VE0010883A</v>
      </c>
      <c r="C735" s="94" t="str">
        <f ca="1"/>
        <v>BERRY</v>
      </c>
      <c r="D735" s="94" t="str">
        <f ca="1"/>
        <v>652</v>
      </c>
      <c r="E735" s="94" t="str">
        <f ca="1"/>
        <v>FV012282603</v>
      </c>
      <c r="F735" s="94" t="str">
        <f ca="1"/>
        <v>C1500427</v>
      </c>
      <c r="G735" s="94" t="str">
        <f ca="1"/>
        <v>B</v>
      </c>
      <c r="H735" s="94" t="str">
        <f ca="1"/>
        <v>CF003158681</v>
      </c>
      <c r="I735" s="94" t="str">
        <f ca="1"/>
        <v>A</v>
      </c>
      <c r="J735" s="94">
        <f ca="1"/>
        <v>23.3</v>
      </c>
      <c r="K735" s="94"/>
      <c r="L735" s="94">
        <f ca="1"/>
        <v>80.22</v>
      </c>
      <c r="M735" s="94" t="str">
        <f ca="1"/>
        <v>63/65"</v>
      </c>
      <c r="N735" s="94">
        <f ca="1"/>
        <v>63</v>
      </c>
      <c r="O735" s="94" t="str">
        <f ca="1"/>
        <v>Dirt [针织污渍]</v>
      </c>
      <c r="P735" s="95" t="str">
        <f ca="1"/>
        <v>rằn ri biên phải 4" cả đơn</v>
      </c>
      <c r="Q735" s="95" t="str">
        <f ca="1"/>
        <v>sort out htp+né biên phải vào 4"</v>
      </c>
      <c r="R735" s="96">
        <f ca="1"/>
        <v>46129</v>
      </c>
    </row>
    <row r="736" spans="1:18" s="90" customFormat="1" ht="55" customHeight="1" x14ac:dyDescent="0.35">
      <c r="A736" s="94" t="str">
        <f ca="1"/>
        <v>S25V10883</v>
      </c>
      <c r="B736" s="94" t="str">
        <f ca="1"/>
        <v>PKEK25VE0010883A</v>
      </c>
      <c r="C736" s="94" t="str">
        <f ca="1"/>
        <v>BERRY</v>
      </c>
      <c r="D736" s="94" t="str">
        <f ca="1"/>
        <v>652</v>
      </c>
      <c r="E736" s="94" t="str">
        <f ca="1"/>
        <v>FV012282603</v>
      </c>
      <c r="F736" s="94" t="str">
        <f ca="1"/>
        <v>C1500427</v>
      </c>
      <c r="G736" s="94" t="str">
        <f ca="1"/>
        <v>B</v>
      </c>
      <c r="H736" s="94" t="str">
        <f ca="1"/>
        <v>CF003158682</v>
      </c>
      <c r="I736" s="94" t="str">
        <f ca="1"/>
        <v>A</v>
      </c>
      <c r="J736" s="94">
        <f ca="1"/>
        <v>23.3</v>
      </c>
      <c r="K736" s="94"/>
      <c r="L736" s="94">
        <f ca="1"/>
        <v>80.22</v>
      </c>
      <c r="M736" s="94" t="str">
        <f ca="1"/>
        <v>63/65"</v>
      </c>
      <c r="N736" s="94">
        <f ca="1"/>
        <v>63</v>
      </c>
      <c r="O736" s="94" t="str">
        <f ca="1"/>
        <v>Dirt [针织污渍]</v>
      </c>
      <c r="P736" s="95" t="str">
        <f ca="1"/>
        <v>rằn ri biên phải 4" cả đơn</v>
      </c>
      <c r="Q736" s="95" t="str">
        <f ca="1"/>
        <v>sort out htp+né biên phải vào 4"</v>
      </c>
      <c r="R736" s="96">
        <f ca="1"/>
        <v>46129</v>
      </c>
    </row>
    <row r="737" spans="1:18" s="90" customFormat="1" ht="55" customHeight="1" x14ac:dyDescent="0.35">
      <c r="A737" s="94" t="str">
        <f ca="1"/>
        <v>S25V10883</v>
      </c>
      <c r="B737" s="94" t="str">
        <f ca="1"/>
        <v>PKEK25VE0010883A</v>
      </c>
      <c r="C737" s="94" t="str">
        <f ca="1"/>
        <v>BERRY</v>
      </c>
      <c r="D737" s="94" t="str">
        <f ca="1"/>
        <v>652</v>
      </c>
      <c r="E737" s="94" t="str">
        <f ca="1"/>
        <v>FV012282603</v>
      </c>
      <c r="F737" s="94" t="str">
        <f ca="1"/>
        <v>C1500427</v>
      </c>
      <c r="G737" s="94" t="str">
        <f ca="1"/>
        <v>B</v>
      </c>
      <c r="H737" s="94" t="str">
        <f ca="1"/>
        <v>CF003158683</v>
      </c>
      <c r="I737" s="94" t="str">
        <f ca="1"/>
        <v>A</v>
      </c>
      <c r="J737" s="94">
        <f ca="1"/>
        <v>23.4</v>
      </c>
      <c r="K737" s="94"/>
      <c r="L737" s="94">
        <f ca="1"/>
        <v>80.56</v>
      </c>
      <c r="M737" s="94" t="str">
        <f ca="1"/>
        <v>63/65"</v>
      </c>
      <c r="N737" s="94">
        <f ca="1"/>
        <v>63</v>
      </c>
      <c r="O737" s="94" t="str">
        <f ca="1"/>
        <v>Unever Dye Hole [染花破洞]</v>
      </c>
      <c r="P737" s="95" t="str">
        <f ca="1"/>
        <v>rằn ri biên phải 4" cả đơn</v>
      </c>
      <c r="Q737" s="95" t="str">
        <f ca="1"/>
        <v>sort out htp+né biên phải vào 4"</v>
      </c>
      <c r="R737" s="96">
        <f ca="1"/>
        <v>46129</v>
      </c>
    </row>
    <row r="738" spans="1:18" s="90" customFormat="1" ht="55" customHeight="1" x14ac:dyDescent="0.35">
      <c r="A738" s="94" t="str">
        <f ca="1"/>
        <v>S25V10883</v>
      </c>
      <c r="B738" s="94" t="str">
        <f ca="1"/>
        <v>PKEK25VE0010883A</v>
      </c>
      <c r="C738" s="94" t="str">
        <f ca="1"/>
        <v>BERRY</v>
      </c>
      <c r="D738" s="94" t="str">
        <f ca="1"/>
        <v>652</v>
      </c>
      <c r="E738" s="94" t="str">
        <f ca="1"/>
        <v>FV012282603</v>
      </c>
      <c r="F738" s="94" t="str">
        <f ca="1"/>
        <v>C1500427</v>
      </c>
      <c r="G738" s="94" t="str">
        <f ca="1"/>
        <v>B</v>
      </c>
      <c r="H738" s="94" t="str">
        <f ca="1"/>
        <v>CF003158684</v>
      </c>
      <c r="I738" s="94" t="str">
        <f ca="1"/>
        <v>A</v>
      </c>
      <c r="J738" s="94">
        <f ca="1"/>
        <v>23.3</v>
      </c>
      <c r="K738" s="94"/>
      <c r="L738" s="94">
        <f ca="1"/>
        <v>80.22</v>
      </c>
      <c r="M738" s="94" t="str">
        <f ca="1"/>
        <v>63/65"</v>
      </c>
      <c r="N738" s="94">
        <f ca="1"/>
        <v>63</v>
      </c>
      <c r="O738" s="94" t="str">
        <f ca="1"/>
        <v>White mark [白印]</v>
      </c>
      <c r="P738" s="95" t="str">
        <f ca="1"/>
        <v>rằn ri biên phải 4" cả đơn</v>
      </c>
      <c r="Q738" s="95" t="str">
        <f ca="1"/>
        <v>sort out htp+né biên phải vào 4"</v>
      </c>
      <c r="R738" s="96">
        <f ca="1"/>
        <v>46129</v>
      </c>
    </row>
    <row r="739" spans="1:18" s="90" customFormat="1" ht="55" customHeight="1" x14ac:dyDescent="0.35">
      <c r="A739" s="94" t="str">
        <f ca="1"/>
        <v>S25V10883</v>
      </c>
      <c r="B739" s="94" t="str">
        <f ca="1"/>
        <v>PKEK25VE0010883A</v>
      </c>
      <c r="C739" s="94" t="str">
        <f ca="1"/>
        <v>BERRY</v>
      </c>
      <c r="D739" s="94" t="str">
        <f ca="1"/>
        <v>652</v>
      </c>
      <c r="E739" s="94" t="str">
        <f ca="1"/>
        <v>FV012282603</v>
      </c>
      <c r="F739" s="94" t="str">
        <f ca="1"/>
        <v>C1500427</v>
      </c>
      <c r="G739" s="94" t="str">
        <f ca="1"/>
        <v>B</v>
      </c>
      <c r="H739" s="94" t="str">
        <f ca="1"/>
        <v>CF003158685</v>
      </c>
      <c r="I739" s="94" t="str">
        <f ca="1"/>
        <v>B</v>
      </c>
      <c r="J739" s="94">
        <f ca="1"/>
        <v>13.6</v>
      </c>
      <c r="K739" s="94"/>
      <c r="L739" s="94">
        <f ca="1"/>
        <v>46.82</v>
      </c>
      <c r="M739" s="94" t="str">
        <f ca="1"/>
        <v>63/65"</v>
      </c>
      <c r="N739" s="94">
        <f ca="1"/>
        <v>63</v>
      </c>
      <c r="O739" s="94" t="str">
        <f ca="1"/>
        <v>Unever Dye Hole [染花破洞]</v>
      </c>
      <c r="P739" s="95" t="str">
        <f ca="1"/>
        <v>rằn ri biên phải 4" cả đơn</v>
      </c>
      <c r="Q739" s="95" t="str">
        <f ca="1"/>
        <v>sort out htp+né biên phải vào 4"</v>
      </c>
      <c r="R739" s="96">
        <f ca="1"/>
        <v>46129</v>
      </c>
    </row>
    <row r="740" spans="1:18" s="90" customFormat="1" ht="55" customHeight="1" x14ac:dyDescent="0.35">
      <c r="A740" s="94" t="str">
        <f ca="1"/>
        <v>S25V10883</v>
      </c>
      <c r="B740" s="94" t="str">
        <f ca="1"/>
        <v>PKEK25VE0010883A</v>
      </c>
      <c r="C740" s="94" t="str">
        <f ca="1"/>
        <v>BERRY</v>
      </c>
      <c r="D740" s="94" t="str">
        <f ca="1"/>
        <v>652</v>
      </c>
      <c r="E740" s="94" t="str">
        <f ca="1"/>
        <v>FV012282603</v>
      </c>
      <c r="F740" s="94" t="str">
        <f ca="1"/>
        <v>C1500427</v>
      </c>
      <c r="G740" s="94" t="str">
        <f ca="1"/>
        <v>B</v>
      </c>
      <c r="H740" s="94" t="str">
        <f ca="1"/>
        <v>CF003158686</v>
      </c>
      <c r="I740" s="94" t="str">
        <f ca="1"/>
        <v>A</v>
      </c>
      <c r="J740" s="94">
        <f ca="1"/>
        <v>23.2</v>
      </c>
      <c r="K740" s="94"/>
      <c r="L740" s="94">
        <f ca="1"/>
        <v>79.88</v>
      </c>
      <c r="M740" s="94" t="str">
        <f ca="1"/>
        <v>63/65"</v>
      </c>
      <c r="N740" s="94">
        <f ca="1"/>
        <v>63</v>
      </c>
      <c r="O740" s="94" t="str">
        <f ca="1"/>
        <v>Unever Dye Hole [染花破洞]</v>
      </c>
      <c r="P740" s="95" t="str">
        <f ca="1"/>
        <v>rằn ri biên phải 4" cả đơn</v>
      </c>
      <c r="Q740" s="95" t="str">
        <f ca="1"/>
        <v>sort out htp+né biên phải vào 4"</v>
      </c>
      <c r="R740" s="96">
        <f ca="1"/>
        <v>46129</v>
      </c>
    </row>
    <row r="741" spans="1:18" s="90" customFormat="1" ht="55" customHeight="1" x14ac:dyDescent="0.35">
      <c r="A741" s="94" t="str">
        <f ca="1"/>
        <v>S25V10883</v>
      </c>
      <c r="B741" s="94" t="str">
        <f ca="1"/>
        <v>PKEK25VE0010883A</v>
      </c>
      <c r="C741" s="94" t="str">
        <f ca="1"/>
        <v>BERRY</v>
      </c>
      <c r="D741" s="94" t="str">
        <f ca="1"/>
        <v>652</v>
      </c>
      <c r="E741" s="94" t="str">
        <f ca="1"/>
        <v>FV012282603</v>
      </c>
      <c r="F741" s="94" t="str">
        <f ca="1"/>
        <v>C1500427</v>
      </c>
      <c r="G741" s="94" t="str">
        <f ca="1"/>
        <v>B</v>
      </c>
      <c r="H741" s="94" t="str">
        <f ca="1"/>
        <v>CF003158687</v>
      </c>
      <c r="I741" s="94" t="str">
        <f ca="1"/>
        <v>A</v>
      </c>
      <c r="J741" s="94">
        <f ca="1"/>
        <v>23.2</v>
      </c>
      <c r="K741" s="94"/>
      <c r="L741" s="94">
        <f ca="1"/>
        <v>79.88</v>
      </c>
      <c r="M741" s="94" t="str">
        <f ca="1"/>
        <v>63/65"</v>
      </c>
      <c r="N741" s="94">
        <f ca="1"/>
        <v>63</v>
      </c>
      <c r="O741" s="94" t="str">
        <f ca="1"/>
        <v>Dirt [针织污渍]</v>
      </c>
      <c r="P741" s="95" t="str">
        <f ca="1"/>
        <v>rằn ri biên phải 4" cả đơn</v>
      </c>
      <c r="Q741" s="95" t="str">
        <f ca="1"/>
        <v>sort out htp+né biên phải vào 4"</v>
      </c>
      <c r="R741" s="96">
        <f ca="1"/>
        <v>46129</v>
      </c>
    </row>
    <row r="742" spans="1:18" s="90" customFormat="1" ht="55" customHeight="1" x14ac:dyDescent="0.35">
      <c r="A742" s="94" t="str">
        <f ca="1"/>
        <v>S25V10883</v>
      </c>
      <c r="B742" s="94" t="str">
        <f ca="1"/>
        <v>PKEK25VE0010883A</v>
      </c>
      <c r="C742" s="94" t="str">
        <f ca="1"/>
        <v>BERRY</v>
      </c>
      <c r="D742" s="94" t="str">
        <f ca="1"/>
        <v>652</v>
      </c>
      <c r="E742" s="94" t="str">
        <f ca="1"/>
        <v>FV012282603</v>
      </c>
      <c r="F742" s="94" t="str">
        <f ca="1"/>
        <v>C1500427</v>
      </c>
      <c r="G742" s="94" t="str">
        <f ca="1"/>
        <v>B</v>
      </c>
      <c r="H742" s="94" t="str">
        <f ca="1"/>
        <v>CF003158688</v>
      </c>
      <c r="I742" s="94" t="str">
        <f ca="1"/>
        <v>A</v>
      </c>
      <c r="J742" s="94">
        <f ca="1"/>
        <v>23.2</v>
      </c>
      <c r="K742" s="94"/>
      <c r="L742" s="94">
        <f ca="1"/>
        <v>79.88</v>
      </c>
      <c r="M742" s="94" t="str">
        <f ca="1"/>
        <v>63/65"</v>
      </c>
      <c r="N742" s="94">
        <f ca="1"/>
        <v>63</v>
      </c>
      <c r="O742" s="94" t="str">
        <f ca="1"/>
        <v>Dirt [针织污渍]</v>
      </c>
      <c r="P742" s="95" t="str">
        <f ca="1"/>
        <v>rằn ri biên phải 4" cả đơn</v>
      </c>
      <c r="Q742" s="95" t="str">
        <f ca="1"/>
        <v>sort out htp+né biên phải vào 4"</v>
      </c>
      <c r="R742" s="96">
        <f ca="1"/>
        <v>46129</v>
      </c>
    </row>
    <row r="743" spans="1:18" s="90" customFormat="1" ht="55" customHeight="1" x14ac:dyDescent="0.35">
      <c r="A743" s="94" t="str">
        <f ca="1"/>
        <v>S25V10883</v>
      </c>
      <c r="B743" s="94" t="str">
        <f ca="1"/>
        <v>PKEK25VE0010883A</v>
      </c>
      <c r="C743" s="94" t="str">
        <f ca="1"/>
        <v>BERRY</v>
      </c>
      <c r="D743" s="94" t="str">
        <f ca="1"/>
        <v>652</v>
      </c>
      <c r="E743" s="94" t="str">
        <f ca="1"/>
        <v>FV012282603</v>
      </c>
      <c r="F743" s="94" t="str">
        <f ca="1"/>
        <v>C1500427</v>
      </c>
      <c r="G743" s="94" t="str">
        <f ca="1"/>
        <v>B</v>
      </c>
      <c r="H743" s="94" t="str">
        <f ca="1"/>
        <v>CF003158689</v>
      </c>
      <c r="I743" s="94" t="str">
        <f ca="1"/>
        <v>A</v>
      </c>
      <c r="J743" s="94">
        <f ca="1"/>
        <v>23.3</v>
      </c>
      <c r="K743" s="94"/>
      <c r="L743" s="94">
        <f ca="1"/>
        <v>80.22</v>
      </c>
      <c r="M743" s="94" t="str">
        <f ca="1"/>
        <v>63/65"</v>
      </c>
      <c r="N743" s="94">
        <f ca="1"/>
        <v>63</v>
      </c>
      <c r="O743" s="94" t="str">
        <f ca="1"/>
        <v>Dirt [针织污渍]</v>
      </c>
      <c r="P743" s="95" t="str">
        <f ca="1"/>
        <v>rằn ri biên phải 4" cả đơn</v>
      </c>
      <c r="Q743" s="95" t="str">
        <f ca="1"/>
        <v>sort out htp+né biên phải vào 4"</v>
      </c>
      <c r="R743" s="96">
        <f ca="1"/>
        <v>46129</v>
      </c>
    </row>
    <row r="744" spans="1:18" s="90" customFormat="1" ht="55" customHeight="1" x14ac:dyDescent="0.35">
      <c r="A744" s="94" t="str">
        <f ca="1"/>
        <v>S25V10883</v>
      </c>
      <c r="B744" s="94" t="str">
        <f ca="1"/>
        <v>PKEK25VE0010883A</v>
      </c>
      <c r="C744" s="94" t="str">
        <f ca="1"/>
        <v>BERRY</v>
      </c>
      <c r="D744" s="94" t="str">
        <f ca="1"/>
        <v>652</v>
      </c>
      <c r="E744" s="94" t="str">
        <f ca="1"/>
        <v>FV012282603</v>
      </c>
      <c r="F744" s="94" t="str">
        <f ca="1"/>
        <v>C1500427</v>
      </c>
      <c r="G744" s="94" t="str">
        <f ca="1"/>
        <v>B</v>
      </c>
      <c r="H744" s="94" t="str">
        <f ca="1"/>
        <v>CF003158690</v>
      </c>
      <c r="I744" s="94" t="str">
        <f ca="1"/>
        <v>A</v>
      </c>
      <c r="J744" s="94">
        <f ca="1"/>
        <v>22.3</v>
      </c>
      <c r="K744" s="94"/>
      <c r="L744" s="94">
        <f ca="1"/>
        <v>76.78</v>
      </c>
      <c r="M744" s="94" t="str">
        <f ca="1"/>
        <v>63/65"</v>
      </c>
      <c r="N744" s="94">
        <f ca="1"/>
        <v>63</v>
      </c>
      <c r="O744" s="94" t="str">
        <f ca="1"/>
        <v>Dirt [针织污渍]</v>
      </c>
      <c r="P744" s="95" t="str">
        <f ca="1"/>
        <v>rằn ri biên phải 4" cả đơn</v>
      </c>
      <c r="Q744" s="95" t="str">
        <f ca="1"/>
        <v>sort out htp+né biên phải vào 4"</v>
      </c>
      <c r="R744" s="96">
        <f ca="1"/>
        <v>46129</v>
      </c>
    </row>
    <row r="745" spans="1:18" s="90" customFormat="1" ht="55" customHeight="1" x14ac:dyDescent="0.35">
      <c r="A745" s="94" t="str">
        <f ca="1"/>
        <v>S25V10883</v>
      </c>
      <c r="B745" s="94" t="str">
        <f ca="1"/>
        <v>PKEK25VE0010883A</v>
      </c>
      <c r="C745" s="94" t="str">
        <f ca="1"/>
        <v>BERRY</v>
      </c>
      <c r="D745" s="94" t="str">
        <f ca="1"/>
        <v>652</v>
      </c>
      <c r="E745" s="94" t="str">
        <f ca="1"/>
        <v>FV012282603</v>
      </c>
      <c r="F745" s="94" t="str">
        <f ca="1"/>
        <v>C1500427</v>
      </c>
      <c r="G745" s="94" t="str">
        <f ca="1"/>
        <v>B</v>
      </c>
      <c r="H745" s="94" t="str">
        <f ca="1"/>
        <v>CF003158691</v>
      </c>
      <c r="I745" s="94" t="str">
        <f ca="1"/>
        <v>A</v>
      </c>
      <c r="J745" s="94">
        <f ca="1"/>
        <v>23.7</v>
      </c>
      <c r="K745" s="94"/>
      <c r="L745" s="94">
        <f ca="1"/>
        <v>81.599999999999994</v>
      </c>
      <c r="M745" s="94" t="str">
        <f ca="1"/>
        <v>63/65"</v>
      </c>
      <c r="N745" s="94">
        <f ca="1"/>
        <v>63</v>
      </c>
      <c r="O745" s="94" t="str">
        <f ca="1"/>
        <v>Dirt [针织污渍]</v>
      </c>
      <c r="P745" s="95" t="str">
        <f ca="1"/>
        <v>rằn ri biên phải 4" cả đơn</v>
      </c>
      <c r="Q745" s="95" t="str">
        <f ca="1"/>
        <v>sort out htp+né biên phải vào 4"</v>
      </c>
      <c r="R745" s="96">
        <f ca="1"/>
        <v>46129</v>
      </c>
    </row>
    <row r="746" spans="1:18" s="90" customFormat="1" ht="55" customHeight="1" x14ac:dyDescent="0.35">
      <c r="A746" s="94" t="str">
        <f ca="1"/>
        <v>S25V10883</v>
      </c>
      <c r="B746" s="94" t="str">
        <f ca="1"/>
        <v>PKEK25VE0010883A</v>
      </c>
      <c r="C746" s="94" t="str">
        <f ca="1"/>
        <v>BERRY</v>
      </c>
      <c r="D746" s="94" t="str">
        <f ca="1"/>
        <v>652</v>
      </c>
      <c r="E746" s="94" t="str">
        <f ca="1"/>
        <v>FV012282603</v>
      </c>
      <c r="F746" s="94" t="str">
        <f ca="1"/>
        <v>C1500427</v>
      </c>
      <c r="G746" s="94" t="str">
        <f ca="1"/>
        <v>B</v>
      </c>
      <c r="H746" s="94" t="str">
        <f ca="1"/>
        <v>CF003158692</v>
      </c>
      <c r="I746" s="94" t="str">
        <f ca="1"/>
        <v>A</v>
      </c>
      <c r="J746" s="94">
        <f ca="1"/>
        <v>23.1</v>
      </c>
      <c r="K746" s="94"/>
      <c r="L746" s="94">
        <f ca="1"/>
        <v>79.53</v>
      </c>
      <c r="M746" s="94" t="str">
        <f ca="1"/>
        <v>63/65"</v>
      </c>
      <c r="N746" s="94">
        <f ca="1"/>
        <v>63</v>
      </c>
      <c r="O746" s="94" t="str">
        <f ca="1"/>
        <v>Dirt [针织污渍]</v>
      </c>
      <c r="P746" s="95" t="str">
        <f ca="1"/>
        <v>rằn ri biên phải 4" cả đơn</v>
      </c>
      <c r="Q746" s="95" t="str">
        <f ca="1"/>
        <v>sort out htp+né biên phải vào 4"</v>
      </c>
      <c r="R746" s="96">
        <f ca="1"/>
        <v>46129</v>
      </c>
    </row>
    <row r="747" spans="1:18" s="90" customFormat="1" ht="55" customHeight="1" x14ac:dyDescent="0.35">
      <c r="A747" s="94" t="str">
        <f ca="1"/>
        <v>S25V10883</v>
      </c>
      <c r="B747" s="94" t="str">
        <f ca="1"/>
        <v>PKEK25VE0010883A</v>
      </c>
      <c r="C747" s="94" t="str">
        <f ca="1"/>
        <v>BERRY</v>
      </c>
      <c r="D747" s="94" t="str">
        <f ca="1"/>
        <v>652</v>
      </c>
      <c r="E747" s="94" t="str">
        <f ca="1"/>
        <v>FV012282603</v>
      </c>
      <c r="F747" s="94" t="str">
        <f ca="1"/>
        <v>C1500427</v>
      </c>
      <c r="G747" s="94" t="str">
        <f ca="1"/>
        <v>B</v>
      </c>
      <c r="H747" s="94" t="str">
        <f ca="1"/>
        <v>CF003158693</v>
      </c>
      <c r="I747" s="94" t="str">
        <f ca="1"/>
        <v>A</v>
      </c>
      <c r="J747" s="94">
        <f ca="1"/>
        <v>23.1</v>
      </c>
      <c r="K747" s="94"/>
      <c r="L747" s="94">
        <f ca="1"/>
        <v>79.53</v>
      </c>
      <c r="M747" s="94" t="str">
        <f ca="1"/>
        <v>63/65"</v>
      </c>
      <c r="N747" s="94">
        <f ca="1"/>
        <v>63</v>
      </c>
      <c r="O747" s="94" t="str">
        <f ca="1"/>
        <v>Dirt [针织污渍]</v>
      </c>
      <c r="P747" s="95" t="str">
        <f ca="1"/>
        <v>rằn ri biên phải 4" cả đơn</v>
      </c>
      <c r="Q747" s="95" t="str">
        <f ca="1"/>
        <v>sort out htp+né biên phải vào 4"</v>
      </c>
      <c r="R747" s="96">
        <f ca="1"/>
        <v>46129</v>
      </c>
    </row>
    <row r="748" spans="1:18" s="90" customFormat="1" ht="55" customHeight="1" x14ac:dyDescent="0.35">
      <c r="A748" s="94" t="str">
        <f ca="1"/>
        <v>S25V10883</v>
      </c>
      <c r="B748" s="94" t="str">
        <f ca="1"/>
        <v>PKEK25VE0010883A</v>
      </c>
      <c r="C748" s="94" t="str">
        <f ca="1"/>
        <v>BERRY</v>
      </c>
      <c r="D748" s="94" t="str">
        <f ca="1"/>
        <v>652</v>
      </c>
      <c r="E748" s="94" t="str">
        <f ca="1"/>
        <v>FV012282603</v>
      </c>
      <c r="F748" s="94" t="str">
        <f ca="1"/>
        <v>C1500427</v>
      </c>
      <c r="G748" s="94" t="str">
        <f ca="1"/>
        <v>B</v>
      </c>
      <c r="H748" s="94" t="str">
        <f ca="1"/>
        <v>CF003158694</v>
      </c>
      <c r="I748" s="94" t="str">
        <f ca="1"/>
        <v>A</v>
      </c>
      <c r="J748" s="94">
        <f ca="1"/>
        <v>16.2</v>
      </c>
      <c r="K748" s="94"/>
      <c r="L748" s="94">
        <f ca="1"/>
        <v>55.78</v>
      </c>
      <c r="M748" s="94" t="str">
        <f ca="1"/>
        <v>63/65"</v>
      </c>
      <c r="N748" s="94">
        <f ca="1"/>
        <v>63</v>
      </c>
      <c r="O748" s="94" t="str">
        <f ca="1"/>
        <v>Dirt [针织污渍]</v>
      </c>
      <c r="P748" s="95" t="str">
        <f ca="1"/>
        <v>rằn ri biên phải 4" cả đơn</v>
      </c>
      <c r="Q748" s="95" t="str">
        <f ca="1"/>
        <v>sort out htp+né biên phải vào 4"</v>
      </c>
      <c r="R748" s="96">
        <f ca="1"/>
        <v>46129</v>
      </c>
    </row>
    <row r="749" spans="1:18" s="90" customFormat="1" ht="55" customHeight="1" x14ac:dyDescent="0.35">
      <c r="A749" s="94" t="str">
        <f ca="1"/>
        <v>S25V10883</v>
      </c>
      <c r="B749" s="94" t="str">
        <f ca="1"/>
        <v>PKEK25VE0010883A</v>
      </c>
      <c r="C749" s="94" t="str">
        <f ca="1"/>
        <v>LAGOON</v>
      </c>
      <c r="D749" s="94" t="str">
        <f ca="1"/>
        <v>457</v>
      </c>
      <c r="E749" s="94" t="str">
        <f ca="1"/>
        <v>FV012283102A</v>
      </c>
      <c r="F749" s="94" t="str">
        <f ca="1"/>
        <v>C1500427</v>
      </c>
      <c r="G749" s="94" t="str">
        <f ca="1"/>
        <v>B</v>
      </c>
      <c r="H749" s="94" t="str">
        <f ca="1"/>
        <v>CF003160826</v>
      </c>
      <c r="I749" s="94" t="str">
        <f ca="1"/>
        <v>A</v>
      </c>
      <c r="J749" s="94">
        <f ca="1"/>
        <v>20.3</v>
      </c>
      <c r="K749" s="94"/>
      <c r="L749" s="94">
        <f ca="1"/>
        <v>73.42</v>
      </c>
      <c r="M749" s="94" t="str">
        <f ca="1"/>
        <v>63/65"</v>
      </c>
      <c r="N749" s="94">
        <f ca="1"/>
        <v>63</v>
      </c>
      <c r="O749" s="94" t="str">
        <f ca="1"/>
        <v>Unever Dye Hole [染花破洞]</v>
      </c>
      <c r="P749" s="95" t="str">
        <f ca="1"/>
        <v>Ma sát biên phải 1in= khác màu 2 biên 2in mỗi bên</v>
      </c>
      <c r="Q749" s="95" t="str">
        <f ca="1"/>
        <v>Trừ 2 biên mỗi bên vào 2 in =balane marter</v>
      </c>
      <c r="R749" s="96">
        <f ca="1"/>
        <v>46135</v>
      </c>
    </row>
    <row r="750" spans="1:18" s="90" customFormat="1" ht="55" customHeight="1" x14ac:dyDescent="0.35">
      <c r="A750" s="94" t="str">
        <f ca="1"/>
        <v>S25V10883</v>
      </c>
      <c r="B750" s="94" t="str">
        <f ca="1"/>
        <v>PKEK25VE0010883A</v>
      </c>
      <c r="C750" s="94" t="str">
        <f ca="1"/>
        <v>LAGOON</v>
      </c>
      <c r="D750" s="94" t="str">
        <f ca="1"/>
        <v>457</v>
      </c>
      <c r="E750" s="94" t="str">
        <f ca="1"/>
        <v>FV012283102A</v>
      </c>
      <c r="F750" s="94" t="str">
        <f ca="1"/>
        <v>C1500427</v>
      </c>
      <c r="G750" s="94" t="str">
        <f ca="1"/>
        <v>B</v>
      </c>
      <c r="H750" s="94" t="str">
        <f ca="1"/>
        <v>CF003160827</v>
      </c>
      <c r="I750" s="94" t="str">
        <f ca="1"/>
        <v>A</v>
      </c>
      <c r="J750" s="94">
        <f ca="1"/>
        <v>23</v>
      </c>
      <c r="K750" s="94"/>
      <c r="L750" s="94">
        <f ca="1"/>
        <v>83.19</v>
      </c>
      <c r="M750" s="94" t="str">
        <f ca="1"/>
        <v>63/65"</v>
      </c>
      <c r="N750" s="94">
        <f ca="1"/>
        <v>63</v>
      </c>
      <c r="O750" s="94" t="str">
        <f ca="1"/>
        <v/>
      </c>
      <c r="P750" s="95" t="str">
        <f ca="1"/>
        <v>Ma sát biên phải 1in= khác màu 2 biên 2in mỗi bên</v>
      </c>
      <c r="Q750" s="95" t="str">
        <f ca="1"/>
        <v>Trừ 2 biên mỗi bên vào 2 in =balane marter</v>
      </c>
      <c r="R750" s="96">
        <f ca="1"/>
        <v>46135</v>
      </c>
    </row>
    <row r="751" spans="1:18" s="90" customFormat="1" ht="55" customHeight="1" x14ac:dyDescent="0.35">
      <c r="A751" s="94" t="str">
        <f ca="1"/>
        <v>S25V10883</v>
      </c>
      <c r="B751" s="94" t="str">
        <f ca="1"/>
        <v>PKEK25VE0010883A</v>
      </c>
      <c r="C751" s="94" t="str">
        <f ca="1"/>
        <v>LAGOON</v>
      </c>
      <c r="D751" s="94" t="str">
        <f ca="1"/>
        <v>457</v>
      </c>
      <c r="E751" s="94" t="str">
        <f ca="1"/>
        <v>FV012283102A</v>
      </c>
      <c r="F751" s="94" t="str">
        <f ca="1"/>
        <v>C1500427</v>
      </c>
      <c r="G751" s="94" t="str">
        <f ca="1"/>
        <v>B</v>
      </c>
      <c r="H751" s="94" t="str">
        <f ca="1"/>
        <v>CF003160828</v>
      </c>
      <c r="I751" s="94" t="str">
        <f ca="1"/>
        <v>A</v>
      </c>
      <c r="J751" s="94">
        <f ca="1"/>
        <v>23.8</v>
      </c>
      <c r="K751" s="94"/>
      <c r="L751" s="94">
        <f ca="1"/>
        <v>86.08</v>
      </c>
      <c r="M751" s="94" t="str">
        <f ca="1"/>
        <v>63/65"</v>
      </c>
      <c r="N751" s="94">
        <f ca="1"/>
        <v>63</v>
      </c>
      <c r="O751" s="94" t="str">
        <f ca="1"/>
        <v>Unever Dye Hole [染花破洞]</v>
      </c>
      <c r="P751" s="95" t="str">
        <f ca="1"/>
        <v>Ma sát biên phải 1in= khác màu 2 biên 2in mỗi bên</v>
      </c>
      <c r="Q751" s="95" t="str">
        <f ca="1"/>
        <v>Trừ 2 biên mỗi bên vào 2 in =balane marter</v>
      </c>
      <c r="R751" s="96">
        <f ca="1"/>
        <v>46135</v>
      </c>
    </row>
    <row r="752" spans="1:18" s="90" customFormat="1" ht="55" customHeight="1" x14ac:dyDescent="0.35">
      <c r="A752" s="94" t="str">
        <f ca="1"/>
        <v>S25V10883</v>
      </c>
      <c r="B752" s="94" t="str">
        <f ca="1"/>
        <v>PKEK25VE0010883A</v>
      </c>
      <c r="C752" s="94" t="str">
        <f ca="1"/>
        <v>LAGOON</v>
      </c>
      <c r="D752" s="94" t="str">
        <f ca="1"/>
        <v>457</v>
      </c>
      <c r="E752" s="94" t="str">
        <f ca="1"/>
        <v>FV012283102A</v>
      </c>
      <c r="F752" s="94" t="str">
        <f ca="1"/>
        <v>C1500427</v>
      </c>
      <c r="G752" s="94" t="str">
        <f ca="1"/>
        <v>B</v>
      </c>
      <c r="H752" s="94" t="str">
        <f ca="1"/>
        <v>CF003160829</v>
      </c>
      <c r="I752" s="94" t="str">
        <f ca="1"/>
        <v>A</v>
      </c>
      <c r="J752" s="94">
        <f ca="1"/>
        <v>23.5</v>
      </c>
      <c r="K752" s="94"/>
      <c r="L752" s="94">
        <f ca="1"/>
        <v>85</v>
      </c>
      <c r="M752" s="94" t="str">
        <f ca="1"/>
        <v>63/65"</v>
      </c>
      <c r="N752" s="94">
        <f ca="1"/>
        <v>63</v>
      </c>
      <c r="O752" s="94" t="str">
        <f ca="1"/>
        <v>Dirt [针织污渍]</v>
      </c>
      <c r="P752" s="95" t="str">
        <f ca="1"/>
        <v>Ma sát biên phải 1in= khác màu 2 biên 2in mỗi bên</v>
      </c>
      <c r="Q752" s="95" t="str">
        <f ca="1"/>
        <v>Trừ 2 biên mỗi bên vào 2 in =balane marter</v>
      </c>
      <c r="R752" s="96">
        <f ca="1"/>
        <v>46135</v>
      </c>
    </row>
    <row r="753" spans="1:18" s="90" customFormat="1" ht="55" customHeight="1" x14ac:dyDescent="0.35">
      <c r="A753" s="94" t="str">
        <f ca="1"/>
        <v>S25V10883</v>
      </c>
      <c r="B753" s="94" t="str">
        <f ca="1"/>
        <v>PKEK25VE0010883A</v>
      </c>
      <c r="C753" s="94" t="str">
        <f ca="1"/>
        <v>LAGOON</v>
      </c>
      <c r="D753" s="94" t="str">
        <f ca="1"/>
        <v>457</v>
      </c>
      <c r="E753" s="94" t="str">
        <f ca="1"/>
        <v>FV012283102A</v>
      </c>
      <c r="F753" s="94" t="str">
        <f ca="1"/>
        <v>C1500427</v>
      </c>
      <c r="G753" s="94" t="str">
        <f ca="1"/>
        <v>B</v>
      </c>
      <c r="H753" s="94" t="str">
        <f ca="1"/>
        <v>CF003160830</v>
      </c>
      <c r="I753" s="94" t="str">
        <f ca="1"/>
        <v>A</v>
      </c>
      <c r="J753" s="94">
        <f ca="1"/>
        <v>7.9</v>
      </c>
      <c r="K753" s="94"/>
      <c r="L753" s="94">
        <f ca="1"/>
        <v>28.57</v>
      </c>
      <c r="M753" s="94" t="str">
        <f ca="1"/>
        <v>63/65"</v>
      </c>
      <c r="N753" s="94">
        <f ca="1"/>
        <v>63</v>
      </c>
      <c r="O753" s="94" t="str">
        <f ca="1"/>
        <v/>
      </c>
      <c r="P753" s="95" t="str">
        <f ca="1"/>
        <v>Ma sát biên phải 1in= khác màu 2 biên 2in mỗi bên</v>
      </c>
      <c r="Q753" s="95" t="str">
        <f ca="1"/>
        <v>Trừ 2 biên mỗi bên vào 2 in =balane marter</v>
      </c>
      <c r="R753" s="96">
        <f ca="1"/>
        <v>46135</v>
      </c>
    </row>
    <row r="754" spans="1:18" s="90" customFormat="1" ht="55" customHeight="1" x14ac:dyDescent="0.35">
      <c r="A754" s="94" t="str">
        <f ca="1"/>
        <v>S25V10883</v>
      </c>
      <c r="B754" s="94" t="str">
        <f ca="1"/>
        <v>PKEK25VE0010883A</v>
      </c>
      <c r="C754" s="94" t="str">
        <f ca="1"/>
        <v>LAGOON</v>
      </c>
      <c r="D754" s="94" t="str">
        <f ca="1"/>
        <v>457</v>
      </c>
      <c r="E754" s="94" t="str">
        <f ca="1"/>
        <v>FV012283102A</v>
      </c>
      <c r="F754" s="94" t="str">
        <f ca="1"/>
        <v>C1500427</v>
      </c>
      <c r="G754" s="94" t="str">
        <f ca="1"/>
        <v>B</v>
      </c>
      <c r="H754" s="94" t="str">
        <f ca="1"/>
        <v>CF003160831</v>
      </c>
      <c r="I754" s="94" t="str">
        <f ca="1"/>
        <v>A</v>
      </c>
      <c r="J754" s="94">
        <f ca="1"/>
        <v>18.2</v>
      </c>
      <c r="K754" s="94"/>
      <c r="L754" s="94">
        <f ca="1"/>
        <v>65.83</v>
      </c>
      <c r="M754" s="94" t="str">
        <f ca="1"/>
        <v>63/65"</v>
      </c>
      <c r="N754" s="94">
        <f ca="1"/>
        <v>63</v>
      </c>
      <c r="O754" s="94" t="str">
        <f ca="1"/>
        <v>Piece-up(FN) [后整接口]</v>
      </c>
      <c r="P754" s="95" t="str">
        <f ca="1"/>
        <v>Ma sát biên phải 1in= khác màu 2 biên 2in mỗi bên</v>
      </c>
      <c r="Q754" s="95" t="str">
        <f ca="1"/>
        <v>Trừ 2 biên mỗi bên vào 2 in =balane marter</v>
      </c>
      <c r="R754" s="96">
        <f ca="1"/>
        <v>46135</v>
      </c>
    </row>
    <row r="755" spans="1:18" s="90" customFormat="1" ht="55" customHeight="1" x14ac:dyDescent="0.35">
      <c r="A755" s="94" t="str">
        <f ca="1"/>
        <v>S25V10883</v>
      </c>
      <c r="B755" s="94" t="str">
        <f ca="1"/>
        <v>PKEK25VE0010883A</v>
      </c>
      <c r="C755" s="94" t="str">
        <f ca="1"/>
        <v>LAGOON</v>
      </c>
      <c r="D755" s="94" t="str">
        <f ca="1"/>
        <v>457</v>
      </c>
      <c r="E755" s="94" t="str">
        <f ca="1"/>
        <v>FV012283102A</v>
      </c>
      <c r="F755" s="94" t="str">
        <f ca="1"/>
        <v>C1500427</v>
      </c>
      <c r="G755" s="94" t="str">
        <f ca="1"/>
        <v>B</v>
      </c>
      <c r="H755" s="94" t="str">
        <f ca="1"/>
        <v>CF003160832</v>
      </c>
      <c r="I755" s="94" t="str">
        <f ca="1"/>
        <v>A</v>
      </c>
      <c r="J755" s="94">
        <f ca="1"/>
        <v>14.5</v>
      </c>
      <c r="K755" s="94"/>
      <c r="L755" s="94">
        <f ca="1"/>
        <v>52.45</v>
      </c>
      <c r="M755" s="94" t="str">
        <f ca="1"/>
        <v>63/65"</v>
      </c>
      <c r="N755" s="94">
        <f ca="1"/>
        <v>63</v>
      </c>
      <c r="O755" s="94" t="str">
        <f ca="1"/>
        <v/>
      </c>
      <c r="P755" s="95" t="str">
        <f ca="1"/>
        <v>Ma sát biên phải 1in= khác màu 2 biên 2in mỗi bên</v>
      </c>
      <c r="Q755" s="95" t="str">
        <f ca="1"/>
        <v>Trừ 2 biên mỗi bên vào 2 in =balane marter</v>
      </c>
      <c r="R755" s="96">
        <f ca="1"/>
        <v>46135</v>
      </c>
    </row>
    <row r="756" spans="1:18" s="90" customFormat="1" ht="55" customHeight="1" x14ac:dyDescent="0.35">
      <c r="A756" s="94" t="str">
        <f ca="1"/>
        <v>S25V10883</v>
      </c>
      <c r="B756" s="94" t="str">
        <f ca="1"/>
        <v>PKEK25VE0010883A</v>
      </c>
      <c r="C756" s="94" t="str">
        <f ca="1"/>
        <v>LAGOON</v>
      </c>
      <c r="D756" s="94" t="str">
        <f ca="1"/>
        <v>457</v>
      </c>
      <c r="E756" s="94" t="str">
        <f ca="1"/>
        <v>FV012283102A</v>
      </c>
      <c r="F756" s="94" t="str">
        <f ca="1"/>
        <v>C1500427</v>
      </c>
      <c r="G756" s="94" t="str">
        <f ca="1"/>
        <v>B</v>
      </c>
      <c r="H756" s="94" t="str">
        <f ca="1"/>
        <v>CF003160833</v>
      </c>
      <c r="I756" s="94" t="str">
        <f ca="1"/>
        <v>A</v>
      </c>
      <c r="J756" s="94">
        <f ca="1"/>
        <v>23.2</v>
      </c>
      <c r="K756" s="94"/>
      <c r="L756" s="94">
        <f ca="1"/>
        <v>83.91</v>
      </c>
      <c r="M756" s="94" t="str">
        <f ca="1"/>
        <v>63/65"</v>
      </c>
      <c r="N756" s="94">
        <f ca="1"/>
        <v>63</v>
      </c>
      <c r="O756" s="94" t="str">
        <f ca="1"/>
        <v>Crease Mark [折痕]</v>
      </c>
      <c r="P756" s="95" t="str">
        <f ca="1"/>
        <v>Ma sát biên phải 1in= khác màu 2 biên 2in mỗi bên</v>
      </c>
      <c r="Q756" s="95" t="str">
        <f ca="1"/>
        <v>Trừ 2 biên mỗi bên vào 2 in =balane marter</v>
      </c>
      <c r="R756" s="96">
        <f ca="1"/>
        <v>46135</v>
      </c>
    </row>
    <row r="757" spans="1:18" s="90" customFormat="1" ht="55" customHeight="1" x14ac:dyDescent="0.35">
      <c r="A757" s="94" t="str">
        <f ca="1"/>
        <v>S25V10883</v>
      </c>
      <c r="B757" s="94" t="str">
        <f ca="1"/>
        <v>PKEK25VE0010883A</v>
      </c>
      <c r="C757" s="94" t="str">
        <f ca="1"/>
        <v>LAGOON</v>
      </c>
      <c r="D757" s="94" t="str">
        <f ca="1"/>
        <v>457</v>
      </c>
      <c r="E757" s="94" t="str">
        <f ca="1"/>
        <v>FV012283102A</v>
      </c>
      <c r="F757" s="94" t="str">
        <f ca="1"/>
        <v>C1500427</v>
      </c>
      <c r="G757" s="94" t="str">
        <f ca="1"/>
        <v>B</v>
      </c>
      <c r="H757" s="94" t="str">
        <f ca="1"/>
        <v>CF003160834</v>
      </c>
      <c r="I757" s="94" t="str">
        <f ca="1"/>
        <v>A</v>
      </c>
      <c r="J757" s="94">
        <f ca="1"/>
        <v>23.4</v>
      </c>
      <c r="K757" s="94"/>
      <c r="L757" s="94">
        <f ca="1"/>
        <v>84.64</v>
      </c>
      <c r="M757" s="94" t="str">
        <f ca="1"/>
        <v>63/65"</v>
      </c>
      <c r="N757" s="94">
        <f ca="1"/>
        <v>63</v>
      </c>
      <c r="O757" s="94" t="str">
        <f ca="1"/>
        <v>Hole (KN) [针织破洞]</v>
      </c>
      <c r="P757" s="95" t="str">
        <f ca="1"/>
        <v>Ma sát biên phải 1in= khác màu 2 biên 2in mỗi bên</v>
      </c>
      <c r="Q757" s="95" t="str">
        <f ca="1"/>
        <v>Trừ 2 biên mỗi bên vào 2 in =balane marter</v>
      </c>
      <c r="R757" s="96">
        <f ca="1"/>
        <v>46135</v>
      </c>
    </row>
    <row r="758" spans="1:18" s="90" customFormat="1" ht="55" customHeight="1" x14ac:dyDescent="0.35">
      <c r="A758" s="94" t="str">
        <f ca="1"/>
        <v>S25V10883</v>
      </c>
      <c r="B758" s="94" t="str">
        <f ca="1"/>
        <v>PKEK25VE0010883A</v>
      </c>
      <c r="C758" s="94" t="str">
        <f ca="1"/>
        <v>LAGOON</v>
      </c>
      <c r="D758" s="94" t="str">
        <f ca="1"/>
        <v>457</v>
      </c>
      <c r="E758" s="94" t="str">
        <f ca="1"/>
        <v>FV012283102A</v>
      </c>
      <c r="F758" s="94" t="str">
        <f ca="1"/>
        <v>C1500427</v>
      </c>
      <c r="G758" s="94" t="str">
        <f ca="1"/>
        <v>B</v>
      </c>
      <c r="H758" s="94" t="str">
        <f ca="1"/>
        <v>CF003160835</v>
      </c>
      <c r="I758" s="94" t="str">
        <f ca="1"/>
        <v>A</v>
      </c>
      <c r="J758" s="94">
        <f ca="1"/>
        <v>23.3</v>
      </c>
      <c r="K758" s="94"/>
      <c r="L758" s="94">
        <f ca="1"/>
        <v>84.27</v>
      </c>
      <c r="M758" s="94" t="str">
        <f ca="1"/>
        <v>63/65"</v>
      </c>
      <c r="N758" s="94">
        <f ca="1"/>
        <v>63</v>
      </c>
      <c r="O758" s="94" t="str">
        <f ca="1"/>
        <v/>
      </c>
      <c r="P758" s="95" t="str">
        <f ca="1"/>
        <v>Ma sát biên phải 1in= khác màu 2 biên 2in mỗi bên</v>
      </c>
      <c r="Q758" s="95" t="str">
        <f ca="1"/>
        <v>Trừ 2 biên mỗi bên vào 2 in =balane marter</v>
      </c>
      <c r="R758" s="96">
        <f ca="1"/>
        <v>46135</v>
      </c>
    </row>
    <row r="759" spans="1:18" s="90" customFormat="1" ht="55" customHeight="1" x14ac:dyDescent="0.35">
      <c r="A759" s="94" t="str">
        <f ca="1"/>
        <v>S25V10883</v>
      </c>
      <c r="B759" s="94" t="str">
        <f ca="1"/>
        <v>PKEK25VE0010883A</v>
      </c>
      <c r="C759" s="94" t="str">
        <f ca="1"/>
        <v>LAGOON</v>
      </c>
      <c r="D759" s="94" t="str">
        <f ca="1"/>
        <v>457</v>
      </c>
      <c r="E759" s="94" t="str">
        <f ca="1"/>
        <v>FV012283102A</v>
      </c>
      <c r="F759" s="94" t="str">
        <f ca="1"/>
        <v>C1500427</v>
      </c>
      <c r="G759" s="94" t="str">
        <f ca="1"/>
        <v>B</v>
      </c>
      <c r="H759" s="94" t="str">
        <f ca="1"/>
        <v>CF003160836</v>
      </c>
      <c r="I759" s="94" t="str">
        <f ca="1"/>
        <v>A</v>
      </c>
      <c r="J759" s="94">
        <f ca="1"/>
        <v>22.8</v>
      </c>
      <c r="K759" s="94"/>
      <c r="L759" s="94">
        <f ca="1"/>
        <v>82.47</v>
      </c>
      <c r="M759" s="94" t="str">
        <f ca="1"/>
        <v>63/65"</v>
      </c>
      <c r="N759" s="94">
        <f ca="1"/>
        <v>63</v>
      </c>
      <c r="O759" s="94" t="str">
        <f ca="1"/>
        <v>White mark [白印]</v>
      </c>
      <c r="P759" s="95" t="str">
        <f ca="1"/>
        <v>Ma sát biên phải 1in= khác màu 2 biên 2in mỗi bên</v>
      </c>
      <c r="Q759" s="95" t="str">
        <f ca="1"/>
        <v>Trừ 2 biên mỗi bên vào 2 in =balane marter</v>
      </c>
      <c r="R759" s="96">
        <f ca="1"/>
        <v>46135</v>
      </c>
    </row>
    <row r="760" spans="1:18" s="90" customFormat="1" ht="55" customHeight="1" x14ac:dyDescent="0.35">
      <c r="A760" s="94" t="str">
        <f ca="1"/>
        <v>S25V10883</v>
      </c>
      <c r="B760" s="94" t="str">
        <f ca="1"/>
        <v>PKEK25VE0010883A</v>
      </c>
      <c r="C760" s="94" t="str">
        <f ca="1"/>
        <v>LAGOON</v>
      </c>
      <c r="D760" s="94" t="str">
        <f ca="1"/>
        <v>457</v>
      </c>
      <c r="E760" s="94" t="str">
        <f ca="1"/>
        <v>FV012283102A</v>
      </c>
      <c r="F760" s="94" t="str">
        <f ca="1"/>
        <v>C1500427</v>
      </c>
      <c r="G760" s="94" t="str">
        <f ca="1"/>
        <v>B</v>
      </c>
      <c r="H760" s="94" t="str">
        <f ca="1"/>
        <v>CF003160837</v>
      </c>
      <c r="I760" s="94" t="str">
        <f ca="1"/>
        <v>A</v>
      </c>
      <c r="J760" s="94">
        <f ca="1"/>
        <v>21.5</v>
      </c>
      <c r="K760" s="94"/>
      <c r="L760" s="94">
        <f ca="1"/>
        <v>77.760000000000005</v>
      </c>
      <c r="M760" s="94" t="str">
        <f ca="1"/>
        <v>63/65"</v>
      </c>
      <c r="N760" s="94">
        <f ca="1"/>
        <v>63</v>
      </c>
      <c r="O760" s="94" t="str">
        <f ca="1"/>
        <v>Hole (KN) [针织破洞]</v>
      </c>
      <c r="P760" s="95" t="str">
        <f ca="1"/>
        <v>Ma sát biên phải 1in= khác màu 2 biên 2in mỗi bên</v>
      </c>
      <c r="Q760" s="95" t="str">
        <f ca="1"/>
        <v>Trừ 2 biên mỗi bên vào 2 in =balane marter</v>
      </c>
      <c r="R760" s="96">
        <f ca="1"/>
        <v>46135</v>
      </c>
    </row>
    <row r="761" spans="1:18" s="90" customFormat="1" ht="55" customHeight="1" x14ac:dyDescent="0.35">
      <c r="A761" s="94" t="str">
        <f ca="1"/>
        <v>S25V10883</v>
      </c>
      <c r="B761" s="94" t="str">
        <f ca="1"/>
        <v>PKEK25VE0010883A</v>
      </c>
      <c r="C761" s="94" t="str">
        <f ca="1"/>
        <v>LAGOON</v>
      </c>
      <c r="D761" s="94" t="str">
        <f ca="1"/>
        <v>457</v>
      </c>
      <c r="E761" s="94" t="str">
        <f ca="1"/>
        <v>FV012283102A</v>
      </c>
      <c r="F761" s="94" t="str">
        <f ca="1"/>
        <v>C1500427</v>
      </c>
      <c r="G761" s="94" t="str">
        <f ca="1"/>
        <v>B</v>
      </c>
      <c r="H761" s="94" t="str">
        <f ca="1"/>
        <v>CF003160838</v>
      </c>
      <c r="I761" s="94" t="str">
        <f ca="1"/>
        <v>A</v>
      </c>
      <c r="J761" s="94">
        <f ca="1"/>
        <v>22.1</v>
      </c>
      <c r="K761" s="94"/>
      <c r="L761" s="94">
        <f ca="1"/>
        <v>79.930000000000007</v>
      </c>
      <c r="M761" s="94" t="str">
        <f ca="1"/>
        <v>63/65"</v>
      </c>
      <c r="N761" s="94">
        <f ca="1"/>
        <v>63</v>
      </c>
      <c r="O761" s="94" t="str">
        <f ca="1"/>
        <v>White mark [白印]</v>
      </c>
      <c r="P761" s="95" t="str">
        <f ca="1"/>
        <v>Ma sát biên phải 1in= khác màu 2 biên 2in mỗi bên</v>
      </c>
      <c r="Q761" s="95" t="str">
        <f ca="1"/>
        <v>Trừ 2 biên mỗi bên vào 2 in =balane marter</v>
      </c>
      <c r="R761" s="96">
        <f ca="1"/>
        <v>46135</v>
      </c>
    </row>
    <row r="762" spans="1:18" s="90" customFormat="1" ht="55" customHeight="1" x14ac:dyDescent="0.35">
      <c r="A762" s="94" t="str">
        <f ca="1"/>
        <v>S25V10883</v>
      </c>
      <c r="B762" s="94" t="str">
        <f ca="1"/>
        <v>PKEK25VE0010883A</v>
      </c>
      <c r="C762" s="94" t="str">
        <f ca="1"/>
        <v>LAGOON</v>
      </c>
      <c r="D762" s="94" t="str">
        <f ca="1"/>
        <v>457</v>
      </c>
      <c r="E762" s="94" t="str">
        <f ca="1"/>
        <v>FV012283102A</v>
      </c>
      <c r="F762" s="94" t="str">
        <f ca="1"/>
        <v>C1500427</v>
      </c>
      <c r="G762" s="94" t="str">
        <f ca="1"/>
        <v>B</v>
      </c>
      <c r="H762" s="94" t="str">
        <f ca="1"/>
        <v>CF003160839</v>
      </c>
      <c r="I762" s="94" t="str">
        <f ca="1"/>
        <v>A</v>
      </c>
      <c r="J762" s="94">
        <f ca="1"/>
        <v>21.9</v>
      </c>
      <c r="K762" s="94"/>
      <c r="L762" s="94">
        <f ca="1"/>
        <v>79.209999999999994</v>
      </c>
      <c r="M762" s="94" t="str">
        <f ca="1"/>
        <v>63/65"</v>
      </c>
      <c r="N762" s="94">
        <f ca="1"/>
        <v>63</v>
      </c>
      <c r="O762" s="94" t="str">
        <f ca="1"/>
        <v>White mark [白印]</v>
      </c>
      <c r="P762" s="95" t="str">
        <f ca="1"/>
        <v>Ma sát biên phải 1in= khác màu 2 biên 2in mỗi bên</v>
      </c>
      <c r="Q762" s="95" t="str">
        <f ca="1"/>
        <v>Trừ 2 biên mỗi bên vào 2 in =balane marter</v>
      </c>
      <c r="R762" s="96">
        <f ca="1"/>
        <v>46135</v>
      </c>
    </row>
    <row r="763" spans="1:18" s="90" customFormat="1" ht="55" customHeight="1" x14ac:dyDescent="0.35">
      <c r="A763" s="94" t="str">
        <f ca="1"/>
        <v>S25V10883</v>
      </c>
      <c r="B763" s="94" t="str">
        <f ca="1"/>
        <v>PKEK25VE0010883A</v>
      </c>
      <c r="C763" s="94" t="str">
        <f ca="1"/>
        <v>LAGOON</v>
      </c>
      <c r="D763" s="94" t="str">
        <f ca="1"/>
        <v>457</v>
      </c>
      <c r="E763" s="94" t="str">
        <f ca="1"/>
        <v>FV012283102A</v>
      </c>
      <c r="F763" s="94" t="str">
        <f ca="1"/>
        <v>C1500427</v>
      </c>
      <c r="G763" s="94" t="str">
        <f ca="1"/>
        <v>B</v>
      </c>
      <c r="H763" s="94" t="str">
        <f ca="1"/>
        <v>CF003160840</v>
      </c>
      <c r="I763" s="94" t="str">
        <f ca="1"/>
        <v>A</v>
      </c>
      <c r="J763" s="94">
        <f ca="1"/>
        <v>19.8</v>
      </c>
      <c r="K763" s="94"/>
      <c r="L763" s="94">
        <f ca="1"/>
        <v>71.62</v>
      </c>
      <c r="M763" s="94" t="str">
        <f ca="1"/>
        <v>63/65"</v>
      </c>
      <c r="N763" s="94">
        <f ca="1"/>
        <v>63</v>
      </c>
      <c r="O763" s="94" t="str">
        <f ca="1"/>
        <v>Hole (KN) [针织破洞]</v>
      </c>
      <c r="P763" s="95" t="str">
        <f ca="1"/>
        <v>Ma sát biên phải 1in= khác màu 2 biên 2in mỗi bên</v>
      </c>
      <c r="Q763" s="95" t="str">
        <f ca="1"/>
        <v>Trừ 2 biên mỗi bên vào 2 in =balane marter</v>
      </c>
      <c r="R763" s="96">
        <f ca="1"/>
        <v>46135</v>
      </c>
    </row>
    <row r="764" spans="1:18" s="90" customFormat="1" ht="55" customHeight="1" x14ac:dyDescent="0.35">
      <c r="A764" s="94" t="str">
        <f ca="1"/>
        <v>S25V10883</v>
      </c>
      <c r="B764" s="94" t="str">
        <f ca="1"/>
        <v>PKEK25VE0010883A</v>
      </c>
      <c r="C764" s="94" t="str">
        <f ca="1"/>
        <v>LAGOON</v>
      </c>
      <c r="D764" s="94" t="str">
        <f ca="1"/>
        <v>457</v>
      </c>
      <c r="E764" s="94" t="str">
        <f ca="1"/>
        <v>FV012283102A</v>
      </c>
      <c r="F764" s="94" t="str">
        <f ca="1"/>
        <v>C1500427</v>
      </c>
      <c r="G764" s="94" t="str">
        <f ca="1"/>
        <v>B</v>
      </c>
      <c r="H764" s="94" t="str">
        <f ca="1"/>
        <v>CF003160841</v>
      </c>
      <c r="I764" s="94" t="str">
        <f ca="1"/>
        <v>A</v>
      </c>
      <c r="J764" s="94">
        <f ca="1"/>
        <v>21.5</v>
      </c>
      <c r="K764" s="94"/>
      <c r="L764" s="94">
        <f ca="1"/>
        <v>77.760000000000005</v>
      </c>
      <c r="M764" s="94" t="str">
        <f ca="1"/>
        <v>63/65"</v>
      </c>
      <c r="N764" s="94">
        <f ca="1"/>
        <v>63</v>
      </c>
      <c r="O764" s="94" t="str">
        <f ca="1"/>
        <v/>
      </c>
      <c r="P764" s="95" t="str">
        <f ca="1"/>
        <v>Ma sát biên phải 1in= khác màu 2 biên 2in mỗi bên</v>
      </c>
      <c r="Q764" s="95" t="str">
        <f ca="1"/>
        <v>Trừ 2 biên mỗi bên vào 2 in =balane marter</v>
      </c>
      <c r="R764" s="96">
        <f ca="1"/>
        <v>46135</v>
      </c>
    </row>
    <row r="765" spans="1:18" s="90" customFormat="1" ht="55" customHeight="1" x14ac:dyDescent="0.35">
      <c r="A765" s="94" t="str">
        <f ca="1"/>
        <v>S25V10883</v>
      </c>
      <c r="B765" s="94" t="str">
        <f ca="1"/>
        <v>PKEK25VE0010883A</v>
      </c>
      <c r="C765" s="94" t="str">
        <f ca="1"/>
        <v>LAGOON</v>
      </c>
      <c r="D765" s="94" t="str">
        <f ca="1"/>
        <v>457</v>
      </c>
      <c r="E765" s="94" t="str">
        <f ca="1"/>
        <v>FV012283102A</v>
      </c>
      <c r="F765" s="94" t="str">
        <f ca="1"/>
        <v>C1500427</v>
      </c>
      <c r="G765" s="94" t="str">
        <f ca="1"/>
        <v>B</v>
      </c>
      <c r="H765" s="94" t="str">
        <f ca="1"/>
        <v>CF003160842</v>
      </c>
      <c r="I765" s="94" t="str">
        <f ca="1"/>
        <v>A</v>
      </c>
      <c r="J765" s="94">
        <f ca="1"/>
        <v>21.7</v>
      </c>
      <c r="K765" s="94"/>
      <c r="L765" s="94">
        <f ca="1"/>
        <v>78.489999999999995</v>
      </c>
      <c r="M765" s="94" t="str">
        <f ca="1"/>
        <v>63/65"</v>
      </c>
      <c r="N765" s="94">
        <f ca="1"/>
        <v>63</v>
      </c>
      <c r="O765" s="94" t="str">
        <f ca="1"/>
        <v>Hole (KN) [针织破洞]</v>
      </c>
      <c r="P765" s="95" t="str">
        <f ca="1"/>
        <v>Ma sát biên phải 1in= khác màu 2 biên 2in mỗi bên</v>
      </c>
      <c r="Q765" s="95" t="str">
        <f ca="1"/>
        <v>Trừ 2 biên mỗi bên vào 2 in =balane marter</v>
      </c>
      <c r="R765" s="96">
        <f ca="1"/>
        <v>46135</v>
      </c>
    </row>
    <row r="766" spans="1:18" s="90" customFormat="1" ht="55" customHeight="1" x14ac:dyDescent="0.35">
      <c r="A766" s="94" t="str">
        <f ca="1"/>
        <v>S25V10883</v>
      </c>
      <c r="B766" s="94" t="str">
        <f ca="1"/>
        <v>PKEK25VE0010883A</v>
      </c>
      <c r="C766" s="94" t="str">
        <f ca="1"/>
        <v>LAGOON</v>
      </c>
      <c r="D766" s="94" t="str">
        <f ca="1"/>
        <v>457</v>
      </c>
      <c r="E766" s="94" t="str">
        <f ca="1"/>
        <v>FV012283102A</v>
      </c>
      <c r="F766" s="94" t="str">
        <f ca="1"/>
        <v>C1500427</v>
      </c>
      <c r="G766" s="94" t="str">
        <f ca="1"/>
        <v>B</v>
      </c>
      <c r="H766" s="94" t="str">
        <f ca="1"/>
        <v>CF003160843</v>
      </c>
      <c r="I766" s="94" t="str">
        <f ca="1"/>
        <v>A</v>
      </c>
      <c r="J766" s="94">
        <f ca="1"/>
        <v>23.3</v>
      </c>
      <c r="K766" s="94"/>
      <c r="L766" s="94">
        <f ca="1"/>
        <v>84.27</v>
      </c>
      <c r="M766" s="94" t="str">
        <f ca="1"/>
        <v>63/65"</v>
      </c>
      <c r="N766" s="94">
        <f ca="1"/>
        <v>63</v>
      </c>
      <c r="O766" s="94" t="str">
        <f ca="1"/>
        <v>White mark [白印]</v>
      </c>
      <c r="P766" s="95" t="str">
        <f ca="1"/>
        <v>Ma sát biên phải 1in= khác màu 2 biên 2in mỗi bên</v>
      </c>
      <c r="Q766" s="95" t="str">
        <f ca="1"/>
        <v>Trừ 2 biên mỗi bên vào 2 in =balane marter</v>
      </c>
      <c r="R766" s="96">
        <f ca="1"/>
        <v>46135</v>
      </c>
    </row>
    <row r="767" spans="1:18" s="90" customFormat="1" ht="55" customHeight="1" x14ac:dyDescent="0.35">
      <c r="A767" s="94" t="str">
        <f ca="1"/>
        <v>S25V10883</v>
      </c>
      <c r="B767" s="94" t="str">
        <f ca="1"/>
        <v>PKEK25VE0010883A</v>
      </c>
      <c r="C767" s="94" t="str">
        <f ca="1"/>
        <v>LAGOON</v>
      </c>
      <c r="D767" s="94" t="str">
        <f ca="1"/>
        <v>457</v>
      </c>
      <c r="E767" s="94" t="str">
        <f ca="1"/>
        <v>FV012283102A</v>
      </c>
      <c r="F767" s="94" t="str">
        <f ca="1"/>
        <v>C1500427</v>
      </c>
      <c r="G767" s="94" t="str">
        <f ca="1"/>
        <v>B</v>
      </c>
      <c r="H767" s="94" t="str">
        <f ca="1"/>
        <v>CF003160844</v>
      </c>
      <c r="I767" s="94" t="str">
        <f ca="1"/>
        <v>A</v>
      </c>
      <c r="J767" s="94">
        <f ca="1"/>
        <v>22.8</v>
      </c>
      <c r="K767" s="94"/>
      <c r="L767" s="94">
        <f ca="1"/>
        <v>82.47</v>
      </c>
      <c r="M767" s="94" t="str">
        <f ca="1"/>
        <v>63/65"</v>
      </c>
      <c r="N767" s="94">
        <f ca="1"/>
        <v>63</v>
      </c>
      <c r="O767" s="94" t="str">
        <f ca="1"/>
        <v>White mark [白印]</v>
      </c>
      <c r="P767" s="95" t="str">
        <f ca="1"/>
        <v>Ma sát biên phải 1in= khác màu 2 biên 2in mỗi bên</v>
      </c>
      <c r="Q767" s="95" t="str">
        <f ca="1"/>
        <v>Trừ 2 biên mỗi bên vào 2 in =balane marter</v>
      </c>
      <c r="R767" s="96">
        <f ca="1"/>
        <v>46135</v>
      </c>
    </row>
    <row r="768" spans="1:18" s="90" customFormat="1" ht="55" customHeight="1" x14ac:dyDescent="0.35">
      <c r="A768" s="94" t="str">
        <f ca="1"/>
        <v>S25V10883</v>
      </c>
      <c r="B768" s="94" t="str">
        <f ca="1"/>
        <v>PKEK25VE0010883A</v>
      </c>
      <c r="C768" s="94" t="str">
        <f ca="1"/>
        <v>LAGOON</v>
      </c>
      <c r="D768" s="94" t="str">
        <f ca="1"/>
        <v>457</v>
      </c>
      <c r="E768" s="94" t="str">
        <f ca="1"/>
        <v>FV012283102A</v>
      </c>
      <c r="F768" s="94" t="str">
        <f ca="1"/>
        <v>C1500427</v>
      </c>
      <c r="G768" s="94" t="str">
        <f ca="1"/>
        <v>B</v>
      </c>
      <c r="H768" s="94" t="str">
        <f ca="1"/>
        <v>CF003160845</v>
      </c>
      <c r="I768" s="94" t="str">
        <f ca="1"/>
        <v>A</v>
      </c>
      <c r="J768" s="94">
        <f ca="1"/>
        <v>23</v>
      </c>
      <c r="K768" s="94"/>
      <c r="L768" s="94">
        <f ca="1"/>
        <v>83.19</v>
      </c>
      <c r="M768" s="94" t="str">
        <f ca="1"/>
        <v>63/65"</v>
      </c>
      <c r="N768" s="94">
        <f ca="1"/>
        <v>63</v>
      </c>
      <c r="O768" s="94" t="str">
        <f ca="1"/>
        <v>White mark [白印]</v>
      </c>
      <c r="P768" s="95" t="str">
        <f ca="1"/>
        <v>Ma sát biên phải 1in= khác màu 2 biên 2in mỗi bên</v>
      </c>
      <c r="Q768" s="95" t="str">
        <f ca="1"/>
        <v>Trừ 2 biên mỗi bên vào 2 in =balane marter</v>
      </c>
      <c r="R768" s="96">
        <f ca="1"/>
        <v>46135</v>
      </c>
    </row>
    <row r="769" spans="1:18" s="90" customFormat="1" ht="55" customHeight="1" x14ac:dyDescent="0.35">
      <c r="A769" s="94" t="str">
        <f ca="1"/>
        <v>S25V10883</v>
      </c>
      <c r="B769" s="94" t="str">
        <f ca="1"/>
        <v>PKEK25VE0010883A</v>
      </c>
      <c r="C769" s="94" t="str">
        <f ca="1"/>
        <v>LAGOON</v>
      </c>
      <c r="D769" s="94" t="str">
        <f ca="1"/>
        <v>457</v>
      </c>
      <c r="E769" s="94" t="str">
        <f ca="1"/>
        <v>FV012283102A</v>
      </c>
      <c r="F769" s="94" t="str">
        <f ca="1"/>
        <v>C1500427</v>
      </c>
      <c r="G769" s="94" t="str">
        <f ca="1"/>
        <v>B</v>
      </c>
      <c r="H769" s="94" t="str">
        <f ca="1"/>
        <v>CF003160846</v>
      </c>
      <c r="I769" s="94" t="str">
        <f ca="1"/>
        <v>A</v>
      </c>
      <c r="J769" s="94">
        <f ca="1"/>
        <v>21.6</v>
      </c>
      <c r="K769" s="94"/>
      <c r="L769" s="94">
        <f ca="1"/>
        <v>78.13</v>
      </c>
      <c r="M769" s="94" t="str">
        <f ca="1"/>
        <v>63/65"</v>
      </c>
      <c r="N769" s="94">
        <f ca="1"/>
        <v>63</v>
      </c>
      <c r="O769" s="94" t="str">
        <f ca="1"/>
        <v/>
      </c>
      <c r="P769" s="95" t="str">
        <f ca="1"/>
        <v>Ma sát biên phải 1in= khác màu 2 biên 2in mỗi bên</v>
      </c>
      <c r="Q769" s="95" t="str">
        <f ca="1"/>
        <v>Trừ 2 biên mỗi bên vào 2 in =balane marter</v>
      </c>
      <c r="R769" s="96">
        <f ca="1"/>
        <v>46135</v>
      </c>
    </row>
    <row r="770" spans="1:18" s="90" customFormat="1" ht="55" customHeight="1" x14ac:dyDescent="0.35">
      <c r="A770" s="94" t="str">
        <f ca="1"/>
        <v>S25V10883</v>
      </c>
      <c r="B770" s="94" t="str">
        <f ca="1"/>
        <v>PKEK25VE0010883A</v>
      </c>
      <c r="C770" s="94" t="str">
        <f ca="1"/>
        <v>LAGOON</v>
      </c>
      <c r="D770" s="94" t="str">
        <f ca="1"/>
        <v>457</v>
      </c>
      <c r="E770" s="94" t="str">
        <f ca="1"/>
        <v>FV012283102A</v>
      </c>
      <c r="F770" s="94" t="str">
        <f ca="1"/>
        <v>C1500427</v>
      </c>
      <c r="G770" s="94" t="str">
        <f ca="1"/>
        <v>B</v>
      </c>
      <c r="H770" s="94" t="str">
        <f ca="1"/>
        <v>CF003160847</v>
      </c>
      <c r="I770" s="94" t="str">
        <f ca="1"/>
        <v>A</v>
      </c>
      <c r="J770" s="94">
        <f ca="1"/>
        <v>20.8</v>
      </c>
      <c r="K770" s="94"/>
      <c r="L770" s="94">
        <f ca="1"/>
        <v>75.23</v>
      </c>
      <c r="M770" s="94" t="str">
        <f ca="1"/>
        <v>63/65"</v>
      </c>
      <c r="N770" s="94">
        <f ca="1"/>
        <v>63</v>
      </c>
      <c r="O770" s="94" t="str">
        <f ca="1"/>
        <v>White mark [白印]</v>
      </c>
      <c r="P770" s="95" t="str">
        <f ca="1"/>
        <v>Ma sát biên phải 1in= khác màu 2 biên 2in mỗi bên</v>
      </c>
      <c r="Q770" s="95" t="str">
        <f ca="1"/>
        <v>Trừ 2 biên mỗi bên vào 2 in =balane marter</v>
      </c>
      <c r="R770" s="96">
        <f ca="1"/>
        <v>46135</v>
      </c>
    </row>
    <row r="771" spans="1:18" s="90" customFormat="1" ht="55" customHeight="1" x14ac:dyDescent="0.35">
      <c r="A771" s="94" t="str">
        <f ca="1"/>
        <v>S25V10883</v>
      </c>
      <c r="B771" s="94" t="str">
        <f ca="1"/>
        <v>PKEK25VE0010883A</v>
      </c>
      <c r="C771" s="94" t="str">
        <f ca="1"/>
        <v>LAGOON</v>
      </c>
      <c r="D771" s="94" t="str">
        <f ca="1"/>
        <v>457</v>
      </c>
      <c r="E771" s="94" t="str">
        <f ca="1"/>
        <v>FV012283102A</v>
      </c>
      <c r="F771" s="94" t="str">
        <f ca="1"/>
        <v>C1500427</v>
      </c>
      <c r="G771" s="94" t="str">
        <f ca="1"/>
        <v>B</v>
      </c>
      <c r="H771" s="94" t="str">
        <f ca="1"/>
        <v>CF003160848</v>
      </c>
      <c r="I771" s="94" t="str">
        <f ca="1"/>
        <v>A</v>
      </c>
      <c r="J771" s="94">
        <f ca="1"/>
        <v>21.8</v>
      </c>
      <c r="K771" s="94"/>
      <c r="L771" s="94">
        <f ca="1"/>
        <v>78.849999999999994</v>
      </c>
      <c r="M771" s="94" t="str">
        <f ca="1"/>
        <v>63/65"</v>
      </c>
      <c r="N771" s="94">
        <f ca="1"/>
        <v>63</v>
      </c>
      <c r="O771" s="94" t="str">
        <f ca="1"/>
        <v>White mark [白印]</v>
      </c>
      <c r="P771" s="95" t="str">
        <f ca="1"/>
        <v>Ma sát biên phải 1in= khác màu 2 biên 2in mỗi bên</v>
      </c>
      <c r="Q771" s="95" t="str">
        <f ca="1"/>
        <v>Trừ 2 biên mỗi bên vào 2 in =balane marter</v>
      </c>
      <c r="R771" s="96">
        <f ca="1"/>
        <v>46135</v>
      </c>
    </row>
    <row r="772" spans="1:18" s="90" customFormat="1" ht="55" customHeight="1" x14ac:dyDescent="0.35">
      <c r="A772" s="94" t="str">
        <f ca="1"/>
        <v>S25V10883</v>
      </c>
      <c r="B772" s="94" t="str">
        <f ca="1"/>
        <v>PKEK25VE0010883A</v>
      </c>
      <c r="C772" s="94" t="str">
        <f ca="1"/>
        <v>LAGOON</v>
      </c>
      <c r="D772" s="94" t="str">
        <f ca="1"/>
        <v>457</v>
      </c>
      <c r="E772" s="94" t="str">
        <f ca="1"/>
        <v>FV012283102A</v>
      </c>
      <c r="F772" s="94" t="str">
        <f ca="1"/>
        <v>C1500427</v>
      </c>
      <c r="G772" s="94" t="str">
        <f ca="1"/>
        <v>B</v>
      </c>
      <c r="H772" s="94" t="str">
        <f ca="1"/>
        <v>CF003160849</v>
      </c>
      <c r="I772" s="94" t="str">
        <f ca="1"/>
        <v>A</v>
      </c>
      <c r="J772" s="94">
        <f ca="1"/>
        <v>25.3</v>
      </c>
      <c r="K772" s="94"/>
      <c r="L772" s="94">
        <f ca="1"/>
        <v>91.51</v>
      </c>
      <c r="M772" s="94" t="str">
        <f ca="1"/>
        <v>63/65"</v>
      </c>
      <c r="N772" s="94">
        <f ca="1"/>
        <v>63</v>
      </c>
      <c r="O772" s="94" t="str">
        <f ca="1"/>
        <v>Friction Mark (PD) [匹染擦痕]</v>
      </c>
      <c r="P772" s="95" t="str">
        <f ca="1"/>
        <v>Ma sát biên phải 1in= khác màu 2 biên 2in mỗi bên</v>
      </c>
      <c r="Q772" s="95" t="str">
        <f ca="1"/>
        <v>Trừ 2 biên mỗi bên vào 2 in =balane marter</v>
      </c>
      <c r="R772" s="96">
        <f ca="1"/>
        <v>46135</v>
      </c>
    </row>
    <row r="773" spans="1:18" s="90" customFormat="1" ht="55" customHeight="1" x14ac:dyDescent="0.35">
      <c r="A773" s="94" t="str">
        <f ca="1"/>
        <v>S25V10883</v>
      </c>
      <c r="B773" s="94" t="str">
        <f ca="1"/>
        <v>PKEK25VE0010883A</v>
      </c>
      <c r="C773" s="94" t="str">
        <f ca="1"/>
        <v>LAGOON</v>
      </c>
      <c r="D773" s="94" t="str">
        <f ca="1"/>
        <v>457</v>
      </c>
      <c r="E773" s="94" t="str">
        <f ca="1"/>
        <v>FV012283102A</v>
      </c>
      <c r="F773" s="94" t="str">
        <f ca="1"/>
        <v>C1500427</v>
      </c>
      <c r="G773" s="94" t="str">
        <f ca="1"/>
        <v>B</v>
      </c>
      <c r="H773" s="94" t="str">
        <f ca="1"/>
        <v>CF003160850</v>
      </c>
      <c r="I773" s="94" t="str">
        <f ca="1"/>
        <v>A</v>
      </c>
      <c r="J773" s="94">
        <f ca="1"/>
        <v>23.5</v>
      </c>
      <c r="K773" s="94"/>
      <c r="L773" s="94">
        <f ca="1"/>
        <v>85</v>
      </c>
      <c r="M773" s="94" t="str">
        <f ca="1"/>
        <v>63/65"</v>
      </c>
      <c r="N773" s="94">
        <f ca="1"/>
        <v>63</v>
      </c>
      <c r="O773" s="94" t="str">
        <f ca="1"/>
        <v>Hole (KN) [针织破洞]</v>
      </c>
      <c r="P773" s="95" t="str">
        <f ca="1"/>
        <v>Ma sát biên phải 1in= khác màu 2 biên 2in mỗi bên</v>
      </c>
      <c r="Q773" s="95" t="str">
        <f ca="1"/>
        <v>Trừ 2 biên mỗi bên vào 2 in =balane marter</v>
      </c>
      <c r="R773" s="96">
        <f ca="1"/>
        <v>46135</v>
      </c>
    </row>
    <row r="774" spans="1:18" s="90" customFormat="1" ht="55" customHeight="1" x14ac:dyDescent="0.35">
      <c r="A774" s="94" t="str">
        <f ca="1"/>
        <v>S25V10883</v>
      </c>
      <c r="B774" s="94" t="str">
        <f ca="1"/>
        <v>PKEK25VE0010883A</v>
      </c>
      <c r="C774" s="94" t="str">
        <f ca="1"/>
        <v>LAGOON</v>
      </c>
      <c r="D774" s="94" t="str">
        <f ca="1"/>
        <v>457</v>
      </c>
      <c r="E774" s="94" t="str">
        <f ca="1"/>
        <v>FV012283102A</v>
      </c>
      <c r="F774" s="94" t="str">
        <f ca="1"/>
        <v>C1500427</v>
      </c>
      <c r="G774" s="94" t="str">
        <f ca="1"/>
        <v>B</v>
      </c>
      <c r="H774" s="94" t="str">
        <f ca="1"/>
        <v>CF003160851</v>
      </c>
      <c r="I774" s="94" t="str">
        <f ca="1"/>
        <v>A</v>
      </c>
      <c r="J774" s="94">
        <f ca="1"/>
        <v>22.4</v>
      </c>
      <c r="K774" s="94"/>
      <c r="L774" s="94">
        <f ca="1"/>
        <v>81.02</v>
      </c>
      <c r="M774" s="94" t="str">
        <f ca="1"/>
        <v>63/65"</v>
      </c>
      <c r="N774" s="94">
        <f ca="1"/>
        <v>63</v>
      </c>
      <c r="O774" s="94" t="str">
        <f ca="1"/>
        <v>White mark [白印]</v>
      </c>
      <c r="P774" s="95" t="str">
        <f ca="1"/>
        <v>Ma sát biên phải 1in= khác màu 2 biên 2in mỗi bên</v>
      </c>
      <c r="Q774" s="95" t="str">
        <f ca="1"/>
        <v>Trừ 2 biên mỗi bên vào 2 in =balane marter</v>
      </c>
      <c r="R774" s="96">
        <f ca="1"/>
        <v>46135</v>
      </c>
    </row>
    <row r="775" spans="1:18" s="90" customFormat="1" ht="55" customHeight="1" x14ac:dyDescent="0.35">
      <c r="A775" s="94" t="str">
        <f ca="1"/>
        <v>S25V10883</v>
      </c>
      <c r="B775" s="94" t="str">
        <f ca="1"/>
        <v>PKEK25VE0010883A</v>
      </c>
      <c r="C775" s="94" t="str">
        <f ca="1"/>
        <v>LAGOON</v>
      </c>
      <c r="D775" s="94" t="str">
        <f ca="1"/>
        <v>457</v>
      </c>
      <c r="E775" s="94" t="str">
        <f ca="1"/>
        <v>FV012283102A</v>
      </c>
      <c r="F775" s="94" t="str">
        <f ca="1"/>
        <v>C1500427</v>
      </c>
      <c r="G775" s="94" t="str">
        <f ca="1"/>
        <v>B</v>
      </c>
      <c r="H775" s="94" t="str">
        <f ca="1"/>
        <v>CF003160852</v>
      </c>
      <c r="I775" s="94" t="str">
        <f ca="1"/>
        <v>A</v>
      </c>
      <c r="J775" s="94">
        <f ca="1"/>
        <v>22.2</v>
      </c>
      <c r="K775" s="94"/>
      <c r="L775" s="94">
        <f ca="1"/>
        <v>80.3</v>
      </c>
      <c r="M775" s="94" t="str">
        <f ca="1"/>
        <v>63/65"</v>
      </c>
      <c r="N775" s="94">
        <f ca="1"/>
        <v>63</v>
      </c>
      <c r="O775" s="94" t="str">
        <f ca="1"/>
        <v>Hole (KN) [针织破洞]</v>
      </c>
      <c r="P775" s="95" t="str">
        <f ca="1"/>
        <v>Ma sát biên phải 1in= khác màu 2 biên 2in mỗi bên</v>
      </c>
      <c r="Q775" s="95" t="str">
        <f ca="1"/>
        <v>Trừ 2 biên mỗi bên vào 2 in =balane marter</v>
      </c>
      <c r="R775" s="96">
        <f ca="1"/>
        <v>46135</v>
      </c>
    </row>
    <row r="776" spans="1:18" s="90" customFormat="1" ht="55" customHeight="1" x14ac:dyDescent="0.35">
      <c r="A776" s="94" t="str">
        <f ca="1"/>
        <v>S25V10883</v>
      </c>
      <c r="B776" s="94" t="str">
        <f ca="1"/>
        <v>PKEK25VE0010883A</v>
      </c>
      <c r="C776" s="94" t="str">
        <f ca="1"/>
        <v>LAGOON</v>
      </c>
      <c r="D776" s="94" t="str">
        <f ca="1"/>
        <v>457</v>
      </c>
      <c r="E776" s="94" t="str">
        <f ca="1"/>
        <v>FV012283103A</v>
      </c>
      <c r="F776" s="94" t="str">
        <f ca="1"/>
        <v>C1500427</v>
      </c>
      <c r="G776" s="94" t="str">
        <f ca="1"/>
        <v>B</v>
      </c>
      <c r="H776" s="94" t="str">
        <f ca="1"/>
        <v>CF003166066</v>
      </c>
      <c r="I776" s="94" t="str">
        <f ca="1"/>
        <v>A</v>
      </c>
      <c r="J776" s="94">
        <f ca="1"/>
        <v>26.2</v>
      </c>
      <c r="K776" s="94"/>
      <c r="L776" s="94">
        <f ca="1"/>
        <v>92.71</v>
      </c>
      <c r="M776" s="94" t="str">
        <f ca="1"/>
        <v>63/65"</v>
      </c>
      <c r="N776" s="94">
        <f ca="1"/>
        <v>64</v>
      </c>
      <c r="O776" s="94" t="str">
        <f ca="1"/>
        <v>White mark [白印]</v>
      </c>
      <c r="P776" s="95" t="str">
        <f ca="1"/>
        <v/>
      </c>
      <c r="Q776" s="95" t="str">
        <f ca="1"/>
        <v/>
      </c>
      <c r="R776" s="96">
        <f ca="1"/>
        <v>46137</v>
      </c>
    </row>
    <row r="777" spans="1:18" s="90" customFormat="1" ht="55" customHeight="1" x14ac:dyDescent="0.35">
      <c r="A777" s="94" t="str">
        <f ca="1"/>
        <v>S25V10883</v>
      </c>
      <c r="B777" s="94" t="str">
        <f ca="1"/>
        <v>PKEK25VE0010883A</v>
      </c>
      <c r="C777" s="94" t="str">
        <f ca="1"/>
        <v>LAGOON</v>
      </c>
      <c r="D777" s="94" t="str">
        <f ca="1"/>
        <v>457</v>
      </c>
      <c r="E777" s="94" t="str">
        <f ca="1"/>
        <v>FV012283103A</v>
      </c>
      <c r="F777" s="94" t="str">
        <f ca="1"/>
        <v>C1500427</v>
      </c>
      <c r="G777" s="94" t="str">
        <f ca="1"/>
        <v>B</v>
      </c>
      <c r="H777" s="94" t="str">
        <f ca="1"/>
        <v>CF003166067</v>
      </c>
      <c r="I777" s="94" t="str">
        <f ca="1"/>
        <v>A</v>
      </c>
      <c r="J777" s="94">
        <f ca="1"/>
        <v>23.3</v>
      </c>
      <c r="K777" s="94"/>
      <c r="L777" s="94">
        <f ca="1"/>
        <v>82.45</v>
      </c>
      <c r="M777" s="94" t="str">
        <f ca="1"/>
        <v>63/65"</v>
      </c>
      <c r="N777" s="94">
        <f ca="1"/>
        <v>64</v>
      </c>
      <c r="O777" s="94" t="str">
        <f ca="1"/>
        <v>Oil (PD) [匹染油污]</v>
      </c>
      <c r="P777" s="95" t="str">
        <f ca="1"/>
        <v/>
      </c>
      <c r="Q777" s="95" t="str">
        <f ca="1"/>
        <v/>
      </c>
      <c r="R777" s="96">
        <f ca="1"/>
        <v>46137</v>
      </c>
    </row>
    <row r="778" spans="1:18" s="90" customFormat="1" ht="55" customHeight="1" x14ac:dyDescent="0.35">
      <c r="A778" s="94" t="str">
        <f ca="1"/>
        <v>S25V10883</v>
      </c>
      <c r="B778" s="94" t="str">
        <f ca="1"/>
        <v>PKEK25VE0010883A</v>
      </c>
      <c r="C778" s="94" t="str">
        <f ca="1"/>
        <v>MOCHA</v>
      </c>
      <c r="D778" s="94" t="str">
        <f ca="1"/>
        <v>292</v>
      </c>
      <c r="E778" s="94" t="str">
        <f ca="1"/>
        <v>FV012283002</v>
      </c>
      <c r="F778" s="94" t="str">
        <f ca="1"/>
        <v>C1500427</v>
      </c>
      <c r="G778" s="94" t="str">
        <f ca="1"/>
        <v>B</v>
      </c>
      <c r="H778" s="94" t="str">
        <f ca="1"/>
        <v>CF003166235</v>
      </c>
      <c r="I778" s="94" t="str">
        <f ca="1"/>
        <v>A</v>
      </c>
      <c r="J778" s="94">
        <f ca="1"/>
        <v>22.3</v>
      </c>
      <c r="K778" s="94"/>
      <c r="L778" s="94">
        <f ca="1"/>
        <v>78.319999999999993</v>
      </c>
      <c r="M778" s="94" t="str">
        <f ca="1"/>
        <v>63/65"</v>
      </c>
      <c r="N778" s="94">
        <f ca="1"/>
        <v>63</v>
      </c>
      <c r="O778" s="94" t="str">
        <f ca="1"/>
        <v>thick yarn</v>
      </c>
      <c r="P778" s="95" t="str">
        <f ca="1"/>
        <v/>
      </c>
      <c r="Q778" s="95" t="str">
        <f ca="1"/>
        <v/>
      </c>
      <c r="R778" s="96">
        <f ca="1"/>
        <v>46137</v>
      </c>
    </row>
    <row r="779" spans="1:18" s="90" customFormat="1" ht="55" customHeight="1" x14ac:dyDescent="0.35">
      <c r="A779" s="94" t="str">
        <f ca="1"/>
        <v>S25V10883</v>
      </c>
      <c r="B779" s="94" t="str">
        <f ca="1"/>
        <v>PKEK25VE0010883A</v>
      </c>
      <c r="C779" s="94" t="str">
        <f ca="1"/>
        <v>MOCHA</v>
      </c>
      <c r="D779" s="94" t="str">
        <f ca="1"/>
        <v>292</v>
      </c>
      <c r="E779" s="94" t="str">
        <f ca="1"/>
        <v>FV012283002</v>
      </c>
      <c r="F779" s="94" t="str">
        <f ca="1"/>
        <v>C1500427</v>
      </c>
      <c r="G779" s="94" t="str">
        <f ca="1"/>
        <v>B</v>
      </c>
      <c r="H779" s="94" t="str">
        <f ca="1"/>
        <v>CF003166251</v>
      </c>
      <c r="I779" s="94" t="str">
        <f ca="1"/>
        <v>A</v>
      </c>
      <c r="J779" s="94">
        <f ca="1"/>
        <v>23.5</v>
      </c>
      <c r="K779" s="94"/>
      <c r="L779" s="94">
        <f ca="1"/>
        <v>82.54</v>
      </c>
      <c r="M779" s="94" t="str">
        <f ca="1"/>
        <v>63/65"</v>
      </c>
      <c r="N779" s="94">
        <f ca="1"/>
        <v>63</v>
      </c>
      <c r="O779" s="94" t="str">
        <f ca="1"/>
        <v>Hole (KN) [针织破洞]</v>
      </c>
      <c r="P779" s="95" t="str">
        <f ca="1"/>
        <v/>
      </c>
      <c r="Q779" s="95" t="str">
        <f ca="1"/>
        <v/>
      </c>
      <c r="R779" s="96">
        <f ca="1"/>
        <v>46137</v>
      </c>
    </row>
    <row r="780" spans="1:18" s="90" customFormat="1" ht="55" customHeight="1" x14ac:dyDescent="0.35">
      <c r="A780" s="94" t="str">
        <f ca="1"/>
        <v>S25V10883</v>
      </c>
      <c r="B780" s="94" t="str">
        <f ca="1"/>
        <v>PKEK25VE0010883A</v>
      </c>
      <c r="C780" s="94" t="str">
        <f ca="1"/>
        <v>MOCHA</v>
      </c>
      <c r="D780" s="94" t="str">
        <f ca="1"/>
        <v>292</v>
      </c>
      <c r="E780" s="94" t="str">
        <f ca="1"/>
        <v>FV012283002</v>
      </c>
      <c r="F780" s="94" t="str">
        <f ca="1"/>
        <v>C1500427</v>
      </c>
      <c r="G780" s="94" t="str">
        <f ca="1"/>
        <v>B</v>
      </c>
      <c r="H780" s="94" t="str">
        <f ca="1"/>
        <v>CF003166252</v>
      </c>
      <c r="I780" s="94" t="str">
        <f ca="1"/>
        <v>A</v>
      </c>
      <c r="J780" s="94">
        <f ca="1"/>
        <v>23.5</v>
      </c>
      <c r="K780" s="94"/>
      <c r="L780" s="94">
        <f ca="1"/>
        <v>82.54</v>
      </c>
      <c r="M780" s="94" t="str">
        <f ca="1"/>
        <v>63/65"</v>
      </c>
      <c r="N780" s="94">
        <f ca="1"/>
        <v>63</v>
      </c>
      <c r="O780" s="94" t="str">
        <f ca="1"/>
        <v/>
      </c>
      <c r="P780" s="95" t="str">
        <f ca="1"/>
        <v/>
      </c>
      <c r="Q780" s="95" t="str">
        <f ca="1"/>
        <v/>
      </c>
      <c r="R780" s="96">
        <f ca="1"/>
        <v>46137</v>
      </c>
    </row>
    <row r="781" spans="1:18" s="90" customFormat="1" ht="55" customHeight="1" x14ac:dyDescent="0.35">
      <c r="A781" s="94" t="str">
        <f ca="1"/>
        <v>S25V10883</v>
      </c>
      <c r="B781" s="94" t="str">
        <f ca="1"/>
        <v>PKEK25VE0010883A</v>
      </c>
      <c r="C781" s="94" t="str">
        <f ca="1"/>
        <v>MOCHA</v>
      </c>
      <c r="D781" s="94" t="str">
        <f ca="1"/>
        <v>292</v>
      </c>
      <c r="E781" s="94" t="str">
        <f ca="1"/>
        <v>FV012283002</v>
      </c>
      <c r="F781" s="94" t="str">
        <f ca="1"/>
        <v>C1500427</v>
      </c>
      <c r="G781" s="94" t="str">
        <f ca="1"/>
        <v>B</v>
      </c>
      <c r="H781" s="94" t="str">
        <f ca="1"/>
        <v>CF003166253</v>
      </c>
      <c r="I781" s="94" t="str">
        <f ca="1"/>
        <v>A</v>
      </c>
      <c r="J781" s="94">
        <f ca="1"/>
        <v>23.4</v>
      </c>
      <c r="K781" s="94"/>
      <c r="L781" s="94">
        <f ca="1"/>
        <v>82.19</v>
      </c>
      <c r="M781" s="94" t="str">
        <f ca="1"/>
        <v>63/65"</v>
      </c>
      <c r="N781" s="94">
        <f ca="1"/>
        <v>63</v>
      </c>
      <c r="O781" s="94" t="str">
        <f ca="1"/>
        <v>Hole (KN) [针织破洞]</v>
      </c>
      <c r="P781" s="95" t="str">
        <f ca="1"/>
        <v/>
      </c>
      <c r="Q781" s="95" t="str">
        <f ca="1"/>
        <v/>
      </c>
      <c r="R781" s="96">
        <f ca="1"/>
        <v>46137</v>
      </c>
    </row>
    <row r="782" spans="1:18" s="90" customFormat="1" ht="55" customHeight="1" x14ac:dyDescent="0.35">
      <c r="A782" s="94" t="str">
        <f ca="1"/>
        <v>S25V10883</v>
      </c>
      <c r="B782" s="94" t="str">
        <f ca="1"/>
        <v>PKEK25VE0010883A</v>
      </c>
      <c r="C782" s="94" t="str">
        <f ca="1"/>
        <v>MOCHA</v>
      </c>
      <c r="D782" s="94" t="str">
        <f ca="1"/>
        <v>292</v>
      </c>
      <c r="E782" s="94" t="str">
        <f ca="1"/>
        <v>FV012283002</v>
      </c>
      <c r="F782" s="94" t="str">
        <f ca="1"/>
        <v>C1500427</v>
      </c>
      <c r="G782" s="94" t="str">
        <f ca="1"/>
        <v>B</v>
      </c>
      <c r="H782" s="94" t="str">
        <f ca="1"/>
        <v>CF003166254</v>
      </c>
      <c r="I782" s="94" t="str">
        <f ca="1"/>
        <v>A</v>
      </c>
      <c r="J782" s="94">
        <f ca="1"/>
        <v>23.4</v>
      </c>
      <c r="K782" s="94"/>
      <c r="L782" s="94">
        <f ca="1"/>
        <v>82.19</v>
      </c>
      <c r="M782" s="94" t="str">
        <f ca="1"/>
        <v>63/65"</v>
      </c>
      <c r="N782" s="94">
        <f ca="1"/>
        <v>63</v>
      </c>
      <c r="O782" s="94" t="str">
        <f ca="1"/>
        <v>Friction Mark (PD) [匹染擦痕]</v>
      </c>
      <c r="P782" s="95" t="str">
        <f ca="1"/>
        <v/>
      </c>
      <c r="Q782" s="95" t="str">
        <f ca="1"/>
        <v/>
      </c>
      <c r="R782" s="96">
        <f ca="1"/>
        <v>46137</v>
      </c>
    </row>
    <row r="783" spans="1:18" s="90" customFormat="1" ht="55" customHeight="1" x14ac:dyDescent="0.35">
      <c r="A783" s="94" t="str">
        <f ca="1"/>
        <v>S25V10883</v>
      </c>
      <c r="B783" s="94" t="str">
        <f ca="1"/>
        <v>PKEK25VE0010883A</v>
      </c>
      <c r="C783" s="94" t="str">
        <f ca="1"/>
        <v>MOCHA</v>
      </c>
      <c r="D783" s="94" t="str">
        <f ca="1"/>
        <v>292</v>
      </c>
      <c r="E783" s="94" t="str">
        <f ca="1"/>
        <v>FV012283002</v>
      </c>
      <c r="F783" s="94" t="str">
        <f ca="1"/>
        <v>C1500427</v>
      </c>
      <c r="G783" s="94" t="str">
        <f ca="1"/>
        <v>B</v>
      </c>
      <c r="H783" s="94" t="str">
        <f ca="1"/>
        <v>CF003166255</v>
      </c>
      <c r="I783" s="94" t="str">
        <f ca="1"/>
        <v>A</v>
      </c>
      <c r="J783" s="94">
        <f ca="1"/>
        <v>23.6</v>
      </c>
      <c r="K783" s="94"/>
      <c r="L783" s="94">
        <f ca="1"/>
        <v>82.89</v>
      </c>
      <c r="M783" s="94" t="str">
        <f ca="1"/>
        <v>63/65"</v>
      </c>
      <c r="N783" s="94">
        <f ca="1"/>
        <v>63</v>
      </c>
      <c r="O783" s="94" t="str">
        <f ca="1"/>
        <v>Friction Mark (PD) [匹染擦痕]</v>
      </c>
      <c r="P783" s="95" t="str">
        <f ca="1"/>
        <v/>
      </c>
      <c r="Q783" s="95" t="str">
        <f ca="1"/>
        <v/>
      </c>
      <c r="R783" s="96">
        <f ca="1"/>
        <v>46137</v>
      </c>
    </row>
    <row r="784" spans="1:18" s="90" customFormat="1" ht="55" customHeight="1" x14ac:dyDescent="0.35">
      <c r="A784" s="94" t="str">
        <f ca="1"/>
        <v>S25V10883</v>
      </c>
      <c r="B784" s="94" t="str">
        <f ca="1"/>
        <v>PKEK25VE0010883A</v>
      </c>
      <c r="C784" s="94" t="str">
        <f ca="1"/>
        <v>MOCHA</v>
      </c>
      <c r="D784" s="94" t="str">
        <f ca="1"/>
        <v>292</v>
      </c>
      <c r="E784" s="94" t="str">
        <f ca="1"/>
        <v>FV012283002</v>
      </c>
      <c r="F784" s="94" t="str">
        <f ca="1"/>
        <v>C1500427</v>
      </c>
      <c r="G784" s="94" t="str">
        <f ca="1"/>
        <v>B</v>
      </c>
      <c r="H784" s="94" t="str">
        <f ca="1"/>
        <v>CF003166256</v>
      </c>
      <c r="I784" s="94" t="str">
        <f ca="1"/>
        <v>A</v>
      </c>
      <c r="J784" s="94">
        <f ca="1"/>
        <v>23.7</v>
      </c>
      <c r="K784" s="94"/>
      <c r="L784" s="94">
        <f ca="1"/>
        <v>83.24</v>
      </c>
      <c r="M784" s="94" t="str">
        <f ca="1"/>
        <v>63/65"</v>
      </c>
      <c r="N784" s="94">
        <f ca="1"/>
        <v>63</v>
      </c>
      <c r="O784" s="94" t="str">
        <f ca="1"/>
        <v>Friction Mark (PD) [匹染擦痕]</v>
      </c>
      <c r="P784" s="95" t="str">
        <f ca="1"/>
        <v/>
      </c>
      <c r="Q784" s="95" t="str">
        <f ca="1"/>
        <v/>
      </c>
      <c r="R784" s="96">
        <f ca="1"/>
        <v>46137</v>
      </c>
    </row>
    <row r="785" spans="1:18" s="90" customFormat="1" ht="55" customHeight="1" x14ac:dyDescent="0.35">
      <c r="A785" s="94" t="str">
        <f ca="1"/>
        <v>S25V10883</v>
      </c>
      <c r="B785" s="94" t="str">
        <f ca="1"/>
        <v>PKEK25VE0010883A</v>
      </c>
      <c r="C785" s="94" t="str">
        <f ca="1"/>
        <v>MOCHA</v>
      </c>
      <c r="D785" s="94" t="str">
        <f ca="1"/>
        <v>292</v>
      </c>
      <c r="E785" s="94" t="str">
        <f ca="1"/>
        <v>FV012283002</v>
      </c>
      <c r="F785" s="94" t="str">
        <f ca="1"/>
        <v>C1500427</v>
      </c>
      <c r="G785" s="94" t="str">
        <f ca="1"/>
        <v>B</v>
      </c>
      <c r="H785" s="94" t="str">
        <f ca="1"/>
        <v>CF003166257</v>
      </c>
      <c r="I785" s="94" t="str">
        <f ca="1"/>
        <v>A</v>
      </c>
      <c r="J785" s="94">
        <f ca="1"/>
        <v>26.4</v>
      </c>
      <c r="K785" s="94"/>
      <c r="L785" s="94">
        <f ca="1"/>
        <v>92.72</v>
      </c>
      <c r="M785" s="94" t="str">
        <f ca="1"/>
        <v>63/65"</v>
      </c>
      <c r="N785" s="94">
        <f ca="1"/>
        <v>63</v>
      </c>
      <c r="O785" s="94" t="str">
        <f ca="1"/>
        <v>Friction Mark (PD) [匹染擦痕]</v>
      </c>
      <c r="P785" s="95" t="str">
        <f ca="1"/>
        <v/>
      </c>
      <c r="Q785" s="95" t="str">
        <f ca="1"/>
        <v/>
      </c>
      <c r="R785" s="96">
        <f ca="1"/>
        <v>46137</v>
      </c>
    </row>
    <row r="786" spans="1:18" s="90" customFormat="1" ht="55" customHeight="1" x14ac:dyDescent="0.35">
      <c r="A786" s="94" t="str">
        <f ca="1"/>
        <v>S25V10883</v>
      </c>
      <c r="B786" s="94" t="str">
        <f ca="1"/>
        <v>PKEK25VE0010883A</v>
      </c>
      <c r="C786" s="94" t="str">
        <f ca="1"/>
        <v>MOCHA</v>
      </c>
      <c r="D786" s="94" t="str">
        <f ca="1"/>
        <v>292</v>
      </c>
      <c r="E786" s="94" t="str">
        <f ca="1"/>
        <v>FV012283002</v>
      </c>
      <c r="F786" s="94" t="str">
        <f ca="1"/>
        <v>C1500427</v>
      </c>
      <c r="G786" s="94" t="str">
        <f ca="1"/>
        <v>B</v>
      </c>
      <c r="H786" s="94" t="str">
        <f ca="1"/>
        <v>CF003166258</v>
      </c>
      <c r="I786" s="94" t="str">
        <f ca="1"/>
        <v>A</v>
      </c>
      <c r="J786" s="94">
        <f ca="1"/>
        <v>23.4</v>
      </c>
      <c r="K786" s="94"/>
      <c r="L786" s="94">
        <f ca="1"/>
        <v>82.19</v>
      </c>
      <c r="M786" s="94" t="str">
        <f ca="1"/>
        <v>63/65"</v>
      </c>
      <c r="N786" s="94">
        <f ca="1"/>
        <v>63</v>
      </c>
      <c r="O786" s="94" t="str">
        <f ca="1"/>
        <v>Friction Mark (PD) [匹染擦痕]</v>
      </c>
      <c r="P786" s="95" t="str">
        <f ca="1"/>
        <v/>
      </c>
      <c r="Q786" s="95" t="str">
        <f ca="1"/>
        <v/>
      </c>
      <c r="R786" s="96">
        <f ca="1"/>
        <v>46137</v>
      </c>
    </row>
    <row r="787" spans="1:18" s="90" customFormat="1" ht="55" customHeight="1" x14ac:dyDescent="0.35">
      <c r="A787" s="94" t="str">
        <f ca="1"/>
        <v>S25V10883</v>
      </c>
      <c r="B787" s="94" t="str">
        <f ca="1"/>
        <v>PKEK25VE0010883A</v>
      </c>
      <c r="C787" s="94" t="str">
        <f ca="1"/>
        <v>MOCHA</v>
      </c>
      <c r="D787" s="94" t="str">
        <f ca="1"/>
        <v>292</v>
      </c>
      <c r="E787" s="94" t="str">
        <f ca="1"/>
        <v>FV012283002</v>
      </c>
      <c r="F787" s="94" t="str">
        <f ca="1"/>
        <v>C1500427</v>
      </c>
      <c r="G787" s="94" t="str">
        <f ca="1"/>
        <v>B</v>
      </c>
      <c r="H787" s="94" t="str">
        <f ca="1"/>
        <v>CF003166259</v>
      </c>
      <c r="I787" s="94" t="str">
        <f ca="1"/>
        <v>A</v>
      </c>
      <c r="J787" s="94">
        <f ca="1"/>
        <v>23.8</v>
      </c>
      <c r="K787" s="94"/>
      <c r="L787" s="94">
        <f ca="1"/>
        <v>83.59</v>
      </c>
      <c r="M787" s="94" t="str">
        <f ca="1"/>
        <v>63/65"</v>
      </c>
      <c r="N787" s="94">
        <f ca="1"/>
        <v>63</v>
      </c>
      <c r="O787" s="94" t="str">
        <f ca="1"/>
        <v/>
      </c>
      <c r="P787" s="95" t="str">
        <f ca="1"/>
        <v/>
      </c>
      <c r="Q787" s="95" t="str">
        <f ca="1"/>
        <v/>
      </c>
      <c r="R787" s="96">
        <f ca="1"/>
        <v>46137</v>
      </c>
    </row>
    <row r="788" spans="1:18" s="90" customFormat="1" ht="55" customHeight="1" x14ac:dyDescent="0.35">
      <c r="A788" s="94" t="str">
        <f ca="1"/>
        <v>S25V10883</v>
      </c>
      <c r="B788" s="94" t="str">
        <f ca="1"/>
        <v>PKEK25VE0010883A</v>
      </c>
      <c r="C788" s="94" t="str">
        <f ca="1"/>
        <v>MOCHA</v>
      </c>
      <c r="D788" s="94" t="str">
        <f ca="1"/>
        <v>292</v>
      </c>
      <c r="E788" s="94" t="str">
        <f ca="1"/>
        <v>FV012283002</v>
      </c>
      <c r="F788" s="94" t="str">
        <f ca="1"/>
        <v>C1500427</v>
      </c>
      <c r="G788" s="94" t="str">
        <f ca="1"/>
        <v>B</v>
      </c>
      <c r="H788" s="94" t="str">
        <f ca="1"/>
        <v>CF003166260</v>
      </c>
      <c r="I788" s="94" t="str">
        <f ca="1"/>
        <v>A</v>
      </c>
      <c r="J788" s="94">
        <f ca="1"/>
        <v>23.6</v>
      </c>
      <c r="K788" s="94"/>
      <c r="L788" s="94">
        <f ca="1"/>
        <v>82.89</v>
      </c>
      <c r="M788" s="94" t="str">
        <f ca="1"/>
        <v>63/65"</v>
      </c>
      <c r="N788" s="94">
        <f ca="1"/>
        <v>63</v>
      </c>
      <c r="O788" s="94" t="str">
        <f ca="1"/>
        <v/>
      </c>
      <c r="P788" s="95" t="str">
        <f ca="1"/>
        <v/>
      </c>
      <c r="Q788" s="95" t="str">
        <f ca="1"/>
        <v/>
      </c>
      <c r="R788" s="96">
        <f ca="1"/>
        <v>46137</v>
      </c>
    </row>
    <row r="789" spans="1:18" s="90" customFormat="1" ht="55" customHeight="1" x14ac:dyDescent="0.35">
      <c r="A789" s="94" t="str">
        <f ca="1"/>
        <v>S25V10883</v>
      </c>
      <c r="B789" s="94" t="str">
        <f ca="1"/>
        <v>PKEK25VE0010883A</v>
      </c>
      <c r="C789" s="94" t="str">
        <f ca="1"/>
        <v>MOCHA</v>
      </c>
      <c r="D789" s="94" t="str">
        <f ca="1"/>
        <v>292</v>
      </c>
      <c r="E789" s="94" t="str">
        <f ca="1"/>
        <v>FV012283002</v>
      </c>
      <c r="F789" s="94" t="str">
        <f ca="1"/>
        <v>C1500427</v>
      </c>
      <c r="G789" s="94" t="str">
        <f ca="1"/>
        <v>B</v>
      </c>
      <c r="H789" s="94" t="str">
        <f ca="1"/>
        <v>CF003166261</v>
      </c>
      <c r="I789" s="94" t="str">
        <f ca="1"/>
        <v>A</v>
      </c>
      <c r="J789" s="94">
        <f ca="1"/>
        <v>23.5</v>
      </c>
      <c r="K789" s="94"/>
      <c r="L789" s="94">
        <f ca="1"/>
        <v>82.54</v>
      </c>
      <c r="M789" s="94" t="str">
        <f ca="1"/>
        <v>63/65"</v>
      </c>
      <c r="N789" s="94">
        <f ca="1"/>
        <v>63</v>
      </c>
      <c r="O789" s="94" t="str">
        <f ca="1"/>
        <v/>
      </c>
      <c r="P789" s="95" t="str">
        <f ca="1"/>
        <v/>
      </c>
      <c r="Q789" s="95" t="str">
        <f ca="1"/>
        <v/>
      </c>
      <c r="R789" s="96">
        <f ca="1"/>
        <v>46137</v>
      </c>
    </row>
    <row r="790" spans="1:18" s="90" customFormat="1" ht="55" customHeight="1" x14ac:dyDescent="0.35">
      <c r="A790" s="94" t="str">
        <f ca="1"/>
        <v>S25V10883</v>
      </c>
      <c r="B790" s="94" t="str">
        <f ca="1"/>
        <v>PKEK25VE0010883A</v>
      </c>
      <c r="C790" s="94" t="str">
        <f ca="1"/>
        <v>MOCHA</v>
      </c>
      <c r="D790" s="94" t="str">
        <f ca="1"/>
        <v>292</v>
      </c>
      <c r="E790" s="94" t="str">
        <f ca="1"/>
        <v>FV012283002</v>
      </c>
      <c r="F790" s="94" t="str">
        <f ca="1"/>
        <v>C1500427</v>
      </c>
      <c r="G790" s="94" t="str">
        <f ca="1"/>
        <v>B</v>
      </c>
      <c r="H790" s="94" t="str">
        <f ca="1"/>
        <v>CF003166262</v>
      </c>
      <c r="I790" s="94" t="str">
        <f ca="1"/>
        <v>A</v>
      </c>
      <c r="J790" s="94">
        <f ca="1"/>
        <v>23.4</v>
      </c>
      <c r="K790" s="94"/>
      <c r="L790" s="94">
        <f ca="1"/>
        <v>82.19</v>
      </c>
      <c r="M790" s="94" t="str">
        <f ca="1"/>
        <v>63/65"</v>
      </c>
      <c r="N790" s="94">
        <f ca="1"/>
        <v>63</v>
      </c>
      <c r="O790" s="94" t="str">
        <f ca="1"/>
        <v>Friction Mark (PD) [匹染擦痕]</v>
      </c>
      <c r="P790" s="95" t="str">
        <f ca="1"/>
        <v/>
      </c>
      <c r="Q790" s="95" t="str">
        <f ca="1"/>
        <v/>
      </c>
      <c r="R790" s="96">
        <f ca="1"/>
        <v>46137</v>
      </c>
    </row>
    <row r="791" spans="1:18" s="90" customFormat="1" ht="55" customHeight="1" x14ac:dyDescent="0.35">
      <c r="A791" s="94" t="str">
        <f ca="1"/>
        <v>S25V10883</v>
      </c>
      <c r="B791" s="94" t="str">
        <f ca="1"/>
        <v>PKEK25VE0010883A</v>
      </c>
      <c r="C791" s="94" t="str">
        <f ca="1"/>
        <v>MOCHA</v>
      </c>
      <c r="D791" s="94" t="str">
        <f ca="1"/>
        <v>292</v>
      </c>
      <c r="E791" s="94" t="str">
        <f ca="1"/>
        <v>FV012283002</v>
      </c>
      <c r="F791" s="94" t="str">
        <f ca="1"/>
        <v>C1500427</v>
      </c>
      <c r="G791" s="94" t="str">
        <f ca="1"/>
        <v>B</v>
      </c>
      <c r="H791" s="94" t="str">
        <f ca="1"/>
        <v>CF003166263</v>
      </c>
      <c r="I791" s="94" t="str">
        <f ca="1"/>
        <v>A</v>
      </c>
      <c r="J791" s="94">
        <f ca="1"/>
        <v>23.1</v>
      </c>
      <c r="K791" s="94"/>
      <c r="L791" s="94">
        <f ca="1"/>
        <v>81.13</v>
      </c>
      <c r="M791" s="94" t="str">
        <f ca="1"/>
        <v>63/65"</v>
      </c>
      <c r="N791" s="94">
        <f ca="1"/>
        <v>63</v>
      </c>
      <c r="O791" s="94" t="str">
        <f ca="1"/>
        <v>Friction Mark (PD) [匹染擦痕]</v>
      </c>
      <c r="P791" s="95" t="str">
        <f ca="1"/>
        <v/>
      </c>
      <c r="Q791" s="95" t="str">
        <f ca="1"/>
        <v/>
      </c>
      <c r="R791" s="96">
        <f ca="1"/>
        <v>46137</v>
      </c>
    </row>
    <row r="792" spans="1:18" s="90" customFormat="1" ht="55" customHeight="1" x14ac:dyDescent="0.35">
      <c r="A792" s="94" t="str">
        <f ca="1"/>
        <v>S25V10883</v>
      </c>
      <c r="B792" s="94" t="str">
        <f ca="1"/>
        <v>PKEK25VE0010883A</v>
      </c>
      <c r="C792" s="94" t="str">
        <f ca="1"/>
        <v>MOCHA</v>
      </c>
      <c r="D792" s="94" t="str">
        <f ca="1"/>
        <v>292</v>
      </c>
      <c r="E792" s="94" t="str">
        <f ca="1"/>
        <v>FV012283002</v>
      </c>
      <c r="F792" s="94" t="str">
        <f ca="1"/>
        <v>C1500427</v>
      </c>
      <c r="G792" s="94" t="str">
        <f ca="1"/>
        <v>B</v>
      </c>
      <c r="H792" s="94" t="str">
        <f ca="1"/>
        <v>CF003166264</v>
      </c>
      <c r="I792" s="94" t="str">
        <f ca="1"/>
        <v>A</v>
      </c>
      <c r="J792" s="94">
        <f ca="1"/>
        <v>22.9</v>
      </c>
      <c r="K792" s="94"/>
      <c r="L792" s="94">
        <f ca="1"/>
        <v>80.430000000000007</v>
      </c>
      <c r="M792" s="94" t="str">
        <f ca="1"/>
        <v>63/65"</v>
      </c>
      <c r="N792" s="94">
        <f ca="1"/>
        <v>63</v>
      </c>
      <c r="O792" s="94" t="str">
        <f ca="1"/>
        <v/>
      </c>
      <c r="P792" s="95" t="str">
        <f ca="1"/>
        <v/>
      </c>
      <c r="Q792" s="95" t="str">
        <f ca="1"/>
        <v/>
      </c>
      <c r="R792" s="96">
        <f ca="1"/>
        <v>46137</v>
      </c>
    </row>
    <row r="793" spans="1:18" s="90" customFormat="1" ht="55" customHeight="1" x14ac:dyDescent="0.35">
      <c r="A793" s="94" t="str">
        <f ca="1"/>
        <v>S25V10883</v>
      </c>
      <c r="B793" s="94" t="str">
        <f ca="1"/>
        <v>PKEK25VE0010883A</v>
      </c>
      <c r="C793" s="94" t="str">
        <f ca="1"/>
        <v>MOCHA</v>
      </c>
      <c r="D793" s="94" t="str">
        <f ca="1"/>
        <v>292</v>
      </c>
      <c r="E793" s="94" t="str">
        <f ca="1"/>
        <v>FV012283002</v>
      </c>
      <c r="F793" s="94" t="str">
        <f ca="1"/>
        <v>C1500427</v>
      </c>
      <c r="G793" s="94" t="str">
        <f ca="1"/>
        <v>B</v>
      </c>
      <c r="H793" s="94" t="str">
        <f ca="1"/>
        <v>CF003166461</v>
      </c>
      <c r="I793" s="94" t="str">
        <f ca="1"/>
        <v>A</v>
      </c>
      <c r="J793" s="94">
        <f ca="1"/>
        <v>22.3</v>
      </c>
      <c r="K793" s="94"/>
      <c r="L793" s="94">
        <f ca="1"/>
        <v>78.319999999999993</v>
      </c>
      <c r="M793" s="94" t="str">
        <f ca="1"/>
        <v>63/65"</v>
      </c>
      <c r="N793" s="94">
        <f ca="1"/>
        <v>63</v>
      </c>
      <c r="O793" s="94" t="str">
        <f ca="1"/>
        <v>Friction Mark (PD) [匹染擦痕]</v>
      </c>
      <c r="P793" s="95" t="str">
        <f ca="1"/>
        <v/>
      </c>
      <c r="Q793" s="95" t="str">
        <f ca="1"/>
        <v/>
      </c>
      <c r="R793" s="96">
        <f ca="1"/>
        <v>46137</v>
      </c>
    </row>
    <row r="794" spans="1:18" s="90" customFormat="1" ht="55" customHeight="1" x14ac:dyDescent="0.35">
      <c r="A794" s="94" t="str">
        <f ca="1"/>
        <v>S25V10883</v>
      </c>
      <c r="B794" s="94" t="str">
        <f ca="1"/>
        <v>PKEK25VE0010883A</v>
      </c>
      <c r="C794" s="94" t="str">
        <f ca="1"/>
        <v>MOCHA</v>
      </c>
      <c r="D794" s="94" t="str">
        <f ca="1"/>
        <v>292</v>
      </c>
      <c r="E794" s="94" t="str">
        <f ca="1"/>
        <v>FV012283002</v>
      </c>
      <c r="F794" s="94" t="str">
        <f ca="1"/>
        <v>C1500427</v>
      </c>
      <c r="G794" s="94" t="str">
        <f ca="1"/>
        <v>B</v>
      </c>
      <c r="H794" s="94" t="str">
        <f ca="1"/>
        <v>CF003166462</v>
      </c>
      <c r="I794" s="94" t="str">
        <f ca="1"/>
        <v>A</v>
      </c>
      <c r="J794" s="94">
        <f ca="1"/>
        <v>26.8</v>
      </c>
      <c r="K794" s="94"/>
      <c r="L794" s="94">
        <f ca="1"/>
        <v>94.13</v>
      </c>
      <c r="M794" s="94" t="str">
        <f ca="1"/>
        <v>63/65"</v>
      </c>
      <c r="N794" s="94">
        <f ca="1"/>
        <v>63</v>
      </c>
      <c r="O794" s="94" t="str">
        <f ca="1"/>
        <v>Friction Mark (PD) [匹染擦痕]</v>
      </c>
      <c r="P794" s="95" t="str">
        <f ca="1"/>
        <v/>
      </c>
      <c r="Q794" s="95" t="str">
        <f ca="1"/>
        <v/>
      </c>
      <c r="R794" s="96">
        <f ca="1"/>
        <v>46137</v>
      </c>
    </row>
    <row r="795" spans="1:18" s="90" customFormat="1" ht="55" customHeight="1" x14ac:dyDescent="0.35">
      <c r="A795" s="94" t="str">
        <f ca="1"/>
        <v>S25V10883</v>
      </c>
      <c r="B795" s="94" t="str">
        <f ca="1"/>
        <v>PKEK25VE0010883A</v>
      </c>
      <c r="C795" s="94" t="str">
        <f ca="1"/>
        <v>MOCHA</v>
      </c>
      <c r="D795" s="94" t="str">
        <f ca="1"/>
        <v>292</v>
      </c>
      <c r="E795" s="94" t="str">
        <f ca="1"/>
        <v>FV012283002</v>
      </c>
      <c r="F795" s="94" t="str">
        <f ca="1"/>
        <v>C1500427</v>
      </c>
      <c r="G795" s="94" t="str">
        <f ca="1"/>
        <v>B</v>
      </c>
      <c r="H795" s="94" t="str">
        <f ca="1"/>
        <v>CF003166463</v>
      </c>
      <c r="I795" s="94" t="str">
        <f ca="1"/>
        <v>A</v>
      </c>
      <c r="J795" s="94">
        <f ca="1"/>
        <v>23.2</v>
      </c>
      <c r="K795" s="94"/>
      <c r="L795" s="94">
        <f ca="1"/>
        <v>81.48</v>
      </c>
      <c r="M795" s="94" t="str">
        <f ca="1"/>
        <v>63/65"</v>
      </c>
      <c r="N795" s="94">
        <f ca="1"/>
        <v>63</v>
      </c>
      <c r="O795" s="94" t="str">
        <f ca="1"/>
        <v/>
      </c>
      <c r="P795" s="95" t="str">
        <f ca="1"/>
        <v/>
      </c>
      <c r="Q795" s="95" t="str">
        <f ca="1"/>
        <v/>
      </c>
      <c r="R795" s="96">
        <f ca="1"/>
        <v>46137</v>
      </c>
    </row>
    <row r="796" spans="1:18" s="90" customFormat="1" ht="55" customHeight="1" x14ac:dyDescent="0.35">
      <c r="A796" s="94" t="str">
        <f ca="1"/>
        <v>S25V10883</v>
      </c>
      <c r="B796" s="94" t="str">
        <f ca="1"/>
        <v>PKEK25VE0010883A</v>
      </c>
      <c r="C796" s="94" t="str">
        <f ca="1"/>
        <v>MOCHA</v>
      </c>
      <c r="D796" s="94" t="str">
        <f ca="1"/>
        <v>292</v>
      </c>
      <c r="E796" s="94" t="str">
        <f ca="1"/>
        <v>FV012283002</v>
      </c>
      <c r="F796" s="94" t="str">
        <f ca="1"/>
        <v>C1500427</v>
      </c>
      <c r="G796" s="94" t="str">
        <f ca="1"/>
        <v>B</v>
      </c>
      <c r="H796" s="94" t="str">
        <f ca="1"/>
        <v>CF003166464</v>
      </c>
      <c r="I796" s="94" t="str">
        <f ca="1"/>
        <v>A</v>
      </c>
      <c r="J796" s="94">
        <f ca="1"/>
        <v>23.2</v>
      </c>
      <c r="K796" s="94"/>
      <c r="L796" s="94">
        <f ca="1"/>
        <v>81.48</v>
      </c>
      <c r="M796" s="94" t="str">
        <f ca="1"/>
        <v>63/65"</v>
      </c>
      <c r="N796" s="94">
        <f ca="1"/>
        <v>63</v>
      </c>
      <c r="O796" s="94" t="str">
        <f ca="1"/>
        <v>Hole (KN) [针织破洞]</v>
      </c>
      <c r="P796" s="95" t="str">
        <f ca="1"/>
        <v/>
      </c>
      <c r="Q796" s="95" t="str">
        <f ca="1"/>
        <v/>
      </c>
      <c r="R796" s="96">
        <f ca="1"/>
        <v>46137</v>
      </c>
    </row>
    <row r="797" spans="1:18" s="90" customFormat="1" ht="55" customHeight="1" x14ac:dyDescent="0.35">
      <c r="A797" s="94" t="str">
        <f ca="1"/>
        <v>S25V10883</v>
      </c>
      <c r="B797" s="94" t="str">
        <f ca="1"/>
        <v>PKEK25VE0010883A</v>
      </c>
      <c r="C797" s="94" t="str">
        <f ca="1"/>
        <v>MOCHA</v>
      </c>
      <c r="D797" s="94" t="str">
        <f ca="1"/>
        <v>292</v>
      </c>
      <c r="E797" s="94" t="str">
        <f ca="1"/>
        <v>FV012283002</v>
      </c>
      <c r="F797" s="94" t="str">
        <f ca="1"/>
        <v>C1500427</v>
      </c>
      <c r="G797" s="94" t="str">
        <f ca="1"/>
        <v>B</v>
      </c>
      <c r="H797" s="94" t="str">
        <f ca="1"/>
        <v>CF003166465</v>
      </c>
      <c r="I797" s="94" t="str">
        <f ca="1"/>
        <v>A</v>
      </c>
      <c r="J797" s="94">
        <f ca="1"/>
        <v>23</v>
      </c>
      <c r="K797" s="94"/>
      <c r="L797" s="94">
        <f ca="1"/>
        <v>80.78</v>
      </c>
      <c r="M797" s="94" t="str">
        <f ca="1"/>
        <v>63/65"</v>
      </c>
      <c r="N797" s="94">
        <f ca="1"/>
        <v>63</v>
      </c>
      <c r="O797" s="94" t="str">
        <f ca="1"/>
        <v>Friction Mark (PD) [匹染擦痕]</v>
      </c>
      <c r="P797" s="95" t="str">
        <f ca="1"/>
        <v/>
      </c>
      <c r="Q797" s="95" t="str">
        <f ca="1"/>
        <v/>
      </c>
      <c r="R797" s="96">
        <f ca="1"/>
        <v>46137</v>
      </c>
    </row>
    <row r="798" spans="1:18" s="90" customFormat="1" ht="55" customHeight="1" x14ac:dyDescent="0.35">
      <c r="A798" s="94" t="str">
        <f ca="1"/>
        <v>S25V10883</v>
      </c>
      <c r="B798" s="94" t="str">
        <f ca="1"/>
        <v>PKEK25VE0010883A</v>
      </c>
      <c r="C798" s="94" t="str">
        <f ca="1"/>
        <v>MOCHA</v>
      </c>
      <c r="D798" s="94" t="str">
        <f ca="1"/>
        <v>292</v>
      </c>
      <c r="E798" s="94" t="str">
        <f ca="1"/>
        <v>FV012283002</v>
      </c>
      <c r="F798" s="94" t="str">
        <f ca="1"/>
        <v>C1500427</v>
      </c>
      <c r="G798" s="94" t="str">
        <f ca="1"/>
        <v>B</v>
      </c>
      <c r="H798" s="94" t="str">
        <f ca="1"/>
        <v>CF003166471</v>
      </c>
      <c r="I798" s="94" t="str">
        <f ca="1"/>
        <v>A</v>
      </c>
      <c r="J798" s="94">
        <f ca="1"/>
        <v>23.4</v>
      </c>
      <c r="K798" s="94"/>
      <c r="L798" s="94">
        <f ca="1"/>
        <v>82.19</v>
      </c>
      <c r="M798" s="94" t="str">
        <f ca="1"/>
        <v>63/65"</v>
      </c>
      <c r="N798" s="94">
        <f ca="1"/>
        <v>63</v>
      </c>
      <c r="O798" s="94" t="str">
        <f ca="1"/>
        <v>Oil (PD) [匹染油污]</v>
      </c>
      <c r="P798" s="95" t="str">
        <f ca="1"/>
        <v/>
      </c>
      <c r="Q798" s="95" t="str">
        <f ca="1"/>
        <v/>
      </c>
      <c r="R798" s="96">
        <f ca="1"/>
        <v>46137</v>
      </c>
    </row>
    <row r="799" spans="1:18" s="90" customFormat="1" ht="55" customHeight="1" x14ac:dyDescent="0.35">
      <c r="A799" s="94" t="str">
        <f ca="1"/>
        <v>S25V10883</v>
      </c>
      <c r="B799" s="94" t="str">
        <f ca="1"/>
        <v>PKEK25VE0010883A</v>
      </c>
      <c r="C799" s="94" t="str">
        <f ca="1"/>
        <v>MOCHA</v>
      </c>
      <c r="D799" s="94" t="str">
        <f ca="1"/>
        <v>292</v>
      </c>
      <c r="E799" s="94" t="str">
        <f ca="1"/>
        <v>FV012283002</v>
      </c>
      <c r="F799" s="94" t="str">
        <f ca="1"/>
        <v>C1500427</v>
      </c>
      <c r="G799" s="94" t="str">
        <f ca="1"/>
        <v>B</v>
      </c>
      <c r="H799" s="94" t="str">
        <f ca="1"/>
        <v>CF003166472</v>
      </c>
      <c r="I799" s="94" t="str">
        <f ca="1"/>
        <v>A</v>
      </c>
      <c r="J799" s="94">
        <f ca="1"/>
        <v>23.4</v>
      </c>
      <c r="K799" s="94"/>
      <c r="L799" s="94">
        <f ca="1"/>
        <v>82.19</v>
      </c>
      <c r="M799" s="94" t="str">
        <f ca="1"/>
        <v>63/65"</v>
      </c>
      <c r="N799" s="94">
        <f ca="1"/>
        <v>63</v>
      </c>
      <c r="O799" s="94" t="str">
        <f ca="1"/>
        <v/>
      </c>
      <c r="P799" s="95" t="str">
        <f ca="1"/>
        <v/>
      </c>
      <c r="Q799" s="95" t="str">
        <f ca="1"/>
        <v/>
      </c>
      <c r="R799" s="96">
        <f ca="1"/>
        <v>46137</v>
      </c>
    </row>
    <row r="800" spans="1:18" s="90" customFormat="1" ht="55" customHeight="1" x14ac:dyDescent="0.35">
      <c r="A800" s="94" t="str">
        <f ca="1"/>
        <v>S25V10883</v>
      </c>
      <c r="B800" s="94" t="str">
        <f ca="1"/>
        <v>PKEK25VE0010883A</v>
      </c>
      <c r="C800" s="94" t="str">
        <f ca="1"/>
        <v>MOCHA</v>
      </c>
      <c r="D800" s="94" t="str">
        <f ca="1"/>
        <v>292</v>
      </c>
      <c r="E800" s="94" t="str">
        <f ca="1"/>
        <v>FV012283002</v>
      </c>
      <c r="F800" s="94" t="str">
        <f ca="1"/>
        <v>C1500427</v>
      </c>
      <c r="G800" s="94" t="str">
        <f ca="1"/>
        <v>B</v>
      </c>
      <c r="H800" s="94" t="str">
        <f ca="1"/>
        <v>CF003166473</v>
      </c>
      <c r="I800" s="94" t="str">
        <f ca="1"/>
        <v>A</v>
      </c>
      <c r="J800" s="94">
        <f ca="1"/>
        <v>23.3</v>
      </c>
      <c r="K800" s="94"/>
      <c r="L800" s="94">
        <f ca="1"/>
        <v>81.83</v>
      </c>
      <c r="M800" s="94" t="str">
        <f ca="1"/>
        <v>63/65"</v>
      </c>
      <c r="N800" s="94">
        <f ca="1"/>
        <v>63</v>
      </c>
      <c r="O800" s="94" t="str">
        <f ca="1"/>
        <v>Friction Mark (PD) [匹染擦痕]</v>
      </c>
      <c r="P800" s="95" t="str">
        <f ca="1"/>
        <v/>
      </c>
      <c r="Q800" s="95" t="str">
        <f ca="1"/>
        <v/>
      </c>
      <c r="R800" s="96">
        <f ca="1"/>
        <v>46137</v>
      </c>
    </row>
    <row r="801" spans="1:18" s="90" customFormat="1" ht="55" customHeight="1" x14ac:dyDescent="0.35">
      <c r="A801" s="94" t="str">
        <f ca="1"/>
        <v>S25V10883</v>
      </c>
      <c r="B801" s="94" t="str">
        <f ca="1"/>
        <v>PKEK25VE0010883A</v>
      </c>
      <c r="C801" s="94" t="str">
        <f ca="1"/>
        <v>MOCHA</v>
      </c>
      <c r="D801" s="94" t="str">
        <f ca="1"/>
        <v>292</v>
      </c>
      <c r="E801" s="94" t="str">
        <f ca="1"/>
        <v>FV012283002</v>
      </c>
      <c r="F801" s="94" t="str">
        <f ca="1"/>
        <v>C1500427</v>
      </c>
      <c r="G801" s="94" t="str">
        <f ca="1"/>
        <v>B</v>
      </c>
      <c r="H801" s="94" t="str">
        <f ca="1"/>
        <v>CF003166474</v>
      </c>
      <c r="I801" s="94" t="str">
        <f ca="1"/>
        <v>A</v>
      </c>
      <c r="J801" s="94">
        <f ca="1"/>
        <v>23.2</v>
      </c>
      <c r="K801" s="94"/>
      <c r="L801" s="94">
        <f ca="1"/>
        <v>81.48</v>
      </c>
      <c r="M801" s="94" t="str">
        <f ca="1"/>
        <v>63/65"</v>
      </c>
      <c r="N801" s="94">
        <f ca="1"/>
        <v>63</v>
      </c>
      <c r="O801" s="94" t="str">
        <f ca="1"/>
        <v>Friction Mark (PD) [匹染擦痕]</v>
      </c>
      <c r="P801" s="95" t="str">
        <f ca="1"/>
        <v/>
      </c>
      <c r="Q801" s="95" t="str">
        <f ca="1"/>
        <v/>
      </c>
      <c r="R801" s="96">
        <f ca="1"/>
        <v>46137</v>
      </c>
    </row>
    <row r="802" spans="1:18" s="90" customFormat="1" ht="55" customHeight="1" x14ac:dyDescent="0.35">
      <c r="A802" s="94" t="str">
        <f ca="1"/>
        <v>S25V10883</v>
      </c>
      <c r="B802" s="94" t="str">
        <f ca="1"/>
        <v>PKEK25VE0010883A</v>
      </c>
      <c r="C802" s="94" t="str">
        <f ca="1"/>
        <v>MOCHA</v>
      </c>
      <c r="D802" s="94" t="str">
        <f ca="1"/>
        <v>292</v>
      </c>
      <c r="E802" s="94" t="str">
        <f ca="1"/>
        <v>FV012283002</v>
      </c>
      <c r="F802" s="94" t="str">
        <f ca="1"/>
        <v>C1500427</v>
      </c>
      <c r="G802" s="94" t="str">
        <f ca="1"/>
        <v>B</v>
      </c>
      <c r="H802" s="94" t="str">
        <f ca="1"/>
        <v>CF003166475</v>
      </c>
      <c r="I802" s="94" t="str">
        <f ca="1"/>
        <v>A</v>
      </c>
      <c r="J802" s="94">
        <f ca="1"/>
        <v>23.2</v>
      </c>
      <c r="K802" s="94"/>
      <c r="L802" s="94">
        <f ca="1"/>
        <v>81.48</v>
      </c>
      <c r="M802" s="94" t="str">
        <f ca="1"/>
        <v>63/65"</v>
      </c>
      <c r="N802" s="94">
        <f ca="1"/>
        <v>63</v>
      </c>
      <c r="O802" s="94" t="str">
        <f ca="1"/>
        <v>Hole (KN) [针织破洞]</v>
      </c>
      <c r="P802" s="95" t="str">
        <f ca="1"/>
        <v/>
      </c>
      <c r="Q802" s="95" t="str">
        <f ca="1"/>
        <v/>
      </c>
      <c r="R802" s="96">
        <f ca="1"/>
        <v>46137</v>
      </c>
    </row>
    <row r="803" spans="1:18" s="90" customFormat="1" ht="55" customHeight="1" x14ac:dyDescent="0.35">
      <c r="A803" s="94" t="str">
        <f ca="1"/>
        <v>S25V10883</v>
      </c>
      <c r="B803" s="94" t="str">
        <f ca="1"/>
        <v>PKEK25VE0010883A</v>
      </c>
      <c r="C803" s="94" t="str">
        <f ca="1"/>
        <v>MOCHA</v>
      </c>
      <c r="D803" s="94" t="str">
        <f ca="1"/>
        <v>292</v>
      </c>
      <c r="E803" s="94" t="str">
        <f ca="1"/>
        <v>FV012283002</v>
      </c>
      <c r="F803" s="94" t="str">
        <f ca="1"/>
        <v>C1500427</v>
      </c>
      <c r="G803" s="94" t="str">
        <f ca="1"/>
        <v>B</v>
      </c>
      <c r="H803" s="94" t="str">
        <f ca="1"/>
        <v>CF003166476</v>
      </c>
      <c r="I803" s="94" t="str">
        <f ca="1"/>
        <v>A</v>
      </c>
      <c r="J803" s="94">
        <f ca="1"/>
        <v>26</v>
      </c>
      <c r="K803" s="94"/>
      <c r="L803" s="94">
        <f ca="1"/>
        <v>91.32</v>
      </c>
      <c r="M803" s="94" t="str">
        <f ca="1"/>
        <v>63/65"</v>
      </c>
      <c r="N803" s="94">
        <f ca="1"/>
        <v>63</v>
      </c>
      <c r="O803" s="94" t="str">
        <f ca="1"/>
        <v>Friction Mark (PD) [匹染擦痕]</v>
      </c>
      <c r="P803" s="95" t="str">
        <f ca="1"/>
        <v/>
      </c>
      <c r="Q803" s="95" t="str">
        <f ca="1"/>
        <v/>
      </c>
      <c r="R803" s="96">
        <f ca="1"/>
        <v>46137</v>
      </c>
    </row>
    <row r="804" spans="1:18" s="90" customFormat="1" ht="55" customHeight="1" x14ac:dyDescent="0.35">
      <c r="A804" s="94" t="str">
        <f ca="1"/>
        <v>S25V10883</v>
      </c>
      <c r="B804" s="94" t="str">
        <f ca="1"/>
        <v>PKEK25VE0010883A</v>
      </c>
      <c r="C804" s="94" t="str">
        <f ca="1"/>
        <v>MOCHA</v>
      </c>
      <c r="D804" s="94" t="str">
        <f ca="1"/>
        <v>292</v>
      </c>
      <c r="E804" s="94" t="str">
        <f ca="1"/>
        <v>FV012283002</v>
      </c>
      <c r="F804" s="94" t="str">
        <f ca="1"/>
        <v>C1500427</v>
      </c>
      <c r="G804" s="94" t="str">
        <f ca="1"/>
        <v>B</v>
      </c>
      <c r="H804" s="94" t="str">
        <f ca="1"/>
        <v>CF003166477</v>
      </c>
      <c r="I804" s="94" t="str">
        <f ca="1"/>
        <v>A</v>
      </c>
      <c r="J804" s="94">
        <f ca="1"/>
        <v>23.3</v>
      </c>
      <c r="K804" s="94"/>
      <c r="L804" s="94">
        <f ca="1"/>
        <v>81.83</v>
      </c>
      <c r="M804" s="94" t="str">
        <f ca="1"/>
        <v>63/65"</v>
      </c>
      <c r="N804" s="94">
        <f ca="1"/>
        <v>63</v>
      </c>
      <c r="O804" s="94" t="str">
        <f ca="1"/>
        <v>Hole (KN) [针织破洞]</v>
      </c>
      <c r="P804" s="95" t="str">
        <f ca="1"/>
        <v/>
      </c>
      <c r="Q804" s="95" t="str">
        <f ca="1"/>
        <v/>
      </c>
      <c r="R804" s="96">
        <f ca="1"/>
        <v>46137</v>
      </c>
    </row>
    <row r="805" spans="1:18" s="90" customFormat="1" ht="55" customHeight="1" x14ac:dyDescent="0.35">
      <c r="A805" s="94" t="str">
        <f ca="1"/>
        <v>S25V10883</v>
      </c>
      <c r="B805" s="94" t="str">
        <f ca="1"/>
        <v>PKEK25VE0010883A</v>
      </c>
      <c r="C805" s="94" t="str">
        <f ca="1"/>
        <v>MOCHA</v>
      </c>
      <c r="D805" s="94" t="str">
        <f ca="1"/>
        <v>292</v>
      </c>
      <c r="E805" s="94" t="str">
        <f ca="1"/>
        <v>FV012283002</v>
      </c>
      <c r="F805" s="94" t="str">
        <f ca="1"/>
        <v>C1500427</v>
      </c>
      <c r="G805" s="94" t="str">
        <f ca="1"/>
        <v>B</v>
      </c>
      <c r="H805" s="94" t="str">
        <f ca="1"/>
        <v>CF003166478</v>
      </c>
      <c r="I805" s="94" t="str">
        <f ca="1"/>
        <v>A</v>
      </c>
      <c r="J805" s="94">
        <f ca="1"/>
        <v>22.1</v>
      </c>
      <c r="K805" s="94"/>
      <c r="L805" s="94">
        <f ca="1"/>
        <v>77.62</v>
      </c>
      <c r="M805" s="94" t="str">
        <f ca="1"/>
        <v>63/65"</v>
      </c>
      <c r="N805" s="94">
        <f ca="1"/>
        <v>63</v>
      </c>
      <c r="O805" s="94" t="str">
        <f ca="1"/>
        <v>Oil (PD) [匹染油污]</v>
      </c>
      <c r="P805" s="95" t="str">
        <f ca="1"/>
        <v/>
      </c>
      <c r="Q805" s="95" t="str">
        <f ca="1"/>
        <v/>
      </c>
      <c r="R805" s="96">
        <f ca="1"/>
        <v>46137</v>
      </c>
    </row>
    <row r="806" spans="1:18" s="90" customFormat="1" ht="55" customHeight="1" x14ac:dyDescent="0.35">
      <c r="A806" s="94" t="str">
        <f ca="1"/>
        <v>S25V10883</v>
      </c>
      <c r="B806" s="94" t="str">
        <f ca="1"/>
        <v>PKEK25VE0010883A</v>
      </c>
      <c r="C806" s="94" t="str">
        <f ca="1"/>
        <v>MOCHA</v>
      </c>
      <c r="D806" s="94" t="str">
        <f ca="1"/>
        <v>292</v>
      </c>
      <c r="E806" s="94" t="str">
        <f ca="1"/>
        <v>FV012283002</v>
      </c>
      <c r="F806" s="94" t="str">
        <f ca="1"/>
        <v>C1500427</v>
      </c>
      <c r="G806" s="94" t="str">
        <f ca="1"/>
        <v>B</v>
      </c>
      <c r="H806" s="94" t="str">
        <f ca="1"/>
        <v>CF003166479</v>
      </c>
      <c r="I806" s="94" t="str">
        <f ca="1"/>
        <v>A</v>
      </c>
      <c r="J806" s="94">
        <f ca="1"/>
        <v>23.6</v>
      </c>
      <c r="K806" s="94"/>
      <c r="L806" s="94">
        <f ca="1"/>
        <v>82.89</v>
      </c>
      <c r="M806" s="94" t="str">
        <f ca="1"/>
        <v>63/65"</v>
      </c>
      <c r="N806" s="94">
        <f ca="1"/>
        <v>63</v>
      </c>
      <c r="O806" s="94" t="str">
        <f ca="1"/>
        <v>Friction Mark (PD) [匹染擦痕]</v>
      </c>
      <c r="P806" s="95" t="str">
        <f ca="1"/>
        <v/>
      </c>
      <c r="Q806" s="95" t="str">
        <f ca="1"/>
        <v/>
      </c>
      <c r="R806" s="96">
        <f ca="1"/>
        <v>46137</v>
      </c>
    </row>
    <row r="807" spans="1:18" s="90" customFormat="1" ht="55" customHeight="1" x14ac:dyDescent="0.35">
      <c r="A807" s="94" t="str">
        <f ca="1"/>
        <v>S25V10883</v>
      </c>
      <c r="B807" s="94" t="str">
        <f ca="1"/>
        <v>PKEK25VE0010883A</v>
      </c>
      <c r="C807" s="94" t="str">
        <f ca="1"/>
        <v>MOCHA</v>
      </c>
      <c r="D807" s="94" t="str">
        <f ca="1"/>
        <v>292</v>
      </c>
      <c r="E807" s="94" t="str">
        <f ca="1"/>
        <v>FV012283002</v>
      </c>
      <c r="F807" s="94" t="str">
        <f ca="1"/>
        <v>C1500427</v>
      </c>
      <c r="G807" s="94" t="str">
        <f ca="1"/>
        <v>B</v>
      </c>
      <c r="H807" s="94" t="str">
        <f ca="1"/>
        <v>CF003166480</v>
      </c>
      <c r="I807" s="94" t="str">
        <f ca="1"/>
        <v>A</v>
      </c>
      <c r="J807" s="94">
        <f ca="1"/>
        <v>23.5</v>
      </c>
      <c r="K807" s="94"/>
      <c r="L807" s="94">
        <f ca="1"/>
        <v>82.54</v>
      </c>
      <c r="M807" s="94" t="str">
        <f ca="1"/>
        <v>63/65"</v>
      </c>
      <c r="N807" s="94">
        <f ca="1"/>
        <v>63</v>
      </c>
      <c r="O807" s="94" t="str">
        <f ca="1"/>
        <v>Friction Mark (PD) [匹染擦痕]</v>
      </c>
      <c r="P807" s="95" t="str">
        <f ca="1"/>
        <v/>
      </c>
      <c r="Q807" s="95" t="str">
        <f ca="1"/>
        <v/>
      </c>
      <c r="R807" s="96">
        <f ca="1"/>
        <v>46137</v>
      </c>
    </row>
    <row r="808" spans="1:18" s="90" customFormat="1" ht="55" customHeight="1" x14ac:dyDescent="0.35">
      <c r="A808" s="94" t="str">
        <f ca="1"/>
        <v>S25V10883</v>
      </c>
      <c r="B808" s="94" t="str">
        <f ca="1"/>
        <v>PKEK25VE0010883A</v>
      </c>
      <c r="C808" s="94" t="str">
        <f ca="1"/>
        <v>Air Force Blue</v>
      </c>
      <c r="D808" s="94" t="str">
        <f ca="1"/>
        <v>957</v>
      </c>
      <c r="E808" s="94" t="str">
        <f ca="1"/>
        <v>FV012282802</v>
      </c>
      <c r="F808" s="94" t="str">
        <f ca="1"/>
        <v>C1500427</v>
      </c>
      <c r="G808" s="94" t="str">
        <f ca="1"/>
        <v>B</v>
      </c>
      <c r="H808" s="94" t="str">
        <f ca="1"/>
        <v>CF003168545</v>
      </c>
      <c r="I808" s="94" t="str">
        <f ca="1"/>
        <v>A</v>
      </c>
      <c r="J808" s="94">
        <f ca="1"/>
        <v>19.100000000000001</v>
      </c>
      <c r="K808" s="94"/>
      <c r="L808" s="94">
        <f ca="1"/>
        <v>70.41</v>
      </c>
      <c r="M808" s="94" t="str">
        <f ca="1"/>
        <v>63/65"</v>
      </c>
      <c r="N808" s="94">
        <f ca="1"/>
        <v>62</v>
      </c>
      <c r="O808" s="94" t="str">
        <f ca="1"/>
        <v>White mark [白印]</v>
      </c>
      <c r="P808" s="95" t="str">
        <f ca="1"/>
        <v>rằn ri biên trái vào 3inch</v>
      </c>
      <c r="Q808" s="95" t="str">
        <f ca="1"/>
        <v>né biên trái vào 3inch</v>
      </c>
      <c r="R808" s="96">
        <f ca="1"/>
        <v>46146</v>
      </c>
    </row>
    <row r="809" spans="1:18" s="90" customFormat="1" ht="55" customHeight="1" x14ac:dyDescent="0.35">
      <c r="A809" s="94" t="str">
        <f ca="1"/>
        <v>S25V10883</v>
      </c>
      <c r="B809" s="94" t="str">
        <f ca="1"/>
        <v>PKEK25VE0010883A</v>
      </c>
      <c r="C809" s="94" t="str">
        <f ca="1"/>
        <v>Air Force Blue</v>
      </c>
      <c r="D809" s="94" t="str">
        <f ca="1"/>
        <v>957</v>
      </c>
      <c r="E809" s="94" t="str">
        <f ca="1"/>
        <v>FV012282802</v>
      </c>
      <c r="F809" s="94" t="str">
        <f ca="1"/>
        <v>C1500427</v>
      </c>
      <c r="G809" s="94" t="str">
        <f ca="1"/>
        <v>B</v>
      </c>
      <c r="H809" s="94" t="str">
        <f ca="1"/>
        <v>CF003168546</v>
      </c>
      <c r="I809" s="94" t="str">
        <f ca="1"/>
        <v>A</v>
      </c>
      <c r="J809" s="94">
        <f ca="1"/>
        <v>23.6</v>
      </c>
      <c r="K809" s="94"/>
      <c r="L809" s="94">
        <f ca="1"/>
        <v>87</v>
      </c>
      <c r="M809" s="94" t="str">
        <f ca="1"/>
        <v>63/65"</v>
      </c>
      <c r="N809" s="94">
        <f ca="1"/>
        <v>62</v>
      </c>
      <c r="O809" s="94" t="str">
        <f ca="1"/>
        <v/>
      </c>
      <c r="P809" s="95" t="str">
        <f ca="1"/>
        <v>rằn ri biên trái vào 3inch</v>
      </c>
      <c r="Q809" s="95" t="str">
        <f ca="1"/>
        <v>né biên trái vào 3inch</v>
      </c>
      <c r="R809" s="96">
        <f ca="1"/>
        <v>46146</v>
      </c>
    </row>
    <row r="810" spans="1:18" s="90" customFormat="1" ht="55" customHeight="1" x14ac:dyDescent="0.35">
      <c r="A810" s="94" t="str">
        <f ca="1"/>
        <v>S25V10883</v>
      </c>
      <c r="B810" s="94" t="str">
        <f ca="1"/>
        <v>PKEK25VE0010883A</v>
      </c>
      <c r="C810" s="94" t="str">
        <f ca="1"/>
        <v>Air Force Blue</v>
      </c>
      <c r="D810" s="94" t="str">
        <f ca="1"/>
        <v>957</v>
      </c>
      <c r="E810" s="94" t="str">
        <f ca="1"/>
        <v>FV012282802</v>
      </c>
      <c r="F810" s="94" t="str">
        <f ca="1"/>
        <v>C1500427</v>
      </c>
      <c r="G810" s="94" t="str">
        <f ca="1"/>
        <v>B</v>
      </c>
      <c r="H810" s="94" t="str">
        <f ca="1"/>
        <v>CF003168547</v>
      </c>
      <c r="I810" s="94" t="str">
        <f ca="1"/>
        <v>A</v>
      </c>
      <c r="J810" s="94">
        <f ca="1"/>
        <v>23.4</v>
      </c>
      <c r="K810" s="94"/>
      <c r="L810" s="94">
        <f ca="1"/>
        <v>86.26</v>
      </c>
      <c r="M810" s="94" t="str">
        <f ca="1"/>
        <v>63/65"</v>
      </c>
      <c r="N810" s="94">
        <f ca="1"/>
        <v>62</v>
      </c>
      <c r="O810" s="94" t="str">
        <f ca="1"/>
        <v>thick yarn</v>
      </c>
      <c r="P810" s="95" t="str">
        <f ca="1"/>
        <v>rằn ri biên trái vào 3inch</v>
      </c>
      <c r="Q810" s="95" t="str">
        <f ca="1"/>
        <v>né biên trái vào 3inch</v>
      </c>
      <c r="R810" s="96">
        <f ca="1"/>
        <v>46146</v>
      </c>
    </row>
    <row r="811" spans="1:18" s="90" customFormat="1" ht="55" customHeight="1" x14ac:dyDescent="0.35">
      <c r="A811" s="94" t="str">
        <f ca="1"/>
        <v>S25V10883</v>
      </c>
      <c r="B811" s="94" t="str">
        <f ca="1"/>
        <v>PKEK25VE0010883A</v>
      </c>
      <c r="C811" s="94" t="str">
        <f ca="1"/>
        <v>Air Force Blue</v>
      </c>
      <c r="D811" s="94" t="str">
        <f ca="1"/>
        <v>957</v>
      </c>
      <c r="E811" s="94" t="str">
        <f ca="1"/>
        <v>FV012282802</v>
      </c>
      <c r="F811" s="94" t="str">
        <f ca="1"/>
        <v>C1500427</v>
      </c>
      <c r="G811" s="94" t="str">
        <f ca="1"/>
        <v>B</v>
      </c>
      <c r="H811" s="94" t="str">
        <f ca="1"/>
        <v>CF003168548</v>
      </c>
      <c r="I811" s="94" t="str">
        <f ca="1"/>
        <v>A</v>
      </c>
      <c r="J811" s="94">
        <f ca="1"/>
        <v>22.8</v>
      </c>
      <c r="K811" s="94"/>
      <c r="L811" s="94">
        <f ca="1"/>
        <v>84.05</v>
      </c>
      <c r="M811" s="94" t="str">
        <f ca="1"/>
        <v>63/65"</v>
      </c>
      <c r="N811" s="94">
        <f ca="1"/>
        <v>62</v>
      </c>
      <c r="O811" s="94" t="str">
        <f ca="1"/>
        <v/>
      </c>
      <c r="P811" s="95" t="str">
        <f ca="1"/>
        <v>rằn ri biên trái vào 3inch</v>
      </c>
      <c r="Q811" s="95" t="str">
        <f ca="1"/>
        <v>né biên trái vào 3inch</v>
      </c>
      <c r="R811" s="96">
        <f ca="1"/>
        <v>46146</v>
      </c>
    </row>
    <row r="812" spans="1:18" s="90" customFormat="1" ht="55" customHeight="1" x14ac:dyDescent="0.35">
      <c r="A812" s="94" t="str">
        <f ca="1"/>
        <v>S25V10883</v>
      </c>
      <c r="B812" s="94" t="str">
        <f ca="1"/>
        <v>PKEK25VE0010883A</v>
      </c>
      <c r="C812" s="94" t="str">
        <f ca="1"/>
        <v>Air Force Blue</v>
      </c>
      <c r="D812" s="94" t="str">
        <f ca="1"/>
        <v>957</v>
      </c>
      <c r="E812" s="94" t="str">
        <f ca="1"/>
        <v>FV012282802</v>
      </c>
      <c r="F812" s="94" t="str">
        <f ca="1"/>
        <v>C1500427</v>
      </c>
      <c r="G812" s="94" t="str">
        <f ca="1"/>
        <v>B</v>
      </c>
      <c r="H812" s="94" t="str">
        <f ca="1"/>
        <v>CF003168549</v>
      </c>
      <c r="I812" s="94" t="str">
        <f ca="1"/>
        <v>A</v>
      </c>
      <c r="J812" s="94">
        <f ca="1"/>
        <v>23.4</v>
      </c>
      <c r="K812" s="94"/>
      <c r="L812" s="94">
        <f ca="1"/>
        <v>86.26</v>
      </c>
      <c r="M812" s="94" t="str">
        <f ca="1"/>
        <v>63/65"</v>
      </c>
      <c r="N812" s="94">
        <f ca="1"/>
        <v>62</v>
      </c>
      <c r="O812" s="94" t="str">
        <f ca="1"/>
        <v/>
      </c>
      <c r="P812" s="95" t="str">
        <f ca="1"/>
        <v>dơ 2 biên mỗi biên vào 4inch</v>
      </c>
      <c r="Q812" s="95" t="str">
        <f ca="1"/>
        <v>né 2 biên mỗi biên vào 4inch</v>
      </c>
      <c r="R812" s="96">
        <f ca="1"/>
        <v>46146</v>
      </c>
    </row>
    <row r="813" spans="1:18" s="90" customFormat="1" ht="55" customHeight="1" x14ac:dyDescent="0.35">
      <c r="A813" s="94" t="str">
        <f ca="1"/>
        <v>S25V10883</v>
      </c>
      <c r="B813" s="94" t="str">
        <f ca="1"/>
        <v>PKEK25VE0010883A</v>
      </c>
      <c r="C813" s="94" t="str">
        <f ca="1"/>
        <v>Air Force Blue</v>
      </c>
      <c r="D813" s="94" t="str">
        <f ca="1"/>
        <v>957</v>
      </c>
      <c r="E813" s="94" t="str">
        <f ca="1"/>
        <v>FV012282802</v>
      </c>
      <c r="F813" s="94" t="str">
        <f ca="1"/>
        <v>C1500427</v>
      </c>
      <c r="G813" s="94" t="str">
        <f ca="1"/>
        <v>B</v>
      </c>
      <c r="H813" s="94" t="str">
        <f ca="1"/>
        <v>CF003168550</v>
      </c>
      <c r="I813" s="94" t="str">
        <f ca="1"/>
        <v>A</v>
      </c>
      <c r="J813" s="94">
        <f ca="1"/>
        <v>23.3</v>
      </c>
      <c r="K813" s="94"/>
      <c r="L813" s="94">
        <f ca="1"/>
        <v>85.89</v>
      </c>
      <c r="M813" s="94" t="str">
        <f ca="1"/>
        <v>63/65"</v>
      </c>
      <c r="N813" s="94">
        <f ca="1"/>
        <v>62</v>
      </c>
      <c r="O813" s="94" t="str">
        <f ca="1"/>
        <v/>
      </c>
      <c r="P813" s="95" t="str">
        <f ca="1"/>
        <v>rằn ri biên trái vào 3inch</v>
      </c>
      <c r="Q813" s="95" t="str">
        <f ca="1"/>
        <v>né biên trái vào 3inch</v>
      </c>
      <c r="R813" s="96">
        <f ca="1"/>
        <v>46146</v>
      </c>
    </row>
    <row r="814" spans="1:18" s="90" customFormat="1" ht="55" customHeight="1" x14ac:dyDescent="0.35">
      <c r="A814" s="94" t="str">
        <f ca="1"/>
        <v>S25V10883</v>
      </c>
      <c r="B814" s="94" t="str">
        <f ca="1"/>
        <v>PKEK25VE0010883A</v>
      </c>
      <c r="C814" s="94" t="str">
        <f ca="1"/>
        <v>Air Force Blue</v>
      </c>
      <c r="D814" s="94" t="str">
        <f ca="1"/>
        <v>957</v>
      </c>
      <c r="E814" s="94" t="str">
        <f ca="1"/>
        <v>FV012282802</v>
      </c>
      <c r="F814" s="94" t="str">
        <f ca="1"/>
        <v>C1500427</v>
      </c>
      <c r="G814" s="94" t="str">
        <f ca="1"/>
        <v>B</v>
      </c>
      <c r="H814" s="94" t="str">
        <f ca="1"/>
        <v>CF003168551</v>
      </c>
      <c r="I814" s="94" t="str">
        <f ca="1"/>
        <v>A</v>
      </c>
      <c r="J814" s="94">
        <f ca="1"/>
        <v>19.399999999999999</v>
      </c>
      <c r="K814" s="94"/>
      <c r="L814" s="94">
        <f ca="1"/>
        <v>71.510000000000005</v>
      </c>
      <c r="M814" s="94" t="str">
        <f ca="1"/>
        <v>63/65"</v>
      </c>
      <c r="N814" s="94">
        <f ca="1"/>
        <v>62</v>
      </c>
      <c r="O814" s="94" t="str">
        <f ca="1"/>
        <v/>
      </c>
      <c r="P814" s="95" t="str">
        <f ca="1"/>
        <v>rằn ri biên trái vào 3inch</v>
      </c>
      <c r="Q814" s="95" t="str">
        <f ca="1"/>
        <v>né biên trái vào 3inch</v>
      </c>
      <c r="R814" s="96">
        <f ca="1"/>
        <v>46146</v>
      </c>
    </row>
    <row r="815" spans="1:18" s="90" customFormat="1" ht="55" customHeight="1" x14ac:dyDescent="0.35">
      <c r="A815" s="94" t="str">
        <f ca="1"/>
        <v>S25V10883</v>
      </c>
      <c r="B815" s="94" t="str">
        <f ca="1"/>
        <v>PKEK25VE0010883A</v>
      </c>
      <c r="C815" s="94" t="str">
        <f ca="1"/>
        <v>Air Force Blue</v>
      </c>
      <c r="D815" s="94" t="str">
        <f ca="1"/>
        <v>957</v>
      </c>
      <c r="E815" s="94" t="str">
        <f ca="1"/>
        <v>FV012282802</v>
      </c>
      <c r="F815" s="94" t="str">
        <f ca="1"/>
        <v>C1500427</v>
      </c>
      <c r="G815" s="94" t="str">
        <f ca="1"/>
        <v>B</v>
      </c>
      <c r="H815" s="94" t="str">
        <f ca="1"/>
        <v>CF003168552</v>
      </c>
      <c r="I815" s="94" t="str">
        <f ca="1"/>
        <v>A</v>
      </c>
      <c r="J815" s="94">
        <f ca="1"/>
        <v>29.8</v>
      </c>
      <c r="K815" s="94"/>
      <c r="L815" s="94">
        <f ca="1"/>
        <v>109.85</v>
      </c>
      <c r="M815" s="94" t="str">
        <f ca="1"/>
        <v>63/65"</v>
      </c>
      <c r="N815" s="94">
        <f ca="1"/>
        <v>62</v>
      </c>
      <c r="O815" s="94" t="str">
        <f ca="1"/>
        <v>Piece-up(FN) [后整接口]</v>
      </c>
      <c r="P815" s="95" t="str">
        <f ca="1"/>
        <v>rằn ri biên trái vào 3inch</v>
      </c>
      <c r="Q815" s="95" t="str">
        <f ca="1"/>
        <v>né biên trái vào 3inch</v>
      </c>
      <c r="R815" s="96">
        <f ca="1"/>
        <v>46146</v>
      </c>
    </row>
    <row r="816" spans="1:18" s="90" customFormat="1" ht="55" customHeight="1" x14ac:dyDescent="0.35">
      <c r="A816" s="94" t="str">
        <f ca="1"/>
        <v>S25V10883</v>
      </c>
      <c r="B816" s="94" t="str">
        <f ca="1"/>
        <v>PKEK25VE0010883A</v>
      </c>
      <c r="C816" s="94" t="str">
        <f ca="1"/>
        <v>MOCHA</v>
      </c>
      <c r="D816" s="94" t="str">
        <f ca="1"/>
        <v>292</v>
      </c>
      <c r="E816" s="94" t="str">
        <f ca="1"/>
        <v>FV012283002</v>
      </c>
      <c r="F816" s="94" t="str">
        <f ca="1"/>
        <v>C1500427</v>
      </c>
      <c r="G816" s="94" t="str">
        <f ca="1"/>
        <v>B</v>
      </c>
      <c r="H816" s="94" t="str">
        <f ca="1"/>
        <v>CF003172571</v>
      </c>
      <c r="I816" s="94" t="str">
        <f ca="1"/>
        <v>A</v>
      </c>
      <c r="J816" s="94">
        <f ca="1"/>
        <v>23.3</v>
      </c>
      <c r="K816" s="94"/>
      <c r="L816" s="94">
        <f ca="1"/>
        <v>83.02</v>
      </c>
      <c r="M816" s="94" t="str">
        <f ca="1"/>
        <v>63/65"</v>
      </c>
      <c r="N816" s="94">
        <f ca="1"/>
        <v>63</v>
      </c>
      <c r="O816" s="94" t="str">
        <f ca="1"/>
        <v>Hole (KN) [针织破洞]</v>
      </c>
      <c r="P816" s="95" t="str">
        <f ca="1"/>
        <v/>
      </c>
      <c r="Q816" s="95" t="str">
        <f ca="1"/>
        <v/>
      </c>
      <c r="R816" s="96">
        <f ca="1"/>
        <v>46151</v>
      </c>
    </row>
    <row r="817" spans="1:18" s="90" customFormat="1" ht="55" customHeight="1" x14ac:dyDescent="0.35">
      <c r="A817" s="94" t="str">
        <f ca="1"/>
        <v>S25V10883</v>
      </c>
      <c r="B817" s="94" t="str">
        <f ca="1"/>
        <v>PKEK25VE0010883A</v>
      </c>
      <c r="C817" s="94" t="str">
        <f ca="1"/>
        <v>MOCHA</v>
      </c>
      <c r="D817" s="94" t="str">
        <f ca="1"/>
        <v>292</v>
      </c>
      <c r="E817" s="94" t="str">
        <f ca="1"/>
        <v>FV012283002</v>
      </c>
      <c r="F817" s="94" t="str">
        <f ca="1"/>
        <v>C1500427</v>
      </c>
      <c r="G817" s="94" t="str">
        <f ca="1"/>
        <v>B</v>
      </c>
      <c r="H817" s="94" t="str">
        <f ca="1"/>
        <v>CF003172572</v>
      </c>
      <c r="I817" s="94" t="str">
        <f ca="1"/>
        <v>A</v>
      </c>
      <c r="J817" s="94">
        <f ca="1"/>
        <v>17.399999999999999</v>
      </c>
      <c r="K817" s="94"/>
      <c r="L817" s="94">
        <f ca="1"/>
        <v>62</v>
      </c>
      <c r="M817" s="94" t="str">
        <f ca="1"/>
        <v>63/65"</v>
      </c>
      <c r="N817" s="94">
        <f ca="1"/>
        <v>63</v>
      </c>
      <c r="O817" s="94" t="str">
        <f ca="1"/>
        <v>Hole (KN) [针织破洞]</v>
      </c>
      <c r="P817" s="95" t="str">
        <f ca="1"/>
        <v/>
      </c>
      <c r="Q817" s="95" t="str">
        <f ca="1"/>
        <v/>
      </c>
      <c r="R817" s="96">
        <f ca="1"/>
        <v>46151</v>
      </c>
    </row>
    <row r="818" spans="1:18" s="90" customFormat="1" ht="55" customHeight="1" x14ac:dyDescent="0.35">
      <c r="A818" s="94" t="str">
        <f ca="1"/>
        <v>S25V10883</v>
      </c>
      <c r="B818" s="94" t="str">
        <f ca="1"/>
        <v>PKEK25VE0010883A</v>
      </c>
      <c r="C818" s="94" t="str">
        <f ca="1"/>
        <v>MOCHA</v>
      </c>
      <c r="D818" s="94" t="str">
        <f ca="1"/>
        <v>292</v>
      </c>
      <c r="E818" s="94" t="str">
        <f ca="1"/>
        <v>FV012283002</v>
      </c>
      <c r="F818" s="94" t="str">
        <f ca="1"/>
        <v>C1500427</v>
      </c>
      <c r="G818" s="94" t="str">
        <f ca="1"/>
        <v>B</v>
      </c>
      <c r="H818" s="94" t="str">
        <f ca="1"/>
        <v>CF003172573</v>
      </c>
      <c r="I818" s="94" t="str">
        <f ca="1"/>
        <v>A</v>
      </c>
      <c r="J818" s="94">
        <f ca="1"/>
        <v>30.7</v>
      </c>
      <c r="K818" s="94"/>
      <c r="L818" s="94">
        <f ca="1"/>
        <v>109.39</v>
      </c>
      <c r="M818" s="94" t="str">
        <f ca="1"/>
        <v>63/65"</v>
      </c>
      <c r="N818" s="94">
        <f ca="1"/>
        <v>63</v>
      </c>
      <c r="O818" s="94" t="str">
        <f ca="1"/>
        <v>Piece-up(FN) [后整接口]</v>
      </c>
      <c r="P818" s="95" t="str">
        <f ca="1"/>
        <v/>
      </c>
      <c r="Q818" s="95" t="str">
        <f ca="1"/>
        <v/>
      </c>
      <c r="R818" s="96">
        <f ca="1"/>
        <v>46151</v>
      </c>
    </row>
    <row r="819" spans="1:18" s="90" customFormat="1" ht="55" customHeight="1" x14ac:dyDescent="0.35">
      <c r="A819" s="94" t="str">
        <f ca="1"/>
        <v>S25V10883</v>
      </c>
      <c r="B819" s="94" t="str">
        <f ca="1"/>
        <v>PKEK25VE0010883A</v>
      </c>
      <c r="C819" s="94" t="str">
        <f ca="1"/>
        <v>MOCHA</v>
      </c>
      <c r="D819" s="94" t="str">
        <f ca="1"/>
        <v>292</v>
      </c>
      <c r="E819" s="94" t="str">
        <f ca="1"/>
        <v>FV012283002</v>
      </c>
      <c r="F819" s="94" t="str">
        <f ca="1"/>
        <v>C1500427</v>
      </c>
      <c r="G819" s="94" t="str">
        <f ca="1"/>
        <v>B</v>
      </c>
      <c r="H819" s="94" t="str">
        <f ca="1"/>
        <v>CF003172574</v>
      </c>
      <c r="I819" s="94" t="str">
        <f ca="1"/>
        <v>A</v>
      </c>
      <c r="J819" s="94">
        <f ca="1"/>
        <v>23.2</v>
      </c>
      <c r="K819" s="94"/>
      <c r="L819" s="94">
        <f ca="1"/>
        <v>82.67</v>
      </c>
      <c r="M819" s="94" t="str">
        <f ca="1"/>
        <v>63/65"</v>
      </c>
      <c r="N819" s="94">
        <f ca="1"/>
        <v>63</v>
      </c>
      <c r="O819" s="94" t="str">
        <f ca="1"/>
        <v>Dirt [针织污渍]</v>
      </c>
      <c r="P819" s="95" t="str">
        <f ca="1"/>
        <v/>
      </c>
      <c r="Q819" s="95" t="str">
        <f ca="1"/>
        <v/>
      </c>
      <c r="R819" s="96">
        <f ca="1"/>
        <v>46151</v>
      </c>
    </row>
    <row r="820" spans="1:18" s="90" customFormat="1" ht="55" customHeight="1" x14ac:dyDescent="0.35">
      <c r="A820" s="94" t="str">
        <f ca="1"/>
        <v>S25V10883</v>
      </c>
      <c r="B820" s="94" t="str">
        <f ca="1"/>
        <v>PKEK25VE0010883A</v>
      </c>
      <c r="C820" s="94" t="str">
        <f ca="1"/>
        <v>MOCHA</v>
      </c>
      <c r="D820" s="94" t="str">
        <f ca="1"/>
        <v>292</v>
      </c>
      <c r="E820" s="94" t="str">
        <f ca="1"/>
        <v>FV012283002</v>
      </c>
      <c r="F820" s="94" t="str">
        <f ca="1"/>
        <v>C1500427</v>
      </c>
      <c r="G820" s="94" t="str">
        <f ca="1"/>
        <v>B</v>
      </c>
      <c r="H820" s="94" t="str">
        <f ca="1"/>
        <v>CF003172575</v>
      </c>
      <c r="I820" s="94" t="str">
        <f ca="1"/>
        <v>A</v>
      </c>
      <c r="J820" s="94">
        <f ca="1"/>
        <v>21.7</v>
      </c>
      <c r="K820" s="94"/>
      <c r="L820" s="94">
        <f ca="1"/>
        <v>77.319999999999993</v>
      </c>
      <c r="M820" s="94" t="str">
        <f ca="1"/>
        <v>63/65"</v>
      </c>
      <c r="N820" s="94">
        <f ca="1"/>
        <v>63</v>
      </c>
      <c r="O820" s="94" t="str">
        <f ca="1"/>
        <v>Hole (KN) [针织破洞]</v>
      </c>
      <c r="P820" s="95" t="str">
        <f ca="1"/>
        <v/>
      </c>
      <c r="Q820" s="95" t="str">
        <f ca="1"/>
        <v/>
      </c>
      <c r="R820" s="96">
        <f ca="1"/>
        <v>46151</v>
      </c>
    </row>
    <row r="821" spans="1:18" s="90" customFormat="1" ht="55" customHeight="1" x14ac:dyDescent="0.35">
      <c r="A821" s="94" t="str">
        <f ca="1"/>
        <v>S25V10883</v>
      </c>
      <c r="B821" s="94" t="str">
        <f ca="1"/>
        <v>PKEK25VE0010883A</v>
      </c>
      <c r="C821" s="94" t="str">
        <f ca="1"/>
        <v>MOCHA</v>
      </c>
      <c r="D821" s="94" t="str">
        <f ca="1"/>
        <v>292</v>
      </c>
      <c r="E821" s="94" t="str">
        <f ca="1"/>
        <v>FV012283002</v>
      </c>
      <c r="F821" s="94" t="str">
        <f ca="1"/>
        <v>C1500427</v>
      </c>
      <c r="G821" s="94" t="str">
        <f ca="1"/>
        <v>B</v>
      </c>
      <c r="H821" s="94" t="str">
        <f ca="1"/>
        <v>CF003172576</v>
      </c>
      <c r="I821" s="94" t="str">
        <f ca="1"/>
        <v>A</v>
      </c>
      <c r="J821" s="94">
        <f ca="1"/>
        <v>21.8</v>
      </c>
      <c r="K821" s="94"/>
      <c r="L821" s="94">
        <f ca="1"/>
        <v>77.680000000000007</v>
      </c>
      <c r="M821" s="94" t="str">
        <f ca="1"/>
        <v>63/65"</v>
      </c>
      <c r="N821" s="94">
        <f ca="1"/>
        <v>63</v>
      </c>
      <c r="O821" s="94" t="str">
        <f ca="1"/>
        <v>Hole (KN) [针织破洞]</v>
      </c>
      <c r="P821" s="95" t="str">
        <f ca="1"/>
        <v/>
      </c>
      <c r="Q821" s="95" t="str">
        <f ca="1"/>
        <v/>
      </c>
      <c r="R821" s="96">
        <f ca="1"/>
        <v>46151</v>
      </c>
    </row>
    <row r="822" spans="1:18" s="90" customFormat="1" ht="55" customHeight="1" x14ac:dyDescent="0.35">
      <c r="A822" s="94" t="str">
        <f ca="1"/>
        <v>S25V10883</v>
      </c>
      <c r="B822" s="94" t="str">
        <f ca="1"/>
        <v>PKEK25VE0010883A</v>
      </c>
      <c r="C822" s="94" t="str">
        <f ca="1"/>
        <v>MOCHA</v>
      </c>
      <c r="D822" s="94" t="str">
        <f ca="1"/>
        <v>292</v>
      </c>
      <c r="E822" s="94" t="str">
        <f ca="1"/>
        <v>FV012283002</v>
      </c>
      <c r="F822" s="94" t="str">
        <f ca="1"/>
        <v>C1500427</v>
      </c>
      <c r="G822" s="94" t="str">
        <f ca="1"/>
        <v>B</v>
      </c>
      <c r="H822" s="94" t="str">
        <f ca="1"/>
        <v>CF003172577</v>
      </c>
      <c r="I822" s="94" t="str">
        <f ca="1"/>
        <v>A</v>
      </c>
      <c r="J822" s="94">
        <f ca="1"/>
        <v>24.5</v>
      </c>
      <c r="K822" s="94"/>
      <c r="L822" s="94">
        <f ca="1"/>
        <v>87.3</v>
      </c>
      <c r="M822" s="94" t="str">
        <f ca="1"/>
        <v>63/65"</v>
      </c>
      <c r="N822" s="94">
        <f ca="1"/>
        <v>63</v>
      </c>
      <c r="O822" s="94" t="str">
        <f ca="1"/>
        <v>Friction Mark (PD) [匹染擦痕]</v>
      </c>
      <c r="P822" s="95" t="str">
        <f ca="1"/>
        <v/>
      </c>
      <c r="Q822" s="95" t="str">
        <f ca="1"/>
        <v/>
      </c>
      <c r="R822" s="96">
        <f ca="1"/>
        <v>46151</v>
      </c>
    </row>
    <row r="823" spans="1:18" s="90" customFormat="1" ht="55" customHeight="1" x14ac:dyDescent="0.35">
      <c r="A823" s="94" t="str">
        <f ca="1"/>
        <v>S25V10883</v>
      </c>
      <c r="B823" s="94" t="str">
        <f ca="1"/>
        <v>PKEK25VE0010883A</v>
      </c>
      <c r="C823" s="94" t="str">
        <f ca="1"/>
        <v>MOCHA</v>
      </c>
      <c r="D823" s="94" t="str">
        <f ca="1"/>
        <v>292</v>
      </c>
      <c r="E823" s="94" t="str">
        <f ca="1"/>
        <v>FV012283002</v>
      </c>
      <c r="F823" s="94" t="str">
        <f ca="1"/>
        <v>C1500427</v>
      </c>
      <c r="G823" s="94" t="str">
        <f ca="1"/>
        <v>B</v>
      </c>
      <c r="H823" s="94" t="str">
        <f ca="1"/>
        <v>CF003172578</v>
      </c>
      <c r="I823" s="94" t="str">
        <f ca="1"/>
        <v>A</v>
      </c>
      <c r="J823" s="94">
        <f ca="1"/>
        <v>31.4</v>
      </c>
      <c r="K823" s="94"/>
      <c r="L823" s="94">
        <f ca="1"/>
        <v>111.89</v>
      </c>
      <c r="M823" s="94" t="str">
        <f ca="1"/>
        <v>63/65"</v>
      </c>
      <c r="N823" s="94">
        <f ca="1"/>
        <v>63</v>
      </c>
      <c r="O823" s="94" t="str">
        <f ca="1"/>
        <v>Piece-up(FN) [后整接口]</v>
      </c>
      <c r="P823" s="95" t="str">
        <f ca="1"/>
        <v/>
      </c>
      <c r="Q823" s="95" t="str">
        <f ca="1"/>
        <v/>
      </c>
      <c r="R823" s="96">
        <f ca="1"/>
        <v>46151</v>
      </c>
    </row>
    <row r="824" spans="1:18" s="90" customFormat="1" ht="55" customHeight="1" x14ac:dyDescent="0.35">
      <c r="A824" s="94" t="str">
        <f ca="1"/>
        <v>S25V10883</v>
      </c>
      <c r="B824" s="94" t="str">
        <f ca="1"/>
        <v>PKEK25VE0010883A</v>
      </c>
      <c r="C824" s="94" t="str">
        <f ca="1"/>
        <v>MOCHA</v>
      </c>
      <c r="D824" s="94" t="str">
        <f ca="1"/>
        <v>292</v>
      </c>
      <c r="E824" s="94" t="str">
        <f ca="1"/>
        <v>FV012283002</v>
      </c>
      <c r="F824" s="94" t="str">
        <f ca="1"/>
        <v>C1500427</v>
      </c>
      <c r="G824" s="94" t="str">
        <f ca="1"/>
        <v>B</v>
      </c>
      <c r="H824" s="94" t="str">
        <f ca="1"/>
        <v>CF003172579</v>
      </c>
      <c r="I824" s="94" t="str">
        <f ca="1"/>
        <v>A</v>
      </c>
      <c r="J824" s="94">
        <f ca="1"/>
        <v>22.8</v>
      </c>
      <c r="K824" s="94"/>
      <c r="L824" s="94">
        <f ca="1"/>
        <v>81.239999999999995</v>
      </c>
      <c r="M824" s="94" t="str">
        <f ca="1"/>
        <v>63/65"</v>
      </c>
      <c r="N824" s="94">
        <f ca="1"/>
        <v>63</v>
      </c>
      <c r="O824" s="94" t="str">
        <f ca="1"/>
        <v>Hole (KN) [针织破洞]</v>
      </c>
      <c r="P824" s="95" t="str">
        <f ca="1"/>
        <v/>
      </c>
      <c r="Q824" s="95" t="str">
        <f ca="1"/>
        <v/>
      </c>
      <c r="R824" s="96">
        <f ca="1"/>
        <v>46151</v>
      </c>
    </row>
    <row r="825" spans="1:18" s="90" customFormat="1" ht="55" customHeight="1" x14ac:dyDescent="0.35">
      <c r="A825" s="94" t="str">
        <f ca="1"/>
        <v>S25V10883</v>
      </c>
      <c r="B825" s="94" t="str">
        <f ca="1"/>
        <v>PKEK25VE0010883A</v>
      </c>
      <c r="C825" s="94" t="str">
        <f ca="1"/>
        <v>MOCHA</v>
      </c>
      <c r="D825" s="94" t="str">
        <f ca="1"/>
        <v>292</v>
      </c>
      <c r="E825" s="94" t="str">
        <f ca="1"/>
        <v>FV012283002</v>
      </c>
      <c r="F825" s="94" t="str">
        <f ca="1"/>
        <v>C1500427</v>
      </c>
      <c r="G825" s="94" t="str">
        <f ca="1"/>
        <v>B</v>
      </c>
      <c r="H825" s="94" t="str">
        <f ca="1"/>
        <v>CF003172580</v>
      </c>
      <c r="I825" s="94" t="str">
        <f ca="1"/>
        <v>A</v>
      </c>
      <c r="J825" s="94">
        <f ca="1"/>
        <v>22.9</v>
      </c>
      <c r="K825" s="94"/>
      <c r="L825" s="94">
        <f ca="1"/>
        <v>81.599999999999994</v>
      </c>
      <c r="M825" s="94" t="str">
        <f ca="1"/>
        <v>63/65"</v>
      </c>
      <c r="N825" s="94">
        <f ca="1"/>
        <v>63</v>
      </c>
      <c r="O825" s="94" t="str">
        <f ca="1"/>
        <v/>
      </c>
      <c r="P825" s="95" t="str">
        <f ca="1"/>
        <v/>
      </c>
      <c r="Q825" s="95" t="str">
        <f ca="1"/>
        <v/>
      </c>
      <c r="R825" s="96">
        <f ca="1"/>
        <v>46151</v>
      </c>
    </row>
    <row r="826" spans="1:18" s="90" customFormat="1" ht="55" customHeight="1" x14ac:dyDescent="0.35">
      <c r="A826" s="94" t="str">
        <f ca="1"/>
        <v>S25V10883</v>
      </c>
      <c r="B826" s="94" t="str">
        <f ca="1"/>
        <v>PKEK25VE0010883A</v>
      </c>
      <c r="C826" s="94" t="str">
        <f ca="1"/>
        <v>MOCHA</v>
      </c>
      <c r="D826" s="94" t="str">
        <f ca="1"/>
        <v>292</v>
      </c>
      <c r="E826" s="94" t="str">
        <f ca="1"/>
        <v>FV012283002</v>
      </c>
      <c r="F826" s="94" t="str">
        <f ca="1"/>
        <v>C1500427</v>
      </c>
      <c r="G826" s="94" t="str">
        <f ca="1"/>
        <v>B</v>
      </c>
      <c r="H826" s="94" t="str">
        <f ca="1"/>
        <v>CF003172601</v>
      </c>
      <c r="I826" s="94" t="str">
        <f ca="1"/>
        <v>A</v>
      </c>
      <c r="J826" s="94">
        <f ca="1"/>
        <v>22.9</v>
      </c>
      <c r="K826" s="94"/>
      <c r="L826" s="94">
        <f ca="1"/>
        <v>81.599999999999994</v>
      </c>
      <c r="M826" s="94" t="str">
        <f ca="1"/>
        <v>63/65"</v>
      </c>
      <c r="N826" s="94">
        <f ca="1"/>
        <v>63</v>
      </c>
      <c r="O826" s="94" t="str">
        <f ca="1"/>
        <v>Color Mark (PD) [PD沾色]</v>
      </c>
      <c r="P826" s="95" t="str">
        <f ca="1"/>
        <v/>
      </c>
      <c r="Q826" s="95" t="str">
        <f ca="1"/>
        <v/>
      </c>
      <c r="R826" s="96">
        <f ca="1"/>
        <v>46151</v>
      </c>
    </row>
    <row r="827" spans="1:18" s="90" customFormat="1" ht="55" customHeight="1" x14ac:dyDescent="0.35">
      <c r="A827" s="94" t="str">
        <f ca="1"/>
        <v>S25V10883</v>
      </c>
      <c r="B827" s="94" t="str">
        <f ca="1"/>
        <v>PKEK25VE0010883A</v>
      </c>
      <c r="C827" s="94" t="str">
        <f ca="1"/>
        <v>MOCHA</v>
      </c>
      <c r="D827" s="94" t="str">
        <f ca="1"/>
        <v>292</v>
      </c>
      <c r="E827" s="94" t="str">
        <f ca="1"/>
        <v>FV012283002</v>
      </c>
      <c r="F827" s="94" t="str">
        <f ca="1"/>
        <v>C1500427</v>
      </c>
      <c r="G827" s="94" t="str">
        <f ca="1"/>
        <v>B</v>
      </c>
      <c r="H827" s="94" t="str">
        <f ca="1"/>
        <v>CF003172602</v>
      </c>
      <c r="I827" s="94" t="str">
        <f ca="1"/>
        <v>A</v>
      </c>
      <c r="J827" s="94">
        <f ca="1"/>
        <v>23</v>
      </c>
      <c r="K827" s="94"/>
      <c r="L827" s="94">
        <f ca="1"/>
        <v>81.96</v>
      </c>
      <c r="M827" s="94" t="str">
        <f ca="1"/>
        <v>63/65"</v>
      </c>
      <c r="N827" s="94">
        <f ca="1"/>
        <v>63</v>
      </c>
      <c r="O827" s="94" t="str">
        <f ca="1"/>
        <v>Dirt [针织污渍]</v>
      </c>
      <c r="P827" s="95" t="str">
        <f ca="1"/>
        <v/>
      </c>
      <c r="Q827" s="95" t="str">
        <f ca="1"/>
        <v/>
      </c>
      <c r="R827" s="96">
        <f ca="1"/>
        <v>46151</v>
      </c>
    </row>
    <row r="828" spans="1:18" s="90" customFormat="1" ht="55" customHeight="1" x14ac:dyDescent="0.35">
      <c r="A828" s="94" t="str">
        <f ca="1"/>
        <v>S25V10883</v>
      </c>
      <c r="B828" s="94" t="str">
        <f ca="1"/>
        <v>PKEK25VE0010883A</v>
      </c>
      <c r="C828" s="94" t="str">
        <f ca="1"/>
        <v>MOCHA</v>
      </c>
      <c r="D828" s="94" t="str">
        <f ca="1"/>
        <v>292</v>
      </c>
      <c r="E828" s="94" t="str">
        <f ca="1"/>
        <v>FV012283002</v>
      </c>
      <c r="F828" s="94" t="str">
        <f ca="1"/>
        <v>C1500427</v>
      </c>
      <c r="G828" s="94" t="str">
        <f ca="1"/>
        <v>B</v>
      </c>
      <c r="H828" s="94" t="str">
        <f ca="1"/>
        <v>CF003172603</v>
      </c>
      <c r="I828" s="94" t="str">
        <f ca="1"/>
        <v>A</v>
      </c>
      <c r="J828" s="94">
        <f ca="1"/>
        <v>22.8</v>
      </c>
      <c r="K828" s="94"/>
      <c r="L828" s="94">
        <f ca="1"/>
        <v>81.239999999999995</v>
      </c>
      <c r="M828" s="94" t="str">
        <f ca="1"/>
        <v>63/65"</v>
      </c>
      <c r="N828" s="94">
        <f ca="1"/>
        <v>63</v>
      </c>
      <c r="O828" s="94" t="str">
        <f ca="1"/>
        <v>White mark [白印]</v>
      </c>
      <c r="P828" s="95" t="str">
        <f ca="1"/>
        <v/>
      </c>
      <c r="Q828" s="95" t="str">
        <f ca="1"/>
        <v/>
      </c>
      <c r="R828" s="96">
        <f ca="1"/>
        <v>46151</v>
      </c>
    </row>
    <row r="829" spans="1:18" s="90" customFormat="1" ht="55" customHeight="1" x14ac:dyDescent="0.35">
      <c r="A829" s="94" t="str">
        <f ca="1"/>
        <v>S25V10883</v>
      </c>
      <c r="B829" s="94" t="str">
        <f ca="1"/>
        <v>PKEK25VE0010883A</v>
      </c>
      <c r="C829" s="94" t="str">
        <f ca="1"/>
        <v>MOCHA</v>
      </c>
      <c r="D829" s="94" t="str">
        <f ca="1"/>
        <v>292</v>
      </c>
      <c r="E829" s="94" t="str">
        <f ca="1"/>
        <v>FV012283002</v>
      </c>
      <c r="F829" s="94" t="str">
        <f ca="1"/>
        <v>C1500427</v>
      </c>
      <c r="G829" s="94" t="str">
        <f ca="1"/>
        <v>B</v>
      </c>
      <c r="H829" s="94" t="str">
        <f ca="1"/>
        <v>CF003172604</v>
      </c>
      <c r="I829" s="94" t="str">
        <f ca="1"/>
        <v>A</v>
      </c>
      <c r="J829" s="94">
        <f ca="1"/>
        <v>22.1</v>
      </c>
      <c r="K829" s="94"/>
      <c r="L829" s="94">
        <f ca="1"/>
        <v>78.75</v>
      </c>
      <c r="M829" s="94" t="str">
        <f ca="1"/>
        <v>63/65"</v>
      </c>
      <c r="N829" s="94">
        <f ca="1"/>
        <v>63</v>
      </c>
      <c r="O829" s="94" t="str">
        <f ca="1"/>
        <v>Friction Mark (PD) [匹染擦痕]</v>
      </c>
      <c r="P829" s="95" t="str">
        <f ca="1"/>
        <v/>
      </c>
      <c r="Q829" s="95" t="str">
        <f ca="1"/>
        <v/>
      </c>
      <c r="R829" s="96">
        <f ca="1"/>
        <v>46151</v>
      </c>
    </row>
    <row r="830" spans="1:18" s="90" customFormat="1" ht="55" customHeight="1" x14ac:dyDescent="0.35">
      <c r="A830" s="94" t="str">
        <f ca="1"/>
        <v>S25V10883</v>
      </c>
      <c r="B830" s="94" t="str">
        <f ca="1"/>
        <v>PKEK25VE0010883A</v>
      </c>
      <c r="C830" s="94" t="str">
        <f ca="1"/>
        <v>MOCHA</v>
      </c>
      <c r="D830" s="94" t="str">
        <f ca="1"/>
        <v>292</v>
      </c>
      <c r="E830" s="94" t="str">
        <f ca="1"/>
        <v>FV012283002</v>
      </c>
      <c r="F830" s="94" t="str">
        <f ca="1"/>
        <v>C1500427</v>
      </c>
      <c r="G830" s="94" t="str">
        <f ca="1"/>
        <v>B</v>
      </c>
      <c r="H830" s="94" t="str">
        <f ca="1"/>
        <v>CF003172605</v>
      </c>
      <c r="I830" s="94" t="str">
        <f ca="1"/>
        <v>A</v>
      </c>
      <c r="J830" s="94">
        <f ca="1"/>
        <v>22.9</v>
      </c>
      <c r="K830" s="94"/>
      <c r="L830" s="94">
        <f ca="1"/>
        <v>81.599999999999994</v>
      </c>
      <c r="M830" s="94" t="str">
        <f ca="1"/>
        <v>63/65"</v>
      </c>
      <c r="N830" s="94">
        <f ca="1"/>
        <v>63</v>
      </c>
      <c r="O830" s="94" t="str">
        <f ca="1"/>
        <v>Hole (KN) [针织破洞]</v>
      </c>
      <c r="P830" s="95" t="str">
        <f ca="1"/>
        <v/>
      </c>
      <c r="Q830" s="95" t="str">
        <f ca="1"/>
        <v/>
      </c>
      <c r="R830" s="96">
        <f ca="1"/>
        <v>46151</v>
      </c>
    </row>
    <row r="831" spans="1:18" s="90" customFormat="1" ht="55" customHeight="1" x14ac:dyDescent="0.35">
      <c r="A831" s="94" t="str">
        <f ca="1"/>
        <v>S25V10883</v>
      </c>
      <c r="B831" s="94" t="str">
        <f ca="1"/>
        <v>PKEK25VE0010883A</v>
      </c>
      <c r="C831" s="94" t="str">
        <f ca="1"/>
        <v>MOCHA</v>
      </c>
      <c r="D831" s="94" t="str">
        <f ca="1"/>
        <v>292</v>
      </c>
      <c r="E831" s="94" t="str">
        <f ca="1"/>
        <v>FV012283002</v>
      </c>
      <c r="F831" s="94" t="str">
        <f ca="1"/>
        <v>C1500427</v>
      </c>
      <c r="G831" s="94" t="str">
        <f ca="1"/>
        <v>B</v>
      </c>
      <c r="H831" s="94" t="str">
        <f ca="1"/>
        <v>CF003172616</v>
      </c>
      <c r="I831" s="94" t="str">
        <f ca="1"/>
        <v>A</v>
      </c>
      <c r="J831" s="94">
        <f ca="1"/>
        <v>22.8</v>
      </c>
      <c r="K831" s="94"/>
      <c r="L831" s="94">
        <f ca="1"/>
        <v>81.239999999999995</v>
      </c>
      <c r="M831" s="94" t="str">
        <f ca="1"/>
        <v>63/65"</v>
      </c>
      <c r="N831" s="94">
        <f ca="1"/>
        <v>63</v>
      </c>
      <c r="O831" s="94" t="str">
        <f ca="1"/>
        <v>Hole (KN) [针织破洞]</v>
      </c>
      <c r="P831" s="95" t="str">
        <f ca="1"/>
        <v/>
      </c>
      <c r="Q831" s="95" t="str">
        <f ca="1"/>
        <v/>
      </c>
      <c r="R831" s="96">
        <f ca="1"/>
        <v>46151</v>
      </c>
    </row>
    <row r="832" spans="1:18" s="90" customFormat="1" ht="55" customHeight="1" x14ac:dyDescent="0.35">
      <c r="A832" s="94" t="str">
        <f ca="1"/>
        <v>S25V10883</v>
      </c>
      <c r="B832" s="94" t="str">
        <f ca="1"/>
        <v>PKEK25VE0010883A</v>
      </c>
      <c r="C832" s="94" t="str">
        <f ca="1"/>
        <v>MOCHA</v>
      </c>
      <c r="D832" s="94" t="str">
        <f ca="1"/>
        <v>292</v>
      </c>
      <c r="E832" s="94" t="str">
        <f ca="1"/>
        <v>FV012283002</v>
      </c>
      <c r="F832" s="94" t="str">
        <f ca="1"/>
        <v>C1500427</v>
      </c>
      <c r="G832" s="94" t="str">
        <f ca="1"/>
        <v>B</v>
      </c>
      <c r="H832" s="94" t="str">
        <f ca="1"/>
        <v>CF003172617</v>
      </c>
      <c r="I832" s="94" t="str">
        <f ca="1"/>
        <v>A</v>
      </c>
      <c r="J832" s="94">
        <f ca="1"/>
        <v>23</v>
      </c>
      <c r="K832" s="94"/>
      <c r="L832" s="94">
        <f ca="1"/>
        <v>81.96</v>
      </c>
      <c r="M832" s="94" t="str">
        <f ca="1"/>
        <v>63/65"</v>
      </c>
      <c r="N832" s="94">
        <f ca="1"/>
        <v>63</v>
      </c>
      <c r="O832" s="94" t="str">
        <f ca="1"/>
        <v>Dirt [针织污渍]</v>
      </c>
      <c r="P832" s="95" t="str">
        <f ca="1"/>
        <v/>
      </c>
      <c r="Q832" s="95" t="str">
        <f ca="1"/>
        <v/>
      </c>
      <c r="R832" s="96">
        <f ca="1"/>
        <v>46151</v>
      </c>
    </row>
    <row r="833" spans="1:18" s="90" customFormat="1" ht="55" customHeight="1" x14ac:dyDescent="0.35">
      <c r="A833" s="94" t="str">
        <f ca="1"/>
        <v>S25V10883</v>
      </c>
      <c r="B833" s="94" t="str">
        <f ca="1"/>
        <v>PKEK25VE0010883A</v>
      </c>
      <c r="C833" s="94" t="str">
        <f ca="1"/>
        <v>MOCHA</v>
      </c>
      <c r="D833" s="94" t="str">
        <f ca="1"/>
        <v>292</v>
      </c>
      <c r="E833" s="94" t="str">
        <f ca="1"/>
        <v>FV012283002</v>
      </c>
      <c r="F833" s="94" t="str">
        <f ca="1"/>
        <v>C1500427</v>
      </c>
      <c r="G833" s="94" t="str">
        <f ca="1"/>
        <v>B</v>
      </c>
      <c r="H833" s="94" t="str">
        <f ca="1"/>
        <v>CF003172618</v>
      </c>
      <c r="I833" s="94" t="str">
        <f ca="1"/>
        <v>A</v>
      </c>
      <c r="J833" s="94">
        <f ca="1"/>
        <v>21.4</v>
      </c>
      <c r="K833" s="94"/>
      <c r="L833" s="94">
        <f ca="1"/>
        <v>76.25</v>
      </c>
      <c r="M833" s="94" t="str">
        <f ca="1"/>
        <v>63/65"</v>
      </c>
      <c r="N833" s="94">
        <f ca="1"/>
        <v>63</v>
      </c>
      <c r="O833" s="94" t="str">
        <f ca="1"/>
        <v/>
      </c>
      <c r="P833" s="95" t="str">
        <f ca="1"/>
        <v/>
      </c>
      <c r="Q833" s="95" t="str">
        <f ca="1"/>
        <v/>
      </c>
      <c r="R833" s="96">
        <f ca="1"/>
        <v>46151</v>
      </c>
    </row>
    <row r="834" spans="1:18" s="90" customFormat="1" ht="55" customHeight="1" x14ac:dyDescent="0.35">
      <c r="A834" s="94" t="str">
        <f ca="1"/>
        <v>S25V10883</v>
      </c>
      <c r="B834" s="94" t="str">
        <f ca="1"/>
        <v>PKEK25VE0010883A</v>
      </c>
      <c r="C834" s="94" t="str">
        <f ca="1"/>
        <v>CABERNET</v>
      </c>
      <c r="D834" s="94" t="str">
        <f ca="1"/>
        <v>617</v>
      </c>
      <c r="E834" s="94" t="str">
        <f ca="1"/>
        <v>FV012282501</v>
      </c>
      <c r="F834" s="94" t="str">
        <f ca="1"/>
        <v>C1500427</v>
      </c>
      <c r="G834" s="94" t="str">
        <f ca="1"/>
        <v>B</v>
      </c>
      <c r="H834" s="94" t="str">
        <f ca="1"/>
        <v>CF003172761</v>
      </c>
      <c r="I834" s="94" t="str">
        <f ca="1"/>
        <v>C</v>
      </c>
      <c r="J834" s="94">
        <f ca="1"/>
        <v>23.8</v>
      </c>
      <c r="K834" s="94"/>
      <c r="L834" s="94">
        <f ca="1"/>
        <v>81.260000000000005</v>
      </c>
      <c r="M834" s="94" t="str">
        <f ca="1"/>
        <v>63/65"</v>
      </c>
      <c r="N834" s="94">
        <f ca="1"/>
        <v>63</v>
      </c>
      <c r="O834" s="94" t="str">
        <f ca="1"/>
        <v>thick yarn</v>
      </c>
      <c r="P834" s="95" t="str">
        <f ca="1"/>
        <v/>
      </c>
      <c r="Q834" s="95" t="str">
        <f ca="1"/>
        <v/>
      </c>
      <c r="R834" s="96">
        <f ca="1"/>
        <v>46153</v>
      </c>
    </row>
    <row r="835" spans="1:18" s="90" customFormat="1" ht="55" customHeight="1" x14ac:dyDescent="0.35">
      <c r="A835" s="94" t="str">
        <f ca="1"/>
        <v>S25V10883</v>
      </c>
      <c r="B835" s="94" t="str">
        <f ca="1"/>
        <v>PKEK25VE0010883A</v>
      </c>
      <c r="C835" s="94" t="str">
        <f ca="1"/>
        <v>CABERNET</v>
      </c>
      <c r="D835" s="94" t="str">
        <f ca="1"/>
        <v>617</v>
      </c>
      <c r="E835" s="94" t="str">
        <f ca="1"/>
        <v>FV012282501</v>
      </c>
      <c r="F835" s="94" t="str">
        <f ca="1"/>
        <v>C1500427</v>
      </c>
      <c r="G835" s="94" t="str">
        <f ca="1"/>
        <v>B</v>
      </c>
      <c r="H835" s="94" t="str">
        <f ca="1"/>
        <v>CF003172762</v>
      </c>
      <c r="I835" s="94" t="str">
        <f ca="1"/>
        <v>D</v>
      </c>
      <c r="J835" s="94">
        <f ca="1"/>
        <v>16</v>
      </c>
      <c r="K835" s="94"/>
      <c r="L835" s="94">
        <f ca="1"/>
        <v>54.63</v>
      </c>
      <c r="M835" s="94" t="str">
        <f ca="1"/>
        <v>63/65"</v>
      </c>
      <c r="N835" s="94">
        <f ca="1"/>
        <v>63</v>
      </c>
      <c r="O835" s="94" t="str">
        <f ca="1"/>
        <v>thick yarn</v>
      </c>
      <c r="P835" s="95" t="str">
        <f ca="1"/>
        <v/>
      </c>
      <c r="Q835" s="95" t="str">
        <f ca="1"/>
        <v/>
      </c>
      <c r="R835" s="96">
        <f ca="1"/>
        <v>46153</v>
      </c>
    </row>
    <row r="836" spans="1:18" s="90" customFormat="1" ht="55" customHeight="1" x14ac:dyDescent="0.35">
      <c r="A836" s="94" t="str">
        <f ca="1"/>
        <v>S25V10883</v>
      </c>
      <c r="B836" s="94" t="str">
        <f ca="1"/>
        <v>PKEK25VE0010883A</v>
      </c>
      <c r="C836" s="94" t="str">
        <f ca="1"/>
        <v>CABERNET</v>
      </c>
      <c r="D836" s="94" t="str">
        <f ca="1"/>
        <v>617</v>
      </c>
      <c r="E836" s="94" t="str">
        <f ca="1"/>
        <v>FV012282501</v>
      </c>
      <c r="F836" s="94" t="str">
        <f ca="1"/>
        <v>C1500427</v>
      </c>
      <c r="G836" s="94" t="str">
        <f ca="1"/>
        <v>B</v>
      </c>
      <c r="H836" s="94" t="str">
        <f ca="1"/>
        <v>CF003172763</v>
      </c>
      <c r="I836" s="94" t="str">
        <f ca="1"/>
        <v>C</v>
      </c>
      <c r="J836" s="94">
        <f ca="1"/>
        <v>23.8</v>
      </c>
      <c r="K836" s="94"/>
      <c r="L836" s="94">
        <f ca="1"/>
        <v>81.260000000000005</v>
      </c>
      <c r="M836" s="94" t="str">
        <f ca="1"/>
        <v>63/65"</v>
      </c>
      <c r="N836" s="94">
        <f ca="1"/>
        <v>63</v>
      </c>
      <c r="O836" s="94" t="str">
        <f ca="1"/>
        <v>thick yarn</v>
      </c>
      <c r="P836" s="95" t="str">
        <f ca="1"/>
        <v/>
      </c>
      <c r="Q836" s="95" t="str">
        <f ca="1"/>
        <v/>
      </c>
      <c r="R836" s="96">
        <f ca="1"/>
        <v>46153</v>
      </c>
    </row>
    <row r="837" spans="1:18" s="90" customFormat="1" ht="55" customHeight="1" x14ac:dyDescent="0.35">
      <c r="A837" s="94" t="str">
        <f ca="1"/>
        <v>S25V10883</v>
      </c>
      <c r="B837" s="94" t="str">
        <f ca="1"/>
        <v>PKEK25VE0010883A</v>
      </c>
      <c r="C837" s="94" t="str">
        <f ca="1"/>
        <v>CABERNET</v>
      </c>
      <c r="D837" s="94" t="str">
        <f ca="1"/>
        <v>617</v>
      </c>
      <c r="E837" s="94" t="str">
        <f ca="1"/>
        <v>FV012282501</v>
      </c>
      <c r="F837" s="94" t="str">
        <f ca="1"/>
        <v>C1500427</v>
      </c>
      <c r="G837" s="94" t="str">
        <f ca="1"/>
        <v>B</v>
      </c>
      <c r="H837" s="94" t="str">
        <f ca="1"/>
        <v>CF003172764</v>
      </c>
      <c r="I837" s="94" t="str">
        <f ca="1"/>
        <v>C</v>
      </c>
      <c r="J837" s="94">
        <f ca="1"/>
        <v>23.9</v>
      </c>
      <c r="K837" s="94"/>
      <c r="L837" s="94">
        <f ca="1"/>
        <v>81.599999999999994</v>
      </c>
      <c r="M837" s="94" t="str">
        <f ca="1"/>
        <v>63/65"</v>
      </c>
      <c r="N837" s="94">
        <f ca="1"/>
        <v>63</v>
      </c>
      <c r="O837" s="94" t="str">
        <f ca="1"/>
        <v>thick yarn</v>
      </c>
      <c r="P837" s="95" t="str">
        <f ca="1"/>
        <v/>
      </c>
      <c r="Q837" s="95" t="str">
        <f ca="1"/>
        <v/>
      </c>
      <c r="R837" s="96">
        <f ca="1"/>
        <v>46153</v>
      </c>
    </row>
    <row r="838" spans="1:18" s="90" customFormat="1" ht="55" customHeight="1" x14ac:dyDescent="0.35">
      <c r="A838" s="94" t="str">
        <f ca="1"/>
        <v>S25V10883</v>
      </c>
      <c r="B838" s="94" t="str">
        <f ca="1"/>
        <v>PKEK25VE0010883A</v>
      </c>
      <c r="C838" s="94" t="str">
        <f ca="1"/>
        <v>CABERNET</v>
      </c>
      <c r="D838" s="94" t="str">
        <f ca="1"/>
        <v>617</v>
      </c>
      <c r="E838" s="94" t="str">
        <f ca="1"/>
        <v>FV012282501</v>
      </c>
      <c r="F838" s="94" t="str">
        <f ca="1"/>
        <v>C1500427</v>
      </c>
      <c r="G838" s="94" t="str">
        <f ca="1"/>
        <v>B</v>
      </c>
      <c r="H838" s="94" t="str">
        <f ca="1"/>
        <v>CF003172765</v>
      </c>
      <c r="I838" s="94" t="str">
        <f ca="1"/>
        <v>C</v>
      </c>
      <c r="J838" s="94">
        <f ca="1"/>
        <v>22.1</v>
      </c>
      <c r="K838" s="94"/>
      <c r="L838" s="94">
        <f ca="1"/>
        <v>75.459999999999994</v>
      </c>
      <c r="M838" s="94" t="str">
        <f ca="1"/>
        <v>63/65"</v>
      </c>
      <c r="N838" s="94">
        <f ca="1"/>
        <v>63</v>
      </c>
      <c r="O838" s="94" t="str">
        <f ca="1"/>
        <v>thick yarn</v>
      </c>
      <c r="P838" s="95" t="str">
        <f ca="1"/>
        <v/>
      </c>
      <c r="Q838" s="95" t="str">
        <f ca="1"/>
        <v/>
      </c>
      <c r="R838" s="96">
        <f ca="1"/>
        <v>1</v>
      </c>
    </row>
    <row r="839" spans="1:18" s="90" customFormat="1" ht="55" customHeight="1" x14ac:dyDescent="0.35">
      <c r="A839" s="94" t="str">
        <f ca="1"/>
        <v>S25V10883</v>
      </c>
      <c r="B839" s="94" t="str">
        <f ca="1"/>
        <v>PKEK25VE0010883A</v>
      </c>
      <c r="C839" s="94" t="str">
        <f ca="1"/>
        <v>CABERNET</v>
      </c>
      <c r="D839" s="94" t="str">
        <f ca="1"/>
        <v>617</v>
      </c>
      <c r="E839" s="94" t="str">
        <f ca="1"/>
        <v>FV012282501</v>
      </c>
      <c r="F839" s="94" t="str">
        <f ca="1"/>
        <v>C1500427</v>
      </c>
      <c r="G839" s="94" t="str">
        <f ca="1"/>
        <v>B</v>
      </c>
      <c r="H839" s="94" t="str">
        <f ca="1"/>
        <v>CF003172766</v>
      </c>
      <c r="I839" s="94" t="str">
        <f ca="1"/>
        <v>C</v>
      </c>
      <c r="J839" s="94">
        <f ca="1"/>
        <v>32.700000000000003</v>
      </c>
      <c r="K839" s="94"/>
      <c r="L839" s="94">
        <f ca="1"/>
        <v>111.65</v>
      </c>
      <c r="M839" s="94" t="str">
        <f ca="1"/>
        <v>63/65"</v>
      </c>
      <c r="N839" s="94">
        <f ca="1"/>
        <v>63</v>
      </c>
      <c r="O839" s="94" t="str">
        <f ca="1"/>
        <v>thick yarn</v>
      </c>
      <c r="P839" s="95" t="str">
        <f ca="1"/>
        <v/>
      </c>
      <c r="Q839" s="95" t="str">
        <f ca="1"/>
        <v/>
      </c>
      <c r="R839" s="96">
        <f ca="1"/>
        <v>46153</v>
      </c>
    </row>
    <row r="840" spans="1:18" s="90" customFormat="1" ht="55" customHeight="1" x14ac:dyDescent="0.35">
      <c r="A840" s="94" t="str">
        <f ca="1"/>
        <v>S25V10883</v>
      </c>
      <c r="B840" s="94" t="str">
        <f ca="1"/>
        <v>PKEK25VE0010883A</v>
      </c>
      <c r="C840" s="94" t="str">
        <f ca="1"/>
        <v>CABERNET</v>
      </c>
      <c r="D840" s="94" t="str">
        <f ca="1"/>
        <v>617</v>
      </c>
      <c r="E840" s="94" t="str">
        <f ca="1"/>
        <v>FV012282501</v>
      </c>
      <c r="F840" s="94" t="str">
        <f ca="1"/>
        <v>C1500427</v>
      </c>
      <c r="G840" s="94" t="str">
        <f ca="1"/>
        <v>B</v>
      </c>
      <c r="H840" s="94" t="str">
        <f ca="1"/>
        <v>CF003172767</v>
      </c>
      <c r="I840" s="94" t="str">
        <f ca="1"/>
        <v>C</v>
      </c>
      <c r="J840" s="94">
        <f ca="1"/>
        <v>24.1</v>
      </c>
      <c r="K840" s="94"/>
      <c r="L840" s="94">
        <f ca="1"/>
        <v>82.29</v>
      </c>
      <c r="M840" s="94" t="str">
        <f ca="1"/>
        <v>63/65"</v>
      </c>
      <c r="N840" s="94">
        <f ca="1"/>
        <v>63</v>
      </c>
      <c r="O840" s="94" t="str">
        <f ca="1"/>
        <v>thick yarn</v>
      </c>
      <c r="P840" s="95" t="str">
        <f ca="1"/>
        <v/>
      </c>
      <c r="Q840" s="95" t="str">
        <f ca="1"/>
        <v/>
      </c>
      <c r="R840" s="96">
        <f ca="1"/>
        <v>46153</v>
      </c>
    </row>
    <row r="841" spans="1:18" s="90" customFormat="1" ht="55" customHeight="1" x14ac:dyDescent="0.35">
      <c r="A841" s="94" t="str">
        <f ca="1"/>
        <v>S25V10883</v>
      </c>
      <c r="B841" s="94" t="str">
        <f ca="1"/>
        <v>PKEK25VE0010883A</v>
      </c>
      <c r="C841" s="94" t="str">
        <f ca="1"/>
        <v>LAGOON</v>
      </c>
      <c r="D841" s="94" t="str">
        <f ca="1"/>
        <v>457</v>
      </c>
      <c r="E841" s="94" t="str">
        <f ca="1"/>
        <v>FV012283101</v>
      </c>
      <c r="F841" s="94" t="str">
        <f ca="1"/>
        <v>C1500427</v>
      </c>
      <c r="G841" s="94" t="str">
        <f ca="1"/>
        <v>B</v>
      </c>
      <c r="H841" s="94" t="str">
        <f ca="1"/>
        <v>CF003172773</v>
      </c>
      <c r="I841" s="94" t="str">
        <f ca="1"/>
        <v>C</v>
      </c>
      <c r="J841" s="94">
        <f ca="1"/>
        <v>23.1</v>
      </c>
      <c r="K841" s="94"/>
      <c r="L841" s="94">
        <f ca="1"/>
        <v>77.28</v>
      </c>
      <c r="M841" s="94" t="str">
        <f ca="1"/>
        <v>63/65"</v>
      </c>
      <c r="N841" s="94">
        <f ca="1"/>
        <v>63</v>
      </c>
      <c r="O841" s="94" t="str">
        <f ca="1"/>
        <v>thick yarn</v>
      </c>
      <c r="P841" s="95" t="str">
        <f ca="1"/>
        <v/>
      </c>
      <c r="Q841" s="95" t="str">
        <f ca="1"/>
        <v/>
      </c>
      <c r="R841" s="96">
        <f ca="1"/>
        <v>46153</v>
      </c>
    </row>
    <row r="842" spans="1:18" s="90" customFormat="1" ht="55" customHeight="1" x14ac:dyDescent="0.35">
      <c r="A842" s="94" t="str">
        <f ca="1"/>
        <v>S25V10883</v>
      </c>
      <c r="B842" s="94" t="str">
        <f ca="1"/>
        <v>PKEK25VE0010883A</v>
      </c>
      <c r="C842" s="94" t="str">
        <f ca="1"/>
        <v>LAGOON</v>
      </c>
      <c r="D842" s="94" t="str">
        <f ca="1"/>
        <v>457</v>
      </c>
      <c r="E842" s="94" t="str">
        <f ca="1"/>
        <v>FV012283101</v>
      </c>
      <c r="F842" s="94" t="str">
        <f ca="1"/>
        <v>C1500427</v>
      </c>
      <c r="G842" s="94" t="str">
        <f ca="1"/>
        <v>B</v>
      </c>
      <c r="H842" s="94" t="str">
        <f ca="1"/>
        <v>CF003172774</v>
      </c>
      <c r="I842" s="94" t="str">
        <f ca="1"/>
        <v>C</v>
      </c>
      <c r="J842" s="94">
        <f ca="1"/>
        <v>23.6</v>
      </c>
      <c r="K842" s="94"/>
      <c r="L842" s="94">
        <f ca="1"/>
        <v>78.95</v>
      </c>
      <c r="M842" s="94" t="str">
        <f ca="1"/>
        <v>63/65"</v>
      </c>
      <c r="N842" s="94">
        <f ca="1"/>
        <v>63</v>
      </c>
      <c r="O842" s="94" t="str">
        <f ca="1"/>
        <v>thick yarn</v>
      </c>
      <c r="P842" s="95" t="str">
        <f ca="1"/>
        <v/>
      </c>
      <c r="Q842" s="95" t="str">
        <f ca="1"/>
        <v/>
      </c>
      <c r="R842" s="96">
        <f ca="1"/>
        <v>46153</v>
      </c>
    </row>
    <row r="843" spans="1:18" s="90" customFormat="1" ht="55" customHeight="1" x14ac:dyDescent="0.35">
      <c r="A843" s="94" t="str">
        <f ca="1"/>
        <v>S25V10883</v>
      </c>
      <c r="B843" s="94" t="str">
        <f ca="1"/>
        <v>PKEK25VE0010883A</v>
      </c>
      <c r="C843" s="94" t="str">
        <f ca="1"/>
        <v>LAGOON</v>
      </c>
      <c r="D843" s="94" t="str">
        <f ca="1"/>
        <v>457</v>
      </c>
      <c r="E843" s="94" t="str">
        <f ca="1"/>
        <v>FV012283101</v>
      </c>
      <c r="F843" s="94" t="str">
        <f ca="1"/>
        <v>C1500427</v>
      </c>
      <c r="G843" s="94" t="str">
        <f ca="1"/>
        <v>B</v>
      </c>
      <c r="H843" s="94" t="str">
        <f ca="1"/>
        <v>CF003172775</v>
      </c>
      <c r="I843" s="94" t="str">
        <f ca="1"/>
        <v>C</v>
      </c>
      <c r="J843" s="94">
        <f ca="1"/>
        <v>23</v>
      </c>
      <c r="K843" s="94"/>
      <c r="L843" s="94">
        <f ca="1"/>
        <v>76.95</v>
      </c>
      <c r="M843" s="94" t="str">
        <f ca="1"/>
        <v>63/65"</v>
      </c>
      <c r="N843" s="94">
        <f ca="1"/>
        <v>63</v>
      </c>
      <c r="O843" s="94" t="str">
        <f ca="1"/>
        <v>thick yarn</v>
      </c>
      <c r="P843" s="95" t="str">
        <f ca="1"/>
        <v/>
      </c>
      <c r="Q843" s="95" t="str">
        <f ca="1"/>
        <v/>
      </c>
      <c r="R843" s="96">
        <f ca="1"/>
        <v>46153</v>
      </c>
    </row>
    <row r="844" spans="1:18" s="90" customFormat="1" ht="55" customHeight="1" x14ac:dyDescent="0.35">
      <c r="A844" s="94" t="str">
        <f ca="1"/>
        <v>S25V10883</v>
      </c>
      <c r="B844" s="94" t="str">
        <f ca="1"/>
        <v>PKEK25VE0010883A</v>
      </c>
      <c r="C844" s="94" t="str">
        <f ca="1"/>
        <v>LAGOON</v>
      </c>
      <c r="D844" s="94" t="str">
        <f ca="1"/>
        <v>457</v>
      </c>
      <c r="E844" s="94" t="str">
        <f ca="1"/>
        <v>FV012283101</v>
      </c>
      <c r="F844" s="94" t="str">
        <f ca="1"/>
        <v>C1500427</v>
      </c>
      <c r="G844" s="94" t="str">
        <f ca="1"/>
        <v>B</v>
      </c>
      <c r="H844" s="94" t="str">
        <f ca="1"/>
        <v>CF003172776</v>
      </c>
      <c r="I844" s="94" t="str">
        <f ca="1"/>
        <v>C</v>
      </c>
      <c r="J844" s="94">
        <f ca="1"/>
        <v>23.3</v>
      </c>
      <c r="K844" s="94"/>
      <c r="L844" s="94">
        <f ca="1"/>
        <v>77.95</v>
      </c>
      <c r="M844" s="94" t="str">
        <f ca="1"/>
        <v>63/65"</v>
      </c>
      <c r="N844" s="94">
        <f ca="1"/>
        <v>63</v>
      </c>
      <c r="O844" s="94" t="str">
        <f ca="1"/>
        <v>thick yarn</v>
      </c>
      <c r="P844" s="95" t="str">
        <f ca="1"/>
        <v/>
      </c>
      <c r="Q844" s="95" t="str">
        <f ca="1"/>
        <v/>
      </c>
      <c r="R844" s="96">
        <f ca="1"/>
        <v>46153</v>
      </c>
    </row>
    <row r="845" spans="1:18" s="90" customFormat="1" ht="55" customHeight="1" x14ac:dyDescent="0.35">
      <c r="A845" s="94" t="str">
        <f ca="1"/>
        <v>S25V10883</v>
      </c>
      <c r="B845" s="94" t="str">
        <f ca="1"/>
        <v>PKEK25VE0010883A</v>
      </c>
      <c r="C845" s="94" t="str">
        <f ca="1"/>
        <v>LAGOON</v>
      </c>
      <c r="D845" s="94" t="str">
        <f ca="1"/>
        <v>457</v>
      </c>
      <c r="E845" s="94" t="str">
        <f ca="1"/>
        <v>FV012283101</v>
      </c>
      <c r="F845" s="94" t="str">
        <f ca="1"/>
        <v>C1500427</v>
      </c>
      <c r="G845" s="94" t="str">
        <f ca="1"/>
        <v>B</v>
      </c>
      <c r="H845" s="94" t="str">
        <f ca="1"/>
        <v>CF003172777</v>
      </c>
      <c r="I845" s="94" t="str">
        <f ca="1"/>
        <v>D</v>
      </c>
      <c r="J845" s="94">
        <f ca="1"/>
        <v>21</v>
      </c>
      <c r="K845" s="94"/>
      <c r="L845" s="94">
        <f ca="1"/>
        <v>70.25</v>
      </c>
      <c r="M845" s="94" t="str">
        <f ca="1"/>
        <v>63/65"</v>
      </c>
      <c r="N845" s="94">
        <f ca="1"/>
        <v>63</v>
      </c>
      <c r="O845" s="94" t="str">
        <f ca="1"/>
        <v>thick yarn</v>
      </c>
      <c r="P845" s="95" t="str">
        <f ca="1"/>
        <v/>
      </c>
      <c r="Q845" s="95" t="str">
        <f ca="1"/>
        <v/>
      </c>
      <c r="R845" s="96">
        <f ca="1"/>
        <v>46153</v>
      </c>
    </row>
    <row r="846" spans="1:18" s="90" customFormat="1" ht="55" customHeight="1" x14ac:dyDescent="0.35">
      <c r="A846" s="94" t="str">
        <f ca="1"/>
        <v>S25V10883</v>
      </c>
      <c r="B846" s="94" t="str">
        <f ca="1"/>
        <v>PKEK25VE0010883A</v>
      </c>
      <c r="C846" s="94" t="str">
        <f ca="1"/>
        <v>LAGOON</v>
      </c>
      <c r="D846" s="94" t="str">
        <f ca="1"/>
        <v>457</v>
      </c>
      <c r="E846" s="94" t="str">
        <f ca="1"/>
        <v>FV012283101</v>
      </c>
      <c r="F846" s="94" t="str">
        <f ca="1"/>
        <v>C1500427</v>
      </c>
      <c r="G846" s="94" t="str">
        <f ca="1"/>
        <v>B</v>
      </c>
      <c r="H846" s="94" t="str">
        <f ca="1"/>
        <v>CF003172778</v>
      </c>
      <c r="I846" s="94" t="str">
        <f ca="1"/>
        <v>C</v>
      </c>
      <c r="J846" s="94">
        <f ca="1"/>
        <v>23</v>
      </c>
      <c r="K846" s="94"/>
      <c r="L846" s="94">
        <f ca="1"/>
        <v>76.95</v>
      </c>
      <c r="M846" s="94" t="str">
        <f ca="1"/>
        <v>63/65"</v>
      </c>
      <c r="N846" s="94">
        <f ca="1"/>
        <v>63</v>
      </c>
      <c r="O846" s="94" t="str">
        <f ca="1"/>
        <v>thick yarn</v>
      </c>
      <c r="P846" s="95" t="str">
        <f ca="1"/>
        <v/>
      </c>
      <c r="Q846" s="95" t="str">
        <f ca="1"/>
        <v/>
      </c>
      <c r="R846" s="96">
        <f ca="1"/>
        <v>46153</v>
      </c>
    </row>
    <row r="847" spans="1:18" s="90" customFormat="1" ht="55" customHeight="1" x14ac:dyDescent="0.35">
      <c r="A847" s="94" t="str">
        <f ca="1"/>
        <v>S25V10883</v>
      </c>
      <c r="B847" s="94" t="str">
        <f ca="1"/>
        <v>PKEK25VE0010883A</v>
      </c>
      <c r="C847" s="94" t="str">
        <f ca="1"/>
        <v>Air Force Blue</v>
      </c>
      <c r="D847" s="94" t="str">
        <f ca="1"/>
        <v>957</v>
      </c>
      <c r="E847" s="94" t="str">
        <f ca="1"/>
        <v>FV012282801</v>
      </c>
      <c r="F847" s="94" t="str">
        <f ca="1"/>
        <v>C1500427</v>
      </c>
      <c r="G847" s="94" t="str">
        <f ca="1"/>
        <v>B</v>
      </c>
      <c r="H847" s="94" t="str">
        <f ca="1"/>
        <v>CF003173701</v>
      </c>
      <c r="I847" s="94" t="str">
        <f ca="1"/>
        <v>C</v>
      </c>
      <c r="J847" s="94">
        <f ca="1"/>
        <v>22.3</v>
      </c>
      <c r="K847" s="94"/>
      <c r="L847" s="94">
        <f ca="1"/>
        <v>77.739999999999995</v>
      </c>
      <c r="M847" s="94" t="str">
        <f ca="1"/>
        <v>63/65"</v>
      </c>
      <c r="N847" s="94">
        <f ca="1"/>
        <v>63</v>
      </c>
      <c r="O847" s="94" t="str">
        <f ca="1"/>
        <v>White mark [白印]</v>
      </c>
      <c r="P847" s="95" t="str">
        <f ca="1"/>
        <v/>
      </c>
      <c r="Q847" s="95" t="str">
        <f ca="1"/>
        <v/>
      </c>
      <c r="R847" s="96">
        <f ca="1"/>
        <v>1</v>
      </c>
    </row>
    <row r="848" spans="1:18" s="90" customFormat="1" ht="55" customHeight="1" x14ac:dyDescent="0.35">
      <c r="A848" s="94" t="str">
        <f ca="1"/>
        <v>S25V10883</v>
      </c>
      <c r="B848" s="94" t="str">
        <f ca="1"/>
        <v>PKEK25VE0010883A</v>
      </c>
      <c r="C848" s="94" t="str">
        <f ca="1"/>
        <v>Air Force Blue</v>
      </c>
      <c r="D848" s="94" t="str">
        <f ca="1"/>
        <v>957</v>
      </c>
      <c r="E848" s="94" t="str">
        <f ca="1"/>
        <v>FV012282801</v>
      </c>
      <c r="F848" s="94" t="str">
        <f ca="1"/>
        <v>C1500427</v>
      </c>
      <c r="G848" s="94" t="str">
        <f ca="1"/>
        <v>B</v>
      </c>
      <c r="H848" s="94" t="str">
        <f ca="1"/>
        <v>CF003173702</v>
      </c>
      <c r="I848" s="94" t="str">
        <f ca="1"/>
        <v>D</v>
      </c>
      <c r="J848" s="94">
        <f ca="1"/>
        <v>17.600000000000001</v>
      </c>
      <c r="K848" s="94"/>
      <c r="L848" s="94">
        <f ca="1"/>
        <v>61.36</v>
      </c>
      <c r="M848" s="94" t="str">
        <f ca="1"/>
        <v>63/65"</v>
      </c>
      <c r="N848" s="94">
        <f ca="1"/>
        <v>63</v>
      </c>
      <c r="O848" s="94" t="str">
        <f ca="1"/>
        <v>Oil (FN) [后整油污]</v>
      </c>
      <c r="P848" s="95" t="str">
        <f ca="1"/>
        <v/>
      </c>
      <c r="Q848" s="95" t="str">
        <f ca="1"/>
        <v/>
      </c>
      <c r="R848" s="96">
        <f ca="1"/>
        <v>1</v>
      </c>
    </row>
    <row r="849" spans="1:18" s="90" customFormat="1" ht="55" customHeight="1" x14ac:dyDescent="0.35">
      <c r="A849" s="94" t="str">
        <f ca="1"/>
        <v>S25V10883</v>
      </c>
      <c r="B849" s="94" t="str">
        <f ca="1"/>
        <v>PKEK25VE0010883A</v>
      </c>
      <c r="C849" s="94" t="str">
        <f ca="1"/>
        <v>LAGOON</v>
      </c>
      <c r="D849" s="94" t="str">
        <f ca="1"/>
        <v>457</v>
      </c>
      <c r="E849" s="94" t="str">
        <f ca="1"/>
        <v>FV012283103A</v>
      </c>
      <c r="F849" s="94" t="str">
        <f ca="1"/>
        <v>C1500427</v>
      </c>
      <c r="G849" s="94" t="str">
        <f ca="1"/>
        <v>B</v>
      </c>
      <c r="H849" s="94" t="str">
        <f ca="1"/>
        <v>CF003174155</v>
      </c>
      <c r="I849" s="94" t="str">
        <f ca="1"/>
        <v>A</v>
      </c>
      <c r="J849" s="94">
        <f ca="1"/>
        <v>21.5</v>
      </c>
      <c r="K849" s="94"/>
      <c r="L849" s="94">
        <f ca="1"/>
        <v>79.760000000000005</v>
      </c>
      <c r="M849" s="94" t="str">
        <f ca="1"/>
        <v>63/65"</v>
      </c>
      <c r="N849" s="94">
        <f ca="1"/>
        <v>61</v>
      </c>
      <c r="O849" s="94" t="str">
        <f ca="1"/>
        <v>Oil (PD) [匹染油污]</v>
      </c>
      <c r="P849" s="95" t="str">
        <f ca="1"/>
        <v/>
      </c>
      <c r="Q849" s="95" t="str">
        <f ca="1"/>
        <v/>
      </c>
      <c r="R849" s="96">
        <f ca="1"/>
        <v>46151</v>
      </c>
    </row>
    <row r="850" spans="1:18" s="90" customFormat="1" ht="55" customHeight="1" x14ac:dyDescent="0.35">
      <c r="A850" s="94" t="str">
        <f ca="1"/>
        <v>S25V10883</v>
      </c>
      <c r="B850" s="94" t="str">
        <f ca="1"/>
        <v>PKEK25VE0010883A</v>
      </c>
      <c r="C850" s="94" t="str">
        <f ca="1"/>
        <v>LAGOON</v>
      </c>
      <c r="D850" s="94" t="str">
        <f ca="1"/>
        <v>457</v>
      </c>
      <c r="E850" s="94" t="str">
        <f ca="1"/>
        <v>FV012283103A</v>
      </c>
      <c r="F850" s="94" t="str">
        <f ca="1"/>
        <v>C1500427</v>
      </c>
      <c r="G850" s="94" t="str">
        <f ca="1"/>
        <v>B</v>
      </c>
      <c r="H850" s="94" t="str">
        <f ca="1"/>
        <v>CF003174171</v>
      </c>
      <c r="I850" s="94" t="str">
        <f ca="1"/>
        <v>A</v>
      </c>
      <c r="J850" s="94">
        <f ca="1"/>
        <v>28</v>
      </c>
      <c r="K850" s="94"/>
      <c r="L850" s="94">
        <f ca="1"/>
        <v>103.87</v>
      </c>
      <c r="M850" s="94" t="str">
        <f ca="1"/>
        <v>63/65"</v>
      </c>
      <c r="N850" s="94">
        <f ca="1"/>
        <v>61</v>
      </c>
      <c r="O850" s="94" t="str">
        <f ca="1"/>
        <v>Oil (PD) [匹染油污]</v>
      </c>
      <c r="P850" s="95" t="str">
        <f ca="1"/>
        <v/>
      </c>
      <c r="Q850" s="95" t="str">
        <f ca="1"/>
        <v/>
      </c>
      <c r="R850" s="96">
        <f ca="1"/>
        <v>46151</v>
      </c>
    </row>
    <row r="851" spans="1:18" s="90" customFormat="1" ht="55" customHeight="1" x14ac:dyDescent="0.35">
      <c r="A851" s="94" t="str">
        <f ca="1"/>
        <v>S25V10883</v>
      </c>
      <c r="B851" s="94" t="str">
        <f ca="1"/>
        <v>PKEK25VE0010883A</v>
      </c>
      <c r="C851" s="94" t="str">
        <f ca="1"/>
        <v>LAGOON</v>
      </c>
      <c r="D851" s="94" t="str">
        <f ca="1"/>
        <v>457</v>
      </c>
      <c r="E851" s="94" t="str">
        <f ca="1"/>
        <v>FV012283103A</v>
      </c>
      <c r="F851" s="94" t="str">
        <f ca="1"/>
        <v>C1500427</v>
      </c>
      <c r="G851" s="94" t="str">
        <f ca="1"/>
        <v>B</v>
      </c>
      <c r="H851" s="94" t="str">
        <f ca="1"/>
        <v>CF003174172</v>
      </c>
      <c r="I851" s="94" t="str">
        <f ca="1"/>
        <v>A</v>
      </c>
      <c r="J851" s="94">
        <f ca="1"/>
        <v>24</v>
      </c>
      <c r="K851" s="94"/>
      <c r="L851" s="94">
        <f ca="1"/>
        <v>89.03</v>
      </c>
      <c r="M851" s="94" t="str">
        <f ca="1"/>
        <v>63/65"</v>
      </c>
      <c r="N851" s="94">
        <f ca="1"/>
        <v>61</v>
      </c>
      <c r="O851" s="94" t="str">
        <f ca="1"/>
        <v>Hole (KN) [针织破洞]</v>
      </c>
      <c r="P851" s="95" t="str">
        <f ca="1"/>
        <v/>
      </c>
      <c r="Q851" s="95" t="str">
        <f ca="1"/>
        <v/>
      </c>
      <c r="R851" s="96">
        <f ca="1"/>
        <v>46151</v>
      </c>
    </row>
    <row r="852" spans="1:18" s="90" customFormat="1" ht="55" customHeight="1" x14ac:dyDescent="0.35">
      <c r="A852" s="94" t="str">
        <f ca="1"/>
        <v>S25V10883</v>
      </c>
      <c r="B852" s="94" t="str">
        <f ca="1"/>
        <v>PKEK25VE0010883A</v>
      </c>
      <c r="C852" s="94" t="str">
        <f ca="1"/>
        <v>LAGOON</v>
      </c>
      <c r="D852" s="94" t="str">
        <f ca="1"/>
        <v>457</v>
      </c>
      <c r="E852" s="94" t="str">
        <f ca="1"/>
        <v>FV012283103A</v>
      </c>
      <c r="F852" s="94" t="str">
        <f ca="1"/>
        <v>C1500427</v>
      </c>
      <c r="G852" s="94" t="str">
        <f ca="1"/>
        <v>B</v>
      </c>
      <c r="H852" s="94" t="str">
        <f ca="1"/>
        <v>CF003174173</v>
      </c>
      <c r="I852" s="94" t="str">
        <f ca="1"/>
        <v>A</v>
      </c>
      <c r="J852" s="94">
        <f ca="1"/>
        <v>24.1</v>
      </c>
      <c r="K852" s="94"/>
      <c r="L852" s="94">
        <f ca="1"/>
        <v>89.4</v>
      </c>
      <c r="M852" s="94" t="str">
        <f ca="1"/>
        <v>63/65"</v>
      </c>
      <c r="N852" s="94">
        <f ca="1"/>
        <v>61</v>
      </c>
      <c r="O852" s="94" t="str">
        <f ca="1"/>
        <v>Friction Mark (PD) [匹染擦痕]</v>
      </c>
      <c r="P852" s="95" t="str">
        <f ca="1"/>
        <v/>
      </c>
      <c r="Q852" s="95" t="str">
        <f ca="1"/>
        <v/>
      </c>
      <c r="R852" s="96">
        <f ca="1"/>
        <v>46151</v>
      </c>
    </row>
    <row r="853" spans="1:18" s="90" customFormat="1" ht="55" customHeight="1" x14ac:dyDescent="0.35">
      <c r="A853" s="94" t="str">
        <f ca="1"/>
        <v>S25V10883</v>
      </c>
      <c r="B853" s="94" t="str">
        <f ca="1"/>
        <v>PKEK25VE0010883A</v>
      </c>
      <c r="C853" s="94" t="str">
        <f ca="1"/>
        <v>LAGOON</v>
      </c>
      <c r="D853" s="94" t="str">
        <f ca="1"/>
        <v>457</v>
      </c>
      <c r="E853" s="94" t="str">
        <f ca="1"/>
        <v>FV012283103A</v>
      </c>
      <c r="F853" s="94" t="str">
        <f ca="1"/>
        <v>C1500427</v>
      </c>
      <c r="G853" s="94" t="str">
        <f ca="1"/>
        <v>B</v>
      </c>
      <c r="H853" s="94" t="str">
        <f ca="1"/>
        <v>CF003174174</v>
      </c>
      <c r="I853" s="94" t="str">
        <f ca="1"/>
        <v>A</v>
      </c>
      <c r="J853" s="94">
        <f ca="1"/>
        <v>24</v>
      </c>
      <c r="K853" s="94"/>
      <c r="L853" s="94">
        <f ca="1"/>
        <v>89.03</v>
      </c>
      <c r="M853" s="94" t="str">
        <f ca="1"/>
        <v>63/65"</v>
      </c>
      <c r="N853" s="94">
        <f ca="1"/>
        <v>61</v>
      </c>
      <c r="O853" s="94" t="str">
        <f ca="1"/>
        <v>Color Mark (PD) [PD沾色]</v>
      </c>
      <c r="P853" s="95" t="str">
        <f ca="1"/>
        <v/>
      </c>
      <c r="Q853" s="95" t="str">
        <f ca="1"/>
        <v/>
      </c>
      <c r="R853" s="96">
        <f ca="1"/>
        <v>46151</v>
      </c>
    </row>
    <row r="854" spans="1:18" s="90" customFormat="1" ht="55" customHeight="1" x14ac:dyDescent="0.35">
      <c r="A854" s="94" t="str">
        <f ca="1"/>
        <v>S25V10883</v>
      </c>
      <c r="B854" s="94" t="str">
        <f ca="1"/>
        <v>PKEK25VE0010883A</v>
      </c>
      <c r="C854" s="94" t="str">
        <f ca="1"/>
        <v>LAGOON</v>
      </c>
      <c r="D854" s="94" t="str">
        <f ca="1"/>
        <v>457</v>
      </c>
      <c r="E854" s="94" t="str">
        <f ca="1"/>
        <v>FV012283103A</v>
      </c>
      <c r="F854" s="94" t="str">
        <f ca="1"/>
        <v>C1500427</v>
      </c>
      <c r="G854" s="94" t="str">
        <f ca="1"/>
        <v>B</v>
      </c>
      <c r="H854" s="94" t="str">
        <f ca="1"/>
        <v>CF003174175</v>
      </c>
      <c r="I854" s="94" t="str">
        <f ca="1"/>
        <v>A</v>
      </c>
      <c r="J854" s="94">
        <f ca="1"/>
        <v>24</v>
      </c>
      <c r="K854" s="94"/>
      <c r="L854" s="94">
        <f ca="1"/>
        <v>89.03</v>
      </c>
      <c r="M854" s="94" t="str">
        <f ca="1"/>
        <v>63/65"</v>
      </c>
      <c r="N854" s="94">
        <f ca="1"/>
        <v>61</v>
      </c>
      <c r="O854" s="94" t="str">
        <f ca="1"/>
        <v>Friction Mark (PD) [匹染擦痕]</v>
      </c>
      <c r="P854" s="95" t="str">
        <f ca="1"/>
        <v/>
      </c>
      <c r="Q854" s="95" t="str">
        <f ca="1"/>
        <v/>
      </c>
      <c r="R854" s="96">
        <f ca="1"/>
        <v>46151</v>
      </c>
    </row>
    <row r="855" spans="1:18" s="90" customFormat="1" ht="55" customHeight="1" x14ac:dyDescent="0.35">
      <c r="A855" s="94" t="str">
        <f ca="1"/>
        <v>S25V10883</v>
      </c>
      <c r="B855" s="94" t="str">
        <f ca="1"/>
        <v>PKEK25VE0010883A</v>
      </c>
      <c r="C855" s="94" t="str">
        <f ca="1"/>
        <v>LAGOON</v>
      </c>
      <c r="D855" s="94" t="str">
        <f ca="1"/>
        <v>457</v>
      </c>
      <c r="E855" s="94" t="str">
        <f ca="1"/>
        <v>FV012283103A</v>
      </c>
      <c r="F855" s="94" t="str">
        <f ca="1"/>
        <v>C1500427</v>
      </c>
      <c r="G855" s="94" t="str">
        <f ca="1"/>
        <v>B</v>
      </c>
      <c r="H855" s="94" t="str">
        <f ca="1"/>
        <v>CF003174176</v>
      </c>
      <c r="I855" s="94" t="str">
        <f ca="1"/>
        <v>A</v>
      </c>
      <c r="J855" s="94">
        <f ca="1"/>
        <v>23.7</v>
      </c>
      <c r="K855" s="94"/>
      <c r="L855" s="94">
        <f ca="1"/>
        <v>87.92</v>
      </c>
      <c r="M855" s="94" t="str">
        <f ca="1"/>
        <v>63/65"</v>
      </c>
      <c r="N855" s="94">
        <f ca="1"/>
        <v>61</v>
      </c>
      <c r="O855" s="94" t="str">
        <f ca="1"/>
        <v>Friction Mark (PD) [匹染擦痕]</v>
      </c>
      <c r="P855" s="95" t="str">
        <f ca="1"/>
        <v/>
      </c>
      <c r="Q855" s="95" t="str">
        <f ca="1"/>
        <v/>
      </c>
      <c r="R855" s="96">
        <f ca="1"/>
        <v>46151</v>
      </c>
    </row>
    <row r="856" spans="1:18" s="90" customFormat="1" ht="55" customHeight="1" x14ac:dyDescent="0.35">
      <c r="A856" s="94" t="str">
        <f ca="1"/>
        <v>S25V10883</v>
      </c>
      <c r="B856" s="94" t="str">
        <f ca="1"/>
        <v>PKEK25VE0010883A</v>
      </c>
      <c r="C856" s="94" t="str">
        <f ca="1"/>
        <v>LAGOON</v>
      </c>
      <c r="D856" s="94" t="str">
        <f ca="1"/>
        <v>457</v>
      </c>
      <c r="E856" s="94" t="str">
        <f ca="1"/>
        <v>FV012283103A</v>
      </c>
      <c r="F856" s="94" t="str">
        <f ca="1"/>
        <v>C1500427</v>
      </c>
      <c r="G856" s="94" t="str">
        <f ca="1"/>
        <v>B</v>
      </c>
      <c r="H856" s="94" t="str">
        <f ca="1"/>
        <v>CF003174177</v>
      </c>
      <c r="I856" s="94" t="str">
        <f ca="1"/>
        <v>A</v>
      </c>
      <c r="J856" s="94">
        <f ca="1"/>
        <v>24.2</v>
      </c>
      <c r="K856" s="94"/>
      <c r="L856" s="94">
        <f ca="1"/>
        <v>89.77</v>
      </c>
      <c r="M856" s="94" t="str">
        <f ca="1"/>
        <v>63/65"</v>
      </c>
      <c r="N856" s="94">
        <f ca="1"/>
        <v>61</v>
      </c>
      <c r="O856" s="94" t="str">
        <f ca="1"/>
        <v>Hole (KN) [针织破洞]</v>
      </c>
      <c r="P856" s="95" t="str">
        <f ca="1"/>
        <v/>
      </c>
      <c r="Q856" s="95" t="str">
        <f ca="1"/>
        <v/>
      </c>
      <c r="R856" s="96">
        <f ca="1"/>
        <v>46151</v>
      </c>
    </row>
    <row r="857" spans="1:18" s="90" customFormat="1" ht="55" customHeight="1" x14ac:dyDescent="0.35">
      <c r="A857" s="94" t="str">
        <f ca="1"/>
        <v>S25V10883</v>
      </c>
      <c r="B857" s="94" t="str">
        <f ca="1"/>
        <v>PKEK25VE0010883A</v>
      </c>
      <c r="C857" s="94" t="str">
        <f ca="1"/>
        <v>LAGOON</v>
      </c>
      <c r="D857" s="94" t="str">
        <f ca="1"/>
        <v>457</v>
      </c>
      <c r="E857" s="94" t="str">
        <f ca="1"/>
        <v>FV012283103A</v>
      </c>
      <c r="F857" s="94" t="str">
        <f ca="1"/>
        <v>C1500427</v>
      </c>
      <c r="G857" s="94" t="str">
        <f ca="1"/>
        <v>B</v>
      </c>
      <c r="H857" s="94" t="str">
        <f ca="1"/>
        <v>CF003174178</v>
      </c>
      <c r="I857" s="94" t="str">
        <f ca="1"/>
        <v>A</v>
      </c>
      <c r="J857" s="94">
        <f ca="1"/>
        <v>15.3</v>
      </c>
      <c r="K857" s="94"/>
      <c r="L857" s="94">
        <f ca="1"/>
        <v>56.76</v>
      </c>
      <c r="M857" s="94" t="str">
        <f ca="1"/>
        <v>63/65"</v>
      </c>
      <c r="N857" s="94">
        <f ca="1"/>
        <v>61</v>
      </c>
      <c r="O857" s="94" t="str">
        <f ca="1"/>
        <v>White mark [白印]</v>
      </c>
      <c r="P857" s="95" t="str">
        <f ca="1"/>
        <v/>
      </c>
      <c r="Q857" s="95" t="str">
        <f ca="1"/>
        <v/>
      </c>
      <c r="R857" s="96">
        <f ca="1"/>
        <v>46151</v>
      </c>
    </row>
    <row r="858" spans="1:18" s="90" customFormat="1" ht="55" customHeight="1" x14ac:dyDescent="0.35">
      <c r="A858" s="94" t="str">
        <f ca="1"/>
        <v>S25V10883</v>
      </c>
      <c r="B858" s="94" t="str">
        <f ca="1"/>
        <v>PKEK25VE0010883A</v>
      </c>
      <c r="C858" s="94" t="str">
        <f ca="1"/>
        <v>CABERNET</v>
      </c>
      <c r="D858" s="94" t="str">
        <f ca="1"/>
        <v>617</v>
      </c>
      <c r="E858" s="94" t="str">
        <f ca="1"/>
        <v>FV012282501</v>
      </c>
      <c r="F858" s="94" t="str">
        <f ca="1"/>
        <v>C1500427</v>
      </c>
      <c r="G858" s="94" t="str">
        <f ca="1"/>
        <v>B</v>
      </c>
      <c r="H858" s="94" t="str">
        <f ca="1"/>
        <v>CF003174644</v>
      </c>
      <c r="I858" s="94" t="str">
        <f ca="1"/>
        <v>D</v>
      </c>
      <c r="J858" s="94">
        <f ca="1"/>
        <v>22.1</v>
      </c>
      <c r="K858" s="94"/>
      <c r="L858" s="94">
        <f ca="1"/>
        <v>75.459999999999994</v>
      </c>
      <c r="M858" s="94" t="str">
        <f ca="1"/>
        <v>63/65"</v>
      </c>
      <c r="N858" s="94">
        <f ca="1"/>
        <v>63</v>
      </c>
      <c r="O858" s="94" t="str">
        <f ca="1"/>
        <v>White mark [白印]</v>
      </c>
      <c r="P858" s="95" t="str">
        <f ca="1"/>
        <v/>
      </c>
      <c r="Q858" s="95" t="str">
        <f ca="1"/>
        <v/>
      </c>
      <c r="R858" s="96">
        <f ca="1"/>
        <v>46153</v>
      </c>
    </row>
    <row r="859" spans="1:18" s="90" customFormat="1" ht="55" customHeight="1" x14ac:dyDescent="0.35">
      <c r="A859" s="94" t="str">
        <f ca="1"/>
        <v>S25V10883</v>
      </c>
      <c r="B859" s="94" t="str">
        <f ca="1"/>
        <v>PKEK25VE0010883A</v>
      </c>
      <c r="C859" s="94" t="str">
        <f ca="1"/>
        <v>LAGOON</v>
      </c>
      <c r="D859" s="94" t="str">
        <f ca="1"/>
        <v>457</v>
      </c>
      <c r="E859" s="94" t="str">
        <f ca="1"/>
        <v>FV012283103A</v>
      </c>
      <c r="F859" s="94" t="str">
        <f ca="1"/>
        <v>C1500427</v>
      </c>
      <c r="G859" s="94" t="str">
        <f ca="1"/>
        <v>B</v>
      </c>
      <c r="H859" s="94" t="str">
        <f ca="1"/>
        <v>CF003175211</v>
      </c>
      <c r="I859" s="94" t="str">
        <f ca="1"/>
        <v>A</v>
      </c>
      <c r="J859" s="94">
        <f ca="1"/>
        <v>33.4</v>
      </c>
      <c r="K859" s="94"/>
      <c r="L859" s="94">
        <f ca="1"/>
        <v>123.9</v>
      </c>
      <c r="M859" s="94" t="str">
        <f ca="1"/>
        <v>63/65"</v>
      </c>
      <c r="N859" s="94">
        <f ca="1"/>
        <v>61</v>
      </c>
      <c r="O859" s="94" t="str">
        <f ca="1"/>
        <v>White mark [白印]</v>
      </c>
      <c r="P859" s="95" t="str">
        <f ca="1"/>
        <v/>
      </c>
      <c r="Q859" s="95" t="str">
        <f ca="1"/>
        <v/>
      </c>
      <c r="R859" s="96">
        <f ca="1"/>
        <v>46154</v>
      </c>
    </row>
    <row r="860" spans="1:18" s="90" customFormat="1" ht="55" customHeight="1" x14ac:dyDescent="0.35">
      <c r="A860" s="94" t="str">
        <f ca="1"/>
        <v>S25V10883</v>
      </c>
      <c r="B860" s="94" t="str">
        <f ca="1"/>
        <v>PKEK25VE0010883A</v>
      </c>
      <c r="C860" s="94" t="str">
        <f ca="1"/>
        <v>LAGOON</v>
      </c>
      <c r="D860" s="94" t="str">
        <f ca="1"/>
        <v>457</v>
      </c>
      <c r="E860" s="94" t="str">
        <f ca="1"/>
        <v>FV012283103A</v>
      </c>
      <c r="F860" s="94" t="str">
        <f ca="1"/>
        <v>C1500427</v>
      </c>
      <c r="G860" s="94" t="str">
        <f ca="1"/>
        <v>B</v>
      </c>
      <c r="H860" s="94" t="str">
        <f ca="1"/>
        <v>CF003175212</v>
      </c>
      <c r="I860" s="94" t="str">
        <f ca="1"/>
        <v>A</v>
      </c>
      <c r="J860" s="94">
        <f ca="1"/>
        <v>23.9</v>
      </c>
      <c r="K860" s="94"/>
      <c r="L860" s="94">
        <f ca="1"/>
        <v>88.66</v>
      </c>
      <c r="M860" s="94" t="str">
        <f ca="1"/>
        <v>63/65"</v>
      </c>
      <c r="N860" s="94">
        <f ca="1"/>
        <v>61</v>
      </c>
      <c r="O860" s="94" t="str">
        <f ca="1"/>
        <v>White mark [白印]</v>
      </c>
      <c r="P860" s="95" t="str">
        <f ca="1"/>
        <v/>
      </c>
      <c r="Q860" s="95" t="str">
        <f ca="1"/>
        <v/>
      </c>
      <c r="R860" s="96">
        <f ca="1"/>
        <v>46154</v>
      </c>
    </row>
    <row r="861" spans="1:18" s="90" customFormat="1" ht="55" customHeight="1" x14ac:dyDescent="0.35">
      <c r="A861" s="94" t="str">
        <f ca="1"/>
        <v>S25V10883</v>
      </c>
      <c r="B861" s="94" t="str">
        <f ca="1"/>
        <v>PKEK25VE0010883A</v>
      </c>
      <c r="C861" s="94" t="str">
        <f ca="1"/>
        <v>LAGOON</v>
      </c>
      <c r="D861" s="94" t="str">
        <f ca="1"/>
        <v>457</v>
      </c>
      <c r="E861" s="94" t="str">
        <f ca="1"/>
        <v>FV012283103A</v>
      </c>
      <c r="F861" s="94" t="str">
        <f ca="1"/>
        <v>C1500427</v>
      </c>
      <c r="G861" s="94" t="str">
        <f ca="1"/>
        <v>B</v>
      </c>
      <c r="H861" s="94" t="str">
        <f ca="1"/>
        <v>CF003175213</v>
      </c>
      <c r="I861" s="94" t="str">
        <f ca="1"/>
        <v>A</v>
      </c>
      <c r="J861" s="94">
        <f ca="1"/>
        <v>22.7</v>
      </c>
      <c r="K861" s="94"/>
      <c r="L861" s="94">
        <f ca="1"/>
        <v>84.21</v>
      </c>
      <c r="M861" s="94" t="str">
        <f ca="1"/>
        <v>63/65"</v>
      </c>
      <c r="N861" s="94">
        <f ca="1"/>
        <v>61</v>
      </c>
      <c r="O861" s="94" t="str">
        <f ca="1"/>
        <v>Hole (KN) [针织破洞]</v>
      </c>
      <c r="P861" s="95" t="str">
        <f ca="1"/>
        <v/>
      </c>
      <c r="Q861" s="95" t="str">
        <f ca="1"/>
        <v/>
      </c>
      <c r="R861" s="96">
        <f ca="1"/>
        <v>46154</v>
      </c>
    </row>
    <row r="862" spans="1:18" s="90" customFormat="1" ht="55" customHeight="1" x14ac:dyDescent="0.35">
      <c r="A862" s="94" t="str">
        <f ca="1"/>
        <v>S25V10883</v>
      </c>
      <c r="B862" s="94" t="str">
        <f ca="1"/>
        <v>PKEK25VE0010883A</v>
      </c>
      <c r="C862" s="94" t="str">
        <f ca="1"/>
        <v>LAGOON</v>
      </c>
      <c r="D862" s="94" t="str">
        <f ca="1"/>
        <v>457</v>
      </c>
      <c r="E862" s="94" t="str">
        <f ca="1"/>
        <v>FV012283103A</v>
      </c>
      <c r="F862" s="94" t="str">
        <f ca="1"/>
        <v>C1500427</v>
      </c>
      <c r="G862" s="94" t="str">
        <f ca="1"/>
        <v>B</v>
      </c>
      <c r="H862" s="94" t="str">
        <f ca="1"/>
        <v>CF003175214</v>
      </c>
      <c r="I862" s="94" t="str">
        <f ca="1"/>
        <v>A</v>
      </c>
      <c r="J862" s="94">
        <f ca="1"/>
        <v>24.4</v>
      </c>
      <c r="K862" s="94"/>
      <c r="L862" s="94">
        <f ca="1"/>
        <v>90.52</v>
      </c>
      <c r="M862" s="94" t="str">
        <f ca="1"/>
        <v>63/65"</v>
      </c>
      <c r="N862" s="94">
        <f ca="1"/>
        <v>61</v>
      </c>
      <c r="O862" s="94" t="str">
        <f ca="1"/>
        <v>Oil (PD) [匹染油污]</v>
      </c>
      <c r="P862" s="95" t="str">
        <f ca="1"/>
        <v/>
      </c>
      <c r="Q862" s="95" t="str">
        <f ca="1"/>
        <v/>
      </c>
      <c r="R862" s="96">
        <f ca="1"/>
        <v>46154</v>
      </c>
    </row>
    <row r="863" spans="1:18" s="90" customFormat="1" ht="55" customHeight="1" x14ac:dyDescent="0.35">
      <c r="A863" s="94" t="str">
        <f ca="1"/>
        <v>S25V10883</v>
      </c>
      <c r="B863" s="94" t="str">
        <f ca="1"/>
        <v>PKEK25VE0010883A</v>
      </c>
      <c r="C863" s="94" t="str">
        <f ca="1"/>
        <v>LAGOON</v>
      </c>
      <c r="D863" s="94" t="str">
        <f ca="1"/>
        <v>457</v>
      </c>
      <c r="E863" s="94" t="str">
        <f ca="1"/>
        <v>FV012283103A</v>
      </c>
      <c r="F863" s="94" t="str">
        <f ca="1"/>
        <v>C1500427</v>
      </c>
      <c r="G863" s="94" t="str">
        <f ca="1"/>
        <v>B</v>
      </c>
      <c r="H863" s="94" t="str">
        <f ca="1"/>
        <v>CF003175215</v>
      </c>
      <c r="I863" s="94" t="str">
        <f ca="1"/>
        <v>A</v>
      </c>
      <c r="J863" s="94">
        <f ca="1"/>
        <v>29.1</v>
      </c>
      <c r="K863" s="94"/>
      <c r="L863" s="94">
        <f ca="1"/>
        <v>107.95</v>
      </c>
      <c r="M863" s="94" t="str">
        <f ca="1"/>
        <v>63/65"</v>
      </c>
      <c r="N863" s="94">
        <f ca="1"/>
        <v>61</v>
      </c>
      <c r="O863" s="94" t="str">
        <f ca="1"/>
        <v>White mark [白印]</v>
      </c>
      <c r="P863" s="95" t="str">
        <f ca="1"/>
        <v/>
      </c>
      <c r="Q863" s="95" t="str">
        <f ca="1"/>
        <v/>
      </c>
      <c r="R863" s="96">
        <f ca="1"/>
        <v>46154</v>
      </c>
    </row>
    <row r="864" spans="1:18" s="90" customFormat="1" ht="55" customHeight="1" x14ac:dyDescent="0.35">
      <c r="A864" s="94" t="str">
        <f ca="1"/>
        <v>S25V10883</v>
      </c>
      <c r="B864" s="94" t="str">
        <f ca="1"/>
        <v>PKEK25VE0010883A</v>
      </c>
      <c r="C864" s="94" t="str">
        <f ca="1"/>
        <v>LAGOON</v>
      </c>
      <c r="D864" s="94" t="str">
        <f ca="1"/>
        <v>457</v>
      </c>
      <c r="E864" s="94" t="str">
        <f ca="1"/>
        <v>FV012283103A</v>
      </c>
      <c r="F864" s="94" t="str">
        <f ca="1"/>
        <v>C1500427</v>
      </c>
      <c r="G864" s="94" t="str">
        <f ca="1"/>
        <v>B</v>
      </c>
      <c r="H864" s="94" t="str">
        <f ca="1"/>
        <v>CF003175231</v>
      </c>
      <c r="I864" s="94" t="str">
        <f ca="1"/>
        <v>A</v>
      </c>
      <c r="J864" s="94">
        <f ca="1"/>
        <v>24.3</v>
      </c>
      <c r="K864" s="94"/>
      <c r="L864" s="94">
        <f ca="1"/>
        <v>90.15</v>
      </c>
      <c r="M864" s="94" t="str">
        <f ca="1"/>
        <v>63/65"</v>
      </c>
      <c r="N864" s="94">
        <f ca="1"/>
        <v>61</v>
      </c>
      <c r="O864" s="94" t="str">
        <f ca="1"/>
        <v>Oil (PD) [匹染油污]</v>
      </c>
      <c r="P864" s="95" t="str">
        <f ca="1"/>
        <v/>
      </c>
      <c r="Q864" s="95" t="str">
        <f ca="1"/>
        <v/>
      </c>
      <c r="R864" s="96">
        <f ca="1"/>
        <v>46154</v>
      </c>
    </row>
    <row r="865" spans="1:18" s="90" customFormat="1" ht="55" customHeight="1" x14ac:dyDescent="0.35">
      <c r="A865" s="94" t="str">
        <f ca="1"/>
        <v>S25V10883</v>
      </c>
      <c r="B865" s="94" t="str">
        <f ca="1"/>
        <v>PKEK25VE0010883A</v>
      </c>
      <c r="C865" s="94" t="str">
        <f ca="1"/>
        <v>LAGOON</v>
      </c>
      <c r="D865" s="94" t="str">
        <f ca="1"/>
        <v>457</v>
      </c>
      <c r="E865" s="94" t="str">
        <f ca="1"/>
        <v>FV012283103A</v>
      </c>
      <c r="F865" s="94" t="str">
        <f ca="1"/>
        <v>C1500427</v>
      </c>
      <c r="G865" s="94" t="str">
        <f ca="1"/>
        <v>B</v>
      </c>
      <c r="H865" s="94" t="str">
        <f ca="1"/>
        <v>CF003175232</v>
      </c>
      <c r="I865" s="94" t="str">
        <f ca="1"/>
        <v>A</v>
      </c>
      <c r="J865" s="94">
        <f ca="1"/>
        <v>33</v>
      </c>
      <c r="K865" s="94"/>
      <c r="L865" s="94">
        <f ca="1"/>
        <v>122.42</v>
      </c>
      <c r="M865" s="94" t="str">
        <f ca="1"/>
        <v>63/65"</v>
      </c>
      <c r="N865" s="94">
        <f ca="1"/>
        <v>61</v>
      </c>
      <c r="O865" s="94" t="str">
        <f ca="1"/>
        <v>White mark [白印]</v>
      </c>
      <c r="P865" s="95" t="str">
        <f ca="1"/>
        <v/>
      </c>
      <c r="Q865" s="95" t="str">
        <f ca="1"/>
        <v/>
      </c>
      <c r="R865" s="96">
        <f ca="1"/>
        <v>46154</v>
      </c>
    </row>
    <row r="866" spans="1:18" s="90" customFormat="1" ht="55" customHeight="1" x14ac:dyDescent="0.35">
      <c r="A866" s="94" t="str">
        <f ca="1"/>
        <v>S25V10883</v>
      </c>
      <c r="B866" s="94" t="str">
        <f ca="1"/>
        <v>PKEK25VE0010883A</v>
      </c>
      <c r="C866" s="94" t="str">
        <f ca="1"/>
        <v>LAGOON</v>
      </c>
      <c r="D866" s="94" t="str">
        <f ca="1"/>
        <v>457</v>
      </c>
      <c r="E866" s="94" t="str">
        <f ca="1"/>
        <v>FV012283103A</v>
      </c>
      <c r="F866" s="94" t="str">
        <f ca="1"/>
        <v>C1500427</v>
      </c>
      <c r="G866" s="94" t="str">
        <f ca="1"/>
        <v>B</v>
      </c>
      <c r="H866" s="94" t="str">
        <f ca="1"/>
        <v>CF003175233</v>
      </c>
      <c r="I866" s="94" t="str">
        <f ca="1"/>
        <v>A</v>
      </c>
      <c r="J866" s="94">
        <f ca="1"/>
        <v>23.9</v>
      </c>
      <c r="K866" s="94"/>
      <c r="L866" s="94">
        <f ca="1"/>
        <v>88.66</v>
      </c>
      <c r="M866" s="94" t="str">
        <f ca="1"/>
        <v>63/65"</v>
      </c>
      <c r="N866" s="94">
        <f ca="1"/>
        <v>61</v>
      </c>
      <c r="O866" s="94" t="str">
        <f ca="1"/>
        <v/>
      </c>
      <c r="P866" s="95" t="str">
        <f ca="1"/>
        <v/>
      </c>
      <c r="Q866" s="95" t="str">
        <f ca="1"/>
        <v/>
      </c>
      <c r="R866" s="96">
        <f ca="1"/>
        <v>46154</v>
      </c>
    </row>
    <row r="867" spans="1:18" s="90" customFormat="1" ht="55" customHeight="1" x14ac:dyDescent="0.35">
      <c r="A867" s="94" t="str">
        <f ca="1"/>
        <v>S25V10883</v>
      </c>
      <c r="B867" s="94" t="str">
        <f ca="1"/>
        <v>PKEK25VE0010883A</v>
      </c>
      <c r="C867" s="94" t="str">
        <f ca="1"/>
        <v>LAGOON</v>
      </c>
      <c r="D867" s="94" t="str">
        <f ca="1"/>
        <v>457</v>
      </c>
      <c r="E867" s="94" t="str">
        <f ca="1"/>
        <v>FV012283103A</v>
      </c>
      <c r="F867" s="94" t="str">
        <f ca="1"/>
        <v>C1500427</v>
      </c>
      <c r="G867" s="94" t="str">
        <f ca="1"/>
        <v>B</v>
      </c>
      <c r="H867" s="94" t="str">
        <f ca="1"/>
        <v>CF003175234</v>
      </c>
      <c r="I867" s="94" t="str">
        <f ca="1"/>
        <v>A</v>
      </c>
      <c r="J867" s="94">
        <f ca="1"/>
        <v>24.2</v>
      </c>
      <c r="K867" s="94"/>
      <c r="L867" s="94">
        <f ca="1"/>
        <v>89.77</v>
      </c>
      <c r="M867" s="94" t="str">
        <f ca="1"/>
        <v>63/65"</v>
      </c>
      <c r="N867" s="94">
        <f ca="1"/>
        <v>61</v>
      </c>
      <c r="O867" s="94" t="str">
        <f ca="1"/>
        <v>White mark [白印]</v>
      </c>
      <c r="P867" s="95" t="str">
        <f ca="1"/>
        <v/>
      </c>
      <c r="Q867" s="95" t="str">
        <f ca="1"/>
        <v/>
      </c>
      <c r="R867" s="96">
        <f ca="1"/>
        <v>46154</v>
      </c>
    </row>
    <row r="868" spans="1:18" s="90" customFormat="1" ht="55" customHeight="1" x14ac:dyDescent="0.35">
      <c r="A868" s="94" t="str">
        <f ca="1"/>
        <v>S25V10883</v>
      </c>
      <c r="B868" s="94" t="str">
        <f ca="1"/>
        <v>PKEK25VE0010883A</v>
      </c>
      <c r="C868" s="94" t="str">
        <f ca="1"/>
        <v>LAGOON</v>
      </c>
      <c r="D868" s="94" t="str">
        <f ca="1"/>
        <v>457</v>
      </c>
      <c r="E868" s="94" t="str">
        <f ca="1"/>
        <v>FV012283103A</v>
      </c>
      <c r="F868" s="94" t="str">
        <f ca="1"/>
        <v>C1500427</v>
      </c>
      <c r="G868" s="94" t="str">
        <f ca="1"/>
        <v>B</v>
      </c>
      <c r="H868" s="94" t="str">
        <f ca="1"/>
        <v>CF003175235</v>
      </c>
      <c r="I868" s="94" t="str">
        <f ca="1"/>
        <v>A</v>
      </c>
      <c r="J868" s="94">
        <f ca="1"/>
        <v>23.2</v>
      </c>
      <c r="K868" s="94"/>
      <c r="L868" s="94">
        <f ca="1"/>
        <v>86.06</v>
      </c>
      <c r="M868" s="94" t="str">
        <f ca="1"/>
        <v>63/65"</v>
      </c>
      <c r="N868" s="94">
        <f ca="1"/>
        <v>61</v>
      </c>
      <c r="O868" s="94" t="str">
        <f ca="1"/>
        <v>White mark [白印]</v>
      </c>
      <c r="P868" s="95" t="str">
        <f ca="1"/>
        <v/>
      </c>
      <c r="Q868" s="95" t="str">
        <f ca="1"/>
        <v/>
      </c>
      <c r="R868" s="96">
        <f ca="1"/>
        <v>46154</v>
      </c>
    </row>
    <row r="869" spans="1:18" s="90" customFormat="1" ht="55" customHeight="1" x14ac:dyDescent="0.35">
      <c r="A869" s="94" t="str">
        <f ca="1"/>
        <v>S25V10883</v>
      </c>
      <c r="B869" s="94" t="str">
        <f ca="1"/>
        <v>PKEK25VE0010883A</v>
      </c>
      <c r="C869" s="94" t="str">
        <f ca="1"/>
        <v>LAGOON</v>
      </c>
      <c r="D869" s="94" t="str">
        <f ca="1"/>
        <v>457</v>
      </c>
      <c r="E869" s="94" t="str">
        <f ca="1"/>
        <v>FV012283103A</v>
      </c>
      <c r="F869" s="94" t="str">
        <f ca="1"/>
        <v>C1500427</v>
      </c>
      <c r="G869" s="94" t="str">
        <f ca="1"/>
        <v>B</v>
      </c>
      <c r="H869" s="94" t="str">
        <f ca="1"/>
        <v>CF003175236</v>
      </c>
      <c r="I869" s="94" t="str">
        <f ca="1"/>
        <v>A</v>
      </c>
      <c r="J869" s="94">
        <f ca="1"/>
        <v>23.8</v>
      </c>
      <c r="K869" s="94"/>
      <c r="L869" s="94">
        <f ca="1"/>
        <v>88.29</v>
      </c>
      <c r="M869" s="94" t="str">
        <f ca="1"/>
        <v>63/65"</v>
      </c>
      <c r="N869" s="94">
        <f ca="1"/>
        <v>61</v>
      </c>
      <c r="O869" s="94" t="str">
        <f ca="1"/>
        <v/>
      </c>
      <c r="P869" s="95" t="str">
        <f ca="1"/>
        <v/>
      </c>
      <c r="Q869" s="95" t="str">
        <f ca="1"/>
        <v/>
      </c>
      <c r="R869" s="96">
        <f ca="1"/>
        <v>46154</v>
      </c>
    </row>
    <row r="870" spans="1:18" s="90" customFormat="1" ht="55" customHeight="1" x14ac:dyDescent="0.35">
      <c r="A870" s="94" t="str">
        <f ca="1"/>
        <v>S25V10883</v>
      </c>
      <c r="B870" s="94" t="str">
        <f ca="1"/>
        <v>PKEK25VE0010883A</v>
      </c>
      <c r="C870" s="94" t="str">
        <f ca="1"/>
        <v>LAGOON</v>
      </c>
      <c r="D870" s="94" t="str">
        <f ca="1"/>
        <v>457</v>
      </c>
      <c r="E870" s="94" t="str">
        <f ca="1"/>
        <v>FV012283103A</v>
      </c>
      <c r="F870" s="94" t="str">
        <f ca="1"/>
        <v>C1500427</v>
      </c>
      <c r="G870" s="94" t="str">
        <f ca="1"/>
        <v>B</v>
      </c>
      <c r="H870" s="94" t="str">
        <f ca="1"/>
        <v>CF003175237</v>
      </c>
      <c r="I870" s="94" t="str">
        <f ca="1"/>
        <v>A</v>
      </c>
      <c r="J870" s="94">
        <f ca="1"/>
        <v>23.8</v>
      </c>
      <c r="K870" s="94"/>
      <c r="L870" s="94">
        <f ca="1"/>
        <v>88.29</v>
      </c>
      <c r="M870" s="94" t="str">
        <f ca="1"/>
        <v>63/65"</v>
      </c>
      <c r="N870" s="94">
        <f ca="1"/>
        <v>61</v>
      </c>
      <c r="O870" s="94" t="str">
        <f ca="1"/>
        <v>Friction Mark (PD) [匹染擦痕]</v>
      </c>
      <c r="P870" s="95" t="str">
        <f ca="1"/>
        <v/>
      </c>
      <c r="Q870" s="95" t="str">
        <f ca="1"/>
        <v/>
      </c>
      <c r="R870" s="96">
        <f ca="1"/>
        <v>46154</v>
      </c>
    </row>
    <row r="871" spans="1:18" s="90" customFormat="1" ht="55" customHeight="1" x14ac:dyDescent="0.35">
      <c r="A871" s="94" t="str">
        <f ca="1"/>
        <v>S25V10883</v>
      </c>
      <c r="B871" s="94" t="str">
        <f ca="1"/>
        <v>PKEK25VE0010883A</v>
      </c>
      <c r="C871" s="94" t="str">
        <f ca="1"/>
        <v>LAGOON</v>
      </c>
      <c r="D871" s="94" t="str">
        <f ca="1"/>
        <v>457</v>
      </c>
      <c r="E871" s="94" t="str">
        <f ca="1"/>
        <v>FV012283103A</v>
      </c>
      <c r="F871" s="94" t="str">
        <f ca="1"/>
        <v>C1500427</v>
      </c>
      <c r="G871" s="94" t="str">
        <f ca="1"/>
        <v>B</v>
      </c>
      <c r="H871" s="94" t="str">
        <f ca="1"/>
        <v>CF003175238</v>
      </c>
      <c r="I871" s="94" t="str">
        <f ca="1"/>
        <v>A</v>
      </c>
      <c r="J871" s="94">
        <f ca="1"/>
        <v>23.9</v>
      </c>
      <c r="K871" s="94"/>
      <c r="L871" s="94">
        <f ca="1"/>
        <v>88.66</v>
      </c>
      <c r="M871" s="94" t="str">
        <f ca="1"/>
        <v>63/65"</v>
      </c>
      <c r="N871" s="94">
        <f ca="1"/>
        <v>61</v>
      </c>
      <c r="O871" s="94" t="str">
        <f ca="1"/>
        <v>Hole (KN) [针织破洞]</v>
      </c>
      <c r="P871" s="95" t="str">
        <f ca="1"/>
        <v/>
      </c>
      <c r="Q871" s="95" t="str">
        <f ca="1"/>
        <v/>
      </c>
      <c r="R871" s="96">
        <f ca="1"/>
        <v>46154</v>
      </c>
    </row>
    <row r="872" spans="1:18" s="90" customFormat="1" ht="55" customHeight="1" x14ac:dyDescent="0.35">
      <c r="A872" s="94" t="str">
        <f ca="1"/>
        <v>S25V10883</v>
      </c>
      <c r="B872" s="94" t="str">
        <f ca="1"/>
        <v>PKEK25VE0010883A</v>
      </c>
      <c r="C872" s="94" t="str">
        <f ca="1"/>
        <v>MAGENTA</v>
      </c>
      <c r="D872" s="94" t="str">
        <f ca="1"/>
        <v>604</v>
      </c>
      <c r="E872" s="94" t="str">
        <f ca="1"/>
        <v>FV012282102</v>
      </c>
      <c r="F872" s="94" t="str">
        <f ca="1"/>
        <v>C1500427</v>
      </c>
      <c r="G872" s="94" t="str">
        <f ca="1"/>
        <v>B</v>
      </c>
      <c r="H872" s="94" t="str">
        <f ca="1"/>
        <v>CF003175281</v>
      </c>
      <c r="I872" s="94" t="str">
        <f ca="1"/>
        <v>A</v>
      </c>
      <c r="J872" s="94">
        <f ca="1"/>
        <v>35.4</v>
      </c>
      <c r="K872" s="94"/>
      <c r="L872" s="94">
        <f ca="1"/>
        <v>123.44</v>
      </c>
      <c r="M872" s="94" t="str">
        <f ca="1"/>
        <v>63/65"</v>
      </c>
      <c r="N872" s="94">
        <f ca="1"/>
        <v>62</v>
      </c>
      <c r="O872" s="94" t="str">
        <f ca="1"/>
        <v>Piece-up(FN) [后整接口]</v>
      </c>
      <c r="P872" s="95" t="str">
        <f ca="1"/>
        <v/>
      </c>
      <c r="Q872" s="95" t="str">
        <f ca="1"/>
        <v/>
      </c>
      <c r="R872" s="96">
        <f ca="1"/>
        <v>46154</v>
      </c>
    </row>
    <row r="873" spans="1:18" s="90" customFormat="1" ht="55" customHeight="1" x14ac:dyDescent="0.35">
      <c r="A873" s="94" t="str">
        <f ca="1"/>
        <v>S25V10883</v>
      </c>
      <c r="B873" s="94" t="str">
        <f ca="1"/>
        <v>PKEK25VE0010883A</v>
      </c>
      <c r="C873" s="94" t="str">
        <f ca="1"/>
        <v>MAGENTA</v>
      </c>
      <c r="D873" s="94" t="str">
        <f ca="1"/>
        <v>604</v>
      </c>
      <c r="E873" s="94" t="str">
        <f ca="1"/>
        <v>FV012282102</v>
      </c>
      <c r="F873" s="94" t="str">
        <f ca="1"/>
        <v>C1500427</v>
      </c>
      <c r="G873" s="94" t="str">
        <f ca="1"/>
        <v>B</v>
      </c>
      <c r="H873" s="94" t="str">
        <f ca="1"/>
        <v>CF003175282</v>
      </c>
      <c r="I873" s="94" t="str">
        <f ca="1"/>
        <v>A</v>
      </c>
      <c r="J873" s="94">
        <f ca="1"/>
        <v>24</v>
      </c>
      <c r="K873" s="94"/>
      <c r="L873" s="94">
        <f ca="1"/>
        <v>81.11</v>
      </c>
      <c r="M873" s="94" t="str">
        <f ca="1"/>
        <v>63/65"</v>
      </c>
      <c r="N873" s="94">
        <f ca="1"/>
        <v>63</v>
      </c>
      <c r="O873" s="94" t="str">
        <f ca="1"/>
        <v>White mark [白印]</v>
      </c>
      <c r="P873" s="95" t="str">
        <f ca="1"/>
        <v/>
      </c>
      <c r="Q873" s="95" t="str">
        <f ca="1"/>
        <v/>
      </c>
      <c r="R873" s="96">
        <f ca="1"/>
        <v>46154</v>
      </c>
    </row>
    <row r="874" spans="1:18" s="90" customFormat="1" ht="55" customHeight="1" x14ac:dyDescent="0.35">
      <c r="A874" s="94" t="str">
        <f ca="1"/>
        <v>S25V10883</v>
      </c>
      <c r="B874" s="94" t="str">
        <f ca="1"/>
        <v>PKEK25VE0010883A</v>
      </c>
      <c r="C874" s="94" t="str">
        <f ca="1"/>
        <v>MAGENTA</v>
      </c>
      <c r="D874" s="94" t="str">
        <f ca="1"/>
        <v>604</v>
      </c>
      <c r="E874" s="94" t="str">
        <f ca="1"/>
        <v>FV012282102</v>
      </c>
      <c r="F874" s="94" t="str">
        <f ca="1"/>
        <v>C1500427</v>
      </c>
      <c r="G874" s="94" t="str">
        <f ca="1"/>
        <v>B</v>
      </c>
      <c r="H874" s="94" t="str">
        <f ca="1"/>
        <v>CF003175283</v>
      </c>
      <c r="I874" s="94" t="str">
        <f ca="1"/>
        <v>A</v>
      </c>
      <c r="J874" s="94">
        <f ca="1"/>
        <v>24</v>
      </c>
      <c r="K874" s="94"/>
      <c r="L874" s="94">
        <f ca="1"/>
        <v>81.11</v>
      </c>
      <c r="M874" s="94" t="str">
        <f ca="1"/>
        <v>63/65"</v>
      </c>
      <c r="N874" s="94">
        <f ca="1"/>
        <v>63</v>
      </c>
      <c r="O874" s="94" t="str">
        <f ca="1"/>
        <v>Friction Mark (PD) [匹染擦痕]</v>
      </c>
      <c r="P874" s="95" t="str">
        <f ca="1"/>
        <v/>
      </c>
      <c r="Q874" s="95" t="str">
        <f ca="1"/>
        <v/>
      </c>
      <c r="R874" s="96">
        <f ca="1"/>
        <v>46154</v>
      </c>
    </row>
    <row r="875" spans="1:18" s="90" customFormat="1" ht="55" customHeight="1" x14ac:dyDescent="0.35">
      <c r="A875" s="94" t="str">
        <f ca="1"/>
        <v>S25V10883</v>
      </c>
      <c r="B875" s="94" t="str">
        <f ca="1"/>
        <v>PKEK25VE0010883A</v>
      </c>
      <c r="C875" s="94" t="str">
        <f ca="1"/>
        <v>MAGENTA</v>
      </c>
      <c r="D875" s="94" t="str">
        <f ca="1"/>
        <v>604</v>
      </c>
      <c r="E875" s="94" t="str">
        <f ca="1"/>
        <v>FV012282102</v>
      </c>
      <c r="F875" s="94" t="str">
        <f ca="1"/>
        <v>C1500427</v>
      </c>
      <c r="G875" s="94" t="str">
        <f ca="1"/>
        <v>B</v>
      </c>
      <c r="H875" s="94" t="str">
        <f ca="1"/>
        <v>CF003175284</v>
      </c>
      <c r="I875" s="94" t="str">
        <f ca="1"/>
        <v>A</v>
      </c>
      <c r="J875" s="94">
        <f ca="1"/>
        <v>22.9</v>
      </c>
      <c r="K875" s="94"/>
      <c r="L875" s="94">
        <f ca="1"/>
        <v>79.849999999999994</v>
      </c>
      <c r="M875" s="94" t="str">
        <f ca="1"/>
        <v>63/65"</v>
      </c>
      <c r="N875" s="94">
        <f ca="1"/>
        <v>62</v>
      </c>
      <c r="O875" s="94" t="str">
        <f ca="1"/>
        <v>Color Mark (PD) [PD沾色]</v>
      </c>
      <c r="P875" s="95" t="str">
        <f ca="1"/>
        <v/>
      </c>
      <c r="Q875" s="95" t="str">
        <f ca="1"/>
        <v/>
      </c>
      <c r="R875" s="96">
        <f ca="1"/>
        <v>46154</v>
      </c>
    </row>
    <row r="876" spans="1:18" s="90" customFormat="1" ht="55" customHeight="1" x14ac:dyDescent="0.35">
      <c r="A876" s="94" t="str">
        <f ca="1"/>
        <v>S25V10883</v>
      </c>
      <c r="B876" s="94" t="str">
        <f ca="1"/>
        <v>PKEK25VE0010883A</v>
      </c>
      <c r="C876" s="94" t="str">
        <f ca="1"/>
        <v>MAGENTA</v>
      </c>
      <c r="D876" s="94" t="str">
        <f ca="1"/>
        <v>604</v>
      </c>
      <c r="E876" s="94" t="str">
        <f ca="1"/>
        <v>FV012282102</v>
      </c>
      <c r="F876" s="94" t="str">
        <f ca="1"/>
        <v>C1500427</v>
      </c>
      <c r="G876" s="94" t="str">
        <f ca="1"/>
        <v>B</v>
      </c>
      <c r="H876" s="94" t="str">
        <f ca="1"/>
        <v>CF003175298</v>
      </c>
      <c r="I876" s="94" t="str">
        <f ca="1"/>
        <v>A</v>
      </c>
      <c r="J876" s="94">
        <f ca="1"/>
        <v>23.5</v>
      </c>
      <c r="K876" s="94"/>
      <c r="L876" s="94">
        <f ca="1"/>
        <v>81.94</v>
      </c>
      <c r="M876" s="94" t="str">
        <f ca="1"/>
        <v>63/65"</v>
      </c>
      <c r="N876" s="94">
        <f ca="1"/>
        <v>62</v>
      </c>
      <c r="O876" s="94" t="str">
        <f ca="1"/>
        <v>thick yarn</v>
      </c>
      <c r="P876" s="95" t="str">
        <f ca="1"/>
        <v/>
      </c>
      <c r="Q876" s="95" t="str">
        <f ca="1"/>
        <v/>
      </c>
      <c r="R876" s="96">
        <f ca="1"/>
        <v>46154</v>
      </c>
    </row>
    <row r="877" spans="1:18" s="90" customFormat="1" ht="55" customHeight="1" x14ac:dyDescent="0.35">
      <c r="A877" s="94" t="str">
        <f ca="1"/>
        <v>S25V10883</v>
      </c>
      <c r="B877" s="94" t="str">
        <f ca="1"/>
        <v>PKEK25VE0010883A</v>
      </c>
      <c r="C877" s="94" t="str">
        <f ca="1"/>
        <v>MAGENTA</v>
      </c>
      <c r="D877" s="94" t="str">
        <f ca="1"/>
        <v>604</v>
      </c>
      <c r="E877" s="94" t="str">
        <f ca="1"/>
        <v>FV012282102</v>
      </c>
      <c r="F877" s="94" t="str">
        <f ca="1"/>
        <v>C1500427</v>
      </c>
      <c r="G877" s="94" t="str">
        <f ca="1"/>
        <v>B</v>
      </c>
      <c r="H877" s="94" t="str">
        <f ca="1"/>
        <v>CF003175299</v>
      </c>
      <c r="I877" s="94" t="str">
        <f ca="1"/>
        <v>A</v>
      </c>
      <c r="J877" s="94">
        <f ca="1"/>
        <v>23.5</v>
      </c>
      <c r="K877" s="94"/>
      <c r="L877" s="94">
        <f ca="1"/>
        <v>81.94</v>
      </c>
      <c r="M877" s="94" t="str">
        <f ca="1"/>
        <v>63/65"</v>
      </c>
      <c r="N877" s="94">
        <f ca="1"/>
        <v>62</v>
      </c>
      <c r="O877" s="94" t="str">
        <f ca="1"/>
        <v>White mark [白印]</v>
      </c>
      <c r="P877" s="95" t="str">
        <f ca="1"/>
        <v/>
      </c>
      <c r="Q877" s="95" t="str">
        <f ca="1"/>
        <v/>
      </c>
      <c r="R877" s="96">
        <f ca="1"/>
        <v>46154</v>
      </c>
    </row>
    <row r="878" spans="1:18" s="90" customFormat="1" ht="55" customHeight="1" x14ac:dyDescent="0.35">
      <c r="A878" s="94" t="str">
        <f ca="1"/>
        <v>S25V10883</v>
      </c>
      <c r="B878" s="94" t="str">
        <f ca="1"/>
        <v>PKEK25VE0010883A</v>
      </c>
      <c r="C878" s="94" t="str">
        <f ca="1"/>
        <v>MAGENTA</v>
      </c>
      <c r="D878" s="94" t="str">
        <f ca="1"/>
        <v>604</v>
      </c>
      <c r="E878" s="94" t="str">
        <f ca="1"/>
        <v>FV012282102</v>
      </c>
      <c r="F878" s="94" t="str">
        <f ca="1"/>
        <v>C1500427</v>
      </c>
      <c r="G878" s="94" t="str">
        <f ca="1"/>
        <v>B</v>
      </c>
      <c r="H878" s="94" t="str">
        <f ca="1"/>
        <v>CF003175300</v>
      </c>
      <c r="I878" s="94" t="str">
        <f ca="1"/>
        <v>A</v>
      </c>
      <c r="J878" s="94">
        <f ca="1"/>
        <v>23.7</v>
      </c>
      <c r="K878" s="94"/>
      <c r="L878" s="94">
        <f ca="1"/>
        <v>82.64</v>
      </c>
      <c r="M878" s="94" t="str">
        <f ca="1"/>
        <v>63/65"</v>
      </c>
      <c r="N878" s="94">
        <f ca="1"/>
        <v>62</v>
      </c>
      <c r="O878" s="94" t="str">
        <f ca="1"/>
        <v/>
      </c>
      <c r="P878" s="95" t="str">
        <f ca="1"/>
        <v/>
      </c>
      <c r="Q878" s="95" t="str">
        <f ca="1"/>
        <v/>
      </c>
      <c r="R878" s="96">
        <f ca="1"/>
        <v>46154</v>
      </c>
    </row>
    <row r="879" spans="1:18" s="90" customFormat="1" ht="55" customHeight="1" x14ac:dyDescent="0.35">
      <c r="A879" s="94" t="str">
        <f ca="1"/>
        <v>S25V10883</v>
      </c>
      <c r="B879" s="94" t="str">
        <f ca="1"/>
        <v>PKEK25VE0010883A</v>
      </c>
      <c r="C879" s="94" t="str">
        <f ca="1"/>
        <v>MAGENTA</v>
      </c>
      <c r="D879" s="94" t="str">
        <f ca="1"/>
        <v>604</v>
      </c>
      <c r="E879" s="94" t="str">
        <f ca="1"/>
        <v>FV012282102</v>
      </c>
      <c r="F879" s="94" t="str">
        <f ca="1"/>
        <v>C1500427</v>
      </c>
      <c r="G879" s="94" t="str">
        <f ca="1"/>
        <v>B</v>
      </c>
      <c r="H879" s="94" t="str">
        <f ca="1"/>
        <v>CF003175316</v>
      </c>
      <c r="I879" s="94" t="str">
        <f ca="1"/>
        <v>A</v>
      </c>
      <c r="J879" s="94">
        <f ca="1"/>
        <v>23.2</v>
      </c>
      <c r="K879" s="94"/>
      <c r="L879" s="94">
        <f ca="1"/>
        <v>80.900000000000006</v>
      </c>
      <c r="M879" s="94" t="str">
        <f ca="1"/>
        <v>63/65"</v>
      </c>
      <c r="N879" s="94">
        <f ca="1"/>
        <v>62</v>
      </c>
      <c r="O879" s="94" t="str">
        <f ca="1"/>
        <v>White mark [白印]</v>
      </c>
      <c r="P879" s="95" t="str">
        <f ca="1"/>
        <v/>
      </c>
      <c r="Q879" s="95" t="str">
        <f ca="1"/>
        <v/>
      </c>
      <c r="R879" s="96">
        <f ca="1"/>
        <v>46154</v>
      </c>
    </row>
    <row r="880" spans="1:18" s="90" customFormat="1" ht="55" customHeight="1" x14ac:dyDescent="0.35">
      <c r="A880" s="94" t="str">
        <f ca="1"/>
        <v>S25V10883</v>
      </c>
      <c r="B880" s="94" t="str">
        <f ca="1"/>
        <v>PKEK25VE0010883A</v>
      </c>
      <c r="C880" s="94" t="str">
        <f ca="1"/>
        <v>BERRY</v>
      </c>
      <c r="D880" s="94" t="str">
        <f ca="1"/>
        <v>652</v>
      </c>
      <c r="E880" s="94" t="str">
        <f ca="1"/>
        <v>FV012675901A</v>
      </c>
      <c r="F880" s="94" t="str">
        <f ca="1"/>
        <v>C1500427</v>
      </c>
      <c r="G880" s="94" t="str">
        <f ca="1"/>
        <v>B</v>
      </c>
      <c r="H880" s="94" t="str">
        <f ca="1"/>
        <v>CF003175996</v>
      </c>
      <c r="I880" s="94" t="str">
        <f ca="1"/>
        <v>A</v>
      </c>
      <c r="J880" s="94">
        <f ca="1"/>
        <v>31.7</v>
      </c>
      <c r="K880" s="94"/>
      <c r="L880" s="94">
        <f ca="1"/>
        <v>117.11</v>
      </c>
      <c r="M880" s="94" t="str">
        <f ca="1"/>
        <v>63/65"</v>
      </c>
      <c r="N880" s="94">
        <f ca="1"/>
        <v>61</v>
      </c>
      <c r="O880" s="94" t="str">
        <f ca="1"/>
        <v/>
      </c>
      <c r="P880" s="95" t="str">
        <f ca="1"/>
        <v/>
      </c>
      <c r="Q880" s="95" t="str">
        <f ca="1"/>
        <v/>
      </c>
      <c r="R880" s="96">
        <f ca="1"/>
        <v>1</v>
      </c>
    </row>
    <row r="881" spans="1:18" s="90" customFormat="1" ht="55" customHeight="1" x14ac:dyDescent="0.35">
      <c r="A881" s="94" t="str">
        <f ca="1"/>
        <v>S25V10883</v>
      </c>
      <c r="B881" s="94" t="str">
        <f ca="1"/>
        <v>PKEK25VE0010883A</v>
      </c>
      <c r="C881" s="94" t="str">
        <f ca="1"/>
        <v>BERRY</v>
      </c>
      <c r="D881" s="94" t="str">
        <f ca="1"/>
        <v>652</v>
      </c>
      <c r="E881" s="94" t="str">
        <f ca="1"/>
        <v>FV012675901A</v>
      </c>
      <c r="F881" s="94" t="str">
        <f ca="1"/>
        <v>C1500427</v>
      </c>
      <c r="G881" s="94" t="str">
        <f ca="1"/>
        <v>B</v>
      </c>
      <c r="H881" s="94" t="str">
        <f ca="1"/>
        <v>CF003175997</v>
      </c>
      <c r="I881" s="94" t="str">
        <f ca="1"/>
        <v>A</v>
      </c>
      <c r="J881" s="94">
        <f ca="1"/>
        <v>23</v>
      </c>
      <c r="K881" s="94"/>
      <c r="L881" s="94">
        <f ca="1"/>
        <v>84.97</v>
      </c>
      <c r="M881" s="94" t="str">
        <f ca="1"/>
        <v>63/65"</v>
      </c>
      <c r="N881" s="94">
        <f ca="1"/>
        <v>61</v>
      </c>
      <c r="O881" s="94" t="str">
        <f ca="1"/>
        <v/>
      </c>
      <c r="P881" s="95" t="str">
        <f ca="1"/>
        <v/>
      </c>
      <c r="Q881" s="95" t="str">
        <f ca="1"/>
        <v/>
      </c>
      <c r="R881" s="96">
        <f ca="1"/>
        <v>1</v>
      </c>
    </row>
    <row r="882" spans="1:18" s="90" customFormat="1" ht="55" customHeight="1" x14ac:dyDescent="0.35">
      <c r="A882" s="94" t="str">
        <f ca="1"/>
        <v>S25V10883</v>
      </c>
      <c r="B882" s="94" t="str">
        <f ca="1"/>
        <v>PKEK25VE0010883A</v>
      </c>
      <c r="C882" s="94" t="str">
        <f ca="1"/>
        <v>BERRY</v>
      </c>
      <c r="D882" s="94" t="str">
        <f ca="1"/>
        <v>652</v>
      </c>
      <c r="E882" s="94" t="str">
        <f ca="1"/>
        <v>FV012675901A</v>
      </c>
      <c r="F882" s="94" t="str">
        <f ca="1"/>
        <v>C1500427</v>
      </c>
      <c r="G882" s="94" t="str">
        <f ca="1"/>
        <v>B</v>
      </c>
      <c r="H882" s="94" t="str">
        <f ca="1"/>
        <v>CF003175998</v>
      </c>
      <c r="I882" s="94" t="str">
        <f ca="1"/>
        <v>A</v>
      </c>
      <c r="J882" s="94">
        <f ca="1"/>
        <v>23.2</v>
      </c>
      <c r="K882" s="94"/>
      <c r="L882" s="94">
        <f ca="1"/>
        <v>85.71</v>
      </c>
      <c r="M882" s="94" t="str">
        <f ca="1"/>
        <v>63/65"</v>
      </c>
      <c r="N882" s="94">
        <f ca="1"/>
        <v>61</v>
      </c>
      <c r="O882" s="94" t="str">
        <f ca="1"/>
        <v/>
      </c>
      <c r="P882" s="95" t="str">
        <f ca="1"/>
        <v/>
      </c>
      <c r="Q882" s="95" t="str">
        <f ca="1"/>
        <v/>
      </c>
      <c r="R882" s="96">
        <f ca="1"/>
        <v>1</v>
      </c>
    </row>
    <row r="883" spans="1:18" s="90" customFormat="1" ht="55" customHeight="1" x14ac:dyDescent="0.35">
      <c r="A883" s="94" t="str">
        <f ca="1"/>
        <v>S25V10883</v>
      </c>
      <c r="B883" s="94" t="str">
        <f ca="1"/>
        <v>PKEK25VE0010883A</v>
      </c>
      <c r="C883" s="94" t="str">
        <f ca="1"/>
        <v>BERRY</v>
      </c>
      <c r="D883" s="94" t="str">
        <f ca="1"/>
        <v>652</v>
      </c>
      <c r="E883" s="94" t="str">
        <f ca="1"/>
        <v>FV012675901A</v>
      </c>
      <c r="F883" s="94" t="str">
        <f ca="1"/>
        <v>C1500427</v>
      </c>
      <c r="G883" s="94" t="str">
        <f ca="1"/>
        <v>B</v>
      </c>
      <c r="H883" s="94" t="str">
        <f ca="1"/>
        <v>CF003175999</v>
      </c>
      <c r="I883" s="94" t="str">
        <f ca="1"/>
        <v>A</v>
      </c>
      <c r="J883" s="94">
        <f ca="1"/>
        <v>22</v>
      </c>
      <c r="K883" s="94"/>
      <c r="L883" s="94">
        <f ca="1"/>
        <v>81.27</v>
      </c>
      <c r="M883" s="94" t="str">
        <f ca="1"/>
        <v>63/65"</v>
      </c>
      <c r="N883" s="94">
        <f ca="1"/>
        <v>61</v>
      </c>
      <c r="O883" s="94" t="str">
        <f ca="1"/>
        <v/>
      </c>
      <c r="P883" s="95" t="str">
        <f ca="1"/>
        <v/>
      </c>
      <c r="Q883" s="95" t="str">
        <f ca="1"/>
        <v/>
      </c>
      <c r="R883" s="96">
        <f ca="1"/>
        <v>1</v>
      </c>
    </row>
    <row r="884" spans="1:18" s="90" customFormat="1" ht="55" customHeight="1" x14ac:dyDescent="0.35">
      <c r="A884" s="94" t="str">
        <f ca="1"/>
        <v>S25V10883</v>
      </c>
      <c r="B884" s="94" t="str">
        <f ca="1"/>
        <v>PKEK25VE0010883A</v>
      </c>
      <c r="C884" s="94" t="str">
        <f ca="1"/>
        <v>BERRY</v>
      </c>
      <c r="D884" s="94" t="str">
        <f ca="1"/>
        <v>652</v>
      </c>
      <c r="E884" s="94" t="str">
        <f ca="1"/>
        <v>FV012675901A</v>
      </c>
      <c r="F884" s="94" t="str">
        <f ca="1"/>
        <v>C1500427</v>
      </c>
      <c r="G884" s="94" t="str">
        <f ca="1"/>
        <v>B</v>
      </c>
      <c r="H884" s="94" t="str">
        <f ca="1"/>
        <v>CF003176000</v>
      </c>
      <c r="I884" s="94" t="str">
        <f ca="1"/>
        <v>A</v>
      </c>
      <c r="J884" s="94">
        <f ca="1"/>
        <v>21.5</v>
      </c>
      <c r="K884" s="94"/>
      <c r="L884" s="94">
        <f ca="1"/>
        <v>79.430000000000007</v>
      </c>
      <c r="M884" s="94" t="str">
        <f ca="1"/>
        <v>63/65"</v>
      </c>
      <c r="N884" s="94">
        <f ca="1"/>
        <v>61</v>
      </c>
      <c r="O884" s="94" t="str">
        <f ca="1"/>
        <v/>
      </c>
      <c r="P884" s="95" t="str">
        <f ca="1"/>
        <v/>
      </c>
      <c r="Q884" s="95" t="str">
        <f ca="1"/>
        <v/>
      </c>
      <c r="R884" s="96">
        <f ca="1"/>
        <v>1</v>
      </c>
    </row>
    <row r="885" spans="1:18" s="90" customFormat="1" ht="55" customHeight="1" x14ac:dyDescent="0.35">
      <c r="A885" s="94" t="str">
        <f ca="1"/>
        <v>S25V10883</v>
      </c>
      <c r="B885" s="94" t="str">
        <f ca="1"/>
        <v>PKEK25VE0010883A</v>
      </c>
      <c r="C885" s="94" t="str">
        <f ca="1"/>
        <v>BERRY</v>
      </c>
      <c r="D885" s="94" t="str">
        <f ca="1"/>
        <v>652</v>
      </c>
      <c r="E885" s="94" t="str">
        <f ca="1"/>
        <v>FV012675901A</v>
      </c>
      <c r="F885" s="94" t="str">
        <f ca="1"/>
        <v>C1500427</v>
      </c>
      <c r="G885" s="94" t="str">
        <f ca="1"/>
        <v>B</v>
      </c>
      <c r="H885" s="94" t="str">
        <f ca="1"/>
        <v>CF003176001</v>
      </c>
      <c r="I885" s="94" t="str">
        <f ca="1"/>
        <v>A</v>
      </c>
      <c r="J885" s="94">
        <f ca="1"/>
        <v>23.3</v>
      </c>
      <c r="K885" s="94"/>
      <c r="L885" s="94">
        <f ca="1"/>
        <v>86.08</v>
      </c>
      <c r="M885" s="94" t="str">
        <f ca="1"/>
        <v>63/65"</v>
      </c>
      <c r="N885" s="94">
        <f ca="1"/>
        <v>61</v>
      </c>
      <c r="O885" s="94" t="str">
        <f ca="1"/>
        <v/>
      </c>
      <c r="P885" s="95" t="str">
        <f ca="1"/>
        <v/>
      </c>
      <c r="Q885" s="95" t="str">
        <f ca="1"/>
        <v/>
      </c>
      <c r="R885" s="96">
        <f ca="1"/>
        <v>1</v>
      </c>
    </row>
    <row r="886" spans="1:18" s="90" customFormat="1" ht="55" customHeight="1" x14ac:dyDescent="0.35">
      <c r="A886" s="94" t="str">
        <f ca="1"/>
        <v>S25V10883</v>
      </c>
      <c r="B886" s="94" t="str">
        <f ca="1"/>
        <v>PKEK25VE0010883A</v>
      </c>
      <c r="C886" s="94" t="str">
        <f ca="1"/>
        <v>BERRY</v>
      </c>
      <c r="D886" s="94" t="str">
        <f ca="1"/>
        <v>652</v>
      </c>
      <c r="E886" s="94" t="str">
        <f ca="1"/>
        <v>FV012675901A</v>
      </c>
      <c r="F886" s="94" t="str">
        <f ca="1"/>
        <v>C1500427</v>
      </c>
      <c r="G886" s="94" t="str">
        <f ca="1"/>
        <v>B</v>
      </c>
      <c r="H886" s="94" t="str">
        <f ca="1"/>
        <v>CF003176002</v>
      </c>
      <c r="I886" s="94" t="str">
        <f ca="1"/>
        <v>A</v>
      </c>
      <c r="J886" s="94">
        <f ca="1"/>
        <v>22.4</v>
      </c>
      <c r="K886" s="94"/>
      <c r="L886" s="94">
        <f ca="1"/>
        <v>82.75</v>
      </c>
      <c r="M886" s="94" t="str">
        <f ca="1"/>
        <v>63/65"</v>
      </c>
      <c r="N886" s="94">
        <f ca="1"/>
        <v>61</v>
      </c>
      <c r="O886" s="94" t="str">
        <f ca="1"/>
        <v/>
      </c>
      <c r="P886" s="95" t="str">
        <f ca="1"/>
        <v/>
      </c>
      <c r="Q886" s="95" t="str">
        <f ca="1"/>
        <v/>
      </c>
      <c r="R886" s="96">
        <f ca="1"/>
        <v>1</v>
      </c>
    </row>
    <row r="887" spans="1:18" s="90" customFormat="1" ht="55" customHeight="1" x14ac:dyDescent="0.35">
      <c r="A887" s="94" t="str">
        <f ca="1"/>
        <v>S25V10883</v>
      </c>
      <c r="B887" s="94" t="str">
        <f ca="1"/>
        <v>PKEK25VE0010883A</v>
      </c>
      <c r="C887" s="94" t="str">
        <f ca="1"/>
        <v>Air Force Blue</v>
      </c>
      <c r="D887" s="94" t="str">
        <f ca="1"/>
        <v>957</v>
      </c>
      <c r="E887" s="94" t="str">
        <f ca="1"/>
        <v>FV012735501</v>
      </c>
      <c r="F887" s="94" t="str">
        <f ca="1"/>
        <v>C1500427</v>
      </c>
      <c r="G887" s="94" t="str">
        <f ca="1"/>
        <v>B</v>
      </c>
      <c r="H887" s="94" t="str">
        <f ca="1"/>
        <v>CF003176174</v>
      </c>
      <c r="I887" s="94" t="str">
        <f ca="1"/>
        <v>A</v>
      </c>
      <c r="J887" s="94">
        <f ca="1"/>
        <v>12.6</v>
      </c>
      <c r="K887" s="94"/>
      <c r="L887" s="94">
        <f ca="1"/>
        <v>46.9</v>
      </c>
      <c r="M887" s="94" t="str">
        <f ca="1"/>
        <v>63/65"</v>
      </c>
      <c r="N887" s="94">
        <f ca="1"/>
        <v>62</v>
      </c>
      <c r="O887" s="94" t="str">
        <f ca="1"/>
        <v>White mark [白印]</v>
      </c>
      <c r="P887" s="95" t="str">
        <f ca="1"/>
        <v>khác màu 2 biên mỗi biên 2"</v>
      </c>
      <c r="Q887" s="95" t="str">
        <f ca="1"/>
        <v>trừ 2 biên mỗi biên vào 2"+ Balane Marker</v>
      </c>
      <c r="R887" s="96">
        <f ca="1"/>
        <v>46154</v>
      </c>
    </row>
    <row r="888" spans="1:18" s="90" customFormat="1" ht="55" customHeight="1" x14ac:dyDescent="0.35">
      <c r="A888" s="94" t="str">
        <f ca="1"/>
        <v>S25V10883</v>
      </c>
      <c r="B888" s="94" t="str">
        <f ca="1"/>
        <v>PKEK25VE0010883A</v>
      </c>
      <c r="C888" s="94" t="str">
        <f ca="1"/>
        <v>Air Force Blue</v>
      </c>
      <c r="D888" s="94" t="str">
        <f ca="1"/>
        <v>957</v>
      </c>
      <c r="E888" s="94" t="str">
        <f ca="1"/>
        <v>FV012735501</v>
      </c>
      <c r="F888" s="94" t="str">
        <f ca="1"/>
        <v>C1500427</v>
      </c>
      <c r="G888" s="94" t="str">
        <f ca="1"/>
        <v>B</v>
      </c>
      <c r="H888" s="94" t="str">
        <f ca="1"/>
        <v>CF003176175</v>
      </c>
      <c r="I888" s="94" t="str">
        <f ca="1"/>
        <v>A</v>
      </c>
      <c r="J888" s="94">
        <f ca="1"/>
        <v>23</v>
      </c>
      <c r="K888" s="94"/>
      <c r="L888" s="94">
        <f ca="1"/>
        <v>85.61</v>
      </c>
      <c r="M888" s="94" t="str">
        <f ca="1"/>
        <v>63/65"</v>
      </c>
      <c r="N888" s="94">
        <f ca="1"/>
        <v>62</v>
      </c>
      <c r="O888" s="94" t="str">
        <f ca="1"/>
        <v>White mark [白印]</v>
      </c>
      <c r="P888" s="95" t="str">
        <f ca="1"/>
        <v>khác màu 2 biên mỗi biên 2"</v>
      </c>
      <c r="Q888" s="95" t="str">
        <f ca="1"/>
        <v>trừ 2 biên mỗi biên vào 2"+ Balane Marker</v>
      </c>
      <c r="R888" s="96">
        <f ca="1"/>
        <v>46154</v>
      </c>
    </row>
    <row r="889" spans="1:18" s="90" customFormat="1" ht="55" customHeight="1" x14ac:dyDescent="0.35">
      <c r="A889" s="94" t="str">
        <f ca="1"/>
        <v>S25V10883</v>
      </c>
      <c r="B889" s="94" t="str">
        <f ca="1"/>
        <v>PKEK25VE0010883A</v>
      </c>
      <c r="C889" s="94" t="str">
        <f ca="1"/>
        <v>Air Force Blue</v>
      </c>
      <c r="D889" s="94" t="str">
        <f ca="1"/>
        <v>957</v>
      </c>
      <c r="E889" s="94" t="str">
        <f ca="1"/>
        <v>FV012735501</v>
      </c>
      <c r="F889" s="94" t="str">
        <f ca="1"/>
        <v>C1500427</v>
      </c>
      <c r="G889" s="94" t="str">
        <f ca="1"/>
        <v>B</v>
      </c>
      <c r="H889" s="94" t="str">
        <f ca="1"/>
        <v>CF003176181</v>
      </c>
      <c r="I889" s="94" t="str">
        <f ca="1"/>
        <v>A</v>
      </c>
      <c r="J889" s="94">
        <f ca="1"/>
        <v>19.899999999999999</v>
      </c>
      <c r="K889" s="94"/>
      <c r="L889" s="94">
        <f ca="1"/>
        <v>74.08</v>
      </c>
      <c r="M889" s="94" t="str">
        <f ca="1"/>
        <v>63/65"</v>
      </c>
      <c r="N889" s="94">
        <f ca="1"/>
        <v>62</v>
      </c>
      <c r="O889" s="94" t="str">
        <f ca="1"/>
        <v>Piece-up(FN) [后整接口]</v>
      </c>
      <c r="P889" s="95" t="str">
        <f ca="1"/>
        <v>khác màu 2 biên mỗi biên 2"</v>
      </c>
      <c r="Q889" s="95" t="str">
        <f ca="1"/>
        <v>trừ 2 biên mỗi biên vào 2"+ Balane Marker</v>
      </c>
      <c r="R889" s="96">
        <f ca="1"/>
        <v>46154</v>
      </c>
    </row>
    <row r="890" spans="1:18" s="90" customFormat="1" ht="55" customHeight="1" x14ac:dyDescent="0.35">
      <c r="A890" s="94" t="str">
        <f ca="1"/>
        <v>S25V10883</v>
      </c>
      <c r="B890" s="94" t="str">
        <f ca="1"/>
        <v>PKEK25VE0010883A</v>
      </c>
      <c r="C890" s="94" t="str">
        <f ca="1"/>
        <v>Air Force Blue</v>
      </c>
      <c r="D890" s="94" t="str">
        <f ca="1"/>
        <v>957</v>
      </c>
      <c r="E890" s="94" t="str">
        <f ca="1"/>
        <v>FV012735501</v>
      </c>
      <c r="F890" s="94" t="str">
        <f ca="1"/>
        <v>C1500427</v>
      </c>
      <c r="G890" s="94" t="str">
        <f ca="1"/>
        <v>B</v>
      </c>
      <c r="H890" s="94" t="str">
        <f ca="1"/>
        <v>CF003176182</v>
      </c>
      <c r="I890" s="94" t="str">
        <f ca="1"/>
        <v>A</v>
      </c>
      <c r="J890" s="94">
        <f ca="1"/>
        <v>20.3</v>
      </c>
      <c r="K890" s="94"/>
      <c r="L890" s="94">
        <f ca="1"/>
        <v>75.56</v>
      </c>
      <c r="M890" s="94" t="str">
        <f ca="1"/>
        <v>63/65"</v>
      </c>
      <c r="N890" s="94">
        <f ca="1"/>
        <v>62</v>
      </c>
      <c r="O890" s="94" t="str">
        <f ca="1"/>
        <v>White mark [白印]</v>
      </c>
      <c r="P890" s="95" t="str">
        <f ca="1"/>
        <v>khác màu 2 biên mỗi biên 2"</v>
      </c>
      <c r="Q890" s="95" t="str">
        <f ca="1"/>
        <v>trừ 2 biên mỗi biên vào 2"+ Balane Marker</v>
      </c>
      <c r="R890" s="96">
        <f ca="1"/>
        <v>46154</v>
      </c>
    </row>
    <row r="891" spans="1:18" s="90" customFormat="1" ht="55" customHeight="1" x14ac:dyDescent="0.35">
      <c r="A891" s="94" t="str">
        <f ca="1"/>
        <v>S25V10883</v>
      </c>
      <c r="B891" s="94" t="str">
        <f ca="1"/>
        <v>PKEK25VE0010883A</v>
      </c>
      <c r="C891" s="94" t="str">
        <f ca="1"/>
        <v>Air Force Blue</v>
      </c>
      <c r="D891" s="94" t="str">
        <f ca="1"/>
        <v>957</v>
      </c>
      <c r="E891" s="94" t="str">
        <f ca="1"/>
        <v>FV012735501</v>
      </c>
      <c r="F891" s="94" t="str">
        <f ca="1"/>
        <v>C1500427</v>
      </c>
      <c r="G891" s="94" t="str">
        <f ca="1"/>
        <v>B</v>
      </c>
      <c r="H891" s="94" t="str">
        <f ca="1"/>
        <v>CF003176183</v>
      </c>
      <c r="I891" s="94" t="str">
        <f ca="1"/>
        <v>A</v>
      </c>
      <c r="J891" s="94">
        <f ca="1"/>
        <v>22.3</v>
      </c>
      <c r="K891" s="94"/>
      <c r="L891" s="94">
        <f ca="1"/>
        <v>83.01</v>
      </c>
      <c r="M891" s="94" t="str">
        <f ca="1"/>
        <v>63/65"</v>
      </c>
      <c r="N891" s="94">
        <f ca="1"/>
        <v>62</v>
      </c>
      <c r="O891" s="94" t="str">
        <f ca="1"/>
        <v>Hole (KN) [针织破洞]</v>
      </c>
      <c r="P891" s="95" t="str">
        <f ca="1"/>
        <v>khác màu 2 biên mỗi biên 2"</v>
      </c>
      <c r="Q891" s="95" t="str">
        <f ca="1"/>
        <v>trừ 2 biên mỗi biên vào 2"+ Balane Marker</v>
      </c>
      <c r="R891" s="96">
        <f ca="1"/>
        <v>46154</v>
      </c>
    </row>
    <row r="892" spans="1:18" s="90" customFormat="1" ht="55" customHeight="1" x14ac:dyDescent="0.35">
      <c r="A892" s="94" t="str">
        <f ca="1"/>
        <v>S25V10883</v>
      </c>
      <c r="B892" s="94" t="str">
        <f ca="1"/>
        <v>PKEK25VE0010883A</v>
      </c>
      <c r="C892" s="94" t="str">
        <f ca="1"/>
        <v>Air Force Blue</v>
      </c>
      <c r="D892" s="94" t="str">
        <f ca="1"/>
        <v>957</v>
      </c>
      <c r="E892" s="94" t="str">
        <f ca="1"/>
        <v>FV012735501</v>
      </c>
      <c r="F892" s="94" t="str">
        <f ca="1"/>
        <v>C1500427</v>
      </c>
      <c r="G892" s="94" t="str">
        <f ca="1"/>
        <v>B</v>
      </c>
      <c r="H892" s="94" t="str">
        <f ca="1"/>
        <v>CF003176184</v>
      </c>
      <c r="I892" s="94" t="str">
        <f ca="1"/>
        <v>A</v>
      </c>
      <c r="J892" s="94">
        <f ca="1"/>
        <v>21.6</v>
      </c>
      <c r="K892" s="94"/>
      <c r="L892" s="94">
        <f ca="1"/>
        <v>80.400000000000006</v>
      </c>
      <c r="M892" s="94" t="str">
        <f ca="1"/>
        <v>63/65"</v>
      </c>
      <c r="N892" s="94">
        <f ca="1"/>
        <v>62</v>
      </c>
      <c r="O892" s="94" t="str">
        <f ca="1"/>
        <v>White mark [白印]</v>
      </c>
      <c r="P892" s="95" t="str">
        <f ca="1"/>
        <v>khác màu 2 biên mỗi biên 2"</v>
      </c>
      <c r="Q892" s="95" t="str">
        <f ca="1"/>
        <v>trừ 2 biên mỗi biên vào 2"+ Balane Marker</v>
      </c>
      <c r="R892" s="96">
        <f ca="1"/>
        <v>46154</v>
      </c>
    </row>
    <row r="893" spans="1:18" s="90" customFormat="1" ht="55" customHeight="1" x14ac:dyDescent="0.35">
      <c r="A893" s="94" t="str">
        <f ca="1"/>
        <v>S25V10883</v>
      </c>
      <c r="B893" s="94" t="str">
        <f ca="1"/>
        <v>PKEK25VE0010883A</v>
      </c>
      <c r="C893" s="94" t="str">
        <f ca="1"/>
        <v>CABERNET</v>
      </c>
      <c r="D893" s="94" t="str">
        <f ca="1"/>
        <v>617</v>
      </c>
      <c r="E893" s="94" t="str">
        <f ca="1"/>
        <v>FV012282503</v>
      </c>
      <c r="F893" s="94" t="str">
        <f ca="1"/>
        <v>C1500427</v>
      </c>
      <c r="G893" s="94" t="str">
        <f ca="1"/>
        <v>B</v>
      </c>
      <c r="H893" s="94" t="str">
        <f ca="1"/>
        <v>CF003177480</v>
      </c>
      <c r="I893" s="94" t="str">
        <f ca="1"/>
        <v>A</v>
      </c>
      <c r="J893" s="94">
        <f ca="1"/>
        <v>23</v>
      </c>
      <c r="K893" s="94"/>
      <c r="L893" s="94">
        <f ca="1"/>
        <v>79.11</v>
      </c>
      <c r="M893" s="94" t="str">
        <f ca="1"/>
        <v>63/65"</v>
      </c>
      <c r="N893" s="94">
        <f ca="1"/>
        <v>63</v>
      </c>
      <c r="O893" s="94" t="str">
        <f ca="1"/>
        <v>White mark [白印]</v>
      </c>
      <c r="P893" s="95" t="str">
        <f ca="1"/>
        <v>rằn ri biên trái 3in</v>
      </c>
      <c r="Q893" s="95" t="str">
        <f ca="1"/>
        <v>né biên trái vào 3in+balane marker+sort out BTP</v>
      </c>
      <c r="R893" s="96">
        <f ca="1"/>
        <v>46155</v>
      </c>
    </row>
    <row r="894" spans="1:18" s="90" customFormat="1" ht="55" customHeight="1" x14ac:dyDescent="0.35">
      <c r="A894" s="94" t="str">
        <f ca="1"/>
        <v>S25V10883</v>
      </c>
      <c r="B894" s="94" t="str">
        <f ca="1"/>
        <v>PKEK25VE0010883A</v>
      </c>
      <c r="C894" s="94" t="str">
        <f ca="1"/>
        <v>CABERNET</v>
      </c>
      <c r="D894" s="94" t="str">
        <f ca="1"/>
        <v>617</v>
      </c>
      <c r="E894" s="94" t="str">
        <f ca="1"/>
        <v>FV012282503</v>
      </c>
      <c r="F894" s="94" t="str">
        <f ca="1"/>
        <v>C1500427</v>
      </c>
      <c r="G894" s="94" t="str">
        <f ca="1"/>
        <v>B</v>
      </c>
      <c r="H894" s="94" t="str">
        <f ca="1"/>
        <v>CF003177486</v>
      </c>
      <c r="I894" s="94" t="str">
        <f ca="1"/>
        <v>B</v>
      </c>
      <c r="J894" s="94">
        <f ca="1"/>
        <v>24.2</v>
      </c>
      <c r="K894" s="94"/>
      <c r="L894" s="94">
        <f ca="1"/>
        <v>83.23</v>
      </c>
      <c r="M894" s="94" t="str">
        <f ca="1"/>
        <v>63/65"</v>
      </c>
      <c r="N894" s="94">
        <f ca="1"/>
        <v>63</v>
      </c>
      <c r="O894" s="94" t="str">
        <f ca="1"/>
        <v>White mark [白印]</v>
      </c>
      <c r="P894" s="95" t="str">
        <f ca="1"/>
        <v>rằn ri biên trái 3in</v>
      </c>
      <c r="Q894" s="95" t="str">
        <f ca="1"/>
        <v>né biên trái vào 3in+balane marker+sort out BTP</v>
      </c>
      <c r="R894" s="96">
        <f ca="1"/>
        <v>46155</v>
      </c>
    </row>
    <row r="895" spans="1:18" s="90" customFormat="1" ht="55" customHeight="1" x14ac:dyDescent="0.35">
      <c r="A895" s="94" t="str">
        <f ca="1"/>
        <v>S25V10883</v>
      </c>
      <c r="B895" s="94" t="str">
        <f ca="1"/>
        <v>PKEK25VE0010883A</v>
      </c>
      <c r="C895" s="94" t="str">
        <f ca="1"/>
        <v>CABERNET</v>
      </c>
      <c r="D895" s="94" t="str">
        <f ca="1"/>
        <v>617</v>
      </c>
      <c r="E895" s="94" t="str">
        <f ca="1"/>
        <v>FV012282503</v>
      </c>
      <c r="F895" s="94" t="str">
        <f ca="1"/>
        <v>C1500427</v>
      </c>
      <c r="G895" s="94" t="str">
        <f ca="1"/>
        <v>B</v>
      </c>
      <c r="H895" s="94" t="str">
        <f ca="1"/>
        <v>CF003177487</v>
      </c>
      <c r="I895" s="94" t="str">
        <f ca="1"/>
        <v>B</v>
      </c>
      <c r="J895" s="94">
        <f ca="1"/>
        <v>14.8</v>
      </c>
      <c r="K895" s="94"/>
      <c r="L895" s="94">
        <f ca="1"/>
        <v>50.9</v>
      </c>
      <c r="M895" s="94" t="str">
        <f ca="1"/>
        <v>63/65"</v>
      </c>
      <c r="N895" s="94">
        <f ca="1"/>
        <v>63</v>
      </c>
      <c r="O895" s="94" t="str">
        <f ca="1"/>
        <v>White mark [白印]</v>
      </c>
      <c r="P895" s="95" t="str">
        <f ca="1"/>
        <v>rằn ri biên trái 3in</v>
      </c>
      <c r="Q895" s="95" t="str">
        <f ca="1"/>
        <v>né biên trái vào 3in+balane marker+sort out BTP</v>
      </c>
      <c r="R895" s="96">
        <f ca="1"/>
        <v>46155</v>
      </c>
    </row>
    <row r="896" spans="1:18" s="90" customFormat="1" ht="55" customHeight="1" x14ac:dyDescent="0.35">
      <c r="A896" s="94" t="str">
        <f ca="1"/>
        <v>S25V10883</v>
      </c>
      <c r="B896" s="94" t="str">
        <f ca="1"/>
        <v>PKEK25VE0010883A</v>
      </c>
      <c r="C896" s="94" t="str">
        <f ca="1"/>
        <v>CABERNET</v>
      </c>
      <c r="D896" s="94" t="str">
        <f ca="1"/>
        <v>617</v>
      </c>
      <c r="E896" s="94" t="str">
        <f ca="1"/>
        <v>FV012282503</v>
      </c>
      <c r="F896" s="94" t="str">
        <f ca="1"/>
        <v>C1500427</v>
      </c>
      <c r="G896" s="94" t="str">
        <f ca="1"/>
        <v>B</v>
      </c>
      <c r="H896" s="94" t="str">
        <f ca="1"/>
        <v>CF003177488</v>
      </c>
      <c r="I896" s="94" t="str">
        <f ca="1"/>
        <v>B</v>
      </c>
      <c r="J896" s="94">
        <f ca="1"/>
        <v>22.3</v>
      </c>
      <c r="K896" s="94"/>
      <c r="L896" s="94">
        <f ca="1"/>
        <v>76.7</v>
      </c>
      <c r="M896" s="94" t="str">
        <f ca="1"/>
        <v>63/65"</v>
      </c>
      <c r="N896" s="94">
        <f ca="1"/>
        <v>63</v>
      </c>
      <c r="O896" s="94" t="str">
        <f ca="1"/>
        <v>White mark [白印]</v>
      </c>
      <c r="P896" s="95" t="str">
        <f ca="1"/>
        <v>rằn ri biên trái 3in</v>
      </c>
      <c r="Q896" s="95" t="str">
        <f ca="1"/>
        <v>né biên trái vào 3in+balane marker+sort out BTP</v>
      </c>
      <c r="R896" s="96">
        <f ca="1"/>
        <v>46155</v>
      </c>
    </row>
    <row r="897" spans="1:18" s="90" customFormat="1" ht="55" customHeight="1" x14ac:dyDescent="0.35">
      <c r="A897" s="94" t="str">
        <f ca="1"/>
        <v>S25V10883</v>
      </c>
      <c r="B897" s="94" t="str">
        <f ca="1"/>
        <v>PKEK25VE0010883A</v>
      </c>
      <c r="C897" s="94" t="str">
        <f ca="1"/>
        <v>CABERNET</v>
      </c>
      <c r="D897" s="94" t="str">
        <f ca="1"/>
        <v>617</v>
      </c>
      <c r="E897" s="94" t="str">
        <f ca="1"/>
        <v>FV012282503</v>
      </c>
      <c r="F897" s="94" t="str">
        <f ca="1"/>
        <v>C1500427</v>
      </c>
      <c r="G897" s="94" t="str">
        <f ca="1"/>
        <v>B</v>
      </c>
      <c r="H897" s="94" t="str">
        <f ca="1"/>
        <v>CF003177489</v>
      </c>
      <c r="I897" s="94" t="str">
        <f ca="1"/>
        <v>B</v>
      </c>
      <c r="J897" s="94">
        <f ca="1"/>
        <v>14.7</v>
      </c>
      <c r="K897" s="94"/>
      <c r="L897" s="94">
        <f ca="1"/>
        <v>50.56</v>
      </c>
      <c r="M897" s="94" t="str">
        <f ca="1"/>
        <v>63/65"</v>
      </c>
      <c r="N897" s="94">
        <f ca="1"/>
        <v>63</v>
      </c>
      <c r="O897" s="94" t="str">
        <f ca="1"/>
        <v>White mark [白印]</v>
      </c>
      <c r="P897" s="95" t="str">
        <f ca="1"/>
        <v>rằn ri biên trái 3in</v>
      </c>
      <c r="Q897" s="95" t="str">
        <f ca="1"/>
        <v>né biên trái vào 3in+balane marker+sort out BTP</v>
      </c>
      <c r="R897" s="96">
        <f ca="1"/>
        <v>46155</v>
      </c>
    </row>
    <row r="898" spans="1:18" s="90" customFormat="1" ht="55" customHeight="1" x14ac:dyDescent="0.35">
      <c r="A898" s="94" t="str">
        <f ca="1"/>
        <v>S25V10883</v>
      </c>
      <c r="B898" s="94" t="str">
        <f ca="1"/>
        <v>PKEK25VE0010883A</v>
      </c>
      <c r="C898" s="94" t="str">
        <f ca="1"/>
        <v>CABERNET</v>
      </c>
      <c r="D898" s="94" t="str">
        <f ca="1"/>
        <v>617</v>
      </c>
      <c r="E898" s="94" t="str">
        <f ca="1"/>
        <v>FV012282503</v>
      </c>
      <c r="F898" s="94" t="str">
        <f ca="1"/>
        <v>C1500427</v>
      </c>
      <c r="G898" s="94" t="str">
        <f ca="1"/>
        <v>B</v>
      </c>
      <c r="H898" s="94" t="str">
        <f ca="1"/>
        <v>CF003177490</v>
      </c>
      <c r="I898" s="94" t="str">
        <f ca="1"/>
        <v>A</v>
      </c>
      <c r="J898" s="94">
        <f ca="1"/>
        <v>24.1</v>
      </c>
      <c r="K898" s="94"/>
      <c r="L898" s="94">
        <f ca="1"/>
        <v>82.89</v>
      </c>
      <c r="M898" s="94" t="str">
        <f ca="1"/>
        <v>63/65"</v>
      </c>
      <c r="N898" s="94">
        <f ca="1"/>
        <v>63</v>
      </c>
      <c r="O898" s="94" t="str">
        <f ca="1"/>
        <v>White mark [白印]</v>
      </c>
      <c r="P898" s="95" t="str">
        <f ca="1"/>
        <v>rằn ri biên trái 3in</v>
      </c>
      <c r="Q898" s="95" t="str">
        <f ca="1"/>
        <v>né biên trái vào 3in+balane marker+sort out BTP</v>
      </c>
      <c r="R898" s="96">
        <f ca="1"/>
        <v>46155</v>
      </c>
    </row>
    <row r="899" spans="1:18" s="90" customFormat="1" ht="55" customHeight="1" x14ac:dyDescent="0.35">
      <c r="A899" s="94" t="str">
        <f ca="1"/>
        <v>S25V10883</v>
      </c>
      <c r="B899" s="94" t="str">
        <f ca="1"/>
        <v>PKEK25VE0010883A</v>
      </c>
      <c r="C899" s="94" t="str">
        <f ca="1"/>
        <v>CABERNET</v>
      </c>
      <c r="D899" s="94" t="str">
        <f ca="1"/>
        <v>617</v>
      </c>
      <c r="E899" s="94" t="str">
        <f ca="1"/>
        <v>FV012282503</v>
      </c>
      <c r="F899" s="94" t="str">
        <f ca="1"/>
        <v>C1500427</v>
      </c>
      <c r="G899" s="94" t="str">
        <f ca="1"/>
        <v>B</v>
      </c>
      <c r="H899" s="94" t="str">
        <f ca="1"/>
        <v>CF003177491</v>
      </c>
      <c r="I899" s="94" t="str">
        <f ca="1"/>
        <v>A</v>
      </c>
      <c r="J899" s="94">
        <f ca="1"/>
        <v>23.8</v>
      </c>
      <c r="K899" s="94"/>
      <c r="L899" s="94">
        <f ca="1"/>
        <v>81.86</v>
      </c>
      <c r="M899" s="94" t="str">
        <f ca="1"/>
        <v>63/65"</v>
      </c>
      <c r="N899" s="94">
        <f ca="1"/>
        <v>63</v>
      </c>
      <c r="O899" s="94" t="str">
        <f ca="1"/>
        <v>White mark [白印]</v>
      </c>
      <c r="P899" s="95" t="str">
        <f ca="1"/>
        <v>rằn ri biên trái 3in</v>
      </c>
      <c r="Q899" s="95" t="str">
        <f ca="1"/>
        <v>né biên trái vào 3in+balane marker+sort out BTP</v>
      </c>
      <c r="R899" s="96">
        <f ca="1"/>
        <v>46155</v>
      </c>
    </row>
    <row r="900" spans="1:18" s="90" customFormat="1" ht="55" customHeight="1" x14ac:dyDescent="0.35">
      <c r="A900" s="94" t="str">
        <f ca="1"/>
        <v>S25V10883</v>
      </c>
      <c r="B900" s="94" t="str">
        <f ca="1"/>
        <v>PKEK25VE0010883A</v>
      </c>
      <c r="C900" s="94" t="str">
        <f ca="1"/>
        <v>CABERNET</v>
      </c>
      <c r="D900" s="94" t="str">
        <f ca="1"/>
        <v>617</v>
      </c>
      <c r="E900" s="94" t="str">
        <f ca="1"/>
        <v>FV012282503</v>
      </c>
      <c r="F900" s="94" t="str">
        <f ca="1"/>
        <v>C1500427</v>
      </c>
      <c r="G900" s="94" t="str">
        <f ca="1"/>
        <v>B</v>
      </c>
      <c r="H900" s="94" t="str">
        <f ca="1"/>
        <v>CF003177492</v>
      </c>
      <c r="I900" s="94" t="str">
        <f ca="1"/>
        <v>B</v>
      </c>
      <c r="J900" s="94">
        <f ca="1"/>
        <v>23.8</v>
      </c>
      <c r="K900" s="94"/>
      <c r="L900" s="94">
        <f ca="1"/>
        <v>81.86</v>
      </c>
      <c r="M900" s="94" t="str">
        <f ca="1"/>
        <v>63/65"</v>
      </c>
      <c r="N900" s="94">
        <f ca="1"/>
        <v>63</v>
      </c>
      <c r="O900" s="94" t="str">
        <f ca="1"/>
        <v>White mark [白印]</v>
      </c>
      <c r="P900" s="95" t="str">
        <f ca="1"/>
        <v>rằn ri biên trái 3in</v>
      </c>
      <c r="Q900" s="95" t="str">
        <f ca="1"/>
        <v>né biên trái vào 3in+balane marker+sort out BTP</v>
      </c>
      <c r="R900" s="96">
        <f ca="1"/>
        <v>46155</v>
      </c>
    </row>
    <row r="901" spans="1:18" s="90" customFormat="1" ht="55" customHeight="1" x14ac:dyDescent="0.35">
      <c r="A901" s="94" t="str">
        <f ca="1"/>
        <v>S25V10883</v>
      </c>
      <c r="B901" s="94" t="str">
        <f ca="1"/>
        <v>PKEK25VE0010883A</v>
      </c>
      <c r="C901" s="94" t="str">
        <f ca="1"/>
        <v>CABERNET</v>
      </c>
      <c r="D901" s="94" t="str">
        <f ca="1"/>
        <v>617</v>
      </c>
      <c r="E901" s="94" t="str">
        <f ca="1"/>
        <v>FV012282503</v>
      </c>
      <c r="F901" s="94" t="str">
        <f ca="1"/>
        <v>C1500427</v>
      </c>
      <c r="G901" s="94" t="str">
        <f ca="1"/>
        <v>B</v>
      </c>
      <c r="H901" s="94" t="str">
        <f ca="1"/>
        <v>CF003177493</v>
      </c>
      <c r="I901" s="94" t="str">
        <f ca="1"/>
        <v>A</v>
      </c>
      <c r="J901" s="94">
        <f ca="1"/>
        <v>12.2</v>
      </c>
      <c r="K901" s="94"/>
      <c r="L901" s="94">
        <f ca="1"/>
        <v>41.96</v>
      </c>
      <c r="M901" s="94" t="str">
        <f ca="1"/>
        <v>63/65"</v>
      </c>
      <c r="N901" s="94">
        <f ca="1"/>
        <v>63</v>
      </c>
      <c r="O901" s="94" t="str">
        <f ca="1"/>
        <v>White mark [白印]</v>
      </c>
      <c r="P901" s="95" t="str">
        <f ca="1"/>
        <v>rằn ri biên phải 3in</v>
      </c>
      <c r="Q901" s="95" t="str">
        <f ca="1"/>
        <v>né biên phải vào 3in+balane maker sort out BTP</v>
      </c>
      <c r="R901" s="96">
        <f ca="1"/>
        <v>46155</v>
      </c>
    </row>
    <row r="902" spans="1:18" s="90" customFormat="1" ht="55" customHeight="1" x14ac:dyDescent="0.35">
      <c r="A902" s="94" t="str">
        <f ca="1"/>
        <v>S25V10883</v>
      </c>
      <c r="B902" s="94" t="str">
        <f ca="1"/>
        <v>PKEK25VE0010883A</v>
      </c>
      <c r="C902" s="94" t="str">
        <f ca="1"/>
        <v>CABERNET</v>
      </c>
      <c r="D902" s="94" t="str">
        <f ca="1"/>
        <v>617</v>
      </c>
      <c r="E902" s="94" t="str">
        <f ca="1"/>
        <v>FV012735401</v>
      </c>
      <c r="F902" s="94" t="str">
        <f ca="1"/>
        <v>C1500427</v>
      </c>
      <c r="G902" s="94" t="str">
        <f ca="1"/>
        <v>B</v>
      </c>
      <c r="H902" s="94" t="str">
        <f ca="1"/>
        <v>CF003177494</v>
      </c>
      <c r="I902" s="94" t="str">
        <f ca="1"/>
        <v>A</v>
      </c>
      <c r="J902" s="94">
        <f ca="1"/>
        <v>23.4</v>
      </c>
      <c r="K902" s="94"/>
      <c r="L902" s="94">
        <f ca="1"/>
        <v>80.48</v>
      </c>
      <c r="M902" s="94" t="str">
        <f ca="1"/>
        <v>63/65"</v>
      </c>
      <c r="N902" s="94">
        <f ca="1"/>
        <v>63</v>
      </c>
      <c r="O902" s="94" t="str">
        <f ca="1"/>
        <v>White mark [白印]</v>
      </c>
      <c r="P902" s="95" t="str">
        <f ca="1"/>
        <v>rằn ri biên phải vào 3in</v>
      </c>
      <c r="Q902" s="95" t="str">
        <f ca="1"/>
        <v>né biên phải vào 3in+balane maker sort out BTP</v>
      </c>
      <c r="R902" s="96">
        <f ca="1"/>
        <v>46155</v>
      </c>
    </row>
    <row r="903" spans="1:18" s="90" customFormat="1" ht="55" customHeight="1" x14ac:dyDescent="0.35">
      <c r="A903" s="94" t="str">
        <f ca="1"/>
        <v>S25V10883</v>
      </c>
      <c r="B903" s="94" t="str">
        <f ca="1"/>
        <v>PKEK25VE0010883A</v>
      </c>
      <c r="C903" s="94" t="str">
        <f ca="1"/>
        <v>CABERNET</v>
      </c>
      <c r="D903" s="94" t="str">
        <f ca="1"/>
        <v>617</v>
      </c>
      <c r="E903" s="94" t="str">
        <f ca="1"/>
        <v>FV012735401</v>
      </c>
      <c r="F903" s="94" t="str">
        <f ca="1"/>
        <v>C1500427</v>
      </c>
      <c r="G903" s="94" t="str">
        <f ca="1"/>
        <v>B</v>
      </c>
      <c r="H903" s="94" t="str">
        <f ca="1"/>
        <v>CF003177495</v>
      </c>
      <c r="I903" s="94" t="str">
        <f ca="1"/>
        <v>A</v>
      </c>
      <c r="J903" s="94">
        <f ca="1"/>
        <v>22.1</v>
      </c>
      <c r="K903" s="94"/>
      <c r="L903" s="94">
        <f ca="1"/>
        <v>76.010000000000005</v>
      </c>
      <c r="M903" s="94" t="str">
        <f ca="1"/>
        <v>63/65"</v>
      </c>
      <c r="N903" s="94">
        <f ca="1"/>
        <v>63</v>
      </c>
      <c r="O903" s="94" t="str">
        <f ca="1"/>
        <v>White mark [白印]</v>
      </c>
      <c r="P903" s="95" t="str">
        <f ca="1"/>
        <v>rằn ri biên phải vào 3in</v>
      </c>
      <c r="Q903" s="95" t="str">
        <f ca="1"/>
        <v>né biên phải vào 3in+balane maker sort out BTP</v>
      </c>
      <c r="R903" s="96">
        <f ca="1"/>
        <v>46155</v>
      </c>
    </row>
    <row r="904" spans="1:18" s="90" customFormat="1" ht="55" customHeight="1" x14ac:dyDescent="0.35">
      <c r="A904" s="94" t="str">
        <f ca="1"/>
        <v>S25V10883</v>
      </c>
      <c r="B904" s="94" t="str">
        <f ca="1"/>
        <v>PKEK25VE0010883A</v>
      </c>
      <c r="C904" s="94" t="str">
        <f ca="1"/>
        <v>CABERNET</v>
      </c>
      <c r="D904" s="94" t="str">
        <f ca="1"/>
        <v>617</v>
      </c>
      <c r="E904" s="94" t="str">
        <f ca="1"/>
        <v>FV012735401</v>
      </c>
      <c r="F904" s="94" t="str">
        <f ca="1"/>
        <v>C1500427</v>
      </c>
      <c r="G904" s="94" t="str">
        <f ca="1"/>
        <v>B</v>
      </c>
      <c r="H904" s="94" t="str">
        <f ca="1"/>
        <v>CF003177496</v>
      </c>
      <c r="I904" s="94" t="str">
        <f ca="1"/>
        <v>B</v>
      </c>
      <c r="J904" s="94">
        <f ca="1"/>
        <v>16.8</v>
      </c>
      <c r="K904" s="94"/>
      <c r="L904" s="94">
        <f ca="1"/>
        <v>57.78</v>
      </c>
      <c r="M904" s="94" t="str">
        <f ca="1"/>
        <v>63/65"</v>
      </c>
      <c r="N904" s="94">
        <f ca="1"/>
        <v>63</v>
      </c>
      <c r="O904" s="94" t="str">
        <f ca="1"/>
        <v>White mark [白印]</v>
      </c>
      <c r="P904" s="95" t="str">
        <f ca="1"/>
        <v>rằn ri biên phải vào 3in</v>
      </c>
      <c r="Q904" s="95" t="str">
        <f ca="1"/>
        <v>né biên phải vào 3in+balane maker sort out BTP</v>
      </c>
      <c r="R904" s="96">
        <f ca="1"/>
        <v>46155</v>
      </c>
    </row>
    <row r="905" spans="1:18" s="90" customFormat="1" ht="55" customHeight="1" x14ac:dyDescent="0.35">
      <c r="A905" s="94" t="str">
        <f ca="1"/>
        <v>S25V10883</v>
      </c>
      <c r="B905" s="94" t="str">
        <f ca="1"/>
        <v>PKEK25VE0010883A</v>
      </c>
      <c r="C905" s="94" t="str">
        <f ca="1"/>
        <v>CABERNET</v>
      </c>
      <c r="D905" s="94" t="str">
        <f ca="1"/>
        <v>617</v>
      </c>
      <c r="E905" s="94" t="str">
        <f ca="1"/>
        <v>FV012735401</v>
      </c>
      <c r="F905" s="94" t="str">
        <f ca="1"/>
        <v>C1500427</v>
      </c>
      <c r="G905" s="94" t="str">
        <f ca="1"/>
        <v>B</v>
      </c>
      <c r="H905" s="94" t="str">
        <f ca="1"/>
        <v>CF003177497</v>
      </c>
      <c r="I905" s="94" t="str">
        <f ca="1"/>
        <v>A</v>
      </c>
      <c r="J905" s="94">
        <f ca="1"/>
        <v>23.3</v>
      </c>
      <c r="K905" s="94"/>
      <c r="L905" s="94">
        <f ca="1"/>
        <v>80.14</v>
      </c>
      <c r="M905" s="94" t="str">
        <f ca="1"/>
        <v>63/65"</v>
      </c>
      <c r="N905" s="94">
        <f ca="1"/>
        <v>63</v>
      </c>
      <c r="O905" s="94" t="str">
        <f ca="1"/>
        <v>White mark [白印]</v>
      </c>
      <c r="P905" s="95" t="str">
        <f ca="1"/>
        <v>rằn ri biên phải vào 3in</v>
      </c>
      <c r="Q905" s="95" t="str">
        <f ca="1"/>
        <v>né biên phải vào 3in+balane maker sort out BTP</v>
      </c>
      <c r="R905" s="96">
        <f ca="1"/>
        <v>46155</v>
      </c>
    </row>
    <row r="906" spans="1:18" s="90" customFormat="1" ht="55" customHeight="1" x14ac:dyDescent="0.35">
      <c r="A906" s="94" t="str">
        <f ca="1"/>
        <v>S25V10883</v>
      </c>
      <c r="B906" s="94" t="str">
        <f ca="1"/>
        <v>PKEK25VE0010883A</v>
      </c>
      <c r="C906" s="94" t="str">
        <f ca="1"/>
        <v>CABERNET</v>
      </c>
      <c r="D906" s="94" t="str">
        <f ca="1"/>
        <v>617</v>
      </c>
      <c r="E906" s="94" t="str">
        <f ca="1"/>
        <v>FV012735401</v>
      </c>
      <c r="F906" s="94" t="str">
        <f ca="1"/>
        <v>C1500427</v>
      </c>
      <c r="G906" s="94" t="str">
        <f ca="1"/>
        <v>B</v>
      </c>
      <c r="H906" s="94" t="str">
        <f ca="1"/>
        <v>CF003177498</v>
      </c>
      <c r="I906" s="94" t="str">
        <f ca="1"/>
        <v>A</v>
      </c>
      <c r="J906" s="94">
        <f ca="1"/>
        <v>17.399999999999999</v>
      </c>
      <c r="K906" s="94"/>
      <c r="L906" s="94">
        <f ca="1"/>
        <v>59.85</v>
      </c>
      <c r="M906" s="94" t="str">
        <f ca="1"/>
        <v>63/65"</v>
      </c>
      <c r="N906" s="94">
        <f ca="1"/>
        <v>63</v>
      </c>
      <c r="O906" s="94" t="str">
        <f ca="1"/>
        <v>White mark [白印]</v>
      </c>
      <c r="P906" s="95" t="str">
        <f ca="1"/>
        <v>Rằn ri biên trái 3in</v>
      </c>
      <c r="Q906" s="95" t="str">
        <f ca="1"/>
        <v>né biên trái vào 3in+balane maker+sort out BTP</v>
      </c>
      <c r="R906" s="96">
        <f ca="1"/>
        <v>46155</v>
      </c>
    </row>
    <row r="907" spans="1:18" s="90" customFormat="1" ht="55" customHeight="1" x14ac:dyDescent="0.35">
      <c r="A907" s="94" t="str">
        <f ca="1"/>
        <v>S25V10883</v>
      </c>
      <c r="B907" s="94" t="str">
        <f ca="1"/>
        <v>PKEK25VE0010883A</v>
      </c>
      <c r="C907" s="94" t="str">
        <f ca="1"/>
        <v>CABERNET</v>
      </c>
      <c r="D907" s="94" t="str">
        <f ca="1"/>
        <v>617</v>
      </c>
      <c r="E907" s="94" t="str">
        <f ca="1"/>
        <v>FV012735401</v>
      </c>
      <c r="F907" s="94" t="str">
        <f ca="1"/>
        <v>C1500427</v>
      </c>
      <c r="G907" s="94" t="str">
        <f ca="1"/>
        <v>B</v>
      </c>
      <c r="H907" s="94" t="str">
        <f ca="1"/>
        <v>CF003177499</v>
      </c>
      <c r="I907" s="94" t="str">
        <f ca="1"/>
        <v>A</v>
      </c>
      <c r="J907" s="94">
        <f ca="1"/>
        <v>23.5</v>
      </c>
      <c r="K907" s="94"/>
      <c r="L907" s="94">
        <f ca="1"/>
        <v>80.83</v>
      </c>
      <c r="M907" s="94" t="str">
        <f ca="1"/>
        <v>63/65"</v>
      </c>
      <c r="N907" s="94">
        <f ca="1"/>
        <v>63</v>
      </c>
      <c r="O907" s="94" t="str">
        <f ca="1"/>
        <v>White mark [白印]</v>
      </c>
      <c r="P907" s="95" t="str">
        <f ca="1"/>
        <v>rằn ri biên phải 3in</v>
      </c>
      <c r="Q907" s="95" t="str">
        <f ca="1"/>
        <v>né biên phải vào 3in+balane maker sort out BTP</v>
      </c>
      <c r="R907" s="96">
        <f ca="1"/>
        <v>46155</v>
      </c>
    </row>
    <row r="908" spans="1:18" s="90" customFormat="1" ht="55" customHeight="1" x14ac:dyDescent="0.35">
      <c r="A908" s="94" t="str">
        <f ca="1"/>
        <v>S25V10883</v>
      </c>
      <c r="B908" s="94" t="str">
        <f ca="1"/>
        <v>PKEK25VE0010883A</v>
      </c>
      <c r="C908" s="94" t="str">
        <f ca="1"/>
        <v>CABERNET</v>
      </c>
      <c r="D908" s="94" t="str">
        <f ca="1"/>
        <v>617</v>
      </c>
      <c r="E908" s="94" t="str">
        <f ca="1"/>
        <v>FV012735401</v>
      </c>
      <c r="F908" s="94" t="str">
        <f ca="1"/>
        <v>C1500427</v>
      </c>
      <c r="G908" s="94" t="str">
        <f ca="1"/>
        <v>B</v>
      </c>
      <c r="H908" s="94" t="str">
        <f ca="1"/>
        <v>CF003177500</v>
      </c>
      <c r="I908" s="94" t="str">
        <f ca="1"/>
        <v>A</v>
      </c>
      <c r="J908" s="94">
        <f ca="1"/>
        <v>23</v>
      </c>
      <c r="K908" s="94"/>
      <c r="L908" s="94">
        <f ca="1"/>
        <v>79.11</v>
      </c>
      <c r="M908" s="94" t="str">
        <f ca="1"/>
        <v>63/65"</v>
      </c>
      <c r="N908" s="94">
        <f ca="1"/>
        <v>63</v>
      </c>
      <c r="O908" s="94" t="str">
        <f ca="1"/>
        <v>White mark [白印]</v>
      </c>
      <c r="P908" s="95" t="str">
        <f ca="1"/>
        <v>rằn ri biên phải 3in</v>
      </c>
      <c r="Q908" s="95" t="str">
        <f ca="1"/>
        <v>né biên phải vào 3in+balane maker sort out BTP</v>
      </c>
      <c r="R908" s="96">
        <f ca="1"/>
        <v>46155</v>
      </c>
    </row>
    <row r="909" spans="1:18" s="90" customFormat="1" ht="55" customHeight="1" x14ac:dyDescent="0.35">
      <c r="A909" s="94" t="str">
        <f ca="1"/>
        <v>S25V10883</v>
      </c>
      <c r="B909" s="94" t="str">
        <f ca="1"/>
        <v>PKEK25VE0010883A</v>
      </c>
      <c r="C909" s="94" t="str">
        <f ca="1"/>
        <v>CABERNET</v>
      </c>
      <c r="D909" s="94" t="str">
        <f ca="1"/>
        <v>617</v>
      </c>
      <c r="E909" s="94" t="str">
        <f ca="1"/>
        <v>FV012735401</v>
      </c>
      <c r="F909" s="94" t="str">
        <f ca="1"/>
        <v>C1500427</v>
      </c>
      <c r="G909" s="94" t="str">
        <f ca="1"/>
        <v>B</v>
      </c>
      <c r="H909" s="94" t="str">
        <f ca="1"/>
        <v>CF003177501</v>
      </c>
      <c r="I909" s="94" t="str">
        <f ca="1"/>
        <v>A</v>
      </c>
      <c r="J909" s="94">
        <f ca="1"/>
        <v>37</v>
      </c>
      <c r="K909" s="94"/>
      <c r="L909" s="94">
        <f ca="1"/>
        <v>127.26</v>
      </c>
      <c r="M909" s="94" t="str">
        <f ca="1"/>
        <v>63/65"</v>
      </c>
      <c r="N909" s="94">
        <f ca="1"/>
        <v>63</v>
      </c>
      <c r="O909" s="94" t="str">
        <f ca="1"/>
        <v>White mark [白印]</v>
      </c>
      <c r="P909" s="95" t="str">
        <f ca="1"/>
        <v>rằn ri biên phải 3in</v>
      </c>
      <c r="Q909" s="95" t="str">
        <f ca="1"/>
        <v>né biên phải vào 3in+balane maker sort out BTP</v>
      </c>
      <c r="R909" s="96">
        <f ca="1"/>
        <v>46155</v>
      </c>
    </row>
    <row r="910" spans="1:18" s="90" customFormat="1" ht="55" customHeight="1" x14ac:dyDescent="0.35">
      <c r="A910" s="94" t="str">
        <f ca="1"/>
        <v>S25V10883</v>
      </c>
      <c r="B910" s="94" t="str">
        <f ca="1"/>
        <v>PKEK25VE0010883A</v>
      </c>
      <c r="C910" s="94" t="str">
        <f ca="1"/>
        <v>DEEP SEA</v>
      </c>
      <c r="D910" s="94" t="str">
        <f ca="1"/>
        <v>365</v>
      </c>
      <c r="E910" s="94" t="str">
        <f ca="1"/>
        <v>FV012282003B</v>
      </c>
      <c r="F910" s="94" t="str">
        <f ca="1"/>
        <v>C1500427</v>
      </c>
      <c r="G910" s="94" t="str">
        <f ca="1"/>
        <v>B</v>
      </c>
      <c r="H910" s="94" t="str">
        <f ca="1"/>
        <v>CF003180452</v>
      </c>
      <c r="I910" s="94" t="str">
        <f ca="1"/>
        <v>A</v>
      </c>
      <c r="J910" s="94">
        <f ca="1"/>
        <v>23.7</v>
      </c>
      <c r="K910" s="94"/>
      <c r="L910" s="94">
        <f ca="1"/>
        <v>85.79</v>
      </c>
      <c r="M910" s="94" t="str">
        <f ca="1"/>
        <v>63/65"</v>
      </c>
      <c r="N910" s="94">
        <f ca="1"/>
        <v>62</v>
      </c>
      <c r="O910" s="94" t="str">
        <f ca="1"/>
        <v>Oil (PD) [匹染油污]</v>
      </c>
      <c r="P910" s="95" t="str">
        <f ca="1"/>
        <v/>
      </c>
      <c r="Q910" s="95" t="str">
        <f ca="1"/>
        <v/>
      </c>
      <c r="R910" s="96">
        <f ca="1"/>
        <v>46160</v>
      </c>
    </row>
    <row r="911" spans="1:18" s="90" customFormat="1" ht="55" customHeight="1" x14ac:dyDescent="0.35">
      <c r="A911" s="94" t="str">
        <f ca="1"/>
        <v>S25V10883</v>
      </c>
      <c r="B911" s="94" t="str">
        <f ca="1"/>
        <v>PKEK25VE0010883A</v>
      </c>
      <c r="C911" s="94" t="str">
        <f ca="1"/>
        <v>DEEP SEA</v>
      </c>
      <c r="D911" s="94" t="str">
        <f ca="1"/>
        <v>365</v>
      </c>
      <c r="E911" s="94" t="str">
        <f ca="1"/>
        <v>FV012282003B</v>
      </c>
      <c r="F911" s="94" t="str">
        <f ca="1"/>
        <v>C1500427</v>
      </c>
      <c r="G911" s="94" t="str">
        <f ca="1"/>
        <v>B</v>
      </c>
      <c r="H911" s="94" t="str">
        <f ca="1"/>
        <v>CF003180453</v>
      </c>
      <c r="I911" s="94" t="str">
        <f ca="1"/>
        <v>A</v>
      </c>
      <c r="J911" s="94">
        <f ca="1"/>
        <v>31.1</v>
      </c>
      <c r="K911" s="94"/>
      <c r="L911" s="94">
        <f ca="1"/>
        <v>112.58</v>
      </c>
      <c r="M911" s="94" t="str">
        <f ca="1"/>
        <v>63/65"</v>
      </c>
      <c r="N911" s="94">
        <f ca="1"/>
        <v>62</v>
      </c>
      <c r="O911" s="94" t="str">
        <f ca="1"/>
        <v>White mark [白印]</v>
      </c>
      <c r="P911" s="95" t="str">
        <f ca="1"/>
        <v/>
      </c>
      <c r="Q911" s="95" t="str">
        <f ca="1"/>
        <v/>
      </c>
      <c r="R911" s="96">
        <f ca="1"/>
        <v>46160</v>
      </c>
    </row>
    <row r="912" spans="1:18" s="90" customFormat="1" ht="55" customHeight="1" x14ac:dyDescent="0.35">
      <c r="A912" s="94" t="str">
        <f ca="1"/>
        <v>S25V10883</v>
      </c>
      <c r="B912" s="94" t="str">
        <f ca="1"/>
        <v>PKEK25VE0010883A</v>
      </c>
      <c r="C912" s="94" t="str">
        <f ca="1"/>
        <v>DEEP SEA</v>
      </c>
      <c r="D912" s="94" t="str">
        <f ca="1"/>
        <v>365</v>
      </c>
      <c r="E912" s="94" t="str">
        <f ca="1"/>
        <v>FV012282003B</v>
      </c>
      <c r="F912" s="94" t="str">
        <f ca="1"/>
        <v>C1500427</v>
      </c>
      <c r="G912" s="94" t="str">
        <f ca="1"/>
        <v>B</v>
      </c>
      <c r="H912" s="94" t="str">
        <f ca="1"/>
        <v>CF003180454</v>
      </c>
      <c r="I912" s="94" t="str">
        <f ca="1"/>
        <v>B</v>
      </c>
      <c r="J912" s="94">
        <f ca="1"/>
        <v>22.9</v>
      </c>
      <c r="K912" s="94"/>
      <c r="L912" s="94">
        <f ca="1"/>
        <v>82.89</v>
      </c>
      <c r="M912" s="94" t="str">
        <f ca="1"/>
        <v>63/65"</v>
      </c>
      <c r="N912" s="94">
        <f ca="1"/>
        <v>62</v>
      </c>
      <c r="O912" s="94" t="str">
        <f ca="1"/>
        <v>White mark [白印]</v>
      </c>
      <c r="P912" s="95" t="str">
        <f ca="1"/>
        <v/>
      </c>
      <c r="Q912" s="95" t="str">
        <f ca="1"/>
        <v/>
      </c>
      <c r="R912" s="96">
        <f ca="1"/>
        <v>46160</v>
      </c>
    </row>
    <row r="913" spans="1:18" s="90" customFormat="1" ht="55" customHeight="1" x14ac:dyDescent="0.35">
      <c r="A913" s="94" t="str">
        <f ca="1"/>
        <v>S25V10883</v>
      </c>
      <c r="B913" s="94" t="str">
        <f ca="1"/>
        <v>PKEK25VE0010883A</v>
      </c>
      <c r="C913" s="94" t="str">
        <f ca="1"/>
        <v>DEEP SEA</v>
      </c>
      <c r="D913" s="94" t="str">
        <f ca="1"/>
        <v>365</v>
      </c>
      <c r="E913" s="94" t="str">
        <f ca="1"/>
        <v>FV012282003B</v>
      </c>
      <c r="F913" s="94" t="str">
        <f ca="1"/>
        <v>C1500427</v>
      </c>
      <c r="G913" s="94" t="str">
        <f ca="1"/>
        <v>B</v>
      </c>
      <c r="H913" s="94" t="str">
        <f ca="1"/>
        <v>CF003180455</v>
      </c>
      <c r="I913" s="94" t="str">
        <f ca="1"/>
        <v>B</v>
      </c>
      <c r="J913" s="94">
        <f ca="1"/>
        <v>23.4</v>
      </c>
      <c r="K913" s="94"/>
      <c r="L913" s="94">
        <f ca="1"/>
        <v>84.7</v>
      </c>
      <c r="M913" s="94" t="str">
        <f ca="1"/>
        <v>63/65"</v>
      </c>
      <c r="N913" s="94">
        <f ca="1"/>
        <v>62</v>
      </c>
      <c r="O913" s="94" t="str">
        <f ca="1"/>
        <v>White mark [白印]</v>
      </c>
      <c r="P913" s="95" t="str">
        <f ca="1"/>
        <v/>
      </c>
      <c r="Q913" s="95" t="str">
        <f ca="1"/>
        <v/>
      </c>
      <c r="R913" s="96">
        <f ca="1"/>
        <v>46160</v>
      </c>
    </row>
    <row r="914" spans="1:18" s="90" customFormat="1" ht="55" customHeight="1" x14ac:dyDescent="0.35">
      <c r="A914" s="94" t="str">
        <f ca="1"/>
        <v>S25V10883</v>
      </c>
      <c r="B914" s="94" t="str">
        <f ca="1"/>
        <v>PKEK25VE0010883A</v>
      </c>
      <c r="C914" s="94" t="str">
        <f ca="1"/>
        <v>DEEP SEA</v>
      </c>
      <c r="D914" s="94" t="str">
        <f ca="1"/>
        <v>365</v>
      </c>
      <c r="E914" s="94" t="str">
        <f ca="1"/>
        <v>FV012282003B</v>
      </c>
      <c r="F914" s="94" t="str">
        <f ca="1"/>
        <v>C1500427</v>
      </c>
      <c r="G914" s="94" t="str">
        <f ca="1"/>
        <v>B</v>
      </c>
      <c r="H914" s="94" t="str">
        <f ca="1"/>
        <v>CF003180461</v>
      </c>
      <c r="I914" s="94" t="str">
        <f ca="1"/>
        <v>B</v>
      </c>
      <c r="J914" s="94">
        <f ca="1"/>
        <v>23.4</v>
      </c>
      <c r="K914" s="94"/>
      <c r="L914" s="94">
        <f ca="1"/>
        <v>84.7</v>
      </c>
      <c r="M914" s="94" t="str">
        <f ca="1"/>
        <v>63/65"</v>
      </c>
      <c r="N914" s="94">
        <f ca="1"/>
        <v>62</v>
      </c>
      <c r="O914" s="94" t="str">
        <f ca="1"/>
        <v>White mark [白印]</v>
      </c>
      <c r="P914" s="95" t="str">
        <f ca="1"/>
        <v/>
      </c>
      <c r="Q914" s="95" t="str">
        <f ca="1"/>
        <v/>
      </c>
      <c r="R914" s="96">
        <f ca="1"/>
        <v>46160</v>
      </c>
    </row>
    <row r="915" spans="1:18" s="90" customFormat="1" ht="55" customHeight="1" x14ac:dyDescent="0.35">
      <c r="A915" s="94" t="str">
        <f ca="1"/>
        <v>S25V10883</v>
      </c>
      <c r="B915" s="94" t="str">
        <f ca="1"/>
        <v>PKEK25VE0010883A</v>
      </c>
      <c r="C915" s="94" t="str">
        <f ca="1"/>
        <v>DEEP SEA</v>
      </c>
      <c r="D915" s="94" t="str">
        <f ca="1"/>
        <v>365</v>
      </c>
      <c r="E915" s="94" t="str">
        <f ca="1"/>
        <v>FV012282003B</v>
      </c>
      <c r="F915" s="94" t="str">
        <f ca="1"/>
        <v>C1500427</v>
      </c>
      <c r="G915" s="94" t="str">
        <f ca="1"/>
        <v>B</v>
      </c>
      <c r="H915" s="94" t="str">
        <f ca="1"/>
        <v>CF003180462</v>
      </c>
      <c r="I915" s="94" t="str">
        <f ca="1"/>
        <v>A</v>
      </c>
      <c r="J915" s="94">
        <f ca="1"/>
        <v>21.9</v>
      </c>
      <c r="K915" s="94"/>
      <c r="L915" s="94">
        <f ca="1"/>
        <v>79.27</v>
      </c>
      <c r="M915" s="94" t="str">
        <f ca="1"/>
        <v>63/65"</v>
      </c>
      <c r="N915" s="94">
        <f ca="1"/>
        <v>62</v>
      </c>
      <c r="O915" s="94" t="str">
        <f ca="1"/>
        <v>White mark [白印]</v>
      </c>
      <c r="P915" s="95" t="str">
        <f ca="1"/>
        <v/>
      </c>
      <c r="Q915" s="95" t="str">
        <f ca="1"/>
        <v/>
      </c>
      <c r="R915" s="96">
        <f ca="1"/>
        <v>46160</v>
      </c>
    </row>
    <row r="916" spans="1:18" s="90" customFormat="1" ht="55" customHeight="1" x14ac:dyDescent="0.35">
      <c r="A916" s="94" t="str">
        <f ca="1"/>
        <v>S25V10883</v>
      </c>
      <c r="B916" s="94" t="str">
        <f ca="1"/>
        <v>PKEK25VE0010883A</v>
      </c>
      <c r="C916" s="94" t="str">
        <f ca="1"/>
        <v>DEEP SEA</v>
      </c>
      <c r="D916" s="94" t="str">
        <f ca="1"/>
        <v>365</v>
      </c>
      <c r="E916" s="94" t="str">
        <f ca="1"/>
        <v>FV012282003B</v>
      </c>
      <c r="F916" s="94" t="str">
        <f ca="1"/>
        <v>C1500427</v>
      </c>
      <c r="G916" s="94" t="str">
        <f ca="1"/>
        <v>B</v>
      </c>
      <c r="H916" s="94" t="str">
        <f ca="1"/>
        <v>CF003180463</v>
      </c>
      <c r="I916" s="94" t="str">
        <f ca="1"/>
        <v>A</v>
      </c>
      <c r="J916" s="94">
        <f ca="1"/>
        <v>18.399999999999999</v>
      </c>
      <c r="K916" s="94"/>
      <c r="L916" s="94">
        <f ca="1"/>
        <v>66.61</v>
      </c>
      <c r="M916" s="94" t="str">
        <f ca="1"/>
        <v>63/65"</v>
      </c>
      <c r="N916" s="94">
        <f ca="1"/>
        <v>62</v>
      </c>
      <c r="O916" s="94" t="str">
        <f ca="1"/>
        <v>White mark [白印]</v>
      </c>
      <c r="P916" s="95" t="str">
        <f ca="1"/>
        <v/>
      </c>
      <c r="Q916" s="95" t="str">
        <f ca="1"/>
        <v/>
      </c>
      <c r="R916" s="96">
        <f ca="1"/>
        <v>46160</v>
      </c>
    </row>
    <row r="917" spans="1:18" s="90" customFormat="1" ht="55" customHeight="1" x14ac:dyDescent="0.35">
      <c r="A917" s="94" t="str">
        <f ca="1"/>
        <v>S25V10883</v>
      </c>
      <c r="B917" s="94" t="str">
        <f ca="1"/>
        <v>PKEK25VE0010883A</v>
      </c>
      <c r="C917" s="94" t="str">
        <f ca="1"/>
        <v>DEEP SEA</v>
      </c>
      <c r="D917" s="94" t="str">
        <f ca="1"/>
        <v>365</v>
      </c>
      <c r="E917" s="94" t="str">
        <f ca="1"/>
        <v>FV012282003B</v>
      </c>
      <c r="F917" s="94" t="str">
        <f ca="1"/>
        <v>C1500427</v>
      </c>
      <c r="G917" s="94" t="str">
        <f ca="1"/>
        <v>B</v>
      </c>
      <c r="H917" s="94" t="str">
        <f ca="1"/>
        <v>CF003180464</v>
      </c>
      <c r="I917" s="94" t="str">
        <f ca="1"/>
        <v>A</v>
      </c>
      <c r="J917" s="94">
        <f ca="1"/>
        <v>13.3</v>
      </c>
      <c r="K917" s="94"/>
      <c r="L917" s="94">
        <f ca="1"/>
        <v>48.14</v>
      </c>
      <c r="M917" s="94" t="str">
        <f ca="1"/>
        <v>63/65"</v>
      </c>
      <c r="N917" s="94">
        <f ca="1"/>
        <v>62</v>
      </c>
      <c r="O917" s="94" t="str">
        <f ca="1"/>
        <v>Hole (KN) [针织破洞]</v>
      </c>
      <c r="P917" s="95" t="str">
        <f ca="1"/>
        <v/>
      </c>
      <c r="Q917" s="95" t="str">
        <f ca="1"/>
        <v/>
      </c>
      <c r="R917" s="96">
        <f ca="1"/>
        <v>46160</v>
      </c>
    </row>
    <row r="918" spans="1:18" s="90" customFormat="1" ht="55" customHeight="1" x14ac:dyDescent="0.35">
      <c r="A918" s="94" t="str">
        <f ca="1"/>
        <v>S25V10883</v>
      </c>
      <c r="B918" s="94" t="str">
        <f ca="1"/>
        <v>PKEK25VE0010883A</v>
      </c>
      <c r="C918" s="94" t="str">
        <f ca="1"/>
        <v>DEEP SEA</v>
      </c>
      <c r="D918" s="94" t="str">
        <f ca="1"/>
        <v>365</v>
      </c>
      <c r="E918" s="94" t="str">
        <f ca="1"/>
        <v>FV012282003B</v>
      </c>
      <c r="F918" s="94" t="str">
        <f ca="1"/>
        <v>C1500427</v>
      </c>
      <c r="G918" s="94" t="str">
        <f ca="1"/>
        <v>B</v>
      </c>
      <c r="H918" s="94" t="str">
        <f ca="1"/>
        <v>CF003180465</v>
      </c>
      <c r="I918" s="94" t="str">
        <f ca="1"/>
        <v>A</v>
      </c>
      <c r="J918" s="94">
        <f ca="1"/>
        <v>35</v>
      </c>
      <c r="K918" s="94"/>
      <c r="L918" s="94">
        <f ca="1"/>
        <v>126.69</v>
      </c>
      <c r="M918" s="94" t="str">
        <f ca="1"/>
        <v>63/65"</v>
      </c>
      <c r="N918" s="94">
        <f ca="1"/>
        <v>62</v>
      </c>
      <c r="O918" s="94" t="str">
        <f ca="1"/>
        <v>Hole (KN) [针织破洞]</v>
      </c>
      <c r="P918" s="95" t="str">
        <f ca="1"/>
        <v/>
      </c>
      <c r="Q918" s="95" t="str">
        <f ca="1"/>
        <v/>
      </c>
      <c r="R918" s="96">
        <f ca="1"/>
        <v>46160</v>
      </c>
    </row>
    <row r="919" spans="1:18" s="90" customFormat="1" ht="55" customHeight="1" x14ac:dyDescent="0.35">
      <c r="A919" s="94" t="str">
        <f ca="1"/>
        <v>S25V10883</v>
      </c>
      <c r="B919" s="94" t="str">
        <f ca="1"/>
        <v>PKEK25VE0010883A</v>
      </c>
      <c r="C919" s="94" t="str">
        <f ca="1"/>
        <v>DEEP SEA</v>
      </c>
      <c r="D919" s="94" t="str">
        <f ca="1"/>
        <v>365</v>
      </c>
      <c r="E919" s="94" t="str">
        <f ca="1"/>
        <v>FV012282003B</v>
      </c>
      <c r="F919" s="94" t="str">
        <f ca="1"/>
        <v>C1500427</v>
      </c>
      <c r="G919" s="94" t="str">
        <f ca="1"/>
        <v>B</v>
      </c>
      <c r="H919" s="94" t="str">
        <f ca="1"/>
        <v>CF003180476</v>
      </c>
      <c r="I919" s="94" t="str">
        <f ca="1"/>
        <v>A</v>
      </c>
      <c r="J919" s="94">
        <f ca="1"/>
        <v>23.4</v>
      </c>
      <c r="K919" s="94"/>
      <c r="L919" s="94">
        <f ca="1"/>
        <v>84.7</v>
      </c>
      <c r="M919" s="94" t="str">
        <f ca="1"/>
        <v>63/65"</v>
      </c>
      <c r="N919" s="94">
        <f ca="1"/>
        <v>62</v>
      </c>
      <c r="O919" s="94" t="str">
        <f ca="1"/>
        <v>Oil (PD) [匹染油污]</v>
      </c>
      <c r="P919" s="95" t="str">
        <f ca="1"/>
        <v/>
      </c>
      <c r="Q919" s="95" t="str">
        <f ca="1"/>
        <v/>
      </c>
      <c r="R919" s="96">
        <f ca="1"/>
        <v>46160</v>
      </c>
    </row>
    <row r="920" spans="1:18" s="90" customFormat="1" ht="55" customHeight="1" x14ac:dyDescent="0.35">
      <c r="A920" s="94" t="str">
        <f ca="1"/>
        <v>S25V10883</v>
      </c>
      <c r="B920" s="94" t="str">
        <f ca="1"/>
        <v>PKEK25VE0010883A</v>
      </c>
      <c r="C920" s="94" t="str">
        <f ca="1"/>
        <v>DEEP SEA</v>
      </c>
      <c r="D920" s="94" t="str">
        <f ca="1"/>
        <v>365</v>
      </c>
      <c r="E920" s="94" t="str">
        <f ca="1"/>
        <v>FV012282003B</v>
      </c>
      <c r="F920" s="94" t="str">
        <f ca="1"/>
        <v>C1500427</v>
      </c>
      <c r="G920" s="94" t="str">
        <f ca="1"/>
        <v>B</v>
      </c>
      <c r="H920" s="94" t="str">
        <f ca="1"/>
        <v>CF003180477</v>
      </c>
      <c r="I920" s="94" t="str">
        <f ca="1"/>
        <v>A</v>
      </c>
      <c r="J920" s="94">
        <f ca="1"/>
        <v>23.5</v>
      </c>
      <c r="K920" s="94"/>
      <c r="L920" s="94">
        <f ca="1"/>
        <v>85.07</v>
      </c>
      <c r="M920" s="94" t="str">
        <f ca="1"/>
        <v>63/65"</v>
      </c>
      <c r="N920" s="94">
        <f ca="1"/>
        <v>62</v>
      </c>
      <c r="O920" s="94" t="str">
        <f ca="1"/>
        <v>Broken Selvedge (FN) [FN烂边]</v>
      </c>
      <c r="P920" s="95" t="str">
        <f ca="1"/>
        <v/>
      </c>
      <c r="Q920" s="95" t="str">
        <f ca="1"/>
        <v/>
      </c>
      <c r="R920" s="96">
        <f ca="1"/>
        <v>46160</v>
      </c>
    </row>
    <row r="921" spans="1:18" s="90" customFormat="1" ht="55" customHeight="1" x14ac:dyDescent="0.35">
      <c r="A921" s="94" t="str">
        <f ca="1"/>
        <v>S25V10883</v>
      </c>
      <c r="B921" s="94" t="str">
        <f ca="1"/>
        <v>PKEK25VE0010883A</v>
      </c>
      <c r="C921" s="94" t="str">
        <f ca="1"/>
        <v>DEEP SEA</v>
      </c>
      <c r="D921" s="94" t="str">
        <f ca="1"/>
        <v>365</v>
      </c>
      <c r="E921" s="94" t="str">
        <f ca="1"/>
        <v>FV012282003B</v>
      </c>
      <c r="F921" s="94" t="str">
        <f ca="1"/>
        <v>C1500427</v>
      </c>
      <c r="G921" s="94" t="str">
        <f ca="1"/>
        <v>B</v>
      </c>
      <c r="H921" s="94" t="str">
        <f ca="1"/>
        <v>CF003180478</v>
      </c>
      <c r="I921" s="94" t="str">
        <f ca="1"/>
        <v>A</v>
      </c>
      <c r="J921" s="94">
        <f ca="1"/>
        <v>20.7</v>
      </c>
      <c r="K921" s="94"/>
      <c r="L921" s="94">
        <f ca="1"/>
        <v>74.930000000000007</v>
      </c>
      <c r="M921" s="94" t="str">
        <f ca="1"/>
        <v>63/65"</v>
      </c>
      <c r="N921" s="94">
        <f ca="1"/>
        <v>62</v>
      </c>
      <c r="O921" s="94" t="str">
        <f ca="1"/>
        <v>Hole (KN) [针织破洞]</v>
      </c>
      <c r="P921" s="95" t="str">
        <f ca="1"/>
        <v/>
      </c>
      <c r="Q921" s="95" t="str">
        <f ca="1"/>
        <v/>
      </c>
      <c r="R921" s="96">
        <f ca="1"/>
        <v>46160</v>
      </c>
    </row>
    <row r="922" spans="1:18" s="90" customFormat="1" ht="55" customHeight="1" x14ac:dyDescent="0.35">
      <c r="A922" s="94" t="str">
        <f ca="1"/>
        <v>S25V10883</v>
      </c>
      <c r="B922" s="94" t="str">
        <f ca="1"/>
        <v>PKEK25VE0010883A</v>
      </c>
      <c r="C922" s="94" t="str">
        <f ca="1"/>
        <v>DEEP SEA</v>
      </c>
      <c r="D922" s="94" t="str">
        <f ca="1"/>
        <v>365</v>
      </c>
      <c r="E922" s="94" t="str">
        <f ca="1"/>
        <v>FV012282003B</v>
      </c>
      <c r="F922" s="94" t="str">
        <f ca="1"/>
        <v>C1500427</v>
      </c>
      <c r="G922" s="94" t="str">
        <f ca="1"/>
        <v>B</v>
      </c>
      <c r="H922" s="94" t="str">
        <f ca="1"/>
        <v>CF003180479</v>
      </c>
      <c r="I922" s="94" t="str">
        <f ca="1"/>
        <v>A</v>
      </c>
      <c r="J922" s="94">
        <f ca="1"/>
        <v>23.8</v>
      </c>
      <c r="K922" s="94"/>
      <c r="L922" s="94">
        <f ca="1"/>
        <v>86.15</v>
      </c>
      <c r="M922" s="94" t="str">
        <f ca="1"/>
        <v>63/65"</v>
      </c>
      <c r="N922" s="94">
        <f ca="1"/>
        <v>62</v>
      </c>
      <c r="O922" s="94" t="str">
        <f ca="1"/>
        <v>White mark [白印]</v>
      </c>
      <c r="P922" s="95" t="str">
        <f ca="1"/>
        <v/>
      </c>
      <c r="Q922" s="95" t="str">
        <f ca="1"/>
        <v/>
      </c>
      <c r="R922" s="96">
        <f ca="1"/>
        <v>46160</v>
      </c>
    </row>
    <row r="923" spans="1:18" s="90" customFormat="1" ht="55" customHeight="1" x14ac:dyDescent="0.35">
      <c r="A923" s="94" t="str">
        <f ca="1"/>
        <v>S25V10883</v>
      </c>
      <c r="B923" s="94" t="str">
        <f ca="1"/>
        <v>PKEK25VE0010883A</v>
      </c>
      <c r="C923" s="94" t="str">
        <f ca="1"/>
        <v>DEEP SEA</v>
      </c>
      <c r="D923" s="94" t="str">
        <f ca="1"/>
        <v>365</v>
      </c>
      <c r="E923" s="94" t="str">
        <f ca="1"/>
        <v>FV012282003B</v>
      </c>
      <c r="F923" s="94" t="str">
        <f ca="1"/>
        <v>C1500427</v>
      </c>
      <c r="G923" s="94" t="str">
        <f ca="1"/>
        <v>B</v>
      </c>
      <c r="H923" s="94" t="str">
        <f ca="1"/>
        <v>CF003180480</v>
      </c>
      <c r="I923" s="94" t="str">
        <f ca="1"/>
        <v>A</v>
      </c>
      <c r="J923" s="94">
        <f ca="1"/>
        <v>15.3</v>
      </c>
      <c r="K923" s="94"/>
      <c r="L923" s="94">
        <f ca="1"/>
        <v>55.38</v>
      </c>
      <c r="M923" s="94" t="str">
        <f ca="1"/>
        <v>63/65"</v>
      </c>
      <c r="N923" s="94">
        <f ca="1"/>
        <v>62</v>
      </c>
      <c r="O923" s="94" t="str">
        <f ca="1"/>
        <v/>
      </c>
      <c r="P923" s="95" t="str">
        <f ca="1"/>
        <v/>
      </c>
      <c r="Q923" s="95" t="str">
        <f ca="1"/>
        <v/>
      </c>
      <c r="R923" s="96">
        <f ca="1"/>
        <v>46160</v>
      </c>
    </row>
    <row r="924" spans="1:18" s="90" customFormat="1" ht="55" customHeight="1" x14ac:dyDescent="0.35">
      <c r="A924" s="94" t="str">
        <f ca="1"/>
        <v>S25V10883</v>
      </c>
      <c r="B924" s="94" t="str">
        <f ca="1"/>
        <v>PKEK25VE0010883A</v>
      </c>
      <c r="C924" s="94" t="str">
        <f ca="1"/>
        <v>DEEP SEA</v>
      </c>
      <c r="D924" s="94" t="str">
        <f ca="1"/>
        <v>365</v>
      </c>
      <c r="E924" s="94" t="str">
        <f ca="1"/>
        <v>FV012282003B</v>
      </c>
      <c r="F924" s="94" t="str">
        <f ca="1"/>
        <v>C1500427</v>
      </c>
      <c r="G924" s="94" t="str">
        <f ca="1"/>
        <v>B</v>
      </c>
      <c r="H924" s="94" t="str">
        <f ca="1"/>
        <v>CF003180481</v>
      </c>
      <c r="I924" s="94" t="str">
        <f ca="1"/>
        <v>A</v>
      </c>
      <c r="J924" s="94">
        <f ca="1"/>
        <v>13.1</v>
      </c>
      <c r="K924" s="94"/>
      <c r="L924" s="94">
        <f ca="1"/>
        <v>47.42</v>
      </c>
      <c r="M924" s="94" t="str">
        <f ca="1"/>
        <v>63/65"</v>
      </c>
      <c r="N924" s="94">
        <f ca="1"/>
        <v>62</v>
      </c>
      <c r="O924" s="94" t="str">
        <f ca="1"/>
        <v>White mark [白印]</v>
      </c>
      <c r="P924" s="95" t="str">
        <f ca="1"/>
        <v/>
      </c>
      <c r="Q924" s="95" t="str">
        <f ca="1"/>
        <v/>
      </c>
      <c r="R924" s="96">
        <f ca="1"/>
        <v>46160</v>
      </c>
    </row>
    <row r="925" spans="1:18" s="90" customFormat="1" ht="55" customHeight="1" x14ac:dyDescent="0.35">
      <c r="A925" s="94" t="str">
        <f ca="1"/>
        <v>S25V10883</v>
      </c>
      <c r="B925" s="94" t="str">
        <f ca="1"/>
        <v>PKEK25VE0010883A</v>
      </c>
      <c r="C925" s="94" t="str">
        <f ca="1"/>
        <v>DEEP SEA</v>
      </c>
      <c r="D925" s="94" t="str">
        <f ca="1"/>
        <v>365</v>
      </c>
      <c r="E925" s="94" t="str">
        <f ca="1"/>
        <v>FV012282003B</v>
      </c>
      <c r="F925" s="94" t="str">
        <f ca="1"/>
        <v>C1500427</v>
      </c>
      <c r="G925" s="94" t="str">
        <f ca="1"/>
        <v>B</v>
      </c>
      <c r="H925" s="94" t="str">
        <f ca="1"/>
        <v>CF003180482</v>
      </c>
      <c r="I925" s="94" t="str">
        <f ca="1"/>
        <v>B</v>
      </c>
      <c r="J925" s="94">
        <f ca="1"/>
        <v>24.3</v>
      </c>
      <c r="K925" s="94"/>
      <c r="L925" s="94">
        <f ca="1"/>
        <v>87.96</v>
      </c>
      <c r="M925" s="94" t="str">
        <f ca="1"/>
        <v>63/65"</v>
      </c>
      <c r="N925" s="94">
        <f ca="1"/>
        <v>62</v>
      </c>
      <c r="O925" s="94" t="str">
        <f ca="1"/>
        <v>White mark [白印]</v>
      </c>
      <c r="P925" s="95" t="str">
        <f ca="1"/>
        <v/>
      </c>
      <c r="Q925" s="95" t="str">
        <f ca="1"/>
        <v/>
      </c>
      <c r="R925" s="96">
        <f ca="1"/>
        <v>46160</v>
      </c>
    </row>
    <row r="926" spans="1:18" s="90" customFormat="1" ht="55" customHeight="1" x14ac:dyDescent="0.35">
      <c r="A926" s="94" t="str">
        <f ca="1"/>
        <v>S25V10883</v>
      </c>
      <c r="B926" s="94" t="str">
        <f ca="1"/>
        <v>PKEK25VE0010883A</v>
      </c>
      <c r="C926" s="94" t="str">
        <f ca="1"/>
        <v>DEEP SEA</v>
      </c>
      <c r="D926" s="94" t="str">
        <f ca="1"/>
        <v>365</v>
      </c>
      <c r="E926" s="94" t="str">
        <f ca="1"/>
        <v>FV012282003B</v>
      </c>
      <c r="F926" s="94" t="str">
        <f ca="1"/>
        <v>C1500427</v>
      </c>
      <c r="G926" s="94" t="str">
        <f ca="1"/>
        <v>B</v>
      </c>
      <c r="H926" s="94" t="str">
        <f ca="1"/>
        <v>CF003180483</v>
      </c>
      <c r="I926" s="94" t="str">
        <f ca="1"/>
        <v>A</v>
      </c>
      <c r="J926" s="94">
        <f ca="1"/>
        <v>19.100000000000001</v>
      </c>
      <c r="K926" s="94"/>
      <c r="L926" s="94">
        <f ca="1"/>
        <v>69.14</v>
      </c>
      <c r="M926" s="94" t="str">
        <f ca="1"/>
        <v>63/65"</v>
      </c>
      <c r="N926" s="94">
        <f ca="1"/>
        <v>62</v>
      </c>
      <c r="O926" s="94" t="str">
        <f ca="1"/>
        <v>White mark [白印]</v>
      </c>
      <c r="P926" s="95" t="str">
        <f ca="1"/>
        <v/>
      </c>
      <c r="Q926" s="95" t="str">
        <f ca="1"/>
        <v/>
      </c>
      <c r="R926" s="96">
        <f ca="1"/>
        <v>46160</v>
      </c>
    </row>
    <row r="927" spans="1:18" s="90" customFormat="1" ht="55" customHeight="1" x14ac:dyDescent="0.35">
      <c r="A927" s="94" t="str">
        <f ca="1"/>
        <v>S25V10883</v>
      </c>
      <c r="B927" s="94" t="str">
        <f ca="1"/>
        <v>PKEK25VE0010883A</v>
      </c>
      <c r="C927" s="94" t="str">
        <f ca="1"/>
        <v>DEEP SEA</v>
      </c>
      <c r="D927" s="94" t="str">
        <f ca="1"/>
        <v>365</v>
      </c>
      <c r="E927" s="94" t="str">
        <f ca="1"/>
        <v>FV012282003B</v>
      </c>
      <c r="F927" s="94" t="str">
        <f ca="1"/>
        <v>C1500427</v>
      </c>
      <c r="G927" s="94" t="str">
        <f ca="1"/>
        <v>B</v>
      </c>
      <c r="H927" s="94" t="str">
        <f ca="1"/>
        <v>CF003180484</v>
      </c>
      <c r="I927" s="94" t="str">
        <f ca="1"/>
        <v>A</v>
      </c>
      <c r="J927" s="94">
        <f ca="1"/>
        <v>23.4</v>
      </c>
      <c r="K927" s="94"/>
      <c r="L927" s="94">
        <f ca="1"/>
        <v>84.7</v>
      </c>
      <c r="M927" s="94" t="str">
        <f ca="1"/>
        <v>63/65"</v>
      </c>
      <c r="N927" s="94">
        <f ca="1"/>
        <v>62</v>
      </c>
      <c r="O927" s="94" t="str">
        <f ca="1"/>
        <v>Oil (PD) [匹染油污]</v>
      </c>
      <c r="P927" s="95" t="str">
        <f ca="1"/>
        <v/>
      </c>
      <c r="Q927" s="95" t="str">
        <f ca="1"/>
        <v/>
      </c>
      <c r="R927" s="96">
        <f ca="1"/>
        <v>46160</v>
      </c>
    </row>
    <row r="928" spans="1:18" s="90" customFormat="1" ht="55" customHeight="1" x14ac:dyDescent="0.35">
      <c r="A928" s="94" t="str">
        <f ca="1"/>
        <v>S25V10883</v>
      </c>
      <c r="B928" s="94" t="str">
        <f ca="1"/>
        <v>PKEK25VE0010883A</v>
      </c>
      <c r="C928" s="94" t="str">
        <f ca="1"/>
        <v>DEEP SEA</v>
      </c>
      <c r="D928" s="94" t="str">
        <f ca="1"/>
        <v>365</v>
      </c>
      <c r="E928" s="94" t="str">
        <f ca="1"/>
        <v>FV012282003B</v>
      </c>
      <c r="F928" s="94" t="str">
        <f ca="1"/>
        <v>C1500427</v>
      </c>
      <c r="G928" s="94" t="str">
        <f ca="1"/>
        <v>B</v>
      </c>
      <c r="H928" s="94" t="str">
        <f ca="1"/>
        <v>CF003180485</v>
      </c>
      <c r="I928" s="94" t="str">
        <f ca="1"/>
        <v>A</v>
      </c>
      <c r="J928" s="94">
        <f ca="1"/>
        <v>23</v>
      </c>
      <c r="K928" s="94"/>
      <c r="L928" s="94">
        <f ca="1"/>
        <v>83.26</v>
      </c>
      <c r="M928" s="94" t="str">
        <f ca="1"/>
        <v>63/65"</v>
      </c>
      <c r="N928" s="94">
        <f ca="1"/>
        <v>62</v>
      </c>
      <c r="O928" s="94" t="str">
        <f ca="1"/>
        <v>Oil (PD) [匹染油污]</v>
      </c>
      <c r="P928" s="95" t="str">
        <f ca="1"/>
        <v/>
      </c>
      <c r="Q928" s="95" t="str">
        <f ca="1"/>
        <v/>
      </c>
      <c r="R928" s="96">
        <f ca="1"/>
        <v>46160</v>
      </c>
    </row>
    <row r="929" spans="1:18" s="90" customFormat="1" ht="55" customHeight="1" x14ac:dyDescent="0.35">
      <c r="A929" s="94" t="str">
        <f ca="1"/>
        <v>S25V10883</v>
      </c>
      <c r="B929" s="94" t="str">
        <f ca="1"/>
        <v>PKEK25VE0010883A</v>
      </c>
      <c r="C929" s="94" t="str">
        <f ca="1"/>
        <v>DEEP SEA</v>
      </c>
      <c r="D929" s="94" t="str">
        <f ca="1"/>
        <v>365</v>
      </c>
      <c r="E929" s="94" t="str">
        <f ca="1"/>
        <v>FV012282003B</v>
      </c>
      <c r="F929" s="94" t="str">
        <f ca="1"/>
        <v>C1500427</v>
      </c>
      <c r="G929" s="94" t="str">
        <f ca="1"/>
        <v>B</v>
      </c>
      <c r="H929" s="94" t="str">
        <f ca="1"/>
        <v>CF003184941</v>
      </c>
      <c r="I929" s="94" t="str">
        <f ca="1"/>
        <v>A</v>
      </c>
      <c r="J929" s="94">
        <f ca="1"/>
        <v>24.4</v>
      </c>
      <c r="K929" s="94"/>
      <c r="L929" s="94">
        <f ca="1"/>
        <v>88.32</v>
      </c>
      <c r="M929" s="94" t="str">
        <f ca="1"/>
        <v>63/65"</v>
      </c>
      <c r="N929" s="94">
        <f ca="1"/>
        <v>62</v>
      </c>
      <c r="O929" s="94" t="str">
        <f ca="1"/>
        <v>Color Mark (FN) [FN沾色]</v>
      </c>
      <c r="P929" s="95" t="str">
        <f ca="1"/>
        <v/>
      </c>
      <c r="Q929" s="95" t="str">
        <f ca="1"/>
        <v/>
      </c>
      <c r="R929" s="96">
        <f ca="1"/>
        <v>46165</v>
      </c>
    </row>
    <row r="930" spans="1:18" s="90" customFormat="1" ht="55" customHeight="1" x14ac:dyDescent="0.35">
      <c r="A930" s="94" t="str">
        <f ca="1"/>
        <v>S25V10883</v>
      </c>
      <c r="B930" s="94" t="str">
        <f ca="1"/>
        <v>PKEK25VE0010883A</v>
      </c>
      <c r="C930" s="94" t="str">
        <f ca="1"/>
        <v>DEEP SEA</v>
      </c>
      <c r="D930" s="94" t="str">
        <f ca="1"/>
        <v>365</v>
      </c>
      <c r="E930" s="94" t="str">
        <f ca="1"/>
        <v>FV012282003B</v>
      </c>
      <c r="F930" s="94" t="str">
        <f ca="1"/>
        <v>C1500427</v>
      </c>
      <c r="G930" s="94" t="str">
        <f ca="1"/>
        <v>B</v>
      </c>
      <c r="H930" s="94" t="str">
        <f ca="1"/>
        <v>CF003184942</v>
      </c>
      <c r="I930" s="94" t="str">
        <f ca="1"/>
        <v>A</v>
      </c>
      <c r="J930" s="94">
        <f ca="1"/>
        <v>10.5</v>
      </c>
      <c r="K930" s="94"/>
      <c r="L930" s="94">
        <f ca="1"/>
        <v>38.01</v>
      </c>
      <c r="M930" s="94" t="str">
        <f ca="1"/>
        <v>63/65"</v>
      </c>
      <c r="N930" s="94">
        <f ca="1"/>
        <v>62</v>
      </c>
      <c r="O930" s="94" t="str">
        <f ca="1"/>
        <v>Color Mark (FN) [FN沾色]</v>
      </c>
      <c r="P930" s="95" t="str">
        <f ca="1"/>
        <v/>
      </c>
      <c r="Q930" s="95" t="str">
        <f ca="1"/>
        <v/>
      </c>
      <c r="R930" s="96">
        <f ca="1"/>
        <v>46165</v>
      </c>
    </row>
    <row r="931" spans="1:18" s="90" customFormat="1" ht="55" customHeight="1" x14ac:dyDescent="0.35">
      <c r="A931" s="94" t="str">
        <f ca="1"/>
        <v>S25V10883</v>
      </c>
      <c r="B931" s="94" t="str">
        <f ca="1"/>
        <v>PKEK25VE0010883A</v>
      </c>
      <c r="C931" s="94" t="str">
        <f ca="1"/>
        <v>DEEP SEA</v>
      </c>
      <c r="D931" s="94" t="str">
        <f ca="1"/>
        <v>365</v>
      </c>
      <c r="E931" s="94" t="str">
        <f ca="1"/>
        <v>FV012282003B</v>
      </c>
      <c r="F931" s="94" t="str">
        <f ca="1"/>
        <v>C1500427</v>
      </c>
      <c r="G931" s="94" t="str">
        <f ca="1"/>
        <v>B</v>
      </c>
      <c r="H931" s="94" t="str">
        <f ca="1"/>
        <v>CF003184943</v>
      </c>
      <c r="I931" s="94" t="str">
        <f ca="1"/>
        <v>A</v>
      </c>
      <c r="J931" s="94">
        <f ca="1"/>
        <v>19.399999999999999</v>
      </c>
      <c r="K931" s="94"/>
      <c r="L931" s="94">
        <f ca="1"/>
        <v>70.23</v>
      </c>
      <c r="M931" s="94" t="str">
        <f ca="1"/>
        <v>63/65"</v>
      </c>
      <c r="N931" s="94">
        <f ca="1"/>
        <v>62</v>
      </c>
      <c r="O931" s="94" t="str">
        <f ca="1"/>
        <v>Broken Selvedge (FN) [FN烂边]</v>
      </c>
      <c r="P931" s="95" t="str">
        <f ca="1"/>
        <v/>
      </c>
      <c r="Q931" s="95" t="str">
        <f ca="1"/>
        <v/>
      </c>
      <c r="R931" s="96">
        <f ca="1"/>
        <v>46165</v>
      </c>
    </row>
    <row r="932" spans="1:18" s="90" customFormat="1" ht="55" customHeight="1" x14ac:dyDescent="0.35">
      <c r="A932" s="94" t="str">
        <f ca="1"/>
        <v>S25V10883</v>
      </c>
      <c r="B932" s="94" t="str">
        <f ca="1"/>
        <v>PKEK25VE0010883A</v>
      </c>
      <c r="C932" s="94" t="str">
        <f ca="1"/>
        <v>DEEP SEA</v>
      </c>
      <c r="D932" s="94" t="str">
        <f ca="1"/>
        <v>365</v>
      </c>
      <c r="E932" s="94" t="str">
        <f ca="1"/>
        <v>FV012282003B</v>
      </c>
      <c r="F932" s="94" t="str">
        <f ca="1"/>
        <v>C1500427</v>
      </c>
      <c r="G932" s="94" t="str">
        <f ca="1"/>
        <v>B</v>
      </c>
      <c r="H932" s="94" t="str">
        <f ca="1"/>
        <v>CF003184944</v>
      </c>
      <c r="I932" s="94" t="str">
        <f ca="1"/>
        <v>A</v>
      </c>
      <c r="J932" s="94">
        <f ca="1"/>
        <v>24.3</v>
      </c>
      <c r="K932" s="94"/>
      <c r="L932" s="94">
        <f ca="1"/>
        <v>87.96</v>
      </c>
      <c r="M932" s="94" t="str">
        <f ca="1"/>
        <v>63/65"</v>
      </c>
      <c r="N932" s="94">
        <f ca="1"/>
        <v>62</v>
      </c>
      <c r="O932" s="94" t="str">
        <f ca="1"/>
        <v>Color Mark (FN) [FN沾色]</v>
      </c>
      <c r="P932" s="95" t="str">
        <f ca="1"/>
        <v/>
      </c>
      <c r="Q932" s="95" t="str">
        <f ca="1"/>
        <v/>
      </c>
      <c r="R932" s="96">
        <f ca="1"/>
        <v>46165</v>
      </c>
    </row>
    <row r="933" spans="1:18" s="90" customFormat="1" ht="55" customHeight="1" x14ac:dyDescent="0.35">
      <c r="A933" s="94" t="str">
        <f ca="1"/>
        <v>S25V10883</v>
      </c>
      <c r="B933" s="94" t="str">
        <f ca="1"/>
        <v>PKEK25VE0010883A</v>
      </c>
      <c r="C933" s="94" t="str">
        <f ca="1"/>
        <v>DEEP SEA</v>
      </c>
      <c r="D933" s="94" t="str">
        <f ca="1"/>
        <v>365</v>
      </c>
      <c r="E933" s="94" t="str">
        <f ca="1"/>
        <v>FV012282003B</v>
      </c>
      <c r="F933" s="94" t="str">
        <f ca="1"/>
        <v>C1500427</v>
      </c>
      <c r="G933" s="94" t="str">
        <f ca="1"/>
        <v>B</v>
      </c>
      <c r="H933" s="94" t="str">
        <f ca="1"/>
        <v>CF003184945</v>
      </c>
      <c r="I933" s="94" t="str">
        <f ca="1"/>
        <v>A</v>
      </c>
      <c r="J933" s="94">
        <f ca="1"/>
        <v>24</v>
      </c>
      <c r="K933" s="94"/>
      <c r="L933" s="94">
        <f ca="1"/>
        <v>86.88</v>
      </c>
      <c r="M933" s="94" t="str">
        <f ca="1"/>
        <v>63/65"</v>
      </c>
      <c r="N933" s="94">
        <f ca="1"/>
        <v>62</v>
      </c>
      <c r="O933" s="94" t="str">
        <f ca="1"/>
        <v/>
      </c>
      <c r="P933" s="95" t="str">
        <f ca="1"/>
        <v/>
      </c>
      <c r="Q933" s="95" t="str">
        <f ca="1"/>
        <v/>
      </c>
      <c r="R933" s="96">
        <f ca="1"/>
        <v>46165</v>
      </c>
    </row>
    <row r="934" spans="1:18" s="90" customFormat="1" ht="55" customHeight="1" x14ac:dyDescent="0.35">
      <c r="A934" s="94" t="str">
        <f ca="1"/>
        <v>S25V10883</v>
      </c>
      <c r="B934" s="94" t="str">
        <f ca="1"/>
        <v>PKEK25VE0010883A</v>
      </c>
      <c r="C934" s="94" t="str">
        <f ca="1"/>
        <v>DEEP SEA</v>
      </c>
      <c r="D934" s="94" t="str">
        <f ca="1"/>
        <v>365</v>
      </c>
      <c r="E934" s="94" t="str">
        <f ca="1"/>
        <v>FV012282003B</v>
      </c>
      <c r="F934" s="94" t="str">
        <f ca="1"/>
        <v>C1500427</v>
      </c>
      <c r="G934" s="94" t="str">
        <f ca="1"/>
        <v>B</v>
      </c>
      <c r="H934" s="94" t="str">
        <f ca="1"/>
        <v>CF003184946</v>
      </c>
      <c r="I934" s="94" t="str">
        <f ca="1"/>
        <v>A</v>
      </c>
      <c r="J934" s="94">
        <f ca="1"/>
        <v>11.5</v>
      </c>
      <c r="K934" s="94"/>
      <c r="L934" s="94">
        <f ca="1"/>
        <v>41.63</v>
      </c>
      <c r="M934" s="94" t="str">
        <f ca="1"/>
        <v>63/65"</v>
      </c>
      <c r="N934" s="94">
        <f ca="1"/>
        <v>62</v>
      </c>
      <c r="O934" s="94" t="str">
        <f ca="1"/>
        <v/>
      </c>
      <c r="P934" s="95" t="str">
        <f ca="1"/>
        <v/>
      </c>
      <c r="Q934" s="95" t="str">
        <f ca="1"/>
        <v/>
      </c>
      <c r="R934" s="96">
        <f ca="1"/>
        <v>46165</v>
      </c>
    </row>
    <row r="935" spans="1:18" s="90" customFormat="1" ht="55" customHeight="1" x14ac:dyDescent="0.35">
      <c r="A935" s="94" t="str">
        <f ca="1"/>
        <v>S25V10883</v>
      </c>
      <c r="B935" s="94" t="str">
        <f ca="1"/>
        <v>PKEK25VE0010883A</v>
      </c>
      <c r="C935" s="94" t="str">
        <f ca="1"/>
        <v>DEEP SEA</v>
      </c>
      <c r="D935" s="94" t="str">
        <f ca="1"/>
        <v>365</v>
      </c>
      <c r="E935" s="94" t="str">
        <f ca="1"/>
        <v>FV012282003B</v>
      </c>
      <c r="F935" s="94" t="str">
        <f ca="1"/>
        <v>C1500427</v>
      </c>
      <c r="G935" s="94" t="str">
        <f ca="1"/>
        <v>B</v>
      </c>
      <c r="H935" s="94" t="str">
        <f ca="1"/>
        <v>CF003184947</v>
      </c>
      <c r="I935" s="94" t="str">
        <f ca="1"/>
        <v>A</v>
      </c>
      <c r="J935" s="94">
        <f ca="1"/>
        <v>15.2</v>
      </c>
      <c r="K935" s="94"/>
      <c r="L935" s="94">
        <f ca="1"/>
        <v>55.02</v>
      </c>
      <c r="M935" s="94" t="str">
        <f ca="1"/>
        <v>63/65"</v>
      </c>
      <c r="N935" s="94">
        <f ca="1"/>
        <v>63.000599999999999</v>
      </c>
      <c r="O935" s="94" t="str">
        <f ca="1"/>
        <v/>
      </c>
      <c r="P935" s="95" t="str">
        <f ca="1"/>
        <v/>
      </c>
      <c r="Q935" s="95" t="str">
        <f ca="1"/>
        <v/>
      </c>
      <c r="R935" s="96">
        <f ca="1"/>
        <v>46165</v>
      </c>
    </row>
    <row r="936" spans="1:18" s="90" customFormat="1" ht="55" customHeight="1" x14ac:dyDescent="0.35">
      <c r="A936" s="94" t="str">
        <f ca="1"/>
        <v>S25V10883</v>
      </c>
      <c r="B936" s="94" t="str">
        <f ca="1"/>
        <v>PKEK25VE0010883A</v>
      </c>
      <c r="C936" s="94" t="str">
        <f ca="1"/>
        <v>DEEP SEA</v>
      </c>
      <c r="D936" s="94" t="str">
        <f ca="1"/>
        <v>365</v>
      </c>
      <c r="E936" s="94" t="str">
        <f ca="1"/>
        <v>FV012282003B</v>
      </c>
      <c r="F936" s="94" t="str">
        <f ca="1"/>
        <v>C1500427</v>
      </c>
      <c r="G936" s="94" t="str">
        <f ca="1"/>
        <v>B</v>
      </c>
      <c r="H936" s="94" t="str">
        <f ca="1"/>
        <v>CF003184948</v>
      </c>
      <c r="I936" s="94" t="str">
        <f ca="1"/>
        <v>A</v>
      </c>
      <c r="J936" s="94">
        <f ca="1"/>
        <v>24.1</v>
      </c>
      <c r="K936" s="94"/>
      <c r="L936" s="94">
        <f ca="1"/>
        <v>87.24</v>
      </c>
      <c r="M936" s="94" t="str">
        <f ca="1"/>
        <v>63/65"</v>
      </c>
      <c r="N936" s="94">
        <f ca="1"/>
        <v>62</v>
      </c>
      <c r="O936" s="94" t="str">
        <f ca="1"/>
        <v/>
      </c>
      <c r="P936" s="95" t="str">
        <f ca="1"/>
        <v/>
      </c>
      <c r="Q936" s="95" t="str">
        <f ca="1"/>
        <v/>
      </c>
      <c r="R936" s="96">
        <f ca="1"/>
        <v>46165</v>
      </c>
    </row>
    <row r="937" spans="1:18" s="90" customFormat="1" ht="55" customHeight="1" x14ac:dyDescent="0.35">
      <c r="A937" s="94" t="str">
        <f ca="1"/>
        <v>S25V10883</v>
      </c>
      <c r="B937" s="94" t="str">
        <f ca="1"/>
        <v>PKEK25VE0010883A</v>
      </c>
      <c r="C937" s="94" t="str">
        <f ca="1"/>
        <v>DEEP SEA</v>
      </c>
      <c r="D937" s="94" t="str">
        <f ca="1"/>
        <v>365</v>
      </c>
      <c r="E937" s="94" t="str">
        <f ca="1"/>
        <v>FV012282003B</v>
      </c>
      <c r="F937" s="94" t="str">
        <f ca="1"/>
        <v>C1500427</v>
      </c>
      <c r="G937" s="94" t="str">
        <f ca="1"/>
        <v>B</v>
      </c>
      <c r="H937" s="94" t="str">
        <f ca="1"/>
        <v>CF003184949</v>
      </c>
      <c r="I937" s="94" t="str">
        <f ca="1"/>
        <v>A</v>
      </c>
      <c r="J937" s="94">
        <f ca="1"/>
        <v>24.1</v>
      </c>
      <c r="K937" s="94"/>
      <c r="L937" s="94">
        <f ca="1"/>
        <v>87.24</v>
      </c>
      <c r="M937" s="94" t="str">
        <f ca="1"/>
        <v>63/65"</v>
      </c>
      <c r="N937" s="94">
        <f ca="1"/>
        <v>62</v>
      </c>
      <c r="O937" s="94" t="str">
        <f ca="1"/>
        <v/>
      </c>
      <c r="P937" s="95" t="str">
        <f ca="1"/>
        <v/>
      </c>
      <c r="Q937" s="95" t="str">
        <f ca="1"/>
        <v/>
      </c>
      <c r="R937" s="96">
        <f ca="1"/>
        <v>46165</v>
      </c>
    </row>
    <row r="938" spans="1:18" s="90" customFormat="1" ht="55" customHeight="1" x14ac:dyDescent="0.35">
      <c r="A938" s="94" t="str">
        <f ca="1"/>
        <v>S25V10883</v>
      </c>
      <c r="B938" s="94" t="str">
        <f ca="1"/>
        <v>PKEK25VE0010883A</v>
      </c>
      <c r="C938" s="94" t="str">
        <f ca="1"/>
        <v>DEEP SEA</v>
      </c>
      <c r="D938" s="94" t="str">
        <f ca="1"/>
        <v>365</v>
      </c>
      <c r="E938" s="94" t="str">
        <f ca="1"/>
        <v>FV012282003B</v>
      </c>
      <c r="F938" s="94" t="str">
        <f ca="1"/>
        <v>C1500427</v>
      </c>
      <c r="G938" s="94" t="str">
        <f ca="1"/>
        <v>B</v>
      </c>
      <c r="H938" s="94" t="str">
        <f ca="1"/>
        <v>CF003184950</v>
      </c>
      <c r="I938" s="94" t="str">
        <f ca="1"/>
        <v>A</v>
      </c>
      <c r="J938" s="94">
        <f ca="1"/>
        <v>21.2</v>
      </c>
      <c r="K938" s="94"/>
      <c r="L938" s="94">
        <f ca="1"/>
        <v>76.739999999999995</v>
      </c>
      <c r="M938" s="94" t="str">
        <f ca="1"/>
        <v>63/65"</v>
      </c>
      <c r="N938" s="94">
        <f ca="1"/>
        <v>62</v>
      </c>
      <c r="O938" s="94" t="str">
        <f ca="1"/>
        <v>Color Mark (PD) [PD沾色]</v>
      </c>
      <c r="P938" s="95" t="str">
        <f ca="1"/>
        <v/>
      </c>
      <c r="Q938" s="95" t="str">
        <f ca="1"/>
        <v/>
      </c>
      <c r="R938" s="96">
        <f ca="1"/>
        <v>46165</v>
      </c>
    </row>
    <row r="939" spans="1:18" s="90" customFormat="1" ht="55" customHeight="1" x14ac:dyDescent="0.35">
      <c r="A939" s="94" t="str">
        <f ca="1"/>
        <v>S25V10883</v>
      </c>
      <c r="B939" s="94" t="str">
        <f ca="1"/>
        <v>PKEK25VE0010883A</v>
      </c>
      <c r="C939" s="94" t="str">
        <f ca="1"/>
        <v>DEEP SEA</v>
      </c>
      <c r="D939" s="94" t="str">
        <f ca="1"/>
        <v>365</v>
      </c>
      <c r="E939" s="94" t="str">
        <f ca="1"/>
        <v>FV012282003B</v>
      </c>
      <c r="F939" s="94" t="str">
        <f ca="1"/>
        <v>C1500427</v>
      </c>
      <c r="G939" s="94" t="str">
        <f ca="1"/>
        <v>B</v>
      </c>
      <c r="H939" s="94" t="str">
        <f ca="1"/>
        <v>CF003184951</v>
      </c>
      <c r="I939" s="94" t="str">
        <f ca="1"/>
        <v>A</v>
      </c>
      <c r="J939" s="94">
        <f ca="1"/>
        <v>18.8</v>
      </c>
      <c r="K939" s="94"/>
      <c r="L939" s="94">
        <f ca="1"/>
        <v>68.05</v>
      </c>
      <c r="M939" s="94" t="str">
        <f ca="1"/>
        <v>63/65"</v>
      </c>
      <c r="N939" s="94">
        <f ca="1"/>
        <v>62</v>
      </c>
      <c r="O939" s="94" t="str">
        <f ca="1"/>
        <v>White mark [白印]</v>
      </c>
      <c r="P939" s="95" t="str">
        <f ca="1"/>
        <v/>
      </c>
      <c r="Q939" s="95" t="str">
        <f ca="1"/>
        <v/>
      </c>
      <c r="R939" s="96">
        <f ca="1"/>
        <v>46165</v>
      </c>
    </row>
    <row r="940" spans="1:18" s="90" customFormat="1" ht="55" customHeight="1" x14ac:dyDescent="0.35">
      <c r="A940" s="94" t="str">
        <f ca="1"/>
        <v>S25V10883</v>
      </c>
      <c r="B940" s="94" t="str">
        <f ca="1"/>
        <v>PKEK25VE0010883A</v>
      </c>
      <c r="C940" s="94" t="str">
        <f ca="1"/>
        <v>DEEP SEA</v>
      </c>
      <c r="D940" s="94" t="str">
        <f ca="1"/>
        <v>365</v>
      </c>
      <c r="E940" s="94" t="str">
        <f ca="1"/>
        <v>FV012282003B</v>
      </c>
      <c r="F940" s="94" t="str">
        <f ca="1"/>
        <v>C1500427</v>
      </c>
      <c r="G940" s="94" t="str">
        <f ca="1"/>
        <v>B</v>
      </c>
      <c r="H940" s="94" t="str">
        <f ca="1"/>
        <v>CF003184952</v>
      </c>
      <c r="I940" s="94" t="str">
        <f ca="1"/>
        <v>A</v>
      </c>
      <c r="J940" s="94">
        <f ca="1"/>
        <v>24.1</v>
      </c>
      <c r="K940" s="94"/>
      <c r="L940" s="94">
        <f ca="1"/>
        <v>87.24</v>
      </c>
      <c r="M940" s="94" t="str">
        <f ca="1"/>
        <v>63/65"</v>
      </c>
      <c r="N940" s="94">
        <f ca="1"/>
        <v>62</v>
      </c>
      <c r="O940" s="94" t="str">
        <f ca="1"/>
        <v>Friction Mark (PD) [匹染擦痕]</v>
      </c>
      <c r="P940" s="95" t="str">
        <f ca="1"/>
        <v/>
      </c>
      <c r="Q940" s="95" t="str">
        <f ca="1"/>
        <v/>
      </c>
      <c r="R940" s="96">
        <f ca="1"/>
        <v>46165</v>
      </c>
    </row>
    <row r="941" spans="1:18" s="90" customFormat="1" ht="55" customHeight="1" x14ac:dyDescent="0.35">
      <c r="A941" s="94" t="str">
        <f ca="1"/>
        <v>S25V10883</v>
      </c>
      <c r="B941" s="94" t="str">
        <f ca="1"/>
        <v>PKEK25VE0010883A</v>
      </c>
      <c r="C941" s="94" t="str">
        <f ca="1"/>
        <v>DEEP SEA</v>
      </c>
      <c r="D941" s="94" t="str">
        <f ca="1"/>
        <v>365</v>
      </c>
      <c r="E941" s="94" t="str">
        <f ca="1"/>
        <v>FV012282003B</v>
      </c>
      <c r="F941" s="94" t="str">
        <f ca="1"/>
        <v>C1500427</v>
      </c>
      <c r="G941" s="94" t="str">
        <f ca="1"/>
        <v>B</v>
      </c>
      <c r="H941" s="94" t="str">
        <f ca="1"/>
        <v>CF003184953</v>
      </c>
      <c r="I941" s="94" t="str">
        <f ca="1"/>
        <v>A</v>
      </c>
      <c r="J941" s="94">
        <f ca="1"/>
        <v>19.2</v>
      </c>
      <c r="K941" s="94"/>
      <c r="L941" s="94">
        <f ca="1"/>
        <v>69.5</v>
      </c>
      <c r="M941" s="94" t="str">
        <f ca="1"/>
        <v>63/65"</v>
      </c>
      <c r="N941" s="94">
        <f ca="1"/>
        <v>62</v>
      </c>
      <c r="O941" s="94" t="str">
        <f ca="1"/>
        <v/>
      </c>
      <c r="P941" s="95" t="str">
        <f ca="1"/>
        <v/>
      </c>
      <c r="Q941" s="95" t="str">
        <f ca="1"/>
        <v/>
      </c>
      <c r="R941" s="96">
        <f ca="1"/>
        <v>46165</v>
      </c>
    </row>
    <row r="942" spans="1:18" s="90" customFormat="1" ht="55" customHeight="1" x14ac:dyDescent="0.35">
      <c r="A942" s="94" t="str">
        <f ca="1"/>
        <v>S25V10883</v>
      </c>
      <c r="B942" s="94" t="str">
        <f ca="1"/>
        <v>PKEK25VE0010883A</v>
      </c>
      <c r="C942" s="94" t="str">
        <f ca="1"/>
        <v>DEEP SEA</v>
      </c>
      <c r="D942" s="94" t="str">
        <f ca="1"/>
        <v>365</v>
      </c>
      <c r="E942" s="94" t="str">
        <f ca="1"/>
        <v>FV012282003B</v>
      </c>
      <c r="F942" s="94" t="str">
        <f ca="1"/>
        <v>C1500427</v>
      </c>
      <c r="G942" s="94" t="str">
        <f ca="1"/>
        <v>B</v>
      </c>
      <c r="H942" s="94" t="str">
        <f ca="1"/>
        <v>CF003184954</v>
      </c>
      <c r="I942" s="94" t="str">
        <f ca="1"/>
        <v>A</v>
      </c>
      <c r="J942" s="94">
        <f ca="1"/>
        <v>23</v>
      </c>
      <c r="K942" s="94"/>
      <c r="L942" s="94">
        <f ca="1"/>
        <v>83.26</v>
      </c>
      <c r="M942" s="94" t="str">
        <f ca="1"/>
        <v>63/65"</v>
      </c>
      <c r="N942" s="94">
        <f ca="1"/>
        <v>62</v>
      </c>
      <c r="O942" s="94" t="str">
        <f ca="1"/>
        <v/>
      </c>
      <c r="P942" s="95" t="str">
        <f ca="1"/>
        <v/>
      </c>
      <c r="Q942" s="95" t="str">
        <f ca="1"/>
        <v/>
      </c>
      <c r="R942" s="96">
        <f ca="1"/>
        <v>46165</v>
      </c>
    </row>
    <row r="943" spans="1:18" s="90" customFormat="1" ht="55" customHeight="1" x14ac:dyDescent="0.35">
      <c r="A943" s="94" t="str">
        <f ca="1"/>
        <v>S25V10883</v>
      </c>
      <c r="B943" s="94" t="str">
        <f ca="1"/>
        <v>PKEK25VE0010883A</v>
      </c>
      <c r="C943" s="94" t="str">
        <f ca="1"/>
        <v>DEEP SEA</v>
      </c>
      <c r="D943" s="94" t="str">
        <f ca="1"/>
        <v>365</v>
      </c>
      <c r="E943" s="94" t="str">
        <f ca="1"/>
        <v>FV012282003B</v>
      </c>
      <c r="F943" s="94" t="str">
        <f ca="1"/>
        <v>C1500427</v>
      </c>
      <c r="G943" s="94" t="str">
        <f ca="1"/>
        <v>B</v>
      </c>
      <c r="H943" s="94" t="str">
        <f ca="1"/>
        <v>CF003184955</v>
      </c>
      <c r="I943" s="94" t="str">
        <f ca="1"/>
        <v>A</v>
      </c>
      <c r="J943" s="94">
        <f ca="1"/>
        <v>7.6</v>
      </c>
      <c r="K943" s="94"/>
      <c r="L943" s="94">
        <f ca="1"/>
        <v>27.51</v>
      </c>
      <c r="M943" s="94" t="str">
        <f ca="1"/>
        <v>63/65"</v>
      </c>
      <c r="N943" s="94">
        <f ca="1"/>
        <v>62</v>
      </c>
      <c r="O943" s="94" t="str">
        <f ca="1"/>
        <v>Piece-up(FN) [后整接口]</v>
      </c>
      <c r="P943" s="95" t="str">
        <f ca="1"/>
        <v/>
      </c>
      <c r="Q943" s="95" t="str">
        <f ca="1"/>
        <v/>
      </c>
      <c r="R943" s="96">
        <f ca="1"/>
        <v>46165</v>
      </c>
    </row>
    <row r="944" spans="1:18" s="90" customFormat="1" ht="55" customHeight="1" x14ac:dyDescent="0.35">
      <c r="A944" s="94" t="str">
        <f ca="1"/>
        <v>S25V10883</v>
      </c>
      <c r="B944" s="94" t="str">
        <f ca="1"/>
        <v>PKEK25VE0010883A</v>
      </c>
      <c r="C944" s="94" t="str">
        <f ca="1"/>
        <v>DEEP SEA</v>
      </c>
      <c r="D944" s="94" t="str">
        <f ca="1"/>
        <v>365</v>
      </c>
      <c r="E944" s="94" t="str">
        <f ca="1"/>
        <v>FV012282003B</v>
      </c>
      <c r="F944" s="94" t="str">
        <f ca="1"/>
        <v>C1500427</v>
      </c>
      <c r="G944" s="94" t="str">
        <f ca="1"/>
        <v>B</v>
      </c>
      <c r="H944" s="94" t="str">
        <f ca="1"/>
        <v>CF003184956</v>
      </c>
      <c r="I944" s="94" t="str">
        <f ca="1"/>
        <v>A</v>
      </c>
      <c r="J944" s="94">
        <f ca="1"/>
        <v>23.5</v>
      </c>
      <c r="K944" s="94"/>
      <c r="L944" s="94">
        <f ca="1"/>
        <v>85.07</v>
      </c>
      <c r="M944" s="94" t="str">
        <f ca="1"/>
        <v>63/65"</v>
      </c>
      <c r="N944" s="94">
        <f ca="1"/>
        <v>62</v>
      </c>
      <c r="O944" s="94" t="str">
        <f ca="1"/>
        <v>Hole (KN) [针织破洞]</v>
      </c>
      <c r="P944" s="95" t="str">
        <f ca="1"/>
        <v/>
      </c>
      <c r="Q944" s="95" t="str">
        <f ca="1"/>
        <v/>
      </c>
      <c r="R944" s="96">
        <f ca="1"/>
        <v>46165</v>
      </c>
    </row>
    <row r="945" spans="1:18" s="90" customFormat="1" ht="55" customHeight="1" x14ac:dyDescent="0.35">
      <c r="A945" s="94" t="str">
        <f ca="1"/>
        <v>S25V10883</v>
      </c>
      <c r="B945" s="94" t="str">
        <f ca="1"/>
        <v>PKEK25VE0010883A</v>
      </c>
      <c r="C945" s="94" t="str">
        <f ca="1"/>
        <v>DEEP SEA</v>
      </c>
      <c r="D945" s="94" t="str">
        <f ca="1"/>
        <v>365</v>
      </c>
      <c r="E945" s="94" t="str">
        <f ca="1"/>
        <v>FV012282003B</v>
      </c>
      <c r="F945" s="94" t="str">
        <f ca="1"/>
        <v>C1500427</v>
      </c>
      <c r="G945" s="94" t="str">
        <f ca="1"/>
        <v>B</v>
      </c>
      <c r="H945" s="94" t="str">
        <f ca="1"/>
        <v>CF003184957</v>
      </c>
      <c r="I945" s="94" t="str">
        <f ca="1"/>
        <v>A</v>
      </c>
      <c r="J945" s="94">
        <f ca="1"/>
        <v>30.9</v>
      </c>
      <c r="K945" s="94"/>
      <c r="L945" s="94">
        <f ca="1"/>
        <v>111.85</v>
      </c>
      <c r="M945" s="94" t="str">
        <f ca="1"/>
        <v>63/65"</v>
      </c>
      <c r="N945" s="94">
        <f ca="1"/>
        <v>62</v>
      </c>
      <c r="O945" s="94" t="str">
        <f ca="1"/>
        <v>Hole (KN) [针织破洞]</v>
      </c>
      <c r="P945" s="95" t="str">
        <f ca="1"/>
        <v/>
      </c>
      <c r="Q945" s="95" t="str">
        <f ca="1"/>
        <v/>
      </c>
      <c r="R945" s="96">
        <f ca="1"/>
        <v>46165</v>
      </c>
    </row>
    <row r="946" spans="1:18" s="90" customFormat="1" ht="55" customHeight="1" x14ac:dyDescent="0.35">
      <c r="A946" s="94" t="str">
        <f ca="1"/>
        <v>S25V10883</v>
      </c>
      <c r="B946" s="94" t="str">
        <f ca="1"/>
        <v>PKEK25VE0010883A</v>
      </c>
      <c r="C946" s="94" t="str">
        <f ca="1"/>
        <v>DEEP SEA</v>
      </c>
      <c r="D946" s="94" t="str">
        <f ca="1"/>
        <v>365</v>
      </c>
      <c r="E946" s="94" t="str">
        <f ca="1"/>
        <v>FV012282003B</v>
      </c>
      <c r="F946" s="94" t="str">
        <f ca="1"/>
        <v>C1500427</v>
      </c>
      <c r="G946" s="94" t="str">
        <f ca="1"/>
        <v>B</v>
      </c>
      <c r="H946" s="94" t="str">
        <f ca="1"/>
        <v>CF003184958</v>
      </c>
      <c r="I946" s="94" t="str">
        <f ca="1"/>
        <v>A</v>
      </c>
      <c r="J946" s="94">
        <f ca="1"/>
        <v>24.5</v>
      </c>
      <c r="K946" s="94"/>
      <c r="L946" s="94">
        <f ca="1"/>
        <v>88.69</v>
      </c>
      <c r="M946" s="94" t="str">
        <f ca="1"/>
        <v>63/65"</v>
      </c>
      <c r="N946" s="94">
        <f ca="1"/>
        <v>62</v>
      </c>
      <c r="O946" s="94" t="str">
        <f ca="1"/>
        <v>Hole (KN) [针织破洞]</v>
      </c>
      <c r="P946" s="95" t="str">
        <f ca="1"/>
        <v/>
      </c>
      <c r="Q946" s="95" t="str">
        <f ca="1"/>
        <v/>
      </c>
      <c r="R946" s="96">
        <f ca="1"/>
        <v>46165</v>
      </c>
    </row>
    <row r="947" spans="1:18" s="90" customFormat="1" ht="55" customHeight="1" x14ac:dyDescent="0.35">
      <c r="A947" s="94" t="str">
        <f ca="1"/>
        <v>S25V10883</v>
      </c>
      <c r="B947" s="94" t="str">
        <f ca="1"/>
        <v>PKEK25VE0010883A</v>
      </c>
      <c r="C947" s="94" t="str">
        <f ca="1"/>
        <v>DEEP SEA</v>
      </c>
      <c r="D947" s="94" t="str">
        <f ca="1"/>
        <v>365</v>
      </c>
      <c r="E947" s="94" t="str">
        <f ca="1"/>
        <v>FV012282003B</v>
      </c>
      <c r="F947" s="94" t="str">
        <f ca="1"/>
        <v>C1500427</v>
      </c>
      <c r="G947" s="94" t="str">
        <f ca="1"/>
        <v>B</v>
      </c>
      <c r="H947" s="94" t="str">
        <f ca="1"/>
        <v>CF003184959</v>
      </c>
      <c r="I947" s="94" t="str">
        <f ca="1"/>
        <v>A</v>
      </c>
      <c r="J947" s="94">
        <f ca="1"/>
        <v>25.1</v>
      </c>
      <c r="K947" s="94"/>
      <c r="L947" s="94">
        <f ca="1"/>
        <v>90.86</v>
      </c>
      <c r="M947" s="94" t="str">
        <f ca="1"/>
        <v>63/65"</v>
      </c>
      <c r="N947" s="94">
        <f ca="1"/>
        <v>62</v>
      </c>
      <c r="O947" s="94" t="str">
        <f ca="1"/>
        <v>Piece-up(FN) [后整接口]</v>
      </c>
      <c r="P947" s="95" t="str">
        <f ca="1"/>
        <v/>
      </c>
      <c r="Q947" s="95" t="str">
        <f ca="1"/>
        <v/>
      </c>
      <c r="R947" s="96">
        <f ca="1"/>
        <v>46165</v>
      </c>
    </row>
    <row r="948" spans="1:18" s="90" customFormat="1" ht="55" customHeight="1" x14ac:dyDescent="0.35">
      <c r="A948" s="94" t="str">
        <f ca="1"/>
        <v>S25V10883</v>
      </c>
      <c r="B948" s="94" t="str">
        <f ca="1"/>
        <v>PKEK25VE0010883A</v>
      </c>
      <c r="C948" s="94" t="str">
        <f ca="1"/>
        <v>DEEP SEA</v>
      </c>
      <c r="D948" s="94" t="str">
        <f ca="1"/>
        <v>365</v>
      </c>
      <c r="E948" s="94" t="str">
        <f ca="1"/>
        <v>FV012282003B</v>
      </c>
      <c r="F948" s="94" t="str">
        <f ca="1"/>
        <v>C1500427</v>
      </c>
      <c r="G948" s="94" t="str">
        <f ca="1"/>
        <v>B</v>
      </c>
      <c r="H948" s="94" t="str">
        <f ca="1"/>
        <v>CF003184960</v>
      </c>
      <c r="I948" s="94" t="str">
        <f ca="1"/>
        <v>A</v>
      </c>
      <c r="J948" s="94">
        <f ca="1"/>
        <v>23.3</v>
      </c>
      <c r="K948" s="94"/>
      <c r="L948" s="94">
        <f ca="1"/>
        <v>84.34</v>
      </c>
      <c r="M948" s="94" t="str">
        <f ca="1"/>
        <v>63/65"</v>
      </c>
      <c r="N948" s="94">
        <f ca="1"/>
        <v>62</v>
      </c>
      <c r="O948" s="94" t="str">
        <f ca="1"/>
        <v>White mark [白印]</v>
      </c>
      <c r="P948" s="95" t="str">
        <f ca="1"/>
        <v/>
      </c>
      <c r="Q948" s="95" t="str">
        <f ca="1"/>
        <v/>
      </c>
      <c r="R948" s="96">
        <f ca="1"/>
        <v>46165</v>
      </c>
    </row>
    <row r="949" spans="1:18" s="90" customFormat="1" ht="55" customHeight="1" x14ac:dyDescent="0.35">
      <c r="A949" s="94" t="str">
        <f ca="1"/>
        <v>S25V10883</v>
      </c>
      <c r="B949" s="94" t="str">
        <f ca="1"/>
        <v>PKEK25VE0010883A</v>
      </c>
      <c r="C949" s="94" t="str">
        <f ca="1"/>
        <v>DEEP SEA</v>
      </c>
      <c r="D949" s="94" t="str">
        <f ca="1"/>
        <v>365</v>
      </c>
      <c r="E949" s="94" t="str">
        <f ca="1"/>
        <v>FV012282003B</v>
      </c>
      <c r="F949" s="94" t="str">
        <f ca="1"/>
        <v>C1500427</v>
      </c>
      <c r="G949" s="94" t="str">
        <f ca="1"/>
        <v>B</v>
      </c>
      <c r="H949" s="94" t="str">
        <f ca="1"/>
        <v>CF003184961</v>
      </c>
      <c r="I949" s="94" t="str">
        <f ca="1"/>
        <v>A</v>
      </c>
      <c r="J949" s="94">
        <f ca="1"/>
        <v>24.5</v>
      </c>
      <c r="K949" s="94"/>
      <c r="L949" s="94">
        <f ca="1"/>
        <v>88.69</v>
      </c>
      <c r="M949" s="94" t="str">
        <f ca="1"/>
        <v>63/65"</v>
      </c>
      <c r="N949" s="94">
        <f ca="1"/>
        <v>62</v>
      </c>
      <c r="O949" s="94" t="str">
        <f ca="1"/>
        <v>White mark [白印]</v>
      </c>
      <c r="P949" s="95" t="str">
        <f ca="1"/>
        <v/>
      </c>
      <c r="Q949" s="95" t="str">
        <f ca="1"/>
        <v/>
      </c>
      <c r="R949" s="96">
        <f ca="1"/>
        <v>46165</v>
      </c>
    </row>
    <row r="950" spans="1:18" s="90" customFormat="1" ht="55" customHeight="1" x14ac:dyDescent="0.35">
      <c r="A950" s="94"/>
      <c r="B950" s="94"/>
      <c r="C950" s="94"/>
      <c r="D950" s="94"/>
      <c r="E950" s="94"/>
      <c r="F950" s="94"/>
      <c r="G950" s="94"/>
      <c r="H950" s="94"/>
      <c r="I950" s="94"/>
      <c r="J950" s="94"/>
      <c r="K950" s="94"/>
      <c r="L950" s="94"/>
      <c r="M950" s="94"/>
      <c r="N950" s="94"/>
      <c r="O950" s="94"/>
      <c r="P950" s="95"/>
      <c r="Q950" s="95"/>
      <c r="R950" s="96"/>
    </row>
  </sheetData>
  <sheetProtection selectLockedCells="1"/>
  <autoFilter ref="A5:R949" xr:uid="{35AF4206-075A-44DE-B9F6-8FC4A0ADE465}"/>
  <mergeCells count="1">
    <mergeCell ref="A1:R4"/>
  </mergeCells>
  <conditionalFormatting sqref="A6:R950">
    <cfRule type="expression" dxfId="0" priority="1">
      <formula>LEN($A6)=0</formula>
    </cfRule>
  </conditionalFormatting>
  <pageMargins left="0" right="0" top="0" bottom="0" header="0" footer="0"/>
  <pageSetup paperSize="9" scale="20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F28FD-D866-4B26-8EF0-5272CF4AE8BC}">
  <sheetPr codeName="Sheet10">
    <tabColor theme="5" tint="0.59999389629810485"/>
  </sheetPr>
  <dimension ref="A1:AH10000"/>
  <sheetViews>
    <sheetView topLeftCell="A13" zoomScale="10" zoomScaleNormal="10" workbookViewId="0">
      <selection activeCell="BK113" sqref="BK113"/>
    </sheetView>
  </sheetViews>
  <sheetFormatPr defaultColWidth="6.81640625" defaultRowHeight="14.5" x14ac:dyDescent="0.35"/>
  <cols>
    <col min="1" max="1" width="11.1796875" customWidth="1"/>
    <col min="2" max="2" width="14.453125" customWidth="1"/>
    <col min="3" max="3" width="9.54296875" style="88" customWidth="1"/>
    <col min="4" max="4" width="11.453125" style="88" customWidth="1"/>
    <col min="5" max="5" width="10.1796875" customWidth="1"/>
    <col min="6" max="6" width="10.54296875" style="88" customWidth="1"/>
    <col min="7" max="7" width="15.81640625" customWidth="1"/>
    <col min="8" max="8" width="14.81640625" style="88" customWidth="1"/>
    <col min="9" max="9" width="13" style="88" customWidth="1"/>
    <col min="10" max="10" width="18.1796875" style="88" customWidth="1"/>
    <col min="11" max="11" width="12.453125" style="88" customWidth="1"/>
    <col min="12" max="12" width="10.453125" style="88" customWidth="1"/>
    <col min="13" max="19" width="15.54296875" style="88" customWidth="1"/>
    <col min="20" max="20" width="20.453125" style="88" customWidth="1"/>
    <col min="21" max="23" width="15.54296875" customWidth="1"/>
    <col min="24" max="24" width="18.54296875" customWidth="1"/>
    <col min="25" max="25" width="14.1796875" customWidth="1"/>
    <col min="27" max="32" width="6.81640625" customWidth="1"/>
    <col min="34" max="34" width="0" hidden="1" customWidth="1"/>
  </cols>
  <sheetData>
    <row r="1" spans="1:25" s="85" customFormat="1" ht="14.5" customHeight="1" x14ac:dyDescent="0.25">
      <c r="A1" s="84" t="s">
        <v>155</v>
      </c>
      <c r="B1" s="84" t="s">
        <v>156</v>
      </c>
      <c r="C1" s="178" t="s">
        <v>157</v>
      </c>
      <c r="D1" s="178" t="s">
        <v>158</v>
      </c>
      <c r="E1" s="84" t="s">
        <v>159</v>
      </c>
      <c r="F1" s="84" t="s">
        <v>108</v>
      </c>
      <c r="G1" s="84" t="s">
        <v>112</v>
      </c>
      <c r="H1" s="84" t="s">
        <v>160</v>
      </c>
      <c r="I1" s="84" t="s">
        <v>161</v>
      </c>
      <c r="J1" s="84" t="s">
        <v>162</v>
      </c>
      <c r="K1" s="84" t="s">
        <v>163</v>
      </c>
      <c r="L1" s="84" t="s">
        <v>164</v>
      </c>
      <c r="M1" s="84" t="s">
        <v>165</v>
      </c>
      <c r="N1" s="84" t="s">
        <v>166</v>
      </c>
      <c r="O1" s="84" t="s">
        <v>167</v>
      </c>
      <c r="P1" s="84" t="s">
        <v>168</v>
      </c>
      <c r="Q1" s="84" t="s">
        <v>169</v>
      </c>
      <c r="R1" s="84" t="s">
        <v>170</v>
      </c>
      <c r="S1" s="84" t="s">
        <v>171</v>
      </c>
      <c r="T1" s="84" t="s">
        <v>172</v>
      </c>
      <c r="U1" s="84" t="s">
        <v>100</v>
      </c>
      <c r="V1" s="84" t="s">
        <v>173</v>
      </c>
      <c r="W1" s="84" t="s">
        <v>174</v>
      </c>
      <c r="X1" s="84" t="s">
        <v>175</v>
      </c>
      <c r="Y1" s="84" t="s">
        <v>176</v>
      </c>
    </row>
    <row r="2" spans="1:25" s="85" customFormat="1" ht="14.5" customHeight="1" thickBot="1" x14ac:dyDescent="0.3">
      <c r="A2" s="86" t="s">
        <v>177</v>
      </c>
      <c r="B2" s="86" t="s">
        <v>178</v>
      </c>
      <c r="C2" s="179"/>
      <c r="D2" s="179"/>
      <c r="E2" s="86" t="s">
        <v>179</v>
      </c>
      <c r="F2" s="86" t="s">
        <v>180</v>
      </c>
      <c r="G2" s="86" t="s">
        <v>181</v>
      </c>
      <c r="H2" s="86" t="s">
        <v>182</v>
      </c>
      <c r="I2" s="86" t="s">
        <v>183</v>
      </c>
      <c r="J2" s="86" t="s">
        <v>184</v>
      </c>
      <c r="K2" s="86" t="s">
        <v>185</v>
      </c>
      <c r="L2" s="86" t="s">
        <v>186</v>
      </c>
      <c r="M2" s="86" t="s">
        <v>187</v>
      </c>
      <c r="N2" s="86" t="s">
        <v>188</v>
      </c>
      <c r="O2" s="86" t="s">
        <v>189</v>
      </c>
      <c r="P2" s="86" t="s">
        <v>190</v>
      </c>
      <c r="Q2" s="86" t="s">
        <v>191</v>
      </c>
      <c r="R2" s="86" t="s">
        <v>192</v>
      </c>
      <c r="S2" s="86" t="s">
        <v>193</v>
      </c>
      <c r="T2" s="86" t="s">
        <v>194</v>
      </c>
      <c r="U2" s="86" t="s">
        <v>195</v>
      </c>
      <c r="V2" s="86" t="s">
        <v>196</v>
      </c>
      <c r="W2" s="86" t="s">
        <v>197</v>
      </c>
      <c r="X2" s="86" t="s">
        <v>198</v>
      </c>
      <c r="Y2" s="86" t="s">
        <v>199</v>
      </c>
    </row>
    <row r="3" spans="1:25" s="89" customFormat="1" ht="14.5" customHeight="1" thickBot="1" x14ac:dyDescent="0.3">
      <c r="A3" s="109" t="s">
        <v>200</v>
      </c>
      <c r="B3" s="109" t="s">
        <v>201</v>
      </c>
      <c r="C3" s="109" t="s">
        <v>202</v>
      </c>
      <c r="D3" s="109" t="s">
        <v>203</v>
      </c>
      <c r="E3" s="109"/>
      <c r="F3" s="109" t="s">
        <v>204</v>
      </c>
      <c r="G3" s="109" t="s">
        <v>205</v>
      </c>
      <c r="H3" s="109" t="s">
        <v>206</v>
      </c>
      <c r="I3" s="109">
        <v>10</v>
      </c>
      <c r="J3" s="109" t="s">
        <v>207</v>
      </c>
      <c r="K3" s="109">
        <v>29</v>
      </c>
      <c r="L3" s="109">
        <v>80</v>
      </c>
      <c r="M3" s="109"/>
      <c r="N3" s="109">
        <v>74</v>
      </c>
      <c r="O3" s="109">
        <v>72</v>
      </c>
      <c r="P3" s="109" t="s">
        <v>150</v>
      </c>
      <c r="Q3" s="109" t="s">
        <v>208</v>
      </c>
      <c r="R3" s="109">
        <v>2</v>
      </c>
      <c r="S3" s="109"/>
      <c r="T3" s="109"/>
      <c r="U3" s="109" t="s">
        <v>209</v>
      </c>
      <c r="V3" s="109"/>
      <c r="W3" s="109"/>
      <c r="X3" s="110">
        <v>46108.5390625</v>
      </c>
      <c r="Y3" s="109" t="s">
        <v>210</v>
      </c>
    </row>
    <row r="4" spans="1:25" s="89" customFormat="1" ht="14.5" customHeight="1" thickBot="1" x14ac:dyDescent="0.3">
      <c r="A4" s="109" t="s">
        <v>211</v>
      </c>
      <c r="B4" s="111"/>
      <c r="C4" s="111"/>
      <c r="D4" s="111"/>
      <c r="E4" s="111"/>
      <c r="F4" s="111"/>
      <c r="G4" s="111"/>
      <c r="H4" s="111"/>
      <c r="I4" s="111"/>
      <c r="J4" s="111"/>
      <c r="K4" s="111"/>
      <c r="L4" s="111"/>
      <c r="M4" s="111"/>
      <c r="N4" s="111"/>
      <c r="O4" s="111"/>
      <c r="P4" s="111"/>
      <c r="Q4" s="111"/>
      <c r="R4" s="111"/>
      <c r="S4" s="111"/>
      <c r="T4" s="111"/>
      <c r="U4" s="111"/>
      <c r="V4" s="111"/>
      <c r="W4" s="111"/>
      <c r="X4" s="111"/>
      <c r="Y4" s="111"/>
    </row>
    <row r="5" spans="1:25" s="89" customFormat="1" ht="14.5" customHeight="1" thickBot="1" x14ac:dyDescent="0.3">
      <c r="A5" s="109" t="s">
        <v>200</v>
      </c>
      <c r="B5" s="109" t="s">
        <v>201</v>
      </c>
      <c r="C5" s="109" t="s">
        <v>202</v>
      </c>
      <c r="D5" s="109" t="s">
        <v>203</v>
      </c>
      <c r="E5" s="109"/>
      <c r="F5" s="109" t="s">
        <v>204</v>
      </c>
      <c r="G5" s="109" t="s">
        <v>205</v>
      </c>
      <c r="H5" s="109" t="s">
        <v>206</v>
      </c>
      <c r="I5" s="109">
        <v>10</v>
      </c>
      <c r="J5" s="109" t="s">
        <v>212</v>
      </c>
      <c r="K5" s="109">
        <v>28.9</v>
      </c>
      <c r="L5" s="109">
        <v>80</v>
      </c>
      <c r="M5" s="109"/>
      <c r="N5" s="109">
        <v>74</v>
      </c>
      <c r="O5" s="109">
        <v>72</v>
      </c>
      <c r="P5" s="109" t="s">
        <v>150</v>
      </c>
      <c r="Q5" s="109" t="s">
        <v>208</v>
      </c>
      <c r="R5" s="109">
        <v>2</v>
      </c>
      <c r="S5" s="109"/>
      <c r="T5" s="109"/>
      <c r="U5" s="109" t="s">
        <v>209</v>
      </c>
      <c r="V5" s="109"/>
      <c r="W5" s="109"/>
      <c r="X5" s="110">
        <v>46108.5390625</v>
      </c>
      <c r="Y5" s="109" t="s">
        <v>210</v>
      </c>
    </row>
    <row r="6" spans="1:25" s="89" customFormat="1" ht="14.5" customHeight="1" thickBot="1" x14ac:dyDescent="0.3">
      <c r="A6" s="109" t="s">
        <v>211</v>
      </c>
      <c r="B6" s="111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111"/>
      <c r="P6" s="111"/>
      <c r="Q6" s="111"/>
      <c r="R6" s="111"/>
      <c r="S6" s="111"/>
      <c r="T6" s="111"/>
      <c r="U6" s="111"/>
      <c r="V6" s="111"/>
      <c r="W6" s="111"/>
      <c r="X6" s="111"/>
      <c r="Y6" s="111"/>
    </row>
    <row r="7" spans="1:25" s="89" customFormat="1" ht="14.5" customHeight="1" thickBot="1" x14ac:dyDescent="0.3">
      <c r="A7" s="109" t="s">
        <v>200</v>
      </c>
      <c r="B7" s="109" t="s">
        <v>201</v>
      </c>
      <c r="C7" s="109" t="s">
        <v>202</v>
      </c>
      <c r="D7" s="109" t="s">
        <v>203</v>
      </c>
      <c r="E7" s="109"/>
      <c r="F7" s="109" t="s">
        <v>204</v>
      </c>
      <c r="G7" s="109" t="s">
        <v>205</v>
      </c>
      <c r="H7" s="109" t="s">
        <v>206</v>
      </c>
      <c r="I7" s="109">
        <v>10</v>
      </c>
      <c r="J7" s="109" t="s">
        <v>213</v>
      </c>
      <c r="K7" s="109">
        <v>28.6</v>
      </c>
      <c r="L7" s="109">
        <v>79</v>
      </c>
      <c r="M7" s="109"/>
      <c r="N7" s="109">
        <v>74</v>
      </c>
      <c r="O7" s="109">
        <v>71</v>
      </c>
      <c r="P7" s="109" t="s">
        <v>150</v>
      </c>
      <c r="Q7" s="109" t="s">
        <v>208</v>
      </c>
      <c r="R7" s="109">
        <v>3</v>
      </c>
      <c r="S7" s="109"/>
      <c r="T7" s="109"/>
      <c r="U7" s="109" t="s">
        <v>214</v>
      </c>
      <c r="V7" s="109"/>
      <c r="W7" s="109"/>
      <c r="X7" s="110">
        <v>46108.5390625</v>
      </c>
      <c r="Y7" s="109" t="s">
        <v>210</v>
      </c>
    </row>
    <row r="8" spans="1:25" s="89" customFormat="1" ht="14.5" customHeight="1" thickBot="1" x14ac:dyDescent="0.3">
      <c r="A8" s="109" t="s">
        <v>211</v>
      </c>
      <c r="B8" s="111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11"/>
      <c r="O8" s="111"/>
      <c r="P8" s="111"/>
      <c r="Q8" s="111"/>
      <c r="R8" s="111"/>
      <c r="S8" s="111"/>
      <c r="T8" s="111"/>
      <c r="U8" s="111"/>
      <c r="V8" s="111"/>
      <c r="W8" s="111"/>
      <c r="X8" s="111"/>
      <c r="Y8" s="111"/>
    </row>
    <row r="9" spans="1:25" s="89" customFormat="1" ht="14.5" customHeight="1" thickBot="1" x14ac:dyDescent="0.3">
      <c r="A9" s="109" t="s">
        <v>200</v>
      </c>
      <c r="B9" s="109" t="s">
        <v>201</v>
      </c>
      <c r="C9" s="109" t="s">
        <v>202</v>
      </c>
      <c r="D9" s="109" t="s">
        <v>203</v>
      </c>
      <c r="E9" s="109"/>
      <c r="F9" s="109" t="s">
        <v>204</v>
      </c>
      <c r="G9" s="109" t="s">
        <v>205</v>
      </c>
      <c r="H9" s="109" t="s">
        <v>206</v>
      </c>
      <c r="I9" s="109">
        <v>10</v>
      </c>
      <c r="J9" s="109" t="s">
        <v>215</v>
      </c>
      <c r="K9" s="109">
        <v>29.3</v>
      </c>
      <c r="L9" s="109">
        <v>81</v>
      </c>
      <c r="M9" s="109"/>
      <c r="N9" s="109">
        <v>74</v>
      </c>
      <c r="O9" s="109">
        <v>72</v>
      </c>
      <c r="P9" s="109" t="s">
        <v>150</v>
      </c>
      <c r="Q9" s="109" t="s">
        <v>208</v>
      </c>
      <c r="R9" s="109">
        <v>2</v>
      </c>
      <c r="S9" s="109"/>
      <c r="T9" s="109"/>
      <c r="U9" s="109" t="s">
        <v>209</v>
      </c>
      <c r="V9" s="109"/>
      <c r="W9" s="109"/>
      <c r="X9" s="110">
        <v>46108.5390625</v>
      </c>
      <c r="Y9" s="109" t="s">
        <v>210</v>
      </c>
    </row>
    <row r="10" spans="1:25" s="89" customFormat="1" ht="14.5" customHeight="1" thickBot="1" x14ac:dyDescent="0.3">
      <c r="A10" s="109" t="s">
        <v>211</v>
      </c>
      <c r="B10" s="111"/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11"/>
      <c r="N10" s="111"/>
      <c r="O10" s="111"/>
      <c r="P10" s="111"/>
      <c r="Q10" s="111"/>
      <c r="R10" s="111"/>
      <c r="S10" s="111"/>
      <c r="T10" s="111"/>
      <c r="U10" s="111"/>
      <c r="V10" s="111"/>
      <c r="W10" s="111"/>
      <c r="X10" s="111"/>
      <c r="Y10" s="111"/>
    </row>
    <row r="11" spans="1:25" s="89" customFormat="1" ht="14.5" customHeight="1" thickBot="1" x14ac:dyDescent="0.3">
      <c r="A11" s="109" t="s">
        <v>200</v>
      </c>
      <c r="B11" s="109" t="s">
        <v>201</v>
      </c>
      <c r="C11" s="109" t="s">
        <v>202</v>
      </c>
      <c r="D11" s="109" t="s">
        <v>203</v>
      </c>
      <c r="E11" s="109"/>
      <c r="F11" s="109" t="s">
        <v>204</v>
      </c>
      <c r="G11" s="109" t="s">
        <v>205</v>
      </c>
      <c r="H11" s="109" t="s">
        <v>206</v>
      </c>
      <c r="I11" s="109">
        <v>10</v>
      </c>
      <c r="J11" s="109" t="s">
        <v>216</v>
      </c>
      <c r="K11" s="109">
        <v>18.2</v>
      </c>
      <c r="L11" s="109">
        <v>50</v>
      </c>
      <c r="M11" s="109"/>
      <c r="N11" s="109">
        <v>74</v>
      </c>
      <c r="O11" s="109">
        <v>72</v>
      </c>
      <c r="P11" s="109" t="s">
        <v>150</v>
      </c>
      <c r="Q11" s="109" t="s">
        <v>208</v>
      </c>
      <c r="R11" s="109">
        <v>2</v>
      </c>
      <c r="S11" s="109"/>
      <c r="T11" s="109"/>
      <c r="U11" s="109" t="s">
        <v>209</v>
      </c>
      <c r="V11" s="109"/>
      <c r="W11" s="109"/>
      <c r="X11" s="110">
        <v>46108.5390625</v>
      </c>
      <c r="Y11" s="109" t="s">
        <v>210</v>
      </c>
    </row>
    <row r="12" spans="1:25" s="89" customFormat="1" ht="14.5" customHeight="1" thickBot="1" x14ac:dyDescent="0.3">
      <c r="A12" s="109" t="s">
        <v>211</v>
      </c>
      <c r="B12" s="111"/>
      <c r="C12" s="111"/>
      <c r="D12" s="111"/>
      <c r="E12" s="111"/>
      <c r="F12" s="111"/>
      <c r="G12" s="111"/>
      <c r="H12" s="111"/>
      <c r="I12" s="111"/>
      <c r="J12" s="111"/>
      <c r="K12" s="111"/>
      <c r="L12" s="111"/>
      <c r="M12" s="111"/>
      <c r="N12" s="111"/>
      <c r="O12" s="111"/>
      <c r="P12" s="111"/>
      <c r="Q12" s="111"/>
      <c r="R12" s="111"/>
      <c r="S12" s="111"/>
      <c r="T12" s="111"/>
      <c r="U12" s="111"/>
      <c r="V12" s="111"/>
      <c r="W12" s="111"/>
      <c r="X12" s="111"/>
      <c r="Y12" s="111"/>
    </row>
    <row r="13" spans="1:25" s="89" customFormat="1" ht="14.5" customHeight="1" thickBot="1" x14ac:dyDescent="0.3">
      <c r="A13" s="109" t="s">
        <v>200</v>
      </c>
      <c r="B13" s="109" t="s">
        <v>201</v>
      </c>
      <c r="C13" s="109" t="s">
        <v>202</v>
      </c>
      <c r="D13" s="109" t="s">
        <v>203</v>
      </c>
      <c r="E13" s="109"/>
      <c r="F13" s="109" t="s">
        <v>204</v>
      </c>
      <c r="G13" s="109" t="s">
        <v>205</v>
      </c>
      <c r="H13" s="109" t="s">
        <v>206</v>
      </c>
      <c r="I13" s="109">
        <v>10</v>
      </c>
      <c r="J13" s="109" t="s">
        <v>217</v>
      </c>
      <c r="K13" s="109">
        <v>28.4</v>
      </c>
      <c r="L13" s="109">
        <v>78.5</v>
      </c>
      <c r="M13" s="109"/>
      <c r="N13" s="109">
        <v>74</v>
      </c>
      <c r="O13" s="109">
        <v>72</v>
      </c>
      <c r="P13" s="109" t="s">
        <v>150</v>
      </c>
      <c r="Q13" s="109" t="s">
        <v>208</v>
      </c>
      <c r="R13" s="109">
        <v>2</v>
      </c>
      <c r="S13" s="109"/>
      <c r="T13" s="109"/>
      <c r="U13" s="109" t="s">
        <v>209</v>
      </c>
      <c r="V13" s="109"/>
      <c r="W13" s="109"/>
      <c r="X13" s="110">
        <v>46108.5390625</v>
      </c>
      <c r="Y13" s="109" t="s">
        <v>210</v>
      </c>
    </row>
    <row r="14" spans="1:25" s="89" customFormat="1" ht="14.5" customHeight="1" thickBot="1" x14ac:dyDescent="0.3">
      <c r="A14" s="109" t="s">
        <v>211</v>
      </c>
      <c r="B14" s="111"/>
      <c r="C14" s="111"/>
      <c r="D14" s="111"/>
      <c r="E14" s="111"/>
      <c r="F14" s="111"/>
      <c r="G14" s="111"/>
      <c r="H14" s="111"/>
      <c r="I14" s="111"/>
      <c r="J14" s="111"/>
      <c r="K14" s="111"/>
      <c r="L14" s="111"/>
      <c r="M14" s="111"/>
      <c r="N14" s="111"/>
      <c r="O14" s="111"/>
      <c r="P14" s="111"/>
      <c r="Q14" s="111"/>
      <c r="R14" s="111"/>
      <c r="S14" s="111"/>
      <c r="T14" s="111"/>
      <c r="U14" s="111"/>
      <c r="V14" s="111"/>
      <c r="W14" s="111"/>
      <c r="X14" s="111"/>
      <c r="Y14" s="111"/>
    </row>
    <row r="15" spans="1:25" s="89" customFormat="1" ht="14.5" customHeight="1" thickBot="1" x14ac:dyDescent="0.3">
      <c r="A15" s="109" t="s">
        <v>200</v>
      </c>
      <c r="B15" s="109" t="s">
        <v>201</v>
      </c>
      <c r="C15" s="109" t="s">
        <v>202</v>
      </c>
      <c r="D15" s="109" t="s">
        <v>203</v>
      </c>
      <c r="E15" s="109"/>
      <c r="F15" s="109" t="s">
        <v>204</v>
      </c>
      <c r="G15" s="109" t="s">
        <v>205</v>
      </c>
      <c r="H15" s="109" t="s">
        <v>218</v>
      </c>
      <c r="I15" s="109">
        <v>10</v>
      </c>
      <c r="J15" s="109" t="s">
        <v>219</v>
      </c>
      <c r="K15" s="109">
        <v>29.2</v>
      </c>
      <c r="L15" s="109">
        <v>80</v>
      </c>
      <c r="M15" s="109"/>
      <c r="N15" s="109">
        <v>74</v>
      </c>
      <c r="O15" s="109">
        <v>72</v>
      </c>
      <c r="P15" s="109" t="s">
        <v>150</v>
      </c>
      <c r="Q15" s="109" t="s">
        <v>208</v>
      </c>
      <c r="R15" s="109">
        <v>2</v>
      </c>
      <c r="S15" s="109"/>
      <c r="T15" s="109" t="s">
        <v>220</v>
      </c>
      <c r="U15" s="109" t="s">
        <v>221</v>
      </c>
      <c r="V15" s="109"/>
      <c r="W15" s="109"/>
      <c r="X15" s="110">
        <v>46117.935231481482</v>
      </c>
      <c r="Y15" s="109" t="s">
        <v>210</v>
      </c>
    </row>
    <row r="16" spans="1:25" s="89" customFormat="1" ht="14.5" customHeight="1" thickBot="1" x14ac:dyDescent="0.3">
      <c r="A16" s="109" t="s">
        <v>211</v>
      </c>
      <c r="B16" s="111"/>
      <c r="C16" s="111"/>
      <c r="D16" s="111"/>
      <c r="E16" s="111"/>
      <c r="F16" s="111"/>
      <c r="G16" s="111"/>
      <c r="H16" s="111"/>
      <c r="I16" s="111"/>
      <c r="J16" s="111"/>
      <c r="K16" s="111"/>
      <c r="L16" s="111"/>
      <c r="M16" s="111"/>
      <c r="N16" s="111"/>
      <c r="O16" s="111"/>
      <c r="P16" s="111"/>
      <c r="Q16" s="111"/>
      <c r="R16" s="111"/>
      <c r="S16" s="111"/>
      <c r="T16" s="111"/>
      <c r="U16" s="111"/>
      <c r="V16" s="111"/>
      <c r="W16" s="111"/>
      <c r="X16" s="111"/>
      <c r="Y16" s="111"/>
    </row>
    <row r="17" spans="1:25" s="89" customFormat="1" ht="14.5" customHeight="1" thickBot="1" x14ac:dyDescent="0.3">
      <c r="A17" s="109" t="s">
        <v>200</v>
      </c>
      <c r="B17" s="109" t="s">
        <v>201</v>
      </c>
      <c r="C17" s="109" t="s">
        <v>202</v>
      </c>
      <c r="D17" s="109" t="s">
        <v>203</v>
      </c>
      <c r="E17" s="109"/>
      <c r="F17" s="109" t="s">
        <v>204</v>
      </c>
      <c r="G17" s="109" t="s">
        <v>205</v>
      </c>
      <c r="H17" s="109" t="s">
        <v>222</v>
      </c>
      <c r="I17" s="109">
        <v>10</v>
      </c>
      <c r="J17" s="109" t="s">
        <v>223</v>
      </c>
      <c r="K17" s="109">
        <v>29.2</v>
      </c>
      <c r="L17" s="109">
        <v>77.5</v>
      </c>
      <c r="M17" s="109"/>
      <c r="N17" s="109">
        <v>74</v>
      </c>
      <c r="O17" s="109">
        <v>73</v>
      </c>
      <c r="P17" s="109" t="s">
        <v>150</v>
      </c>
      <c r="Q17" s="109" t="s">
        <v>208</v>
      </c>
      <c r="R17" s="109">
        <v>1</v>
      </c>
      <c r="S17" s="109"/>
      <c r="T17" s="109" t="s">
        <v>220</v>
      </c>
      <c r="U17" s="109" t="s">
        <v>224</v>
      </c>
      <c r="V17" s="109"/>
      <c r="W17" s="109"/>
      <c r="X17" s="110">
        <v>46107.949374999997</v>
      </c>
      <c r="Y17" s="109" t="s">
        <v>210</v>
      </c>
    </row>
    <row r="18" spans="1:25" s="89" customFormat="1" ht="14.5" customHeight="1" thickBot="1" x14ac:dyDescent="0.3">
      <c r="A18" s="109" t="s">
        <v>211</v>
      </c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1"/>
      <c r="O18" s="111"/>
      <c r="P18" s="111"/>
      <c r="Q18" s="111"/>
      <c r="R18" s="111"/>
      <c r="S18" s="111"/>
      <c r="T18" s="111"/>
      <c r="U18" s="111"/>
      <c r="V18" s="111"/>
      <c r="W18" s="111"/>
      <c r="X18" s="111"/>
      <c r="Y18" s="111"/>
    </row>
    <row r="19" spans="1:25" s="89" customFormat="1" ht="14.5" customHeight="1" thickBot="1" x14ac:dyDescent="0.3">
      <c r="A19" s="109" t="s">
        <v>200</v>
      </c>
      <c r="B19" s="109" t="s">
        <v>201</v>
      </c>
      <c r="C19" s="109" t="s">
        <v>202</v>
      </c>
      <c r="D19" s="109" t="s">
        <v>203</v>
      </c>
      <c r="E19" s="109"/>
      <c r="F19" s="109" t="s">
        <v>204</v>
      </c>
      <c r="G19" s="109" t="s">
        <v>205</v>
      </c>
      <c r="H19" s="109" t="s">
        <v>218</v>
      </c>
      <c r="I19" s="109">
        <v>10</v>
      </c>
      <c r="J19" s="109" t="s">
        <v>225</v>
      </c>
      <c r="K19" s="109">
        <v>27.5</v>
      </c>
      <c r="L19" s="109">
        <v>75.5</v>
      </c>
      <c r="M19" s="109"/>
      <c r="N19" s="109">
        <v>74</v>
      </c>
      <c r="O19" s="109">
        <v>72</v>
      </c>
      <c r="P19" s="109" t="s">
        <v>150</v>
      </c>
      <c r="Q19" s="109" t="s">
        <v>208</v>
      </c>
      <c r="R19" s="109">
        <v>2</v>
      </c>
      <c r="S19" s="109"/>
      <c r="T19" s="109" t="s">
        <v>220</v>
      </c>
      <c r="U19" s="109" t="s">
        <v>221</v>
      </c>
      <c r="V19" s="109"/>
      <c r="W19" s="109"/>
      <c r="X19" s="110">
        <v>46117.935416666667</v>
      </c>
      <c r="Y19" s="109" t="s">
        <v>210</v>
      </c>
    </row>
    <row r="20" spans="1:25" s="89" customFormat="1" ht="14.5" customHeight="1" thickBot="1" x14ac:dyDescent="0.3">
      <c r="A20" s="109" t="s">
        <v>211</v>
      </c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111"/>
      <c r="Y20" s="111"/>
    </row>
    <row r="21" spans="1:25" s="89" customFormat="1" ht="14.5" customHeight="1" thickBot="1" x14ac:dyDescent="0.3">
      <c r="A21" s="109" t="s">
        <v>200</v>
      </c>
      <c r="B21" s="109" t="s">
        <v>201</v>
      </c>
      <c r="C21" s="109" t="s">
        <v>202</v>
      </c>
      <c r="D21" s="109" t="s">
        <v>203</v>
      </c>
      <c r="E21" s="109"/>
      <c r="F21" s="109" t="s">
        <v>204</v>
      </c>
      <c r="G21" s="109" t="s">
        <v>205</v>
      </c>
      <c r="H21" s="109" t="s">
        <v>222</v>
      </c>
      <c r="I21" s="109">
        <v>10</v>
      </c>
      <c r="J21" s="109" t="s">
        <v>226</v>
      </c>
      <c r="K21" s="109">
        <v>27.7</v>
      </c>
      <c r="L21" s="109">
        <v>73.5</v>
      </c>
      <c r="M21" s="109"/>
      <c r="N21" s="109">
        <v>74</v>
      </c>
      <c r="O21" s="109">
        <v>73</v>
      </c>
      <c r="P21" s="109" t="s">
        <v>150</v>
      </c>
      <c r="Q21" s="109" t="s">
        <v>208</v>
      </c>
      <c r="R21" s="109">
        <v>1</v>
      </c>
      <c r="S21" s="109"/>
      <c r="T21" s="109" t="s">
        <v>220</v>
      </c>
      <c r="U21" s="109" t="s">
        <v>227</v>
      </c>
      <c r="V21" s="109"/>
      <c r="W21" s="109"/>
      <c r="X21" s="110">
        <v>46108.692858796298</v>
      </c>
      <c r="Y21" s="109" t="s">
        <v>210</v>
      </c>
    </row>
    <row r="22" spans="1:25" s="89" customFormat="1" ht="14.5" customHeight="1" thickBot="1" x14ac:dyDescent="0.3">
      <c r="A22" s="109" t="s">
        <v>211</v>
      </c>
      <c r="B22" s="111"/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11"/>
      <c r="N22" s="111"/>
      <c r="O22" s="111"/>
      <c r="P22" s="111"/>
      <c r="Q22" s="111"/>
      <c r="R22" s="111"/>
      <c r="S22" s="111"/>
      <c r="T22" s="111"/>
      <c r="U22" s="111"/>
      <c r="V22" s="111"/>
      <c r="W22" s="111"/>
      <c r="X22" s="111"/>
      <c r="Y22" s="111"/>
    </row>
    <row r="23" spans="1:25" s="89" customFormat="1" ht="14.5" customHeight="1" thickBot="1" x14ac:dyDescent="0.3">
      <c r="A23" s="109" t="s">
        <v>200</v>
      </c>
      <c r="B23" s="109" t="s">
        <v>201</v>
      </c>
      <c r="C23" s="109" t="s">
        <v>202</v>
      </c>
      <c r="D23" s="109" t="s">
        <v>203</v>
      </c>
      <c r="E23" s="109"/>
      <c r="F23" s="109" t="s">
        <v>204</v>
      </c>
      <c r="G23" s="109" t="s">
        <v>205</v>
      </c>
      <c r="H23" s="109" t="s">
        <v>218</v>
      </c>
      <c r="I23" s="109">
        <v>10</v>
      </c>
      <c r="J23" s="109" t="s">
        <v>228</v>
      </c>
      <c r="K23" s="109">
        <v>28.2</v>
      </c>
      <c r="L23" s="109">
        <v>77</v>
      </c>
      <c r="M23" s="109"/>
      <c r="N23" s="109">
        <v>74</v>
      </c>
      <c r="O23" s="109">
        <v>72</v>
      </c>
      <c r="P23" s="109" t="s">
        <v>150</v>
      </c>
      <c r="Q23" s="109" t="s">
        <v>208</v>
      </c>
      <c r="R23" s="109">
        <v>2</v>
      </c>
      <c r="S23" s="109"/>
      <c r="T23" s="109" t="s">
        <v>220</v>
      </c>
      <c r="U23" s="109" t="s">
        <v>221</v>
      </c>
      <c r="V23" s="109"/>
      <c r="W23" s="109"/>
      <c r="X23" s="110">
        <v>46117.95140046296</v>
      </c>
      <c r="Y23" s="109" t="s">
        <v>210</v>
      </c>
    </row>
    <row r="24" spans="1:25" s="89" customFormat="1" ht="14.5" customHeight="1" thickBot="1" x14ac:dyDescent="0.3">
      <c r="A24" s="109" t="s">
        <v>211</v>
      </c>
      <c r="B24" s="111"/>
      <c r="C24" s="111"/>
      <c r="D24" s="111"/>
      <c r="E24" s="111"/>
      <c r="F24" s="111"/>
      <c r="G24" s="111"/>
      <c r="H24" s="111"/>
      <c r="I24" s="111"/>
      <c r="J24" s="111"/>
      <c r="K24" s="111"/>
      <c r="L24" s="111"/>
      <c r="M24" s="111"/>
      <c r="N24" s="111"/>
      <c r="O24" s="111"/>
      <c r="P24" s="111"/>
      <c r="Q24" s="111"/>
      <c r="R24" s="111"/>
      <c r="S24" s="111"/>
      <c r="T24" s="111"/>
      <c r="U24" s="111"/>
      <c r="V24" s="111"/>
      <c r="W24" s="111"/>
      <c r="X24" s="111"/>
      <c r="Y24" s="111"/>
    </row>
    <row r="25" spans="1:25" s="89" customFormat="1" ht="14.5" customHeight="1" thickBot="1" x14ac:dyDescent="0.3">
      <c r="A25" s="109" t="s">
        <v>200</v>
      </c>
      <c r="B25" s="109" t="s">
        <v>201</v>
      </c>
      <c r="C25" s="109" t="s">
        <v>202</v>
      </c>
      <c r="D25" s="109" t="s">
        <v>203</v>
      </c>
      <c r="E25" s="109"/>
      <c r="F25" s="109" t="s">
        <v>204</v>
      </c>
      <c r="G25" s="109" t="s">
        <v>205</v>
      </c>
      <c r="H25" s="109" t="s">
        <v>218</v>
      </c>
      <c r="I25" s="109">
        <v>10</v>
      </c>
      <c r="J25" s="109" t="s">
        <v>229</v>
      </c>
      <c r="K25" s="109">
        <v>28.2</v>
      </c>
      <c r="L25" s="109">
        <v>77</v>
      </c>
      <c r="M25" s="109"/>
      <c r="N25" s="109">
        <v>74</v>
      </c>
      <c r="O25" s="109">
        <v>72</v>
      </c>
      <c r="P25" s="109" t="s">
        <v>150</v>
      </c>
      <c r="Q25" s="109" t="s">
        <v>208</v>
      </c>
      <c r="R25" s="109">
        <v>2</v>
      </c>
      <c r="S25" s="109"/>
      <c r="T25" s="109" t="s">
        <v>220</v>
      </c>
      <c r="U25" s="109" t="s">
        <v>221</v>
      </c>
      <c r="V25" s="109"/>
      <c r="W25" s="109"/>
      <c r="X25" s="110">
        <v>46117.95140046296</v>
      </c>
      <c r="Y25" s="109" t="s">
        <v>210</v>
      </c>
    </row>
    <row r="26" spans="1:25" s="89" customFormat="1" ht="14.5" customHeight="1" thickBot="1" x14ac:dyDescent="0.3">
      <c r="A26" s="109" t="s">
        <v>211</v>
      </c>
      <c r="B26" s="111"/>
      <c r="C26" s="111"/>
      <c r="D26" s="111"/>
      <c r="E26" s="111"/>
      <c r="F26" s="111"/>
      <c r="G26" s="111"/>
      <c r="H26" s="111"/>
      <c r="I26" s="111"/>
      <c r="J26" s="111"/>
      <c r="K26" s="111"/>
      <c r="L26" s="111"/>
      <c r="M26" s="111"/>
      <c r="N26" s="111"/>
      <c r="O26" s="111"/>
      <c r="P26" s="111"/>
      <c r="Q26" s="111"/>
      <c r="R26" s="111"/>
      <c r="S26" s="111"/>
      <c r="T26" s="111"/>
      <c r="U26" s="111"/>
      <c r="V26" s="111"/>
      <c r="W26" s="111"/>
      <c r="X26" s="111"/>
      <c r="Y26" s="111"/>
    </row>
    <row r="27" spans="1:25" s="89" customFormat="1" ht="14.5" customHeight="1" thickBot="1" x14ac:dyDescent="0.3">
      <c r="A27" s="109" t="s">
        <v>200</v>
      </c>
      <c r="B27" s="109" t="s">
        <v>201</v>
      </c>
      <c r="C27" s="109" t="s">
        <v>202</v>
      </c>
      <c r="D27" s="109" t="s">
        <v>203</v>
      </c>
      <c r="E27" s="109"/>
      <c r="F27" s="109" t="s">
        <v>204</v>
      </c>
      <c r="G27" s="109" t="s">
        <v>205</v>
      </c>
      <c r="H27" s="109" t="s">
        <v>218</v>
      </c>
      <c r="I27" s="109">
        <v>10</v>
      </c>
      <c r="J27" s="109" t="s">
        <v>230</v>
      </c>
      <c r="K27" s="109">
        <v>26.3</v>
      </c>
      <c r="L27" s="109">
        <v>72</v>
      </c>
      <c r="M27" s="109"/>
      <c r="N27" s="109">
        <v>74</v>
      </c>
      <c r="O27" s="109">
        <v>72</v>
      </c>
      <c r="P27" s="109" t="s">
        <v>150</v>
      </c>
      <c r="Q27" s="109" t="s">
        <v>208</v>
      </c>
      <c r="R27" s="109">
        <v>2</v>
      </c>
      <c r="S27" s="109"/>
      <c r="T27" s="109" t="s">
        <v>220</v>
      </c>
      <c r="U27" s="109" t="s">
        <v>221</v>
      </c>
      <c r="V27" s="109"/>
      <c r="W27" s="109"/>
      <c r="X27" s="110">
        <v>46118.110347222224</v>
      </c>
      <c r="Y27" s="109" t="s">
        <v>210</v>
      </c>
    </row>
    <row r="28" spans="1:25" s="89" customFormat="1" ht="14.5" customHeight="1" thickBot="1" x14ac:dyDescent="0.3">
      <c r="A28" s="109" t="s">
        <v>211</v>
      </c>
      <c r="B28" s="111"/>
      <c r="C28" s="111"/>
      <c r="D28" s="111"/>
      <c r="E28" s="111"/>
      <c r="F28" s="111"/>
      <c r="G28" s="111"/>
      <c r="H28" s="111"/>
      <c r="I28" s="111"/>
      <c r="J28" s="111"/>
      <c r="K28" s="111"/>
      <c r="L28" s="111"/>
      <c r="M28" s="111"/>
      <c r="N28" s="111"/>
      <c r="O28" s="111"/>
      <c r="P28" s="111"/>
      <c r="Q28" s="111"/>
      <c r="R28" s="111"/>
      <c r="S28" s="111"/>
      <c r="T28" s="111"/>
      <c r="U28" s="111"/>
      <c r="V28" s="111"/>
      <c r="W28" s="111"/>
      <c r="X28" s="111"/>
      <c r="Y28" s="111"/>
    </row>
    <row r="29" spans="1:25" s="89" customFormat="1" ht="14.5" customHeight="1" thickBot="1" x14ac:dyDescent="0.3">
      <c r="A29" s="109" t="s">
        <v>200</v>
      </c>
      <c r="B29" s="109" t="s">
        <v>201</v>
      </c>
      <c r="C29" s="109" t="s">
        <v>202</v>
      </c>
      <c r="D29" s="109" t="s">
        <v>203</v>
      </c>
      <c r="E29" s="109"/>
      <c r="F29" s="109" t="s">
        <v>204</v>
      </c>
      <c r="G29" s="109" t="s">
        <v>205</v>
      </c>
      <c r="H29" s="109" t="s">
        <v>218</v>
      </c>
      <c r="I29" s="109">
        <v>10</v>
      </c>
      <c r="J29" s="109" t="s">
        <v>231</v>
      </c>
      <c r="K29" s="109">
        <v>28.2</v>
      </c>
      <c r="L29" s="109">
        <v>77</v>
      </c>
      <c r="M29" s="109"/>
      <c r="N29" s="109">
        <v>74</v>
      </c>
      <c r="O29" s="109">
        <v>72</v>
      </c>
      <c r="P29" s="109" t="s">
        <v>150</v>
      </c>
      <c r="Q29" s="109" t="s">
        <v>208</v>
      </c>
      <c r="R29" s="109">
        <v>2</v>
      </c>
      <c r="S29" s="109"/>
      <c r="T29" s="109" t="s">
        <v>220</v>
      </c>
      <c r="U29" s="109" t="s">
        <v>221</v>
      </c>
      <c r="V29" s="109"/>
      <c r="W29" s="109"/>
      <c r="X29" s="110">
        <v>46117.935231481482</v>
      </c>
      <c r="Y29" s="109" t="s">
        <v>210</v>
      </c>
    </row>
    <row r="30" spans="1:25" s="89" customFormat="1" ht="14.5" customHeight="1" thickBot="1" x14ac:dyDescent="0.3">
      <c r="A30" s="109" t="s">
        <v>211</v>
      </c>
      <c r="B30" s="111"/>
      <c r="C30" s="111"/>
      <c r="D30" s="111"/>
      <c r="E30" s="111"/>
      <c r="F30" s="111"/>
      <c r="G30" s="111"/>
      <c r="H30" s="111"/>
      <c r="I30" s="111"/>
      <c r="J30" s="111"/>
      <c r="K30" s="111"/>
      <c r="L30" s="111"/>
      <c r="M30" s="111"/>
      <c r="N30" s="111"/>
      <c r="O30" s="111"/>
      <c r="P30" s="111"/>
      <c r="Q30" s="111"/>
      <c r="R30" s="111"/>
      <c r="S30" s="111"/>
      <c r="T30" s="111"/>
      <c r="U30" s="111"/>
      <c r="V30" s="111"/>
      <c r="W30" s="111"/>
      <c r="X30" s="111"/>
      <c r="Y30" s="111"/>
    </row>
    <row r="31" spans="1:25" s="89" customFormat="1" ht="14.5" customHeight="1" thickBot="1" x14ac:dyDescent="0.3">
      <c r="A31" s="109" t="s">
        <v>200</v>
      </c>
      <c r="B31" s="109" t="s">
        <v>201</v>
      </c>
      <c r="C31" s="109" t="s">
        <v>202</v>
      </c>
      <c r="D31" s="109" t="s">
        <v>203</v>
      </c>
      <c r="E31" s="109"/>
      <c r="F31" s="109" t="s">
        <v>204</v>
      </c>
      <c r="G31" s="109" t="s">
        <v>205</v>
      </c>
      <c r="H31" s="109" t="s">
        <v>218</v>
      </c>
      <c r="I31" s="109">
        <v>10</v>
      </c>
      <c r="J31" s="109" t="s">
        <v>232</v>
      </c>
      <c r="K31" s="109">
        <v>26</v>
      </c>
      <c r="L31" s="109">
        <v>71</v>
      </c>
      <c r="M31" s="109"/>
      <c r="N31" s="109">
        <v>74</v>
      </c>
      <c r="O31" s="109">
        <v>72</v>
      </c>
      <c r="P31" s="109" t="s">
        <v>150</v>
      </c>
      <c r="Q31" s="109" t="s">
        <v>208</v>
      </c>
      <c r="R31" s="109">
        <v>2</v>
      </c>
      <c r="S31" s="109"/>
      <c r="T31" s="109" t="s">
        <v>220</v>
      </c>
      <c r="U31" s="109" t="s">
        <v>221</v>
      </c>
      <c r="V31" s="109"/>
      <c r="W31" s="109"/>
      <c r="X31" s="110">
        <v>46117.935231481482</v>
      </c>
      <c r="Y31" s="109" t="s">
        <v>210</v>
      </c>
    </row>
    <row r="32" spans="1:25" s="89" customFormat="1" ht="14.5" customHeight="1" thickBot="1" x14ac:dyDescent="0.3">
      <c r="A32" s="109" t="s">
        <v>211</v>
      </c>
      <c r="B32" s="111"/>
      <c r="C32" s="111"/>
      <c r="D32" s="111"/>
      <c r="E32" s="111"/>
      <c r="F32" s="111"/>
      <c r="G32" s="111"/>
      <c r="H32" s="111"/>
      <c r="I32" s="111"/>
      <c r="J32" s="111"/>
      <c r="K32" s="111"/>
      <c r="L32" s="111"/>
      <c r="M32" s="111"/>
      <c r="N32" s="111"/>
      <c r="O32" s="111"/>
      <c r="P32" s="111"/>
      <c r="Q32" s="111"/>
      <c r="R32" s="111"/>
      <c r="S32" s="111"/>
      <c r="T32" s="111"/>
      <c r="U32" s="111"/>
      <c r="V32" s="111"/>
      <c r="W32" s="111"/>
      <c r="X32" s="111"/>
      <c r="Y32" s="111"/>
    </row>
    <row r="33" spans="1:25" s="89" customFormat="1" ht="14.5" customHeight="1" thickBot="1" x14ac:dyDescent="0.3">
      <c r="A33" s="109" t="s">
        <v>200</v>
      </c>
      <c r="B33" s="109" t="s">
        <v>201</v>
      </c>
      <c r="C33" s="109" t="s">
        <v>202</v>
      </c>
      <c r="D33" s="109" t="s">
        <v>203</v>
      </c>
      <c r="E33" s="109"/>
      <c r="F33" s="109" t="s">
        <v>204</v>
      </c>
      <c r="G33" s="109" t="s">
        <v>205</v>
      </c>
      <c r="H33" s="109" t="s">
        <v>218</v>
      </c>
      <c r="I33" s="109">
        <v>10</v>
      </c>
      <c r="J33" s="109" t="s">
        <v>233</v>
      </c>
      <c r="K33" s="109">
        <v>29.1</v>
      </c>
      <c r="L33" s="109">
        <v>79.5</v>
      </c>
      <c r="M33" s="109"/>
      <c r="N33" s="109">
        <v>74</v>
      </c>
      <c r="O33" s="109">
        <v>72</v>
      </c>
      <c r="P33" s="109" t="s">
        <v>150</v>
      </c>
      <c r="Q33" s="109" t="s">
        <v>208</v>
      </c>
      <c r="R33" s="109">
        <v>2</v>
      </c>
      <c r="S33" s="109"/>
      <c r="T33" s="109" t="s">
        <v>220</v>
      </c>
      <c r="U33" s="109" t="s">
        <v>221</v>
      </c>
      <c r="V33" s="109"/>
      <c r="W33" s="109"/>
      <c r="X33" s="110">
        <v>46117.935231481482</v>
      </c>
      <c r="Y33" s="109" t="s">
        <v>210</v>
      </c>
    </row>
    <row r="34" spans="1:25" s="89" customFormat="1" ht="14.5" customHeight="1" thickBot="1" x14ac:dyDescent="0.3">
      <c r="A34" s="109" t="s">
        <v>211</v>
      </c>
      <c r="B34" s="111"/>
      <c r="C34" s="111"/>
      <c r="D34" s="111"/>
      <c r="E34" s="111"/>
      <c r="F34" s="111"/>
      <c r="G34" s="111"/>
      <c r="H34" s="111"/>
      <c r="I34" s="111"/>
      <c r="J34" s="111"/>
      <c r="K34" s="111"/>
      <c r="L34" s="111"/>
      <c r="M34" s="111"/>
      <c r="N34" s="111"/>
      <c r="O34" s="111"/>
      <c r="P34" s="111"/>
      <c r="Q34" s="111"/>
      <c r="R34" s="111"/>
      <c r="S34" s="111"/>
      <c r="T34" s="111"/>
      <c r="U34" s="111"/>
      <c r="V34" s="111"/>
      <c r="W34" s="111"/>
      <c r="X34" s="111"/>
      <c r="Y34" s="111"/>
    </row>
    <row r="35" spans="1:25" s="89" customFormat="1" ht="14.5" customHeight="1" thickBot="1" x14ac:dyDescent="0.3">
      <c r="A35" s="109" t="s">
        <v>200</v>
      </c>
      <c r="B35" s="109" t="s">
        <v>201</v>
      </c>
      <c r="C35" s="109" t="s">
        <v>202</v>
      </c>
      <c r="D35" s="109" t="s">
        <v>203</v>
      </c>
      <c r="E35" s="109"/>
      <c r="F35" s="109" t="s">
        <v>204</v>
      </c>
      <c r="G35" s="109" t="s">
        <v>205</v>
      </c>
      <c r="H35" s="109" t="s">
        <v>218</v>
      </c>
      <c r="I35" s="109">
        <v>10</v>
      </c>
      <c r="J35" s="109" t="s">
        <v>234</v>
      </c>
      <c r="K35" s="109">
        <v>28.5</v>
      </c>
      <c r="L35" s="109">
        <v>78</v>
      </c>
      <c r="M35" s="109"/>
      <c r="N35" s="109">
        <v>74</v>
      </c>
      <c r="O35" s="109">
        <v>72</v>
      </c>
      <c r="P35" s="109" t="s">
        <v>150</v>
      </c>
      <c r="Q35" s="109" t="s">
        <v>208</v>
      </c>
      <c r="R35" s="109">
        <v>2</v>
      </c>
      <c r="S35" s="109"/>
      <c r="T35" s="109" t="s">
        <v>220</v>
      </c>
      <c r="U35" s="109" t="s">
        <v>221</v>
      </c>
      <c r="V35" s="109"/>
      <c r="W35" s="109"/>
      <c r="X35" s="110">
        <v>46117.935416666667</v>
      </c>
      <c r="Y35" s="109" t="s">
        <v>210</v>
      </c>
    </row>
    <row r="36" spans="1:25" s="89" customFormat="1" ht="14.5" customHeight="1" thickBot="1" x14ac:dyDescent="0.3">
      <c r="A36" s="109" t="s">
        <v>211</v>
      </c>
      <c r="B36" s="111"/>
      <c r="C36" s="111"/>
      <c r="D36" s="111"/>
      <c r="E36" s="111"/>
      <c r="F36" s="111"/>
      <c r="G36" s="111"/>
      <c r="H36" s="111"/>
      <c r="I36" s="111"/>
      <c r="J36" s="111"/>
      <c r="K36" s="111"/>
      <c r="L36" s="111"/>
      <c r="M36" s="111"/>
      <c r="N36" s="111"/>
      <c r="O36" s="111"/>
      <c r="P36" s="111"/>
      <c r="Q36" s="111"/>
      <c r="R36" s="111"/>
      <c r="S36" s="111"/>
      <c r="T36" s="111"/>
      <c r="U36" s="111"/>
      <c r="V36" s="111"/>
      <c r="W36" s="111"/>
      <c r="X36" s="111"/>
      <c r="Y36" s="111"/>
    </row>
    <row r="37" spans="1:25" s="89" customFormat="1" ht="14.5" customHeight="1" thickBot="1" x14ac:dyDescent="0.3">
      <c r="A37" s="109" t="s">
        <v>200</v>
      </c>
      <c r="B37" s="109" t="s">
        <v>201</v>
      </c>
      <c r="C37" s="109" t="s">
        <v>202</v>
      </c>
      <c r="D37" s="109" t="s">
        <v>203</v>
      </c>
      <c r="E37" s="109"/>
      <c r="F37" s="109" t="s">
        <v>204</v>
      </c>
      <c r="G37" s="109" t="s">
        <v>205</v>
      </c>
      <c r="H37" s="109" t="s">
        <v>218</v>
      </c>
      <c r="I37" s="109">
        <v>10</v>
      </c>
      <c r="J37" s="109" t="s">
        <v>235</v>
      </c>
      <c r="K37" s="109">
        <v>28.1</v>
      </c>
      <c r="L37" s="109">
        <v>77</v>
      </c>
      <c r="M37" s="109"/>
      <c r="N37" s="109">
        <v>74</v>
      </c>
      <c r="O37" s="109">
        <v>72</v>
      </c>
      <c r="P37" s="109" t="s">
        <v>150</v>
      </c>
      <c r="Q37" s="109" t="s">
        <v>208</v>
      </c>
      <c r="R37" s="109">
        <v>2</v>
      </c>
      <c r="S37" s="109"/>
      <c r="T37" s="109" t="s">
        <v>220</v>
      </c>
      <c r="U37" s="109" t="s">
        <v>221</v>
      </c>
      <c r="V37" s="109"/>
      <c r="W37" s="109"/>
      <c r="X37" s="110">
        <v>46117.935231481482</v>
      </c>
      <c r="Y37" s="109" t="s">
        <v>210</v>
      </c>
    </row>
    <row r="38" spans="1:25" s="89" customFormat="1" ht="14.5" customHeight="1" thickBot="1" x14ac:dyDescent="0.3">
      <c r="A38" s="109" t="s">
        <v>211</v>
      </c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1"/>
      <c r="O38" s="111"/>
      <c r="P38" s="111"/>
      <c r="Q38" s="111"/>
      <c r="R38" s="111"/>
      <c r="S38" s="111"/>
      <c r="T38" s="111"/>
      <c r="U38" s="111"/>
      <c r="V38" s="111"/>
      <c r="W38" s="111"/>
      <c r="X38" s="111"/>
      <c r="Y38" s="111"/>
    </row>
    <row r="39" spans="1:25" s="89" customFormat="1" ht="14.5" customHeight="1" thickBot="1" x14ac:dyDescent="0.3">
      <c r="A39" s="109" t="s">
        <v>200</v>
      </c>
      <c r="B39" s="109" t="s">
        <v>201</v>
      </c>
      <c r="C39" s="109" t="s">
        <v>202</v>
      </c>
      <c r="D39" s="109" t="s">
        <v>203</v>
      </c>
      <c r="E39" s="109"/>
      <c r="F39" s="109" t="s">
        <v>204</v>
      </c>
      <c r="G39" s="109" t="s">
        <v>205</v>
      </c>
      <c r="H39" s="109" t="s">
        <v>218</v>
      </c>
      <c r="I39" s="109">
        <v>10</v>
      </c>
      <c r="J39" s="109" t="s">
        <v>236</v>
      </c>
      <c r="K39" s="109">
        <v>29</v>
      </c>
      <c r="L39" s="109">
        <v>79.5</v>
      </c>
      <c r="M39" s="109"/>
      <c r="N39" s="109">
        <v>74</v>
      </c>
      <c r="O39" s="109">
        <v>72</v>
      </c>
      <c r="P39" s="109" t="s">
        <v>150</v>
      </c>
      <c r="Q39" s="109" t="s">
        <v>208</v>
      </c>
      <c r="R39" s="109">
        <v>2</v>
      </c>
      <c r="S39" s="109"/>
      <c r="T39" s="109" t="s">
        <v>220</v>
      </c>
      <c r="U39" s="109" t="s">
        <v>221</v>
      </c>
      <c r="V39" s="109"/>
      <c r="W39" s="109"/>
      <c r="X39" s="110">
        <v>46117.935231481482</v>
      </c>
      <c r="Y39" s="109" t="s">
        <v>210</v>
      </c>
    </row>
    <row r="40" spans="1:25" s="89" customFormat="1" ht="14.5" customHeight="1" thickBot="1" x14ac:dyDescent="0.3">
      <c r="A40" s="109" t="s">
        <v>211</v>
      </c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111"/>
      <c r="T40" s="111"/>
      <c r="U40" s="111"/>
      <c r="V40" s="111"/>
      <c r="W40" s="111"/>
      <c r="X40" s="111"/>
      <c r="Y40" s="111"/>
    </row>
    <row r="41" spans="1:25" s="89" customFormat="1" ht="14.5" customHeight="1" thickBot="1" x14ac:dyDescent="0.3">
      <c r="A41" s="109" t="s">
        <v>200</v>
      </c>
      <c r="B41" s="109" t="s">
        <v>201</v>
      </c>
      <c r="C41" s="109" t="s">
        <v>202</v>
      </c>
      <c r="D41" s="109" t="s">
        <v>203</v>
      </c>
      <c r="E41" s="109"/>
      <c r="F41" s="109" t="s">
        <v>204</v>
      </c>
      <c r="G41" s="109" t="s">
        <v>205</v>
      </c>
      <c r="H41" s="109" t="s">
        <v>218</v>
      </c>
      <c r="I41" s="109">
        <v>10</v>
      </c>
      <c r="J41" s="109" t="s">
        <v>237</v>
      </c>
      <c r="K41" s="109">
        <v>29</v>
      </c>
      <c r="L41" s="109">
        <v>79.5</v>
      </c>
      <c r="M41" s="109"/>
      <c r="N41" s="109">
        <v>74</v>
      </c>
      <c r="O41" s="109">
        <v>72</v>
      </c>
      <c r="P41" s="109" t="s">
        <v>150</v>
      </c>
      <c r="Q41" s="109" t="s">
        <v>208</v>
      </c>
      <c r="R41" s="109">
        <v>2</v>
      </c>
      <c r="S41" s="109"/>
      <c r="T41" s="109" t="s">
        <v>220</v>
      </c>
      <c r="U41" s="109" t="s">
        <v>221</v>
      </c>
      <c r="V41" s="109"/>
      <c r="W41" s="109"/>
      <c r="X41" s="110">
        <v>46117.935231481482</v>
      </c>
      <c r="Y41" s="109" t="s">
        <v>210</v>
      </c>
    </row>
    <row r="42" spans="1:25" s="89" customFormat="1" ht="14.5" customHeight="1" thickBot="1" x14ac:dyDescent="0.3">
      <c r="A42" s="109" t="s">
        <v>211</v>
      </c>
      <c r="B42" s="111"/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/>
      <c r="P42" s="111"/>
      <c r="Q42" s="111"/>
      <c r="R42" s="111"/>
      <c r="S42" s="111"/>
      <c r="T42" s="111"/>
      <c r="U42" s="111"/>
      <c r="V42" s="111"/>
      <c r="W42" s="111"/>
      <c r="X42" s="111"/>
      <c r="Y42" s="111"/>
    </row>
    <row r="43" spans="1:25" s="89" customFormat="1" ht="14.5" customHeight="1" thickBot="1" x14ac:dyDescent="0.3">
      <c r="A43" s="109" t="s">
        <v>200</v>
      </c>
      <c r="B43" s="109" t="s">
        <v>201</v>
      </c>
      <c r="C43" s="109" t="s">
        <v>202</v>
      </c>
      <c r="D43" s="109" t="s">
        <v>203</v>
      </c>
      <c r="E43" s="109"/>
      <c r="F43" s="109" t="s">
        <v>204</v>
      </c>
      <c r="G43" s="109" t="s">
        <v>205</v>
      </c>
      <c r="H43" s="109" t="s">
        <v>218</v>
      </c>
      <c r="I43" s="109">
        <v>10</v>
      </c>
      <c r="J43" s="109" t="s">
        <v>238</v>
      </c>
      <c r="K43" s="109">
        <v>28.2</v>
      </c>
      <c r="L43" s="109">
        <v>77</v>
      </c>
      <c r="M43" s="109"/>
      <c r="N43" s="109">
        <v>74</v>
      </c>
      <c r="O43" s="109">
        <v>72</v>
      </c>
      <c r="P43" s="109" t="s">
        <v>150</v>
      </c>
      <c r="Q43" s="109" t="s">
        <v>208</v>
      </c>
      <c r="R43" s="109">
        <v>2</v>
      </c>
      <c r="S43" s="109"/>
      <c r="T43" s="109" t="s">
        <v>220</v>
      </c>
      <c r="U43" s="109" t="s">
        <v>221</v>
      </c>
      <c r="V43" s="109"/>
      <c r="W43" s="109"/>
      <c r="X43" s="110">
        <v>46117.935231481482</v>
      </c>
      <c r="Y43" s="109" t="s">
        <v>210</v>
      </c>
    </row>
    <row r="44" spans="1:25" s="89" customFormat="1" ht="14.5" customHeight="1" thickBot="1" x14ac:dyDescent="0.3">
      <c r="A44" s="109" t="s">
        <v>211</v>
      </c>
      <c r="B44" s="111"/>
      <c r="C44" s="111"/>
      <c r="D44" s="111"/>
      <c r="E44" s="111"/>
      <c r="F44" s="111"/>
      <c r="G44" s="111"/>
      <c r="H44" s="111"/>
      <c r="I44" s="111"/>
      <c r="J44" s="111"/>
      <c r="K44" s="111"/>
      <c r="L44" s="111"/>
      <c r="M44" s="111"/>
      <c r="N44" s="111"/>
      <c r="O44" s="111"/>
      <c r="P44" s="111"/>
      <c r="Q44" s="111"/>
      <c r="R44" s="111"/>
      <c r="S44" s="111"/>
      <c r="T44" s="111"/>
      <c r="U44" s="111"/>
      <c r="V44" s="111"/>
      <c r="W44" s="111"/>
      <c r="X44" s="111"/>
      <c r="Y44" s="111"/>
    </row>
    <row r="45" spans="1:25" s="89" customFormat="1" ht="14.5" customHeight="1" thickBot="1" x14ac:dyDescent="0.3">
      <c r="A45" s="109" t="s">
        <v>200</v>
      </c>
      <c r="B45" s="109" t="s">
        <v>201</v>
      </c>
      <c r="C45" s="109" t="s">
        <v>202</v>
      </c>
      <c r="D45" s="109" t="s">
        <v>203</v>
      </c>
      <c r="E45" s="109"/>
      <c r="F45" s="109" t="s">
        <v>204</v>
      </c>
      <c r="G45" s="109" t="s">
        <v>205</v>
      </c>
      <c r="H45" s="109" t="s">
        <v>218</v>
      </c>
      <c r="I45" s="109">
        <v>10</v>
      </c>
      <c r="J45" s="109" t="s">
        <v>239</v>
      </c>
      <c r="K45" s="109">
        <v>24.4</v>
      </c>
      <c r="L45" s="109">
        <v>67</v>
      </c>
      <c r="M45" s="109"/>
      <c r="N45" s="109">
        <v>74</v>
      </c>
      <c r="O45" s="109">
        <v>72</v>
      </c>
      <c r="P45" s="109" t="s">
        <v>150</v>
      </c>
      <c r="Q45" s="109" t="s">
        <v>208</v>
      </c>
      <c r="R45" s="109">
        <v>2</v>
      </c>
      <c r="S45" s="109"/>
      <c r="T45" s="109" t="s">
        <v>220</v>
      </c>
      <c r="U45" s="109" t="s">
        <v>221</v>
      </c>
      <c r="V45" s="109"/>
      <c r="W45" s="109"/>
      <c r="X45" s="110">
        <v>46117.935231481482</v>
      </c>
      <c r="Y45" s="109" t="s">
        <v>210</v>
      </c>
    </row>
    <row r="46" spans="1:25" s="89" customFormat="1" ht="14.5" customHeight="1" thickBot="1" x14ac:dyDescent="0.3">
      <c r="A46" s="109" t="s">
        <v>211</v>
      </c>
      <c r="B46" s="111"/>
      <c r="C46" s="111"/>
      <c r="D46" s="111"/>
      <c r="E46" s="111"/>
      <c r="F46" s="111"/>
      <c r="G46" s="111"/>
      <c r="H46" s="111"/>
      <c r="I46" s="111"/>
      <c r="J46" s="111"/>
      <c r="K46" s="111"/>
      <c r="L46" s="111"/>
      <c r="M46" s="111"/>
      <c r="N46" s="111"/>
      <c r="O46" s="111"/>
      <c r="P46" s="111"/>
      <c r="Q46" s="111"/>
      <c r="R46" s="111"/>
      <c r="S46" s="111"/>
      <c r="T46" s="111"/>
      <c r="U46" s="111"/>
      <c r="V46" s="111"/>
      <c r="W46" s="111"/>
      <c r="X46" s="111"/>
      <c r="Y46" s="111"/>
    </row>
    <row r="47" spans="1:25" s="89" customFormat="1" ht="14.5" customHeight="1" thickBot="1" x14ac:dyDescent="0.3">
      <c r="A47" s="109" t="s">
        <v>200</v>
      </c>
      <c r="B47" s="109" t="s">
        <v>201</v>
      </c>
      <c r="C47" s="109" t="s">
        <v>202</v>
      </c>
      <c r="D47" s="109" t="s">
        <v>203</v>
      </c>
      <c r="E47" s="109"/>
      <c r="F47" s="109" t="s">
        <v>204</v>
      </c>
      <c r="G47" s="109" t="s">
        <v>205</v>
      </c>
      <c r="H47" s="109" t="s">
        <v>218</v>
      </c>
      <c r="I47" s="109">
        <v>10</v>
      </c>
      <c r="J47" s="109" t="s">
        <v>240</v>
      </c>
      <c r="K47" s="109">
        <v>28.2</v>
      </c>
      <c r="L47" s="109">
        <v>77</v>
      </c>
      <c r="M47" s="109"/>
      <c r="N47" s="109">
        <v>74</v>
      </c>
      <c r="O47" s="109">
        <v>72</v>
      </c>
      <c r="P47" s="109" t="s">
        <v>150</v>
      </c>
      <c r="Q47" s="109" t="s">
        <v>208</v>
      </c>
      <c r="R47" s="109">
        <v>2</v>
      </c>
      <c r="S47" s="109"/>
      <c r="T47" s="109" t="s">
        <v>220</v>
      </c>
      <c r="U47" s="109" t="s">
        <v>221</v>
      </c>
      <c r="V47" s="109"/>
      <c r="W47" s="109"/>
      <c r="X47" s="110">
        <v>46117.935231481482</v>
      </c>
      <c r="Y47" s="109" t="s">
        <v>210</v>
      </c>
    </row>
    <row r="48" spans="1:25" s="89" customFormat="1" ht="14.5" customHeight="1" thickBot="1" x14ac:dyDescent="0.3">
      <c r="A48" s="109" t="s">
        <v>211</v>
      </c>
      <c r="B48" s="111"/>
      <c r="C48" s="111"/>
      <c r="D48" s="111"/>
      <c r="E48" s="111"/>
      <c r="F48" s="111"/>
      <c r="G48" s="111"/>
      <c r="H48" s="111"/>
      <c r="I48" s="111"/>
      <c r="J48" s="111"/>
      <c r="K48" s="111"/>
      <c r="L48" s="111"/>
      <c r="M48" s="111"/>
      <c r="N48" s="111"/>
      <c r="O48" s="111"/>
      <c r="P48" s="111"/>
      <c r="Q48" s="111"/>
      <c r="R48" s="111"/>
      <c r="S48" s="111"/>
      <c r="T48" s="111"/>
      <c r="U48" s="111"/>
      <c r="V48" s="111"/>
      <c r="W48" s="111"/>
      <c r="X48" s="111"/>
      <c r="Y48" s="111"/>
    </row>
    <row r="49" spans="1:25" s="89" customFormat="1" ht="14.5" customHeight="1" thickBot="1" x14ac:dyDescent="0.3">
      <c r="A49" s="109" t="s">
        <v>200</v>
      </c>
      <c r="B49" s="109" t="s">
        <v>201</v>
      </c>
      <c r="C49" s="109" t="s">
        <v>202</v>
      </c>
      <c r="D49" s="109" t="s">
        <v>203</v>
      </c>
      <c r="E49" s="109"/>
      <c r="F49" s="109" t="s">
        <v>204</v>
      </c>
      <c r="G49" s="109" t="s">
        <v>205</v>
      </c>
      <c r="H49" s="109" t="s">
        <v>218</v>
      </c>
      <c r="I49" s="109">
        <v>10</v>
      </c>
      <c r="J49" s="109" t="s">
        <v>241</v>
      </c>
      <c r="K49" s="109">
        <v>35.1</v>
      </c>
      <c r="L49" s="109">
        <v>96</v>
      </c>
      <c r="M49" s="109"/>
      <c r="N49" s="109">
        <v>74</v>
      </c>
      <c r="O49" s="109">
        <v>72</v>
      </c>
      <c r="P49" s="109" t="s">
        <v>150</v>
      </c>
      <c r="Q49" s="109" t="s">
        <v>208</v>
      </c>
      <c r="R49" s="109">
        <v>2</v>
      </c>
      <c r="S49" s="109"/>
      <c r="T49" s="109" t="s">
        <v>220</v>
      </c>
      <c r="U49" s="109" t="s">
        <v>221</v>
      </c>
      <c r="V49" s="109"/>
      <c r="W49" s="109"/>
      <c r="X49" s="110">
        <v>46117.935231481482</v>
      </c>
      <c r="Y49" s="109" t="s">
        <v>210</v>
      </c>
    </row>
    <row r="50" spans="1:25" s="89" customFormat="1" ht="14.5" customHeight="1" thickBot="1" x14ac:dyDescent="0.3">
      <c r="A50" s="109" t="s">
        <v>211</v>
      </c>
      <c r="B50" s="111"/>
      <c r="C50" s="111"/>
      <c r="D50" s="111"/>
      <c r="E50" s="111"/>
      <c r="F50" s="111"/>
      <c r="G50" s="111"/>
      <c r="H50" s="111"/>
      <c r="I50" s="111"/>
      <c r="J50" s="111"/>
      <c r="K50" s="111"/>
      <c r="L50" s="111"/>
      <c r="M50" s="111"/>
      <c r="N50" s="111"/>
      <c r="O50" s="111"/>
      <c r="P50" s="111"/>
      <c r="Q50" s="111"/>
      <c r="R50" s="111"/>
      <c r="S50" s="111"/>
      <c r="T50" s="111"/>
      <c r="U50" s="111"/>
      <c r="V50" s="111"/>
      <c r="W50" s="111"/>
      <c r="X50" s="111"/>
      <c r="Y50" s="111"/>
    </row>
    <row r="51" spans="1:25" s="89" customFormat="1" ht="14.5" customHeight="1" thickBot="1" x14ac:dyDescent="0.3">
      <c r="A51" s="109" t="s">
        <v>200</v>
      </c>
      <c r="B51" s="109" t="s">
        <v>201</v>
      </c>
      <c r="C51" s="109" t="s">
        <v>202</v>
      </c>
      <c r="D51" s="109" t="s">
        <v>203</v>
      </c>
      <c r="E51" s="109"/>
      <c r="F51" s="109" t="s">
        <v>204</v>
      </c>
      <c r="G51" s="109" t="s">
        <v>205</v>
      </c>
      <c r="H51" s="109" t="s">
        <v>218</v>
      </c>
      <c r="I51" s="109">
        <v>10</v>
      </c>
      <c r="J51" s="109" t="s">
        <v>242</v>
      </c>
      <c r="K51" s="109">
        <v>34.299999999999997</v>
      </c>
      <c r="L51" s="109">
        <v>94</v>
      </c>
      <c r="M51" s="109"/>
      <c r="N51" s="109">
        <v>74</v>
      </c>
      <c r="O51" s="109">
        <v>72</v>
      </c>
      <c r="P51" s="109" t="s">
        <v>150</v>
      </c>
      <c r="Q51" s="109" t="s">
        <v>208</v>
      </c>
      <c r="R51" s="109">
        <v>2</v>
      </c>
      <c r="S51" s="109"/>
      <c r="T51" s="109" t="s">
        <v>220</v>
      </c>
      <c r="U51" s="109" t="s">
        <v>221</v>
      </c>
      <c r="V51" s="109"/>
      <c r="W51" s="109"/>
      <c r="X51" s="110">
        <v>46117.935416666667</v>
      </c>
      <c r="Y51" s="109" t="s">
        <v>210</v>
      </c>
    </row>
    <row r="52" spans="1:25" s="89" customFormat="1" ht="14.5" customHeight="1" thickBot="1" x14ac:dyDescent="0.3">
      <c r="A52" s="109" t="s">
        <v>211</v>
      </c>
      <c r="B52" s="111"/>
      <c r="C52" s="111"/>
      <c r="D52" s="111"/>
      <c r="E52" s="111"/>
      <c r="F52" s="111"/>
      <c r="G52" s="111"/>
      <c r="H52" s="111"/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1"/>
      <c r="U52" s="111"/>
      <c r="V52" s="111"/>
      <c r="W52" s="111"/>
      <c r="X52" s="111"/>
      <c r="Y52" s="111"/>
    </row>
    <row r="53" spans="1:25" s="89" customFormat="1" ht="14.5" customHeight="1" thickBot="1" x14ac:dyDescent="0.3">
      <c r="A53" s="109" t="s">
        <v>200</v>
      </c>
      <c r="B53" s="109" t="s">
        <v>201</v>
      </c>
      <c r="C53" s="109" t="s">
        <v>202</v>
      </c>
      <c r="D53" s="109" t="s">
        <v>203</v>
      </c>
      <c r="E53" s="109"/>
      <c r="F53" s="109" t="s">
        <v>204</v>
      </c>
      <c r="G53" s="109" t="s">
        <v>205</v>
      </c>
      <c r="H53" s="109" t="s">
        <v>218</v>
      </c>
      <c r="I53" s="109">
        <v>10</v>
      </c>
      <c r="J53" s="109" t="s">
        <v>243</v>
      </c>
      <c r="K53" s="109">
        <v>28.2</v>
      </c>
      <c r="L53" s="109">
        <v>77</v>
      </c>
      <c r="M53" s="109"/>
      <c r="N53" s="109">
        <v>74</v>
      </c>
      <c r="O53" s="109">
        <v>72</v>
      </c>
      <c r="P53" s="109" t="s">
        <v>150</v>
      </c>
      <c r="Q53" s="109" t="s">
        <v>208</v>
      </c>
      <c r="R53" s="109">
        <v>2</v>
      </c>
      <c r="S53" s="109"/>
      <c r="T53" s="109" t="s">
        <v>220</v>
      </c>
      <c r="U53" s="109" t="s">
        <v>221</v>
      </c>
      <c r="V53" s="109"/>
      <c r="W53" s="109"/>
      <c r="X53" s="110">
        <v>46117.935416666667</v>
      </c>
      <c r="Y53" s="109" t="s">
        <v>210</v>
      </c>
    </row>
    <row r="54" spans="1:25" s="89" customFormat="1" ht="14.5" customHeight="1" thickBot="1" x14ac:dyDescent="0.3">
      <c r="A54" s="109" t="s">
        <v>211</v>
      </c>
      <c r="B54" s="111"/>
      <c r="C54" s="111"/>
      <c r="D54" s="111"/>
      <c r="E54" s="111"/>
      <c r="F54" s="111"/>
      <c r="G54" s="111"/>
      <c r="H54" s="111"/>
      <c r="I54" s="111"/>
      <c r="J54" s="111"/>
      <c r="K54" s="111"/>
      <c r="L54" s="111"/>
      <c r="M54" s="111"/>
      <c r="N54" s="111"/>
      <c r="O54" s="111"/>
      <c r="P54" s="111"/>
      <c r="Q54" s="111"/>
      <c r="R54" s="111"/>
      <c r="S54" s="111"/>
      <c r="T54" s="111"/>
      <c r="U54" s="111"/>
      <c r="V54" s="111"/>
      <c r="W54" s="111"/>
      <c r="X54" s="111"/>
      <c r="Y54" s="111"/>
    </row>
    <row r="55" spans="1:25" s="89" customFormat="1" ht="14.5" customHeight="1" thickBot="1" x14ac:dyDescent="0.3">
      <c r="A55" s="109" t="s">
        <v>200</v>
      </c>
      <c r="B55" s="109" t="s">
        <v>201</v>
      </c>
      <c r="C55" s="109" t="s">
        <v>202</v>
      </c>
      <c r="D55" s="109" t="s">
        <v>203</v>
      </c>
      <c r="E55" s="109"/>
      <c r="F55" s="109" t="s">
        <v>204</v>
      </c>
      <c r="G55" s="109" t="s">
        <v>205</v>
      </c>
      <c r="H55" s="109" t="s">
        <v>218</v>
      </c>
      <c r="I55" s="109">
        <v>10</v>
      </c>
      <c r="J55" s="109" t="s">
        <v>244</v>
      </c>
      <c r="K55" s="109">
        <v>27.8</v>
      </c>
      <c r="L55" s="109">
        <v>76</v>
      </c>
      <c r="M55" s="109"/>
      <c r="N55" s="109">
        <v>74</v>
      </c>
      <c r="O55" s="109">
        <v>72</v>
      </c>
      <c r="P55" s="109" t="s">
        <v>150</v>
      </c>
      <c r="Q55" s="109" t="s">
        <v>208</v>
      </c>
      <c r="R55" s="109">
        <v>2</v>
      </c>
      <c r="S55" s="109"/>
      <c r="T55" s="109" t="s">
        <v>220</v>
      </c>
      <c r="U55" s="109" t="s">
        <v>221</v>
      </c>
      <c r="V55" s="109"/>
      <c r="W55" s="109"/>
      <c r="X55" s="110">
        <v>46117.95140046296</v>
      </c>
      <c r="Y55" s="109" t="s">
        <v>210</v>
      </c>
    </row>
    <row r="56" spans="1:25" s="89" customFormat="1" ht="14.5" customHeight="1" thickBot="1" x14ac:dyDescent="0.3">
      <c r="A56" s="109" t="s">
        <v>211</v>
      </c>
      <c r="B56" s="111"/>
      <c r="C56" s="111"/>
      <c r="D56" s="111"/>
      <c r="E56" s="111"/>
      <c r="F56" s="111"/>
      <c r="G56" s="111"/>
      <c r="H56" s="111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1"/>
      <c r="U56" s="111"/>
      <c r="V56" s="111"/>
      <c r="W56" s="111"/>
      <c r="X56" s="111"/>
      <c r="Y56" s="111"/>
    </row>
    <row r="57" spans="1:25" s="89" customFormat="1" ht="14.5" customHeight="1" thickBot="1" x14ac:dyDescent="0.3">
      <c r="A57" s="109" t="s">
        <v>200</v>
      </c>
      <c r="B57" s="109" t="s">
        <v>201</v>
      </c>
      <c r="C57" s="109" t="s">
        <v>202</v>
      </c>
      <c r="D57" s="109" t="s">
        <v>203</v>
      </c>
      <c r="E57" s="109"/>
      <c r="F57" s="109" t="s">
        <v>245</v>
      </c>
      <c r="G57" s="109" t="s">
        <v>205</v>
      </c>
      <c r="H57" s="109" t="s">
        <v>246</v>
      </c>
      <c r="I57" s="109">
        <v>10</v>
      </c>
      <c r="J57" s="109" t="s">
        <v>247</v>
      </c>
      <c r="K57" s="109">
        <v>28.6</v>
      </c>
      <c r="L57" s="109">
        <v>85.5</v>
      </c>
      <c r="M57" s="109"/>
      <c r="N57" s="109">
        <v>67</v>
      </c>
      <c r="O57" s="109">
        <v>66</v>
      </c>
      <c r="P57" s="109" t="s">
        <v>150</v>
      </c>
      <c r="Q57" s="109" t="s">
        <v>208</v>
      </c>
      <c r="R57" s="109">
        <v>1</v>
      </c>
      <c r="S57" s="109"/>
      <c r="T57" s="109" t="s">
        <v>220</v>
      </c>
      <c r="U57" s="109" t="s">
        <v>248</v>
      </c>
      <c r="V57" s="109"/>
      <c r="W57" s="109"/>
      <c r="X57" s="110">
        <v>46107.373298611114</v>
      </c>
      <c r="Y57" s="109" t="s">
        <v>249</v>
      </c>
    </row>
    <row r="58" spans="1:25" s="89" customFormat="1" ht="14.5" customHeight="1" thickBot="1" x14ac:dyDescent="0.3">
      <c r="A58" s="109" t="s">
        <v>211</v>
      </c>
      <c r="B58" s="111"/>
      <c r="C58" s="111"/>
      <c r="D58" s="111"/>
      <c r="E58" s="111"/>
      <c r="F58" s="111"/>
      <c r="G58" s="111"/>
      <c r="H58" s="111"/>
      <c r="I58" s="111"/>
      <c r="J58" s="111"/>
      <c r="K58" s="111"/>
      <c r="L58" s="111"/>
      <c r="M58" s="111"/>
      <c r="N58" s="111"/>
      <c r="O58" s="111"/>
      <c r="P58" s="111"/>
      <c r="Q58" s="111"/>
      <c r="R58" s="111"/>
      <c r="S58" s="111"/>
      <c r="T58" s="111"/>
      <c r="U58" s="111"/>
      <c r="V58" s="111"/>
      <c r="W58" s="111"/>
      <c r="X58" s="111"/>
      <c r="Y58" s="111"/>
    </row>
    <row r="59" spans="1:25" s="89" customFormat="1" ht="14.5" customHeight="1" thickBot="1" x14ac:dyDescent="0.3">
      <c r="A59" s="109" t="s">
        <v>200</v>
      </c>
      <c r="B59" s="109" t="s">
        <v>201</v>
      </c>
      <c r="C59" s="109" t="s">
        <v>202</v>
      </c>
      <c r="D59" s="109" t="s">
        <v>203</v>
      </c>
      <c r="E59" s="109"/>
      <c r="F59" s="109" t="s">
        <v>245</v>
      </c>
      <c r="G59" s="109" t="s">
        <v>205</v>
      </c>
      <c r="H59" s="109" t="s">
        <v>246</v>
      </c>
      <c r="I59" s="109">
        <v>10</v>
      </c>
      <c r="J59" s="109" t="s">
        <v>250</v>
      </c>
      <c r="K59" s="109">
        <v>21.74</v>
      </c>
      <c r="L59" s="109">
        <v>65</v>
      </c>
      <c r="M59" s="109"/>
      <c r="N59" s="109">
        <v>67</v>
      </c>
      <c r="O59" s="109">
        <v>66</v>
      </c>
      <c r="P59" s="109" t="s">
        <v>150</v>
      </c>
      <c r="Q59" s="109" t="s">
        <v>208</v>
      </c>
      <c r="R59" s="109">
        <v>1</v>
      </c>
      <c r="S59" s="109"/>
      <c r="T59" s="109" t="s">
        <v>220</v>
      </c>
      <c r="U59" s="109" t="s">
        <v>248</v>
      </c>
      <c r="V59" s="109"/>
      <c r="W59" s="109"/>
      <c r="X59" s="110">
        <v>46107.373298611114</v>
      </c>
      <c r="Y59" s="109" t="s">
        <v>249</v>
      </c>
    </row>
    <row r="60" spans="1:25" s="89" customFormat="1" ht="14.5" customHeight="1" thickBot="1" x14ac:dyDescent="0.3">
      <c r="A60" s="109" t="s">
        <v>211</v>
      </c>
      <c r="B60" s="111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11"/>
      <c r="N60" s="111"/>
      <c r="O60" s="111"/>
      <c r="P60" s="111"/>
      <c r="Q60" s="111"/>
      <c r="R60" s="111"/>
      <c r="S60" s="111"/>
      <c r="T60" s="111"/>
      <c r="U60" s="111"/>
      <c r="V60" s="111"/>
      <c r="W60" s="111"/>
      <c r="X60" s="111"/>
      <c r="Y60" s="111"/>
    </row>
    <row r="61" spans="1:25" s="89" customFormat="1" ht="14.5" customHeight="1" thickBot="1" x14ac:dyDescent="0.3">
      <c r="A61" s="109" t="s">
        <v>200</v>
      </c>
      <c r="B61" s="109" t="s">
        <v>201</v>
      </c>
      <c r="C61" s="109" t="s">
        <v>202</v>
      </c>
      <c r="D61" s="109" t="s">
        <v>203</v>
      </c>
      <c r="E61" s="109"/>
      <c r="F61" s="109" t="s">
        <v>251</v>
      </c>
      <c r="G61" s="109" t="s">
        <v>205</v>
      </c>
      <c r="H61" s="109" t="s">
        <v>252</v>
      </c>
      <c r="I61" s="109">
        <v>30</v>
      </c>
      <c r="J61" s="109" t="s">
        <v>253</v>
      </c>
      <c r="K61" s="109">
        <v>13.8</v>
      </c>
      <c r="L61" s="109">
        <v>41</v>
      </c>
      <c r="M61" s="109"/>
      <c r="N61" s="109">
        <v>67</v>
      </c>
      <c r="O61" s="109">
        <v>66</v>
      </c>
      <c r="P61" s="109" t="s">
        <v>150</v>
      </c>
      <c r="Q61" s="109" t="s">
        <v>208</v>
      </c>
      <c r="R61" s="109">
        <v>1</v>
      </c>
      <c r="S61" s="109"/>
      <c r="T61" s="109" t="s">
        <v>220</v>
      </c>
      <c r="U61" s="109" t="s">
        <v>227</v>
      </c>
      <c r="V61" s="109"/>
      <c r="W61" s="109"/>
      <c r="X61" s="110">
        <v>46107.690636574072</v>
      </c>
      <c r="Y61" s="109" t="s">
        <v>254</v>
      </c>
    </row>
    <row r="62" spans="1:25" s="89" customFormat="1" ht="14.5" customHeight="1" thickBot="1" x14ac:dyDescent="0.3">
      <c r="A62" s="109" t="s">
        <v>211</v>
      </c>
      <c r="B62" s="111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1"/>
      <c r="O62" s="111"/>
      <c r="P62" s="111"/>
      <c r="Q62" s="111"/>
      <c r="R62" s="111"/>
      <c r="S62" s="111"/>
      <c r="T62" s="111"/>
      <c r="U62" s="111"/>
      <c r="V62" s="111"/>
      <c r="W62" s="111"/>
      <c r="X62" s="111"/>
      <c r="Y62" s="111"/>
    </row>
    <row r="63" spans="1:25" s="89" customFormat="1" ht="14.5" customHeight="1" thickBot="1" x14ac:dyDescent="0.3">
      <c r="A63" s="109" t="s">
        <v>200</v>
      </c>
      <c r="B63" s="109" t="s">
        <v>201</v>
      </c>
      <c r="C63" s="109" t="s">
        <v>202</v>
      </c>
      <c r="D63" s="109" t="s">
        <v>203</v>
      </c>
      <c r="E63" s="109"/>
      <c r="F63" s="109" t="s">
        <v>251</v>
      </c>
      <c r="G63" s="109" t="s">
        <v>205</v>
      </c>
      <c r="H63" s="109" t="s">
        <v>252</v>
      </c>
      <c r="I63" s="109">
        <v>30</v>
      </c>
      <c r="J63" s="109" t="s">
        <v>255</v>
      </c>
      <c r="K63" s="109">
        <v>30.1</v>
      </c>
      <c r="L63" s="109">
        <v>90</v>
      </c>
      <c r="M63" s="109"/>
      <c r="N63" s="109">
        <v>67</v>
      </c>
      <c r="O63" s="109">
        <v>66</v>
      </c>
      <c r="P63" s="109" t="s">
        <v>150</v>
      </c>
      <c r="Q63" s="109" t="s">
        <v>208</v>
      </c>
      <c r="R63" s="109">
        <v>1</v>
      </c>
      <c r="S63" s="109"/>
      <c r="T63" s="109" t="s">
        <v>220</v>
      </c>
      <c r="U63" s="109" t="s">
        <v>227</v>
      </c>
      <c r="V63" s="109"/>
      <c r="W63" s="109"/>
      <c r="X63" s="110">
        <v>46107.690636574072</v>
      </c>
      <c r="Y63" s="109" t="s">
        <v>254</v>
      </c>
    </row>
    <row r="64" spans="1:25" s="89" customFormat="1" ht="14.5" customHeight="1" thickBot="1" x14ac:dyDescent="0.3">
      <c r="A64" s="109" t="s">
        <v>211</v>
      </c>
      <c r="B64" s="111"/>
      <c r="C64" s="111"/>
      <c r="D64" s="111"/>
      <c r="E64" s="111"/>
      <c r="F64" s="111"/>
      <c r="G64" s="111"/>
      <c r="H64" s="111"/>
      <c r="I64" s="111"/>
      <c r="J64" s="111"/>
      <c r="K64" s="111"/>
      <c r="L64" s="111"/>
      <c r="M64" s="111"/>
      <c r="N64" s="111"/>
      <c r="O64" s="111"/>
      <c r="P64" s="111"/>
      <c r="Q64" s="111"/>
      <c r="R64" s="111"/>
      <c r="S64" s="111"/>
      <c r="T64" s="111"/>
      <c r="U64" s="111"/>
      <c r="V64" s="111"/>
      <c r="W64" s="111"/>
      <c r="X64" s="111"/>
      <c r="Y64" s="111"/>
    </row>
    <row r="65" spans="1:25" s="89" customFormat="1" ht="14.5" customHeight="1" thickBot="1" x14ac:dyDescent="0.3">
      <c r="A65" s="109" t="s">
        <v>200</v>
      </c>
      <c r="B65" s="109" t="s">
        <v>201</v>
      </c>
      <c r="C65" s="109" t="s">
        <v>202</v>
      </c>
      <c r="D65" s="109" t="s">
        <v>203</v>
      </c>
      <c r="E65" s="109"/>
      <c r="F65" s="109" t="s">
        <v>251</v>
      </c>
      <c r="G65" s="109" t="s">
        <v>205</v>
      </c>
      <c r="H65" s="109" t="s">
        <v>252</v>
      </c>
      <c r="I65" s="109">
        <v>30</v>
      </c>
      <c r="J65" s="109" t="s">
        <v>256</v>
      </c>
      <c r="K65" s="109">
        <v>30.6</v>
      </c>
      <c r="L65" s="109">
        <v>91.5</v>
      </c>
      <c r="M65" s="109"/>
      <c r="N65" s="109">
        <v>67</v>
      </c>
      <c r="O65" s="109">
        <v>65</v>
      </c>
      <c r="P65" s="109" t="s">
        <v>150</v>
      </c>
      <c r="Q65" s="109" t="s">
        <v>208</v>
      </c>
      <c r="R65" s="109">
        <v>2</v>
      </c>
      <c r="S65" s="109"/>
      <c r="T65" s="109" t="s">
        <v>220</v>
      </c>
      <c r="U65" s="109" t="s">
        <v>257</v>
      </c>
      <c r="V65" s="109"/>
      <c r="W65" s="109"/>
      <c r="X65" s="110">
        <v>46107.690636574072</v>
      </c>
      <c r="Y65" s="109" t="s">
        <v>254</v>
      </c>
    </row>
    <row r="66" spans="1:25" s="89" customFormat="1" ht="14.5" customHeight="1" thickBot="1" x14ac:dyDescent="0.3">
      <c r="A66" s="109" t="s">
        <v>211</v>
      </c>
      <c r="B66" s="111"/>
      <c r="C66" s="111"/>
      <c r="D66" s="111"/>
      <c r="E66" s="111"/>
      <c r="F66" s="111"/>
      <c r="G66" s="111"/>
      <c r="H66" s="111"/>
      <c r="I66" s="111"/>
      <c r="J66" s="111"/>
      <c r="K66" s="111"/>
      <c r="L66" s="111"/>
      <c r="M66" s="111"/>
      <c r="N66" s="111"/>
      <c r="O66" s="111"/>
      <c r="P66" s="111"/>
      <c r="Q66" s="111"/>
      <c r="R66" s="111"/>
      <c r="S66" s="111"/>
      <c r="T66" s="111"/>
      <c r="U66" s="111"/>
      <c r="V66" s="111"/>
      <c r="W66" s="111"/>
      <c r="X66" s="111"/>
      <c r="Y66" s="111"/>
    </row>
    <row r="67" spans="1:25" s="89" customFormat="1" ht="14.5" customHeight="1" thickBot="1" x14ac:dyDescent="0.3">
      <c r="A67" s="109" t="s">
        <v>200</v>
      </c>
      <c r="B67" s="109" t="s">
        <v>201</v>
      </c>
      <c r="C67" s="109" t="s">
        <v>202</v>
      </c>
      <c r="D67" s="109" t="s">
        <v>203</v>
      </c>
      <c r="E67" s="109"/>
      <c r="F67" s="109" t="s">
        <v>251</v>
      </c>
      <c r="G67" s="109" t="s">
        <v>205</v>
      </c>
      <c r="H67" s="109" t="s">
        <v>252</v>
      </c>
      <c r="I67" s="109">
        <v>30</v>
      </c>
      <c r="J67" s="109" t="s">
        <v>258</v>
      </c>
      <c r="K67" s="109">
        <v>29.9</v>
      </c>
      <c r="L67" s="109">
        <v>89.5</v>
      </c>
      <c r="M67" s="109"/>
      <c r="N67" s="109">
        <v>67</v>
      </c>
      <c r="O67" s="109">
        <v>66</v>
      </c>
      <c r="P67" s="109" t="s">
        <v>150</v>
      </c>
      <c r="Q67" s="109" t="s">
        <v>208</v>
      </c>
      <c r="R67" s="109">
        <v>1</v>
      </c>
      <c r="S67" s="109"/>
      <c r="T67" s="109" t="s">
        <v>220</v>
      </c>
      <c r="U67" s="109" t="s">
        <v>227</v>
      </c>
      <c r="V67" s="109"/>
      <c r="W67" s="109"/>
      <c r="X67" s="110">
        <v>46107.690636574072</v>
      </c>
      <c r="Y67" s="109" t="s">
        <v>254</v>
      </c>
    </row>
    <row r="68" spans="1:25" s="89" customFormat="1" ht="14.5" customHeight="1" thickBot="1" x14ac:dyDescent="0.3">
      <c r="A68" s="109" t="s">
        <v>211</v>
      </c>
      <c r="B68" s="111"/>
      <c r="C68" s="111"/>
      <c r="D68" s="111"/>
      <c r="E68" s="111"/>
      <c r="F68" s="111"/>
      <c r="G68" s="111"/>
      <c r="H68" s="111"/>
      <c r="I68" s="111"/>
      <c r="J68" s="111"/>
      <c r="K68" s="111"/>
      <c r="L68" s="111"/>
      <c r="M68" s="111"/>
      <c r="N68" s="111"/>
      <c r="O68" s="111"/>
      <c r="P68" s="111"/>
      <c r="Q68" s="111"/>
      <c r="R68" s="111"/>
      <c r="S68" s="111"/>
      <c r="T68" s="111"/>
      <c r="U68" s="111"/>
      <c r="V68" s="111"/>
      <c r="W68" s="111"/>
      <c r="X68" s="111"/>
      <c r="Y68" s="111"/>
    </row>
    <row r="69" spans="1:25" s="89" customFormat="1" ht="14.5" customHeight="1" thickBot="1" x14ac:dyDescent="0.3">
      <c r="A69" s="109" t="s">
        <v>200</v>
      </c>
      <c r="B69" s="109" t="s">
        <v>201</v>
      </c>
      <c r="C69" s="109" t="s">
        <v>202</v>
      </c>
      <c r="D69" s="109" t="s">
        <v>203</v>
      </c>
      <c r="E69" s="109"/>
      <c r="F69" s="109" t="s">
        <v>251</v>
      </c>
      <c r="G69" s="109" t="s">
        <v>205</v>
      </c>
      <c r="H69" s="109" t="s">
        <v>252</v>
      </c>
      <c r="I69" s="109">
        <v>30</v>
      </c>
      <c r="J69" s="109" t="s">
        <v>259</v>
      </c>
      <c r="K69" s="109">
        <v>29.8</v>
      </c>
      <c r="L69" s="109">
        <v>89.5</v>
      </c>
      <c r="M69" s="109"/>
      <c r="N69" s="109">
        <v>67</v>
      </c>
      <c r="O69" s="109">
        <v>66</v>
      </c>
      <c r="P69" s="109" t="s">
        <v>150</v>
      </c>
      <c r="Q69" s="109" t="s">
        <v>208</v>
      </c>
      <c r="R69" s="109">
        <v>1</v>
      </c>
      <c r="S69" s="109"/>
      <c r="T69" s="109" t="s">
        <v>220</v>
      </c>
      <c r="U69" s="109" t="s">
        <v>227</v>
      </c>
      <c r="V69" s="109"/>
      <c r="W69" s="109"/>
      <c r="X69" s="110">
        <v>46107.690636574072</v>
      </c>
      <c r="Y69" s="109" t="s">
        <v>254</v>
      </c>
    </row>
    <row r="70" spans="1:25" s="89" customFormat="1" ht="14.5" customHeight="1" thickBot="1" x14ac:dyDescent="0.3">
      <c r="A70" s="109" t="s">
        <v>211</v>
      </c>
      <c r="B70" s="111"/>
      <c r="C70" s="111"/>
      <c r="D70" s="111"/>
      <c r="E70" s="111"/>
      <c r="F70" s="111"/>
      <c r="G70" s="111"/>
      <c r="H70" s="111"/>
      <c r="I70" s="111"/>
      <c r="J70" s="111"/>
      <c r="K70" s="111"/>
      <c r="L70" s="111"/>
      <c r="M70" s="111"/>
      <c r="N70" s="111"/>
      <c r="O70" s="111"/>
      <c r="P70" s="111"/>
      <c r="Q70" s="111"/>
      <c r="R70" s="111"/>
      <c r="S70" s="111"/>
      <c r="T70" s="111"/>
      <c r="U70" s="111"/>
      <c r="V70" s="111"/>
      <c r="W70" s="111"/>
      <c r="X70" s="111"/>
      <c r="Y70" s="111"/>
    </row>
    <row r="71" spans="1:25" s="89" customFormat="1" ht="14.5" customHeight="1" thickBot="1" x14ac:dyDescent="0.3">
      <c r="A71" s="109" t="s">
        <v>200</v>
      </c>
      <c r="B71" s="109" t="s">
        <v>201</v>
      </c>
      <c r="C71" s="109" t="s">
        <v>202</v>
      </c>
      <c r="D71" s="109" t="s">
        <v>203</v>
      </c>
      <c r="E71" s="109"/>
      <c r="F71" s="109" t="s">
        <v>251</v>
      </c>
      <c r="G71" s="109" t="s">
        <v>205</v>
      </c>
      <c r="H71" s="109" t="s">
        <v>252</v>
      </c>
      <c r="I71" s="109">
        <v>30</v>
      </c>
      <c r="J71" s="109" t="s">
        <v>260</v>
      </c>
      <c r="K71" s="109">
        <v>28.6</v>
      </c>
      <c r="L71" s="109">
        <v>85.5</v>
      </c>
      <c r="M71" s="109"/>
      <c r="N71" s="109">
        <v>67</v>
      </c>
      <c r="O71" s="109">
        <v>66</v>
      </c>
      <c r="P71" s="109" t="s">
        <v>150</v>
      </c>
      <c r="Q71" s="109" t="s">
        <v>208</v>
      </c>
      <c r="R71" s="109">
        <v>1</v>
      </c>
      <c r="S71" s="109"/>
      <c r="T71" s="109" t="s">
        <v>220</v>
      </c>
      <c r="U71" s="109" t="s">
        <v>227</v>
      </c>
      <c r="V71" s="109"/>
      <c r="W71" s="109"/>
      <c r="X71" s="110">
        <v>46107.690636574072</v>
      </c>
      <c r="Y71" s="109" t="s">
        <v>254</v>
      </c>
    </row>
    <row r="72" spans="1:25" s="89" customFormat="1" ht="14.5" customHeight="1" thickBot="1" x14ac:dyDescent="0.3">
      <c r="A72" s="109" t="s">
        <v>211</v>
      </c>
      <c r="B72" s="111"/>
      <c r="C72" s="111"/>
      <c r="D72" s="111"/>
      <c r="E72" s="111"/>
      <c r="F72" s="111"/>
      <c r="G72" s="111"/>
      <c r="H72" s="111"/>
      <c r="I72" s="111"/>
      <c r="J72" s="111"/>
      <c r="K72" s="111"/>
      <c r="L72" s="111"/>
      <c r="M72" s="111"/>
      <c r="N72" s="111"/>
      <c r="O72" s="111"/>
      <c r="P72" s="111"/>
      <c r="Q72" s="111"/>
      <c r="R72" s="111"/>
      <c r="S72" s="111"/>
      <c r="T72" s="111"/>
      <c r="U72" s="111"/>
      <c r="V72" s="111"/>
      <c r="W72" s="111"/>
      <c r="X72" s="111"/>
      <c r="Y72" s="111"/>
    </row>
    <row r="73" spans="1:25" s="89" customFormat="1" ht="14.5" customHeight="1" thickBot="1" x14ac:dyDescent="0.3">
      <c r="A73" s="109" t="s">
        <v>200</v>
      </c>
      <c r="B73" s="109" t="s">
        <v>201</v>
      </c>
      <c r="C73" s="109" t="s">
        <v>202</v>
      </c>
      <c r="D73" s="109" t="s">
        <v>203</v>
      </c>
      <c r="E73" s="109"/>
      <c r="F73" s="109" t="s">
        <v>251</v>
      </c>
      <c r="G73" s="109" t="s">
        <v>205</v>
      </c>
      <c r="H73" s="109" t="s">
        <v>252</v>
      </c>
      <c r="I73" s="109">
        <v>30</v>
      </c>
      <c r="J73" s="109" t="s">
        <v>261</v>
      </c>
      <c r="K73" s="109">
        <v>30.5</v>
      </c>
      <c r="L73" s="109">
        <v>91.5</v>
      </c>
      <c r="M73" s="109"/>
      <c r="N73" s="109">
        <v>67</v>
      </c>
      <c r="O73" s="109">
        <v>66</v>
      </c>
      <c r="P73" s="109" t="s">
        <v>150</v>
      </c>
      <c r="Q73" s="109" t="s">
        <v>208</v>
      </c>
      <c r="R73" s="109">
        <v>1</v>
      </c>
      <c r="S73" s="109"/>
      <c r="T73" s="109" t="s">
        <v>220</v>
      </c>
      <c r="U73" s="109" t="s">
        <v>227</v>
      </c>
      <c r="V73" s="109"/>
      <c r="W73" s="109"/>
      <c r="X73" s="110">
        <v>46107.690636574072</v>
      </c>
      <c r="Y73" s="109" t="s">
        <v>254</v>
      </c>
    </row>
    <row r="74" spans="1:25" s="89" customFormat="1" ht="14.5" customHeight="1" thickBot="1" x14ac:dyDescent="0.3">
      <c r="A74" s="109" t="s">
        <v>211</v>
      </c>
      <c r="B74" s="111"/>
      <c r="C74" s="111"/>
      <c r="D74" s="111"/>
      <c r="E74" s="111"/>
      <c r="F74" s="111"/>
      <c r="G74" s="111"/>
      <c r="H74" s="111"/>
      <c r="I74" s="111"/>
      <c r="J74" s="111"/>
      <c r="K74" s="111"/>
      <c r="L74" s="111"/>
      <c r="M74" s="111"/>
      <c r="N74" s="111"/>
      <c r="O74" s="111"/>
      <c r="P74" s="111"/>
      <c r="Q74" s="111"/>
      <c r="R74" s="111"/>
      <c r="S74" s="111"/>
      <c r="T74" s="111"/>
      <c r="U74" s="111"/>
      <c r="V74" s="111"/>
      <c r="W74" s="111"/>
      <c r="X74" s="111"/>
      <c r="Y74" s="111"/>
    </row>
    <row r="75" spans="1:25" s="89" customFormat="1" ht="14.5" customHeight="1" thickBot="1" x14ac:dyDescent="0.3">
      <c r="A75" s="109" t="s">
        <v>200</v>
      </c>
      <c r="B75" s="109" t="s">
        <v>201</v>
      </c>
      <c r="C75" s="109" t="s">
        <v>202</v>
      </c>
      <c r="D75" s="109" t="s">
        <v>203</v>
      </c>
      <c r="E75" s="109"/>
      <c r="F75" s="109" t="s">
        <v>251</v>
      </c>
      <c r="G75" s="109" t="s">
        <v>205</v>
      </c>
      <c r="H75" s="109" t="s">
        <v>252</v>
      </c>
      <c r="I75" s="109">
        <v>30</v>
      </c>
      <c r="J75" s="109" t="s">
        <v>262</v>
      </c>
      <c r="K75" s="109">
        <v>30.6</v>
      </c>
      <c r="L75" s="109">
        <v>91.5</v>
      </c>
      <c r="M75" s="109"/>
      <c r="N75" s="109">
        <v>67</v>
      </c>
      <c r="O75" s="109">
        <v>66</v>
      </c>
      <c r="P75" s="109" t="s">
        <v>150</v>
      </c>
      <c r="Q75" s="109" t="s">
        <v>208</v>
      </c>
      <c r="R75" s="109">
        <v>1</v>
      </c>
      <c r="S75" s="109"/>
      <c r="T75" s="109" t="s">
        <v>220</v>
      </c>
      <c r="U75" s="109" t="s">
        <v>227</v>
      </c>
      <c r="V75" s="109"/>
      <c r="W75" s="109"/>
      <c r="X75" s="110">
        <v>46107.690636574072</v>
      </c>
      <c r="Y75" s="109" t="s">
        <v>254</v>
      </c>
    </row>
    <row r="76" spans="1:25" s="89" customFormat="1" ht="14.5" customHeight="1" thickBot="1" x14ac:dyDescent="0.3">
      <c r="A76" s="109" t="s">
        <v>211</v>
      </c>
      <c r="B76" s="111"/>
      <c r="C76" s="111"/>
      <c r="D76" s="111"/>
      <c r="E76" s="111"/>
      <c r="F76" s="111"/>
      <c r="G76" s="111"/>
      <c r="H76" s="111"/>
      <c r="I76" s="111"/>
      <c r="J76" s="111"/>
      <c r="K76" s="111"/>
      <c r="L76" s="111"/>
      <c r="M76" s="111"/>
      <c r="N76" s="111"/>
      <c r="O76" s="111"/>
      <c r="P76" s="111"/>
      <c r="Q76" s="111"/>
      <c r="R76" s="111"/>
      <c r="S76" s="111"/>
      <c r="T76" s="111"/>
      <c r="U76" s="111"/>
      <c r="V76" s="111"/>
      <c r="W76" s="111"/>
      <c r="X76" s="111"/>
      <c r="Y76" s="111"/>
    </row>
    <row r="77" spans="1:25" s="89" customFormat="1" ht="14.5" customHeight="1" thickBot="1" x14ac:dyDescent="0.3">
      <c r="A77" s="109" t="s">
        <v>200</v>
      </c>
      <c r="B77" s="109" t="s">
        <v>201</v>
      </c>
      <c r="C77" s="109" t="s">
        <v>202</v>
      </c>
      <c r="D77" s="109" t="s">
        <v>203</v>
      </c>
      <c r="E77" s="109"/>
      <c r="F77" s="109" t="s">
        <v>251</v>
      </c>
      <c r="G77" s="109" t="s">
        <v>205</v>
      </c>
      <c r="H77" s="109" t="s">
        <v>252</v>
      </c>
      <c r="I77" s="109">
        <v>30</v>
      </c>
      <c r="J77" s="109" t="s">
        <v>263</v>
      </c>
      <c r="K77" s="109">
        <v>30.6</v>
      </c>
      <c r="L77" s="109">
        <v>91.5</v>
      </c>
      <c r="M77" s="109"/>
      <c r="N77" s="109">
        <v>67</v>
      </c>
      <c r="O77" s="109">
        <v>66</v>
      </c>
      <c r="P77" s="109" t="s">
        <v>150</v>
      </c>
      <c r="Q77" s="109" t="s">
        <v>208</v>
      </c>
      <c r="R77" s="109">
        <v>1</v>
      </c>
      <c r="S77" s="109"/>
      <c r="T77" s="109" t="s">
        <v>220</v>
      </c>
      <c r="U77" s="109" t="s">
        <v>227</v>
      </c>
      <c r="V77" s="109"/>
      <c r="W77" s="109"/>
      <c r="X77" s="110">
        <v>46107.690636574072</v>
      </c>
      <c r="Y77" s="109" t="s">
        <v>254</v>
      </c>
    </row>
    <row r="78" spans="1:25" s="89" customFormat="1" ht="14.5" customHeight="1" thickBot="1" x14ac:dyDescent="0.3">
      <c r="A78" s="109" t="s">
        <v>211</v>
      </c>
      <c r="B78" s="111"/>
      <c r="C78" s="111"/>
      <c r="D78" s="111"/>
      <c r="E78" s="111"/>
      <c r="F78" s="111"/>
      <c r="G78" s="111"/>
      <c r="H78" s="111"/>
      <c r="I78" s="111"/>
      <c r="J78" s="111"/>
      <c r="K78" s="111"/>
      <c r="L78" s="111"/>
      <c r="M78" s="111"/>
      <c r="N78" s="111"/>
      <c r="O78" s="111"/>
      <c r="P78" s="111"/>
      <c r="Q78" s="111"/>
      <c r="R78" s="111"/>
      <c r="S78" s="111"/>
      <c r="T78" s="111"/>
      <c r="U78" s="111"/>
      <c r="V78" s="111"/>
      <c r="W78" s="111"/>
      <c r="X78" s="111"/>
      <c r="Y78" s="111"/>
    </row>
    <row r="79" spans="1:25" s="89" customFormat="1" ht="14.5" customHeight="1" thickBot="1" x14ac:dyDescent="0.3">
      <c r="A79" s="109" t="s">
        <v>200</v>
      </c>
      <c r="B79" s="109" t="s">
        <v>201</v>
      </c>
      <c r="C79" s="109" t="s">
        <v>202</v>
      </c>
      <c r="D79" s="109" t="s">
        <v>203</v>
      </c>
      <c r="E79" s="109"/>
      <c r="F79" s="109" t="s">
        <v>251</v>
      </c>
      <c r="G79" s="109" t="s">
        <v>205</v>
      </c>
      <c r="H79" s="109" t="s">
        <v>252</v>
      </c>
      <c r="I79" s="109">
        <v>30</v>
      </c>
      <c r="J79" s="109" t="s">
        <v>264</v>
      </c>
      <c r="K79" s="109">
        <v>16.899999999999999</v>
      </c>
      <c r="L79" s="109">
        <v>50.5</v>
      </c>
      <c r="M79" s="109"/>
      <c r="N79" s="109">
        <v>67</v>
      </c>
      <c r="O79" s="109">
        <v>66</v>
      </c>
      <c r="P79" s="109" t="s">
        <v>150</v>
      </c>
      <c r="Q79" s="109" t="s">
        <v>208</v>
      </c>
      <c r="R79" s="109">
        <v>1</v>
      </c>
      <c r="S79" s="109"/>
      <c r="T79" s="109" t="s">
        <v>220</v>
      </c>
      <c r="U79" s="109" t="s">
        <v>227</v>
      </c>
      <c r="V79" s="109"/>
      <c r="W79" s="109"/>
      <c r="X79" s="110">
        <v>46107.690636574072</v>
      </c>
      <c r="Y79" s="109" t="s">
        <v>254</v>
      </c>
    </row>
    <row r="80" spans="1:25" s="89" customFormat="1" ht="14.5" customHeight="1" thickBot="1" x14ac:dyDescent="0.3">
      <c r="A80" s="109" t="s">
        <v>211</v>
      </c>
      <c r="B80" s="111"/>
      <c r="C80" s="111"/>
      <c r="D80" s="111"/>
      <c r="E80" s="111"/>
      <c r="F80" s="111"/>
      <c r="G80" s="111"/>
      <c r="H80" s="111"/>
      <c r="I80" s="111"/>
      <c r="J80" s="111"/>
      <c r="K80" s="111"/>
      <c r="L80" s="111"/>
      <c r="M80" s="111"/>
      <c r="N80" s="111"/>
      <c r="O80" s="111"/>
      <c r="P80" s="111"/>
      <c r="Q80" s="111"/>
      <c r="R80" s="111"/>
      <c r="S80" s="111"/>
      <c r="T80" s="111"/>
      <c r="U80" s="111"/>
      <c r="V80" s="111"/>
      <c r="W80" s="111"/>
      <c r="X80" s="111"/>
      <c r="Y80" s="111"/>
    </row>
    <row r="81" spans="1:25" s="89" customFormat="1" ht="14.5" customHeight="1" thickBot="1" x14ac:dyDescent="0.3">
      <c r="A81" s="109" t="s">
        <v>200</v>
      </c>
      <c r="B81" s="109" t="s">
        <v>201</v>
      </c>
      <c r="C81" s="109" t="s">
        <v>202</v>
      </c>
      <c r="D81" s="109" t="s">
        <v>203</v>
      </c>
      <c r="E81" s="109"/>
      <c r="F81" s="109" t="s">
        <v>251</v>
      </c>
      <c r="G81" s="109" t="s">
        <v>205</v>
      </c>
      <c r="H81" s="109" t="s">
        <v>252</v>
      </c>
      <c r="I81" s="109">
        <v>30</v>
      </c>
      <c r="J81" s="109" t="s">
        <v>265</v>
      </c>
      <c r="K81" s="109">
        <v>28.8</v>
      </c>
      <c r="L81" s="109">
        <v>86.5</v>
      </c>
      <c r="M81" s="109"/>
      <c r="N81" s="109">
        <v>67</v>
      </c>
      <c r="O81" s="109">
        <v>66</v>
      </c>
      <c r="P81" s="109" t="s">
        <v>150</v>
      </c>
      <c r="Q81" s="109" t="s">
        <v>208</v>
      </c>
      <c r="R81" s="109">
        <v>1</v>
      </c>
      <c r="S81" s="109"/>
      <c r="T81" s="109" t="s">
        <v>220</v>
      </c>
      <c r="U81" s="109" t="s">
        <v>227</v>
      </c>
      <c r="V81" s="109"/>
      <c r="W81" s="109"/>
      <c r="X81" s="110">
        <v>46107.690636574072</v>
      </c>
      <c r="Y81" s="109" t="s">
        <v>254</v>
      </c>
    </row>
    <row r="82" spans="1:25" s="89" customFormat="1" ht="14.5" customHeight="1" thickBot="1" x14ac:dyDescent="0.3">
      <c r="A82" s="109" t="s">
        <v>211</v>
      </c>
      <c r="B82" s="111"/>
      <c r="C82" s="111"/>
      <c r="D82" s="111"/>
      <c r="E82" s="111"/>
      <c r="F82" s="111"/>
      <c r="G82" s="111"/>
      <c r="H82" s="111"/>
      <c r="I82" s="111"/>
      <c r="J82" s="111"/>
      <c r="K82" s="111"/>
      <c r="L82" s="111"/>
      <c r="M82" s="111"/>
      <c r="N82" s="111"/>
      <c r="O82" s="111"/>
      <c r="P82" s="111"/>
      <c r="Q82" s="111"/>
      <c r="R82" s="111"/>
      <c r="S82" s="111"/>
      <c r="T82" s="111"/>
      <c r="U82" s="111"/>
      <c r="V82" s="111"/>
      <c r="W82" s="111"/>
      <c r="X82" s="111"/>
      <c r="Y82" s="111"/>
    </row>
    <row r="83" spans="1:25" s="89" customFormat="1" ht="14.5" customHeight="1" thickBot="1" x14ac:dyDescent="0.3">
      <c r="A83" s="109" t="s">
        <v>200</v>
      </c>
      <c r="B83" s="109" t="s">
        <v>201</v>
      </c>
      <c r="C83" s="109" t="s">
        <v>202</v>
      </c>
      <c r="D83" s="109" t="s">
        <v>203</v>
      </c>
      <c r="E83" s="109"/>
      <c r="F83" s="109" t="s">
        <v>251</v>
      </c>
      <c r="G83" s="109" t="s">
        <v>205</v>
      </c>
      <c r="H83" s="109" t="s">
        <v>252</v>
      </c>
      <c r="I83" s="109">
        <v>30</v>
      </c>
      <c r="J83" s="109" t="s">
        <v>266</v>
      </c>
      <c r="K83" s="109">
        <v>29.8</v>
      </c>
      <c r="L83" s="109">
        <v>89.5</v>
      </c>
      <c r="M83" s="109"/>
      <c r="N83" s="109">
        <v>67</v>
      </c>
      <c r="O83" s="109">
        <v>66</v>
      </c>
      <c r="P83" s="109" t="s">
        <v>150</v>
      </c>
      <c r="Q83" s="109" t="s">
        <v>208</v>
      </c>
      <c r="R83" s="109">
        <v>1</v>
      </c>
      <c r="S83" s="109"/>
      <c r="T83" s="109" t="s">
        <v>220</v>
      </c>
      <c r="U83" s="109" t="s">
        <v>227</v>
      </c>
      <c r="V83" s="109"/>
      <c r="W83" s="109"/>
      <c r="X83" s="110">
        <v>46107.690636574072</v>
      </c>
      <c r="Y83" s="109" t="s">
        <v>254</v>
      </c>
    </row>
    <row r="84" spans="1:25" s="89" customFormat="1" ht="14.5" customHeight="1" thickBot="1" x14ac:dyDescent="0.3">
      <c r="A84" s="109" t="s">
        <v>211</v>
      </c>
      <c r="B84" s="111"/>
      <c r="C84" s="111"/>
      <c r="D84" s="111"/>
      <c r="E84" s="111"/>
      <c r="F84" s="111"/>
      <c r="G84" s="111"/>
      <c r="H84" s="111"/>
      <c r="I84" s="111"/>
      <c r="J84" s="111"/>
      <c r="K84" s="111"/>
      <c r="L84" s="111"/>
      <c r="M84" s="111"/>
      <c r="N84" s="111"/>
      <c r="O84" s="111"/>
      <c r="P84" s="111"/>
      <c r="Q84" s="111"/>
      <c r="R84" s="111"/>
      <c r="S84" s="111"/>
      <c r="T84" s="111"/>
      <c r="U84" s="111"/>
      <c r="V84" s="111"/>
      <c r="W84" s="111"/>
      <c r="X84" s="111"/>
      <c r="Y84" s="111"/>
    </row>
    <row r="85" spans="1:25" s="89" customFormat="1" ht="14.5" customHeight="1" thickBot="1" x14ac:dyDescent="0.3">
      <c r="A85" s="109" t="s">
        <v>200</v>
      </c>
      <c r="B85" s="109" t="s">
        <v>201</v>
      </c>
      <c r="C85" s="109" t="s">
        <v>202</v>
      </c>
      <c r="D85" s="109" t="s">
        <v>203</v>
      </c>
      <c r="E85" s="109"/>
      <c r="F85" s="109" t="s">
        <v>251</v>
      </c>
      <c r="G85" s="109" t="s">
        <v>205</v>
      </c>
      <c r="H85" s="109" t="s">
        <v>252</v>
      </c>
      <c r="I85" s="109">
        <v>30</v>
      </c>
      <c r="J85" s="109" t="s">
        <v>267</v>
      </c>
      <c r="K85" s="109">
        <v>29.8</v>
      </c>
      <c r="L85" s="109">
        <v>89.5</v>
      </c>
      <c r="M85" s="109"/>
      <c r="N85" s="109">
        <v>67</v>
      </c>
      <c r="O85" s="109">
        <v>66</v>
      </c>
      <c r="P85" s="109" t="s">
        <v>150</v>
      </c>
      <c r="Q85" s="109" t="s">
        <v>208</v>
      </c>
      <c r="R85" s="109">
        <v>1</v>
      </c>
      <c r="S85" s="109"/>
      <c r="T85" s="109" t="s">
        <v>220</v>
      </c>
      <c r="U85" s="109" t="s">
        <v>227</v>
      </c>
      <c r="V85" s="109"/>
      <c r="W85" s="109"/>
      <c r="X85" s="110">
        <v>46107.690636574072</v>
      </c>
      <c r="Y85" s="109" t="s">
        <v>254</v>
      </c>
    </row>
    <row r="86" spans="1:25" s="89" customFormat="1" ht="14.5" customHeight="1" thickBot="1" x14ac:dyDescent="0.3">
      <c r="A86" s="109" t="s">
        <v>211</v>
      </c>
      <c r="B86" s="111"/>
      <c r="C86" s="111"/>
      <c r="D86" s="111"/>
      <c r="E86" s="111"/>
      <c r="F86" s="111"/>
      <c r="G86" s="111"/>
      <c r="H86" s="111"/>
      <c r="I86" s="111"/>
      <c r="J86" s="111"/>
      <c r="K86" s="111"/>
      <c r="L86" s="111"/>
      <c r="M86" s="111"/>
      <c r="N86" s="111"/>
      <c r="O86" s="111"/>
      <c r="P86" s="111"/>
      <c r="Q86" s="111"/>
      <c r="R86" s="111"/>
      <c r="S86" s="111"/>
      <c r="T86" s="111"/>
      <c r="U86" s="111"/>
      <c r="V86" s="111"/>
      <c r="W86" s="111"/>
      <c r="X86" s="111"/>
      <c r="Y86" s="111"/>
    </row>
    <row r="87" spans="1:25" s="89" customFormat="1" ht="14.5" customHeight="1" thickBot="1" x14ac:dyDescent="0.3">
      <c r="A87" s="109" t="s">
        <v>200</v>
      </c>
      <c r="B87" s="109" t="s">
        <v>201</v>
      </c>
      <c r="C87" s="109" t="s">
        <v>202</v>
      </c>
      <c r="D87" s="109" t="s">
        <v>203</v>
      </c>
      <c r="E87" s="109"/>
      <c r="F87" s="109" t="s">
        <v>251</v>
      </c>
      <c r="G87" s="109" t="s">
        <v>205</v>
      </c>
      <c r="H87" s="109" t="s">
        <v>252</v>
      </c>
      <c r="I87" s="109">
        <v>30</v>
      </c>
      <c r="J87" s="109" t="s">
        <v>268</v>
      </c>
      <c r="K87" s="109">
        <v>34.200000000000003</v>
      </c>
      <c r="L87" s="109">
        <v>102.5</v>
      </c>
      <c r="M87" s="109"/>
      <c r="N87" s="109">
        <v>67</v>
      </c>
      <c r="O87" s="109">
        <v>66</v>
      </c>
      <c r="P87" s="109" t="s">
        <v>150</v>
      </c>
      <c r="Q87" s="109" t="s">
        <v>208</v>
      </c>
      <c r="R87" s="109">
        <v>1</v>
      </c>
      <c r="S87" s="109"/>
      <c r="T87" s="109" t="s">
        <v>220</v>
      </c>
      <c r="U87" s="109" t="s">
        <v>227</v>
      </c>
      <c r="V87" s="109"/>
      <c r="W87" s="109"/>
      <c r="X87" s="110">
        <v>46107.690636574072</v>
      </c>
      <c r="Y87" s="109" t="s">
        <v>254</v>
      </c>
    </row>
    <row r="88" spans="1:25" s="89" customFormat="1" ht="14.5" customHeight="1" thickBot="1" x14ac:dyDescent="0.3">
      <c r="A88" s="109" t="s">
        <v>211</v>
      </c>
      <c r="B88" s="111"/>
      <c r="C88" s="111"/>
      <c r="D88" s="111"/>
      <c r="E88" s="111"/>
      <c r="F88" s="111"/>
      <c r="G88" s="111"/>
      <c r="H88" s="111"/>
      <c r="I88" s="111"/>
      <c r="J88" s="111"/>
      <c r="K88" s="111"/>
      <c r="L88" s="111"/>
      <c r="M88" s="111"/>
      <c r="N88" s="111"/>
      <c r="O88" s="111"/>
      <c r="P88" s="111"/>
      <c r="Q88" s="111"/>
      <c r="R88" s="111"/>
      <c r="S88" s="111"/>
      <c r="T88" s="111"/>
      <c r="U88" s="111"/>
      <c r="V88" s="111"/>
      <c r="W88" s="111"/>
      <c r="X88" s="111"/>
      <c r="Y88" s="111"/>
    </row>
    <row r="89" spans="1:25" s="89" customFormat="1" ht="14.5" customHeight="1" thickBot="1" x14ac:dyDescent="0.3">
      <c r="A89" s="109" t="s">
        <v>200</v>
      </c>
      <c r="B89" s="109" t="s">
        <v>201</v>
      </c>
      <c r="C89" s="109" t="s">
        <v>202</v>
      </c>
      <c r="D89" s="109" t="s">
        <v>203</v>
      </c>
      <c r="E89" s="109"/>
      <c r="F89" s="109" t="s">
        <v>251</v>
      </c>
      <c r="G89" s="109" t="s">
        <v>205</v>
      </c>
      <c r="H89" s="109" t="s">
        <v>252</v>
      </c>
      <c r="I89" s="109">
        <v>30</v>
      </c>
      <c r="J89" s="109" t="s">
        <v>269</v>
      </c>
      <c r="K89" s="109">
        <v>30.8</v>
      </c>
      <c r="L89" s="109">
        <v>92.5</v>
      </c>
      <c r="M89" s="109"/>
      <c r="N89" s="109">
        <v>67</v>
      </c>
      <c r="O89" s="109">
        <v>66</v>
      </c>
      <c r="P89" s="109" t="s">
        <v>150</v>
      </c>
      <c r="Q89" s="109" t="s">
        <v>208</v>
      </c>
      <c r="R89" s="109">
        <v>1</v>
      </c>
      <c r="S89" s="109"/>
      <c r="T89" s="109" t="s">
        <v>220</v>
      </c>
      <c r="U89" s="109" t="s">
        <v>227</v>
      </c>
      <c r="V89" s="109"/>
      <c r="W89" s="109"/>
      <c r="X89" s="110">
        <v>46107.690636574072</v>
      </c>
      <c r="Y89" s="109" t="s">
        <v>254</v>
      </c>
    </row>
    <row r="90" spans="1:25" s="89" customFormat="1" ht="14.5" customHeight="1" thickBot="1" x14ac:dyDescent="0.3">
      <c r="A90" s="109" t="s">
        <v>211</v>
      </c>
      <c r="B90" s="111"/>
      <c r="C90" s="111"/>
      <c r="D90" s="111"/>
      <c r="E90" s="111"/>
      <c r="F90" s="111"/>
      <c r="G90" s="111"/>
      <c r="H90" s="111"/>
      <c r="I90" s="111"/>
      <c r="J90" s="111"/>
      <c r="K90" s="111"/>
      <c r="L90" s="111"/>
      <c r="M90" s="111"/>
      <c r="N90" s="111"/>
      <c r="O90" s="111"/>
      <c r="P90" s="111"/>
      <c r="Q90" s="111"/>
      <c r="R90" s="111"/>
      <c r="S90" s="111"/>
      <c r="T90" s="111"/>
      <c r="U90" s="111"/>
      <c r="V90" s="111"/>
      <c r="W90" s="111"/>
      <c r="X90" s="111"/>
      <c r="Y90" s="111"/>
    </row>
    <row r="91" spans="1:25" s="89" customFormat="1" ht="14.5" customHeight="1" thickBot="1" x14ac:dyDescent="0.3">
      <c r="A91" s="109" t="s">
        <v>200</v>
      </c>
      <c r="B91" s="109" t="s">
        <v>201</v>
      </c>
      <c r="C91" s="109" t="s">
        <v>202</v>
      </c>
      <c r="D91" s="109" t="s">
        <v>203</v>
      </c>
      <c r="E91" s="109"/>
      <c r="F91" s="109" t="s">
        <v>251</v>
      </c>
      <c r="G91" s="109" t="s">
        <v>205</v>
      </c>
      <c r="H91" s="109" t="s">
        <v>252</v>
      </c>
      <c r="I91" s="109">
        <v>30</v>
      </c>
      <c r="J91" s="109" t="s">
        <v>270</v>
      </c>
      <c r="K91" s="109">
        <v>27.4</v>
      </c>
      <c r="L91" s="109">
        <v>82</v>
      </c>
      <c r="M91" s="109"/>
      <c r="N91" s="109">
        <v>67</v>
      </c>
      <c r="O91" s="109">
        <v>66</v>
      </c>
      <c r="P91" s="109" t="s">
        <v>150</v>
      </c>
      <c r="Q91" s="109" t="s">
        <v>208</v>
      </c>
      <c r="R91" s="109">
        <v>1</v>
      </c>
      <c r="S91" s="109"/>
      <c r="T91" s="109" t="s">
        <v>220</v>
      </c>
      <c r="U91" s="109" t="s">
        <v>227</v>
      </c>
      <c r="V91" s="109"/>
      <c r="W91" s="109"/>
      <c r="X91" s="110">
        <v>46107.690636574072</v>
      </c>
      <c r="Y91" s="109" t="s">
        <v>254</v>
      </c>
    </row>
    <row r="92" spans="1:25" s="89" customFormat="1" ht="14.5" customHeight="1" thickBot="1" x14ac:dyDescent="0.3">
      <c r="A92" s="109" t="s">
        <v>211</v>
      </c>
      <c r="B92" s="111"/>
      <c r="C92" s="111"/>
      <c r="D92" s="111"/>
      <c r="E92" s="111"/>
      <c r="F92" s="111"/>
      <c r="G92" s="111"/>
      <c r="H92" s="111"/>
      <c r="I92" s="111"/>
      <c r="J92" s="111"/>
      <c r="K92" s="111"/>
      <c r="L92" s="111"/>
      <c r="M92" s="111"/>
      <c r="N92" s="111"/>
      <c r="O92" s="111"/>
      <c r="P92" s="111"/>
      <c r="Q92" s="111"/>
      <c r="R92" s="111"/>
      <c r="S92" s="111"/>
      <c r="T92" s="111"/>
      <c r="U92" s="111"/>
      <c r="V92" s="111"/>
      <c r="W92" s="111"/>
      <c r="X92" s="111"/>
      <c r="Y92" s="111"/>
    </row>
    <row r="93" spans="1:25" s="89" customFormat="1" ht="14.5" customHeight="1" thickBot="1" x14ac:dyDescent="0.3">
      <c r="A93" s="109" t="s">
        <v>200</v>
      </c>
      <c r="B93" s="109" t="s">
        <v>201</v>
      </c>
      <c r="C93" s="109" t="s">
        <v>202</v>
      </c>
      <c r="D93" s="109" t="s">
        <v>203</v>
      </c>
      <c r="E93" s="109"/>
      <c r="F93" s="109" t="s">
        <v>271</v>
      </c>
      <c r="G93" s="109" t="s">
        <v>205</v>
      </c>
      <c r="H93" s="109" t="s">
        <v>272</v>
      </c>
      <c r="I93" s="109">
        <v>11</v>
      </c>
      <c r="J93" s="109" t="s">
        <v>273</v>
      </c>
      <c r="K93" s="109">
        <v>17.3</v>
      </c>
      <c r="L93" s="109">
        <v>53.5</v>
      </c>
      <c r="M93" s="109"/>
      <c r="N93" s="109">
        <v>67</v>
      </c>
      <c r="O93" s="109">
        <v>66</v>
      </c>
      <c r="P93" s="109" t="s">
        <v>150</v>
      </c>
      <c r="Q93" s="109" t="s">
        <v>208</v>
      </c>
      <c r="R93" s="109">
        <v>1</v>
      </c>
      <c r="S93" s="109"/>
      <c r="T93" s="109" t="s">
        <v>220</v>
      </c>
      <c r="U93" s="109" t="s">
        <v>224</v>
      </c>
      <c r="V93" s="109"/>
      <c r="W93" s="109"/>
      <c r="X93" s="110">
        <v>46113.506053240744</v>
      </c>
      <c r="Y93" s="109" t="s">
        <v>274</v>
      </c>
    </row>
    <row r="94" spans="1:25" s="89" customFormat="1" ht="14.5" customHeight="1" thickBot="1" x14ac:dyDescent="0.3">
      <c r="A94" s="109" t="s">
        <v>211</v>
      </c>
      <c r="B94" s="111"/>
      <c r="C94" s="111"/>
      <c r="D94" s="111"/>
      <c r="E94" s="111"/>
      <c r="F94" s="111"/>
      <c r="G94" s="111"/>
      <c r="H94" s="111"/>
      <c r="I94" s="111"/>
      <c r="J94" s="111"/>
      <c r="K94" s="111"/>
      <c r="L94" s="111"/>
      <c r="M94" s="111"/>
      <c r="N94" s="111"/>
      <c r="O94" s="111"/>
      <c r="P94" s="111"/>
      <c r="Q94" s="111"/>
      <c r="R94" s="111"/>
      <c r="S94" s="111"/>
      <c r="T94" s="111"/>
      <c r="U94" s="111"/>
      <c r="V94" s="111"/>
      <c r="W94" s="111"/>
      <c r="X94" s="111"/>
      <c r="Y94" s="111"/>
    </row>
    <row r="95" spans="1:25" s="89" customFormat="1" ht="14.5" customHeight="1" thickBot="1" x14ac:dyDescent="0.3">
      <c r="A95" s="109" t="s">
        <v>200</v>
      </c>
      <c r="B95" s="109" t="s">
        <v>201</v>
      </c>
      <c r="C95" s="109" t="s">
        <v>202</v>
      </c>
      <c r="D95" s="109" t="s">
        <v>203</v>
      </c>
      <c r="E95" s="109"/>
      <c r="F95" s="109" t="s">
        <v>271</v>
      </c>
      <c r="G95" s="109" t="s">
        <v>205</v>
      </c>
      <c r="H95" s="109" t="s">
        <v>272</v>
      </c>
      <c r="I95" s="109">
        <v>11</v>
      </c>
      <c r="J95" s="109" t="s">
        <v>275</v>
      </c>
      <c r="K95" s="109">
        <v>29.2</v>
      </c>
      <c r="L95" s="109">
        <v>90.5</v>
      </c>
      <c r="M95" s="109"/>
      <c r="N95" s="109">
        <v>67</v>
      </c>
      <c r="O95" s="109">
        <v>66</v>
      </c>
      <c r="P95" s="109" t="s">
        <v>150</v>
      </c>
      <c r="Q95" s="109" t="s">
        <v>208</v>
      </c>
      <c r="R95" s="109">
        <v>1</v>
      </c>
      <c r="S95" s="109"/>
      <c r="T95" s="109" t="s">
        <v>220</v>
      </c>
      <c r="U95" s="109" t="s">
        <v>224</v>
      </c>
      <c r="V95" s="109"/>
      <c r="W95" s="109"/>
      <c r="X95" s="110">
        <v>46113.600023148145</v>
      </c>
      <c r="Y95" s="109" t="s">
        <v>274</v>
      </c>
    </row>
    <row r="96" spans="1:25" s="89" customFormat="1" ht="14.5" customHeight="1" thickBot="1" x14ac:dyDescent="0.3">
      <c r="A96" s="109" t="s">
        <v>211</v>
      </c>
      <c r="B96" s="111"/>
      <c r="C96" s="111"/>
      <c r="D96" s="111"/>
      <c r="E96" s="111"/>
      <c r="F96" s="111"/>
      <c r="G96" s="111"/>
      <c r="H96" s="111"/>
      <c r="I96" s="111"/>
      <c r="J96" s="111"/>
      <c r="K96" s="111"/>
      <c r="L96" s="111"/>
      <c r="M96" s="111"/>
      <c r="N96" s="111"/>
      <c r="O96" s="111"/>
      <c r="P96" s="111"/>
      <c r="Q96" s="111"/>
      <c r="R96" s="111"/>
      <c r="S96" s="111"/>
      <c r="T96" s="111"/>
      <c r="U96" s="111"/>
      <c r="V96" s="111"/>
      <c r="W96" s="111"/>
      <c r="X96" s="111"/>
      <c r="Y96" s="111"/>
    </row>
    <row r="97" spans="1:25" s="89" customFormat="1" ht="14.5" customHeight="1" thickBot="1" x14ac:dyDescent="0.3">
      <c r="A97" s="109" t="s">
        <v>200</v>
      </c>
      <c r="B97" s="109" t="s">
        <v>201</v>
      </c>
      <c r="C97" s="109" t="s">
        <v>202</v>
      </c>
      <c r="D97" s="109" t="s">
        <v>203</v>
      </c>
      <c r="E97" s="109"/>
      <c r="F97" s="109" t="s">
        <v>251</v>
      </c>
      <c r="G97" s="109" t="s">
        <v>205</v>
      </c>
      <c r="H97" s="109" t="s">
        <v>252</v>
      </c>
      <c r="I97" s="109">
        <v>30</v>
      </c>
      <c r="J97" s="109" t="s">
        <v>276</v>
      </c>
      <c r="K97" s="109">
        <v>30.6</v>
      </c>
      <c r="L97" s="109">
        <v>91.5</v>
      </c>
      <c r="M97" s="109"/>
      <c r="N97" s="109">
        <v>67</v>
      </c>
      <c r="O97" s="109">
        <v>66</v>
      </c>
      <c r="P97" s="109" t="s">
        <v>150</v>
      </c>
      <c r="Q97" s="109" t="s">
        <v>208</v>
      </c>
      <c r="R97" s="109">
        <v>1</v>
      </c>
      <c r="S97" s="109"/>
      <c r="T97" s="109" t="s">
        <v>220</v>
      </c>
      <c r="U97" s="109" t="s">
        <v>227</v>
      </c>
      <c r="V97" s="109"/>
      <c r="W97" s="109"/>
      <c r="X97" s="110">
        <v>46107.690636574072</v>
      </c>
      <c r="Y97" s="109" t="s">
        <v>254</v>
      </c>
    </row>
    <row r="98" spans="1:25" s="89" customFormat="1" ht="14.5" customHeight="1" thickBot="1" x14ac:dyDescent="0.3">
      <c r="A98" s="109" t="s">
        <v>211</v>
      </c>
      <c r="B98" s="111"/>
      <c r="C98" s="111"/>
      <c r="D98" s="111"/>
      <c r="E98" s="111"/>
      <c r="F98" s="111"/>
      <c r="G98" s="111"/>
      <c r="H98" s="111"/>
      <c r="I98" s="111"/>
      <c r="J98" s="111"/>
      <c r="K98" s="111"/>
      <c r="L98" s="111"/>
      <c r="M98" s="111"/>
      <c r="N98" s="111"/>
      <c r="O98" s="111"/>
      <c r="P98" s="111"/>
      <c r="Q98" s="111"/>
      <c r="R98" s="111"/>
      <c r="S98" s="111"/>
      <c r="T98" s="111"/>
      <c r="U98" s="111"/>
      <c r="V98" s="111"/>
      <c r="W98" s="111"/>
      <c r="X98" s="111"/>
      <c r="Y98" s="111"/>
    </row>
    <row r="99" spans="1:25" s="89" customFormat="1" ht="14.5" customHeight="1" thickBot="1" x14ac:dyDescent="0.3">
      <c r="A99" s="109" t="s">
        <v>200</v>
      </c>
      <c r="B99" s="109" t="s">
        <v>201</v>
      </c>
      <c r="C99" s="109" t="s">
        <v>202</v>
      </c>
      <c r="D99" s="109" t="s">
        <v>203</v>
      </c>
      <c r="E99" s="109"/>
      <c r="F99" s="109" t="s">
        <v>251</v>
      </c>
      <c r="G99" s="109" t="s">
        <v>205</v>
      </c>
      <c r="H99" s="109" t="s">
        <v>252</v>
      </c>
      <c r="I99" s="109">
        <v>30</v>
      </c>
      <c r="J99" s="109" t="s">
        <v>277</v>
      </c>
      <c r="K99" s="109">
        <v>9.6</v>
      </c>
      <c r="L99" s="109">
        <v>28.5</v>
      </c>
      <c r="M99" s="109"/>
      <c r="N99" s="109">
        <v>67</v>
      </c>
      <c r="O99" s="109">
        <v>66</v>
      </c>
      <c r="P99" s="109" t="s">
        <v>150</v>
      </c>
      <c r="Q99" s="109" t="s">
        <v>208</v>
      </c>
      <c r="R99" s="109">
        <v>1</v>
      </c>
      <c r="S99" s="109"/>
      <c r="T99" s="109" t="s">
        <v>220</v>
      </c>
      <c r="U99" s="109" t="s">
        <v>227</v>
      </c>
      <c r="V99" s="109"/>
      <c r="W99" s="109"/>
      <c r="X99" s="110">
        <v>46107.690636574072</v>
      </c>
      <c r="Y99" s="109" t="s">
        <v>254</v>
      </c>
    </row>
    <row r="100" spans="1:25" s="89" customFormat="1" ht="14.5" customHeight="1" thickBot="1" x14ac:dyDescent="0.3">
      <c r="A100" s="109" t="s">
        <v>211</v>
      </c>
      <c r="B100" s="111"/>
      <c r="C100" s="111"/>
      <c r="D100" s="111"/>
      <c r="E100" s="111"/>
      <c r="F100" s="111"/>
      <c r="G100" s="111"/>
      <c r="H100" s="111"/>
      <c r="I100" s="111"/>
      <c r="J100" s="111"/>
      <c r="K100" s="111"/>
      <c r="L100" s="111"/>
      <c r="M100" s="111"/>
      <c r="N100" s="111"/>
      <c r="O100" s="111"/>
      <c r="P100" s="111"/>
      <c r="Q100" s="111"/>
      <c r="R100" s="111"/>
      <c r="S100" s="111"/>
      <c r="T100" s="111"/>
      <c r="U100" s="111"/>
      <c r="V100" s="111"/>
      <c r="W100" s="111"/>
      <c r="X100" s="111"/>
      <c r="Y100" s="111"/>
    </row>
    <row r="101" spans="1:25" s="89" customFormat="1" ht="14.5" customHeight="1" thickBot="1" x14ac:dyDescent="0.3">
      <c r="A101" s="109" t="s">
        <v>200</v>
      </c>
      <c r="B101" s="109" t="s">
        <v>201</v>
      </c>
      <c r="C101" s="109" t="s">
        <v>202</v>
      </c>
      <c r="D101" s="109" t="s">
        <v>203</v>
      </c>
      <c r="E101" s="109"/>
      <c r="F101" s="109" t="s">
        <v>278</v>
      </c>
      <c r="G101" s="109" t="s">
        <v>205</v>
      </c>
      <c r="H101" s="109" t="s">
        <v>279</v>
      </c>
      <c r="I101" s="109">
        <v>12</v>
      </c>
      <c r="J101" s="109" t="s">
        <v>280</v>
      </c>
      <c r="K101" s="109">
        <v>34.9</v>
      </c>
      <c r="L101" s="109">
        <v>104.5</v>
      </c>
      <c r="M101" s="109"/>
      <c r="N101" s="109">
        <v>67</v>
      </c>
      <c r="O101" s="109">
        <v>65</v>
      </c>
      <c r="P101" s="109" t="s">
        <v>150</v>
      </c>
      <c r="Q101" s="109" t="s">
        <v>208</v>
      </c>
      <c r="R101" s="109">
        <v>2</v>
      </c>
      <c r="S101" s="109"/>
      <c r="T101" s="109" t="s">
        <v>220</v>
      </c>
      <c r="U101" s="109" t="s">
        <v>281</v>
      </c>
      <c r="V101" s="109"/>
      <c r="W101" s="109"/>
      <c r="X101" s="110">
        <v>46111.85560185185</v>
      </c>
      <c r="Y101" s="109" t="s">
        <v>282</v>
      </c>
    </row>
    <row r="102" spans="1:25" s="89" customFormat="1" ht="14.5" customHeight="1" thickBot="1" x14ac:dyDescent="0.3">
      <c r="A102" s="109" t="s">
        <v>211</v>
      </c>
      <c r="B102" s="111"/>
      <c r="C102" s="111"/>
      <c r="D102" s="111"/>
      <c r="E102" s="111"/>
      <c r="F102" s="111"/>
      <c r="G102" s="111"/>
      <c r="H102" s="111"/>
      <c r="I102" s="111"/>
      <c r="J102" s="111"/>
      <c r="K102" s="111"/>
      <c r="L102" s="111"/>
      <c r="M102" s="111"/>
      <c r="N102" s="111"/>
      <c r="O102" s="111"/>
      <c r="P102" s="111"/>
      <c r="Q102" s="111"/>
      <c r="R102" s="111"/>
      <c r="S102" s="111"/>
      <c r="T102" s="111"/>
      <c r="U102" s="111"/>
      <c r="V102" s="111"/>
      <c r="W102" s="111"/>
      <c r="X102" s="111"/>
      <c r="Y102" s="111"/>
    </row>
    <row r="103" spans="1:25" s="89" customFormat="1" ht="14.5" customHeight="1" thickBot="1" x14ac:dyDescent="0.3">
      <c r="A103" s="109" t="s">
        <v>200</v>
      </c>
      <c r="B103" s="109" t="s">
        <v>201</v>
      </c>
      <c r="C103" s="109" t="s">
        <v>202</v>
      </c>
      <c r="D103" s="109" t="s">
        <v>203</v>
      </c>
      <c r="E103" s="109"/>
      <c r="F103" s="109" t="s">
        <v>278</v>
      </c>
      <c r="G103" s="109" t="s">
        <v>205</v>
      </c>
      <c r="H103" s="109" t="s">
        <v>279</v>
      </c>
      <c r="I103" s="109">
        <v>12</v>
      </c>
      <c r="J103" s="109" t="s">
        <v>283</v>
      </c>
      <c r="K103" s="109">
        <v>29.3</v>
      </c>
      <c r="L103" s="109">
        <v>88</v>
      </c>
      <c r="M103" s="109"/>
      <c r="N103" s="109">
        <v>67</v>
      </c>
      <c r="O103" s="109">
        <v>65</v>
      </c>
      <c r="P103" s="109" t="s">
        <v>150</v>
      </c>
      <c r="Q103" s="109" t="s">
        <v>208</v>
      </c>
      <c r="R103" s="109">
        <v>2</v>
      </c>
      <c r="S103" s="109"/>
      <c r="T103" s="109" t="s">
        <v>220</v>
      </c>
      <c r="U103" s="109" t="s">
        <v>221</v>
      </c>
      <c r="V103" s="109"/>
      <c r="W103" s="109"/>
      <c r="X103" s="110">
        <v>46111.85560185185</v>
      </c>
      <c r="Y103" s="109" t="s">
        <v>282</v>
      </c>
    </row>
    <row r="104" spans="1:25" s="89" customFormat="1" ht="14.5" customHeight="1" thickBot="1" x14ac:dyDescent="0.3">
      <c r="A104" s="109" t="s">
        <v>211</v>
      </c>
      <c r="B104" s="111"/>
      <c r="C104" s="111"/>
      <c r="D104" s="111"/>
      <c r="E104" s="111"/>
      <c r="F104" s="111"/>
      <c r="G104" s="111"/>
      <c r="H104" s="111"/>
      <c r="I104" s="111"/>
      <c r="J104" s="111"/>
      <c r="K104" s="111"/>
      <c r="L104" s="111"/>
      <c r="M104" s="111"/>
      <c r="N104" s="111"/>
      <c r="O104" s="111"/>
      <c r="P104" s="111"/>
      <c r="Q104" s="111"/>
      <c r="R104" s="111"/>
      <c r="S104" s="111"/>
      <c r="T104" s="111"/>
      <c r="U104" s="111"/>
      <c r="V104" s="111"/>
      <c r="W104" s="111"/>
      <c r="X104" s="111"/>
      <c r="Y104" s="111"/>
    </row>
    <row r="105" spans="1:25" s="89" customFormat="1" ht="14.5" customHeight="1" thickBot="1" x14ac:dyDescent="0.3">
      <c r="A105" s="109" t="s">
        <v>200</v>
      </c>
      <c r="B105" s="109" t="s">
        <v>201</v>
      </c>
      <c r="C105" s="109" t="s">
        <v>202</v>
      </c>
      <c r="D105" s="109" t="s">
        <v>203</v>
      </c>
      <c r="E105" s="109"/>
      <c r="F105" s="109" t="s">
        <v>278</v>
      </c>
      <c r="G105" s="109" t="s">
        <v>205</v>
      </c>
      <c r="H105" s="109" t="s">
        <v>279</v>
      </c>
      <c r="I105" s="109">
        <v>12</v>
      </c>
      <c r="J105" s="109" t="s">
        <v>284</v>
      </c>
      <c r="K105" s="109">
        <v>29.3</v>
      </c>
      <c r="L105" s="109">
        <v>88</v>
      </c>
      <c r="M105" s="109"/>
      <c r="N105" s="109">
        <v>67</v>
      </c>
      <c r="O105" s="109">
        <v>65</v>
      </c>
      <c r="P105" s="109" t="s">
        <v>150</v>
      </c>
      <c r="Q105" s="109" t="s">
        <v>208</v>
      </c>
      <c r="R105" s="109">
        <v>2</v>
      </c>
      <c r="S105" s="109"/>
      <c r="T105" s="109" t="s">
        <v>220</v>
      </c>
      <c r="U105" s="109" t="s">
        <v>221</v>
      </c>
      <c r="V105" s="109"/>
      <c r="W105" s="109"/>
      <c r="X105" s="110">
        <v>46111.85560185185</v>
      </c>
      <c r="Y105" s="109" t="s">
        <v>282</v>
      </c>
    </row>
    <row r="106" spans="1:25" s="89" customFormat="1" ht="14.5" customHeight="1" thickBot="1" x14ac:dyDescent="0.3">
      <c r="A106" s="109" t="s">
        <v>211</v>
      </c>
      <c r="B106" s="111"/>
      <c r="C106" s="111"/>
      <c r="D106" s="111"/>
      <c r="E106" s="111"/>
      <c r="F106" s="111"/>
      <c r="G106" s="111"/>
      <c r="H106" s="111"/>
      <c r="I106" s="111"/>
      <c r="J106" s="111"/>
      <c r="K106" s="111"/>
      <c r="L106" s="111"/>
      <c r="M106" s="111"/>
      <c r="N106" s="111"/>
      <c r="O106" s="111"/>
      <c r="P106" s="111"/>
      <c r="Q106" s="111"/>
      <c r="R106" s="111"/>
      <c r="S106" s="111"/>
      <c r="T106" s="111"/>
      <c r="U106" s="111"/>
      <c r="V106" s="111"/>
      <c r="W106" s="111"/>
      <c r="X106" s="111"/>
      <c r="Y106" s="111"/>
    </row>
    <row r="107" spans="1:25" s="89" customFormat="1" ht="14.5" customHeight="1" thickBot="1" x14ac:dyDescent="0.3">
      <c r="A107" s="109" t="s">
        <v>200</v>
      </c>
      <c r="B107" s="109" t="s">
        <v>201</v>
      </c>
      <c r="C107" s="109" t="s">
        <v>202</v>
      </c>
      <c r="D107" s="109" t="s">
        <v>203</v>
      </c>
      <c r="E107" s="109"/>
      <c r="F107" s="109" t="s">
        <v>278</v>
      </c>
      <c r="G107" s="109" t="s">
        <v>205</v>
      </c>
      <c r="H107" s="109" t="s">
        <v>279</v>
      </c>
      <c r="I107" s="109">
        <v>12</v>
      </c>
      <c r="J107" s="109" t="s">
        <v>285</v>
      </c>
      <c r="K107" s="109">
        <v>28.8</v>
      </c>
      <c r="L107" s="109">
        <v>86.5</v>
      </c>
      <c r="M107" s="109"/>
      <c r="N107" s="109">
        <v>67</v>
      </c>
      <c r="O107" s="109">
        <v>66</v>
      </c>
      <c r="P107" s="109" t="s">
        <v>150</v>
      </c>
      <c r="Q107" s="109" t="s">
        <v>208</v>
      </c>
      <c r="R107" s="109">
        <v>1</v>
      </c>
      <c r="S107" s="109"/>
      <c r="T107" s="109" t="s">
        <v>220</v>
      </c>
      <c r="U107" s="109" t="s">
        <v>224</v>
      </c>
      <c r="V107" s="109"/>
      <c r="W107" s="109"/>
      <c r="X107" s="110">
        <v>46111.85560185185</v>
      </c>
      <c r="Y107" s="109" t="s">
        <v>282</v>
      </c>
    </row>
    <row r="108" spans="1:25" s="89" customFormat="1" ht="14.5" customHeight="1" thickBot="1" x14ac:dyDescent="0.3">
      <c r="A108" s="109" t="s">
        <v>211</v>
      </c>
      <c r="B108" s="111"/>
      <c r="C108" s="111"/>
      <c r="D108" s="111"/>
      <c r="E108" s="111"/>
      <c r="F108" s="111"/>
      <c r="G108" s="111"/>
      <c r="H108" s="111"/>
      <c r="I108" s="111"/>
      <c r="J108" s="111"/>
      <c r="K108" s="111"/>
      <c r="L108" s="111"/>
      <c r="M108" s="111"/>
      <c r="N108" s="111"/>
      <c r="O108" s="111"/>
      <c r="P108" s="111"/>
      <c r="Q108" s="111"/>
      <c r="R108" s="111"/>
      <c r="S108" s="111"/>
      <c r="T108" s="111"/>
      <c r="U108" s="111"/>
      <c r="V108" s="111"/>
      <c r="W108" s="111"/>
      <c r="X108" s="111"/>
      <c r="Y108" s="111"/>
    </row>
    <row r="109" spans="1:25" s="89" customFormat="1" ht="14.5" customHeight="1" thickBot="1" x14ac:dyDescent="0.3">
      <c r="A109" s="109" t="s">
        <v>200</v>
      </c>
      <c r="B109" s="109" t="s">
        <v>201</v>
      </c>
      <c r="C109" s="109" t="s">
        <v>202</v>
      </c>
      <c r="D109" s="109" t="s">
        <v>203</v>
      </c>
      <c r="E109" s="109"/>
      <c r="F109" s="109" t="s">
        <v>286</v>
      </c>
      <c r="G109" s="109" t="s">
        <v>205</v>
      </c>
      <c r="H109" s="109" t="s">
        <v>287</v>
      </c>
      <c r="I109" s="109">
        <v>10</v>
      </c>
      <c r="J109" s="109" t="s">
        <v>288</v>
      </c>
      <c r="K109" s="109">
        <v>30.11</v>
      </c>
      <c r="L109" s="109">
        <v>94</v>
      </c>
      <c r="M109" s="109"/>
      <c r="N109" s="109">
        <v>67</v>
      </c>
      <c r="O109" s="109">
        <v>65</v>
      </c>
      <c r="P109" s="109" t="s">
        <v>150</v>
      </c>
      <c r="Q109" s="109" t="s">
        <v>208</v>
      </c>
      <c r="R109" s="109">
        <v>2</v>
      </c>
      <c r="S109" s="109"/>
      <c r="T109" s="109" t="s">
        <v>220</v>
      </c>
      <c r="U109" s="109" t="s">
        <v>289</v>
      </c>
      <c r="V109" s="109"/>
      <c r="W109" s="109"/>
      <c r="X109" s="110">
        <v>46114.099050925928</v>
      </c>
      <c r="Y109" s="109" t="s">
        <v>290</v>
      </c>
    </row>
    <row r="110" spans="1:25" s="89" customFormat="1" ht="14.5" customHeight="1" thickBot="1" x14ac:dyDescent="0.3">
      <c r="A110" s="109" t="s">
        <v>211</v>
      </c>
      <c r="B110" s="111"/>
      <c r="C110" s="111"/>
      <c r="D110" s="111"/>
      <c r="E110" s="111"/>
      <c r="F110" s="111"/>
      <c r="G110" s="111"/>
      <c r="H110" s="111"/>
      <c r="I110" s="111"/>
      <c r="J110" s="111"/>
      <c r="K110" s="111"/>
      <c r="L110" s="111"/>
      <c r="M110" s="111"/>
      <c r="N110" s="111"/>
      <c r="O110" s="111"/>
      <c r="P110" s="111"/>
      <c r="Q110" s="111"/>
      <c r="R110" s="111"/>
      <c r="S110" s="111"/>
      <c r="T110" s="111"/>
      <c r="U110" s="111"/>
      <c r="V110" s="111"/>
      <c r="W110" s="111"/>
      <c r="X110" s="111"/>
      <c r="Y110" s="111"/>
    </row>
    <row r="111" spans="1:25" s="89" customFormat="1" ht="14.5" customHeight="1" thickBot="1" x14ac:dyDescent="0.3">
      <c r="A111" s="109" t="s">
        <v>200</v>
      </c>
      <c r="B111" s="109" t="s">
        <v>201</v>
      </c>
      <c r="C111" s="109" t="s">
        <v>202</v>
      </c>
      <c r="D111" s="109" t="s">
        <v>203</v>
      </c>
      <c r="E111" s="109"/>
      <c r="F111" s="109" t="s">
        <v>251</v>
      </c>
      <c r="G111" s="109" t="s">
        <v>205</v>
      </c>
      <c r="H111" s="109" t="s">
        <v>252</v>
      </c>
      <c r="I111" s="109">
        <v>30</v>
      </c>
      <c r="J111" s="109" t="s">
        <v>291</v>
      </c>
      <c r="K111" s="109">
        <v>30.6</v>
      </c>
      <c r="L111" s="109">
        <v>91.5</v>
      </c>
      <c r="M111" s="109"/>
      <c r="N111" s="109">
        <v>67</v>
      </c>
      <c r="O111" s="109">
        <v>65</v>
      </c>
      <c r="P111" s="109" t="s">
        <v>150</v>
      </c>
      <c r="Q111" s="109" t="s">
        <v>208</v>
      </c>
      <c r="R111" s="109">
        <v>2</v>
      </c>
      <c r="S111" s="109"/>
      <c r="T111" s="109" t="s">
        <v>220</v>
      </c>
      <c r="U111" s="109" t="s">
        <v>292</v>
      </c>
      <c r="V111" s="109"/>
      <c r="W111" s="109"/>
      <c r="X111" s="110">
        <v>46107.690636574072</v>
      </c>
      <c r="Y111" s="109" t="s">
        <v>254</v>
      </c>
    </row>
    <row r="112" spans="1:25" s="89" customFormat="1" ht="14.5" customHeight="1" thickBot="1" x14ac:dyDescent="0.3">
      <c r="A112" s="109" t="s">
        <v>211</v>
      </c>
      <c r="B112" s="111"/>
      <c r="C112" s="111"/>
      <c r="D112" s="111"/>
      <c r="E112" s="111"/>
      <c r="F112" s="111"/>
      <c r="G112" s="111"/>
      <c r="H112" s="111"/>
      <c r="I112" s="111"/>
      <c r="J112" s="111"/>
      <c r="K112" s="111"/>
      <c r="L112" s="111"/>
      <c r="M112" s="111"/>
      <c r="N112" s="111"/>
      <c r="O112" s="111"/>
      <c r="P112" s="111"/>
      <c r="Q112" s="111"/>
      <c r="R112" s="111"/>
      <c r="S112" s="111"/>
      <c r="T112" s="111"/>
      <c r="U112" s="111"/>
      <c r="V112" s="111"/>
      <c r="W112" s="111"/>
      <c r="X112" s="111"/>
      <c r="Y112" s="111"/>
    </row>
    <row r="113" spans="1:25" s="89" customFormat="1" ht="14.5" customHeight="1" thickBot="1" x14ac:dyDescent="0.3">
      <c r="A113" s="109" t="s">
        <v>200</v>
      </c>
      <c r="B113" s="109" t="s">
        <v>201</v>
      </c>
      <c r="C113" s="109" t="s">
        <v>202</v>
      </c>
      <c r="D113" s="109" t="s">
        <v>203</v>
      </c>
      <c r="E113" s="109"/>
      <c r="F113" s="109" t="s">
        <v>251</v>
      </c>
      <c r="G113" s="109" t="s">
        <v>205</v>
      </c>
      <c r="H113" s="109" t="s">
        <v>252</v>
      </c>
      <c r="I113" s="109">
        <v>30</v>
      </c>
      <c r="J113" s="109" t="s">
        <v>293</v>
      </c>
      <c r="K113" s="109">
        <v>30.2</v>
      </c>
      <c r="L113" s="109">
        <v>90.5</v>
      </c>
      <c r="M113" s="109"/>
      <c r="N113" s="109">
        <v>67</v>
      </c>
      <c r="O113" s="109">
        <v>65</v>
      </c>
      <c r="P113" s="109" t="s">
        <v>150</v>
      </c>
      <c r="Q113" s="109" t="s">
        <v>208</v>
      </c>
      <c r="R113" s="109">
        <v>2</v>
      </c>
      <c r="S113" s="109"/>
      <c r="T113" s="109" t="s">
        <v>220</v>
      </c>
      <c r="U113" s="109" t="s">
        <v>292</v>
      </c>
      <c r="V113" s="109"/>
      <c r="W113" s="109"/>
      <c r="X113" s="110">
        <v>46107.690636574072</v>
      </c>
      <c r="Y113" s="109" t="s">
        <v>254</v>
      </c>
    </row>
    <row r="114" spans="1:25" s="89" customFormat="1" ht="14.5" customHeight="1" thickBot="1" x14ac:dyDescent="0.3">
      <c r="A114" s="109" t="s">
        <v>211</v>
      </c>
      <c r="B114" s="111"/>
      <c r="C114" s="111"/>
      <c r="D114" s="111"/>
      <c r="E114" s="111"/>
      <c r="F114" s="111"/>
      <c r="G114" s="111"/>
      <c r="H114" s="111"/>
      <c r="I114" s="111"/>
      <c r="J114" s="111"/>
      <c r="K114" s="111"/>
      <c r="L114" s="111"/>
      <c r="M114" s="111"/>
      <c r="N114" s="111"/>
      <c r="O114" s="111"/>
      <c r="P114" s="111"/>
      <c r="Q114" s="111"/>
      <c r="R114" s="111"/>
      <c r="S114" s="111"/>
      <c r="T114" s="111"/>
      <c r="U114" s="111"/>
      <c r="V114" s="111"/>
      <c r="W114" s="111"/>
      <c r="X114" s="111"/>
      <c r="Y114" s="111"/>
    </row>
    <row r="115" spans="1:25" s="89" customFormat="1" ht="14.5" customHeight="1" thickBot="1" x14ac:dyDescent="0.3">
      <c r="A115" s="109" t="s">
        <v>200</v>
      </c>
      <c r="B115" s="109" t="s">
        <v>201</v>
      </c>
      <c r="C115" s="109" t="s">
        <v>202</v>
      </c>
      <c r="D115" s="109" t="s">
        <v>203</v>
      </c>
      <c r="E115" s="109"/>
      <c r="F115" s="109" t="s">
        <v>251</v>
      </c>
      <c r="G115" s="109" t="s">
        <v>205</v>
      </c>
      <c r="H115" s="109" t="s">
        <v>252</v>
      </c>
      <c r="I115" s="109">
        <v>30</v>
      </c>
      <c r="J115" s="109" t="s">
        <v>294</v>
      </c>
      <c r="K115" s="109">
        <v>28.8</v>
      </c>
      <c r="L115" s="109">
        <v>86.5</v>
      </c>
      <c r="M115" s="109"/>
      <c r="N115" s="109">
        <v>67</v>
      </c>
      <c r="O115" s="109">
        <v>65</v>
      </c>
      <c r="P115" s="109" t="s">
        <v>150</v>
      </c>
      <c r="Q115" s="109" t="s">
        <v>208</v>
      </c>
      <c r="R115" s="109">
        <v>2</v>
      </c>
      <c r="S115" s="109"/>
      <c r="T115" s="109" t="s">
        <v>220</v>
      </c>
      <c r="U115" s="109" t="s">
        <v>292</v>
      </c>
      <c r="V115" s="109"/>
      <c r="W115" s="109"/>
      <c r="X115" s="110">
        <v>46107.690636574072</v>
      </c>
      <c r="Y115" s="109" t="s">
        <v>254</v>
      </c>
    </row>
    <row r="116" spans="1:25" s="89" customFormat="1" ht="14.5" customHeight="1" thickBot="1" x14ac:dyDescent="0.3">
      <c r="A116" s="109" t="s">
        <v>211</v>
      </c>
      <c r="B116" s="111"/>
      <c r="C116" s="111"/>
      <c r="D116" s="111"/>
      <c r="E116" s="111"/>
      <c r="F116" s="111"/>
      <c r="G116" s="111"/>
      <c r="H116" s="111"/>
      <c r="I116" s="111"/>
      <c r="J116" s="111"/>
      <c r="K116" s="111"/>
      <c r="L116" s="111"/>
      <c r="M116" s="111"/>
      <c r="N116" s="111"/>
      <c r="O116" s="111"/>
      <c r="P116" s="111"/>
      <c r="Q116" s="111"/>
      <c r="R116" s="111"/>
      <c r="S116" s="111"/>
      <c r="T116" s="111"/>
      <c r="U116" s="111"/>
      <c r="V116" s="111"/>
      <c r="W116" s="111"/>
      <c r="X116" s="111"/>
      <c r="Y116" s="111"/>
    </row>
    <row r="117" spans="1:25" s="89" customFormat="1" ht="14.5" customHeight="1" thickBot="1" x14ac:dyDescent="0.3">
      <c r="A117" s="109" t="s">
        <v>200</v>
      </c>
      <c r="B117" s="109" t="s">
        <v>201</v>
      </c>
      <c r="C117" s="109" t="s">
        <v>202</v>
      </c>
      <c r="D117" s="109" t="s">
        <v>203</v>
      </c>
      <c r="E117" s="109"/>
      <c r="F117" s="109" t="s">
        <v>251</v>
      </c>
      <c r="G117" s="109" t="s">
        <v>205</v>
      </c>
      <c r="H117" s="109" t="s">
        <v>252</v>
      </c>
      <c r="I117" s="109">
        <v>30</v>
      </c>
      <c r="J117" s="109" t="s">
        <v>295</v>
      </c>
      <c r="K117" s="109">
        <v>26.7</v>
      </c>
      <c r="L117" s="109">
        <v>80</v>
      </c>
      <c r="M117" s="109"/>
      <c r="N117" s="109">
        <v>67</v>
      </c>
      <c r="O117" s="109">
        <v>66</v>
      </c>
      <c r="P117" s="109" t="s">
        <v>150</v>
      </c>
      <c r="Q117" s="109" t="s">
        <v>208</v>
      </c>
      <c r="R117" s="109">
        <v>1</v>
      </c>
      <c r="S117" s="109"/>
      <c r="T117" s="109" t="s">
        <v>220</v>
      </c>
      <c r="U117" s="109" t="s">
        <v>227</v>
      </c>
      <c r="V117" s="109"/>
      <c r="W117" s="109"/>
      <c r="X117" s="110">
        <v>46107.690636574072</v>
      </c>
      <c r="Y117" s="109" t="s">
        <v>254</v>
      </c>
    </row>
    <row r="118" spans="1:25" s="89" customFormat="1" ht="14.5" customHeight="1" thickBot="1" x14ac:dyDescent="0.3">
      <c r="A118" s="109" t="s">
        <v>211</v>
      </c>
      <c r="B118" s="111"/>
      <c r="C118" s="111"/>
      <c r="D118" s="111"/>
      <c r="E118" s="111"/>
      <c r="F118" s="111"/>
      <c r="G118" s="111"/>
      <c r="H118" s="111"/>
      <c r="I118" s="111"/>
      <c r="J118" s="111"/>
      <c r="K118" s="111"/>
      <c r="L118" s="111"/>
      <c r="M118" s="111"/>
      <c r="N118" s="111"/>
      <c r="O118" s="111"/>
      <c r="P118" s="111"/>
      <c r="Q118" s="111"/>
      <c r="R118" s="111"/>
      <c r="S118" s="111"/>
      <c r="T118" s="111"/>
      <c r="U118" s="111"/>
      <c r="V118" s="111"/>
      <c r="W118" s="111"/>
      <c r="X118" s="111"/>
      <c r="Y118" s="111"/>
    </row>
    <row r="119" spans="1:25" s="89" customFormat="1" ht="14.5" customHeight="1" thickBot="1" x14ac:dyDescent="0.3">
      <c r="A119" s="109" t="s">
        <v>200</v>
      </c>
      <c r="B119" s="109" t="s">
        <v>201</v>
      </c>
      <c r="C119" s="109" t="s">
        <v>202</v>
      </c>
      <c r="D119" s="109" t="s">
        <v>203</v>
      </c>
      <c r="E119" s="109"/>
      <c r="F119" s="109" t="s">
        <v>251</v>
      </c>
      <c r="G119" s="109" t="s">
        <v>205</v>
      </c>
      <c r="H119" s="109" t="s">
        <v>252</v>
      </c>
      <c r="I119" s="109">
        <v>30</v>
      </c>
      <c r="J119" s="109" t="s">
        <v>296</v>
      </c>
      <c r="K119" s="109">
        <v>30</v>
      </c>
      <c r="L119" s="109">
        <v>90</v>
      </c>
      <c r="M119" s="109"/>
      <c r="N119" s="109">
        <v>67</v>
      </c>
      <c r="O119" s="109">
        <v>66</v>
      </c>
      <c r="P119" s="109" t="s">
        <v>150</v>
      </c>
      <c r="Q119" s="109" t="s">
        <v>208</v>
      </c>
      <c r="R119" s="109">
        <v>1</v>
      </c>
      <c r="S119" s="109"/>
      <c r="T119" s="109" t="s">
        <v>220</v>
      </c>
      <c r="U119" s="109" t="s">
        <v>227</v>
      </c>
      <c r="V119" s="109"/>
      <c r="W119" s="109"/>
      <c r="X119" s="110">
        <v>46107.690636574072</v>
      </c>
      <c r="Y119" s="109" t="s">
        <v>254</v>
      </c>
    </row>
    <row r="120" spans="1:25" s="89" customFormat="1" ht="14.5" customHeight="1" thickBot="1" x14ac:dyDescent="0.3">
      <c r="A120" s="109" t="s">
        <v>211</v>
      </c>
      <c r="B120" s="111"/>
      <c r="C120" s="111"/>
      <c r="D120" s="111"/>
      <c r="E120" s="111"/>
      <c r="F120" s="111"/>
      <c r="G120" s="111"/>
      <c r="H120" s="111"/>
      <c r="I120" s="111"/>
      <c r="J120" s="111"/>
      <c r="K120" s="111"/>
      <c r="L120" s="111"/>
      <c r="M120" s="111"/>
      <c r="N120" s="111"/>
      <c r="O120" s="111"/>
      <c r="P120" s="111"/>
      <c r="Q120" s="111"/>
      <c r="R120" s="111"/>
      <c r="S120" s="111"/>
      <c r="T120" s="111"/>
      <c r="U120" s="111"/>
      <c r="V120" s="111"/>
      <c r="W120" s="111"/>
      <c r="X120" s="111"/>
      <c r="Y120" s="111"/>
    </row>
    <row r="121" spans="1:25" s="89" customFormat="1" ht="14.5" customHeight="1" thickBot="1" x14ac:dyDescent="0.3">
      <c r="A121" s="109" t="s">
        <v>200</v>
      </c>
      <c r="B121" s="109" t="s">
        <v>201</v>
      </c>
      <c r="C121" s="109" t="s">
        <v>202</v>
      </c>
      <c r="D121" s="109" t="s">
        <v>203</v>
      </c>
      <c r="E121" s="109"/>
      <c r="F121" s="109" t="s">
        <v>251</v>
      </c>
      <c r="G121" s="109" t="s">
        <v>205</v>
      </c>
      <c r="H121" s="109" t="s">
        <v>252</v>
      </c>
      <c r="I121" s="109">
        <v>30</v>
      </c>
      <c r="J121" s="109" t="s">
        <v>297</v>
      </c>
      <c r="K121" s="109">
        <v>30.6</v>
      </c>
      <c r="L121" s="109">
        <v>91.5</v>
      </c>
      <c r="M121" s="109"/>
      <c r="N121" s="109">
        <v>67</v>
      </c>
      <c r="O121" s="109">
        <v>66</v>
      </c>
      <c r="P121" s="109" t="s">
        <v>150</v>
      </c>
      <c r="Q121" s="109" t="s">
        <v>208</v>
      </c>
      <c r="R121" s="109">
        <v>1</v>
      </c>
      <c r="S121" s="109"/>
      <c r="T121" s="109" t="s">
        <v>220</v>
      </c>
      <c r="U121" s="109" t="s">
        <v>227</v>
      </c>
      <c r="V121" s="109"/>
      <c r="W121" s="109"/>
      <c r="X121" s="110">
        <v>46107.690636574072</v>
      </c>
      <c r="Y121" s="109" t="s">
        <v>254</v>
      </c>
    </row>
    <row r="122" spans="1:25" s="89" customFormat="1" ht="14.5" customHeight="1" thickBot="1" x14ac:dyDescent="0.3">
      <c r="A122" s="109" t="s">
        <v>211</v>
      </c>
      <c r="B122" s="111"/>
      <c r="C122" s="111"/>
      <c r="D122" s="111"/>
      <c r="E122" s="111"/>
      <c r="F122" s="111"/>
      <c r="G122" s="111"/>
      <c r="H122" s="111"/>
      <c r="I122" s="111"/>
      <c r="J122" s="111"/>
      <c r="K122" s="111"/>
      <c r="L122" s="111"/>
      <c r="M122" s="111"/>
      <c r="N122" s="111"/>
      <c r="O122" s="111"/>
      <c r="P122" s="111"/>
      <c r="Q122" s="111"/>
      <c r="R122" s="111"/>
      <c r="S122" s="111"/>
      <c r="T122" s="111"/>
      <c r="U122" s="111"/>
      <c r="V122" s="111"/>
      <c r="W122" s="111"/>
      <c r="X122" s="111"/>
      <c r="Y122" s="111"/>
    </row>
    <row r="123" spans="1:25" s="89" customFormat="1" ht="14.5" customHeight="1" thickBot="1" x14ac:dyDescent="0.3">
      <c r="A123" s="109" t="s">
        <v>200</v>
      </c>
      <c r="B123" s="109" t="s">
        <v>201</v>
      </c>
      <c r="C123" s="109" t="s">
        <v>202</v>
      </c>
      <c r="D123" s="109" t="s">
        <v>203</v>
      </c>
      <c r="E123" s="109"/>
      <c r="F123" s="109" t="s">
        <v>251</v>
      </c>
      <c r="G123" s="109" t="s">
        <v>205</v>
      </c>
      <c r="H123" s="109" t="s">
        <v>252</v>
      </c>
      <c r="I123" s="109">
        <v>30</v>
      </c>
      <c r="J123" s="109" t="s">
        <v>298</v>
      </c>
      <c r="K123" s="109">
        <v>30.4</v>
      </c>
      <c r="L123" s="109">
        <v>91</v>
      </c>
      <c r="M123" s="109"/>
      <c r="N123" s="109">
        <v>67</v>
      </c>
      <c r="O123" s="109">
        <v>66</v>
      </c>
      <c r="P123" s="109" t="s">
        <v>150</v>
      </c>
      <c r="Q123" s="109" t="s">
        <v>208</v>
      </c>
      <c r="R123" s="109">
        <v>1</v>
      </c>
      <c r="S123" s="109"/>
      <c r="T123" s="109" t="s">
        <v>220</v>
      </c>
      <c r="U123" s="109" t="s">
        <v>227</v>
      </c>
      <c r="V123" s="109"/>
      <c r="W123" s="109"/>
      <c r="X123" s="110">
        <v>46107.690636574072</v>
      </c>
      <c r="Y123" s="109" t="s">
        <v>254</v>
      </c>
    </row>
    <row r="124" spans="1:25" s="89" customFormat="1" ht="14.5" customHeight="1" thickBot="1" x14ac:dyDescent="0.3">
      <c r="A124" s="109" t="s">
        <v>211</v>
      </c>
      <c r="B124" s="111"/>
      <c r="C124" s="111"/>
      <c r="D124" s="111"/>
      <c r="E124" s="111"/>
      <c r="F124" s="111"/>
      <c r="G124" s="111"/>
      <c r="H124" s="111"/>
      <c r="I124" s="111"/>
      <c r="J124" s="111"/>
      <c r="K124" s="111"/>
      <c r="L124" s="111"/>
      <c r="M124" s="111"/>
      <c r="N124" s="111"/>
      <c r="O124" s="111"/>
      <c r="P124" s="111"/>
      <c r="Q124" s="111"/>
      <c r="R124" s="111"/>
      <c r="S124" s="111"/>
      <c r="T124" s="111"/>
      <c r="U124" s="111"/>
      <c r="V124" s="111"/>
      <c r="W124" s="111"/>
      <c r="X124" s="111"/>
      <c r="Y124" s="111"/>
    </row>
    <row r="125" spans="1:25" s="89" customFormat="1" ht="14.5" customHeight="1" thickBot="1" x14ac:dyDescent="0.3">
      <c r="A125" s="109" t="s">
        <v>200</v>
      </c>
      <c r="B125" s="109" t="s">
        <v>201</v>
      </c>
      <c r="C125" s="109" t="s">
        <v>202</v>
      </c>
      <c r="D125" s="109" t="s">
        <v>203</v>
      </c>
      <c r="E125" s="109"/>
      <c r="F125" s="109" t="s">
        <v>251</v>
      </c>
      <c r="G125" s="109" t="s">
        <v>205</v>
      </c>
      <c r="H125" s="109" t="s">
        <v>252</v>
      </c>
      <c r="I125" s="109">
        <v>30</v>
      </c>
      <c r="J125" s="109" t="s">
        <v>299</v>
      </c>
      <c r="K125" s="109">
        <v>27.6</v>
      </c>
      <c r="L125" s="109">
        <v>82.5</v>
      </c>
      <c r="M125" s="109"/>
      <c r="N125" s="109">
        <v>67</v>
      </c>
      <c r="O125" s="109">
        <v>66</v>
      </c>
      <c r="P125" s="109" t="s">
        <v>150</v>
      </c>
      <c r="Q125" s="109" t="s">
        <v>208</v>
      </c>
      <c r="R125" s="109">
        <v>1</v>
      </c>
      <c r="S125" s="109"/>
      <c r="T125" s="109" t="s">
        <v>220</v>
      </c>
      <c r="U125" s="109" t="s">
        <v>224</v>
      </c>
      <c r="V125" s="109"/>
      <c r="W125" s="109"/>
      <c r="X125" s="110">
        <v>46107.690636574072</v>
      </c>
      <c r="Y125" s="109" t="s">
        <v>254</v>
      </c>
    </row>
    <row r="126" spans="1:25" s="89" customFormat="1" ht="14.5" customHeight="1" thickBot="1" x14ac:dyDescent="0.3">
      <c r="A126" s="109" t="s">
        <v>211</v>
      </c>
      <c r="B126" s="111"/>
      <c r="C126" s="111"/>
      <c r="D126" s="111"/>
      <c r="E126" s="111"/>
      <c r="F126" s="111"/>
      <c r="G126" s="111"/>
      <c r="H126" s="111"/>
      <c r="I126" s="111"/>
      <c r="J126" s="111"/>
      <c r="K126" s="111"/>
      <c r="L126" s="111"/>
      <c r="M126" s="111"/>
      <c r="N126" s="111"/>
      <c r="O126" s="111"/>
      <c r="P126" s="111"/>
      <c r="Q126" s="111"/>
      <c r="R126" s="111"/>
      <c r="S126" s="111"/>
      <c r="T126" s="111"/>
      <c r="U126" s="111"/>
      <c r="V126" s="111"/>
      <c r="W126" s="111"/>
      <c r="X126" s="111"/>
      <c r="Y126" s="111"/>
    </row>
    <row r="127" spans="1:25" s="89" customFormat="1" ht="14.5" customHeight="1" thickBot="1" x14ac:dyDescent="0.3">
      <c r="A127" s="109" t="s">
        <v>200</v>
      </c>
      <c r="B127" s="109" t="s">
        <v>201</v>
      </c>
      <c r="C127" s="109" t="s">
        <v>202</v>
      </c>
      <c r="D127" s="109" t="s">
        <v>203</v>
      </c>
      <c r="E127" s="109"/>
      <c r="F127" s="109" t="s">
        <v>251</v>
      </c>
      <c r="G127" s="109" t="s">
        <v>205</v>
      </c>
      <c r="H127" s="109" t="s">
        <v>252</v>
      </c>
      <c r="I127" s="109">
        <v>30</v>
      </c>
      <c r="J127" s="109" t="s">
        <v>300</v>
      </c>
      <c r="K127" s="109">
        <v>30.2</v>
      </c>
      <c r="L127" s="109">
        <v>90.5</v>
      </c>
      <c r="M127" s="109"/>
      <c r="N127" s="109">
        <v>67</v>
      </c>
      <c r="O127" s="109">
        <v>66</v>
      </c>
      <c r="P127" s="109" t="s">
        <v>150</v>
      </c>
      <c r="Q127" s="109" t="s">
        <v>208</v>
      </c>
      <c r="R127" s="109">
        <v>1</v>
      </c>
      <c r="S127" s="109"/>
      <c r="T127" s="109" t="s">
        <v>220</v>
      </c>
      <c r="U127" s="109" t="s">
        <v>224</v>
      </c>
      <c r="V127" s="109"/>
      <c r="W127" s="109"/>
      <c r="X127" s="110">
        <v>46107.690636574072</v>
      </c>
      <c r="Y127" s="109" t="s">
        <v>254</v>
      </c>
    </row>
    <row r="128" spans="1:25" s="89" customFormat="1" ht="14.5" customHeight="1" thickBot="1" x14ac:dyDescent="0.3">
      <c r="A128" s="109" t="s">
        <v>211</v>
      </c>
      <c r="B128" s="111"/>
      <c r="C128" s="111"/>
      <c r="D128" s="111"/>
      <c r="E128" s="111"/>
      <c r="F128" s="111"/>
      <c r="G128" s="111"/>
      <c r="H128" s="111"/>
      <c r="I128" s="111"/>
      <c r="J128" s="111"/>
      <c r="K128" s="111"/>
      <c r="L128" s="111"/>
      <c r="M128" s="111"/>
      <c r="N128" s="111"/>
      <c r="O128" s="111"/>
      <c r="P128" s="111"/>
      <c r="Q128" s="111"/>
      <c r="R128" s="111"/>
      <c r="S128" s="111"/>
      <c r="T128" s="111"/>
      <c r="U128" s="111"/>
      <c r="V128" s="111"/>
      <c r="W128" s="111"/>
      <c r="X128" s="111"/>
      <c r="Y128" s="111"/>
    </row>
    <row r="129" spans="1:25" s="89" customFormat="1" ht="14.5" customHeight="1" thickBot="1" x14ac:dyDescent="0.3">
      <c r="A129" s="109" t="s">
        <v>200</v>
      </c>
      <c r="B129" s="109" t="s">
        <v>201</v>
      </c>
      <c r="C129" s="109" t="s">
        <v>202</v>
      </c>
      <c r="D129" s="109" t="s">
        <v>203</v>
      </c>
      <c r="E129" s="109"/>
      <c r="F129" s="109" t="s">
        <v>251</v>
      </c>
      <c r="G129" s="109" t="s">
        <v>205</v>
      </c>
      <c r="H129" s="109" t="s">
        <v>252</v>
      </c>
      <c r="I129" s="109">
        <v>30</v>
      </c>
      <c r="J129" s="109" t="s">
        <v>301</v>
      </c>
      <c r="K129" s="109">
        <v>30.4</v>
      </c>
      <c r="L129" s="109">
        <v>91</v>
      </c>
      <c r="M129" s="109"/>
      <c r="N129" s="109">
        <v>67</v>
      </c>
      <c r="O129" s="109">
        <v>66</v>
      </c>
      <c r="P129" s="109" t="s">
        <v>150</v>
      </c>
      <c r="Q129" s="109" t="s">
        <v>208</v>
      </c>
      <c r="R129" s="109">
        <v>1</v>
      </c>
      <c r="S129" s="109"/>
      <c r="T129" s="109" t="s">
        <v>220</v>
      </c>
      <c r="U129" s="109" t="s">
        <v>224</v>
      </c>
      <c r="V129" s="109"/>
      <c r="W129" s="109"/>
      <c r="X129" s="110">
        <v>46107.690636574072</v>
      </c>
      <c r="Y129" s="109" t="s">
        <v>254</v>
      </c>
    </row>
    <row r="130" spans="1:25" s="89" customFormat="1" ht="14.5" customHeight="1" thickBot="1" x14ac:dyDescent="0.3">
      <c r="A130" s="109" t="s">
        <v>211</v>
      </c>
      <c r="B130" s="111"/>
      <c r="C130" s="111"/>
      <c r="D130" s="111"/>
      <c r="E130" s="111"/>
      <c r="F130" s="111"/>
      <c r="G130" s="111"/>
      <c r="H130" s="111"/>
      <c r="I130" s="111"/>
      <c r="J130" s="111"/>
      <c r="K130" s="111"/>
      <c r="L130" s="111"/>
      <c r="M130" s="111"/>
      <c r="N130" s="111"/>
      <c r="O130" s="111"/>
      <c r="P130" s="111"/>
      <c r="Q130" s="111"/>
      <c r="R130" s="111"/>
      <c r="S130" s="111"/>
      <c r="T130" s="111"/>
      <c r="U130" s="111"/>
      <c r="V130" s="111"/>
      <c r="W130" s="111"/>
      <c r="X130" s="111"/>
      <c r="Y130" s="111"/>
    </row>
    <row r="131" spans="1:25" s="89" customFormat="1" ht="14.5" customHeight="1" thickBot="1" x14ac:dyDescent="0.3">
      <c r="A131" s="109" t="s">
        <v>200</v>
      </c>
      <c r="B131" s="109" t="s">
        <v>201</v>
      </c>
      <c r="C131" s="109" t="s">
        <v>202</v>
      </c>
      <c r="D131" s="109" t="s">
        <v>203</v>
      </c>
      <c r="E131" s="109"/>
      <c r="F131" s="109" t="s">
        <v>251</v>
      </c>
      <c r="G131" s="109" t="s">
        <v>205</v>
      </c>
      <c r="H131" s="109" t="s">
        <v>252</v>
      </c>
      <c r="I131" s="109">
        <v>30</v>
      </c>
      <c r="J131" s="109" t="s">
        <v>302</v>
      </c>
      <c r="K131" s="109">
        <v>27.7</v>
      </c>
      <c r="L131" s="109">
        <v>83</v>
      </c>
      <c r="M131" s="109"/>
      <c r="N131" s="109">
        <v>67</v>
      </c>
      <c r="O131" s="109">
        <v>66</v>
      </c>
      <c r="P131" s="109" t="s">
        <v>150</v>
      </c>
      <c r="Q131" s="109" t="s">
        <v>208</v>
      </c>
      <c r="R131" s="109">
        <v>1</v>
      </c>
      <c r="S131" s="109"/>
      <c r="T131" s="109" t="s">
        <v>220</v>
      </c>
      <c r="U131" s="109" t="s">
        <v>224</v>
      </c>
      <c r="V131" s="109"/>
      <c r="W131" s="109"/>
      <c r="X131" s="110">
        <v>46107.690636574072</v>
      </c>
      <c r="Y131" s="109" t="s">
        <v>254</v>
      </c>
    </row>
    <row r="132" spans="1:25" s="89" customFormat="1" ht="14.5" customHeight="1" thickBot="1" x14ac:dyDescent="0.3">
      <c r="A132" s="109" t="s">
        <v>211</v>
      </c>
      <c r="B132" s="111"/>
      <c r="C132" s="111"/>
      <c r="D132" s="111"/>
      <c r="E132" s="111"/>
      <c r="F132" s="111"/>
      <c r="G132" s="111"/>
      <c r="H132" s="111"/>
      <c r="I132" s="111"/>
      <c r="J132" s="111"/>
      <c r="K132" s="111"/>
      <c r="L132" s="111"/>
      <c r="M132" s="111"/>
      <c r="N132" s="111"/>
      <c r="O132" s="111"/>
      <c r="P132" s="111"/>
      <c r="Q132" s="111"/>
      <c r="R132" s="111"/>
      <c r="S132" s="111"/>
      <c r="T132" s="111"/>
      <c r="U132" s="111"/>
      <c r="V132" s="111"/>
      <c r="W132" s="111"/>
      <c r="X132" s="111"/>
      <c r="Y132" s="111"/>
    </row>
    <row r="133" spans="1:25" s="89" customFormat="1" ht="14.5" customHeight="1" thickBot="1" x14ac:dyDescent="0.3">
      <c r="A133" s="109" t="s">
        <v>200</v>
      </c>
      <c r="B133" s="109" t="s">
        <v>201</v>
      </c>
      <c r="C133" s="109" t="s">
        <v>202</v>
      </c>
      <c r="D133" s="109" t="s">
        <v>203</v>
      </c>
      <c r="E133" s="109"/>
      <c r="F133" s="109" t="s">
        <v>251</v>
      </c>
      <c r="G133" s="109" t="s">
        <v>205</v>
      </c>
      <c r="H133" s="109" t="s">
        <v>252</v>
      </c>
      <c r="I133" s="109">
        <v>30</v>
      </c>
      <c r="J133" s="109" t="s">
        <v>303</v>
      </c>
      <c r="K133" s="109">
        <v>30.5</v>
      </c>
      <c r="L133" s="109">
        <v>91.5</v>
      </c>
      <c r="M133" s="109"/>
      <c r="N133" s="109">
        <v>67</v>
      </c>
      <c r="O133" s="109">
        <v>66</v>
      </c>
      <c r="P133" s="109" t="s">
        <v>150</v>
      </c>
      <c r="Q133" s="109" t="s">
        <v>208</v>
      </c>
      <c r="R133" s="109">
        <v>1</v>
      </c>
      <c r="S133" s="109"/>
      <c r="T133" s="109" t="s">
        <v>220</v>
      </c>
      <c r="U133" s="109" t="s">
        <v>224</v>
      </c>
      <c r="V133" s="109"/>
      <c r="W133" s="109"/>
      <c r="X133" s="110">
        <v>46107.690636574072</v>
      </c>
      <c r="Y133" s="109" t="s">
        <v>254</v>
      </c>
    </row>
    <row r="134" spans="1:25" s="89" customFormat="1" ht="14.5" customHeight="1" thickBot="1" x14ac:dyDescent="0.3">
      <c r="A134" s="109" t="s">
        <v>211</v>
      </c>
      <c r="B134" s="111"/>
      <c r="C134" s="111"/>
      <c r="D134" s="111"/>
      <c r="E134" s="111"/>
      <c r="F134" s="111"/>
      <c r="G134" s="111"/>
      <c r="H134" s="111"/>
      <c r="I134" s="111"/>
      <c r="J134" s="111"/>
      <c r="K134" s="111"/>
      <c r="L134" s="111"/>
      <c r="M134" s="111"/>
      <c r="N134" s="111"/>
      <c r="O134" s="111"/>
      <c r="P134" s="111"/>
      <c r="Q134" s="111"/>
      <c r="R134" s="111"/>
      <c r="S134" s="111"/>
      <c r="T134" s="111"/>
      <c r="U134" s="111"/>
      <c r="V134" s="111"/>
      <c r="W134" s="111"/>
      <c r="X134" s="111"/>
      <c r="Y134" s="111"/>
    </row>
    <row r="135" spans="1:25" s="89" customFormat="1" ht="14.5" customHeight="1" thickBot="1" x14ac:dyDescent="0.3">
      <c r="A135" s="109" t="s">
        <v>200</v>
      </c>
      <c r="B135" s="109" t="s">
        <v>201</v>
      </c>
      <c r="C135" s="109" t="s">
        <v>202</v>
      </c>
      <c r="D135" s="109" t="s">
        <v>203</v>
      </c>
      <c r="E135" s="109"/>
      <c r="F135" s="109" t="s">
        <v>251</v>
      </c>
      <c r="G135" s="109" t="s">
        <v>205</v>
      </c>
      <c r="H135" s="109" t="s">
        <v>252</v>
      </c>
      <c r="I135" s="109">
        <v>30</v>
      </c>
      <c r="J135" s="109" t="s">
        <v>304</v>
      </c>
      <c r="K135" s="109">
        <v>30.4</v>
      </c>
      <c r="L135" s="109">
        <v>91</v>
      </c>
      <c r="M135" s="109"/>
      <c r="N135" s="109">
        <v>67</v>
      </c>
      <c r="O135" s="109">
        <v>66</v>
      </c>
      <c r="P135" s="109" t="s">
        <v>150</v>
      </c>
      <c r="Q135" s="109" t="s">
        <v>208</v>
      </c>
      <c r="R135" s="109">
        <v>1</v>
      </c>
      <c r="S135" s="109"/>
      <c r="T135" s="109" t="s">
        <v>220</v>
      </c>
      <c r="U135" s="109" t="s">
        <v>227</v>
      </c>
      <c r="V135" s="109"/>
      <c r="W135" s="109"/>
      <c r="X135" s="110">
        <v>46107.690636574072</v>
      </c>
      <c r="Y135" s="109" t="s">
        <v>254</v>
      </c>
    </row>
    <row r="136" spans="1:25" s="89" customFormat="1" ht="14.5" customHeight="1" thickBot="1" x14ac:dyDescent="0.3">
      <c r="A136" s="109" t="s">
        <v>211</v>
      </c>
      <c r="B136" s="111"/>
      <c r="C136" s="111"/>
      <c r="D136" s="111"/>
      <c r="E136" s="111"/>
      <c r="F136" s="111"/>
      <c r="G136" s="111"/>
      <c r="H136" s="111"/>
      <c r="I136" s="111"/>
      <c r="J136" s="111"/>
      <c r="K136" s="111"/>
      <c r="L136" s="111"/>
      <c r="M136" s="111"/>
      <c r="N136" s="111"/>
      <c r="O136" s="111"/>
      <c r="P136" s="111"/>
      <c r="Q136" s="111"/>
      <c r="R136" s="111"/>
      <c r="S136" s="111"/>
      <c r="T136" s="111"/>
      <c r="U136" s="111"/>
      <c r="V136" s="111"/>
      <c r="W136" s="111"/>
      <c r="X136" s="111"/>
      <c r="Y136" s="111"/>
    </row>
    <row r="137" spans="1:25" s="89" customFormat="1" ht="14.5" customHeight="1" thickBot="1" x14ac:dyDescent="0.3">
      <c r="A137" s="109" t="s">
        <v>200</v>
      </c>
      <c r="B137" s="109" t="s">
        <v>201</v>
      </c>
      <c r="C137" s="109" t="s">
        <v>202</v>
      </c>
      <c r="D137" s="109" t="s">
        <v>203</v>
      </c>
      <c r="E137" s="109"/>
      <c r="F137" s="109" t="s">
        <v>251</v>
      </c>
      <c r="G137" s="109" t="s">
        <v>205</v>
      </c>
      <c r="H137" s="109" t="s">
        <v>252</v>
      </c>
      <c r="I137" s="109">
        <v>30</v>
      </c>
      <c r="J137" s="109" t="s">
        <v>305</v>
      </c>
      <c r="K137" s="109">
        <v>30.4</v>
      </c>
      <c r="L137" s="109">
        <v>91</v>
      </c>
      <c r="M137" s="109"/>
      <c r="N137" s="109">
        <v>67</v>
      </c>
      <c r="O137" s="109">
        <v>66</v>
      </c>
      <c r="P137" s="109" t="s">
        <v>150</v>
      </c>
      <c r="Q137" s="109" t="s">
        <v>208</v>
      </c>
      <c r="R137" s="109">
        <v>1</v>
      </c>
      <c r="S137" s="109"/>
      <c r="T137" s="109" t="s">
        <v>220</v>
      </c>
      <c r="U137" s="109" t="s">
        <v>306</v>
      </c>
      <c r="V137" s="109"/>
      <c r="W137" s="109"/>
      <c r="X137" s="110">
        <v>46107.690636574072</v>
      </c>
      <c r="Y137" s="109" t="s">
        <v>254</v>
      </c>
    </row>
    <row r="138" spans="1:25" s="89" customFormat="1" ht="14.5" customHeight="1" thickBot="1" x14ac:dyDescent="0.3">
      <c r="A138" s="109" t="s">
        <v>211</v>
      </c>
      <c r="B138" s="111"/>
      <c r="C138" s="111"/>
      <c r="D138" s="111"/>
      <c r="E138" s="111"/>
      <c r="F138" s="111"/>
      <c r="G138" s="111"/>
      <c r="H138" s="111"/>
      <c r="I138" s="111"/>
      <c r="J138" s="111"/>
      <c r="K138" s="111"/>
      <c r="L138" s="111"/>
      <c r="M138" s="111"/>
      <c r="N138" s="111"/>
      <c r="O138" s="111"/>
      <c r="P138" s="111"/>
      <c r="Q138" s="111"/>
      <c r="R138" s="111"/>
      <c r="S138" s="111"/>
      <c r="T138" s="111"/>
      <c r="U138" s="111"/>
      <c r="V138" s="111"/>
      <c r="W138" s="111"/>
      <c r="X138" s="111"/>
      <c r="Y138" s="111"/>
    </row>
    <row r="139" spans="1:25" s="89" customFormat="1" ht="14.5" customHeight="1" thickBot="1" x14ac:dyDescent="0.3">
      <c r="A139" s="109" t="s">
        <v>200</v>
      </c>
      <c r="B139" s="109" t="s">
        <v>201</v>
      </c>
      <c r="C139" s="109" t="s">
        <v>202</v>
      </c>
      <c r="D139" s="109" t="s">
        <v>203</v>
      </c>
      <c r="E139" s="109"/>
      <c r="F139" s="109" t="s">
        <v>251</v>
      </c>
      <c r="G139" s="109" t="s">
        <v>205</v>
      </c>
      <c r="H139" s="109" t="s">
        <v>252</v>
      </c>
      <c r="I139" s="109">
        <v>30</v>
      </c>
      <c r="J139" s="109" t="s">
        <v>307</v>
      </c>
      <c r="K139" s="109">
        <v>30.6</v>
      </c>
      <c r="L139" s="109">
        <v>91.5</v>
      </c>
      <c r="M139" s="109"/>
      <c r="N139" s="109">
        <v>67</v>
      </c>
      <c r="O139" s="109">
        <v>66</v>
      </c>
      <c r="P139" s="109" t="s">
        <v>150</v>
      </c>
      <c r="Q139" s="109" t="s">
        <v>208</v>
      </c>
      <c r="R139" s="109">
        <v>1</v>
      </c>
      <c r="S139" s="109"/>
      <c r="T139" s="109" t="s">
        <v>220</v>
      </c>
      <c r="U139" s="109" t="s">
        <v>227</v>
      </c>
      <c r="V139" s="109"/>
      <c r="W139" s="109"/>
      <c r="X139" s="110">
        <v>46107.690636574072</v>
      </c>
      <c r="Y139" s="109" t="s">
        <v>254</v>
      </c>
    </row>
    <row r="140" spans="1:25" s="89" customFormat="1" ht="14.5" customHeight="1" thickBot="1" x14ac:dyDescent="0.3">
      <c r="A140" s="109" t="s">
        <v>211</v>
      </c>
      <c r="B140" s="111"/>
      <c r="C140" s="111"/>
      <c r="D140" s="111"/>
      <c r="E140" s="111"/>
      <c r="F140" s="111"/>
      <c r="G140" s="111"/>
      <c r="H140" s="111"/>
      <c r="I140" s="111"/>
      <c r="J140" s="111"/>
      <c r="K140" s="111"/>
      <c r="L140" s="111"/>
      <c r="M140" s="111"/>
      <c r="N140" s="111"/>
      <c r="O140" s="111"/>
      <c r="P140" s="111"/>
      <c r="Q140" s="111"/>
      <c r="R140" s="111"/>
      <c r="S140" s="111"/>
      <c r="T140" s="111"/>
      <c r="U140" s="111"/>
      <c r="V140" s="111"/>
      <c r="W140" s="111"/>
      <c r="X140" s="111"/>
      <c r="Y140" s="111"/>
    </row>
    <row r="141" spans="1:25" s="89" customFormat="1" ht="14.5" customHeight="1" thickBot="1" x14ac:dyDescent="0.3">
      <c r="A141" s="109" t="s">
        <v>200</v>
      </c>
      <c r="B141" s="109" t="s">
        <v>201</v>
      </c>
      <c r="C141" s="109" t="s">
        <v>202</v>
      </c>
      <c r="D141" s="109" t="s">
        <v>203</v>
      </c>
      <c r="E141" s="109"/>
      <c r="F141" s="109" t="s">
        <v>308</v>
      </c>
      <c r="G141" s="109" t="s">
        <v>205</v>
      </c>
      <c r="H141" s="109" t="s">
        <v>309</v>
      </c>
      <c r="I141" s="109">
        <v>11</v>
      </c>
      <c r="J141" s="109" t="s">
        <v>310</v>
      </c>
      <c r="K141" s="109">
        <v>30.58</v>
      </c>
      <c r="L141" s="109">
        <v>91.5</v>
      </c>
      <c r="M141" s="109"/>
      <c r="N141" s="109">
        <v>70</v>
      </c>
      <c r="O141" s="109">
        <v>69</v>
      </c>
      <c r="P141" s="109" t="s">
        <v>150</v>
      </c>
      <c r="Q141" s="109" t="s">
        <v>208</v>
      </c>
      <c r="R141" s="109">
        <v>1</v>
      </c>
      <c r="S141" s="109"/>
      <c r="T141" s="109" t="s">
        <v>220</v>
      </c>
      <c r="U141" s="109" t="s">
        <v>224</v>
      </c>
      <c r="V141" s="109"/>
      <c r="W141" s="109"/>
      <c r="X141" s="110">
        <v>46111.647800925923</v>
      </c>
      <c r="Y141" s="109" t="s">
        <v>311</v>
      </c>
    </row>
    <row r="142" spans="1:25" s="89" customFormat="1" ht="14.5" customHeight="1" thickBot="1" x14ac:dyDescent="0.3">
      <c r="A142" s="109" t="s">
        <v>211</v>
      </c>
      <c r="B142" s="111"/>
      <c r="C142" s="111"/>
      <c r="D142" s="111"/>
      <c r="E142" s="111"/>
      <c r="F142" s="111"/>
      <c r="G142" s="111"/>
      <c r="H142" s="111"/>
      <c r="I142" s="111"/>
      <c r="J142" s="111"/>
      <c r="K142" s="111"/>
      <c r="L142" s="111"/>
      <c r="M142" s="111"/>
      <c r="N142" s="111"/>
      <c r="O142" s="111"/>
      <c r="P142" s="111"/>
      <c r="Q142" s="111"/>
      <c r="R142" s="111"/>
      <c r="S142" s="111"/>
      <c r="T142" s="111"/>
      <c r="U142" s="111"/>
      <c r="V142" s="111"/>
      <c r="W142" s="111"/>
      <c r="X142" s="111"/>
      <c r="Y142" s="111"/>
    </row>
    <row r="143" spans="1:25" s="89" customFormat="1" ht="14.5" customHeight="1" thickBot="1" x14ac:dyDescent="0.3">
      <c r="A143" s="109" t="s">
        <v>200</v>
      </c>
      <c r="B143" s="109" t="s">
        <v>201</v>
      </c>
      <c r="C143" s="109" t="s">
        <v>202</v>
      </c>
      <c r="D143" s="109" t="s">
        <v>203</v>
      </c>
      <c r="E143" s="109"/>
      <c r="F143" s="109" t="s">
        <v>312</v>
      </c>
      <c r="G143" s="109" t="s">
        <v>205</v>
      </c>
      <c r="H143" s="109" t="s">
        <v>313</v>
      </c>
      <c r="I143" s="109">
        <v>20</v>
      </c>
      <c r="J143" s="109" t="s">
        <v>314</v>
      </c>
      <c r="K143" s="109">
        <v>4.5</v>
      </c>
      <c r="L143" s="109">
        <v>13</v>
      </c>
      <c r="M143" s="109"/>
      <c r="N143" s="109">
        <v>70</v>
      </c>
      <c r="O143" s="109">
        <v>69</v>
      </c>
      <c r="P143" s="109" t="s">
        <v>150</v>
      </c>
      <c r="Q143" s="109" t="s">
        <v>208</v>
      </c>
      <c r="R143" s="109">
        <v>1</v>
      </c>
      <c r="S143" s="109"/>
      <c r="T143" s="109" t="s">
        <v>220</v>
      </c>
      <c r="U143" s="109" t="s">
        <v>315</v>
      </c>
      <c r="V143" s="109"/>
      <c r="W143" s="109"/>
      <c r="X143" s="110">
        <v>46125.669328703705</v>
      </c>
      <c r="Y143" s="109" t="s">
        <v>316</v>
      </c>
    </row>
    <row r="144" spans="1:25" s="89" customFormat="1" ht="14.5" customHeight="1" thickBot="1" x14ac:dyDescent="0.3">
      <c r="A144" s="109" t="s">
        <v>211</v>
      </c>
      <c r="B144" s="111"/>
      <c r="C144" s="111"/>
      <c r="D144" s="111"/>
      <c r="E144" s="111"/>
      <c r="F144" s="111"/>
      <c r="G144" s="111"/>
      <c r="H144" s="111"/>
      <c r="I144" s="111"/>
      <c r="J144" s="111"/>
      <c r="K144" s="111"/>
      <c r="L144" s="111"/>
      <c r="M144" s="111"/>
      <c r="N144" s="111"/>
      <c r="O144" s="111"/>
      <c r="P144" s="111"/>
      <c r="Q144" s="111"/>
      <c r="R144" s="111"/>
      <c r="S144" s="111"/>
      <c r="T144" s="111"/>
      <c r="U144" s="111"/>
      <c r="V144" s="111"/>
      <c r="W144" s="111"/>
      <c r="X144" s="111"/>
      <c r="Y144" s="111"/>
    </row>
    <row r="145" spans="1:25" s="89" customFormat="1" ht="14.5" customHeight="1" thickBot="1" x14ac:dyDescent="0.3">
      <c r="A145" s="109" t="s">
        <v>200</v>
      </c>
      <c r="B145" s="109" t="s">
        <v>201</v>
      </c>
      <c r="C145" s="109" t="s">
        <v>202</v>
      </c>
      <c r="D145" s="109" t="s">
        <v>203</v>
      </c>
      <c r="E145" s="109"/>
      <c r="F145" s="109" t="s">
        <v>312</v>
      </c>
      <c r="G145" s="109" t="s">
        <v>205</v>
      </c>
      <c r="H145" s="109" t="s">
        <v>313</v>
      </c>
      <c r="I145" s="109">
        <v>20</v>
      </c>
      <c r="J145" s="109" t="s">
        <v>317</v>
      </c>
      <c r="K145" s="109">
        <v>30.53</v>
      </c>
      <c r="L145" s="109">
        <v>90.5</v>
      </c>
      <c r="M145" s="109"/>
      <c r="N145" s="109">
        <v>70</v>
      </c>
      <c r="O145" s="109">
        <v>69</v>
      </c>
      <c r="P145" s="109" t="s">
        <v>150</v>
      </c>
      <c r="Q145" s="109" t="s">
        <v>208</v>
      </c>
      <c r="R145" s="109">
        <v>1</v>
      </c>
      <c r="S145" s="109"/>
      <c r="T145" s="109" t="s">
        <v>220</v>
      </c>
      <c r="U145" s="109" t="s">
        <v>315</v>
      </c>
      <c r="V145" s="109"/>
      <c r="W145" s="109"/>
      <c r="X145" s="110">
        <v>46124.63077546296</v>
      </c>
      <c r="Y145" s="109" t="s">
        <v>316</v>
      </c>
    </row>
    <row r="146" spans="1:25" s="89" customFormat="1" ht="14.5" customHeight="1" thickBot="1" x14ac:dyDescent="0.3">
      <c r="A146" s="109" t="s">
        <v>211</v>
      </c>
      <c r="B146" s="111"/>
      <c r="C146" s="111"/>
      <c r="D146" s="111"/>
      <c r="E146" s="111"/>
      <c r="F146" s="111"/>
      <c r="G146" s="111"/>
      <c r="H146" s="111"/>
      <c r="I146" s="111"/>
      <c r="J146" s="111"/>
      <c r="K146" s="111"/>
      <c r="L146" s="111"/>
      <c r="M146" s="111"/>
      <c r="N146" s="111"/>
      <c r="O146" s="111"/>
      <c r="P146" s="111"/>
      <c r="Q146" s="111"/>
      <c r="R146" s="111"/>
      <c r="S146" s="111"/>
      <c r="T146" s="111"/>
      <c r="U146" s="111"/>
      <c r="V146" s="111"/>
      <c r="W146" s="111"/>
      <c r="X146" s="111"/>
      <c r="Y146" s="111"/>
    </row>
    <row r="147" spans="1:25" s="89" customFormat="1" ht="14.5" customHeight="1" thickBot="1" x14ac:dyDescent="0.3">
      <c r="A147" s="109" t="s">
        <v>200</v>
      </c>
      <c r="B147" s="109" t="s">
        <v>201</v>
      </c>
      <c r="C147" s="109" t="s">
        <v>202</v>
      </c>
      <c r="D147" s="109" t="s">
        <v>203</v>
      </c>
      <c r="E147" s="109"/>
      <c r="F147" s="109" t="s">
        <v>312</v>
      </c>
      <c r="G147" s="109" t="s">
        <v>205</v>
      </c>
      <c r="H147" s="109" t="s">
        <v>313</v>
      </c>
      <c r="I147" s="109">
        <v>20</v>
      </c>
      <c r="J147" s="109" t="s">
        <v>318</v>
      </c>
      <c r="K147" s="109">
        <v>30.8</v>
      </c>
      <c r="L147" s="109">
        <v>91.5</v>
      </c>
      <c r="M147" s="109"/>
      <c r="N147" s="109">
        <v>70</v>
      </c>
      <c r="O147" s="109">
        <v>69</v>
      </c>
      <c r="P147" s="109" t="s">
        <v>150</v>
      </c>
      <c r="Q147" s="109" t="s">
        <v>208</v>
      </c>
      <c r="R147" s="109">
        <v>1</v>
      </c>
      <c r="S147" s="109"/>
      <c r="T147" s="109" t="s">
        <v>220</v>
      </c>
      <c r="U147" s="109" t="s">
        <v>315</v>
      </c>
      <c r="V147" s="109"/>
      <c r="W147" s="109"/>
      <c r="X147" s="110">
        <v>46124.63077546296</v>
      </c>
      <c r="Y147" s="109" t="s">
        <v>316</v>
      </c>
    </row>
    <row r="148" spans="1:25" s="89" customFormat="1" ht="14.5" customHeight="1" thickBot="1" x14ac:dyDescent="0.3">
      <c r="A148" s="109" t="s">
        <v>211</v>
      </c>
      <c r="B148" s="111"/>
      <c r="C148" s="111"/>
      <c r="D148" s="111"/>
      <c r="E148" s="111"/>
      <c r="F148" s="111"/>
      <c r="G148" s="111"/>
      <c r="H148" s="111"/>
      <c r="I148" s="111"/>
      <c r="J148" s="111"/>
      <c r="K148" s="111"/>
      <c r="L148" s="111"/>
      <c r="M148" s="111"/>
      <c r="N148" s="111"/>
      <c r="O148" s="111"/>
      <c r="P148" s="111"/>
      <c r="Q148" s="111"/>
      <c r="R148" s="111"/>
      <c r="S148" s="111"/>
      <c r="T148" s="111"/>
      <c r="U148" s="111"/>
      <c r="V148" s="111"/>
      <c r="W148" s="111"/>
      <c r="X148" s="111"/>
      <c r="Y148" s="111"/>
    </row>
    <row r="149" spans="1:25" s="89" customFormat="1" ht="14.5" customHeight="1" thickBot="1" x14ac:dyDescent="0.3">
      <c r="A149" s="109" t="s">
        <v>200</v>
      </c>
      <c r="B149" s="109" t="s">
        <v>201</v>
      </c>
      <c r="C149" s="109" t="s">
        <v>202</v>
      </c>
      <c r="D149" s="109" t="s">
        <v>203</v>
      </c>
      <c r="E149" s="109"/>
      <c r="F149" s="109" t="s">
        <v>312</v>
      </c>
      <c r="G149" s="109" t="s">
        <v>205</v>
      </c>
      <c r="H149" s="109" t="s">
        <v>313</v>
      </c>
      <c r="I149" s="109">
        <v>20</v>
      </c>
      <c r="J149" s="109" t="s">
        <v>319</v>
      </c>
      <c r="K149" s="109">
        <v>28.3</v>
      </c>
      <c r="L149" s="109">
        <v>84</v>
      </c>
      <c r="M149" s="109"/>
      <c r="N149" s="109">
        <v>70</v>
      </c>
      <c r="O149" s="109">
        <v>69</v>
      </c>
      <c r="P149" s="109" t="s">
        <v>150</v>
      </c>
      <c r="Q149" s="109" t="s">
        <v>208</v>
      </c>
      <c r="R149" s="109">
        <v>1</v>
      </c>
      <c r="S149" s="109"/>
      <c r="T149" s="109" t="s">
        <v>220</v>
      </c>
      <c r="U149" s="109" t="s">
        <v>315</v>
      </c>
      <c r="V149" s="109"/>
      <c r="W149" s="109"/>
      <c r="X149" s="110">
        <v>46124.63077546296</v>
      </c>
      <c r="Y149" s="109" t="s">
        <v>316</v>
      </c>
    </row>
    <row r="150" spans="1:25" s="89" customFormat="1" ht="14.5" customHeight="1" thickBot="1" x14ac:dyDescent="0.3">
      <c r="A150" s="109" t="s">
        <v>211</v>
      </c>
      <c r="B150" s="111"/>
      <c r="C150" s="111"/>
      <c r="D150" s="111"/>
      <c r="E150" s="111"/>
      <c r="F150" s="111"/>
      <c r="G150" s="111"/>
      <c r="H150" s="111"/>
      <c r="I150" s="111"/>
      <c r="J150" s="111"/>
      <c r="K150" s="111"/>
      <c r="L150" s="111"/>
      <c r="M150" s="111"/>
      <c r="N150" s="111"/>
      <c r="O150" s="111"/>
      <c r="P150" s="111"/>
      <c r="Q150" s="111"/>
      <c r="R150" s="111"/>
      <c r="S150" s="111"/>
      <c r="T150" s="111"/>
      <c r="U150" s="111"/>
      <c r="V150" s="111"/>
      <c r="W150" s="111"/>
      <c r="X150" s="111"/>
      <c r="Y150" s="111"/>
    </row>
    <row r="151" spans="1:25" s="89" customFormat="1" ht="14.5" customHeight="1" thickBot="1" x14ac:dyDescent="0.3">
      <c r="A151" s="109" t="s">
        <v>200</v>
      </c>
      <c r="B151" s="109" t="s">
        <v>201</v>
      </c>
      <c r="C151" s="109" t="s">
        <v>202</v>
      </c>
      <c r="D151" s="109" t="s">
        <v>203</v>
      </c>
      <c r="E151" s="109"/>
      <c r="F151" s="109" t="s">
        <v>312</v>
      </c>
      <c r="G151" s="109" t="s">
        <v>205</v>
      </c>
      <c r="H151" s="109" t="s">
        <v>313</v>
      </c>
      <c r="I151" s="109">
        <v>20</v>
      </c>
      <c r="J151" s="109" t="s">
        <v>320</v>
      </c>
      <c r="K151" s="109">
        <v>18</v>
      </c>
      <c r="L151" s="109">
        <v>53.5</v>
      </c>
      <c r="M151" s="109"/>
      <c r="N151" s="109">
        <v>70</v>
      </c>
      <c r="O151" s="109">
        <v>68</v>
      </c>
      <c r="P151" s="109" t="s">
        <v>150</v>
      </c>
      <c r="Q151" s="109" t="s">
        <v>208</v>
      </c>
      <c r="R151" s="109">
        <v>2</v>
      </c>
      <c r="S151" s="109"/>
      <c r="T151" s="109" t="s">
        <v>220</v>
      </c>
      <c r="U151" s="109" t="s">
        <v>321</v>
      </c>
      <c r="V151" s="109"/>
      <c r="W151" s="109"/>
      <c r="X151" s="110">
        <v>46124.63077546296</v>
      </c>
      <c r="Y151" s="109" t="s">
        <v>316</v>
      </c>
    </row>
    <row r="152" spans="1:25" s="89" customFormat="1" ht="14.5" customHeight="1" thickBot="1" x14ac:dyDescent="0.3">
      <c r="A152" s="109" t="s">
        <v>211</v>
      </c>
      <c r="B152" s="111"/>
      <c r="C152" s="111"/>
      <c r="D152" s="111"/>
      <c r="E152" s="111"/>
      <c r="F152" s="111"/>
      <c r="G152" s="111"/>
      <c r="H152" s="111"/>
      <c r="I152" s="111"/>
      <c r="J152" s="111"/>
      <c r="K152" s="111"/>
      <c r="L152" s="111"/>
      <c r="M152" s="111"/>
      <c r="N152" s="111"/>
      <c r="O152" s="111"/>
      <c r="P152" s="111"/>
      <c r="Q152" s="111"/>
      <c r="R152" s="111"/>
      <c r="S152" s="111"/>
      <c r="T152" s="111"/>
      <c r="U152" s="111"/>
      <c r="V152" s="111"/>
      <c r="W152" s="111"/>
      <c r="X152" s="111"/>
      <c r="Y152" s="111"/>
    </row>
    <row r="153" spans="1:25" s="89" customFormat="1" ht="14.5" customHeight="1" thickBot="1" x14ac:dyDescent="0.3">
      <c r="A153" s="109" t="s">
        <v>200</v>
      </c>
      <c r="B153" s="109" t="s">
        <v>201</v>
      </c>
      <c r="C153" s="109" t="s">
        <v>202</v>
      </c>
      <c r="D153" s="109" t="s">
        <v>203</v>
      </c>
      <c r="E153" s="109"/>
      <c r="F153" s="109" t="s">
        <v>322</v>
      </c>
      <c r="G153" s="109" t="s">
        <v>205</v>
      </c>
      <c r="H153" s="109" t="s">
        <v>323</v>
      </c>
      <c r="I153" s="109">
        <v>10</v>
      </c>
      <c r="J153" s="109" t="s">
        <v>324</v>
      </c>
      <c r="K153" s="109">
        <v>29.3</v>
      </c>
      <c r="L153" s="109">
        <v>89.5</v>
      </c>
      <c r="M153" s="109"/>
      <c r="N153" s="109">
        <v>70</v>
      </c>
      <c r="O153" s="109">
        <v>67</v>
      </c>
      <c r="P153" s="109" t="s">
        <v>150</v>
      </c>
      <c r="Q153" s="109" t="s">
        <v>208</v>
      </c>
      <c r="R153" s="109">
        <v>3</v>
      </c>
      <c r="S153" s="109"/>
      <c r="T153" s="109" t="s">
        <v>220</v>
      </c>
      <c r="U153" s="109" t="s">
        <v>325</v>
      </c>
      <c r="V153" s="109"/>
      <c r="W153" s="109"/>
      <c r="X153" s="110">
        <v>46122.032627314817</v>
      </c>
      <c r="Y153" s="109" t="s">
        <v>326</v>
      </c>
    </row>
    <row r="154" spans="1:25" s="89" customFormat="1" ht="14.5" customHeight="1" thickBot="1" x14ac:dyDescent="0.3">
      <c r="A154" s="109" t="s">
        <v>211</v>
      </c>
      <c r="B154" s="111"/>
      <c r="C154" s="111"/>
      <c r="D154" s="111"/>
      <c r="E154" s="111"/>
      <c r="F154" s="111"/>
      <c r="G154" s="111"/>
      <c r="H154" s="111"/>
      <c r="I154" s="111"/>
      <c r="J154" s="111"/>
      <c r="K154" s="111"/>
      <c r="L154" s="111"/>
      <c r="M154" s="111"/>
      <c r="N154" s="111"/>
      <c r="O154" s="111"/>
      <c r="P154" s="111"/>
      <c r="Q154" s="111"/>
      <c r="R154" s="111"/>
      <c r="S154" s="111"/>
      <c r="T154" s="111"/>
      <c r="U154" s="111"/>
      <c r="V154" s="111"/>
      <c r="W154" s="111"/>
      <c r="X154" s="111"/>
      <c r="Y154" s="111"/>
    </row>
    <row r="155" spans="1:25" s="89" customFormat="1" ht="14.5" customHeight="1" thickBot="1" x14ac:dyDescent="0.3">
      <c r="A155" s="109" t="s">
        <v>200</v>
      </c>
      <c r="B155" s="109" t="s">
        <v>327</v>
      </c>
      <c r="C155" s="109" t="s">
        <v>202</v>
      </c>
      <c r="D155" s="109" t="s">
        <v>203</v>
      </c>
      <c r="E155" s="109"/>
      <c r="F155" s="109" t="s">
        <v>286</v>
      </c>
      <c r="G155" s="109"/>
      <c r="H155" s="109" t="s">
        <v>287</v>
      </c>
      <c r="I155" s="109"/>
      <c r="J155" s="109"/>
      <c r="K155" s="109">
        <v>30.11</v>
      </c>
      <c r="L155" s="109">
        <v>94</v>
      </c>
      <c r="M155" s="109"/>
      <c r="N155" s="109"/>
      <c r="O155" s="109"/>
      <c r="P155" s="109"/>
      <c r="Q155" s="109" t="s">
        <v>208</v>
      </c>
      <c r="R155" s="109">
        <v>2</v>
      </c>
      <c r="S155" s="109"/>
      <c r="T155" s="109"/>
      <c r="U155" s="109"/>
      <c r="V155" s="109"/>
      <c r="W155" s="109"/>
      <c r="X155" s="109"/>
      <c r="Y155" s="109"/>
    </row>
    <row r="156" spans="1:25" s="89" customFormat="1" ht="14.5" customHeight="1" thickBot="1" x14ac:dyDescent="0.3">
      <c r="A156" s="109" t="s">
        <v>211</v>
      </c>
      <c r="B156" s="111"/>
      <c r="C156" s="111"/>
      <c r="D156" s="111"/>
      <c r="E156" s="111"/>
      <c r="F156" s="111"/>
      <c r="G156" s="111"/>
      <c r="H156" s="111"/>
      <c r="I156" s="111"/>
      <c r="J156" s="111"/>
      <c r="K156" s="111"/>
      <c r="L156" s="111"/>
      <c r="M156" s="111"/>
      <c r="N156" s="111"/>
      <c r="O156" s="111"/>
      <c r="P156" s="111"/>
      <c r="Q156" s="111"/>
      <c r="R156" s="111"/>
      <c r="S156" s="111"/>
      <c r="T156" s="111"/>
      <c r="U156" s="111"/>
      <c r="V156" s="111"/>
      <c r="W156" s="111"/>
      <c r="X156" s="111"/>
      <c r="Y156" s="111"/>
    </row>
    <row r="157" spans="1:25" s="89" customFormat="1" ht="14.5" customHeight="1" thickBot="1" x14ac:dyDescent="0.3">
      <c r="A157" s="109" t="s">
        <v>200</v>
      </c>
      <c r="B157" s="109" t="s">
        <v>327</v>
      </c>
      <c r="C157" s="109" t="s">
        <v>202</v>
      </c>
      <c r="D157" s="109" t="s">
        <v>203</v>
      </c>
      <c r="E157" s="109"/>
      <c r="F157" s="109" t="s">
        <v>278</v>
      </c>
      <c r="G157" s="109"/>
      <c r="H157" s="109" t="s">
        <v>279</v>
      </c>
      <c r="I157" s="109"/>
      <c r="J157" s="109"/>
      <c r="K157" s="109">
        <v>28.8</v>
      </c>
      <c r="L157" s="109">
        <v>86.5</v>
      </c>
      <c r="M157" s="109"/>
      <c r="N157" s="109"/>
      <c r="O157" s="109"/>
      <c r="P157" s="109"/>
      <c r="Q157" s="109" t="s">
        <v>208</v>
      </c>
      <c r="R157" s="109">
        <v>1</v>
      </c>
      <c r="S157" s="109"/>
      <c r="T157" s="109"/>
      <c r="U157" s="109"/>
      <c r="V157" s="109"/>
      <c r="W157" s="109"/>
      <c r="X157" s="109"/>
      <c r="Y157" s="109"/>
    </row>
    <row r="158" spans="1:25" s="89" customFormat="1" ht="14.5" customHeight="1" thickBot="1" x14ac:dyDescent="0.3">
      <c r="A158" s="109" t="s">
        <v>211</v>
      </c>
      <c r="B158" s="111"/>
      <c r="C158" s="111"/>
      <c r="D158" s="111"/>
      <c r="E158" s="111"/>
      <c r="F158" s="111"/>
      <c r="G158" s="111"/>
      <c r="H158" s="111"/>
      <c r="I158" s="111"/>
      <c r="J158" s="111"/>
      <c r="K158" s="111"/>
      <c r="L158" s="111"/>
      <c r="M158" s="111"/>
      <c r="N158" s="111"/>
      <c r="O158" s="111"/>
      <c r="P158" s="111"/>
      <c r="Q158" s="111"/>
      <c r="R158" s="111"/>
      <c r="S158" s="111"/>
      <c r="T158" s="111"/>
      <c r="U158" s="111"/>
      <c r="V158" s="111"/>
      <c r="W158" s="111"/>
      <c r="X158" s="111"/>
      <c r="Y158" s="111"/>
    </row>
    <row r="159" spans="1:25" s="89" customFormat="1" ht="14.5" customHeight="1" thickBot="1" x14ac:dyDescent="0.3">
      <c r="A159" s="109" t="s">
        <v>200</v>
      </c>
      <c r="B159" s="109" t="s">
        <v>327</v>
      </c>
      <c r="C159" s="109" t="s">
        <v>202</v>
      </c>
      <c r="D159" s="109" t="s">
        <v>203</v>
      </c>
      <c r="E159" s="109"/>
      <c r="F159" s="109" t="s">
        <v>278</v>
      </c>
      <c r="G159" s="109"/>
      <c r="H159" s="109" t="s">
        <v>279</v>
      </c>
      <c r="I159" s="109"/>
      <c r="J159" s="109"/>
      <c r="K159" s="109">
        <v>93.5</v>
      </c>
      <c r="L159" s="109">
        <v>280.5</v>
      </c>
      <c r="M159" s="109"/>
      <c r="N159" s="109"/>
      <c r="O159" s="109"/>
      <c r="P159" s="109"/>
      <c r="Q159" s="109" t="s">
        <v>208</v>
      </c>
      <c r="R159" s="109">
        <v>2</v>
      </c>
      <c r="S159" s="109"/>
      <c r="T159" s="109"/>
      <c r="U159" s="109"/>
      <c r="V159" s="109"/>
      <c r="W159" s="109"/>
      <c r="X159" s="109"/>
      <c r="Y159" s="109"/>
    </row>
    <row r="160" spans="1:25" s="89" customFormat="1" ht="14.5" customHeight="1" thickBot="1" x14ac:dyDescent="0.3">
      <c r="A160" s="109" t="s">
        <v>211</v>
      </c>
      <c r="B160" s="111"/>
      <c r="C160" s="111"/>
      <c r="D160" s="111"/>
      <c r="E160" s="111"/>
      <c r="F160" s="111"/>
      <c r="G160" s="111"/>
      <c r="H160" s="111"/>
      <c r="I160" s="111"/>
      <c r="J160" s="111"/>
      <c r="K160" s="111"/>
      <c r="L160" s="111"/>
      <c r="M160" s="111"/>
      <c r="N160" s="111"/>
      <c r="O160" s="111"/>
      <c r="P160" s="111"/>
      <c r="Q160" s="111"/>
      <c r="R160" s="111"/>
      <c r="S160" s="111"/>
      <c r="T160" s="111"/>
      <c r="U160" s="111"/>
      <c r="V160" s="111"/>
      <c r="W160" s="111"/>
      <c r="X160" s="111"/>
      <c r="Y160" s="111"/>
    </row>
    <row r="161" spans="1:25" s="89" customFormat="1" ht="14.5" customHeight="1" thickBot="1" x14ac:dyDescent="0.3">
      <c r="A161" s="109" t="s">
        <v>200</v>
      </c>
      <c r="B161" s="109" t="s">
        <v>327</v>
      </c>
      <c r="C161" s="109" t="s">
        <v>202</v>
      </c>
      <c r="D161" s="109" t="s">
        <v>203</v>
      </c>
      <c r="E161" s="109"/>
      <c r="F161" s="109" t="s">
        <v>245</v>
      </c>
      <c r="G161" s="109"/>
      <c r="H161" s="109" t="s">
        <v>246</v>
      </c>
      <c r="I161" s="109"/>
      <c r="J161" s="109"/>
      <c r="K161" s="109">
        <v>50.34</v>
      </c>
      <c r="L161" s="109">
        <v>150.5</v>
      </c>
      <c r="M161" s="109"/>
      <c r="N161" s="109"/>
      <c r="O161" s="109"/>
      <c r="P161" s="109"/>
      <c r="Q161" s="109" t="s">
        <v>208</v>
      </c>
      <c r="R161" s="109">
        <v>1</v>
      </c>
      <c r="S161" s="109"/>
      <c r="T161" s="109"/>
      <c r="U161" s="109"/>
      <c r="V161" s="109"/>
      <c r="W161" s="109"/>
      <c r="X161" s="109"/>
      <c r="Y161" s="109"/>
    </row>
    <row r="162" spans="1:25" s="89" customFormat="1" ht="14.5" customHeight="1" thickBot="1" x14ac:dyDescent="0.3">
      <c r="A162" s="109" t="s">
        <v>211</v>
      </c>
      <c r="B162" s="111"/>
      <c r="C162" s="111"/>
      <c r="D162" s="111"/>
      <c r="E162" s="111"/>
      <c r="F162" s="111"/>
      <c r="G162" s="111"/>
      <c r="H162" s="111"/>
      <c r="I162" s="111"/>
      <c r="J162" s="111"/>
      <c r="K162" s="111"/>
      <c r="L162" s="111"/>
      <c r="M162" s="111"/>
      <c r="N162" s="111"/>
      <c r="O162" s="111"/>
      <c r="P162" s="111"/>
      <c r="Q162" s="111"/>
      <c r="R162" s="111"/>
      <c r="S162" s="111"/>
      <c r="T162" s="111"/>
      <c r="U162" s="111"/>
      <c r="V162" s="111"/>
      <c r="W162" s="111"/>
      <c r="X162" s="111"/>
      <c r="Y162" s="111"/>
    </row>
    <row r="163" spans="1:25" s="89" customFormat="1" ht="14.5" customHeight="1" thickBot="1" x14ac:dyDescent="0.3">
      <c r="A163" s="109" t="s">
        <v>200</v>
      </c>
      <c r="B163" s="109" t="s">
        <v>327</v>
      </c>
      <c r="C163" s="109" t="s">
        <v>202</v>
      </c>
      <c r="D163" s="109" t="s">
        <v>203</v>
      </c>
      <c r="E163" s="109"/>
      <c r="F163" s="109" t="s">
        <v>271</v>
      </c>
      <c r="G163" s="109"/>
      <c r="H163" s="109" t="s">
        <v>272</v>
      </c>
      <c r="I163" s="109"/>
      <c r="J163" s="109"/>
      <c r="K163" s="109">
        <v>46.5</v>
      </c>
      <c r="L163" s="109">
        <v>144</v>
      </c>
      <c r="M163" s="109"/>
      <c r="N163" s="109"/>
      <c r="O163" s="109"/>
      <c r="P163" s="109"/>
      <c r="Q163" s="109" t="s">
        <v>208</v>
      </c>
      <c r="R163" s="109">
        <v>1</v>
      </c>
      <c r="S163" s="109"/>
      <c r="T163" s="109"/>
      <c r="U163" s="109"/>
      <c r="V163" s="109"/>
      <c r="W163" s="109"/>
      <c r="X163" s="109"/>
      <c r="Y163" s="109"/>
    </row>
    <row r="164" spans="1:25" s="89" customFormat="1" ht="14.5" customHeight="1" thickBot="1" x14ac:dyDescent="0.3">
      <c r="A164" s="109" t="s">
        <v>211</v>
      </c>
      <c r="B164" s="111"/>
      <c r="C164" s="111"/>
      <c r="D164" s="111"/>
      <c r="E164" s="111"/>
      <c r="F164" s="111"/>
      <c r="G164" s="111"/>
      <c r="H164" s="111"/>
      <c r="I164" s="111"/>
      <c r="J164" s="111"/>
      <c r="K164" s="111"/>
      <c r="L164" s="111"/>
      <c r="M164" s="111"/>
      <c r="N164" s="111"/>
      <c r="O164" s="111"/>
      <c r="P164" s="111"/>
      <c r="Q164" s="111"/>
      <c r="R164" s="111"/>
      <c r="S164" s="111"/>
      <c r="T164" s="111"/>
      <c r="U164" s="111"/>
      <c r="V164" s="111"/>
      <c r="W164" s="111"/>
      <c r="X164" s="111"/>
      <c r="Y164" s="111"/>
    </row>
    <row r="165" spans="1:25" s="89" customFormat="1" ht="14.5" customHeight="1" thickBot="1" x14ac:dyDescent="0.3">
      <c r="A165" s="109" t="s">
        <v>200</v>
      </c>
      <c r="B165" s="109" t="s">
        <v>327</v>
      </c>
      <c r="C165" s="109" t="s">
        <v>202</v>
      </c>
      <c r="D165" s="109" t="s">
        <v>203</v>
      </c>
      <c r="E165" s="109"/>
      <c r="F165" s="109" t="s">
        <v>251</v>
      </c>
      <c r="G165" s="109"/>
      <c r="H165" s="109" t="s">
        <v>252</v>
      </c>
      <c r="I165" s="109"/>
      <c r="J165" s="109"/>
      <c r="K165" s="109">
        <v>817.3</v>
      </c>
      <c r="L165" s="109">
        <v>2447.5</v>
      </c>
      <c r="M165" s="109"/>
      <c r="N165" s="109"/>
      <c r="O165" s="109"/>
      <c r="P165" s="109"/>
      <c r="Q165" s="109" t="s">
        <v>208</v>
      </c>
      <c r="R165" s="109">
        <v>1</v>
      </c>
      <c r="S165" s="109"/>
      <c r="T165" s="109"/>
      <c r="U165" s="109"/>
      <c r="V165" s="109"/>
      <c r="W165" s="109"/>
      <c r="X165" s="109"/>
      <c r="Y165" s="109"/>
    </row>
    <row r="166" spans="1:25" s="89" customFormat="1" ht="14.5" customHeight="1" thickBot="1" x14ac:dyDescent="0.3">
      <c r="A166" s="109" t="s">
        <v>211</v>
      </c>
      <c r="B166" s="111"/>
      <c r="C166" s="111"/>
      <c r="D166" s="111"/>
      <c r="E166" s="111"/>
      <c r="F166" s="111"/>
      <c r="G166" s="111"/>
      <c r="H166" s="111"/>
      <c r="I166" s="111"/>
      <c r="J166" s="111"/>
      <c r="K166" s="111"/>
      <c r="L166" s="111"/>
      <c r="M166" s="111"/>
      <c r="N166" s="111"/>
      <c r="O166" s="111"/>
      <c r="P166" s="111"/>
      <c r="Q166" s="111"/>
      <c r="R166" s="111"/>
      <c r="S166" s="111"/>
      <c r="T166" s="111"/>
      <c r="U166" s="111"/>
      <c r="V166" s="111"/>
      <c r="W166" s="111"/>
      <c r="X166" s="111"/>
      <c r="Y166" s="111"/>
    </row>
    <row r="167" spans="1:25" s="89" customFormat="1" ht="14.5" customHeight="1" thickBot="1" x14ac:dyDescent="0.3">
      <c r="A167" s="109" t="s">
        <v>200</v>
      </c>
      <c r="B167" s="109" t="s">
        <v>327</v>
      </c>
      <c r="C167" s="109" t="s">
        <v>202</v>
      </c>
      <c r="D167" s="109" t="s">
        <v>203</v>
      </c>
      <c r="E167" s="109"/>
      <c r="F167" s="109" t="s">
        <v>251</v>
      </c>
      <c r="G167" s="109"/>
      <c r="H167" s="109" t="s">
        <v>252</v>
      </c>
      <c r="I167" s="109"/>
      <c r="J167" s="109"/>
      <c r="K167" s="109">
        <v>120.2</v>
      </c>
      <c r="L167" s="109">
        <v>360</v>
      </c>
      <c r="M167" s="109"/>
      <c r="N167" s="109"/>
      <c r="O167" s="109"/>
      <c r="P167" s="109"/>
      <c r="Q167" s="109" t="s">
        <v>208</v>
      </c>
      <c r="R167" s="109">
        <v>2</v>
      </c>
      <c r="S167" s="109"/>
      <c r="T167" s="109"/>
      <c r="U167" s="109"/>
      <c r="V167" s="109"/>
      <c r="W167" s="109"/>
      <c r="X167" s="109"/>
      <c r="Y167" s="109"/>
    </row>
    <row r="168" spans="1:25" s="89" customFormat="1" ht="14.5" customHeight="1" thickBot="1" x14ac:dyDescent="0.3">
      <c r="A168" s="109" t="s">
        <v>211</v>
      </c>
      <c r="B168" s="111"/>
      <c r="C168" s="111"/>
      <c r="D168" s="111"/>
      <c r="E168" s="111"/>
      <c r="F168" s="111"/>
      <c r="G168" s="111"/>
      <c r="H168" s="111"/>
      <c r="I168" s="111"/>
      <c r="J168" s="111"/>
      <c r="K168" s="111"/>
      <c r="L168" s="111"/>
      <c r="M168" s="111"/>
      <c r="N168" s="111"/>
      <c r="O168" s="111"/>
      <c r="P168" s="111"/>
      <c r="Q168" s="111"/>
      <c r="R168" s="111"/>
      <c r="S168" s="111"/>
      <c r="T168" s="111"/>
      <c r="U168" s="111"/>
      <c r="V168" s="111"/>
      <c r="W168" s="111"/>
      <c r="X168" s="111"/>
      <c r="Y168" s="111"/>
    </row>
    <row r="169" spans="1:25" s="89" customFormat="1" ht="14.5" customHeight="1" thickBot="1" x14ac:dyDescent="0.3">
      <c r="A169" s="109" t="s">
        <v>200</v>
      </c>
      <c r="B169" s="109" t="s">
        <v>327</v>
      </c>
      <c r="C169" s="109" t="s">
        <v>202</v>
      </c>
      <c r="D169" s="109" t="s">
        <v>203</v>
      </c>
      <c r="E169" s="109"/>
      <c r="F169" s="109" t="s">
        <v>204</v>
      </c>
      <c r="G169" s="109"/>
      <c r="H169" s="109" t="s">
        <v>222</v>
      </c>
      <c r="I169" s="109"/>
      <c r="J169" s="109"/>
      <c r="K169" s="109">
        <v>56.9</v>
      </c>
      <c r="L169" s="109">
        <v>151</v>
      </c>
      <c r="M169" s="109"/>
      <c r="N169" s="109"/>
      <c r="O169" s="109"/>
      <c r="P169" s="109"/>
      <c r="Q169" s="109" t="s">
        <v>208</v>
      </c>
      <c r="R169" s="109">
        <v>1</v>
      </c>
      <c r="S169" s="109"/>
      <c r="T169" s="109"/>
      <c r="U169" s="109"/>
      <c r="V169" s="109"/>
      <c r="W169" s="109"/>
      <c r="X169" s="109"/>
      <c r="Y169" s="109"/>
    </row>
    <row r="170" spans="1:25" s="89" customFormat="1" ht="14.5" customHeight="1" thickBot="1" x14ac:dyDescent="0.3">
      <c r="A170" s="109" t="s">
        <v>211</v>
      </c>
      <c r="B170" s="111"/>
      <c r="C170" s="111"/>
      <c r="D170" s="111"/>
      <c r="E170" s="111"/>
      <c r="F170" s="111"/>
      <c r="G170" s="111"/>
      <c r="H170" s="111"/>
      <c r="I170" s="111"/>
      <c r="J170" s="111"/>
      <c r="K170" s="111"/>
      <c r="L170" s="111"/>
      <c r="M170" s="111"/>
      <c r="N170" s="111"/>
      <c r="O170" s="111"/>
      <c r="P170" s="111"/>
      <c r="Q170" s="111"/>
      <c r="R170" s="111"/>
      <c r="S170" s="111"/>
      <c r="T170" s="111"/>
      <c r="U170" s="111"/>
      <c r="V170" s="111"/>
      <c r="W170" s="111"/>
      <c r="X170" s="111"/>
      <c r="Y170" s="111"/>
    </row>
    <row r="171" spans="1:25" s="89" customFormat="1" ht="14.5" customHeight="1" thickBot="1" x14ac:dyDescent="0.3">
      <c r="A171" s="109" t="s">
        <v>200</v>
      </c>
      <c r="B171" s="109" t="s">
        <v>327</v>
      </c>
      <c r="C171" s="109" t="s">
        <v>202</v>
      </c>
      <c r="D171" s="109" t="s">
        <v>203</v>
      </c>
      <c r="E171" s="109"/>
      <c r="F171" s="109" t="s">
        <v>204</v>
      </c>
      <c r="G171" s="109"/>
      <c r="H171" s="109" t="s">
        <v>218</v>
      </c>
      <c r="I171" s="109"/>
      <c r="J171" s="109"/>
      <c r="K171" s="109">
        <v>543.5</v>
      </c>
      <c r="L171" s="109">
        <v>1487</v>
      </c>
      <c r="M171" s="109"/>
      <c r="N171" s="109"/>
      <c r="O171" s="109"/>
      <c r="P171" s="109"/>
      <c r="Q171" s="109" t="s">
        <v>208</v>
      </c>
      <c r="R171" s="109">
        <v>2</v>
      </c>
      <c r="S171" s="109"/>
      <c r="T171" s="109"/>
      <c r="U171" s="109"/>
      <c r="V171" s="109"/>
      <c r="W171" s="109"/>
      <c r="X171" s="109"/>
      <c r="Y171" s="109"/>
    </row>
    <row r="172" spans="1:25" s="89" customFormat="1" ht="14.5" customHeight="1" thickBot="1" x14ac:dyDescent="0.3">
      <c r="A172" s="109" t="s">
        <v>211</v>
      </c>
      <c r="B172" s="111"/>
      <c r="C172" s="111"/>
      <c r="D172" s="111"/>
      <c r="E172" s="111"/>
      <c r="F172" s="111"/>
      <c r="G172" s="111"/>
      <c r="H172" s="111"/>
      <c r="I172" s="111"/>
      <c r="J172" s="111"/>
      <c r="K172" s="111"/>
      <c r="L172" s="111"/>
      <c r="M172" s="111"/>
      <c r="N172" s="111"/>
      <c r="O172" s="111"/>
      <c r="P172" s="111"/>
      <c r="Q172" s="111"/>
      <c r="R172" s="111"/>
      <c r="S172" s="111"/>
      <c r="T172" s="111"/>
      <c r="U172" s="111"/>
      <c r="V172" s="111"/>
      <c r="W172" s="111"/>
      <c r="X172" s="111"/>
      <c r="Y172" s="111"/>
    </row>
    <row r="173" spans="1:25" s="89" customFormat="1" ht="14.5" customHeight="1" thickBot="1" x14ac:dyDescent="0.3">
      <c r="A173" s="109" t="s">
        <v>200</v>
      </c>
      <c r="B173" s="109" t="s">
        <v>327</v>
      </c>
      <c r="C173" s="109" t="s">
        <v>202</v>
      </c>
      <c r="D173" s="109" t="s">
        <v>203</v>
      </c>
      <c r="E173" s="109"/>
      <c r="F173" s="109" t="s">
        <v>204</v>
      </c>
      <c r="G173" s="109"/>
      <c r="H173" s="109" t="s">
        <v>206</v>
      </c>
      <c r="I173" s="109"/>
      <c r="J173" s="109"/>
      <c r="K173" s="109">
        <v>133.80000000000001</v>
      </c>
      <c r="L173" s="109">
        <v>369.5</v>
      </c>
      <c r="M173" s="109"/>
      <c r="N173" s="109"/>
      <c r="O173" s="109"/>
      <c r="P173" s="109"/>
      <c r="Q173" s="109" t="s">
        <v>208</v>
      </c>
      <c r="R173" s="109">
        <v>2</v>
      </c>
      <c r="S173" s="109"/>
      <c r="T173" s="109"/>
      <c r="U173" s="109"/>
      <c r="V173" s="109"/>
      <c r="W173" s="109"/>
      <c r="X173" s="109"/>
      <c r="Y173" s="109"/>
    </row>
    <row r="174" spans="1:25" s="89" customFormat="1" ht="14.5" customHeight="1" thickBot="1" x14ac:dyDescent="0.3">
      <c r="A174" s="109" t="s">
        <v>211</v>
      </c>
      <c r="B174" s="111"/>
      <c r="C174" s="111"/>
      <c r="D174" s="111"/>
      <c r="E174" s="111"/>
      <c r="F174" s="111"/>
      <c r="G174" s="111"/>
      <c r="H174" s="111"/>
      <c r="I174" s="111"/>
      <c r="J174" s="111"/>
      <c r="K174" s="111"/>
      <c r="L174" s="111"/>
      <c r="M174" s="111"/>
      <c r="N174" s="111"/>
      <c r="O174" s="111"/>
      <c r="P174" s="111"/>
      <c r="Q174" s="111"/>
      <c r="R174" s="111"/>
      <c r="S174" s="111"/>
      <c r="T174" s="111"/>
      <c r="U174" s="111"/>
      <c r="V174" s="111"/>
      <c r="W174" s="111"/>
      <c r="X174" s="111"/>
      <c r="Y174" s="111"/>
    </row>
    <row r="175" spans="1:25" s="89" customFormat="1" ht="14.5" customHeight="1" thickBot="1" x14ac:dyDescent="0.3">
      <c r="A175" s="109" t="s">
        <v>200</v>
      </c>
      <c r="B175" s="109" t="s">
        <v>327</v>
      </c>
      <c r="C175" s="109" t="s">
        <v>202</v>
      </c>
      <c r="D175" s="109" t="s">
        <v>203</v>
      </c>
      <c r="E175" s="109"/>
      <c r="F175" s="109" t="s">
        <v>204</v>
      </c>
      <c r="G175" s="109"/>
      <c r="H175" s="109" t="s">
        <v>206</v>
      </c>
      <c r="I175" s="109"/>
      <c r="J175" s="109"/>
      <c r="K175" s="109">
        <v>28.6</v>
      </c>
      <c r="L175" s="109">
        <v>79</v>
      </c>
      <c r="M175" s="109"/>
      <c r="N175" s="109"/>
      <c r="O175" s="109"/>
      <c r="P175" s="109"/>
      <c r="Q175" s="109" t="s">
        <v>208</v>
      </c>
      <c r="R175" s="109">
        <v>3</v>
      </c>
      <c r="S175" s="109"/>
      <c r="T175" s="109"/>
      <c r="U175" s="109"/>
      <c r="V175" s="109"/>
      <c r="W175" s="109"/>
      <c r="X175" s="109"/>
      <c r="Y175" s="109"/>
    </row>
    <row r="176" spans="1:25" s="89" customFormat="1" ht="14.5" customHeight="1" thickBot="1" x14ac:dyDescent="0.3">
      <c r="A176" s="109" t="s">
        <v>211</v>
      </c>
      <c r="B176" s="111"/>
      <c r="C176" s="111"/>
      <c r="D176" s="111"/>
      <c r="E176" s="111"/>
      <c r="F176" s="111"/>
      <c r="G176" s="111"/>
      <c r="H176" s="111"/>
      <c r="I176" s="111"/>
      <c r="J176" s="111"/>
      <c r="K176" s="111"/>
      <c r="L176" s="111"/>
      <c r="M176" s="111"/>
      <c r="N176" s="111"/>
      <c r="O176" s="111"/>
      <c r="P176" s="111"/>
      <c r="Q176" s="111"/>
      <c r="R176" s="111"/>
      <c r="S176" s="111"/>
      <c r="T176" s="111"/>
      <c r="U176" s="111"/>
      <c r="V176" s="111"/>
      <c r="W176" s="111"/>
      <c r="X176" s="111"/>
      <c r="Y176" s="111"/>
    </row>
    <row r="177" spans="1:25" s="89" customFormat="1" ht="14.5" customHeight="1" thickBot="1" x14ac:dyDescent="0.3">
      <c r="A177" s="109" t="s">
        <v>200</v>
      </c>
      <c r="B177" s="109" t="s">
        <v>327</v>
      </c>
      <c r="C177" s="109" t="s">
        <v>202</v>
      </c>
      <c r="D177" s="109" t="s">
        <v>203</v>
      </c>
      <c r="E177" s="109"/>
      <c r="F177" s="109" t="s">
        <v>308</v>
      </c>
      <c r="G177" s="109"/>
      <c r="H177" s="109" t="s">
        <v>309</v>
      </c>
      <c r="I177" s="109"/>
      <c r="J177" s="109"/>
      <c r="K177" s="109">
        <v>30.58</v>
      </c>
      <c r="L177" s="109">
        <v>91.5</v>
      </c>
      <c r="M177" s="109"/>
      <c r="N177" s="109"/>
      <c r="O177" s="109"/>
      <c r="P177" s="109"/>
      <c r="Q177" s="109" t="s">
        <v>208</v>
      </c>
      <c r="R177" s="109">
        <v>1</v>
      </c>
      <c r="S177" s="109"/>
      <c r="T177" s="109"/>
      <c r="U177" s="109"/>
      <c r="V177" s="109"/>
      <c r="W177" s="109"/>
      <c r="X177" s="109"/>
      <c r="Y177" s="109"/>
    </row>
    <row r="178" spans="1:25" s="89" customFormat="1" ht="14.5" customHeight="1" thickBot="1" x14ac:dyDescent="0.3">
      <c r="A178" s="109" t="s">
        <v>211</v>
      </c>
      <c r="B178" s="111"/>
      <c r="C178" s="111"/>
      <c r="D178" s="111"/>
      <c r="E178" s="111"/>
      <c r="F178" s="111"/>
      <c r="G178" s="111"/>
      <c r="H178" s="111"/>
      <c r="I178" s="111"/>
      <c r="J178" s="111"/>
      <c r="K178" s="111"/>
      <c r="L178" s="111"/>
      <c r="M178" s="111"/>
      <c r="N178" s="111"/>
      <c r="O178" s="111"/>
      <c r="P178" s="111"/>
      <c r="Q178" s="111"/>
      <c r="R178" s="111"/>
      <c r="S178" s="111"/>
      <c r="T178" s="111"/>
      <c r="U178" s="111"/>
      <c r="V178" s="111"/>
      <c r="W178" s="111"/>
      <c r="X178" s="111"/>
      <c r="Y178" s="111"/>
    </row>
    <row r="179" spans="1:25" s="89" customFormat="1" ht="14.5" customHeight="1" thickBot="1" x14ac:dyDescent="0.3">
      <c r="A179" s="109" t="s">
        <v>200</v>
      </c>
      <c r="B179" s="109" t="s">
        <v>327</v>
      </c>
      <c r="C179" s="109" t="s">
        <v>202</v>
      </c>
      <c r="D179" s="109" t="s">
        <v>203</v>
      </c>
      <c r="E179" s="109"/>
      <c r="F179" s="109" t="s">
        <v>312</v>
      </c>
      <c r="G179" s="109"/>
      <c r="H179" s="109" t="s">
        <v>313</v>
      </c>
      <c r="I179" s="109"/>
      <c r="J179" s="109"/>
      <c r="K179" s="109">
        <v>94.13</v>
      </c>
      <c r="L179" s="109">
        <v>279</v>
      </c>
      <c r="M179" s="109"/>
      <c r="N179" s="109"/>
      <c r="O179" s="109"/>
      <c r="P179" s="109"/>
      <c r="Q179" s="109" t="s">
        <v>208</v>
      </c>
      <c r="R179" s="109">
        <v>1</v>
      </c>
      <c r="S179" s="109"/>
      <c r="T179" s="109"/>
      <c r="U179" s="109"/>
      <c r="V179" s="109"/>
      <c r="W179" s="109"/>
      <c r="X179" s="109"/>
      <c r="Y179" s="109"/>
    </row>
    <row r="180" spans="1:25" s="89" customFormat="1" ht="14.5" customHeight="1" thickBot="1" x14ac:dyDescent="0.3">
      <c r="A180" s="109" t="s">
        <v>211</v>
      </c>
      <c r="B180" s="111"/>
      <c r="C180" s="111"/>
      <c r="D180" s="111"/>
      <c r="E180" s="111"/>
      <c r="F180" s="111"/>
      <c r="G180" s="111"/>
      <c r="H180" s="111"/>
      <c r="I180" s="111"/>
      <c r="J180" s="111"/>
      <c r="K180" s="111"/>
      <c r="L180" s="111"/>
      <c r="M180" s="111"/>
      <c r="N180" s="111"/>
      <c r="O180" s="111"/>
      <c r="P180" s="111"/>
      <c r="Q180" s="111"/>
      <c r="R180" s="111"/>
      <c r="S180" s="111"/>
      <c r="T180" s="111"/>
      <c r="U180" s="111"/>
      <c r="V180" s="111"/>
      <c r="W180" s="111"/>
      <c r="X180" s="111"/>
      <c r="Y180" s="111"/>
    </row>
    <row r="181" spans="1:25" s="89" customFormat="1" ht="14.5" customHeight="1" thickBot="1" x14ac:dyDescent="0.3">
      <c r="A181" s="109" t="s">
        <v>200</v>
      </c>
      <c r="B181" s="109" t="s">
        <v>327</v>
      </c>
      <c r="C181" s="109" t="s">
        <v>202</v>
      </c>
      <c r="D181" s="109" t="s">
        <v>203</v>
      </c>
      <c r="E181" s="109"/>
      <c r="F181" s="109" t="s">
        <v>312</v>
      </c>
      <c r="G181" s="109"/>
      <c r="H181" s="109" t="s">
        <v>313</v>
      </c>
      <c r="I181" s="109"/>
      <c r="J181" s="109"/>
      <c r="K181" s="109">
        <v>18</v>
      </c>
      <c r="L181" s="109">
        <v>53.5</v>
      </c>
      <c r="M181" s="109"/>
      <c r="N181" s="109"/>
      <c r="O181" s="109"/>
      <c r="P181" s="109"/>
      <c r="Q181" s="109" t="s">
        <v>208</v>
      </c>
      <c r="R181" s="109">
        <v>2</v>
      </c>
      <c r="S181" s="109"/>
      <c r="T181" s="109"/>
      <c r="U181" s="109"/>
      <c r="V181" s="109"/>
      <c r="W181" s="109"/>
      <c r="X181" s="109"/>
      <c r="Y181" s="109"/>
    </row>
    <row r="182" spans="1:25" s="89" customFormat="1" ht="14.5" customHeight="1" thickBot="1" x14ac:dyDescent="0.3">
      <c r="A182" s="109" t="s">
        <v>211</v>
      </c>
      <c r="B182" s="111"/>
      <c r="C182" s="111"/>
      <c r="D182" s="111"/>
      <c r="E182" s="111"/>
      <c r="F182" s="111"/>
      <c r="G182" s="111"/>
      <c r="H182" s="111"/>
      <c r="I182" s="111"/>
      <c r="J182" s="111"/>
      <c r="K182" s="111"/>
      <c r="L182" s="111"/>
      <c r="M182" s="111"/>
      <c r="N182" s="111"/>
      <c r="O182" s="111"/>
      <c r="P182" s="111"/>
      <c r="Q182" s="111"/>
      <c r="R182" s="111"/>
      <c r="S182" s="111"/>
      <c r="T182" s="111"/>
      <c r="U182" s="111"/>
      <c r="V182" s="111"/>
      <c r="W182" s="111"/>
      <c r="X182" s="111"/>
      <c r="Y182" s="111"/>
    </row>
    <row r="183" spans="1:25" s="89" customFormat="1" ht="14.5" customHeight="1" thickBot="1" x14ac:dyDescent="0.3">
      <c r="A183" s="109" t="s">
        <v>200</v>
      </c>
      <c r="B183" s="109" t="s">
        <v>327</v>
      </c>
      <c r="C183" s="109" t="s">
        <v>202</v>
      </c>
      <c r="D183" s="109" t="s">
        <v>203</v>
      </c>
      <c r="E183" s="109"/>
      <c r="F183" s="109" t="s">
        <v>322</v>
      </c>
      <c r="G183" s="109"/>
      <c r="H183" s="109" t="s">
        <v>323</v>
      </c>
      <c r="I183" s="109"/>
      <c r="J183" s="109"/>
      <c r="K183" s="109">
        <v>29.3</v>
      </c>
      <c r="L183" s="109">
        <v>89.5</v>
      </c>
      <c r="M183" s="109"/>
      <c r="N183" s="109"/>
      <c r="O183" s="109"/>
      <c r="P183" s="109"/>
      <c r="Q183" s="109" t="s">
        <v>208</v>
      </c>
      <c r="R183" s="109">
        <v>3</v>
      </c>
      <c r="S183" s="109"/>
      <c r="T183" s="109"/>
      <c r="U183" s="109"/>
      <c r="V183" s="109"/>
      <c r="W183" s="109"/>
      <c r="X183" s="109"/>
      <c r="Y183" s="109"/>
    </row>
    <row r="184" spans="1:25" s="89" customFormat="1" ht="14.5" customHeight="1" thickBot="1" x14ac:dyDescent="0.3">
      <c r="A184" s="109" t="s">
        <v>211</v>
      </c>
      <c r="B184" s="111"/>
      <c r="C184" s="111"/>
      <c r="D184" s="111"/>
      <c r="E184" s="111"/>
      <c r="F184" s="111"/>
      <c r="G184" s="111"/>
      <c r="H184" s="111"/>
      <c r="I184" s="111"/>
      <c r="J184" s="111"/>
      <c r="K184" s="111"/>
      <c r="L184" s="111"/>
      <c r="M184" s="111"/>
      <c r="N184" s="111"/>
      <c r="O184" s="111"/>
      <c r="P184" s="111"/>
      <c r="Q184" s="111"/>
      <c r="R184" s="111"/>
      <c r="S184" s="111"/>
      <c r="T184" s="111"/>
      <c r="U184" s="111"/>
      <c r="V184" s="111"/>
      <c r="W184" s="111"/>
      <c r="X184" s="111"/>
      <c r="Y184" s="111"/>
    </row>
    <row r="185" spans="1:25" s="89" customFormat="1" ht="14.5" customHeight="1" thickBot="1" x14ac:dyDescent="0.3">
      <c r="A185" s="109" t="s">
        <v>108</v>
      </c>
      <c r="B185" s="109" t="s">
        <v>201</v>
      </c>
      <c r="C185" s="109" t="s">
        <v>202</v>
      </c>
      <c r="D185" s="109" t="s">
        <v>203</v>
      </c>
      <c r="E185" s="109" t="s">
        <v>328</v>
      </c>
      <c r="F185" s="109" t="s">
        <v>204</v>
      </c>
      <c r="G185" s="109" t="s">
        <v>11</v>
      </c>
      <c r="H185" s="109" t="s">
        <v>206</v>
      </c>
      <c r="I185" s="109"/>
      <c r="J185" s="109"/>
      <c r="K185" s="109">
        <v>642.04999999999995</v>
      </c>
      <c r="L185" s="109">
        <v>1735</v>
      </c>
      <c r="M185" s="109"/>
      <c r="N185" s="109"/>
      <c r="O185" s="109"/>
      <c r="P185" s="109" t="s">
        <v>329</v>
      </c>
      <c r="Q185" s="109"/>
      <c r="R185" s="109"/>
      <c r="S185" s="109"/>
      <c r="T185" s="109" t="s">
        <v>330</v>
      </c>
      <c r="U185" s="109"/>
      <c r="V185" s="109"/>
      <c r="W185" s="110">
        <v>46108.244432870371</v>
      </c>
      <c r="X185" s="109"/>
      <c r="Y185" s="109"/>
    </row>
    <row r="186" spans="1:25" s="89" customFormat="1" ht="14.5" customHeight="1" thickBot="1" x14ac:dyDescent="0.3">
      <c r="A186" s="109" t="s">
        <v>331</v>
      </c>
      <c r="B186" s="111"/>
      <c r="C186" s="111"/>
      <c r="D186" s="111"/>
      <c r="E186" s="111"/>
      <c r="F186" s="111"/>
      <c r="G186" s="111"/>
      <c r="H186" s="111"/>
      <c r="I186" s="111"/>
      <c r="J186" s="111"/>
      <c r="K186" s="111"/>
      <c r="L186" s="111"/>
      <c r="M186" s="111"/>
      <c r="N186" s="111"/>
      <c r="O186" s="111"/>
      <c r="P186" s="111"/>
      <c r="Q186" s="111"/>
      <c r="R186" s="111"/>
      <c r="S186" s="111"/>
      <c r="T186" s="111"/>
      <c r="U186" s="111"/>
      <c r="V186" s="111"/>
      <c r="W186" s="111"/>
      <c r="X186" s="111"/>
      <c r="Y186" s="111"/>
    </row>
    <row r="187" spans="1:25" s="89" customFormat="1" ht="14.5" customHeight="1" thickBot="1" x14ac:dyDescent="0.3">
      <c r="A187" s="109" t="s">
        <v>108</v>
      </c>
      <c r="B187" s="109" t="s">
        <v>201</v>
      </c>
      <c r="C187" s="109" t="s">
        <v>202</v>
      </c>
      <c r="D187" s="109" t="s">
        <v>203</v>
      </c>
      <c r="E187" s="109" t="s">
        <v>328</v>
      </c>
      <c r="F187" s="109" t="s">
        <v>308</v>
      </c>
      <c r="G187" s="109" t="s">
        <v>11</v>
      </c>
      <c r="H187" s="109" t="s">
        <v>332</v>
      </c>
      <c r="I187" s="109"/>
      <c r="J187" s="109"/>
      <c r="K187" s="109">
        <v>514.36</v>
      </c>
      <c r="L187" s="109">
        <v>1505</v>
      </c>
      <c r="M187" s="109"/>
      <c r="N187" s="109"/>
      <c r="O187" s="109"/>
      <c r="P187" s="109" t="s">
        <v>329</v>
      </c>
      <c r="Q187" s="109"/>
      <c r="R187" s="109"/>
      <c r="S187" s="109"/>
      <c r="T187" s="109" t="s">
        <v>330</v>
      </c>
      <c r="U187" s="109"/>
      <c r="V187" s="109"/>
      <c r="W187" s="110">
        <v>46109.275231481479</v>
      </c>
      <c r="X187" s="109"/>
      <c r="Y187" s="109"/>
    </row>
    <row r="188" spans="1:25" s="89" customFormat="1" ht="14.5" customHeight="1" thickBot="1" x14ac:dyDescent="0.3">
      <c r="A188" s="109" t="s">
        <v>331</v>
      </c>
      <c r="B188" s="111"/>
      <c r="C188" s="111"/>
      <c r="D188" s="111"/>
      <c r="E188" s="111"/>
      <c r="F188" s="111"/>
      <c r="G188" s="111"/>
      <c r="H188" s="111"/>
      <c r="I188" s="111"/>
      <c r="J188" s="111"/>
      <c r="K188" s="111"/>
      <c r="L188" s="111"/>
      <c r="M188" s="111"/>
      <c r="N188" s="111"/>
      <c r="O188" s="111"/>
      <c r="P188" s="111"/>
      <c r="Q188" s="111"/>
      <c r="R188" s="111"/>
      <c r="S188" s="111"/>
      <c r="T188" s="111"/>
      <c r="U188" s="111"/>
      <c r="V188" s="111"/>
      <c r="W188" s="111"/>
      <c r="X188" s="111"/>
      <c r="Y188" s="111"/>
    </row>
    <row r="189" spans="1:25" s="89" customFormat="1" ht="14.5" customHeight="1" thickBot="1" x14ac:dyDescent="0.3">
      <c r="A189" s="109" t="s">
        <v>108</v>
      </c>
      <c r="B189" s="109" t="s">
        <v>201</v>
      </c>
      <c r="C189" s="109" t="s">
        <v>202</v>
      </c>
      <c r="D189" s="109" t="s">
        <v>203</v>
      </c>
      <c r="E189" s="109" t="s">
        <v>328</v>
      </c>
      <c r="F189" s="109" t="s">
        <v>204</v>
      </c>
      <c r="G189" s="109" t="s">
        <v>11</v>
      </c>
      <c r="H189" s="109" t="s">
        <v>222</v>
      </c>
      <c r="I189" s="109"/>
      <c r="J189" s="109"/>
      <c r="K189" s="109">
        <v>696.37</v>
      </c>
      <c r="L189" s="109">
        <v>3485</v>
      </c>
      <c r="M189" s="109"/>
      <c r="N189" s="109"/>
      <c r="O189" s="109"/>
      <c r="P189" s="109" t="s">
        <v>329</v>
      </c>
      <c r="Q189" s="109"/>
      <c r="R189" s="109"/>
      <c r="S189" s="109"/>
      <c r="T189" s="109" t="s">
        <v>330</v>
      </c>
      <c r="U189" s="109"/>
      <c r="V189" s="109"/>
      <c r="W189" s="110">
        <v>46101.548125000001</v>
      </c>
      <c r="X189" s="109"/>
      <c r="Y189" s="109"/>
    </row>
    <row r="190" spans="1:25" s="89" customFormat="1" ht="14.5" customHeight="1" thickBot="1" x14ac:dyDescent="0.3">
      <c r="A190" s="109" t="s">
        <v>331</v>
      </c>
      <c r="B190" s="111"/>
      <c r="C190" s="111"/>
      <c r="D190" s="111"/>
      <c r="E190" s="111"/>
      <c r="F190" s="111"/>
      <c r="G190" s="111"/>
      <c r="H190" s="111"/>
      <c r="I190" s="111"/>
      <c r="J190" s="111"/>
      <c r="K190" s="111"/>
      <c r="L190" s="111"/>
      <c r="M190" s="111"/>
      <c r="N190" s="111"/>
      <c r="O190" s="111"/>
      <c r="P190" s="111"/>
      <c r="Q190" s="111"/>
      <c r="R190" s="111"/>
      <c r="S190" s="111"/>
      <c r="T190" s="111"/>
      <c r="U190" s="111"/>
      <c r="V190" s="111"/>
      <c r="W190" s="111"/>
      <c r="X190" s="111"/>
      <c r="Y190" s="111"/>
    </row>
    <row r="191" spans="1:25" s="89" customFormat="1" ht="14.5" customHeight="1" thickBot="1" x14ac:dyDescent="0.3">
      <c r="A191" s="109" t="s">
        <v>108</v>
      </c>
      <c r="B191" s="109" t="s">
        <v>201</v>
      </c>
      <c r="C191" s="109" t="s">
        <v>202</v>
      </c>
      <c r="D191" s="109" t="s">
        <v>203</v>
      </c>
      <c r="E191" s="109" t="s">
        <v>328</v>
      </c>
      <c r="F191" s="109" t="s">
        <v>204</v>
      </c>
      <c r="G191" s="109" t="s">
        <v>11</v>
      </c>
      <c r="H191" s="109" t="s">
        <v>336</v>
      </c>
      <c r="I191" s="109"/>
      <c r="J191" s="109"/>
      <c r="K191" s="109">
        <v>697</v>
      </c>
      <c r="L191" s="109">
        <v>1854</v>
      </c>
      <c r="M191" s="109"/>
      <c r="N191" s="109"/>
      <c r="O191" s="109"/>
      <c r="P191" s="109" t="s">
        <v>329</v>
      </c>
      <c r="Q191" s="109"/>
      <c r="R191" s="109"/>
      <c r="S191" s="109"/>
      <c r="T191" s="109" t="s">
        <v>330</v>
      </c>
      <c r="U191" s="109"/>
      <c r="V191" s="109"/>
      <c r="W191" s="110">
        <v>46108.997708333336</v>
      </c>
      <c r="X191" s="109"/>
      <c r="Y191" s="109"/>
    </row>
    <row r="192" spans="1:25" s="89" customFormat="1" ht="14.5" customHeight="1" thickBot="1" x14ac:dyDescent="0.3">
      <c r="A192" s="109" t="s">
        <v>331</v>
      </c>
      <c r="B192" s="111"/>
      <c r="C192" s="111"/>
      <c r="D192" s="111"/>
      <c r="E192" s="111"/>
      <c r="F192" s="111"/>
      <c r="G192" s="111"/>
      <c r="H192" s="111"/>
      <c r="I192" s="111"/>
      <c r="J192" s="111"/>
      <c r="K192" s="111"/>
      <c r="L192" s="111"/>
      <c r="M192" s="111"/>
      <c r="N192" s="111"/>
      <c r="O192" s="111"/>
      <c r="P192" s="111"/>
      <c r="Q192" s="111"/>
      <c r="R192" s="111"/>
      <c r="S192" s="111"/>
      <c r="T192" s="111"/>
      <c r="U192" s="111"/>
      <c r="V192" s="111"/>
      <c r="W192" s="111"/>
      <c r="X192" s="111"/>
      <c r="Y192" s="111"/>
    </row>
    <row r="193" spans="1:34" s="89" customFormat="1" ht="14.5" customHeight="1" thickBot="1" x14ac:dyDescent="0.3">
      <c r="A193" s="109" t="s">
        <v>108</v>
      </c>
      <c r="B193" s="109" t="s">
        <v>201</v>
      </c>
      <c r="C193" s="109" t="s">
        <v>202</v>
      </c>
      <c r="D193" s="109" t="s">
        <v>203</v>
      </c>
      <c r="E193" s="109" t="s">
        <v>328</v>
      </c>
      <c r="F193" s="109" t="s">
        <v>204</v>
      </c>
      <c r="G193" s="109" t="s">
        <v>11</v>
      </c>
      <c r="H193" s="109" t="s">
        <v>333</v>
      </c>
      <c r="I193" s="109"/>
      <c r="J193" s="109"/>
      <c r="K193" s="109">
        <v>49.4</v>
      </c>
      <c r="L193" s="109">
        <v>122</v>
      </c>
      <c r="M193" s="109"/>
      <c r="N193" s="109"/>
      <c r="O193" s="109"/>
      <c r="P193" s="109" t="s">
        <v>329</v>
      </c>
      <c r="Q193" s="109"/>
      <c r="R193" s="109"/>
      <c r="S193" s="109"/>
      <c r="T193" s="109" t="s">
        <v>330</v>
      </c>
      <c r="U193" s="109" t="s">
        <v>334</v>
      </c>
      <c r="V193" s="109"/>
      <c r="W193" s="110">
        <v>46115.277696759258</v>
      </c>
      <c r="X193" s="109"/>
      <c r="Y193" s="109"/>
    </row>
    <row r="194" spans="1:34" s="89" customFormat="1" ht="14.5" customHeight="1" thickBot="1" x14ac:dyDescent="0.3">
      <c r="A194" s="109" t="s">
        <v>331</v>
      </c>
      <c r="B194" s="111"/>
      <c r="C194" s="111"/>
      <c r="D194" s="111"/>
      <c r="E194" s="111"/>
      <c r="F194" s="111"/>
      <c r="G194" s="111"/>
      <c r="H194" s="111"/>
      <c r="I194" s="111"/>
      <c r="J194" s="111"/>
      <c r="K194" s="111"/>
      <c r="L194" s="111"/>
      <c r="M194" s="111"/>
      <c r="N194" s="111"/>
      <c r="O194" s="111"/>
      <c r="P194" s="111"/>
      <c r="Q194" s="111"/>
      <c r="R194" s="111"/>
      <c r="S194" s="111"/>
      <c r="T194" s="111"/>
      <c r="U194" s="111"/>
      <c r="V194" s="111"/>
      <c r="W194" s="111"/>
      <c r="X194" s="111"/>
      <c r="Y194" s="111"/>
    </row>
    <row r="195" spans="1:34" s="89" customFormat="1" ht="14.5" customHeight="1" thickBot="1" x14ac:dyDescent="0.3">
      <c r="A195" s="109" t="s">
        <v>108</v>
      </c>
      <c r="B195" s="109" t="s">
        <v>201</v>
      </c>
      <c r="C195" s="109" t="s">
        <v>202</v>
      </c>
      <c r="D195" s="109" t="s">
        <v>203</v>
      </c>
      <c r="E195" s="109" t="s">
        <v>328</v>
      </c>
      <c r="F195" s="109" t="s">
        <v>322</v>
      </c>
      <c r="G195" s="109" t="s">
        <v>11</v>
      </c>
      <c r="H195" s="109" t="s">
        <v>335</v>
      </c>
      <c r="I195" s="109"/>
      <c r="J195" s="109"/>
      <c r="K195" s="109">
        <v>579.69000000000005</v>
      </c>
      <c r="L195" s="109">
        <v>1669.5</v>
      </c>
      <c r="M195" s="109"/>
      <c r="N195" s="109"/>
      <c r="O195" s="109"/>
      <c r="P195" s="109" t="s">
        <v>329</v>
      </c>
      <c r="Q195" s="109"/>
      <c r="R195" s="109"/>
      <c r="S195" s="109"/>
      <c r="T195" s="109" t="s">
        <v>330</v>
      </c>
      <c r="U195" s="109"/>
      <c r="V195" s="109"/>
      <c r="W195" s="110">
        <v>46124.220254629632</v>
      </c>
      <c r="X195" s="109"/>
      <c r="Y195" s="109"/>
    </row>
    <row r="196" spans="1:34" s="89" customFormat="1" ht="14.5" customHeight="1" thickBot="1" x14ac:dyDescent="0.3">
      <c r="A196" s="109" t="s">
        <v>331</v>
      </c>
      <c r="B196" s="111"/>
      <c r="C196" s="111"/>
      <c r="D196" s="111"/>
      <c r="E196" s="111"/>
      <c r="F196" s="111"/>
      <c r="G196" s="111"/>
      <c r="H196" s="111"/>
      <c r="I196" s="111"/>
      <c r="J196" s="111"/>
      <c r="K196" s="111"/>
      <c r="L196" s="111"/>
      <c r="M196" s="111"/>
      <c r="N196" s="111"/>
      <c r="O196" s="111"/>
      <c r="P196" s="111"/>
      <c r="Q196" s="111"/>
      <c r="R196" s="111"/>
      <c r="S196" s="111"/>
      <c r="T196" s="111"/>
      <c r="U196" s="111"/>
      <c r="V196" s="111"/>
      <c r="W196" s="111"/>
      <c r="X196" s="111"/>
      <c r="Y196" s="111"/>
    </row>
    <row r="197" spans="1:34" s="89" customFormat="1" ht="14.5" customHeight="1" thickBot="1" x14ac:dyDescent="0.3">
      <c r="A197" s="109" t="s">
        <v>108</v>
      </c>
      <c r="B197" s="109" t="s">
        <v>201</v>
      </c>
      <c r="C197" s="109" t="s">
        <v>202</v>
      </c>
      <c r="D197" s="109" t="s">
        <v>203</v>
      </c>
      <c r="E197" s="109" t="s">
        <v>328</v>
      </c>
      <c r="F197" s="109" t="s">
        <v>204</v>
      </c>
      <c r="G197" s="109" t="s">
        <v>11</v>
      </c>
      <c r="H197" s="109" t="s">
        <v>218</v>
      </c>
      <c r="I197" s="109"/>
      <c r="J197" s="109"/>
      <c r="K197" s="109">
        <v>692.2</v>
      </c>
      <c r="L197" s="109">
        <v>1487</v>
      </c>
      <c r="M197" s="109"/>
      <c r="N197" s="109"/>
      <c r="O197" s="109"/>
      <c r="P197" s="109" t="s">
        <v>329</v>
      </c>
      <c r="Q197" s="109"/>
      <c r="R197" s="109"/>
      <c r="S197" s="109"/>
      <c r="T197" s="109" t="s">
        <v>330</v>
      </c>
      <c r="U197" s="109"/>
      <c r="V197" s="109"/>
      <c r="W197" s="110">
        <v>46117.976817129631</v>
      </c>
      <c r="X197" s="109"/>
      <c r="Y197" s="109"/>
    </row>
    <row r="198" spans="1:34" s="89" customFormat="1" ht="14.5" customHeight="1" thickBot="1" x14ac:dyDescent="0.3">
      <c r="A198" s="109" t="s">
        <v>331</v>
      </c>
      <c r="B198" s="111"/>
      <c r="C198" s="111"/>
      <c r="D198" s="111"/>
      <c r="E198" s="111"/>
      <c r="F198" s="111"/>
      <c r="G198" s="111"/>
      <c r="H198" s="111"/>
      <c r="I198" s="111"/>
      <c r="J198" s="111"/>
      <c r="K198" s="111"/>
      <c r="L198" s="111"/>
      <c r="M198" s="111"/>
      <c r="N198" s="111"/>
      <c r="O198" s="111"/>
      <c r="P198" s="111"/>
      <c r="Q198" s="111"/>
      <c r="R198" s="111"/>
      <c r="S198" s="111"/>
      <c r="T198" s="111"/>
      <c r="U198" s="111"/>
      <c r="V198" s="111"/>
      <c r="W198" s="111"/>
      <c r="X198" s="111"/>
      <c r="Y198" s="111"/>
    </row>
    <row r="199" spans="1:34" ht="15" thickBot="1" x14ac:dyDescent="0.4">
      <c r="AH199" s="87"/>
    </row>
    <row r="200" spans="1:34" ht="15" thickBot="1" x14ac:dyDescent="0.4">
      <c r="AH200" s="87"/>
    </row>
    <row r="201" spans="1:34" ht="15" thickBot="1" x14ac:dyDescent="0.4">
      <c r="AH201" s="87"/>
    </row>
    <row r="202" spans="1:34" ht="15" thickBot="1" x14ac:dyDescent="0.4">
      <c r="AH202" s="87"/>
    </row>
    <row r="203" spans="1:34" ht="15" thickBot="1" x14ac:dyDescent="0.4">
      <c r="AH203" s="87"/>
    </row>
    <row r="204" spans="1:34" ht="15" thickBot="1" x14ac:dyDescent="0.4">
      <c r="AH204" s="87"/>
    </row>
    <row r="205" spans="1:34" ht="15" thickBot="1" x14ac:dyDescent="0.4">
      <c r="AH205" s="87"/>
    </row>
    <row r="206" spans="1:34" ht="15" thickBot="1" x14ac:dyDescent="0.4">
      <c r="AH206" s="87"/>
    </row>
    <row r="207" spans="1:34" ht="15" thickBot="1" x14ac:dyDescent="0.4">
      <c r="AH207" s="87"/>
    </row>
    <row r="208" spans="1:34" ht="15" thickBot="1" x14ac:dyDescent="0.4">
      <c r="AH208" s="87"/>
    </row>
    <row r="209" spans="34:34" ht="15" thickBot="1" x14ac:dyDescent="0.4">
      <c r="AH209" s="87"/>
    </row>
    <row r="210" spans="34:34" ht="15" thickBot="1" x14ac:dyDescent="0.4">
      <c r="AH210" s="87"/>
    </row>
    <row r="211" spans="34:34" ht="15" thickBot="1" x14ac:dyDescent="0.4">
      <c r="AH211" s="87"/>
    </row>
    <row r="212" spans="34:34" ht="15" thickBot="1" x14ac:dyDescent="0.4">
      <c r="AH212" s="87"/>
    </row>
    <row r="213" spans="34:34" ht="15" thickBot="1" x14ac:dyDescent="0.4">
      <c r="AH213" s="87"/>
    </row>
    <row r="214" spans="34:34" ht="15" thickBot="1" x14ac:dyDescent="0.4">
      <c r="AH214" s="87"/>
    </row>
    <row r="215" spans="34:34" ht="15" thickBot="1" x14ac:dyDescent="0.4">
      <c r="AH215" s="87"/>
    </row>
    <row r="216" spans="34:34" ht="15" thickBot="1" x14ac:dyDescent="0.4">
      <c r="AH216" s="87"/>
    </row>
    <row r="217" spans="34:34" ht="15" thickBot="1" x14ac:dyDescent="0.4">
      <c r="AH217" s="87"/>
    </row>
    <row r="218" spans="34:34" ht="15" thickBot="1" x14ac:dyDescent="0.4">
      <c r="AH218" s="87"/>
    </row>
    <row r="219" spans="34:34" ht="15" thickBot="1" x14ac:dyDescent="0.4">
      <c r="AH219" s="87"/>
    </row>
    <row r="220" spans="34:34" ht="15" thickBot="1" x14ac:dyDescent="0.4">
      <c r="AH220" s="87"/>
    </row>
    <row r="221" spans="34:34" ht="15" thickBot="1" x14ac:dyDescent="0.4">
      <c r="AH221" s="87"/>
    </row>
    <row r="222" spans="34:34" ht="15" thickBot="1" x14ac:dyDescent="0.4">
      <c r="AH222" s="87"/>
    </row>
    <row r="223" spans="34:34" ht="15" thickBot="1" x14ac:dyDescent="0.4">
      <c r="AH223" s="87"/>
    </row>
    <row r="224" spans="34:34" ht="15" thickBot="1" x14ac:dyDescent="0.4">
      <c r="AH224" s="87"/>
    </row>
    <row r="225" spans="34:34" ht="15" thickBot="1" x14ac:dyDescent="0.4">
      <c r="AH225" s="87"/>
    </row>
    <row r="226" spans="34:34" ht="15" thickBot="1" x14ac:dyDescent="0.4">
      <c r="AH226" s="87"/>
    </row>
    <row r="227" spans="34:34" ht="15" thickBot="1" x14ac:dyDescent="0.4">
      <c r="AH227" s="87"/>
    </row>
    <row r="228" spans="34:34" ht="15" thickBot="1" x14ac:dyDescent="0.4">
      <c r="AH228" s="87"/>
    </row>
    <row r="229" spans="34:34" ht="15" thickBot="1" x14ac:dyDescent="0.4">
      <c r="AH229" s="87"/>
    </row>
    <row r="230" spans="34:34" ht="15" thickBot="1" x14ac:dyDescent="0.4">
      <c r="AH230" s="87"/>
    </row>
    <row r="231" spans="34:34" ht="15" thickBot="1" x14ac:dyDescent="0.4">
      <c r="AH231" s="87"/>
    </row>
    <row r="232" spans="34:34" ht="15" thickBot="1" x14ac:dyDescent="0.4">
      <c r="AH232" s="87"/>
    </row>
    <row r="233" spans="34:34" ht="15" thickBot="1" x14ac:dyDescent="0.4">
      <c r="AH233" s="87"/>
    </row>
    <row r="234" spans="34:34" ht="15" thickBot="1" x14ac:dyDescent="0.4">
      <c r="AH234" s="87"/>
    </row>
    <row r="235" spans="34:34" ht="15" thickBot="1" x14ac:dyDescent="0.4">
      <c r="AH235" s="87"/>
    </row>
    <row r="236" spans="34:34" ht="15" thickBot="1" x14ac:dyDescent="0.4">
      <c r="AH236" s="87"/>
    </row>
    <row r="237" spans="34:34" ht="15" thickBot="1" x14ac:dyDescent="0.4">
      <c r="AH237" s="87"/>
    </row>
    <row r="238" spans="34:34" ht="15" thickBot="1" x14ac:dyDescent="0.4">
      <c r="AH238" s="87"/>
    </row>
    <row r="239" spans="34:34" ht="15" thickBot="1" x14ac:dyDescent="0.4">
      <c r="AH239" s="87"/>
    </row>
    <row r="240" spans="34:34" ht="15" thickBot="1" x14ac:dyDescent="0.4">
      <c r="AH240" s="87"/>
    </row>
    <row r="241" spans="34:34" ht="15" thickBot="1" x14ac:dyDescent="0.4">
      <c r="AH241" s="87"/>
    </row>
    <row r="242" spans="34:34" ht="15" thickBot="1" x14ac:dyDescent="0.4">
      <c r="AH242" s="87"/>
    </row>
    <row r="243" spans="34:34" ht="15" thickBot="1" x14ac:dyDescent="0.4">
      <c r="AH243" s="87"/>
    </row>
    <row r="244" spans="34:34" ht="15" thickBot="1" x14ac:dyDescent="0.4">
      <c r="AH244" s="87"/>
    </row>
    <row r="245" spans="34:34" ht="15" thickBot="1" x14ac:dyDescent="0.4">
      <c r="AH245" s="87"/>
    </row>
    <row r="246" spans="34:34" ht="15" thickBot="1" x14ac:dyDescent="0.4">
      <c r="AH246" s="87"/>
    </row>
    <row r="247" spans="34:34" ht="15" thickBot="1" x14ac:dyDescent="0.4">
      <c r="AH247" s="87"/>
    </row>
    <row r="248" spans="34:34" ht="15" thickBot="1" x14ac:dyDescent="0.4">
      <c r="AH248" s="87"/>
    </row>
    <row r="249" spans="34:34" ht="15" thickBot="1" x14ac:dyDescent="0.4">
      <c r="AH249" s="87"/>
    </row>
    <row r="250" spans="34:34" ht="15" thickBot="1" x14ac:dyDescent="0.4">
      <c r="AH250" s="87"/>
    </row>
    <row r="251" spans="34:34" ht="15" thickBot="1" x14ac:dyDescent="0.4">
      <c r="AH251" s="87"/>
    </row>
    <row r="252" spans="34:34" ht="15" thickBot="1" x14ac:dyDescent="0.4">
      <c r="AH252" s="87"/>
    </row>
    <row r="253" spans="34:34" ht="15" thickBot="1" x14ac:dyDescent="0.4">
      <c r="AH253" s="87"/>
    </row>
    <row r="254" spans="34:34" ht="15" thickBot="1" x14ac:dyDescent="0.4">
      <c r="AH254" s="87"/>
    </row>
    <row r="255" spans="34:34" ht="15" thickBot="1" x14ac:dyDescent="0.4">
      <c r="AH255" s="87"/>
    </row>
    <row r="256" spans="34:34" ht="15" thickBot="1" x14ac:dyDescent="0.4">
      <c r="AH256" s="87"/>
    </row>
    <row r="257" spans="34:34" ht="15" thickBot="1" x14ac:dyDescent="0.4">
      <c r="AH257" s="87"/>
    </row>
    <row r="258" spans="34:34" ht="15" thickBot="1" x14ac:dyDescent="0.4">
      <c r="AH258" s="87"/>
    </row>
    <row r="259" spans="34:34" ht="15" thickBot="1" x14ac:dyDescent="0.4">
      <c r="AH259" s="87"/>
    </row>
    <row r="260" spans="34:34" ht="15" thickBot="1" x14ac:dyDescent="0.4">
      <c r="AH260" s="87"/>
    </row>
    <row r="261" spans="34:34" ht="15" thickBot="1" x14ac:dyDescent="0.4">
      <c r="AH261" s="87"/>
    </row>
    <row r="262" spans="34:34" ht="15" thickBot="1" x14ac:dyDescent="0.4">
      <c r="AH262" s="87"/>
    </row>
    <row r="263" spans="34:34" ht="15" thickBot="1" x14ac:dyDescent="0.4">
      <c r="AH263" s="87"/>
    </row>
    <row r="264" spans="34:34" ht="15" thickBot="1" x14ac:dyDescent="0.4">
      <c r="AH264" s="87"/>
    </row>
    <row r="265" spans="34:34" ht="15" thickBot="1" x14ac:dyDescent="0.4">
      <c r="AH265" s="87"/>
    </row>
    <row r="266" spans="34:34" ht="15" thickBot="1" x14ac:dyDescent="0.4">
      <c r="AH266" s="87"/>
    </row>
    <row r="267" spans="34:34" ht="15" thickBot="1" x14ac:dyDescent="0.4">
      <c r="AH267" s="87"/>
    </row>
    <row r="268" spans="34:34" ht="15" thickBot="1" x14ac:dyDescent="0.4">
      <c r="AH268" s="87"/>
    </row>
    <row r="269" spans="34:34" ht="15" thickBot="1" x14ac:dyDescent="0.4">
      <c r="AH269" s="87"/>
    </row>
    <row r="270" spans="34:34" ht="15" thickBot="1" x14ac:dyDescent="0.4">
      <c r="AH270" s="87"/>
    </row>
    <row r="271" spans="34:34" ht="15" thickBot="1" x14ac:dyDescent="0.4">
      <c r="AH271" s="87"/>
    </row>
    <row r="272" spans="34:34" ht="15" thickBot="1" x14ac:dyDescent="0.4">
      <c r="AH272" s="87"/>
    </row>
    <row r="273" spans="34:34" ht="15" thickBot="1" x14ac:dyDescent="0.4">
      <c r="AH273" s="87"/>
    </row>
    <row r="274" spans="34:34" ht="15" thickBot="1" x14ac:dyDescent="0.4">
      <c r="AH274" s="87"/>
    </row>
    <row r="275" spans="34:34" ht="15" thickBot="1" x14ac:dyDescent="0.4">
      <c r="AH275" s="87"/>
    </row>
    <row r="276" spans="34:34" ht="15" thickBot="1" x14ac:dyDescent="0.4">
      <c r="AH276" s="87"/>
    </row>
    <row r="277" spans="34:34" ht="15" thickBot="1" x14ac:dyDescent="0.4">
      <c r="AH277" s="87"/>
    </row>
    <row r="278" spans="34:34" ht="15" thickBot="1" x14ac:dyDescent="0.4">
      <c r="AH278" s="87"/>
    </row>
    <row r="279" spans="34:34" ht="15" thickBot="1" x14ac:dyDescent="0.4">
      <c r="AH279" s="87"/>
    </row>
    <row r="280" spans="34:34" ht="15" thickBot="1" x14ac:dyDescent="0.4">
      <c r="AH280" s="87"/>
    </row>
    <row r="281" spans="34:34" ht="15" thickBot="1" x14ac:dyDescent="0.4">
      <c r="AH281" s="87"/>
    </row>
    <row r="282" spans="34:34" ht="15" thickBot="1" x14ac:dyDescent="0.4">
      <c r="AH282" s="87"/>
    </row>
    <row r="283" spans="34:34" ht="15" thickBot="1" x14ac:dyDescent="0.4">
      <c r="AH283" s="87"/>
    </row>
    <row r="284" spans="34:34" ht="15" thickBot="1" x14ac:dyDescent="0.4">
      <c r="AH284" s="87"/>
    </row>
    <row r="285" spans="34:34" ht="15" thickBot="1" x14ac:dyDescent="0.4">
      <c r="AH285" s="87"/>
    </row>
    <row r="286" spans="34:34" ht="15" thickBot="1" x14ac:dyDescent="0.4">
      <c r="AH286" s="87"/>
    </row>
    <row r="287" spans="34:34" ht="15" thickBot="1" x14ac:dyDescent="0.4">
      <c r="AH287" s="87"/>
    </row>
    <row r="288" spans="34:34" ht="15" thickBot="1" x14ac:dyDescent="0.4">
      <c r="AH288" s="87"/>
    </row>
    <row r="289" spans="34:34" ht="15" thickBot="1" x14ac:dyDescent="0.4">
      <c r="AH289" s="87"/>
    </row>
    <row r="290" spans="34:34" ht="15" thickBot="1" x14ac:dyDescent="0.4">
      <c r="AH290" s="87"/>
    </row>
    <row r="291" spans="34:34" ht="15" thickBot="1" x14ac:dyDescent="0.4">
      <c r="AH291" s="87"/>
    </row>
    <row r="292" spans="34:34" ht="15" thickBot="1" x14ac:dyDescent="0.4">
      <c r="AH292" s="87"/>
    </row>
    <row r="293" spans="34:34" ht="15" thickBot="1" x14ac:dyDescent="0.4">
      <c r="AH293" s="87"/>
    </row>
    <row r="294" spans="34:34" ht="15" thickBot="1" x14ac:dyDescent="0.4">
      <c r="AH294" s="87"/>
    </row>
    <row r="295" spans="34:34" ht="15" thickBot="1" x14ac:dyDescent="0.4">
      <c r="AH295" s="87"/>
    </row>
    <row r="296" spans="34:34" ht="15" thickBot="1" x14ac:dyDescent="0.4">
      <c r="AH296" s="87"/>
    </row>
    <row r="297" spans="34:34" ht="15" thickBot="1" x14ac:dyDescent="0.4">
      <c r="AH297" s="87"/>
    </row>
    <row r="298" spans="34:34" ht="15" thickBot="1" x14ac:dyDescent="0.4">
      <c r="AH298" s="87"/>
    </row>
    <row r="299" spans="34:34" ht="15" thickBot="1" x14ac:dyDescent="0.4">
      <c r="AH299" s="87"/>
    </row>
    <row r="300" spans="34:34" ht="15" thickBot="1" x14ac:dyDescent="0.4">
      <c r="AH300" s="87"/>
    </row>
    <row r="301" spans="34:34" ht="15" thickBot="1" x14ac:dyDescent="0.4">
      <c r="AH301" s="87"/>
    </row>
    <row r="302" spans="34:34" ht="15" thickBot="1" x14ac:dyDescent="0.4">
      <c r="AH302" s="87"/>
    </row>
    <row r="303" spans="34:34" ht="15" thickBot="1" x14ac:dyDescent="0.4">
      <c r="AH303" s="87"/>
    </row>
    <row r="304" spans="34:34" ht="15" thickBot="1" x14ac:dyDescent="0.4">
      <c r="AH304" s="87"/>
    </row>
    <row r="305" spans="34:34" ht="15" thickBot="1" x14ac:dyDescent="0.4">
      <c r="AH305" s="87"/>
    </row>
    <row r="306" spans="34:34" ht="15" thickBot="1" x14ac:dyDescent="0.4">
      <c r="AH306" s="87"/>
    </row>
    <row r="307" spans="34:34" ht="15" thickBot="1" x14ac:dyDescent="0.4">
      <c r="AH307" s="87"/>
    </row>
    <row r="308" spans="34:34" ht="15" thickBot="1" x14ac:dyDescent="0.4">
      <c r="AH308" s="87"/>
    </row>
    <row r="309" spans="34:34" ht="15" thickBot="1" x14ac:dyDescent="0.4">
      <c r="AH309" s="87"/>
    </row>
    <row r="310" spans="34:34" ht="15" thickBot="1" x14ac:dyDescent="0.4">
      <c r="AH310" s="87"/>
    </row>
    <row r="311" spans="34:34" ht="15" thickBot="1" x14ac:dyDescent="0.4">
      <c r="AH311" s="87"/>
    </row>
    <row r="312" spans="34:34" ht="15" thickBot="1" x14ac:dyDescent="0.4">
      <c r="AH312" s="87"/>
    </row>
    <row r="313" spans="34:34" ht="15" thickBot="1" x14ac:dyDescent="0.4">
      <c r="AH313" s="87"/>
    </row>
    <row r="314" spans="34:34" ht="15" thickBot="1" x14ac:dyDescent="0.4">
      <c r="AH314" s="87"/>
    </row>
    <row r="315" spans="34:34" ht="15" thickBot="1" x14ac:dyDescent="0.4">
      <c r="AH315" s="87"/>
    </row>
    <row r="316" spans="34:34" ht="15" thickBot="1" x14ac:dyDescent="0.4">
      <c r="AH316" s="87"/>
    </row>
    <row r="317" spans="34:34" ht="15" thickBot="1" x14ac:dyDescent="0.4">
      <c r="AH317" s="87"/>
    </row>
    <row r="318" spans="34:34" ht="15" thickBot="1" x14ac:dyDescent="0.4">
      <c r="AH318" s="87"/>
    </row>
    <row r="319" spans="34:34" ht="15" thickBot="1" x14ac:dyDescent="0.4">
      <c r="AH319" s="87"/>
    </row>
    <row r="320" spans="34:34" ht="15" thickBot="1" x14ac:dyDescent="0.4">
      <c r="AH320" s="87"/>
    </row>
    <row r="321" spans="34:34" ht="15" thickBot="1" x14ac:dyDescent="0.4">
      <c r="AH321" s="87"/>
    </row>
    <row r="322" spans="34:34" ht="15" thickBot="1" x14ac:dyDescent="0.4">
      <c r="AH322" s="87"/>
    </row>
    <row r="323" spans="34:34" ht="15" thickBot="1" x14ac:dyDescent="0.4">
      <c r="AH323" s="87"/>
    </row>
    <row r="324" spans="34:34" ht="15" thickBot="1" x14ac:dyDescent="0.4">
      <c r="AH324" s="87"/>
    </row>
    <row r="325" spans="34:34" ht="15" thickBot="1" x14ac:dyDescent="0.4">
      <c r="AH325" s="87"/>
    </row>
    <row r="326" spans="34:34" ht="15" thickBot="1" x14ac:dyDescent="0.4">
      <c r="AH326" s="87"/>
    </row>
    <row r="327" spans="34:34" ht="15" thickBot="1" x14ac:dyDescent="0.4">
      <c r="AH327" s="87"/>
    </row>
    <row r="328" spans="34:34" ht="15" thickBot="1" x14ac:dyDescent="0.4">
      <c r="AH328" s="87"/>
    </row>
    <row r="329" spans="34:34" ht="15" thickBot="1" x14ac:dyDescent="0.4">
      <c r="AH329" s="87"/>
    </row>
    <row r="330" spans="34:34" ht="15" thickBot="1" x14ac:dyDescent="0.4">
      <c r="AH330" s="87"/>
    </row>
    <row r="331" spans="34:34" ht="15" thickBot="1" x14ac:dyDescent="0.4">
      <c r="AH331" s="87"/>
    </row>
    <row r="332" spans="34:34" ht="15" thickBot="1" x14ac:dyDescent="0.4">
      <c r="AH332" s="87"/>
    </row>
    <row r="333" spans="34:34" ht="15" thickBot="1" x14ac:dyDescent="0.4">
      <c r="AH333" s="87"/>
    </row>
    <row r="334" spans="34:34" ht="15" thickBot="1" x14ac:dyDescent="0.4">
      <c r="AH334" s="87"/>
    </row>
    <row r="335" spans="34:34" ht="15" thickBot="1" x14ac:dyDescent="0.4">
      <c r="AH335" s="87"/>
    </row>
    <row r="336" spans="34:34" ht="15" thickBot="1" x14ac:dyDescent="0.4">
      <c r="AH336" s="87"/>
    </row>
    <row r="337" spans="34:34" ht="15" thickBot="1" x14ac:dyDescent="0.4">
      <c r="AH337" s="87"/>
    </row>
    <row r="338" spans="34:34" ht="15" thickBot="1" x14ac:dyDescent="0.4">
      <c r="AH338" s="87"/>
    </row>
    <row r="339" spans="34:34" ht="15" thickBot="1" x14ac:dyDescent="0.4">
      <c r="AH339" s="87"/>
    </row>
    <row r="340" spans="34:34" ht="15" thickBot="1" x14ac:dyDescent="0.4">
      <c r="AH340" s="87"/>
    </row>
    <row r="341" spans="34:34" ht="15" thickBot="1" x14ac:dyDescent="0.4">
      <c r="AH341" s="87"/>
    </row>
    <row r="342" spans="34:34" ht="15" thickBot="1" x14ac:dyDescent="0.4">
      <c r="AH342" s="87"/>
    </row>
    <row r="343" spans="34:34" ht="15" thickBot="1" x14ac:dyDescent="0.4">
      <c r="AH343" s="87"/>
    </row>
    <row r="344" spans="34:34" ht="15" thickBot="1" x14ac:dyDescent="0.4">
      <c r="AH344" s="87"/>
    </row>
    <row r="345" spans="34:34" ht="15" thickBot="1" x14ac:dyDescent="0.4">
      <c r="AH345" s="87"/>
    </row>
    <row r="346" spans="34:34" ht="15" thickBot="1" x14ac:dyDescent="0.4">
      <c r="AH346" s="87"/>
    </row>
    <row r="347" spans="34:34" ht="15" thickBot="1" x14ac:dyDescent="0.4">
      <c r="AH347" s="87"/>
    </row>
    <row r="348" spans="34:34" ht="15" thickBot="1" x14ac:dyDescent="0.4">
      <c r="AH348" s="87"/>
    </row>
    <row r="349" spans="34:34" ht="15" thickBot="1" x14ac:dyDescent="0.4">
      <c r="AH349" s="87"/>
    </row>
    <row r="350" spans="34:34" ht="15" thickBot="1" x14ac:dyDescent="0.4">
      <c r="AH350" s="87"/>
    </row>
    <row r="351" spans="34:34" ht="15" thickBot="1" x14ac:dyDescent="0.4">
      <c r="AH351" s="87"/>
    </row>
    <row r="352" spans="34:34" ht="15" thickBot="1" x14ac:dyDescent="0.4">
      <c r="AH352" s="87"/>
    </row>
    <row r="353" spans="34:34" ht="15" thickBot="1" x14ac:dyDescent="0.4">
      <c r="AH353" s="87"/>
    </row>
    <row r="354" spans="34:34" ht="15" thickBot="1" x14ac:dyDescent="0.4">
      <c r="AH354" s="87"/>
    </row>
    <row r="355" spans="34:34" ht="15" thickBot="1" x14ac:dyDescent="0.4">
      <c r="AH355" s="87"/>
    </row>
    <row r="356" spans="34:34" ht="15" thickBot="1" x14ac:dyDescent="0.4">
      <c r="AH356" s="87"/>
    </row>
    <row r="357" spans="34:34" ht="15" thickBot="1" x14ac:dyDescent="0.4">
      <c r="AH357" s="87"/>
    </row>
    <row r="358" spans="34:34" ht="15" thickBot="1" x14ac:dyDescent="0.4">
      <c r="AH358" s="87"/>
    </row>
    <row r="359" spans="34:34" ht="15" thickBot="1" x14ac:dyDescent="0.4">
      <c r="AH359" s="87"/>
    </row>
    <row r="360" spans="34:34" ht="15" thickBot="1" x14ac:dyDescent="0.4">
      <c r="AH360" s="87"/>
    </row>
    <row r="361" spans="34:34" ht="15" thickBot="1" x14ac:dyDescent="0.4">
      <c r="AH361" s="87"/>
    </row>
    <row r="362" spans="34:34" ht="15" thickBot="1" x14ac:dyDescent="0.4">
      <c r="AH362" s="87"/>
    </row>
    <row r="363" spans="34:34" ht="15" thickBot="1" x14ac:dyDescent="0.4">
      <c r="AH363" s="87"/>
    </row>
    <row r="364" spans="34:34" ht="15" thickBot="1" x14ac:dyDescent="0.4">
      <c r="AH364" s="87"/>
    </row>
    <row r="365" spans="34:34" ht="15" thickBot="1" x14ac:dyDescent="0.4">
      <c r="AH365" s="87"/>
    </row>
    <row r="366" spans="34:34" ht="15" thickBot="1" x14ac:dyDescent="0.4">
      <c r="AH366" s="87"/>
    </row>
    <row r="367" spans="34:34" ht="15" thickBot="1" x14ac:dyDescent="0.4">
      <c r="AH367" s="87"/>
    </row>
    <row r="368" spans="34:34" ht="15" thickBot="1" x14ac:dyDescent="0.4">
      <c r="AH368" s="87"/>
    </row>
    <row r="369" spans="34:34" ht="15" thickBot="1" x14ac:dyDescent="0.4">
      <c r="AH369" s="87"/>
    </row>
    <row r="370" spans="34:34" ht="15" thickBot="1" x14ac:dyDescent="0.4">
      <c r="AH370" s="87"/>
    </row>
    <row r="371" spans="34:34" ht="15" thickBot="1" x14ac:dyDescent="0.4">
      <c r="AH371" s="87"/>
    </row>
    <row r="372" spans="34:34" ht="15" thickBot="1" x14ac:dyDescent="0.4">
      <c r="AH372" s="87"/>
    </row>
    <row r="373" spans="34:34" ht="15" thickBot="1" x14ac:dyDescent="0.4">
      <c r="AH373" s="87"/>
    </row>
    <row r="374" spans="34:34" ht="15" thickBot="1" x14ac:dyDescent="0.4">
      <c r="AH374" s="87"/>
    </row>
    <row r="375" spans="34:34" ht="15" thickBot="1" x14ac:dyDescent="0.4">
      <c r="AH375" s="87"/>
    </row>
    <row r="376" spans="34:34" ht="15" thickBot="1" x14ac:dyDescent="0.4">
      <c r="AH376" s="87"/>
    </row>
    <row r="377" spans="34:34" ht="15" thickBot="1" x14ac:dyDescent="0.4">
      <c r="AH377" s="87"/>
    </row>
    <row r="378" spans="34:34" ht="15" thickBot="1" x14ac:dyDescent="0.4">
      <c r="AH378" s="87"/>
    </row>
    <row r="379" spans="34:34" ht="15" thickBot="1" x14ac:dyDescent="0.4">
      <c r="AH379" s="87"/>
    </row>
    <row r="380" spans="34:34" ht="15" thickBot="1" x14ac:dyDescent="0.4">
      <c r="AH380" s="87"/>
    </row>
    <row r="381" spans="34:34" ht="15" thickBot="1" x14ac:dyDescent="0.4">
      <c r="AH381" s="87"/>
    </row>
    <row r="382" spans="34:34" ht="15" thickBot="1" x14ac:dyDescent="0.4">
      <c r="AH382" s="87"/>
    </row>
    <row r="383" spans="34:34" ht="15" thickBot="1" x14ac:dyDescent="0.4">
      <c r="AH383" s="87"/>
    </row>
    <row r="384" spans="34:34" ht="15" thickBot="1" x14ac:dyDescent="0.4">
      <c r="AH384" s="87"/>
    </row>
    <row r="385" spans="34:34" ht="15" thickBot="1" x14ac:dyDescent="0.4">
      <c r="AH385" s="87"/>
    </row>
    <row r="386" spans="34:34" ht="15" thickBot="1" x14ac:dyDescent="0.4">
      <c r="AH386" s="87"/>
    </row>
    <row r="387" spans="34:34" ht="15" thickBot="1" x14ac:dyDescent="0.4">
      <c r="AH387" s="87"/>
    </row>
    <row r="388" spans="34:34" ht="15" thickBot="1" x14ac:dyDescent="0.4">
      <c r="AH388" s="87"/>
    </row>
    <row r="389" spans="34:34" ht="15" thickBot="1" x14ac:dyDescent="0.4">
      <c r="AH389" s="87"/>
    </row>
    <row r="390" spans="34:34" ht="15" thickBot="1" x14ac:dyDescent="0.4">
      <c r="AH390" s="87"/>
    </row>
    <row r="391" spans="34:34" ht="15" thickBot="1" x14ac:dyDescent="0.4">
      <c r="AH391" s="87"/>
    </row>
    <row r="392" spans="34:34" ht="15" thickBot="1" x14ac:dyDescent="0.4">
      <c r="AH392" s="87"/>
    </row>
    <row r="393" spans="34:34" ht="15" thickBot="1" x14ac:dyDescent="0.4">
      <c r="AH393" s="87"/>
    </row>
    <row r="394" spans="34:34" ht="15" thickBot="1" x14ac:dyDescent="0.4">
      <c r="AH394" s="87"/>
    </row>
    <row r="395" spans="34:34" ht="15" thickBot="1" x14ac:dyDescent="0.4">
      <c r="AH395" s="87"/>
    </row>
    <row r="396" spans="34:34" ht="15" thickBot="1" x14ac:dyDescent="0.4">
      <c r="AH396" s="87"/>
    </row>
    <row r="397" spans="34:34" ht="15" thickBot="1" x14ac:dyDescent="0.4">
      <c r="AH397" s="87"/>
    </row>
    <row r="398" spans="34:34" ht="15" thickBot="1" x14ac:dyDescent="0.4">
      <c r="AH398" s="87"/>
    </row>
    <row r="399" spans="34:34" ht="15" thickBot="1" x14ac:dyDescent="0.4">
      <c r="AH399" s="87"/>
    </row>
    <row r="400" spans="34:34" ht="15" thickBot="1" x14ac:dyDescent="0.4">
      <c r="AH400" s="87"/>
    </row>
    <row r="401" spans="34:34" ht="15" thickBot="1" x14ac:dyDescent="0.4">
      <c r="AH401" s="87"/>
    </row>
    <row r="402" spans="34:34" ht="15" thickBot="1" x14ac:dyDescent="0.4">
      <c r="AH402" s="87"/>
    </row>
    <row r="403" spans="34:34" ht="15" thickBot="1" x14ac:dyDescent="0.4">
      <c r="AH403" s="87"/>
    </row>
    <row r="404" spans="34:34" ht="15" thickBot="1" x14ac:dyDescent="0.4">
      <c r="AH404" s="87"/>
    </row>
    <row r="405" spans="34:34" ht="15" thickBot="1" x14ac:dyDescent="0.4">
      <c r="AH405" s="87"/>
    </row>
    <row r="406" spans="34:34" ht="15" thickBot="1" x14ac:dyDescent="0.4">
      <c r="AH406" s="87"/>
    </row>
    <row r="407" spans="34:34" ht="15" thickBot="1" x14ac:dyDescent="0.4">
      <c r="AH407" s="87"/>
    </row>
    <row r="408" spans="34:34" ht="15" thickBot="1" x14ac:dyDescent="0.4">
      <c r="AH408" s="87"/>
    </row>
    <row r="409" spans="34:34" ht="15" thickBot="1" x14ac:dyDescent="0.4">
      <c r="AH409" s="87"/>
    </row>
    <row r="410" spans="34:34" ht="15" thickBot="1" x14ac:dyDescent="0.4">
      <c r="AH410" s="87"/>
    </row>
    <row r="411" spans="34:34" ht="15" thickBot="1" x14ac:dyDescent="0.4">
      <c r="AH411" s="87"/>
    </row>
    <row r="412" spans="34:34" ht="15" thickBot="1" x14ac:dyDescent="0.4">
      <c r="AH412" s="87"/>
    </row>
    <row r="413" spans="34:34" ht="15" thickBot="1" x14ac:dyDescent="0.4">
      <c r="AH413" s="87"/>
    </row>
    <row r="414" spans="34:34" ht="15" thickBot="1" x14ac:dyDescent="0.4">
      <c r="AH414" s="87"/>
    </row>
    <row r="415" spans="34:34" ht="15" thickBot="1" x14ac:dyDescent="0.4">
      <c r="AH415" s="87"/>
    </row>
    <row r="416" spans="34:34" ht="15" thickBot="1" x14ac:dyDescent="0.4">
      <c r="AH416" s="87"/>
    </row>
    <row r="417" spans="34:34" ht="15" thickBot="1" x14ac:dyDescent="0.4">
      <c r="AH417" s="87"/>
    </row>
    <row r="418" spans="34:34" ht="15" thickBot="1" x14ac:dyDescent="0.4">
      <c r="AH418" s="87"/>
    </row>
    <row r="419" spans="34:34" ht="15" thickBot="1" x14ac:dyDescent="0.4">
      <c r="AH419" s="87"/>
    </row>
    <row r="420" spans="34:34" ht="15" thickBot="1" x14ac:dyDescent="0.4">
      <c r="AH420" s="87"/>
    </row>
    <row r="421" spans="34:34" ht="15" thickBot="1" x14ac:dyDescent="0.4">
      <c r="AH421" s="87"/>
    </row>
    <row r="422" spans="34:34" ht="15" thickBot="1" x14ac:dyDescent="0.4">
      <c r="AH422" s="87"/>
    </row>
    <row r="423" spans="34:34" ht="15" thickBot="1" x14ac:dyDescent="0.4">
      <c r="AH423" s="87"/>
    </row>
    <row r="424" spans="34:34" ht="15" thickBot="1" x14ac:dyDescent="0.4">
      <c r="AH424" s="87"/>
    </row>
    <row r="425" spans="34:34" ht="15" thickBot="1" x14ac:dyDescent="0.4">
      <c r="AH425" s="87"/>
    </row>
    <row r="426" spans="34:34" ht="15" thickBot="1" x14ac:dyDescent="0.4">
      <c r="AH426" s="87"/>
    </row>
    <row r="427" spans="34:34" ht="15" thickBot="1" x14ac:dyDescent="0.4">
      <c r="AH427" s="87"/>
    </row>
    <row r="428" spans="34:34" ht="15" thickBot="1" x14ac:dyDescent="0.4">
      <c r="AH428" s="87"/>
    </row>
    <row r="429" spans="34:34" ht="15" thickBot="1" x14ac:dyDescent="0.4">
      <c r="AH429" s="87"/>
    </row>
    <row r="430" spans="34:34" ht="15" thickBot="1" x14ac:dyDescent="0.4">
      <c r="AH430" s="87"/>
    </row>
    <row r="431" spans="34:34" ht="15" thickBot="1" x14ac:dyDescent="0.4">
      <c r="AH431" s="87"/>
    </row>
    <row r="432" spans="34:34" ht="15" thickBot="1" x14ac:dyDescent="0.4">
      <c r="AH432" s="87"/>
    </row>
    <row r="433" spans="34:34" ht="15" thickBot="1" x14ac:dyDescent="0.4">
      <c r="AH433" s="87"/>
    </row>
    <row r="434" spans="34:34" ht="15" thickBot="1" x14ac:dyDescent="0.4">
      <c r="AH434" s="87"/>
    </row>
    <row r="435" spans="34:34" ht="15" thickBot="1" x14ac:dyDescent="0.4">
      <c r="AH435" s="87"/>
    </row>
    <row r="436" spans="34:34" ht="15" thickBot="1" x14ac:dyDescent="0.4">
      <c r="AH436" s="87"/>
    </row>
    <row r="437" spans="34:34" ht="15" thickBot="1" x14ac:dyDescent="0.4">
      <c r="AH437" s="87"/>
    </row>
    <row r="438" spans="34:34" ht="15" thickBot="1" x14ac:dyDescent="0.4">
      <c r="AH438" s="87"/>
    </row>
    <row r="439" spans="34:34" ht="15" thickBot="1" x14ac:dyDescent="0.4">
      <c r="AH439" s="87"/>
    </row>
    <row r="440" spans="34:34" ht="15" thickBot="1" x14ac:dyDescent="0.4">
      <c r="AH440" s="87"/>
    </row>
    <row r="441" spans="34:34" ht="15" thickBot="1" x14ac:dyDescent="0.4">
      <c r="AH441" s="87"/>
    </row>
    <row r="442" spans="34:34" ht="15" thickBot="1" x14ac:dyDescent="0.4">
      <c r="AH442" s="87"/>
    </row>
    <row r="443" spans="34:34" ht="15" thickBot="1" x14ac:dyDescent="0.4">
      <c r="AH443" s="87"/>
    </row>
    <row r="444" spans="34:34" ht="15" thickBot="1" x14ac:dyDescent="0.4">
      <c r="AH444" s="87"/>
    </row>
    <row r="445" spans="34:34" ht="15" thickBot="1" x14ac:dyDescent="0.4">
      <c r="AH445" s="87"/>
    </row>
    <row r="446" spans="34:34" ht="15" thickBot="1" x14ac:dyDescent="0.4">
      <c r="AH446" s="87"/>
    </row>
    <row r="447" spans="34:34" ht="15" thickBot="1" x14ac:dyDescent="0.4">
      <c r="AH447" s="87"/>
    </row>
    <row r="448" spans="34:34" ht="15" thickBot="1" x14ac:dyDescent="0.4">
      <c r="AH448" s="87"/>
    </row>
    <row r="449" spans="34:34" ht="15" thickBot="1" x14ac:dyDescent="0.4">
      <c r="AH449" s="87"/>
    </row>
    <row r="450" spans="34:34" ht="15" thickBot="1" x14ac:dyDescent="0.4">
      <c r="AH450" s="87"/>
    </row>
    <row r="451" spans="34:34" ht="15" thickBot="1" x14ac:dyDescent="0.4">
      <c r="AH451" s="87"/>
    </row>
    <row r="452" spans="34:34" ht="15" thickBot="1" x14ac:dyDescent="0.4">
      <c r="AH452" s="87"/>
    </row>
    <row r="453" spans="34:34" ht="15" thickBot="1" x14ac:dyDescent="0.4">
      <c r="AH453" s="87"/>
    </row>
    <row r="454" spans="34:34" ht="15" thickBot="1" x14ac:dyDescent="0.4">
      <c r="AH454" s="87"/>
    </row>
    <row r="455" spans="34:34" ht="15" thickBot="1" x14ac:dyDescent="0.4">
      <c r="AH455" s="87"/>
    </row>
    <row r="456" spans="34:34" ht="15" thickBot="1" x14ac:dyDescent="0.4">
      <c r="AH456" s="87"/>
    </row>
    <row r="457" spans="34:34" ht="15" thickBot="1" x14ac:dyDescent="0.4">
      <c r="AH457" s="87"/>
    </row>
    <row r="458" spans="34:34" ht="15" thickBot="1" x14ac:dyDescent="0.4">
      <c r="AH458" s="87"/>
    </row>
    <row r="459" spans="34:34" ht="15" thickBot="1" x14ac:dyDescent="0.4">
      <c r="AH459" s="87"/>
    </row>
    <row r="460" spans="34:34" ht="15" thickBot="1" x14ac:dyDescent="0.4">
      <c r="AH460" s="87"/>
    </row>
    <row r="461" spans="34:34" ht="15" thickBot="1" x14ac:dyDescent="0.4">
      <c r="AH461" s="87"/>
    </row>
    <row r="462" spans="34:34" ht="15" thickBot="1" x14ac:dyDescent="0.4">
      <c r="AH462" s="87"/>
    </row>
    <row r="463" spans="34:34" ht="15" thickBot="1" x14ac:dyDescent="0.4">
      <c r="AH463" s="87"/>
    </row>
    <row r="464" spans="34:34" ht="15" thickBot="1" x14ac:dyDescent="0.4">
      <c r="AH464" s="87"/>
    </row>
    <row r="465" spans="34:34" ht="15" thickBot="1" x14ac:dyDescent="0.4">
      <c r="AH465" s="87"/>
    </row>
    <row r="466" spans="34:34" ht="15" thickBot="1" x14ac:dyDescent="0.4">
      <c r="AH466" s="87"/>
    </row>
    <row r="467" spans="34:34" ht="15" thickBot="1" x14ac:dyDescent="0.4">
      <c r="AH467" s="87"/>
    </row>
    <row r="468" spans="34:34" ht="15" thickBot="1" x14ac:dyDescent="0.4">
      <c r="AH468" s="87"/>
    </row>
    <row r="469" spans="34:34" ht="15" thickBot="1" x14ac:dyDescent="0.4">
      <c r="AH469" s="87"/>
    </row>
    <row r="470" spans="34:34" ht="15" thickBot="1" x14ac:dyDescent="0.4">
      <c r="AH470" s="87"/>
    </row>
    <row r="471" spans="34:34" ht="15" thickBot="1" x14ac:dyDescent="0.4">
      <c r="AH471" s="87"/>
    </row>
    <row r="472" spans="34:34" ht="15" thickBot="1" x14ac:dyDescent="0.4">
      <c r="AH472" s="87"/>
    </row>
    <row r="473" spans="34:34" ht="15" thickBot="1" x14ac:dyDescent="0.4">
      <c r="AH473" s="87"/>
    </row>
    <row r="474" spans="34:34" ht="15" thickBot="1" x14ac:dyDescent="0.4">
      <c r="AH474" s="87"/>
    </row>
    <row r="475" spans="34:34" ht="15" thickBot="1" x14ac:dyDescent="0.4">
      <c r="AH475" s="87"/>
    </row>
    <row r="476" spans="34:34" ht="15" thickBot="1" x14ac:dyDescent="0.4">
      <c r="AH476" s="87"/>
    </row>
    <row r="477" spans="34:34" ht="15" thickBot="1" x14ac:dyDescent="0.4">
      <c r="AH477" s="87"/>
    </row>
    <row r="478" spans="34:34" ht="15" thickBot="1" x14ac:dyDescent="0.4">
      <c r="AH478" s="87"/>
    </row>
    <row r="479" spans="34:34" ht="15" thickBot="1" x14ac:dyDescent="0.4">
      <c r="AH479" s="87"/>
    </row>
    <row r="480" spans="34:34" ht="15" thickBot="1" x14ac:dyDescent="0.4">
      <c r="AH480" s="87"/>
    </row>
    <row r="481" spans="34:34" ht="15" thickBot="1" x14ac:dyDescent="0.4">
      <c r="AH481" s="87"/>
    </row>
    <row r="482" spans="34:34" ht="15" thickBot="1" x14ac:dyDescent="0.4">
      <c r="AH482" s="87"/>
    </row>
    <row r="483" spans="34:34" ht="15" thickBot="1" x14ac:dyDescent="0.4">
      <c r="AH483" s="87"/>
    </row>
    <row r="484" spans="34:34" ht="15" thickBot="1" x14ac:dyDescent="0.4">
      <c r="AH484" s="87"/>
    </row>
    <row r="485" spans="34:34" ht="15" thickBot="1" x14ac:dyDescent="0.4">
      <c r="AH485" s="87"/>
    </row>
    <row r="486" spans="34:34" ht="15" thickBot="1" x14ac:dyDescent="0.4">
      <c r="AH486" s="87"/>
    </row>
    <row r="487" spans="34:34" ht="15" thickBot="1" x14ac:dyDescent="0.4">
      <c r="AH487" s="87"/>
    </row>
    <row r="488" spans="34:34" ht="15" thickBot="1" x14ac:dyDescent="0.4">
      <c r="AH488" s="87"/>
    </row>
    <row r="489" spans="34:34" ht="15" thickBot="1" x14ac:dyDescent="0.4">
      <c r="AH489" s="87"/>
    </row>
    <row r="490" spans="34:34" ht="15" thickBot="1" x14ac:dyDescent="0.4">
      <c r="AH490" s="87"/>
    </row>
    <row r="491" spans="34:34" ht="15" thickBot="1" x14ac:dyDescent="0.4">
      <c r="AH491" s="87"/>
    </row>
    <row r="492" spans="34:34" ht="15" thickBot="1" x14ac:dyDescent="0.4">
      <c r="AH492" s="87"/>
    </row>
    <row r="493" spans="34:34" ht="15" thickBot="1" x14ac:dyDescent="0.4">
      <c r="AH493" s="87"/>
    </row>
    <row r="494" spans="34:34" ht="15" thickBot="1" x14ac:dyDescent="0.4">
      <c r="AH494" s="87"/>
    </row>
    <row r="495" spans="34:34" ht="15" thickBot="1" x14ac:dyDescent="0.4">
      <c r="AH495" s="87"/>
    </row>
    <row r="496" spans="34:34" ht="15" thickBot="1" x14ac:dyDescent="0.4">
      <c r="AH496" s="87"/>
    </row>
    <row r="497" spans="34:34" ht="15" thickBot="1" x14ac:dyDescent="0.4">
      <c r="AH497" s="87"/>
    </row>
    <row r="498" spans="34:34" ht="15" thickBot="1" x14ac:dyDescent="0.4">
      <c r="AH498" s="87"/>
    </row>
    <row r="499" spans="34:34" ht="15" thickBot="1" x14ac:dyDescent="0.4">
      <c r="AH499" s="87"/>
    </row>
    <row r="500" spans="34:34" ht="15" thickBot="1" x14ac:dyDescent="0.4">
      <c r="AH500" s="87"/>
    </row>
    <row r="501" spans="34:34" ht="15" thickBot="1" x14ac:dyDescent="0.4">
      <c r="AH501" s="87"/>
    </row>
    <row r="502" spans="34:34" ht="15" thickBot="1" x14ac:dyDescent="0.4">
      <c r="AH502" s="87"/>
    </row>
    <row r="503" spans="34:34" ht="15" thickBot="1" x14ac:dyDescent="0.4">
      <c r="AH503" s="87"/>
    </row>
    <row r="504" spans="34:34" ht="15" thickBot="1" x14ac:dyDescent="0.4">
      <c r="AH504" s="87"/>
    </row>
    <row r="505" spans="34:34" ht="15" thickBot="1" x14ac:dyDescent="0.4">
      <c r="AH505" s="87"/>
    </row>
    <row r="506" spans="34:34" ht="15" thickBot="1" x14ac:dyDescent="0.4">
      <c r="AH506" s="87"/>
    </row>
    <row r="507" spans="34:34" ht="15" thickBot="1" x14ac:dyDescent="0.4">
      <c r="AH507" s="87"/>
    </row>
    <row r="508" spans="34:34" ht="15" thickBot="1" x14ac:dyDescent="0.4">
      <c r="AH508" s="87"/>
    </row>
    <row r="509" spans="34:34" ht="15" thickBot="1" x14ac:dyDescent="0.4">
      <c r="AH509" s="87"/>
    </row>
    <row r="510" spans="34:34" ht="15" thickBot="1" x14ac:dyDescent="0.4">
      <c r="AH510" s="87"/>
    </row>
    <row r="511" spans="34:34" ht="15" thickBot="1" x14ac:dyDescent="0.4">
      <c r="AH511" s="87"/>
    </row>
    <row r="512" spans="34:34" ht="15" thickBot="1" x14ac:dyDescent="0.4">
      <c r="AH512" s="87"/>
    </row>
    <row r="513" spans="34:34" ht="15" thickBot="1" x14ac:dyDescent="0.4">
      <c r="AH513" s="87"/>
    </row>
    <row r="514" spans="34:34" ht="15" thickBot="1" x14ac:dyDescent="0.4">
      <c r="AH514" s="87"/>
    </row>
    <row r="515" spans="34:34" ht="15" thickBot="1" x14ac:dyDescent="0.4">
      <c r="AH515" s="87"/>
    </row>
    <row r="516" spans="34:34" ht="15" thickBot="1" x14ac:dyDescent="0.4">
      <c r="AH516" s="87"/>
    </row>
    <row r="517" spans="34:34" ht="15" thickBot="1" x14ac:dyDescent="0.4">
      <c r="AH517" s="87"/>
    </row>
    <row r="518" spans="34:34" ht="15" thickBot="1" x14ac:dyDescent="0.4">
      <c r="AH518" s="87"/>
    </row>
    <row r="519" spans="34:34" ht="15" thickBot="1" x14ac:dyDescent="0.4">
      <c r="AH519" s="87"/>
    </row>
    <row r="520" spans="34:34" ht="15" thickBot="1" x14ac:dyDescent="0.4">
      <c r="AH520" s="87"/>
    </row>
    <row r="521" spans="34:34" ht="15" thickBot="1" x14ac:dyDescent="0.4">
      <c r="AH521" s="87"/>
    </row>
    <row r="522" spans="34:34" ht="15" thickBot="1" x14ac:dyDescent="0.4">
      <c r="AH522" s="87"/>
    </row>
    <row r="523" spans="34:34" ht="15" thickBot="1" x14ac:dyDescent="0.4">
      <c r="AH523" s="87"/>
    </row>
    <row r="524" spans="34:34" ht="15" thickBot="1" x14ac:dyDescent="0.4">
      <c r="AH524" s="87"/>
    </row>
    <row r="525" spans="34:34" ht="15" thickBot="1" x14ac:dyDescent="0.4">
      <c r="AH525" s="87"/>
    </row>
    <row r="526" spans="34:34" ht="15" thickBot="1" x14ac:dyDescent="0.4">
      <c r="AH526" s="87"/>
    </row>
    <row r="527" spans="34:34" ht="15" thickBot="1" x14ac:dyDescent="0.4">
      <c r="AH527" s="87"/>
    </row>
    <row r="528" spans="34:34" ht="15" thickBot="1" x14ac:dyDescent="0.4">
      <c r="AH528" s="87"/>
    </row>
    <row r="529" spans="34:34" ht="15" thickBot="1" x14ac:dyDescent="0.4">
      <c r="AH529" s="87"/>
    </row>
    <row r="530" spans="34:34" ht="15" thickBot="1" x14ac:dyDescent="0.4">
      <c r="AH530" s="87"/>
    </row>
    <row r="531" spans="34:34" ht="15" thickBot="1" x14ac:dyDescent="0.4">
      <c r="AH531" s="87"/>
    </row>
    <row r="532" spans="34:34" ht="15" thickBot="1" x14ac:dyDescent="0.4">
      <c r="AH532" s="87"/>
    </row>
    <row r="533" spans="34:34" ht="15" thickBot="1" x14ac:dyDescent="0.4">
      <c r="AH533" s="87"/>
    </row>
    <row r="534" spans="34:34" ht="15" thickBot="1" x14ac:dyDescent="0.4">
      <c r="AH534" s="87"/>
    </row>
    <row r="535" spans="34:34" ht="15" thickBot="1" x14ac:dyDescent="0.4">
      <c r="AH535" s="87"/>
    </row>
    <row r="536" spans="34:34" ht="15" thickBot="1" x14ac:dyDescent="0.4">
      <c r="AH536" s="87"/>
    </row>
    <row r="537" spans="34:34" ht="15" thickBot="1" x14ac:dyDescent="0.4">
      <c r="AH537" s="87"/>
    </row>
    <row r="538" spans="34:34" ht="15" thickBot="1" x14ac:dyDescent="0.4">
      <c r="AH538" s="87"/>
    </row>
    <row r="539" spans="34:34" ht="15" thickBot="1" x14ac:dyDescent="0.4">
      <c r="AH539" s="87"/>
    </row>
    <row r="540" spans="34:34" ht="15" thickBot="1" x14ac:dyDescent="0.4">
      <c r="AH540" s="87"/>
    </row>
    <row r="541" spans="34:34" ht="15" thickBot="1" x14ac:dyDescent="0.4">
      <c r="AH541" s="87"/>
    </row>
    <row r="542" spans="34:34" ht="15" thickBot="1" x14ac:dyDescent="0.4">
      <c r="AH542" s="87"/>
    </row>
    <row r="543" spans="34:34" ht="15" thickBot="1" x14ac:dyDescent="0.4">
      <c r="AH543" s="87"/>
    </row>
    <row r="544" spans="34:34" ht="15" thickBot="1" x14ac:dyDescent="0.4">
      <c r="AH544" s="87"/>
    </row>
    <row r="545" spans="34:34" ht="15" thickBot="1" x14ac:dyDescent="0.4">
      <c r="AH545" s="87"/>
    </row>
    <row r="546" spans="34:34" ht="15" thickBot="1" x14ac:dyDescent="0.4">
      <c r="AH546" s="87"/>
    </row>
    <row r="547" spans="34:34" ht="15" thickBot="1" x14ac:dyDescent="0.4">
      <c r="AH547" s="87"/>
    </row>
    <row r="548" spans="34:34" ht="15" thickBot="1" x14ac:dyDescent="0.4">
      <c r="AH548" s="87"/>
    </row>
    <row r="549" spans="34:34" ht="15" thickBot="1" x14ac:dyDescent="0.4">
      <c r="AH549" s="87"/>
    </row>
    <row r="550" spans="34:34" ht="15" thickBot="1" x14ac:dyDescent="0.4">
      <c r="AH550" s="87"/>
    </row>
    <row r="551" spans="34:34" ht="15" thickBot="1" x14ac:dyDescent="0.4">
      <c r="AH551" s="87"/>
    </row>
    <row r="552" spans="34:34" ht="15" thickBot="1" x14ac:dyDescent="0.4">
      <c r="AH552" s="87"/>
    </row>
    <row r="553" spans="34:34" ht="15" thickBot="1" x14ac:dyDescent="0.4">
      <c r="AH553" s="87"/>
    </row>
    <row r="554" spans="34:34" ht="15" thickBot="1" x14ac:dyDescent="0.4">
      <c r="AH554" s="87"/>
    </row>
    <row r="555" spans="34:34" ht="15" thickBot="1" x14ac:dyDescent="0.4">
      <c r="AH555" s="87"/>
    </row>
    <row r="556" spans="34:34" ht="15" thickBot="1" x14ac:dyDescent="0.4">
      <c r="AH556" s="87"/>
    </row>
    <row r="557" spans="34:34" ht="15" thickBot="1" x14ac:dyDescent="0.4">
      <c r="AH557" s="87"/>
    </row>
    <row r="558" spans="34:34" ht="15" thickBot="1" x14ac:dyDescent="0.4">
      <c r="AH558" s="87"/>
    </row>
    <row r="559" spans="34:34" ht="15" thickBot="1" x14ac:dyDescent="0.4">
      <c r="AH559" s="87"/>
    </row>
    <row r="560" spans="34:34" ht="15" thickBot="1" x14ac:dyDescent="0.4">
      <c r="AH560" s="87"/>
    </row>
    <row r="561" spans="34:34" ht="15" thickBot="1" x14ac:dyDescent="0.4">
      <c r="AH561" s="87"/>
    </row>
    <row r="562" spans="34:34" ht="15" thickBot="1" x14ac:dyDescent="0.4">
      <c r="AH562" s="87"/>
    </row>
    <row r="563" spans="34:34" ht="15" thickBot="1" x14ac:dyDescent="0.4">
      <c r="AH563" s="87"/>
    </row>
    <row r="564" spans="34:34" ht="15" thickBot="1" x14ac:dyDescent="0.4">
      <c r="AH564" s="87"/>
    </row>
    <row r="565" spans="34:34" ht="15" thickBot="1" x14ac:dyDescent="0.4">
      <c r="AH565" s="87"/>
    </row>
    <row r="566" spans="34:34" ht="15" thickBot="1" x14ac:dyDescent="0.4">
      <c r="AH566" s="87"/>
    </row>
    <row r="567" spans="34:34" ht="15" thickBot="1" x14ac:dyDescent="0.4">
      <c r="AH567" s="87"/>
    </row>
    <row r="568" spans="34:34" ht="15" thickBot="1" x14ac:dyDescent="0.4">
      <c r="AH568" s="87"/>
    </row>
    <row r="569" spans="34:34" ht="15" thickBot="1" x14ac:dyDescent="0.4">
      <c r="AH569" s="87"/>
    </row>
    <row r="570" spans="34:34" ht="15" thickBot="1" x14ac:dyDescent="0.4">
      <c r="AH570" s="87"/>
    </row>
    <row r="571" spans="34:34" ht="15" thickBot="1" x14ac:dyDescent="0.4">
      <c r="AH571" s="87"/>
    </row>
    <row r="572" spans="34:34" ht="15" thickBot="1" x14ac:dyDescent="0.4">
      <c r="AH572" s="87"/>
    </row>
    <row r="573" spans="34:34" ht="15" thickBot="1" x14ac:dyDescent="0.4">
      <c r="AH573" s="87"/>
    </row>
    <row r="574" spans="34:34" ht="15" thickBot="1" x14ac:dyDescent="0.4">
      <c r="AH574" s="87"/>
    </row>
    <row r="575" spans="34:34" ht="15" thickBot="1" x14ac:dyDescent="0.4">
      <c r="AH575" s="87"/>
    </row>
    <row r="576" spans="34:34" ht="15" thickBot="1" x14ac:dyDescent="0.4">
      <c r="AH576" s="87"/>
    </row>
    <row r="577" spans="34:34" ht="15" thickBot="1" x14ac:dyDescent="0.4">
      <c r="AH577" s="87"/>
    </row>
    <row r="578" spans="34:34" ht="15" thickBot="1" x14ac:dyDescent="0.4">
      <c r="AH578" s="87"/>
    </row>
    <row r="579" spans="34:34" ht="15" thickBot="1" x14ac:dyDescent="0.4">
      <c r="AH579" s="87"/>
    </row>
    <row r="580" spans="34:34" ht="15" thickBot="1" x14ac:dyDescent="0.4">
      <c r="AH580" s="87"/>
    </row>
    <row r="581" spans="34:34" ht="15" thickBot="1" x14ac:dyDescent="0.4">
      <c r="AH581" s="87"/>
    </row>
    <row r="582" spans="34:34" ht="15" thickBot="1" x14ac:dyDescent="0.4">
      <c r="AH582" s="87"/>
    </row>
    <row r="583" spans="34:34" ht="15" thickBot="1" x14ac:dyDescent="0.4">
      <c r="AH583" s="87"/>
    </row>
    <row r="584" spans="34:34" ht="15" thickBot="1" x14ac:dyDescent="0.4">
      <c r="AH584" s="87"/>
    </row>
    <row r="585" spans="34:34" ht="15" thickBot="1" x14ac:dyDescent="0.4">
      <c r="AH585" s="87"/>
    </row>
    <row r="586" spans="34:34" ht="15" thickBot="1" x14ac:dyDescent="0.4">
      <c r="AH586" s="87"/>
    </row>
    <row r="587" spans="34:34" ht="15" thickBot="1" x14ac:dyDescent="0.4">
      <c r="AH587" s="87"/>
    </row>
    <row r="588" spans="34:34" ht="15" thickBot="1" x14ac:dyDescent="0.4">
      <c r="AH588" s="87"/>
    </row>
    <row r="589" spans="34:34" ht="15" thickBot="1" x14ac:dyDescent="0.4">
      <c r="AH589" s="87"/>
    </row>
    <row r="590" spans="34:34" ht="15" thickBot="1" x14ac:dyDescent="0.4">
      <c r="AH590" s="87"/>
    </row>
    <row r="591" spans="34:34" ht="15" thickBot="1" x14ac:dyDescent="0.4">
      <c r="AH591" s="87"/>
    </row>
    <row r="592" spans="34:34" ht="15" thickBot="1" x14ac:dyDescent="0.4">
      <c r="AH592" s="87"/>
    </row>
    <row r="593" spans="34:34" ht="15" thickBot="1" x14ac:dyDescent="0.4">
      <c r="AH593" s="87"/>
    </row>
    <row r="594" spans="34:34" ht="15" thickBot="1" x14ac:dyDescent="0.4">
      <c r="AH594" s="87"/>
    </row>
    <row r="595" spans="34:34" ht="15" thickBot="1" x14ac:dyDescent="0.4">
      <c r="AH595" s="87"/>
    </row>
    <row r="596" spans="34:34" ht="15" thickBot="1" x14ac:dyDescent="0.4">
      <c r="AH596" s="87"/>
    </row>
    <row r="597" spans="34:34" ht="15" thickBot="1" x14ac:dyDescent="0.4">
      <c r="AH597" s="87"/>
    </row>
    <row r="598" spans="34:34" ht="15" thickBot="1" x14ac:dyDescent="0.4">
      <c r="AH598" s="87"/>
    </row>
    <row r="599" spans="34:34" ht="15" thickBot="1" x14ac:dyDescent="0.4">
      <c r="AH599" s="87"/>
    </row>
    <row r="600" spans="34:34" ht="15" thickBot="1" x14ac:dyDescent="0.4">
      <c r="AH600" s="87"/>
    </row>
    <row r="601" spans="34:34" ht="15" thickBot="1" x14ac:dyDescent="0.4">
      <c r="AH601" s="87"/>
    </row>
    <row r="602" spans="34:34" ht="15" thickBot="1" x14ac:dyDescent="0.4">
      <c r="AH602" s="87"/>
    </row>
    <row r="603" spans="34:34" ht="15" thickBot="1" x14ac:dyDescent="0.4">
      <c r="AH603" s="87"/>
    </row>
    <row r="604" spans="34:34" ht="15" thickBot="1" x14ac:dyDescent="0.4">
      <c r="AH604" s="87"/>
    </row>
    <row r="605" spans="34:34" ht="15" thickBot="1" x14ac:dyDescent="0.4">
      <c r="AH605" s="87"/>
    </row>
    <row r="606" spans="34:34" ht="15" thickBot="1" x14ac:dyDescent="0.4">
      <c r="AH606" s="87"/>
    </row>
    <row r="607" spans="34:34" ht="15" thickBot="1" x14ac:dyDescent="0.4">
      <c r="AH607" s="87"/>
    </row>
    <row r="608" spans="34:34" ht="15" thickBot="1" x14ac:dyDescent="0.4">
      <c r="AH608" s="87"/>
    </row>
    <row r="609" spans="34:34" ht="15" thickBot="1" x14ac:dyDescent="0.4">
      <c r="AH609" s="87"/>
    </row>
    <row r="610" spans="34:34" ht="15" thickBot="1" x14ac:dyDescent="0.4">
      <c r="AH610" s="87"/>
    </row>
    <row r="611" spans="34:34" ht="15" thickBot="1" x14ac:dyDescent="0.4">
      <c r="AH611" s="87"/>
    </row>
    <row r="612" spans="34:34" ht="15" thickBot="1" x14ac:dyDescent="0.4">
      <c r="AH612" s="87"/>
    </row>
    <row r="613" spans="34:34" ht="15" thickBot="1" x14ac:dyDescent="0.4">
      <c r="AH613" s="87"/>
    </row>
    <row r="614" spans="34:34" ht="15" thickBot="1" x14ac:dyDescent="0.4">
      <c r="AH614" s="87"/>
    </row>
    <row r="615" spans="34:34" ht="15" thickBot="1" x14ac:dyDescent="0.4">
      <c r="AH615" s="87"/>
    </row>
    <row r="616" spans="34:34" ht="15" thickBot="1" x14ac:dyDescent="0.4">
      <c r="AH616" s="87"/>
    </row>
    <row r="617" spans="34:34" ht="15" thickBot="1" x14ac:dyDescent="0.4">
      <c r="AH617" s="87"/>
    </row>
    <row r="618" spans="34:34" ht="15" thickBot="1" x14ac:dyDescent="0.4">
      <c r="AH618" s="87"/>
    </row>
    <row r="619" spans="34:34" ht="15" thickBot="1" x14ac:dyDescent="0.4">
      <c r="AH619" s="87"/>
    </row>
    <row r="620" spans="34:34" ht="15" thickBot="1" x14ac:dyDescent="0.4">
      <c r="AH620" s="87"/>
    </row>
    <row r="621" spans="34:34" ht="15" thickBot="1" x14ac:dyDescent="0.4">
      <c r="AH621" s="87"/>
    </row>
    <row r="622" spans="34:34" ht="15" thickBot="1" x14ac:dyDescent="0.4">
      <c r="AH622" s="87"/>
    </row>
    <row r="623" spans="34:34" ht="15" thickBot="1" x14ac:dyDescent="0.4">
      <c r="AH623" s="87"/>
    </row>
    <row r="624" spans="34:34" ht="15" thickBot="1" x14ac:dyDescent="0.4">
      <c r="AH624" s="87"/>
    </row>
    <row r="625" spans="34:34" ht="15" thickBot="1" x14ac:dyDescent="0.4">
      <c r="AH625" s="87"/>
    </row>
    <row r="626" spans="34:34" ht="15" thickBot="1" x14ac:dyDescent="0.4">
      <c r="AH626" s="87"/>
    </row>
    <row r="627" spans="34:34" ht="15" thickBot="1" x14ac:dyDescent="0.4">
      <c r="AH627" s="87"/>
    </row>
    <row r="628" spans="34:34" ht="15" thickBot="1" x14ac:dyDescent="0.4">
      <c r="AH628" s="87"/>
    </row>
    <row r="629" spans="34:34" ht="15" thickBot="1" x14ac:dyDescent="0.4">
      <c r="AH629" s="87"/>
    </row>
    <row r="630" spans="34:34" ht="15" thickBot="1" x14ac:dyDescent="0.4">
      <c r="AH630" s="87"/>
    </row>
    <row r="631" spans="34:34" ht="15" thickBot="1" x14ac:dyDescent="0.4">
      <c r="AH631" s="87"/>
    </row>
    <row r="632" spans="34:34" ht="15" thickBot="1" x14ac:dyDescent="0.4">
      <c r="AH632" s="87"/>
    </row>
    <row r="633" spans="34:34" ht="15" thickBot="1" x14ac:dyDescent="0.4">
      <c r="AH633" s="87"/>
    </row>
    <row r="634" spans="34:34" ht="15" thickBot="1" x14ac:dyDescent="0.4">
      <c r="AH634" s="87"/>
    </row>
    <row r="635" spans="34:34" ht="15" thickBot="1" x14ac:dyDescent="0.4">
      <c r="AH635" s="87"/>
    </row>
    <row r="636" spans="34:34" ht="15" thickBot="1" x14ac:dyDescent="0.4">
      <c r="AH636" s="87"/>
    </row>
    <row r="637" spans="34:34" ht="15" thickBot="1" x14ac:dyDescent="0.4">
      <c r="AH637" s="87"/>
    </row>
    <row r="638" spans="34:34" ht="15" thickBot="1" x14ac:dyDescent="0.4">
      <c r="AH638" s="87"/>
    </row>
    <row r="639" spans="34:34" ht="15" thickBot="1" x14ac:dyDescent="0.4">
      <c r="AH639" s="87"/>
    </row>
    <row r="640" spans="34:34" ht="15" thickBot="1" x14ac:dyDescent="0.4">
      <c r="AH640" s="87"/>
    </row>
    <row r="641" spans="34:34" ht="15" thickBot="1" x14ac:dyDescent="0.4">
      <c r="AH641" s="87"/>
    </row>
    <row r="642" spans="34:34" ht="15" thickBot="1" x14ac:dyDescent="0.4">
      <c r="AH642" s="87"/>
    </row>
    <row r="643" spans="34:34" ht="15" thickBot="1" x14ac:dyDescent="0.4">
      <c r="AH643" s="87"/>
    </row>
    <row r="644" spans="34:34" ht="15" thickBot="1" x14ac:dyDescent="0.4">
      <c r="AH644" s="87"/>
    </row>
    <row r="645" spans="34:34" ht="15" thickBot="1" x14ac:dyDescent="0.4">
      <c r="AH645" s="87"/>
    </row>
    <row r="646" spans="34:34" ht="15" thickBot="1" x14ac:dyDescent="0.4">
      <c r="AH646" s="87"/>
    </row>
    <row r="647" spans="34:34" ht="15" thickBot="1" x14ac:dyDescent="0.4">
      <c r="AH647" s="87"/>
    </row>
    <row r="648" spans="34:34" ht="15" thickBot="1" x14ac:dyDescent="0.4">
      <c r="AH648" s="87"/>
    </row>
    <row r="649" spans="34:34" ht="15" thickBot="1" x14ac:dyDescent="0.4">
      <c r="AH649" s="87"/>
    </row>
    <row r="650" spans="34:34" ht="15" thickBot="1" x14ac:dyDescent="0.4">
      <c r="AH650" s="87"/>
    </row>
    <row r="651" spans="34:34" ht="15" thickBot="1" x14ac:dyDescent="0.4">
      <c r="AH651" s="87"/>
    </row>
    <row r="652" spans="34:34" ht="15" thickBot="1" x14ac:dyDescent="0.4">
      <c r="AH652" s="87"/>
    </row>
    <row r="653" spans="34:34" ht="15" thickBot="1" x14ac:dyDescent="0.4">
      <c r="AH653" s="87"/>
    </row>
    <row r="654" spans="34:34" ht="15" thickBot="1" x14ac:dyDescent="0.4">
      <c r="AH654" s="87"/>
    </row>
    <row r="655" spans="34:34" ht="15" thickBot="1" x14ac:dyDescent="0.4">
      <c r="AH655" s="87"/>
    </row>
    <row r="656" spans="34:34" ht="15" thickBot="1" x14ac:dyDescent="0.4">
      <c r="AH656" s="87"/>
    </row>
    <row r="657" spans="34:34" ht="15" thickBot="1" x14ac:dyDescent="0.4">
      <c r="AH657" s="87"/>
    </row>
    <row r="658" spans="34:34" ht="15" thickBot="1" x14ac:dyDescent="0.4">
      <c r="AH658" s="87"/>
    </row>
    <row r="659" spans="34:34" ht="15" thickBot="1" x14ac:dyDescent="0.4">
      <c r="AH659" s="87"/>
    </row>
    <row r="660" spans="34:34" ht="15" thickBot="1" x14ac:dyDescent="0.4">
      <c r="AH660" s="87"/>
    </row>
    <row r="661" spans="34:34" ht="15" thickBot="1" x14ac:dyDescent="0.4">
      <c r="AH661" s="87"/>
    </row>
    <row r="662" spans="34:34" ht="15" thickBot="1" x14ac:dyDescent="0.4">
      <c r="AH662" s="87"/>
    </row>
    <row r="663" spans="34:34" ht="15" thickBot="1" x14ac:dyDescent="0.4">
      <c r="AH663" s="87"/>
    </row>
    <row r="664" spans="34:34" ht="15" thickBot="1" x14ac:dyDescent="0.4">
      <c r="AH664" s="87"/>
    </row>
    <row r="665" spans="34:34" ht="15" thickBot="1" x14ac:dyDescent="0.4">
      <c r="AH665" s="87"/>
    </row>
    <row r="666" spans="34:34" ht="15" thickBot="1" x14ac:dyDescent="0.4">
      <c r="AH666" s="87"/>
    </row>
    <row r="667" spans="34:34" ht="15" thickBot="1" x14ac:dyDescent="0.4">
      <c r="AH667" s="87"/>
    </row>
    <row r="668" spans="34:34" ht="15" thickBot="1" x14ac:dyDescent="0.4">
      <c r="AH668" s="87"/>
    </row>
    <row r="669" spans="34:34" ht="15" thickBot="1" x14ac:dyDescent="0.4">
      <c r="AH669" s="87"/>
    </row>
    <row r="670" spans="34:34" ht="15" thickBot="1" x14ac:dyDescent="0.4">
      <c r="AH670" s="87"/>
    </row>
    <row r="671" spans="34:34" ht="15" thickBot="1" x14ac:dyDescent="0.4">
      <c r="AH671" s="87"/>
    </row>
    <row r="672" spans="34:34" ht="15" thickBot="1" x14ac:dyDescent="0.4">
      <c r="AH672" s="87"/>
    </row>
    <row r="673" spans="34:34" ht="15" thickBot="1" x14ac:dyDescent="0.4">
      <c r="AH673" s="87"/>
    </row>
    <row r="674" spans="34:34" ht="15" thickBot="1" x14ac:dyDescent="0.4">
      <c r="AH674" s="87"/>
    </row>
    <row r="675" spans="34:34" ht="15" thickBot="1" x14ac:dyDescent="0.4">
      <c r="AH675" s="87"/>
    </row>
    <row r="676" spans="34:34" ht="15" thickBot="1" x14ac:dyDescent="0.4">
      <c r="AH676" s="87"/>
    </row>
    <row r="677" spans="34:34" ht="15" thickBot="1" x14ac:dyDescent="0.4">
      <c r="AH677" s="87"/>
    </row>
    <row r="678" spans="34:34" ht="15" thickBot="1" x14ac:dyDescent="0.4">
      <c r="AH678" s="87"/>
    </row>
    <row r="679" spans="34:34" ht="15" thickBot="1" x14ac:dyDescent="0.4">
      <c r="AH679" s="87"/>
    </row>
    <row r="680" spans="34:34" ht="15" thickBot="1" x14ac:dyDescent="0.4">
      <c r="AH680" s="87"/>
    </row>
    <row r="681" spans="34:34" ht="15" thickBot="1" x14ac:dyDescent="0.4">
      <c r="AH681" s="87"/>
    </row>
    <row r="682" spans="34:34" ht="15" thickBot="1" x14ac:dyDescent="0.4">
      <c r="AH682" s="87"/>
    </row>
    <row r="683" spans="34:34" ht="15" thickBot="1" x14ac:dyDescent="0.4">
      <c r="AH683" s="87"/>
    </row>
    <row r="684" spans="34:34" ht="15" thickBot="1" x14ac:dyDescent="0.4">
      <c r="AH684" s="87"/>
    </row>
    <row r="685" spans="34:34" ht="15" thickBot="1" x14ac:dyDescent="0.4">
      <c r="AH685" s="87"/>
    </row>
    <row r="686" spans="34:34" ht="15" thickBot="1" x14ac:dyDescent="0.4">
      <c r="AH686" s="87"/>
    </row>
    <row r="687" spans="34:34" ht="15" thickBot="1" x14ac:dyDescent="0.4">
      <c r="AH687" s="87"/>
    </row>
    <row r="688" spans="34:34" ht="15" thickBot="1" x14ac:dyDescent="0.4">
      <c r="AH688" s="87"/>
    </row>
    <row r="689" spans="34:34" ht="15" thickBot="1" x14ac:dyDescent="0.4">
      <c r="AH689" s="87"/>
    </row>
    <row r="690" spans="34:34" ht="15" thickBot="1" x14ac:dyDescent="0.4">
      <c r="AH690" s="87"/>
    </row>
    <row r="691" spans="34:34" ht="15" thickBot="1" x14ac:dyDescent="0.4">
      <c r="AH691" s="87"/>
    </row>
    <row r="692" spans="34:34" ht="15" thickBot="1" x14ac:dyDescent="0.4">
      <c r="AH692" s="87"/>
    </row>
    <row r="693" spans="34:34" ht="15" thickBot="1" x14ac:dyDescent="0.4">
      <c r="AH693" s="87"/>
    </row>
    <row r="694" spans="34:34" ht="15" thickBot="1" x14ac:dyDescent="0.4">
      <c r="AH694" s="87"/>
    </row>
    <row r="695" spans="34:34" ht="15" thickBot="1" x14ac:dyDescent="0.4">
      <c r="AH695" s="87"/>
    </row>
    <row r="696" spans="34:34" ht="15" thickBot="1" x14ac:dyDescent="0.4">
      <c r="AH696" s="87"/>
    </row>
    <row r="697" spans="34:34" ht="15" thickBot="1" x14ac:dyDescent="0.4">
      <c r="AH697" s="87"/>
    </row>
    <row r="698" spans="34:34" ht="15" thickBot="1" x14ac:dyDescent="0.4">
      <c r="AH698" s="87"/>
    </row>
    <row r="699" spans="34:34" ht="15" thickBot="1" x14ac:dyDescent="0.4">
      <c r="AH699" s="87"/>
    </row>
    <row r="700" spans="34:34" ht="15" thickBot="1" x14ac:dyDescent="0.4">
      <c r="AH700" s="87"/>
    </row>
    <row r="701" spans="34:34" ht="15" thickBot="1" x14ac:dyDescent="0.4">
      <c r="AH701" s="87"/>
    </row>
    <row r="702" spans="34:34" ht="15" thickBot="1" x14ac:dyDescent="0.4">
      <c r="AH702" s="87"/>
    </row>
    <row r="703" spans="34:34" ht="15" thickBot="1" x14ac:dyDescent="0.4">
      <c r="AH703" s="87"/>
    </row>
    <row r="704" spans="34:34" ht="15" thickBot="1" x14ac:dyDescent="0.4">
      <c r="AH704" s="87"/>
    </row>
    <row r="705" spans="34:34" ht="15" thickBot="1" x14ac:dyDescent="0.4">
      <c r="AH705" s="87"/>
    </row>
    <row r="706" spans="34:34" ht="15" thickBot="1" x14ac:dyDescent="0.4">
      <c r="AH706" s="87"/>
    </row>
    <row r="707" spans="34:34" ht="15" thickBot="1" x14ac:dyDescent="0.4">
      <c r="AH707" s="87"/>
    </row>
    <row r="708" spans="34:34" ht="15" thickBot="1" x14ac:dyDescent="0.4">
      <c r="AH708" s="87"/>
    </row>
    <row r="709" spans="34:34" ht="15" thickBot="1" x14ac:dyDescent="0.4">
      <c r="AH709" s="87"/>
    </row>
    <row r="710" spans="34:34" ht="15" thickBot="1" x14ac:dyDescent="0.4">
      <c r="AH710" s="87"/>
    </row>
    <row r="711" spans="34:34" ht="15" thickBot="1" x14ac:dyDescent="0.4">
      <c r="AH711" s="87"/>
    </row>
    <row r="712" spans="34:34" ht="15" thickBot="1" x14ac:dyDescent="0.4">
      <c r="AH712" s="87"/>
    </row>
    <row r="713" spans="34:34" ht="15" thickBot="1" x14ac:dyDescent="0.4">
      <c r="AH713" s="87"/>
    </row>
    <row r="714" spans="34:34" ht="15" thickBot="1" x14ac:dyDescent="0.4">
      <c r="AH714" s="87"/>
    </row>
    <row r="715" spans="34:34" ht="15" thickBot="1" x14ac:dyDescent="0.4">
      <c r="AH715" s="87"/>
    </row>
    <row r="716" spans="34:34" ht="15" thickBot="1" x14ac:dyDescent="0.4">
      <c r="AH716" s="87"/>
    </row>
    <row r="717" spans="34:34" ht="15" thickBot="1" x14ac:dyDescent="0.4">
      <c r="AH717" s="87"/>
    </row>
    <row r="718" spans="34:34" ht="15" thickBot="1" x14ac:dyDescent="0.4">
      <c r="AH718" s="87"/>
    </row>
    <row r="719" spans="34:34" ht="15" thickBot="1" x14ac:dyDescent="0.4">
      <c r="AH719" s="87"/>
    </row>
    <row r="720" spans="34:34" ht="15" thickBot="1" x14ac:dyDescent="0.4">
      <c r="AH720" s="87"/>
    </row>
    <row r="721" spans="34:34" ht="15" thickBot="1" x14ac:dyDescent="0.4">
      <c r="AH721" s="87"/>
    </row>
    <row r="722" spans="34:34" ht="15" thickBot="1" x14ac:dyDescent="0.4">
      <c r="AH722" s="87"/>
    </row>
    <row r="723" spans="34:34" ht="15" thickBot="1" x14ac:dyDescent="0.4">
      <c r="AH723" s="87"/>
    </row>
    <row r="724" spans="34:34" ht="15" thickBot="1" x14ac:dyDescent="0.4">
      <c r="AH724" s="87"/>
    </row>
    <row r="725" spans="34:34" ht="15" thickBot="1" x14ac:dyDescent="0.4">
      <c r="AH725" s="87"/>
    </row>
    <row r="726" spans="34:34" ht="15" thickBot="1" x14ac:dyDescent="0.4">
      <c r="AH726" s="87"/>
    </row>
    <row r="727" spans="34:34" ht="15" thickBot="1" x14ac:dyDescent="0.4">
      <c r="AH727" s="87"/>
    </row>
    <row r="728" spans="34:34" ht="15" thickBot="1" x14ac:dyDescent="0.4">
      <c r="AH728" s="87"/>
    </row>
    <row r="729" spans="34:34" ht="15" thickBot="1" x14ac:dyDescent="0.4">
      <c r="AH729" s="87"/>
    </row>
    <row r="730" spans="34:34" ht="15" thickBot="1" x14ac:dyDescent="0.4">
      <c r="AH730" s="87"/>
    </row>
    <row r="731" spans="34:34" ht="15" thickBot="1" x14ac:dyDescent="0.4">
      <c r="AH731" s="87"/>
    </row>
    <row r="732" spans="34:34" ht="15" thickBot="1" x14ac:dyDescent="0.4">
      <c r="AH732" s="87"/>
    </row>
    <row r="733" spans="34:34" ht="15" thickBot="1" x14ac:dyDescent="0.4">
      <c r="AH733" s="87"/>
    </row>
    <row r="734" spans="34:34" ht="15" thickBot="1" x14ac:dyDescent="0.4">
      <c r="AH734" s="87"/>
    </row>
    <row r="735" spans="34:34" ht="15" thickBot="1" x14ac:dyDescent="0.4">
      <c r="AH735" s="87"/>
    </row>
    <row r="736" spans="34:34" ht="15" thickBot="1" x14ac:dyDescent="0.4">
      <c r="AH736" s="87"/>
    </row>
    <row r="737" spans="34:34" ht="15" thickBot="1" x14ac:dyDescent="0.4">
      <c r="AH737" s="87"/>
    </row>
    <row r="738" spans="34:34" ht="15" thickBot="1" x14ac:dyDescent="0.4">
      <c r="AH738" s="87"/>
    </row>
    <row r="739" spans="34:34" ht="15" thickBot="1" x14ac:dyDescent="0.4">
      <c r="AH739" s="87"/>
    </row>
    <row r="740" spans="34:34" ht="15" thickBot="1" x14ac:dyDescent="0.4">
      <c r="AH740" s="87"/>
    </row>
    <row r="741" spans="34:34" ht="15" thickBot="1" x14ac:dyDescent="0.4">
      <c r="AH741" s="87"/>
    </row>
    <row r="742" spans="34:34" ht="15" thickBot="1" x14ac:dyDescent="0.4">
      <c r="AH742" s="87"/>
    </row>
    <row r="743" spans="34:34" ht="15" thickBot="1" x14ac:dyDescent="0.4">
      <c r="AH743" s="87"/>
    </row>
    <row r="744" spans="34:34" ht="15" thickBot="1" x14ac:dyDescent="0.4">
      <c r="AH744" s="87"/>
    </row>
    <row r="745" spans="34:34" ht="15" thickBot="1" x14ac:dyDescent="0.4">
      <c r="AH745" s="87"/>
    </row>
    <row r="746" spans="34:34" ht="15" thickBot="1" x14ac:dyDescent="0.4">
      <c r="AH746" s="87"/>
    </row>
    <row r="747" spans="34:34" ht="15" thickBot="1" x14ac:dyDescent="0.4">
      <c r="AH747" s="87"/>
    </row>
    <row r="748" spans="34:34" ht="15" thickBot="1" x14ac:dyDescent="0.4">
      <c r="AH748" s="87"/>
    </row>
    <row r="749" spans="34:34" ht="15" thickBot="1" x14ac:dyDescent="0.4">
      <c r="AH749" s="87"/>
    </row>
    <row r="750" spans="34:34" ht="15" thickBot="1" x14ac:dyDescent="0.4">
      <c r="AH750" s="87"/>
    </row>
    <row r="751" spans="34:34" ht="15" thickBot="1" x14ac:dyDescent="0.4">
      <c r="AH751" s="87"/>
    </row>
    <row r="752" spans="34:34" ht="15" thickBot="1" x14ac:dyDescent="0.4">
      <c r="AH752" s="87"/>
    </row>
    <row r="753" spans="34:34" ht="15" thickBot="1" x14ac:dyDescent="0.4">
      <c r="AH753" s="87"/>
    </row>
    <row r="754" spans="34:34" ht="15" thickBot="1" x14ac:dyDescent="0.4">
      <c r="AH754" s="87"/>
    </row>
    <row r="755" spans="34:34" ht="15" thickBot="1" x14ac:dyDescent="0.4">
      <c r="AH755" s="87"/>
    </row>
    <row r="756" spans="34:34" ht="15" thickBot="1" x14ac:dyDescent="0.4">
      <c r="AH756" s="87"/>
    </row>
    <row r="757" spans="34:34" ht="15" thickBot="1" x14ac:dyDescent="0.4">
      <c r="AH757" s="87"/>
    </row>
    <row r="758" spans="34:34" ht="15" thickBot="1" x14ac:dyDescent="0.4">
      <c r="AH758" s="87"/>
    </row>
    <row r="759" spans="34:34" ht="15" thickBot="1" x14ac:dyDescent="0.4">
      <c r="AH759" s="87"/>
    </row>
    <row r="760" spans="34:34" ht="15" thickBot="1" x14ac:dyDescent="0.4">
      <c r="AH760" s="87"/>
    </row>
    <row r="761" spans="34:34" ht="15" thickBot="1" x14ac:dyDescent="0.4">
      <c r="AH761" s="87"/>
    </row>
    <row r="762" spans="34:34" ht="15" thickBot="1" x14ac:dyDescent="0.4">
      <c r="AH762" s="87"/>
    </row>
    <row r="763" spans="34:34" ht="15" thickBot="1" x14ac:dyDescent="0.4">
      <c r="AH763" s="87"/>
    </row>
    <row r="764" spans="34:34" ht="15" thickBot="1" x14ac:dyDescent="0.4">
      <c r="AH764" s="87"/>
    </row>
    <row r="765" spans="34:34" ht="15" thickBot="1" x14ac:dyDescent="0.4">
      <c r="AH765" s="87"/>
    </row>
    <row r="766" spans="34:34" ht="15" thickBot="1" x14ac:dyDescent="0.4">
      <c r="AH766" s="87"/>
    </row>
    <row r="767" spans="34:34" ht="15" thickBot="1" x14ac:dyDescent="0.4">
      <c r="AH767" s="87"/>
    </row>
    <row r="768" spans="34:34" ht="15" thickBot="1" x14ac:dyDescent="0.4">
      <c r="AH768" s="87"/>
    </row>
    <row r="769" spans="34:34" ht="15" thickBot="1" x14ac:dyDescent="0.4">
      <c r="AH769" s="87"/>
    </row>
    <row r="770" spans="34:34" ht="15" thickBot="1" x14ac:dyDescent="0.4">
      <c r="AH770" s="87"/>
    </row>
    <row r="771" spans="34:34" ht="15" thickBot="1" x14ac:dyDescent="0.4">
      <c r="AH771" s="87"/>
    </row>
    <row r="772" spans="34:34" ht="15" thickBot="1" x14ac:dyDescent="0.4">
      <c r="AH772" s="87"/>
    </row>
    <row r="773" spans="34:34" ht="15" thickBot="1" x14ac:dyDescent="0.4">
      <c r="AH773" s="87"/>
    </row>
    <row r="774" spans="34:34" ht="15" thickBot="1" x14ac:dyDescent="0.4">
      <c r="AH774" s="87"/>
    </row>
    <row r="775" spans="34:34" ht="15" thickBot="1" x14ac:dyDescent="0.4">
      <c r="AH775" s="87"/>
    </row>
    <row r="776" spans="34:34" ht="15" thickBot="1" x14ac:dyDescent="0.4">
      <c r="AH776" s="87"/>
    </row>
    <row r="777" spans="34:34" ht="15" thickBot="1" x14ac:dyDescent="0.4">
      <c r="AH777" s="87"/>
    </row>
    <row r="778" spans="34:34" ht="15" thickBot="1" x14ac:dyDescent="0.4">
      <c r="AH778" s="87"/>
    </row>
    <row r="779" spans="34:34" ht="15" thickBot="1" x14ac:dyDescent="0.4">
      <c r="AH779" s="87"/>
    </row>
    <row r="780" spans="34:34" ht="15" thickBot="1" x14ac:dyDescent="0.4">
      <c r="AH780" s="87"/>
    </row>
    <row r="781" spans="34:34" ht="15" thickBot="1" x14ac:dyDescent="0.4">
      <c r="AH781" s="87"/>
    </row>
    <row r="782" spans="34:34" ht="15" thickBot="1" x14ac:dyDescent="0.4">
      <c r="AH782" s="87"/>
    </row>
    <row r="783" spans="34:34" ht="15" thickBot="1" x14ac:dyDescent="0.4">
      <c r="AH783" s="87"/>
    </row>
    <row r="784" spans="34:34" ht="15" thickBot="1" x14ac:dyDescent="0.4">
      <c r="AH784" s="87"/>
    </row>
    <row r="785" spans="34:34" ht="15" thickBot="1" x14ac:dyDescent="0.4">
      <c r="AH785" s="87"/>
    </row>
    <row r="786" spans="34:34" ht="15" thickBot="1" x14ac:dyDescent="0.4">
      <c r="AH786" s="87"/>
    </row>
    <row r="787" spans="34:34" ht="15" thickBot="1" x14ac:dyDescent="0.4">
      <c r="AH787" s="87"/>
    </row>
    <row r="788" spans="34:34" ht="15" thickBot="1" x14ac:dyDescent="0.4">
      <c r="AH788" s="87"/>
    </row>
    <row r="789" spans="34:34" ht="15" thickBot="1" x14ac:dyDescent="0.4">
      <c r="AH789" s="87"/>
    </row>
    <row r="790" spans="34:34" ht="15" thickBot="1" x14ac:dyDescent="0.4">
      <c r="AH790" s="87"/>
    </row>
    <row r="791" spans="34:34" ht="15" thickBot="1" x14ac:dyDescent="0.4">
      <c r="AH791" s="87"/>
    </row>
    <row r="792" spans="34:34" ht="15" thickBot="1" x14ac:dyDescent="0.4">
      <c r="AH792" s="87"/>
    </row>
    <row r="793" spans="34:34" ht="15" thickBot="1" x14ac:dyDescent="0.4">
      <c r="AH793" s="87"/>
    </row>
    <row r="794" spans="34:34" ht="15" thickBot="1" x14ac:dyDescent="0.4">
      <c r="AH794" s="87"/>
    </row>
    <row r="795" spans="34:34" ht="15" thickBot="1" x14ac:dyDescent="0.4">
      <c r="AH795" s="87"/>
    </row>
    <row r="796" spans="34:34" ht="15" thickBot="1" x14ac:dyDescent="0.4">
      <c r="AH796" s="87"/>
    </row>
    <row r="797" spans="34:34" ht="15" thickBot="1" x14ac:dyDescent="0.4">
      <c r="AH797" s="87"/>
    </row>
    <row r="798" spans="34:34" ht="15" thickBot="1" x14ac:dyDescent="0.4">
      <c r="AH798" s="87"/>
    </row>
    <row r="799" spans="34:34" ht="15" thickBot="1" x14ac:dyDescent="0.4">
      <c r="AH799" s="87"/>
    </row>
    <row r="800" spans="34:34" ht="15" thickBot="1" x14ac:dyDescent="0.4">
      <c r="AH800" s="87"/>
    </row>
    <row r="801" spans="34:34" ht="15" thickBot="1" x14ac:dyDescent="0.4">
      <c r="AH801" s="87"/>
    </row>
    <row r="802" spans="34:34" ht="15" thickBot="1" x14ac:dyDescent="0.4">
      <c r="AH802" s="87"/>
    </row>
    <row r="803" spans="34:34" ht="15" thickBot="1" x14ac:dyDescent="0.4">
      <c r="AH803" s="87"/>
    </row>
    <row r="804" spans="34:34" ht="15" thickBot="1" x14ac:dyDescent="0.4">
      <c r="AH804" s="87"/>
    </row>
    <row r="805" spans="34:34" ht="15" thickBot="1" x14ac:dyDescent="0.4">
      <c r="AH805" s="87"/>
    </row>
    <row r="806" spans="34:34" ht="15" thickBot="1" x14ac:dyDescent="0.4">
      <c r="AH806" s="87"/>
    </row>
    <row r="807" spans="34:34" ht="15" thickBot="1" x14ac:dyDescent="0.4">
      <c r="AH807" s="87"/>
    </row>
    <row r="808" spans="34:34" ht="15" thickBot="1" x14ac:dyDescent="0.4">
      <c r="AH808" s="87"/>
    </row>
    <row r="809" spans="34:34" ht="15" thickBot="1" x14ac:dyDescent="0.4">
      <c r="AH809" s="87"/>
    </row>
    <row r="810" spans="34:34" ht="15" thickBot="1" x14ac:dyDescent="0.4">
      <c r="AH810" s="87"/>
    </row>
    <row r="811" spans="34:34" ht="15" thickBot="1" x14ac:dyDescent="0.4">
      <c r="AH811" s="87"/>
    </row>
    <row r="812" spans="34:34" ht="15" thickBot="1" x14ac:dyDescent="0.4">
      <c r="AH812" s="87"/>
    </row>
    <row r="813" spans="34:34" ht="15" thickBot="1" x14ac:dyDescent="0.4">
      <c r="AH813" s="87"/>
    </row>
    <row r="814" spans="34:34" ht="15" thickBot="1" x14ac:dyDescent="0.4">
      <c r="AH814" s="87"/>
    </row>
    <row r="815" spans="34:34" ht="15" thickBot="1" x14ac:dyDescent="0.4">
      <c r="AH815" s="87"/>
    </row>
    <row r="816" spans="34:34" ht="15" thickBot="1" x14ac:dyDescent="0.4">
      <c r="AH816" s="87"/>
    </row>
    <row r="817" spans="34:34" ht="15" thickBot="1" x14ac:dyDescent="0.4">
      <c r="AH817" s="87"/>
    </row>
    <row r="818" spans="34:34" ht="15" thickBot="1" x14ac:dyDescent="0.4">
      <c r="AH818" s="87"/>
    </row>
    <row r="819" spans="34:34" ht="15" thickBot="1" x14ac:dyDescent="0.4">
      <c r="AH819" s="87"/>
    </row>
    <row r="820" spans="34:34" ht="15" thickBot="1" x14ac:dyDescent="0.4">
      <c r="AH820" s="87"/>
    </row>
    <row r="821" spans="34:34" ht="15" thickBot="1" x14ac:dyDescent="0.4">
      <c r="AH821" s="87"/>
    </row>
    <row r="822" spans="34:34" ht="15" thickBot="1" x14ac:dyDescent="0.4">
      <c r="AH822" s="87"/>
    </row>
    <row r="823" spans="34:34" ht="15" thickBot="1" x14ac:dyDescent="0.4">
      <c r="AH823" s="87"/>
    </row>
    <row r="824" spans="34:34" ht="15" thickBot="1" x14ac:dyDescent="0.4">
      <c r="AH824" s="87"/>
    </row>
    <row r="825" spans="34:34" ht="15" thickBot="1" x14ac:dyDescent="0.4">
      <c r="AH825" s="87"/>
    </row>
    <row r="826" spans="34:34" ht="15" thickBot="1" x14ac:dyDescent="0.4">
      <c r="AH826" s="87"/>
    </row>
    <row r="827" spans="34:34" ht="15" thickBot="1" x14ac:dyDescent="0.4">
      <c r="AH827" s="87"/>
    </row>
    <row r="828" spans="34:34" ht="15" thickBot="1" x14ac:dyDescent="0.4">
      <c r="AH828" s="87"/>
    </row>
    <row r="829" spans="34:34" ht="15" thickBot="1" x14ac:dyDescent="0.4">
      <c r="AH829" s="87"/>
    </row>
    <row r="830" spans="34:34" ht="15" thickBot="1" x14ac:dyDescent="0.4">
      <c r="AH830" s="87"/>
    </row>
    <row r="831" spans="34:34" ht="15" thickBot="1" x14ac:dyDescent="0.4">
      <c r="AH831" s="87"/>
    </row>
    <row r="832" spans="34:34" ht="15" thickBot="1" x14ac:dyDescent="0.4">
      <c r="AH832" s="87"/>
    </row>
    <row r="833" spans="34:34" ht="15" thickBot="1" x14ac:dyDescent="0.4">
      <c r="AH833" s="87"/>
    </row>
    <row r="834" spans="34:34" ht="15" thickBot="1" x14ac:dyDescent="0.4">
      <c r="AH834" s="87"/>
    </row>
    <row r="835" spans="34:34" ht="15" thickBot="1" x14ac:dyDescent="0.4">
      <c r="AH835" s="87"/>
    </row>
    <row r="836" spans="34:34" ht="15" thickBot="1" x14ac:dyDescent="0.4">
      <c r="AH836" s="87"/>
    </row>
    <row r="837" spans="34:34" ht="15" thickBot="1" x14ac:dyDescent="0.4">
      <c r="AH837" s="87"/>
    </row>
    <row r="838" spans="34:34" ht="15" thickBot="1" x14ac:dyDescent="0.4">
      <c r="AH838" s="87"/>
    </row>
    <row r="839" spans="34:34" ht="15" thickBot="1" x14ac:dyDescent="0.4">
      <c r="AH839" s="87"/>
    </row>
    <row r="840" spans="34:34" ht="15" thickBot="1" x14ac:dyDescent="0.4">
      <c r="AH840" s="87"/>
    </row>
    <row r="841" spans="34:34" ht="15" thickBot="1" x14ac:dyDescent="0.4">
      <c r="AH841" s="87"/>
    </row>
    <row r="842" spans="34:34" ht="15" thickBot="1" x14ac:dyDescent="0.4">
      <c r="AH842" s="87"/>
    </row>
    <row r="843" spans="34:34" ht="15" thickBot="1" x14ac:dyDescent="0.4">
      <c r="AH843" s="87"/>
    </row>
    <row r="844" spans="34:34" ht="15" thickBot="1" x14ac:dyDescent="0.4">
      <c r="AH844" s="87"/>
    </row>
    <row r="845" spans="34:34" ht="15" thickBot="1" x14ac:dyDescent="0.4">
      <c r="AH845" s="87"/>
    </row>
    <row r="846" spans="34:34" ht="15" thickBot="1" x14ac:dyDescent="0.4">
      <c r="AH846" s="87"/>
    </row>
    <row r="847" spans="34:34" ht="15" thickBot="1" x14ac:dyDescent="0.4">
      <c r="AH847" s="87"/>
    </row>
    <row r="848" spans="34:34" ht="15" thickBot="1" x14ac:dyDescent="0.4">
      <c r="AH848" s="87"/>
    </row>
    <row r="849" spans="34:34" ht="15" thickBot="1" x14ac:dyDescent="0.4">
      <c r="AH849" s="87"/>
    </row>
    <row r="850" spans="34:34" ht="15" thickBot="1" x14ac:dyDescent="0.4">
      <c r="AH850" s="87"/>
    </row>
    <row r="851" spans="34:34" ht="15" thickBot="1" x14ac:dyDescent="0.4">
      <c r="AH851" s="87"/>
    </row>
    <row r="852" spans="34:34" ht="15" thickBot="1" x14ac:dyDescent="0.4">
      <c r="AH852" s="87"/>
    </row>
    <row r="853" spans="34:34" ht="15" thickBot="1" x14ac:dyDescent="0.4">
      <c r="AH853" s="87"/>
    </row>
    <row r="854" spans="34:34" ht="15" thickBot="1" x14ac:dyDescent="0.4">
      <c r="AH854" s="87"/>
    </row>
    <row r="855" spans="34:34" ht="15" thickBot="1" x14ac:dyDescent="0.4">
      <c r="AH855" s="87"/>
    </row>
    <row r="856" spans="34:34" ht="15" thickBot="1" x14ac:dyDescent="0.4">
      <c r="AH856" s="87"/>
    </row>
    <row r="857" spans="34:34" ht="15" thickBot="1" x14ac:dyDescent="0.4">
      <c r="AH857" s="87"/>
    </row>
    <row r="858" spans="34:34" ht="15" thickBot="1" x14ac:dyDescent="0.4">
      <c r="AH858" s="87"/>
    </row>
    <row r="859" spans="34:34" ht="15" thickBot="1" x14ac:dyDescent="0.4">
      <c r="AH859" s="87"/>
    </row>
    <row r="860" spans="34:34" ht="15" thickBot="1" x14ac:dyDescent="0.4">
      <c r="AH860" s="87"/>
    </row>
    <row r="861" spans="34:34" ht="15" thickBot="1" x14ac:dyDescent="0.4">
      <c r="AH861" s="87"/>
    </row>
    <row r="862" spans="34:34" ht="15" thickBot="1" x14ac:dyDescent="0.4">
      <c r="AH862" s="87"/>
    </row>
    <row r="863" spans="34:34" ht="15" thickBot="1" x14ac:dyDescent="0.4">
      <c r="AH863" s="87"/>
    </row>
    <row r="864" spans="34:34" ht="15" thickBot="1" x14ac:dyDescent="0.4">
      <c r="AH864" s="87"/>
    </row>
    <row r="865" spans="34:34" ht="15" thickBot="1" x14ac:dyDescent="0.4">
      <c r="AH865" s="87"/>
    </row>
    <row r="866" spans="34:34" ht="15" thickBot="1" x14ac:dyDescent="0.4">
      <c r="AH866" s="87"/>
    </row>
    <row r="867" spans="34:34" ht="15" thickBot="1" x14ac:dyDescent="0.4">
      <c r="AH867" s="87"/>
    </row>
    <row r="868" spans="34:34" ht="15" thickBot="1" x14ac:dyDescent="0.4">
      <c r="AH868" s="87"/>
    </row>
    <row r="869" spans="34:34" ht="15" thickBot="1" x14ac:dyDescent="0.4">
      <c r="AH869" s="87"/>
    </row>
    <row r="870" spans="34:34" ht="15" thickBot="1" x14ac:dyDescent="0.4">
      <c r="AH870" s="87"/>
    </row>
    <row r="871" spans="34:34" ht="15" thickBot="1" x14ac:dyDescent="0.4">
      <c r="AH871" s="87"/>
    </row>
    <row r="872" spans="34:34" ht="15" thickBot="1" x14ac:dyDescent="0.4">
      <c r="AH872" s="87"/>
    </row>
    <row r="873" spans="34:34" ht="15" thickBot="1" x14ac:dyDescent="0.4">
      <c r="AH873" s="87"/>
    </row>
    <row r="874" spans="34:34" ht="15" thickBot="1" x14ac:dyDescent="0.4">
      <c r="AH874" s="87"/>
    </row>
    <row r="875" spans="34:34" ht="15" thickBot="1" x14ac:dyDescent="0.4">
      <c r="AH875" s="87"/>
    </row>
    <row r="876" spans="34:34" ht="15" thickBot="1" x14ac:dyDescent="0.4">
      <c r="AH876" s="87"/>
    </row>
    <row r="877" spans="34:34" ht="15" thickBot="1" x14ac:dyDescent="0.4">
      <c r="AH877" s="87"/>
    </row>
    <row r="878" spans="34:34" ht="15" thickBot="1" x14ac:dyDescent="0.4">
      <c r="AH878" s="87"/>
    </row>
    <row r="879" spans="34:34" ht="15" thickBot="1" x14ac:dyDescent="0.4">
      <c r="AH879" s="87"/>
    </row>
    <row r="880" spans="34:34" ht="15" thickBot="1" x14ac:dyDescent="0.4">
      <c r="AH880" s="87"/>
    </row>
    <row r="881" spans="34:34" ht="15" thickBot="1" x14ac:dyDescent="0.4">
      <c r="AH881" s="87"/>
    </row>
    <row r="882" spans="34:34" ht="15" thickBot="1" x14ac:dyDescent="0.4">
      <c r="AH882" s="87"/>
    </row>
    <row r="883" spans="34:34" ht="15" thickBot="1" x14ac:dyDescent="0.4">
      <c r="AH883" s="87"/>
    </row>
    <row r="884" spans="34:34" ht="15" thickBot="1" x14ac:dyDescent="0.4">
      <c r="AH884" s="87"/>
    </row>
    <row r="885" spans="34:34" ht="15" thickBot="1" x14ac:dyDescent="0.4">
      <c r="AH885" s="87"/>
    </row>
    <row r="886" spans="34:34" ht="15" thickBot="1" x14ac:dyDescent="0.4">
      <c r="AH886" s="87"/>
    </row>
    <row r="887" spans="34:34" ht="15" thickBot="1" x14ac:dyDescent="0.4">
      <c r="AH887" s="87"/>
    </row>
    <row r="888" spans="34:34" ht="15" thickBot="1" x14ac:dyDescent="0.4">
      <c r="AH888" s="87"/>
    </row>
    <row r="889" spans="34:34" ht="15" thickBot="1" x14ac:dyDescent="0.4">
      <c r="AH889" s="87"/>
    </row>
    <row r="890" spans="34:34" ht="15" thickBot="1" x14ac:dyDescent="0.4">
      <c r="AH890" s="87"/>
    </row>
    <row r="891" spans="34:34" ht="15" thickBot="1" x14ac:dyDescent="0.4">
      <c r="AH891" s="87"/>
    </row>
    <row r="892" spans="34:34" ht="15" thickBot="1" x14ac:dyDescent="0.4">
      <c r="AH892" s="87"/>
    </row>
    <row r="893" spans="34:34" ht="15" thickBot="1" x14ac:dyDescent="0.4">
      <c r="AH893" s="87"/>
    </row>
    <row r="894" spans="34:34" ht="15" thickBot="1" x14ac:dyDescent="0.4">
      <c r="AH894" s="87"/>
    </row>
    <row r="895" spans="34:34" ht="15" thickBot="1" x14ac:dyDescent="0.4">
      <c r="AH895" s="87"/>
    </row>
    <row r="896" spans="34:34" ht="15" thickBot="1" x14ac:dyDescent="0.4">
      <c r="AH896" s="87"/>
    </row>
    <row r="897" spans="34:34" ht="15" thickBot="1" x14ac:dyDescent="0.4">
      <c r="AH897" s="87"/>
    </row>
    <row r="898" spans="34:34" ht="15" thickBot="1" x14ac:dyDescent="0.4">
      <c r="AH898" s="87"/>
    </row>
    <row r="899" spans="34:34" ht="15" thickBot="1" x14ac:dyDescent="0.4">
      <c r="AH899" s="87"/>
    </row>
    <row r="900" spans="34:34" ht="15" thickBot="1" x14ac:dyDescent="0.4">
      <c r="AH900" s="87"/>
    </row>
    <row r="901" spans="34:34" ht="15" thickBot="1" x14ac:dyDescent="0.4">
      <c r="AH901" s="87"/>
    </row>
    <row r="902" spans="34:34" ht="15" thickBot="1" x14ac:dyDescent="0.4">
      <c r="AH902" s="87"/>
    </row>
    <row r="903" spans="34:34" ht="15" thickBot="1" x14ac:dyDescent="0.4">
      <c r="AH903" s="87"/>
    </row>
    <row r="904" spans="34:34" ht="15" thickBot="1" x14ac:dyDescent="0.4">
      <c r="AH904" s="87"/>
    </row>
    <row r="905" spans="34:34" ht="15" thickBot="1" x14ac:dyDescent="0.4">
      <c r="AH905" s="87"/>
    </row>
    <row r="906" spans="34:34" ht="15" thickBot="1" x14ac:dyDescent="0.4">
      <c r="AH906" s="87"/>
    </row>
    <row r="907" spans="34:34" ht="15" thickBot="1" x14ac:dyDescent="0.4">
      <c r="AH907" s="87"/>
    </row>
    <row r="908" spans="34:34" ht="15" thickBot="1" x14ac:dyDescent="0.4">
      <c r="AH908" s="87"/>
    </row>
    <row r="909" spans="34:34" ht="15" thickBot="1" x14ac:dyDescent="0.4">
      <c r="AH909" s="87"/>
    </row>
    <row r="910" spans="34:34" ht="15" thickBot="1" x14ac:dyDescent="0.4">
      <c r="AH910" s="87"/>
    </row>
    <row r="911" spans="34:34" ht="15" thickBot="1" x14ac:dyDescent="0.4">
      <c r="AH911" s="87"/>
    </row>
    <row r="912" spans="34:34" ht="15" thickBot="1" x14ac:dyDescent="0.4">
      <c r="AH912" s="87"/>
    </row>
    <row r="913" spans="34:34" ht="15" thickBot="1" x14ac:dyDescent="0.4">
      <c r="AH913" s="87"/>
    </row>
    <row r="914" spans="34:34" ht="15" thickBot="1" x14ac:dyDescent="0.4">
      <c r="AH914" s="87"/>
    </row>
    <row r="915" spans="34:34" ht="15" thickBot="1" x14ac:dyDescent="0.4">
      <c r="AH915" s="87"/>
    </row>
    <row r="916" spans="34:34" ht="15" thickBot="1" x14ac:dyDescent="0.4">
      <c r="AH916" s="87"/>
    </row>
    <row r="917" spans="34:34" ht="15" thickBot="1" x14ac:dyDescent="0.4">
      <c r="AH917" s="87"/>
    </row>
    <row r="918" spans="34:34" ht="15" thickBot="1" x14ac:dyDescent="0.4">
      <c r="AH918" s="87"/>
    </row>
    <row r="919" spans="34:34" ht="15" thickBot="1" x14ac:dyDescent="0.4">
      <c r="AH919" s="87"/>
    </row>
    <row r="920" spans="34:34" ht="15" thickBot="1" x14ac:dyDescent="0.4">
      <c r="AH920" s="87"/>
    </row>
    <row r="921" spans="34:34" ht="15" thickBot="1" x14ac:dyDescent="0.4">
      <c r="AH921" s="87"/>
    </row>
    <row r="922" spans="34:34" ht="15" thickBot="1" x14ac:dyDescent="0.4">
      <c r="AH922" s="87"/>
    </row>
    <row r="923" spans="34:34" ht="15" thickBot="1" x14ac:dyDescent="0.4">
      <c r="AH923" s="87"/>
    </row>
    <row r="924" spans="34:34" ht="15" thickBot="1" x14ac:dyDescent="0.4">
      <c r="AH924" s="87"/>
    </row>
    <row r="925" spans="34:34" ht="15" thickBot="1" x14ac:dyDescent="0.4">
      <c r="AH925" s="87"/>
    </row>
    <row r="926" spans="34:34" ht="15" thickBot="1" x14ac:dyDescent="0.4">
      <c r="AH926" s="87"/>
    </row>
    <row r="927" spans="34:34" ht="15" thickBot="1" x14ac:dyDescent="0.4">
      <c r="AH927" s="87"/>
    </row>
    <row r="928" spans="34:34" ht="15" thickBot="1" x14ac:dyDescent="0.4">
      <c r="AH928" s="87"/>
    </row>
    <row r="929" spans="34:34" ht="15" thickBot="1" x14ac:dyDescent="0.4">
      <c r="AH929" s="87"/>
    </row>
    <row r="930" spans="34:34" ht="15" thickBot="1" x14ac:dyDescent="0.4">
      <c r="AH930" s="87"/>
    </row>
    <row r="931" spans="34:34" ht="15" thickBot="1" x14ac:dyDescent="0.4">
      <c r="AH931" s="87"/>
    </row>
    <row r="932" spans="34:34" ht="15" thickBot="1" x14ac:dyDescent="0.4">
      <c r="AH932" s="87"/>
    </row>
    <row r="933" spans="34:34" ht="15" thickBot="1" x14ac:dyDescent="0.4">
      <c r="AH933" s="87"/>
    </row>
    <row r="934" spans="34:34" ht="15" thickBot="1" x14ac:dyDescent="0.4">
      <c r="AH934" s="87"/>
    </row>
    <row r="935" spans="34:34" ht="15" thickBot="1" x14ac:dyDescent="0.4">
      <c r="AH935" s="87"/>
    </row>
    <row r="936" spans="34:34" ht="15" thickBot="1" x14ac:dyDescent="0.4">
      <c r="AH936" s="87"/>
    </row>
    <row r="937" spans="34:34" ht="15" thickBot="1" x14ac:dyDescent="0.4">
      <c r="AH937" s="87"/>
    </row>
    <row r="938" spans="34:34" ht="15" thickBot="1" x14ac:dyDescent="0.4">
      <c r="AH938" s="87"/>
    </row>
    <row r="939" spans="34:34" ht="15" thickBot="1" x14ac:dyDescent="0.4">
      <c r="AH939" s="87"/>
    </row>
    <row r="940" spans="34:34" ht="15" thickBot="1" x14ac:dyDescent="0.4">
      <c r="AH940" s="87"/>
    </row>
    <row r="941" spans="34:34" ht="15" thickBot="1" x14ac:dyDescent="0.4">
      <c r="AH941" s="87"/>
    </row>
    <row r="942" spans="34:34" ht="15" thickBot="1" x14ac:dyDescent="0.4">
      <c r="AH942" s="87"/>
    </row>
    <row r="943" spans="34:34" ht="15" thickBot="1" x14ac:dyDescent="0.4">
      <c r="AH943" s="87"/>
    </row>
    <row r="944" spans="34:34" ht="15" thickBot="1" x14ac:dyDescent="0.4">
      <c r="AH944" s="87"/>
    </row>
    <row r="945" spans="34:34" ht="15" thickBot="1" x14ac:dyDescent="0.4">
      <c r="AH945" s="87"/>
    </row>
    <row r="946" spans="34:34" ht="15" thickBot="1" x14ac:dyDescent="0.4">
      <c r="AH946" s="87"/>
    </row>
    <row r="947" spans="34:34" ht="15" thickBot="1" x14ac:dyDescent="0.4">
      <c r="AH947" s="87"/>
    </row>
    <row r="948" spans="34:34" ht="15" thickBot="1" x14ac:dyDescent="0.4">
      <c r="AH948" s="87"/>
    </row>
    <row r="949" spans="34:34" ht="15" thickBot="1" x14ac:dyDescent="0.4">
      <c r="AH949" s="87"/>
    </row>
    <row r="950" spans="34:34" ht="15" thickBot="1" x14ac:dyDescent="0.4">
      <c r="AH950" s="87"/>
    </row>
    <row r="951" spans="34:34" ht="15" thickBot="1" x14ac:dyDescent="0.4">
      <c r="AH951" s="87"/>
    </row>
    <row r="952" spans="34:34" ht="15" thickBot="1" x14ac:dyDescent="0.4">
      <c r="AH952" s="87"/>
    </row>
    <row r="953" spans="34:34" ht="15" thickBot="1" x14ac:dyDescent="0.4">
      <c r="AH953" s="87"/>
    </row>
    <row r="954" spans="34:34" ht="15" thickBot="1" x14ac:dyDescent="0.4">
      <c r="AH954" s="87"/>
    </row>
    <row r="955" spans="34:34" ht="15" thickBot="1" x14ac:dyDescent="0.4">
      <c r="AH955" s="87"/>
    </row>
    <row r="956" spans="34:34" ht="15" thickBot="1" x14ac:dyDescent="0.4">
      <c r="AH956" s="87"/>
    </row>
    <row r="957" spans="34:34" ht="15" thickBot="1" x14ac:dyDescent="0.4">
      <c r="AH957" s="87"/>
    </row>
    <row r="958" spans="34:34" ht="15" thickBot="1" x14ac:dyDescent="0.4">
      <c r="AH958" s="87"/>
    </row>
    <row r="959" spans="34:34" ht="15" thickBot="1" x14ac:dyDescent="0.4">
      <c r="AH959" s="87"/>
    </row>
    <row r="960" spans="34:34" ht="15" thickBot="1" x14ac:dyDescent="0.4">
      <c r="AH960" s="87"/>
    </row>
    <row r="961" spans="34:34" ht="15" thickBot="1" x14ac:dyDescent="0.4">
      <c r="AH961" s="87"/>
    </row>
    <row r="962" spans="34:34" ht="15" thickBot="1" x14ac:dyDescent="0.4">
      <c r="AH962" s="87"/>
    </row>
    <row r="963" spans="34:34" ht="15" thickBot="1" x14ac:dyDescent="0.4">
      <c r="AH963" s="87"/>
    </row>
    <row r="964" spans="34:34" ht="15" thickBot="1" x14ac:dyDescent="0.4">
      <c r="AH964" s="87"/>
    </row>
    <row r="965" spans="34:34" ht="15" thickBot="1" x14ac:dyDescent="0.4">
      <c r="AH965" s="87"/>
    </row>
    <row r="966" spans="34:34" ht="15" thickBot="1" x14ac:dyDescent="0.4">
      <c r="AH966" s="87"/>
    </row>
    <row r="967" spans="34:34" ht="15" thickBot="1" x14ac:dyDescent="0.4">
      <c r="AH967" s="87"/>
    </row>
    <row r="968" spans="34:34" ht="15" thickBot="1" x14ac:dyDescent="0.4">
      <c r="AH968" s="87"/>
    </row>
    <row r="969" spans="34:34" ht="15" thickBot="1" x14ac:dyDescent="0.4">
      <c r="AH969" s="87"/>
    </row>
    <row r="970" spans="34:34" ht="15" thickBot="1" x14ac:dyDescent="0.4">
      <c r="AH970" s="87"/>
    </row>
    <row r="971" spans="34:34" ht="15" thickBot="1" x14ac:dyDescent="0.4">
      <c r="AH971" s="87"/>
    </row>
    <row r="972" spans="34:34" ht="15" thickBot="1" x14ac:dyDescent="0.4">
      <c r="AH972" s="87"/>
    </row>
    <row r="973" spans="34:34" ht="15" thickBot="1" x14ac:dyDescent="0.4">
      <c r="AH973" s="87"/>
    </row>
    <row r="974" spans="34:34" ht="15" thickBot="1" x14ac:dyDescent="0.4">
      <c r="AH974" s="87"/>
    </row>
    <row r="975" spans="34:34" ht="15" thickBot="1" x14ac:dyDescent="0.4">
      <c r="AH975" s="87"/>
    </row>
    <row r="976" spans="34:34" ht="15" thickBot="1" x14ac:dyDescent="0.4">
      <c r="AH976" s="87"/>
    </row>
    <row r="977" spans="34:34" ht="15" thickBot="1" x14ac:dyDescent="0.4">
      <c r="AH977" s="87"/>
    </row>
    <row r="978" spans="34:34" ht="15" thickBot="1" x14ac:dyDescent="0.4">
      <c r="AH978" s="87"/>
    </row>
    <row r="979" spans="34:34" ht="15" thickBot="1" x14ac:dyDescent="0.4">
      <c r="AH979" s="87"/>
    </row>
    <row r="980" spans="34:34" ht="15" thickBot="1" x14ac:dyDescent="0.4">
      <c r="AH980" s="87"/>
    </row>
    <row r="981" spans="34:34" ht="15" thickBot="1" x14ac:dyDescent="0.4">
      <c r="AH981" s="87"/>
    </row>
    <row r="982" spans="34:34" ht="15" thickBot="1" x14ac:dyDescent="0.4">
      <c r="AH982" s="87"/>
    </row>
    <row r="983" spans="34:34" ht="15" thickBot="1" x14ac:dyDescent="0.4">
      <c r="AH983" s="87"/>
    </row>
    <row r="984" spans="34:34" ht="15" thickBot="1" x14ac:dyDescent="0.4">
      <c r="AH984" s="87"/>
    </row>
    <row r="985" spans="34:34" ht="15" thickBot="1" x14ac:dyDescent="0.4">
      <c r="AH985" s="87"/>
    </row>
    <row r="986" spans="34:34" ht="15" thickBot="1" x14ac:dyDescent="0.4">
      <c r="AH986" s="87"/>
    </row>
    <row r="987" spans="34:34" ht="15" thickBot="1" x14ac:dyDescent="0.4">
      <c r="AH987" s="87"/>
    </row>
    <row r="988" spans="34:34" ht="15" thickBot="1" x14ac:dyDescent="0.4">
      <c r="AH988" s="87"/>
    </row>
    <row r="989" spans="34:34" ht="15" thickBot="1" x14ac:dyDescent="0.4">
      <c r="AH989" s="87"/>
    </row>
    <row r="990" spans="34:34" ht="15" thickBot="1" x14ac:dyDescent="0.4">
      <c r="AH990" s="87"/>
    </row>
    <row r="991" spans="34:34" ht="15" thickBot="1" x14ac:dyDescent="0.4">
      <c r="AH991" s="87"/>
    </row>
    <row r="992" spans="34:34" ht="15" thickBot="1" x14ac:dyDescent="0.4">
      <c r="AH992" s="87"/>
    </row>
    <row r="993" spans="34:34" ht="15" thickBot="1" x14ac:dyDescent="0.4">
      <c r="AH993" s="87"/>
    </row>
    <row r="994" spans="34:34" ht="15" thickBot="1" x14ac:dyDescent="0.4">
      <c r="AH994" s="87"/>
    </row>
    <row r="995" spans="34:34" ht="15" thickBot="1" x14ac:dyDescent="0.4">
      <c r="AH995" s="87"/>
    </row>
    <row r="996" spans="34:34" ht="15" thickBot="1" x14ac:dyDescent="0.4">
      <c r="AH996" s="87"/>
    </row>
    <row r="997" spans="34:34" ht="15" thickBot="1" x14ac:dyDescent="0.4">
      <c r="AH997" s="87"/>
    </row>
    <row r="998" spans="34:34" ht="15" thickBot="1" x14ac:dyDescent="0.4">
      <c r="AH998" s="87"/>
    </row>
    <row r="999" spans="34:34" ht="15" thickBot="1" x14ac:dyDescent="0.4">
      <c r="AH999" s="87"/>
    </row>
    <row r="1000" spans="34:34" ht="15" thickBot="1" x14ac:dyDescent="0.4">
      <c r="AH1000" s="87"/>
    </row>
    <row r="1001" spans="34:34" ht="15" thickBot="1" x14ac:dyDescent="0.4">
      <c r="AH1001" s="87"/>
    </row>
    <row r="1002" spans="34:34" ht="15" thickBot="1" x14ac:dyDescent="0.4">
      <c r="AH1002" s="87"/>
    </row>
    <row r="1003" spans="34:34" ht="15" thickBot="1" x14ac:dyDescent="0.4">
      <c r="AH1003" s="87"/>
    </row>
    <row r="1004" spans="34:34" ht="15" thickBot="1" x14ac:dyDescent="0.4">
      <c r="AH1004" s="87"/>
    </row>
    <row r="1005" spans="34:34" ht="15" thickBot="1" x14ac:dyDescent="0.4">
      <c r="AH1005" s="87"/>
    </row>
    <row r="1006" spans="34:34" ht="15" thickBot="1" x14ac:dyDescent="0.4">
      <c r="AH1006" s="87"/>
    </row>
    <row r="1007" spans="34:34" ht="15" thickBot="1" x14ac:dyDescent="0.4">
      <c r="AH1007" s="87"/>
    </row>
    <row r="1008" spans="34:34" ht="15" thickBot="1" x14ac:dyDescent="0.4">
      <c r="AH1008" s="87"/>
    </row>
    <row r="1009" spans="34:34" ht="15" thickBot="1" x14ac:dyDescent="0.4">
      <c r="AH1009" s="87"/>
    </row>
    <row r="1010" spans="34:34" ht="15" thickBot="1" x14ac:dyDescent="0.4">
      <c r="AH1010" s="87"/>
    </row>
    <row r="1011" spans="34:34" ht="15" thickBot="1" x14ac:dyDescent="0.4">
      <c r="AH1011" s="87"/>
    </row>
    <row r="1012" spans="34:34" ht="15" thickBot="1" x14ac:dyDescent="0.4">
      <c r="AH1012" s="87"/>
    </row>
    <row r="1013" spans="34:34" ht="15" thickBot="1" x14ac:dyDescent="0.4">
      <c r="AH1013" s="87"/>
    </row>
    <row r="1014" spans="34:34" ht="15" thickBot="1" x14ac:dyDescent="0.4">
      <c r="AH1014" s="87"/>
    </row>
    <row r="1015" spans="34:34" ht="15" thickBot="1" x14ac:dyDescent="0.4">
      <c r="AH1015" s="87"/>
    </row>
    <row r="1016" spans="34:34" ht="15" thickBot="1" x14ac:dyDescent="0.4">
      <c r="AH1016" s="87"/>
    </row>
    <row r="1017" spans="34:34" ht="15" thickBot="1" x14ac:dyDescent="0.4">
      <c r="AH1017" s="87"/>
    </row>
    <row r="1018" spans="34:34" ht="15" thickBot="1" x14ac:dyDescent="0.4">
      <c r="AH1018" s="87"/>
    </row>
    <row r="1019" spans="34:34" ht="15" thickBot="1" x14ac:dyDescent="0.4">
      <c r="AH1019" s="87"/>
    </row>
    <row r="1020" spans="34:34" ht="15" thickBot="1" x14ac:dyDescent="0.4">
      <c r="AH1020" s="87"/>
    </row>
    <row r="1021" spans="34:34" ht="15" thickBot="1" x14ac:dyDescent="0.4">
      <c r="AH1021" s="87"/>
    </row>
    <row r="1022" spans="34:34" ht="15" thickBot="1" x14ac:dyDescent="0.4">
      <c r="AH1022" s="87"/>
    </row>
    <row r="1023" spans="34:34" ht="15" thickBot="1" x14ac:dyDescent="0.4">
      <c r="AH1023" s="87"/>
    </row>
    <row r="1024" spans="34:34" ht="15" thickBot="1" x14ac:dyDescent="0.4">
      <c r="AH1024" s="87"/>
    </row>
    <row r="1025" spans="34:34" ht="15" thickBot="1" x14ac:dyDescent="0.4">
      <c r="AH1025" s="87"/>
    </row>
    <row r="1026" spans="34:34" ht="15" thickBot="1" x14ac:dyDescent="0.4">
      <c r="AH1026" s="87"/>
    </row>
    <row r="1027" spans="34:34" ht="15" thickBot="1" x14ac:dyDescent="0.4">
      <c r="AH1027" s="87"/>
    </row>
    <row r="1028" spans="34:34" ht="15" thickBot="1" x14ac:dyDescent="0.4">
      <c r="AH1028" s="87"/>
    </row>
    <row r="1029" spans="34:34" ht="15" thickBot="1" x14ac:dyDescent="0.4">
      <c r="AH1029" s="87"/>
    </row>
    <row r="1030" spans="34:34" ht="15" thickBot="1" x14ac:dyDescent="0.4">
      <c r="AH1030" s="87"/>
    </row>
    <row r="1031" spans="34:34" ht="15" thickBot="1" x14ac:dyDescent="0.4">
      <c r="AH1031" s="87"/>
    </row>
    <row r="1032" spans="34:34" ht="15" thickBot="1" x14ac:dyDescent="0.4">
      <c r="AH1032" s="87"/>
    </row>
    <row r="1033" spans="34:34" ht="15" thickBot="1" x14ac:dyDescent="0.4">
      <c r="AH1033" s="87"/>
    </row>
    <row r="1034" spans="34:34" ht="15" thickBot="1" x14ac:dyDescent="0.4">
      <c r="AH1034" s="87"/>
    </row>
    <row r="1035" spans="34:34" ht="15" thickBot="1" x14ac:dyDescent="0.4">
      <c r="AH1035" s="87"/>
    </row>
    <row r="1036" spans="34:34" ht="15" thickBot="1" x14ac:dyDescent="0.4">
      <c r="AH1036" s="87"/>
    </row>
    <row r="1037" spans="34:34" ht="15" thickBot="1" x14ac:dyDescent="0.4">
      <c r="AH1037" s="87"/>
    </row>
    <row r="1038" spans="34:34" ht="15" thickBot="1" x14ac:dyDescent="0.4">
      <c r="AH1038" s="87"/>
    </row>
    <row r="1039" spans="34:34" ht="15" thickBot="1" x14ac:dyDescent="0.4">
      <c r="AH1039" s="87"/>
    </row>
    <row r="1040" spans="34:34" ht="15" thickBot="1" x14ac:dyDescent="0.4">
      <c r="AH1040" s="87"/>
    </row>
    <row r="1041" spans="34:34" ht="15" thickBot="1" x14ac:dyDescent="0.4">
      <c r="AH1041" s="87"/>
    </row>
    <row r="1042" spans="34:34" ht="15" thickBot="1" x14ac:dyDescent="0.4">
      <c r="AH1042" s="87"/>
    </row>
    <row r="1043" spans="34:34" ht="15" thickBot="1" x14ac:dyDescent="0.4">
      <c r="AH1043" s="87"/>
    </row>
    <row r="1044" spans="34:34" ht="15" thickBot="1" x14ac:dyDescent="0.4">
      <c r="AH1044" s="87"/>
    </row>
    <row r="1045" spans="34:34" ht="15" thickBot="1" x14ac:dyDescent="0.4">
      <c r="AH1045" s="87"/>
    </row>
    <row r="1046" spans="34:34" ht="15" thickBot="1" x14ac:dyDescent="0.4">
      <c r="AH1046" s="87"/>
    </row>
    <row r="1047" spans="34:34" ht="15" thickBot="1" x14ac:dyDescent="0.4">
      <c r="AH1047" s="87"/>
    </row>
    <row r="1048" spans="34:34" ht="15" thickBot="1" x14ac:dyDescent="0.4">
      <c r="AH1048" s="87"/>
    </row>
    <row r="1049" spans="34:34" ht="15" thickBot="1" x14ac:dyDescent="0.4">
      <c r="AH1049" s="87"/>
    </row>
    <row r="1050" spans="34:34" ht="15" thickBot="1" x14ac:dyDescent="0.4">
      <c r="AH1050" s="87"/>
    </row>
    <row r="1051" spans="34:34" ht="15" thickBot="1" x14ac:dyDescent="0.4">
      <c r="AH1051" s="87"/>
    </row>
    <row r="1052" spans="34:34" ht="15" thickBot="1" x14ac:dyDescent="0.4">
      <c r="AH1052" s="87"/>
    </row>
    <row r="1053" spans="34:34" ht="15" thickBot="1" x14ac:dyDescent="0.4">
      <c r="AH1053" s="87"/>
    </row>
    <row r="1054" spans="34:34" ht="15" thickBot="1" x14ac:dyDescent="0.4">
      <c r="AH1054" s="87"/>
    </row>
    <row r="1055" spans="34:34" ht="15" thickBot="1" x14ac:dyDescent="0.4">
      <c r="AH1055" s="87"/>
    </row>
    <row r="1056" spans="34:34" ht="15" thickBot="1" x14ac:dyDescent="0.4">
      <c r="AH1056" s="87"/>
    </row>
    <row r="1057" spans="34:34" ht="15" thickBot="1" x14ac:dyDescent="0.4">
      <c r="AH1057" s="87"/>
    </row>
    <row r="1058" spans="34:34" ht="15" thickBot="1" x14ac:dyDescent="0.4">
      <c r="AH1058" s="87"/>
    </row>
    <row r="1059" spans="34:34" ht="15" thickBot="1" x14ac:dyDescent="0.4">
      <c r="AH1059" s="87"/>
    </row>
    <row r="1060" spans="34:34" ht="15" thickBot="1" x14ac:dyDescent="0.4">
      <c r="AH1060" s="87"/>
    </row>
    <row r="1061" spans="34:34" ht="15" thickBot="1" x14ac:dyDescent="0.4">
      <c r="AH1061" s="87"/>
    </row>
    <row r="1062" spans="34:34" ht="15" thickBot="1" x14ac:dyDescent="0.4">
      <c r="AH1062" s="87"/>
    </row>
    <row r="1063" spans="34:34" ht="15" thickBot="1" x14ac:dyDescent="0.4">
      <c r="AH1063" s="87"/>
    </row>
    <row r="1064" spans="34:34" ht="15" thickBot="1" x14ac:dyDescent="0.4">
      <c r="AH1064" s="87"/>
    </row>
    <row r="1065" spans="34:34" ht="15" thickBot="1" x14ac:dyDescent="0.4">
      <c r="AH1065" s="87"/>
    </row>
    <row r="1066" spans="34:34" ht="15" thickBot="1" x14ac:dyDescent="0.4">
      <c r="AH1066" s="87"/>
    </row>
    <row r="1067" spans="34:34" ht="15" thickBot="1" x14ac:dyDescent="0.4">
      <c r="AH1067" s="87"/>
    </row>
    <row r="1068" spans="34:34" ht="15" thickBot="1" x14ac:dyDescent="0.4">
      <c r="AH1068" s="87"/>
    </row>
    <row r="1069" spans="34:34" ht="15" thickBot="1" x14ac:dyDescent="0.4">
      <c r="AH1069" s="87"/>
    </row>
    <row r="1070" spans="34:34" ht="15" thickBot="1" x14ac:dyDescent="0.4">
      <c r="AH1070" s="87"/>
    </row>
    <row r="1071" spans="34:34" ht="15" thickBot="1" x14ac:dyDescent="0.4">
      <c r="AH1071" s="87"/>
    </row>
    <row r="1072" spans="34:34" ht="15" thickBot="1" x14ac:dyDescent="0.4">
      <c r="AH1072" s="87"/>
    </row>
    <row r="1073" spans="34:34" ht="15" thickBot="1" x14ac:dyDescent="0.4">
      <c r="AH1073" s="87"/>
    </row>
    <row r="1074" spans="34:34" ht="15" thickBot="1" x14ac:dyDescent="0.4">
      <c r="AH1074" s="87"/>
    </row>
    <row r="1075" spans="34:34" ht="15" thickBot="1" x14ac:dyDescent="0.4">
      <c r="AH1075" s="87"/>
    </row>
    <row r="1076" spans="34:34" ht="15" thickBot="1" x14ac:dyDescent="0.4">
      <c r="AH1076" s="87"/>
    </row>
    <row r="1077" spans="34:34" ht="15" thickBot="1" x14ac:dyDescent="0.4">
      <c r="AH1077" s="87"/>
    </row>
    <row r="1078" spans="34:34" ht="15" thickBot="1" x14ac:dyDescent="0.4">
      <c r="AH1078" s="87"/>
    </row>
    <row r="1079" spans="34:34" ht="15" thickBot="1" x14ac:dyDescent="0.4">
      <c r="AH1079" s="87"/>
    </row>
    <row r="1080" spans="34:34" ht="15" thickBot="1" x14ac:dyDescent="0.4">
      <c r="AH1080" s="87"/>
    </row>
    <row r="1081" spans="34:34" ht="15" thickBot="1" x14ac:dyDescent="0.4">
      <c r="AH1081" s="87"/>
    </row>
    <row r="1082" spans="34:34" ht="15" thickBot="1" x14ac:dyDescent="0.4">
      <c r="AH1082" s="87"/>
    </row>
    <row r="1083" spans="34:34" ht="15" thickBot="1" x14ac:dyDescent="0.4">
      <c r="AH1083" s="87"/>
    </row>
    <row r="1084" spans="34:34" ht="15" thickBot="1" x14ac:dyDescent="0.4">
      <c r="AH1084" s="87"/>
    </row>
    <row r="1085" spans="34:34" ht="15" thickBot="1" x14ac:dyDescent="0.4">
      <c r="AH1085" s="87"/>
    </row>
    <row r="1086" spans="34:34" ht="15" thickBot="1" x14ac:dyDescent="0.4">
      <c r="AH1086" s="87"/>
    </row>
    <row r="1087" spans="34:34" ht="15" thickBot="1" x14ac:dyDescent="0.4">
      <c r="AH1087" s="87"/>
    </row>
    <row r="1088" spans="34:34" ht="15" thickBot="1" x14ac:dyDescent="0.4">
      <c r="AH1088" s="87"/>
    </row>
    <row r="1089" spans="34:34" ht="15" thickBot="1" x14ac:dyDescent="0.4">
      <c r="AH1089" s="87"/>
    </row>
    <row r="1090" spans="34:34" ht="15" thickBot="1" x14ac:dyDescent="0.4">
      <c r="AH1090" s="87"/>
    </row>
    <row r="1091" spans="34:34" ht="15" thickBot="1" x14ac:dyDescent="0.4">
      <c r="AH1091" s="87"/>
    </row>
    <row r="1092" spans="34:34" ht="15" thickBot="1" x14ac:dyDescent="0.4">
      <c r="AH1092" s="87"/>
    </row>
    <row r="1093" spans="34:34" ht="15" thickBot="1" x14ac:dyDescent="0.4">
      <c r="AH1093" s="87"/>
    </row>
    <row r="1094" spans="34:34" ht="15" thickBot="1" x14ac:dyDescent="0.4">
      <c r="AH1094" s="87"/>
    </row>
    <row r="1095" spans="34:34" ht="15" thickBot="1" x14ac:dyDescent="0.4">
      <c r="AH1095" s="87"/>
    </row>
    <row r="1096" spans="34:34" ht="15" thickBot="1" x14ac:dyDescent="0.4">
      <c r="AH1096" s="87"/>
    </row>
    <row r="1097" spans="34:34" ht="15" thickBot="1" x14ac:dyDescent="0.4">
      <c r="AH1097" s="87"/>
    </row>
    <row r="1098" spans="34:34" ht="15" thickBot="1" x14ac:dyDescent="0.4">
      <c r="AH1098" s="87"/>
    </row>
    <row r="1099" spans="34:34" ht="15" thickBot="1" x14ac:dyDescent="0.4">
      <c r="AH1099" s="87"/>
    </row>
    <row r="1100" spans="34:34" ht="15" thickBot="1" x14ac:dyDescent="0.4">
      <c r="AH1100" s="87"/>
    </row>
    <row r="1101" spans="34:34" ht="15" thickBot="1" x14ac:dyDescent="0.4">
      <c r="AH1101" s="87"/>
    </row>
    <row r="1102" spans="34:34" ht="15" thickBot="1" x14ac:dyDescent="0.4">
      <c r="AH1102" s="87"/>
    </row>
    <row r="1103" spans="34:34" ht="15" thickBot="1" x14ac:dyDescent="0.4">
      <c r="AH1103" s="87"/>
    </row>
    <row r="1104" spans="34:34" ht="15" thickBot="1" x14ac:dyDescent="0.4">
      <c r="AH1104" s="87"/>
    </row>
    <row r="1105" spans="34:34" ht="15" thickBot="1" x14ac:dyDescent="0.4">
      <c r="AH1105" s="87"/>
    </row>
    <row r="1106" spans="34:34" ht="15" thickBot="1" x14ac:dyDescent="0.4">
      <c r="AH1106" s="87"/>
    </row>
    <row r="1107" spans="34:34" ht="15" thickBot="1" x14ac:dyDescent="0.4">
      <c r="AH1107" s="87"/>
    </row>
    <row r="1108" spans="34:34" ht="15" thickBot="1" x14ac:dyDescent="0.4">
      <c r="AH1108" s="87"/>
    </row>
    <row r="1109" spans="34:34" ht="15" thickBot="1" x14ac:dyDescent="0.4">
      <c r="AH1109" s="87"/>
    </row>
    <row r="1110" spans="34:34" ht="15" thickBot="1" x14ac:dyDescent="0.4">
      <c r="AH1110" s="87"/>
    </row>
    <row r="1111" spans="34:34" ht="15" thickBot="1" x14ac:dyDescent="0.4">
      <c r="AH1111" s="87"/>
    </row>
    <row r="1112" spans="34:34" ht="15" thickBot="1" x14ac:dyDescent="0.4">
      <c r="AH1112" s="87"/>
    </row>
    <row r="1113" spans="34:34" ht="15" thickBot="1" x14ac:dyDescent="0.4">
      <c r="AH1113" s="87"/>
    </row>
    <row r="1114" spans="34:34" ht="15" thickBot="1" x14ac:dyDescent="0.4">
      <c r="AH1114" s="87"/>
    </row>
    <row r="1115" spans="34:34" ht="15" thickBot="1" x14ac:dyDescent="0.4">
      <c r="AH1115" s="87"/>
    </row>
    <row r="1116" spans="34:34" ht="15" thickBot="1" x14ac:dyDescent="0.4">
      <c r="AH1116" s="87"/>
    </row>
    <row r="1117" spans="34:34" ht="15" thickBot="1" x14ac:dyDescent="0.4">
      <c r="AH1117" s="87"/>
    </row>
    <row r="1118" spans="34:34" ht="15" thickBot="1" x14ac:dyDescent="0.4">
      <c r="AH1118" s="87"/>
    </row>
    <row r="1119" spans="34:34" ht="15" thickBot="1" x14ac:dyDescent="0.4">
      <c r="AH1119" s="87"/>
    </row>
    <row r="1120" spans="34:34" ht="15" thickBot="1" x14ac:dyDescent="0.4">
      <c r="AH1120" s="87"/>
    </row>
    <row r="1121" spans="34:34" ht="15" thickBot="1" x14ac:dyDescent="0.4">
      <c r="AH1121" s="87"/>
    </row>
    <row r="1122" spans="34:34" ht="15" thickBot="1" x14ac:dyDescent="0.4">
      <c r="AH1122" s="87"/>
    </row>
    <row r="1123" spans="34:34" ht="15" thickBot="1" x14ac:dyDescent="0.4">
      <c r="AH1123" s="87"/>
    </row>
    <row r="1124" spans="34:34" ht="15" thickBot="1" x14ac:dyDescent="0.4">
      <c r="AH1124" s="87"/>
    </row>
    <row r="1125" spans="34:34" ht="15" thickBot="1" x14ac:dyDescent="0.4">
      <c r="AH1125" s="87"/>
    </row>
    <row r="1126" spans="34:34" ht="15" thickBot="1" x14ac:dyDescent="0.4">
      <c r="AH1126" s="87"/>
    </row>
    <row r="1127" spans="34:34" ht="15" thickBot="1" x14ac:dyDescent="0.4">
      <c r="AH1127" s="87"/>
    </row>
    <row r="1128" spans="34:34" ht="15" thickBot="1" x14ac:dyDescent="0.4">
      <c r="AH1128" s="87"/>
    </row>
    <row r="1129" spans="34:34" ht="15" thickBot="1" x14ac:dyDescent="0.4">
      <c r="AH1129" s="87"/>
    </row>
    <row r="1130" spans="34:34" ht="15" thickBot="1" x14ac:dyDescent="0.4">
      <c r="AH1130" s="87"/>
    </row>
    <row r="1131" spans="34:34" ht="15" thickBot="1" x14ac:dyDescent="0.4">
      <c r="AH1131" s="87"/>
    </row>
    <row r="1132" spans="34:34" ht="15" thickBot="1" x14ac:dyDescent="0.4">
      <c r="AH1132" s="87"/>
    </row>
    <row r="1133" spans="34:34" ht="15" thickBot="1" x14ac:dyDescent="0.4">
      <c r="AH1133" s="87"/>
    </row>
    <row r="1134" spans="34:34" ht="15" thickBot="1" x14ac:dyDescent="0.4">
      <c r="AH1134" s="87"/>
    </row>
    <row r="1135" spans="34:34" ht="15" thickBot="1" x14ac:dyDescent="0.4">
      <c r="AH1135" s="87"/>
    </row>
    <row r="1136" spans="34:34" ht="15" thickBot="1" x14ac:dyDescent="0.4">
      <c r="AH1136" s="87"/>
    </row>
    <row r="1137" spans="34:34" ht="15" thickBot="1" x14ac:dyDescent="0.4">
      <c r="AH1137" s="87"/>
    </row>
    <row r="1138" spans="34:34" ht="15" thickBot="1" x14ac:dyDescent="0.4">
      <c r="AH1138" s="87"/>
    </row>
    <row r="1139" spans="34:34" ht="15" thickBot="1" x14ac:dyDescent="0.4">
      <c r="AH1139" s="87"/>
    </row>
    <row r="1140" spans="34:34" ht="15" thickBot="1" x14ac:dyDescent="0.4">
      <c r="AH1140" s="87"/>
    </row>
    <row r="1141" spans="34:34" ht="15" thickBot="1" x14ac:dyDescent="0.4">
      <c r="AH1141" s="87"/>
    </row>
    <row r="1142" spans="34:34" ht="15" thickBot="1" x14ac:dyDescent="0.4">
      <c r="AH1142" s="87"/>
    </row>
    <row r="1143" spans="34:34" ht="15" thickBot="1" x14ac:dyDescent="0.4">
      <c r="AH1143" s="87"/>
    </row>
    <row r="1144" spans="34:34" ht="15" thickBot="1" x14ac:dyDescent="0.4">
      <c r="AH1144" s="87"/>
    </row>
    <row r="1145" spans="34:34" ht="15" thickBot="1" x14ac:dyDescent="0.4">
      <c r="AH1145" s="87"/>
    </row>
    <row r="1146" spans="34:34" ht="15" thickBot="1" x14ac:dyDescent="0.4">
      <c r="AH1146" s="87"/>
    </row>
    <row r="1147" spans="34:34" ht="15" thickBot="1" x14ac:dyDescent="0.4">
      <c r="AH1147" s="87"/>
    </row>
    <row r="1148" spans="34:34" ht="15" thickBot="1" x14ac:dyDescent="0.4">
      <c r="AH1148" s="87"/>
    </row>
    <row r="1149" spans="34:34" ht="15" thickBot="1" x14ac:dyDescent="0.4">
      <c r="AH1149" s="87"/>
    </row>
    <row r="1150" spans="34:34" ht="15" thickBot="1" x14ac:dyDescent="0.4">
      <c r="AH1150" s="87"/>
    </row>
    <row r="1151" spans="34:34" ht="15" thickBot="1" x14ac:dyDescent="0.4">
      <c r="AH1151" s="87"/>
    </row>
    <row r="1152" spans="34:34" ht="15" thickBot="1" x14ac:dyDescent="0.4">
      <c r="AH1152" s="87"/>
    </row>
    <row r="1153" spans="34:34" ht="15" thickBot="1" x14ac:dyDescent="0.4">
      <c r="AH1153" s="87"/>
    </row>
    <row r="1154" spans="34:34" ht="15" thickBot="1" x14ac:dyDescent="0.4">
      <c r="AH1154" s="87"/>
    </row>
    <row r="1155" spans="34:34" ht="15" thickBot="1" x14ac:dyDescent="0.4">
      <c r="AH1155" s="87"/>
    </row>
    <row r="1156" spans="34:34" ht="15" thickBot="1" x14ac:dyDescent="0.4">
      <c r="AH1156" s="87"/>
    </row>
    <row r="1157" spans="34:34" ht="15" thickBot="1" x14ac:dyDescent="0.4">
      <c r="AH1157" s="87"/>
    </row>
    <row r="1158" spans="34:34" ht="15" thickBot="1" x14ac:dyDescent="0.4">
      <c r="AH1158" s="87"/>
    </row>
    <row r="1159" spans="34:34" ht="15" thickBot="1" x14ac:dyDescent="0.4">
      <c r="AH1159" s="87"/>
    </row>
    <row r="1160" spans="34:34" ht="15" thickBot="1" x14ac:dyDescent="0.4">
      <c r="AH1160" s="87"/>
    </row>
    <row r="1161" spans="34:34" ht="15" thickBot="1" x14ac:dyDescent="0.4">
      <c r="AH1161" s="87"/>
    </row>
    <row r="1162" spans="34:34" ht="15" thickBot="1" x14ac:dyDescent="0.4">
      <c r="AH1162" s="87"/>
    </row>
    <row r="1163" spans="34:34" ht="15" thickBot="1" x14ac:dyDescent="0.4">
      <c r="AH1163" s="87"/>
    </row>
    <row r="1164" spans="34:34" ht="15" thickBot="1" x14ac:dyDescent="0.4">
      <c r="AH1164" s="87"/>
    </row>
    <row r="1165" spans="34:34" ht="15" thickBot="1" x14ac:dyDescent="0.4">
      <c r="AH1165" s="87"/>
    </row>
    <row r="1166" spans="34:34" ht="15" thickBot="1" x14ac:dyDescent="0.4">
      <c r="AH1166" s="87"/>
    </row>
    <row r="1167" spans="34:34" ht="15" thickBot="1" x14ac:dyDescent="0.4">
      <c r="AH1167" s="87"/>
    </row>
    <row r="1168" spans="34:34" ht="15" thickBot="1" x14ac:dyDescent="0.4">
      <c r="AH1168" s="87"/>
    </row>
    <row r="1169" spans="34:34" ht="15" thickBot="1" x14ac:dyDescent="0.4">
      <c r="AH1169" s="87"/>
    </row>
    <row r="1170" spans="34:34" ht="15" thickBot="1" x14ac:dyDescent="0.4">
      <c r="AH1170" s="87"/>
    </row>
    <row r="1171" spans="34:34" ht="15" thickBot="1" x14ac:dyDescent="0.4">
      <c r="AH1171" s="87"/>
    </row>
    <row r="1172" spans="34:34" ht="15" thickBot="1" x14ac:dyDescent="0.4">
      <c r="AH1172" s="87"/>
    </row>
    <row r="1173" spans="34:34" ht="15" thickBot="1" x14ac:dyDescent="0.4">
      <c r="AH1173" s="87"/>
    </row>
    <row r="1174" spans="34:34" ht="15" thickBot="1" x14ac:dyDescent="0.4">
      <c r="AH1174" s="87"/>
    </row>
    <row r="1175" spans="34:34" ht="15" thickBot="1" x14ac:dyDescent="0.4">
      <c r="AH1175" s="87"/>
    </row>
    <row r="1176" spans="34:34" ht="15" thickBot="1" x14ac:dyDescent="0.4">
      <c r="AH1176" s="87"/>
    </row>
    <row r="1177" spans="34:34" ht="15" thickBot="1" x14ac:dyDescent="0.4">
      <c r="AH1177" s="87"/>
    </row>
    <row r="1178" spans="34:34" ht="15" thickBot="1" x14ac:dyDescent="0.4">
      <c r="AH1178" s="87"/>
    </row>
    <row r="1179" spans="34:34" ht="15" thickBot="1" x14ac:dyDescent="0.4">
      <c r="AH1179" s="87"/>
    </row>
    <row r="1180" spans="34:34" ht="15" thickBot="1" x14ac:dyDescent="0.4">
      <c r="AH1180" s="87"/>
    </row>
    <row r="1181" spans="34:34" ht="15" thickBot="1" x14ac:dyDescent="0.4">
      <c r="AH1181" s="87"/>
    </row>
    <row r="1182" spans="34:34" ht="15" thickBot="1" x14ac:dyDescent="0.4">
      <c r="AH1182" s="87"/>
    </row>
    <row r="1183" spans="34:34" ht="15" thickBot="1" x14ac:dyDescent="0.4">
      <c r="AH1183" s="87"/>
    </row>
    <row r="1184" spans="34:34" ht="15" thickBot="1" x14ac:dyDescent="0.4">
      <c r="AH1184" s="87"/>
    </row>
    <row r="1185" spans="34:34" ht="15" thickBot="1" x14ac:dyDescent="0.4">
      <c r="AH1185" s="87"/>
    </row>
    <row r="1186" spans="34:34" ht="15" thickBot="1" x14ac:dyDescent="0.4">
      <c r="AH1186" s="87"/>
    </row>
    <row r="1187" spans="34:34" ht="15" thickBot="1" x14ac:dyDescent="0.4">
      <c r="AH1187" s="87"/>
    </row>
    <row r="1188" spans="34:34" ht="15" thickBot="1" x14ac:dyDescent="0.4">
      <c r="AH1188" s="87"/>
    </row>
    <row r="1189" spans="34:34" ht="15" thickBot="1" x14ac:dyDescent="0.4">
      <c r="AH1189" s="87"/>
    </row>
    <row r="1190" spans="34:34" ht="15" thickBot="1" x14ac:dyDescent="0.4">
      <c r="AH1190" s="87"/>
    </row>
    <row r="1191" spans="34:34" ht="15" thickBot="1" x14ac:dyDescent="0.4">
      <c r="AH1191" s="87"/>
    </row>
    <row r="1192" spans="34:34" ht="15" thickBot="1" x14ac:dyDescent="0.4">
      <c r="AH1192" s="87"/>
    </row>
    <row r="1193" spans="34:34" ht="15" thickBot="1" x14ac:dyDescent="0.4">
      <c r="AH1193" s="87"/>
    </row>
    <row r="1194" spans="34:34" ht="15" thickBot="1" x14ac:dyDescent="0.4">
      <c r="AH1194" s="87"/>
    </row>
    <row r="1195" spans="34:34" ht="15" thickBot="1" x14ac:dyDescent="0.4">
      <c r="AH1195" s="87"/>
    </row>
    <row r="1196" spans="34:34" ht="15" thickBot="1" x14ac:dyDescent="0.4">
      <c r="AH1196" s="87"/>
    </row>
    <row r="1197" spans="34:34" ht="15" thickBot="1" x14ac:dyDescent="0.4">
      <c r="AH1197" s="87"/>
    </row>
    <row r="1198" spans="34:34" ht="15" thickBot="1" x14ac:dyDescent="0.4">
      <c r="AH1198" s="87"/>
    </row>
    <row r="1199" spans="34:34" ht="15" thickBot="1" x14ac:dyDescent="0.4">
      <c r="AH1199" s="87"/>
    </row>
    <row r="1200" spans="34:34" ht="15" thickBot="1" x14ac:dyDescent="0.4">
      <c r="AH1200" s="87"/>
    </row>
    <row r="1201" spans="34:34" ht="15" thickBot="1" x14ac:dyDescent="0.4">
      <c r="AH1201" s="87"/>
    </row>
    <row r="1202" spans="34:34" ht="15" thickBot="1" x14ac:dyDescent="0.4">
      <c r="AH1202" s="87"/>
    </row>
    <row r="1203" spans="34:34" ht="15" thickBot="1" x14ac:dyDescent="0.4">
      <c r="AH1203" s="87"/>
    </row>
    <row r="1204" spans="34:34" ht="15" thickBot="1" x14ac:dyDescent="0.4">
      <c r="AH1204" s="87"/>
    </row>
    <row r="1205" spans="34:34" ht="15" thickBot="1" x14ac:dyDescent="0.4">
      <c r="AH1205" s="87"/>
    </row>
    <row r="1206" spans="34:34" ht="15" thickBot="1" x14ac:dyDescent="0.4">
      <c r="AH1206" s="87"/>
    </row>
    <row r="1207" spans="34:34" ht="15" thickBot="1" x14ac:dyDescent="0.4">
      <c r="AH1207" s="87"/>
    </row>
    <row r="1208" spans="34:34" ht="15" thickBot="1" x14ac:dyDescent="0.4">
      <c r="AH1208" s="87"/>
    </row>
    <row r="1209" spans="34:34" ht="15" thickBot="1" x14ac:dyDescent="0.4">
      <c r="AH1209" s="87"/>
    </row>
    <row r="1210" spans="34:34" ht="15" thickBot="1" x14ac:dyDescent="0.4">
      <c r="AH1210" s="87"/>
    </row>
    <row r="1211" spans="34:34" ht="15" thickBot="1" x14ac:dyDescent="0.4">
      <c r="AH1211" s="87"/>
    </row>
    <row r="1212" spans="34:34" ht="15" thickBot="1" x14ac:dyDescent="0.4">
      <c r="AH1212" s="87"/>
    </row>
    <row r="1213" spans="34:34" ht="15" thickBot="1" x14ac:dyDescent="0.4">
      <c r="AH1213" s="87"/>
    </row>
    <row r="1214" spans="34:34" ht="15" thickBot="1" x14ac:dyDescent="0.4">
      <c r="AH1214" s="87"/>
    </row>
    <row r="1215" spans="34:34" ht="15" thickBot="1" x14ac:dyDescent="0.4">
      <c r="AH1215" s="87"/>
    </row>
    <row r="1216" spans="34:34" ht="15" thickBot="1" x14ac:dyDescent="0.4">
      <c r="AH1216" s="87"/>
    </row>
    <row r="1217" spans="34:34" ht="15" thickBot="1" x14ac:dyDescent="0.4">
      <c r="AH1217" s="87"/>
    </row>
    <row r="1218" spans="34:34" ht="15" thickBot="1" x14ac:dyDescent="0.4">
      <c r="AH1218" s="87"/>
    </row>
    <row r="1219" spans="34:34" ht="15" thickBot="1" x14ac:dyDescent="0.4">
      <c r="AH1219" s="87"/>
    </row>
    <row r="1220" spans="34:34" ht="15" thickBot="1" x14ac:dyDescent="0.4">
      <c r="AH1220" s="87"/>
    </row>
    <row r="1221" spans="34:34" ht="15" thickBot="1" x14ac:dyDescent="0.4">
      <c r="AH1221" s="87"/>
    </row>
    <row r="1222" spans="34:34" ht="15" thickBot="1" x14ac:dyDescent="0.4">
      <c r="AH1222" s="87"/>
    </row>
    <row r="1223" spans="34:34" ht="15" thickBot="1" x14ac:dyDescent="0.4">
      <c r="AH1223" s="87"/>
    </row>
    <row r="1224" spans="34:34" ht="15" thickBot="1" x14ac:dyDescent="0.4">
      <c r="AH1224" s="87"/>
    </row>
    <row r="1225" spans="34:34" ht="15" thickBot="1" x14ac:dyDescent="0.4">
      <c r="AH1225" s="87"/>
    </row>
    <row r="1226" spans="34:34" ht="15" thickBot="1" x14ac:dyDescent="0.4">
      <c r="AH1226" s="87"/>
    </row>
    <row r="1227" spans="34:34" ht="15" thickBot="1" x14ac:dyDescent="0.4">
      <c r="AH1227" s="87"/>
    </row>
    <row r="1228" spans="34:34" ht="15" thickBot="1" x14ac:dyDescent="0.4">
      <c r="AH1228" s="87"/>
    </row>
    <row r="1229" spans="34:34" ht="15" thickBot="1" x14ac:dyDescent="0.4">
      <c r="AH1229" s="87"/>
    </row>
    <row r="1230" spans="34:34" ht="15" thickBot="1" x14ac:dyDescent="0.4">
      <c r="AH1230" s="87"/>
    </row>
    <row r="1231" spans="34:34" ht="15" thickBot="1" x14ac:dyDescent="0.4">
      <c r="AH1231" s="87"/>
    </row>
    <row r="1232" spans="34:34" ht="15" thickBot="1" x14ac:dyDescent="0.4">
      <c r="AH1232" s="87"/>
    </row>
    <row r="1233" spans="34:34" ht="15" thickBot="1" x14ac:dyDescent="0.4">
      <c r="AH1233" s="87"/>
    </row>
    <row r="1234" spans="34:34" ht="15" thickBot="1" x14ac:dyDescent="0.4">
      <c r="AH1234" s="87"/>
    </row>
    <row r="1235" spans="34:34" ht="15" thickBot="1" x14ac:dyDescent="0.4">
      <c r="AH1235" s="87"/>
    </row>
    <row r="1236" spans="34:34" ht="15" thickBot="1" x14ac:dyDescent="0.4">
      <c r="AH1236" s="87"/>
    </row>
    <row r="1237" spans="34:34" ht="15" thickBot="1" x14ac:dyDescent="0.4">
      <c r="AH1237" s="87"/>
    </row>
    <row r="1238" spans="34:34" ht="15" thickBot="1" x14ac:dyDescent="0.4">
      <c r="AH1238" s="87"/>
    </row>
    <row r="1239" spans="34:34" ht="15" thickBot="1" x14ac:dyDescent="0.4">
      <c r="AH1239" s="87"/>
    </row>
    <row r="1240" spans="34:34" ht="15" thickBot="1" x14ac:dyDescent="0.4">
      <c r="AH1240" s="87"/>
    </row>
    <row r="1241" spans="34:34" ht="15" thickBot="1" x14ac:dyDescent="0.4">
      <c r="AH1241" s="87"/>
    </row>
    <row r="1242" spans="34:34" ht="15" thickBot="1" x14ac:dyDescent="0.4">
      <c r="AH1242" s="87"/>
    </row>
    <row r="1243" spans="34:34" ht="15" thickBot="1" x14ac:dyDescent="0.4">
      <c r="AH1243" s="87"/>
    </row>
    <row r="1244" spans="34:34" ht="15" thickBot="1" x14ac:dyDescent="0.4">
      <c r="AH1244" s="87"/>
    </row>
    <row r="1245" spans="34:34" ht="15" thickBot="1" x14ac:dyDescent="0.4">
      <c r="AH1245" s="87"/>
    </row>
    <row r="1246" spans="34:34" ht="15" thickBot="1" x14ac:dyDescent="0.4">
      <c r="AH1246" s="87"/>
    </row>
    <row r="1247" spans="34:34" ht="15" thickBot="1" x14ac:dyDescent="0.4">
      <c r="AH1247" s="87"/>
    </row>
    <row r="1248" spans="34:34" ht="15" thickBot="1" x14ac:dyDescent="0.4">
      <c r="AH1248" s="87"/>
    </row>
    <row r="1249" spans="34:34" ht="15" thickBot="1" x14ac:dyDescent="0.4">
      <c r="AH1249" s="87"/>
    </row>
    <row r="1250" spans="34:34" ht="15" thickBot="1" x14ac:dyDescent="0.4">
      <c r="AH1250" s="87"/>
    </row>
    <row r="1251" spans="34:34" ht="15" thickBot="1" x14ac:dyDescent="0.4">
      <c r="AH1251" s="87"/>
    </row>
    <row r="1252" spans="34:34" ht="15" thickBot="1" x14ac:dyDescent="0.4">
      <c r="AH1252" s="87"/>
    </row>
    <row r="1253" spans="34:34" ht="15" thickBot="1" x14ac:dyDescent="0.4">
      <c r="AH1253" s="87"/>
    </row>
    <row r="1254" spans="34:34" ht="15" thickBot="1" x14ac:dyDescent="0.4">
      <c r="AH1254" s="87"/>
    </row>
    <row r="1255" spans="34:34" ht="15" thickBot="1" x14ac:dyDescent="0.4">
      <c r="AH1255" s="87"/>
    </row>
    <row r="1256" spans="34:34" ht="15" thickBot="1" x14ac:dyDescent="0.4">
      <c r="AH1256" s="87"/>
    </row>
    <row r="1257" spans="34:34" ht="15" thickBot="1" x14ac:dyDescent="0.4">
      <c r="AH1257" s="87"/>
    </row>
    <row r="1258" spans="34:34" ht="15" thickBot="1" x14ac:dyDescent="0.4">
      <c r="AH1258" s="87"/>
    </row>
    <row r="1259" spans="34:34" ht="15" thickBot="1" x14ac:dyDescent="0.4">
      <c r="AH1259" s="87"/>
    </row>
    <row r="1260" spans="34:34" ht="15" thickBot="1" x14ac:dyDescent="0.4">
      <c r="AH1260" s="87"/>
    </row>
    <row r="1261" spans="34:34" ht="15" thickBot="1" x14ac:dyDescent="0.4">
      <c r="AH1261" s="87"/>
    </row>
    <row r="1262" spans="34:34" ht="15" thickBot="1" x14ac:dyDescent="0.4">
      <c r="AH1262" s="87"/>
    </row>
    <row r="1263" spans="34:34" ht="15" thickBot="1" x14ac:dyDescent="0.4">
      <c r="AH1263" s="87"/>
    </row>
    <row r="1264" spans="34:34" ht="15" thickBot="1" x14ac:dyDescent="0.4">
      <c r="AH1264" s="87"/>
    </row>
    <row r="1265" spans="34:34" ht="15" thickBot="1" x14ac:dyDescent="0.4">
      <c r="AH1265" s="87"/>
    </row>
    <row r="1266" spans="34:34" ht="15" thickBot="1" x14ac:dyDescent="0.4">
      <c r="AH1266" s="87"/>
    </row>
    <row r="1267" spans="34:34" ht="15" thickBot="1" x14ac:dyDescent="0.4">
      <c r="AH1267" s="87"/>
    </row>
    <row r="1268" spans="34:34" ht="15" thickBot="1" x14ac:dyDescent="0.4">
      <c r="AH1268" s="87"/>
    </row>
    <row r="1269" spans="34:34" ht="15" thickBot="1" x14ac:dyDescent="0.4">
      <c r="AH1269" s="87"/>
    </row>
    <row r="1270" spans="34:34" ht="15" thickBot="1" x14ac:dyDescent="0.4">
      <c r="AH1270" s="87"/>
    </row>
    <row r="1271" spans="34:34" ht="15" thickBot="1" x14ac:dyDescent="0.4">
      <c r="AH1271" s="87"/>
    </row>
    <row r="1272" spans="34:34" ht="15" thickBot="1" x14ac:dyDescent="0.4">
      <c r="AH1272" s="87"/>
    </row>
    <row r="1273" spans="34:34" ht="15" thickBot="1" x14ac:dyDescent="0.4">
      <c r="AH1273" s="87"/>
    </row>
    <row r="1274" spans="34:34" ht="15" thickBot="1" x14ac:dyDescent="0.4">
      <c r="AH1274" s="87"/>
    </row>
    <row r="1275" spans="34:34" ht="15" thickBot="1" x14ac:dyDescent="0.4">
      <c r="AH1275" s="87"/>
    </row>
    <row r="1276" spans="34:34" ht="15" thickBot="1" x14ac:dyDescent="0.4">
      <c r="AH1276" s="87"/>
    </row>
    <row r="1277" spans="34:34" ht="15" thickBot="1" x14ac:dyDescent="0.4">
      <c r="AH1277" s="87"/>
    </row>
    <row r="1278" spans="34:34" ht="15" thickBot="1" x14ac:dyDescent="0.4">
      <c r="AH1278" s="87"/>
    </row>
    <row r="1279" spans="34:34" ht="15" thickBot="1" x14ac:dyDescent="0.4">
      <c r="AH1279" s="87"/>
    </row>
    <row r="1280" spans="34:34" ht="15" thickBot="1" x14ac:dyDescent="0.4">
      <c r="AH1280" s="87"/>
    </row>
    <row r="1281" spans="34:34" ht="15" thickBot="1" x14ac:dyDescent="0.4">
      <c r="AH1281" s="87"/>
    </row>
    <row r="1282" spans="34:34" ht="15" thickBot="1" x14ac:dyDescent="0.4">
      <c r="AH1282" s="87"/>
    </row>
    <row r="1283" spans="34:34" ht="15" thickBot="1" x14ac:dyDescent="0.4">
      <c r="AH1283" s="87"/>
    </row>
    <row r="1284" spans="34:34" ht="15" thickBot="1" x14ac:dyDescent="0.4">
      <c r="AH1284" s="87"/>
    </row>
    <row r="1285" spans="34:34" ht="15" thickBot="1" x14ac:dyDescent="0.4">
      <c r="AH1285" s="87"/>
    </row>
    <row r="1286" spans="34:34" ht="15" thickBot="1" x14ac:dyDescent="0.4">
      <c r="AH1286" s="87"/>
    </row>
    <row r="1287" spans="34:34" ht="15" thickBot="1" x14ac:dyDescent="0.4">
      <c r="AH1287" s="87"/>
    </row>
    <row r="1288" spans="34:34" ht="15" thickBot="1" x14ac:dyDescent="0.4">
      <c r="AH1288" s="87"/>
    </row>
    <row r="1289" spans="34:34" ht="15" thickBot="1" x14ac:dyDescent="0.4">
      <c r="AH1289" s="87"/>
    </row>
    <row r="1290" spans="34:34" ht="15" thickBot="1" x14ac:dyDescent="0.4">
      <c r="AH1290" s="87"/>
    </row>
    <row r="1291" spans="34:34" ht="15" thickBot="1" x14ac:dyDescent="0.4">
      <c r="AH1291" s="87"/>
    </row>
    <row r="1292" spans="34:34" ht="15" thickBot="1" x14ac:dyDescent="0.4">
      <c r="AH1292" s="87"/>
    </row>
    <row r="1293" spans="34:34" ht="15" thickBot="1" x14ac:dyDescent="0.4">
      <c r="AH1293" s="87"/>
    </row>
    <row r="1294" spans="34:34" ht="15" thickBot="1" x14ac:dyDescent="0.4">
      <c r="AH1294" s="87"/>
    </row>
    <row r="1295" spans="34:34" ht="15" thickBot="1" x14ac:dyDescent="0.4">
      <c r="AH1295" s="87"/>
    </row>
    <row r="1296" spans="34:34" ht="15" thickBot="1" x14ac:dyDescent="0.4">
      <c r="AH1296" s="87"/>
    </row>
    <row r="1297" spans="34:34" ht="15" thickBot="1" x14ac:dyDescent="0.4">
      <c r="AH1297" s="87"/>
    </row>
    <row r="1298" spans="34:34" ht="15" thickBot="1" x14ac:dyDescent="0.4">
      <c r="AH1298" s="87"/>
    </row>
    <row r="1299" spans="34:34" ht="15" thickBot="1" x14ac:dyDescent="0.4">
      <c r="AH1299" s="87"/>
    </row>
    <row r="1300" spans="34:34" ht="15" thickBot="1" x14ac:dyDescent="0.4">
      <c r="AH1300" s="87"/>
    </row>
    <row r="1301" spans="34:34" ht="15" thickBot="1" x14ac:dyDescent="0.4">
      <c r="AH1301" s="87"/>
    </row>
    <row r="1302" spans="34:34" ht="15" thickBot="1" x14ac:dyDescent="0.4">
      <c r="AH1302" s="87"/>
    </row>
    <row r="1303" spans="34:34" ht="15" thickBot="1" x14ac:dyDescent="0.4">
      <c r="AH1303" s="87"/>
    </row>
    <row r="1304" spans="34:34" ht="15" thickBot="1" x14ac:dyDescent="0.4">
      <c r="AH1304" s="87"/>
    </row>
    <row r="1305" spans="34:34" ht="15" thickBot="1" x14ac:dyDescent="0.4">
      <c r="AH1305" s="87"/>
    </row>
    <row r="1306" spans="34:34" ht="15" thickBot="1" x14ac:dyDescent="0.4">
      <c r="AH1306" s="87"/>
    </row>
    <row r="1307" spans="34:34" ht="15" thickBot="1" x14ac:dyDescent="0.4">
      <c r="AH1307" s="87"/>
    </row>
    <row r="1308" spans="34:34" ht="15" thickBot="1" x14ac:dyDescent="0.4">
      <c r="AH1308" s="87"/>
    </row>
    <row r="1309" spans="34:34" ht="15" thickBot="1" x14ac:dyDescent="0.4">
      <c r="AH1309" s="87"/>
    </row>
    <row r="1310" spans="34:34" ht="15" thickBot="1" x14ac:dyDescent="0.4">
      <c r="AH1310" s="87"/>
    </row>
    <row r="1311" spans="34:34" ht="15" thickBot="1" x14ac:dyDescent="0.4">
      <c r="AH1311" s="87"/>
    </row>
    <row r="1312" spans="34:34" ht="15" thickBot="1" x14ac:dyDescent="0.4">
      <c r="AH1312" s="87"/>
    </row>
    <row r="1313" spans="34:34" ht="15" thickBot="1" x14ac:dyDescent="0.4">
      <c r="AH1313" s="87"/>
    </row>
    <row r="1314" spans="34:34" ht="15" thickBot="1" x14ac:dyDescent="0.4">
      <c r="AH1314" s="87"/>
    </row>
    <row r="1315" spans="34:34" ht="15" thickBot="1" x14ac:dyDescent="0.4">
      <c r="AH1315" s="87"/>
    </row>
    <row r="1316" spans="34:34" ht="15" thickBot="1" x14ac:dyDescent="0.4">
      <c r="AH1316" s="87"/>
    </row>
    <row r="1317" spans="34:34" ht="15" thickBot="1" x14ac:dyDescent="0.4">
      <c r="AH1317" s="87"/>
    </row>
    <row r="1318" spans="34:34" ht="15" thickBot="1" x14ac:dyDescent="0.4">
      <c r="AH1318" s="87"/>
    </row>
    <row r="1319" spans="34:34" ht="15" thickBot="1" x14ac:dyDescent="0.4">
      <c r="AH1319" s="87"/>
    </row>
    <row r="1320" spans="34:34" ht="15" thickBot="1" x14ac:dyDescent="0.4">
      <c r="AH1320" s="87"/>
    </row>
    <row r="1321" spans="34:34" ht="15" thickBot="1" x14ac:dyDescent="0.4">
      <c r="AH1321" s="87"/>
    </row>
    <row r="1322" spans="34:34" ht="15" thickBot="1" x14ac:dyDescent="0.4">
      <c r="AH1322" s="87"/>
    </row>
    <row r="1323" spans="34:34" ht="15" thickBot="1" x14ac:dyDescent="0.4">
      <c r="AH1323" s="87"/>
    </row>
    <row r="1324" spans="34:34" ht="15" thickBot="1" x14ac:dyDescent="0.4">
      <c r="AH1324" s="87"/>
    </row>
    <row r="1325" spans="34:34" ht="15" thickBot="1" x14ac:dyDescent="0.4">
      <c r="AH1325" s="87"/>
    </row>
    <row r="1326" spans="34:34" ht="15" thickBot="1" x14ac:dyDescent="0.4">
      <c r="AH1326" s="87"/>
    </row>
    <row r="1327" spans="34:34" ht="15" thickBot="1" x14ac:dyDescent="0.4">
      <c r="AH1327" s="87"/>
    </row>
    <row r="1328" spans="34:34" ht="15" thickBot="1" x14ac:dyDescent="0.4">
      <c r="AH1328" s="87"/>
    </row>
    <row r="1329" spans="34:34" ht="15" thickBot="1" x14ac:dyDescent="0.4">
      <c r="AH1329" s="87"/>
    </row>
    <row r="1330" spans="34:34" ht="15" thickBot="1" x14ac:dyDescent="0.4">
      <c r="AH1330" s="87"/>
    </row>
    <row r="1331" spans="34:34" ht="15" thickBot="1" x14ac:dyDescent="0.4">
      <c r="AH1331" s="87"/>
    </row>
    <row r="1332" spans="34:34" ht="15" thickBot="1" x14ac:dyDescent="0.4">
      <c r="AH1332" s="87"/>
    </row>
    <row r="1333" spans="34:34" ht="15" thickBot="1" x14ac:dyDescent="0.4">
      <c r="AH1333" s="87"/>
    </row>
    <row r="1334" spans="34:34" ht="15" thickBot="1" x14ac:dyDescent="0.4">
      <c r="AH1334" s="87"/>
    </row>
    <row r="1335" spans="34:34" ht="15" thickBot="1" x14ac:dyDescent="0.4">
      <c r="AH1335" s="87"/>
    </row>
    <row r="1336" spans="34:34" ht="15" thickBot="1" x14ac:dyDescent="0.4">
      <c r="AH1336" s="87"/>
    </row>
    <row r="1337" spans="34:34" ht="15" thickBot="1" x14ac:dyDescent="0.4">
      <c r="AH1337" s="87"/>
    </row>
    <row r="1338" spans="34:34" ht="15" thickBot="1" x14ac:dyDescent="0.4">
      <c r="AH1338" s="87"/>
    </row>
    <row r="1339" spans="34:34" ht="15" thickBot="1" x14ac:dyDescent="0.4">
      <c r="AH1339" s="87"/>
    </row>
    <row r="1340" spans="34:34" ht="15" thickBot="1" x14ac:dyDescent="0.4">
      <c r="AH1340" s="87"/>
    </row>
    <row r="1341" spans="34:34" ht="15" thickBot="1" x14ac:dyDescent="0.4">
      <c r="AH1341" s="87"/>
    </row>
    <row r="1342" spans="34:34" ht="15" thickBot="1" x14ac:dyDescent="0.4">
      <c r="AH1342" s="87"/>
    </row>
    <row r="1343" spans="34:34" ht="15" thickBot="1" x14ac:dyDescent="0.4">
      <c r="AH1343" s="87"/>
    </row>
    <row r="1344" spans="34:34" ht="15" thickBot="1" x14ac:dyDescent="0.4">
      <c r="AH1344" s="87"/>
    </row>
    <row r="1345" spans="34:34" ht="15" thickBot="1" x14ac:dyDescent="0.4">
      <c r="AH1345" s="87"/>
    </row>
    <row r="1346" spans="34:34" ht="15" thickBot="1" x14ac:dyDescent="0.4">
      <c r="AH1346" s="87"/>
    </row>
    <row r="1347" spans="34:34" ht="15" thickBot="1" x14ac:dyDescent="0.4">
      <c r="AH1347" s="87"/>
    </row>
    <row r="1348" spans="34:34" ht="15" thickBot="1" x14ac:dyDescent="0.4">
      <c r="AH1348" s="87"/>
    </row>
    <row r="1349" spans="34:34" ht="15" thickBot="1" x14ac:dyDescent="0.4">
      <c r="AH1349" s="87"/>
    </row>
    <row r="1350" spans="34:34" ht="15" thickBot="1" x14ac:dyDescent="0.4">
      <c r="AH1350" s="87"/>
    </row>
    <row r="1351" spans="34:34" ht="15" thickBot="1" x14ac:dyDescent="0.4">
      <c r="AH1351" s="87"/>
    </row>
    <row r="1352" spans="34:34" ht="15" thickBot="1" x14ac:dyDescent="0.4">
      <c r="AH1352" s="87"/>
    </row>
    <row r="1353" spans="34:34" ht="15" thickBot="1" x14ac:dyDescent="0.4">
      <c r="AH1353" s="87"/>
    </row>
    <row r="1354" spans="34:34" ht="15" thickBot="1" x14ac:dyDescent="0.4">
      <c r="AH1354" s="87"/>
    </row>
    <row r="1355" spans="34:34" ht="15" thickBot="1" x14ac:dyDescent="0.4">
      <c r="AH1355" s="87"/>
    </row>
    <row r="1356" spans="34:34" ht="15" thickBot="1" x14ac:dyDescent="0.4">
      <c r="AH1356" s="87"/>
    </row>
    <row r="1357" spans="34:34" ht="15" thickBot="1" x14ac:dyDescent="0.4">
      <c r="AH1357" s="87"/>
    </row>
    <row r="1358" spans="34:34" ht="15" thickBot="1" x14ac:dyDescent="0.4">
      <c r="AH1358" s="87"/>
    </row>
    <row r="1359" spans="34:34" ht="15" thickBot="1" x14ac:dyDescent="0.4">
      <c r="AH1359" s="87"/>
    </row>
    <row r="1360" spans="34:34" ht="15" thickBot="1" x14ac:dyDescent="0.4">
      <c r="AH1360" s="87"/>
    </row>
    <row r="1361" spans="34:34" ht="15" thickBot="1" x14ac:dyDescent="0.4">
      <c r="AH1361" s="87"/>
    </row>
    <row r="1362" spans="34:34" ht="15" thickBot="1" x14ac:dyDescent="0.4">
      <c r="AH1362" s="87"/>
    </row>
    <row r="1363" spans="34:34" ht="15" thickBot="1" x14ac:dyDescent="0.4">
      <c r="AH1363" s="87"/>
    </row>
    <row r="1364" spans="34:34" ht="15" thickBot="1" x14ac:dyDescent="0.4">
      <c r="AH1364" s="87"/>
    </row>
    <row r="1365" spans="34:34" ht="15" thickBot="1" x14ac:dyDescent="0.4">
      <c r="AH1365" s="87"/>
    </row>
    <row r="1366" spans="34:34" ht="15" thickBot="1" x14ac:dyDescent="0.4">
      <c r="AH1366" s="87"/>
    </row>
    <row r="1367" spans="34:34" ht="15" thickBot="1" x14ac:dyDescent="0.4">
      <c r="AH1367" s="87"/>
    </row>
    <row r="1368" spans="34:34" ht="15" thickBot="1" x14ac:dyDescent="0.4">
      <c r="AH1368" s="87"/>
    </row>
    <row r="1369" spans="34:34" ht="15" thickBot="1" x14ac:dyDescent="0.4">
      <c r="AH1369" s="87"/>
    </row>
    <row r="1370" spans="34:34" ht="15" thickBot="1" x14ac:dyDescent="0.4">
      <c r="AH1370" s="87"/>
    </row>
    <row r="1371" spans="34:34" ht="15" thickBot="1" x14ac:dyDescent="0.4">
      <c r="AH1371" s="87"/>
    </row>
    <row r="1372" spans="34:34" ht="15" thickBot="1" x14ac:dyDescent="0.4">
      <c r="AH1372" s="87"/>
    </row>
    <row r="1373" spans="34:34" ht="15" thickBot="1" x14ac:dyDescent="0.4">
      <c r="AH1373" s="87"/>
    </row>
    <row r="1374" spans="34:34" ht="15" thickBot="1" x14ac:dyDescent="0.4">
      <c r="AH1374" s="87"/>
    </row>
    <row r="1375" spans="34:34" ht="15" thickBot="1" x14ac:dyDescent="0.4">
      <c r="AH1375" s="87"/>
    </row>
    <row r="1376" spans="34:34" ht="15" thickBot="1" x14ac:dyDescent="0.4">
      <c r="AH1376" s="87"/>
    </row>
    <row r="1377" spans="34:34" ht="15" thickBot="1" x14ac:dyDescent="0.4">
      <c r="AH1377" s="87"/>
    </row>
    <row r="1378" spans="34:34" ht="15" thickBot="1" x14ac:dyDescent="0.4">
      <c r="AH1378" s="87"/>
    </row>
    <row r="1379" spans="34:34" ht="15" thickBot="1" x14ac:dyDescent="0.4">
      <c r="AH1379" s="87"/>
    </row>
    <row r="1380" spans="34:34" ht="15" thickBot="1" x14ac:dyDescent="0.4">
      <c r="AH1380" s="87"/>
    </row>
    <row r="1381" spans="34:34" ht="15" thickBot="1" x14ac:dyDescent="0.4">
      <c r="AH1381" s="87"/>
    </row>
    <row r="1382" spans="34:34" ht="15" thickBot="1" x14ac:dyDescent="0.4">
      <c r="AH1382" s="87"/>
    </row>
    <row r="1383" spans="34:34" ht="15" thickBot="1" x14ac:dyDescent="0.4">
      <c r="AH1383" s="87"/>
    </row>
    <row r="1384" spans="34:34" ht="15" thickBot="1" x14ac:dyDescent="0.4">
      <c r="AH1384" s="87"/>
    </row>
    <row r="1385" spans="34:34" ht="15" thickBot="1" x14ac:dyDescent="0.4">
      <c r="AH1385" s="87"/>
    </row>
    <row r="1386" spans="34:34" ht="15" thickBot="1" x14ac:dyDescent="0.4">
      <c r="AH1386" s="87"/>
    </row>
    <row r="1387" spans="34:34" ht="15" thickBot="1" x14ac:dyDescent="0.4">
      <c r="AH1387" s="87"/>
    </row>
    <row r="1388" spans="34:34" ht="15" thickBot="1" x14ac:dyDescent="0.4">
      <c r="AH1388" s="87"/>
    </row>
    <row r="1389" spans="34:34" ht="15" thickBot="1" x14ac:dyDescent="0.4">
      <c r="AH1389" s="87"/>
    </row>
    <row r="1390" spans="34:34" ht="15" thickBot="1" x14ac:dyDescent="0.4">
      <c r="AH1390" s="87"/>
    </row>
    <row r="1391" spans="34:34" ht="15" thickBot="1" x14ac:dyDescent="0.4">
      <c r="AH1391" s="87"/>
    </row>
    <row r="1392" spans="34:34" ht="15" thickBot="1" x14ac:dyDescent="0.4">
      <c r="AH1392" s="87"/>
    </row>
    <row r="1393" spans="34:34" ht="15" thickBot="1" x14ac:dyDescent="0.4">
      <c r="AH1393" s="87"/>
    </row>
    <row r="1394" spans="34:34" ht="15" thickBot="1" x14ac:dyDescent="0.4">
      <c r="AH1394" s="87"/>
    </row>
    <row r="1395" spans="34:34" ht="15" thickBot="1" x14ac:dyDescent="0.4">
      <c r="AH1395" s="87"/>
    </row>
    <row r="1396" spans="34:34" ht="15" thickBot="1" x14ac:dyDescent="0.4">
      <c r="AH1396" s="87"/>
    </row>
    <row r="1397" spans="34:34" ht="15" thickBot="1" x14ac:dyDescent="0.4">
      <c r="AH1397" s="87"/>
    </row>
    <row r="1398" spans="34:34" ht="15" thickBot="1" x14ac:dyDescent="0.4">
      <c r="AH1398" s="87"/>
    </row>
    <row r="1399" spans="34:34" ht="15" thickBot="1" x14ac:dyDescent="0.4">
      <c r="AH1399" s="87"/>
    </row>
    <row r="1400" spans="34:34" ht="15" thickBot="1" x14ac:dyDescent="0.4">
      <c r="AH1400" s="87"/>
    </row>
    <row r="1401" spans="34:34" ht="15" thickBot="1" x14ac:dyDescent="0.4">
      <c r="AH1401" s="87"/>
    </row>
    <row r="1402" spans="34:34" ht="15" thickBot="1" x14ac:dyDescent="0.4">
      <c r="AH1402" s="87"/>
    </row>
    <row r="1403" spans="34:34" ht="15" thickBot="1" x14ac:dyDescent="0.4">
      <c r="AH1403" s="87"/>
    </row>
    <row r="1404" spans="34:34" ht="15" thickBot="1" x14ac:dyDescent="0.4">
      <c r="AH1404" s="87"/>
    </row>
    <row r="1405" spans="34:34" ht="15" thickBot="1" x14ac:dyDescent="0.4">
      <c r="AH1405" s="87"/>
    </row>
    <row r="1406" spans="34:34" ht="15" thickBot="1" x14ac:dyDescent="0.4">
      <c r="AH1406" s="87"/>
    </row>
    <row r="1407" spans="34:34" ht="15" thickBot="1" x14ac:dyDescent="0.4">
      <c r="AH1407" s="87"/>
    </row>
    <row r="1408" spans="34:34" ht="15" thickBot="1" x14ac:dyDescent="0.4">
      <c r="AH1408" s="87"/>
    </row>
    <row r="1409" spans="34:34" ht="15" thickBot="1" x14ac:dyDescent="0.4">
      <c r="AH1409" s="87"/>
    </row>
    <row r="1410" spans="34:34" ht="15" thickBot="1" x14ac:dyDescent="0.4">
      <c r="AH1410" s="87"/>
    </row>
    <row r="1411" spans="34:34" ht="15" thickBot="1" x14ac:dyDescent="0.4">
      <c r="AH1411" s="87"/>
    </row>
    <row r="1412" spans="34:34" ht="15" thickBot="1" x14ac:dyDescent="0.4">
      <c r="AH1412" s="87"/>
    </row>
    <row r="1413" spans="34:34" ht="15" thickBot="1" x14ac:dyDescent="0.4">
      <c r="AH1413" s="87"/>
    </row>
    <row r="1414" spans="34:34" ht="15" thickBot="1" x14ac:dyDescent="0.4">
      <c r="AH1414" s="87"/>
    </row>
    <row r="1415" spans="34:34" ht="15" thickBot="1" x14ac:dyDescent="0.4">
      <c r="AH1415" s="87"/>
    </row>
    <row r="1416" spans="34:34" ht="15" thickBot="1" x14ac:dyDescent="0.4">
      <c r="AH1416" s="87"/>
    </row>
    <row r="1417" spans="34:34" ht="15" thickBot="1" x14ac:dyDescent="0.4">
      <c r="AH1417" s="87"/>
    </row>
    <row r="1418" spans="34:34" ht="15" thickBot="1" x14ac:dyDescent="0.4">
      <c r="AH1418" s="87"/>
    </row>
    <row r="1419" spans="34:34" ht="15" thickBot="1" x14ac:dyDescent="0.4">
      <c r="AH1419" s="87"/>
    </row>
    <row r="1420" spans="34:34" ht="15" thickBot="1" x14ac:dyDescent="0.4">
      <c r="AH1420" s="87"/>
    </row>
    <row r="1421" spans="34:34" ht="15" thickBot="1" x14ac:dyDescent="0.4">
      <c r="AH1421" s="87"/>
    </row>
    <row r="1422" spans="34:34" ht="15" thickBot="1" x14ac:dyDescent="0.4">
      <c r="AH1422" s="87"/>
    </row>
    <row r="1423" spans="34:34" ht="15" thickBot="1" x14ac:dyDescent="0.4">
      <c r="AH1423" s="87"/>
    </row>
    <row r="1424" spans="34:34" ht="15" thickBot="1" x14ac:dyDescent="0.4">
      <c r="AH1424" s="87"/>
    </row>
    <row r="1425" spans="34:34" ht="15" thickBot="1" x14ac:dyDescent="0.4">
      <c r="AH1425" s="87"/>
    </row>
    <row r="1426" spans="34:34" ht="15" thickBot="1" x14ac:dyDescent="0.4">
      <c r="AH1426" s="87"/>
    </row>
    <row r="1427" spans="34:34" ht="15" thickBot="1" x14ac:dyDescent="0.4">
      <c r="AH1427" s="87"/>
    </row>
    <row r="1428" spans="34:34" ht="15" thickBot="1" x14ac:dyDescent="0.4">
      <c r="AH1428" s="87"/>
    </row>
    <row r="1429" spans="34:34" ht="15" thickBot="1" x14ac:dyDescent="0.4">
      <c r="AH1429" s="87"/>
    </row>
    <row r="1430" spans="34:34" ht="15" thickBot="1" x14ac:dyDescent="0.4">
      <c r="AH1430" s="87"/>
    </row>
    <row r="1431" spans="34:34" ht="15" thickBot="1" x14ac:dyDescent="0.4">
      <c r="AH1431" s="87"/>
    </row>
    <row r="1432" spans="34:34" ht="15" thickBot="1" x14ac:dyDescent="0.4">
      <c r="AH1432" s="87"/>
    </row>
    <row r="1433" spans="34:34" ht="15" thickBot="1" x14ac:dyDescent="0.4">
      <c r="AH1433" s="87"/>
    </row>
    <row r="1434" spans="34:34" ht="15" thickBot="1" x14ac:dyDescent="0.4">
      <c r="AH1434" s="87"/>
    </row>
    <row r="1435" spans="34:34" ht="15" thickBot="1" x14ac:dyDescent="0.4">
      <c r="AH1435" s="87"/>
    </row>
    <row r="1436" spans="34:34" ht="15" thickBot="1" x14ac:dyDescent="0.4">
      <c r="AH1436" s="87"/>
    </row>
    <row r="1437" spans="34:34" ht="15" thickBot="1" x14ac:dyDescent="0.4">
      <c r="AH1437" s="87"/>
    </row>
    <row r="1438" spans="34:34" ht="15" thickBot="1" x14ac:dyDescent="0.4">
      <c r="AH1438" s="87"/>
    </row>
    <row r="1439" spans="34:34" ht="15" thickBot="1" x14ac:dyDescent="0.4">
      <c r="AH1439" s="87"/>
    </row>
    <row r="1440" spans="34:34" ht="15" thickBot="1" x14ac:dyDescent="0.4">
      <c r="AH1440" s="87"/>
    </row>
    <row r="1441" spans="34:34" ht="15" thickBot="1" x14ac:dyDescent="0.4">
      <c r="AH1441" s="87"/>
    </row>
    <row r="1442" spans="34:34" ht="15" thickBot="1" x14ac:dyDescent="0.4">
      <c r="AH1442" s="87"/>
    </row>
    <row r="1443" spans="34:34" ht="15" thickBot="1" x14ac:dyDescent="0.4">
      <c r="AH1443" s="87"/>
    </row>
    <row r="1444" spans="34:34" ht="15" thickBot="1" x14ac:dyDescent="0.4">
      <c r="AH1444" s="87"/>
    </row>
    <row r="1445" spans="34:34" ht="15" thickBot="1" x14ac:dyDescent="0.4">
      <c r="AH1445" s="87"/>
    </row>
    <row r="1446" spans="34:34" ht="15" thickBot="1" x14ac:dyDescent="0.4">
      <c r="AH1446" s="87"/>
    </row>
    <row r="1447" spans="34:34" ht="15" thickBot="1" x14ac:dyDescent="0.4">
      <c r="AH1447" s="87"/>
    </row>
    <row r="1448" spans="34:34" ht="15" thickBot="1" x14ac:dyDescent="0.4">
      <c r="AH1448" s="87"/>
    </row>
    <row r="1449" spans="34:34" ht="15" thickBot="1" x14ac:dyDescent="0.4">
      <c r="AH1449" s="87"/>
    </row>
    <row r="1450" spans="34:34" ht="15" thickBot="1" x14ac:dyDescent="0.4">
      <c r="AH1450" s="87"/>
    </row>
    <row r="1451" spans="34:34" ht="15" thickBot="1" x14ac:dyDescent="0.4">
      <c r="AH1451" s="87"/>
    </row>
    <row r="1452" spans="34:34" ht="15" thickBot="1" x14ac:dyDescent="0.4">
      <c r="AH1452" s="87"/>
    </row>
    <row r="1453" spans="34:34" ht="15" thickBot="1" x14ac:dyDescent="0.4">
      <c r="AH1453" s="87"/>
    </row>
    <row r="1454" spans="34:34" ht="15" thickBot="1" x14ac:dyDescent="0.4">
      <c r="AH1454" s="87"/>
    </row>
    <row r="1455" spans="34:34" ht="15" thickBot="1" x14ac:dyDescent="0.4">
      <c r="AH1455" s="87"/>
    </row>
    <row r="1456" spans="34:34" ht="15" thickBot="1" x14ac:dyDescent="0.4">
      <c r="AH1456" s="87"/>
    </row>
    <row r="1457" spans="34:34" ht="15" thickBot="1" x14ac:dyDescent="0.4">
      <c r="AH1457" s="87"/>
    </row>
    <row r="1458" spans="34:34" ht="15" thickBot="1" x14ac:dyDescent="0.4">
      <c r="AH1458" s="87"/>
    </row>
    <row r="1459" spans="34:34" ht="15" thickBot="1" x14ac:dyDescent="0.4">
      <c r="AH1459" s="87"/>
    </row>
    <row r="1460" spans="34:34" ht="15" thickBot="1" x14ac:dyDescent="0.4">
      <c r="AH1460" s="87"/>
    </row>
    <row r="1461" spans="34:34" ht="15" thickBot="1" x14ac:dyDescent="0.4">
      <c r="AH1461" s="87"/>
    </row>
    <row r="1462" spans="34:34" ht="15" thickBot="1" x14ac:dyDescent="0.4">
      <c r="AH1462" s="87"/>
    </row>
    <row r="1463" spans="34:34" ht="15" thickBot="1" x14ac:dyDescent="0.4">
      <c r="AH1463" s="87"/>
    </row>
    <row r="1464" spans="34:34" ht="15" thickBot="1" x14ac:dyDescent="0.4">
      <c r="AH1464" s="87"/>
    </row>
    <row r="1465" spans="34:34" ht="15" thickBot="1" x14ac:dyDescent="0.4">
      <c r="AH1465" s="87"/>
    </row>
    <row r="1466" spans="34:34" ht="15" thickBot="1" x14ac:dyDescent="0.4">
      <c r="AH1466" s="87"/>
    </row>
    <row r="1467" spans="34:34" ht="15" thickBot="1" x14ac:dyDescent="0.4">
      <c r="AH1467" s="87"/>
    </row>
    <row r="1468" spans="34:34" ht="15" thickBot="1" x14ac:dyDescent="0.4">
      <c r="AH1468" s="87"/>
    </row>
    <row r="1469" spans="34:34" ht="15" thickBot="1" x14ac:dyDescent="0.4">
      <c r="AH1469" s="87"/>
    </row>
    <row r="1470" spans="34:34" ht="15" thickBot="1" x14ac:dyDescent="0.4">
      <c r="AH1470" s="87"/>
    </row>
    <row r="1471" spans="34:34" ht="15" thickBot="1" x14ac:dyDescent="0.4">
      <c r="AH1471" s="87"/>
    </row>
    <row r="1472" spans="34:34" ht="15" thickBot="1" x14ac:dyDescent="0.4">
      <c r="AH1472" s="87"/>
    </row>
    <row r="1473" spans="34:34" ht="15" thickBot="1" x14ac:dyDescent="0.4">
      <c r="AH1473" s="87"/>
    </row>
    <row r="1474" spans="34:34" ht="15" thickBot="1" x14ac:dyDescent="0.4">
      <c r="AH1474" s="87"/>
    </row>
    <row r="1475" spans="34:34" ht="15" thickBot="1" x14ac:dyDescent="0.4">
      <c r="AH1475" s="87"/>
    </row>
    <row r="1476" spans="34:34" ht="15" thickBot="1" x14ac:dyDescent="0.4">
      <c r="AH1476" s="87"/>
    </row>
    <row r="1477" spans="34:34" ht="15" thickBot="1" x14ac:dyDescent="0.4">
      <c r="AH1477" s="87"/>
    </row>
    <row r="1478" spans="34:34" ht="15" thickBot="1" x14ac:dyDescent="0.4">
      <c r="AH1478" s="87"/>
    </row>
    <row r="1479" spans="34:34" ht="15" thickBot="1" x14ac:dyDescent="0.4">
      <c r="AH1479" s="87"/>
    </row>
    <row r="1480" spans="34:34" ht="15" thickBot="1" x14ac:dyDescent="0.4">
      <c r="AH1480" s="87"/>
    </row>
    <row r="1481" spans="34:34" ht="15" thickBot="1" x14ac:dyDescent="0.4">
      <c r="AH1481" s="87"/>
    </row>
    <row r="1482" spans="34:34" ht="15" thickBot="1" x14ac:dyDescent="0.4">
      <c r="AH1482" s="87"/>
    </row>
    <row r="1483" spans="34:34" ht="15" thickBot="1" x14ac:dyDescent="0.4">
      <c r="AH1483" s="87"/>
    </row>
    <row r="1484" spans="34:34" ht="15" thickBot="1" x14ac:dyDescent="0.4">
      <c r="AH1484" s="87"/>
    </row>
    <row r="1485" spans="34:34" ht="15" thickBot="1" x14ac:dyDescent="0.4">
      <c r="AH1485" s="87"/>
    </row>
    <row r="1486" spans="34:34" ht="15" thickBot="1" x14ac:dyDescent="0.4">
      <c r="AH1486" s="87"/>
    </row>
    <row r="1487" spans="34:34" ht="15" thickBot="1" x14ac:dyDescent="0.4">
      <c r="AH1487" s="87"/>
    </row>
    <row r="1488" spans="34:34" ht="15" thickBot="1" x14ac:dyDescent="0.4">
      <c r="AH1488" s="87"/>
    </row>
    <row r="1489" spans="34:34" ht="15" thickBot="1" x14ac:dyDescent="0.4">
      <c r="AH1489" s="87"/>
    </row>
    <row r="1490" spans="34:34" ht="15" thickBot="1" x14ac:dyDescent="0.4">
      <c r="AH1490" s="87"/>
    </row>
    <row r="1491" spans="34:34" ht="15" thickBot="1" x14ac:dyDescent="0.4">
      <c r="AH1491" s="87"/>
    </row>
    <row r="1492" spans="34:34" ht="15" thickBot="1" x14ac:dyDescent="0.4">
      <c r="AH1492" s="87"/>
    </row>
    <row r="1493" spans="34:34" ht="15" thickBot="1" x14ac:dyDescent="0.4">
      <c r="AH1493" s="87"/>
    </row>
    <row r="1494" spans="34:34" ht="15" thickBot="1" x14ac:dyDescent="0.4">
      <c r="AH1494" s="87"/>
    </row>
    <row r="1495" spans="34:34" ht="15" thickBot="1" x14ac:dyDescent="0.4">
      <c r="AH1495" s="87"/>
    </row>
    <row r="1496" spans="34:34" ht="15" thickBot="1" x14ac:dyDescent="0.4">
      <c r="AH1496" s="87"/>
    </row>
    <row r="1497" spans="34:34" ht="15" thickBot="1" x14ac:dyDescent="0.4">
      <c r="AH1497" s="87"/>
    </row>
    <row r="1498" spans="34:34" ht="15" thickBot="1" x14ac:dyDescent="0.4">
      <c r="AH1498" s="87"/>
    </row>
    <row r="1499" spans="34:34" ht="15" thickBot="1" x14ac:dyDescent="0.4">
      <c r="AH1499" s="87"/>
    </row>
    <row r="1500" spans="34:34" ht="15" thickBot="1" x14ac:dyDescent="0.4">
      <c r="AH1500" s="87"/>
    </row>
    <row r="1501" spans="34:34" ht="15" thickBot="1" x14ac:dyDescent="0.4">
      <c r="AH1501" s="87"/>
    </row>
    <row r="1502" spans="34:34" ht="15" thickBot="1" x14ac:dyDescent="0.4">
      <c r="AH1502" s="87"/>
    </row>
    <row r="1503" spans="34:34" ht="15" thickBot="1" x14ac:dyDescent="0.4">
      <c r="AH1503" s="87"/>
    </row>
    <row r="1504" spans="34:34" ht="15" thickBot="1" x14ac:dyDescent="0.4">
      <c r="AH1504" s="87"/>
    </row>
    <row r="1505" spans="34:34" ht="15" thickBot="1" x14ac:dyDescent="0.4">
      <c r="AH1505" s="87"/>
    </row>
    <row r="1506" spans="34:34" ht="15" thickBot="1" x14ac:dyDescent="0.4">
      <c r="AH1506" s="87"/>
    </row>
    <row r="1507" spans="34:34" ht="15" thickBot="1" x14ac:dyDescent="0.4">
      <c r="AH1507" s="87"/>
    </row>
    <row r="1508" spans="34:34" ht="15" thickBot="1" x14ac:dyDescent="0.4">
      <c r="AH1508" s="87"/>
    </row>
    <row r="1509" spans="34:34" ht="15" thickBot="1" x14ac:dyDescent="0.4">
      <c r="AH1509" s="87"/>
    </row>
    <row r="1510" spans="34:34" ht="15" thickBot="1" x14ac:dyDescent="0.4">
      <c r="AH1510" s="87"/>
    </row>
    <row r="1511" spans="34:34" ht="15" thickBot="1" x14ac:dyDescent="0.4">
      <c r="AH1511" s="87"/>
    </row>
    <row r="1512" spans="34:34" ht="15" thickBot="1" x14ac:dyDescent="0.4">
      <c r="AH1512" s="87"/>
    </row>
    <row r="1513" spans="34:34" ht="15" thickBot="1" x14ac:dyDescent="0.4">
      <c r="AH1513" s="87"/>
    </row>
    <row r="1514" spans="34:34" ht="15" thickBot="1" x14ac:dyDescent="0.4">
      <c r="AH1514" s="87"/>
    </row>
    <row r="1515" spans="34:34" ht="15" thickBot="1" x14ac:dyDescent="0.4">
      <c r="AH1515" s="87"/>
    </row>
    <row r="1516" spans="34:34" ht="15" thickBot="1" x14ac:dyDescent="0.4">
      <c r="AH1516" s="87"/>
    </row>
    <row r="1517" spans="34:34" ht="15" thickBot="1" x14ac:dyDescent="0.4">
      <c r="AH1517" s="87"/>
    </row>
    <row r="1518" spans="34:34" ht="15" thickBot="1" x14ac:dyDescent="0.4">
      <c r="AH1518" s="87"/>
    </row>
    <row r="1519" spans="34:34" ht="15" thickBot="1" x14ac:dyDescent="0.4">
      <c r="AH1519" s="87"/>
    </row>
    <row r="1520" spans="34:34" ht="15" thickBot="1" x14ac:dyDescent="0.4">
      <c r="AH1520" s="87"/>
    </row>
    <row r="1521" spans="34:34" ht="15" thickBot="1" x14ac:dyDescent="0.4">
      <c r="AH1521" s="87"/>
    </row>
    <row r="1522" spans="34:34" ht="15" thickBot="1" x14ac:dyDescent="0.4">
      <c r="AH1522" s="87"/>
    </row>
    <row r="1523" spans="34:34" ht="15" thickBot="1" x14ac:dyDescent="0.4">
      <c r="AH1523" s="87"/>
    </row>
    <row r="1524" spans="34:34" ht="15" thickBot="1" x14ac:dyDescent="0.4">
      <c r="AH1524" s="87"/>
    </row>
    <row r="1525" spans="34:34" ht="15" thickBot="1" x14ac:dyDescent="0.4">
      <c r="AH1525" s="87"/>
    </row>
    <row r="1526" spans="34:34" ht="15" thickBot="1" x14ac:dyDescent="0.4">
      <c r="AH1526" s="87"/>
    </row>
    <row r="1527" spans="34:34" ht="15" thickBot="1" x14ac:dyDescent="0.4">
      <c r="AH1527" s="87"/>
    </row>
    <row r="1528" spans="34:34" ht="15" thickBot="1" x14ac:dyDescent="0.4">
      <c r="AH1528" s="87"/>
    </row>
    <row r="1529" spans="34:34" ht="15" thickBot="1" x14ac:dyDescent="0.4">
      <c r="AH1529" s="87"/>
    </row>
    <row r="1530" spans="34:34" ht="15" thickBot="1" x14ac:dyDescent="0.4">
      <c r="AH1530" s="87"/>
    </row>
    <row r="1531" spans="34:34" ht="15" thickBot="1" x14ac:dyDescent="0.4">
      <c r="AH1531" s="87"/>
    </row>
    <row r="1532" spans="34:34" ht="15" thickBot="1" x14ac:dyDescent="0.4">
      <c r="AH1532" s="87"/>
    </row>
    <row r="1533" spans="34:34" ht="15" thickBot="1" x14ac:dyDescent="0.4">
      <c r="AH1533" s="87"/>
    </row>
    <row r="1534" spans="34:34" ht="15" thickBot="1" x14ac:dyDescent="0.4">
      <c r="AH1534" s="87"/>
    </row>
    <row r="1535" spans="34:34" ht="15" thickBot="1" x14ac:dyDescent="0.4">
      <c r="AH1535" s="87"/>
    </row>
    <row r="1536" spans="34:34" ht="15" thickBot="1" x14ac:dyDescent="0.4">
      <c r="AH1536" s="87"/>
    </row>
    <row r="1537" spans="34:34" ht="15" thickBot="1" x14ac:dyDescent="0.4">
      <c r="AH1537" s="87"/>
    </row>
    <row r="1538" spans="34:34" ht="15" thickBot="1" x14ac:dyDescent="0.4">
      <c r="AH1538" s="87"/>
    </row>
    <row r="1539" spans="34:34" ht="15" thickBot="1" x14ac:dyDescent="0.4">
      <c r="AH1539" s="87"/>
    </row>
    <row r="1540" spans="34:34" ht="15" thickBot="1" x14ac:dyDescent="0.4">
      <c r="AH1540" s="87"/>
    </row>
    <row r="1541" spans="34:34" ht="15" thickBot="1" x14ac:dyDescent="0.4">
      <c r="AH1541" s="87"/>
    </row>
    <row r="1542" spans="34:34" ht="15" thickBot="1" x14ac:dyDescent="0.4">
      <c r="AH1542" s="87"/>
    </row>
    <row r="1543" spans="34:34" ht="15" thickBot="1" x14ac:dyDescent="0.4">
      <c r="AH1543" s="87"/>
    </row>
    <row r="1544" spans="34:34" ht="15" thickBot="1" x14ac:dyDescent="0.4">
      <c r="AH1544" s="87"/>
    </row>
    <row r="1545" spans="34:34" ht="15" thickBot="1" x14ac:dyDescent="0.4">
      <c r="AH1545" s="87"/>
    </row>
    <row r="1546" spans="34:34" ht="15" thickBot="1" x14ac:dyDescent="0.4">
      <c r="AH1546" s="87"/>
    </row>
    <row r="1547" spans="34:34" ht="15" thickBot="1" x14ac:dyDescent="0.4">
      <c r="AH1547" s="87"/>
    </row>
    <row r="1548" spans="34:34" ht="15" thickBot="1" x14ac:dyDescent="0.4">
      <c r="AH1548" s="87"/>
    </row>
    <row r="1549" spans="34:34" ht="15" thickBot="1" x14ac:dyDescent="0.4">
      <c r="AH1549" s="87"/>
    </row>
    <row r="1550" spans="34:34" ht="15" thickBot="1" x14ac:dyDescent="0.4">
      <c r="AH1550" s="87"/>
    </row>
    <row r="1551" spans="34:34" ht="15" thickBot="1" x14ac:dyDescent="0.4">
      <c r="AH1551" s="87"/>
    </row>
    <row r="1552" spans="34:34" ht="15" thickBot="1" x14ac:dyDescent="0.4">
      <c r="AH1552" s="87"/>
    </row>
    <row r="1553" spans="34:34" ht="15" thickBot="1" x14ac:dyDescent="0.4">
      <c r="AH1553" s="87"/>
    </row>
    <row r="1554" spans="34:34" ht="15" thickBot="1" x14ac:dyDescent="0.4">
      <c r="AH1554" s="87"/>
    </row>
    <row r="1555" spans="34:34" ht="15" thickBot="1" x14ac:dyDescent="0.4">
      <c r="AH1555" s="87"/>
    </row>
    <row r="1556" spans="34:34" ht="15" thickBot="1" x14ac:dyDescent="0.4">
      <c r="AH1556" s="87"/>
    </row>
    <row r="1557" spans="34:34" ht="15" thickBot="1" x14ac:dyDescent="0.4">
      <c r="AH1557" s="87"/>
    </row>
    <row r="1558" spans="34:34" ht="15" thickBot="1" x14ac:dyDescent="0.4">
      <c r="AH1558" s="87"/>
    </row>
    <row r="1559" spans="34:34" ht="15" thickBot="1" x14ac:dyDescent="0.4">
      <c r="AH1559" s="87"/>
    </row>
    <row r="1560" spans="34:34" ht="15" thickBot="1" x14ac:dyDescent="0.4">
      <c r="AH1560" s="87"/>
    </row>
    <row r="1561" spans="34:34" ht="15" thickBot="1" x14ac:dyDescent="0.4">
      <c r="AH1561" s="87"/>
    </row>
    <row r="1562" spans="34:34" ht="15" thickBot="1" x14ac:dyDescent="0.4">
      <c r="AH1562" s="87"/>
    </row>
    <row r="1563" spans="34:34" ht="15" thickBot="1" x14ac:dyDescent="0.4">
      <c r="AH1563" s="87"/>
    </row>
    <row r="1564" spans="34:34" ht="15" thickBot="1" x14ac:dyDescent="0.4">
      <c r="AH1564" s="87"/>
    </row>
    <row r="1565" spans="34:34" ht="15" thickBot="1" x14ac:dyDescent="0.4">
      <c r="AH1565" s="87"/>
    </row>
    <row r="1566" spans="34:34" ht="15" thickBot="1" x14ac:dyDescent="0.4">
      <c r="AH1566" s="87"/>
    </row>
    <row r="1567" spans="34:34" ht="15" thickBot="1" x14ac:dyDescent="0.4">
      <c r="AH1567" s="87"/>
    </row>
    <row r="1568" spans="34:34" ht="15" thickBot="1" x14ac:dyDescent="0.4">
      <c r="AH1568" s="87"/>
    </row>
    <row r="1569" spans="34:34" ht="15" thickBot="1" x14ac:dyDescent="0.4">
      <c r="AH1569" s="87"/>
    </row>
    <row r="1570" spans="34:34" ht="15" thickBot="1" x14ac:dyDescent="0.4">
      <c r="AH1570" s="87"/>
    </row>
    <row r="1571" spans="34:34" ht="15" thickBot="1" x14ac:dyDescent="0.4">
      <c r="AH1571" s="87"/>
    </row>
    <row r="1572" spans="34:34" ht="15" thickBot="1" x14ac:dyDescent="0.4">
      <c r="AH1572" s="87"/>
    </row>
    <row r="1573" spans="34:34" ht="15" thickBot="1" x14ac:dyDescent="0.4">
      <c r="AH1573" s="87"/>
    </row>
    <row r="1574" spans="34:34" ht="15" thickBot="1" x14ac:dyDescent="0.4">
      <c r="AH1574" s="87"/>
    </row>
    <row r="1575" spans="34:34" ht="15" thickBot="1" x14ac:dyDescent="0.4">
      <c r="AH1575" s="87"/>
    </row>
    <row r="1576" spans="34:34" ht="15" thickBot="1" x14ac:dyDescent="0.4">
      <c r="AH1576" s="87"/>
    </row>
    <row r="1577" spans="34:34" ht="15" thickBot="1" x14ac:dyDescent="0.4">
      <c r="AH1577" s="87"/>
    </row>
    <row r="1578" spans="34:34" ht="15" thickBot="1" x14ac:dyDescent="0.4">
      <c r="AH1578" s="87"/>
    </row>
    <row r="1579" spans="34:34" ht="15" thickBot="1" x14ac:dyDescent="0.4">
      <c r="AH1579" s="87"/>
    </row>
    <row r="1580" spans="34:34" ht="15" thickBot="1" x14ac:dyDescent="0.4">
      <c r="AH1580" s="87"/>
    </row>
    <row r="1581" spans="34:34" ht="15" thickBot="1" x14ac:dyDescent="0.4">
      <c r="AH1581" s="87"/>
    </row>
    <row r="1582" spans="34:34" ht="15" thickBot="1" x14ac:dyDescent="0.4">
      <c r="AH1582" s="87"/>
    </row>
    <row r="1583" spans="34:34" ht="15" thickBot="1" x14ac:dyDescent="0.4">
      <c r="AH1583" s="87"/>
    </row>
    <row r="1584" spans="34:34" ht="15" thickBot="1" x14ac:dyDescent="0.4">
      <c r="AH1584" s="87"/>
    </row>
    <row r="1585" spans="34:34" ht="15" thickBot="1" x14ac:dyDescent="0.4">
      <c r="AH1585" s="87"/>
    </row>
    <row r="1586" spans="34:34" ht="15" thickBot="1" x14ac:dyDescent="0.4">
      <c r="AH1586" s="87"/>
    </row>
    <row r="1587" spans="34:34" ht="15" thickBot="1" x14ac:dyDescent="0.4">
      <c r="AH1587" s="87"/>
    </row>
    <row r="1588" spans="34:34" ht="15" thickBot="1" x14ac:dyDescent="0.4">
      <c r="AH1588" s="87"/>
    </row>
    <row r="1589" spans="34:34" ht="15" thickBot="1" x14ac:dyDescent="0.4">
      <c r="AH1589" s="87"/>
    </row>
    <row r="1590" spans="34:34" ht="15" thickBot="1" x14ac:dyDescent="0.4">
      <c r="AH1590" s="87"/>
    </row>
    <row r="1591" spans="34:34" ht="15" thickBot="1" x14ac:dyDescent="0.4">
      <c r="AH1591" s="87"/>
    </row>
    <row r="1592" spans="34:34" ht="15" thickBot="1" x14ac:dyDescent="0.4">
      <c r="AH1592" s="87"/>
    </row>
    <row r="1593" spans="34:34" ht="15" thickBot="1" x14ac:dyDescent="0.4">
      <c r="AH1593" s="87"/>
    </row>
    <row r="1594" spans="34:34" ht="15" thickBot="1" x14ac:dyDescent="0.4">
      <c r="AH1594" s="87"/>
    </row>
    <row r="1595" spans="34:34" ht="15" thickBot="1" x14ac:dyDescent="0.4">
      <c r="AH1595" s="87"/>
    </row>
    <row r="1596" spans="34:34" ht="15" thickBot="1" x14ac:dyDescent="0.4">
      <c r="AH1596" s="87"/>
    </row>
    <row r="1597" spans="34:34" ht="15" thickBot="1" x14ac:dyDescent="0.4">
      <c r="AH1597" s="87"/>
    </row>
    <row r="1598" spans="34:34" ht="15" thickBot="1" x14ac:dyDescent="0.4">
      <c r="AH1598" s="87"/>
    </row>
    <row r="1599" spans="34:34" ht="15" thickBot="1" x14ac:dyDescent="0.4">
      <c r="AH1599" s="87"/>
    </row>
    <row r="1600" spans="34:34" ht="15" thickBot="1" x14ac:dyDescent="0.4">
      <c r="AH1600" s="87"/>
    </row>
    <row r="1601" spans="34:34" ht="15" thickBot="1" x14ac:dyDescent="0.4">
      <c r="AH1601" s="87"/>
    </row>
    <row r="1602" spans="34:34" ht="15" thickBot="1" x14ac:dyDescent="0.4">
      <c r="AH1602" s="87"/>
    </row>
    <row r="1603" spans="34:34" ht="15" thickBot="1" x14ac:dyDescent="0.4">
      <c r="AH1603" s="87"/>
    </row>
    <row r="1604" spans="34:34" ht="15" thickBot="1" x14ac:dyDescent="0.4">
      <c r="AH1604" s="87"/>
    </row>
    <row r="1605" spans="34:34" ht="15" thickBot="1" x14ac:dyDescent="0.4">
      <c r="AH1605" s="87"/>
    </row>
    <row r="1606" spans="34:34" ht="15" thickBot="1" x14ac:dyDescent="0.4">
      <c r="AH1606" s="87"/>
    </row>
    <row r="1607" spans="34:34" ht="15" thickBot="1" x14ac:dyDescent="0.4">
      <c r="AH1607" s="87"/>
    </row>
    <row r="1608" spans="34:34" ht="15" thickBot="1" x14ac:dyDescent="0.4">
      <c r="AH1608" s="87"/>
    </row>
    <row r="1609" spans="34:34" ht="15" thickBot="1" x14ac:dyDescent="0.4">
      <c r="AH1609" s="87"/>
    </row>
    <row r="1610" spans="34:34" ht="15" thickBot="1" x14ac:dyDescent="0.4">
      <c r="AH1610" s="87"/>
    </row>
    <row r="1611" spans="34:34" ht="15" thickBot="1" x14ac:dyDescent="0.4">
      <c r="AH1611" s="87"/>
    </row>
    <row r="1612" spans="34:34" ht="15" thickBot="1" x14ac:dyDescent="0.4">
      <c r="AH1612" s="87"/>
    </row>
    <row r="1613" spans="34:34" ht="15" thickBot="1" x14ac:dyDescent="0.4">
      <c r="AH1613" s="87"/>
    </row>
    <row r="1614" spans="34:34" ht="15" thickBot="1" x14ac:dyDescent="0.4">
      <c r="AH1614" s="87"/>
    </row>
    <row r="1615" spans="34:34" ht="15" thickBot="1" x14ac:dyDescent="0.4">
      <c r="AH1615" s="87"/>
    </row>
    <row r="1616" spans="34:34" ht="15" thickBot="1" x14ac:dyDescent="0.4">
      <c r="AH1616" s="87"/>
    </row>
    <row r="1617" spans="34:34" ht="15" thickBot="1" x14ac:dyDescent="0.4">
      <c r="AH1617" s="87"/>
    </row>
    <row r="1618" spans="34:34" ht="15" thickBot="1" x14ac:dyDescent="0.4">
      <c r="AH1618" s="87"/>
    </row>
    <row r="1619" spans="34:34" ht="15" thickBot="1" x14ac:dyDescent="0.4">
      <c r="AH1619" s="87"/>
    </row>
    <row r="1620" spans="34:34" ht="15" thickBot="1" x14ac:dyDescent="0.4">
      <c r="AH1620" s="87"/>
    </row>
    <row r="1621" spans="34:34" ht="15" thickBot="1" x14ac:dyDescent="0.4">
      <c r="AH1621" s="87"/>
    </row>
    <row r="1622" spans="34:34" ht="15" thickBot="1" x14ac:dyDescent="0.4">
      <c r="AH1622" s="87"/>
    </row>
    <row r="1623" spans="34:34" ht="15" thickBot="1" x14ac:dyDescent="0.4">
      <c r="AH1623" s="87"/>
    </row>
    <row r="1624" spans="34:34" ht="15" thickBot="1" x14ac:dyDescent="0.4">
      <c r="AH1624" s="87"/>
    </row>
    <row r="1625" spans="34:34" ht="15" thickBot="1" x14ac:dyDescent="0.4">
      <c r="AH1625" s="87"/>
    </row>
    <row r="1626" spans="34:34" ht="15" thickBot="1" x14ac:dyDescent="0.4">
      <c r="AH1626" s="87"/>
    </row>
    <row r="1627" spans="34:34" ht="15" thickBot="1" x14ac:dyDescent="0.4">
      <c r="AH1627" s="87"/>
    </row>
    <row r="1628" spans="34:34" ht="15" thickBot="1" x14ac:dyDescent="0.4">
      <c r="AH1628" s="87"/>
    </row>
    <row r="1629" spans="34:34" ht="15" thickBot="1" x14ac:dyDescent="0.4">
      <c r="AH1629" s="87"/>
    </row>
    <row r="1630" spans="34:34" ht="15" thickBot="1" x14ac:dyDescent="0.4">
      <c r="AH1630" s="87"/>
    </row>
    <row r="1631" spans="34:34" ht="15" thickBot="1" x14ac:dyDescent="0.4">
      <c r="AH1631" s="87"/>
    </row>
    <row r="1632" spans="34:34" ht="15" thickBot="1" x14ac:dyDescent="0.4">
      <c r="AH1632" s="87"/>
    </row>
    <row r="1633" spans="34:34" ht="15" thickBot="1" x14ac:dyDescent="0.4">
      <c r="AH1633" s="87"/>
    </row>
    <row r="1634" spans="34:34" ht="15" thickBot="1" x14ac:dyDescent="0.4">
      <c r="AH1634" s="87"/>
    </row>
    <row r="1635" spans="34:34" ht="15" thickBot="1" x14ac:dyDescent="0.4">
      <c r="AH1635" s="87"/>
    </row>
    <row r="1636" spans="34:34" ht="15" thickBot="1" x14ac:dyDescent="0.4">
      <c r="AH1636" s="87"/>
    </row>
    <row r="1637" spans="34:34" ht="15" thickBot="1" x14ac:dyDescent="0.4">
      <c r="AH1637" s="87"/>
    </row>
    <row r="1638" spans="34:34" ht="15" thickBot="1" x14ac:dyDescent="0.4">
      <c r="AH1638" s="87"/>
    </row>
    <row r="1639" spans="34:34" ht="15" thickBot="1" x14ac:dyDescent="0.4">
      <c r="AH1639" s="87"/>
    </row>
    <row r="1640" spans="34:34" ht="15" thickBot="1" x14ac:dyDescent="0.4">
      <c r="AH1640" s="87"/>
    </row>
    <row r="1641" spans="34:34" ht="15" thickBot="1" x14ac:dyDescent="0.4">
      <c r="AH1641" s="87"/>
    </row>
    <row r="1642" spans="34:34" ht="15" thickBot="1" x14ac:dyDescent="0.4">
      <c r="AH1642" s="87"/>
    </row>
    <row r="1643" spans="34:34" ht="15" thickBot="1" x14ac:dyDescent="0.4">
      <c r="AH1643" s="87"/>
    </row>
    <row r="1644" spans="34:34" ht="15" thickBot="1" x14ac:dyDescent="0.4">
      <c r="AH1644" s="87"/>
    </row>
    <row r="1645" spans="34:34" ht="15" thickBot="1" x14ac:dyDescent="0.4">
      <c r="AH1645" s="87"/>
    </row>
    <row r="1646" spans="34:34" ht="15" thickBot="1" x14ac:dyDescent="0.4">
      <c r="AH1646" s="87"/>
    </row>
    <row r="1647" spans="34:34" ht="15" thickBot="1" x14ac:dyDescent="0.4">
      <c r="AH1647" s="87"/>
    </row>
    <row r="1648" spans="34:34" ht="15" thickBot="1" x14ac:dyDescent="0.4">
      <c r="AH1648" s="87"/>
    </row>
    <row r="1649" spans="34:34" ht="15" thickBot="1" x14ac:dyDescent="0.4">
      <c r="AH1649" s="87"/>
    </row>
    <row r="1650" spans="34:34" ht="15" thickBot="1" x14ac:dyDescent="0.4">
      <c r="AH1650" s="87"/>
    </row>
    <row r="1651" spans="34:34" ht="15" thickBot="1" x14ac:dyDescent="0.4">
      <c r="AH1651" s="87"/>
    </row>
    <row r="1652" spans="34:34" ht="15" thickBot="1" x14ac:dyDescent="0.4">
      <c r="AH1652" s="87"/>
    </row>
    <row r="1653" spans="34:34" ht="15" thickBot="1" x14ac:dyDescent="0.4">
      <c r="AH1653" s="87"/>
    </row>
    <row r="1654" spans="34:34" ht="15" thickBot="1" x14ac:dyDescent="0.4">
      <c r="AH1654" s="87"/>
    </row>
    <row r="1655" spans="34:34" ht="15" thickBot="1" x14ac:dyDescent="0.4">
      <c r="AH1655" s="87"/>
    </row>
    <row r="1656" spans="34:34" ht="15" thickBot="1" x14ac:dyDescent="0.4">
      <c r="AH1656" s="87"/>
    </row>
    <row r="1657" spans="34:34" ht="15" thickBot="1" x14ac:dyDescent="0.4">
      <c r="AH1657" s="87"/>
    </row>
    <row r="1658" spans="34:34" ht="15" thickBot="1" x14ac:dyDescent="0.4">
      <c r="AH1658" s="87"/>
    </row>
    <row r="1659" spans="34:34" ht="15" thickBot="1" x14ac:dyDescent="0.4">
      <c r="AH1659" s="87"/>
    </row>
    <row r="1660" spans="34:34" ht="15" thickBot="1" x14ac:dyDescent="0.4">
      <c r="AH1660" s="87"/>
    </row>
    <row r="1661" spans="34:34" ht="15" thickBot="1" x14ac:dyDescent="0.4">
      <c r="AH1661" s="87"/>
    </row>
    <row r="1662" spans="34:34" ht="15" thickBot="1" x14ac:dyDescent="0.4">
      <c r="AH1662" s="87"/>
    </row>
    <row r="1663" spans="34:34" ht="15" thickBot="1" x14ac:dyDescent="0.4">
      <c r="AH1663" s="87"/>
    </row>
    <row r="1664" spans="34:34" ht="15" thickBot="1" x14ac:dyDescent="0.4">
      <c r="AH1664" s="87"/>
    </row>
    <row r="1665" spans="34:34" ht="15" thickBot="1" x14ac:dyDescent="0.4">
      <c r="AH1665" s="87"/>
    </row>
    <row r="1666" spans="34:34" ht="15" thickBot="1" x14ac:dyDescent="0.4">
      <c r="AH1666" s="87"/>
    </row>
    <row r="1667" spans="34:34" ht="15" thickBot="1" x14ac:dyDescent="0.4">
      <c r="AH1667" s="87"/>
    </row>
    <row r="1668" spans="34:34" ht="15" thickBot="1" x14ac:dyDescent="0.4">
      <c r="AH1668" s="87"/>
    </row>
    <row r="1669" spans="34:34" ht="15" thickBot="1" x14ac:dyDescent="0.4">
      <c r="AH1669" s="87"/>
    </row>
    <row r="1670" spans="34:34" ht="15" thickBot="1" x14ac:dyDescent="0.4">
      <c r="AH1670" s="87"/>
    </row>
    <row r="1671" spans="34:34" ht="15" thickBot="1" x14ac:dyDescent="0.4">
      <c r="AH1671" s="87"/>
    </row>
    <row r="1672" spans="34:34" ht="15" thickBot="1" x14ac:dyDescent="0.4">
      <c r="AH1672" s="87"/>
    </row>
    <row r="1673" spans="34:34" ht="15" thickBot="1" x14ac:dyDescent="0.4">
      <c r="AH1673" s="87"/>
    </row>
    <row r="1674" spans="34:34" ht="15" thickBot="1" x14ac:dyDescent="0.4">
      <c r="AH1674" s="87"/>
    </row>
    <row r="1675" spans="34:34" ht="15" thickBot="1" x14ac:dyDescent="0.4">
      <c r="AH1675" s="87"/>
    </row>
    <row r="1676" spans="34:34" ht="15" thickBot="1" x14ac:dyDescent="0.4">
      <c r="AH1676" s="87"/>
    </row>
    <row r="1677" spans="34:34" ht="15" thickBot="1" x14ac:dyDescent="0.4">
      <c r="AH1677" s="87"/>
    </row>
    <row r="1678" spans="34:34" ht="15" thickBot="1" x14ac:dyDescent="0.4">
      <c r="AH1678" s="87"/>
    </row>
    <row r="1679" spans="34:34" ht="15" thickBot="1" x14ac:dyDescent="0.4">
      <c r="AH1679" s="87"/>
    </row>
    <row r="1680" spans="34:34" ht="15" thickBot="1" x14ac:dyDescent="0.4">
      <c r="AH1680" s="87"/>
    </row>
    <row r="1681" spans="34:34" ht="15" thickBot="1" x14ac:dyDescent="0.4">
      <c r="AH1681" s="87"/>
    </row>
    <row r="1682" spans="34:34" ht="15" thickBot="1" x14ac:dyDescent="0.4">
      <c r="AH1682" s="87"/>
    </row>
    <row r="1683" spans="34:34" ht="15" thickBot="1" x14ac:dyDescent="0.4">
      <c r="AH1683" s="87"/>
    </row>
    <row r="1684" spans="34:34" ht="15" thickBot="1" x14ac:dyDescent="0.4">
      <c r="AH1684" s="87"/>
    </row>
    <row r="1685" spans="34:34" ht="15" thickBot="1" x14ac:dyDescent="0.4">
      <c r="AH1685" s="87"/>
    </row>
    <row r="1686" spans="34:34" ht="15" thickBot="1" x14ac:dyDescent="0.4">
      <c r="AH1686" s="87"/>
    </row>
    <row r="1687" spans="34:34" ht="15" thickBot="1" x14ac:dyDescent="0.4">
      <c r="AH1687" s="87"/>
    </row>
    <row r="1688" spans="34:34" ht="15" thickBot="1" x14ac:dyDescent="0.4">
      <c r="AH1688" s="87"/>
    </row>
    <row r="1689" spans="34:34" ht="15" thickBot="1" x14ac:dyDescent="0.4">
      <c r="AH1689" s="87"/>
    </row>
    <row r="1690" spans="34:34" ht="15" thickBot="1" x14ac:dyDescent="0.4">
      <c r="AH1690" s="87"/>
    </row>
    <row r="1691" spans="34:34" ht="15" thickBot="1" x14ac:dyDescent="0.4">
      <c r="AH1691" s="87"/>
    </row>
    <row r="1692" spans="34:34" ht="15" thickBot="1" x14ac:dyDescent="0.4">
      <c r="AH1692" s="87"/>
    </row>
    <row r="1693" spans="34:34" ht="15" thickBot="1" x14ac:dyDescent="0.4">
      <c r="AH1693" s="87"/>
    </row>
    <row r="1694" spans="34:34" ht="15" thickBot="1" x14ac:dyDescent="0.4">
      <c r="AH1694" s="87"/>
    </row>
    <row r="1695" spans="34:34" ht="15" thickBot="1" x14ac:dyDescent="0.4">
      <c r="AH1695" s="87"/>
    </row>
    <row r="1696" spans="34:34" ht="15" thickBot="1" x14ac:dyDescent="0.4">
      <c r="AH1696" s="87"/>
    </row>
    <row r="1697" spans="34:34" ht="15" thickBot="1" x14ac:dyDescent="0.4">
      <c r="AH1697" s="87"/>
    </row>
    <row r="1698" spans="34:34" ht="15" thickBot="1" x14ac:dyDescent="0.4">
      <c r="AH1698" s="87"/>
    </row>
    <row r="1699" spans="34:34" ht="15" thickBot="1" x14ac:dyDescent="0.4">
      <c r="AH1699" s="87"/>
    </row>
    <row r="1700" spans="34:34" ht="15" thickBot="1" x14ac:dyDescent="0.4">
      <c r="AH1700" s="87"/>
    </row>
    <row r="1701" spans="34:34" ht="15" thickBot="1" x14ac:dyDescent="0.4">
      <c r="AH1701" s="87"/>
    </row>
    <row r="1702" spans="34:34" ht="15" thickBot="1" x14ac:dyDescent="0.4">
      <c r="AH1702" s="87"/>
    </row>
    <row r="1703" spans="34:34" ht="15" thickBot="1" x14ac:dyDescent="0.4">
      <c r="AH1703" s="87"/>
    </row>
    <row r="1704" spans="34:34" ht="15" thickBot="1" x14ac:dyDescent="0.4">
      <c r="AH1704" s="87"/>
    </row>
    <row r="1705" spans="34:34" ht="15" thickBot="1" x14ac:dyDescent="0.4">
      <c r="AH1705" s="87"/>
    </row>
    <row r="1706" spans="34:34" ht="15" thickBot="1" x14ac:dyDescent="0.4">
      <c r="AH1706" s="87"/>
    </row>
    <row r="1707" spans="34:34" ht="15" thickBot="1" x14ac:dyDescent="0.4">
      <c r="AH1707" s="87"/>
    </row>
    <row r="1708" spans="34:34" ht="15" thickBot="1" x14ac:dyDescent="0.4">
      <c r="AH1708" s="87"/>
    </row>
    <row r="1709" spans="34:34" ht="15" thickBot="1" x14ac:dyDescent="0.4">
      <c r="AH1709" s="87"/>
    </row>
    <row r="1710" spans="34:34" ht="15" thickBot="1" x14ac:dyDescent="0.4">
      <c r="AH1710" s="87"/>
    </row>
    <row r="1711" spans="34:34" ht="15" thickBot="1" x14ac:dyDescent="0.4">
      <c r="AH1711" s="87"/>
    </row>
    <row r="1712" spans="34:34" ht="15" thickBot="1" x14ac:dyDescent="0.4">
      <c r="AH1712" s="87"/>
    </row>
    <row r="1713" spans="34:34" ht="15" thickBot="1" x14ac:dyDescent="0.4">
      <c r="AH1713" s="87"/>
    </row>
    <row r="1714" spans="34:34" ht="15" thickBot="1" x14ac:dyDescent="0.4">
      <c r="AH1714" s="87"/>
    </row>
    <row r="1715" spans="34:34" ht="15" thickBot="1" x14ac:dyDescent="0.4">
      <c r="AH1715" s="87"/>
    </row>
    <row r="1716" spans="34:34" ht="15" thickBot="1" x14ac:dyDescent="0.4">
      <c r="AH1716" s="87"/>
    </row>
    <row r="1717" spans="34:34" ht="15" thickBot="1" x14ac:dyDescent="0.4">
      <c r="AH1717" s="87"/>
    </row>
    <row r="1718" spans="34:34" ht="15" thickBot="1" x14ac:dyDescent="0.4">
      <c r="AH1718" s="87"/>
    </row>
    <row r="1719" spans="34:34" ht="15" thickBot="1" x14ac:dyDescent="0.4">
      <c r="AH1719" s="87"/>
    </row>
    <row r="1720" spans="34:34" ht="15" thickBot="1" x14ac:dyDescent="0.4">
      <c r="AH1720" s="87"/>
    </row>
    <row r="1721" spans="34:34" ht="15" thickBot="1" x14ac:dyDescent="0.4">
      <c r="AH1721" s="87"/>
    </row>
    <row r="1722" spans="34:34" ht="15" thickBot="1" x14ac:dyDescent="0.4">
      <c r="AH1722" s="87"/>
    </row>
    <row r="1723" spans="34:34" ht="15" thickBot="1" x14ac:dyDescent="0.4">
      <c r="AH1723" s="87"/>
    </row>
    <row r="1724" spans="34:34" ht="15" thickBot="1" x14ac:dyDescent="0.4">
      <c r="AH1724" s="87"/>
    </row>
    <row r="1725" spans="34:34" ht="15" thickBot="1" x14ac:dyDescent="0.4">
      <c r="AH1725" s="87"/>
    </row>
    <row r="1726" spans="34:34" ht="15" thickBot="1" x14ac:dyDescent="0.4">
      <c r="AH1726" s="87"/>
    </row>
    <row r="1727" spans="34:34" ht="15" thickBot="1" x14ac:dyDescent="0.4">
      <c r="AH1727" s="87"/>
    </row>
    <row r="1728" spans="34:34" ht="15" thickBot="1" x14ac:dyDescent="0.4">
      <c r="AH1728" s="87"/>
    </row>
    <row r="1729" spans="34:34" ht="15" thickBot="1" x14ac:dyDescent="0.4">
      <c r="AH1729" s="87"/>
    </row>
    <row r="1730" spans="34:34" ht="15" thickBot="1" x14ac:dyDescent="0.4">
      <c r="AH1730" s="87"/>
    </row>
    <row r="1731" spans="34:34" ht="15" thickBot="1" x14ac:dyDescent="0.4">
      <c r="AH1731" s="87"/>
    </row>
    <row r="1732" spans="34:34" ht="15" thickBot="1" x14ac:dyDescent="0.4">
      <c r="AH1732" s="87"/>
    </row>
    <row r="1733" spans="34:34" ht="15" thickBot="1" x14ac:dyDescent="0.4">
      <c r="AH1733" s="87"/>
    </row>
    <row r="1734" spans="34:34" ht="15" thickBot="1" x14ac:dyDescent="0.4">
      <c r="AH1734" s="87"/>
    </row>
    <row r="1735" spans="34:34" ht="15" thickBot="1" x14ac:dyDescent="0.4">
      <c r="AH1735" s="87"/>
    </row>
    <row r="1736" spans="34:34" ht="15" thickBot="1" x14ac:dyDescent="0.4">
      <c r="AH1736" s="87"/>
    </row>
    <row r="1737" spans="34:34" ht="15" thickBot="1" x14ac:dyDescent="0.4">
      <c r="AH1737" s="87"/>
    </row>
    <row r="1738" spans="34:34" ht="15" thickBot="1" x14ac:dyDescent="0.4">
      <c r="AH1738" s="87"/>
    </row>
    <row r="1739" spans="34:34" ht="15" thickBot="1" x14ac:dyDescent="0.4">
      <c r="AH1739" s="87"/>
    </row>
    <row r="1740" spans="34:34" ht="15" thickBot="1" x14ac:dyDescent="0.4">
      <c r="AH1740" s="87"/>
    </row>
    <row r="1741" spans="34:34" ht="15" thickBot="1" x14ac:dyDescent="0.4">
      <c r="AH1741" s="87"/>
    </row>
    <row r="1742" spans="34:34" ht="15" thickBot="1" x14ac:dyDescent="0.4">
      <c r="AH1742" s="87"/>
    </row>
    <row r="1743" spans="34:34" ht="15" thickBot="1" x14ac:dyDescent="0.4">
      <c r="AH1743" s="87"/>
    </row>
    <row r="1744" spans="34:34" ht="15" thickBot="1" x14ac:dyDescent="0.4">
      <c r="AH1744" s="87"/>
    </row>
    <row r="1745" spans="34:34" ht="15" thickBot="1" x14ac:dyDescent="0.4">
      <c r="AH1745" s="87"/>
    </row>
    <row r="1746" spans="34:34" ht="15" thickBot="1" x14ac:dyDescent="0.4">
      <c r="AH1746" s="87"/>
    </row>
    <row r="1747" spans="34:34" ht="15" thickBot="1" x14ac:dyDescent="0.4">
      <c r="AH1747" s="87"/>
    </row>
    <row r="1748" spans="34:34" ht="15" thickBot="1" x14ac:dyDescent="0.4">
      <c r="AH1748" s="87"/>
    </row>
    <row r="1749" spans="34:34" ht="15" thickBot="1" x14ac:dyDescent="0.4">
      <c r="AH1749" s="87"/>
    </row>
    <row r="1750" spans="34:34" ht="15" thickBot="1" x14ac:dyDescent="0.4">
      <c r="AH1750" s="87"/>
    </row>
    <row r="1751" spans="34:34" ht="15" thickBot="1" x14ac:dyDescent="0.4">
      <c r="AH1751" s="87"/>
    </row>
    <row r="1752" spans="34:34" ht="15" thickBot="1" x14ac:dyDescent="0.4">
      <c r="AH1752" s="87"/>
    </row>
    <row r="1753" spans="34:34" ht="15" thickBot="1" x14ac:dyDescent="0.4">
      <c r="AH1753" s="87"/>
    </row>
    <row r="1754" spans="34:34" ht="15" thickBot="1" x14ac:dyDescent="0.4">
      <c r="AH1754" s="87"/>
    </row>
    <row r="1755" spans="34:34" ht="15" thickBot="1" x14ac:dyDescent="0.4">
      <c r="AH1755" s="87"/>
    </row>
    <row r="1756" spans="34:34" ht="15" thickBot="1" x14ac:dyDescent="0.4">
      <c r="AH1756" s="87"/>
    </row>
    <row r="1757" spans="34:34" ht="15" thickBot="1" x14ac:dyDescent="0.4">
      <c r="AH1757" s="87"/>
    </row>
    <row r="1758" spans="34:34" ht="15" thickBot="1" x14ac:dyDescent="0.4">
      <c r="AH1758" s="87"/>
    </row>
    <row r="1759" spans="34:34" ht="15" thickBot="1" x14ac:dyDescent="0.4">
      <c r="AH1759" s="87"/>
    </row>
    <row r="1760" spans="34:34" ht="15" thickBot="1" x14ac:dyDescent="0.4">
      <c r="AH1760" s="87"/>
    </row>
    <row r="1761" spans="34:34" ht="15" thickBot="1" x14ac:dyDescent="0.4">
      <c r="AH1761" s="87"/>
    </row>
    <row r="1762" spans="34:34" ht="15" thickBot="1" x14ac:dyDescent="0.4">
      <c r="AH1762" s="87"/>
    </row>
    <row r="1763" spans="34:34" ht="15" thickBot="1" x14ac:dyDescent="0.4">
      <c r="AH1763" s="87"/>
    </row>
    <row r="1764" spans="34:34" ht="15" thickBot="1" x14ac:dyDescent="0.4">
      <c r="AH1764" s="87"/>
    </row>
    <row r="1765" spans="34:34" ht="15" thickBot="1" x14ac:dyDescent="0.4">
      <c r="AH1765" s="87"/>
    </row>
    <row r="1766" spans="34:34" ht="15" thickBot="1" x14ac:dyDescent="0.4">
      <c r="AH1766" s="87"/>
    </row>
    <row r="1767" spans="34:34" ht="15" thickBot="1" x14ac:dyDescent="0.4">
      <c r="AH1767" s="87"/>
    </row>
    <row r="1768" spans="34:34" ht="15" thickBot="1" x14ac:dyDescent="0.4">
      <c r="AH1768" s="87"/>
    </row>
    <row r="1769" spans="34:34" ht="15" thickBot="1" x14ac:dyDescent="0.4">
      <c r="AH1769" s="87"/>
    </row>
    <row r="1770" spans="34:34" ht="15" thickBot="1" x14ac:dyDescent="0.4">
      <c r="AH1770" s="87"/>
    </row>
    <row r="1771" spans="34:34" ht="15" thickBot="1" x14ac:dyDescent="0.4">
      <c r="AH1771" s="87"/>
    </row>
    <row r="1772" spans="34:34" ht="15" thickBot="1" x14ac:dyDescent="0.4">
      <c r="AH1772" s="87"/>
    </row>
    <row r="1773" spans="34:34" ht="15" thickBot="1" x14ac:dyDescent="0.4">
      <c r="AH1773" s="87"/>
    </row>
    <row r="1774" spans="34:34" ht="15" thickBot="1" x14ac:dyDescent="0.4">
      <c r="AH1774" s="87"/>
    </row>
    <row r="1775" spans="34:34" ht="15" thickBot="1" x14ac:dyDescent="0.4">
      <c r="AH1775" s="87"/>
    </row>
    <row r="1776" spans="34:34" ht="15" thickBot="1" x14ac:dyDescent="0.4">
      <c r="AH1776" s="87"/>
    </row>
    <row r="1777" spans="34:34" ht="15" thickBot="1" x14ac:dyDescent="0.4">
      <c r="AH1777" s="87"/>
    </row>
    <row r="1778" spans="34:34" ht="15" thickBot="1" x14ac:dyDescent="0.4">
      <c r="AH1778" s="87"/>
    </row>
    <row r="1779" spans="34:34" ht="15" thickBot="1" x14ac:dyDescent="0.4">
      <c r="AH1779" s="87"/>
    </row>
    <row r="1780" spans="34:34" ht="15" thickBot="1" x14ac:dyDescent="0.4">
      <c r="AH1780" s="87"/>
    </row>
    <row r="1781" spans="34:34" ht="15" thickBot="1" x14ac:dyDescent="0.4">
      <c r="AH1781" s="87"/>
    </row>
    <row r="1782" spans="34:34" ht="15" thickBot="1" x14ac:dyDescent="0.4">
      <c r="AH1782" s="87"/>
    </row>
    <row r="1783" spans="34:34" ht="15" thickBot="1" x14ac:dyDescent="0.4">
      <c r="AH1783" s="87"/>
    </row>
    <row r="1784" spans="34:34" ht="15" thickBot="1" x14ac:dyDescent="0.4">
      <c r="AH1784" s="87"/>
    </row>
    <row r="1785" spans="34:34" ht="15" thickBot="1" x14ac:dyDescent="0.4">
      <c r="AH1785" s="87"/>
    </row>
    <row r="1786" spans="34:34" ht="15" thickBot="1" x14ac:dyDescent="0.4">
      <c r="AH1786" s="87"/>
    </row>
    <row r="1787" spans="34:34" ht="15" thickBot="1" x14ac:dyDescent="0.4">
      <c r="AH1787" s="87"/>
    </row>
    <row r="1788" spans="34:34" ht="15" thickBot="1" x14ac:dyDescent="0.4">
      <c r="AH1788" s="87"/>
    </row>
    <row r="1789" spans="34:34" ht="15" thickBot="1" x14ac:dyDescent="0.4">
      <c r="AH1789" s="87"/>
    </row>
    <row r="1790" spans="34:34" ht="15" thickBot="1" x14ac:dyDescent="0.4">
      <c r="AH1790" s="87"/>
    </row>
    <row r="1791" spans="34:34" ht="15" thickBot="1" x14ac:dyDescent="0.4">
      <c r="AH1791" s="87"/>
    </row>
    <row r="1792" spans="34:34" ht="15" thickBot="1" x14ac:dyDescent="0.4">
      <c r="AH1792" s="87"/>
    </row>
    <row r="1793" spans="34:34" ht="15" thickBot="1" x14ac:dyDescent="0.4">
      <c r="AH1793" s="87"/>
    </row>
    <row r="1794" spans="34:34" ht="15" thickBot="1" x14ac:dyDescent="0.4">
      <c r="AH1794" s="87"/>
    </row>
    <row r="1795" spans="34:34" ht="15" thickBot="1" x14ac:dyDescent="0.4">
      <c r="AH1795" s="87"/>
    </row>
    <row r="1796" spans="34:34" ht="15" thickBot="1" x14ac:dyDescent="0.4">
      <c r="AH1796" s="87"/>
    </row>
    <row r="1797" spans="34:34" ht="15" thickBot="1" x14ac:dyDescent="0.4">
      <c r="AH1797" s="87"/>
    </row>
    <row r="1798" spans="34:34" ht="15" thickBot="1" x14ac:dyDescent="0.4">
      <c r="AH1798" s="87"/>
    </row>
    <row r="1799" spans="34:34" ht="15" thickBot="1" x14ac:dyDescent="0.4">
      <c r="AH1799" s="87"/>
    </row>
    <row r="1800" spans="34:34" ht="15" thickBot="1" x14ac:dyDescent="0.4">
      <c r="AH1800" s="87"/>
    </row>
    <row r="1801" spans="34:34" ht="15" thickBot="1" x14ac:dyDescent="0.4">
      <c r="AH1801" s="87"/>
    </row>
    <row r="1802" spans="34:34" ht="15" thickBot="1" x14ac:dyDescent="0.4">
      <c r="AH1802" s="87"/>
    </row>
    <row r="1803" spans="34:34" ht="15" thickBot="1" x14ac:dyDescent="0.4">
      <c r="AH1803" s="87"/>
    </row>
    <row r="1804" spans="34:34" ht="15" thickBot="1" x14ac:dyDescent="0.4">
      <c r="AH1804" s="87"/>
    </row>
    <row r="1805" spans="34:34" ht="15" thickBot="1" x14ac:dyDescent="0.4">
      <c r="AH1805" s="87"/>
    </row>
    <row r="1806" spans="34:34" ht="15" thickBot="1" x14ac:dyDescent="0.4">
      <c r="AH1806" s="87"/>
    </row>
    <row r="1807" spans="34:34" ht="15" thickBot="1" x14ac:dyDescent="0.4">
      <c r="AH1807" s="87"/>
    </row>
    <row r="1808" spans="34:34" ht="15" thickBot="1" x14ac:dyDescent="0.4">
      <c r="AH1808" s="87"/>
    </row>
    <row r="1809" spans="34:34" ht="15" thickBot="1" x14ac:dyDescent="0.4">
      <c r="AH1809" s="87"/>
    </row>
    <row r="1810" spans="34:34" ht="15" thickBot="1" x14ac:dyDescent="0.4">
      <c r="AH1810" s="87"/>
    </row>
    <row r="1811" spans="34:34" ht="15" thickBot="1" x14ac:dyDescent="0.4">
      <c r="AH1811" s="87"/>
    </row>
    <row r="1812" spans="34:34" ht="15" thickBot="1" x14ac:dyDescent="0.4">
      <c r="AH1812" s="87"/>
    </row>
    <row r="1813" spans="34:34" ht="15" thickBot="1" x14ac:dyDescent="0.4">
      <c r="AH1813" s="87"/>
    </row>
    <row r="1814" spans="34:34" ht="15" thickBot="1" x14ac:dyDescent="0.4">
      <c r="AH1814" s="87"/>
    </row>
    <row r="1815" spans="34:34" ht="15" thickBot="1" x14ac:dyDescent="0.4">
      <c r="AH1815" s="87"/>
    </row>
    <row r="1816" spans="34:34" ht="15" thickBot="1" x14ac:dyDescent="0.4">
      <c r="AH1816" s="87"/>
    </row>
    <row r="1817" spans="34:34" ht="15" thickBot="1" x14ac:dyDescent="0.4">
      <c r="AH1817" s="87"/>
    </row>
    <row r="1818" spans="34:34" ht="15" thickBot="1" x14ac:dyDescent="0.4">
      <c r="AH1818" s="87"/>
    </row>
    <row r="1819" spans="34:34" ht="15" thickBot="1" x14ac:dyDescent="0.4">
      <c r="AH1819" s="87"/>
    </row>
    <row r="1820" spans="34:34" ht="15" thickBot="1" x14ac:dyDescent="0.4">
      <c r="AH1820" s="87"/>
    </row>
    <row r="1821" spans="34:34" ht="15" thickBot="1" x14ac:dyDescent="0.4">
      <c r="AH1821" s="87"/>
    </row>
    <row r="1822" spans="34:34" ht="15" thickBot="1" x14ac:dyDescent="0.4">
      <c r="AH1822" s="87"/>
    </row>
    <row r="1823" spans="34:34" ht="15" thickBot="1" x14ac:dyDescent="0.4">
      <c r="AH1823" s="87"/>
    </row>
    <row r="1824" spans="34:34" ht="15" thickBot="1" x14ac:dyDescent="0.4">
      <c r="AH1824" s="87"/>
    </row>
    <row r="1825" spans="34:34" ht="15" thickBot="1" x14ac:dyDescent="0.4">
      <c r="AH1825" s="87"/>
    </row>
    <row r="1826" spans="34:34" ht="15" thickBot="1" x14ac:dyDescent="0.4">
      <c r="AH1826" s="87"/>
    </row>
    <row r="1827" spans="34:34" ht="15" thickBot="1" x14ac:dyDescent="0.4">
      <c r="AH1827" s="87"/>
    </row>
    <row r="1828" spans="34:34" ht="15" thickBot="1" x14ac:dyDescent="0.4">
      <c r="AH1828" s="87"/>
    </row>
    <row r="1829" spans="34:34" ht="15" thickBot="1" x14ac:dyDescent="0.4">
      <c r="AH1829" s="87"/>
    </row>
    <row r="1830" spans="34:34" ht="15" thickBot="1" x14ac:dyDescent="0.4">
      <c r="AH1830" s="87"/>
    </row>
    <row r="1831" spans="34:34" ht="15" thickBot="1" x14ac:dyDescent="0.4">
      <c r="AH1831" s="87"/>
    </row>
    <row r="1832" spans="34:34" ht="15" thickBot="1" x14ac:dyDescent="0.4">
      <c r="AH1832" s="87"/>
    </row>
    <row r="1833" spans="34:34" ht="15" thickBot="1" x14ac:dyDescent="0.4">
      <c r="AH1833" s="87"/>
    </row>
    <row r="1834" spans="34:34" ht="15" thickBot="1" x14ac:dyDescent="0.4">
      <c r="AH1834" s="87"/>
    </row>
    <row r="1835" spans="34:34" ht="15" thickBot="1" x14ac:dyDescent="0.4">
      <c r="AH1835" s="87"/>
    </row>
    <row r="1836" spans="34:34" ht="15" thickBot="1" x14ac:dyDescent="0.4">
      <c r="AH1836" s="87"/>
    </row>
    <row r="1837" spans="34:34" ht="15" thickBot="1" x14ac:dyDescent="0.4">
      <c r="AH1837" s="87"/>
    </row>
    <row r="1838" spans="34:34" ht="15" thickBot="1" x14ac:dyDescent="0.4">
      <c r="AH1838" s="87"/>
    </row>
    <row r="1839" spans="34:34" ht="15" thickBot="1" x14ac:dyDescent="0.4">
      <c r="AH1839" s="87"/>
    </row>
    <row r="1840" spans="34:34" ht="15" thickBot="1" x14ac:dyDescent="0.4">
      <c r="AH1840" s="87"/>
    </row>
    <row r="1841" spans="34:34" ht="15" thickBot="1" x14ac:dyDescent="0.4">
      <c r="AH1841" s="87"/>
    </row>
    <row r="1842" spans="34:34" ht="15" thickBot="1" x14ac:dyDescent="0.4">
      <c r="AH1842" s="87"/>
    </row>
    <row r="1843" spans="34:34" ht="15" thickBot="1" x14ac:dyDescent="0.4">
      <c r="AH1843" s="87"/>
    </row>
    <row r="1844" spans="34:34" ht="15" thickBot="1" x14ac:dyDescent="0.4">
      <c r="AH1844" s="87"/>
    </row>
    <row r="1845" spans="34:34" ht="15" thickBot="1" x14ac:dyDescent="0.4">
      <c r="AH1845" s="87"/>
    </row>
    <row r="1846" spans="34:34" ht="15" thickBot="1" x14ac:dyDescent="0.4">
      <c r="AH1846" s="87"/>
    </row>
    <row r="1847" spans="34:34" ht="15" thickBot="1" x14ac:dyDescent="0.4">
      <c r="AH1847" s="87"/>
    </row>
    <row r="1848" spans="34:34" ht="15" thickBot="1" x14ac:dyDescent="0.4">
      <c r="AH1848" s="87"/>
    </row>
    <row r="1849" spans="34:34" ht="15" thickBot="1" x14ac:dyDescent="0.4">
      <c r="AH1849" s="87"/>
    </row>
    <row r="1850" spans="34:34" ht="15" thickBot="1" x14ac:dyDescent="0.4">
      <c r="AH1850" s="87"/>
    </row>
    <row r="1851" spans="34:34" ht="15" thickBot="1" x14ac:dyDescent="0.4">
      <c r="AH1851" s="87"/>
    </row>
    <row r="1852" spans="34:34" ht="15" thickBot="1" x14ac:dyDescent="0.4">
      <c r="AH1852" s="87"/>
    </row>
    <row r="1853" spans="34:34" ht="15" thickBot="1" x14ac:dyDescent="0.4">
      <c r="AH1853" s="87"/>
    </row>
    <row r="1854" spans="34:34" ht="15" thickBot="1" x14ac:dyDescent="0.4">
      <c r="AH1854" s="87"/>
    </row>
    <row r="1855" spans="34:34" ht="15" thickBot="1" x14ac:dyDescent="0.4">
      <c r="AH1855" s="87"/>
    </row>
    <row r="1856" spans="34:34" ht="15" thickBot="1" x14ac:dyDescent="0.4">
      <c r="AH1856" s="87"/>
    </row>
    <row r="1857" spans="34:34" ht="15" thickBot="1" x14ac:dyDescent="0.4">
      <c r="AH1857" s="87"/>
    </row>
    <row r="1858" spans="34:34" ht="15" thickBot="1" x14ac:dyDescent="0.4">
      <c r="AH1858" s="87"/>
    </row>
    <row r="1859" spans="34:34" ht="15" thickBot="1" x14ac:dyDescent="0.4">
      <c r="AH1859" s="87"/>
    </row>
    <row r="1860" spans="34:34" ht="15" thickBot="1" x14ac:dyDescent="0.4">
      <c r="AH1860" s="87"/>
    </row>
    <row r="1861" spans="34:34" ht="15" thickBot="1" x14ac:dyDescent="0.4">
      <c r="AH1861" s="87"/>
    </row>
    <row r="1862" spans="34:34" ht="15" thickBot="1" x14ac:dyDescent="0.4">
      <c r="AH1862" s="87"/>
    </row>
    <row r="1863" spans="34:34" ht="15" thickBot="1" x14ac:dyDescent="0.4">
      <c r="AH1863" s="87"/>
    </row>
    <row r="1864" spans="34:34" ht="15" thickBot="1" x14ac:dyDescent="0.4">
      <c r="AH1864" s="87"/>
    </row>
    <row r="1865" spans="34:34" ht="15" thickBot="1" x14ac:dyDescent="0.4">
      <c r="AH1865" s="87"/>
    </row>
    <row r="1866" spans="34:34" ht="15" thickBot="1" x14ac:dyDescent="0.4">
      <c r="AH1866" s="87"/>
    </row>
    <row r="1867" spans="34:34" ht="15" thickBot="1" x14ac:dyDescent="0.4">
      <c r="AH1867" s="87"/>
    </row>
    <row r="1868" spans="34:34" ht="15" thickBot="1" x14ac:dyDescent="0.4">
      <c r="AH1868" s="87"/>
    </row>
    <row r="1869" spans="34:34" ht="15" thickBot="1" x14ac:dyDescent="0.4">
      <c r="AH1869" s="87"/>
    </row>
    <row r="1870" spans="34:34" ht="15" thickBot="1" x14ac:dyDescent="0.4">
      <c r="AH1870" s="87"/>
    </row>
    <row r="1871" spans="34:34" ht="15" thickBot="1" x14ac:dyDescent="0.4">
      <c r="AH1871" s="87"/>
    </row>
    <row r="1872" spans="34:34" ht="15" thickBot="1" x14ac:dyDescent="0.4">
      <c r="AH1872" s="87"/>
    </row>
    <row r="1873" spans="34:34" ht="15" thickBot="1" x14ac:dyDescent="0.4">
      <c r="AH1873" s="87"/>
    </row>
    <row r="1874" spans="34:34" ht="15" thickBot="1" x14ac:dyDescent="0.4">
      <c r="AH1874" s="87"/>
    </row>
    <row r="1875" spans="34:34" ht="15" thickBot="1" x14ac:dyDescent="0.4">
      <c r="AH1875" s="87"/>
    </row>
    <row r="1876" spans="34:34" ht="15" thickBot="1" x14ac:dyDescent="0.4">
      <c r="AH1876" s="87"/>
    </row>
    <row r="1877" spans="34:34" ht="15" thickBot="1" x14ac:dyDescent="0.4">
      <c r="AH1877" s="87"/>
    </row>
    <row r="1878" spans="34:34" ht="15" thickBot="1" x14ac:dyDescent="0.4">
      <c r="AH1878" s="87"/>
    </row>
    <row r="1879" spans="34:34" ht="15" thickBot="1" x14ac:dyDescent="0.4">
      <c r="AH1879" s="87"/>
    </row>
    <row r="1880" spans="34:34" ht="15" thickBot="1" x14ac:dyDescent="0.4">
      <c r="AH1880" s="87"/>
    </row>
    <row r="1881" spans="34:34" ht="15" thickBot="1" x14ac:dyDescent="0.4">
      <c r="AH1881" s="87"/>
    </row>
    <row r="1882" spans="34:34" ht="15" thickBot="1" x14ac:dyDescent="0.4">
      <c r="AH1882" s="87"/>
    </row>
    <row r="1883" spans="34:34" ht="15" thickBot="1" x14ac:dyDescent="0.4">
      <c r="AH1883" s="87"/>
    </row>
    <row r="1884" spans="34:34" ht="15" thickBot="1" x14ac:dyDescent="0.4">
      <c r="AH1884" s="87"/>
    </row>
    <row r="1885" spans="34:34" ht="15" thickBot="1" x14ac:dyDescent="0.4">
      <c r="AH1885" s="87"/>
    </row>
    <row r="1886" spans="34:34" ht="15" thickBot="1" x14ac:dyDescent="0.4">
      <c r="AH1886" s="87"/>
    </row>
    <row r="1887" spans="34:34" ht="15" thickBot="1" x14ac:dyDescent="0.4">
      <c r="AH1887" s="87"/>
    </row>
    <row r="1888" spans="34:34" ht="15" thickBot="1" x14ac:dyDescent="0.4">
      <c r="AH1888" s="87"/>
    </row>
    <row r="1889" spans="34:34" ht="15" thickBot="1" x14ac:dyDescent="0.4">
      <c r="AH1889" s="87"/>
    </row>
    <row r="1890" spans="34:34" ht="15" thickBot="1" x14ac:dyDescent="0.4">
      <c r="AH1890" s="87"/>
    </row>
    <row r="1891" spans="34:34" ht="15" thickBot="1" x14ac:dyDescent="0.4">
      <c r="AH1891" s="87"/>
    </row>
    <row r="1892" spans="34:34" ht="15" thickBot="1" x14ac:dyDescent="0.4">
      <c r="AH1892" s="87"/>
    </row>
    <row r="1893" spans="34:34" ht="15" thickBot="1" x14ac:dyDescent="0.4">
      <c r="AH1893" s="87"/>
    </row>
    <row r="1894" spans="34:34" ht="15" thickBot="1" x14ac:dyDescent="0.4">
      <c r="AH1894" s="87"/>
    </row>
    <row r="1895" spans="34:34" ht="15" thickBot="1" x14ac:dyDescent="0.4">
      <c r="AH1895" s="87"/>
    </row>
    <row r="1896" spans="34:34" ht="15" thickBot="1" x14ac:dyDescent="0.4">
      <c r="AH1896" s="87"/>
    </row>
    <row r="1897" spans="34:34" ht="15" thickBot="1" x14ac:dyDescent="0.4">
      <c r="AH1897" s="87"/>
    </row>
    <row r="1898" spans="34:34" ht="15" thickBot="1" x14ac:dyDescent="0.4">
      <c r="AH1898" s="87"/>
    </row>
    <row r="1899" spans="34:34" ht="15" thickBot="1" x14ac:dyDescent="0.4">
      <c r="AH1899" s="87"/>
    </row>
    <row r="1900" spans="34:34" ht="15" thickBot="1" x14ac:dyDescent="0.4">
      <c r="AH1900" s="87"/>
    </row>
    <row r="1901" spans="34:34" ht="15" thickBot="1" x14ac:dyDescent="0.4">
      <c r="AH1901" s="87"/>
    </row>
    <row r="1902" spans="34:34" ht="15" thickBot="1" x14ac:dyDescent="0.4">
      <c r="AH1902" s="87"/>
    </row>
    <row r="1903" spans="34:34" ht="15" thickBot="1" x14ac:dyDescent="0.4">
      <c r="AH1903" s="87"/>
    </row>
    <row r="1904" spans="34:34" ht="15" thickBot="1" x14ac:dyDescent="0.4">
      <c r="AH1904" s="87"/>
    </row>
    <row r="1905" spans="34:34" ht="15" thickBot="1" x14ac:dyDescent="0.4">
      <c r="AH1905" s="87"/>
    </row>
    <row r="1906" spans="34:34" ht="15" thickBot="1" x14ac:dyDescent="0.4">
      <c r="AH1906" s="87"/>
    </row>
    <row r="1907" spans="34:34" ht="15" thickBot="1" x14ac:dyDescent="0.4">
      <c r="AH1907" s="87"/>
    </row>
    <row r="1908" spans="34:34" ht="15" thickBot="1" x14ac:dyDescent="0.4">
      <c r="AH1908" s="87"/>
    </row>
    <row r="1909" spans="34:34" ht="15" thickBot="1" x14ac:dyDescent="0.4">
      <c r="AH1909" s="87"/>
    </row>
    <row r="1910" spans="34:34" ht="15" thickBot="1" x14ac:dyDescent="0.4">
      <c r="AH1910" s="87"/>
    </row>
    <row r="1911" spans="34:34" ht="15" thickBot="1" x14ac:dyDescent="0.4">
      <c r="AH1911" s="87"/>
    </row>
    <row r="1912" spans="34:34" ht="15" thickBot="1" x14ac:dyDescent="0.4">
      <c r="AH1912" s="87"/>
    </row>
    <row r="1913" spans="34:34" ht="15" thickBot="1" x14ac:dyDescent="0.4">
      <c r="AH1913" s="87"/>
    </row>
    <row r="1914" spans="34:34" ht="15" thickBot="1" x14ac:dyDescent="0.4">
      <c r="AH1914" s="87"/>
    </row>
    <row r="1915" spans="34:34" ht="15" thickBot="1" x14ac:dyDescent="0.4">
      <c r="AH1915" s="87"/>
    </row>
    <row r="1916" spans="34:34" ht="15" thickBot="1" x14ac:dyDescent="0.4">
      <c r="AH1916" s="87"/>
    </row>
    <row r="1917" spans="34:34" ht="15" thickBot="1" x14ac:dyDescent="0.4">
      <c r="AH1917" s="87"/>
    </row>
    <row r="1918" spans="34:34" ht="15" thickBot="1" x14ac:dyDescent="0.4">
      <c r="AH1918" s="87"/>
    </row>
    <row r="1919" spans="34:34" ht="15" thickBot="1" x14ac:dyDescent="0.4">
      <c r="AH1919" s="87"/>
    </row>
    <row r="1920" spans="34:34" ht="15" thickBot="1" x14ac:dyDescent="0.4">
      <c r="AH1920" s="87"/>
    </row>
    <row r="1921" spans="34:34" ht="15" thickBot="1" x14ac:dyDescent="0.4">
      <c r="AH1921" s="87"/>
    </row>
    <row r="1922" spans="34:34" ht="15" thickBot="1" x14ac:dyDescent="0.4">
      <c r="AH1922" s="87"/>
    </row>
    <row r="1923" spans="34:34" ht="15" thickBot="1" x14ac:dyDescent="0.4">
      <c r="AH1923" s="87"/>
    </row>
    <row r="1924" spans="34:34" ht="15" thickBot="1" x14ac:dyDescent="0.4">
      <c r="AH1924" s="87"/>
    </row>
    <row r="1925" spans="34:34" ht="15" thickBot="1" x14ac:dyDescent="0.4">
      <c r="AH1925" s="87"/>
    </row>
    <row r="1926" spans="34:34" ht="15" thickBot="1" x14ac:dyDescent="0.4">
      <c r="AH1926" s="87"/>
    </row>
    <row r="1927" spans="34:34" ht="15" thickBot="1" x14ac:dyDescent="0.4">
      <c r="AH1927" s="87"/>
    </row>
    <row r="1928" spans="34:34" ht="15" thickBot="1" x14ac:dyDescent="0.4">
      <c r="AH1928" s="87"/>
    </row>
    <row r="1929" spans="34:34" ht="15" thickBot="1" x14ac:dyDescent="0.4">
      <c r="AH1929" s="87"/>
    </row>
    <row r="1930" spans="34:34" ht="15" thickBot="1" x14ac:dyDescent="0.4">
      <c r="AH1930" s="87"/>
    </row>
    <row r="1931" spans="34:34" ht="15" thickBot="1" x14ac:dyDescent="0.4">
      <c r="AH1931" s="87"/>
    </row>
    <row r="1932" spans="34:34" ht="15" thickBot="1" x14ac:dyDescent="0.4">
      <c r="AH1932" s="87"/>
    </row>
    <row r="1933" spans="34:34" ht="15" thickBot="1" x14ac:dyDescent="0.4">
      <c r="AH1933" s="87"/>
    </row>
    <row r="1934" spans="34:34" ht="15" thickBot="1" x14ac:dyDescent="0.4">
      <c r="AH1934" s="87"/>
    </row>
    <row r="1935" spans="34:34" ht="15" thickBot="1" x14ac:dyDescent="0.4">
      <c r="AH1935" s="87"/>
    </row>
    <row r="1936" spans="34:34" ht="15" thickBot="1" x14ac:dyDescent="0.4">
      <c r="AH1936" s="87"/>
    </row>
    <row r="1937" spans="34:34" ht="15" thickBot="1" x14ac:dyDescent="0.4">
      <c r="AH1937" s="87"/>
    </row>
    <row r="1938" spans="34:34" ht="15" thickBot="1" x14ac:dyDescent="0.4">
      <c r="AH1938" s="87"/>
    </row>
    <row r="1939" spans="34:34" ht="15" thickBot="1" x14ac:dyDescent="0.4">
      <c r="AH1939" s="87"/>
    </row>
    <row r="1940" spans="34:34" ht="15" thickBot="1" x14ac:dyDescent="0.4">
      <c r="AH1940" s="87"/>
    </row>
    <row r="1941" spans="34:34" ht="15" thickBot="1" x14ac:dyDescent="0.4">
      <c r="AH1941" s="87"/>
    </row>
    <row r="1942" spans="34:34" ht="15" thickBot="1" x14ac:dyDescent="0.4">
      <c r="AH1942" s="87"/>
    </row>
    <row r="1943" spans="34:34" ht="15" thickBot="1" x14ac:dyDescent="0.4">
      <c r="AH1943" s="87"/>
    </row>
    <row r="1944" spans="34:34" ht="15" thickBot="1" x14ac:dyDescent="0.4">
      <c r="AH1944" s="87"/>
    </row>
    <row r="1945" spans="34:34" ht="15" thickBot="1" x14ac:dyDescent="0.4">
      <c r="AH1945" s="87"/>
    </row>
    <row r="1946" spans="34:34" ht="15" thickBot="1" x14ac:dyDescent="0.4">
      <c r="AH1946" s="87"/>
    </row>
    <row r="1947" spans="34:34" ht="15" thickBot="1" x14ac:dyDescent="0.4">
      <c r="AH1947" s="87"/>
    </row>
    <row r="1948" spans="34:34" ht="15" thickBot="1" x14ac:dyDescent="0.4">
      <c r="AH1948" s="87"/>
    </row>
    <row r="1949" spans="34:34" ht="15" thickBot="1" x14ac:dyDescent="0.4">
      <c r="AH1949" s="87"/>
    </row>
    <row r="1950" spans="34:34" ht="15" thickBot="1" x14ac:dyDescent="0.4">
      <c r="AH1950" s="87"/>
    </row>
    <row r="1951" spans="34:34" ht="15" thickBot="1" x14ac:dyDescent="0.4">
      <c r="AH1951" s="87"/>
    </row>
    <row r="1952" spans="34:34" ht="15" thickBot="1" x14ac:dyDescent="0.4">
      <c r="AH1952" s="87"/>
    </row>
    <row r="1953" spans="34:34" ht="15" thickBot="1" x14ac:dyDescent="0.4">
      <c r="AH1953" s="87"/>
    </row>
    <row r="1954" spans="34:34" ht="15" thickBot="1" x14ac:dyDescent="0.4">
      <c r="AH1954" s="87"/>
    </row>
    <row r="1955" spans="34:34" ht="15" thickBot="1" x14ac:dyDescent="0.4">
      <c r="AH1955" s="87"/>
    </row>
    <row r="1956" spans="34:34" ht="15" thickBot="1" x14ac:dyDescent="0.4">
      <c r="AH1956" s="87"/>
    </row>
    <row r="1957" spans="34:34" ht="15" thickBot="1" x14ac:dyDescent="0.4">
      <c r="AH1957" s="87"/>
    </row>
    <row r="1958" spans="34:34" ht="15" thickBot="1" x14ac:dyDescent="0.4">
      <c r="AH1958" s="87"/>
    </row>
    <row r="1959" spans="34:34" ht="15" thickBot="1" x14ac:dyDescent="0.4">
      <c r="AH1959" s="87"/>
    </row>
    <row r="1960" spans="34:34" ht="15" thickBot="1" x14ac:dyDescent="0.4">
      <c r="AH1960" s="87"/>
    </row>
    <row r="1961" spans="34:34" ht="15" thickBot="1" x14ac:dyDescent="0.4">
      <c r="AH1961" s="87"/>
    </row>
    <row r="1962" spans="34:34" ht="15" thickBot="1" x14ac:dyDescent="0.4">
      <c r="AH1962" s="87"/>
    </row>
    <row r="1963" spans="34:34" ht="15" thickBot="1" x14ac:dyDescent="0.4">
      <c r="AH1963" s="87"/>
    </row>
    <row r="1964" spans="34:34" ht="15" thickBot="1" x14ac:dyDescent="0.4">
      <c r="AH1964" s="87"/>
    </row>
    <row r="1965" spans="34:34" ht="15" thickBot="1" x14ac:dyDescent="0.4">
      <c r="AH1965" s="87"/>
    </row>
    <row r="1966" spans="34:34" ht="15" thickBot="1" x14ac:dyDescent="0.4">
      <c r="AH1966" s="87"/>
    </row>
    <row r="1967" spans="34:34" ht="15" thickBot="1" x14ac:dyDescent="0.4">
      <c r="AH1967" s="87"/>
    </row>
    <row r="1968" spans="34:34" ht="15" thickBot="1" x14ac:dyDescent="0.4">
      <c r="AH1968" s="87"/>
    </row>
    <row r="1969" spans="34:34" ht="15" thickBot="1" x14ac:dyDescent="0.4">
      <c r="AH1969" s="87"/>
    </row>
    <row r="1970" spans="34:34" ht="15" thickBot="1" x14ac:dyDescent="0.4">
      <c r="AH1970" s="87"/>
    </row>
    <row r="1971" spans="34:34" ht="15" thickBot="1" x14ac:dyDescent="0.4">
      <c r="AH1971" s="87"/>
    </row>
    <row r="1972" spans="34:34" ht="15" thickBot="1" x14ac:dyDescent="0.4">
      <c r="AH1972" s="87"/>
    </row>
    <row r="1973" spans="34:34" ht="15" thickBot="1" x14ac:dyDescent="0.4">
      <c r="AH1973" s="87"/>
    </row>
    <row r="1974" spans="34:34" ht="15" thickBot="1" x14ac:dyDescent="0.4">
      <c r="AH1974" s="87"/>
    </row>
    <row r="1975" spans="34:34" ht="15" thickBot="1" x14ac:dyDescent="0.4">
      <c r="AH1975" s="87"/>
    </row>
    <row r="1976" spans="34:34" ht="15" thickBot="1" x14ac:dyDescent="0.4">
      <c r="AH1976" s="87"/>
    </row>
    <row r="1977" spans="34:34" ht="15" thickBot="1" x14ac:dyDescent="0.4">
      <c r="AH1977" s="87"/>
    </row>
    <row r="1978" spans="34:34" ht="15" thickBot="1" x14ac:dyDescent="0.4">
      <c r="AH1978" s="87"/>
    </row>
    <row r="1979" spans="34:34" ht="15" thickBot="1" x14ac:dyDescent="0.4">
      <c r="AH1979" s="87"/>
    </row>
    <row r="1980" spans="34:34" ht="15" thickBot="1" x14ac:dyDescent="0.4">
      <c r="AH1980" s="87"/>
    </row>
    <row r="1981" spans="34:34" ht="15" thickBot="1" x14ac:dyDescent="0.4">
      <c r="AH1981" s="87"/>
    </row>
    <row r="1982" spans="34:34" ht="15" thickBot="1" x14ac:dyDescent="0.4">
      <c r="AH1982" s="87"/>
    </row>
    <row r="1983" spans="34:34" ht="15" thickBot="1" x14ac:dyDescent="0.4">
      <c r="AH1983" s="87"/>
    </row>
    <row r="1984" spans="34:34" ht="15" thickBot="1" x14ac:dyDescent="0.4">
      <c r="AH1984" s="87"/>
    </row>
    <row r="1985" spans="34:34" ht="15" thickBot="1" x14ac:dyDescent="0.4">
      <c r="AH1985" s="87"/>
    </row>
    <row r="1986" spans="34:34" ht="15" thickBot="1" x14ac:dyDescent="0.4">
      <c r="AH1986" s="87"/>
    </row>
    <row r="1987" spans="34:34" ht="15" thickBot="1" x14ac:dyDescent="0.4">
      <c r="AH1987" s="87"/>
    </row>
    <row r="1988" spans="34:34" ht="15" thickBot="1" x14ac:dyDescent="0.4">
      <c r="AH1988" s="87"/>
    </row>
    <row r="1989" spans="34:34" ht="15" thickBot="1" x14ac:dyDescent="0.4">
      <c r="AH1989" s="87"/>
    </row>
    <row r="1990" spans="34:34" ht="15" thickBot="1" x14ac:dyDescent="0.4">
      <c r="AH1990" s="87"/>
    </row>
    <row r="1991" spans="34:34" ht="15" thickBot="1" x14ac:dyDescent="0.4">
      <c r="AH1991" s="87"/>
    </row>
    <row r="1992" spans="34:34" ht="15" thickBot="1" x14ac:dyDescent="0.4">
      <c r="AH1992" s="87"/>
    </row>
    <row r="1993" spans="34:34" ht="15" thickBot="1" x14ac:dyDescent="0.4">
      <c r="AH1993" s="87"/>
    </row>
    <row r="1994" spans="34:34" ht="15" thickBot="1" x14ac:dyDescent="0.4">
      <c r="AH1994" s="87"/>
    </row>
    <row r="1995" spans="34:34" ht="15" thickBot="1" x14ac:dyDescent="0.4">
      <c r="AH1995" s="87"/>
    </row>
    <row r="1996" spans="34:34" ht="15" thickBot="1" x14ac:dyDescent="0.4">
      <c r="AH1996" s="87"/>
    </row>
    <row r="1997" spans="34:34" ht="15" thickBot="1" x14ac:dyDescent="0.4">
      <c r="AH1997" s="87"/>
    </row>
    <row r="1998" spans="34:34" ht="15" thickBot="1" x14ac:dyDescent="0.4">
      <c r="AH1998" s="87"/>
    </row>
    <row r="1999" spans="34:34" ht="15" thickBot="1" x14ac:dyDescent="0.4">
      <c r="AH1999" s="87"/>
    </row>
    <row r="2000" spans="34:34" ht="15" thickBot="1" x14ac:dyDescent="0.4">
      <c r="AH2000" s="87"/>
    </row>
    <row r="2001" spans="34:34" ht="15" thickBot="1" x14ac:dyDescent="0.4">
      <c r="AH2001" s="87"/>
    </row>
    <row r="2002" spans="34:34" ht="15" thickBot="1" x14ac:dyDescent="0.4">
      <c r="AH2002" s="87"/>
    </row>
    <row r="2003" spans="34:34" ht="15" thickBot="1" x14ac:dyDescent="0.4">
      <c r="AH2003" s="87"/>
    </row>
    <row r="2004" spans="34:34" ht="15" thickBot="1" x14ac:dyDescent="0.4">
      <c r="AH2004" s="87"/>
    </row>
    <row r="2005" spans="34:34" ht="15" thickBot="1" x14ac:dyDescent="0.4">
      <c r="AH2005" s="87"/>
    </row>
    <row r="2006" spans="34:34" ht="15" thickBot="1" x14ac:dyDescent="0.4">
      <c r="AH2006" s="87"/>
    </row>
    <row r="2007" spans="34:34" ht="15" thickBot="1" x14ac:dyDescent="0.4">
      <c r="AH2007" s="87"/>
    </row>
    <row r="2008" spans="34:34" ht="15" thickBot="1" x14ac:dyDescent="0.4">
      <c r="AH2008" s="87"/>
    </row>
    <row r="2009" spans="34:34" ht="15" thickBot="1" x14ac:dyDescent="0.4">
      <c r="AH2009" s="87"/>
    </row>
    <row r="2010" spans="34:34" ht="15" thickBot="1" x14ac:dyDescent="0.4">
      <c r="AH2010" s="87"/>
    </row>
    <row r="2011" spans="34:34" ht="15" thickBot="1" x14ac:dyDescent="0.4">
      <c r="AH2011" s="87"/>
    </row>
    <row r="2012" spans="34:34" ht="15" thickBot="1" x14ac:dyDescent="0.4">
      <c r="AH2012" s="87"/>
    </row>
    <row r="2013" spans="34:34" ht="15" thickBot="1" x14ac:dyDescent="0.4">
      <c r="AH2013" s="87"/>
    </row>
    <row r="2014" spans="34:34" ht="15" thickBot="1" x14ac:dyDescent="0.4">
      <c r="AH2014" s="87"/>
    </row>
    <row r="2015" spans="34:34" ht="15" thickBot="1" x14ac:dyDescent="0.4">
      <c r="AH2015" s="87"/>
    </row>
    <row r="2016" spans="34:34" ht="15" thickBot="1" x14ac:dyDescent="0.4">
      <c r="AH2016" s="87"/>
    </row>
    <row r="2017" spans="34:34" ht="15" thickBot="1" x14ac:dyDescent="0.4">
      <c r="AH2017" s="87"/>
    </row>
    <row r="2018" spans="34:34" ht="15" thickBot="1" x14ac:dyDescent="0.4">
      <c r="AH2018" s="87"/>
    </row>
    <row r="2019" spans="34:34" ht="15" thickBot="1" x14ac:dyDescent="0.4">
      <c r="AH2019" s="87"/>
    </row>
    <row r="2020" spans="34:34" ht="15" thickBot="1" x14ac:dyDescent="0.4">
      <c r="AH2020" s="87"/>
    </row>
    <row r="2021" spans="34:34" ht="15" thickBot="1" x14ac:dyDescent="0.4">
      <c r="AH2021" s="87"/>
    </row>
    <row r="2022" spans="34:34" ht="15" thickBot="1" x14ac:dyDescent="0.4">
      <c r="AH2022" s="87"/>
    </row>
    <row r="2023" spans="34:34" ht="15" thickBot="1" x14ac:dyDescent="0.4">
      <c r="AH2023" s="87"/>
    </row>
    <row r="2024" spans="34:34" ht="15" thickBot="1" x14ac:dyDescent="0.4">
      <c r="AH2024" s="87"/>
    </row>
    <row r="2025" spans="34:34" ht="15" thickBot="1" x14ac:dyDescent="0.4">
      <c r="AH2025" s="87"/>
    </row>
    <row r="2026" spans="34:34" ht="15" thickBot="1" x14ac:dyDescent="0.4">
      <c r="AH2026" s="87"/>
    </row>
    <row r="2027" spans="34:34" ht="15" thickBot="1" x14ac:dyDescent="0.4">
      <c r="AH2027" s="87"/>
    </row>
    <row r="2028" spans="34:34" ht="15" thickBot="1" x14ac:dyDescent="0.4">
      <c r="AH2028" s="87"/>
    </row>
    <row r="2029" spans="34:34" ht="15" thickBot="1" x14ac:dyDescent="0.4">
      <c r="AH2029" s="87"/>
    </row>
    <row r="2030" spans="34:34" ht="15" thickBot="1" x14ac:dyDescent="0.4">
      <c r="AH2030" s="87"/>
    </row>
    <row r="2031" spans="34:34" ht="15" thickBot="1" x14ac:dyDescent="0.4">
      <c r="AH2031" s="87"/>
    </row>
    <row r="2032" spans="34:34" ht="15" thickBot="1" x14ac:dyDescent="0.4">
      <c r="AH2032" s="87"/>
    </row>
    <row r="2033" spans="34:34" ht="15" thickBot="1" x14ac:dyDescent="0.4">
      <c r="AH2033" s="87"/>
    </row>
    <row r="2034" spans="34:34" ht="15" thickBot="1" x14ac:dyDescent="0.4">
      <c r="AH2034" s="87"/>
    </row>
    <row r="2035" spans="34:34" ht="15" thickBot="1" x14ac:dyDescent="0.4">
      <c r="AH2035" s="87"/>
    </row>
    <row r="2036" spans="34:34" ht="15" thickBot="1" x14ac:dyDescent="0.4">
      <c r="AH2036" s="87"/>
    </row>
    <row r="2037" spans="34:34" ht="15" thickBot="1" x14ac:dyDescent="0.4">
      <c r="AH2037" s="87"/>
    </row>
    <row r="2038" spans="34:34" ht="15" thickBot="1" x14ac:dyDescent="0.4">
      <c r="AH2038" s="87"/>
    </row>
    <row r="2039" spans="34:34" ht="15" thickBot="1" x14ac:dyDescent="0.4">
      <c r="AH2039" s="87"/>
    </row>
    <row r="2040" spans="34:34" ht="15" thickBot="1" x14ac:dyDescent="0.4">
      <c r="AH2040" s="87"/>
    </row>
    <row r="2041" spans="34:34" ht="15" thickBot="1" x14ac:dyDescent="0.4">
      <c r="AH2041" s="87"/>
    </row>
    <row r="2042" spans="34:34" ht="15" thickBot="1" x14ac:dyDescent="0.4">
      <c r="AH2042" s="87"/>
    </row>
    <row r="2043" spans="34:34" ht="15" thickBot="1" x14ac:dyDescent="0.4">
      <c r="AH2043" s="87"/>
    </row>
    <row r="2044" spans="34:34" ht="15" thickBot="1" x14ac:dyDescent="0.4">
      <c r="AH2044" s="87"/>
    </row>
    <row r="2045" spans="34:34" ht="15" thickBot="1" x14ac:dyDescent="0.4">
      <c r="AH2045" s="87"/>
    </row>
    <row r="2046" spans="34:34" ht="15" thickBot="1" x14ac:dyDescent="0.4">
      <c r="AH2046" s="87"/>
    </row>
    <row r="2047" spans="34:34" ht="15" thickBot="1" x14ac:dyDescent="0.4">
      <c r="AH2047" s="87"/>
    </row>
    <row r="2048" spans="34:34" ht="15" thickBot="1" x14ac:dyDescent="0.4">
      <c r="AH2048" s="87"/>
    </row>
    <row r="2049" spans="34:34" ht="15" thickBot="1" x14ac:dyDescent="0.4">
      <c r="AH2049" s="87"/>
    </row>
    <row r="2050" spans="34:34" ht="15" thickBot="1" x14ac:dyDescent="0.4">
      <c r="AH2050" s="87"/>
    </row>
    <row r="2051" spans="34:34" ht="15" thickBot="1" x14ac:dyDescent="0.4">
      <c r="AH2051" s="87"/>
    </row>
    <row r="2052" spans="34:34" ht="15" thickBot="1" x14ac:dyDescent="0.4">
      <c r="AH2052" s="87"/>
    </row>
    <row r="2053" spans="34:34" ht="15" thickBot="1" x14ac:dyDescent="0.4">
      <c r="AH2053" s="87"/>
    </row>
    <row r="2054" spans="34:34" ht="15" thickBot="1" x14ac:dyDescent="0.4">
      <c r="AH2054" s="87"/>
    </row>
    <row r="2055" spans="34:34" ht="15" thickBot="1" x14ac:dyDescent="0.4">
      <c r="AH2055" s="87"/>
    </row>
    <row r="2056" spans="34:34" ht="15" thickBot="1" x14ac:dyDescent="0.4">
      <c r="AH2056" s="87"/>
    </row>
    <row r="2057" spans="34:34" ht="15" thickBot="1" x14ac:dyDescent="0.4">
      <c r="AH2057" s="87"/>
    </row>
    <row r="2058" spans="34:34" ht="15" thickBot="1" x14ac:dyDescent="0.4">
      <c r="AH2058" s="87"/>
    </row>
    <row r="2059" spans="34:34" ht="15" thickBot="1" x14ac:dyDescent="0.4">
      <c r="AH2059" s="87"/>
    </row>
    <row r="2060" spans="34:34" ht="15" thickBot="1" x14ac:dyDescent="0.4">
      <c r="AH2060" s="87"/>
    </row>
    <row r="2061" spans="34:34" ht="15" thickBot="1" x14ac:dyDescent="0.4">
      <c r="AH2061" s="87"/>
    </row>
    <row r="2062" spans="34:34" ht="15" thickBot="1" x14ac:dyDescent="0.4">
      <c r="AH2062" s="87"/>
    </row>
    <row r="2063" spans="34:34" ht="15" thickBot="1" x14ac:dyDescent="0.4">
      <c r="AH2063" s="87"/>
    </row>
    <row r="2064" spans="34:34" ht="15" thickBot="1" x14ac:dyDescent="0.4">
      <c r="AH2064" s="87"/>
    </row>
    <row r="2065" spans="34:34" ht="15" thickBot="1" x14ac:dyDescent="0.4">
      <c r="AH2065" s="87"/>
    </row>
    <row r="2066" spans="34:34" ht="15" thickBot="1" x14ac:dyDescent="0.4">
      <c r="AH2066" s="87"/>
    </row>
    <row r="2067" spans="34:34" ht="15" thickBot="1" x14ac:dyDescent="0.4">
      <c r="AH2067" s="87"/>
    </row>
    <row r="2068" spans="34:34" ht="15" thickBot="1" x14ac:dyDescent="0.4">
      <c r="AH2068" s="87"/>
    </row>
    <row r="2069" spans="34:34" ht="15" thickBot="1" x14ac:dyDescent="0.4">
      <c r="AH2069" s="87"/>
    </row>
    <row r="2070" spans="34:34" ht="15" thickBot="1" x14ac:dyDescent="0.4">
      <c r="AH2070" s="87"/>
    </row>
    <row r="2071" spans="34:34" ht="15" thickBot="1" x14ac:dyDescent="0.4">
      <c r="AH2071" s="87"/>
    </row>
    <row r="2072" spans="34:34" ht="15" thickBot="1" x14ac:dyDescent="0.4">
      <c r="AH2072" s="87"/>
    </row>
    <row r="2073" spans="34:34" ht="15" thickBot="1" x14ac:dyDescent="0.4">
      <c r="AH2073" s="87"/>
    </row>
    <row r="2074" spans="34:34" ht="15" thickBot="1" x14ac:dyDescent="0.4">
      <c r="AH2074" s="87"/>
    </row>
    <row r="2075" spans="34:34" ht="15" thickBot="1" x14ac:dyDescent="0.4">
      <c r="AH2075" s="87"/>
    </row>
    <row r="2076" spans="34:34" ht="15" thickBot="1" x14ac:dyDescent="0.4">
      <c r="AH2076" s="87"/>
    </row>
    <row r="2077" spans="34:34" ht="15" thickBot="1" x14ac:dyDescent="0.4">
      <c r="AH2077" s="87"/>
    </row>
    <row r="2078" spans="34:34" ht="15" thickBot="1" x14ac:dyDescent="0.4">
      <c r="AH2078" s="87"/>
    </row>
    <row r="2079" spans="34:34" ht="15" thickBot="1" x14ac:dyDescent="0.4">
      <c r="AH2079" s="87"/>
    </row>
    <row r="2080" spans="34:34" ht="15" thickBot="1" x14ac:dyDescent="0.4">
      <c r="AH2080" s="87"/>
    </row>
    <row r="2081" spans="34:34" ht="15" thickBot="1" x14ac:dyDescent="0.4">
      <c r="AH2081" s="87"/>
    </row>
    <row r="2082" spans="34:34" ht="15" thickBot="1" x14ac:dyDescent="0.4">
      <c r="AH2082" s="87"/>
    </row>
    <row r="2083" spans="34:34" ht="15" thickBot="1" x14ac:dyDescent="0.4">
      <c r="AH2083" s="87"/>
    </row>
    <row r="2084" spans="34:34" ht="15" thickBot="1" x14ac:dyDescent="0.4">
      <c r="AH2084" s="87"/>
    </row>
    <row r="2085" spans="34:34" ht="15" thickBot="1" x14ac:dyDescent="0.4">
      <c r="AH2085" s="87"/>
    </row>
    <row r="2086" spans="34:34" ht="15" thickBot="1" x14ac:dyDescent="0.4">
      <c r="AH2086" s="87"/>
    </row>
    <row r="2087" spans="34:34" ht="15" thickBot="1" x14ac:dyDescent="0.4">
      <c r="AH2087" s="87"/>
    </row>
    <row r="2088" spans="34:34" ht="15" thickBot="1" x14ac:dyDescent="0.4">
      <c r="AH2088" s="87"/>
    </row>
    <row r="2089" spans="34:34" ht="15" thickBot="1" x14ac:dyDescent="0.4">
      <c r="AH2089" s="87"/>
    </row>
    <row r="2090" spans="34:34" ht="15" thickBot="1" x14ac:dyDescent="0.4">
      <c r="AH2090" s="87"/>
    </row>
    <row r="2091" spans="34:34" ht="15" thickBot="1" x14ac:dyDescent="0.4">
      <c r="AH2091" s="87"/>
    </row>
    <row r="2092" spans="34:34" ht="15" thickBot="1" x14ac:dyDescent="0.4">
      <c r="AH2092" s="87"/>
    </row>
    <row r="2093" spans="34:34" ht="15" thickBot="1" x14ac:dyDescent="0.4">
      <c r="AH2093" s="87"/>
    </row>
    <row r="2094" spans="34:34" ht="15" thickBot="1" x14ac:dyDescent="0.4">
      <c r="AH2094" s="87"/>
    </row>
    <row r="2095" spans="34:34" ht="15" thickBot="1" x14ac:dyDescent="0.4">
      <c r="AH2095" s="87"/>
    </row>
    <row r="2096" spans="34:34" ht="15" thickBot="1" x14ac:dyDescent="0.4">
      <c r="AH2096" s="87"/>
    </row>
    <row r="2097" spans="34:34" ht="15" thickBot="1" x14ac:dyDescent="0.4">
      <c r="AH2097" s="87"/>
    </row>
    <row r="2098" spans="34:34" ht="15" thickBot="1" x14ac:dyDescent="0.4">
      <c r="AH2098" s="87"/>
    </row>
    <row r="2099" spans="34:34" ht="15" thickBot="1" x14ac:dyDescent="0.4">
      <c r="AH2099" s="87"/>
    </row>
    <row r="2100" spans="34:34" ht="15" thickBot="1" x14ac:dyDescent="0.4">
      <c r="AH2100" s="87"/>
    </row>
    <row r="2101" spans="34:34" ht="15" thickBot="1" x14ac:dyDescent="0.4">
      <c r="AH2101" s="87"/>
    </row>
    <row r="2102" spans="34:34" ht="15" thickBot="1" x14ac:dyDescent="0.4">
      <c r="AH2102" s="87"/>
    </row>
    <row r="2103" spans="34:34" ht="15" thickBot="1" x14ac:dyDescent="0.4">
      <c r="AH2103" s="87"/>
    </row>
    <row r="2104" spans="34:34" ht="15" thickBot="1" x14ac:dyDescent="0.4">
      <c r="AH2104" s="87"/>
    </row>
    <row r="2105" spans="34:34" ht="15" thickBot="1" x14ac:dyDescent="0.4">
      <c r="AH2105" s="87"/>
    </row>
    <row r="2106" spans="34:34" ht="15" thickBot="1" x14ac:dyDescent="0.4">
      <c r="AH2106" s="87"/>
    </row>
    <row r="2107" spans="34:34" ht="15" thickBot="1" x14ac:dyDescent="0.4">
      <c r="AH2107" s="87"/>
    </row>
    <row r="2108" spans="34:34" ht="15" thickBot="1" x14ac:dyDescent="0.4">
      <c r="AH2108" s="87"/>
    </row>
    <row r="2109" spans="34:34" ht="15" thickBot="1" x14ac:dyDescent="0.4">
      <c r="AH2109" s="87"/>
    </row>
    <row r="2110" spans="34:34" ht="15" thickBot="1" x14ac:dyDescent="0.4">
      <c r="AH2110" s="87"/>
    </row>
    <row r="2111" spans="34:34" ht="15" thickBot="1" x14ac:dyDescent="0.4">
      <c r="AH2111" s="87"/>
    </row>
    <row r="2112" spans="34:34" ht="15" thickBot="1" x14ac:dyDescent="0.4">
      <c r="AH2112" s="87"/>
    </row>
    <row r="2113" spans="34:34" ht="15" thickBot="1" x14ac:dyDescent="0.4">
      <c r="AH2113" s="87"/>
    </row>
    <row r="2114" spans="34:34" ht="15" thickBot="1" x14ac:dyDescent="0.4">
      <c r="AH2114" s="87"/>
    </row>
    <row r="2115" spans="34:34" ht="15" thickBot="1" x14ac:dyDescent="0.4">
      <c r="AH2115" s="87"/>
    </row>
    <row r="2116" spans="34:34" ht="15" thickBot="1" x14ac:dyDescent="0.4">
      <c r="AH2116" s="87"/>
    </row>
    <row r="2117" spans="34:34" ht="15" thickBot="1" x14ac:dyDescent="0.4">
      <c r="AH2117" s="87"/>
    </row>
    <row r="2118" spans="34:34" ht="15" thickBot="1" x14ac:dyDescent="0.4">
      <c r="AH2118" s="87"/>
    </row>
    <row r="2119" spans="34:34" ht="15" thickBot="1" x14ac:dyDescent="0.4">
      <c r="AH2119" s="87"/>
    </row>
    <row r="2120" spans="34:34" ht="15" thickBot="1" x14ac:dyDescent="0.4">
      <c r="AH2120" s="87"/>
    </row>
    <row r="2121" spans="34:34" ht="15" thickBot="1" x14ac:dyDescent="0.4">
      <c r="AH2121" s="87"/>
    </row>
    <row r="2122" spans="34:34" ht="15" thickBot="1" x14ac:dyDescent="0.4">
      <c r="AH2122" s="87"/>
    </row>
    <row r="2123" spans="34:34" ht="15" thickBot="1" x14ac:dyDescent="0.4">
      <c r="AH2123" s="87"/>
    </row>
    <row r="2124" spans="34:34" ht="15" thickBot="1" x14ac:dyDescent="0.4">
      <c r="AH2124" s="87"/>
    </row>
    <row r="2125" spans="34:34" ht="15" thickBot="1" x14ac:dyDescent="0.4">
      <c r="AH2125" s="87"/>
    </row>
    <row r="2126" spans="34:34" ht="15" thickBot="1" x14ac:dyDescent="0.4">
      <c r="AH2126" s="87"/>
    </row>
    <row r="2127" spans="34:34" ht="15" thickBot="1" x14ac:dyDescent="0.4">
      <c r="AH2127" s="87"/>
    </row>
    <row r="2128" spans="34:34" ht="15" thickBot="1" x14ac:dyDescent="0.4">
      <c r="AH2128" s="87"/>
    </row>
    <row r="2129" spans="34:34" ht="15" thickBot="1" x14ac:dyDescent="0.4">
      <c r="AH2129" s="87"/>
    </row>
    <row r="2130" spans="34:34" ht="15" thickBot="1" x14ac:dyDescent="0.4">
      <c r="AH2130" s="87"/>
    </row>
    <row r="2131" spans="34:34" ht="15" thickBot="1" x14ac:dyDescent="0.4">
      <c r="AH2131" s="87"/>
    </row>
    <row r="2132" spans="34:34" ht="15" thickBot="1" x14ac:dyDescent="0.4">
      <c r="AH2132" s="87"/>
    </row>
    <row r="2133" spans="34:34" ht="15" thickBot="1" x14ac:dyDescent="0.4">
      <c r="AH2133" s="87"/>
    </row>
    <row r="2134" spans="34:34" ht="15" thickBot="1" x14ac:dyDescent="0.4">
      <c r="AH2134" s="87"/>
    </row>
    <row r="2135" spans="34:34" ht="15" thickBot="1" x14ac:dyDescent="0.4">
      <c r="AH2135" s="87"/>
    </row>
    <row r="2136" spans="34:34" ht="15" thickBot="1" x14ac:dyDescent="0.4">
      <c r="AH2136" s="87"/>
    </row>
    <row r="2137" spans="34:34" ht="15" thickBot="1" x14ac:dyDescent="0.4">
      <c r="AH2137" s="87"/>
    </row>
    <row r="2138" spans="34:34" ht="15" thickBot="1" x14ac:dyDescent="0.4">
      <c r="AH2138" s="87"/>
    </row>
    <row r="2139" spans="34:34" ht="15" thickBot="1" x14ac:dyDescent="0.4">
      <c r="AH2139" s="87"/>
    </row>
    <row r="2140" spans="34:34" ht="15" thickBot="1" x14ac:dyDescent="0.4">
      <c r="AH2140" s="87"/>
    </row>
    <row r="2141" spans="34:34" ht="15" thickBot="1" x14ac:dyDescent="0.4">
      <c r="AH2141" s="87"/>
    </row>
    <row r="2142" spans="34:34" ht="15" thickBot="1" x14ac:dyDescent="0.4">
      <c r="AH2142" s="87"/>
    </row>
    <row r="2143" spans="34:34" ht="15" thickBot="1" x14ac:dyDescent="0.4">
      <c r="AH2143" s="87"/>
    </row>
    <row r="2144" spans="34:34" ht="15" thickBot="1" x14ac:dyDescent="0.4">
      <c r="AH2144" s="87"/>
    </row>
    <row r="2145" spans="34:34" ht="15" thickBot="1" x14ac:dyDescent="0.4">
      <c r="AH2145" s="87"/>
    </row>
    <row r="2146" spans="34:34" ht="15" thickBot="1" x14ac:dyDescent="0.4">
      <c r="AH2146" s="87"/>
    </row>
    <row r="2147" spans="34:34" ht="15" thickBot="1" x14ac:dyDescent="0.4">
      <c r="AH2147" s="87"/>
    </row>
    <row r="2148" spans="34:34" ht="15" thickBot="1" x14ac:dyDescent="0.4">
      <c r="AH2148" s="87"/>
    </row>
    <row r="2149" spans="34:34" ht="15" thickBot="1" x14ac:dyDescent="0.4">
      <c r="AH2149" s="87"/>
    </row>
    <row r="2150" spans="34:34" ht="15" thickBot="1" x14ac:dyDescent="0.4">
      <c r="AH2150" s="87"/>
    </row>
    <row r="2151" spans="34:34" ht="15" thickBot="1" x14ac:dyDescent="0.4">
      <c r="AH2151" s="87"/>
    </row>
    <row r="2152" spans="34:34" ht="15" thickBot="1" x14ac:dyDescent="0.4">
      <c r="AH2152" s="87"/>
    </row>
    <row r="2153" spans="34:34" ht="15" thickBot="1" x14ac:dyDescent="0.4">
      <c r="AH2153" s="87"/>
    </row>
    <row r="2154" spans="34:34" ht="15" thickBot="1" x14ac:dyDescent="0.4">
      <c r="AH2154" s="87"/>
    </row>
    <row r="2155" spans="34:34" ht="15" thickBot="1" x14ac:dyDescent="0.4">
      <c r="AH2155" s="87"/>
    </row>
    <row r="2156" spans="34:34" ht="15" thickBot="1" x14ac:dyDescent="0.4">
      <c r="AH2156" s="87"/>
    </row>
    <row r="2157" spans="34:34" ht="15" thickBot="1" x14ac:dyDescent="0.4">
      <c r="AH2157" s="87"/>
    </row>
    <row r="2158" spans="34:34" ht="15" thickBot="1" x14ac:dyDescent="0.4">
      <c r="AH2158" s="87"/>
    </row>
    <row r="2159" spans="34:34" ht="15" thickBot="1" x14ac:dyDescent="0.4">
      <c r="AH2159" s="87"/>
    </row>
    <row r="2160" spans="34:34" ht="15" thickBot="1" x14ac:dyDescent="0.4">
      <c r="AH2160" s="87"/>
    </row>
    <row r="2161" spans="34:34" ht="15" thickBot="1" x14ac:dyDescent="0.4">
      <c r="AH2161" s="87"/>
    </row>
    <row r="2162" spans="34:34" ht="15" thickBot="1" x14ac:dyDescent="0.4">
      <c r="AH2162" s="87"/>
    </row>
    <row r="2163" spans="34:34" ht="15" thickBot="1" x14ac:dyDescent="0.4">
      <c r="AH2163" s="87"/>
    </row>
    <row r="2164" spans="34:34" ht="15" thickBot="1" x14ac:dyDescent="0.4">
      <c r="AH2164" s="87"/>
    </row>
    <row r="2165" spans="34:34" ht="15" thickBot="1" x14ac:dyDescent="0.4">
      <c r="AH2165" s="87"/>
    </row>
    <row r="2166" spans="34:34" ht="15" thickBot="1" x14ac:dyDescent="0.4">
      <c r="AH2166" s="87"/>
    </row>
    <row r="2167" spans="34:34" ht="15" thickBot="1" x14ac:dyDescent="0.4">
      <c r="AH2167" s="87"/>
    </row>
    <row r="2168" spans="34:34" ht="15" thickBot="1" x14ac:dyDescent="0.4">
      <c r="AH2168" s="87"/>
    </row>
    <row r="2169" spans="34:34" ht="15" thickBot="1" x14ac:dyDescent="0.4">
      <c r="AH2169" s="87"/>
    </row>
    <row r="2170" spans="34:34" ht="15" thickBot="1" x14ac:dyDescent="0.4">
      <c r="AH2170" s="87"/>
    </row>
    <row r="2171" spans="34:34" ht="15" thickBot="1" x14ac:dyDescent="0.4">
      <c r="AH2171" s="87"/>
    </row>
    <row r="2172" spans="34:34" ht="15" thickBot="1" x14ac:dyDescent="0.4">
      <c r="AH2172" s="87"/>
    </row>
    <row r="2173" spans="34:34" ht="15" thickBot="1" x14ac:dyDescent="0.4">
      <c r="AH2173" s="87"/>
    </row>
    <row r="2174" spans="34:34" ht="15" thickBot="1" x14ac:dyDescent="0.4">
      <c r="AH2174" s="87"/>
    </row>
    <row r="2175" spans="34:34" ht="15" thickBot="1" x14ac:dyDescent="0.4">
      <c r="AH2175" s="87"/>
    </row>
    <row r="2176" spans="34:34" ht="15" thickBot="1" x14ac:dyDescent="0.4">
      <c r="AH2176" s="87"/>
    </row>
    <row r="2177" spans="34:34" ht="15" thickBot="1" x14ac:dyDescent="0.4">
      <c r="AH2177" s="87"/>
    </row>
    <row r="2178" spans="34:34" ht="15" thickBot="1" x14ac:dyDescent="0.4">
      <c r="AH2178" s="87"/>
    </row>
    <row r="2179" spans="34:34" ht="15" thickBot="1" x14ac:dyDescent="0.4">
      <c r="AH2179" s="87"/>
    </row>
    <row r="2180" spans="34:34" ht="15" thickBot="1" x14ac:dyDescent="0.4">
      <c r="AH2180" s="87"/>
    </row>
    <row r="2181" spans="34:34" ht="15" thickBot="1" x14ac:dyDescent="0.4">
      <c r="AH2181" s="87"/>
    </row>
    <row r="2182" spans="34:34" ht="15" thickBot="1" x14ac:dyDescent="0.4">
      <c r="AH2182" s="87"/>
    </row>
    <row r="2183" spans="34:34" ht="15" thickBot="1" x14ac:dyDescent="0.4">
      <c r="AH2183" s="87"/>
    </row>
    <row r="2184" spans="34:34" ht="15" thickBot="1" x14ac:dyDescent="0.4">
      <c r="AH2184" s="87"/>
    </row>
    <row r="2185" spans="34:34" ht="15" thickBot="1" x14ac:dyDescent="0.4">
      <c r="AH2185" s="87"/>
    </row>
    <row r="2186" spans="34:34" ht="15" thickBot="1" x14ac:dyDescent="0.4">
      <c r="AH2186" s="87"/>
    </row>
    <row r="2187" spans="34:34" ht="15" thickBot="1" x14ac:dyDescent="0.4">
      <c r="AH2187" s="87"/>
    </row>
    <row r="2188" spans="34:34" ht="15" thickBot="1" x14ac:dyDescent="0.4">
      <c r="AH2188" s="87"/>
    </row>
    <row r="2189" spans="34:34" ht="15" thickBot="1" x14ac:dyDescent="0.4">
      <c r="AH2189" s="87"/>
    </row>
    <row r="2190" spans="34:34" ht="15" thickBot="1" x14ac:dyDescent="0.4">
      <c r="AH2190" s="87"/>
    </row>
    <row r="2191" spans="34:34" ht="15" thickBot="1" x14ac:dyDescent="0.4">
      <c r="AH2191" s="87"/>
    </row>
    <row r="2192" spans="34:34" ht="15" thickBot="1" x14ac:dyDescent="0.4">
      <c r="AH2192" s="87"/>
    </row>
    <row r="2193" spans="34:34" ht="15" thickBot="1" x14ac:dyDescent="0.4">
      <c r="AH2193" s="87"/>
    </row>
    <row r="2194" spans="34:34" ht="15" thickBot="1" x14ac:dyDescent="0.4">
      <c r="AH2194" s="87"/>
    </row>
    <row r="2195" spans="34:34" ht="15" thickBot="1" x14ac:dyDescent="0.4">
      <c r="AH2195" s="87"/>
    </row>
    <row r="2196" spans="34:34" ht="15" thickBot="1" x14ac:dyDescent="0.4">
      <c r="AH2196" s="87"/>
    </row>
    <row r="2197" spans="34:34" ht="15" thickBot="1" x14ac:dyDescent="0.4">
      <c r="AH2197" s="87"/>
    </row>
    <row r="2198" spans="34:34" ht="15" thickBot="1" x14ac:dyDescent="0.4">
      <c r="AH2198" s="87"/>
    </row>
    <row r="2199" spans="34:34" ht="15" thickBot="1" x14ac:dyDescent="0.4">
      <c r="AH2199" s="87"/>
    </row>
    <row r="2200" spans="34:34" ht="15" thickBot="1" x14ac:dyDescent="0.4">
      <c r="AH2200" s="87"/>
    </row>
    <row r="2201" spans="34:34" ht="15" thickBot="1" x14ac:dyDescent="0.4">
      <c r="AH2201" s="87"/>
    </row>
    <row r="2202" spans="34:34" ht="15" thickBot="1" x14ac:dyDescent="0.4">
      <c r="AH2202" s="87"/>
    </row>
    <row r="2203" spans="34:34" ht="15" thickBot="1" x14ac:dyDescent="0.4">
      <c r="AH2203" s="87"/>
    </row>
    <row r="2204" spans="34:34" ht="15" thickBot="1" x14ac:dyDescent="0.4">
      <c r="AH2204" s="87"/>
    </row>
    <row r="2205" spans="34:34" ht="15" thickBot="1" x14ac:dyDescent="0.4">
      <c r="AH2205" s="87"/>
    </row>
    <row r="2206" spans="34:34" ht="15" thickBot="1" x14ac:dyDescent="0.4">
      <c r="AH2206" s="87"/>
    </row>
    <row r="2207" spans="34:34" ht="15" thickBot="1" x14ac:dyDescent="0.4">
      <c r="AH2207" s="87"/>
    </row>
    <row r="2208" spans="34:34" ht="15" thickBot="1" x14ac:dyDescent="0.4">
      <c r="AH2208" s="87"/>
    </row>
    <row r="2209" spans="34:34" ht="15" thickBot="1" x14ac:dyDescent="0.4">
      <c r="AH2209" s="87"/>
    </row>
    <row r="2210" spans="34:34" ht="15" thickBot="1" x14ac:dyDescent="0.4">
      <c r="AH2210" s="87"/>
    </row>
    <row r="2211" spans="34:34" ht="15" thickBot="1" x14ac:dyDescent="0.4">
      <c r="AH2211" s="87"/>
    </row>
    <row r="2212" spans="34:34" ht="15" thickBot="1" x14ac:dyDescent="0.4">
      <c r="AH2212" s="87"/>
    </row>
    <row r="2213" spans="34:34" ht="15" thickBot="1" x14ac:dyDescent="0.4">
      <c r="AH2213" s="87"/>
    </row>
    <row r="2214" spans="34:34" ht="15" thickBot="1" x14ac:dyDescent="0.4">
      <c r="AH2214" s="87"/>
    </row>
    <row r="2215" spans="34:34" ht="15" thickBot="1" x14ac:dyDescent="0.4">
      <c r="AH2215" s="87"/>
    </row>
    <row r="2216" spans="34:34" ht="15" thickBot="1" x14ac:dyDescent="0.4">
      <c r="AH2216" s="87"/>
    </row>
    <row r="2217" spans="34:34" ht="15" thickBot="1" x14ac:dyDescent="0.4">
      <c r="AH2217" s="87"/>
    </row>
    <row r="2218" spans="34:34" ht="15" thickBot="1" x14ac:dyDescent="0.4">
      <c r="AH2218" s="87"/>
    </row>
    <row r="2219" spans="34:34" ht="15" thickBot="1" x14ac:dyDescent="0.4">
      <c r="AH2219" s="87"/>
    </row>
    <row r="2220" spans="34:34" ht="15" thickBot="1" x14ac:dyDescent="0.4">
      <c r="AH2220" s="87"/>
    </row>
    <row r="2221" spans="34:34" ht="15" thickBot="1" x14ac:dyDescent="0.4">
      <c r="AH2221" s="87"/>
    </row>
    <row r="2222" spans="34:34" ht="15" thickBot="1" x14ac:dyDescent="0.4">
      <c r="AH2222" s="87"/>
    </row>
    <row r="2223" spans="34:34" ht="15" thickBot="1" x14ac:dyDescent="0.4">
      <c r="AH2223" s="87"/>
    </row>
    <row r="2224" spans="34:34" ht="15" thickBot="1" x14ac:dyDescent="0.4">
      <c r="AH2224" s="87"/>
    </row>
    <row r="2225" spans="34:34" ht="15" thickBot="1" x14ac:dyDescent="0.4">
      <c r="AH2225" s="87"/>
    </row>
    <row r="2226" spans="34:34" ht="15" thickBot="1" x14ac:dyDescent="0.4">
      <c r="AH2226" s="87"/>
    </row>
    <row r="2227" spans="34:34" ht="15" thickBot="1" x14ac:dyDescent="0.4">
      <c r="AH2227" s="87"/>
    </row>
    <row r="2228" spans="34:34" ht="15" thickBot="1" x14ac:dyDescent="0.4">
      <c r="AH2228" s="87"/>
    </row>
    <row r="2229" spans="34:34" ht="15" thickBot="1" x14ac:dyDescent="0.4">
      <c r="AH2229" s="87"/>
    </row>
    <row r="2230" spans="34:34" ht="15" thickBot="1" x14ac:dyDescent="0.4">
      <c r="AH2230" s="87"/>
    </row>
    <row r="2231" spans="34:34" ht="15" thickBot="1" x14ac:dyDescent="0.4">
      <c r="AH2231" s="87"/>
    </row>
    <row r="2232" spans="34:34" ht="15" thickBot="1" x14ac:dyDescent="0.4">
      <c r="AH2232" s="87"/>
    </row>
    <row r="2233" spans="34:34" ht="15" thickBot="1" x14ac:dyDescent="0.4">
      <c r="AH2233" s="87"/>
    </row>
    <row r="2234" spans="34:34" ht="15" thickBot="1" x14ac:dyDescent="0.4">
      <c r="AH2234" s="87"/>
    </row>
    <row r="2235" spans="34:34" ht="15" thickBot="1" x14ac:dyDescent="0.4">
      <c r="AH2235" s="87"/>
    </row>
    <row r="2236" spans="34:34" ht="15" thickBot="1" x14ac:dyDescent="0.4">
      <c r="AH2236" s="87"/>
    </row>
    <row r="2237" spans="34:34" ht="15" thickBot="1" x14ac:dyDescent="0.4">
      <c r="AH2237" s="87"/>
    </row>
    <row r="2238" spans="34:34" ht="15" thickBot="1" x14ac:dyDescent="0.4">
      <c r="AH2238" s="87"/>
    </row>
    <row r="2239" spans="34:34" ht="15" thickBot="1" x14ac:dyDescent="0.4">
      <c r="AH2239" s="87"/>
    </row>
    <row r="2240" spans="34:34" ht="15" thickBot="1" x14ac:dyDescent="0.4">
      <c r="AH2240" s="87"/>
    </row>
    <row r="2241" spans="34:34" ht="15" thickBot="1" x14ac:dyDescent="0.4">
      <c r="AH2241" s="87"/>
    </row>
    <row r="2242" spans="34:34" ht="15" thickBot="1" x14ac:dyDescent="0.4">
      <c r="AH2242" s="87"/>
    </row>
    <row r="2243" spans="34:34" ht="15" thickBot="1" x14ac:dyDescent="0.4">
      <c r="AH2243" s="87"/>
    </row>
    <row r="2244" spans="34:34" ht="15" thickBot="1" x14ac:dyDescent="0.4">
      <c r="AH2244" s="87"/>
    </row>
    <row r="2245" spans="34:34" ht="15" thickBot="1" x14ac:dyDescent="0.4">
      <c r="AH2245" s="87"/>
    </row>
    <row r="2246" spans="34:34" ht="15" thickBot="1" x14ac:dyDescent="0.4">
      <c r="AH2246" s="87"/>
    </row>
    <row r="2247" spans="34:34" ht="15" thickBot="1" x14ac:dyDescent="0.4">
      <c r="AH2247" s="87"/>
    </row>
    <row r="2248" spans="34:34" ht="15" thickBot="1" x14ac:dyDescent="0.4">
      <c r="AH2248" s="87"/>
    </row>
    <row r="2249" spans="34:34" ht="15" thickBot="1" x14ac:dyDescent="0.4">
      <c r="AH2249" s="87"/>
    </row>
    <row r="2250" spans="34:34" ht="15" thickBot="1" x14ac:dyDescent="0.4">
      <c r="AH2250" s="87"/>
    </row>
    <row r="2251" spans="34:34" ht="15" thickBot="1" x14ac:dyDescent="0.4">
      <c r="AH2251" s="87"/>
    </row>
    <row r="2252" spans="34:34" ht="15" thickBot="1" x14ac:dyDescent="0.4">
      <c r="AH2252" s="87"/>
    </row>
    <row r="2253" spans="34:34" ht="15" thickBot="1" x14ac:dyDescent="0.4">
      <c r="AH2253" s="87"/>
    </row>
    <row r="2254" spans="34:34" ht="15" thickBot="1" x14ac:dyDescent="0.4">
      <c r="AH2254" s="87"/>
    </row>
    <row r="2255" spans="34:34" ht="15" thickBot="1" x14ac:dyDescent="0.4">
      <c r="AH2255" s="87"/>
    </row>
    <row r="2256" spans="34:34" ht="15" thickBot="1" x14ac:dyDescent="0.4">
      <c r="AH2256" s="87"/>
    </row>
    <row r="2257" spans="34:34" ht="15" thickBot="1" x14ac:dyDescent="0.4">
      <c r="AH2257" s="87"/>
    </row>
    <row r="2258" spans="34:34" ht="15" thickBot="1" x14ac:dyDescent="0.4">
      <c r="AH2258" s="87"/>
    </row>
    <row r="2259" spans="34:34" ht="15" thickBot="1" x14ac:dyDescent="0.4">
      <c r="AH2259" s="87"/>
    </row>
    <row r="2260" spans="34:34" ht="15" thickBot="1" x14ac:dyDescent="0.4">
      <c r="AH2260" s="87"/>
    </row>
    <row r="2261" spans="34:34" ht="15" thickBot="1" x14ac:dyDescent="0.4">
      <c r="AH2261" s="87"/>
    </row>
    <row r="2262" spans="34:34" ht="15" thickBot="1" x14ac:dyDescent="0.4">
      <c r="AH2262" s="87"/>
    </row>
    <row r="2263" spans="34:34" ht="15" thickBot="1" x14ac:dyDescent="0.4">
      <c r="AH2263" s="87"/>
    </row>
    <row r="2264" spans="34:34" ht="15" thickBot="1" x14ac:dyDescent="0.4">
      <c r="AH2264" s="87"/>
    </row>
    <row r="2265" spans="34:34" ht="15" thickBot="1" x14ac:dyDescent="0.4">
      <c r="AH2265" s="87"/>
    </row>
    <row r="2266" spans="34:34" ht="15" thickBot="1" x14ac:dyDescent="0.4">
      <c r="AH2266" s="87"/>
    </row>
    <row r="2267" spans="34:34" ht="15" thickBot="1" x14ac:dyDescent="0.4">
      <c r="AH2267" s="87"/>
    </row>
    <row r="2268" spans="34:34" ht="15" thickBot="1" x14ac:dyDescent="0.4">
      <c r="AH2268" s="87"/>
    </row>
    <row r="2269" spans="34:34" ht="15" thickBot="1" x14ac:dyDescent="0.4">
      <c r="AH2269" s="87"/>
    </row>
    <row r="2270" spans="34:34" ht="15" thickBot="1" x14ac:dyDescent="0.4">
      <c r="AH2270" s="87"/>
    </row>
    <row r="2271" spans="34:34" ht="15" thickBot="1" x14ac:dyDescent="0.4">
      <c r="AH2271" s="87"/>
    </row>
    <row r="2272" spans="34:34" ht="15" thickBot="1" x14ac:dyDescent="0.4">
      <c r="AH2272" s="87"/>
    </row>
    <row r="2273" spans="34:34" ht="15" thickBot="1" x14ac:dyDescent="0.4">
      <c r="AH2273" s="87"/>
    </row>
    <row r="2274" spans="34:34" ht="15" thickBot="1" x14ac:dyDescent="0.4">
      <c r="AH2274" s="87"/>
    </row>
    <row r="2275" spans="34:34" ht="15" thickBot="1" x14ac:dyDescent="0.4">
      <c r="AH2275" s="87"/>
    </row>
    <row r="2276" spans="34:34" ht="15" thickBot="1" x14ac:dyDescent="0.4">
      <c r="AH2276" s="87"/>
    </row>
    <row r="2277" spans="34:34" ht="15" thickBot="1" x14ac:dyDescent="0.4">
      <c r="AH2277" s="87"/>
    </row>
    <row r="2278" spans="34:34" ht="15" thickBot="1" x14ac:dyDescent="0.4">
      <c r="AH2278" s="87"/>
    </row>
    <row r="2279" spans="34:34" ht="15" thickBot="1" x14ac:dyDescent="0.4">
      <c r="AH2279" s="87"/>
    </row>
    <row r="2280" spans="34:34" ht="15" thickBot="1" x14ac:dyDescent="0.4">
      <c r="AH2280" s="87"/>
    </row>
    <row r="2281" spans="34:34" ht="15" thickBot="1" x14ac:dyDescent="0.4">
      <c r="AH2281" s="87"/>
    </row>
    <row r="2282" spans="34:34" ht="15" thickBot="1" x14ac:dyDescent="0.4">
      <c r="AH2282" s="87"/>
    </row>
    <row r="2283" spans="34:34" ht="15" thickBot="1" x14ac:dyDescent="0.4">
      <c r="AH2283" s="87"/>
    </row>
    <row r="2284" spans="34:34" ht="15" thickBot="1" x14ac:dyDescent="0.4">
      <c r="AH2284" s="87"/>
    </row>
    <row r="2285" spans="34:34" ht="15" thickBot="1" x14ac:dyDescent="0.4">
      <c r="AH2285" s="87"/>
    </row>
    <row r="2286" spans="34:34" ht="15" thickBot="1" x14ac:dyDescent="0.4">
      <c r="AH2286" s="87"/>
    </row>
    <row r="2287" spans="34:34" ht="15" thickBot="1" x14ac:dyDescent="0.4">
      <c r="AH2287" s="87"/>
    </row>
    <row r="2288" spans="34:34" ht="15" thickBot="1" x14ac:dyDescent="0.4">
      <c r="AH2288" s="87"/>
    </row>
    <row r="2289" spans="34:34" ht="15" thickBot="1" x14ac:dyDescent="0.4">
      <c r="AH2289" s="87"/>
    </row>
    <row r="2290" spans="34:34" ht="15" thickBot="1" x14ac:dyDescent="0.4">
      <c r="AH2290" s="87"/>
    </row>
    <row r="2291" spans="34:34" ht="15" thickBot="1" x14ac:dyDescent="0.4">
      <c r="AH2291" s="87"/>
    </row>
    <row r="2292" spans="34:34" ht="15" thickBot="1" x14ac:dyDescent="0.4">
      <c r="AH2292" s="87"/>
    </row>
    <row r="2293" spans="34:34" ht="15" thickBot="1" x14ac:dyDescent="0.4">
      <c r="AH2293" s="87"/>
    </row>
    <row r="2294" spans="34:34" ht="15" thickBot="1" x14ac:dyDescent="0.4">
      <c r="AH2294" s="87"/>
    </row>
    <row r="2295" spans="34:34" ht="15" thickBot="1" x14ac:dyDescent="0.4">
      <c r="AH2295" s="87"/>
    </row>
    <row r="2296" spans="34:34" ht="15" thickBot="1" x14ac:dyDescent="0.4">
      <c r="AH2296" s="87"/>
    </row>
    <row r="2297" spans="34:34" ht="15" thickBot="1" x14ac:dyDescent="0.4">
      <c r="AH2297" s="87"/>
    </row>
    <row r="2298" spans="34:34" ht="15" thickBot="1" x14ac:dyDescent="0.4">
      <c r="AH2298" s="87"/>
    </row>
    <row r="2299" spans="34:34" ht="15" thickBot="1" x14ac:dyDescent="0.4">
      <c r="AH2299" s="87"/>
    </row>
    <row r="2300" spans="34:34" ht="15" thickBot="1" x14ac:dyDescent="0.4">
      <c r="AH2300" s="87"/>
    </row>
    <row r="2301" spans="34:34" ht="15" thickBot="1" x14ac:dyDescent="0.4">
      <c r="AH2301" s="87"/>
    </row>
    <row r="2302" spans="34:34" ht="15" thickBot="1" x14ac:dyDescent="0.4">
      <c r="AH2302" s="87"/>
    </row>
    <row r="2303" spans="34:34" ht="15" thickBot="1" x14ac:dyDescent="0.4">
      <c r="AH2303" s="87"/>
    </row>
    <row r="2304" spans="34:34" ht="15" thickBot="1" x14ac:dyDescent="0.4">
      <c r="AH2304" s="87"/>
    </row>
    <row r="2305" spans="34:34" ht="15" thickBot="1" x14ac:dyDescent="0.4">
      <c r="AH2305" s="87"/>
    </row>
    <row r="2306" spans="34:34" ht="15" thickBot="1" x14ac:dyDescent="0.4">
      <c r="AH2306" s="87"/>
    </row>
    <row r="2307" spans="34:34" ht="15" thickBot="1" x14ac:dyDescent="0.4">
      <c r="AH2307" s="87"/>
    </row>
    <row r="2308" spans="34:34" ht="15" thickBot="1" x14ac:dyDescent="0.4">
      <c r="AH2308" s="87"/>
    </row>
    <row r="2309" spans="34:34" ht="15" thickBot="1" x14ac:dyDescent="0.4">
      <c r="AH2309" s="87"/>
    </row>
    <row r="2310" spans="34:34" ht="15" thickBot="1" x14ac:dyDescent="0.4">
      <c r="AH2310" s="87"/>
    </row>
    <row r="2311" spans="34:34" ht="15" thickBot="1" x14ac:dyDescent="0.4">
      <c r="AH2311" s="87"/>
    </row>
    <row r="2312" spans="34:34" ht="15" thickBot="1" x14ac:dyDescent="0.4">
      <c r="AH2312" s="87"/>
    </row>
    <row r="2313" spans="34:34" ht="15" thickBot="1" x14ac:dyDescent="0.4">
      <c r="AH2313" s="87"/>
    </row>
    <row r="2314" spans="34:34" ht="15" thickBot="1" x14ac:dyDescent="0.4">
      <c r="AH2314" s="87"/>
    </row>
    <row r="2315" spans="34:34" ht="15" thickBot="1" x14ac:dyDescent="0.4">
      <c r="AH2315" s="87"/>
    </row>
    <row r="2316" spans="34:34" ht="15" thickBot="1" x14ac:dyDescent="0.4">
      <c r="AH2316" s="87"/>
    </row>
    <row r="2317" spans="34:34" ht="15" thickBot="1" x14ac:dyDescent="0.4">
      <c r="AH2317" s="87"/>
    </row>
    <row r="2318" spans="34:34" ht="15" thickBot="1" x14ac:dyDescent="0.4">
      <c r="AH2318" s="87"/>
    </row>
    <row r="2319" spans="34:34" ht="15" thickBot="1" x14ac:dyDescent="0.4">
      <c r="AH2319" s="87"/>
    </row>
    <row r="2320" spans="34:34" ht="15" thickBot="1" x14ac:dyDescent="0.4">
      <c r="AH2320" s="87"/>
    </row>
    <row r="2321" spans="34:34" ht="15" thickBot="1" x14ac:dyDescent="0.4">
      <c r="AH2321" s="87"/>
    </row>
    <row r="2322" spans="34:34" ht="15" thickBot="1" x14ac:dyDescent="0.4">
      <c r="AH2322" s="87"/>
    </row>
    <row r="2323" spans="34:34" ht="15" thickBot="1" x14ac:dyDescent="0.4">
      <c r="AH2323" s="87"/>
    </row>
    <row r="2324" spans="34:34" ht="15" thickBot="1" x14ac:dyDescent="0.4">
      <c r="AH2324" s="87"/>
    </row>
    <row r="2325" spans="34:34" ht="15" thickBot="1" x14ac:dyDescent="0.4">
      <c r="AH2325" s="87"/>
    </row>
    <row r="2326" spans="34:34" ht="15" thickBot="1" x14ac:dyDescent="0.4">
      <c r="AH2326" s="87"/>
    </row>
    <row r="2327" spans="34:34" ht="15" thickBot="1" x14ac:dyDescent="0.4">
      <c r="AH2327" s="87"/>
    </row>
    <row r="2328" spans="34:34" ht="15" thickBot="1" x14ac:dyDescent="0.4">
      <c r="AH2328" s="87"/>
    </row>
    <row r="2329" spans="34:34" ht="15" thickBot="1" x14ac:dyDescent="0.4">
      <c r="AH2329" s="87"/>
    </row>
    <row r="2330" spans="34:34" ht="15" thickBot="1" x14ac:dyDescent="0.4">
      <c r="AH2330" s="87"/>
    </row>
    <row r="2331" spans="34:34" ht="15" thickBot="1" x14ac:dyDescent="0.4">
      <c r="AH2331" s="87"/>
    </row>
    <row r="2332" spans="34:34" ht="15" thickBot="1" x14ac:dyDescent="0.4">
      <c r="AH2332" s="87"/>
    </row>
    <row r="2333" spans="34:34" ht="15" thickBot="1" x14ac:dyDescent="0.4">
      <c r="AH2333" s="87"/>
    </row>
    <row r="2334" spans="34:34" ht="15" thickBot="1" x14ac:dyDescent="0.4">
      <c r="AH2334" s="87"/>
    </row>
    <row r="2335" spans="34:34" ht="15" thickBot="1" x14ac:dyDescent="0.4">
      <c r="AH2335" s="87"/>
    </row>
    <row r="2336" spans="34:34" ht="15" thickBot="1" x14ac:dyDescent="0.4">
      <c r="AH2336" s="87"/>
    </row>
    <row r="2337" spans="34:34" ht="15" thickBot="1" x14ac:dyDescent="0.4">
      <c r="AH2337" s="87"/>
    </row>
    <row r="2338" spans="34:34" ht="15" thickBot="1" x14ac:dyDescent="0.4">
      <c r="AH2338" s="87"/>
    </row>
    <row r="2339" spans="34:34" ht="15" thickBot="1" x14ac:dyDescent="0.4">
      <c r="AH2339" s="87"/>
    </row>
    <row r="2340" spans="34:34" ht="15" thickBot="1" x14ac:dyDescent="0.4">
      <c r="AH2340" s="87"/>
    </row>
    <row r="2341" spans="34:34" ht="15" thickBot="1" x14ac:dyDescent="0.4">
      <c r="AH2341" s="87"/>
    </row>
    <row r="2342" spans="34:34" ht="15" thickBot="1" x14ac:dyDescent="0.4">
      <c r="AH2342" s="87"/>
    </row>
    <row r="2343" spans="34:34" ht="15" thickBot="1" x14ac:dyDescent="0.4">
      <c r="AH2343" s="87"/>
    </row>
    <row r="2344" spans="34:34" ht="15" thickBot="1" x14ac:dyDescent="0.4">
      <c r="AH2344" s="87"/>
    </row>
    <row r="2345" spans="34:34" ht="15" thickBot="1" x14ac:dyDescent="0.4">
      <c r="AH2345" s="87"/>
    </row>
    <row r="2346" spans="34:34" ht="15" thickBot="1" x14ac:dyDescent="0.4">
      <c r="AH2346" s="87"/>
    </row>
    <row r="2347" spans="34:34" ht="15" thickBot="1" x14ac:dyDescent="0.4">
      <c r="AH2347" s="87"/>
    </row>
    <row r="2348" spans="34:34" ht="15" thickBot="1" x14ac:dyDescent="0.4">
      <c r="AH2348" s="87"/>
    </row>
    <row r="2349" spans="34:34" ht="15" thickBot="1" x14ac:dyDescent="0.4">
      <c r="AH2349" s="87"/>
    </row>
    <row r="2350" spans="34:34" ht="15" thickBot="1" x14ac:dyDescent="0.4">
      <c r="AH2350" s="87"/>
    </row>
    <row r="2351" spans="34:34" ht="15" thickBot="1" x14ac:dyDescent="0.4">
      <c r="AH2351" s="87"/>
    </row>
    <row r="2352" spans="34:34" ht="15" thickBot="1" x14ac:dyDescent="0.4">
      <c r="AH2352" s="87"/>
    </row>
    <row r="2353" spans="34:34" ht="15" thickBot="1" x14ac:dyDescent="0.4">
      <c r="AH2353" s="87"/>
    </row>
    <row r="2354" spans="34:34" ht="15" thickBot="1" x14ac:dyDescent="0.4">
      <c r="AH2354" s="87"/>
    </row>
    <row r="2355" spans="34:34" ht="15" thickBot="1" x14ac:dyDescent="0.4">
      <c r="AH2355" s="87"/>
    </row>
    <row r="2356" spans="34:34" ht="15" thickBot="1" x14ac:dyDescent="0.4">
      <c r="AH2356" s="87"/>
    </row>
    <row r="2357" spans="34:34" ht="15" thickBot="1" x14ac:dyDescent="0.4">
      <c r="AH2357" s="87"/>
    </row>
    <row r="2358" spans="34:34" ht="15" thickBot="1" x14ac:dyDescent="0.4">
      <c r="AH2358" s="87"/>
    </row>
    <row r="2359" spans="34:34" ht="15" thickBot="1" x14ac:dyDescent="0.4">
      <c r="AH2359" s="87"/>
    </row>
    <row r="2360" spans="34:34" ht="15" thickBot="1" x14ac:dyDescent="0.4">
      <c r="AH2360" s="87"/>
    </row>
    <row r="2361" spans="34:34" ht="15" thickBot="1" x14ac:dyDescent="0.4">
      <c r="AH2361" s="87"/>
    </row>
    <row r="2362" spans="34:34" ht="15" thickBot="1" x14ac:dyDescent="0.4">
      <c r="AH2362" s="87"/>
    </row>
    <row r="2363" spans="34:34" ht="15" thickBot="1" x14ac:dyDescent="0.4">
      <c r="AH2363" s="87"/>
    </row>
    <row r="2364" spans="34:34" ht="15" thickBot="1" x14ac:dyDescent="0.4">
      <c r="AH2364" s="87"/>
    </row>
    <row r="2365" spans="34:34" ht="15" thickBot="1" x14ac:dyDescent="0.4">
      <c r="AH2365" s="87"/>
    </row>
    <row r="2366" spans="34:34" ht="15" thickBot="1" x14ac:dyDescent="0.4">
      <c r="AH2366" s="87"/>
    </row>
    <row r="2367" spans="34:34" ht="15" thickBot="1" x14ac:dyDescent="0.4">
      <c r="AH2367" s="87"/>
    </row>
    <row r="2368" spans="34:34" ht="15" thickBot="1" x14ac:dyDescent="0.4">
      <c r="AH2368" s="87"/>
    </row>
    <row r="2369" spans="34:34" ht="15" thickBot="1" x14ac:dyDescent="0.4">
      <c r="AH2369" s="87"/>
    </row>
    <row r="2370" spans="34:34" ht="15" thickBot="1" x14ac:dyDescent="0.4">
      <c r="AH2370" s="87"/>
    </row>
    <row r="2371" spans="34:34" ht="15" thickBot="1" x14ac:dyDescent="0.4">
      <c r="AH2371" s="87"/>
    </row>
    <row r="2372" spans="34:34" ht="15" thickBot="1" x14ac:dyDescent="0.4">
      <c r="AH2372" s="87"/>
    </row>
    <row r="2373" spans="34:34" ht="15" thickBot="1" x14ac:dyDescent="0.4">
      <c r="AH2373" s="87"/>
    </row>
    <row r="2374" spans="34:34" ht="15" thickBot="1" x14ac:dyDescent="0.4">
      <c r="AH2374" s="87"/>
    </row>
    <row r="2375" spans="34:34" ht="15" thickBot="1" x14ac:dyDescent="0.4">
      <c r="AH2375" s="87"/>
    </row>
    <row r="2376" spans="34:34" ht="15" thickBot="1" x14ac:dyDescent="0.4">
      <c r="AH2376" s="87"/>
    </row>
    <row r="2377" spans="34:34" ht="15" thickBot="1" x14ac:dyDescent="0.4">
      <c r="AH2377" s="87"/>
    </row>
    <row r="2378" spans="34:34" ht="15" thickBot="1" x14ac:dyDescent="0.4">
      <c r="AH2378" s="87"/>
    </row>
    <row r="2379" spans="34:34" ht="15" thickBot="1" x14ac:dyDescent="0.4">
      <c r="AH2379" s="87"/>
    </row>
    <row r="2380" spans="34:34" ht="15" thickBot="1" x14ac:dyDescent="0.4">
      <c r="AH2380" s="87"/>
    </row>
    <row r="2381" spans="34:34" ht="15" thickBot="1" x14ac:dyDescent="0.4">
      <c r="AH2381" s="87"/>
    </row>
    <row r="2382" spans="34:34" ht="15" thickBot="1" x14ac:dyDescent="0.4">
      <c r="AH2382" s="87"/>
    </row>
    <row r="2383" spans="34:34" ht="15" thickBot="1" x14ac:dyDescent="0.4">
      <c r="AH2383" s="87"/>
    </row>
    <row r="2384" spans="34:34" ht="15" thickBot="1" x14ac:dyDescent="0.4">
      <c r="AH2384" s="87"/>
    </row>
    <row r="2385" spans="34:34" ht="15" thickBot="1" x14ac:dyDescent="0.4">
      <c r="AH2385" s="87"/>
    </row>
    <row r="2386" spans="34:34" ht="15" thickBot="1" x14ac:dyDescent="0.4">
      <c r="AH2386" s="87"/>
    </row>
    <row r="2387" spans="34:34" ht="15" thickBot="1" x14ac:dyDescent="0.4">
      <c r="AH2387" s="87"/>
    </row>
    <row r="2388" spans="34:34" ht="15" thickBot="1" x14ac:dyDescent="0.4">
      <c r="AH2388" s="87"/>
    </row>
    <row r="2389" spans="34:34" ht="15" thickBot="1" x14ac:dyDescent="0.4">
      <c r="AH2389" s="87"/>
    </row>
    <row r="2390" spans="34:34" ht="15" thickBot="1" x14ac:dyDescent="0.4">
      <c r="AH2390" s="87"/>
    </row>
    <row r="2391" spans="34:34" ht="15" thickBot="1" x14ac:dyDescent="0.4">
      <c r="AH2391" s="87"/>
    </row>
    <row r="2392" spans="34:34" ht="15" thickBot="1" x14ac:dyDescent="0.4">
      <c r="AH2392" s="87"/>
    </row>
    <row r="2393" spans="34:34" ht="15" thickBot="1" x14ac:dyDescent="0.4">
      <c r="AH2393" s="87"/>
    </row>
    <row r="2394" spans="34:34" ht="15" thickBot="1" x14ac:dyDescent="0.4">
      <c r="AH2394" s="87"/>
    </row>
    <row r="2395" spans="34:34" ht="15" thickBot="1" x14ac:dyDescent="0.4">
      <c r="AH2395" s="87"/>
    </row>
    <row r="2396" spans="34:34" ht="15" thickBot="1" x14ac:dyDescent="0.4">
      <c r="AH2396" s="87"/>
    </row>
    <row r="2397" spans="34:34" ht="15" thickBot="1" x14ac:dyDescent="0.4">
      <c r="AH2397" s="87"/>
    </row>
    <row r="2398" spans="34:34" ht="15" thickBot="1" x14ac:dyDescent="0.4">
      <c r="AH2398" s="87"/>
    </row>
    <row r="2399" spans="34:34" ht="15" thickBot="1" x14ac:dyDescent="0.4">
      <c r="AH2399" s="87"/>
    </row>
    <row r="2400" spans="34:34" ht="15" thickBot="1" x14ac:dyDescent="0.4">
      <c r="AH2400" s="87"/>
    </row>
    <row r="2401" spans="34:34" ht="15" thickBot="1" x14ac:dyDescent="0.4">
      <c r="AH2401" s="87"/>
    </row>
    <row r="2402" spans="34:34" ht="15" thickBot="1" x14ac:dyDescent="0.4">
      <c r="AH2402" s="87"/>
    </row>
    <row r="2403" spans="34:34" ht="15" thickBot="1" x14ac:dyDescent="0.4">
      <c r="AH2403" s="87"/>
    </row>
    <row r="2404" spans="34:34" ht="15" thickBot="1" x14ac:dyDescent="0.4">
      <c r="AH2404" s="87"/>
    </row>
    <row r="2405" spans="34:34" ht="15" thickBot="1" x14ac:dyDescent="0.4">
      <c r="AH2405" s="87"/>
    </row>
    <row r="2406" spans="34:34" ht="15" thickBot="1" x14ac:dyDescent="0.4">
      <c r="AH2406" s="87"/>
    </row>
    <row r="2407" spans="34:34" ht="15" thickBot="1" x14ac:dyDescent="0.4">
      <c r="AH2407" s="87"/>
    </row>
    <row r="2408" spans="34:34" ht="15" thickBot="1" x14ac:dyDescent="0.4">
      <c r="AH2408" s="87"/>
    </row>
    <row r="2409" spans="34:34" ht="15" thickBot="1" x14ac:dyDescent="0.4">
      <c r="AH2409" s="87"/>
    </row>
    <row r="2410" spans="34:34" ht="15" thickBot="1" x14ac:dyDescent="0.4">
      <c r="AH2410" s="87"/>
    </row>
    <row r="2411" spans="34:34" ht="15" thickBot="1" x14ac:dyDescent="0.4">
      <c r="AH2411" s="87"/>
    </row>
    <row r="2412" spans="34:34" ht="15" thickBot="1" x14ac:dyDescent="0.4">
      <c r="AH2412" s="87"/>
    </row>
    <row r="2413" spans="34:34" ht="15" thickBot="1" x14ac:dyDescent="0.4">
      <c r="AH2413" s="87"/>
    </row>
    <row r="2414" spans="34:34" ht="15" thickBot="1" x14ac:dyDescent="0.4">
      <c r="AH2414" s="87"/>
    </row>
    <row r="2415" spans="34:34" ht="15" thickBot="1" x14ac:dyDescent="0.4">
      <c r="AH2415" s="87"/>
    </row>
    <row r="2416" spans="34:34" ht="15" thickBot="1" x14ac:dyDescent="0.4">
      <c r="AH2416" s="87"/>
    </row>
    <row r="2417" spans="34:34" ht="15" thickBot="1" x14ac:dyDescent="0.4">
      <c r="AH2417" s="87"/>
    </row>
    <row r="2418" spans="34:34" ht="15" thickBot="1" x14ac:dyDescent="0.4">
      <c r="AH2418" s="87"/>
    </row>
    <row r="2419" spans="34:34" ht="15" thickBot="1" x14ac:dyDescent="0.4">
      <c r="AH2419" s="87"/>
    </row>
    <row r="2420" spans="34:34" ht="15" thickBot="1" x14ac:dyDescent="0.4">
      <c r="AH2420" s="87"/>
    </row>
    <row r="2421" spans="34:34" ht="15" thickBot="1" x14ac:dyDescent="0.4">
      <c r="AH2421" s="87"/>
    </row>
    <row r="2422" spans="34:34" ht="15" thickBot="1" x14ac:dyDescent="0.4">
      <c r="AH2422" s="87"/>
    </row>
    <row r="2423" spans="34:34" ht="15" thickBot="1" x14ac:dyDescent="0.4">
      <c r="AH2423" s="87"/>
    </row>
    <row r="2424" spans="34:34" ht="15" thickBot="1" x14ac:dyDescent="0.4">
      <c r="AH2424" s="87"/>
    </row>
    <row r="2425" spans="34:34" ht="15" thickBot="1" x14ac:dyDescent="0.4">
      <c r="AH2425" s="87"/>
    </row>
    <row r="2426" spans="34:34" ht="15" thickBot="1" x14ac:dyDescent="0.4">
      <c r="AH2426" s="87"/>
    </row>
    <row r="2427" spans="34:34" ht="15" thickBot="1" x14ac:dyDescent="0.4">
      <c r="AH2427" s="87"/>
    </row>
    <row r="2428" spans="34:34" ht="15" thickBot="1" x14ac:dyDescent="0.4">
      <c r="AH2428" s="87"/>
    </row>
    <row r="2429" spans="34:34" ht="15" thickBot="1" x14ac:dyDescent="0.4">
      <c r="AH2429" s="87"/>
    </row>
    <row r="2430" spans="34:34" ht="15" thickBot="1" x14ac:dyDescent="0.4">
      <c r="AH2430" s="87"/>
    </row>
    <row r="2431" spans="34:34" ht="15" thickBot="1" x14ac:dyDescent="0.4">
      <c r="AH2431" s="87"/>
    </row>
    <row r="2432" spans="34:34" ht="15" thickBot="1" x14ac:dyDescent="0.4">
      <c r="AH2432" s="87"/>
    </row>
    <row r="2433" spans="34:34" ht="15" thickBot="1" x14ac:dyDescent="0.4">
      <c r="AH2433" s="87"/>
    </row>
    <row r="2434" spans="34:34" ht="15" thickBot="1" x14ac:dyDescent="0.4">
      <c r="AH2434" s="87"/>
    </row>
    <row r="2435" spans="34:34" ht="15" thickBot="1" x14ac:dyDescent="0.4">
      <c r="AH2435" s="87"/>
    </row>
    <row r="2436" spans="34:34" ht="15" thickBot="1" x14ac:dyDescent="0.4">
      <c r="AH2436" s="87"/>
    </row>
    <row r="2437" spans="34:34" ht="15" thickBot="1" x14ac:dyDescent="0.4">
      <c r="AH2437" s="87"/>
    </row>
    <row r="2438" spans="34:34" ht="15" thickBot="1" x14ac:dyDescent="0.4">
      <c r="AH2438" s="87"/>
    </row>
    <row r="2439" spans="34:34" ht="15" thickBot="1" x14ac:dyDescent="0.4">
      <c r="AH2439" s="87"/>
    </row>
    <row r="2440" spans="34:34" ht="15" thickBot="1" x14ac:dyDescent="0.4">
      <c r="AH2440" s="87"/>
    </row>
    <row r="2441" spans="34:34" ht="15" thickBot="1" x14ac:dyDescent="0.4">
      <c r="AH2441" s="87"/>
    </row>
    <row r="2442" spans="34:34" ht="15" thickBot="1" x14ac:dyDescent="0.4">
      <c r="AH2442" s="87"/>
    </row>
    <row r="2443" spans="34:34" ht="15" thickBot="1" x14ac:dyDescent="0.4">
      <c r="AH2443" s="87"/>
    </row>
    <row r="2444" spans="34:34" ht="15" thickBot="1" x14ac:dyDescent="0.4">
      <c r="AH2444" s="87"/>
    </row>
    <row r="2445" spans="34:34" ht="15" thickBot="1" x14ac:dyDescent="0.4">
      <c r="AH2445" s="87"/>
    </row>
    <row r="2446" spans="34:34" ht="15" thickBot="1" x14ac:dyDescent="0.4">
      <c r="AH2446" s="87"/>
    </row>
    <row r="2447" spans="34:34" ht="15" thickBot="1" x14ac:dyDescent="0.4">
      <c r="AH2447" s="87"/>
    </row>
    <row r="2448" spans="34:34" ht="15" thickBot="1" x14ac:dyDescent="0.4">
      <c r="AH2448" s="87"/>
    </row>
    <row r="2449" spans="34:34" ht="15" thickBot="1" x14ac:dyDescent="0.4">
      <c r="AH2449" s="87"/>
    </row>
    <row r="2450" spans="34:34" ht="15" thickBot="1" x14ac:dyDescent="0.4">
      <c r="AH2450" s="87"/>
    </row>
    <row r="2451" spans="34:34" ht="15" thickBot="1" x14ac:dyDescent="0.4">
      <c r="AH2451" s="87"/>
    </row>
    <row r="2452" spans="34:34" ht="15" thickBot="1" x14ac:dyDescent="0.4">
      <c r="AH2452" s="87"/>
    </row>
    <row r="2453" spans="34:34" ht="15" thickBot="1" x14ac:dyDescent="0.4">
      <c r="AH2453" s="87"/>
    </row>
    <row r="2454" spans="34:34" ht="15" thickBot="1" x14ac:dyDescent="0.4">
      <c r="AH2454" s="87"/>
    </row>
    <row r="2455" spans="34:34" ht="15" thickBot="1" x14ac:dyDescent="0.4">
      <c r="AH2455" s="87"/>
    </row>
    <row r="2456" spans="34:34" ht="15" thickBot="1" x14ac:dyDescent="0.4">
      <c r="AH2456" s="87"/>
    </row>
    <row r="2457" spans="34:34" ht="15" thickBot="1" x14ac:dyDescent="0.4">
      <c r="AH2457" s="87"/>
    </row>
    <row r="2458" spans="34:34" ht="15" thickBot="1" x14ac:dyDescent="0.4">
      <c r="AH2458" s="87"/>
    </row>
    <row r="2459" spans="34:34" ht="15" thickBot="1" x14ac:dyDescent="0.4">
      <c r="AH2459" s="87"/>
    </row>
    <row r="2460" spans="34:34" ht="15" thickBot="1" x14ac:dyDescent="0.4">
      <c r="AH2460" s="87"/>
    </row>
    <row r="2461" spans="34:34" ht="15" thickBot="1" x14ac:dyDescent="0.4">
      <c r="AH2461" s="87"/>
    </row>
    <row r="2462" spans="34:34" ht="15" thickBot="1" x14ac:dyDescent="0.4">
      <c r="AH2462" s="87"/>
    </row>
    <row r="2463" spans="34:34" ht="15" thickBot="1" x14ac:dyDescent="0.4">
      <c r="AH2463" s="87"/>
    </row>
    <row r="2464" spans="34:34" ht="15" thickBot="1" x14ac:dyDescent="0.4">
      <c r="AH2464" s="87"/>
    </row>
    <row r="2465" spans="34:34" ht="15" thickBot="1" x14ac:dyDescent="0.4">
      <c r="AH2465" s="87"/>
    </row>
    <row r="2466" spans="34:34" ht="15" thickBot="1" x14ac:dyDescent="0.4">
      <c r="AH2466" s="87"/>
    </row>
    <row r="2467" spans="34:34" ht="15" thickBot="1" x14ac:dyDescent="0.4">
      <c r="AH2467" s="87"/>
    </row>
    <row r="2468" spans="34:34" ht="15" thickBot="1" x14ac:dyDescent="0.4">
      <c r="AH2468" s="87"/>
    </row>
    <row r="2469" spans="34:34" ht="15" thickBot="1" x14ac:dyDescent="0.4">
      <c r="AH2469" s="87"/>
    </row>
    <row r="2470" spans="34:34" ht="15" thickBot="1" x14ac:dyDescent="0.4">
      <c r="AH2470" s="87"/>
    </row>
    <row r="2471" spans="34:34" ht="15" thickBot="1" x14ac:dyDescent="0.4">
      <c r="AH2471" s="87"/>
    </row>
    <row r="2472" spans="34:34" ht="15" thickBot="1" x14ac:dyDescent="0.4">
      <c r="AH2472" s="87"/>
    </row>
    <row r="2473" spans="34:34" ht="15" thickBot="1" x14ac:dyDescent="0.4">
      <c r="AH2473" s="87"/>
    </row>
    <row r="2474" spans="34:34" ht="15" thickBot="1" x14ac:dyDescent="0.4">
      <c r="AH2474" s="87"/>
    </row>
    <row r="2475" spans="34:34" ht="15" thickBot="1" x14ac:dyDescent="0.4">
      <c r="AH2475" s="87"/>
    </row>
    <row r="2476" spans="34:34" ht="15" thickBot="1" x14ac:dyDescent="0.4">
      <c r="AH2476" s="87"/>
    </row>
    <row r="2477" spans="34:34" ht="15" thickBot="1" x14ac:dyDescent="0.4">
      <c r="AH2477" s="87"/>
    </row>
    <row r="2478" spans="34:34" ht="15" thickBot="1" x14ac:dyDescent="0.4">
      <c r="AH2478" s="87"/>
    </row>
    <row r="2479" spans="34:34" ht="15" thickBot="1" x14ac:dyDescent="0.4">
      <c r="AH2479" s="87"/>
    </row>
    <row r="2480" spans="34:34" ht="15" thickBot="1" x14ac:dyDescent="0.4">
      <c r="AH2480" s="87"/>
    </row>
    <row r="2481" spans="34:34" ht="15" thickBot="1" x14ac:dyDescent="0.4">
      <c r="AH2481" s="87"/>
    </row>
    <row r="2482" spans="34:34" ht="15" thickBot="1" x14ac:dyDescent="0.4">
      <c r="AH2482" s="87"/>
    </row>
    <row r="2483" spans="34:34" ht="15" thickBot="1" x14ac:dyDescent="0.4">
      <c r="AH2483" s="87"/>
    </row>
    <row r="2484" spans="34:34" ht="15" thickBot="1" x14ac:dyDescent="0.4">
      <c r="AH2484" s="87"/>
    </row>
    <row r="2485" spans="34:34" ht="15" thickBot="1" x14ac:dyDescent="0.4">
      <c r="AH2485" s="87"/>
    </row>
    <row r="2486" spans="34:34" ht="15" thickBot="1" x14ac:dyDescent="0.4">
      <c r="AH2486" s="87"/>
    </row>
    <row r="2487" spans="34:34" ht="15" thickBot="1" x14ac:dyDescent="0.4">
      <c r="AH2487" s="87"/>
    </row>
    <row r="2488" spans="34:34" ht="15" thickBot="1" x14ac:dyDescent="0.4">
      <c r="AH2488" s="87"/>
    </row>
    <row r="2489" spans="34:34" ht="15" thickBot="1" x14ac:dyDescent="0.4">
      <c r="AH2489" s="87"/>
    </row>
    <row r="2490" spans="34:34" ht="15" thickBot="1" x14ac:dyDescent="0.4">
      <c r="AH2490" s="87"/>
    </row>
    <row r="2491" spans="34:34" ht="15" thickBot="1" x14ac:dyDescent="0.4">
      <c r="AH2491" s="87"/>
    </row>
    <row r="2492" spans="34:34" ht="15" thickBot="1" x14ac:dyDescent="0.4">
      <c r="AH2492" s="87"/>
    </row>
    <row r="2493" spans="34:34" ht="15" thickBot="1" x14ac:dyDescent="0.4">
      <c r="AH2493" s="87"/>
    </row>
    <row r="2494" spans="34:34" ht="15" thickBot="1" x14ac:dyDescent="0.4">
      <c r="AH2494" s="87"/>
    </row>
    <row r="2495" spans="34:34" ht="15" thickBot="1" x14ac:dyDescent="0.4">
      <c r="AH2495" s="87"/>
    </row>
    <row r="2496" spans="34:34" ht="15" thickBot="1" x14ac:dyDescent="0.4">
      <c r="AH2496" s="87"/>
    </row>
    <row r="2497" spans="34:34" ht="15" thickBot="1" x14ac:dyDescent="0.4">
      <c r="AH2497" s="87"/>
    </row>
    <row r="2498" spans="34:34" ht="15" thickBot="1" x14ac:dyDescent="0.4">
      <c r="AH2498" s="87"/>
    </row>
    <row r="2499" spans="34:34" ht="15" thickBot="1" x14ac:dyDescent="0.4">
      <c r="AH2499" s="87"/>
    </row>
    <row r="2500" spans="34:34" ht="15" thickBot="1" x14ac:dyDescent="0.4">
      <c r="AH2500" s="87"/>
    </row>
    <row r="2501" spans="34:34" ht="15" thickBot="1" x14ac:dyDescent="0.4">
      <c r="AH2501" s="87"/>
    </row>
    <row r="2502" spans="34:34" ht="15" thickBot="1" x14ac:dyDescent="0.4">
      <c r="AH2502" s="87"/>
    </row>
    <row r="2503" spans="34:34" ht="15" thickBot="1" x14ac:dyDescent="0.4">
      <c r="AH2503" s="87"/>
    </row>
    <row r="2504" spans="34:34" ht="15" thickBot="1" x14ac:dyDescent="0.4">
      <c r="AH2504" s="87"/>
    </row>
    <row r="2505" spans="34:34" ht="15" thickBot="1" x14ac:dyDescent="0.4">
      <c r="AH2505" s="87"/>
    </row>
    <row r="2506" spans="34:34" ht="15" thickBot="1" x14ac:dyDescent="0.4">
      <c r="AH2506" s="87"/>
    </row>
    <row r="2507" spans="34:34" ht="15" thickBot="1" x14ac:dyDescent="0.4">
      <c r="AH2507" s="87"/>
    </row>
    <row r="2508" spans="34:34" ht="15" thickBot="1" x14ac:dyDescent="0.4">
      <c r="AH2508" s="87"/>
    </row>
    <row r="2509" spans="34:34" ht="15" thickBot="1" x14ac:dyDescent="0.4">
      <c r="AH2509" s="87"/>
    </row>
    <row r="2510" spans="34:34" ht="15" thickBot="1" x14ac:dyDescent="0.4">
      <c r="AH2510" s="87"/>
    </row>
    <row r="2511" spans="34:34" ht="15" thickBot="1" x14ac:dyDescent="0.4">
      <c r="AH2511" s="87"/>
    </row>
    <row r="2512" spans="34:34" ht="15" thickBot="1" x14ac:dyDescent="0.4">
      <c r="AH2512" s="87"/>
    </row>
    <row r="2513" spans="34:34" ht="15" thickBot="1" x14ac:dyDescent="0.4">
      <c r="AH2513" s="87"/>
    </row>
    <row r="2514" spans="34:34" ht="15" thickBot="1" x14ac:dyDescent="0.4">
      <c r="AH2514" s="87"/>
    </row>
    <row r="2515" spans="34:34" ht="15" thickBot="1" x14ac:dyDescent="0.4">
      <c r="AH2515" s="87"/>
    </row>
    <row r="2516" spans="34:34" ht="15" thickBot="1" x14ac:dyDescent="0.4">
      <c r="AH2516" s="87"/>
    </row>
    <row r="2517" spans="34:34" ht="15" thickBot="1" x14ac:dyDescent="0.4">
      <c r="AH2517" s="87"/>
    </row>
    <row r="2518" spans="34:34" ht="15" thickBot="1" x14ac:dyDescent="0.4">
      <c r="AH2518" s="87"/>
    </row>
    <row r="2519" spans="34:34" ht="15" thickBot="1" x14ac:dyDescent="0.4">
      <c r="AH2519" s="87"/>
    </row>
    <row r="2520" spans="34:34" ht="15" thickBot="1" x14ac:dyDescent="0.4">
      <c r="AH2520" s="87"/>
    </row>
    <row r="2521" spans="34:34" ht="15" thickBot="1" x14ac:dyDescent="0.4">
      <c r="AH2521" s="87"/>
    </row>
    <row r="2522" spans="34:34" ht="15" thickBot="1" x14ac:dyDescent="0.4">
      <c r="AH2522" s="87"/>
    </row>
    <row r="2523" spans="34:34" ht="15" thickBot="1" x14ac:dyDescent="0.4">
      <c r="AH2523" s="87"/>
    </row>
    <row r="2524" spans="34:34" ht="15" thickBot="1" x14ac:dyDescent="0.4">
      <c r="AH2524" s="87"/>
    </row>
    <row r="2525" spans="34:34" ht="15" thickBot="1" x14ac:dyDescent="0.4">
      <c r="AH2525" s="87"/>
    </row>
    <row r="2526" spans="34:34" ht="15" thickBot="1" x14ac:dyDescent="0.4">
      <c r="AH2526" s="87"/>
    </row>
    <row r="2527" spans="34:34" ht="15" thickBot="1" x14ac:dyDescent="0.4">
      <c r="AH2527" s="87"/>
    </row>
    <row r="2528" spans="34:34" ht="15" thickBot="1" x14ac:dyDescent="0.4">
      <c r="AH2528" s="87"/>
    </row>
    <row r="2529" spans="34:34" ht="15" thickBot="1" x14ac:dyDescent="0.4">
      <c r="AH2529" s="87"/>
    </row>
    <row r="2530" spans="34:34" ht="15" thickBot="1" x14ac:dyDescent="0.4">
      <c r="AH2530" s="87"/>
    </row>
    <row r="2531" spans="34:34" ht="15" thickBot="1" x14ac:dyDescent="0.4">
      <c r="AH2531" s="87"/>
    </row>
    <row r="2532" spans="34:34" ht="15" thickBot="1" x14ac:dyDescent="0.4">
      <c r="AH2532" s="87"/>
    </row>
    <row r="2533" spans="34:34" ht="15" thickBot="1" x14ac:dyDescent="0.4">
      <c r="AH2533" s="87"/>
    </row>
    <row r="2534" spans="34:34" ht="15" thickBot="1" x14ac:dyDescent="0.4">
      <c r="AH2534" s="87"/>
    </row>
    <row r="2535" spans="34:34" ht="15" thickBot="1" x14ac:dyDescent="0.4">
      <c r="AH2535" s="87"/>
    </row>
    <row r="2536" spans="34:34" ht="15" thickBot="1" x14ac:dyDescent="0.4">
      <c r="AH2536" s="87"/>
    </row>
    <row r="2537" spans="34:34" ht="15" thickBot="1" x14ac:dyDescent="0.4">
      <c r="AH2537" s="87"/>
    </row>
    <row r="2538" spans="34:34" ht="15" thickBot="1" x14ac:dyDescent="0.4">
      <c r="AH2538" s="87"/>
    </row>
    <row r="2539" spans="34:34" ht="15" thickBot="1" x14ac:dyDescent="0.4">
      <c r="AH2539" s="87"/>
    </row>
    <row r="2540" spans="34:34" ht="15" thickBot="1" x14ac:dyDescent="0.4">
      <c r="AH2540" s="87"/>
    </row>
    <row r="2541" spans="34:34" ht="15" thickBot="1" x14ac:dyDescent="0.4">
      <c r="AH2541" s="87"/>
    </row>
    <row r="2542" spans="34:34" ht="15" thickBot="1" x14ac:dyDescent="0.4">
      <c r="AH2542" s="87"/>
    </row>
    <row r="2543" spans="34:34" ht="15" thickBot="1" x14ac:dyDescent="0.4">
      <c r="AH2543" s="87"/>
    </row>
    <row r="2544" spans="34:34" ht="15" thickBot="1" x14ac:dyDescent="0.4">
      <c r="AH2544" s="87"/>
    </row>
    <row r="2545" spans="34:34" ht="15" thickBot="1" x14ac:dyDescent="0.4">
      <c r="AH2545" s="87"/>
    </row>
    <row r="2546" spans="34:34" ht="15" thickBot="1" x14ac:dyDescent="0.4">
      <c r="AH2546" s="87"/>
    </row>
    <row r="2547" spans="34:34" ht="15" thickBot="1" x14ac:dyDescent="0.4">
      <c r="AH2547" s="87"/>
    </row>
    <row r="2548" spans="34:34" ht="15" thickBot="1" x14ac:dyDescent="0.4">
      <c r="AH2548" s="87"/>
    </row>
    <row r="2549" spans="34:34" ht="15" thickBot="1" x14ac:dyDescent="0.4">
      <c r="AH2549" s="87"/>
    </row>
    <row r="2550" spans="34:34" ht="15" thickBot="1" x14ac:dyDescent="0.4">
      <c r="AH2550" s="87"/>
    </row>
    <row r="2551" spans="34:34" ht="15" thickBot="1" x14ac:dyDescent="0.4">
      <c r="AH2551" s="87"/>
    </row>
    <row r="2552" spans="34:34" ht="15" thickBot="1" x14ac:dyDescent="0.4">
      <c r="AH2552" s="87"/>
    </row>
    <row r="2553" spans="34:34" ht="15" thickBot="1" x14ac:dyDescent="0.4">
      <c r="AH2553" s="87"/>
    </row>
    <row r="2554" spans="34:34" ht="15" thickBot="1" x14ac:dyDescent="0.4">
      <c r="AH2554" s="87"/>
    </row>
    <row r="2555" spans="34:34" ht="15" thickBot="1" x14ac:dyDescent="0.4">
      <c r="AH2555" s="87"/>
    </row>
    <row r="2556" spans="34:34" ht="15" thickBot="1" x14ac:dyDescent="0.4">
      <c r="AH2556" s="87"/>
    </row>
    <row r="2557" spans="34:34" ht="15" thickBot="1" x14ac:dyDescent="0.4">
      <c r="AH2557" s="87"/>
    </row>
    <row r="2558" spans="34:34" ht="15" thickBot="1" x14ac:dyDescent="0.4">
      <c r="AH2558" s="87"/>
    </row>
    <row r="2559" spans="34:34" ht="15" thickBot="1" x14ac:dyDescent="0.4">
      <c r="AH2559" s="87"/>
    </row>
    <row r="2560" spans="34:34" ht="15" thickBot="1" x14ac:dyDescent="0.4">
      <c r="AH2560" s="87"/>
    </row>
    <row r="2561" spans="34:34" ht="15" thickBot="1" x14ac:dyDescent="0.4">
      <c r="AH2561" s="87"/>
    </row>
    <row r="2562" spans="34:34" ht="15" thickBot="1" x14ac:dyDescent="0.4">
      <c r="AH2562" s="87"/>
    </row>
    <row r="2563" spans="34:34" ht="15" thickBot="1" x14ac:dyDescent="0.4">
      <c r="AH2563" s="87"/>
    </row>
    <row r="2564" spans="34:34" ht="15" thickBot="1" x14ac:dyDescent="0.4">
      <c r="AH2564" s="87"/>
    </row>
    <row r="2565" spans="34:34" ht="15" thickBot="1" x14ac:dyDescent="0.4">
      <c r="AH2565" s="87"/>
    </row>
    <row r="2566" spans="34:34" ht="15" thickBot="1" x14ac:dyDescent="0.4">
      <c r="AH2566" s="87"/>
    </row>
    <row r="2567" spans="34:34" ht="15" thickBot="1" x14ac:dyDescent="0.4">
      <c r="AH2567" s="87"/>
    </row>
    <row r="2568" spans="34:34" ht="15" thickBot="1" x14ac:dyDescent="0.4">
      <c r="AH2568" s="87"/>
    </row>
    <row r="2569" spans="34:34" ht="15" thickBot="1" x14ac:dyDescent="0.4">
      <c r="AH2569" s="87"/>
    </row>
    <row r="2570" spans="34:34" ht="15" thickBot="1" x14ac:dyDescent="0.4">
      <c r="AH2570" s="87"/>
    </row>
    <row r="2571" spans="34:34" ht="15" thickBot="1" x14ac:dyDescent="0.4">
      <c r="AH2571" s="87"/>
    </row>
    <row r="2572" spans="34:34" ht="15" thickBot="1" x14ac:dyDescent="0.4">
      <c r="AH2572" s="87"/>
    </row>
    <row r="2573" spans="34:34" ht="15" thickBot="1" x14ac:dyDescent="0.4">
      <c r="AH2573" s="87"/>
    </row>
    <row r="2574" spans="34:34" ht="15" thickBot="1" x14ac:dyDescent="0.4">
      <c r="AH2574" s="87"/>
    </row>
    <row r="2575" spans="34:34" ht="15" thickBot="1" x14ac:dyDescent="0.4">
      <c r="AH2575" s="87"/>
    </row>
    <row r="2576" spans="34:34" ht="15" thickBot="1" x14ac:dyDescent="0.4">
      <c r="AH2576" s="87"/>
    </row>
    <row r="2577" spans="34:34" ht="15" thickBot="1" x14ac:dyDescent="0.4">
      <c r="AH2577" s="87"/>
    </row>
    <row r="2578" spans="34:34" ht="15" thickBot="1" x14ac:dyDescent="0.4">
      <c r="AH2578" s="87"/>
    </row>
    <row r="2579" spans="34:34" ht="15" thickBot="1" x14ac:dyDescent="0.4">
      <c r="AH2579" s="87"/>
    </row>
    <row r="2580" spans="34:34" ht="15" thickBot="1" x14ac:dyDescent="0.4">
      <c r="AH2580" s="87"/>
    </row>
    <row r="2581" spans="34:34" ht="15" thickBot="1" x14ac:dyDescent="0.4">
      <c r="AH2581" s="87"/>
    </row>
    <row r="2582" spans="34:34" ht="15" thickBot="1" x14ac:dyDescent="0.4">
      <c r="AH2582" s="87"/>
    </row>
    <row r="2583" spans="34:34" ht="15" thickBot="1" x14ac:dyDescent="0.4">
      <c r="AH2583" s="87"/>
    </row>
    <row r="2584" spans="34:34" ht="15" thickBot="1" x14ac:dyDescent="0.4">
      <c r="AH2584" s="87"/>
    </row>
    <row r="2585" spans="34:34" ht="15" thickBot="1" x14ac:dyDescent="0.4">
      <c r="AH2585" s="87"/>
    </row>
    <row r="2586" spans="34:34" ht="15" thickBot="1" x14ac:dyDescent="0.4">
      <c r="AH2586" s="87"/>
    </row>
    <row r="2587" spans="34:34" ht="15" thickBot="1" x14ac:dyDescent="0.4">
      <c r="AH2587" s="87"/>
    </row>
    <row r="2588" spans="34:34" ht="15" thickBot="1" x14ac:dyDescent="0.4">
      <c r="AH2588" s="87"/>
    </row>
    <row r="2589" spans="34:34" ht="15" thickBot="1" x14ac:dyDescent="0.4">
      <c r="AH2589" s="87"/>
    </row>
    <row r="2590" spans="34:34" ht="15" thickBot="1" x14ac:dyDescent="0.4">
      <c r="AH2590" s="87"/>
    </row>
    <row r="2591" spans="34:34" ht="15" thickBot="1" x14ac:dyDescent="0.4">
      <c r="AH2591" s="87"/>
    </row>
    <row r="2592" spans="34:34" ht="15" thickBot="1" x14ac:dyDescent="0.4">
      <c r="AH2592" s="87"/>
    </row>
    <row r="2593" spans="34:34" ht="15" thickBot="1" x14ac:dyDescent="0.4">
      <c r="AH2593" s="87"/>
    </row>
    <row r="2594" spans="34:34" ht="15" thickBot="1" x14ac:dyDescent="0.4">
      <c r="AH2594" s="87"/>
    </row>
    <row r="2595" spans="34:34" ht="15" thickBot="1" x14ac:dyDescent="0.4">
      <c r="AH2595" s="87"/>
    </row>
    <row r="2596" spans="34:34" ht="15" thickBot="1" x14ac:dyDescent="0.4">
      <c r="AH2596" s="87"/>
    </row>
    <row r="2597" spans="34:34" ht="15" thickBot="1" x14ac:dyDescent="0.4">
      <c r="AH2597" s="87"/>
    </row>
    <row r="2598" spans="34:34" ht="15" thickBot="1" x14ac:dyDescent="0.4">
      <c r="AH2598" s="87"/>
    </row>
    <row r="2599" spans="34:34" ht="15" thickBot="1" x14ac:dyDescent="0.4">
      <c r="AH2599" s="87"/>
    </row>
    <row r="2600" spans="34:34" ht="15" thickBot="1" x14ac:dyDescent="0.4">
      <c r="AH2600" s="87"/>
    </row>
    <row r="2601" spans="34:34" ht="15" thickBot="1" x14ac:dyDescent="0.4">
      <c r="AH2601" s="87"/>
    </row>
    <row r="2602" spans="34:34" ht="15" thickBot="1" x14ac:dyDescent="0.4">
      <c r="AH2602" s="87"/>
    </row>
    <row r="2603" spans="34:34" ht="15" thickBot="1" x14ac:dyDescent="0.4">
      <c r="AH2603" s="87"/>
    </row>
    <row r="2604" spans="34:34" ht="15" thickBot="1" x14ac:dyDescent="0.4">
      <c r="AH2604" s="87"/>
    </row>
    <row r="2605" spans="34:34" ht="15" thickBot="1" x14ac:dyDescent="0.4">
      <c r="AH2605" s="87"/>
    </row>
    <row r="2606" spans="34:34" ht="15" thickBot="1" x14ac:dyDescent="0.4">
      <c r="AH2606" s="87"/>
    </row>
    <row r="2607" spans="34:34" ht="15" thickBot="1" x14ac:dyDescent="0.4">
      <c r="AH2607" s="87"/>
    </row>
    <row r="2608" spans="34:34" ht="15" thickBot="1" x14ac:dyDescent="0.4">
      <c r="AH2608" s="87"/>
    </row>
    <row r="2609" spans="34:34" ht="15" thickBot="1" x14ac:dyDescent="0.4">
      <c r="AH2609" s="87"/>
    </row>
    <row r="2610" spans="34:34" ht="15" thickBot="1" x14ac:dyDescent="0.4">
      <c r="AH2610" s="87"/>
    </row>
    <row r="2611" spans="34:34" ht="15" thickBot="1" x14ac:dyDescent="0.4">
      <c r="AH2611" s="87"/>
    </row>
    <row r="2612" spans="34:34" ht="15" thickBot="1" x14ac:dyDescent="0.4">
      <c r="AH2612" s="87"/>
    </row>
    <row r="2613" spans="34:34" ht="15" thickBot="1" x14ac:dyDescent="0.4">
      <c r="AH2613" s="87"/>
    </row>
    <row r="2614" spans="34:34" ht="15" thickBot="1" x14ac:dyDescent="0.4">
      <c r="AH2614" s="87"/>
    </row>
    <row r="2615" spans="34:34" ht="15" thickBot="1" x14ac:dyDescent="0.4">
      <c r="AH2615" s="87"/>
    </row>
    <row r="2616" spans="34:34" ht="15" thickBot="1" x14ac:dyDescent="0.4">
      <c r="AH2616" s="87"/>
    </row>
    <row r="2617" spans="34:34" ht="15" thickBot="1" x14ac:dyDescent="0.4">
      <c r="AH2617" s="87"/>
    </row>
    <row r="2618" spans="34:34" ht="15" thickBot="1" x14ac:dyDescent="0.4">
      <c r="AH2618" s="87"/>
    </row>
    <row r="2619" spans="34:34" ht="15" thickBot="1" x14ac:dyDescent="0.4">
      <c r="AH2619" s="87"/>
    </row>
    <row r="2620" spans="34:34" ht="15" thickBot="1" x14ac:dyDescent="0.4">
      <c r="AH2620" s="87"/>
    </row>
    <row r="2621" spans="34:34" ht="15" thickBot="1" x14ac:dyDescent="0.4">
      <c r="AH2621" s="87"/>
    </row>
    <row r="2622" spans="34:34" ht="15" thickBot="1" x14ac:dyDescent="0.4">
      <c r="AH2622" s="87"/>
    </row>
    <row r="2623" spans="34:34" ht="15" thickBot="1" x14ac:dyDescent="0.4">
      <c r="AH2623" s="87"/>
    </row>
    <row r="2624" spans="34:34" ht="15" thickBot="1" x14ac:dyDescent="0.4">
      <c r="AH2624" s="87"/>
    </row>
    <row r="2625" spans="34:34" ht="15" thickBot="1" x14ac:dyDescent="0.4">
      <c r="AH2625" s="87"/>
    </row>
    <row r="2626" spans="34:34" ht="15" thickBot="1" x14ac:dyDescent="0.4">
      <c r="AH2626" s="87"/>
    </row>
    <row r="2627" spans="34:34" ht="15" thickBot="1" x14ac:dyDescent="0.4">
      <c r="AH2627" s="87"/>
    </row>
    <row r="2628" spans="34:34" ht="15" thickBot="1" x14ac:dyDescent="0.4">
      <c r="AH2628" s="87"/>
    </row>
    <row r="2629" spans="34:34" ht="15" thickBot="1" x14ac:dyDescent="0.4">
      <c r="AH2629" s="87"/>
    </row>
    <row r="2630" spans="34:34" ht="15" thickBot="1" x14ac:dyDescent="0.4">
      <c r="AH2630" s="87"/>
    </row>
    <row r="2631" spans="34:34" ht="15" thickBot="1" x14ac:dyDescent="0.4">
      <c r="AH2631" s="87"/>
    </row>
    <row r="2632" spans="34:34" ht="15" thickBot="1" x14ac:dyDescent="0.4">
      <c r="AH2632" s="87"/>
    </row>
    <row r="2633" spans="34:34" ht="15" thickBot="1" x14ac:dyDescent="0.4">
      <c r="AH2633" s="87"/>
    </row>
    <row r="2634" spans="34:34" ht="15" thickBot="1" x14ac:dyDescent="0.4">
      <c r="AH2634" s="87"/>
    </row>
    <row r="2635" spans="34:34" ht="15" thickBot="1" x14ac:dyDescent="0.4">
      <c r="AH2635" s="87"/>
    </row>
    <row r="2636" spans="34:34" ht="15" thickBot="1" x14ac:dyDescent="0.4">
      <c r="AH2636" s="87"/>
    </row>
    <row r="2637" spans="34:34" ht="15" thickBot="1" x14ac:dyDescent="0.4">
      <c r="AH2637" s="87"/>
    </row>
    <row r="2638" spans="34:34" ht="15" thickBot="1" x14ac:dyDescent="0.4">
      <c r="AH2638" s="87"/>
    </row>
    <row r="2639" spans="34:34" ht="15" thickBot="1" x14ac:dyDescent="0.4">
      <c r="AH2639" s="87"/>
    </row>
    <row r="2640" spans="34:34" ht="15" thickBot="1" x14ac:dyDescent="0.4">
      <c r="AH2640" s="87"/>
    </row>
    <row r="2641" spans="34:34" ht="15" thickBot="1" x14ac:dyDescent="0.4">
      <c r="AH2641" s="87"/>
    </row>
    <row r="2642" spans="34:34" ht="15" thickBot="1" x14ac:dyDescent="0.4">
      <c r="AH2642" s="87"/>
    </row>
    <row r="2643" spans="34:34" ht="15" thickBot="1" x14ac:dyDescent="0.4">
      <c r="AH2643" s="87"/>
    </row>
    <row r="2644" spans="34:34" ht="15" thickBot="1" x14ac:dyDescent="0.4">
      <c r="AH2644" s="87"/>
    </row>
    <row r="2645" spans="34:34" ht="15" thickBot="1" x14ac:dyDescent="0.4">
      <c r="AH2645" s="87"/>
    </row>
    <row r="2646" spans="34:34" ht="15" thickBot="1" x14ac:dyDescent="0.4">
      <c r="AH2646" s="87"/>
    </row>
    <row r="2647" spans="34:34" ht="15" thickBot="1" x14ac:dyDescent="0.4">
      <c r="AH2647" s="87"/>
    </row>
    <row r="2648" spans="34:34" ht="15" thickBot="1" x14ac:dyDescent="0.4">
      <c r="AH2648" s="87"/>
    </row>
    <row r="2649" spans="34:34" ht="15" thickBot="1" x14ac:dyDescent="0.4">
      <c r="AH2649" s="87"/>
    </row>
    <row r="2650" spans="34:34" ht="15" thickBot="1" x14ac:dyDescent="0.4">
      <c r="AH2650" s="87"/>
    </row>
    <row r="2651" spans="34:34" ht="15" thickBot="1" x14ac:dyDescent="0.4">
      <c r="AH2651" s="87"/>
    </row>
    <row r="2652" spans="34:34" ht="15" thickBot="1" x14ac:dyDescent="0.4">
      <c r="AH2652" s="87"/>
    </row>
    <row r="2653" spans="34:34" ht="15" thickBot="1" x14ac:dyDescent="0.4">
      <c r="AH2653" s="87"/>
    </row>
    <row r="2654" spans="34:34" ht="15" thickBot="1" x14ac:dyDescent="0.4">
      <c r="AH2654" s="87"/>
    </row>
    <row r="2655" spans="34:34" ht="15" thickBot="1" x14ac:dyDescent="0.4">
      <c r="AH2655" s="87"/>
    </row>
    <row r="2656" spans="34:34" ht="15" thickBot="1" x14ac:dyDescent="0.4">
      <c r="AH2656" s="87"/>
    </row>
    <row r="2657" spans="34:34" ht="15" thickBot="1" x14ac:dyDescent="0.4">
      <c r="AH2657" s="87"/>
    </row>
    <row r="2658" spans="34:34" ht="15" thickBot="1" x14ac:dyDescent="0.4">
      <c r="AH2658" s="87"/>
    </row>
    <row r="2659" spans="34:34" ht="15" thickBot="1" x14ac:dyDescent="0.4">
      <c r="AH2659" s="87"/>
    </row>
    <row r="2660" spans="34:34" ht="15" thickBot="1" x14ac:dyDescent="0.4">
      <c r="AH2660" s="87"/>
    </row>
    <row r="2661" spans="34:34" ht="15" thickBot="1" x14ac:dyDescent="0.4">
      <c r="AH2661" s="87"/>
    </row>
    <row r="2662" spans="34:34" ht="15" thickBot="1" x14ac:dyDescent="0.4">
      <c r="AH2662" s="87"/>
    </row>
    <row r="2663" spans="34:34" ht="15" thickBot="1" x14ac:dyDescent="0.4">
      <c r="AH2663" s="87"/>
    </row>
    <row r="2664" spans="34:34" ht="15" thickBot="1" x14ac:dyDescent="0.4">
      <c r="AH2664" s="87"/>
    </row>
    <row r="2665" spans="34:34" ht="15" thickBot="1" x14ac:dyDescent="0.4">
      <c r="AH2665" s="87"/>
    </row>
    <row r="2666" spans="34:34" ht="15" thickBot="1" x14ac:dyDescent="0.4">
      <c r="AH2666" s="87"/>
    </row>
    <row r="2667" spans="34:34" ht="15" thickBot="1" x14ac:dyDescent="0.4">
      <c r="AH2667" s="87"/>
    </row>
    <row r="2668" spans="34:34" ht="15" thickBot="1" x14ac:dyDescent="0.4">
      <c r="AH2668" s="87"/>
    </row>
    <row r="2669" spans="34:34" ht="15" thickBot="1" x14ac:dyDescent="0.4">
      <c r="AH2669" s="87"/>
    </row>
    <row r="2670" spans="34:34" ht="15" thickBot="1" x14ac:dyDescent="0.4">
      <c r="AH2670" s="87"/>
    </row>
    <row r="2671" spans="34:34" ht="15" thickBot="1" x14ac:dyDescent="0.4">
      <c r="AH2671" s="87"/>
    </row>
    <row r="2672" spans="34:34" ht="15" thickBot="1" x14ac:dyDescent="0.4">
      <c r="AH2672" s="87"/>
    </row>
    <row r="2673" spans="34:34" ht="15" thickBot="1" x14ac:dyDescent="0.4">
      <c r="AH2673" s="87"/>
    </row>
    <row r="2674" spans="34:34" ht="15" thickBot="1" x14ac:dyDescent="0.4">
      <c r="AH2674" s="87"/>
    </row>
    <row r="2675" spans="34:34" ht="15" thickBot="1" x14ac:dyDescent="0.4">
      <c r="AH2675" s="87"/>
    </row>
    <row r="2676" spans="34:34" ht="15" thickBot="1" x14ac:dyDescent="0.4">
      <c r="AH2676" s="87"/>
    </row>
    <row r="2677" spans="34:34" ht="15" thickBot="1" x14ac:dyDescent="0.4">
      <c r="AH2677" s="87"/>
    </row>
    <row r="2678" spans="34:34" ht="15" thickBot="1" x14ac:dyDescent="0.4">
      <c r="AH2678" s="87"/>
    </row>
    <row r="2679" spans="34:34" ht="15" thickBot="1" x14ac:dyDescent="0.4">
      <c r="AH2679" s="87"/>
    </row>
    <row r="2680" spans="34:34" ht="15" thickBot="1" x14ac:dyDescent="0.4">
      <c r="AH2680" s="87"/>
    </row>
    <row r="2681" spans="34:34" ht="15" thickBot="1" x14ac:dyDescent="0.4">
      <c r="AH2681" s="87"/>
    </row>
    <row r="2682" spans="34:34" ht="15" thickBot="1" x14ac:dyDescent="0.4">
      <c r="AH2682" s="87"/>
    </row>
    <row r="2683" spans="34:34" ht="15" thickBot="1" x14ac:dyDescent="0.4">
      <c r="AH2683" s="87"/>
    </row>
    <row r="2684" spans="34:34" ht="15" thickBot="1" x14ac:dyDescent="0.4">
      <c r="AH2684" s="87"/>
    </row>
    <row r="2685" spans="34:34" ht="15" thickBot="1" x14ac:dyDescent="0.4">
      <c r="AH2685" s="87"/>
    </row>
    <row r="2686" spans="34:34" ht="15" thickBot="1" x14ac:dyDescent="0.4">
      <c r="AH2686" s="87"/>
    </row>
    <row r="2687" spans="34:34" ht="15" thickBot="1" x14ac:dyDescent="0.4">
      <c r="AH2687" s="87"/>
    </row>
    <row r="2688" spans="34:34" ht="15" thickBot="1" x14ac:dyDescent="0.4">
      <c r="AH2688" s="87"/>
    </row>
    <row r="2689" spans="34:34" ht="15" thickBot="1" x14ac:dyDescent="0.4">
      <c r="AH2689" s="87"/>
    </row>
    <row r="2690" spans="34:34" ht="15" thickBot="1" x14ac:dyDescent="0.4">
      <c r="AH2690" s="87"/>
    </row>
    <row r="2691" spans="34:34" ht="15" thickBot="1" x14ac:dyDescent="0.4">
      <c r="AH2691" s="87"/>
    </row>
    <row r="2692" spans="34:34" ht="15" thickBot="1" x14ac:dyDescent="0.4">
      <c r="AH2692" s="87"/>
    </row>
    <row r="2693" spans="34:34" ht="15" thickBot="1" x14ac:dyDescent="0.4">
      <c r="AH2693" s="87"/>
    </row>
    <row r="2694" spans="34:34" ht="15" thickBot="1" x14ac:dyDescent="0.4">
      <c r="AH2694" s="87"/>
    </row>
    <row r="2695" spans="34:34" ht="15" thickBot="1" x14ac:dyDescent="0.4">
      <c r="AH2695" s="87"/>
    </row>
    <row r="2696" spans="34:34" ht="15" thickBot="1" x14ac:dyDescent="0.4">
      <c r="AH2696" s="87"/>
    </row>
    <row r="2697" spans="34:34" ht="15" thickBot="1" x14ac:dyDescent="0.4">
      <c r="AH2697" s="87"/>
    </row>
    <row r="2698" spans="34:34" ht="15" thickBot="1" x14ac:dyDescent="0.4">
      <c r="AH2698" s="87"/>
    </row>
    <row r="2699" spans="34:34" ht="15" thickBot="1" x14ac:dyDescent="0.4">
      <c r="AH2699" s="87"/>
    </row>
    <row r="2700" spans="34:34" ht="15" thickBot="1" x14ac:dyDescent="0.4">
      <c r="AH2700" s="87"/>
    </row>
    <row r="2701" spans="34:34" ht="15" thickBot="1" x14ac:dyDescent="0.4">
      <c r="AH2701" s="87"/>
    </row>
    <row r="2702" spans="34:34" ht="15" thickBot="1" x14ac:dyDescent="0.4">
      <c r="AH2702" s="87"/>
    </row>
    <row r="2703" spans="34:34" ht="15" thickBot="1" x14ac:dyDescent="0.4">
      <c r="AH2703" s="87"/>
    </row>
    <row r="2704" spans="34:34" ht="15" thickBot="1" x14ac:dyDescent="0.4">
      <c r="AH2704" s="87"/>
    </row>
    <row r="2705" spans="34:34" ht="15" thickBot="1" x14ac:dyDescent="0.4">
      <c r="AH2705" s="87"/>
    </row>
    <row r="2706" spans="34:34" ht="15" thickBot="1" x14ac:dyDescent="0.4">
      <c r="AH2706" s="87"/>
    </row>
    <row r="2707" spans="34:34" ht="15" thickBot="1" x14ac:dyDescent="0.4">
      <c r="AH2707" s="87"/>
    </row>
    <row r="2708" spans="34:34" ht="15" thickBot="1" x14ac:dyDescent="0.4">
      <c r="AH2708" s="87"/>
    </row>
    <row r="2709" spans="34:34" ht="15" thickBot="1" x14ac:dyDescent="0.4">
      <c r="AH2709" s="87"/>
    </row>
    <row r="2710" spans="34:34" ht="15" thickBot="1" x14ac:dyDescent="0.4">
      <c r="AH2710" s="87"/>
    </row>
    <row r="2711" spans="34:34" ht="15" thickBot="1" x14ac:dyDescent="0.4">
      <c r="AH2711" s="87"/>
    </row>
    <row r="2712" spans="34:34" ht="15" thickBot="1" x14ac:dyDescent="0.4">
      <c r="AH2712" s="87"/>
    </row>
    <row r="2713" spans="34:34" ht="15" thickBot="1" x14ac:dyDescent="0.4">
      <c r="AH2713" s="87"/>
    </row>
    <row r="2714" spans="34:34" ht="15" thickBot="1" x14ac:dyDescent="0.4">
      <c r="AH2714" s="87"/>
    </row>
    <row r="2715" spans="34:34" ht="15" thickBot="1" x14ac:dyDescent="0.4">
      <c r="AH2715" s="87"/>
    </row>
    <row r="2716" spans="34:34" ht="15" thickBot="1" x14ac:dyDescent="0.4">
      <c r="AH2716" s="87"/>
    </row>
    <row r="2717" spans="34:34" ht="15" thickBot="1" x14ac:dyDescent="0.4">
      <c r="AH2717" s="87"/>
    </row>
    <row r="2718" spans="34:34" ht="15" thickBot="1" x14ac:dyDescent="0.4">
      <c r="AH2718" s="87"/>
    </row>
    <row r="2719" spans="34:34" ht="15" thickBot="1" x14ac:dyDescent="0.4">
      <c r="AH2719" s="87"/>
    </row>
    <row r="2720" spans="34:34" ht="15" thickBot="1" x14ac:dyDescent="0.4">
      <c r="AH2720" s="87"/>
    </row>
    <row r="2721" spans="34:34" ht="15" thickBot="1" x14ac:dyDescent="0.4">
      <c r="AH2721" s="87"/>
    </row>
    <row r="2722" spans="34:34" ht="15" thickBot="1" x14ac:dyDescent="0.4">
      <c r="AH2722" s="87"/>
    </row>
    <row r="2723" spans="34:34" ht="15" thickBot="1" x14ac:dyDescent="0.4">
      <c r="AH2723" s="87"/>
    </row>
    <row r="2724" spans="34:34" ht="15" thickBot="1" x14ac:dyDescent="0.4">
      <c r="AH2724" s="87"/>
    </row>
    <row r="2725" spans="34:34" ht="15" thickBot="1" x14ac:dyDescent="0.4">
      <c r="AH2725" s="87"/>
    </row>
    <row r="2726" spans="34:34" ht="15" thickBot="1" x14ac:dyDescent="0.4">
      <c r="AH2726" s="87"/>
    </row>
    <row r="2727" spans="34:34" ht="15" thickBot="1" x14ac:dyDescent="0.4">
      <c r="AH2727" s="87"/>
    </row>
    <row r="2728" spans="34:34" ht="15" thickBot="1" x14ac:dyDescent="0.4">
      <c r="AH2728" s="87"/>
    </row>
    <row r="2729" spans="34:34" ht="15" thickBot="1" x14ac:dyDescent="0.4">
      <c r="AH2729" s="87"/>
    </row>
    <row r="2730" spans="34:34" ht="15" thickBot="1" x14ac:dyDescent="0.4">
      <c r="AH2730" s="87"/>
    </row>
    <row r="2731" spans="34:34" ht="15" thickBot="1" x14ac:dyDescent="0.4">
      <c r="AH2731" s="87"/>
    </row>
    <row r="2732" spans="34:34" ht="15" thickBot="1" x14ac:dyDescent="0.4">
      <c r="AH2732" s="87"/>
    </row>
    <row r="2733" spans="34:34" ht="15" thickBot="1" x14ac:dyDescent="0.4">
      <c r="AH2733" s="87"/>
    </row>
    <row r="2734" spans="34:34" ht="15" thickBot="1" x14ac:dyDescent="0.4">
      <c r="AH2734" s="87"/>
    </row>
    <row r="2735" spans="34:34" ht="15" thickBot="1" x14ac:dyDescent="0.4">
      <c r="AH2735" s="87"/>
    </row>
    <row r="2736" spans="34:34" ht="15" thickBot="1" x14ac:dyDescent="0.4">
      <c r="AH2736" s="87"/>
    </row>
    <row r="2737" spans="34:34" ht="15" thickBot="1" x14ac:dyDescent="0.4">
      <c r="AH2737" s="87"/>
    </row>
    <row r="2738" spans="34:34" ht="15" thickBot="1" x14ac:dyDescent="0.4">
      <c r="AH2738" s="87"/>
    </row>
    <row r="2739" spans="34:34" ht="15" thickBot="1" x14ac:dyDescent="0.4">
      <c r="AH2739" s="87"/>
    </row>
    <row r="2740" spans="34:34" ht="15" thickBot="1" x14ac:dyDescent="0.4">
      <c r="AH2740" s="87"/>
    </row>
    <row r="2741" spans="34:34" ht="15" thickBot="1" x14ac:dyDescent="0.4">
      <c r="AH2741" s="87"/>
    </row>
    <row r="2742" spans="34:34" ht="15" thickBot="1" x14ac:dyDescent="0.4">
      <c r="AH2742" s="87"/>
    </row>
    <row r="2743" spans="34:34" ht="15" thickBot="1" x14ac:dyDescent="0.4">
      <c r="AH2743" s="87"/>
    </row>
    <row r="2744" spans="34:34" ht="15" thickBot="1" x14ac:dyDescent="0.4">
      <c r="AH2744" s="87"/>
    </row>
    <row r="2745" spans="34:34" ht="15" thickBot="1" x14ac:dyDescent="0.4">
      <c r="AH2745" s="87"/>
    </row>
    <row r="2746" spans="34:34" ht="15" thickBot="1" x14ac:dyDescent="0.4">
      <c r="AH2746" s="87"/>
    </row>
    <row r="2747" spans="34:34" ht="15" thickBot="1" x14ac:dyDescent="0.4">
      <c r="AH2747" s="87"/>
    </row>
    <row r="2748" spans="34:34" ht="15" thickBot="1" x14ac:dyDescent="0.4">
      <c r="AH2748" s="87"/>
    </row>
    <row r="2749" spans="34:34" ht="15" thickBot="1" x14ac:dyDescent="0.4">
      <c r="AH2749" s="87"/>
    </row>
    <row r="2750" spans="34:34" ht="15" thickBot="1" x14ac:dyDescent="0.4">
      <c r="AH2750" s="87"/>
    </row>
    <row r="2751" spans="34:34" ht="15" thickBot="1" x14ac:dyDescent="0.4">
      <c r="AH2751" s="87"/>
    </row>
    <row r="2752" spans="34:34" ht="15" thickBot="1" x14ac:dyDescent="0.4">
      <c r="AH2752" s="87"/>
    </row>
    <row r="2753" spans="34:34" ht="15" thickBot="1" x14ac:dyDescent="0.4">
      <c r="AH2753" s="87"/>
    </row>
    <row r="2754" spans="34:34" ht="15" thickBot="1" x14ac:dyDescent="0.4">
      <c r="AH2754" s="87"/>
    </row>
    <row r="2755" spans="34:34" ht="15" thickBot="1" x14ac:dyDescent="0.4">
      <c r="AH2755" s="87"/>
    </row>
    <row r="2756" spans="34:34" ht="15" thickBot="1" x14ac:dyDescent="0.4">
      <c r="AH2756" s="87"/>
    </row>
    <row r="2757" spans="34:34" ht="15" thickBot="1" x14ac:dyDescent="0.4">
      <c r="AH2757" s="87"/>
    </row>
    <row r="2758" spans="34:34" ht="15" thickBot="1" x14ac:dyDescent="0.4">
      <c r="AH2758" s="87"/>
    </row>
    <row r="2759" spans="34:34" ht="15" thickBot="1" x14ac:dyDescent="0.4">
      <c r="AH2759" s="87"/>
    </row>
    <row r="2760" spans="34:34" ht="15" thickBot="1" x14ac:dyDescent="0.4">
      <c r="AH2760" s="87"/>
    </row>
    <row r="2761" spans="34:34" ht="15" thickBot="1" x14ac:dyDescent="0.4">
      <c r="AH2761" s="87"/>
    </row>
    <row r="2762" spans="34:34" ht="15" thickBot="1" x14ac:dyDescent="0.4">
      <c r="AH2762" s="87"/>
    </row>
    <row r="2763" spans="34:34" ht="15" thickBot="1" x14ac:dyDescent="0.4">
      <c r="AH2763" s="87"/>
    </row>
    <row r="2764" spans="34:34" ht="15" thickBot="1" x14ac:dyDescent="0.4">
      <c r="AH2764" s="87"/>
    </row>
    <row r="2765" spans="34:34" ht="15" thickBot="1" x14ac:dyDescent="0.4">
      <c r="AH2765" s="87"/>
    </row>
    <row r="2766" spans="34:34" ht="15" thickBot="1" x14ac:dyDescent="0.4">
      <c r="AH2766" s="87"/>
    </row>
    <row r="2767" spans="34:34" ht="15" thickBot="1" x14ac:dyDescent="0.4">
      <c r="AH2767" s="87"/>
    </row>
    <row r="2768" spans="34:34" ht="15" thickBot="1" x14ac:dyDescent="0.4">
      <c r="AH2768" s="87"/>
    </row>
    <row r="2769" spans="34:34" ht="15" thickBot="1" x14ac:dyDescent="0.4">
      <c r="AH2769" s="87"/>
    </row>
    <row r="2770" spans="34:34" ht="15" thickBot="1" x14ac:dyDescent="0.4">
      <c r="AH2770" s="87"/>
    </row>
    <row r="2771" spans="34:34" ht="15" thickBot="1" x14ac:dyDescent="0.4">
      <c r="AH2771" s="87"/>
    </row>
    <row r="2772" spans="34:34" ht="15" thickBot="1" x14ac:dyDescent="0.4">
      <c r="AH2772" s="87"/>
    </row>
    <row r="2773" spans="34:34" ht="15" thickBot="1" x14ac:dyDescent="0.4">
      <c r="AH2773" s="87"/>
    </row>
    <row r="2774" spans="34:34" ht="15" thickBot="1" x14ac:dyDescent="0.4">
      <c r="AH2774" s="87"/>
    </row>
    <row r="2775" spans="34:34" ht="15" thickBot="1" x14ac:dyDescent="0.4">
      <c r="AH2775" s="87"/>
    </row>
    <row r="2776" spans="34:34" ht="15" thickBot="1" x14ac:dyDescent="0.4">
      <c r="AH2776" s="87"/>
    </row>
    <row r="2777" spans="34:34" ht="15" thickBot="1" x14ac:dyDescent="0.4">
      <c r="AH2777" s="87"/>
    </row>
    <row r="2778" spans="34:34" ht="15" thickBot="1" x14ac:dyDescent="0.4">
      <c r="AH2778" s="87"/>
    </row>
    <row r="2779" spans="34:34" ht="15" thickBot="1" x14ac:dyDescent="0.4">
      <c r="AH2779" s="87"/>
    </row>
    <row r="2780" spans="34:34" ht="15" thickBot="1" x14ac:dyDescent="0.4">
      <c r="AH2780" s="87"/>
    </row>
    <row r="2781" spans="34:34" ht="15" thickBot="1" x14ac:dyDescent="0.4">
      <c r="AH2781" s="87"/>
    </row>
    <row r="2782" spans="34:34" ht="15" thickBot="1" x14ac:dyDescent="0.4">
      <c r="AH2782" s="87"/>
    </row>
    <row r="2783" spans="34:34" ht="15" thickBot="1" x14ac:dyDescent="0.4">
      <c r="AH2783" s="87"/>
    </row>
    <row r="2784" spans="34:34" ht="15" thickBot="1" x14ac:dyDescent="0.4">
      <c r="AH2784" s="87"/>
    </row>
    <row r="2785" spans="34:34" ht="15" thickBot="1" x14ac:dyDescent="0.4">
      <c r="AH2785" s="87"/>
    </row>
    <row r="2786" spans="34:34" ht="15" thickBot="1" x14ac:dyDescent="0.4">
      <c r="AH2786" s="87"/>
    </row>
    <row r="2787" spans="34:34" ht="15" thickBot="1" x14ac:dyDescent="0.4">
      <c r="AH2787" s="87"/>
    </row>
    <row r="2788" spans="34:34" ht="15" thickBot="1" x14ac:dyDescent="0.4">
      <c r="AH2788" s="87"/>
    </row>
    <row r="2789" spans="34:34" ht="15" thickBot="1" x14ac:dyDescent="0.4">
      <c r="AH2789" s="87"/>
    </row>
    <row r="2790" spans="34:34" ht="15" thickBot="1" x14ac:dyDescent="0.4">
      <c r="AH2790" s="87"/>
    </row>
    <row r="2791" spans="34:34" ht="15" thickBot="1" x14ac:dyDescent="0.4">
      <c r="AH2791" s="87"/>
    </row>
    <row r="2792" spans="34:34" ht="15" thickBot="1" x14ac:dyDescent="0.4">
      <c r="AH2792" s="87"/>
    </row>
    <row r="2793" spans="34:34" ht="15" thickBot="1" x14ac:dyDescent="0.4">
      <c r="AH2793" s="87"/>
    </row>
    <row r="2794" spans="34:34" ht="15" thickBot="1" x14ac:dyDescent="0.4">
      <c r="AH2794" s="87"/>
    </row>
    <row r="2795" spans="34:34" ht="15" thickBot="1" x14ac:dyDescent="0.4">
      <c r="AH2795" s="87"/>
    </row>
    <row r="2796" spans="34:34" ht="15" thickBot="1" x14ac:dyDescent="0.4">
      <c r="AH2796" s="87"/>
    </row>
    <row r="2797" spans="34:34" ht="15" thickBot="1" x14ac:dyDescent="0.4">
      <c r="AH2797" s="87"/>
    </row>
    <row r="2798" spans="34:34" ht="15" thickBot="1" x14ac:dyDescent="0.4">
      <c r="AH2798" s="87"/>
    </row>
    <row r="2799" spans="34:34" ht="15" thickBot="1" x14ac:dyDescent="0.4">
      <c r="AH2799" s="87"/>
    </row>
    <row r="2800" spans="34:34" ht="15" thickBot="1" x14ac:dyDescent="0.4">
      <c r="AH2800" s="87"/>
    </row>
    <row r="2801" spans="34:34" ht="15" thickBot="1" x14ac:dyDescent="0.4">
      <c r="AH2801" s="87"/>
    </row>
    <row r="2802" spans="34:34" ht="15" thickBot="1" x14ac:dyDescent="0.4">
      <c r="AH2802" s="87"/>
    </row>
    <row r="2803" spans="34:34" ht="15" thickBot="1" x14ac:dyDescent="0.4">
      <c r="AH2803" s="87"/>
    </row>
    <row r="2804" spans="34:34" ht="15" thickBot="1" x14ac:dyDescent="0.4">
      <c r="AH2804" s="87"/>
    </row>
    <row r="2805" spans="34:34" ht="15" thickBot="1" x14ac:dyDescent="0.4">
      <c r="AH2805" s="87"/>
    </row>
    <row r="2806" spans="34:34" ht="15" thickBot="1" x14ac:dyDescent="0.4">
      <c r="AH2806" s="87"/>
    </row>
    <row r="2807" spans="34:34" ht="15" thickBot="1" x14ac:dyDescent="0.4">
      <c r="AH2807" s="87"/>
    </row>
    <row r="2808" spans="34:34" ht="15" thickBot="1" x14ac:dyDescent="0.4">
      <c r="AH2808" s="87"/>
    </row>
    <row r="2809" spans="34:34" ht="15" thickBot="1" x14ac:dyDescent="0.4">
      <c r="AH2809" s="87"/>
    </row>
    <row r="2810" spans="34:34" ht="15" thickBot="1" x14ac:dyDescent="0.4">
      <c r="AH2810" s="87"/>
    </row>
    <row r="2811" spans="34:34" ht="15" thickBot="1" x14ac:dyDescent="0.4">
      <c r="AH2811" s="87"/>
    </row>
    <row r="2812" spans="34:34" ht="15" thickBot="1" x14ac:dyDescent="0.4">
      <c r="AH2812" s="87"/>
    </row>
    <row r="2813" spans="34:34" ht="15" thickBot="1" x14ac:dyDescent="0.4">
      <c r="AH2813" s="87"/>
    </row>
    <row r="2814" spans="34:34" ht="15" thickBot="1" x14ac:dyDescent="0.4">
      <c r="AH2814" s="87"/>
    </row>
    <row r="2815" spans="34:34" ht="15" thickBot="1" x14ac:dyDescent="0.4">
      <c r="AH2815" s="87"/>
    </row>
    <row r="2816" spans="34:34" ht="15" thickBot="1" x14ac:dyDescent="0.4">
      <c r="AH2816" s="87"/>
    </row>
    <row r="2817" spans="34:34" ht="15" thickBot="1" x14ac:dyDescent="0.4">
      <c r="AH2817" s="87"/>
    </row>
    <row r="2818" spans="34:34" ht="15" thickBot="1" x14ac:dyDescent="0.4">
      <c r="AH2818" s="87"/>
    </row>
    <row r="2819" spans="34:34" ht="15" thickBot="1" x14ac:dyDescent="0.4">
      <c r="AH2819" s="87"/>
    </row>
    <row r="2820" spans="34:34" ht="15" thickBot="1" x14ac:dyDescent="0.4">
      <c r="AH2820" s="87"/>
    </row>
    <row r="2821" spans="34:34" ht="15" thickBot="1" x14ac:dyDescent="0.4">
      <c r="AH2821" s="87"/>
    </row>
    <row r="2822" spans="34:34" ht="15" thickBot="1" x14ac:dyDescent="0.4">
      <c r="AH2822" s="87"/>
    </row>
    <row r="2823" spans="34:34" ht="15" thickBot="1" x14ac:dyDescent="0.4">
      <c r="AH2823" s="87"/>
    </row>
    <row r="2824" spans="34:34" ht="15" thickBot="1" x14ac:dyDescent="0.4">
      <c r="AH2824" s="87"/>
    </row>
    <row r="2825" spans="34:34" ht="15" thickBot="1" x14ac:dyDescent="0.4">
      <c r="AH2825" s="87"/>
    </row>
    <row r="2826" spans="34:34" ht="15" thickBot="1" x14ac:dyDescent="0.4">
      <c r="AH2826" s="87"/>
    </row>
    <row r="2827" spans="34:34" ht="15" thickBot="1" x14ac:dyDescent="0.4">
      <c r="AH2827" s="87"/>
    </row>
    <row r="2828" spans="34:34" ht="15" thickBot="1" x14ac:dyDescent="0.4">
      <c r="AH2828" s="87"/>
    </row>
    <row r="2829" spans="34:34" ht="15" thickBot="1" x14ac:dyDescent="0.4">
      <c r="AH2829" s="87"/>
    </row>
    <row r="2830" spans="34:34" ht="15" thickBot="1" x14ac:dyDescent="0.4">
      <c r="AH2830" s="87"/>
    </row>
    <row r="2831" spans="34:34" ht="15" thickBot="1" x14ac:dyDescent="0.4">
      <c r="AH2831" s="87"/>
    </row>
    <row r="2832" spans="34:34" ht="15" thickBot="1" x14ac:dyDescent="0.4">
      <c r="AH2832" s="87"/>
    </row>
    <row r="2833" spans="34:34" ht="15" thickBot="1" x14ac:dyDescent="0.4">
      <c r="AH2833" s="87"/>
    </row>
    <row r="2834" spans="34:34" ht="15" thickBot="1" x14ac:dyDescent="0.4">
      <c r="AH2834" s="87"/>
    </row>
    <row r="2835" spans="34:34" ht="15" thickBot="1" x14ac:dyDescent="0.4">
      <c r="AH2835" s="87"/>
    </row>
    <row r="2836" spans="34:34" ht="15" thickBot="1" x14ac:dyDescent="0.4">
      <c r="AH2836" s="87"/>
    </row>
    <row r="2837" spans="34:34" ht="15" thickBot="1" x14ac:dyDescent="0.4">
      <c r="AH2837" s="87"/>
    </row>
    <row r="2838" spans="34:34" ht="15" thickBot="1" x14ac:dyDescent="0.4">
      <c r="AH2838" s="87"/>
    </row>
    <row r="2839" spans="34:34" ht="15" thickBot="1" x14ac:dyDescent="0.4">
      <c r="AH2839" s="87"/>
    </row>
    <row r="2840" spans="34:34" ht="15" thickBot="1" x14ac:dyDescent="0.4">
      <c r="AH2840" s="87"/>
    </row>
    <row r="2841" spans="34:34" ht="15" thickBot="1" x14ac:dyDescent="0.4">
      <c r="AH2841" s="87"/>
    </row>
    <row r="2842" spans="34:34" ht="15" thickBot="1" x14ac:dyDescent="0.4">
      <c r="AH2842" s="87"/>
    </row>
    <row r="2843" spans="34:34" ht="15" thickBot="1" x14ac:dyDescent="0.4">
      <c r="AH2843" s="87"/>
    </row>
    <row r="2844" spans="34:34" ht="15" thickBot="1" x14ac:dyDescent="0.4">
      <c r="AH2844" s="87"/>
    </row>
    <row r="2845" spans="34:34" ht="15" thickBot="1" x14ac:dyDescent="0.4">
      <c r="AH2845" s="87"/>
    </row>
    <row r="2846" spans="34:34" ht="15" thickBot="1" x14ac:dyDescent="0.4">
      <c r="AH2846" s="87"/>
    </row>
    <row r="2847" spans="34:34" ht="15" thickBot="1" x14ac:dyDescent="0.4">
      <c r="AH2847" s="87"/>
    </row>
    <row r="2848" spans="34:34" ht="15" thickBot="1" x14ac:dyDescent="0.4">
      <c r="AH2848" s="87"/>
    </row>
    <row r="2849" spans="34:34" ht="15" thickBot="1" x14ac:dyDescent="0.4">
      <c r="AH2849" s="87"/>
    </row>
    <row r="2850" spans="34:34" ht="15" thickBot="1" x14ac:dyDescent="0.4">
      <c r="AH2850" s="87"/>
    </row>
    <row r="2851" spans="34:34" ht="15" thickBot="1" x14ac:dyDescent="0.4">
      <c r="AH2851" s="87"/>
    </row>
    <row r="2852" spans="34:34" ht="15" thickBot="1" x14ac:dyDescent="0.4">
      <c r="AH2852" s="87"/>
    </row>
    <row r="2853" spans="34:34" ht="15" thickBot="1" x14ac:dyDescent="0.4">
      <c r="AH2853" s="87"/>
    </row>
    <row r="2854" spans="34:34" ht="15" thickBot="1" x14ac:dyDescent="0.4">
      <c r="AH2854" s="87"/>
    </row>
    <row r="2855" spans="34:34" ht="15" thickBot="1" x14ac:dyDescent="0.4">
      <c r="AH2855" s="87"/>
    </row>
    <row r="2856" spans="34:34" ht="15" thickBot="1" x14ac:dyDescent="0.4">
      <c r="AH2856" s="87"/>
    </row>
    <row r="2857" spans="34:34" ht="15" thickBot="1" x14ac:dyDescent="0.4">
      <c r="AH2857" s="87"/>
    </row>
    <row r="2858" spans="34:34" ht="15" thickBot="1" x14ac:dyDescent="0.4">
      <c r="AH2858" s="87"/>
    </row>
    <row r="2859" spans="34:34" ht="15" thickBot="1" x14ac:dyDescent="0.4">
      <c r="AH2859" s="87"/>
    </row>
    <row r="2860" spans="34:34" ht="15" thickBot="1" x14ac:dyDescent="0.4">
      <c r="AH2860" s="87"/>
    </row>
    <row r="2861" spans="34:34" ht="15" thickBot="1" x14ac:dyDescent="0.4">
      <c r="AH2861" s="87"/>
    </row>
    <row r="2862" spans="34:34" ht="15" thickBot="1" x14ac:dyDescent="0.4">
      <c r="AH2862" s="87"/>
    </row>
    <row r="2863" spans="34:34" ht="15" thickBot="1" x14ac:dyDescent="0.4">
      <c r="AH2863" s="87"/>
    </row>
    <row r="2864" spans="34:34" ht="15" thickBot="1" x14ac:dyDescent="0.4">
      <c r="AH2864" s="87"/>
    </row>
    <row r="2865" spans="34:34" ht="15" thickBot="1" x14ac:dyDescent="0.4">
      <c r="AH2865" s="87"/>
    </row>
    <row r="2866" spans="34:34" ht="15" thickBot="1" x14ac:dyDescent="0.4">
      <c r="AH2866" s="87"/>
    </row>
    <row r="2867" spans="34:34" ht="15" thickBot="1" x14ac:dyDescent="0.4">
      <c r="AH2867" s="87"/>
    </row>
    <row r="2868" spans="34:34" ht="15" thickBot="1" x14ac:dyDescent="0.4">
      <c r="AH2868" s="87"/>
    </row>
    <row r="2869" spans="34:34" ht="15" thickBot="1" x14ac:dyDescent="0.4">
      <c r="AH2869" s="87"/>
    </row>
    <row r="2870" spans="34:34" ht="15" thickBot="1" x14ac:dyDescent="0.4">
      <c r="AH2870" s="87"/>
    </row>
    <row r="2871" spans="34:34" ht="15" thickBot="1" x14ac:dyDescent="0.4">
      <c r="AH2871" s="87"/>
    </row>
    <row r="2872" spans="34:34" ht="15" thickBot="1" x14ac:dyDescent="0.4">
      <c r="AH2872" s="87"/>
    </row>
    <row r="2873" spans="34:34" ht="15" thickBot="1" x14ac:dyDescent="0.4">
      <c r="AH2873" s="87"/>
    </row>
    <row r="2874" spans="34:34" ht="15" thickBot="1" x14ac:dyDescent="0.4">
      <c r="AH2874" s="87"/>
    </row>
    <row r="2875" spans="34:34" ht="15" thickBot="1" x14ac:dyDescent="0.4">
      <c r="AH2875" s="87"/>
    </row>
    <row r="2876" spans="34:34" ht="15" thickBot="1" x14ac:dyDescent="0.4">
      <c r="AH2876" s="87"/>
    </row>
    <row r="2877" spans="34:34" ht="15" thickBot="1" x14ac:dyDescent="0.4">
      <c r="AH2877" s="87"/>
    </row>
    <row r="2878" spans="34:34" ht="15" thickBot="1" x14ac:dyDescent="0.4">
      <c r="AH2878" s="87"/>
    </row>
    <row r="2879" spans="34:34" ht="15" thickBot="1" x14ac:dyDescent="0.4">
      <c r="AH2879" s="87"/>
    </row>
    <row r="2880" spans="34:34" ht="15" thickBot="1" x14ac:dyDescent="0.4">
      <c r="AH2880" s="87"/>
    </row>
    <row r="2881" spans="34:34" ht="15" thickBot="1" x14ac:dyDescent="0.4">
      <c r="AH2881" s="87"/>
    </row>
    <row r="2882" spans="34:34" ht="15" thickBot="1" x14ac:dyDescent="0.4">
      <c r="AH2882" s="87"/>
    </row>
    <row r="2883" spans="34:34" ht="15" thickBot="1" x14ac:dyDescent="0.4">
      <c r="AH2883" s="87"/>
    </row>
    <row r="2884" spans="34:34" ht="15" thickBot="1" x14ac:dyDescent="0.4">
      <c r="AH2884" s="87"/>
    </row>
    <row r="2885" spans="34:34" ht="15" thickBot="1" x14ac:dyDescent="0.4">
      <c r="AH2885" s="87"/>
    </row>
    <row r="2886" spans="34:34" ht="15" thickBot="1" x14ac:dyDescent="0.4">
      <c r="AH2886" s="87"/>
    </row>
    <row r="2887" spans="34:34" ht="15" thickBot="1" x14ac:dyDescent="0.4">
      <c r="AH2887" s="87"/>
    </row>
    <row r="2888" spans="34:34" ht="15" thickBot="1" x14ac:dyDescent="0.4">
      <c r="AH2888" s="87"/>
    </row>
    <row r="2889" spans="34:34" ht="15" thickBot="1" x14ac:dyDescent="0.4">
      <c r="AH2889" s="87"/>
    </row>
    <row r="2890" spans="34:34" ht="15" thickBot="1" x14ac:dyDescent="0.4">
      <c r="AH2890" s="87"/>
    </row>
    <row r="2891" spans="34:34" ht="15" thickBot="1" x14ac:dyDescent="0.4">
      <c r="AH2891" s="87"/>
    </row>
    <row r="2892" spans="34:34" ht="15" thickBot="1" x14ac:dyDescent="0.4">
      <c r="AH2892" s="87"/>
    </row>
    <row r="2893" spans="34:34" ht="15" thickBot="1" x14ac:dyDescent="0.4">
      <c r="AH2893" s="87"/>
    </row>
    <row r="2894" spans="34:34" ht="15" thickBot="1" x14ac:dyDescent="0.4">
      <c r="AH2894" s="87"/>
    </row>
    <row r="2895" spans="34:34" ht="15" thickBot="1" x14ac:dyDescent="0.4">
      <c r="AH2895" s="87"/>
    </row>
    <row r="2896" spans="34:34" ht="15" thickBot="1" x14ac:dyDescent="0.4">
      <c r="AH2896" s="87"/>
    </row>
    <row r="2897" spans="34:34" ht="15" thickBot="1" x14ac:dyDescent="0.4">
      <c r="AH2897" s="87"/>
    </row>
    <row r="2898" spans="34:34" ht="15" thickBot="1" x14ac:dyDescent="0.4">
      <c r="AH2898" s="87"/>
    </row>
    <row r="2899" spans="34:34" ht="15" thickBot="1" x14ac:dyDescent="0.4">
      <c r="AH2899" s="87"/>
    </row>
    <row r="2900" spans="34:34" ht="15" thickBot="1" x14ac:dyDescent="0.4">
      <c r="AH2900" s="87"/>
    </row>
    <row r="2901" spans="34:34" ht="15" thickBot="1" x14ac:dyDescent="0.4">
      <c r="AH2901" s="87"/>
    </row>
    <row r="2902" spans="34:34" ht="15" thickBot="1" x14ac:dyDescent="0.4">
      <c r="AH2902" s="87"/>
    </row>
    <row r="2903" spans="34:34" ht="15" thickBot="1" x14ac:dyDescent="0.4">
      <c r="AH2903" s="87"/>
    </row>
    <row r="2904" spans="34:34" ht="15" thickBot="1" x14ac:dyDescent="0.4">
      <c r="AH2904" s="87"/>
    </row>
    <row r="2905" spans="34:34" ht="15" thickBot="1" x14ac:dyDescent="0.4">
      <c r="AH2905" s="87"/>
    </row>
    <row r="2906" spans="34:34" ht="15" thickBot="1" x14ac:dyDescent="0.4">
      <c r="AH2906" s="87"/>
    </row>
    <row r="2907" spans="34:34" ht="15" thickBot="1" x14ac:dyDescent="0.4">
      <c r="AH2907" s="87"/>
    </row>
    <row r="2908" spans="34:34" ht="15" thickBot="1" x14ac:dyDescent="0.4">
      <c r="AH2908" s="87"/>
    </row>
    <row r="2909" spans="34:34" ht="15" thickBot="1" x14ac:dyDescent="0.4">
      <c r="AH2909" s="87"/>
    </row>
    <row r="2910" spans="34:34" ht="15" thickBot="1" x14ac:dyDescent="0.4">
      <c r="AH2910" s="87"/>
    </row>
    <row r="2911" spans="34:34" ht="15" thickBot="1" x14ac:dyDescent="0.4">
      <c r="AH2911" s="87"/>
    </row>
    <row r="2912" spans="34:34" ht="15" thickBot="1" x14ac:dyDescent="0.4">
      <c r="AH2912" s="87"/>
    </row>
    <row r="2913" spans="34:34" ht="15" thickBot="1" x14ac:dyDescent="0.4">
      <c r="AH2913" s="87"/>
    </row>
    <row r="2914" spans="34:34" ht="15" thickBot="1" x14ac:dyDescent="0.4">
      <c r="AH2914" s="87"/>
    </row>
    <row r="2915" spans="34:34" ht="15" thickBot="1" x14ac:dyDescent="0.4">
      <c r="AH2915" s="87"/>
    </row>
    <row r="2916" spans="34:34" ht="15" thickBot="1" x14ac:dyDescent="0.4">
      <c r="AH2916" s="87"/>
    </row>
    <row r="2917" spans="34:34" ht="15" thickBot="1" x14ac:dyDescent="0.4">
      <c r="AH2917" s="87"/>
    </row>
    <row r="2918" spans="34:34" ht="15" thickBot="1" x14ac:dyDescent="0.4">
      <c r="AH2918" s="87"/>
    </row>
    <row r="2919" spans="34:34" ht="15" thickBot="1" x14ac:dyDescent="0.4">
      <c r="AH2919" s="87"/>
    </row>
    <row r="2920" spans="34:34" ht="15" thickBot="1" x14ac:dyDescent="0.4">
      <c r="AH2920" s="87"/>
    </row>
    <row r="2921" spans="34:34" ht="15" thickBot="1" x14ac:dyDescent="0.4">
      <c r="AH2921" s="87"/>
    </row>
    <row r="2922" spans="34:34" ht="15" thickBot="1" x14ac:dyDescent="0.4">
      <c r="AH2922" s="87"/>
    </row>
    <row r="2923" spans="34:34" ht="15" thickBot="1" x14ac:dyDescent="0.4">
      <c r="AH2923" s="87"/>
    </row>
    <row r="2924" spans="34:34" ht="15" thickBot="1" x14ac:dyDescent="0.4">
      <c r="AH2924" s="87"/>
    </row>
    <row r="2925" spans="34:34" ht="15" thickBot="1" x14ac:dyDescent="0.4">
      <c r="AH2925" s="87"/>
    </row>
    <row r="2926" spans="34:34" ht="15" thickBot="1" x14ac:dyDescent="0.4">
      <c r="AH2926" s="87"/>
    </row>
    <row r="2927" spans="34:34" ht="15" thickBot="1" x14ac:dyDescent="0.4">
      <c r="AH2927" s="87"/>
    </row>
    <row r="2928" spans="34:34" ht="15" thickBot="1" x14ac:dyDescent="0.4">
      <c r="AH2928" s="87"/>
    </row>
    <row r="2929" spans="34:34" ht="15" thickBot="1" x14ac:dyDescent="0.4">
      <c r="AH2929" s="87"/>
    </row>
    <row r="2930" spans="34:34" ht="15" thickBot="1" x14ac:dyDescent="0.4">
      <c r="AH2930" s="87"/>
    </row>
    <row r="2931" spans="34:34" ht="15" thickBot="1" x14ac:dyDescent="0.4">
      <c r="AH2931" s="87"/>
    </row>
    <row r="2932" spans="34:34" ht="15" thickBot="1" x14ac:dyDescent="0.4">
      <c r="AH2932" s="87"/>
    </row>
    <row r="2933" spans="34:34" ht="15" thickBot="1" x14ac:dyDescent="0.4">
      <c r="AH2933" s="87"/>
    </row>
    <row r="2934" spans="34:34" ht="15" thickBot="1" x14ac:dyDescent="0.4">
      <c r="AH2934" s="87"/>
    </row>
    <row r="2935" spans="34:34" ht="15" thickBot="1" x14ac:dyDescent="0.4">
      <c r="AH2935" s="87"/>
    </row>
    <row r="2936" spans="34:34" ht="15" thickBot="1" x14ac:dyDescent="0.4">
      <c r="AH2936" s="87"/>
    </row>
    <row r="2937" spans="34:34" ht="15" thickBot="1" x14ac:dyDescent="0.4">
      <c r="AH2937" s="87"/>
    </row>
    <row r="2938" spans="34:34" ht="15" thickBot="1" x14ac:dyDescent="0.4">
      <c r="AH2938" s="87"/>
    </row>
    <row r="2939" spans="34:34" ht="15" thickBot="1" x14ac:dyDescent="0.4">
      <c r="AH2939" s="87"/>
    </row>
    <row r="2940" spans="34:34" ht="15" thickBot="1" x14ac:dyDescent="0.4">
      <c r="AH2940" s="87"/>
    </row>
    <row r="2941" spans="34:34" ht="15" thickBot="1" x14ac:dyDescent="0.4">
      <c r="AH2941" s="87"/>
    </row>
    <row r="2942" spans="34:34" ht="15" thickBot="1" x14ac:dyDescent="0.4">
      <c r="AH2942" s="87"/>
    </row>
    <row r="2943" spans="34:34" ht="15" thickBot="1" x14ac:dyDescent="0.4">
      <c r="AH2943" s="87"/>
    </row>
    <row r="2944" spans="34:34" ht="15" thickBot="1" x14ac:dyDescent="0.4">
      <c r="AH2944" s="87"/>
    </row>
    <row r="2945" spans="34:34" ht="15" thickBot="1" x14ac:dyDescent="0.4">
      <c r="AH2945" s="87"/>
    </row>
    <row r="2946" spans="34:34" ht="15" thickBot="1" x14ac:dyDescent="0.4">
      <c r="AH2946" s="87"/>
    </row>
    <row r="2947" spans="34:34" ht="15" thickBot="1" x14ac:dyDescent="0.4">
      <c r="AH2947" s="87"/>
    </row>
    <row r="2948" spans="34:34" ht="15" thickBot="1" x14ac:dyDescent="0.4">
      <c r="AH2948" s="87"/>
    </row>
    <row r="2949" spans="34:34" ht="15" thickBot="1" x14ac:dyDescent="0.4">
      <c r="AH2949" s="87"/>
    </row>
    <row r="2950" spans="34:34" ht="15" thickBot="1" x14ac:dyDescent="0.4">
      <c r="AH2950" s="87"/>
    </row>
    <row r="2951" spans="34:34" ht="15" thickBot="1" x14ac:dyDescent="0.4">
      <c r="AH2951" s="87"/>
    </row>
    <row r="2952" spans="34:34" ht="15" thickBot="1" x14ac:dyDescent="0.4">
      <c r="AH2952" s="87"/>
    </row>
    <row r="2953" spans="34:34" ht="15" thickBot="1" x14ac:dyDescent="0.4">
      <c r="AH2953" s="87"/>
    </row>
    <row r="2954" spans="34:34" ht="15" thickBot="1" x14ac:dyDescent="0.4">
      <c r="AH2954" s="87"/>
    </row>
    <row r="2955" spans="34:34" ht="15" thickBot="1" x14ac:dyDescent="0.4">
      <c r="AH2955" s="87"/>
    </row>
    <row r="2956" spans="34:34" ht="15" thickBot="1" x14ac:dyDescent="0.4">
      <c r="AH2956" s="87"/>
    </row>
    <row r="2957" spans="34:34" ht="15" thickBot="1" x14ac:dyDescent="0.4">
      <c r="AH2957" s="87"/>
    </row>
    <row r="2958" spans="34:34" ht="15" thickBot="1" x14ac:dyDescent="0.4">
      <c r="AH2958" s="87"/>
    </row>
    <row r="2959" spans="34:34" ht="15" thickBot="1" x14ac:dyDescent="0.4">
      <c r="AH2959" s="87"/>
    </row>
    <row r="2960" spans="34:34" ht="15" thickBot="1" x14ac:dyDescent="0.4">
      <c r="AH2960" s="87"/>
    </row>
    <row r="2961" spans="34:34" ht="15" thickBot="1" x14ac:dyDescent="0.4">
      <c r="AH2961" s="87"/>
    </row>
    <row r="2962" spans="34:34" ht="15" thickBot="1" x14ac:dyDescent="0.4">
      <c r="AH2962" s="87"/>
    </row>
    <row r="2963" spans="34:34" ht="15" thickBot="1" x14ac:dyDescent="0.4">
      <c r="AH2963" s="87"/>
    </row>
    <row r="2964" spans="34:34" ht="15" thickBot="1" x14ac:dyDescent="0.4">
      <c r="AH2964" s="87"/>
    </row>
    <row r="2965" spans="34:34" ht="15" thickBot="1" x14ac:dyDescent="0.4">
      <c r="AH2965" s="87"/>
    </row>
    <row r="2966" spans="34:34" ht="15" thickBot="1" x14ac:dyDescent="0.4">
      <c r="AH2966" s="87"/>
    </row>
    <row r="2967" spans="34:34" ht="15" thickBot="1" x14ac:dyDescent="0.4">
      <c r="AH2967" s="87"/>
    </row>
    <row r="2968" spans="34:34" ht="15" thickBot="1" x14ac:dyDescent="0.4">
      <c r="AH2968" s="87"/>
    </row>
    <row r="2969" spans="34:34" ht="15" thickBot="1" x14ac:dyDescent="0.4">
      <c r="AH2969" s="87"/>
    </row>
    <row r="2970" spans="34:34" ht="15" thickBot="1" x14ac:dyDescent="0.4">
      <c r="AH2970" s="87"/>
    </row>
    <row r="2971" spans="34:34" ht="15" thickBot="1" x14ac:dyDescent="0.4">
      <c r="AH2971" s="87"/>
    </row>
    <row r="2972" spans="34:34" ht="15" thickBot="1" x14ac:dyDescent="0.4">
      <c r="AH2972" s="87"/>
    </row>
    <row r="2973" spans="34:34" ht="15" thickBot="1" x14ac:dyDescent="0.4">
      <c r="AH2973" s="87"/>
    </row>
    <row r="2974" spans="34:34" ht="15" thickBot="1" x14ac:dyDescent="0.4">
      <c r="AH2974" s="87"/>
    </row>
    <row r="2975" spans="34:34" ht="15" thickBot="1" x14ac:dyDescent="0.4">
      <c r="AH2975" s="87"/>
    </row>
    <row r="2976" spans="34:34" ht="15" thickBot="1" x14ac:dyDescent="0.4">
      <c r="AH2976" s="87"/>
    </row>
    <row r="2977" spans="34:34" ht="15" thickBot="1" x14ac:dyDescent="0.4">
      <c r="AH2977" s="87"/>
    </row>
    <row r="2978" spans="34:34" ht="15" thickBot="1" x14ac:dyDescent="0.4">
      <c r="AH2978" s="87"/>
    </row>
    <row r="2979" spans="34:34" ht="15" thickBot="1" x14ac:dyDescent="0.4">
      <c r="AH2979" s="87"/>
    </row>
    <row r="2980" spans="34:34" ht="15" thickBot="1" x14ac:dyDescent="0.4">
      <c r="AH2980" s="87"/>
    </row>
    <row r="2981" spans="34:34" ht="15" thickBot="1" x14ac:dyDescent="0.4">
      <c r="AH2981" s="87"/>
    </row>
    <row r="2982" spans="34:34" ht="15" thickBot="1" x14ac:dyDescent="0.4">
      <c r="AH2982" s="87"/>
    </row>
    <row r="2983" spans="34:34" ht="15" thickBot="1" x14ac:dyDescent="0.4">
      <c r="AH2983" s="87"/>
    </row>
    <row r="2984" spans="34:34" ht="15" thickBot="1" x14ac:dyDescent="0.4">
      <c r="AH2984" s="87"/>
    </row>
    <row r="2985" spans="34:34" ht="15" thickBot="1" x14ac:dyDescent="0.4">
      <c r="AH2985" s="87"/>
    </row>
    <row r="2986" spans="34:34" ht="15" thickBot="1" x14ac:dyDescent="0.4">
      <c r="AH2986" s="87"/>
    </row>
    <row r="2987" spans="34:34" ht="15" thickBot="1" x14ac:dyDescent="0.4">
      <c r="AH2987" s="87"/>
    </row>
    <row r="2988" spans="34:34" ht="15" thickBot="1" x14ac:dyDescent="0.4">
      <c r="AH2988" s="87"/>
    </row>
    <row r="2989" spans="34:34" ht="15" thickBot="1" x14ac:dyDescent="0.4">
      <c r="AH2989" s="87"/>
    </row>
    <row r="2990" spans="34:34" ht="15" thickBot="1" x14ac:dyDescent="0.4">
      <c r="AH2990" s="87"/>
    </row>
    <row r="2991" spans="34:34" ht="15" thickBot="1" x14ac:dyDescent="0.4">
      <c r="AH2991" s="87"/>
    </row>
    <row r="2992" spans="34:34" ht="15" thickBot="1" x14ac:dyDescent="0.4">
      <c r="AH2992" s="87"/>
    </row>
    <row r="2993" spans="34:34" ht="15" thickBot="1" x14ac:dyDescent="0.4">
      <c r="AH2993" s="87"/>
    </row>
    <row r="2994" spans="34:34" ht="15" thickBot="1" x14ac:dyDescent="0.4">
      <c r="AH2994" s="87"/>
    </row>
    <row r="2995" spans="34:34" ht="15" thickBot="1" x14ac:dyDescent="0.4">
      <c r="AH2995" s="87"/>
    </row>
    <row r="2996" spans="34:34" ht="15" thickBot="1" x14ac:dyDescent="0.4">
      <c r="AH2996" s="87"/>
    </row>
    <row r="2997" spans="34:34" ht="15" thickBot="1" x14ac:dyDescent="0.4">
      <c r="AH2997" s="87"/>
    </row>
    <row r="2998" spans="34:34" ht="15" thickBot="1" x14ac:dyDescent="0.4">
      <c r="AH2998" s="87"/>
    </row>
    <row r="2999" spans="34:34" ht="15" thickBot="1" x14ac:dyDescent="0.4">
      <c r="AH2999" s="87"/>
    </row>
    <row r="3000" spans="34:34" ht="15" thickBot="1" x14ac:dyDescent="0.4">
      <c r="AH3000" s="87"/>
    </row>
    <row r="3001" spans="34:34" ht="15" thickBot="1" x14ac:dyDescent="0.4">
      <c r="AH3001" s="87"/>
    </row>
    <row r="3002" spans="34:34" ht="15" thickBot="1" x14ac:dyDescent="0.4">
      <c r="AH3002" s="87"/>
    </row>
    <row r="3003" spans="34:34" ht="15" thickBot="1" x14ac:dyDescent="0.4">
      <c r="AH3003" s="87"/>
    </row>
    <row r="3004" spans="34:34" ht="15" thickBot="1" x14ac:dyDescent="0.4">
      <c r="AH3004" s="87"/>
    </row>
    <row r="3005" spans="34:34" ht="15" thickBot="1" x14ac:dyDescent="0.4">
      <c r="AH3005" s="87"/>
    </row>
    <row r="3006" spans="34:34" ht="15" thickBot="1" x14ac:dyDescent="0.4">
      <c r="AH3006" s="87"/>
    </row>
    <row r="3007" spans="34:34" ht="15" thickBot="1" x14ac:dyDescent="0.4">
      <c r="AH3007" s="87"/>
    </row>
    <row r="3008" spans="34:34" ht="15" thickBot="1" x14ac:dyDescent="0.4">
      <c r="AH3008" s="87"/>
    </row>
    <row r="3009" spans="34:34" ht="15" thickBot="1" x14ac:dyDescent="0.4">
      <c r="AH3009" s="87"/>
    </row>
    <row r="3010" spans="34:34" ht="15" thickBot="1" x14ac:dyDescent="0.4">
      <c r="AH3010" s="87"/>
    </row>
    <row r="3011" spans="34:34" ht="15" thickBot="1" x14ac:dyDescent="0.4">
      <c r="AH3011" s="87"/>
    </row>
    <row r="3012" spans="34:34" ht="15" thickBot="1" x14ac:dyDescent="0.4">
      <c r="AH3012" s="87"/>
    </row>
    <row r="3013" spans="34:34" ht="15" thickBot="1" x14ac:dyDescent="0.4">
      <c r="AH3013" s="87"/>
    </row>
    <row r="3014" spans="34:34" ht="15" thickBot="1" x14ac:dyDescent="0.4">
      <c r="AH3014" s="87"/>
    </row>
    <row r="3015" spans="34:34" ht="15" thickBot="1" x14ac:dyDescent="0.4">
      <c r="AH3015" s="87"/>
    </row>
    <row r="3016" spans="34:34" ht="15" thickBot="1" x14ac:dyDescent="0.4">
      <c r="AH3016" s="87"/>
    </row>
    <row r="3017" spans="34:34" ht="15" thickBot="1" x14ac:dyDescent="0.4">
      <c r="AH3017" s="87"/>
    </row>
    <row r="3018" spans="34:34" ht="15" thickBot="1" x14ac:dyDescent="0.4">
      <c r="AH3018" s="87"/>
    </row>
    <row r="3019" spans="34:34" ht="15" thickBot="1" x14ac:dyDescent="0.4">
      <c r="AH3019" s="87"/>
    </row>
    <row r="3020" spans="34:34" ht="15" thickBot="1" x14ac:dyDescent="0.4">
      <c r="AH3020" s="87"/>
    </row>
    <row r="3021" spans="34:34" ht="15" thickBot="1" x14ac:dyDescent="0.4">
      <c r="AH3021" s="87"/>
    </row>
    <row r="3022" spans="34:34" ht="15" thickBot="1" x14ac:dyDescent="0.4">
      <c r="AH3022" s="87"/>
    </row>
    <row r="3023" spans="34:34" ht="15" thickBot="1" x14ac:dyDescent="0.4">
      <c r="AH3023" s="87"/>
    </row>
    <row r="3024" spans="34:34" ht="15" thickBot="1" x14ac:dyDescent="0.4">
      <c r="AH3024" s="87"/>
    </row>
    <row r="3025" spans="34:34" ht="15" thickBot="1" x14ac:dyDescent="0.4">
      <c r="AH3025" s="87"/>
    </row>
    <row r="3026" spans="34:34" ht="15" thickBot="1" x14ac:dyDescent="0.4">
      <c r="AH3026" s="87"/>
    </row>
    <row r="3027" spans="34:34" ht="15" thickBot="1" x14ac:dyDescent="0.4">
      <c r="AH3027" s="87"/>
    </row>
    <row r="3028" spans="34:34" ht="15" thickBot="1" x14ac:dyDescent="0.4">
      <c r="AH3028" s="87"/>
    </row>
    <row r="3029" spans="34:34" ht="15" thickBot="1" x14ac:dyDescent="0.4">
      <c r="AH3029" s="87"/>
    </row>
    <row r="3030" spans="34:34" ht="15" thickBot="1" x14ac:dyDescent="0.4">
      <c r="AH3030" s="87"/>
    </row>
    <row r="3031" spans="34:34" ht="15" thickBot="1" x14ac:dyDescent="0.4">
      <c r="AH3031" s="87"/>
    </row>
    <row r="3032" spans="34:34" ht="15" thickBot="1" x14ac:dyDescent="0.4">
      <c r="AH3032" s="87"/>
    </row>
    <row r="3033" spans="34:34" ht="15" thickBot="1" x14ac:dyDescent="0.4">
      <c r="AH3033" s="87"/>
    </row>
    <row r="3034" spans="34:34" ht="15" thickBot="1" x14ac:dyDescent="0.4">
      <c r="AH3034" s="87"/>
    </row>
    <row r="3035" spans="34:34" ht="15" thickBot="1" x14ac:dyDescent="0.4">
      <c r="AH3035" s="87"/>
    </row>
    <row r="3036" spans="34:34" ht="15" thickBot="1" x14ac:dyDescent="0.4">
      <c r="AH3036" s="87"/>
    </row>
    <row r="3037" spans="34:34" ht="15" thickBot="1" x14ac:dyDescent="0.4">
      <c r="AH3037" s="87"/>
    </row>
    <row r="3038" spans="34:34" ht="15" thickBot="1" x14ac:dyDescent="0.4">
      <c r="AH3038" s="87"/>
    </row>
    <row r="3039" spans="34:34" ht="15" thickBot="1" x14ac:dyDescent="0.4">
      <c r="AH3039" s="87"/>
    </row>
    <row r="3040" spans="34:34" ht="15" thickBot="1" x14ac:dyDescent="0.4">
      <c r="AH3040" s="87"/>
    </row>
    <row r="3041" spans="34:34" ht="15" thickBot="1" x14ac:dyDescent="0.4">
      <c r="AH3041" s="87"/>
    </row>
    <row r="3042" spans="34:34" ht="15" thickBot="1" x14ac:dyDescent="0.4">
      <c r="AH3042" s="87"/>
    </row>
    <row r="3043" spans="34:34" ht="15" thickBot="1" x14ac:dyDescent="0.4">
      <c r="AH3043" s="87"/>
    </row>
    <row r="3044" spans="34:34" ht="15" thickBot="1" x14ac:dyDescent="0.4">
      <c r="AH3044" s="87"/>
    </row>
    <row r="3045" spans="34:34" ht="15" thickBot="1" x14ac:dyDescent="0.4">
      <c r="AH3045" s="87"/>
    </row>
    <row r="3046" spans="34:34" ht="15" thickBot="1" x14ac:dyDescent="0.4">
      <c r="AH3046" s="87"/>
    </row>
    <row r="3047" spans="34:34" ht="15" thickBot="1" x14ac:dyDescent="0.4">
      <c r="AH3047" s="87"/>
    </row>
    <row r="3048" spans="34:34" ht="15" thickBot="1" x14ac:dyDescent="0.4">
      <c r="AH3048" s="87"/>
    </row>
    <row r="3049" spans="34:34" ht="15" thickBot="1" x14ac:dyDescent="0.4">
      <c r="AH3049" s="87"/>
    </row>
    <row r="3050" spans="34:34" ht="15" thickBot="1" x14ac:dyDescent="0.4">
      <c r="AH3050" s="87"/>
    </row>
    <row r="3051" spans="34:34" ht="15" thickBot="1" x14ac:dyDescent="0.4">
      <c r="AH3051" s="87"/>
    </row>
    <row r="3052" spans="34:34" ht="15" thickBot="1" x14ac:dyDescent="0.4">
      <c r="AH3052" s="87"/>
    </row>
    <row r="3053" spans="34:34" ht="15" thickBot="1" x14ac:dyDescent="0.4">
      <c r="AH3053" s="87"/>
    </row>
    <row r="3054" spans="34:34" ht="15" thickBot="1" x14ac:dyDescent="0.4">
      <c r="AH3054" s="87"/>
    </row>
    <row r="3055" spans="34:34" ht="15" thickBot="1" x14ac:dyDescent="0.4">
      <c r="AH3055" s="87"/>
    </row>
    <row r="3056" spans="34:34" ht="15" thickBot="1" x14ac:dyDescent="0.4">
      <c r="AH3056" s="87"/>
    </row>
    <row r="3057" spans="34:34" ht="15" thickBot="1" x14ac:dyDescent="0.4">
      <c r="AH3057" s="87"/>
    </row>
    <row r="3058" spans="34:34" ht="15" thickBot="1" x14ac:dyDescent="0.4">
      <c r="AH3058" s="87"/>
    </row>
    <row r="3059" spans="34:34" ht="15" thickBot="1" x14ac:dyDescent="0.4">
      <c r="AH3059" s="87"/>
    </row>
    <row r="3060" spans="34:34" ht="15" thickBot="1" x14ac:dyDescent="0.4">
      <c r="AH3060" s="87"/>
    </row>
    <row r="3061" spans="34:34" ht="15" thickBot="1" x14ac:dyDescent="0.4">
      <c r="AH3061" s="87"/>
    </row>
    <row r="3062" spans="34:34" ht="15" thickBot="1" x14ac:dyDescent="0.4">
      <c r="AH3062" s="87"/>
    </row>
    <row r="3063" spans="34:34" ht="15" thickBot="1" x14ac:dyDescent="0.4">
      <c r="AH3063" s="87"/>
    </row>
    <row r="3064" spans="34:34" ht="15" thickBot="1" x14ac:dyDescent="0.4">
      <c r="AH3064" s="87"/>
    </row>
    <row r="3065" spans="34:34" ht="15" thickBot="1" x14ac:dyDescent="0.4">
      <c r="AH3065" s="87"/>
    </row>
    <row r="3066" spans="34:34" ht="15" thickBot="1" x14ac:dyDescent="0.4">
      <c r="AH3066" s="87"/>
    </row>
    <row r="3067" spans="34:34" ht="15" thickBot="1" x14ac:dyDescent="0.4">
      <c r="AH3067" s="87"/>
    </row>
    <row r="3068" spans="34:34" ht="15" thickBot="1" x14ac:dyDescent="0.4">
      <c r="AH3068" s="87"/>
    </row>
    <row r="3069" spans="34:34" ht="15" thickBot="1" x14ac:dyDescent="0.4">
      <c r="AH3069" s="87"/>
    </row>
    <row r="3070" spans="34:34" ht="15" thickBot="1" x14ac:dyDescent="0.4">
      <c r="AH3070" s="87"/>
    </row>
    <row r="3071" spans="34:34" ht="15" thickBot="1" x14ac:dyDescent="0.4">
      <c r="AH3071" s="87"/>
    </row>
    <row r="3072" spans="34:34" ht="15" thickBot="1" x14ac:dyDescent="0.4">
      <c r="AH3072" s="87"/>
    </row>
    <row r="3073" spans="34:34" ht="15" thickBot="1" x14ac:dyDescent="0.4">
      <c r="AH3073" s="87"/>
    </row>
    <row r="3074" spans="34:34" ht="15" thickBot="1" x14ac:dyDescent="0.4">
      <c r="AH3074" s="87"/>
    </row>
    <row r="3075" spans="34:34" ht="15" thickBot="1" x14ac:dyDescent="0.4">
      <c r="AH3075" s="87"/>
    </row>
    <row r="3076" spans="34:34" ht="15" thickBot="1" x14ac:dyDescent="0.4">
      <c r="AH3076" s="87"/>
    </row>
    <row r="3077" spans="34:34" ht="15" thickBot="1" x14ac:dyDescent="0.4">
      <c r="AH3077" s="87"/>
    </row>
    <row r="3078" spans="34:34" ht="15" thickBot="1" x14ac:dyDescent="0.4">
      <c r="AH3078" s="87"/>
    </row>
    <row r="3079" spans="34:34" ht="15" thickBot="1" x14ac:dyDescent="0.4">
      <c r="AH3079" s="87"/>
    </row>
    <row r="3080" spans="34:34" ht="15" thickBot="1" x14ac:dyDescent="0.4">
      <c r="AH3080" s="87"/>
    </row>
    <row r="3081" spans="34:34" ht="15" thickBot="1" x14ac:dyDescent="0.4">
      <c r="AH3081" s="87"/>
    </row>
    <row r="3082" spans="34:34" ht="15" thickBot="1" x14ac:dyDescent="0.4">
      <c r="AH3082" s="87"/>
    </row>
    <row r="3083" spans="34:34" ht="15" thickBot="1" x14ac:dyDescent="0.4">
      <c r="AH3083" s="87"/>
    </row>
    <row r="3084" spans="34:34" ht="15" thickBot="1" x14ac:dyDescent="0.4">
      <c r="AH3084" s="87"/>
    </row>
    <row r="3085" spans="34:34" ht="15" thickBot="1" x14ac:dyDescent="0.4">
      <c r="AH3085" s="87"/>
    </row>
    <row r="3086" spans="34:34" ht="15" thickBot="1" x14ac:dyDescent="0.4">
      <c r="AH3086" s="87"/>
    </row>
    <row r="3087" spans="34:34" ht="15" thickBot="1" x14ac:dyDescent="0.4">
      <c r="AH3087" s="87"/>
    </row>
    <row r="3088" spans="34:34" ht="15" thickBot="1" x14ac:dyDescent="0.4">
      <c r="AH3088" s="87"/>
    </row>
    <row r="3089" spans="34:34" ht="15" thickBot="1" x14ac:dyDescent="0.4">
      <c r="AH3089" s="87"/>
    </row>
    <row r="3090" spans="34:34" ht="15" thickBot="1" x14ac:dyDescent="0.4">
      <c r="AH3090" s="87"/>
    </row>
    <row r="3091" spans="34:34" ht="15" thickBot="1" x14ac:dyDescent="0.4">
      <c r="AH3091" s="87"/>
    </row>
    <row r="3092" spans="34:34" ht="15" thickBot="1" x14ac:dyDescent="0.4">
      <c r="AH3092" s="87"/>
    </row>
    <row r="3093" spans="34:34" ht="15" thickBot="1" x14ac:dyDescent="0.4">
      <c r="AH3093" s="87"/>
    </row>
    <row r="3094" spans="34:34" ht="15" thickBot="1" x14ac:dyDescent="0.4">
      <c r="AH3094" s="87"/>
    </row>
    <row r="3095" spans="34:34" ht="15" thickBot="1" x14ac:dyDescent="0.4">
      <c r="AH3095" s="87"/>
    </row>
    <row r="3096" spans="34:34" ht="15" thickBot="1" x14ac:dyDescent="0.4">
      <c r="AH3096" s="87"/>
    </row>
    <row r="3097" spans="34:34" ht="15" thickBot="1" x14ac:dyDescent="0.4">
      <c r="AH3097" s="87"/>
    </row>
    <row r="3098" spans="34:34" ht="15" thickBot="1" x14ac:dyDescent="0.4">
      <c r="AH3098" s="87"/>
    </row>
    <row r="3099" spans="34:34" ht="15" thickBot="1" x14ac:dyDescent="0.4">
      <c r="AH3099" s="87"/>
    </row>
    <row r="3100" spans="34:34" ht="15" thickBot="1" x14ac:dyDescent="0.4">
      <c r="AH3100" s="87"/>
    </row>
    <row r="3101" spans="34:34" ht="15" thickBot="1" x14ac:dyDescent="0.4">
      <c r="AH3101" s="87"/>
    </row>
    <row r="3102" spans="34:34" ht="15" thickBot="1" x14ac:dyDescent="0.4">
      <c r="AH3102" s="87"/>
    </row>
    <row r="3103" spans="34:34" ht="15" thickBot="1" x14ac:dyDescent="0.4">
      <c r="AH3103" s="87"/>
    </row>
    <row r="3104" spans="34:34" ht="15" thickBot="1" x14ac:dyDescent="0.4">
      <c r="AH3104" s="87"/>
    </row>
    <row r="3105" spans="34:34" ht="15" thickBot="1" x14ac:dyDescent="0.4">
      <c r="AH3105" s="87"/>
    </row>
    <row r="3106" spans="34:34" ht="15" thickBot="1" x14ac:dyDescent="0.4">
      <c r="AH3106" s="87"/>
    </row>
    <row r="3107" spans="34:34" ht="15" thickBot="1" x14ac:dyDescent="0.4">
      <c r="AH3107" s="87"/>
    </row>
    <row r="3108" spans="34:34" ht="15" thickBot="1" x14ac:dyDescent="0.4">
      <c r="AH3108" s="87"/>
    </row>
    <row r="3109" spans="34:34" ht="15" thickBot="1" x14ac:dyDescent="0.4">
      <c r="AH3109" s="87"/>
    </row>
    <row r="3110" spans="34:34" ht="15" thickBot="1" x14ac:dyDescent="0.4">
      <c r="AH3110" s="87"/>
    </row>
    <row r="3111" spans="34:34" ht="15" thickBot="1" x14ac:dyDescent="0.4">
      <c r="AH3111" s="87"/>
    </row>
    <row r="3112" spans="34:34" ht="15" thickBot="1" x14ac:dyDescent="0.4">
      <c r="AH3112" s="87"/>
    </row>
    <row r="3113" spans="34:34" ht="15" thickBot="1" x14ac:dyDescent="0.4">
      <c r="AH3113" s="87"/>
    </row>
    <row r="3114" spans="34:34" ht="15" thickBot="1" x14ac:dyDescent="0.4">
      <c r="AH3114" s="87"/>
    </row>
    <row r="3115" spans="34:34" ht="15" thickBot="1" x14ac:dyDescent="0.4">
      <c r="AH3115" s="87"/>
    </row>
    <row r="3116" spans="34:34" ht="15" thickBot="1" x14ac:dyDescent="0.4">
      <c r="AH3116" s="87"/>
    </row>
    <row r="3117" spans="34:34" ht="15" thickBot="1" x14ac:dyDescent="0.4">
      <c r="AH3117" s="87"/>
    </row>
    <row r="3118" spans="34:34" ht="15" thickBot="1" x14ac:dyDescent="0.4">
      <c r="AH3118" s="87"/>
    </row>
    <row r="3119" spans="34:34" ht="15" thickBot="1" x14ac:dyDescent="0.4">
      <c r="AH3119" s="87"/>
    </row>
    <row r="3120" spans="34:34" ht="15" thickBot="1" x14ac:dyDescent="0.4">
      <c r="AH3120" s="87"/>
    </row>
    <row r="3121" spans="34:34" ht="15" thickBot="1" x14ac:dyDescent="0.4">
      <c r="AH3121" s="87"/>
    </row>
    <row r="3122" spans="34:34" ht="15" thickBot="1" x14ac:dyDescent="0.4">
      <c r="AH3122" s="87"/>
    </row>
    <row r="3123" spans="34:34" ht="15" thickBot="1" x14ac:dyDescent="0.4">
      <c r="AH3123" s="87"/>
    </row>
    <row r="3124" spans="34:34" ht="15" thickBot="1" x14ac:dyDescent="0.4">
      <c r="AH3124" s="87"/>
    </row>
    <row r="3125" spans="34:34" ht="15" thickBot="1" x14ac:dyDescent="0.4">
      <c r="AH3125" s="87"/>
    </row>
    <row r="3126" spans="34:34" ht="15" thickBot="1" x14ac:dyDescent="0.4">
      <c r="AH3126" s="87"/>
    </row>
    <row r="3127" spans="34:34" ht="15" thickBot="1" x14ac:dyDescent="0.4">
      <c r="AH3127" s="87"/>
    </row>
    <row r="3128" spans="34:34" ht="15" thickBot="1" x14ac:dyDescent="0.4">
      <c r="AH3128" s="87"/>
    </row>
    <row r="3129" spans="34:34" ht="15" thickBot="1" x14ac:dyDescent="0.4">
      <c r="AH3129" s="87"/>
    </row>
    <row r="3130" spans="34:34" ht="15" thickBot="1" x14ac:dyDescent="0.4">
      <c r="AH3130" s="87"/>
    </row>
    <row r="3131" spans="34:34" ht="15" thickBot="1" x14ac:dyDescent="0.4">
      <c r="AH3131" s="87"/>
    </row>
    <row r="3132" spans="34:34" ht="15" thickBot="1" x14ac:dyDescent="0.4">
      <c r="AH3132" s="87"/>
    </row>
    <row r="3133" spans="34:34" ht="15" thickBot="1" x14ac:dyDescent="0.4">
      <c r="AH3133" s="87"/>
    </row>
    <row r="3134" spans="34:34" ht="15" thickBot="1" x14ac:dyDescent="0.4">
      <c r="AH3134" s="87"/>
    </row>
    <row r="3135" spans="34:34" ht="15" thickBot="1" x14ac:dyDescent="0.4">
      <c r="AH3135" s="87"/>
    </row>
    <row r="3136" spans="34:34" ht="15" thickBot="1" x14ac:dyDescent="0.4">
      <c r="AH3136" s="87"/>
    </row>
    <row r="3137" spans="34:34" ht="15" thickBot="1" x14ac:dyDescent="0.4">
      <c r="AH3137" s="87"/>
    </row>
    <row r="3138" spans="34:34" ht="15" thickBot="1" x14ac:dyDescent="0.4">
      <c r="AH3138" s="87"/>
    </row>
    <row r="3139" spans="34:34" ht="15" thickBot="1" x14ac:dyDescent="0.4">
      <c r="AH3139" s="87"/>
    </row>
    <row r="3140" spans="34:34" ht="15" thickBot="1" x14ac:dyDescent="0.4">
      <c r="AH3140" s="87"/>
    </row>
    <row r="3141" spans="34:34" ht="15" thickBot="1" x14ac:dyDescent="0.4">
      <c r="AH3141" s="87"/>
    </row>
    <row r="3142" spans="34:34" ht="15" thickBot="1" x14ac:dyDescent="0.4">
      <c r="AH3142" s="87"/>
    </row>
    <row r="3143" spans="34:34" ht="15" thickBot="1" x14ac:dyDescent="0.4">
      <c r="AH3143" s="87"/>
    </row>
    <row r="3144" spans="34:34" ht="15" thickBot="1" x14ac:dyDescent="0.4">
      <c r="AH3144" s="87"/>
    </row>
    <row r="3145" spans="34:34" ht="15" thickBot="1" x14ac:dyDescent="0.4">
      <c r="AH3145" s="87"/>
    </row>
    <row r="3146" spans="34:34" ht="15" thickBot="1" x14ac:dyDescent="0.4">
      <c r="AH3146" s="87"/>
    </row>
    <row r="3147" spans="34:34" ht="15" thickBot="1" x14ac:dyDescent="0.4">
      <c r="AH3147" s="87"/>
    </row>
    <row r="3148" spans="34:34" ht="15" thickBot="1" x14ac:dyDescent="0.4">
      <c r="AH3148" s="87"/>
    </row>
    <row r="3149" spans="34:34" ht="15" thickBot="1" x14ac:dyDescent="0.4">
      <c r="AH3149" s="87"/>
    </row>
    <row r="3150" spans="34:34" ht="15" thickBot="1" x14ac:dyDescent="0.4">
      <c r="AH3150" s="87"/>
    </row>
    <row r="3151" spans="34:34" ht="15" thickBot="1" x14ac:dyDescent="0.4">
      <c r="AH3151" s="87"/>
    </row>
    <row r="3152" spans="34:34" ht="15" thickBot="1" x14ac:dyDescent="0.4">
      <c r="AH3152" s="87"/>
    </row>
    <row r="3153" spans="34:34" ht="15" thickBot="1" x14ac:dyDescent="0.4">
      <c r="AH3153" s="87"/>
    </row>
    <row r="3154" spans="34:34" ht="15" thickBot="1" x14ac:dyDescent="0.4">
      <c r="AH3154" s="87"/>
    </row>
    <row r="3155" spans="34:34" ht="15" thickBot="1" x14ac:dyDescent="0.4">
      <c r="AH3155" s="87"/>
    </row>
    <row r="3156" spans="34:34" ht="15" thickBot="1" x14ac:dyDescent="0.4">
      <c r="AH3156" s="87"/>
    </row>
    <row r="3157" spans="34:34" ht="15" thickBot="1" x14ac:dyDescent="0.4">
      <c r="AH3157" s="87"/>
    </row>
    <row r="3158" spans="34:34" ht="15" thickBot="1" x14ac:dyDescent="0.4">
      <c r="AH3158" s="87"/>
    </row>
    <row r="3159" spans="34:34" ht="15" thickBot="1" x14ac:dyDescent="0.4">
      <c r="AH3159" s="87"/>
    </row>
    <row r="3160" spans="34:34" ht="15" thickBot="1" x14ac:dyDescent="0.4">
      <c r="AH3160" s="87"/>
    </row>
    <row r="3161" spans="34:34" ht="15" thickBot="1" x14ac:dyDescent="0.4">
      <c r="AH3161" s="87"/>
    </row>
    <row r="3162" spans="34:34" ht="15" thickBot="1" x14ac:dyDescent="0.4">
      <c r="AH3162" s="87"/>
    </row>
    <row r="3163" spans="34:34" ht="15" thickBot="1" x14ac:dyDescent="0.4">
      <c r="AH3163" s="87"/>
    </row>
    <row r="3164" spans="34:34" ht="15" thickBot="1" x14ac:dyDescent="0.4">
      <c r="AH3164" s="87"/>
    </row>
    <row r="3165" spans="34:34" ht="15" thickBot="1" x14ac:dyDescent="0.4">
      <c r="AH3165" s="87"/>
    </row>
    <row r="3166" spans="34:34" ht="15" thickBot="1" x14ac:dyDescent="0.4">
      <c r="AH3166" s="87"/>
    </row>
    <row r="3167" spans="34:34" ht="15" thickBot="1" x14ac:dyDescent="0.4">
      <c r="AH3167" s="87"/>
    </row>
    <row r="3168" spans="34:34" ht="15" thickBot="1" x14ac:dyDescent="0.4">
      <c r="AH3168" s="87"/>
    </row>
    <row r="3169" spans="34:34" ht="15" thickBot="1" x14ac:dyDescent="0.4">
      <c r="AH3169" s="87"/>
    </row>
    <row r="3170" spans="34:34" ht="15" thickBot="1" x14ac:dyDescent="0.4">
      <c r="AH3170" s="87"/>
    </row>
    <row r="3171" spans="34:34" ht="15" thickBot="1" x14ac:dyDescent="0.4">
      <c r="AH3171" s="87"/>
    </row>
    <row r="3172" spans="34:34" ht="15" thickBot="1" x14ac:dyDescent="0.4">
      <c r="AH3172" s="87"/>
    </row>
    <row r="3173" spans="34:34" ht="15" thickBot="1" x14ac:dyDescent="0.4">
      <c r="AH3173" s="87"/>
    </row>
    <row r="3174" spans="34:34" ht="15" thickBot="1" x14ac:dyDescent="0.4">
      <c r="AH3174" s="87"/>
    </row>
    <row r="3175" spans="34:34" ht="15" thickBot="1" x14ac:dyDescent="0.4">
      <c r="AH3175" s="87"/>
    </row>
    <row r="3176" spans="34:34" ht="15" thickBot="1" x14ac:dyDescent="0.4">
      <c r="AH3176" s="87"/>
    </row>
    <row r="3177" spans="34:34" ht="15" thickBot="1" x14ac:dyDescent="0.4">
      <c r="AH3177" s="87"/>
    </row>
    <row r="3178" spans="34:34" ht="15" thickBot="1" x14ac:dyDescent="0.4">
      <c r="AH3178" s="87"/>
    </row>
    <row r="3179" spans="34:34" ht="15" thickBot="1" x14ac:dyDescent="0.4">
      <c r="AH3179" s="87"/>
    </row>
    <row r="3180" spans="34:34" ht="15" thickBot="1" x14ac:dyDescent="0.4">
      <c r="AH3180" s="87"/>
    </row>
    <row r="3181" spans="34:34" ht="15" thickBot="1" x14ac:dyDescent="0.4">
      <c r="AH3181" s="87"/>
    </row>
    <row r="3182" spans="34:34" ht="15" thickBot="1" x14ac:dyDescent="0.4">
      <c r="AH3182" s="87"/>
    </row>
    <row r="3183" spans="34:34" ht="15" thickBot="1" x14ac:dyDescent="0.4">
      <c r="AH3183" s="87"/>
    </row>
    <row r="3184" spans="34:34" ht="15" thickBot="1" x14ac:dyDescent="0.4">
      <c r="AH3184" s="87"/>
    </row>
    <row r="3185" spans="34:34" ht="15" thickBot="1" x14ac:dyDescent="0.4">
      <c r="AH3185" s="87"/>
    </row>
    <row r="3186" spans="34:34" ht="15" thickBot="1" x14ac:dyDescent="0.4">
      <c r="AH3186" s="87"/>
    </row>
    <row r="3187" spans="34:34" ht="15" thickBot="1" x14ac:dyDescent="0.4">
      <c r="AH3187" s="87"/>
    </row>
    <row r="3188" spans="34:34" ht="15" thickBot="1" x14ac:dyDescent="0.4">
      <c r="AH3188" s="87"/>
    </row>
    <row r="3189" spans="34:34" ht="15" thickBot="1" x14ac:dyDescent="0.4">
      <c r="AH3189" s="87"/>
    </row>
    <row r="3190" spans="34:34" ht="15" thickBot="1" x14ac:dyDescent="0.4">
      <c r="AH3190" s="87"/>
    </row>
    <row r="3191" spans="34:34" ht="15" thickBot="1" x14ac:dyDescent="0.4">
      <c r="AH3191" s="87"/>
    </row>
    <row r="3192" spans="34:34" ht="15" thickBot="1" x14ac:dyDescent="0.4">
      <c r="AH3192" s="87"/>
    </row>
    <row r="3193" spans="34:34" ht="15" thickBot="1" x14ac:dyDescent="0.4">
      <c r="AH3193" s="87"/>
    </row>
    <row r="3194" spans="34:34" ht="15" thickBot="1" x14ac:dyDescent="0.4">
      <c r="AH3194" s="87"/>
    </row>
    <row r="3195" spans="34:34" ht="15" thickBot="1" x14ac:dyDescent="0.4">
      <c r="AH3195" s="87"/>
    </row>
    <row r="3196" spans="34:34" ht="15" thickBot="1" x14ac:dyDescent="0.4">
      <c r="AH3196" s="87"/>
    </row>
    <row r="3197" spans="34:34" ht="15" thickBot="1" x14ac:dyDescent="0.4">
      <c r="AH3197" s="87"/>
    </row>
    <row r="3198" spans="34:34" ht="15" thickBot="1" x14ac:dyDescent="0.4">
      <c r="AH3198" s="87"/>
    </row>
    <row r="3199" spans="34:34" ht="15" thickBot="1" x14ac:dyDescent="0.4">
      <c r="AH3199" s="87"/>
    </row>
    <row r="3200" spans="34:34" ht="15" thickBot="1" x14ac:dyDescent="0.4">
      <c r="AH3200" s="87"/>
    </row>
    <row r="3201" spans="34:34" ht="15" thickBot="1" x14ac:dyDescent="0.4">
      <c r="AH3201" s="87"/>
    </row>
    <row r="3202" spans="34:34" ht="15" thickBot="1" x14ac:dyDescent="0.4">
      <c r="AH3202" s="87"/>
    </row>
    <row r="3203" spans="34:34" ht="15" thickBot="1" x14ac:dyDescent="0.4">
      <c r="AH3203" s="87"/>
    </row>
    <row r="3204" spans="34:34" ht="15" thickBot="1" x14ac:dyDescent="0.4">
      <c r="AH3204" s="87"/>
    </row>
    <row r="3205" spans="34:34" ht="15" thickBot="1" x14ac:dyDescent="0.4">
      <c r="AH3205" s="87"/>
    </row>
    <row r="3206" spans="34:34" ht="15" thickBot="1" x14ac:dyDescent="0.4">
      <c r="AH3206" s="87"/>
    </row>
    <row r="3207" spans="34:34" ht="15" thickBot="1" x14ac:dyDescent="0.4">
      <c r="AH3207" s="87"/>
    </row>
    <row r="3208" spans="34:34" ht="15" thickBot="1" x14ac:dyDescent="0.4">
      <c r="AH3208" s="87"/>
    </row>
    <row r="3209" spans="34:34" ht="15" thickBot="1" x14ac:dyDescent="0.4">
      <c r="AH3209" s="87"/>
    </row>
    <row r="3210" spans="34:34" ht="15" thickBot="1" x14ac:dyDescent="0.4">
      <c r="AH3210" s="87"/>
    </row>
    <row r="3211" spans="34:34" ht="15" thickBot="1" x14ac:dyDescent="0.4">
      <c r="AH3211" s="87"/>
    </row>
    <row r="3212" spans="34:34" ht="15" thickBot="1" x14ac:dyDescent="0.4">
      <c r="AH3212" s="87"/>
    </row>
    <row r="3213" spans="34:34" ht="15" thickBot="1" x14ac:dyDescent="0.4">
      <c r="AH3213" s="87"/>
    </row>
    <row r="3214" spans="34:34" ht="15" thickBot="1" x14ac:dyDescent="0.4">
      <c r="AH3214" s="87"/>
    </row>
    <row r="3215" spans="34:34" ht="15" thickBot="1" x14ac:dyDescent="0.4">
      <c r="AH3215" s="87"/>
    </row>
    <row r="3216" spans="34:34" ht="15" thickBot="1" x14ac:dyDescent="0.4">
      <c r="AH3216" s="87"/>
    </row>
    <row r="3217" spans="34:34" ht="15" thickBot="1" x14ac:dyDescent="0.4">
      <c r="AH3217" s="87"/>
    </row>
    <row r="3218" spans="34:34" ht="15" thickBot="1" x14ac:dyDescent="0.4">
      <c r="AH3218" s="87"/>
    </row>
    <row r="3219" spans="34:34" ht="15" thickBot="1" x14ac:dyDescent="0.4">
      <c r="AH3219" s="87"/>
    </row>
    <row r="3220" spans="34:34" ht="15" thickBot="1" x14ac:dyDescent="0.4">
      <c r="AH3220" s="87"/>
    </row>
    <row r="3221" spans="34:34" ht="15" thickBot="1" x14ac:dyDescent="0.4">
      <c r="AH3221" s="87"/>
    </row>
    <row r="3222" spans="34:34" ht="15" thickBot="1" x14ac:dyDescent="0.4">
      <c r="AH3222" s="87"/>
    </row>
    <row r="3223" spans="34:34" ht="15" thickBot="1" x14ac:dyDescent="0.4">
      <c r="AH3223" s="87"/>
    </row>
    <row r="3224" spans="34:34" ht="15" thickBot="1" x14ac:dyDescent="0.4">
      <c r="AH3224" s="87"/>
    </row>
    <row r="3225" spans="34:34" ht="15" thickBot="1" x14ac:dyDescent="0.4">
      <c r="AH3225" s="87"/>
    </row>
    <row r="3226" spans="34:34" ht="15" thickBot="1" x14ac:dyDescent="0.4">
      <c r="AH3226" s="87"/>
    </row>
    <row r="3227" spans="34:34" ht="15" thickBot="1" x14ac:dyDescent="0.4">
      <c r="AH3227" s="87"/>
    </row>
    <row r="3228" spans="34:34" ht="15" thickBot="1" x14ac:dyDescent="0.4">
      <c r="AH3228" s="87"/>
    </row>
    <row r="3229" spans="34:34" ht="15" thickBot="1" x14ac:dyDescent="0.4">
      <c r="AH3229" s="87"/>
    </row>
    <row r="3230" spans="34:34" ht="15" thickBot="1" x14ac:dyDescent="0.4">
      <c r="AH3230" s="87"/>
    </row>
    <row r="3231" spans="34:34" ht="15" thickBot="1" x14ac:dyDescent="0.4">
      <c r="AH3231" s="87"/>
    </row>
    <row r="3232" spans="34:34" ht="15" thickBot="1" x14ac:dyDescent="0.4">
      <c r="AH3232" s="87"/>
    </row>
    <row r="3233" spans="34:34" ht="15" thickBot="1" x14ac:dyDescent="0.4">
      <c r="AH3233" s="87"/>
    </row>
    <row r="3234" spans="34:34" ht="15" thickBot="1" x14ac:dyDescent="0.4">
      <c r="AH3234" s="87"/>
    </row>
    <row r="3235" spans="34:34" ht="15" thickBot="1" x14ac:dyDescent="0.4">
      <c r="AH3235" s="87"/>
    </row>
    <row r="3236" spans="34:34" ht="15" thickBot="1" x14ac:dyDescent="0.4">
      <c r="AH3236" s="87"/>
    </row>
    <row r="3237" spans="34:34" ht="15" thickBot="1" x14ac:dyDescent="0.4">
      <c r="AH3237" s="87"/>
    </row>
    <row r="3238" spans="34:34" ht="15" thickBot="1" x14ac:dyDescent="0.4">
      <c r="AH3238" s="87"/>
    </row>
    <row r="3239" spans="34:34" ht="15" thickBot="1" x14ac:dyDescent="0.4">
      <c r="AH3239" s="87"/>
    </row>
    <row r="3240" spans="34:34" ht="15" thickBot="1" x14ac:dyDescent="0.4">
      <c r="AH3240" s="87"/>
    </row>
    <row r="3241" spans="34:34" ht="15" thickBot="1" x14ac:dyDescent="0.4">
      <c r="AH3241" s="87"/>
    </row>
    <row r="3242" spans="34:34" ht="15" thickBot="1" x14ac:dyDescent="0.4">
      <c r="AH3242" s="87"/>
    </row>
    <row r="3243" spans="34:34" ht="15" thickBot="1" x14ac:dyDescent="0.4">
      <c r="AH3243" s="87"/>
    </row>
    <row r="3244" spans="34:34" ht="15" thickBot="1" x14ac:dyDescent="0.4">
      <c r="AH3244" s="87"/>
    </row>
    <row r="3245" spans="34:34" ht="15" thickBot="1" x14ac:dyDescent="0.4">
      <c r="AH3245" s="87"/>
    </row>
    <row r="3246" spans="34:34" ht="15" thickBot="1" x14ac:dyDescent="0.4">
      <c r="AH3246" s="87"/>
    </row>
    <row r="3247" spans="34:34" ht="15" thickBot="1" x14ac:dyDescent="0.4">
      <c r="AH3247" s="87"/>
    </row>
    <row r="3248" spans="34:34" ht="15" thickBot="1" x14ac:dyDescent="0.4">
      <c r="AH3248" s="87"/>
    </row>
    <row r="3249" spans="34:34" ht="15" thickBot="1" x14ac:dyDescent="0.4">
      <c r="AH3249" s="87"/>
    </row>
    <row r="3250" spans="34:34" ht="15" thickBot="1" x14ac:dyDescent="0.4">
      <c r="AH3250" s="87"/>
    </row>
    <row r="3251" spans="34:34" ht="15" thickBot="1" x14ac:dyDescent="0.4">
      <c r="AH3251" s="87"/>
    </row>
    <row r="3252" spans="34:34" ht="15" thickBot="1" x14ac:dyDescent="0.4">
      <c r="AH3252" s="87"/>
    </row>
    <row r="3253" spans="34:34" ht="15" thickBot="1" x14ac:dyDescent="0.4">
      <c r="AH3253" s="87"/>
    </row>
    <row r="3254" spans="34:34" ht="15" thickBot="1" x14ac:dyDescent="0.4">
      <c r="AH3254" s="87"/>
    </row>
    <row r="3255" spans="34:34" ht="15" thickBot="1" x14ac:dyDescent="0.4">
      <c r="AH3255" s="87"/>
    </row>
    <row r="3256" spans="34:34" ht="15" thickBot="1" x14ac:dyDescent="0.4">
      <c r="AH3256" s="87"/>
    </row>
    <row r="3257" spans="34:34" ht="15" thickBot="1" x14ac:dyDescent="0.4">
      <c r="AH3257" s="87"/>
    </row>
    <row r="3258" spans="34:34" ht="15" thickBot="1" x14ac:dyDescent="0.4">
      <c r="AH3258" s="87"/>
    </row>
    <row r="3259" spans="34:34" ht="15" thickBot="1" x14ac:dyDescent="0.4">
      <c r="AH3259" s="87"/>
    </row>
    <row r="3260" spans="34:34" ht="15" thickBot="1" x14ac:dyDescent="0.4">
      <c r="AH3260" s="87"/>
    </row>
    <row r="3261" spans="34:34" ht="15" thickBot="1" x14ac:dyDescent="0.4">
      <c r="AH3261" s="87"/>
    </row>
    <row r="3262" spans="34:34" ht="15" thickBot="1" x14ac:dyDescent="0.4">
      <c r="AH3262" s="87"/>
    </row>
    <row r="3263" spans="34:34" ht="15" thickBot="1" x14ac:dyDescent="0.4">
      <c r="AH3263" s="87"/>
    </row>
    <row r="3264" spans="34:34" ht="15" thickBot="1" x14ac:dyDescent="0.4">
      <c r="AH3264" s="87"/>
    </row>
    <row r="3265" spans="34:34" ht="15" thickBot="1" x14ac:dyDescent="0.4">
      <c r="AH3265" s="87"/>
    </row>
    <row r="3266" spans="34:34" ht="15" thickBot="1" x14ac:dyDescent="0.4">
      <c r="AH3266" s="87"/>
    </row>
    <row r="3267" spans="34:34" ht="15" thickBot="1" x14ac:dyDescent="0.4">
      <c r="AH3267" s="87"/>
    </row>
    <row r="3268" spans="34:34" ht="15" thickBot="1" x14ac:dyDescent="0.4">
      <c r="AH3268" s="87"/>
    </row>
    <row r="3269" spans="34:34" ht="15" thickBot="1" x14ac:dyDescent="0.4">
      <c r="AH3269" s="87"/>
    </row>
    <row r="3270" spans="34:34" ht="15" thickBot="1" x14ac:dyDescent="0.4">
      <c r="AH3270" s="87"/>
    </row>
    <row r="3271" spans="34:34" ht="15" thickBot="1" x14ac:dyDescent="0.4">
      <c r="AH3271" s="87"/>
    </row>
    <row r="3272" spans="34:34" ht="15" thickBot="1" x14ac:dyDescent="0.4">
      <c r="AH3272" s="87"/>
    </row>
    <row r="3273" spans="34:34" ht="15" thickBot="1" x14ac:dyDescent="0.4">
      <c r="AH3273" s="87"/>
    </row>
    <row r="3274" spans="34:34" ht="15" thickBot="1" x14ac:dyDescent="0.4">
      <c r="AH3274" s="87"/>
    </row>
    <row r="3275" spans="34:34" ht="15" thickBot="1" x14ac:dyDescent="0.4">
      <c r="AH3275" s="87"/>
    </row>
    <row r="3276" spans="34:34" ht="15" thickBot="1" x14ac:dyDescent="0.4">
      <c r="AH3276" s="87"/>
    </row>
    <row r="3277" spans="34:34" ht="15" thickBot="1" x14ac:dyDescent="0.4">
      <c r="AH3277" s="87"/>
    </row>
    <row r="3278" spans="34:34" ht="15" thickBot="1" x14ac:dyDescent="0.4">
      <c r="AH3278" s="87"/>
    </row>
    <row r="3279" spans="34:34" ht="15" thickBot="1" x14ac:dyDescent="0.4">
      <c r="AH3279" s="87"/>
    </row>
    <row r="3280" spans="34:34" ht="15" thickBot="1" x14ac:dyDescent="0.4">
      <c r="AH3280" s="87"/>
    </row>
    <row r="3281" spans="34:34" ht="15" thickBot="1" x14ac:dyDescent="0.4">
      <c r="AH3281" s="87"/>
    </row>
    <row r="3282" spans="34:34" ht="15" thickBot="1" x14ac:dyDescent="0.4">
      <c r="AH3282" s="87"/>
    </row>
    <row r="3283" spans="34:34" ht="15" thickBot="1" x14ac:dyDescent="0.4">
      <c r="AH3283" s="87"/>
    </row>
    <row r="3284" spans="34:34" ht="15" thickBot="1" x14ac:dyDescent="0.4">
      <c r="AH3284" s="87"/>
    </row>
    <row r="3285" spans="34:34" ht="15" thickBot="1" x14ac:dyDescent="0.4">
      <c r="AH3285" s="87"/>
    </row>
    <row r="3286" spans="34:34" ht="15" thickBot="1" x14ac:dyDescent="0.4">
      <c r="AH3286" s="87"/>
    </row>
    <row r="3287" spans="34:34" ht="15" thickBot="1" x14ac:dyDescent="0.4">
      <c r="AH3287" s="87"/>
    </row>
    <row r="3288" spans="34:34" ht="15" thickBot="1" x14ac:dyDescent="0.4">
      <c r="AH3288" s="87"/>
    </row>
    <row r="3289" spans="34:34" ht="15" thickBot="1" x14ac:dyDescent="0.4">
      <c r="AH3289" s="87"/>
    </row>
    <row r="3290" spans="34:34" ht="15" thickBot="1" x14ac:dyDescent="0.4">
      <c r="AH3290" s="87"/>
    </row>
    <row r="3291" spans="34:34" ht="15" thickBot="1" x14ac:dyDescent="0.4">
      <c r="AH3291" s="87"/>
    </row>
    <row r="3292" spans="34:34" ht="15" thickBot="1" x14ac:dyDescent="0.4">
      <c r="AH3292" s="87"/>
    </row>
    <row r="3293" spans="34:34" ht="15" thickBot="1" x14ac:dyDescent="0.4">
      <c r="AH3293" s="87"/>
    </row>
    <row r="3294" spans="34:34" ht="15" thickBot="1" x14ac:dyDescent="0.4">
      <c r="AH3294" s="87"/>
    </row>
    <row r="3295" spans="34:34" ht="15" thickBot="1" x14ac:dyDescent="0.4">
      <c r="AH3295" s="87"/>
    </row>
    <row r="3296" spans="34:34" ht="15" thickBot="1" x14ac:dyDescent="0.4">
      <c r="AH3296" s="87"/>
    </row>
    <row r="3297" spans="34:34" ht="15" thickBot="1" x14ac:dyDescent="0.4">
      <c r="AH3297" s="87"/>
    </row>
    <row r="3298" spans="34:34" ht="15" thickBot="1" x14ac:dyDescent="0.4">
      <c r="AH3298" s="87"/>
    </row>
    <row r="3299" spans="34:34" ht="15" thickBot="1" x14ac:dyDescent="0.4">
      <c r="AH3299" s="87"/>
    </row>
    <row r="3300" spans="34:34" ht="15" thickBot="1" x14ac:dyDescent="0.4">
      <c r="AH3300" s="87"/>
    </row>
    <row r="3301" spans="34:34" ht="15" thickBot="1" x14ac:dyDescent="0.4">
      <c r="AH3301" s="87"/>
    </row>
    <row r="3302" spans="34:34" ht="15" thickBot="1" x14ac:dyDescent="0.4">
      <c r="AH3302" s="87"/>
    </row>
    <row r="3303" spans="34:34" ht="15" thickBot="1" x14ac:dyDescent="0.4">
      <c r="AH3303" s="87"/>
    </row>
    <row r="3304" spans="34:34" ht="15" thickBot="1" x14ac:dyDescent="0.4">
      <c r="AH3304" s="87"/>
    </row>
    <row r="3305" spans="34:34" ht="15" thickBot="1" x14ac:dyDescent="0.4">
      <c r="AH3305" s="87"/>
    </row>
    <row r="3306" spans="34:34" ht="15" thickBot="1" x14ac:dyDescent="0.4">
      <c r="AH3306" s="87"/>
    </row>
    <row r="3307" spans="34:34" ht="15" thickBot="1" x14ac:dyDescent="0.4">
      <c r="AH3307" s="87"/>
    </row>
    <row r="3308" spans="34:34" ht="15" thickBot="1" x14ac:dyDescent="0.4">
      <c r="AH3308" s="87"/>
    </row>
    <row r="3309" spans="34:34" ht="15" thickBot="1" x14ac:dyDescent="0.4">
      <c r="AH3309" s="87"/>
    </row>
    <row r="3310" spans="34:34" ht="15" thickBot="1" x14ac:dyDescent="0.4">
      <c r="AH3310" s="87"/>
    </row>
    <row r="3311" spans="34:34" ht="15" thickBot="1" x14ac:dyDescent="0.4">
      <c r="AH3311" s="87"/>
    </row>
    <row r="3312" spans="34:34" ht="15" thickBot="1" x14ac:dyDescent="0.4">
      <c r="AH3312" s="87"/>
    </row>
    <row r="3313" spans="34:34" ht="15" thickBot="1" x14ac:dyDescent="0.4">
      <c r="AH3313" s="87"/>
    </row>
    <row r="3314" spans="34:34" ht="15" thickBot="1" x14ac:dyDescent="0.4">
      <c r="AH3314" s="87"/>
    </row>
    <row r="3315" spans="34:34" ht="15" thickBot="1" x14ac:dyDescent="0.4">
      <c r="AH3315" s="87"/>
    </row>
    <row r="3316" spans="34:34" ht="15" thickBot="1" x14ac:dyDescent="0.4">
      <c r="AH3316" s="87"/>
    </row>
    <row r="3317" spans="34:34" ht="15" thickBot="1" x14ac:dyDescent="0.4">
      <c r="AH3317" s="87"/>
    </row>
    <row r="3318" spans="34:34" ht="15" thickBot="1" x14ac:dyDescent="0.4">
      <c r="AH3318" s="87"/>
    </row>
    <row r="3319" spans="34:34" ht="15" thickBot="1" x14ac:dyDescent="0.4">
      <c r="AH3319" s="87"/>
    </row>
    <row r="3320" spans="34:34" ht="15" thickBot="1" x14ac:dyDescent="0.4">
      <c r="AH3320" s="87"/>
    </row>
    <row r="3321" spans="34:34" ht="15" thickBot="1" x14ac:dyDescent="0.4">
      <c r="AH3321" s="87"/>
    </row>
    <row r="3322" spans="34:34" ht="15" thickBot="1" x14ac:dyDescent="0.4">
      <c r="AH3322" s="87"/>
    </row>
    <row r="3323" spans="34:34" ht="15" thickBot="1" x14ac:dyDescent="0.4">
      <c r="AH3323" s="87"/>
    </row>
    <row r="3324" spans="34:34" ht="15" thickBot="1" x14ac:dyDescent="0.4">
      <c r="AH3324" s="87"/>
    </row>
    <row r="3325" spans="34:34" ht="15" thickBot="1" x14ac:dyDescent="0.4">
      <c r="AH3325" s="87"/>
    </row>
    <row r="3326" spans="34:34" ht="15" thickBot="1" x14ac:dyDescent="0.4">
      <c r="AH3326" s="87"/>
    </row>
    <row r="3327" spans="34:34" ht="15" thickBot="1" x14ac:dyDescent="0.4">
      <c r="AH3327" s="87"/>
    </row>
    <row r="3328" spans="34:34" ht="15" thickBot="1" x14ac:dyDescent="0.4">
      <c r="AH3328" s="87"/>
    </row>
    <row r="3329" spans="34:34" ht="15" thickBot="1" x14ac:dyDescent="0.4">
      <c r="AH3329" s="87"/>
    </row>
    <row r="3330" spans="34:34" ht="15" thickBot="1" x14ac:dyDescent="0.4">
      <c r="AH3330" s="87"/>
    </row>
    <row r="3331" spans="34:34" ht="15" thickBot="1" x14ac:dyDescent="0.4">
      <c r="AH3331" s="87"/>
    </row>
    <row r="3332" spans="34:34" ht="15" thickBot="1" x14ac:dyDescent="0.4">
      <c r="AH3332" s="87"/>
    </row>
    <row r="3333" spans="34:34" ht="15" thickBot="1" x14ac:dyDescent="0.4">
      <c r="AH3333" s="87"/>
    </row>
    <row r="3334" spans="34:34" ht="15" thickBot="1" x14ac:dyDescent="0.4">
      <c r="AH3334" s="87"/>
    </row>
    <row r="3335" spans="34:34" ht="15" thickBot="1" x14ac:dyDescent="0.4">
      <c r="AH3335" s="87"/>
    </row>
    <row r="3336" spans="34:34" ht="15" thickBot="1" x14ac:dyDescent="0.4">
      <c r="AH3336" s="87"/>
    </row>
    <row r="3337" spans="34:34" ht="15" thickBot="1" x14ac:dyDescent="0.4">
      <c r="AH3337" s="87"/>
    </row>
    <row r="3338" spans="34:34" ht="15" thickBot="1" x14ac:dyDescent="0.4">
      <c r="AH3338" s="87"/>
    </row>
    <row r="3339" spans="34:34" ht="15" thickBot="1" x14ac:dyDescent="0.4">
      <c r="AH3339" s="87"/>
    </row>
    <row r="3340" spans="34:34" ht="15" thickBot="1" x14ac:dyDescent="0.4">
      <c r="AH3340" s="87"/>
    </row>
    <row r="3341" spans="34:34" ht="15" thickBot="1" x14ac:dyDescent="0.4">
      <c r="AH3341" s="87"/>
    </row>
    <row r="3342" spans="34:34" ht="15" thickBot="1" x14ac:dyDescent="0.4">
      <c r="AH3342" s="87"/>
    </row>
    <row r="3343" spans="34:34" ht="15" thickBot="1" x14ac:dyDescent="0.4">
      <c r="AH3343" s="87"/>
    </row>
    <row r="3344" spans="34:34" ht="15" thickBot="1" x14ac:dyDescent="0.4">
      <c r="AH3344" s="87"/>
    </row>
    <row r="3345" spans="34:34" ht="15" thickBot="1" x14ac:dyDescent="0.4">
      <c r="AH3345" s="87"/>
    </row>
    <row r="3346" spans="34:34" ht="15" thickBot="1" x14ac:dyDescent="0.4">
      <c r="AH3346" s="87"/>
    </row>
    <row r="3347" spans="34:34" ht="15" thickBot="1" x14ac:dyDescent="0.4">
      <c r="AH3347" s="87"/>
    </row>
    <row r="3348" spans="34:34" ht="15" thickBot="1" x14ac:dyDescent="0.4">
      <c r="AH3348" s="87"/>
    </row>
    <row r="3349" spans="34:34" ht="15" thickBot="1" x14ac:dyDescent="0.4">
      <c r="AH3349" s="87"/>
    </row>
    <row r="3350" spans="34:34" ht="15" thickBot="1" x14ac:dyDescent="0.4">
      <c r="AH3350" s="87"/>
    </row>
    <row r="3351" spans="34:34" ht="15" thickBot="1" x14ac:dyDescent="0.4">
      <c r="AH3351" s="87"/>
    </row>
    <row r="3352" spans="34:34" ht="15" thickBot="1" x14ac:dyDescent="0.4">
      <c r="AH3352" s="87"/>
    </row>
    <row r="3353" spans="34:34" ht="15" thickBot="1" x14ac:dyDescent="0.4">
      <c r="AH3353" s="87"/>
    </row>
    <row r="3354" spans="34:34" ht="15" thickBot="1" x14ac:dyDescent="0.4">
      <c r="AH3354" s="87"/>
    </row>
    <row r="3355" spans="34:34" ht="15" thickBot="1" x14ac:dyDescent="0.4">
      <c r="AH3355" s="87"/>
    </row>
    <row r="3356" spans="34:34" ht="15" thickBot="1" x14ac:dyDescent="0.4">
      <c r="AH3356" s="87"/>
    </row>
    <row r="3357" spans="34:34" ht="15" thickBot="1" x14ac:dyDescent="0.4">
      <c r="AH3357" s="87"/>
    </row>
    <row r="3358" spans="34:34" ht="15" thickBot="1" x14ac:dyDescent="0.4">
      <c r="AH3358" s="87"/>
    </row>
    <row r="3359" spans="34:34" ht="15" thickBot="1" x14ac:dyDescent="0.4">
      <c r="AH3359" s="87"/>
    </row>
    <row r="3360" spans="34:34" ht="15" thickBot="1" x14ac:dyDescent="0.4">
      <c r="AH3360" s="87"/>
    </row>
    <row r="3361" spans="34:34" ht="15" thickBot="1" x14ac:dyDescent="0.4">
      <c r="AH3361" s="87"/>
    </row>
    <row r="3362" spans="34:34" ht="15" thickBot="1" x14ac:dyDescent="0.4">
      <c r="AH3362" s="87"/>
    </row>
    <row r="3363" spans="34:34" ht="15" thickBot="1" x14ac:dyDescent="0.4">
      <c r="AH3363" s="87"/>
    </row>
    <row r="3364" spans="34:34" ht="15" thickBot="1" x14ac:dyDescent="0.4">
      <c r="AH3364" s="87"/>
    </row>
    <row r="3365" spans="34:34" ht="15" thickBot="1" x14ac:dyDescent="0.4">
      <c r="AH3365" s="87"/>
    </row>
    <row r="3366" spans="34:34" ht="15" thickBot="1" x14ac:dyDescent="0.4">
      <c r="AH3366" s="87"/>
    </row>
    <row r="3367" spans="34:34" ht="15" thickBot="1" x14ac:dyDescent="0.4">
      <c r="AH3367" s="87"/>
    </row>
    <row r="3368" spans="34:34" ht="15" thickBot="1" x14ac:dyDescent="0.4">
      <c r="AH3368" s="87"/>
    </row>
    <row r="3369" spans="34:34" ht="15" thickBot="1" x14ac:dyDescent="0.4">
      <c r="AH3369" s="87"/>
    </row>
    <row r="3370" spans="34:34" ht="15" thickBot="1" x14ac:dyDescent="0.4">
      <c r="AH3370" s="87"/>
    </row>
    <row r="3371" spans="34:34" ht="15" thickBot="1" x14ac:dyDescent="0.4">
      <c r="AH3371" s="87"/>
    </row>
    <row r="3372" spans="34:34" ht="15" thickBot="1" x14ac:dyDescent="0.4">
      <c r="AH3372" s="87"/>
    </row>
    <row r="3373" spans="34:34" ht="15" thickBot="1" x14ac:dyDescent="0.4">
      <c r="AH3373" s="87"/>
    </row>
    <row r="3374" spans="34:34" ht="15" thickBot="1" x14ac:dyDescent="0.4">
      <c r="AH3374" s="87"/>
    </row>
    <row r="3375" spans="34:34" ht="15" thickBot="1" x14ac:dyDescent="0.4">
      <c r="AH3375" s="87"/>
    </row>
    <row r="3376" spans="34:34" ht="15" thickBot="1" x14ac:dyDescent="0.4">
      <c r="AH3376" s="87"/>
    </row>
    <row r="3377" spans="34:34" ht="15" thickBot="1" x14ac:dyDescent="0.4">
      <c r="AH3377" s="87"/>
    </row>
    <row r="3378" spans="34:34" ht="15" thickBot="1" x14ac:dyDescent="0.4">
      <c r="AH3378" s="87"/>
    </row>
    <row r="3379" spans="34:34" ht="15" thickBot="1" x14ac:dyDescent="0.4">
      <c r="AH3379" s="87"/>
    </row>
    <row r="3380" spans="34:34" ht="15" thickBot="1" x14ac:dyDescent="0.4">
      <c r="AH3380" s="87"/>
    </row>
    <row r="3381" spans="34:34" ht="15" thickBot="1" x14ac:dyDescent="0.4">
      <c r="AH3381" s="87"/>
    </row>
    <row r="3382" spans="34:34" ht="15" thickBot="1" x14ac:dyDescent="0.4">
      <c r="AH3382" s="87"/>
    </row>
    <row r="3383" spans="34:34" ht="15" thickBot="1" x14ac:dyDescent="0.4">
      <c r="AH3383" s="87"/>
    </row>
    <row r="3384" spans="34:34" ht="15" thickBot="1" x14ac:dyDescent="0.4">
      <c r="AH3384" s="87"/>
    </row>
    <row r="3385" spans="34:34" ht="15" thickBot="1" x14ac:dyDescent="0.4">
      <c r="AH3385" s="87"/>
    </row>
    <row r="3386" spans="34:34" ht="15" thickBot="1" x14ac:dyDescent="0.4">
      <c r="AH3386" s="87"/>
    </row>
    <row r="3387" spans="34:34" ht="15" thickBot="1" x14ac:dyDescent="0.4">
      <c r="AH3387" s="87"/>
    </row>
    <row r="3388" spans="34:34" ht="15" thickBot="1" x14ac:dyDescent="0.4">
      <c r="AH3388" s="87"/>
    </row>
    <row r="3389" spans="34:34" ht="15" thickBot="1" x14ac:dyDescent="0.4">
      <c r="AH3389" s="87"/>
    </row>
    <row r="3390" spans="34:34" ht="15" thickBot="1" x14ac:dyDescent="0.4">
      <c r="AH3390" s="87"/>
    </row>
    <row r="3391" spans="34:34" ht="15" thickBot="1" x14ac:dyDescent="0.4">
      <c r="AH3391" s="87"/>
    </row>
    <row r="3392" spans="34:34" ht="15" thickBot="1" x14ac:dyDescent="0.4">
      <c r="AH3392" s="87"/>
    </row>
    <row r="3393" spans="34:34" ht="15" thickBot="1" x14ac:dyDescent="0.4">
      <c r="AH3393" s="87"/>
    </row>
    <row r="3394" spans="34:34" ht="15" thickBot="1" x14ac:dyDescent="0.4">
      <c r="AH3394" s="87"/>
    </row>
    <row r="3395" spans="34:34" ht="15" thickBot="1" x14ac:dyDescent="0.4">
      <c r="AH3395" s="87"/>
    </row>
    <row r="3396" spans="34:34" ht="15" thickBot="1" x14ac:dyDescent="0.4">
      <c r="AH3396" s="87"/>
    </row>
    <row r="3397" spans="34:34" ht="15" thickBot="1" x14ac:dyDescent="0.4">
      <c r="AH3397" s="87"/>
    </row>
    <row r="3398" spans="34:34" ht="15" thickBot="1" x14ac:dyDescent="0.4">
      <c r="AH3398" s="87"/>
    </row>
    <row r="3399" spans="34:34" ht="15" thickBot="1" x14ac:dyDescent="0.4">
      <c r="AH3399" s="87"/>
    </row>
    <row r="3400" spans="34:34" ht="15" thickBot="1" x14ac:dyDescent="0.4">
      <c r="AH3400" s="87"/>
    </row>
    <row r="3401" spans="34:34" ht="15" thickBot="1" x14ac:dyDescent="0.4">
      <c r="AH3401" s="87"/>
    </row>
    <row r="3402" spans="34:34" ht="15" thickBot="1" x14ac:dyDescent="0.4">
      <c r="AH3402" s="87"/>
    </row>
    <row r="3403" spans="34:34" ht="15" thickBot="1" x14ac:dyDescent="0.4">
      <c r="AH3403" s="87"/>
    </row>
    <row r="3404" spans="34:34" ht="15" thickBot="1" x14ac:dyDescent="0.4">
      <c r="AH3404" s="87"/>
    </row>
    <row r="3405" spans="34:34" ht="15" thickBot="1" x14ac:dyDescent="0.4">
      <c r="AH3405" s="87"/>
    </row>
    <row r="3406" spans="34:34" ht="15" thickBot="1" x14ac:dyDescent="0.4">
      <c r="AH3406" s="87"/>
    </row>
    <row r="3407" spans="34:34" ht="15" thickBot="1" x14ac:dyDescent="0.4">
      <c r="AH3407" s="87"/>
    </row>
    <row r="3408" spans="34:34" ht="15" thickBot="1" x14ac:dyDescent="0.4">
      <c r="AH3408" s="87"/>
    </row>
    <row r="3409" spans="34:34" ht="15" thickBot="1" x14ac:dyDescent="0.4">
      <c r="AH3409" s="87"/>
    </row>
    <row r="3410" spans="34:34" ht="15" thickBot="1" x14ac:dyDescent="0.4">
      <c r="AH3410" s="87"/>
    </row>
    <row r="3411" spans="34:34" ht="15" thickBot="1" x14ac:dyDescent="0.4">
      <c r="AH3411" s="87"/>
    </row>
    <row r="3412" spans="34:34" ht="15" thickBot="1" x14ac:dyDescent="0.4">
      <c r="AH3412" s="87"/>
    </row>
    <row r="3413" spans="34:34" ht="15" thickBot="1" x14ac:dyDescent="0.4">
      <c r="AH3413" s="87"/>
    </row>
    <row r="3414" spans="34:34" ht="15" thickBot="1" x14ac:dyDescent="0.4">
      <c r="AH3414" s="87"/>
    </row>
    <row r="3415" spans="34:34" ht="15" thickBot="1" x14ac:dyDescent="0.4">
      <c r="AH3415" s="87"/>
    </row>
    <row r="3416" spans="34:34" ht="15" thickBot="1" x14ac:dyDescent="0.4">
      <c r="AH3416" s="87"/>
    </row>
    <row r="3417" spans="34:34" ht="15" thickBot="1" x14ac:dyDescent="0.4">
      <c r="AH3417" s="87"/>
    </row>
    <row r="3418" spans="34:34" ht="15" thickBot="1" x14ac:dyDescent="0.4">
      <c r="AH3418" s="87"/>
    </row>
    <row r="3419" spans="34:34" ht="15" thickBot="1" x14ac:dyDescent="0.4">
      <c r="AH3419" s="87"/>
    </row>
    <row r="3420" spans="34:34" ht="15" thickBot="1" x14ac:dyDescent="0.4">
      <c r="AH3420" s="87"/>
    </row>
    <row r="3421" spans="34:34" ht="15" thickBot="1" x14ac:dyDescent="0.4">
      <c r="AH3421" s="87"/>
    </row>
    <row r="3422" spans="34:34" ht="15" thickBot="1" x14ac:dyDescent="0.4">
      <c r="AH3422" s="87"/>
    </row>
    <row r="3423" spans="34:34" ht="15" thickBot="1" x14ac:dyDescent="0.4">
      <c r="AH3423" s="87"/>
    </row>
    <row r="3424" spans="34:34" ht="15" thickBot="1" x14ac:dyDescent="0.4">
      <c r="AH3424" s="87"/>
    </row>
    <row r="3425" spans="34:34" ht="15" thickBot="1" x14ac:dyDescent="0.4">
      <c r="AH3425" s="87"/>
    </row>
    <row r="3426" spans="34:34" ht="15" thickBot="1" x14ac:dyDescent="0.4">
      <c r="AH3426" s="87"/>
    </row>
    <row r="3427" spans="34:34" ht="15" thickBot="1" x14ac:dyDescent="0.4">
      <c r="AH3427" s="87"/>
    </row>
    <row r="3428" spans="34:34" ht="15" thickBot="1" x14ac:dyDescent="0.4">
      <c r="AH3428" s="87"/>
    </row>
    <row r="3429" spans="34:34" ht="15" thickBot="1" x14ac:dyDescent="0.4">
      <c r="AH3429" s="87"/>
    </row>
    <row r="3430" spans="34:34" ht="15" thickBot="1" x14ac:dyDescent="0.4">
      <c r="AH3430" s="87"/>
    </row>
    <row r="3431" spans="34:34" ht="15" thickBot="1" x14ac:dyDescent="0.4">
      <c r="AH3431" s="87"/>
    </row>
    <row r="3432" spans="34:34" ht="15" thickBot="1" x14ac:dyDescent="0.4">
      <c r="AH3432" s="87"/>
    </row>
    <row r="3433" spans="34:34" ht="15" thickBot="1" x14ac:dyDescent="0.4">
      <c r="AH3433" s="87"/>
    </row>
    <row r="3434" spans="34:34" ht="15" thickBot="1" x14ac:dyDescent="0.4">
      <c r="AH3434" s="87"/>
    </row>
    <row r="3435" spans="34:34" ht="15" thickBot="1" x14ac:dyDescent="0.4">
      <c r="AH3435" s="87"/>
    </row>
    <row r="3436" spans="34:34" ht="15" thickBot="1" x14ac:dyDescent="0.4">
      <c r="AH3436" s="87"/>
    </row>
    <row r="3437" spans="34:34" ht="15" thickBot="1" x14ac:dyDescent="0.4">
      <c r="AH3437" s="87"/>
    </row>
    <row r="3438" spans="34:34" ht="15" thickBot="1" x14ac:dyDescent="0.4">
      <c r="AH3438" s="87"/>
    </row>
    <row r="3439" spans="34:34" ht="15" thickBot="1" x14ac:dyDescent="0.4">
      <c r="AH3439" s="87"/>
    </row>
    <row r="3440" spans="34:34" ht="15" thickBot="1" x14ac:dyDescent="0.4">
      <c r="AH3440" s="87"/>
    </row>
    <row r="3441" spans="34:34" ht="15" thickBot="1" x14ac:dyDescent="0.4">
      <c r="AH3441" s="87"/>
    </row>
    <row r="3442" spans="34:34" ht="15" thickBot="1" x14ac:dyDescent="0.4">
      <c r="AH3442" s="87"/>
    </row>
    <row r="3443" spans="34:34" ht="15" thickBot="1" x14ac:dyDescent="0.4">
      <c r="AH3443" s="87"/>
    </row>
    <row r="3444" spans="34:34" ht="15" thickBot="1" x14ac:dyDescent="0.4">
      <c r="AH3444" s="87"/>
    </row>
    <row r="3445" spans="34:34" ht="15" thickBot="1" x14ac:dyDescent="0.4">
      <c r="AH3445" s="87"/>
    </row>
    <row r="3446" spans="34:34" ht="15" thickBot="1" x14ac:dyDescent="0.4">
      <c r="AH3446" s="87"/>
    </row>
    <row r="3447" spans="34:34" ht="15" thickBot="1" x14ac:dyDescent="0.4">
      <c r="AH3447" s="87"/>
    </row>
    <row r="3448" spans="34:34" ht="15" thickBot="1" x14ac:dyDescent="0.4">
      <c r="AH3448" s="87"/>
    </row>
    <row r="3449" spans="34:34" ht="15" thickBot="1" x14ac:dyDescent="0.4">
      <c r="AH3449" s="87"/>
    </row>
    <row r="3450" spans="34:34" ht="15" thickBot="1" x14ac:dyDescent="0.4">
      <c r="AH3450" s="87"/>
    </row>
    <row r="3451" spans="34:34" ht="15" thickBot="1" x14ac:dyDescent="0.4">
      <c r="AH3451" s="87"/>
    </row>
    <row r="3452" spans="34:34" ht="15" thickBot="1" x14ac:dyDescent="0.4">
      <c r="AH3452" s="87"/>
    </row>
    <row r="3453" spans="34:34" ht="15" thickBot="1" x14ac:dyDescent="0.4">
      <c r="AH3453" s="87"/>
    </row>
    <row r="3454" spans="34:34" ht="15" thickBot="1" x14ac:dyDescent="0.4">
      <c r="AH3454" s="87"/>
    </row>
    <row r="3455" spans="34:34" ht="15" thickBot="1" x14ac:dyDescent="0.4">
      <c r="AH3455" s="87"/>
    </row>
    <row r="3456" spans="34:34" ht="15" thickBot="1" x14ac:dyDescent="0.4">
      <c r="AH3456" s="87"/>
    </row>
    <row r="3457" spans="34:34" ht="15" thickBot="1" x14ac:dyDescent="0.4">
      <c r="AH3457" s="87"/>
    </row>
    <row r="3458" spans="34:34" ht="15" thickBot="1" x14ac:dyDescent="0.4">
      <c r="AH3458" s="87"/>
    </row>
    <row r="3459" spans="34:34" ht="15" thickBot="1" x14ac:dyDescent="0.4">
      <c r="AH3459" s="87"/>
    </row>
    <row r="3460" spans="34:34" ht="15" thickBot="1" x14ac:dyDescent="0.4">
      <c r="AH3460" s="87"/>
    </row>
    <row r="3461" spans="34:34" ht="15" thickBot="1" x14ac:dyDescent="0.4">
      <c r="AH3461" s="87"/>
    </row>
    <row r="3462" spans="34:34" ht="15" thickBot="1" x14ac:dyDescent="0.4">
      <c r="AH3462" s="87"/>
    </row>
    <row r="3463" spans="34:34" ht="15" thickBot="1" x14ac:dyDescent="0.4">
      <c r="AH3463" s="87"/>
    </row>
    <row r="3464" spans="34:34" ht="15" thickBot="1" x14ac:dyDescent="0.4">
      <c r="AH3464" s="87"/>
    </row>
    <row r="3465" spans="34:34" ht="15" thickBot="1" x14ac:dyDescent="0.4">
      <c r="AH3465" s="87"/>
    </row>
    <row r="3466" spans="34:34" ht="15" thickBot="1" x14ac:dyDescent="0.4">
      <c r="AH3466" s="87"/>
    </row>
    <row r="3467" spans="34:34" ht="15" thickBot="1" x14ac:dyDescent="0.4">
      <c r="AH3467" s="87"/>
    </row>
    <row r="3468" spans="34:34" ht="15" thickBot="1" x14ac:dyDescent="0.4">
      <c r="AH3468" s="87"/>
    </row>
    <row r="3469" spans="34:34" ht="15" thickBot="1" x14ac:dyDescent="0.4">
      <c r="AH3469" s="87"/>
    </row>
    <row r="3470" spans="34:34" ht="15" thickBot="1" x14ac:dyDescent="0.4">
      <c r="AH3470" s="87"/>
    </row>
    <row r="3471" spans="34:34" ht="15" thickBot="1" x14ac:dyDescent="0.4">
      <c r="AH3471" s="87"/>
    </row>
    <row r="3472" spans="34:34" ht="15" thickBot="1" x14ac:dyDescent="0.4">
      <c r="AH3472" s="87"/>
    </row>
    <row r="3473" spans="34:34" ht="15" thickBot="1" x14ac:dyDescent="0.4">
      <c r="AH3473" s="87"/>
    </row>
    <row r="3474" spans="34:34" ht="15" thickBot="1" x14ac:dyDescent="0.4">
      <c r="AH3474" s="87"/>
    </row>
    <row r="3475" spans="34:34" ht="15" thickBot="1" x14ac:dyDescent="0.4">
      <c r="AH3475" s="87"/>
    </row>
    <row r="3476" spans="34:34" ht="15" thickBot="1" x14ac:dyDescent="0.4">
      <c r="AH3476" s="87"/>
    </row>
    <row r="3477" spans="34:34" ht="15" thickBot="1" x14ac:dyDescent="0.4">
      <c r="AH3477" s="87"/>
    </row>
    <row r="3478" spans="34:34" ht="15" thickBot="1" x14ac:dyDescent="0.4">
      <c r="AH3478" s="87"/>
    </row>
    <row r="3479" spans="34:34" ht="15" thickBot="1" x14ac:dyDescent="0.4">
      <c r="AH3479" s="87"/>
    </row>
    <row r="3480" spans="34:34" ht="15" thickBot="1" x14ac:dyDescent="0.4">
      <c r="AH3480" s="87"/>
    </row>
    <row r="3481" spans="34:34" ht="15" thickBot="1" x14ac:dyDescent="0.4">
      <c r="AH3481" s="87"/>
    </row>
    <row r="3482" spans="34:34" ht="15" thickBot="1" x14ac:dyDescent="0.4">
      <c r="AH3482" s="87"/>
    </row>
    <row r="3483" spans="34:34" ht="15" thickBot="1" x14ac:dyDescent="0.4">
      <c r="AH3483" s="87"/>
    </row>
    <row r="3484" spans="34:34" ht="15" thickBot="1" x14ac:dyDescent="0.4">
      <c r="AH3484" s="87"/>
    </row>
    <row r="3485" spans="34:34" ht="15" thickBot="1" x14ac:dyDescent="0.4">
      <c r="AH3485" s="87"/>
    </row>
    <row r="3486" spans="34:34" ht="15" thickBot="1" x14ac:dyDescent="0.4">
      <c r="AH3486" s="87"/>
    </row>
    <row r="3487" spans="34:34" ht="15" thickBot="1" x14ac:dyDescent="0.4">
      <c r="AH3487" s="87"/>
    </row>
    <row r="3488" spans="34:34" ht="15" thickBot="1" x14ac:dyDescent="0.4">
      <c r="AH3488" s="87"/>
    </row>
    <row r="3489" spans="34:34" ht="15" thickBot="1" x14ac:dyDescent="0.4">
      <c r="AH3489" s="87"/>
    </row>
    <row r="3490" spans="34:34" ht="15" thickBot="1" x14ac:dyDescent="0.4">
      <c r="AH3490" s="87"/>
    </row>
    <row r="3491" spans="34:34" ht="15" thickBot="1" x14ac:dyDescent="0.4">
      <c r="AH3491" s="87"/>
    </row>
    <row r="3492" spans="34:34" ht="15" thickBot="1" x14ac:dyDescent="0.4">
      <c r="AH3492" s="87"/>
    </row>
    <row r="3493" spans="34:34" ht="15" thickBot="1" x14ac:dyDescent="0.4">
      <c r="AH3493" s="87"/>
    </row>
    <row r="3494" spans="34:34" ht="15" thickBot="1" x14ac:dyDescent="0.4">
      <c r="AH3494" s="87"/>
    </row>
    <row r="3495" spans="34:34" ht="15" thickBot="1" x14ac:dyDescent="0.4">
      <c r="AH3495" s="87"/>
    </row>
    <row r="3496" spans="34:34" ht="15" thickBot="1" x14ac:dyDescent="0.4">
      <c r="AH3496" s="87"/>
    </row>
    <row r="3497" spans="34:34" ht="15" thickBot="1" x14ac:dyDescent="0.4">
      <c r="AH3497" s="87"/>
    </row>
    <row r="3498" spans="34:34" ht="15" thickBot="1" x14ac:dyDescent="0.4">
      <c r="AH3498" s="87"/>
    </row>
    <row r="3499" spans="34:34" ht="15" thickBot="1" x14ac:dyDescent="0.4">
      <c r="AH3499" s="87"/>
    </row>
    <row r="3500" spans="34:34" ht="15" thickBot="1" x14ac:dyDescent="0.4">
      <c r="AH3500" s="87"/>
    </row>
    <row r="3501" spans="34:34" ht="15" thickBot="1" x14ac:dyDescent="0.4">
      <c r="AH3501" s="87"/>
    </row>
    <row r="3502" spans="34:34" ht="15" thickBot="1" x14ac:dyDescent="0.4">
      <c r="AH3502" s="87"/>
    </row>
    <row r="3503" spans="34:34" ht="15" thickBot="1" x14ac:dyDescent="0.4">
      <c r="AH3503" s="87"/>
    </row>
    <row r="3504" spans="34:34" ht="15" thickBot="1" x14ac:dyDescent="0.4">
      <c r="AH3504" s="87"/>
    </row>
    <row r="3505" spans="34:34" ht="15" thickBot="1" x14ac:dyDescent="0.4">
      <c r="AH3505" s="87"/>
    </row>
    <row r="3506" spans="34:34" ht="15" thickBot="1" x14ac:dyDescent="0.4">
      <c r="AH3506" s="87"/>
    </row>
    <row r="3507" spans="34:34" ht="15" thickBot="1" x14ac:dyDescent="0.4">
      <c r="AH3507" s="87"/>
    </row>
    <row r="3508" spans="34:34" ht="15" thickBot="1" x14ac:dyDescent="0.4">
      <c r="AH3508" s="87"/>
    </row>
    <row r="3509" spans="34:34" ht="15" thickBot="1" x14ac:dyDescent="0.4">
      <c r="AH3509" s="87"/>
    </row>
    <row r="3510" spans="34:34" ht="15" thickBot="1" x14ac:dyDescent="0.4">
      <c r="AH3510" s="87"/>
    </row>
    <row r="3511" spans="34:34" ht="15" thickBot="1" x14ac:dyDescent="0.4">
      <c r="AH3511" s="87"/>
    </row>
    <row r="3512" spans="34:34" ht="15" thickBot="1" x14ac:dyDescent="0.4">
      <c r="AH3512" s="87"/>
    </row>
    <row r="3513" spans="34:34" ht="15" thickBot="1" x14ac:dyDescent="0.4">
      <c r="AH3513" s="87"/>
    </row>
    <row r="3514" spans="34:34" ht="15" thickBot="1" x14ac:dyDescent="0.4">
      <c r="AH3514" s="87"/>
    </row>
    <row r="3515" spans="34:34" ht="15" thickBot="1" x14ac:dyDescent="0.4">
      <c r="AH3515" s="87"/>
    </row>
    <row r="3516" spans="34:34" ht="15" thickBot="1" x14ac:dyDescent="0.4">
      <c r="AH3516" s="87"/>
    </row>
    <row r="3517" spans="34:34" ht="15" thickBot="1" x14ac:dyDescent="0.4">
      <c r="AH3517" s="87"/>
    </row>
    <row r="3518" spans="34:34" ht="15" thickBot="1" x14ac:dyDescent="0.4">
      <c r="AH3518" s="87"/>
    </row>
    <row r="3519" spans="34:34" ht="15" thickBot="1" x14ac:dyDescent="0.4">
      <c r="AH3519" s="87"/>
    </row>
    <row r="3520" spans="34:34" ht="15" thickBot="1" x14ac:dyDescent="0.4">
      <c r="AH3520" s="87"/>
    </row>
    <row r="3521" spans="34:34" ht="15" thickBot="1" x14ac:dyDescent="0.4">
      <c r="AH3521" s="87"/>
    </row>
    <row r="3522" spans="34:34" ht="15" thickBot="1" x14ac:dyDescent="0.4">
      <c r="AH3522" s="87"/>
    </row>
    <row r="3523" spans="34:34" ht="15" thickBot="1" x14ac:dyDescent="0.4">
      <c r="AH3523" s="87"/>
    </row>
    <row r="3524" spans="34:34" ht="15" thickBot="1" x14ac:dyDescent="0.4">
      <c r="AH3524" s="87"/>
    </row>
    <row r="3525" spans="34:34" ht="15" thickBot="1" x14ac:dyDescent="0.4">
      <c r="AH3525" s="87"/>
    </row>
    <row r="3526" spans="34:34" ht="15" thickBot="1" x14ac:dyDescent="0.4">
      <c r="AH3526" s="87"/>
    </row>
    <row r="3527" spans="34:34" ht="15" thickBot="1" x14ac:dyDescent="0.4">
      <c r="AH3527" s="87"/>
    </row>
    <row r="3528" spans="34:34" ht="15" thickBot="1" x14ac:dyDescent="0.4">
      <c r="AH3528" s="87"/>
    </row>
    <row r="3529" spans="34:34" ht="15" thickBot="1" x14ac:dyDescent="0.4">
      <c r="AH3529" s="87"/>
    </row>
    <row r="3530" spans="34:34" ht="15" thickBot="1" x14ac:dyDescent="0.4">
      <c r="AH3530" s="87"/>
    </row>
    <row r="3531" spans="34:34" ht="15" thickBot="1" x14ac:dyDescent="0.4">
      <c r="AH3531" s="87"/>
    </row>
    <row r="3532" spans="34:34" ht="15" thickBot="1" x14ac:dyDescent="0.4">
      <c r="AH3532" s="87"/>
    </row>
    <row r="3533" spans="34:34" ht="15" thickBot="1" x14ac:dyDescent="0.4">
      <c r="AH3533" s="87"/>
    </row>
    <row r="3534" spans="34:34" ht="15" thickBot="1" x14ac:dyDescent="0.4">
      <c r="AH3534" s="87"/>
    </row>
    <row r="3535" spans="34:34" ht="15" thickBot="1" x14ac:dyDescent="0.4">
      <c r="AH3535" s="87"/>
    </row>
    <row r="3536" spans="34:34" ht="15" thickBot="1" x14ac:dyDescent="0.4">
      <c r="AH3536" s="87"/>
    </row>
    <row r="3537" spans="34:34" ht="15" thickBot="1" x14ac:dyDescent="0.4">
      <c r="AH3537" s="87"/>
    </row>
    <row r="3538" spans="34:34" ht="15" thickBot="1" x14ac:dyDescent="0.4">
      <c r="AH3538" s="87"/>
    </row>
    <row r="3539" spans="34:34" ht="15" thickBot="1" x14ac:dyDescent="0.4">
      <c r="AH3539" s="87"/>
    </row>
    <row r="3540" spans="34:34" ht="15" thickBot="1" x14ac:dyDescent="0.4">
      <c r="AH3540" s="87"/>
    </row>
    <row r="3541" spans="34:34" ht="15" thickBot="1" x14ac:dyDescent="0.4">
      <c r="AH3541" s="87"/>
    </row>
    <row r="3542" spans="34:34" ht="15" thickBot="1" x14ac:dyDescent="0.4">
      <c r="AH3542" s="87"/>
    </row>
    <row r="3543" spans="34:34" ht="15" thickBot="1" x14ac:dyDescent="0.4">
      <c r="AH3543" s="87"/>
    </row>
    <row r="3544" spans="34:34" ht="15" thickBot="1" x14ac:dyDescent="0.4">
      <c r="AH3544" s="87"/>
    </row>
    <row r="3545" spans="34:34" ht="15" thickBot="1" x14ac:dyDescent="0.4">
      <c r="AH3545" s="87"/>
    </row>
    <row r="3546" spans="34:34" ht="15" thickBot="1" x14ac:dyDescent="0.4">
      <c r="AH3546" s="87"/>
    </row>
    <row r="3547" spans="34:34" ht="15" thickBot="1" x14ac:dyDescent="0.4">
      <c r="AH3547" s="87"/>
    </row>
    <row r="3548" spans="34:34" ht="15" thickBot="1" x14ac:dyDescent="0.4">
      <c r="AH3548" s="87"/>
    </row>
    <row r="3549" spans="34:34" ht="15" thickBot="1" x14ac:dyDescent="0.4">
      <c r="AH3549" s="87"/>
    </row>
    <row r="3550" spans="34:34" ht="15" thickBot="1" x14ac:dyDescent="0.4">
      <c r="AH3550" s="87"/>
    </row>
    <row r="3551" spans="34:34" ht="15" thickBot="1" x14ac:dyDescent="0.4">
      <c r="AH3551" s="87"/>
    </row>
    <row r="3552" spans="34:34" ht="15" thickBot="1" x14ac:dyDescent="0.4">
      <c r="AH3552" s="87"/>
    </row>
    <row r="3553" spans="34:34" ht="15" thickBot="1" x14ac:dyDescent="0.4">
      <c r="AH3553" s="87"/>
    </row>
    <row r="3554" spans="34:34" ht="15" thickBot="1" x14ac:dyDescent="0.4">
      <c r="AH3554" s="87"/>
    </row>
    <row r="3555" spans="34:34" ht="15" thickBot="1" x14ac:dyDescent="0.4">
      <c r="AH3555" s="87"/>
    </row>
    <row r="3556" spans="34:34" ht="15" thickBot="1" x14ac:dyDescent="0.4">
      <c r="AH3556" s="87"/>
    </row>
    <row r="3557" spans="34:34" ht="15" thickBot="1" x14ac:dyDescent="0.4">
      <c r="AH3557" s="87"/>
    </row>
    <row r="3558" spans="34:34" ht="15" thickBot="1" x14ac:dyDescent="0.4">
      <c r="AH3558" s="87"/>
    </row>
    <row r="3559" spans="34:34" ht="15" thickBot="1" x14ac:dyDescent="0.4">
      <c r="AH3559" s="87"/>
    </row>
    <row r="3560" spans="34:34" ht="15" thickBot="1" x14ac:dyDescent="0.4">
      <c r="AH3560" s="87"/>
    </row>
    <row r="3561" spans="34:34" ht="15" thickBot="1" x14ac:dyDescent="0.4">
      <c r="AH3561" s="87"/>
    </row>
    <row r="3562" spans="34:34" ht="15" thickBot="1" x14ac:dyDescent="0.4">
      <c r="AH3562" s="87"/>
    </row>
    <row r="3563" spans="34:34" ht="15" thickBot="1" x14ac:dyDescent="0.4">
      <c r="AH3563" s="87"/>
    </row>
    <row r="3564" spans="34:34" ht="15" thickBot="1" x14ac:dyDescent="0.4">
      <c r="AH3564" s="87"/>
    </row>
    <row r="3565" spans="34:34" ht="15" thickBot="1" x14ac:dyDescent="0.4">
      <c r="AH3565" s="87"/>
    </row>
    <row r="3566" spans="34:34" ht="15" thickBot="1" x14ac:dyDescent="0.4">
      <c r="AH3566" s="87"/>
    </row>
    <row r="3567" spans="34:34" ht="15" thickBot="1" x14ac:dyDescent="0.4">
      <c r="AH3567" s="87"/>
    </row>
    <row r="3568" spans="34:34" ht="15" thickBot="1" x14ac:dyDescent="0.4">
      <c r="AH3568" s="87"/>
    </row>
    <row r="3569" spans="34:34" ht="15" thickBot="1" x14ac:dyDescent="0.4">
      <c r="AH3569" s="87"/>
    </row>
    <row r="3570" spans="34:34" ht="15" thickBot="1" x14ac:dyDescent="0.4">
      <c r="AH3570" s="87"/>
    </row>
    <row r="3571" spans="34:34" ht="15" thickBot="1" x14ac:dyDescent="0.4">
      <c r="AH3571" s="87"/>
    </row>
    <row r="3572" spans="34:34" ht="15" thickBot="1" x14ac:dyDescent="0.4">
      <c r="AH3572" s="87"/>
    </row>
    <row r="3573" spans="34:34" ht="15" thickBot="1" x14ac:dyDescent="0.4">
      <c r="AH3573" s="87"/>
    </row>
    <row r="3574" spans="34:34" ht="15" thickBot="1" x14ac:dyDescent="0.4">
      <c r="AH3574" s="87"/>
    </row>
    <row r="3575" spans="34:34" ht="15" thickBot="1" x14ac:dyDescent="0.4">
      <c r="AH3575" s="87"/>
    </row>
    <row r="3576" spans="34:34" ht="15" thickBot="1" x14ac:dyDescent="0.4">
      <c r="AH3576" s="87"/>
    </row>
    <row r="3577" spans="34:34" ht="15" thickBot="1" x14ac:dyDescent="0.4">
      <c r="AH3577" s="87"/>
    </row>
    <row r="3578" spans="34:34" ht="15" thickBot="1" x14ac:dyDescent="0.4">
      <c r="AH3578" s="87"/>
    </row>
    <row r="3579" spans="34:34" ht="15" thickBot="1" x14ac:dyDescent="0.4">
      <c r="AH3579" s="87"/>
    </row>
    <row r="3580" spans="34:34" ht="15" thickBot="1" x14ac:dyDescent="0.4">
      <c r="AH3580" s="87"/>
    </row>
    <row r="3581" spans="34:34" ht="15" thickBot="1" x14ac:dyDescent="0.4">
      <c r="AH3581" s="87"/>
    </row>
    <row r="3582" spans="34:34" ht="15" thickBot="1" x14ac:dyDescent="0.4">
      <c r="AH3582" s="87"/>
    </row>
    <row r="3583" spans="34:34" ht="15" thickBot="1" x14ac:dyDescent="0.4">
      <c r="AH3583" s="87"/>
    </row>
    <row r="3584" spans="34:34" ht="15" thickBot="1" x14ac:dyDescent="0.4">
      <c r="AH3584" s="87"/>
    </row>
    <row r="3585" spans="34:34" ht="15" thickBot="1" x14ac:dyDescent="0.4">
      <c r="AH3585" s="87"/>
    </row>
    <row r="3586" spans="34:34" ht="15" thickBot="1" x14ac:dyDescent="0.4">
      <c r="AH3586" s="87"/>
    </row>
    <row r="3587" spans="34:34" ht="15" thickBot="1" x14ac:dyDescent="0.4">
      <c r="AH3587" s="87"/>
    </row>
    <row r="3588" spans="34:34" ht="15" thickBot="1" x14ac:dyDescent="0.4">
      <c r="AH3588" s="87"/>
    </row>
    <row r="3589" spans="34:34" ht="15" thickBot="1" x14ac:dyDescent="0.4">
      <c r="AH3589" s="87"/>
    </row>
    <row r="3590" spans="34:34" ht="15" thickBot="1" x14ac:dyDescent="0.4">
      <c r="AH3590" s="87"/>
    </row>
    <row r="3591" spans="34:34" ht="15" thickBot="1" x14ac:dyDescent="0.4">
      <c r="AH3591" s="87"/>
    </row>
    <row r="3592" spans="34:34" ht="15" thickBot="1" x14ac:dyDescent="0.4">
      <c r="AH3592" s="87"/>
    </row>
    <row r="3593" spans="34:34" ht="15" thickBot="1" x14ac:dyDescent="0.4">
      <c r="AH3593" s="87"/>
    </row>
    <row r="3594" spans="34:34" ht="15" thickBot="1" x14ac:dyDescent="0.4">
      <c r="AH3594" s="87"/>
    </row>
    <row r="3595" spans="34:34" ht="15" thickBot="1" x14ac:dyDescent="0.4">
      <c r="AH3595" s="87"/>
    </row>
    <row r="3596" spans="34:34" ht="15" thickBot="1" x14ac:dyDescent="0.4">
      <c r="AH3596" s="87"/>
    </row>
    <row r="3597" spans="34:34" ht="15" thickBot="1" x14ac:dyDescent="0.4">
      <c r="AH3597" s="87"/>
    </row>
    <row r="3598" spans="34:34" ht="15" thickBot="1" x14ac:dyDescent="0.4">
      <c r="AH3598" s="87"/>
    </row>
    <row r="3599" spans="34:34" ht="15" thickBot="1" x14ac:dyDescent="0.4">
      <c r="AH3599" s="87"/>
    </row>
    <row r="3600" spans="34:34" ht="15" thickBot="1" x14ac:dyDescent="0.4">
      <c r="AH3600" s="87"/>
    </row>
    <row r="3601" spans="34:34" ht="15" thickBot="1" x14ac:dyDescent="0.4">
      <c r="AH3601" s="87"/>
    </row>
    <row r="3602" spans="34:34" ht="15" thickBot="1" x14ac:dyDescent="0.4">
      <c r="AH3602" s="87"/>
    </row>
    <row r="3603" spans="34:34" ht="15" thickBot="1" x14ac:dyDescent="0.4">
      <c r="AH3603" s="87"/>
    </row>
    <row r="3604" spans="34:34" ht="15" thickBot="1" x14ac:dyDescent="0.4">
      <c r="AH3604" s="87"/>
    </row>
    <row r="3605" spans="34:34" ht="15" thickBot="1" x14ac:dyDescent="0.4">
      <c r="AH3605" s="87"/>
    </row>
    <row r="3606" spans="34:34" ht="15" thickBot="1" x14ac:dyDescent="0.4">
      <c r="AH3606" s="87"/>
    </row>
    <row r="3607" spans="34:34" ht="15" thickBot="1" x14ac:dyDescent="0.4">
      <c r="AH3607" s="87"/>
    </row>
    <row r="3608" spans="34:34" ht="15" thickBot="1" x14ac:dyDescent="0.4">
      <c r="AH3608" s="87"/>
    </row>
    <row r="3609" spans="34:34" ht="15" thickBot="1" x14ac:dyDescent="0.4">
      <c r="AH3609" s="87"/>
    </row>
    <row r="3610" spans="34:34" ht="15" thickBot="1" x14ac:dyDescent="0.4">
      <c r="AH3610" s="87"/>
    </row>
    <row r="3611" spans="34:34" ht="15" thickBot="1" x14ac:dyDescent="0.4">
      <c r="AH3611" s="87"/>
    </row>
    <row r="3612" spans="34:34" ht="15" thickBot="1" x14ac:dyDescent="0.4">
      <c r="AH3612" s="87"/>
    </row>
    <row r="3613" spans="34:34" ht="15" thickBot="1" x14ac:dyDescent="0.4">
      <c r="AH3613" s="87"/>
    </row>
    <row r="3614" spans="34:34" ht="15" thickBot="1" x14ac:dyDescent="0.4">
      <c r="AH3614" s="87"/>
    </row>
    <row r="3615" spans="34:34" ht="15" thickBot="1" x14ac:dyDescent="0.4">
      <c r="AH3615" s="87"/>
    </row>
    <row r="3616" spans="34:34" ht="15" thickBot="1" x14ac:dyDescent="0.4">
      <c r="AH3616" s="87"/>
    </row>
    <row r="3617" spans="34:34" ht="15" thickBot="1" x14ac:dyDescent="0.4">
      <c r="AH3617" s="87"/>
    </row>
    <row r="3618" spans="34:34" ht="15" thickBot="1" x14ac:dyDescent="0.4">
      <c r="AH3618" s="87"/>
    </row>
    <row r="3619" spans="34:34" ht="15" thickBot="1" x14ac:dyDescent="0.4">
      <c r="AH3619" s="87"/>
    </row>
    <row r="3620" spans="34:34" ht="15" thickBot="1" x14ac:dyDescent="0.4">
      <c r="AH3620" s="87"/>
    </row>
    <row r="3621" spans="34:34" ht="15" thickBot="1" x14ac:dyDescent="0.4">
      <c r="AH3621" s="87"/>
    </row>
    <row r="3622" spans="34:34" ht="15" thickBot="1" x14ac:dyDescent="0.4">
      <c r="AH3622" s="87"/>
    </row>
    <row r="3623" spans="34:34" ht="15" thickBot="1" x14ac:dyDescent="0.4">
      <c r="AH3623" s="87"/>
    </row>
    <row r="3624" spans="34:34" ht="15" thickBot="1" x14ac:dyDescent="0.4">
      <c r="AH3624" s="87"/>
    </row>
    <row r="3625" spans="34:34" ht="15" thickBot="1" x14ac:dyDescent="0.4">
      <c r="AH3625" s="87"/>
    </row>
    <row r="3626" spans="34:34" ht="15" thickBot="1" x14ac:dyDescent="0.4">
      <c r="AH3626" s="87"/>
    </row>
    <row r="3627" spans="34:34" ht="15" thickBot="1" x14ac:dyDescent="0.4">
      <c r="AH3627" s="87"/>
    </row>
    <row r="3628" spans="34:34" ht="15" thickBot="1" x14ac:dyDescent="0.4">
      <c r="AH3628" s="87"/>
    </row>
    <row r="3629" spans="34:34" ht="15" thickBot="1" x14ac:dyDescent="0.4">
      <c r="AH3629" s="87"/>
    </row>
    <row r="3630" spans="34:34" ht="15" thickBot="1" x14ac:dyDescent="0.4">
      <c r="AH3630" s="87"/>
    </row>
    <row r="3631" spans="34:34" ht="15" thickBot="1" x14ac:dyDescent="0.4">
      <c r="AH3631" s="87"/>
    </row>
    <row r="3632" spans="34:34" ht="15" thickBot="1" x14ac:dyDescent="0.4">
      <c r="AH3632" s="87"/>
    </row>
    <row r="3633" spans="34:34" ht="15" thickBot="1" x14ac:dyDescent="0.4">
      <c r="AH3633" s="87"/>
    </row>
    <row r="3634" spans="34:34" ht="15" thickBot="1" x14ac:dyDescent="0.4">
      <c r="AH3634" s="87"/>
    </row>
    <row r="3635" spans="34:34" ht="15" thickBot="1" x14ac:dyDescent="0.4">
      <c r="AH3635" s="87"/>
    </row>
    <row r="3636" spans="34:34" ht="15" thickBot="1" x14ac:dyDescent="0.4">
      <c r="AH3636" s="87"/>
    </row>
    <row r="3637" spans="34:34" ht="15" thickBot="1" x14ac:dyDescent="0.4">
      <c r="AH3637" s="87"/>
    </row>
    <row r="3638" spans="34:34" ht="15" thickBot="1" x14ac:dyDescent="0.4">
      <c r="AH3638" s="87"/>
    </row>
    <row r="3639" spans="34:34" ht="15" thickBot="1" x14ac:dyDescent="0.4">
      <c r="AH3639" s="87"/>
    </row>
    <row r="3640" spans="34:34" ht="15" thickBot="1" x14ac:dyDescent="0.4">
      <c r="AH3640" s="87"/>
    </row>
    <row r="3641" spans="34:34" ht="15" thickBot="1" x14ac:dyDescent="0.4">
      <c r="AH3641" s="87"/>
    </row>
    <row r="3642" spans="34:34" ht="15" thickBot="1" x14ac:dyDescent="0.4">
      <c r="AH3642" s="87"/>
    </row>
    <row r="3643" spans="34:34" ht="15" thickBot="1" x14ac:dyDescent="0.4">
      <c r="AH3643" s="87"/>
    </row>
    <row r="3644" spans="34:34" ht="15" thickBot="1" x14ac:dyDescent="0.4">
      <c r="AH3644" s="87"/>
    </row>
    <row r="3645" spans="34:34" ht="15" thickBot="1" x14ac:dyDescent="0.4">
      <c r="AH3645" s="87"/>
    </row>
    <row r="3646" spans="34:34" ht="15" thickBot="1" x14ac:dyDescent="0.4">
      <c r="AH3646" s="87"/>
    </row>
    <row r="3647" spans="34:34" ht="15" thickBot="1" x14ac:dyDescent="0.4">
      <c r="AH3647" s="87"/>
    </row>
    <row r="3648" spans="34:34" ht="15" thickBot="1" x14ac:dyDescent="0.4">
      <c r="AH3648" s="87"/>
    </row>
    <row r="3649" spans="34:34" ht="15" thickBot="1" x14ac:dyDescent="0.4">
      <c r="AH3649" s="87"/>
    </row>
    <row r="3650" spans="34:34" ht="15" thickBot="1" x14ac:dyDescent="0.4">
      <c r="AH3650" s="87"/>
    </row>
    <row r="3651" spans="34:34" ht="15" thickBot="1" x14ac:dyDescent="0.4">
      <c r="AH3651" s="87"/>
    </row>
    <row r="3652" spans="34:34" ht="15" thickBot="1" x14ac:dyDescent="0.4">
      <c r="AH3652" s="87"/>
    </row>
    <row r="3653" spans="34:34" ht="15" thickBot="1" x14ac:dyDescent="0.4">
      <c r="AH3653" s="87"/>
    </row>
    <row r="3654" spans="34:34" ht="15" thickBot="1" x14ac:dyDescent="0.4">
      <c r="AH3654" s="87"/>
    </row>
    <row r="3655" spans="34:34" ht="15" thickBot="1" x14ac:dyDescent="0.4">
      <c r="AH3655" s="87"/>
    </row>
    <row r="3656" spans="34:34" ht="15" thickBot="1" x14ac:dyDescent="0.4">
      <c r="AH3656" s="87"/>
    </row>
    <row r="3657" spans="34:34" ht="15" thickBot="1" x14ac:dyDescent="0.4">
      <c r="AH3657" s="87"/>
    </row>
    <row r="3658" spans="34:34" ht="15" thickBot="1" x14ac:dyDescent="0.4">
      <c r="AH3658" s="87"/>
    </row>
    <row r="3659" spans="34:34" ht="15" thickBot="1" x14ac:dyDescent="0.4">
      <c r="AH3659" s="87"/>
    </row>
    <row r="3660" spans="34:34" ht="15" thickBot="1" x14ac:dyDescent="0.4">
      <c r="AH3660" s="87"/>
    </row>
    <row r="3661" spans="34:34" ht="15" thickBot="1" x14ac:dyDescent="0.4">
      <c r="AH3661" s="87"/>
    </row>
    <row r="3662" spans="34:34" ht="15" thickBot="1" x14ac:dyDescent="0.4">
      <c r="AH3662" s="87"/>
    </row>
    <row r="3663" spans="34:34" ht="15" thickBot="1" x14ac:dyDescent="0.4">
      <c r="AH3663" s="87"/>
    </row>
    <row r="3664" spans="34:34" ht="15" thickBot="1" x14ac:dyDescent="0.4">
      <c r="AH3664" s="87"/>
    </row>
    <row r="3665" spans="34:34" ht="15" thickBot="1" x14ac:dyDescent="0.4">
      <c r="AH3665" s="87"/>
    </row>
    <row r="3666" spans="34:34" ht="15" thickBot="1" x14ac:dyDescent="0.4">
      <c r="AH3666" s="87"/>
    </row>
    <row r="3667" spans="34:34" ht="15" thickBot="1" x14ac:dyDescent="0.4">
      <c r="AH3667" s="87"/>
    </row>
    <row r="3668" spans="34:34" ht="15" thickBot="1" x14ac:dyDescent="0.4">
      <c r="AH3668" s="87"/>
    </row>
    <row r="3669" spans="34:34" ht="15" thickBot="1" x14ac:dyDescent="0.4">
      <c r="AH3669" s="87"/>
    </row>
    <row r="3670" spans="34:34" ht="15" thickBot="1" x14ac:dyDescent="0.4">
      <c r="AH3670" s="87"/>
    </row>
    <row r="3671" spans="34:34" ht="15" thickBot="1" x14ac:dyDescent="0.4">
      <c r="AH3671" s="87"/>
    </row>
    <row r="3672" spans="34:34" ht="15" thickBot="1" x14ac:dyDescent="0.4">
      <c r="AH3672" s="87"/>
    </row>
    <row r="3673" spans="34:34" ht="15" thickBot="1" x14ac:dyDescent="0.4">
      <c r="AH3673" s="87"/>
    </row>
    <row r="3674" spans="34:34" ht="15" thickBot="1" x14ac:dyDescent="0.4">
      <c r="AH3674" s="87"/>
    </row>
    <row r="3675" spans="34:34" ht="15" thickBot="1" x14ac:dyDescent="0.4">
      <c r="AH3675" s="87"/>
    </row>
    <row r="3676" spans="34:34" ht="15" thickBot="1" x14ac:dyDescent="0.4">
      <c r="AH3676" s="87"/>
    </row>
    <row r="3677" spans="34:34" ht="15" thickBot="1" x14ac:dyDescent="0.4">
      <c r="AH3677" s="87"/>
    </row>
    <row r="3678" spans="34:34" ht="15" thickBot="1" x14ac:dyDescent="0.4">
      <c r="AH3678" s="87"/>
    </row>
    <row r="3679" spans="34:34" ht="15" thickBot="1" x14ac:dyDescent="0.4">
      <c r="AH3679" s="87"/>
    </row>
    <row r="3680" spans="34:34" ht="15" thickBot="1" x14ac:dyDescent="0.4">
      <c r="AH3680" s="87"/>
    </row>
    <row r="3681" spans="34:34" ht="15" thickBot="1" x14ac:dyDescent="0.4">
      <c r="AH3681" s="87"/>
    </row>
    <row r="3682" spans="34:34" ht="15" thickBot="1" x14ac:dyDescent="0.4">
      <c r="AH3682" s="87"/>
    </row>
    <row r="3683" spans="34:34" ht="15" thickBot="1" x14ac:dyDescent="0.4">
      <c r="AH3683" s="87"/>
    </row>
    <row r="3684" spans="34:34" ht="15" thickBot="1" x14ac:dyDescent="0.4">
      <c r="AH3684" s="87"/>
    </row>
    <row r="3685" spans="34:34" ht="15" thickBot="1" x14ac:dyDescent="0.4">
      <c r="AH3685" s="87"/>
    </row>
    <row r="3686" spans="34:34" ht="15" thickBot="1" x14ac:dyDescent="0.4">
      <c r="AH3686" s="87"/>
    </row>
    <row r="3687" spans="34:34" ht="15" thickBot="1" x14ac:dyDescent="0.4">
      <c r="AH3687" s="87"/>
    </row>
    <row r="3688" spans="34:34" ht="15" thickBot="1" x14ac:dyDescent="0.4">
      <c r="AH3688" s="87"/>
    </row>
    <row r="3689" spans="34:34" ht="15" thickBot="1" x14ac:dyDescent="0.4">
      <c r="AH3689" s="87"/>
    </row>
    <row r="3690" spans="34:34" ht="15" thickBot="1" x14ac:dyDescent="0.4">
      <c r="AH3690" s="87"/>
    </row>
    <row r="3691" spans="34:34" ht="15" thickBot="1" x14ac:dyDescent="0.4">
      <c r="AH3691" s="87"/>
    </row>
    <row r="3692" spans="34:34" ht="15" thickBot="1" x14ac:dyDescent="0.4">
      <c r="AH3692" s="87"/>
    </row>
    <row r="3693" spans="34:34" ht="15" thickBot="1" x14ac:dyDescent="0.4">
      <c r="AH3693" s="87"/>
    </row>
    <row r="3694" spans="34:34" ht="15" thickBot="1" x14ac:dyDescent="0.4">
      <c r="AH3694" s="87"/>
    </row>
    <row r="3695" spans="34:34" ht="15" thickBot="1" x14ac:dyDescent="0.4">
      <c r="AH3695" s="87"/>
    </row>
    <row r="3696" spans="34:34" ht="15" thickBot="1" x14ac:dyDescent="0.4">
      <c r="AH3696" s="87"/>
    </row>
    <row r="3697" spans="34:34" ht="15" thickBot="1" x14ac:dyDescent="0.4">
      <c r="AH3697" s="87"/>
    </row>
    <row r="3698" spans="34:34" ht="15" thickBot="1" x14ac:dyDescent="0.4">
      <c r="AH3698" s="87"/>
    </row>
    <row r="3699" spans="34:34" ht="15" thickBot="1" x14ac:dyDescent="0.4">
      <c r="AH3699" s="87"/>
    </row>
    <row r="3700" spans="34:34" ht="15" thickBot="1" x14ac:dyDescent="0.4">
      <c r="AH3700" s="87"/>
    </row>
    <row r="3701" spans="34:34" ht="15" thickBot="1" x14ac:dyDescent="0.4">
      <c r="AH3701" s="87"/>
    </row>
    <row r="3702" spans="34:34" ht="15" thickBot="1" x14ac:dyDescent="0.4">
      <c r="AH3702" s="87"/>
    </row>
    <row r="3703" spans="34:34" ht="15" thickBot="1" x14ac:dyDescent="0.4">
      <c r="AH3703" s="87"/>
    </row>
    <row r="3704" spans="34:34" ht="15" thickBot="1" x14ac:dyDescent="0.4">
      <c r="AH3704" s="87"/>
    </row>
    <row r="3705" spans="34:34" ht="15" thickBot="1" x14ac:dyDescent="0.4">
      <c r="AH3705" s="87"/>
    </row>
    <row r="3706" spans="34:34" ht="15" thickBot="1" x14ac:dyDescent="0.4">
      <c r="AH3706" s="87"/>
    </row>
    <row r="3707" spans="34:34" ht="15" thickBot="1" x14ac:dyDescent="0.4">
      <c r="AH3707" s="87"/>
    </row>
    <row r="3708" spans="34:34" ht="15" thickBot="1" x14ac:dyDescent="0.4">
      <c r="AH3708" s="87"/>
    </row>
    <row r="3709" spans="34:34" ht="15" thickBot="1" x14ac:dyDescent="0.4">
      <c r="AH3709" s="87"/>
    </row>
    <row r="3710" spans="34:34" ht="15" thickBot="1" x14ac:dyDescent="0.4">
      <c r="AH3710" s="87"/>
    </row>
    <row r="3711" spans="34:34" ht="15" thickBot="1" x14ac:dyDescent="0.4">
      <c r="AH3711" s="87"/>
    </row>
    <row r="3712" spans="34:34" ht="15" thickBot="1" x14ac:dyDescent="0.4">
      <c r="AH3712" s="87"/>
    </row>
    <row r="3713" spans="34:34" ht="15" thickBot="1" x14ac:dyDescent="0.4">
      <c r="AH3713" s="87"/>
    </row>
    <row r="3714" spans="34:34" ht="15" thickBot="1" x14ac:dyDescent="0.4">
      <c r="AH3714" s="87"/>
    </row>
    <row r="3715" spans="34:34" ht="15" thickBot="1" x14ac:dyDescent="0.4">
      <c r="AH3715" s="87"/>
    </row>
    <row r="3716" spans="34:34" ht="15" thickBot="1" x14ac:dyDescent="0.4">
      <c r="AH3716" s="87"/>
    </row>
    <row r="3717" spans="34:34" ht="15" thickBot="1" x14ac:dyDescent="0.4">
      <c r="AH3717" s="87"/>
    </row>
    <row r="3718" spans="34:34" ht="15" thickBot="1" x14ac:dyDescent="0.4">
      <c r="AH3718" s="87"/>
    </row>
    <row r="3719" spans="34:34" ht="15" thickBot="1" x14ac:dyDescent="0.4">
      <c r="AH3719" s="87"/>
    </row>
    <row r="3720" spans="34:34" ht="15" thickBot="1" x14ac:dyDescent="0.4">
      <c r="AH3720" s="87"/>
    </row>
    <row r="3721" spans="34:34" ht="15" thickBot="1" x14ac:dyDescent="0.4">
      <c r="AH3721" s="87"/>
    </row>
    <row r="3722" spans="34:34" ht="15" thickBot="1" x14ac:dyDescent="0.4">
      <c r="AH3722" s="87"/>
    </row>
    <row r="3723" spans="34:34" ht="15" thickBot="1" x14ac:dyDescent="0.4">
      <c r="AH3723" s="87"/>
    </row>
    <row r="3724" spans="34:34" ht="15" thickBot="1" x14ac:dyDescent="0.4">
      <c r="AH3724" s="87"/>
    </row>
    <row r="3725" spans="34:34" ht="15" thickBot="1" x14ac:dyDescent="0.4">
      <c r="AH3725" s="87"/>
    </row>
    <row r="3726" spans="34:34" ht="15" thickBot="1" x14ac:dyDescent="0.4">
      <c r="AH3726" s="87"/>
    </row>
    <row r="3727" spans="34:34" ht="15" thickBot="1" x14ac:dyDescent="0.4">
      <c r="AH3727" s="87"/>
    </row>
    <row r="3728" spans="34:34" ht="15" thickBot="1" x14ac:dyDescent="0.4">
      <c r="AH3728" s="87"/>
    </row>
    <row r="3729" spans="34:34" ht="15" thickBot="1" x14ac:dyDescent="0.4">
      <c r="AH3729" s="87"/>
    </row>
    <row r="3730" spans="34:34" ht="15" thickBot="1" x14ac:dyDescent="0.4">
      <c r="AH3730" s="87"/>
    </row>
    <row r="3731" spans="34:34" ht="15" thickBot="1" x14ac:dyDescent="0.4">
      <c r="AH3731" s="87"/>
    </row>
    <row r="3732" spans="34:34" ht="15" thickBot="1" x14ac:dyDescent="0.4">
      <c r="AH3732" s="87"/>
    </row>
    <row r="3733" spans="34:34" ht="15" thickBot="1" x14ac:dyDescent="0.4">
      <c r="AH3733" s="87"/>
    </row>
    <row r="3734" spans="34:34" ht="15" thickBot="1" x14ac:dyDescent="0.4">
      <c r="AH3734" s="87"/>
    </row>
    <row r="3735" spans="34:34" ht="15" thickBot="1" x14ac:dyDescent="0.4">
      <c r="AH3735" s="87"/>
    </row>
    <row r="3736" spans="34:34" ht="15" thickBot="1" x14ac:dyDescent="0.4">
      <c r="AH3736" s="87"/>
    </row>
    <row r="3737" spans="34:34" ht="15" thickBot="1" x14ac:dyDescent="0.4">
      <c r="AH3737" s="87"/>
    </row>
    <row r="3738" spans="34:34" ht="15" thickBot="1" x14ac:dyDescent="0.4">
      <c r="AH3738" s="87"/>
    </row>
    <row r="3739" spans="34:34" ht="15" thickBot="1" x14ac:dyDescent="0.4">
      <c r="AH3739" s="87"/>
    </row>
    <row r="3740" spans="34:34" ht="15" thickBot="1" x14ac:dyDescent="0.4">
      <c r="AH3740" s="87"/>
    </row>
    <row r="3741" spans="34:34" ht="15" thickBot="1" x14ac:dyDescent="0.4">
      <c r="AH3741" s="87"/>
    </row>
    <row r="3742" spans="34:34" ht="15" thickBot="1" x14ac:dyDescent="0.4">
      <c r="AH3742" s="87"/>
    </row>
    <row r="3743" spans="34:34" ht="15" thickBot="1" x14ac:dyDescent="0.4">
      <c r="AH3743" s="87"/>
    </row>
    <row r="3744" spans="34:34" ht="15" thickBot="1" x14ac:dyDescent="0.4">
      <c r="AH3744" s="87"/>
    </row>
    <row r="3745" spans="34:34" ht="15" thickBot="1" x14ac:dyDescent="0.4">
      <c r="AH3745" s="87"/>
    </row>
    <row r="3746" spans="34:34" ht="15" thickBot="1" x14ac:dyDescent="0.4">
      <c r="AH3746" s="87"/>
    </row>
    <row r="3747" spans="34:34" ht="15" thickBot="1" x14ac:dyDescent="0.4">
      <c r="AH3747" s="87"/>
    </row>
    <row r="3748" spans="34:34" ht="15" thickBot="1" x14ac:dyDescent="0.4">
      <c r="AH3748" s="87"/>
    </row>
    <row r="3749" spans="34:34" ht="15" thickBot="1" x14ac:dyDescent="0.4">
      <c r="AH3749" s="87"/>
    </row>
    <row r="3750" spans="34:34" ht="15" thickBot="1" x14ac:dyDescent="0.4">
      <c r="AH3750" s="87"/>
    </row>
    <row r="3751" spans="34:34" ht="15" thickBot="1" x14ac:dyDescent="0.4">
      <c r="AH3751" s="87"/>
    </row>
    <row r="3752" spans="34:34" ht="15" thickBot="1" x14ac:dyDescent="0.4">
      <c r="AH3752" s="87"/>
    </row>
    <row r="3753" spans="34:34" ht="15" thickBot="1" x14ac:dyDescent="0.4">
      <c r="AH3753" s="87"/>
    </row>
    <row r="3754" spans="34:34" ht="15" thickBot="1" x14ac:dyDescent="0.4">
      <c r="AH3754" s="87"/>
    </row>
    <row r="3755" spans="34:34" ht="15" thickBot="1" x14ac:dyDescent="0.4">
      <c r="AH3755" s="87"/>
    </row>
    <row r="3756" spans="34:34" ht="15" thickBot="1" x14ac:dyDescent="0.4">
      <c r="AH3756" s="87"/>
    </row>
    <row r="3757" spans="34:34" ht="15" thickBot="1" x14ac:dyDescent="0.4">
      <c r="AH3757" s="87"/>
    </row>
    <row r="3758" spans="34:34" ht="15" thickBot="1" x14ac:dyDescent="0.4">
      <c r="AH3758" s="87"/>
    </row>
    <row r="3759" spans="34:34" ht="15" thickBot="1" x14ac:dyDescent="0.4">
      <c r="AH3759" s="87"/>
    </row>
    <row r="3760" spans="34:34" ht="15" thickBot="1" x14ac:dyDescent="0.4">
      <c r="AH3760" s="87"/>
    </row>
    <row r="3761" spans="34:34" ht="15" thickBot="1" x14ac:dyDescent="0.4">
      <c r="AH3761" s="87"/>
    </row>
    <row r="3762" spans="34:34" ht="15" thickBot="1" x14ac:dyDescent="0.4">
      <c r="AH3762" s="87"/>
    </row>
    <row r="3763" spans="34:34" ht="15" thickBot="1" x14ac:dyDescent="0.4">
      <c r="AH3763" s="87"/>
    </row>
    <row r="3764" spans="34:34" ht="15" thickBot="1" x14ac:dyDescent="0.4">
      <c r="AH3764" s="87"/>
    </row>
    <row r="3765" spans="34:34" ht="15" thickBot="1" x14ac:dyDescent="0.4">
      <c r="AH3765" s="87"/>
    </row>
    <row r="3766" spans="34:34" ht="15" thickBot="1" x14ac:dyDescent="0.4">
      <c r="AH3766" s="87"/>
    </row>
    <row r="3767" spans="34:34" ht="15" thickBot="1" x14ac:dyDescent="0.4">
      <c r="AH3767" s="87"/>
    </row>
    <row r="3768" spans="34:34" ht="15" thickBot="1" x14ac:dyDescent="0.4">
      <c r="AH3768" s="87"/>
    </row>
    <row r="3769" spans="34:34" ht="15" thickBot="1" x14ac:dyDescent="0.4">
      <c r="AH3769" s="87"/>
    </row>
    <row r="3770" spans="34:34" ht="15" thickBot="1" x14ac:dyDescent="0.4">
      <c r="AH3770" s="87"/>
    </row>
    <row r="3771" spans="34:34" ht="15" thickBot="1" x14ac:dyDescent="0.4">
      <c r="AH3771" s="87"/>
    </row>
    <row r="3772" spans="34:34" ht="15" thickBot="1" x14ac:dyDescent="0.4">
      <c r="AH3772" s="87"/>
    </row>
    <row r="3773" spans="34:34" ht="15" thickBot="1" x14ac:dyDescent="0.4">
      <c r="AH3773" s="87"/>
    </row>
    <row r="3774" spans="34:34" ht="15" thickBot="1" x14ac:dyDescent="0.4">
      <c r="AH3774" s="87"/>
    </row>
    <row r="3775" spans="34:34" ht="15" thickBot="1" x14ac:dyDescent="0.4">
      <c r="AH3775" s="87"/>
    </row>
    <row r="3776" spans="34:34" ht="15" thickBot="1" x14ac:dyDescent="0.4">
      <c r="AH3776" s="87"/>
    </row>
    <row r="3777" spans="34:34" ht="15" thickBot="1" x14ac:dyDescent="0.4">
      <c r="AH3777" s="87"/>
    </row>
    <row r="3778" spans="34:34" ht="15" thickBot="1" x14ac:dyDescent="0.4">
      <c r="AH3778" s="87"/>
    </row>
    <row r="3779" spans="34:34" ht="15" thickBot="1" x14ac:dyDescent="0.4">
      <c r="AH3779" s="87"/>
    </row>
    <row r="3780" spans="34:34" ht="15" thickBot="1" x14ac:dyDescent="0.4">
      <c r="AH3780" s="87"/>
    </row>
    <row r="3781" spans="34:34" ht="15" thickBot="1" x14ac:dyDescent="0.4">
      <c r="AH3781" s="87"/>
    </row>
    <row r="3782" spans="34:34" ht="15" thickBot="1" x14ac:dyDescent="0.4">
      <c r="AH3782" s="87"/>
    </row>
    <row r="3783" spans="34:34" ht="15" thickBot="1" x14ac:dyDescent="0.4">
      <c r="AH3783" s="87"/>
    </row>
    <row r="3784" spans="34:34" ht="15" thickBot="1" x14ac:dyDescent="0.4">
      <c r="AH3784" s="87"/>
    </row>
    <row r="3785" spans="34:34" ht="15" thickBot="1" x14ac:dyDescent="0.4">
      <c r="AH3785" s="87"/>
    </row>
    <row r="3786" spans="34:34" ht="15" thickBot="1" x14ac:dyDescent="0.4">
      <c r="AH3786" s="87"/>
    </row>
    <row r="3787" spans="34:34" ht="15" thickBot="1" x14ac:dyDescent="0.4">
      <c r="AH3787" s="87"/>
    </row>
    <row r="3788" spans="34:34" ht="15" thickBot="1" x14ac:dyDescent="0.4">
      <c r="AH3788" s="87"/>
    </row>
    <row r="3789" spans="34:34" ht="15" thickBot="1" x14ac:dyDescent="0.4">
      <c r="AH3789" s="87"/>
    </row>
    <row r="3790" spans="34:34" ht="15" thickBot="1" x14ac:dyDescent="0.4">
      <c r="AH3790" s="87"/>
    </row>
    <row r="3791" spans="34:34" ht="15" thickBot="1" x14ac:dyDescent="0.4">
      <c r="AH3791" s="87"/>
    </row>
    <row r="3792" spans="34:34" ht="15" thickBot="1" x14ac:dyDescent="0.4">
      <c r="AH3792" s="87"/>
    </row>
    <row r="3793" spans="34:34" ht="15" thickBot="1" x14ac:dyDescent="0.4">
      <c r="AH3793" s="87"/>
    </row>
    <row r="3794" spans="34:34" ht="15" thickBot="1" x14ac:dyDescent="0.4">
      <c r="AH3794" s="87"/>
    </row>
    <row r="3795" spans="34:34" ht="15" thickBot="1" x14ac:dyDescent="0.4">
      <c r="AH3795" s="87"/>
    </row>
    <row r="3796" spans="34:34" ht="15" thickBot="1" x14ac:dyDescent="0.4">
      <c r="AH3796" s="87"/>
    </row>
    <row r="3797" spans="34:34" ht="15" thickBot="1" x14ac:dyDescent="0.4">
      <c r="AH3797" s="87"/>
    </row>
    <row r="3798" spans="34:34" ht="15" thickBot="1" x14ac:dyDescent="0.4">
      <c r="AH3798" s="87"/>
    </row>
    <row r="3799" spans="34:34" ht="15" thickBot="1" x14ac:dyDescent="0.4">
      <c r="AH3799" s="87"/>
    </row>
    <row r="3800" spans="34:34" ht="15" thickBot="1" x14ac:dyDescent="0.4">
      <c r="AH3800" s="87"/>
    </row>
    <row r="3801" spans="34:34" ht="15" thickBot="1" x14ac:dyDescent="0.4">
      <c r="AH3801" s="87"/>
    </row>
    <row r="3802" spans="34:34" ht="15" thickBot="1" x14ac:dyDescent="0.4">
      <c r="AH3802" s="87"/>
    </row>
    <row r="3803" spans="34:34" ht="15" thickBot="1" x14ac:dyDescent="0.4">
      <c r="AH3803" s="87"/>
    </row>
    <row r="3804" spans="34:34" ht="15" thickBot="1" x14ac:dyDescent="0.4">
      <c r="AH3804" s="87"/>
    </row>
    <row r="3805" spans="34:34" ht="15" thickBot="1" x14ac:dyDescent="0.4">
      <c r="AH3805" s="87"/>
    </row>
    <row r="3806" spans="34:34" ht="15" thickBot="1" x14ac:dyDescent="0.4">
      <c r="AH3806" s="87"/>
    </row>
    <row r="3807" spans="34:34" ht="15" thickBot="1" x14ac:dyDescent="0.4">
      <c r="AH3807" s="87"/>
    </row>
    <row r="3808" spans="34:34" ht="15" thickBot="1" x14ac:dyDescent="0.4">
      <c r="AH3808" s="87"/>
    </row>
    <row r="3809" spans="34:34" ht="15" thickBot="1" x14ac:dyDescent="0.4">
      <c r="AH3809" s="87"/>
    </row>
    <row r="3810" spans="34:34" ht="15" thickBot="1" x14ac:dyDescent="0.4">
      <c r="AH3810" s="87"/>
    </row>
    <row r="3811" spans="34:34" ht="15" thickBot="1" x14ac:dyDescent="0.4">
      <c r="AH3811" s="87"/>
    </row>
    <row r="3812" spans="34:34" ht="15" thickBot="1" x14ac:dyDescent="0.4">
      <c r="AH3812" s="87"/>
    </row>
    <row r="3813" spans="34:34" ht="15" thickBot="1" x14ac:dyDescent="0.4">
      <c r="AH3813" s="87"/>
    </row>
    <row r="3814" spans="34:34" ht="15" thickBot="1" x14ac:dyDescent="0.4">
      <c r="AH3814" s="87"/>
    </row>
    <row r="3815" spans="34:34" ht="15" thickBot="1" x14ac:dyDescent="0.4">
      <c r="AH3815" s="87"/>
    </row>
    <row r="3816" spans="34:34" ht="15" thickBot="1" x14ac:dyDescent="0.4">
      <c r="AH3816" s="87"/>
    </row>
    <row r="3817" spans="34:34" ht="15" thickBot="1" x14ac:dyDescent="0.4">
      <c r="AH3817" s="87"/>
    </row>
    <row r="3818" spans="34:34" ht="15" thickBot="1" x14ac:dyDescent="0.4">
      <c r="AH3818" s="87"/>
    </row>
    <row r="3819" spans="34:34" ht="15" thickBot="1" x14ac:dyDescent="0.4">
      <c r="AH3819" s="87"/>
    </row>
    <row r="3820" spans="34:34" ht="15" thickBot="1" x14ac:dyDescent="0.4">
      <c r="AH3820" s="87"/>
    </row>
    <row r="3821" spans="34:34" ht="15" thickBot="1" x14ac:dyDescent="0.4">
      <c r="AH3821" s="87"/>
    </row>
    <row r="3822" spans="34:34" ht="15" thickBot="1" x14ac:dyDescent="0.4">
      <c r="AH3822" s="87"/>
    </row>
    <row r="3823" spans="34:34" ht="15" thickBot="1" x14ac:dyDescent="0.4">
      <c r="AH3823" s="87"/>
    </row>
    <row r="3824" spans="34:34" ht="15" thickBot="1" x14ac:dyDescent="0.4">
      <c r="AH3824" s="87"/>
    </row>
    <row r="3825" spans="34:34" ht="15" thickBot="1" x14ac:dyDescent="0.4">
      <c r="AH3825" s="87"/>
    </row>
    <row r="3826" spans="34:34" ht="15" thickBot="1" x14ac:dyDescent="0.4">
      <c r="AH3826" s="87"/>
    </row>
    <row r="3827" spans="34:34" ht="15" thickBot="1" x14ac:dyDescent="0.4">
      <c r="AH3827" s="87"/>
    </row>
    <row r="3828" spans="34:34" ht="15" thickBot="1" x14ac:dyDescent="0.4">
      <c r="AH3828" s="87"/>
    </row>
    <row r="3829" spans="34:34" ht="15" thickBot="1" x14ac:dyDescent="0.4">
      <c r="AH3829" s="87"/>
    </row>
    <row r="3830" spans="34:34" ht="15" thickBot="1" x14ac:dyDescent="0.4">
      <c r="AH3830" s="87"/>
    </row>
    <row r="3831" spans="34:34" ht="15" thickBot="1" x14ac:dyDescent="0.4">
      <c r="AH3831" s="87"/>
    </row>
    <row r="3832" spans="34:34" ht="15" thickBot="1" x14ac:dyDescent="0.4">
      <c r="AH3832" s="87"/>
    </row>
    <row r="3833" spans="34:34" ht="15" thickBot="1" x14ac:dyDescent="0.4">
      <c r="AH3833" s="87"/>
    </row>
    <row r="3834" spans="34:34" ht="15" thickBot="1" x14ac:dyDescent="0.4">
      <c r="AH3834" s="87"/>
    </row>
    <row r="3835" spans="34:34" ht="15" thickBot="1" x14ac:dyDescent="0.4">
      <c r="AH3835" s="87"/>
    </row>
    <row r="3836" spans="34:34" ht="15" thickBot="1" x14ac:dyDescent="0.4">
      <c r="AH3836" s="87"/>
    </row>
    <row r="3837" spans="34:34" ht="15" thickBot="1" x14ac:dyDescent="0.4">
      <c r="AH3837" s="87"/>
    </row>
    <row r="3838" spans="34:34" ht="15" thickBot="1" x14ac:dyDescent="0.4">
      <c r="AH3838" s="87"/>
    </row>
    <row r="3839" spans="34:34" ht="15" thickBot="1" x14ac:dyDescent="0.4">
      <c r="AH3839" s="87"/>
    </row>
    <row r="3840" spans="34:34" ht="15" thickBot="1" x14ac:dyDescent="0.4">
      <c r="AH3840" s="87"/>
    </row>
    <row r="3841" spans="34:34" ht="15" thickBot="1" x14ac:dyDescent="0.4">
      <c r="AH3841" s="87"/>
    </row>
    <row r="3842" spans="34:34" ht="15" thickBot="1" x14ac:dyDescent="0.4">
      <c r="AH3842" s="87"/>
    </row>
    <row r="3843" spans="34:34" ht="15" thickBot="1" x14ac:dyDescent="0.4">
      <c r="AH3843" s="87"/>
    </row>
    <row r="3844" spans="34:34" ht="15" thickBot="1" x14ac:dyDescent="0.4">
      <c r="AH3844" s="87"/>
    </row>
    <row r="3845" spans="34:34" ht="15" thickBot="1" x14ac:dyDescent="0.4">
      <c r="AH3845" s="87"/>
    </row>
    <row r="3846" spans="34:34" ht="15" thickBot="1" x14ac:dyDescent="0.4">
      <c r="AH3846" s="87"/>
    </row>
    <row r="3847" spans="34:34" ht="15" thickBot="1" x14ac:dyDescent="0.4">
      <c r="AH3847" s="87"/>
    </row>
    <row r="3848" spans="34:34" ht="15" thickBot="1" x14ac:dyDescent="0.4">
      <c r="AH3848" s="87"/>
    </row>
    <row r="3849" spans="34:34" ht="15" thickBot="1" x14ac:dyDescent="0.4">
      <c r="AH3849" s="87"/>
    </row>
    <row r="3850" spans="34:34" ht="15" thickBot="1" x14ac:dyDescent="0.4">
      <c r="AH3850" s="87"/>
    </row>
    <row r="3851" spans="34:34" ht="15" thickBot="1" x14ac:dyDescent="0.4">
      <c r="AH3851" s="87"/>
    </row>
    <row r="3852" spans="34:34" ht="15" thickBot="1" x14ac:dyDescent="0.4">
      <c r="AH3852" s="87"/>
    </row>
    <row r="3853" spans="34:34" ht="15" thickBot="1" x14ac:dyDescent="0.4">
      <c r="AH3853" s="87"/>
    </row>
    <row r="3854" spans="34:34" ht="15" thickBot="1" x14ac:dyDescent="0.4">
      <c r="AH3854" s="87"/>
    </row>
    <row r="3855" spans="34:34" ht="15" thickBot="1" x14ac:dyDescent="0.4">
      <c r="AH3855" s="87"/>
    </row>
    <row r="3856" spans="34:34" ht="15" thickBot="1" x14ac:dyDescent="0.4">
      <c r="AH3856" s="87"/>
    </row>
    <row r="3857" spans="34:34" ht="15" thickBot="1" x14ac:dyDescent="0.4">
      <c r="AH3857" s="87"/>
    </row>
    <row r="3858" spans="34:34" ht="15" thickBot="1" x14ac:dyDescent="0.4">
      <c r="AH3858" s="87"/>
    </row>
    <row r="3859" spans="34:34" ht="15" thickBot="1" x14ac:dyDescent="0.4">
      <c r="AH3859" s="87"/>
    </row>
    <row r="3860" spans="34:34" ht="15" thickBot="1" x14ac:dyDescent="0.4">
      <c r="AH3860" s="87"/>
    </row>
    <row r="3861" spans="34:34" ht="15" thickBot="1" x14ac:dyDescent="0.4">
      <c r="AH3861" s="87"/>
    </row>
    <row r="3862" spans="34:34" ht="15" thickBot="1" x14ac:dyDescent="0.4">
      <c r="AH3862" s="87"/>
    </row>
    <row r="3863" spans="34:34" ht="15" thickBot="1" x14ac:dyDescent="0.4">
      <c r="AH3863" s="87"/>
    </row>
    <row r="3864" spans="34:34" ht="15" thickBot="1" x14ac:dyDescent="0.4">
      <c r="AH3864" s="87"/>
    </row>
    <row r="3865" spans="34:34" ht="15" thickBot="1" x14ac:dyDescent="0.4">
      <c r="AH3865" s="87"/>
    </row>
    <row r="3866" spans="34:34" ht="15" thickBot="1" x14ac:dyDescent="0.4">
      <c r="AH3866" s="87"/>
    </row>
    <row r="3867" spans="34:34" ht="15" thickBot="1" x14ac:dyDescent="0.4">
      <c r="AH3867" s="87"/>
    </row>
    <row r="3868" spans="34:34" ht="15" thickBot="1" x14ac:dyDescent="0.4">
      <c r="AH3868" s="87"/>
    </row>
    <row r="3869" spans="34:34" ht="15" thickBot="1" x14ac:dyDescent="0.4">
      <c r="AH3869" s="87"/>
    </row>
    <row r="3870" spans="34:34" ht="15" thickBot="1" x14ac:dyDescent="0.4">
      <c r="AH3870" s="87"/>
    </row>
    <row r="3871" spans="34:34" ht="15" thickBot="1" x14ac:dyDescent="0.4">
      <c r="AH3871" s="87"/>
    </row>
    <row r="3872" spans="34:34" ht="15" thickBot="1" x14ac:dyDescent="0.4">
      <c r="AH3872" s="87"/>
    </row>
    <row r="3873" spans="34:34" ht="15" thickBot="1" x14ac:dyDescent="0.4">
      <c r="AH3873" s="87"/>
    </row>
    <row r="3874" spans="34:34" ht="15" thickBot="1" x14ac:dyDescent="0.4">
      <c r="AH3874" s="87"/>
    </row>
    <row r="3875" spans="34:34" ht="15" thickBot="1" x14ac:dyDescent="0.4">
      <c r="AH3875" s="87"/>
    </row>
    <row r="3876" spans="34:34" ht="15" thickBot="1" x14ac:dyDescent="0.4">
      <c r="AH3876" s="87"/>
    </row>
    <row r="3877" spans="34:34" ht="15" thickBot="1" x14ac:dyDescent="0.4">
      <c r="AH3877" s="87"/>
    </row>
    <row r="3878" spans="34:34" ht="15" thickBot="1" x14ac:dyDescent="0.4">
      <c r="AH3878" s="87"/>
    </row>
    <row r="3879" spans="34:34" ht="15" thickBot="1" x14ac:dyDescent="0.4">
      <c r="AH3879" s="87"/>
    </row>
    <row r="3880" spans="34:34" ht="15" thickBot="1" x14ac:dyDescent="0.4">
      <c r="AH3880" s="87"/>
    </row>
    <row r="3881" spans="34:34" ht="15" thickBot="1" x14ac:dyDescent="0.4">
      <c r="AH3881" s="87"/>
    </row>
    <row r="3882" spans="34:34" ht="15" thickBot="1" x14ac:dyDescent="0.4">
      <c r="AH3882" s="87"/>
    </row>
    <row r="3883" spans="34:34" ht="15" thickBot="1" x14ac:dyDescent="0.4">
      <c r="AH3883" s="87"/>
    </row>
    <row r="3884" spans="34:34" ht="15" thickBot="1" x14ac:dyDescent="0.4">
      <c r="AH3884" s="87"/>
    </row>
    <row r="3885" spans="34:34" ht="15" thickBot="1" x14ac:dyDescent="0.4">
      <c r="AH3885" s="87"/>
    </row>
    <row r="3886" spans="34:34" ht="15" thickBot="1" x14ac:dyDescent="0.4">
      <c r="AH3886" s="87"/>
    </row>
    <row r="3887" spans="34:34" ht="15" thickBot="1" x14ac:dyDescent="0.4">
      <c r="AH3887" s="87"/>
    </row>
    <row r="3888" spans="34:34" ht="15" thickBot="1" x14ac:dyDescent="0.4">
      <c r="AH3888" s="87"/>
    </row>
    <row r="3889" spans="34:34" ht="15" thickBot="1" x14ac:dyDescent="0.4">
      <c r="AH3889" s="87"/>
    </row>
    <row r="3890" spans="34:34" ht="15" thickBot="1" x14ac:dyDescent="0.4">
      <c r="AH3890" s="87"/>
    </row>
    <row r="3891" spans="34:34" ht="15" thickBot="1" x14ac:dyDescent="0.4">
      <c r="AH3891" s="87"/>
    </row>
    <row r="3892" spans="34:34" ht="15" thickBot="1" x14ac:dyDescent="0.4">
      <c r="AH3892" s="87"/>
    </row>
    <row r="3893" spans="34:34" ht="15" thickBot="1" x14ac:dyDescent="0.4">
      <c r="AH3893" s="87"/>
    </row>
    <row r="3894" spans="34:34" ht="15" thickBot="1" x14ac:dyDescent="0.4">
      <c r="AH3894" s="87"/>
    </row>
    <row r="3895" spans="34:34" ht="15" thickBot="1" x14ac:dyDescent="0.4">
      <c r="AH3895" s="87"/>
    </row>
    <row r="3896" spans="34:34" ht="15" thickBot="1" x14ac:dyDescent="0.4">
      <c r="AH3896" s="87"/>
    </row>
    <row r="3897" spans="34:34" ht="15" thickBot="1" x14ac:dyDescent="0.4">
      <c r="AH3897" s="87"/>
    </row>
    <row r="3898" spans="34:34" ht="15" thickBot="1" x14ac:dyDescent="0.4">
      <c r="AH3898" s="87"/>
    </row>
    <row r="3899" spans="34:34" ht="15" thickBot="1" x14ac:dyDescent="0.4">
      <c r="AH3899" s="87"/>
    </row>
    <row r="3900" spans="34:34" ht="15" thickBot="1" x14ac:dyDescent="0.4">
      <c r="AH3900" s="87"/>
    </row>
    <row r="3901" spans="34:34" ht="15" thickBot="1" x14ac:dyDescent="0.4">
      <c r="AH3901" s="87"/>
    </row>
    <row r="3902" spans="34:34" ht="15" thickBot="1" x14ac:dyDescent="0.4">
      <c r="AH3902" s="87"/>
    </row>
    <row r="3903" spans="34:34" ht="15" thickBot="1" x14ac:dyDescent="0.4">
      <c r="AH3903" s="87"/>
    </row>
    <row r="3904" spans="34:34" ht="15" thickBot="1" x14ac:dyDescent="0.4">
      <c r="AH3904" s="87"/>
    </row>
    <row r="3905" spans="34:34" ht="15" thickBot="1" x14ac:dyDescent="0.4">
      <c r="AH3905" s="87"/>
    </row>
    <row r="3906" spans="34:34" ht="15" thickBot="1" x14ac:dyDescent="0.4">
      <c r="AH3906" s="87"/>
    </row>
    <row r="3907" spans="34:34" ht="15" thickBot="1" x14ac:dyDescent="0.4">
      <c r="AH3907" s="87"/>
    </row>
    <row r="3908" spans="34:34" ht="15" thickBot="1" x14ac:dyDescent="0.4">
      <c r="AH3908" s="87"/>
    </row>
    <row r="3909" spans="34:34" ht="15" thickBot="1" x14ac:dyDescent="0.4">
      <c r="AH3909" s="87"/>
    </row>
    <row r="3910" spans="34:34" ht="15" thickBot="1" x14ac:dyDescent="0.4">
      <c r="AH3910" s="87"/>
    </row>
    <row r="3911" spans="34:34" ht="15" thickBot="1" x14ac:dyDescent="0.4">
      <c r="AH3911" s="87"/>
    </row>
    <row r="3912" spans="34:34" ht="15" thickBot="1" x14ac:dyDescent="0.4">
      <c r="AH3912" s="87"/>
    </row>
    <row r="3913" spans="34:34" ht="15" thickBot="1" x14ac:dyDescent="0.4">
      <c r="AH3913" s="87"/>
    </row>
    <row r="3914" spans="34:34" ht="15" thickBot="1" x14ac:dyDescent="0.4">
      <c r="AH3914" s="87"/>
    </row>
    <row r="3915" spans="34:34" ht="15" thickBot="1" x14ac:dyDescent="0.4">
      <c r="AH3915" s="87"/>
    </row>
    <row r="3916" spans="34:34" ht="15" thickBot="1" x14ac:dyDescent="0.4">
      <c r="AH3916" s="87"/>
    </row>
    <row r="3917" spans="34:34" ht="15" thickBot="1" x14ac:dyDescent="0.4">
      <c r="AH3917" s="87"/>
    </row>
    <row r="3918" spans="34:34" ht="15" thickBot="1" x14ac:dyDescent="0.4">
      <c r="AH3918" s="87"/>
    </row>
    <row r="3919" spans="34:34" ht="15" thickBot="1" x14ac:dyDescent="0.4">
      <c r="AH3919" s="87"/>
    </row>
    <row r="3920" spans="34:34" ht="15" thickBot="1" x14ac:dyDescent="0.4">
      <c r="AH3920" s="87"/>
    </row>
    <row r="3921" spans="34:34" ht="15" thickBot="1" x14ac:dyDescent="0.4">
      <c r="AH3921" s="87"/>
    </row>
    <row r="3922" spans="34:34" ht="15" thickBot="1" x14ac:dyDescent="0.4">
      <c r="AH3922" s="87"/>
    </row>
    <row r="3923" spans="34:34" ht="15" thickBot="1" x14ac:dyDescent="0.4">
      <c r="AH3923" s="87"/>
    </row>
    <row r="3924" spans="34:34" ht="15" thickBot="1" x14ac:dyDescent="0.4">
      <c r="AH3924" s="87"/>
    </row>
    <row r="3925" spans="34:34" ht="15" thickBot="1" x14ac:dyDescent="0.4">
      <c r="AH3925" s="87"/>
    </row>
    <row r="3926" spans="34:34" ht="15" thickBot="1" x14ac:dyDescent="0.4">
      <c r="AH3926" s="87"/>
    </row>
    <row r="3927" spans="34:34" ht="15" thickBot="1" x14ac:dyDescent="0.4">
      <c r="AH3927" s="87"/>
    </row>
    <row r="3928" spans="34:34" ht="15" thickBot="1" x14ac:dyDescent="0.4">
      <c r="AH3928" s="87"/>
    </row>
    <row r="3929" spans="34:34" ht="15" thickBot="1" x14ac:dyDescent="0.4">
      <c r="AH3929" s="87"/>
    </row>
    <row r="3930" spans="34:34" ht="15" thickBot="1" x14ac:dyDescent="0.4">
      <c r="AH3930" s="87"/>
    </row>
    <row r="3931" spans="34:34" ht="15" thickBot="1" x14ac:dyDescent="0.4">
      <c r="AH3931" s="87"/>
    </row>
    <row r="3932" spans="34:34" ht="15" thickBot="1" x14ac:dyDescent="0.4">
      <c r="AH3932" s="87"/>
    </row>
    <row r="3933" spans="34:34" ht="15" thickBot="1" x14ac:dyDescent="0.4">
      <c r="AH3933" s="87"/>
    </row>
    <row r="3934" spans="34:34" ht="15" thickBot="1" x14ac:dyDescent="0.4">
      <c r="AH3934" s="87"/>
    </row>
    <row r="3935" spans="34:34" ht="15" thickBot="1" x14ac:dyDescent="0.4">
      <c r="AH3935" s="87"/>
    </row>
    <row r="3936" spans="34:34" ht="15" thickBot="1" x14ac:dyDescent="0.4">
      <c r="AH3936" s="87"/>
    </row>
    <row r="3937" spans="34:34" ht="15" thickBot="1" x14ac:dyDescent="0.4">
      <c r="AH3937" s="87"/>
    </row>
    <row r="3938" spans="34:34" ht="15" thickBot="1" x14ac:dyDescent="0.4">
      <c r="AH3938" s="87"/>
    </row>
    <row r="3939" spans="34:34" ht="15" thickBot="1" x14ac:dyDescent="0.4">
      <c r="AH3939" s="87"/>
    </row>
    <row r="3940" spans="34:34" ht="15" thickBot="1" x14ac:dyDescent="0.4">
      <c r="AH3940" s="87"/>
    </row>
    <row r="3941" spans="34:34" ht="15" thickBot="1" x14ac:dyDescent="0.4">
      <c r="AH3941" s="87"/>
    </row>
    <row r="3942" spans="34:34" ht="15" thickBot="1" x14ac:dyDescent="0.4">
      <c r="AH3942" s="87"/>
    </row>
    <row r="3943" spans="34:34" ht="15" thickBot="1" x14ac:dyDescent="0.4">
      <c r="AH3943" s="87"/>
    </row>
    <row r="3944" spans="34:34" ht="15" thickBot="1" x14ac:dyDescent="0.4">
      <c r="AH3944" s="87"/>
    </row>
    <row r="3945" spans="34:34" ht="15" thickBot="1" x14ac:dyDescent="0.4">
      <c r="AH3945" s="87"/>
    </row>
    <row r="3946" spans="34:34" ht="15" thickBot="1" x14ac:dyDescent="0.4">
      <c r="AH3946" s="87"/>
    </row>
    <row r="3947" spans="34:34" ht="15" thickBot="1" x14ac:dyDescent="0.4">
      <c r="AH3947" s="87"/>
    </row>
    <row r="3948" spans="34:34" ht="15" thickBot="1" x14ac:dyDescent="0.4">
      <c r="AH3948" s="87"/>
    </row>
    <row r="3949" spans="34:34" ht="15" thickBot="1" x14ac:dyDescent="0.4">
      <c r="AH3949" s="87"/>
    </row>
    <row r="3950" spans="34:34" ht="15" thickBot="1" x14ac:dyDescent="0.4">
      <c r="AH3950" s="87"/>
    </row>
    <row r="3951" spans="34:34" ht="15" thickBot="1" x14ac:dyDescent="0.4">
      <c r="AH3951" s="87"/>
    </row>
    <row r="3952" spans="34:34" ht="15" thickBot="1" x14ac:dyDescent="0.4">
      <c r="AH3952" s="87"/>
    </row>
    <row r="3953" spans="34:34" ht="15" thickBot="1" x14ac:dyDescent="0.4">
      <c r="AH3953" s="87"/>
    </row>
    <row r="3954" spans="34:34" ht="15" thickBot="1" x14ac:dyDescent="0.4">
      <c r="AH3954" s="87"/>
    </row>
    <row r="3955" spans="34:34" ht="15" thickBot="1" x14ac:dyDescent="0.4">
      <c r="AH3955" s="87"/>
    </row>
    <row r="3956" spans="34:34" ht="15" thickBot="1" x14ac:dyDescent="0.4">
      <c r="AH3956" s="87"/>
    </row>
    <row r="3957" spans="34:34" ht="15" thickBot="1" x14ac:dyDescent="0.4">
      <c r="AH3957" s="87"/>
    </row>
    <row r="3958" spans="34:34" ht="15" thickBot="1" x14ac:dyDescent="0.4">
      <c r="AH3958" s="87"/>
    </row>
    <row r="3959" spans="34:34" ht="15" thickBot="1" x14ac:dyDescent="0.4">
      <c r="AH3959" s="87"/>
    </row>
    <row r="3960" spans="34:34" ht="15" thickBot="1" x14ac:dyDescent="0.4">
      <c r="AH3960" s="87"/>
    </row>
    <row r="3961" spans="34:34" ht="15" thickBot="1" x14ac:dyDescent="0.4">
      <c r="AH3961" s="87"/>
    </row>
    <row r="3962" spans="34:34" ht="15" thickBot="1" x14ac:dyDescent="0.4">
      <c r="AH3962" s="87"/>
    </row>
    <row r="3963" spans="34:34" ht="15" thickBot="1" x14ac:dyDescent="0.4">
      <c r="AH3963" s="87"/>
    </row>
    <row r="3964" spans="34:34" ht="15" thickBot="1" x14ac:dyDescent="0.4">
      <c r="AH3964" s="87"/>
    </row>
    <row r="3965" spans="34:34" ht="15" thickBot="1" x14ac:dyDescent="0.4">
      <c r="AH3965" s="87"/>
    </row>
    <row r="3966" spans="34:34" ht="15" thickBot="1" x14ac:dyDescent="0.4">
      <c r="AH3966" s="87"/>
    </row>
    <row r="3967" spans="34:34" ht="15" thickBot="1" x14ac:dyDescent="0.4">
      <c r="AH3967" s="87"/>
    </row>
    <row r="3968" spans="34:34" ht="15" thickBot="1" x14ac:dyDescent="0.4">
      <c r="AH3968" s="87"/>
    </row>
    <row r="3969" spans="34:34" ht="15" thickBot="1" x14ac:dyDescent="0.4">
      <c r="AH3969" s="87"/>
    </row>
    <row r="3970" spans="34:34" ht="15" thickBot="1" x14ac:dyDescent="0.4">
      <c r="AH3970" s="87"/>
    </row>
    <row r="3971" spans="34:34" ht="15" thickBot="1" x14ac:dyDescent="0.4">
      <c r="AH3971" s="87"/>
    </row>
    <row r="3972" spans="34:34" ht="15" thickBot="1" x14ac:dyDescent="0.4">
      <c r="AH3972" s="87"/>
    </row>
    <row r="3973" spans="34:34" ht="15" thickBot="1" x14ac:dyDescent="0.4">
      <c r="AH3973" s="87"/>
    </row>
    <row r="3974" spans="34:34" ht="15" thickBot="1" x14ac:dyDescent="0.4">
      <c r="AH3974" s="87"/>
    </row>
    <row r="3975" spans="34:34" ht="15" thickBot="1" x14ac:dyDescent="0.4">
      <c r="AH3975" s="87"/>
    </row>
    <row r="3976" spans="34:34" ht="15" thickBot="1" x14ac:dyDescent="0.4">
      <c r="AH3976" s="87"/>
    </row>
    <row r="3977" spans="34:34" ht="15" thickBot="1" x14ac:dyDescent="0.4">
      <c r="AH3977" s="87"/>
    </row>
    <row r="3978" spans="34:34" ht="15" thickBot="1" x14ac:dyDescent="0.4">
      <c r="AH3978" s="87"/>
    </row>
    <row r="3979" spans="34:34" ht="15" thickBot="1" x14ac:dyDescent="0.4">
      <c r="AH3979" s="87"/>
    </row>
    <row r="3980" spans="34:34" ht="15" thickBot="1" x14ac:dyDescent="0.4">
      <c r="AH3980" s="87"/>
    </row>
    <row r="3981" spans="34:34" ht="15" thickBot="1" x14ac:dyDescent="0.4">
      <c r="AH3981" s="87"/>
    </row>
    <row r="3982" spans="34:34" ht="15" thickBot="1" x14ac:dyDescent="0.4">
      <c r="AH3982" s="87"/>
    </row>
    <row r="3983" spans="34:34" ht="15" thickBot="1" x14ac:dyDescent="0.4">
      <c r="AH3983" s="87"/>
    </row>
    <row r="3984" spans="34:34" ht="15" thickBot="1" x14ac:dyDescent="0.4">
      <c r="AH3984" s="87"/>
    </row>
    <row r="3985" spans="34:34" ht="15" thickBot="1" x14ac:dyDescent="0.4">
      <c r="AH3985" s="87"/>
    </row>
    <row r="3986" spans="34:34" ht="15" thickBot="1" x14ac:dyDescent="0.4">
      <c r="AH3986" s="87"/>
    </row>
    <row r="3987" spans="34:34" ht="15" thickBot="1" x14ac:dyDescent="0.4">
      <c r="AH3987" s="87"/>
    </row>
    <row r="3988" spans="34:34" ht="15" thickBot="1" x14ac:dyDescent="0.4">
      <c r="AH3988" s="87"/>
    </row>
    <row r="3989" spans="34:34" ht="15" thickBot="1" x14ac:dyDescent="0.4">
      <c r="AH3989" s="87"/>
    </row>
    <row r="3990" spans="34:34" ht="15" thickBot="1" x14ac:dyDescent="0.4">
      <c r="AH3990" s="87"/>
    </row>
    <row r="3991" spans="34:34" ht="15" thickBot="1" x14ac:dyDescent="0.4">
      <c r="AH3991" s="87"/>
    </row>
    <row r="3992" spans="34:34" ht="15" thickBot="1" x14ac:dyDescent="0.4">
      <c r="AH3992" s="87"/>
    </row>
    <row r="3993" spans="34:34" ht="15" thickBot="1" x14ac:dyDescent="0.4">
      <c r="AH3993" s="87"/>
    </row>
    <row r="3994" spans="34:34" ht="15" thickBot="1" x14ac:dyDescent="0.4">
      <c r="AH3994" s="87"/>
    </row>
    <row r="3995" spans="34:34" ht="15" thickBot="1" x14ac:dyDescent="0.4">
      <c r="AH3995" s="87"/>
    </row>
    <row r="3996" spans="34:34" ht="15" thickBot="1" x14ac:dyDescent="0.4">
      <c r="AH3996" s="87"/>
    </row>
    <row r="3997" spans="34:34" ht="15" thickBot="1" x14ac:dyDescent="0.4">
      <c r="AH3997" s="87"/>
    </row>
    <row r="3998" spans="34:34" ht="15" thickBot="1" x14ac:dyDescent="0.4">
      <c r="AH3998" s="87"/>
    </row>
    <row r="3999" spans="34:34" ht="15" thickBot="1" x14ac:dyDescent="0.4">
      <c r="AH3999" s="87"/>
    </row>
    <row r="4000" spans="34:34" ht="15" thickBot="1" x14ac:dyDescent="0.4">
      <c r="AH4000" s="87"/>
    </row>
    <row r="4001" spans="34:34" ht="15" thickBot="1" x14ac:dyDescent="0.4">
      <c r="AH4001" s="87"/>
    </row>
    <row r="4002" spans="34:34" ht="15" thickBot="1" x14ac:dyDescent="0.4">
      <c r="AH4002" s="87"/>
    </row>
    <row r="4003" spans="34:34" ht="15" thickBot="1" x14ac:dyDescent="0.4">
      <c r="AH4003" s="87"/>
    </row>
    <row r="4004" spans="34:34" ht="15" thickBot="1" x14ac:dyDescent="0.4">
      <c r="AH4004" s="87"/>
    </row>
    <row r="4005" spans="34:34" ht="15" thickBot="1" x14ac:dyDescent="0.4">
      <c r="AH4005" s="87"/>
    </row>
    <row r="4006" spans="34:34" ht="15" thickBot="1" x14ac:dyDescent="0.4">
      <c r="AH4006" s="87"/>
    </row>
    <row r="4007" spans="34:34" ht="15" thickBot="1" x14ac:dyDescent="0.4">
      <c r="AH4007" s="87"/>
    </row>
    <row r="4008" spans="34:34" ht="15" thickBot="1" x14ac:dyDescent="0.4">
      <c r="AH4008" s="87"/>
    </row>
    <row r="4009" spans="34:34" ht="15" thickBot="1" x14ac:dyDescent="0.4">
      <c r="AH4009" s="87"/>
    </row>
    <row r="4010" spans="34:34" ht="15" thickBot="1" x14ac:dyDescent="0.4">
      <c r="AH4010" s="87"/>
    </row>
    <row r="4011" spans="34:34" ht="15" thickBot="1" x14ac:dyDescent="0.4">
      <c r="AH4011" s="87"/>
    </row>
    <row r="4012" spans="34:34" ht="15" thickBot="1" x14ac:dyDescent="0.4">
      <c r="AH4012" s="87"/>
    </row>
    <row r="4013" spans="34:34" ht="15" thickBot="1" x14ac:dyDescent="0.4">
      <c r="AH4013" s="87"/>
    </row>
    <row r="4014" spans="34:34" ht="15" thickBot="1" x14ac:dyDescent="0.4">
      <c r="AH4014" s="87"/>
    </row>
    <row r="4015" spans="34:34" ht="15" thickBot="1" x14ac:dyDescent="0.4">
      <c r="AH4015" s="87"/>
    </row>
    <row r="4016" spans="34:34" ht="15" thickBot="1" x14ac:dyDescent="0.4">
      <c r="AH4016" s="87"/>
    </row>
    <row r="4017" spans="34:34" ht="15" thickBot="1" x14ac:dyDescent="0.4">
      <c r="AH4017" s="87"/>
    </row>
    <row r="4018" spans="34:34" ht="15" thickBot="1" x14ac:dyDescent="0.4">
      <c r="AH4018" s="87"/>
    </row>
    <row r="4019" spans="34:34" ht="15" thickBot="1" x14ac:dyDescent="0.4">
      <c r="AH4019" s="87"/>
    </row>
    <row r="4020" spans="34:34" ht="15" thickBot="1" x14ac:dyDescent="0.4">
      <c r="AH4020" s="87"/>
    </row>
    <row r="4021" spans="34:34" ht="15" thickBot="1" x14ac:dyDescent="0.4">
      <c r="AH4021" s="87"/>
    </row>
    <row r="4022" spans="34:34" ht="15" thickBot="1" x14ac:dyDescent="0.4">
      <c r="AH4022" s="87"/>
    </row>
    <row r="4023" spans="34:34" ht="15" thickBot="1" x14ac:dyDescent="0.4">
      <c r="AH4023" s="87"/>
    </row>
    <row r="4024" spans="34:34" ht="15" thickBot="1" x14ac:dyDescent="0.4">
      <c r="AH4024" s="87"/>
    </row>
    <row r="4025" spans="34:34" ht="15" thickBot="1" x14ac:dyDescent="0.4">
      <c r="AH4025" s="87"/>
    </row>
    <row r="4026" spans="34:34" ht="15" thickBot="1" x14ac:dyDescent="0.4">
      <c r="AH4026" s="87"/>
    </row>
    <row r="4027" spans="34:34" ht="15" thickBot="1" x14ac:dyDescent="0.4">
      <c r="AH4027" s="87"/>
    </row>
    <row r="4028" spans="34:34" ht="15" thickBot="1" x14ac:dyDescent="0.4">
      <c r="AH4028" s="87"/>
    </row>
    <row r="4029" spans="34:34" ht="15" thickBot="1" x14ac:dyDescent="0.4">
      <c r="AH4029" s="87"/>
    </row>
    <row r="4030" spans="34:34" ht="15" thickBot="1" x14ac:dyDescent="0.4">
      <c r="AH4030" s="87"/>
    </row>
    <row r="4031" spans="34:34" ht="15" thickBot="1" x14ac:dyDescent="0.4">
      <c r="AH4031" s="87"/>
    </row>
    <row r="4032" spans="34:34" ht="15" thickBot="1" x14ac:dyDescent="0.4">
      <c r="AH4032" s="87"/>
    </row>
    <row r="4033" spans="34:34" ht="15" thickBot="1" x14ac:dyDescent="0.4">
      <c r="AH4033" s="87"/>
    </row>
    <row r="4034" spans="34:34" ht="15" thickBot="1" x14ac:dyDescent="0.4">
      <c r="AH4034" s="87"/>
    </row>
    <row r="4035" spans="34:34" ht="15" thickBot="1" x14ac:dyDescent="0.4">
      <c r="AH4035" s="87"/>
    </row>
    <row r="4036" spans="34:34" ht="15" thickBot="1" x14ac:dyDescent="0.4">
      <c r="AH4036" s="87"/>
    </row>
    <row r="4037" spans="34:34" ht="15" thickBot="1" x14ac:dyDescent="0.4">
      <c r="AH4037" s="87"/>
    </row>
    <row r="4038" spans="34:34" ht="15" thickBot="1" x14ac:dyDescent="0.4">
      <c r="AH4038" s="87"/>
    </row>
    <row r="4039" spans="34:34" ht="15" thickBot="1" x14ac:dyDescent="0.4">
      <c r="AH4039" s="87"/>
    </row>
    <row r="4040" spans="34:34" ht="15" thickBot="1" x14ac:dyDescent="0.4">
      <c r="AH4040" s="87"/>
    </row>
    <row r="4041" spans="34:34" ht="15" thickBot="1" x14ac:dyDescent="0.4">
      <c r="AH4041" s="87"/>
    </row>
    <row r="4042" spans="34:34" ht="15" thickBot="1" x14ac:dyDescent="0.4">
      <c r="AH4042" s="87"/>
    </row>
    <row r="4043" spans="34:34" ht="15" thickBot="1" x14ac:dyDescent="0.4">
      <c r="AH4043" s="87"/>
    </row>
    <row r="4044" spans="34:34" ht="15" thickBot="1" x14ac:dyDescent="0.4">
      <c r="AH4044" s="87"/>
    </row>
    <row r="4045" spans="34:34" ht="15" thickBot="1" x14ac:dyDescent="0.4">
      <c r="AH4045" s="87"/>
    </row>
    <row r="4046" spans="34:34" ht="15" thickBot="1" x14ac:dyDescent="0.4">
      <c r="AH4046" s="87"/>
    </row>
    <row r="4047" spans="34:34" ht="15" thickBot="1" x14ac:dyDescent="0.4">
      <c r="AH4047" s="87"/>
    </row>
    <row r="4048" spans="34:34" ht="15" thickBot="1" x14ac:dyDescent="0.4">
      <c r="AH4048" s="87"/>
    </row>
    <row r="4049" spans="34:34" ht="15" thickBot="1" x14ac:dyDescent="0.4">
      <c r="AH4049" s="87"/>
    </row>
    <row r="4050" spans="34:34" ht="15" thickBot="1" x14ac:dyDescent="0.4">
      <c r="AH4050" s="87"/>
    </row>
    <row r="4051" spans="34:34" ht="15" thickBot="1" x14ac:dyDescent="0.4">
      <c r="AH4051" s="87"/>
    </row>
    <row r="4052" spans="34:34" ht="15" thickBot="1" x14ac:dyDescent="0.4">
      <c r="AH4052" s="87"/>
    </row>
    <row r="4053" spans="34:34" ht="15" thickBot="1" x14ac:dyDescent="0.4">
      <c r="AH4053" s="87"/>
    </row>
    <row r="4054" spans="34:34" ht="15" thickBot="1" x14ac:dyDescent="0.4">
      <c r="AH4054" s="87"/>
    </row>
    <row r="4055" spans="34:34" ht="15" thickBot="1" x14ac:dyDescent="0.4">
      <c r="AH4055" s="87"/>
    </row>
    <row r="4056" spans="34:34" ht="15" thickBot="1" x14ac:dyDescent="0.4">
      <c r="AH4056" s="87"/>
    </row>
    <row r="4057" spans="34:34" ht="15" thickBot="1" x14ac:dyDescent="0.4">
      <c r="AH4057" s="87"/>
    </row>
    <row r="4058" spans="34:34" ht="15" thickBot="1" x14ac:dyDescent="0.4">
      <c r="AH4058" s="87"/>
    </row>
    <row r="4059" spans="34:34" ht="15" thickBot="1" x14ac:dyDescent="0.4">
      <c r="AH4059" s="87"/>
    </row>
    <row r="4060" spans="34:34" ht="15" thickBot="1" x14ac:dyDescent="0.4">
      <c r="AH4060" s="87"/>
    </row>
    <row r="4061" spans="34:34" ht="15" thickBot="1" x14ac:dyDescent="0.4">
      <c r="AH4061" s="87"/>
    </row>
    <row r="4062" spans="34:34" ht="15" thickBot="1" x14ac:dyDescent="0.4">
      <c r="AH4062" s="87"/>
    </row>
    <row r="4063" spans="34:34" ht="15" thickBot="1" x14ac:dyDescent="0.4">
      <c r="AH4063" s="87"/>
    </row>
    <row r="4064" spans="34:34" ht="15" thickBot="1" x14ac:dyDescent="0.4">
      <c r="AH4064" s="87"/>
    </row>
    <row r="4065" spans="34:34" ht="15" thickBot="1" x14ac:dyDescent="0.4">
      <c r="AH4065" s="87"/>
    </row>
    <row r="4066" spans="34:34" ht="15" thickBot="1" x14ac:dyDescent="0.4">
      <c r="AH4066" s="87"/>
    </row>
    <row r="4067" spans="34:34" ht="15" thickBot="1" x14ac:dyDescent="0.4">
      <c r="AH4067" s="87"/>
    </row>
    <row r="4068" spans="34:34" ht="15" thickBot="1" x14ac:dyDescent="0.4">
      <c r="AH4068" s="87"/>
    </row>
    <row r="4069" spans="34:34" ht="15" thickBot="1" x14ac:dyDescent="0.4">
      <c r="AH4069" s="87"/>
    </row>
    <row r="4070" spans="34:34" ht="15" thickBot="1" x14ac:dyDescent="0.4">
      <c r="AH4070" s="87"/>
    </row>
    <row r="4071" spans="34:34" ht="15" thickBot="1" x14ac:dyDescent="0.4">
      <c r="AH4071" s="87"/>
    </row>
    <row r="4072" spans="34:34" ht="15" thickBot="1" x14ac:dyDescent="0.4">
      <c r="AH4072" s="87"/>
    </row>
    <row r="4073" spans="34:34" ht="15" thickBot="1" x14ac:dyDescent="0.4">
      <c r="AH4073" s="87"/>
    </row>
    <row r="4074" spans="34:34" ht="15" thickBot="1" x14ac:dyDescent="0.4">
      <c r="AH4074" s="87"/>
    </row>
    <row r="4075" spans="34:34" ht="15" thickBot="1" x14ac:dyDescent="0.4">
      <c r="AH4075" s="87"/>
    </row>
    <row r="4076" spans="34:34" ht="15" thickBot="1" x14ac:dyDescent="0.4">
      <c r="AH4076" s="87"/>
    </row>
    <row r="4077" spans="34:34" ht="15" thickBot="1" x14ac:dyDescent="0.4">
      <c r="AH4077" s="87"/>
    </row>
    <row r="4078" spans="34:34" ht="15" thickBot="1" x14ac:dyDescent="0.4">
      <c r="AH4078" s="87"/>
    </row>
    <row r="4079" spans="34:34" ht="15" thickBot="1" x14ac:dyDescent="0.4">
      <c r="AH4079" s="87"/>
    </row>
    <row r="4080" spans="34:34" ht="15" thickBot="1" x14ac:dyDescent="0.4">
      <c r="AH4080" s="87"/>
    </row>
    <row r="4081" spans="34:34" ht="15" thickBot="1" x14ac:dyDescent="0.4">
      <c r="AH4081" s="87"/>
    </row>
    <row r="4082" spans="34:34" ht="15" thickBot="1" x14ac:dyDescent="0.4">
      <c r="AH4082" s="87"/>
    </row>
    <row r="4083" spans="34:34" ht="15" thickBot="1" x14ac:dyDescent="0.4">
      <c r="AH4083" s="87"/>
    </row>
    <row r="4084" spans="34:34" ht="15" thickBot="1" x14ac:dyDescent="0.4">
      <c r="AH4084" s="87"/>
    </row>
    <row r="4085" spans="34:34" ht="15" thickBot="1" x14ac:dyDescent="0.4">
      <c r="AH4085" s="87"/>
    </row>
    <row r="4086" spans="34:34" ht="15" thickBot="1" x14ac:dyDescent="0.4">
      <c r="AH4086" s="87"/>
    </row>
    <row r="4087" spans="34:34" ht="15" thickBot="1" x14ac:dyDescent="0.4">
      <c r="AH4087" s="87"/>
    </row>
    <row r="4088" spans="34:34" ht="15" thickBot="1" x14ac:dyDescent="0.4">
      <c r="AH4088" s="87"/>
    </row>
    <row r="4089" spans="34:34" ht="15" thickBot="1" x14ac:dyDescent="0.4">
      <c r="AH4089" s="87"/>
    </row>
    <row r="4090" spans="34:34" ht="15" thickBot="1" x14ac:dyDescent="0.4">
      <c r="AH4090" s="87"/>
    </row>
    <row r="4091" spans="34:34" ht="15" thickBot="1" x14ac:dyDescent="0.4">
      <c r="AH4091" s="87"/>
    </row>
    <row r="4092" spans="34:34" ht="15" thickBot="1" x14ac:dyDescent="0.4">
      <c r="AH4092" s="87"/>
    </row>
    <row r="4093" spans="34:34" ht="15" thickBot="1" x14ac:dyDescent="0.4">
      <c r="AH4093" s="87"/>
    </row>
    <row r="4094" spans="34:34" ht="15" thickBot="1" x14ac:dyDescent="0.4">
      <c r="AH4094" s="87"/>
    </row>
    <row r="4095" spans="34:34" ht="15" thickBot="1" x14ac:dyDescent="0.4">
      <c r="AH4095" s="87"/>
    </row>
    <row r="4096" spans="34:34" ht="15" thickBot="1" x14ac:dyDescent="0.4">
      <c r="AH4096" s="87"/>
    </row>
    <row r="4097" spans="34:34" ht="15" thickBot="1" x14ac:dyDescent="0.4">
      <c r="AH4097" s="87"/>
    </row>
    <row r="4098" spans="34:34" ht="15" thickBot="1" x14ac:dyDescent="0.4">
      <c r="AH4098" s="87"/>
    </row>
    <row r="4099" spans="34:34" ht="15" thickBot="1" x14ac:dyDescent="0.4">
      <c r="AH4099" s="87"/>
    </row>
    <row r="4100" spans="34:34" ht="15" thickBot="1" x14ac:dyDescent="0.4">
      <c r="AH4100" s="87"/>
    </row>
    <row r="4101" spans="34:34" ht="15" thickBot="1" x14ac:dyDescent="0.4">
      <c r="AH4101" s="87"/>
    </row>
    <row r="4102" spans="34:34" ht="15" thickBot="1" x14ac:dyDescent="0.4">
      <c r="AH4102" s="87"/>
    </row>
    <row r="4103" spans="34:34" ht="15" thickBot="1" x14ac:dyDescent="0.4">
      <c r="AH4103" s="87"/>
    </row>
    <row r="4104" spans="34:34" ht="15" thickBot="1" x14ac:dyDescent="0.4">
      <c r="AH4104" s="87"/>
    </row>
    <row r="4105" spans="34:34" ht="15" thickBot="1" x14ac:dyDescent="0.4">
      <c r="AH4105" s="87"/>
    </row>
    <row r="4106" spans="34:34" ht="15" thickBot="1" x14ac:dyDescent="0.4">
      <c r="AH4106" s="87"/>
    </row>
    <row r="4107" spans="34:34" ht="15" thickBot="1" x14ac:dyDescent="0.4">
      <c r="AH4107" s="87"/>
    </row>
    <row r="4108" spans="34:34" ht="15" thickBot="1" x14ac:dyDescent="0.4">
      <c r="AH4108" s="87"/>
    </row>
    <row r="4109" spans="34:34" ht="15" thickBot="1" x14ac:dyDescent="0.4">
      <c r="AH4109" s="87"/>
    </row>
    <row r="4110" spans="34:34" ht="15" thickBot="1" x14ac:dyDescent="0.4">
      <c r="AH4110" s="87"/>
    </row>
    <row r="4111" spans="34:34" ht="15" thickBot="1" x14ac:dyDescent="0.4">
      <c r="AH4111" s="87"/>
    </row>
    <row r="4112" spans="34:34" ht="15" thickBot="1" x14ac:dyDescent="0.4">
      <c r="AH4112" s="87"/>
    </row>
    <row r="4113" spans="34:34" ht="15" thickBot="1" x14ac:dyDescent="0.4">
      <c r="AH4113" s="87"/>
    </row>
    <row r="4114" spans="34:34" ht="15" thickBot="1" x14ac:dyDescent="0.4">
      <c r="AH4114" s="87"/>
    </row>
    <row r="4115" spans="34:34" ht="15" thickBot="1" x14ac:dyDescent="0.4">
      <c r="AH4115" s="87"/>
    </row>
    <row r="4116" spans="34:34" ht="15" thickBot="1" x14ac:dyDescent="0.4">
      <c r="AH4116" s="87"/>
    </row>
    <row r="4117" spans="34:34" ht="15" thickBot="1" x14ac:dyDescent="0.4">
      <c r="AH4117" s="87"/>
    </row>
    <row r="4118" spans="34:34" ht="15" thickBot="1" x14ac:dyDescent="0.4">
      <c r="AH4118" s="87"/>
    </row>
    <row r="4119" spans="34:34" ht="15" thickBot="1" x14ac:dyDescent="0.4">
      <c r="AH4119" s="87"/>
    </row>
    <row r="4120" spans="34:34" ht="15" thickBot="1" x14ac:dyDescent="0.4">
      <c r="AH4120" s="87"/>
    </row>
    <row r="4121" spans="34:34" ht="15" thickBot="1" x14ac:dyDescent="0.4">
      <c r="AH4121" s="87"/>
    </row>
    <row r="4122" spans="34:34" ht="15" thickBot="1" x14ac:dyDescent="0.4">
      <c r="AH4122" s="87"/>
    </row>
    <row r="4123" spans="34:34" ht="15" thickBot="1" x14ac:dyDescent="0.4">
      <c r="AH4123" s="87"/>
    </row>
    <row r="4124" spans="34:34" ht="15" thickBot="1" x14ac:dyDescent="0.4">
      <c r="AH4124" s="87"/>
    </row>
    <row r="4125" spans="34:34" ht="15" thickBot="1" x14ac:dyDescent="0.4">
      <c r="AH4125" s="87"/>
    </row>
    <row r="4126" spans="34:34" ht="15" thickBot="1" x14ac:dyDescent="0.4">
      <c r="AH4126" s="87"/>
    </row>
    <row r="4127" spans="34:34" ht="15" thickBot="1" x14ac:dyDescent="0.4">
      <c r="AH4127" s="87"/>
    </row>
    <row r="4128" spans="34:34" ht="15" thickBot="1" x14ac:dyDescent="0.4">
      <c r="AH4128" s="87"/>
    </row>
    <row r="4129" spans="34:34" ht="15" thickBot="1" x14ac:dyDescent="0.4">
      <c r="AH4129" s="87"/>
    </row>
    <row r="4130" spans="34:34" ht="15" thickBot="1" x14ac:dyDescent="0.4">
      <c r="AH4130" s="87"/>
    </row>
    <row r="4131" spans="34:34" ht="15" thickBot="1" x14ac:dyDescent="0.4">
      <c r="AH4131" s="87"/>
    </row>
    <row r="4132" spans="34:34" ht="15" thickBot="1" x14ac:dyDescent="0.4">
      <c r="AH4132" s="87"/>
    </row>
    <row r="4133" spans="34:34" ht="15" thickBot="1" x14ac:dyDescent="0.4">
      <c r="AH4133" s="87"/>
    </row>
    <row r="4134" spans="34:34" ht="15" thickBot="1" x14ac:dyDescent="0.4">
      <c r="AH4134" s="87"/>
    </row>
    <row r="4135" spans="34:34" ht="15" thickBot="1" x14ac:dyDescent="0.4">
      <c r="AH4135" s="87"/>
    </row>
    <row r="4136" spans="34:34" ht="15" thickBot="1" x14ac:dyDescent="0.4">
      <c r="AH4136" s="87"/>
    </row>
    <row r="4137" spans="34:34" ht="15" thickBot="1" x14ac:dyDescent="0.4">
      <c r="AH4137" s="87"/>
    </row>
    <row r="4138" spans="34:34" ht="15" thickBot="1" x14ac:dyDescent="0.4">
      <c r="AH4138" s="87"/>
    </row>
    <row r="4139" spans="34:34" ht="15" thickBot="1" x14ac:dyDescent="0.4">
      <c r="AH4139" s="87"/>
    </row>
    <row r="4140" spans="34:34" ht="15" thickBot="1" x14ac:dyDescent="0.4">
      <c r="AH4140" s="87"/>
    </row>
    <row r="4141" spans="34:34" ht="15" thickBot="1" x14ac:dyDescent="0.4">
      <c r="AH4141" s="87"/>
    </row>
    <row r="4142" spans="34:34" ht="15" thickBot="1" x14ac:dyDescent="0.4">
      <c r="AH4142" s="87"/>
    </row>
    <row r="4143" spans="34:34" ht="15" thickBot="1" x14ac:dyDescent="0.4">
      <c r="AH4143" s="87"/>
    </row>
    <row r="4144" spans="34:34" ht="15" thickBot="1" x14ac:dyDescent="0.4">
      <c r="AH4144" s="87"/>
    </row>
    <row r="4145" spans="34:34" ht="15" thickBot="1" x14ac:dyDescent="0.4">
      <c r="AH4145" s="87"/>
    </row>
    <row r="4146" spans="34:34" ht="15" thickBot="1" x14ac:dyDescent="0.4">
      <c r="AH4146" s="87"/>
    </row>
    <row r="4147" spans="34:34" ht="15" thickBot="1" x14ac:dyDescent="0.4">
      <c r="AH4147" s="87"/>
    </row>
    <row r="4148" spans="34:34" ht="15" thickBot="1" x14ac:dyDescent="0.4">
      <c r="AH4148" s="87"/>
    </row>
    <row r="4149" spans="34:34" ht="15" thickBot="1" x14ac:dyDescent="0.4">
      <c r="AH4149" s="87"/>
    </row>
    <row r="4150" spans="34:34" ht="15" thickBot="1" x14ac:dyDescent="0.4">
      <c r="AH4150" s="87"/>
    </row>
    <row r="4151" spans="34:34" ht="15" thickBot="1" x14ac:dyDescent="0.4">
      <c r="AH4151" s="87"/>
    </row>
    <row r="4152" spans="34:34" ht="15" thickBot="1" x14ac:dyDescent="0.4">
      <c r="AH4152" s="87"/>
    </row>
    <row r="4153" spans="34:34" ht="15" thickBot="1" x14ac:dyDescent="0.4">
      <c r="AH4153" s="87"/>
    </row>
    <row r="4154" spans="34:34" ht="15" thickBot="1" x14ac:dyDescent="0.4">
      <c r="AH4154" s="87"/>
    </row>
    <row r="4155" spans="34:34" ht="15" thickBot="1" x14ac:dyDescent="0.4">
      <c r="AH4155" s="87"/>
    </row>
    <row r="4156" spans="34:34" ht="15" thickBot="1" x14ac:dyDescent="0.4">
      <c r="AH4156" s="87"/>
    </row>
    <row r="4157" spans="34:34" ht="15" thickBot="1" x14ac:dyDescent="0.4">
      <c r="AH4157" s="87"/>
    </row>
    <row r="4158" spans="34:34" ht="15" thickBot="1" x14ac:dyDescent="0.4">
      <c r="AH4158" s="87"/>
    </row>
    <row r="4159" spans="34:34" ht="15" thickBot="1" x14ac:dyDescent="0.4">
      <c r="AH4159" s="87"/>
    </row>
    <row r="4160" spans="34:34" ht="15" thickBot="1" x14ac:dyDescent="0.4">
      <c r="AH4160" s="87"/>
    </row>
    <row r="4161" spans="34:34" ht="15" thickBot="1" x14ac:dyDescent="0.4">
      <c r="AH4161" s="87"/>
    </row>
    <row r="4162" spans="34:34" ht="15" thickBot="1" x14ac:dyDescent="0.4">
      <c r="AH4162" s="87"/>
    </row>
    <row r="4163" spans="34:34" ht="15" thickBot="1" x14ac:dyDescent="0.4">
      <c r="AH4163" s="87"/>
    </row>
    <row r="4164" spans="34:34" ht="15" thickBot="1" x14ac:dyDescent="0.4">
      <c r="AH4164" s="87"/>
    </row>
    <row r="4165" spans="34:34" ht="15" thickBot="1" x14ac:dyDescent="0.4">
      <c r="AH4165" s="87"/>
    </row>
    <row r="4166" spans="34:34" ht="15" thickBot="1" x14ac:dyDescent="0.4">
      <c r="AH4166" s="87"/>
    </row>
    <row r="4167" spans="34:34" ht="15" thickBot="1" x14ac:dyDescent="0.4">
      <c r="AH4167" s="87"/>
    </row>
    <row r="4168" spans="34:34" ht="15" thickBot="1" x14ac:dyDescent="0.4">
      <c r="AH4168" s="87"/>
    </row>
    <row r="4169" spans="34:34" ht="15" thickBot="1" x14ac:dyDescent="0.4">
      <c r="AH4169" s="87"/>
    </row>
    <row r="4170" spans="34:34" ht="15" thickBot="1" x14ac:dyDescent="0.4">
      <c r="AH4170" s="87"/>
    </row>
    <row r="4171" spans="34:34" ht="15" thickBot="1" x14ac:dyDescent="0.4">
      <c r="AH4171" s="87"/>
    </row>
    <row r="4172" spans="34:34" ht="15" thickBot="1" x14ac:dyDescent="0.4">
      <c r="AH4172" s="87"/>
    </row>
    <row r="4173" spans="34:34" ht="15" thickBot="1" x14ac:dyDescent="0.4">
      <c r="AH4173" s="87"/>
    </row>
    <row r="4174" spans="34:34" ht="15" thickBot="1" x14ac:dyDescent="0.4">
      <c r="AH4174" s="87"/>
    </row>
    <row r="4175" spans="34:34" ht="15" thickBot="1" x14ac:dyDescent="0.4">
      <c r="AH4175" s="87"/>
    </row>
    <row r="4176" spans="34:34" ht="15" thickBot="1" x14ac:dyDescent="0.4">
      <c r="AH4176" s="87"/>
    </row>
    <row r="4177" spans="34:34" ht="15" thickBot="1" x14ac:dyDescent="0.4">
      <c r="AH4177" s="87"/>
    </row>
    <row r="4178" spans="34:34" ht="15" thickBot="1" x14ac:dyDescent="0.4">
      <c r="AH4178" s="87"/>
    </row>
    <row r="4179" spans="34:34" ht="15" thickBot="1" x14ac:dyDescent="0.4">
      <c r="AH4179" s="87"/>
    </row>
    <row r="4180" spans="34:34" ht="15" thickBot="1" x14ac:dyDescent="0.4">
      <c r="AH4180" s="87"/>
    </row>
    <row r="4181" spans="34:34" ht="15" thickBot="1" x14ac:dyDescent="0.4">
      <c r="AH4181" s="87"/>
    </row>
    <row r="4182" spans="34:34" ht="15" thickBot="1" x14ac:dyDescent="0.4">
      <c r="AH4182" s="87"/>
    </row>
    <row r="4183" spans="34:34" ht="15" thickBot="1" x14ac:dyDescent="0.4">
      <c r="AH4183" s="87"/>
    </row>
    <row r="4184" spans="34:34" ht="15" thickBot="1" x14ac:dyDescent="0.4">
      <c r="AH4184" s="87"/>
    </row>
    <row r="4185" spans="34:34" ht="15" thickBot="1" x14ac:dyDescent="0.4">
      <c r="AH4185" s="87"/>
    </row>
    <row r="4186" spans="34:34" ht="15" thickBot="1" x14ac:dyDescent="0.4">
      <c r="AH4186" s="87"/>
    </row>
    <row r="4187" spans="34:34" ht="15" thickBot="1" x14ac:dyDescent="0.4">
      <c r="AH4187" s="87"/>
    </row>
    <row r="4188" spans="34:34" ht="15" thickBot="1" x14ac:dyDescent="0.4">
      <c r="AH4188" s="87"/>
    </row>
    <row r="4189" spans="34:34" ht="15" thickBot="1" x14ac:dyDescent="0.4">
      <c r="AH4189" s="87"/>
    </row>
    <row r="4190" spans="34:34" ht="15" thickBot="1" x14ac:dyDescent="0.4">
      <c r="AH4190" s="87"/>
    </row>
    <row r="4191" spans="34:34" ht="15" thickBot="1" x14ac:dyDescent="0.4">
      <c r="AH4191" s="87"/>
    </row>
    <row r="4192" spans="34:34" ht="15" thickBot="1" x14ac:dyDescent="0.4">
      <c r="AH4192" s="87"/>
    </row>
    <row r="4193" spans="34:34" ht="15" thickBot="1" x14ac:dyDescent="0.4">
      <c r="AH4193" s="87"/>
    </row>
    <row r="4194" spans="34:34" ht="15" thickBot="1" x14ac:dyDescent="0.4">
      <c r="AH4194" s="87"/>
    </row>
    <row r="4195" spans="34:34" ht="15" thickBot="1" x14ac:dyDescent="0.4">
      <c r="AH4195" s="87"/>
    </row>
    <row r="4196" spans="34:34" ht="15" thickBot="1" x14ac:dyDescent="0.4">
      <c r="AH4196" s="87"/>
    </row>
    <row r="4197" spans="34:34" ht="15" thickBot="1" x14ac:dyDescent="0.4">
      <c r="AH4197" s="87"/>
    </row>
    <row r="4198" spans="34:34" ht="15" thickBot="1" x14ac:dyDescent="0.4">
      <c r="AH4198" s="87"/>
    </row>
    <row r="4199" spans="34:34" ht="15" thickBot="1" x14ac:dyDescent="0.4">
      <c r="AH4199" s="87"/>
    </row>
    <row r="4200" spans="34:34" ht="15" thickBot="1" x14ac:dyDescent="0.4">
      <c r="AH4200" s="87"/>
    </row>
    <row r="4201" spans="34:34" ht="15" thickBot="1" x14ac:dyDescent="0.4">
      <c r="AH4201" s="87"/>
    </row>
    <row r="4202" spans="34:34" ht="15" thickBot="1" x14ac:dyDescent="0.4">
      <c r="AH4202" s="87"/>
    </row>
    <row r="4203" spans="34:34" ht="15" thickBot="1" x14ac:dyDescent="0.4">
      <c r="AH4203" s="87"/>
    </row>
    <row r="4204" spans="34:34" ht="15" thickBot="1" x14ac:dyDescent="0.4">
      <c r="AH4204" s="87"/>
    </row>
    <row r="4205" spans="34:34" ht="15" thickBot="1" x14ac:dyDescent="0.4">
      <c r="AH4205" s="87"/>
    </row>
    <row r="4206" spans="34:34" ht="15" thickBot="1" x14ac:dyDescent="0.4">
      <c r="AH4206" s="87"/>
    </row>
    <row r="4207" spans="34:34" ht="15" thickBot="1" x14ac:dyDescent="0.4">
      <c r="AH4207" s="87"/>
    </row>
    <row r="4208" spans="34:34" ht="15" thickBot="1" x14ac:dyDescent="0.4">
      <c r="AH4208" s="87"/>
    </row>
    <row r="4209" spans="34:34" ht="15" thickBot="1" x14ac:dyDescent="0.4">
      <c r="AH4209" s="87"/>
    </row>
    <row r="4210" spans="34:34" ht="15" thickBot="1" x14ac:dyDescent="0.4">
      <c r="AH4210" s="87"/>
    </row>
    <row r="4211" spans="34:34" ht="15" thickBot="1" x14ac:dyDescent="0.4">
      <c r="AH4211" s="87"/>
    </row>
    <row r="4212" spans="34:34" ht="15" thickBot="1" x14ac:dyDescent="0.4">
      <c r="AH4212" s="87"/>
    </row>
    <row r="4213" spans="34:34" ht="15" thickBot="1" x14ac:dyDescent="0.4">
      <c r="AH4213" s="87"/>
    </row>
    <row r="4214" spans="34:34" ht="15" thickBot="1" x14ac:dyDescent="0.4">
      <c r="AH4214" s="87"/>
    </row>
    <row r="4215" spans="34:34" ht="15" thickBot="1" x14ac:dyDescent="0.4">
      <c r="AH4215" s="87"/>
    </row>
    <row r="4216" spans="34:34" ht="15" thickBot="1" x14ac:dyDescent="0.4">
      <c r="AH4216" s="87"/>
    </row>
    <row r="4217" spans="34:34" ht="15" thickBot="1" x14ac:dyDescent="0.4">
      <c r="AH4217" s="87"/>
    </row>
    <row r="4218" spans="34:34" ht="15" thickBot="1" x14ac:dyDescent="0.4">
      <c r="AH4218" s="87"/>
    </row>
    <row r="4219" spans="34:34" ht="15" thickBot="1" x14ac:dyDescent="0.4">
      <c r="AH4219" s="87"/>
    </row>
    <row r="4220" spans="34:34" ht="15" thickBot="1" x14ac:dyDescent="0.4">
      <c r="AH4220" s="87"/>
    </row>
    <row r="4221" spans="34:34" ht="15" thickBot="1" x14ac:dyDescent="0.4">
      <c r="AH4221" s="87"/>
    </row>
    <row r="4222" spans="34:34" ht="15" thickBot="1" x14ac:dyDescent="0.4">
      <c r="AH4222" s="87"/>
    </row>
    <row r="4223" spans="34:34" ht="15" thickBot="1" x14ac:dyDescent="0.4">
      <c r="AH4223" s="87"/>
    </row>
    <row r="4224" spans="34:34" ht="15" thickBot="1" x14ac:dyDescent="0.4">
      <c r="AH4224" s="87"/>
    </row>
    <row r="4225" spans="34:34" ht="15" thickBot="1" x14ac:dyDescent="0.4">
      <c r="AH4225" s="87"/>
    </row>
    <row r="4226" spans="34:34" ht="15" thickBot="1" x14ac:dyDescent="0.4">
      <c r="AH4226" s="87"/>
    </row>
    <row r="4227" spans="34:34" ht="15" thickBot="1" x14ac:dyDescent="0.4">
      <c r="AH4227" s="87"/>
    </row>
    <row r="4228" spans="34:34" ht="15" thickBot="1" x14ac:dyDescent="0.4">
      <c r="AH4228" s="87"/>
    </row>
    <row r="4229" spans="34:34" ht="15" thickBot="1" x14ac:dyDescent="0.4">
      <c r="AH4229" s="87"/>
    </row>
    <row r="4230" spans="34:34" ht="15" thickBot="1" x14ac:dyDescent="0.4">
      <c r="AH4230" s="87"/>
    </row>
    <row r="4231" spans="34:34" ht="15" thickBot="1" x14ac:dyDescent="0.4">
      <c r="AH4231" s="87"/>
    </row>
    <row r="4232" spans="34:34" ht="15" thickBot="1" x14ac:dyDescent="0.4">
      <c r="AH4232" s="87"/>
    </row>
    <row r="4233" spans="34:34" ht="15" thickBot="1" x14ac:dyDescent="0.4">
      <c r="AH4233" s="87"/>
    </row>
    <row r="4234" spans="34:34" ht="15" thickBot="1" x14ac:dyDescent="0.4">
      <c r="AH4234" s="87"/>
    </row>
    <row r="4235" spans="34:34" ht="15" thickBot="1" x14ac:dyDescent="0.4">
      <c r="AH4235" s="87"/>
    </row>
    <row r="4236" spans="34:34" ht="15" thickBot="1" x14ac:dyDescent="0.4">
      <c r="AH4236" s="87"/>
    </row>
    <row r="4237" spans="34:34" ht="15" thickBot="1" x14ac:dyDescent="0.4">
      <c r="AH4237" s="87"/>
    </row>
    <row r="4238" spans="34:34" ht="15" thickBot="1" x14ac:dyDescent="0.4">
      <c r="AH4238" s="87"/>
    </row>
    <row r="4239" spans="34:34" ht="15" thickBot="1" x14ac:dyDescent="0.4">
      <c r="AH4239" s="87"/>
    </row>
    <row r="4240" spans="34:34" ht="15" thickBot="1" x14ac:dyDescent="0.4">
      <c r="AH4240" s="87"/>
    </row>
    <row r="4241" spans="34:34" ht="15" thickBot="1" x14ac:dyDescent="0.4">
      <c r="AH4241" s="87"/>
    </row>
    <row r="4242" spans="34:34" ht="15" thickBot="1" x14ac:dyDescent="0.4">
      <c r="AH4242" s="87"/>
    </row>
    <row r="4243" spans="34:34" ht="15" thickBot="1" x14ac:dyDescent="0.4">
      <c r="AH4243" s="87"/>
    </row>
    <row r="4244" spans="34:34" ht="15" thickBot="1" x14ac:dyDescent="0.4">
      <c r="AH4244" s="87"/>
    </row>
    <row r="4245" spans="34:34" ht="15" thickBot="1" x14ac:dyDescent="0.4">
      <c r="AH4245" s="87"/>
    </row>
    <row r="4246" spans="34:34" ht="15" thickBot="1" x14ac:dyDescent="0.4">
      <c r="AH4246" s="87"/>
    </row>
    <row r="4247" spans="34:34" ht="15" thickBot="1" x14ac:dyDescent="0.4">
      <c r="AH4247" s="87"/>
    </row>
    <row r="4248" spans="34:34" ht="15" thickBot="1" x14ac:dyDescent="0.4">
      <c r="AH4248" s="87"/>
    </row>
    <row r="4249" spans="34:34" ht="15" thickBot="1" x14ac:dyDescent="0.4">
      <c r="AH4249" s="87"/>
    </row>
    <row r="4250" spans="34:34" ht="15" thickBot="1" x14ac:dyDescent="0.4">
      <c r="AH4250" s="87"/>
    </row>
    <row r="4251" spans="34:34" ht="15" thickBot="1" x14ac:dyDescent="0.4">
      <c r="AH4251" s="87"/>
    </row>
    <row r="4252" spans="34:34" ht="15" thickBot="1" x14ac:dyDescent="0.4">
      <c r="AH4252" s="87"/>
    </row>
    <row r="4253" spans="34:34" ht="15" thickBot="1" x14ac:dyDescent="0.4">
      <c r="AH4253" s="87"/>
    </row>
    <row r="4254" spans="34:34" ht="15" thickBot="1" x14ac:dyDescent="0.4">
      <c r="AH4254" s="87"/>
    </row>
    <row r="4255" spans="34:34" ht="15" thickBot="1" x14ac:dyDescent="0.4">
      <c r="AH4255" s="87"/>
    </row>
    <row r="4256" spans="34:34" ht="15" thickBot="1" x14ac:dyDescent="0.4">
      <c r="AH4256" s="87"/>
    </row>
    <row r="4257" spans="34:34" ht="15" thickBot="1" x14ac:dyDescent="0.4">
      <c r="AH4257" s="87"/>
    </row>
    <row r="4258" spans="34:34" ht="15" thickBot="1" x14ac:dyDescent="0.4">
      <c r="AH4258" s="87"/>
    </row>
    <row r="4259" spans="34:34" ht="15" thickBot="1" x14ac:dyDescent="0.4">
      <c r="AH4259" s="87"/>
    </row>
    <row r="4260" spans="34:34" ht="15" thickBot="1" x14ac:dyDescent="0.4">
      <c r="AH4260" s="87"/>
    </row>
    <row r="4261" spans="34:34" ht="15" thickBot="1" x14ac:dyDescent="0.4">
      <c r="AH4261" s="87"/>
    </row>
    <row r="4262" spans="34:34" ht="15" thickBot="1" x14ac:dyDescent="0.4">
      <c r="AH4262" s="87"/>
    </row>
    <row r="4263" spans="34:34" ht="15" thickBot="1" x14ac:dyDescent="0.4">
      <c r="AH4263" s="87"/>
    </row>
    <row r="4264" spans="34:34" ht="15" thickBot="1" x14ac:dyDescent="0.4">
      <c r="AH4264" s="87"/>
    </row>
    <row r="4265" spans="34:34" ht="15" thickBot="1" x14ac:dyDescent="0.4">
      <c r="AH4265" s="87"/>
    </row>
    <row r="4266" spans="34:34" ht="15" thickBot="1" x14ac:dyDescent="0.4">
      <c r="AH4266" s="87"/>
    </row>
    <row r="4267" spans="34:34" ht="15" thickBot="1" x14ac:dyDescent="0.4">
      <c r="AH4267" s="87"/>
    </row>
    <row r="4268" spans="34:34" ht="15" thickBot="1" x14ac:dyDescent="0.4">
      <c r="AH4268" s="87"/>
    </row>
    <row r="4269" spans="34:34" ht="15" thickBot="1" x14ac:dyDescent="0.4">
      <c r="AH4269" s="87"/>
    </row>
    <row r="4270" spans="34:34" ht="15" thickBot="1" x14ac:dyDescent="0.4">
      <c r="AH4270" s="87"/>
    </row>
    <row r="4271" spans="34:34" ht="15" thickBot="1" x14ac:dyDescent="0.4">
      <c r="AH4271" s="87"/>
    </row>
    <row r="4272" spans="34:34" ht="15" thickBot="1" x14ac:dyDescent="0.4">
      <c r="AH4272" s="87"/>
    </row>
    <row r="4273" spans="34:34" ht="15" thickBot="1" x14ac:dyDescent="0.4">
      <c r="AH4273" s="87"/>
    </row>
    <row r="4274" spans="34:34" ht="15" thickBot="1" x14ac:dyDescent="0.4">
      <c r="AH4274" s="87"/>
    </row>
    <row r="4275" spans="34:34" ht="15" thickBot="1" x14ac:dyDescent="0.4">
      <c r="AH4275" s="87"/>
    </row>
    <row r="4276" spans="34:34" ht="15" thickBot="1" x14ac:dyDescent="0.4">
      <c r="AH4276" s="87"/>
    </row>
    <row r="4277" spans="34:34" ht="15" thickBot="1" x14ac:dyDescent="0.4">
      <c r="AH4277" s="87"/>
    </row>
    <row r="4278" spans="34:34" ht="15" thickBot="1" x14ac:dyDescent="0.4">
      <c r="AH4278" s="87"/>
    </row>
    <row r="4279" spans="34:34" ht="15" thickBot="1" x14ac:dyDescent="0.4">
      <c r="AH4279" s="87"/>
    </row>
    <row r="4280" spans="34:34" ht="15" thickBot="1" x14ac:dyDescent="0.4">
      <c r="AH4280" s="87"/>
    </row>
    <row r="4281" spans="34:34" ht="15" thickBot="1" x14ac:dyDescent="0.4">
      <c r="AH4281" s="87"/>
    </row>
    <row r="4282" spans="34:34" ht="15" thickBot="1" x14ac:dyDescent="0.4">
      <c r="AH4282" s="87"/>
    </row>
    <row r="4283" spans="34:34" ht="15" thickBot="1" x14ac:dyDescent="0.4">
      <c r="AH4283" s="87"/>
    </row>
    <row r="4284" spans="34:34" ht="15" thickBot="1" x14ac:dyDescent="0.4">
      <c r="AH4284" s="87"/>
    </row>
    <row r="4285" spans="34:34" ht="15" thickBot="1" x14ac:dyDescent="0.4">
      <c r="AH4285" s="87"/>
    </row>
    <row r="4286" spans="34:34" ht="15" thickBot="1" x14ac:dyDescent="0.4">
      <c r="AH4286" s="87"/>
    </row>
    <row r="4287" spans="34:34" ht="15" thickBot="1" x14ac:dyDescent="0.4">
      <c r="AH4287" s="87"/>
    </row>
    <row r="4288" spans="34:34" ht="15" thickBot="1" x14ac:dyDescent="0.4">
      <c r="AH4288" s="87"/>
    </row>
    <row r="4289" spans="34:34" ht="15" thickBot="1" x14ac:dyDescent="0.4">
      <c r="AH4289" s="87"/>
    </row>
    <row r="4290" spans="34:34" ht="15" thickBot="1" x14ac:dyDescent="0.4">
      <c r="AH4290" s="87"/>
    </row>
    <row r="4291" spans="34:34" ht="15" thickBot="1" x14ac:dyDescent="0.4">
      <c r="AH4291" s="87"/>
    </row>
    <row r="4292" spans="34:34" ht="15" thickBot="1" x14ac:dyDescent="0.4">
      <c r="AH4292" s="87"/>
    </row>
    <row r="4293" spans="34:34" ht="15" thickBot="1" x14ac:dyDescent="0.4">
      <c r="AH4293" s="87"/>
    </row>
    <row r="4294" spans="34:34" ht="15" thickBot="1" x14ac:dyDescent="0.4">
      <c r="AH4294" s="87"/>
    </row>
    <row r="4295" spans="34:34" ht="15" thickBot="1" x14ac:dyDescent="0.4">
      <c r="AH4295" s="87"/>
    </row>
    <row r="4296" spans="34:34" ht="15" thickBot="1" x14ac:dyDescent="0.4">
      <c r="AH4296" s="87"/>
    </row>
    <row r="4297" spans="34:34" ht="15" thickBot="1" x14ac:dyDescent="0.4">
      <c r="AH4297" s="87"/>
    </row>
    <row r="4298" spans="34:34" ht="15" thickBot="1" x14ac:dyDescent="0.4">
      <c r="AH4298" s="87"/>
    </row>
    <row r="4299" spans="34:34" ht="15" thickBot="1" x14ac:dyDescent="0.4">
      <c r="AH4299" s="87"/>
    </row>
    <row r="4300" spans="34:34" ht="15" thickBot="1" x14ac:dyDescent="0.4">
      <c r="AH4300" s="87"/>
    </row>
    <row r="4301" spans="34:34" ht="15" thickBot="1" x14ac:dyDescent="0.4">
      <c r="AH4301" s="87"/>
    </row>
    <row r="4302" spans="34:34" ht="15" thickBot="1" x14ac:dyDescent="0.4">
      <c r="AH4302" s="87"/>
    </row>
    <row r="4303" spans="34:34" ht="15" thickBot="1" x14ac:dyDescent="0.4">
      <c r="AH4303" s="87"/>
    </row>
    <row r="4304" spans="34:34" ht="15" thickBot="1" x14ac:dyDescent="0.4">
      <c r="AH4304" s="87"/>
    </row>
    <row r="4305" spans="34:34" ht="15" thickBot="1" x14ac:dyDescent="0.4">
      <c r="AH4305" s="87"/>
    </row>
    <row r="4306" spans="34:34" ht="15" thickBot="1" x14ac:dyDescent="0.4">
      <c r="AH4306" s="87"/>
    </row>
    <row r="4307" spans="34:34" ht="15" thickBot="1" x14ac:dyDescent="0.4">
      <c r="AH4307" s="87"/>
    </row>
    <row r="4308" spans="34:34" ht="15" thickBot="1" x14ac:dyDescent="0.4">
      <c r="AH4308" s="87"/>
    </row>
    <row r="4309" spans="34:34" ht="15" thickBot="1" x14ac:dyDescent="0.4">
      <c r="AH4309" s="87"/>
    </row>
    <row r="4310" spans="34:34" ht="15" thickBot="1" x14ac:dyDescent="0.4">
      <c r="AH4310" s="87"/>
    </row>
    <row r="4311" spans="34:34" ht="15" thickBot="1" x14ac:dyDescent="0.4">
      <c r="AH4311" s="87"/>
    </row>
    <row r="4312" spans="34:34" ht="15" thickBot="1" x14ac:dyDescent="0.4">
      <c r="AH4312" s="87"/>
    </row>
    <row r="4313" spans="34:34" ht="15" thickBot="1" x14ac:dyDescent="0.4">
      <c r="AH4313" s="87"/>
    </row>
    <row r="4314" spans="34:34" ht="15" thickBot="1" x14ac:dyDescent="0.4">
      <c r="AH4314" s="87"/>
    </row>
    <row r="4315" spans="34:34" ht="15" thickBot="1" x14ac:dyDescent="0.4">
      <c r="AH4315" s="87"/>
    </row>
    <row r="4316" spans="34:34" ht="15" thickBot="1" x14ac:dyDescent="0.4">
      <c r="AH4316" s="87"/>
    </row>
    <row r="4317" spans="34:34" ht="15" thickBot="1" x14ac:dyDescent="0.4">
      <c r="AH4317" s="87"/>
    </row>
    <row r="4318" spans="34:34" ht="15" thickBot="1" x14ac:dyDescent="0.4">
      <c r="AH4318" s="87"/>
    </row>
    <row r="4319" spans="34:34" ht="15" thickBot="1" x14ac:dyDescent="0.4">
      <c r="AH4319" s="87"/>
    </row>
    <row r="4320" spans="34:34" ht="15" thickBot="1" x14ac:dyDescent="0.4">
      <c r="AH4320" s="87"/>
    </row>
    <row r="4321" spans="34:34" ht="15" thickBot="1" x14ac:dyDescent="0.4">
      <c r="AH4321" s="87"/>
    </row>
    <row r="4322" spans="34:34" ht="15" thickBot="1" x14ac:dyDescent="0.4">
      <c r="AH4322" s="87"/>
    </row>
    <row r="4323" spans="34:34" ht="15" thickBot="1" x14ac:dyDescent="0.4">
      <c r="AH4323" s="87"/>
    </row>
    <row r="4324" spans="34:34" ht="15" thickBot="1" x14ac:dyDescent="0.4">
      <c r="AH4324" s="87"/>
    </row>
    <row r="4325" spans="34:34" ht="15" thickBot="1" x14ac:dyDescent="0.4">
      <c r="AH4325" s="87"/>
    </row>
    <row r="4326" spans="34:34" ht="15" thickBot="1" x14ac:dyDescent="0.4">
      <c r="AH4326" s="87"/>
    </row>
    <row r="4327" spans="34:34" ht="15" thickBot="1" x14ac:dyDescent="0.4">
      <c r="AH4327" s="87"/>
    </row>
    <row r="4328" spans="34:34" ht="15" thickBot="1" x14ac:dyDescent="0.4">
      <c r="AH4328" s="87"/>
    </row>
    <row r="4329" spans="34:34" ht="15" thickBot="1" x14ac:dyDescent="0.4">
      <c r="AH4329" s="87"/>
    </row>
    <row r="4330" spans="34:34" ht="15" thickBot="1" x14ac:dyDescent="0.4">
      <c r="AH4330" s="87"/>
    </row>
    <row r="4331" spans="34:34" ht="15" thickBot="1" x14ac:dyDescent="0.4">
      <c r="AH4331" s="87"/>
    </row>
    <row r="4332" spans="34:34" ht="15" thickBot="1" x14ac:dyDescent="0.4">
      <c r="AH4332" s="87"/>
    </row>
    <row r="4333" spans="34:34" ht="15" thickBot="1" x14ac:dyDescent="0.4">
      <c r="AH4333" s="87"/>
    </row>
    <row r="4334" spans="34:34" ht="15" thickBot="1" x14ac:dyDescent="0.4">
      <c r="AH4334" s="87"/>
    </row>
    <row r="4335" spans="34:34" ht="15" thickBot="1" x14ac:dyDescent="0.4">
      <c r="AH4335" s="87"/>
    </row>
    <row r="4336" spans="34:34" ht="15" thickBot="1" x14ac:dyDescent="0.4">
      <c r="AH4336" s="87"/>
    </row>
    <row r="4337" spans="34:34" ht="15" thickBot="1" x14ac:dyDescent="0.4">
      <c r="AH4337" s="87"/>
    </row>
    <row r="4338" spans="34:34" ht="15" thickBot="1" x14ac:dyDescent="0.4">
      <c r="AH4338" s="87"/>
    </row>
    <row r="4339" spans="34:34" ht="15" thickBot="1" x14ac:dyDescent="0.4">
      <c r="AH4339" s="87"/>
    </row>
    <row r="4340" spans="34:34" ht="15" thickBot="1" x14ac:dyDescent="0.4">
      <c r="AH4340" s="87"/>
    </row>
    <row r="4341" spans="34:34" ht="15" thickBot="1" x14ac:dyDescent="0.4">
      <c r="AH4341" s="87"/>
    </row>
    <row r="4342" spans="34:34" ht="15" thickBot="1" x14ac:dyDescent="0.4">
      <c r="AH4342" s="87"/>
    </row>
    <row r="4343" spans="34:34" ht="15" thickBot="1" x14ac:dyDescent="0.4">
      <c r="AH4343" s="87"/>
    </row>
    <row r="4344" spans="34:34" ht="15" thickBot="1" x14ac:dyDescent="0.4">
      <c r="AH4344" s="87"/>
    </row>
    <row r="4345" spans="34:34" ht="15" thickBot="1" x14ac:dyDescent="0.4">
      <c r="AH4345" s="87"/>
    </row>
    <row r="4346" spans="34:34" ht="15" thickBot="1" x14ac:dyDescent="0.4">
      <c r="AH4346" s="87"/>
    </row>
    <row r="4347" spans="34:34" ht="15" thickBot="1" x14ac:dyDescent="0.4">
      <c r="AH4347" s="87"/>
    </row>
    <row r="4348" spans="34:34" ht="15" thickBot="1" x14ac:dyDescent="0.4">
      <c r="AH4348" s="87"/>
    </row>
    <row r="4349" spans="34:34" ht="15" thickBot="1" x14ac:dyDescent="0.4">
      <c r="AH4349" s="87"/>
    </row>
    <row r="4350" spans="34:34" ht="15" thickBot="1" x14ac:dyDescent="0.4">
      <c r="AH4350" s="87"/>
    </row>
    <row r="4351" spans="34:34" ht="15" thickBot="1" x14ac:dyDescent="0.4">
      <c r="AH4351" s="87"/>
    </row>
    <row r="4352" spans="34:34" ht="15" thickBot="1" x14ac:dyDescent="0.4">
      <c r="AH4352" s="87"/>
    </row>
    <row r="4353" spans="34:34" ht="15" thickBot="1" x14ac:dyDescent="0.4">
      <c r="AH4353" s="87"/>
    </row>
    <row r="4354" spans="34:34" ht="15" thickBot="1" x14ac:dyDescent="0.4">
      <c r="AH4354" s="87"/>
    </row>
    <row r="4355" spans="34:34" ht="15" thickBot="1" x14ac:dyDescent="0.4">
      <c r="AH4355" s="87"/>
    </row>
    <row r="4356" spans="34:34" ht="15" thickBot="1" x14ac:dyDescent="0.4">
      <c r="AH4356" s="87"/>
    </row>
    <row r="4357" spans="34:34" ht="15" thickBot="1" x14ac:dyDescent="0.4">
      <c r="AH4357" s="87"/>
    </row>
    <row r="4358" spans="34:34" ht="15" thickBot="1" x14ac:dyDescent="0.4">
      <c r="AH4358" s="87"/>
    </row>
    <row r="4359" spans="34:34" ht="15" thickBot="1" x14ac:dyDescent="0.4">
      <c r="AH4359" s="87"/>
    </row>
    <row r="4360" spans="34:34" ht="15" thickBot="1" x14ac:dyDescent="0.4">
      <c r="AH4360" s="87"/>
    </row>
    <row r="4361" spans="34:34" ht="15" thickBot="1" x14ac:dyDescent="0.4">
      <c r="AH4361" s="87"/>
    </row>
    <row r="4362" spans="34:34" ht="15" thickBot="1" x14ac:dyDescent="0.4">
      <c r="AH4362" s="87"/>
    </row>
    <row r="4363" spans="34:34" ht="15" thickBot="1" x14ac:dyDescent="0.4">
      <c r="AH4363" s="87"/>
    </row>
    <row r="4364" spans="34:34" ht="15" thickBot="1" x14ac:dyDescent="0.4">
      <c r="AH4364" s="87"/>
    </row>
    <row r="4365" spans="34:34" ht="15" thickBot="1" x14ac:dyDescent="0.4">
      <c r="AH4365" s="87"/>
    </row>
    <row r="4366" spans="34:34" ht="15" thickBot="1" x14ac:dyDescent="0.4">
      <c r="AH4366" s="87"/>
    </row>
    <row r="4367" spans="34:34" ht="15" thickBot="1" x14ac:dyDescent="0.4">
      <c r="AH4367" s="87"/>
    </row>
    <row r="4368" spans="34:34" ht="15" thickBot="1" x14ac:dyDescent="0.4">
      <c r="AH4368" s="87"/>
    </row>
    <row r="4369" spans="34:34" ht="15" thickBot="1" x14ac:dyDescent="0.4">
      <c r="AH4369" s="87"/>
    </row>
    <row r="4370" spans="34:34" ht="15" thickBot="1" x14ac:dyDescent="0.4">
      <c r="AH4370" s="87"/>
    </row>
    <row r="4371" spans="34:34" ht="15" thickBot="1" x14ac:dyDescent="0.4">
      <c r="AH4371" s="87"/>
    </row>
    <row r="4372" spans="34:34" ht="15" thickBot="1" x14ac:dyDescent="0.4">
      <c r="AH4372" s="87"/>
    </row>
    <row r="4373" spans="34:34" ht="15" thickBot="1" x14ac:dyDescent="0.4">
      <c r="AH4373" s="87"/>
    </row>
    <row r="4374" spans="34:34" ht="15" thickBot="1" x14ac:dyDescent="0.4">
      <c r="AH4374" s="87"/>
    </row>
    <row r="4375" spans="34:34" ht="15" thickBot="1" x14ac:dyDescent="0.4">
      <c r="AH4375" s="87"/>
    </row>
    <row r="4376" spans="34:34" ht="15" thickBot="1" x14ac:dyDescent="0.4">
      <c r="AH4376" s="87"/>
    </row>
    <row r="4377" spans="34:34" ht="15" thickBot="1" x14ac:dyDescent="0.4">
      <c r="AH4377" s="87"/>
    </row>
    <row r="4378" spans="34:34" ht="15" thickBot="1" x14ac:dyDescent="0.4">
      <c r="AH4378" s="87"/>
    </row>
    <row r="4379" spans="34:34" ht="15" thickBot="1" x14ac:dyDescent="0.4">
      <c r="AH4379" s="87"/>
    </row>
    <row r="4380" spans="34:34" ht="15" thickBot="1" x14ac:dyDescent="0.4">
      <c r="AH4380" s="87"/>
    </row>
    <row r="4381" spans="34:34" ht="15" thickBot="1" x14ac:dyDescent="0.4">
      <c r="AH4381" s="87"/>
    </row>
    <row r="4382" spans="34:34" ht="15" thickBot="1" x14ac:dyDescent="0.4">
      <c r="AH4382" s="87"/>
    </row>
    <row r="4383" spans="34:34" ht="15" thickBot="1" x14ac:dyDescent="0.4">
      <c r="AH4383" s="87"/>
    </row>
    <row r="4384" spans="34:34" ht="15" thickBot="1" x14ac:dyDescent="0.4">
      <c r="AH4384" s="87"/>
    </row>
    <row r="4385" spans="34:34" ht="15" thickBot="1" x14ac:dyDescent="0.4">
      <c r="AH4385" s="87"/>
    </row>
    <row r="4386" spans="34:34" ht="15" thickBot="1" x14ac:dyDescent="0.4">
      <c r="AH4386" s="87"/>
    </row>
    <row r="4387" spans="34:34" ht="15" thickBot="1" x14ac:dyDescent="0.4">
      <c r="AH4387" s="87"/>
    </row>
    <row r="4388" spans="34:34" ht="15" thickBot="1" x14ac:dyDescent="0.4">
      <c r="AH4388" s="87"/>
    </row>
    <row r="4389" spans="34:34" ht="15" thickBot="1" x14ac:dyDescent="0.4">
      <c r="AH4389" s="87"/>
    </row>
    <row r="4390" spans="34:34" ht="15" thickBot="1" x14ac:dyDescent="0.4">
      <c r="AH4390" s="87"/>
    </row>
    <row r="4391" spans="34:34" ht="15" thickBot="1" x14ac:dyDescent="0.4">
      <c r="AH4391" s="87"/>
    </row>
    <row r="4392" spans="34:34" ht="15" thickBot="1" x14ac:dyDescent="0.4">
      <c r="AH4392" s="87"/>
    </row>
    <row r="4393" spans="34:34" ht="15" thickBot="1" x14ac:dyDescent="0.4">
      <c r="AH4393" s="87"/>
    </row>
    <row r="4394" spans="34:34" ht="15" thickBot="1" x14ac:dyDescent="0.4">
      <c r="AH4394" s="87"/>
    </row>
    <row r="4395" spans="34:34" ht="15" thickBot="1" x14ac:dyDescent="0.4">
      <c r="AH4395" s="87"/>
    </row>
    <row r="4396" spans="34:34" ht="15" thickBot="1" x14ac:dyDescent="0.4">
      <c r="AH4396" s="87"/>
    </row>
    <row r="4397" spans="34:34" ht="15" thickBot="1" x14ac:dyDescent="0.4">
      <c r="AH4397" s="87"/>
    </row>
    <row r="4398" spans="34:34" ht="15" thickBot="1" x14ac:dyDescent="0.4">
      <c r="AH4398" s="87"/>
    </row>
    <row r="4399" spans="34:34" ht="15" thickBot="1" x14ac:dyDescent="0.4">
      <c r="AH4399" s="87"/>
    </row>
    <row r="4400" spans="34:34" ht="15" thickBot="1" x14ac:dyDescent="0.4">
      <c r="AH4400" s="87"/>
    </row>
    <row r="4401" spans="34:34" ht="15" thickBot="1" x14ac:dyDescent="0.4">
      <c r="AH4401" s="87"/>
    </row>
    <row r="4402" spans="34:34" ht="15" thickBot="1" x14ac:dyDescent="0.4">
      <c r="AH4402" s="87"/>
    </row>
    <row r="4403" spans="34:34" ht="15" thickBot="1" x14ac:dyDescent="0.4">
      <c r="AH4403" s="87"/>
    </row>
    <row r="4404" spans="34:34" ht="15" thickBot="1" x14ac:dyDescent="0.4">
      <c r="AH4404" s="87"/>
    </row>
    <row r="4405" spans="34:34" ht="15" thickBot="1" x14ac:dyDescent="0.4">
      <c r="AH4405" s="87"/>
    </row>
    <row r="4406" spans="34:34" ht="15" thickBot="1" x14ac:dyDescent="0.4">
      <c r="AH4406" s="87"/>
    </row>
    <row r="4407" spans="34:34" ht="15" thickBot="1" x14ac:dyDescent="0.4">
      <c r="AH4407" s="87"/>
    </row>
    <row r="4408" spans="34:34" ht="15" thickBot="1" x14ac:dyDescent="0.4">
      <c r="AH4408" s="87"/>
    </row>
    <row r="4409" spans="34:34" ht="15" thickBot="1" x14ac:dyDescent="0.4">
      <c r="AH4409" s="87"/>
    </row>
    <row r="4410" spans="34:34" ht="15" thickBot="1" x14ac:dyDescent="0.4">
      <c r="AH4410" s="87"/>
    </row>
    <row r="4411" spans="34:34" ht="15" thickBot="1" x14ac:dyDescent="0.4">
      <c r="AH4411" s="87"/>
    </row>
    <row r="4412" spans="34:34" ht="15" thickBot="1" x14ac:dyDescent="0.4">
      <c r="AH4412" s="87"/>
    </row>
    <row r="4413" spans="34:34" ht="15" thickBot="1" x14ac:dyDescent="0.4">
      <c r="AH4413" s="87"/>
    </row>
    <row r="4414" spans="34:34" ht="15" thickBot="1" x14ac:dyDescent="0.4">
      <c r="AH4414" s="87"/>
    </row>
    <row r="4415" spans="34:34" ht="15" thickBot="1" x14ac:dyDescent="0.4">
      <c r="AH4415" s="87"/>
    </row>
    <row r="4416" spans="34:34" ht="15" thickBot="1" x14ac:dyDescent="0.4">
      <c r="AH4416" s="87"/>
    </row>
    <row r="4417" spans="34:34" ht="15" thickBot="1" x14ac:dyDescent="0.4">
      <c r="AH4417" s="87"/>
    </row>
    <row r="4418" spans="34:34" ht="15" thickBot="1" x14ac:dyDescent="0.4">
      <c r="AH4418" s="87"/>
    </row>
    <row r="4419" spans="34:34" ht="15" thickBot="1" x14ac:dyDescent="0.4">
      <c r="AH4419" s="87"/>
    </row>
    <row r="4420" spans="34:34" ht="15" thickBot="1" x14ac:dyDescent="0.4">
      <c r="AH4420" s="87"/>
    </row>
    <row r="4421" spans="34:34" ht="15" thickBot="1" x14ac:dyDescent="0.4">
      <c r="AH4421" s="87"/>
    </row>
    <row r="4422" spans="34:34" ht="15" thickBot="1" x14ac:dyDescent="0.4">
      <c r="AH4422" s="87"/>
    </row>
    <row r="4423" spans="34:34" ht="15" thickBot="1" x14ac:dyDescent="0.4">
      <c r="AH4423" s="87"/>
    </row>
    <row r="4424" spans="34:34" ht="15" thickBot="1" x14ac:dyDescent="0.4">
      <c r="AH4424" s="87"/>
    </row>
    <row r="4425" spans="34:34" ht="15" thickBot="1" x14ac:dyDescent="0.4">
      <c r="AH4425" s="87"/>
    </row>
    <row r="4426" spans="34:34" ht="15" thickBot="1" x14ac:dyDescent="0.4">
      <c r="AH4426" s="87"/>
    </row>
    <row r="4427" spans="34:34" ht="15" thickBot="1" x14ac:dyDescent="0.4">
      <c r="AH4427" s="87"/>
    </row>
    <row r="4428" spans="34:34" ht="15" thickBot="1" x14ac:dyDescent="0.4">
      <c r="AH4428" s="87"/>
    </row>
    <row r="4429" spans="34:34" ht="15" thickBot="1" x14ac:dyDescent="0.4">
      <c r="AH4429" s="87"/>
    </row>
    <row r="4430" spans="34:34" ht="15" thickBot="1" x14ac:dyDescent="0.4">
      <c r="AH4430" s="87"/>
    </row>
    <row r="4431" spans="34:34" ht="15" thickBot="1" x14ac:dyDescent="0.4">
      <c r="AH4431" s="87"/>
    </row>
    <row r="4432" spans="34:34" ht="15" thickBot="1" x14ac:dyDescent="0.4">
      <c r="AH4432" s="87"/>
    </row>
    <row r="4433" spans="34:34" ht="15" thickBot="1" x14ac:dyDescent="0.4">
      <c r="AH4433" s="87"/>
    </row>
    <row r="4434" spans="34:34" ht="15" thickBot="1" x14ac:dyDescent="0.4">
      <c r="AH4434" s="87"/>
    </row>
    <row r="4435" spans="34:34" ht="15" thickBot="1" x14ac:dyDescent="0.4">
      <c r="AH4435" s="87"/>
    </row>
    <row r="4436" spans="34:34" ht="15" thickBot="1" x14ac:dyDescent="0.4">
      <c r="AH4436" s="87"/>
    </row>
    <row r="4437" spans="34:34" ht="15" thickBot="1" x14ac:dyDescent="0.4">
      <c r="AH4437" s="87"/>
    </row>
    <row r="4438" spans="34:34" ht="15" thickBot="1" x14ac:dyDescent="0.4">
      <c r="AH4438" s="87"/>
    </row>
    <row r="4439" spans="34:34" ht="15" thickBot="1" x14ac:dyDescent="0.4">
      <c r="AH4439" s="87"/>
    </row>
    <row r="4440" spans="34:34" ht="15" thickBot="1" x14ac:dyDescent="0.4">
      <c r="AH4440" s="87"/>
    </row>
    <row r="4441" spans="34:34" ht="15" thickBot="1" x14ac:dyDescent="0.4">
      <c r="AH4441" s="87"/>
    </row>
    <row r="4442" spans="34:34" ht="15" thickBot="1" x14ac:dyDescent="0.4">
      <c r="AH4442" s="87"/>
    </row>
    <row r="4443" spans="34:34" ht="15" thickBot="1" x14ac:dyDescent="0.4">
      <c r="AH4443" s="87"/>
    </row>
    <row r="4444" spans="34:34" ht="15" thickBot="1" x14ac:dyDescent="0.4">
      <c r="AH4444" s="87"/>
    </row>
    <row r="4445" spans="34:34" ht="15" thickBot="1" x14ac:dyDescent="0.4">
      <c r="AH4445" s="87"/>
    </row>
    <row r="4446" spans="34:34" ht="15" thickBot="1" x14ac:dyDescent="0.4">
      <c r="AH4446" s="87"/>
    </row>
    <row r="4447" spans="34:34" ht="15" thickBot="1" x14ac:dyDescent="0.4">
      <c r="AH4447" s="87"/>
    </row>
    <row r="4448" spans="34:34" ht="15" thickBot="1" x14ac:dyDescent="0.4">
      <c r="AH4448" s="87"/>
    </row>
    <row r="4449" spans="34:34" ht="15" thickBot="1" x14ac:dyDescent="0.4">
      <c r="AH4449" s="87"/>
    </row>
    <row r="4450" spans="34:34" ht="15" thickBot="1" x14ac:dyDescent="0.4">
      <c r="AH4450" s="87"/>
    </row>
    <row r="4451" spans="34:34" ht="15" thickBot="1" x14ac:dyDescent="0.4">
      <c r="AH4451" s="87"/>
    </row>
    <row r="4452" spans="34:34" ht="15" thickBot="1" x14ac:dyDescent="0.4">
      <c r="AH4452" s="87"/>
    </row>
    <row r="4453" spans="34:34" ht="15" thickBot="1" x14ac:dyDescent="0.4">
      <c r="AH4453" s="87"/>
    </row>
    <row r="4454" spans="34:34" ht="15" thickBot="1" x14ac:dyDescent="0.4">
      <c r="AH4454" s="87"/>
    </row>
    <row r="4455" spans="34:34" ht="15" thickBot="1" x14ac:dyDescent="0.4">
      <c r="AH4455" s="87"/>
    </row>
    <row r="4456" spans="34:34" ht="15" thickBot="1" x14ac:dyDescent="0.4">
      <c r="AH4456" s="87"/>
    </row>
    <row r="4457" spans="34:34" ht="15" thickBot="1" x14ac:dyDescent="0.4">
      <c r="AH4457" s="87"/>
    </row>
    <row r="4458" spans="34:34" ht="15" thickBot="1" x14ac:dyDescent="0.4">
      <c r="AH4458" s="87"/>
    </row>
    <row r="4459" spans="34:34" ht="15" thickBot="1" x14ac:dyDescent="0.4">
      <c r="AH4459" s="87"/>
    </row>
    <row r="4460" spans="34:34" ht="15" thickBot="1" x14ac:dyDescent="0.4">
      <c r="AH4460" s="87"/>
    </row>
    <row r="4461" spans="34:34" ht="15" thickBot="1" x14ac:dyDescent="0.4">
      <c r="AH4461" s="87"/>
    </row>
    <row r="4462" spans="34:34" ht="15" thickBot="1" x14ac:dyDescent="0.4">
      <c r="AH4462" s="87"/>
    </row>
    <row r="4463" spans="34:34" ht="15" thickBot="1" x14ac:dyDescent="0.4">
      <c r="AH4463" s="87"/>
    </row>
    <row r="4464" spans="34:34" ht="15" thickBot="1" x14ac:dyDescent="0.4">
      <c r="AH4464" s="87"/>
    </row>
    <row r="4465" spans="34:34" ht="15" thickBot="1" x14ac:dyDescent="0.4">
      <c r="AH4465" s="87"/>
    </row>
    <row r="4466" spans="34:34" ht="15" thickBot="1" x14ac:dyDescent="0.4">
      <c r="AH4466" s="87"/>
    </row>
    <row r="4467" spans="34:34" ht="15" thickBot="1" x14ac:dyDescent="0.4">
      <c r="AH4467" s="87"/>
    </row>
    <row r="4468" spans="34:34" ht="15" thickBot="1" x14ac:dyDescent="0.4">
      <c r="AH4468" s="87"/>
    </row>
    <row r="4469" spans="34:34" ht="15" thickBot="1" x14ac:dyDescent="0.4">
      <c r="AH4469" s="87"/>
    </row>
    <row r="4470" spans="34:34" ht="15" thickBot="1" x14ac:dyDescent="0.4">
      <c r="AH4470" s="87"/>
    </row>
    <row r="4471" spans="34:34" ht="15" thickBot="1" x14ac:dyDescent="0.4">
      <c r="AH4471" s="87"/>
    </row>
    <row r="4472" spans="34:34" ht="15" thickBot="1" x14ac:dyDescent="0.4">
      <c r="AH4472" s="87"/>
    </row>
    <row r="4473" spans="34:34" ht="15" thickBot="1" x14ac:dyDescent="0.4">
      <c r="AH4473" s="87"/>
    </row>
    <row r="4474" spans="34:34" ht="15" thickBot="1" x14ac:dyDescent="0.4">
      <c r="AH4474" s="87"/>
    </row>
    <row r="4475" spans="34:34" ht="15" thickBot="1" x14ac:dyDescent="0.4">
      <c r="AH4475" s="87"/>
    </row>
    <row r="4476" spans="34:34" ht="15" thickBot="1" x14ac:dyDescent="0.4">
      <c r="AH4476" s="87"/>
    </row>
    <row r="4477" spans="34:34" ht="15" thickBot="1" x14ac:dyDescent="0.4">
      <c r="AH4477" s="87"/>
    </row>
    <row r="4478" spans="34:34" ht="15" thickBot="1" x14ac:dyDescent="0.4">
      <c r="AH4478" s="87"/>
    </row>
    <row r="4479" spans="34:34" ht="15" thickBot="1" x14ac:dyDescent="0.4">
      <c r="AH4479" s="87"/>
    </row>
    <row r="4480" spans="34:34" ht="15" thickBot="1" x14ac:dyDescent="0.4">
      <c r="AH4480" s="87"/>
    </row>
    <row r="4481" spans="34:34" ht="15" thickBot="1" x14ac:dyDescent="0.4">
      <c r="AH4481" s="87"/>
    </row>
    <row r="4482" spans="34:34" ht="15" thickBot="1" x14ac:dyDescent="0.4">
      <c r="AH4482" s="87"/>
    </row>
    <row r="4483" spans="34:34" ht="15" thickBot="1" x14ac:dyDescent="0.4">
      <c r="AH4483" s="87"/>
    </row>
    <row r="4484" spans="34:34" ht="15" thickBot="1" x14ac:dyDescent="0.4">
      <c r="AH4484" s="87"/>
    </row>
    <row r="4485" spans="34:34" ht="15" thickBot="1" x14ac:dyDescent="0.4">
      <c r="AH4485" s="87"/>
    </row>
    <row r="4486" spans="34:34" ht="15" thickBot="1" x14ac:dyDescent="0.4">
      <c r="AH4486" s="87"/>
    </row>
    <row r="4487" spans="34:34" ht="15" thickBot="1" x14ac:dyDescent="0.4">
      <c r="AH4487" s="87"/>
    </row>
    <row r="4488" spans="34:34" ht="15" thickBot="1" x14ac:dyDescent="0.4">
      <c r="AH4488" s="87"/>
    </row>
    <row r="4489" spans="34:34" ht="15" thickBot="1" x14ac:dyDescent="0.4">
      <c r="AH4489" s="87"/>
    </row>
    <row r="4490" spans="34:34" ht="15" thickBot="1" x14ac:dyDescent="0.4">
      <c r="AH4490" s="87"/>
    </row>
    <row r="4491" spans="34:34" ht="15" thickBot="1" x14ac:dyDescent="0.4">
      <c r="AH4491" s="87"/>
    </row>
    <row r="4492" spans="34:34" ht="15" thickBot="1" x14ac:dyDescent="0.4">
      <c r="AH4492" s="87"/>
    </row>
    <row r="4493" spans="34:34" ht="15" thickBot="1" x14ac:dyDescent="0.4">
      <c r="AH4493" s="87"/>
    </row>
    <row r="4494" spans="34:34" ht="15" thickBot="1" x14ac:dyDescent="0.4">
      <c r="AH4494" s="87"/>
    </row>
    <row r="4495" spans="34:34" ht="15" thickBot="1" x14ac:dyDescent="0.4">
      <c r="AH4495" s="87"/>
    </row>
    <row r="4496" spans="34:34" ht="15" thickBot="1" x14ac:dyDescent="0.4">
      <c r="AH4496" s="87"/>
    </row>
    <row r="4497" spans="34:34" ht="15" thickBot="1" x14ac:dyDescent="0.4">
      <c r="AH4497" s="87"/>
    </row>
    <row r="4498" spans="34:34" ht="15" thickBot="1" x14ac:dyDescent="0.4">
      <c r="AH4498" s="87"/>
    </row>
    <row r="4499" spans="34:34" ht="15" thickBot="1" x14ac:dyDescent="0.4">
      <c r="AH4499" s="87"/>
    </row>
    <row r="4500" spans="34:34" ht="15" thickBot="1" x14ac:dyDescent="0.4">
      <c r="AH4500" s="87"/>
    </row>
    <row r="4501" spans="34:34" ht="15" thickBot="1" x14ac:dyDescent="0.4">
      <c r="AH4501" s="87"/>
    </row>
    <row r="4502" spans="34:34" ht="15" thickBot="1" x14ac:dyDescent="0.4">
      <c r="AH4502" s="87"/>
    </row>
    <row r="4503" spans="34:34" ht="15" thickBot="1" x14ac:dyDescent="0.4">
      <c r="AH4503" s="87"/>
    </row>
    <row r="4504" spans="34:34" ht="15" thickBot="1" x14ac:dyDescent="0.4">
      <c r="AH4504" s="87"/>
    </row>
    <row r="4505" spans="34:34" ht="15" thickBot="1" x14ac:dyDescent="0.4">
      <c r="AH4505" s="87"/>
    </row>
    <row r="4506" spans="34:34" ht="15" thickBot="1" x14ac:dyDescent="0.4">
      <c r="AH4506" s="87"/>
    </row>
    <row r="4507" spans="34:34" ht="15" thickBot="1" x14ac:dyDescent="0.4">
      <c r="AH4507" s="87"/>
    </row>
    <row r="4508" spans="34:34" ht="15" thickBot="1" x14ac:dyDescent="0.4">
      <c r="AH4508" s="87"/>
    </row>
    <row r="4509" spans="34:34" ht="15" thickBot="1" x14ac:dyDescent="0.4">
      <c r="AH4509" s="87"/>
    </row>
    <row r="4510" spans="34:34" ht="15" thickBot="1" x14ac:dyDescent="0.4">
      <c r="AH4510" s="87"/>
    </row>
    <row r="4511" spans="34:34" ht="15" thickBot="1" x14ac:dyDescent="0.4">
      <c r="AH4511" s="87"/>
    </row>
    <row r="4512" spans="34:34" ht="15" thickBot="1" x14ac:dyDescent="0.4">
      <c r="AH4512" s="87"/>
    </row>
    <row r="4513" spans="34:34" ht="15" thickBot="1" x14ac:dyDescent="0.4">
      <c r="AH4513" s="87"/>
    </row>
    <row r="4514" spans="34:34" ht="15" thickBot="1" x14ac:dyDescent="0.4">
      <c r="AH4514" s="87"/>
    </row>
    <row r="4515" spans="34:34" ht="15" thickBot="1" x14ac:dyDescent="0.4">
      <c r="AH4515" s="87"/>
    </row>
    <row r="4516" spans="34:34" ht="15" thickBot="1" x14ac:dyDescent="0.4">
      <c r="AH4516" s="87"/>
    </row>
    <row r="4517" spans="34:34" ht="15" thickBot="1" x14ac:dyDescent="0.4">
      <c r="AH4517" s="87"/>
    </row>
    <row r="4518" spans="34:34" ht="15" thickBot="1" x14ac:dyDescent="0.4">
      <c r="AH4518" s="87"/>
    </row>
    <row r="4519" spans="34:34" ht="15" thickBot="1" x14ac:dyDescent="0.4">
      <c r="AH4519" s="87"/>
    </row>
    <row r="4520" spans="34:34" ht="15" thickBot="1" x14ac:dyDescent="0.4">
      <c r="AH4520" s="87"/>
    </row>
    <row r="4521" spans="34:34" ht="15" thickBot="1" x14ac:dyDescent="0.4">
      <c r="AH4521" s="87"/>
    </row>
    <row r="4522" spans="34:34" ht="15" thickBot="1" x14ac:dyDescent="0.4">
      <c r="AH4522" s="87"/>
    </row>
    <row r="4523" spans="34:34" ht="15" thickBot="1" x14ac:dyDescent="0.4">
      <c r="AH4523" s="87"/>
    </row>
    <row r="4524" spans="34:34" ht="15" thickBot="1" x14ac:dyDescent="0.4">
      <c r="AH4524" s="87"/>
    </row>
    <row r="4525" spans="34:34" ht="15" thickBot="1" x14ac:dyDescent="0.4">
      <c r="AH4525" s="87"/>
    </row>
    <row r="4526" spans="34:34" ht="15" thickBot="1" x14ac:dyDescent="0.4">
      <c r="AH4526" s="87"/>
    </row>
    <row r="4527" spans="34:34" ht="15" thickBot="1" x14ac:dyDescent="0.4">
      <c r="AH4527" s="87"/>
    </row>
    <row r="4528" spans="34:34" ht="15" thickBot="1" x14ac:dyDescent="0.4">
      <c r="AH4528" s="87"/>
    </row>
    <row r="4529" spans="34:34" ht="15" thickBot="1" x14ac:dyDescent="0.4">
      <c r="AH4529" s="87"/>
    </row>
    <row r="4530" spans="34:34" ht="15" thickBot="1" x14ac:dyDescent="0.4">
      <c r="AH4530" s="87"/>
    </row>
    <row r="4531" spans="34:34" ht="15" thickBot="1" x14ac:dyDescent="0.4">
      <c r="AH4531" s="87"/>
    </row>
    <row r="4532" spans="34:34" ht="15" thickBot="1" x14ac:dyDescent="0.4">
      <c r="AH4532" s="87"/>
    </row>
    <row r="4533" spans="34:34" ht="15" thickBot="1" x14ac:dyDescent="0.4">
      <c r="AH4533" s="87"/>
    </row>
    <row r="4534" spans="34:34" ht="15" thickBot="1" x14ac:dyDescent="0.4">
      <c r="AH4534" s="87"/>
    </row>
    <row r="4535" spans="34:34" ht="15" thickBot="1" x14ac:dyDescent="0.4">
      <c r="AH4535" s="87"/>
    </row>
    <row r="4536" spans="34:34" ht="15" thickBot="1" x14ac:dyDescent="0.4">
      <c r="AH4536" s="87"/>
    </row>
    <row r="4537" spans="34:34" ht="15" thickBot="1" x14ac:dyDescent="0.4">
      <c r="AH4537" s="87"/>
    </row>
    <row r="4538" spans="34:34" ht="15" thickBot="1" x14ac:dyDescent="0.4">
      <c r="AH4538" s="87"/>
    </row>
    <row r="4539" spans="34:34" ht="15" thickBot="1" x14ac:dyDescent="0.4">
      <c r="AH4539" s="87"/>
    </row>
    <row r="4540" spans="34:34" ht="15" thickBot="1" x14ac:dyDescent="0.4">
      <c r="AH4540" s="87"/>
    </row>
    <row r="4541" spans="34:34" ht="15" thickBot="1" x14ac:dyDescent="0.4">
      <c r="AH4541" s="87"/>
    </row>
    <row r="4542" spans="34:34" ht="15" thickBot="1" x14ac:dyDescent="0.4">
      <c r="AH4542" s="87"/>
    </row>
    <row r="4543" spans="34:34" ht="15" thickBot="1" x14ac:dyDescent="0.4">
      <c r="AH4543" s="87"/>
    </row>
    <row r="4544" spans="34:34" ht="15" thickBot="1" x14ac:dyDescent="0.4">
      <c r="AH4544" s="87"/>
    </row>
    <row r="4545" spans="34:34" ht="15" thickBot="1" x14ac:dyDescent="0.4">
      <c r="AH4545" s="87"/>
    </row>
    <row r="4546" spans="34:34" ht="15" thickBot="1" x14ac:dyDescent="0.4">
      <c r="AH4546" s="87"/>
    </row>
    <row r="4547" spans="34:34" ht="15" thickBot="1" x14ac:dyDescent="0.4">
      <c r="AH4547" s="87"/>
    </row>
    <row r="4548" spans="34:34" ht="15" thickBot="1" x14ac:dyDescent="0.4">
      <c r="AH4548" s="87"/>
    </row>
    <row r="4549" spans="34:34" ht="15" thickBot="1" x14ac:dyDescent="0.4">
      <c r="AH4549" s="87"/>
    </row>
    <row r="4550" spans="34:34" ht="15" thickBot="1" x14ac:dyDescent="0.4">
      <c r="AH4550" s="87"/>
    </row>
    <row r="4551" spans="34:34" ht="15" thickBot="1" x14ac:dyDescent="0.4">
      <c r="AH4551" s="87"/>
    </row>
    <row r="4552" spans="34:34" ht="15" thickBot="1" x14ac:dyDescent="0.4">
      <c r="AH4552" s="87"/>
    </row>
    <row r="4553" spans="34:34" ht="15" thickBot="1" x14ac:dyDescent="0.4">
      <c r="AH4553" s="87"/>
    </row>
    <row r="4554" spans="34:34" ht="15" thickBot="1" x14ac:dyDescent="0.4">
      <c r="AH4554" s="87"/>
    </row>
    <row r="4555" spans="34:34" ht="15" thickBot="1" x14ac:dyDescent="0.4">
      <c r="AH4555" s="87"/>
    </row>
    <row r="4556" spans="34:34" ht="15" thickBot="1" x14ac:dyDescent="0.4">
      <c r="AH4556" s="87"/>
    </row>
    <row r="4557" spans="34:34" ht="15" thickBot="1" x14ac:dyDescent="0.4">
      <c r="AH4557" s="87"/>
    </row>
    <row r="4558" spans="34:34" ht="15" thickBot="1" x14ac:dyDescent="0.4">
      <c r="AH4558" s="87"/>
    </row>
    <row r="4559" spans="34:34" ht="15" thickBot="1" x14ac:dyDescent="0.4">
      <c r="AH4559" s="87"/>
    </row>
    <row r="4560" spans="34:34" ht="15" thickBot="1" x14ac:dyDescent="0.4">
      <c r="AH4560" s="87"/>
    </row>
    <row r="4561" spans="34:34" ht="15" thickBot="1" x14ac:dyDescent="0.4">
      <c r="AH4561" s="87"/>
    </row>
    <row r="4562" spans="34:34" ht="15" thickBot="1" x14ac:dyDescent="0.4">
      <c r="AH4562" s="87"/>
    </row>
    <row r="4563" spans="34:34" ht="15" thickBot="1" x14ac:dyDescent="0.4">
      <c r="AH4563" s="87"/>
    </row>
    <row r="4564" spans="34:34" ht="15" thickBot="1" x14ac:dyDescent="0.4">
      <c r="AH4564" s="87"/>
    </row>
    <row r="4565" spans="34:34" ht="15" thickBot="1" x14ac:dyDescent="0.4">
      <c r="AH4565" s="87"/>
    </row>
    <row r="4566" spans="34:34" ht="15" thickBot="1" x14ac:dyDescent="0.4">
      <c r="AH4566" s="87"/>
    </row>
    <row r="4567" spans="34:34" ht="15" thickBot="1" x14ac:dyDescent="0.4">
      <c r="AH4567" s="87"/>
    </row>
    <row r="4568" spans="34:34" ht="15" thickBot="1" x14ac:dyDescent="0.4">
      <c r="AH4568" s="87"/>
    </row>
    <row r="4569" spans="34:34" ht="15" thickBot="1" x14ac:dyDescent="0.4">
      <c r="AH4569" s="87"/>
    </row>
    <row r="4570" spans="34:34" ht="15" thickBot="1" x14ac:dyDescent="0.4">
      <c r="AH4570" s="87"/>
    </row>
    <row r="4571" spans="34:34" ht="15" thickBot="1" x14ac:dyDescent="0.4">
      <c r="AH4571" s="87"/>
    </row>
    <row r="4572" spans="34:34" ht="15" thickBot="1" x14ac:dyDescent="0.4">
      <c r="AH4572" s="87"/>
    </row>
    <row r="4573" spans="34:34" ht="15" thickBot="1" x14ac:dyDescent="0.4">
      <c r="AH4573" s="87"/>
    </row>
    <row r="4574" spans="34:34" ht="15" thickBot="1" x14ac:dyDescent="0.4">
      <c r="AH4574" s="87"/>
    </row>
    <row r="4575" spans="34:34" ht="15" thickBot="1" x14ac:dyDescent="0.4">
      <c r="AH4575" s="87"/>
    </row>
    <row r="4576" spans="34:34" ht="15" thickBot="1" x14ac:dyDescent="0.4">
      <c r="AH4576" s="87"/>
    </row>
    <row r="4577" spans="34:34" ht="15" thickBot="1" x14ac:dyDescent="0.4">
      <c r="AH4577" s="87"/>
    </row>
    <row r="4578" spans="34:34" ht="15" thickBot="1" x14ac:dyDescent="0.4">
      <c r="AH4578" s="87"/>
    </row>
    <row r="4579" spans="34:34" ht="15" thickBot="1" x14ac:dyDescent="0.4">
      <c r="AH4579" s="87"/>
    </row>
    <row r="4580" spans="34:34" ht="15" thickBot="1" x14ac:dyDescent="0.4">
      <c r="AH4580" s="87"/>
    </row>
    <row r="4581" spans="34:34" ht="15" thickBot="1" x14ac:dyDescent="0.4">
      <c r="AH4581" s="87"/>
    </row>
    <row r="4582" spans="34:34" ht="15" thickBot="1" x14ac:dyDescent="0.4">
      <c r="AH4582" s="87"/>
    </row>
    <row r="4583" spans="34:34" ht="15" thickBot="1" x14ac:dyDescent="0.4">
      <c r="AH4583" s="87"/>
    </row>
    <row r="4584" spans="34:34" ht="15" thickBot="1" x14ac:dyDescent="0.4">
      <c r="AH4584" s="87"/>
    </row>
    <row r="4585" spans="34:34" ht="15" thickBot="1" x14ac:dyDescent="0.4">
      <c r="AH4585" s="87"/>
    </row>
    <row r="4586" spans="34:34" ht="15" thickBot="1" x14ac:dyDescent="0.4">
      <c r="AH4586" s="87"/>
    </row>
    <row r="4587" spans="34:34" ht="15" thickBot="1" x14ac:dyDescent="0.4">
      <c r="AH4587" s="87"/>
    </row>
    <row r="4588" spans="34:34" ht="15" thickBot="1" x14ac:dyDescent="0.4">
      <c r="AH4588" s="87"/>
    </row>
    <row r="4589" spans="34:34" ht="15" thickBot="1" x14ac:dyDescent="0.4">
      <c r="AH4589" s="87"/>
    </row>
    <row r="4590" spans="34:34" ht="15" thickBot="1" x14ac:dyDescent="0.4">
      <c r="AH4590" s="87"/>
    </row>
    <row r="4591" spans="34:34" ht="15" thickBot="1" x14ac:dyDescent="0.4">
      <c r="AH4591" s="87"/>
    </row>
    <row r="4592" spans="34:34" ht="15" thickBot="1" x14ac:dyDescent="0.4">
      <c r="AH4592" s="87"/>
    </row>
    <row r="4593" spans="34:34" ht="15" thickBot="1" x14ac:dyDescent="0.4">
      <c r="AH4593" s="87"/>
    </row>
    <row r="4594" spans="34:34" ht="15" thickBot="1" x14ac:dyDescent="0.4">
      <c r="AH4594" s="87"/>
    </row>
    <row r="4595" spans="34:34" ht="15" thickBot="1" x14ac:dyDescent="0.4">
      <c r="AH4595" s="87"/>
    </row>
    <row r="4596" spans="34:34" ht="15" thickBot="1" x14ac:dyDescent="0.4">
      <c r="AH4596" s="87"/>
    </row>
    <row r="4597" spans="34:34" ht="15" thickBot="1" x14ac:dyDescent="0.4">
      <c r="AH4597" s="87"/>
    </row>
    <row r="4598" spans="34:34" ht="15" thickBot="1" x14ac:dyDescent="0.4">
      <c r="AH4598" s="87"/>
    </row>
    <row r="4599" spans="34:34" ht="15" thickBot="1" x14ac:dyDescent="0.4">
      <c r="AH4599" s="87"/>
    </row>
    <row r="4600" spans="34:34" ht="15" thickBot="1" x14ac:dyDescent="0.4">
      <c r="AH4600" s="87"/>
    </row>
    <row r="4601" spans="34:34" ht="15" thickBot="1" x14ac:dyDescent="0.4">
      <c r="AH4601" s="87"/>
    </row>
    <row r="4602" spans="34:34" ht="15" thickBot="1" x14ac:dyDescent="0.4">
      <c r="AH4602" s="87"/>
    </row>
    <row r="4603" spans="34:34" ht="15" thickBot="1" x14ac:dyDescent="0.4">
      <c r="AH4603" s="87"/>
    </row>
    <row r="4604" spans="34:34" ht="15" thickBot="1" x14ac:dyDescent="0.4">
      <c r="AH4604" s="87"/>
    </row>
    <row r="4605" spans="34:34" ht="15" thickBot="1" x14ac:dyDescent="0.4">
      <c r="AH4605" s="87"/>
    </row>
    <row r="4606" spans="34:34" ht="15" thickBot="1" x14ac:dyDescent="0.4">
      <c r="AH4606" s="87"/>
    </row>
    <row r="4607" spans="34:34" ht="15" thickBot="1" x14ac:dyDescent="0.4">
      <c r="AH4607" s="87"/>
    </row>
    <row r="4608" spans="34:34" ht="15" thickBot="1" x14ac:dyDescent="0.4">
      <c r="AH4608" s="87"/>
    </row>
    <row r="4609" spans="34:34" ht="15" thickBot="1" x14ac:dyDescent="0.4">
      <c r="AH4609" s="87"/>
    </row>
    <row r="4610" spans="34:34" ht="15" thickBot="1" x14ac:dyDescent="0.4">
      <c r="AH4610" s="87"/>
    </row>
    <row r="4611" spans="34:34" ht="15" thickBot="1" x14ac:dyDescent="0.4">
      <c r="AH4611" s="87"/>
    </row>
    <row r="4612" spans="34:34" ht="15" thickBot="1" x14ac:dyDescent="0.4">
      <c r="AH4612" s="87"/>
    </row>
    <row r="4613" spans="34:34" ht="15" thickBot="1" x14ac:dyDescent="0.4">
      <c r="AH4613" s="87"/>
    </row>
    <row r="4614" spans="34:34" ht="15" thickBot="1" x14ac:dyDescent="0.4">
      <c r="AH4614" s="87"/>
    </row>
    <row r="4615" spans="34:34" ht="15" thickBot="1" x14ac:dyDescent="0.4">
      <c r="AH4615" s="87"/>
    </row>
    <row r="4616" spans="34:34" ht="15" thickBot="1" x14ac:dyDescent="0.4">
      <c r="AH4616" s="87"/>
    </row>
    <row r="4617" spans="34:34" ht="15" thickBot="1" x14ac:dyDescent="0.4">
      <c r="AH4617" s="87"/>
    </row>
    <row r="4618" spans="34:34" ht="15" thickBot="1" x14ac:dyDescent="0.4">
      <c r="AH4618" s="87"/>
    </row>
    <row r="4619" spans="34:34" ht="15" thickBot="1" x14ac:dyDescent="0.4">
      <c r="AH4619" s="87"/>
    </row>
    <row r="4620" spans="34:34" ht="15" thickBot="1" x14ac:dyDescent="0.4">
      <c r="AH4620" s="87"/>
    </row>
    <row r="4621" spans="34:34" ht="15" thickBot="1" x14ac:dyDescent="0.4">
      <c r="AH4621" s="87"/>
    </row>
    <row r="4622" spans="34:34" ht="15" thickBot="1" x14ac:dyDescent="0.4">
      <c r="AH4622" s="87"/>
    </row>
    <row r="4623" spans="34:34" ht="15" thickBot="1" x14ac:dyDescent="0.4">
      <c r="AH4623" s="87"/>
    </row>
    <row r="4624" spans="34:34" ht="15" thickBot="1" x14ac:dyDescent="0.4">
      <c r="AH4624" s="87"/>
    </row>
    <row r="4625" spans="34:34" ht="15" thickBot="1" x14ac:dyDescent="0.4">
      <c r="AH4625" s="87"/>
    </row>
    <row r="4626" spans="34:34" ht="15" thickBot="1" x14ac:dyDescent="0.4">
      <c r="AH4626" s="87"/>
    </row>
    <row r="4627" spans="34:34" ht="15" thickBot="1" x14ac:dyDescent="0.4">
      <c r="AH4627" s="87"/>
    </row>
    <row r="4628" spans="34:34" ht="15" thickBot="1" x14ac:dyDescent="0.4">
      <c r="AH4628" s="87"/>
    </row>
    <row r="4629" spans="34:34" ht="15" thickBot="1" x14ac:dyDescent="0.4">
      <c r="AH4629" s="87"/>
    </row>
    <row r="4630" spans="34:34" ht="15" thickBot="1" x14ac:dyDescent="0.4">
      <c r="AH4630" s="87"/>
    </row>
    <row r="4631" spans="34:34" ht="15" thickBot="1" x14ac:dyDescent="0.4">
      <c r="AH4631" s="87"/>
    </row>
    <row r="4632" spans="34:34" ht="15" thickBot="1" x14ac:dyDescent="0.4">
      <c r="AH4632" s="87"/>
    </row>
    <row r="4633" spans="34:34" ht="15" thickBot="1" x14ac:dyDescent="0.4">
      <c r="AH4633" s="87"/>
    </row>
    <row r="4634" spans="34:34" ht="15" thickBot="1" x14ac:dyDescent="0.4">
      <c r="AH4634" s="87"/>
    </row>
    <row r="4635" spans="34:34" ht="15" thickBot="1" x14ac:dyDescent="0.4">
      <c r="AH4635" s="87"/>
    </row>
    <row r="4636" spans="34:34" ht="15" thickBot="1" x14ac:dyDescent="0.4">
      <c r="AH4636" s="87"/>
    </row>
    <row r="4637" spans="34:34" ht="15" thickBot="1" x14ac:dyDescent="0.4">
      <c r="AH4637" s="87"/>
    </row>
    <row r="4638" spans="34:34" ht="15" thickBot="1" x14ac:dyDescent="0.4">
      <c r="AH4638" s="87"/>
    </row>
    <row r="4639" spans="34:34" ht="15" thickBot="1" x14ac:dyDescent="0.4">
      <c r="AH4639" s="87"/>
    </row>
    <row r="4640" spans="34:34" ht="15" thickBot="1" x14ac:dyDescent="0.4">
      <c r="AH4640" s="87"/>
    </row>
    <row r="4641" spans="34:34" ht="15" thickBot="1" x14ac:dyDescent="0.4">
      <c r="AH4641" s="87"/>
    </row>
    <row r="4642" spans="34:34" ht="15" thickBot="1" x14ac:dyDescent="0.4">
      <c r="AH4642" s="87"/>
    </row>
    <row r="4643" spans="34:34" ht="15" thickBot="1" x14ac:dyDescent="0.4">
      <c r="AH4643" s="87"/>
    </row>
    <row r="4644" spans="34:34" ht="15" thickBot="1" x14ac:dyDescent="0.4">
      <c r="AH4644" s="87"/>
    </row>
    <row r="4645" spans="34:34" ht="15" thickBot="1" x14ac:dyDescent="0.4">
      <c r="AH4645" s="87"/>
    </row>
    <row r="4646" spans="34:34" ht="15" thickBot="1" x14ac:dyDescent="0.4">
      <c r="AH4646" s="87"/>
    </row>
    <row r="4647" spans="34:34" ht="15" thickBot="1" x14ac:dyDescent="0.4">
      <c r="AH4647" s="87"/>
    </row>
    <row r="4648" spans="34:34" ht="15" thickBot="1" x14ac:dyDescent="0.4">
      <c r="AH4648" s="87"/>
    </row>
    <row r="4649" spans="34:34" ht="15" thickBot="1" x14ac:dyDescent="0.4">
      <c r="AH4649" s="87"/>
    </row>
    <row r="4650" spans="34:34" ht="15" thickBot="1" x14ac:dyDescent="0.4">
      <c r="AH4650" s="87"/>
    </row>
    <row r="4651" spans="34:34" ht="15" thickBot="1" x14ac:dyDescent="0.4">
      <c r="AH4651" s="87"/>
    </row>
    <row r="4652" spans="34:34" ht="15" thickBot="1" x14ac:dyDescent="0.4">
      <c r="AH4652" s="87"/>
    </row>
    <row r="4653" spans="34:34" ht="15" thickBot="1" x14ac:dyDescent="0.4">
      <c r="AH4653" s="87"/>
    </row>
    <row r="4654" spans="34:34" ht="15" thickBot="1" x14ac:dyDescent="0.4">
      <c r="AH4654" s="87"/>
    </row>
    <row r="4655" spans="34:34" ht="15" thickBot="1" x14ac:dyDescent="0.4">
      <c r="AH4655" s="87"/>
    </row>
    <row r="4656" spans="34:34" ht="15" thickBot="1" x14ac:dyDescent="0.4">
      <c r="AH4656" s="87"/>
    </row>
    <row r="4657" spans="34:34" ht="15" thickBot="1" x14ac:dyDescent="0.4">
      <c r="AH4657" s="87"/>
    </row>
    <row r="4658" spans="34:34" ht="15" thickBot="1" x14ac:dyDescent="0.4">
      <c r="AH4658" s="87"/>
    </row>
    <row r="4659" spans="34:34" ht="15" thickBot="1" x14ac:dyDescent="0.4">
      <c r="AH4659" s="87"/>
    </row>
    <row r="4660" spans="34:34" ht="15" thickBot="1" x14ac:dyDescent="0.4">
      <c r="AH4660" s="87"/>
    </row>
    <row r="4661" spans="34:34" ht="15" thickBot="1" x14ac:dyDescent="0.4">
      <c r="AH4661" s="87"/>
    </row>
    <row r="4662" spans="34:34" ht="15" thickBot="1" x14ac:dyDescent="0.4">
      <c r="AH4662" s="87"/>
    </row>
    <row r="4663" spans="34:34" ht="15" thickBot="1" x14ac:dyDescent="0.4">
      <c r="AH4663" s="87"/>
    </row>
    <row r="4664" spans="34:34" ht="15" thickBot="1" x14ac:dyDescent="0.4">
      <c r="AH4664" s="87"/>
    </row>
    <row r="4665" spans="34:34" ht="15" thickBot="1" x14ac:dyDescent="0.4">
      <c r="AH4665" s="87"/>
    </row>
    <row r="4666" spans="34:34" ht="15" thickBot="1" x14ac:dyDescent="0.4">
      <c r="AH4666" s="87"/>
    </row>
    <row r="4667" spans="34:34" ht="15" thickBot="1" x14ac:dyDescent="0.4">
      <c r="AH4667" s="87"/>
    </row>
    <row r="4668" spans="34:34" ht="15" thickBot="1" x14ac:dyDescent="0.4">
      <c r="AH4668" s="87"/>
    </row>
    <row r="4669" spans="34:34" ht="15" thickBot="1" x14ac:dyDescent="0.4">
      <c r="AH4669" s="87"/>
    </row>
    <row r="4670" spans="34:34" ht="15" thickBot="1" x14ac:dyDescent="0.4">
      <c r="AH4670" s="87"/>
    </row>
    <row r="4671" spans="34:34" ht="15" thickBot="1" x14ac:dyDescent="0.4">
      <c r="AH4671" s="87"/>
    </row>
    <row r="4672" spans="34:34" ht="15" thickBot="1" x14ac:dyDescent="0.4">
      <c r="AH4672" s="87"/>
    </row>
    <row r="4673" spans="34:34" ht="15" thickBot="1" x14ac:dyDescent="0.4">
      <c r="AH4673" s="87"/>
    </row>
    <row r="4674" spans="34:34" ht="15" thickBot="1" x14ac:dyDescent="0.4">
      <c r="AH4674" s="87"/>
    </row>
    <row r="4675" spans="34:34" ht="15" thickBot="1" x14ac:dyDescent="0.4">
      <c r="AH4675" s="87"/>
    </row>
    <row r="4676" spans="34:34" ht="15" thickBot="1" x14ac:dyDescent="0.4">
      <c r="AH4676" s="87"/>
    </row>
    <row r="4677" spans="34:34" ht="15" thickBot="1" x14ac:dyDescent="0.4">
      <c r="AH4677" s="87"/>
    </row>
    <row r="4678" spans="34:34" ht="15" thickBot="1" x14ac:dyDescent="0.4">
      <c r="AH4678" s="87"/>
    </row>
    <row r="4679" spans="34:34" ht="15" thickBot="1" x14ac:dyDescent="0.4">
      <c r="AH4679" s="87"/>
    </row>
    <row r="4680" spans="34:34" ht="15" thickBot="1" x14ac:dyDescent="0.4">
      <c r="AH4680" s="87"/>
    </row>
    <row r="4681" spans="34:34" ht="15" thickBot="1" x14ac:dyDescent="0.4">
      <c r="AH4681" s="87"/>
    </row>
    <row r="4682" spans="34:34" ht="15" thickBot="1" x14ac:dyDescent="0.4">
      <c r="AH4682" s="87"/>
    </row>
    <row r="4683" spans="34:34" ht="15" thickBot="1" x14ac:dyDescent="0.4">
      <c r="AH4683" s="87"/>
    </row>
    <row r="4684" spans="34:34" ht="15" thickBot="1" x14ac:dyDescent="0.4">
      <c r="AH4684" s="87"/>
    </row>
    <row r="4685" spans="34:34" ht="15" thickBot="1" x14ac:dyDescent="0.4">
      <c r="AH4685" s="87"/>
    </row>
    <row r="4686" spans="34:34" ht="15" thickBot="1" x14ac:dyDescent="0.4">
      <c r="AH4686" s="87"/>
    </row>
    <row r="4687" spans="34:34" ht="15" thickBot="1" x14ac:dyDescent="0.4">
      <c r="AH4687" s="87"/>
    </row>
    <row r="4688" spans="34:34" ht="15" thickBot="1" x14ac:dyDescent="0.4">
      <c r="AH4688" s="87"/>
    </row>
    <row r="4689" spans="34:34" ht="15" thickBot="1" x14ac:dyDescent="0.4">
      <c r="AH4689" s="87"/>
    </row>
    <row r="4690" spans="34:34" ht="15" thickBot="1" x14ac:dyDescent="0.4">
      <c r="AH4690" s="87"/>
    </row>
    <row r="4691" spans="34:34" ht="15" thickBot="1" x14ac:dyDescent="0.4">
      <c r="AH4691" s="87"/>
    </row>
    <row r="4692" spans="34:34" ht="15" thickBot="1" x14ac:dyDescent="0.4">
      <c r="AH4692" s="87"/>
    </row>
    <row r="4693" spans="34:34" ht="15" thickBot="1" x14ac:dyDescent="0.4">
      <c r="AH4693" s="87"/>
    </row>
    <row r="4694" spans="34:34" ht="15" thickBot="1" x14ac:dyDescent="0.4">
      <c r="AH4694" s="87"/>
    </row>
    <row r="4695" spans="34:34" ht="15" thickBot="1" x14ac:dyDescent="0.4">
      <c r="AH4695" s="87"/>
    </row>
    <row r="4696" spans="34:34" ht="15" thickBot="1" x14ac:dyDescent="0.4">
      <c r="AH4696" s="87"/>
    </row>
    <row r="4697" spans="34:34" ht="15" thickBot="1" x14ac:dyDescent="0.4">
      <c r="AH4697" s="87"/>
    </row>
    <row r="4698" spans="34:34" ht="15" thickBot="1" x14ac:dyDescent="0.4">
      <c r="AH4698" s="87"/>
    </row>
    <row r="4699" spans="34:34" ht="15" thickBot="1" x14ac:dyDescent="0.4">
      <c r="AH4699" s="87"/>
    </row>
    <row r="4700" spans="34:34" ht="15" thickBot="1" x14ac:dyDescent="0.4">
      <c r="AH4700" s="87"/>
    </row>
    <row r="4701" spans="34:34" ht="15" thickBot="1" x14ac:dyDescent="0.4">
      <c r="AH4701" s="87"/>
    </row>
    <row r="4702" spans="34:34" ht="15" thickBot="1" x14ac:dyDescent="0.4">
      <c r="AH4702" s="87"/>
    </row>
    <row r="4703" spans="34:34" ht="15" thickBot="1" x14ac:dyDescent="0.4">
      <c r="AH4703" s="87"/>
    </row>
    <row r="4704" spans="34:34" ht="15" thickBot="1" x14ac:dyDescent="0.4">
      <c r="AH4704" s="87"/>
    </row>
    <row r="4705" spans="34:34" ht="15" thickBot="1" x14ac:dyDescent="0.4">
      <c r="AH4705" s="87"/>
    </row>
    <row r="4706" spans="34:34" ht="15" thickBot="1" x14ac:dyDescent="0.4">
      <c r="AH4706" s="87"/>
    </row>
    <row r="4707" spans="34:34" ht="15" thickBot="1" x14ac:dyDescent="0.4">
      <c r="AH4707" s="87"/>
    </row>
    <row r="4708" spans="34:34" ht="15" thickBot="1" x14ac:dyDescent="0.4">
      <c r="AH4708" s="87"/>
    </row>
    <row r="4709" spans="34:34" ht="15" thickBot="1" x14ac:dyDescent="0.4">
      <c r="AH4709" s="87"/>
    </row>
    <row r="4710" spans="34:34" ht="15" thickBot="1" x14ac:dyDescent="0.4">
      <c r="AH4710" s="87"/>
    </row>
    <row r="4711" spans="34:34" ht="15" thickBot="1" x14ac:dyDescent="0.4">
      <c r="AH4711" s="87"/>
    </row>
    <row r="4712" spans="34:34" ht="15" thickBot="1" x14ac:dyDescent="0.4">
      <c r="AH4712" s="87"/>
    </row>
    <row r="4713" spans="34:34" ht="15" thickBot="1" x14ac:dyDescent="0.4">
      <c r="AH4713" s="87"/>
    </row>
    <row r="4714" spans="34:34" ht="15" thickBot="1" x14ac:dyDescent="0.4">
      <c r="AH4714" s="87"/>
    </row>
    <row r="4715" spans="34:34" ht="15" thickBot="1" x14ac:dyDescent="0.4">
      <c r="AH4715" s="87"/>
    </row>
    <row r="4716" spans="34:34" ht="15" thickBot="1" x14ac:dyDescent="0.4">
      <c r="AH4716" s="87"/>
    </row>
    <row r="4717" spans="34:34" ht="15" thickBot="1" x14ac:dyDescent="0.4">
      <c r="AH4717" s="87"/>
    </row>
    <row r="4718" spans="34:34" ht="15" thickBot="1" x14ac:dyDescent="0.4">
      <c r="AH4718" s="87"/>
    </row>
    <row r="4719" spans="34:34" ht="15" thickBot="1" x14ac:dyDescent="0.4">
      <c r="AH4719" s="87"/>
    </row>
    <row r="4720" spans="34:34" ht="15" thickBot="1" x14ac:dyDescent="0.4">
      <c r="AH4720" s="87"/>
    </row>
    <row r="4721" spans="34:34" ht="15" thickBot="1" x14ac:dyDescent="0.4">
      <c r="AH4721" s="87"/>
    </row>
    <row r="4722" spans="34:34" ht="15" thickBot="1" x14ac:dyDescent="0.4">
      <c r="AH4722" s="87"/>
    </row>
    <row r="4723" spans="34:34" ht="15" thickBot="1" x14ac:dyDescent="0.4">
      <c r="AH4723" s="87"/>
    </row>
    <row r="4724" spans="34:34" ht="15" thickBot="1" x14ac:dyDescent="0.4">
      <c r="AH4724" s="87"/>
    </row>
    <row r="4725" spans="34:34" ht="15" thickBot="1" x14ac:dyDescent="0.4">
      <c r="AH4725" s="87"/>
    </row>
    <row r="4726" spans="34:34" ht="15" thickBot="1" x14ac:dyDescent="0.4">
      <c r="AH4726" s="87"/>
    </row>
    <row r="4727" spans="34:34" ht="15" thickBot="1" x14ac:dyDescent="0.4">
      <c r="AH4727" s="87"/>
    </row>
    <row r="4728" spans="34:34" ht="15" thickBot="1" x14ac:dyDescent="0.4">
      <c r="AH4728" s="87"/>
    </row>
    <row r="4729" spans="34:34" ht="15" thickBot="1" x14ac:dyDescent="0.4">
      <c r="AH4729" s="87"/>
    </row>
    <row r="4730" spans="34:34" ht="15" thickBot="1" x14ac:dyDescent="0.4">
      <c r="AH4730" s="87"/>
    </row>
    <row r="4731" spans="34:34" ht="15" thickBot="1" x14ac:dyDescent="0.4">
      <c r="AH4731" s="87"/>
    </row>
    <row r="4732" spans="34:34" ht="15" thickBot="1" x14ac:dyDescent="0.4">
      <c r="AH4732" s="87"/>
    </row>
    <row r="4733" spans="34:34" ht="15" thickBot="1" x14ac:dyDescent="0.4">
      <c r="AH4733" s="87"/>
    </row>
    <row r="4734" spans="34:34" ht="15" thickBot="1" x14ac:dyDescent="0.4">
      <c r="AH4734" s="87"/>
    </row>
    <row r="4735" spans="34:34" ht="15" thickBot="1" x14ac:dyDescent="0.4">
      <c r="AH4735" s="87"/>
    </row>
    <row r="4736" spans="34:34" ht="15" thickBot="1" x14ac:dyDescent="0.4">
      <c r="AH4736" s="87"/>
    </row>
    <row r="4737" spans="34:34" ht="15" thickBot="1" x14ac:dyDescent="0.4">
      <c r="AH4737" s="87"/>
    </row>
    <row r="4738" spans="34:34" ht="15" thickBot="1" x14ac:dyDescent="0.4">
      <c r="AH4738" s="87"/>
    </row>
    <row r="4739" spans="34:34" ht="15" thickBot="1" x14ac:dyDescent="0.4">
      <c r="AH4739" s="87"/>
    </row>
    <row r="4740" spans="34:34" ht="15" thickBot="1" x14ac:dyDescent="0.4">
      <c r="AH4740" s="87"/>
    </row>
    <row r="4741" spans="34:34" ht="15" thickBot="1" x14ac:dyDescent="0.4">
      <c r="AH4741" s="87"/>
    </row>
    <row r="4742" spans="34:34" ht="15" thickBot="1" x14ac:dyDescent="0.4">
      <c r="AH4742" s="87"/>
    </row>
    <row r="4743" spans="34:34" ht="15" thickBot="1" x14ac:dyDescent="0.4">
      <c r="AH4743" s="87"/>
    </row>
    <row r="4744" spans="34:34" ht="15" thickBot="1" x14ac:dyDescent="0.4">
      <c r="AH4744" s="87"/>
    </row>
    <row r="4745" spans="34:34" ht="15" thickBot="1" x14ac:dyDescent="0.4">
      <c r="AH4745" s="87"/>
    </row>
    <row r="4746" spans="34:34" ht="15" thickBot="1" x14ac:dyDescent="0.4">
      <c r="AH4746" s="87"/>
    </row>
    <row r="4747" spans="34:34" ht="15" thickBot="1" x14ac:dyDescent="0.4">
      <c r="AH4747" s="87"/>
    </row>
    <row r="4748" spans="34:34" ht="15" thickBot="1" x14ac:dyDescent="0.4">
      <c r="AH4748" s="87"/>
    </row>
    <row r="4749" spans="34:34" ht="15" thickBot="1" x14ac:dyDescent="0.4">
      <c r="AH4749" s="87"/>
    </row>
    <row r="4750" spans="34:34" ht="15" thickBot="1" x14ac:dyDescent="0.4">
      <c r="AH4750" s="87"/>
    </row>
    <row r="4751" spans="34:34" ht="15" thickBot="1" x14ac:dyDescent="0.4">
      <c r="AH4751" s="87"/>
    </row>
    <row r="4752" spans="34:34" ht="15" thickBot="1" x14ac:dyDescent="0.4">
      <c r="AH4752" s="87"/>
    </row>
    <row r="4753" spans="34:34" ht="15" thickBot="1" x14ac:dyDescent="0.4">
      <c r="AH4753" s="87"/>
    </row>
    <row r="4754" spans="34:34" ht="15" thickBot="1" x14ac:dyDescent="0.4">
      <c r="AH4754" s="87"/>
    </row>
    <row r="4755" spans="34:34" ht="15" thickBot="1" x14ac:dyDescent="0.4">
      <c r="AH4755" s="87"/>
    </row>
    <row r="4756" spans="34:34" ht="15" thickBot="1" x14ac:dyDescent="0.4">
      <c r="AH4756" s="87"/>
    </row>
    <row r="4757" spans="34:34" ht="15" thickBot="1" x14ac:dyDescent="0.4">
      <c r="AH4757" s="87"/>
    </row>
    <row r="4758" spans="34:34" ht="15" thickBot="1" x14ac:dyDescent="0.4">
      <c r="AH4758" s="87"/>
    </row>
    <row r="4759" spans="34:34" ht="15" thickBot="1" x14ac:dyDescent="0.4">
      <c r="AH4759" s="87"/>
    </row>
    <row r="4760" spans="34:34" ht="15" thickBot="1" x14ac:dyDescent="0.4">
      <c r="AH4760" s="87"/>
    </row>
    <row r="4761" spans="34:34" ht="15" thickBot="1" x14ac:dyDescent="0.4">
      <c r="AH4761" s="87"/>
    </row>
    <row r="4762" spans="34:34" ht="15" thickBot="1" x14ac:dyDescent="0.4">
      <c r="AH4762" s="87"/>
    </row>
    <row r="4763" spans="34:34" ht="15" thickBot="1" x14ac:dyDescent="0.4">
      <c r="AH4763" s="87"/>
    </row>
    <row r="4764" spans="34:34" ht="15" thickBot="1" x14ac:dyDescent="0.4">
      <c r="AH4764" s="87"/>
    </row>
    <row r="4765" spans="34:34" ht="15" thickBot="1" x14ac:dyDescent="0.4">
      <c r="AH4765" s="87"/>
    </row>
    <row r="4766" spans="34:34" ht="15" thickBot="1" x14ac:dyDescent="0.4">
      <c r="AH4766" s="87"/>
    </row>
    <row r="4767" spans="34:34" ht="15" thickBot="1" x14ac:dyDescent="0.4">
      <c r="AH4767" s="87"/>
    </row>
    <row r="4768" spans="34:34" ht="15" thickBot="1" x14ac:dyDescent="0.4">
      <c r="AH4768" s="87"/>
    </row>
    <row r="4769" spans="34:34" ht="15" thickBot="1" x14ac:dyDescent="0.4">
      <c r="AH4769" s="87"/>
    </row>
    <row r="4770" spans="34:34" ht="15" thickBot="1" x14ac:dyDescent="0.4">
      <c r="AH4770" s="87"/>
    </row>
    <row r="4771" spans="34:34" ht="15" thickBot="1" x14ac:dyDescent="0.4">
      <c r="AH4771" s="87"/>
    </row>
    <row r="4772" spans="34:34" ht="15" thickBot="1" x14ac:dyDescent="0.4">
      <c r="AH4772" s="87"/>
    </row>
    <row r="4773" spans="34:34" ht="15" thickBot="1" x14ac:dyDescent="0.4">
      <c r="AH4773" s="87"/>
    </row>
    <row r="4774" spans="34:34" ht="15" thickBot="1" x14ac:dyDescent="0.4">
      <c r="AH4774" s="87"/>
    </row>
    <row r="4775" spans="34:34" ht="15" thickBot="1" x14ac:dyDescent="0.4">
      <c r="AH4775" s="87"/>
    </row>
    <row r="4776" spans="34:34" ht="15" thickBot="1" x14ac:dyDescent="0.4">
      <c r="AH4776" s="87"/>
    </row>
    <row r="4777" spans="34:34" ht="15" thickBot="1" x14ac:dyDescent="0.4">
      <c r="AH4777" s="87"/>
    </row>
    <row r="4778" spans="34:34" ht="15" thickBot="1" x14ac:dyDescent="0.4">
      <c r="AH4778" s="87"/>
    </row>
    <row r="4779" spans="34:34" ht="15" thickBot="1" x14ac:dyDescent="0.4">
      <c r="AH4779" s="87"/>
    </row>
    <row r="4780" spans="34:34" ht="15" thickBot="1" x14ac:dyDescent="0.4">
      <c r="AH4780" s="87"/>
    </row>
    <row r="4781" spans="34:34" ht="15" thickBot="1" x14ac:dyDescent="0.4">
      <c r="AH4781" s="87"/>
    </row>
    <row r="4782" spans="34:34" ht="15" thickBot="1" x14ac:dyDescent="0.4">
      <c r="AH4782" s="87"/>
    </row>
    <row r="4783" spans="34:34" ht="15" thickBot="1" x14ac:dyDescent="0.4">
      <c r="AH4783" s="87"/>
    </row>
    <row r="4784" spans="34:34" ht="15" thickBot="1" x14ac:dyDescent="0.4">
      <c r="AH4784" s="87"/>
    </row>
    <row r="4785" spans="34:34" ht="15" thickBot="1" x14ac:dyDescent="0.4">
      <c r="AH4785" s="87"/>
    </row>
    <row r="4786" spans="34:34" ht="15" thickBot="1" x14ac:dyDescent="0.4">
      <c r="AH4786" s="87"/>
    </row>
    <row r="4787" spans="34:34" ht="15" thickBot="1" x14ac:dyDescent="0.4">
      <c r="AH4787" s="87"/>
    </row>
    <row r="4788" spans="34:34" ht="15" thickBot="1" x14ac:dyDescent="0.4">
      <c r="AH4788" s="87"/>
    </row>
    <row r="4789" spans="34:34" ht="15" thickBot="1" x14ac:dyDescent="0.4">
      <c r="AH4789" s="87"/>
    </row>
    <row r="4790" spans="34:34" ht="15" thickBot="1" x14ac:dyDescent="0.4">
      <c r="AH4790" s="87"/>
    </row>
    <row r="4791" spans="34:34" ht="15" thickBot="1" x14ac:dyDescent="0.4">
      <c r="AH4791" s="87"/>
    </row>
    <row r="4792" spans="34:34" ht="15" thickBot="1" x14ac:dyDescent="0.4">
      <c r="AH4792" s="87"/>
    </row>
    <row r="4793" spans="34:34" ht="15" thickBot="1" x14ac:dyDescent="0.4">
      <c r="AH4793" s="87"/>
    </row>
    <row r="4794" spans="34:34" ht="15" thickBot="1" x14ac:dyDescent="0.4">
      <c r="AH4794" s="87"/>
    </row>
    <row r="4795" spans="34:34" ht="15" thickBot="1" x14ac:dyDescent="0.4">
      <c r="AH4795" s="87"/>
    </row>
    <row r="4796" spans="34:34" ht="15" thickBot="1" x14ac:dyDescent="0.4">
      <c r="AH4796" s="87"/>
    </row>
    <row r="4797" spans="34:34" ht="15" thickBot="1" x14ac:dyDescent="0.4">
      <c r="AH4797" s="87"/>
    </row>
    <row r="4798" spans="34:34" ht="15" thickBot="1" x14ac:dyDescent="0.4">
      <c r="AH4798" s="87"/>
    </row>
    <row r="4799" spans="34:34" ht="15" thickBot="1" x14ac:dyDescent="0.4">
      <c r="AH4799" s="87"/>
    </row>
    <row r="4800" spans="34:34" ht="15" thickBot="1" x14ac:dyDescent="0.4">
      <c r="AH4800" s="87"/>
    </row>
    <row r="4801" spans="34:34" ht="15" thickBot="1" x14ac:dyDescent="0.4">
      <c r="AH4801" s="87"/>
    </row>
    <row r="4802" spans="34:34" ht="15" thickBot="1" x14ac:dyDescent="0.4">
      <c r="AH4802" s="87"/>
    </row>
    <row r="4803" spans="34:34" ht="15" thickBot="1" x14ac:dyDescent="0.4">
      <c r="AH4803" s="87"/>
    </row>
    <row r="4804" spans="34:34" ht="15" thickBot="1" x14ac:dyDescent="0.4">
      <c r="AH4804" s="87"/>
    </row>
    <row r="4805" spans="34:34" ht="15" thickBot="1" x14ac:dyDescent="0.4">
      <c r="AH4805" s="87"/>
    </row>
    <row r="4806" spans="34:34" ht="15" thickBot="1" x14ac:dyDescent="0.4">
      <c r="AH4806" s="87"/>
    </row>
    <row r="4807" spans="34:34" ht="15" thickBot="1" x14ac:dyDescent="0.4">
      <c r="AH4807" s="87"/>
    </row>
    <row r="4808" spans="34:34" ht="15" thickBot="1" x14ac:dyDescent="0.4">
      <c r="AH4808" s="87"/>
    </row>
    <row r="4809" spans="34:34" ht="15" thickBot="1" x14ac:dyDescent="0.4">
      <c r="AH4809" s="87"/>
    </row>
    <row r="4810" spans="34:34" ht="15" thickBot="1" x14ac:dyDescent="0.4">
      <c r="AH4810" s="87"/>
    </row>
    <row r="4811" spans="34:34" ht="15" thickBot="1" x14ac:dyDescent="0.4">
      <c r="AH4811" s="87"/>
    </row>
    <row r="4812" spans="34:34" ht="15" thickBot="1" x14ac:dyDescent="0.4">
      <c r="AH4812" s="87"/>
    </row>
    <row r="4813" spans="34:34" ht="15" thickBot="1" x14ac:dyDescent="0.4">
      <c r="AH4813" s="87"/>
    </row>
    <row r="4814" spans="34:34" ht="15" thickBot="1" x14ac:dyDescent="0.4">
      <c r="AH4814" s="87"/>
    </row>
    <row r="4815" spans="34:34" ht="15" thickBot="1" x14ac:dyDescent="0.4">
      <c r="AH4815" s="87"/>
    </row>
    <row r="4816" spans="34:34" ht="15" thickBot="1" x14ac:dyDescent="0.4">
      <c r="AH4816" s="87"/>
    </row>
    <row r="4817" spans="34:34" ht="15" thickBot="1" x14ac:dyDescent="0.4">
      <c r="AH4817" s="87"/>
    </row>
    <row r="4818" spans="34:34" ht="15" thickBot="1" x14ac:dyDescent="0.4">
      <c r="AH4818" s="87"/>
    </row>
    <row r="4819" spans="34:34" ht="15" thickBot="1" x14ac:dyDescent="0.4">
      <c r="AH4819" s="87"/>
    </row>
    <row r="4820" spans="34:34" ht="15" thickBot="1" x14ac:dyDescent="0.4">
      <c r="AH4820" s="87"/>
    </row>
    <row r="4821" spans="34:34" ht="15" thickBot="1" x14ac:dyDescent="0.4">
      <c r="AH4821" s="87"/>
    </row>
    <row r="4822" spans="34:34" ht="15" thickBot="1" x14ac:dyDescent="0.4">
      <c r="AH4822" s="87"/>
    </row>
    <row r="4823" spans="34:34" ht="15" thickBot="1" x14ac:dyDescent="0.4">
      <c r="AH4823" s="87"/>
    </row>
    <row r="4824" spans="34:34" ht="15" thickBot="1" x14ac:dyDescent="0.4">
      <c r="AH4824" s="87"/>
    </row>
    <row r="4825" spans="34:34" ht="15" thickBot="1" x14ac:dyDescent="0.4">
      <c r="AH4825" s="87"/>
    </row>
    <row r="4826" spans="34:34" ht="15" thickBot="1" x14ac:dyDescent="0.4">
      <c r="AH4826" s="87"/>
    </row>
    <row r="4827" spans="34:34" ht="15" thickBot="1" x14ac:dyDescent="0.4">
      <c r="AH4827" s="87"/>
    </row>
    <row r="4828" spans="34:34" ht="15" thickBot="1" x14ac:dyDescent="0.4">
      <c r="AH4828" s="87"/>
    </row>
    <row r="4829" spans="34:34" ht="15" thickBot="1" x14ac:dyDescent="0.4">
      <c r="AH4829" s="87"/>
    </row>
    <row r="4830" spans="34:34" ht="15" thickBot="1" x14ac:dyDescent="0.4">
      <c r="AH4830" s="87"/>
    </row>
    <row r="4831" spans="34:34" ht="15" thickBot="1" x14ac:dyDescent="0.4">
      <c r="AH4831" s="87"/>
    </row>
    <row r="4832" spans="34:34" ht="15" thickBot="1" x14ac:dyDescent="0.4">
      <c r="AH4832" s="87"/>
    </row>
    <row r="4833" spans="34:34" ht="15" thickBot="1" x14ac:dyDescent="0.4">
      <c r="AH4833" s="87"/>
    </row>
    <row r="4834" spans="34:34" ht="15" thickBot="1" x14ac:dyDescent="0.4">
      <c r="AH4834" s="87"/>
    </row>
    <row r="4835" spans="34:34" ht="15" thickBot="1" x14ac:dyDescent="0.4">
      <c r="AH4835" s="87"/>
    </row>
    <row r="4836" spans="34:34" ht="15" thickBot="1" x14ac:dyDescent="0.4">
      <c r="AH4836" s="87"/>
    </row>
    <row r="4837" spans="34:34" ht="15" thickBot="1" x14ac:dyDescent="0.4">
      <c r="AH4837" s="87"/>
    </row>
    <row r="4838" spans="34:34" ht="15" thickBot="1" x14ac:dyDescent="0.4">
      <c r="AH4838" s="87"/>
    </row>
    <row r="4839" spans="34:34" ht="15" thickBot="1" x14ac:dyDescent="0.4">
      <c r="AH4839" s="87"/>
    </row>
    <row r="4840" spans="34:34" ht="15" thickBot="1" x14ac:dyDescent="0.4">
      <c r="AH4840" s="87"/>
    </row>
    <row r="4841" spans="34:34" ht="15" thickBot="1" x14ac:dyDescent="0.4">
      <c r="AH4841" s="87"/>
    </row>
    <row r="4842" spans="34:34" ht="15" thickBot="1" x14ac:dyDescent="0.4">
      <c r="AH4842" s="87"/>
    </row>
    <row r="4843" spans="34:34" ht="15" thickBot="1" x14ac:dyDescent="0.4">
      <c r="AH4843" s="87"/>
    </row>
    <row r="4844" spans="34:34" ht="15" thickBot="1" x14ac:dyDescent="0.4">
      <c r="AH4844" s="87"/>
    </row>
    <row r="4845" spans="34:34" ht="15" thickBot="1" x14ac:dyDescent="0.4">
      <c r="AH4845" s="87"/>
    </row>
    <row r="4846" spans="34:34" ht="15" thickBot="1" x14ac:dyDescent="0.4">
      <c r="AH4846" s="87"/>
    </row>
    <row r="4847" spans="34:34" ht="15" thickBot="1" x14ac:dyDescent="0.4">
      <c r="AH4847" s="87"/>
    </row>
    <row r="4848" spans="34:34" ht="15" thickBot="1" x14ac:dyDescent="0.4">
      <c r="AH4848" s="87"/>
    </row>
    <row r="4849" spans="34:34" ht="15" thickBot="1" x14ac:dyDescent="0.4">
      <c r="AH4849" s="87"/>
    </row>
    <row r="4850" spans="34:34" ht="15" thickBot="1" x14ac:dyDescent="0.4">
      <c r="AH4850" s="87"/>
    </row>
    <row r="4851" spans="34:34" ht="15" thickBot="1" x14ac:dyDescent="0.4">
      <c r="AH4851" s="87"/>
    </row>
    <row r="4852" spans="34:34" ht="15" thickBot="1" x14ac:dyDescent="0.4">
      <c r="AH4852" s="87"/>
    </row>
    <row r="4853" spans="34:34" ht="15" thickBot="1" x14ac:dyDescent="0.4">
      <c r="AH4853" s="87"/>
    </row>
    <row r="4854" spans="34:34" ht="15" thickBot="1" x14ac:dyDescent="0.4">
      <c r="AH4854" s="87"/>
    </row>
    <row r="4855" spans="34:34" ht="15" thickBot="1" x14ac:dyDescent="0.4">
      <c r="AH4855" s="87"/>
    </row>
    <row r="4856" spans="34:34" ht="15" thickBot="1" x14ac:dyDescent="0.4">
      <c r="AH4856" s="87"/>
    </row>
    <row r="4857" spans="34:34" ht="15" thickBot="1" x14ac:dyDescent="0.4">
      <c r="AH4857" s="87"/>
    </row>
    <row r="4858" spans="34:34" ht="15" thickBot="1" x14ac:dyDescent="0.4">
      <c r="AH4858" s="87"/>
    </row>
    <row r="4859" spans="34:34" ht="15" thickBot="1" x14ac:dyDescent="0.4">
      <c r="AH4859" s="87"/>
    </row>
    <row r="4860" spans="34:34" ht="15" thickBot="1" x14ac:dyDescent="0.4">
      <c r="AH4860" s="87"/>
    </row>
    <row r="4861" spans="34:34" ht="15" thickBot="1" x14ac:dyDescent="0.4">
      <c r="AH4861" s="87"/>
    </row>
    <row r="4862" spans="34:34" ht="15" thickBot="1" x14ac:dyDescent="0.4">
      <c r="AH4862" s="87"/>
    </row>
    <row r="4863" spans="34:34" ht="15" thickBot="1" x14ac:dyDescent="0.4">
      <c r="AH4863" s="87"/>
    </row>
    <row r="4864" spans="34:34" ht="15" thickBot="1" x14ac:dyDescent="0.4">
      <c r="AH4864" s="87"/>
    </row>
    <row r="4865" spans="34:34" ht="15" thickBot="1" x14ac:dyDescent="0.4">
      <c r="AH4865" s="87"/>
    </row>
    <row r="4866" spans="34:34" ht="15" thickBot="1" x14ac:dyDescent="0.4">
      <c r="AH4866" s="87"/>
    </row>
    <row r="4867" spans="34:34" ht="15" thickBot="1" x14ac:dyDescent="0.4">
      <c r="AH4867" s="87"/>
    </row>
    <row r="4868" spans="34:34" ht="15" thickBot="1" x14ac:dyDescent="0.4">
      <c r="AH4868" s="87"/>
    </row>
    <row r="4869" spans="34:34" ht="15" thickBot="1" x14ac:dyDescent="0.4">
      <c r="AH4869" s="87"/>
    </row>
    <row r="4870" spans="34:34" ht="15" thickBot="1" x14ac:dyDescent="0.4">
      <c r="AH4870" s="87"/>
    </row>
    <row r="4871" spans="34:34" ht="15" thickBot="1" x14ac:dyDescent="0.4">
      <c r="AH4871" s="87"/>
    </row>
    <row r="4872" spans="34:34" ht="15" thickBot="1" x14ac:dyDescent="0.4">
      <c r="AH4872" s="87"/>
    </row>
    <row r="4873" spans="34:34" ht="15" thickBot="1" x14ac:dyDescent="0.4">
      <c r="AH4873" s="87"/>
    </row>
    <row r="4874" spans="34:34" ht="15" thickBot="1" x14ac:dyDescent="0.4">
      <c r="AH4874" s="87"/>
    </row>
    <row r="4875" spans="34:34" ht="15" thickBot="1" x14ac:dyDescent="0.4">
      <c r="AH4875" s="87"/>
    </row>
    <row r="4876" spans="34:34" ht="15" thickBot="1" x14ac:dyDescent="0.4">
      <c r="AH4876" s="87"/>
    </row>
    <row r="4877" spans="34:34" ht="15" thickBot="1" x14ac:dyDescent="0.4">
      <c r="AH4877" s="87"/>
    </row>
    <row r="4878" spans="34:34" ht="15" thickBot="1" x14ac:dyDescent="0.4">
      <c r="AH4878" s="87"/>
    </row>
    <row r="4879" spans="34:34" ht="15" thickBot="1" x14ac:dyDescent="0.4">
      <c r="AH4879" s="87"/>
    </row>
    <row r="4880" spans="34:34" ht="15" thickBot="1" x14ac:dyDescent="0.4">
      <c r="AH4880" s="87"/>
    </row>
    <row r="4881" spans="34:34" ht="15" thickBot="1" x14ac:dyDescent="0.4">
      <c r="AH4881" s="87"/>
    </row>
    <row r="4882" spans="34:34" ht="15" thickBot="1" x14ac:dyDescent="0.4">
      <c r="AH4882" s="87"/>
    </row>
    <row r="4883" spans="34:34" ht="15" thickBot="1" x14ac:dyDescent="0.4">
      <c r="AH4883" s="87"/>
    </row>
    <row r="4884" spans="34:34" ht="15" thickBot="1" x14ac:dyDescent="0.4">
      <c r="AH4884" s="87"/>
    </row>
    <row r="4885" spans="34:34" ht="15" thickBot="1" x14ac:dyDescent="0.4">
      <c r="AH4885" s="87"/>
    </row>
    <row r="4886" spans="34:34" ht="15" thickBot="1" x14ac:dyDescent="0.4">
      <c r="AH4886" s="87"/>
    </row>
    <row r="4887" spans="34:34" ht="15" thickBot="1" x14ac:dyDescent="0.4">
      <c r="AH4887" s="87"/>
    </row>
    <row r="4888" spans="34:34" ht="15" thickBot="1" x14ac:dyDescent="0.4">
      <c r="AH4888" s="87"/>
    </row>
    <row r="4889" spans="34:34" ht="15" thickBot="1" x14ac:dyDescent="0.4">
      <c r="AH4889" s="87"/>
    </row>
    <row r="4890" spans="34:34" ht="15" thickBot="1" x14ac:dyDescent="0.4">
      <c r="AH4890" s="87"/>
    </row>
    <row r="4891" spans="34:34" ht="15" thickBot="1" x14ac:dyDescent="0.4">
      <c r="AH4891" s="87"/>
    </row>
    <row r="4892" spans="34:34" ht="15" thickBot="1" x14ac:dyDescent="0.4">
      <c r="AH4892" s="87"/>
    </row>
    <row r="4893" spans="34:34" ht="15" thickBot="1" x14ac:dyDescent="0.4">
      <c r="AH4893" s="87"/>
    </row>
    <row r="4894" spans="34:34" ht="15" thickBot="1" x14ac:dyDescent="0.4">
      <c r="AH4894" s="87"/>
    </row>
    <row r="4895" spans="34:34" ht="15" thickBot="1" x14ac:dyDescent="0.4">
      <c r="AH4895" s="87"/>
    </row>
    <row r="4896" spans="34:34" ht="15" thickBot="1" x14ac:dyDescent="0.4">
      <c r="AH4896" s="87"/>
    </row>
    <row r="4897" spans="34:34" ht="15" thickBot="1" x14ac:dyDescent="0.4">
      <c r="AH4897" s="87"/>
    </row>
    <row r="4898" spans="34:34" ht="15" thickBot="1" x14ac:dyDescent="0.4">
      <c r="AH4898" s="87"/>
    </row>
    <row r="4899" spans="34:34" ht="15" thickBot="1" x14ac:dyDescent="0.4">
      <c r="AH4899" s="87"/>
    </row>
    <row r="4900" spans="34:34" ht="15" thickBot="1" x14ac:dyDescent="0.4">
      <c r="AH4900" s="87"/>
    </row>
    <row r="4901" spans="34:34" ht="15" thickBot="1" x14ac:dyDescent="0.4">
      <c r="AH4901" s="87"/>
    </row>
    <row r="4902" spans="34:34" ht="15" thickBot="1" x14ac:dyDescent="0.4">
      <c r="AH4902" s="87"/>
    </row>
    <row r="4903" spans="34:34" ht="15" thickBot="1" x14ac:dyDescent="0.4">
      <c r="AH4903" s="87"/>
    </row>
    <row r="4904" spans="34:34" ht="15" thickBot="1" x14ac:dyDescent="0.4">
      <c r="AH4904" s="87"/>
    </row>
    <row r="4905" spans="34:34" ht="15" thickBot="1" x14ac:dyDescent="0.4">
      <c r="AH4905" s="87"/>
    </row>
    <row r="4906" spans="34:34" ht="15" thickBot="1" x14ac:dyDescent="0.4">
      <c r="AH4906" s="87"/>
    </row>
    <row r="4907" spans="34:34" ht="15" thickBot="1" x14ac:dyDescent="0.4">
      <c r="AH4907" s="87"/>
    </row>
    <row r="4908" spans="34:34" ht="15" thickBot="1" x14ac:dyDescent="0.4">
      <c r="AH4908" s="87"/>
    </row>
    <row r="4909" spans="34:34" ht="15" thickBot="1" x14ac:dyDescent="0.4">
      <c r="AH4909" s="87"/>
    </row>
    <row r="4910" spans="34:34" ht="15" thickBot="1" x14ac:dyDescent="0.4">
      <c r="AH4910" s="87"/>
    </row>
    <row r="4911" spans="34:34" ht="15" thickBot="1" x14ac:dyDescent="0.4">
      <c r="AH4911" s="87"/>
    </row>
    <row r="4912" spans="34:34" ht="15" thickBot="1" x14ac:dyDescent="0.4">
      <c r="AH4912" s="87"/>
    </row>
    <row r="4913" spans="34:34" ht="15" thickBot="1" x14ac:dyDescent="0.4">
      <c r="AH4913" s="87"/>
    </row>
    <row r="4914" spans="34:34" ht="15" thickBot="1" x14ac:dyDescent="0.4">
      <c r="AH4914" s="87"/>
    </row>
    <row r="4915" spans="34:34" ht="15" thickBot="1" x14ac:dyDescent="0.4">
      <c r="AH4915" s="87"/>
    </row>
    <row r="4916" spans="34:34" ht="15" thickBot="1" x14ac:dyDescent="0.4">
      <c r="AH4916" s="87"/>
    </row>
    <row r="4917" spans="34:34" ht="15" thickBot="1" x14ac:dyDescent="0.4">
      <c r="AH4917" s="87"/>
    </row>
    <row r="4918" spans="34:34" ht="15" thickBot="1" x14ac:dyDescent="0.4">
      <c r="AH4918" s="87"/>
    </row>
    <row r="4919" spans="34:34" ht="15" thickBot="1" x14ac:dyDescent="0.4">
      <c r="AH4919" s="87"/>
    </row>
    <row r="4920" spans="34:34" ht="15" thickBot="1" x14ac:dyDescent="0.4">
      <c r="AH4920" s="87"/>
    </row>
    <row r="4921" spans="34:34" ht="15" thickBot="1" x14ac:dyDescent="0.4">
      <c r="AH4921" s="87"/>
    </row>
    <row r="4922" spans="34:34" ht="15" thickBot="1" x14ac:dyDescent="0.4">
      <c r="AH4922" s="87"/>
    </row>
    <row r="4923" spans="34:34" ht="15" thickBot="1" x14ac:dyDescent="0.4">
      <c r="AH4923" s="87"/>
    </row>
    <row r="4924" spans="34:34" ht="15" thickBot="1" x14ac:dyDescent="0.4">
      <c r="AH4924" s="87"/>
    </row>
    <row r="4925" spans="34:34" ht="15" thickBot="1" x14ac:dyDescent="0.4">
      <c r="AH4925" s="87"/>
    </row>
    <row r="4926" spans="34:34" ht="15" thickBot="1" x14ac:dyDescent="0.4">
      <c r="AH4926" s="87"/>
    </row>
    <row r="4927" spans="34:34" ht="15" thickBot="1" x14ac:dyDescent="0.4">
      <c r="AH4927" s="87"/>
    </row>
    <row r="4928" spans="34:34" ht="15" thickBot="1" x14ac:dyDescent="0.4">
      <c r="AH4928" s="87"/>
    </row>
    <row r="4929" spans="34:34" ht="15" thickBot="1" x14ac:dyDescent="0.4">
      <c r="AH4929" s="87"/>
    </row>
    <row r="4930" spans="34:34" ht="15" thickBot="1" x14ac:dyDescent="0.4">
      <c r="AH4930" s="87"/>
    </row>
    <row r="4931" spans="34:34" ht="15" thickBot="1" x14ac:dyDescent="0.4">
      <c r="AH4931" s="87"/>
    </row>
    <row r="4932" spans="34:34" ht="15" thickBot="1" x14ac:dyDescent="0.4">
      <c r="AH4932" s="87"/>
    </row>
    <row r="4933" spans="34:34" ht="15" thickBot="1" x14ac:dyDescent="0.4">
      <c r="AH4933" s="87"/>
    </row>
    <row r="4934" spans="34:34" ht="15" thickBot="1" x14ac:dyDescent="0.4">
      <c r="AH4934" s="87"/>
    </row>
    <row r="4935" spans="34:34" ht="15" thickBot="1" x14ac:dyDescent="0.4">
      <c r="AH4935" s="87"/>
    </row>
    <row r="4936" spans="34:34" ht="15" thickBot="1" x14ac:dyDescent="0.4">
      <c r="AH4936" s="87"/>
    </row>
    <row r="4937" spans="34:34" ht="15" thickBot="1" x14ac:dyDescent="0.4">
      <c r="AH4937" s="87"/>
    </row>
    <row r="4938" spans="34:34" ht="15" thickBot="1" x14ac:dyDescent="0.4">
      <c r="AH4938" s="87"/>
    </row>
    <row r="4939" spans="34:34" ht="15" thickBot="1" x14ac:dyDescent="0.4">
      <c r="AH4939" s="87"/>
    </row>
    <row r="4940" spans="34:34" ht="15" thickBot="1" x14ac:dyDescent="0.4">
      <c r="AH4940" s="87"/>
    </row>
    <row r="4941" spans="34:34" ht="15" thickBot="1" x14ac:dyDescent="0.4">
      <c r="AH4941" s="87"/>
    </row>
    <row r="4942" spans="34:34" ht="15" thickBot="1" x14ac:dyDescent="0.4">
      <c r="AH4942" s="87"/>
    </row>
    <row r="4943" spans="34:34" ht="15" thickBot="1" x14ac:dyDescent="0.4">
      <c r="AH4943" s="87"/>
    </row>
    <row r="4944" spans="34:34" ht="15" thickBot="1" x14ac:dyDescent="0.4">
      <c r="AH4944" s="87"/>
    </row>
    <row r="4945" spans="34:34" ht="15" thickBot="1" x14ac:dyDescent="0.4">
      <c r="AH4945" s="87"/>
    </row>
    <row r="4946" spans="34:34" ht="15" thickBot="1" x14ac:dyDescent="0.4">
      <c r="AH4946" s="87"/>
    </row>
    <row r="4947" spans="34:34" ht="15" thickBot="1" x14ac:dyDescent="0.4">
      <c r="AH4947" s="87"/>
    </row>
    <row r="4948" spans="34:34" ht="15" thickBot="1" x14ac:dyDescent="0.4">
      <c r="AH4948" s="87"/>
    </row>
    <row r="4949" spans="34:34" ht="15" thickBot="1" x14ac:dyDescent="0.4">
      <c r="AH4949" s="87"/>
    </row>
    <row r="4950" spans="34:34" ht="15" thickBot="1" x14ac:dyDescent="0.4">
      <c r="AH4950" s="87"/>
    </row>
    <row r="4951" spans="34:34" ht="15" thickBot="1" x14ac:dyDescent="0.4">
      <c r="AH4951" s="87"/>
    </row>
    <row r="4952" spans="34:34" ht="15" thickBot="1" x14ac:dyDescent="0.4">
      <c r="AH4952" s="87"/>
    </row>
    <row r="4953" spans="34:34" ht="15" thickBot="1" x14ac:dyDescent="0.4">
      <c r="AH4953" s="87"/>
    </row>
    <row r="4954" spans="34:34" ht="15" thickBot="1" x14ac:dyDescent="0.4">
      <c r="AH4954" s="87"/>
    </row>
    <row r="4955" spans="34:34" ht="15" thickBot="1" x14ac:dyDescent="0.4">
      <c r="AH4955" s="87"/>
    </row>
    <row r="4956" spans="34:34" ht="15" thickBot="1" x14ac:dyDescent="0.4">
      <c r="AH4956" s="87"/>
    </row>
    <row r="4957" spans="34:34" ht="15" thickBot="1" x14ac:dyDescent="0.4">
      <c r="AH4957" s="87"/>
    </row>
    <row r="4958" spans="34:34" ht="15" thickBot="1" x14ac:dyDescent="0.4">
      <c r="AH4958" s="87"/>
    </row>
    <row r="4959" spans="34:34" ht="15" thickBot="1" x14ac:dyDescent="0.4">
      <c r="AH4959" s="87"/>
    </row>
    <row r="4960" spans="34:34" ht="15" thickBot="1" x14ac:dyDescent="0.4">
      <c r="AH4960" s="87"/>
    </row>
    <row r="4961" spans="34:34" ht="15" thickBot="1" x14ac:dyDescent="0.4">
      <c r="AH4961" s="87"/>
    </row>
    <row r="4962" spans="34:34" ht="15" thickBot="1" x14ac:dyDescent="0.4">
      <c r="AH4962" s="87"/>
    </row>
    <row r="4963" spans="34:34" ht="15" thickBot="1" x14ac:dyDescent="0.4">
      <c r="AH4963" s="87"/>
    </row>
    <row r="4964" spans="34:34" ht="15" thickBot="1" x14ac:dyDescent="0.4">
      <c r="AH4964" s="87"/>
    </row>
    <row r="4965" spans="34:34" ht="15" thickBot="1" x14ac:dyDescent="0.4">
      <c r="AH4965" s="87"/>
    </row>
    <row r="4966" spans="34:34" ht="15" thickBot="1" x14ac:dyDescent="0.4">
      <c r="AH4966" s="87"/>
    </row>
    <row r="4967" spans="34:34" ht="15" thickBot="1" x14ac:dyDescent="0.4">
      <c r="AH4967" s="87"/>
    </row>
    <row r="4968" spans="34:34" ht="15" thickBot="1" x14ac:dyDescent="0.4">
      <c r="AH4968" s="87"/>
    </row>
    <row r="4969" spans="34:34" ht="15" thickBot="1" x14ac:dyDescent="0.4">
      <c r="AH4969" s="87"/>
    </row>
    <row r="4970" spans="34:34" ht="15" thickBot="1" x14ac:dyDescent="0.4">
      <c r="AH4970" s="87"/>
    </row>
    <row r="4971" spans="34:34" ht="15" thickBot="1" x14ac:dyDescent="0.4">
      <c r="AH4971" s="87"/>
    </row>
    <row r="4972" spans="34:34" ht="15" thickBot="1" x14ac:dyDescent="0.4">
      <c r="AH4972" s="87"/>
    </row>
    <row r="4973" spans="34:34" ht="15" thickBot="1" x14ac:dyDescent="0.4">
      <c r="AH4973" s="87"/>
    </row>
    <row r="4974" spans="34:34" ht="15" thickBot="1" x14ac:dyDescent="0.4">
      <c r="AH4974" s="87"/>
    </row>
    <row r="4975" spans="34:34" ht="15" thickBot="1" x14ac:dyDescent="0.4">
      <c r="AH4975" s="87"/>
    </row>
    <row r="4976" spans="34:34" ht="15" thickBot="1" x14ac:dyDescent="0.4">
      <c r="AH4976" s="87"/>
    </row>
    <row r="4977" spans="34:34" ht="15" thickBot="1" x14ac:dyDescent="0.4">
      <c r="AH4977" s="87"/>
    </row>
    <row r="4978" spans="34:34" ht="15" thickBot="1" x14ac:dyDescent="0.4">
      <c r="AH4978" s="87"/>
    </row>
    <row r="4979" spans="34:34" ht="15" thickBot="1" x14ac:dyDescent="0.4">
      <c r="AH4979" s="87"/>
    </row>
    <row r="4980" spans="34:34" ht="15" thickBot="1" x14ac:dyDescent="0.4">
      <c r="AH4980" s="87"/>
    </row>
    <row r="4981" spans="34:34" ht="15" thickBot="1" x14ac:dyDescent="0.4">
      <c r="AH4981" s="87"/>
    </row>
    <row r="4982" spans="34:34" ht="15" thickBot="1" x14ac:dyDescent="0.4">
      <c r="AH4982" s="87"/>
    </row>
    <row r="4983" spans="34:34" ht="15" thickBot="1" x14ac:dyDescent="0.4">
      <c r="AH4983" s="87"/>
    </row>
    <row r="4984" spans="34:34" ht="15" thickBot="1" x14ac:dyDescent="0.4">
      <c r="AH4984" s="87"/>
    </row>
    <row r="4985" spans="34:34" ht="15" thickBot="1" x14ac:dyDescent="0.4">
      <c r="AH4985" s="87"/>
    </row>
    <row r="4986" spans="34:34" ht="15" thickBot="1" x14ac:dyDescent="0.4">
      <c r="AH4986" s="87"/>
    </row>
    <row r="4987" spans="34:34" ht="15" thickBot="1" x14ac:dyDescent="0.4">
      <c r="AH4987" s="87"/>
    </row>
    <row r="4988" spans="34:34" ht="15" thickBot="1" x14ac:dyDescent="0.4">
      <c r="AH4988" s="87"/>
    </row>
    <row r="4989" spans="34:34" ht="15" thickBot="1" x14ac:dyDescent="0.4">
      <c r="AH4989" s="87"/>
    </row>
    <row r="4990" spans="34:34" ht="15" thickBot="1" x14ac:dyDescent="0.4">
      <c r="AH4990" s="87"/>
    </row>
    <row r="4991" spans="34:34" ht="15" thickBot="1" x14ac:dyDescent="0.4">
      <c r="AH4991" s="87"/>
    </row>
    <row r="4992" spans="34:34" ht="15" thickBot="1" x14ac:dyDescent="0.4">
      <c r="AH4992" s="87"/>
    </row>
    <row r="4993" spans="34:34" ht="15" thickBot="1" x14ac:dyDescent="0.4">
      <c r="AH4993" s="87"/>
    </row>
    <row r="4994" spans="34:34" ht="15" thickBot="1" x14ac:dyDescent="0.4">
      <c r="AH4994" s="87"/>
    </row>
    <row r="4995" spans="34:34" ht="15" thickBot="1" x14ac:dyDescent="0.4">
      <c r="AH4995" s="87"/>
    </row>
    <row r="4996" spans="34:34" ht="15" thickBot="1" x14ac:dyDescent="0.4">
      <c r="AH4996" s="87"/>
    </row>
    <row r="4997" spans="34:34" ht="15" thickBot="1" x14ac:dyDescent="0.4">
      <c r="AH4997" s="87"/>
    </row>
    <row r="4998" spans="34:34" ht="15" thickBot="1" x14ac:dyDescent="0.4">
      <c r="AH4998" s="87"/>
    </row>
    <row r="4999" spans="34:34" ht="15" thickBot="1" x14ac:dyDescent="0.4">
      <c r="AH4999" s="87"/>
    </row>
    <row r="5000" spans="34:34" ht="15" thickBot="1" x14ac:dyDescent="0.4">
      <c r="AH5000" s="87"/>
    </row>
    <row r="5001" spans="34:34" ht="15" thickBot="1" x14ac:dyDescent="0.4">
      <c r="AH5001" s="87"/>
    </row>
    <row r="5002" spans="34:34" ht="15" thickBot="1" x14ac:dyDescent="0.4">
      <c r="AH5002" s="87"/>
    </row>
    <row r="5003" spans="34:34" ht="15" thickBot="1" x14ac:dyDescent="0.4">
      <c r="AH5003" s="87"/>
    </row>
    <row r="5004" spans="34:34" ht="15" thickBot="1" x14ac:dyDescent="0.4">
      <c r="AH5004" s="87"/>
    </row>
    <row r="5005" spans="34:34" ht="15" thickBot="1" x14ac:dyDescent="0.4">
      <c r="AH5005" s="87"/>
    </row>
    <row r="5006" spans="34:34" ht="15" thickBot="1" x14ac:dyDescent="0.4">
      <c r="AH5006" s="87"/>
    </row>
    <row r="5007" spans="34:34" ht="15" thickBot="1" x14ac:dyDescent="0.4">
      <c r="AH5007" s="87"/>
    </row>
    <row r="5008" spans="34:34" ht="15" thickBot="1" x14ac:dyDescent="0.4">
      <c r="AH5008" s="87"/>
    </row>
    <row r="5009" spans="34:34" ht="15" thickBot="1" x14ac:dyDescent="0.4">
      <c r="AH5009" s="87"/>
    </row>
    <row r="5010" spans="34:34" ht="15" thickBot="1" x14ac:dyDescent="0.4">
      <c r="AH5010" s="87"/>
    </row>
    <row r="5011" spans="34:34" ht="15" thickBot="1" x14ac:dyDescent="0.4">
      <c r="AH5011" s="87"/>
    </row>
    <row r="5012" spans="34:34" ht="15" thickBot="1" x14ac:dyDescent="0.4">
      <c r="AH5012" s="87"/>
    </row>
    <row r="5013" spans="34:34" ht="15" thickBot="1" x14ac:dyDescent="0.4">
      <c r="AH5013" s="87"/>
    </row>
    <row r="5014" spans="34:34" ht="15" thickBot="1" x14ac:dyDescent="0.4">
      <c r="AH5014" s="87"/>
    </row>
    <row r="5015" spans="34:34" ht="15" thickBot="1" x14ac:dyDescent="0.4">
      <c r="AH5015" s="87"/>
    </row>
    <row r="5016" spans="34:34" ht="15" thickBot="1" x14ac:dyDescent="0.4">
      <c r="AH5016" s="87"/>
    </row>
    <row r="5017" spans="34:34" ht="15" thickBot="1" x14ac:dyDescent="0.4">
      <c r="AH5017" s="87"/>
    </row>
    <row r="5018" spans="34:34" ht="15" thickBot="1" x14ac:dyDescent="0.4">
      <c r="AH5018" s="87"/>
    </row>
    <row r="5019" spans="34:34" ht="15" thickBot="1" x14ac:dyDescent="0.4">
      <c r="AH5019" s="87"/>
    </row>
    <row r="5020" spans="34:34" ht="15" thickBot="1" x14ac:dyDescent="0.4">
      <c r="AH5020" s="87"/>
    </row>
    <row r="5021" spans="34:34" ht="15" thickBot="1" x14ac:dyDescent="0.4">
      <c r="AH5021" s="87"/>
    </row>
    <row r="5022" spans="34:34" ht="15" thickBot="1" x14ac:dyDescent="0.4">
      <c r="AH5022" s="87"/>
    </row>
    <row r="5023" spans="34:34" ht="15" thickBot="1" x14ac:dyDescent="0.4">
      <c r="AH5023" s="87"/>
    </row>
    <row r="5024" spans="34:34" ht="15" thickBot="1" x14ac:dyDescent="0.4">
      <c r="AH5024" s="87"/>
    </row>
    <row r="5025" spans="34:34" ht="15" thickBot="1" x14ac:dyDescent="0.4">
      <c r="AH5025" s="87"/>
    </row>
    <row r="5026" spans="34:34" ht="15" thickBot="1" x14ac:dyDescent="0.4">
      <c r="AH5026" s="87"/>
    </row>
    <row r="5027" spans="34:34" ht="15" thickBot="1" x14ac:dyDescent="0.4">
      <c r="AH5027" s="87"/>
    </row>
    <row r="5028" spans="34:34" ht="15" thickBot="1" x14ac:dyDescent="0.4">
      <c r="AH5028" s="87"/>
    </row>
    <row r="5029" spans="34:34" ht="15" thickBot="1" x14ac:dyDescent="0.4">
      <c r="AH5029" s="87"/>
    </row>
    <row r="5030" spans="34:34" ht="15" thickBot="1" x14ac:dyDescent="0.4">
      <c r="AH5030" s="87"/>
    </row>
    <row r="5031" spans="34:34" ht="15" thickBot="1" x14ac:dyDescent="0.4">
      <c r="AH5031" s="87"/>
    </row>
    <row r="5032" spans="34:34" ht="15" thickBot="1" x14ac:dyDescent="0.4">
      <c r="AH5032" s="87"/>
    </row>
    <row r="5033" spans="34:34" ht="15" thickBot="1" x14ac:dyDescent="0.4">
      <c r="AH5033" s="87"/>
    </row>
    <row r="5034" spans="34:34" ht="15" thickBot="1" x14ac:dyDescent="0.4">
      <c r="AH5034" s="87"/>
    </row>
    <row r="5035" spans="34:34" ht="15" thickBot="1" x14ac:dyDescent="0.4">
      <c r="AH5035" s="87"/>
    </row>
    <row r="5036" spans="34:34" ht="15" thickBot="1" x14ac:dyDescent="0.4">
      <c r="AH5036" s="87"/>
    </row>
    <row r="5037" spans="34:34" ht="15" thickBot="1" x14ac:dyDescent="0.4">
      <c r="AH5037" s="87"/>
    </row>
    <row r="5038" spans="34:34" ht="15" thickBot="1" x14ac:dyDescent="0.4">
      <c r="AH5038" s="87"/>
    </row>
    <row r="5039" spans="34:34" ht="15" thickBot="1" x14ac:dyDescent="0.4">
      <c r="AH5039" s="87"/>
    </row>
    <row r="5040" spans="34:34" ht="15" thickBot="1" x14ac:dyDescent="0.4">
      <c r="AH5040" s="87"/>
    </row>
    <row r="5041" spans="34:34" ht="15" thickBot="1" x14ac:dyDescent="0.4">
      <c r="AH5041" s="87"/>
    </row>
    <row r="5042" spans="34:34" ht="15" thickBot="1" x14ac:dyDescent="0.4">
      <c r="AH5042" s="87"/>
    </row>
    <row r="5043" spans="34:34" ht="15" thickBot="1" x14ac:dyDescent="0.4">
      <c r="AH5043" s="87"/>
    </row>
    <row r="5044" spans="34:34" ht="15" thickBot="1" x14ac:dyDescent="0.4">
      <c r="AH5044" s="87"/>
    </row>
    <row r="5045" spans="34:34" ht="15" thickBot="1" x14ac:dyDescent="0.4">
      <c r="AH5045" s="87"/>
    </row>
    <row r="5046" spans="34:34" ht="15" thickBot="1" x14ac:dyDescent="0.4">
      <c r="AH5046" s="87"/>
    </row>
    <row r="5047" spans="34:34" ht="15" thickBot="1" x14ac:dyDescent="0.4">
      <c r="AH5047" s="87"/>
    </row>
    <row r="5048" spans="34:34" ht="15" thickBot="1" x14ac:dyDescent="0.4">
      <c r="AH5048" s="87"/>
    </row>
    <row r="5049" spans="34:34" ht="15" thickBot="1" x14ac:dyDescent="0.4">
      <c r="AH5049" s="87"/>
    </row>
    <row r="5050" spans="34:34" ht="15" thickBot="1" x14ac:dyDescent="0.4">
      <c r="AH5050" s="87"/>
    </row>
    <row r="5051" spans="34:34" ht="15" thickBot="1" x14ac:dyDescent="0.4">
      <c r="AH5051" s="87"/>
    </row>
    <row r="5052" spans="34:34" ht="15" thickBot="1" x14ac:dyDescent="0.4">
      <c r="AH5052" s="87"/>
    </row>
    <row r="5053" spans="34:34" ht="15" thickBot="1" x14ac:dyDescent="0.4">
      <c r="AH5053" s="87"/>
    </row>
    <row r="5054" spans="34:34" ht="15" thickBot="1" x14ac:dyDescent="0.4">
      <c r="AH5054" s="87"/>
    </row>
    <row r="5055" spans="34:34" ht="15" thickBot="1" x14ac:dyDescent="0.4">
      <c r="AH5055" s="87"/>
    </row>
    <row r="5056" spans="34:34" ht="15" thickBot="1" x14ac:dyDescent="0.4">
      <c r="AH5056" s="87"/>
    </row>
    <row r="5057" spans="34:34" ht="15" thickBot="1" x14ac:dyDescent="0.4">
      <c r="AH5057" s="87"/>
    </row>
    <row r="5058" spans="34:34" ht="15" thickBot="1" x14ac:dyDescent="0.4">
      <c r="AH5058" s="87"/>
    </row>
    <row r="5059" spans="34:34" ht="15" thickBot="1" x14ac:dyDescent="0.4">
      <c r="AH5059" s="87"/>
    </row>
    <row r="5060" spans="34:34" ht="15" thickBot="1" x14ac:dyDescent="0.4">
      <c r="AH5060" s="87"/>
    </row>
    <row r="5061" spans="34:34" ht="15" thickBot="1" x14ac:dyDescent="0.4">
      <c r="AH5061" s="87"/>
    </row>
    <row r="5062" spans="34:34" ht="15" thickBot="1" x14ac:dyDescent="0.4">
      <c r="AH5062" s="87"/>
    </row>
    <row r="5063" spans="34:34" ht="15" thickBot="1" x14ac:dyDescent="0.4">
      <c r="AH5063" s="87"/>
    </row>
    <row r="5064" spans="34:34" ht="15" thickBot="1" x14ac:dyDescent="0.4">
      <c r="AH5064" s="87"/>
    </row>
    <row r="5065" spans="34:34" ht="15" thickBot="1" x14ac:dyDescent="0.4">
      <c r="AH5065" s="87"/>
    </row>
    <row r="5066" spans="34:34" ht="15" thickBot="1" x14ac:dyDescent="0.4">
      <c r="AH5066" s="87"/>
    </row>
    <row r="5067" spans="34:34" ht="15" thickBot="1" x14ac:dyDescent="0.4">
      <c r="AH5067" s="87"/>
    </row>
    <row r="5068" spans="34:34" ht="15" thickBot="1" x14ac:dyDescent="0.4">
      <c r="AH5068" s="87"/>
    </row>
    <row r="5069" spans="34:34" ht="15" thickBot="1" x14ac:dyDescent="0.4">
      <c r="AH5069" s="87"/>
    </row>
    <row r="5070" spans="34:34" ht="15" thickBot="1" x14ac:dyDescent="0.4">
      <c r="AH5070" s="87"/>
    </row>
    <row r="5071" spans="34:34" ht="15" thickBot="1" x14ac:dyDescent="0.4">
      <c r="AH5071" s="87"/>
    </row>
    <row r="5072" spans="34:34" ht="15" thickBot="1" x14ac:dyDescent="0.4">
      <c r="AH5072" s="87"/>
    </row>
    <row r="5073" spans="34:34" ht="15" thickBot="1" x14ac:dyDescent="0.4">
      <c r="AH5073" s="87"/>
    </row>
    <row r="5074" spans="34:34" ht="15" thickBot="1" x14ac:dyDescent="0.4">
      <c r="AH5074" s="87"/>
    </row>
    <row r="5075" spans="34:34" ht="15" thickBot="1" x14ac:dyDescent="0.4">
      <c r="AH5075" s="87"/>
    </row>
    <row r="5076" spans="34:34" ht="15" thickBot="1" x14ac:dyDescent="0.4">
      <c r="AH5076" s="87"/>
    </row>
    <row r="5077" spans="34:34" ht="15" thickBot="1" x14ac:dyDescent="0.4">
      <c r="AH5077" s="87"/>
    </row>
    <row r="5078" spans="34:34" ht="15" thickBot="1" x14ac:dyDescent="0.4">
      <c r="AH5078" s="87"/>
    </row>
    <row r="5079" spans="34:34" ht="15" thickBot="1" x14ac:dyDescent="0.4">
      <c r="AH5079" s="87"/>
    </row>
    <row r="5080" spans="34:34" ht="15" thickBot="1" x14ac:dyDescent="0.4">
      <c r="AH5080" s="87"/>
    </row>
    <row r="5081" spans="34:34" ht="15" thickBot="1" x14ac:dyDescent="0.4">
      <c r="AH5081" s="87"/>
    </row>
    <row r="5082" spans="34:34" ht="15" thickBot="1" x14ac:dyDescent="0.4">
      <c r="AH5082" s="87"/>
    </row>
    <row r="5083" spans="34:34" ht="15" thickBot="1" x14ac:dyDescent="0.4">
      <c r="AH5083" s="87"/>
    </row>
    <row r="5084" spans="34:34" ht="15" thickBot="1" x14ac:dyDescent="0.4">
      <c r="AH5084" s="87"/>
    </row>
    <row r="5085" spans="34:34" ht="15" thickBot="1" x14ac:dyDescent="0.4">
      <c r="AH5085" s="87"/>
    </row>
    <row r="5086" spans="34:34" ht="15" thickBot="1" x14ac:dyDescent="0.4">
      <c r="AH5086" s="87"/>
    </row>
    <row r="5087" spans="34:34" ht="15" thickBot="1" x14ac:dyDescent="0.4">
      <c r="AH5087" s="87"/>
    </row>
    <row r="5088" spans="34:34" ht="15" thickBot="1" x14ac:dyDescent="0.4">
      <c r="AH5088" s="87"/>
    </row>
    <row r="5089" spans="34:34" ht="15" thickBot="1" x14ac:dyDescent="0.4">
      <c r="AH5089" s="87"/>
    </row>
    <row r="5090" spans="34:34" ht="15" thickBot="1" x14ac:dyDescent="0.4">
      <c r="AH5090" s="87"/>
    </row>
    <row r="5091" spans="34:34" ht="15" thickBot="1" x14ac:dyDescent="0.4">
      <c r="AH5091" s="87"/>
    </row>
    <row r="5092" spans="34:34" ht="15" thickBot="1" x14ac:dyDescent="0.4">
      <c r="AH5092" s="87"/>
    </row>
    <row r="5093" spans="34:34" ht="15" thickBot="1" x14ac:dyDescent="0.4">
      <c r="AH5093" s="87"/>
    </row>
    <row r="5094" spans="34:34" ht="15" thickBot="1" x14ac:dyDescent="0.4">
      <c r="AH5094" s="87"/>
    </row>
    <row r="5095" spans="34:34" ht="15" thickBot="1" x14ac:dyDescent="0.4">
      <c r="AH5095" s="87"/>
    </row>
    <row r="5096" spans="34:34" ht="15" thickBot="1" x14ac:dyDescent="0.4">
      <c r="AH5096" s="87"/>
    </row>
    <row r="5097" spans="34:34" ht="15" thickBot="1" x14ac:dyDescent="0.4">
      <c r="AH5097" s="87"/>
    </row>
    <row r="5098" spans="34:34" ht="15" thickBot="1" x14ac:dyDescent="0.4">
      <c r="AH5098" s="87"/>
    </row>
    <row r="5099" spans="34:34" ht="15" thickBot="1" x14ac:dyDescent="0.4">
      <c r="AH5099" s="87"/>
    </row>
    <row r="5100" spans="34:34" ht="15" thickBot="1" x14ac:dyDescent="0.4">
      <c r="AH5100" s="87"/>
    </row>
    <row r="5101" spans="34:34" ht="15" thickBot="1" x14ac:dyDescent="0.4">
      <c r="AH5101" s="87"/>
    </row>
    <row r="5102" spans="34:34" ht="15" thickBot="1" x14ac:dyDescent="0.4">
      <c r="AH5102" s="87"/>
    </row>
    <row r="5103" spans="34:34" ht="15" thickBot="1" x14ac:dyDescent="0.4">
      <c r="AH5103" s="87"/>
    </row>
    <row r="5104" spans="34:34" ht="15" thickBot="1" x14ac:dyDescent="0.4">
      <c r="AH5104" s="87"/>
    </row>
    <row r="5105" spans="34:34" ht="15" thickBot="1" x14ac:dyDescent="0.4">
      <c r="AH5105" s="87"/>
    </row>
    <row r="5106" spans="34:34" ht="15" thickBot="1" x14ac:dyDescent="0.4">
      <c r="AH5106" s="87"/>
    </row>
    <row r="5107" spans="34:34" ht="15" thickBot="1" x14ac:dyDescent="0.4">
      <c r="AH5107" s="87"/>
    </row>
    <row r="5108" spans="34:34" ht="15" thickBot="1" x14ac:dyDescent="0.4">
      <c r="AH5108" s="87"/>
    </row>
    <row r="5109" spans="34:34" ht="15" thickBot="1" x14ac:dyDescent="0.4">
      <c r="AH5109" s="87"/>
    </row>
    <row r="5110" spans="34:34" ht="15" thickBot="1" x14ac:dyDescent="0.4">
      <c r="AH5110" s="87"/>
    </row>
    <row r="5111" spans="34:34" ht="15" thickBot="1" x14ac:dyDescent="0.4">
      <c r="AH5111" s="87"/>
    </row>
    <row r="5112" spans="34:34" ht="15" thickBot="1" x14ac:dyDescent="0.4">
      <c r="AH5112" s="87"/>
    </row>
    <row r="5113" spans="34:34" ht="15" thickBot="1" x14ac:dyDescent="0.4">
      <c r="AH5113" s="87"/>
    </row>
    <row r="5114" spans="34:34" ht="15" thickBot="1" x14ac:dyDescent="0.4">
      <c r="AH5114" s="87"/>
    </row>
    <row r="5115" spans="34:34" ht="15" thickBot="1" x14ac:dyDescent="0.4">
      <c r="AH5115" s="87"/>
    </row>
    <row r="5116" spans="34:34" ht="15" thickBot="1" x14ac:dyDescent="0.4">
      <c r="AH5116" s="87"/>
    </row>
    <row r="5117" spans="34:34" ht="15" thickBot="1" x14ac:dyDescent="0.4">
      <c r="AH5117" s="87"/>
    </row>
    <row r="5118" spans="34:34" ht="15" thickBot="1" x14ac:dyDescent="0.4">
      <c r="AH5118" s="87"/>
    </row>
    <row r="5119" spans="34:34" ht="15" thickBot="1" x14ac:dyDescent="0.4">
      <c r="AH5119" s="87"/>
    </row>
    <row r="5120" spans="34:34" ht="15" thickBot="1" x14ac:dyDescent="0.4">
      <c r="AH5120" s="87"/>
    </row>
    <row r="5121" spans="34:34" ht="15" thickBot="1" x14ac:dyDescent="0.4">
      <c r="AH5121" s="87"/>
    </row>
    <row r="5122" spans="34:34" ht="15" thickBot="1" x14ac:dyDescent="0.4">
      <c r="AH5122" s="87"/>
    </row>
    <row r="5123" spans="34:34" ht="15" thickBot="1" x14ac:dyDescent="0.4">
      <c r="AH5123" s="87"/>
    </row>
    <row r="5124" spans="34:34" ht="15" thickBot="1" x14ac:dyDescent="0.4">
      <c r="AH5124" s="87"/>
    </row>
    <row r="5125" spans="34:34" ht="15" thickBot="1" x14ac:dyDescent="0.4">
      <c r="AH5125" s="87"/>
    </row>
    <row r="5126" spans="34:34" ht="15" thickBot="1" x14ac:dyDescent="0.4">
      <c r="AH5126" s="87"/>
    </row>
    <row r="5127" spans="34:34" ht="15" thickBot="1" x14ac:dyDescent="0.4">
      <c r="AH5127" s="87"/>
    </row>
    <row r="5128" spans="34:34" ht="15" thickBot="1" x14ac:dyDescent="0.4">
      <c r="AH5128" s="87"/>
    </row>
    <row r="5129" spans="34:34" ht="15" thickBot="1" x14ac:dyDescent="0.4">
      <c r="AH5129" s="87"/>
    </row>
    <row r="5130" spans="34:34" ht="15" thickBot="1" x14ac:dyDescent="0.4">
      <c r="AH5130" s="87"/>
    </row>
    <row r="5131" spans="34:34" ht="15" thickBot="1" x14ac:dyDescent="0.4">
      <c r="AH5131" s="87"/>
    </row>
    <row r="5132" spans="34:34" ht="15" thickBot="1" x14ac:dyDescent="0.4">
      <c r="AH5132" s="87"/>
    </row>
    <row r="5133" spans="34:34" ht="15" thickBot="1" x14ac:dyDescent="0.4">
      <c r="AH5133" s="87"/>
    </row>
    <row r="5134" spans="34:34" ht="15" thickBot="1" x14ac:dyDescent="0.4">
      <c r="AH5134" s="87"/>
    </row>
    <row r="5135" spans="34:34" ht="15" thickBot="1" x14ac:dyDescent="0.4">
      <c r="AH5135" s="87"/>
    </row>
    <row r="5136" spans="34:34" ht="15" thickBot="1" x14ac:dyDescent="0.4">
      <c r="AH5136" s="87"/>
    </row>
    <row r="5137" spans="34:34" ht="15" thickBot="1" x14ac:dyDescent="0.4">
      <c r="AH5137" s="87"/>
    </row>
    <row r="5138" spans="34:34" ht="15" thickBot="1" x14ac:dyDescent="0.4">
      <c r="AH5138" s="87"/>
    </row>
    <row r="5139" spans="34:34" ht="15" thickBot="1" x14ac:dyDescent="0.4">
      <c r="AH5139" s="87"/>
    </row>
    <row r="5140" spans="34:34" ht="15" thickBot="1" x14ac:dyDescent="0.4">
      <c r="AH5140" s="87"/>
    </row>
    <row r="5141" spans="34:34" ht="15" thickBot="1" x14ac:dyDescent="0.4">
      <c r="AH5141" s="87"/>
    </row>
    <row r="5142" spans="34:34" ht="15" thickBot="1" x14ac:dyDescent="0.4">
      <c r="AH5142" s="87"/>
    </row>
    <row r="5143" spans="34:34" ht="15" thickBot="1" x14ac:dyDescent="0.4">
      <c r="AH5143" s="87"/>
    </row>
    <row r="5144" spans="34:34" ht="15" thickBot="1" x14ac:dyDescent="0.4">
      <c r="AH5144" s="87"/>
    </row>
    <row r="5145" spans="34:34" ht="15" thickBot="1" x14ac:dyDescent="0.4">
      <c r="AH5145" s="87"/>
    </row>
    <row r="5146" spans="34:34" ht="15" thickBot="1" x14ac:dyDescent="0.4">
      <c r="AH5146" s="87"/>
    </row>
    <row r="5147" spans="34:34" ht="15" thickBot="1" x14ac:dyDescent="0.4">
      <c r="AH5147" s="87"/>
    </row>
    <row r="5148" spans="34:34" ht="15" thickBot="1" x14ac:dyDescent="0.4">
      <c r="AH5148" s="87"/>
    </row>
    <row r="5149" spans="34:34" ht="15" thickBot="1" x14ac:dyDescent="0.4">
      <c r="AH5149" s="87"/>
    </row>
    <row r="5150" spans="34:34" ht="15" thickBot="1" x14ac:dyDescent="0.4">
      <c r="AH5150" s="87"/>
    </row>
    <row r="5151" spans="34:34" ht="15" thickBot="1" x14ac:dyDescent="0.4">
      <c r="AH5151" s="87"/>
    </row>
    <row r="5152" spans="34:34" ht="15" thickBot="1" x14ac:dyDescent="0.4">
      <c r="AH5152" s="87"/>
    </row>
    <row r="5153" spans="34:34" ht="15" thickBot="1" x14ac:dyDescent="0.4">
      <c r="AH5153" s="87"/>
    </row>
    <row r="5154" spans="34:34" ht="15" thickBot="1" x14ac:dyDescent="0.4">
      <c r="AH5154" s="87"/>
    </row>
    <row r="5155" spans="34:34" ht="15" thickBot="1" x14ac:dyDescent="0.4">
      <c r="AH5155" s="87"/>
    </row>
    <row r="5156" spans="34:34" ht="15" thickBot="1" x14ac:dyDescent="0.4">
      <c r="AH5156" s="87"/>
    </row>
    <row r="5157" spans="34:34" ht="15" thickBot="1" x14ac:dyDescent="0.4">
      <c r="AH5157" s="87"/>
    </row>
    <row r="5158" spans="34:34" ht="15" thickBot="1" x14ac:dyDescent="0.4">
      <c r="AH5158" s="87"/>
    </row>
    <row r="5159" spans="34:34" ht="15" thickBot="1" x14ac:dyDescent="0.4">
      <c r="AH5159" s="87"/>
    </row>
    <row r="5160" spans="34:34" ht="15" thickBot="1" x14ac:dyDescent="0.4">
      <c r="AH5160" s="87"/>
    </row>
    <row r="5161" spans="34:34" ht="15" thickBot="1" x14ac:dyDescent="0.4">
      <c r="AH5161" s="87"/>
    </row>
    <row r="5162" spans="34:34" ht="15" thickBot="1" x14ac:dyDescent="0.4">
      <c r="AH5162" s="87"/>
    </row>
    <row r="5163" spans="34:34" ht="15" thickBot="1" x14ac:dyDescent="0.4">
      <c r="AH5163" s="87"/>
    </row>
    <row r="5164" spans="34:34" ht="15" thickBot="1" x14ac:dyDescent="0.4">
      <c r="AH5164" s="87"/>
    </row>
    <row r="5165" spans="34:34" ht="15" thickBot="1" x14ac:dyDescent="0.4">
      <c r="AH5165" s="87"/>
    </row>
    <row r="5166" spans="34:34" ht="15" thickBot="1" x14ac:dyDescent="0.4">
      <c r="AH5166" s="87"/>
    </row>
    <row r="5167" spans="34:34" ht="15" thickBot="1" x14ac:dyDescent="0.4">
      <c r="AH5167" s="87"/>
    </row>
    <row r="5168" spans="34:34" ht="15" thickBot="1" x14ac:dyDescent="0.4">
      <c r="AH5168" s="87"/>
    </row>
    <row r="5169" spans="34:34" ht="15" thickBot="1" x14ac:dyDescent="0.4">
      <c r="AH5169" s="87"/>
    </row>
    <row r="5170" spans="34:34" ht="15" thickBot="1" x14ac:dyDescent="0.4">
      <c r="AH5170" s="87"/>
    </row>
    <row r="5171" spans="34:34" ht="15" thickBot="1" x14ac:dyDescent="0.4">
      <c r="AH5171" s="87"/>
    </row>
    <row r="5172" spans="34:34" ht="15" thickBot="1" x14ac:dyDescent="0.4">
      <c r="AH5172" s="87"/>
    </row>
    <row r="5173" spans="34:34" ht="15" thickBot="1" x14ac:dyDescent="0.4">
      <c r="AH5173" s="87"/>
    </row>
    <row r="5174" spans="34:34" ht="15" thickBot="1" x14ac:dyDescent="0.4">
      <c r="AH5174" s="87"/>
    </row>
    <row r="5175" spans="34:34" ht="15" thickBot="1" x14ac:dyDescent="0.4">
      <c r="AH5175" s="87"/>
    </row>
    <row r="5176" spans="34:34" ht="15" thickBot="1" x14ac:dyDescent="0.4">
      <c r="AH5176" s="87"/>
    </row>
    <row r="5177" spans="34:34" ht="15" thickBot="1" x14ac:dyDescent="0.4">
      <c r="AH5177" s="87"/>
    </row>
    <row r="5178" spans="34:34" ht="15" thickBot="1" x14ac:dyDescent="0.4">
      <c r="AH5178" s="87"/>
    </row>
    <row r="5179" spans="34:34" ht="15" thickBot="1" x14ac:dyDescent="0.4">
      <c r="AH5179" s="87"/>
    </row>
    <row r="5180" spans="34:34" ht="15" thickBot="1" x14ac:dyDescent="0.4">
      <c r="AH5180" s="87"/>
    </row>
    <row r="5181" spans="34:34" ht="15" thickBot="1" x14ac:dyDescent="0.4">
      <c r="AH5181" s="87"/>
    </row>
    <row r="5182" spans="34:34" ht="15" thickBot="1" x14ac:dyDescent="0.4">
      <c r="AH5182" s="87"/>
    </row>
    <row r="5183" spans="34:34" ht="15" thickBot="1" x14ac:dyDescent="0.4">
      <c r="AH5183" s="87"/>
    </row>
    <row r="5184" spans="34:34" ht="15" thickBot="1" x14ac:dyDescent="0.4">
      <c r="AH5184" s="87"/>
    </row>
    <row r="5185" spans="34:34" ht="15" thickBot="1" x14ac:dyDescent="0.4">
      <c r="AH5185" s="87"/>
    </row>
    <row r="5186" spans="34:34" ht="15" thickBot="1" x14ac:dyDescent="0.4">
      <c r="AH5186" s="87"/>
    </row>
    <row r="5187" spans="34:34" ht="15" thickBot="1" x14ac:dyDescent="0.4">
      <c r="AH5187" s="87"/>
    </row>
    <row r="5188" spans="34:34" ht="15" thickBot="1" x14ac:dyDescent="0.4">
      <c r="AH5188" s="87"/>
    </row>
    <row r="5189" spans="34:34" ht="15" thickBot="1" x14ac:dyDescent="0.4">
      <c r="AH5189" s="87"/>
    </row>
    <row r="5190" spans="34:34" ht="15" thickBot="1" x14ac:dyDescent="0.4">
      <c r="AH5190" s="87"/>
    </row>
    <row r="5191" spans="34:34" ht="15" thickBot="1" x14ac:dyDescent="0.4">
      <c r="AH5191" s="87"/>
    </row>
    <row r="5192" spans="34:34" ht="15" thickBot="1" x14ac:dyDescent="0.4">
      <c r="AH5192" s="87"/>
    </row>
    <row r="5193" spans="34:34" ht="15" thickBot="1" x14ac:dyDescent="0.4">
      <c r="AH5193" s="87"/>
    </row>
    <row r="5194" spans="34:34" ht="15" thickBot="1" x14ac:dyDescent="0.4">
      <c r="AH5194" s="87"/>
    </row>
    <row r="5195" spans="34:34" ht="15" thickBot="1" x14ac:dyDescent="0.4">
      <c r="AH5195" s="87"/>
    </row>
    <row r="5196" spans="34:34" ht="15" thickBot="1" x14ac:dyDescent="0.4">
      <c r="AH5196" s="87"/>
    </row>
    <row r="5197" spans="34:34" ht="15" thickBot="1" x14ac:dyDescent="0.4">
      <c r="AH5197" s="87"/>
    </row>
    <row r="5198" spans="34:34" ht="15" thickBot="1" x14ac:dyDescent="0.4">
      <c r="AH5198" s="87"/>
    </row>
    <row r="5199" spans="34:34" ht="15" thickBot="1" x14ac:dyDescent="0.4">
      <c r="AH5199" s="87"/>
    </row>
    <row r="5200" spans="34:34" ht="15" thickBot="1" x14ac:dyDescent="0.4">
      <c r="AH5200" s="87"/>
    </row>
    <row r="5201" spans="34:34" ht="15" thickBot="1" x14ac:dyDescent="0.4">
      <c r="AH5201" s="87"/>
    </row>
    <row r="5202" spans="34:34" ht="15" thickBot="1" x14ac:dyDescent="0.4">
      <c r="AH5202" s="87"/>
    </row>
    <row r="5203" spans="34:34" ht="15" thickBot="1" x14ac:dyDescent="0.4">
      <c r="AH5203" s="87"/>
    </row>
    <row r="5204" spans="34:34" ht="15" thickBot="1" x14ac:dyDescent="0.4">
      <c r="AH5204" s="87"/>
    </row>
    <row r="5205" spans="34:34" ht="15" thickBot="1" x14ac:dyDescent="0.4">
      <c r="AH5205" s="87"/>
    </row>
    <row r="5206" spans="34:34" ht="15" thickBot="1" x14ac:dyDescent="0.4">
      <c r="AH5206" s="87"/>
    </row>
    <row r="5207" spans="34:34" ht="15" thickBot="1" x14ac:dyDescent="0.4">
      <c r="AH5207" s="87"/>
    </row>
    <row r="5208" spans="34:34" ht="15" thickBot="1" x14ac:dyDescent="0.4">
      <c r="AH5208" s="87"/>
    </row>
    <row r="5209" spans="34:34" ht="15" thickBot="1" x14ac:dyDescent="0.4">
      <c r="AH5209" s="87"/>
    </row>
    <row r="5210" spans="34:34" ht="15" thickBot="1" x14ac:dyDescent="0.4">
      <c r="AH5210" s="87"/>
    </row>
    <row r="5211" spans="34:34" ht="15" thickBot="1" x14ac:dyDescent="0.4">
      <c r="AH5211" s="87"/>
    </row>
    <row r="5212" spans="34:34" ht="15" thickBot="1" x14ac:dyDescent="0.4">
      <c r="AH5212" s="87"/>
    </row>
    <row r="5213" spans="34:34" ht="15" thickBot="1" x14ac:dyDescent="0.4">
      <c r="AH5213" s="87"/>
    </row>
    <row r="5214" spans="34:34" ht="15" thickBot="1" x14ac:dyDescent="0.4">
      <c r="AH5214" s="87"/>
    </row>
    <row r="5215" spans="34:34" ht="15" thickBot="1" x14ac:dyDescent="0.4">
      <c r="AH5215" s="87"/>
    </row>
    <row r="5216" spans="34:34" ht="15" thickBot="1" x14ac:dyDescent="0.4">
      <c r="AH5216" s="87"/>
    </row>
    <row r="5217" spans="34:34" ht="15" thickBot="1" x14ac:dyDescent="0.4">
      <c r="AH5217" s="87"/>
    </row>
    <row r="5218" spans="34:34" ht="15" thickBot="1" x14ac:dyDescent="0.4">
      <c r="AH5218" s="87"/>
    </row>
    <row r="5219" spans="34:34" ht="15" thickBot="1" x14ac:dyDescent="0.4">
      <c r="AH5219" s="87"/>
    </row>
    <row r="5220" spans="34:34" ht="15" thickBot="1" x14ac:dyDescent="0.4">
      <c r="AH5220" s="87"/>
    </row>
    <row r="5221" spans="34:34" ht="15" thickBot="1" x14ac:dyDescent="0.4">
      <c r="AH5221" s="87"/>
    </row>
    <row r="5222" spans="34:34" ht="15" thickBot="1" x14ac:dyDescent="0.4">
      <c r="AH5222" s="87"/>
    </row>
    <row r="5223" spans="34:34" ht="15" thickBot="1" x14ac:dyDescent="0.4">
      <c r="AH5223" s="87"/>
    </row>
    <row r="5224" spans="34:34" ht="15" thickBot="1" x14ac:dyDescent="0.4">
      <c r="AH5224" s="87"/>
    </row>
    <row r="5225" spans="34:34" ht="15" thickBot="1" x14ac:dyDescent="0.4">
      <c r="AH5225" s="87"/>
    </row>
    <row r="5226" spans="34:34" ht="15" thickBot="1" x14ac:dyDescent="0.4">
      <c r="AH5226" s="87"/>
    </row>
    <row r="5227" spans="34:34" ht="15" thickBot="1" x14ac:dyDescent="0.4">
      <c r="AH5227" s="87"/>
    </row>
    <row r="5228" spans="34:34" ht="15" thickBot="1" x14ac:dyDescent="0.4">
      <c r="AH5228" s="87"/>
    </row>
    <row r="5229" spans="34:34" ht="15" thickBot="1" x14ac:dyDescent="0.4">
      <c r="AH5229" s="87"/>
    </row>
    <row r="5230" spans="34:34" ht="15" thickBot="1" x14ac:dyDescent="0.4">
      <c r="AH5230" s="87"/>
    </row>
    <row r="5231" spans="34:34" ht="15" thickBot="1" x14ac:dyDescent="0.4">
      <c r="AH5231" s="87"/>
    </row>
    <row r="5232" spans="34:34" ht="15" thickBot="1" x14ac:dyDescent="0.4">
      <c r="AH5232" s="87"/>
    </row>
    <row r="5233" spans="34:34" ht="15" thickBot="1" x14ac:dyDescent="0.4">
      <c r="AH5233" s="87"/>
    </row>
    <row r="5234" spans="34:34" ht="15" thickBot="1" x14ac:dyDescent="0.4">
      <c r="AH5234" s="87"/>
    </row>
    <row r="5235" spans="34:34" ht="15" thickBot="1" x14ac:dyDescent="0.4">
      <c r="AH5235" s="87"/>
    </row>
    <row r="5236" spans="34:34" ht="15" thickBot="1" x14ac:dyDescent="0.4">
      <c r="AH5236" s="87"/>
    </row>
    <row r="5237" spans="34:34" ht="15" thickBot="1" x14ac:dyDescent="0.4">
      <c r="AH5237" s="87"/>
    </row>
    <row r="5238" spans="34:34" ht="15" thickBot="1" x14ac:dyDescent="0.4">
      <c r="AH5238" s="87"/>
    </row>
    <row r="5239" spans="34:34" ht="15" thickBot="1" x14ac:dyDescent="0.4">
      <c r="AH5239" s="87"/>
    </row>
    <row r="5240" spans="34:34" ht="15" thickBot="1" x14ac:dyDescent="0.4">
      <c r="AH5240" s="87"/>
    </row>
    <row r="5241" spans="34:34" ht="15" thickBot="1" x14ac:dyDescent="0.4">
      <c r="AH5241" s="87"/>
    </row>
    <row r="5242" spans="34:34" ht="15" thickBot="1" x14ac:dyDescent="0.4">
      <c r="AH5242" s="87"/>
    </row>
    <row r="5243" spans="34:34" ht="15" thickBot="1" x14ac:dyDescent="0.4">
      <c r="AH5243" s="87"/>
    </row>
    <row r="5244" spans="34:34" ht="15" thickBot="1" x14ac:dyDescent="0.4">
      <c r="AH5244" s="87"/>
    </row>
    <row r="5245" spans="34:34" ht="15" thickBot="1" x14ac:dyDescent="0.4">
      <c r="AH5245" s="87"/>
    </row>
    <row r="5246" spans="34:34" ht="15" thickBot="1" x14ac:dyDescent="0.4">
      <c r="AH5246" s="87"/>
    </row>
    <row r="5247" spans="34:34" ht="15" thickBot="1" x14ac:dyDescent="0.4">
      <c r="AH5247" s="87"/>
    </row>
    <row r="5248" spans="34:34" ht="15" thickBot="1" x14ac:dyDescent="0.4">
      <c r="AH5248" s="87"/>
    </row>
    <row r="5249" spans="34:34" ht="15" thickBot="1" x14ac:dyDescent="0.4">
      <c r="AH5249" s="87"/>
    </row>
    <row r="5250" spans="34:34" ht="15" thickBot="1" x14ac:dyDescent="0.4">
      <c r="AH5250" s="87"/>
    </row>
    <row r="5251" spans="34:34" ht="15" thickBot="1" x14ac:dyDescent="0.4">
      <c r="AH5251" s="87"/>
    </row>
    <row r="5252" spans="34:34" ht="15" thickBot="1" x14ac:dyDescent="0.4">
      <c r="AH5252" s="87"/>
    </row>
    <row r="5253" spans="34:34" ht="15" thickBot="1" x14ac:dyDescent="0.4">
      <c r="AH5253" s="87"/>
    </row>
    <row r="5254" spans="34:34" ht="15" thickBot="1" x14ac:dyDescent="0.4">
      <c r="AH5254" s="87"/>
    </row>
    <row r="5255" spans="34:34" ht="15" thickBot="1" x14ac:dyDescent="0.4">
      <c r="AH5255" s="87"/>
    </row>
    <row r="5256" spans="34:34" ht="15" thickBot="1" x14ac:dyDescent="0.4">
      <c r="AH5256" s="87"/>
    </row>
    <row r="5257" spans="34:34" ht="15" thickBot="1" x14ac:dyDescent="0.4">
      <c r="AH5257" s="87"/>
    </row>
    <row r="5258" spans="34:34" ht="15" thickBot="1" x14ac:dyDescent="0.4">
      <c r="AH5258" s="87"/>
    </row>
    <row r="5259" spans="34:34" ht="15" thickBot="1" x14ac:dyDescent="0.4">
      <c r="AH5259" s="87"/>
    </row>
    <row r="5260" spans="34:34" ht="15" thickBot="1" x14ac:dyDescent="0.4">
      <c r="AH5260" s="87"/>
    </row>
    <row r="5261" spans="34:34" ht="15" thickBot="1" x14ac:dyDescent="0.4">
      <c r="AH5261" s="87"/>
    </row>
    <row r="5262" spans="34:34" ht="15" thickBot="1" x14ac:dyDescent="0.4">
      <c r="AH5262" s="87"/>
    </row>
    <row r="5263" spans="34:34" ht="15" thickBot="1" x14ac:dyDescent="0.4">
      <c r="AH5263" s="87"/>
    </row>
    <row r="5264" spans="34:34" ht="15" thickBot="1" x14ac:dyDescent="0.4">
      <c r="AH5264" s="87"/>
    </row>
    <row r="5265" spans="34:34" ht="15" thickBot="1" x14ac:dyDescent="0.4">
      <c r="AH5265" s="87"/>
    </row>
    <row r="5266" spans="34:34" ht="15" thickBot="1" x14ac:dyDescent="0.4">
      <c r="AH5266" s="87"/>
    </row>
    <row r="5267" spans="34:34" ht="15" thickBot="1" x14ac:dyDescent="0.4">
      <c r="AH5267" s="87"/>
    </row>
    <row r="5268" spans="34:34" ht="15" thickBot="1" x14ac:dyDescent="0.4">
      <c r="AH5268" s="87"/>
    </row>
    <row r="5269" spans="34:34" ht="15" thickBot="1" x14ac:dyDescent="0.4">
      <c r="AH5269" s="87"/>
    </row>
    <row r="5270" spans="34:34" ht="15" thickBot="1" x14ac:dyDescent="0.4">
      <c r="AH5270" s="87"/>
    </row>
    <row r="5271" spans="34:34" ht="15" thickBot="1" x14ac:dyDescent="0.4">
      <c r="AH5271" s="87"/>
    </row>
    <row r="5272" spans="34:34" ht="15" thickBot="1" x14ac:dyDescent="0.4">
      <c r="AH5272" s="87"/>
    </row>
    <row r="5273" spans="34:34" ht="15" thickBot="1" x14ac:dyDescent="0.4">
      <c r="AH5273" s="87"/>
    </row>
    <row r="5274" spans="34:34" ht="15" thickBot="1" x14ac:dyDescent="0.4">
      <c r="AH5274" s="87"/>
    </row>
    <row r="5275" spans="34:34" ht="15" thickBot="1" x14ac:dyDescent="0.4">
      <c r="AH5275" s="87"/>
    </row>
    <row r="5276" spans="34:34" ht="15" thickBot="1" x14ac:dyDescent="0.4">
      <c r="AH5276" s="87"/>
    </row>
    <row r="5277" spans="34:34" ht="15" thickBot="1" x14ac:dyDescent="0.4">
      <c r="AH5277" s="87"/>
    </row>
    <row r="5278" spans="34:34" ht="15" thickBot="1" x14ac:dyDescent="0.4">
      <c r="AH5278" s="87"/>
    </row>
    <row r="5279" spans="34:34" ht="15" thickBot="1" x14ac:dyDescent="0.4">
      <c r="AH5279" s="87"/>
    </row>
    <row r="5280" spans="34:34" ht="15" thickBot="1" x14ac:dyDescent="0.4">
      <c r="AH5280" s="87"/>
    </row>
    <row r="5281" spans="34:34" ht="15" thickBot="1" x14ac:dyDescent="0.4">
      <c r="AH5281" s="87"/>
    </row>
    <row r="5282" spans="34:34" ht="15" thickBot="1" x14ac:dyDescent="0.4">
      <c r="AH5282" s="87"/>
    </row>
    <row r="5283" spans="34:34" ht="15" thickBot="1" x14ac:dyDescent="0.4">
      <c r="AH5283" s="87"/>
    </row>
    <row r="5284" spans="34:34" ht="15" thickBot="1" x14ac:dyDescent="0.4">
      <c r="AH5284" s="87"/>
    </row>
    <row r="5285" spans="34:34" ht="15" thickBot="1" x14ac:dyDescent="0.4">
      <c r="AH5285" s="87"/>
    </row>
    <row r="5286" spans="34:34" ht="15" thickBot="1" x14ac:dyDescent="0.4">
      <c r="AH5286" s="87"/>
    </row>
    <row r="5287" spans="34:34" ht="15" thickBot="1" x14ac:dyDescent="0.4">
      <c r="AH5287" s="87"/>
    </row>
    <row r="5288" spans="34:34" ht="15" thickBot="1" x14ac:dyDescent="0.4">
      <c r="AH5288" s="87"/>
    </row>
    <row r="5289" spans="34:34" ht="15" thickBot="1" x14ac:dyDescent="0.4">
      <c r="AH5289" s="87"/>
    </row>
    <row r="5290" spans="34:34" ht="15" thickBot="1" x14ac:dyDescent="0.4">
      <c r="AH5290" s="87"/>
    </row>
    <row r="5291" spans="34:34" ht="15" thickBot="1" x14ac:dyDescent="0.4">
      <c r="AH5291" s="87"/>
    </row>
    <row r="5292" spans="34:34" ht="15" thickBot="1" x14ac:dyDescent="0.4">
      <c r="AH5292" s="87"/>
    </row>
    <row r="5293" spans="34:34" ht="15" thickBot="1" x14ac:dyDescent="0.4">
      <c r="AH5293" s="87"/>
    </row>
    <row r="5294" spans="34:34" ht="15" thickBot="1" x14ac:dyDescent="0.4">
      <c r="AH5294" s="87"/>
    </row>
    <row r="5295" spans="34:34" ht="15" thickBot="1" x14ac:dyDescent="0.4">
      <c r="AH5295" s="87"/>
    </row>
    <row r="5296" spans="34:34" ht="15" thickBot="1" x14ac:dyDescent="0.4">
      <c r="AH5296" s="87"/>
    </row>
    <row r="5297" spans="34:34" ht="15" thickBot="1" x14ac:dyDescent="0.4">
      <c r="AH5297" s="87"/>
    </row>
    <row r="5298" spans="34:34" ht="15" thickBot="1" x14ac:dyDescent="0.4">
      <c r="AH5298" s="87"/>
    </row>
    <row r="5299" spans="34:34" ht="15" thickBot="1" x14ac:dyDescent="0.4">
      <c r="AH5299" s="87"/>
    </row>
    <row r="5300" spans="34:34" ht="15" thickBot="1" x14ac:dyDescent="0.4">
      <c r="AH5300" s="87"/>
    </row>
    <row r="5301" spans="34:34" ht="15" thickBot="1" x14ac:dyDescent="0.4">
      <c r="AH5301" s="87"/>
    </row>
    <row r="5302" spans="34:34" ht="15" thickBot="1" x14ac:dyDescent="0.4">
      <c r="AH5302" s="87"/>
    </row>
    <row r="5303" spans="34:34" ht="15" thickBot="1" x14ac:dyDescent="0.4">
      <c r="AH5303" s="87"/>
    </row>
    <row r="5304" spans="34:34" ht="15" thickBot="1" x14ac:dyDescent="0.4">
      <c r="AH5304" s="87"/>
    </row>
    <row r="5305" spans="34:34" ht="15" thickBot="1" x14ac:dyDescent="0.4">
      <c r="AH5305" s="87"/>
    </row>
    <row r="5306" spans="34:34" ht="15" thickBot="1" x14ac:dyDescent="0.4">
      <c r="AH5306" s="87"/>
    </row>
    <row r="5307" spans="34:34" ht="15" thickBot="1" x14ac:dyDescent="0.4">
      <c r="AH5307" s="87"/>
    </row>
    <row r="5308" spans="34:34" ht="15" thickBot="1" x14ac:dyDescent="0.4">
      <c r="AH5308" s="87"/>
    </row>
    <row r="5309" spans="34:34" ht="15" thickBot="1" x14ac:dyDescent="0.4">
      <c r="AH5309" s="87"/>
    </row>
    <row r="5310" spans="34:34" ht="15" thickBot="1" x14ac:dyDescent="0.4">
      <c r="AH5310" s="87"/>
    </row>
    <row r="5311" spans="34:34" ht="15" thickBot="1" x14ac:dyDescent="0.4">
      <c r="AH5311" s="87"/>
    </row>
    <row r="5312" spans="34:34" ht="15" thickBot="1" x14ac:dyDescent="0.4">
      <c r="AH5312" s="87"/>
    </row>
    <row r="5313" spans="34:34" ht="15" thickBot="1" x14ac:dyDescent="0.4">
      <c r="AH5313" s="87"/>
    </row>
    <row r="5314" spans="34:34" ht="15" thickBot="1" x14ac:dyDescent="0.4">
      <c r="AH5314" s="87"/>
    </row>
    <row r="5315" spans="34:34" ht="15" thickBot="1" x14ac:dyDescent="0.4">
      <c r="AH5315" s="87"/>
    </row>
    <row r="5316" spans="34:34" ht="15" thickBot="1" x14ac:dyDescent="0.4">
      <c r="AH5316" s="87"/>
    </row>
    <row r="5317" spans="34:34" ht="15" thickBot="1" x14ac:dyDescent="0.4">
      <c r="AH5317" s="87"/>
    </row>
    <row r="5318" spans="34:34" ht="15" thickBot="1" x14ac:dyDescent="0.4">
      <c r="AH5318" s="87"/>
    </row>
    <row r="5319" spans="34:34" ht="15" thickBot="1" x14ac:dyDescent="0.4">
      <c r="AH5319" s="87"/>
    </row>
    <row r="5320" spans="34:34" ht="15" thickBot="1" x14ac:dyDescent="0.4">
      <c r="AH5320" s="87"/>
    </row>
    <row r="5321" spans="34:34" ht="15" thickBot="1" x14ac:dyDescent="0.4">
      <c r="AH5321" s="87"/>
    </row>
    <row r="5322" spans="34:34" ht="15" thickBot="1" x14ac:dyDescent="0.4">
      <c r="AH5322" s="87"/>
    </row>
    <row r="5323" spans="34:34" ht="15" thickBot="1" x14ac:dyDescent="0.4">
      <c r="AH5323" s="87"/>
    </row>
    <row r="5324" spans="34:34" ht="15" thickBot="1" x14ac:dyDescent="0.4">
      <c r="AH5324" s="87"/>
    </row>
    <row r="5325" spans="34:34" ht="15" thickBot="1" x14ac:dyDescent="0.4">
      <c r="AH5325" s="87"/>
    </row>
    <row r="5326" spans="34:34" ht="15" thickBot="1" x14ac:dyDescent="0.4">
      <c r="AH5326" s="87"/>
    </row>
    <row r="5327" spans="34:34" ht="15" thickBot="1" x14ac:dyDescent="0.4">
      <c r="AH5327" s="87"/>
    </row>
    <row r="5328" spans="34:34" ht="15" thickBot="1" x14ac:dyDescent="0.4">
      <c r="AH5328" s="87"/>
    </row>
    <row r="5329" spans="34:34" ht="15" thickBot="1" x14ac:dyDescent="0.4">
      <c r="AH5329" s="87"/>
    </row>
    <row r="5330" spans="34:34" ht="15" thickBot="1" x14ac:dyDescent="0.4">
      <c r="AH5330" s="87"/>
    </row>
    <row r="5331" spans="34:34" ht="15" thickBot="1" x14ac:dyDescent="0.4">
      <c r="AH5331" s="87"/>
    </row>
    <row r="5332" spans="34:34" ht="15" thickBot="1" x14ac:dyDescent="0.4">
      <c r="AH5332" s="87"/>
    </row>
    <row r="5333" spans="34:34" ht="15" thickBot="1" x14ac:dyDescent="0.4">
      <c r="AH5333" s="87"/>
    </row>
    <row r="5334" spans="34:34" ht="15" thickBot="1" x14ac:dyDescent="0.4">
      <c r="AH5334" s="87"/>
    </row>
    <row r="5335" spans="34:34" ht="15" thickBot="1" x14ac:dyDescent="0.4">
      <c r="AH5335" s="87"/>
    </row>
    <row r="5336" spans="34:34" ht="15" thickBot="1" x14ac:dyDescent="0.4">
      <c r="AH5336" s="87"/>
    </row>
    <row r="5337" spans="34:34" ht="15" thickBot="1" x14ac:dyDescent="0.4">
      <c r="AH5337" s="87"/>
    </row>
    <row r="5338" spans="34:34" ht="15" thickBot="1" x14ac:dyDescent="0.4">
      <c r="AH5338" s="87"/>
    </row>
    <row r="5339" spans="34:34" ht="15" thickBot="1" x14ac:dyDescent="0.4">
      <c r="AH5339" s="87"/>
    </row>
    <row r="5340" spans="34:34" ht="15" thickBot="1" x14ac:dyDescent="0.4">
      <c r="AH5340" s="87"/>
    </row>
    <row r="5341" spans="34:34" ht="15" thickBot="1" x14ac:dyDescent="0.4">
      <c r="AH5341" s="87"/>
    </row>
    <row r="5342" spans="34:34" ht="15" thickBot="1" x14ac:dyDescent="0.4">
      <c r="AH5342" s="87"/>
    </row>
    <row r="5343" spans="34:34" ht="15" thickBot="1" x14ac:dyDescent="0.4">
      <c r="AH5343" s="87"/>
    </row>
    <row r="5344" spans="34:34" ht="15" thickBot="1" x14ac:dyDescent="0.4">
      <c r="AH5344" s="87"/>
    </row>
    <row r="5345" spans="34:34" ht="15" thickBot="1" x14ac:dyDescent="0.4">
      <c r="AH5345" s="87"/>
    </row>
    <row r="5346" spans="34:34" ht="15" thickBot="1" x14ac:dyDescent="0.4">
      <c r="AH5346" s="87"/>
    </row>
    <row r="5347" spans="34:34" ht="15" thickBot="1" x14ac:dyDescent="0.4">
      <c r="AH5347" s="87"/>
    </row>
    <row r="5348" spans="34:34" ht="15" thickBot="1" x14ac:dyDescent="0.4">
      <c r="AH5348" s="87"/>
    </row>
    <row r="5349" spans="34:34" ht="15" thickBot="1" x14ac:dyDescent="0.4">
      <c r="AH5349" s="87"/>
    </row>
    <row r="5350" spans="34:34" ht="15" thickBot="1" x14ac:dyDescent="0.4">
      <c r="AH5350" s="87"/>
    </row>
    <row r="5351" spans="34:34" ht="15" thickBot="1" x14ac:dyDescent="0.4">
      <c r="AH5351" s="87"/>
    </row>
    <row r="5352" spans="34:34" ht="15" thickBot="1" x14ac:dyDescent="0.4">
      <c r="AH5352" s="87"/>
    </row>
    <row r="5353" spans="34:34" ht="15" thickBot="1" x14ac:dyDescent="0.4">
      <c r="AH5353" s="87"/>
    </row>
    <row r="5354" spans="34:34" ht="15" thickBot="1" x14ac:dyDescent="0.4">
      <c r="AH5354" s="87"/>
    </row>
    <row r="5355" spans="34:34" ht="15" thickBot="1" x14ac:dyDescent="0.4">
      <c r="AH5355" s="87"/>
    </row>
    <row r="5356" spans="34:34" ht="15" thickBot="1" x14ac:dyDescent="0.4">
      <c r="AH5356" s="87"/>
    </row>
    <row r="5357" spans="34:34" ht="15" thickBot="1" x14ac:dyDescent="0.4">
      <c r="AH5357" s="87"/>
    </row>
    <row r="5358" spans="34:34" ht="15" thickBot="1" x14ac:dyDescent="0.4">
      <c r="AH5358" s="87"/>
    </row>
    <row r="5359" spans="34:34" ht="15" thickBot="1" x14ac:dyDescent="0.4">
      <c r="AH5359" s="87"/>
    </row>
    <row r="5360" spans="34:34" ht="15" thickBot="1" x14ac:dyDescent="0.4">
      <c r="AH5360" s="87"/>
    </row>
    <row r="5361" spans="34:34" ht="15" thickBot="1" x14ac:dyDescent="0.4">
      <c r="AH5361" s="87"/>
    </row>
    <row r="5362" spans="34:34" ht="15" thickBot="1" x14ac:dyDescent="0.4">
      <c r="AH5362" s="87"/>
    </row>
    <row r="5363" spans="34:34" ht="15" thickBot="1" x14ac:dyDescent="0.4">
      <c r="AH5363" s="87"/>
    </row>
    <row r="5364" spans="34:34" ht="15" thickBot="1" x14ac:dyDescent="0.4">
      <c r="AH5364" s="87"/>
    </row>
    <row r="5365" spans="34:34" ht="15" thickBot="1" x14ac:dyDescent="0.4">
      <c r="AH5365" s="87"/>
    </row>
    <row r="5366" spans="34:34" ht="15" thickBot="1" x14ac:dyDescent="0.4">
      <c r="AH5366" s="87"/>
    </row>
    <row r="5367" spans="34:34" ht="15" thickBot="1" x14ac:dyDescent="0.4">
      <c r="AH5367" s="87"/>
    </row>
    <row r="5368" spans="34:34" ht="15" thickBot="1" x14ac:dyDescent="0.4">
      <c r="AH5368" s="87"/>
    </row>
    <row r="5369" spans="34:34" ht="15" thickBot="1" x14ac:dyDescent="0.4">
      <c r="AH5369" s="87"/>
    </row>
    <row r="5370" spans="34:34" ht="15" thickBot="1" x14ac:dyDescent="0.4">
      <c r="AH5370" s="87"/>
    </row>
    <row r="5371" spans="34:34" ht="15" thickBot="1" x14ac:dyDescent="0.4">
      <c r="AH5371" s="87"/>
    </row>
    <row r="5372" spans="34:34" ht="15" thickBot="1" x14ac:dyDescent="0.4">
      <c r="AH5372" s="87"/>
    </row>
    <row r="5373" spans="34:34" ht="15" thickBot="1" x14ac:dyDescent="0.4">
      <c r="AH5373" s="87"/>
    </row>
    <row r="5374" spans="34:34" ht="15" thickBot="1" x14ac:dyDescent="0.4">
      <c r="AH5374" s="87"/>
    </row>
    <row r="5375" spans="34:34" ht="15" thickBot="1" x14ac:dyDescent="0.4">
      <c r="AH5375" s="87"/>
    </row>
    <row r="5376" spans="34:34" ht="15" thickBot="1" x14ac:dyDescent="0.4">
      <c r="AH5376" s="87"/>
    </row>
    <row r="5377" spans="34:34" ht="15" thickBot="1" x14ac:dyDescent="0.4">
      <c r="AH5377" s="87"/>
    </row>
    <row r="5378" spans="34:34" ht="15" thickBot="1" x14ac:dyDescent="0.4">
      <c r="AH5378" s="87"/>
    </row>
    <row r="5379" spans="34:34" ht="15" thickBot="1" x14ac:dyDescent="0.4">
      <c r="AH5379" s="87"/>
    </row>
    <row r="5380" spans="34:34" ht="15" thickBot="1" x14ac:dyDescent="0.4">
      <c r="AH5380" s="87"/>
    </row>
    <row r="5381" spans="34:34" ht="15" thickBot="1" x14ac:dyDescent="0.4">
      <c r="AH5381" s="87"/>
    </row>
    <row r="5382" spans="34:34" ht="15" thickBot="1" x14ac:dyDescent="0.4">
      <c r="AH5382" s="87"/>
    </row>
    <row r="5383" spans="34:34" ht="15" thickBot="1" x14ac:dyDescent="0.4">
      <c r="AH5383" s="87"/>
    </row>
    <row r="5384" spans="34:34" ht="15" thickBot="1" x14ac:dyDescent="0.4">
      <c r="AH5384" s="87"/>
    </row>
    <row r="5385" spans="34:34" ht="15" thickBot="1" x14ac:dyDescent="0.4">
      <c r="AH5385" s="87"/>
    </row>
    <row r="5386" spans="34:34" ht="15" thickBot="1" x14ac:dyDescent="0.4">
      <c r="AH5386" s="87"/>
    </row>
    <row r="5387" spans="34:34" ht="15" thickBot="1" x14ac:dyDescent="0.4">
      <c r="AH5387" s="87"/>
    </row>
    <row r="5388" spans="34:34" ht="15" thickBot="1" x14ac:dyDescent="0.4">
      <c r="AH5388" s="87"/>
    </row>
    <row r="5389" spans="34:34" ht="15" thickBot="1" x14ac:dyDescent="0.4">
      <c r="AH5389" s="87"/>
    </row>
    <row r="5390" spans="34:34" ht="15" thickBot="1" x14ac:dyDescent="0.4">
      <c r="AH5390" s="87"/>
    </row>
    <row r="5391" spans="34:34" ht="15" thickBot="1" x14ac:dyDescent="0.4">
      <c r="AH5391" s="87"/>
    </row>
    <row r="5392" spans="34:34" ht="15" thickBot="1" x14ac:dyDescent="0.4">
      <c r="AH5392" s="87"/>
    </row>
    <row r="5393" spans="34:34" ht="15" thickBot="1" x14ac:dyDescent="0.4">
      <c r="AH5393" s="87"/>
    </row>
    <row r="5394" spans="34:34" ht="15" thickBot="1" x14ac:dyDescent="0.4">
      <c r="AH5394" s="87"/>
    </row>
    <row r="5395" spans="34:34" ht="15" thickBot="1" x14ac:dyDescent="0.4">
      <c r="AH5395" s="87"/>
    </row>
    <row r="5396" spans="34:34" ht="15" thickBot="1" x14ac:dyDescent="0.4">
      <c r="AH5396" s="87"/>
    </row>
    <row r="5397" spans="34:34" ht="15" thickBot="1" x14ac:dyDescent="0.4">
      <c r="AH5397" s="87"/>
    </row>
    <row r="5398" spans="34:34" ht="15" thickBot="1" x14ac:dyDescent="0.4">
      <c r="AH5398" s="87"/>
    </row>
    <row r="5399" spans="34:34" ht="15" thickBot="1" x14ac:dyDescent="0.4">
      <c r="AH5399" s="87"/>
    </row>
    <row r="5400" spans="34:34" ht="15" thickBot="1" x14ac:dyDescent="0.4">
      <c r="AH5400" s="87"/>
    </row>
    <row r="5401" spans="34:34" ht="15" thickBot="1" x14ac:dyDescent="0.4">
      <c r="AH5401" s="87"/>
    </row>
    <row r="5402" spans="34:34" ht="15" thickBot="1" x14ac:dyDescent="0.4">
      <c r="AH5402" s="87"/>
    </row>
    <row r="5403" spans="34:34" ht="15" thickBot="1" x14ac:dyDescent="0.4">
      <c r="AH5403" s="87"/>
    </row>
    <row r="5404" spans="34:34" ht="15" thickBot="1" x14ac:dyDescent="0.4">
      <c r="AH5404" s="87"/>
    </row>
    <row r="5405" spans="34:34" ht="15" thickBot="1" x14ac:dyDescent="0.4">
      <c r="AH5405" s="87"/>
    </row>
    <row r="5406" spans="34:34" ht="15" thickBot="1" x14ac:dyDescent="0.4">
      <c r="AH5406" s="87"/>
    </row>
    <row r="5407" spans="34:34" ht="15" thickBot="1" x14ac:dyDescent="0.4">
      <c r="AH5407" s="87"/>
    </row>
    <row r="5408" spans="34:34" ht="15" thickBot="1" x14ac:dyDescent="0.4">
      <c r="AH5408" s="87"/>
    </row>
    <row r="5409" spans="34:34" ht="15" thickBot="1" x14ac:dyDescent="0.4">
      <c r="AH5409" s="87"/>
    </row>
    <row r="5410" spans="34:34" ht="15" thickBot="1" x14ac:dyDescent="0.4">
      <c r="AH5410" s="87"/>
    </row>
    <row r="5411" spans="34:34" ht="15" thickBot="1" x14ac:dyDescent="0.4">
      <c r="AH5411" s="87"/>
    </row>
    <row r="5412" spans="34:34" ht="15" thickBot="1" x14ac:dyDescent="0.4">
      <c r="AH5412" s="87"/>
    </row>
    <row r="5413" spans="34:34" ht="15" thickBot="1" x14ac:dyDescent="0.4">
      <c r="AH5413" s="87"/>
    </row>
    <row r="5414" spans="34:34" ht="15" thickBot="1" x14ac:dyDescent="0.4">
      <c r="AH5414" s="87"/>
    </row>
    <row r="5415" spans="34:34" ht="15" thickBot="1" x14ac:dyDescent="0.4">
      <c r="AH5415" s="87"/>
    </row>
    <row r="5416" spans="34:34" ht="15" thickBot="1" x14ac:dyDescent="0.4">
      <c r="AH5416" s="87"/>
    </row>
    <row r="5417" spans="34:34" ht="15" thickBot="1" x14ac:dyDescent="0.4">
      <c r="AH5417" s="87"/>
    </row>
    <row r="5418" spans="34:34" ht="15" thickBot="1" x14ac:dyDescent="0.4">
      <c r="AH5418" s="87"/>
    </row>
    <row r="5419" spans="34:34" ht="15" thickBot="1" x14ac:dyDescent="0.4">
      <c r="AH5419" s="87"/>
    </row>
    <row r="5420" spans="34:34" ht="15" thickBot="1" x14ac:dyDescent="0.4">
      <c r="AH5420" s="87"/>
    </row>
    <row r="5421" spans="34:34" ht="15" thickBot="1" x14ac:dyDescent="0.4">
      <c r="AH5421" s="87"/>
    </row>
    <row r="5422" spans="34:34" ht="15" thickBot="1" x14ac:dyDescent="0.4">
      <c r="AH5422" s="87"/>
    </row>
    <row r="5423" spans="34:34" ht="15" thickBot="1" x14ac:dyDescent="0.4">
      <c r="AH5423" s="87"/>
    </row>
    <row r="5424" spans="34:34" ht="15" thickBot="1" x14ac:dyDescent="0.4">
      <c r="AH5424" s="87"/>
    </row>
    <row r="5425" spans="34:34" ht="15" thickBot="1" x14ac:dyDescent="0.4">
      <c r="AH5425" s="87"/>
    </row>
    <row r="5426" spans="34:34" ht="15" thickBot="1" x14ac:dyDescent="0.4">
      <c r="AH5426" s="87"/>
    </row>
    <row r="5427" spans="34:34" ht="15" thickBot="1" x14ac:dyDescent="0.4">
      <c r="AH5427" s="87"/>
    </row>
    <row r="5428" spans="34:34" ht="15" thickBot="1" x14ac:dyDescent="0.4">
      <c r="AH5428" s="87"/>
    </row>
    <row r="5429" spans="34:34" ht="15" thickBot="1" x14ac:dyDescent="0.4">
      <c r="AH5429" s="87"/>
    </row>
    <row r="5430" spans="34:34" ht="15" thickBot="1" x14ac:dyDescent="0.4">
      <c r="AH5430" s="87"/>
    </row>
    <row r="5431" spans="34:34" ht="15" thickBot="1" x14ac:dyDescent="0.4">
      <c r="AH5431" s="87"/>
    </row>
    <row r="5432" spans="34:34" ht="15" thickBot="1" x14ac:dyDescent="0.4">
      <c r="AH5432" s="87"/>
    </row>
    <row r="5433" spans="34:34" ht="15" thickBot="1" x14ac:dyDescent="0.4">
      <c r="AH5433" s="87"/>
    </row>
    <row r="5434" spans="34:34" ht="15" thickBot="1" x14ac:dyDescent="0.4">
      <c r="AH5434" s="87"/>
    </row>
    <row r="5435" spans="34:34" ht="15" thickBot="1" x14ac:dyDescent="0.4">
      <c r="AH5435" s="87"/>
    </row>
    <row r="5436" spans="34:34" ht="15" thickBot="1" x14ac:dyDescent="0.4">
      <c r="AH5436" s="87"/>
    </row>
    <row r="5437" spans="34:34" ht="15" thickBot="1" x14ac:dyDescent="0.4">
      <c r="AH5437" s="87"/>
    </row>
    <row r="5438" spans="34:34" ht="15" thickBot="1" x14ac:dyDescent="0.4">
      <c r="AH5438" s="87"/>
    </row>
    <row r="5439" spans="34:34" ht="15" thickBot="1" x14ac:dyDescent="0.4">
      <c r="AH5439" s="87"/>
    </row>
    <row r="5440" spans="34:34" ht="15" thickBot="1" x14ac:dyDescent="0.4">
      <c r="AH5440" s="87"/>
    </row>
    <row r="5441" spans="34:34" ht="15" thickBot="1" x14ac:dyDescent="0.4">
      <c r="AH5441" s="87"/>
    </row>
    <row r="5442" spans="34:34" ht="15" thickBot="1" x14ac:dyDescent="0.4">
      <c r="AH5442" s="87"/>
    </row>
    <row r="5443" spans="34:34" ht="15" thickBot="1" x14ac:dyDescent="0.4">
      <c r="AH5443" s="87"/>
    </row>
    <row r="5444" spans="34:34" ht="15" thickBot="1" x14ac:dyDescent="0.4">
      <c r="AH5444" s="87"/>
    </row>
    <row r="5445" spans="34:34" ht="15" thickBot="1" x14ac:dyDescent="0.4">
      <c r="AH5445" s="87"/>
    </row>
    <row r="5446" spans="34:34" ht="15" thickBot="1" x14ac:dyDescent="0.4">
      <c r="AH5446" s="87"/>
    </row>
    <row r="5447" spans="34:34" ht="15" thickBot="1" x14ac:dyDescent="0.4">
      <c r="AH5447" s="87"/>
    </row>
    <row r="5448" spans="34:34" ht="15" thickBot="1" x14ac:dyDescent="0.4">
      <c r="AH5448" s="87"/>
    </row>
    <row r="5449" spans="34:34" ht="15" thickBot="1" x14ac:dyDescent="0.4">
      <c r="AH5449" s="87"/>
    </row>
    <row r="5450" spans="34:34" ht="15" thickBot="1" x14ac:dyDescent="0.4">
      <c r="AH5450" s="87"/>
    </row>
    <row r="5451" spans="34:34" ht="15" thickBot="1" x14ac:dyDescent="0.4">
      <c r="AH5451" s="87"/>
    </row>
    <row r="5452" spans="34:34" ht="15" thickBot="1" x14ac:dyDescent="0.4">
      <c r="AH5452" s="87"/>
    </row>
    <row r="5453" spans="34:34" ht="15" thickBot="1" x14ac:dyDescent="0.4">
      <c r="AH5453" s="87"/>
    </row>
    <row r="5454" spans="34:34" ht="15" thickBot="1" x14ac:dyDescent="0.4">
      <c r="AH5454" s="87"/>
    </row>
    <row r="5455" spans="34:34" ht="15" thickBot="1" x14ac:dyDescent="0.4">
      <c r="AH5455" s="87"/>
    </row>
    <row r="5456" spans="34:34" ht="15" thickBot="1" x14ac:dyDescent="0.4">
      <c r="AH5456" s="87"/>
    </row>
    <row r="5457" spans="34:34" ht="15" thickBot="1" x14ac:dyDescent="0.4">
      <c r="AH5457" s="87"/>
    </row>
    <row r="5458" spans="34:34" ht="15" thickBot="1" x14ac:dyDescent="0.4">
      <c r="AH5458" s="87"/>
    </row>
    <row r="5459" spans="34:34" ht="15" thickBot="1" x14ac:dyDescent="0.4">
      <c r="AH5459" s="87"/>
    </row>
    <row r="5460" spans="34:34" ht="15" thickBot="1" x14ac:dyDescent="0.4">
      <c r="AH5460" s="87"/>
    </row>
    <row r="5461" spans="34:34" ht="15" thickBot="1" x14ac:dyDescent="0.4">
      <c r="AH5461" s="87"/>
    </row>
    <row r="5462" spans="34:34" ht="15" thickBot="1" x14ac:dyDescent="0.4">
      <c r="AH5462" s="87"/>
    </row>
    <row r="5463" spans="34:34" ht="15" thickBot="1" x14ac:dyDescent="0.4">
      <c r="AH5463" s="87"/>
    </row>
    <row r="5464" spans="34:34" ht="15" thickBot="1" x14ac:dyDescent="0.4">
      <c r="AH5464" s="87"/>
    </row>
    <row r="5465" spans="34:34" ht="15" thickBot="1" x14ac:dyDescent="0.4">
      <c r="AH5465" s="87"/>
    </row>
    <row r="5466" spans="34:34" ht="15" thickBot="1" x14ac:dyDescent="0.4">
      <c r="AH5466" s="87"/>
    </row>
    <row r="5467" spans="34:34" ht="15" thickBot="1" x14ac:dyDescent="0.4">
      <c r="AH5467" s="87"/>
    </row>
    <row r="5468" spans="34:34" ht="15" thickBot="1" x14ac:dyDescent="0.4">
      <c r="AH5468" s="87"/>
    </row>
    <row r="5469" spans="34:34" ht="15" thickBot="1" x14ac:dyDescent="0.4">
      <c r="AH5469" s="87"/>
    </row>
    <row r="5470" spans="34:34" ht="15" thickBot="1" x14ac:dyDescent="0.4">
      <c r="AH5470" s="87"/>
    </row>
    <row r="5471" spans="34:34" ht="15" thickBot="1" x14ac:dyDescent="0.4">
      <c r="AH5471" s="87"/>
    </row>
    <row r="5472" spans="34:34" ht="15" thickBot="1" x14ac:dyDescent="0.4">
      <c r="AH5472" s="87"/>
    </row>
    <row r="5473" spans="34:34" ht="15" thickBot="1" x14ac:dyDescent="0.4">
      <c r="AH5473" s="87"/>
    </row>
    <row r="5474" spans="34:34" ht="15" thickBot="1" x14ac:dyDescent="0.4">
      <c r="AH5474" s="87"/>
    </row>
    <row r="5475" spans="34:34" ht="15" thickBot="1" x14ac:dyDescent="0.4">
      <c r="AH5475" s="87"/>
    </row>
    <row r="5476" spans="34:34" ht="15" thickBot="1" x14ac:dyDescent="0.4">
      <c r="AH5476" s="87"/>
    </row>
    <row r="5477" spans="34:34" ht="15" thickBot="1" x14ac:dyDescent="0.4">
      <c r="AH5477" s="87"/>
    </row>
    <row r="5478" spans="34:34" ht="15" thickBot="1" x14ac:dyDescent="0.4">
      <c r="AH5478" s="87"/>
    </row>
    <row r="5479" spans="34:34" ht="15" thickBot="1" x14ac:dyDescent="0.4">
      <c r="AH5479" s="87"/>
    </row>
    <row r="5480" spans="34:34" ht="15" thickBot="1" x14ac:dyDescent="0.4">
      <c r="AH5480" s="87"/>
    </row>
    <row r="5481" spans="34:34" ht="15" thickBot="1" x14ac:dyDescent="0.4">
      <c r="AH5481" s="87"/>
    </row>
    <row r="5482" spans="34:34" ht="15" thickBot="1" x14ac:dyDescent="0.4">
      <c r="AH5482" s="87"/>
    </row>
    <row r="5483" spans="34:34" ht="15" thickBot="1" x14ac:dyDescent="0.4">
      <c r="AH5483" s="87"/>
    </row>
    <row r="5484" spans="34:34" ht="15" thickBot="1" x14ac:dyDescent="0.4">
      <c r="AH5484" s="87"/>
    </row>
    <row r="5485" spans="34:34" ht="15" thickBot="1" x14ac:dyDescent="0.4">
      <c r="AH5485" s="87"/>
    </row>
    <row r="5486" spans="34:34" ht="15" thickBot="1" x14ac:dyDescent="0.4">
      <c r="AH5486" s="87"/>
    </row>
    <row r="5487" spans="34:34" ht="15" thickBot="1" x14ac:dyDescent="0.4">
      <c r="AH5487" s="87"/>
    </row>
    <row r="5488" spans="34:34" ht="15" thickBot="1" x14ac:dyDescent="0.4">
      <c r="AH5488" s="87"/>
    </row>
    <row r="5489" spans="34:34" ht="15" thickBot="1" x14ac:dyDescent="0.4">
      <c r="AH5489" s="87"/>
    </row>
    <row r="5490" spans="34:34" ht="15" thickBot="1" x14ac:dyDescent="0.4">
      <c r="AH5490" s="87"/>
    </row>
    <row r="5491" spans="34:34" ht="15" thickBot="1" x14ac:dyDescent="0.4">
      <c r="AH5491" s="87"/>
    </row>
    <row r="5492" spans="34:34" ht="15" thickBot="1" x14ac:dyDescent="0.4">
      <c r="AH5492" s="87"/>
    </row>
    <row r="5493" spans="34:34" ht="15" thickBot="1" x14ac:dyDescent="0.4">
      <c r="AH5493" s="87"/>
    </row>
    <row r="5494" spans="34:34" ht="15" thickBot="1" x14ac:dyDescent="0.4">
      <c r="AH5494" s="87"/>
    </row>
    <row r="5495" spans="34:34" ht="15" thickBot="1" x14ac:dyDescent="0.4">
      <c r="AH5495" s="87"/>
    </row>
    <row r="5496" spans="34:34" ht="15" thickBot="1" x14ac:dyDescent="0.4">
      <c r="AH5496" s="87"/>
    </row>
    <row r="5497" spans="34:34" ht="15" thickBot="1" x14ac:dyDescent="0.4">
      <c r="AH5497" s="87"/>
    </row>
    <row r="5498" spans="34:34" ht="15" thickBot="1" x14ac:dyDescent="0.4">
      <c r="AH5498" s="87"/>
    </row>
    <row r="5499" spans="34:34" ht="15" thickBot="1" x14ac:dyDescent="0.4">
      <c r="AH5499" s="87"/>
    </row>
    <row r="5500" spans="34:34" ht="15" thickBot="1" x14ac:dyDescent="0.4">
      <c r="AH5500" s="87"/>
    </row>
    <row r="5501" spans="34:34" ht="15" thickBot="1" x14ac:dyDescent="0.4">
      <c r="AH5501" s="87"/>
    </row>
    <row r="5502" spans="34:34" ht="15" thickBot="1" x14ac:dyDescent="0.4">
      <c r="AH5502" s="87"/>
    </row>
    <row r="5503" spans="34:34" ht="15" thickBot="1" x14ac:dyDescent="0.4">
      <c r="AH5503" s="87"/>
    </row>
    <row r="5504" spans="34:34" ht="15" thickBot="1" x14ac:dyDescent="0.4">
      <c r="AH5504" s="87"/>
    </row>
    <row r="5505" spans="34:34" ht="15" thickBot="1" x14ac:dyDescent="0.4">
      <c r="AH5505" s="87"/>
    </row>
    <row r="5506" spans="34:34" ht="15" thickBot="1" x14ac:dyDescent="0.4">
      <c r="AH5506" s="87"/>
    </row>
    <row r="5507" spans="34:34" ht="15" thickBot="1" x14ac:dyDescent="0.4">
      <c r="AH5507" s="87"/>
    </row>
    <row r="5508" spans="34:34" ht="15" thickBot="1" x14ac:dyDescent="0.4">
      <c r="AH5508" s="87"/>
    </row>
    <row r="5509" spans="34:34" ht="15" thickBot="1" x14ac:dyDescent="0.4">
      <c r="AH5509" s="87"/>
    </row>
    <row r="5510" spans="34:34" ht="15" thickBot="1" x14ac:dyDescent="0.4">
      <c r="AH5510" s="87"/>
    </row>
    <row r="5511" spans="34:34" ht="15" thickBot="1" x14ac:dyDescent="0.4">
      <c r="AH5511" s="87"/>
    </row>
    <row r="5512" spans="34:34" ht="15" thickBot="1" x14ac:dyDescent="0.4">
      <c r="AH5512" s="87"/>
    </row>
    <row r="5513" spans="34:34" ht="15" thickBot="1" x14ac:dyDescent="0.4">
      <c r="AH5513" s="87"/>
    </row>
    <row r="5514" spans="34:34" ht="15" thickBot="1" x14ac:dyDescent="0.4">
      <c r="AH5514" s="87"/>
    </row>
    <row r="5515" spans="34:34" ht="15" thickBot="1" x14ac:dyDescent="0.4">
      <c r="AH5515" s="87"/>
    </row>
    <row r="5516" spans="34:34" ht="15" thickBot="1" x14ac:dyDescent="0.4">
      <c r="AH5516" s="87"/>
    </row>
    <row r="5517" spans="34:34" ht="15" thickBot="1" x14ac:dyDescent="0.4">
      <c r="AH5517" s="87"/>
    </row>
    <row r="5518" spans="34:34" ht="15" thickBot="1" x14ac:dyDescent="0.4">
      <c r="AH5518" s="87"/>
    </row>
    <row r="5519" spans="34:34" ht="15" thickBot="1" x14ac:dyDescent="0.4">
      <c r="AH5519" s="87"/>
    </row>
    <row r="5520" spans="34:34" ht="15" thickBot="1" x14ac:dyDescent="0.4">
      <c r="AH5520" s="87"/>
    </row>
    <row r="5521" spans="34:34" ht="15" thickBot="1" x14ac:dyDescent="0.4">
      <c r="AH5521" s="87"/>
    </row>
    <row r="5522" spans="34:34" ht="15" thickBot="1" x14ac:dyDescent="0.4">
      <c r="AH5522" s="87"/>
    </row>
    <row r="5523" spans="34:34" ht="15" thickBot="1" x14ac:dyDescent="0.4">
      <c r="AH5523" s="87"/>
    </row>
    <row r="5524" spans="34:34" ht="15" thickBot="1" x14ac:dyDescent="0.4">
      <c r="AH5524" s="87"/>
    </row>
    <row r="5525" spans="34:34" ht="15" thickBot="1" x14ac:dyDescent="0.4">
      <c r="AH5525" s="87"/>
    </row>
    <row r="5526" spans="34:34" ht="15" thickBot="1" x14ac:dyDescent="0.4">
      <c r="AH5526" s="87"/>
    </row>
    <row r="5527" spans="34:34" ht="15" thickBot="1" x14ac:dyDescent="0.4">
      <c r="AH5527" s="87"/>
    </row>
    <row r="5528" spans="34:34" ht="15" thickBot="1" x14ac:dyDescent="0.4">
      <c r="AH5528" s="87"/>
    </row>
    <row r="5529" spans="34:34" ht="15" thickBot="1" x14ac:dyDescent="0.4">
      <c r="AH5529" s="87"/>
    </row>
    <row r="5530" spans="34:34" ht="15" thickBot="1" x14ac:dyDescent="0.4">
      <c r="AH5530" s="87"/>
    </row>
    <row r="5531" spans="34:34" ht="15" thickBot="1" x14ac:dyDescent="0.4">
      <c r="AH5531" s="87"/>
    </row>
    <row r="5532" spans="34:34" ht="15" thickBot="1" x14ac:dyDescent="0.4">
      <c r="AH5532" s="87"/>
    </row>
    <row r="5533" spans="34:34" ht="15" thickBot="1" x14ac:dyDescent="0.4">
      <c r="AH5533" s="87"/>
    </row>
    <row r="5534" spans="34:34" ht="15" thickBot="1" x14ac:dyDescent="0.4">
      <c r="AH5534" s="87"/>
    </row>
    <row r="5535" spans="34:34" ht="15" thickBot="1" x14ac:dyDescent="0.4">
      <c r="AH5535" s="87"/>
    </row>
    <row r="5536" spans="34:34" ht="15" thickBot="1" x14ac:dyDescent="0.4">
      <c r="AH5536" s="87"/>
    </row>
    <row r="5537" spans="34:34" ht="15" thickBot="1" x14ac:dyDescent="0.4">
      <c r="AH5537" s="87"/>
    </row>
    <row r="5538" spans="34:34" ht="15" thickBot="1" x14ac:dyDescent="0.4">
      <c r="AH5538" s="87"/>
    </row>
    <row r="5539" spans="34:34" ht="15" thickBot="1" x14ac:dyDescent="0.4">
      <c r="AH5539" s="87"/>
    </row>
    <row r="5540" spans="34:34" ht="15" thickBot="1" x14ac:dyDescent="0.4">
      <c r="AH5540" s="87"/>
    </row>
    <row r="5541" spans="34:34" ht="15" thickBot="1" x14ac:dyDescent="0.4">
      <c r="AH5541" s="87"/>
    </row>
    <row r="5542" spans="34:34" ht="15" thickBot="1" x14ac:dyDescent="0.4">
      <c r="AH5542" s="87"/>
    </row>
    <row r="5543" spans="34:34" ht="15" thickBot="1" x14ac:dyDescent="0.4">
      <c r="AH5543" s="87"/>
    </row>
    <row r="5544" spans="34:34" ht="15" thickBot="1" x14ac:dyDescent="0.4">
      <c r="AH5544" s="87"/>
    </row>
    <row r="5545" spans="34:34" ht="15" thickBot="1" x14ac:dyDescent="0.4">
      <c r="AH5545" s="87"/>
    </row>
    <row r="5546" spans="34:34" ht="15" thickBot="1" x14ac:dyDescent="0.4">
      <c r="AH5546" s="87"/>
    </row>
    <row r="5547" spans="34:34" ht="15" thickBot="1" x14ac:dyDescent="0.4">
      <c r="AH5547" s="87"/>
    </row>
    <row r="5548" spans="34:34" ht="15" thickBot="1" x14ac:dyDescent="0.4">
      <c r="AH5548" s="87"/>
    </row>
    <row r="5549" spans="34:34" ht="15" thickBot="1" x14ac:dyDescent="0.4">
      <c r="AH5549" s="87"/>
    </row>
    <row r="5550" spans="34:34" ht="15" thickBot="1" x14ac:dyDescent="0.4">
      <c r="AH5550" s="87"/>
    </row>
    <row r="5551" spans="34:34" ht="15" thickBot="1" x14ac:dyDescent="0.4">
      <c r="AH5551" s="87"/>
    </row>
    <row r="5552" spans="34:34" ht="15" thickBot="1" x14ac:dyDescent="0.4">
      <c r="AH5552" s="87"/>
    </row>
    <row r="5553" spans="34:34" ht="15" thickBot="1" x14ac:dyDescent="0.4">
      <c r="AH5553" s="87"/>
    </row>
    <row r="5554" spans="34:34" ht="15" thickBot="1" x14ac:dyDescent="0.4">
      <c r="AH5554" s="87"/>
    </row>
    <row r="5555" spans="34:34" ht="15" thickBot="1" x14ac:dyDescent="0.4">
      <c r="AH5555" s="87"/>
    </row>
    <row r="5556" spans="34:34" ht="15" thickBot="1" x14ac:dyDescent="0.4">
      <c r="AH5556" s="87"/>
    </row>
    <row r="5557" spans="34:34" ht="15" thickBot="1" x14ac:dyDescent="0.4">
      <c r="AH5557" s="87"/>
    </row>
    <row r="5558" spans="34:34" ht="15" thickBot="1" x14ac:dyDescent="0.4">
      <c r="AH5558" s="87"/>
    </row>
    <row r="5559" spans="34:34" ht="15" thickBot="1" x14ac:dyDescent="0.4">
      <c r="AH5559" s="87"/>
    </row>
    <row r="5560" spans="34:34" ht="15" thickBot="1" x14ac:dyDescent="0.4">
      <c r="AH5560" s="87"/>
    </row>
    <row r="5561" spans="34:34" ht="15" thickBot="1" x14ac:dyDescent="0.4">
      <c r="AH5561" s="87"/>
    </row>
    <row r="5562" spans="34:34" ht="15" thickBot="1" x14ac:dyDescent="0.4">
      <c r="AH5562" s="87"/>
    </row>
    <row r="5563" spans="34:34" ht="15" thickBot="1" x14ac:dyDescent="0.4">
      <c r="AH5563" s="87"/>
    </row>
    <row r="5564" spans="34:34" ht="15" thickBot="1" x14ac:dyDescent="0.4">
      <c r="AH5564" s="87"/>
    </row>
    <row r="5565" spans="34:34" ht="15" thickBot="1" x14ac:dyDescent="0.4">
      <c r="AH5565" s="87"/>
    </row>
    <row r="5566" spans="34:34" ht="15" thickBot="1" x14ac:dyDescent="0.4">
      <c r="AH5566" s="87"/>
    </row>
    <row r="5567" spans="34:34" ht="15" thickBot="1" x14ac:dyDescent="0.4">
      <c r="AH5567" s="87"/>
    </row>
    <row r="5568" spans="34:34" ht="15" thickBot="1" x14ac:dyDescent="0.4">
      <c r="AH5568" s="87"/>
    </row>
    <row r="5569" spans="34:34" ht="15" thickBot="1" x14ac:dyDescent="0.4">
      <c r="AH5569" s="87"/>
    </row>
    <row r="5570" spans="34:34" ht="15" thickBot="1" x14ac:dyDescent="0.4">
      <c r="AH5570" s="87"/>
    </row>
    <row r="5571" spans="34:34" ht="15" thickBot="1" x14ac:dyDescent="0.4">
      <c r="AH5571" s="87"/>
    </row>
    <row r="5572" spans="34:34" ht="15" thickBot="1" x14ac:dyDescent="0.4">
      <c r="AH5572" s="87"/>
    </row>
    <row r="5573" spans="34:34" ht="15" thickBot="1" x14ac:dyDescent="0.4">
      <c r="AH5573" s="87"/>
    </row>
    <row r="5574" spans="34:34" ht="15" thickBot="1" x14ac:dyDescent="0.4">
      <c r="AH5574" s="87"/>
    </row>
    <row r="5575" spans="34:34" ht="15" thickBot="1" x14ac:dyDescent="0.4">
      <c r="AH5575" s="87"/>
    </row>
    <row r="5576" spans="34:34" ht="15" thickBot="1" x14ac:dyDescent="0.4">
      <c r="AH5576" s="87"/>
    </row>
    <row r="5577" spans="34:34" ht="15" thickBot="1" x14ac:dyDescent="0.4">
      <c r="AH5577" s="87"/>
    </row>
    <row r="5578" spans="34:34" ht="15" thickBot="1" x14ac:dyDescent="0.4">
      <c r="AH5578" s="87"/>
    </row>
    <row r="5579" spans="34:34" ht="15" thickBot="1" x14ac:dyDescent="0.4">
      <c r="AH5579" s="87"/>
    </row>
    <row r="5580" spans="34:34" ht="15" thickBot="1" x14ac:dyDescent="0.4">
      <c r="AH5580" s="87"/>
    </row>
    <row r="5581" spans="34:34" ht="15" thickBot="1" x14ac:dyDescent="0.4">
      <c r="AH5581" s="87"/>
    </row>
    <row r="5582" spans="34:34" ht="15" thickBot="1" x14ac:dyDescent="0.4">
      <c r="AH5582" s="87"/>
    </row>
    <row r="5583" spans="34:34" ht="15" thickBot="1" x14ac:dyDescent="0.4">
      <c r="AH5583" s="87"/>
    </row>
    <row r="5584" spans="34:34" ht="15" thickBot="1" x14ac:dyDescent="0.4">
      <c r="AH5584" s="87"/>
    </row>
    <row r="5585" spans="34:34" ht="15" thickBot="1" x14ac:dyDescent="0.4">
      <c r="AH5585" s="87"/>
    </row>
    <row r="5586" spans="34:34" ht="15" thickBot="1" x14ac:dyDescent="0.4">
      <c r="AH5586" s="87"/>
    </row>
    <row r="5587" spans="34:34" ht="15" thickBot="1" x14ac:dyDescent="0.4">
      <c r="AH5587" s="87"/>
    </row>
    <row r="5588" spans="34:34" ht="15" thickBot="1" x14ac:dyDescent="0.4">
      <c r="AH5588" s="87"/>
    </row>
    <row r="5589" spans="34:34" ht="15" thickBot="1" x14ac:dyDescent="0.4">
      <c r="AH5589" s="87"/>
    </row>
    <row r="5590" spans="34:34" ht="15" thickBot="1" x14ac:dyDescent="0.4">
      <c r="AH5590" s="87"/>
    </row>
    <row r="5591" spans="34:34" ht="15" thickBot="1" x14ac:dyDescent="0.4">
      <c r="AH5591" s="87"/>
    </row>
    <row r="5592" spans="34:34" ht="15" thickBot="1" x14ac:dyDescent="0.4">
      <c r="AH5592" s="87"/>
    </row>
    <row r="5593" spans="34:34" ht="15" thickBot="1" x14ac:dyDescent="0.4">
      <c r="AH5593" s="87"/>
    </row>
    <row r="5594" spans="34:34" ht="15" thickBot="1" x14ac:dyDescent="0.4">
      <c r="AH5594" s="87"/>
    </row>
    <row r="5595" spans="34:34" ht="15" thickBot="1" x14ac:dyDescent="0.4">
      <c r="AH5595" s="87"/>
    </row>
    <row r="5596" spans="34:34" ht="15" thickBot="1" x14ac:dyDescent="0.4">
      <c r="AH5596" s="87"/>
    </row>
    <row r="5597" spans="34:34" ht="15" thickBot="1" x14ac:dyDescent="0.4">
      <c r="AH5597" s="87"/>
    </row>
    <row r="5598" spans="34:34" ht="15" thickBot="1" x14ac:dyDescent="0.4">
      <c r="AH5598" s="87"/>
    </row>
    <row r="5599" spans="34:34" ht="15" thickBot="1" x14ac:dyDescent="0.4">
      <c r="AH5599" s="87"/>
    </row>
    <row r="5600" spans="34:34" ht="15" thickBot="1" x14ac:dyDescent="0.4">
      <c r="AH5600" s="87"/>
    </row>
    <row r="5601" spans="34:34" ht="15" thickBot="1" x14ac:dyDescent="0.4">
      <c r="AH5601" s="87"/>
    </row>
    <row r="5602" spans="34:34" ht="15" thickBot="1" x14ac:dyDescent="0.4">
      <c r="AH5602" s="87"/>
    </row>
    <row r="5603" spans="34:34" ht="15" thickBot="1" x14ac:dyDescent="0.4">
      <c r="AH5603" s="87"/>
    </row>
    <row r="5604" spans="34:34" ht="15" thickBot="1" x14ac:dyDescent="0.4">
      <c r="AH5604" s="87"/>
    </row>
    <row r="5605" spans="34:34" ht="15" thickBot="1" x14ac:dyDescent="0.4">
      <c r="AH5605" s="87"/>
    </row>
    <row r="5606" spans="34:34" ht="15" thickBot="1" x14ac:dyDescent="0.4">
      <c r="AH5606" s="87"/>
    </row>
    <row r="5607" spans="34:34" ht="15" thickBot="1" x14ac:dyDescent="0.4">
      <c r="AH5607" s="87"/>
    </row>
    <row r="5608" spans="34:34" ht="15" thickBot="1" x14ac:dyDescent="0.4">
      <c r="AH5608" s="87"/>
    </row>
    <row r="5609" spans="34:34" ht="15" thickBot="1" x14ac:dyDescent="0.4">
      <c r="AH5609" s="87"/>
    </row>
    <row r="5610" spans="34:34" ht="15" thickBot="1" x14ac:dyDescent="0.4">
      <c r="AH5610" s="87"/>
    </row>
    <row r="5611" spans="34:34" ht="15" thickBot="1" x14ac:dyDescent="0.4">
      <c r="AH5611" s="87"/>
    </row>
    <row r="5612" spans="34:34" ht="15" thickBot="1" x14ac:dyDescent="0.4">
      <c r="AH5612" s="87"/>
    </row>
    <row r="5613" spans="34:34" ht="15" thickBot="1" x14ac:dyDescent="0.4">
      <c r="AH5613" s="87"/>
    </row>
    <row r="5614" spans="34:34" ht="15" thickBot="1" x14ac:dyDescent="0.4">
      <c r="AH5614" s="87"/>
    </row>
    <row r="5615" spans="34:34" ht="15" thickBot="1" x14ac:dyDescent="0.4">
      <c r="AH5615" s="87"/>
    </row>
    <row r="5616" spans="34:34" ht="15" thickBot="1" x14ac:dyDescent="0.4">
      <c r="AH5616" s="87"/>
    </row>
    <row r="5617" spans="34:34" ht="15" thickBot="1" x14ac:dyDescent="0.4">
      <c r="AH5617" s="87"/>
    </row>
    <row r="5618" spans="34:34" ht="15" thickBot="1" x14ac:dyDescent="0.4">
      <c r="AH5618" s="87"/>
    </row>
    <row r="5619" spans="34:34" ht="15" thickBot="1" x14ac:dyDescent="0.4">
      <c r="AH5619" s="87"/>
    </row>
    <row r="5620" spans="34:34" ht="15" thickBot="1" x14ac:dyDescent="0.4">
      <c r="AH5620" s="87"/>
    </row>
    <row r="5621" spans="34:34" ht="15" thickBot="1" x14ac:dyDescent="0.4">
      <c r="AH5621" s="87"/>
    </row>
    <row r="5622" spans="34:34" ht="15" thickBot="1" x14ac:dyDescent="0.4">
      <c r="AH5622" s="87"/>
    </row>
    <row r="5623" spans="34:34" ht="15" thickBot="1" x14ac:dyDescent="0.4">
      <c r="AH5623" s="87"/>
    </row>
    <row r="5624" spans="34:34" ht="15" thickBot="1" x14ac:dyDescent="0.4">
      <c r="AH5624" s="87"/>
    </row>
    <row r="5625" spans="34:34" ht="15" thickBot="1" x14ac:dyDescent="0.4">
      <c r="AH5625" s="87"/>
    </row>
    <row r="5626" spans="34:34" ht="15" thickBot="1" x14ac:dyDescent="0.4">
      <c r="AH5626" s="87"/>
    </row>
    <row r="5627" spans="34:34" ht="15" thickBot="1" x14ac:dyDescent="0.4">
      <c r="AH5627" s="87"/>
    </row>
    <row r="5628" spans="34:34" ht="15" thickBot="1" x14ac:dyDescent="0.4">
      <c r="AH5628" s="87"/>
    </row>
    <row r="5629" spans="34:34" ht="15" thickBot="1" x14ac:dyDescent="0.4">
      <c r="AH5629" s="87"/>
    </row>
    <row r="5630" spans="34:34" ht="15" thickBot="1" x14ac:dyDescent="0.4">
      <c r="AH5630" s="87"/>
    </row>
    <row r="5631" spans="34:34" ht="15" thickBot="1" x14ac:dyDescent="0.4">
      <c r="AH5631" s="87"/>
    </row>
    <row r="5632" spans="34:34" ht="15" thickBot="1" x14ac:dyDescent="0.4">
      <c r="AH5632" s="87"/>
    </row>
    <row r="5633" spans="34:34" ht="15" thickBot="1" x14ac:dyDescent="0.4">
      <c r="AH5633" s="87"/>
    </row>
    <row r="5634" spans="34:34" ht="15" thickBot="1" x14ac:dyDescent="0.4">
      <c r="AH5634" s="87"/>
    </row>
    <row r="5635" spans="34:34" ht="15" thickBot="1" x14ac:dyDescent="0.4">
      <c r="AH5635" s="87"/>
    </row>
    <row r="5636" spans="34:34" ht="15" thickBot="1" x14ac:dyDescent="0.4">
      <c r="AH5636" s="87"/>
    </row>
    <row r="5637" spans="34:34" ht="15" thickBot="1" x14ac:dyDescent="0.4">
      <c r="AH5637" s="87"/>
    </row>
    <row r="5638" spans="34:34" ht="15" thickBot="1" x14ac:dyDescent="0.4">
      <c r="AH5638" s="87"/>
    </row>
    <row r="5639" spans="34:34" ht="15" thickBot="1" x14ac:dyDescent="0.4">
      <c r="AH5639" s="87"/>
    </row>
    <row r="5640" spans="34:34" ht="15" thickBot="1" x14ac:dyDescent="0.4">
      <c r="AH5640" s="87"/>
    </row>
    <row r="5641" spans="34:34" ht="15" thickBot="1" x14ac:dyDescent="0.4">
      <c r="AH5641" s="87"/>
    </row>
    <row r="5642" spans="34:34" ht="15" thickBot="1" x14ac:dyDescent="0.4">
      <c r="AH5642" s="87"/>
    </row>
    <row r="5643" spans="34:34" ht="15" thickBot="1" x14ac:dyDescent="0.4">
      <c r="AH5643" s="87"/>
    </row>
    <row r="5644" spans="34:34" ht="15" thickBot="1" x14ac:dyDescent="0.4">
      <c r="AH5644" s="87"/>
    </row>
    <row r="5645" spans="34:34" ht="15" thickBot="1" x14ac:dyDescent="0.4">
      <c r="AH5645" s="87"/>
    </row>
    <row r="5646" spans="34:34" ht="15" thickBot="1" x14ac:dyDescent="0.4">
      <c r="AH5646" s="87"/>
    </row>
    <row r="5647" spans="34:34" ht="15" thickBot="1" x14ac:dyDescent="0.4">
      <c r="AH5647" s="87"/>
    </row>
    <row r="5648" spans="34:34" ht="15" thickBot="1" x14ac:dyDescent="0.4">
      <c r="AH5648" s="87"/>
    </row>
    <row r="5649" spans="34:34" ht="15" thickBot="1" x14ac:dyDescent="0.4">
      <c r="AH5649" s="87"/>
    </row>
    <row r="5650" spans="34:34" ht="15" thickBot="1" x14ac:dyDescent="0.4">
      <c r="AH5650" s="87"/>
    </row>
    <row r="5651" spans="34:34" ht="15" thickBot="1" x14ac:dyDescent="0.4">
      <c r="AH5651" s="87"/>
    </row>
    <row r="5652" spans="34:34" ht="15" thickBot="1" x14ac:dyDescent="0.4">
      <c r="AH5652" s="87"/>
    </row>
    <row r="5653" spans="34:34" ht="15" thickBot="1" x14ac:dyDescent="0.4">
      <c r="AH5653" s="87"/>
    </row>
    <row r="5654" spans="34:34" ht="15" thickBot="1" x14ac:dyDescent="0.4">
      <c r="AH5654" s="87"/>
    </row>
    <row r="5655" spans="34:34" ht="15" thickBot="1" x14ac:dyDescent="0.4">
      <c r="AH5655" s="87"/>
    </row>
    <row r="5656" spans="34:34" ht="15" thickBot="1" x14ac:dyDescent="0.4">
      <c r="AH5656" s="87"/>
    </row>
    <row r="5657" spans="34:34" ht="15" thickBot="1" x14ac:dyDescent="0.4">
      <c r="AH5657" s="87"/>
    </row>
    <row r="5658" spans="34:34" ht="15" thickBot="1" x14ac:dyDescent="0.4">
      <c r="AH5658" s="87"/>
    </row>
    <row r="5659" spans="34:34" ht="15" thickBot="1" x14ac:dyDescent="0.4">
      <c r="AH5659" s="87"/>
    </row>
    <row r="5660" spans="34:34" ht="15" thickBot="1" x14ac:dyDescent="0.4">
      <c r="AH5660" s="87"/>
    </row>
    <row r="5661" spans="34:34" ht="15" thickBot="1" x14ac:dyDescent="0.4">
      <c r="AH5661" s="87"/>
    </row>
    <row r="5662" spans="34:34" ht="15" thickBot="1" x14ac:dyDescent="0.4">
      <c r="AH5662" s="87"/>
    </row>
    <row r="5663" spans="34:34" ht="15" thickBot="1" x14ac:dyDescent="0.4">
      <c r="AH5663" s="87"/>
    </row>
    <row r="5664" spans="34:34" ht="15" thickBot="1" x14ac:dyDescent="0.4">
      <c r="AH5664" s="87"/>
    </row>
    <row r="5665" spans="34:34" ht="15" thickBot="1" x14ac:dyDescent="0.4">
      <c r="AH5665" s="87"/>
    </row>
    <row r="5666" spans="34:34" ht="15" thickBot="1" x14ac:dyDescent="0.4">
      <c r="AH5666" s="87"/>
    </row>
    <row r="5667" spans="34:34" ht="15" thickBot="1" x14ac:dyDescent="0.4">
      <c r="AH5667" s="87"/>
    </row>
    <row r="5668" spans="34:34" ht="15" thickBot="1" x14ac:dyDescent="0.4">
      <c r="AH5668" s="87"/>
    </row>
    <row r="5669" spans="34:34" ht="15" thickBot="1" x14ac:dyDescent="0.4">
      <c r="AH5669" s="87"/>
    </row>
    <row r="5670" spans="34:34" ht="15" thickBot="1" x14ac:dyDescent="0.4">
      <c r="AH5670" s="87"/>
    </row>
    <row r="5671" spans="34:34" ht="15" thickBot="1" x14ac:dyDescent="0.4">
      <c r="AH5671" s="87"/>
    </row>
    <row r="5672" spans="34:34" ht="15" thickBot="1" x14ac:dyDescent="0.4">
      <c r="AH5672" s="87"/>
    </row>
    <row r="5673" spans="34:34" ht="15" thickBot="1" x14ac:dyDescent="0.4">
      <c r="AH5673" s="87"/>
    </row>
    <row r="5674" spans="34:34" ht="15" thickBot="1" x14ac:dyDescent="0.4">
      <c r="AH5674" s="87"/>
    </row>
    <row r="5675" spans="34:34" ht="15" thickBot="1" x14ac:dyDescent="0.4">
      <c r="AH5675" s="87"/>
    </row>
    <row r="5676" spans="34:34" ht="15" thickBot="1" x14ac:dyDescent="0.4">
      <c r="AH5676" s="87"/>
    </row>
    <row r="5677" spans="34:34" ht="15" thickBot="1" x14ac:dyDescent="0.4">
      <c r="AH5677" s="87"/>
    </row>
    <row r="5678" spans="34:34" ht="15" thickBot="1" x14ac:dyDescent="0.4">
      <c r="AH5678" s="87"/>
    </row>
    <row r="5679" spans="34:34" ht="15" thickBot="1" x14ac:dyDescent="0.4">
      <c r="AH5679" s="87"/>
    </row>
    <row r="5680" spans="34:34" ht="15" thickBot="1" x14ac:dyDescent="0.4">
      <c r="AH5680" s="87"/>
    </row>
    <row r="5681" spans="34:34" ht="15" thickBot="1" x14ac:dyDescent="0.4">
      <c r="AH5681" s="87"/>
    </row>
    <row r="5682" spans="34:34" ht="15" thickBot="1" x14ac:dyDescent="0.4">
      <c r="AH5682" s="87"/>
    </row>
    <row r="5683" spans="34:34" ht="15" thickBot="1" x14ac:dyDescent="0.4">
      <c r="AH5683" s="87"/>
    </row>
    <row r="5684" spans="34:34" ht="15" thickBot="1" x14ac:dyDescent="0.4">
      <c r="AH5684" s="87"/>
    </row>
    <row r="5685" spans="34:34" ht="15" thickBot="1" x14ac:dyDescent="0.4">
      <c r="AH5685" s="87"/>
    </row>
    <row r="5686" spans="34:34" ht="15" thickBot="1" x14ac:dyDescent="0.4">
      <c r="AH5686" s="87"/>
    </row>
    <row r="5687" spans="34:34" ht="15" thickBot="1" x14ac:dyDescent="0.4">
      <c r="AH5687" s="87"/>
    </row>
    <row r="5688" spans="34:34" ht="15" thickBot="1" x14ac:dyDescent="0.4">
      <c r="AH5688" s="87"/>
    </row>
    <row r="5689" spans="34:34" ht="15" thickBot="1" x14ac:dyDescent="0.4">
      <c r="AH5689" s="87"/>
    </row>
    <row r="5690" spans="34:34" ht="15" thickBot="1" x14ac:dyDescent="0.4">
      <c r="AH5690" s="87"/>
    </row>
    <row r="5691" spans="34:34" ht="15" thickBot="1" x14ac:dyDescent="0.4">
      <c r="AH5691" s="87"/>
    </row>
    <row r="5692" spans="34:34" ht="15" thickBot="1" x14ac:dyDescent="0.4">
      <c r="AH5692" s="87"/>
    </row>
    <row r="5693" spans="34:34" ht="15" thickBot="1" x14ac:dyDescent="0.4">
      <c r="AH5693" s="87"/>
    </row>
    <row r="5694" spans="34:34" ht="15" thickBot="1" x14ac:dyDescent="0.4">
      <c r="AH5694" s="87"/>
    </row>
    <row r="5695" spans="34:34" ht="15" thickBot="1" x14ac:dyDescent="0.4">
      <c r="AH5695" s="87"/>
    </row>
    <row r="5696" spans="34:34" ht="15" thickBot="1" x14ac:dyDescent="0.4">
      <c r="AH5696" s="87"/>
    </row>
    <row r="5697" spans="34:34" ht="15" thickBot="1" x14ac:dyDescent="0.4">
      <c r="AH5697" s="87"/>
    </row>
    <row r="5698" spans="34:34" ht="15" thickBot="1" x14ac:dyDescent="0.4">
      <c r="AH5698" s="87"/>
    </row>
    <row r="5699" spans="34:34" ht="15" thickBot="1" x14ac:dyDescent="0.4">
      <c r="AH5699" s="87"/>
    </row>
    <row r="5700" spans="34:34" ht="15" thickBot="1" x14ac:dyDescent="0.4">
      <c r="AH5700" s="87"/>
    </row>
    <row r="5701" spans="34:34" ht="15" thickBot="1" x14ac:dyDescent="0.4">
      <c r="AH5701" s="87"/>
    </row>
    <row r="5702" spans="34:34" ht="15" thickBot="1" x14ac:dyDescent="0.4">
      <c r="AH5702" s="87"/>
    </row>
    <row r="5703" spans="34:34" ht="15" thickBot="1" x14ac:dyDescent="0.4">
      <c r="AH5703" s="87"/>
    </row>
    <row r="5704" spans="34:34" ht="15" thickBot="1" x14ac:dyDescent="0.4">
      <c r="AH5704" s="87"/>
    </row>
    <row r="5705" spans="34:34" ht="15" thickBot="1" x14ac:dyDescent="0.4">
      <c r="AH5705" s="87"/>
    </row>
    <row r="5706" spans="34:34" ht="15" thickBot="1" x14ac:dyDescent="0.4">
      <c r="AH5706" s="87"/>
    </row>
    <row r="5707" spans="34:34" ht="15" thickBot="1" x14ac:dyDescent="0.4">
      <c r="AH5707" s="87"/>
    </row>
    <row r="5708" spans="34:34" ht="15" thickBot="1" x14ac:dyDescent="0.4">
      <c r="AH5708" s="87"/>
    </row>
    <row r="5709" spans="34:34" ht="15" thickBot="1" x14ac:dyDescent="0.4">
      <c r="AH5709" s="87"/>
    </row>
    <row r="5710" spans="34:34" ht="15" thickBot="1" x14ac:dyDescent="0.4">
      <c r="AH5710" s="87"/>
    </row>
    <row r="5711" spans="34:34" ht="15" thickBot="1" x14ac:dyDescent="0.4">
      <c r="AH5711" s="87"/>
    </row>
    <row r="5712" spans="34:34" ht="15" thickBot="1" x14ac:dyDescent="0.4">
      <c r="AH5712" s="87"/>
    </row>
    <row r="5713" spans="34:34" ht="15" thickBot="1" x14ac:dyDescent="0.4">
      <c r="AH5713" s="87"/>
    </row>
    <row r="5714" spans="34:34" ht="15" thickBot="1" x14ac:dyDescent="0.4">
      <c r="AH5714" s="87"/>
    </row>
    <row r="5715" spans="34:34" ht="15" thickBot="1" x14ac:dyDescent="0.4">
      <c r="AH5715" s="87"/>
    </row>
    <row r="5716" spans="34:34" ht="15" thickBot="1" x14ac:dyDescent="0.4">
      <c r="AH5716" s="87"/>
    </row>
    <row r="5717" spans="34:34" ht="15" thickBot="1" x14ac:dyDescent="0.4">
      <c r="AH5717" s="87"/>
    </row>
    <row r="5718" spans="34:34" ht="15" thickBot="1" x14ac:dyDescent="0.4">
      <c r="AH5718" s="87"/>
    </row>
    <row r="5719" spans="34:34" ht="15" thickBot="1" x14ac:dyDescent="0.4">
      <c r="AH5719" s="87"/>
    </row>
    <row r="5720" spans="34:34" ht="15" thickBot="1" x14ac:dyDescent="0.4">
      <c r="AH5720" s="87"/>
    </row>
    <row r="5721" spans="34:34" ht="15" thickBot="1" x14ac:dyDescent="0.4">
      <c r="AH5721" s="87"/>
    </row>
    <row r="5722" spans="34:34" ht="15" thickBot="1" x14ac:dyDescent="0.4">
      <c r="AH5722" s="87"/>
    </row>
    <row r="5723" spans="34:34" ht="15" thickBot="1" x14ac:dyDescent="0.4">
      <c r="AH5723" s="87"/>
    </row>
    <row r="5724" spans="34:34" ht="15" thickBot="1" x14ac:dyDescent="0.4">
      <c r="AH5724" s="87"/>
    </row>
    <row r="5725" spans="34:34" ht="15" thickBot="1" x14ac:dyDescent="0.4">
      <c r="AH5725" s="87"/>
    </row>
    <row r="5726" spans="34:34" ht="15" thickBot="1" x14ac:dyDescent="0.4">
      <c r="AH5726" s="87"/>
    </row>
    <row r="5727" spans="34:34" ht="15" thickBot="1" x14ac:dyDescent="0.4">
      <c r="AH5727" s="87"/>
    </row>
    <row r="5728" spans="34:34" ht="15" thickBot="1" x14ac:dyDescent="0.4">
      <c r="AH5728" s="87"/>
    </row>
    <row r="5729" spans="34:34" ht="15" thickBot="1" x14ac:dyDescent="0.4">
      <c r="AH5729" s="87"/>
    </row>
    <row r="5730" spans="34:34" ht="15" thickBot="1" x14ac:dyDescent="0.4">
      <c r="AH5730" s="87"/>
    </row>
    <row r="5731" spans="34:34" ht="15" thickBot="1" x14ac:dyDescent="0.4">
      <c r="AH5731" s="87"/>
    </row>
    <row r="5732" spans="34:34" ht="15" thickBot="1" x14ac:dyDescent="0.4">
      <c r="AH5732" s="87"/>
    </row>
    <row r="5733" spans="34:34" ht="15" thickBot="1" x14ac:dyDescent="0.4">
      <c r="AH5733" s="87"/>
    </row>
    <row r="5734" spans="34:34" ht="15" thickBot="1" x14ac:dyDescent="0.4">
      <c r="AH5734" s="87"/>
    </row>
    <row r="5735" spans="34:34" ht="15" thickBot="1" x14ac:dyDescent="0.4">
      <c r="AH5735" s="87"/>
    </row>
    <row r="5736" spans="34:34" ht="15" thickBot="1" x14ac:dyDescent="0.4">
      <c r="AH5736" s="87"/>
    </row>
    <row r="5737" spans="34:34" ht="15" thickBot="1" x14ac:dyDescent="0.4">
      <c r="AH5737" s="87"/>
    </row>
    <row r="5738" spans="34:34" ht="15" thickBot="1" x14ac:dyDescent="0.4">
      <c r="AH5738" s="87"/>
    </row>
    <row r="5739" spans="34:34" ht="15" thickBot="1" x14ac:dyDescent="0.4">
      <c r="AH5739" s="87"/>
    </row>
    <row r="5740" spans="34:34" ht="15" thickBot="1" x14ac:dyDescent="0.4">
      <c r="AH5740" s="87"/>
    </row>
    <row r="5741" spans="34:34" ht="15" thickBot="1" x14ac:dyDescent="0.4">
      <c r="AH5741" s="87"/>
    </row>
    <row r="5742" spans="34:34" ht="15" thickBot="1" x14ac:dyDescent="0.4">
      <c r="AH5742" s="87"/>
    </row>
    <row r="5743" spans="34:34" ht="15" thickBot="1" x14ac:dyDescent="0.4">
      <c r="AH5743" s="87"/>
    </row>
    <row r="5744" spans="34:34" ht="15" thickBot="1" x14ac:dyDescent="0.4">
      <c r="AH5744" s="87"/>
    </row>
    <row r="5745" spans="34:34" ht="15" thickBot="1" x14ac:dyDescent="0.4">
      <c r="AH5745" s="87"/>
    </row>
    <row r="5746" spans="34:34" ht="15" thickBot="1" x14ac:dyDescent="0.4">
      <c r="AH5746" s="87"/>
    </row>
    <row r="5747" spans="34:34" ht="15" thickBot="1" x14ac:dyDescent="0.4">
      <c r="AH5747" s="87"/>
    </row>
    <row r="5748" spans="34:34" ht="15" thickBot="1" x14ac:dyDescent="0.4">
      <c r="AH5748" s="87"/>
    </row>
    <row r="5749" spans="34:34" ht="15" thickBot="1" x14ac:dyDescent="0.4">
      <c r="AH5749" s="87"/>
    </row>
    <row r="5750" spans="34:34" ht="15" thickBot="1" x14ac:dyDescent="0.4">
      <c r="AH5750" s="87"/>
    </row>
    <row r="5751" spans="34:34" ht="15" thickBot="1" x14ac:dyDescent="0.4">
      <c r="AH5751" s="87"/>
    </row>
    <row r="5752" spans="34:34" ht="15" thickBot="1" x14ac:dyDescent="0.4">
      <c r="AH5752" s="87"/>
    </row>
    <row r="5753" spans="34:34" ht="15" thickBot="1" x14ac:dyDescent="0.4">
      <c r="AH5753" s="87"/>
    </row>
    <row r="5754" spans="34:34" ht="15" thickBot="1" x14ac:dyDescent="0.4">
      <c r="AH5754" s="87"/>
    </row>
    <row r="5755" spans="34:34" ht="15" thickBot="1" x14ac:dyDescent="0.4">
      <c r="AH5755" s="87"/>
    </row>
    <row r="5756" spans="34:34" ht="15" thickBot="1" x14ac:dyDescent="0.4">
      <c r="AH5756" s="87"/>
    </row>
    <row r="5757" spans="34:34" ht="15" thickBot="1" x14ac:dyDescent="0.4">
      <c r="AH5757" s="87"/>
    </row>
    <row r="5758" spans="34:34" ht="15" thickBot="1" x14ac:dyDescent="0.4">
      <c r="AH5758" s="87"/>
    </row>
    <row r="5759" spans="34:34" ht="15" thickBot="1" x14ac:dyDescent="0.4">
      <c r="AH5759" s="87"/>
    </row>
    <row r="5760" spans="34:34" ht="15" thickBot="1" x14ac:dyDescent="0.4">
      <c r="AH5760" s="87"/>
    </row>
    <row r="5761" spans="34:34" ht="15" thickBot="1" x14ac:dyDescent="0.4">
      <c r="AH5761" s="87"/>
    </row>
    <row r="5762" spans="34:34" ht="15" thickBot="1" x14ac:dyDescent="0.4">
      <c r="AH5762" s="87"/>
    </row>
    <row r="5763" spans="34:34" ht="15" thickBot="1" x14ac:dyDescent="0.4">
      <c r="AH5763" s="87"/>
    </row>
    <row r="5764" spans="34:34" ht="15" thickBot="1" x14ac:dyDescent="0.4">
      <c r="AH5764" s="87"/>
    </row>
    <row r="5765" spans="34:34" ht="15" thickBot="1" x14ac:dyDescent="0.4">
      <c r="AH5765" s="87"/>
    </row>
    <row r="5766" spans="34:34" ht="15" thickBot="1" x14ac:dyDescent="0.4">
      <c r="AH5766" s="87"/>
    </row>
    <row r="5767" spans="34:34" ht="15" thickBot="1" x14ac:dyDescent="0.4">
      <c r="AH5767" s="87"/>
    </row>
    <row r="5768" spans="34:34" ht="15" thickBot="1" x14ac:dyDescent="0.4">
      <c r="AH5768" s="87"/>
    </row>
    <row r="5769" spans="34:34" ht="15" thickBot="1" x14ac:dyDescent="0.4">
      <c r="AH5769" s="87"/>
    </row>
    <row r="5770" spans="34:34" ht="15" thickBot="1" x14ac:dyDescent="0.4">
      <c r="AH5770" s="87"/>
    </row>
    <row r="5771" spans="34:34" ht="15" thickBot="1" x14ac:dyDescent="0.4">
      <c r="AH5771" s="87"/>
    </row>
    <row r="5772" spans="34:34" ht="15" thickBot="1" x14ac:dyDescent="0.4">
      <c r="AH5772" s="87"/>
    </row>
    <row r="5773" spans="34:34" ht="15" thickBot="1" x14ac:dyDescent="0.4">
      <c r="AH5773" s="87"/>
    </row>
    <row r="5774" spans="34:34" ht="15" thickBot="1" x14ac:dyDescent="0.4">
      <c r="AH5774" s="87"/>
    </row>
    <row r="5775" spans="34:34" ht="15" thickBot="1" x14ac:dyDescent="0.4">
      <c r="AH5775" s="87"/>
    </row>
    <row r="5776" spans="34:34" ht="15" thickBot="1" x14ac:dyDescent="0.4">
      <c r="AH5776" s="87"/>
    </row>
    <row r="5777" spans="34:34" ht="15" thickBot="1" x14ac:dyDescent="0.4">
      <c r="AH5777" s="87"/>
    </row>
    <row r="5778" spans="34:34" ht="15" thickBot="1" x14ac:dyDescent="0.4">
      <c r="AH5778" s="87"/>
    </row>
    <row r="5779" spans="34:34" ht="15" thickBot="1" x14ac:dyDescent="0.4">
      <c r="AH5779" s="87"/>
    </row>
    <row r="5780" spans="34:34" ht="15" thickBot="1" x14ac:dyDescent="0.4">
      <c r="AH5780" s="87"/>
    </row>
    <row r="5781" spans="34:34" ht="15" thickBot="1" x14ac:dyDescent="0.4">
      <c r="AH5781" s="87"/>
    </row>
    <row r="5782" spans="34:34" ht="15" thickBot="1" x14ac:dyDescent="0.4">
      <c r="AH5782" s="87"/>
    </row>
    <row r="5783" spans="34:34" ht="15" thickBot="1" x14ac:dyDescent="0.4">
      <c r="AH5783" s="87"/>
    </row>
    <row r="5784" spans="34:34" ht="15" thickBot="1" x14ac:dyDescent="0.4">
      <c r="AH5784" s="87"/>
    </row>
    <row r="5785" spans="34:34" ht="15" thickBot="1" x14ac:dyDescent="0.4">
      <c r="AH5785" s="87"/>
    </row>
    <row r="5786" spans="34:34" ht="15" thickBot="1" x14ac:dyDescent="0.4">
      <c r="AH5786" s="87"/>
    </row>
    <row r="5787" spans="34:34" ht="15" thickBot="1" x14ac:dyDescent="0.4">
      <c r="AH5787" s="87"/>
    </row>
    <row r="5788" spans="34:34" ht="15" thickBot="1" x14ac:dyDescent="0.4">
      <c r="AH5788" s="87"/>
    </row>
    <row r="5789" spans="34:34" ht="15" thickBot="1" x14ac:dyDescent="0.4">
      <c r="AH5789" s="87"/>
    </row>
    <row r="5790" spans="34:34" ht="15" thickBot="1" x14ac:dyDescent="0.4">
      <c r="AH5790" s="87"/>
    </row>
    <row r="5791" spans="34:34" ht="15" thickBot="1" x14ac:dyDescent="0.4">
      <c r="AH5791" s="87"/>
    </row>
    <row r="5792" spans="34:34" ht="15" thickBot="1" x14ac:dyDescent="0.4">
      <c r="AH5792" s="87"/>
    </row>
    <row r="5793" spans="34:34" ht="15" thickBot="1" x14ac:dyDescent="0.4">
      <c r="AH5793" s="87"/>
    </row>
    <row r="5794" spans="34:34" ht="15" thickBot="1" x14ac:dyDescent="0.4">
      <c r="AH5794" s="87"/>
    </row>
    <row r="5795" spans="34:34" ht="15" thickBot="1" x14ac:dyDescent="0.4">
      <c r="AH5795" s="87"/>
    </row>
    <row r="5796" spans="34:34" ht="15" thickBot="1" x14ac:dyDescent="0.4">
      <c r="AH5796" s="87"/>
    </row>
    <row r="5797" spans="34:34" ht="15" thickBot="1" x14ac:dyDescent="0.4">
      <c r="AH5797" s="87"/>
    </row>
    <row r="5798" spans="34:34" ht="15" thickBot="1" x14ac:dyDescent="0.4">
      <c r="AH5798" s="87"/>
    </row>
    <row r="5799" spans="34:34" ht="15" thickBot="1" x14ac:dyDescent="0.4">
      <c r="AH5799" s="87"/>
    </row>
    <row r="5800" spans="34:34" ht="15" thickBot="1" x14ac:dyDescent="0.4">
      <c r="AH5800" s="87"/>
    </row>
    <row r="5801" spans="34:34" ht="15" thickBot="1" x14ac:dyDescent="0.4">
      <c r="AH5801" s="87"/>
    </row>
    <row r="5802" spans="34:34" ht="15" thickBot="1" x14ac:dyDescent="0.4">
      <c r="AH5802" s="87"/>
    </row>
    <row r="5803" spans="34:34" ht="15" thickBot="1" x14ac:dyDescent="0.4">
      <c r="AH5803" s="87"/>
    </row>
    <row r="5804" spans="34:34" ht="15" thickBot="1" x14ac:dyDescent="0.4">
      <c r="AH5804" s="87"/>
    </row>
    <row r="5805" spans="34:34" ht="15" thickBot="1" x14ac:dyDescent="0.4">
      <c r="AH5805" s="87"/>
    </row>
    <row r="5806" spans="34:34" ht="15" thickBot="1" x14ac:dyDescent="0.4">
      <c r="AH5806" s="87"/>
    </row>
    <row r="5807" spans="34:34" ht="15" thickBot="1" x14ac:dyDescent="0.4">
      <c r="AH5807" s="87"/>
    </row>
    <row r="5808" spans="34:34" ht="15" thickBot="1" x14ac:dyDescent="0.4">
      <c r="AH5808" s="87"/>
    </row>
    <row r="5809" spans="34:34" ht="15" thickBot="1" x14ac:dyDescent="0.4">
      <c r="AH5809" s="87"/>
    </row>
    <row r="5810" spans="34:34" ht="15" thickBot="1" x14ac:dyDescent="0.4">
      <c r="AH5810" s="87"/>
    </row>
    <row r="5811" spans="34:34" ht="15" thickBot="1" x14ac:dyDescent="0.4">
      <c r="AH5811" s="87"/>
    </row>
    <row r="5812" spans="34:34" ht="15" thickBot="1" x14ac:dyDescent="0.4">
      <c r="AH5812" s="87"/>
    </row>
    <row r="5813" spans="34:34" ht="15" thickBot="1" x14ac:dyDescent="0.4">
      <c r="AH5813" s="87"/>
    </row>
    <row r="5814" spans="34:34" ht="15" thickBot="1" x14ac:dyDescent="0.4">
      <c r="AH5814" s="87"/>
    </row>
    <row r="5815" spans="34:34" ht="15" thickBot="1" x14ac:dyDescent="0.4">
      <c r="AH5815" s="87"/>
    </row>
    <row r="5816" spans="34:34" ht="15" thickBot="1" x14ac:dyDescent="0.4">
      <c r="AH5816" s="87"/>
    </row>
    <row r="5817" spans="34:34" ht="15" thickBot="1" x14ac:dyDescent="0.4">
      <c r="AH5817" s="87"/>
    </row>
    <row r="5818" spans="34:34" ht="15" thickBot="1" x14ac:dyDescent="0.4">
      <c r="AH5818" s="87"/>
    </row>
    <row r="5819" spans="34:34" ht="15" thickBot="1" x14ac:dyDescent="0.4">
      <c r="AH5819" s="87"/>
    </row>
    <row r="5820" spans="34:34" ht="15" thickBot="1" x14ac:dyDescent="0.4">
      <c r="AH5820" s="87"/>
    </row>
    <row r="5821" spans="34:34" ht="15" thickBot="1" x14ac:dyDescent="0.4">
      <c r="AH5821" s="87"/>
    </row>
    <row r="5822" spans="34:34" ht="15" thickBot="1" x14ac:dyDescent="0.4">
      <c r="AH5822" s="87"/>
    </row>
    <row r="5823" spans="34:34" ht="15" thickBot="1" x14ac:dyDescent="0.4">
      <c r="AH5823" s="87"/>
    </row>
    <row r="5824" spans="34:34" ht="15" thickBot="1" x14ac:dyDescent="0.4">
      <c r="AH5824" s="87"/>
    </row>
    <row r="5825" spans="34:34" ht="15" thickBot="1" x14ac:dyDescent="0.4">
      <c r="AH5825" s="87"/>
    </row>
    <row r="5826" spans="34:34" ht="15" thickBot="1" x14ac:dyDescent="0.4">
      <c r="AH5826" s="87"/>
    </row>
    <row r="5827" spans="34:34" ht="15" thickBot="1" x14ac:dyDescent="0.4">
      <c r="AH5827" s="87"/>
    </row>
    <row r="5828" spans="34:34" ht="15" thickBot="1" x14ac:dyDescent="0.4">
      <c r="AH5828" s="87"/>
    </row>
    <row r="5829" spans="34:34" ht="15" thickBot="1" x14ac:dyDescent="0.4">
      <c r="AH5829" s="87"/>
    </row>
    <row r="5830" spans="34:34" ht="15" thickBot="1" x14ac:dyDescent="0.4">
      <c r="AH5830" s="87"/>
    </row>
    <row r="5831" spans="34:34" ht="15" thickBot="1" x14ac:dyDescent="0.4">
      <c r="AH5831" s="87"/>
    </row>
    <row r="5832" spans="34:34" ht="15" thickBot="1" x14ac:dyDescent="0.4">
      <c r="AH5832" s="87"/>
    </row>
    <row r="5833" spans="34:34" ht="15" thickBot="1" x14ac:dyDescent="0.4">
      <c r="AH5833" s="87"/>
    </row>
    <row r="5834" spans="34:34" ht="15" thickBot="1" x14ac:dyDescent="0.4">
      <c r="AH5834" s="87"/>
    </row>
    <row r="5835" spans="34:34" ht="15" thickBot="1" x14ac:dyDescent="0.4">
      <c r="AH5835" s="87"/>
    </row>
    <row r="5836" spans="34:34" ht="15" thickBot="1" x14ac:dyDescent="0.4">
      <c r="AH5836" s="87"/>
    </row>
    <row r="5837" spans="34:34" ht="15" thickBot="1" x14ac:dyDescent="0.4">
      <c r="AH5837" s="87"/>
    </row>
    <row r="5838" spans="34:34" ht="15" thickBot="1" x14ac:dyDescent="0.4">
      <c r="AH5838" s="87"/>
    </row>
    <row r="5839" spans="34:34" ht="15" thickBot="1" x14ac:dyDescent="0.4">
      <c r="AH5839" s="87"/>
    </row>
    <row r="5840" spans="34:34" ht="15" thickBot="1" x14ac:dyDescent="0.4">
      <c r="AH5840" s="87"/>
    </row>
    <row r="5841" spans="34:34" ht="15" thickBot="1" x14ac:dyDescent="0.4">
      <c r="AH5841" s="87"/>
    </row>
    <row r="5842" spans="34:34" ht="15" thickBot="1" x14ac:dyDescent="0.4">
      <c r="AH5842" s="87"/>
    </row>
    <row r="5843" spans="34:34" ht="15" thickBot="1" x14ac:dyDescent="0.4">
      <c r="AH5843" s="87"/>
    </row>
    <row r="5844" spans="34:34" ht="15" thickBot="1" x14ac:dyDescent="0.4">
      <c r="AH5844" s="87"/>
    </row>
    <row r="5845" spans="34:34" ht="15" thickBot="1" x14ac:dyDescent="0.4">
      <c r="AH5845" s="87"/>
    </row>
    <row r="5846" spans="34:34" ht="15" thickBot="1" x14ac:dyDescent="0.4">
      <c r="AH5846" s="87"/>
    </row>
    <row r="5847" spans="34:34" ht="15" thickBot="1" x14ac:dyDescent="0.4">
      <c r="AH5847" s="87"/>
    </row>
    <row r="5848" spans="34:34" ht="15" thickBot="1" x14ac:dyDescent="0.4">
      <c r="AH5848" s="87"/>
    </row>
    <row r="5849" spans="34:34" ht="15" thickBot="1" x14ac:dyDescent="0.4">
      <c r="AH5849" s="87"/>
    </row>
    <row r="5850" spans="34:34" ht="15" thickBot="1" x14ac:dyDescent="0.4">
      <c r="AH5850" s="87"/>
    </row>
    <row r="5851" spans="34:34" ht="15" thickBot="1" x14ac:dyDescent="0.4">
      <c r="AH5851" s="87"/>
    </row>
    <row r="5852" spans="34:34" ht="15" thickBot="1" x14ac:dyDescent="0.4">
      <c r="AH5852" s="87"/>
    </row>
    <row r="5853" spans="34:34" ht="15" thickBot="1" x14ac:dyDescent="0.4">
      <c r="AH5853" s="87"/>
    </row>
    <row r="5854" spans="34:34" ht="15" thickBot="1" x14ac:dyDescent="0.4">
      <c r="AH5854" s="87"/>
    </row>
    <row r="5855" spans="34:34" ht="15" thickBot="1" x14ac:dyDescent="0.4">
      <c r="AH5855" s="87"/>
    </row>
    <row r="5856" spans="34:34" ht="15" thickBot="1" x14ac:dyDescent="0.4">
      <c r="AH5856" s="87"/>
    </row>
    <row r="5857" spans="34:34" ht="15" thickBot="1" x14ac:dyDescent="0.4">
      <c r="AH5857" s="87"/>
    </row>
    <row r="5858" spans="34:34" ht="15" thickBot="1" x14ac:dyDescent="0.4">
      <c r="AH5858" s="87"/>
    </row>
    <row r="5859" spans="34:34" ht="15" thickBot="1" x14ac:dyDescent="0.4">
      <c r="AH5859" s="87"/>
    </row>
    <row r="5860" spans="34:34" ht="15" thickBot="1" x14ac:dyDescent="0.4">
      <c r="AH5860" s="87"/>
    </row>
    <row r="5861" spans="34:34" ht="15" thickBot="1" x14ac:dyDescent="0.4">
      <c r="AH5861" s="87"/>
    </row>
    <row r="5862" spans="34:34" ht="15" thickBot="1" x14ac:dyDescent="0.4">
      <c r="AH5862" s="87"/>
    </row>
    <row r="5863" spans="34:34" ht="15" thickBot="1" x14ac:dyDescent="0.4">
      <c r="AH5863" s="87"/>
    </row>
    <row r="5864" spans="34:34" ht="15" thickBot="1" x14ac:dyDescent="0.4">
      <c r="AH5864" s="87"/>
    </row>
    <row r="5865" spans="34:34" ht="15" thickBot="1" x14ac:dyDescent="0.4">
      <c r="AH5865" s="87"/>
    </row>
    <row r="5866" spans="34:34" ht="15" thickBot="1" x14ac:dyDescent="0.4">
      <c r="AH5866" s="87"/>
    </row>
    <row r="5867" spans="34:34" ht="15" thickBot="1" x14ac:dyDescent="0.4">
      <c r="AH5867" s="87"/>
    </row>
    <row r="5868" spans="34:34" ht="15" thickBot="1" x14ac:dyDescent="0.4">
      <c r="AH5868" s="87"/>
    </row>
    <row r="5869" spans="34:34" ht="15" thickBot="1" x14ac:dyDescent="0.4">
      <c r="AH5869" s="87"/>
    </row>
    <row r="5870" spans="34:34" ht="15" thickBot="1" x14ac:dyDescent="0.4">
      <c r="AH5870" s="87"/>
    </row>
    <row r="5871" spans="34:34" ht="15" thickBot="1" x14ac:dyDescent="0.4">
      <c r="AH5871" s="87"/>
    </row>
    <row r="5872" spans="34:34" ht="15" thickBot="1" x14ac:dyDescent="0.4">
      <c r="AH5872" s="87"/>
    </row>
    <row r="5873" spans="34:34" ht="15" thickBot="1" x14ac:dyDescent="0.4">
      <c r="AH5873" s="87"/>
    </row>
    <row r="5874" spans="34:34" ht="15" thickBot="1" x14ac:dyDescent="0.4">
      <c r="AH5874" s="87"/>
    </row>
    <row r="5875" spans="34:34" ht="15" thickBot="1" x14ac:dyDescent="0.4">
      <c r="AH5875" s="87"/>
    </row>
    <row r="5876" spans="34:34" ht="15" thickBot="1" x14ac:dyDescent="0.4">
      <c r="AH5876" s="87"/>
    </row>
    <row r="5877" spans="34:34" ht="15" thickBot="1" x14ac:dyDescent="0.4">
      <c r="AH5877" s="87"/>
    </row>
    <row r="5878" spans="34:34" ht="15" thickBot="1" x14ac:dyDescent="0.4">
      <c r="AH5878" s="87"/>
    </row>
    <row r="5879" spans="34:34" ht="15" thickBot="1" x14ac:dyDescent="0.4">
      <c r="AH5879" s="87"/>
    </row>
    <row r="5880" spans="34:34" ht="15" thickBot="1" x14ac:dyDescent="0.4">
      <c r="AH5880" s="87"/>
    </row>
    <row r="5881" spans="34:34" ht="15" thickBot="1" x14ac:dyDescent="0.4">
      <c r="AH5881" s="87"/>
    </row>
    <row r="5882" spans="34:34" ht="15" thickBot="1" x14ac:dyDescent="0.4">
      <c r="AH5882" s="87"/>
    </row>
    <row r="5883" spans="34:34" ht="15" thickBot="1" x14ac:dyDescent="0.4">
      <c r="AH5883" s="87"/>
    </row>
    <row r="5884" spans="34:34" ht="15" thickBot="1" x14ac:dyDescent="0.4">
      <c r="AH5884" s="87"/>
    </row>
    <row r="5885" spans="34:34" ht="15" thickBot="1" x14ac:dyDescent="0.4">
      <c r="AH5885" s="87"/>
    </row>
    <row r="5886" spans="34:34" ht="15" thickBot="1" x14ac:dyDescent="0.4">
      <c r="AH5886" s="87"/>
    </row>
    <row r="5887" spans="34:34" ht="15" thickBot="1" x14ac:dyDescent="0.4">
      <c r="AH5887" s="87"/>
    </row>
    <row r="5888" spans="34:34" ht="15" thickBot="1" x14ac:dyDescent="0.4">
      <c r="AH5888" s="87"/>
    </row>
    <row r="5889" spans="34:34" ht="15" thickBot="1" x14ac:dyDescent="0.4">
      <c r="AH5889" s="87"/>
    </row>
    <row r="5890" spans="34:34" ht="15" thickBot="1" x14ac:dyDescent="0.4">
      <c r="AH5890" s="87"/>
    </row>
    <row r="5891" spans="34:34" ht="15" thickBot="1" x14ac:dyDescent="0.4">
      <c r="AH5891" s="87"/>
    </row>
    <row r="5892" spans="34:34" ht="15" thickBot="1" x14ac:dyDescent="0.4">
      <c r="AH5892" s="87"/>
    </row>
    <row r="5893" spans="34:34" ht="15" thickBot="1" x14ac:dyDescent="0.4">
      <c r="AH5893" s="87"/>
    </row>
    <row r="5894" spans="34:34" ht="15" thickBot="1" x14ac:dyDescent="0.4">
      <c r="AH5894" s="87"/>
    </row>
    <row r="5895" spans="34:34" ht="15" thickBot="1" x14ac:dyDescent="0.4">
      <c r="AH5895" s="87"/>
    </row>
    <row r="5896" spans="34:34" ht="15" thickBot="1" x14ac:dyDescent="0.4">
      <c r="AH5896" s="87"/>
    </row>
    <row r="5897" spans="34:34" ht="15" thickBot="1" x14ac:dyDescent="0.4">
      <c r="AH5897" s="87"/>
    </row>
    <row r="5898" spans="34:34" ht="15" thickBot="1" x14ac:dyDescent="0.4">
      <c r="AH5898" s="87"/>
    </row>
    <row r="5899" spans="34:34" ht="15" thickBot="1" x14ac:dyDescent="0.4">
      <c r="AH5899" s="87"/>
    </row>
    <row r="5900" spans="34:34" ht="15" thickBot="1" x14ac:dyDescent="0.4">
      <c r="AH5900" s="87"/>
    </row>
    <row r="5901" spans="34:34" ht="15" thickBot="1" x14ac:dyDescent="0.4">
      <c r="AH5901" s="87"/>
    </row>
    <row r="5902" spans="34:34" ht="15" thickBot="1" x14ac:dyDescent="0.4">
      <c r="AH5902" s="87"/>
    </row>
    <row r="5903" spans="34:34" ht="15" thickBot="1" x14ac:dyDescent="0.4">
      <c r="AH5903" s="87"/>
    </row>
    <row r="5904" spans="34:34" ht="15" thickBot="1" x14ac:dyDescent="0.4">
      <c r="AH5904" s="87"/>
    </row>
    <row r="5905" spans="34:34" ht="15" thickBot="1" x14ac:dyDescent="0.4">
      <c r="AH5905" s="87"/>
    </row>
    <row r="5906" spans="34:34" ht="15" thickBot="1" x14ac:dyDescent="0.4">
      <c r="AH5906" s="87"/>
    </row>
    <row r="5907" spans="34:34" ht="15" thickBot="1" x14ac:dyDescent="0.4">
      <c r="AH5907" s="87"/>
    </row>
    <row r="5908" spans="34:34" ht="15" thickBot="1" x14ac:dyDescent="0.4">
      <c r="AH5908" s="87"/>
    </row>
    <row r="5909" spans="34:34" ht="15" thickBot="1" x14ac:dyDescent="0.4">
      <c r="AH5909" s="87"/>
    </row>
    <row r="5910" spans="34:34" ht="15" thickBot="1" x14ac:dyDescent="0.4">
      <c r="AH5910" s="87"/>
    </row>
    <row r="5911" spans="34:34" ht="15" thickBot="1" x14ac:dyDescent="0.4">
      <c r="AH5911" s="87"/>
    </row>
    <row r="5912" spans="34:34" ht="15" thickBot="1" x14ac:dyDescent="0.4">
      <c r="AH5912" s="87"/>
    </row>
    <row r="5913" spans="34:34" ht="15" thickBot="1" x14ac:dyDescent="0.4">
      <c r="AH5913" s="87"/>
    </row>
    <row r="5914" spans="34:34" ht="15" thickBot="1" x14ac:dyDescent="0.4">
      <c r="AH5914" s="87"/>
    </row>
    <row r="5915" spans="34:34" ht="15" thickBot="1" x14ac:dyDescent="0.4">
      <c r="AH5915" s="87"/>
    </row>
    <row r="5916" spans="34:34" ht="15" thickBot="1" x14ac:dyDescent="0.4">
      <c r="AH5916" s="87"/>
    </row>
    <row r="5917" spans="34:34" ht="15" thickBot="1" x14ac:dyDescent="0.4">
      <c r="AH5917" s="87"/>
    </row>
    <row r="5918" spans="34:34" ht="15" thickBot="1" x14ac:dyDescent="0.4">
      <c r="AH5918" s="87"/>
    </row>
    <row r="5919" spans="34:34" ht="15" thickBot="1" x14ac:dyDescent="0.4">
      <c r="AH5919" s="87"/>
    </row>
    <row r="5920" spans="34:34" ht="15" thickBot="1" x14ac:dyDescent="0.4">
      <c r="AH5920" s="87"/>
    </row>
    <row r="5921" spans="34:34" ht="15" thickBot="1" x14ac:dyDescent="0.4">
      <c r="AH5921" s="87"/>
    </row>
    <row r="5922" spans="34:34" ht="15" thickBot="1" x14ac:dyDescent="0.4">
      <c r="AH5922" s="87"/>
    </row>
    <row r="5923" spans="34:34" ht="15" thickBot="1" x14ac:dyDescent="0.4">
      <c r="AH5923" s="87"/>
    </row>
    <row r="5924" spans="34:34" ht="15" thickBot="1" x14ac:dyDescent="0.4">
      <c r="AH5924" s="87"/>
    </row>
    <row r="5925" spans="34:34" ht="15" thickBot="1" x14ac:dyDescent="0.4">
      <c r="AH5925" s="87"/>
    </row>
    <row r="5926" spans="34:34" ht="15" thickBot="1" x14ac:dyDescent="0.4">
      <c r="AH5926" s="87"/>
    </row>
    <row r="5927" spans="34:34" ht="15" thickBot="1" x14ac:dyDescent="0.4">
      <c r="AH5927" s="87"/>
    </row>
    <row r="5928" spans="34:34" ht="15" thickBot="1" x14ac:dyDescent="0.4">
      <c r="AH5928" s="87"/>
    </row>
    <row r="5929" spans="34:34" ht="15" thickBot="1" x14ac:dyDescent="0.4">
      <c r="AH5929" s="87"/>
    </row>
    <row r="5930" spans="34:34" ht="15" thickBot="1" x14ac:dyDescent="0.4">
      <c r="AH5930" s="87"/>
    </row>
    <row r="5931" spans="34:34" ht="15" thickBot="1" x14ac:dyDescent="0.4">
      <c r="AH5931" s="87"/>
    </row>
    <row r="5932" spans="34:34" ht="15" thickBot="1" x14ac:dyDescent="0.4">
      <c r="AH5932" s="87"/>
    </row>
    <row r="5933" spans="34:34" ht="15" thickBot="1" x14ac:dyDescent="0.4">
      <c r="AH5933" s="87"/>
    </row>
    <row r="5934" spans="34:34" ht="15" thickBot="1" x14ac:dyDescent="0.4">
      <c r="AH5934" s="87"/>
    </row>
    <row r="5935" spans="34:34" ht="15" thickBot="1" x14ac:dyDescent="0.4">
      <c r="AH5935" s="87"/>
    </row>
    <row r="5936" spans="34:34" ht="15" thickBot="1" x14ac:dyDescent="0.4">
      <c r="AH5936" s="87"/>
    </row>
    <row r="5937" spans="34:34" ht="15" thickBot="1" x14ac:dyDescent="0.4">
      <c r="AH5937" s="87"/>
    </row>
    <row r="5938" spans="34:34" ht="15" thickBot="1" x14ac:dyDescent="0.4">
      <c r="AH5938" s="87"/>
    </row>
    <row r="5939" spans="34:34" ht="15" thickBot="1" x14ac:dyDescent="0.4">
      <c r="AH5939" s="87"/>
    </row>
    <row r="5940" spans="34:34" ht="15" thickBot="1" x14ac:dyDescent="0.4">
      <c r="AH5940" s="87"/>
    </row>
    <row r="5941" spans="34:34" ht="15" thickBot="1" x14ac:dyDescent="0.4">
      <c r="AH5941" s="87"/>
    </row>
    <row r="5942" spans="34:34" ht="15" thickBot="1" x14ac:dyDescent="0.4">
      <c r="AH5942" s="87"/>
    </row>
    <row r="5943" spans="34:34" ht="15" thickBot="1" x14ac:dyDescent="0.4">
      <c r="AH5943" s="87"/>
    </row>
    <row r="5944" spans="34:34" ht="15" thickBot="1" x14ac:dyDescent="0.4">
      <c r="AH5944" s="87"/>
    </row>
    <row r="5945" spans="34:34" ht="15" thickBot="1" x14ac:dyDescent="0.4">
      <c r="AH5945" s="87"/>
    </row>
    <row r="5946" spans="34:34" ht="15" thickBot="1" x14ac:dyDescent="0.4">
      <c r="AH5946" s="87"/>
    </row>
    <row r="5947" spans="34:34" ht="15" thickBot="1" x14ac:dyDescent="0.4">
      <c r="AH5947" s="87"/>
    </row>
    <row r="5948" spans="34:34" ht="15" thickBot="1" x14ac:dyDescent="0.4">
      <c r="AH5948" s="87"/>
    </row>
    <row r="5949" spans="34:34" ht="15" thickBot="1" x14ac:dyDescent="0.4">
      <c r="AH5949" s="87"/>
    </row>
    <row r="5950" spans="34:34" ht="15" thickBot="1" x14ac:dyDescent="0.4">
      <c r="AH5950" s="87"/>
    </row>
    <row r="5951" spans="34:34" ht="15" thickBot="1" x14ac:dyDescent="0.4">
      <c r="AH5951" s="87"/>
    </row>
    <row r="5952" spans="34:34" ht="15" thickBot="1" x14ac:dyDescent="0.4">
      <c r="AH5952" s="87"/>
    </row>
    <row r="5953" spans="34:34" ht="15" thickBot="1" x14ac:dyDescent="0.4">
      <c r="AH5953" s="87"/>
    </row>
    <row r="5954" spans="34:34" ht="15" thickBot="1" x14ac:dyDescent="0.4">
      <c r="AH5954" s="87"/>
    </row>
    <row r="5955" spans="34:34" ht="15" thickBot="1" x14ac:dyDescent="0.4">
      <c r="AH5955" s="87"/>
    </row>
    <row r="5956" spans="34:34" ht="15" thickBot="1" x14ac:dyDescent="0.4">
      <c r="AH5956" s="87"/>
    </row>
    <row r="5957" spans="34:34" ht="15" thickBot="1" x14ac:dyDescent="0.4">
      <c r="AH5957" s="87"/>
    </row>
    <row r="5958" spans="34:34" ht="15" thickBot="1" x14ac:dyDescent="0.4">
      <c r="AH5958" s="87"/>
    </row>
    <row r="5959" spans="34:34" ht="15" thickBot="1" x14ac:dyDescent="0.4">
      <c r="AH5959" s="87"/>
    </row>
    <row r="5960" spans="34:34" ht="15" thickBot="1" x14ac:dyDescent="0.4">
      <c r="AH5960" s="87"/>
    </row>
    <row r="5961" spans="34:34" ht="15" thickBot="1" x14ac:dyDescent="0.4">
      <c r="AH5961" s="87"/>
    </row>
    <row r="5962" spans="34:34" ht="15" thickBot="1" x14ac:dyDescent="0.4">
      <c r="AH5962" s="87"/>
    </row>
    <row r="5963" spans="34:34" ht="15" thickBot="1" x14ac:dyDescent="0.4">
      <c r="AH5963" s="87"/>
    </row>
    <row r="5964" spans="34:34" ht="15" thickBot="1" x14ac:dyDescent="0.4">
      <c r="AH5964" s="87"/>
    </row>
    <row r="5965" spans="34:34" ht="15" thickBot="1" x14ac:dyDescent="0.4">
      <c r="AH5965" s="87"/>
    </row>
    <row r="5966" spans="34:34" ht="15" thickBot="1" x14ac:dyDescent="0.4">
      <c r="AH5966" s="87"/>
    </row>
    <row r="5967" spans="34:34" ht="15" thickBot="1" x14ac:dyDescent="0.4">
      <c r="AH5967" s="87"/>
    </row>
    <row r="5968" spans="34:34" ht="15" thickBot="1" x14ac:dyDescent="0.4">
      <c r="AH5968" s="87"/>
    </row>
    <row r="5969" spans="34:34" ht="15" thickBot="1" x14ac:dyDescent="0.4">
      <c r="AH5969" s="87"/>
    </row>
    <row r="5970" spans="34:34" ht="15" thickBot="1" x14ac:dyDescent="0.4">
      <c r="AH5970" s="87"/>
    </row>
    <row r="5971" spans="34:34" ht="15" thickBot="1" x14ac:dyDescent="0.4">
      <c r="AH5971" s="87"/>
    </row>
    <row r="5972" spans="34:34" ht="15" thickBot="1" x14ac:dyDescent="0.4">
      <c r="AH5972" s="87"/>
    </row>
    <row r="5973" spans="34:34" ht="15" thickBot="1" x14ac:dyDescent="0.4">
      <c r="AH5973" s="87"/>
    </row>
    <row r="5974" spans="34:34" ht="15" thickBot="1" x14ac:dyDescent="0.4">
      <c r="AH5974" s="87"/>
    </row>
    <row r="5975" spans="34:34" ht="15" thickBot="1" x14ac:dyDescent="0.4">
      <c r="AH5975" s="87"/>
    </row>
    <row r="5976" spans="34:34" ht="15" thickBot="1" x14ac:dyDescent="0.4">
      <c r="AH5976" s="87"/>
    </row>
    <row r="5977" spans="34:34" ht="15" thickBot="1" x14ac:dyDescent="0.4">
      <c r="AH5977" s="87"/>
    </row>
    <row r="5978" spans="34:34" ht="15" thickBot="1" x14ac:dyDescent="0.4">
      <c r="AH5978" s="87"/>
    </row>
    <row r="5979" spans="34:34" ht="15" thickBot="1" x14ac:dyDescent="0.4">
      <c r="AH5979" s="87"/>
    </row>
    <row r="5980" spans="34:34" ht="15" thickBot="1" x14ac:dyDescent="0.4">
      <c r="AH5980" s="87"/>
    </row>
    <row r="5981" spans="34:34" ht="15" thickBot="1" x14ac:dyDescent="0.4">
      <c r="AH5981" s="87"/>
    </row>
    <row r="5982" spans="34:34" ht="15" thickBot="1" x14ac:dyDescent="0.4">
      <c r="AH5982" s="87"/>
    </row>
    <row r="5983" spans="34:34" ht="15" thickBot="1" x14ac:dyDescent="0.4">
      <c r="AH5983" s="87"/>
    </row>
    <row r="5984" spans="34:34" ht="15" thickBot="1" x14ac:dyDescent="0.4">
      <c r="AH5984" s="87"/>
    </row>
    <row r="5985" spans="34:34" ht="15" thickBot="1" x14ac:dyDescent="0.4">
      <c r="AH5985" s="87"/>
    </row>
    <row r="5986" spans="34:34" ht="15" thickBot="1" x14ac:dyDescent="0.4">
      <c r="AH5986" s="87"/>
    </row>
    <row r="5987" spans="34:34" ht="15" thickBot="1" x14ac:dyDescent="0.4">
      <c r="AH5987" s="87"/>
    </row>
    <row r="5988" spans="34:34" ht="15" thickBot="1" x14ac:dyDescent="0.4">
      <c r="AH5988" s="87"/>
    </row>
    <row r="5989" spans="34:34" ht="15" thickBot="1" x14ac:dyDescent="0.4">
      <c r="AH5989" s="87"/>
    </row>
    <row r="5990" spans="34:34" ht="15" thickBot="1" x14ac:dyDescent="0.4">
      <c r="AH5990" s="87"/>
    </row>
    <row r="5991" spans="34:34" ht="15" thickBot="1" x14ac:dyDescent="0.4">
      <c r="AH5991" s="87"/>
    </row>
    <row r="5992" spans="34:34" ht="15" thickBot="1" x14ac:dyDescent="0.4">
      <c r="AH5992" s="87"/>
    </row>
    <row r="5993" spans="34:34" ht="15" thickBot="1" x14ac:dyDescent="0.4">
      <c r="AH5993" s="87"/>
    </row>
    <row r="5994" spans="34:34" ht="15" thickBot="1" x14ac:dyDescent="0.4">
      <c r="AH5994" s="87"/>
    </row>
    <row r="5995" spans="34:34" ht="15" thickBot="1" x14ac:dyDescent="0.4">
      <c r="AH5995" s="87"/>
    </row>
    <row r="5996" spans="34:34" ht="15" thickBot="1" x14ac:dyDescent="0.4">
      <c r="AH5996" s="87"/>
    </row>
    <row r="5997" spans="34:34" ht="15" thickBot="1" x14ac:dyDescent="0.4">
      <c r="AH5997" s="87"/>
    </row>
    <row r="5998" spans="34:34" ht="15" thickBot="1" x14ac:dyDescent="0.4">
      <c r="AH5998" s="87"/>
    </row>
    <row r="5999" spans="34:34" ht="15" thickBot="1" x14ac:dyDescent="0.4">
      <c r="AH5999" s="87"/>
    </row>
    <row r="6000" spans="34:34" ht="15" thickBot="1" x14ac:dyDescent="0.4">
      <c r="AH6000" s="87"/>
    </row>
    <row r="6001" spans="34:34" ht="15" thickBot="1" x14ac:dyDescent="0.4">
      <c r="AH6001" s="87"/>
    </row>
    <row r="6002" spans="34:34" ht="15" thickBot="1" x14ac:dyDescent="0.4">
      <c r="AH6002" s="87"/>
    </row>
    <row r="6003" spans="34:34" ht="15" thickBot="1" x14ac:dyDescent="0.4">
      <c r="AH6003" s="87"/>
    </row>
    <row r="6004" spans="34:34" ht="15" thickBot="1" x14ac:dyDescent="0.4">
      <c r="AH6004" s="87"/>
    </row>
    <row r="6005" spans="34:34" ht="15" thickBot="1" x14ac:dyDescent="0.4">
      <c r="AH6005" s="87"/>
    </row>
    <row r="6006" spans="34:34" ht="15" thickBot="1" x14ac:dyDescent="0.4">
      <c r="AH6006" s="87"/>
    </row>
    <row r="6007" spans="34:34" ht="15" thickBot="1" x14ac:dyDescent="0.4">
      <c r="AH6007" s="87"/>
    </row>
    <row r="6008" spans="34:34" ht="15" thickBot="1" x14ac:dyDescent="0.4">
      <c r="AH6008" s="87"/>
    </row>
    <row r="6009" spans="34:34" ht="15" thickBot="1" x14ac:dyDescent="0.4">
      <c r="AH6009" s="87"/>
    </row>
    <row r="6010" spans="34:34" ht="15" thickBot="1" x14ac:dyDescent="0.4">
      <c r="AH6010" s="87"/>
    </row>
    <row r="6011" spans="34:34" ht="15" thickBot="1" x14ac:dyDescent="0.4">
      <c r="AH6011" s="87"/>
    </row>
    <row r="6012" spans="34:34" ht="15" thickBot="1" x14ac:dyDescent="0.4">
      <c r="AH6012" s="87"/>
    </row>
    <row r="6013" spans="34:34" ht="15" thickBot="1" x14ac:dyDescent="0.4">
      <c r="AH6013" s="87"/>
    </row>
    <row r="6014" spans="34:34" ht="15" thickBot="1" x14ac:dyDescent="0.4">
      <c r="AH6014" s="87"/>
    </row>
    <row r="6015" spans="34:34" ht="15" thickBot="1" x14ac:dyDescent="0.4">
      <c r="AH6015" s="87"/>
    </row>
    <row r="6016" spans="34:34" ht="15" thickBot="1" x14ac:dyDescent="0.4">
      <c r="AH6016" s="87"/>
    </row>
    <row r="6017" spans="34:34" ht="15" thickBot="1" x14ac:dyDescent="0.4">
      <c r="AH6017" s="87"/>
    </row>
    <row r="6018" spans="34:34" ht="15" thickBot="1" x14ac:dyDescent="0.4">
      <c r="AH6018" s="87"/>
    </row>
    <row r="6019" spans="34:34" ht="15" thickBot="1" x14ac:dyDescent="0.4">
      <c r="AH6019" s="87"/>
    </row>
    <row r="6020" spans="34:34" ht="15" thickBot="1" x14ac:dyDescent="0.4">
      <c r="AH6020" s="87"/>
    </row>
    <row r="6021" spans="34:34" ht="15" thickBot="1" x14ac:dyDescent="0.4">
      <c r="AH6021" s="87"/>
    </row>
    <row r="6022" spans="34:34" ht="15" thickBot="1" x14ac:dyDescent="0.4">
      <c r="AH6022" s="87"/>
    </row>
    <row r="6023" spans="34:34" ht="15" thickBot="1" x14ac:dyDescent="0.4">
      <c r="AH6023" s="87"/>
    </row>
    <row r="6024" spans="34:34" ht="15" thickBot="1" x14ac:dyDescent="0.4">
      <c r="AH6024" s="87"/>
    </row>
    <row r="6025" spans="34:34" ht="15" thickBot="1" x14ac:dyDescent="0.4">
      <c r="AH6025" s="87"/>
    </row>
    <row r="6026" spans="34:34" ht="15" thickBot="1" x14ac:dyDescent="0.4">
      <c r="AH6026" s="87"/>
    </row>
    <row r="6027" spans="34:34" ht="15" thickBot="1" x14ac:dyDescent="0.4">
      <c r="AH6027" s="87"/>
    </row>
    <row r="6028" spans="34:34" ht="15" thickBot="1" x14ac:dyDescent="0.4">
      <c r="AH6028" s="87"/>
    </row>
    <row r="6029" spans="34:34" ht="15" thickBot="1" x14ac:dyDescent="0.4">
      <c r="AH6029" s="87"/>
    </row>
    <row r="6030" spans="34:34" ht="15" thickBot="1" x14ac:dyDescent="0.4">
      <c r="AH6030" s="87"/>
    </row>
    <row r="6031" spans="34:34" ht="15" thickBot="1" x14ac:dyDescent="0.4">
      <c r="AH6031" s="87"/>
    </row>
    <row r="6032" spans="34:34" ht="15" thickBot="1" x14ac:dyDescent="0.4">
      <c r="AH6032" s="87"/>
    </row>
    <row r="6033" spans="34:34" ht="15" thickBot="1" x14ac:dyDescent="0.4">
      <c r="AH6033" s="87"/>
    </row>
    <row r="6034" spans="34:34" ht="15" thickBot="1" x14ac:dyDescent="0.4">
      <c r="AH6034" s="87"/>
    </row>
    <row r="6035" spans="34:34" ht="15" thickBot="1" x14ac:dyDescent="0.4">
      <c r="AH6035" s="87"/>
    </row>
    <row r="6036" spans="34:34" ht="15" thickBot="1" x14ac:dyDescent="0.4">
      <c r="AH6036" s="87"/>
    </row>
    <row r="6037" spans="34:34" ht="15" thickBot="1" x14ac:dyDescent="0.4">
      <c r="AH6037" s="87"/>
    </row>
    <row r="6038" spans="34:34" ht="15" thickBot="1" x14ac:dyDescent="0.4">
      <c r="AH6038" s="87"/>
    </row>
    <row r="6039" spans="34:34" ht="15" thickBot="1" x14ac:dyDescent="0.4">
      <c r="AH6039" s="87"/>
    </row>
    <row r="6040" spans="34:34" ht="15" thickBot="1" x14ac:dyDescent="0.4">
      <c r="AH6040" s="87"/>
    </row>
    <row r="6041" spans="34:34" ht="15" thickBot="1" x14ac:dyDescent="0.4">
      <c r="AH6041" s="87"/>
    </row>
    <row r="6042" spans="34:34" ht="15" thickBot="1" x14ac:dyDescent="0.4">
      <c r="AH6042" s="87"/>
    </row>
    <row r="6043" spans="34:34" ht="15" thickBot="1" x14ac:dyDescent="0.4">
      <c r="AH6043" s="87"/>
    </row>
    <row r="6044" spans="34:34" ht="15" thickBot="1" x14ac:dyDescent="0.4">
      <c r="AH6044" s="87"/>
    </row>
    <row r="6045" spans="34:34" ht="15" thickBot="1" x14ac:dyDescent="0.4">
      <c r="AH6045" s="87"/>
    </row>
    <row r="6046" spans="34:34" ht="15" thickBot="1" x14ac:dyDescent="0.4">
      <c r="AH6046" s="87"/>
    </row>
    <row r="6047" spans="34:34" ht="15" thickBot="1" x14ac:dyDescent="0.4">
      <c r="AH6047" s="87"/>
    </row>
    <row r="6048" spans="34:34" ht="15" thickBot="1" x14ac:dyDescent="0.4">
      <c r="AH6048" s="87"/>
    </row>
    <row r="6049" spans="34:34" ht="15" thickBot="1" x14ac:dyDescent="0.4">
      <c r="AH6049" s="87"/>
    </row>
    <row r="6050" spans="34:34" ht="15" thickBot="1" x14ac:dyDescent="0.4">
      <c r="AH6050" s="87"/>
    </row>
    <row r="6051" spans="34:34" ht="15" thickBot="1" x14ac:dyDescent="0.4">
      <c r="AH6051" s="87"/>
    </row>
    <row r="6052" spans="34:34" ht="15" thickBot="1" x14ac:dyDescent="0.4">
      <c r="AH6052" s="87"/>
    </row>
    <row r="6053" spans="34:34" ht="15" thickBot="1" x14ac:dyDescent="0.4">
      <c r="AH6053" s="87"/>
    </row>
    <row r="6054" spans="34:34" ht="15" thickBot="1" x14ac:dyDescent="0.4">
      <c r="AH6054" s="87"/>
    </row>
    <row r="6055" spans="34:34" ht="15" thickBot="1" x14ac:dyDescent="0.4">
      <c r="AH6055" s="87"/>
    </row>
    <row r="6056" spans="34:34" ht="15" thickBot="1" x14ac:dyDescent="0.4">
      <c r="AH6056" s="87"/>
    </row>
    <row r="6057" spans="34:34" ht="15" thickBot="1" x14ac:dyDescent="0.4">
      <c r="AH6057" s="87"/>
    </row>
    <row r="6058" spans="34:34" ht="15" thickBot="1" x14ac:dyDescent="0.4">
      <c r="AH6058" s="87"/>
    </row>
    <row r="6059" spans="34:34" ht="15" thickBot="1" x14ac:dyDescent="0.4">
      <c r="AH6059" s="87"/>
    </row>
    <row r="6060" spans="34:34" ht="15" thickBot="1" x14ac:dyDescent="0.4">
      <c r="AH6060" s="87"/>
    </row>
    <row r="6061" spans="34:34" ht="15" thickBot="1" x14ac:dyDescent="0.4">
      <c r="AH6061" s="87"/>
    </row>
    <row r="6062" spans="34:34" ht="15" thickBot="1" x14ac:dyDescent="0.4">
      <c r="AH6062" s="87"/>
    </row>
    <row r="6063" spans="34:34" ht="15" thickBot="1" x14ac:dyDescent="0.4">
      <c r="AH6063" s="87"/>
    </row>
    <row r="6064" spans="34:34" ht="15" thickBot="1" x14ac:dyDescent="0.4">
      <c r="AH6064" s="87"/>
    </row>
    <row r="6065" spans="34:34" ht="15" thickBot="1" x14ac:dyDescent="0.4">
      <c r="AH6065" s="87"/>
    </row>
    <row r="6066" spans="34:34" ht="15" thickBot="1" x14ac:dyDescent="0.4">
      <c r="AH6066" s="87"/>
    </row>
    <row r="6067" spans="34:34" ht="15" thickBot="1" x14ac:dyDescent="0.4">
      <c r="AH6067" s="87"/>
    </row>
    <row r="6068" spans="34:34" ht="15" thickBot="1" x14ac:dyDescent="0.4">
      <c r="AH6068" s="87"/>
    </row>
    <row r="6069" spans="34:34" ht="15" thickBot="1" x14ac:dyDescent="0.4">
      <c r="AH6069" s="87"/>
    </row>
    <row r="6070" spans="34:34" ht="15" thickBot="1" x14ac:dyDescent="0.4">
      <c r="AH6070" s="87"/>
    </row>
    <row r="6071" spans="34:34" ht="15" thickBot="1" x14ac:dyDescent="0.4">
      <c r="AH6071" s="87"/>
    </row>
    <row r="6072" spans="34:34" ht="15" thickBot="1" x14ac:dyDescent="0.4">
      <c r="AH6072" s="87"/>
    </row>
    <row r="6073" spans="34:34" ht="15" thickBot="1" x14ac:dyDescent="0.4">
      <c r="AH6073" s="87"/>
    </row>
    <row r="6074" spans="34:34" ht="15" thickBot="1" x14ac:dyDescent="0.4">
      <c r="AH6074" s="87"/>
    </row>
    <row r="6075" spans="34:34" ht="15" thickBot="1" x14ac:dyDescent="0.4">
      <c r="AH6075" s="87"/>
    </row>
    <row r="6076" spans="34:34" ht="15" thickBot="1" x14ac:dyDescent="0.4">
      <c r="AH6076" s="87"/>
    </row>
    <row r="6077" spans="34:34" ht="15" thickBot="1" x14ac:dyDescent="0.4">
      <c r="AH6077" s="87"/>
    </row>
    <row r="6078" spans="34:34" ht="15" thickBot="1" x14ac:dyDescent="0.4">
      <c r="AH6078" s="87"/>
    </row>
    <row r="6079" spans="34:34" ht="15" thickBot="1" x14ac:dyDescent="0.4">
      <c r="AH6079" s="87"/>
    </row>
    <row r="6080" spans="34:34" ht="15" thickBot="1" x14ac:dyDescent="0.4">
      <c r="AH6080" s="87"/>
    </row>
    <row r="6081" spans="34:34" ht="15" thickBot="1" x14ac:dyDescent="0.4">
      <c r="AH6081" s="87"/>
    </row>
    <row r="6082" spans="34:34" ht="15" thickBot="1" x14ac:dyDescent="0.4">
      <c r="AH6082" s="87"/>
    </row>
    <row r="6083" spans="34:34" ht="15" thickBot="1" x14ac:dyDescent="0.4">
      <c r="AH6083" s="87"/>
    </row>
    <row r="6084" spans="34:34" ht="15" thickBot="1" x14ac:dyDescent="0.4">
      <c r="AH6084" s="87"/>
    </row>
    <row r="6085" spans="34:34" ht="15" thickBot="1" x14ac:dyDescent="0.4">
      <c r="AH6085" s="87"/>
    </row>
    <row r="6086" spans="34:34" ht="15" thickBot="1" x14ac:dyDescent="0.4">
      <c r="AH6086" s="87"/>
    </row>
    <row r="6087" spans="34:34" ht="15" thickBot="1" x14ac:dyDescent="0.4">
      <c r="AH6087" s="87"/>
    </row>
    <row r="6088" spans="34:34" ht="15" thickBot="1" x14ac:dyDescent="0.4">
      <c r="AH6088" s="87"/>
    </row>
    <row r="6089" spans="34:34" ht="15" thickBot="1" x14ac:dyDescent="0.4">
      <c r="AH6089" s="87"/>
    </row>
    <row r="6090" spans="34:34" ht="15" thickBot="1" x14ac:dyDescent="0.4">
      <c r="AH6090" s="87"/>
    </row>
    <row r="6091" spans="34:34" ht="15" thickBot="1" x14ac:dyDescent="0.4">
      <c r="AH6091" s="87"/>
    </row>
    <row r="6092" spans="34:34" ht="15" thickBot="1" x14ac:dyDescent="0.4">
      <c r="AH6092" s="87"/>
    </row>
    <row r="6093" spans="34:34" ht="15" thickBot="1" x14ac:dyDescent="0.4">
      <c r="AH6093" s="87"/>
    </row>
    <row r="6094" spans="34:34" ht="15" thickBot="1" x14ac:dyDescent="0.4">
      <c r="AH6094" s="87"/>
    </row>
    <row r="6095" spans="34:34" ht="15" thickBot="1" x14ac:dyDescent="0.4">
      <c r="AH6095" s="87"/>
    </row>
    <row r="6096" spans="34:34" ht="15" thickBot="1" x14ac:dyDescent="0.4">
      <c r="AH6096" s="87"/>
    </row>
    <row r="6097" spans="34:34" ht="15" thickBot="1" x14ac:dyDescent="0.4">
      <c r="AH6097" s="87"/>
    </row>
    <row r="6098" spans="34:34" ht="15" thickBot="1" x14ac:dyDescent="0.4">
      <c r="AH6098" s="87"/>
    </row>
    <row r="6099" spans="34:34" ht="15" thickBot="1" x14ac:dyDescent="0.4">
      <c r="AH6099" s="87"/>
    </row>
    <row r="6100" spans="34:34" ht="15" thickBot="1" x14ac:dyDescent="0.4">
      <c r="AH6100" s="87"/>
    </row>
    <row r="6101" spans="34:34" ht="15" thickBot="1" x14ac:dyDescent="0.4">
      <c r="AH6101" s="87"/>
    </row>
    <row r="6102" spans="34:34" ht="15" thickBot="1" x14ac:dyDescent="0.4">
      <c r="AH6102" s="87"/>
    </row>
    <row r="6103" spans="34:34" ht="15" thickBot="1" x14ac:dyDescent="0.4">
      <c r="AH6103" s="87"/>
    </row>
    <row r="6104" spans="34:34" ht="15" thickBot="1" x14ac:dyDescent="0.4">
      <c r="AH6104" s="87"/>
    </row>
    <row r="6105" spans="34:34" ht="15" thickBot="1" x14ac:dyDescent="0.4">
      <c r="AH6105" s="87"/>
    </row>
    <row r="6106" spans="34:34" ht="15" thickBot="1" x14ac:dyDescent="0.4">
      <c r="AH6106" s="87"/>
    </row>
    <row r="6107" spans="34:34" ht="15" thickBot="1" x14ac:dyDescent="0.4">
      <c r="AH6107" s="87"/>
    </row>
    <row r="6108" spans="34:34" ht="15" thickBot="1" x14ac:dyDescent="0.4">
      <c r="AH6108" s="87"/>
    </row>
    <row r="6109" spans="34:34" ht="15" thickBot="1" x14ac:dyDescent="0.4">
      <c r="AH6109" s="87"/>
    </row>
    <row r="6110" spans="34:34" ht="15" thickBot="1" x14ac:dyDescent="0.4">
      <c r="AH6110" s="87"/>
    </row>
    <row r="6111" spans="34:34" ht="15" thickBot="1" x14ac:dyDescent="0.4">
      <c r="AH6111" s="87"/>
    </row>
    <row r="6112" spans="34:34" ht="15" thickBot="1" x14ac:dyDescent="0.4">
      <c r="AH6112" s="87"/>
    </row>
    <row r="6113" spans="34:34" ht="15" thickBot="1" x14ac:dyDescent="0.4">
      <c r="AH6113" s="87"/>
    </row>
    <row r="6114" spans="34:34" ht="15" thickBot="1" x14ac:dyDescent="0.4">
      <c r="AH6114" s="87"/>
    </row>
    <row r="6115" spans="34:34" ht="15" thickBot="1" x14ac:dyDescent="0.4">
      <c r="AH6115" s="87"/>
    </row>
    <row r="6116" spans="34:34" ht="15" thickBot="1" x14ac:dyDescent="0.4">
      <c r="AH6116" s="87"/>
    </row>
    <row r="6117" spans="34:34" ht="15" thickBot="1" x14ac:dyDescent="0.4">
      <c r="AH6117" s="87"/>
    </row>
    <row r="6118" spans="34:34" ht="15" thickBot="1" x14ac:dyDescent="0.4">
      <c r="AH6118" s="87"/>
    </row>
    <row r="6119" spans="34:34" ht="15" thickBot="1" x14ac:dyDescent="0.4">
      <c r="AH6119" s="87"/>
    </row>
    <row r="6120" spans="34:34" ht="15" thickBot="1" x14ac:dyDescent="0.4">
      <c r="AH6120" s="87"/>
    </row>
    <row r="6121" spans="34:34" ht="15" thickBot="1" x14ac:dyDescent="0.4">
      <c r="AH6121" s="87"/>
    </row>
    <row r="6122" spans="34:34" ht="15" thickBot="1" x14ac:dyDescent="0.4">
      <c r="AH6122" s="87"/>
    </row>
    <row r="6123" spans="34:34" ht="15" thickBot="1" x14ac:dyDescent="0.4">
      <c r="AH6123" s="87"/>
    </row>
    <row r="6124" spans="34:34" ht="15" thickBot="1" x14ac:dyDescent="0.4">
      <c r="AH6124" s="87"/>
    </row>
    <row r="6125" spans="34:34" ht="15" thickBot="1" x14ac:dyDescent="0.4">
      <c r="AH6125" s="87"/>
    </row>
    <row r="6126" spans="34:34" ht="15" thickBot="1" x14ac:dyDescent="0.4">
      <c r="AH6126" s="87"/>
    </row>
    <row r="6127" spans="34:34" ht="15" thickBot="1" x14ac:dyDescent="0.4">
      <c r="AH6127" s="87"/>
    </row>
    <row r="6128" spans="34:34" ht="15" thickBot="1" x14ac:dyDescent="0.4">
      <c r="AH6128" s="87"/>
    </row>
    <row r="6129" spans="34:34" ht="15" thickBot="1" x14ac:dyDescent="0.4">
      <c r="AH6129" s="87"/>
    </row>
    <row r="6130" spans="34:34" ht="15" thickBot="1" x14ac:dyDescent="0.4">
      <c r="AH6130" s="87"/>
    </row>
    <row r="6131" spans="34:34" ht="15" thickBot="1" x14ac:dyDescent="0.4">
      <c r="AH6131" s="87"/>
    </row>
    <row r="6132" spans="34:34" ht="15" thickBot="1" x14ac:dyDescent="0.4">
      <c r="AH6132" s="87"/>
    </row>
    <row r="6133" spans="34:34" ht="15" thickBot="1" x14ac:dyDescent="0.4">
      <c r="AH6133" s="87"/>
    </row>
    <row r="6134" spans="34:34" ht="15" thickBot="1" x14ac:dyDescent="0.4">
      <c r="AH6134" s="87"/>
    </row>
    <row r="6135" spans="34:34" ht="15" thickBot="1" x14ac:dyDescent="0.4">
      <c r="AH6135" s="87"/>
    </row>
    <row r="6136" spans="34:34" ht="15" thickBot="1" x14ac:dyDescent="0.4">
      <c r="AH6136" s="87"/>
    </row>
    <row r="6137" spans="34:34" ht="15" thickBot="1" x14ac:dyDescent="0.4">
      <c r="AH6137" s="87"/>
    </row>
    <row r="6138" spans="34:34" ht="15" thickBot="1" x14ac:dyDescent="0.4">
      <c r="AH6138" s="87"/>
    </row>
    <row r="6139" spans="34:34" ht="15" thickBot="1" x14ac:dyDescent="0.4">
      <c r="AH6139" s="87"/>
    </row>
    <row r="6140" spans="34:34" ht="15" thickBot="1" x14ac:dyDescent="0.4">
      <c r="AH6140" s="87"/>
    </row>
    <row r="6141" spans="34:34" ht="15" thickBot="1" x14ac:dyDescent="0.4">
      <c r="AH6141" s="87"/>
    </row>
    <row r="6142" spans="34:34" ht="15" thickBot="1" x14ac:dyDescent="0.4">
      <c r="AH6142" s="87"/>
    </row>
    <row r="6143" spans="34:34" ht="15" thickBot="1" x14ac:dyDescent="0.4">
      <c r="AH6143" s="87"/>
    </row>
    <row r="6144" spans="34:34" ht="15" thickBot="1" x14ac:dyDescent="0.4">
      <c r="AH6144" s="87"/>
    </row>
    <row r="6145" spans="34:34" ht="15" thickBot="1" x14ac:dyDescent="0.4">
      <c r="AH6145" s="87"/>
    </row>
    <row r="6146" spans="34:34" ht="15" thickBot="1" x14ac:dyDescent="0.4">
      <c r="AH6146" s="87"/>
    </row>
    <row r="6147" spans="34:34" ht="15" thickBot="1" x14ac:dyDescent="0.4">
      <c r="AH6147" s="87"/>
    </row>
    <row r="6148" spans="34:34" ht="15" thickBot="1" x14ac:dyDescent="0.4">
      <c r="AH6148" s="87"/>
    </row>
    <row r="6149" spans="34:34" ht="15" thickBot="1" x14ac:dyDescent="0.4">
      <c r="AH6149" s="87"/>
    </row>
    <row r="6150" spans="34:34" ht="15" thickBot="1" x14ac:dyDescent="0.4">
      <c r="AH6150" s="87"/>
    </row>
    <row r="6151" spans="34:34" ht="15" thickBot="1" x14ac:dyDescent="0.4">
      <c r="AH6151" s="87"/>
    </row>
    <row r="6152" spans="34:34" ht="15" thickBot="1" x14ac:dyDescent="0.4">
      <c r="AH6152" s="87"/>
    </row>
    <row r="6153" spans="34:34" ht="15" thickBot="1" x14ac:dyDescent="0.4">
      <c r="AH6153" s="87"/>
    </row>
    <row r="6154" spans="34:34" ht="15" thickBot="1" x14ac:dyDescent="0.4">
      <c r="AH6154" s="87"/>
    </row>
    <row r="6155" spans="34:34" ht="15" thickBot="1" x14ac:dyDescent="0.4">
      <c r="AH6155" s="87"/>
    </row>
    <row r="6156" spans="34:34" ht="15" thickBot="1" x14ac:dyDescent="0.4">
      <c r="AH6156" s="87"/>
    </row>
    <row r="6157" spans="34:34" ht="15" thickBot="1" x14ac:dyDescent="0.4">
      <c r="AH6157" s="87"/>
    </row>
    <row r="6158" spans="34:34" ht="15" thickBot="1" x14ac:dyDescent="0.4">
      <c r="AH6158" s="87"/>
    </row>
    <row r="6159" spans="34:34" ht="15" thickBot="1" x14ac:dyDescent="0.4">
      <c r="AH6159" s="87"/>
    </row>
    <row r="6160" spans="34:34" ht="15" thickBot="1" x14ac:dyDescent="0.4">
      <c r="AH6160" s="87"/>
    </row>
    <row r="6161" spans="34:34" ht="15" thickBot="1" x14ac:dyDescent="0.4">
      <c r="AH6161" s="87"/>
    </row>
    <row r="6162" spans="34:34" ht="15" thickBot="1" x14ac:dyDescent="0.4">
      <c r="AH6162" s="87"/>
    </row>
    <row r="6163" spans="34:34" ht="15" thickBot="1" x14ac:dyDescent="0.4">
      <c r="AH6163" s="87"/>
    </row>
    <row r="6164" spans="34:34" ht="15" thickBot="1" x14ac:dyDescent="0.4">
      <c r="AH6164" s="87"/>
    </row>
    <row r="6165" spans="34:34" ht="15" thickBot="1" x14ac:dyDescent="0.4">
      <c r="AH6165" s="87"/>
    </row>
    <row r="6166" spans="34:34" ht="15" thickBot="1" x14ac:dyDescent="0.4">
      <c r="AH6166" s="87"/>
    </row>
    <row r="6167" spans="34:34" ht="15" thickBot="1" x14ac:dyDescent="0.4">
      <c r="AH6167" s="87"/>
    </row>
    <row r="6168" spans="34:34" ht="15" thickBot="1" x14ac:dyDescent="0.4">
      <c r="AH6168" s="87"/>
    </row>
    <row r="6169" spans="34:34" ht="15" thickBot="1" x14ac:dyDescent="0.4">
      <c r="AH6169" s="87"/>
    </row>
    <row r="6170" spans="34:34" ht="15" thickBot="1" x14ac:dyDescent="0.4">
      <c r="AH6170" s="87"/>
    </row>
    <row r="6171" spans="34:34" ht="15" thickBot="1" x14ac:dyDescent="0.4">
      <c r="AH6171" s="87"/>
    </row>
    <row r="6172" spans="34:34" ht="15" thickBot="1" x14ac:dyDescent="0.4">
      <c r="AH6172" s="87"/>
    </row>
    <row r="6173" spans="34:34" ht="15" thickBot="1" x14ac:dyDescent="0.4">
      <c r="AH6173" s="87"/>
    </row>
    <row r="6174" spans="34:34" ht="15" thickBot="1" x14ac:dyDescent="0.4">
      <c r="AH6174" s="87"/>
    </row>
    <row r="6175" spans="34:34" ht="15" thickBot="1" x14ac:dyDescent="0.4">
      <c r="AH6175" s="87"/>
    </row>
    <row r="6176" spans="34:34" ht="15" thickBot="1" x14ac:dyDescent="0.4">
      <c r="AH6176" s="87"/>
    </row>
    <row r="6177" spans="34:34" ht="15" thickBot="1" x14ac:dyDescent="0.4">
      <c r="AH6177" s="87"/>
    </row>
    <row r="6178" spans="34:34" ht="15" thickBot="1" x14ac:dyDescent="0.4">
      <c r="AH6178" s="87"/>
    </row>
    <row r="6179" spans="34:34" ht="15" thickBot="1" x14ac:dyDescent="0.4">
      <c r="AH6179" s="87"/>
    </row>
    <row r="6180" spans="34:34" ht="15" thickBot="1" x14ac:dyDescent="0.4">
      <c r="AH6180" s="87"/>
    </row>
    <row r="6181" spans="34:34" ht="15" thickBot="1" x14ac:dyDescent="0.4">
      <c r="AH6181" s="87"/>
    </row>
    <row r="6182" spans="34:34" ht="15" thickBot="1" x14ac:dyDescent="0.4">
      <c r="AH6182" s="87"/>
    </row>
    <row r="6183" spans="34:34" ht="15" thickBot="1" x14ac:dyDescent="0.4">
      <c r="AH6183" s="87"/>
    </row>
    <row r="6184" spans="34:34" ht="15" thickBot="1" x14ac:dyDescent="0.4">
      <c r="AH6184" s="87"/>
    </row>
    <row r="6185" spans="34:34" ht="15" thickBot="1" x14ac:dyDescent="0.4">
      <c r="AH6185" s="87"/>
    </row>
    <row r="6186" spans="34:34" ht="15" thickBot="1" x14ac:dyDescent="0.4">
      <c r="AH6186" s="87"/>
    </row>
    <row r="6187" spans="34:34" ht="15" thickBot="1" x14ac:dyDescent="0.4">
      <c r="AH6187" s="87"/>
    </row>
    <row r="6188" spans="34:34" ht="15" thickBot="1" x14ac:dyDescent="0.4">
      <c r="AH6188" s="87"/>
    </row>
    <row r="6189" spans="34:34" ht="15" thickBot="1" x14ac:dyDescent="0.4">
      <c r="AH6189" s="87"/>
    </row>
    <row r="6190" spans="34:34" ht="15" thickBot="1" x14ac:dyDescent="0.4">
      <c r="AH6190" s="87"/>
    </row>
    <row r="6191" spans="34:34" ht="15" thickBot="1" x14ac:dyDescent="0.4">
      <c r="AH6191" s="87"/>
    </row>
    <row r="6192" spans="34:34" ht="15" thickBot="1" x14ac:dyDescent="0.4">
      <c r="AH6192" s="87"/>
    </row>
    <row r="6193" spans="34:34" ht="15" thickBot="1" x14ac:dyDescent="0.4">
      <c r="AH6193" s="87"/>
    </row>
    <row r="6194" spans="34:34" ht="15" thickBot="1" x14ac:dyDescent="0.4">
      <c r="AH6194" s="87"/>
    </row>
    <row r="6195" spans="34:34" ht="15" thickBot="1" x14ac:dyDescent="0.4">
      <c r="AH6195" s="87"/>
    </row>
    <row r="6196" spans="34:34" ht="15" thickBot="1" x14ac:dyDescent="0.4">
      <c r="AH6196" s="87"/>
    </row>
    <row r="6197" spans="34:34" ht="15" thickBot="1" x14ac:dyDescent="0.4">
      <c r="AH6197" s="87"/>
    </row>
    <row r="6198" spans="34:34" ht="15" thickBot="1" x14ac:dyDescent="0.4">
      <c r="AH6198" s="87"/>
    </row>
    <row r="6199" spans="34:34" ht="15" thickBot="1" x14ac:dyDescent="0.4">
      <c r="AH6199" s="87"/>
    </row>
    <row r="6200" spans="34:34" ht="15" thickBot="1" x14ac:dyDescent="0.4">
      <c r="AH6200" s="87"/>
    </row>
    <row r="6201" spans="34:34" ht="15" thickBot="1" x14ac:dyDescent="0.4">
      <c r="AH6201" s="87"/>
    </row>
    <row r="6202" spans="34:34" ht="15" thickBot="1" x14ac:dyDescent="0.4">
      <c r="AH6202" s="87"/>
    </row>
    <row r="6203" spans="34:34" ht="15" thickBot="1" x14ac:dyDescent="0.4">
      <c r="AH6203" s="87"/>
    </row>
    <row r="6204" spans="34:34" ht="15" thickBot="1" x14ac:dyDescent="0.4">
      <c r="AH6204" s="87"/>
    </row>
    <row r="6205" spans="34:34" ht="15" thickBot="1" x14ac:dyDescent="0.4">
      <c r="AH6205" s="87"/>
    </row>
    <row r="6206" spans="34:34" ht="15" thickBot="1" x14ac:dyDescent="0.4">
      <c r="AH6206" s="87"/>
    </row>
    <row r="6207" spans="34:34" ht="15" thickBot="1" x14ac:dyDescent="0.4">
      <c r="AH6207" s="87"/>
    </row>
    <row r="6208" spans="34:34" ht="15" thickBot="1" x14ac:dyDescent="0.4">
      <c r="AH6208" s="87"/>
    </row>
    <row r="6209" spans="34:34" ht="15" thickBot="1" x14ac:dyDescent="0.4">
      <c r="AH6209" s="87"/>
    </row>
    <row r="6210" spans="34:34" ht="15" thickBot="1" x14ac:dyDescent="0.4">
      <c r="AH6210" s="87"/>
    </row>
    <row r="6211" spans="34:34" ht="15" thickBot="1" x14ac:dyDescent="0.4">
      <c r="AH6211" s="87"/>
    </row>
    <row r="6212" spans="34:34" ht="15" thickBot="1" x14ac:dyDescent="0.4">
      <c r="AH6212" s="87"/>
    </row>
    <row r="6213" spans="34:34" ht="15" thickBot="1" x14ac:dyDescent="0.4">
      <c r="AH6213" s="87"/>
    </row>
    <row r="6214" spans="34:34" ht="15" thickBot="1" x14ac:dyDescent="0.4">
      <c r="AH6214" s="87"/>
    </row>
    <row r="6215" spans="34:34" ht="15" thickBot="1" x14ac:dyDescent="0.4">
      <c r="AH6215" s="87"/>
    </row>
    <row r="6216" spans="34:34" ht="15" thickBot="1" x14ac:dyDescent="0.4">
      <c r="AH6216" s="87"/>
    </row>
    <row r="6217" spans="34:34" ht="15" thickBot="1" x14ac:dyDescent="0.4">
      <c r="AH6217" s="87"/>
    </row>
    <row r="6218" spans="34:34" ht="15" thickBot="1" x14ac:dyDescent="0.4">
      <c r="AH6218" s="87"/>
    </row>
    <row r="6219" spans="34:34" ht="15" thickBot="1" x14ac:dyDescent="0.4">
      <c r="AH6219" s="87"/>
    </row>
    <row r="6220" spans="34:34" ht="15" thickBot="1" x14ac:dyDescent="0.4">
      <c r="AH6220" s="87"/>
    </row>
    <row r="6221" spans="34:34" ht="15" thickBot="1" x14ac:dyDescent="0.4">
      <c r="AH6221" s="87"/>
    </row>
    <row r="6222" spans="34:34" ht="15" thickBot="1" x14ac:dyDescent="0.4">
      <c r="AH6222" s="87"/>
    </row>
    <row r="6223" spans="34:34" ht="15" thickBot="1" x14ac:dyDescent="0.4">
      <c r="AH6223" s="87"/>
    </row>
    <row r="6224" spans="34:34" ht="15" thickBot="1" x14ac:dyDescent="0.4">
      <c r="AH6224" s="87"/>
    </row>
    <row r="6225" spans="34:34" ht="15" thickBot="1" x14ac:dyDescent="0.4">
      <c r="AH6225" s="87"/>
    </row>
    <row r="6226" spans="34:34" ht="15" thickBot="1" x14ac:dyDescent="0.4">
      <c r="AH6226" s="87"/>
    </row>
    <row r="6227" spans="34:34" ht="15" thickBot="1" x14ac:dyDescent="0.4">
      <c r="AH6227" s="87"/>
    </row>
    <row r="6228" spans="34:34" ht="15" thickBot="1" x14ac:dyDescent="0.4">
      <c r="AH6228" s="87"/>
    </row>
    <row r="6229" spans="34:34" ht="15" thickBot="1" x14ac:dyDescent="0.4">
      <c r="AH6229" s="87"/>
    </row>
    <row r="6230" spans="34:34" ht="15" thickBot="1" x14ac:dyDescent="0.4">
      <c r="AH6230" s="87"/>
    </row>
    <row r="6231" spans="34:34" ht="15" thickBot="1" x14ac:dyDescent="0.4">
      <c r="AH6231" s="87"/>
    </row>
    <row r="6232" spans="34:34" ht="15" thickBot="1" x14ac:dyDescent="0.4">
      <c r="AH6232" s="87"/>
    </row>
    <row r="6233" spans="34:34" ht="15" thickBot="1" x14ac:dyDescent="0.4">
      <c r="AH6233" s="87"/>
    </row>
    <row r="6234" spans="34:34" ht="15" thickBot="1" x14ac:dyDescent="0.4">
      <c r="AH6234" s="87"/>
    </row>
    <row r="6235" spans="34:34" ht="15" thickBot="1" x14ac:dyDescent="0.4">
      <c r="AH6235" s="87"/>
    </row>
    <row r="6236" spans="34:34" ht="15" thickBot="1" x14ac:dyDescent="0.4">
      <c r="AH6236" s="87"/>
    </row>
    <row r="6237" spans="34:34" ht="15" thickBot="1" x14ac:dyDescent="0.4">
      <c r="AH6237" s="87"/>
    </row>
    <row r="6238" spans="34:34" ht="15" thickBot="1" x14ac:dyDescent="0.4">
      <c r="AH6238" s="87"/>
    </row>
    <row r="6239" spans="34:34" ht="15" thickBot="1" x14ac:dyDescent="0.4">
      <c r="AH6239" s="87"/>
    </row>
    <row r="6240" spans="34:34" ht="15" thickBot="1" x14ac:dyDescent="0.4">
      <c r="AH6240" s="87"/>
    </row>
    <row r="6241" spans="34:34" ht="15" thickBot="1" x14ac:dyDescent="0.4">
      <c r="AH6241" s="87"/>
    </row>
    <row r="6242" spans="34:34" ht="15" thickBot="1" x14ac:dyDescent="0.4">
      <c r="AH6242" s="87"/>
    </row>
    <row r="6243" spans="34:34" ht="15" thickBot="1" x14ac:dyDescent="0.4">
      <c r="AH6243" s="87"/>
    </row>
    <row r="6244" spans="34:34" ht="15" thickBot="1" x14ac:dyDescent="0.4">
      <c r="AH6244" s="87"/>
    </row>
    <row r="6245" spans="34:34" ht="15" thickBot="1" x14ac:dyDescent="0.4">
      <c r="AH6245" s="87"/>
    </row>
    <row r="6246" spans="34:34" ht="15" thickBot="1" x14ac:dyDescent="0.4">
      <c r="AH6246" s="87"/>
    </row>
    <row r="6247" spans="34:34" ht="15" thickBot="1" x14ac:dyDescent="0.4">
      <c r="AH6247" s="87"/>
    </row>
    <row r="6248" spans="34:34" ht="15" thickBot="1" x14ac:dyDescent="0.4">
      <c r="AH6248" s="87"/>
    </row>
    <row r="6249" spans="34:34" ht="15" thickBot="1" x14ac:dyDescent="0.4">
      <c r="AH6249" s="87"/>
    </row>
    <row r="6250" spans="34:34" ht="15" thickBot="1" x14ac:dyDescent="0.4">
      <c r="AH6250" s="87"/>
    </row>
    <row r="6251" spans="34:34" ht="15" thickBot="1" x14ac:dyDescent="0.4">
      <c r="AH6251" s="87"/>
    </row>
    <row r="6252" spans="34:34" ht="15" thickBot="1" x14ac:dyDescent="0.4">
      <c r="AH6252" s="87"/>
    </row>
    <row r="6253" spans="34:34" ht="15" thickBot="1" x14ac:dyDescent="0.4">
      <c r="AH6253" s="87"/>
    </row>
    <row r="6254" spans="34:34" ht="15" thickBot="1" x14ac:dyDescent="0.4">
      <c r="AH6254" s="87"/>
    </row>
    <row r="6255" spans="34:34" ht="15" thickBot="1" x14ac:dyDescent="0.4">
      <c r="AH6255" s="87"/>
    </row>
    <row r="6256" spans="34:34" ht="15" thickBot="1" x14ac:dyDescent="0.4">
      <c r="AH6256" s="87"/>
    </row>
    <row r="6257" spans="34:34" ht="15" thickBot="1" x14ac:dyDescent="0.4">
      <c r="AH6257" s="87"/>
    </row>
    <row r="6258" spans="34:34" ht="15" thickBot="1" x14ac:dyDescent="0.4">
      <c r="AH6258" s="87"/>
    </row>
    <row r="6259" spans="34:34" ht="15" thickBot="1" x14ac:dyDescent="0.4">
      <c r="AH6259" s="87"/>
    </row>
    <row r="6260" spans="34:34" ht="15" thickBot="1" x14ac:dyDescent="0.4">
      <c r="AH6260" s="87"/>
    </row>
    <row r="6261" spans="34:34" ht="15" thickBot="1" x14ac:dyDescent="0.4">
      <c r="AH6261" s="87"/>
    </row>
    <row r="6262" spans="34:34" ht="15" thickBot="1" x14ac:dyDescent="0.4">
      <c r="AH6262" s="87"/>
    </row>
    <row r="6263" spans="34:34" ht="15" thickBot="1" x14ac:dyDescent="0.4">
      <c r="AH6263" s="87"/>
    </row>
    <row r="6264" spans="34:34" ht="15" thickBot="1" x14ac:dyDescent="0.4">
      <c r="AH6264" s="87"/>
    </row>
    <row r="6265" spans="34:34" ht="15" thickBot="1" x14ac:dyDescent="0.4">
      <c r="AH6265" s="87"/>
    </row>
    <row r="6266" spans="34:34" ht="15" thickBot="1" x14ac:dyDescent="0.4">
      <c r="AH6266" s="87"/>
    </row>
    <row r="6267" spans="34:34" ht="15" thickBot="1" x14ac:dyDescent="0.4">
      <c r="AH6267" s="87"/>
    </row>
    <row r="6268" spans="34:34" ht="15" thickBot="1" x14ac:dyDescent="0.4">
      <c r="AH6268" s="87"/>
    </row>
    <row r="6269" spans="34:34" ht="15" thickBot="1" x14ac:dyDescent="0.4">
      <c r="AH6269" s="87"/>
    </row>
    <row r="6270" spans="34:34" ht="15" thickBot="1" x14ac:dyDescent="0.4">
      <c r="AH6270" s="87"/>
    </row>
    <row r="6271" spans="34:34" ht="15" thickBot="1" x14ac:dyDescent="0.4">
      <c r="AH6271" s="87"/>
    </row>
    <row r="6272" spans="34:34" ht="15" thickBot="1" x14ac:dyDescent="0.4">
      <c r="AH6272" s="87"/>
    </row>
    <row r="6273" spans="34:34" ht="15" thickBot="1" x14ac:dyDescent="0.4">
      <c r="AH6273" s="87"/>
    </row>
    <row r="6274" spans="34:34" ht="15" thickBot="1" x14ac:dyDescent="0.4">
      <c r="AH6274" s="87"/>
    </row>
    <row r="6275" spans="34:34" ht="15" thickBot="1" x14ac:dyDescent="0.4">
      <c r="AH6275" s="87"/>
    </row>
    <row r="6276" spans="34:34" ht="15" thickBot="1" x14ac:dyDescent="0.4">
      <c r="AH6276" s="87"/>
    </row>
    <row r="6277" spans="34:34" ht="15" thickBot="1" x14ac:dyDescent="0.4">
      <c r="AH6277" s="87"/>
    </row>
    <row r="6278" spans="34:34" ht="15" thickBot="1" x14ac:dyDescent="0.4">
      <c r="AH6278" s="87"/>
    </row>
    <row r="6279" spans="34:34" ht="15" thickBot="1" x14ac:dyDescent="0.4">
      <c r="AH6279" s="87"/>
    </row>
    <row r="6280" spans="34:34" ht="15" thickBot="1" x14ac:dyDescent="0.4">
      <c r="AH6280" s="87"/>
    </row>
    <row r="6281" spans="34:34" ht="15" thickBot="1" x14ac:dyDescent="0.4">
      <c r="AH6281" s="87"/>
    </row>
    <row r="6282" spans="34:34" ht="15" thickBot="1" x14ac:dyDescent="0.4">
      <c r="AH6282" s="87"/>
    </row>
    <row r="6283" spans="34:34" ht="15" thickBot="1" x14ac:dyDescent="0.4">
      <c r="AH6283" s="87"/>
    </row>
    <row r="6284" spans="34:34" ht="15" thickBot="1" x14ac:dyDescent="0.4">
      <c r="AH6284" s="87"/>
    </row>
    <row r="6285" spans="34:34" ht="15" thickBot="1" x14ac:dyDescent="0.4">
      <c r="AH6285" s="87"/>
    </row>
    <row r="6286" spans="34:34" ht="15" thickBot="1" x14ac:dyDescent="0.4">
      <c r="AH6286" s="87"/>
    </row>
    <row r="6287" spans="34:34" ht="15" thickBot="1" x14ac:dyDescent="0.4">
      <c r="AH6287" s="87"/>
    </row>
    <row r="6288" spans="34:34" ht="15" thickBot="1" x14ac:dyDescent="0.4">
      <c r="AH6288" s="87"/>
    </row>
    <row r="6289" spans="34:34" ht="15" thickBot="1" x14ac:dyDescent="0.4">
      <c r="AH6289" s="87"/>
    </row>
    <row r="6290" spans="34:34" ht="15" thickBot="1" x14ac:dyDescent="0.4">
      <c r="AH6290" s="87"/>
    </row>
    <row r="6291" spans="34:34" ht="15" thickBot="1" x14ac:dyDescent="0.4">
      <c r="AH6291" s="87"/>
    </row>
    <row r="6292" spans="34:34" ht="15" thickBot="1" x14ac:dyDescent="0.4">
      <c r="AH6292" s="87"/>
    </row>
    <row r="6293" spans="34:34" ht="15" thickBot="1" x14ac:dyDescent="0.4">
      <c r="AH6293" s="87"/>
    </row>
    <row r="6294" spans="34:34" ht="15" thickBot="1" x14ac:dyDescent="0.4">
      <c r="AH6294" s="87"/>
    </row>
    <row r="6295" spans="34:34" ht="15" thickBot="1" x14ac:dyDescent="0.4">
      <c r="AH6295" s="87"/>
    </row>
    <row r="6296" spans="34:34" ht="15" thickBot="1" x14ac:dyDescent="0.4">
      <c r="AH6296" s="87"/>
    </row>
    <row r="6297" spans="34:34" ht="15" thickBot="1" x14ac:dyDescent="0.4">
      <c r="AH6297" s="87"/>
    </row>
    <row r="6298" spans="34:34" ht="15" thickBot="1" x14ac:dyDescent="0.4">
      <c r="AH6298" s="87"/>
    </row>
    <row r="6299" spans="34:34" ht="15" thickBot="1" x14ac:dyDescent="0.4">
      <c r="AH6299" s="87"/>
    </row>
    <row r="6300" spans="34:34" ht="15" thickBot="1" x14ac:dyDescent="0.4">
      <c r="AH6300" s="87"/>
    </row>
    <row r="6301" spans="34:34" ht="15" thickBot="1" x14ac:dyDescent="0.4">
      <c r="AH6301" s="87"/>
    </row>
    <row r="6302" spans="34:34" ht="15" thickBot="1" x14ac:dyDescent="0.4">
      <c r="AH6302" s="87"/>
    </row>
    <row r="6303" spans="34:34" ht="15" thickBot="1" x14ac:dyDescent="0.4">
      <c r="AH6303" s="87"/>
    </row>
    <row r="6304" spans="34:34" ht="15" thickBot="1" x14ac:dyDescent="0.4">
      <c r="AH6304" s="87"/>
    </row>
    <row r="6305" spans="34:34" ht="15" thickBot="1" x14ac:dyDescent="0.4">
      <c r="AH6305" s="87"/>
    </row>
    <row r="6306" spans="34:34" ht="15" thickBot="1" x14ac:dyDescent="0.4">
      <c r="AH6306" s="87"/>
    </row>
    <row r="6307" spans="34:34" ht="15" thickBot="1" x14ac:dyDescent="0.4">
      <c r="AH6307" s="87"/>
    </row>
    <row r="6308" spans="34:34" ht="15" thickBot="1" x14ac:dyDescent="0.4">
      <c r="AH6308" s="87"/>
    </row>
    <row r="6309" spans="34:34" ht="15" thickBot="1" x14ac:dyDescent="0.4">
      <c r="AH6309" s="87"/>
    </row>
    <row r="6310" spans="34:34" ht="15" thickBot="1" x14ac:dyDescent="0.4">
      <c r="AH6310" s="87"/>
    </row>
    <row r="6311" spans="34:34" ht="15" thickBot="1" x14ac:dyDescent="0.4">
      <c r="AH6311" s="87"/>
    </row>
    <row r="6312" spans="34:34" ht="15" thickBot="1" x14ac:dyDescent="0.4">
      <c r="AH6312" s="87"/>
    </row>
    <row r="6313" spans="34:34" ht="15" thickBot="1" x14ac:dyDescent="0.4">
      <c r="AH6313" s="87"/>
    </row>
    <row r="6314" spans="34:34" ht="15" thickBot="1" x14ac:dyDescent="0.4">
      <c r="AH6314" s="87"/>
    </row>
    <row r="6315" spans="34:34" ht="15" thickBot="1" x14ac:dyDescent="0.4">
      <c r="AH6315" s="87"/>
    </row>
    <row r="6316" spans="34:34" ht="15" thickBot="1" x14ac:dyDescent="0.4">
      <c r="AH6316" s="87"/>
    </row>
    <row r="6317" spans="34:34" ht="15" thickBot="1" x14ac:dyDescent="0.4">
      <c r="AH6317" s="87"/>
    </row>
    <row r="6318" spans="34:34" ht="15" thickBot="1" x14ac:dyDescent="0.4">
      <c r="AH6318" s="87"/>
    </row>
    <row r="6319" spans="34:34" ht="15" thickBot="1" x14ac:dyDescent="0.4">
      <c r="AH6319" s="87"/>
    </row>
    <row r="6320" spans="34:34" ht="15" thickBot="1" x14ac:dyDescent="0.4">
      <c r="AH6320" s="87"/>
    </row>
    <row r="6321" spans="34:34" ht="15" thickBot="1" x14ac:dyDescent="0.4">
      <c r="AH6321" s="87"/>
    </row>
    <row r="6322" spans="34:34" ht="15" thickBot="1" x14ac:dyDescent="0.4">
      <c r="AH6322" s="87"/>
    </row>
    <row r="6323" spans="34:34" ht="15" thickBot="1" x14ac:dyDescent="0.4">
      <c r="AH6323" s="87"/>
    </row>
    <row r="6324" spans="34:34" ht="15" thickBot="1" x14ac:dyDescent="0.4">
      <c r="AH6324" s="87"/>
    </row>
    <row r="6325" spans="34:34" ht="15" thickBot="1" x14ac:dyDescent="0.4">
      <c r="AH6325" s="87"/>
    </row>
    <row r="6326" spans="34:34" ht="15" thickBot="1" x14ac:dyDescent="0.4">
      <c r="AH6326" s="87"/>
    </row>
    <row r="6327" spans="34:34" ht="15" thickBot="1" x14ac:dyDescent="0.4">
      <c r="AH6327" s="87"/>
    </row>
    <row r="6328" spans="34:34" ht="15" thickBot="1" x14ac:dyDescent="0.4">
      <c r="AH6328" s="87"/>
    </row>
    <row r="6329" spans="34:34" ht="15" thickBot="1" x14ac:dyDescent="0.4">
      <c r="AH6329" s="87"/>
    </row>
    <row r="6330" spans="34:34" ht="15" thickBot="1" x14ac:dyDescent="0.4">
      <c r="AH6330" s="87"/>
    </row>
    <row r="6331" spans="34:34" ht="15" thickBot="1" x14ac:dyDescent="0.4">
      <c r="AH6331" s="87"/>
    </row>
    <row r="6332" spans="34:34" ht="15" thickBot="1" x14ac:dyDescent="0.4">
      <c r="AH6332" s="87"/>
    </row>
    <row r="6333" spans="34:34" ht="15" thickBot="1" x14ac:dyDescent="0.4">
      <c r="AH6333" s="87"/>
    </row>
    <row r="6334" spans="34:34" ht="15" thickBot="1" x14ac:dyDescent="0.4">
      <c r="AH6334" s="87"/>
    </row>
    <row r="6335" spans="34:34" ht="15" thickBot="1" x14ac:dyDescent="0.4">
      <c r="AH6335" s="87"/>
    </row>
    <row r="6336" spans="34:34" ht="15" thickBot="1" x14ac:dyDescent="0.4">
      <c r="AH6336" s="87"/>
    </row>
    <row r="6337" spans="34:34" ht="15" thickBot="1" x14ac:dyDescent="0.4">
      <c r="AH6337" s="87"/>
    </row>
    <row r="6338" spans="34:34" ht="15" thickBot="1" x14ac:dyDescent="0.4">
      <c r="AH6338" s="87"/>
    </row>
    <row r="6339" spans="34:34" ht="15" thickBot="1" x14ac:dyDescent="0.4">
      <c r="AH6339" s="87"/>
    </row>
    <row r="6340" spans="34:34" ht="15" thickBot="1" x14ac:dyDescent="0.4">
      <c r="AH6340" s="87"/>
    </row>
    <row r="6341" spans="34:34" ht="15" thickBot="1" x14ac:dyDescent="0.4">
      <c r="AH6341" s="87"/>
    </row>
    <row r="6342" spans="34:34" ht="15" thickBot="1" x14ac:dyDescent="0.4">
      <c r="AH6342" s="87"/>
    </row>
    <row r="6343" spans="34:34" ht="15" thickBot="1" x14ac:dyDescent="0.4">
      <c r="AH6343" s="87"/>
    </row>
    <row r="6344" spans="34:34" ht="15" thickBot="1" x14ac:dyDescent="0.4">
      <c r="AH6344" s="87"/>
    </row>
    <row r="6345" spans="34:34" ht="15" thickBot="1" x14ac:dyDescent="0.4">
      <c r="AH6345" s="87"/>
    </row>
    <row r="6346" spans="34:34" ht="15" thickBot="1" x14ac:dyDescent="0.4">
      <c r="AH6346" s="87"/>
    </row>
    <row r="6347" spans="34:34" ht="15" thickBot="1" x14ac:dyDescent="0.4">
      <c r="AH6347" s="87"/>
    </row>
    <row r="6348" spans="34:34" ht="15" thickBot="1" x14ac:dyDescent="0.4">
      <c r="AH6348" s="87"/>
    </row>
    <row r="6349" spans="34:34" ht="15" thickBot="1" x14ac:dyDescent="0.4">
      <c r="AH6349" s="87"/>
    </row>
    <row r="6350" spans="34:34" ht="15" thickBot="1" x14ac:dyDescent="0.4">
      <c r="AH6350" s="87"/>
    </row>
    <row r="6351" spans="34:34" ht="15" thickBot="1" x14ac:dyDescent="0.4">
      <c r="AH6351" s="87"/>
    </row>
    <row r="6352" spans="34:34" ht="15" thickBot="1" x14ac:dyDescent="0.4">
      <c r="AH6352" s="87"/>
    </row>
    <row r="6353" spans="34:34" ht="15" thickBot="1" x14ac:dyDescent="0.4">
      <c r="AH6353" s="87"/>
    </row>
    <row r="6354" spans="34:34" ht="15" thickBot="1" x14ac:dyDescent="0.4">
      <c r="AH6354" s="87"/>
    </row>
    <row r="6355" spans="34:34" ht="15" thickBot="1" x14ac:dyDescent="0.4">
      <c r="AH6355" s="87"/>
    </row>
    <row r="6356" spans="34:34" ht="15" thickBot="1" x14ac:dyDescent="0.4">
      <c r="AH6356" s="87"/>
    </row>
    <row r="6357" spans="34:34" ht="15" thickBot="1" x14ac:dyDescent="0.4">
      <c r="AH6357" s="87"/>
    </row>
    <row r="6358" spans="34:34" ht="15" thickBot="1" x14ac:dyDescent="0.4">
      <c r="AH6358" s="87"/>
    </row>
    <row r="6359" spans="34:34" ht="15" thickBot="1" x14ac:dyDescent="0.4">
      <c r="AH6359" s="87"/>
    </row>
    <row r="6360" spans="34:34" ht="15" thickBot="1" x14ac:dyDescent="0.4">
      <c r="AH6360" s="87"/>
    </row>
    <row r="6361" spans="34:34" ht="15" thickBot="1" x14ac:dyDescent="0.4">
      <c r="AH6361" s="87"/>
    </row>
    <row r="6362" spans="34:34" ht="15" thickBot="1" x14ac:dyDescent="0.4">
      <c r="AH6362" s="87"/>
    </row>
    <row r="6363" spans="34:34" ht="15" thickBot="1" x14ac:dyDescent="0.4">
      <c r="AH6363" s="87"/>
    </row>
    <row r="6364" spans="34:34" ht="15" thickBot="1" x14ac:dyDescent="0.4">
      <c r="AH6364" s="87"/>
    </row>
    <row r="6365" spans="34:34" ht="15" thickBot="1" x14ac:dyDescent="0.4">
      <c r="AH6365" s="87"/>
    </row>
    <row r="6366" spans="34:34" ht="15" thickBot="1" x14ac:dyDescent="0.4">
      <c r="AH6366" s="87"/>
    </row>
    <row r="6367" spans="34:34" ht="15" thickBot="1" x14ac:dyDescent="0.4">
      <c r="AH6367" s="87"/>
    </row>
    <row r="6368" spans="34:34" ht="15" thickBot="1" x14ac:dyDescent="0.4">
      <c r="AH6368" s="87"/>
    </row>
    <row r="6369" spans="34:34" ht="15" thickBot="1" x14ac:dyDescent="0.4">
      <c r="AH6369" s="87"/>
    </row>
    <row r="6370" spans="34:34" ht="15" thickBot="1" x14ac:dyDescent="0.4">
      <c r="AH6370" s="87"/>
    </row>
    <row r="6371" spans="34:34" ht="15" thickBot="1" x14ac:dyDescent="0.4">
      <c r="AH6371" s="87"/>
    </row>
    <row r="6372" spans="34:34" ht="15" thickBot="1" x14ac:dyDescent="0.4">
      <c r="AH6372" s="87"/>
    </row>
    <row r="6373" spans="34:34" ht="15" thickBot="1" x14ac:dyDescent="0.4">
      <c r="AH6373" s="87"/>
    </row>
    <row r="6374" spans="34:34" ht="15" thickBot="1" x14ac:dyDescent="0.4">
      <c r="AH6374" s="87"/>
    </row>
    <row r="6375" spans="34:34" ht="15" thickBot="1" x14ac:dyDescent="0.4">
      <c r="AH6375" s="87"/>
    </row>
    <row r="6376" spans="34:34" ht="15" thickBot="1" x14ac:dyDescent="0.4">
      <c r="AH6376" s="87"/>
    </row>
    <row r="6377" spans="34:34" ht="15" thickBot="1" x14ac:dyDescent="0.4">
      <c r="AH6377" s="87"/>
    </row>
    <row r="6378" spans="34:34" ht="15" thickBot="1" x14ac:dyDescent="0.4">
      <c r="AH6378" s="87"/>
    </row>
    <row r="6379" spans="34:34" ht="15" thickBot="1" x14ac:dyDescent="0.4">
      <c r="AH6379" s="87"/>
    </row>
    <row r="6380" spans="34:34" ht="15" thickBot="1" x14ac:dyDescent="0.4">
      <c r="AH6380" s="87"/>
    </row>
    <row r="6381" spans="34:34" ht="15" thickBot="1" x14ac:dyDescent="0.4">
      <c r="AH6381" s="87"/>
    </row>
    <row r="6382" spans="34:34" ht="15" thickBot="1" x14ac:dyDescent="0.4">
      <c r="AH6382" s="87"/>
    </row>
    <row r="6383" spans="34:34" ht="15" thickBot="1" x14ac:dyDescent="0.4">
      <c r="AH6383" s="87"/>
    </row>
    <row r="6384" spans="34:34" ht="15" thickBot="1" x14ac:dyDescent="0.4">
      <c r="AH6384" s="87"/>
    </row>
    <row r="6385" spans="34:34" ht="15" thickBot="1" x14ac:dyDescent="0.4">
      <c r="AH6385" s="87"/>
    </row>
    <row r="6386" spans="34:34" ht="15" thickBot="1" x14ac:dyDescent="0.4">
      <c r="AH6386" s="87"/>
    </row>
    <row r="6387" spans="34:34" ht="15" thickBot="1" x14ac:dyDescent="0.4">
      <c r="AH6387" s="87"/>
    </row>
    <row r="6388" spans="34:34" ht="15" thickBot="1" x14ac:dyDescent="0.4">
      <c r="AH6388" s="87"/>
    </row>
    <row r="6389" spans="34:34" ht="15" thickBot="1" x14ac:dyDescent="0.4">
      <c r="AH6389" s="87"/>
    </row>
    <row r="6390" spans="34:34" ht="15" thickBot="1" x14ac:dyDescent="0.4">
      <c r="AH6390" s="87"/>
    </row>
    <row r="6391" spans="34:34" ht="15" thickBot="1" x14ac:dyDescent="0.4">
      <c r="AH6391" s="87"/>
    </row>
    <row r="6392" spans="34:34" ht="15" thickBot="1" x14ac:dyDescent="0.4">
      <c r="AH6392" s="87"/>
    </row>
    <row r="6393" spans="34:34" ht="15" thickBot="1" x14ac:dyDescent="0.4">
      <c r="AH6393" s="87"/>
    </row>
    <row r="6394" spans="34:34" ht="15" thickBot="1" x14ac:dyDescent="0.4">
      <c r="AH6394" s="87"/>
    </row>
    <row r="6395" spans="34:34" ht="15" thickBot="1" x14ac:dyDescent="0.4">
      <c r="AH6395" s="87"/>
    </row>
    <row r="6396" spans="34:34" ht="15" thickBot="1" x14ac:dyDescent="0.4">
      <c r="AH6396" s="87"/>
    </row>
    <row r="6397" spans="34:34" ht="15" thickBot="1" x14ac:dyDescent="0.4">
      <c r="AH6397" s="87"/>
    </row>
    <row r="6398" spans="34:34" ht="15" thickBot="1" x14ac:dyDescent="0.4">
      <c r="AH6398" s="87"/>
    </row>
    <row r="6399" spans="34:34" ht="15" thickBot="1" x14ac:dyDescent="0.4">
      <c r="AH6399" s="87"/>
    </row>
    <row r="6400" spans="34:34" ht="15" thickBot="1" x14ac:dyDescent="0.4">
      <c r="AH6400" s="87"/>
    </row>
    <row r="6401" spans="34:34" ht="15" thickBot="1" x14ac:dyDescent="0.4">
      <c r="AH6401" s="87"/>
    </row>
    <row r="6402" spans="34:34" ht="15" thickBot="1" x14ac:dyDescent="0.4">
      <c r="AH6402" s="87"/>
    </row>
    <row r="6403" spans="34:34" ht="15" thickBot="1" x14ac:dyDescent="0.4">
      <c r="AH6403" s="87"/>
    </row>
    <row r="6404" spans="34:34" ht="15" thickBot="1" x14ac:dyDescent="0.4">
      <c r="AH6404" s="87"/>
    </row>
    <row r="6405" spans="34:34" ht="15" thickBot="1" x14ac:dyDescent="0.4">
      <c r="AH6405" s="87"/>
    </row>
    <row r="6406" spans="34:34" ht="15" thickBot="1" x14ac:dyDescent="0.4">
      <c r="AH6406" s="87"/>
    </row>
    <row r="6407" spans="34:34" ht="15" thickBot="1" x14ac:dyDescent="0.4">
      <c r="AH6407" s="87"/>
    </row>
    <row r="6408" spans="34:34" ht="15" thickBot="1" x14ac:dyDescent="0.4">
      <c r="AH6408" s="87"/>
    </row>
    <row r="6409" spans="34:34" ht="15" thickBot="1" x14ac:dyDescent="0.4">
      <c r="AH6409" s="87"/>
    </row>
    <row r="6410" spans="34:34" ht="15" thickBot="1" x14ac:dyDescent="0.4">
      <c r="AH6410" s="87"/>
    </row>
    <row r="6411" spans="34:34" ht="15" thickBot="1" x14ac:dyDescent="0.4">
      <c r="AH6411" s="87"/>
    </row>
    <row r="6412" spans="34:34" ht="15" thickBot="1" x14ac:dyDescent="0.4">
      <c r="AH6412" s="87"/>
    </row>
    <row r="6413" spans="34:34" ht="15" thickBot="1" x14ac:dyDescent="0.4">
      <c r="AH6413" s="87"/>
    </row>
    <row r="6414" spans="34:34" ht="15" thickBot="1" x14ac:dyDescent="0.4">
      <c r="AH6414" s="87"/>
    </row>
    <row r="6415" spans="34:34" ht="15" thickBot="1" x14ac:dyDescent="0.4">
      <c r="AH6415" s="87"/>
    </row>
    <row r="6416" spans="34:34" ht="15" thickBot="1" x14ac:dyDescent="0.4">
      <c r="AH6416" s="87"/>
    </row>
    <row r="6417" spans="34:34" ht="15" thickBot="1" x14ac:dyDescent="0.4">
      <c r="AH6417" s="87"/>
    </row>
    <row r="6418" spans="34:34" ht="15" thickBot="1" x14ac:dyDescent="0.4">
      <c r="AH6418" s="87"/>
    </row>
    <row r="6419" spans="34:34" ht="15" thickBot="1" x14ac:dyDescent="0.4">
      <c r="AH6419" s="87"/>
    </row>
    <row r="6420" spans="34:34" ht="15" thickBot="1" x14ac:dyDescent="0.4">
      <c r="AH6420" s="87"/>
    </row>
    <row r="6421" spans="34:34" ht="15" thickBot="1" x14ac:dyDescent="0.4">
      <c r="AH6421" s="87"/>
    </row>
    <row r="6422" spans="34:34" ht="15" thickBot="1" x14ac:dyDescent="0.4">
      <c r="AH6422" s="87"/>
    </row>
    <row r="6423" spans="34:34" ht="15" thickBot="1" x14ac:dyDescent="0.4">
      <c r="AH6423" s="87"/>
    </row>
    <row r="6424" spans="34:34" ht="15" thickBot="1" x14ac:dyDescent="0.4">
      <c r="AH6424" s="87"/>
    </row>
    <row r="6425" spans="34:34" ht="15" thickBot="1" x14ac:dyDescent="0.4">
      <c r="AH6425" s="87"/>
    </row>
    <row r="6426" spans="34:34" ht="15" thickBot="1" x14ac:dyDescent="0.4">
      <c r="AH6426" s="87"/>
    </row>
    <row r="6427" spans="34:34" ht="15" thickBot="1" x14ac:dyDescent="0.4">
      <c r="AH6427" s="87"/>
    </row>
    <row r="6428" spans="34:34" ht="15" thickBot="1" x14ac:dyDescent="0.4">
      <c r="AH6428" s="87"/>
    </row>
    <row r="6429" spans="34:34" ht="15" thickBot="1" x14ac:dyDescent="0.4">
      <c r="AH6429" s="87"/>
    </row>
    <row r="6430" spans="34:34" ht="15" thickBot="1" x14ac:dyDescent="0.4">
      <c r="AH6430" s="87"/>
    </row>
    <row r="6431" spans="34:34" ht="15" thickBot="1" x14ac:dyDescent="0.4">
      <c r="AH6431" s="87"/>
    </row>
    <row r="6432" spans="34:34" ht="15" thickBot="1" x14ac:dyDescent="0.4">
      <c r="AH6432" s="87"/>
    </row>
    <row r="6433" spans="34:34" ht="15" thickBot="1" x14ac:dyDescent="0.4">
      <c r="AH6433" s="87"/>
    </row>
    <row r="6434" spans="34:34" ht="15" thickBot="1" x14ac:dyDescent="0.4">
      <c r="AH6434" s="87"/>
    </row>
    <row r="6435" spans="34:34" ht="15" thickBot="1" x14ac:dyDescent="0.4">
      <c r="AH6435" s="87"/>
    </row>
    <row r="6436" spans="34:34" ht="15" thickBot="1" x14ac:dyDescent="0.4">
      <c r="AH6436" s="87"/>
    </row>
    <row r="6437" spans="34:34" ht="15" thickBot="1" x14ac:dyDescent="0.4">
      <c r="AH6437" s="87"/>
    </row>
    <row r="6438" spans="34:34" ht="15" thickBot="1" x14ac:dyDescent="0.4">
      <c r="AH6438" s="87"/>
    </row>
    <row r="6439" spans="34:34" ht="15" thickBot="1" x14ac:dyDescent="0.4">
      <c r="AH6439" s="87"/>
    </row>
    <row r="6440" spans="34:34" ht="15" thickBot="1" x14ac:dyDescent="0.4">
      <c r="AH6440" s="87"/>
    </row>
    <row r="6441" spans="34:34" ht="15" thickBot="1" x14ac:dyDescent="0.4">
      <c r="AH6441" s="87"/>
    </row>
    <row r="6442" spans="34:34" ht="15" thickBot="1" x14ac:dyDescent="0.4">
      <c r="AH6442" s="87"/>
    </row>
    <row r="6443" spans="34:34" ht="15" thickBot="1" x14ac:dyDescent="0.4">
      <c r="AH6443" s="87"/>
    </row>
    <row r="6444" spans="34:34" ht="15" thickBot="1" x14ac:dyDescent="0.4">
      <c r="AH6444" s="87"/>
    </row>
    <row r="6445" spans="34:34" ht="15" thickBot="1" x14ac:dyDescent="0.4">
      <c r="AH6445" s="87"/>
    </row>
    <row r="6446" spans="34:34" ht="15" thickBot="1" x14ac:dyDescent="0.4">
      <c r="AH6446" s="87"/>
    </row>
    <row r="6447" spans="34:34" ht="15" thickBot="1" x14ac:dyDescent="0.4">
      <c r="AH6447" s="87"/>
    </row>
    <row r="6448" spans="34:34" ht="15" thickBot="1" x14ac:dyDescent="0.4">
      <c r="AH6448" s="87"/>
    </row>
    <row r="6449" spans="34:34" ht="15" thickBot="1" x14ac:dyDescent="0.4">
      <c r="AH6449" s="87"/>
    </row>
    <row r="6450" spans="34:34" ht="15" thickBot="1" x14ac:dyDescent="0.4">
      <c r="AH6450" s="87"/>
    </row>
    <row r="6451" spans="34:34" ht="15" thickBot="1" x14ac:dyDescent="0.4">
      <c r="AH6451" s="87"/>
    </row>
    <row r="6452" spans="34:34" ht="15" thickBot="1" x14ac:dyDescent="0.4">
      <c r="AH6452" s="87"/>
    </row>
    <row r="6453" spans="34:34" ht="15" thickBot="1" x14ac:dyDescent="0.4">
      <c r="AH6453" s="87"/>
    </row>
    <row r="6454" spans="34:34" ht="15" thickBot="1" x14ac:dyDescent="0.4">
      <c r="AH6454" s="87"/>
    </row>
    <row r="6455" spans="34:34" ht="15" thickBot="1" x14ac:dyDescent="0.4">
      <c r="AH6455" s="87"/>
    </row>
    <row r="6456" spans="34:34" ht="15" thickBot="1" x14ac:dyDescent="0.4">
      <c r="AH6456" s="87"/>
    </row>
    <row r="6457" spans="34:34" ht="15" thickBot="1" x14ac:dyDescent="0.4">
      <c r="AH6457" s="87"/>
    </row>
    <row r="6458" spans="34:34" ht="15" thickBot="1" x14ac:dyDescent="0.4">
      <c r="AH6458" s="87"/>
    </row>
    <row r="6459" spans="34:34" ht="15" thickBot="1" x14ac:dyDescent="0.4">
      <c r="AH6459" s="87"/>
    </row>
    <row r="6460" spans="34:34" ht="15" thickBot="1" x14ac:dyDescent="0.4">
      <c r="AH6460" s="87"/>
    </row>
    <row r="6461" spans="34:34" ht="15" thickBot="1" x14ac:dyDescent="0.4">
      <c r="AH6461" s="87"/>
    </row>
    <row r="6462" spans="34:34" ht="15" thickBot="1" x14ac:dyDescent="0.4">
      <c r="AH6462" s="87"/>
    </row>
    <row r="6463" spans="34:34" ht="15" thickBot="1" x14ac:dyDescent="0.4">
      <c r="AH6463" s="87"/>
    </row>
    <row r="6464" spans="34:34" ht="15" thickBot="1" x14ac:dyDescent="0.4">
      <c r="AH6464" s="87"/>
    </row>
    <row r="6465" spans="34:34" ht="15" thickBot="1" x14ac:dyDescent="0.4">
      <c r="AH6465" s="87"/>
    </row>
    <row r="6466" spans="34:34" ht="15" thickBot="1" x14ac:dyDescent="0.4">
      <c r="AH6466" s="87"/>
    </row>
    <row r="6467" spans="34:34" ht="15" thickBot="1" x14ac:dyDescent="0.4">
      <c r="AH6467" s="87"/>
    </row>
    <row r="6468" spans="34:34" ht="15" thickBot="1" x14ac:dyDescent="0.4">
      <c r="AH6468" s="87"/>
    </row>
    <row r="6469" spans="34:34" ht="15" thickBot="1" x14ac:dyDescent="0.4">
      <c r="AH6469" s="87"/>
    </row>
    <row r="6470" spans="34:34" ht="15" thickBot="1" x14ac:dyDescent="0.4">
      <c r="AH6470" s="87"/>
    </row>
    <row r="6471" spans="34:34" ht="15" thickBot="1" x14ac:dyDescent="0.4">
      <c r="AH6471" s="87"/>
    </row>
    <row r="6472" spans="34:34" ht="15" thickBot="1" x14ac:dyDescent="0.4">
      <c r="AH6472" s="87"/>
    </row>
    <row r="6473" spans="34:34" ht="15" thickBot="1" x14ac:dyDescent="0.4">
      <c r="AH6473" s="87"/>
    </row>
    <row r="6474" spans="34:34" ht="15" thickBot="1" x14ac:dyDescent="0.4">
      <c r="AH6474" s="87"/>
    </row>
    <row r="6475" spans="34:34" ht="15" thickBot="1" x14ac:dyDescent="0.4">
      <c r="AH6475" s="87"/>
    </row>
    <row r="6476" spans="34:34" ht="15" thickBot="1" x14ac:dyDescent="0.4">
      <c r="AH6476" s="87"/>
    </row>
    <row r="6477" spans="34:34" ht="15" thickBot="1" x14ac:dyDescent="0.4">
      <c r="AH6477" s="87"/>
    </row>
    <row r="6478" spans="34:34" ht="15" thickBot="1" x14ac:dyDescent="0.4">
      <c r="AH6478" s="87"/>
    </row>
    <row r="6479" spans="34:34" ht="15" thickBot="1" x14ac:dyDescent="0.4">
      <c r="AH6479" s="87"/>
    </row>
    <row r="6480" spans="34:34" ht="15" thickBot="1" x14ac:dyDescent="0.4">
      <c r="AH6480" s="87"/>
    </row>
    <row r="6481" spans="34:34" ht="15" thickBot="1" x14ac:dyDescent="0.4">
      <c r="AH6481" s="87"/>
    </row>
    <row r="6482" spans="34:34" ht="15" thickBot="1" x14ac:dyDescent="0.4">
      <c r="AH6482" s="87"/>
    </row>
    <row r="6483" spans="34:34" ht="15" thickBot="1" x14ac:dyDescent="0.4">
      <c r="AH6483" s="87"/>
    </row>
    <row r="6484" spans="34:34" ht="15" thickBot="1" x14ac:dyDescent="0.4">
      <c r="AH6484" s="87"/>
    </row>
    <row r="6485" spans="34:34" ht="15" thickBot="1" x14ac:dyDescent="0.4">
      <c r="AH6485" s="87"/>
    </row>
    <row r="6486" spans="34:34" ht="15" thickBot="1" x14ac:dyDescent="0.4">
      <c r="AH6486" s="87"/>
    </row>
    <row r="6487" spans="34:34" ht="15" thickBot="1" x14ac:dyDescent="0.4">
      <c r="AH6487" s="87"/>
    </row>
    <row r="6488" spans="34:34" ht="15" thickBot="1" x14ac:dyDescent="0.4">
      <c r="AH6488" s="87"/>
    </row>
    <row r="6489" spans="34:34" ht="15" thickBot="1" x14ac:dyDescent="0.4">
      <c r="AH6489" s="87"/>
    </row>
    <row r="6490" spans="34:34" ht="15" thickBot="1" x14ac:dyDescent="0.4">
      <c r="AH6490" s="87"/>
    </row>
    <row r="6491" spans="34:34" ht="15" thickBot="1" x14ac:dyDescent="0.4">
      <c r="AH6491" s="87"/>
    </row>
    <row r="6492" spans="34:34" ht="15" thickBot="1" x14ac:dyDescent="0.4">
      <c r="AH6492" s="87"/>
    </row>
    <row r="6493" spans="34:34" ht="15" thickBot="1" x14ac:dyDescent="0.4">
      <c r="AH6493" s="87"/>
    </row>
    <row r="6494" spans="34:34" ht="15" thickBot="1" x14ac:dyDescent="0.4">
      <c r="AH6494" s="87"/>
    </row>
    <row r="6495" spans="34:34" ht="15" thickBot="1" x14ac:dyDescent="0.4">
      <c r="AH6495" s="87"/>
    </row>
    <row r="6496" spans="34:34" ht="15" thickBot="1" x14ac:dyDescent="0.4">
      <c r="AH6496" s="87"/>
    </row>
    <row r="6497" spans="34:34" ht="15" thickBot="1" x14ac:dyDescent="0.4">
      <c r="AH6497" s="87"/>
    </row>
    <row r="6498" spans="34:34" ht="15" thickBot="1" x14ac:dyDescent="0.4">
      <c r="AH6498" s="87"/>
    </row>
    <row r="6499" spans="34:34" ht="15" thickBot="1" x14ac:dyDescent="0.4">
      <c r="AH6499" s="87"/>
    </row>
    <row r="6500" spans="34:34" ht="15" thickBot="1" x14ac:dyDescent="0.4">
      <c r="AH6500" s="87"/>
    </row>
    <row r="6501" spans="34:34" ht="15" thickBot="1" x14ac:dyDescent="0.4">
      <c r="AH6501" s="87"/>
    </row>
    <row r="6502" spans="34:34" ht="15" thickBot="1" x14ac:dyDescent="0.4">
      <c r="AH6502" s="87"/>
    </row>
    <row r="6503" spans="34:34" ht="15" thickBot="1" x14ac:dyDescent="0.4">
      <c r="AH6503" s="87"/>
    </row>
    <row r="6504" spans="34:34" ht="15" thickBot="1" x14ac:dyDescent="0.4">
      <c r="AH6504" s="87"/>
    </row>
    <row r="6505" spans="34:34" ht="15" thickBot="1" x14ac:dyDescent="0.4">
      <c r="AH6505" s="87"/>
    </row>
    <row r="6506" spans="34:34" ht="15" thickBot="1" x14ac:dyDescent="0.4">
      <c r="AH6506" s="87"/>
    </row>
    <row r="6507" spans="34:34" ht="15" thickBot="1" x14ac:dyDescent="0.4">
      <c r="AH6507" s="87"/>
    </row>
    <row r="6508" spans="34:34" ht="15" thickBot="1" x14ac:dyDescent="0.4">
      <c r="AH6508" s="87"/>
    </row>
    <row r="6509" spans="34:34" ht="15" thickBot="1" x14ac:dyDescent="0.4">
      <c r="AH6509" s="87"/>
    </row>
    <row r="6510" spans="34:34" ht="15" thickBot="1" x14ac:dyDescent="0.4">
      <c r="AH6510" s="87"/>
    </row>
    <row r="6511" spans="34:34" ht="15" thickBot="1" x14ac:dyDescent="0.4">
      <c r="AH6511" s="87"/>
    </row>
    <row r="6512" spans="34:34" ht="15" thickBot="1" x14ac:dyDescent="0.4">
      <c r="AH6512" s="87"/>
    </row>
    <row r="6513" spans="34:34" ht="15" thickBot="1" x14ac:dyDescent="0.4">
      <c r="AH6513" s="87"/>
    </row>
    <row r="6514" spans="34:34" ht="15" thickBot="1" x14ac:dyDescent="0.4">
      <c r="AH6514" s="87"/>
    </row>
    <row r="6515" spans="34:34" ht="15" thickBot="1" x14ac:dyDescent="0.4">
      <c r="AH6515" s="87"/>
    </row>
    <row r="6516" spans="34:34" ht="15" thickBot="1" x14ac:dyDescent="0.4">
      <c r="AH6516" s="87"/>
    </row>
    <row r="6517" spans="34:34" ht="15" thickBot="1" x14ac:dyDescent="0.4">
      <c r="AH6517" s="87"/>
    </row>
    <row r="6518" spans="34:34" ht="15" thickBot="1" x14ac:dyDescent="0.4">
      <c r="AH6518" s="87"/>
    </row>
    <row r="6519" spans="34:34" ht="15" thickBot="1" x14ac:dyDescent="0.4">
      <c r="AH6519" s="87"/>
    </row>
    <row r="6520" spans="34:34" ht="15" thickBot="1" x14ac:dyDescent="0.4">
      <c r="AH6520" s="87"/>
    </row>
    <row r="6521" spans="34:34" ht="15" thickBot="1" x14ac:dyDescent="0.4">
      <c r="AH6521" s="87"/>
    </row>
    <row r="6522" spans="34:34" ht="15" thickBot="1" x14ac:dyDescent="0.4">
      <c r="AH6522" s="87"/>
    </row>
    <row r="6523" spans="34:34" ht="15" thickBot="1" x14ac:dyDescent="0.4">
      <c r="AH6523" s="87"/>
    </row>
    <row r="6524" spans="34:34" ht="15" thickBot="1" x14ac:dyDescent="0.4">
      <c r="AH6524" s="87"/>
    </row>
    <row r="6525" spans="34:34" ht="15" thickBot="1" x14ac:dyDescent="0.4">
      <c r="AH6525" s="87"/>
    </row>
    <row r="6526" spans="34:34" ht="15" thickBot="1" x14ac:dyDescent="0.4">
      <c r="AH6526" s="87"/>
    </row>
    <row r="6527" spans="34:34" ht="15" thickBot="1" x14ac:dyDescent="0.4">
      <c r="AH6527" s="87"/>
    </row>
    <row r="6528" spans="34:34" ht="15" thickBot="1" x14ac:dyDescent="0.4">
      <c r="AH6528" s="87"/>
    </row>
    <row r="6529" spans="34:34" ht="15" thickBot="1" x14ac:dyDescent="0.4">
      <c r="AH6529" s="87"/>
    </row>
    <row r="6530" spans="34:34" ht="15" thickBot="1" x14ac:dyDescent="0.4">
      <c r="AH6530" s="87"/>
    </row>
    <row r="6531" spans="34:34" ht="15" thickBot="1" x14ac:dyDescent="0.4">
      <c r="AH6531" s="87"/>
    </row>
    <row r="6532" spans="34:34" ht="15" thickBot="1" x14ac:dyDescent="0.4">
      <c r="AH6532" s="87"/>
    </row>
    <row r="6533" spans="34:34" ht="15" thickBot="1" x14ac:dyDescent="0.4">
      <c r="AH6533" s="87"/>
    </row>
    <row r="6534" spans="34:34" ht="15" thickBot="1" x14ac:dyDescent="0.4">
      <c r="AH6534" s="87"/>
    </row>
    <row r="6535" spans="34:34" ht="15" thickBot="1" x14ac:dyDescent="0.4">
      <c r="AH6535" s="87"/>
    </row>
    <row r="6536" spans="34:34" ht="15" thickBot="1" x14ac:dyDescent="0.4">
      <c r="AH6536" s="87"/>
    </row>
    <row r="6537" spans="34:34" ht="15" thickBot="1" x14ac:dyDescent="0.4">
      <c r="AH6537" s="87"/>
    </row>
    <row r="6538" spans="34:34" ht="15" thickBot="1" x14ac:dyDescent="0.4">
      <c r="AH6538" s="87"/>
    </row>
    <row r="6539" spans="34:34" ht="15" thickBot="1" x14ac:dyDescent="0.4">
      <c r="AH6539" s="87"/>
    </row>
    <row r="6540" spans="34:34" ht="15" thickBot="1" x14ac:dyDescent="0.4">
      <c r="AH6540" s="87"/>
    </row>
    <row r="6541" spans="34:34" ht="15" thickBot="1" x14ac:dyDescent="0.4">
      <c r="AH6541" s="87"/>
    </row>
    <row r="6542" spans="34:34" ht="15" thickBot="1" x14ac:dyDescent="0.4">
      <c r="AH6542" s="87"/>
    </row>
    <row r="6543" spans="34:34" ht="15" thickBot="1" x14ac:dyDescent="0.4">
      <c r="AH6543" s="87"/>
    </row>
    <row r="6544" spans="34:34" ht="15" thickBot="1" x14ac:dyDescent="0.4">
      <c r="AH6544" s="87"/>
    </row>
    <row r="6545" spans="34:34" ht="15" thickBot="1" x14ac:dyDescent="0.4">
      <c r="AH6545" s="87"/>
    </row>
    <row r="6546" spans="34:34" ht="15" thickBot="1" x14ac:dyDescent="0.4">
      <c r="AH6546" s="87"/>
    </row>
    <row r="6547" spans="34:34" ht="15" thickBot="1" x14ac:dyDescent="0.4">
      <c r="AH6547" s="87"/>
    </row>
    <row r="6548" spans="34:34" ht="15" thickBot="1" x14ac:dyDescent="0.4">
      <c r="AH6548" s="87"/>
    </row>
    <row r="6549" spans="34:34" ht="15" thickBot="1" x14ac:dyDescent="0.4">
      <c r="AH6549" s="87"/>
    </row>
    <row r="6550" spans="34:34" ht="15" thickBot="1" x14ac:dyDescent="0.4">
      <c r="AH6550" s="87"/>
    </row>
    <row r="6551" spans="34:34" ht="15" thickBot="1" x14ac:dyDescent="0.4">
      <c r="AH6551" s="87"/>
    </row>
    <row r="6552" spans="34:34" ht="15" thickBot="1" x14ac:dyDescent="0.4">
      <c r="AH6552" s="87"/>
    </row>
    <row r="6553" spans="34:34" ht="15" thickBot="1" x14ac:dyDescent="0.4">
      <c r="AH6553" s="87"/>
    </row>
    <row r="6554" spans="34:34" ht="15" thickBot="1" x14ac:dyDescent="0.4">
      <c r="AH6554" s="87"/>
    </row>
    <row r="6555" spans="34:34" ht="15" thickBot="1" x14ac:dyDescent="0.4">
      <c r="AH6555" s="87"/>
    </row>
    <row r="6556" spans="34:34" ht="15" thickBot="1" x14ac:dyDescent="0.4">
      <c r="AH6556" s="87"/>
    </row>
    <row r="6557" spans="34:34" ht="15" thickBot="1" x14ac:dyDescent="0.4">
      <c r="AH6557" s="87"/>
    </row>
    <row r="6558" spans="34:34" ht="15" thickBot="1" x14ac:dyDescent="0.4">
      <c r="AH6558" s="87"/>
    </row>
    <row r="6559" spans="34:34" ht="15" thickBot="1" x14ac:dyDescent="0.4">
      <c r="AH6559" s="87"/>
    </row>
    <row r="6560" spans="34:34" ht="15" thickBot="1" x14ac:dyDescent="0.4">
      <c r="AH6560" s="87"/>
    </row>
    <row r="6561" spans="34:34" ht="15" thickBot="1" x14ac:dyDescent="0.4">
      <c r="AH6561" s="87"/>
    </row>
    <row r="6562" spans="34:34" ht="15" thickBot="1" x14ac:dyDescent="0.4">
      <c r="AH6562" s="87"/>
    </row>
    <row r="6563" spans="34:34" ht="15" thickBot="1" x14ac:dyDescent="0.4">
      <c r="AH6563" s="87"/>
    </row>
    <row r="6564" spans="34:34" ht="15" thickBot="1" x14ac:dyDescent="0.4">
      <c r="AH6564" s="87"/>
    </row>
    <row r="6565" spans="34:34" ht="15" thickBot="1" x14ac:dyDescent="0.4">
      <c r="AH6565" s="87"/>
    </row>
    <row r="6566" spans="34:34" ht="15" thickBot="1" x14ac:dyDescent="0.4">
      <c r="AH6566" s="87"/>
    </row>
    <row r="6567" spans="34:34" ht="15" thickBot="1" x14ac:dyDescent="0.4">
      <c r="AH6567" s="87"/>
    </row>
    <row r="6568" spans="34:34" ht="15" thickBot="1" x14ac:dyDescent="0.4">
      <c r="AH6568" s="87"/>
    </row>
    <row r="6569" spans="34:34" ht="15" thickBot="1" x14ac:dyDescent="0.4">
      <c r="AH6569" s="87"/>
    </row>
    <row r="6570" spans="34:34" ht="15" thickBot="1" x14ac:dyDescent="0.4">
      <c r="AH6570" s="87"/>
    </row>
    <row r="6571" spans="34:34" ht="15" thickBot="1" x14ac:dyDescent="0.4">
      <c r="AH6571" s="87"/>
    </row>
    <row r="6572" spans="34:34" ht="15" thickBot="1" x14ac:dyDescent="0.4">
      <c r="AH6572" s="87"/>
    </row>
    <row r="6573" spans="34:34" ht="15" thickBot="1" x14ac:dyDescent="0.4">
      <c r="AH6573" s="87"/>
    </row>
    <row r="6574" spans="34:34" ht="15" thickBot="1" x14ac:dyDescent="0.4">
      <c r="AH6574" s="87"/>
    </row>
    <row r="6575" spans="34:34" ht="15" thickBot="1" x14ac:dyDescent="0.4">
      <c r="AH6575" s="87"/>
    </row>
    <row r="6576" spans="34:34" ht="15" thickBot="1" x14ac:dyDescent="0.4">
      <c r="AH6576" s="87"/>
    </row>
    <row r="6577" spans="34:34" ht="15" thickBot="1" x14ac:dyDescent="0.4">
      <c r="AH6577" s="87"/>
    </row>
    <row r="6578" spans="34:34" ht="15" thickBot="1" x14ac:dyDescent="0.4">
      <c r="AH6578" s="87"/>
    </row>
    <row r="6579" spans="34:34" ht="15" thickBot="1" x14ac:dyDescent="0.4">
      <c r="AH6579" s="87"/>
    </row>
    <row r="6580" spans="34:34" ht="15" thickBot="1" x14ac:dyDescent="0.4">
      <c r="AH6580" s="87"/>
    </row>
    <row r="6581" spans="34:34" ht="15" thickBot="1" x14ac:dyDescent="0.4">
      <c r="AH6581" s="87"/>
    </row>
    <row r="6582" spans="34:34" ht="15" thickBot="1" x14ac:dyDescent="0.4">
      <c r="AH6582" s="87"/>
    </row>
    <row r="6583" spans="34:34" ht="15" thickBot="1" x14ac:dyDescent="0.4">
      <c r="AH6583" s="87"/>
    </row>
    <row r="6584" spans="34:34" ht="15" thickBot="1" x14ac:dyDescent="0.4">
      <c r="AH6584" s="87"/>
    </row>
    <row r="6585" spans="34:34" ht="15" thickBot="1" x14ac:dyDescent="0.4">
      <c r="AH6585" s="87"/>
    </row>
    <row r="6586" spans="34:34" ht="15" thickBot="1" x14ac:dyDescent="0.4">
      <c r="AH6586" s="87"/>
    </row>
    <row r="6587" spans="34:34" ht="15" thickBot="1" x14ac:dyDescent="0.4">
      <c r="AH6587" s="87"/>
    </row>
    <row r="6588" spans="34:34" ht="15" thickBot="1" x14ac:dyDescent="0.4">
      <c r="AH6588" s="87"/>
    </row>
    <row r="6589" spans="34:34" ht="15" thickBot="1" x14ac:dyDescent="0.4">
      <c r="AH6589" s="87"/>
    </row>
    <row r="6590" spans="34:34" ht="15" thickBot="1" x14ac:dyDescent="0.4">
      <c r="AH6590" s="87"/>
    </row>
    <row r="6591" spans="34:34" ht="15" thickBot="1" x14ac:dyDescent="0.4">
      <c r="AH6591" s="87"/>
    </row>
    <row r="6592" spans="34:34" ht="15" thickBot="1" x14ac:dyDescent="0.4">
      <c r="AH6592" s="87"/>
    </row>
    <row r="6593" spans="34:34" ht="15" thickBot="1" x14ac:dyDescent="0.4">
      <c r="AH6593" s="87"/>
    </row>
    <row r="6594" spans="34:34" ht="15" thickBot="1" x14ac:dyDescent="0.4">
      <c r="AH6594" s="87"/>
    </row>
    <row r="6595" spans="34:34" ht="15" thickBot="1" x14ac:dyDescent="0.4">
      <c r="AH6595" s="87"/>
    </row>
    <row r="6596" spans="34:34" ht="15" thickBot="1" x14ac:dyDescent="0.4">
      <c r="AH6596" s="87"/>
    </row>
    <row r="6597" spans="34:34" ht="15" thickBot="1" x14ac:dyDescent="0.4">
      <c r="AH6597" s="87"/>
    </row>
    <row r="6598" spans="34:34" ht="15" thickBot="1" x14ac:dyDescent="0.4">
      <c r="AH6598" s="87"/>
    </row>
    <row r="6599" spans="34:34" ht="15" thickBot="1" x14ac:dyDescent="0.4">
      <c r="AH6599" s="87"/>
    </row>
    <row r="6600" spans="34:34" ht="15" thickBot="1" x14ac:dyDescent="0.4">
      <c r="AH6600" s="87"/>
    </row>
    <row r="6601" spans="34:34" ht="15" thickBot="1" x14ac:dyDescent="0.4">
      <c r="AH6601" s="87"/>
    </row>
    <row r="6602" spans="34:34" ht="15" thickBot="1" x14ac:dyDescent="0.4">
      <c r="AH6602" s="87"/>
    </row>
    <row r="6603" spans="34:34" ht="15" thickBot="1" x14ac:dyDescent="0.4">
      <c r="AH6603" s="87"/>
    </row>
    <row r="6604" spans="34:34" ht="15" thickBot="1" x14ac:dyDescent="0.4">
      <c r="AH6604" s="87"/>
    </row>
    <row r="6605" spans="34:34" ht="15" thickBot="1" x14ac:dyDescent="0.4">
      <c r="AH6605" s="87"/>
    </row>
    <row r="6606" spans="34:34" ht="15" thickBot="1" x14ac:dyDescent="0.4">
      <c r="AH6606" s="87"/>
    </row>
    <row r="6607" spans="34:34" ht="15" thickBot="1" x14ac:dyDescent="0.4">
      <c r="AH6607" s="87"/>
    </row>
    <row r="6608" spans="34:34" ht="15" thickBot="1" x14ac:dyDescent="0.4">
      <c r="AH6608" s="87"/>
    </row>
    <row r="6609" spans="34:34" ht="15" thickBot="1" x14ac:dyDescent="0.4">
      <c r="AH6609" s="87"/>
    </row>
    <row r="6610" spans="34:34" ht="15" thickBot="1" x14ac:dyDescent="0.4">
      <c r="AH6610" s="87"/>
    </row>
    <row r="6611" spans="34:34" ht="15" thickBot="1" x14ac:dyDescent="0.4">
      <c r="AH6611" s="87"/>
    </row>
    <row r="6612" spans="34:34" ht="15" thickBot="1" x14ac:dyDescent="0.4">
      <c r="AH6612" s="87"/>
    </row>
    <row r="6613" spans="34:34" ht="15" thickBot="1" x14ac:dyDescent="0.4">
      <c r="AH6613" s="87"/>
    </row>
    <row r="6614" spans="34:34" ht="15" thickBot="1" x14ac:dyDescent="0.4">
      <c r="AH6614" s="87"/>
    </row>
    <row r="6615" spans="34:34" ht="15" thickBot="1" x14ac:dyDescent="0.4">
      <c r="AH6615" s="87"/>
    </row>
    <row r="6616" spans="34:34" ht="15" thickBot="1" x14ac:dyDescent="0.4">
      <c r="AH6616" s="87"/>
    </row>
    <row r="6617" spans="34:34" ht="15" thickBot="1" x14ac:dyDescent="0.4">
      <c r="AH6617" s="87"/>
    </row>
    <row r="6618" spans="34:34" ht="15" thickBot="1" x14ac:dyDescent="0.4">
      <c r="AH6618" s="87"/>
    </row>
    <row r="6619" spans="34:34" ht="15" thickBot="1" x14ac:dyDescent="0.4">
      <c r="AH6619" s="87"/>
    </row>
    <row r="6620" spans="34:34" ht="15" thickBot="1" x14ac:dyDescent="0.4">
      <c r="AH6620" s="87"/>
    </row>
    <row r="6621" spans="34:34" ht="15" thickBot="1" x14ac:dyDescent="0.4">
      <c r="AH6621" s="87"/>
    </row>
    <row r="6622" spans="34:34" ht="15" thickBot="1" x14ac:dyDescent="0.4">
      <c r="AH6622" s="87"/>
    </row>
    <row r="6623" spans="34:34" ht="15" thickBot="1" x14ac:dyDescent="0.4">
      <c r="AH6623" s="87"/>
    </row>
    <row r="6624" spans="34:34" ht="15" thickBot="1" x14ac:dyDescent="0.4">
      <c r="AH6624" s="87"/>
    </row>
    <row r="6625" spans="34:34" ht="15" thickBot="1" x14ac:dyDescent="0.4">
      <c r="AH6625" s="87"/>
    </row>
    <row r="6626" spans="34:34" ht="15" thickBot="1" x14ac:dyDescent="0.4">
      <c r="AH6626" s="87"/>
    </row>
    <row r="6627" spans="34:34" ht="15" thickBot="1" x14ac:dyDescent="0.4">
      <c r="AH6627" s="87"/>
    </row>
    <row r="6628" spans="34:34" ht="15" thickBot="1" x14ac:dyDescent="0.4">
      <c r="AH6628" s="87"/>
    </row>
    <row r="6629" spans="34:34" ht="15" thickBot="1" x14ac:dyDescent="0.4">
      <c r="AH6629" s="87"/>
    </row>
    <row r="6630" spans="34:34" ht="15" thickBot="1" x14ac:dyDescent="0.4">
      <c r="AH6630" s="87"/>
    </row>
    <row r="6631" spans="34:34" ht="15" thickBot="1" x14ac:dyDescent="0.4">
      <c r="AH6631" s="87"/>
    </row>
    <row r="6632" spans="34:34" ht="15" thickBot="1" x14ac:dyDescent="0.4">
      <c r="AH6632" s="87"/>
    </row>
    <row r="6633" spans="34:34" ht="15" thickBot="1" x14ac:dyDescent="0.4">
      <c r="AH6633" s="87"/>
    </row>
    <row r="6634" spans="34:34" ht="15" thickBot="1" x14ac:dyDescent="0.4">
      <c r="AH6634" s="87"/>
    </row>
    <row r="6635" spans="34:34" ht="15" thickBot="1" x14ac:dyDescent="0.4">
      <c r="AH6635" s="87"/>
    </row>
    <row r="6636" spans="34:34" ht="15" thickBot="1" x14ac:dyDescent="0.4">
      <c r="AH6636" s="87"/>
    </row>
    <row r="6637" spans="34:34" ht="15" thickBot="1" x14ac:dyDescent="0.4">
      <c r="AH6637" s="87"/>
    </row>
    <row r="6638" spans="34:34" ht="15" thickBot="1" x14ac:dyDescent="0.4">
      <c r="AH6638" s="87"/>
    </row>
    <row r="6639" spans="34:34" ht="15" thickBot="1" x14ac:dyDescent="0.4">
      <c r="AH6639" s="87"/>
    </row>
    <row r="6640" spans="34:34" ht="15" thickBot="1" x14ac:dyDescent="0.4">
      <c r="AH6640" s="87"/>
    </row>
    <row r="6641" spans="34:34" ht="15" thickBot="1" x14ac:dyDescent="0.4">
      <c r="AH6641" s="87"/>
    </row>
    <row r="6642" spans="34:34" ht="15" thickBot="1" x14ac:dyDescent="0.4">
      <c r="AH6642" s="87"/>
    </row>
    <row r="6643" spans="34:34" ht="15" thickBot="1" x14ac:dyDescent="0.4">
      <c r="AH6643" s="87"/>
    </row>
    <row r="6644" spans="34:34" ht="15" thickBot="1" x14ac:dyDescent="0.4">
      <c r="AH6644" s="87"/>
    </row>
    <row r="6645" spans="34:34" ht="15" thickBot="1" x14ac:dyDescent="0.4">
      <c r="AH6645" s="87"/>
    </row>
    <row r="6646" spans="34:34" ht="15" thickBot="1" x14ac:dyDescent="0.4">
      <c r="AH6646" s="87"/>
    </row>
    <row r="6647" spans="34:34" ht="15" thickBot="1" x14ac:dyDescent="0.4">
      <c r="AH6647" s="87"/>
    </row>
    <row r="6648" spans="34:34" ht="15" thickBot="1" x14ac:dyDescent="0.4">
      <c r="AH6648" s="87"/>
    </row>
    <row r="6649" spans="34:34" ht="15" thickBot="1" x14ac:dyDescent="0.4">
      <c r="AH6649" s="87"/>
    </row>
    <row r="6650" spans="34:34" ht="15" thickBot="1" x14ac:dyDescent="0.4">
      <c r="AH6650" s="87"/>
    </row>
    <row r="6651" spans="34:34" ht="15" thickBot="1" x14ac:dyDescent="0.4">
      <c r="AH6651" s="87"/>
    </row>
    <row r="6652" spans="34:34" ht="15" thickBot="1" x14ac:dyDescent="0.4">
      <c r="AH6652" s="87"/>
    </row>
    <row r="6653" spans="34:34" ht="15" thickBot="1" x14ac:dyDescent="0.4">
      <c r="AH6653" s="87"/>
    </row>
    <row r="6654" spans="34:34" ht="15" thickBot="1" x14ac:dyDescent="0.4">
      <c r="AH6654" s="87"/>
    </row>
    <row r="6655" spans="34:34" ht="15" thickBot="1" x14ac:dyDescent="0.4">
      <c r="AH6655" s="87"/>
    </row>
    <row r="6656" spans="34:34" ht="15" thickBot="1" x14ac:dyDescent="0.4">
      <c r="AH6656" s="87"/>
    </row>
    <row r="6657" spans="34:34" ht="15" thickBot="1" x14ac:dyDescent="0.4">
      <c r="AH6657" s="87"/>
    </row>
    <row r="6658" spans="34:34" ht="15" thickBot="1" x14ac:dyDescent="0.4">
      <c r="AH6658" s="87"/>
    </row>
    <row r="6659" spans="34:34" ht="15" thickBot="1" x14ac:dyDescent="0.4">
      <c r="AH6659" s="87"/>
    </row>
    <row r="6660" spans="34:34" ht="15" thickBot="1" x14ac:dyDescent="0.4">
      <c r="AH6660" s="87"/>
    </row>
    <row r="6661" spans="34:34" ht="15" thickBot="1" x14ac:dyDescent="0.4">
      <c r="AH6661" s="87"/>
    </row>
    <row r="6662" spans="34:34" ht="15" thickBot="1" x14ac:dyDescent="0.4">
      <c r="AH6662" s="87"/>
    </row>
    <row r="6663" spans="34:34" ht="15" thickBot="1" x14ac:dyDescent="0.4">
      <c r="AH6663" s="87"/>
    </row>
    <row r="6664" spans="34:34" ht="15" thickBot="1" x14ac:dyDescent="0.4">
      <c r="AH6664" s="87"/>
    </row>
    <row r="6665" spans="34:34" ht="15" thickBot="1" x14ac:dyDescent="0.4">
      <c r="AH6665" s="87"/>
    </row>
    <row r="6666" spans="34:34" ht="15" thickBot="1" x14ac:dyDescent="0.4">
      <c r="AH6666" s="87"/>
    </row>
    <row r="6667" spans="34:34" ht="15" thickBot="1" x14ac:dyDescent="0.4">
      <c r="AH6667" s="87"/>
    </row>
    <row r="6668" spans="34:34" ht="15" thickBot="1" x14ac:dyDescent="0.4">
      <c r="AH6668" s="87"/>
    </row>
    <row r="6669" spans="34:34" ht="15" thickBot="1" x14ac:dyDescent="0.4">
      <c r="AH6669" s="87"/>
    </row>
    <row r="6670" spans="34:34" ht="15" thickBot="1" x14ac:dyDescent="0.4">
      <c r="AH6670" s="87"/>
    </row>
    <row r="6671" spans="34:34" ht="15" thickBot="1" x14ac:dyDescent="0.4">
      <c r="AH6671" s="87"/>
    </row>
    <row r="6672" spans="34:34" ht="15" thickBot="1" x14ac:dyDescent="0.4">
      <c r="AH6672" s="87"/>
    </row>
    <row r="6673" spans="34:34" ht="15" thickBot="1" x14ac:dyDescent="0.4">
      <c r="AH6673" s="87"/>
    </row>
    <row r="6674" spans="34:34" ht="15" thickBot="1" x14ac:dyDescent="0.4">
      <c r="AH6674" s="87"/>
    </row>
    <row r="6675" spans="34:34" ht="15" thickBot="1" x14ac:dyDescent="0.4">
      <c r="AH6675" s="87"/>
    </row>
    <row r="6676" spans="34:34" ht="15" thickBot="1" x14ac:dyDescent="0.4">
      <c r="AH6676" s="87"/>
    </row>
    <row r="6677" spans="34:34" ht="15" thickBot="1" x14ac:dyDescent="0.4">
      <c r="AH6677" s="87"/>
    </row>
    <row r="6678" spans="34:34" ht="15" thickBot="1" x14ac:dyDescent="0.4">
      <c r="AH6678" s="87"/>
    </row>
    <row r="6679" spans="34:34" ht="15" thickBot="1" x14ac:dyDescent="0.4">
      <c r="AH6679" s="87"/>
    </row>
    <row r="6680" spans="34:34" ht="15" thickBot="1" x14ac:dyDescent="0.4">
      <c r="AH6680" s="87"/>
    </row>
    <row r="6681" spans="34:34" ht="15" thickBot="1" x14ac:dyDescent="0.4">
      <c r="AH6681" s="87"/>
    </row>
    <row r="6682" spans="34:34" ht="15" thickBot="1" x14ac:dyDescent="0.4">
      <c r="AH6682" s="87"/>
    </row>
    <row r="6683" spans="34:34" ht="15" thickBot="1" x14ac:dyDescent="0.4">
      <c r="AH6683" s="87"/>
    </row>
    <row r="6684" spans="34:34" ht="15" thickBot="1" x14ac:dyDescent="0.4">
      <c r="AH6684" s="87"/>
    </row>
    <row r="6685" spans="34:34" ht="15" thickBot="1" x14ac:dyDescent="0.4">
      <c r="AH6685" s="87"/>
    </row>
    <row r="6686" spans="34:34" ht="15" thickBot="1" x14ac:dyDescent="0.4">
      <c r="AH6686" s="87"/>
    </row>
    <row r="6687" spans="34:34" ht="15" thickBot="1" x14ac:dyDescent="0.4">
      <c r="AH6687" s="87"/>
    </row>
    <row r="6688" spans="34:34" ht="15" thickBot="1" x14ac:dyDescent="0.4">
      <c r="AH6688" s="87"/>
    </row>
    <row r="6689" spans="34:34" ht="15" thickBot="1" x14ac:dyDescent="0.4">
      <c r="AH6689" s="87"/>
    </row>
    <row r="6690" spans="34:34" ht="15" thickBot="1" x14ac:dyDescent="0.4">
      <c r="AH6690" s="87"/>
    </row>
    <row r="6691" spans="34:34" ht="15" thickBot="1" x14ac:dyDescent="0.4">
      <c r="AH6691" s="87"/>
    </row>
    <row r="6692" spans="34:34" ht="15" thickBot="1" x14ac:dyDescent="0.4">
      <c r="AH6692" s="87"/>
    </row>
    <row r="6693" spans="34:34" ht="15" thickBot="1" x14ac:dyDescent="0.4">
      <c r="AH6693" s="87"/>
    </row>
    <row r="6694" spans="34:34" ht="15" thickBot="1" x14ac:dyDescent="0.4">
      <c r="AH6694" s="87"/>
    </row>
    <row r="6695" spans="34:34" ht="15" thickBot="1" x14ac:dyDescent="0.4">
      <c r="AH6695" s="87"/>
    </row>
    <row r="6696" spans="34:34" ht="15" thickBot="1" x14ac:dyDescent="0.4">
      <c r="AH6696" s="87"/>
    </row>
    <row r="6697" spans="34:34" ht="15" thickBot="1" x14ac:dyDescent="0.4">
      <c r="AH6697" s="87"/>
    </row>
    <row r="6698" spans="34:34" ht="15" thickBot="1" x14ac:dyDescent="0.4">
      <c r="AH6698" s="87"/>
    </row>
    <row r="6699" spans="34:34" ht="15" thickBot="1" x14ac:dyDescent="0.4">
      <c r="AH6699" s="87"/>
    </row>
    <row r="6700" spans="34:34" ht="15" thickBot="1" x14ac:dyDescent="0.4">
      <c r="AH6700" s="87"/>
    </row>
    <row r="6701" spans="34:34" ht="15" thickBot="1" x14ac:dyDescent="0.4">
      <c r="AH6701" s="87"/>
    </row>
    <row r="6702" spans="34:34" ht="15" thickBot="1" x14ac:dyDescent="0.4">
      <c r="AH6702" s="87"/>
    </row>
    <row r="6703" spans="34:34" ht="15" thickBot="1" x14ac:dyDescent="0.4">
      <c r="AH6703" s="87"/>
    </row>
    <row r="6704" spans="34:34" ht="15" thickBot="1" x14ac:dyDescent="0.4">
      <c r="AH6704" s="87"/>
    </row>
    <row r="6705" spans="34:34" ht="15" thickBot="1" x14ac:dyDescent="0.4">
      <c r="AH6705" s="87"/>
    </row>
    <row r="6706" spans="34:34" ht="15" thickBot="1" x14ac:dyDescent="0.4">
      <c r="AH6706" s="87"/>
    </row>
    <row r="6707" spans="34:34" ht="15" thickBot="1" x14ac:dyDescent="0.4">
      <c r="AH6707" s="87"/>
    </row>
    <row r="6708" spans="34:34" ht="15" thickBot="1" x14ac:dyDescent="0.4">
      <c r="AH6708" s="87"/>
    </row>
    <row r="6709" spans="34:34" ht="15" thickBot="1" x14ac:dyDescent="0.4">
      <c r="AH6709" s="87"/>
    </row>
    <row r="6710" spans="34:34" ht="15" thickBot="1" x14ac:dyDescent="0.4">
      <c r="AH6710" s="87"/>
    </row>
    <row r="6711" spans="34:34" ht="15" thickBot="1" x14ac:dyDescent="0.4">
      <c r="AH6711" s="87"/>
    </row>
    <row r="6712" spans="34:34" ht="15" thickBot="1" x14ac:dyDescent="0.4">
      <c r="AH6712" s="87"/>
    </row>
    <row r="6713" spans="34:34" ht="15" thickBot="1" x14ac:dyDescent="0.4">
      <c r="AH6713" s="87"/>
    </row>
    <row r="6714" spans="34:34" ht="15" thickBot="1" x14ac:dyDescent="0.4">
      <c r="AH6714" s="87"/>
    </row>
    <row r="6715" spans="34:34" ht="15" thickBot="1" x14ac:dyDescent="0.4">
      <c r="AH6715" s="87"/>
    </row>
    <row r="6716" spans="34:34" ht="15" thickBot="1" x14ac:dyDescent="0.4">
      <c r="AH6716" s="87"/>
    </row>
    <row r="6717" spans="34:34" ht="15" thickBot="1" x14ac:dyDescent="0.4">
      <c r="AH6717" s="87"/>
    </row>
    <row r="6718" spans="34:34" ht="15" thickBot="1" x14ac:dyDescent="0.4">
      <c r="AH6718" s="87"/>
    </row>
    <row r="6719" spans="34:34" ht="15" thickBot="1" x14ac:dyDescent="0.4">
      <c r="AH6719" s="87"/>
    </row>
    <row r="6720" spans="34:34" ht="15" thickBot="1" x14ac:dyDescent="0.4">
      <c r="AH6720" s="87"/>
    </row>
    <row r="6721" spans="34:34" ht="15" thickBot="1" x14ac:dyDescent="0.4">
      <c r="AH6721" s="87"/>
    </row>
    <row r="6722" spans="34:34" ht="15" thickBot="1" x14ac:dyDescent="0.4">
      <c r="AH6722" s="87"/>
    </row>
    <row r="6723" spans="34:34" ht="15" thickBot="1" x14ac:dyDescent="0.4">
      <c r="AH6723" s="87"/>
    </row>
    <row r="6724" spans="34:34" ht="15" thickBot="1" x14ac:dyDescent="0.4">
      <c r="AH6724" s="87"/>
    </row>
    <row r="6725" spans="34:34" ht="15" thickBot="1" x14ac:dyDescent="0.4">
      <c r="AH6725" s="87"/>
    </row>
    <row r="6726" spans="34:34" ht="15" thickBot="1" x14ac:dyDescent="0.4">
      <c r="AH6726" s="87"/>
    </row>
    <row r="6727" spans="34:34" ht="15" thickBot="1" x14ac:dyDescent="0.4">
      <c r="AH6727" s="87"/>
    </row>
    <row r="6728" spans="34:34" ht="15" thickBot="1" x14ac:dyDescent="0.4">
      <c r="AH6728" s="87"/>
    </row>
    <row r="6729" spans="34:34" ht="15" thickBot="1" x14ac:dyDescent="0.4">
      <c r="AH6729" s="87"/>
    </row>
    <row r="6730" spans="34:34" ht="15" thickBot="1" x14ac:dyDescent="0.4">
      <c r="AH6730" s="87"/>
    </row>
    <row r="6731" spans="34:34" ht="15" thickBot="1" x14ac:dyDescent="0.4">
      <c r="AH6731" s="87"/>
    </row>
    <row r="6732" spans="34:34" ht="15" thickBot="1" x14ac:dyDescent="0.4">
      <c r="AH6732" s="87"/>
    </row>
    <row r="6733" spans="34:34" ht="15" thickBot="1" x14ac:dyDescent="0.4">
      <c r="AH6733" s="87"/>
    </row>
    <row r="6734" spans="34:34" ht="15" thickBot="1" x14ac:dyDescent="0.4">
      <c r="AH6734" s="87"/>
    </row>
    <row r="6735" spans="34:34" ht="15" thickBot="1" x14ac:dyDescent="0.4">
      <c r="AH6735" s="87"/>
    </row>
    <row r="6736" spans="34:34" ht="15" thickBot="1" x14ac:dyDescent="0.4">
      <c r="AH6736" s="87"/>
    </row>
    <row r="6737" spans="34:34" ht="15" thickBot="1" x14ac:dyDescent="0.4">
      <c r="AH6737" s="87"/>
    </row>
    <row r="6738" spans="34:34" ht="15" thickBot="1" x14ac:dyDescent="0.4">
      <c r="AH6738" s="87"/>
    </row>
    <row r="6739" spans="34:34" ht="15" thickBot="1" x14ac:dyDescent="0.4">
      <c r="AH6739" s="87"/>
    </row>
    <row r="6740" spans="34:34" ht="15" thickBot="1" x14ac:dyDescent="0.4">
      <c r="AH6740" s="87"/>
    </row>
    <row r="6741" spans="34:34" ht="15" thickBot="1" x14ac:dyDescent="0.4">
      <c r="AH6741" s="87"/>
    </row>
    <row r="6742" spans="34:34" ht="15" thickBot="1" x14ac:dyDescent="0.4">
      <c r="AH6742" s="87"/>
    </row>
    <row r="6743" spans="34:34" ht="15" thickBot="1" x14ac:dyDescent="0.4">
      <c r="AH6743" s="87"/>
    </row>
    <row r="6744" spans="34:34" ht="15" thickBot="1" x14ac:dyDescent="0.4">
      <c r="AH6744" s="87"/>
    </row>
    <row r="6745" spans="34:34" ht="15" thickBot="1" x14ac:dyDescent="0.4">
      <c r="AH6745" s="87"/>
    </row>
    <row r="6746" spans="34:34" ht="15" thickBot="1" x14ac:dyDescent="0.4">
      <c r="AH6746" s="87"/>
    </row>
    <row r="6747" spans="34:34" ht="15" thickBot="1" x14ac:dyDescent="0.4">
      <c r="AH6747" s="87"/>
    </row>
    <row r="6748" spans="34:34" ht="15" thickBot="1" x14ac:dyDescent="0.4">
      <c r="AH6748" s="87"/>
    </row>
    <row r="6749" spans="34:34" ht="15" thickBot="1" x14ac:dyDescent="0.4">
      <c r="AH6749" s="87"/>
    </row>
    <row r="6750" spans="34:34" ht="15" thickBot="1" x14ac:dyDescent="0.4">
      <c r="AH6750" s="87"/>
    </row>
    <row r="6751" spans="34:34" ht="15" thickBot="1" x14ac:dyDescent="0.4">
      <c r="AH6751" s="87"/>
    </row>
    <row r="6752" spans="34:34" ht="15" thickBot="1" x14ac:dyDescent="0.4">
      <c r="AH6752" s="87"/>
    </row>
    <row r="6753" spans="34:34" ht="15" thickBot="1" x14ac:dyDescent="0.4">
      <c r="AH6753" s="87"/>
    </row>
    <row r="6754" spans="34:34" ht="15" thickBot="1" x14ac:dyDescent="0.4">
      <c r="AH6754" s="87"/>
    </row>
    <row r="6755" spans="34:34" ht="15" thickBot="1" x14ac:dyDescent="0.4">
      <c r="AH6755" s="87"/>
    </row>
    <row r="6756" spans="34:34" ht="15" thickBot="1" x14ac:dyDescent="0.4">
      <c r="AH6756" s="87"/>
    </row>
    <row r="6757" spans="34:34" ht="15" thickBot="1" x14ac:dyDescent="0.4">
      <c r="AH6757" s="87"/>
    </row>
    <row r="6758" spans="34:34" ht="15" thickBot="1" x14ac:dyDescent="0.4">
      <c r="AH6758" s="87"/>
    </row>
    <row r="6759" spans="34:34" ht="15" thickBot="1" x14ac:dyDescent="0.4">
      <c r="AH6759" s="87"/>
    </row>
    <row r="6760" spans="34:34" ht="15" thickBot="1" x14ac:dyDescent="0.4">
      <c r="AH6760" s="87"/>
    </row>
    <row r="6761" spans="34:34" ht="15" thickBot="1" x14ac:dyDescent="0.4">
      <c r="AH6761" s="87"/>
    </row>
    <row r="6762" spans="34:34" ht="15" thickBot="1" x14ac:dyDescent="0.4">
      <c r="AH6762" s="87"/>
    </row>
    <row r="6763" spans="34:34" ht="15" thickBot="1" x14ac:dyDescent="0.4">
      <c r="AH6763" s="87"/>
    </row>
    <row r="6764" spans="34:34" ht="15" thickBot="1" x14ac:dyDescent="0.4">
      <c r="AH6764" s="87"/>
    </row>
    <row r="6765" spans="34:34" ht="15" thickBot="1" x14ac:dyDescent="0.4">
      <c r="AH6765" s="87"/>
    </row>
    <row r="6766" spans="34:34" ht="15" thickBot="1" x14ac:dyDescent="0.4">
      <c r="AH6766" s="87"/>
    </row>
    <row r="6767" spans="34:34" ht="15" thickBot="1" x14ac:dyDescent="0.4">
      <c r="AH6767" s="87"/>
    </row>
    <row r="6768" spans="34:34" ht="15" thickBot="1" x14ac:dyDescent="0.4">
      <c r="AH6768" s="87"/>
    </row>
    <row r="6769" spans="34:34" ht="15" thickBot="1" x14ac:dyDescent="0.4">
      <c r="AH6769" s="87"/>
    </row>
    <row r="6770" spans="34:34" ht="15" thickBot="1" x14ac:dyDescent="0.4">
      <c r="AH6770" s="87"/>
    </row>
    <row r="6771" spans="34:34" ht="15" thickBot="1" x14ac:dyDescent="0.4">
      <c r="AH6771" s="87"/>
    </row>
    <row r="6772" spans="34:34" ht="15" thickBot="1" x14ac:dyDescent="0.4">
      <c r="AH6772" s="87"/>
    </row>
    <row r="6773" spans="34:34" ht="15" thickBot="1" x14ac:dyDescent="0.4">
      <c r="AH6773" s="87"/>
    </row>
    <row r="6774" spans="34:34" ht="15" thickBot="1" x14ac:dyDescent="0.4">
      <c r="AH6774" s="87"/>
    </row>
    <row r="6775" spans="34:34" ht="15" thickBot="1" x14ac:dyDescent="0.4">
      <c r="AH6775" s="87"/>
    </row>
    <row r="6776" spans="34:34" ht="15" thickBot="1" x14ac:dyDescent="0.4">
      <c r="AH6776" s="87"/>
    </row>
    <row r="6777" spans="34:34" ht="15" thickBot="1" x14ac:dyDescent="0.4">
      <c r="AH6777" s="87"/>
    </row>
    <row r="6778" spans="34:34" ht="15" thickBot="1" x14ac:dyDescent="0.4">
      <c r="AH6778" s="87"/>
    </row>
    <row r="6779" spans="34:34" ht="15" thickBot="1" x14ac:dyDescent="0.4">
      <c r="AH6779" s="87"/>
    </row>
    <row r="6780" spans="34:34" ht="15" thickBot="1" x14ac:dyDescent="0.4">
      <c r="AH6780" s="87"/>
    </row>
    <row r="6781" spans="34:34" ht="15" thickBot="1" x14ac:dyDescent="0.4">
      <c r="AH6781" s="87"/>
    </row>
    <row r="6782" spans="34:34" ht="15" thickBot="1" x14ac:dyDescent="0.4">
      <c r="AH6782" s="87"/>
    </row>
    <row r="6783" spans="34:34" ht="15" thickBot="1" x14ac:dyDescent="0.4">
      <c r="AH6783" s="87"/>
    </row>
    <row r="6784" spans="34:34" ht="15" thickBot="1" x14ac:dyDescent="0.4">
      <c r="AH6784" s="87"/>
    </row>
    <row r="6785" spans="34:34" ht="15" thickBot="1" x14ac:dyDescent="0.4">
      <c r="AH6785" s="87"/>
    </row>
    <row r="6786" spans="34:34" ht="15" thickBot="1" x14ac:dyDescent="0.4">
      <c r="AH6786" s="87"/>
    </row>
    <row r="6787" spans="34:34" ht="15" thickBot="1" x14ac:dyDescent="0.4">
      <c r="AH6787" s="87"/>
    </row>
    <row r="6788" spans="34:34" ht="15" thickBot="1" x14ac:dyDescent="0.4">
      <c r="AH6788" s="87"/>
    </row>
    <row r="6789" spans="34:34" ht="15" thickBot="1" x14ac:dyDescent="0.4">
      <c r="AH6789" s="87"/>
    </row>
    <row r="6790" spans="34:34" ht="15" thickBot="1" x14ac:dyDescent="0.4">
      <c r="AH6790" s="87"/>
    </row>
    <row r="6791" spans="34:34" ht="15" thickBot="1" x14ac:dyDescent="0.4">
      <c r="AH6791" s="87"/>
    </row>
    <row r="6792" spans="34:34" ht="15" thickBot="1" x14ac:dyDescent="0.4">
      <c r="AH6792" s="87"/>
    </row>
    <row r="6793" spans="34:34" ht="15" thickBot="1" x14ac:dyDescent="0.4">
      <c r="AH6793" s="87"/>
    </row>
    <row r="6794" spans="34:34" ht="15" thickBot="1" x14ac:dyDescent="0.4">
      <c r="AH6794" s="87"/>
    </row>
    <row r="6795" spans="34:34" ht="15" thickBot="1" x14ac:dyDescent="0.4">
      <c r="AH6795" s="87"/>
    </row>
    <row r="6796" spans="34:34" ht="15" thickBot="1" x14ac:dyDescent="0.4">
      <c r="AH6796" s="87"/>
    </row>
    <row r="6797" spans="34:34" ht="15" thickBot="1" x14ac:dyDescent="0.4">
      <c r="AH6797" s="87"/>
    </row>
    <row r="6798" spans="34:34" ht="15" thickBot="1" x14ac:dyDescent="0.4">
      <c r="AH6798" s="87"/>
    </row>
    <row r="6799" spans="34:34" ht="15" thickBot="1" x14ac:dyDescent="0.4">
      <c r="AH6799" s="87"/>
    </row>
    <row r="6800" spans="34:34" ht="15" thickBot="1" x14ac:dyDescent="0.4">
      <c r="AH6800" s="87"/>
    </row>
    <row r="6801" spans="34:34" ht="15" thickBot="1" x14ac:dyDescent="0.4">
      <c r="AH6801" s="87"/>
    </row>
    <row r="6802" spans="34:34" ht="15" thickBot="1" x14ac:dyDescent="0.4">
      <c r="AH6802" s="87"/>
    </row>
    <row r="6803" spans="34:34" ht="15" thickBot="1" x14ac:dyDescent="0.4">
      <c r="AH6803" s="87"/>
    </row>
    <row r="6804" spans="34:34" ht="15" thickBot="1" x14ac:dyDescent="0.4">
      <c r="AH6804" s="87"/>
    </row>
    <row r="6805" spans="34:34" ht="15" thickBot="1" x14ac:dyDescent="0.4">
      <c r="AH6805" s="87"/>
    </row>
    <row r="6806" spans="34:34" ht="15" thickBot="1" x14ac:dyDescent="0.4">
      <c r="AH6806" s="87"/>
    </row>
    <row r="6807" spans="34:34" ht="15" thickBot="1" x14ac:dyDescent="0.4">
      <c r="AH6807" s="87"/>
    </row>
    <row r="6808" spans="34:34" ht="15" thickBot="1" x14ac:dyDescent="0.4">
      <c r="AH6808" s="87"/>
    </row>
    <row r="6809" spans="34:34" ht="15" thickBot="1" x14ac:dyDescent="0.4">
      <c r="AH6809" s="87"/>
    </row>
    <row r="6810" spans="34:34" ht="15" thickBot="1" x14ac:dyDescent="0.4">
      <c r="AH6810" s="87"/>
    </row>
    <row r="6811" spans="34:34" ht="15" thickBot="1" x14ac:dyDescent="0.4">
      <c r="AH6811" s="87"/>
    </row>
    <row r="6812" spans="34:34" ht="15" thickBot="1" x14ac:dyDescent="0.4">
      <c r="AH6812" s="87"/>
    </row>
    <row r="6813" spans="34:34" ht="15" thickBot="1" x14ac:dyDescent="0.4">
      <c r="AH6813" s="87"/>
    </row>
    <row r="6814" spans="34:34" ht="15" thickBot="1" x14ac:dyDescent="0.4">
      <c r="AH6814" s="87"/>
    </row>
    <row r="6815" spans="34:34" ht="15" thickBot="1" x14ac:dyDescent="0.4">
      <c r="AH6815" s="87"/>
    </row>
    <row r="6816" spans="34:34" ht="15" thickBot="1" x14ac:dyDescent="0.4">
      <c r="AH6816" s="87"/>
    </row>
    <row r="6817" spans="34:34" ht="15" thickBot="1" x14ac:dyDescent="0.4">
      <c r="AH6817" s="87"/>
    </row>
    <row r="6818" spans="34:34" ht="15" thickBot="1" x14ac:dyDescent="0.4">
      <c r="AH6818" s="87"/>
    </row>
    <row r="6819" spans="34:34" ht="15" thickBot="1" x14ac:dyDescent="0.4">
      <c r="AH6819" s="87"/>
    </row>
    <row r="6820" spans="34:34" ht="15" thickBot="1" x14ac:dyDescent="0.4">
      <c r="AH6820" s="87"/>
    </row>
    <row r="6821" spans="34:34" ht="15" thickBot="1" x14ac:dyDescent="0.4">
      <c r="AH6821" s="87"/>
    </row>
    <row r="6822" spans="34:34" ht="15" thickBot="1" x14ac:dyDescent="0.4">
      <c r="AH6822" s="87"/>
    </row>
    <row r="6823" spans="34:34" ht="15" thickBot="1" x14ac:dyDescent="0.4">
      <c r="AH6823" s="87"/>
    </row>
    <row r="6824" spans="34:34" ht="15" thickBot="1" x14ac:dyDescent="0.4">
      <c r="AH6824" s="87"/>
    </row>
    <row r="6825" spans="34:34" ht="15" thickBot="1" x14ac:dyDescent="0.4">
      <c r="AH6825" s="87"/>
    </row>
    <row r="6826" spans="34:34" ht="15" thickBot="1" x14ac:dyDescent="0.4">
      <c r="AH6826" s="87"/>
    </row>
    <row r="6827" spans="34:34" ht="15" thickBot="1" x14ac:dyDescent="0.4">
      <c r="AH6827" s="87"/>
    </row>
    <row r="6828" spans="34:34" ht="15" thickBot="1" x14ac:dyDescent="0.4">
      <c r="AH6828" s="87"/>
    </row>
    <row r="6829" spans="34:34" ht="15" thickBot="1" x14ac:dyDescent="0.4">
      <c r="AH6829" s="87"/>
    </row>
    <row r="6830" spans="34:34" ht="15" thickBot="1" x14ac:dyDescent="0.4">
      <c r="AH6830" s="87"/>
    </row>
    <row r="6831" spans="34:34" ht="15" thickBot="1" x14ac:dyDescent="0.4">
      <c r="AH6831" s="87"/>
    </row>
    <row r="6832" spans="34:34" ht="15" thickBot="1" x14ac:dyDescent="0.4">
      <c r="AH6832" s="87"/>
    </row>
    <row r="6833" spans="34:34" ht="15" thickBot="1" x14ac:dyDescent="0.4">
      <c r="AH6833" s="87"/>
    </row>
    <row r="6834" spans="34:34" ht="15" thickBot="1" x14ac:dyDescent="0.4">
      <c r="AH6834" s="87"/>
    </row>
    <row r="6835" spans="34:34" ht="15" thickBot="1" x14ac:dyDescent="0.4">
      <c r="AH6835" s="87"/>
    </row>
    <row r="6836" spans="34:34" ht="15" thickBot="1" x14ac:dyDescent="0.4">
      <c r="AH6836" s="87"/>
    </row>
    <row r="6837" spans="34:34" ht="15" thickBot="1" x14ac:dyDescent="0.4">
      <c r="AH6837" s="87"/>
    </row>
    <row r="6838" spans="34:34" ht="15" thickBot="1" x14ac:dyDescent="0.4">
      <c r="AH6838" s="87"/>
    </row>
    <row r="6839" spans="34:34" ht="15" thickBot="1" x14ac:dyDescent="0.4">
      <c r="AH6839" s="87"/>
    </row>
    <row r="6840" spans="34:34" ht="15" thickBot="1" x14ac:dyDescent="0.4">
      <c r="AH6840" s="87"/>
    </row>
    <row r="6841" spans="34:34" ht="15" thickBot="1" x14ac:dyDescent="0.4">
      <c r="AH6841" s="87"/>
    </row>
    <row r="6842" spans="34:34" ht="15" thickBot="1" x14ac:dyDescent="0.4">
      <c r="AH6842" s="87"/>
    </row>
    <row r="6843" spans="34:34" ht="15" thickBot="1" x14ac:dyDescent="0.4">
      <c r="AH6843" s="87"/>
    </row>
    <row r="6844" spans="34:34" ht="15" thickBot="1" x14ac:dyDescent="0.4">
      <c r="AH6844" s="87"/>
    </row>
    <row r="6845" spans="34:34" ht="15" thickBot="1" x14ac:dyDescent="0.4">
      <c r="AH6845" s="87"/>
    </row>
    <row r="6846" spans="34:34" ht="15" thickBot="1" x14ac:dyDescent="0.4">
      <c r="AH6846" s="87"/>
    </row>
    <row r="6847" spans="34:34" ht="15" thickBot="1" x14ac:dyDescent="0.4">
      <c r="AH6847" s="87"/>
    </row>
    <row r="6848" spans="34:34" ht="15" thickBot="1" x14ac:dyDescent="0.4">
      <c r="AH6848" s="87"/>
    </row>
    <row r="6849" spans="34:34" ht="15" thickBot="1" x14ac:dyDescent="0.4">
      <c r="AH6849" s="87"/>
    </row>
    <row r="6850" spans="34:34" ht="15" thickBot="1" x14ac:dyDescent="0.4">
      <c r="AH6850" s="87"/>
    </row>
    <row r="6851" spans="34:34" ht="15" thickBot="1" x14ac:dyDescent="0.4">
      <c r="AH6851" s="87"/>
    </row>
    <row r="6852" spans="34:34" ht="15" thickBot="1" x14ac:dyDescent="0.4">
      <c r="AH6852" s="87"/>
    </row>
    <row r="6853" spans="34:34" ht="15" thickBot="1" x14ac:dyDescent="0.4">
      <c r="AH6853" s="87"/>
    </row>
    <row r="6854" spans="34:34" ht="15" thickBot="1" x14ac:dyDescent="0.4">
      <c r="AH6854" s="87"/>
    </row>
    <row r="6855" spans="34:34" ht="15" thickBot="1" x14ac:dyDescent="0.4">
      <c r="AH6855" s="87"/>
    </row>
    <row r="6856" spans="34:34" ht="15" thickBot="1" x14ac:dyDescent="0.4">
      <c r="AH6856" s="87"/>
    </row>
    <row r="6857" spans="34:34" ht="15" thickBot="1" x14ac:dyDescent="0.4">
      <c r="AH6857" s="87"/>
    </row>
    <row r="6858" spans="34:34" ht="15" thickBot="1" x14ac:dyDescent="0.4">
      <c r="AH6858" s="87"/>
    </row>
    <row r="6859" spans="34:34" ht="15" thickBot="1" x14ac:dyDescent="0.4">
      <c r="AH6859" s="87"/>
    </row>
    <row r="6860" spans="34:34" ht="15" thickBot="1" x14ac:dyDescent="0.4">
      <c r="AH6860" s="87"/>
    </row>
    <row r="6861" spans="34:34" ht="15" thickBot="1" x14ac:dyDescent="0.4">
      <c r="AH6861" s="87"/>
    </row>
    <row r="6862" spans="34:34" ht="15" thickBot="1" x14ac:dyDescent="0.4">
      <c r="AH6862" s="87"/>
    </row>
    <row r="6863" spans="34:34" ht="15" thickBot="1" x14ac:dyDescent="0.4">
      <c r="AH6863" s="87"/>
    </row>
    <row r="6864" spans="34:34" ht="15" thickBot="1" x14ac:dyDescent="0.4">
      <c r="AH6864" s="87"/>
    </row>
    <row r="6865" spans="34:34" ht="15" thickBot="1" x14ac:dyDescent="0.4">
      <c r="AH6865" s="87"/>
    </row>
    <row r="6866" spans="34:34" ht="15" thickBot="1" x14ac:dyDescent="0.4">
      <c r="AH6866" s="87"/>
    </row>
    <row r="6867" spans="34:34" ht="15" thickBot="1" x14ac:dyDescent="0.4">
      <c r="AH6867" s="87"/>
    </row>
    <row r="6868" spans="34:34" ht="15" thickBot="1" x14ac:dyDescent="0.4">
      <c r="AH6868" s="87"/>
    </row>
    <row r="6869" spans="34:34" ht="15" thickBot="1" x14ac:dyDescent="0.4">
      <c r="AH6869" s="87"/>
    </row>
    <row r="6870" spans="34:34" ht="15" thickBot="1" x14ac:dyDescent="0.4">
      <c r="AH6870" s="87"/>
    </row>
    <row r="6871" spans="34:34" ht="15" thickBot="1" x14ac:dyDescent="0.4">
      <c r="AH6871" s="87"/>
    </row>
    <row r="6872" spans="34:34" ht="15" thickBot="1" x14ac:dyDescent="0.4">
      <c r="AH6872" s="87"/>
    </row>
    <row r="6873" spans="34:34" ht="15" thickBot="1" x14ac:dyDescent="0.4">
      <c r="AH6873" s="87"/>
    </row>
    <row r="6874" spans="34:34" ht="15" thickBot="1" x14ac:dyDescent="0.4">
      <c r="AH6874" s="87"/>
    </row>
    <row r="6875" spans="34:34" ht="15" thickBot="1" x14ac:dyDescent="0.4">
      <c r="AH6875" s="87"/>
    </row>
    <row r="6876" spans="34:34" ht="15" thickBot="1" x14ac:dyDescent="0.4">
      <c r="AH6876" s="87"/>
    </row>
    <row r="6877" spans="34:34" ht="15" thickBot="1" x14ac:dyDescent="0.4">
      <c r="AH6877" s="87"/>
    </row>
    <row r="6878" spans="34:34" ht="15" thickBot="1" x14ac:dyDescent="0.4">
      <c r="AH6878" s="87"/>
    </row>
    <row r="6879" spans="34:34" ht="15" thickBot="1" x14ac:dyDescent="0.4">
      <c r="AH6879" s="87"/>
    </row>
    <row r="6880" spans="34:34" ht="15" thickBot="1" x14ac:dyDescent="0.4">
      <c r="AH6880" s="87"/>
    </row>
    <row r="6881" spans="34:34" ht="15" thickBot="1" x14ac:dyDescent="0.4">
      <c r="AH6881" s="87"/>
    </row>
    <row r="6882" spans="34:34" ht="15" thickBot="1" x14ac:dyDescent="0.4">
      <c r="AH6882" s="87"/>
    </row>
    <row r="6883" spans="34:34" ht="15" thickBot="1" x14ac:dyDescent="0.4">
      <c r="AH6883" s="87"/>
    </row>
    <row r="6884" spans="34:34" ht="15" thickBot="1" x14ac:dyDescent="0.4">
      <c r="AH6884" s="87"/>
    </row>
    <row r="6885" spans="34:34" ht="15" thickBot="1" x14ac:dyDescent="0.4">
      <c r="AH6885" s="87"/>
    </row>
    <row r="6886" spans="34:34" ht="15" thickBot="1" x14ac:dyDescent="0.4">
      <c r="AH6886" s="87"/>
    </row>
    <row r="6887" spans="34:34" ht="15" thickBot="1" x14ac:dyDescent="0.4">
      <c r="AH6887" s="87"/>
    </row>
    <row r="6888" spans="34:34" ht="15" thickBot="1" x14ac:dyDescent="0.4">
      <c r="AH6888" s="87"/>
    </row>
    <row r="6889" spans="34:34" ht="15" thickBot="1" x14ac:dyDescent="0.4">
      <c r="AH6889" s="87"/>
    </row>
    <row r="6890" spans="34:34" ht="15" thickBot="1" x14ac:dyDescent="0.4">
      <c r="AH6890" s="87"/>
    </row>
    <row r="6891" spans="34:34" ht="15" thickBot="1" x14ac:dyDescent="0.4">
      <c r="AH6891" s="87"/>
    </row>
    <row r="6892" spans="34:34" ht="15" thickBot="1" x14ac:dyDescent="0.4">
      <c r="AH6892" s="87"/>
    </row>
    <row r="6893" spans="34:34" ht="15" thickBot="1" x14ac:dyDescent="0.4">
      <c r="AH6893" s="87"/>
    </row>
    <row r="6894" spans="34:34" ht="15" thickBot="1" x14ac:dyDescent="0.4">
      <c r="AH6894" s="87"/>
    </row>
    <row r="6895" spans="34:34" ht="15" thickBot="1" x14ac:dyDescent="0.4">
      <c r="AH6895" s="87"/>
    </row>
    <row r="6896" spans="34:34" ht="15" thickBot="1" x14ac:dyDescent="0.4">
      <c r="AH6896" s="87"/>
    </row>
    <row r="6897" spans="34:34" ht="15" thickBot="1" x14ac:dyDescent="0.4">
      <c r="AH6897" s="87"/>
    </row>
    <row r="6898" spans="34:34" ht="15" thickBot="1" x14ac:dyDescent="0.4">
      <c r="AH6898" s="87"/>
    </row>
    <row r="6899" spans="34:34" ht="15" thickBot="1" x14ac:dyDescent="0.4">
      <c r="AH6899" s="87"/>
    </row>
    <row r="6900" spans="34:34" ht="15" thickBot="1" x14ac:dyDescent="0.4">
      <c r="AH6900" s="87"/>
    </row>
    <row r="6901" spans="34:34" ht="15" thickBot="1" x14ac:dyDescent="0.4">
      <c r="AH6901" s="87"/>
    </row>
    <row r="6902" spans="34:34" ht="15" thickBot="1" x14ac:dyDescent="0.4">
      <c r="AH6902" s="87"/>
    </row>
    <row r="6903" spans="34:34" ht="15" thickBot="1" x14ac:dyDescent="0.4">
      <c r="AH6903" s="87"/>
    </row>
    <row r="6904" spans="34:34" ht="15" thickBot="1" x14ac:dyDescent="0.4">
      <c r="AH6904" s="87"/>
    </row>
    <row r="6905" spans="34:34" ht="15" thickBot="1" x14ac:dyDescent="0.4">
      <c r="AH6905" s="87"/>
    </row>
    <row r="6906" spans="34:34" ht="15" thickBot="1" x14ac:dyDescent="0.4">
      <c r="AH6906" s="87"/>
    </row>
    <row r="6907" spans="34:34" ht="15" thickBot="1" x14ac:dyDescent="0.4">
      <c r="AH6907" s="87"/>
    </row>
    <row r="6908" spans="34:34" ht="15" thickBot="1" x14ac:dyDescent="0.4">
      <c r="AH6908" s="87"/>
    </row>
    <row r="6909" spans="34:34" ht="15" thickBot="1" x14ac:dyDescent="0.4">
      <c r="AH6909" s="87"/>
    </row>
    <row r="6910" spans="34:34" ht="15" thickBot="1" x14ac:dyDescent="0.4">
      <c r="AH6910" s="87"/>
    </row>
    <row r="6911" spans="34:34" ht="15" thickBot="1" x14ac:dyDescent="0.4">
      <c r="AH6911" s="87"/>
    </row>
    <row r="6912" spans="34:34" ht="15" thickBot="1" x14ac:dyDescent="0.4">
      <c r="AH6912" s="87"/>
    </row>
    <row r="6913" spans="34:34" ht="15" thickBot="1" x14ac:dyDescent="0.4">
      <c r="AH6913" s="87"/>
    </row>
    <row r="6914" spans="34:34" ht="15" thickBot="1" x14ac:dyDescent="0.4">
      <c r="AH6914" s="87"/>
    </row>
    <row r="6915" spans="34:34" ht="15" thickBot="1" x14ac:dyDescent="0.4">
      <c r="AH6915" s="87"/>
    </row>
    <row r="6916" spans="34:34" ht="15" thickBot="1" x14ac:dyDescent="0.4">
      <c r="AH6916" s="87"/>
    </row>
    <row r="6917" spans="34:34" ht="15" thickBot="1" x14ac:dyDescent="0.4">
      <c r="AH6917" s="87"/>
    </row>
    <row r="6918" spans="34:34" ht="15" thickBot="1" x14ac:dyDescent="0.4">
      <c r="AH6918" s="87"/>
    </row>
    <row r="6919" spans="34:34" ht="15" thickBot="1" x14ac:dyDescent="0.4">
      <c r="AH6919" s="87"/>
    </row>
    <row r="6920" spans="34:34" ht="15" thickBot="1" x14ac:dyDescent="0.4">
      <c r="AH6920" s="87"/>
    </row>
    <row r="6921" spans="34:34" ht="15" thickBot="1" x14ac:dyDescent="0.4">
      <c r="AH6921" s="87"/>
    </row>
    <row r="6922" spans="34:34" ht="15" thickBot="1" x14ac:dyDescent="0.4">
      <c r="AH6922" s="87"/>
    </row>
    <row r="6923" spans="34:34" ht="15" thickBot="1" x14ac:dyDescent="0.4">
      <c r="AH6923" s="87"/>
    </row>
    <row r="6924" spans="34:34" ht="15" thickBot="1" x14ac:dyDescent="0.4">
      <c r="AH6924" s="87"/>
    </row>
    <row r="6925" spans="34:34" ht="15" thickBot="1" x14ac:dyDescent="0.4">
      <c r="AH6925" s="87"/>
    </row>
    <row r="6926" spans="34:34" ht="15" thickBot="1" x14ac:dyDescent="0.4">
      <c r="AH6926" s="87"/>
    </row>
    <row r="6927" spans="34:34" ht="15" thickBot="1" x14ac:dyDescent="0.4">
      <c r="AH6927" s="87"/>
    </row>
    <row r="6928" spans="34:34" ht="15" thickBot="1" x14ac:dyDescent="0.4">
      <c r="AH6928" s="87"/>
    </row>
    <row r="6929" spans="34:34" ht="15" thickBot="1" x14ac:dyDescent="0.4">
      <c r="AH6929" s="87"/>
    </row>
    <row r="6930" spans="34:34" ht="15" thickBot="1" x14ac:dyDescent="0.4">
      <c r="AH6930" s="87"/>
    </row>
    <row r="6931" spans="34:34" ht="15" thickBot="1" x14ac:dyDescent="0.4">
      <c r="AH6931" s="87"/>
    </row>
    <row r="6932" spans="34:34" ht="15" thickBot="1" x14ac:dyDescent="0.4">
      <c r="AH6932" s="87"/>
    </row>
    <row r="6933" spans="34:34" ht="15" thickBot="1" x14ac:dyDescent="0.4">
      <c r="AH6933" s="87"/>
    </row>
    <row r="6934" spans="34:34" ht="15" thickBot="1" x14ac:dyDescent="0.4">
      <c r="AH6934" s="87"/>
    </row>
    <row r="6935" spans="34:34" ht="15" thickBot="1" x14ac:dyDescent="0.4">
      <c r="AH6935" s="87"/>
    </row>
    <row r="6936" spans="34:34" ht="15" thickBot="1" x14ac:dyDescent="0.4">
      <c r="AH6936" s="87"/>
    </row>
    <row r="6937" spans="34:34" ht="15" thickBot="1" x14ac:dyDescent="0.4">
      <c r="AH6937" s="87"/>
    </row>
    <row r="6938" spans="34:34" ht="15" thickBot="1" x14ac:dyDescent="0.4">
      <c r="AH6938" s="87"/>
    </row>
    <row r="6939" spans="34:34" ht="15" thickBot="1" x14ac:dyDescent="0.4">
      <c r="AH6939" s="87"/>
    </row>
    <row r="6940" spans="34:34" ht="15" thickBot="1" x14ac:dyDescent="0.4">
      <c r="AH6940" s="87"/>
    </row>
    <row r="6941" spans="34:34" ht="15" thickBot="1" x14ac:dyDescent="0.4">
      <c r="AH6941" s="87"/>
    </row>
    <row r="6942" spans="34:34" ht="15" thickBot="1" x14ac:dyDescent="0.4">
      <c r="AH6942" s="87"/>
    </row>
    <row r="6943" spans="34:34" ht="15" thickBot="1" x14ac:dyDescent="0.4">
      <c r="AH6943" s="87"/>
    </row>
    <row r="6944" spans="34:34" ht="15" thickBot="1" x14ac:dyDescent="0.4">
      <c r="AH6944" s="87"/>
    </row>
    <row r="6945" spans="34:34" ht="15" thickBot="1" x14ac:dyDescent="0.4">
      <c r="AH6945" s="87"/>
    </row>
    <row r="6946" spans="34:34" ht="15" thickBot="1" x14ac:dyDescent="0.4">
      <c r="AH6946" s="87"/>
    </row>
    <row r="6947" spans="34:34" ht="15" thickBot="1" x14ac:dyDescent="0.4">
      <c r="AH6947" s="87"/>
    </row>
    <row r="6948" spans="34:34" ht="15" thickBot="1" x14ac:dyDescent="0.4">
      <c r="AH6948" s="87"/>
    </row>
    <row r="6949" spans="34:34" ht="15" thickBot="1" x14ac:dyDescent="0.4">
      <c r="AH6949" s="87"/>
    </row>
    <row r="6950" spans="34:34" ht="15" thickBot="1" x14ac:dyDescent="0.4">
      <c r="AH6950" s="87"/>
    </row>
    <row r="6951" spans="34:34" ht="15" thickBot="1" x14ac:dyDescent="0.4">
      <c r="AH6951" s="87"/>
    </row>
    <row r="6952" spans="34:34" ht="15" thickBot="1" x14ac:dyDescent="0.4">
      <c r="AH6952" s="87"/>
    </row>
    <row r="6953" spans="34:34" ht="15" thickBot="1" x14ac:dyDescent="0.4">
      <c r="AH6953" s="87"/>
    </row>
    <row r="6954" spans="34:34" ht="15" thickBot="1" x14ac:dyDescent="0.4">
      <c r="AH6954" s="87"/>
    </row>
    <row r="6955" spans="34:34" ht="15" thickBot="1" x14ac:dyDescent="0.4">
      <c r="AH6955" s="87"/>
    </row>
    <row r="6956" spans="34:34" ht="15" thickBot="1" x14ac:dyDescent="0.4">
      <c r="AH6956" s="87"/>
    </row>
    <row r="6957" spans="34:34" ht="15" thickBot="1" x14ac:dyDescent="0.4">
      <c r="AH6957" s="87"/>
    </row>
    <row r="6958" spans="34:34" ht="15" thickBot="1" x14ac:dyDescent="0.4">
      <c r="AH6958" s="87"/>
    </row>
    <row r="6959" spans="34:34" ht="15" thickBot="1" x14ac:dyDescent="0.4">
      <c r="AH6959" s="87"/>
    </row>
    <row r="6960" spans="34:34" ht="15" thickBot="1" x14ac:dyDescent="0.4">
      <c r="AH6960" s="87"/>
    </row>
    <row r="6961" spans="34:34" ht="15" thickBot="1" x14ac:dyDescent="0.4">
      <c r="AH6961" s="87"/>
    </row>
    <row r="6962" spans="34:34" ht="15" thickBot="1" x14ac:dyDescent="0.4">
      <c r="AH6962" s="87"/>
    </row>
    <row r="6963" spans="34:34" ht="15" thickBot="1" x14ac:dyDescent="0.4">
      <c r="AH6963" s="87"/>
    </row>
    <row r="6964" spans="34:34" ht="15" thickBot="1" x14ac:dyDescent="0.4">
      <c r="AH6964" s="87"/>
    </row>
    <row r="6965" spans="34:34" ht="15" thickBot="1" x14ac:dyDescent="0.4">
      <c r="AH6965" s="87"/>
    </row>
    <row r="6966" spans="34:34" ht="15" thickBot="1" x14ac:dyDescent="0.4">
      <c r="AH6966" s="87"/>
    </row>
    <row r="6967" spans="34:34" ht="15" thickBot="1" x14ac:dyDescent="0.4">
      <c r="AH6967" s="87"/>
    </row>
    <row r="6968" spans="34:34" ht="15" thickBot="1" x14ac:dyDescent="0.4">
      <c r="AH6968" s="87"/>
    </row>
    <row r="6969" spans="34:34" ht="15" thickBot="1" x14ac:dyDescent="0.4">
      <c r="AH6969" s="87"/>
    </row>
    <row r="6970" spans="34:34" ht="15" thickBot="1" x14ac:dyDescent="0.4">
      <c r="AH6970" s="87"/>
    </row>
    <row r="6971" spans="34:34" ht="15" thickBot="1" x14ac:dyDescent="0.4">
      <c r="AH6971" s="87"/>
    </row>
    <row r="6972" spans="34:34" ht="15" thickBot="1" x14ac:dyDescent="0.4">
      <c r="AH6972" s="87"/>
    </row>
    <row r="6973" spans="34:34" ht="15" thickBot="1" x14ac:dyDescent="0.4">
      <c r="AH6973" s="87"/>
    </row>
    <row r="6974" spans="34:34" ht="15" thickBot="1" x14ac:dyDescent="0.4">
      <c r="AH6974" s="87"/>
    </row>
    <row r="6975" spans="34:34" ht="15" thickBot="1" x14ac:dyDescent="0.4">
      <c r="AH6975" s="87"/>
    </row>
    <row r="6976" spans="34:34" ht="15" thickBot="1" x14ac:dyDescent="0.4">
      <c r="AH6976" s="87"/>
    </row>
    <row r="6977" spans="34:34" ht="15" thickBot="1" x14ac:dyDescent="0.4">
      <c r="AH6977" s="87"/>
    </row>
    <row r="6978" spans="34:34" ht="15" thickBot="1" x14ac:dyDescent="0.4">
      <c r="AH6978" s="87"/>
    </row>
    <row r="6979" spans="34:34" ht="15" thickBot="1" x14ac:dyDescent="0.4">
      <c r="AH6979" s="87"/>
    </row>
    <row r="6980" spans="34:34" ht="15" thickBot="1" x14ac:dyDescent="0.4">
      <c r="AH6980" s="87"/>
    </row>
    <row r="6981" spans="34:34" ht="15" thickBot="1" x14ac:dyDescent="0.4">
      <c r="AH6981" s="87"/>
    </row>
    <row r="6982" spans="34:34" ht="15" thickBot="1" x14ac:dyDescent="0.4">
      <c r="AH6982" s="87"/>
    </row>
    <row r="6983" spans="34:34" ht="15" thickBot="1" x14ac:dyDescent="0.4">
      <c r="AH6983" s="87"/>
    </row>
    <row r="6984" spans="34:34" ht="15" thickBot="1" x14ac:dyDescent="0.4">
      <c r="AH6984" s="87"/>
    </row>
    <row r="6985" spans="34:34" ht="15" thickBot="1" x14ac:dyDescent="0.4">
      <c r="AH6985" s="87"/>
    </row>
    <row r="6986" spans="34:34" ht="15" thickBot="1" x14ac:dyDescent="0.4">
      <c r="AH6986" s="87"/>
    </row>
    <row r="6987" spans="34:34" ht="15" thickBot="1" x14ac:dyDescent="0.4">
      <c r="AH6987" s="87"/>
    </row>
    <row r="6988" spans="34:34" ht="15" thickBot="1" x14ac:dyDescent="0.4">
      <c r="AH6988" s="87"/>
    </row>
    <row r="6989" spans="34:34" ht="15" thickBot="1" x14ac:dyDescent="0.4">
      <c r="AH6989" s="87"/>
    </row>
    <row r="6990" spans="34:34" ht="15" thickBot="1" x14ac:dyDescent="0.4">
      <c r="AH6990" s="87"/>
    </row>
    <row r="6991" spans="34:34" ht="15" thickBot="1" x14ac:dyDescent="0.4">
      <c r="AH6991" s="87"/>
    </row>
    <row r="6992" spans="34:34" ht="15" thickBot="1" x14ac:dyDescent="0.4">
      <c r="AH6992" s="87"/>
    </row>
    <row r="6993" spans="34:34" ht="15" thickBot="1" x14ac:dyDescent="0.4">
      <c r="AH6993" s="87"/>
    </row>
    <row r="6994" spans="34:34" ht="15" thickBot="1" x14ac:dyDescent="0.4">
      <c r="AH6994" s="87"/>
    </row>
    <row r="6995" spans="34:34" ht="15" thickBot="1" x14ac:dyDescent="0.4">
      <c r="AH6995" s="87"/>
    </row>
    <row r="6996" spans="34:34" ht="15" thickBot="1" x14ac:dyDescent="0.4">
      <c r="AH6996" s="87"/>
    </row>
    <row r="6997" spans="34:34" ht="15" thickBot="1" x14ac:dyDescent="0.4">
      <c r="AH6997" s="87"/>
    </row>
    <row r="6998" spans="34:34" ht="15" thickBot="1" x14ac:dyDescent="0.4">
      <c r="AH6998" s="87"/>
    </row>
    <row r="6999" spans="34:34" ht="15" thickBot="1" x14ac:dyDescent="0.4">
      <c r="AH6999" s="87"/>
    </row>
    <row r="7000" spans="34:34" ht="15" thickBot="1" x14ac:dyDescent="0.4">
      <c r="AH7000" s="87"/>
    </row>
    <row r="7001" spans="34:34" ht="15" thickBot="1" x14ac:dyDescent="0.4">
      <c r="AH7001" s="87"/>
    </row>
    <row r="7002" spans="34:34" ht="15" thickBot="1" x14ac:dyDescent="0.4">
      <c r="AH7002" s="87"/>
    </row>
    <row r="7003" spans="34:34" ht="15" thickBot="1" x14ac:dyDescent="0.4">
      <c r="AH7003" s="87"/>
    </row>
    <row r="7004" spans="34:34" ht="15" thickBot="1" x14ac:dyDescent="0.4">
      <c r="AH7004" s="87"/>
    </row>
    <row r="7005" spans="34:34" ht="15" thickBot="1" x14ac:dyDescent="0.4">
      <c r="AH7005" s="87"/>
    </row>
    <row r="7006" spans="34:34" ht="15" thickBot="1" x14ac:dyDescent="0.4">
      <c r="AH7006" s="87"/>
    </row>
    <row r="7007" spans="34:34" ht="15" thickBot="1" x14ac:dyDescent="0.4">
      <c r="AH7007" s="87"/>
    </row>
    <row r="7008" spans="34:34" ht="15" thickBot="1" x14ac:dyDescent="0.4">
      <c r="AH7008" s="87"/>
    </row>
    <row r="7009" spans="34:34" ht="15" thickBot="1" x14ac:dyDescent="0.4">
      <c r="AH7009" s="87"/>
    </row>
    <row r="7010" spans="34:34" ht="15" thickBot="1" x14ac:dyDescent="0.4">
      <c r="AH7010" s="87"/>
    </row>
    <row r="7011" spans="34:34" ht="15" thickBot="1" x14ac:dyDescent="0.4">
      <c r="AH7011" s="87"/>
    </row>
    <row r="7012" spans="34:34" ht="15" thickBot="1" x14ac:dyDescent="0.4">
      <c r="AH7012" s="87"/>
    </row>
    <row r="7013" spans="34:34" ht="15" thickBot="1" x14ac:dyDescent="0.4">
      <c r="AH7013" s="87"/>
    </row>
    <row r="7014" spans="34:34" ht="15" thickBot="1" x14ac:dyDescent="0.4">
      <c r="AH7014" s="87"/>
    </row>
    <row r="7015" spans="34:34" ht="15" thickBot="1" x14ac:dyDescent="0.4">
      <c r="AH7015" s="87"/>
    </row>
    <row r="7016" spans="34:34" ht="15" thickBot="1" x14ac:dyDescent="0.4">
      <c r="AH7016" s="87"/>
    </row>
    <row r="7017" spans="34:34" ht="15" thickBot="1" x14ac:dyDescent="0.4">
      <c r="AH7017" s="87"/>
    </row>
    <row r="7018" spans="34:34" ht="15" thickBot="1" x14ac:dyDescent="0.4">
      <c r="AH7018" s="87"/>
    </row>
    <row r="7019" spans="34:34" ht="15" thickBot="1" x14ac:dyDescent="0.4">
      <c r="AH7019" s="87"/>
    </row>
    <row r="7020" spans="34:34" ht="15" thickBot="1" x14ac:dyDescent="0.4">
      <c r="AH7020" s="87"/>
    </row>
    <row r="7021" spans="34:34" ht="15" thickBot="1" x14ac:dyDescent="0.4">
      <c r="AH7021" s="87"/>
    </row>
    <row r="7022" spans="34:34" ht="15" thickBot="1" x14ac:dyDescent="0.4">
      <c r="AH7022" s="87"/>
    </row>
    <row r="7023" spans="34:34" ht="15" thickBot="1" x14ac:dyDescent="0.4">
      <c r="AH7023" s="87"/>
    </row>
    <row r="7024" spans="34:34" ht="15" thickBot="1" x14ac:dyDescent="0.4">
      <c r="AH7024" s="87"/>
    </row>
    <row r="7025" spans="34:34" ht="15" thickBot="1" x14ac:dyDescent="0.4">
      <c r="AH7025" s="87"/>
    </row>
    <row r="7026" spans="34:34" ht="15" thickBot="1" x14ac:dyDescent="0.4">
      <c r="AH7026" s="87"/>
    </row>
    <row r="7027" spans="34:34" ht="15" thickBot="1" x14ac:dyDescent="0.4">
      <c r="AH7027" s="87"/>
    </row>
    <row r="7028" spans="34:34" ht="15" thickBot="1" x14ac:dyDescent="0.4">
      <c r="AH7028" s="87"/>
    </row>
    <row r="7029" spans="34:34" ht="15" thickBot="1" x14ac:dyDescent="0.4">
      <c r="AH7029" s="87"/>
    </row>
    <row r="7030" spans="34:34" ht="15" thickBot="1" x14ac:dyDescent="0.4">
      <c r="AH7030" s="87"/>
    </row>
    <row r="7031" spans="34:34" ht="15" thickBot="1" x14ac:dyDescent="0.4">
      <c r="AH7031" s="87"/>
    </row>
    <row r="7032" spans="34:34" ht="15" thickBot="1" x14ac:dyDescent="0.4">
      <c r="AH7032" s="87"/>
    </row>
    <row r="7033" spans="34:34" ht="15" thickBot="1" x14ac:dyDescent="0.4">
      <c r="AH7033" s="87"/>
    </row>
    <row r="7034" spans="34:34" ht="15" thickBot="1" x14ac:dyDescent="0.4">
      <c r="AH7034" s="87"/>
    </row>
    <row r="7035" spans="34:34" ht="15" thickBot="1" x14ac:dyDescent="0.4">
      <c r="AH7035" s="87"/>
    </row>
    <row r="7036" spans="34:34" ht="15" thickBot="1" x14ac:dyDescent="0.4">
      <c r="AH7036" s="87"/>
    </row>
    <row r="7037" spans="34:34" ht="15" thickBot="1" x14ac:dyDescent="0.4">
      <c r="AH7037" s="87"/>
    </row>
    <row r="7038" spans="34:34" ht="15" thickBot="1" x14ac:dyDescent="0.4">
      <c r="AH7038" s="87"/>
    </row>
    <row r="7039" spans="34:34" ht="15" thickBot="1" x14ac:dyDescent="0.4">
      <c r="AH7039" s="87"/>
    </row>
    <row r="7040" spans="34:34" ht="15" thickBot="1" x14ac:dyDescent="0.4">
      <c r="AH7040" s="87"/>
    </row>
    <row r="7041" spans="34:34" ht="15" thickBot="1" x14ac:dyDescent="0.4">
      <c r="AH7041" s="87"/>
    </row>
    <row r="7042" spans="34:34" ht="15" thickBot="1" x14ac:dyDescent="0.4">
      <c r="AH7042" s="87"/>
    </row>
    <row r="7043" spans="34:34" ht="15" thickBot="1" x14ac:dyDescent="0.4">
      <c r="AH7043" s="87"/>
    </row>
    <row r="7044" spans="34:34" ht="15" thickBot="1" x14ac:dyDescent="0.4">
      <c r="AH7044" s="87"/>
    </row>
    <row r="7045" spans="34:34" ht="15" thickBot="1" x14ac:dyDescent="0.4">
      <c r="AH7045" s="87"/>
    </row>
    <row r="7046" spans="34:34" ht="15" thickBot="1" x14ac:dyDescent="0.4">
      <c r="AH7046" s="87"/>
    </row>
    <row r="7047" spans="34:34" ht="15" thickBot="1" x14ac:dyDescent="0.4">
      <c r="AH7047" s="87"/>
    </row>
    <row r="7048" spans="34:34" ht="15" thickBot="1" x14ac:dyDescent="0.4">
      <c r="AH7048" s="87"/>
    </row>
    <row r="7049" spans="34:34" ht="15" thickBot="1" x14ac:dyDescent="0.4">
      <c r="AH7049" s="87"/>
    </row>
    <row r="7050" spans="34:34" ht="15" thickBot="1" x14ac:dyDescent="0.4">
      <c r="AH7050" s="87"/>
    </row>
    <row r="7051" spans="34:34" ht="15" thickBot="1" x14ac:dyDescent="0.4">
      <c r="AH7051" s="87"/>
    </row>
    <row r="7052" spans="34:34" ht="15" thickBot="1" x14ac:dyDescent="0.4">
      <c r="AH7052" s="87"/>
    </row>
    <row r="7053" spans="34:34" ht="15" thickBot="1" x14ac:dyDescent="0.4">
      <c r="AH7053" s="87"/>
    </row>
    <row r="7054" spans="34:34" ht="15" thickBot="1" x14ac:dyDescent="0.4">
      <c r="AH7054" s="87"/>
    </row>
    <row r="7055" spans="34:34" ht="15" thickBot="1" x14ac:dyDescent="0.4">
      <c r="AH7055" s="87"/>
    </row>
    <row r="7056" spans="34:34" ht="15" thickBot="1" x14ac:dyDescent="0.4">
      <c r="AH7056" s="87"/>
    </row>
    <row r="7057" spans="34:34" ht="15" thickBot="1" x14ac:dyDescent="0.4">
      <c r="AH7057" s="87"/>
    </row>
    <row r="7058" spans="34:34" ht="15" thickBot="1" x14ac:dyDescent="0.4">
      <c r="AH7058" s="87"/>
    </row>
    <row r="7059" spans="34:34" ht="15" thickBot="1" x14ac:dyDescent="0.4">
      <c r="AH7059" s="87"/>
    </row>
    <row r="7060" spans="34:34" ht="15" thickBot="1" x14ac:dyDescent="0.4">
      <c r="AH7060" s="87"/>
    </row>
    <row r="7061" spans="34:34" ht="15" thickBot="1" x14ac:dyDescent="0.4">
      <c r="AH7061" s="87"/>
    </row>
    <row r="7062" spans="34:34" ht="15" thickBot="1" x14ac:dyDescent="0.4">
      <c r="AH7062" s="87"/>
    </row>
    <row r="7063" spans="34:34" ht="15" thickBot="1" x14ac:dyDescent="0.4">
      <c r="AH7063" s="87"/>
    </row>
    <row r="7064" spans="34:34" ht="15" thickBot="1" x14ac:dyDescent="0.4">
      <c r="AH7064" s="87"/>
    </row>
    <row r="7065" spans="34:34" ht="15" thickBot="1" x14ac:dyDescent="0.4">
      <c r="AH7065" s="87"/>
    </row>
    <row r="7066" spans="34:34" ht="15" thickBot="1" x14ac:dyDescent="0.4">
      <c r="AH7066" s="87"/>
    </row>
    <row r="7067" spans="34:34" ht="15" thickBot="1" x14ac:dyDescent="0.4">
      <c r="AH7067" s="87"/>
    </row>
    <row r="7068" spans="34:34" ht="15" thickBot="1" x14ac:dyDescent="0.4">
      <c r="AH7068" s="87"/>
    </row>
    <row r="7069" spans="34:34" ht="15" thickBot="1" x14ac:dyDescent="0.4">
      <c r="AH7069" s="87"/>
    </row>
    <row r="7070" spans="34:34" ht="15" thickBot="1" x14ac:dyDescent="0.4">
      <c r="AH7070" s="87"/>
    </row>
    <row r="7071" spans="34:34" ht="15" thickBot="1" x14ac:dyDescent="0.4">
      <c r="AH7071" s="87"/>
    </row>
    <row r="7072" spans="34:34" ht="15" thickBot="1" x14ac:dyDescent="0.4">
      <c r="AH7072" s="87"/>
    </row>
    <row r="7073" spans="34:34" ht="15" thickBot="1" x14ac:dyDescent="0.4">
      <c r="AH7073" s="87"/>
    </row>
    <row r="7074" spans="34:34" ht="15" thickBot="1" x14ac:dyDescent="0.4">
      <c r="AH7074" s="87"/>
    </row>
    <row r="7075" spans="34:34" ht="15" thickBot="1" x14ac:dyDescent="0.4">
      <c r="AH7075" s="87"/>
    </row>
    <row r="7076" spans="34:34" ht="15" thickBot="1" x14ac:dyDescent="0.4">
      <c r="AH7076" s="87"/>
    </row>
    <row r="7077" spans="34:34" ht="15" thickBot="1" x14ac:dyDescent="0.4">
      <c r="AH7077" s="87"/>
    </row>
    <row r="7078" spans="34:34" ht="15" thickBot="1" x14ac:dyDescent="0.4">
      <c r="AH7078" s="87"/>
    </row>
    <row r="7079" spans="34:34" ht="15" thickBot="1" x14ac:dyDescent="0.4">
      <c r="AH7079" s="87"/>
    </row>
    <row r="7080" spans="34:34" ht="15" thickBot="1" x14ac:dyDescent="0.4">
      <c r="AH7080" s="87"/>
    </row>
    <row r="7081" spans="34:34" ht="15" thickBot="1" x14ac:dyDescent="0.4">
      <c r="AH7081" s="87"/>
    </row>
    <row r="7082" spans="34:34" ht="15" thickBot="1" x14ac:dyDescent="0.4">
      <c r="AH7082" s="87"/>
    </row>
    <row r="7083" spans="34:34" ht="15" thickBot="1" x14ac:dyDescent="0.4">
      <c r="AH7083" s="87"/>
    </row>
    <row r="7084" spans="34:34" ht="15" thickBot="1" x14ac:dyDescent="0.4">
      <c r="AH7084" s="87"/>
    </row>
    <row r="7085" spans="34:34" ht="15" thickBot="1" x14ac:dyDescent="0.4">
      <c r="AH7085" s="87"/>
    </row>
    <row r="7086" spans="34:34" ht="15" thickBot="1" x14ac:dyDescent="0.4">
      <c r="AH7086" s="87"/>
    </row>
    <row r="7087" spans="34:34" ht="15" thickBot="1" x14ac:dyDescent="0.4">
      <c r="AH7087" s="87"/>
    </row>
    <row r="7088" spans="34:34" ht="15" thickBot="1" x14ac:dyDescent="0.4">
      <c r="AH7088" s="87"/>
    </row>
    <row r="7089" spans="34:34" ht="15" thickBot="1" x14ac:dyDescent="0.4">
      <c r="AH7089" s="87"/>
    </row>
    <row r="7090" spans="34:34" ht="15" thickBot="1" x14ac:dyDescent="0.4">
      <c r="AH7090" s="87"/>
    </row>
    <row r="7091" spans="34:34" ht="15" thickBot="1" x14ac:dyDescent="0.4">
      <c r="AH7091" s="87"/>
    </row>
    <row r="7092" spans="34:34" ht="15" thickBot="1" x14ac:dyDescent="0.4">
      <c r="AH7092" s="87"/>
    </row>
    <row r="7093" spans="34:34" ht="15" thickBot="1" x14ac:dyDescent="0.4">
      <c r="AH7093" s="87"/>
    </row>
    <row r="7094" spans="34:34" ht="15" thickBot="1" x14ac:dyDescent="0.4">
      <c r="AH7094" s="87"/>
    </row>
    <row r="7095" spans="34:34" ht="15" thickBot="1" x14ac:dyDescent="0.4">
      <c r="AH7095" s="87"/>
    </row>
    <row r="7096" spans="34:34" ht="15" thickBot="1" x14ac:dyDescent="0.4">
      <c r="AH7096" s="87"/>
    </row>
    <row r="7097" spans="34:34" ht="15" thickBot="1" x14ac:dyDescent="0.4">
      <c r="AH7097" s="87"/>
    </row>
    <row r="7098" spans="34:34" ht="15" thickBot="1" x14ac:dyDescent="0.4">
      <c r="AH7098" s="87"/>
    </row>
    <row r="7099" spans="34:34" ht="15" thickBot="1" x14ac:dyDescent="0.4">
      <c r="AH7099" s="87"/>
    </row>
    <row r="7100" spans="34:34" ht="15" thickBot="1" x14ac:dyDescent="0.4">
      <c r="AH7100" s="87"/>
    </row>
    <row r="7101" spans="34:34" ht="15" thickBot="1" x14ac:dyDescent="0.4">
      <c r="AH7101" s="87"/>
    </row>
    <row r="7102" spans="34:34" ht="15" thickBot="1" x14ac:dyDescent="0.4">
      <c r="AH7102" s="87"/>
    </row>
    <row r="7103" spans="34:34" ht="15" thickBot="1" x14ac:dyDescent="0.4">
      <c r="AH7103" s="87"/>
    </row>
    <row r="7104" spans="34:34" ht="15" thickBot="1" x14ac:dyDescent="0.4">
      <c r="AH7104" s="87"/>
    </row>
    <row r="7105" spans="34:34" ht="15" thickBot="1" x14ac:dyDescent="0.4">
      <c r="AH7105" s="87"/>
    </row>
    <row r="7106" spans="34:34" ht="15" thickBot="1" x14ac:dyDescent="0.4">
      <c r="AH7106" s="87"/>
    </row>
    <row r="7107" spans="34:34" ht="15" thickBot="1" x14ac:dyDescent="0.4">
      <c r="AH7107" s="87"/>
    </row>
    <row r="7108" spans="34:34" ht="15" thickBot="1" x14ac:dyDescent="0.4">
      <c r="AH7108" s="87"/>
    </row>
    <row r="7109" spans="34:34" ht="15" thickBot="1" x14ac:dyDescent="0.4">
      <c r="AH7109" s="87"/>
    </row>
    <row r="7110" spans="34:34" ht="15" thickBot="1" x14ac:dyDescent="0.4">
      <c r="AH7110" s="87"/>
    </row>
    <row r="7111" spans="34:34" ht="15" thickBot="1" x14ac:dyDescent="0.4">
      <c r="AH7111" s="87"/>
    </row>
    <row r="7112" spans="34:34" ht="15" thickBot="1" x14ac:dyDescent="0.4">
      <c r="AH7112" s="87"/>
    </row>
    <row r="7113" spans="34:34" ht="15" thickBot="1" x14ac:dyDescent="0.4">
      <c r="AH7113" s="87"/>
    </row>
    <row r="7114" spans="34:34" ht="15" thickBot="1" x14ac:dyDescent="0.4">
      <c r="AH7114" s="87"/>
    </row>
    <row r="7115" spans="34:34" ht="15" thickBot="1" x14ac:dyDescent="0.4">
      <c r="AH7115" s="87"/>
    </row>
    <row r="7116" spans="34:34" ht="15" thickBot="1" x14ac:dyDescent="0.4">
      <c r="AH7116" s="87"/>
    </row>
    <row r="7117" spans="34:34" ht="15" thickBot="1" x14ac:dyDescent="0.4">
      <c r="AH7117" s="87"/>
    </row>
    <row r="7118" spans="34:34" ht="15" thickBot="1" x14ac:dyDescent="0.4">
      <c r="AH7118" s="87"/>
    </row>
    <row r="7119" spans="34:34" ht="15" thickBot="1" x14ac:dyDescent="0.4">
      <c r="AH7119" s="87"/>
    </row>
    <row r="7120" spans="34:34" ht="15" thickBot="1" x14ac:dyDescent="0.4">
      <c r="AH7120" s="87"/>
    </row>
    <row r="7121" spans="34:34" ht="15" thickBot="1" x14ac:dyDescent="0.4">
      <c r="AH7121" s="87"/>
    </row>
    <row r="7122" spans="34:34" ht="15" thickBot="1" x14ac:dyDescent="0.4">
      <c r="AH7122" s="87"/>
    </row>
    <row r="7123" spans="34:34" ht="15" thickBot="1" x14ac:dyDescent="0.4">
      <c r="AH7123" s="87"/>
    </row>
    <row r="7124" spans="34:34" ht="15" thickBot="1" x14ac:dyDescent="0.4">
      <c r="AH7124" s="87"/>
    </row>
    <row r="7125" spans="34:34" ht="15" thickBot="1" x14ac:dyDescent="0.4">
      <c r="AH7125" s="87"/>
    </row>
    <row r="7126" spans="34:34" ht="15" thickBot="1" x14ac:dyDescent="0.4">
      <c r="AH7126" s="87"/>
    </row>
    <row r="7127" spans="34:34" ht="15" thickBot="1" x14ac:dyDescent="0.4">
      <c r="AH7127" s="87"/>
    </row>
    <row r="7128" spans="34:34" ht="15" thickBot="1" x14ac:dyDescent="0.4">
      <c r="AH7128" s="87"/>
    </row>
    <row r="7129" spans="34:34" ht="15" thickBot="1" x14ac:dyDescent="0.4">
      <c r="AH7129" s="87"/>
    </row>
    <row r="7130" spans="34:34" ht="15" thickBot="1" x14ac:dyDescent="0.4">
      <c r="AH7130" s="87"/>
    </row>
    <row r="7131" spans="34:34" ht="15" thickBot="1" x14ac:dyDescent="0.4">
      <c r="AH7131" s="87"/>
    </row>
    <row r="7132" spans="34:34" ht="15" thickBot="1" x14ac:dyDescent="0.4">
      <c r="AH7132" s="87"/>
    </row>
    <row r="7133" spans="34:34" ht="15" thickBot="1" x14ac:dyDescent="0.4">
      <c r="AH7133" s="87"/>
    </row>
    <row r="7134" spans="34:34" ht="15" thickBot="1" x14ac:dyDescent="0.4">
      <c r="AH7134" s="87"/>
    </row>
    <row r="7135" spans="34:34" ht="15" thickBot="1" x14ac:dyDescent="0.4">
      <c r="AH7135" s="87"/>
    </row>
    <row r="7136" spans="34:34" ht="15" thickBot="1" x14ac:dyDescent="0.4">
      <c r="AH7136" s="87"/>
    </row>
    <row r="7137" spans="34:34" ht="15" thickBot="1" x14ac:dyDescent="0.4">
      <c r="AH7137" s="87"/>
    </row>
    <row r="7138" spans="34:34" ht="15" thickBot="1" x14ac:dyDescent="0.4">
      <c r="AH7138" s="87"/>
    </row>
    <row r="7139" spans="34:34" ht="15" thickBot="1" x14ac:dyDescent="0.4">
      <c r="AH7139" s="87"/>
    </row>
    <row r="7140" spans="34:34" ht="15" thickBot="1" x14ac:dyDescent="0.4">
      <c r="AH7140" s="87"/>
    </row>
    <row r="7141" spans="34:34" ht="15" thickBot="1" x14ac:dyDescent="0.4">
      <c r="AH7141" s="87"/>
    </row>
    <row r="7142" spans="34:34" ht="15" thickBot="1" x14ac:dyDescent="0.4">
      <c r="AH7142" s="87"/>
    </row>
    <row r="7143" spans="34:34" ht="15" thickBot="1" x14ac:dyDescent="0.4">
      <c r="AH7143" s="87"/>
    </row>
    <row r="7144" spans="34:34" ht="15" thickBot="1" x14ac:dyDescent="0.4">
      <c r="AH7144" s="87"/>
    </row>
    <row r="7145" spans="34:34" ht="15" thickBot="1" x14ac:dyDescent="0.4">
      <c r="AH7145" s="87"/>
    </row>
    <row r="7146" spans="34:34" ht="15" thickBot="1" x14ac:dyDescent="0.4">
      <c r="AH7146" s="87"/>
    </row>
    <row r="7147" spans="34:34" ht="15" thickBot="1" x14ac:dyDescent="0.4">
      <c r="AH7147" s="87"/>
    </row>
    <row r="7148" spans="34:34" ht="15" thickBot="1" x14ac:dyDescent="0.4">
      <c r="AH7148" s="87"/>
    </row>
    <row r="7149" spans="34:34" ht="15" thickBot="1" x14ac:dyDescent="0.4">
      <c r="AH7149" s="87"/>
    </row>
    <row r="7150" spans="34:34" ht="15" thickBot="1" x14ac:dyDescent="0.4">
      <c r="AH7150" s="87"/>
    </row>
    <row r="7151" spans="34:34" ht="15" thickBot="1" x14ac:dyDescent="0.4">
      <c r="AH7151" s="87"/>
    </row>
    <row r="7152" spans="34:34" ht="15" thickBot="1" x14ac:dyDescent="0.4">
      <c r="AH7152" s="87"/>
    </row>
    <row r="7153" spans="34:34" ht="15" thickBot="1" x14ac:dyDescent="0.4">
      <c r="AH7153" s="87"/>
    </row>
    <row r="7154" spans="34:34" ht="15" thickBot="1" x14ac:dyDescent="0.4">
      <c r="AH7154" s="87"/>
    </row>
    <row r="7155" spans="34:34" ht="15" thickBot="1" x14ac:dyDescent="0.4">
      <c r="AH7155" s="87"/>
    </row>
    <row r="7156" spans="34:34" ht="15" thickBot="1" x14ac:dyDescent="0.4">
      <c r="AH7156" s="87"/>
    </row>
    <row r="7157" spans="34:34" ht="15" thickBot="1" x14ac:dyDescent="0.4">
      <c r="AH7157" s="87"/>
    </row>
    <row r="7158" spans="34:34" ht="15" thickBot="1" x14ac:dyDescent="0.4">
      <c r="AH7158" s="87"/>
    </row>
    <row r="7159" spans="34:34" ht="15" thickBot="1" x14ac:dyDescent="0.4">
      <c r="AH7159" s="87"/>
    </row>
    <row r="7160" spans="34:34" ht="15" thickBot="1" x14ac:dyDescent="0.4">
      <c r="AH7160" s="87"/>
    </row>
    <row r="7161" spans="34:34" ht="15" thickBot="1" x14ac:dyDescent="0.4">
      <c r="AH7161" s="87"/>
    </row>
    <row r="7162" spans="34:34" ht="15" thickBot="1" x14ac:dyDescent="0.4">
      <c r="AH7162" s="87"/>
    </row>
    <row r="7163" spans="34:34" ht="15" thickBot="1" x14ac:dyDescent="0.4">
      <c r="AH7163" s="87"/>
    </row>
    <row r="7164" spans="34:34" ht="15" thickBot="1" x14ac:dyDescent="0.4">
      <c r="AH7164" s="87"/>
    </row>
    <row r="7165" spans="34:34" ht="15" thickBot="1" x14ac:dyDescent="0.4">
      <c r="AH7165" s="87"/>
    </row>
    <row r="7166" spans="34:34" ht="15" thickBot="1" x14ac:dyDescent="0.4">
      <c r="AH7166" s="87"/>
    </row>
    <row r="7167" spans="34:34" ht="15" thickBot="1" x14ac:dyDescent="0.4">
      <c r="AH7167" s="87"/>
    </row>
    <row r="7168" spans="34:34" ht="15" thickBot="1" x14ac:dyDescent="0.4">
      <c r="AH7168" s="87"/>
    </row>
    <row r="7169" spans="34:34" ht="15" thickBot="1" x14ac:dyDescent="0.4">
      <c r="AH7169" s="87"/>
    </row>
    <row r="7170" spans="34:34" ht="15" thickBot="1" x14ac:dyDescent="0.4">
      <c r="AH7170" s="87"/>
    </row>
    <row r="7171" spans="34:34" ht="15" thickBot="1" x14ac:dyDescent="0.4">
      <c r="AH7171" s="87"/>
    </row>
    <row r="7172" spans="34:34" ht="15" thickBot="1" x14ac:dyDescent="0.4">
      <c r="AH7172" s="87"/>
    </row>
    <row r="7173" spans="34:34" ht="15" thickBot="1" x14ac:dyDescent="0.4">
      <c r="AH7173" s="87"/>
    </row>
    <row r="7174" spans="34:34" ht="15" thickBot="1" x14ac:dyDescent="0.4">
      <c r="AH7174" s="87"/>
    </row>
    <row r="7175" spans="34:34" ht="15" thickBot="1" x14ac:dyDescent="0.4">
      <c r="AH7175" s="87"/>
    </row>
    <row r="7176" spans="34:34" ht="15" thickBot="1" x14ac:dyDescent="0.4">
      <c r="AH7176" s="87"/>
    </row>
    <row r="7177" spans="34:34" ht="15" thickBot="1" x14ac:dyDescent="0.4">
      <c r="AH7177" s="87"/>
    </row>
    <row r="7178" spans="34:34" ht="15" thickBot="1" x14ac:dyDescent="0.4">
      <c r="AH7178" s="87"/>
    </row>
    <row r="7179" spans="34:34" ht="15" thickBot="1" x14ac:dyDescent="0.4">
      <c r="AH7179" s="87"/>
    </row>
    <row r="7180" spans="34:34" ht="15" thickBot="1" x14ac:dyDescent="0.4">
      <c r="AH7180" s="87"/>
    </row>
    <row r="7181" spans="34:34" ht="15" thickBot="1" x14ac:dyDescent="0.4">
      <c r="AH7181" s="87"/>
    </row>
    <row r="7182" spans="34:34" ht="15" thickBot="1" x14ac:dyDescent="0.4">
      <c r="AH7182" s="87"/>
    </row>
    <row r="7183" spans="34:34" ht="15" thickBot="1" x14ac:dyDescent="0.4">
      <c r="AH7183" s="87"/>
    </row>
    <row r="7184" spans="34:34" ht="15" thickBot="1" x14ac:dyDescent="0.4">
      <c r="AH7184" s="87"/>
    </row>
    <row r="7185" spans="34:34" ht="15" thickBot="1" x14ac:dyDescent="0.4">
      <c r="AH7185" s="87"/>
    </row>
    <row r="7186" spans="34:34" ht="15" thickBot="1" x14ac:dyDescent="0.4">
      <c r="AH7186" s="87"/>
    </row>
    <row r="7187" spans="34:34" ht="15" thickBot="1" x14ac:dyDescent="0.4">
      <c r="AH7187" s="87"/>
    </row>
    <row r="7188" spans="34:34" ht="15" thickBot="1" x14ac:dyDescent="0.4">
      <c r="AH7188" s="87"/>
    </row>
    <row r="7189" spans="34:34" ht="15" thickBot="1" x14ac:dyDescent="0.4">
      <c r="AH7189" s="87"/>
    </row>
    <row r="7190" spans="34:34" ht="15" thickBot="1" x14ac:dyDescent="0.4">
      <c r="AH7190" s="87"/>
    </row>
    <row r="7191" spans="34:34" ht="15" thickBot="1" x14ac:dyDescent="0.4">
      <c r="AH7191" s="87"/>
    </row>
    <row r="7192" spans="34:34" ht="15" thickBot="1" x14ac:dyDescent="0.4">
      <c r="AH7192" s="87"/>
    </row>
    <row r="7193" spans="34:34" ht="15" thickBot="1" x14ac:dyDescent="0.4">
      <c r="AH7193" s="87"/>
    </row>
    <row r="7194" spans="34:34" ht="15" thickBot="1" x14ac:dyDescent="0.4">
      <c r="AH7194" s="87"/>
    </row>
    <row r="7195" spans="34:34" ht="15" thickBot="1" x14ac:dyDescent="0.4">
      <c r="AH7195" s="87"/>
    </row>
    <row r="7196" spans="34:34" ht="15" thickBot="1" x14ac:dyDescent="0.4">
      <c r="AH7196" s="87"/>
    </row>
    <row r="7197" spans="34:34" ht="15" thickBot="1" x14ac:dyDescent="0.4">
      <c r="AH7197" s="87"/>
    </row>
    <row r="7198" spans="34:34" ht="15" thickBot="1" x14ac:dyDescent="0.4">
      <c r="AH7198" s="87"/>
    </row>
    <row r="7199" spans="34:34" ht="15" thickBot="1" x14ac:dyDescent="0.4">
      <c r="AH7199" s="87"/>
    </row>
    <row r="7200" spans="34:34" ht="15" thickBot="1" x14ac:dyDescent="0.4">
      <c r="AH7200" s="87"/>
    </row>
    <row r="7201" spans="34:34" ht="15" thickBot="1" x14ac:dyDescent="0.4">
      <c r="AH7201" s="87"/>
    </row>
    <row r="7202" spans="34:34" ht="15" thickBot="1" x14ac:dyDescent="0.4">
      <c r="AH7202" s="87"/>
    </row>
    <row r="7203" spans="34:34" ht="15" thickBot="1" x14ac:dyDescent="0.4">
      <c r="AH7203" s="87"/>
    </row>
    <row r="7204" spans="34:34" ht="15" thickBot="1" x14ac:dyDescent="0.4">
      <c r="AH7204" s="87"/>
    </row>
    <row r="7205" spans="34:34" ht="15" thickBot="1" x14ac:dyDescent="0.4">
      <c r="AH7205" s="87"/>
    </row>
    <row r="7206" spans="34:34" ht="15" thickBot="1" x14ac:dyDescent="0.4">
      <c r="AH7206" s="87"/>
    </row>
    <row r="7207" spans="34:34" ht="15" thickBot="1" x14ac:dyDescent="0.4">
      <c r="AH7207" s="87"/>
    </row>
    <row r="7208" spans="34:34" ht="15" thickBot="1" x14ac:dyDescent="0.4">
      <c r="AH7208" s="87"/>
    </row>
    <row r="7209" spans="34:34" ht="15" thickBot="1" x14ac:dyDescent="0.4">
      <c r="AH7209" s="87"/>
    </row>
    <row r="7210" spans="34:34" ht="15" thickBot="1" x14ac:dyDescent="0.4">
      <c r="AH7210" s="87"/>
    </row>
    <row r="7211" spans="34:34" ht="15" thickBot="1" x14ac:dyDescent="0.4">
      <c r="AH7211" s="87"/>
    </row>
    <row r="7212" spans="34:34" ht="15" thickBot="1" x14ac:dyDescent="0.4">
      <c r="AH7212" s="87"/>
    </row>
    <row r="7213" spans="34:34" ht="15" thickBot="1" x14ac:dyDescent="0.4">
      <c r="AH7213" s="87"/>
    </row>
    <row r="7214" spans="34:34" ht="15" thickBot="1" x14ac:dyDescent="0.4">
      <c r="AH7214" s="87"/>
    </row>
    <row r="7215" spans="34:34" ht="15" thickBot="1" x14ac:dyDescent="0.4">
      <c r="AH7215" s="87"/>
    </row>
    <row r="7216" spans="34:34" ht="15" thickBot="1" x14ac:dyDescent="0.4">
      <c r="AH7216" s="87"/>
    </row>
    <row r="7217" spans="34:34" ht="15" thickBot="1" x14ac:dyDescent="0.4">
      <c r="AH7217" s="87"/>
    </row>
    <row r="7218" spans="34:34" ht="15" thickBot="1" x14ac:dyDescent="0.4">
      <c r="AH7218" s="87"/>
    </row>
    <row r="7219" spans="34:34" ht="15" thickBot="1" x14ac:dyDescent="0.4">
      <c r="AH7219" s="87"/>
    </row>
    <row r="7220" spans="34:34" ht="15" thickBot="1" x14ac:dyDescent="0.4">
      <c r="AH7220" s="87"/>
    </row>
    <row r="7221" spans="34:34" ht="15" thickBot="1" x14ac:dyDescent="0.4">
      <c r="AH7221" s="87"/>
    </row>
    <row r="7222" spans="34:34" ht="15" thickBot="1" x14ac:dyDescent="0.4">
      <c r="AH7222" s="87"/>
    </row>
    <row r="7223" spans="34:34" ht="15" thickBot="1" x14ac:dyDescent="0.4">
      <c r="AH7223" s="87"/>
    </row>
    <row r="7224" spans="34:34" ht="15" thickBot="1" x14ac:dyDescent="0.4">
      <c r="AH7224" s="87"/>
    </row>
    <row r="7225" spans="34:34" ht="15" thickBot="1" x14ac:dyDescent="0.4">
      <c r="AH7225" s="87"/>
    </row>
    <row r="7226" spans="34:34" ht="15" thickBot="1" x14ac:dyDescent="0.4">
      <c r="AH7226" s="87"/>
    </row>
    <row r="7227" spans="34:34" ht="15" thickBot="1" x14ac:dyDescent="0.4">
      <c r="AH7227" s="87"/>
    </row>
    <row r="7228" spans="34:34" ht="15" thickBot="1" x14ac:dyDescent="0.4">
      <c r="AH7228" s="87"/>
    </row>
    <row r="7229" spans="34:34" ht="15" thickBot="1" x14ac:dyDescent="0.4">
      <c r="AH7229" s="87"/>
    </row>
    <row r="7230" spans="34:34" ht="15" thickBot="1" x14ac:dyDescent="0.4">
      <c r="AH7230" s="87"/>
    </row>
    <row r="7231" spans="34:34" ht="15" thickBot="1" x14ac:dyDescent="0.4">
      <c r="AH7231" s="87"/>
    </row>
    <row r="7232" spans="34:34" ht="15" thickBot="1" x14ac:dyDescent="0.4">
      <c r="AH7232" s="87"/>
    </row>
    <row r="7233" spans="34:34" ht="15" thickBot="1" x14ac:dyDescent="0.4">
      <c r="AH7233" s="87"/>
    </row>
    <row r="7234" spans="34:34" ht="15" thickBot="1" x14ac:dyDescent="0.4">
      <c r="AH7234" s="87"/>
    </row>
    <row r="7235" spans="34:34" ht="15" thickBot="1" x14ac:dyDescent="0.4">
      <c r="AH7235" s="87"/>
    </row>
    <row r="7236" spans="34:34" ht="15" thickBot="1" x14ac:dyDescent="0.4">
      <c r="AH7236" s="87"/>
    </row>
    <row r="7237" spans="34:34" ht="15" thickBot="1" x14ac:dyDescent="0.4">
      <c r="AH7237" s="87"/>
    </row>
    <row r="7238" spans="34:34" ht="15" thickBot="1" x14ac:dyDescent="0.4">
      <c r="AH7238" s="87"/>
    </row>
    <row r="7239" spans="34:34" ht="15" thickBot="1" x14ac:dyDescent="0.4">
      <c r="AH7239" s="87"/>
    </row>
    <row r="7240" spans="34:34" ht="15" thickBot="1" x14ac:dyDescent="0.4">
      <c r="AH7240" s="87"/>
    </row>
    <row r="7241" spans="34:34" ht="15" thickBot="1" x14ac:dyDescent="0.4">
      <c r="AH7241" s="87"/>
    </row>
    <row r="7242" spans="34:34" ht="15" thickBot="1" x14ac:dyDescent="0.4">
      <c r="AH7242" s="87"/>
    </row>
    <row r="7243" spans="34:34" ht="15" thickBot="1" x14ac:dyDescent="0.4">
      <c r="AH7243" s="87"/>
    </row>
    <row r="7244" spans="34:34" ht="15" thickBot="1" x14ac:dyDescent="0.4">
      <c r="AH7244" s="87"/>
    </row>
    <row r="7245" spans="34:34" ht="15" thickBot="1" x14ac:dyDescent="0.4">
      <c r="AH7245" s="87"/>
    </row>
    <row r="7246" spans="34:34" ht="15" thickBot="1" x14ac:dyDescent="0.4">
      <c r="AH7246" s="87"/>
    </row>
    <row r="7247" spans="34:34" ht="15" thickBot="1" x14ac:dyDescent="0.4">
      <c r="AH7247" s="87"/>
    </row>
    <row r="7248" spans="34:34" ht="15" thickBot="1" x14ac:dyDescent="0.4">
      <c r="AH7248" s="87"/>
    </row>
    <row r="7249" spans="34:34" ht="15" thickBot="1" x14ac:dyDescent="0.4">
      <c r="AH7249" s="87"/>
    </row>
    <row r="7250" spans="34:34" ht="15" thickBot="1" x14ac:dyDescent="0.4">
      <c r="AH7250" s="87"/>
    </row>
    <row r="7251" spans="34:34" ht="15" thickBot="1" x14ac:dyDescent="0.4">
      <c r="AH7251" s="87"/>
    </row>
    <row r="7252" spans="34:34" ht="15" thickBot="1" x14ac:dyDescent="0.4">
      <c r="AH7252" s="87"/>
    </row>
    <row r="7253" spans="34:34" ht="15" thickBot="1" x14ac:dyDescent="0.4">
      <c r="AH7253" s="87"/>
    </row>
    <row r="7254" spans="34:34" ht="15" thickBot="1" x14ac:dyDescent="0.4">
      <c r="AH7254" s="87"/>
    </row>
    <row r="7255" spans="34:34" ht="15" thickBot="1" x14ac:dyDescent="0.4">
      <c r="AH7255" s="87"/>
    </row>
    <row r="7256" spans="34:34" ht="15" thickBot="1" x14ac:dyDescent="0.4">
      <c r="AH7256" s="87"/>
    </row>
    <row r="7257" spans="34:34" ht="15" thickBot="1" x14ac:dyDescent="0.4">
      <c r="AH7257" s="87"/>
    </row>
    <row r="7258" spans="34:34" ht="15" thickBot="1" x14ac:dyDescent="0.4">
      <c r="AH7258" s="87"/>
    </row>
    <row r="7259" spans="34:34" ht="15" thickBot="1" x14ac:dyDescent="0.4">
      <c r="AH7259" s="87"/>
    </row>
    <row r="7260" spans="34:34" ht="15" thickBot="1" x14ac:dyDescent="0.4">
      <c r="AH7260" s="87"/>
    </row>
    <row r="7261" spans="34:34" ht="15" thickBot="1" x14ac:dyDescent="0.4">
      <c r="AH7261" s="87"/>
    </row>
    <row r="7262" spans="34:34" ht="15" thickBot="1" x14ac:dyDescent="0.4">
      <c r="AH7262" s="87"/>
    </row>
    <row r="7263" spans="34:34" ht="15" thickBot="1" x14ac:dyDescent="0.4">
      <c r="AH7263" s="87"/>
    </row>
    <row r="7264" spans="34:34" ht="15" thickBot="1" x14ac:dyDescent="0.4">
      <c r="AH7264" s="87"/>
    </row>
    <row r="7265" spans="34:34" ht="15" thickBot="1" x14ac:dyDescent="0.4">
      <c r="AH7265" s="87"/>
    </row>
    <row r="7266" spans="34:34" ht="15" thickBot="1" x14ac:dyDescent="0.4">
      <c r="AH7266" s="87"/>
    </row>
    <row r="7267" spans="34:34" ht="15" thickBot="1" x14ac:dyDescent="0.4">
      <c r="AH7267" s="87"/>
    </row>
    <row r="7268" spans="34:34" ht="15" thickBot="1" x14ac:dyDescent="0.4">
      <c r="AH7268" s="87"/>
    </row>
    <row r="7269" spans="34:34" ht="15" thickBot="1" x14ac:dyDescent="0.4">
      <c r="AH7269" s="87"/>
    </row>
    <row r="7270" spans="34:34" ht="15" thickBot="1" x14ac:dyDescent="0.4">
      <c r="AH7270" s="87"/>
    </row>
    <row r="7271" spans="34:34" ht="15" thickBot="1" x14ac:dyDescent="0.4">
      <c r="AH7271" s="87"/>
    </row>
    <row r="7272" spans="34:34" ht="15" thickBot="1" x14ac:dyDescent="0.4">
      <c r="AH7272" s="87"/>
    </row>
    <row r="7273" spans="34:34" ht="15" thickBot="1" x14ac:dyDescent="0.4">
      <c r="AH7273" s="87"/>
    </row>
    <row r="7274" spans="34:34" ht="15" thickBot="1" x14ac:dyDescent="0.4">
      <c r="AH7274" s="87"/>
    </row>
    <row r="7275" spans="34:34" ht="15" thickBot="1" x14ac:dyDescent="0.4">
      <c r="AH7275" s="87"/>
    </row>
    <row r="7276" spans="34:34" ht="15" thickBot="1" x14ac:dyDescent="0.4">
      <c r="AH7276" s="87"/>
    </row>
    <row r="7277" spans="34:34" ht="15" thickBot="1" x14ac:dyDescent="0.4">
      <c r="AH7277" s="87"/>
    </row>
    <row r="7278" spans="34:34" ht="15" thickBot="1" x14ac:dyDescent="0.4">
      <c r="AH7278" s="87"/>
    </row>
    <row r="7279" spans="34:34" ht="15" thickBot="1" x14ac:dyDescent="0.4">
      <c r="AH7279" s="87"/>
    </row>
    <row r="7280" spans="34:34" ht="15" thickBot="1" x14ac:dyDescent="0.4">
      <c r="AH7280" s="87"/>
    </row>
    <row r="7281" spans="34:34" ht="15" thickBot="1" x14ac:dyDescent="0.4">
      <c r="AH7281" s="87"/>
    </row>
    <row r="7282" spans="34:34" ht="15" thickBot="1" x14ac:dyDescent="0.4">
      <c r="AH7282" s="87"/>
    </row>
    <row r="7283" spans="34:34" ht="15" thickBot="1" x14ac:dyDescent="0.4">
      <c r="AH7283" s="87"/>
    </row>
    <row r="7284" spans="34:34" ht="15" thickBot="1" x14ac:dyDescent="0.4">
      <c r="AH7284" s="87"/>
    </row>
    <row r="7285" spans="34:34" ht="15" thickBot="1" x14ac:dyDescent="0.4">
      <c r="AH7285" s="87"/>
    </row>
    <row r="7286" spans="34:34" ht="15" thickBot="1" x14ac:dyDescent="0.4">
      <c r="AH7286" s="87"/>
    </row>
    <row r="7287" spans="34:34" ht="15" thickBot="1" x14ac:dyDescent="0.4">
      <c r="AH7287" s="87"/>
    </row>
    <row r="7288" spans="34:34" ht="15" thickBot="1" x14ac:dyDescent="0.4">
      <c r="AH7288" s="87"/>
    </row>
    <row r="7289" spans="34:34" ht="15" thickBot="1" x14ac:dyDescent="0.4">
      <c r="AH7289" s="87"/>
    </row>
    <row r="7290" spans="34:34" ht="15" thickBot="1" x14ac:dyDescent="0.4">
      <c r="AH7290" s="87"/>
    </row>
    <row r="7291" spans="34:34" ht="15" thickBot="1" x14ac:dyDescent="0.4">
      <c r="AH7291" s="87"/>
    </row>
    <row r="7292" spans="34:34" ht="15" thickBot="1" x14ac:dyDescent="0.4">
      <c r="AH7292" s="87"/>
    </row>
    <row r="7293" spans="34:34" ht="15" thickBot="1" x14ac:dyDescent="0.4">
      <c r="AH7293" s="87"/>
    </row>
    <row r="7294" spans="34:34" ht="15" thickBot="1" x14ac:dyDescent="0.4">
      <c r="AH7294" s="87"/>
    </row>
    <row r="7295" spans="34:34" ht="15" thickBot="1" x14ac:dyDescent="0.4">
      <c r="AH7295" s="87"/>
    </row>
    <row r="7296" spans="34:34" ht="15" thickBot="1" x14ac:dyDescent="0.4">
      <c r="AH7296" s="87"/>
    </row>
    <row r="7297" spans="34:34" ht="15" thickBot="1" x14ac:dyDescent="0.4">
      <c r="AH7297" s="87"/>
    </row>
    <row r="7298" spans="34:34" ht="15" thickBot="1" x14ac:dyDescent="0.4">
      <c r="AH7298" s="87"/>
    </row>
    <row r="7299" spans="34:34" ht="15" thickBot="1" x14ac:dyDescent="0.4">
      <c r="AH7299" s="87"/>
    </row>
    <row r="7300" spans="34:34" ht="15" thickBot="1" x14ac:dyDescent="0.4">
      <c r="AH7300" s="87"/>
    </row>
    <row r="7301" spans="34:34" ht="15" thickBot="1" x14ac:dyDescent="0.4">
      <c r="AH7301" s="87"/>
    </row>
    <row r="7302" spans="34:34" ht="15" thickBot="1" x14ac:dyDescent="0.4">
      <c r="AH7302" s="87"/>
    </row>
    <row r="7303" spans="34:34" ht="15" thickBot="1" x14ac:dyDescent="0.4">
      <c r="AH7303" s="87"/>
    </row>
    <row r="7304" spans="34:34" ht="15" thickBot="1" x14ac:dyDescent="0.4">
      <c r="AH7304" s="87"/>
    </row>
    <row r="7305" spans="34:34" ht="15" thickBot="1" x14ac:dyDescent="0.4">
      <c r="AH7305" s="87"/>
    </row>
    <row r="7306" spans="34:34" ht="15" thickBot="1" x14ac:dyDescent="0.4">
      <c r="AH7306" s="87"/>
    </row>
    <row r="7307" spans="34:34" ht="15" thickBot="1" x14ac:dyDescent="0.4">
      <c r="AH7307" s="87"/>
    </row>
    <row r="7308" spans="34:34" ht="15" thickBot="1" x14ac:dyDescent="0.4">
      <c r="AH7308" s="87"/>
    </row>
    <row r="7309" spans="34:34" ht="15" thickBot="1" x14ac:dyDescent="0.4">
      <c r="AH7309" s="87"/>
    </row>
    <row r="7310" spans="34:34" ht="15" thickBot="1" x14ac:dyDescent="0.4">
      <c r="AH7310" s="87"/>
    </row>
    <row r="7311" spans="34:34" ht="15" thickBot="1" x14ac:dyDescent="0.4">
      <c r="AH7311" s="87"/>
    </row>
    <row r="7312" spans="34:34" ht="15" thickBot="1" x14ac:dyDescent="0.4">
      <c r="AH7312" s="87"/>
    </row>
    <row r="7313" spans="34:34" ht="15" thickBot="1" x14ac:dyDescent="0.4">
      <c r="AH7313" s="87"/>
    </row>
    <row r="7314" spans="34:34" ht="15" thickBot="1" x14ac:dyDescent="0.4">
      <c r="AH7314" s="87"/>
    </row>
    <row r="7315" spans="34:34" ht="15" thickBot="1" x14ac:dyDescent="0.4">
      <c r="AH7315" s="87"/>
    </row>
    <row r="7316" spans="34:34" ht="15" thickBot="1" x14ac:dyDescent="0.4">
      <c r="AH7316" s="87"/>
    </row>
    <row r="7317" spans="34:34" ht="15" thickBot="1" x14ac:dyDescent="0.4">
      <c r="AH7317" s="87"/>
    </row>
    <row r="7318" spans="34:34" ht="15" thickBot="1" x14ac:dyDescent="0.4">
      <c r="AH7318" s="87"/>
    </row>
    <row r="7319" spans="34:34" ht="15" thickBot="1" x14ac:dyDescent="0.4">
      <c r="AH7319" s="87"/>
    </row>
    <row r="7320" spans="34:34" ht="15" thickBot="1" x14ac:dyDescent="0.4">
      <c r="AH7320" s="87"/>
    </row>
    <row r="7321" spans="34:34" ht="15" thickBot="1" x14ac:dyDescent="0.4">
      <c r="AH7321" s="87"/>
    </row>
    <row r="7322" spans="34:34" ht="15" thickBot="1" x14ac:dyDescent="0.4">
      <c r="AH7322" s="87"/>
    </row>
    <row r="7323" spans="34:34" ht="15" thickBot="1" x14ac:dyDescent="0.4">
      <c r="AH7323" s="87"/>
    </row>
    <row r="7324" spans="34:34" ht="15" thickBot="1" x14ac:dyDescent="0.4">
      <c r="AH7324" s="87"/>
    </row>
    <row r="7325" spans="34:34" ht="15" thickBot="1" x14ac:dyDescent="0.4">
      <c r="AH7325" s="87"/>
    </row>
    <row r="7326" spans="34:34" ht="15" thickBot="1" x14ac:dyDescent="0.4">
      <c r="AH7326" s="87"/>
    </row>
    <row r="7327" spans="34:34" ht="15" thickBot="1" x14ac:dyDescent="0.4">
      <c r="AH7327" s="87"/>
    </row>
    <row r="7328" spans="34:34" ht="15" thickBot="1" x14ac:dyDescent="0.4">
      <c r="AH7328" s="87"/>
    </row>
    <row r="7329" spans="34:34" ht="15" thickBot="1" x14ac:dyDescent="0.4">
      <c r="AH7329" s="87"/>
    </row>
    <row r="7330" spans="34:34" ht="15" thickBot="1" x14ac:dyDescent="0.4">
      <c r="AH7330" s="87"/>
    </row>
    <row r="7331" spans="34:34" ht="15" thickBot="1" x14ac:dyDescent="0.4">
      <c r="AH7331" s="87"/>
    </row>
    <row r="7332" spans="34:34" ht="15" thickBot="1" x14ac:dyDescent="0.4">
      <c r="AH7332" s="87"/>
    </row>
    <row r="7333" spans="34:34" ht="15" thickBot="1" x14ac:dyDescent="0.4">
      <c r="AH7333" s="87"/>
    </row>
    <row r="7334" spans="34:34" ht="15" thickBot="1" x14ac:dyDescent="0.4">
      <c r="AH7334" s="87"/>
    </row>
    <row r="7335" spans="34:34" ht="15" thickBot="1" x14ac:dyDescent="0.4">
      <c r="AH7335" s="87"/>
    </row>
    <row r="7336" spans="34:34" ht="15" thickBot="1" x14ac:dyDescent="0.4">
      <c r="AH7336" s="87"/>
    </row>
    <row r="7337" spans="34:34" ht="15" thickBot="1" x14ac:dyDescent="0.4">
      <c r="AH7337" s="87"/>
    </row>
    <row r="7338" spans="34:34" ht="15" thickBot="1" x14ac:dyDescent="0.4">
      <c r="AH7338" s="87"/>
    </row>
    <row r="7339" spans="34:34" ht="15" thickBot="1" x14ac:dyDescent="0.4">
      <c r="AH7339" s="87"/>
    </row>
    <row r="7340" spans="34:34" ht="15" thickBot="1" x14ac:dyDescent="0.4">
      <c r="AH7340" s="87"/>
    </row>
    <row r="7341" spans="34:34" ht="15" thickBot="1" x14ac:dyDescent="0.4">
      <c r="AH7341" s="87"/>
    </row>
    <row r="7342" spans="34:34" ht="15" thickBot="1" x14ac:dyDescent="0.4">
      <c r="AH7342" s="87"/>
    </row>
    <row r="7343" spans="34:34" ht="15" thickBot="1" x14ac:dyDescent="0.4">
      <c r="AH7343" s="87"/>
    </row>
    <row r="7344" spans="34:34" ht="15" thickBot="1" x14ac:dyDescent="0.4">
      <c r="AH7344" s="87"/>
    </row>
    <row r="7345" spans="34:34" ht="15" thickBot="1" x14ac:dyDescent="0.4">
      <c r="AH7345" s="87"/>
    </row>
    <row r="7346" spans="34:34" ht="15" thickBot="1" x14ac:dyDescent="0.4">
      <c r="AH7346" s="87"/>
    </row>
    <row r="7347" spans="34:34" ht="15" thickBot="1" x14ac:dyDescent="0.4">
      <c r="AH7347" s="87"/>
    </row>
    <row r="7348" spans="34:34" ht="15" thickBot="1" x14ac:dyDescent="0.4">
      <c r="AH7348" s="87"/>
    </row>
    <row r="7349" spans="34:34" ht="15" thickBot="1" x14ac:dyDescent="0.4">
      <c r="AH7349" s="87"/>
    </row>
    <row r="7350" spans="34:34" ht="15" thickBot="1" x14ac:dyDescent="0.4">
      <c r="AH7350" s="87"/>
    </row>
    <row r="7351" spans="34:34" ht="15" thickBot="1" x14ac:dyDescent="0.4">
      <c r="AH7351" s="87"/>
    </row>
    <row r="7352" spans="34:34" ht="15" thickBot="1" x14ac:dyDescent="0.4">
      <c r="AH7352" s="87"/>
    </row>
    <row r="7353" spans="34:34" ht="15" thickBot="1" x14ac:dyDescent="0.4">
      <c r="AH7353" s="87"/>
    </row>
    <row r="7354" spans="34:34" ht="15" thickBot="1" x14ac:dyDescent="0.4">
      <c r="AH7354" s="87"/>
    </row>
    <row r="7355" spans="34:34" ht="15" thickBot="1" x14ac:dyDescent="0.4">
      <c r="AH7355" s="87"/>
    </row>
    <row r="7356" spans="34:34" ht="15" thickBot="1" x14ac:dyDescent="0.4">
      <c r="AH7356" s="87"/>
    </row>
    <row r="7357" spans="34:34" ht="15" thickBot="1" x14ac:dyDescent="0.4">
      <c r="AH7357" s="87"/>
    </row>
    <row r="7358" spans="34:34" ht="15" thickBot="1" x14ac:dyDescent="0.4">
      <c r="AH7358" s="87"/>
    </row>
    <row r="7359" spans="34:34" ht="15" thickBot="1" x14ac:dyDescent="0.4">
      <c r="AH7359" s="87"/>
    </row>
    <row r="7360" spans="34:34" ht="15" thickBot="1" x14ac:dyDescent="0.4">
      <c r="AH7360" s="87"/>
    </row>
    <row r="7361" spans="34:34" ht="15" thickBot="1" x14ac:dyDescent="0.4">
      <c r="AH7361" s="87"/>
    </row>
    <row r="7362" spans="34:34" ht="15" thickBot="1" x14ac:dyDescent="0.4">
      <c r="AH7362" s="87"/>
    </row>
    <row r="7363" spans="34:34" ht="15" thickBot="1" x14ac:dyDescent="0.4">
      <c r="AH7363" s="87"/>
    </row>
    <row r="7364" spans="34:34" ht="15" thickBot="1" x14ac:dyDescent="0.4">
      <c r="AH7364" s="87"/>
    </row>
    <row r="7365" spans="34:34" ht="15" thickBot="1" x14ac:dyDescent="0.4">
      <c r="AH7365" s="87"/>
    </row>
    <row r="7366" spans="34:34" ht="15" thickBot="1" x14ac:dyDescent="0.4">
      <c r="AH7366" s="87"/>
    </row>
    <row r="7367" spans="34:34" ht="15" thickBot="1" x14ac:dyDescent="0.4">
      <c r="AH7367" s="87"/>
    </row>
    <row r="7368" spans="34:34" ht="15" thickBot="1" x14ac:dyDescent="0.4">
      <c r="AH7368" s="87"/>
    </row>
    <row r="7369" spans="34:34" ht="15" thickBot="1" x14ac:dyDescent="0.4">
      <c r="AH7369" s="87"/>
    </row>
    <row r="7370" spans="34:34" ht="15" thickBot="1" x14ac:dyDescent="0.4">
      <c r="AH7370" s="87"/>
    </row>
    <row r="7371" spans="34:34" ht="15" thickBot="1" x14ac:dyDescent="0.4">
      <c r="AH7371" s="87"/>
    </row>
    <row r="7372" spans="34:34" ht="15" thickBot="1" x14ac:dyDescent="0.4">
      <c r="AH7372" s="87"/>
    </row>
    <row r="7373" spans="34:34" ht="15" thickBot="1" x14ac:dyDescent="0.4">
      <c r="AH7373" s="87"/>
    </row>
    <row r="7374" spans="34:34" ht="15" thickBot="1" x14ac:dyDescent="0.4">
      <c r="AH7374" s="87"/>
    </row>
    <row r="7375" spans="34:34" ht="15" thickBot="1" x14ac:dyDescent="0.4">
      <c r="AH7375" s="87"/>
    </row>
    <row r="7376" spans="34:34" ht="15" thickBot="1" x14ac:dyDescent="0.4">
      <c r="AH7376" s="87"/>
    </row>
    <row r="7377" spans="34:34" ht="15" thickBot="1" x14ac:dyDescent="0.4">
      <c r="AH7377" s="87"/>
    </row>
    <row r="7378" spans="34:34" ht="15" thickBot="1" x14ac:dyDescent="0.4">
      <c r="AH7378" s="87"/>
    </row>
    <row r="7379" spans="34:34" ht="15" thickBot="1" x14ac:dyDescent="0.4">
      <c r="AH7379" s="87"/>
    </row>
    <row r="7380" spans="34:34" ht="15" thickBot="1" x14ac:dyDescent="0.4">
      <c r="AH7380" s="87"/>
    </row>
    <row r="7381" spans="34:34" ht="15" thickBot="1" x14ac:dyDescent="0.4">
      <c r="AH7381" s="87"/>
    </row>
    <row r="7382" spans="34:34" ht="15" thickBot="1" x14ac:dyDescent="0.4">
      <c r="AH7382" s="87"/>
    </row>
    <row r="7383" spans="34:34" ht="15" thickBot="1" x14ac:dyDescent="0.4">
      <c r="AH7383" s="87"/>
    </row>
    <row r="7384" spans="34:34" ht="15" thickBot="1" x14ac:dyDescent="0.4">
      <c r="AH7384" s="87"/>
    </row>
    <row r="7385" spans="34:34" ht="15" thickBot="1" x14ac:dyDescent="0.4">
      <c r="AH7385" s="87"/>
    </row>
    <row r="7386" spans="34:34" ht="15" thickBot="1" x14ac:dyDescent="0.4">
      <c r="AH7386" s="87"/>
    </row>
    <row r="7387" spans="34:34" ht="15" thickBot="1" x14ac:dyDescent="0.4">
      <c r="AH7387" s="87"/>
    </row>
    <row r="7388" spans="34:34" ht="15" thickBot="1" x14ac:dyDescent="0.4">
      <c r="AH7388" s="87"/>
    </row>
    <row r="7389" spans="34:34" ht="15" thickBot="1" x14ac:dyDescent="0.4">
      <c r="AH7389" s="87"/>
    </row>
    <row r="7390" spans="34:34" ht="15" thickBot="1" x14ac:dyDescent="0.4">
      <c r="AH7390" s="87"/>
    </row>
    <row r="7391" spans="34:34" ht="15" thickBot="1" x14ac:dyDescent="0.4">
      <c r="AH7391" s="87"/>
    </row>
    <row r="7392" spans="34:34" ht="15" thickBot="1" x14ac:dyDescent="0.4">
      <c r="AH7392" s="87"/>
    </row>
    <row r="7393" spans="34:34" ht="15" thickBot="1" x14ac:dyDescent="0.4">
      <c r="AH7393" s="87"/>
    </row>
    <row r="7394" spans="34:34" ht="15" thickBot="1" x14ac:dyDescent="0.4">
      <c r="AH7394" s="87"/>
    </row>
    <row r="7395" spans="34:34" ht="15" thickBot="1" x14ac:dyDescent="0.4">
      <c r="AH7395" s="87"/>
    </row>
    <row r="7396" spans="34:34" ht="15" thickBot="1" x14ac:dyDescent="0.4">
      <c r="AH7396" s="87"/>
    </row>
    <row r="7397" spans="34:34" ht="15" thickBot="1" x14ac:dyDescent="0.4">
      <c r="AH7397" s="87"/>
    </row>
    <row r="7398" spans="34:34" ht="15" thickBot="1" x14ac:dyDescent="0.4">
      <c r="AH7398" s="87"/>
    </row>
    <row r="7399" spans="34:34" ht="15" thickBot="1" x14ac:dyDescent="0.4">
      <c r="AH7399" s="87"/>
    </row>
    <row r="7400" spans="34:34" ht="15" thickBot="1" x14ac:dyDescent="0.4">
      <c r="AH7400" s="87"/>
    </row>
    <row r="7401" spans="34:34" ht="15" thickBot="1" x14ac:dyDescent="0.4">
      <c r="AH7401" s="87"/>
    </row>
    <row r="7402" spans="34:34" ht="15" thickBot="1" x14ac:dyDescent="0.4">
      <c r="AH7402" s="87"/>
    </row>
    <row r="7403" spans="34:34" ht="15" thickBot="1" x14ac:dyDescent="0.4">
      <c r="AH7403" s="87"/>
    </row>
    <row r="7404" spans="34:34" ht="15" thickBot="1" x14ac:dyDescent="0.4">
      <c r="AH7404" s="87"/>
    </row>
    <row r="7405" spans="34:34" ht="15" thickBot="1" x14ac:dyDescent="0.4">
      <c r="AH7405" s="87"/>
    </row>
    <row r="7406" spans="34:34" ht="15" thickBot="1" x14ac:dyDescent="0.4">
      <c r="AH7406" s="87"/>
    </row>
    <row r="7407" spans="34:34" ht="15" thickBot="1" x14ac:dyDescent="0.4">
      <c r="AH7407" s="87"/>
    </row>
    <row r="7408" spans="34:34" ht="15" thickBot="1" x14ac:dyDescent="0.4">
      <c r="AH7408" s="87"/>
    </row>
    <row r="7409" spans="34:34" ht="15" thickBot="1" x14ac:dyDescent="0.4">
      <c r="AH7409" s="87"/>
    </row>
    <row r="7410" spans="34:34" ht="15" thickBot="1" x14ac:dyDescent="0.4">
      <c r="AH7410" s="87"/>
    </row>
    <row r="7411" spans="34:34" ht="15" thickBot="1" x14ac:dyDescent="0.4">
      <c r="AH7411" s="87"/>
    </row>
    <row r="7412" spans="34:34" ht="15" thickBot="1" x14ac:dyDescent="0.4">
      <c r="AH7412" s="87"/>
    </row>
    <row r="7413" spans="34:34" ht="15" thickBot="1" x14ac:dyDescent="0.4">
      <c r="AH7413" s="87"/>
    </row>
    <row r="7414" spans="34:34" ht="15" thickBot="1" x14ac:dyDescent="0.4">
      <c r="AH7414" s="87"/>
    </row>
    <row r="7415" spans="34:34" ht="15" thickBot="1" x14ac:dyDescent="0.4">
      <c r="AH7415" s="87"/>
    </row>
    <row r="7416" spans="34:34" ht="15" thickBot="1" x14ac:dyDescent="0.4">
      <c r="AH7416" s="87"/>
    </row>
    <row r="7417" spans="34:34" ht="15" thickBot="1" x14ac:dyDescent="0.4">
      <c r="AH7417" s="87"/>
    </row>
    <row r="7418" spans="34:34" ht="15" thickBot="1" x14ac:dyDescent="0.4">
      <c r="AH7418" s="87"/>
    </row>
    <row r="7419" spans="34:34" ht="15" thickBot="1" x14ac:dyDescent="0.4">
      <c r="AH7419" s="87"/>
    </row>
    <row r="7420" spans="34:34" ht="15" thickBot="1" x14ac:dyDescent="0.4">
      <c r="AH7420" s="87"/>
    </row>
    <row r="7421" spans="34:34" ht="15" thickBot="1" x14ac:dyDescent="0.4">
      <c r="AH7421" s="87"/>
    </row>
    <row r="7422" spans="34:34" ht="15" thickBot="1" x14ac:dyDescent="0.4">
      <c r="AH7422" s="87"/>
    </row>
    <row r="7423" spans="34:34" ht="15" thickBot="1" x14ac:dyDescent="0.4">
      <c r="AH7423" s="87"/>
    </row>
    <row r="7424" spans="34:34" ht="15" thickBot="1" x14ac:dyDescent="0.4">
      <c r="AH7424" s="87"/>
    </row>
    <row r="7425" spans="34:34" ht="15" thickBot="1" x14ac:dyDescent="0.4">
      <c r="AH7425" s="87"/>
    </row>
    <row r="7426" spans="34:34" ht="15" thickBot="1" x14ac:dyDescent="0.4">
      <c r="AH7426" s="87"/>
    </row>
    <row r="7427" spans="34:34" ht="15" thickBot="1" x14ac:dyDescent="0.4">
      <c r="AH7427" s="87"/>
    </row>
    <row r="7428" spans="34:34" ht="15" thickBot="1" x14ac:dyDescent="0.4">
      <c r="AH7428" s="87"/>
    </row>
    <row r="7429" spans="34:34" ht="15" thickBot="1" x14ac:dyDescent="0.4">
      <c r="AH7429" s="87"/>
    </row>
    <row r="7430" spans="34:34" ht="15" thickBot="1" x14ac:dyDescent="0.4">
      <c r="AH7430" s="87"/>
    </row>
    <row r="7431" spans="34:34" ht="15" thickBot="1" x14ac:dyDescent="0.4">
      <c r="AH7431" s="87"/>
    </row>
    <row r="7432" spans="34:34" ht="15" thickBot="1" x14ac:dyDescent="0.4">
      <c r="AH7432" s="87"/>
    </row>
    <row r="7433" spans="34:34" ht="15" thickBot="1" x14ac:dyDescent="0.4">
      <c r="AH7433" s="87"/>
    </row>
    <row r="7434" spans="34:34" ht="15" thickBot="1" x14ac:dyDescent="0.4">
      <c r="AH7434" s="87"/>
    </row>
    <row r="7435" spans="34:34" ht="15" thickBot="1" x14ac:dyDescent="0.4">
      <c r="AH7435" s="87"/>
    </row>
    <row r="7436" spans="34:34" ht="15" thickBot="1" x14ac:dyDescent="0.4">
      <c r="AH7436" s="87"/>
    </row>
    <row r="7437" spans="34:34" ht="15" thickBot="1" x14ac:dyDescent="0.4">
      <c r="AH7437" s="87"/>
    </row>
    <row r="7438" spans="34:34" ht="15" thickBot="1" x14ac:dyDescent="0.4">
      <c r="AH7438" s="87"/>
    </row>
    <row r="7439" spans="34:34" ht="15" thickBot="1" x14ac:dyDescent="0.4">
      <c r="AH7439" s="87"/>
    </row>
    <row r="7440" spans="34:34" ht="15" thickBot="1" x14ac:dyDescent="0.4">
      <c r="AH7440" s="87"/>
    </row>
    <row r="7441" spans="34:34" ht="15" thickBot="1" x14ac:dyDescent="0.4">
      <c r="AH7441" s="87"/>
    </row>
    <row r="7442" spans="34:34" ht="15" thickBot="1" x14ac:dyDescent="0.4">
      <c r="AH7442" s="87"/>
    </row>
    <row r="7443" spans="34:34" ht="15" thickBot="1" x14ac:dyDescent="0.4">
      <c r="AH7443" s="87"/>
    </row>
    <row r="7444" spans="34:34" ht="15" thickBot="1" x14ac:dyDescent="0.4">
      <c r="AH7444" s="87"/>
    </row>
    <row r="7445" spans="34:34" ht="15" thickBot="1" x14ac:dyDescent="0.4">
      <c r="AH7445" s="87"/>
    </row>
    <row r="7446" spans="34:34" ht="15" thickBot="1" x14ac:dyDescent="0.4">
      <c r="AH7446" s="87"/>
    </row>
    <row r="7447" spans="34:34" ht="15" thickBot="1" x14ac:dyDescent="0.4">
      <c r="AH7447" s="87"/>
    </row>
    <row r="7448" spans="34:34" ht="15" thickBot="1" x14ac:dyDescent="0.4">
      <c r="AH7448" s="87"/>
    </row>
    <row r="7449" spans="34:34" ht="15" thickBot="1" x14ac:dyDescent="0.4">
      <c r="AH7449" s="87"/>
    </row>
    <row r="7450" spans="34:34" ht="15" thickBot="1" x14ac:dyDescent="0.4">
      <c r="AH7450" s="87"/>
    </row>
    <row r="7451" spans="34:34" ht="15" thickBot="1" x14ac:dyDescent="0.4">
      <c r="AH7451" s="87"/>
    </row>
    <row r="7452" spans="34:34" ht="15" thickBot="1" x14ac:dyDescent="0.4">
      <c r="AH7452" s="87"/>
    </row>
    <row r="7453" spans="34:34" ht="15" thickBot="1" x14ac:dyDescent="0.4">
      <c r="AH7453" s="87"/>
    </row>
    <row r="7454" spans="34:34" ht="15" thickBot="1" x14ac:dyDescent="0.4">
      <c r="AH7454" s="87"/>
    </row>
    <row r="7455" spans="34:34" ht="15" thickBot="1" x14ac:dyDescent="0.4">
      <c r="AH7455" s="87"/>
    </row>
    <row r="7456" spans="34:34" ht="15" thickBot="1" x14ac:dyDescent="0.4">
      <c r="AH7456" s="87"/>
    </row>
    <row r="7457" spans="34:34" ht="15" thickBot="1" x14ac:dyDescent="0.4">
      <c r="AH7457" s="87"/>
    </row>
    <row r="7458" spans="34:34" ht="15" thickBot="1" x14ac:dyDescent="0.4">
      <c r="AH7458" s="87"/>
    </row>
    <row r="7459" spans="34:34" ht="15" thickBot="1" x14ac:dyDescent="0.4">
      <c r="AH7459" s="87"/>
    </row>
    <row r="7460" spans="34:34" ht="15" thickBot="1" x14ac:dyDescent="0.4">
      <c r="AH7460" s="87"/>
    </row>
    <row r="7461" spans="34:34" ht="15" thickBot="1" x14ac:dyDescent="0.4">
      <c r="AH7461" s="87"/>
    </row>
    <row r="7462" spans="34:34" ht="15" thickBot="1" x14ac:dyDescent="0.4">
      <c r="AH7462" s="87"/>
    </row>
    <row r="7463" spans="34:34" ht="15" thickBot="1" x14ac:dyDescent="0.4">
      <c r="AH7463" s="87"/>
    </row>
    <row r="7464" spans="34:34" ht="15" thickBot="1" x14ac:dyDescent="0.4">
      <c r="AH7464" s="87"/>
    </row>
    <row r="7465" spans="34:34" ht="15" thickBot="1" x14ac:dyDescent="0.4">
      <c r="AH7465" s="87"/>
    </row>
    <row r="7466" spans="34:34" ht="15" thickBot="1" x14ac:dyDescent="0.4">
      <c r="AH7466" s="87"/>
    </row>
    <row r="7467" spans="34:34" ht="15" thickBot="1" x14ac:dyDescent="0.4">
      <c r="AH7467" s="87"/>
    </row>
    <row r="7468" spans="34:34" ht="15" thickBot="1" x14ac:dyDescent="0.4">
      <c r="AH7468" s="87"/>
    </row>
    <row r="7469" spans="34:34" ht="15" thickBot="1" x14ac:dyDescent="0.4">
      <c r="AH7469" s="87"/>
    </row>
    <row r="7470" spans="34:34" ht="15" thickBot="1" x14ac:dyDescent="0.4">
      <c r="AH7470" s="87"/>
    </row>
    <row r="7471" spans="34:34" ht="15" thickBot="1" x14ac:dyDescent="0.4">
      <c r="AH7471" s="87"/>
    </row>
    <row r="7472" spans="34:34" ht="15" thickBot="1" x14ac:dyDescent="0.4">
      <c r="AH7472" s="87"/>
    </row>
    <row r="7473" spans="34:34" ht="15" thickBot="1" x14ac:dyDescent="0.4">
      <c r="AH7473" s="87"/>
    </row>
    <row r="7474" spans="34:34" ht="15" thickBot="1" x14ac:dyDescent="0.4">
      <c r="AH7474" s="87"/>
    </row>
    <row r="7475" spans="34:34" ht="15" thickBot="1" x14ac:dyDescent="0.4">
      <c r="AH7475" s="87"/>
    </row>
    <row r="7476" spans="34:34" ht="15" thickBot="1" x14ac:dyDescent="0.4">
      <c r="AH7476" s="87"/>
    </row>
    <row r="7477" spans="34:34" ht="15" thickBot="1" x14ac:dyDescent="0.4">
      <c r="AH7477" s="87"/>
    </row>
    <row r="7478" spans="34:34" ht="15" thickBot="1" x14ac:dyDescent="0.4">
      <c r="AH7478" s="87"/>
    </row>
    <row r="7479" spans="34:34" ht="15" thickBot="1" x14ac:dyDescent="0.4">
      <c r="AH7479" s="87"/>
    </row>
    <row r="7480" spans="34:34" ht="15" thickBot="1" x14ac:dyDescent="0.4">
      <c r="AH7480" s="87"/>
    </row>
    <row r="7481" spans="34:34" ht="15" thickBot="1" x14ac:dyDescent="0.4">
      <c r="AH7481" s="87"/>
    </row>
    <row r="7482" spans="34:34" ht="15" thickBot="1" x14ac:dyDescent="0.4">
      <c r="AH7482" s="87"/>
    </row>
    <row r="7483" spans="34:34" ht="15" thickBot="1" x14ac:dyDescent="0.4">
      <c r="AH7483" s="87"/>
    </row>
    <row r="7484" spans="34:34" ht="15" thickBot="1" x14ac:dyDescent="0.4">
      <c r="AH7484" s="87"/>
    </row>
    <row r="7485" spans="34:34" ht="15" thickBot="1" x14ac:dyDescent="0.4">
      <c r="AH7485" s="87"/>
    </row>
    <row r="7486" spans="34:34" ht="15" thickBot="1" x14ac:dyDescent="0.4">
      <c r="AH7486" s="87"/>
    </row>
    <row r="7487" spans="34:34" ht="15" thickBot="1" x14ac:dyDescent="0.4">
      <c r="AH7487" s="87"/>
    </row>
    <row r="7488" spans="34:34" ht="15" thickBot="1" x14ac:dyDescent="0.4">
      <c r="AH7488" s="87"/>
    </row>
    <row r="7489" spans="34:34" ht="15" thickBot="1" x14ac:dyDescent="0.4">
      <c r="AH7489" s="87"/>
    </row>
    <row r="7490" spans="34:34" ht="15" thickBot="1" x14ac:dyDescent="0.4">
      <c r="AH7490" s="87"/>
    </row>
    <row r="7491" spans="34:34" ht="15" thickBot="1" x14ac:dyDescent="0.4">
      <c r="AH7491" s="87"/>
    </row>
    <row r="7492" spans="34:34" ht="15" thickBot="1" x14ac:dyDescent="0.4">
      <c r="AH7492" s="87"/>
    </row>
    <row r="7493" spans="34:34" ht="15" thickBot="1" x14ac:dyDescent="0.4">
      <c r="AH7493" s="87"/>
    </row>
    <row r="7494" spans="34:34" ht="15" thickBot="1" x14ac:dyDescent="0.4">
      <c r="AH7494" s="87"/>
    </row>
    <row r="7495" spans="34:34" ht="15" thickBot="1" x14ac:dyDescent="0.4">
      <c r="AH7495" s="87"/>
    </row>
    <row r="7496" spans="34:34" ht="15" thickBot="1" x14ac:dyDescent="0.4">
      <c r="AH7496" s="87"/>
    </row>
    <row r="7497" spans="34:34" ht="15" thickBot="1" x14ac:dyDescent="0.4">
      <c r="AH7497" s="87"/>
    </row>
    <row r="7498" spans="34:34" ht="15" thickBot="1" x14ac:dyDescent="0.4">
      <c r="AH7498" s="87"/>
    </row>
    <row r="7499" spans="34:34" ht="15" thickBot="1" x14ac:dyDescent="0.4">
      <c r="AH7499" s="87"/>
    </row>
    <row r="7500" spans="34:34" ht="15" thickBot="1" x14ac:dyDescent="0.4">
      <c r="AH7500" s="87"/>
    </row>
    <row r="7501" spans="34:34" ht="15" thickBot="1" x14ac:dyDescent="0.4">
      <c r="AH7501" s="87"/>
    </row>
    <row r="7502" spans="34:34" ht="15" thickBot="1" x14ac:dyDescent="0.4">
      <c r="AH7502" s="87"/>
    </row>
    <row r="7503" spans="34:34" ht="15" thickBot="1" x14ac:dyDescent="0.4">
      <c r="AH7503" s="87"/>
    </row>
    <row r="7504" spans="34:34" ht="15" thickBot="1" x14ac:dyDescent="0.4">
      <c r="AH7504" s="87"/>
    </row>
    <row r="7505" spans="34:34" ht="15" thickBot="1" x14ac:dyDescent="0.4">
      <c r="AH7505" s="87"/>
    </row>
    <row r="7506" spans="34:34" ht="15" thickBot="1" x14ac:dyDescent="0.4">
      <c r="AH7506" s="87"/>
    </row>
    <row r="7507" spans="34:34" ht="15" thickBot="1" x14ac:dyDescent="0.4">
      <c r="AH7507" s="87"/>
    </row>
    <row r="7508" spans="34:34" ht="15" thickBot="1" x14ac:dyDescent="0.4">
      <c r="AH7508" s="87"/>
    </row>
    <row r="7509" spans="34:34" ht="15" thickBot="1" x14ac:dyDescent="0.4">
      <c r="AH7509" s="87"/>
    </row>
    <row r="7510" spans="34:34" ht="15" thickBot="1" x14ac:dyDescent="0.4">
      <c r="AH7510" s="87"/>
    </row>
    <row r="7511" spans="34:34" ht="15" thickBot="1" x14ac:dyDescent="0.4">
      <c r="AH7511" s="87"/>
    </row>
    <row r="7512" spans="34:34" ht="15" thickBot="1" x14ac:dyDescent="0.4">
      <c r="AH7512" s="87"/>
    </row>
    <row r="7513" spans="34:34" ht="15" thickBot="1" x14ac:dyDescent="0.4">
      <c r="AH7513" s="87"/>
    </row>
    <row r="7514" spans="34:34" ht="15" thickBot="1" x14ac:dyDescent="0.4">
      <c r="AH7514" s="87"/>
    </row>
    <row r="7515" spans="34:34" ht="15" thickBot="1" x14ac:dyDescent="0.4">
      <c r="AH7515" s="87"/>
    </row>
    <row r="7516" spans="34:34" ht="15" thickBot="1" x14ac:dyDescent="0.4">
      <c r="AH7516" s="87"/>
    </row>
    <row r="7517" spans="34:34" ht="15" thickBot="1" x14ac:dyDescent="0.4">
      <c r="AH7517" s="87"/>
    </row>
    <row r="7518" spans="34:34" ht="15" thickBot="1" x14ac:dyDescent="0.4">
      <c r="AH7518" s="87"/>
    </row>
    <row r="7519" spans="34:34" ht="15" thickBot="1" x14ac:dyDescent="0.4">
      <c r="AH7519" s="87"/>
    </row>
    <row r="7520" spans="34:34" ht="15" thickBot="1" x14ac:dyDescent="0.4">
      <c r="AH7520" s="87"/>
    </row>
    <row r="7521" spans="34:34" ht="15" thickBot="1" x14ac:dyDescent="0.4">
      <c r="AH7521" s="87"/>
    </row>
    <row r="7522" spans="34:34" ht="15" thickBot="1" x14ac:dyDescent="0.4">
      <c r="AH7522" s="87"/>
    </row>
    <row r="7523" spans="34:34" ht="15" thickBot="1" x14ac:dyDescent="0.4">
      <c r="AH7523" s="87"/>
    </row>
    <row r="7524" spans="34:34" ht="15" thickBot="1" x14ac:dyDescent="0.4">
      <c r="AH7524" s="87"/>
    </row>
    <row r="7525" spans="34:34" ht="15" thickBot="1" x14ac:dyDescent="0.4">
      <c r="AH7525" s="87"/>
    </row>
    <row r="7526" spans="34:34" ht="15" thickBot="1" x14ac:dyDescent="0.4">
      <c r="AH7526" s="87"/>
    </row>
    <row r="7527" spans="34:34" ht="15" thickBot="1" x14ac:dyDescent="0.4">
      <c r="AH7527" s="87"/>
    </row>
    <row r="7528" spans="34:34" ht="15" thickBot="1" x14ac:dyDescent="0.4">
      <c r="AH7528" s="87"/>
    </row>
    <row r="7529" spans="34:34" ht="15" thickBot="1" x14ac:dyDescent="0.4">
      <c r="AH7529" s="87"/>
    </row>
    <row r="7530" spans="34:34" ht="15" thickBot="1" x14ac:dyDescent="0.4">
      <c r="AH7530" s="87"/>
    </row>
    <row r="7531" spans="34:34" ht="15" thickBot="1" x14ac:dyDescent="0.4">
      <c r="AH7531" s="87"/>
    </row>
    <row r="7532" spans="34:34" ht="15" thickBot="1" x14ac:dyDescent="0.4">
      <c r="AH7532" s="87"/>
    </row>
    <row r="7533" spans="34:34" ht="15" thickBot="1" x14ac:dyDescent="0.4">
      <c r="AH7533" s="87"/>
    </row>
    <row r="7534" spans="34:34" ht="15" thickBot="1" x14ac:dyDescent="0.4">
      <c r="AH7534" s="87"/>
    </row>
    <row r="7535" spans="34:34" ht="15" thickBot="1" x14ac:dyDescent="0.4">
      <c r="AH7535" s="87"/>
    </row>
    <row r="7536" spans="34:34" ht="15" thickBot="1" x14ac:dyDescent="0.4">
      <c r="AH7536" s="87"/>
    </row>
    <row r="7537" spans="34:34" ht="15" thickBot="1" x14ac:dyDescent="0.4">
      <c r="AH7537" s="87"/>
    </row>
    <row r="7538" spans="34:34" ht="15" thickBot="1" x14ac:dyDescent="0.4">
      <c r="AH7538" s="87"/>
    </row>
    <row r="7539" spans="34:34" ht="15" thickBot="1" x14ac:dyDescent="0.4">
      <c r="AH7539" s="87"/>
    </row>
    <row r="7540" spans="34:34" ht="15" thickBot="1" x14ac:dyDescent="0.4">
      <c r="AH7540" s="87"/>
    </row>
    <row r="7541" spans="34:34" ht="15" thickBot="1" x14ac:dyDescent="0.4">
      <c r="AH7541" s="87"/>
    </row>
    <row r="7542" spans="34:34" ht="15" thickBot="1" x14ac:dyDescent="0.4">
      <c r="AH7542" s="87"/>
    </row>
    <row r="7543" spans="34:34" ht="15" thickBot="1" x14ac:dyDescent="0.4">
      <c r="AH7543" s="87"/>
    </row>
    <row r="7544" spans="34:34" ht="15" thickBot="1" x14ac:dyDescent="0.4">
      <c r="AH7544" s="87"/>
    </row>
    <row r="7545" spans="34:34" ht="15" thickBot="1" x14ac:dyDescent="0.4">
      <c r="AH7545" s="87"/>
    </row>
    <row r="7546" spans="34:34" ht="15" thickBot="1" x14ac:dyDescent="0.4">
      <c r="AH7546" s="87"/>
    </row>
    <row r="7547" spans="34:34" ht="15" thickBot="1" x14ac:dyDescent="0.4">
      <c r="AH7547" s="87"/>
    </row>
    <row r="7548" spans="34:34" ht="15" thickBot="1" x14ac:dyDescent="0.4">
      <c r="AH7548" s="87"/>
    </row>
    <row r="7549" spans="34:34" ht="15" thickBot="1" x14ac:dyDescent="0.4">
      <c r="AH7549" s="87"/>
    </row>
    <row r="7550" spans="34:34" ht="15" thickBot="1" x14ac:dyDescent="0.4">
      <c r="AH7550" s="87"/>
    </row>
    <row r="7551" spans="34:34" ht="15" thickBot="1" x14ac:dyDescent="0.4">
      <c r="AH7551" s="87"/>
    </row>
    <row r="7552" spans="34:34" ht="15" thickBot="1" x14ac:dyDescent="0.4">
      <c r="AH7552" s="87"/>
    </row>
    <row r="7553" spans="34:34" ht="15" thickBot="1" x14ac:dyDescent="0.4">
      <c r="AH7553" s="87"/>
    </row>
    <row r="7554" spans="34:34" ht="15" thickBot="1" x14ac:dyDescent="0.4">
      <c r="AH7554" s="87"/>
    </row>
    <row r="7555" spans="34:34" ht="15" thickBot="1" x14ac:dyDescent="0.4">
      <c r="AH7555" s="87"/>
    </row>
    <row r="7556" spans="34:34" ht="15" thickBot="1" x14ac:dyDescent="0.4">
      <c r="AH7556" s="87"/>
    </row>
    <row r="7557" spans="34:34" ht="15" thickBot="1" x14ac:dyDescent="0.4">
      <c r="AH7557" s="87"/>
    </row>
    <row r="7558" spans="34:34" ht="15" thickBot="1" x14ac:dyDescent="0.4">
      <c r="AH7558" s="87"/>
    </row>
    <row r="7559" spans="34:34" ht="15" thickBot="1" x14ac:dyDescent="0.4">
      <c r="AH7559" s="87"/>
    </row>
    <row r="7560" spans="34:34" ht="15" thickBot="1" x14ac:dyDescent="0.4">
      <c r="AH7560" s="87"/>
    </row>
    <row r="7561" spans="34:34" ht="15" thickBot="1" x14ac:dyDescent="0.4">
      <c r="AH7561" s="87"/>
    </row>
    <row r="7562" spans="34:34" ht="15" thickBot="1" x14ac:dyDescent="0.4">
      <c r="AH7562" s="87"/>
    </row>
    <row r="7563" spans="34:34" ht="15" thickBot="1" x14ac:dyDescent="0.4">
      <c r="AH7563" s="87"/>
    </row>
    <row r="7564" spans="34:34" ht="15" thickBot="1" x14ac:dyDescent="0.4">
      <c r="AH7564" s="87"/>
    </row>
    <row r="7565" spans="34:34" ht="15" thickBot="1" x14ac:dyDescent="0.4">
      <c r="AH7565" s="87"/>
    </row>
    <row r="7566" spans="34:34" ht="15" thickBot="1" x14ac:dyDescent="0.4">
      <c r="AH7566" s="87"/>
    </row>
    <row r="7567" spans="34:34" ht="15" thickBot="1" x14ac:dyDescent="0.4">
      <c r="AH7567" s="87"/>
    </row>
    <row r="7568" spans="34:34" ht="15" thickBot="1" x14ac:dyDescent="0.4">
      <c r="AH7568" s="87"/>
    </row>
    <row r="7569" spans="34:34" ht="15" thickBot="1" x14ac:dyDescent="0.4">
      <c r="AH7569" s="87"/>
    </row>
    <row r="7570" spans="34:34" ht="15" thickBot="1" x14ac:dyDescent="0.4">
      <c r="AH7570" s="87"/>
    </row>
    <row r="7571" spans="34:34" ht="15" thickBot="1" x14ac:dyDescent="0.4">
      <c r="AH7571" s="87"/>
    </row>
    <row r="7572" spans="34:34" ht="15" thickBot="1" x14ac:dyDescent="0.4">
      <c r="AH7572" s="87"/>
    </row>
    <row r="7573" spans="34:34" ht="15" thickBot="1" x14ac:dyDescent="0.4">
      <c r="AH7573" s="87"/>
    </row>
    <row r="7574" spans="34:34" ht="15" thickBot="1" x14ac:dyDescent="0.4">
      <c r="AH7574" s="87"/>
    </row>
    <row r="7575" spans="34:34" ht="15" thickBot="1" x14ac:dyDescent="0.4">
      <c r="AH7575" s="87"/>
    </row>
    <row r="7576" spans="34:34" ht="15" thickBot="1" x14ac:dyDescent="0.4">
      <c r="AH7576" s="87"/>
    </row>
    <row r="7577" spans="34:34" ht="15" thickBot="1" x14ac:dyDescent="0.4">
      <c r="AH7577" s="87"/>
    </row>
    <row r="7578" spans="34:34" ht="15" thickBot="1" x14ac:dyDescent="0.4">
      <c r="AH7578" s="87"/>
    </row>
    <row r="7579" spans="34:34" ht="15" thickBot="1" x14ac:dyDescent="0.4">
      <c r="AH7579" s="87"/>
    </row>
    <row r="7580" spans="34:34" ht="15" thickBot="1" x14ac:dyDescent="0.4">
      <c r="AH7580" s="87"/>
    </row>
    <row r="7581" spans="34:34" ht="15" thickBot="1" x14ac:dyDescent="0.4">
      <c r="AH7581" s="87"/>
    </row>
    <row r="7582" spans="34:34" ht="15" thickBot="1" x14ac:dyDescent="0.4">
      <c r="AH7582" s="87"/>
    </row>
    <row r="7583" spans="34:34" ht="15" thickBot="1" x14ac:dyDescent="0.4">
      <c r="AH7583" s="87"/>
    </row>
    <row r="7584" spans="34:34" ht="15" thickBot="1" x14ac:dyDescent="0.4">
      <c r="AH7584" s="87"/>
    </row>
    <row r="7585" spans="34:34" ht="15" thickBot="1" x14ac:dyDescent="0.4">
      <c r="AH7585" s="87"/>
    </row>
    <row r="7586" spans="34:34" ht="15" thickBot="1" x14ac:dyDescent="0.4">
      <c r="AH7586" s="87"/>
    </row>
    <row r="7587" spans="34:34" ht="15" thickBot="1" x14ac:dyDescent="0.4">
      <c r="AH7587" s="87"/>
    </row>
    <row r="7588" spans="34:34" ht="15" thickBot="1" x14ac:dyDescent="0.4">
      <c r="AH7588" s="87"/>
    </row>
    <row r="7589" spans="34:34" ht="15" thickBot="1" x14ac:dyDescent="0.4">
      <c r="AH7589" s="87"/>
    </row>
    <row r="7590" spans="34:34" ht="15" thickBot="1" x14ac:dyDescent="0.4">
      <c r="AH7590" s="87"/>
    </row>
    <row r="7591" spans="34:34" ht="15" thickBot="1" x14ac:dyDescent="0.4">
      <c r="AH7591" s="87"/>
    </row>
    <row r="7592" spans="34:34" ht="15" thickBot="1" x14ac:dyDescent="0.4">
      <c r="AH7592" s="87"/>
    </row>
    <row r="7593" spans="34:34" ht="15" thickBot="1" x14ac:dyDescent="0.4">
      <c r="AH7593" s="87"/>
    </row>
    <row r="7594" spans="34:34" ht="15" thickBot="1" x14ac:dyDescent="0.4">
      <c r="AH7594" s="87"/>
    </row>
    <row r="7595" spans="34:34" ht="15" thickBot="1" x14ac:dyDescent="0.4">
      <c r="AH7595" s="87"/>
    </row>
    <row r="7596" spans="34:34" ht="15" thickBot="1" x14ac:dyDescent="0.4">
      <c r="AH7596" s="87"/>
    </row>
    <row r="7597" spans="34:34" ht="15" thickBot="1" x14ac:dyDescent="0.4">
      <c r="AH7597" s="87"/>
    </row>
    <row r="7598" spans="34:34" ht="15" thickBot="1" x14ac:dyDescent="0.4">
      <c r="AH7598" s="87"/>
    </row>
    <row r="7599" spans="34:34" ht="15" thickBot="1" x14ac:dyDescent="0.4">
      <c r="AH7599" s="87"/>
    </row>
    <row r="7600" spans="34:34" ht="15" thickBot="1" x14ac:dyDescent="0.4">
      <c r="AH7600" s="87"/>
    </row>
    <row r="7601" spans="34:34" ht="15" thickBot="1" x14ac:dyDescent="0.4">
      <c r="AH7601" s="87"/>
    </row>
    <row r="7602" spans="34:34" ht="15" thickBot="1" x14ac:dyDescent="0.4">
      <c r="AH7602" s="87"/>
    </row>
    <row r="7603" spans="34:34" ht="15" thickBot="1" x14ac:dyDescent="0.4">
      <c r="AH7603" s="87"/>
    </row>
    <row r="7604" spans="34:34" ht="15" thickBot="1" x14ac:dyDescent="0.4">
      <c r="AH7604" s="87"/>
    </row>
    <row r="7605" spans="34:34" ht="15" thickBot="1" x14ac:dyDescent="0.4">
      <c r="AH7605" s="87"/>
    </row>
    <row r="7606" spans="34:34" ht="15" thickBot="1" x14ac:dyDescent="0.4">
      <c r="AH7606" s="87"/>
    </row>
    <row r="7607" spans="34:34" ht="15" thickBot="1" x14ac:dyDescent="0.4">
      <c r="AH7607" s="87"/>
    </row>
    <row r="7608" spans="34:34" ht="15" thickBot="1" x14ac:dyDescent="0.4">
      <c r="AH7608" s="87"/>
    </row>
    <row r="7609" spans="34:34" ht="15" thickBot="1" x14ac:dyDescent="0.4">
      <c r="AH7609" s="87"/>
    </row>
    <row r="7610" spans="34:34" ht="15" thickBot="1" x14ac:dyDescent="0.4">
      <c r="AH7610" s="87"/>
    </row>
    <row r="7611" spans="34:34" ht="15" thickBot="1" x14ac:dyDescent="0.4">
      <c r="AH7611" s="87"/>
    </row>
    <row r="7612" spans="34:34" ht="15" thickBot="1" x14ac:dyDescent="0.4">
      <c r="AH7612" s="87"/>
    </row>
    <row r="7613" spans="34:34" ht="15" thickBot="1" x14ac:dyDescent="0.4">
      <c r="AH7613" s="87"/>
    </row>
    <row r="7614" spans="34:34" ht="15" thickBot="1" x14ac:dyDescent="0.4">
      <c r="AH7614" s="87"/>
    </row>
    <row r="7615" spans="34:34" ht="15" thickBot="1" x14ac:dyDescent="0.4">
      <c r="AH7615" s="87"/>
    </row>
    <row r="7616" spans="34:34" ht="15" thickBot="1" x14ac:dyDescent="0.4">
      <c r="AH7616" s="87"/>
    </row>
    <row r="7617" spans="34:34" ht="15" thickBot="1" x14ac:dyDescent="0.4">
      <c r="AH7617" s="87"/>
    </row>
    <row r="7618" spans="34:34" ht="15" thickBot="1" x14ac:dyDescent="0.4">
      <c r="AH7618" s="87"/>
    </row>
    <row r="7619" spans="34:34" ht="15" thickBot="1" x14ac:dyDescent="0.4">
      <c r="AH7619" s="87"/>
    </row>
    <row r="7620" spans="34:34" ht="15" thickBot="1" x14ac:dyDescent="0.4">
      <c r="AH7620" s="87"/>
    </row>
    <row r="7621" spans="34:34" ht="15" thickBot="1" x14ac:dyDescent="0.4">
      <c r="AH7621" s="87"/>
    </row>
    <row r="7622" spans="34:34" ht="15" thickBot="1" x14ac:dyDescent="0.4">
      <c r="AH7622" s="87"/>
    </row>
    <row r="7623" spans="34:34" ht="15" thickBot="1" x14ac:dyDescent="0.4">
      <c r="AH7623" s="87"/>
    </row>
    <row r="7624" spans="34:34" ht="15" thickBot="1" x14ac:dyDescent="0.4">
      <c r="AH7624" s="87"/>
    </row>
    <row r="7625" spans="34:34" ht="15" thickBot="1" x14ac:dyDescent="0.4">
      <c r="AH7625" s="87"/>
    </row>
    <row r="7626" spans="34:34" ht="15" thickBot="1" x14ac:dyDescent="0.4">
      <c r="AH7626" s="87"/>
    </row>
    <row r="7627" spans="34:34" ht="15" thickBot="1" x14ac:dyDescent="0.4">
      <c r="AH7627" s="87"/>
    </row>
    <row r="7628" spans="34:34" ht="15" thickBot="1" x14ac:dyDescent="0.4">
      <c r="AH7628" s="87"/>
    </row>
    <row r="7629" spans="34:34" ht="15" thickBot="1" x14ac:dyDescent="0.4">
      <c r="AH7629" s="87"/>
    </row>
    <row r="7630" spans="34:34" ht="15" thickBot="1" x14ac:dyDescent="0.4">
      <c r="AH7630" s="87"/>
    </row>
    <row r="7631" spans="34:34" ht="15" thickBot="1" x14ac:dyDescent="0.4">
      <c r="AH7631" s="87"/>
    </row>
    <row r="7632" spans="34:34" ht="15" thickBot="1" x14ac:dyDescent="0.4">
      <c r="AH7632" s="87"/>
    </row>
    <row r="7633" spans="34:34" ht="15" thickBot="1" x14ac:dyDescent="0.4">
      <c r="AH7633" s="87"/>
    </row>
    <row r="7634" spans="34:34" ht="15" thickBot="1" x14ac:dyDescent="0.4">
      <c r="AH7634" s="87"/>
    </row>
    <row r="7635" spans="34:34" ht="15" thickBot="1" x14ac:dyDescent="0.4">
      <c r="AH7635" s="87"/>
    </row>
    <row r="7636" spans="34:34" ht="15" thickBot="1" x14ac:dyDescent="0.4">
      <c r="AH7636" s="87"/>
    </row>
    <row r="7637" spans="34:34" ht="15" thickBot="1" x14ac:dyDescent="0.4">
      <c r="AH7637" s="87"/>
    </row>
    <row r="7638" spans="34:34" ht="15" thickBot="1" x14ac:dyDescent="0.4">
      <c r="AH7638" s="87"/>
    </row>
    <row r="7639" spans="34:34" ht="15" thickBot="1" x14ac:dyDescent="0.4">
      <c r="AH7639" s="87"/>
    </row>
    <row r="7640" spans="34:34" ht="15" thickBot="1" x14ac:dyDescent="0.4">
      <c r="AH7640" s="87"/>
    </row>
    <row r="7641" spans="34:34" ht="15" thickBot="1" x14ac:dyDescent="0.4">
      <c r="AH7641" s="87"/>
    </row>
    <row r="7642" spans="34:34" ht="15" thickBot="1" x14ac:dyDescent="0.4">
      <c r="AH7642" s="87"/>
    </row>
    <row r="7643" spans="34:34" ht="15" thickBot="1" x14ac:dyDescent="0.4">
      <c r="AH7643" s="87"/>
    </row>
    <row r="7644" spans="34:34" ht="15" thickBot="1" x14ac:dyDescent="0.4">
      <c r="AH7644" s="87"/>
    </row>
    <row r="7645" spans="34:34" ht="15" thickBot="1" x14ac:dyDescent="0.4">
      <c r="AH7645" s="87"/>
    </row>
    <row r="7646" spans="34:34" ht="15" thickBot="1" x14ac:dyDescent="0.4">
      <c r="AH7646" s="87"/>
    </row>
    <row r="7647" spans="34:34" ht="15" thickBot="1" x14ac:dyDescent="0.4">
      <c r="AH7647" s="87"/>
    </row>
    <row r="7648" spans="34:34" ht="15" thickBot="1" x14ac:dyDescent="0.4">
      <c r="AH7648" s="87"/>
    </row>
    <row r="7649" spans="34:34" ht="15" thickBot="1" x14ac:dyDescent="0.4">
      <c r="AH7649" s="87"/>
    </row>
    <row r="7650" spans="34:34" ht="15" thickBot="1" x14ac:dyDescent="0.4">
      <c r="AH7650" s="87"/>
    </row>
    <row r="7651" spans="34:34" ht="15" thickBot="1" x14ac:dyDescent="0.4">
      <c r="AH7651" s="87"/>
    </row>
    <row r="7652" spans="34:34" ht="15" thickBot="1" x14ac:dyDescent="0.4">
      <c r="AH7652" s="87"/>
    </row>
    <row r="7653" spans="34:34" ht="15" thickBot="1" x14ac:dyDescent="0.4">
      <c r="AH7653" s="87"/>
    </row>
    <row r="7654" spans="34:34" ht="15" thickBot="1" x14ac:dyDescent="0.4">
      <c r="AH7654" s="87"/>
    </row>
    <row r="7655" spans="34:34" ht="15" thickBot="1" x14ac:dyDescent="0.4">
      <c r="AH7655" s="87"/>
    </row>
    <row r="7656" spans="34:34" ht="15" thickBot="1" x14ac:dyDescent="0.4">
      <c r="AH7656" s="87"/>
    </row>
    <row r="7657" spans="34:34" ht="15" thickBot="1" x14ac:dyDescent="0.4">
      <c r="AH7657" s="87"/>
    </row>
    <row r="7658" spans="34:34" ht="15" thickBot="1" x14ac:dyDescent="0.4">
      <c r="AH7658" s="87"/>
    </row>
    <row r="7659" spans="34:34" ht="15" thickBot="1" x14ac:dyDescent="0.4">
      <c r="AH7659" s="87"/>
    </row>
    <row r="7660" spans="34:34" ht="15" thickBot="1" x14ac:dyDescent="0.4">
      <c r="AH7660" s="87"/>
    </row>
    <row r="7661" spans="34:34" ht="15" thickBot="1" x14ac:dyDescent="0.4">
      <c r="AH7661" s="87"/>
    </row>
    <row r="7662" spans="34:34" ht="15" thickBot="1" x14ac:dyDescent="0.4">
      <c r="AH7662" s="87"/>
    </row>
    <row r="7663" spans="34:34" ht="15" thickBot="1" x14ac:dyDescent="0.4">
      <c r="AH7663" s="87"/>
    </row>
    <row r="7664" spans="34:34" ht="15" thickBot="1" x14ac:dyDescent="0.4">
      <c r="AH7664" s="87"/>
    </row>
    <row r="7665" spans="34:34" ht="15" thickBot="1" x14ac:dyDescent="0.4">
      <c r="AH7665" s="87"/>
    </row>
    <row r="7666" spans="34:34" ht="15" thickBot="1" x14ac:dyDescent="0.4">
      <c r="AH7666" s="87"/>
    </row>
    <row r="7667" spans="34:34" ht="15" thickBot="1" x14ac:dyDescent="0.4">
      <c r="AH7667" s="87"/>
    </row>
    <row r="7668" spans="34:34" ht="15" thickBot="1" x14ac:dyDescent="0.4">
      <c r="AH7668" s="87"/>
    </row>
    <row r="7669" spans="34:34" ht="15" thickBot="1" x14ac:dyDescent="0.4">
      <c r="AH7669" s="87"/>
    </row>
    <row r="7670" spans="34:34" ht="15" thickBot="1" x14ac:dyDescent="0.4">
      <c r="AH7670" s="87"/>
    </row>
    <row r="7671" spans="34:34" ht="15" thickBot="1" x14ac:dyDescent="0.4">
      <c r="AH7671" s="87"/>
    </row>
    <row r="7672" spans="34:34" ht="15" thickBot="1" x14ac:dyDescent="0.4">
      <c r="AH7672" s="87"/>
    </row>
    <row r="7673" spans="34:34" ht="15" thickBot="1" x14ac:dyDescent="0.4">
      <c r="AH7673" s="87"/>
    </row>
    <row r="7674" spans="34:34" ht="15" thickBot="1" x14ac:dyDescent="0.4">
      <c r="AH7674" s="87"/>
    </row>
    <row r="7675" spans="34:34" ht="15" thickBot="1" x14ac:dyDescent="0.4">
      <c r="AH7675" s="87"/>
    </row>
    <row r="7676" spans="34:34" ht="15" thickBot="1" x14ac:dyDescent="0.4">
      <c r="AH7676" s="87"/>
    </row>
    <row r="7677" spans="34:34" ht="15" thickBot="1" x14ac:dyDescent="0.4">
      <c r="AH7677" s="87"/>
    </row>
    <row r="7678" spans="34:34" ht="15" thickBot="1" x14ac:dyDescent="0.4">
      <c r="AH7678" s="87"/>
    </row>
    <row r="7679" spans="34:34" ht="15" thickBot="1" x14ac:dyDescent="0.4">
      <c r="AH7679" s="87"/>
    </row>
    <row r="7680" spans="34:34" ht="15" thickBot="1" x14ac:dyDescent="0.4">
      <c r="AH7680" s="87"/>
    </row>
    <row r="7681" spans="34:34" ht="15" thickBot="1" x14ac:dyDescent="0.4">
      <c r="AH7681" s="87"/>
    </row>
    <row r="7682" spans="34:34" ht="15" thickBot="1" x14ac:dyDescent="0.4">
      <c r="AH7682" s="87"/>
    </row>
    <row r="7683" spans="34:34" ht="15" thickBot="1" x14ac:dyDescent="0.4">
      <c r="AH7683" s="87"/>
    </row>
    <row r="7684" spans="34:34" ht="15" thickBot="1" x14ac:dyDescent="0.4">
      <c r="AH7684" s="87"/>
    </row>
    <row r="7685" spans="34:34" ht="15" thickBot="1" x14ac:dyDescent="0.4">
      <c r="AH7685" s="87"/>
    </row>
    <row r="7686" spans="34:34" ht="15" thickBot="1" x14ac:dyDescent="0.4">
      <c r="AH7686" s="87"/>
    </row>
    <row r="7687" spans="34:34" ht="15" thickBot="1" x14ac:dyDescent="0.4">
      <c r="AH7687" s="87"/>
    </row>
    <row r="7688" spans="34:34" ht="15" thickBot="1" x14ac:dyDescent="0.4">
      <c r="AH7688" s="87"/>
    </row>
    <row r="7689" spans="34:34" ht="15" thickBot="1" x14ac:dyDescent="0.4">
      <c r="AH7689" s="87"/>
    </row>
    <row r="7690" spans="34:34" ht="15" thickBot="1" x14ac:dyDescent="0.4">
      <c r="AH7690" s="87"/>
    </row>
    <row r="7691" spans="34:34" ht="15" thickBot="1" x14ac:dyDescent="0.4">
      <c r="AH7691" s="87"/>
    </row>
    <row r="7692" spans="34:34" ht="15" thickBot="1" x14ac:dyDescent="0.4">
      <c r="AH7692" s="87"/>
    </row>
    <row r="7693" spans="34:34" ht="15" thickBot="1" x14ac:dyDescent="0.4">
      <c r="AH7693" s="87"/>
    </row>
    <row r="7694" spans="34:34" ht="15" thickBot="1" x14ac:dyDescent="0.4">
      <c r="AH7694" s="87"/>
    </row>
    <row r="7695" spans="34:34" ht="15" thickBot="1" x14ac:dyDescent="0.4">
      <c r="AH7695" s="87"/>
    </row>
    <row r="7696" spans="34:34" ht="15" thickBot="1" x14ac:dyDescent="0.4">
      <c r="AH7696" s="87"/>
    </row>
    <row r="7697" spans="34:34" ht="15" thickBot="1" x14ac:dyDescent="0.4">
      <c r="AH7697" s="87"/>
    </row>
    <row r="7698" spans="34:34" ht="15" thickBot="1" x14ac:dyDescent="0.4">
      <c r="AH7698" s="87"/>
    </row>
    <row r="7699" spans="34:34" ht="15" thickBot="1" x14ac:dyDescent="0.4">
      <c r="AH7699" s="87"/>
    </row>
    <row r="7700" spans="34:34" ht="15" thickBot="1" x14ac:dyDescent="0.4">
      <c r="AH7700" s="87"/>
    </row>
    <row r="7701" spans="34:34" ht="15" thickBot="1" x14ac:dyDescent="0.4">
      <c r="AH7701" s="87"/>
    </row>
    <row r="7702" spans="34:34" ht="15" thickBot="1" x14ac:dyDescent="0.4">
      <c r="AH7702" s="87"/>
    </row>
    <row r="7703" spans="34:34" ht="15" thickBot="1" x14ac:dyDescent="0.4">
      <c r="AH7703" s="87"/>
    </row>
    <row r="7704" spans="34:34" ht="15" thickBot="1" x14ac:dyDescent="0.4">
      <c r="AH7704" s="87"/>
    </row>
    <row r="7705" spans="34:34" ht="15" thickBot="1" x14ac:dyDescent="0.4">
      <c r="AH7705" s="87"/>
    </row>
    <row r="7706" spans="34:34" ht="15" thickBot="1" x14ac:dyDescent="0.4">
      <c r="AH7706" s="87"/>
    </row>
    <row r="7707" spans="34:34" ht="15" thickBot="1" x14ac:dyDescent="0.4">
      <c r="AH7707" s="87"/>
    </row>
    <row r="7708" spans="34:34" ht="15" thickBot="1" x14ac:dyDescent="0.4">
      <c r="AH7708" s="87"/>
    </row>
    <row r="7709" spans="34:34" ht="15" thickBot="1" x14ac:dyDescent="0.4">
      <c r="AH7709" s="87"/>
    </row>
    <row r="7710" spans="34:34" ht="15" thickBot="1" x14ac:dyDescent="0.4">
      <c r="AH7710" s="87"/>
    </row>
    <row r="7711" spans="34:34" ht="15" thickBot="1" x14ac:dyDescent="0.4">
      <c r="AH7711" s="87"/>
    </row>
    <row r="7712" spans="34:34" ht="15" thickBot="1" x14ac:dyDescent="0.4">
      <c r="AH7712" s="87"/>
    </row>
    <row r="7713" spans="34:34" ht="15" thickBot="1" x14ac:dyDescent="0.4">
      <c r="AH7713" s="87"/>
    </row>
    <row r="7714" spans="34:34" ht="15" thickBot="1" x14ac:dyDescent="0.4">
      <c r="AH7714" s="87"/>
    </row>
    <row r="7715" spans="34:34" ht="15" thickBot="1" x14ac:dyDescent="0.4">
      <c r="AH7715" s="87"/>
    </row>
    <row r="7716" spans="34:34" ht="15" thickBot="1" x14ac:dyDescent="0.4">
      <c r="AH7716" s="87"/>
    </row>
    <row r="7717" spans="34:34" ht="15" thickBot="1" x14ac:dyDescent="0.4">
      <c r="AH7717" s="87"/>
    </row>
    <row r="7718" spans="34:34" ht="15" thickBot="1" x14ac:dyDescent="0.4">
      <c r="AH7718" s="87"/>
    </row>
    <row r="7719" spans="34:34" ht="15" thickBot="1" x14ac:dyDescent="0.4">
      <c r="AH7719" s="87"/>
    </row>
    <row r="7720" spans="34:34" ht="15" thickBot="1" x14ac:dyDescent="0.4">
      <c r="AH7720" s="87"/>
    </row>
    <row r="7721" spans="34:34" ht="15" thickBot="1" x14ac:dyDescent="0.4">
      <c r="AH7721" s="87"/>
    </row>
    <row r="7722" spans="34:34" ht="15" thickBot="1" x14ac:dyDescent="0.4">
      <c r="AH7722" s="87"/>
    </row>
    <row r="7723" spans="34:34" ht="15" thickBot="1" x14ac:dyDescent="0.4">
      <c r="AH7723" s="87"/>
    </row>
    <row r="7724" spans="34:34" ht="15" thickBot="1" x14ac:dyDescent="0.4">
      <c r="AH7724" s="87"/>
    </row>
    <row r="7725" spans="34:34" ht="15" thickBot="1" x14ac:dyDescent="0.4">
      <c r="AH7725" s="87"/>
    </row>
    <row r="7726" spans="34:34" ht="15" thickBot="1" x14ac:dyDescent="0.4">
      <c r="AH7726" s="87"/>
    </row>
    <row r="7727" spans="34:34" ht="15" thickBot="1" x14ac:dyDescent="0.4">
      <c r="AH7727" s="87"/>
    </row>
    <row r="7728" spans="34:34" ht="15" thickBot="1" x14ac:dyDescent="0.4">
      <c r="AH7728" s="87"/>
    </row>
    <row r="7729" spans="34:34" ht="15" thickBot="1" x14ac:dyDescent="0.4">
      <c r="AH7729" s="87"/>
    </row>
    <row r="7730" spans="34:34" ht="15" thickBot="1" x14ac:dyDescent="0.4">
      <c r="AH7730" s="87"/>
    </row>
    <row r="7731" spans="34:34" ht="15" thickBot="1" x14ac:dyDescent="0.4">
      <c r="AH7731" s="87"/>
    </row>
    <row r="7732" spans="34:34" ht="15" thickBot="1" x14ac:dyDescent="0.4">
      <c r="AH7732" s="87"/>
    </row>
    <row r="7733" spans="34:34" ht="15" thickBot="1" x14ac:dyDescent="0.4">
      <c r="AH7733" s="87"/>
    </row>
    <row r="7734" spans="34:34" ht="15" thickBot="1" x14ac:dyDescent="0.4">
      <c r="AH7734" s="87"/>
    </row>
    <row r="7735" spans="34:34" ht="15" thickBot="1" x14ac:dyDescent="0.4">
      <c r="AH7735" s="87"/>
    </row>
    <row r="7736" spans="34:34" ht="15" thickBot="1" x14ac:dyDescent="0.4">
      <c r="AH7736" s="87"/>
    </row>
    <row r="7737" spans="34:34" ht="15" thickBot="1" x14ac:dyDescent="0.4">
      <c r="AH7737" s="87"/>
    </row>
    <row r="7738" spans="34:34" ht="15" thickBot="1" x14ac:dyDescent="0.4">
      <c r="AH7738" s="87"/>
    </row>
    <row r="7739" spans="34:34" ht="15" thickBot="1" x14ac:dyDescent="0.4">
      <c r="AH7739" s="87"/>
    </row>
    <row r="7740" spans="34:34" ht="15" thickBot="1" x14ac:dyDescent="0.4">
      <c r="AH7740" s="87"/>
    </row>
    <row r="7741" spans="34:34" ht="15" thickBot="1" x14ac:dyDescent="0.4">
      <c r="AH7741" s="87"/>
    </row>
    <row r="7742" spans="34:34" ht="15" thickBot="1" x14ac:dyDescent="0.4">
      <c r="AH7742" s="87"/>
    </row>
    <row r="7743" spans="34:34" ht="15" thickBot="1" x14ac:dyDescent="0.4">
      <c r="AH7743" s="87"/>
    </row>
    <row r="7744" spans="34:34" ht="15" thickBot="1" x14ac:dyDescent="0.4">
      <c r="AH7744" s="87"/>
    </row>
    <row r="7745" spans="34:34" ht="15" thickBot="1" x14ac:dyDescent="0.4">
      <c r="AH7745" s="87"/>
    </row>
    <row r="7746" spans="34:34" ht="15" thickBot="1" x14ac:dyDescent="0.4">
      <c r="AH7746" s="87"/>
    </row>
    <row r="7747" spans="34:34" ht="15" thickBot="1" x14ac:dyDescent="0.4">
      <c r="AH7747" s="87"/>
    </row>
    <row r="7748" spans="34:34" ht="15" thickBot="1" x14ac:dyDescent="0.4">
      <c r="AH7748" s="87"/>
    </row>
    <row r="7749" spans="34:34" ht="15" thickBot="1" x14ac:dyDescent="0.4">
      <c r="AH7749" s="87"/>
    </row>
    <row r="7750" spans="34:34" ht="15" thickBot="1" x14ac:dyDescent="0.4">
      <c r="AH7750" s="87"/>
    </row>
    <row r="7751" spans="34:34" ht="15" thickBot="1" x14ac:dyDescent="0.4">
      <c r="AH7751" s="87"/>
    </row>
    <row r="7752" spans="34:34" ht="15" thickBot="1" x14ac:dyDescent="0.4">
      <c r="AH7752" s="87"/>
    </row>
    <row r="7753" spans="34:34" ht="15" thickBot="1" x14ac:dyDescent="0.4">
      <c r="AH7753" s="87"/>
    </row>
    <row r="7754" spans="34:34" ht="15" thickBot="1" x14ac:dyDescent="0.4">
      <c r="AH7754" s="87"/>
    </row>
    <row r="7755" spans="34:34" ht="15" thickBot="1" x14ac:dyDescent="0.4">
      <c r="AH7755" s="87"/>
    </row>
    <row r="7756" spans="34:34" ht="15" thickBot="1" x14ac:dyDescent="0.4">
      <c r="AH7756" s="87"/>
    </row>
    <row r="7757" spans="34:34" ht="15" thickBot="1" x14ac:dyDescent="0.4">
      <c r="AH7757" s="87"/>
    </row>
    <row r="7758" spans="34:34" ht="15" thickBot="1" x14ac:dyDescent="0.4">
      <c r="AH7758" s="87"/>
    </row>
    <row r="7759" spans="34:34" ht="15" thickBot="1" x14ac:dyDescent="0.4">
      <c r="AH7759" s="87"/>
    </row>
    <row r="7760" spans="34:34" ht="15" thickBot="1" x14ac:dyDescent="0.4">
      <c r="AH7760" s="87"/>
    </row>
    <row r="7761" spans="34:34" ht="15" thickBot="1" x14ac:dyDescent="0.4">
      <c r="AH7761" s="87"/>
    </row>
    <row r="7762" spans="34:34" ht="15" thickBot="1" x14ac:dyDescent="0.4">
      <c r="AH7762" s="87"/>
    </row>
    <row r="7763" spans="34:34" ht="15" thickBot="1" x14ac:dyDescent="0.4">
      <c r="AH7763" s="87"/>
    </row>
    <row r="7764" spans="34:34" ht="15" thickBot="1" x14ac:dyDescent="0.4">
      <c r="AH7764" s="87"/>
    </row>
    <row r="7765" spans="34:34" ht="15" thickBot="1" x14ac:dyDescent="0.4">
      <c r="AH7765" s="87"/>
    </row>
    <row r="7766" spans="34:34" ht="15" thickBot="1" x14ac:dyDescent="0.4">
      <c r="AH7766" s="87"/>
    </row>
    <row r="7767" spans="34:34" ht="15" thickBot="1" x14ac:dyDescent="0.4">
      <c r="AH7767" s="87"/>
    </row>
    <row r="7768" spans="34:34" ht="15" thickBot="1" x14ac:dyDescent="0.4">
      <c r="AH7768" s="87"/>
    </row>
    <row r="7769" spans="34:34" ht="15" thickBot="1" x14ac:dyDescent="0.4">
      <c r="AH7769" s="87"/>
    </row>
    <row r="7770" spans="34:34" ht="15" thickBot="1" x14ac:dyDescent="0.4">
      <c r="AH7770" s="87"/>
    </row>
    <row r="7771" spans="34:34" ht="15" thickBot="1" x14ac:dyDescent="0.4">
      <c r="AH7771" s="87"/>
    </row>
    <row r="7772" spans="34:34" ht="15" thickBot="1" x14ac:dyDescent="0.4">
      <c r="AH7772" s="87"/>
    </row>
    <row r="7773" spans="34:34" ht="15" thickBot="1" x14ac:dyDescent="0.4">
      <c r="AH7773" s="87"/>
    </row>
    <row r="7774" spans="34:34" ht="15" thickBot="1" x14ac:dyDescent="0.4">
      <c r="AH7774" s="87"/>
    </row>
    <row r="7775" spans="34:34" ht="15" thickBot="1" x14ac:dyDescent="0.4">
      <c r="AH7775" s="87"/>
    </row>
    <row r="7776" spans="34:34" ht="15" thickBot="1" x14ac:dyDescent="0.4">
      <c r="AH7776" s="87"/>
    </row>
    <row r="7777" spans="34:34" ht="15" thickBot="1" x14ac:dyDescent="0.4">
      <c r="AH7777" s="87"/>
    </row>
    <row r="7778" spans="34:34" ht="15" thickBot="1" x14ac:dyDescent="0.4">
      <c r="AH7778" s="87"/>
    </row>
    <row r="7779" spans="34:34" ht="15" thickBot="1" x14ac:dyDescent="0.4">
      <c r="AH7779" s="87"/>
    </row>
    <row r="7780" spans="34:34" ht="15" thickBot="1" x14ac:dyDescent="0.4">
      <c r="AH7780" s="87"/>
    </row>
    <row r="7781" spans="34:34" ht="15" thickBot="1" x14ac:dyDescent="0.4">
      <c r="AH7781" s="87"/>
    </row>
    <row r="7782" spans="34:34" ht="15" thickBot="1" x14ac:dyDescent="0.4">
      <c r="AH7782" s="87"/>
    </row>
    <row r="7783" spans="34:34" ht="15" thickBot="1" x14ac:dyDescent="0.4">
      <c r="AH7783" s="87"/>
    </row>
    <row r="7784" spans="34:34" ht="15" thickBot="1" x14ac:dyDescent="0.4">
      <c r="AH7784" s="87"/>
    </row>
    <row r="7785" spans="34:34" ht="15" thickBot="1" x14ac:dyDescent="0.4">
      <c r="AH7785" s="87"/>
    </row>
    <row r="7786" spans="34:34" ht="15" thickBot="1" x14ac:dyDescent="0.4">
      <c r="AH7786" s="87"/>
    </row>
    <row r="7787" spans="34:34" ht="15" thickBot="1" x14ac:dyDescent="0.4">
      <c r="AH7787" s="87"/>
    </row>
    <row r="7788" spans="34:34" ht="15" thickBot="1" x14ac:dyDescent="0.4">
      <c r="AH7788" s="87"/>
    </row>
    <row r="7789" spans="34:34" ht="15" thickBot="1" x14ac:dyDescent="0.4">
      <c r="AH7789" s="87"/>
    </row>
    <row r="7790" spans="34:34" ht="15" thickBot="1" x14ac:dyDescent="0.4">
      <c r="AH7790" s="87"/>
    </row>
    <row r="7791" spans="34:34" ht="15" thickBot="1" x14ac:dyDescent="0.4">
      <c r="AH7791" s="87"/>
    </row>
    <row r="7792" spans="34:34" ht="15" thickBot="1" x14ac:dyDescent="0.4">
      <c r="AH7792" s="87"/>
    </row>
    <row r="7793" spans="34:34" ht="15" thickBot="1" x14ac:dyDescent="0.4">
      <c r="AH7793" s="87"/>
    </row>
    <row r="7794" spans="34:34" ht="15" thickBot="1" x14ac:dyDescent="0.4">
      <c r="AH7794" s="87"/>
    </row>
    <row r="7795" spans="34:34" ht="15" thickBot="1" x14ac:dyDescent="0.4">
      <c r="AH7795" s="87"/>
    </row>
    <row r="7796" spans="34:34" ht="15" thickBot="1" x14ac:dyDescent="0.4">
      <c r="AH7796" s="87"/>
    </row>
    <row r="7797" spans="34:34" ht="15" thickBot="1" x14ac:dyDescent="0.4">
      <c r="AH7797" s="87"/>
    </row>
    <row r="7798" spans="34:34" ht="15" thickBot="1" x14ac:dyDescent="0.4">
      <c r="AH7798" s="87"/>
    </row>
    <row r="7799" spans="34:34" ht="15" thickBot="1" x14ac:dyDescent="0.4">
      <c r="AH7799" s="87"/>
    </row>
    <row r="7800" spans="34:34" ht="15" thickBot="1" x14ac:dyDescent="0.4">
      <c r="AH7800" s="87"/>
    </row>
    <row r="7801" spans="34:34" ht="15" thickBot="1" x14ac:dyDescent="0.4">
      <c r="AH7801" s="87"/>
    </row>
    <row r="7802" spans="34:34" ht="15" thickBot="1" x14ac:dyDescent="0.4">
      <c r="AH7802" s="87"/>
    </row>
    <row r="7803" spans="34:34" ht="15" thickBot="1" x14ac:dyDescent="0.4">
      <c r="AH7803" s="87"/>
    </row>
    <row r="7804" spans="34:34" ht="15" thickBot="1" x14ac:dyDescent="0.4">
      <c r="AH7804" s="87"/>
    </row>
    <row r="7805" spans="34:34" ht="15" thickBot="1" x14ac:dyDescent="0.4">
      <c r="AH7805" s="87"/>
    </row>
    <row r="7806" spans="34:34" ht="15" thickBot="1" x14ac:dyDescent="0.4">
      <c r="AH7806" s="87"/>
    </row>
    <row r="7807" spans="34:34" ht="15" thickBot="1" x14ac:dyDescent="0.4">
      <c r="AH7807" s="87"/>
    </row>
    <row r="7808" spans="34:34" ht="15" thickBot="1" x14ac:dyDescent="0.4">
      <c r="AH7808" s="87"/>
    </row>
    <row r="7809" spans="34:34" ht="15" thickBot="1" x14ac:dyDescent="0.4">
      <c r="AH7809" s="87"/>
    </row>
    <row r="7810" spans="34:34" ht="15" thickBot="1" x14ac:dyDescent="0.4">
      <c r="AH7810" s="87"/>
    </row>
    <row r="7811" spans="34:34" ht="15" thickBot="1" x14ac:dyDescent="0.4">
      <c r="AH7811" s="87"/>
    </row>
    <row r="7812" spans="34:34" ht="15" thickBot="1" x14ac:dyDescent="0.4">
      <c r="AH7812" s="87"/>
    </row>
    <row r="7813" spans="34:34" ht="15" thickBot="1" x14ac:dyDescent="0.4">
      <c r="AH7813" s="87"/>
    </row>
    <row r="7814" spans="34:34" ht="15" thickBot="1" x14ac:dyDescent="0.4">
      <c r="AH7814" s="87"/>
    </row>
    <row r="7815" spans="34:34" ht="15" thickBot="1" x14ac:dyDescent="0.4">
      <c r="AH7815" s="87"/>
    </row>
    <row r="7816" spans="34:34" ht="15" thickBot="1" x14ac:dyDescent="0.4">
      <c r="AH7816" s="87"/>
    </row>
    <row r="7817" spans="34:34" ht="15" thickBot="1" x14ac:dyDescent="0.4">
      <c r="AH7817" s="87"/>
    </row>
    <row r="7818" spans="34:34" ht="15" thickBot="1" x14ac:dyDescent="0.4">
      <c r="AH7818" s="87"/>
    </row>
    <row r="7819" spans="34:34" ht="15" thickBot="1" x14ac:dyDescent="0.4">
      <c r="AH7819" s="87"/>
    </row>
    <row r="7820" spans="34:34" ht="15" thickBot="1" x14ac:dyDescent="0.4">
      <c r="AH7820" s="87"/>
    </row>
    <row r="7821" spans="34:34" ht="15" thickBot="1" x14ac:dyDescent="0.4">
      <c r="AH7821" s="87"/>
    </row>
    <row r="7822" spans="34:34" ht="15" thickBot="1" x14ac:dyDescent="0.4">
      <c r="AH7822" s="87"/>
    </row>
    <row r="7823" spans="34:34" ht="15" thickBot="1" x14ac:dyDescent="0.4">
      <c r="AH7823" s="87"/>
    </row>
    <row r="7824" spans="34:34" ht="15" thickBot="1" x14ac:dyDescent="0.4">
      <c r="AH7824" s="87"/>
    </row>
    <row r="7825" spans="34:34" ht="15" thickBot="1" x14ac:dyDescent="0.4">
      <c r="AH7825" s="87"/>
    </row>
    <row r="7826" spans="34:34" ht="15" thickBot="1" x14ac:dyDescent="0.4">
      <c r="AH7826" s="87"/>
    </row>
    <row r="7827" spans="34:34" ht="15" thickBot="1" x14ac:dyDescent="0.4">
      <c r="AH7827" s="87"/>
    </row>
    <row r="7828" spans="34:34" ht="15" thickBot="1" x14ac:dyDescent="0.4">
      <c r="AH7828" s="87"/>
    </row>
    <row r="7829" spans="34:34" ht="15" thickBot="1" x14ac:dyDescent="0.4">
      <c r="AH7829" s="87"/>
    </row>
    <row r="7830" spans="34:34" ht="15" thickBot="1" x14ac:dyDescent="0.4">
      <c r="AH7830" s="87"/>
    </row>
    <row r="7831" spans="34:34" ht="15" thickBot="1" x14ac:dyDescent="0.4">
      <c r="AH7831" s="87"/>
    </row>
    <row r="7832" spans="34:34" ht="15" thickBot="1" x14ac:dyDescent="0.4">
      <c r="AH7832" s="87"/>
    </row>
    <row r="7833" spans="34:34" ht="15" thickBot="1" x14ac:dyDescent="0.4">
      <c r="AH7833" s="87"/>
    </row>
    <row r="7834" spans="34:34" ht="15" thickBot="1" x14ac:dyDescent="0.4">
      <c r="AH7834" s="87"/>
    </row>
    <row r="7835" spans="34:34" ht="15" thickBot="1" x14ac:dyDescent="0.4">
      <c r="AH7835" s="87"/>
    </row>
    <row r="7836" spans="34:34" ht="15" thickBot="1" x14ac:dyDescent="0.4">
      <c r="AH7836" s="87"/>
    </row>
    <row r="7837" spans="34:34" ht="15" thickBot="1" x14ac:dyDescent="0.4">
      <c r="AH7837" s="87"/>
    </row>
    <row r="7838" spans="34:34" ht="15" thickBot="1" x14ac:dyDescent="0.4">
      <c r="AH7838" s="87"/>
    </row>
    <row r="7839" spans="34:34" ht="15" thickBot="1" x14ac:dyDescent="0.4">
      <c r="AH7839" s="87"/>
    </row>
    <row r="7840" spans="34:34" ht="15" thickBot="1" x14ac:dyDescent="0.4">
      <c r="AH7840" s="87"/>
    </row>
    <row r="7841" spans="34:34" ht="15" thickBot="1" x14ac:dyDescent="0.4">
      <c r="AH7841" s="87"/>
    </row>
    <row r="7842" spans="34:34" ht="15" thickBot="1" x14ac:dyDescent="0.4">
      <c r="AH7842" s="87"/>
    </row>
    <row r="7843" spans="34:34" ht="15" thickBot="1" x14ac:dyDescent="0.4">
      <c r="AH7843" s="87"/>
    </row>
    <row r="7844" spans="34:34" ht="15" thickBot="1" x14ac:dyDescent="0.4">
      <c r="AH7844" s="87"/>
    </row>
    <row r="7845" spans="34:34" ht="15" thickBot="1" x14ac:dyDescent="0.4">
      <c r="AH7845" s="87"/>
    </row>
    <row r="7846" spans="34:34" ht="15" thickBot="1" x14ac:dyDescent="0.4">
      <c r="AH7846" s="87"/>
    </row>
    <row r="7847" spans="34:34" ht="15" thickBot="1" x14ac:dyDescent="0.4">
      <c r="AH7847" s="87"/>
    </row>
    <row r="7848" spans="34:34" ht="15" thickBot="1" x14ac:dyDescent="0.4">
      <c r="AH7848" s="87"/>
    </row>
    <row r="7849" spans="34:34" ht="15" thickBot="1" x14ac:dyDescent="0.4">
      <c r="AH7849" s="87"/>
    </row>
    <row r="7850" spans="34:34" ht="15" thickBot="1" x14ac:dyDescent="0.4">
      <c r="AH7850" s="87"/>
    </row>
    <row r="7851" spans="34:34" ht="15" thickBot="1" x14ac:dyDescent="0.4">
      <c r="AH7851" s="87"/>
    </row>
    <row r="7852" spans="34:34" ht="15" thickBot="1" x14ac:dyDescent="0.4">
      <c r="AH7852" s="87"/>
    </row>
    <row r="7853" spans="34:34" ht="15" thickBot="1" x14ac:dyDescent="0.4">
      <c r="AH7853" s="87"/>
    </row>
    <row r="7854" spans="34:34" ht="15" thickBot="1" x14ac:dyDescent="0.4">
      <c r="AH7854" s="87"/>
    </row>
    <row r="7855" spans="34:34" ht="15" thickBot="1" x14ac:dyDescent="0.4">
      <c r="AH7855" s="87"/>
    </row>
    <row r="7856" spans="34:34" ht="15" thickBot="1" x14ac:dyDescent="0.4">
      <c r="AH7856" s="87"/>
    </row>
    <row r="7857" spans="34:34" ht="15" thickBot="1" x14ac:dyDescent="0.4">
      <c r="AH7857" s="87"/>
    </row>
    <row r="7858" spans="34:34" ht="15" thickBot="1" x14ac:dyDescent="0.4">
      <c r="AH7858" s="87"/>
    </row>
    <row r="7859" spans="34:34" ht="15" thickBot="1" x14ac:dyDescent="0.4">
      <c r="AH7859" s="87"/>
    </row>
    <row r="7860" spans="34:34" ht="15" thickBot="1" x14ac:dyDescent="0.4">
      <c r="AH7860" s="87"/>
    </row>
    <row r="7861" spans="34:34" ht="15" thickBot="1" x14ac:dyDescent="0.4">
      <c r="AH7861" s="87"/>
    </row>
    <row r="7862" spans="34:34" ht="15" thickBot="1" x14ac:dyDescent="0.4">
      <c r="AH7862" s="87"/>
    </row>
    <row r="7863" spans="34:34" ht="15" thickBot="1" x14ac:dyDescent="0.4">
      <c r="AH7863" s="87"/>
    </row>
    <row r="7864" spans="34:34" ht="15" thickBot="1" x14ac:dyDescent="0.4">
      <c r="AH7864" s="87"/>
    </row>
    <row r="7865" spans="34:34" ht="15" thickBot="1" x14ac:dyDescent="0.4">
      <c r="AH7865" s="87"/>
    </row>
    <row r="7866" spans="34:34" ht="15" thickBot="1" x14ac:dyDescent="0.4">
      <c r="AH7866" s="87"/>
    </row>
    <row r="7867" spans="34:34" ht="15" thickBot="1" x14ac:dyDescent="0.4">
      <c r="AH7867" s="87"/>
    </row>
    <row r="7868" spans="34:34" ht="15" thickBot="1" x14ac:dyDescent="0.4">
      <c r="AH7868" s="87"/>
    </row>
    <row r="7869" spans="34:34" ht="15" thickBot="1" x14ac:dyDescent="0.4">
      <c r="AH7869" s="87"/>
    </row>
    <row r="7870" spans="34:34" ht="15" thickBot="1" x14ac:dyDescent="0.4">
      <c r="AH7870" s="87"/>
    </row>
    <row r="7871" spans="34:34" ht="15" thickBot="1" x14ac:dyDescent="0.4">
      <c r="AH7871" s="87"/>
    </row>
    <row r="7872" spans="34:34" ht="15" thickBot="1" x14ac:dyDescent="0.4">
      <c r="AH7872" s="87"/>
    </row>
    <row r="7873" spans="34:34" ht="15" thickBot="1" x14ac:dyDescent="0.4">
      <c r="AH7873" s="87"/>
    </row>
    <row r="7874" spans="34:34" ht="15" thickBot="1" x14ac:dyDescent="0.4">
      <c r="AH7874" s="87"/>
    </row>
    <row r="7875" spans="34:34" ht="15" thickBot="1" x14ac:dyDescent="0.4">
      <c r="AH7875" s="87"/>
    </row>
    <row r="7876" spans="34:34" ht="15" thickBot="1" x14ac:dyDescent="0.4">
      <c r="AH7876" s="87"/>
    </row>
    <row r="7877" spans="34:34" ht="15" thickBot="1" x14ac:dyDescent="0.4">
      <c r="AH7877" s="87"/>
    </row>
    <row r="7878" spans="34:34" ht="15" thickBot="1" x14ac:dyDescent="0.4">
      <c r="AH7878" s="87"/>
    </row>
    <row r="7879" spans="34:34" ht="15" thickBot="1" x14ac:dyDescent="0.4">
      <c r="AH7879" s="87"/>
    </row>
    <row r="7880" spans="34:34" ht="15" thickBot="1" x14ac:dyDescent="0.4">
      <c r="AH7880" s="87"/>
    </row>
    <row r="7881" spans="34:34" ht="15" thickBot="1" x14ac:dyDescent="0.4">
      <c r="AH7881" s="87"/>
    </row>
    <row r="7882" spans="34:34" ht="15" thickBot="1" x14ac:dyDescent="0.4">
      <c r="AH7882" s="87"/>
    </row>
    <row r="7883" spans="34:34" ht="15" thickBot="1" x14ac:dyDescent="0.4">
      <c r="AH7883" s="87"/>
    </row>
    <row r="7884" spans="34:34" ht="15" thickBot="1" x14ac:dyDescent="0.4">
      <c r="AH7884" s="87"/>
    </row>
    <row r="7885" spans="34:34" ht="15" thickBot="1" x14ac:dyDescent="0.4">
      <c r="AH7885" s="87"/>
    </row>
    <row r="7886" spans="34:34" ht="15" thickBot="1" x14ac:dyDescent="0.4">
      <c r="AH7886" s="87"/>
    </row>
    <row r="7887" spans="34:34" ht="15" thickBot="1" x14ac:dyDescent="0.4">
      <c r="AH7887" s="87"/>
    </row>
    <row r="7888" spans="34:34" ht="15" thickBot="1" x14ac:dyDescent="0.4">
      <c r="AH7888" s="87"/>
    </row>
    <row r="7889" spans="34:34" ht="15" thickBot="1" x14ac:dyDescent="0.4">
      <c r="AH7889" s="87"/>
    </row>
    <row r="7890" spans="34:34" ht="15" thickBot="1" x14ac:dyDescent="0.4">
      <c r="AH7890" s="87"/>
    </row>
    <row r="7891" spans="34:34" ht="15" thickBot="1" x14ac:dyDescent="0.4">
      <c r="AH7891" s="87"/>
    </row>
    <row r="7892" spans="34:34" ht="15" thickBot="1" x14ac:dyDescent="0.4">
      <c r="AH7892" s="87"/>
    </row>
    <row r="7893" spans="34:34" ht="15" thickBot="1" x14ac:dyDescent="0.4">
      <c r="AH7893" s="87"/>
    </row>
    <row r="7894" spans="34:34" ht="15" thickBot="1" x14ac:dyDescent="0.4">
      <c r="AH7894" s="87"/>
    </row>
    <row r="7895" spans="34:34" ht="15" thickBot="1" x14ac:dyDescent="0.4">
      <c r="AH7895" s="87"/>
    </row>
    <row r="7896" spans="34:34" ht="15" thickBot="1" x14ac:dyDescent="0.4">
      <c r="AH7896" s="87"/>
    </row>
    <row r="7897" spans="34:34" ht="15" thickBot="1" x14ac:dyDescent="0.4">
      <c r="AH7897" s="87"/>
    </row>
    <row r="7898" spans="34:34" ht="15" thickBot="1" x14ac:dyDescent="0.4">
      <c r="AH7898" s="87"/>
    </row>
    <row r="7899" spans="34:34" ht="15" thickBot="1" x14ac:dyDescent="0.4">
      <c r="AH7899" s="87"/>
    </row>
    <row r="7900" spans="34:34" ht="15" thickBot="1" x14ac:dyDescent="0.4">
      <c r="AH7900" s="87"/>
    </row>
    <row r="7901" spans="34:34" ht="15" thickBot="1" x14ac:dyDescent="0.4">
      <c r="AH7901" s="87"/>
    </row>
    <row r="7902" spans="34:34" ht="15" thickBot="1" x14ac:dyDescent="0.4">
      <c r="AH7902" s="87"/>
    </row>
    <row r="7903" spans="34:34" ht="15" thickBot="1" x14ac:dyDescent="0.4">
      <c r="AH7903" s="87"/>
    </row>
    <row r="7904" spans="34:34" ht="15" thickBot="1" x14ac:dyDescent="0.4">
      <c r="AH7904" s="87"/>
    </row>
    <row r="7905" spans="34:34" ht="15" thickBot="1" x14ac:dyDescent="0.4">
      <c r="AH7905" s="87"/>
    </row>
    <row r="7906" spans="34:34" ht="15" thickBot="1" x14ac:dyDescent="0.4">
      <c r="AH7906" s="87"/>
    </row>
    <row r="7907" spans="34:34" ht="15" thickBot="1" x14ac:dyDescent="0.4">
      <c r="AH7907" s="87"/>
    </row>
    <row r="7908" spans="34:34" ht="15" thickBot="1" x14ac:dyDescent="0.4">
      <c r="AH7908" s="87"/>
    </row>
    <row r="7909" spans="34:34" ht="15" thickBot="1" x14ac:dyDescent="0.4">
      <c r="AH7909" s="87"/>
    </row>
    <row r="7910" spans="34:34" ht="15" thickBot="1" x14ac:dyDescent="0.4">
      <c r="AH7910" s="87"/>
    </row>
    <row r="7911" spans="34:34" ht="15" thickBot="1" x14ac:dyDescent="0.4">
      <c r="AH7911" s="87"/>
    </row>
    <row r="7912" spans="34:34" ht="15" thickBot="1" x14ac:dyDescent="0.4">
      <c r="AH7912" s="87"/>
    </row>
    <row r="7913" spans="34:34" ht="15" thickBot="1" x14ac:dyDescent="0.4">
      <c r="AH7913" s="87"/>
    </row>
    <row r="7914" spans="34:34" ht="15" thickBot="1" x14ac:dyDescent="0.4">
      <c r="AH7914" s="87"/>
    </row>
    <row r="7915" spans="34:34" ht="15" thickBot="1" x14ac:dyDescent="0.4">
      <c r="AH7915" s="87"/>
    </row>
    <row r="7916" spans="34:34" ht="15" thickBot="1" x14ac:dyDescent="0.4">
      <c r="AH7916" s="87"/>
    </row>
    <row r="7917" spans="34:34" ht="15" thickBot="1" x14ac:dyDescent="0.4">
      <c r="AH7917" s="87"/>
    </row>
    <row r="7918" spans="34:34" ht="15" thickBot="1" x14ac:dyDescent="0.4">
      <c r="AH7918" s="87"/>
    </row>
    <row r="7919" spans="34:34" ht="15" thickBot="1" x14ac:dyDescent="0.4">
      <c r="AH7919" s="87"/>
    </row>
    <row r="7920" spans="34:34" ht="15" thickBot="1" x14ac:dyDescent="0.4">
      <c r="AH7920" s="87"/>
    </row>
    <row r="7921" spans="34:34" ht="15" thickBot="1" x14ac:dyDescent="0.4">
      <c r="AH7921" s="87"/>
    </row>
    <row r="7922" spans="34:34" ht="15" thickBot="1" x14ac:dyDescent="0.4">
      <c r="AH7922" s="87"/>
    </row>
    <row r="7923" spans="34:34" ht="15" thickBot="1" x14ac:dyDescent="0.4">
      <c r="AH7923" s="87"/>
    </row>
    <row r="7924" spans="34:34" ht="15" thickBot="1" x14ac:dyDescent="0.4">
      <c r="AH7924" s="87"/>
    </row>
    <row r="7925" spans="34:34" ht="15" thickBot="1" x14ac:dyDescent="0.4">
      <c r="AH7925" s="87"/>
    </row>
    <row r="7926" spans="34:34" ht="15" thickBot="1" x14ac:dyDescent="0.4">
      <c r="AH7926" s="87"/>
    </row>
    <row r="7927" spans="34:34" ht="15" thickBot="1" x14ac:dyDescent="0.4">
      <c r="AH7927" s="87"/>
    </row>
    <row r="7928" spans="34:34" ht="15" thickBot="1" x14ac:dyDescent="0.4">
      <c r="AH7928" s="87"/>
    </row>
    <row r="7929" spans="34:34" ht="15" thickBot="1" x14ac:dyDescent="0.4">
      <c r="AH7929" s="87"/>
    </row>
    <row r="7930" spans="34:34" ht="15" thickBot="1" x14ac:dyDescent="0.4">
      <c r="AH7930" s="87"/>
    </row>
    <row r="7931" spans="34:34" ht="15" thickBot="1" x14ac:dyDescent="0.4">
      <c r="AH7931" s="87"/>
    </row>
    <row r="7932" spans="34:34" ht="15" thickBot="1" x14ac:dyDescent="0.4">
      <c r="AH7932" s="87"/>
    </row>
    <row r="7933" spans="34:34" ht="15" thickBot="1" x14ac:dyDescent="0.4">
      <c r="AH7933" s="87"/>
    </row>
    <row r="7934" spans="34:34" ht="15" thickBot="1" x14ac:dyDescent="0.4">
      <c r="AH7934" s="87"/>
    </row>
    <row r="7935" spans="34:34" ht="15" thickBot="1" x14ac:dyDescent="0.4">
      <c r="AH7935" s="87"/>
    </row>
    <row r="7936" spans="34:34" ht="15" thickBot="1" x14ac:dyDescent="0.4">
      <c r="AH7936" s="87"/>
    </row>
    <row r="7937" spans="34:34" ht="15" thickBot="1" x14ac:dyDescent="0.4">
      <c r="AH7937" s="87"/>
    </row>
    <row r="7938" spans="34:34" ht="15" thickBot="1" x14ac:dyDescent="0.4">
      <c r="AH7938" s="87"/>
    </row>
    <row r="7939" spans="34:34" ht="15" thickBot="1" x14ac:dyDescent="0.4">
      <c r="AH7939" s="87"/>
    </row>
    <row r="7940" spans="34:34" ht="15" thickBot="1" x14ac:dyDescent="0.4">
      <c r="AH7940" s="87"/>
    </row>
    <row r="7941" spans="34:34" ht="15" thickBot="1" x14ac:dyDescent="0.4">
      <c r="AH7941" s="87"/>
    </row>
    <row r="7942" spans="34:34" ht="15" thickBot="1" x14ac:dyDescent="0.4">
      <c r="AH7942" s="87"/>
    </row>
    <row r="7943" spans="34:34" ht="15" thickBot="1" x14ac:dyDescent="0.4">
      <c r="AH7943" s="87"/>
    </row>
    <row r="7944" spans="34:34" ht="15" thickBot="1" x14ac:dyDescent="0.4">
      <c r="AH7944" s="87"/>
    </row>
    <row r="7945" spans="34:34" ht="15" thickBot="1" x14ac:dyDescent="0.4">
      <c r="AH7945" s="87"/>
    </row>
    <row r="7946" spans="34:34" ht="15" thickBot="1" x14ac:dyDescent="0.4">
      <c r="AH7946" s="87"/>
    </row>
    <row r="7947" spans="34:34" ht="15" thickBot="1" x14ac:dyDescent="0.4">
      <c r="AH7947" s="87"/>
    </row>
    <row r="7948" spans="34:34" ht="15" thickBot="1" x14ac:dyDescent="0.4">
      <c r="AH7948" s="87"/>
    </row>
    <row r="7949" spans="34:34" ht="15" thickBot="1" x14ac:dyDescent="0.4">
      <c r="AH7949" s="87"/>
    </row>
    <row r="7950" spans="34:34" ht="15" thickBot="1" x14ac:dyDescent="0.4">
      <c r="AH7950" s="87"/>
    </row>
    <row r="7951" spans="34:34" ht="15" thickBot="1" x14ac:dyDescent="0.4">
      <c r="AH7951" s="87"/>
    </row>
    <row r="7952" spans="34:34" ht="15" thickBot="1" x14ac:dyDescent="0.4">
      <c r="AH7952" s="87"/>
    </row>
    <row r="7953" spans="34:34" ht="15" thickBot="1" x14ac:dyDescent="0.4">
      <c r="AH7953" s="87"/>
    </row>
    <row r="7954" spans="34:34" ht="15" thickBot="1" x14ac:dyDescent="0.4">
      <c r="AH7954" s="87"/>
    </row>
    <row r="7955" spans="34:34" ht="15" thickBot="1" x14ac:dyDescent="0.4">
      <c r="AH7955" s="87"/>
    </row>
    <row r="7956" spans="34:34" ht="15" thickBot="1" x14ac:dyDescent="0.4">
      <c r="AH7956" s="87"/>
    </row>
    <row r="7957" spans="34:34" ht="15" thickBot="1" x14ac:dyDescent="0.4">
      <c r="AH7957" s="87"/>
    </row>
    <row r="7958" spans="34:34" ht="15" thickBot="1" x14ac:dyDescent="0.4">
      <c r="AH7958" s="87"/>
    </row>
    <row r="7959" spans="34:34" ht="15" thickBot="1" x14ac:dyDescent="0.4">
      <c r="AH7959" s="87"/>
    </row>
    <row r="7960" spans="34:34" ht="15" thickBot="1" x14ac:dyDescent="0.4">
      <c r="AH7960" s="87"/>
    </row>
    <row r="7961" spans="34:34" ht="15" thickBot="1" x14ac:dyDescent="0.4">
      <c r="AH7961" s="87"/>
    </row>
    <row r="7962" spans="34:34" ht="15" thickBot="1" x14ac:dyDescent="0.4">
      <c r="AH7962" s="87"/>
    </row>
    <row r="7963" spans="34:34" ht="15" thickBot="1" x14ac:dyDescent="0.4">
      <c r="AH7963" s="87"/>
    </row>
    <row r="7964" spans="34:34" ht="15" thickBot="1" x14ac:dyDescent="0.4">
      <c r="AH7964" s="87"/>
    </row>
    <row r="7965" spans="34:34" ht="15" thickBot="1" x14ac:dyDescent="0.4">
      <c r="AH7965" s="87"/>
    </row>
    <row r="7966" spans="34:34" ht="15" thickBot="1" x14ac:dyDescent="0.4">
      <c r="AH7966" s="87"/>
    </row>
    <row r="7967" spans="34:34" ht="15" thickBot="1" x14ac:dyDescent="0.4">
      <c r="AH7967" s="87"/>
    </row>
    <row r="7968" spans="34:34" ht="15" thickBot="1" x14ac:dyDescent="0.4">
      <c r="AH7968" s="87"/>
    </row>
    <row r="7969" spans="34:34" ht="15" thickBot="1" x14ac:dyDescent="0.4">
      <c r="AH7969" s="87"/>
    </row>
    <row r="7970" spans="34:34" ht="15" thickBot="1" x14ac:dyDescent="0.4">
      <c r="AH7970" s="87"/>
    </row>
    <row r="7971" spans="34:34" ht="15" thickBot="1" x14ac:dyDescent="0.4">
      <c r="AH7971" s="87"/>
    </row>
    <row r="7972" spans="34:34" ht="15" thickBot="1" x14ac:dyDescent="0.4">
      <c r="AH7972" s="87"/>
    </row>
    <row r="7973" spans="34:34" ht="15" thickBot="1" x14ac:dyDescent="0.4">
      <c r="AH7973" s="87"/>
    </row>
    <row r="7974" spans="34:34" ht="15" thickBot="1" x14ac:dyDescent="0.4">
      <c r="AH7974" s="87"/>
    </row>
    <row r="7975" spans="34:34" ht="15" thickBot="1" x14ac:dyDescent="0.4">
      <c r="AH7975" s="87"/>
    </row>
    <row r="7976" spans="34:34" ht="15" thickBot="1" x14ac:dyDescent="0.4">
      <c r="AH7976" s="87"/>
    </row>
    <row r="7977" spans="34:34" ht="15" thickBot="1" x14ac:dyDescent="0.4">
      <c r="AH7977" s="87"/>
    </row>
    <row r="7978" spans="34:34" ht="15" thickBot="1" x14ac:dyDescent="0.4">
      <c r="AH7978" s="87"/>
    </row>
    <row r="7979" spans="34:34" ht="15" thickBot="1" x14ac:dyDescent="0.4">
      <c r="AH7979" s="87"/>
    </row>
    <row r="7980" spans="34:34" ht="15" thickBot="1" x14ac:dyDescent="0.4">
      <c r="AH7980" s="87"/>
    </row>
    <row r="7981" spans="34:34" ht="15" thickBot="1" x14ac:dyDescent="0.4">
      <c r="AH7981" s="87"/>
    </row>
    <row r="7982" spans="34:34" ht="15" thickBot="1" x14ac:dyDescent="0.4">
      <c r="AH7982" s="87"/>
    </row>
    <row r="7983" spans="34:34" ht="15" thickBot="1" x14ac:dyDescent="0.4">
      <c r="AH7983" s="87"/>
    </row>
    <row r="7984" spans="34:34" ht="15" thickBot="1" x14ac:dyDescent="0.4">
      <c r="AH7984" s="87"/>
    </row>
    <row r="7985" spans="34:34" ht="15" thickBot="1" x14ac:dyDescent="0.4">
      <c r="AH7985" s="87"/>
    </row>
    <row r="7986" spans="34:34" ht="15" thickBot="1" x14ac:dyDescent="0.4">
      <c r="AH7986" s="87"/>
    </row>
    <row r="7987" spans="34:34" ht="15" thickBot="1" x14ac:dyDescent="0.4">
      <c r="AH7987" s="87"/>
    </row>
    <row r="7988" spans="34:34" ht="15" thickBot="1" x14ac:dyDescent="0.4">
      <c r="AH7988" s="87"/>
    </row>
    <row r="7989" spans="34:34" ht="15" thickBot="1" x14ac:dyDescent="0.4">
      <c r="AH7989" s="87"/>
    </row>
    <row r="7990" spans="34:34" ht="15" thickBot="1" x14ac:dyDescent="0.4">
      <c r="AH7990" s="87"/>
    </row>
    <row r="7991" spans="34:34" ht="15" thickBot="1" x14ac:dyDescent="0.4">
      <c r="AH7991" s="87"/>
    </row>
    <row r="7992" spans="34:34" ht="15" thickBot="1" x14ac:dyDescent="0.4">
      <c r="AH7992" s="87"/>
    </row>
    <row r="7993" spans="34:34" ht="15" thickBot="1" x14ac:dyDescent="0.4">
      <c r="AH7993" s="87"/>
    </row>
    <row r="7994" spans="34:34" ht="15" thickBot="1" x14ac:dyDescent="0.4">
      <c r="AH7994" s="87"/>
    </row>
    <row r="7995" spans="34:34" ht="15" thickBot="1" x14ac:dyDescent="0.4">
      <c r="AH7995" s="87"/>
    </row>
    <row r="7996" spans="34:34" ht="15" thickBot="1" x14ac:dyDescent="0.4">
      <c r="AH7996" s="87"/>
    </row>
    <row r="7997" spans="34:34" ht="15" thickBot="1" x14ac:dyDescent="0.4">
      <c r="AH7997" s="87"/>
    </row>
    <row r="7998" spans="34:34" ht="15" thickBot="1" x14ac:dyDescent="0.4">
      <c r="AH7998" s="87"/>
    </row>
    <row r="7999" spans="34:34" ht="15" thickBot="1" x14ac:dyDescent="0.4">
      <c r="AH7999" s="87"/>
    </row>
    <row r="8000" spans="34:34" ht="15" thickBot="1" x14ac:dyDescent="0.4">
      <c r="AH8000" s="87"/>
    </row>
    <row r="8001" spans="34:34" ht="15" thickBot="1" x14ac:dyDescent="0.4">
      <c r="AH8001" s="87"/>
    </row>
    <row r="8002" spans="34:34" ht="15" thickBot="1" x14ac:dyDescent="0.4">
      <c r="AH8002" s="87"/>
    </row>
    <row r="8003" spans="34:34" ht="15" thickBot="1" x14ac:dyDescent="0.4">
      <c r="AH8003" s="87"/>
    </row>
    <row r="8004" spans="34:34" ht="15" thickBot="1" x14ac:dyDescent="0.4">
      <c r="AH8004" s="87"/>
    </row>
    <row r="8005" spans="34:34" ht="15" thickBot="1" x14ac:dyDescent="0.4">
      <c r="AH8005" s="87"/>
    </row>
    <row r="8006" spans="34:34" ht="15" thickBot="1" x14ac:dyDescent="0.4">
      <c r="AH8006" s="87"/>
    </row>
    <row r="8007" spans="34:34" ht="15" thickBot="1" x14ac:dyDescent="0.4">
      <c r="AH8007" s="87"/>
    </row>
    <row r="8008" spans="34:34" ht="15" thickBot="1" x14ac:dyDescent="0.4">
      <c r="AH8008" s="87"/>
    </row>
    <row r="8009" spans="34:34" ht="15" thickBot="1" x14ac:dyDescent="0.4">
      <c r="AH8009" s="87"/>
    </row>
    <row r="8010" spans="34:34" ht="15" thickBot="1" x14ac:dyDescent="0.4">
      <c r="AH8010" s="87"/>
    </row>
    <row r="8011" spans="34:34" ht="15" thickBot="1" x14ac:dyDescent="0.4">
      <c r="AH8011" s="87"/>
    </row>
    <row r="8012" spans="34:34" ht="15" thickBot="1" x14ac:dyDescent="0.4">
      <c r="AH8012" s="87"/>
    </row>
    <row r="8013" spans="34:34" ht="15" thickBot="1" x14ac:dyDescent="0.4">
      <c r="AH8013" s="87"/>
    </row>
    <row r="8014" spans="34:34" ht="15" thickBot="1" x14ac:dyDescent="0.4">
      <c r="AH8014" s="87"/>
    </row>
    <row r="8015" spans="34:34" ht="15" thickBot="1" x14ac:dyDescent="0.4">
      <c r="AH8015" s="87"/>
    </row>
    <row r="8016" spans="34:34" ht="15" thickBot="1" x14ac:dyDescent="0.4">
      <c r="AH8016" s="87"/>
    </row>
    <row r="8017" spans="34:34" ht="15" thickBot="1" x14ac:dyDescent="0.4">
      <c r="AH8017" s="87"/>
    </row>
    <row r="8018" spans="34:34" ht="15" thickBot="1" x14ac:dyDescent="0.4">
      <c r="AH8018" s="87"/>
    </row>
    <row r="8019" spans="34:34" ht="15" thickBot="1" x14ac:dyDescent="0.4">
      <c r="AH8019" s="87"/>
    </row>
    <row r="8020" spans="34:34" ht="15" thickBot="1" x14ac:dyDescent="0.4">
      <c r="AH8020" s="87"/>
    </row>
    <row r="8021" spans="34:34" ht="15" thickBot="1" x14ac:dyDescent="0.4">
      <c r="AH8021" s="87"/>
    </row>
    <row r="8022" spans="34:34" ht="15" thickBot="1" x14ac:dyDescent="0.4">
      <c r="AH8022" s="87"/>
    </row>
    <row r="8023" spans="34:34" ht="15" thickBot="1" x14ac:dyDescent="0.4">
      <c r="AH8023" s="87"/>
    </row>
    <row r="8024" spans="34:34" ht="15" thickBot="1" x14ac:dyDescent="0.4">
      <c r="AH8024" s="87"/>
    </row>
    <row r="8025" spans="34:34" ht="15" thickBot="1" x14ac:dyDescent="0.4">
      <c r="AH8025" s="87"/>
    </row>
    <row r="8026" spans="34:34" ht="15" thickBot="1" x14ac:dyDescent="0.4">
      <c r="AH8026" s="87"/>
    </row>
    <row r="8027" spans="34:34" ht="15" thickBot="1" x14ac:dyDescent="0.4">
      <c r="AH8027" s="87"/>
    </row>
    <row r="8028" spans="34:34" ht="15" thickBot="1" x14ac:dyDescent="0.4">
      <c r="AH8028" s="87"/>
    </row>
    <row r="8029" spans="34:34" ht="15" thickBot="1" x14ac:dyDescent="0.4">
      <c r="AH8029" s="87"/>
    </row>
    <row r="8030" spans="34:34" ht="15" thickBot="1" x14ac:dyDescent="0.4">
      <c r="AH8030" s="87"/>
    </row>
    <row r="8031" spans="34:34" ht="15" thickBot="1" x14ac:dyDescent="0.4">
      <c r="AH8031" s="87"/>
    </row>
    <row r="8032" spans="34:34" ht="15" thickBot="1" x14ac:dyDescent="0.4">
      <c r="AH8032" s="87"/>
    </row>
    <row r="8033" spans="34:34" ht="15" thickBot="1" x14ac:dyDescent="0.4">
      <c r="AH8033" s="87"/>
    </row>
    <row r="8034" spans="34:34" ht="15" thickBot="1" x14ac:dyDescent="0.4">
      <c r="AH8034" s="87"/>
    </row>
    <row r="8035" spans="34:34" ht="15" thickBot="1" x14ac:dyDescent="0.4">
      <c r="AH8035" s="87"/>
    </row>
    <row r="8036" spans="34:34" ht="15" thickBot="1" x14ac:dyDescent="0.4">
      <c r="AH8036" s="87"/>
    </row>
    <row r="8037" spans="34:34" ht="15" thickBot="1" x14ac:dyDescent="0.4">
      <c r="AH8037" s="87"/>
    </row>
    <row r="8038" spans="34:34" ht="15" thickBot="1" x14ac:dyDescent="0.4">
      <c r="AH8038" s="87"/>
    </row>
    <row r="8039" spans="34:34" ht="15" thickBot="1" x14ac:dyDescent="0.4">
      <c r="AH8039" s="87"/>
    </row>
    <row r="8040" spans="34:34" ht="15" thickBot="1" x14ac:dyDescent="0.4">
      <c r="AH8040" s="87"/>
    </row>
    <row r="8041" spans="34:34" ht="15" thickBot="1" x14ac:dyDescent="0.4">
      <c r="AH8041" s="87"/>
    </row>
    <row r="8042" spans="34:34" ht="15" thickBot="1" x14ac:dyDescent="0.4">
      <c r="AH8042" s="87"/>
    </row>
    <row r="8043" spans="34:34" ht="15" thickBot="1" x14ac:dyDescent="0.4">
      <c r="AH8043" s="87"/>
    </row>
    <row r="8044" spans="34:34" ht="15" thickBot="1" x14ac:dyDescent="0.4">
      <c r="AH8044" s="87"/>
    </row>
    <row r="8045" spans="34:34" ht="15" thickBot="1" x14ac:dyDescent="0.4">
      <c r="AH8045" s="87"/>
    </row>
    <row r="8046" spans="34:34" ht="15" thickBot="1" x14ac:dyDescent="0.4">
      <c r="AH8046" s="87"/>
    </row>
    <row r="8047" spans="34:34" ht="15" thickBot="1" x14ac:dyDescent="0.4">
      <c r="AH8047" s="87"/>
    </row>
    <row r="8048" spans="34:34" ht="15" thickBot="1" x14ac:dyDescent="0.4">
      <c r="AH8048" s="87"/>
    </row>
    <row r="8049" spans="34:34" ht="15" thickBot="1" x14ac:dyDescent="0.4">
      <c r="AH8049" s="87"/>
    </row>
    <row r="8050" spans="34:34" ht="15" thickBot="1" x14ac:dyDescent="0.4">
      <c r="AH8050" s="87"/>
    </row>
    <row r="8051" spans="34:34" ht="15" thickBot="1" x14ac:dyDescent="0.4">
      <c r="AH8051" s="87"/>
    </row>
    <row r="8052" spans="34:34" ht="15" thickBot="1" x14ac:dyDescent="0.4">
      <c r="AH8052" s="87"/>
    </row>
    <row r="8053" spans="34:34" ht="15" thickBot="1" x14ac:dyDescent="0.4">
      <c r="AH8053" s="87"/>
    </row>
    <row r="8054" spans="34:34" ht="15" thickBot="1" x14ac:dyDescent="0.4">
      <c r="AH8054" s="87"/>
    </row>
    <row r="8055" spans="34:34" ht="15" thickBot="1" x14ac:dyDescent="0.4">
      <c r="AH8055" s="87"/>
    </row>
    <row r="8056" spans="34:34" ht="15" thickBot="1" x14ac:dyDescent="0.4">
      <c r="AH8056" s="87"/>
    </row>
    <row r="8057" spans="34:34" ht="15" thickBot="1" x14ac:dyDescent="0.4">
      <c r="AH8057" s="87"/>
    </row>
    <row r="8058" spans="34:34" ht="15" thickBot="1" x14ac:dyDescent="0.4">
      <c r="AH8058" s="87"/>
    </row>
    <row r="8059" spans="34:34" ht="15" thickBot="1" x14ac:dyDescent="0.4">
      <c r="AH8059" s="87"/>
    </row>
    <row r="8060" spans="34:34" ht="15" thickBot="1" x14ac:dyDescent="0.4">
      <c r="AH8060" s="87"/>
    </row>
    <row r="8061" spans="34:34" ht="15" thickBot="1" x14ac:dyDescent="0.4">
      <c r="AH8061" s="87"/>
    </row>
    <row r="8062" spans="34:34" ht="15" thickBot="1" x14ac:dyDescent="0.4">
      <c r="AH8062" s="87"/>
    </row>
    <row r="8063" spans="34:34" ht="15" thickBot="1" x14ac:dyDescent="0.4">
      <c r="AH8063" s="87"/>
    </row>
    <row r="8064" spans="34:34" ht="15" thickBot="1" x14ac:dyDescent="0.4">
      <c r="AH8064" s="87"/>
    </row>
    <row r="8065" spans="34:34" ht="15" thickBot="1" x14ac:dyDescent="0.4">
      <c r="AH8065" s="87"/>
    </row>
    <row r="8066" spans="34:34" ht="15" thickBot="1" x14ac:dyDescent="0.4">
      <c r="AH8066" s="87"/>
    </row>
    <row r="8067" spans="34:34" ht="15" thickBot="1" x14ac:dyDescent="0.4">
      <c r="AH8067" s="87"/>
    </row>
    <row r="8068" spans="34:34" ht="15" thickBot="1" x14ac:dyDescent="0.4">
      <c r="AH8068" s="87"/>
    </row>
    <row r="8069" spans="34:34" ht="15" thickBot="1" x14ac:dyDescent="0.4">
      <c r="AH8069" s="87"/>
    </row>
    <row r="8070" spans="34:34" ht="15" thickBot="1" x14ac:dyDescent="0.4">
      <c r="AH8070" s="87"/>
    </row>
    <row r="8071" spans="34:34" ht="15" thickBot="1" x14ac:dyDescent="0.4">
      <c r="AH8071" s="87"/>
    </row>
    <row r="8072" spans="34:34" ht="15" thickBot="1" x14ac:dyDescent="0.4">
      <c r="AH8072" s="87"/>
    </row>
    <row r="8073" spans="34:34" ht="15" thickBot="1" x14ac:dyDescent="0.4">
      <c r="AH8073" s="87"/>
    </row>
    <row r="8074" spans="34:34" ht="15" thickBot="1" x14ac:dyDescent="0.4">
      <c r="AH8074" s="87"/>
    </row>
    <row r="8075" spans="34:34" ht="15" thickBot="1" x14ac:dyDescent="0.4">
      <c r="AH8075" s="87"/>
    </row>
    <row r="8076" spans="34:34" ht="15" thickBot="1" x14ac:dyDescent="0.4">
      <c r="AH8076" s="87"/>
    </row>
    <row r="8077" spans="34:34" ht="15" thickBot="1" x14ac:dyDescent="0.4">
      <c r="AH8077" s="87"/>
    </row>
    <row r="8078" spans="34:34" ht="15" thickBot="1" x14ac:dyDescent="0.4">
      <c r="AH8078" s="87"/>
    </row>
    <row r="8079" spans="34:34" ht="15" thickBot="1" x14ac:dyDescent="0.4">
      <c r="AH8079" s="87"/>
    </row>
    <row r="8080" spans="34:34" ht="15" thickBot="1" x14ac:dyDescent="0.4">
      <c r="AH8080" s="87"/>
    </row>
    <row r="8081" spans="34:34" ht="15" thickBot="1" x14ac:dyDescent="0.4">
      <c r="AH8081" s="87"/>
    </row>
    <row r="8082" spans="34:34" ht="15" thickBot="1" x14ac:dyDescent="0.4">
      <c r="AH8082" s="87"/>
    </row>
    <row r="8083" spans="34:34" ht="15" thickBot="1" x14ac:dyDescent="0.4">
      <c r="AH8083" s="87"/>
    </row>
    <row r="8084" spans="34:34" ht="15" thickBot="1" x14ac:dyDescent="0.4">
      <c r="AH8084" s="87"/>
    </row>
    <row r="8085" spans="34:34" ht="15" thickBot="1" x14ac:dyDescent="0.4">
      <c r="AH8085" s="87"/>
    </row>
    <row r="8086" spans="34:34" ht="15" thickBot="1" x14ac:dyDescent="0.4">
      <c r="AH8086" s="87"/>
    </row>
    <row r="8087" spans="34:34" ht="15" thickBot="1" x14ac:dyDescent="0.4">
      <c r="AH8087" s="87"/>
    </row>
    <row r="8088" spans="34:34" ht="15" thickBot="1" x14ac:dyDescent="0.4">
      <c r="AH8088" s="87"/>
    </row>
    <row r="8089" spans="34:34" ht="15" thickBot="1" x14ac:dyDescent="0.4">
      <c r="AH8089" s="87"/>
    </row>
    <row r="8090" spans="34:34" ht="15" thickBot="1" x14ac:dyDescent="0.4">
      <c r="AH8090" s="87"/>
    </row>
    <row r="8091" spans="34:34" ht="15" thickBot="1" x14ac:dyDescent="0.4">
      <c r="AH8091" s="87"/>
    </row>
    <row r="8092" spans="34:34" ht="15" thickBot="1" x14ac:dyDescent="0.4">
      <c r="AH8092" s="87"/>
    </row>
    <row r="8093" spans="34:34" ht="15" thickBot="1" x14ac:dyDescent="0.4">
      <c r="AH8093" s="87"/>
    </row>
    <row r="8094" spans="34:34" ht="15" thickBot="1" x14ac:dyDescent="0.4">
      <c r="AH8094" s="87"/>
    </row>
    <row r="8095" spans="34:34" ht="15" thickBot="1" x14ac:dyDescent="0.4">
      <c r="AH8095" s="87"/>
    </row>
    <row r="8096" spans="34:34" ht="15" thickBot="1" x14ac:dyDescent="0.4">
      <c r="AH8096" s="87"/>
    </row>
    <row r="8097" spans="34:34" ht="15" thickBot="1" x14ac:dyDescent="0.4">
      <c r="AH8097" s="87"/>
    </row>
    <row r="8098" spans="34:34" ht="15" thickBot="1" x14ac:dyDescent="0.4">
      <c r="AH8098" s="87"/>
    </row>
    <row r="8099" spans="34:34" ht="15" thickBot="1" x14ac:dyDescent="0.4">
      <c r="AH8099" s="87"/>
    </row>
    <row r="8100" spans="34:34" ht="15" thickBot="1" x14ac:dyDescent="0.4">
      <c r="AH8100" s="87"/>
    </row>
    <row r="8101" spans="34:34" ht="15" thickBot="1" x14ac:dyDescent="0.4">
      <c r="AH8101" s="87"/>
    </row>
    <row r="8102" spans="34:34" ht="15" thickBot="1" x14ac:dyDescent="0.4">
      <c r="AH8102" s="87"/>
    </row>
    <row r="8103" spans="34:34" ht="15" thickBot="1" x14ac:dyDescent="0.4">
      <c r="AH8103" s="87"/>
    </row>
    <row r="8104" spans="34:34" ht="15" thickBot="1" x14ac:dyDescent="0.4">
      <c r="AH8104" s="87"/>
    </row>
    <row r="8105" spans="34:34" ht="15" thickBot="1" x14ac:dyDescent="0.4">
      <c r="AH8105" s="87"/>
    </row>
    <row r="8106" spans="34:34" ht="15" thickBot="1" x14ac:dyDescent="0.4">
      <c r="AH8106" s="87"/>
    </row>
    <row r="8107" spans="34:34" ht="15" thickBot="1" x14ac:dyDescent="0.4">
      <c r="AH8107" s="87"/>
    </row>
    <row r="8108" spans="34:34" ht="15" thickBot="1" x14ac:dyDescent="0.4">
      <c r="AH8108" s="87"/>
    </row>
    <row r="8109" spans="34:34" ht="15" thickBot="1" x14ac:dyDescent="0.4">
      <c r="AH8109" s="87"/>
    </row>
    <row r="8110" spans="34:34" ht="15" thickBot="1" x14ac:dyDescent="0.4">
      <c r="AH8110" s="87"/>
    </row>
    <row r="8111" spans="34:34" ht="15" thickBot="1" x14ac:dyDescent="0.4">
      <c r="AH8111" s="87"/>
    </row>
    <row r="8112" spans="34:34" ht="15" thickBot="1" x14ac:dyDescent="0.4">
      <c r="AH8112" s="87"/>
    </row>
    <row r="8113" spans="34:34" ht="15" thickBot="1" x14ac:dyDescent="0.4">
      <c r="AH8113" s="87"/>
    </row>
    <row r="8114" spans="34:34" ht="15" thickBot="1" x14ac:dyDescent="0.4">
      <c r="AH8114" s="87"/>
    </row>
    <row r="8115" spans="34:34" ht="15" thickBot="1" x14ac:dyDescent="0.4">
      <c r="AH8115" s="87"/>
    </row>
    <row r="8116" spans="34:34" ht="15" thickBot="1" x14ac:dyDescent="0.4">
      <c r="AH8116" s="87"/>
    </row>
    <row r="8117" spans="34:34" ht="15" thickBot="1" x14ac:dyDescent="0.4">
      <c r="AH8117" s="87"/>
    </row>
    <row r="8118" spans="34:34" ht="15" thickBot="1" x14ac:dyDescent="0.4">
      <c r="AH8118" s="87"/>
    </row>
    <row r="8119" spans="34:34" ht="15" thickBot="1" x14ac:dyDescent="0.4">
      <c r="AH8119" s="87"/>
    </row>
    <row r="8120" spans="34:34" ht="15" thickBot="1" x14ac:dyDescent="0.4">
      <c r="AH8120" s="87"/>
    </row>
    <row r="8121" spans="34:34" ht="15" thickBot="1" x14ac:dyDescent="0.4">
      <c r="AH8121" s="87"/>
    </row>
    <row r="8122" spans="34:34" ht="15" thickBot="1" x14ac:dyDescent="0.4">
      <c r="AH8122" s="87"/>
    </row>
    <row r="8123" spans="34:34" ht="15" thickBot="1" x14ac:dyDescent="0.4">
      <c r="AH8123" s="87"/>
    </row>
    <row r="8124" spans="34:34" ht="15" thickBot="1" x14ac:dyDescent="0.4">
      <c r="AH8124" s="87"/>
    </row>
    <row r="8125" spans="34:34" ht="15" thickBot="1" x14ac:dyDescent="0.4">
      <c r="AH8125" s="87"/>
    </row>
    <row r="8126" spans="34:34" ht="15" thickBot="1" x14ac:dyDescent="0.4">
      <c r="AH8126" s="87"/>
    </row>
    <row r="8127" spans="34:34" ht="15" thickBot="1" x14ac:dyDescent="0.4">
      <c r="AH8127" s="87"/>
    </row>
    <row r="8128" spans="34:34" ht="15" thickBot="1" x14ac:dyDescent="0.4">
      <c r="AH8128" s="87"/>
    </row>
    <row r="8129" spans="34:34" ht="15" thickBot="1" x14ac:dyDescent="0.4">
      <c r="AH8129" s="87"/>
    </row>
    <row r="8130" spans="34:34" ht="15" thickBot="1" x14ac:dyDescent="0.4">
      <c r="AH8130" s="87"/>
    </row>
    <row r="8131" spans="34:34" ht="15" thickBot="1" x14ac:dyDescent="0.4">
      <c r="AH8131" s="87"/>
    </row>
    <row r="8132" spans="34:34" ht="15" thickBot="1" x14ac:dyDescent="0.4">
      <c r="AH8132" s="87"/>
    </row>
    <row r="8133" spans="34:34" ht="15" thickBot="1" x14ac:dyDescent="0.4">
      <c r="AH8133" s="87"/>
    </row>
    <row r="8134" spans="34:34" ht="15" thickBot="1" x14ac:dyDescent="0.4">
      <c r="AH8134" s="87"/>
    </row>
    <row r="8135" spans="34:34" ht="15" thickBot="1" x14ac:dyDescent="0.4">
      <c r="AH8135" s="87"/>
    </row>
    <row r="8136" spans="34:34" ht="15" thickBot="1" x14ac:dyDescent="0.4">
      <c r="AH8136" s="87"/>
    </row>
    <row r="8137" spans="34:34" ht="15" thickBot="1" x14ac:dyDescent="0.4">
      <c r="AH8137" s="87"/>
    </row>
    <row r="8138" spans="34:34" ht="15" thickBot="1" x14ac:dyDescent="0.4">
      <c r="AH8138" s="87"/>
    </row>
    <row r="8139" spans="34:34" ht="15" thickBot="1" x14ac:dyDescent="0.4">
      <c r="AH8139" s="87"/>
    </row>
    <row r="8140" spans="34:34" ht="15" thickBot="1" x14ac:dyDescent="0.4">
      <c r="AH8140" s="87"/>
    </row>
    <row r="8141" spans="34:34" ht="15" thickBot="1" x14ac:dyDescent="0.4">
      <c r="AH8141" s="87"/>
    </row>
    <row r="8142" spans="34:34" ht="15" thickBot="1" x14ac:dyDescent="0.4">
      <c r="AH8142" s="87"/>
    </row>
    <row r="8143" spans="34:34" ht="15" thickBot="1" x14ac:dyDescent="0.4">
      <c r="AH8143" s="87"/>
    </row>
    <row r="8144" spans="34:34" ht="15" thickBot="1" x14ac:dyDescent="0.4">
      <c r="AH8144" s="87"/>
    </row>
    <row r="8145" spans="34:34" ht="15" thickBot="1" x14ac:dyDescent="0.4">
      <c r="AH8145" s="87"/>
    </row>
    <row r="8146" spans="34:34" ht="15" thickBot="1" x14ac:dyDescent="0.4">
      <c r="AH8146" s="87"/>
    </row>
    <row r="8147" spans="34:34" ht="15" thickBot="1" x14ac:dyDescent="0.4">
      <c r="AH8147" s="87"/>
    </row>
    <row r="8148" spans="34:34" ht="15" thickBot="1" x14ac:dyDescent="0.4">
      <c r="AH8148" s="87"/>
    </row>
    <row r="8149" spans="34:34" ht="15" thickBot="1" x14ac:dyDescent="0.4">
      <c r="AH8149" s="87"/>
    </row>
    <row r="8150" spans="34:34" ht="15" thickBot="1" x14ac:dyDescent="0.4">
      <c r="AH8150" s="87"/>
    </row>
    <row r="8151" spans="34:34" ht="15" thickBot="1" x14ac:dyDescent="0.4">
      <c r="AH8151" s="87"/>
    </row>
    <row r="8152" spans="34:34" ht="15" thickBot="1" x14ac:dyDescent="0.4">
      <c r="AH8152" s="87"/>
    </row>
    <row r="8153" spans="34:34" ht="15" thickBot="1" x14ac:dyDescent="0.4">
      <c r="AH8153" s="87"/>
    </row>
    <row r="8154" spans="34:34" ht="15" thickBot="1" x14ac:dyDescent="0.4">
      <c r="AH8154" s="87"/>
    </row>
    <row r="8155" spans="34:34" ht="15" thickBot="1" x14ac:dyDescent="0.4">
      <c r="AH8155" s="87"/>
    </row>
    <row r="8156" spans="34:34" ht="15" thickBot="1" x14ac:dyDescent="0.4">
      <c r="AH8156" s="87"/>
    </row>
    <row r="8157" spans="34:34" ht="15" thickBot="1" x14ac:dyDescent="0.4">
      <c r="AH8157" s="87"/>
    </row>
    <row r="8158" spans="34:34" ht="15" thickBot="1" x14ac:dyDescent="0.4">
      <c r="AH8158" s="87"/>
    </row>
    <row r="8159" spans="34:34" ht="15" thickBot="1" x14ac:dyDescent="0.4">
      <c r="AH8159" s="87"/>
    </row>
    <row r="8160" spans="34:34" ht="15" thickBot="1" x14ac:dyDescent="0.4">
      <c r="AH8160" s="87"/>
    </row>
    <row r="8161" spans="34:34" ht="15" thickBot="1" x14ac:dyDescent="0.4">
      <c r="AH8161" s="87"/>
    </row>
    <row r="8162" spans="34:34" ht="15" thickBot="1" x14ac:dyDescent="0.4">
      <c r="AH8162" s="87"/>
    </row>
    <row r="8163" spans="34:34" ht="15" thickBot="1" x14ac:dyDescent="0.4">
      <c r="AH8163" s="87"/>
    </row>
    <row r="8164" spans="34:34" ht="15" thickBot="1" x14ac:dyDescent="0.4">
      <c r="AH8164" s="87"/>
    </row>
    <row r="8165" spans="34:34" ht="15" thickBot="1" x14ac:dyDescent="0.4">
      <c r="AH8165" s="87"/>
    </row>
    <row r="8166" spans="34:34" ht="15" thickBot="1" x14ac:dyDescent="0.4">
      <c r="AH8166" s="87"/>
    </row>
    <row r="8167" spans="34:34" ht="15" thickBot="1" x14ac:dyDescent="0.4">
      <c r="AH8167" s="87"/>
    </row>
    <row r="8168" spans="34:34" ht="15" thickBot="1" x14ac:dyDescent="0.4">
      <c r="AH8168" s="87"/>
    </row>
    <row r="8169" spans="34:34" ht="15" thickBot="1" x14ac:dyDescent="0.4">
      <c r="AH8169" s="87"/>
    </row>
    <row r="8170" spans="34:34" ht="15" thickBot="1" x14ac:dyDescent="0.4">
      <c r="AH8170" s="87"/>
    </row>
    <row r="8171" spans="34:34" ht="15" thickBot="1" x14ac:dyDescent="0.4">
      <c r="AH8171" s="87"/>
    </row>
    <row r="8172" spans="34:34" ht="15" thickBot="1" x14ac:dyDescent="0.4">
      <c r="AH8172" s="87"/>
    </row>
    <row r="8173" spans="34:34" ht="15" thickBot="1" x14ac:dyDescent="0.4">
      <c r="AH8173" s="87"/>
    </row>
    <row r="8174" spans="34:34" ht="15" thickBot="1" x14ac:dyDescent="0.4">
      <c r="AH8174" s="87"/>
    </row>
    <row r="8175" spans="34:34" ht="15" thickBot="1" x14ac:dyDescent="0.4">
      <c r="AH8175" s="87"/>
    </row>
    <row r="8176" spans="34:34" ht="15" thickBot="1" x14ac:dyDescent="0.4">
      <c r="AH8176" s="87"/>
    </row>
    <row r="8177" spans="34:34" ht="15" thickBot="1" x14ac:dyDescent="0.4">
      <c r="AH8177" s="87"/>
    </row>
    <row r="8178" spans="34:34" ht="15" thickBot="1" x14ac:dyDescent="0.4">
      <c r="AH8178" s="87"/>
    </row>
    <row r="8179" spans="34:34" ht="15" thickBot="1" x14ac:dyDescent="0.4">
      <c r="AH8179" s="87"/>
    </row>
    <row r="8180" spans="34:34" ht="15" thickBot="1" x14ac:dyDescent="0.4">
      <c r="AH8180" s="87"/>
    </row>
    <row r="8181" spans="34:34" ht="15" thickBot="1" x14ac:dyDescent="0.4">
      <c r="AH8181" s="87"/>
    </row>
    <row r="8182" spans="34:34" ht="15" thickBot="1" x14ac:dyDescent="0.4">
      <c r="AH8182" s="87"/>
    </row>
    <row r="8183" spans="34:34" ht="15" thickBot="1" x14ac:dyDescent="0.4">
      <c r="AH8183" s="87"/>
    </row>
    <row r="8184" spans="34:34" ht="15" thickBot="1" x14ac:dyDescent="0.4">
      <c r="AH8184" s="87"/>
    </row>
    <row r="8185" spans="34:34" ht="15" thickBot="1" x14ac:dyDescent="0.4">
      <c r="AH8185" s="87"/>
    </row>
    <row r="8186" spans="34:34" ht="15" thickBot="1" x14ac:dyDescent="0.4">
      <c r="AH8186" s="87"/>
    </row>
    <row r="8187" spans="34:34" ht="15" thickBot="1" x14ac:dyDescent="0.4">
      <c r="AH8187" s="87"/>
    </row>
    <row r="8188" spans="34:34" ht="15" thickBot="1" x14ac:dyDescent="0.4">
      <c r="AH8188" s="87"/>
    </row>
    <row r="8189" spans="34:34" ht="15" thickBot="1" x14ac:dyDescent="0.4">
      <c r="AH8189" s="87"/>
    </row>
    <row r="8190" spans="34:34" ht="15" thickBot="1" x14ac:dyDescent="0.4">
      <c r="AH8190" s="87"/>
    </row>
    <row r="8191" spans="34:34" ht="15" thickBot="1" x14ac:dyDescent="0.4">
      <c r="AH8191" s="87"/>
    </row>
    <row r="8192" spans="34:34" ht="15" thickBot="1" x14ac:dyDescent="0.4">
      <c r="AH8192" s="87"/>
    </row>
    <row r="8193" spans="34:34" ht="15" thickBot="1" x14ac:dyDescent="0.4">
      <c r="AH8193" s="87"/>
    </row>
    <row r="8194" spans="34:34" ht="15" thickBot="1" x14ac:dyDescent="0.4">
      <c r="AH8194" s="87"/>
    </row>
    <row r="8195" spans="34:34" ht="15" thickBot="1" x14ac:dyDescent="0.4">
      <c r="AH8195" s="87"/>
    </row>
    <row r="8196" spans="34:34" ht="15" thickBot="1" x14ac:dyDescent="0.4">
      <c r="AH8196" s="87"/>
    </row>
    <row r="8197" spans="34:34" ht="15" thickBot="1" x14ac:dyDescent="0.4">
      <c r="AH8197" s="87"/>
    </row>
    <row r="8198" spans="34:34" ht="15" thickBot="1" x14ac:dyDescent="0.4">
      <c r="AH8198" s="87"/>
    </row>
    <row r="8199" spans="34:34" ht="15" thickBot="1" x14ac:dyDescent="0.4">
      <c r="AH8199" s="87"/>
    </row>
    <row r="8200" spans="34:34" ht="15" thickBot="1" x14ac:dyDescent="0.4">
      <c r="AH8200" s="87"/>
    </row>
    <row r="8201" spans="34:34" ht="15" thickBot="1" x14ac:dyDescent="0.4">
      <c r="AH8201" s="87"/>
    </row>
    <row r="8202" spans="34:34" ht="15" thickBot="1" x14ac:dyDescent="0.4">
      <c r="AH8202" s="87"/>
    </row>
    <row r="8203" spans="34:34" ht="15" thickBot="1" x14ac:dyDescent="0.4">
      <c r="AH8203" s="87"/>
    </row>
    <row r="8204" spans="34:34" ht="15" thickBot="1" x14ac:dyDescent="0.4">
      <c r="AH8204" s="87"/>
    </row>
    <row r="8205" spans="34:34" ht="15" thickBot="1" x14ac:dyDescent="0.4">
      <c r="AH8205" s="87"/>
    </row>
    <row r="8206" spans="34:34" ht="15" thickBot="1" x14ac:dyDescent="0.4">
      <c r="AH8206" s="87"/>
    </row>
    <row r="8207" spans="34:34" ht="15" thickBot="1" x14ac:dyDescent="0.4">
      <c r="AH8207" s="87"/>
    </row>
    <row r="8208" spans="34:34" ht="15" thickBot="1" x14ac:dyDescent="0.4">
      <c r="AH8208" s="87"/>
    </row>
    <row r="8209" spans="34:34" ht="15" thickBot="1" x14ac:dyDescent="0.4">
      <c r="AH8209" s="87"/>
    </row>
    <row r="8210" spans="34:34" ht="15" thickBot="1" x14ac:dyDescent="0.4">
      <c r="AH8210" s="87"/>
    </row>
    <row r="8211" spans="34:34" ht="15" thickBot="1" x14ac:dyDescent="0.4">
      <c r="AH8211" s="87"/>
    </row>
    <row r="8212" spans="34:34" ht="15" thickBot="1" x14ac:dyDescent="0.4">
      <c r="AH8212" s="87"/>
    </row>
    <row r="8213" spans="34:34" ht="15" thickBot="1" x14ac:dyDescent="0.4">
      <c r="AH8213" s="87"/>
    </row>
    <row r="8214" spans="34:34" ht="15" thickBot="1" x14ac:dyDescent="0.4">
      <c r="AH8214" s="87"/>
    </row>
    <row r="8215" spans="34:34" ht="15" thickBot="1" x14ac:dyDescent="0.4">
      <c r="AH8215" s="87"/>
    </row>
    <row r="8216" spans="34:34" ht="15" thickBot="1" x14ac:dyDescent="0.4">
      <c r="AH8216" s="87"/>
    </row>
    <row r="8217" spans="34:34" ht="15" thickBot="1" x14ac:dyDescent="0.4">
      <c r="AH8217" s="87"/>
    </row>
    <row r="8218" spans="34:34" ht="15" thickBot="1" x14ac:dyDescent="0.4">
      <c r="AH8218" s="87"/>
    </row>
    <row r="8219" spans="34:34" ht="15" thickBot="1" x14ac:dyDescent="0.4">
      <c r="AH8219" s="87"/>
    </row>
    <row r="8220" spans="34:34" ht="15" thickBot="1" x14ac:dyDescent="0.4">
      <c r="AH8220" s="87"/>
    </row>
    <row r="8221" spans="34:34" ht="15" thickBot="1" x14ac:dyDescent="0.4">
      <c r="AH8221" s="87"/>
    </row>
    <row r="8222" spans="34:34" ht="15" thickBot="1" x14ac:dyDescent="0.4">
      <c r="AH8222" s="87"/>
    </row>
    <row r="8223" spans="34:34" ht="15" thickBot="1" x14ac:dyDescent="0.4">
      <c r="AH8223" s="87"/>
    </row>
    <row r="8224" spans="34:34" ht="15" thickBot="1" x14ac:dyDescent="0.4">
      <c r="AH8224" s="87"/>
    </row>
    <row r="8225" spans="34:34" ht="15" thickBot="1" x14ac:dyDescent="0.4">
      <c r="AH8225" s="87"/>
    </row>
    <row r="8226" spans="34:34" ht="15" thickBot="1" x14ac:dyDescent="0.4">
      <c r="AH8226" s="87"/>
    </row>
    <row r="8227" spans="34:34" ht="15" thickBot="1" x14ac:dyDescent="0.4">
      <c r="AH8227" s="87"/>
    </row>
    <row r="8228" spans="34:34" ht="15" thickBot="1" x14ac:dyDescent="0.4">
      <c r="AH8228" s="87"/>
    </row>
    <row r="8229" spans="34:34" ht="15" thickBot="1" x14ac:dyDescent="0.4">
      <c r="AH8229" s="87"/>
    </row>
    <row r="8230" spans="34:34" ht="15" thickBot="1" x14ac:dyDescent="0.4">
      <c r="AH8230" s="87"/>
    </row>
    <row r="8231" spans="34:34" ht="15" thickBot="1" x14ac:dyDescent="0.4">
      <c r="AH8231" s="87"/>
    </row>
    <row r="8232" spans="34:34" ht="15" thickBot="1" x14ac:dyDescent="0.4">
      <c r="AH8232" s="87"/>
    </row>
    <row r="8233" spans="34:34" ht="15" thickBot="1" x14ac:dyDescent="0.4">
      <c r="AH8233" s="87"/>
    </row>
    <row r="8234" spans="34:34" ht="15" thickBot="1" x14ac:dyDescent="0.4">
      <c r="AH8234" s="87"/>
    </row>
    <row r="8235" spans="34:34" ht="15" thickBot="1" x14ac:dyDescent="0.4">
      <c r="AH8235" s="87"/>
    </row>
    <row r="8236" spans="34:34" ht="15" thickBot="1" x14ac:dyDescent="0.4">
      <c r="AH8236" s="87"/>
    </row>
    <row r="8237" spans="34:34" ht="15" thickBot="1" x14ac:dyDescent="0.4">
      <c r="AH8237" s="87"/>
    </row>
    <row r="8238" spans="34:34" ht="15" thickBot="1" x14ac:dyDescent="0.4">
      <c r="AH8238" s="87"/>
    </row>
    <row r="8239" spans="34:34" ht="15" thickBot="1" x14ac:dyDescent="0.4">
      <c r="AH8239" s="87"/>
    </row>
    <row r="8240" spans="34:34" ht="15" thickBot="1" x14ac:dyDescent="0.4">
      <c r="AH8240" s="87"/>
    </row>
    <row r="8241" spans="34:34" ht="15" thickBot="1" x14ac:dyDescent="0.4">
      <c r="AH8241" s="87"/>
    </row>
    <row r="8242" spans="34:34" ht="15" thickBot="1" x14ac:dyDescent="0.4">
      <c r="AH8242" s="87"/>
    </row>
    <row r="8243" spans="34:34" ht="15" thickBot="1" x14ac:dyDescent="0.4">
      <c r="AH8243" s="87"/>
    </row>
    <row r="8244" spans="34:34" ht="15" thickBot="1" x14ac:dyDescent="0.4">
      <c r="AH8244" s="87"/>
    </row>
    <row r="8245" spans="34:34" ht="15" thickBot="1" x14ac:dyDescent="0.4">
      <c r="AH8245" s="87"/>
    </row>
    <row r="8246" spans="34:34" ht="15" thickBot="1" x14ac:dyDescent="0.4">
      <c r="AH8246" s="87"/>
    </row>
    <row r="8247" spans="34:34" ht="15" thickBot="1" x14ac:dyDescent="0.4">
      <c r="AH8247" s="87"/>
    </row>
    <row r="8248" spans="34:34" ht="15" thickBot="1" x14ac:dyDescent="0.4">
      <c r="AH8248" s="87"/>
    </row>
    <row r="8249" spans="34:34" ht="15" thickBot="1" x14ac:dyDescent="0.4">
      <c r="AH8249" s="87"/>
    </row>
    <row r="8250" spans="34:34" ht="15" thickBot="1" x14ac:dyDescent="0.4">
      <c r="AH8250" s="87"/>
    </row>
    <row r="8251" spans="34:34" ht="15" thickBot="1" x14ac:dyDescent="0.4">
      <c r="AH8251" s="87"/>
    </row>
    <row r="8252" spans="34:34" ht="15" thickBot="1" x14ac:dyDescent="0.4">
      <c r="AH8252" s="87"/>
    </row>
    <row r="8253" spans="34:34" ht="15" thickBot="1" x14ac:dyDescent="0.4">
      <c r="AH8253" s="87"/>
    </row>
    <row r="8254" spans="34:34" ht="15" thickBot="1" x14ac:dyDescent="0.4">
      <c r="AH8254" s="87"/>
    </row>
    <row r="8255" spans="34:34" ht="15" thickBot="1" x14ac:dyDescent="0.4">
      <c r="AH8255" s="87"/>
    </row>
    <row r="8256" spans="34:34" ht="15" thickBot="1" x14ac:dyDescent="0.4">
      <c r="AH8256" s="87"/>
    </row>
    <row r="8257" spans="34:34" ht="15" thickBot="1" x14ac:dyDescent="0.4">
      <c r="AH8257" s="87"/>
    </row>
    <row r="8258" spans="34:34" ht="15" thickBot="1" x14ac:dyDescent="0.4">
      <c r="AH8258" s="87"/>
    </row>
    <row r="8259" spans="34:34" ht="15" thickBot="1" x14ac:dyDescent="0.4">
      <c r="AH8259" s="87"/>
    </row>
    <row r="8260" spans="34:34" ht="15" thickBot="1" x14ac:dyDescent="0.4">
      <c r="AH8260" s="87"/>
    </row>
    <row r="8261" spans="34:34" ht="15" thickBot="1" x14ac:dyDescent="0.4">
      <c r="AH8261" s="87"/>
    </row>
    <row r="8262" spans="34:34" ht="15" thickBot="1" x14ac:dyDescent="0.4">
      <c r="AH8262" s="87"/>
    </row>
    <row r="8263" spans="34:34" ht="15" thickBot="1" x14ac:dyDescent="0.4">
      <c r="AH8263" s="87"/>
    </row>
    <row r="8264" spans="34:34" ht="15" thickBot="1" x14ac:dyDescent="0.4">
      <c r="AH8264" s="87"/>
    </row>
    <row r="8265" spans="34:34" ht="15" thickBot="1" x14ac:dyDescent="0.4">
      <c r="AH8265" s="87"/>
    </row>
    <row r="8266" spans="34:34" ht="15" thickBot="1" x14ac:dyDescent="0.4">
      <c r="AH8266" s="87"/>
    </row>
    <row r="8267" spans="34:34" ht="15" thickBot="1" x14ac:dyDescent="0.4">
      <c r="AH8267" s="87"/>
    </row>
    <row r="8268" spans="34:34" ht="15" thickBot="1" x14ac:dyDescent="0.4">
      <c r="AH8268" s="87"/>
    </row>
    <row r="8269" spans="34:34" ht="15" thickBot="1" x14ac:dyDescent="0.4">
      <c r="AH8269" s="87"/>
    </row>
    <row r="8270" spans="34:34" ht="15" thickBot="1" x14ac:dyDescent="0.4">
      <c r="AH8270" s="87"/>
    </row>
    <row r="8271" spans="34:34" ht="15" thickBot="1" x14ac:dyDescent="0.4">
      <c r="AH8271" s="87"/>
    </row>
    <row r="8272" spans="34:34" ht="15" thickBot="1" x14ac:dyDescent="0.4">
      <c r="AH8272" s="87"/>
    </row>
    <row r="8273" spans="34:34" ht="15" thickBot="1" x14ac:dyDescent="0.4">
      <c r="AH8273" s="87"/>
    </row>
    <row r="8274" spans="34:34" ht="15" thickBot="1" x14ac:dyDescent="0.4">
      <c r="AH8274" s="87"/>
    </row>
    <row r="8275" spans="34:34" ht="15" thickBot="1" x14ac:dyDescent="0.4">
      <c r="AH8275" s="87"/>
    </row>
    <row r="8276" spans="34:34" ht="15" thickBot="1" x14ac:dyDescent="0.4">
      <c r="AH8276" s="87"/>
    </row>
    <row r="8277" spans="34:34" ht="15" thickBot="1" x14ac:dyDescent="0.4">
      <c r="AH8277" s="87"/>
    </row>
    <row r="8278" spans="34:34" ht="15" thickBot="1" x14ac:dyDescent="0.4">
      <c r="AH8278" s="87"/>
    </row>
    <row r="8279" spans="34:34" ht="15" thickBot="1" x14ac:dyDescent="0.4">
      <c r="AH8279" s="87"/>
    </row>
    <row r="8280" spans="34:34" ht="15" thickBot="1" x14ac:dyDescent="0.4">
      <c r="AH8280" s="87"/>
    </row>
    <row r="8281" spans="34:34" ht="15" thickBot="1" x14ac:dyDescent="0.4">
      <c r="AH8281" s="87"/>
    </row>
    <row r="8282" spans="34:34" ht="15" thickBot="1" x14ac:dyDescent="0.4">
      <c r="AH8282" s="87"/>
    </row>
    <row r="8283" spans="34:34" ht="15" thickBot="1" x14ac:dyDescent="0.4">
      <c r="AH8283" s="87"/>
    </row>
    <row r="8284" spans="34:34" ht="15" thickBot="1" x14ac:dyDescent="0.4">
      <c r="AH8284" s="87"/>
    </row>
    <row r="8285" spans="34:34" ht="15" thickBot="1" x14ac:dyDescent="0.4">
      <c r="AH8285" s="87"/>
    </row>
    <row r="8286" spans="34:34" ht="15" thickBot="1" x14ac:dyDescent="0.4">
      <c r="AH8286" s="87"/>
    </row>
    <row r="8287" spans="34:34" ht="15" thickBot="1" x14ac:dyDescent="0.4">
      <c r="AH8287" s="87"/>
    </row>
    <row r="8288" spans="34:34" ht="15" thickBot="1" x14ac:dyDescent="0.4">
      <c r="AH8288" s="87"/>
    </row>
    <row r="8289" spans="34:34" ht="15" thickBot="1" x14ac:dyDescent="0.4">
      <c r="AH8289" s="87"/>
    </row>
    <row r="8290" spans="34:34" ht="15" thickBot="1" x14ac:dyDescent="0.4">
      <c r="AH8290" s="87"/>
    </row>
    <row r="8291" spans="34:34" ht="15" thickBot="1" x14ac:dyDescent="0.4">
      <c r="AH8291" s="87"/>
    </row>
    <row r="8292" spans="34:34" ht="15" thickBot="1" x14ac:dyDescent="0.4">
      <c r="AH8292" s="87"/>
    </row>
    <row r="8293" spans="34:34" ht="15" thickBot="1" x14ac:dyDescent="0.4">
      <c r="AH8293" s="87"/>
    </row>
    <row r="8294" spans="34:34" ht="15" thickBot="1" x14ac:dyDescent="0.4">
      <c r="AH8294" s="87"/>
    </row>
    <row r="8295" spans="34:34" ht="15" thickBot="1" x14ac:dyDescent="0.4">
      <c r="AH8295" s="87"/>
    </row>
    <row r="8296" spans="34:34" ht="15" thickBot="1" x14ac:dyDescent="0.4">
      <c r="AH8296" s="87"/>
    </row>
    <row r="8297" spans="34:34" ht="15" thickBot="1" x14ac:dyDescent="0.4">
      <c r="AH8297" s="87"/>
    </row>
    <row r="8298" spans="34:34" ht="15" thickBot="1" x14ac:dyDescent="0.4">
      <c r="AH8298" s="87"/>
    </row>
    <row r="8299" spans="34:34" ht="15" thickBot="1" x14ac:dyDescent="0.4">
      <c r="AH8299" s="87"/>
    </row>
    <row r="8300" spans="34:34" ht="15" thickBot="1" x14ac:dyDescent="0.4">
      <c r="AH8300" s="87"/>
    </row>
    <row r="8301" spans="34:34" ht="15" thickBot="1" x14ac:dyDescent="0.4">
      <c r="AH8301" s="87"/>
    </row>
    <row r="8302" spans="34:34" ht="15" thickBot="1" x14ac:dyDescent="0.4">
      <c r="AH8302" s="87"/>
    </row>
    <row r="8303" spans="34:34" ht="15" thickBot="1" x14ac:dyDescent="0.4">
      <c r="AH8303" s="87"/>
    </row>
    <row r="8304" spans="34:34" ht="15" thickBot="1" x14ac:dyDescent="0.4">
      <c r="AH8304" s="87"/>
    </row>
    <row r="8305" spans="34:34" ht="15" thickBot="1" x14ac:dyDescent="0.4">
      <c r="AH8305" s="87"/>
    </row>
    <row r="8306" spans="34:34" ht="15" thickBot="1" x14ac:dyDescent="0.4">
      <c r="AH8306" s="87"/>
    </row>
    <row r="8307" spans="34:34" ht="15" thickBot="1" x14ac:dyDescent="0.4">
      <c r="AH8307" s="87"/>
    </row>
    <row r="8308" spans="34:34" ht="15" thickBot="1" x14ac:dyDescent="0.4">
      <c r="AH8308" s="87"/>
    </row>
    <row r="8309" spans="34:34" ht="15" thickBot="1" x14ac:dyDescent="0.4">
      <c r="AH8309" s="87"/>
    </row>
    <row r="8310" spans="34:34" ht="15" thickBot="1" x14ac:dyDescent="0.4">
      <c r="AH8310" s="87"/>
    </row>
    <row r="8311" spans="34:34" ht="15" thickBot="1" x14ac:dyDescent="0.4">
      <c r="AH8311" s="87"/>
    </row>
    <row r="8312" spans="34:34" ht="15" thickBot="1" x14ac:dyDescent="0.4">
      <c r="AH8312" s="87"/>
    </row>
    <row r="8313" spans="34:34" ht="15" thickBot="1" x14ac:dyDescent="0.4">
      <c r="AH8313" s="87"/>
    </row>
    <row r="8314" spans="34:34" ht="15" thickBot="1" x14ac:dyDescent="0.4">
      <c r="AH8314" s="87"/>
    </row>
    <row r="8315" spans="34:34" ht="15" thickBot="1" x14ac:dyDescent="0.4">
      <c r="AH8315" s="87"/>
    </row>
    <row r="8316" spans="34:34" ht="15" thickBot="1" x14ac:dyDescent="0.4">
      <c r="AH8316" s="87"/>
    </row>
    <row r="8317" spans="34:34" ht="15" thickBot="1" x14ac:dyDescent="0.4">
      <c r="AH8317" s="87"/>
    </row>
    <row r="8318" spans="34:34" ht="15" thickBot="1" x14ac:dyDescent="0.4">
      <c r="AH8318" s="87"/>
    </row>
    <row r="8319" spans="34:34" ht="15" thickBot="1" x14ac:dyDescent="0.4">
      <c r="AH8319" s="87"/>
    </row>
    <row r="8320" spans="34:34" ht="15" thickBot="1" x14ac:dyDescent="0.4">
      <c r="AH8320" s="87"/>
    </row>
    <row r="8321" spans="34:34" ht="15" thickBot="1" x14ac:dyDescent="0.4">
      <c r="AH8321" s="87"/>
    </row>
    <row r="8322" spans="34:34" ht="15" thickBot="1" x14ac:dyDescent="0.4">
      <c r="AH8322" s="87"/>
    </row>
    <row r="8323" spans="34:34" ht="15" thickBot="1" x14ac:dyDescent="0.4">
      <c r="AH8323" s="87"/>
    </row>
    <row r="8324" spans="34:34" ht="15" thickBot="1" x14ac:dyDescent="0.4">
      <c r="AH8324" s="87"/>
    </row>
    <row r="8325" spans="34:34" ht="15" thickBot="1" x14ac:dyDescent="0.4">
      <c r="AH8325" s="87"/>
    </row>
    <row r="8326" spans="34:34" ht="15" thickBot="1" x14ac:dyDescent="0.4">
      <c r="AH8326" s="87"/>
    </row>
    <row r="8327" spans="34:34" ht="15" thickBot="1" x14ac:dyDescent="0.4">
      <c r="AH8327" s="87"/>
    </row>
    <row r="8328" spans="34:34" ht="15" thickBot="1" x14ac:dyDescent="0.4">
      <c r="AH8328" s="87"/>
    </row>
    <row r="8329" spans="34:34" ht="15" thickBot="1" x14ac:dyDescent="0.4">
      <c r="AH8329" s="87"/>
    </row>
    <row r="8330" spans="34:34" ht="15" thickBot="1" x14ac:dyDescent="0.4">
      <c r="AH8330" s="87"/>
    </row>
    <row r="8331" spans="34:34" ht="15" thickBot="1" x14ac:dyDescent="0.4">
      <c r="AH8331" s="87"/>
    </row>
    <row r="8332" spans="34:34" ht="15" thickBot="1" x14ac:dyDescent="0.4">
      <c r="AH8332" s="87"/>
    </row>
    <row r="8333" spans="34:34" ht="15" thickBot="1" x14ac:dyDescent="0.4">
      <c r="AH8333" s="87"/>
    </row>
    <row r="8334" spans="34:34" ht="15" thickBot="1" x14ac:dyDescent="0.4">
      <c r="AH8334" s="87"/>
    </row>
    <row r="8335" spans="34:34" ht="15" thickBot="1" x14ac:dyDescent="0.4">
      <c r="AH8335" s="87"/>
    </row>
    <row r="8336" spans="34:34" ht="15" thickBot="1" x14ac:dyDescent="0.4">
      <c r="AH8336" s="87"/>
    </row>
    <row r="8337" spans="34:34" ht="15" thickBot="1" x14ac:dyDescent="0.4">
      <c r="AH8337" s="87"/>
    </row>
    <row r="8338" spans="34:34" ht="15" thickBot="1" x14ac:dyDescent="0.4">
      <c r="AH8338" s="87"/>
    </row>
    <row r="8339" spans="34:34" ht="15" thickBot="1" x14ac:dyDescent="0.4">
      <c r="AH8339" s="87"/>
    </row>
    <row r="8340" spans="34:34" ht="15" thickBot="1" x14ac:dyDescent="0.4">
      <c r="AH8340" s="87"/>
    </row>
    <row r="8341" spans="34:34" ht="15" thickBot="1" x14ac:dyDescent="0.4">
      <c r="AH8341" s="87"/>
    </row>
    <row r="8342" spans="34:34" ht="15" thickBot="1" x14ac:dyDescent="0.4">
      <c r="AH8342" s="87"/>
    </row>
    <row r="8343" spans="34:34" ht="15" thickBot="1" x14ac:dyDescent="0.4">
      <c r="AH8343" s="87"/>
    </row>
    <row r="8344" spans="34:34" ht="15" thickBot="1" x14ac:dyDescent="0.4">
      <c r="AH8344" s="87"/>
    </row>
    <row r="8345" spans="34:34" ht="15" thickBot="1" x14ac:dyDescent="0.4">
      <c r="AH8345" s="87"/>
    </row>
    <row r="8346" spans="34:34" ht="15" thickBot="1" x14ac:dyDescent="0.4">
      <c r="AH8346" s="87"/>
    </row>
    <row r="8347" spans="34:34" ht="15" thickBot="1" x14ac:dyDescent="0.4">
      <c r="AH8347" s="87"/>
    </row>
    <row r="8348" spans="34:34" ht="15" thickBot="1" x14ac:dyDescent="0.4">
      <c r="AH8348" s="87"/>
    </row>
    <row r="8349" spans="34:34" ht="15" thickBot="1" x14ac:dyDescent="0.4">
      <c r="AH8349" s="87"/>
    </row>
    <row r="8350" spans="34:34" ht="15" thickBot="1" x14ac:dyDescent="0.4">
      <c r="AH8350" s="87"/>
    </row>
    <row r="8351" spans="34:34" ht="15" thickBot="1" x14ac:dyDescent="0.4">
      <c r="AH8351" s="87"/>
    </row>
    <row r="8352" spans="34:34" ht="15" thickBot="1" x14ac:dyDescent="0.4">
      <c r="AH8352" s="87"/>
    </row>
    <row r="8353" spans="34:34" ht="15" thickBot="1" x14ac:dyDescent="0.4">
      <c r="AH8353" s="87"/>
    </row>
    <row r="8354" spans="34:34" ht="15" thickBot="1" x14ac:dyDescent="0.4">
      <c r="AH8354" s="87"/>
    </row>
    <row r="8355" spans="34:34" ht="15" thickBot="1" x14ac:dyDescent="0.4">
      <c r="AH8355" s="87"/>
    </row>
    <row r="8356" spans="34:34" ht="15" thickBot="1" x14ac:dyDescent="0.4">
      <c r="AH8356" s="87"/>
    </row>
    <row r="8357" spans="34:34" ht="15" thickBot="1" x14ac:dyDescent="0.4">
      <c r="AH8357" s="87"/>
    </row>
    <row r="8358" spans="34:34" ht="15" thickBot="1" x14ac:dyDescent="0.4">
      <c r="AH8358" s="87"/>
    </row>
    <row r="8359" spans="34:34" ht="15" thickBot="1" x14ac:dyDescent="0.4">
      <c r="AH8359" s="87"/>
    </row>
    <row r="8360" spans="34:34" ht="15" thickBot="1" x14ac:dyDescent="0.4">
      <c r="AH8360" s="87"/>
    </row>
    <row r="8361" spans="34:34" ht="15" thickBot="1" x14ac:dyDescent="0.4">
      <c r="AH8361" s="87"/>
    </row>
    <row r="8362" spans="34:34" ht="15" thickBot="1" x14ac:dyDescent="0.4">
      <c r="AH8362" s="87"/>
    </row>
    <row r="8363" spans="34:34" ht="15" thickBot="1" x14ac:dyDescent="0.4">
      <c r="AH8363" s="87"/>
    </row>
    <row r="8364" spans="34:34" ht="15" thickBot="1" x14ac:dyDescent="0.4">
      <c r="AH8364" s="87"/>
    </row>
    <row r="8365" spans="34:34" ht="15" thickBot="1" x14ac:dyDescent="0.4">
      <c r="AH8365" s="87"/>
    </row>
    <row r="8366" spans="34:34" ht="15" thickBot="1" x14ac:dyDescent="0.4">
      <c r="AH8366" s="87"/>
    </row>
    <row r="8367" spans="34:34" ht="15" thickBot="1" x14ac:dyDescent="0.4">
      <c r="AH8367" s="87"/>
    </row>
    <row r="8368" spans="34:34" ht="15" thickBot="1" x14ac:dyDescent="0.4">
      <c r="AH8368" s="87"/>
    </row>
    <row r="8369" spans="34:34" ht="15" thickBot="1" x14ac:dyDescent="0.4">
      <c r="AH8369" s="87"/>
    </row>
    <row r="8370" spans="34:34" ht="15" thickBot="1" x14ac:dyDescent="0.4">
      <c r="AH8370" s="87"/>
    </row>
    <row r="8371" spans="34:34" ht="15" thickBot="1" x14ac:dyDescent="0.4">
      <c r="AH8371" s="87"/>
    </row>
    <row r="8372" spans="34:34" ht="15" thickBot="1" x14ac:dyDescent="0.4">
      <c r="AH8372" s="87"/>
    </row>
    <row r="8373" spans="34:34" ht="15" thickBot="1" x14ac:dyDescent="0.4">
      <c r="AH8373" s="87"/>
    </row>
    <row r="8374" spans="34:34" ht="15" thickBot="1" x14ac:dyDescent="0.4">
      <c r="AH8374" s="87"/>
    </row>
    <row r="8375" spans="34:34" ht="15" thickBot="1" x14ac:dyDescent="0.4">
      <c r="AH8375" s="87"/>
    </row>
    <row r="8376" spans="34:34" ht="15" thickBot="1" x14ac:dyDescent="0.4">
      <c r="AH8376" s="87"/>
    </row>
    <row r="8377" spans="34:34" ht="15" thickBot="1" x14ac:dyDescent="0.4">
      <c r="AH8377" s="87"/>
    </row>
    <row r="8378" spans="34:34" ht="15" thickBot="1" x14ac:dyDescent="0.4">
      <c r="AH8378" s="87"/>
    </row>
    <row r="8379" spans="34:34" ht="15" thickBot="1" x14ac:dyDescent="0.4">
      <c r="AH8379" s="87"/>
    </row>
    <row r="8380" spans="34:34" ht="15" thickBot="1" x14ac:dyDescent="0.4">
      <c r="AH8380" s="87"/>
    </row>
    <row r="8381" spans="34:34" ht="15" thickBot="1" x14ac:dyDescent="0.4">
      <c r="AH8381" s="87"/>
    </row>
    <row r="8382" spans="34:34" ht="15" thickBot="1" x14ac:dyDescent="0.4">
      <c r="AH8382" s="87"/>
    </row>
    <row r="8383" spans="34:34" ht="15" thickBot="1" x14ac:dyDescent="0.4">
      <c r="AH8383" s="87"/>
    </row>
    <row r="8384" spans="34:34" ht="15" thickBot="1" x14ac:dyDescent="0.4">
      <c r="AH8384" s="87"/>
    </row>
    <row r="8385" spans="34:34" ht="15" thickBot="1" x14ac:dyDescent="0.4">
      <c r="AH8385" s="87"/>
    </row>
    <row r="8386" spans="34:34" ht="15" thickBot="1" x14ac:dyDescent="0.4">
      <c r="AH8386" s="87"/>
    </row>
    <row r="8387" spans="34:34" ht="15" thickBot="1" x14ac:dyDescent="0.4">
      <c r="AH8387" s="87"/>
    </row>
    <row r="8388" spans="34:34" ht="15" thickBot="1" x14ac:dyDescent="0.4">
      <c r="AH8388" s="87"/>
    </row>
    <row r="8389" spans="34:34" ht="15" thickBot="1" x14ac:dyDescent="0.4">
      <c r="AH8389" s="87"/>
    </row>
    <row r="8390" spans="34:34" ht="15" thickBot="1" x14ac:dyDescent="0.4">
      <c r="AH8390" s="87"/>
    </row>
    <row r="8391" spans="34:34" ht="15" thickBot="1" x14ac:dyDescent="0.4">
      <c r="AH8391" s="87"/>
    </row>
    <row r="8392" spans="34:34" ht="15" thickBot="1" x14ac:dyDescent="0.4">
      <c r="AH8392" s="87"/>
    </row>
    <row r="8393" spans="34:34" ht="15" thickBot="1" x14ac:dyDescent="0.4">
      <c r="AH8393" s="87"/>
    </row>
    <row r="8394" spans="34:34" ht="15" thickBot="1" x14ac:dyDescent="0.4">
      <c r="AH8394" s="87"/>
    </row>
    <row r="8395" spans="34:34" ht="15" thickBot="1" x14ac:dyDescent="0.4">
      <c r="AH8395" s="87"/>
    </row>
    <row r="8396" spans="34:34" ht="15" thickBot="1" x14ac:dyDescent="0.4">
      <c r="AH8396" s="87"/>
    </row>
    <row r="8397" spans="34:34" ht="15" thickBot="1" x14ac:dyDescent="0.4">
      <c r="AH8397" s="87"/>
    </row>
    <row r="8398" spans="34:34" ht="15" thickBot="1" x14ac:dyDescent="0.4">
      <c r="AH8398" s="87"/>
    </row>
    <row r="8399" spans="34:34" ht="15" thickBot="1" x14ac:dyDescent="0.4">
      <c r="AH8399" s="87"/>
    </row>
    <row r="8400" spans="34:34" ht="15" thickBot="1" x14ac:dyDescent="0.4">
      <c r="AH8400" s="87"/>
    </row>
    <row r="8401" spans="34:34" ht="15" thickBot="1" x14ac:dyDescent="0.4">
      <c r="AH8401" s="87"/>
    </row>
    <row r="8402" spans="34:34" ht="15" thickBot="1" x14ac:dyDescent="0.4">
      <c r="AH8402" s="87"/>
    </row>
    <row r="8403" spans="34:34" ht="15" thickBot="1" x14ac:dyDescent="0.4">
      <c r="AH8403" s="87"/>
    </row>
    <row r="8404" spans="34:34" ht="15" thickBot="1" x14ac:dyDescent="0.4">
      <c r="AH8404" s="87"/>
    </row>
    <row r="8405" spans="34:34" ht="15" thickBot="1" x14ac:dyDescent="0.4">
      <c r="AH8405" s="87"/>
    </row>
    <row r="8406" spans="34:34" ht="15" thickBot="1" x14ac:dyDescent="0.4">
      <c r="AH8406" s="87"/>
    </row>
    <row r="8407" spans="34:34" ht="15" thickBot="1" x14ac:dyDescent="0.4">
      <c r="AH8407" s="87"/>
    </row>
    <row r="8408" spans="34:34" ht="15" thickBot="1" x14ac:dyDescent="0.4">
      <c r="AH8408" s="87"/>
    </row>
    <row r="8409" spans="34:34" ht="15" thickBot="1" x14ac:dyDescent="0.4">
      <c r="AH8409" s="87"/>
    </row>
    <row r="8410" spans="34:34" ht="15" thickBot="1" x14ac:dyDescent="0.4">
      <c r="AH8410" s="87"/>
    </row>
    <row r="8411" spans="34:34" ht="15" thickBot="1" x14ac:dyDescent="0.4">
      <c r="AH8411" s="87"/>
    </row>
    <row r="8412" spans="34:34" ht="15" thickBot="1" x14ac:dyDescent="0.4">
      <c r="AH8412" s="87"/>
    </row>
    <row r="8413" spans="34:34" ht="15" thickBot="1" x14ac:dyDescent="0.4">
      <c r="AH8413" s="87"/>
    </row>
    <row r="8414" spans="34:34" ht="15" thickBot="1" x14ac:dyDescent="0.4">
      <c r="AH8414" s="87"/>
    </row>
    <row r="8415" spans="34:34" ht="15" thickBot="1" x14ac:dyDescent="0.4">
      <c r="AH8415" s="87"/>
    </row>
    <row r="8416" spans="34:34" ht="15" thickBot="1" x14ac:dyDescent="0.4">
      <c r="AH8416" s="87"/>
    </row>
    <row r="8417" spans="34:34" ht="15" thickBot="1" x14ac:dyDescent="0.4">
      <c r="AH8417" s="87"/>
    </row>
    <row r="8418" spans="34:34" ht="15" thickBot="1" x14ac:dyDescent="0.4">
      <c r="AH8418" s="87"/>
    </row>
    <row r="8419" spans="34:34" ht="15" thickBot="1" x14ac:dyDescent="0.4">
      <c r="AH8419" s="87"/>
    </row>
    <row r="8420" spans="34:34" ht="15" thickBot="1" x14ac:dyDescent="0.4">
      <c r="AH8420" s="87"/>
    </row>
    <row r="8421" spans="34:34" ht="15" thickBot="1" x14ac:dyDescent="0.4">
      <c r="AH8421" s="87"/>
    </row>
    <row r="8422" spans="34:34" ht="15" thickBot="1" x14ac:dyDescent="0.4">
      <c r="AH8422" s="87"/>
    </row>
    <row r="8423" spans="34:34" ht="15" thickBot="1" x14ac:dyDescent="0.4">
      <c r="AH8423" s="87"/>
    </row>
    <row r="8424" spans="34:34" ht="15" thickBot="1" x14ac:dyDescent="0.4">
      <c r="AH8424" s="87"/>
    </row>
    <row r="8425" spans="34:34" ht="15" thickBot="1" x14ac:dyDescent="0.4">
      <c r="AH8425" s="87"/>
    </row>
    <row r="8426" spans="34:34" ht="15" thickBot="1" x14ac:dyDescent="0.4">
      <c r="AH8426" s="87"/>
    </row>
    <row r="8427" spans="34:34" ht="15" thickBot="1" x14ac:dyDescent="0.4">
      <c r="AH8427" s="87"/>
    </row>
    <row r="8428" spans="34:34" ht="15" thickBot="1" x14ac:dyDescent="0.4">
      <c r="AH8428" s="87"/>
    </row>
    <row r="8429" spans="34:34" ht="15" thickBot="1" x14ac:dyDescent="0.4">
      <c r="AH8429" s="87"/>
    </row>
    <row r="8430" spans="34:34" ht="15" thickBot="1" x14ac:dyDescent="0.4">
      <c r="AH8430" s="87"/>
    </row>
    <row r="8431" spans="34:34" ht="15" thickBot="1" x14ac:dyDescent="0.4">
      <c r="AH8431" s="87"/>
    </row>
    <row r="8432" spans="34:34" ht="15" thickBot="1" x14ac:dyDescent="0.4">
      <c r="AH8432" s="87"/>
    </row>
    <row r="8433" spans="34:34" ht="15" thickBot="1" x14ac:dyDescent="0.4">
      <c r="AH8433" s="87"/>
    </row>
    <row r="8434" spans="34:34" ht="15" thickBot="1" x14ac:dyDescent="0.4">
      <c r="AH8434" s="87"/>
    </row>
    <row r="8435" spans="34:34" ht="15" thickBot="1" x14ac:dyDescent="0.4">
      <c r="AH8435" s="87"/>
    </row>
    <row r="8436" spans="34:34" ht="15" thickBot="1" x14ac:dyDescent="0.4">
      <c r="AH8436" s="87"/>
    </row>
    <row r="8437" spans="34:34" ht="15" thickBot="1" x14ac:dyDescent="0.4">
      <c r="AH8437" s="87"/>
    </row>
    <row r="8438" spans="34:34" ht="15" thickBot="1" x14ac:dyDescent="0.4">
      <c r="AH8438" s="87"/>
    </row>
    <row r="8439" spans="34:34" ht="15" thickBot="1" x14ac:dyDescent="0.4">
      <c r="AH8439" s="87"/>
    </row>
    <row r="8440" spans="34:34" ht="15" thickBot="1" x14ac:dyDescent="0.4">
      <c r="AH8440" s="87"/>
    </row>
    <row r="8441" spans="34:34" ht="15" thickBot="1" x14ac:dyDescent="0.4">
      <c r="AH8441" s="87"/>
    </row>
    <row r="8442" spans="34:34" ht="15" thickBot="1" x14ac:dyDescent="0.4">
      <c r="AH8442" s="87"/>
    </row>
    <row r="8443" spans="34:34" ht="15" thickBot="1" x14ac:dyDescent="0.4">
      <c r="AH8443" s="87"/>
    </row>
    <row r="8444" spans="34:34" ht="15" thickBot="1" x14ac:dyDescent="0.4">
      <c r="AH8444" s="87"/>
    </row>
    <row r="8445" spans="34:34" ht="15" thickBot="1" x14ac:dyDescent="0.4">
      <c r="AH8445" s="87"/>
    </row>
    <row r="8446" spans="34:34" ht="15" thickBot="1" x14ac:dyDescent="0.4">
      <c r="AH8446" s="87"/>
    </row>
    <row r="8447" spans="34:34" ht="15" thickBot="1" x14ac:dyDescent="0.4">
      <c r="AH8447" s="87"/>
    </row>
    <row r="8448" spans="34:34" ht="15" thickBot="1" x14ac:dyDescent="0.4">
      <c r="AH8448" s="87"/>
    </row>
    <row r="8449" spans="34:34" ht="15" thickBot="1" x14ac:dyDescent="0.4">
      <c r="AH8449" s="87"/>
    </row>
    <row r="8450" spans="34:34" ht="15" thickBot="1" x14ac:dyDescent="0.4">
      <c r="AH8450" s="87"/>
    </row>
    <row r="8451" spans="34:34" ht="15" thickBot="1" x14ac:dyDescent="0.4">
      <c r="AH8451" s="87"/>
    </row>
    <row r="8452" spans="34:34" ht="15" thickBot="1" x14ac:dyDescent="0.4">
      <c r="AH8452" s="87"/>
    </row>
    <row r="8453" spans="34:34" ht="15" thickBot="1" x14ac:dyDescent="0.4">
      <c r="AH8453" s="87"/>
    </row>
    <row r="8454" spans="34:34" ht="15" thickBot="1" x14ac:dyDescent="0.4">
      <c r="AH8454" s="87"/>
    </row>
    <row r="8455" spans="34:34" ht="15" thickBot="1" x14ac:dyDescent="0.4">
      <c r="AH8455" s="87"/>
    </row>
    <row r="8456" spans="34:34" ht="15" thickBot="1" x14ac:dyDescent="0.4">
      <c r="AH8456" s="87"/>
    </row>
    <row r="8457" spans="34:34" ht="15" thickBot="1" x14ac:dyDescent="0.4">
      <c r="AH8457" s="87"/>
    </row>
    <row r="8458" spans="34:34" ht="15" thickBot="1" x14ac:dyDescent="0.4">
      <c r="AH8458" s="87"/>
    </row>
    <row r="8459" spans="34:34" ht="15" thickBot="1" x14ac:dyDescent="0.4">
      <c r="AH8459" s="87"/>
    </row>
    <row r="8460" spans="34:34" ht="15" thickBot="1" x14ac:dyDescent="0.4">
      <c r="AH8460" s="87"/>
    </row>
    <row r="8461" spans="34:34" ht="15" thickBot="1" x14ac:dyDescent="0.4">
      <c r="AH8461" s="87"/>
    </row>
    <row r="8462" spans="34:34" ht="15" thickBot="1" x14ac:dyDescent="0.4">
      <c r="AH8462" s="87"/>
    </row>
    <row r="8463" spans="34:34" ht="15" thickBot="1" x14ac:dyDescent="0.4">
      <c r="AH8463" s="87"/>
    </row>
    <row r="8464" spans="34:34" ht="15" thickBot="1" x14ac:dyDescent="0.4">
      <c r="AH8464" s="87"/>
    </row>
    <row r="8465" spans="34:34" ht="15" thickBot="1" x14ac:dyDescent="0.4">
      <c r="AH8465" s="87"/>
    </row>
    <row r="8466" spans="34:34" ht="15" thickBot="1" x14ac:dyDescent="0.4">
      <c r="AH8466" s="87"/>
    </row>
    <row r="8467" spans="34:34" ht="15" thickBot="1" x14ac:dyDescent="0.4">
      <c r="AH8467" s="87"/>
    </row>
    <row r="8468" spans="34:34" ht="15" thickBot="1" x14ac:dyDescent="0.4">
      <c r="AH8468" s="87"/>
    </row>
    <row r="8469" spans="34:34" ht="15" thickBot="1" x14ac:dyDescent="0.4">
      <c r="AH8469" s="87"/>
    </row>
    <row r="8470" spans="34:34" ht="15" thickBot="1" x14ac:dyDescent="0.4">
      <c r="AH8470" s="87"/>
    </row>
    <row r="8471" spans="34:34" ht="15" thickBot="1" x14ac:dyDescent="0.4">
      <c r="AH8471" s="87"/>
    </row>
    <row r="8472" spans="34:34" ht="15" thickBot="1" x14ac:dyDescent="0.4">
      <c r="AH8472" s="87"/>
    </row>
    <row r="8473" spans="34:34" ht="15" thickBot="1" x14ac:dyDescent="0.4">
      <c r="AH8473" s="87"/>
    </row>
    <row r="8474" spans="34:34" ht="15" thickBot="1" x14ac:dyDescent="0.4">
      <c r="AH8474" s="87"/>
    </row>
    <row r="8475" spans="34:34" ht="15" thickBot="1" x14ac:dyDescent="0.4">
      <c r="AH8475" s="87"/>
    </row>
    <row r="8476" spans="34:34" ht="15" thickBot="1" x14ac:dyDescent="0.4">
      <c r="AH8476" s="87"/>
    </row>
    <row r="8477" spans="34:34" ht="15" thickBot="1" x14ac:dyDescent="0.4">
      <c r="AH8477" s="87"/>
    </row>
    <row r="8478" spans="34:34" ht="15" thickBot="1" x14ac:dyDescent="0.4">
      <c r="AH8478" s="87"/>
    </row>
    <row r="8479" spans="34:34" ht="15" thickBot="1" x14ac:dyDescent="0.4">
      <c r="AH8479" s="87"/>
    </row>
    <row r="8480" spans="34:34" ht="15" thickBot="1" x14ac:dyDescent="0.4">
      <c r="AH8480" s="87"/>
    </row>
    <row r="8481" spans="34:34" ht="15" thickBot="1" x14ac:dyDescent="0.4">
      <c r="AH8481" s="87"/>
    </row>
    <row r="8482" spans="34:34" ht="15" thickBot="1" x14ac:dyDescent="0.4">
      <c r="AH8482" s="87"/>
    </row>
    <row r="8483" spans="34:34" ht="15" thickBot="1" x14ac:dyDescent="0.4">
      <c r="AH8483" s="87"/>
    </row>
    <row r="8484" spans="34:34" ht="15" thickBot="1" x14ac:dyDescent="0.4">
      <c r="AH8484" s="87"/>
    </row>
    <row r="8485" spans="34:34" ht="15" thickBot="1" x14ac:dyDescent="0.4">
      <c r="AH8485" s="87"/>
    </row>
    <row r="8486" spans="34:34" ht="15" thickBot="1" x14ac:dyDescent="0.4">
      <c r="AH8486" s="87"/>
    </row>
    <row r="8487" spans="34:34" ht="15" thickBot="1" x14ac:dyDescent="0.4">
      <c r="AH8487" s="87"/>
    </row>
    <row r="8488" spans="34:34" ht="15" thickBot="1" x14ac:dyDescent="0.4">
      <c r="AH8488" s="87"/>
    </row>
    <row r="8489" spans="34:34" ht="15" thickBot="1" x14ac:dyDescent="0.4">
      <c r="AH8489" s="87"/>
    </row>
    <row r="8490" spans="34:34" ht="15" thickBot="1" x14ac:dyDescent="0.4">
      <c r="AH8490" s="87"/>
    </row>
    <row r="8491" spans="34:34" ht="15" thickBot="1" x14ac:dyDescent="0.4">
      <c r="AH8491" s="87"/>
    </row>
    <row r="8492" spans="34:34" ht="15" thickBot="1" x14ac:dyDescent="0.4">
      <c r="AH8492" s="87"/>
    </row>
    <row r="8493" spans="34:34" ht="15" thickBot="1" x14ac:dyDescent="0.4">
      <c r="AH8493" s="87"/>
    </row>
    <row r="8494" spans="34:34" ht="15" thickBot="1" x14ac:dyDescent="0.4">
      <c r="AH8494" s="87"/>
    </row>
    <row r="8495" spans="34:34" ht="15" thickBot="1" x14ac:dyDescent="0.4">
      <c r="AH8495" s="87"/>
    </row>
    <row r="8496" spans="34:34" ht="15" thickBot="1" x14ac:dyDescent="0.4">
      <c r="AH8496" s="87"/>
    </row>
    <row r="8497" spans="34:34" ht="15" thickBot="1" x14ac:dyDescent="0.4">
      <c r="AH8497" s="87"/>
    </row>
    <row r="8498" spans="34:34" ht="15" thickBot="1" x14ac:dyDescent="0.4">
      <c r="AH8498" s="87"/>
    </row>
    <row r="8499" spans="34:34" ht="15" thickBot="1" x14ac:dyDescent="0.4">
      <c r="AH8499" s="87"/>
    </row>
    <row r="8500" spans="34:34" ht="15" thickBot="1" x14ac:dyDescent="0.4">
      <c r="AH8500" s="87"/>
    </row>
    <row r="8501" spans="34:34" ht="15" thickBot="1" x14ac:dyDescent="0.4">
      <c r="AH8501" s="87"/>
    </row>
    <row r="8502" spans="34:34" ht="15" thickBot="1" x14ac:dyDescent="0.4">
      <c r="AH8502" s="87"/>
    </row>
    <row r="8503" spans="34:34" ht="15" thickBot="1" x14ac:dyDescent="0.4">
      <c r="AH8503" s="87"/>
    </row>
    <row r="8504" spans="34:34" ht="15" thickBot="1" x14ac:dyDescent="0.4">
      <c r="AH8504" s="87"/>
    </row>
    <row r="8505" spans="34:34" ht="15" thickBot="1" x14ac:dyDescent="0.4">
      <c r="AH8505" s="87"/>
    </row>
    <row r="8506" spans="34:34" ht="15" thickBot="1" x14ac:dyDescent="0.4">
      <c r="AH8506" s="87"/>
    </row>
    <row r="8507" spans="34:34" ht="15" thickBot="1" x14ac:dyDescent="0.4">
      <c r="AH8507" s="87"/>
    </row>
    <row r="8508" spans="34:34" ht="15" thickBot="1" x14ac:dyDescent="0.4">
      <c r="AH8508" s="87"/>
    </row>
    <row r="8509" spans="34:34" ht="15" thickBot="1" x14ac:dyDescent="0.4">
      <c r="AH8509" s="87"/>
    </row>
    <row r="8510" spans="34:34" ht="15" thickBot="1" x14ac:dyDescent="0.4">
      <c r="AH8510" s="87"/>
    </row>
    <row r="8511" spans="34:34" ht="15" thickBot="1" x14ac:dyDescent="0.4">
      <c r="AH8511" s="87"/>
    </row>
    <row r="8512" spans="34:34" ht="15" thickBot="1" x14ac:dyDescent="0.4">
      <c r="AH8512" s="87"/>
    </row>
    <row r="8513" spans="34:34" ht="15" thickBot="1" x14ac:dyDescent="0.4">
      <c r="AH8513" s="87"/>
    </row>
    <row r="8514" spans="34:34" ht="15" thickBot="1" x14ac:dyDescent="0.4">
      <c r="AH8514" s="87"/>
    </row>
    <row r="8515" spans="34:34" ht="15" thickBot="1" x14ac:dyDescent="0.4">
      <c r="AH8515" s="87"/>
    </row>
    <row r="8516" spans="34:34" ht="15" thickBot="1" x14ac:dyDescent="0.4">
      <c r="AH8516" s="87"/>
    </row>
    <row r="8517" spans="34:34" ht="15" thickBot="1" x14ac:dyDescent="0.4">
      <c r="AH8517" s="87"/>
    </row>
    <row r="8518" spans="34:34" ht="15" thickBot="1" x14ac:dyDescent="0.4">
      <c r="AH8518" s="87"/>
    </row>
    <row r="8519" spans="34:34" ht="15" thickBot="1" x14ac:dyDescent="0.4">
      <c r="AH8519" s="87"/>
    </row>
    <row r="8520" spans="34:34" ht="15" thickBot="1" x14ac:dyDescent="0.4">
      <c r="AH8520" s="87"/>
    </row>
    <row r="8521" spans="34:34" ht="15" thickBot="1" x14ac:dyDescent="0.4">
      <c r="AH8521" s="87"/>
    </row>
    <row r="8522" spans="34:34" ht="15" thickBot="1" x14ac:dyDescent="0.4">
      <c r="AH8522" s="87"/>
    </row>
    <row r="8523" spans="34:34" ht="15" thickBot="1" x14ac:dyDescent="0.4">
      <c r="AH8523" s="87"/>
    </row>
    <row r="8524" spans="34:34" ht="15" thickBot="1" x14ac:dyDescent="0.4">
      <c r="AH8524" s="87"/>
    </row>
    <row r="8525" spans="34:34" ht="15" thickBot="1" x14ac:dyDescent="0.4">
      <c r="AH8525" s="87"/>
    </row>
    <row r="8526" spans="34:34" ht="15" thickBot="1" x14ac:dyDescent="0.4">
      <c r="AH8526" s="87"/>
    </row>
    <row r="8527" spans="34:34" ht="15" thickBot="1" x14ac:dyDescent="0.4">
      <c r="AH8527" s="87"/>
    </row>
    <row r="8528" spans="34:34" ht="15" thickBot="1" x14ac:dyDescent="0.4">
      <c r="AH8528" s="87"/>
    </row>
    <row r="8529" spans="34:34" ht="15" thickBot="1" x14ac:dyDescent="0.4">
      <c r="AH8529" s="87"/>
    </row>
    <row r="8530" spans="34:34" ht="15" thickBot="1" x14ac:dyDescent="0.4">
      <c r="AH8530" s="87"/>
    </row>
    <row r="8531" spans="34:34" ht="15" thickBot="1" x14ac:dyDescent="0.4">
      <c r="AH8531" s="87"/>
    </row>
    <row r="8532" spans="34:34" ht="15" thickBot="1" x14ac:dyDescent="0.4">
      <c r="AH8532" s="87"/>
    </row>
    <row r="8533" spans="34:34" ht="15" thickBot="1" x14ac:dyDescent="0.4">
      <c r="AH8533" s="87"/>
    </row>
    <row r="8534" spans="34:34" ht="15" thickBot="1" x14ac:dyDescent="0.4">
      <c r="AH8534" s="87"/>
    </row>
    <row r="8535" spans="34:34" ht="15" thickBot="1" x14ac:dyDescent="0.4">
      <c r="AH8535" s="87"/>
    </row>
    <row r="8536" spans="34:34" ht="15" thickBot="1" x14ac:dyDescent="0.4">
      <c r="AH8536" s="87"/>
    </row>
    <row r="8537" spans="34:34" ht="15" thickBot="1" x14ac:dyDescent="0.4">
      <c r="AH8537" s="87"/>
    </row>
    <row r="8538" spans="34:34" ht="15" thickBot="1" x14ac:dyDescent="0.4">
      <c r="AH8538" s="87"/>
    </row>
    <row r="8539" spans="34:34" ht="15" thickBot="1" x14ac:dyDescent="0.4">
      <c r="AH8539" s="87"/>
    </row>
    <row r="8540" spans="34:34" ht="15" thickBot="1" x14ac:dyDescent="0.4">
      <c r="AH8540" s="87"/>
    </row>
    <row r="8541" spans="34:34" ht="15" thickBot="1" x14ac:dyDescent="0.4">
      <c r="AH8541" s="87"/>
    </row>
    <row r="8542" spans="34:34" ht="15" thickBot="1" x14ac:dyDescent="0.4">
      <c r="AH8542" s="87"/>
    </row>
    <row r="8543" spans="34:34" ht="15" thickBot="1" x14ac:dyDescent="0.4">
      <c r="AH8543" s="87"/>
    </row>
    <row r="8544" spans="34:34" ht="15" thickBot="1" x14ac:dyDescent="0.4">
      <c r="AH8544" s="87"/>
    </row>
    <row r="8545" spans="34:34" ht="15" thickBot="1" x14ac:dyDescent="0.4">
      <c r="AH8545" s="87"/>
    </row>
    <row r="8546" spans="34:34" ht="15" thickBot="1" x14ac:dyDescent="0.4">
      <c r="AH8546" s="87"/>
    </row>
    <row r="8547" spans="34:34" ht="15" thickBot="1" x14ac:dyDescent="0.4">
      <c r="AH8547" s="87"/>
    </row>
    <row r="8548" spans="34:34" ht="15" thickBot="1" x14ac:dyDescent="0.4">
      <c r="AH8548" s="87"/>
    </row>
    <row r="8549" spans="34:34" ht="15" thickBot="1" x14ac:dyDescent="0.4">
      <c r="AH8549" s="87"/>
    </row>
    <row r="8550" spans="34:34" ht="15" thickBot="1" x14ac:dyDescent="0.4">
      <c r="AH8550" s="87"/>
    </row>
    <row r="8551" spans="34:34" ht="15" thickBot="1" x14ac:dyDescent="0.4">
      <c r="AH8551" s="87"/>
    </row>
    <row r="8552" spans="34:34" ht="15" thickBot="1" x14ac:dyDescent="0.4">
      <c r="AH8552" s="87"/>
    </row>
    <row r="8553" spans="34:34" ht="15" thickBot="1" x14ac:dyDescent="0.4">
      <c r="AH8553" s="87"/>
    </row>
    <row r="8554" spans="34:34" ht="15" thickBot="1" x14ac:dyDescent="0.4">
      <c r="AH8554" s="87"/>
    </row>
    <row r="8555" spans="34:34" ht="15" thickBot="1" x14ac:dyDescent="0.4">
      <c r="AH8555" s="87"/>
    </row>
    <row r="8556" spans="34:34" ht="15" thickBot="1" x14ac:dyDescent="0.4">
      <c r="AH8556" s="87"/>
    </row>
    <row r="8557" spans="34:34" ht="15" thickBot="1" x14ac:dyDescent="0.4">
      <c r="AH8557" s="87"/>
    </row>
    <row r="8558" spans="34:34" ht="15" thickBot="1" x14ac:dyDescent="0.4">
      <c r="AH8558" s="87"/>
    </row>
    <row r="8559" spans="34:34" ht="15" thickBot="1" x14ac:dyDescent="0.4">
      <c r="AH8559" s="87"/>
    </row>
    <row r="8560" spans="34:34" ht="15" thickBot="1" x14ac:dyDescent="0.4">
      <c r="AH8560" s="87"/>
    </row>
    <row r="8561" spans="34:34" ht="15" thickBot="1" x14ac:dyDescent="0.4">
      <c r="AH8561" s="87"/>
    </row>
    <row r="8562" spans="34:34" ht="15" thickBot="1" x14ac:dyDescent="0.4">
      <c r="AH8562" s="87"/>
    </row>
    <row r="8563" spans="34:34" ht="15" thickBot="1" x14ac:dyDescent="0.4">
      <c r="AH8563" s="87"/>
    </row>
    <row r="8564" spans="34:34" ht="15" thickBot="1" x14ac:dyDescent="0.4">
      <c r="AH8564" s="87"/>
    </row>
    <row r="8565" spans="34:34" ht="15" thickBot="1" x14ac:dyDescent="0.4">
      <c r="AH8565" s="87"/>
    </row>
    <row r="8566" spans="34:34" ht="15" thickBot="1" x14ac:dyDescent="0.4">
      <c r="AH8566" s="87"/>
    </row>
    <row r="8567" spans="34:34" ht="15" thickBot="1" x14ac:dyDescent="0.4">
      <c r="AH8567" s="87"/>
    </row>
    <row r="8568" spans="34:34" ht="15" thickBot="1" x14ac:dyDescent="0.4">
      <c r="AH8568" s="87"/>
    </row>
    <row r="8569" spans="34:34" ht="15" thickBot="1" x14ac:dyDescent="0.4">
      <c r="AH8569" s="87"/>
    </row>
    <row r="8570" spans="34:34" ht="15" thickBot="1" x14ac:dyDescent="0.4">
      <c r="AH8570" s="87"/>
    </row>
    <row r="8571" spans="34:34" ht="15" thickBot="1" x14ac:dyDescent="0.4">
      <c r="AH8571" s="87"/>
    </row>
    <row r="8572" spans="34:34" ht="15" thickBot="1" x14ac:dyDescent="0.4">
      <c r="AH8572" s="87"/>
    </row>
    <row r="8573" spans="34:34" ht="15" thickBot="1" x14ac:dyDescent="0.4">
      <c r="AH8573" s="87"/>
    </row>
    <row r="8574" spans="34:34" ht="15" thickBot="1" x14ac:dyDescent="0.4">
      <c r="AH8574" s="87"/>
    </row>
    <row r="8575" spans="34:34" ht="15" thickBot="1" x14ac:dyDescent="0.4">
      <c r="AH8575" s="87"/>
    </row>
    <row r="8576" spans="34:34" ht="15" thickBot="1" x14ac:dyDescent="0.4">
      <c r="AH8576" s="87"/>
    </row>
    <row r="8577" spans="34:34" ht="15" thickBot="1" x14ac:dyDescent="0.4">
      <c r="AH8577" s="87"/>
    </row>
    <row r="8578" spans="34:34" ht="15" thickBot="1" x14ac:dyDescent="0.4">
      <c r="AH8578" s="87"/>
    </row>
    <row r="8579" spans="34:34" ht="15" thickBot="1" x14ac:dyDescent="0.4">
      <c r="AH8579" s="87"/>
    </row>
    <row r="8580" spans="34:34" ht="15" thickBot="1" x14ac:dyDescent="0.4">
      <c r="AH8580" s="87"/>
    </row>
    <row r="8581" spans="34:34" ht="15" thickBot="1" x14ac:dyDescent="0.4">
      <c r="AH8581" s="87"/>
    </row>
    <row r="8582" spans="34:34" ht="15" thickBot="1" x14ac:dyDescent="0.4">
      <c r="AH8582" s="87"/>
    </row>
    <row r="8583" spans="34:34" ht="15" thickBot="1" x14ac:dyDescent="0.4">
      <c r="AH8583" s="87"/>
    </row>
    <row r="8584" spans="34:34" ht="15" thickBot="1" x14ac:dyDescent="0.4">
      <c r="AH8584" s="87"/>
    </row>
    <row r="8585" spans="34:34" ht="15" thickBot="1" x14ac:dyDescent="0.4">
      <c r="AH8585" s="87"/>
    </row>
    <row r="8586" spans="34:34" ht="15" thickBot="1" x14ac:dyDescent="0.4">
      <c r="AH8586" s="87"/>
    </row>
    <row r="8587" spans="34:34" ht="15" thickBot="1" x14ac:dyDescent="0.4">
      <c r="AH8587" s="87"/>
    </row>
    <row r="8588" spans="34:34" ht="15" thickBot="1" x14ac:dyDescent="0.4">
      <c r="AH8588" s="87"/>
    </row>
    <row r="8589" spans="34:34" ht="15" thickBot="1" x14ac:dyDescent="0.4">
      <c r="AH8589" s="87"/>
    </row>
    <row r="8590" spans="34:34" ht="15" thickBot="1" x14ac:dyDescent="0.4">
      <c r="AH8590" s="87"/>
    </row>
    <row r="8591" spans="34:34" ht="15" thickBot="1" x14ac:dyDescent="0.4">
      <c r="AH8591" s="87"/>
    </row>
    <row r="8592" spans="34:34" ht="15" thickBot="1" x14ac:dyDescent="0.4">
      <c r="AH8592" s="87"/>
    </row>
    <row r="8593" spans="34:34" ht="15" thickBot="1" x14ac:dyDescent="0.4">
      <c r="AH8593" s="87"/>
    </row>
    <row r="8594" spans="34:34" ht="15" thickBot="1" x14ac:dyDescent="0.4">
      <c r="AH8594" s="87"/>
    </row>
    <row r="8595" spans="34:34" ht="15" thickBot="1" x14ac:dyDescent="0.4">
      <c r="AH8595" s="87"/>
    </row>
    <row r="8596" spans="34:34" ht="15" thickBot="1" x14ac:dyDescent="0.4">
      <c r="AH8596" s="87"/>
    </row>
    <row r="8597" spans="34:34" ht="15" thickBot="1" x14ac:dyDescent="0.4">
      <c r="AH8597" s="87"/>
    </row>
    <row r="8598" spans="34:34" ht="15" thickBot="1" x14ac:dyDescent="0.4">
      <c r="AH8598" s="87"/>
    </row>
    <row r="8599" spans="34:34" ht="15" thickBot="1" x14ac:dyDescent="0.4">
      <c r="AH8599" s="87"/>
    </row>
    <row r="8600" spans="34:34" ht="15" thickBot="1" x14ac:dyDescent="0.4">
      <c r="AH8600" s="87"/>
    </row>
    <row r="8601" spans="34:34" ht="15" thickBot="1" x14ac:dyDescent="0.4">
      <c r="AH8601" s="87"/>
    </row>
    <row r="8602" spans="34:34" ht="15" thickBot="1" x14ac:dyDescent="0.4">
      <c r="AH8602" s="87"/>
    </row>
    <row r="8603" spans="34:34" ht="15" thickBot="1" x14ac:dyDescent="0.4">
      <c r="AH8603" s="87"/>
    </row>
    <row r="8604" spans="34:34" ht="15" thickBot="1" x14ac:dyDescent="0.4">
      <c r="AH8604" s="87"/>
    </row>
    <row r="8605" spans="34:34" ht="15" thickBot="1" x14ac:dyDescent="0.4">
      <c r="AH8605" s="87"/>
    </row>
    <row r="8606" spans="34:34" ht="15" thickBot="1" x14ac:dyDescent="0.4">
      <c r="AH8606" s="87"/>
    </row>
    <row r="8607" spans="34:34" ht="15" thickBot="1" x14ac:dyDescent="0.4">
      <c r="AH8607" s="87"/>
    </row>
    <row r="8608" spans="34:34" ht="15" thickBot="1" x14ac:dyDescent="0.4">
      <c r="AH8608" s="87"/>
    </row>
    <row r="8609" spans="34:34" ht="15" thickBot="1" x14ac:dyDescent="0.4">
      <c r="AH8609" s="87"/>
    </row>
    <row r="8610" spans="34:34" ht="15" thickBot="1" x14ac:dyDescent="0.4">
      <c r="AH8610" s="87"/>
    </row>
    <row r="8611" spans="34:34" ht="15" thickBot="1" x14ac:dyDescent="0.4">
      <c r="AH8611" s="87"/>
    </row>
    <row r="8612" spans="34:34" ht="15" thickBot="1" x14ac:dyDescent="0.4">
      <c r="AH8612" s="87"/>
    </row>
    <row r="8613" spans="34:34" ht="15" thickBot="1" x14ac:dyDescent="0.4">
      <c r="AH8613" s="87"/>
    </row>
    <row r="8614" spans="34:34" ht="15" thickBot="1" x14ac:dyDescent="0.4">
      <c r="AH8614" s="87"/>
    </row>
    <row r="8615" spans="34:34" ht="15" thickBot="1" x14ac:dyDescent="0.4">
      <c r="AH8615" s="87"/>
    </row>
    <row r="8616" spans="34:34" ht="15" thickBot="1" x14ac:dyDescent="0.4">
      <c r="AH8616" s="87"/>
    </row>
    <row r="8617" spans="34:34" ht="15" thickBot="1" x14ac:dyDescent="0.4">
      <c r="AH8617" s="87"/>
    </row>
    <row r="8618" spans="34:34" ht="15" thickBot="1" x14ac:dyDescent="0.4">
      <c r="AH8618" s="87"/>
    </row>
    <row r="8619" spans="34:34" ht="15" thickBot="1" x14ac:dyDescent="0.4">
      <c r="AH8619" s="87"/>
    </row>
    <row r="8620" spans="34:34" ht="15" thickBot="1" x14ac:dyDescent="0.4">
      <c r="AH8620" s="87"/>
    </row>
    <row r="8621" spans="34:34" ht="15" thickBot="1" x14ac:dyDescent="0.4">
      <c r="AH8621" s="87"/>
    </row>
    <row r="8622" spans="34:34" ht="15" thickBot="1" x14ac:dyDescent="0.4">
      <c r="AH8622" s="87"/>
    </row>
    <row r="8623" spans="34:34" ht="15" thickBot="1" x14ac:dyDescent="0.4">
      <c r="AH8623" s="87"/>
    </row>
    <row r="8624" spans="34:34" ht="15" thickBot="1" x14ac:dyDescent="0.4">
      <c r="AH8624" s="87"/>
    </row>
    <row r="8625" spans="34:34" ht="15" thickBot="1" x14ac:dyDescent="0.4">
      <c r="AH8625" s="87"/>
    </row>
    <row r="8626" spans="34:34" ht="15" thickBot="1" x14ac:dyDescent="0.4">
      <c r="AH8626" s="87"/>
    </row>
    <row r="8627" spans="34:34" ht="15" thickBot="1" x14ac:dyDescent="0.4">
      <c r="AH8627" s="87"/>
    </row>
    <row r="8628" spans="34:34" ht="15" thickBot="1" x14ac:dyDescent="0.4">
      <c r="AH8628" s="87"/>
    </row>
    <row r="8629" spans="34:34" ht="15" thickBot="1" x14ac:dyDescent="0.4">
      <c r="AH8629" s="87"/>
    </row>
    <row r="8630" spans="34:34" ht="15" thickBot="1" x14ac:dyDescent="0.4">
      <c r="AH8630" s="87"/>
    </row>
    <row r="8631" spans="34:34" ht="15" thickBot="1" x14ac:dyDescent="0.4">
      <c r="AH8631" s="87"/>
    </row>
    <row r="8632" spans="34:34" ht="15" thickBot="1" x14ac:dyDescent="0.4">
      <c r="AH8632" s="87"/>
    </row>
    <row r="8633" spans="34:34" ht="15" thickBot="1" x14ac:dyDescent="0.4">
      <c r="AH8633" s="87"/>
    </row>
    <row r="8634" spans="34:34" ht="15" thickBot="1" x14ac:dyDescent="0.4">
      <c r="AH8634" s="87"/>
    </row>
    <row r="8635" spans="34:34" ht="15" thickBot="1" x14ac:dyDescent="0.4">
      <c r="AH8635" s="87"/>
    </row>
    <row r="8636" spans="34:34" ht="15" thickBot="1" x14ac:dyDescent="0.4">
      <c r="AH8636" s="87"/>
    </row>
    <row r="8637" spans="34:34" ht="15" thickBot="1" x14ac:dyDescent="0.4">
      <c r="AH8637" s="87"/>
    </row>
    <row r="8638" spans="34:34" ht="15" thickBot="1" x14ac:dyDescent="0.4">
      <c r="AH8638" s="87"/>
    </row>
    <row r="8639" spans="34:34" ht="15" thickBot="1" x14ac:dyDescent="0.4">
      <c r="AH8639" s="87"/>
    </row>
    <row r="8640" spans="34:34" ht="15" thickBot="1" x14ac:dyDescent="0.4">
      <c r="AH8640" s="87"/>
    </row>
    <row r="8641" spans="34:34" ht="15" thickBot="1" x14ac:dyDescent="0.4">
      <c r="AH8641" s="87"/>
    </row>
    <row r="8642" spans="34:34" ht="15" thickBot="1" x14ac:dyDescent="0.4">
      <c r="AH8642" s="87"/>
    </row>
    <row r="8643" spans="34:34" ht="15" thickBot="1" x14ac:dyDescent="0.4">
      <c r="AH8643" s="87"/>
    </row>
    <row r="8644" spans="34:34" ht="15" thickBot="1" x14ac:dyDescent="0.4">
      <c r="AH8644" s="87"/>
    </row>
    <row r="8645" spans="34:34" ht="15" thickBot="1" x14ac:dyDescent="0.4">
      <c r="AH8645" s="87"/>
    </row>
    <row r="8646" spans="34:34" ht="15" thickBot="1" x14ac:dyDescent="0.4">
      <c r="AH8646" s="87"/>
    </row>
    <row r="8647" spans="34:34" ht="15" thickBot="1" x14ac:dyDescent="0.4">
      <c r="AH8647" s="87"/>
    </row>
    <row r="8648" spans="34:34" ht="15" thickBot="1" x14ac:dyDescent="0.4">
      <c r="AH8648" s="87"/>
    </row>
    <row r="8649" spans="34:34" ht="15" thickBot="1" x14ac:dyDescent="0.4">
      <c r="AH8649" s="87"/>
    </row>
    <row r="8650" spans="34:34" ht="15" thickBot="1" x14ac:dyDescent="0.4">
      <c r="AH8650" s="87"/>
    </row>
    <row r="8651" spans="34:34" ht="15" thickBot="1" x14ac:dyDescent="0.4">
      <c r="AH8651" s="87"/>
    </row>
    <row r="8652" spans="34:34" ht="15" thickBot="1" x14ac:dyDescent="0.4">
      <c r="AH8652" s="87"/>
    </row>
    <row r="8653" spans="34:34" ht="15" thickBot="1" x14ac:dyDescent="0.4">
      <c r="AH8653" s="87"/>
    </row>
    <row r="8654" spans="34:34" ht="15" thickBot="1" x14ac:dyDescent="0.4">
      <c r="AH8654" s="87"/>
    </row>
    <row r="8655" spans="34:34" ht="15" thickBot="1" x14ac:dyDescent="0.4">
      <c r="AH8655" s="87"/>
    </row>
    <row r="8656" spans="34:34" ht="15" thickBot="1" x14ac:dyDescent="0.4">
      <c r="AH8656" s="87"/>
    </row>
    <row r="8657" spans="34:34" ht="15" thickBot="1" x14ac:dyDescent="0.4">
      <c r="AH8657" s="87"/>
    </row>
    <row r="8658" spans="34:34" ht="15" thickBot="1" x14ac:dyDescent="0.4">
      <c r="AH8658" s="87"/>
    </row>
    <row r="8659" spans="34:34" ht="15" thickBot="1" x14ac:dyDescent="0.4">
      <c r="AH8659" s="87"/>
    </row>
    <row r="8660" spans="34:34" ht="15" thickBot="1" x14ac:dyDescent="0.4">
      <c r="AH8660" s="87"/>
    </row>
    <row r="8661" spans="34:34" ht="15" thickBot="1" x14ac:dyDescent="0.4">
      <c r="AH8661" s="87"/>
    </row>
    <row r="8662" spans="34:34" ht="15" thickBot="1" x14ac:dyDescent="0.4">
      <c r="AH8662" s="87"/>
    </row>
    <row r="8663" spans="34:34" ht="15" thickBot="1" x14ac:dyDescent="0.4">
      <c r="AH8663" s="87"/>
    </row>
    <row r="8664" spans="34:34" ht="15" thickBot="1" x14ac:dyDescent="0.4">
      <c r="AH8664" s="87"/>
    </row>
    <row r="8665" spans="34:34" ht="15" thickBot="1" x14ac:dyDescent="0.4">
      <c r="AH8665" s="87"/>
    </row>
    <row r="8666" spans="34:34" ht="15" thickBot="1" x14ac:dyDescent="0.4">
      <c r="AH8666" s="87"/>
    </row>
    <row r="8667" spans="34:34" ht="15" thickBot="1" x14ac:dyDescent="0.4">
      <c r="AH8667" s="87"/>
    </row>
    <row r="8668" spans="34:34" ht="15" thickBot="1" x14ac:dyDescent="0.4">
      <c r="AH8668" s="87"/>
    </row>
    <row r="8669" spans="34:34" ht="15" thickBot="1" x14ac:dyDescent="0.4">
      <c r="AH8669" s="87"/>
    </row>
    <row r="8670" spans="34:34" ht="15" thickBot="1" x14ac:dyDescent="0.4">
      <c r="AH8670" s="87"/>
    </row>
    <row r="8671" spans="34:34" ht="15" thickBot="1" x14ac:dyDescent="0.4">
      <c r="AH8671" s="87"/>
    </row>
    <row r="8672" spans="34:34" ht="15" thickBot="1" x14ac:dyDescent="0.4">
      <c r="AH8672" s="87"/>
    </row>
    <row r="8673" spans="34:34" ht="15" thickBot="1" x14ac:dyDescent="0.4">
      <c r="AH8673" s="87"/>
    </row>
    <row r="8674" spans="34:34" ht="15" thickBot="1" x14ac:dyDescent="0.4">
      <c r="AH8674" s="87"/>
    </row>
    <row r="8675" spans="34:34" ht="15" thickBot="1" x14ac:dyDescent="0.4">
      <c r="AH8675" s="87"/>
    </row>
    <row r="8676" spans="34:34" ht="15" thickBot="1" x14ac:dyDescent="0.4">
      <c r="AH8676" s="87"/>
    </row>
    <row r="8677" spans="34:34" ht="15" thickBot="1" x14ac:dyDescent="0.4">
      <c r="AH8677" s="87"/>
    </row>
    <row r="8678" spans="34:34" ht="15" thickBot="1" x14ac:dyDescent="0.4">
      <c r="AH8678" s="87"/>
    </row>
    <row r="8679" spans="34:34" ht="15" thickBot="1" x14ac:dyDescent="0.4">
      <c r="AH8679" s="87"/>
    </row>
    <row r="8680" spans="34:34" ht="15" thickBot="1" x14ac:dyDescent="0.4">
      <c r="AH8680" s="87"/>
    </row>
    <row r="8681" spans="34:34" ht="15" thickBot="1" x14ac:dyDescent="0.4">
      <c r="AH8681" s="87"/>
    </row>
    <row r="8682" spans="34:34" ht="15" thickBot="1" x14ac:dyDescent="0.4">
      <c r="AH8682" s="87"/>
    </row>
    <row r="8683" spans="34:34" ht="15" thickBot="1" x14ac:dyDescent="0.4">
      <c r="AH8683" s="87"/>
    </row>
    <row r="8684" spans="34:34" ht="15" thickBot="1" x14ac:dyDescent="0.4">
      <c r="AH8684" s="87"/>
    </row>
    <row r="8685" spans="34:34" ht="15" thickBot="1" x14ac:dyDescent="0.4">
      <c r="AH8685" s="87"/>
    </row>
    <row r="8686" spans="34:34" ht="15" thickBot="1" x14ac:dyDescent="0.4">
      <c r="AH8686" s="87"/>
    </row>
    <row r="8687" spans="34:34" ht="15" thickBot="1" x14ac:dyDescent="0.4">
      <c r="AH8687" s="87"/>
    </row>
    <row r="8688" spans="34:34" ht="15" thickBot="1" x14ac:dyDescent="0.4">
      <c r="AH8688" s="87"/>
    </row>
    <row r="8689" spans="34:34" ht="15" thickBot="1" x14ac:dyDescent="0.4">
      <c r="AH8689" s="87"/>
    </row>
    <row r="8690" spans="34:34" ht="15" thickBot="1" x14ac:dyDescent="0.4">
      <c r="AH8690" s="87"/>
    </row>
    <row r="8691" spans="34:34" ht="15" thickBot="1" x14ac:dyDescent="0.4">
      <c r="AH8691" s="87"/>
    </row>
    <row r="8692" spans="34:34" ht="15" thickBot="1" x14ac:dyDescent="0.4">
      <c r="AH8692" s="87"/>
    </row>
    <row r="8693" spans="34:34" ht="15" thickBot="1" x14ac:dyDescent="0.4">
      <c r="AH8693" s="87"/>
    </row>
    <row r="8694" spans="34:34" ht="15" thickBot="1" x14ac:dyDescent="0.4">
      <c r="AH8694" s="87"/>
    </row>
    <row r="8695" spans="34:34" ht="15" thickBot="1" x14ac:dyDescent="0.4">
      <c r="AH8695" s="87"/>
    </row>
    <row r="8696" spans="34:34" ht="15" thickBot="1" x14ac:dyDescent="0.4">
      <c r="AH8696" s="87"/>
    </row>
    <row r="8697" spans="34:34" ht="15" thickBot="1" x14ac:dyDescent="0.4">
      <c r="AH8697" s="87"/>
    </row>
    <row r="8698" spans="34:34" ht="15" thickBot="1" x14ac:dyDescent="0.4">
      <c r="AH8698" s="87"/>
    </row>
    <row r="8699" spans="34:34" ht="15" thickBot="1" x14ac:dyDescent="0.4">
      <c r="AH8699" s="87"/>
    </row>
    <row r="8700" spans="34:34" ht="15" thickBot="1" x14ac:dyDescent="0.4">
      <c r="AH8700" s="87"/>
    </row>
    <row r="8701" spans="34:34" ht="15" thickBot="1" x14ac:dyDescent="0.4">
      <c r="AH8701" s="87"/>
    </row>
    <row r="8702" spans="34:34" ht="15" thickBot="1" x14ac:dyDescent="0.4">
      <c r="AH8702" s="87"/>
    </row>
    <row r="8703" spans="34:34" ht="15" thickBot="1" x14ac:dyDescent="0.4">
      <c r="AH8703" s="87"/>
    </row>
    <row r="8704" spans="34:34" ht="15" thickBot="1" x14ac:dyDescent="0.4">
      <c r="AH8704" s="87"/>
    </row>
    <row r="8705" spans="34:34" ht="15" thickBot="1" x14ac:dyDescent="0.4">
      <c r="AH8705" s="87"/>
    </row>
    <row r="8706" spans="34:34" ht="15" thickBot="1" x14ac:dyDescent="0.4">
      <c r="AH8706" s="87"/>
    </row>
    <row r="8707" spans="34:34" ht="15" thickBot="1" x14ac:dyDescent="0.4">
      <c r="AH8707" s="87"/>
    </row>
    <row r="8708" spans="34:34" ht="15" thickBot="1" x14ac:dyDescent="0.4">
      <c r="AH8708" s="87"/>
    </row>
    <row r="8709" spans="34:34" ht="15" thickBot="1" x14ac:dyDescent="0.4">
      <c r="AH8709" s="87"/>
    </row>
    <row r="8710" spans="34:34" ht="15" thickBot="1" x14ac:dyDescent="0.4">
      <c r="AH8710" s="87"/>
    </row>
    <row r="8711" spans="34:34" ht="15" thickBot="1" x14ac:dyDescent="0.4">
      <c r="AH8711" s="87"/>
    </row>
    <row r="8712" spans="34:34" ht="15" thickBot="1" x14ac:dyDescent="0.4">
      <c r="AH8712" s="87"/>
    </row>
    <row r="8713" spans="34:34" ht="15" thickBot="1" x14ac:dyDescent="0.4">
      <c r="AH8713" s="87"/>
    </row>
    <row r="8714" spans="34:34" ht="15" thickBot="1" x14ac:dyDescent="0.4">
      <c r="AH8714" s="87"/>
    </row>
    <row r="8715" spans="34:34" ht="15" thickBot="1" x14ac:dyDescent="0.4">
      <c r="AH8715" s="87"/>
    </row>
    <row r="8716" spans="34:34" ht="15" thickBot="1" x14ac:dyDescent="0.4">
      <c r="AH8716" s="87"/>
    </row>
    <row r="8717" spans="34:34" ht="15" thickBot="1" x14ac:dyDescent="0.4">
      <c r="AH8717" s="87"/>
    </row>
    <row r="8718" spans="34:34" ht="15" thickBot="1" x14ac:dyDescent="0.4">
      <c r="AH8718" s="87"/>
    </row>
    <row r="8719" spans="34:34" ht="15" thickBot="1" x14ac:dyDescent="0.4">
      <c r="AH8719" s="87"/>
    </row>
    <row r="8720" spans="34:34" ht="15" thickBot="1" x14ac:dyDescent="0.4">
      <c r="AH8720" s="87"/>
    </row>
    <row r="8721" spans="34:34" ht="15" thickBot="1" x14ac:dyDescent="0.4">
      <c r="AH8721" s="87"/>
    </row>
    <row r="8722" spans="34:34" ht="15" thickBot="1" x14ac:dyDescent="0.4">
      <c r="AH8722" s="87"/>
    </row>
    <row r="8723" spans="34:34" ht="15" thickBot="1" x14ac:dyDescent="0.4">
      <c r="AH8723" s="87"/>
    </row>
    <row r="8724" spans="34:34" ht="15" thickBot="1" x14ac:dyDescent="0.4">
      <c r="AH8724" s="87"/>
    </row>
    <row r="8725" spans="34:34" ht="15" thickBot="1" x14ac:dyDescent="0.4">
      <c r="AH8725" s="87"/>
    </row>
    <row r="8726" spans="34:34" ht="15" thickBot="1" x14ac:dyDescent="0.4">
      <c r="AH8726" s="87"/>
    </row>
    <row r="8727" spans="34:34" ht="15" thickBot="1" x14ac:dyDescent="0.4">
      <c r="AH8727" s="87"/>
    </row>
    <row r="8728" spans="34:34" ht="15" thickBot="1" x14ac:dyDescent="0.4">
      <c r="AH8728" s="87"/>
    </row>
    <row r="8729" spans="34:34" ht="15" thickBot="1" x14ac:dyDescent="0.4">
      <c r="AH8729" s="87"/>
    </row>
    <row r="8730" spans="34:34" ht="15" thickBot="1" x14ac:dyDescent="0.4">
      <c r="AH8730" s="87"/>
    </row>
    <row r="8731" spans="34:34" ht="15" thickBot="1" x14ac:dyDescent="0.4">
      <c r="AH8731" s="87"/>
    </row>
    <row r="8732" spans="34:34" ht="15" thickBot="1" x14ac:dyDescent="0.4">
      <c r="AH8732" s="87"/>
    </row>
    <row r="8733" spans="34:34" ht="15" thickBot="1" x14ac:dyDescent="0.4">
      <c r="AH8733" s="87"/>
    </row>
    <row r="8734" spans="34:34" ht="15" thickBot="1" x14ac:dyDescent="0.4">
      <c r="AH8734" s="87"/>
    </row>
    <row r="8735" spans="34:34" ht="15" thickBot="1" x14ac:dyDescent="0.4">
      <c r="AH8735" s="87"/>
    </row>
    <row r="8736" spans="34:34" ht="15" thickBot="1" x14ac:dyDescent="0.4">
      <c r="AH8736" s="87"/>
    </row>
    <row r="8737" spans="34:34" ht="15" thickBot="1" x14ac:dyDescent="0.4">
      <c r="AH8737" s="87"/>
    </row>
    <row r="8738" spans="34:34" ht="15" thickBot="1" x14ac:dyDescent="0.4">
      <c r="AH8738" s="87"/>
    </row>
    <row r="8739" spans="34:34" ht="15" thickBot="1" x14ac:dyDescent="0.4">
      <c r="AH8739" s="87"/>
    </row>
    <row r="8740" spans="34:34" ht="15" thickBot="1" x14ac:dyDescent="0.4">
      <c r="AH8740" s="87"/>
    </row>
    <row r="8741" spans="34:34" ht="15" thickBot="1" x14ac:dyDescent="0.4">
      <c r="AH8741" s="87"/>
    </row>
    <row r="8742" spans="34:34" ht="15" thickBot="1" x14ac:dyDescent="0.4">
      <c r="AH8742" s="87"/>
    </row>
    <row r="8743" spans="34:34" ht="15" thickBot="1" x14ac:dyDescent="0.4">
      <c r="AH8743" s="87"/>
    </row>
    <row r="8744" spans="34:34" ht="15" thickBot="1" x14ac:dyDescent="0.4">
      <c r="AH8744" s="87"/>
    </row>
    <row r="8745" spans="34:34" ht="15" thickBot="1" x14ac:dyDescent="0.4">
      <c r="AH8745" s="87"/>
    </row>
    <row r="8746" spans="34:34" ht="15" thickBot="1" x14ac:dyDescent="0.4">
      <c r="AH8746" s="87"/>
    </row>
    <row r="8747" spans="34:34" ht="15" thickBot="1" x14ac:dyDescent="0.4">
      <c r="AH8747" s="87"/>
    </row>
    <row r="8748" spans="34:34" ht="15" thickBot="1" x14ac:dyDescent="0.4">
      <c r="AH8748" s="87"/>
    </row>
    <row r="8749" spans="34:34" ht="15" thickBot="1" x14ac:dyDescent="0.4">
      <c r="AH8749" s="87"/>
    </row>
    <row r="8750" spans="34:34" ht="15" thickBot="1" x14ac:dyDescent="0.4">
      <c r="AH8750" s="87"/>
    </row>
    <row r="8751" spans="34:34" ht="15" thickBot="1" x14ac:dyDescent="0.4">
      <c r="AH8751" s="87"/>
    </row>
    <row r="8752" spans="34:34" ht="15" thickBot="1" x14ac:dyDescent="0.4">
      <c r="AH8752" s="87"/>
    </row>
    <row r="8753" spans="34:34" ht="15" thickBot="1" x14ac:dyDescent="0.4">
      <c r="AH8753" s="87"/>
    </row>
    <row r="8754" spans="34:34" ht="15" thickBot="1" x14ac:dyDescent="0.4">
      <c r="AH8754" s="87"/>
    </row>
    <row r="8755" spans="34:34" ht="15" thickBot="1" x14ac:dyDescent="0.4">
      <c r="AH8755" s="87"/>
    </row>
    <row r="8756" spans="34:34" ht="15" thickBot="1" x14ac:dyDescent="0.4">
      <c r="AH8756" s="87"/>
    </row>
    <row r="8757" spans="34:34" ht="15" thickBot="1" x14ac:dyDescent="0.4">
      <c r="AH8757" s="87"/>
    </row>
    <row r="8758" spans="34:34" ht="15" thickBot="1" x14ac:dyDescent="0.4">
      <c r="AH8758" s="87"/>
    </row>
    <row r="8759" spans="34:34" ht="15" thickBot="1" x14ac:dyDescent="0.4">
      <c r="AH8759" s="87"/>
    </row>
    <row r="8760" spans="34:34" ht="15" thickBot="1" x14ac:dyDescent="0.4">
      <c r="AH8760" s="87"/>
    </row>
    <row r="8761" spans="34:34" ht="15" thickBot="1" x14ac:dyDescent="0.4">
      <c r="AH8761" s="87"/>
    </row>
    <row r="8762" spans="34:34" ht="15" thickBot="1" x14ac:dyDescent="0.4">
      <c r="AH8762" s="87"/>
    </row>
    <row r="8763" spans="34:34" ht="15" thickBot="1" x14ac:dyDescent="0.4">
      <c r="AH8763" s="87"/>
    </row>
    <row r="8764" spans="34:34" ht="15" thickBot="1" x14ac:dyDescent="0.4">
      <c r="AH8764" s="87"/>
    </row>
    <row r="8765" spans="34:34" ht="15" thickBot="1" x14ac:dyDescent="0.4">
      <c r="AH8765" s="87"/>
    </row>
    <row r="8766" spans="34:34" ht="15" thickBot="1" x14ac:dyDescent="0.4">
      <c r="AH8766" s="87"/>
    </row>
    <row r="8767" spans="34:34" ht="15" thickBot="1" x14ac:dyDescent="0.4">
      <c r="AH8767" s="87"/>
    </row>
    <row r="8768" spans="34:34" ht="15" thickBot="1" x14ac:dyDescent="0.4">
      <c r="AH8768" s="87"/>
    </row>
    <row r="8769" spans="34:34" ht="15" thickBot="1" x14ac:dyDescent="0.4">
      <c r="AH8769" s="87"/>
    </row>
    <row r="8770" spans="34:34" ht="15" thickBot="1" x14ac:dyDescent="0.4">
      <c r="AH8770" s="87"/>
    </row>
    <row r="8771" spans="34:34" ht="15" thickBot="1" x14ac:dyDescent="0.4">
      <c r="AH8771" s="87"/>
    </row>
    <row r="8772" spans="34:34" ht="15" thickBot="1" x14ac:dyDescent="0.4">
      <c r="AH8772" s="87"/>
    </row>
    <row r="8773" spans="34:34" ht="15" thickBot="1" x14ac:dyDescent="0.4">
      <c r="AH8773" s="87"/>
    </row>
    <row r="8774" spans="34:34" ht="15" thickBot="1" x14ac:dyDescent="0.4">
      <c r="AH8774" s="87"/>
    </row>
    <row r="8775" spans="34:34" ht="15" thickBot="1" x14ac:dyDescent="0.4">
      <c r="AH8775" s="87"/>
    </row>
    <row r="8776" spans="34:34" ht="15" thickBot="1" x14ac:dyDescent="0.4">
      <c r="AH8776" s="87"/>
    </row>
    <row r="8777" spans="34:34" ht="15" thickBot="1" x14ac:dyDescent="0.4">
      <c r="AH8777" s="87"/>
    </row>
    <row r="8778" spans="34:34" ht="15" thickBot="1" x14ac:dyDescent="0.4">
      <c r="AH8778" s="87"/>
    </row>
    <row r="8779" spans="34:34" ht="15" thickBot="1" x14ac:dyDescent="0.4">
      <c r="AH8779" s="87"/>
    </row>
    <row r="8780" spans="34:34" ht="15" thickBot="1" x14ac:dyDescent="0.4">
      <c r="AH8780" s="87"/>
    </row>
    <row r="8781" spans="34:34" ht="15" thickBot="1" x14ac:dyDescent="0.4">
      <c r="AH8781" s="87"/>
    </row>
    <row r="8782" spans="34:34" ht="15" thickBot="1" x14ac:dyDescent="0.4">
      <c r="AH8782" s="87"/>
    </row>
    <row r="8783" spans="34:34" ht="15" thickBot="1" x14ac:dyDescent="0.4">
      <c r="AH8783" s="87"/>
    </row>
    <row r="8784" spans="34:34" ht="15" thickBot="1" x14ac:dyDescent="0.4">
      <c r="AH8784" s="87"/>
    </row>
    <row r="8785" spans="34:34" ht="15" thickBot="1" x14ac:dyDescent="0.4">
      <c r="AH8785" s="87"/>
    </row>
    <row r="8786" spans="34:34" ht="15" thickBot="1" x14ac:dyDescent="0.4">
      <c r="AH8786" s="87"/>
    </row>
    <row r="8787" spans="34:34" ht="15" thickBot="1" x14ac:dyDescent="0.4">
      <c r="AH8787" s="87"/>
    </row>
    <row r="8788" spans="34:34" ht="15" thickBot="1" x14ac:dyDescent="0.4">
      <c r="AH8788" s="87"/>
    </row>
    <row r="8789" spans="34:34" ht="15" thickBot="1" x14ac:dyDescent="0.4">
      <c r="AH8789" s="87"/>
    </row>
    <row r="8790" spans="34:34" ht="15" thickBot="1" x14ac:dyDescent="0.4">
      <c r="AH8790" s="87"/>
    </row>
    <row r="8791" spans="34:34" ht="15" thickBot="1" x14ac:dyDescent="0.4">
      <c r="AH8791" s="87"/>
    </row>
    <row r="8792" spans="34:34" ht="15" thickBot="1" x14ac:dyDescent="0.4">
      <c r="AH8792" s="87"/>
    </row>
    <row r="8793" spans="34:34" ht="15" thickBot="1" x14ac:dyDescent="0.4">
      <c r="AH8793" s="87"/>
    </row>
    <row r="8794" spans="34:34" ht="15" thickBot="1" x14ac:dyDescent="0.4">
      <c r="AH8794" s="87"/>
    </row>
    <row r="8795" spans="34:34" ht="15" thickBot="1" x14ac:dyDescent="0.4">
      <c r="AH8795" s="87"/>
    </row>
    <row r="8796" spans="34:34" ht="15" thickBot="1" x14ac:dyDescent="0.4">
      <c r="AH8796" s="87"/>
    </row>
    <row r="8797" spans="34:34" ht="15" thickBot="1" x14ac:dyDescent="0.4">
      <c r="AH8797" s="87"/>
    </row>
    <row r="8798" spans="34:34" ht="15" thickBot="1" x14ac:dyDescent="0.4">
      <c r="AH8798" s="87"/>
    </row>
    <row r="8799" spans="34:34" ht="15" thickBot="1" x14ac:dyDescent="0.4">
      <c r="AH8799" s="87"/>
    </row>
    <row r="8800" spans="34:34" ht="15" thickBot="1" x14ac:dyDescent="0.4">
      <c r="AH8800" s="87"/>
    </row>
    <row r="8801" spans="34:34" ht="15" thickBot="1" x14ac:dyDescent="0.4">
      <c r="AH8801" s="87"/>
    </row>
    <row r="8802" spans="34:34" ht="15" thickBot="1" x14ac:dyDescent="0.4">
      <c r="AH8802" s="87"/>
    </row>
    <row r="8803" spans="34:34" ht="15" thickBot="1" x14ac:dyDescent="0.4">
      <c r="AH8803" s="87"/>
    </row>
    <row r="8804" spans="34:34" ht="15" thickBot="1" x14ac:dyDescent="0.4">
      <c r="AH8804" s="87"/>
    </row>
    <row r="8805" spans="34:34" ht="15" thickBot="1" x14ac:dyDescent="0.4">
      <c r="AH8805" s="87"/>
    </row>
    <row r="8806" spans="34:34" ht="15" thickBot="1" x14ac:dyDescent="0.4">
      <c r="AH8806" s="87"/>
    </row>
    <row r="8807" spans="34:34" ht="15" thickBot="1" x14ac:dyDescent="0.4">
      <c r="AH8807" s="87"/>
    </row>
    <row r="8808" spans="34:34" ht="15" thickBot="1" x14ac:dyDescent="0.4">
      <c r="AH8808" s="87"/>
    </row>
    <row r="8809" spans="34:34" ht="15" thickBot="1" x14ac:dyDescent="0.4">
      <c r="AH8809" s="87"/>
    </row>
    <row r="8810" spans="34:34" ht="15" thickBot="1" x14ac:dyDescent="0.4">
      <c r="AH8810" s="87"/>
    </row>
    <row r="8811" spans="34:34" ht="15" thickBot="1" x14ac:dyDescent="0.4">
      <c r="AH8811" s="87"/>
    </row>
    <row r="8812" spans="34:34" ht="15" thickBot="1" x14ac:dyDescent="0.4">
      <c r="AH8812" s="87"/>
    </row>
    <row r="8813" spans="34:34" ht="15" thickBot="1" x14ac:dyDescent="0.4">
      <c r="AH8813" s="87"/>
    </row>
    <row r="8814" spans="34:34" ht="15" thickBot="1" x14ac:dyDescent="0.4">
      <c r="AH8814" s="87"/>
    </row>
    <row r="8815" spans="34:34" ht="15" thickBot="1" x14ac:dyDescent="0.4">
      <c r="AH8815" s="87"/>
    </row>
    <row r="8816" spans="34:34" ht="15" thickBot="1" x14ac:dyDescent="0.4">
      <c r="AH8816" s="87"/>
    </row>
    <row r="8817" spans="34:34" ht="15" thickBot="1" x14ac:dyDescent="0.4">
      <c r="AH8817" s="87"/>
    </row>
    <row r="8818" spans="34:34" ht="15" thickBot="1" x14ac:dyDescent="0.4">
      <c r="AH8818" s="87"/>
    </row>
    <row r="8819" spans="34:34" ht="15" thickBot="1" x14ac:dyDescent="0.4">
      <c r="AH8819" s="87"/>
    </row>
    <row r="8820" spans="34:34" ht="15" thickBot="1" x14ac:dyDescent="0.4">
      <c r="AH8820" s="87"/>
    </row>
    <row r="8821" spans="34:34" ht="15" thickBot="1" x14ac:dyDescent="0.4">
      <c r="AH8821" s="87"/>
    </row>
    <row r="8822" spans="34:34" ht="15" thickBot="1" x14ac:dyDescent="0.4">
      <c r="AH8822" s="87"/>
    </row>
    <row r="8823" spans="34:34" ht="15" thickBot="1" x14ac:dyDescent="0.4">
      <c r="AH8823" s="87"/>
    </row>
    <row r="8824" spans="34:34" ht="15" thickBot="1" x14ac:dyDescent="0.4">
      <c r="AH8824" s="87"/>
    </row>
    <row r="8825" spans="34:34" ht="15" thickBot="1" x14ac:dyDescent="0.4">
      <c r="AH8825" s="87"/>
    </row>
    <row r="8826" spans="34:34" ht="15" thickBot="1" x14ac:dyDescent="0.4">
      <c r="AH8826" s="87"/>
    </row>
    <row r="8827" spans="34:34" ht="15" thickBot="1" x14ac:dyDescent="0.4">
      <c r="AH8827" s="87"/>
    </row>
    <row r="8828" spans="34:34" ht="15" thickBot="1" x14ac:dyDescent="0.4">
      <c r="AH8828" s="87"/>
    </row>
    <row r="8829" spans="34:34" ht="15" thickBot="1" x14ac:dyDescent="0.4">
      <c r="AH8829" s="87"/>
    </row>
    <row r="8830" spans="34:34" ht="15" thickBot="1" x14ac:dyDescent="0.4">
      <c r="AH8830" s="87"/>
    </row>
    <row r="8831" spans="34:34" ht="15" thickBot="1" x14ac:dyDescent="0.4">
      <c r="AH8831" s="87"/>
    </row>
    <row r="8832" spans="34:34" ht="15" thickBot="1" x14ac:dyDescent="0.4">
      <c r="AH8832" s="87"/>
    </row>
    <row r="8833" spans="34:34" ht="15" thickBot="1" x14ac:dyDescent="0.4">
      <c r="AH8833" s="87"/>
    </row>
    <row r="8834" spans="34:34" ht="15" thickBot="1" x14ac:dyDescent="0.4">
      <c r="AH8834" s="87"/>
    </row>
    <row r="8835" spans="34:34" ht="15" thickBot="1" x14ac:dyDescent="0.4">
      <c r="AH8835" s="87"/>
    </row>
    <row r="8836" spans="34:34" ht="15" thickBot="1" x14ac:dyDescent="0.4">
      <c r="AH8836" s="87"/>
    </row>
    <row r="8837" spans="34:34" ht="15" thickBot="1" x14ac:dyDescent="0.4">
      <c r="AH8837" s="87"/>
    </row>
    <row r="8838" spans="34:34" ht="15" thickBot="1" x14ac:dyDescent="0.4">
      <c r="AH8838" s="87"/>
    </row>
    <row r="8839" spans="34:34" ht="15" thickBot="1" x14ac:dyDescent="0.4">
      <c r="AH8839" s="87"/>
    </row>
    <row r="8840" spans="34:34" ht="15" thickBot="1" x14ac:dyDescent="0.4">
      <c r="AH8840" s="87"/>
    </row>
    <row r="8841" spans="34:34" ht="15" thickBot="1" x14ac:dyDescent="0.4">
      <c r="AH8841" s="87"/>
    </row>
    <row r="8842" spans="34:34" ht="15" thickBot="1" x14ac:dyDescent="0.4">
      <c r="AH8842" s="87"/>
    </row>
    <row r="8843" spans="34:34" ht="15" thickBot="1" x14ac:dyDescent="0.4">
      <c r="AH8843" s="87"/>
    </row>
    <row r="8844" spans="34:34" ht="15" thickBot="1" x14ac:dyDescent="0.4">
      <c r="AH8844" s="87"/>
    </row>
    <row r="8845" spans="34:34" ht="15" thickBot="1" x14ac:dyDescent="0.4">
      <c r="AH8845" s="87"/>
    </row>
    <row r="8846" spans="34:34" ht="15" thickBot="1" x14ac:dyDescent="0.4">
      <c r="AH8846" s="87"/>
    </row>
    <row r="8847" spans="34:34" ht="15" thickBot="1" x14ac:dyDescent="0.4">
      <c r="AH8847" s="87"/>
    </row>
    <row r="8848" spans="34:34" ht="15" thickBot="1" x14ac:dyDescent="0.4">
      <c r="AH8848" s="87"/>
    </row>
    <row r="8849" spans="34:34" ht="15" thickBot="1" x14ac:dyDescent="0.4">
      <c r="AH8849" s="87"/>
    </row>
    <row r="8850" spans="34:34" ht="15" thickBot="1" x14ac:dyDescent="0.4">
      <c r="AH8850" s="87"/>
    </row>
    <row r="8851" spans="34:34" ht="15" thickBot="1" x14ac:dyDescent="0.4">
      <c r="AH8851" s="87"/>
    </row>
    <row r="8852" spans="34:34" ht="15" thickBot="1" x14ac:dyDescent="0.4">
      <c r="AH8852" s="87"/>
    </row>
    <row r="8853" spans="34:34" ht="15" thickBot="1" x14ac:dyDescent="0.4">
      <c r="AH8853" s="87"/>
    </row>
    <row r="8854" spans="34:34" ht="15" thickBot="1" x14ac:dyDescent="0.4">
      <c r="AH8854" s="87"/>
    </row>
    <row r="8855" spans="34:34" ht="15" thickBot="1" x14ac:dyDescent="0.4">
      <c r="AH8855" s="87"/>
    </row>
    <row r="8856" spans="34:34" ht="15" thickBot="1" x14ac:dyDescent="0.4">
      <c r="AH8856" s="87"/>
    </row>
    <row r="8857" spans="34:34" ht="15" thickBot="1" x14ac:dyDescent="0.4">
      <c r="AH8857" s="87"/>
    </row>
    <row r="8858" spans="34:34" ht="15" thickBot="1" x14ac:dyDescent="0.4">
      <c r="AH8858" s="87"/>
    </row>
    <row r="8859" spans="34:34" ht="15" thickBot="1" x14ac:dyDescent="0.4">
      <c r="AH8859" s="87"/>
    </row>
    <row r="8860" spans="34:34" ht="15" thickBot="1" x14ac:dyDescent="0.4">
      <c r="AH8860" s="87"/>
    </row>
    <row r="8861" spans="34:34" ht="15" thickBot="1" x14ac:dyDescent="0.4">
      <c r="AH8861" s="87"/>
    </row>
    <row r="8862" spans="34:34" ht="15" thickBot="1" x14ac:dyDescent="0.4">
      <c r="AH8862" s="87"/>
    </row>
    <row r="8863" spans="34:34" ht="15" thickBot="1" x14ac:dyDescent="0.4">
      <c r="AH8863" s="87"/>
    </row>
    <row r="8864" spans="34:34" ht="15" thickBot="1" x14ac:dyDescent="0.4">
      <c r="AH8864" s="87"/>
    </row>
    <row r="8865" spans="34:34" ht="15" thickBot="1" x14ac:dyDescent="0.4">
      <c r="AH8865" s="87"/>
    </row>
    <row r="8866" spans="34:34" ht="15" thickBot="1" x14ac:dyDescent="0.4">
      <c r="AH8866" s="87"/>
    </row>
    <row r="8867" spans="34:34" ht="15" thickBot="1" x14ac:dyDescent="0.4">
      <c r="AH8867" s="87"/>
    </row>
    <row r="8868" spans="34:34" ht="15" thickBot="1" x14ac:dyDescent="0.4">
      <c r="AH8868" s="87"/>
    </row>
    <row r="8869" spans="34:34" ht="15" thickBot="1" x14ac:dyDescent="0.4">
      <c r="AH8869" s="87"/>
    </row>
    <row r="8870" spans="34:34" ht="15" thickBot="1" x14ac:dyDescent="0.4">
      <c r="AH8870" s="87"/>
    </row>
    <row r="8871" spans="34:34" ht="15" thickBot="1" x14ac:dyDescent="0.4">
      <c r="AH8871" s="87"/>
    </row>
    <row r="8872" spans="34:34" ht="15" thickBot="1" x14ac:dyDescent="0.4">
      <c r="AH8872" s="87"/>
    </row>
    <row r="8873" spans="34:34" ht="15" thickBot="1" x14ac:dyDescent="0.4">
      <c r="AH8873" s="87"/>
    </row>
    <row r="8874" spans="34:34" ht="15" thickBot="1" x14ac:dyDescent="0.4">
      <c r="AH8874" s="87"/>
    </row>
    <row r="8875" spans="34:34" ht="15" thickBot="1" x14ac:dyDescent="0.4">
      <c r="AH8875" s="87"/>
    </row>
    <row r="8876" spans="34:34" ht="15" thickBot="1" x14ac:dyDescent="0.4">
      <c r="AH8876" s="87"/>
    </row>
    <row r="8877" spans="34:34" ht="15" thickBot="1" x14ac:dyDescent="0.4">
      <c r="AH8877" s="87"/>
    </row>
    <row r="8878" spans="34:34" ht="15" thickBot="1" x14ac:dyDescent="0.4">
      <c r="AH8878" s="87"/>
    </row>
    <row r="8879" spans="34:34" ht="15" thickBot="1" x14ac:dyDescent="0.4">
      <c r="AH8879" s="87"/>
    </row>
    <row r="8880" spans="34:34" ht="15" thickBot="1" x14ac:dyDescent="0.4">
      <c r="AH8880" s="87"/>
    </row>
    <row r="8881" spans="34:34" ht="15" thickBot="1" x14ac:dyDescent="0.4">
      <c r="AH8881" s="87"/>
    </row>
    <row r="8882" spans="34:34" ht="15" thickBot="1" x14ac:dyDescent="0.4">
      <c r="AH8882" s="87"/>
    </row>
    <row r="8883" spans="34:34" ht="15" thickBot="1" x14ac:dyDescent="0.4">
      <c r="AH8883" s="87"/>
    </row>
    <row r="8884" spans="34:34" ht="15" thickBot="1" x14ac:dyDescent="0.4">
      <c r="AH8884" s="87"/>
    </row>
    <row r="8885" spans="34:34" ht="15" thickBot="1" x14ac:dyDescent="0.4">
      <c r="AH8885" s="87"/>
    </row>
    <row r="8886" spans="34:34" ht="15" thickBot="1" x14ac:dyDescent="0.4">
      <c r="AH8886" s="87"/>
    </row>
    <row r="8887" spans="34:34" ht="15" thickBot="1" x14ac:dyDescent="0.4">
      <c r="AH8887" s="87"/>
    </row>
    <row r="8888" spans="34:34" ht="15" thickBot="1" x14ac:dyDescent="0.4">
      <c r="AH8888" s="87"/>
    </row>
    <row r="8889" spans="34:34" ht="15" thickBot="1" x14ac:dyDescent="0.4">
      <c r="AH8889" s="87"/>
    </row>
    <row r="8890" spans="34:34" ht="15" thickBot="1" x14ac:dyDescent="0.4">
      <c r="AH8890" s="87"/>
    </row>
    <row r="8891" spans="34:34" ht="15" thickBot="1" x14ac:dyDescent="0.4">
      <c r="AH8891" s="87"/>
    </row>
    <row r="8892" spans="34:34" ht="15" thickBot="1" x14ac:dyDescent="0.4">
      <c r="AH8892" s="87"/>
    </row>
    <row r="8893" spans="34:34" ht="15" thickBot="1" x14ac:dyDescent="0.4">
      <c r="AH8893" s="87"/>
    </row>
    <row r="8894" spans="34:34" ht="15" thickBot="1" x14ac:dyDescent="0.4">
      <c r="AH8894" s="87"/>
    </row>
    <row r="8895" spans="34:34" ht="15" thickBot="1" x14ac:dyDescent="0.4">
      <c r="AH8895" s="87"/>
    </row>
    <row r="8896" spans="34:34" ht="15" thickBot="1" x14ac:dyDescent="0.4">
      <c r="AH8896" s="87"/>
    </row>
    <row r="8897" spans="34:34" ht="15" thickBot="1" x14ac:dyDescent="0.4">
      <c r="AH8897" s="87"/>
    </row>
    <row r="8898" spans="34:34" ht="15" thickBot="1" x14ac:dyDescent="0.4">
      <c r="AH8898" s="87"/>
    </row>
    <row r="8899" spans="34:34" ht="15" thickBot="1" x14ac:dyDescent="0.4">
      <c r="AH8899" s="87"/>
    </row>
    <row r="8900" spans="34:34" ht="15" thickBot="1" x14ac:dyDescent="0.4">
      <c r="AH8900" s="87"/>
    </row>
    <row r="8901" spans="34:34" ht="15" thickBot="1" x14ac:dyDescent="0.4">
      <c r="AH8901" s="87"/>
    </row>
    <row r="8902" spans="34:34" ht="15" thickBot="1" x14ac:dyDescent="0.4">
      <c r="AH8902" s="87"/>
    </row>
    <row r="8903" spans="34:34" ht="15" thickBot="1" x14ac:dyDescent="0.4">
      <c r="AH8903" s="87"/>
    </row>
    <row r="8904" spans="34:34" ht="15" thickBot="1" x14ac:dyDescent="0.4">
      <c r="AH8904" s="87"/>
    </row>
    <row r="8905" spans="34:34" ht="15" thickBot="1" x14ac:dyDescent="0.4">
      <c r="AH8905" s="87"/>
    </row>
    <row r="8906" spans="34:34" ht="15" thickBot="1" x14ac:dyDescent="0.4">
      <c r="AH8906" s="87"/>
    </row>
    <row r="8907" spans="34:34" ht="15" thickBot="1" x14ac:dyDescent="0.4">
      <c r="AH8907" s="87"/>
    </row>
    <row r="8908" spans="34:34" ht="15" thickBot="1" x14ac:dyDescent="0.4">
      <c r="AH8908" s="87"/>
    </row>
    <row r="8909" spans="34:34" ht="15" thickBot="1" x14ac:dyDescent="0.4">
      <c r="AH8909" s="87"/>
    </row>
    <row r="8910" spans="34:34" ht="15" thickBot="1" x14ac:dyDescent="0.4">
      <c r="AH8910" s="87"/>
    </row>
    <row r="8911" spans="34:34" ht="15" thickBot="1" x14ac:dyDescent="0.4">
      <c r="AH8911" s="87"/>
    </row>
    <row r="8912" spans="34:34" ht="15" thickBot="1" x14ac:dyDescent="0.4">
      <c r="AH8912" s="87"/>
    </row>
    <row r="8913" spans="34:34" ht="15" thickBot="1" x14ac:dyDescent="0.4">
      <c r="AH8913" s="87"/>
    </row>
    <row r="8914" spans="34:34" ht="15" thickBot="1" x14ac:dyDescent="0.4">
      <c r="AH8914" s="87"/>
    </row>
    <row r="8915" spans="34:34" ht="15" thickBot="1" x14ac:dyDescent="0.4">
      <c r="AH8915" s="87"/>
    </row>
    <row r="8916" spans="34:34" ht="15" thickBot="1" x14ac:dyDescent="0.4">
      <c r="AH8916" s="87"/>
    </row>
    <row r="8917" spans="34:34" ht="15" thickBot="1" x14ac:dyDescent="0.4">
      <c r="AH8917" s="87"/>
    </row>
    <row r="8918" spans="34:34" ht="15" thickBot="1" x14ac:dyDescent="0.4">
      <c r="AH8918" s="87"/>
    </row>
    <row r="8919" spans="34:34" ht="15" thickBot="1" x14ac:dyDescent="0.4">
      <c r="AH8919" s="87"/>
    </row>
    <row r="8920" spans="34:34" ht="15" thickBot="1" x14ac:dyDescent="0.4">
      <c r="AH8920" s="87"/>
    </row>
    <row r="8921" spans="34:34" ht="15" thickBot="1" x14ac:dyDescent="0.4">
      <c r="AH8921" s="87"/>
    </row>
    <row r="8922" spans="34:34" ht="15" thickBot="1" x14ac:dyDescent="0.4">
      <c r="AH8922" s="87"/>
    </row>
    <row r="8923" spans="34:34" ht="15" thickBot="1" x14ac:dyDescent="0.4">
      <c r="AH8923" s="87"/>
    </row>
    <row r="8924" spans="34:34" ht="15" thickBot="1" x14ac:dyDescent="0.4">
      <c r="AH8924" s="87"/>
    </row>
    <row r="8925" spans="34:34" ht="15" thickBot="1" x14ac:dyDescent="0.4">
      <c r="AH8925" s="87"/>
    </row>
    <row r="8926" spans="34:34" ht="15" thickBot="1" x14ac:dyDescent="0.4">
      <c r="AH8926" s="87"/>
    </row>
    <row r="8927" spans="34:34" ht="15" thickBot="1" x14ac:dyDescent="0.4">
      <c r="AH8927" s="87"/>
    </row>
    <row r="8928" spans="34:34" ht="15" thickBot="1" x14ac:dyDescent="0.4">
      <c r="AH8928" s="87"/>
    </row>
    <row r="8929" spans="34:34" ht="15" thickBot="1" x14ac:dyDescent="0.4">
      <c r="AH8929" s="87"/>
    </row>
    <row r="8930" spans="34:34" ht="15" thickBot="1" x14ac:dyDescent="0.4">
      <c r="AH8930" s="87"/>
    </row>
    <row r="8931" spans="34:34" ht="15" thickBot="1" x14ac:dyDescent="0.4">
      <c r="AH8931" s="87"/>
    </row>
    <row r="8932" spans="34:34" ht="15" thickBot="1" x14ac:dyDescent="0.4">
      <c r="AH8932" s="87"/>
    </row>
    <row r="8933" spans="34:34" ht="15" thickBot="1" x14ac:dyDescent="0.4">
      <c r="AH8933" s="87"/>
    </row>
    <row r="8934" spans="34:34" ht="15" thickBot="1" x14ac:dyDescent="0.4">
      <c r="AH8934" s="87"/>
    </row>
    <row r="8935" spans="34:34" ht="15" thickBot="1" x14ac:dyDescent="0.4">
      <c r="AH8935" s="87"/>
    </row>
    <row r="8936" spans="34:34" ht="15" thickBot="1" x14ac:dyDescent="0.4">
      <c r="AH8936" s="87"/>
    </row>
    <row r="8937" spans="34:34" ht="15" thickBot="1" x14ac:dyDescent="0.4">
      <c r="AH8937" s="87"/>
    </row>
    <row r="8938" spans="34:34" ht="15" thickBot="1" x14ac:dyDescent="0.4">
      <c r="AH8938" s="87"/>
    </row>
    <row r="8939" spans="34:34" ht="15" thickBot="1" x14ac:dyDescent="0.4">
      <c r="AH8939" s="87"/>
    </row>
    <row r="8940" spans="34:34" ht="15" thickBot="1" x14ac:dyDescent="0.4">
      <c r="AH8940" s="87"/>
    </row>
    <row r="8941" spans="34:34" ht="15" thickBot="1" x14ac:dyDescent="0.4">
      <c r="AH8941" s="87"/>
    </row>
    <row r="8942" spans="34:34" ht="15" thickBot="1" x14ac:dyDescent="0.4">
      <c r="AH8942" s="87"/>
    </row>
    <row r="8943" spans="34:34" ht="15" thickBot="1" x14ac:dyDescent="0.4">
      <c r="AH8943" s="87"/>
    </row>
    <row r="8944" spans="34:34" ht="15" thickBot="1" x14ac:dyDescent="0.4">
      <c r="AH8944" s="87"/>
    </row>
    <row r="8945" spans="34:34" ht="15" thickBot="1" x14ac:dyDescent="0.4">
      <c r="AH8945" s="87"/>
    </row>
    <row r="8946" spans="34:34" ht="15" thickBot="1" x14ac:dyDescent="0.4">
      <c r="AH8946" s="87"/>
    </row>
    <row r="8947" spans="34:34" ht="15" thickBot="1" x14ac:dyDescent="0.4">
      <c r="AH8947" s="87"/>
    </row>
    <row r="8948" spans="34:34" ht="15" thickBot="1" x14ac:dyDescent="0.4">
      <c r="AH8948" s="87"/>
    </row>
    <row r="8949" spans="34:34" ht="15" thickBot="1" x14ac:dyDescent="0.4">
      <c r="AH8949" s="87"/>
    </row>
    <row r="8950" spans="34:34" ht="15" thickBot="1" x14ac:dyDescent="0.4">
      <c r="AH8950" s="87"/>
    </row>
    <row r="8951" spans="34:34" ht="15" thickBot="1" x14ac:dyDescent="0.4">
      <c r="AH8951" s="87"/>
    </row>
    <row r="8952" spans="34:34" ht="15" thickBot="1" x14ac:dyDescent="0.4">
      <c r="AH8952" s="87"/>
    </row>
    <row r="8953" spans="34:34" ht="15" thickBot="1" x14ac:dyDescent="0.4">
      <c r="AH8953" s="87"/>
    </row>
    <row r="8954" spans="34:34" ht="15" thickBot="1" x14ac:dyDescent="0.4">
      <c r="AH8954" s="87"/>
    </row>
    <row r="8955" spans="34:34" ht="15" thickBot="1" x14ac:dyDescent="0.4">
      <c r="AH8955" s="87"/>
    </row>
    <row r="8956" spans="34:34" ht="15" thickBot="1" x14ac:dyDescent="0.4">
      <c r="AH8956" s="87"/>
    </row>
    <row r="8957" spans="34:34" ht="15" thickBot="1" x14ac:dyDescent="0.4">
      <c r="AH8957" s="87"/>
    </row>
    <row r="8958" spans="34:34" ht="15" thickBot="1" x14ac:dyDescent="0.4">
      <c r="AH8958" s="87"/>
    </row>
    <row r="8959" spans="34:34" ht="15" thickBot="1" x14ac:dyDescent="0.4">
      <c r="AH8959" s="87"/>
    </row>
    <row r="8960" spans="34:34" ht="15" thickBot="1" x14ac:dyDescent="0.4">
      <c r="AH8960" s="87"/>
    </row>
    <row r="8961" spans="34:34" ht="15" thickBot="1" x14ac:dyDescent="0.4">
      <c r="AH8961" s="87"/>
    </row>
    <row r="8962" spans="34:34" ht="15" thickBot="1" x14ac:dyDescent="0.4">
      <c r="AH8962" s="87"/>
    </row>
    <row r="8963" spans="34:34" ht="15" thickBot="1" x14ac:dyDescent="0.4">
      <c r="AH8963" s="87"/>
    </row>
    <row r="8964" spans="34:34" ht="15" thickBot="1" x14ac:dyDescent="0.4">
      <c r="AH8964" s="87"/>
    </row>
    <row r="8965" spans="34:34" ht="15" thickBot="1" x14ac:dyDescent="0.4">
      <c r="AH8965" s="87"/>
    </row>
    <row r="8966" spans="34:34" ht="15" thickBot="1" x14ac:dyDescent="0.4">
      <c r="AH8966" s="87"/>
    </row>
    <row r="8967" spans="34:34" ht="15" thickBot="1" x14ac:dyDescent="0.4">
      <c r="AH8967" s="87"/>
    </row>
    <row r="8968" spans="34:34" ht="15" thickBot="1" x14ac:dyDescent="0.4">
      <c r="AH8968" s="87"/>
    </row>
    <row r="8969" spans="34:34" ht="15" thickBot="1" x14ac:dyDescent="0.4">
      <c r="AH8969" s="87"/>
    </row>
    <row r="8970" spans="34:34" ht="15" thickBot="1" x14ac:dyDescent="0.4">
      <c r="AH8970" s="87"/>
    </row>
    <row r="8971" spans="34:34" ht="15" thickBot="1" x14ac:dyDescent="0.4">
      <c r="AH8971" s="87"/>
    </row>
    <row r="8972" spans="34:34" ht="15" thickBot="1" x14ac:dyDescent="0.4">
      <c r="AH8972" s="87"/>
    </row>
    <row r="8973" spans="34:34" ht="15" thickBot="1" x14ac:dyDescent="0.4">
      <c r="AH8973" s="87"/>
    </row>
    <row r="8974" spans="34:34" ht="15" thickBot="1" x14ac:dyDescent="0.4">
      <c r="AH8974" s="87"/>
    </row>
    <row r="8975" spans="34:34" ht="15" thickBot="1" x14ac:dyDescent="0.4">
      <c r="AH8975" s="87"/>
    </row>
    <row r="8976" spans="34:34" ht="15" thickBot="1" x14ac:dyDescent="0.4">
      <c r="AH8976" s="87"/>
    </row>
    <row r="8977" spans="34:34" ht="15" thickBot="1" x14ac:dyDescent="0.4">
      <c r="AH8977" s="87"/>
    </row>
    <row r="8978" spans="34:34" ht="15" thickBot="1" x14ac:dyDescent="0.4">
      <c r="AH8978" s="87"/>
    </row>
    <row r="8979" spans="34:34" ht="15" thickBot="1" x14ac:dyDescent="0.4">
      <c r="AH8979" s="87"/>
    </row>
    <row r="8980" spans="34:34" ht="15" thickBot="1" x14ac:dyDescent="0.4">
      <c r="AH8980" s="87"/>
    </row>
    <row r="8981" spans="34:34" ht="15" thickBot="1" x14ac:dyDescent="0.4">
      <c r="AH8981" s="87"/>
    </row>
    <row r="8982" spans="34:34" ht="15" thickBot="1" x14ac:dyDescent="0.4">
      <c r="AH8982" s="87"/>
    </row>
    <row r="8983" spans="34:34" ht="15" thickBot="1" x14ac:dyDescent="0.4">
      <c r="AH8983" s="87"/>
    </row>
    <row r="8984" spans="34:34" ht="15" thickBot="1" x14ac:dyDescent="0.4">
      <c r="AH8984" s="87"/>
    </row>
    <row r="8985" spans="34:34" ht="15" thickBot="1" x14ac:dyDescent="0.4">
      <c r="AH8985" s="87"/>
    </row>
    <row r="8986" spans="34:34" ht="15" thickBot="1" x14ac:dyDescent="0.4">
      <c r="AH8986" s="87"/>
    </row>
    <row r="8987" spans="34:34" ht="15" thickBot="1" x14ac:dyDescent="0.4">
      <c r="AH8987" s="87"/>
    </row>
    <row r="8988" spans="34:34" ht="15" thickBot="1" x14ac:dyDescent="0.4">
      <c r="AH8988" s="87"/>
    </row>
    <row r="8989" spans="34:34" ht="15" thickBot="1" x14ac:dyDescent="0.4">
      <c r="AH8989" s="87"/>
    </row>
    <row r="8990" spans="34:34" ht="15" thickBot="1" x14ac:dyDescent="0.4">
      <c r="AH8990" s="87"/>
    </row>
    <row r="8991" spans="34:34" ht="15" thickBot="1" x14ac:dyDescent="0.4">
      <c r="AH8991" s="87"/>
    </row>
    <row r="8992" spans="34:34" ht="15" thickBot="1" x14ac:dyDescent="0.4">
      <c r="AH8992" s="87"/>
    </row>
    <row r="8993" spans="34:34" ht="15" thickBot="1" x14ac:dyDescent="0.4">
      <c r="AH8993" s="87"/>
    </row>
    <row r="8994" spans="34:34" ht="15" thickBot="1" x14ac:dyDescent="0.4">
      <c r="AH8994" s="87"/>
    </row>
    <row r="8995" spans="34:34" ht="15" thickBot="1" x14ac:dyDescent="0.4">
      <c r="AH8995" s="87"/>
    </row>
    <row r="8996" spans="34:34" ht="15" thickBot="1" x14ac:dyDescent="0.4">
      <c r="AH8996" s="87"/>
    </row>
    <row r="8997" spans="34:34" ht="15" thickBot="1" x14ac:dyDescent="0.4">
      <c r="AH8997" s="87"/>
    </row>
    <row r="8998" spans="34:34" ht="15" thickBot="1" x14ac:dyDescent="0.4">
      <c r="AH8998" s="87"/>
    </row>
    <row r="8999" spans="34:34" ht="15" thickBot="1" x14ac:dyDescent="0.4">
      <c r="AH8999" s="87"/>
    </row>
    <row r="9000" spans="34:34" ht="15" thickBot="1" x14ac:dyDescent="0.4">
      <c r="AH9000" s="87"/>
    </row>
    <row r="9001" spans="34:34" ht="15" thickBot="1" x14ac:dyDescent="0.4">
      <c r="AH9001" s="87"/>
    </row>
    <row r="9002" spans="34:34" ht="15" thickBot="1" x14ac:dyDescent="0.4">
      <c r="AH9002" s="87"/>
    </row>
    <row r="9003" spans="34:34" ht="15" thickBot="1" x14ac:dyDescent="0.4">
      <c r="AH9003" s="87"/>
    </row>
    <row r="9004" spans="34:34" ht="15" thickBot="1" x14ac:dyDescent="0.4">
      <c r="AH9004" s="87"/>
    </row>
    <row r="9005" spans="34:34" ht="15" thickBot="1" x14ac:dyDescent="0.4">
      <c r="AH9005" s="87"/>
    </row>
    <row r="9006" spans="34:34" ht="15" thickBot="1" x14ac:dyDescent="0.4">
      <c r="AH9006" s="87"/>
    </row>
    <row r="9007" spans="34:34" ht="15" thickBot="1" x14ac:dyDescent="0.4">
      <c r="AH9007" s="87"/>
    </row>
    <row r="9008" spans="34:34" ht="15" thickBot="1" x14ac:dyDescent="0.4">
      <c r="AH9008" s="87"/>
    </row>
    <row r="9009" spans="34:34" ht="15" thickBot="1" x14ac:dyDescent="0.4">
      <c r="AH9009" s="87"/>
    </row>
    <row r="9010" spans="34:34" ht="15" thickBot="1" x14ac:dyDescent="0.4">
      <c r="AH9010" s="87"/>
    </row>
    <row r="9011" spans="34:34" ht="15" thickBot="1" x14ac:dyDescent="0.4">
      <c r="AH9011" s="87"/>
    </row>
    <row r="9012" spans="34:34" ht="15" thickBot="1" x14ac:dyDescent="0.4">
      <c r="AH9012" s="87"/>
    </row>
    <row r="9013" spans="34:34" ht="15" thickBot="1" x14ac:dyDescent="0.4">
      <c r="AH9013" s="87"/>
    </row>
    <row r="9014" spans="34:34" ht="15" thickBot="1" x14ac:dyDescent="0.4">
      <c r="AH9014" s="87"/>
    </row>
    <row r="9015" spans="34:34" ht="15" thickBot="1" x14ac:dyDescent="0.4">
      <c r="AH9015" s="87"/>
    </row>
    <row r="9016" spans="34:34" ht="15" thickBot="1" x14ac:dyDescent="0.4">
      <c r="AH9016" s="87"/>
    </row>
    <row r="9017" spans="34:34" ht="15" thickBot="1" x14ac:dyDescent="0.4">
      <c r="AH9017" s="87"/>
    </row>
    <row r="9018" spans="34:34" ht="15" thickBot="1" x14ac:dyDescent="0.4">
      <c r="AH9018" s="87"/>
    </row>
    <row r="9019" spans="34:34" ht="15" thickBot="1" x14ac:dyDescent="0.4">
      <c r="AH9019" s="87"/>
    </row>
    <row r="9020" spans="34:34" ht="15" thickBot="1" x14ac:dyDescent="0.4">
      <c r="AH9020" s="87"/>
    </row>
    <row r="9021" spans="34:34" ht="15" thickBot="1" x14ac:dyDescent="0.4">
      <c r="AH9021" s="87"/>
    </row>
    <row r="9022" spans="34:34" ht="15" thickBot="1" x14ac:dyDescent="0.4">
      <c r="AH9022" s="87"/>
    </row>
    <row r="9023" spans="34:34" ht="15" thickBot="1" x14ac:dyDescent="0.4">
      <c r="AH9023" s="87"/>
    </row>
    <row r="9024" spans="34:34" ht="15" thickBot="1" x14ac:dyDescent="0.4">
      <c r="AH9024" s="87"/>
    </row>
    <row r="9025" spans="34:34" ht="15" thickBot="1" x14ac:dyDescent="0.4">
      <c r="AH9025" s="87"/>
    </row>
    <row r="9026" spans="34:34" ht="15" thickBot="1" x14ac:dyDescent="0.4">
      <c r="AH9026" s="87"/>
    </row>
    <row r="9027" spans="34:34" ht="15" thickBot="1" x14ac:dyDescent="0.4">
      <c r="AH9027" s="87"/>
    </row>
    <row r="9028" spans="34:34" ht="15" thickBot="1" x14ac:dyDescent="0.4">
      <c r="AH9028" s="87"/>
    </row>
    <row r="9029" spans="34:34" ht="15" thickBot="1" x14ac:dyDescent="0.4">
      <c r="AH9029" s="87"/>
    </row>
    <row r="9030" spans="34:34" ht="15" thickBot="1" x14ac:dyDescent="0.4">
      <c r="AH9030" s="87"/>
    </row>
    <row r="9031" spans="34:34" ht="15" thickBot="1" x14ac:dyDescent="0.4">
      <c r="AH9031" s="87"/>
    </row>
    <row r="9032" spans="34:34" ht="15" thickBot="1" x14ac:dyDescent="0.4">
      <c r="AH9032" s="87"/>
    </row>
    <row r="9033" spans="34:34" ht="15" thickBot="1" x14ac:dyDescent="0.4">
      <c r="AH9033" s="87"/>
    </row>
    <row r="9034" spans="34:34" ht="15" thickBot="1" x14ac:dyDescent="0.4">
      <c r="AH9034" s="87"/>
    </row>
    <row r="9035" spans="34:34" ht="15" thickBot="1" x14ac:dyDescent="0.4">
      <c r="AH9035" s="87"/>
    </row>
    <row r="9036" spans="34:34" ht="15" thickBot="1" x14ac:dyDescent="0.4">
      <c r="AH9036" s="87"/>
    </row>
    <row r="9037" spans="34:34" ht="15" thickBot="1" x14ac:dyDescent="0.4">
      <c r="AH9037" s="87"/>
    </row>
    <row r="9038" spans="34:34" ht="15" thickBot="1" x14ac:dyDescent="0.4">
      <c r="AH9038" s="87"/>
    </row>
    <row r="9039" spans="34:34" ht="15" thickBot="1" x14ac:dyDescent="0.4">
      <c r="AH9039" s="87"/>
    </row>
    <row r="9040" spans="34:34" ht="15" thickBot="1" x14ac:dyDescent="0.4">
      <c r="AH9040" s="87"/>
    </row>
    <row r="9041" spans="34:34" ht="15" thickBot="1" x14ac:dyDescent="0.4">
      <c r="AH9041" s="87"/>
    </row>
    <row r="9042" spans="34:34" ht="15" thickBot="1" x14ac:dyDescent="0.4">
      <c r="AH9042" s="87"/>
    </row>
    <row r="9043" spans="34:34" ht="15" thickBot="1" x14ac:dyDescent="0.4">
      <c r="AH9043" s="87"/>
    </row>
    <row r="9044" spans="34:34" ht="15" thickBot="1" x14ac:dyDescent="0.4">
      <c r="AH9044" s="87"/>
    </row>
    <row r="9045" spans="34:34" ht="15" thickBot="1" x14ac:dyDescent="0.4">
      <c r="AH9045" s="87"/>
    </row>
    <row r="9046" spans="34:34" ht="15" thickBot="1" x14ac:dyDescent="0.4">
      <c r="AH9046" s="87"/>
    </row>
    <row r="9047" spans="34:34" ht="15" thickBot="1" x14ac:dyDescent="0.4">
      <c r="AH9047" s="87"/>
    </row>
    <row r="9048" spans="34:34" ht="15" thickBot="1" x14ac:dyDescent="0.4">
      <c r="AH9048" s="87"/>
    </row>
    <row r="9049" spans="34:34" ht="15" thickBot="1" x14ac:dyDescent="0.4">
      <c r="AH9049" s="87"/>
    </row>
    <row r="9050" spans="34:34" ht="15" thickBot="1" x14ac:dyDescent="0.4">
      <c r="AH9050" s="87"/>
    </row>
    <row r="9051" spans="34:34" ht="15" thickBot="1" x14ac:dyDescent="0.4">
      <c r="AH9051" s="87"/>
    </row>
    <row r="9052" spans="34:34" ht="15" thickBot="1" x14ac:dyDescent="0.4">
      <c r="AH9052" s="87"/>
    </row>
    <row r="9053" spans="34:34" ht="15" thickBot="1" x14ac:dyDescent="0.4">
      <c r="AH9053" s="87"/>
    </row>
    <row r="9054" spans="34:34" ht="15" thickBot="1" x14ac:dyDescent="0.4">
      <c r="AH9054" s="87"/>
    </row>
    <row r="9055" spans="34:34" ht="15" thickBot="1" x14ac:dyDescent="0.4">
      <c r="AH9055" s="87"/>
    </row>
    <row r="9056" spans="34:34" ht="15" thickBot="1" x14ac:dyDescent="0.4">
      <c r="AH9056" s="87"/>
    </row>
    <row r="9057" spans="34:34" ht="15" thickBot="1" x14ac:dyDescent="0.4">
      <c r="AH9057" s="87"/>
    </row>
    <row r="9058" spans="34:34" ht="15" thickBot="1" x14ac:dyDescent="0.4">
      <c r="AH9058" s="87"/>
    </row>
    <row r="9059" spans="34:34" ht="15" thickBot="1" x14ac:dyDescent="0.4">
      <c r="AH9059" s="87"/>
    </row>
    <row r="9060" spans="34:34" ht="15" thickBot="1" x14ac:dyDescent="0.4">
      <c r="AH9060" s="87"/>
    </row>
    <row r="9061" spans="34:34" ht="15" thickBot="1" x14ac:dyDescent="0.4">
      <c r="AH9061" s="87"/>
    </row>
    <row r="9062" spans="34:34" ht="15" thickBot="1" x14ac:dyDescent="0.4">
      <c r="AH9062" s="87"/>
    </row>
    <row r="9063" spans="34:34" ht="15" thickBot="1" x14ac:dyDescent="0.4">
      <c r="AH9063" s="87"/>
    </row>
    <row r="9064" spans="34:34" ht="15" thickBot="1" x14ac:dyDescent="0.4">
      <c r="AH9064" s="87"/>
    </row>
    <row r="9065" spans="34:34" ht="15" thickBot="1" x14ac:dyDescent="0.4">
      <c r="AH9065" s="87"/>
    </row>
    <row r="9066" spans="34:34" ht="15" thickBot="1" x14ac:dyDescent="0.4">
      <c r="AH9066" s="87"/>
    </row>
    <row r="9067" spans="34:34" ht="15" thickBot="1" x14ac:dyDescent="0.4">
      <c r="AH9067" s="87"/>
    </row>
    <row r="9068" spans="34:34" ht="15" thickBot="1" x14ac:dyDescent="0.4">
      <c r="AH9068" s="87"/>
    </row>
    <row r="9069" spans="34:34" ht="15" thickBot="1" x14ac:dyDescent="0.4">
      <c r="AH9069" s="87"/>
    </row>
    <row r="9070" spans="34:34" ht="15" thickBot="1" x14ac:dyDescent="0.4">
      <c r="AH9070" s="87"/>
    </row>
    <row r="9071" spans="34:34" ht="15" thickBot="1" x14ac:dyDescent="0.4">
      <c r="AH9071" s="87"/>
    </row>
    <row r="9072" spans="34:34" ht="15" thickBot="1" x14ac:dyDescent="0.4">
      <c r="AH9072" s="87"/>
    </row>
    <row r="9073" spans="34:34" ht="15" thickBot="1" x14ac:dyDescent="0.4">
      <c r="AH9073" s="87"/>
    </row>
    <row r="9074" spans="34:34" ht="15" thickBot="1" x14ac:dyDescent="0.4">
      <c r="AH9074" s="87"/>
    </row>
    <row r="9075" spans="34:34" ht="15" thickBot="1" x14ac:dyDescent="0.4">
      <c r="AH9075" s="87"/>
    </row>
    <row r="9076" spans="34:34" ht="15" thickBot="1" x14ac:dyDescent="0.4">
      <c r="AH9076" s="87"/>
    </row>
    <row r="9077" spans="34:34" ht="15" thickBot="1" x14ac:dyDescent="0.4">
      <c r="AH9077" s="87"/>
    </row>
    <row r="9078" spans="34:34" ht="15" thickBot="1" x14ac:dyDescent="0.4">
      <c r="AH9078" s="87"/>
    </row>
    <row r="9079" spans="34:34" ht="15" thickBot="1" x14ac:dyDescent="0.4">
      <c r="AH9079" s="87"/>
    </row>
    <row r="9080" spans="34:34" ht="15" thickBot="1" x14ac:dyDescent="0.4">
      <c r="AH9080" s="87"/>
    </row>
    <row r="9081" spans="34:34" ht="15" thickBot="1" x14ac:dyDescent="0.4">
      <c r="AH9081" s="87"/>
    </row>
    <row r="9082" spans="34:34" ht="15" thickBot="1" x14ac:dyDescent="0.4">
      <c r="AH9082" s="87"/>
    </row>
    <row r="9083" spans="34:34" ht="15" thickBot="1" x14ac:dyDescent="0.4">
      <c r="AH9083" s="87"/>
    </row>
    <row r="9084" spans="34:34" ht="15" thickBot="1" x14ac:dyDescent="0.4">
      <c r="AH9084" s="87"/>
    </row>
    <row r="9085" spans="34:34" ht="15" thickBot="1" x14ac:dyDescent="0.4">
      <c r="AH9085" s="87"/>
    </row>
    <row r="9086" spans="34:34" ht="15" thickBot="1" x14ac:dyDescent="0.4">
      <c r="AH9086" s="87"/>
    </row>
    <row r="9087" spans="34:34" ht="15" thickBot="1" x14ac:dyDescent="0.4">
      <c r="AH9087" s="87"/>
    </row>
    <row r="9088" spans="34:34" ht="15" thickBot="1" x14ac:dyDescent="0.4">
      <c r="AH9088" s="87"/>
    </row>
    <row r="9089" spans="34:34" ht="15" thickBot="1" x14ac:dyDescent="0.4">
      <c r="AH9089" s="87"/>
    </row>
    <row r="9090" spans="34:34" ht="15" thickBot="1" x14ac:dyDescent="0.4">
      <c r="AH9090" s="87"/>
    </row>
    <row r="9091" spans="34:34" ht="15" thickBot="1" x14ac:dyDescent="0.4">
      <c r="AH9091" s="87"/>
    </row>
    <row r="9092" spans="34:34" ht="15" thickBot="1" x14ac:dyDescent="0.4">
      <c r="AH9092" s="87"/>
    </row>
    <row r="9093" spans="34:34" ht="15" thickBot="1" x14ac:dyDescent="0.4">
      <c r="AH9093" s="87"/>
    </row>
    <row r="9094" spans="34:34" ht="15" thickBot="1" x14ac:dyDescent="0.4">
      <c r="AH9094" s="87"/>
    </row>
    <row r="9095" spans="34:34" ht="15" thickBot="1" x14ac:dyDescent="0.4">
      <c r="AH9095" s="87"/>
    </row>
    <row r="9096" spans="34:34" ht="15" thickBot="1" x14ac:dyDescent="0.4">
      <c r="AH9096" s="87"/>
    </row>
    <row r="9097" spans="34:34" ht="15" thickBot="1" x14ac:dyDescent="0.4">
      <c r="AH9097" s="87"/>
    </row>
    <row r="9098" spans="34:34" ht="15" thickBot="1" x14ac:dyDescent="0.4">
      <c r="AH9098" s="87"/>
    </row>
    <row r="9099" spans="34:34" ht="15" thickBot="1" x14ac:dyDescent="0.4">
      <c r="AH9099" s="87"/>
    </row>
    <row r="9100" spans="34:34" ht="15" thickBot="1" x14ac:dyDescent="0.4">
      <c r="AH9100" s="87"/>
    </row>
    <row r="9101" spans="34:34" ht="15" thickBot="1" x14ac:dyDescent="0.4">
      <c r="AH9101" s="87"/>
    </row>
    <row r="9102" spans="34:34" ht="15" thickBot="1" x14ac:dyDescent="0.4">
      <c r="AH9102" s="87"/>
    </row>
    <row r="9103" spans="34:34" ht="15" thickBot="1" x14ac:dyDescent="0.4">
      <c r="AH9103" s="87"/>
    </row>
    <row r="9104" spans="34:34" ht="15" thickBot="1" x14ac:dyDescent="0.4">
      <c r="AH9104" s="87"/>
    </row>
    <row r="9105" spans="34:34" ht="15" thickBot="1" x14ac:dyDescent="0.4">
      <c r="AH9105" s="87"/>
    </row>
    <row r="9106" spans="34:34" ht="15" thickBot="1" x14ac:dyDescent="0.4">
      <c r="AH9106" s="87"/>
    </row>
    <row r="9107" spans="34:34" ht="15" thickBot="1" x14ac:dyDescent="0.4">
      <c r="AH9107" s="87"/>
    </row>
    <row r="9108" spans="34:34" ht="15" thickBot="1" x14ac:dyDescent="0.4">
      <c r="AH9108" s="87"/>
    </row>
    <row r="9109" spans="34:34" ht="15" thickBot="1" x14ac:dyDescent="0.4">
      <c r="AH9109" s="87"/>
    </row>
    <row r="9110" spans="34:34" ht="15" thickBot="1" x14ac:dyDescent="0.4">
      <c r="AH9110" s="87"/>
    </row>
    <row r="9111" spans="34:34" ht="15" thickBot="1" x14ac:dyDescent="0.4">
      <c r="AH9111" s="87"/>
    </row>
    <row r="9112" spans="34:34" ht="15" thickBot="1" x14ac:dyDescent="0.4">
      <c r="AH9112" s="87"/>
    </row>
    <row r="9113" spans="34:34" ht="15" thickBot="1" x14ac:dyDescent="0.4">
      <c r="AH9113" s="87"/>
    </row>
    <row r="9114" spans="34:34" ht="15" thickBot="1" x14ac:dyDescent="0.4">
      <c r="AH9114" s="87"/>
    </row>
    <row r="9115" spans="34:34" ht="15" thickBot="1" x14ac:dyDescent="0.4">
      <c r="AH9115" s="87"/>
    </row>
    <row r="9116" spans="34:34" ht="15" thickBot="1" x14ac:dyDescent="0.4">
      <c r="AH9116" s="87"/>
    </row>
    <row r="9117" spans="34:34" ht="15" thickBot="1" x14ac:dyDescent="0.4">
      <c r="AH9117" s="87"/>
    </row>
    <row r="9118" spans="34:34" ht="15" thickBot="1" x14ac:dyDescent="0.4">
      <c r="AH9118" s="87"/>
    </row>
    <row r="9119" spans="34:34" ht="15" thickBot="1" x14ac:dyDescent="0.4">
      <c r="AH9119" s="87"/>
    </row>
    <row r="9120" spans="34:34" ht="15" thickBot="1" x14ac:dyDescent="0.4">
      <c r="AH9120" s="87"/>
    </row>
    <row r="9121" spans="34:34" ht="15" thickBot="1" x14ac:dyDescent="0.4">
      <c r="AH9121" s="87"/>
    </row>
    <row r="9122" spans="34:34" ht="15" thickBot="1" x14ac:dyDescent="0.4">
      <c r="AH9122" s="87"/>
    </row>
    <row r="9123" spans="34:34" ht="15" thickBot="1" x14ac:dyDescent="0.4">
      <c r="AH9123" s="87"/>
    </row>
    <row r="9124" spans="34:34" ht="15" thickBot="1" x14ac:dyDescent="0.4">
      <c r="AH9124" s="87"/>
    </row>
    <row r="9125" spans="34:34" ht="15" thickBot="1" x14ac:dyDescent="0.4">
      <c r="AH9125" s="87"/>
    </row>
    <row r="9126" spans="34:34" ht="15" thickBot="1" x14ac:dyDescent="0.4">
      <c r="AH9126" s="87"/>
    </row>
    <row r="9127" spans="34:34" ht="15" thickBot="1" x14ac:dyDescent="0.4">
      <c r="AH9127" s="87"/>
    </row>
    <row r="9128" spans="34:34" ht="15" thickBot="1" x14ac:dyDescent="0.4">
      <c r="AH9128" s="87"/>
    </row>
    <row r="9129" spans="34:34" ht="15" thickBot="1" x14ac:dyDescent="0.4">
      <c r="AH9129" s="87"/>
    </row>
    <row r="9130" spans="34:34" ht="15" thickBot="1" x14ac:dyDescent="0.4">
      <c r="AH9130" s="87"/>
    </row>
    <row r="9131" spans="34:34" ht="15" thickBot="1" x14ac:dyDescent="0.4">
      <c r="AH9131" s="87"/>
    </row>
    <row r="9132" spans="34:34" ht="15" thickBot="1" x14ac:dyDescent="0.4">
      <c r="AH9132" s="87"/>
    </row>
    <row r="9133" spans="34:34" ht="15" thickBot="1" x14ac:dyDescent="0.4">
      <c r="AH9133" s="87"/>
    </row>
    <row r="9134" spans="34:34" ht="15" thickBot="1" x14ac:dyDescent="0.4">
      <c r="AH9134" s="87"/>
    </row>
    <row r="9135" spans="34:34" ht="15" thickBot="1" x14ac:dyDescent="0.4">
      <c r="AH9135" s="87"/>
    </row>
    <row r="9136" spans="34:34" ht="15" thickBot="1" x14ac:dyDescent="0.4">
      <c r="AH9136" s="87"/>
    </row>
    <row r="9137" spans="34:34" ht="15" thickBot="1" x14ac:dyDescent="0.4">
      <c r="AH9137" s="87"/>
    </row>
    <row r="9138" spans="34:34" ht="15" thickBot="1" x14ac:dyDescent="0.4">
      <c r="AH9138" s="87"/>
    </row>
    <row r="9139" spans="34:34" ht="15" thickBot="1" x14ac:dyDescent="0.4">
      <c r="AH9139" s="87"/>
    </row>
    <row r="9140" spans="34:34" ht="15" thickBot="1" x14ac:dyDescent="0.4">
      <c r="AH9140" s="87"/>
    </row>
    <row r="9141" spans="34:34" ht="15" thickBot="1" x14ac:dyDescent="0.4">
      <c r="AH9141" s="87"/>
    </row>
    <row r="9142" spans="34:34" ht="15" thickBot="1" x14ac:dyDescent="0.4">
      <c r="AH9142" s="87"/>
    </row>
    <row r="9143" spans="34:34" ht="15" thickBot="1" x14ac:dyDescent="0.4">
      <c r="AH9143" s="87"/>
    </row>
    <row r="9144" spans="34:34" ht="15" thickBot="1" x14ac:dyDescent="0.4">
      <c r="AH9144" s="87"/>
    </row>
    <row r="9145" spans="34:34" ht="15" thickBot="1" x14ac:dyDescent="0.4">
      <c r="AH9145" s="87"/>
    </row>
    <row r="9146" spans="34:34" ht="15" thickBot="1" x14ac:dyDescent="0.4">
      <c r="AH9146" s="87"/>
    </row>
    <row r="9147" spans="34:34" ht="15" thickBot="1" x14ac:dyDescent="0.4">
      <c r="AH9147" s="87"/>
    </row>
    <row r="9148" spans="34:34" ht="15" thickBot="1" x14ac:dyDescent="0.4">
      <c r="AH9148" s="87"/>
    </row>
    <row r="9149" spans="34:34" ht="15" thickBot="1" x14ac:dyDescent="0.4">
      <c r="AH9149" s="87"/>
    </row>
    <row r="9150" spans="34:34" ht="15" thickBot="1" x14ac:dyDescent="0.4">
      <c r="AH9150" s="87"/>
    </row>
    <row r="9151" spans="34:34" ht="15" thickBot="1" x14ac:dyDescent="0.4">
      <c r="AH9151" s="87"/>
    </row>
    <row r="9152" spans="34:34" ht="15" thickBot="1" x14ac:dyDescent="0.4">
      <c r="AH9152" s="87"/>
    </row>
    <row r="9153" spans="34:34" ht="15" thickBot="1" x14ac:dyDescent="0.4">
      <c r="AH9153" s="87"/>
    </row>
    <row r="9154" spans="34:34" ht="15" thickBot="1" x14ac:dyDescent="0.4">
      <c r="AH9154" s="87"/>
    </row>
    <row r="9155" spans="34:34" ht="15" thickBot="1" x14ac:dyDescent="0.4">
      <c r="AH9155" s="87"/>
    </row>
    <row r="9156" spans="34:34" ht="15" thickBot="1" x14ac:dyDescent="0.4">
      <c r="AH9156" s="87"/>
    </row>
    <row r="9157" spans="34:34" ht="15" thickBot="1" x14ac:dyDescent="0.4">
      <c r="AH9157" s="87"/>
    </row>
    <row r="9158" spans="34:34" ht="15" thickBot="1" x14ac:dyDescent="0.4">
      <c r="AH9158" s="87"/>
    </row>
    <row r="9159" spans="34:34" ht="15" thickBot="1" x14ac:dyDescent="0.4">
      <c r="AH9159" s="87"/>
    </row>
    <row r="9160" spans="34:34" ht="15" thickBot="1" x14ac:dyDescent="0.4">
      <c r="AH9160" s="87"/>
    </row>
    <row r="9161" spans="34:34" ht="15" thickBot="1" x14ac:dyDescent="0.4">
      <c r="AH9161" s="87"/>
    </row>
    <row r="9162" spans="34:34" ht="15" thickBot="1" x14ac:dyDescent="0.4">
      <c r="AH9162" s="87"/>
    </row>
    <row r="9163" spans="34:34" ht="15" thickBot="1" x14ac:dyDescent="0.4">
      <c r="AH9163" s="87"/>
    </row>
    <row r="9164" spans="34:34" ht="15" thickBot="1" x14ac:dyDescent="0.4">
      <c r="AH9164" s="87"/>
    </row>
    <row r="9165" spans="34:34" ht="15" thickBot="1" x14ac:dyDescent="0.4">
      <c r="AH9165" s="87"/>
    </row>
    <row r="9166" spans="34:34" ht="15" thickBot="1" x14ac:dyDescent="0.4">
      <c r="AH9166" s="87"/>
    </row>
    <row r="9167" spans="34:34" ht="15" thickBot="1" x14ac:dyDescent="0.4">
      <c r="AH9167" s="87"/>
    </row>
    <row r="9168" spans="34:34" ht="15" thickBot="1" x14ac:dyDescent="0.4">
      <c r="AH9168" s="87"/>
    </row>
    <row r="9169" spans="34:34" ht="15" thickBot="1" x14ac:dyDescent="0.4">
      <c r="AH9169" s="87"/>
    </row>
    <row r="9170" spans="34:34" ht="15" thickBot="1" x14ac:dyDescent="0.4">
      <c r="AH9170" s="87"/>
    </row>
    <row r="9171" spans="34:34" ht="15" thickBot="1" x14ac:dyDescent="0.4">
      <c r="AH9171" s="87"/>
    </row>
    <row r="9172" spans="34:34" ht="15" thickBot="1" x14ac:dyDescent="0.4">
      <c r="AH9172" s="87"/>
    </row>
    <row r="9173" spans="34:34" ht="15" thickBot="1" x14ac:dyDescent="0.4">
      <c r="AH9173" s="87"/>
    </row>
    <row r="9174" spans="34:34" ht="15" thickBot="1" x14ac:dyDescent="0.4">
      <c r="AH9174" s="87"/>
    </row>
    <row r="9175" spans="34:34" ht="15" thickBot="1" x14ac:dyDescent="0.4">
      <c r="AH9175" s="87"/>
    </row>
    <row r="9176" spans="34:34" ht="15" thickBot="1" x14ac:dyDescent="0.4">
      <c r="AH9176" s="87"/>
    </row>
    <row r="9177" spans="34:34" ht="15" thickBot="1" x14ac:dyDescent="0.4">
      <c r="AH9177" s="87"/>
    </row>
    <row r="9178" spans="34:34" ht="15" thickBot="1" x14ac:dyDescent="0.4">
      <c r="AH9178" s="87"/>
    </row>
    <row r="9179" spans="34:34" ht="15" thickBot="1" x14ac:dyDescent="0.4">
      <c r="AH9179" s="87"/>
    </row>
    <row r="9180" spans="34:34" ht="15" thickBot="1" x14ac:dyDescent="0.4">
      <c r="AH9180" s="87"/>
    </row>
    <row r="9181" spans="34:34" ht="15" thickBot="1" x14ac:dyDescent="0.4">
      <c r="AH9181" s="87"/>
    </row>
    <row r="9182" spans="34:34" ht="15" thickBot="1" x14ac:dyDescent="0.4">
      <c r="AH9182" s="87"/>
    </row>
    <row r="9183" spans="34:34" ht="15" thickBot="1" x14ac:dyDescent="0.4">
      <c r="AH9183" s="87"/>
    </row>
    <row r="9184" spans="34:34" ht="15" thickBot="1" x14ac:dyDescent="0.4">
      <c r="AH9184" s="87"/>
    </row>
    <row r="9185" spans="34:34" ht="15" thickBot="1" x14ac:dyDescent="0.4">
      <c r="AH9185" s="87"/>
    </row>
    <row r="9186" spans="34:34" ht="15" thickBot="1" x14ac:dyDescent="0.4">
      <c r="AH9186" s="87"/>
    </row>
    <row r="9187" spans="34:34" ht="15" thickBot="1" x14ac:dyDescent="0.4">
      <c r="AH9187" s="87"/>
    </row>
    <row r="9188" spans="34:34" ht="15" thickBot="1" x14ac:dyDescent="0.4">
      <c r="AH9188" s="87"/>
    </row>
    <row r="9189" spans="34:34" ht="15" thickBot="1" x14ac:dyDescent="0.4">
      <c r="AH9189" s="87"/>
    </row>
    <row r="9190" spans="34:34" ht="15" thickBot="1" x14ac:dyDescent="0.4">
      <c r="AH9190" s="87"/>
    </row>
    <row r="9191" spans="34:34" ht="15" thickBot="1" x14ac:dyDescent="0.4">
      <c r="AH9191" s="87"/>
    </row>
    <row r="9192" spans="34:34" ht="15" thickBot="1" x14ac:dyDescent="0.4">
      <c r="AH9192" s="87"/>
    </row>
    <row r="9193" spans="34:34" ht="15" thickBot="1" x14ac:dyDescent="0.4">
      <c r="AH9193" s="87"/>
    </row>
    <row r="9194" spans="34:34" ht="15" thickBot="1" x14ac:dyDescent="0.4">
      <c r="AH9194" s="87"/>
    </row>
    <row r="9195" spans="34:34" ht="15" thickBot="1" x14ac:dyDescent="0.4">
      <c r="AH9195" s="87"/>
    </row>
    <row r="9196" spans="34:34" ht="15" thickBot="1" x14ac:dyDescent="0.4">
      <c r="AH9196" s="87"/>
    </row>
    <row r="9197" spans="34:34" ht="15" thickBot="1" x14ac:dyDescent="0.4">
      <c r="AH9197" s="87"/>
    </row>
    <row r="9198" spans="34:34" ht="15" thickBot="1" x14ac:dyDescent="0.4">
      <c r="AH9198" s="87"/>
    </row>
    <row r="9199" spans="34:34" ht="15" thickBot="1" x14ac:dyDescent="0.4">
      <c r="AH9199" s="87"/>
    </row>
    <row r="9200" spans="34:34" ht="15" thickBot="1" x14ac:dyDescent="0.4">
      <c r="AH9200" s="87"/>
    </row>
    <row r="9201" spans="34:34" ht="15" thickBot="1" x14ac:dyDescent="0.4">
      <c r="AH9201" s="87"/>
    </row>
    <row r="9202" spans="34:34" ht="15" thickBot="1" x14ac:dyDescent="0.4">
      <c r="AH9202" s="87"/>
    </row>
    <row r="9203" spans="34:34" ht="15" thickBot="1" x14ac:dyDescent="0.4">
      <c r="AH9203" s="87"/>
    </row>
    <row r="9204" spans="34:34" ht="15" thickBot="1" x14ac:dyDescent="0.4">
      <c r="AH9204" s="87"/>
    </row>
    <row r="9205" spans="34:34" ht="15" thickBot="1" x14ac:dyDescent="0.4">
      <c r="AH9205" s="87"/>
    </row>
    <row r="9206" spans="34:34" ht="15" thickBot="1" x14ac:dyDescent="0.4">
      <c r="AH9206" s="87"/>
    </row>
    <row r="9207" spans="34:34" ht="15" thickBot="1" x14ac:dyDescent="0.4">
      <c r="AH9207" s="87"/>
    </row>
    <row r="9208" spans="34:34" ht="15" thickBot="1" x14ac:dyDescent="0.4">
      <c r="AH9208" s="87"/>
    </row>
    <row r="9209" spans="34:34" ht="15" thickBot="1" x14ac:dyDescent="0.4">
      <c r="AH9209" s="87"/>
    </row>
    <row r="9210" spans="34:34" ht="15" thickBot="1" x14ac:dyDescent="0.4">
      <c r="AH9210" s="87"/>
    </row>
    <row r="9211" spans="34:34" ht="15" thickBot="1" x14ac:dyDescent="0.4">
      <c r="AH9211" s="87"/>
    </row>
    <row r="9212" spans="34:34" ht="15" thickBot="1" x14ac:dyDescent="0.4">
      <c r="AH9212" s="87"/>
    </row>
    <row r="9213" spans="34:34" ht="15" thickBot="1" x14ac:dyDescent="0.4">
      <c r="AH9213" s="87"/>
    </row>
    <row r="9214" spans="34:34" ht="15" thickBot="1" x14ac:dyDescent="0.4">
      <c r="AH9214" s="87"/>
    </row>
    <row r="9215" spans="34:34" ht="15" thickBot="1" x14ac:dyDescent="0.4">
      <c r="AH9215" s="87"/>
    </row>
    <row r="9216" spans="34:34" ht="15" thickBot="1" x14ac:dyDescent="0.4">
      <c r="AH9216" s="87"/>
    </row>
    <row r="9217" spans="34:34" ht="15" thickBot="1" x14ac:dyDescent="0.4">
      <c r="AH9217" s="87"/>
    </row>
    <row r="9218" spans="34:34" ht="15" thickBot="1" x14ac:dyDescent="0.4">
      <c r="AH9218" s="87"/>
    </row>
    <row r="9219" spans="34:34" ht="15" thickBot="1" x14ac:dyDescent="0.4">
      <c r="AH9219" s="87"/>
    </row>
    <row r="9220" spans="34:34" ht="15" thickBot="1" x14ac:dyDescent="0.4">
      <c r="AH9220" s="87"/>
    </row>
    <row r="9221" spans="34:34" ht="15" thickBot="1" x14ac:dyDescent="0.4">
      <c r="AH9221" s="87"/>
    </row>
    <row r="9222" spans="34:34" ht="15" thickBot="1" x14ac:dyDescent="0.4">
      <c r="AH9222" s="87"/>
    </row>
    <row r="9223" spans="34:34" ht="15" thickBot="1" x14ac:dyDescent="0.4">
      <c r="AH9223" s="87"/>
    </row>
    <row r="9224" spans="34:34" ht="15" thickBot="1" x14ac:dyDescent="0.4">
      <c r="AH9224" s="87"/>
    </row>
    <row r="9225" spans="34:34" ht="15" thickBot="1" x14ac:dyDescent="0.4">
      <c r="AH9225" s="87"/>
    </row>
    <row r="9226" spans="34:34" ht="15" thickBot="1" x14ac:dyDescent="0.4">
      <c r="AH9226" s="87"/>
    </row>
    <row r="9227" spans="34:34" ht="15" thickBot="1" x14ac:dyDescent="0.4">
      <c r="AH9227" s="87"/>
    </row>
    <row r="9228" spans="34:34" ht="15" thickBot="1" x14ac:dyDescent="0.4">
      <c r="AH9228" s="87"/>
    </row>
    <row r="9229" spans="34:34" ht="15" thickBot="1" x14ac:dyDescent="0.4">
      <c r="AH9229" s="87"/>
    </row>
    <row r="9230" spans="34:34" ht="15" thickBot="1" x14ac:dyDescent="0.4">
      <c r="AH9230" s="87"/>
    </row>
    <row r="9231" spans="34:34" ht="15" thickBot="1" x14ac:dyDescent="0.4">
      <c r="AH9231" s="87"/>
    </row>
    <row r="9232" spans="34:34" ht="15" thickBot="1" x14ac:dyDescent="0.4">
      <c r="AH9232" s="87"/>
    </row>
    <row r="9233" spans="34:34" ht="15" thickBot="1" x14ac:dyDescent="0.4">
      <c r="AH9233" s="87"/>
    </row>
    <row r="9234" spans="34:34" ht="15" thickBot="1" x14ac:dyDescent="0.4">
      <c r="AH9234" s="87"/>
    </row>
    <row r="9235" spans="34:34" ht="15" thickBot="1" x14ac:dyDescent="0.4">
      <c r="AH9235" s="87"/>
    </row>
    <row r="9236" spans="34:34" ht="15" thickBot="1" x14ac:dyDescent="0.4">
      <c r="AH9236" s="87"/>
    </row>
    <row r="9237" spans="34:34" ht="15" thickBot="1" x14ac:dyDescent="0.4">
      <c r="AH9237" s="87"/>
    </row>
    <row r="9238" spans="34:34" ht="15" thickBot="1" x14ac:dyDescent="0.4">
      <c r="AH9238" s="87"/>
    </row>
    <row r="9239" spans="34:34" ht="15" thickBot="1" x14ac:dyDescent="0.4">
      <c r="AH9239" s="87"/>
    </row>
    <row r="9240" spans="34:34" ht="15" thickBot="1" x14ac:dyDescent="0.4">
      <c r="AH9240" s="87"/>
    </row>
    <row r="9241" spans="34:34" ht="15" thickBot="1" x14ac:dyDescent="0.4">
      <c r="AH9241" s="87"/>
    </row>
    <row r="9242" spans="34:34" ht="15" thickBot="1" x14ac:dyDescent="0.4">
      <c r="AH9242" s="87"/>
    </row>
    <row r="9243" spans="34:34" ht="15" thickBot="1" x14ac:dyDescent="0.4">
      <c r="AH9243" s="87"/>
    </row>
    <row r="9244" spans="34:34" ht="15" thickBot="1" x14ac:dyDescent="0.4">
      <c r="AH9244" s="87"/>
    </row>
    <row r="9245" spans="34:34" ht="15" thickBot="1" x14ac:dyDescent="0.4">
      <c r="AH9245" s="87"/>
    </row>
    <row r="9246" spans="34:34" ht="15" thickBot="1" x14ac:dyDescent="0.4">
      <c r="AH9246" s="87"/>
    </row>
    <row r="9247" spans="34:34" ht="15" thickBot="1" x14ac:dyDescent="0.4">
      <c r="AH9247" s="87"/>
    </row>
    <row r="9248" spans="34:34" ht="15" thickBot="1" x14ac:dyDescent="0.4">
      <c r="AH9248" s="87"/>
    </row>
    <row r="9249" spans="34:34" ht="15" thickBot="1" x14ac:dyDescent="0.4">
      <c r="AH9249" s="87"/>
    </row>
    <row r="9250" spans="34:34" ht="15" thickBot="1" x14ac:dyDescent="0.4">
      <c r="AH9250" s="87"/>
    </row>
    <row r="9251" spans="34:34" ht="15" thickBot="1" x14ac:dyDescent="0.4">
      <c r="AH9251" s="87"/>
    </row>
    <row r="9252" spans="34:34" ht="15" thickBot="1" x14ac:dyDescent="0.4">
      <c r="AH9252" s="87"/>
    </row>
    <row r="9253" spans="34:34" ht="15" thickBot="1" x14ac:dyDescent="0.4">
      <c r="AH9253" s="87"/>
    </row>
    <row r="9254" spans="34:34" ht="15" thickBot="1" x14ac:dyDescent="0.4">
      <c r="AH9254" s="87"/>
    </row>
    <row r="9255" spans="34:34" ht="15" thickBot="1" x14ac:dyDescent="0.4">
      <c r="AH9255" s="87"/>
    </row>
    <row r="9256" spans="34:34" ht="15" thickBot="1" x14ac:dyDescent="0.4">
      <c r="AH9256" s="87"/>
    </row>
    <row r="9257" spans="34:34" ht="15" thickBot="1" x14ac:dyDescent="0.4">
      <c r="AH9257" s="87"/>
    </row>
    <row r="9258" spans="34:34" ht="15" thickBot="1" x14ac:dyDescent="0.4">
      <c r="AH9258" s="87"/>
    </row>
    <row r="9259" spans="34:34" ht="15" thickBot="1" x14ac:dyDescent="0.4">
      <c r="AH9259" s="87"/>
    </row>
    <row r="9260" spans="34:34" ht="15" thickBot="1" x14ac:dyDescent="0.4">
      <c r="AH9260" s="87"/>
    </row>
    <row r="9261" spans="34:34" ht="15" thickBot="1" x14ac:dyDescent="0.4">
      <c r="AH9261" s="87"/>
    </row>
    <row r="9262" spans="34:34" ht="15" thickBot="1" x14ac:dyDescent="0.4">
      <c r="AH9262" s="87"/>
    </row>
    <row r="9263" spans="34:34" ht="15" thickBot="1" x14ac:dyDescent="0.4">
      <c r="AH9263" s="87"/>
    </row>
    <row r="9264" spans="34:34" ht="15" thickBot="1" x14ac:dyDescent="0.4">
      <c r="AH9264" s="87"/>
    </row>
    <row r="9265" spans="34:34" ht="15" thickBot="1" x14ac:dyDescent="0.4">
      <c r="AH9265" s="87"/>
    </row>
    <row r="9266" spans="34:34" ht="15" thickBot="1" x14ac:dyDescent="0.4">
      <c r="AH9266" s="87"/>
    </row>
    <row r="9267" spans="34:34" ht="15" thickBot="1" x14ac:dyDescent="0.4">
      <c r="AH9267" s="87"/>
    </row>
    <row r="9268" spans="34:34" ht="15" thickBot="1" x14ac:dyDescent="0.4">
      <c r="AH9268" s="87"/>
    </row>
    <row r="9269" spans="34:34" ht="15" thickBot="1" x14ac:dyDescent="0.4">
      <c r="AH9269" s="87"/>
    </row>
    <row r="9270" spans="34:34" ht="15" thickBot="1" x14ac:dyDescent="0.4">
      <c r="AH9270" s="87"/>
    </row>
    <row r="9271" spans="34:34" ht="15" thickBot="1" x14ac:dyDescent="0.4">
      <c r="AH9271" s="87"/>
    </row>
    <row r="9272" spans="34:34" ht="15" thickBot="1" x14ac:dyDescent="0.4">
      <c r="AH9272" s="87"/>
    </row>
    <row r="9273" spans="34:34" ht="15" thickBot="1" x14ac:dyDescent="0.4">
      <c r="AH9273" s="87"/>
    </row>
    <row r="9274" spans="34:34" ht="15" thickBot="1" x14ac:dyDescent="0.4">
      <c r="AH9274" s="87"/>
    </row>
    <row r="9275" spans="34:34" ht="15" thickBot="1" x14ac:dyDescent="0.4">
      <c r="AH9275" s="87"/>
    </row>
    <row r="9276" spans="34:34" ht="15" thickBot="1" x14ac:dyDescent="0.4">
      <c r="AH9276" s="87"/>
    </row>
    <row r="9277" spans="34:34" ht="15" thickBot="1" x14ac:dyDescent="0.4">
      <c r="AH9277" s="87"/>
    </row>
    <row r="9278" spans="34:34" ht="15" thickBot="1" x14ac:dyDescent="0.4">
      <c r="AH9278" s="87"/>
    </row>
    <row r="9279" spans="34:34" ht="15" thickBot="1" x14ac:dyDescent="0.4">
      <c r="AH9279" s="87"/>
    </row>
    <row r="9280" spans="34:34" ht="15" thickBot="1" x14ac:dyDescent="0.4">
      <c r="AH9280" s="87"/>
    </row>
    <row r="9281" spans="34:34" ht="15" thickBot="1" x14ac:dyDescent="0.4">
      <c r="AH9281" s="87"/>
    </row>
    <row r="9282" spans="34:34" ht="15" thickBot="1" x14ac:dyDescent="0.4">
      <c r="AH9282" s="87"/>
    </row>
    <row r="9283" spans="34:34" ht="15" thickBot="1" x14ac:dyDescent="0.4">
      <c r="AH9283" s="87"/>
    </row>
    <row r="9284" spans="34:34" ht="15" thickBot="1" x14ac:dyDescent="0.4">
      <c r="AH9284" s="87"/>
    </row>
    <row r="9285" spans="34:34" ht="15" thickBot="1" x14ac:dyDescent="0.4">
      <c r="AH9285" s="87"/>
    </row>
    <row r="9286" spans="34:34" ht="15" thickBot="1" x14ac:dyDescent="0.4">
      <c r="AH9286" s="87"/>
    </row>
    <row r="9287" spans="34:34" ht="15" thickBot="1" x14ac:dyDescent="0.4">
      <c r="AH9287" s="87"/>
    </row>
    <row r="9288" spans="34:34" ht="15" thickBot="1" x14ac:dyDescent="0.4">
      <c r="AH9288" s="87"/>
    </row>
    <row r="9289" spans="34:34" ht="15" thickBot="1" x14ac:dyDescent="0.4">
      <c r="AH9289" s="87"/>
    </row>
    <row r="9290" spans="34:34" ht="15" thickBot="1" x14ac:dyDescent="0.4">
      <c r="AH9290" s="87"/>
    </row>
    <row r="9291" spans="34:34" ht="15" thickBot="1" x14ac:dyDescent="0.4">
      <c r="AH9291" s="87"/>
    </row>
    <row r="9292" spans="34:34" ht="15" thickBot="1" x14ac:dyDescent="0.4">
      <c r="AH9292" s="87"/>
    </row>
    <row r="9293" spans="34:34" ht="15" thickBot="1" x14ac:dyDescent="0.4">
      <c r="AH9293" s="87"/>
    </row>
    <row r="9294" spans="34:34" ht="15" thickBot="1" x14ac:dyDescent="0.4">
      <c r="AH9294" s="87"/>
    </row>
    <row r="9295" spans="34:34" ht="15" thickBot="1" x14ac:dyDescent="0.4">
      <c r="AH9295" s="87"/>
    </row>
    <row r="9296" spans="34:34" ht="15" thickBot="1" x14ac:dyDescent="0.4">
      <c r="AH9296" s="87"/>
    </row>
    <row r="9297" spans="34:34" ht="15" thickBot="1" x14ac:dyDescent="0.4">
      <c r="AH9297" s="87"/>
    </row>
    <row r="9298" spans="34:34" ht="15" thickBot="1" x14ac:dyDescent="0.4">
      <c r="AH9298" s="87"/>
    </row>
    <row r="9299" spans="34:34" ht="15" thickBot="1" x14ac:dyDescent="0.4">
      <c r="AH9299" s="87"/>
    </row>
    <row r="9300" spans="34:34" ht="15" thickBot="1" x14ac:dyDescent="0.4">
      <c r="AH9300" s="87"/>
    </row>
    <row r="9301" spans="34:34" ht="15" thickBot="1" x14ac:dyDescent="0.4">
      <c r="AH9301" s="87"/>
    </row>
    <row r="9302" spans="34:34" ht="15" thickBot="1" x14ac:dyDescent="0.4">
      <c r="AH9302" s="87"/>
    </row>
    <row r="9303" spans="34:34" ht="15" thickBot="1" x14ac:dyDescent="0.4">
      <c r="AH9303" s="87"/>
    </row>
    <row r="9304" spans="34:34" ht="15" thickBot="1" x14ac:dyDescent="0.4">
      <c r="AH9304" s="87"/>
    </row>
    <row r="9305" spans="34:34" ht="15" thickBot="1" x14ac:dyDescent="0.4">
      <c r="AH9305" s="87"/>
    </row>
    <row r="9306" spans="34:34" ht="15" thickBot="1" x14ac:dyDescent="0.4">
      <c r="AH9306" s="87"/>
    </row>
    <row r="9307" spans="34:34" ht="15" thickBot="1" x14ac:dyDescent="0.4">
      <c r="AH9307" s="87"/>
    </row>
    <row r="9308" spans="34:34" ht="15" thickBot="1" x14ac:dyDescent="0.4">
      <c r="AH9308" s="87"/>
    </row>
    <row r="9309" spans="34:34" ht="15" thickBot="1" x14ac:dyDescent="0.4">
      <c r="AH9309" s="87"/>
    </row>
    <row r="9310" spans="34:34" ht="15" thickBot="1" x14ac:dyDescent="0.4">
      <c r="AH9310" s="87"/>
    </row>
    <row r="9311" spans="34:34" ht="15" thickBot="1" x14ac:dyDescent="0.4">
      <c r="AH9311" s="87"/>
    </row>
    <row r="9312" spans="34:34" ht="15" thickBot="1" x14ac:dyDescent="0.4">
      <c r="AH9312" s="87"/>
    </row>
    <row r="9313" spans="34:34" ht="15" thickBot="1" x14ac:dyDescent="0.4">
      <c r="AH9313" s="87"/>
    </row>
    <row r="9314" spans="34:34" ht="15" thickBot="1" x14ac:dyDescent="0.4">
      <c r="AH9314" s="87"/>
    </row>
    <row r="9315" spans="34:34" ht="15" thickBot="1" x14ac:dyDescent="0.4">
      <c r="AH9315" s="87"/>
    </row>
    <row r="9316" spans="34:34" ht="15" thickBot="1" x14ac:dyDescent="0.4">
      <c r="AH9316" s="87"/>
    </row>
    <row r="9317" spans="34:34" ht="15" thickBot="1" x14ac:dyDescent="0.4">
      <c r="AH9317" s="87"/>
    </row>
    <row r="9318" spans="34:34" ht="15" thickBot="1" x14ac:dyDescent="0.4">
      <c r="AH9318" s="87"/>
    </row>
    <row r="9319" spans="34:34" ht="15" thickBot="1" x14ac:dyDescent="0.4">
      <c r="AH9319" s="87"/>
    </row>
    <row r="9320" spans="34:34" ht="15" thickBot="1" x14ac:dyDescent="0.4">
      <c r="AH9320" s="87"/>
    </row>
    <row r="9321" spans="34:34" ht="15" thickBot="1" x14ac:dyDescent="0.4">
      <c r="AH9321" s="87"/>
    </row>
    <row r="9322" spans="34:34" ht="15" thickBot="1" x14ac:dyDescent="0.4">
      <c r="AH9322" s="87"/>
    </row>
    <row r="9323" spans="34:34" ht="15" thickBot="1" x14ac:dyDescent="0.4">
      <c r="AH9323" s="87"/>
    </row>
    <row r="9324" spans="34:34" ht="15" thickBot="1" x14ac:dyDescent="0.4">
      <c r="AH9324" s="87"/>
    </row>
    <row r="9325" spans="34:34" ht="15" thickBot="1" x14ac:dyDescent="0.4">
      <c r="AH9325" s="87"/>
    </row>
    <row r="9326" spans="34:34" ht="15" thickBot="1" x14ac:dyDescent="0.4">
      <c r="AH9326" s="87"/>
    </row>
    <row r="9327" spans="34:34" ht="15" thickBot="1" x14ac:dyDescent="0.4">
      <c r="AH9327" s="87"/>
    </row>
    <row r="9328" spans="34:34" ht="15" thickBot="1" x14ac:dyDescent="0.4">
      <c r="AH9328" s="87"/>
    </row>
    <row r="9329" spans="34:34" ht="15" thickBot="1" x14ac:dyDescent="0.4">
      <c r="AH9329" s="87"/>
    </row>
    <row r="9330" spans="34:34" ht="15" thickBot="1" x14ac:dyDescent="0.4">
      <c r="AH9330" s="87"/>
    </row>
    <row r="9331" spans="34:34" ht="15" thickBot="1" x14ac:dyDescent="0.4">
      <c r="AH9331" s="87"/>
    </row>
    <row r="9332" spans="34:34" ht="15" thickBot="1" x14ac:dyDescent="0.4">
      <c r="AH9332" s="87"/>
    </row>
    <row r="9333" spans="34:34" ht="15" thickBot="1" x14ac:dyDescent="0.4">
      <c r="AH9333" s="87"/>
    </row>
    <row r="9334" spans="34:34" ht="15" thickBot="1" x14ac:dyDescent="0.4">
      <c r="AH9334" s="87"/>
    </row>
    <row r="9335" spans="34:34" ht="15" thickBot="1" x14ac:dyDescent="0.4">
      <c r="AH9335" s="87"/>
    </row>
    <row r="9336" spans="34:34" ht="15" thickBot="1" x14ac:dyDescent="0.4">
      <c r="AH9336" s="87"/>
    </row>
    <row r="9337" spans="34:34" ht="15" thickBot="1" x14ac:dyDescent="0.4">
      <c r="AH9337" s="87"/>
    </row>
    <row r="9338" spans="34:34" ht="15" thickBot="1" x14ac:dyDescent="0.4">
      <c r="AH9338" s="87"/>
    </row>
    <row r="9339" spans="34:34" ht="15" thickBot="1" x14ac:dyDescent="0.4">
      <c r="AH9339" s="87"/>
    </row>
    <row r="9340" spans="34:34" ht="15" thickBot="1" x14ac:dyDescent="0.4">
      <c r="AH9340" s="87"/>
    </row>
    <row r="9341" spans="34:34" ht="15" thickBot="1" x14ac:dyDescent="0.4">
      <c r="AH9341" s="87"/>
    </row>
    <row r="9342" spans="34:34" ht="15" thickBot="1" x14ac:dyDescent="0.4">
      <c r="AH9342" s="87"/>
    </row>
    <row r="9343" spans="34:34" ht="15" thickBot="1" x14ac:dyDescent="0.4">
      <c r="AH9343" s="87"/>
    </row>
    <row r="9344" spans="34:34" ht="15" thickBot="1" x14ac:dyDescent="0.4">
      <c r="AH9344" s="87"/>
    </row>
    <row r="9345" spans="34:34" ht="15" thickBot="1" x14ac:dyDescent="0.4">
      <c r="AH9345" s="87"/>
    </row>
    <row r="9346" spans="34:34" ht="15" thickBot="1" x14ac:dyDescent="0.4">
      <c r="AH9346" s="87"/>
    </row>
    <row r="9347" spans="34:34" ht="15" thickBot="1" x14ac:dyDescent="0.4">
      <c r="AH9347" s="87"/>
    </row>
    <row r="9348" spans="34:34" ht="15" thickBot="1" x14ac:dyDescent="0.4">
      <c r="AH9348" s="87"/>
    </row>
    <row r="9349" spans="34:34" ht="15" thickBot="1" x14ac:dyDescent="0.4">
      <c r="AH9349" s="87"/>
    </row>
    <row r="9350" spans="34:34" ht="15" thickBot="1" x14ac:dyDescent="0.4">
      <c r="AH9350" s="87"/>
    </row>
    <row r="9351" spans="34:34" ht="15" thickBot="1" x14ac:dyDescent="0.4">
      <c r="AH9351" s="87"/>
    </row>
    <row r="9352" spans="34:34" ht="15" thickBot="1" x14ac:dyDescent="0.4">
      <c r="AH9352" s="87"/>
    </row>
    <row r="9353" spans="34:34" ht="15" thickBot="1" x14ac:dyDescent="0.4">
      <c r="AH9353" s="87"/>
    </row>
    <row r="9354" spans="34:34" ht="15" thickBot="1" x14ac:dyDescent="0.4">
      <c r="AH9354" s="87"/>
    </row>
    <row r="9355" spans="34:34" ht="15" thickBot="1" x14ac:dyDescent="0.4">
      <c r="AH9355" s="87"/>
    </row>
    <row r="9356" spans="34:34" ht="15" thickBot="1" x14ac:dyDescent="0.4">
      <c r="AH9356" s="87"/>
    </row>
    <row r="9357" spans="34:34" ht="15" thickBot="1" x14ac:dyDescent="0.4">
      <c r="AH9357" s="87"/>
    </row>
    <row r="9358" spans="34:34" ht="15" thickBot="1" x14ac:dyDescent="0.4">
      <c r="AH9358" s="87"/>
    </row>
    <row r="9359" spans="34:34" ht="15" thickBot="1" x14ac:dyDescent="0.4">
      <c r="AH9359" s="87"/>
    </row>
    <row r="9360" spans="34:34" ht="15" thickBot="1" x14ac:dyDescent="0.4">
      <c r="AH9360" s="87"/>
    </row>
    <row r="9361" spans="34:34" ht="15" thickBot="1" x14ac:dyDescent="0.4">
      <c r="AH9361" s="87"/>
    </row>
    <row r="9362" spans="34:34" ht="15" thickBot="1" x14ac:dyDescent="0.4">
      <c r="AH9362" s="87"/>
    </row>
    <row r="9363" spans="34:34" ht="15" thickBot="1" x14ac:dyDescent="0.4">
      <c r="AH9363" s="87"/>
    </row>
    <row r="9364" spans="34:34" ht="15" thickBot="1" x14ac:dyDescent="0.4">
      <c r="AH9364" s="87"/>
    </row>
    <row r="9365" spans="34:34" ht="15" thickBot="1" x14ac:dyDescent="0.4">
      <c r="AH9365" s="87"/>
    </row>
    <row r="9366" spans="34:34" ht="15" thickBot="1" x14ac:dyDescent="0.4">
      <c r="AH9366" s="87"/>
    </row>
    <row r="9367" spans="34:34" ht="15" thickBot="1" x14ac:dyDescent="0.4">
      <c r="AH9367" s="87"/>
    </row>
    <row r="9368" spans="34:34" ht="15" thickBot="1" x14ac:dyDescent="0.4">
      <c r="AH9368" s="87"/>
    </row>
    <row r="9369" spans="34:34" ht="15" thickBot="1" x14ac:dyDescent="0.4">
      <c r="AH9369" s="87"/>
    </row>
    <row r="9370" spans="34:34" ht="15" thickBot="1" x14ac:dyDescent="0.4">
      <c r="AH9370" s="87"/>
    </row>
    <row r="9371" spans="34:34" ht="15" thickBot="1" x14ac:dyDescent="0.4">
      <c r="AH9371" s="87"/>
    </row>
    <row r="9372" spans="34:34" ht="15" thickBot="1" x14ac:dyDescent="0.4">
      <c r="AH9372" s="87"/>
    </row>
    <row r="9373" spans="34:34" ht="15" thickBot="1" x14ac:dyDescent="0.4">
      <c r="AH9373" s="87"/>
    </row>
    <row r="9374" spans="34:34" ht="15" thickBot="1" x14ac:dyDescent="0.4">
      <c r="AH9374" s="87"/>
    </row>
    <row r="9375" spans="34:34" ht="15" thickBot="1" x14ac:dyDescent="0.4">
      <c r="AH9375" s="87"/>
    </row>
    <row r="9376" spans="34:34" ht="15" thickBot="1" x14ac:dyDescent="0.4">
      <c r="AH9376" s="87"/>
    </row>
    <row r="9377" spans="34:34" ht="15" thickBot="1" x14ac:dyDescent="0.4">
      <c r="AH9377" s="87"/>
    </row>
    <row r="9378" spans="34:34" ht="15" thickBot="1" x14ac:dyDescent="0.4">
      <c r="AH9378" s="87"/>
    </row>
    <row r="9379" spans="34:34" ht="15" thickBot="1" x14ac:dyDescent="0.4">
      <c r="AH9379" s="87"/>
    </row>
    <row r="9380" spans="34:34" ht="15" thickBot="1" x14ac:dyDescent="0.4">
      <c r="AH9380" s="87"/>
    </row>
    <row r="9381" spans="34:34" ht="15" thickBot="1" x14ac:dyDescent="0.4">
      <c r="AH9381" s="87"/>
    </row>
    <row r="9382" spans="34:34" ht="15" thickBot="1" x14ac:dyDescent="0.4">
      <c r="AH9382" s="87"/>
    </row>
    <row r="9383" spans="34:34" ht="15" thickBot="1" x14ac:dyDescent="0.4">
      <c r="AH9383" s="87"/>
    </row>
    <row r="9384" spans="34:34" ht="15" thickBot="1" x14ac:dyDescent="0.4">
      <c r="AH9384" s="87"/>
    </row>
    <row r="9385" spans="34:34" ht="15" thickBot="1" x14ac:dyDescent="0.4">
      <c r="AH9385" s="87"/>
    </row>
    <row r="9386" spans="34:34" ht="15" thickBot="1" x14ac:dyDescent="0.4">
      <c r="AH9386" s="87"/>
    </row>
    <row r="9387" spans="34:34" ht="15" thickBot="1" x14ac:dyDescent="0.4">
      <c r="AH9387" s="87"/>
    </row>
    <row r="9388" spans="34:34" ht="15" thickBot="1" x14ac:dyDescent="0.4">
      <c r="AH9388" s="87"/>
    </row>
    <row r="9389" spans="34:34" ht="15" thickBot="1" x14ac:dyDescent="0.4">
      <c r="AH9389" s="87"/>
    </row>
    <row r="9390" spans="34:34" ht="15" thickBot="1" x14ac:dyDescent="0.4">
      <c r="AH9390" s="87"/>
    </row>
    <row r="9391" spans="34:34" ht="15" thickBot="1" x14ac:dyDescent="0.4">
      <c r="AH9391" s="87"/>
    </row>
    <row r="9392" spans="34:34" ht="15" thickBot="1" x14ac:dyDescent="0.4">
      <c r="AH9392" s="87"/>
    </row>
    <row r="9393" spans="34:34" ht="15" thickBot="1" x14ac:dyDescent="0.4">
      <c r="AH9393" s="87"/>
    </row>
    <row r="9394" spans="34:34" ht="15" thickBot="1" x14ac:dyDescent="0.4">
      <c r="AH9394" s="87"/>
    </row>
    <row r="9395" spans="34:34" ht="15" thickBot="1" x14ac:dyDescent="0.4">
      <c r="AH9395" s="87"/>
    </row>
    <row r="9396" spans="34:34" ht="15" thickBot="1" x14ac:dyDescent="0.4">
      <c r="AH9396" s="87"/>
    </row>
    <row r="9397" spans="34:34" ht="15" thickBot="1" x14ac:dyDescent="0.4">
      <c r="AH9397" s="87"/>
    </row>
    <row r="9398" spans="34:34" ht="15" thickBot="1" x14ac:dyDescent="0.4">
      <c r="AH9398" s="87"/>
    </row>
    <row r="9399" spans="34:34" ht="15" thickBot="1" x14ac:dyDescent="0.4">
      <c r="AH9399" s="87"/>
    </row>
    <row r="9400" spans="34:34" ht="15" thickBot="1" x14ac:dyDescent="0.4">
      <c r="AH9400" s="87"/>
    </row>
    <row r="9401" spans="34:34" ht="15" thickBot="1" x14ac:dyDescent="0.4">
      <c r="AH9401" s="87"/>
    </row>
    <row r="9402" spans="34:34" ht="15" thickBot="1" x14ac:dyDescent="0.4">
      <c r="AH9402" s="87"/>
    </row>
    <row r="9403" spans="34:34" ht="15" thickBot="1" x14ac:dyDescent="0.4">
      <c r="AH9403" s="87"/>
    </row>
    <row r="9404" spans="34:34" ht="15" thickBot="1" x14ac:dyDescent="0.4">
      <c r="AH9404" s="87"/>
    </row>
    <row r="9405" spans="34:34" ht="15" thickBot="1" x14ac:dyDescent="0.4">
      <c r="AH9405" s="87"/>
    </row>
    <row r="9406" spans="34:34" ht="15" thickBot="1" x14ac:dyDescent="0.4">
      <c r="AH9406" s="87"/>
    </row>
    <row r="9407" spans="34:34" ht="15" thickBot="1" x14ac:dyDescent="0.4">
      <c r="AH9407" s="87"/>
    </row>
    <row r="9408" spans="34:34" ht="15" thickBot="1" x14ac:dyDescent="0.4">
      <c r="AH9408" s="87"/>
    </row>
    <row r="9409" spans="34:34" ht="15" thickBot="1" x14ac:dyDescent="0.4">
      <c r="AH9409" s="87"/>
    </row>
    <row r="9410" spans="34:34" ht="15" thickBot="1" x14ac:dyDescent="0.4">
      <c r="AH9410" s="87"/>
    </row>
    <row r="9411" spans="34:34" ht="15" thickBot="1" x14ac:dyDescent="0.4">
      <c r="AH9411" s="87"/>
    </row>
    <row r="9412" spans="34:34" ht="15" thickBot="1" x14ac:dyDescent="0.4">
      <c r="AH9412" s="87"/>
    </row>
    <row r="9413" spans="34:34" ht="15" thickBot="1" x14ac:dyDescent="0.4">
      <c r="AH9413" s="87"/>
    </row>
    <row r="9414" spans="34:34" ht="15" thickBot="1" x14ac:dyDescent="0.4">
      <c r="AH9414" s="87"/>
    </row>
    <row r="9415" spans="34:34" ht="15" thickBot="1" x14ac:dyDescent="0.4">
      <c r="AH9415" s="87"/>
    </row>
    <row r="9416" spans="34:34" ht="15" thickBot="1" x14ac:dyDescent="0.4">
      <c r="AH9416" s="87"/>
    </row>
    <row r="9417" spans="34:34" ht="15" thickBot="1" x14ac:dyDescent="0.4">
      <c r="AH9417" s="87"/>
    </row>
    <row r="9418" spans="34:34" ht="15" thickBot="1" x14ac:dyDescent="0.4">
      <c r="AH9418" s="87"/>
    </row>
    <row r="9419" spans="34:34" ht="15" thickBot="1" x14ac:dyDescent="0.4">
      <c r="AH9419" s="87"/>
    </row>
    <row r="9420" spans="34:34" ht="15" thickBot="1" x14ac:dyDescent="0.4">
      <c r="AH9420" s="87"/>
    </row>
    <row r="9421" spans="34:34" ht="15" thickBot="1" x14ac:dyDescent="0.4">
      <c r="AH9421" s="87"/>
    </row>
    <row r="9422" spans="34:34" ht="15" thickBot="1" x14ac:dyDescent="0.4">
      <c r="AH9422" s="87"/>
    </row>
    <row r="9423" spans="34:34" ht="15" thickBot="1" x14ac:dyDescent="0.4">
      <c r="AH9423" s="87"/>
    </row>
    <row r="9424" spans="34:34" ht="15" thickBot="1" x14ac:dyDescent="0.4">
      <c r="AH9424" s="87"/>
    </row>
    <row r="9425" spans="34:34" ht="15" thickBot="1" x14ac:dyDescent="0.4">
      <c r="AH9425" s="87"/>
    </row>
    <row r="9426" spans="34:34" ht="15" thickBot="1" x14ac:dyDescent="0.4">
      <c r="AH9426" s="87"/>
    </row>
    <row r="9427" spans="34:34" ht="15" thickBot="1" x14ac:dyDescent="0.4">
      <c r="AH9427" s="87"/>
    </row>
    <row r="9428" spans="34:34" ht="15" thickBot="1" x14ac:dyDescent="0.4">
      <c r="AH9428" s="87"/>
    </row>
    <row r="9429" spans="34:34" ht="15" thickBot="1" x14ac:dyDescent="0.4">
      <c r="AH9429" s="87"/>
    </row>
    <row r="9430" spans="34:34" ht="15" thickBot="1" x14ac:dyDescent="0.4">
      <c r="AH9430" s="87"/>
    </row>
    <row r="9431" spans="34:34" ht="15" thickBot="1" x14ac:dyDescent="0.4">
      <c r="AH9431" s="87"/>
    </row>
    <row r="9432" spans="34:34" ht="15" thickBot="1" x14ac:dyDescent="0.4">
      <c r="AH9432" s="87"/>
    </row>
    <row r="9433" spans="34:34" ht="15" thickBot="1" x14ac:dyDescent="0.4">
      <c r="AH9433" s="87"/>
    </row>
    <row r="9434" spans="34:34" ht="15" thickBot="1" x14ac:dyDescent="0.4">
      <c r="AH9434" s="87"/>
    </row>
    <row r="9435" spans="34:34" ht="15" thickBot="1" x14ac:dyDescent="0.4">
      <c r="AH9435" s="87"/>
    </row>
    <row r="9436" spans="34:34" ht="15" thickBot="1" x14ac:dyDescent="0.4">
      <c r="AH9436" s="87"/>
    </row>
    <row r="9437" spans="34:34" ht="15" thickBot="1" x14ac:dyDescent="0.4">
      <c r="AH9437" s="87"/>
    </row>
    <row r="9438" spans="34:34" ht="15" thickBot="1" x14ac:dyDescent="0.4">
      <c r="AH9438" s="87"/>
    </row>
    <row r="9439" spans="34:34" ht="15" thickBot="1" x14ac:dyDescent="0.4">
      <c r="AH9439" s="87"/>
    </row>
    <row r="9440" spans="34:34" ht="15" thickBot="1" x14ac:dyDescent="0.4">
      <c r="AH9440" s="87"/>
    </row>
    <row r="9441" spans="34:34" ht="15" thickBot="1" x14ac:dyDescent="0.4">
      <c r="AH9441" s="87"/>
    </row>
    <row r="9442" spans="34:34" ht="15" thickBot="1" x14ac:dyDescent="0.4">
      <c r="AH9442" s="87"/>
    </row>
    <row r="9443" spans="34:34" ht="15" thickBot="1" x14ac:dyDescent="0.4">
      <c r="AH9443" s="87"/>
    </row>
    <row r="9444" spans="34:34" ht="15" thickBot="1" x14ac:dyDescent="0.4">
      <c r="AH9444" s="87"/>
    </row>
    <row r="9445" spans="34:34" ht="15" thickBot="1" x14ac:dyDescent="0.4">
      <c r="AH9445" s="87"/>
    </row>
    <row r="9446" spans="34:34" ht="15" thickBot="1" x14ac:dyDescent="0.4">
      <c r="AH9446" s="87"/>
    </row>
    <row r="9447" spans="34:34" ht="15" thickBot="1" x14ac:dyDescent="0.4">
      <c r="AH9447" s="87"/>
    </row>
    <row r="9448" spans="34:34" ht="15" thickBot="1" x14ac:dyDescent="0.4">
      <c r="AH9448" s="87"/>
    </row>
    <row r="9449" spans="34:34" ht="15" thickBot="1" x14ac:dyDescent="0.4">
      <c r="AH9449" s="87"/>
    </row>
    <row r="9450" spans="34:34" ht="15" thickBot="1" x14ac:dyDescent="0.4">
      <c r="AH9450" s="87"/>
    </row>
    <row r="9451" spans="34:34" ht="15" thickBot="1" x14ac:dyDescent="0.4">
      <c r="AH9451" s="87"/>
    </row>
    <row r="9452" spans="34:34" ht="15" thickBot="1" x14ac:dyDescent="0.4">
      <c r="AH9452" s="87"/>
    </row>
    <row r="9453" spans="34:34" ht="15" thickBot="1" x14ac:dyDescent="0.4">
      <c r="AH9453" s="87"/>
    </row>
    <row r="9454" spans="34:34" ht="15" thickBot="1" x14ac:dyDescent="0.4">
      <c r="AH9454" s="87"/>
    </row>
    <row r="9455" spans="34:34" ht="15" thickBot="1" x14ac:dyDescent="0.4">
      <c r="AH9455" s="87"/>
    </row>
    <row r="9456" spans="34:34" ht="15" thickBot="1" x14ac:dyDescent="0.4">
      <c r="AH9456" s="87"/>
    </row>
    <row r="9457" spans="34:34" ht="15" thickBot="1" x14ac:dyDescent="0.4">
      <c r="AH9457" s="87"/>
    </row>
    <row r="9458" spans="34:34" ht="15" thickBot="1" x14ac:dyDescent="0.4">
      <c r="AH9458" s="87"/>
    </row>
    <row r="9459" spans="34:34" ht="15" thickBot="1" x14ac:dyDescent="0.4">
      <c r="AH9459" s="87"/>
    </row>
    <row r="9460" spans="34:34" ht="15" thickBot="1" x14ac:dyDescent="0.4">
      <c r="AH9460" s="87"/>
    </row>
    <row r="9461" spans="34:34" ht="15" thickBot="1" x14ac:dyDescent="0.4">
      <c r="AH9461" s="87"/>
    </row>
    <row r="9462" spans="34:34" ht="15" thickBot="1" x14ac:dyDescent="0.4">
      <c r="AH9462" s="87"/>
    </row>
    <row r="9463" spans="34:34" ht="15" thickBot="1" x14ac:dyDescent="0.4">
      <c r="AH9463" s="87"/>
    </row>
    <row r="9464" spans="34:34" ht="15" thickBot="1" x14ac:dyDescent="0.4">
      <c r="AH9464" s="87"/>
    </row>
    <row r="9465" spans="34:34" ht="15" thickBot="1" x14ac:dyDescent="0.4">
      <c r="AH9465" s="87"/>
    </row>
    <row r="9466" spans="34:34" ht="15" thickBot="1" x14ac:dyDescent="0.4">
      <c r="AH9466" s="87"/>
    </row>
    <row r="9467" spans="34:34" ht="15" thickBot="1" x14ac:dyDescent="0.4">
      <c r="AH9467" s="87"/>
    </row>
    <row r="9468" spans="34:34" ht="15" thickBot="1" x14ac:dyDescent="0.4">
      <c r="AH9468" s="87"/>
    </row>
    <row r="9469" spans="34:34" ht="15" thickBot="1" x14ac:dyDescent="0.4">
      <c r="AH9469" s="87"/>
    </row>
    <row r="9470" spans="34:34" ht="15" thickBot="1" x14ac:dyDescent="0.4">
      <c r="AH9470" s="87"/>
    </row>
    <row r="9471" spans="34:34" ht="15" thickBot="1" x14ac:dyDescent="0.4">
      <c r="AH9471" s="87"/>
    </row>
    <row r="9472" spans="34:34" ht="15" thickBot="1" x14ac:dyDescent="0.4">
      <c r="AH9472" s="87"/>
    </row>
    <row r="9473" spans="34:34" ht="15" thickBot="1" x14ac:dyDescent="0.4">
      <c r="AH9473" s="87"/>
    </row>
    <row r="9474" spans="34:34" ht="15" thickBot="1" x14ac:dyDescent="0.4">
      <c r="AH9474" s="87"/>
    </row>
    <row r="9475" spans="34:34" ht="15" thickBot="1" x14ac:dyDescent="0.4">
      <c r="AH9475" s="87"/>
    </row>
    <row r="9476" spans="34:34" ht="15" thickBot="1" x14ac:dyDescent="0.4">
      <c r="AH9476" s="87"/>
    </row>
    <row r="9477" spans="34:34" ht="15" thickBot="1" x14ac:dyDescent="0.4">
      <c r="AH9477" s="87"/>
    </row>
    <row r="9478" spans="34:34" ht="15" thickBot="1" x14ac:dyDescent="0.4">
      <c r="AH9478" s="87"/>
    </row>
    <row r="9479" spans="34:34" ht="15" thickBot="1" x14ac:dyDescent="0.4">
      <c r="AH9479" s="87"/>
    </row>
    <row r="9480" spans="34:34" ht="15" thickBot="1" x14ac:dyDescent="0.4">
      <c r="AH9480" s="87"/>
    </row>
    <row r="9481" spans="34:34" ht="15" thickBot="1" x14ac:dyDescent="0.4">
      <c r="AH9481" s="87"/>
    </row>
    <row r="9482" spans="34:34" ht="15" thickBot="1" x14ac:dyDescent="0.4">
      <c r="AH9482" s="87"/>
    </row>
    <row r="9483" spans="34:34" ht="15" thickBot="1" x14ac:dyDescent="0.4">
      <c r="AH9483" s="87"/>
    </row>
    <row r="9484" spans="34:34" ht="15" thickBot="1" x14ac:dyDescent="0.4">
      <c r="AH9484" s="87"/>
    </row>
    <row r="9485" spans="34:34" ht="15" thickBot="1" x14ac:dyDescent="0.4">
      <c r="AH9485" s="87"/>
    </row>
    <row r="9486" spans="34:34" ht="15" thickBot="1" x14ac:dyDescent="0.4">
      <c r="AH9486" s="87"/>
    </row>
    <row r="9487" spans="34:34" ht="15" thickBot="1" x14ac:dyDescent="0.4">
      <c r="AH9487" s="87"/>
    </row>
    <row r="9488" spans="34:34" ht="15" thickBot="1" x14ac:dyDescent="0.4">
      <c r="AH9488" s="87"/>
    </row>
    <row r="9489" spans="34:34" ht="15" thickBot="1" x14ac:dyDescent="0.4">
      <c r="AH9489" s="87"/>
    </row>
    <row r="9490" spans="34:34" ht="15" thickBot="1" x14ac:dyDescent="0.4">
      <c r="AH9490" s="87"/>
    </row>
    <row r="9491" spans="34:34" ht="15" thickBot="1" x14ac:dyDescent="0.4">
      <c r="AH9491" s="87"/>
    </row>
    <row r="9492" spans="34:34" ht="15" thickBot="1" x14ac:dyDescent="0.4">
      <c r="AH9492" s="87"/>
    </row>
    <row r="9493" spans="34:34" ht="15" thickBot="1" x14ac:dyDescent="0.4">
      <c r="AH9493" s="87"/>
    </row>
    <row r="9494" spans="34:34" ht="15" thickBot="1" x14ac:dyDescent="0.4">
      <c r="AH9494" s="87"/>
    </row>
    <row r="9495" spans="34:34" ht="15" thickBot="1" x14ac:dyDescent="0.4">
      <c r="AH9495" s="87"/>
    </row>
    <row r="9496" spans="34:34" ht="15" thickBot="1" x14ac:dyDescent="0.4">
      <c r="AH9496" s="87"/>
    </row>
    <row r="9497" spans="34:34" ht="15" thickBot="1" x14ac:dyDescent="0.4">
      <c r="AH9497" s="87"/>
    </row>
    <row r="9498" spans="34:34" ht="15" thickBot="1" x14ac:dyDescent="0.4">
      <c r="AH9498" s="87"/>
    </row>
    <row r="9499" spans="34:34" ht="15" thickBot="1" x14ac:dyDescent="0.4">
      <c r="AH9499" s="87"/>
    </row>
    <row r="9500" spans="34:34" ht="15" thickBot="1" x14ac:dyDescent="0.4">
      <c r="AH9500" s="87"/>
    </row>
    <row r="9501" spans="34:34" ht="15" thickBot="1" x14ac:dyDescent="0.4">
      <c r="AH9501" s="87"/>
    </row>
    <row r="9502" spans="34:34" ht="15" thickBot="1" x14ac:dyDescent="0.4">
      <c r="AH9502" s="87"/>
    </row>
    <row r="9503" spans="34:34" ht="15" thickBot="1" x14ac:dyDescent="0.4">
      <c r="AH9503" s="87"/>
    </row>
    <row r="9504" spans="34:34" ht="15" thickBot="1" x14ac:dyDescent="0.4">
      <c r="AH9504" s="87"/>
    </row>
    <row r="9505" spans="34:34" ht="15" thickBot="1" x14ac:dyDescent="0.4">
      <c r="AH9505" s="87"/>
    </row>
    <row r="9506" spans="34:34" ht="15" thickBot="1" x14ac:dyDescent="0.4">
      <c r="AH9506" s="87"/>
    </row>
    <row r="9507" spans="34:34" ht="15" thickBot="1" x14ac:dyDescent="0.4">
      <c r="AH9507" s="87"/>
    </row>
    <row r="9508" spans="34:34" ht="15" thickBot="1" x14ac:dyDescent="0.4">
      <c r="AH9508" s="87"/>
    </row>
    <row r="9509" spans="34:34" ht="15" thickBot="1" x14ac:dyDescent="0.4">
      <c r="AH9509" s="87"/>
    </row>
    <row r="9510" spans="34:34" ht="15" thickBot="1" x14ac:dyDescent="0.4">
      <c r="AH9510" s="87"/>
    </row>
    <row r="9511" spans="34:34" ht="15" thickBot="1" x14ac:dyDescent="0.4">
      <c r="AH9511" s="87"/>
    </row>
    <row r="9512" spans="34:34" ht="15" thickBot="1" x14ac:dyDescent="0.4">
      <c r="AH9512" s="87"/>
    </row>
    <row r="9513" spans="34:34" ht="15" thickBot="1" x14ac:dyDescent="0.4">
      <c r="AH9513" s="87"/>
    </row>
    <row r="9514" spans="34:34" ht="15" thickBot="1" x14ac:dyDescent="0.4">
      <c r="AH9514" s="87"/>
    </row>
    <row r="9515" spans="34:34" ht="15" thickBot="1" x14ac:dyDescent="0.4">
      <c r="AH9515" s="87"/>
    </row>
    <row r="9516" spans="34:34" ht="15" thickBot="1" x14ac:dyDescent="0.4">
      <c r="AH9516" s="87"/>
    </row>
    <row r="9517" spans="34:34" ht="15" thickBot="1" x14ac:dyDescent="0.4">
      <c r="AH9517" s="87"/>
    </row>
    <row r="9518" spans="34:34" ht="15" thickBot="1" x14ac:dyDescent="0.4">
      <c r="AH9518" s="87"/>
    </row>
    <row r="9519" spans="34:34" ht="15" thickBot="1" x14ac:dyDescent="0.4">
      <c r="AH9519" s="87"/>
    </row>
    <row r="9520" spans="34:34" ht="15" thickBot="1" x14ac:dyDescent="0.4">
      <c r="AH9520" s="87"/>
    </row>
    <row r="9521" spans="34:34" ht="15" thickBot="1" x14ac:dyDescent="0.4">
      <c r="AH9521" s="87"/>
    </row>
    <row r="9522" spans="34:34" ht="15" thickBot="1" x14ac:dyDescent="0.4">
      <c r="AH9522" s="87"/>
    </row>
    <row r="9523" spans="34:34" ht="15" thickBot="1" x14ac:dyDescent="0.4">
      <c r="AH9523" s="87"/>
    </row>
    <row r="9524" spans="34:34" ht="15" thickBot="1" x14ac:dyDescent="0.4">
      <c r="AH9524" s="87"/>
    </row>
    <row r="9525" spans="34:34" ht="15" thickBot="1" x14ac:dyDescent="0.4">
      <c r="AH9525" s="87"/>
    </row>
    <row r="9526" spans="34:34" ht="15" thickBot="1" x14ac:dyDescent="0.4">
      <c r="AH9526" s="87"/>
    </row>
    <row r="9527" spans="34:34" ht="15" thickBot="1" x14ac:dyDescent="0.4">
      <c r="AH9527" s="87"/>
    </row>
    <row r="9528" spans="34:34" ht="15" thickBot="1" x14ac:dyDescent="0.4">
      <c r="AH9528" s="87"/>
    </row>
    <row r="9529" spans="34:34" ht="15" thickBot="1" x14ac:dyDescent="0.4">
      <c r="AH9529" s="87"/>
    </row>
    <row r="9530" spans="34:34" ht="15" thickBot="1" x14ac:dyDescent="0.4">
      <c r="AH9530" s="87"/>
    </row>
    <row r="9531" spans="34:34" ht="15" thickBot="1" x14ac:dyDescent="0.4">
      <c r="AH9531" s="87"/>
    </row>
    <row r="9532" spans="34:34" ht="15" thickBot="1" x14ac:dyDescent="0.4">
      <c r="AH9532" s="87"/>
    </row>
    <row r="9533" spans="34:34" ht="15" thickBot="1" x14ac:dyDescent="0.4">
      <c r="AH9533" s="87"/>
    </row>
    <row r="9534" spans="34:34" ht="15" thickBot="1" x14ac:dyDescent="0.4">
      <c r="AH9534" s="87"/>
    </row>
    <row r="9535" spans="34:34" ht="15" thickBot="1" x14ac:dyDescent="0.4">
      <c r="AH9535" s="87"/>
    </row>
    <row r="9536" spans="34:34" ht="15" thickBot="1" x14ac:dyDescent="0.4">
      <c r="AH9536" s="87"/>
    </row>
    <row r="9537" spans="34:34" ht="15" thickBot="1" x14ac:dyDescent="0.4">
      <c r="AH9537" s="87"/>
    </row>
    <row r="9538" spans="34:34" ht="15" thickBot="1" x14ac:dyDescent="0.4">
      <c r="AH9538" s="87"/>
    </row>
    <row r="9539" spans="34:34" ht="15" thickBot="1" x14ac:dyDescent="0.4">
      <c r="AH9539" s="87"/>
    </row>
    <row r="9540" spans="34:34" ht="15" thickBot="1" x14ac:dyDescent="0.4">
      <c r="AH9540" s="87"/>
    </row>
    <row r="9541" spans="34:34" ht="15" thickBot="1" x14ac:dyDescent="0.4">
      <c r="AH9541" s="87"/>
    </row>
    <row r="9542" spans="34:34" ht="15" thickBot="1" x14ac:dyDescent="0.4">
      <c r="AH9542" s="87"/>
    </row>
    <row r="9543" spans="34:34" ht="15" thickBot="1" x14ac:dyDescent="0.4">
      <c r="AH9543" s="87"/>
    </row>
    <row r="9544" spans="34:34" ht="15" thickBot="1" x14ac:dyDescent="0.4">
      <c r="AH9544" s="87"/>
    </row>
    <row r="9545" spans="34:34" ht="15" thickBot="1" x14ac:dyDescent="0.4">
      <c r="AH9545" s="87"/>
    </row>
    <row r="9546" spans="34:34" ht="15" thickBot="1" x14ac:dyDescent="0.4">
      <c r="AH9546" s="87"/>
    </row>
    <row r="9547" spans="34:34" ht="15" thickBot="1" x14ac:dyDescent="0.4">
      <c r="AH9547" s="87"/>
    </row>
    <row r="9548" spans="34:34" ht="15" thickBot="1" x14ac:dyDescent="0.4">
      <c r="AH9548" s="87"/>
    </row>
    <row r="9549" spans="34:34" ht="15" thickBot="1" x14ac:dyDescent="0.4">
      <c r="AH9549" s="87"/>
    </row>
    <row r="9550" spans="34:34" ht="15" thickBot="1" x14ac:dyDescent="0.4">
      <c r="AH9550" s="87"/>
    </row>
    <row r="9551" spans="34:34" ht="15" thickBot="1" x14ac:dyDescent="0.4">
      <c r="AH9551" s="87"/>
    </row>
    <row r="9552" spans="34:34" ht="15" thickBot="1" x14ac:dyDescent="0.4">
      <c r="AH9552" s="87"/>
    </row>
    <row r="9553" spans="34:34" ht="15" thickBot="1" x14ac:dyDescent="0.4">
      <c r="AH9553" s="87"/>
    </row>
    <row r="9554" spans="34:34" ht="15" thickBot="1" x14ac:dyDescent="0.4">
      <c r="AH9554" s="87"/>
    </row>
    <row r="9555" spans="34:34" ht="15" thickBot="1" x14ac:dyDescent="0.4">
      <c r="AH9555" s="87"/>
    </row>
    <row r="9556" spans="34:34" ht="15" thickBot="1" x14ac:dyDescent="0.4">
      <c r="AH9556" s="87"/>
    </row>
    <row r="9557" spans="34:34" ht="15" thickBot="1" x14ac:dyDescent="0.4">
      <c r="AH9557" s="87"/>
    </row>
    <row r="9558" spans="34:34" ht="15" thickBot="1" x14ac:dyDescent="0.4">
      <c r="AH9558" s="87"/>
    </row>
    <row r="9559" spans="34:34" ht="15" thickBot="1" x14ac:dyDescent="0.4">
      <c r="AH9559" s="87"/>
    </row>
    <row r="9560" spans="34:34" ht="15" thickBot="1" x14ac:dyDescent="0.4">
      <c r="AH9560" s="87"/>
    </row>
    <row r="9561" spans="34:34" ht="15" thickBot="1" x14ac:dyDescent="0.4">
      <c r="AH9561" s="87"/>
    </row>
    <row r="9562" spans="34:34" ht="15" thickBot="1" x14ac:dyDescent="0.4">
      <c r="AH9562" s="87"/>
    </row>
    <row r="9563" spans="34:34" ht="15" thickBot="1" x14ac:dyDescent="0.4">
      <c r="AH9563" s="87"/>
    </row>
    <row r="9564" spans="34:34" ht="15" thickBot="1" x14ac:dyDescent="0.4">
      <c r="AH9564" s="87"/>
    </row>
    <row r="9565" spans="34:34" ht="15" thickBot="1" x14ac:dyDescent="0.4">
      <c r="AH9565" s="87"/>
    </row>
    <row r="9566" spans="34:34" ht="15" thickBot="1" x14ac:dyDescent="0.4">
      <c r="AH9566" s="87"/>
    </row>
    <row r="9567" spans="34:34" ht="15" thickBot="1" x14ac:dyDescent="0.4">
      <c r="AH9567" s="87"/>
    </row>
    <row r="9568" spans="34:34" ht="15" thickBot="1" x14ac:dyDescent="0.4">
      <c r="AH9568" s="87"/>
    </row>
    <row r="9569" spans="34:34" ht="15" thickBot="1" x14ac:dyDescent="0.4">
      <c r="AH9569" s="87"/>
    </row>
    <row r="9570" spans="34:34" ht="15" thickBot="1" x14ac:dyDescent="0.4">
      <c r="AH9570" s="87"/>
    </row>
    <row r="9571" spans="34:34" ht="15" thickBot="1" x14ac:dyDescent="0.4">
      <c r="AH9571" s="87"/>
    </row>
    <row r="9572" spans="34:34" ht="15" thickBot="1" x14ac:dyDescent="0.4">
      <c r="AH9572" s="87"/>
    </row>
    <row r="9573" spans="34:34" ht="15" thickBot="1" x14ac:dyDescent="0.4">
      <c r="AH9573" s="87"/>
    </row>
    <row r="9574" spans="34:34" ht="15" thickBot="1" x14ac:dyDescent="0.4">
      <c r="AH9574" s="87"/>
    </row>
    <row r="9575" spans="34:34" ht="15" thickBot="1" x14ac:dyDescent="0.4">
      <c r="AH9575" s="87"/>
    </row>
    <row r="9576" spans="34:34" ht="15" thickBot="1" x14ac:dyDescent="0.4">
      <c r="AH9576" s="87"/>
    </row>
    <row r="9577" spans="34:34" ht="15" thickBot="1" x14ac:dyDescent="0.4">
      <c r="AH9577" s="87"/>
    </row>
    <row r="9578" spans="34:34" ht="15" thickBot="1" x14ac:dyDescent="0.4">
      <c r="AH9578" s="87"/>
    </row>
    <row r="9579" spans="34:34" ht="15" thickBot="1" x14ac:dyDescent="0.4">
      <c r="AH9579" s="87"/>
    </row>
    <row r="9580" spans="34:34" ht="15" thickBot="1" x14ac:dyDescent="0.4">
      <c r="AH9580" s="87"/>
    </row>
    <row r="9581" spans="34:34" ht="15" thickBot="1" x14ac:dyDescent="0.4">
      <c r="AH9581" s="87"/>
    </row>
    <row r="9582" spans="34:34" ht="15" thickBot="1" x14ac:dyDescent="0.4">
      <c r="AH9582" s="87"/>
    </row>
    <row r="9583" spans="34:34" ht="15" thickBot="1" x14ac:dyDescent="0.4">
      <c r="AH9583" s="87"/>
    </row>
    <row r="9584" spans="34:34" ht="15" thickBot="1" x14ac:dyDescent="0.4">
      <c r="AH9584" s="87"/>
    </row>
    <row r="9585" spans="34:34" ht="15" thickBot="1" x14ac:dyDescent="0.4">
      <c r="AH9585" s="87"/>
    </row>
    <row r="9586" spans="34:34" ht="15" thickBot="1" x14ac:dyDescent="0.4">
      <c r="AH9586" s="87"/>
    </row>
    <row r="9587" spans="34:34" ht="15" thickBot="1" x14ac:dyDescent="0.4">
      <c r="AH9587" s="87"/>
    </row>
    <row r="9588" spans="34:34" ht="15" thickBot="1" x14ac:dyDescent="0.4">
      <c r="AH9588" s="87"/>
    </row>
    <row r="9589" spans="34:34" ht="15" thickBot="1" x14ac:dyDescent="0.4">
      <c r="AH9589" s="87"/>
    </row>
    <row r="9590" spans="34:34" ht="15" thickBot="1" x14ac:dyDescent="0.4">
      <c r="AH9590" s="87"/>
    </row>
    <row r="9591" spans="34:34" ht="15" thickBot="1" x14ac:dyDescent="0.4">
      <c r="AH9591" s="87"/>
    </row>
    <row r="9592" spans="34:34" ht="15" thickBot="1" x14ac:dyDescent="0.4">
      <c r="AH9592" s="87"/>
    </row>
    <row r="9593" spans="34:34" ht="15" thickBot="1" x14ac:dyDescent="0.4">
      <c r="AH9593" s="87"/>
    </row>
    <row r="9594" spans="34:34" ht="15" thickBot="1" x14ac:dyDescent="0.4">
      <c r="AH9594" s="87"/>
    </row>
    <row r="9595" spans="34:34" ht="15" thickBot="1" x14ac:dyDescent="0.4">
      <c r="AH9595" s="87"/>
    </row>
    <row r="9596" spans="34:34" ht="15" thickBot="1" x14ac:dyDescent="0.4">
      <c r="AH9596" s="87"/>
    </row>
    <row r="9597" spans="34:34" ht="15" thickBot="1" x14ac:dyDescent="0.4">
      <c r="AH9597" s="87"/>
    </row>
    <row r="9598" spans="34:34" ht="15" thickBot="1" x14ac:dyDescent="0.4">
      <c r="AH9598" s="87"/>
    </row>
    <row r="9599" spans="34:34" ht="15" thickBot="1" x14ac:dyDescent="0.4">
      <c r="AH9599" s="87"/>
    </row>
    <row r="9600" spans="34:34" ht="15" thickBot="1" x14ac:dyDescent="0.4">
      <c r="AH9600" s="87"/>
    </row>
    <row r="9601" spans="34:34" ht="15" thickBot="1" x14ac:dyDescent="0.4">
      <c r="AH9601" s="87"/>
    </row>
    <row r="9602" spans="34:34" ht="15" thickBot="1" x14ac:dyDescent="0.4">
      <c r="AH9602" s="87"/>
    </row>
    <row r="9603" spans="34:34" ht="15" thickBot="1" x14ac:dyDescent="0.4">
      <c r="AH9603" s="87"/>
    </row>
    <row r="9604" spans="34:34" ht="15" thickBot="1" x14ac:dyDescent="0.4">
      <c r="AH9604" s="87"/>
    </row>
    <row r="9605" spans="34:34" ht="15" thickBot="1" x14ac:dyDescent="0.4">
      <c r="AH9605" s="87"/>
    </row>
    <row r="9606" spans="34:34" ht="15" thickBot="1" x14ac:dyDescent="0.4">
      <c r="AH9606" s="87"/>
    </row>
    <row r="9607" spans="34:34" ht="15" thickBot="1" x14ac:dyDescent="0.4">
      <c r="AH9607" s="87"/>
    </row>
    <row r="9608" spans="34:34" ht="15" thickBot="1" x14ac:dyDescent="0.4">
      <c r="AH9608" s="87"/>
    </row>
    <row r="9609" spans="34:34" ht="15" thickBot="1" x14ac:dyDescent="0.4">
      <c r="AH9609" s="87"/>
    </row>
    <row r="9610" spans="34:34" ht="15" thickBot="1" x14ac:dyDescent="0.4">
      <c r="AH9610" s="87"/>
    </row>
    <row r="9611" spans="34:34" ht="15" thickBot="1" x14ac:dyDescent="0.4">
      <c r="AH9611" s="87"/>
    </row>
    <row r="9612" spans="34:34" ht="15" thickBot="1" x14ac:dyDescent="0.4">
      <c r="AH9612" s="87"/>
    </row>
    <row r="9613" spans="34:34" ht="15" thickBot="1" x14ac:dyDescent="0.4">
      <c r="AH9613" s="87"/>
    </row>
    <row r="9614" spans="34:34" ht="15" thickBot="1" x14ac:dyDescent="0.4">
      <c r="AH9614" s="87"/>
    </row>
    <row r="9615" spans="34:34" ht="15" thickBot="1" x14ac:dyDescent="0.4">
      <c r="AH9615" s="87"/>
    </row>
    <row r="9616" spans="34:34" ht="15" thickBot="1" x14ac:dyDescent="0.4">
      <c r="AH9616" s="87"/>
    </row>
    <row r="9617" spans="34:34" ht="15" thickBot="1" x14ac:dyDescent="0.4">
      <c r="AH9617" s="87"/>
    </row>
    <row r="9618" spans="34:34" ht="15" thickBot="1" x14ac:dyDescent="0.4">
      <c r="AH9618" s="87"/>
    </row>
    <row r="9619" spans="34:34" ht="15" thickBot="1" x14ac:dyDescent="0.4">
      <c r="AH9619" s="87"/>
    </row>
    <row r="9620" spans="34:34" ht="15" thickBot="1" x14ac:dyDescent="0.4">
      <c r="AH9620" s="87"/>
    </row>
    <row r="9621" spans="34:34" ht="15" thickBot="1" x14ac:dyDescent="0.4">
      <c r="AH9621" s="87"/>
    </row>
    <row r="9622" spans="34:34" ht="15" thickBot="1" x14ac:dyDescent="0.4">
      <c r="AH9622" s="87"/>
    </row>
    <row r="9623" spans="34:34" ht="15" thickBot="1" x14ac:dyDescent="0.4">
      <c r="AH9623" s="87"/>
    </row>
    <row r="9624" spans="34:34" ht="15" thickBot="1" x14ac:dyDescent="0.4">
      <c r="AH9624" s="87"/>
    </row>
    <row r="9625" spans="34:34" ht="15" thickBot="1" x14ac:dyDescent="0.4">
      <c r="AH9625" s="87"/>
    </row>
    <row r="9626" spans="34:34" ht="15" thickBot="1" x14ac:dyDescent="0.4">
      <c r="AH9626" s="87"/>
    </row>
    <row r="9627" spans="34:34" ht="15" thickBot="1" x14ac:dyDescent="0.4">
      <c r="AH9627" s="87"/>
    </row>
    <row r="9628" spans="34:34" ht="15" thickBot="1" x14ac:dyDescent="0.4">
      <c r="AH9628" s="87"/>
    </row>
    <row r="9629" spans="34:34" ht="15" thickBot="1" x14ac:dyDescent="0.4">
      <c r="AH9629" s="87"/>
    </row>
    <row r="9630" spans="34:34" ht="15" thickBot="1" x14ac:dyDescent="0.4">
      <c r="AH9630" s="87"/>
    </row>
    <row r="9631" spans="34:34" ht="15" thickBot="1" x14ac:dyDescent="0.4">
      <c r="AH9631" s="87"/>
    </row>
    <row r="9632" spans="34:34" ht="15" thickBot="1" x14ac:dyDescent="0.4">
      <c r="AH9632" s="87"/>
    </row>
    <row r="9633" spans="34:34" ht="15" thickBot="1" x14ac:dyDescent="0.4">
      <c r="AH9633" s="87"/>
    </row>
    <row r="9634" spans="34:34" ht="15" thickBot="1" x14ac:dyDescent="0.4">
      <c r="AH9634" s="87"/>
    </row>
    <row r="9635" spans="34:34" ht="15" thickBot="1" x14ac:dyDescent="0.4">
      <c r="AH9635" s="87"/>
    </row>
    <row r="9636" spans="34:34" ht="15" thickBot="1" x14ac:dyDescent="0.4">
      <c r="AH9636" s="87"/>
    </row>
    <row r="9637" spans="34:34" ht="15" thickBot="1" x14ac:dyDescent="0.4">
      <c r="AH9637" s="87"/>
    </row>
    <row r="9638" spans="34:34" ht="15" thickBot="1" x14ac:dyDescent="0.4">
      <c r="AH9638" s="87"/>
    </row>
    <row r="9639" spans="34:34" ht="15" thickBot="1" x14ac:dyDescent="0.4">
      <c r="AH9639" s="87"/>
    </row>
    <row r="9640" spans="34:34" ht="15" thickBot="1" x14ac:dyDescent="0.4">
      <c r="AH9640" s="87"/>
    </row>
    <row r="9641" spans="34:34" ht="15" thickBot="1" x14ac:dyDescent="0.4">
      <c r="AH9641" s="87"/>
    </row>
    <row r="9642" spans="34:34" ht="15" thickBot="1" x14ac:dyDescent="0.4">
      <c r="AH9642" s="87"/>
    </row>
    <row r="9643" spans="34:34" ht="15" thickBot="1" x14ac:dyDescent="0.4">
      <c r="AH9643" s="87"/>
    </row>
    <row r="9644" spans="34:34" ht="15" thickBot="1" x14ac:dyDescent="0.4">
      <c r="AH9644" s="87"/>
    </row>
    <row r="9645" spans="34:34" ht="15" thickBot="1" x14ac:dyDescent="0.4">
      <c r="AH9645" s="87"/>
    </row>
    <row r="9646" spans="34:34" ht="15" thickBot="1" x14ac:dyDescent="0.4">
      <c r="AH9646" s="87"/>
    </row>
    <row r="9647" spans="34:34" ht="15" thickBot="1" x14ac:dyDescent="0.4">
      <c r="AH9647" s="87"/>
    </row>
    <row r="9648" spans="34:34" ht="15" thickBot="1" x14ac:dyDescent="0.4">
      <c r="AH9648" s="87"/>
    </row>
    <row r="9649" spans="34:34" ht="15" thickBot="1" x14ac:dyDescent="0.4">
      <c r="AH9649" s="87"/>
    </row>
    <row r="9650" spans="34:34" ht="15" thickBot="1" x14ac:dyDescent="0.4">
      <c r="AH9650" s="87"/>
    </row>
    <row r="9651" spans="34:34" ht="15" thickBot="1" x14ac:dyDescent="0.4">
      <c r="AH9651" s="87"/>
    </row>
    <row r="9652" spans="34:34" ht="15" thickBot="1" x14ac:dyDescent="0.4">
      <c r="AH9652" s="87"/>
    </row>
    <row r="9653" spans="34:34" ht="15" thickBot="1" x14ac:dyDescent="0.4">
      <c r="AH9653" s="87"/>
    </row>
    <row r="9654" spans="34:34" ht="15" thickBot="1" x14ac:dyDescent="0.4">
      <c r="AH9654" s="87"/>
    </row>
    <row r="9655" spans="34:34" ht="15" thickBot="1" x14ac:dyDescent="0.4">
      <c r="AH9655" s="87"/>
    </row>
    <row r="9656" spans="34:34" ht="15" thickBot="1" x14ac:dyDescent="0.4">
      <c r="AH9656" s="87"/>
    </row>
    <row r="9657" spans="34:34" ht="15" thickBot="1" x14ac:dyDescent="0.4">
      <c r="AH9657" s="87"/>
    </row>
    <row r="9658" spans="34:34" ht="15" thickBot="1" x14ac:dyDescent="0.4">
      <c r="AH9658" s="87"/>
    </row>
    <row r="9659" spans="34:34" ht="15" thickBot="1" x14ac:dyDescent="0.4">
      <c r="AH9659" s="87"/>
    </row>
    <row r="9660" spans="34:34" ht="15" thickBot="1" x14ac:dyDescent="0.4">
      <c r="AH9660" s="87"/>
    </row>
    <row r="9661" spans="34:34" ht="15" thickBot="1" x14ac:dyDescent="0.4">
      <c r="AH9661" s="87"/>
    </row>
    <row r="9662" spans="34:34" ht="15" thickBot="1" x14ac:dyDescent="0.4">
      <c r="AH9662" s="87"/>
    </row>
    <row r="9663" spans="34:34" ht="15" thickBot="1" x14ac:dyDescent="0.4">
      <c r="AH9663" s="87"/>
    </row>
    <row r="9664" spans="34:34" ht="15" thickBot="1" x14ac:dyDescent="0.4">
      <c r="AH9664" s="87"/>
    </row>
    <row r="9665" spans="34:34" ht="15" thickBot="1" x14ac:dyDescent="0.4">
      <c r="AH9665" s="87"/>
    </row>
    <row r="9666" spans="34:34" ht="15" thickBot="1" x14ac:dyDescent="0.4">
      <c r="AH9666" s="87"/>
    </row>
    <row r="9667" spans="34:34" ht="15" thickBot="1" x14ac:dyDescent="0.4">
      <c r="AH9667" s="87"/>
    </row>
    <row r="9668" spans="34:34" ht="15" thickBot="1" x14ac:dyDescent="0.4">
      <c r="AH9668" s="87"/>
    </row>
    <row r="9669" spans="34:34" ht="15" thickBot="1" x14ac:dyDescent="0.4">
      <c r="AH9669" s="87"/>
    </row>
    <row r="9670" spans="34:34" ht="15" thickBot="1" x14ac:dyDescent="0.4">
      <c r="AH9670" s="87"/>
    </row>
    <row r="9671" spans="34:34" ht="15" thickBot="1" x14ac:dyDescent="0.4">
      <c r="AH9671" s="87"/>
    </row>
    <row r="9672" spans="34:34" ht="15" thickBot="1" x14ac:dyDescent="0.4">
      <c r="AH9672" s="87"/>
    </row>
    <row r="9673" spans="34:34" ht="15" thickBot="1" x14ac:dyDescent="0.4">
      <c r="AH9673" s="87"/>
    </row>
    <row r="9674" spans="34:34" ht="15" thickBot="1" x14ac:dyDescent="0.4">
      <c r="AH9674" s="87"/>
    </row>
    <row r="9675" spans="34:34" ht="15" thickBot="1" x14ac:dyDescent="0.4">
      <c r="AH9675" s="87"/>
    </row>
    <row r="9676" spans="34:34" ht="15" thickBot="1" x14ac:dyDescent="0.4">
      <c r="AH9676" s="87"/>
    </row>
    <row r="9677" spans="34:34" ht="15" thickBot="1" x14ac:dyDescent="0.4">
      <c r="AH9677" s="87"/>
    </row>
    <row r="9678" spans="34:34" ht="15" thickBot="1" x14ac:dyDescent="0.4">
      <c r="AH9678" s="87"/>
    </row>
    <row r="9679" spans="34:34" ht="15" thickBot="1" x14ac:dyDescent="0.4">
      <c r="AH9679" s="87"/>
    </row>
    <row r="9680" spans="34:34" ht="15" thickBot="1" x14ac:dyDescent="0.4">
      <c r="AH9680" s="87"/>
    </row>
    <row r="9681" spans="34:34" ht="15" thickBot="1" x14ac:dyDescent="0.4">
      <c r="AH9681" s="87"/>
    </row>
    <row r="9682" spans="34:34" ht="15" thickBot="1" x14ac:dyDescent="0.4">
      <c r="AH9682" s="87"/>
    </row>
    <row r="9683" spans="34:34" ht="15" thickBot="1" x14ac:dyDescent="0.4">
      <c r="AH9683" s="87"/>
    </row>
    <row r="9684" spans="34:34" ht="15" thickBot="1" x14ac:dyDescent="0.4">
      <c r="AH9684" s="87"/>
    </row>
    <row r="9685" spans="34:34" ht="15" thickBot="1" x14ac:dyDescent="0.4">
      <c r="AH9685" s="87"/>
    </row>
    <row r="9686" spans="34:34" ht="15" thickBot="1" x14ac:dyDescent="0.4">
      <c r="AH9686" s="87"/>
    </row>
    <row r="9687" spans="34:34" ht="15" thickBot="1" x14ac:dyDescent="0.4">
      <c r="AH9687" s="87"/>
    </row>
    <row r="9688" spans="34:34" ht="15" thickBot="1" x14ac:dyDescent="0.4">
      <c r="AH9688" s="87"/>
    </row>
    <row r="9689" spans="34:34" ht="15" thickBot="1" x14ac:dyDescent="0.4">
      <c r="AH9689" s="87"/>
    </row>
    <row r="9690" spans="34:34" ht="15" thickBot="1" x14ac:dyDescent="0.4">
      <c r="AH9690" s="87"/>
    </row>
    <row r="9691" spans="34:34" ht="15" thickBot="1" x14ac:dyDescent="0.4">
      <c r="AH9691" s="87"/>
    </row>
    <row r="9692" spans="34:34" ht="15" thickBot="1" x14ac:dyDescent="0.4">
      <c r="AH9692" s="87"/>
    </row>
    <row r="9693" spans="34:34" ht="15" thickBot="1" x14ac:dyDescent="0.4">
      <c r="AH9693" s="87"/>
    </row>
    <row r="9694" spans="34:34" ht="15" thickBot="1" x14ac:dyDescent="0.4">
      <c r="AH9694" s="87"/>
    </row>
    <row r="9695" spans="34:34" ht="15" thickBot="1" x14ac:dyDescent="0.4">
      <c r="AH9695" s="87"/>
    </row>
    <row r="9696" spans="34:34" ht="15" thickBot="1" x14ac:dyDescent="0.4">
      <c r="AH9696" s="87"/>
    </row>
    <row r="9697" spans="34:34" ht="15" thickBot="1" x14ac:dyDescent="0.4">
      <c r="AH9697" s="87"/>
    </row>
    <row r="9698" spans="34:34" ht="15" thickBot="1" x14ac:dyDescent="0.4">
      <c r="AH9698" s="87"/>
    </row>
    <row r="9699" spans="34:34" ht="15" thickBot="1" x14ac:dyDescent="0.4">
      <c r="AH9699" s="87"/>
    </row>
    <row r="9700" spans="34:34" ht="15" thickBot="1" x14ac:dyDescent="0.4">
      <c r="AH9700" s="87"/>
    </row>
    <row r="9701" spans="34:34" ht="15" thickBot="1" x14ac:dyDescent="0.4">
      <c r="AH9701" s="87"/>
    </row>
    <row r="9702" spans="34:34" ht="15" thickBot="1" x14ac:dyDescent="0.4">
      <c r="AH9702" s="87"/>
    </row>
    <row r="9703" spans="34:34" ht="15" thickBot="1" x14ac:dyDescent="0.4">
      <c r="AH9703" s="87"/>
    </row>
    <row r="9704" spans="34:34" ht="15" thickBot="1" x14ac:dyDescent="0.4">
      <c r="AH9704" s="87"/>
    </row>
    <row r="9705" spans="34:34" ht="15" thickBot="1" x14ac:dyDescent="0.4">
      <c r="AH9705" s="87"/>
    </row>
    <row r="9706" spans="34:34" ht="15" thickBot="1" x14ac:dyDescent="0.4">
      <c r="AH9706" s="87"/>
    </row>
    <row r="9707" spans="34:34" ht="15" thickBot="1" x14ac:dyDescent="0.4">
      <c r="AH9707" s="87"/>
    </row>
    <row r="9708" spans="34:34" ht="15" thickBot="1" x14ac:dyDescent="0.4">
      <c r="AH9708" s="87"/>
    </row>
    <row r="9709" spans="34:34" ht="15" thickBot="1" x14ac:dyDescent="0.4">
      <c r="AH9709" s="87"/>
    </row>
    <row r="9710" spans="34:34" ht="15" thickBot="1" x14ac:dyDescent="0.4">
      <c r="AH9710" s="87"/>
    </row>
    <row r="9711" spans="34:34" ht="15" thickBot="1" x14ac:dyDescent="0.4">
      <c r="AH9711" s="87"/>
    </row>
    <row r="9712" spans="34:34" ht="15" thickBot="1" x14ac:dyDescent="0.4">
      <c r="AH9712" s="87"/>
    </row>
    <row r="9713" spans="34:34" ht="15" thickBot="1" x14ac:dyDescent="0.4">
      <c r="AH9713" s="87"/>
    </row>
    <row r="9714" spans="34:34" ht="15" thickBot="1" x14ac:dyDescent="0.4">
      <c r="AH9714" s="87"/>
    </row>
    <row r="9715" spans="34:34" ht="15" thickBot="1" x14ac:dyDescent="0.4">
      <c r="AH9715" s="87"/>
    </row>
    <row r="9716" spans="34:34" ht="15" thickBot="1" x14ac:dyDescent="0.4">
      <c r="AH9716" s="87"/>
    </row>
    <row r="9717" spans="34:34" ht="15" thickBot="1" x14ac:dyDescent="0.4">
      <c r="AH9717" s="87"/>
    </row>
    <row r="9718" spans="34:34" ht="15" thickBot="1" x14ac:dyDescent="0.4">
      <c r="AH9718" s="87"/>
    </row>
    <row r="9719" spans="34:34" ht="15" thickBot="1" x14ac:dyDescent="0.4">
      <c r="AH9719" s="87"/>
    </row>
    <row r="9720" spans="34:34" ht="15" thickBot="1" x14ac:dyDescent="0.4">
      <c r="AH9720" s="87"/>
    </row>
    <row r="9721" spans="34:34" ht="15" thickBot="1" x14ac:dyDescent="0.4">
      <c r="AH9721" s="87"/>
    </row>
    <row r="9722" spans="34:34" ht="15" thickBot="1" x14ac:dyDescent="0.4">
      <c r="AH9722" s="87"/>
    </row>
    <row r="9723" spans="34:34" ht="15" thickBot="1" x14ac:dyDescent="0.4">
      <c r="AH9723" s="87"/>
    </row>
    <row r="9724" spans="34:34" ht="15" thickBot="1" x14ac:dyDescent="0.4">
      <c r="AH9724" s="87"/>
    </row>
    <row r="9725" spans="34:34" ht="15" thickBot="1" x14ac:dyDescent="0.4">
      <c r="AH9725" s="87"/>
    </row>
    <row r="9726" spans="34:34" ht="15" thickBot="1" x14ac:dyDescent="0.4">
      <c r="AH9726" s="87"/>
    </row>
    <row r="9727" spans="34:34" ht="15" thickBot="1" x14ac:dyDescent="0.4">
      <c r="AH9727" s="87"/>
    </row>
    <row r="9728" spans="34:34" ht="15" thickBot="1" x14ac:dyDescent="0.4">
      <c r="AH9728" s="87"/>
    </row>
    <row r="9729" spans="34:34" ht="15" thickBot="1" x14ac:dyDescent="0.4">
      <c r="AH9729" s="87"/>
    </row>
    <row r="9730" spans="34:34" ht="15" thickBot="1" x14ac:dyDescent="0.4">
      <c r="AH9730" s="87"/>
    </row>
    <row r="9731" spans="34:34" ht="15" thickBot="1" x14ac:dyDescent="0.4">
      <c r="AH9731" s="87"/>
    </row>
    <row r="9732" spans="34:34" ht="15" thickBot="1" x14ac:dyDescent="0.4">
      <c r="AH9732" s="87"/>
    </row>
    <row r="9733" spans="34:34" ht="15" thickBot="1" x14ac:dyDescent="0.4">
      <c r="AH9733" s="87"/>
    </row>
    <row r="9734" spans="34:34" ht="15" thickBot="1" x14ac:dyDescent="0.4">
      <c r="AH9734" s="87"/>
    </row>
    <row r="9735" spans="34:34" ht="15" thickBot="1" x14ac:dyDescent="0.4">
      <c r="AH9735" s="87"/>
    </row>
    <row r="9736" spans="34:34" ht="15" thickBot="1" x14ac:dyDescent="0.4">
      <c r="AH9736" s="87"/>
    </row>
    <row r="9737" spans="34:34" ht="15" thickBot="1" x14ac:dyDescent="0.4">
      <c r="AH9737" s="87"/>
    </row>
    <row r="9738" spans="34:34" ht="15" thickBot="1" x14ac:dyDescent="0.4">
      <c r="AH9738" s="87"/>
    </row>
    <row r="9739" spans="34:34" ht="15" thickBot="1" x14ac:dyDescent="0.4">
      <c r="AH9739" s="87"/>
    </row>
    <row r="9740" spans="34:34" ht="15" thickBot="1" x14ac:dyDescent="0.4">
      <c r="AH9740" s="87"/>
    </row>
    <row r="9741" spans="34:34" ht="15" thickBot="1" x14ac:dyDescent="0.4">
      <c r="AH9741" s="87"/>
    </row>
    <row r="9742" spans="34:34" ht="15" thickBot="1" x14ac:dyDescent="0.4">
      <c r="AH9742" s="87"/>
    </row>
    <row r="9743" spans="34:34" ht="15" thickBot="1" x14ac:dyDescent="0.4">
      <c r="AH9743" s="87"/>
    </row>
    <row r="9744" spans="34:34" ht="15" thickBot="1" x14ac:dyDescent="0.4">
      <c r="AH9744" s="87"/>
    </row>
    <row r="9745" spans="34:34" ht="15" thickBot="1" x14ac:dyDescent="0.4">
      <c r="AH9745" s="87"/>
    </row>
    <row r="9746" spans="34:34" ht="15" thickBot="1" x14ac:dyDescent="0.4">
      <c r="AH9746" s="87"/>
    </row>
    <row r="9747" spans="34:34" ht="15" thickBot="1" x14ac:dyDescent="0.4">
      <c r="AH9747" s="87"/>
    </row>
    <row r="9748" spans="34:34" ht="15" thickBot="1" x14ac:dyDescent="0.4">
      <c r="AH9748" s="87"/>
    </row>
    <row r="9749" spans="34:34" ht="15" thickBot="1" x14ac:dyDescent="0.4">
      <c r="AH9749" s="87"/>
    </row>
    <row r="9750" spans="34:34" ht="15" thickBot="1" x14ac:dyDescent="0.4">
      <c r="AH9750" s="87"/>
    </row>
    <row r="9751" spans="34:34" ht="15" thickBot="1" x14ac:dyDescent="0.4">
      <c r="AH9751" s="87"/>
    </row>
    <row r="9752" spans="34:34" ht="15" thickBot="1" x14ac:dyDescent="0.4">
      <c r="AH9752" s="87"/>
    </row>
    <row r="9753" spans="34:34" ht="15" thickBot="1" x14ac:dyDescent="0.4">
      <c r="AH9753" s="87"/>
    </row>
    <row r="9754" spans="34:34" ht="15" thickBot="1" x14ac:dyDescent="0.4">
      <c r="AH9754" s="87"/>
    </row>
    <row r="9755" spans="34:34" ht="15" thickBot="1" x14ac:dyDescent="0.4">
      <c r="AH9755" s="87"/>
    </row>
    <row r="9756" spans="34:34" ht="15" thickBot="1" x14ac:dyDescent="0.4">
      <c r="AH9756" s="87"/>
    </row>
    <row r="9757" spans="34:34" ht="15" thickBot="1" x14ac:dyDescent="0.4">
      <c r="AH9757" s="87"/>
    </row>
    <row r="9758" spans="34:34" ht="15" thickBot="1" x14ac:dyDescent="0.4">
      <c r="AH9758" s="87"/>
    </row>
    <row r="9759" spans="34:34" ht="15" thickBot="1" x14ac:dyDescent="0.4">
      <c r="AH9759" s="87"/>
    </row>
    <row r="9760" spans="34:34" ht="15" thickBot="1" x14ac:dyDescent="0.4">
      <c r="AH9760" s="87"/>
    </row>
    <row r="9761" spans="34:34" ht="15" thickBot="1" x14ac:dyDescent="0.4">
      <c r="AH9761" s="87"/>
    </row>
    <row r="9762" spans="34:34" ht="15" thickBot="1" x14ac:dyDescent="0.4">
      <c r="AH9762" s="87"/>
    </row>
    <row r="9763" spans="34:34" ht="15" thickBot="1" x14ac:dyDescent="0.4">
      <c r="AH9763" s="87"/>
    </row>
    <row r="9764" spans="34:34" ht="15" thickBot="1" x14ac:dyDescent="0.4">
      <c r="AH9764" s="87"/>
    </row>
    <row r="9765" spans="34:34" ht="15" thickBot="1" x14ac:dyDescent="0.4">
      <c r="AH9765" s="87"/>
    </row>
    <row r="9766" spans="34:34" ht="15" thickBot="1" x14ac:dyDescent="0.4">
      <c r="AH9766" s="87"/>
    </row>
    <row r="9767" spans="34:34" ht="15" thickBot="1" x14ac:dyDescent="0.4">
      <c r="AH9767" s="87"/>
    </row>
    <row r="9768" spans="34:34" ht="15" thickBot="1" x14ac:dyDescent="0.4">
      <c r="AH9768" s="87"/>
    </row>
    <row r="9769" spans="34:34" ht="15" thickBot="1" x14ac:dyDescent="0.4">
      <c r="AH9769" s="87"/>
    </row>
    <row r="9770" spans="34:34" ht="15" thickBot="1" x14ac:dyDescent="0.4">
      <c r="AH9770" s="87"/>
    </row>
    <row r="9771" spans="34:34" ht="15" thickBot="1" x14ac:dyDescent="0.4">
      <c r="AH9771" s="87"/>
    </row>
    <row r="9772" spans="34:34" ht="15" thickBot="1" x14ac:dyDescent="0.4">
      <c r="AH9772" s="87"/>
    </row>
    <row r="9773" spans="34:34" ht="15" thickBot="1" x14ac:dyDescent="0.4">
      <c r="AH9773" s="87"/>
    </row>
    <row r="9774" spans="34:34" ht="15" thickBot="1" x14ac:dyDescent="0.4">
      <c r="AH9774" s="87"/>
    </row>
    <row r="9775" spans="34:34" ht="15" thickBot="1" x14ac:dyDescent="0.4">
      <c r="AH9775" s="87"/>
    </row>
    <row r="9776" spans="34:34" ht="15" thickBot="1" x14ac:dyDescent="0.4">
      <c r="AH9776" s="87"/>
    </row>
    <row r="9777" spans="34:34" ht="15" thickBot="1" x14ac:dyDescent="0.4">
      <c r="AH9777" s="87"/>
    </row>
    <row r="9778" spans="34:34" ht="15" thickBot="1" x14ac:dyDescent="0.4">
      <c r="AH9778" s="87"/>
    </row>
    <row r="9779" spans="34:34" ht="15" thickBot="1" x14ac:dyDescent="0.4">
      <c r="AH9779" s="87"/>
    </row>
    <row r="9780" spans="34:34" ht="15" thickBot="1" x14ac:dyDescent="0.4">
      <c r="AH9780" s="87"/>
    </row>
    <row r="9781" spans="34:34" ht="15" thickBot="1" x14ac:dyDescent="0.4">
      <c r="AH9781" s="87"/>
    </row>
    <row r="9782" spans="34:34" ht="15" thickBot="1" x14ac:dyDescent="0.4">
      <c r="AH9782" s="87"/>
    </row>
    <row r="9783" spans="34:34" ht="15" thickBot="1" x14ac:dyDescent="0.4">
      <c r="AH9783" s="87"/>
    </row>
    <row r="9784" spans="34:34" ht="15" thickBot="1" x14ac:dyDescent="0.4">
      <c r="AH9784" s="87"/>
    </row>
    <row r="9785" spans="34:34" ht="15" thickBot="1" x14ac:dyDescent="0.4">
      <c r="AH9785" s="87"/>
    </row>
    <row r="9786" spans="34:34" ht="15" thickBot="1" x14ac:dyDescent="0.4">
      <c r="AH9786" s="87"/>
    </row>
    <row r="9787" spans="34:34" ht="15" thickBot="1" x14ac:dyDescent="0.4">
      <c r="AH9787" s="87"/>
    </row>
    <row r="9788" spans="34:34" ht="15" thickBot="1" x14ac:dyDescent="0.4">
      <c r="AH9788" s="87"/>
    </row>
    <row r="9789" spans="34:34" ht="15" thickBot="1" x14ac:dyDescent="0.4">
      <c r="AH9789" s="87"/>
    </row>
    <row r="9790" spans="34:34" ht="15" thickBot="1" x14ac:dyDescent="0.4">
      <c r="AH9790" s="87"/>
    </row>
    <row r="9791" spans="34:34" ht="15" thickBot="1" x14ac:dyDescent="0.4">
      <c r="AH9791" s="87"/>
    </row>
    <row r="9792" spans="34:34" ht="15" thickBot="1" x14ac:dyDescent="0.4">
      <c r="AH9792" s="87"/>
    </row>
    <row r="9793" spans="34:34" ht="15" thickBot="1" x14ac:dyDescent="0.4">
      <c r="AH9793" s="87"/>
    </row>
    <row r="9794" spans="34:34" ht="15" thickBot="1" x14ac:dyDescent="0.4">
      <c r="AH9794" s="87"/>
    </row>
    <row r="9795" spans="34:34" ht="15" thickBot="1" x14ac:dyDescent="0.4">
      <c r="AH9795" s="87"/>
    </row>
    <row r="9796" spans="34:34" ht="15" thickBot="1" x14ac:dyDescent="0.4">
      <c r="AH9796" s="87"/>
    </row>
    <row r="9797" spans="34:34" ht="15" thickBot="1" x14ac:dyDescent="0.4">
      <c r="AH9797" s="87"/>
    </row>
    <row r="9798" spans="34:34" ht="15" thickBot="1" x14ac:dyDescent="0.4">
      <c r="AH9798" s="87"/>
    </row>
    <row r="9799" spans="34:34" ht="15" thickBot="1" x14ac:dyDescent="0.4">
      <c r="AH9799" s="87"/>
    </row>
    <row r="9800" spans="34:34" ht="15" thickBot="1" x14ac:dyDescent="0.4">
      <c r="AH9800" s="87"/>
    </row>
    <row r="9801" spans="34:34" ht="15" thickBot="1" x14ac:dyDescent="0.4">
      <c r="AH9801" s="87"/>
    </row>
    <row r="9802" spans="34:34" ht="15" thickBot="1" x14ac:dyDescent="0.4">
      <c r="AH9802" s="87"/>
    </row>
    <row r="9803" spans="34:34" ht="15" thickBot="1" x14ac:dyDescent="0.4">
      <c r="AH9803" s="87"/>
    </row>
    <row r="9804" spans="34:34" ht="15" thickBot="1" x14ac:dyDescent="0.4">
      <c r="AH9804" s="87"/>
    </row>
    <row r="9805" spans="34:34" ht="15" thickBot="1" x14ac:dyDescent="0.4">
      <c r="AH9805" s="87"/>
    </row>
    <row r="9806" spans="34:34" ht="15" thickBot="1" x14ac:dyDescent="0.4">
      <c r="AH9806" s="87"/>
    </row>
    <row r="9807" spans="34:34" ht="15" thickBot="1" x14ac:dyDescent="0.4">
      <c r="AH9807" s="87"/>
    </row>
    <row r="9808" spans="34:34" ht="15" thickBot="1" x14ac:dyDescent="0.4">
      <c r="AH9808" s="87"/>
    </row>
    <row r="9809" spans="34:34" ht="15" thickBot="1" x14ac:dyDescent="0.4">
      <c r="AH9809" s="87"/>
    </row>
    <row r="9810" spans="34:34" ht="15" thickBot="1" x14ac:dyDescent="0.4">
      <c r="AH9810" s="87"/>
    </row>
    <row r="9811" spans="34:34" ht="15" thickBot="1" x14ac:dyDescent="0.4">
      <c r="AH9811" s="87"/>
    </row>
    <row r="9812" spans="34:34" ht="15" thickBot="1" x14ac:dyDescent="0.4">
      <c r="AH9812" s="87"/>
    </row>
    <row r="9813" spans="34:34" ht="15" thickBot="1" x14ac:dyDescent="0.4">
      <c r="AH9813" s="87"/>
    </row>
    <row r="9814" spans="34:34" ht="15" thickBot="1" x14ac:dyDescent="0.4">
      <c r="AH9814" s="87"/>
    </row>
    <row r="9815" spans="34:34" ht="15" thickBot="1" x14ac:dyDescent="0.4">
      <c r="AH9815" s="87"/>
    </row>
    <row r="9816" spans="34:34" ht="15" thickBot="1" x14ac:dyDescent="0.4">
      <c r="AH9816" s="87"/>
    </row>
    <row r="9817" spans="34:34" ht="15" thickBot="1" x14ac:dyDescent="0.4">
      <c r="AH9817" s="87"/>
    </row>
    <row r="9818" spans="34:34" ht="15" thickBot="1" x14ac:dyDescent="0.4">
      <c r="AH9818" s="87"/>
    </row>
    <row r="9819" spans="34:34" ht="15" thickBot="1" x14ac:dyDescent="0.4">
      <c r="AH9819" s="87"/>
    </row>
    <row r="9820" spans="34:34" ht="15" thickBot="1" x14ac:dyDescent="0.4">
      <c r="AH9820" s="87"/>
    </row>
    <row r="9821" spans="34:34" ht="15" thickBot="1" x14ac:dyDescent="0.4">
      <c r="AH9821" s="87"/>
    </row>
    <row r="9822" spans="34:34" ht="15" thickBot="1" x14ac:dyDescent="0.4">
      <c r="AH9822" s="87"/>
    </row>
    <row r="9823" spans="34:34" ht="15" thickBot="1" x14ac:dyDescent="0.4">
      <c r="AH9823" s="87"/>
    </row>
    <row r="9824" spans="34:34" ht="15" thickBot="1" x14ac:dyDescent="0.4">
      <c r="AH9824" s="87"/>
    </row>
    <row r="9825" spans="34:34" ht="15" thickBot="1" x14ac:dyDescent="0.4">
      <c r="AH9825" s="87"/>
    </row>
    <row r="9826" spans="34:34" ht="15" thickBot="1" x14ac:dyDescent="0.4">
      <c r="AH9826" s="87"/>
    </row>
    <row r="9827" spans="34:34" ht="15" thickBot="1" x14ac:dyDescent="0.4">
      <c r="AH9827" s="87"/>
    </row>
    <row r="9828" spans="34:34" ht="15" thickBot="1" x14ac:dyDescent="0.4">
      <c r="AH9828" s="87"/>
    </row>
    <row r="9829" spans="34:34" ht="15" thickBot="1" x14ac:dyDescent="0.4">
      <c r="AH9829" s="87"/>
    </row>
    <row r="9830" spans="34:34" ht="15" thickBot="1" x14ac:dyDescent="0.4">
      <c r="AH9830" s="87"/>
    </row>
    <row r="9831" spans="34:34" ht="15" thickBot="1" x14ac:dyDescent="0.4">
      <c r="AH9831" s="87"/>
    </row>
    <row r="9832" spans="34:34" ht="15" thickBot="1" x14ac:dyDescent="0.4">
      <c r="AH9832" s="87"/>
    </row>
    <row r="9833" spans="34:34" ht="15" thickBot="1" x14ac:dyDescent="0.4">
      <c r="AH9833" s="87"/>
    </row>
    <row r="9834" spans="34:34" ht="15" thickBot="1" x14ac:dyDescent="0.4">
      <c r="AH9834" s="87"/>
    </row>
    <row r="9835" spans="34:34" ht="15" thickBot="1" x14ac:dyDescent="0.4">
      <c r="AH9835" s="87"/>
    </row>
    <row r="9836" spans="34:34" ht="15" thickBot="1" x14ac:dyDescent="0.4">
      <c r="AH9836" s="87"/>
    </row>
    <row r="9837" spans="34:34" ht="15" thickBot="1" x14ac:dyDescent="0.4">
      <c r="AH9837" s="87"/>
    </row>
    <row r="9838" spans="34:34" ht="15" thickBot="1" x14ac:dyDescent="0.4">
      <c r="AH9838" s="87"/>
    </row>
    <row r="9839" spans="34:34" ht="15" thickBot="1" x14ac:dyDescent="0.4">
      <c r="AH9839" s="87"/>
    </row>
    <row r="9840" spans="34:34" ht="15" thickBot="1" x14ac:dyDescent="0.4">
      <c r="AH9840" s="87"/>
    </row>
    <row r="9841" spans="34:34" ht="15" thickBot="1" x14ac:dyDescent="0.4">
      <c r="AH9841" s="87"/>
    </row>
    <row r="9842" spans="34:34" ht="15" thickBot="1" x14ac:dyDescent="0.4">
      <c r="AH9842" s="87"/>
    </row>
    <row r="9843" spans="34:34" ht="15" thickBot="1" x14ac:dyDescent="0.4">
      <c r="AH9843" s="87"/>
    </row>
    <row r="9844" spans="34:34" ht="15" thickBot="1" x14ac:dyDescent="0.4">
      <c r="AH9844" s="87"/>
    </row>
    <row r="9845" spans="34:34" ht="15" thickBot="1" x14ac:dyDescent="0.4">
      <c r="AH9845" s="87"/>
    </row>
    <row r="9846" spans="34:34" ht="15" thickBot="1" x14ac:dyDescent="0.4">
      <c r="AH9846" s="87"/>
    </row>
    <row r="9847" spans="34:34" ht="15" thickBot="1" x14ac:dyDescent="0.4">
      <c r="AH9847" s="87"/>
    </row>
    <row r="9848" spans="34:34" ht="15" thickBot="1" x14ac:dyDescent="0.4">
      <c r="AH9848" s="87"/>
    </row>
    <row r="9849" spans="34:34" ht="15" thickBot="1" x14ac:dyDescent="0.4">
      <c r="AH9849" s="87"/>
    </row>
    <row r="9850" spans="34:34" ht="15" thickBot="1" x14ac:dyDescent="0.4">
      <c r="AH9850" s="87"/>
    </row>
    <row r="9851" spans="34:34" ht="15" thickBot="1" x14ac:dyDescent="0.4">
      <c r="AH9851" s="87"/>
    </row>
    <row r="9852" spans="34:34" ht="15" thickBot="1" x14ac:dyDescent="0.4">
      <c r="AH9852" s="87"/>
    </row>
    <row r="9853" spans="34:34" ht="15" thickBot="1" x14ac:dyDescent="0.4">
      <c r="AH9853" s="87"/>
    </row>
    <row r="9854" spans="34:34" ht="15" thickBot="1" x14ac:dyDescent="0.4">
      <c r="AH9854" s="87"/>
    </row>
    <row r="9855" spans="34:34" ht="15" thickBot="1" x14ac:dyDescent="0.4">
      <c r="AH9855" s="87"/>
    </row>
    <row r="9856" spans="34:34" ht="15" thickBot="1" x14ac:dyDescent="0.4">
      <c r="AH9856" s="87"/>
    </row>
    <row r="9857" spans="34:34" ht="15" thickBot="1" x14ac:dyDescent="0.4">
      <c r="AH9857" s="87"/>
    </row>
    <row r="9858" spans="34:34" ht="15" thickBot="1" x14ac:dyDescent="0.4">
      <c r="AH9858" s="87"/>
    </row>
    <row r="9859" spans="34:34" ht="15" thickBot="1" x14ac:dyDescent="0.4">
      <c r="AH9859" s="87"/>
    </row>
    <row r="9860" spans="34:34" ht="15" thickBot="1" x14ac:dyDescent="0.4">
      <c r="AH9860" s="87"/>
    </row>
    <row r="9861" spans="34:34" ht="15" thickBot="1" x14ac:dyDescent="0.4">
      <c r="AH9861" s="87"/>
    </row>
    <row r="9862" spans="34:34" ht="15" thickBot="1" x14ac:dyDescent="0.4">
      <c r="AH9862" s="87"/>
    </row>
    <row r="9863" spans="34:34" ht="15" thickBot="1" x14ac:dyDescent="0.4">
      <c r="AH9863" s="87"/>
    </row>
    <row r="9864" spans="34:34" ht="15" thickBot="1" x14ac:dyDescent="0.4">
      <c r="AH9864" s="87"/>
    </row>
    <row r="9865" spans="34:34" ht="15" thickBot="1" x14ac:dyDescent="0.4">
      <c r="AH9865" s="87"/>
    </row>
    <row r="9866" spans="34:34" ht="15" thickBot="1" x14ac:dyDescent="0.4">
      <c r="AH9866" s="87"/>
    </row>
    <row r="9867" spans="34:34" ht="15" thickBot="1" x14ac:dyDescent="0.4">
      <c r="AH9867" s="87"/>
    </row>
    <row r="9868" spans="34:34" ht="15" thickBot="1" x14ac:dyDescent="0.4">
      <c r="AH9868" s="87"/>
    </row>
    <row r="9869" spans="34:34" ht="15" thickBot="1" x14ac:dyDescent="0.4">
      <c r="AH9869" s="87"/>
    </row>
    <row r="9870" spans="34:34" ht="15" thickBot="1" x14ac:dyDescent="0.4">
      <c r="AH9870" s="87"/>
    </row>
    <row r="9871" spans="34:34" ht="15" thickBot="1" x14ac:dyDescent="0.4">
      <c r="AH9871" s="87"/>
    </row>
    <row r="9872" spans="34:34" ht="15" thickBot="1" x14ac:dyDescent="0.4">
      <c r="AH9872" s="87"/>
    </row>
    <row r="9873" spans="34:34" ht="15" thickBot="1" x14ac:dyDescent="0.4">
      <c r="AH9873" s="87"/>
    </row>
    <row r="9874" spans="34:34" ht="15" thickBot="1" x14ac:dyDescent="0.4">
      <c r="AH9874" s="87"/>
    </row>
    <row r="9875" spans="34:34" ht="15" thickBot="1" x14ac:dyDescent="0.4">
      <c r="AH9875" s="87"/>
    </row>
    <row r="9876" spans="34:34" ht="15" thickBot="1" x14ac:dyDescent="0.4">
      <c r="AH9876" s="87"/>
    </row>
    <row r="9877" spans="34:34" ht="15" thickBot="1" x14ac:dyDescent="0.4">
      <c r="AH9877" s="87"/>
    </row>
    <row r="9878" spans="34:34" ht="15" thickBot="1" x14ac:dyDescent="0.4">
      <c r="AH9878" s="87"/>
    </row>
    <row r="9879" spans="34:34" ht="15" thickBot="1" x14ac:dyDescent="0.4">
      <c r="AH9879" s="87"/>
    </row>
    <row r="9880" spans="34:34" ht="15" thickBot="1" x14ac:dyDescent="0.4">
      <c r="AH9880" s="87"/>
    </row>
    <row r="9881" spans="34:34" ht="15" thickBot="1" x14ac:dyDescent="0.4">
      <c r="AH9881" s="87"/>
    </row>
    <row r="9882" spans="34:34" ht="15" thickBot="1" x14ac:dyDescent="0.4">
      <c r="AH9882" s="87"/>
    </row>
    <row r="9883" spans="34:34" ht="15" thickBot="1" x14ac:dyDescent="0.4">
      <c r="AH9883" s="87"/>
    </row>
    <row r="9884" spans="34:34" ht="15" thickBot="1" x14ac:dyDescent="0.4">
      <c r="AH9884" s="87"/>
    </row>
    <row r="9885" spans="34:34" ht="15" thickBot="1" x14ac:dyDescent="0.4">
      <c r="AH9885" s="87"/>
    </row>
    <row r="9886" spans="34:34" ht="15" thickBot="1" x14ac:dyDescent="0.4">
      <c r="AH9886" s="87"/>
    </row>
    <row r="9887" spans="34:34" ht="15" thickBot="1" x14ac:dyDescent="0.4">
      <c r="AH9887" s="87"/>
    </row>
    <row r="9888" spans="34:34" ht="15" thickBot="1" x14ac:dyDescent="0.4">
      <c r="AH9888" s="87"/>
    </row>
    <row r="9889" spans="34:34" ht="15" thickBot="1" x14ac:dyDescent="0.4">
      <c r="AH9889" s="87"/>
    </row>
    <row r="9890" spans="34:34" ht="15" thickBot="1" x14ac:dyDescent="0.4">
      <c r="AH9890" s="87"/>
    </row>
    <row r="9891" spans="34:34" ht="15" thickBot="1" x14ac:dyDescent="0.4">
      <c r="AH9891" s="87"/>
    </row>
    <row r="9892" spans="34:34" ht="15" thickBot="1" x14ac:dyDescent="0.4">
      <c r="AH9892" s="87"/>
    </row>
    <row r="9893" spans="34:34" ht="15" thickBot="1" x14ac:dyDescent="0.4">
      <c r="AH9893" s="87"/>
    </row>
    <row r="9894" spans="34:34" ht="15" thickBot="1" x14ac:dyDescent="0.4">
      <c r="AH9894" s="87"/>
    </row>
    <row r="9895" spans="34:34" ht="15" thickBot="1" x14ac:dyDescent="0.4">
      <c r="AH9895" s="87"/>
    </row>
    <row r="9896" spans="34:34" ht="15" thickBot="1" x14ac:dyDescent="0.4">
      <c r="AH9896" s="87"/>
    </row>
    <row r="9897" spans="34:34" ht="15" thickBot="1" x14ac:dyDescent="0.4">
      <c r="AH9897" s="87"/>
    </row>
    <row r="9898" spans="34:34" ht="15" thickBot="1" x14ac:dyDescent="0.4">
      <c r="AH9898" s="87"/>
    </row>
    <row r="9899" spans="34:34" ht="15" thickBot="1" x14ac:dyDescent="0.4">
      <c r="AH9899" s="87"/>
    </row>
    <row r="9900" spans="34:34" ht="15" thickBot="1" x14ac:dyDescent="0.4">
      <c r="AH9900" s="87"/>
    </row>
    <row r="9901" spans="34:34" ht="15" thickBot="1" x14ac:dyDescent="0.4">
      <c r="AH9901" s="87"/>
    </row>
    <row r="9902" spans="34:34" ht="15" thickBot="1" x14ac:dyDescent="0.4">
      <c r="AH9902" s="87"/>
    </row>
    <row r="9903" spans="34:34" ht="15" thickBot="1" x14ac:dyDescent="0.4">
      <c r="AH9903" s="87"/>
    </row>
    <row r="9904" spans="34:34" ht="15" thickBot="1" x14ac:dyDescent="0.4">
      <c r="AH9904" s="87"/>
    </row>
    <row r="9905" spans="34:34" ht="15" thickBot="1" x14ac:dyDescent="0.4">
      <c r="AH9905" s="87"/>
    </row>
    <row r="9906" spans="34:34" ht="15" thickBot="1" x14ac:dyDescent="0.4">
      <c r="AH9906" s="87"/>
    </row>
    <row r="9907" spans="34:34" ht="15" thickBot="1" x14ac:dyDescent="0.4">
      <c r="AH9907" s="87"/>
    </row>
    <row r="9908" spans="34:34" ht="15" thickBot="1" x14ac:dyDescent="0.4">
      <c r="AH9908" s="87"/>
    </row>
    <row r="9909" spans="34:34" ht="15" thickBot="1" x14ac:dyDescent="0.4">
      <c r="AH9909" s="87"/>
    </row>
    <row r="9910" spans="34:34" ht="15" thickBot="1" x14ac:dyDescent="0.4">
      <c r="AH9910" s="87"/>
    </row>
    <row r="9911" spans="34:34" ht="15" thickBot="1" x14ac:dyDescent="0.4">
      <c r="AH9911" s="87"/>
    </row>
    <row r="9912" spans="34:34" ht="15" thickBot="1" x14ac:dyDescent="0.4">
      <c r="AH9912" s="87"/>
    </row>
    <row r="9913" spans="34:34" ht="15" thickBot="1" x14ac:dyDescent="0.4">
      <c r="AH9913" s="87"/>
    </row>
    <row r="9914" spans="34:34" ht="15" thickBot="1" x14ac:dyDescent="0.4">
      <c r="AH9914" s="87"/>
    </row>
    <row r="9915" spans="34:34" ht="15" thickBot="1" x14ac:dyDescent="0.4">
      <c r="AH9915" s="87"/>
    </row>
    <row r="9916" spans="34:34" ht="15" thickBot="1" x14ac:dyDescent="0.4">
      <c r="AH9916" s="87"/>
    </row>
    <row r="9917" spans="34:34" ht="15" thickBot="1" x14ac:dyDescent="0.4">
      <c r="AH9917" s="87"/>
    </row>
    <row r="9918" spans="34:34" ht="15" thickBot="1" x14ac:dyDescent="0.4">
      <c r="AH9918" s="87"/>
    </row>
    <row r="9919" spans="34:34" ht="15" thickBot="1" x14ac:dyDescent="0.4">
      <c r="AH9919" s="87"/>
    </row>
    <row r="9920" spans="34:34" ht="15" thickBot="1" x14ac:dyDescent="0.4">
      <c r="AH9920" s="87"/>
    </row>
    <row r="9921" spans="34:34" ht="15" thickBot="1" x14ac:dyDescent="0.4">
      <c r="AH9921" s="87"/>
    </row>
    <row r="9922" spans="34:34" ht="15" thickBot="1" x14ac:dyDescent="0.4">
      <c r="AH9922" s="87"/>
    </row>
    <row r="9923" spans="34:34" ht="15" thickBot="1" x14ac:dyDescent="0.4">
      <c r="AH9923" s="87"/>
    </row>
    <row r="9924" spans="34:34" ht="15" thickBot="1" x14ac:dyDescent="0.4">
      <c r="AH9924" s="87"/>
    </row>
    <row r="9925" spans="34:34" ht="15" thickBot="1" x14ac:dyDescent="0.4">
      <c r="AH9925" s="87"/>
    </row>
    <row r="9926" spans="34:34" ht="15" thickBot="1" x14ac:dyDescent="0.4">
      <c r="AH9926" s="87"/>
    </row>
    <row r="9927" spans="34:34" ht="15" thickBot="1" x14ac:dyDescent="0.4">
      <c r="AH9927" s="87"/>
    </row>
    <row r="9928" spans="34:34" ht="15" thickBot="1" x14ac:dyDescent="0.4">
      <c r="AH9928" s="87"/>
    </row>
    <row r="9929" spans="34:34" ht="15" thickBot="1" x14ac:dyDescent="0.4">
      <c r="AH9929" s="87"/>
    </row>
    <row r="9930" spans="34:34" ht="15" thickBot="1" x14ac:dyDescent="0.4">
      <c r="AH9930" s="87"/>
    </row>
    <row r="9931" spans="34:34" ht="15" thickBot="1" x14ac:dyDescent="0.4">
      <c r="AH9931" s="87"/>
    </row>
    <row r="9932" spans="34:34" ht="15" thickBot="1" x14ac:dyDescent="0.4">
      <c r="AH9932" s="87"/>
    </row>
    <row r="9933" spans="34:34" ht="15" thickBot="1" x14ac:dyDescent="0.4">
      <c r="AH9933" s="87"/>
    </row>
    <row r="9934" spans="34:34" ht="15" thickBot="1" x14ac:dyDescent="0.4">
      <c r="AH9934" s="87"/>
    </row>
    <row r="9935" spans="34:34" ht="15" thickBot="1" x14ac:dyDescent="0.4">
      <c r="AH9935" s="87"/>
    </row>
    <row r="9936" spans="34:34" ht="15" thickBot="1" x14ac:dyDescent="0.4">
      <c r="AH9936" s="87"/>
    </row>
    <row r="9937" spans="34:34" ht="15" thickBot="1" x14ac:dyDescent="0.4">
      <c r="AH9937" s="87"/>
    </row>
    <row r="9938" spans="34:34" ht="15" thickBot="1" x14ac:dyDescent="0.4">
      <c r="AH9938" s="87"/>
    </row>
    <row r="9939" spans="34:34" ht="15" thickBot="1" x14ac:dyDescent="0.4">
      <c r="AH9939" s="87"/>
    </row>
    <row r="9940" spans="34:34" ht="15" thickBot="1" x14ac:dyDescent="0.4">
      <c r="AH9940" s="87"/>
    </row>
    <row r="9941" spans="34:34" ht="15" thickBot="1" x14ac:dyDescent="0.4">
      <c r="AH9941" s="87"/>
    </row>
    <row r="9942" spans="34:34" ht="15" thickBot="1" x14ac:dyDescent="0.4">
      <c r="AH9942" s="87"/>
    </row>
    <row r="9943" spans="34:34" ht="15" thickBot="1" x14ac:dyDescent="0.4">
      <c r="AH9943" s="87"/>
    </row>
    <row r="9944" spans="34:34" ht="15" thickBot="1" x14ac:dyDescent="0.4">
      <c r="AH9944" s="87"/>
    </row>
    <row r="9945" spans="34:34" ht="15" thickBot="1" x14ac:dyDescent="0.4">
      <c r="AH9945" s="87"/>
    </row>
    <row r="9946" spans="34:34" ht="15" thickBot="1" x14ac:dyDescent="0.4">
      <c r="AH9946" s="87"/>
    </row>
    <row r="9947" spans="34:34" ht="15" thickBot="1" x14ac:dyDescent="0.4">
      <c r="AH9947" s="87"/>
    </row>
    <row r="9948" spans="34:34" ht="15" thickBot="1" x14ac:dyDescent="0.4">
      <c r="AH9948" s="87"/>
    </row>
    <row r="9949" spans="34:34" ht="15" thickBot="1" x14ac:dyDescent="0.4">
      <c r="AH9949" s="87"/>
    </row>
    <row r="9950" spans="34:34" ht="15" thickBot="1" x14ac:dyDescent="0.4">
      <c r="AH9950" s="87"/>
    </row>
    <row r="9951" spans="34:34" ht="15" thickBot="1" x14ac:dyDescent="0.4">
      <c r="AH9951" s="87"/>
    </row>
    <row r="9952" spans="34:34" ht="15" thickBot="1" x14ac:dyDescent="0.4">
      <c r="AH9952" s="87"/>
    </row>
    <row r="9953" spans="34:34" ht="15" thickBot="1" x14ac:dyDescent="0.4">
      <c r="AH9953" s="87"/>
    </row>
    <row r="9954" spans="34:34" ht="15" thickBot="1" x14ac:dyDescent="0.4">
      <c r="AH9954" s="87"/>
    </row>
    <row r="9955" spans="34:34" ht="15" thickBot="1" x14ac:dyDescent="0.4">
      <c r="AH9955" s="87"/>
    </row>
    <row r="9956" spans="34:34" ht="15" thickBot="1" x14ac:dyDescent="0.4">
      <c r="AH9956" s="87"/>
    </row>
    <row r="9957" spans="34:34" ht="15" thickBot="1" x14ac:dyDescent="0.4">
      <c r="AH9957" s="87"/>
    </row>
    <row r="9958" spans="34:34" ht="15" thickBot="1" x14ac:dyDescent="0.4">
      <c r="AH9958" s="87"/>
    </row>
    <row r="9959" spans="34:34" ht="15" thickBot="1" x14ac:dyDescent="0.4">
      <c r="AH9959" s="87"/>
    </row>
    <row r="9960" spans="34:34" ht="15" thickBot="1" x14ac:dyDescent="0.4">
      <c r="AH9960" s="87"/>
    </row>
    <row r="9961" spans="34:34" ht="15" thickBot="1" x14ac:dyDescent="0.4">
      <c r="AH9961" s="87"/>
    </row>
    <row r="9962" spans="34:34" ht="15" thickBot="1" x14ac:dyDescent="0.4">
      <c r="AH9962" s="87"/>
    </row>
    <row r="9963" spans="34:34" ht="15" thickBot="1" x14ac:dyDescent="0.4">
      <c r="AH9963" s="87"/>
    </row>
    <row r="9964" spans="34:34" ht="15" thickBot="1" x14ac:dyDescent="0.4">
      <c r="AH9964" s="87"/>
    </row>
    <row r="9965" spans="34:34" ht="15" thickBot="1" x14ac:dyDescent="0.4">
      <c r="AH9965" s="87"/>
    </row>
    <row r="9966" spans="34:34" ht="15" thickBot="1" x14ac:dyDescent="0.4">
      <c r="AH9966" s="87"/>
    </row>
    <row r="9967" spans="34:34" ht="15" thickBot="1" x14ac:dyDescent="0.4">
      <c r="AH9967" s="87"/>
    </row>
    <row r="9968" spans="34:34" ht="15" thickBot="1" x14ac:dyDescent="0.4">
      <c r="AH9968" s="87"/>
    </row>
    <row r="9969" spans="34:34" ht="15" thickBot="1" x14ac:dyDescent="0.4">
      <c r="AH9969" s="87"/>
    </row>
    <row r="9970" spans="34:34" ht="15" thickBot="1" x14ac:dyDescent="0.4">
      <c r="AH9970" s="87"/>
    </row>
    <row r="9971" spans="34:34" ht="15" thickBot="1" x14ac:dyDescent="0.4">
      <c r="AH9971" s="87"/>
    </row>
    <row r="9972" spans="34:34" ht="15" thickBot="1" x14ac:dyDescent="0.4">
      <c r="AH9972" s="87"/>
    </row>
    <row r="9973" spans="34:34" ht="15" thickBot="1" x14ac:dyDescent="0.4">
      <c r="AH9973" s="87"/>
    </row>
    <row r="9974" spans="34:34" ht="15" thickBot="1" x14ac:dyDescent="0.4">
      <c r="AH9974" s="87"/>
    </row>
    <row r="9975" spans="34:34" ht="15" thickBot="1" x14ac:dyDescent="0.4">
      <c r="AH9975" s="87"/>
    </row>
    <row r="9976" spans="34:34" ht="15" thickBot="1" x14ac:dyDescent="0.4">
      <c r="AH9976" s="87"/>
    </row>
    <row r="9977" spans="34:34" ht="15" thickBot="1" x14ac:dyDescent="0.4">
      <c r="AH9977" s="87"/>
    </row>
    <row r="9978" spans="34:34" ht="15" thickBot="1" x14ac:dyDescent="0.4">
      <c r="AH9978" s="87"/>
    </row>
    <row r="9979" spans="34:34" ht="15" thickBot="1" x14ac:dyDescent="0.4">
      <c r="AH9979" s="87"/>
    </row>
    <row r="9980" spans="34:34" ht="15" thickBot="1" x14ac:dyDescent="0.4">
      <c r="AH9980" s="87"/>
    </row>
    <row r="9981" spans="34:34" ht="15" thickBot="1" x14ac:dyDescent="0.4">
      <c r="AH9981" s="87"/>
    </row>
    <row r="9982" spans="34:34" ht="15" thickBot="1" x14ac:dyDescent="0.4">
      <c r="AH9982" s="87"/>
    </row>
    <row r="9983" spans="34:34" ht="15" thickBot="1" x14ac:dyDescent="0.4">
      <c r="AH9983" s="87"/>
    </row>
    <row r="9984" spans="34:34" ht="15" thickBot="1" x14ac:dyDescent="0.4">
      <c r="AH9984" s="87"/>
    </row>
    <row r="9985" spans="34:34" ht="15" thickBot="1" x14ac:dyDescent="0.4">
      <c r="AH9985" s="87"/>
    </row>
    <row r="9986" spans="34:34" ht="15" thickBot="1" x14ac:dyDescent="0.4">
      <c r="AH9986" s="87"/>
    </row>
    <row r="9987" spans="34:34" ht="15" thickBot="1" x14ac:dyDescent="0.4">
      <c r="AH9987" s="87"/>
    </row>
    <row r="9988" spans="34:34" ht="15" thickBot="1" x14ac:dyDescent="0.4">
      <c r="AH9988" s="87"/>
    </row>
    <row r="9989" spans="34:34" ht="15" thickBot="1" x14ac:dyDescent="0.4">
      <c r="AH9989" s="87"/>
    </row>
    <row r="9990" spans="34:34" ht="15" thickBot="1" x14ac:dyDescent="0.4">
      <c r="AH9990" s="87"/>
    </row>
    <row r="9991" spans="34:34" ht="15" thickBot="1" x14ac:dyDescent="0.4">
      <c r="AH9991" s="87"/>
    </row>
    <row r="9992" spans="34:34" ht="15" thickBot="1" x14ac:dyDescent="0.4">
      <c r="AH9992" s="87"/>
    </row>
    <row r="9993" spans="34:34" ht="15" thickBot="1" x14ac:dyDescent="0.4">
      <c r="AH9993" s="87"/>
    </row>
    <row r="9994" spans="34:34" ht="15" thickBot="1" x14ac:dyDescent="0.4">
      <c r="AH9994" s="87"/>
    </row>
    <row r="9995" spans="34:34" ht="15" thickBot="1" x14ac:dyDescent="0.4">
      <c r="AH9995" s="87"/>
    </row>
    <row r="9996" spans="34:34" ht="15" thickBot="1" x14ac:dyDescent="0.4">
      <c r="AH9996" s="87"/>
    </row>
    <row r="9997" spans="34:34" ht="15" thickBot="1" x14ac:dyDescent="0.4">
      <c r="AH9997" s="87"/>
    </row>
    <row r="9998" spans="34:34" ht="15" thickBot="1" x14ac:dyDescent="0.4">
      <c r="AH9998" s="87"/>
    </row>
    <row r="9999" spans="34:34" ht="15" thickBot="1" x14ac:dyDescent="0.4">
      <c r="AH9999" s="87"/>
    </row>
    <row r="10000" spans="34:34" ht="15" thickBot="1" x14ac:dyDescent="0.4">
      <c r="AH10000" s="87"/>
    </row>
  </sheetData>
  <mergeCells count="2">
    <mergeCell ref="C1:C2"/>
    <mergeCell ref="D1:D2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FE1D7-BAA8-46F1-8045-B92B2D024713}">
  <sheetPr codeName="Sheet11">
    <tabColor theme="5" tint="-0.249977111117893"/>
    <pageSetUpPr fitToPage="1"/>
  </sheetPr>
  <dimension ref="A1:N5800"/>
  <sheetViews>
    <sheetView zoomScale="40" zoomScaleNormal="40" workbookViewId="0">
      <selection activeCell="R6" sqref="R6"/>
    </sheetView>
  </sheetViews>
  <sheetFormatPr defaultColWidth="6.81640625" defaultRowHeight="14.5" x14ac:dyDescent="0.35"/>
  <cols>
    <col min="1" max="1" width="27" style="106" customWidth="1"/>
    <col min="2" max="2" width="45.1796875" style="106" customWidth="1"/>
    <col min="3" max="3" width="72.1796875" style="106" customWidth="1"/>
    <col min="4" max="4" width="31.81640625" style="106" customWidth="1"/>
    <col min="5" max="5" width="27.1796875" style="106" customWidth="1"/>
    <col min="6" max="6" width="33.81640625" style="106" customWidth="1"/>
    <col min="7" max="8" width="25.54296875" style="106" customWidth="1"/>
    <col min="9" max="9" width="28.453125" style="106" customWidth="1"/>
    <col min="10" max="10" width="32.1796875" style="106" customWidth="1"/>
    <col min="11" max="11" width="30.54296875" style="106" customWidth="1"/>
    <col min="12" max="12" width="22.1796875" style="106" customWidth="1"/>
    <col min="13" max="13" width="22.453125" style="106" customWidth="1"/>
    <col min="14" max="14" width="62.81640625" style="106" customWidth="1"/>
    <col min="15" max="16384" width="6.81640625" style="105"/>
  </cols>
  <sheetData>
    <row r="1" spans="1:14" s="101" customFormat="1" ht="54.65" customHeight="1" thickBot="1" x14ac:dyDescent="0.3">
      <c r="A1" s="180" t="s">
        <v>337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2"/>
    </row>
    <row r="2" spans="1:14" s="101" customFormat="1" ht="54.65" customHeight="1" thickBot="1" x14ac:dyDescent="0.3">
      <c r="A2" s="102" t="s">
        <v>157</v>
      </c>
      <c r="B2" s="102" t="s">
        <v>158</v>
      </c>
      <c r="C2" s="102" t="s">
        <v>108</v>
      </c>
      <c r="D2" s="102" t="s">
        <v>160</v>
      </c>
      <c r="E2" s="102" t="s">
        <v>161</v>
      </c>
      <c r="F2" s="102" t="s">
        <v>162</v>
      </c>
      <c r="G2" s="102" t="s">
        <v>163</v>
      </c>
      <c r="H2" s="102" t="s">
        <v>164</v>
      </c>
      <c r="I2" s="102" t="s">
        <v>166</v>
      </c>
      <c r="J2" s="102" t="s">
        <v>167</v>
      </c>
      <c r="K2" s="102" t="s">
        <v>169</v>
      </c>
      <c r="L2" s="102" t="s">
        <v>170</v>
      </c>
      <c r="M2" s="102" t="s">
        <v>171</v>
      </c>
      <c r="N2" s="102" t="s">
        <v>172</v>
      </c>
    </row>
    <row r="3" spans="1:14" s="101" customFormat="1" ht="45" customHeight="1" thickBot="1" x14ac:dyDescent="0.3">
      <c r="A3" s="107" t="str" cm="1">
        <f t="array" ref="A3:A100">IF(_xlfn._xlws.FILTER('NHẬP LV GK'!$C$3:$C$5000, 'NHẬP LV GK'!$D$3:$D$5000&lt;&gt;"")="", "", _xlfn._xlws.FILTER('NHẬP LV GK'!$C$3:$C$5000, 'NHẬP LV GK'!$D$3:$D$5000&lt;&gt;""))</f>
        <v>S26V01447</v>
      </c>
      <c r="B3" s="107" t="str" cm="1">
        <f t="array" ref="B3:B100">IF(_xlfn._xlws.FILTER('NHẬP LV GK'!$D$3:$D$5000, 'NHẬP LV GK'!$D$3:$D$5000&lt;&gt;"")="", "", _xlfn._xlws.FILTER('NHẬP LV GK'!$D$3:$D$5000, 'NHẬP LV GK'!$D$3:$D$5000&lt;&gt;""))</f>
        <v>PKGK26VE0001447B</v>
      </c>
      <c r="C3" s="107" t="str" cm="1">
        <f t="array" ref="C3:C100">IF(_xlfn._xlws.FILTER('NHẬP LV GK'!$F$3:$F$5000, 'NHẬP LV GK'!$D$3:$D$5000&lt;&gt;"")="", "", _xlfn._xlws.FILTER('NHẬP LV GK'!$F$3:$F$5000, 'NHẬP LV GK'!$D$3:$D$5000&lt;&gt;""))</f>
        <v>120-171742-000@00 White SS</v>
      </c>
      <c r="D3" s="107" t="str" cm="1">
        <f t="array" ref="D3:D100">IF(_xlfn._xlws.FILTER('NHẬP LV GK'!$H$3:$H$5000, 'NHẬP LV GK'!$D$3:$D$5000&lt;&gt;"")="", "", _xlfn._xlws.FILTER('NHẬP LV GK'!$H$3:$H$5000, 'NHẬP LV GK'!$D$3:$D$5000&lt;&gt;""))</f>
        <v>DQ307610</v>
      </c>
      <c r="E3" s="107" cm="1">
        <f t="array" ref="E3:E100">IF(_xlfn._xlws.FILTER('NHẬP LV GK'!$I$3:$I$5000, 'NHẬP LV GK'!$D$3:$D$5000&lt;&gt;"")="", "", _xlfn._xlws.FILTER('NHẬP LV GK'!$I$3:$I$5000, 'NHẬP LV GK'!$D$3:$D$5000&lt;&gt;""))</f>
        <v>10</v>
      </c>
      <c r="F3" s="107" t="str" cm="1">
        <f t="array" ref="F3:F100">IF(_xlfn._xlws.FILTER('NHẬP LV GK'!$J$3:$J$5000, 'NHẬP LV GK'!$D$3:$D$5000&lt;&gt;"")="", "", _xlfn._xlws.FILTER('NHẬP LV GK'!$J$3:$J$5000, 'NHẬP LV GK'!$D$3:$D$5000&lt;&gt;""))</f>
        <v>CP3082900102</v>
      </c>
      <c r="G3" s="107" cm="1">
        <f t="array" ref="G3:G100">IF(_xlfn._xlws.FILTER('NHẬP LV GK'!$K$3:$K$5000, 'NHẬP LV GK'!$D$3:$D$5000&lt;&gt;"")="", "", _xlfn._xlws.FILTER('NHẬP LV GK'!$K$3:$K$5000, 'NHẬP LV GK'!$D$3:$D$5000&lt;&gt;""))</f>
        <v>29</v>
      </c>
      <c r="H3" s="107" cm="1">
        <f t="array" ref="H3:H100">IF(_xlfn._xlws.FILTER('NHẬP LV GK'!$L$3:$L$5000, 'NHẬP LV GK'!$D$3:$D$5000&lt;&gt;"")="", "", _xlfn._xlws.FILTER('NHẬP LV GK'!$L$3:$L$5000, 'NHẬP LV GK'!$D$3:$D$5000&lt;&gt;""))</f>
        <v>80</v>
      </c>
      <c r="I3" s="107" cm="1">
        <f t="array" ref="I3:I100">IF(_xlfn._xlws.FILTER('NHẬP LV GK'!$N$3:$N$5000, 'NHẬP LV GK'!$D$3:$D$5000&lt;&gt;"")="", "", _xlfn._xlws.FILTER('NHẬP LV GK'!$N$3:$N$5000, 'NHẬP LV GK'!$D$3:$D$5000&lt;&gt;""))</f>
        <v>74</v>
      </c>
      <c r="J3" s="107" cm="1">
        <f t="array" ref="J3:J100">IF(_xlfn._xlws.FILTER('NHẬP LV GK'!$O$3:$O$5000, 'NHẬP LV GK'!$D$3:$D$5000&lt;&gt;"")="", "", _xlfn._xlws.FILTER('NHẬP LV GK'!$O$3:$O$5000, 'NHẬP LV GK'!$D$3:$D$5000&lt;&gt;""))</f>
        <v>72</v>
      </c>
      <c r="K3" s="107" t="str" cm="1">
        <f t="array" ref="K3:K100">IF(_xlfn._xlws.FILTER('NHẬP LV GK'!$Q$3:$Q$5000, 'NHẬP LV GK'!$D$3:$D$5000&lt;&gt;"")="", "", _xlfn._xlws.FILTER('NHẬP LV GK'!$Q$3:$Q$5000, 'NHẬP LV GK'!$D$3:$D$5000&lt;&gt;""))</f>
        <v>Wrong Width</v>
      </c>
      <c r="L3" s="107" cm="1">
        <f t="array" ref="L3:L100">IF(_xlfn._xlws.FILTER('NHẬP LV GK'!$R$3:$R$5000, 'NHẬP LV GK'!$D$3:$D$5000&lt;&gt;"")="", "", _xlfn._xlws.FILTER('NHẬP LV GK'!$R$3:$R$5000, 'NHẬP LV GK'!$D$3:$D$5000&lt;&gt;""))</f>
        <v>2</v>
      </c>
      <c r="M3" s="108" t="str" cm="1">
        <f t="array" ref="M3:M100">IF(_xlfn._xlws.FILTER('NHẬP LV GK'!$S$3:$S$5000, 'NHẬP LV GK'!$D$3:$D$5000&lt;&gt;"" )="", "", _xlfn._xlws.FILTER('NHẬP LV GK'!$S$3:$S$5000, 'NHẬP LV GK'!$D$3:$D$5000&lt;&gt;""))</f>
        <v/>
      </c>
      <c r="N3" s="107" t="str" cm="1">
        <f t="array" ref="N3:N100">IF(_xlfn._xlws.FILTER('NHẬP LV GK'!$T$3:$T$5000, 'NHẬP LV GK'!$D$3:$D$5000&lt;&gt;"")="", "", _xlfn._xlws.FILTER('NHẬP LV GK'!$T$3:$T$5000, 'NHẬP LV GK'!$D$3:$D$5000&lt;&gt;""))</f>
        <v/>
      </c>
    </row>
    <row r="4" spans="1:14" s="101" customFormat="1" ht="45" customHeight="1" thickBot="1" x14ac:dyDescent="0.3">
      <c r="A4" s="103" t="str">
        <v>S26V01447</v>
      </c>
      <c r="B4" s="103" t="str">
        <v>PKGK26VE0001447B</v>
      </c>
      <c r="C4" s="103" t="str">
        <v>120-171742-000@00 White SS</v>
      </c>
      <c r="D4" s="103" t="str">
        <v>DQ307610</v>
      </c>
      <c r="E4" s="103">
        <v>10</v>
      </c>
      <c r="F4" s="103" t="str">
        <v>CP3082900202</v>
      </c>
      <c r="G4" s="103">
        <v>28.9</v>
      </c>
      <c r="H4" s="103">
        <v>80</v>
      </c>
      <c r="I4" s="103">
        <v>74</v>
      </c>
      <c r="J4" s="103">
        <v>72</v>
      </c>
      <c r="K4" s="103" t="str">
        <v>Wrong Width</v>
      </c>
      <c r="L4" s="103">
        <v>2</v>
      </c>
      <c r="M4" s="104" t="str">
        <v/>
      </c>
      <c r="N4" s="103" t="str">
        <v/>
      </c>
    </row>
    <row r="5" spans="1:14" s="101" customFormat="1" ht="45" customHeight="1" thickBot="1" x14ac:dyDescent="0.3">
      <c r="A5" s="103" t="str">
        <v>S26V01447</v>
      </c>
      <c r="B5" s="103" t="str">
        <v>PKGK26VE0001447B</v>
      </c>
      <c r="C5" s="103" t="str">
        <v>120-171742-000@00 White SS</v>
      </c>
      <c r="D5" s="103" t="str">
        <v>DQ307610</v>
      </c>
      <c r="E5" s="103">
        <v>10</v>
      </c>
      <c r="F5" s="103" t="str">
        <v>CP3082900302</v>
      </c>
      <c r="G5" s="103">
        <v>28.6</v>
      </c>
      <c r="H5" s="103">
        <v>79</v>
      </c>
      <c r="I5" s="103">
        <v>74</v>
      </c>
      <c r="J5" s="103">
        <v>71</v>
      </c>
      <c r="K5" s="103" t="str">
        <v>Wrong Width</v>
      </c>
      <c r="L5" s="103">
        <v>3</v>
      </c>
      <c r="M5" s="104" t="str">
        <v/>
      </c>
      <c r="N5" s="103" t="str">
        <v/>
      </c>
    </row>
    <row r="6" spans="1:14" s="101" customFormat="1" ht="45" customHeight="1" thickBot="1" x14ac:dyDescent="0.3">
      <c r="A6" s="103" t="str">
        <v>S26V01447</v>
      </c>
      <c r="B6" s="103" t="str">
        <v>PKGK26VE0001447B</v>
      </c>
      <c r="C6" s="103" t="str">
        <v>120-171742-000@00 White SS</v>
      </c>
      <c r="D6" s="103" t="str">
        <v>DQ307610</v>
      </c>
      <c r="E6" s="103">
        <v>10</v>
      </c>
      <c r="F6" s="103" t="str">
        <v>CP3082903001</v>
      </c>
      <c r="G6" s="103">
        <v>29.3</v>
      </c>
      <c r="H6" s="103">
        <v>81</v>
      </c>
      <c r="I6" s="103">
        <v>74</v>
      </c>
      <c r="J6" s="103">
        <v>72</v>
      </c>
      <c r="K6" s="103" t="str">
        <v>Wrong Width</v>
      </c>
      <c r="L6" s="103">
        <v>2</v>
      </c>
      <c r="M6" s="104" t="str">
        <v/>
      </c>
      <c r="N6" s="103" t="str">
        <v/>
      </c>
    </row>
    <row r="7" spans="1:14" s="101" customFormat="1" ht="45" customHeight="1" thickBot="1" x14ac:dyDescent="0.3">
      <c r="A7" s="103" t="str">
        <v>S26V01447</v>
      </c>
      <c r="B7" s="103" t="str">
        <v>PKGK26VE0001447B</v>
      </c>
      <c r="C7" s="103" t="str">
        <v>120-171742-000@00 White SS</v>
      </c>
      <c r="D7" s="103" t="str">
        <v>DQ307610</v>
      </c>
      <c r="E7" s="103">
        <v>10</v>
      </c>
      <c r="F7" s="103" t="str">
        <v>CP3082903101</v>
      </c>
      <c r="G7" s="103">
        <v>18.2</v>
      </c>
      <c r="H7" s="103">
        <v>50</v>
      </c>
      <c r="I7" s="103">
        <v>74</v>
      </c>
      <c r="J7" s="103">
        <v>72</v>
      </c>
      <c r="K7" s="103" t="str">
        <v>Wrong Width</v>
      </c>
      <c r="L7" s="103">
        <v>2</v>
      </c>
      <c r="M7" s="104" t="str">
        <v/>
      </c>
      <c r="N7" s="103" t="str">
        <v/>
      </c>
    </row>
    <row r="8" spans="1:14" s="101" customFormat="1" ht="45" customHeight="1" thickBot="1" x14ac:dyDescent="0.3">
      <c r="A8" s="103" t="str">
        <v>S26V01447</v>
      </c>
      <c r="B8" s="103" t="str">
        <v>PKGK26VE0001447B</v>
      </c>
      <c r="C8" s="103" t="str">
        <v>120-171742-000@00 White SS</v>
      </c>
      <c r="D8" s="103" t="str">
        <v>DQ307610</v>
      </c>
      <c r="E8" s="103">
        <v>10</v>
      </c>
      <c r="F8" s="103" t="str">
        <v>CP3082903102</v>
      </c>
      <c r="G8" s="103">
        <v>28.4</v>
      </c>
      <c r="H8" s="103">
        <v>78.5</v>
      </c>
      <c r="I8" s="103">
        <v>74</v>
      </c>
      <c r="J8" s="103">
        <v>72</v>
      </c>
      <c r="K8" s="103" t="str">
        <v>Wrong Width</v>
      </c>
      <c r="L8" s="103">
        <v>2</v>
      </c>
      <c r="M8" s="104" t="str">
        <v/>
      </c>
      <c r="N8" s="103" t="str">
        <v/>
      </c>
    </row>
    <row r="9" spans="1:14" s="101" customFormat="1" ht="45" customHeight="1" thickBot="1" x14ac:dyDescent="0.3">
      <c r="A9" s="103" t="str">
        <v>S26V01447</v>
      </c>
      <c r="B9" s="103" t="str">
        <v>PKGK26VE0001447B</v>
      </c>
      <c r="C9" s="103" t="str">
        <v>120-171742-000@00 White SS</v>
      </c>
      <c r="D9" s="103" t="str">
        <v>DQ30759A</v>
      </c>
      <c r="E9" s="103">
        <v>10</v>
      </c>
      <c r="F9" s="103" t="str">
        <v>CP3083000204</v>
      </c>
      <c r="G9" s="103">
        <v>29.2</v>
      </c>
      <c r="H9" s="103">
        <v>80</v>
      </c>
      <c r="I9" s="103">
        <v>74</v>
      </c>
      <c r="J9" s="103">
        <v>72</v>
      </c>
      <c r="K9" s="103" t="str">
        <v>Wrong Width</v>
      </c>
      <c r="L9" s="103">
        <v>2</v>
      </c>
      <c r="M9" s="104" t="str">
        <v/>
      </c>
      <c r="N9" s="103" t="str">
        <v>Avoid cutting</v>
      </c>
    </row>
    <row r="10" spans="1:14" s="101" customFormat="1" ht="45" customHeight="1" thickBot="1" x14ac:dyDescent="0.3">
      <c r="A10" s="103" t="str">
        <v>S26V01447</v>
      </c>
      <c r="B10" s="103" t="str">
        <v>PKGK26VE0001447B</v>
      </c>
      <c r="C10" s="103" t="str">
        <v>120-171742-000@00 White SS</v>
      </c>
      <c r="D10" s="103" t="str">
        <v>DQ307570</v>
      </c>
      <c r="E10" s="103">
        <v>10</v>
      </c>
      <c r="F10" s="103" t="str">
        <v>CP3083000502</v>
      </c>
      <c r="G10" s="103">
        <v>29.2</v>
      </c>
      <c r="H10" s="103">
        <v>77.5</v>
      </c>
      <c r="I10" s="103">
        <v>74</v>
      </c>
      <c r="J10" s="103">
        <v>73</v>
      </c>
      <c r="K10" s="103" t="str">
        <v>Wrong Width</v>
      </c>
      <c r="L10" s="103">
        <v>1</v>
      </c>
      <c r="M10" s="104" t="str">
        <v/>
      </c>
      <c r="N10" s="103" t="str">
        <v>Avoid cutting</v>
      </c>
    </row>
    <row r="11" spans="1:14" s="101" customFormat="1" ht="45" customHeight="1" thickBot="1" x14ac:dyDescent="0.3">
      <c r="A11" s="103" t="str">
        <v>S26V01447</v>
      </c>
      <c r="B11" s="103" t="str">
        <v>PKGK26VE0001447B</v>
      </c>
      <c r="C11" s="103" t="str">
        <v>120-171742-000@00 White SS</v>
      </c>
      <c r="D11" s="103" t="str">
        <v>DQ30759A</v>
      </c>
      <c r="E11" s="103">
        <v>10</v>
      </c>
      <c r="F11" s="103" t="str">
        <v>CP3083001502</v>
      </c>
      <c r="G11" s="103">
        <v>27.5</v>
      </c>
      <c r="H11" s="103">
        <v>75.5</v>
      </c>
      <c r="I11" s="103">
        <v>74</v>
      </c>
      <c r="J11" s="103">
        <v>72</v>
      </c>
      <c r="K11" s="103" t="str">
        <v>Wrong Width</v>
      </c>
      <c r="L11" s="103">
        <v>2</v>
      </c>
      <c r="M11" s="104" t="str">
        <v/>
      </c>
      <c r="N11" s="103" t="str">
        <v>Avoid cutting</v>
      </c>
    </row>
    <row r="12" spans="1:14" s="101" customFormat="1" ht="45" customHeight="1" thickBot="1" x14ac:dyDescent="0.3">
      <c r="A12" s="103" t="str">
        <v>S26V01447</v>
      </c>
      <c r="B12" s="103" t="str">
        <v>PKGK26VE0001447B</v>
      </c>
      <c r="C12" s="103" t="str">
        <v>120-171742-000@00 White SS</v>
      </c>
      <c r="D12" s="103" t="str">
        <v>DQ307570</v>
      </c>
      <c r="E12" s="103">
        <v>10</v>
      </c>
      <c r="F12" s="103" t="str">
        <v>CP3083002702</v>
      </c>
      <c r="G12" s="103">
        <v>27.7</v>
      </c>
      <c r="H12" s="103">
        <v>73.5</v>
      </c>
      <c r="I12" s="103">
        <v>74</v>
      </c>
      <c r="J12" s="103">
        <v>73</v>
      </c>
      <c r="K12" s="103" t="str">
        <v>Wrong Width</v>
      </c>
      <c r="L12" s="103">
        <v>1</v>
      </c>
      <c r="M12" s="104" t="str">
        <v/>
      </c>
      <c r="N12" s="103" t="str">
        <v>Avoid cutting</v>
      </c>
    </row>
    <row r="13" spans="1:14" s="101" customFormat="1" ht="45" customHeight="1" thickBot="1" x14ac:dyDescent="0.3">
      <c r="A13" s="103" t="str">
        <v>S26V01447</v>
      </c>
      <c r="B13" s="103" t="str">
        <v>PKGK26VE0001447B</v>
      </c>
      <c r="C13" s="103" t="str">
        <v>120-171742-000@00 White SS</v>
      </c>
      <c r="D13" s="103" t="str">
        <v>DQ30759A</v>
      </c>
      <c r="E13" s="103">
        <v>10</v>
      </c>
      <c r="F13" s="103" t="str">
        <v>CP3083002704</v>
      </c>
      <c r="G13" s="103">
        <v>28.2</v>
      </c>
      <c r="H13" s="103">
        <v>77</v>
      </c>
      <c r="I13" s="103">
        <v>74</v>
      </c>
      <c r="J13" s="103">
        <v>72</v>
      </c>
      <c r="K13" s="103" t="str">
        <v>Wrong Width</v>
      </c>
      <c r="L13" s="103">
        <v>2</v>
      </c>
      <c r="M13" s="104" t="str">
        <v/>
      </c>
      <c r="N13" s="103" t="str">
        <v>Avoid cutting</v>
      </c>
    </row>
    <row r="14" spans="1:14" s="101" customFormat="1" ht="45" customHeight="1" thickBot="1" x14ac:dyDescent="0.3">
      <c r="A14" s="103" t="str">
        <v>S26V01447</v>
      </c>
      <c r="B14" s="103" t="str">
        <v>PKGK26VE0001447B</v>
      </c>
      <c r="C14" s="103" t="str">
        <v>120-171742-000@00 White SS</v>
      </c>
      <c r="D14" s="103" t="str">
        <v>DQ30759A</v>
      </c>
      <c r="E14" s="103">
        <v>10</v>
      </c>
      <c r="F14" s="103" t="str">
        <v>CP3083003001</v>
      </c>
      <c r="G14" s="103">
        <v>28.2</v>
      </c>
      <c r="H14" s="103">
        <v>77</v>
      </c>
      <c r="I14" s="103">
        <v>74</v>
      </c>
      <c r="J14" s="103">
        <v>72</v>
      </c>
      <c r="K14" s="103" t="str">
        <v>Wrong Width</v>
      </c>
      <c r="L14" s="103">
        <v>2</v>
      </c>
      <c r="M14" s="104" t="str">
        <v/>
      </c>
      <c r="N14" s="103" t="str">
        <v>Avoid cutting</v>
      </c>
    </row>
    <row r="15" spans="1:14" s="101" customFormat="1" ht="45" customHeight="1" thickBot="1" x14ac:dyDescent="0.3">
      <c r="A15" s="103" t="str">
        <v>S26V01447</v>
      </c>
      <c r="B15" s="103" t="str">
        <v>PKGK26VE0001447B</v>
      </c>
      <c r="C15" s="103" t="str">
        <v>120-171742-000@00 White SS</v>
      </c>
      <c r="D15" s="103" t="str">
        <v>DQ30759A</v>
      </c>
      <c r="E15" s="103">
        <v>10</v>
      </c>
      <c r="F15" s="103" t="str">
        <v>CP3083005301</v>
      </c>
      <c r="G15" s="103">
        <v>26.3</v>
      </c>
      <c r="H15" s="103">
        <v>72</v>
      </c>
      <c r="I15" s="103">
        <v>74</v>
      </c>
      <c r="J15" s="103">
        <v>72</v>
      </c>
      <c r="K15" s="103" t="str">
        <v>Wrong Width</v>
      </c>
      <c r="L15" s="103">
        <v>2</v>
      </c>
      <c r="M15" s="104" t="str">
        <v/>
      </c>
      <c r="N15" s="103" t="str">
        <v>Avoid cutting</v>
      </c>
    </row>
    <row r="16" spans="1:14" s="101" customFormat="1" ht="45" customHeight="1" thickBot="1" x14ac:dyDescent="0.3">
      <c r="A16" s="103" t="str">
        <v>S26V01447</v>
      </c>
      <c r="B16" s="103" t="str">
        <v>PKGK26VE0001447B</v>
      </c>
      <c r="C16" s="103" t="str">
        <v>120-171742-000@00 White SS</v>
      </c>
      <c r="D16" s="103" t="str">
        <v>DQ30759A</v>
      </c>
      <c r="E16" s="103">
        <v>10</v>
      </c>
      <c r="F16" s="103" t="str">
        <v>CP3083005401</v>
      </c>
      <c r="G16" s="103">
        <v>28.2</v>
      </c>
      <c r="H16" s="103">
        <v>77</v>
      </c>
      <c r="I16" s="103">
        <v>74</v>
      </c>
      <c r="J16" s="103">
        <v>72</v>
      </c>
      <c r="K16" s="103" t="str">
        <v>Wrong Width</v>
      </c>
      <c r="L16" s="103">
        <v>2</v>
      </c>
      <c r="M16" s="104" t="str">
        <v/>
      </c>
      <c r="N16" s="103" t="str">
        <v>Avoid cutting</v>
      </c>
    </row>
    <row r="17" spans="1:14" s="101" customFormat="1" ht="45" customHeight="1" thickBot="1" x14ac:dyDescent="0.3">
      <c r="A17" s="103" t="str">
        <v>S26V01447</v>
      </c>
      <c r="B17" s="103" t="str">
        <v>PKGK26VE0001447B</v>
      </c>
      <c r="C17" s="103" t="str">
        <v>120-171742-000@00 White SS</v>
      </c>
      <c r="D17" s="103" t="str">
        <v>DQ30759A</v>
      </c>
      <c r="E17" s="103">
        <v>10</v>
      </c>
      <c r="F17" s="103" t="str">
        <v>CP3083005501</v>
      </c>
      <c r="G17" s="103">
        <v>26</v>
      </c>
      <c r="H17" s="103">
        <v>71</v>
      </c>
      <c r="I17" s="103">
        <v>74</v>
      </c>
      <c r="J17" s="103">
        <v>72</v>
      </c>
      <c r="K17" s="103" t="str">
        <v>Wrong Width</v>
      </c>
      <c r="L17" s="103">
        <v>2</v>
      </c>
      <c r="M17" s="104" t="str">
        <v/>
      </c>
      <c r="N17" s="103" t="str">
        <v>Avoid cutting</v>
      </c>
    </row>
    <row r="18" spans="1:14" s="101" customFormat="1" ht="45" customHeight="1" thickBot="1" x14ac:dyDescent="0.3">
      <c r="A18" s="103" t="str">
        <v>S26V01447</v>
      </c>
      <c r="B18" s="103" t="str">
        <v>PKGK26VE0001447B</v>
      </c>
      <c r="C18" s="103" t="str">
        <v>120-171742-000@00 White SS</v>
      </c>
      <c r="D18" s="103" t="str">
        <v>DQ30759A</v>
      </c>
      <c r="E18" s="103">
        <v>10</v>
      </c>
      <c r="F18" s="103" t="str">
        <v>CP3083005601</v>
      </c>
      <c r="G18" s="103">
        <v>29.1</v>
      </c>
      <c r="H18" s="103">
        <v>79.5</v>
      </c>
      <c r="I18" s="103">
        <v>74</v>
      </c>
      <c r="J18" s="103">
        <v>72</v>
      </c>
      <c r="K18" s="103" t="str">
        <v>Wrong Width</v>
      </c>
      <c r="L18" s="103">
        <v>2</v>
      </c>
      <c r="M18" s="104" t="str">
        <v/>
      </c>
      <c r="N18" s="103" t="str">
        <v>Avoid cutting</v>
      </c>
    </row>
    <row r="19" spans="1:14" s="101" customFormat="1" ht="45" customHeight="1" thickBot="1" x14ac:dyDescent="0.3">
      <c r="A19" s="103" t="str">
        <v>S26V01447</v>
      </c>
      <c r="B19" s="103" t="str">
        <v>PKGK26VE0001447B</v>
      </c>
      <c r="C19" s="103" t="str">
        <v>120-171742-000@00 White SS</v>
      </c>
      <c r="D19" s="103" t="str">
        <v>DQ30759A</v>
      </c>
      <c r="E19" s="103">
        <v>10</v>
      </c>
      <c r="F19" s="103" t="str">
        <v>CP3083005801</v>
      </c>
      <c r="G19" s="103">
        <v>28.5</v>
      </c>
      <c r="H19" s="103">
        <v>78</v>
      </c>
      <c r="I19" s="103">
        <v>74</v>
      </c>
      <c r="J19" s="103">
        <v>72</v>
      </c>
      <c r="K19" s="103" t="str">
        <v>Wrong Width</v>
      </c>
      <c r="L19" s="103">
        <v>2</v>
      </c>
      <c r="M19" s="104" t="str">
        <v/>
      </c>
      <c r="N19" s="103" t="str">
        <v>Avoid cutting</v>
      </c>
    </row>
    <row r="20" spans="1:14" s="101" customFormat="1" ht="45" customHeight="1" thickBot="1" x14ac:dyDescent="0.3">
      <c r="A20" s="103" t="str">
        <v>S26V01447</v>
      </c>
      <c r="B20" s="103" t="str">
        <v>PKGK26VE0001447B</v>
      </c>
      <c r="C20" s="103" t="str">
        <v>120-171742-000@00 White SS</v>
      </c>
      <c r="D20" s="103" t="str">
        <v>DQ30759A</v>
      </c>
      <c r="E20" s="103">
        <v>10</v>
      </c>
      <c r="F20" s="103" t="str">
        <v>CP3083005901</v>
      </c>
      <c r="G20" s="103">
        <v>28.1</v>
      </c>
      <c r="H20" s="103">
        <v>77</v>
      </c>
      <c r="I20" s="103">
        <v>74</v>
      </c>
      <c r="J20" s="103">
        <v>72</v>
      </c>
      <c r="K20" s="103" t="str">
        <v>Wrong Width</v>
      </c>
      <c r="L20" s="103">
        <v>2</v>
      </c>
      <c r="M20" s="104" t="str">
        <v/>
      </c>
      <c r="N20" s="103" t="str">
        <v>Avoid cutting</v>
      </c>
    </row>
    <row r="21" spans="1:14" s="101" customFormat="1" ht="45" customHeight="1" thickBot="1" x14ac:dyDescent="0.3">
      <c r="A21" s="103" t="str">
        <v>S26V01447</v>
      </c>
      <c r="B21" s="103" t="str">
        <v>PKGK26VE0001447B</v>
      </c>
      <c r="C21" s="103" t="str">
        <v>120-171742-000@00 White SS</v>
      </c>
      <c r="D21" s="103" t="str">
        <v>DQ30759A</v>
      </c>
      <c r="E21" s="103">
        <v>10</v>
      </c>
      <c r="F21" s="103" t="str">
        <v>CP3083006001</v>
      </c>
      <c r="G21" s="103">
        <v>29</v>
      </c>
      <c r="H21" s="103">
        <v>79.5</v>
      </c>
      <c r="I21" s="103">
        <v>74</v>
      </c>
      <c r="J21" s="103">
        <v>72</v>
      </c>
      <c r="K21" s="103" t="str">
        <v>Wrong Width</v>
      </c>
      <c r="L21" s="103">
        <v>2</v>
      </c>
      <c r="M21" s="104" t="str">
        <v/>
      </c>
      <c r="N21" s="103" t="str">
        <v>Avoid cutting</v>
      </c>
    </row>
    <row r="22" spans="1:14" s="101" customFormat="1" ht="45" customHeight="1" thickBot="1" x14ac:dyDescent="0.3">
      <c r="A22" s="103" t="str">
        <v>S26V01447</v>
      </c>
      <c r="B22" s="103" t="str">
        <v>PKGK26VE0001447B</v>
      </c>
      <c r="C22" s="103" t="str">
        <v>120-171742-000@00 White SS</v>
      </c>
      <c r="D22" s="103" t="str">
        <v>DQ30759A</v>
      </c>
      <c r="E22" s="103">
        <v>10</v>
      </c>
      <c r="F22" s="103" t="str">
        <v>CP3083006101</v>
      </c>
      <c r="G22" s="103">
        <v>29</v>
      </c>
      <c r="H22" s="103">
        <v>79.5</v>
      </c>
      <c r="I22" s="103">
        <v>74</v>
      </c>
      <c r="J22" s="103">
        <v>72</v>
      </c>
      <c r="K22" s="103" t="str">
        <v>Wrong Width</v>
      </c>
      <c r="L22" s="103">
        <v>2</v>
      </c>
      <c r="M22" s="104" t="str">
        <v/>
      </c>
      <c r="N22" s="103" t="str">
        <v>Avoid cutting</v>
      </c>
    </row>
    <row r="23" spans="1:14" s="101" customFormat="1" ht="45" customHeight="1" thickBot="1" x14ac:dyDescent="0.3">
      <c r="A23" s="103" t="str">
        <v>S26V01447</v>
      </c>
      <c r="B23" s="103" t="str">
        <v>PKGK26VE0001447B</v>
      </c>
      <c r="C23" s="103" t="str">
        <v>120-171742-000@00 White SS</v>
      </c>
      <c r="D23" s="103" t="str">
        <v>DQ30759A</v>
      </c>
      <c r="E23" s="103">
        <v>10</v>
      </c>
      <c r="F23" s="103" t="str">
        <v>CP3083006301</v>
      </c>
      <c r="G23" s="103">
        <v>28.2</v>
      </c>
      <c r="H23" s="103">
        <v>77</v>
      </c>
      <c r="I23" s="103">
        <v>74</v>
      </c>
      <c r="J23" s="103">
        <v>72</v>
      </c>
      <c r="K23" s="103" t="str">
        <v>Wrong Width</v>
      </c>
      <c r="L23" s="103">
        <v>2</v>
      </c>
      <c r="M23" s="104" t="str">
        <v/>
      </c>
      <c r="N23" s="103" t="str">
        <v>Avoid cutting</v>
      </c>
    </row>
    <row r="24" spans="1:14" s="101" customFormat="1" ht="45" customHeight="1" thickBot="1" x14ac:dyDescent="0.3">
      <c r="A24" s="103" t="str">
        <v>S26V01447</v>
      </c>
      <c r="B24" s="103" t="str">
        <v>PKGK26VE0001447B</v>
      </c>
      <c r="C24" s="103" t="str">
        <v>120-171742-000@00 White SS</v>
      </c>
      <c r="D24" s="103" t="str">
        <v>DQ30759A</v>
      </c>
      <c r="E24" s="103">
        <v>10</v>
      </c>
      <c r="F24" s="103" t="str">
        <v>CP3083006401</v>
      </c>
      <c r="G24" s="103">
        <v>24.4</v>
      </c>
      <c r="H24" s="103">
        <v>67</v>
      </c>
      <c r="I24" s="103">
        <v>74</v>
      </c>
      <c r="J24" s="103">
        <v>72</v>
      </c>
      <c r="K24" s="103" t="str">
        <v>Wrong Width</v>
      </c>
      <c r="L24" s="103">
        <v>2</v>
      </c>
      <c r="M24" s="104" t="str">
        <v/>
      </c>
      <c r="N24" s="103" t="str">
        <v>Avoid cutting</v>
      </c>
    </row>
    <row r="25" spans="1:14" s="101" customFormat="1" ht="45" customHeight="1" thickBot="1" x14ac:dyDescent="0.3">
      <c r="A25" s="103" t="str">
        <v>S26V01447</v>
      </c>
      <c r="B25" s="103" t="str">
        <v>PKGK26VE0001447B</v>
      </c>
      <c r="C25" s="103" t="str">
        <v>120-171742-000@00 White SS</v>
      </c>
      <c r="D25" s="103" t="str">
        <v>DQ30759A</v>
      </c>
      <c r="E25" s="103">
        <v>10</v>
      </c>
      <c r="F25" s="103" t="str">
        <v>CP3083006501</v>
      </c>
      <c r="G25" s="103">
        <v>28.2</v>
      </c>
      <c r="H25" s="103">
        <v>77</v>
      </c>
      <c r="I25" s="103">
        <v>74</v>
      </c>
      <c r="J25" s="103">
        <v>72</v>
      </c>
      <c r="K25" s="103" t="str">
        <v>Wrong Width</v>
      </c>
      <c r="L25" s="103">
        <v>2</v>
      </c>
      <c r="M25" s="104" t="str">
        <v/>
      </c>
      <c r="N25" s="103" t="str">
        <v>Avoid cutting</v>
      </c>
    </row>
    <row r="26" spans="1:14" s="101" customFormat="1" ht="45" customHeight="1" thickBot="1" x14ac:dyDescent="0.3">
      <c r="A26" s="103" t="str">
        <v>S26V01447</v>
      </c>
      <c r="B26" s="103" t="str">
        <v>PKGK26VE0001447B</v>
      </c>
      <c r="C26" s="103" t="str">
        <v>120-171742-000@00 White SS</v>
      </c>
      <c r="D26" s="103" t="str">
        <v>DQ30759A</v>
      </c>
      <c r="E26" s="103">
        <v>10</v>
      </c>
      <c r="F26" s="103" t="str">
        <v>CP3083006601</v>
      </c>
      <c r="G26" s="103">
        <v>35.1</v>
      </c>
      <c r="H26" s="103">
        <v>96</v>
      </c>
      <c r="I26" s="103">
        <v>74</v>
      </c>
      <c r="J26" s="103">
        <v>72</v>
      </c>
      <c r="K26" s="103" t="str">
        <v>Wrong Width</v>
      </c>
      <c r="L26" s="103">
        <v>2</v>
      </c>
      <c r="M26" s="104" t="str">
        <v/>
      </c>
      <c r="N26" s="103" t="str">
        <v>Avoid cutting</v>
      </c>
    </row>
    <row r="27" spans="1:14" s="101" customFormat="1" ht="45" customHeight="1" thickBot="1" x14ac:dyDescent="0.3">
      <c r="A27" s="103" t="str">
        <v>S26V01447</v>
      </c>
      <c r="B27" s="103" t="str">
        <v>PKGK26VE0001447B</v>
      </c>
      <c r="C27" s="103" t="str">
        <v>120-171742-000@00 White SS</v>
      </c>
      <c r="D27" s="103" t="str">
        <v>DQ30759A</v>
      </c>
      <c r="E27" s="103">
        <v>10</v>
      </c>
      <c r="F27" s="103" t="str">
        <v>CP3083006701</v>
      </c>
      <c r="G27" s="103">
        <v>34.299999999999997</v>
      </c>
      <c r="H27" s="103">
        <v>94</v>
      </c>
      <c r="I27" s="103">
        <v>74</v>
      </c>
      <c r="J27" s="103">
        <v>72</v>
      </c>
      <c r="K27" s="103" t="str">
        <v>Wrong Width</v>
      </c>
      <c r="L27" s="103">
        <v>2</v>
      </c>
      <c r="M27" s="104" t="str">
        <v/>
      </c>
      <c r="N27" s="103" t="str">
        <v>Avoid cutting</v>
      </c>
    </row>
    <row r="28" spans="1:14" s="101" customFormat="1" ht="45" customHeight="1" thickBot="1" x14ac:dyDescent="0.3">
      <c r="A28" s="103" t="str">
        <v>S26V01447</v>
      </c>
      <c r="B28" s="103" t="str">
        <v>PKGK26VE0001447B</v>
      </c>
      <c r="C28" s="103" t="str">
        <v>120-171742-000@00 White SS</v>
      </c>
      <c r="D28" s="103" t="str">
        <v>DQ30759A</v>
      </c>
      <c r="E28" s="103">
        <v>10</v>
      </c>
      <c r="F28" s="103" t="str">
        <v>CP3083006801</v>
      </c>
      <c r="G28" s="103">
        <v>28.2</v>
      </c>
      <c r="H28" s="103">
        <v>77</v>
      </c>
      <c r="I28" s="103">
        <v>74</v>
      </c>
      <c r="J28" s="103">
        <v>72</v>
      </c>
      <c r="K28" s="103" t="str">
        <v>Wrong Width</v>
      </c>
      <c r="L28" s="103">
        <v>2</v>
      </c>
      <c r="M28" s="104" t="str">
        <v/>
      </c>
      <c r="N28" s="103" t="str">
        <v>Avoid cutting</v>
      </c>
    </row>
    <row r="29" spans="1:14" s="101" customFormat="1" ht="45" customHeight="1" thickBot="1" x14ac:dyDescent="0.3">
      <c r="A29" s="103" t="str">
        <v>S26V01447</v>
      </c>
      <c r="B29" s="103" t="str">
        <v>PKGK26VE0001447B</v>
      </c>
      <c r="C29" s="103" t="str">
        <v>120-171742-000@00 White SS</v>
      </c>
      <c r="D29" s="103" t="str">
        <v>DQ30759A</v>
      </c>
      <c r="E29" s="103">
        <v>10</v>
      </c>
      <c r="F29" s="103" t="str">
        <v>CP3083006901</v>
      </c>
      <c r="G29" s="103">
        <v>27.8</v>
      </c>
      <c r="H29" s="103">
        <v>76</v>
      </c>
      <c r="I29" s="103">
        <v>74</v>
      </c>
      <c r="J29" s="103">
        <v>72</v>
      </c>
      <c r="K29" s="103" t="str">
        <v>Wrong Width</v>
      </c>
      <c r="L29" s="103">
        <v>2</v>
      </c>
      <c r="M29" s="104" t="str">
        <v/>
      </c>
      <c r="N29" s="103" t="str">
        <v>Avoid cutting</v>
      </c>
    </row>
    <row r="30" spans="1:14" s="101" customFormat="1" ht="45" customHeight="1" thickBot="1" x14ac:dyDescent="0.3">
      <c r="A30" s="103" t="str">
        <v>S26V01447</v>
      </c>
      <c r="B30" s="103" t="str">
        <v>PKGK26VE0001447B</v>
      </c>
      <c r="C30" s="103" t="str">
        <v>120-171647-056@Green</v>
      </c>
      <c r="D30" s="103" t="str">
        <v>DQ307510</v>
      </c>
      <c r="E30" s="103">
        <v>10</v>
      </c>
      <c r="F30" s="103" t="str">
        <v>CP3083101601</v>
      </c>
      <c r="G30" s="103">
        <v>28.6</v>
      </c>
      <c r="H30" s="103">
        <v>85.5</v>
      </c>
      <c r="I30" s="103">
        <v>67</v>
      </c>
      <c r="J30" s="103">
        <v>66</v>
      </c>
      <c r="K30" s="103" t="str">
        <v>Wrong Width</v>
      </c>
      <c r="L30" s="103">
        <v>1</v>
      </c>
      <c r="M30" s="104" t="str">
        <v/>
      </c>
      <c r="N30" s="103" t="str">
        <v>Avoid cutting</v>
      </c>
    </row>
    <row r="31" spans="1:14" s="101" customFormat="1" ht="45" customHeight="1" thickBot="1" x14ac:dyDescent="0.3">
      <c r="A31" s="103" t="str">
        <v>S26V01447</v>
      </c>
      <c r="B31" s="103" t="str">
        <v>PKGK26VE0001447B</v>
      </c>
      <c r="C31" s="103" t="str">
        <v>120-171647-056@Green</v>
      </c>
      <c r="D31" s="103" t="str">
        <v>DQ307510</v>
      </c>
      <c r="E31" s="103">
        <v>10</v>
      </c>
      <c r="F31" s="103" t="str">
        <v>CP3083101901</v>
      </c>
      <c r="G31" s="103">
        <v>21.74</v>
      </c>
      <c r="H31" s="103">
        <v>65</v>
      </c>
      <c r="I31" s="103">
        <v>67</v>
      </c>
      <c r="J31" s="103">
        <v>66</v>
      </c>
      <c r="K31" s="103" t="str">
        <v>Wrong Width</v>
      </c>
      <c r="L31" s="103">
        <v>1</v>
      </c>
      <c r="M31" s="104" t="str">
        <v/>
      </c>
      <c r="N31" s="103" t="str">
        <v>Avoid cutting</v>
      </c>
    </row>
    <row r="32" spans="1:14" s="101" customFormat="1" ht="45" customHeight="1" thickBot="1" x14ac:dyDescent="0.3">
      <c r="A32" s="103" t="str">
        <v>S26V01447</v>
      </c>
      <c r="B32" s="103" t="str">
        <v>PKGK26VE0001447B</v>
      </c>
      <c r="C32" s="103" t="str">
        <v>120-171647-043@43 Black SS</v>
      </c>
      <c r="D32" s="103" t="str">
        <v>DQ307550</v>
      </c>
      <c r="E32" s="103">
        <v>30</v>
      </c>
      <c r="F32" s="103" t="str">
        <v>CP3083102901</v>
      </c>
      <c r="G32" s="103">
        <v>13.8</v>
      </c>
      <c r="H32" s="103">
        <v>41</v>
      </c>
      <c r="I32" s="103">
        <v>67</v>
      </c>
      <c r="J32" s="103">
        <v>66</v>
      </c>
      <c r="K32" s="103" t="str">
        <v>Wrong Width</v>
      </c>
      <c r="L32" s="103">
        <v>1</v>
      </c>
      <c r="M32" s="104" t="str">
        <v/>
      </c>
      <c r="N32" s="103" t="str">
        <v>Avoid cutting</v>
      </c>
    </row>
    <row r="33" spans="1:14" s="101" customFormat="1" ht="45" customHeight="1" thickBot="1" x14ac:dyDescent="0.3">
      <c r="A33" s="103" t="str">
        <v>S26V01447</v>
      </c>
      <c r="B33" s="103" t="str">
        <v>PKGK26VE0001447B</v>
      </c>
      <c r="C33" s="103" t="str">
        <v>120-171647-043@43 Black SS</v>
      </c>
      <c r="D33" s="103" t="str">
        <v>DQ307550</v>
      </c>
      <c r="E33" s="103">
        <v>30</v>
      </c>
      <c r="F33" s="103" t="str">
        <v>CP3083103401</v>
      </c>
      <c r="G33" s="103">
        <v>30.1</v>
      </c>
      <c r="H33" s="103">
        <v>90</v>
      </c>
      <c r="I33" s="103">
        <v>67</v>
      </c>
      <c r="J33" s="103">
        <v>66</v>
      </c>
      <c r="K33" s="103" t="str">
        <v>Wrong Width</v>
      </c>
      <c r="L33" s="103">
        <v>1</v>
      </c>
      <c r="M33" s="104" t="str">
        <v/>
      </c>
      <c r="N33" s="103" t="str">
        <v>Avoid cutting</v>
      </c>
    </row>
    <row r="34" spans="1:14" s="101" customFormat="1" ht="45" customHeight="1" thickBot="1" x14ac:dyDescent="0.3">
      <c r="A34" s="103" t="str">
        <v>S26V01447</v>
      </c>
      <c r="B34" s="103" t="str">
        <v>PKGK26VE0001447B</v>
      </c>
      <c r="C34" s="103" t="str">
        <v>120-171647-043@43 Black SS</v>
      </c>
      <c r="D34" s="103" t="str">
        <v>DQ307550</v>
      </c>
      <c r="E34" s="103">
        <v>30</v>
      </c>
      <c r="F34" s="103" t="str">
        <v>CP3083103501</v>
      </c>
      <c r="G34" s="103">
        <v>30.6</v>
      </c>
      <c r="H34" s="103">
        <v>91.5</v>
      </c>
      <c r="I34" s="103">
        <v>67</v>
      </c>
      <c r="J34" s="103">
        <v>65</v>
      </c>
      <c r="K34" s="103" t="str">
        <v>Wrong Width</v>
      </c>
      <c r="L34" s="103">
        <v>2</v>
      </c>
      <c r="M34" s="104" t="str">
        <v/>
      </c>
      <c r="N34" s="103" t="str">
        <v>Avoid cutting</v>
      </c>
    </row>
    <row r="35" spans="1:14" s="101" customFormat="1" ht="45" customHeight="1" thickBot="1" x14ac:dyDescent="0.3">
      <c r="A35" s="103" t="str">
        <v>S26V01447</v>
      </c>
      <c r="B35" s="103" t="str">
        <v>PKGK26VE0001447B</v>
      </c>
      <c r="C35" s="103" t="str">
        <v>120-171647-043@43 Black SS</v>
      </c>
      <c r="D35" s="103" t="str">
        <v>DQ307550</v>
      </c>
      <c r="E35" s="103">
        <v>30</v>
      </c>
      <c r="F35" s="103" t="str">
        <v>CP3083105401</v>
      </c>
      <c r="G35" s="103">
        <v>29.9</v>
      </c>
      <c r="H35" s="103">
        <v>89.5</v>
      </c>
      <c r="I35" s="103">
        <v>67</v>
      </c>
      <c r="J35" s="103">
        <v>66</v>
      </c>
      <c r="K35" s="103" t="str">
        <v>Wrong Width</v>
      </c>
      <c r="L35" s="103">
        <v>1</v>
      </c>
      <c r="M35" s="104" t="str">
        <v/>
      </c>
      <c r="N35" s="103" t="str">
        <v>Avoid cutting</v>
      </c>
    </row>
    <row r="36" spans="1:14" s="101" customFormat="1" ht="45" customHeight="1" thickBot="1" x14ac:dyDescent="0.3">
      <c r="A36" s="103" t="str">
        <v>S26V01447</v>
      </c>
      <c r="B36" s="103" t="str">
        <v>PKGK26VE0001447B</v>
      </c>
      <c r="C36" s="103" t="str">
        <v>120-171647-043@43 Black SS</v>
      </c>
      <c r="D36" s="103" t="str">
        <v>DQ307550</v>
      </c>
      <c r="E36" s="103">
        <v>30</v>
      </c>
      <c r="F36" s="103" t="str">
        <v>CP3083105601</v>
      </c>
      <c r="G36" s="103">
        <v>29.8</v>
      </c>
      <c r="H36" s="103">
        <v>89.5</v>
      </c>
      <c r="I36" s="103">
        <v>67</v>
      </c>
      <c r="J36" s="103">
        <v>66</v>
      </c>
      <c r="K36" s="103" t="str">
        <v>Wrong Width</v>
      </c>
      <c r="L36" s="103">
        <v>1</v>
      </c>
      <c r="M36" s="104" t="str">
        <v/>
      </c>
      <c r="N36" s="103" t="str">
        <v>Avoid cutting</v>
      </c>
    </row>
    <row r="37" spans="1:14" s="101" customFormat="1" ht="45" customHeight="1" thickBot="1" x14ac:dyDescent="0.3">
      <c r="A37" s="103" t="str">
        <v>S26V01447</v>
      </c>
      <c r="B37" s="103" t="str">
        <v>PKGK26VE0001447B</v>
      </c>
      <c r="C37" s="103" t="str">
        <v>120-171647-043@43 Black SS</v>
      </c>
      <c r="D37" s="103" t="str">
        <v>DQ307550</v>
      </c>
      <c r="E37" s="103">
        <v>30</v>
      </c>
      <c r="F37" s="103" t="str">
        <v>CP3083105701</v>
      </c>
      <c r="G37" s="103">
        <v>28.6</v>
      </c>
      <c r="H37" s="103">
        <v>85.5</v>
      </c>
      <c r="I37" s="103">
        <v>67</v>
      </c>
      <c r="J37" s="103">
        <v>66</v>
      </c>
      <c r="K37" s="103" t="str">
        <v>Wrong Width</v>
      </c>
      <c r="L37" s="103">
        <v>1</v>
      </c>
      <c r="M37" s="104" t="str">
        <v/>
      </c>
      <c r="N37" s="103" t="str">
        <v>Avoid cutting</v>
      </c>
    </row>
    <row r="38" spans="1:14" s="101" customFormat="1" ht="45" customHeight="1" thickBot="1" x14ac:dyDescent="0.3">
      <c r="A38" s="103" t="str">
        <v>S26V01447</v>
      </c>
      <c r="B38" s="103" t="str">
        <v>PKGK26VE0001447B</v>
      </c>
      <c r="C38" s="103" t="str">
        <v>120-171647-043@43 Black SS</v>
      </c>
      <c r="D38" s="103" t="str">
        <v>DQ307550</v>
      </c>
      <c r="E38" s="103">
        <v>30</v>
      </c>
      <c r="F38" s="103" t="str">
        <v>CP3083105801</v>
      </c>
      <c r="G38" s="103">
        <v>30.5</v>
      </c>
      <c r="H38" s="103">
        <v>91.5</v>
      </c>
      <c r="I38" s="103">
        <v>67</v>
      </c>
      <c r="J38" s="103">
        <v>66</v>
      </c>
      <c r="K38" s="103" t="str">
        <v>Wrong Width</v>
      </c>
      <c r="L38" s="103">
        <v>1</v>
      </c>
      <c r="M38" s="104" t="str">
        <v/>
      </c>
      <c r="N38" s="103" t="str">
        <v>Avoid cutting</v>
      </c>
    </row>
    <row r="39" spans="1:14" s="101" customFormat="1" ht="45" customHeight="1" thickBot="1" x14ac:dyDescent="0.3">
      <c r="A39" s="103" t="str">
        <v>S26V01447</v>
      </c>
      <c r="B39" s="103" t="str">
        <v>PKGK26VE0001447B</v>
      </c>
      <c r="C39" s="103" t="str">
        <v>120-171647-043@43 Black SS</v>
      </c>
      <c r="D39" s="103" t="str">
        <v>DQ307550</v>
      </c>
      <c r="E39" s="103">
        <v>30</v>
      </c>
      <c r="F39" s="103" t="str">
        <v>CP3083105901</v>
      </c>
      <c r="G39" s="103">
        <v>30.6</v>
      </c>
      <c r="H39" s="103">
        <v>91.5</v>
      </c>
      <c r="I39" s="103">
        <v>67</v>
      </c>
      <c r="J39" s="103">
        <v>66</v>
      </c>
      <c r="K39" s="103" t="str">
        <v>Wrong Width</v>
      </c>
      <c r="L39" s="103">
        <v>1</v>
      </c>
      <c r="M39" s="104" t="str">
        <v/>
      </c>
      <c r="N39" s="103" t="str">
        <v>Avoid cutting</v>
      </c>
    </row>
    <row r="40" spans="1:14" s="101" customFormat="1" ht="45" customHeight="1" thickBot="1" x14ac:dyDescent="0.3">
      <c r="A40" s="103" t="str">
        <v>S26V01447</v>
      </c>
      <c r="B40" s="103" t="str">
        <v>PKGK26VE0001447B</v>
      </c>
      <c r="C40" s="103" t="str">
        <v>120-171647-043@43 Black SS</v>
      </c>
      <c r="D40" s="103" t="str">
        <v>DQ307550</v>
      </c>
      <c r="E40" s="103">
        <v>30</v>
      </c>
      <c r="F40" s="103" t="str">
        <v>CP3083106001</v>
      </c>
      <c r="G40" s="103">
        <v>30.6</v>
      </c>
      <c r="H40" s="103">
        <v>91.5</v>
      </c>
      <c r="I40" s="103">
        <v>67</v>
      </c>
      <c r="J40" s="103">
        <v>66</v>
      </c>
      <c r="K40" s="103" t="str">
        <v>Wrong Width</v>
      </c>
      <c r="L40" s="103">
        <v>1</v>
      </c>
      <c r="M40" s="104" t="str">
        <v/>
      </c>
      <c r="N40" s="103" t="str">
        <v>Avoid cutting</v>
      </c>
    </row>
    <row r="41" spans="1:14" s="101" customFormat="1" ht="45" customHeight="1" thickBot="1" x14ac:dyDescent="0.3">
      <c r="A41" s="103" t="str">
        <v>S26V01447</v>
      </c>
      <c r="B41" s="103" t="str">
        <v>PKGK26VE0001447B</v>
      </c>
      <c r="C41" s="103" t="str">
        <v>120-171647-043@43 Black SS</v>
      </c>
      <c r="D41" s="103" t="str">
        <v>DQ307550</v>
      </c>
      <c r="E41" s="103">
        <v>30</v>
      </c>
      <c r="F41" s="103" t="str">
        <v>CP3083106101</v>
      </c>
      <c r="G41" s="103">
        <v>16.899999999999999</v>
      </c>
      <c r="H41" s="103">
        <v>50.5</v>
      </c>
      <c r="I41" s="103">
        <v>67</v>
      </c>
      <c r="J41" s="103">
        <v>66</v>
      </c>
      <c r="K41" s="103" t="str">
        <v>Wrong Width</v>
      </c>
      <c r="L41" s="103">
        <v>1</v>
      </c>
      <c r="M41" s="104" t="str">
        <v/>
      </c>
      <c r="N41" s="103" t="str">
        <v>Avoid cutting</v>
      </c>
    </row>
    <row r="42" spans="1:14" s="101" customFormat="1" ht="45" customHeight="1" thickBot="1" x14ac:dyDescent="0.3">
      <c r="A42" s="103" t="str">
        <v>S26V01447</v>
      </c>
      <c r="B42" s="103" t="str">
        <v>PKGK26VE0001447B</v>
      </c>
      <c r="C42" s="103" t="str">
        <v>120-171647-043@43 Black SS</v>
      </c>
      <c r="D42" s="103" t="str">
        <v>DQ307550</v>
      </c>
      <c r="E42" s="103">
        <v>30</v>
      </c>
      <c r="F42" s="103" t="str">
        <v>CP3083106201</v>
      </c>
      <c r="G42" s="103">
        <v>28.8</v>
      </c>
      <c r="H42" s="103">
        <v>86.5</v>
      </c>
      <c r="I42" s="103">
        <v>67</v>
      </c>
      <c r="J42" s="103">
        <v>66</v>
      </c>
      <c r="K42" s="103" t="str">
        <v>Wrong Width</v>
      </c>
      <c r="L42" s="103">
        <v>1</v>
      </c>
      <c r="M42" s="104" t="str">
        <v/>
      </c>
      <c r="N42" s="103" t="str">
        <v>Avoid cutting</v>
      </c>
    </row>
    <row r="43" spans="1:14" s="101" customFormat="1" ht="45" customHeight="1" thickBot="1" x14ac:dyDescent="0.3">
      <c r="A43" s="103" t="str">
        <v>S26V01447</v>
      </c>
      <c r="B43" s="103" t="str">
        <v>PKGK26VE0001447B</v>
      </c>
      <c r="C43" s="103" t="str">
        <v>120-171647-043@43 Black SS</v>
      </c>
      <c r="D43" s="103" t="str">
        <v>DQ307550</v>
      </c>
      <c r="E43" s="103">
        <v>30</v>
      </c>
      <c r="F43" s="103" t="str">
        <v>CP3083106301</v>
      </c>
      <c r="G43" s="103">
        <v>29.8</v>
      </c>
      <c r="H43" s="103">
        <v>89.5</v>
      </c>
      <c r="I43" s="103">
        <v>67</v>
      </c>
      <c r="J43" s="103">
        <v>66</v>
      </c>
      <c r="K43" s="103" t="str">
        <v>Wrong Width</v>
      </c>
      <c r="L43" s="103">
        <v>1</v>
      </c>
      <c r="M43" s="104" t="str">
        <v/>
      </c>
      <c r="N43" s="103" t="str">
        <v>Avoid cutting</v>
      </c>
    </row>
    <row r="44" spans="1:14" s="101" customFormat="1" ht="45" customHeight="1" thickBot="1" x14ac:dyDescent="0.3">
      <c r="A44" s="103" t="str">
        <v>S26V01447</v>
      </c>
      <c r="B44" s="103" t="str">
        <v>PKGK26VE0001447B</v>
      </c>
      <c r="C44" s="103" t="str">
        <v>120-171647-043@43 Black SS</v>
      </c>
      <c r="D44" s="103" t="str">
        <v>DQ307550</v>
      </c>
      <c r="E44" s="103">
        <v>30</v>
      </c>
      <c r="F44" s="103" t="str">
        <v>CP3083106401</v>
      </c>
      <c r="G44" s="103">
        <v>29.8</v>
      </c>
      <c r="H44" s="103">
        <v>89.5</v>
      </c>
      <c r="I44" s="103">
        <v>67</v>
      </c>
      <c r="J44" s="103">
        <v>66</v>
      </c>
      <c r="K44" s="103" t="str">
        <v>Wrong Width</v>
      </c>
      <c r="L44" s="103">
        <v>1</v>
      </c>
      <c r="M44" s="104" t="str">
        <v/>
      </c>
      <c r="N44" s="103" t="str">
        <v>Avoid cutting</v>
      </c>
    </row>
    <row r="45" spans="1:14" s="101" customFormat="1" ht="45" customHeight="1" thickBot="1" x14ac:dyDescent="0.3">
      <c r="A45" s="103" t="str">
        <v>S26V01447</v>
      </c>
      <c r="B45" s="103" t="str">
        <v>PKGK26VE0001447B</v>
      </c>
      <c r="C45" s="103" t="str">
        <v>120-171647-043@43 Black SS</v>
      </c>
      <c r="D45" s="103" t="str">
        <v>DQ307550</v>
      </c>
      <c r="E45" s="103">
        <v>30</v>
      </c>
      <c r="F45" s="103" t="str">
        <v>CP3083106501</v>
      </c>
      <c r="G45" s="103">
        <v>34.200000000000003</v>
      </c>
      <c r="H45" s="103">
        <v>102.5</v>
      </c>
      <c r="I45" s="103">
        <v>67</v>
      </c>
      <c r="J45" s="103">
        <v>66</v>
      </c>
      <c r="K45" s="103" t="str">
        <v>Wrong Width</v>
      </c>
      <c r="L45" s="103">
        <v>1</v>
      </c>
      <c r="M45" s="104" t="str">
        <v/>
      </c>
      <c r="N45" s="103" t="str">
        <v>Avoid cutting</v>
      </c>
    </row>
    <row r="46" spans="1:14" s="101" customFormat="1" ht="45" customHeight="1" thickBot="1" x14ac:dyDescent="0.3">
      <c r="A46" s="103" t="str">
        <v>S26V01447</v>
      </c>
      <c r="B46" s="103" t="str">
        <v>PKGK26VE0001447B</v>
      </c>
      <c r="C46" s="103" t="str">
        <v>120-171647-043@43 Black SS</v>
      </c>
      <c r="D46" s="103" t="str">
        <v>DQ307550</v>
      </c>
      <c r="E46" s="103">
        <v>30</v>
      </c>
      <c r="F46" s="103" t="str">
        <v>CP3083106601</v>
      </c>
      <c r="G46" s="103">
        <v>30.8</v>
      </c>
      <c r="H46" s="103">
        <v>92.5</v>
      </c>
      <c r="I46" s="103">
        <v>67</v>
      </c>
      <c r="J46" s="103">
        <v>66</v>
      </c>
      <c r="K46" s="103" t="str">
        <v>Wrong Width</v>
      </c>
      <c r="L46" s="103">
        <v>1</v>
      </c>
      <c r="M46" s="104" t="str">
        <v/>
      </c>
      <c r="N46" s="103" t="str">
        <v>Avoid cutting</v>
      </c>
    </row>
    <row r="47" spans="1:14" s="101" customFormat="1" ht="45" customHeight="1" thickBot="1" x14ac:dyDescent="0.3">
      <c r="A47" s="103" t="str">
        <v>S26V01447</v>
      </c>
      <c r="B47" s="103" t="str">
        <v>PKGK26VE0001447B</v>
      </c>
      <c r="C47" s="103" t="str">
        <v>120-171647-043@43 Black SS</v>
      </c>
      <c r="D47" s="103" t="str">
        <v>DQ307550</v>
      </c>
      <c r="E47" s="103">
        <v>30</v>
      </c>
      <c r="F47" s="103" t="str">
        <v>CP3083106701</v>
      </c>
      <c r="G47" s="103">
        <v>27.4</v>
      </c>
      <c r="H47" s="103">
        <v>82</v>
      </c>
      <c r="I47" s="103">
        <v>67</v>
      </c>
      <c r="J47" s="103">
        <v>66</v>
      </c>
      <c r="K47" s="103" t="str">
        <v>Wrong Width</v>
      </c>
      <c r="L47" s="103">
        <v>1</v>
      </c>
      <c r="M47" s="104" t="str">
        <v/>
      </c>
      <c r="N47" s="103" t="str">
        <v>Avoid cutting</v>
      </c>
    </row>
    <row r="48" spans="1:14" s="101" customFormat="1" ht="45" customHeight="1" thickBot="1" x14ac:dyDescent="0.3">
      <c r="A48" s="103" t="str">
        <v>S26V01447</v>
      </c>
      <c r="B48" s="103" t="str">
        <v>PKGK26VE0001447B</v>
      </c>
      <c r="C48" s="103" t="str">
        <v>120-171647-040@40 Navy SS</v>
      </c>
      <c r="D48" s="103" t="str">
        <v>DQ307540</v>
      </c>
      <c r="E48" s="103">
        <v>11</v>
      </c>
      <c r="F48" s="103" t="str">
        <v>CP3083108402</v>
      </c>
      <c r="G48" s="103">
        <v>17.3</v>
      </c>
      <c r="H48" s="103">
        <v>53.5</v>
      </c>
      <c r="I48" s="103">
        <v>67</v>
      </c>
      <c r="J48" s="103">
        <v>66</v>
      </c>
      <c r="K48" s="103" t="str">
        <v>Wrong Width</v>
      </c>
      <c r="L48" s="103">
        <v>1</v>
      </c>
      <c r="M48" s="104" t="str">
        <v/>
      </c>
      <c r="N48" s="103" t="str">
        <v>Avoid cutting</v>
      </c>
    </row>
    <row r="49" spans="1:14" s="101" customFormat="1" ht="45" customHeight="1" thickBot="1" x14ac:dyDescent="0.3">
      <c r="A49" s="103" t="str">
        <v>S26V01447</v>
      </c>
      <c r="B49" s="103" t="str">
        <v>PKGK26VE0001447B</v>
      </c>
      <c r="C49" s="103" t="str">
        <v>120-171647-040@40 Navy SS</v>
      </c>
      <c r="D49" s="103" t="str">
        <v>DQ307540</v>
      </c>
      <c r="E49" s="103">
        <v>11</v>
      </c>
      <c r="F49" s="103" t="str">
        <v>CP3083110301</v>
      </c>
      <c r="G49" s="103">
        <v>29.2</v>
      </c>
      <c r="H49" s="103">
        <v>90.5</v>
      </c>
      <c r="I49" s="103">
        <v>67</v>
      </c>
      <c r="J49" s="103">
        <v>66</v>
      </c>
      <c r="K49" s="103" t="str">
        <v>Wrong Width</v>
      </c>
      <c r="L49" s="103">
        <v>1</v>
      </c>
      <c r="M49" s="104" t="str">
        <v/>
      </c>
      <c r="N49" s="103" t="str">
        <v>Avoid cutting</v>
      </c>
    </row>
    <row r="50" spans="1:14" s="101" customFormat="1" ht="45" customHeight="1" thickBot="1" x14ac:dyDescent="0.3">
      <c r="A50" s="103" t="str">
        <v>S26V01447</v>
      </c>
      <c r="B50" s="103" t="str">
        <v>PKGK26VE0001447B</v>
      </c>
      <c r="C50" s="103" t="str">
        <v>120-171647-043@43 Black SS</v>
      </c>
      <c r="D50" s="103" t="str">
        <v>DQ307550</v>
      </c>
      <c r="E50" s="103">
        <v>30</v>
      </c>
      <c r="F50" s="103" t="str">
        <v>CP3083501901</v>
      </c>
      <c r="G50" s="103">
        <v>30.6</v>
      </c>
      <c r="H50" s="103">
        <v>91.5</v>
      </c>
      <c r="I50" s="103">
        <v>67</v>
      </c>
      <c r="J50" s="103">
        <v>66</v>
      </c>
      <c r="K50" s="103" t="str">
        <v>Wrong Width</v>
      </c>
      <c r="L50" s="103">
        <v>1</v>
      </c>
      <c r="M50" s="104" t="str">
        <v/>
      </c>
      <c r="N50" s="103" t="str">
        <v>Avoid cutting</v>
      </c>
    </row>
    <row r="51" spans="1:14" s="101" customFormat="1" ht="45" customHeight="1" thickBot="1" x14ac:dyDescent="0.3">
      <c r="A51" s="103" t="str">
        <v>S26V01447</v>
      </c>
      <c r="B51" s="103" t="str">
        <v>PKGK26VE0001447B</v>
      </c>
      <c r="C51" s="103" t="str">
        <v>120-171647-043@43 Black SS</v>
      </c>
      <c r="D51" s="103" t="str">
        <v>DQ307550</v>
      </c>
      <c r="E51" s="103">
        <v>30</v>
      </c>
      <c r="F51" s="103" t="str">
        <v>CP3083502001</v>
      </c>
      <c r="G51" s="103">
        <v>9.6</v>
      </c>
      <c r="H51" s="103">
        <v>28.5</v>
      </c>
      <c r="I51" s="103">
        <v>67</v>
      </c>
      <c r="J51" s="103">
        <v>66</v>
      </c>
      <c r="K51" s="103" t="str">
        <v>Wrong Width</v>
      </c>
      <c r="L51" s="103">
        <v>1</v>
      </c>
      <c r="M51" s="104" t="str">
        <v/>
      </c>
      <c r="N51" s="103" t="str">
        <v>Avoid cutting</v>
      </c>
    </row>
    <row r="52" spans="1:14" s="101" customFormat="1" ht="45" customHeight="1" thickBot="1" x14ac:dyDescent="0.3">
      <c r="A52" s="103" t="str">
        <v>S26V01447</v>
      </c>
      <c r="B52" s="103" t="str">
        <v>PKGK26VE0001447B</v>
      </c>
      <c r="C52" s="103" t="str">
        <v>120-171719-17A@Dark Red</v>
      </c>
      <c r="D52" s="103" t="str">
        <v>DQ307470</v>
      </c>
      <c r="E52" s="103">
        <v>12</v>
      </c>
      <c r="F52" s="103" t="str">
        <v>CP3083502201</v>
      </c>
      <c r="G52" s="103">
        <v>34.9</v>
      </c>
      <c r="H52" s="103">
        <v>104.5</v>
      </c>
      <c r="I52" s="103">
        <v>67</v>
      </c>
      <c r="J52" s="103">
        <v>65</v>
      </c>
      <c r="K52" s="103" t="str">
        <v>Wrong Width</v>
      </c>
      <c r="L52" s="103">
        <v>2</v>
      </c>
      <c r="M52" s="104" t="str">
        <v/>
      </c>
      <c r="N52" s="103" t="str">
        <v>Avoid cutting</v>
      </c>
    </row>
    <row r="53" spans="1:14" s="101" customFormat="1" ht="45" customHeight="1" thickBot="1" x14ac:dyDescent="0.3">
      <c r="A53" s="103" t="str">
        <v>S26V01447</v>
      </c>
      <c r="B53" s="103" t="str">
        <v>PKGK26VE0001447B</v>
      </c>
      <c r="C53" s="103" t="str">
        <v>120-171719-17A@Dark Red</v>
      </c>
      <c r="D53" s="103" t="str">
        <v>DQ307470</v>
      </c>
      <c r="E53" s="103">
        <v>12</v>
      </c>
      <c r="F53" s="103" t="str">
        <v>CP3083504001</v>
      </c>
      <c r="G53" s="103">
        <v>29.3</v>
      </c>
      <c r="H53" s="103">
        <v>88</v>
      </c>
      <c r="I53" s="103">
        <v>67</v>
      </c>
      <c r="J53" s="103">
        <v>65</v>
      </c>
      <c r="K53" s="103" t="str">
        <v>Wrong Width</v>
      </c>
      <c r="L53" s="103">
        <v>2</v>
      </c>
      <c r="M53" s="104" t="str">
        <v/>
      </c>
      <c r="N53" s="103" t="str">
        <v>Avoid cutting</v>
      </c>
    </row>
    <row r="54" spans="1:14" s="101" customFormat="1" ht="45" customHeight="1" thickBot="1" x14ac:dyDescent="0.3">
      <c r="A54" s="103" t="str">
        <v>S26V01447</v>
      </c>
      <c r="B54" s="103" t="str">
        <v>PKGK26VE0001447B</v>
      </c>
      <c r="C54" s="103" t="str">
        <v>120-171719-17A@Dark Red</v>
      </c>
      <c r="D54" s="103" t="str">
        <v>DQ307470</v>
      </c>
      <c r="E54" s="103">
        <v>12</v>
      </c>
      <c r="F54" s="103" t="str">
        <v>CP3083504101</v>
      </c>
      <c r="G54" s="103">
        <v>29.3</v>
      </c>
      <c r="H54" s="103">
        <v>88</v>
      </c>
      <c r="I54" s="103">
        <v>67</v>
      </c>
      <c r="J54" s="103">
        <v>65</v>
      </c>
      <c r="K54" s="103" t="str">
        <v>Wrong Width</v>
      </c>
      <c r="L54" s="103">
        <v>2</v>
      </c>
      <c r="M54" s="104" t="str">
        <v/>
      </c>
      <c r="N54" s="103" t="str">
        <v>Avoid cutting</v>
      </c>
    </row>
    <row r="55" spans="1:14" s="101" customFormat="1" ht="45" customHeight="1" thickBot="1" x14ac:dyDescent="0.3">
      <c r="A55" s="103" t="str">
        <v>S26V01447</v>
      </c>
      <c r="B55" s="103" t="str">
        <v>PKGK26VE0001447B</v>
      </c>
      <c r="C55" s="103" t="str">
        <v>120-171719-17A@Dark Red</v>
      </c>
      <c r="D55" s="103" t="str">
        <v>DQ307470</v>
      </c>
      <c r="E55" s="103">
        <v>12</v>
      </c>
      <c r="F55" s="103" t="str">
        <v>CP3083504401</v>
      </c>
      <c r="G55" s="103">
        <v>28.8</v>
      </c>
      <c r="H55" s="103">
        <v>86.5</v>
      </c>
      <c r="I55" s="103">
        <v>67</v>
      </c>
      <c r="J55" s="103">
        <v>66</v>
      </c>
      <c r="K55" s="103" t="str">
        <v>Wrong Width</v>
      </c>
      <c r="L55" s="103">
        <v>1</v>
      </c>
      <c r="M55" s="104" t="str">
        <v/>
      </c>
      <c r="N55" s="103" t="str">
        <v>Avoid cutting</v>
      </c>
    </row>
    <row r="56" spans="1:14" s="101" customFormat="1" ht="45" customHeight="1" thickBot="1" x14ac:dyDescent="0.3">
      <c r="A56" s="103" t="str">
        <v>S26V01447</v>
      </c>
      <c r="B56" s="103" t="str">
        <v>PKGK26VE0001447B</v>
      </c>
      <c r="C56" s="103" t="str">
        <v>120-171731-13E@13E light Brown SS</v>
      </c>
      <c r="D56" s="103" t="str">
        <v>DQ307460</v>
      </c>
      <c r="E56" s="103">
        <v>10</v>
      </c>
      <c r="F56" s="103" t="str">
        <v>CP3083604101</v>
      </c>
      <c r="G56" s="103">
        <v>30.11</v>
      </c>
      <c r="H56" s="103">
        <v>94</v>
      </c>
      <c r="I56" s="103">
        <v>67</v>
      </c>
      <c r="J56" s="103">
        <v>65</v>
      </c>
      <c r="K56" s="103" t="str">
        <v>Wrong Width</v>
      </c>
      <c r="L56" s="103">
        <v>2</v>
      </c>
      <c r="M56" s="104" t="str">
        <v/>
      </c>
      <c r="N56" s="103" t="str">
        <v>Avoid cutting</v>
      </c>
    </row>
    <row r="57" spans="1:14" s="101" customFormat="1" ht="45" customHeight="1" thickBot="1" x14ac:dyDescent="0.3">
      <c r="A57" s="103" t="str">
        <v>S26V01447</v>
      </c>
      <c r="B57" s="103" t="str">
        <v>PKGK26VE0001447B</v>
      </c>
      <c r="C57" s="103" t="str">
        <v>120-171647-043@43 Black SS</v>
      </c>
      <c r="D57" s="103" t="str">
        <v>DQ307550</v>
      </c>
      <c r="E57" s="103">
        <v>30</v>
      </c>
      <c r="F57" s="103" t="str">
        <v>CP3083604801</v>
      </c>
      <c r="G57" s="103">
        <v>30.6</v>
      </c>
      <c r="H57" s="103">
        <v>91.5</v>
      </c>
      <c r="I57" s="103">
        <v>67</v>
      </c>
      <c r="J57" s="103">
        <v>65</v>
      </c>
      <c r="K57" s="103" t="str">
        <v>Wrong Width</v>
      </c>
      <c r="L57" s="103">
        <v>2</v>
      </c>
      <c r="M57" s="104" t="str">
        <v/>
      </c>
      <c r="N57" s="103" t="str">
        <v>Avoid cutting</v>
      </c>
    </row>
    <row r="58" spans="1:14" s="101" customFormat="1" ht="45" customHeight="1" thickBot="1" x14ac:dyDescent="0.3">
      <c r="A58" s="103" t="str">
        <v>S26V01447</v>
      </c>
      <c r="B58" s="103" t="str">
        <v>PKGK26VE0001447B</v>
      </c>
      <c r="C58" s="103" t="str">
        <v>120-171647-043@43 Black SS</v>
      </c>
      <c r="D58" s="103" t="str">
        <v>DQ307550</v>
      </c>
      <c r="E58" s="103">
        <v>30</v>
      </c>
      <c r="F58" s="103" t="str">
        <v>CP3083604802</v>
      </c>
      <c r="G58" s="103">
        <v>30.2</v>
      </c>
      <c r="H58" s="103">
        <v>90.5</v>
      </c>
      <c r="I58" s="103">
        <v>67</v>
      </c>
      <c r="J58" s="103">
        <v>65</v>
      </c>
      <c r="K58" s="103" t="str">
        <v>Wrong Width</v>
      </c>
      <c r="L58" s="103">
        <v>2</v>
      </c>
      <c r="M58" s="104" t="str">
        <v/>
      </c>
      <c r="N58" s="103" t="str">
        <v>Avoid cutting</v>
      </c>
    </row>
    <row r="59" spans="1:14" s="101" customFormat="1" ht="45" customHeight="1" thickBot="1" x14ac:dyDescent="0.3">
      <c r="A59" s="103" t="str">
        <v>S26V01447</v>
      </c>
      <c r="B59" s="103" t="str">
        <v>PKGK26VE0001447B</v>
      </c>
      <c r="C59" s="103" t="str">
        <v>120-171647-043@43 Black SS</v>
      </c>
      <c r="D59" s="103" t="str">
        <v>DQ307550</v>
      </c>
      <c r="E59" s="103">
        <v>30</v>
      </c>
      <c r="F59" s="103" t="str">
        <v>CP3083604803</v>
      </c>
      <c r="G59" s="103">
        <v>28.8</v>
      </c>
      <c r="H59" s="103">
        <v>86.5</v>
      </c>
      <c r="I59" s="103">
        <v>67</v>
      </c>
      <c r="J59" s="103">
        <v>65</v>
      </c>
      <c r="K59" s="103" t="str">
        <v>Wrong Width</v>
      </c>
      <c r="L59" s="103">
        <v>2</v>
      </c>
      <c r="M59" s="104" t="str">
        <v/>
      </c>
      <c r="N59" s="103" t="str">
        <v>Avoid cutting</v>
      </c>
    </row>
    <row r="60" spans="1:14" s="101" customFormat="1" ht="45" customHeight="1" thickBot="1" x14ac:dyDescent="0.3">
      <c r="A60" s="103" t="str">
        <v>S26V01447</v>
      </c>
      <c r="B60" s="103" t="str">
        <v>PKGK26VE0001447B</v>
      </c>
      <c r="C60" s="103" t="str">
        <v>120-171647-043@43 Black SS</v>
      </c>
      <c r="D60" s="103" t="str">
        <v>DQ307550</v>
      </c>
      <c r="E60" s="103">
        <v>30</v>
      </c>
      <c r="F60" s="103" t="str">
        <v>CP3083604804</v>
      </c>
      <c r="G60" s="103">
        <v>26.7</v>
      </c>
      <c r="H60" s="103">
        <v>80</v>
      </c>
      <c r="I60" s="103">
        <v>67</v>
      </c>
      <c r="J60" s="103">
        <v>66</v>
      </c>
      <c r="K60" s="103" t="str">
        <v>Wrong Width</v>
      </c>
      <c r="L60" s="103">
        <v>1</v>
      </c>
      <c r="M60" s="104" t="str">
        <v/>
      </c>
      <c r="N60" s="103" t="str">
        <v>Avoid cutting</v>
      </c>
    </row>
    <row r="61" spans="1:14" s="101" customFormat="1" ht="45" customHeight="1" thickBot="1" x14ac:dyDescent="0.3">
      <c r="A61" s="103" t="str">
        <v>S26V01447</v>
      </c>
      <c r="B61" s="103" t="str">
        <v>PKGK26VE0001447B</v>
      </c>
      <c r="C61" s="103" t="str">
        <v>120-171647-043@43 Black SS</v>
      </c>
      <c r="D61" s="103" t="str">
        <v>DQ307550</v>
      </c>
      <c r="E61" s="103">
        <v>30</v>
      </c>
      <c r="F61" s="103" t="str">
        <v>CP3083605001</v>
      </c>
      <c r="G61" s="103">
        <v>30</v>
      </c>
      <c r="H61" s="103">
        <v>90</v>
      </c>
      <c r="I61" s="103">
        <v>67</v>
      </c>
      <c r="J61" s="103">
        <v>66</v>
      </c>
      <c r="K61" s="103" t="str">
        <v>Wrong Width</v>
      </c>
      <c r="L61" s="103">
        <v>1</v>
      </c>
      <c r="M61" s="104" t="str">
        <v/>
      </c>
      <c r="N61" s="103" t="str">
        <v>Avoid cutting</v>
      </c>
    </row>
    <row r="62" spans="1:14" s="101" customFormat="1" ht="45" customHeight="1" thickBot="1" x14ac:dyDescent="0.3">
      <c r="A62" s="103" t="str">
        <v>S26V01447</v>
      </c>
      <c r="B62" s="103" t="str">
        <v>PKGK26VE0001447B</v>
      </c>
      <c r="C62" s="103" t="str">
        <v>120-171647-043@43 Black SS</v>
      </c>
      <c r="D62" s="103" t="str">
        <v>DQ307550</v>
      </c>
      <c r="E62" s="103">
        <v>30</v>
      </c>
      <c r="F62" s="103" t="str">
        <v>CP3083605101</v>
      </c>
      <c r="G62" s="103">
        <v>30.6</v>
      </c>
      <c r="H62" s="103">
        <v>91.5</v>
      </c>
      <c r="I62" s="103">
        <v>67</v>
      </c>
      <c r="J62" s="103">
        <v>66</v>
      </c>
      <c r="K62" s="103" t="str">
        <v>Wrong Width</v>
      </c>
      <c r="L62" s="103">
        <v>1</v>
      </c>
      <c r="M62" s="104" t="str">
        <v/>
      </c>
      <c r="N62" s="103" t="str">
        <v>Avoid cutting</v>
      </c>
    </row>
    <row r="63" spans="1:14" s="101" customFormat="1" ht="45" customHeight="1" thickBot="1" x14ac:dyDescent="0.3">
      <c r="A63" s="103" t="str">
        <v>S26V01447</v>
      </c>
      <c r="B63" s="103" t="str">
        <v>PKGK26VE0001447B</v>
      </c>
      <c r="C63" s="103" t="str">
        <v>120-171647-043@43 Black SS</v>
      </c>
      <c r="D63" s="103" t="str">
        <v>DQ307550</v>
      </c>
      <c r="E63" s="103">
        <v>30</v>
      </c>
      <c r="F63" s="103" t="str">
        <v>CP3083605201</v>
      </c>
      <c r="G63" s="103">
        <v>30.4</v>
      </c>
      <c r="H63" s="103">
        <v>91</v>
      </c>
      <c r="I63" s="103">
        <v>67</v>
      </c>
      <c r="J63" s="103">
        <v>66</v>
      </c>
      <c r="K63" s="103" t="str">
        <v>Wrong Width</v>
      </c>
      <c r="L63" s="103">
        <v>1</v>
      </c>
      <c r="M63" s="104" t="str">
        <v/>
      </c>
      <c r="N63" s="103" t="str">
        <v>Avoid cutting</v>
      </c>
    </row>
    <row r="64" spans="1:14" s="101" customFormat="1" ht="45" customHeight="1" thickBot="1" x14ac:dyDescent="0.3">
      <c r="A64" s="103" t="str">
        <v>S26V01447</v>
      </c>
      <c r="B64" s="103" t="str">
        <v>PKGK26VE0001447B</v>
      </c>
      <c r="C64" s="103" t="str">
        <v>120-171647-043@43 Black SS</v>
      </c>
      <c r="D64" s="103" t="str">
        <v>DQ307550</v>
      </c>
      <c r="E64" s="103">
        <v>30</v>
      </c>
      <c r="F64" s="103" t="str">
        <v>CP3083605301</v>
      </c>
      <c r="G64" s="103">
        <v>27.6</v>
      </c>
      <c r="H64" s="103">
        <v>82.5</v>
      </c>
      <c r="I64" s="103">
        <v>67</v>
      </c>
      <c r="J64" s="103">
        <v>66</v>
      </c>
      <c r="K64" s="103" t="str">
        <v>Wrong Width</v>
      </c>
      <c r="L64" s="103">
        <v>1</v>
      </c>
      <c r="M64" s="104" t="str">
        <v/>
      </c>
      <c r="N64" s="103" t="str">
        <v>Avoid cutting</v>
      </c>
    </row>
    <row r="65" spans="1:14" s="101" customFormat="1" ht="45" customHeight="1" thickBot="1" x14ac:dyDescent="0.3">
      <c r="A65" s="103" t="str">
        <v>S26V01447</v>
      </c>
      <c r="B65" s="103" t="str">
        <v>PKGK26VE0001447B</v>
      </c>
      <c r="C65" s="103" t="str">
        <v>120-171647-043@43 Black SS</v>
      </c>
      <c r="D65" s="103" t="str">
        <v>DQ307550</v>
      </c>
      <c r="E65" s="103">
        <v>30</v>
      </c>
      <c r="F65" s="103" t="str">
        <v>CP3083605401</v>
      </c>
      <c r="G65" s="103">
        <v>30.2</v>
      </c>
      <c r="H65" s="103">
        <v>90.5</v>
      </c>
      <c r="I65" s="103">
        <v>67</v>
      </c>
      <c r="J65" s="103">
        <v>66</v>
      </c>
      <c r="K65" s="103" t="str">
        <v>Wrong Width</v>
      </c>
      <c r="L65" s="103">
        <v>1</v>
      </c>
      <c r="M65" s="104" t="str">
        <v/>
      </c>
      <c r="N65" s="103" t="str">
        <v>Avoid cutting</v>
      </c>
    </row>
    <row r="66" spans="1:14" s="101" customFormat="1" ht="45" customHeight="1" thickBot="1" x14ac:dyDescent="0.3">
      <c r="A66" s="103" t="str">
        <v>S26V01447</v>
      </c>
      <c r="B66" s="103" t="str">
        <v>PKGK26VE0001447B</v>
      </c>
      <c r="C66" s="103" t="str">
        <v>120-171647-043@43 Black SS</v>
      </c>
      <c r="D66" s="103" t="str">
        <v>DQ307550</v>
      </c>
      <c r="E66" s="103">
        <v>30</v>
      </c>
      <c r="F66" s="103" t="str">
        <v>CP3083605501</v>
      </c>
      <c r="G66" s="103">
        <v>30.4</v>
      </c>
      <c r="H66" s="103">
        <v>91</v>
      </c>
      <c r="I66" s="103">
        <v>67</v>
      </c>
      <c r="J66" s="103">
        <v>66</v>
      </c>
      <c r="K66" s="103" t="str">
        <v>Wrong Width</v>
      </c>
      <c r="L66" s="103">
        <v>1</v>
      </c>
      <c r="M66" s="104" t="str">
        <v/>
      </c>
      <c r="N66" s="103" t="str">
        <v>Avoid cutting</v>
      </c>
    </row>
    <row r="67" spans="1:14" s="101" customFormat="1" ht="45" customHeight="1" thickBot="1" x14ac:dyDescent="0.3">
      <c r="A67" s="103" t="str">
        <v>S26V01447</v>
      </c>
      <c r="B67" s="103" t="str">
        <v>PKGK26VE0001447B</v>
      </c>
      <c r="C67" s="103" t="str">
        <v>120-171647-043@43 Black SS</v>
      </c>
      <c r="D67" s="103" t="str">
        <v>DQ307550</v>
      </c>
      <c r="E67" s="103">
        <v>30</v>
      </c>
      <c r="F67" s="103" t="str">
        <v>CP3083605601</v>
      </c>
      <c r="G67" s="103">
        <v>27.7</v>
      </c>
      <c r="H67" s="103">
        <v>83</v>
      </c>
      <c r="I67" s="103">
        <v>67</v>
      </c>
      <c r="J67" s="103">
        <v>66</v>
      </c>
      <c r="K67" s="103" t="str">
        <v>Wrong Width</v>
      </c>
      <c r="L67" s="103">
        <v>1</v>
      </c>
      <c r="M67" s="104" t="str">
        <v/>
      </c>
      <c r="N67" s="103" t="str">
        <v>Avoid cutting</v>
      </c>
    </row>
    <row r="68" spans="1:14" s="101" customFormat="1" ht="45" customHeight="1" thickBot="1" x14ac:dyDescent="0.3">
      <c r="A68" s="103" t="str">
        <v>S26V01447</v>
      </c>
      <c r="B68" s="103" t="str">
        <v>PKGK26VE0001447B</v>
      </c>
      <c r="C68" s="103" t="str">
        <v>120-171647-043@43 Black SS</v>
      </c>
      <c r="D68" s="103" t="str">
        <v>DQ307550</v>
      </c>
      <c r="E68" s="103">
        <v>30</v>
      </c>
      <c r="F68" s="103" t="str">
        <v>CP3083605701</v>
      </c>
      <c r="G68" s="103">
        <v>30.5</v>
      </c>
      <c r="H68" s="103">
        <v>91.5</v>
      </c>
      <c r="I68" s="103">
        <v>67</v>
      </c>
      <c r="J68" s="103">
        <v>66</v>
      </c>
      <c r="K68" s="103" t="str">
        <v>Wrong Width</v>
      </c>
      <c r="L68" s="103">
        <v>1</v>
      </c>
      <c r="M68" s="104" t="str">
        <v/>
      </c>
      <c r="N68" s="103" t="str">
        <v>Avoid cutting</v>
      </c>
    </row>
    <row r="69" spans="1:14" s="101" customFormat="1" ht="45" customHeight="1" thickBot="1" x14ac:dyDescent="0.3">
      <c r="A69" s="103" t="str">
        <v>S26V01447</v>
      </c>
      <c r="B69" s="103" t="str">
        <v>PKGK26VE0001447B</v>
      </c>
      <c r="C69" s="103" t="str">
        <v>120-171647-043@43 Black SS</v>
      </c>
      <c r="D69" s="103" t="str">
        <v>DQ307550</v>
      </c>
      <c r="E69" s="103">
        <v>30</v>
      </c>
      <c r="F69" s="103" t="str">
        <v>CP3083605901</v>
      </c>
      <c r="G69" s="103">
        <v>30.4</v>
      </c>
      <c r="H69" s="103">
        <v>91</v>
      </c>
      <c r="I69" s="103">
        <v>67</v>
      </c>
      <c r="J69" s="103">
        <v>66</v>
      </c>
      <c r="K69" s="103" t="str">
        <v>Wrong Width</v>
      </c>
      <c r="L69" s="103">
        <v>1</v>
      </c>
      <c r="M69" s="104" t="str">
        <v/>
      </c>
      <c r="N69" s="103" t="str">
        <v>Avoid cutting</v>
      </c>
    </row>
    <row r="70" spans="1:14" s="101" customFormat="1" ht="45" customHeight="1" thickBot="1" x14ac:dyDescent="0.3">
      <c r="A70" s="103" t="str">
        <v>S26V01447</v>
      </c>
      <c r="B70" s="103" t="str">
        <v>PKGK26VE0001447B</v>
      </c>
      <c r="C70" s="103" t="str">
        <v>120-171647-043@43 Black SS</v>
      </c>
      <c r="D70" s="103" t="str">
        <v>DQ307550</v>
      </c>
      <c r="E70" s="103">
        <v>30</v>
      </c>
      <c r="F70" s="103" t="str">
        <v>CP3083606001</v>
      </c>
      <c r="G70" s="103">
        <v>30.4</v>
      </c>
      <c r="H70" s="103">
        <v>91</v>
      </c>
      <c r="I70" s="103">
        <v>67</v>
      </c>
      <c r="J70" s="103">
        <v>66</v>
      </c>
      <c r="K70" s="103" t="str">
        <v>Wrong Width</v>
      </c>
      <c r="L70" s="103">
        <v>1</v>
      </c>
      <c r="M70" s="104" t="str">
        <v/>
      </c>
      <c r="N70" s="103" t="str">
        <v>Avoid cutting</v>
      </c>
    </row>
    <row r="71" spans="1:14" s="101" customFormat="1" ht="45" customHeight="1" thickBot="1" x14ac:dyDescent="0.3">
      <c r="A71" s="103" t="str">
        <v>S26V01447</v>
      </c>
      <c r="B71" s="103" t="str">
        <v>PKGK26VE0001447B</v>
      </c>
      <c r="C71" s="103" t="str">
        <v>120-171647-043@43 Black SS</v>
      </c>
      <c r="D71" s="103" t="str">
        <v>DQ307550</v>
      </c>
      <c r="E71" s="103">
        <v>30</v>
      </c>
      <c r="F71" s="103" t="str">
        <v>CP3083606101</v>
      </c>
      <c r="G71" s="103">
        <v>30.6</v>
      </c>
      <c r="H71" s="103">
        <v>91.5</v>
      </c>
      <c r="I71" s="103">
        <v>67</v>
      </c>
      <c r="J71" s="103">
        <v>66</v>
      </c>
      <c r="K71" s="103" t="str">
        <v>Wrong Width</v>
      </c>
      <c r="L71" s="103">
        <v>1</v>
      </c>
      <c r="M71" s="104" t="str">
        <v/>
      </c>
      <c r="N71" s="103" t="str">
        <v>Avoid cutting</v>
      </c>
    </row>
    <row r="72" spans="1:14" s="101" customFormat="1" ht="45" customHeight="1" thickBot="1" x14ac:dyDescent="0.3">
      <c r="A72" s="103" t="str">
        <v>S26V01447</v>
      </c>
      <c r="B72" s="103" t="str">
        <v>PKGK26VE0001447B</v>
      </c>
      <c r="C72" s="103" t="str">
        <v>120-171686-009@09 Beige</v>
      </c>
      <c r="D72" s="103" t="str">
        <v>WQ305060</v>
      </c>
      <c r="E72" s="103">
        <v>11</v>
      </c>
      <c r="F72" s="103" t="str">
        <v>CP3126403701</v>
      </c>
      <c r="G72" s="103">
        <v>30.58</v>
      </c>
      <c r="H72" s="103">
        <v>91.5</v>
      </c>
      <c r="I72" s="103">
        <v>70</v>
      </c>
      <c r="J72" s="103">
        <v>69</v>
      </c>
      <c r="K72" s="103" t="str">
        <v>Wrong Width</v>
      </c>
      <c r="L72" s="103">
        <v>1</v>
      </c>
      <c r="M72" s="104" t="str">
        <v/>
      </c>
      <c r="N72" s="103" t="str">
        <v>Avoid cutting</v>
      </c>
    </row>
    <row r="73" spans="1:14" s="101" customFormat="1" ht="45" customHeight="1" thickBot="1" x14ac:dyDescent="0.3">
      <c r="A73" s="103" t="str">
        <v>S26V01447</v>
      </c>
      <c r="B73" s="103" t="str">
        <v>PKGK26VE0001447B</v>
      </c>
      <c r="C73" s="103" t="str">
        <v>120-171697 44E@Light Grey</v>
      </c>
      <c r="D73" s="103" t="str">
        <v>WQ305070</v>
      </c>
      <c r="E73" s="103">
        <v>20</v>
      </c>
      <c r="F73" s="103" t="str">
        <v>CP3209100903</v>
      </c>
      <c r="G73" s="103">
        <v>4.5</v>
      </c>
      <c r="H73" s="103">
        <v>13</v>
      </c>
      <c r="I73" s="103">
        <v>70</v>
      </c>
      <c r="J73" s="103">
        <v>69</v>
      </c>
      <c r="K73" s="103" t="str">
        <v>Wrong Width</v>
      </c>
      <c r="L73" s="103">
        <v>1</v>
      </c>
      <c r="M73" s="104" t="str">
        <v/>
      </c>
      <c r="N73" s="103" t="str">
        <v>Avoid cutting</v>
      </c>
    </row>
    <row r="74" spans="1:14" s="101" customFormat="1" ht="45" customHeight="1" thickBot="1" x14ac:dyDescent="0.3">
      <c r="A74" s="103" t="str">
        <v>S26V01447</v>
      </c>
      <c r="B74" s="103" t="str">
        <v>PKGK26VE0001447B</v>
      </c>
      <c r="C74" s="103" t="str">
        <v>120-171697 44E@Light Grey</v>
      </c>
      <c r="D74" s="103" t="str">
        <v>WQ305070</v>
      </c>
      <c r="E74" s="103">
        <v>20</v>
      </c>
      <c r="F74" s="103" t="str">
        <v>CP3209101001</v>
      </c>
      <c r="G74" s="103">
        <v>30.53</v>
      </c>
      <c r="H74" s="103">
        <v>90.5</v>
      </c>
      <c r="I74" s="103">
        <v>70</v>
      </c>
      <c r="J74" s="103">
        <v>69</v>
      </c>
      <c r="K74" s="103" t="str">
        <v>Wrong Width</v>
      </c>
      <c r="L74" s="103">
        <v>1</v>
      </c>
      <c r="M74" s="104" t="str">
        <v/>
      </c>
      <c r="N74" s="103" t="str">
        <v>Avoid cutting</v>
      </c>
    </row>
    <row r="75" spans="1:14" s="101" customFormat="1" ht="45" customHeight="1" thickBot="1" x14ac:dyDescent="0.3">
      <c r="A75" s="103" t="str">
        <v>S26V01447</v>
      </c>
      <c r="B75" s="103" t="str">
        <v>PKGK26VE0001447B</v>
      </c>
      <c r="C75" s="103" t="str">
        <v>120-171697 44E@Light Grey</v>
      </c>
      <c r="D75" s="103" t="str">
        <v>WQ305070</v>
      </c>
      <c r="E75" s="103">
        <v>20</v>
      </c>
      <c r="F75" s="103" t="str">
        <v>CP3209101101</v>
      </c>
      <c r="G75" s="103">
        <v>30.8</v>
      </c>
      <c r="H75" s="103">
        <v>91.5</v>
      </c>
      <c r="I75" s="103">
        <v>70</v>
      </c>
      <c r="J75" s="103">
        <v>69</v>
      </c>
      <c r="K75" s="103" t="str">
        <v>Wrong Width</v>
      </c>
      <c r="L75" s="103">
        <v>1</v>
      </c>
      <c r="M75" s="104" t="str">
        <v/>
      </c>
      <c r="N75" s="103" t="str">
        <v>Avoid cutting</v>
      </c>
    </row>
    <row r="76" spans="1:14" s="101" customFormat="1" ht="45" customHeight="1" thickBot="1" x14ac:dyDescent="0.3">
      <c r="A76" s="103" t="str">
        <v>S26V01447</v>
      </c>
      <c r="B76" s="103" t="str">
        <v>PKGK26VE0001447B</v>
      </c>
      <c r="C76" s="103" t="str">
        <v>120-171697 44E@Light Grey</v>
      </c>
      <c r="D76" s="103" t="str">
        <v>WQ305070</v>
      </c>
      <c r="E76" s="103">
        <v>20</v>
      </c>
      <c r="F76" s="103" t="str">
        <v>CP3209101201</v>
      </c>
      <c r="G76" s="103">
        <v>28.3</v>
      </c>
      <c r="H76" s="103">
        <v>84</v>
      </c>
      <c r="I76" s="103">
        <v>70</v>
      </c>
      <c r="J76" s="103">
        <v>69</v>
      </c>
      <c r="K76" s="103" t="str">
        <v>Wrong Width</v>
      </c>
      <c r="L76" s="103">
        <v>1</v>
      </c>
      <c r="M76" s="104" t="str">
        <v/>
      </c>
      <c r="N76" s="103" t="str">
        <v>Avoid cutting</v>
      </c>
    </row>
    <row r="77" spans="1:14" s="101" customFormat="1" ht="45" customHeight="1" thickBot="1" x14ac:dyDescent="0.3">
      <c r="A77" s="103" t="str">
        <v>S26V01447</v>
      </c>
      <c r="B77" s="103" t="str">
        <v>PKGK26VE0001447B</v>
      </c>
      <c r="C77" s="103" t="str">
        <v>120-171697 44E@Light Grey</v>
      </c>
      <c r="D77" s="103" t="str">
        <v>WQ305070</v>
      </c>
      <c r="E77" s="103">
        <v>20</v>
      </c>
      <c r="F77" s="103" t="str">
        <v>CP3209101301</v>
      </c>
      <c r="G77" s="103">
        <v>18</v>
      </c>
      <c r="H77" s="103">
        <v>53.5</v>
      </c>
      <c r="I77" s="103">
        <v>70</v>
      </c>
      <c r="J77" s="103">
        <v>68</v>
      </c>
      <c r="K77" s="103" t="str">
        <v>Wrong Width</v>
      </c>
      <c r="L77" s="103">
        <v>2</v>
      </c>
      <c r="M77" s="104" t="str">
        <v/>
      </c>
      <c r="N77" s="103" t="str">
        <v>Avoid cutting</v>
      </c>
    </row>
    <row r="78" spans="1:14" s="101" customFormat="1" ht="45" customHeight="1" thickBot="1" x14ac:dyDescent="0.3">
      <c r="A78" s="103" t="str">
        <v>S26V01447</v>
      </c>
      <c r="B78" s="103" t="str">
        <v>PKGK26VE0001447B</v>
      </c>
      <c r="C78" s="103" t="str">
        <v>120-171991-44D@Medium Grey</v>
      </c>
      <c r="D78" s="103" t="str">
        <v>WQ305080</v>
      </c>
      <c r="E78" s="103">
        <v>10</v>
      </c>
      <c r="F78" s="103" t="str">
        <v>CP4009500101</v>
      </c>
      <c r="G78" s="103">
        <v>29.3</v>
      </c>
      <c r="H78" s="103">
        <v>89.5</v>
      </c>
      <c r="I78" s="103">
        <v>70</v>
      </c>
      <c r="J78" s="103">
        <v>67</v>
      </c>
      <c r="K78" s="103" t="str">
        <v>Wrong Width</v>
      </c>
      <c r="L78" s="103">
        <v>3</v>
      </c>
      <c r="M78" s="104" t="str">
        <v/>
      </c>
      <c r="N78" s="103" t="str">
        <v>Avoid cutting</v>
      </c>
    </row>
    <row r="79" spans="1:14" s="101" customFormat="1" ht="45" customHeight="1" thickBot="1" x14ac:dyDescent="0.3">
      <c r="A79" s="103" t="str">
        <v>S26V01447</v>
      </c>
      <c r="B79" s="103" t="str">
        <v>PKGK26VE0001447B</v>
      </c>
      <c r="C79" s="103" t="str">
        <v>120-171731-13E@13E light Brown SS</v>
      </c>
      <c r="D79" s="103" t="str">
        <v>DQ307460</v>
      </c>
      <c r="E79" s="103" t="str">
        <v/>
      </c>
      <c r="F79" s="103" t="str">
        <v/>
      </c>
      <c r="G79" s="103">
        <v>30.11</v>
      </c>
      <c r="H79" s="103">
        <v>94</v>
      </c>
      <c r="I79" s="103" t="str">
        <v/>
      </c>
      <c r="J79" s="103" t="str">
        <v/>
      </c>
      <c r="K79" s="103" t="str">
        <v>Wrong Width</v>
      </c>
      <c r="L79" s="103">
        <v>2</v>
      </c>
      <c r="M79" s="104" t="str">
        <v/>
      </c>
      <c r="N79" s="103" t="str">
        <v/>
      </c>
    </row>
    <row r="80" spans="1:14" s="101" customFormat="1" ht="45" customHeight="1" thickBot="1" x14ac:dyDescent="0.3">
      <c r="A80" s="103" t="str">
        <v>S26V01447</v>
      </c>
      <c r="B80" s="103" t="str">
        <v>PKGK26VE0001447B</v>
      </c>
      <c r="C80" s="103" t="str">
        <v>120-171719-17A@Dark Red</v>
      </c>
      <c r="D80" s="103" t="str">
        <v>DQ307470</v>
      </c>
      <c r="E80" s="103" t="str">
        <v/>
      </c>
      <c r="F80" s="103" t="str">
        <v/>
      </c>
      <c r="G80" s="103">
        <v>28.8</v>
      </c>
      <c r="H80" s="103">
        <v>86.5</v>
      </c>
      <c r="I80" s="103" t="str">
        <v/>
      </c>
      <c r="J80" s="103" t="str">
        <v/>
      </c>
      <c r="K80" s="103" t="str">
        <v>Wrong Width</v>
      </c>
      <c r="L80" s="103">
        <v>1</v>
      </c>
      <c r="M80" s="104" t="str">
        <v/>
      </c>
      <c r="N80" s="103" t="str">
        <v/>
      </c>
    </row>
    <row r="81" spans="1:14" s="101" customFormat="1" ht="45" customHeight="1" thickBot="1" x14ac:dyDescent="0.3">
      <c r="A81" s="103" t="str">
        <v>S26V01447</v>
      </c>
      <c r="B81" s="103" t="str">
        <v>PKGK26VE0001447B</v>
      </c>
      <c r="C81" s="103" t="str">
        <v>120-171719-17A@Dark Red</v>
      </c>
      <c r="D81" s="103" t="str">
        <v>DQ307470</v>
      </c>
      <c r="E81" s="103" t="str">
        <v/>
      </c>
      <c r="F81" s="103" t="str">
        <v/>
      </c>
      <c r="G81" s="103">
        <v>93.5</v>
      </c>
      <c r="H81" s="103">
        <v>280.5</v>
      </c>
      <c r="I81" s="103" t="str">
        <v/>
      </c>
      <c r="J81" s="103" t="str">
        <v/>
      </c>
      <c r="K81" s="103" t="str">
        <v>Wrong Width</v>
      </c>
      <c r="L81" s="103">
        <v>2</v>
      </c>
      <c r="M81" s="104" t="str">
        <v/>
      </c>
      <c r="N81" s="103" t="str">
        <v/>
      </c>
    </row>
    <row r="82" spans="1:14" s="101" customFormat="1" ht="45" customHeight="1" thickBot="1" x14ac:dyDescent="0.3">
      <c r="A82" s="103" t="str">
        <v>S26V01447</v>
      </c>
      <c r="B82" s="103" t="str">
        <v>PKGK26VE0001447B</v>
      </c>
      <c r="C82" s="103" t="str">
        <v>120-171647-056@Green</v>
      </c>
      <c r="D82" s="103" t="str">
        <v>DQ307510</v>
      </c>
      <c r="E82" s="103" t="str">
        <v/>
      </c>
      <c r="F82" s="103" t="str">
        <v/>
      </c>
      <c r="G82" s="103">
        <v>50.34</v>
      </c>
      <c r="H82" s="103">
        <v>150.5</v>
      </c>
      <c r="I82" s="103" t="str">
        <v/>
      </c>
      <c r="J82" s="103" t="str">
        <v/>
      </c>
      <c r="K82" s="103" t="str">
        <v>Wrong Width</v>
      </c>
      <c r="L82" s="103">
        <v>1</v>
      </c>
      <c r="M82" s="104" t="str">
        <v/>
      </c>
      <c r="N82" s="103" t="str">
        <v/>
      </c>
    </row>
    <row r="83" spans="1:14" s="101" customFormat="1" ht="45" customHeight="1" thickBot="1" x14ac:dyDescent="0.3">
      <c r="A83" s="103" t="str">
        <v>S26V01447</v>
      </c>
      <c r="B83" s="103" t="str">
        <v>PKGK26VE0001447B</v>
      </c>
      <c r="C83" s="103" t="str">
        <v>120-171647-040@40 Navy SS</v>
      </c>
      <c r="D83" s="103" t="str">
        <v>DQ307540</v>
      </c>
      <c r="E83" s="103" t="str">
        <v/>
      </c>
      <c r="F83" s="103" t="str">
        <v/>
      </c>
      <c r="G83" s="103">
        <v>46.5</v>
      </c>
      <c r="H83" s="103">
        <v>144</v>
      </c>
      <c r="I83" s="103" t="str">
        <v/>
      </c>
      <c r="J83" s="103" t="str">
        <v/>
      </c>
      <c r="K83" s="103" t="str">
        <v>Wrong Width</v>
      </c>
      <c r="L83" s="103">
        <v>1</v>
      </c>
      <c r="M83" s="104" t="str">
        <v/>
      </c>
      <c r="N83" s="103" t="str">
        <v/>
      </c>
    </row>
    <row r="84" spans="1:14" s="101" customFormat="1" ht="45" customHeight="1" thickBot="1" x14ac:dyDescent="0.3">
      <c r="A84" s="103" t="str">
        <v>S26V01447</v>
      </c>
      <c r="B84" s="103" t="str">
        <v>PKGK26VE0001447B</v>
      </c>
      <c r="C84" s="103" t="str">
        <v>120-171647-043@43 Black SS</v>
      </c>
      <c r="D84" s="103" t="str">
        <v>DQ307550</v>
      </c>
      <c r="E84" s="103" t="str">
        <v/>
      </c>
      <c r="F84" s="103" t="str">
        <v/>
      </c>
      <c r="G84" s="103">
        <v>817.3</v>
      </c>
      <c r="H84" s="103">
        <v>2447.5</v>
      </c>
      <c r="I84" s="103" t="str">
        <v/>
      </c>
      <c r="J84" s="103" t="str">
        <v/>
      </c>
      <c r="K84" s="103" t="str">
        <v>Wrong Width</v>
      </c>
      <c r="L84" s="103">
        <v>1</v>
      </c>
      <c r="M84" s="104" t="str">
        <v/>
      </c>
      <c r="N84" s="103" t="str">
        <v/>
      </c>
    </row>
    <row r="85" spans="1:14" s="101" customFormat="1" ht="45" customHeight="1" thickBot="1" x14ac:dyDescent="0.3">
      <c r="A85" s="103" t="str">
        <v>S26V01447</v>
      </c>
      <c r="B85" s="103" t="str">
        <v>PKGK26VE0001447B</v>
      </c>
      <c r="C85" s="103" t="str">
        <v>120-171647-043@43 Black SS</v>
      </c>
      <c r="D85" s="103" t="str">
        <v>DQ307550</v>
      </c>
      <c r="E85" s="103" t="str">
        <v/>
      </c>
      <c r="F85" s="103" t="str">
        <v/>
      </c>
      <c r="G85" s="103">
        <v>120.2</v>
      </c>
      <c r="H85" s="103">
        <v>360</v>
      </c>
      <c r="I85" s="103" t="str">
        <v/>
      </c>
      <c r="J85" s="103" t="str">
        <v/>
      </c>
      <c r="K85" s="103" t="str">
        <v>Wrong Width</v>
      </c>
      <c r="L85" s="103">
        <v>2</v>
      </c>
      <c r="M85" s="104" t="str">
        <v/>
      </c>
      <c r="N85" s="103" t="str">
        <v/>
      </c>
    </row>
    <row r="86" spans="1:14" s="101" customFormat="1" ht="45" customHeight="1" thickBot="1" x14ac:dyDescent="0.3">
      <c r="A86" s="103" t="str">
        <v>S26V01447</v>
      </c>
      <c r="B86" s="103" t="str">
        <v>PKGK26VE0001447B</v>
      </c>
      <c r="C86" s="103" t="str">
        <v>120-171742-000@00 White SS</v>
      </c>
      <c r="D86" s="103" t="str">
        <v>DQ307570</v>
      </c>
      <c r="E86" s="103" t="str">
        <v/>
      </c>
      <c r="F86" s="103" t="str">
        <v/>
      </c>
      <c r="G86" s="103">
        <v>56.9</v>
      </c>
      <c r="H86" s="103">
        <v>151</v>
      </c>
      <c r="I86" s="103" t="str">
        <v/>
      </c>
      <c r="J86" s="103" t="str">
        <v/>
      </c>
      <c r="K86" s="103" t="str">
        <v>Wrong Width</v>
      </c>
      <c r="L86" s="103">
        <v>1</v>
      </c>
      <c r="M86" s="104" t="str">
        <v/>
      </c>
      <c r="N86" s="103" t="str">
        <v/>
      </c>
    </row>
    <row r="87" spans="1:14" s="101" customFormat="1" ht="45" customHeight="1" thickBot="1" x14ac:dyDescent="0.3">
      <c r="A87" s="103" t="str">
        <v>S26V01447</v>
      </c>
      <c r="B87" s="103" t="str">
        <v>PKGK26VE0001447B</v>
      </c>
      <c r="C87" s="103" t="str">
        <v>120-171742-000@00 White SS</v>
      </c>
      <c r="D87" s="103" t="str">
        <v>DQ30759A</v>
      </c>
      <c r="E87" s="103" t="str">
        <v/>
      </c>
      <c r="F87" s="103" t="str">
        <v/>
      </c>
      <c r="G87" s="103">
        <v>543.5</v>
      </c>
      <c r="H87" s="103">
        <v>1487</v>
      </c>
      <c r="I87" s="103" t="str">
        <v/>
      </c>
      <c r="J87" s="103" t="str">
        <v/>
      </c>
      <c r="K87" s="103" t="str">
        <v>Wrong Width</v>
      </c>
      <c r="L87" s="103">
        <v>2</v>
      </c>
      <c r="M87" s="104" t="str">
        <v/>
      </c>
      <c r="N87" s="103" t="str">
        <v/>
      </c>
    </row>
    <row r="88" spans="1:14" s="101" customFormat="1" ht="45" customHeight="1" thickBot="1" x14ac:dyDescent="0.3">
      <c r="A88" s="103" t="str">
        <v>S26V01447</v>
      </c>
      <c r="B88" s="103" t="str">
        <v>PKGK26VE0001447B</v>
      </c>
      <c r="C88" s="103" t="str">
        <v>120-171742-000@00 White SS</v>
      </c>
      <c r="D88" s="103" t="str">
        <v>DQ307610</v>
      </c>
      <c r="E88" s="103" t="str">
        <v/>
      </c>
      <c r="F88" s="103" t="str">
        <v/>
      </c>
      <c r="G88" s="103">
        <v>133.80000000000001</v>
      </c>
      <c r="H88" s="103">
        <v>369.5</v>
      </c>
      <c r="I88" s="103" t="str">
        <v/>
      </c>
      <c r="J88" s="103" t="str">
        <v/>
      </c>
      <c r="K88" s="103" t="str">
        <v>Wrong Width</v>
      </c>
      <c r="L88" s="103">
        <v>2</v>
      </c>
      <c r="M88" s="104" t="str">
        <v/>
      </c>
      <c r="N88" s="103" t="str">
        <v/>
      </c>
    </row>
    <row r="89" spans="1:14" s="101" customFormat="1" ht="45" customHeight="1" thickBot="1" x14ac:dyDescent="0.3">
      <c r="A89" s="103" t="str">
        <v>S26V01447</v>
      </c>
      <c r="B89" s="103" t="str">
        <v>PKGK26VE0001447B</v>
      </c>
      <c r="C89" s="103" t="str">
        <v>120-171742-000@00 White SS</v>
      </c>
      <c r="D89" s="103" t="str">
        <v>DQ307610</v>
      </c>
      <c r="E89" s="103" t="str">
        <v/>
      </c>
      <c r="F89" s="103" t="str">
        <v/>
      </c>
      <c r="G89" s="103">
        <v>28.6</v>
      </c>
      <c r="H89" s="103">
        <v>79</v>
      </c>
      <c r="I89" s="103" t="str">
        <v/>
      </c>
      <c r="J89" s="103" t="str">
        <v/>
      </c>
      <c r="K89" s="103" t="str">
        <v>Wrong Width</v>
      </c>
      <c r="L89" s="103">
        <v>3</v>
      </c>
      <c r="M89" s="104" t="str">
        <v/>
      </c>
      <c r="N89" s="103" t="str">
        <v/>
      </c>
    </row>
    <row r="90" spans="1:14" s="101" customFormat="1" ht="45" customHeight="1" thickBot="1" x14ac:dyDescent="0.3">
      <c r="A90" s="103" t="str">
        <v>S26V01447</v>
      </c>
      <c r="B90" s="103" t="str">
        <v>PKGK26VE0001447B</v>
      </c>
      <c r="C90" s="103" t="str">
        <v>120-171686-009@09 Beige</v>
      </c>
      <c r="D90" s="103" t="str">
        <v>WQ305060</v>
      </c>
      <c r="E90" s="103" t="str">
        <v/>
      </c>
      <c r="F90" s="103" t="str">
        <v/>
      </c>
      <c r="G90" s="103">
        <v>30.58</v>
      </c>
      <c r="H90" s="103">
        <v>91.5</v>
      </c>
      <c r="I90" s="103" t="str">
        <v/>
      </c>
      <c r="J90" s="103" t="str">
        <v/>
      </c>
      <c r="K90" s="103" t="str">
        <v>Wrong Width</v>
      </c>
      <c r="L90" s="103">
        <v>1</v>
      </c>
      <c r="M90" s="104" t="str">
        <v/>
      </c>
      <c r="N90" s="103" t="str">
        <v/>
      </c>
    </row>
    <row r="91" spans="1:14" s="101" customFormat="1" ht="45" customHeight="1" thickBot="1" x14ac:dyDescent="0.3">
      <c r="A91" s="103" t="str">
        <v>S26V01447</v>
      </c>
      <c r="B91" s="103" t="str">
        <v>PKGK26VE0001447B</v>
      </c>
      <c r="C91" s="103" t="str">
        <v>120-171697 44E@Light Grey</v>
      </c>
      <c r="D91" s="103" t="str">
        <v>WQ305070</v>
      </c>
      <c r="E91" s="103" t="str">
        <v/>
      </c>
      <c r="F91" s="103" t="str">
        <v/>
      </c>
      <c r="G91" s="103">
        <v>94.13</v>
      </c>
      <c r="H91" s="103">
        <v>279</v>
      </c>
      <c r="I91" s="103" t="str">
        <v/>
      </c>
      <c r="J91" s="103" t="str">
        <v/>
      </c>
      <c r="K91" s="103" t="str">
        <v>Wrong Width</v>
      </c>
      <c r="L91" s="103">
        <v>1</v>
      </c>
      <c r="M91" s="104" t="str">
        <v/>
      </c>
      <c r="N91" s="103" t="str">
        <v/>
      </c>
    </row>
    <row r="92" spans="1:14" s="101" customFormat="1" ht="45" customHeight="1" thickBot="1" x14ac:dyDescent="0.3">
      <c r="A92" s="103" t="str">
        <v>S26V01447</v>
      </c>
      <c r="B92" s="103" t="str">
        <v>PKGK26VE0001447B</v>
      </c>
      <c r="C92" s="103" t="str">
        <v>120-171697 44E@Light Grey</v>
      </c>
      <c r="D92" s="103" t="str">
        <v>WQ305070</v>
      </c>
      <c r="E92" s="103" t="str">
        <v/>
      </c>
      <c r="F92" s="103" t="str">
        <v/>
      </c>
      <c r="G92" s="103">
        <v>18</v>
      </c>
      <c r="H92" s="103">
        <v>53.5</v>
      </c>
      <c r="I92" s="103" t="str">
        <v/>
      </c>
      <c r="J92" s="103" t="str">
        <v/>
      </c>
      <c r="K92" s="103" t="str">
        <v>Wrong Width</v>
      </c>
      <c r="L92" s="103">
        <v>2</v>
      </c>
      <c r="M92" s="104" t="str">
        <v/>
      </c>
      <c r="N92" s="103" t="str">
        <v/>
      </c>
    </row>
    <row r="93" spans="1:14" s="101" customFormat="1" ht="45" customHeight="1" thickBot="1" x14ac:dyDescent="0.3">
      <c r="A93" s="103" t="str">
        <v>S26V01447</v>
      </c>
      <c r="B93" s="103" t="str">
        <v>PKGK26VE0001447B</v>
      </c>
      <c r="C93" s="103" t="str">
        <v>120-171991-44D@Medium Grey</v>
      </c>
      <c r="D93" s="103" t="str">
        <v>WQ305080</v>
      </c>
      <c r="E93" s="103" t="str">
        <v/>
      </c>
      <c r="F93" s="103" t="str">
        <v/>
      </c>
      <c r="G93" s="103">
        <v>29.3</v>
      </c>
      <c r="H93" s="103">
        <v>89.5</v>
      </c>
      <c r="I93" s="103" t="str">
        <v/>
      </c>
      <c r="J93" s="103" t="str">
        <v/>
      </c>
      <c r="K93" s="103" t="str">
        <v>Wrong Width</v>
      </c>
      <c r="L93" s="103">
        <v>3</v>
      </c>
      <c r="M93" s="104" t="str">
        <v/>
      </c>
      <c r="N93" s="103" t="str">
        <v/>
      </c>
    </row>
    <row r="94" spans="1:14" s="101" customFormat="1" ht="45" customHeight="1" thickBot="1" x14ac:dyDescent="0.3">
      <c r="A94" s="103" t="str">
        <v>S26V01447</v>
      </c>
      <c r="B94" s="103" t="str">
        <v>PKGK26VE0001447B</v>
      </c>
      <c r="C94" s="103" t="str">
        <v>120-171742-000@00 White SS</v>
      </c>
      <c r="D94" s="103" t="str">
        <v>DQ307610</v>
      </c>
      <c r="E94" s="103" t="str">
        <v/>
      </c>
      <c r="F94" s="103" t="str">
        <v/>
      </c>
      <c r="G94" s="103">
        <v>642.04999999999995</v>
      </c>
      <c r="H94" s="103">
        <v>1735</v>
      </c>
      <c r="I94" s="103" t="str">
        <v/>
      </c>
      <c r="J94" s="103" t="str">
        <v/>
      </c>
      <c r="K94" s="103" t="str">
        <v/>
      </c>
      <c r="L94" s="103" t="str">
        <v/>
      </c>
      <c r="M94" s="104" t="str">
        <v/>
      </c>
      <c r="N94" s="103" t="str">
        <v>打NO纸生产(numbring in cutting)</v>
      </c>
    </row>
    <row r="95" spans="1:14" s="101" customFormat="1" ht="45" customHeight="1" thickBot="1" x14ac:dyDescent="0.3">
      <c r="A95" s="103" t="str">
        <v>S26V01447</v>
      </c>
      <c r="B95" s="103" t="str">
        <v>PKGK26VE0001447B</v>
      </c>
      <c r="C95" s="103" t="str">
        <v>120-171686-009@09 Beige</v>
      </c>
      <c r="D95" s="103" t="str">
        <v>WQ306580</v>
      </c>
      <c r="E95" s="103" t="str">
        <v/>
      </c>
      <c r="F95" s="103" t="str">
        <v/>
      </c>
      <c r="G95" s="103">
        <v>514.36</v>
      </c>
      <c r="H95" s="103">
        <v>1505</v>
      </c>
      <c r="I95" s="103" t="str">
        <v/>
      </c>
      <c r="J95" s="103" t="str">
        <v/>
      </c>
      <c r="K95" s="103" t="str">
        <v/>
      </c>
      <c r="L95" s="103" t="str">
        <v/>
      </c>
      <c r="M95" s="104" t="str">
        <v/>
      </c>
      <c r="N95" s="103" t="str">
        <v>打NO纸生产(numbring in cutting)</v>
      </c>
    </row>
    <row r="96" spans="1:14" s="101" customFormat="1" ht="45" customHeight="1" thickBot="1" x14ac:dyDescent="0.3">
      <c r="A96" s="103" t="str">
        <v>S26V01447</v>
      </c>
      <c r="B96" s="103" t="str">
        <v>PKGK26VE0001447B</v>
      </c>
      <c r="C96" s="103" t="str">
        <v>120-171742-000@00 White SS</v>
      </c>
      <c r="D96" s="103" t="str">
        <v>DQ307570</v>
      </c>
      <c r="E96" s="103" t="str">
        <v/>
      </c>
      <c r="F96" s="103" t="str">
        <v/>
      </c>
      <c r="G96" s="103">
        <v>696.37</v>
      </c>
      <c r="H96" s="103">
        <v>3485</v>
      </c>
      <c r="I96" s="103" t="str">
        <v/>
      </c>
      <c r="J96" s="103" t="str">
        <v/>
      </c>
      <c r="K96" s="103" t="str">
        <v/>
      </c>
      <c r="L96" s="103" t="str">
        <v/>
      </c>
      <c r="M96" s="104" t="str">
        <v/>
      </c>
      <c r="N96" s="103" t="str">
        <v>打NO纸生产(numbring in cutting)</v>
      </c>
    </row>
    <row r="97" spans="1:14" s="101" customFormat="1" ht="45" customHeight="1" thickBot="1" x14ac:dyDescent="0.3">
      <c r="A97" s="103" t="str">
        <v>S26V01447</v>
      </c>
      <c r="B97" s="103" t="str">
        <v>PKGK26VE0001447B</v>
      </c>
      <c r="C97" s="103" t="str">
        <v>120-171742-000@00 White SS</v>
      </c>
      <c r="D97" s="103" t="str">
        <v>DQ307580</v>
      </c>
      <c r="E97" s="103" t="str">
        <v/>
      </c>
      <c r="F97" s="103" t="str">
        <v/>
      </c>
      <c r="G97" s="103">
        <v>697</v>
      </c>
      <c r="H97" s="103">
        <v>1854</v>
      </c>
      <c r="I97" s="103" t="str">
        <v/>
      </c>
      <c r="J97" s="103" t="str">
        <v/>
      </c>
      <c r="K97" s="103" t="str">
        <v/>
      </c>
      <c r="L97" s="103" t="str">
        <v/>
      </c>
      <c r="M97" s="104" t="str">
        <v/>
      </c>
      <c r="N97" s="103" t="str">
        <v>打NO纸生产(numbring in cutting)</v>
      </c>
    </row>
    <row r="98" spans="1:14" s="101" customFormat="1" ht="45" customHeight="1" thickBot="1" x14ac:dyDescent="0.3">
      <c r="A98" s="103" t="str">
        <v>S26V01447</v>
      </c>
      <c r="B98" s="103" t="str">
        <v>PKGK26VE0001447B</v>
      </c>
      <c r="C98" s="103" t="str">
        <v>120-171742-000@00 White SS</v>
      </c>
      <c r="D98" s="103" t="str">
        <v>DQ30757A</v>
      </c>
      <c r="E98" s="103" t="str">
        <v/>
      </c>
      <c r="F98" s="103" t="str">
        <v/>
      </c>
      <c r="G98" s="103">
        <v>49.4</v>
      </c>
      <c r="H98" s="103">
        <v>122</v>
      </c>
      <c r="I98" s="103" t="str">
        <v/>
      </c>
      <c r="J98" s="103" t="str">
        <v/>
      </c>
      <c r="K98" s="103" t="str">
        <v/>
      </c>
      <c r="L98" s="103" t="str">
        <v/>
      </c>
      <c r="M98" s="104" t="str">
        <v/>
      </c>
      <c r="N98" s="103" t="str">
        <v>打NO纸生产(numbring in cutting)</v>
      </c>
    </row>
    <row r="99" spans="1:14" s="101" customFormat="1" ht="45" customHeight="1" thickBot="1" x14ac:dyDescent="0.3">
      <c r="A99" s="103" t="str">
        <v>S26V01447</v>
      </c>
      <c r="B99" s="103" t="str">
        <v>PKGK26VE0001447B</v>
      </c>
      <c r="C99" s="103" t="str">
        <v>120-171991-44D@Medium Grey</v>
      </c>
      <c r="D99" s="103" t="str">
        <v>WQ402040</v>
      </c>
      <c r="E99" s="103" t="str">
        <v/>
      </c>
      <c r="F99" s="103" t="str">
        <v/>
      </c>
      <c r="G99" s="103">
        <v>579.69000000000005</v>
      </c>
      <c r="H99" s="103">
        <v>1669.5</v>
      </c>
      <c r="I99" s="103" t="str">
        <v/>
      </c>
      <c r="J99" s="103" t="str">
        <v/>
      </c>
      <c r="K99" s="103" t="str">
        <v/>
      </c>
      <c r="L99" s="103" t="str">
        <v/>
      </c>
      <c r="M99" s="104" t="str">
        <v/>
      </c>
      <c r="N99" s="103" t="str">
        <v>打NO纸生产(numbring in cutting)</v>
      </c>
    </row>
    <row r="100" spans="1:14" s="101" customFormat="1" ht="45" customHeight="1" thickBot="1" x14ac:dyDescent="0.3">
      <c r="A100" s="103" t="str">
        <v>S26V01447</v>
      </c>
      <c r="B100" s="103" t="str">
        <v>PKGK26VE0001447B</v>
      </c>
      <c r="C100" s="103" t="str">
        <v>120-171742-000@00 White SS</v>
      </c>
      <c r="D100" s="103" t="str">
        <v>DQ30759A</v>
      </c>
      <c r="E100" s="103" t="str">
        <v/>
      </c>
      <c r="F100" s="103" t="str">
        <v/>
      </c>
      <c r="G100" s="103">
        <v>692.2</v>
      </c>
      <c r="H100" s="103">
        <v>1487</v>
      </c>
      <c r="I100" s="103" t="str">
        <v/>
      </c>
      <c r="J100" s="103" t="str">
        <v/>
      </c>
      <c r="K100" s="103" t="str">
        <v/>
      </c>
      <c r="L100" s="103" t="str">
        <v/>
      </c>
      <c r="M100" s="104" t="str">
        <v/>
      </c>
      <c r="N100" s="103" t="str">
        <v>打NO纸生产(numbring in cutting)</v>
      </c>
    </row>
    <row r="101" spans="1:14" s="101" customFormat="1" ht="45" customHeight="1" thickBot="1" x14ac:dyDescent="0.3">
      <c r="A101" s="103"/>
      <c r="B101" s="103"/>
      <c r="C101" s="103"/>
      <c r="D101" s="103"/>
      <c r="E101" s="103"/>
      <c r="F101" s="103"/>
      <c r="G101" s="103"/>
      <c r="H101" s="103"/>
      <c r="I101" s="103"/>
      <c r="J101" s="103"/>
      <c r="K101" s="103"/>
      <c r="L101" s="103"/>
      <c r="M101" s="104"/>
      <c r="N101" s="103"/>
    </row>
    <row r="102" spans="1:14" s="101" customFormat="1" ht="45" customHeight="1" thickBot="1" x14ac:dyDescent="0.3">
      <c r="A102" s="103"/>
      <c r="B102" s="103"/>
      <c r="C102" s="103"/>
      <c r="D102" s="103"/>
      <c r="E102" s="103"/>
      <c r="F102" s="103"/>
      <c r="G102" s="103"/>
      <c r="H102" s="103"/>
      <c r="I102" s="103"/>
      <c r="J102" s="103"/>
      <c r="K102" s="103"/>
      <c r="L102" s="103"/>
      <c r="M102" s="104"/>
      <c r="N102" s="103"/>
    </row>
    <row r="103" spans="1:14" s="101" customFormat="1" ht="45" customHeight="1" thickBot="1" x14ac:dyDescent="0.3">
      <c r="A103" s="103"/>
      <c r="B103" s="103"/>
      <c r="C103" s="103"/>
      <c r="D103" s="103"/>
      <c r="E103" s="103"/>
      <c r="F103" s="103"/>
      <c r="G103" s="103"/>
      <c r="H103" s="103"/>
      <c r="I103" s="103"/>
      <c r="J103" s="103"/>
      <c r="K103" s="103"/>
      <c r="L103" s="103"/>
      <c r="M103" s="104"/>
      <c r="N103" s="103"/>
    </row>
    <row r="104" spans="1:14" s="101" customFormat="1" ht="45" customHeight="1" thickBot="1" x14ac:dyDescent="0.3">
      <c r="A104" s="103"/>
      <c r="B104" s="103"/>
      <c r="C104" s="103"/>
      <c r="D104" s="103"/>
      <c r="E104" s="103"/>
      <c r="F104" s="103"/>
      <c r="G104" s="103"/>
      <c r="H104" s="103"/>
      <c r="I104" s="103"/>
      <c r="J104" s="103"/>
      <c r="K104" s="103"/>
      <c r="L104" s="103"/>
      <c r="M104" s="104"/>
      <c r="N104" s="103"/>
    </row>
    <row r="105" spans="1:14" s="101" customFormat="1" ht="45" customHeight="1" thickBot="1" x14ac:dyDescent="0.3">
      <c r="A105" s="103"/>
      <c r="B105" s="103"/>
      <c r="C105" s="103"/>
      <c r="D105" s="103"/>
      <c r="E105" s="103"/>
      <c r="F105" s="103"/>
      <c r="G105" s="103"/>
      <c r="H105" s="103"/>
      <c r="I105" s="103"/>
      <c r="J105" s="103"/>
      <c r="K105" s="103"/>
      <c r="L105" s="103"/>
      <c r="M105" s="104"/>
      <c r="N105" s="103"/>
    </row>
    <row r="106" spans="1:14" s="101" customFormat="1" ht="45" customHeight="1" thickBot="1" x14ac:dyDescent="0.3">
      <c r="A106" s="103"/>
      <c r="B106" s="103"/>
      <c r="C106" s="103"/>
      <c r="D106" s="103"/>
      <c r="E106" s="103"/>
      <c r="F106" s="103"/>
      <c r="G106" s="103"/>
      <c r="H106" s="103"/>
      <c r="I106" s="103"/>
      <c r="J106" s="103"/>
      <c r="K106" s="103"/>
      <c r="L106" s="103"/>
      <c r="M106" s="104"/>
      <c r="N106" s="103"/>
    </row>
    <row r="107" spans="1:14" s="101" customFormat="1" ht="45" customHeight="1" thickBot="1" x14ac:dyDescent="0.3">
      <c r="A107" s="103"/>
      <c r="B107" s="103"/>
      <c r="C107" s="103"/>
      <c r="D107" s="103"/>
      <c r="E107" s="103"/>
      <c r="F107" s="103"/>
      <c r="G107" s="103"/>
      <c r="H107" s="103"/>
      <c r="I107" s="103"/>
      <c r="J107" s="103"/>
      <c r="K107" s="103"/>
      <c r="L107" s="103"/>
      <c r="M107" s="104"/>
      <c r="N107" s="103"/>
    </row>
    <row r="108" spans="1:14" s="101" customFormat="1" ht="45" customHeight="1" thickBot="1" x14ac:dyDescent="0.3">
      <c r="A108" s="103"/>
      <c r="B108" s="103"/>
      <c r="C108" s="103"/>
      <c r="D108" s="103"/>
      <c r="E108" s="103"/>
      <c r="F108" s="103"/>
      <c r="G108" s="103"/>
      <c r="H108" s="103"/>
      <c r="I108" s="103"/>
      <c r="J108" s="103"/>
      <c r="K108" s="103"/>
      <c r="L108" s="103"/>
      <c r="M108" s="104"/>
      <c r="N108" s="103"/>
    </row>
    <row r="109" spans="1:14" s="101" customFormat="1" ht="45" customHeight="1" thickBot="1" x14ac:dyDescent="0.3">
      <c r="A109" s="103"/>
      <c r="B109" s="103"/>
      <c r="C109" s="103"/>
      <c r="D109" s="103"/>
      <c r="E109" s="103"/>
      <c r="F109" s="103"/>
      <c r="G109" s="103"/>
      <c r="H109" s="103"/>
      <c r="I109" s="103"/>
      <c r="J109" s="103"/>
      <c r="K109" s="103"/>
      <c r="L109" s="103"/>
      <c r="M109" s="104"/>
      <c r="N109" s="103"/>
    </row>
    <row r="110" spans="1:14" s="101" customFormat="1" ht="45" customHeight="1" thickBot="1" x14ac:dyDescent="0.3">
      <c r="A110" s="103"/>
      <c r="B110" s="103"/>
      <c r="C110" s="103"/>
      <c r="D110" s="103"/>
      <c r="E110" s="103"/>
      <c r="F110" s="103"/>
      <c r="G110" s="103"/>
      <c r="H110" s="103"/>
      <c r="I110" s="103"/>
      <c r="J110" s="103"/>
      <c r="K110" s="103"/>
      <c r="L110" s="103"/>
      <c r="M110" s="104"/>
      <c r="N110" s="103"/>
    </row>
    <row r="111" spans="1:14" s="101" customFormat="1" ht="45" customHeight="1" thickBot="1" x14ac:dyDescent="0.3">
      <c r="A111" s="103"/>
      <c r="B111" s="103"/>
      <c r="C111" s="103"/>
      <c r="D111" s="103"/>
      <c r="E111" s="103"/>
      <c r="F111" s="103"/>
      <c r="G111" s="103"/>
      <c r="H111" s="103"/>
      <c r="I111" s="103"/>
      <c r="J111" s="103"/>
      <c r="K111" s="103"/>
      <c r="L111" s="103"/>
      <c r="M111" s="104"/>
      <c r="N111" s="103"/>
    </row>
    <row r="112" spans="1:14" s="101" customFormat="1" ht="45" customHeight="1" thickBot="1" x14ac:dyDescent="0.3">
      <c r="A112" s="103"/>
      <c r="B112" s="103"/>
      <c r="C112" s="103"/>
      <c r="D112" s="103"/>
      <c r="E112" s="103"/>
      <c r="F112" s="103"/>
      <c r="G112" s="103"/>
      <c r="H112" s="103"/>
      <c r="I112" s="103"/>
      <c r="J112" s="103"/>
      <c r="K112" s="103"/>
      <c r="L112" s="103"/>
      <c r="M112" s="104"/>
      <c r="N112" s="103"/>
    </row>
    <row r="113" spans="1:14" s="101" customFormat="1" ht="45" customHeight="1" thickBot="1" x14ac:dyDescent="0.3">
      <c r="A113" s="103"/>
      <c r="B113" s="103"/>
      <c r="C113" s="103"/>
      <c r="D113" s="103"/>
      <c r="E113" s="103"/>
      <c r="F113" s="103"/>
      <c r="G113" s="103"/>
      <c r="H113" s="103"/>
      <c r="I113" s="103"/>
      <c r="J113" s="103"/>
      <c r="K113" s="103"/>
      <c r="L113" s="103"/>
      <c r="M113" s="104"/>
      <c r="N113" s="103"/>
    </row>
    <row r="114" spans="1:14" s="101" customFormat="1" ht="45" customHeight="1" thickBot="1" x14ac:dyDescent="0.3">
      <c r="A114" s="103"/>
      <c r="B114" s="103"/>
      <c r="C114" s="103"/>
      <c r="D114" s="103"/>
      <c r="E114" s="103"/>
      <c r="F114" s="103"/>
      <c r="G114" s="103"/>
      <c r="H114" s="103"/>
      <c r="I114" s="103"/>
      <c r="J114" s="103"/>
      <c r="K114" s="103"/>
      <c r="L114" s="103"/>
      <c r="M114" s="104"/>
      <c r="N114" s="103"/>
    </row>
    <row r="115" spans="1:14" s="101" customFormat="1" ht="45" customHeight="1" thickBot="1" x14ac:dyDescent="0.3">
      <c r="A115" s="103"/>
      <c r="B115" s="103"/>
      <c r="C115" s="103"/>
      <c r="D115" s="103"/>
      <c r="E115" s="103"/>
      <c r="F115" s="103"/>
      <c r="G115" s="103"/>
      <c r="H115" s="103"/>
      <c r="I115" s="103"/>
      <c r="J115" s="103"/>
      <c r="K115" s="103"/>
      <c r="L115" s="103"/>
      <c r="M115" s="104"/>
      <c r="N115" s="103"/>
    </row>
    <row r="116" spans="1:14" s="101" customFormat="1" ht="45" customHeight="1" thickBot="1" x14ac:dyDescent="0.3">
      <c r="A116" s="103"/>
      <c r="B116" s="103"/>
      <c r="C116" s="103"/>
      <c r="D116" s="103"/>
      <c r="E116" s="103"/>
      <c r="F116" s="103"/>
      <c r="G116" s="103"/>
      <c r="H116" s="103"/>
      <c r="I116" s="103"/>
      <c r="J116" s="103"/>
      <c r="K116" s="103"/>
      <c r="L116" s="103"/>
      <c r="M116" s="104"/>
      <c r="N116" s="103"/>
    </row>
    <row r="117" spans="1:14" s="101" customFormat="1" ht="45" customHeight="1" thickBot="1" x14ac:dyDescent="0.3">
      <c r="A117" s="103"/>
      <c r="B117" s="103"/>
      <c r="C117" s="103"/>
      <c r="D117" s="103"/>
      <c r="E117" s="103"/>
      <c r="F117" s="103"/>
      <c r="G117" s="103"/>
      <c r="H117" s="103"/>
      <c r="I117" s="103"/>
      <c r="J117" s="103"/>
      <c r="K117" s="103"/>
      <c r="L117" s="103"/>
      <c r="M117" s="104"/>
      <c r="N117" s="103"/>
    </row>
    <row r="118" spans="1:14" s="101" customFormat="1" ht="45" customHeight="1" thickBot="1" x14ac:dyDescent="0.3">
      <c r="A118" s="103"/>
      <c r="B118" s="103"/>
      <c r="C118" s="103"/>
      <c r="D118" s="103"/>
      <c r="E118" s="103"/>
      <c r="F118" s="103"/>
      <c r="G118" s="103"/>
      <c r="H118" s="103"/>
      <c r="I118" s="103"/>
      <c r="J118" s="103"/>
      <c r="K118" s="103"/>
      <c r="L118" s="103"/>
      <c r="M118" s="104"/>
      <c r="N118" s="103"/>
    </row>
    <row r="119" spans="1:14" s="101" customFormat="1" ht="45" customHeight="1" thickBot="1" x14ac:dyDescent="0.3">
      <c r="A119" s="103"/>
      <c r="B119" s="103"/>
      <c r="C119" s="103"/>
      <c r="D119" s="103"/>
      <c r="E119" s="103"/>
      <c r="F119" s="103"/>
      <c r="G119" s="103"/>
      <c r="H119" s="103"/>
      <c r="I119" s="103"/>
      <c r="J119" s="103"/>
      <c r="K119" s="103"/>
      <c r="L119" s="103"/>
      <c r="M119" s="104"/>
      <c r="N119" s="103"/>
    </row>
    <row r="120" spans="1:14" s="101" customFormat="1" ht="45" customHeight="1" thickBot="1" x14ac:dyDescent="0.3">
      <c r="A120" s="103"/>
      <c r="B120" s="103"/>
      <c r="C120" s="103"/>
      <c r="D120" s="103"/>
      <c r="E120" s="103"/>
      <c r="F120" s="103"/>
      <c r="G120" s="103"/>
      <c r="H120" s="103"/>
      <c r="I120" s="103"/>
      <c r="J120" s="103"/>
      <c r="K120" s="103"/>
      <c r="L120" s="103"/>
      <c r="M120" s="104"/>
      <c r="N120" s="103"/>
    </row>
    <row r="121" spans="1:14" s="101" customFormat="1" ht="45" customHeight="1" thickBot="1" x14ac:dyDescent="0.3">
      <c r="A121" s="103"/>
      <c r="B121" s="103"/>
      <c r="C121" s="103"/>
      <c r="D121" s="103"/>
      <c r="E121" s="103"/>
      <c r="F121" s="103"/>
      <c r="G121" s="103"/>
      <c r="H121" s="103"/>
      <c r="I121" s="103"/>
      <c r="J121" s="103"/>
      <c r="K121" s="103"/>
      <c r="L121" s="103"/>
      <c r="M121" s="104"/>
      <c r="N121" s="103"/>
    </row>
    <row r="122" spans="1:14" s="101" customFormat="1" ht="45" customHeight="1" thickBot="1" x14ac:dyDescent="0.3">
      <c r="A122" s="103"/>
      <c r="B122" s="103"/>
      <c r="C122" s="103"/>
      <c r="D122" s="103"/>
      <c r="E122" s="103"/>
      <c r="F122" s="103"/>
      <c r="G122" s="103"/>
      <c r="H122" s="103"/>
      <c r="I122" s="103"/>
      <c r="J122" s="103"/>
      <c r="K122" s="103"/>
      <c r="L122" s="103"/>
      <c r="M122" s="104"/>
      <c r="N122" s="103"/>
    </row>
    <row r="123" spans="1:14" s="101" customFormat="1" ht="45" customHeight="1" thickBot="1" x14ac:dyDescent="0.3">
      <c r="A123" s="103"/>
      <c r="B123" s="103"/>
      <c r="C123" s="103"/>
      <c r="D123" s="103"/>
      <c r="E123" s="103"/>
      <c r="F123" s="103"/>
      <c r="G123" s="103"/>
      <c r="H123" s="103"/>
      <c r="I123" s="103"/>
      <c r="J123" s="103"/>
      <c r="K123" s="103"/>
      <c r="L123" s="103"/>
      <c r="M123" s="104"/>
      <c r="N123" s="103"/>
    </row>
    <row r="124" spans="1:14" s="101" customFormat="1" ht="45" customHeight="1" thickBot="1" x14ac:dyDescent="0.3">
      <c r="A124" s="103"/>
      <c r="B124" s="103"/>
      <c r="C124" s="103"/>
      <c r="D124" s="103"/>
      <c r="E124" s="103"/>
      <c r="F124" s="103"/>
      <c r="G124" s="103"/>
      <c r="H124" s="103"/>
      <c r="I124" s="103"/>
      <c r="J124" s="103"/>
      <c r="K124" s="103"/>
      <c r="L124" s="103"/>
      <c r="M124" s="104"/>
      <c r="N124" s="103"/>
    </row>
    <row r="125" spans="1:14" s="101" customFormat="1" ht="45" customHeight="1" thickBot="1" x14ac:dyDescent="0.3">
      <c r="A125" s="103"/>
      <c r="B125" s="103"/>
      <c r="C125" s="103"/>
      <c r="D125" s="103"/>
      <c r="E125" s="103"/>
      <c r="F125" s="103"/>
      <c r="G125" s="103"/>
      <c r="H125" s="103"/>
      <c r="I125" s="103"/>
      <c r="J125" s="103"/>
      <c r="K125" s="103"/>
      <c r="L125" s="103"/>
      <c r="M125" s="104"/>
      <c r="N125" s="103"/>
    </row>
    <row r="126" spans="1:14" s="101" customFormat="1" ht="45" customHeight="1" thickBot="1" x14ac:dyDescent="0.3">
      <c r="A126" s="103"/>
      <c r="B126" s="103"/>
      <c r="C126" s="103"/>
      <c r="D126" s="103"/>
      <c r="E126" s="103"/>
      <c r="F126" s="103"/>
      <c r="G126" s="103"/>
      <c r="H126" s="103"/>
      <c r="I126" s="103"/>
      <c r="J126" s="103"/>
      <c r="K126" s="103"/>
      <c r="L126" s="103"/>
      <c r="M126" s="104"/>
      <c r="N126" s="103"/>
    </row>
    <row r="127" spans="1:14" s="101" customFormat="1" ht="45" customHeight="1" thickBot="1" x14ac:dyDescent="0.3">
      <c r="A127" s="103"/>
      <c r="B127" s="103"/>
      <c r="C127" s="103"/>
      <c r="D127" s="103"/>
      <c r="E127" s="103"/>
      <c r="F127" s="103"/>
      <c r="G127" s="103"/>
      <c r="H127" s="103"/>
      <c r="I127" s="103"/>
      <c r="J127" s="103"/>
      <c r="K127" s="103"/>
      <c r="L127" s="103"/>
      <c r="M127" s="104"/>
      <c r="N127" s="103"/>
    </row>
    <row r="128" spans="1:14" s="101" customFormat="1" ht="45" customHeight="1" thickBot="1" x14ac:dyDescent="0.3">
      <c r="A128" s="103"/>
      <c r="B128" s="103"/>
      <c r="C128" s="103"/>
      <c r="D128" s="103"/>
      <c r="E128" s="103"/>
      <c r="F128" s="103"/>
      <c r="G128" s="103"/>
      <c r="H128" s="103"/>
      <c r="I128" s="103"/>
      <c r="J128" s="103"/>
      <c r="K128" s="103"/>
      <c r="L128" s="103"/>
      <c r="M128" s="104"/>
      <c r="N128" s="103"/>
    </row>
    <row r="129" spans="1:14" s="101" customFormat="1" ht="45" customHeight="1" thickBot="1" x14ac:dyDescent="0.3">
      <c r="A129" s="103"/>
      <c r="B129" s="103"/>
      <c r="C129" s="103"/>
      <c r="D129" s="103"/>
      <c r="E129" s="103"/>
      <c r="F129" s="103"/>
      <c r="G129" s="103"/>
      <c r="H129" s="103"/>
      <c r="I129" s="103"/>
      <c r="J129" s="103"/>
      <c r="K129" s="103"/>
      <c r="L129" s="103"/>
      <c r="M129" s="104"/>
      <c r="N129" s="103"/>
    </row>
    <row r="130" spans="1:14" s="101" customFormat="1" ht="45" customHeight="1" thickBot="1" x14ac:dyDescent="0.3">
      <c r="A130" s="103"/>
      <c r="B130" s="103"/>
      <c r="C130" s="103"/>
      <c r="D130" s="103"/>
      <c r="E130" s="103"/>
      <c r="F130" s="103"/>
      <c r="G130" s="103"/>
      <c r="H130" s="103"/>
      <c r="I130" s="103"/>
      <c r="J130" s="103"/>
      <c r="K130" s="103"/>
      <c r="L130" s="103"/>
      <c r="M130" s="104"/>
      <c r="N130" s="103"/>
    </row>
    <row r="131" spans="1:14" s="101" customFormat="1" ht="45" customHeight="1" thickBot="1" x14ac:dyDescent="0.3">
      <c r="A131" s="103"/>
      <c r="B131" s="103"/>
      <c r="C131" s="103"/>
      <c r="D131" s="103"/>
      <c r="E131" s="103"/>
      <c r="F131" s="103"/>
      <c r="G131" s="103"/>
      <c r="H131" s="103"/>
      <c r="I131" s="103"/>
      <c r="J131" s="103"/>
      <c r="K131" s="103"/>
      <c r="L131" s="103"/>
      <c r="M131" s="104"/>
      <c r="N131" s="103"/>
    </row>
    <row r="132" spans="1:14" s="101" customFormat="1" ht="45" customHeight="1" thickBot="1" x14ac:dyDescent="0.3">
      <c r="A132" s="103"/>
      <c r="B132" s="103"/>
      <c r="C132" s="103"/>
      <c r="D132" s="103"/>
      <c r="E132" s="103"/>
      <c r="F132" s="103"/>
      <c r="G132" s="103"/>
      <c r="H132" s="103"/>
      <c r="I132" s="103"/>
      <c r="J132" s="103"/>
      <c r="K132" s="103"/>
      <c r="L132" s="103"/>
      <c r="M132" s="104"/>
      <c r="N132" s="103"/>
    </row>
    <row r="133" spans="1:14" s="101" customFormat="1" ht="45" customHeight="1" thickBot="1" x14ac:dyDescent="0.3">
      <c r="A133" s="103"/>
      <c r="B133" s="103"/>
      <c r="C133" s="103"/>
      <c r="D133" s="103"/>
      <c r="E133" s="103"/>
      <c r="F133" s="103"/>
      <c r="G133" s="103"/>
      <c r="H133" s="103"/>
      <c r="I133" s="103"/>
      <c r="J133" s="103"/>
      <c r="K133" s="103"/>
      <c r="L133" s="103"/>
      <c r="M133" s="104"/>
      <c r="N133" s="103"/>
    </row>
    <row r="134" spans="1:14" s="101" customFormat="1" ht="45" customHeight="1" thickBot="1" x14ac:dyDescent="0.3">
      <c r="A134" s="103"/>
      <c r="B134" s="103"/>
      <c r="C134" s="103"/>
      <c r="D134" s="103"/>
      <c r="E134" s="103"/>
      <c r="F134" s="103"/>
      <c r="G134" s="103"/>
      <c r="H134" s="103"/>
      <c r="I134" s="103"/>
      <c r="J134" s="103"/>
      <c r="K134" s="103"/>
      <c r="L134" s="103"/>
      <c r="M134" s="104"/>
      <c r="N134" s="103"/>
    </row>
    <row r="135" spans="1:14" s="101" customFormat="1" ht="45" customHeight="1" thickBot="1" x14ac:dyDescent="0.3">
      <c r="A135" s="103"/>
      <c r="B135" s="103"/>
      <c r="C135" s="103"/>
      <c r="D135" s="103"/>
      <c r="E135" s="103"/>
      <c r="F135" s="103"/>
      <c r="G135" s="103"/>
      <c r="H135" s="103"/>
      <c r="I135" s="103"/>
      <c r="J135" s="103"/>
      <c r="K135" s="103"/>
      <c r="L135" s="103"/>
      <c r="M135" s="104"/>
      <c r="N135" s="103"/>
    </row>
    <row r="136" spans="1:14" s="101" customFormat="1" ht="45" customHeight="1" thickBot="1" x14ac:dyDescent="0.3">
      <c r="A136" s="103"/>
      <c r="B136" s="103"/>
      <c r="C136" s="103"/>
      <c r="D136" s="103"/>
      <c r="E136" s="103"/>
      <c r="F136" s="103"/>
      <c r="G136" s="103"/>
      <c r="H136" s="103"/>
      <c r="I136" s="103"/>
      <c r="J136" s="103"/>
      <c r="K136" s="103"/>
      <c r="L136" s="103"/>
      <c r="M136" s="104"/>
      <c r="N136" s="103"/>
    </row>
    <row r="137" spans="1:14" s="101" customFormat="1" ht="45" customHeight="1" thickBot="1" x14ac:dyDescent="0.3">
      <c r="A137" s="103"/>
      <c r="B137" s="103"/>
      <c r="C137" s="103"/>
      <c r="D137" s="103"/>
      <c r="E137" s="103"/>
      <c r="F137" s="103"/>
      <c r="G137" s="103"/>
      <c r="H137" s="103"/>
      <c r="I137" s="103"/>
      <c r="J137" s="103"/>
      <c r="K137" s="103"/>
      <c r="L137" s="103"/>
      <c r="M137" s="104"/>
      <c r="N137" s="103"/>
    </row>
    <row r="138" spans="1:14" s="101" customFormat="1" ht="45" customHeight="1" thickBot="1" x14ac:dyDescent="0.3">
      <c r="A138" s="103"/>
      <c r="B138" s="103"/>
      <c r="C138" s="103"/>
      <c r="D138" s="103"/>
      <c r="E138" s="103"/>
      <c r="F138" s="103"/>
      <c r="G138" s="103"/>
      <c r="H138" s="103"/>
      <c r="I138" s="103"/>
      <c r="J138" s="103"/>
      <c r="K138" s="103"/>
      <c r="L138" s="103"/>
      <c r="M138" s="104"/>
      <c r="N138" s="103"/>
    </row>
    <row r="139" spans="1:14" s="101" customFormat="1" ht="45" customHeight="1" thickBot="1" x14ac:dyDescent="0.3">
      <c r="A139" s="103"/>
      <c r="B139" s="103"/>
      <c r="C139" s="103"/>
      <c r="D139" s="103"/>
      <c r="E139" s="103"/>
      <c r="F139" s="103"/>
      <c r="G139" s="103"/>
      <c r="H139" s="103"/>
      <c r="I139" s="103"/>
      <c r="J139" s="103"/>
      <c r="K139" s="103"/>
      <c r="L139" s="103"/>
      <c r="M139" s="104"/>
      <c r="N139" s="103"/>
    </row>
    <row r="140" spans="1:14" s="101" customFormat="1" ht="45" customHeight="1" thickBot="1" x14ac:dyDescent="0.3">
      <c r="A140" s="103"/>
      <c r="B140" s="103"/>
      <c r="C140" s="103"/>
      <c r="D140" s="103"/>
      <c r="E140" s="103"/>
      <c r="F140" s="103"/>
      <c r="G140" s="103"/>
      <c r="H140" s="103"/>
      <c r="I140" s="103"/>
      <c r="J140" s="103"/>
      <c r="K140" s="103"/>
      <c r="L140" s="103"/>
      <c r="M140" s="104"/>
      <c r="N140" s="103"/>
    </row>
    <row r="141" spans="1:14" s="101" customFormat="1" ht="45" customHeight="1" thickBot="1" x14ac:dyDescent="0.3">
      <c r="A141" s="103"/>
      <c r="B141" s="103"/>
      <c r="C141" s="103"/>
      <c r="D141" s="103"/>
      <c r="E141" s="103"/>
      <c r="F141" s="103"/>
      <c r="G141" s="103"/>
      <c r="H141" s="103"/>
      <c r="I141" s="103"/>
      <c r="J141" s="103"/>
      <c r="K141" s="103"/>
      <c r="L141" s="103"/>
      <c r="M141" s="104"/>
      <c r="N141" s="103"/>
    </row>
    <row r="142" spans="1:14" s="101" customFormat="1" ht="45" customHeight="1" thickBot="1" x14ac:dyDescent="0.3">
      <c r="A142" s="103"/>
      <c r="B142" s="103"/>
      <c r="C142" s="103"/>
      <c r="D142" s="103"/>
      <c r="E142" s="103"/>
      <c r="F142" s="103"/>
      <c r="G142" s="103"/>
      <c r="H142" s="103"/>
      <c r="I142" s="103"/>
      <c r="J142" s="103"/>
      <c r="K142" s="103"/>
      <c r="L142" s="103"/>
      <c r="M142" s="104"/>
      <c r="N142" s="103"/>
    </row>
    <row r="143" spans="1:14" s="101" customFormat="1" ht="45" customHeight="1" thickBot="1" x14ac:dyDescent="0.3">
      <c r="A143" s="103"/>
      <c r="B143" s="103"/>
      <c r="C143" s="103"/>
      <c r="D143" s="103"/>
      <c r="E143" s="103"/>
      <c r="F143" s="103"/>
      <c r="G143" s="103"/>
      <c r="H143" s="103"/>
      <c r="I143" s="103"/>
      <c r="J143" s="103"/>
      <c r="K143" s="103"/>
      <c r="L143" s="103"/>
      <c r="M143" s="104"/>
      <c r="N143" s="103"/>
    </row>
    <row r="144" spans="1:14" s="101" customFormat="1" ht="45" customHeight="1" thickBot="1" x14ac:dyDescent="0.3">
      <c r="A144" s="103"/>
      <c r="B144" s="103"/>
      <c r="C144" s="103"/>
      <c r="D144" s="103"/>
      <c r="E144" s="103"/>
      <c r="F144" s="103"/>
      <c r="G144" s="103"/>
      <c r="H144" s="103"/>
      <c r="I144" s="103"/>
      <c r="J144" s="103"/>
      <c r="K144" s="103"/>
      <c r="L144" s="103"/>
      <c r="M144" s="104"/>
      <c r="N144" s="103"/>
    </row>
    <row r="145" spans="1:14" s="101" customFormat="1" ht="45" customHeight="1" thickBot="1" x14ac:dyDescent="0.3">
      <c r="A145" s="103"/>
      <c r="B145" s="103"/>
      <c r="C145" s="103"/>
      <c r="D145" s="103"/>
      <c r="E145" s="103"/>
      <c r="F145" s="103"/>
      <c r="G145" s="103"/>
      <c r="H145" s="103"/>
      <c r="I145" s="103"/>
      <c r="J145" s="103"/>
      <c r="K145" s="103"/>
      <c r="L145" s="103"/>
      <c r="M145" s="104"/>
      <c r="N145" s="103"/>
    </row>
    <row r="146" spans="1:14" s="101" customFormat="1" ht="45" customHeight="1" thickBot="1" x14ac:dyDescent="0.3">
      <c r="A146" s="103"/>
      <c r="B146" s="103"/>
      <c r="C146" s="103"/>
      <c r="D146" s="103"/>
      <c r="E146" s="103"/>
      <c r="F146" s="103"/>
      <c r="G146" s="103"/>
      <c r="H146" s="103"/>
      <c r="I146" s="103"/>
      <c r="J146" s="103"/>
      <c r="K146" s="103"/>
      <c r="L146" s="103"/>
      <c r="M146" s="104"/>
      <c r="N146" s="103"/>
    </row>
    <row r="147" spans="1:14" s="101" customFormat="1" ht="45" customHeight="1" thickBot="1" x14ac:dyDescent="0.3">
      <c r="A147" s="103"/>
      <c r="B147" s="103"/>
      <c r="C147" s="103"/>
      <c r="D147" s="103"/>
      <c r="E147" s="103"/>
      <c r="F147" s="103"/>
      <c r="G147" s="103"/>
      <c r="H147" s="103"/>
      <c r="I147" s="103"/>
      <c r="J147" s="103"/>
      <c r="K147" s="103"/>
      <c r="L147" s="103"/>
      <c r="M147" s="104"/>
      <c r="N147" s="103"/>
    </row>
    <row r="148" spans="1:14" s="101" customFormat="1" ht="45" customHeight="1" thickBot="1" x14ac:dyDescent="0.3">
      <c r="A148" s="103"/>
      <c r="B148" s="103"/>
      <c r="C148" s="103"/>
      <c r="D148" s="103"/>
      <c r="E148" s="103"/>
      <c r="F148" s="103"/>
      <c r="G148" s="103"/>
      <c r="H148" s="103"/>
      <c r="I148" s="103"/>
      <c r="J148" s="103"/>
      <c r="K148" s="103"/>
      <c r="L148" s="103"/>
      <c r="M148" s="104"/>
      <c r="N148" s="103"/>
    </row>
    <row r="149" spans="1:14" s="101" customFormat="1" ht="45" customHeight="1" thickBot="1" x14ac:dyDescent="0.3">
      <c r="A149" s="103"/>
      <c r="B149" s="103"/>
      <c r="C149" s="103"/>
      <c r="D149" s="103"/>
      <c r="E149" s="103"/>
      <c r="F149" s="103"/>
      <c r="G149" s="103"/>
      <c r="H149" s="103"/>
      <c r="I149" s="103"/>
      <c r="J149" s="103"/>
      <c r="K149" s="103"/>
      <c r="L149" s="103"/>
      <c r="M149" s="104"/>
      <c r="N149" s="103"/>
    </row>
    <row r="150" spans="1:14" s="101" customFormat="1" ht="45" customHeight="1" thickBot="1" x14ac:dyDescent="0.3">
      <c r="A150" s="103"/>
      <c r="B150" s="103"/>
      <c r="C150" s="103"/>
      <c r="D150" s="103"/>
      <c r="E150" s="103"/>
      <c r="F150" s="103"/>
      <c r="G150" s="103"/>
      <c r="H150" s="103"/>
      <c r="I150" s="103"/>
      <c r="J150" s="103"/>
      <c r="K150" s="103"/>
      <c r="L150" s="103"/>
      <c r="M150" s="104"/>
      <c r="N150" s="103"/>
    </row>
    <row r="151" spans="1:14" s="101" customFormat="1" ht="45" customHeight="1" thickBot="1" x14ac:dyDescent="0.3">
      <c r="A151" s="103"/>
      <c r="B151" s="103"/>
      <c r="C151" s="103"/>
      <c r="D151" s="103"/>
      <c r="E151" s="103"/>
      <c r="F151" s="103"/>
      <c r="G151" s="103"/>
      <c r="H151" s="103"/>
      <c r="I151" s="103"/>
      <c r="J151" s="103"/>
      <c r="K151" s="103"/>
      <c r="L151" s="103"/>
      <c r="M151" s="104"/>
      <c r="N151" s="103"/>
    </row>
    <row r="152" spans="1:14" s="101" customFormat="1" ht="45" customHeight="1" thickBot="1" x14ac:dyDescent="0.3">
      <c r="A152" s="103"/>
      <c r="B152" s="103"/>
      <c r="C152" s="103"/>
      <c r="D152" s="103"/>
      <c r="E152" s="103"/>
      <c r="F152" s="103"/>
      <c r="G152" s="103"/>
      <c r="H152" s="103"/>
      <c r="I152" s="103"/>
      <c r="J152" s="103"/>
      <c r="K152" s="103"/>
      <c r="L152" s="103"/>
      <c r="M152" s="104"/>
      <c r="N152" s="103"/>
    </row>
    <row r="153" spans="1:14" s="101" customFormat="1" ht="45" customHeight="1" thickBot="1" x14ac:dyDescent="0.3">
      <c r="A153" s="103"/>
      <c r="B153" s="103"/>
      <c r="C153" s="103"/>
      <c r="D153" s="103"/>
      <c r="E153" s="103"/>
      <c r="F153" s="103"/>
      <c r="G153" s="103"/>
      <c r="H153" s="103"/>
      <c r="I153" s="103"/>
      <c r="J153" s="103"/>
      <c r="K153" s="103"/>
      <c r="L153" s="103"/>
      <c r="M153" s="104"/>
      <c r="N153" s="103"/>
    </row>
    <row r="154" spans="1:14" s="101" customFormat="1" ht="45" customHeight="1" thickBot="1" x14ac:dyDescent="0.3">
      <c r="A154" s="103"/>
      <c r="B154" s="103"/>
      <c r="C154" s="103"/>
      <c r="D154" s="103"/>
      <c r="E154" s="103"/>
      <c r="F154" s="103"/>
      <c r="G154" s="103"/>
      <c r="H154" s="103"/>
      <c r="I154" s="103"/>
      <c r="J154" s="103"/>
      <c r="K154" s="103"/>
      <c r="L154" s="103"/>
      <c r="M154" s="104"/>
      <c r="N154" s="103"/>
    </row>
    <row r="155" spans="1:14" s="101" customFormat="1" ht="45" customHeight="1" thickBot="1" x14ac:dyDescent="0.3">
      <c r="A155" s="103"/>
      <c r="B155" s="103"/>
      <c r="C155" s="103"/>
      <c r="D155" s="103"/>
      <c r="E155" s="103"/>
      <c r="F155" s="103"/>
      <c r="G155" s="103"/>
      <c r="H155" s="103"/>
      <c r="I155" s="103"/>
      <c r="J155" s="103"/>
      <c r="K155" s="103"/>
      <c r="L155" s="103"/>
      <c r="M155" s="104"/>
      <c r="N155" s="103"/>
    </row>
    <row r="156" spans="1:14" s="101" customFormat="1" ht="45" customHeight="1" thickBot="1" x14ac:dyDescent="0.3">
      <c r="A156" s="103"/>
      <c r="B156" s="103"/>
      <c r="C156" s="103"/>
      <c r="D156" s="103"/>
      <c r="E156" s="103"/>
      <c r="F156" s="103"/>
      <c r="G156" s="103"/>
      <c r="H156" s="103"/>
      <c r="I156" s="103"/>
      <c r="J156" s="103"/>
      <c r="K156" s="103"/>
      <c r="L156" s="103"/>
      <c r="M156" s="104"/>
      <c r="N156" s="103"/>
    </row>
    <row r="157" spans="1:14" s="101" customFormat="1" ht="45" customHeight="1" thickBot="1" x14ac:dyDescent="0.3">
      <c r="A157" s="103"/>
      <c r="B157" s="103"/>
      <c r="C157" s="103"/>
      <c r="D157" s="103"/>
      <c r="E157" s="103"/>
      <c r="F157" s="103"/>
      <c r="G157" s="103"/>
      <c r="H157" s="103"/>
      <c r="I157" s="103"/>
      <c r="J157" s="103"/>
      <c r="K157" s="103"/>
      <c r="L157" s="103"/>
      <c r="M157" s="104"/>
      <c r="N157" s="103"/>
    </row>
    <row r="158" spans="1:14" s="101" customFormat="1" ht="45" customHeight="1" thickBot="1" x14ac:dyDescent="0.3">
      <c r="A158" s="103"/>
      <c r="B158" s="103"/>
      <c r="C158" s="103"/>
      <c r="D158" s="103"/>
      <c r="E158" s="103"/>
      <c r="F158" s="103"/>
      <c r="G158" s="103"/>
      <c r="H158" s="103"/>
      <c r="I158" s="103"/>
      <c r="J158" s="103"/>
      <c r="K158" s="103"/>
      <c r="L158" s="103"/>
      <c r="M158" s="104"/>
      <c r="N158" s="103"/>
    </row>
    <row r="159" spans="1:14" s="101" customFormat="1" ht="45" customHeight="1" thickBot="1" x14ac:dyDescent="0.3">
      <c r="A159" s="103"/>
      <c r="B159" s="103"/>
      <c r="C159" s="103"/>
      <c r="D159" s="103"/>
      <c r="E159" s="103"/>
      <c r="F159" s="103"/>
      <c r="G159" s="103"/>
      <c r="H159" s="103"/>
      <c r="I159" s="103"/>
      <c r="J159" s="103"/>
      <c r="K159" s="103"/>
      <c r="L159" s="103"/>
      <c r="M159" s="104"/>
      <c r="N159" s="103"/>
    </row>
    <row r="160" spans="1:14" s="101" customFormat="1" ht="45" customHeight="1" thickBot="1" x14ac:dyDescent="0.3">
      <c r="A160" s="103"/>
      <c r="B160" s="103"/>
      <c r="C160" s="103"/>
      <c r="D160" s="103"/>
      <c r="E160" s="103"/>
      <c r="F160" s="103"/>
      <c r="G160" s="103"/>
      <c r="H160" s="103"/>
      <c r="I160" s="103"/>
      <c r="J160" s="103"/>
      <c r="K160" s="103"/>
      <c r="L160" s="103"/>
      <c r="M160" s="104"/>
      <c r="N160" s="103"/>
    </row>
    <row r="161" spans="1:14" s="101" customFormat="1" ht="45" customHeight="1" thickBot="1" x14ac:dyDescent="0.3">
      <c r="A161" s="103"/>
      <c r="B161" s="103"/>
      <c r="C161" s="103"/>
      <c r="D161" s="103"/>
      <c r="E161" s="103"/>
      <c r="F161" s="103"/>
      <c r="G161" s="103"/>
      <c r="H161" s="103"/>
      <c r="I161" s="103"/>
      <c r="J161" s="103"/>
      <c r="K161" s="103"/>
      <c r="L161" s="103"/>
      <c r="M161" s="104"/>
      <c r="N161" s="103"/>
    </row>
    <row r="162" spans="1:14" s="101" customFormat="1" ht="45" customHeight="1" thickBot="1" x14ac:dyDescent="0.3">
      <c r="A162" s="103"/>
      <c r="B162" s="103"/>
      <c r="C162" s="103"/>
      <c r="D162" s="103"/>
      <c r="E162" s="103"/>
      <c r="F162" s="103"/>
      <c r="G162" s="103"/>
      <c r="H162" s="103"/>
      <c r="I162" s="103"/>
      <c r="J162" s="103"/>
      <c r="K162" s="103"/>
      <c r="L162" s="103"/>
      <c r="M162" s="104"/>
      <c r="N162" s="103"/>
    </row>
    <row r="163" spans="1:14" s="101" customFormat="1" ht="45" customHeight="1" thickBot="1" x14ac:dyDescent="0.3">
      <c r="A163" s="103"/>
      <c r="B163" s="103"/>
      <c r="C163" s="103"/>
      <c r="D163" s="103"/>
      <c r="E163" s="103"/>
      <c r="F163" s="103"/>
      <c r="G163" s="103"/>
      <c r="H163" s="103"/>
      <c r="I163" s="103"/>
      <c r="J163" s="103"/>
      <c r="K163" s="103"/>
      <c r="L163" s="103"/>
      <c r="M163" s="104"/>
      <c r="N163" s="103"/>
    </row>
    <row r="164" spans="1:14" s="101" customFormat="1" ht="45" customHeight="1" thickBot="1" x14ac:dyDescent="0.3">
      <c r="A164" s="103"/>
      <c r="B164" s="103"/>
      <c r="C164" s="103"/>
      <c r="D164" s="103"/>
      <c r="E164" s="103"/>
      <c r="F164" s="103"/>
      <c r="G164" s="103"/>
      <c r="H164" s="103"/>
      <c r="I164" s="103"/>
      <c r="J164" s="103"/>
      <c r="K164" s="103"/>
      <c r="L164" s="103"/>
      <c r="M164" s="104"/>
      <c r="N164" s="103"/>
    </row>
    <row r="165" spans="1:14" s="101" customFormat="1" ht="45" customHeight="1" thickBot="1" x14ac:dyDescent="0.3">
      <c r="A165" s="103"/>
      <c r="B165" s="103"/>
      <c r="C165" s="103"/>
      <c r="D165" s="103"/>
      <c r="E165" s="103"/>
      <c r="F165" s="103"/>
      <c r="G165" s="103"/>
      <c r="H165" s="103"/>
      <c r="I165" s="103"/>
      <c r="J165" s="103"/>
      <c r="K165" s="103"/>
      <c r="L165" s="103"/>
      <c r="M165" s="104"/>
      <c r="N165" s="103"/>
    </row>
    <row r="166" spans="1:14" s="101" customFormat="1" ht="45" customHeight="1" thickBot="1" x14ac:dyDescent="0.3">
      <c r="A166" s="103"/>
      <c r="B166" s="103"/>
      <c r="C166" s="103"/>
      <c r="D166" s="103"/>
      <c r="E166" s="103"/>
      <c r="F166" s="103"/>
      <c r="G166" s="103"/>
      <c r="H166" s="103"/>
      <c r="I166" s="103"/>
      <c r="J166" s="103"/>
      <c r="K166" s="103"/>
      <c r="L166" s="103"/>
      <c r="M166" s="104"/>
      <c r="N166" s="103"/>
    </row>
    <row r="167" spans="1:14" s="101" customFormat="1" ht="45" customHeight="1" thickBot="1" x14ac:dyDescent="0.3">
      <c r="A167" s="103"/>
      <c r="B167" s="103"/>
      <c r="C167" s="103"/>
      <c r="D167" s="103"/>
      <c r="E167" s="103"/>
      <c r="F167" s="103"/>
      <c r="G167" s="103"/>
      <c r="H167" s="103"/>
      <c r="I167" s="103"/>
      <c r="J167" s="103"/>
      <c r="K167" s="103"/>
      <c r="L167" s="103"/>
      <c r="M167" s="104"/>
      <c r="N167" s="103"/>
    </row>
    <row r="168" spans="1:14" s="101" customFormat="1" ht="45" customHeight="1" thickBot="1" x14ac:dyDescent="0.3">
      <c r="A168" s="103"/>
      <c r="B168" s="103"/>
      <c r="C168" s="103"/>
      <c r="D168" s="103"/>
      <c r="E168" s="103"/>
      <c r="F168" s="103"/>
      <c r="G168" s="103"/>
      <c r="H168" s="103"/>
      <c r="I168" s="103"/>
      <c r="J168" s="103"/>
      <c r="K168" s="103"/>
      <c r="L168" s="103"/>
      <c r="M168" s="104"/>
      <c r="N168" s="103"/>
    </row>
    <row r="169" spans="1:14" s="101" customFormat="1" ht="45" customHeight="1" thickBot="1" x14ac:dyDescent="0.3">
      <c r="A169" s="103"/>
      <c r="B169" s="103"/>
      <c r="C169" s="103"/>
      <c r="D169" s="103"/>
      <c r="E169" s="103"/>
      <c r="F169" s="103"/>
      <c r="G169" s="103"/>
      <c r="H169" s="103"/>
      <c r="I169" s="103"/>
      <c r="J169" s="103"/>
      <c r="K169" s="103"/>
      <c r="L169" s="103"/>
      <c r="M169" s="104"/>
      <c r="N169" s="103"/>
    </row>
    <row r="170" spans="1:14" s="101" customFormat="1" ht="45" customHeight="1" thickBot="1" x14ac:dyDescent="0.3">
      <c r="A170" s="103"/>
      <c r="B170" s="103"/>
      <c r="C170" s="103"/>
      <c r="D170" s="103"/>
      <c r="E170" s="103"/>
      <c r="F170" s="103"/>
      <c r="G170" s="103"/>
      <c r="H170" s="103"/>
      <c r="I170" s="103"/>
      <c r="J170" s="103"/>
      <c r="K170" s="103"/>
      <c r="L170" s="103"/>
      <c r="M170" s="104"/>
      <c r="N170" s="103"/>
    </row>
    <row r="171" spans="1:14" s="101" customFormat="1" ht="45" customHeight="1" thickBot="1" x14ac:dyDescent="0.3">
      <c r="A171" s="103"/>
      <c r="B171" s="103"/>
      <c r="C171" s="103"/>
      <c r="D171" s="103"/>
      <c r="E171" s="103"/>
      <c r="F171" s="103"/>
      <c r="G171" s="103"/>
      <c r="H171" s="103"/>
      <c r="I171" s="103"/>
      <c r="J171" s="103"/>
      <c r="K171" s="103"/>
      <c r="L171" s="103"/>
      <c r="M171" s="104"/>
      <c r="N171" s="103"/>
    </row>
    <row r="172" spans="1:14" s="101" customFormat="1" ht="45" customHeight="1" thickBot="1" x14ac:dyDescent="0.3">
      <c r="A172" s="103"/>
      <c r="B172" s="103"/>
      <c r="C172" s="103"/>
      <c r="D172" s="103"/>
      <c r="E172" s="103"/>
      <c r="F172" s="103"/>
      <c r="G172" s="103"/>
      <c r="H172" s="103"/>
      <c r="I172" s="103"/>
      <c r="J172" s="103"/>
      <c r="K172" s="103"/>
      <c r="L172" s="103"/>
      <c r="M172" s="104"/>
      <c r="N172" s="103"/>
    </row>
    <row r="173" spans="1:14" s="101" customFormat="1" ht="45" customHeight="1" thickBot="1" x14ac:dyDescent="0.3">
      <c r="A173" s="103"/>
      <c r="B173" s="103"/>
      <c r="C173" s="103"/>
      <c r="D173" s="103"/>
      <c r="E173" s="103"/>
      <c r="F173" s="103"/>
      <c r="G173" s="103"/>
      <c r="H173" s="103"/>
      <c r="I173" s="103"/>
      <c r="J173" s="103"/>
      <c r="K173" s="103"/>
      <c r="L173" s="103"/>
      <c r="M173" s="104"/>
      <c r="N173" s="103"/>
    </row>
    <row r="174" spans="1:14" s="101" customFormat="1" ht="45" customHeight="1" thickBot="1" x14ac:dyDescent="0.3">
      <c r="A174" s="103"/>
      <c r="B174" s="103"/>
      <c r="C174" s="103"/>
      <c r="D174" s="103"/>
      <c r="E174" s="103"/>
      <c r="F174" s="103"/>
      <c r="G174" s="103"/>
      <c r="H174" s="103"/>
      <c r="I174" s="103"/>
      <c r="J174" s="103"/>
      <c r="K174" s="103"/>
      <c r="L174" s="103"/>
      <c r="M174" s="104"/>
      <c r="N174" s="103"/>
    </row>
    <row r="175" spans="1:14" s="101" customFormat="1" ht="45" customHeight="1" thickBot="1" x14ac:dyDescent="0.3">
      <c r="A175" s="103"/>
      <c r="B175" s="103"/>
      <c r="C175" s="103"/>
      <c r="D175" s="103"/>
      <c r="E175" s="103"/>
      <c r="F175" s="103"/>
      <c r="G175" s="103"/>
      <c r="H175" s="103"/>
      <c r="I175" s="103"/>
      <c r="J175" s="103"/>
      <c r="K175" s="103"/>
      <c r="L175" s="103"/>
      <c r="M175" s="104"/>
      <c r="N175" s="103"/>
    </row>
    <row r="176" spans="1:14" s="101" customFormat="1" ht="45" customHeight="1" thickBot="1" x14ac:dyDescent="0.3">
      <c r="A176" s="103"/>
      <c r="B176" s="103"/>
      <c r="C176" s="103"/>
      <c r="D176" s="103"/>
      <c r="E176" s="103"/>
      <c r="F176" s="103"/>
      <c r="G176" s="103"/>
      <c r="H176" s="103"/>
      <c r="I176" s="103"/>
      <c r="J176" s="103"/>
      <c r="K176" s="103"/>
      <c r="L176" s="103"/>
      <c r="M176" s="104"/>
      <c r="N176" s="103"/>
    </row>
    <row r="177" spans="1:14" s="101" customFormat="1" ht="45" customHeight="1" thickBot="1" x14ac:dyDescent="0.3">
      <c r="A177" s="103"/>
      <c r="B177" s="103"/>
      <c r="C177" s="103"/>
      <c r="D177" s="103"/>
      <c r="E177" s="103"/>
      <c r="F177" s="103"/>
      <c r="G177" s="103"/>
      <c r="H177" s="103"/>
      <c r="I177" s="103"/>
      <c r="J177" s="103"/>
      <c r="K177" s="103"/>
      <c r="L177" s="103"/>
      <c r="M177" s="104"/>
      <c r="N177" s="103"/>
    </row>
    <row r="178" spans="1:14" s="101" customFormat="1" ht="45" customHeight="1" thickBot="1" x14ac:dyDescent="0.3">
      <c r="A178" s="103"/>
      <c r="B178" s="103"/>
      <c r="C178" s="103"/>
      <c r="D178" s="103"/>
      <c r="E178" s="103"/>
      <c r="F178" s="103"/>
      <c r="G178" s="103"/>
      <c r="H178" s="103"/>
      <c r="I178" s="103"/>
      <c r="J178" s="103"/>
      <c r="K178" s="103"/>
      <c r="L178" s="103"/>
      <c r="M178" s="104"/>
      <c r="N178" s="103"/>
    </row>
    <row r="179" spans="1:14" s="101" customFormat="1" ht="45" customHeight="1" thickBot="1" x14ac:dyDescent="0.3">
      <c r="A179" s="103"/>
      <c r="B179" s="103"/>
      <c r="C179" s="103"/>
      <c r="D179" s="103"/>
      <c r="E179" s="103"/>
      <c r="F179" s="103"/>
      <c r="G179" s="103"/>
      <c r="H179" s="103"/>
      <c r="I179" s="103"/>
      <c r="J179" s="103"/>
      <c r="K179" s="103"/>
      <c r="L179" s="103"/>
      <c r="M179" s="104"/>
      <c r="N179" s="103"/>
    </row>
    <row r="180" spans="1:14" s="101" customFormat="1" ht="45" customHeight="1" thickBot="1" x14ac:dyDescent="0.3">
      <c r="A180" s="103"/>
      <c r="B180" s="103"/>
      <c r="C180" s="103"/>
      <c r="D180" s="103"/>
      <c r="E180" s="103"/>
      <c r="F180" s="103"/>
      <c r="G180" s="103"/>
      <c r="H180" s="103"/>
      <c r="I180" s="103"/>
      <c r="J180" s="103"/>
      <c r="K180" s="103"/>
      <c r="L180" s="103"/>
      <c r="M180" s="104"/>
      <c r="N180" s="103"/>
    </row>
    <row r="181" spans="1:14" s="101" customFormat="1" ht="45" customHeight="1" thickBot="1" x14ac:dyDescent="0.3">
      <c r="A181" s="103"/>
      <c r="B181" s="103"/>
      <c r="C181" s="103"/>
      <c r="D181" s="103"/>
      <c r="E181" s="103"/>
      <c r="F181" s="103"/>
      <c r="G181" s="103"/>
      <c r="H181" s="103"/>
      <c r="I181" s="103"/>
      <c r="J181" s="103"/>
      <c r="K181" s="103"/>
      <c r="L181" s="103"/>
      <c r="M181" s="104"/>
      <c r="N181" s="103"/>
    </row>
    <row r="182" spans="1:14" s="101" customFormat="1" ht="45" customHeight="1" thickBot="1" x14ac:dyDescent="0.3">
      <c r="A182" s="103"/>
      <c r="B182" s="103"/>
      <c r="C182" s="103"/>
      <c r="D182" s="103"/>
      <c r="E182" s="103"/>
      <c r="F182" s="103"/>
      <c r="G182" s="103"/>
      <c r="H182" s="103"/>
      <c r="I182" s="103"/>
      <c r="J182" s="103"/>
      <c r="K182" s="103"/>
      <c r="L182" s="103"/>
      <c r="M182" s="104"/>
      <c r="N182" s="103"/>
    </row>
    <row r="183" spans="1:14" s="101" customFormat="1" ht="45" customHeight="1" thickBot="1" x14ac:dyDescent="0.3">
      <c r="A183" s="103"/>
      <c r="B183" s="103"/>
      <c r="C183" s="103"/>
      <c r="D183" s="103"/>
      <c r="E183" s="103"/>
      <c r="F183" s="103"/>
      <c r="G183" s="103"/>
      <c r="H183" s="103"/>
      <c r="I183" s="103"/>
      <c r="J183" s="103"/>
      <c r="K183" s="103"/>
      <c r="L183" s="103"/>
      <c r="M183" s="104"/>
      <c r="N183" s="103"/>
    </row>
    <row r="184" spans="1:14" s="101" customFormat="1" ht="45" customHeight="1" thickBot="1" x14ac:dyDescent="0.3">
      <c r="A184" s="103"/>
      <c r="B184" s="103"/>
      <c r="C184" s="103"/>
      <c r="D184" s="103"/>
      <c r="E184" s="103"/>
      <c r="F184" s="103"/>
      <c r="G184" s="103"/>
      <c r="H184" s="103"/>
      <c r="I184" s="103"/>
      <c r="J184" s="103"/>
      <c r="K184" s="103"/>
      <c r="L184" s="103"/>
      <c r="M184" s="104"/>
      <c r="N184" s="103"/>
    </row>
    <row r="185" spans="1:14" s="101" customFormat="1" ht="45" customHeight="1" thickBot="1" x14ac:dyDescent="0.3">
      <c r="A185" s="103"/>
      <c r="B185" s="103"/>
      <c r="C185" s="103"/>
      <c r="D185" s="103"/>
      <c r="E185" s="103"/>
      <c r="F185" s="103"/>
      <c r="G185" s="103"/>
      <c r="H185" s="103"/>
      <c r="I185" s="103"/>
      <c r="J185" s="103"/>
      <c r="K185" s="103"/>
      <c r="L185" s="103"/>
      <c r="M185" s="104"/>
      <c r="N185" s="103"/>
    </row>
    <row r="186" spans="1:14" s="101" customFormat="1" ht="45" customHeight="1" thickBot="1" x14ac:dyDescent="0.3">
      <c r="A186" s="103"/>
      <c r="B186" s="103"/>
      <c r="C186" s="103"/>
      <c r="D186" s="103"/>
      <c r="E186" s="103"/>
      <c r="F186" s="103"/>
      <c r="G186" s="103"/>
      <c r="H186" s="103"/>
      <c r="I186" s="103"/>
      <c r="J186" s="103"/>
      <c r="K186" s="103"/>
      <c r="L186" s="103"/>
      <c r="M186" s="104"/>
      <c r="N186" s="103"/>
    </row>
    <row r="187" spans="1:14" s="101" customFormat="1" ht="45" customHeight="1" thickBot="1" x14ac:dyDescent="0.3">
      <c r="A187" s="103"/>
      <c r="B187" s="103"/>
      <c r="C187" s="103"/>
      <c r="D187" s="103"/>
      <c r="E187" s="103"/>
      <c r="F187" s="103"/>
      <c r="G187" s="103"/>
      <c r="H187" s="103"/>
      <c r="I187" s="103"/>
      <c r="J187" s="103"/>
      <c r="K187" s="103"/>
      <c r="L187" s="103"/>
      <c r="M187" s="104"/>
      <c r="N187" s="103"/>
    </row>
    <row r="188" spans="1:14" s="101" customFormat="1" ht="45" customHeight="1" thickBot="1" x14ac:dyDescent="0.3">
      <c r="A188" s="103"/>
      <c r="B188" s="103"/>
      <c r="C188" s="103"/>
      <c r="D188" s="103"/>
      <c r="E188" s="103"/>
      <c r="F188" s="103"/>
      <c r="G188" s="103"/>
      <c r="H188" s="103"/>
      <c r="I188" s="103"/>
      <c r="J188" s="103"/>
      <c r="K188" s="103"/>
      <c r="L188" s="103"/>
      <c r="M188" s="104"/>
      <c r="N188" s="103"/>
    </row>
    <row r="189" spans="1:14" s="101" customFormat="1" ht="45" customHeight="1" thickBot="1" x14ac:dyDescent="0.3">
      <c r="A189" s="103"/>
      <c r="B189" s="103"/>
      <c r="C189" s="103"/>
      <c r="D189" s="103"/>
      <c r="E189" s="103"/>
      <c r="F189" s="103"/>
      <c r="G189" s="103"/>
      <c r="H189" s="103"/>
      <c r="I189" s="103"/>
      <c r="J189" s="103"/>
      <c r="K189" s="103"/>
      <c r="L189" s="103"/>
      <c r="M189" s="104"/>
      <c r="N189" s="103"/>
    </row>
    <row r="190" spans="1:14" s="101" customFormat="1" ht="45" customHeight="1" thickBot="1" x14ac:dyDescent="0.3">
      <c r="A190" s="103"/>
      <c r="B190" s="103"/>
      <c r="C190" s="103"/>
      <c r="D190" s="103"/>
      <c r="E190" s="103"/>
      <c r="F190" s="103"/>
      <c r="G190" s="103"/>
      <c r="H190" s="103"/>
      <c r="I190" s="103"/>
      <c r="J190" s="103"/>
      <c r="K190" s="103"/>
      <c r="L190" s="103"/>
      <c r="M190" s="104"/>
      <c r="N190" s="103"/>
    </row>
    <row r="191" spans="1:14" s="101" customFormat="1" ht="45" customHeight="1" thickBot="1" x14ac:dyDescent="0.3">
      <c r="A191" s="103"/>
      <c r="B191" s="103"/>
      <c r="C191" s="103"/>
      <c r="D191" s="103"/>
      <c r="E191" s="103"/>
      <c r="F191" s="103"/>
      <c r="G191" s="103"/>
      <c r="H191" s="103"/>
      <c r="I191" s="103"/>
      <c r="J191" s="103"/>
      <c r="K191" s="103"/>
      <c r="L191" s="103"/>
      <c r="M191" s="104"/>
      <c r="N191" s="103"/>
    </row>
    <row r="192" spans="1:14" s="101" customFormat="1" ht="45" customHeight="1" thickBot="1" x14ac:dyDescent="0.3">
      <c r="A192" s="103"/>
      <c r="B192" s="103"/>
      <c r="C192" s="103"/>
      <c r="D192" s="103"/>
      <c r="E192" s="103"/>
      <c r="F192" s="103"/>
      <c r="G192" s="103"/>
      <c r="H192" s="103"/>
      <c r="I192" s="103"/>
      <c r="J192" s="103"/>
      <c r="K192" s="103"/>
      <c r="L192" s="103"/>
      <c r="M192" s="104"/>
      <c r="N192" s="103"/>
    </row>
    <row r="193" spans="1:14" s="101" customFormat="1" ht="45" customHeight="1" thickBot="1" x14ac:dyDescent="0.3">
      <c r="A193" s="103"/>
      <c r="B193" s="103"/>
      <c r="C193" s="103"/>
      <c r="D193" s="103"/>
      <c r="E193" s="103"/>
      <c r="F193" s="103"/>
      <c r="G193" s="103"/>
      <c r="H193" s="103"/>
      <c r="I193" s="103"/>
      <c r="J193" s="103"/>
      <c r="K193" s="103"/>
      <c r="L193" s="103"/>
      <c r="M193" s="104"/>
      <c r="N193" s="103"/>
    </row>
    <row r="194" spans="1:14" s="101" customFormat="1" ht="45" customHeight="1" thickBot="1" x14ac:dyDescent="0.3">
      <c r="A194" s="103"/>
      <c r="B194" s="103"/>
      <c r="C194" s="103"/>
      <c r="D194" s="103"/>
      <c r="E194" s="103"/>
      <c r="F194" s="103"/>
      <c r="G194" s="103"/>
      <c r="H194" s="103"/>
      <c r="I194" s="103"/>
      <c r="J194" s="103"/>
      <c r="K194" s="103"/>
      <c r="L194" s="103"/>
      <c r="M194" s="104"/>
      <c r="N194" s="103"/>
    </row>
    <row r="195" spans="1:14" s="101" customFormat="1" ht="45" customHeight="1" thickBot="1" x14ac:dyDescent="0.3">
      <c r="A195" s="103"/>
      <c r="B195" s="103"/>
      <c r="C195" s="103"/>
      <c r="D195" s="103"/>
      <c r="E195" s="103"/>
      <c r="F195" s="103"/>
      <c r="G195" s="103"/>
      <c r="H195" s="103"/>
      <c r="I195" s="103"/>
      <c r="J195" s="103"/>
      <c r="K195" s="103"/>
      <c r="L195" s="103"/>
      <c r="M195" s="104"/>
      <c r="N195" s="103"/>
    </row>
    <row r="196" spans="1:14" s="101" customFormat="1" ht="45" customHeight="1" thickBot="1" x14ac:dyDescent="0.3">
      <c r="A196" s="103"/>
      <c r="B196" s="103"/>
      <c r="C196" s="103"/>
      <c r="D196" s="103"/>
      <c r="E196" s="103"/>
      <c r="F196" s="103"/>
      <c r="G196" s="103"/>
      <c r="H196" s="103"/>
      <c r="I196" s="103"/>
      <c r="J196" s="103"/>
      <c r="K196" s="103"/>
      <c r="L196" s="103"/>
      <c r="M196" s="104"/>
      <c r="N196" s="103"/>
    </row>
    <row r="197" spans="1:14" s="101" customFormat="1" ht="45" customHeight="1" thickBot="1" x14ac:dyDescent="0.3">
      <c r="A197" s="103"/>
      <c r="B197" s="103"/>
      <c r="C197" s="103"/>
      <c r="D197" s="103"/>
      <c r="E197" s="103"/>
      <c r="F197" s="103"/>
      <c r="G197" s="103"/>
      <c r="H197" s="103"/>
      <c r="I197" s="103"/>
      <c r="J197" s="103"/>
      <c r="K197" s="103"/>
      <c r="L197" s="103"/>
      <c r="M197" s="104"/>
      <c r="N197" s="103"/>
    </row>
    <row r="198" spans="1:14" s="101" customFormat="1" ht="45" customHeight="1" thickBot="1" x14ac:dyDescent="0.3">
      <c r="A198" s="103"/>
      <c r="B198" s="103"/>
      <c r="C198" s="103"/>
      <c r="D198" s="103"/>
      <c r="E198" s="103"/>
      <c r="F198" s="103"/>
      <c r="G198" s="103"/>
      <c r="H198" s="103"/>
      <c r="I198" s="103"/>
      <c r="J198" s="103"/>
      <c r="K198" s="103"/>
      <c r="L198" s="103"/>
      <c r="M198" s="104"/>
      <c r="N198" s="103"/>
    </row>
    <row r="199" spans="1:14" ht="45" customHeight="1" thickBot="1" x14ac:dyDescent="0.4">
      <c r="A199" s="103"/>
      <c r="B199" s="103"/>
      <c r="C199" s="103"/>
      <c r="D199" s="103"/>
      <c r="E199" s="103"/>
      <c r="F199" s="103"/>
      <c r="G199" s="103"/>
      <c r="H199" s="103"/>
      <c r="I199" s="103"/>
      <c r="J199" s="103"/>
      <c r="K199" s="103"/>
      <c r="L199" s="103"/>
      <c r="M199" s="104"/>
      <c r="N199" s="103"/>
    </row>
    <row r="200" spans="1:14" ht="45" customHeight="1" thickBot="1" x14ac:dyDescent="0.4">
      <c r="A200" s="103"/>
      <c r="B200" s="103"/>
      <c r="C200" s="103"/>
      <c r="D200" s="103"/>
      <c r="E200" s="103"/>
      <c r="F200" s="103"/>
      <c r="G200" s="103"/>
      <c r="H200" s="103"/>
      <c r="I200" s="103"/>
      <c r="J200" s="103"/>
      <c r="K200" s="103"/>
      <c r="L200" s="103"/>
      <c r="M200" s="104"/>
      <c r="N200" s="103"/>
    </row>
    <row r="201" spans="1:14" ht="45" customHeight="1" thickBot="1" x14ac:dyDescent="0.4">
      <c r="A201" s="103"/>
      <c r="B201" s="103"/>
      <c r="C201" s="103"/>
      <c r="D201" s="103"/>
      <c r="E201" s="103"/>
      <c r="F201" s="103"/>
      <c r="G201" s="103"/>
      <c r="H201" s="103"/>
      <c r="I201" s="103"/>
      <c r="J201" s="103"/>
      <c r="K201" s="103"/>
      <c r="L201" s="103"/>
      <c r="M201" s="104"/>
      <c r="N201" s="103"/>
    </row>
    <row r="202" spans="1:14" ht="45" customHeight="1" thickBot="1" x14ac:dyDescent="0.4">
      <c r="A202" s="103"/>
      <c r="B202" s="103"/>
      <c r="C202" s="103"/>
      <c r="D202" s="103"/>
      <c r="E202" s="103"/>
      <c r="F202" s="103"/>
      <c r="G202" s="103"/>
      <c r="H202" s="103"/>
      <c r="I202" s="103"/>
      <c r="J202" s="103"/>
      <c r="K202" s="103"/>
      <c r="L202" s="103"/>
      <c r="M202" s="104"/>
      <c r="N202" s="103"/>
    </row>
    <row r="203" spans="1:14" ht="45" customHeight="1" thickBot="1" x14ac:dyDescent="0.4">
      <c r="A203" s="103"/>
      <c r="B203" s="103"/>
      <c r="C203" s="103"/>
      <c r="D203" s="103"/>
      <c r="E203" s="103"/>
      <c r="F203" s="103"/>
      <c r="G203" s="103"/>
      <c r="H203" s="103"/>
      <c r="I203" s="103"/>
      <c r="J203" s="103"/>
      <c r="K203" s="103"/>
      <c r="L203" s="103"/>
      <c r="M203" s="104"/>
      <c r="N203" s="103"/>
    </row>
    <row r="204" spans="1:14" ht="45" customHeight="1" thickBot="1" x14ac:dyDescent="0.4">
      <c r="A204" s="103"/>
      <c r="B204" s="103"/>
      <c r="C204" s="103"/>
      <c r="D204" s="103"/>
      <c r="E204" s="103"/>
      <c r="F204" s="103"/>
      <c r="G204" s="103"/>
      <c r="H204" s="103"/>
      <c r="I204" s="103"/>
      <c r="J204" s="103"/>
      <c r="K204" s="103"/>
      <c r="L204" s="103"/>
      <c r="M204" s="104"/>
      <c r="N204" s="103"/>
    </row>
    <row r="205" spans="1:14" ht="45" customHeight="1" thickBot="1" x14ac:dyDescent="0.4">
      <c r="A205" s="103"/>
      <c r="B205" s="103"/>
      <c r="C205" s="103"/>
      <c r="D205" s="103"/>
      <c r="E205" s="103"/>
      <c r="F205" s="103"/>
      <c r="G205" s="103"/>
      <c r="H205" s="103"/>
      <c r="I205" s="103"/>
      <c r="J205" s="103"/>
      <c r="K205" s="103"/>
      <c r="L205" s="103"/>
      <c r="M205" s="104"/>
      <c r="N205" s="103"/>
    </row>
    <row r="206" spans="1:14" ht="45" customHeight="1" thickBot="1" x14ac:dyDescent="0.4">
      <c r="A206" s="103"/>
      <c r="B206" s="103"/>
      <c r="C206" s="103"/>
      <c r="D206" s="103"/>
      <c r="E206" s="103"/>
      <c r="F206" s="103"/>
      <c r="G206" s="103"/>
      <c r="H206" s="103"/>
      <c r="I206" s="103"/>
      <c r="J206" s="103"/>
      <c r="K206" s="103"/>
      <c r="L206" s="103"/>
      <c r="M206" s="104"/>
      <c r="N206" s="103"/>
    </row>
    <row r="207" spans="1:14" ht="45" customHeight="1" thickBot="1" x14ac:dyDescent="0.4">
      <c r="A207" s="103"/>
      <c r="B207" s="103"/>
      <c r="C207" s="103"/>
      <c r="D207" s="103"/>
      <c r="E207" s="103"/>
      <c r="F207" s="103"/>
      <c r="G207" s="103"/>
      <c r="H207" s="103"/>
      <c r="I207" s="103"/>
      <c r="J207" s="103"/>
      <c r="K207" s="103"/>
      <c r="L207" s="103"/>
      <c r="M207" s="104"/>
      <c r="N207" s="103"/>
    </row>
    <row r="208" spans="1:14" ht="45" customHeight="1" thickBot="1" x14ac:dyDescent="0.4">
      <c r="A208" s="103"/>
      <c r="B208" s="103"/>
      <c r="C208" s="103"/>
      <c r="D208" s="103"/>
      <c r="E208" s="103"/>
      <c r="F208" s="103"/>
      <c r="G208" s="103"/>
      <c r="H208" s="103"/>
      <c r="I208" s="103"/>
      <c r="J208" s="103"/>
      <c r="K208" s="103"/>
      <c r="L208" s="103"/>
      <c r="M208" s="104"/>
      <c r="N208" s="103"/>
    </row>
    <row r="209" spans="1:14" ht="45" customHeight="1" thickBot="1" x14ac:dyDescent="0.4">
      <c r="A209" s="103"/>
      <c r="B209" s="103"/>
      <c r="C209" s="103"/>
      <c r="D209" s="103"/>
      <c r="E209" s="103"/>
      <c r="F209" s="103"/>
      <c r="G209" s="103"/>
      <c r="H209" s="103"/>
      <c r="I209" s="103"/>
      <c r="J209" s="103"/>
      <c r="K209" s="103"/>
      <c r="L209" s="103"/>
      <c r="M209" s="104"/>
      <c r="N209" s="103"/>
    </row>
    <row r="210" spans="1:14" ht="45" customHeight="1" thickBot="1" x14ac:dyDescent="0.4">
      <c r="A210" s="103"/>
      <c r="B210" s="103"/>
      <c r="C210" s="103"/>
      <c r="D210" s="103"/>
      <c r="E210" s="103"/>
      <c r="F210" s="103"/>
      <c r="G210" s="103"/>
      <c r="H210" s="103"/>
      <c r="I210" s="103"/>
      <c r="J210" s="103"/>
      <c r="K210" s="103"/>
      <c r="L210" s="103"/>
      <c r="M210" s="104"/>
      <c r="N210" s="103"/>
    </row>
    <row r="211" spans="1:14" ht="45" customHeight="1" thickBot="1" x14ac:dyDescent="0.4">
      <c r="A211" s="103"/>
      <c r="B211" s="103"/>
      <c r="C211" s="103"/>
      <c r="D211" s="103"/>
      <c r="E211" s="103"/>
      <c r="F211" s="103"/>
      <c r="G211" s="103"/>
      <c r="H211" s="103"/>
      <c r="I211" s="103"/>
      <c r="J211" s="103"/>
      <c r="K211" s="103"/>
      <c r="L211" s="103"/>
      <c r="M211" s="104"/>
      <c r="N211" s="103"/>
    </row>
    <row r="212" spans="1:14" ht="45" customHeight="1" thickBot="1" x14ac:dyDescent="0.4">
      <c r="A212" s="103"/>
      <c r="B212" s="103"/>
      <c r="C212" s="103"/>
      <c r="D212" s="103"/>
      <c r="E212" s="103"/>
      <c r="F212" s="103"/>
      <c r="G212" s="103"/>
      <c r="H212" s="103"/>
      <c r="I212" s="103"/>
      <c r="J212" s="103"/>
      <c r="K212" s="103"/>
      <c r="L212" s="103"/>
      <c r="M212" s="104"/>
      <c r="N212" s="103"/>
    </row>
    <row r="213" spans="1:14" ht="45" customHeight="1" thickBot="1" x14ac:dyDescent="0.4">
      <c r="A213" s="103"/>
      <c r="B213" s="103"/>
      <c r="C213" s="103"/>
      <c r="D213" s="103"/>
      <c r="E213" s="103"/>
      <c r="F213" s="103"/>
      <c r="G213" s="103"/>
      <c r="H213" s="103"/>
      <c r="I213" s="103"/>
      <c r="J213" s="103"/>
      <c r="K213" s="103"/>
      <c r="L213" s="103"/>
      <c r="M213" s="104"/>
      <c r="N213" s="103"/>
    </row>
    <row r="214" spans="1:14" ht="45" customHeight="1" thickBot="1" x14ac:dyDescent="0.4">
      <c r="A214" s="103"/>
      <c r="B214" s="103"/>
      <c r="C214" s="103"/>
      <c r="D214" s="103"/>
      <c r="E214" s="103"/>
      <c r="F214" s="103"/>
      <c r="G214" s="103"/>
      <c r="H214" s="103"/>
      <c r="I214" s="103"/>
      <c r="J214" s="103"/>
      <c r="K214" s="103"/>
      <c r="L214" s="103"/>
      <c r="M214" s="104"/>
      <c r="N214" s="103"/>
    </row>
    <row r="215" spans="1:14" ht="45" customHeight="1" thickBot="1" x14ac:dyDescent="0.4">
      <c r="A215" s="103"/>
      <c r="B215" s="103"/>
      <c r="C215" s="103"/>
      <c r="D215" s="103"/>
      <c r="E215" s="103"/>
      <c r="F215" s="103"/>
      <c r="G215" s="103"/>
      <c r="H215" s="103"/>
      <c r="I215" s="103"/>
      <c r="J215" s="103"/>
      <c r="K215" s="103"/>
      <c r="L215" s="103"/>
      <c r="M215" s="104"/>
      <c r="N215" s="103"/>
    </row>
    <row r="216" spans="1:14" ht="45" customHeight="1" thickBot="1" x14ac:dyDescent="0.4">
      <c r="A216" s="103"/>
      <c r="B216" s="103"/>
      <c r="C216" s="103"/>
      <c r="D216" s="103"/>
      <c r="E216" s="103"/>
      <c r="F216" s="103"/>
      <c r="G216" s="103"/>
      <c r="H216" s="103"/>
      <c r="I216" s="103"/>
      <c r="J216" s="103"/>
      <c r="K216" s="103"/>
      <c r="L216" s="103"/>
      <c r="M216" s="104"/>
      <c r="N216" s="103"/>
    </row>
    <row r="217" spans="1:14" ht="45" customHeight="1" thickBot="1" x14ac:dyDescent="0.4">
      <c r="A217" s="103"/>
      <c r="B217" s="103"/>
      <c r="C217" s="103"/>
      <c r="D217" s="103"/>
      <c r="E217" s="103"/>
      <c r="F217" s="103"/>
      <c r="G217" s="103"/>
      <c r="H217" s="103"/>
      <c r="I217" s="103"/>
      <c r="J217" s="103"/>
      <c r="K217" s="103"/>
      <c r="L217" s="103"/>
      <c r="M217" s="104"/>
      <c r="N217" s="103"/>
    </row>
    <row r="218" spans="1:14" ht="45" customHeight="1" thickBot="1" x14ac:dyDescent="0.4">
      <c r="A218" s="103"/>
      <c r="B218" s="103"/>
      <c r="C218" s="103"/>
      <c r="D218" s="103"/>
      <c r="E218" s="103"/>
      <c r="F218" s="103"/>
      <c r="G218" s="103"/>
      <c r="H218" s="103"/>
      <c r="I218" s="103"/>
      <c r="J218" s="103"/>
      <c r="K218" s="103"/>
      <c r="L218" s="103"/>
      <c r="M218" s="104"/>
      <c r="N218" s="103"/>
    </row>
    <row r="219" spans="1:14" ht="45" customHeight="1" thickBot="1" x14ac:dyDescent="0.4">
      <c r="A219" s="103"/>
      <c r="B219" s="103"/>
      <c r="C219" s="103"/>
      <c r="D219" s="103"/>
      <c r="E219" s="103"/>
      <c r="F219" s="103"/>
      <c r="G219" s="103"/>
      <c r="H219" s="103"/>
      <c r="I219" s="103"/>
      <c r="J219" s="103"/>
      <c r="K219" s="103"/>
      <c r="L219" s="103"/>
      <c r="M219" s="104"/>
      <c r="N219" s="103"/>
    </row>
    <row r="220" spans="1:14" ht="45" customHeight="1" thickBot="1" x14ac:dyDescent="0.4">
      <c r="A220" s="103"/>
      <c r="B220" s="103"/>
      <c r="C220" s="103"/>
      <c r="D220" s="103"/>
      <c r="E220" s="103"/>
      <c r="F220" s="103"/>
      <c r="G220" s="103"/>
      <c r="H220" s="103"/>
      <c r="I220" s="103"/>
      <c r="J220" s="103"/>
      <c r="K220" s="103"/>
      <c r="L220" s="103"/>
      <c r="M220" s="104"/>
      <c r="N220" s="103"/>
    </row>
    <row r="221" spans="1:14" ht="45" customHeight="1" thickBot="1" x14ac:dyDescent="0.4">
      <c r="A221" s="103"/>
      <c r="B221" s="103"/>
      <c r="C221" s="103"/>
      <c r="D221" s="103"/>
      <c r="E221" s="103"/>
      <c r="F221" s="103"/>
      <c r="G221" s="103"/>
      <c r="H221" s="103"/>
      <c r="I221" s="103"/>
      <c r="J221" s="103"/>
      <c r="K221" s="103"/>
      <c r="L221" s="103"/>
      <c r="M221" s="104"/>
      <c r="N221" s="103"/>
    </row>
    <row r="222" spans="1:14" ht="45" customHeight="1" thickBot="1" x14ac:dyDescent="0.4">
      <c r="A222" s="103"/>
      <c r="B222" s="103"/>
      <c r="C222" s="103"/>
      <c r="D222" s="103"/>
      <c r="E222" s="103"/>
      <c r="F222" s="103"/>
      <c r="G222" s="103"/>
      <c r="H222" s="103"/>
      <c r="I222" s="103"/>
      <c r="J222" s="103"/>
      <c r="K222" s="103"/>
      <c r="L222" s="103"/>
      <c r="M222" s="104"/>
      <c r="N222" s="103"/>
    </row>
    <row r="223" spans="1:14" ht="45" customHeight="1" thickBot="1" x14ac:dyDescent="0.4">
      <c r="A223" s="103"/>
      <c r="B223" s="103"/>
      <c r="C223" s="103"/>
      <c r="D223" s="103"/>
      <c r="E223" s="103"/>
      <c r="F223" s="103"/>
      <c r="G223" s="103"/>
      <c r="H223" s="103"/>
      <c r="I223" s="103"/>
      <c r="J223" s="103"/>
      <c r="K223" s="103"/>
      <c r="L223" s="103"/>
      <c r="M223" s="104"/>
      <c r="N223" s="103"/>
    </row>
    <row r="224" spans="1:14" ht="45" customHeight="1" thickBot="1" x14ac:dyDescent="0.4">
      <c r="A224" s="103"/>
      <c r="B224" s="103"/>
      <c r="C224" s="103"/>
      <c r="D224" s="103"/>
      <c r="E224" s="103"/>
      <c r="F224" s="103"/>
      <c r="G224" s="103"/>
      <c r="H224" s="103"/>
      <c r="I224" s="103"/>
      <c r="J224" s="103"/>
      <c r="K224" s="103"/>
      <c r="L224" s="103"/>
      <c r="M224" s="104"/>
      <c r="N224" s="103"/>
    </row>
    <row r="225" spans="1:14" ht="45" customHeight="1" thickBot="1" x14ac:dyDescent="0.4">
      <c r="A225" s="103"/>
      <c r="B225" s="103"/>
      <c r="C225" s="103"/>
      <c r="D225" s="103"/>
      <c r="E225" s="103"/>
      <c r="F225" s="103"/>
      <c r="G225" s="103"/>
      <c r="H225" s="103"/>
      <c r="I225" s="103"/>
      <c r="J225" s="103"/>
      <c r="K225" s="103"/>
      <c r="L225" s="103"/>
      <c r="M225" s="104"/>
      <c r="N225" s="103"/>
    </row>
    <row r="226" spans="1:14" ht="45" customHeight="1" thickBot="1" x14ac:dyDescent="0.4">
      <c r="A226" s="103"/>
      <c r="B226" s="103"/>
      <c r="C226" s="103"/>
      <c r="D226" s="103"/>
      <c r="E226" s="103"/>
      <c r="F226" s="103"/>
      <c r="G226" s="103"/>
      <c r="H226" s="103"/>
      <c r="I226" s="103"/>
      <c r="J226" s="103"/>
      <c r="K226" s="103"/>
      <c r="L226" s="103"/>
      <c r="M226" s="104"/>
      <c r="N226" s="103"/>
    </row>
    <row r="227" spans="1:14" ht="45" customHeight="1" thickBot="1" x14ac:dyDescent="0.4">
      <c r="A227" s="103"/>
      <c r="B227" s="103"/>
      <c r="C227" s="103"/>
      <c r="D227" s="103"/>
      <c r="E227" s="103"/>
      <c r="F227" s="103"/>
      <c r="G227" s="103"/>
      <c r="H227" s="103"/>
      <c r="I227" s="103"/>
      <c r="J227" s="103"/>
      <c r="K227" s="103"/>
      <c r="L227" s="103"/>
      <c r="M227" s="104"/>
      <c r="N227" s="103"/>
    </row>
    <row r="228" spans="1:14" ht="45" customHeight="1" thickBot="1" x14ac:dyDescent="0.4">
      <c r="A228" s="103"/>
      <c r="B228" s="103"/>
      <c r="C228" s="103"/>
      <c r="D228" s="103"/>
      <c r="E228" s="103"/>
      <c r="F228" s="103"/>
      <c r="G228" s="103"/>
      <c r="H228" s="103"/>
      <c r="I228" s="103"/>
      <c r="J228" s="103"/>
      <c r="K228" s="103"/>
      <c r="L228" s="103"/>
      <c r="M228" s="104"/>
      <c r="N228" s="103"/>
    </row>
    <row r="229" spans="1:14" ht="45" customHeight="1" thickBot="1" x14ac:dyDescent="0.4">
      <c r="A229" s="103"/>
      <c r="B229" s="103"/>
      <c r="C229" s="103"/>
      <c r="D229" s="103"/>
      <c r="E229" s="103"/>
      <c r="F229" s="103"/>
      <c r="G229" s="103"/>
      <c r="H229" s="103"/>
      <c r="I229" s="103"/>
      <c r="J229" s="103"/>
      <c r="K229" s="103"/>
      <c r="L229" s="103"/>
      <c r="M229" s="104"/>
      <c r="N229" s="103"/>
    </row>
    <row r="230" spans="1:14" ht="45" customHeight="1" thickBot="1" x14ac:dyDescent="0.4">
      <c r="A230" s="103"/>
      <c r="B230" s="103"/>
      <c r="C230" s="103"/>
      <c r="D230" s="103"/>
      <c r="E230" s="103"/>
      <c r="F230" s="103"/>
      <c r="G230" s="103"/>
      <c r="H230" s="103"/>
      <c r="I230" s="103"/>
      <c r="J230" s="103"/>
      <c r="K230" s="103"/>
      <c r="L230" s="103"/>
      <c r="M230" s="104"/>
      <c r="N230" s="103"/>
    </row>
    <row r="231" spans="1:14" ht="45" customHeight="1" thickBot="1" x14ac:dyDescent="0.4">
      <c r="A231" s="103"/>
      <c r="B231" s="103"/>
      <c r="C231" s="103"/>
      <c r="D231" s="103"/>
      <c r="E231" s="103"/>
      <c r="F231" s="103"/>
      <c r="G231" s="103"/>
      <c r="H231" s="103"/>
      <c r="I231" s="103"/>
      <c r="J231" s="103"/>
      <c r="K231" s="103"/>
      <c r="L231" s="103"/>
      <c r="M231" s="104"/>
      <c r="N231" s="103"/>
    </row>
    <row r="232" spans="1:14" ht="45" customHeight="1" thickBot="1" x14ac:dyDescent="0.4">
      <c r="A232" s="103"/>
      <c r="B232" s="103"/>
      <c r="C232" s="103"/>
      <c r="D232" s="103"/>
      <c r="E232" s="103"/>
      <c r="F232" s="103"/>
      <c r="G232" s="103"/>
      <c r="H232" s="103"/>
      <c r="I232" s="103"/>
      <c r="J232" s="103"/>
      <c r="K232" s="103"/>
      <c r="L232" s="103"/>
      <c r="M232" s="104"/>
      <c r="N232" s="103"/>
    </row>
    <row r="233" spans="1:14" ht="45" customHeight="1" thickBot="1" x14ac:dyDescent="0.4">
      <c r="A233" s="103"/>
      <c r="B233" s="103"/>
      <c r="C233" s="103"/>
      <c r="D233" s="103"/>
      <c r="E233" s="103"/>
      <c r="F233" s="103"/>
      <c r="G233" s="103"/>
      <c r="H233" s="103"/>
      <c r="I233" s="103"/>
      <c r="J233" s="103"/>
      <c r="K233" s="103"/>
      <c r="L233" s="103"/>
      <c r="M233" s="104"/>
      <c r="N233" s="103"/>
    </row>
    <row r="234" spans="1:14" ht="45" customHeight="1" thickBot="1" x14ac:dyDescent="0.4">
      <c r="A234" s="103"/>
      <c r="B234" s="103"/>
      <c r="C234" s="103"/>
      <c r="D234" s="103"/>
      <c r="E234" s="103"/>
      <c r="F234" s="103"/>
      <c r="G234" s="103"/>
      <c r="H234" s="103"/>
      <c r="I234" s="103"/>
      <c r="J234" s="103"/>
      <c r="K234" s="103"/>
      <c r="L234" s="103"/>
      <c r="M234" s="104"/>
      <c r="N234" s="103"/>
    </row>
    <row r="235" spans="1:14" ht="45" customHeight="1" thickBot="1" x14ac:dyDescent="0.4">
      <c r="A235" s="103"/>
      <c r="B235" s="103"/>
      <c r="C235" s="103"/>
      <c r="D235" s="103"/>
      <c r="E235" s="103"/>
      <c r="F235" s="103"/>
      <c r="G235" s="103"/>
      <c r="H235" s="103"/>
      <c r="I235" s="103"/>
      <c r="J235" s="103"/>
      <c r="K235" s="103"/>
      <c r="L235" s="103"/>
      <c r="M235" s="104"/>
      <c r="N235" s="103"/>
    </row>
    <row r="236" spans="1:14" ht="45" customHeight="1" thickBot="1" x14ac:dyDescent="0.4">
      <c r="A236" s="103"/>
      <c r="B236" s="103"/>
      <c r="C236" s="103"/>
      <c r="D236" s="103"/>
      <c r="E236" s="103"/>
      <c r="F236" s="103"/>
      <c r="G236" s="103"/>
      <c r="H236" s="103"/>
      <c r="I236" s="103"/>
      <c r="J236" s="103"/>
      <c r="K236" s="103"/>
      <c r="L236" s="103"/>
      <c r="M236" s="104"/>
      <c r="N236" s="103"/>
    </row>
    <row r="237" spans="1:14" ht="45" customHeight="1" thickBot="1" x14ac:dyDescent="0.4">
      <c r="A237" s="103"/>
      <c r="B237" s="103"/>
      <c r="C237" s="103"/>
      <c r="D237" s="103"/>
      <c r="E237" s="103"/>
      <c r="F237" s="103"/>
      <c r="G237" s="103"/>
      <c r="H237" s="103"/>
      <c r="I237" s="103"/>
      <c r="J237" s="103"/>
      <c r="K237" s="103"/>
      <c r="L237" s="103"/>
      <c r="M237" s="104"/>
      <c r="N237" s="103"/>
    </row>
    <row r="238" spans="1:14" ht="45" customHeight="1" thickBot="1" x14ac:dyDescent="0.4">
      <c r="A238" s="103"/>
      <c r="B238" s="103"/>
      <c r="C238" s="103"/>
      <c r="D238" s="103"/>
      <c r="E238" s="103"/>
      <c r="F238" s="103"/>
      <c r="G238" s="103"/>
      <c r="H238" s="103"/>
      <c r="I238" s="103"/>
      <c r="J238" s="103"/>
      <c r="K238" s="103"/>
      <c r="L238" s="103"/>
      <c r="M238" s="104"/>
      <c r="N238" s="103"/>
    </row>
    <row r="239" spans="1:14" ht="45" customHeight="1" thickBot="1" x14ac:dyDescent="0.4">
      <c r="A239" s="103"/>
      <c r="B239" s="103"/>
      <c r="C239" s="103"/>
      <c r="D239" s="103"/>
      <c r="E239" s="103"/>
      <c r="F239" s="103"/>
      <c r="G239" s="103"/>
      <c r="H239" s="103"/>
      <c r="I239" s="103"/>
      <c r="J239" s="103"/>
      <c r="K239" s="103"/>
      <c r="L239" s="103"/>
      <c r="M239" s="104"/>
      <c r="N239" s="103"/>
    </row>
    <row r="240" spans="1:14" ht="45" customHeight="1" thickBot="1" x14ac:dyDescent="0.4">
      <c r="A240" s="103"/>
      <c r="B240" s="103"/>
      <c r="C240" s="103"/>
      <c r="D240" s="103"/>
      <c r="E240" s="103"/>
      <c r="F240" s="103"/>
      <c r="G240" s="103"/>
      <c r="H240" s="103"/>
      <c r="I240" s="103"/>
      <c r="J240" s="103"/>
      <c r="K240" s="103"/>
      <c r="L240" s="103"/>
      <c r="M240" s="104"/>
      <c r="N240" s="103"/>
    </row>
    <row r="241" spans="1:14" ht="45" customHeight="1" thickBot="1" x14ac:dyDescent="0.4">
      <c r="A241" s="103"/>
      <c r="B241" s="103"/>
      <c r="C241" s="103"/>
      <c r="D241" s="103"/>
      <c r="E241" s="103"/>
      <c r="F241" s="103"/>
      <c r="G241" s="103"/>
      <c r="H241" s="103"/>
      <c r="I241" s="103"/>
      <c r="J241" s="103"/>
      <c r="K241" s="103"/>
      <c r="L241" s="103"/>
      <c r="M241" s="104"/>
      <c r="N241" s="103"/>
    </row>
    <row r="242" spans="1:14" ht="45" customHeight="1" thickBot="1" x14ac:dyDescent="0.4">
      <c r="A242" s="103"/>
      <c r="B242" s="103"/>
      <c r="C242" s="103"/>
      <c r="D242" s="103"/>
      <c r="E242" s="103"/>
      <c r="F242" s="103"/>
      <c r="G242" s="103"/>
      <c r="H242" s="103"/>
      <c r="I242" s="103"/>
      <c r="J242" s="103"/>
      <c r="K242" s="103"/>
      <c r="L242" s="103"/>
      <c r="M242" s="104"/>
      <c r="N242" s="103"/>
    </row>
    <row r="243" spans="1:14" ht="45" customHeight="1" thickBot="1" x14ac:dyDescent="0.4">
      <c r="A243" s="103"/>
      <c r="B243" s="103"/>
      <c r="C243" s="103"/>
      <c r="D243" s="103"/>
      <c r="E243" s="103"/>
      <c r="F243" s="103"/>
      <c r="G243" s="103"/>
      <c r="H243" s="103"/>
      <c r="I243" s="103"/>
      <c r="J243" s="103"/>
      <c r="K243" s="103"/>
      <c r="L243" s="103"/>
      <c r="M243" s="104"/>
      <c r="N243" s="103"/>
    </row>
    <row r="244" spans="1:14" ht="45" customHeight="1" thickBot="1" x14ac:dyDescent="0.4">
      <c r="A244" s="103"/>
      <c r="B244" s="103"/>
      <c r="C244" s="103"/>
      <c r="D244" s="103"/>
      <c r="E244" s="103"/>
      <c r="F244" s="103"/>
      <c r="G244" s="103"/>
      <c r="H244" s="103"/>
      <c r="I244" s="103"/>
      <c r="J244" s="103"/>
      <c r="K244" s="103"/>
      <c r="L244" s="103"/>
      <c r="M244" s="104"/>
      <c r="N244" s="103"/>
    </row>
    <row r="245" spans="1:14" ht="45" customHeight="1" thickBot="1" x14ac:dyDescent="0.4">
      <c r="A245" s="103"/>
      <c r="B245" s="103"/>
      <c r="C245" s="103"/>
      <c r="D245" s="103"/>
      <c r="E245" s="103"/>
      <c r="F245" s="103"/>
      <c r="G245" s="103"/>
      <c r="H245" s="103"/>
      <c r="I245" s="103"/>
      <c r="J245" s="103"/>
      <c r="K245" s="103"/>
      <c r="L245" s="103"/>
      <c r="M245" s="104"/>
      <c r="N245" s="103"/>
    </row>
    <row r="246" spans="1:14" ht="45" customHeight="1" thickBot="1" x14ac:dyDescent="0.4">
      <c r="A246" s="103"/>
      <c r="B246" s="103"/>
      <c r="C246" s="103"/>
      <c r="D246" s="103"/>
      <c r="E246" s="103"/>
      <c r="F246" s="103"/>
      <c r="G246" s="103"/>
      <c r="H246" s="103"/>
      <c r="I246" s="103"/>
      <c r="J246" s="103"/>
      <c r="K246" s="103"/>
      <c r="L246" s="103"/>
      <c r="M246" s="104"/>
      <c r="N246" s="103"/>
    </row>
    <row r="247" spans="1:14" ht="45" customHeight="1" thickBot="1" x14ac:dyDescent="0.4">
      <c r="A247" s="103"/>
      <c r="B247" s="103"/>
      <c r="C247" s="103"/>
      <c r="D247" s="103"/>
      <c r="E247" s="103"/>
      <c r="F247" s="103"/>
      <c r="G247" s="103"/>
      <c r="H247" s="103"/>
      <c r="I247" s="103"/>
      <c r="J247" s="103"/>
      <c r="K247" s="103"/>
      <c r="L247" s="103"/>
      <c r="M247" s="104"/>
      <c r="N247" s="103"/>
    </row>
    <row r="248" spans="1:14" ht="45" customHeight="1" thickBot="1" x14ac:dyDescent="0.4">
      <c r="A248" s="103"/>
      <c r="B248" s="103"/>
      <c r="C248" s="103"/>
      <c r="D248" s="103"/>
      <c r="E248" s="103"/>
      <c r="F248" s="103"/>
      <c r="G248" s="103"/>
      <c r="H248" s="103"/>
      <c r="I248" s="103"/>
      <c r="J248" s="103"/>
      <c r="K248" s="103"/>
      <c r="L248" s="103"/>
      <c r="M248" s="104"/>
      <c r="N248" s="103"/>
    </row>
    <row r="249" spans="1:14" ht="45" customHeight="1" thickBot="1" x14ac:dyDescent="0.4">
      <c r="A249" s="103"/>
      <c r="B249" s="103"/>
      <c r="C249" s="103"/>
      <c r="D249" s="103"/>
      <c r="E249" s="103"/>
      <c r="F249" s="103"/>
      <c r="G249" s="103"/>
      <c r="H249" s="103"/>
      <c r="I249" s="103"/>
      <c r="J249" s="103"/>
      <c r="K249" s="103"/>
      <c r="L249" s="103"/>
      <c r="M249" s="104"/>
      <c r="N249" s="103"/>
    </row>
    <row r="250" spans="1:14" ht="45" customHeight="1" thickBot="1" x14ac:dyDescent="0.4">
      <c r="A250" s="103"/>
      <c r="B250" s="103"/>
      <c r="C250" s="103"/>
      <c r="D250" s="103"/>
      <c r="E250" s="103"/>
      <c r="F250" s="103"/>
      <c r="G250" s="103"/>
      <c r="H250" s="103"/>
      <c r="I250" s="103"/>
      <c r="J250" s="103"/>
      <c r="K250" s="103"/>
      <c r="L250" s="103"/>
      <c r="M250" s="104"/>
      <c r="N250" s="103"/>
    </row>
    <row r="251" spans="1:14" ht="45" customHeight="1" thickBot="1" x14ac:dyDescent="0.4">
      <c r="A251" s="103"/>
      <c r="B251" s="103"/>
      <c r="C251" s="103"/>
      <c r="D251" s="103"/>
      <c r="E251" s="103"/>
      <c r="F251" s="103"/>
      <c r="G251" s="103"/>
      <c r="H251" s="103"/>
      <c r="I251" s="103"/>
      <c r="J251" s="103"/>
      <c r="K251" s="103"/>
      <c r="L251" s="103"/>
      <c r="M251" s="104"/>
      <c r="N251" s="103"/>
    </row>
    <row r="252" spans="1:14" ht="45" customHeight="1" thickBot="1" x14ac:dyDescent="0.4">
      <c r="A252" s="103"/>
      <c r="B252" s="103"/>
      <c r="C252" s="103"/>
      <c r="D252" s="103"/>
      <c r="E252" s="103"/>
      <c r="F252" s="103"/>
      <c r="G252" s="103"/>
      <c r="H252" s="103"/>
      <c r="I252" s="103"/>
      <c r="J252" s="103"/>
      <c r="K252" s="103"/>
      <c r="L252" s="103"/>
      <c r="M252" s="104"/>
      <c r="N252" s="103"/>
    </row>
    <row r="253" spans="1:14" ht="45" customHeight="1" thickBot="1" x14ac:dyDescent="0.4">
      <c r="A253" s="103"/>
      <c r="B253" s="103"/>
      <c r="C253" s="103"/>
      <c r="D253" s="103"/>
      <c r="E253" s="103"/>
      <c r="F253" s="103"/>
      <c r="G253" s="103"/>
      <c r="H253" s="103"/>
      <c r="I253" s="103"/>
      <c r="J253" s="103"/>
      <c r="K253" s="103"/>
      <c r="L253" s="103"/>
      <c r="M253" s="104"/>
      <c r="N253" s="103"/>
    </row>
    <row r="254" spans="1:14" ht="45" customHeight="1" thickBot="1" x14ac:dyDescent="0.4">
      <c r="A254" s="103"/>
      <c r="B254" s="103"/>
      <c r="C254" s="103"/>
      <c r="D254" s="103"/>
      <c r="E254" s="103"/>
      <c r="F254" s="103"/>
      <c r="G254" s="103"/>
      <c r="H254" s="103"/>
      <c r="I254" s="103"/>
      <c r="J254" s="103"/>
      <c r="K254" s="103"/>
      <c r="L254" s="103"/>
      <c r="M254" s="104"/>
      <c r="N254" s="103"/>
    </row>
    <row r="255" spans="1:14" ht="45" customHeight="1" thickBot="1" x14ac:dyDescent="0.4">
      <c r="A255" s="103"/>
      <c r="B255" s="103"/>
      <c r="C255" s="103"/>
      <c r="D255" s="103"/>
      <c r="E255" s="103"/>
      <c r="F255" s="103"/>
      <c r="G255" s="103"/>
      <c r="H255" s="103"/>
      <c r="I255" s="103"/>
      <c r="J255" s="103"/>
      <c r="K255" s="103"/>
      <c r="L255" s="103"/>
      <c r="M255" s="104"/>
      <c r="N255" s="103"/>
    </row>
    <row r="256" spans="1:14" ht="45" customHeight="1" thickBot="1" x14ac:dyDescent="0.4">
      <c r="A256" s="103"/>
      <c r="B256" s="103"/>
      <c r="C256" s="103"/>
      <c r="D256" s="103"/>
      <c r="E256" s="103"/>
      <c r="F256" s="103"/>
      <c r="G256" s="103"/>
      <c r="H256" s="103"/>
      <c r="I256" s="103"/>
      <c r="J256" s="103"/>
      <c r="K256" s="103"/>
      <c r="L256" s="103"/>
      <c r="M256" s="104"/>
      <c r="N256" s="103"/>
    </row>
    <row r="257" spans="1:14" ht="45" customHeight="1" thickBot="1" x14ac:dyDescent="0.4">
      <c r="A257" s="103"/>
      <c r="B257" s="103"/>
      <c r="C257" s="103"/>
      <c r="D257" s="103"/>
      <c r="E257" s="103"/>
      <c r="F257" s="103"/>
      <c r="G257" s="103"/>
      <c r="H257" s="103"/>
      <c r="I257" s="103"/>
      <c r="J257" s="103"/>
      <c r="K257" s="103"/>
      <c r="L257" s="103"/>
      <c r="M257" s="104"/>
      <c r="N257" s="103"/>
    </row>
    <row r="258" spans="1:14" ht="45" customHeight="1" thickBot="1" x14ac:dyDescent="0.4">
      <c r="A258" s="103"/>
      <c r="B258" s="103"/>
      <c r="C258" s="103"/>
      <c r="D258" s="103"/>
      <c r="E258" s="103"/>
      <c r="F258" s="103"/>
      <c r="G258" s="103"/>
      <c r="H258" s="103"/>
      <c r="I258" s="103"/>
      <c r="J258" s="103"/>
      <c r="K258" s="103"/>
      <c r="L258" s="103"/>
      <c r="M258" s="104"/>
      <c r="N258" s="103"/>
    </row>
    <row r="259" spans="1:14" ht="45" customHeight="1" thickBot="1" x14ac:dyDescent="0.4">
      <c r="A259" s="103"/>
      <c r="B259" s="103"/>
      <c r="C259" s="103"/>
      <c r="D259" s="103"/>
      <c r="E259" s="103"/>
      <c r="F259" s="103"/>
      <c r="G259" s="103"/>
      <c r="H259" s="103"/>
      <c r="I259" s="103"/>
      <c r="J259" s="103"/>
      <c r="K259" s="103"/>
      <c r="L259" s="103"/>
      <c r="M259" s="104"/>
      <c r="N259" s="103"/>
    </row>
    <row r="260" spans="1:14" ht="45" customHeight="1" thickBot="1" x14ac:dyDescent="0.4">
      <c r="A260" s="103"/>
      <c r="B260" s="103"/>
      <c r="C260" s="103"/>
      <c r="D260" s="103"/>
      <c r="E260" s="103"/>
      <c r="F260" s="103"/>
      <c r="G260" s="103"/>
      <c r="H260" s="103"/>
      <c r="I260" s="103"/>
      <c r="J260" s="103"/>
      <c r="K260" s="103"/>
      <c r="L260" s="103"/>
      <c r="M260" s="104"/>
      <c r="N260" s="103"/>
    </row>
    <row r="261" spans="1:14" ht="45" customHeight="1" thickBot="1" x14ac:dyDescent="0.4">
      <c r="A261" s="103"/>
      <c r="B261" s="103"/>
      <c r="C261" s="103"/>
      <c r="D261" s="103"/>
      <c r="E261" s="103"/>
      <c r="F261" s="103"/>
      <c r="G261" s="103"/>
      <c r="H261" s="103"/>
      <c r="I261" s="103"/>
      <c r="J261" s="103"/>
      <c r="K261" s="103"/>
      <c r="L261" s="103"/>
      <c r="M261" s="104"/>
      <c r="N261" s="103"/>
    </row>
    <row r="262" spans="1:14" ht="45" customHeight="1" thickBot="1" x14ac:dyDescent="0.4">
      <c r="A262" s="103"/>
      <c r="B262" s="103"/>
      <c r="C262" s="103"/>
      <c r="D262" s="103"/>
      <c r="E262" s="103"/>
      <c r="F262" s="103"/>
      <c r="G262" s="103"/>
      <c r="H262" s="103"/>
      <c r="I262" s="103"/>
      <c r="J262" s="103"/>
      <c r="K262" s="103"/>
      <c r="L262" s="103"/>
      <c r="M262" s="104"/>
      <c r="N262" s="103"/>
    </row>
    <row r="263" spans="1:14" ht="45" customHeight="1" thickBot="1" x14ac:dyDescent="0.4">
      <c r="A263" s="103"/>
      <c r="B263" s="103"/>
      <c r="C263" s="103"/>
      <c r="D263" s="103"/>
      <c r="E263" s="103"/>
      <c r="F263" s="103"/>
      <c r="G263" s="103"/>
      <c r="H263" s="103"/>
      <c r="I263" s="103"/>
      <c r="J263" s="103"/>
      <c r="K263" s="103"/>
      <c r="L263" s="103"/>
      <c r="M263" s="104"/>
      <c r="N263" s="103"/>
    </row>
    <row r="264" spans="1:14" ht="45" customHeight="1" thickBot="1" x14ac:dyDescent="0.4">
      <c r="A264" s="103"/>
      <c r="B264" s="103"/>
      <c r="C264" s="103"/>
      <c r="D264" s="103"/>
      <c r="E264" s="103"/>
      <c r="F264" s="103"/>
      <c r="G264" s="103"/>
      <c r="H264" s="103"/>
      <c r="I264" s="103"/>
      <c r="J264" s="103"/>
      <c r="K264" s="103"/>
      <c r="L264" s="103"/>
      <c r="M264" s="104"/>
      <c r="N264" s="103"/>
    </row>
    <row r="265" spans="1:14" ht="45" customHeight="1" thickBot="1" x14ac:dyDescent="0.4">
      <c r="A265" s="103"/>
      <c r="B265" s="103"/>
      <c r="C265" s="103"/>
      <c r="D265" s="103"/>
      <c r="E265" s="103"/>
      <c r="F265" s="103"/>
      <c r="G265" s="103"/>
      <c r="H265" s="103"/>
      <c r="I265" s="103"/>
      <c r="J265" s="103"/>
      <c r="K265" s="103"/>
      <c r="L265" s="103"/>
      <c r="M265" s="104"/>
      <c r="N265" s="103"/>
    </row>
    <row r="266" spans="1:14" ht="45" customHeight="1" thickBot="1" x14ac:dyDescent="0.4">
      <c r="A266" s="103"/>
      <c r="B266" s="103"/>
      <c r="C266" s="103"/>
      <c r="D266" s="103"/>
      <c r="E266" s="103"/>
      <c r="F266" s="103"/>
      <c r="G266" s="103"/>
      <c r="H266" s="103"/>
      <c r="I266" s="103"/>
      <c r="J266" s="103"/>
      <c r="K266" s="103"/>
      <c r="L266" s="103"/>
      <c r="M266" s="104"/>
      <c r="N266" s="103"/>
    </row>
    <row r="267" spans="1:14" ht="45" customHeight="1" thickBot="1" x14ac:dyDescent="0.4">
      <c r="A267" s="103"/>
      <c r="B267" s="103"/>
      <c r="C267" s="103"/>
      <c r="D267" s="103"/>
      <c r="E267" s="103"/>
      <c r="F267" s="103"/>
      <c r="G267" s="103"/>
      <c r="H267" s="103"/>
      <c r="I267" s="103"/>
      <c r="J267" s="103"/>
      <c r="K267" s="103"/>
      <c r="L267" s="103"/>
      <c r="M267" s="104"/>
      <c r="N267" s="103"/>
    </row>
    <row r="268" spans="1:14" ht="45" customHeight="1" thickBot="1" x14ac:dyDescent="0.4">
      <c r="A268" s="103"/>
      <c r="B268" s="103"/>
      <c r="C268" s="103"/>
      <c r="D268" s="103"/>
      <c r="E268" s="103"/>
      <c r="F268" s="103"/>
      <c r="G268" s="103"/>
      <c r="H268" s="103"/>
      <c r="I268" s="103"/>
      <c r="J268" s="103"/>
      <c r="K268" s="103"/>
      <c r="L268" s="103"/>
      <c r="M268" s="104"/>
      <c r="N268" s="103"/>
    </row>
    <row r="269" spans="1:14" ht="45" customHeight="1" thickBot="1" x14ac:dyDescent="0.4">
      <c r="A269" s="103"/>
      <c r="B269" s="103"/>
      <c r="C269" s="103"/>
      <c r="D269" s="103"/>
      <c r="E269" s="103"/>
      <c r="F269" s="103"/>
      <c r="G269" s="103"/>
      <c r="H269" s="103"/>
      <c r="I269" s="103"/>
      <c r="J269" s="103"/>
      <c r="K269" s="103"/>
      <c r="L269" s="103"/>
      <c r="M269" s="104"/>
      <c r="N269" s="103"/>
    </row>
    <row r="270" spans="1:14" ht="45" customHeight="1" thickBot="1" x14ac:dyDescent="0.4">
      <c r="A270" s="103"/>
      <c r="B270" s="103"/>
      <c r="C270" s="103"/>
      <c r="D270" s="103"/>
      <c r="E270" s="103"/>
      <c r="F270" s="103"/>
      <c r="G270" s="103"/>
      <c r="H270" s="103"/>
      <c r="I270" s="103"/>
      <c r="J270" s="103"/>
      <c r="K270" s="103"/>
      <c r="L270" s="103"/>
      <c r="M270" s="104"/>
      <c r="N270" s="103"/>
    </row>
    <row r="271" spans="1:14" ht="45" customHeight="1" thickBot="1" x14ac:dyDescent="0.4">
      <c r="A271" s="103"/>
      <c r="B271" s="103"/>
      <c r="C271" s="103"/>
      <c r="D271" s="103"/>
      <c r="E271" s="103"/>
      <c r="F271" s="103"/>
      <c r="G271" s="103"/>
      <c r="H271" s="103"/>
      <c r="I271" s="103"/>
      <c r="J271" s="103"/>
      <c r="K271" s="103"/>
      <c r="L271" s="103"/>
      <c r="M271" s="104"/>
      <c r="N271" s="103"/>
    </row>
    <row r="272" spans="1:14" ht="45" customHeight="1" thickBot="1" x14ac:dyDescent="0.4">
      <c r="A272" s="103"/>
      <c r="B272" s="103"/>
      <c r="C272" s="103"/>
      <c r="D272" s="103"/>
      <c r="E272" s="103"/>
      <c r="F272" s="103"/>
      <c r="G272" s="103"/>
      <c r="H272" s="103"/>
      <c r="I272" s="103"/>
      <c r="J272" s="103"/>
      <c r="K272" s="103"/>
      <c r="L272" s="103"/>
      <c r="M272" s="104"/>
      <c r="N272" s="103"/>
    </row>
    <row r="273" spans="1:14" ht="45" customHeight="1" thickBot="1" x14ac:dyDescent="0.4">
      <c r="A273" s="103"/>
      <c r="B273" s="103"/>
      <c r="C273" s="103"/>
      <c r="D273" s="103"/>
      <c r="E273" s="103"/>
      <c r="F273" s="103"/>
      <c r="G273" s="103"/>
      <c r="H273" s="103"/>
      <c r="I273" s="103"/>
      <c r="J273" s="103"/>
      <c r="K273" s="103"/>
      <c r="L273" s="103"/>
      <c r="M273" s="104"/>
      <c r="N273" s="103"/>
    </row>
    <row r="274" spans="1:14" ht="45" customHeight="1" thickBot="1" x14ac:dyDescent="0.4">
      <c r="A274" s="103"/>
      <c r="B274" s="103"/>
      <c r="C274" s="103"/>
      <c r="D274" s="103"/>
      <c r="E274" s="103"/>
      <c r="F274" s="103"/>
      <c r="G274" s="103"/>
      <c r="H274" s="103"/>
      <c r="I274" s="103"/>
      <c r="J274" s="103"/>
      <c r="K274" s="103"/>
      <c r="L274" s="103"/>
      <c r="M274" s="104"/>
      <c r="N274" s="103"/>
    </row>
    <row r="275" spans="1:14" ht="45" customHeight="1" thickBot="1" x14ac:dyDescent="0.4">
      <c r="A275" s="103"/>
      <c r="B275" s="103"/>
      <c r="C275" s="103"/>
      <c r="D275" s="103"/>
      <c r="E275" s="103"/>
      <c r="F275" s="103"/>
      <c r="G275" s="103"/>
      <c r="H275" s="103"/>
      <c r="I275" s="103"/>
      <c r="J275" s="103"/>
      <c r="K275" s="103"/>
      <c r="L275" s="103"/>
      <c r="M275" s="104"/>
      <c r="N275" s="103"/>
    </row>
    <row r="276" spans="1:14" ht="45" customHeight="1" thickBot="1" x14ac:dyDescent="0.4">
      <c r="A276" s="103"/>
      <c r="B276" s="103"/>
      <c r="C276" s="103"/>
      <c r="D276" s="103"/>
      <c r="E276" s="103"/>
      <c r="F276" s="103"/>
      <c r="G276" s="103"/>
      <c r="H276" s="103"/>
      <c r="I276" s="103"/>
      <c r="J276" s="103"/>
      <c r="K276" s="103"/>
      <c r="L276" s="103"/>
      <c r="M276" s="104"/>
      <c r="N276" s="103"/>
    </row>
    <row r="277" spans="1:14" ht="45" customHeight="1" thickBot="1" x14ac:dyDescent="0.4">
      <c r="A277" s="103"/>
      <c r="B277" s="103"/>
      <c r="C277" s="103"/>
      <c r="D277" s="103"/>
      <c r="E277" s="103"/>
      <c r="F277" s="103"/>
      <c r="G277" s="103"/>
      <c r="H277" s="103"/>
      <c r="I277" s="103"/>
      <c r="J277" s="103"/>
      <c r="K277" s="103"/>
      <c r="L277" s="103"/>
      <c r="M277" s="104"/>
      <c r="N277" s="103"/>
    </row>
    <row r="278" spans="1:14" ht="45" customHeight="1" thickBot="1" x14ac:dyDescent="0.4">
      <c r="A278" s="103"/>
      <c r="B278" s="103"/>
      <c r="C278" s="103"/>
      <c r="D278" s="103"/>
      <c r="E278" s="103"/>
      <c r="F278" s="103"/>
      <c r="G278" s="103"/>
      <c r="H278" s="103"/>
      <c r="I278" s="103"/>
      <c r="J278" s="103"/>
      <c r="K278" s="103"/>
      <c r="L278" s="103"/>
      <c r="M278" s="104"/>
      <c r="N278" s="103"/>
    </row>
    <row r="279" spans="1:14" ht="45" customHeight="1" thickBot="1" x14ac:dyDescent="0.4">
      <c r="A279" s="103"/>
      <c r="B279" s="103"/>
      <c r="C279" s="103"/>
      <c r="D279" s="103"/>
      <c r="E279" s="103"/>
      <c r="F279" s="103"/>
      <c r="G279" s="103"/>
      <c r="H279" s="103"/>
      <c r="I279" s="103"/>
      <c r="J279" s="103"/>
      <c r="K279" s="103"/>
      <c r="L279" s="103"/>
      <c r="M279" s="104"/>
      <c r="N279" s="103"/>
    </row>
    <row r="280" spans="1:14" ht="45" customHeight="1" thickBot="1" x14ac:dyDescent="0.4">
      <c r="A280" s="103"/>
      <c r="B280" s="103"/>
      <c r="C280" s="103"/>
      <c r="D280" s="103"/>
      <c r="E280" s="103"/>
      <c r="F280" s="103"/>
      <c r="G280" s="103"/>
      <c r="H280" s="103"/>
      <c r="I280" s="103"/>
      <c r="J280" s="103"/>
      <c r="K280" s="103"/>
      <c r="L280" s="103"/>
      <c r="M280" s="104"/>
      <c r="N280" s="103"/>
    </row>
    <row r="281" spans="1:14" ht="45" customHeight="1" thickBot="1" x14ac:dyDescent="0.4">
      <c r="A281" s="103"/>
      <c r="B281" s="103"/>
      <c r="C281" s="103"/>
      <c r="D281" s="103"/>
      <c r="E281" s="103"/>
      <c r="F281" s="103"/>
      <c r="G281" s="103"/>
      <c r="H281" s="103"/>
      <c r="I281" s="103"/>
      <c r="J281" s="103"/>
      <c r="K281" s="103"/>
      <c r="L281" s="103"/>
      <c r="M281" s="104"/>
      <c r="N281" s="103"/>
    </row>
    <row r="282" spans="1:14" ht="45" customHeight="1" thickBot="1" x14ac:dyDescent="0.4">
      <c r="A282" s="103"/>
      <c r="B282" s="103"/>
      <c r="C282" s="103"/>
      <c r="D282" s="103"/>
      <c r="E282" s="103"/>
      <c r="F282" s="103"/>
      <c r="G282" s="103"/>
      <c r="H282" s="103"/>
      <c r="I282" s="103"/>
      <c r="J282" s="103"/>
      <c r="K282" s="103"/>
      <c r="L282" s="103"/>
      <c r="M282" s="104"/>
      <c r="N282" s="103"/>
    </row>
    <row r="283" spans="1:14" ht="45" customHeight="1" thickBot="1" x14ac:dyDescent="0.4">
      <c r="A283" s="103"/>
      <c r="B283" s="103"/>
      <c r="C283" s="103"/>
      <c r="D283" s="103"/>
      <c r="E283" s="103"/>
      <c r="F283" s="103"/>
      <c r="G283" s="103"/>
      <c r="H283" s="103"/>
      <c r="I283" s="103"/>
      <c r="J283" s="103"/>
      <c r="K283" s="103"/>
      <c r="L283" s="103"/>
      <c r="M283" s="104"/>
      <c r="N283" s="103"/>
    </row>
    <row r="284" spans="1:14" ht="45" customHeight="1" thickBot="1" x14ac:dyDescent="0.4">
      <c r="A284" s="103"/>
      <c r="B284" s="103"/>
      <c r="C284" s="103"/>
      <c r="D284" s="103"/>
      <c r="E284" s="103"/>
      <c r="F284" s="103"/>
      <c r="G284" s="103"/>
      <c r="H284" s="103"/>
      <c r="I284" s="103"/>
      <c r="J284" s="103"/>
      <c r="K284" s="103"/>
      <c r="L284" s="103"/>
      <c r="M284" s="104"/>
      <c r="N284" s="103"/>
    </row>
    <row r="285" spans="1:14" ht="45" customHeight="1" thickBot="1" x14ac:dyDescent="0.4">
      <c r="A285" s="103"/>
      <c r="B285" s="103"/>
      <c r="C285" s="103"/>
      <c r="D285" s="103"/>
      <c r="E285" s="103"/>
      <c r="F285" s="103"/>
      <c r="G285" s="103"/>
      <c r="H285" s="103"/>
      <c r="I285" s="103"/>
      <c r="J285" s="103"/>
      <c r="K285" s="103"/>
      <c r="L285" s="103"/>
      <c r="M285" s="104"/>
      <c r="N285" s="103"/>
    </row>
    <row r="286" spans="1:14" ht="45" customHeight="1" thickBot="1" x14ac:dyDescent="0.4">
      <c r="A286" s="103"/>
      <c r="B286" s="103"/>
      <c r="C286" s="103"/>
      <c r="D286" s="103"/>
      <c r="E286" s="103"/>
      <c r="F286" s="103"/>
      <c r="G286" s="103"/>
      <c r="H286" s="103"/>
      <c r="I286" s="103"/>
      <c r="J286" s="103"/>
      <c r="K286" s="103"/>
      <c r="L286" s="103"/>
      <c r="M286" s="104"/>
      <c r="N286" s="103"/>
    </row>
    <row r="287" spans="1:14" ht="45" customHeight="1" thickBot="1" x14ac:dyDescent="0.4">
      <c r="A287" s="103"/>
      <c r="B287" s="103"/>
      <c r="C287" s="103"/>
      <c r="D287" s="103"/>
      <c r="E287" s="103"/>
      <c r="F287" s="103"/>
      <c r="G287" s="103"/>
      <c r="H287" s="103"/>
      <c r="I287" s="103"/>
      <c r="J287" s="103"/>
      <c r="K287" s="103"/>
      <c r="L287" s="103"/>
      <c r="M287" s="104"/>
      <c r="N287" s="103"/>
    </row>
    <row r="288" spans="1:14" ht="45" customHeight="1" thickBot="1" x14ac:dyDescent="0.4">
      <c r="A288" s="103"/>
      <c r="B288" s="103"/>
      <c r="C288" s="103"/>
      <c r="D288" s="103"/>
      <c r="E288" s="103"/>
      <c r="F288" s="103"/>
      <c r="G288" s="103"/>
      <c r="H288" s="103"/>
      <c r="I288" s="103"/>
      <c r="J288" s="103"/>
      <c r="K288" s="103"/>
      <c r="L288" s="103"/>
      <c r="M288" s="104"/>
      <c r="N288" s="103"/>
    </row>
    <row r="289" spans="1:14" ht="45" customHeight="1" thickBot="1" x14ac:dyDescent="0.4">
      <c r="A289" s="103"/>
      <c r="B289" s="103"/>
      <c r="C289" s="103"/>
      <c r="D289" s="103"/>
      <c r="E289" s="103"/>
      <c r="F289" s="103"/>
      <c r="G289" s="103"/>
      <c r="H289" s="103"/>
      <c r="I289" s="103"/>
      <c r="J289" s="103"/>
      <c r="K289" s="103"/>
      <c r="L289" s="103"/>
      <c r="M289" s="104"/>
      <c r="N289" s="103"/>
    </row>
    <row r="290" spans="1:14" ht="45" customHeight="1" thickBot="1" x14ac:dyDescent="0.4">
      <c r="A290" s="103"/>
      <c r="B290" s="103"/>
      <c r="C290" s="103"/>
      <c r="D290" s="103"/>
      <c r="E290" s="103"/>
      <c r="F290" s="103"/>
      <c r="G290" s="103"/>
      <c r="H290" s="103"/>
      <c r="I290" s="103"/>
      <c r="J290" s="103"/>
      <c r="K290" s="103"/>
      <c r="L290" s="103"/>
      <c r="M290" s="104"/>
      <c r="N290" s="103"/>
    </row>
    <row r="291" spans="1:14" ht="45" customHeight="1" thickBot="1" x14ac:dyDescent="0.4">
      <c r="A291" s="103"/>
      <c r="B291" s="103"/>
      <c r="C291" s="103"/>
      <c r="D291" s="103"/>
      <c r="E291" s="103"/>
      <c r="F291" s="103"/>
      <c r="G291" s="103"/>
      <c r="H291" s="103"/>
      <c r="I291" s="103"/>
      <c r="J291" s="103"/>
      <c r="K291" s="103"/>
      <c r="L291" s="103"/>
      <c r="M291" s="104"/>
      <c r="N291" s="103"/>
    </row>
    <row r="292" spans="1:14" ht="45" customHeight="1" thickBot="1" x14ac:dyDescent="0.4">
      <c r="A292" s="103"/>
      <c r="B292" s="103"/>
      <c r="C292" s="103"/>
      <c r="D292" s="103"/>
      <c r="E292" s="103"/>
      <c r="F292" s="103"/>
      <c r="G292" s="103"/>
      <c r="H292" s="103"/>
      <c r="I292" s="103"/>
      <c r="J292" s="103"/>
      <c r="K292" s="103"/>
      <c r="L292" s="103"/>
      <c r="M292" s="104"/>
      <c r="N292" s="103"/>
    </row>
    <row r="293" spans="1:14" ht="45" customHeight="1" thickBot="1" x14ac:dyDescent="0.4">
      <c r="A293" s="103"/>
      <c r="B293" s="103"/>
      <c r="C293" s="103"/>
      <c r="D293" s="103"/>
      <c r="E293" s="103"/>
      <c r="F293" s="103"/>
      <c r="G293" s="103"/>
      <c r="H293" s="103"/>
      <c r="I293" s="103"/>
      <c r="J293" s="103"/>
      <c r="K293" s="103"/>
      <c r="L293" s="103"/>
      <c r="M293" s="104"/>
      <c r="N293" s="103"/>
    </row>
    <row r="294" spans="1:14" ht="45" customHeight="1" thickBot="1" x14ac:dyDescent="0.4">
      <c r="A294" s="103"/>
      <c r="B294" s="103"/>
      <c r="C294" s="103"/>
      <c r="D294" s="103"/>
      <c r="E294" s="103"/>
      <c r="F294" s="103"/>
      <c r="G294" s="103"/>
      <c r="H294" s="103"/>
      <c r="I294" s="103"/>
      <c r="J294" s="103"/>
      <c r="K294" s="103"/>
      <c r="L294" s="103"/>
      <c r="M294" s="104"/>
      <c r="N294" s="103"/>
    </row>
    <row r="295" spans="1:14" ht="45" customHeight="1" thickBot="1" x14ac:dyDescent="0.4">
      <c r="A295" s="103"/>
      <c r="B295" s="103"/>
      <c r="C295" s="103"/>
      <c r="D295" s="103"/>
      <c r="E295" s="103"/>
      <c r="F295" s="103"/>
      <c r="G295" s="103"/>
      <c r="H295" s="103"/>
      <c r="I295" s="103"/>
      <c r="J295" s="103"/>
      <c r="K295" s="103"/>
      <c r="L295" s="103"/>
      <c r="M295" s="104"/>
      <c r="N295" s="103"/>
    </row>
    <row r="296" spans="1:14" ht="45" customHeight="1" thickBot="1" x14ac:dyDescent="0.4">
      <c r="A296" s="103"/>
      <c r="B296" s="103"/>
      <c r="C296" s="103"/>
      <c r="D296" s="103"/>
      <c r="E296" s="103"/>
      <c r="F296" s="103"/>
      <c r="G296" s="103"/>
      <c r="H296" s="103"/>
      <c r="I296" s="103"/>
      <c r="J296" s="103"/>
      <c r="K296" s="103"/>
      <c r="L296" s="103"/>
      <c r="M296" s="104"/>
      <c r="N296" s="103"/>
    </row>
    <row r="297" spans="1:14" ht="45" customHeight="1" thickBot="1" x14ac:dyDescent="0.4">
      <c r="A297" s="103"/>
      <c r="B297" s="103"/>
      <c r="C297" s="103"/>
      <c r="D297" s="103"/>
      <c r="E297" s="103"/>
      <c r="F297" s="103"/>
      <c r="G297" s="103"/>
      <c r="H297" s="103"/>
      <c r="I297" s="103"/>
      <c r="J297" s="103"/>
      <c r="K297" s="103"/>
      <c r="L297" s="103"/>
      <c r="M297" s="104"/>
      <c r="N297" s="103"/>
    </row>
    <row r="298" spans="1:14" ht="45" customHeight="1" thickBot="1" x14ac:dyDescent="0.4">
      <c r="A298" s="103"/>
      <c r="B298" s="103"/>
      <c r="C298" s="103"/>
      <c r="D298" s="103"/>
      <c r="E298" s="103"/>
      <c r="F298" s="103"/>
      <c r="G298" s="103"/>
      <c r="H298" s="103"/>
      <c r="I298" s="103"/>
      <c r="J298" s="103"/>
      <c r="K298" s="103"/>
      <c r="L298" s="103"/>
      <c r="M298" s="104"/>
      <c r="N298" s="103"/>
    </row>
    <row r="299" spans="1:14" ht="45" customHeight="1" thickBot="1" x14ac:dyDescent="0.4">
      <c r="A299" s="103"/>
      <c r="B299" s="103"/>
      <c r="C299" s="103"/>
      <c r="D299" s="103"/>
      <c r="E299" s="103"/>
      <c r="F299" s="103"/>
      <c r="G299" s="103"/>
      <c r="H299" s="103"/>
      <c r="I299" s="103"/>
      <c r="J299" s="103"/>
      <c r="K299" s="103"/>
      <c r="L299" s="103"/>
      <c r="M299" s="104"/>
      <c r="N299" s="103"/>
    </row>
    <row r="300" spans="1:14" ht="45" customHeight="1" thickBot="1" x14ac:dyDescent="0.4">
      <c r="A300" s="103"/>
      <c r="B300" s="103"/>
      <c r="C300" s="103"/>
      <c r="D300" s="103"/>
      <c r="E300" s="103"/>
      <c r="F300" s="103"/>
      <c r="G300" s="103"/>
      <c r="H300" s="103"/>
      <c r="I300" s="103"/>
      <c r="J300" s="103"/>
      <c r="K300" s="103"/>
      <c r="L300" s="103"/>
      <c r="M300" s="104"/>
      <c r="N300" s="103"/>
    </row>
    <row r="301" spans="1:14" ht="45" customHeight="1" thickBot="1" x14ac:dyDescent="0.4">
      <c r="A301" s="103"/>
      <c r="B301" s="103"/>
      <c r="C301" s="103"/>
      <c r="D301" s="103"/>
      <c r="E301" s="103"/>
      <c r="F301" s="103"/>
      <c r="G301" s="103"/>
      <c r="H301" s="103"/>
      <c r="I301" s="103"/>
      <c r="J301" s="103"/>
      <c r="K301" s="103"/>
      <c r="L301" s="103"/>
      <c r="M301" s="104"/>
      <c r="N301" s="103"/>
    </row>
    <row r="302" spans="1:14" ht="45" customHeight="1" thickBot="1" x14ac:dyDescent="0.4">
      <c r="A302" s="103"/>
      <c r="B302" s="103"/>
      <c r="C302" s="103"/>
      <c r="D302" s="103"/>
      <c r="E302" s="103"/>
      <c r="F302" s="103"/>
      <c r="G302" s="103"/>
      <c r="H302" s="103"/>
      <c r="I302" s="103"/>
      <c r="J302" s="103"/>
      <c r="K302" s="103"/>
      <c r="L302" s="103"/>
      <c r="M302" s="104"/>
      <c r="N302" s="103"/>
    </row>
    <row r="303" spans="1:14" ht="45" customHeight="1" thickBot="1" x14ac:dyDescent="0.4">
      <c r="A303" s="103"/>
      <c r="B303" s="103"/>
      <c r="C303" s="103"/>
      <c r="D303" s="103"/>
      <c r="E303" s="103"/>
      <c r="F303" s="103"/>
      <c r="G303" s="103"/>
      <c r="H303" s="103"/>
      <c r="I303" s="103"/>
      <c r="J303" s="103"/>
      <c r="K303" s="103"/>
      <c r="L303" s="103"/>
      <c r="M303" s="104"/>
      <c r="N303" s="103"/>
    </row>
    <row r="304" spans="1:14" ht="45" customHeight="1" thickBot="1" x14ac:dyDescent="0.4">
      <c r="A304" s="103"/>
      <c r="B304" s="103"/>
      <c r="C304" s="103"/>
      <c r="D304" s="103"/>
      <c r="E304" s="103"/>
      <c r="F304" s="103"/>
      <c r="G304" s="103"/>
      <c r="H304" s="103"/>
      <c r="I304" s="103"/>
      <c r="J304" s="103"/>
      <c r="K304" s="103"/>
      <c r="L304" s="103"/>
      <c r="M304" s="104"/>
      <c r="N304" s="103"/>
    </row>
    <row r="305" spans="1:14" ht="45" customHeight="1" thickBot="1" x14ac:dyDescent="0.4">
      <c r="A305" s="103"/>
      <c r="B305" s="103"/>
      <c r="C305" s="103"/>
      <c r="D305" s="103"/>
      <c r="E305" s="103"/>
      <c r="F305" s="103"/>
      <c r="G305" s="103"/>
      <c r="H305" s="103"/>
      <c r="I305" s="103"/>
      <c r="J305" s="103"/>
      <c r="K305" s="103"/>
      <c r="L305" s="103"/>
      <c r="M305" s="104"/>
      <c r="N305" s="103"/>
    </row>
    <row r="306" spans="1:14" ht="45" customHeight="1" thickBot="1" x14ac:dyDescent="0.4">
      <c r="A306" s="103"/>
      <c r="B306" s="103"/>
      <c r="C306" s="103"/>
      <c r="D306" s="103"/>
      <c r="E306" s="103"/>
      <c r="F306" s="103"/>
      <c r="G306" s="103"/>
      <c r="H306" s="103"/>
      <c r="I306" s="103"/>
      <c r="J306" s="103"/>
      <c r="K306" s="103"/>
      <c r="L306" s="103"/>
      <c r="M306" s="104"/>
      <c r="N306" s="103"/>
    </row>
    <row r="307" spans="1:14" ht="45" customHeight="1" thickBot="1" x14ac:dyDescent="0.4">
      <c r="A307" s="103"/>
      <c r="B307" s="103"/>
      <c r="C307" s="103"/>
      <c r="D307" s="103"/>
      <c r="E307" s="103"/>
      <c r="F307" s="103"/>
      <c r="G307" s="103"/>
      <c r="H307" s="103"/>
      <c r="I307" s="103"/>
      <c r="J307" s="103"/>
      <c r="K307" s="103"/>
      <c r="L307" s="103"/>
      <c r="M307" s="104"/>
      <c r="N307" s="103"/>
    </row>
    <row r="308" spans="1:14" ht="45" customHeight="1" thickBot="1" x14ac:dyDescent="0.4">
      <c r="A308" s="103"/>
      <c r="B308" s="103"/>
      <c r="C308" s="103"/>
      <c r="D308" s="103"/>
      <c r="E308" s="103"/>
      <c r="F308" s="103"/>
      <c r="G308" s="103"/>
      <c r="H308" s="103"/>
      <c r="I308" s="103"/>
      <c r="J308" s="103"/>
      <c r="K308" s="103"/>
      <c r="L308" s="103"/>
      <c r="M308" s="104"/>
      <c r="N308" s="103"/>
    </row>
    <row r="309" spans="1:14" ht="45" customHeight="1" thickBot="1" x14ac:dyDescent="0.4">
      <c r="A309" s="103"/>
      <c r="B309" s="103"/>
      <c r="C309" s="103"/>
      <c r="D309" s="103"/>
      <c r="E309" s="103"/>
      <c r="F309" s="103"/>
      <c r="G309" s="103"/>
      <c r="H309" s="103"/>
      <c r="I309" s="103"/>
      <c r="J309" s="103"/>
      <c r="K309" s="103"/>
      <c r="L309" s="103"/>
      <c r="M309" s="104"/>
      <c r="N309" s="103"/>
    </row>
    <row r="310" spans="1:14" ht="45" customHeight="1" thickBot="1" x14ac:dyDescent="0.4">
      <c r="A310" s="103"/>
      <c r="B310" s="103"/>
      <c r="C310" s="103"/>
      <c r="D310" s="103"/>
      <c r="E310" s="103"/>
      <c r="F310" s="103"/>
      <c r="G310" s="103"/>
      <c r="H310" s="103"/>
      <c r="I310" s="103"/>
      <c r="J310" s="103"/>
      <c r="K310" s="103"/>
      <c r="L310" s="103"/>
      <c r="M310" s="104"/>
      <c r="N310" s="103"/>
    </row>
    <row r="311" spans="1:14" ht="45" customHeight="1" thickBot="1" x14ac:dyDescent="0.4">
      <c r="A311" s="103"/>
      <c r="B311" s="103"/>
      <c r="C311" s="103"/>
      <c r="D311" s="103"/>
      <c r="E311" s="103"/>
      <c r="F311" s="103"/>
      <c r="G311" s="103"/>
      <c r="H311" s="103"/>
      <c r="I311" s="103"/>
      <c r="J311" s="103"/>
      <c r="K311" s="103"/>
      <c r="L311" s="103"/>
      <c r="M311" s="104"/>
      <c r="N311" s="103"/>
    </row>
    <row r="312" spans="1:14" ht="45" customHeight="1" thickBot="1" x14ac:dyDescent="0.4">
      <c r="A312" s="103"/>
      <c r="B312" s="103"/>
      <c r="C312" s="103"/>
      <c r="D312" s="103"/>
      <c r="E312" s="103"/>
      <c r="F312" s="103"/>
      <c r="G312" s="103"/>
      <c r="H312" s="103"/>
      <c r="I312" s="103"/>
      <c r="J312" s="103"/>
      <c r="K312" s="103"/>
      <c r="L312" s="103"/>
      <c r="M312" s="104"/>
      <c r="N312" s="103"/>
    </row>
    <row r="313" spans="1:14" ht="45" customHeight="1" thickBot="1" x14ac:dyDescent="0.4">
      <c r="A313" s="103"/>
      <c r="B313" s="103"/>
      <c r="C313" s="103"/>
      <c r="D313" s="103"/>
      <c r="E313" s="103"/>
      <c r="F313" s="103"/>
      <c r="G313" s="103"/>
      <c r="H313" s="103"/>
      <c r="I313" s="103"/>
      <c r="J313" s="103"/>
      <c r="K313" s="103"/>
      <c r="L313" s="103"/>
      <c r="M313" s="104"/>
      <c r="N313" s="103"/>
    </row>
    <row r="314" spans="1:14" ht="45" customHeight="1" thickBot="1" x14ac:dyDescent="0.4">
      <c r="A314" s="103"/>
      <c r="B314" s="103"/>
      <c r="C314" s="103"/>
      <c r="D314" s="103"/>
      <c r="E314" s="103"/>
      <c r="F314" s="103"/>
      <c r="G314" s="103"/>
      <c r="H314" s="103"/>
      <c r="I314" s="103"/>
      <c r="J314" s="103"/>
      <c r="K314" s="103"/>
      <c r="L314" s="103"/>
      <c r="M314" s="104"/>
      <c r="N314" s="103"/>
    </row>
    <row r="315" spans="1:14" ht="45" customHeight="1" thickBot="1" x14ac:dyDescent="0.4">
      <c r="A315" s="103"/>
      <c r="B315" s="103"/>
      <c r="C315" s="103"/>
      <c r="D315" s="103"/>
      <c r="E315" s="103"/>
      <c r="F315" s="103"/>
      <c r="G315" s="103"/>
      <c r="H315" s="103"/>
      <c r="I315" s="103"/>
      <c r="J315" s="103"/>
      <c r="K315" s="103"/>
      <c r="L315" s="103"/>
      <c r="M315" s="104"/>
      <c r="N315" s="103"/>
    </row>
    <row r="316" spans="1:14" ht="45" customHeight="1" thickBot="1" x14ac:dyDescent="0.4">
      <c r="A316" s="103"/>
      <c r="B316" s="103"/>
      <c r="C316" s="103"/>
      <c r="D316" s="103"/>
      <c r="E316" s="103"/>
      <c r="F316" s="103"/>
      <c r="G316" s="103"/>
      <c r="H316" s="103"/>
      <c r="I316" s="103"/>
      <c r="J316" s="103"/>
      <c r="K316" s="103"/>
      <c r="L316" s="103"/>
      <c r="M316" s="104"/>
      <c r="N316" s="103"/>
    </row>
    <row r="317" spans="1:14" ht="45" customHeight="1" thickBot="1" x14ac:dyDescent="0.4">
      <c r="A317" s="103"/>
      <c r="B317" s="103"/>
      <c r="C317" s="103"/>
      <c r="D317" s="103"/>
      <c r="E317" s="103"/>
      <c r="F317" s="103"/>
      <c r="G317" s="103"/>
      <c r="H317" s="103"/>
      <c r="I317" s="103"/>
      <c r="J317" s="103"/>
      <c r="K317" s="103"/>
      <c r="L317" s="103"/>
      <c r="M317" s="104"/>
      <c r="N317" s="103"/>
    </row>
    <row r="318" spans="1:14" ht="45" customHeight="1" thickBot="1" x14ac:dyDescent="0.4">
      <c r="A318" s="103"/>
      <c r="B318" s="103"/>
      <c r="C318" s="103"/>
      <c r="D318" s="103"/>
      <c r="E318" s="103"/>
      <c r="F318" s="103"/>
      <c r="G318" s="103"/>
      <c r="H318" s="103"/>
      <c r="I318" s="103"/>
      <c r="J318" s="103"/>
      <c r="K318" s="103"/>
      <c r="L318" s="103"/>
      <c r="M318" s="104"/>
      <c r="N318" s="103"/>
    </row>
    <row r="319" spans="1:14" ht="45" customHeight="1" thickBot="1" x14ac:dyDescent="0.4">
      <c r="A319" s="103"/>
      <c r="B319" s="103"/>
      <c r="C319" s="103"/>
      <c r="D319" s="103"/>
      <c r="E319" s="103"/>
      <c r="F319" s="103"/>
      <c r="G319" s="103"/>
      <c r="H319" s="103"/>
      <c r="I319" s="103"/>
      <c r="J319" s="103"/>
      <c r="K319" s="103"/>
      <c r="L319" s="103"/>
      <c r="M319" s="104"/>
      <c r="N319" s="103"/>
    </row>
    <row r="320" spans="1:14" ht="45" customHeight="1" thickBot="1" x14ac:dyDescent="0.4">
      <c r="A320" s="103"/>
      <c r="B320" s="103"/>
      <c r="C320" s="103"/>
      <c r="D320" s="103"/>
      <c r="E320" s="103"/>
      <c r="F320" s="103"/>
      <c r="G320" s="103"/>
      <c r="H320" s="103"/>
      <c r="I320" s="103"/>
      <c r="J320" s="103"/>
      <c r="K320" s="103"/>
      <c r="L320" s="103"/>
      <c r="M320" s="104"/>
      <c r="N320" s="103"/>
    </row>
    <row r="321" spans="1:14" ht="45" customHeight="1" thickBot="1" x14ac:dyDescent="0.4">
      <c r="A321" s="103"/>
      <c r="B321" s="103"/>
      <c r="C321" s="103"/>
      <c r="D321" s="103"/>
      <c r="E321" s="103"/>
      <c r="F321" s="103"/>
      <c r="G321" s="103"/>
      <c r="H321" s="103"/>
      <c r="I321" s="103"/>
      <c r="J321" s="103"/>
      <c r="K321" s="103"/>
      <c r="L321" s="103"/>
      <c r="M321" s="104"/>
      <c r="N321" s="103"/>
    </row>
    <row r="322" spans="1:14" ht="45" customHeight="1" thickBot="1" x14ac:dyDescent="0.4">
      <c r="A322" s="103"/>
      <c r="B322" s="103"/>
      <c r="C322" s="103"/>
      <c r="D322" s="103"/>
      <c r="E322" s="103"/>
      <c r="F322" s="103"/>
      <c r="G322" s="103"/>
      <c r="H322" s="103"/>
      <c r="I322" s="103"/>
      <c r="J322" s="103"/>
      <c r="K322" s="103"/>
      <c r="L322" s="103"/>
      <c r="M322" s="104"/>
      <c r="N322" s="103"/>
    </row>
    <row r="323" spans="1:14" ht="45" customHeight="1" thickBot="1" x14ac:dyDescent="0.4">
      <c r="A323" s="103"/>
      <c r="B323" s="103"/>
      <c r="C323" s="103"/>
      <c r="D323" s="103"/>
      <c r="E323" s="103"/>
      <c r="F323" s="103"/>
      <c r="G323" s="103"/>
      <c r="H323" s="103"/>
      <c r="I323" s="103"/>
      <c r="J323" s="103"/>
      <c r="K323" s="103"/>
      <c r="L323" s="103"/>
      <c r="M323" s="104"/>
      <c r="N323" s="103"/>
    </row>
    <row r="324" spans="1:14" ht="45" customHeight="1" thickBot="1" x14ac:dyDescent="0.4">
      <c r="A324" s="103"/>
      <c r="B324" s="103"/>
      <c r="C324" s="103"/>
      <c r="D324" s="103"/>
      <c r="E324" s="103"/>
      <c r="F324" s="103"/>
      <c r="G324" s="103"/>
      <c r="H324" s="103"/>
      <c r="I324" s="103"/>
      <c r="J324" s="103"/>
      <c r="K324" s="103"/>
      <c r="L324" s="103"/>
      <c r="M324" s="104"/>
      <c r="N324" s="103"/>
    </row>
    <row r="325" spans="1:14" ht="45" customHeight="1" thickBot="1" x14ac:dyDescent="0.4">
      <c r="A325" s="103"/>
      <c r="B325" s="103"/>
      <c r="C325" s="103"/>
      <c r="D325" s="103"/>
      <c r="E325" s="103"/>
      <c r="F325" s="103"/>
      <c r="G325" s="103"/>
      <c r="H325" s="103"/>
      <c r="I325" s="103"/>
      <c r="J325" s="103"/>
      <c r="K325" s="103"/>
      <c r="L325" s="103"/>
      <c r="M325" s="104"/>
      <c r="N325" s="103"/>
    </row>
    <row r="326" spans="1:14" ht="45" customHeight="1" thickBot="1" x14ac:dyDescent="0.4">
      <c r="A326" s="103"/>
      <c r="B326" s="103"/>
      <c r="C326" s="103"/>
      <c r="D326" s="103"/>
      <c r="E326" s="103"/>
      <c r="F326" s="103"/>
      <c r="G326" s="103"/>
      <c r="H326" s="103"/>
      <c r="I326" s="103"/>
      <c r="J326" s="103"/>
      <c r="K326" s="103"/>
      <c r="L326" s="103"/>
      <c r="M326" s="104"/>
      <c r="N326" s="103"/>
    </row>
    <row r="327" spans="1:14" ht="45" customHeight="1" thickBot="1" x14ac:dyDescent="0.4">
      <c r="A327" s="103"/>
      <c r="B327" s="103"/>
      <c r="C327" s="103"/>
      <c r="D327" s="103"/>
      <c r="E327" s="103"/>
      <c r="F327" s="103"/>
      <c r="G327" s="103"/>
      <c r="H327" s="103"/>
      <c r="I327" s="103"/>
      <c r="J327" s="103"/>
      <c r="K327" s="103"/>
      <c r="L327" s="103"/>
      <c r="M327" s="104"/>
      <c r="N327" s="103"/>
    </row>
    <row r="328" spans="1:14" ht="45" customHeight="1" thickBot="1" x14ac:dyDescent="0.4">
      <c r="A328" s="103"/>
      <c r="B328" s="103"/>
      <c r="C328" s="103"/>
      <c r="D328" s="103"/>
      <c r="E328" s="103"/>
      <c r="F328" s="103"/>
      <c r="G328" s="103"/>
      <c r="H328" s="103"/>
      <c r="I328" s="103"/>
      <c r="J328" s="103"/>
      <c r="K328" s="103"/>
      <c r="L328" s="103"/>
      <c r="M328" s="104"/>
      <c r="N328" s="103"/>
    </row>
    <row r="329" spans="1:14" ht="45" customHeight="1" thickBot="1" x14ac:dyDescent="0.4">
      <c r="A329" s="103"/>
      <c r="B329" s="103"/>
      <c r="C329" s="103"/>
      <c r="D329" s="103"/>
      <c r="E329" s="103"/>
      <c r="F329" s="103"/>
      <c r="G329" s="103"/>
      <c r="H329" s="103"/>
      <c r="I329" s="103"/>
      <c r="J329" s="103"/>
      <c r="K329" s="103"/>
      <c r="L329" s="103"/>
      <c r="M329" s="104"/>
      <c r="N329" s="103"/>
    </row>
    <row r="330" spans="1:14" ht="45" customHeight="1" thickBot="1" x14ac:dyDescent="0.4">
      <c r="A330" s="103"/>
      <c r="B330" s="103"/>
      <c r="C330" s="103"/>
      <c r="D330" s="103"/>
      <c r="E330" s="103"/>
      <c r="F330" s="103"/>
      <c r="G330" s="103"/>
      <c r="H330" s="103"/>
      <c r="I330" s="103"/>
      <c r="J330" s="103"/>
      <c r="K330" s="103"/>
      <c r="L330" s="103"/>
      <c r="M330" s="104"/>
      <c r="N330" s="103"/>
    </row>
    <row r="331" spans="1:14" ht="45" customHeight="1" thickBot="1" x14ac:dyDescent="0.4">
      <c r="A331" s="103"/>
      <c r="B331" s="103"/>
      <c r="C331" s="103"/>
      <c r="D331" s="103"/>
      <c r="E331" s="103"/>
      <c r="F331" s="103"/>
      <c r="G331" s="103"/>
      <c r="H331" s="103"/>
      <c r="I331" s="103"/>
      <c r="J331" s="103"/>
      <c r="K331" s="103"/>
      <c r="L331" s="103"/>
      <c r="M331" s="104"/>
      <c r="N331" s="103"/>
    </row>
    <row r="332" spans="1:14" ht="45" customHeight="1" thickBot="1" x14ac:dyDescent="0.4">
      <c r="A332" s="103"/>
      <c r="B332" s="103"/>
      <c r="C332" s="103"/>
      <c r="D332" s="103"/>
      <c r="E332" s="103"/>
      <c r="F332" s="103"/>
      <c r="G332" s="103"/>
      <c r="H332" s="103"/>
      <c r="I332" s="103"/>
      <c r="J332" s="103"/>
      <c r="K332" s="103"/>
      <c r="L332" s="103"/>
      <c r="M332" s="104"/>
      <c r="N332" s="103"/>
    </row>
    <row r="333" spans="1:14" ht="45" customHeight="1" thickBot="1" x14ac:dyDescent="0.4">
      <c r="A333" s="103"/>
      <c r="B333" s="103"/>
      <c r="C333" s="103"/>
      <c r="D333" s="103"/>
      <c r="E333" s="103"/>
      <c r="F333" s="103"/>
      <c r="G333" s="103"/>
      <c r="H333" s="103"/>
      <c r="I333" s="103"/>
      <c r="J333" s="103"/>
      <c r="K333" s="103"/>
      <c r="L333" s="103"/>
      <c r="M333" s="104"/>
      <c r="N333" s="103"/>
    </row>
    <row r="334" spans="1:14" ht="45" customHeight="1" thickBot="1" x14ac:dyDescent="0.4">
      <c r="A334" s="103"/>
      <c r="B334" s="103"/>
      <c r="C334" s="103"/>
      <c r="D334" s="103"/>
      <c r="E334" s="103"/>
      <c r="F334" s="103"/>
      <c r="G334" s="103"/>
      <c r="H334" s="103"/>
      <c r="I334" s="103"/>
      <c r="J334" s="103"/>
      <c r="K334" s="103"/>
      <c r="L334" s="103"/>
      <c r="M334" s="104"/>
      <c r="N334" s="103"/>
    </row>
    <row r="335" spans="1:14" ht="45" customHeight="1" thickBot="1" x14ac:dyDescent="0.4">
      <c r="A335" s="103"/>
      <c r="B335" s="103"/>
      <c r="C335" s="103"/>
      <c r="D335" s="103"/>
      <c r="E335" s="103"/>
      <c r="F335" s="103"/>
      <c r="G335" s="103"/>
      <c r="H335" s="103"/>
      <c r="I335" s="103"/>
      <c r="J335" s="103"/>
      <c r="K335" s="103"/>
      <c r="L335" s="103"/>
      <c r="M335" s="104"/>
      <c r="N335" s="103"/>
    </row>
    <row r="336" spans="1:14" ht="45" customHeight="1" thickBot="1" x14ac:dyDescent="0.4">
      <c r="A336" s="103"/>
      <c r="B336" s="103"/>
      <c r="C336" s="103"/>
      <c r="D336" s="103"/>
      <c r="E336" s="103"/>
      <c r="F336" s="103"/>
      <c r="G336" s="103"/>
      <c r="H336" s="103"/>
      <c r="I336" s="103"/>
      <c r="J336" s="103"/>
      <c r="K336" s="103"/>
      <c r="L336" s="103"/>
      <c r="M336" s="104"/>
      <c r="N336" s="103"/>
    </row>
    <row r="337" spans="1:14" ht="45" customHeight="1" thickBot="1" x14ac:dyDescent="0.4">
      <c r="A337" s="103"/>
      <c r="B337" s="103"/>
      <c r="C337" s="103"/>
      <c r="D337" s="103"/>
      <c r="E337" s="103"/>
      <c r="F337" s="103"/>
      <c r="G337" s="103"/>
      <c r="H337" s="103"/>
      <c r="I337" s="103"/>
      <c r="J337" s="103"/>
      <c r="K337" s="103"/>
      <c r="L337" s="103"/>
      <c r="M337" s="104"/>
      <c r="N337" s="103"/>
    </row>
    <row r="338" spans="1:14" ht="45" customHeight="1" thickBot="1" x14ac:dyDescent="0.4">
      <c r="A338" s="103"/>
      <c r="B338" s="103"/>
      <c r="C338" s="103"/>
      <c r="D338" s="103"/>
      <c r="E338" s="103"/>
      <c r="F338" s="103"/>
      <c r="G338" s="103"/>
      <c r="H338" s="103"/>
      <c r="I338" s="103"/>
      <c r="J338" s="103"/>
      <c r="K338" s="103"/>
      <c r="L338" s="103"/>
      <c r="M338" s="104"/>
      <c r="N338" s="103"/>
    </row>
    <row r="339" spans="1:14" ht="45" customHeight="1" thickBot="1" x14ac:dyDescent="0.4">
      <c r="A339" s="103"/>
      <c r="B339" s="103"/>
      <c r="C339" s="103"/>
      <c r="D339" s="103"/>
      <c r="E339" s="103"/>
      <c r="F339" s="103"/>
      <c r="G339" s="103"/>
      <c r="H339" s="103"/>
      <c r="I339" s="103"/>
      <c r="J339" s="103"/>
      <c r="K339" s="103"/>
      <c r="L339" s="103"/>
      <c r="M339" s="104"/>
      <c r="N339" s="103"/>
    </row>
    <row r="340" spans="1:14" ht="45" customHeight="1" thickBot="1" x14ac:dyDescent="0.4">
      <c r="A340" s="103"/>
      <c r="B340" s="103"/>
      <c r="C340" s="103"/>
      <c r="D340" s="103"/>
      <c r="E340" s="103"/>
      <c r="F340" s="103"/>
      <c r="G340" s="103"/>
      <c r="H340" s="103"/>
      <c r="I340" s="103"/>
      <c r="J340" s="103"/>
      <c r="K340" s="103"/>
      <c r="L340" s="103"/>
      <c r="M340" s="104"/>
      <c r="N340" s="103"/>
    </row>
    <row r="341" spans="1:14" ht="45" customHeight="1" thickBot="1" x14ac:dyDescent="0.4">
      <c r="A341" s="103"/>
      <c r="B341" s="103"/>
      <c r="C341" s="103"/>
      <c r="D341" s="103"/>
      <c r="E341" s="103"/>
      <c r="F341" s="103"/>
      <c r="G341" s="103"/>
      <c r="H341" s="103"/>
      <c r="I341" s="103"/>
      <c r="J341" s="103"/>
      <c r="K341" s="103"/>
      <c r="L341" s="103"/>
      <c r="M341" s="104"/>
      <c r="N341" s="103"/>
    </row>
    <row r="342" spans="1:14" ht="45" customHeight="1" thickBot="1" x14ac:dyDescent="0.4">
      <c r="A342" s="103"/>
      <c r="B342" s="103"/>
      <c r="C342" s="103"/>
      <c r="D342" s="103"/>
      <c r="E342" s="103"/>
      <c r="F342" s="103"/>
      <c r="G342" s="103"/>
      <c r="H342" s="103"/>
      <c r="I342" s="103"/>
      <c r="J342" s="103"/>
      <c r="K342" s="103"/>
      <c r="L342" s="103"/>
      <c r="M342" s="104"/>
      <c r="N342" s="103"/>
    </row>
    <row r="343" spans="1:14" ht="45" customHeight="1" thickBot="1" x14ac:dyDescent="0.4">
      <c r="A343" s="103"/>
      <c r="B343" s="103"/>
      <c r="C343" s="103"/>
      <c r="D343" s="103"/>
      <c r="E343" s="103"/>
      <c r="F343" s="103"/>
      <c r="G343" s="103"/>
      <c r="H343" s="103"/>
      <c r="I343" s="103"/>
      <c r="J343" s="103"/>
      <c r="K343" s="103"/>
      <c r="L343" s="103"/>
      <c r="M343" s="104"/>
      <c r="N343" s="103"/>
    </row>
    <row r="344" spans="1:14" ht="45" customHeight="1" thickBot="1" x14ac:dyDescent="0.4">
      <c r="A344" s="103"/>
      <c r="B344" s="103"/>
      <c r="C344" s="103"/>
      <c r="D344" s="103"/>
      <c r="E344" s="103"/>
      <c r="F344" s="103"/>
      <c r="G344" s="103"/>
      <c r="H344" s="103"/>
      <c r="I344" s="103"/>
      <c r="J344" s="103"/>
      <c r="K344" s="103"/>
      <c r="L344" s="103"/>
      <c r="M344" s="104"/>
      <c r="N344" s="103"/>
    </row>
    <row r="345" spans="1:14" ht="45" customHeight="1" thickBot="1" x14ac:dyDescent="0.4">
      <c r="A345" s="103"/>
      <c r="B345" s="103"/>
      <c r="C345" s="103"/>
      <c r="D345" s="103"/>
      <c r="E345" s="103"/>
      <c r="F345" s="103"/>
      <c r="G345" s="103"/>
      <c r="H345" s="103"/>
      <c r="I345" s="103"/>
      <c r="J345" s="103"/>
      <c r="K345" s="103"/>
      <c r="L345" s="103"/>
      <c r="M345" s="104"/>
      <c r="N345" s="103"/>
    </row>
    <row r="346" spans="1:14" ht="45" customHeight="1" thickBot="1" x14ac:dyDescent="0.4">
      <c r="A346" s="103"/>
      <c r="B346" s="103"/>
      <c r="C346" s="103"/>
      <c r="D346" s="103"/>
      <c r="E346" s="103"/>
      <c r="F346" s="103"/>
      <c r="G346" s="103"/>
      <c r="H346" s="103"/>
      <c r="I346" s="103"/>
      <c r="J346" s="103"/>
      <c r="K346" s="103"/>
      <c r="L346" s="103"/>
      <c r="M346" s="104"/>
      <c r="N346" s="103"/>
    </row>
    <row r="347" spans="1:14" ht="45" customHeight="1" thickBot="1" x14ac:dyDescent="0.4">
      <c r="A347" s="103"/>
      <c r="B347" s="103"/>
      <c r="C347" s="103"/>
      <c r="D347" s="103"/>
      <c r="E347" s="103"/>
      <c r="F347" s="103"/>
      <c r="G347" s="103"/>
      <c r="H347" s="103"/>
      <c r="I347" s="103"/>
      <c r="J347" s="103"/>
      <c r="K347" s="103"/>
      <c r="L347" s="103"/>
      <c r="M347" s="104"/>
      <c r="N347" s="103"/>
    </row>
    <row r="348" spans="1:14" ht="45" customHeight="1" thickBot="1" x14ac:dyDescent="0.4">
      <c r="A348" s="103"/>
      <c r="B348" s="103"/>
      <c r="C348" s="103"/>
      <c r="D348" s="103"/>
      <c r="E348" s="103"/>
      <c r="F348" s="103"/>
      <c r="G348" s="103"/>
      <c r="H348" s="103"/>
      <c r="I348" s="103"/>
      <c r="J348" s="103"/>
      <c r="K348" s="103"/>
      <c r="L348" s="103"/>
      <c r="M348" s="104"/>
      <c r="N348" s="103"/>
    </row>
    <row r="349" spans="1:14" ht="45" customHeight="1" thickBot="1" x14ac:dyDescent="0.4">
      <c r="A349" s="103"/>
      <c r="B349" s="103"/>
      <c r="C349" s="103"/>
      <c r="D349" s="103"/>
      <c r="E349" s="103"/>
      <c r="F349" s="103"/>
      <c r="G349" s="103"/>
      <c r="H349" s="103"/>
      <c r="I349" s="103"/>
      <c r="J349" s="103"/>
      <c r="K349" s="103"/>
      <c r="L349" s="103"/>
      <c r="M349" s="104"/>
      <c r="N349" s="103"/>
    </row>
    <row r="350" spans="1:14" ht="45" customHeight="1" thickBot="1" x14ac:dyDescent="0.4">
      <c r="A350" s="103"/>
      <c r="B350" s="103"/>
      <c r="C350" s="103"/>
      <c r="D350" s="103"/>
      <c r="E350" s="103"/>
      <c r="F350" s="103"/>
      <c r="G350" s="103"/>
      <c r="H350" s="103"/>
      <c r="I350" s="103"/>
      <c r="J350" s="103"/>
      <c r="K350" s="103"/>
      <c r="L350" s="103"/>
      <c r="M350" s="104"/>
      <c r="N350" s="103"/>
    </row>
    <row r="351" spans="1:14" ht="45" customHeight="1" thickBot="1" x14ac:dyDescent="0.4">
      <c r="A351" s="103"/>
      <c r="B351" s="103"/>
      <c r="C351" s="103"/>
      <c r="D351" s="103"/>
      <c r="E351" s="103"/>
      <c r="F351" s="103"/>
      <c r="G351" s="103"/>
      <c r="H351" s="103"/>
      <c r="I351" s="103"/>
      <c r="J351" s="103"/>
      <c r="K351" s="103"/>
      <c r="L351" s="103"/>
      <c r="M351" s="104"/>
      <c r="N351" s="103"/>
    </row>
    <row r="352" spans="1:14" ht="45" customHeight="1" thickBot="1" x14ac:dyDescent="0.4">
      <c r="A352" s="103"/>
      <c r="B352" s="103"/>
      <c r="C352" s="103"/>
      <c r="D352" s="103"/>
      <c r="E352" s="103"/>
      <c r="F352" s="103"/>
      <c r="G352" s="103"/>
      <c r="H352" s="103"/>
      <c r="I352" s="103"/>
      <c r="J352" s="103"/>
      <c r="K352" s="103"/>
      <c r="L352" s="103"/>
      <c r="M352" s="104"/>
      <c r="N352" s="103"/>
    </row>
    <row r="353" spans="1:14" ht="45" customHeight="1" thickBot="1" x14ac:dyDescent="0.4">
      <c r="A353" s="103"/>
      <c r="B353" s="103"/>
      <c r="C353" s="103"/>
      <c r="D353" s="103"/>
      <c r="E353" s="103"/>
      <c r="F353" s="103"/>
      <c r="G353" s="103"/>
      <c r="H353" s="103"/>
      <c r="I353" s="103"/>
      <c r="J353" s="103"/>
      <c r="K353" s="103"/>
      <c r="L353" s="103"/>
      <c r="M353" s="104"/>
      <c r="N353" s="103"/>
    </row>
    <row r="354" spans="1:14" ht="45" customHeight="1" thickBot="1" x14ac:dyDescent="0.4">
      <c r="A354" s="103"/>
      <c r="B354" s="103"/>
      <c r="C354" s="103"/>
      <c r="D354" s="103"/>
      <c r="E354" s="103"/>
      <c r="F354" s="103"/>
      <c r="G354" s="103"/>
      <c r="H354" s="103"/>
      <c r="I354" s="103"/>
      <c r="J354" s="103"/>
      <c r="K354" s="103"/>
      <c r="L354" s="103"/>
      <c r="M354" s="104"/>
      <c r="N354" s="103"/>
    </row>
    <row r="355" spans="1:14" ht="45" customHeight="1" thickBot="1" x14ac:dyDescent="0.4">
      <c r="A355" s="103"/>
      <c r="B355" s="103"/>
      <c r="C355" s="103"/>
      <c r="D355" s="103"/>
      <c r="E355" s="103"/>
      <c r="F355" s="103"/>
      <c r="G355" s="103"/>
      <c r="H355" s="103"/>
      <c r="I355" s="103"/>
      <c r="J355" s="103"/>
      <c r="K355" s="103"/>
      <c r="L355" s="103"/>
      <c r="M355" s="104"/>
      <c r="N355" s="103"/>
    </row>
    <row r="356" spans="1:14" ht="45" customHeight="1" thickBot="1" x14ac:dyDescent="0.4">
      <c r="A356" s="103"/>
      <c r="B356" s="103"/>
      <c r="C356" s="103"/>
      <c r="D356" s="103"/>
      <c r="E356" s="103"/>
      <c r="F356" s="103"/>
      <c r="G356" s="103"/>
      <c r="H356" s="103"/>
      <c r="I356" s="103"/>
      <c r="J356" s="103"/>
      <c r="K356" s="103"/>
      <c r="L356" s="103"/>
      <c r="M356" s="104"/>
      <c r="N356" s="103"/>
    </row>
    <row r="357" spans="1:14" ht="45" customHeight="1" thickBot="1" x14ac:dyDescent="0.4">
      <c r="A357" s="103"/>
      <c r="B357" s="103"/>
      <c r="C357" s="103"/>
      <c r="D357" s="103"/>
      <c r="E357" s="103"/>
      <c r="F357" s="103"/>
      <c r="G357" s="103"/>
      <c r="H357" s="103"/>
      <c r="I357" s="103"/>
      <c r="J357" s="103"/>
      <c r="K357" s="103"/>
      <c r="L357" s="103"/>
      <c r="M357" s="104"/>
      <c r="N357" s="103"/>
    </row>
    <row r="358" spans="1:14" ht="45" customHeight="1" thickBot="1" x14ac:dyDescent="0.4">
      <c r="A358" s="103"/>
      <c r="B358" s="103"/>
      <c r="C358" s="103"/>
      <c r="D358" s="103"/>
      <c r="E358" s="103"/>
      <c r="F358" s="103"/>
      <c r="G358" s="103"/>
      <c r="H358" s="103"/>
      <c r="I358" s="103"/>
      <c r="J358" s="103"/>
      <c r="K358" s="103"/>
      <c r="L358" s="103"/>
      <c r="M358" s="104"/>
      <c r="N358" s="103"/>
    </row>
    <row r="359" spans="1:14" ht="45" customHeight="1" thickBot="1" x14ac:dyDescent="0.4">
      <c r="A359" s="103"/>
      <c r="B359" s="103"/>
      <c r="C359" s="103"/>
      <c r="D359" s="103"/>
      <c r="E359" s="103"/>
      <c r="F359" s="103"/>
      <c r="G359" s="103"/>
      <c r="H359" s="103"/>
      <c r="I359" s="103"/>
      <c r="J359" s="103"/>
      <c r="K359" s="103"/>
      <c r="L359" s="103"/>
      <c r="M359" s="104"/>
      <c r="N359" s="103"/>
    </row>
    <row r="360" spans="1:14" ht="45" customHeight="1" thickBot="1" x14ac:dyDescent="0.4">
      <c r="A360" s="103"/>
      <c r="B360" s="103"/>
      <c r="C360" s="103"/>
      <c r="D360" s="103"/>
      <c r="E360" s="103"/>
      <c r="F360" s="103"/>
      <c r="G360" s="103"/>
      <c r="H360" s="103"/>
      <c r="I360" s="103"/>
      <c r="J360" s="103"/>
      <c r="K360" s="103"/>
      <c r="L360" s="103"/>
      <c r="M360" s="104"/>
      <c r="N360" s="103"/>
    </row>
    <row r="361" spans="1:14" ht="45" customHeight="1" thickBot="1" x14ac:dyDescent="0.4">
      <c r="A361" s="103"/>
      <c r="B361" s="103"/>
      <c r="C361" s="103"/>
      <c r="D361" s="103"/>
      <c r="E361" s="103"/>
      <c r="F361" s="103"/>
      <c r="G361" s="103"/>
      <c r="H361" s="103"/>
      <c r="I361" s="103"/>
      <c r="J361" s="103"/>
      <c r="K361" s="103"/>
      <c r="L361" s="103"/>
      <c r="M361" s="104"/>
      <c r="N361" s="103"/>
    </row>
    <row r="362" spans="1:14" ht="45" customHeight="1" thickBot="1" x14ac:dyDescent="0.4">
      <c r="A362" s="103"/>
      <c r="B362" s="103"/>
      <c r="C362" s="103"/>
      <c r="D362" s="103"/>
      <c r="E362" s="103"/>
      <c r="F362" s="103"/>
      <c r="G362" s="103"/>
      <c r="H362" s="103"/>
      <c r="I362" s="103"/>
      <c r="J362" s="103"/>
      <c r="K362" s="103"/>
      <c r="L362" s="103"/>
      <c r="M362" s="104"/>
      <c r="N362" s="103"/>
    </row>
    <row r="363" spans="1:14" ht="45" customHeight="1" thickBot="1" x14ac:dyDescent="0.4">
      <c r="A363" s="103"/>
      <c r="B363" s="103"/>
      <c r="C363" s="103"/>
      <c r="D363" s="103"/>
      <c r="E363" s="103"/>
      <c r="F363" s="103"/>
      <c r="G363" s="103"/>
      <c r="H363" s="103"/>
      <c r="I363" s="103"/>
      <c r="J363" s="103"/>
      <c r="K363" s="103"/>
      <c r="L363" s="103"/>
      <c r="M363" s="104"/>
      <c r="N363" s="103"/>
    </row>
    <row r="364" spans="1:14" ht="45" customHeight="1" thickBot="1" x14ac:dyDescent="0.4">
      <c r="A364" s="103"/>
      <c r="B364" s="103"/>
      <c r="C364" s="103"/>
      <c r="D364" s="103"/>
      <c r="E364" s="103"/>
      <c r="F364" s="103"/>
      <c r="G364" s="103"/>
      <c r="H364" s="103"/>
      <c r="I364" s="103"/>
      <c r="J364" s="103"/>
      <c r="K364" s="103"/>
      <c r="L364" s="103"/>
      <c r="M364" s="104"/>
      <c r="N364" s="103"/>
    </row>
    <row r="365" spans="1:14" ht="45" customHeight="1" thickBot="1" x14ac:dyDescent="0.4">
      <c r="A365" s="103"/>
      <c r="B365" s="103"/>
      <c r="C365" s="103"/>
      <c r="D365" s="103"/>
      <c r="E365" s="103"/>
      <c r="F365" s="103"/>
      <c r="G365" s="103"/>
      <c r="H365" s="103"/>
      <c r="I365" s="103"/>
      <c r="J365" s="103"/>
      <c r="K365" s="103"/>
      <c r="L365" s="103"/>
      <c r="M365" s="104"/>
      <c r="N365" s="103"/>
    </row>
    <row r="366" spans="1:14" ht="45" customHeight="1" thickBot="1" x14ac:dyDescent="0.4">
      <c r="A366" s="103"/>
      <c r="B366" s="103"/>
      <c r="C366" s="103"/>
      <c r="D366" s="103"/>
      <c r="E366" s="103"/>
      <c r="F366" s="103"/>
      <c r="G366" s="103"/>
      <c r="H366" s="103"/>
      <c r="I366" s="103"/>
      <c r="J366" s="103"/>
      <c r="K366" s="103"/>
      <c r="L366" s="103"/>
      <c r="M366" s="104"/>
      <c r="N366" s="103"/>
    </row>
    <row r="367" spans="1:14" ht="45" customHeight="1" thickBot="1" x14ac:dyDescent="0.4">
      <c r="A367" s="103"/>
      <c r="B367" s="103"/>
      <c r="C367" s="103"/>
      <c r="D367" s="103"/>
      <c r="E367" s="103"/>
      <c r="F367" s="103"/>
      <c r="G367" s="103"/>
      <c r="H367" s="103"/>
      <c r="I367" s="103"/>
      <c r="J367" s="103"/>
      <c r="K367" s="103"/>
      <c r="L367" s="103"/>
      <c r="M367" s="104"/>
      <c r="N367" s="103"/>
    </row>
    <row r="368" spans="1:14" ht="45" customHeight="1" thickBot="1" x14ac:dyDescent="0.4">
      <c r="A368" s="103"/>
      <c r="B368" s="103"/>
      <c r="C368" s="103"/>
      <c r="D368" s="103"/>
      <c r="E368" s="103"/>
      <c r="F368" s="103"/>
      <c r="G368" s="103"/>
      <c r="H368" s="103"/>
      <c r="I368" s="103"/>
      <c r="J368" s="103"/>
      <c r="K368" s="103"/>
      <c r="L368" s="103"/>
      <c r="M368" s="104"/>
      <c r="N368" s="103"/>
    </row>
    <row r="369" spans="1:14" ht="45" customHeight="1" thickBot="1" x14ac:dyDescent="0.4">
      <c r="A369" s="103"/>
      <c r="B369" s="103"/>
      <c r="C369" s="103"/>
      <c r="D369" s="103"/>
      <c r="E369" s="103"/>
      <c r="F369" s="103"/>
      <c r="G369" s="103"/>
      <c r="H369" s="103"/>
      <c r="I369" s="103"/>
      <c r="J369" s="103"/>
      <c r="K369" s="103"/>
      <c r="L369" s="103"/>
      <c r="M369" s="104"/>
      <c r="N369" s="103"/>
    </row>
    <row r="370" spans="1:14" ht="45" customHeight="1" thickBot="1" x14ac:dyDescent="0.4">
      <c r="A370" s="103"/>
      <c r="B370" s="103"/>
      <c r="C370" s="103"/>
      <c r="D370" s="103"/>
      <c r="E370" s="103"/>
      <c r="F370" s="103"/>
      <c r="G370" s="103"/>
      <c r="H370" s="103"/>
      <c r="I370" s="103"/>
      <c r="J370" s="103"/>
      <c r="K370" s="103"/>
      <c r="L370" s="103"/>
      <c r="M370" s="104"/>
      <c r="N370" s="103"/>
    </row>
    <row r="371" spans="1:14" ht="45" customHeight="1" thickBot="1" x14ac:dyDescent="0.4">
      <c r="A371" s="103"/>
      <c r="B371" s="103"/>
      <c r="C371" s="103"/>
      <c r="D371" s="103"/>
      <c r="E371" s="103"/>
      <c r="F371" s="103"/>
      <c r="G371" s="103"/>
      <c r="H371" s="103"/>
      <c r="I371" s="103"/>
      <c r="J371" s="103"/>
      <c r="K371" s="103"/>
      <c r="L371" s="103"/>
      <c r="M371" s="104"/>
      <c r="N371" s="103"/>
    </row>
    <row r="372" spans="1:14" ht="45" customHeight="1" thickBot="1" x14ac:dyDescent="0.4">
      <c r="A372" s="103"/>
      <c r="B372" s="103"/>
      <c r="C372" s="103"/>
      <c r="D372" s="103"/>
      <c r="E372" s="103"/>
      <c r="F372" s="103"/>
      <c r="G372" s="103"/>
      <c r="H372" s="103"/>
      <c r="I372" s="103"/>
      <c r="J372" s="103"/>
      <c r="K372" s="103"/>
      <c r="L372" s="103"/>
      <c r="M372" s="104"/>
      <c r="N372" s="103"/>
    </row>
    <row r="373" spans="1:14" ht="45" customHeight="1" thickBot="1" x14ac:dyDescent="0.4">
      <c r="A373" s="103"/>
      <c r="B373" s="103"/>
      <c r="C373" s="103"/>
      <c r="D373" s="103"/>
      <c r="E373" s="103"/>
      <c r="F373" s="103"/>
      <c r="G373" s="103"/>
      <c r="H373" s="103"/>
      <c r="I373" s="103"/>
      <c r="J373" s="103"/>
      <c r="K373" s="103"/>
      <c r="L373" s="103"/>
      <c r="M373" s="104"/>
      <c r="N373" s="103"/>
    </row>
    <row r="374" spans="1:14" ht="45" customHeight="1" thickBot="1" x14ac:dyDescent="0.4">
      <c r="A374" s="103"/>
      <c r="B374" s="103"/>
      <c r="C374" s="103"/>
      <c r="D374" s="103"/>
      <c r="E374" s="103"/>
      <c r="F374" s="103"/>
      <c r="G374" s="103"/>
      <c r="H374" s="103"/>
      <c r="I374" s="103"/>
      <c r="J374" s="103"/>
      <c r="K374" s="103"/>
      <c r="L374" s="103"/>
      <c r="M374" s="104"/>
      <c r="N374" s="103"/>
    </row>
    <row r="375" spans="1:14" ht="45" customHeight="1" thickBot="1" x14ac:dyDescent="0.4">
      <c r="A375" s="103"/>
      <c r="B375" s="103"/>
      <c r="C375" s="103"/>
      <c r="D375" s="103"/>
      <c r="E375" s="103"/>
      <c r="F375" s="103"/>
      <c r="G375" s="103"/>
      <c r="H375" s="103"/>
      <c r="I375" s="103"/>
      <c r="J375" s="103"/>
      <c r="K375" s="103"/>
      <c r="L375" s="103"/>
      <c r="M375" s="104"/>
      <c r="N375" s="103"/>
    </row>
    <row r="376" spans="1:14" ht="45" customHeight="1" thickBot="1" x14ac:dyDescent="0.4">
      <c r="A376" s="103"/>
      <c r="B376" s="103"/>
      <c r="C376" s="103"/>
      <c r="D376" s="103"/>
      <c r="E376" s="103"/>
      <c r="F376" s="103"/>
      <c r="G376" s="103"/>
      <c r="H376" s="103"/>
      <c r="I376" s="103"/>
      <c r="J376" s="103"/>
      <c r="K376" s="103"/>
      <c r="L376" s="103"/>
      <c r="M376" s="104"/>
      <c r="N376" s="103"/>
    </row>
    <row r="377" spans="1:14" ht="45" customHeight="1" thickBot="1" x14ac:dyDescent="0.4">
      <c r="A377" s="103"/>
      <c r="B377" s="103"/>
      <c r="C377" s="103"/>
      <c r="D377" s="103"/>
      <c r="E377" s="103"/>
      <c r="F377" s="103"/>
      <c r="G377" s="103"/>
      <c r="H377" s="103"/>
      <c r="I377" s="103"/>
      <c r="J377" s="103"/>
      <c r="K377" s="103"/>
      <c r="L377" s="103"/>
      <c r="M377" s="104"/>
      <c r="N377" s="103"/>
    </row>
    <row r="378" spans="1:14" ht="45" customHeight="1" thickBot="1" x14ac:dyDescent="0.4">
      <c r="A378" s="103"/>
      <c r="B378" s="103"/>
      <c r="C378" s="103"/>
      <c r="D378" s="103"/>
      <c r="E378" s="103"/>
      <c r="F378" s="103"/>
      <c r="G378" s="103"/>
      <c r="H378" s="103"/>
      <c r="I378" s="103"/>
      <c r="J378" s="103"/>
      <c r="K378" s="103"/>
      <c r="L378" s="103"/>
      <c r="M378" s="104"/>
      <c r="N378" s="103"/>
    </row>
    <row r="379" spans="1:14" ht="45" customHeight="1" thickBot="1" x14ac:dyDescent="0.4">
      <c r="A379" s="103"/>
      <c r="B379" s="103"/>
      <c r="C379" s="103"/>
      <c r="D379" s="103"/>
      <c r="E379" s="103"/>
      <c r="F379" s="103"/>
      <c r="G379" s="103"/>
      <c r="H379" s="103"/>
      <c r="I379" s="103"/>
      <c r="J379" s="103"/>
      <c r="K379" s="103"/>
      <c r="L379" s="103"/>
      <c r="M379" s="104"/>
      <c r="N379" s="103"/>
    </row>
    <row r="380" spans="1:14" ht="45" customHeight="1" thickBot="1" x14ac:dyDescent="0.4">
      <c r="A380" s="103"/>
      <c r="B380" s="103"/>
      <c r="C380" s="103"/>
      <c r="D380" s="103"/>
      <c r="E380" s="103"/>
      <c r="F380" s="103"/>
      <c r="G380" s="103"/>
      <c r="H380" s="103"/>
      <c r="I380" s="103"/>
      <c r="J380" s="103"/>
      <c r="K380" s="103"/>
      <c r="L380" s="103"/>
      <c r="M380" s="104"/>
      <c r="N380" s="103"/>
    </row>
    <row r="381" spans="1:14" ht="45" customHeight="1" thickBot="1" x14ac:dyDescent="0.4">
      <c r="A381" s="103"/>
      <c r="B381" s="103"/>
      <c r="C381" s="103"/>
      <c r="D381" s="103"/>
      <c r="E381" s="103"/>
      <c r="F381" s="103"/>
      <c r="G381" s="103"/>
      <c r="H381" s="103"/>
      <c r="I381" s="103"/>
      <c r="J381" s="103"/>
      <c r="K381" s="103"/>
      <c r="L381" s="103"/>
      <c r="M381" s="104"/>
      <c r="N381" s="103"/>
    </row>
    <row r="382" spans="1:14" ht="45" customHeight="1" thickBot="1" x14ac:dyDescent="0.4">
      <c r="A382" s="103"/>
      <c r="B382" s="103"/>
      <c r="C382" s="103"/>
      <c r="D382" s="103"/>
      <c r="E382" s="103"/>
      <c r="F382" s="103"/>
      <c r="G382" s="103"/>
      <c r="H382" s="103"/>
      <c r="I382" s="103"/>
      <c r="J382" s="103"/>
      <c r="K382" s="103"/>
      <c r="L382" s="103"/>
      <c r="M382" s="104"/>
      <c r="N382" s="103"/>
    </row>
    <row r="383" spans="1:14" ht="45" customHeight="1" thickBot="1" x14ac:dyDescent="0.4">
      <c r="A383" s="103"/>
      <c r="B383" s="103"/>
      <c r="C383" s="103"/>
      <c r="D383" s="103"/>
      <c r="E383" s="103"/>
      <c r="F383" s="103"/>
      <c r="G383" s="103"/>
      <c r="H383" s="103"/>
      <c r="I383" s="103"/>
      <c r="J383" s="103"/>
      <c r="K383" s="103"/>
      <c r="L383" s="103"/>
      <c r="M383" s="104"/>
      <c r="N383" s="103"/>
    </row>
    <row r="384" spans="1:14" ht="45" customHeight="1" thickBot="1" x14ac:dyDescent="0.4">
      <c r="A384" s="103"/>
      <c r="B384" s="103"/>
      <c r="C384" s="103"/>
      <c r="D384" s="103"/>
      <c r="E384" s="103"/>
      <c r="F384" s="103"/>
      <c r="G384" s="103"/>
      <c r="H384" s="103"/>
      <c r="I384" s="103"/>
      <c r="J384" s="103"/>
      <c r="K384" s="103"/>
      <c r="L384" s="103"/>
      <c r="M384" s="104"/>
      <c r="N384" s="103"/>
    </row>
    <row r="385" spans="1:14" ht="45" customHeight="1" thickBot="1" x14ac:dyDescent="0.4">
      <c r="A385" s="103"/>
      <c r="B385" s="103"/>
      <c r="C385" s="103"/>
      <c r="D385" s="103"/>
      <c r="E385" s="103"/>
      <c r="F385" s="103"/>
      <c r="G385" s="103"/>
      <c r="H385" s="103"/>
      <c r="I385" s="103"/>
      <c r="J385" s="103"/>
      <c r="K385" s="103"/>
      <c r="L385" s="103"/>
      <c r="M385" s="104"/>
      <c r="N385" s="103"/>
    </row>
    <row r="386" spans="1:14" ht="45" customHeight="1" thickBot="1" x14ac:dyDescent="0.4">
      <c r="A386" s="103"/>
      <c r="B386" s="103"/>
      <c r="C386" s="103"/>
      <c r="D386" s="103"/>
      <c r="E386" s="103"/>
      <c r="F386" s="103"/>
      <c r="G386" s="103"/>
      <c r="H386" s="103"/>
      <c r="I386" s="103"/>
      <c r="J386" s="103"/>
      <c r="K386" s="103"/>
      <c r="L386" s="103"/>
      <c r="M386" s="104"/>
      <c r="N386" s="103"/>
    </row>
    <row r="387" spans="1:14" ht="45" customHeight="1" thickBot="1" x14ac:dyDescent="0.4">
      <c r="A387" s="103"/>
      <c r="B387" s="103"/>
      <c r="C387" s="103"/>
      <c r="D387" s="103"/>
      <c r="E387" s="103"/>
      <c r="F387" s="103"/>
      <c r="G387" s="103"/>
      <c r="H387" s="103"/>
      <c r="I387" s="103"/>
      <c r="J387" s="103"/>
      <c r="K387" s="103"/>
      <c r="L387" s="103"/>
      <c r="M387" s="104"/>
      <c r="N387" s="103"/>
    </row>
    <row r="388" spans="1:14" ht="45" customHeight="1" thickBot="1" x14ac:dyDescent="0.4">
      <c r="A388" s="103"/>
      <c r="B388" s="103"/>
      <c r="C388" s="103"/>
      <c r="D388" s="103"/>
      <c r="E388" s="103"/>
      <c r="F388" s="103"/>
      <c r="G388" s="103"/>
      <c r="H388" s="103"/>
      <c r="I388" s="103"/>
      <c r="J388" s="103"/>
      <c r="K388" s="103"/>
      <c r="L388" s="103"/>
      <c r="M388" s="104"/>
      <c r="N388" s="103"/>
    </row>
    <row r="389" spans="1:14" ht="45" customHeight="1" thickBot="1" x14ac:dyDescent="0.4">
      <c r="A389" s="103"/>
      <c r="B389" s="103"/>
      <c r="C389" s="103"/>
      <c r="D389" s="103"/>
      <c r="E389" s="103"/>
      <c r="F389" s="103"/>
      <c r="G389" s="103"/>
      <c r="H389" s="103"/>
      <c r="I389" s="103"/>
      <c r="J389" s="103"/>
      <c r="K389" s="103"/>
      <c r="L389" s="103"/>
      <c r="M389" s="104"/>
      <c r="N389" s="103"/>
    </row>
    <row r="390" spans="1:14" ht="45" customHeight="1" thickBot="1" x14ac:dyDescent="0.4">
      <c r="A390" s="103"/>
      <c r="B390" s="103"/>
      <c r="C390" s="103"/>
      <c r="D390" s="103"/>
      <c r="E390" s="103"/>
      <c r="F390" s="103"/>
      <c r="G390" s="103"/>
      <c r="H390" s="103"/>
      <c r="I390" s="103"/>
      <c r="J390" s="103"/>
      <c r="K390" s="103"/>
      <c r="L390" s="103"/>
      <c r="M390" s="104"/>
      <c r="N390" s="103"/>
    </row>
    <row r="391" spans="1:14" ht="45" customHeight="1" thickBot="1" x14ac:dyDescent="0.4">
      <c r="A391" s="103"/>
      <c r="B391" s="103"/>
      <c r="C391" s="103"/>
      <c r="D391" s="103"/>
      <c r="E391" s="103"/>
      <c r="F391" s="103"/>
      <c r="G391" s="103"/>
      <c r="H391" s="103"/>
      <c r="I391" s="103"/>
      <c r="J391" s="103"/>
      <c r="K391" s="103"/>
      <c r="L391" s="103"/>
      <c r="M391" s="104"/>
      <c r="N391" s="103"/>
    </row>
    <row r="392" spans="1:14" ht="45" customHeight="1" thickBot="1" x14ac:dyDescent="0.4">
      <c r="A392" s="103"/>
      <c r="B392" s="103"/>
      <c r="C392" s="103"/>
      <c r="D392" s="103"/>
      <c r="E392" s="103"/>
      <c r="F392" s="103"/>
      <c r="G392" s="103"/>
      <c r="H392" s="103"/>
      <c r="I392" s="103"/>
      <c r="J392" s="103"/>
      <c r="K392" s="103"/>
      <c r="L392" s="103"/>
      <c r="M392" s="104"/>
      <c r="N392" s="103"/>
    </row>
    <row r="393" spans="1:14" ht="45" customHeight="1" thickBot="1" x14ac:dyDescent="0.4">
      <c r="A393" s="103"/>
      <c r="B393" s="103"/>
      <c r="C393" s="103"/>
      <c r="D393" s="103"/>
      <c r="E393" s="103"/>
      <c r="F393" s="103"/>
      <c r="G393" s="103"/>
      <c r="H393" s="103"/>
      <c r="I393" s="103"/>
      <c r="J393" s="103"/>
      <c r="K393" s="103"/>
      <c r="L393" s="103"/>
      <c r="M393" s="104"/>
      <c r="N393" s="103"/>
    </row>
    <row r="394" spans="1:14" ht="45" customHeight="1" thickBot="1" x14ac:dyDescent="0.4">
      <c r="A394" s="103"/>
      <c r="B394" s="103"/>
      <c r="C394" s="103"/>
      <c r="D394" s="103"/>
      <c r="E394" s="103"/>
      <c r="F394" s="103"/>
      <c r="G394" s="103"/>
      <c r="H394" s="103"/>
      <c r="I394" s="103"/>
      <c r="J394" s="103"/>
      <c r="K394" s="103"/>
      <c r="L394" s="103"/>
      <c r="M394" s="104"/>
      <c r="N394" s="103"/>
    </row>
    <row r="395" spans="1:14" ht="45" customHeight="1" thickBot="1" x14ac:dyDescent="0.4">
      <c r="A395" s="103"/>
      <c r="B395" s="103"/>
      <c r="C395" s="103"/>
      <c r="D395" s="103"/>
      <c r="E395" s="103"/>
      <c r="F395" s="103"/>
      <c r="G395" s="103"/>
      <c r="H395" s="103"/>
      <c r="I395" s="103"/>
      <c r="J395" s="103"/>
      <c r="K395" s="103"/>
      <c r="L395" s="103"/>
      <c r="M395" s="104"/>
      <c r="N395" s="103"/>
    </row>
    <row r="396" spans="1:14" ht="45" customHeight="1" thickBot="1" x14ac:dyDescent="0.4">
      <c r="A396" s="103"/>
      <c r="B396" s="103"/>
      <c r="C396" s="103"/>
      <c r="D396" s="103"/>
      <c r="E396" s="103"/>
      <c r="F396" s="103"/>
      <c r="G396" s="103"/>
      <c r="H396" s="103"/>
      <c r="I396" s="103"/>
      <c r="J396" s="103"/>
      <c r="K396" s="103"/>
      <c r="L396" s="103"/>
      <c r="M396" s="104"/>
      <c r="N396" s="103"/>
    </row>
    <row r="397" spans="1:14" ht="45" customHeight="1" thickBot="1" x14ac:dyDescent="0.4">
      <c r="A397" s="103"/>
      <c r="B397" s="103"/>
      <c r="C397" s="103"/>
      <c r="D397" s="103"/>
      <c r="E397" s="103"/>
      <c r="F397" s="103"/>
      <c r="G397" s="103"/>
      <c r="H397" s="103"/>
      <c r="I397" s="103"/>
      <c r="J397" s="103"/>
      <c r="K397" s="103"/>
      <c r="L397" s="103"/>
      <c r="M397" s="104"/>
      <c r="N397" s="103"/>
    </row>
    <row r="398" spans="1:14" ht="45" customHeight="1" thickBot="1" x14ac:dyDescent="0.4">
      <c r="A398" s="103"/>
      <c r="B398" s="103"/>
      <c r="C398" s="103"/>
      <c r="D398" s="103"/>
      <c r="E398" s="103"/>
      <c r="F398" s="103"/>
      <c r="G398" s="103"/>
      <c r="H398" s="103"/>
      <c r="I398" s="103"/>
      <c r="J398" s="103"/>
      <c r="K398" s="103"/>
      <c r="L398" s="103"/>
      <c r="M398" s="104"/>
      <c r="N398" s="103"/>
    </row>
    <row r="399" spans="1:14" ht="45" customHeight="1" thickBot="1" x14ac:dyDescent="0.4">
      <c r="A399" s="103"/>
      <c r="B399" s="103"/>
      <c r="C399" s="103"/>
      <c r="D399" s="103"/>
      <c r="E399" s="103"/>
      <c r="F399" s="103"/>
      <c r="G399" s="103"/>
      <c r="H399" s="103"/>
      <c r="I399" s="103"/>
      <c r="J399" s="103"/>
      <c r="K399" s="103"/>
      <c r="L399" s="103"/>
      <c r="M399" s="104"/>
      <c r="N399" s="103"/>
    </row>
    <row r="400" spans="1:14" ht="45" customHeight="1" thickBot="1" x14ac:dyDescent="0.4">
      <c r="A400" s="103"/>
      <c r="B400" s="103"/>
      <c r="C400" s="103"/>
      <c r="D400" s="103"/>
      <c r="E400" s="103"/>
      <c r="F400" s="103"/>
      <c r="G400" s="103"/>
      <c r="H400" s="103"/>
      <c r="I400" s="103"/>
      <c r="J400" s="103"/>
      <c r="K400" s="103"/>
      <c r="L400" s="103"/>
      <c r="M400" s="104"/>
      <c r="N400" s="103"/>
    </row>
    <row r="401" spans="1:14" ht="45" customHeight="1" thickBot="1" x14ac:dyDescent="0.4">
      <c r="A401" s="103"/>
      <c r="B401" s="103"/>
      <c r="C401" s="103"/>
      <c r="D401" s="103"/>
      <c r="E401" s="103"/>
      <c r="F401" s="103"/>
      <c r="G401" s="103"/>
      <c r="H401" s="103"/>
      <c r="I401" s="103"/>
      <c r="J401" s="103"/>
      <c r="K401" s="103"/>
      <c r="L401" s="103"/>
      <c r="M401" s="104"/>
      <c r="N401" s="103"/>
    </row>
    <row r="402" spans="1:14" ht="45" customHeight="1" thickBot="1" x14ac:dyDescent="0.4">
      <c r="A402" s="103"/>
      <c r="B402" s="103"/>
      <c r="C402" s="103"/>
      <c r="D402" s="103"/>
      <c r="E402" s="103"/>
      <c r="F402" s="103"/>
      <c r="G402" s="103"/>
      <c r="H402" s="103"/>
      <c r="I402" s="103"/>
      <c r="J402" s="103"/>
      <c r="K402" s="103"/>
      <c r="L402" s="103"/>
      <c r="M402" s="104"/>
      <c r="N402" s="103"/>
    </row>
    <row r="403" spans="1:14" ht="45" customHeight="1" thickBot="1" x14ac:dyDescent="0.4">
      <c r="A403" s="103"/>
      <c r="B403" s="103"/>
      <c r="C403" s="103"/>
      <c r="D403" s="103"/>
      <c r="E403" s="103"/>
      <c r="F403" s="103"/>
      <c r="G403" s="103"/>
      <c r="H403" s="103"/>
      <c r="I403" s="103"/>
      <c r="J403" s="103"/>
      <c r="K403" s="103"/>
      <c r="L403" s="103"/>
      <c r="M403" s="104"/>
      <c r="N403" s="103"/>
    </row>
    <row r="404" spans="1:14" ht="45" customHeight="1" thickBot="1" x14ac:dyDescent="0.4">
      <c r="A404" s="103"/>
      <c r="B404" s="103"/>
      <c r="C404" s="103"/>
      <c r="D404" s="103"/>
      <c r="E404" s="103"/>
      <c r="F404" s="103"/>
      <c r="G404" s="103"/>
      <c r="H404" s="103"/>
      <c r="I404" s="103"/>
      <c r="J404" s="103"/>
      <c r="K404" s="103"/>
      <c r="L404" s="103"/>
      <c r="M404" s="104"/>
      <c r="N404" s="103"/>
    </row>
    <row r="405" spans="1:14" ht="45" customHeight="1" thickBot="1" x14ac:dyDescent="0.4">
      <c r="A405" s="103"/>
      <c r="B405" s="103"/>
      <c r="C405" s="103"/>
      <c r="D405" s="103"/>
      <c r="E405" s="103"/>
      <c r="F405" s="103"/>
      <c r="G405" s="103"/>
      <c r="H405" s="103"/>
      <c r="I405" s="103"/>
      <c r="J405" s="103"/>
      <c r="K405" s="103"/>
      <c r="L405" s="103"/>
      <c r="M405" s="104"/>
      <c r="N405" s="103"/>
    </row>
    <row r="406" spans="1:14" ht="45" customHeight="1" thickBot="1" x14ac:dyDescent="0.4">
      <c r="A406" s="103"/>
      <c r="B406" s="103"/>
      <c r="C406" s="103"/>
      <c r="D406" s="103"/>
      <c r="E406" s="103"/>
      <c r="F406" s="103"/>
      <c r="G406" s="103"/>
      <c r="H406" s="103"/>
      <c r="I406" s="103"/>
      <c r="J406" s="103"/>
      <c r="K406" s="103"/>
      <c r="L406" s="103"/>
      <c r="M406" s="104"/>
      <c r="N406" s="103"/>
    </row>
    <row r="407" spans="1:14" ht="45" customHeight="1" thickBot="1" x14ac:dyDescent="0.4">
      <c r="A407" s="103"/>
      <c r="B407" s="103"/>
      <c r="C407" s="103"/>
      <c r="D407" s="103"/>
      <c r="E407" s="103"/>
      <c r="F407" s="103"/>
      <c r="G407" s="103"/>
      <c r="H407" s="103"/>
      <c r="I407" s="103"/>
      <c r="J407" s="103"/>
      <c r="K407" s="103"/>
      <c r="L407" s="103"/>
      <c r="M407" s="104"/>
      <c r="N407" s="103"/>
    </row>
    <row r="408" spans="1:14" ht="45" customHeight="1" thickBot="1" x14ac:dyDescent="0.4">
      <c r="A408" s="103"/>
      <c r="B408" s="103"/>
      <c r="C408" s="103"/>
      <c r="D408" s="103"/>
      <c r="E408" s="103"/>
      <c r="F408" s="103"/>
      <c r="G408" s="103"/>
      <c r="H408" s="103"/>
      <c r="I408" s="103"/>
      <c r="J408" s="103"/>
      <c r="K408" s="103"/>
      <c r="L408" s="103"/>
      <c r="M408" s="104"/>
      <c r="N408" s="103"/>
    </row>
    <row r="409" spans="1:14" ht="45" customHeight="1" thickBot="1" x14ac:dyDescent="0.4">
      <c r="A409" s="103"/>
      <c r="B409" s="103"/>
      <c r="C409" s="103"/>
      <c r="D409" s="103"/>
      <c r="E409" s="103"/>
      <c r="F409" s="103"/>
      <c r="G409" s="103"/>
      <c r="H409" s="103"/>
      <c r="I409" s="103"/>
      <c r="J409" s="103"/>
      <c r="K409" s="103"/>
      <c r="L409" s="103"/>
      <c r="M409" s="104"/>
      <c r="N409" s="103"/>
    </row>
    <row r="410" spans="1:14" ht="45" customHeight="1" thickBot="1" x14ac:dyDescent="0.4">
      <c r="A410" s="103"/>
      <c r="B410" s="103"/>
      <c r="C410" s="103"/>
      <c r="D410" s="103"/>
      <c r="E410" s="103"/>
      <c r="F410" s="103"/>
      <c r="G410" s="103"/>
      <c r="H410" s="103"/>
      <c r="I410" s="103"/>
      <c r="J410" s="103"/>
      <c r="K410" s="103"/>
      <c r="L410" s="103"/>
      <c r="M410" s="104"/>
      <c r="N410" s="103"/>
    </row>
    <row r="411" spans="1:14" ht="45" customHeight="1" thickBot="1" x14ac:dyDescent="0.4">
      <c r="A411" s="103"/>
      <c r="B411" s="103"/>
      <c r="C411" s="103"/>
      <c r="D411" s="103"/>
      <c r="E411" s="103"/>
      <c r="F411" s="103"/>
      <c r="G411" s="103"/>
      <c r="H411" s="103"/>
      <c r="I411" s="103"/>
      <c r="J411" s="103"/>
      <c r="K411" s="103"/>
      <c r="L411" s="103"/>
      <c r="M411" s="104"/>
      <c r="N411" s="103"/>
    </row>
    <row r="412" spans="1:14" ht="45" customHeight="1" thickBot="1" x14ac:dyDescent="0.4">
      <c r="A412" s="103"/>
      <c r="B412" s="103"/>
      <c r="C412" s="103"/>
      <c r="D412" s="103"/>
      <c r="E412" s="103"/>
      <c r="F412" s="103"/>
      <c r="G412" s="103"/>
      <c r="H412" s="103"/>
      <c r="I412" s="103"/>
      <c r="J412" s="103"/>
      <c r="K412" s="103"/>
      <c r="L412" s="103"/>
      <c r="M412" s="104"/>
      <c r="N412" s="103"/>
    </row>
    <row r="413" spans="1:14" ht="45" customHeight="1" thickBot="1" x14ac:dyDescent="0.4">
      <c r="A413" s="103"/>
      <c r="B413" s="103"/>
      <c r="C413" s="103"/>
      <c r="D413" s="103"/>
      <c r="E413" s="103"/>
      <c r="F413" s="103"/>
      <c r="G413" s="103"/>
      <c r="H413" s="103"/>
      <c r="I413" s="103"/>
      <c r="J413" s="103"/>
      <c r="K413" s="103"/>
      <c r="L413" s="103"/>
      <c r="M413" s="104"/>
      <c r="N413" s="103"/>
    </row>
    <row r="414" spans="1:14" ht="45" customHeight="1" thickBot="1" x14ac:dyDescent="0.4">
      <c r="A414" s="103"/>
      <c r="B414" s="103"/>
      <c r="C414" s="103"/>
      <c r="D414" s="103"/>
      <c r="E414" s="103"/>
      <c r="F414" s="103"/>
      <c r="G414" s="103"/>
      <c r="H414" s="103"/>
      <c r="I414" s="103"/>
      <c r="J414" s="103"/>
      <c r="K414" s="103"/>
      <c r="L414" s="103"/>
      <c r="M414" s="104"/>
      <c r="N414" s="103"/>
    </row>
    <row r="415" spans="1:14" ht="45" customHeight="1" thickBot="1" x14ac:dyDescent="0.4">
      <c r="A415" s="103"/>
      <c r="B415" s="103"/>
      <c r="C415" s="103"/>
      <c r="D415" s="103"/>
      <c r="E415" s="103"/>
      <c r="F415" s="103"/>
      <c r="G415" s="103"/>
      <c r="H415" s="103"/>
      <c r="I415" s="103"/>
      <c r="J415" s="103"/>
      <c r="K415" s="103"/>
      <c r="L415" s="103"/>
      <c r="M415" s="104"/>
      <c r="N415" s="103"/>
    </row>
    <row r="416" spans="1:14" ht="45" customHeight="1" thickBot="1" x14ac:dyDescent="0.4">
      <c r="A416" s="103"/>
      <c r="B416" s="103"/>
      <c r="C416" s="103"/>
      <c r="D416" s="103"/>
      <c r="E416" s="103"/>
      <c r="F416" s="103"/>
      <c r="G416" s="103"/>
      <c r="H416" s="103"/>
      <c r="I416" s="103"/>
      <c r="J416" s="103"/>
      <c r="K416" s="103"/>
      <c r="L416" s="103"/>
      <c r="M416" s="104"/>
      <c r="N416" s="103"/>
    </row>
    <row r="417" spans="1:14" ht="45" customHeight="1" thickBot="1" x14ac:dyDescent="0.4">
      <c r="A417" s="103"/>
      <c r="B417" s="103"/>
      <c r="C417" s="103"/>
      <c r="D417" s="103"/>
      <c r="E417" s="103"/>
      <c r="F417" s="103"/>
      <c r="G417" s="103"/>
      <c r="H417" s="103"/>
      <c r="I417" s="103"/>
      <c r="J417" s="103"/>
      <c r="K417" s="103"/>
      <c r="L417" s="103"/>
      <c r="M417" s="104"/>
      <c r="N417" s="103"/>
    </row>
    <row r="418" spans="1:14" ht="45" customHeight="1" thickBot="1" x14ac:dyDescent="0.4">
      <c r="A418" s="103"/>
      <c r="B418" s="103"/>
      <c r="C418" s="103"/>
      <c r="D418" s="103"/>
      <c r="E418" s="103"/>
      <c r="F418" s="103"/>
      <c r="G418" s="103"/>
      <c r="H418" s="103"/>
      <c r="I418" s="103"/>
      <c r="J418" s="103"/>
      <c r="K418" s="103"/>
      <c r="L418" s="103"/>
      <c r="M418" s="104"/>
      <c r="N418" s="103"/>
    </row>
    <row r="419" spans="1:14" ht="45" customHeight="1" thickBot="1" x14ac:dyDescent="0.4">
      <c r="A419" s="103"/>
      <c r="B419" s="103"/>
      <c r="C419" s="103"/>
      <c r="D419" s="103"/>
      <c r="E419" s="103"/>
      <c r="F419" s="103"/>
      <c r="G419" s="103"/>
      <c r="H419" s="103"/>
      <c r="I419" s="103"/>
      <c r="J419" s="103"/>
      <c r="K419" s="103"/>
      <c r="L419" s="103"/>
      <c r="M419" s="104"/>
      <c r="N419" s="103"/>
    </row>
    <row r="420" spans="1:14" ht="45" customHeight="1" thickBot="1" x14ac:dyDescent="0.4">
      <c r="A420" s="103"/>
      <c r="B420" s="103"/>
      <c r="C420" s="103"/>
      <c r="D420" s="103"/>
      <c r="E420" s="103"/>
      <c r="F420" s="103"/>
      <c r="G420" s="103"/>
      <c r="H420" s="103"/>
      <c r="I420" s="103"/>
      <c r="J420" s="103"/>
      <c r="K420" s="103"/>
      <c r="L420" s="103"/>
      <c r="M420" s="104"/>
      <c r="N420" s="103"/>
    </row>
    <row r="421" spans="1:14" ht="45" customHeight="1" thickBot="1" x14ac:dyDescent="0.4">
      <c r="A421" s="103"/>
      <c r="B421" s="103"/>
      <c r="C421" s="103"/>
      <c r="D421" s="103"/>
      <c r="E421" s="103"/>
      <c r="F421" s="103"/>
      <c r="G421" s="103"/>
      <c r="H421" s="103"/>
      <c r="I421" s="103"/>
      <c r="J421" s="103"/>
      <c r="K421" s="103"/>
      <c r="L421" s="103"/>
      <c r="M421" s="104"/>
      <c r="N421" s="103"/>
    </row>
    <row r="422" spans="1:14" ht="45" customHeight="1" thickBot="1" x14ac:dyDescent="0.4">
      <c r="A422" s="103"/>
      <c r="B422" s="103"/>
      <c r="C422" s="103"/>
      <c r="D422" s="103"/>
      <c r="E422" s="103"/>
      <c r="F422" s="103"/>
      <c r="G422" s="103"/>
      <c r="H422" s="103"/>
      <c r="I422" s="103"/>
      <c r="J422" s="103"/>
      <c r="K422" s="103"/>
      <c r="L422" s="103"/>
      <c r="M422" s="104"/>
      <c r="N422" s="103"/>
    </row>
    <row r="423" spans="1:14" ht="45" customHeight="1" thickBot="1" x14ac:dyDescent="0.4">
      <c r="A423" s="103"/>
      <c r="B423" s="103"/>
      <c r="C423" s="103"/>
      <c r="D423" s="103"/>
      <c r="E423" s="103"/>
      <c r="F423" s="103"/>
      <c r="G423" s="103"/>
      <c r="H423" s="103"/>
      <c r="I423" s="103"/>
      <c r="J423" s="103"/>
      <c r="K423" s="103"/>
      <c r="L423" s="103"/>
      <c r="M423" s="104"/>
      <c r="N423" s="103"/>
    </row>
    <row r="424" spans="1:14" ht="45" customHeight="1" thickBot="1" x14ac:dyDescent="0.4">
      <c r="A424" s="103"/>
      <c r="B424" s="103"/>
      <c r="C424" s="103"/>
      <c r="D424" s="103"/>
      <c r="E424" s="103"/>
      <c r="F424" s="103"/>
      <c r="G424" s="103"/>
      <c r="H424" s="103"/>
      <c r="I424" s="103"/>
      <c r="J424" s="103"/>
      <c r="K424" s="103"/>
      <c r="L424" s="103"/>
      <c r="M424" s="104"/>
      <c r="N424" s="103"/>
    </row>
    <row r="425" spans="1:14" ht="45" customHeight="1" thickBot="1" x14ac:dyDescent="0.4">
      <c r="A425" s="103"/>
      <c r="B425" s="103"/>
      <c r="C425" s="103"/>
      <c r="D425" s="103"/>
      <c r="E425" s="103"/>
      <c r="F425" s="103"/>
      <c r="G425" s="103"/>
      <c r="H425" s="103"/>
      <c r="I425" s="103"/>
      <c r="J425" s="103"/>
      <c r="K425" s="103"/>
      <c r="L425" s="103"/>
      <c r="M425" s="104"/>
      <c r="N425" s="103"/>
    </row>
    <row r="426" spans="1:14" ht="45" customHeight="1" thickBot="1" x14ac:dyDescent="0.4">
      <c r="A426" s="103"/>
      <c r="B426" s="103"/>
      <c r="C426" s="103"/>
      <c r="D426" s="103"/>
      <c r="E426" s="103"/>
      <c r="F426" s="103"/>
      <c r="G426" s="103"/>
      <c r="H426" s="103"/>
      <c r="I426" s="103"/>
      <c r="J426" s="103"/>
      <c r="K426" s="103"/>
      <c r="L426" s="103"/>
      <c r="M426" s="104"/>
      <c r="N426" s="103"/>
    </row>
    <row r="427" spans="1:14" ht="45" customHeight="1" thickBot="1" x14ac:dyDescent="0.4">
      <c r="A427" s="103"/>
      <c r="B427" s="103"/>
      <c r="C427" s="103"/>
      <c r="D427" s="103"/>
      <c r="E427" s="103"/>
      <c r="F427" s="103"/>
      <c r="G427" s="103"/>
      <c r="H427" s="103"/>
      <c r="I427" s="103"/>
      <c r="J427" s="103"/>
      <c r="K427" s="103"/>
      <c r="L427" s="103"/>
      <c r="M427" s="104"/>
      <c r="N427" s="103"/>
    </row>
    <row r="428" spans="1:14" ht="45" customHeight="1" thickBot="1" x14ac:dyDescent="0.4">
      <c r="A428" s="103"/>
      <c r="B428" s="103"/>
      <c r="C428" s="103"/>
      <c r="D428" s="103"/>
      <c r="E428" s="103"/>
      <c r="F428" s="103"/>
      <c r="G428" s="103"/>
      <c r="H428" s="103"/>
      <c r="I428" s="103"/>
      <c r="J428" s="103"/>
      <c r="K428" s="103"/>
      <c r="L428" s="103"/>
      <c r="M428" s="104"/>
      <c r="N428" s="103"/>
    </row>
    <row r="429" spans="1:14" ht="45" customHeight="1" thickBot="1" x14ac:dyDescent="0.4">
      <c r="A429" s="103"/>
      <c r="B429" s="103"/>
      <c r="C429" s="103"/>
      <c r="D429" s="103"/>
      <c r="E429" s="103"/>
      <c r="F429" s="103"/>
      <c r="G429" s="103"/>
      <c r="H429" s="103"/>
      <c r="I429" s="103"/>
      <c r="J429" s="103"/>
      <c r="K429" s="103"/>
      <c r="L429" s="103"/>
      <c r="M429" s="104"/>
      <c r="N429" s="103"/>
    </row>
    <row r="430" spans="1:14" ht="45" customHeight="1" thickBot="1" x14ac:dyDescent="0.4">
      <c r="A430" s="103"/>
      <c r="B430" s="103"/>
      <c r="C430" s="103"/>
      <c r="D430" s="103"/>
      <c r="E430" s="103"/>
      <c r="F430" s="103"/>
      <c r="G430" s="103"/>
      <c r="H430" s="103"/>
      <c r="I430" s="103"/>
      <c r="J430" s="103"/>
      <c r="K430" s="103"/>
      <c r="L430" s="103"/>
      <c r="M430" s="104"/>
      <c r="N430" s="103"/>
    </row>
    <row r="431" spans="1:14" ht="45" customHeight="1" thickBot="1" x14ac:dyDescent="0.4">
      <c r="A431" s="103"/>
      <c r="B431" s="103"/>
      <c r="C431" s="103"/>
      <c r="D431" s="103"/>
      <c r="E431" s="103"/>
      <c r="F431" s="103"/>
      <c r="G431" s="103"/>
      <c r="H431" s="103"/>
      <c r="I431" s="103"/>
      <c r="J431" s="103"/>
      <c r="K431" s="103"/>
      <c r="L431" s="103"/>
      <c r="M431" s="104"/>
      <c r="N431" s="103"/>
    </row>
    <row r="432" spans="1:14" ht="45" customHeight="1" thickBot="1" x14ac:dyDescent="0.4">
      <c r="A432" s="103"/>
      <c r="B432" s="103"/>
      <c r="C432" s="103"/>
      <c r="D432" s="103"/>
      <c r="E432" s="103"/>
      <c r="F432" s="103"/>
      <c r="G432" s="103"/>
      <c r="H432" s="103"/>
      <c r="I432" s="103"/>
      <c r="J432" s="103"/>
      <c r="K432" s="103"/>
      <c r="L432" s="103"/>
      <c r="M432" s="104"/>
      <c r="N432" s="103"/>
    </row>
    <row r="433" spans="1:14" ht="45" customHeight="1" thickBot="1" x14ac:dyDescent="0.4">
      <c r="A433" s="103"/>
      <c r="B433" s="103"/>
      <c r="C433" s="103"/>
      <c r="D433" s="103"/>
      <c r="E433" s="103"/>
      <c r="F433" s="103"/>
      <c r="G433" s="103"/>
      <c r="H433" s="103"/>
      <c r="I433" s="103"/>
      <c r="J433" s="103"/>
      <c r="K433" s="103"/>
      <c r="L433" s="103"/>
      <c r="M433" s="104"/>
      <c r="N433" s="103"/>
    </row>
    <row r="434" spans="1:14" ht="45" customHeight="1" thickBot="1" x14ac:dyDescent="0.4">
      <c r="A434" s="103"/>
      <c r="B434" s="103"/>
      <c r="C434" s="103"/>
      <c r="D434" s="103"/>
      <c r="E434" s="103"/>
      <c r="F434" s="103"/>
      <c r="G434" s="103"/>
      <c r="H434" s="103"/>
      <c r="I434" s="103"/>
      <c r="J434" s="103"/>
      <c r="K434" s="103"/>
      <c r="L434" s="103"/>
      <c r="M434" s="104"/>
      <c r="N434" s="103"/>
    </row>
    <row r="435" spans="1:14" ht="45" customHeight="1" thickBot="1" x14ac:dyDescent="0.4">
      <c r="A435" s="103"/>
      <c r="B435" s="103"/>
      <c r="C435" s="103"/>
      <c r="D435" s="103"/>
      <c r="E435" s="103"/>
      <c r="F435" s="103"/>
      <c r="G435" s="103"/>
      <c r="H435" s="103"/>
      <c r="I435" s="103"/>
      <c r="J435" s="103"/>
      <c r="K435" s="103"/>
      <c r="L435" s="103"/>
      <c r="M435" s="104"/>
      <c r="N435" s="103"/>
    </row>
    <row r="436" spans="1:14" ht="45" customHeight="1" thickBot="1" x14ac:dyDescent="0.4">
      <c r="A436" s="103"/>
      <c r="B436" s="103"/>
      <c r="C436" s="103"/>
      <c r="D436" s="103"/>
      <c r="E436" s="103"/>
      <c r="F436" s="103"/>
      <c r="G436" s="103"/>
      <c r="H436" s="103"/>
      <c r="I436" s="103"/>
      <c r="J436" s="103"/>
      <c r="K436" s="103"/>
      <c r="L436" s="103"/>
      <c r="M436" s="104"/>
      <c r="N436" s="103"/>
    </row>
    <row r="437" spans="1:14" ht="45" customHeight="1" thickBot="1" x14ac:dyDescent="0.4">
      <c r="A437" s="103"/>
      <c r="B437" s="103"/>
      <c r="C437" s="103"/>
      <c r="D437" s="103"/>
      <c r="E437" s="103"/>
      <c r="F437" s="103"/>
      <c r="G437" s="103"/>
      <c r="H437" s="103"/>
      <c r="I437" s="103"/>
      <c r="J437" s="103"/>
      <c r="K437" s="103"/>
      <c r="L437" s="103"/>
      <c r="M437" s="104"/>
      <c r="N437" s="103"/>
    </row>
    <row r="438" spans="1:14" ht="45" customHeight="1" thickBot="1" x14ac:dyDescent="0.4">
      <c r="A438" s="103"/>
      <c r="B438" s="103"/>
      <c r="C438" s="103"/>
      <c r="D438" s="103"/>
      <c r="E438" s="103"/>
      <c r="F438" s="103"/>
      <c r="G438" s="103"/>
      <c r="H438" s="103"/>
      <c r="I438" s="103"/>
      <c r="J438" s="103"/>
      <c r="K438" s="103"/>
      <c r="L438" s="103"/>
      <c r="M438" s="104"/>
      <c r="N438" s="103"/>
    </row>
    <row r="439" spans="1:14" ht="45" customHeight="1" thickBot="1" x14ac:dyDescent="0.4">
      <c r="A439" s="103"/>
      <c r="B439" s="103"/>
      <c r="C439" s="103"/>
      <c r="D439" s="103"/>
      <c r="E439" s="103"/>
      <c r="F439" s="103"/>
      <c r="G439" s="103"/>
      <c r="H439" s="103"/>
      <c r="I439" s="103"/>
      <c r="J439" s="103"/>
      <c r="K439" s="103"/>
      <c r="L439" s="103"/>
      <c r="M439" s="104"/>
      <c r="N439" s="103"/>
    </row>
    <row r="440" spans="1:14" ht="45" customHeight="1" thickBot="1" x14ac:dyDescent="0.4">
      <c r="A440" s="103"/>
      <c r="B440" s="103"/>
      <c r="C440" s="103"/>
      <c r="D440" s="103"/>
      <c r="E440" s="103"/>
      <c r="F440" s="103"/>
      <c r="G440" s="103"/>
      <c r="H440" s="103"/>
      <c r="I440" s="103"/>
      <c r="J440" s="103"/>
      <c r="K440" s="103"/>
      <c r="L440" s="103"/>
      <c r="M440" s="104"/>
      <c r="N440" s="103"/>
    </row>
    <row r="441" spans="1:14" ht="45" customHeight="1" thickBot="1" x14ac:dyDescent="0.4">
      <c r="A441" s="103"/>
      <c r="B441" s="103"/>
      <c r="C441" s="103"/>
      <c r="D441" s="103"/>
      <c r="E441" s="103"/>
      <c r="F441" s="103"/>
      <c r="G441" s="103"/>
      <c r="H441" s="103"/>
      <c r="I441" s="103"/>
      <c r="J441" s="103"/>
      <c r="K441" s="103"/>
      <c r="L441" s="103"/>
      <c r="M441" s="104"/>
      <c r="N441" s="103"/>
    </row>
    <row r="442" spans="1:14" ht="45" customHeight="1" thickBot="1" x14ac:dyDescent="0.4">
      <c r="A442" s="103"/>
      <c r="B442" s="103"/>
      <c r="C442" s="103"/>
      <c r="D442" s="103"/>
      <c r="E442" s="103"/>
      <c r="F442" s="103"/>
      <c r="G442" s="103"/>
      <c r="H442" s="103"/>
      <c r="I442" s="103"/>
      <c r="J442" s="103"/>
      <c r="K442" s="103"/>
      <c r="L442" s="103"/>
      <c r="M442" s="104"/>
      <c r="N442" s="103"/>
    </row>
    <row r="443" spans="1:14" ht="45" customHeight="1" thickBot="1" x14ac:dyDescent="0.4">
      <c r="A443" s="103"/>
      <c r="B443" s="103"/>
      <c r="C443" s="103"/>
      <c r="D443" s="103"/>
      <c r="E443" s="103"/>
      <c r="F443" s="103"/>
      <c r="G443" s="103"/>
      <c r="H443" s="103"/>
      <c r="I443" s="103"/>
      <c r="J443" s="103"/>
      <c r="K443" s="103"/>
      <c r="L443" s="103"/>
      <c r="M443" s="104"/>
      <c r="N443" s="103"/>
    </row>
    <row r="444" spans="1:14" ht="45" customHeight="1" thickBot="1" x14ac:dyDescent="0.4">
      <c r="A444" s="103"/>
      <c r="B444" s="103"/>
      <c r="C444" s="103"/>
      <c r="D444" s="103"/>
      <c r="E444" s="103"/>
      <c r="F444" s="103"/>
      <c r="G444" s="103"/>
      <c r="H444" s="103"/>
      <c r="I444" s="103"/>
      <c r="J444" s="103"/>
      <c r="K444" s="103"/>
      <c r="L444" s="103"/>
      <c r="M444" s="104"/>
      <c r="N444" s="103"/>
    </row>
    <row r="445" spans="1:14" ht="45" customHeight="1" thickBot="1" x14ac:dyDescent="0.4">
      <c r="A445" s="103"/>
      <c r="B445" s="103"/>
      <c r="C445" s="103"/>
      <c r="D445" s="103"/>
      <c r="E445" s="103"/>
      <c r="F445" s="103"/>
      <c r="G445" s="103"/>
      <c r="H445" s="103"/>
      <c r="I445" s="103"/>
      <c r="J445" s="103"/>
      <c r="K445" s="103"/>
      <c r="L445" s="103"/>
      <c r="M445" s="104"/>
      <c r="N445" s="103"/>
    </row>
    <row r="446" spans="1:14" ht="45" customHeight="1" thickBot="1" x14ac:dyDescent="0.4">
      <c r="A446" s="103"/>
      <c r="B446" s="103"/>
      <c r="C446" s="103"/>
      <c r="D446" s="103"/>
      <c r="E446" s="103"/>
      <c r="F446" s="103"/>
      <c r="G446" s="103"/>
      <c r="H446" s="103"/>
      <c r="I446" s="103"/>
      <c r="J446" s="103"/>
      <c r="K446" s="103"/>
      <c r="L446" s="103"/>
      <c r="M446" s="104"/>
      <c r="N446" s="103"/>
    </row>
    <row r="447" spans="1:14" ht="45" customHeight="1" thickBot="1" x14ac:dyDescent="0.4">
      <c r="A447" s="103"/>
      <c r="B447" s="103"/>
      <c r="C447" s="103"/>
      <c r="D447" s="103"/>
      <c r="E447" s="103"/>
      <c r="F447" s="103"/>
      <c r="G447" s="103"/>
      <c r="H447" s="103"/>
      <c r="I447" s="103"/>
      <c r="J447" s="103"/>
      <c r="K447" s="103"/>
      <c r="L447" s="103"/>
      <c r="M447" s="104"/>
      <c r="N447" s="103"/>
    </row>
    <row r="448" spans="1:14" ht="45" customHeight="1" thickBot="1" x14ac:dyDescent="0.4">
      <c r="A448" s="103"/>
      <c r="B448" s="103"/>
      <c r="C448" s="103"/>
      <c r="D448" s="103"/>
      <c r="E448" s="103"/>
      <c r="F448" s="103"/>
      <c r="G448" s="103"/>
      <c r="H448" s="103"/>
      <c r="I448" s="103"/>
      <c r="J448" s="103"/>
      <c r="K448" s="103"/>
      <c r="L448" s="103"/>
      <c r="M448" s="104"/>
      <c r="N448" s="103"/>
    </row>
    <row r="449" spans="1:14" ht="45" customHeight="1" thickBot="1" x14ac:dyDescent="0.4">
      <c r="A449" s="103"/>
      <c r="B449" s="103"/>
      <c r="C449" s="103"/>
      <c r="D449" s="103"/>
      <c r="E449" s="103"/>
      <c r="F449" s="103"/>
      <c r="G449" s="103"/>
      <c r="H449" s="103"/>
      <c r="I449" s="103"/>
      <c r="J449" s="103"/>
      <c r="K449" s="103"/>
      <c r="L449" s="103"/>
      <c r="M449" s="104"/>
      <c r="N449" s="103"/>
    </row>
    <row r="450" spans="1:14" ht="45" customHeight="1" thickBot="1" x14ac:dyDescent="0.4">
      <c r="A450" s="103"/>
      <c r="B450" s="103"/>
      <c r="C450" s="103"/>
      <c r="D450" s="103"/>
      <c r="E450" s="103"/>
      <c r="F450" s="103"/>
      <c r="G450" s="103"/>
      <c r="H450" s="103"/>
      <c r="I450" s="103"/>
      <c r="J450" s="103"/>
      <c r="K450" s="103"/>
      <c r="L450" s="103"/>
      <c r="M450" s="104"/>
      <c r="N450" s="103"/>
    </row>
    <row r="451" spans="1:14" ht="45" customHeight="1" thickBot="1" x14ac:dyDescent="0.4">
      <c r="A451" s="103"/>
      <c r="B451" s="103"/>
      <c r="C451" s="103"/>
      <c r="D451" s="103"/>
      <c r="E451" s="103"/>
      <c r="F451" s="103"/>
      <c r="G451" s="103"/>
      <c r="H451" s="103"/>
      <c r="I451" s="103"/>
      <c r="J451" s="103"/>
      <c r="K451" s="103"/>
      <c r="L451" s="103"/>
      <c r="M451" s="104"/>
      <c r="N451" s="103"/>
    </row>
    <row r="452" spans="1:14" ht="45" customHeight="1" thickBot="1" x14ac:dyDescent="0.4">
      <c r="A452" s="103"/>
      <c r="B452" s="103"/>
      <c r="C452" s="103"/>
      <c r="D452" s="103"/>
      <c r="E452" s="103"/>
      <c r="F452" s="103"/>
      <c r="G452" s="103"/>
      <c r="H452" s="103"/>
      <c r="I452" s="103"/>
      <c r="J452" s="103"/>
      <c r="K452" s="103"/>
      <c r="L452" s="103"/>
      <c r="M452" s="104"/>
      <c r="N452" s="103"/>
    </row>
    <row r="453" spans="1:14" ht="45" customHeight="1" thickBot="1" x14ac:dyDescent="0.4">
      <c r="A453" s="103"/>
      <c r="B453" s="103"/>
      <c r="C453" s="103"/>
      <c r="D453" s="103"/>
      <c r="E453" s="103"/>
      <c r="F453" s="103"/>
      <c r="G453" s="103"/>
      <c r="H453" s="103"/>
      <c r="I453" s="103"/>
      <c r="J453" s="103"/>
      <c r="K453" s="103"/>
      <c r="L453" s="103"/>
      <c r="M453" s="104"/>
      <c r="N453" s="103"/>
    </row>
    <row r="454" spans="1:14" ht="45" customHeight="1" thickBot="1" x14ac:dyDescent="0.4">
      <c r="A454" s="103"/>
      <c r="B454" s="103"/>
      <c r="C454" s="103"/>
      <c r="D454" s="103"/>
      <c r="E454" s="103"/>
      <c r="F454" s="103"/>
      <c r="G454" s="103"/>
      <c r="H454" s="103"/>
      <c r="I454" s="103"/>
      <c r="J454" s="103"/>
      <c r="K454" s="103"/>
      <c r="L454" s="103"/>
      <c r="M454" s="104"/>
      <c r="N454" s="103"/>
    </row>
    <row r="455" spans="1:14" ht="45" customHeight="1" thickBot="1" x14ac:dyDescent="0.4">
      <c r="A455" s="103"/>
      <c r="B455" s="103"/>
      <c r="C455" s="103"/>
      <c r="D455" s="103"/>
      <c r="E455" s="103"/>
      <c r="F455" s="103"/>
      <c r="G455" s="103"/>
      <c r="H455" s="103"/>
      <c r="I455" s="103"/>
      <c r="J455" s="103"/>
      <c r="K455" s="103"/>
      <c r="L455" s="103"/>
      <c r="M455" s="104"/>
      <c r="N455" s="103"/>
    </row>
    <row r="456" spans="1:14" ht="45" customHeight="1" thickBot="1" x14ac:dyDescent="0.4">
      <c r="A456" s="103"/>
      <c r="B456" s="103"/>
      <c r="C456" s="103"/>
      <c r="D456" s="103"/>
      <c r="E456" s="103"/>
      <c r="F456" s="103"/>
      <c r="G456" s="103"/>
      <c r="H456" s="103"/>
      <c r="I456" s="103"/>
      <c r="J456" s="103"/>
      <c r="K456" s="103"/>
      <c r="L456" s="103"/>
      <c r="M456" s="104"/>
      <c r="N456" s="103"/>
    </row>
    <row r="457" spans="1:14" ht="45" customHeight="1" thickBot="1" x14ac:dyDescent="0.4">
      <c r="A457" s="103"/>
      <c r="B457" s="103"/>
      <c r="C457" s="103"/>
      <c r="D457" s="103"/>
      <c r="E457" s="103"/>
      <c r="F457" s="103"/>
      <c r="G457" s="103"/>
      <c r="H457" s="103"/>
      <c r="I457" s="103"/>
      <c r="J457" s="103"/>
      <c r="K457" s="103"/>
      <c r="L457" s="103"/>
      <c r="M457" s="104"/>
      <c r="N457" s="103"/>
    </row>
    <row r="458" spans="1:14" ht="45" customHeight="1" thickBot="1" x14ac:dyDescent="0.4">
      <c r="A458" s="103"/>
      <c r="B458" s="103"/>
      <c r="C458" s="103"/>
      <c r="D458" s="103"/>
      <c r="E458" s="103"/>
      <c r="F458" s="103"/>
      <c r="G458" s="103"/>
      <c r="H458" s="103"/>
      <c r="I458" s="103"/>
      <c r="J458" s="103"/>
      <c r="K458" s="103"/>
      <c r="L458" s="103"/>
      <c r="M458" s="104"/>
      <c r="N458" s="103"/>
    </row>
    <row r="459" spans="1:14" ht="45" customHeight="1" thickBot="1" x14ac:dyDescent="0.4">
      <c r="A459" s="103"/>
      <c r="B459" s="103"/>
      <c r="C459" s="103"/>
      <c r="D459" s="103"/>
      <c r="E459" s="103"/>
      <c r="F459" s="103"/>
      <c r="G459" s="103"/>
      <c r="H459" s="103"/>
      <c r="I459" s="103"/>
      <c r="J459" s="103"/>
      <c r="K459" s="103"/>
      <c r="L459" s="103"/>
      <c r="M459" s="104"/>
      <c r="N459" s="103"/>
    </row>
    <row r="460" spans="1:14" ht="45" customHeight="1" thickBot="1" x14ac:dyDescent="0.4">
      <c r="A460" s="103"/>
      <c r="B460" s="103"/>
      <c r="C460" s="103"/>
      <c r="D460" s="103"/>
      <c r="E460" s="103"/>
      <c r="F460" s="103"/>
      <c r="G460" s="103"/>
      <c r="H460" s="103"/>
      <c r="I460" s="103"/>
      <c r="J460" s="103"/>
      <c r="K460" s="103"/>
      <c r="L460" s="103"/>
      <c r="M460" s="104"/>
      <c r="N460" s="103"/>
    </row>
    <row r="461" spans="1:14" ht="45" customHeight="1" thickBot="1" x14ac:dyDescent="0.4">
      <c r="A461" s="103"/>
      <c r="B461" s="103"/>
      <c r="C461" s="103"/>
      <c r="D461" s="103"/>
      <c r="E461" s="103"/>
      <c r="F461" s="103"/>
      <c r="G461" s="103"/>
      <c r="H461" s="103"/>
      <c r="I461" s="103"/>
      <c r="J461" s="103"/>
      <c r="K461" s="103"/>
      <c r="L461" s="103"/>
      <c r="M461" s="104"/>
      <c r="N461" s="103"/>
    </row>
    <row r="462" spans="1:14" ht="45" customHeight="1" thickBot="1" x14ac:dyDescent="0.4">
      <c r="A462" s="103"/>
      <c r="B462" s="103"/>
      <c r="C462" s="103"/>
      <c r="D462" s="103"/>
      <c r="E462" s="103"/>
      <c r="F462" s="103"/>
      <c r="G462" s="103"/>
      <c r="H462" s="103"/>
      <c r="I462" s="103"/>
      <c r="J462" s="103"/>
      <c r="K462" s="103"/>
      <c r="L462" s="103"/>
      <c r="M462" s="104"/>
      <c r="N462" s="103"/>
    </row>
    <row r="463" spans="1:14" ht="45" customHeight="1" thickBot="1" x14ac:dyDescent="0.4">
      <c r="A463" s="103"/>
      <c r="B463" s="103"/>
      <c r="C463" s="103"/>
      <c r="D463" s="103"/>
      <c r="E463" s="103"/>
      <c r="F463" s="103"/>
      <c r="G463" s="103"/>
      <c r="H463" s="103"/>
      <c r="I463" s="103"/>
      <c r="J463" s="103"/>
      <c r="K463" s="103"/>
      <c r="L463" s="103"/>
      <c r="M463" s="104"/>
      <c r="N463" s="103"/>
    </row>
    <row r="464" spans="1:14" ht="45" customHeight="1" thickBot="1" x14ac:dyDescent="0.4">
      <c r="A464" s="103"/>
      <c r="B464" s="103"/>
      <c r="C464" s="103"/>
      <c r="D464" s="103"/>
      <c r="E464" s="103"/>
      <c r="F464" s="103"/>
      <c r="G464" s="103"/>
      <c r="H464" s="103"/>
      <c r="I464" s="103"/>
      <c r="J464" s="103"/>
      <c r="K464" s="103"/>
      <c r="L464" s="103"/>
      <c r="M464" s="104"/>
      <c r="N464" s="103"/>
    </row>
    <row r="465" spans="1:14" ht="45" customHeight="1" thickBot="1" x14ac:dyDescent="0.4">
      <c r="A465" s="103"/>
      <c r="B465" s="103"/>
      <c r="C465" s="103"/>
      <c r="D465" s="103"/>
      <c r="E465" s="103"/>
      <c r="F465" s="103"/>
      <c r="G465" s="103"/>
      <c r="H465" s="103"/>
      <c r="I465" s="103"/>
      <c r="J465" s="103"/>
      <c r="K465" s="103"/>
      <c r="L465" s="103"/>
      <c r="M465" s="104"/>
      <c r="N465" s="103"/>
    </row>
    <row r="466" spans="1:14" ht="45" customHeight="1" thickBot="1" x14ac:dyDescent="0.4">
      <c r="A466" s="103"/>
      <c r="B466" s="103"/>
      <c r="C466" s="103"/>
      <c r="D466" s="103"/>
      <c r="E466" s="103"/>
      <c r="F466" s="103"/>
      <c r="G466" s="103"/>
      <c r="H466" s="103"/>
      <c r="I466" s="103"/>
      <c r="J466" s="103"/>
      <c r="K466" s="103"/>
      <c r="L466" s="103"/>
      <c r="M466" s="104"/>
      <c r="N466" s="103"/>
    </row>
    <row r="467" spans="1:14" ht="45" customHeight="1" thickBot="1" x14ac:dyDescent="0.4">
      <c r="A467" s="103"/>
      <c r="B467" s="103"/>
      <c r="C467" s="103"/>
      <c r="D467" s="103"/>
      <c r="E467" s="103"/>
      <c r="F467" s="103"/>
      <c r="G467" s="103"/>
      <c r="H467" s="103"/>
      <c r="I467" s="103"/>
      <c r="J467" s="103"/>
      <c r="K467" s="103"/>
      <c r="L467" s="103"/>
      <c r="M467" s="104"/>
      <c r="N467" s="103"/>
    </row>
    <row r="468" spans="1:14" ht="45" customHeight="1" thickBot="1" x14ac:dyDescent="0.4">
      <c r="A468" s="103"/>
      <c r="B468" s="103"/>
      <c r="C468" s="103"/>
      <c r="D468" s="103"/>
      <c r="E468" s="103"/>
      <c r="F468" s="103"/>
      <c r="G468" s="103"/>
      <c r="H468" s="103"/>
      <c r="I468" s="103"/>
      <c r="J468" s="103"/>
      <c r="K468" s="103"/>
      <c r="L468" s="103"/>
      <c r="M468" s="104"/>
      <c r="N468" s="103"/>
    </row>
    <row r="469" spans="1:14" ht="45" customHeight="1" thickBot="1" x14ac:dyDescent="0.4">
      <c r="A469" s="103"/>
      <c r="B469" s="103"/>
      <c r="C469" s="103"/>
      <c r="D469" s="103"/>
      <c r="E469" s="103"/>
      <c r="F469" s="103"/>
      <c r="G469" s="103"/>
      <c r="H469" s="103"/>
      <c r="I469" s="103"/>
      <c r="J469" s="103"/>
      <c r="K469" s="103"/>
      <c r="L469" s="103"/>
      <c r="M469" s="104"/>
      <c r="N469" s="103"/>
    </row>
    <row r="470" spans="1:14" ht="45" customHeight="1" thickBot="1" x14ac:dyDescent="0.4">
      <c r="A470" s="103"/>
      <c r="B470" s="103"/>
      <c r="C470" s="103"/>
      <c r="D470" s="103"/>
      <c r="E470" s="103"/>
      <c r="F470" s="103"/>
      <c r="G470" s="103"/>
      <c r="H470" s="103"/>
      <c r="I470" s="103"/>
      <c r="J470" s="103"/>
      <c r="K470" s="103"/>
      <c r="L470" s="103"/>
      <c r="M470" s="104"/>
      <c r="N470" s="103"/>
    </row>
    <row r="471" spans="1:14" ht="45" customHeight="1" thickBot="1" x14ac:dyDescent="0.4">
      <c r="A471" s="103"/>
      <c r="B471" s="103"/>
      <c r="C471" s="103"/>
      <c r="D471" s="103"/>
      <c r="E471" s="103"/>
      <c r="F471" s="103"/>
      <c r="G471" s="103"/>
      <c r="H471" s="103"/>
      <c r="I471" s="103"/>
      <c r="J471" s="103"/>
      <c r="K471" s="103"/>
      <c r="L471" s="103"/>
      <c r="M471" s="104"/>
      <c r="N471" s="103"/>
    </row>
    <row r="472" spans="1:14" ht="45" customHeight="1" thickBot="1" x14ac:dyDescent="0.4">
      <c r="A472" s="103"/>
      <c r="B472" s="103"/>
      <c r="C472" s="103"/>
      <c r="D472" s="103"/>
      <c r="E472" s="103"/>
      <c r="F472" s="103"/>
      <c r="G472" s="103"/>
      <c r="H472" s="103"/>
      <c r="I472" s="103"/>
      <c r="J472" s="103"/>
      <c r="K472" s="103"/>
      <c r="L472" s="103"/>
      <c r="M472" s="104"/>
      <c r="N472" s="103"/>
    </row>
    <row r="473" spans="1:14" ht="45" customHeight="1" thickBot="1" x14ac:dyDescent="0.4">
      <c r="A473" s="103"/>
      <c r="B473" s="103"/>
      <c r="C473" s="103"/>
      <c r="D473" s="103"/>
      <c r="E473" s="103"/>
      <c r="F473" s="103"/>
      <c r="G473" s="103"/>
      <c r="H473" s="103"/>
      <c r="I473" s="103"/>
      <c r="J473" s="103"/>
      <c r="K473" s="103"/>
      <c r="L473" s="103"/>
      <c r="M473" s="104"/>
      <c r="N473" s="103"/>
    </row>
    <row r="474" spans="1:14" ht="45" customHeight="1" thickBot="1" x14ac:dyDescent="0.4">
      <c r="A474" s="103"/>
      <c r="B474" s="103"/>
      <c r="C474" s="103"/>
      <c r="D474" s="103"/>
      <c r="E474" s="103"/>
      <c r="F474" s="103"/>
      <c r="G474" s="103"/>
      <c r="H474" s="103"/>
      <c r="I474" s="103"/>
      <c r="J474" s="103"/>
      <c r="K474" s="103"/>
      <c r="L474" s="103"/>
      <c r="M474" s="104"/>
      <c r="N474" s="103"/>
    </row>
    <row r="475" spans="1:14" ht="45" customHeight="1" thickBot="1" x14ac:dyDescent="0.4">
      <c r="A475" s="103"/>
      <c r="B475" s="103"/>
      <c r="C475" s="103"/>
      <c r="D475" s="103"/>
      <c r="E475" s="103"/>
      <c r="F475" s="103"/>
      <c r="G475" s="103"/>
      <c r="H475" s="103"/>
      <c r="I475" s="103"/>
      <c r="J475" s="103"/>
      <c r="K475" s="103"/>
      <c r="L475" s="103"/>
      <c r="M475" s="104"/>
      <c r="N475" s="103"/>
    </row>
    <row r="476" spans="1:14" ht="45" customHeight="1" thickBot="1" x14ac:dyDescent="0.4">
      <c r="A476" s="103"/>
      <c r="B476" s="103"/>
      <c r="C476" s="103"/>
      <c r="D476" s="103"/>
      <c r="E476" s="103"/>
      <c r="F476" s="103"/>
      <c r="G476" s="103"/>
      <c r="H476" s="103"/>
      <c r="I476" s="103"/>
      <c r="J476" s="103"/>
      <c r="K476" s="103"/>
      <c r="L476" s="103"/>
      <c r="M476" s="104"/>
      <c r="N476" s="103"/>
    </row>
    <row r="477" spans="1:14" ht="45" customHeight="1" thickBot="1" x14ac:dyDescent="0.4">
      <c r="A477" s="103"/>
      <c r="B477" s="103"/>
      <c r="C477" s="103"/>
      <c r="D477" s="103"/>
      <c r="E477" s="103"/>
      <c r="F477" s="103"/>
      <c r="G477" s="103"/>
      <c r="H477" s="103"/>
      <c r="I477" s="103"/>
      <c r="J477" s="103"/>
      <c r="K477" s="103"/>
      <c r="L477" s="103"/>
      <c r="M477" s="104"/>
      <c r="N477" s="103"/>
    </row>
    <row r="478" spans="1:14" ht="45" customHeight="1" thickBot="1" x14ac:dyDescent="0.4">
      <c r="A478" s="103"/>
      <c r="B478" s="103"/>
      <c r="C478" s="103"/>
      <c r="D478" s="103"/>
      <c r="E478" s="103"/>
      <c r="F478" s="103"/>
      <c r="G478" s="103"/>
      <c r="H478" s="103"/>
      <c r="I478" s="103"/>
      <c r="J478" s="103"/>
      <c r="K478" s="103"/>
      <c r="L478" s="103"/>
      <c r="M478" s="104"/>
      <c r="N478" s="103"/>
    </row>
    <row r="479" spans="1:14" ht="45" customHeight="1" thickBot="1" x14ac:dyDescent="0.4">
      <c r="A479" s="103"/>
      <c r="B479" s="103"/>
      <c r="C479" s="103"/>
      <c r="D479" s="103"/>
      <c r="E479" s="103"/>
      <c r="F479" s="103"/>
      <c r="G479" s="103"/>
      <c r="H479" s="103"/>
      <c r="I479" s="103"/>
      <c r="J479" s="103"/>
      <c r="K479" s="103"/>
      <c r="L479" s="103"/>
      <c r="M479" s="104"/>
      <c r="N479" s="103"/>
    </row>
    <row r="480" spans="1:14" ht="45" customHeight="1" thickBot="1" x14ac:dyDescent="0.4">
      <c r="A480" s="103"/>
      <c r="B480" s="103"/>
      <c r="C480" s="103"/>
      <c r="D480" s="103"/>
      <c r="E480" s="103"/>
      <c r="F480" s="103"/>
      <c r="G480" s="103"/>
      <c r="H480" s="103"/>
      <c r="I480" s="103"/>
      <c r="J480" s="103"/>
      <c r="K480" s="103"/>
      <c r="L480" s="103"/>
      <c r="M480" s="104"/>
      <c r="N480" s="103"/>
    </row>
    <row r="481" spans="1:14" ht="45" customHeight="1" thickBot="1" x14ac:dyDescent="0.4">
      <c r="A481" s="103"/>
      <c r="B481" s="103"/>
      <c r="C481" s="103"/>
      <c r="D481" s="103"/>
      <c r="E481" s="103"/>
      <c r="F481" s="103"/>
      <c r="G481" s="103"/>
      <c r="H481" s="103"/>
      <c r="I481" s="103"/>
      <c r="J481" s="103"/>
      <c r="K481" s="103"/>
      <c r="L481" s="103"/>
      <c r="M481" s="104"/>
      <c r="N481" s="103"/>
    </row>
    <row r="482" spans="1:14" ht="45" customHeight="1" thickBot="1" x14ac:dyDescent="0.4">
      <c r="A482" s="103"/>
      <c r="B482" s="103"/>
      <c r="C482" s="103"/>
      <c r="D482" s="103"/>
      <c r="E482" s="103"/>
      <c r="F482" s="103"/>
      <c r="G482" s="103"/>
      <c r="H482" s="103"/>
      <c r="I482" s="103"/>
      <c r="J482" s="103"/>
      <c r="K482" s="103"/>
      <c r="L482" s="103"/>
      <c r="M482" s="104"/>
      <c r="N482" s="103"/>
    </row>
    <row r="483" spans="1:14" ht="45" customHeight="1" thickBot="1" x14ac:dyDescent="0.4">
      <c r="A483" s="103"/>
      <c r="B483" s="103"/>
      <c r="C483" s="103"/>
      <c r="D483" s="103"/>
      <c r="E483" s="103"/>
      <c r="F483" s="103"/>
      <c r="G483" s="103"/>
      <c r="H483" s="103"/>
      <c r="I483" s="103"/>
      <c r="J483" s="103"/>
      <c r="K483" s="103"/>
      <c r="L483" s="103"/>
      <c r="M483" s="104"/>
      <c r="N483" s="103"/>
    </row>
    <row r="484" spans="1:14" ht="45" customHeight="1" thickBot="1" x14ac:dyDescent="0.4">
      <c r="A484" s="103"/>
      <c r="B484" s="103"/>
      <c r="C484" s="103"/>
      <c r="D484" s="103"/>
      <c r="E484" s="103"/>
      <c r="F484" s="103"/>
      <c r="G484" s="103"/>
      <c r="H484" s="103"/>
      <c r="I484" s="103"/>
      <c r="J484" s="103"/>
      <c r="K484" s="103"/>
      <c r="L484" s="103"/>
      <c r="M484" s="104"/>
      <c r="N484" s="103"/>
    </row>
    <row r="485" spans="1:14" ht="45" customHeight="1" thickBot="1" x14ac:dyDescent="0.4">
      <c r="A485" s="103"/>
      <c r="B485" s="103"/>
      <c r="C485" s="103"/>
      <c r="D485" s="103"/>
      <c r="E485" s="103"/>
      <c r="F485" s="103"/>
      <c r="G485" s="103"/>
      <c r="H485" s="103"/>
      <c r="I485" s="103"/>
      <c r="J485" s="103"/>
      <c r="K485" s="103"/>
      <c r="L485" s="103"/>
      <c r="M485" s="104"/>
      <c r="N485" s="103"/>
    </row>
    <row r="486" spans="1:14" ht="45" customHeight="1" thickBot="1" x14ac:dyDescent="0.4">
      <c r="A486" s="103"/>
      <c r="B486" s="103"/>
      <c r="C486" s="103"/>
      <c r="D486" s="103"/>
      <c r="E486" s="103"/>
      <c r="F486" s="103"/>
      <c r="G486" s="103"/>
      <c r="H486" s="103"/>
      <c r="I486" s="103"/>
      <c r="J486" s="103"/>
      <c r="K486" s="103"/>
      <c r="L486" s="103"/>
      <c r="M486" s="104"/>
      <c r="N486" s="103"/>
    </row>
    <row r="487" spans="1:14" ht="45" customHeight="1" thickBot="1" x14ac:dyDescent="0.4">
      <c r="A487" s="103"/>
      <c r="B487" s="103"/>
      <c r="C487" s="103"/>
      <c r="D487" s="103"/>
      <c r="E487" s="103"/>
      <c r="F487" s="103"/>
      <c r="G487" s="103"/>
      <c r="H487" s="103"/>
      <c r="I487" s="103"/>
      <c r="J487" s="103"/>
      <c r="K487" s="103"/>
      <c r="L487" s="103"/>
      <c r="M487" s="104"/>
      <c r="N487" s="103"/>
    </row>
    <row r="488" spans="1:14" ht="45" customHeight="1" thickBot="1" x14ac:dyDescent="0.4">
      <c r="A488" s="103"/>
      <c r="B488" s="103"/>
      <c r="C488" s="103"/>
      <c r="D488" s="103"/>
      <c r="E488" s="103"/>
      <c r="F488" s="103"/>
      <c r="G488" s="103"/>
      <c r="H488" s="103"/>
      <c r="I488" s="103"/>
      <c r="J488" s="103"/>
      <c r="K488" s="103"/>
      <c r="L488" s="103"/>
      <c r="M488" s="104"/>
      <c r="N488" s="103"/>
    </row>
    <row r="489" spans="1:14" ht="45" customHeight="1" thickBot="1" x14ac:dyDescent="0.4">
      <c r="A489" s="103"/>
      <c r="B489" s="103"/>
      <c r="C489" s="103"/>
      <c r="D489" s="103"/>
      <c r="E489" s="103"/>
      <c r="F489" s="103"/>
      <c r="G489" s="103"/>
      <c r="H489" s="103"/>
      <c r="I489" s="103"/>
      <c r="J489" s="103"/>
      <c r="K489" s="103"/>
      <c r="L489" s="103"/>
      <c r="M489" s="104"/>
      <c r="N489" s="103"/>
    </row>
    <row r="490" spans="1:14" ht="45" customHeight="1" thickBot="1" x14ac:dyDescent="0.4">
      <c r="A490" s="103"/>
      <c r="B490" s="103"/>
      <c r="C490" s="103"/>
      <c r="D490" s="103"/>
      <c r="E490" s="103"/>
      <c r="F490" s="103"/>
      <c r="G490" s="103"/>
      <c r="H490" s="103"/>
      <c r="I490" s="103"/>
      <c r="J490" s="103"/>
      <c r="K490" s="103"/>
      <c r="L490" s="103"/>
      <c r="M490" s="104"/>
      <c r="N490" s="103"/>
    </row>
    <row r="491" spans="1:14" ht="45" customHeight="1" thickBot="1" x14ac:dyDescent="0.4">
      <c r="A491" s="103"/>
      <c r="B491" s="103"/>
      <c r="C491" s="103"/>
      <c r="D491" s="103"/>
      <c r="E491" s="103"/>
      <c r="F491" s="103"/>
      <c r="G491" s="103"/>
      <c r="H491" s="103"/>
      <c r="I491" s="103"/>
      <c r="J491" s="103"/>
      <c r="K491" s="103"/>
      <c r="L491" s="103"/>
      <c r="M491" s="104"/>
      <c r="N491" s="103"/>
    </row>
    <row r="492" spans="1:14" ht="45" customHeight="1" thickBot="1" x14ac:dyDescent="0.4">
      <c r="A492" s="103"/>
      <c r="B492" s="103"/>
      <c r="C492" s="103"/>
      <c r="D492" s="103"/>
      <c r="E492" s="103"/>
      <c r="F492" s="103"/>
      <c r="G492" s="103"/>
      <c r="H492" s="103"/>
      <c r="I492" s="103"/>
      <c r="J492" s="103"/>
      <c r="K492" s="103"/>
      <c r="L492" s="103"/>
      <c r="M492" s="104"/>
      <c r="N492" s="103"/>
    </row>
    <row r="493" spans="1:14" ht="45" customHeight="1" thickBot="1" x14ac:dyDescent="0.4">
      <c r="A493" s="103"/>
      <c r="B493" s="103"/>
      <c r="C493" s="103"/>
      <c r="D493" s="103"/>
      <c r="E493" s="103"/>
      <c r="F493" s="103"/>
      <c r="G493" s="103"/>
      <c r="H493" s="103"/>
      <c r="I493" s="103"/>
      <c r="J493" s="103"/>
      <c r="K493" s="103"/>
      <c r="L493" s="103"/>
      <c r="M493" s="104"/>
      <c r="N493" s="103"/>
    </row>
    <row r="494" spans="1:14" ht="45" customHeight="1" thickBot="1" x14ac:dyDescent="0.4">
      <c r="A494" s="103"/>
      <c r="B494" s="103"/>
      <c r="C494" s="103"/>
      <c r="D494" s="103"/>
      <c r="E494" s="103"/>
      <c r="F494" s="103"/>
      <c r="G494" s="103"/>
      <c r="H494" s="103"/>
      <c r="I494" s="103"/>
      <c r="J494" s="103"/>
      <c r="K494" s="103"/>
      <c r="L494" s="103"/>
      <c r="M494" s="104"/>
      <c r="N494" s="103"/>
    </row>
    <row r="495" spans="1:14" ht="45" customHeight="1" thickBot="1" x14ac:dyDescent="0.4">
      <c r="A495" s="103"/>
      <c r="B495" s="103"/>
      <c r="C495" s="103"/>
      <c r="D495" s="103"/>
      <c r="E495" s="103"/>
      <c r="F495" s="103"/>
      <c r="G495" s="103"/>
      <c r="H495" s="103"/>
      <c r="I495" s="103"/>
      <c r="J495" s="103"/>
      <c r="K495" s="103"/>
      <c r="L495" s="103"/>
      <c r="M495" s="104"/>
      <c r="N495" s="103"/>
    </row>
    <row r="496" spans="1:14" ht="45" customHeight="1" thickBot="1" x14ac:dyDescent="0.4">
      <c r="A496" s="103"/>
      <c r="B496" s="103"/>
      <c r="C496" s="103"/>
      <c r="D496" s="103"/>
      <c r="E496" s="103"/>
      <c r="F496" s="103"/>
      <c r="G496" s="103"/>
      <c r="H496" s="103"/>
      <c r="I496" s="103"/>
      <c r="J496" s="103"/>
      <c r="K496" s="103"/>
      <c r="L496" s="103"/>
      <c r="M496" s="104"/>
      <c r="N496" s="103"/>
    </row>
    <row r="497" spans="1:14" ht="45" customHeight="1" thickBot="1" x14ac:dyDescent="0.4">
      <c r="A497" s="103"/>
      <c r="B497" s="103"/>
      <c r="C497" s="103"/>
      <c r="D497" s="103"/>
      <c r="E497" s="103"/>
      <c r="F497" s="103"/>
      <c r="G497" s="103"/>
      <c r="H497" s="103"/>
      <c r="I497" s="103"/>
      <c r="J497" s="103"/>
      <c r="K497" s="103"/>
      <c r="L497" s="103"/>
      <c r="M497" s="104"/>
      <c r="N497" s="103"/>
    </row>
    <row r="498" spans="1:14" ht="45" customHeight="1" thickBot="1" x14ac:dyDescent="0.4">
      <c r="A498" s="103"/>
      <c r="B498" s="103"/>
      <c r="C498" s="103"/>
      <c r="D498" s="103"/>
      <c r="E498" s="103"/>
      <c r="F498" s="103"/>
      <c r="G498" s="103"/>
      <c r="H498" s="103"/>
      <c r="I498" s="103"/>
      <c r="J498" s="103"/>
      <c r="K498" s="103"/>
      <c r="L498" s="103"/>
      <c r="M498" s="104"/>
      <c r="N498" s="103"/>
    </row>
    <row r="499" spans="1:14" ht="45" customHeight="1" thickBot="1" x14ac:dyDescent="0.4">
      <c r="A499" s="103"/>
      <c r="B499" s="103"/>
      <c r="C499" s="103"/>
      <c r="D499" s="103"/>
      <c r="E499" s="103"/>
      <c r="F499" s="103"/>
      <c r="G499" s="103"/>
      <c r="H499" s="103"/>
      <c r="I499" s="103"/>
      <c r="J499" s="103"/>
      <c r="K499" s="103"/>
      <c r="L499" s="103"/>
      <c r="M499" s="104"/>
      <c r="N499" s="103"/>
    </row>
    <row r="500" spans="1:14" ht="45" customHeight="1" thickBot="1" x14ac:dyDescent="0.4">
      <c r="A500" s="103"/>
      <c r="B500" s="103"/>
      <c r="C500" s="103"/>
      <c r="D500" s="103"/>
      <c r="E500" s="103"/>
      <c r="F500" s="103"/>
      <c r="G500" s="103"/>
      <c r="H500" s="103"/>
      <c r="I500" s="103"/>
      <c r="J500" s="103"/>
      <c r="K500" s="103"/>
      <c r="L500" s="103"/>
      <c r="M500" s="104"/>
      <c r="N500" s="103"/>
    </row>
    <row r="501" spans="1:14" ht="45" customHeight="1" thickBot="1" x14ac:dyDescent="0.4">
      <c r="A501" s="103"/>
      <c r="B501" s="103"/>
      <c r="C501" s="103"/>
      <c r="D501" s="103"/>
      <c r="E501" s="103"/>
      <c r="F501" s="103"/>
      <c r="G501" s="103"/>
      <c r="H501" s="103"/>
      <c r="I501" s="103"/>
      <c r="J501" s="103"/>
      <c r="K501" s="103"/>
      <c r="L501" s="103"/>
      <c r="M501" s="104"/>
      <c r="N501" s="103"/>
    </row>
    <row r="502" spans="1:14" ht="45" customHeight="1" thickBot="1" x14ac:dyDescent="0.4">
      <c r="A502" s="103"/>
      <c r="B502" s="103"/>
      <c r="C502" s="103"/>
      <c r="D502" s="103"/>
      <c r="E502" s="103"/>
      <c r="F502" s="103"/>
      <c r="G502" s="103"/>
      <c r="H502" s="103"/>
      <c r="I502" s="103"/>
      <c r="J502" s="103"/>
      <c r="K502" s="103"/>
      <c r="L502" s="103"/>
      <c r="M502" s="104"/>
      <c r="N502" s="103"/>
    </row>
    <row r="503" spans="1:14" ht="45" customHeight="1" thickBot="1" x14ac:dyDescent="0.4">
      <c r="A503" s="103"/>
      <c r="B503" s="103"/>
      <c r="C503" s="103"/>
      <c r="D503" s="103"/>
      <c r="E503" s="103"/>
      <c r="F503" s="103"/>
      <c r="G503" s="103"/>
      <c r="H503" s="103"/>
      <c r="I503" s="103"/>
      <c r="J503" s="103"/>
      <c r="K503" s="103"/>
      <c r="L503" s="103"/>
      <c r="M503" s="104"/>
      <c r="N503" s="103"/>
    </row>
    <row r="504" spans="1:14" ht="45" customHeight="1" thickBot="1" x14ac:dyDescent="0.4">
      <c r="A504" s="103"/>
      <c r="B504" s="103"/>
      <c r="C504" s="103"/>
      <c r="D504" s="103"/>
      <c r="E504" s="103"/>
      <c r="F504" s="103"/>
      <c r="G504" s="103"/>
      <c r="H504" s="103"/>
      <c r="I504" s="103"/>
      <c r="J504" s="103"/>
      <c r="K504" s="103"/>
      <c r="L504" s="103"/>
      <c r="M504" s="104"/>
      <c r="N504" s="103"/>
    </row>
    <row r="505" spans="1:14" ht="45" customHeight="1" thickBot="1" x14ac:dyDescent="0.4">
      <c r="A505" s="103"/>
      <c r="B505" s="103"/>
      <c r="C505" s="103"/>
      <c r="D505" s="103"/>
      <c r="E505" s="103"/>
      <c r="F505" s="103"/>
      <c r="G505" s="103"/>
      <c r="H505" s="103"/>
      <c r="I505" s="103"/>
      <c r="J505" s="103"/>
      <c r="K505" s="103"/>
      <c r="L505" s="103"/>
      <c r="M505" s="104"/>
      <c r="N505" s="103"/>
    </row>
    <row r="506" spans="1:14" ht="45" customHeight="1" thickBot="1" x14ac:dyDescent="0.4">
      <c r="A506" s="103"/>
      <c r="B506" s="103"/>
      <c r="C506" s="103"/>
      <c r="D506" s="103"/>
      <c r="E506" s="103"/>
      <c r="F506" s="103"/>
      <c r="G506" s="103"/>
      <c r="H506" s="103"/>
      <c r="I506" s="103"/>
      <c r="J506" s="103"/>
      <c r="K506" s="103"/>
      <c r="L506" s="103"/>
      <c r="M506" s="104"/>
      <c r="N506" s="103"/>
    </row>
    <row r="507" spans="1:14" ht="45" customHeight="1" thickBot="1" x14ac:dyDescent="0.4">
      <c r="A507" s="103"/>
      <c r="B507" s="103"/>
      <c r="C507" s="103"/>
      <c r="D507" s="103"/>
      <c r="E507" s="103"/>
      <c r="F507" s="103"/>
      <c r="G507" s="103"/>
      <c r="H507" s="103"/>
      <c r="I507" s="103"/>
      <c r="J507" s="103"/>
      <c r="K507" s="103"/>
      <c r="L507" s="103"/>
      <c r="M507" s="104"/>
      <c r="N507" s="103"/>
    </row>
    <row r="508" spans="1:14" ht="45" customHeight="1" thickBot="1" x14ac:dyDescent="0.4">
      <c r="A508" s="103"/>
      <c r="B508" s="103"/>
      <c r="C508" s="103"/>
      <c r="D508" s="103"/>
      <c r="E508" s="103"/>
      <c r="F508" s="103"/>
      <c r="G508" s="103"/>
      <c r="H508" s="103"/>
      <c r="I508" s="103"/>
      <c r="J508" s="103"/>
      <c r="K508" s="103"/>
      <c r="L508" s="103"/>
      <c r="M508" s="104"/>
      <c r="N508" s="103"/>
    </row>
    <row r="509" spans="1:14" ht="45" customHeight="1" thickBot="1" x14ac:dyDescent="0.4">
      <c r="A509" s="103"/>
      <c r="B509" s="103"/>
      <c r="C509" s="103"/>
      <c r="D509" s="103"/>
      <c r="E509" s="103"/>
      <c r="F509" s="103"/>
      <c r="G509" s="103"/>
      <c r="H509" s="103"/>
      <c r="I509" s="103"/>
      <c r="J509" s="103"/>
      <c r="K509" s="103"/>
      <c r="L509" s="103"/>
      <c r="M509" s="104"/>
      <c r="N509" s="103"/>
    </row>
    <row r="510" spans="1:14" ht="45" customHeight="1" thickBot="1" x14ac:dyDescent="0.4">
      <c r="A510" s="103"/>
      <c r="B510" s="103"/>
      <c r="C510" s="103"/>
      <c r="D510" s="103"/>
      <c r="E510" s="103"/>
      <c r="F510" s="103"/>
      <c r="G510" s="103"/>
      <c r="H510" s="103"/>
      <c r="I510" s="103"/>
      <c r="J510" s="103"/>
      <c r="K510" s="103"/>
      <c r="L510" s="103"/>
      <c r="M510" s="104"/>
      <c r="N510" s="103"/>
    </row>
    <row r="511" spans="1:14" ht="45" customHeight="1" thickBot="1" x14ac:dyDescent="0.4">
      <c r="A511" s="103"/>
      <c r="B511" s="103"/>
      <c r="C511" s="103"/>
      <c r="D511" s="103"/>
      <c r="E511" s="103"/>
      <c r="F511" s="103"/>
      <c r="G511" s="103"/>
      <c r="H511" s="103"/>
      <c r="I511" s="103"/>
      <c r="J511" s="103"/>
      <c r="K511" s="103"/>
      <c r="L511" s="103"/>
      <c r="M511" s="104"/>
      <c r="N511" s="103"/>
    </row>
    <row r="512" spans="1:14" ht="45" customHeight="1" thickBot="1" x14ac:dyDescent="0.4">
      <c r="A512" s="103"/>
      <c r="B512" s="103"/>
      <c r="C512" s="103"/>
      <c r="D512" s="103"/>
      <c r="E512" s="103"/>
      <c r="F512" s="103"/>
      <c r="G512" s="103"/>
      <c r="H512" s="103"/>
      <c r="I512" s="103"/>
      <c r="J512" s="103"/>
      <c r="K512" s="103"/>
      <c r="L512" s="103"/>
      <c r="M512" s="104"/>
      <c r="N512" s="103"/>
    </row>
    <row r="513" spans="1:14" ht="45" customHeight="1" thickBot="1" x14ac:dyDescent="0.4">
      <c r="A513" s="103"/>
      <c r="B513" s="103"/>
      <c r="C513" s="103"/>
      <c r="D513" s="103"/>
      <c r="E513" s="103"/>
      <c r="F513" s="103"/>
      <c r="G513" s="103"/>
      <c r="H513" s="103"/>
      <c r="I513" s="103"/>
      <c r="J513" s="103"/>
      <c r="K513" s="103"/>
      <c r="L513" s="103"/>
      <c r="M513" s="104"/>
      <c r="N513" s="103"/>
    </row>
    <row r="514" spans="1:14" ht="45" customHeight="1" thickBot="1" x14ac:dyDescent="0.4">
      <c r="A514" s="103"/>
      <c r="B514" s="103"/>
      <c r="C514" s="103"/>
      <c r="D514" s="103"/>
      <c r="E514" s="103"/>
      <c r="F514" s="103"/>
      <c r="G514" s="103"/>
      <c r="H514" s="103"/>
      <c r="I514" s="103"/>
      <c r="J514" s="103"/>
      <c r="K514" s="103"/>
      <c r="L514" s="103"/>
      <c r="M514" s="104"/>
      <c r="N514" s="103"/>
    </row>
    <row r="515" spans="1:14" ht="45" customHeight="1" thickBot="1" x14ac:dyDescent="0.4">
      <c r="A515" s="103"/>
      <c r="B515" s="103"/>
      <c r="C515" s="103"/>
      <c r="D515" s="103"/>
      <c r="E515" s="103"/>
      <c r="F515" s="103"/>
      <c r="G515" s="103"/>
      <c r="H515" s="103"/>
      <c r="I515" s="103"/>
      <c r="J515" s="103"/>
      <c r="K515" s="103"/>
      <c r="L515" s="103"/>
      <c r="M515" s="104"/>
      <c r="N515" s="103"/>
    </row>
    <row r="516" spans="1:14" ht="45" customHeight="1" thickBot="1" x14ac:dyDescent="0.4">
      <c r="A516" s="103"/>
      <c r="B516" s="103"/>
      <c r="C516" s="103"/>
      <c r="D516" s="103"/>
      <c r="E516" s="103"/>
      <c r="F516" s="103"/>
      <c r="G516" s="103"/>
      <c r="H516" s="103"/>
      <c r="I516" s="103"/>
      <c r="J516" s="103"/>
      <c r="K516" s="103"/>
      <c r="L516" s="103"/>
      <c r="M516" s="104"/>
      <c r="N516" s="103"/>
    </row>
    <row r="517" spans="1:14" ht="45" customHeight="1" thickBot="1" x14ac:dyDescent="0.4">
      <c r="A517" s="103"/>
      <c r="B517" s="103"/>
      <c r="C517" s="103"/>
      <c r="D517" s="103"/>
      <c r="E517" s="103"/>
      <c r="F517" s="103"/>
      <c r="G517" s="103"/>
      <c r="H517" s="103"/>
      <c r="I517" s="103"/>
      <c r="J517" s="103"/>
      <c r="K517" s="103"/>
      <c r="L517" s="103"/>
      <c r="M517" s="104"/>
      <c r="N517" s="103"/>
    </row>
    <row r="518" spans="1:14" ht="45" customHeight="1" thickBot="1" x14ac:dyDescent="0.4">
      <c r="A518" s="103"/>
      <c r="B518" s="103"/>
      <c r="C518" s="103"/>
      <c r="D518" s="103"/>
      <c r="E518" s="103"/>
      <c r="F518" s="103"/>
      <c r="G518" s="103"/>
      <c r="H518" s="103"/>
      <c r="I518" s="103"/>
      <c r="J518" s="103"/>
      <c r="K518" s="103"/>
      <c r="L518" s="103"/>
      <c r="M518" s="104"/>
      <c r="N518" s="103"/>
    </row>
    <row r="519" spans="1:14" ht="45" customHeight="1" thickBot="1" x14ac:dyDescent="0.4">
      <c r="A519" s="103"/>
      <c r="B519" s="103"/>
      <c r="C519" s="103"/>
      <c r="D519" s="103"/>
      <c r="E519" s="103"/>
      <c r="F519" s="103"/>
      <c r="G519" s="103"/>
      <c r="H519" s="103"/>
      <c r="I519" s="103"/>
      <c r="J519" s="103"/>
      <c r="K519" s="103"/>
      <c r="L519" s="103"/>
      <c r="M519" s="104"/>
      <c r="N519" s="103"/>
    </row>
    <row r="520" spans="1:14" ht="45" customHeight="1" thickBot="1" x14ac:dyDescent="0.4">
      <c r="A520" s="103"/>
      <c r="B520" s="103"/>
      <c r="C520" s="103"/>
      <c r="D520" s="103"/>
      <c r="E520" s="103"/>
      <c r="F520" s="103"/>
      <c r="G520" s="103"/>
      <c r="H520" s="103"/>
      <c r="I520" s="103"/>
      <c r="J520" s="103"/>
      <c r="K520" s="103"/>
      <c r="L520" s="103"/>
      <c r="M520" s="104"/>
      <c r="N520" s="103"/>
    </row>
    <row r="521" spans="1:14" ht="45" customHeight="1" thickBot="1" x14ac:dyDescent="0.4">
      <c r="A521" s="103"/>
      <c r="B521" s="103"/>
      <c r="C521" s="103"/>
      <c r="D521" s="103"/>
      <c r="E521" s="103"/>
      <c r="F521" s="103"/>
      <c r="G521" s="103"/>
      <c r="H521" s="103"/>
      <c r="I521" s="103"/>
      <c r="J521" s="103"/>
      <c r="K521" s="103"/>
      <c r="L521" s="103"/>
      <c r="M521" s="104"/>
      <c r="N521" s="103"/>
    </row>
    <row r="522" spans="1:14" ht="45" customHeight="1" thickBot="1" x14ac:dyDescent="0.4">
      <c r="A522" s="103"/>
      <c r="B522" s="103"/>
      <c r="C522" s="103"/>
      <c r="D522" s="103"/>
      <c r="E522" s="103"/>
      <c r="F522" s="103"/>
      <c r="G522" s="103"/>
      <c r="H522" s="103"/>
      <c r="I522" s="103"/>
      <c r="J522" s="103"/>
      <c r="K522" s="103"/>
      <c r="L522" s="103"/>
      <c r="M522" s="104"/>
      <c r="N522" s="103"/>
    </row>
    <row r="523" spans="1:14" ht="45" customHeight="1" thickBot="1" x14ac:dyDescent="0.4">
      <c r="A523" s="103"/>
      <c r="B523" s="103"/>
      <c r="C523" s="103"/>
      <c r="D523" s="103"/>
      <c r="E523" s="103"/>
      <c r="F523" s="103"/>
      <c r="G523" s="103"/>
      <c r="H523" s="103"/>
      <c r="I523" s="103"/>
      <c r="J523" s="103"/>
      <c r="K523" s="103"/>
      <c r="L523" s="103"/>
      <c r="M523" s="104"/>
      <c r="N523" s="103"/>
    </row>
    <row r="524" spans="1:14" ht="45" customHeight="1" thickBot="1" x14ac:dyDescent="0.4">
      <c r="A524" s="103"/>
      <c r="B524" s="103"/>
      <c r="C524" s="103"/>
      <c r="D524" s="103"/>
      <c r="E524" s="103"/>
      <c r="F524" s="103"/>
      <c r="G524" s="103"/>
      <c r="H524" s="103"/>
      <c r="I524" s="103"/>
      <c r="J524" s="103"/>
      <c r="K524" s="103"/>
      <c r="L524" s="103"/>
      <c r="M524" s="104"/>
      <c r="N524" s="103"/>
    </row>
    <row r="525" spans="1:14" ht="45" customHeight="1" thickBot="1" x14ac:dyDescent="0.4">
      <c r="A525" s="103"/>
      <c r="B525" s="103"/>
      <c r="C525" s="103"/>
      <c r="D525" s="103"/>
      <c r="E525" s="103"/>
      <c r="F525" s="103"/>
      <c r="G525" s="103"/>
      <c r="H525" s="103"/>
      <c r="I525" s="103"/>
      <c r="J525" s="103"/>
      <c r="K525" s="103"/>
      <c r="L525" s="103"/>
      <c r="M525" s="104"/>
      <c r="N525" s="103"/>
    </row>
    <row r="526" spans="1:14" ht="45" customHeight="1" thickBot="1" x14ac:dyDescent="0.4">
      <c r="A526" s="103"/>
      <c r="B526" s="103"/>
      <c r="C526" s="103"/>
      <c r="D526" s="103"/>
      <c r="E526" s="103"/>
      <c r="F526" s="103"/>
      <c r="G526" s="103"/>
      <c r="H526" s="103"/>
      <c r="I526" s="103"/>
      <c r="J526" s="103"/>
      <c r="K526" s="103"/>
      <c r="L526" s="103"/>
      <c r="M526" s="104"/>
      <c r="N526" s="103"/>
    </row>
    <row r="527" spans="1:14" ht="45" customHeight="1" thickBot="1" x14ac:dyDescent="0.4">
      <c r="A527" s="103"/>
      <c r="B527" s="103"/>
      <c r="C527" s="103"/>
      <c r="D527" s="103"/>
      <c r="E527" s="103"/>
      <c r="F527" s="103"/>
      <c r="G527" s="103"/>
      <c r="H527" s="103"/>
      <c r="I527" s="103"/>
      <c r="J527" s="103"/>
      <c r="K527" s="103"/>
      <c r="L527" s="103"/>
      <c r="M527" s="104"/>
      <c r="N527" s="103"/>
    </row>
    <row r="528" spans="1:14" ht="45" customHeight="1" thickBot="1" x14ac:dyDescent="0.4">
      <c r="A528" s="103"/>
      <c r="B528" s="103"/>
      <c r="C528" s="103"/>
      <c r="D528" s="103"/>
      <c r="E528" s="103"/>
      <c r="F528" s="103"/>
      <c r="G528" s="103"/>
      <c r="H528" s="103"/>
      <c r="I528" s="103"/>
      <c r="J528" s="103"/>
      <c r="K528" s="103"/>
      <c r="L528" s="103"/>
      <c r="M528" s="104"/>
      <c r="N528" s="103"/>
    </row>
    <row r="529" spans="1:14" ht="45" customHeight="1" thickBot="1" x14ac:dyDescent="0.4">
      <c r="A529" s="103"/>
      <c r="B529" s="103"/>
      <c r="C529" s="103"/>
      <c r="D529" s="103"/>
      <c r="E529" s="103"/>
      <c r="F529" s="103"/>
      <c r="G529" s="103"/>
      <c r="H529" s="103"/>
      <c r="I529" s="103"/>
      <c r="J529" s="103"/>
      <c r="K529" s="103"/>
      <c r="L529" s="103"/>
      <c r="M529" s="104"/>
      <c r="N529" s="103"/>
    </row>
    <row r="530" spans="1:14" ht="45" customHeight="1" thickBot="1" x14ac:dyDescent="0.4">
      <c r="A530" s="103"/>
      <c r="B530" s="103"/>
      <c r="C530" s="103"/>
      <c r="D530" s="103"/>
      <c r="E530" s="103"/>
      <c r="F530" s="103"/>
      <c r="G530" s="103"/>
      <c r="H530" s="103"/>
      <c r="I530" s="103"/>
      <c r="J530" s="103"/>
      <c r="K530" s="103"/>
      <c r="L530" s="103"/>
      <c r="M530" s="104"/>
      <c r="N530" s="103"/>
    </row>
    <row r="531" spans="1:14" ht="45" customHeight="1" thickBot="1" x14ac:dyDescent="0.4">
      <c r="A531" s="103"/>
      <c r="B531" s="103"/>
      <c r="C531" s="103"/>
      <c r="D531" s="103"/>
      <c r="E531" s="103"/>
      <c r="F531" s="103"/>
      <c r="G531" s="103"/>
      <c r="H531" s="103"/>
      <c r="I531" s="103"/>
      <c r="J531" s="103"/>
      <c r="K531" s="103"/>
      <c r="L531" s="103"/>
      <c r="M531" s="104"/>
      <c r="N531" s="103"/>
    </row>
    <row r="532" spans="1:14" ht="45" customHeight="1" thickBot="1" x14ac:dyDescent="0.4">
      <c r="A532" s="103"/>
      <c r="B532" s="103"/>
      <c r="C532" s="103"/>
      <c r="D532" s="103"/>
      <c r="E532" s="103"/>
      <c r="F532" s="103"/>
      <c r="G532" s="103"/>
      <c r="H532" s="103"/>
      <c r="I532" s="103"/>
      <c r="J532" s="103"/>
      <c r="K532" s="103"/>
      <c r="L532" s="103"/>
      <c r="M532" s="104"/>
      <c r="N532" s="103"/>
    </row>
    <row r="533" spans="1:14" ht="45" customHeight="1" thickBot="1" x14ac:dyDescent="0.4">
      <c r="A533" s="103"/>
      <c r="B533" s="103"/>
      <c r="C533" s="103"/>
      <c r="D533" s="103"/>
      <c r="E533" s="103"/>
      <c r="F533" s="103"/>
      <c r="G533" s="103"/>
      <c r="H533" s="103"/>
      <c r="I533" s="103"/>
      <c r="J533" s="103"/>
      <c r="K533" s="103"/>
      <c r="L533" s="103"/>
      <c r="M533" s="104"/>
      <c r="N533" s="103"/>
    </row>
    <row r="534" spans="1:14" ht="45" customHeight="1" thickBot="1" x14ac:dyDescent="0.4">
      <c r="A534" s="103"/>
      <c r="B534" s="103"/>
      <c r="C534" s="103"/>
      <c r="D534" s="103"/>
      <c r="E534" s="103"/>
      <c r="F534" s="103"/>
      <c r="G534" s="103"/>
      <c r="H534" s="103"/>
      <c r="I534" s="103"/>
      <c r="J534" s="103"/>
      <c r="K534" s="103"/>
      <c r="L534" s="103"/>
      <c r="M534" s="104"/>
      <c r="N534" s="103"/>
    </row>
    <row r="535" spans="1:14" ht="45" customHeight="1" thickBot="1" x14ac:dyDescent="0.4">
      <c r="A535" s="103"/>
      <c r="B535" s="103"/>
      <c r="C535" s="103"/>
      <c r="D535" s="103"/>
      <c r="E535" s="103"/>
      <c r="F535" s="103"/>
      <c r="G535" s="103"/>
      <c r="H535" s="103"/>
      <c r="I535" s="103"/>
      <c r="J535" s="103"/>
      <c r="K535" s="103"/>
      <c r="L535" s="103"/>
      <c r="M535" s="104"/>
      <c r="N535" s="103"/>
    </row>
    <row r="536" spans="1:14" ht="45" customHeight="1" thickBot="1" x14ac:dyDescent="0.4">
      <c r="A536" s="103"/>
      <c r="B536" s="103"/>
      <c r="C536" s="103"/>
      <c r="D536" s="103"/>
      <c r="E536" s="103"/>
      <c r="F536" s="103"/>
      <c r="G536" s="103"/>
      <c r="H536" s="103"/>
      <c r="I536" s="103"/>
      <c r="J536" s="103"/>
      <c r="K536" s="103"/>
      <c r="L536" s="103"/>
      <c r="M536" s="104"/>
      <c r="N536" s="103"/>
    </row>
    <row r="537" spans="1:14" ht="45" customHeight="1" thickBot="1" x14ac:dyDescent="0.4">
      <c r="A537" s="103"/>
      <c r="B537" s="103"/>
      <c r="C537" s="103"/>
      <c r="D537" s="103"/>
      <c r="E537" s="103"/>
      <c r="F537" s="103"/>
      <c r="G537" s="103"/>
      <c r="H537" s="103"/>
      <c r="I537" s="103"/>
      <c r="J537" s="103"/>
      <c r="K537" s="103"/>
      <c r="L537" s="103"/>
      <c r="M537" s="104"/>
      <c r="N537" s="103"/>
    </row>
    <row r="538" spans="1:14" ht="45" customHeight="1" thickBot="1" x14ac:dyDescent="0.4">
      <c r="A538" s="103"/>
      <c r="B538" s="103"/>
      <c r="C538" s="103"/>
      <c r="D538" s="103"/>
      <c r="E538" s="103"/>
      <c r="F538" s="103"/>
      <c r="G538" s="103"/>
      <c r="H538" s="103"/>
      <c r="I538" s="103"/>
      <c r="J538" s="103"/>
      <c r="K538" s="103"/>
      <c r="L538" s="103"/>
      <c r="M538" s="104"/>
      <c r="N538" s="103"/>
    </row>
    <row r="539" spans="1:14" ht="45" customHeight="1" thickBot="1" x14ac:dyDescent="0.4">
      <c r="A539" s="103"/>
      <c r="B539" s="103"/>
      <c r="C539" s="103"/>
      <c r="D539" s="103"/>
      <c r="E539" s="103"/>
      <c r="F539" s="103"/>
      <c r="G539" s="103"/>
      <c r="H539" s="103"/>
      <c r="I539" s="103"/>
      <c r="J539" s="103"/>
      <c r="K539" s="103"/>
      <c r="L539" s="103"/>
      <c r="M539" s="104"/>
      <c r="N539" s="103"/>
    </row>
    <row r="540" spans="1:14" ht="45" customHeight="1" thickBot="1" x14ac:dyDescent="0.4">
      <c r="A540" s="103"/>
      <c r="B540" s="103"/>
      <c r="C540" s="103"/>
      <c r="D540" s="103"/>
      <c r="E540" s="103"/>
      <c r="F540" s="103"/>
      <c r="G540" s="103"/>
      <c r="H540" s="103"/>
      <c r="I540" s="103"/>
      <c r="J540" s="103"/>
      <c r="K540" s="103"/>
      <c r="L540" s="103"/>
      <c r="M540" s="104"/>
      <c r="N540" s="103"/>
    </row>
    <row r="541" spans="1:14" ht="45" customHeight="1" thickBot="1" x14ac:dyDescent="0.4">
      <c r="A541" s="103"/>
      <c r="B541" s="103"/>
      <c r="C541" s="103"/>
      <c r="D541" s="103"/>
      <c r="E541" s="103"/>
      <c r="F541" s="103"/>
      <c r="G541" s="103"/>
      <c r="H541" s="103"/>
      <c r="I541" s="103"/>
      <c r="J541" s="103"/>
      <c r="K541" s="103"/>
      <c r="L541" s="103"/>
      <c r="M541" s="104"/>
      <c r="N541" s="103"/>
    </row>
    <row r="542" spans="1:14" ht="45" customHeight="1" thickBot="1" x14ac:dyDescent="0.4">
      <c r="A542" s="103"/>
      <c r="B542" s="103"/>
      <c r="C542" s="103"/>
      <c r="D542" s="103"/>
      <c r="E542" s="103"/>
      <c r="F542" s="103"/>
      <c r="G542" s="103"/>
      <c r="H542" s="103"/>
      <c r="I542" s="103"/>
      <c r="J542" s="103"/>
      <c r="K542" s="103"/>
      <c r="L542" s="103"/>
      <c r="M542" s="104"/>
      <c r="N542" s="103"/>
    </row>
    <row r="543" spans="1:14" ht="45" customHeight="1" thickBot="1" x14ac:dyDescent="0.4">
      <c r="A543" s="103"/>
      <c r="B543" s="103"/>
      <c r="C543" s="103"/>
      <c r="D543" s="103"/>
      <c r="E543" s="103"/>
      <c r="F543" s="103"/>
      <c r="G543" s="103"/>
      <c r="H543" s="103"/>
      <c r="I543" s="103"/>
      <c r="J543" s="103"/>
      <c r="K543" s="103"/>
      <c r="L543" s="103"/>
      <c r="M543" s="104"/>
      <c r="N543" s="103"/>
    </row>
    <row r="544" spans="1:14" ht="45" customHeight="1" thickBot="1" x14ac:dyDescent="0.4">
      <c r="A544" s="103"/>
      <c r="B544" s="103"/>
      <c r="C544" s="103"/>
      <c r="D544" s="103"/>
      <c r="E544" s="103"/>
      <c r="F544" s="103"/>
      <c r="G544" s="103"/>
      <c r="H544" s="103"/>
      <c r="I544" s="103"/>
      <c r="J544" s="103"/>
      <c r="K544" s="103"/>
      <c r="L544" s="103"/>
      <c r="M544" s="104"/>
      <c r="N544" s="103"/>
    </row>
    <row r="545" spans="1:14" ht="45" customHeight="1" thickBot="1" x14ac:dyDescent="0.4">
      <c r="A545" s="103"/>
      <c r="B545" s="103"/>
      <c r="C545" s="103"/>
      <c r="D545" s="103"/>
      <c r="E545" s="103"/>
      <c r="F545" s="103"/>
      <c r="G545" s="103"/>
      <c r="H545" s="103"/>
      <c r="I545" s="103"/>
      <c r="J545" s="103"/>
      <c r="K545" s="103"/>
      <c r="L545" s="103"/>
      <c r="M545" s="104"/>
      <c r="N545" s="103"/>
    </row>
    <row r="546" spans="1:14" ht="45" customHeight="1" thickBot="1" x14ac:dyDescent="0.4">
      <c r="A546" s="103"/>
      <c r="B546" s="103"/>
      <c r="C546" s="103"/>
      <c r="D546" s="103"/>
      <c r="E546" s="103"/>
      <c r="F546" s="103"/>
      <c r="G546" s="103"/>
      <c r="H546" s="103"/>
      <c r="I546" s="103"/>
      <c r="J546" s="103"/>
      <c r="K546" s="103"/>
      <c r="L546" s="103"/>
      <c r="M546" s="104"/>
      <c r="N546" s="103"/>
    </row>
    <row r="547" spans="1:14" ht="45" customHeight="1" thickBot="1" x14ac:dyDescent="0.4">
      <c r="A547" s="103"/>
      <c r="B547" s="103"/>
      <c r="C547" s="103"/>
      <c r="D547" s="103"/>
      <c r="E547" s="103"/>
      <c r="F547" s="103"/>
      <c r="G547" s="103"/>
      <c r="H547" s="103"/>
      <c r="I547" s="103"/>
      <c r="J547" s="103"/>
      <c r="K547" s="103"/>
      <c r="L547" s="103"/>
      <c r="M547" s="104"/>
      <c r="N547" s="103"/>
    </row>
    <row r="548" spans="1:14" ht="45" customHeight="1" thickBot="1" x14ac:dyDescent="0.4">
      <c r="A548" s="103"/>
      <c r="B548" s="103"/>
      <c r="C548" s="103"/>
      <c r="D548" s="103"/>
      <c r="E548" s="103"/>
      <c r="F548" s="103"/>
      <c r="G548" s="103"/>
      <c r="H548" s="103"/>
      <c r="I548" s="103"/>
      <c r="J548" s="103"/>
      <c r="K548" s="103"/>
      <c r="L548" s="103"/>
      <c r="M548" s="104"/>
      <c r="N548" s="103"/>
    </row>
    <row r="549" spans="1:14" ht="45" customHeight="1" thickBot="1" x14ac:dyDescent="0.4">
      <c r="A549" s="103"/>
      <c r="B549" s="103"/>
      <c r="C549" s="103"/>
      <c r="D549" s="103"/>
      <c r="E549" s="103"/>
      <c r="F549" s="103"/>
      <c r="G549" s="103"/>
      <c r="H549" s="103"/>
      <c r="I549" s="103"/>
      <c r="J549" s="103"/>
      <c r="K549" s="103"/>
      <c r="L549" s="103"/>
      <c r="M549" s="104"/>
      <c r="N549" s="103"/>
    </row>
    <row r="550" spans="1:14" ht="45" customHeight="1" thickBot="1" x14ac:dyDescent="0.4">
      <c r="A550" s="103"/>
      <c r="B550" s="103"/>
      <c r="C550" s="103"/>
      <c r="D550" s="103"/>
      <c r="E550" s="103"/>
      <c r="F550" s="103"/>
      <c r="G550" s="103"/>
      <c r="H550" s="103"/>
      <c r="I550" s="103"/>
      <c r="J550" s="103"/>
      <c r="K550" s="103"/>
      <c r="L550" s="103"/>
      <c r="M550" s="104"/>
      <c r="N550" s="103"/>
    </row>
    <row r="551" spans="1:14" ht="45" customHeight="1" thickBot="1" x14ac:dyDescent="0.4">
      <c r="A551" s="103"/>
      <c r="B551" s="103"/>
      <c r="C551" s="103"/>
      <c r="D551" s="103"/>
      <c r="E551" s="103"/>
      <c r="F551" s="103"/>
      <c r="G551" s="103"/>
      <c r="H551" s="103"/>
      <c r="I551" s="103"/>
      <c r="J551" s="103"/>
      <c r="K551" s="103"/>
      <c r="L551" s="103"/>
      <c r="M551" s="104"/>
      <c r="N551" s="103"/>
    </row>
    <row r="552" spans="1:14" ht="45" customHeight="1" thickBot="1" x14ac:dyDescent="0.4">
      <c r="A552" s="103"/>
      <c r="B552" s="103"/>
      <c r="C552" s="103"/>
      <c r="D552" s="103"/>
      <c r="E552" s="103"/>
      <c r="F552" s="103"/>
      <c r="G552" s="103"/>
      <c r="H552" s="103"/>
      <c r="I552" s="103"/>
      <c r="J552" s="103"/>
      <c r="K552" s="103"/>
      <c r="L552" s="103"/>
      <c r="M552" s="104"/>
      <c r="N552" s="103"/>
    </row>
    <row r="553" spans="1:14" ht="45" customHeight="1" thickBot="1" x14ac:dyDescent="0.4">
      <c r="A553" s="103"/>
      <c r="B553" s="103"/>
      <c r="C553" s="103"/>
      <c r="D553" s="103"/>
      <c r="E553" s="103"/>
      <c r="F553" s="103"/>
      <c r="G553" s="103"/>
      <c r="H553" s="103"/>
      <c r="I553" s="103"/>
      <c r="J553" s="103"/>
      <c r="K553" s="103"/>
      <c r="L553" s="103"/>
      <c r="M553" s="104"/>
      <c r="N553" s="103"/>
    </row>
    <row r="554" spans="1:14" ht="45" customHeight="1" thickBot="1" x14ac:dyDescent="0.4">
      <c r="A554" s="103"/>
      <c r="B554" s="103"/>
      <c r="C554" s="103"/>
      <c r="D554" s="103"/>
      <c r="E554" s="103"/>
      <c r="F554" s="103"/>
      <c r="G554" s="103"/>
      <c r="H554" s="103"/>
      <c r="I554" s="103"/>
      <c r="J554" s="103"/>
      <c r="K554" s="103"/>
      <c r="L554" s="103"/>
      <c r="M554" s="104"/>
      <c r="N554" s="103"/>
    </row>
    <row r="555" spans="1:14" ht="45" customHeight="1" thickBot="1" x14ac:dyDescent="0.4">
      <c r="A555" s="103"/>
      <c r="B555" s="103"/>
      <c r="C555" s="103"/>
      <c r="D555" s="103"/>
      <c r="E555" s="103"/>
      <c r="F555" s="103"/>
      <c r="G555" s="103"/>
      <c r="H555" s="103"/>
      <c r="I555" s="103"/>
      <c r="J555" s="103"/>
      <c r="K555" s="103"/>
      <c r="L555" s="103"/>
      <c r="M555" s="104"/>
      <c r="N555" s="103"/>
    </row>
    <row r="556" spans="1:14" ht="45" customHeight="1" thickBot="1" x14ac:dyDescent="0.4">
      <c r="A556" s="103"/>
      <c r="B556" s="103"/>
      <c r="C556" s="103"/>
      <c r="D556" s="103"/>
      <c r="E556" s="103"/>
      <c r="F556" s="103"/>
      <c r="G556" s="103"/>
      <c r="H556" s="103"/>
      <c r="I556" s="103"/>
      <c r="J556" s="103"/>
      <c r="K556" s="103"/>
      <c r="L556" s="103"/>
      <c r="M556" s="104"/>
      <c r="N556" s="103"/>
    </row>
    <row r="557" spans="1:14" ht="45" customHeight="1" thickBot="1" x14ac:dyDescent="0.4">
      <c r="A557" s="103"/>
      <c r="B557" s="103"/>
      <c r="C557" s="103"/>
      <c r="D557" s="103"/>
      <c r="E557" s="103"/>
      <c r="F557" s="103"/>
      <c r="G557" s="103"/>
      <c r="H557" s="103"/>
      <c r="I557" s="103"/>
      <c r="J557" s="103"/>
      <c r="K557" s="103"/>
      <c r="L557" s="103"/>
      <c r="M557" s="104"/>
      <c r="N557" s="103"/>
    </row>
    <row r="558" spans="1:14" ht="45" customHeight="1" thickBot="1" x14ac:dyDescent="0.4">
      <c r="A558" s="103"/>
      <c r="B558" s="103"/>
      <c r="C558" s="103"/>
      <c r="D558" s="103"/>
      <c r="E558" s="103"/>
      <c r="F558" s="103"/>
      <c r="G558" s="103"/>
      <c r="H558" s="103"/>
      <c r="I558" s="103"/>
      <c r="J558" s="103"/>
      <c r="K558" s="103"/>
      <c r="L558" s="103"/>
      <c r="M558" s="104"/>
      <c r="N558" s="103"/>
    </row>
    <row r="559" spans="1:14" ht="45" customHeight="1" thickBot="1" x14ac:dyDescent="0.4">
      <c r="A559" s="103"/>
      <c r="B559" s="103"/>
      <c r="C559" s="103"/>
      <c r="D559" s="103"/>
      <c r="E559" s="103"/>
      <c r="F559" s="103"/>
      <c r="G559" s="103"/>
      <c r="H559" s="103"/>
      <c r="I559" s="103"/>
      <c r="J559" s="103"/>
      <c r="K559" s="103"/>
      <c r="L559" s="103"/>
      <c r="M559" s="104"/>
      <c r="N559" s="103"/>
    </row>
    <row r="560" spans="1:14" ht="45" customHeight="1" thickBot="1" x14ac:dyDescent="0.4">
      <c r="A560" s="103"/>
      <c r="B560" s="103"/>
      <c r="C560" s="103"/>
      <c r="D560" s="103"/>
      <c r="E560" s="103"/>
      <c r="F560" s="103"/>
      <c r="G560" s="103"/>
      <c r="H560" s="103"/>
      <c r="I560" s="103"/>
      <c r="J560" s="103"/>
      <c r="K560" s="103"/>
      <c r="L560" s="103"/>
      <c r="M560" s="104"/>
      <c r="N560" s="103"/>
    </row>
    <row r="561" spans="1:14" ht="45" customHeight="1" thickBot="1" x14ac:dyDescent="0.4">
      <c r="A561" s="103"/>
      <c r="B561" s="103"/>
      <c r="C561" s="103"/>
      <c r="D561" s="103"/>
      <c r="E561" s="103"/>
      <c r="F561" s="103"/>
      <c r="G561" s="103"/>
      <c r="H561" s="103"/>
      <c r="I561" s="103"/>
      <c r="J561" s="103"/>
      <c r="K561" s="103"/>
      <c r="L561" s="103"/>
      <c r="M561" s="104"/>
      <c r="N561" s="103"/>
    </row>
    <row r="562" spans="1:14" ht="45" customHeight="1" thickBot="1" x14ac:dyDescent="0.4">
      <c r="A562" s="103"/>
      <c r="B562" s="103"/>
      <c r="C562" s="103"/>
      <c r="D562" s="103"/>
      <c r="E562" s="103"/>
      <c r="F562" s="103"/>
      <c r="G562" s="103"/>
      <c r="H562" s="103"/>
      <c r="I562" s="103"/>
      <c r="J562" s="103"/>
      <c r="K562" s="103"/>
      <c r="L562" s="103"/>
      <c r="M562" s="104"/>
      <c r="N562" s="103"/>
    </row>
    <row r="563" spans="1:14" ht="45" customHeight="1" thickBot="1" x14ac:dyDescent="0.4">
      <c r="A563" s="103"/>
      <c r="B563" s="103"/>
      <c r="C563" s="103"/>
      <c r="D563" s="103"/>
      <c r="E563" s="103"/>
      <c r="F563" s="103"/>
      <c r="G563" s="103"/>
      <c r="H563" s="103"/>
      <c r="I563" s="103"/>
      <c r="J563" s="103"/>
      <c r="K563" s="103"/>
      <c r="L563" s="103"/>
      <c r="M563" s="104"/>
      <c r="N563" s="103"/>
    </row>
    <row r="564" spans="1:14" ht="45" customHeight="1" thickBot="1" x14ac:dyDescent="0.4">
      <c r="A564" s="103"/>
      <c r="B564" s="103"/>
      <c r="C564" s="103"/>
      <c r="D564" s="103"/>
      <c r="E564" s="103"/>
      <c r="F564" s="103"/>
      <c r="G564" s="103"/>
      <c r="H564" s="103"/>
      <c r="I564" s="103"/>
      <c r="J564" s="103"/>
      <c r="K564" s="103"/>
      <c r="L564" s="103"/>
      <c r="M564" s="104"/>
      <c r="N564" s="103"/>
    </row>
    <row r="565" spans="1:14" ht="45" customHeight="1" thickBot="1" x14ac:dyDescent="0.4">
      <c r="A565" s="103"/>
      <c r="B565" s="103"/>
      <c r="C565" s="103"/>
      <c r="D565" s="103"/>
      <c r="E565" s="103"/>
      <c r="F565" s="103"/>
      <c r="G565" s="103"/>
      <c r="H565" s="103"/>
      <c r="I565" s="103"/>
      <c r="J565" s="103"/>
      <c r="K565" s="103"/>
      <c r="L565" s="103"/>
      <c r="M565" s="104"/>
      <c r="N565" s="103"/>
    </row>
    <row r="566" spans="1:14" ht="45" customHeight="1" thickBot="1" x14ac:dyDescent="0.4">
      <c r="A566" s="103"/>
      <c r="B566" s="103"/>
      <c r="C566" s="103"/>
      <c r="D566" s="103"/>
      <c r="E566" s="103"/>
      <c r="F566" s="103"/>
      <c r="G566" s="103"/>
      <c r="H566" s="103"/>
      <c r="I566" s="103"/>
      <c r="J566" s="103"/>
      <c r="K566" s="103"/>
      <c r="L566" s="103"/>
      <c r="M566" s="104"/>
      <c r="N566" s="103"/>
    </row>
    <row r="567" spans="1:14" ht="45" customHeight="1" thickBot="1" x14ac:dyDescent="0.4">
      <c r="A567" s="103"/>
      <c r="B567" s="103"/>
      <c r="C567" s="103"/>
      <c r="D567" s="103"/>
      <c r="E567" s="103"/>
      <c r="F567" s="103"/>
      <c r="G567" s="103"/>
      <c r="H567" s="103"/>
      <c r="I567" s="103"/>
      <c r="J567" s="103"/>
      <c r="K567" s="103"/>
      <c r="L567" s="103"/>
      <c r="M567" s="104"/>
      <c r="N567" s="103"/>
    </row>
    <row r="568" spans="1:14" ht="45" customHeight="1" thickBot="1" x14ac:dyDescent="0.4">
      <c r="A568" s="103"/>
      <c r="B568" s="103"/>
      <c r="C568" s="103"/>
      <c r="D568" s="103"/>
      <c r="E568" s="103"/>
      <c r="F568" s="103"/>
      <c r="G568" s="103"/>
      <c r="H568" s="103"/>
      <c r="I568" s="103"/>
      <c r="J568" s="103"/>
      <c r="K568" s="103"/>
      <c r="L568" s="103"/>
      <c r="M568" s="104"/>
      <c r="N568" s="103"/>
    </row>
    <row r="569" spans="1:14" ht="45" customHeight="1" thickBot="1" x14ac:dyDescent="0.4">
      <c r="A569" s="103"/>
      <c r="B569" s="103"/>
      <c r="C569" s="103"/>
      <c r="D569" s="103"/>
      <c r="E569" s="103"/>
      <c r="F569" s="103"/>
      <c r="G569" s="103"/>
      <c r="H569" s="103"/>
      <c r="I569" s="103"/>
      <c r="J569" s="103"/>
      <c r="K569" s="103"/>
      <c r="L569" s="103"/>
      <c r="M569" s="104"/>
      <c r="N569" s="103"/>
    </row>
    <row r="570" spans="1:14" ht="45" customHeight="1" thickBot="1" x14ac:dyDescent="0.4">
      <c r="A570" s="103"/>
      <c r="B570" s="103"/>
      <c r="C570" s="103"/>
      <c r="D570" s="103"/>
      <c r="E570" s="103"/>
      <c r="F570" s="103"/>
      <c r="G570" s="103"/>
      <c r="H570" s="103"/>
      <c r="I570" s="103"/>
      <c r="J570" s="103"/>
      <c r="K570" s="103"/>
      <c r="L570" s="103"/>
      <c r="M570" s="104"/>
      <c r="N570" s="103"/>
    </row>
    <row r="571" spans="1:14" ht="45" customHeight="1" thickBot="1" x14ac:dyDescent="0.4">
      <c r="A571" s="103"/>
      <c r="B571" s="103"/>
      <c r="C571" s="103"/>
      <c r="D571" s="103"/>
      <c r="E571" s="103"/>
      <c r="F571" s="103"/>
      <c r="G571" s="103"/>
      <c r="H571" s="103"/>
      <c r="I571" s="103"/>
      <c r="J571" s="103"/>
      <c r="K571" s="103"/>
      <c r="L571" s="103"/>
      <c r="M571" s="104"/>
      <c r="N571" s="103"/>
    </row>
    <row r="572" spans="1:14" ht="45" customHeight="1" thickBot="1" x14ac:dyDescent="0.4">
      <c r="A572" s="103"/>
      <c r="B572" s="103"/>
      <c r="C572" s="103"/>
      <c r="D572" s="103"/>
      <c r="E572" s="103"/>
      <c r="F572" s="103"/>
      <c r="G572" s="103"/>
      <c r="H572" s="103"/>
      <c r="I572" s="103"/>
      <c r="J572" s="103"/>
      <c r="K572" s="103"/>
      <c r="L572" s="103"/>
      <c r="M572" s="104"/>
      <c r="N572" s="103"/>
    </row>
    <row r="573" spans="1:14" ht="45" customHeight="1" thickBot="1" x14ac:dyDescent="0.4">
      <c r="A573" s="103"/>
      <c r="B573" s="103"/>
      <c r="C573" s="103"/>
      <c r="D573" s="103"/>
      <c r="E573" s="103"/>
      <c r="F573" s="103"/>
      <c r="G573" s="103"/>
      <c r="H573" s="103"/>
      <c r="I573" s="103"/>
      <c r="J573" s="103"/>
      <c r="K573" s="103"/>
      <c r="L573" s="103"/>
      <c r="M573" s="104"/>
      <c r="N573" s="103"/>
    </row>
    <row r="574" spans="1:14" ht="45" customHeight="1" thickBot="1" x14ac:dyDescent="0.4">
      <c r="A574" s="103"/>
      <c r="B574" s="103"/>
      <c r="C574" s="103"/>
      <c r="D574" s="103"/>
      <c r="E574" s="103"/>
      <c r="F574" s="103"/>
      <c r="G574" s="103"/>
      <c r="H574" s="103"/>
      <c r="I574" s="103"/>
      <c r="J574" s="103"/>
      <c r="K574" s="103"/>
      <c r="L574" s="103"/>
      <c r="M574" s="104"/>
      <c r="N574" s="103"/>
    </row>
    <row r="575" spans="1:14" ht="45" customHeight="1" thickBot="1" x14ac:dyDescent="0.4">
      <c r="A575" s="103"/>
      <c r="B575" s="103"/>
      <c r="C575" s="103"/>
      <c r="D575" s="103"/>
      <c r="E575" s="103"/>
      <c r="F575" s="103"/>
      <c r="G575" s="103"/>
      <c r="H575" s="103"/>
      <c r="I575" s="103"/>
      <c r="J575" s="103"/>
      <c r="K575" s="103"/>
      <c r="L575" s="103"/>
      <c r="M575" s="104"/>
      <c r="N575" s="103"/>
    </row>
    <row r="576" spans="1:14" ht="45" customHeight="1" thickBot="1" x14ac:dyDescent="0.4">
      <c r="A576" s="103"/>
      <c r="B576" s="103"/>
      <c r="C576" s="103"/>
      <c r="D576" s="103"/>
      <c r="E576" s="103"/>
      <c r="F576" s="103"/>
      <c r="G576" s="103"/>
      <c r="H576" s="103"/>
      <c r="I576" s="103"/>
      <c r="J576" s="103"/>
      <c r="K576" s="103"/>
      <c r="L576" s="103"/>
      <c r="M576" s="104"/>
      <c r="N576" s="103"/>
    </row>
    <row r="577" spans="1:14" ht="45" customHeight="1" thickBot="1" x14ac:dyDescent="0.4">
      <c r="A577" s="103"/>
      <c r="B577" s="103"/>
      <c r="C577" s="103"/>
      <c r="D577" s="103"/>
      <c r="E577" s="103"/>
      <c r="F577" s="103"/>
      <c r="G577" s="103"/>
      <c r="H577" s="103"/>
      <c r="I577" s="103"/>
      <c r="J577" s="103"/>
      <c r="K577" s="103"/>
      <c r="L577" s="103"/>
      <c r="M577" s="104"/>
      <c r="N577" s="103"/>
    </row>
    <row r="578" spans="1:14" ht="45" customHeight="1" thickBot="1" x14ac:dyDescent="0.4">
      <c r="A578" s="103"/>
      <c r="B578" s="103"/>
      <c r="C578" s="103"/>
      <c r="D578" s="103"/>
      <c r="E578" s="103"/>
      <c r="F578" s="103"/>
      <c r="G578" s="103"/>
      <c r="H578" s="103"/>
      <c r="I578" s="103"/>
      <c r="J578" s="103"/>
      <c r="K578" s="103"/>
      <c r="L578" s="103"/>
      <c r="M578" s="104"/>
      <c r="N578" s="103"/>
    </row>
    <row r="579" spans="1:14" ht="45" customHeight="1" thickBot="1" x14ac:dyDescent="0.4">
      <c r="A579" s="103"/>
      <c r="B579" s="103"/>
      <c r="C579" s="103"/>
      <c r="D579" s="103"/>
      <c r="E579" s="103"/>
      <c r="F579" s="103"/>
      <c r="G579" s="103"/>
      <c r="H579" s="103"/>
      <c r="I579" s="103"/>
      <c r="J579" s="103"/>
      <c r="K579" s="103"/>
      <c r="L579" s="103"/>
      <c r="M579" s="104"/>
      <c r="N579" s="103"/>
    </row>
    <row r="580" spans="1:14" ht="45" customHeight="1" thickBot="1" x14ac:dyDescent="0.4">
      <c r="A580" s="103"/>
      <c r="B580" s="103"/>
      <c r="C580" s="103"/>
      <c r="D580" s="103"/>
      <c r="E580" s="103"/>
      <c r="F580" s="103"/>
      <c r="G580" s="103"/>
      <c r="H580" s="103"/>
      <c r="I580" s="103"/>
      <c r="J580" s="103"/>
      <c r="K580" s="103"/>
      <c r="L580" s="103"/>
      <c r="M580" s="104"/>
      <c r="N580" s="103"/>
    </row>
    <row r="581" spans="1:14" ht="45" customHeight="1" thickBot="1" x14ac:dyDescent="0.4">
      <c r="A581" s="103"/>
      <c r="B581" s="103"/>
      <c r="C581" s="103"/>
      <c r="D581" s="103"/>
      <c r="E581" s="103"/>
      <c r="F581" s="103"/>
      <c r="G581" s="103"/>
      <c r="H581" s="103"/>
      <c r="I581" s="103"/>
      <c r="J581" s="103"/>
      <c r="K581" s="103"/>
      <c r="L581" s="103"/>
      <c r="M581" s="104"/>
      <c r="N581" s="103"/>
    </row>
    <row r="582" spans="1:14" ht="45" customHeight="1" thickBot="1" x14ac:dyDescent="0.4">
      <c r="A582" s="103"/>
      <c r="B582" s="103"/>
      <c r="C582" s="103"/>
      <c r="D582" s="103"/>
      <c r="E582" s="103"/>
      <c r="F582" s="103"/>
      <c r="G582" s="103"/>
      <c r="H582" s="103"/>
      <c r="I582" s="103"/>
      <c r="J582" s="103"/>
      <c r="K582" s="103"/>
      <c r="L582" s="103"/>
      <c r="M582" s="104"/>
      <c r="N582" s="103"/>
    </row>
    <row r="583" spans="1:14" ht="45" customHeight="1" thickBot="1" x14ac:dyDescent="0.4">
      <c r="A583" s="103"/>
      <c r="B583" s="103"/>
      <c r="C583" s="103"/>
      <c r="D583" s="103"/>
      <c r="E583" s="103"/>
      <c r="F583" s="103"/>
      <c r="G583" s="103"/>
      <c r="H583" s="103"/>
      <c r="I583" s="103"/>
      <c r="J583" s="103"/>
      <c r="K583" s="103"/>
      <c r="L583" s="103"/>
      <c r="M583" s="104"/>
      <c r="N583" s="103"/>
    </row>
    <row r="584" spans="1:14" ht="45" customHeight="1" thickBot="1" x14ac:dyDescent="0.4">
      <c r="A584" s="103"/>
      <c r="B584" s="103"/>
      <c r="C584" s="103"/>
      <c r="D584" s="103"/>
      <c r="E584" s="103"/>
      <c r="F584" s="103"/>
      <c r="G584" s="103"/>
      <c r="H584" s="103"/>
      <c r="I584" s="103"/>
      <c r="J584" s="103"/>
      <c r="K584" s="103"/>
      <c r="L584" s="103"/>
      <c r="M584" s="104"/>
      <c r="N584" s="103"/>
    </row>
    <row r="585" spans="1:14" ht="45" customHeight="1" thickBot="1" x14ac:dyDescent="0.4">
      <c r="A585" s="103"/>
      <c r="B585" s="103"/>
      <c r="C585" s="103"/>
      <c r="D585" s="103"/>
      <c r="E585" s="103"/>
      <c r="F585" s="103"/>
      <c r="G585" s="103"/>
      <c r="H585" s="103"/>
      <c r="I585" s="103"/>
      <c r="J585" s="103"/>
      <c r="K585" s="103"/>
      <c r="L585" s="103"/>
      <c r="M585" s="104"/>
      <c r="N585" s="103"/>
    </row>
    <row r="586" spans="1:14" ht="45" customHeight="1" thickBot="1" x14ac:dyDescent="0.4">
      <c r="A586" s="103"/>
      <c r="B586" s="103"/>
      <c r="C586" s="103"/>
      <c r="D586" s="103"/>
      <c r="E586" s="103"/>
      <c r="F586" s="103"/>
      <c r="G586" s="103"/>
      <c r="H586" s="103"/>
      <c r="I586" s="103"/>
      <c r="J586" s="103"/>
      <c r="K586" s="103"/>
      <c r="L586" s="103"/>
      <c r="M586" s="104"/>
      <c r="N586" s="103"/>
    </row>
    <row r="587" spans="1:14" ht="45" customHeight="1" thickBot="1" x14ac:dyDescent="0.4">
      <c r="A587" s="103"/>
      <c r="B587" s="103"/>
      <c r="C587" s="103"/>
      <c r="D587" s="103"/>
      <c r="E587" s="103"/>
      <c r="F587" s="103"/>
      <c r="G587" s="103"/>
      <c r="H587" s="103"/>
      <c r="I587" s="103"/>
      <c r="J587" s="103"/>
      <c r="K587" s="103"/>
      <c r="L587" s="103"/>
      <c r="M587" s="104"/>
      <c r="N587" s="103"/>
    </row>
    <row r="588" spans="1:14" ht="45" customHeight="1" thickBot="1" x14ac:dyDescent="0.4">
      <c r="A588" s="103"/>
      <c r="B588" s="103"/>
      <c r="C588" s="103"/>
      <c r="D588" s="103"/>
      <c r="E588" s="103"/>
      <c r="F588" s="103"/>
      <c r="G588" s="103"/>
      <c r="H588" s="103"/>
      <c r="I588" s="103"/>
      <c r="J588" s="103"/>
      <c r="K588" s="103"/>
      <c r="L588" s="103"/>
      <c r="M588" s="104"/>
      <c r="N588" s="103"/>
    </row>
    <row r="589" spans="1:14" ht="45" customHeight="1" thickBot="1" x14ac:dyDescent="0.4">
      <c r="A589" s="103"/>
      <c r="B589" s="103"/>
      <c r="C589" s="103"/>
      <c r="D589" s="103"/>
      <c r="E589" s="103"/>
      <c r="F589" s="103"/>
      <c r="G589" s="103"/>
      <c r="H589" s="103"/>
      <c r="I589" s="103"/>
      <c r="J589" s="103"/>
      <c r="K589" s="103"/>
      <c r="L589" s="103"/>
      <c r="M589" s="104"/>
      <c r="N589" s="103"/>
    </row>
    <row r="590" spans="1:14" ht="45" customHeight="1" thickBot="1" x14ac:dyDescent="0.4">
      <c r="A590" s="103"/>
      <c r="B590" s="103"/>
      <c r="C590" s="103"/>
      <c r="D590" s="103"/>
      <c r="E590" s="103"/>
      <c r="F590" s="103"/>
      <c r="G590" s="103"/>
      <c r="H590" s="103"/>
      <c r="I590" s="103"/>
      <c r="J590" s="103"/>
      <c r="K590" s="103"/>
      <c r="L590" s="103"/>
      <c r="M590" s="104"/>
      <c r="N590" s="103"/>
    </row>
    <row r="591" spans="1:14" ht="45" customHeight="1" thickBot="1" x14ac:dyDescent="0.4">
      <c r="A591" s="103"/>
      <c r="B591" s="103"/>
      <c r="C591" s="103"/>
      <c r="D591" s="103"/>
      <c r="E591" s="103"/>
      <c r="F591" s="103"/>
      <c r="G591" s="103"/>
      <c r="H591" s="103"/>
      <c r="I591" s="103"/>
      <c r="J591" s="103"/>
      <c r="K591" s="103"/>
      <c r="L591" s="103"/>
      <c r="M591" s="104"/>
      <c r="N591" s="103"/>
    </row>
    <row r="592" spans="1:14" ht="45" customHeight="1" thickBot="1" x14ac:dyDescent="0.4">
      <c r="A592" s="103"/>
      <c r="B592" s="103"/>
      <c r="C592" s="103"/>
      <c r="D592" s="103"/>
      <c r="E592" s="103"/>
      <c r="F592" s="103"/>
      <c r="G592" s="103"/>
      <c r="H592" s="103"/>
      <c r="I592" s="103"/>
      <c r="J592" s="103"/>
      <c r="K592" s="103"/>
      <c r="L592" s="103"/>
      <c r="M592" s="104"/>
      <c r="N592" s="103"/>
    </row>
    <row r="593" spans="1:14" ht="45" customHeight="1" thickBot="1" x14ac:dyDescent="0.4">
      <c r="A593" s="103"/>
      <c r="B593" s="103"/>
      <c r="C593" s="103"/>
      <c r="D593" s="103"/>
      <c r="E593" s="103"/>
      <c r="F593" s="103"/>
      <c r="G593" s="103"/>
      <c r="H593" s="103"/>
      <c r="I593" s="103"/>
      <c r="J593" s="103"/>
      <c r="K593" s="103"/>
      <c r="L593" s="103"/>
      <c r="M593" s="104"/>
      <c r="N593" s="103"/>
    </row>
    <row r="594" spans="1:14" ht="45" customHeight="1" thickBot="1" x14ac:dyDescent="0.4">
      <c r="A594" s="103"/>
      <c r="B594" s="103"/>
      <c r="C594" s="103"/>
      <c r="D594" s="103"/>
      <c r="E594" s="103"/>
      <c r="F594" s="103"/>
      <c r="G594" s="103"/>
      <c r="H594" s="103"/>
      <c r="I594" s="103"/>
      <c r="J594" s="103"/>
      <c r="K594" s="103"/>
      <c r="L594" s="103"/>
      <c r="M594" s="104"/>
      <c r="N594" s="103"/>
    </row>
    <row r="595" spans="1:14" ht="45" customHeight="1" thickBot="1" x14ac:dyDescent="0.4">
      <c r="A595" s="103"/>
      <c r="B595" s="103"/>
      <c r="C595" s="103"/>
      <c r="D595" s="103"/>
      <c r="E595" s="103"/>
      <c r="F595" s="103"/>
      <c r="G595" s="103"/>
      <c r="H595" s="103"/>
      <c r="I595" s="103"/>
      <c r="J595" s="103"/>
      <c r="K595" s="103"/>
      <c r="L595" s="103"/>
      <c r="M595" s="104"/>
      <c r="N595" s="103"/>
    </row>
    <row r="596" spans="1:14" ht="45" customHeight="1" thickBot="1" x14ac:dyDescent="0.4">
      <c r="A596" s="103"/>
      <c r="B596" s="103"/>
      <c r="C596" s="103"/>
      <c r="D596" s="103"/>
      <c r="E596" s="103"/>
      <c r="F596" s="103"/>
      <c r="G596" s="103"/>
      <c r="H596" s="103"/>
      <c r="I596" s="103"/>
      <c r="J596" s="103"/>
      <c r="K596" s="103"/>
      <c r="L596" s="103"/>
      <c r="M596" s="104"/>
      <c r="N596" s="103"/>
    </row>
    <row r="597" spans="1:14" ht="45" customHeight="1" thickBot="1" x14ac:dyDescent="0.4">
      <c r="A597" s="103"/>
      <c r="B597" s="103"/>
      <c r="C597" s="103"/>
      <c r="D597" s="103"/>
      <c r="E597" s="103"/>
      <c r="F597" s="103"/>
      <c r="G597" s="103"/>
      <c r="H597" s="103"/>
      <c r="I597" s="103"/>
      <c r="J597" s="103"/>
      <c r="K597" s="103"/>
      <c r="L597" s="103"/>
      <c r="M597" s="104"/>
      <c r="N597" s="103"/>
    </row>
    <row r="598" spans="1:14" ht="45" customHeight="1" thickBot="1" x14ac:dyDescent="0.4">
      <c r="A598" s="103"/>
      <c r="B598" s="103"/>
      <c r="C598" s="103"/>
      <c r="D598" s="103"/>
      <c r="E598" s="103"/>
      <c r="F598" s="103"/>
      <c r="G598" s="103"/>
      <c r="H598" s="103"/>
      <c r="I598" s="103"/>
      <c r="J598" s="103"/>
      <c r="K598" s="103"/>
      <c r="L598" s="103"/>
      <c r="M598" s="104"/>
      <c r="N598" s="103"/>
    </row>
    <row r="599" spans="1:14" ht="45" customHeight="1" thickBot="1" x14ac:dyDescent="0.4">
      <c r="A599" s="103"/>
      <c r="B599" s="103"/>
      <c r="C599" s="103"/>
      <c r="D599" s="103"/>
      <c r="E599" s="103"/>
      <c r="F599" s="103"/>
      <c r="G599" s="103"/>
      <c r="H599" s="103"/>
      <c r="I599" s="103"/>
      <c r="J599" s="103"/>
      <c r="K599" s="103"/>
      <c r="L599" s="103"/>
      <c r="M599" s="104"/>
      <c r="N599" s="103"/>
    </row>
    <row r="600" spans="1:14" ht="45" customHeight="1" thickBot="1" x14ac:dyDescent="0.4">
      <c r="A600" s="103"/>
      <c r="B600" s="103"/>
      <c r="C600" s="103"/>
      <c r="D600" s="103"/>
      <c r="E600" s="103"/>
      <c r="F600" s="103"/>
      <c r="G600" s="103"/>
      <c r="H600" s="103"/>
      <c r="I600" s="103"/>
      <c r="J600" s="103"/>
      <c r="K600" s="103"/>
      <c r="L600" s="103"/>
      <c r="M600" s="104"/>
      <c r="N600" s="103"/>
    </row>
    <row r="601" spans="1:14" ht="45" customHeight="1" thickBot="1" x14ac:dyDescent="0.4">
      <c r="A601" s="103"/>
      <c r="B601" s="103"/>
      <c r="C601" s="103"/>
      <c r="D601" s="103"/>
      <c r="E601" s="103"/>
      <c r="F601" s="103"/>
      <c r="G601" s="103"/>
      <c r="H601" s="103"/>
      <c r="I601" s="103"/>
      <c r="J601" s="103"/>
      <c r="K601" s="103"/>
      <c r="L601" s="103"/>
      <c r="M601" s="104"/>
      <c r="N601" s="103"/>
    </row>
    <row r="602" spans="1:14" ht="45" customHeight="1" thickBot="1" x14ac:dyDescent="0.4">
      <c r="A602" s="103"/>
      <c r="B602" s="103"/>
      <c r="C602" s="103"/>
      <c r="D602" s="103"/>
      <c r="E602" s="103"/>
      <c r="F602" s="103"/>
      <c r="G602" s="103"/>
      <c r="H602" s="103"/>
      <c r="I602" s="103"/>
      <c r="J602" s="103"/>
      <c r="K602" s="103"/>
      <c r="L602" s="103"/>
      <c r="M602" s="104"/>
      <c r="N602" s="103"/>
    </row>
    <row r="603" spans="1:14" ht="45" customHeight="1" thickBot="1" x14ac:dyDescent="0.4">
      <c r="A603" s="103"/>
      <c r="B603" s="103"/>
      <c r="C603" s="103"/>
      <c r="D603" s="103"/>
      <c r="E603" s="103"/>
      <c r="F603" s="103"/>
      <c r="G603" s="103"/>
      <c r="H603" s="103"/>
      <c r="I603" s="103"/>
      <c r="J603" s="103"/>
      <c r="K603" s="103"/>
      <c r="L603" s="103"/>
      <c r="M603" s="104"/>
      <c r="N603" s="103"/>
    </row>
    <row r="604" spans="1:14" ht="45" customHeight="1" thickBot="1" x14ac:dyDescent="0.4">
      <c r="A604" s="103"/>
      <c r="B604" s="103"/>
      <c r="C604" s="103"/>
      <c r="D604" s="103"/>
      <c r="E604" s="103"/>
      <c r="F604" s="103"/>
      <c r="G604" s="103"/>
      <c r="H604" s="103"/>
      <c r="I604" s="103"/>
      <c r="J604" s="103"/>
      <c r="K604" s="103"/>
      <c r="L604" s="103"/>
      <c r="M604" s="104"/>
      <c r="N604" s="103"/>
    </row>
    <row r="605" spans="1:14" ht="45" customHeight="1" thickBot="1" x14ac:dyDescent="0.4">
      <c r="A605" s="103"/>
      <c r="B605" s="103"/>
      <c r="C605" s="103"/>
      <c r="D605" s="103"/>
      <c r="E605" s="103"/>
      <c r="F605" s="103"/>
      <c r="G605" s="103"/>
      <c r="H605" s="103"/>
      <c r="I605" s="103"/>
      <c r="J605" s="103"/>
      <c r="K605" s="103"/>
      <c r="L605" s="103"/>
      <c r="M605" s="104"/>
      <c r="N605" s="103"/>
    </row>
    <row r="606" spans="1:14" ht="45" customHeight="1" thickBot="1" x14ac:dyDescent="0.4">
      <c r="A606" s="103"/>
      <c r="B606" s="103"/>
      <c r="C606" s="103"/>
      <c r="D606" s="103"/>
      <c r="E606" s="103"/>
      <c r="F606" s="103"/>
      <c r="G606" s="103"/>
      <c r="H606" s="103"/>
      <c r="I606" s="103"/>
      <c r="J606" s="103"/>
      <c r="K606" s="103"/>
      <c r="L606" s="103"/>
      <c r="M606" s="104"/>
      <c r="N606" s="103"/>
    </row>
    <row r="607" spans="1:14" ht="45" customHeight="1" thickBot="1" x14ac:dyDescent="0.4">
      <c r="A607" s="103"/>
      <c r="B607" s="103"/>
      <c r="C607" s="103"/>
      <c r="D607" s="103"/>
      <c r="E607" s="103"/>
      <c r="F607" s="103"/>
      <c r="G607" s="103"/>
      <c r="H607" s="103"/>
      <c r="I607" s="103"/>
      <c r="J607" s="103"/>
      <c r="K607" s="103"/>
      <c r="L607" s="103"/>
      <c r="M607" s="104"/>
      <c r="N607" s="103"/>
    </row>
    <row r="608" spans="1:14" ht="45" customHeight="1" thickBot="1" x14ac:dyDescent="0.4">
      <c r="A608" s="103"/>
      <c r="B608" s="103"/>
      <c r="C608" s="103"/>
      <c r="D608" s="103"/>
      <c r="E608" s="103"/>
      <c r="F608" s="103"/>
      <c r="G608" s="103"/>
      <c r="H608" s="103"/>
      <c r="I608" s="103"/>
      <c r="J608" s="103"/>
      <c r="K608" s="103"/>
      <c r="L608" s="103"/>
      <c r="M608" s="104"/>
      <c r="N608" s="103"/>
    </row>
    <row r="609" spans="1:14" ht="45" customHeight="1" thickBot="1" x14ac:dyDescent="0.4">
      <c r="A609" s="103"/>
      <c r="B609" s="103"/>
      <c r="C609" s="103"/>
      <c r="D609" s="103"/>
      <c r="E609" s="103"/>
      <c r="F609" s="103"/>
      <c r="G609" s="103"/>
      <c r="H609" s="103"/>
      <c r="I609" s="103"/>
      <c r="J609" s="103"/>
      <c r="K609" s="103"/>
      <c r="L609" s="103"/>
      <c r="M609" s="104"/>
      <c r="N609" s="103"/>
    </row>
    <row r="610" spans="1:14" ht="45" customHeight="1" thickBot="1" x14ac:dyDescent="0.4">
      <c r="A610" s="103"/>
      <c r="B610" s="103"/>
      <c r="C610" s="103"/>
      <c r="D610" s="103"/>
      <c r="E610" s="103"/>
      <c r="F610" s="103"/>
      <c r="G610" s="103"/>
      <c r="H610" s="103"/>
      <c r="I610" s="103"/>
      <c r="J610" s="103"/>
      <c r="K610" s="103"/>
      <c r="L610" s="103"/>
      <c r="M610" s="104"/>
      <c r="N610" s="103"/>
    </row>
    <row r="611" spans="1:14" ht="45" customHeight="1" thickBot="1" x14ac:dyDescent="0.4">
      <c r="A611" s="103"/>
      <c r="B611" s="103"/>
      <c r="C611" s="103"/>
      <c r="D611" s="103"/>
      <c r="E611" s="103"/>
      <c r="F611" s="103"/>
      <c r="G611" s="103"/>
      <c r="H611" s="103"/>
      <c r="I611" s="103"/>
      <c r="J611" s="103"/>
      <c r="K611" s="103"/>
      <c r="L611" s="103"/>
      <c r="M611" s="104"/>
      <c r="N611" s="103"/>
    </row>
    <row r="612" spans="1:14" ht="45" customHeight="1" thickBot="1" x14ac:dyDescent="0.4">
      <c r="A612" s="103"/>
      <c r="B612" s="103"/>
      <c r="C612" s="103"/>
      <c r="D612" s="103"/>
      <c r="E612" s="103"/>
      <c r="F612" s="103"/>
      <c r="G612" s="103"/>
      <c r="H612" s="103"/>
      <c r="I612" s="103"/>
      <c r="J612" s="103"/>
      <c r="K612" s="103"/>
      <c r="L612" s="103"/>
      <c r="M612" s="104"/>
      <c r="N612" s="103"/>
    </row>
    <row r="613" spans="1:14" ht="45" customHeight="1" thickBot="1" x14ac:dyDescent="0.4">
      <c r="A613" s="103"/>
      <c r="B613" s="103"/>
      <c r="C613" s="103"/>
      <c r="D613" s="103"/>
      <c r="E613" s="103"/>
      <c r="F613" s="103"/>
      <c r="G613" s="103"/>
      <c r="H613" s="103"/>
      <c r="I613" s="103"/>
      <c r="J613" s="103"/>
      <c r="K613" s="103"/>
      <c r="L613" s="103"/>
      <c r="M613" s="104"/>
      <c r="N613" s="103"/>
    </row>
    <row r="614" spans="1:14" ht="45" customHeight="1" thickBot="1" x14ac:dyDescent="0.4">
      <c r="A614" s="103"/>
      <c r="B614" s="103"/>
      <c r="C614" s="103"/>
      <c r="D614" s="103"/>
      <c r="E614" s="103"/>
      <c r="F614" s="103"/>
      <c r="G614" s="103"/>
      <c r="H614" s="103"/>
      <c r="I614" s="103"/>
      <c r="J614" s="103"/>
      <c r="K614" s="103"/>
      <c r="L614" s="103"/>
      <c r="M614" s="104"/>
      <c r="N614" s="103"/>
    </row>
    <row r="615" spans="1:14" ht="45" customHeight="1" thickBot="1" x14ac:dyDescent="0.4">
      <c r="A615" s="103"/>
      <c r="B615" s="103"/>
      <c r="C615" s="103"/>
      <c r="D615" s="103"/>
      <c r="E615" s="103"/>
      <c r="F615" s="103"/>
      <c r="G615" s="103"/>
      <c r="H615" s="103"/>
      <c r="I615" s="103"/>
      <c r="J615" s="103"/>
      <c r="K615" s="103"/>
      <c r="L615" s="103"/>
      <c r="M615" s="104"/>
      <c r="N615" s="103"/>
    </row>
    <row r="616" spans="1:14" ht="45" customHeight="1" thickBot="1" x14ac:dyDescent="0.4">
      <c r="A616" s="103"/>
      <c r="B616" s="103"/>
      <c r="C616" s="103"/>
      <c r="D616" s="103"/>
      <c r="E616" s="103"/>
      <c r="F616" s="103"/>
      <c r="G616" s="103"/>
      <c r="H616" s="103"/>
      <c r="I616" s="103"/>
      <c r="J616" s="103"/>
      <c r="K616" s="103"/>
      <c r="L616" s="103"/>
      <c r="M616" s="104"/>
      <c r="N616" s="103"/>
    </row>
    <row r="617" spans="1:14" ht="45" customHeight="1" thickBot="1" x14ac:dyDescent="0.4">
      <c r="A617" s="103"/>
      <c r="B617" s="103"/>
      <c r="C617" s="103"/>
      <c r="D617" s="103"/>
      <c r="E617" s="103"/>
      <c r="F617" s="103"/>
      <c r="G617" s="103"/>
      <c r="H617" s="103"/>
      <c r="I617" s="103"/>
      <c r="J617" s="103"/>
      <c r="K617" s="103"/>
      <c r="L617" s="103"/>
      <c r="M617" s="104"/>
      <c r="N617" s="103"/>
    </row>
    <row r="618" spans="1:14" ht="45" customHeight="1" thickBot="1" x14ac:dyDescent="0.4">
      <c r="A618" s="103"/>
      <c r="B618" s="103"/>
      <c r="C618" s="103"/>
      <c r="D618" s="103"/>
      <c r="E618" s="103"/>
      <c r="F618" s="103"/>
      <c r="G618" s="103"/>
      <c r="H618" s="103"/>
      <c r="I618" s="103"/>
      <c r="J618" s="103"/>
      <c r="K618" s="103"/>
      <c r="L618" s="103"/>
      <c r="M618" s="104"/>
      <c r="N618" s="103"/>
    </row>
    <row r="619" spans="1:14" ht="45" customHeight="1" thickBot="1" x14ac:dyDescent="0.4">
      <c r="A619" s="103"/>
      <c r="B619" s="103"/>
      <c r="C619" s="103"/>
      <c r="D619" s="103"/>
      <c r="E619" s="103"/>
      <c r="F619" s="103"/>
      <c r="G619" s="103"/>
      <c r="H619" s="103"/>
      <c r="I619" s="103"/>
      <c r="J619" s="103"/>
      <c r="K619" s="103"/>
      <c r="L619" s="103"/>
      <c r="M619" s="104"/>
      <c r="N619" s="103"/>
    </row>
    <row r="620" spans="1:14" ht="45" customHeight="1" thickBot="1" x14ac:dyDescent="0.4">
      <c r="A620" s="103"/>
      <c r="B620" s="103"/>
      <c r="C620" s="103"/>
      <c r="D620" s="103"/>
      <c r="E620" s="103"/>
      <c r="F620" s="103"/>
      <c r="G620" s="103"/>
      <c r="H620" s="103"/>
      <c r="I620" s="103"/>
      <c r="J620" s="103"/>
      <c r="K620" s="103"/>
      <c r="L620" s="103"/>
      <c r="M620" s="104"/>
      <c r="N620" s="103"/>
    </row>
    <row r="621" spans="1:14" ht="45" customHeight="1" thickBot="1" x14ac:dyDescent="0.4">
      <c r="A621" s="103"/>
      <c r="B621" s="103"/>
      <c r="C621" s="103"/>
      <c r="D621" s="103"/>
      <c r="E621" s="103"/>
      <c r="F621" s="103"/>
      <c r="G621" s="103"/>
      <c r="H621" s="103"/>
      <c r="I621" s="103"/>
      <c r="J621" s="103"/>
      <c r="K621" s="103"/>
      <c r="L621" s="103"/>
      <c r="M621" s="104"/>
      <c r="N621" s="103"/>
    </row>
    <row r="622" spans="1:14" ht="45" customHeight="1" thickBot="1" x14ac:dyDescent="0.4">
      <c r="A622" s="103"/>
      <c r="B622" s="103"/>
      <c r="C622" s="103"/>
      <c r="D622" s="103"/>
      <c r="E622" s="103"/>
      <c r="F622" s="103"/>
      <c r="G622" s="103"/>
      <c r="H622" s="103"/>
      <c r="I622" s="103"/>
      <c r="J622" s="103"/>
      <c r="K622" s="103"/>
      <c r="L622" s="103"/>
      <c r="M622" s="104"/>
      <c r="N622" s="103"/>
    </row>
    <row r="623" spans="1:14" ht="45" customHeight="1" thickBot="1" x14ac:dyDescent="0.4">
      <c r="A623" s="103"/>
      <c r="B623" s="103"/>
      <c r="C623" s="103"/>
      <c r="D623" s="103"/>
      <c r="E623" s="103"/>
      <c r="F623" s="103"/>
      <c r="G623" s="103"/>
      <c r="H623" s="103"/>
      <c r="I623" s="103"/>
      <c r="J623" s="103"/>
      <c r="K623" s="103"/>
      <c r="L623" s="103"/>
      <c r="M623" s="104"/>
      <c r="N623" s="103"/>
    </row>
    <row r="624" spans="1:14" ht="45" customHeight="1" thickBot="1" x14ac:dyDescent="0.4">
      <c r="A624" s="103"/>
      <c r="B624" s="103"/>
      <c r="C624" s="103"/>
      <c r="D624" s="103"/>
      <c r="E624" s="103"/>
      <c r="F624" s="103"/>
      <c r="G624" s="103"/>
      <c r="H624" s="103"/>
      <c r="I624" s="103"/>
      <c r="J624" s="103"/>
      <c r="K624" s="103"/>
      <c r="L624" s="103"/>
      <c r="M624" s="104"/>
      <c r="N624" s="103"/>
    </row>
    <row r="625" spans="1:14" ht="45" customHeight="1" thickBot="1" x14ac:dyDescent="0.4">
      <c r="A625" s="103"/>
      <c r="B625" s="103"/>
      <c r="C625" s="103"/>
      <c r="D625" s="103"/>
      <c r="E625" s="103"/>
      <c r="F625" s="103"/>
      <c r="G625" s="103"/>
      <c r="H625" s="103"/>
      <c r="I625" s="103"/>
      <c r="J625" s="103"/>
      <c r="K625" s="103"/>
      <c r="L625" s="103"/>
      <c r="M625" s="104"/>
      <c r="N625" s="103"/>
    </row>
    <row r="626" spans="1:14" ht="45" customHeight="1" thickBot="1" x14ac:dyDescent="0.4">
      <c r="A626" s="103"/>
      <c r="B626" s="103"/>
      <c r="C626" s="103"/>
      <c r="D626" s="103"/>
      <c r="E626" s="103"/>
      <c r="F626" s="103"/>
      <c r="G626" s="103"/>
      <c r="H626" s="103"/>
      <c r="I626" s="103"/>
      <c r="J626" s="103"/>
      <c r="K626" s="103"/>
      <c r="L626" s="103"/>
      <c r="M626" s="104"/>
      <c r="N626" s="103"/>
    </row>
    <row r="627" spans="1:14" ht="45" customHeight="1" thickBot="1" x14ac:dyDescent="0.4">
      <c r="A627" s="103"/>
      <c r="B627" s="103"/>
      <c r="C627" s="103"/>
      <c r="D627" s="103"/>
      <c r="E627" s="103"/>
      <c r="F627" s="103"/>
      <c r="G627" s="103"/>
      <c r="H627" s="103"/>
      <c r="I627" s="103"/>
      <c r="J627" s="103"/>
      <c r="K627" s="103"/>
      <c r="L627" s="103"/>
      <c r="M627" s="104"/>
      <c r="N627" s="103"/>
    </row>
    <row r="628" spans="1:14" ht="45" customHeight="1" thickBot="1" x14ac:dyDescent="0.4">
      <c r="A628" s="103"/>
      <c r="B628" s="103"/>
      <c r="C628" s="103"/>
      <c r="D628" s="103"/>
      <c r="E628" s="103"/>
      <c r="F628" s="103"/>
      <c r="G628" s="103"/>
      <c r="H628" s="103"/>
      <c r="I628" s="103"/>
      <c r="J628" s="103"/>
      <c r="K628" s="103"/>
      <c r="L628" s="103"/>
      <c r="M628" s="104"/>
      <c r="N628" s="103"/>
    </row>
    <row r="629" spans="1:14" ht="45" customHeight="1" thickBot="1" x14ac:dyDescent="0.4">
      <c r="A629" s="103"/>
      <c r="B629" s="103"/>
      <c r="C629" s="103"/>
      <c r="D629" s="103"/>
      <c r="E629" s="103"/>
      <c r="F629" s="103"/>
      <c r="G629" s="103"/>
      <c r="H629" s="103"/>
      <c r="I629" s="103"/>
      <c r="J629" s="103"/>
      <c r="K629" s="103"/>
      <c r="L629" s="103"/>
      <c r="M629" s="104"/>
      <c r="N629" s="103"/>
    </row>
    <row r="630" spans="1:14" ht="45" customHeight="1" thickBot="1" x14ac:dyDescent="0.4">
      <c r="A630" s="103"/>
      <c r="B630" s="103"/>
      <c r="C630" s="103"/>
      <c r="D630" s="103"/>
      <c r="E630" s="103"/>
      <c r="F630" s="103"/>
      <c r="G630" s="103"/>
      <c r="H630" s="103"/>
      <c r="I630" s="103"/>
      <c r="J630" s="103"/>
      <c r="K630" s="103"/>
      <c r="L630" s="103"/>
      <c r="M630" s="104"/>
      <c r="N630" s="103"/>
    </row>
    <row r="631" spans="1:14" ht="45" customHeight="1" thickBot="1" x14ac:dyDescent="0.4">
      <c r="A631" s="103"/>
      <c r="B631" s="103"/>
      <c r="C631" s="103"/>
      <c r="D631" s="103"/>
      <c r="E631" s="103"/>
      <c r="F631" s="103"/>
      <c r="G631" s="103"/>
      <c r="H631" s="103"/>
      <c r="I631" s="103"/>
      <c r="J631" s="103"/>
      <c r="K631" s="103"/>
      <c r="L631" s="103"/>
      <c r="M631" s="104"/>
      <c r="N631" s="103"/>
    </row>
    <row r="632" spans="1:14" ht="45" customHeight="1" thickBot="1" x14ac:dyDescent="0.4">
      <c r="A632" s="103"/>
      <c r="B632" s="103"/>
      <c r="C632" s="103"/>
      <c r="D632" s="103"/>
      <c r="E632" s="103"/>
      <c r="F632" s="103"/>
      <c r="G632" s="103"/>
      <c r="H632" s="103"/>
      <c r="I632" s="103"/>
      <c r="J632" s="103"/>
      <c r="K632" s="103"/>
      <c r="L632" s="103"/>
      <c r="M632" s="104"/>
      <c r="N632" s="103"/>
    </row>
    <row r="633" spans="1:14" ht="45" customHeight="1" thickBot="1" x14ac:dyDescent="0.4">
      <c r="A633" s="103"/>
      <c r="B633" s="103"/>
      <c r="C633" s="103"/>
      <c r="D633" s="103"/>
      <c r="E633" s="103"/>
      <c r="F633" s="103"/>
      <c r="G633" s="103"/>
      <c r="H633" s="103"/>
      <c r="I633" s="103"/>
      <c r="J633" s="103"/>
      <c r="K633" s="103"/>
      <c r="L633" s="103"/>
      <c r="M633" s="104"/>
      <c r="N633" s="103"/>
    </row>
    <row r="634" spans="1:14" ht="45" customHeight="1" thickBot="1" x14ac:dyDescent="0.4">
      <c r="A634" s="103"/>
      <c r="B634" s="103"/>
      <c r="C634" s="103"/>
      <c r="D634" s="103"/>
      <c r="E634" s="103"/>
      <c r="F634" s="103"/>
      <c r="G634" s="103"/>
      <c r="H634" s="103"/>
      <c r="I634" s="103"/>
      <c r="J634" s="103"/>
      <c r="K634" s="103"/>
      <c r="L634" s="103"/>
      <c r="M634" s="104"/>
      <c r="N634" s="103"/>
    </row>
    <row r="635" spans="1:14" ht="45" customHeight="1" thickBot="1" x14ac:dyDescent="0.4">
      <c r="A635" s="103"/>
      <c r="B635" s="103"/>
      <c r="C635" s="103"/>
      <c r="D635" s="103"/>
      <c r="E635" s="103"/>
      <c r="F635" s="103"/>
      <c r="G635" s="103"/>
      <c r="H635" s="103"/>
      <c r="I635" s="103"/>
      <c r="J635" s="103"/>
      <c r="K635" s="103"/>
      <c r="L635" s="103"/>
      <c r="M635" s="104"/>
      <c r="N635" s="103"/>
    </row>
    <row r="636" spans="1:14" ht="45" customHeight="1" thickBot="1" x14ac:dyDescent="0.4">
      <c r="A636" s="103"/>
      <c r="B636" s="103"/>
      <c r="C636" s="103"/>
      <c r="D636" s="103"/>
      <c r="E636" s="103"/>
      <c r="F636" s="103"/>
      <c r="G636" s="103"/>
      <c r="H636" s="103"/>
      <c r="I636" s="103"/>
      <c r="J636" s="103"/>
      <c r="K636" s="103"/>
      <c r="L636" s="103"/>
      <c r="M636" s="104"/>
      <c r="N636" s="103"/>
    </row>
    <row r="637" spans="1:14" ht="45" customHeight="1" thickBot="1" x14ac:dyDescent="0.4">
      <c r="A637" s="103"/>
      <c r="B637" s="103"/>
      <c r="C637" s="103"/>
      <c r="D637" s="103"/>
      <c r="E637" s="103"/>
      <c r="F637" s="103"/>
      <c r="G637" s="103"/>
      <c r="H637" s="103"/>
      <c r="I637" s="103"/>
      <c r="J637" s="103"/>
      <c r="K637" s="103"/>
      <c r="L637" s="103"/>
      <c r="M637" s="104"/>
      <c r="N637" s="103"/>
    </row>
    <row r="638" spans="1:14" ht="45" customHeight="1" thickBot="1" x14ac:dyDescent="0.4">
      <c r="A638" s="103"/>
      <c r="B638" s="103"/>
      <c r="C638" s="103"/>
      <c r="D638" s="103"/>
      <c r="E638" s="103"/>
      <c r="F638" s="103"/>
      <c r="G638" s="103"/>
      <c r="H638" s="103"/>
      <c r="I638" s="103"/>
      <c r="J638" s="103"/>
      <c r="K638" s="103"/>
      <c r="L638" s="103"/>
      <c r="M638" s="104"/>
      <c r="N638" s="103"/>
    </row>
    <row r="639" spans="1:14" ht="45" customHeight="1" thickBot="1" x14ac:dyDescent="0.4">
      <c r="A639" s="103"/>
      <c r="B639" s="103"/>
      <c r="C639" s="103"/>
      <c r="D639" s="103"/>
      <c r="E639" s="103"/>
      <c r="F639" s="103"/>
      <c r="G639" s="103"/>
      <c r="H639" s="103"/>
      <c r="I639" s="103"/>
      <c r="J639" s="103"/>
      <c r="K639" s="103"/>
      <c r="L639" s="103"/>
      <c r="M639" s="104"/>
      <c r="N639" s="103"/>
    </row>
    <row r="640" spans="1:14" ht="45" customHeight="1" thickBot="1" x14ac:dyDescent="0.4">
      <c r="A640" s="103"/>
      <c r="B640" s="103"/>
      <c r="C640" s="103"/>
      <c r="D640" s="103"/>
      <c r="E640" s="103"/>
      <c r="F640" s="103"/>
      <c r="G640" s="103"/>
      <c r="H640" s="103"/>
      <c r="I640" s="103"/>
      <c r="J640" s="103"/>
      <c r="K640" s="103"/>
      <c r="L640" s="103"/>
      <c r="M640" s="104"/>
      <c r="N640" s="103"/>
    </row>
    <row r="641" spans="1:14" ht="45" customHeight="1" thickBot="1" x14ac:dyDescent="0.4">
      <c r="A641" s="103"/>
      <c r="B641" s="103"/>
      <c r="C641" s="103"/>
      <c r="D641" s="103"/>
      <c r="E641" s="103"/>
      <c r="F641" s="103"/>
      <c r="G641" s="103"/>
      <c r="H641" s="103"/>
      <c r="I641" s="103"/>
      <c r="J641" s="103"/>
      <c r="K641" s="103"/>
      <c r="L641" s="103"/>
      <c r="M641" s="104"/>
      <c r="N641" s="103"/>
    </row>
    <row r="642" spans="1:14" ht="45" customHeight="1" thickBot="1" x14ac:dyDescent="0.4">
      <c r="A642" s="103"/>
      <c r="B642" s="103"/>
      <c r="C642" s="103"/>
      <c r="D642" s="103"/>
      <c r="E642" s="103"/>
      <c r="F642" s="103"/>
      <c r="G642" s="103"/>
      <c r="H642" s="103"/>
      <c r="I642" s="103"/>
      <c r="J642" s="103"/>
      <c r="K642" s="103"/>
      <c r="L642" s="103"/>
      <c r="M642" s="104"/>
      <c r="N642" s="103"/>
    </row>
    <row r="643" spans="1:14" ht="45" customHeight="1" thickBot="1" x14ac:dyDescent="0.4">
      <c r="A643" s="103"/>
      <c r="B643" s="103"/>
      <c r="C643" s="103"/>
      <c r="D643" s="103"/>
      <c r="E643" s="103"/>
      <c r="F643" s="103"/>
      <c r="G643" s="103"/>
      <c r="H643" s="103"/>
      <c r="I643" s="103"/>
      <c r="J643" s="103"/>
      <c r="K643" s="103"/>
      <c r="L643" s="103"/>
      <c r="M643" s="104"/>
      <c r="N643" s="103"/>
    </row>
    <row r="644" spans="1:14" ht="45" customHeight="1" thickBot="1" x14ac:dyDescent="0.4">
      <c r="A644" s="103"/>
      <c r="B644" s="103"/>
      <c r="C644" s="103"/>
      <c r="D644" s="103"/>
      <c r="E644" s="103"/>
      <c r="F644" s="103"/>
      <c r="G644" s="103"/>
      <c r="H644" s="103"/>
      <c r="I644" s="103"/>
      <c r="J644" s="103"/>
      <c r="K644" s="103"/>
      <c r="L644" s="103"/>
      <c r="M644" s="104"/>
      <c r="N644" s="103"/>
    </row>
    <row r="645" spans="1:14" ht="45" customHeight="1" thickBot="1" x14ac:dyDescent="0.4">
      <c r="A645" s="103"/>
      <c r="B645" s="103"/>
      <c r="C645" s="103"/>
      <c r="D645" s="103"/>
      <c r="E645" s="103"/>
      <c r="F645" s="103"/>
      <c r="G645" s="103"/>
      <c r="H645" s="103"/>
      <c r="I645" s="103"/>
      <c r="J645" s="103"/>
      <c r="K645" s="103"/>
      <c r="L645" s="103"/>
      <c r="M645" s="104"/>
      <c r="N645" s="103"/>
    </row>
    <row r="646" spans="1:14" ht="45" customHeight="1" thickBot="1" x14ac:dyDescent="0.4">
      <c r="A646" s="103"/>
      <c r="B646" s="103"/>
      <c r="C646" s="103"/>
      <c r="D646" s="103"/>
      <c r="E646" s="103"/>
      <c r="F646" s="103"/>
      <c r="G646" s="103"/>
      <c r="H646" s="103"/>
      <c r="I646" s="103"/>
      <c r="J646" s="103"/>
      <c r="K646" s="103"/>
      <c r="L646" s="103"/>
      <c r="M646" s="104"/>
      <c r="N646" s="103"/>
    </row>
    <row r="647" spans="1:14" ht="45" customHeight="1" thickBot="1" x14ac:dyDescent="0.4">
      <c r="A647" s="103"/>
      <c r="B647" s="103"/>
      <c r="C647" s="103"/>
      <c r="D647" s="103"/>
      <c r="E647" s="103"/>
      <c r="F647" s="103"/>
      <c r="G647" s="103"/>
      <c r="H647" s="103"/>
      <c r="I647" s="103"/>
      <c r="J647" s="103"/>
      <c r="K647" s="103"/>
      <c r="L647" s="103"/>
      <c r="M647" s="104"/>
      <c r="N647" s="103"/>
    </row>
    <row r="648" spans="1:14" ht="45" customHeight="1" thickBot="1" x14ac:dyDescent="0.4">
      <c r="A648" s="103"/>
      <c r="B648" s="103"/>
      <c r="C648" s="103"/>
      <c r="D648" s="103"/>
      <c r="E648" s="103"/>
      <c r="F648" s="103"/>
      <c r="G648" s="103"/>
      <c r="H648" s="103"/>
      <c r="I648" s="103"/>
      <c r="J648" s="103"/>
      <c r="K648" s="103"/>
      <c r="L648" s="103"/>
      <c r="M648" s="104"/>
      <c r="N648" s="103"/>
    </row>
    <row r="649" spans="1:14" ht="45" customHeight="1" thickBot="1" x14ac:dyDescent="0.4">
      <c r="A649" s="103"/>
      <c r="B649" s="103"/>
      <c r="C649" s="103"/>
      <c r="D649" s="103"/>
      <c r="E649" s="103"/>
      <c r="F649" s="103"/>
      <c r="G649" s="103"/>
      <c r="H649" s="103"/>
      <c r="I649" s="103"/>
      <c r="J649" s="103"/>
      <c r="K649" s="103"/>
      <c r="L649" s="103"/>
      <c r="M649" s="104"/>
      <c r="N649" s="103"/>
    </row>
    <row r="650" spans="1:14" ht="45" customHeight="1" thickBot="1" x14ac:dyDescent="0.4">
      <c r="A650" s="103"/>
      <c r="B650" s="103"/>
      <c r="C650" s="103"/>
      <c r="D650" s="103"/>
      <c r="E650" s="103"/>
      <c r="F650" s="103"/>
      <c r="G650" s="103"/>
      <c r="H650" s="103"/>
      <c r="I650" s="103"/>
      <c r="J650" s="103"/>
      <c r="K650" s="103"/>
      <c r="L650" s="103"/>
      <c r="M650" s="104"/>
      <c r="N650" s="103"/>
    </row>
    <row r="651" spans="1:14" ht="45" customHeight="1" thickBot="1" x14ac:dyDescent="0.4">
      <c r="A651" s="103"/>
      <c r="B651" s="103"/>
      <c r="C651" s="103"/>
      <c r="D651" s="103"/>
      <c r="E651" s="103"/>
      <c r="F651" s="103"/>
      <c r="G651" s="103"/>
      <c r="H651" s="103"/>
      <c r="I651" s="103"/>
      <c r="J651" s="103"/>
      <c r="K651" s="103"/>
      <c r="L651" s="103"/>
      <c r="M651" s="104"/>
      <c r="N651" s="103"/>
    </row>
    <row r="652" spans="1:14" ht="45" customHeight="1" thickBot="1" x14ac:dyDescent="0.4">
      <c r="A652" s="103"/>
      <c r="B652" s="103"/>
      <c r="C652" s="103"/>
      <c r="D652" s="103"/>
      <c r="E652" s="103"/>
      <c r="F652" s="103"/>
      <c r="G652" s="103"/>
      <c r="H652" s="103"/>
      <c r="I652" s="103"/>
      <c r="J652" s="103"/>
      <c r="K652" s="103"/>
      <c r="L652" s="103"/>
      <c r="M652" s="104"/>
      <c r="N652" s="103"/>
    </row>
    <row r="653" spans="1:14" ht="45" customHeight="1" thickBot="1" x14ac:dyDescent="0.4">
      <c r="A653" s="103"/>
      <c r="B653" s="103"/>
      <c r="C653" s="103"/>
      <c r="D653" s="103"/>
      <c r="E653" s="103"/>
      <c r="F653" s="103"/>
      <c r="G653" s="103"/>
      <c r="H653" s="103"/>
      <c r="I653" s="103"/>
      <c r="J653" s="103"/>
      <c r="K653" s="103"/>
      <c r="L653" s="103"/>
      <c r="M653" s="104"/>
      <c r="N653" s="103"/>
    </row>
    <row r="654" spans="1:14" ht="45" customHeight="1" thickBot="1" x14ac:dyDescent="0.4">
      <c r="A654" s="103"/>
      <c r="B654" s="103"/>
      <c r="C654" s="103"/>
      <c r="D654" s="103"/>
      <c r="E654" s="103"/>
      <c r="F654" s="103"/>
      <c r="G654" s="103"/>
      <c r="H654" s="103"/>
      <c r="I654" s="103"/>
      <c r="J654" s="103"/>
      <c r="K654" s="103"/>
      <c r="L654" s="103"/>
      <c r="M654" s="104"/>
      <c r="N654" s="103"/>
    </row>
    <row r="655" spans="1:14" ht="45" customHeight="1" thickBot="1" x14ac:dyDescent="0.4">
      <c r="A655" s="103"/>
      <c r="B655" s="103"/>
      <c r="C655" s="103"/>
      <c r="D655" s="103"/>
      <c r="E655" s="103"/>
      <c r="F655" s="103"/>
      <c r="G655" s="103"/>
      <c r="H655" s="103"/>
      <c r="I655" s="103"/>
      <c r="J655" s="103"/>
      <c r="K655" s="103"/>
      <c r="L655" s="103"/>
      <c r="M655" s="104"/>
      <c r="N655" s="103"/>
    </row>
    <row r="656" spans="1:14" ht="45" customHeight="1" thickBot="1" x14ac:dyDescent="0.4">
      <c r="A656" s="103"/>
      <c r="B656" s="103"/>
      <c r="C656" s="103"/>
      <c r="D656" s="103"/>
      <c r="E656" s="103"/>
      <c r="F656" s="103"/>
      <c r="G656" s="103"/>
      <c r="H656" s="103"/>
      <c r="I656" s="103"/>
      <c r="J656" s="103"/>
      <c r="K656" s="103"/>
      <c r="L656" s="103"/>
      <c r="M656" s="104"/>
      <c r="N656" s="103"/>
    </row>
    <row r="657" spans="1:14" ht="45" customHeight="1" thickBot="1" x14ac:dyDescent="0.4">
      <c r="A657" s="103"/>
      <c r="B657" s="103"/>
      <c r="C657" s="103"/>
      <c r="D657" s="103"/>
      <c r="E657" s="103"/>
      <c r="F657" s="103"/>
      <c r="G657" s="103"/>
      <c r="H657" s="103"/>
      <c r="I657" s="103"/>
      <c r="J657" s="103"/>
      <c r="K657" s="103"/>
      <c r="L657" s="103"/>
      <c r="M657" s="104"/>
      <c r="N657" s="103"/>
    </row>
    <row r="658" spans="1:14" ht="45" customHeight="1" thickBot="1" x14ac:dyDescent="0.4">
      <c r="A658" s="103"/>
      <c r="B658" s="103"/>
      <c r="C658" s="103"/>
      <c r="D658" s="103"/>
      <c r="E658" s="103"/>
      <c r="F658" s="103"/>
      <c r="G658" s="103"/>
      <c r="H658" s="103"/>
      <c r="I658" s="103"/>
      <c r="J658" s="103"/>
      <c r="K658" s="103"/>
      <c r="L658" s="103"/>
      <c r="M658" s="104"/>
      <c r="N658" s="103"/>
    </row>
    <row r="659" spans="1:14" ht="45" customHeight="1" thickBot="1" x14ac:dyDescent="0.4">
      <c r="A659" s="103"/>
      <c r="B659" s="103"/>
      <c r="C659" s="103"/>
      <c r="D659" s="103"/>
      <c r="E659" s="103"/>
      <c r="F659" s="103"/>
      <c r="G659" s="103"/>
      <c r="H659" s="103"/>
      <c r="I659" s="103"/>
      <c r="J659" s="103"/>
      <c r="K659" s="103"/>
      <c r="L659" s="103"/>
      <c r="M659" s="104"/>
      <c r="N659" s="103"/>
    </row>
    <row r="660" spans="1:14" ht="45" customHeight="1" thickBot="1" x14ac:dyDescent="0.4">
      <c r="A660" s="103"/>
      <c r="B660" s="103"/>
      <c r="C660" s="103"/>
      <c r="D660" s="103"/>
      <c r="E660" s="103"/>
      <c r="F660" s="103"/>
      <c r="G660" s="103"/>
      <c r="H660" s="103"/>
      <c r="I660" s="103"/>
      <c r="J660" s="103"/>
      <c r="K660" s="103"/>
      <c r="L660" s="103"/>
      <c r="M660" s="104"/>
      <c r="N660" s="103"/>
    </row>
    <row r="661" spans="1:14" ht="45" customHeight="1" thickBot="1" x14ac:dyDescent="0.4">
      <c r="A661" s="103"/>
      <c r="B661" s="103"/>
      <c r="C661" s="103"/>
      <c r="D661" s="103"/>
      <c r="E661" s="103"/>
      <c r="F661" s="103"/>
      <c r="G661" s="103"/>
      <c r="H661" s="103"/>
      <c r="I661" s="103"/>
      <c r="J661" s="103"/>
      <c r="K661" s="103"/>
      <c r="L661" s="103"/>
      <c r="M661" s="104"/>
      <c r="N661" s="103"/>
    </row>
    <row r="662" spans="1:14" ht="45" customHeight="1" thickBot="1" x14ac:dyDescent="0.4">
      <c r="A662" s="103"/>
      <c r="B662" s="103"/>
      <c r="C662" s="103"/>
      <c r="D662" s="103"/>
      <c r="E662" s="103"/>
      <c r="F662" s="103"/>
      <c r="G662" s="103"/>
      <c r="H662" s="103"/>
      <c r="I662" s="103"/>
      <c r="J662" s="103"/>
      <c r="K662" s="103"/>
      <c r="L662" s="103"/>
      <c r="M662" s="104"/>
      <c r="N662" s="103"/>
    </row>
    <row r="663" spans="1:14" ht="45" customHeight="1" thickBot="1" x14ac:dyDescent="0.4">
      <c r="A663" s="103"/>
      <c r="B663" s="103"/>
      <c r="C663" s="103"/>
      <c r="D663" s="103"/>
      <c r="E663" s="103"/>
      <c r="F663" s="103"/>
      <c r="G663" s="103"/>
      <c r="H663" s="103"/>
      <c r="I663" s="103"/>
      <c r="J663" s="103"/>
      <c r="K663" s="103"/>
      <c r="L663" s="103"/>
      <c r="M663" s="104"/>
      <c r="N663" s="103"/>
    </row>
    <row r="664" spans="1:14" ht="45" customHeight="1" thickBot="1" x14ac:dyDescent="0.4">
      <c r="A664" s="103"/>
      <c r="B664" s="103"/>
      <c r="C664" s="103"/>
      <c r="D664" s="103"/>
      <c r="E664" s="103"/>
      <c r="F664" s="103"/>
      <c r="G664" s="103"/>
      <c r="H664" s="103"/>
      <c r="I664" s="103"/>
      <c r="J664" s="103"/>
      <c r="K664" s="103"/>
      <c r="L664" s="103"/>
      <c r="M664" s="104"/>
      <c r="N664" s="103"/>
    </row>
    <row r="665" spans="1:14" ht="45" customHeight="1" thickBot="1" x14ac:dyDescent="0.4">
      <c r="A665" s="103"/>
      <c r="B665" s="103"/>
      <c r="C665" s="103"/>
      <c r="D665" s="103"/>
      <c r="E665" s="103"/>
      <c r="F665" s="103"/>
      <c r="G665" s="103"/>
      <c r="H665" s="103"/>
      <c r="I665" s="103"/>
      <c r="J665" s="103"/>
      <c r="K665" s="103"/>
      <c r="L665" s="103"/>
      <c r="M665" s="104"/>
      <c r="N665" s="103"/>
    </row>
    <row r="666" spans="1:14" ht="45" customHeight="1" thickBot="1" x14ac:dyDescent="0.4">
      <c r="A666" s="103"/>
      <c r="B666" s="103"/>
      <c r="C666" s="103"/>
      <c r="D666" s="103"/>
      <c r="E666" s="103"/>
      <c r="F666" s="103"/>
      <c r="G666" s="103"/>
      <c r="H666" s="103"/>
      <c r="I666" s="103"/>
      <c r="J666" s="103"/>
      <c r="K666" s="103"/>
      <c r="L666" s="103"/>
      <c r="M666" s="104"/>
      <c r="N666" s="103"/>
    </row>
    <row r="667" spans="1:14" ht="45" customHeight="1" thickBot="1" x14ac:dyDescent="0.4">
      <c r="A667" s="103"/>
      <c r="B667" s="103"/>
      <c r="C667" s="103"/>
      <c r="D667" s="103"/>
      <c r="E667" s="103"/>
      <c r="F667" s="103"/>
      <c r="G667" s="103"/>
      <c r="H667" s="103"/>
      <c r="I667" s="103"/>
      <c r="J667" s="103"/>
      <c r="K667" s="103"/>
      <c r="L667" s="103"/>
      <c r="M667" s="104"/>
      <c r="N667" s="103"/>
    </row>
    <row r="668" spans="1:14" ht="45" customHeight="1" thickBot="1" x14ac:dyDescent="0.4">
      <c r="A668" s="103"/>
      <c r="B668" s="103"/>
      <c r="C668" s="103"/>
      <c r="D668" s="103"/>
      <c r="E668" s="103"/>
      <c r="F668" s="103"/>
      <c r="G668" s="103"/>
      <c r="H668" s="103"/>
      <c r="I668" s="103"/>
      <c r="J668" s="103"/>
      <c r="K668" s="103"/>
      <c r="L668" s="103"/>
      <c r="M668" s="104"/>
      <c r="N668" s="103"/>
    </row>
    <row r="669" spans="1:14" ht="45" customHeight="1" thickBot="1" x14ac:dyDescent="0.4">
      <c r="A669" s="103"/>
      <c r="B669" s="103"/>
      <c r="C669" s="103"/>
      <c r="D669" s="103"/>
      <c r="E669" s="103"/>
      <c r="F669" s="103"/>
      <c r="G669" s="103"/>
      <c r="H669" s="103"/>
      <c r="I669" s="103"/>
      <c r="J669" s="103"/>
      <c r="K669" s="103"/>
      <c r="L669" s="103"/>
      <c r="M669" s="104"/>
      <c r="N669" s="103"/>
    </row>
    <row r="670" spans="1:14" ht="45" customHeight="1" thickBot="1" x14ac:dyDescent="0.4">
      <c r="A670" s="103"/>
      <c r="B670" s="103"/>
      <c r="C670" s="103"/>
      <c r="D670" s="103"/>
      <c r="E670" s="103"/>
      <c r="F670" s="103"/>
      <c r="G670" s="103"/>
      <c r="H670" s="103"/>
      <c r="I670" s="103"/>
      <c r="J670" s="103"/>
      <c r="K670" s="103"/>
      <c r="L670" s="103"/>
      <c r="M670" s="104"/>
      <c r="N670" s="103"/>
    </row>
    <row r="671" spans="1:14" ht="45" customHeight="1" thickBot="1" x14ac:dyDescent="0.4">
      <c r="A671" s="103"/>
      <c r="B671" s="103"/>
      <c r="C671" s="103"/>
      <c r="D671" s="103"/>
      <c r="E671" s="103"/>
      <c r="F671" s="103"/>
      <c r="G671" s="103"/>
      <c r="H671" s="103"/>
      <c r="I671" s="103"/>
      <c r="J671" s="103"/>
      <c r="K671" s="103"/>
      <c r="L671" s="103"/>
      <c r="M671" s="104"/>
      <c r="N671" s="103"/>
    </row>
    <row r="672" spans="1:14" ht="45" customHeight="1" thickBot="1" x14ac:dyDescent="0.4">
      <c r="A672" s="103"/>
      <c r="B672" s="103"/>
      <c r="C672" s="103"/>
      <c r="D672" s="103"/>
      <c r="E672" s="103"/>
      <c r="F672" s="103"/>
      <c r="G672" s="103"/>
      <c r="H672" s="103"/>
      <c r="I672" s="103"/>
      <c r="J672" s="103"/>
      <c r="K672" s="103"/>
      <c r="L672" s="103"/>
      <c r="M672" s="104"/>
      <c r="N672" s="103"/>
    </row>
    <row r="673" spans="1:14" ht="45" customHeight="1" thickBot="1" x14ac:dyDescent="0.4">
      <c r="A673" s="103"/>
      <c r="B673" s="103"/>
      <c r="C673" s="103"/>
      <c r="D673" s="103"/>
      <c r="E673" s="103"/>
      <c r="F673" s="103"/>
      <c r="G673" s="103"/>
      <c r="H673" s="103"/>
      <c r="I673" s="103"/>
      <c r="J673" s="103"/>
      <c r="K673" s="103"/>
      <c r="L673" s="103"/>
      <c r="M673" s="104"/>
      <c r="N673" s="103"/>
    </row>
    <row r="674" spans="1:14" ht="45" customHeight="1" thickBot="1" x14ac:dyDescent="0.4">
      <c r="A674" s="103"/>
      <c r="B674" s="103"/>
      <c r="C674" s="103"/>
      <c r="D674" s="103"/>
      <c r="E674" s="103"/>
      <c r="F674" s="103"/>
      <c r="G674" s="103"/>
      <c r="H674" s="103"/>
      <c r="I674" s="103"/>
      <c r="J674" s="103"/>
      <c r="K674" s="103"/>
      <c r="L674" s="103"/>
      <c r="M674" s="104"/>
      <c r="N674" s="103"/>
    </row>
    <row r="675" spans="1:14" ht="45" customHeight="1" thickBot="1" x14ac:dyDescent="0.4">
      <c r="A675" s="103"/>
      <c r="B675" s="103"/>
      <c r="C675" s="103"/>
      <c r="D675" s="103"/>
      <c r="E675" s="103"/>
      <c r="F675" s="103"/>
      <c r="G675" s="103"/>
      <c r="H675" s="103"/>
      <c r="I675" s="103"/>
      <c r="J675" s="103"/>
      <c r="K675" s="103"/>
      <c r="L675" s="103"/>
      <c r="M675" s="104"/>
      <c r="N675" s="103"/>
    </row>
    <row r="676" spans="1:14" ht="45" customHeight="1" thickBot="1" x14ac:dyDescent="0.4">
      <c r="A676" s="103"/>
      <c r="B676" s="103"/>
      <c r="C676" s="103"/>
      <c r="D676" s="103"/>
      <c r="E676" s="103"/>
      <c r="F676" s="103"/>
      <c r="G676" s="103"/>
      <c r="H676" s="103"/>
      <c r="I676" s="103"/>
      <c r="J676" s="103"/>
      <c r="K676" s="103"/>
      <c r="L676" s="103"/>
      <c r="M676" s="104"/>
      <c r="N676" s="103"/>
    </row>
    <row r="677" spans="1:14" ht="45" customHeight="1" thickBot="1" x14ac:dyDescent="0.4">
      <c r="A677" s="103"/>
      <c r="B677" s="103"/>
      <c r="C677" s="103"/>
      <c r="D677" s="103"/>
      <c r="E677" s="103"/>
      <c r="F677" s="103"/>
      <c r="G677" s="103"/>
      <c r="H677" s="103"/>
      <c r="I677" s="103"/>
      <c r="J677" s="103"/>
      <c r="K677" s="103"/>
      <c r="L677" s="103"/>
      <c r="M677" s="104"/>
      <c r="N677" s="103"/>
    </row>
    <row r="678" spans="1:14" ht="45" customHeight="1" thickBot="1" x14ac:dyDescent="0.4">
      <c r="A678" s="103"/>
      <c r="B678" s="103"/>
      <c r="C678" s="103"/>
      <c r="D678" s="103"/>
      <c r="E678" s="103"/>
      <c r="F678" s="103"/>
      <c r="G678" s="103"/>
      <c r="H678" s="103"/>
      <c r="I678" s="103"/>
      <c r="J678" s="103"/>
      <c r="K678" s="103"/>
      <c r="L678" s="103"/>
      <c r="M678" s="104"/>
      <c r="N678" s="103"/>
    </row>
    <row r="679" spans="1:14" ht="45" customHeight="1" thickBot="1" x14ac:dyDescent="0.4">
      <c r="A679" s="103"/>
      <c r="B679" s="103"/>
      <c r="C679" s="103"/>
      <c r="D679" s="103"/>
      <c r="E679" s="103"/>
      <c r="F679" s="103"/>
      <c r="G679" s="103"/>
      <c r="H679" s="103"/>
      <c r="I679" s="103"/>
      <c r="J679" s="103"/>
      <c r="K679" s="103"/>
      <c r="L679" s="103"/>
      <c r="M679" s="104"/>
      <c r="N679" s="103"/>
    </row>
    <row r="680" spans="1:14" ht="45" customHeight="1" thickBot="1" x14ac:dyDescent="0.4">
      <c r="A680" s="103"/>
      <c r="B680" s="103"/>
      <c r="C680" s="103"/>
      <c r="D680" s="103"/>
      <c r="E680" s="103"/>
      <c r="F680" s="103"/>
      <c r="G680" s="103"/>
      <c r="H680" s="103"/>
      <c r="I680" s="103"/>
      <c r="J680" s="103"/>
      <c r="K680" s="103"/>
      <c r="L680" s="103"/>
      <c r="M680" s="104"/>
      <c r="N680" s="103"/>
    </row>
    <row r="681" spans="1:14" ht="45" customHeight="1" thickBot="1" x14ac:dyDescent="0.4">
      <c r="A681" s="103"/>
      <c r="B681" s="103"/>
      <c r="C681" s="103"/>
      <c r="D681" s="103"/>
      <c r="E681" s="103"/>
      <c r="F681" s="103"/>
      <c r="G681" s="103"/>
      <c r="H681" s="103"/>
      <c r="I681" s="103"/>
      <c r="J681" s="103"/>
      <c r="K681" s="103"/>
      <c r="L681" s="103"/>
      <c r="M681" s="104"/>
      <c r="N681" s="103"/>
    </row>
    <row r="682" spans="1:14" ht="45" customHeight="1" thickBot="1" x14ac:dyDescent="0.4">
      <c r="A682" s="103"/>
      <c r="B682" s="103"/>
      <c r="C682" s="103"/>
      <c r="D682" s="103"/>
      <c r="E682" s="103"/>
      <c r="F682" s="103"/>
      <c r="G682" s="103"/>
      <c r="H682" s="103"/>
      <c r="I682" s="103"/>
      <c r="J682" s="103"/>
      <c r="K682" s="103"/>
      <c r="L682" s="103"/>
      <c r="M682" s="104"/>
      <c r="N682" s="103"/>
    </row>
    <row r="683" spans="1:14" ht="45" customHeight="1" thickBot="1" x14ac:dyDescent="0.4">
      <c r="A683" s="103"/>
      <c r="B683" s="103"/>
      <c r="C683" s="103"/>
      <c r="D683" s="103"/>
      <c r="E683" s="103"/>
      <c r="F683" s="103"/>
      <c r="G683" s="103"/>
      <c r="H683" s="103"/>
      <c r="I683" s="103"/>
      <c r="J683" s="103"/>
      <c r="K683" s="103"/>
      <c r="L683" s="103"/>
      <c r="M683" s="104"/>
      <c r="N683" s="103"/>
    </row>
    <row r="684" spans="1:14" ht="45" customHeight="1" thickBot="1" x14ac:dyDescent="0.4">
      <c r="A684" s="103"/>
      <c r="B684" s="103"/>
      <c r="C684" s="103"/>
      <c r="D684" s="103"/>
      <c r="E684" s="103"/>
      <c r="F684" s="103"/>
      <c r="G684" s="103"/>
      <c r="H684" s="103"/>
      <c r="I684" s="103"/>
      <c r="J684" s="103"/>
      <c r="K684" s="103"/>
      <c r="L684" s="103"/>
      <c r="M684" s="104"/>
      <c r="N684" s="103"/>
    </row>
    <row r="685" spans="1:14" ht="45" customHeight="1" thickBot="1" x14ac:dyDescent="0.4">
      <c r="A685" s="103"/>
      <c r="B685" s="103"/>
      <c r="C685" s="103"/>
      <c r="D685" s="103"/>
      <c r="E685" s="103"/>
      <c r="F685" s="103"/>
      <c r="G685" s="103"/>
      <c r="H685" s="103"/>
      <c r="I685" s="103"/>
      <c r="J685" s="103"/>
      <c r="K685" s="103"/>
      <c r="L685" s="103"/>
      <c r="M685" s="104"/>
      <c r="N685" s="103"/>
    </row>
    <row r="686" spans="1:14" ht="45" customHeight="1" thickBot="1" x14ac:dyDescent="0.4">
      <c r="A686" s="103"/>
      <c r="B686" s="103"/>
      <c r="C686" s="103"/>
      <c r="D686" s="103"/>
      <c r="E686" s="103"/>
      <c r="F686" s="103"/>
      <c r="G686" s="103"/>
      <c r="H686" s="103"/>
      <c r="I686" s="103"/>
      <c r="J686" s="103"/>
      <c r="K686" s="103"/>
      <c r="L686" s="103"/>
      <c r="M686" s="104"/>
      <c r="N686" s="103"/>
    </row>
    <row r="687" spans="1:14" ht="45" customHeight="1" thickBot="1" x14ac:dyDescent="0.4">
      <c r="A687" s="103"/>
      <c r="B687" s="103"/>
      <c r="C687" s="103"/>
      <c r="D687" s="103"/>
      <c r="E687" s="103"/>
      <c r="F687" s="103"/>
      <c r="G687" s="103"/>
      <c r="H687" s="103"/>
      <c r="I687" s="103"/>
      <c r="J687" s="103"/>
      <c r="K687" s="103"/>
      <c r="L687" s="103"/>
      <c r="M687" s="104"/>
      <c r="N687" s="103"/>
    </row>
    <row r="688" spans="1:14" ht="45" customHeight="1" thickBot="1" x14ac:dyDescent="0.4">
      <c r="A688" s="103"/>
      <c r="B688" s="103"/>
      <c r="C688" s="103"/>
      <c r="D688" s="103"/>
      <c r="E688" s="103"/>
      <c r="F688" s="103"/>
      <c r="G688" s="103"/>
      <c r="H688" s="103"/>
      <c r="I688" s="103"/>
      <c r="J688" s="103"/>
      <c r="K688" s="103"/>
      <c r="L688" s="103"/>
      <c r="M688" s="104"/>
      <c r="N688" s="103"/>
    </row>
    <row r="689" spans="1:14" ht="45" customHeight="1" thickBot="1" x14ac:dyDescent="0.4">
      <c r="A689" s="103"/>
      <c r="B689" s="103"/>
      <c r="C689" s="103"/>
      <c r="D689" s="103"/>
      <c r="E689" s="103"/>
      <c r="F689" s="103"/>
      <c r="G689" s="103"/>
      <c r="H689" s="103"/>
      <c r="I689" s="103"/>
      <c r="J689" s="103"/>
      <c r="K689" s="103"/>
      <c r="L689" s="103"/>
      <c r="M689" s="104"/>
      <c r="N689" s="103"/>
    </row>
    <row r="690" spans="1:14" ht="45" customHeight="1" thickBot="1" x14ac:dyDescent="0.4">
      <c r="A690" s="103"/>
      <c r="B690" s="103"/>
      <c r="C690" s="103"/>
      <c r="D690" s="103"/>
      <c r="E690" s="103"/>
      <c r="F690" s="103"/>
      <c r="G690" s="103"/>
      <c r="H690" s="103"/>
      <c r="I690" s="103"/>
      <c r="J690" s="103"/>
      <c r="K690" s="103"/>
      <c r="L690" s="103"/>
      <c r="M690" s="104"/>
      <c r="N690" s="103"/>
    </row>
    <row r="691" spans="1:14" ht="45" customHeight="1" thickBot="1" x14ac:dyDescent="0.4">
      <c r="A691" s="103"/>
      <c r="B691" s="103"/>
      <c r="C691" s="103"/>
      <c r="D691" s="103"/>
      <c r="E691" s="103"/>
      <c r="F691" s="103"/>
      <c r="G691" s="103"/>
      <c r="H691" s="103"/>
      <c r="I691" s="103"/>
      <c r="J691" s="103"/>
      <c r="K691" s="103"/>
      <c r="L691" s="103"/>
      <c r="M691" s="104"/>
      <c r="N691" s="103"/>
    </row>
    <row r="692" spans="1:14" ht="45" customHeight="1" thickBot="1" x14ac:dyDescent="0.4">
      <c r="A692" s="103"/>
      <c r="B692" s="103"/>
      <c r="C692" s="103"/>
      <c r="D692" s="103"/>
      <c r="E692" s="103"/>
      <c r="F692" s="103"/>
      <c r="G692" s="103"/>
      <c r="H692" s="103"/>
      <c r="I692" s="103"/>
      <c r="J692" s="103"/>
      <c r="K692" s="103"/>
      <c r="L692" s="103"/>
      <c r="M692" s="104"/>
      <c r="N692" s="103"/>
    </row>
    <row r="693" spans="1:14" ht="45" customHeight="1" thickBot="1" x14ac:dyDescent="0.4">
      <c r="A693" s="103"/>
      <c r="B693" s="103"/>
      <c r="C693" s="103"/>
      <c r="D693" s="103"/>
      <c r="E693" s="103"/>
      <c r="F693" s="103"/>
      <c r="G693" s="103"/>
      <c r="H693" s="103"/>
      <c r="I693" s="103"/>
      <c r="J693" s="103"/>
      <c r="K693" s="103"/>
      <c r="L693" s="103"/>
      <c r="M693" s="104"/>
      <c r="N693" s="103"/>
    </row>
    <row r="694" spans="1:14" ht="45" customHeight="1" thickBot="1" x14ac:dyDescent="0.4">
      <c r="A694" s="103"/>
      <c r="B694" s="103"/>
      <c r="C694" s="103"/>
      <c r="D694" s="103"/>
      <c r="E694" s="103"/>
      <c r="F694" s="103"/>
      <c r="G694" s="103"/>
      <c r="H694" s="103"/>
      <c r="I694" s="103"/>
      <c r="J694" s="103"/>
      <c r="K694" s="103"/>
      <c r="L694" s="103"/>
      <c r="M694" s="104"/>
      <c r="N694" s="103"/>
    </row>
    <row r="695" spans="1:14" ht="45" customHeight="1" thickBot="1" x14ac:dyDescent="0.4">
      <c r="A695" s="103"/>
      <c r="B695" s="103"/>
      <c r="C695" s="103"/>
      <c r="D695" s="103"/>
      <c r="E695" s="103"/>
      <c r="F695" s="103"/>
      <c r="G695" s="103"/>
      <c r="H695" s="103"/>
      <c r="I695" s="103"/>
      <c r="J695" s="103"/>
      <c r="K695" s="103"/>
      <c r="L695" s="103"/>
      <c r="M695" s="104"/>
      <c r="N695" s="103"/>
    </row>
    <row r="696" spans="1:14" ht="45" customHeight="1" thickBot="1" x14ac:dyDescent="0.4">
      <c r="A696" s="103"/>
      <c r="B696" s="103"/>
      <c r="C696" s="103"/>
      <c r="D696" s="103"/>
      <c r="E696" s="103"/>
      <c r="F696" s="103"/>
      <c r="G696" s="103"/>
      <c r="H696" s="103"/>
      <c r="I696" s="103"/>
      <c r="J696" s="103"/>
      <c r="K696" s="103"/>
      <c r="L696" s="103"/>
      <c r="M696" s="104"/>
      <c r="N696" s="103"/>
    </row>
    <row r="697" spans="1:14" ht="45" customHeight="1" thickBot="1" x14ac:dyDescent="0.4">
      <c r="A697" s="103"/>
      <c r="B697" s="103"/>
      <c r="C697" s="103"/>
      <c r="D697" s="103"/>
      <c r="E697" s="103"/>
      <c r="F697" s="103"/>
      <c r="G697" s="103"/>
      <c r="H697" s="103"/>
      <c r="I697" s="103"/>
      <c r="J697" s="103"/>
      <c r="K697" s="103"/>
      <c r="L697" s="103"/>
      <c r="M697" s="104"/>
      <c r="N697" s="103"/>
    </row>
    <row r="698" spans="1:14" ht="45" customHeight="1" thickBot="1" x14ac:dyDescent="0.4">
      <c r="A698" s="103"/>
      <c r="B698" s="103"/>
      <c r="C698" s="103"/>
      <c r="D698" s="103"/>
      <c r="E698" s="103"/>
      <c r="F698" s="103"/>
      <c r="G698" s="103"/>
      <c r="H698" s="103"/>
      <c r="I698" s="103"/>
      <c r="J698" s="103"/>
      <c r="K698" s="103"/>
      <c r="L698" s="103"/>
      <c r="M698" s="104"/>
      <c r="N698" s="103"/>
    </row>
    <row r="699" spans="1:14" ht="45" customHeight="1" thickBot="1" x14ac:dyDescent="0.4">
      <c r="A699" s="103"/>
      <c r="B699" s="103"/>
      <c r="C699" s="103"/>
      <c r="D699" s="103"/>
      <c r="E699" s="103"/>
      <c r="F699" s="103"/>
      <c r="G699" s="103"/>
      <c r="H699" s="103"/>
      <c r="I699" s="103"/>
      <c r="J699" s="103"/>
      <c r="K699" s="103"/>
      <c r="L699" s="103"/>
      <c r="M699" s="104"/>
      <c r="N699" s="103"/>
    </row>
    <row r="700" spans="1:14" ht="45" customHeight="1" thickBot="1" x14ac:dyDescent="0.4">
      <c r="A700" s="103"/>
      <c r="B700" s="103"/>
      <c r="C700" s="103"/>
      <c r="D700" s="103"/>
      <c r="E700" s="103"/>
      <c r="F700" s="103"/>
      <c r="G700" s="103"/>
      <c r="H700" s="103"/>
      <c r="I700" s="103"/>
      <c r="J700" s="103"/>
      <c r="K700" s="103"/>
      <c r="L700" s="103"/>
      <c r="M700" s="104"/>
      <c r="N700" s="103"/>
    </row>
    <row r="701" spans="1:14" ht="45" customHeight="1" thickBot="1" x14ac:dyDescent="0.4">
      <c r="A701" s="103"/>
      <c r="B701" s="103"/>
      <c r="C701" s="103"/>
      <c r="D701" s="103"/>
      <c r="E701" s="103"/>
      <c r="F701" s="103"/>
      <c r="G701" s="103"/>
      <c r="H701" s="103"/>
      <c r="I701" s="103"/>
      <c r="J701" s="103"/>
      <c r="K701" s="103"/>
      <c r="L701" s="103"/>
      <c r="M701" s="104"/>
      <c r="N701" s="103"/>
    </row>
    <row r="702" spans="1:14" ht="45" customHeight="1" thickBot="1" x14ac:dyDescent="0.4">
      <c r="A702" s="103"/>
      <c r="B702" s="103"/>
      <c r="C702" s="103"/>
      <c r="D702" s="103"/>
      <c r="E702" s="103"/>
      <c r="F702" s="103"/>
      <c r="G702" s="103"/>
      <c r="H702" s="103"/>
      <c r="I702" s="103"/>
      <c r="J702" s="103"/>
      <c r="K702" s="103"/>
      <c r="L702" s="103"/>
      <c r="M702" s="104"/>
      <c r="N702" s="103"/>
    </row>
    <row r="703" spans="1:14" ht="45" customHeight="1" thickBot="1" x14ac:dyDescent="0.4">
      <c r="A703" s="103"/>
      <c r="B703" s="103"/>
      <c r="C703" s="103"/>
      <c r="D703" s="103"/>
      <c r="E703" s="103"/>
      <c r="F703" s="103"/>
      <c r="G703" s="103"/>
      <c r="H703" s="103"/>
      <c r="I703" s="103"/>
      <c r="J703" s="103"/>
      <c r="K703" s="103"/>
      <c r="L703" s="103"/>
      <c r="M703" s="104"/>
      <c r="N703" s="103"/>
    </row>
    <row r="704" spans="1:14" ht="45" customHeight="1" thickBot="1" x14ac:dyDescent="0.4">
      <c r="A704" s="103"/>
      <c r="B704" s="103"/>
      <c r="C704" s="103"/>
      <c r="D704" s="103"/>
      <c r="E704" s="103"/>
      <c r="F704" s="103"/>
      <c r="G704" s="103"/>
      <c r="H704" s="103"/>
      <c r="I704" s="103"/>
      <c r="J704" s="103"/>
      <c r="K704" s="103"/>
      <c r="L704" s="103"/>
      <c r="M704" s="104"/>
      <c r="N704" s="103"/>
    </row>
    <row r="705" spans="1:14" ht="45" customHeight="1" thickBot="1" x14ac:dyDescent="0.4">
      <c r="A705" s="103"/>
      <c r="B705" s="103"/>
      <c r="C705" s="103"/>
      <c r="D705" s="103"/>
      <c r="E705" s="103"/>
      <c r="F705" s="103"/>
      <c r="G705" s="103"/>
      <c r="H705" s="103"/>
      <c r="I705" s="103"/>
      <c r="J705" s="103"/>
      <c r="K705" s="103"/>
      <c r="L705" s="103"/>
      <c r="M705" s="104"/>
      <c r="N705" s="103"/>
    </row>
    <row r="706" spans="1:14" ht="45" customHeight="1" thickBot="1" x14ac:dyDescent="0.4">
      <c r="A706" s="103"/>
      <c r="B706" s="103"/>
      <c r="C706" s="103"/>
      <c r="D706" s="103"/>
      <c r="E706" s="103"/>
      <c r="F706" s="103"/>
      <c r="G706" s="103"/>
      <c r="H706" s="103"/>
      <c r="I706" s="103"/>
      <c r="J706" s="103"/>
      <c r="K706" s="103"/>
      <c r="L706" s="103"/>
      <c r="M706" s="104"/>
      <c r="N706" s="103"/>
    </row>
    <row r="707" spans="1:14" ht="45" customHeight="1" thickBot="1" x14ac:dyDescent="0.4">
      <c r="A707" s="103"/>
      <c r="B707" s="103"/>
      <c r="C707" s="103"/>
      <c r="D707" s="103"/>
      <c r="E707" s="103"/>
      <c r="F707" s="103"/>
      <c r="G707" s="103"/>
      <c r="H707" s="103"/>
      <c r="I707" s="103"/>
      <c r="J707" s="103"/>
      <c r="K707" s="103"/>
      <c r="L707" s="103"/>
      <c r="M707" s="104"/>
      <c r="N707" s="103"/>
    </row>
    <row r="708" spans="1:14" ht="45" customHeight="1" thickBot="1" x14ac:dyDescent="0.4">
      <c r="A708" s="103"/>
      <c r="B708" s="103"/>
      <c r="C708" s="103"/>
      <c r="D708" s="103"/>
      <c r="E708" s="103"/>
      <c r="F708" s="103"/>
      <c r="G708" s="103"/>
      <c r="H708" s="103"/>
      <c r="I708" s="103"/>
      <c r="J708" s="103"/>
      <c r="K708" s="103"/>
      <c r="L708" s="103"/>
      <c r="M708" s="104"/>
      <c r="N708" s="103"/>
    </row>
    <row r="709" spans="1:14" ht="45" customHeight="1" thickBot="1" x14ac:dyDescent="0.4">
      <c r="A709" s="103"/>
      <c r="B709" s="103"/>
      <c r="C709" s="103"/>
      <c r="D709" s="103"/>
      <c r="E709" s="103"/>
      <c r="F709" s="103"/>
      <c r="G709" s="103"/>
      <c r="H709" s="103"/>
      <c r="I709" s="103"/>
      <c r="J709" s="103"/>
      <c r="K709" s="103"/>
      <c r="L709" s="103"/>
      <c r="M709" s="104"/>
      <c r="N709" s="103"/>
    </row>
    <row r="710" spans="1:14" ht="45" customHeight="1" thickBot="1" x14ac:dyDescent="0.4">
      <c r="A710" s="103"/>
      <c r="B710" s="103"/>
      <c r="C710" s="103"/>
      <c r="D710" s="103"/>
      <c r="E710" s="103"/>
      <c r="F710" s="103"/>
      <c r="G710" s="103"/>
      <c r="H710" s="103"/>
      <c r="I710" s="103"/>
      <c r="J710" s="103"/>
      <c r="K710" s="103"/>
      <c r="L710" s="103"/>
      <c r="M710" s="104"/>
      <c r="N710" s="103"/>
    </row>
    <row r="711" spans="1:14" ht="45" customHeight="1" thickBot="1" x14ac:dyDescent="0.4">
      <c r="A711" s="103"/>
      <c r="B711" s="103"/>
      <c r="C711" s="103"/>
      <c r="D711" s="103"/>
      <c r="E711" s="103"/>
      <c r="F711" s="103"/>
      <c r="G711" s="103"/>
      <c r="H711" s="103"/>
      <c r="I711" s="103"/>
      <c r="J711" s="103"/>
      <c r="K711" s="103"/>
      <c r="L711" s="103"/>
      <c r="M711" s="104"/>
      <c r="N711" s="103"/>
    </row>
    <row r="712" spans="1:14" ht="45" customHeight="1" thickBot="1" x14ac:dyDescent="0.4">
      <c r="A712" s="103"/>
      <c r="B712" s="103"/>
      <c r="C712" s="103"/>
      <c r="D712" s="103"/>
      <c r="E712" s="103"/>
      <c r="F712" s="103"/>
      <c r="G712" s="103"/>
      <c r="H712" s="103"/>
      <c r="I712" s="103"/>
      <c r="J712" s="103"/>
      <c r="K712" s="103"/>
      <c r="L712" s="103"/>
      <c r="M712" s="104"/>
      <c r="N712" s="103"/>
    </row>
    <row r="713" spans="1:14" ht="45" customHeight="1" thickBot="1" x14ac:dyDescent="0.4">
      <c r="A713" s="103"/>
      <c r="B713" s="103"/>
      <c r="C713" s="103"/>
      <c r="D713" s="103"/>
      <c r="E713" s="103"/>
      <c r="F713" s="103"/>
      <c r="G713" s="103"/>
      <c r="H713" s="103"/>
      <c r="I713" s="103"/>
      <c r="J713" s="103"/>
      <c r="K713" s="103"/>
      <c r="L713" s="103"/>
      <c r="M713" s="104"/>
      <c r="N713" s="103"/>
    </row>
    <row r="714" spans="1:14" ht="45" customHeight="1" thickBot="1" x14ac:dyDescent="0.4">
      <c r="A714" s="103"/>
      <c r="B714" s="103"/>
      <c r="C714" s="103"/>
      <c r="D714" s="103"/>
      <c r="E714" s="103"/>
      <c r="F714" s="103"/>
      <c r="G714" s="103"/>
      <c r="H714" s="103"/>
      <c r="I714" s="103"/>
      <c r="J714" s="103"/>
      <c r="K714" s="103"/>
      <c r="L714" s="103"/>
      <c r="M714" s="104"/>
      <c r="N714" s="103"/>
    </row>
    <row r="715" spans="1:14" ht="45" customHeight="1" thickBot="1" x14ac:dyDescent="0.4">
      <c r="A715" s="103"/>
      <c r="B715" s="103"/>
      <c r="C715" s="103"/>
      <c r="D715" s="103"/>
      <c r="E715" s="103"/>
      <c r="F715" s="103"/>
      <c r="G715" s="103"/>
      <c r="H715" s="103"/>
      <c r="I715" s="103"/>
      <c r="J715" s="103"/>
      <c r="K715" s="103"/>
      <c r="L715" s="103"/>
      <c r="M715" s="104"/>
      <c r="N715" s="103"/>
    </row>
    <row r="716" spans="1:14" ht="45" customHeight="1" thickBot="1" x14ac:dyDescent="0.4">
      <c r="A716" s="103"/>
      <c r="B716" s="103"/>
      <c r="C716" s="103"/>
      <c r="D716" s="103"/>
      <c r="E716" s="103"/>
      <c r="F716" s="103"/>
      <c r="G716" s="103"/>
      <c r="H716" s="103"/>
      <c r="I716" s="103"/>
      <c r="J716" s="103"/>
      <c r="K716" s="103"/>
      <c r="L716" s="103"/>
      <c r="M716" s="104"/>
      <c r="N716" s="103"/>
    </row>
    <row r="717" spans="1:14" ht="45" customHeight="1" thickBot="1" x14ac:dyDescent="0.4">
      <c r="A717" s="103"/>
      <c r="B717" s="103"/>
      <c r="C717" s="103"/>
      <c r="D717" s="103"/>
      <c r="E717" s="103"/>
      <c r="F717" s="103"/>
      <c r="G717" s="103"/>
      <c r="H717" s="103"/>
      <c r="I717" s="103"/>
      <c r="J717" s="103"/>
      <c r="K717" s="103"/>
      <c r="L717" s="103"/>
      <c r="M717" s="104"/>
      <c r="N717" s="103"/>
    </row>
    <row r="718" spans="1:14" ht="45" customHeight="1" thickBot="1" x14ac:dyDescent="0.4">
      <c r="A718" s="103"/>
      <c r="B718" s="103"/>
      <c r="C718" s="103"/>
      <c r="D718" s="103"/>
      <c r="E718" s="103"/>
      <c r="F718" s="103"/>
      <c r="G718" s="103"/>
      <c r="H718" s="103"/>
      <c r="I718" s="103"/>
      <c r="J718" s="103"/>
      <c r="K718" s="103"/>
      <c r="L718" s="103"/>
      <c r="M718" s="104"/>
      <c r="N718" s="103"/>
    </row>
    <row r="719" spans="1:14" ht="45" customHeight="1" thickBot="1" x14ac:dyDescent="0.4">
      <c r="A719" s="103"/>
      <c r="B719" s="103"/>
      <c r="C719" s="103"/>
      <c r="D719" s="103"/>
      <c r="E719" s="103"/>
      <c r="F719" s="103"/>
      <c r="G719" s="103"/>
      <c r="H719" s="103"/>
      <c r="I719" s="103"/>
      <c r="J719" s="103"/>
      <c r="K719" s="103"/>
      <c r="L719" s="103"/>
      <c r="M719" s="104"/>
      <c r="N719" s="103"/>
    </row>
    <row r="720" spans="1:14" ht="45" customHeight="1" thickBot="1" x14ac:dyDescent="0.4">
      <c r="A720" s="103"/>
      <c r="B720" s="103"/>
      <c r="C720" s="103"/>
      <c r="D720" s="103"/>
      <c r="E720" s="103"/>
      <c r="F720" s="103"/>
      <c r="G720" s="103"/>
      <c r="H720" s="103"/>
      <c r="I720" s="103"/>
      <c r="J720" s="103"/>
      <c r="K720" s="103"/>
      <c r="L720" s="103"/>
      <c r="M720" s="104"/>
      <c r="N720" s="103"/>
    </row>
    <row r="721" spans="1:14" ht="45" customHeight="1" thickBot="1" x14ac:dyDescent="0.4">
      <c r="A721" s="103"/>
      <c r="B721" s="103"/>
      <c r="C721" s="103"/>
      <c r="D721" s="103"/>
      <c r="E721" s="103"/>
      <c r="F721" s="103"/>
      <c r="G721" s="103"/>
      <c r="H721" s="103"/>
      <c r="I721" s="103"/>
      <c r="J721" s="103"/>
      <c r="K721" s="103"/>
      <c r="L721" s="103"/>
      <c r="M721" s="104"/>
      <c r="N721" s="103"/>
    </row>
    <row r="722" spans="1:14" ht="45" customHeight="1" thickBot="1" x14ac:dyDescent="0.4">
      <c r="A722" s="103"/>
      <c r="B722" s="103"/>
      <c r="C722" s="103"/>
      <c r="D722" s="103"/>
      <c r="E722" s="103"/>
      <c r="F722" s="103"/>
      <c r="G722" s="103"/>
      <c r="H722" s="103"/>
      <c r="I722" s="103"/>
      <c r="J722" s="103"/>
      <c r="K722" s="103"/>
      <c r="L722" s="103"/>
      <c r="M722" s="104"/>
      <c r="N722" s="103"/>
    </row>
    <row r="723" spans="1:14" ht="45" customHeight="1" thickBot="1" x14ac:dyDescent="0.4">
      <c r="A723" s="103"/>
      <c r="B723" s="103"/>
      <c r="C723" s="103"/>
      <c r="D723" s="103"/>
      <c r="E723" s="103"/>
      <c r="F723" s="103"/>
      <c r="G723" s="103"/>
      <c r="H723" s="103"/>
      <c r="I723" s="103"/>
      <c r="J723" s="103"/>
      <c r="K723" s="103"/>
      <c r="L723" s="103"/>
      <c r="M723" s="104"/>
      <c r="N723" s="103"/>
    </row>
    <row r="724" spans="1:14" ht="45" customHeight="1" thickBot="1" x14ac:dyDescent="0.4">
      <c r="A724" s="103"/>
      <c r="B724" s="103"/>
      <c r="C724" s="103"/>
      <c r="D724" s="103"/>
      <c r="E724" s="103"/>
      <c r="F724" s="103"/>
      <c r="G724" s="103"/>
      <c r="H724" s="103"/>
      <c r="I724" s="103"/>
      <c r="J724" s="103"/>
      <c r="K724" s="103"/>
      <c r="L724" s="103"/>
      <c r="M724" s="104"/>
      <c r="N724" s="103"/>
    </row>
    <row r="725" spans="1:14" ht="45" customHeight="1" thickBot="1" x14ac:dyDescent="0.4">
      <c r="A725" s="103"/>
      <c r="B725" s="103"/>
      <c r="C725" s="103"/>
      <c r="D725" s="103"/>
      <c r="E725" s="103"/>
      <c r="F725" s="103"/>
      <c r="G725" s="103"/>
      <c r="H725" s="103"/>
      <c r="I725" s="103"/>
      <c r="J725" s="103"/>
      <c r="K725" s="103"/>
      <c r="L725" s="103"/>
      <c r="M725" s="104"/>
      <c r="N725" s="103"/>
    </row>
    <row r="726" spans="1:14" ht="45" customHeight="1" thickBot="1" x14ac:dyDescent="0.4">
      <c r="A726" s="103"/>
      <c r="B726" s="103"/>
      <c r="C726" s="103"/>
      <c r="D726" s="103"/>
      <c r="E726" s="103"/>
      <c r="F726" s="103"/>
      <c r="G726" s="103"/>
      <c r="H726" s="103"/>
      <c r="I726" s="103"/>
      <c r="J726" s="103"/>
      <c r="K726" s="103"/>
      <c r="L726" s="103"/>
      <c r="M726" s="104"/>
      <c r="N726" s="103"/>
    </row>
    <row r="727" spans="1:14" ht="45" customHeight="1" thickBot="1" x14ac:dyDescent="0.4">
      <c r="A727" s="103"/>
      <c r="B727" s="103"/>
      <c r="C727" s="103"/>
      <c r="D727" s="103"/>
      <c r="E727" s="103"/>
      <c r="F727" s="103"/>
      <c r="G727" s="103"/>
      <c r="H727" s="103"/>
      <c r="I727" s="103"/>
      <c r="J727" s="103"/>
      <c r="K727" s="103"/>
      <c r="L727" s="103"/>
      <c r="M727" s="104"/>
      <c r="N727" s="103"/>
    </row>
    <row r="728" spans="1:14" ht="45" customHeight="1" thickBot="1" x14ac:dyDescent="0.4">
      <c r="A728" s="103"/>
      <c r="B728" s="103"/>
      <c r="C728" s="103"/>
      <c r="D728" s="103"/>
      <c r="E728" s="103"/>
      <c r="F728" s="103"/>
      <c r="G728" s="103"/>
      <c r="H728" s="103"/>
      <c r="I728" s="103"/>
      <c r="J728" s="103"/>
      <c r="K728" s="103"/>
      <c r="L728" s="103"/>
      <c r="M728" s="104"/>
      <c r="N728" s="103"/>
    </row>
    <row r="729" spans="1:14" ht="45" customHeight="1" thickBot="1" x14ac:dyDescent="0.4">
      <c r="A729" s="103"/>
      <c r="B729" s="103"/>
      <c r="C729" s="103"/>
      <c r="D729" s="103"/>
      <c r="E729" s="103"/>
      <c r="F729" s="103"/>
      <c r="G729" s="103"/>
      <c r="H729" s="103"/>
      <c r="I729" s="103"/>
      <c r="J729" s="103"/>
      <c r="K729" s="103"/>
      <c r="L729" s="103"/>
      <c r="M729" s="104"/>
      <c r="N729" s="103"/>
    </row>
    <row r="730" spans="1:14" ht="45" customHeight="1" thickBot="1" x14ac:dyDescent="0.4">
      <c r="A730" s="103"/>
      <c r="B730" s="103"/>
      <c r="C730" s="103"/>
      <c r="D730" s="103"/>
      <c r="E730" s="103"/>
      <c r="F730" s="103"/>
      <c r="G730" s="103"/>
      <c r="H730" s="103"/>
      <c r="I730" s="103"/>
      <c r="J730" s="103"/>
      <c r="K730" s="103"/>
      <c r="L730" s="103"/>
      <c r="M730" s="104"/>
      <c r="N730" s="103"/>
    </row>
    <row r="731" spans="1:14" ht="45" customHeight="1" thickBot="1" x14ac:dyDescent="0.4">
      <c r="A731" s="103"/>
      <c r="B731" s="103"/>
      <c r="C731" s="103"/>
      <c r="D731" s="103"/>
      <c r="E731" s="103"/>
      <c r="F731" s="103"/>
      <c r="G731" s="103"/>
      <c r="H731" s="103"/>
      <c r="I731" s="103"/>
      <c r="J731" s="103"/>
      <c r="K731" s="103"/>
      <c r="L731" s="103"/>
      <c r="M731" s="104"/>
      <c r="N731" s="103"/>
    </row>
    <row r="732" spans="1:14" ht="45" customHeight="1" thickBot="1" x14ac:dyDescent="0.4">
      <c r="A732" s="103"/>
      <c r="B732" s="103"/>
      <c r="C732" s="103"/>
      <c r="D732" s="103"/>
      <c r="E732" s="103"/>
      <c r="F732" s="103"/>
      <c r="G732" s="103"/>
      <c r="H732" s="103"/>
      <c r="I732" s="103"/>
      <c r="J732" s="103"/>
      <c r="K732" s="103"/>
      <c r="L732" s="103"/>
      <c r="M732" s="104"/>
      <c r="N732" s="103"/>
    </row>
    <row r="733" spans="1:14" ht="45" customHeight="1" thickBot="1" x14ac:dyDescent="0.4">
      <c r="A733" s="103"/>
      <c r="B733" s="103"/>
      <c r="C733" s="103"/>
      <c r="D733" s="103"/>
      <c r="E733" s="103"/>
      <c r="F733" s="103"/>
      <c r="G733" s="103"/>
      <c r="H733" s="103"/>
      <c r="I733" s="103"/>
      <c r="J733" s="103"/>
      <c r="K733" s="103"/>
      <c r="L733" s="103"/>
      <c r="M733" s="104"/>
      <c r="N733" s="103"/>
    </row>
    <row r="734" spans="1:14" ht="45" customHeight="1" thickBot="1" x14ac:dyDescent="0.4">
      <c r="A734" s="103"/>
      <c r="B734" s="103"/>
      <c r="C734" s="103"/>
      <c r="D734" s="103"/>
      <c r="E734" s="103"/>
      <c r="F734" s="103"/>
      <c r="G734" s="103"/>
      <c r="H734" s="103"/>
      <c r="I734" s="103"/>
      <c r="J734" s="103"/>
      <c r="K734" s="103"/>
      <c r="L734" s="103"/>
      <c r="M734" s="104"/>
      <c r="N734" s="103"/>
    </row>
    <row r="735" spans="1:14" ht="45" customHeight="1" thickBot="1" x14ac:dyDescent="0.4">
      <c r="A735" s="103"/>
      <c r="B735" s="103"/>
      <c r="C735" s="103"/>
      <c r="D735" s="103"/>
      <c r="E735" s="103"/>
      <c r="F735" s="103"/>
      <c r="G735" s="103"/>
      <c r="H735" s="103"/>
      <c r="I735" s="103"/>
      <c r="J735" s="103"/>
      <c r="K735" s="103"/>
      <c r="L735" s="103"/>
      <c r="M735" s="104"/>
      <c r="N735" s="103"/>
    </row>
    <row r="736" spans="1:14" ht="45" customHeight="1" thickBot="1" x14ac:dyDescent="0.4">
      <c r="A736" s="103"/>
      <c r="B736" s="103"/>
      <c r="C736" s="103"/>
      <c r="D736" s="103"/>
      <c r="E736" s="103"/>
      <c r="F736" s="103"/>
      <c r="G736" s="103"/>
      <c r="H736" s="103"/>
      <c r="I736" s="103"/>
      <c r="J736" s="103"/>
      <c r="K736" s="103"/>
      <c r="L736" s="103"/>
      <c r="M736" s="104"/>
      <c r="N736" s="103"/>
    </row>
    <row r="737" spans="1:14" ht="45" customHeight="1" thickBot="1" x14ac:dyDescent="0.4">
      <c r="A737" s="103"/>
      <c r="B737" s="103"/>
      <c r="C737" s="103"/>
      <c r="D737" s="103"/>
      <c r="E737" s="103"/>
      <c r="F737" s="103"/>
      <c r="G737" s="103"/>
      <c r="H737" s="103"/>
      <c r="I737" s="103"/>
      <c r="J737" s="103"/>
      <c r="K737" s="103"/>
      <c r="L737" s="103"/>
      <c r="M737" s="104"/>
      <c r="N737" s="103"/>
    </row>
    <row r="738" spans="1:14" ht="45" customHeight="1" thickBot="1" x14ac:dyDescent="0.4">
      <c r="A738" s="103"/>
      <c r="B738" s="103"/>
      <c r="C738" s="103"/>
      <c r="D738" s="103"/>
      <c r="E738" s="103"/>
      <c r="F738" s="103"/>
      <c r="G738" s="103"/>
      <c r="H738" s="103"/>
      <c r="I738" s="103"/>
      <c r="J738" s="103"/>
      <c r="K738" s="103"/>
      <c r="L738" s="103"/>
      <c r="M738" s="104"/>
      <c r="N738" s="103"/>
    </row>
    <row r="739" spans="1:14" ht="45" customHeight="1" thickBot="1" x14ac:dyDescent="0.4">
      <c r="A739" s="103"/>
      <c r="B739" s="103"/>
      <c r="C739" s="103"/>
      <c r="D739" s="103"/>
      <c r="E739" s="103"/>
      <c r="F739" s="103"/>
      <c r="G739" s="103"/>
      <c r="H739" s="103"/>
      <c r="I739" s="103"/>
      <c r="J739" s="103"/>
      <c r="K739" s="103"/>
      <c r="L739" s="103"/>
      <c r="M739" s="104"/>
      <c r="N739" s="103"/>
    </row>
    <row r="740" spans="1:14" ht="45" customHeight="1" thickBot="1" x14ac:dyDescent="0.4">
      <c r="A740" s="103"/>
      <c r="B740" s="103"/>
      <c r="C740" s="103"/>
      <c r="D740" s="103"/>
      <c r="E740" s="103"/>
      <c r="F740" s="103"/>
      <c r="G740" s="103"/>
      <c r="H740" s="103"/>
      <c r="I740" s="103"/>
      <c r="J740" s="103"/>
      <c r="K740" s="103"/>
      <c r="L740" s="103"/>
      <c r="M740" s="104"/>
      <c r="N740" s="103"/>
    </row>
    <row r="741" spans="1:14" ht="45" customHeight="1" thickBot="1" x14ac:dyDescent="0.4">
      <c r="A741" s="103"/>
      <c r="B741" s="103"/>
      <c r="C741" s="103"/>
      <c r="D741" s="103"/>
      <c r="E741" s="103"/>
      <c r="F741" s="103"/>
      <c r="G741" s="103"/>
      <c r="H741" s="103"/>
      <c r="I741" s="103"/>
      <c r="J741" s="103"/>
      <c r="K741" s="103"/>
      <c r="L741" s="103"/>
      <c r="M741" s="104"/>
      <c r="N741" s="103"/>
    </row>
    <row r="742" spans="1:14" ht="45" customHeight="1" thickBot="1" x14ac:dyDescent="0.4">
      <c r="A742" s="103"/>
      <c r="B742" s="103"/>
      <c r="C742" s="103"/>
      <c r="D742" s="103"/>
      <c r="E742" s="103"/>
      <c r="F742" s="103"/>
      <c r="G742" s="103"/>
      <c r="H742" s="103"/>
      <c r="I742" s="103"/>
      <c r="J742" s="103"/>
      <c r="K742" s="103"/>
      <c r="L742" s="103"/>
      <c r="M742" s="104"/>
      <c r="N742" s="103"/>
    </row>
    <row r="743" spans="1:14" ht="45" customHeight="1" thickBot="1" x14ac:dyDescent="0.4">
      <c r="A743" s="103"/>
      <c r="B743" s="103"/>
      <c r="C743" s="103"/>
      <c r="D743" s="103"/>
      <c r="E743" s="103"/>
      <c r="F743" s="103"/>
      <c r="G743" s="103"/>
      <c r="H743" s="103"/>
      <c r="I743" s="103"/>
      <c r="J743" s="103"/>
      <c r="K743" s="103"/>
      <c r="L743" s="103"/>
      <c r="M743" s="104"/>
      <c r="N743" s="103"/>
    </row>
    <row r="744" spans="1:14" ht="45" customHeight="1" thickBot="1" x14ac:dyDescent="0.4">
      <c r="A744" s="103"/>
      <c r="B744" s="103"/>
      <c r="C744" s="103"/>
      <c r="D744" s="103"/>
      <c r="E744" s="103"/>
      <c r="F744" s="103"/>
      <c r="G744" s="103"/>
      <c r="H744" s="103"/>
      <c r="I744" s="103"/>
      <c r="J744" s="103"/>
      <c r="K744" s="103"/>
      <c r="L744" s="103"/>
      <c r="M744" s="104"/>
      <c r="N744" s="103"/>
    </row>
    <row r="745" spans="1:14" ht="45" customHeight="1" thickBot="1" x14ac:dyDescent="0.4">
      <c r="A745" s="103"/>
      <c r="B745" s="103"/>
      <c r="C745" s="103"/>
      <c r="D745" s="103"/>
      <c r="E745" s="103"/>
      <c r="F745" s="103"/>
      <c r="G745" s="103"/>
      <c r="H745" s="103"/>
      <c r="I745" s="103"/>
      <c r="J745" s="103"/>
      <c r="K745" s="103"/>
      <c r="L745" s="103"/>
      <c r="M745" s="104"/>
      <c r="N745" s="103"/>
    </row>
    <row r="746" spans="1:14" ht="45" customHeight="1" thickBot="1" x14ac:dyDescent="0.4">
      <c r="A746" s="103"/>
      <c r="B746" s="103"/>
      <c r="C746" s="103"/>
      <c r="D746" s="103"/>
      <c r="E746" s="103"/>
      <c r="F746" s="103"/>
      <c r="G746" s="103"/>
      <c r="H746" s="103"/>
      <c r="I746" s="103"/>
      <c r="J746" s="103"/>
      <c r="K746" s="103"/>
      <c r="L746" s="103"/>
      <c r="M746" s="104"/>
      <c r="N746" s="103"/>
    </row>
    <row r="747" spans="1:14" ht="45" customHeight="1" thickBot="1" x14ac:dyDescent="0.4">
      <c r="A747" s="103"/>
      <c r="B747" s="103"/>
      <c r="C747" s="103"/>
      <c r="D747" s="103"/>
      <c r="E747" s="103"/>
      <c r="F747" s="103"/>
      <c r="G747" s="103"/>
      <c r="H747" s="103"/>
      <c r="I747" s="103"/>
      <c r="J747" s="103"/>
      <c r="K747" s="103"/>
      <c r="L747" s="103"/>
      <c r="M747" s="104"/>
      <c r="N747" s="103"/>
    </row>
    <row r="748" spans="1:14" ht="45" customHeight="1" thickBot="1" x14ac:dyDescent="0.4">
      <c r="A748" s="103"/>
      <c r="B748" s="103"/>
      <c r="C748" s="103"/>
      <c r="D748" s="103"/>
      <c r="E748" s="103"/>
      <c r="F748" s="103"/>
      <c r="G748" s="103"/>
      <c r="H748" s="103"/>
      <c r="I748" s="103"/>
      <c r="J748" s="103"/>
      <c r="K748" s="103"/>
      <c r="L748" s="103"/>
      <c r="M748" s="104"/>
      <c r="N748" s="103"/>
    </row>
    <row r="749" spans="1:14" ht="45" customHeight="1" thickBot="1" x14ac:dyDescent="0.4">
      <c r="A749" s="103"/>
      <c r="B749" s="103"/>
      <c r="C749" s="103"/>
      <c r="D749" s="103"/>
      <c r="E749" s="103"/>
      <c r="F749" s="103"/>
      <c r="G749" s="103"/>
      <c r="H749" s="103"/>
      <c r="I749" s="103"/>
      <c r="J749" s="103"/>
      <c r="K749" s="103"/>
      <c r="L749" s="103"/>
      <c r="M749" s="104"/>
      <c r="N749" s="103"/>
    </row>
    <row r="750" spans="1:14" ht="45" customHeight="1" thickBot="1" x14ac:dyDescent="0.4">
      <c r="A750" s="103"/>
      <c r="B750" s="103"/>
      <c r="C750" s="103"/>
      <c r="D750" s="103"/>
      <c r="E750" s="103"/>
      <c r="F750" s="103"/>
      <c r="G750" s="103"/>
      <c r="H750" s="103"/>
      <c r="I750" s="103"/>
      <c r="J750" s="103"/>
      <c r="K750" s="103"/>
      <c r="L750" s="103"/>
      <c r="M750" s="104"/>
      <c r="N750" s="103"/>
    </row>
    <row r="751" spans="1:14" ht="45" customHeight="1" thickBot="1" x14ac:dyDescent="0.4">
      <c r="A751" s="103"/>
      <c r="B751" s="103"/>
      <c r="C751" s="103"/>
      <c r="D751" s="103"/>
      <c r="E751" s="103"/>
      <c r="F751" s="103"/>
      <c r="G751" s="103"/>
      <c r="H751" s="103"/>
      <c r="I751" s="103"/>
      <c r="J751" s="103"/>
      <c r="K751" s="103"/>
      <c r="L751" s="103"/>
      <c r="M751" s="104"/>
      <c r="N751" s="103"/>
    </row>
    <row r="752" spans="1:14" ht="45" customHeight="1" thickBot="1" x14ac:dyDescent="0.4">
      <c r="A752" s="103"/>
      <c r="B752" s="103"/>
      <c r="C752" s="103"/>
      <c r="D752" s="103"/>
      <c r="E752" s="103"/>
      <c r="F752" s="103"/>
      <c r="G752" s="103"/>
      <c r="H752" s="103"/>
      <c r="I752" s="103"/>
      <c r="J752" s="103"/>
      <c r="K752" s="103"/>
      <c r="L752" s="103"/>
      <c r="M752" s="104"/>
      <c r="N752" s="103"/>
    </row>
    <row r="753" spans="1:14" ht="45" customHeight="1" thickBot="1" x14ac:dyDescent="0.4">
      <c r="A753" s="103"/>
      <c r="B753" s="103"/>
      <c r="C753" s="103"/>
      <c r="D753" s="103"/>
      <c r="E753" s="103"/>
      <c r="F753" s="103"/>
      <c r="G753" s="103"/>
      <c r="H753" s="103"/>
      <c r="I753" s="103"/>
      <c r="J753" s="103"/>
      <c r="K753" s="103"/>
      <c r="L753" s="103"/>
      <c r="M753" s="104"/>
      <c r="N753" s="103"/>
    </row>
    <row r="754" spans="1:14" ht="45" customHeight="1" thickBot="1" x14ac:dyDescent="0.4">
      <c r="A754" s="103"/>
      <c r="B754" s="103"/>
      <c r="C754" s="103"/>
      <c r="D754" s="103"/>
      <c r="E754" s="103"/>
      <c r="F754" s="103"/>
      <c r="G754" s="103"/>
      <c r="H754" s="103"/>
      <c r="I754" s="103"/>
      <c r="J754" s="103"/>
      <c r="K754" s="103"/>
      <c r="L754" s="103"/>
      <c r="M754" s="104"/>
      <c r="N754" s="103"/>
    </row>
    <row r="755" spans="1:14" ht="45" customHeight="1" thickBot="1" x14ac:dyDescent="0.4">
      <c r="A755" s="103"/>
      <c r="B755" s="103"/>
      <c r="C755" s="103"/>
      <c r="D755" s="103"/>
      <c r="E755" s="103"/>
      <c r="F755" s="103"/>
      <c r="G755" s="103"/>
      <c r="H755" s="103"/>
      <c r="I755" s="103"/>
      <c r="J755" s="103"/>
      <c r="K755" s="103"/>
      <c r="L755" s="103"/>
      <c r="M755" s="104"/>
      <c r="N755" s="103"/>
    </row>
    <row r="756" spans="1:14" ht="45" customHeight="1" thickBot="1" x14ac:dyDescent="0.4">
      <c r="A756" s="103"/>
      <c r="B756" s="103"/>
      <c r="C756" s="103"/>
      <c r="D756" s="103"/>
      <c r="E756" s="103"/>
      <c r="F756" s="103"/>
      <c r="G756" s="103"/>
      <c r="H756" s="103"/>
      <c r="I756" s="103"/>
      <c r="J756" s="103"/>
      <c r="K756" s="103"/>
      <c r="L756" s="103"/>
      <c r="M756" s="104"/>
      <c r="N756" s="103"/>
    </row>
    <row r="757" spans="1:14" ht="45" customHeight="1" thickBot="1" x14ac:dyDescent="0.4">
      <c r="A757" s="103"/>
      <c r="B757" s="103"/>
      <c r="C757" s="103"/>
      <c r="D757" s="103"/>
      <c r="E757" s="103"/>
      <c r="F757" s="103"/>
      <c r="G757" s="103"/>
      <c r="H757" s="103"/>
      <c r="I757" s="103"/>
      <c r="J757" s="103"/>
      <c r="K757" s="103"/>
      <c r="L757" s="103"/>
      <c r="M757" s="104"/>
      <c r="N757" s="103"/>
    </row>
    <row r="758" spans="1:14" ht="45" customHeight="1" thickBot="1" x14ac:dyDescent="0.4">
      <c r="A758" s="103"/>
      <c r="B758" s="103"/>
      <c r="C758" s="103"/>
      <c r="D758" s="103"/>
      <c r="E758" s="103"/>
      <c r="F758" s="103"/>
      <c r="G758" s="103"/>
      <c r="H758" s="103"/>
      <c r="I758" s="103"/>
      <c r="J758" s="103"/>
      <c r="K758" s="103"/>
      <c r="L758" s="103"/>
      <c r="M758" s="104"/>
      <c r="N758" s="103"/>
    </row>
    <row r="759" spans="1:14" ht="45" customHeight="1" thickBot="1" x14ac:dyDescent="0.4">
      <c r="A759" s="103"/>
      <c r="B759" s="103"/>
      <c r="C759" s="103"/>
      <c r="D759" s="103"/>
      <c r="E759" s="103"/>
      <c r="F759" s="103"/>
      <c r="G759" s="103"/>
      <c r="H759" s="103"/>
      <c r="I759" s="103"/>
      <c r="J759" s="103"/>
      <c r="K759" s="103"/>
      <c r="L759" s="103"/>
      <c r="M759" s="104"/>
      <c r="N759" s="103"/>
    </row>
    <row r="760" spans="1:14" ht="45" customHeight="1" thickBot="1" x14ac:dyDescent="0.4">
      <c r="A760" s="103"/>
      <c r="B760" s="103"/>
      <c r="C760" s="103"/>
      <c r="D760" s="103"/>
      <c r="E760" s="103"/>
      <c r="F760" s="103"/>
      <c r="G760" s="103"/>
      <c r="H760" s="103"/>
      <c r="I760" s="103"/>
      <c r="J760" s="103"/>
      <c r="K760" s="103"/>
      <c r="L760" s="103"/>
      <c r="M760" s="104"/>
      <c r="N760" s="103"/>
    </row>
    <row r="761" spans="1:14" ht="45" customHeight="1" thickBot="1" x14ac:dyDescent="0.4">
      <c r="A761" s="103"/>
      <c r="B761" s="103"/>
      <c r="C761" s="103"/>
      <c r="D761" s="103"/>
      <c r="E761" s="103"/>
      <c r="F761" s="103"/>
      <c r="G761" s="103"/>
      <c r="H761" s="103"/>
      <c r="I761" s="103"/>
      <c r="J761" s="103"/>
      <c r="K761" s="103"/>
      <c r="L761" s="103"/>
      <c r="M761" s="104"/>
      <c r="N761" s="103"/>
    </row>
    <row r="762" spans="1:14" ht="45" customHeight="1" thickBot="1" x14ac:dyDescent="0.4">
      <c r="A762" s="103"/>
      <c r="B762" s="103"/>
      <c r="C762" s="103"/>
      <c r="D762" s="103"/>
      <c r="E762" s="103"/>
      <c r="F762" s="103"/>
      <c r="G762" s="103"/>
      <c r="H762" s="103"/>
      <c r="I762" s="103"/>
      <c r="J762" s="103"/>
      <c r="K762" s="103"/>
      <c r="L762" s="103"/>
      <c r="M762" s="104"/>
      <c r="N762" s="103"/>
    </row>
    <row r="763" spans="1:14" ht="45" customHeight="1" thickBot="1" x14ac:dyDescent="0.4">
      <c r="A763" s="103"/>
      <c r="B763" s="103"/>
      <c r="C763" s="103"/>
      <c r="D763" s="103"/>
      <c r="E763" s="103"/>
      <c r="F763" s="103"/>
      <c r="G763" s="103"/>
      <c r="H763" s="103"/>
      <c r="I763" s="103"/>
      <c r="J763" s="103"/>
      <c r="K763" s="103"/>
      <c r="L763" s="103"/>
      <c r="M763" s="104"/>
      <c r="N763" s="103"/>
    </row>
    <row r="764" spans="1:14" ht="45" customHeight="1" thickBot="1" x14ac:dyDescent="0.4">
      <c r="A764" s="103"/>
      <c r="B764" s="103"/>
      <c r="C764" s="103"/>
      <c r="D764" s="103"/>
      <c r="E764" s="103"/>
      <c r="F764" s="103"/>
      <c r="G764" s="103"/>
      <c r="H764" s="103"/>
      <c r="I764" s="103"/>
      <c r="J764" s="103"/>
      <c r="K764" s="103"/>
      <c r="L764" s="103"/>
      <c r="M764" s="104"/>
      <c r="N764" s="103"/>
    </row>
    <row r="765" spans="1:14" ht="45" customHeight="1" thickBot="1" x14ac:dyDescent="0.4">
      <c r="A765" s="103"/>
      <c r="B765" s="103"/>
      <c r="C765" s="103"/>
      <c r="D765" s="103"/>
      <c r="E765" s="103"/>
      <c r="F765" s="103"/>
      <c r="G765" s="103"/>
      <c r="H765" s="103"/>
      <c r="I765" s="103"/>
      <c r="J765" s="103"/>
      <c r="K765" s="103"/>
      <c r="L765" s="103"/>
      <c r="M765" s="104"/>
      <c r="N765" s="103"/>
    </row>
    <row r="766" spans="1:14" ht="45" customHeight="1" thickBot="1" x14ac:dyDescent="0.4">
      <c r="A766" s="103"/>
      <c r="B766" s="103"/>
      <c r="C766" s="103"/>
      <c r="D766" s="103"/>
      <c r="E766" s="103"/>
      <c r="F766" s="103"/>
      <c r="G766" s="103"/>
      <c r="H766" s="103"/>
      <c r="I766" s="103"/>
      <c r="J766" s="103"/>
      <c r="K766" s="103"/>
      <c r="L766" s="103"/>
      <c r="M766" s="104"/>
      <c r="N766" s="103"/>
    </row>
    <row r="767" spans="1:14" ht="45" customHeight="1" thickBot="1" x14ac:dyDescent="0.4">
      <c r="A767" s="103"/>
      <c r="B767" s="103"/>
      <c r="C767" s="103"/>
      <c r="D767" s="103"/>
      <c r="E767" s="103"/>
      <c r="F767" s="103"/>
      <c r="G767" s="103"/>
      <c r="H767" s="103"/>
      <c r="I767" s="103"/>
      <c r="J767" s="103"/>
      <c r="K767" s="103"/>
      <c r="L767" s="103"/>
      <c r="M767" s="104"/>
      <c r="N767" s="103"/>
    </row>
    <row r="768" spans="1:14" ht="45" customHeight="1" thickBot="1" x14ac:dyDescent="0.4">
      <c r="A768" s="103"/>
      <c r="B768" s="103"/>
      <c r="C768" s="103"/>
      <c r="D768" s="103"/>
      <c r="E768" s="103"/>
      <c r="F768" s="103"/>
      <c r="G768" s="103"/>
      <c r="H768" s="103"/>
      <c r="I768" s="103"/>
      <c r="J768" s="103"/>
      <c r="K768" s="103"/>
      <c r="L768" s="103"/>
      <c r="M768" s="104"/>
      <c r="N768" s="103"/>
    </row>
    <row r="769" spans="1:14" ht="45" customHeight="1" thickBot="1" x14ac:dyDescent="0.4">
      <c r="A769" s="103"/>
      <c r="B769" s="103"/>
      <c r="C769" s="103"/>
      <c r="D769" s="103"/>
      <c r="E769" s="103"/>
      <c r="F769" s="103"/>
      <c r="G769" s="103"/>
      <c r="H769" s="103"/>
      <c r="I769" s="103"/>
      <c r="J769" s="103"/>
      <c r="K769" s="103"/>
      <c r="L769" s="103"/>
      <c r="M769" s="104"/>
      <c r="N769" s="103"/>
    </row>
    <row r="770" spans="1:14" ht="45" customHeight="1" thickBot="1" x14ac:dyDescent="0.4">
      <c r="A770" s="103"/>
      <c r="B770" s="103"/>
      <c r="C770" s="103"/>
      <c r="D770" s="103"/>
      <c r="E770" s="103"/>
      <c r="F770" s="103"/>
      <c r="G770" s="103"/>
      <c r="H770" s="103"/>
      <c r="I770" s="103"/>
      <c r="J770" s="103"/>
      <c r="K770" s="103"/>
      <c r="L770" s="103"/>
      <c r="M770" s="104"/>
      <c r="N770" s="103"/>
    </row>
    <row r="771" spans="1:14" ht="45" customHeight="1" thickBot="1" x14ac:dyDescent="0.4">
      <c r="A771" s="103"/>
      <c r="B771" s="103"/>
      <c r="C771" s="103"/>
      <c r="D771" s="103"/>
      <c r="E771" s="103"/>
      <c r="F771" s="103"/>
      <c r="G771" s="103"/>
      <c r="H771" s="103"/>
      <c r="I771" s="103"/>
      <c r="J771" s="103"/>
      <c r="K771" s="103"/>
      <c r="L771" s="103"/>
      <c r="M771" s="104"/>
      <c r="N771" s="103"/>
    </row>
    <row r="772" spans="1:14" ht="45" customHeight="1" thickBot="1" x14ac:dyDescent="0.4">
      <c r="A772" s="103"/>
      <c r="B772" s="103"/>
      <c r="C772" s="103"/>
      <c r="D772" s="103"/>
      <c r="E772" s="103"/>
      <c r="F772" s="103"/>
      <c r="G772" s="103"/>
      <c r="H772" s="103"/>
      <c r="I772" s="103"/>
      <c r="J772" s="103"/>
      <c r="K772" s="103"/>
      <c r="L772" s="103"/>
      <c r="M772" s="104"/>
      <c r="N772" s="103"/>
    </row>
    <row r="773" spans="1:14" ht="45" customHeight="1" thickBot="1" x14ac:dyDescent="0.4">
      <c r="A773" s="103"/>
      <c r="B773" s="103"/>
      <c r="C773" s="103"/>
      <c r="D773" s="103"/>
      <c r="E773" s="103"/>
      <c r="F773" s="103"/>
      <c r="G773" s="103"/>
      <c r="H773" s="103"/>
      <c r="I773" s="103"/>
      <c r="J773" s="103"/>
      <c r="K773" s="103"/>
      <c r="L773" s="103"/>
      <c r="M773" s="104"/>
      <c r="N773" s="103"/>
    </row>
    <row r="774" spans="1:14" ht="45" customHeight="1" thickBot="1" x14ac:dyDescent="0.4">
      <c r="A774" s="103"/>
      <c r="B774" s="103"/>
      <c r="C774" s="103"/>
      <c r="D774" s="103"/>
      <c r="E774" s="103"/>
      <c r="F774" s="103"/>
      <c r="G774" s="103"/>
      <c r="H774" s="103"/>
      <c r="I774" s="103"/>
      <c r="J774" s="103"/>
      <c r="K774" s="103"/>
      <c r="L774" s="103"/>
      <c r="M774" s="104"/>
      <c r="N774" s="103"/>
    </row>
    <row r="775" spans="1:14" ht="45" customHeight="1" thickBot="1" x14ac:dyDescent="0.4">
      <c r="A775" s="103"/>
      <c r="B775" s="103"/>
      <c r="C775" s="103"/>
      <c r="D775" s="103"/>
      <c r="E775" s="103"/>
      <c r="F775" s="103"/>
      <c r="G775" s="103"/>
      <c r="H775" s="103"/>
      <c r="I775" s="103"/>
      <c r="J775" s="103"/>
      <c r="K775" s="103"/>
      <c r="L775" s="103"/>
      <c r="M775" s="104"/>
      <c r="N775" s="103"/>
    </row>
    <row r="776" spans="1:14" ht="45" customHeight="1" thickBot="1" x14ac:dyDescent="0.4">
      <c r="A776" s="103"/>
      <c r="B776" s="103"/>
      <c r="C776" s="103"/>
      <c r="D776" s="103"/>
      <c r="E776" s="103"/>
      <c r="F776" s="103"/>
      <c r="G776" s="103"/>
      <c r="H776" s="103"/>
      <c r="I776" s="103"/>
      <c r="J776" s="103"/>
      <c r="K776" s="103"/>
      <c r="L776" s="103"/>
      <c r="M776" s="104"/>
      <c r="N776" s="103"/>
    </row>
    <row r="777" spans="1:14" ht="45" customHeight="1" thickBot="1" x14ac:dyDescent="0.4">
      <c r="A777" s="103"/>
      <c r="B777" s="103"/>
      <c r="C777" s="103"/>
      <c r="D777" s="103"/>
      <c r="E777" s="103"/>
      <c r="F777" s="103"/>
      <c r="G777" s="103"/>
      <c r="H777" s="103"/>
      <c r="I777" s="103"/>
      <c r="J777" s="103"/>
      <c r="K777" s="103"/>
      <c r="L777" s="103"/>
      <c r="M777" s="104"/>
      <c r="N777" s="103"/>
    </row>
    <row r="778" spans="1:14" ht="45" customHeight="1" thickBot="1" x14ac:dyDescent="0.4">
      <c r="A778" s="103"/>
      <c r="B778" s="103"/>
      <c r="C778" s="103"/>
      <c r="D778" s="103"/>
      <c r="E778" s="103"/>
      <c r="F778" s="103"/>
      <c r="G778" s="103"/>
      <c r="H778" s="103"/>
      <c r="I778" s="103"/>
      <c r="J778" s="103"/>
      <c r="K778" s="103"/>
      <c r="L778" s="103"/>
      <c r="M778" s="104"/>
      <c r="N778" s="103"/>
    </row>
    <row r="779" spans="1:14" ht="45" customHeight="1" thickBot="1" x14ac:dyDescent="0.4">
      <c r="A779" s="103"/>
      <c r="B779" s="103"/>
      <c r="C779" s="103"/>
      <c r="D779" s="103"/>
      <c r="E779" s="103"/>
      <c r="F779" s="103"/>
      <c r="G779" s="103"/>
      <c r="H779" s="103"/>
      <c r="I779" s="103"/>
      <c r="J779" s="103"/>
      <c r="K779" s="103"/>
      <c r="L779" s="103"/>
      <c r="M779" s="104"/>
      <c r="N779" s="103"/>
    </row>
    <row r="780" spans="1:14" ht="45" customHeight="1" thickBot="1" x14ac:dyDescent="0.4">
      <c r="A780" s="103"/>
      <c r="B780" s="103"/>
      <c r="C780" s="103"/>
      <c r="D780" s="103"/>
      <c r="E780" s="103"/>
      <c r="F780" s="103"/>
      <c r="G780" s="103"/>
      <c r="H780" s="103"/>
      <c r="I780" s="103"/>
      <c r="J780" s="103"/>
      <c r="K780" s="103"/>
      <c r="L780" s="103"/>
      <c r="M780" s="104"/>
      <c r="N780" s="103"/>
    </row>
    <row r="781" spans="1:14" ht="45" customHeight="1" thickBot="1" x14ac:dyDescent="0.4">
      <c r="A781" s="103"/>
      <c r="B781" s="103"/>
      <c r="C781" s="103"/>
      <c r="D781" s="103"/>
      <c r="E781" s="103"/>
      <c r="F781" s="103"/>
      <c r="G781" s="103"/>
      <c r="H781" s="103"/>
      <c r="I781" s="103"/>
      <c r="J781" s="103"/>
      <c r="K781" s="103"/>
      <c r="L781" s="103"/>
      <c r="M781" s="104"/>
      <c r="N781" s="103"/>
    </row>
    <row r="782" spans="1:14" ht="45" customHeight="1" thickBot="1" x14ac:dyDescent="0.4">
      <c r="A782" s="103"/>
      <c r="B782" s="103"/>
      <c r="C782" s="103"/>
      <c r="D782" s="103"/>
      <c r="E782" s="103"/>
      <c r="F782" s="103"/>
      <c r="G782" s="103"/>
      <c r="H782" s="103"/>
      <c r="I782" s="103"/>
      <c r="J782" s="103"/>
      <c r="K782" s="103"/>
      <c r="L782" s="103"/>
      <c r="M782" s="104"/>
      <c r="N782" s="103"/>
    </row>
    <row r="783" spans="1:14" ht="45" customHeight="1" thickBot="1" x14ac:dyDescent="0.4">
      <c r="A783" s="103"/>
      <c r="B783" s="103"/>
      <c r="C783" s="103"/>
      <c r="D783" s="103"/>
      <c r="E783" s="103"/>
      <c r="F783" s="103"/>
      <c r="G783" s="103"/>
      <c r="H783" s="103"/>
      <c r="I783" s="103"/>
      <c r="J783" s="103"/>
      <c r="K783" s="103"/>
      <c r="L783" s="103"/>
      <c r="M783" s="104"/>
      <c r="N783" s="103"/>
    </row>
    <row r="784" spans="1:14" ht="45" customHeight="1" thickBot="1" x14ac:dyDescent="0.4">
      <c r="A784" s="103"/>
      <c r="B784" s="103"/>
      <c r="C784" s="103"/>
      <c r="D784" s="103"/>
      <c r="E784" s="103"/>
      <c r="F784" s="103"/>
      <c r="G784" s="103"/>
      <c r="H784" s="103"/>
      <c r="I784" s="103"/>
      <c r="J784" s="103"/>
      <c r="K784" s="103"/>
      <c r="L784" s="103"/>
      <c r="M784" s="104"/>
      <c r="N784" s="103"/>
    </row>
    <row r="785" spans="1:14" ht="45" customHeight="1" thickBot="1" x14ac:dyDescent="0.4">
      <c r="A785" s="103"/>
      <c r="B785" s="103"/>
      <c r="C785" s="103"/>
      <c r="D785" s="103"/>
      <c r="E785" s="103"/>
      <c r="F785" s="103"/>
      <c r="G785" s="103"/>
      <c r="H785" s="103"/>
      <c r="I785" s="103"/>
      <c r="J785" s="103"/>
      <c r="K785" s="103"/>
      <c r="L785" s="103"/>
      <c r="M785" s="104"/>
      <c r="N785" s="103"/>
    </row>
    <row r="786" spans="1:14" ht="45" customHeight="1" thickBot="1" x14ac:dyDescent="0.4">
      <c r="A786" s="103"/>
      <c r="B786" s="103"/>
      <c r="C786" s="103"/>
      <c r="D786" s="103"/>
      <c r="E786" s="103"/>
      <c r="F786" s="103"/>
      <c r="G786" s="103"/>
      <c r="H786" s="103"/>
      <c r="I786" s="103"/>
      <c r="J786" s="103"/>
      <c r="K786" s="103"/>
      <c r="L786" s="103"/>
      <c r="M786" s="104"/>
      <c r="N786" s="103"/>
    </row>
    <row r="787" spans="1:14" ht="45" customHeight="1" thickBot="1" x14ac:dyDescent="0.4">
      <c r="A787" s="103"/>
      <c r="B787" s="103"/>
      <c r="C787" s="103"/>
      <c r="D787" s="103"/>
      <c r="E787" s="103"/>
      <c r="F787" s="103"/>
      <c r="G787" s="103"/>
      <c r="H787" s="103"/>
      <c r="I787" s="103"/>
      <c r="J787" s="103"/>
      <c r="K787" s="103"/>
      <c r="L787" s="103"/>
      <c r="M787" s="104"/>
      <c r="N787" s="103"/>
    </row>
    <row r="788" spans="1:14" ht="45" customHeight="1" thickBot="1" x14ac:dyDescent="0.4">
      <c r="A788" s="103"/>
      <c r="B788" s="103"/>
      <c r="C788" s="103"/>
      <c r="D788" s="103"/>
      <c r="E788" s="103"/>
      <c r="F788" s="103"/>
      <c r="G788" s="103"/>
      <c r="H788" s="103"/>
      <c r="I788" s="103"/>
      <c r="J788" s="103"/>
      <c r="K788" s="103"/>
      <c r="L788" s="103"/>
      <c r="M788" s="104"/>
      <c r="N788" s="103"/>
    </row>
    <row r="789" spans="1:14" ht="45" customHeight="1" thickBot="1" x14ac:dyDescent="0.4">
      <c r="A789" s="103"/>
      <c r="B789" s="103"/>
      <c r="C789" s="103"/>
      <c r="D789" s="103"/>
      <c r="E789" s="103"/>
      <c r="F789" s="103"/>
      <c r="G789" s="103"/>
      <c r="H789" s="103"/>
      <c r="I789" s="103"/>
      <c r="J789" s="103"/>
      <c r="K789" s="103"/>
      <c r="L789" s="103"/>
      <c r="M789" s="104"/>
      <c r="N789" s="103"/>
    </row>
    <row r="790" spans="1:14" ht="45" customHeight="1" thickBot="1" x14ac:dyDescent="0.4">
      <c r="A790" s="103"/>
      <c r="B790" s="103"/>
      <c r="C790" s="103"/>
      <c r="D790" s="103"/>
      <c r="E790" s="103"/>
      <c r="F790" s="103"/>
      <c r="G790" s="103"/>
      <c r="H790" s="103"/>
      <c r="I790" s="103"/>
      <c r="J790" s="103"/>
      <c r="K790" s="103"/>
      <c r="L790" s="103"/>
      <c r="M790" s="104"/>
      <c r="N790" s="103"/>
    </row>
    <row r="791" spans="1:14" ht="45" customHeight="1" thickBot="1" x14ac:dyDescent="0.4">
      <c r="A791" s="103"/>
      <c r="B791" s="103"/>
      <c r="C791" s="103"/>
      <c r="D791" s="103"/>
      <c r="E791" s="103"/>
      <c r="F791" s="103"/>
      <c r="G791" s="103"/>
      <c r="H791" s="103"/>
      <c r="I791" s="103"/>
      <c r="J791" s="103"/>
      <c r="K791" s="103"/>
      <c r="L791" s="103"/>
      <c r="M791" s="104"/>
      <c r="N791" s="103"/>
    </row>
    <row r="792" spans="1:14" ht="45" customHeight="1" thickBot="1" x14ac:dyDescent="0.4">
      <c r="A792" s="103"/>
      <c r="B792" s="103"/>
      <c r="C792" s="103"/>
      <c r="D792" s="103"/>
      <c r="E792" s="103"/>
      <c r="F792" s="103"/>
      <c r="G792" s="103"/>
      <c r="H792" s="103"/>
      <c r="I792" s="103"/>
      <c r="J792" s="103"/>
      <c r="K792" s="103"/>
      <c r="L792" s="103"/>
      <c r="M792" s="104"/>
      <c r="N792" s="103"/>
    </row>
    <row r="793" spans="1:14" ht="45" customHeight="1" thickBot="1" x14ac:dyDescent="0.4">
      <c r="A793" s="103"/>
      <c r="B793" s="103"/>
      <c r="C793" s="103"/>
      <c r="D793" s="103"/>
      <c r="E793" s="103"/>
      <c r="F793" s="103"/>
      <c r="G793" s="103"/>
      <c r="H793" s="103"/>
      <c r="I793" s="103"/>
      <c r="J793" s="103"/>
      <c r="K793" s="103"/>
      <c r="L793" s="103"/>
      <c r="M793" s="104"/>
      <c r="N793" s="103"/>
    </row>
    <row r="794" spans="1:14" ht="45" customHeight="1" thickBot="1" x14ac:dyDescent="0.4">
      <c r="A794" s="103"/>
      <c r="B794" s="103"/>
      <c r="C794" s="103"/>
      <c r="D794" s="103"/>
      <c r="E794" s="103"/>
      <c r="F794" s="103"/>
      <c r="G794" s="103"/>
      <c r="H794" s="103"/>
      <c r="I794" s="103"/>
      <c r="J794" s="103"/>
      <c r="K794" s="103"/>
      <c r="L794" s="103"/>
      <c r="M794" s="104"/>
      <c r="N794" s="103"/>
    </row>
    <row r="795" spans="1:14" ht="45" customHeight="1" thickBot="1" x14ac:dyDescent="0.4">
      <c r="A795" s="103"/>
      <c r="B795" s="103"/>
      <c r="C795" s="103"/>
      <c r="D795" s="103"/>
      <c r="E795" s="103"/>
      <c r="F795" s="103"/>
      <c r="G795" s="103"/>
      <c r="H795" s="103"/>
      <c r="I795" s="103"/>
      <c r="J795" s="103"/>
      <c r="K795" s="103"/>
      <c r="L795" s="103"/>
      <c r="M795" s="104"/>
      <c r="N795" s="103"/>
    </row>
    <row r="796" spans="1:14" ht="45" customHeight="1" thickBot="1" x14ac:dyDescent="0.4">
      <c r="A796" s="103"/>
      <c r="B796" s="103"/>
      <c r="C796" s="103"/>
      <c r="D796" s="103"/>
      <c r="E796" s="103"/>
      <c r="F796" s="103"/>
      <c r="G796" s="103"/>
      <c r="H796" s="103"/>
      <c r="I796" s="103"/>
      <c r="J796" s="103"/>
      <c r="K796" s="103"/>
      <c r="L796" s="103"/>
      <c r="M796" s="104"/>
      <c r="N796" s="103"/>
    </row>
    <row r="797" spans="1:14" ht="45" customHeight="1" thickBot="1" x14ac:dyDescent="0.4">
      <c r="A797" s="103"/>
      <c r="B797" s="103"/>
      <c r="C797" s="103"/>
      <c r="D797" s="103"/>
      <c r="E797" s="103"/>
      <c r="F797" s="103"/>
      <c r="G797" s="103"/>
      <c r="H797" s="103"/>
      <c r="I797" s="103"/>
      <c r="J797" s="103"/>
      <c r="K797" s="103"/>
      <c r="L797" s="103"/>
      <c r="M797" s="104"/>
      <c r="N797" s="103"/>
    </row>
    <row r="798" spans="1:14" ht="45" customHeight="1" thickBot="1" x14ac:dyDescent="0.4">
      <c r="A798" s="103"/>
      <c r="B798" s="103"/>
      <c r="C798" s="103"/>
      <c r="D798" s="103"/>
      <c r="E798" s="103"/>
      <c r="F798" s="103"/>
      <c r="G798" s="103"/>
      <c r="H798" s="103"/>
      <c r="I798" s="103"/>
      <c r="J798" s="103"/>
      <c r="K798" s="103"/>
      <c r="L798" s="103"/>
      <c r="M798" s="104"/>
      <c r="N798" s="103"/>
    </row>
    <row r="799" spans="1:14" ht="45" customHeight="1" thickBot="1" x14ac:dyDescent="0.4">
      <c r="A799" s="103"/>
      <c r="B799" s="103"/>
      <c r="C799" s="103"/>
      <c r="D799" s="103"/>
      <c r="E799" s="103"/>
      <c r="F799" s="103"/>
      <c r="G799" s="103"/>
      <c r="H799" s="103"/>
      <c r="I799" s="103"/>
      <c r="J799" s="103"/>
      <c r="K799" s="103"/>
      <c r="L799" s="103"/>
      <c r="M799" s="104"/>
      <c r="N799" s="103"/>
    </row>
    <row r="800" spans="1:14" ht="45" customHeight="1" thickBot="1" x14ac:dyDescent="0.4">
      <c r="A800" s="103"/>
      <c r="B800" s="103"/>
      <c r="C800" s="103"/>
      <c r="D800" s="103"/>
      <c r="E800" s="103"/>
      <c r="F800" s="103"/>
      <c r="G800" s="103"/>
      <c r="H800" s="103"/>
      <c r="I800" s="103"/>
      <c r="J800" s="103"/>
      <c r="K800" s="103"/>
      <c r="L800" s="103"/>
      <c r="M800" s="104"/>
      <c r="N800" s="103"/>
    </row>
    <row r="801" spans="1:14" ht="45" customHeight="1" thickBot="1" x14ac:dyDescent="0.4">
      <c r="A801" s="103"/>
      <c r="B801" s="103"/>
      <c r="C801" s="103"/>
      <c r="D801" s="103"/>
      <c r="E801" s="103"/>
      <c r="F801" s="103"/>
      <c r="G801" s="103"/>
      <c r="H801" s="103"/>
      <c r="I801" s="103"/>
      <c r="J801" s="103"/>
      <c r="K801" s="103"/>
      <c r="L801" s="103"/>
      <c r="M801" s="104"/>
      <c r="N801" s="103"/>
    </row>
    <row r="802" spans="1:14" ht="45" customHeight="1" thickBot="1" x14ac:dyDescent="0.4">
      <c r="A802" s="103"/>
      <c r="B802" s="103"/>
      <c r="C802" s="103"/>
      <c r="D802" s="103"/>
      <c r="E802" s="103"/>
      <c r="F802" s="103"/>
      <c r="G802" s="103"/>
      <c r="H802" s="103"/>
      <c r="I802" s="103"/>
      <c r="J802" s="103"/>
      <c r="K802" s="103"/>
      <c r="L802" s="103"/>
      <c r="M802" s="104"/>
      <c r="N802" s="103"/>
    </row>
    <row r="803" spans="1:14" ht="45" customHeight="1" thickBot="1" x14ac:dyDescent="0.4">
      <c r="A803" s="103"/>
      <c r="B803" s="103"/>
      <c r="C803" s="103"/>
      <c r="D803" s="103"/>
      <c r="E803" s="103"/>
      <c r="F803" s="103"/>
      <c r="G803" s="103"/>
      <c r="H803" s="103"/>
      <c r="I803" s="103"/>
      <c r="J803" s="103"/>
      <c r="K803" s="103"/>
      <c r="L803" s="103"/>
      <c r="M803" s="104"/>
      <c r="N803" s="103"/>
    </row>
    <row r="804" spans="1:14" ht="45" customHeight="1" thickBot="1" x14ac:dyDescent="0.4">
      <c r="A804" s="103"/>
      <c r="B804" s="103"/>
      <c r="C804" s="103"/>
      <c r="D804" s="103"/>
      <c r="E804" s="103"/>
      <c r="F804" s="103"/>
      <c r="G804" s="103"/>
      <c r="H804" s="103"/>
      <c r="I804" s="103"/>
      <c r="J804" s="103"/>
      <c r="K804" s="103"/>
      <c r="L804" s="103"/>
      <c r="M804" s="104"/>
      <c r="N804" s="103"/>
    </row>
    <row r="805" spans="1:14" ht="45" customHeight="1" thickBot="1" x14ac:dyDescent="0.4">
      <c r="A805" s="103"/>
      <c r="B805" s="103"/>
      <c r="C805" s="103"/>
      <c r="D805" s="103"/>
      <c r="E805" s="103"/>
      <c r="F805" s="103"/>
      <c r="G805" s="103"/>
      <c r="H805" s="103"/>
      <c r="I805" s="103"/>
      <c r="J805" s="103"/>
      <c r="K805" s="103"/>
      <c r="L805" s="103"/>
      <c r="M805" s="104"/>
      <c r="N805" s="103"/>
    </row>
    <row r="806" spans="1:14" ht="45" customHeight="1" thickBot="1" x14ac:dyDescent="0.4">
      <c r="A806" s="103"/>
      <c r="B806" s="103"/>
      <c r="C806" s="103"/>
      <c r="D806" s="103"/>
      <c r="E806" s="103"/>
      <c r="F806" s="103"/>
      <c r="G806" s="103"/>
      <c r="H806" s="103"/>
      <c r="I806" s="103"/>
      <c r="J806" s="103"/>
      <c r="K806" s="103"/>
      <c r="L806" s="103"/>
      <c r="M806" s="104"/>
      <c r="N806" s="103"/>
    </row>
    <row r="807" spans="1:14" ht="45" customHeight="1" thickBot="1" x14ac:dyDescent="0.4">
      <c r="A807" s="103"/>
      <c r="B807" s="103"/>
      <c r="C807" s="103"/>
      <c r="D807" s="103"/>
      <c r="E807" s="103"/>
      <c r="F807" s="103"/>
      <c r="G807" s="103"/>
      <c r="H807" s="103"/>
      <c r="I807" s="103"/>
      <c r="J807" s="103"/>
      <c r="K807" s="103"/>
      <c r="L807" s="103"/>
      <c r="M807" s="104"/>
      <c r="N807" s="103"/>
    </row>
    <row r="808" spans="1:14" ht="45" customHeight="1" thickBot="1" x14ac:dyDescent="0.4">
      <c r="A808" s="103"/>
      <c r="B808" s="103"/>
      <c r="C808" s="103"/>
      <c r="D808" s="103"/>
      <c r="E808" s="103"/>
      <c r="F808" s="103"/>
      <c r="G808" s="103"/>
      <c r="H808" s="103"/>
      <c r="I808" s="103"/>
      <c r="J808" s="103"/>
      <c r="K808" s="103"/>
      <c r="L808" s="103"/>
      <c r="M808" s="104"/>
      <c r="N808" s="103"/>
    </row>
    <row r="809" spans="1:14" ht="45" customHeight="1" thickBot="1" x14ac:dyDescent="0.4">
      <c r="A809" s="103"/>
      <c r="B809" s="103"/>
      <c r="C809" s="103"/>
      <c r="D809" s="103"/>
      <c r="E809" s="103"/>
      <c r="F809" s="103"/>
      <c r="G809" s="103"/>
      <c r="H809" s="103"/>
      <c r="I809" s="103"/>
      <c r="J809" s="103"/>
      <c r="K809" s="103"/>
      <c r="L809" s="103"/>
      <c r="M809" s="104"/>
      <c r="N809" s="103"/>
    </row>
    <row r="810" spans="1:14" ht="45" customHeight="1" thickBot="1" x14ac:dyDescent="0.4">
      <c r="A810" s="103"/>
      <c r="B810" s="103"/>
      <c r="C810" s="103"/>
      <c r="D810" s="103"/>
      <c r="E810" s="103"/>
      <c r="F810" s="103"/>
      <c r="G810" s="103"/>
      <c r="H810" s="103"/>
      <c r="I810" s="103"/>
      <c r="J810" s="103"/>
      <c r="K810" s="103"/>
      <c r="L810" s="103"/>
      <c r="M810" s="104"/>
      <c r="N810" s="103"/>
    </row>
    <row r="811" spans="1:14" ht="45" customHeight="1" thickBot="1" x14ac:dyDescent="0.4">
      <c r="A811" s="103"/>
      <c r="B811" s="103"/>
      <c r="C811" s="103"/>
      <c r="D811" s="103"/>
      <c r="E811" s="103"/>
      <c r="F811" s="103"/>
      <c r="G811" s="103"/>
      <c r="H811" s="103"/>
      <c r="I811" s="103"/>
      <c r="J811" s="103"/>
      <c r="K811" s="103"/>
      <c r="L811" s="103"/>
      <c r="M811" s="104"/>
      <c r="N811" s="103"/>
    </row>
    <row r="812" spans="1:14" ht="45" customHeight="1" thickBot="1" x14ac:dyDescent="0.4">
      <c r="A812" s="103"/>
      <c r="B812" s="103"/>
      <c r="C812" s="103"/>
      <c r="D812" s="103"/>
      <c r="E812" s="103"/>
      <c r="F812" s="103"/>
      <c r="G812" s="103"/>
      <c r="H812" s="103"/>
      <c r="I812" s="103"/>
      <c r="J812" s="103"/>
      <c r="K812" s="103"/>
      <c r="L812" s="103"/>
      <c r="M812" s="104"/>
      <c r="N812" s="103"/>
    </row>
    <row r="813" spans="1:14" ht="45" customHeight="1" thickBot="1" x14ac:dyDescent="0.4">
      <c r="A813" s="103"/>
      <c r="B813" s="103"/>
      <c r="C813" s="103"/>
      <c r="D813" s="103"/>
      <c r="E813" s="103"/>
      <c r="F813" s="103"/>
      <c r="G813" s="103"/>
      <c r="H813" s="103"/>
      <c r="I813" s="103"/>
      <c r="J813" s="103"/>
      <c r="K813" s="103"/>
      <c r="L813" s="103"/>
      <c r="M813" s="104"/>
      <c r="N813" s="103"/>
    </row>
    <row r="814" spans="1:14" ht="45" customHeight="1" thickBot="1" x14ac:dyDescent="0.4">
      <c r="A814" s="103"/>
      <c r="B814" s="103"/>
      <c r="C814" s="103"/>
      <c r="D814" s="103"/>
      <c r="E814" s="103"/>
      <c r="F814" s="103"/>
      <c r="G814" s="103"/>
      <c r="H814" s="103"/>
      <c r="I814" s="103"/>
      <c r="J814" s="103"/>
      <c r="K814" s="103"/>
      <c r="L814" s="103"/>
      <c r="M814" s="104"/>
      <c r="N814" s="103"/>
    </row>
    <row r="815" spans="1:14" ht="45" customHeight="1" thickBot="1" x14ac:dyDescent="0.4">
      <c r="A815" s="103"/>
      <c r="B815" s="103"/>
      <c r="C815" s="103"/>
      <c r="D815" s="103"/>
      <c r="E815" s="103"/>
      <c r="F815" s="103"/>
      <c r="G815" s="103"/>
      <c r="H815" s="103"/>
      <c r="I815" s="103"/>
      <c r="J815" s="103"/>
      <c r="K815" s="103"/>
      <c r="L815" s="103"/>
      <c r="M815" s="104"/>
      <c r="N815" s="103"/>
    </row>
    <row r="816" spans="1:14" ht="45" customHeight="1" thickBot="1" x14ac:dyDescent="0.4">
      <c r="A816" s="103"/>
      <c r="B816" s="103"/>
      <c r="C816" s="103"/>
      <c r="D816" s="103"/>
      <c r="E816" s="103"/>
      <c r="F816" s="103"/>
      <c r="G816" s="103"/>
      <c r="H816" s="103"/>
      <c r="I816" s="103"/>
      <c r="J816" s="103"/>
      <c r="K816" s="103"/>
      <c r="L816" s="103"/>
      <c r="M816" s="104"/>
      <c r="N816" s="103"/>
    </row>
    <row r="817" spans="1:14" ht="45" customHeight="1" thickBot="1" x14ac:dyDescent="0.4">
      <c r="A817" s="103"/>
      <c r="B817" s="103"/>
      <c r="C817" s="103"/>
      <c r="D817" s="103"/>
      <c r="E817" s="103"/>
      <c r="F817" s="103"/>
      <c r="G817" s="103"/>
      <c r="H817" s="103"/>
      <c r="I817" s="103"/>
      <c r="J817" s="103"/>
      <c r="K817" s="103"/>
      <c r="L817" s="103"/>
      <c r="M817" s="104"/>
      <c r="N817" s="103"/>
    </row>
    <row r="818" spans="1:14" ht="45" customHeight="1" thickBot="1" x14ac:dyDescent="0.4">
      <c r="A818" s="103"/>
      <c r="B818" s="103"/>
      <c r="C818" s="103"/>
      <c r="D818" s="103"/>
      <c r="E818" s="103"/>
      <c r="F818" s="103"/>
      <c r="G818" s="103"/>
      <c r="H818" s="103"/>
      <c r="I818" s="103"/>
      <c r="J818" s="103"/>
      <c r="K818" s="103"/>
      <c r="L818" s="103"/>
      <c r="M818" s="104"/>
      <c r="N818" s="103"/>
    </row>
    <row r="819" spans="1:14" ht="45" customHeight="1" thickBot="1" x14ac:dyDescent="0.4">
      <c r="A819" s="103"/>
      <c r="B819" s="103"/>
      <c r="C819" s="103"/>
      <c r="D819" s="103"/>
      <c r="E819" s="103"/>
      <c r="F819" s="103"/>
      <c r="G819" s="103"/>
      <c r="H819" s="103"/>
      <c r="I819" s="103"/>
      <c r="J819" s="103"/>
      <c r="K819" s="103"/>
      <c r="L819" s="103"/>
      <c r="M819" s="104"/>
      <c r="N819" s="103"/>
    </row>
    <row r="820" spans="1:14" ht="45" customHeight="1" thickBot="1" x14ac:dyDescent="0.4">
      <c r="A820" s="103"/>
      <c r="B820" s="103"/>
      <c r="C820" s="103"/>
      <c r="D820" s="103"/>
      <c r="E820" s="103"/>
      <c r="F820" s="103"/>
      <c r="G820" s="103"/>
      <c r="H820" s="103"/>
      <c r="I820" s="103"/>
      <c r="J820" s="103"/>
      <c r="K820" s="103"/>
      <c r="L820" s="103"/>
      <c r="M820" s="104"/>
      <c r="N820" s="103"/>
    </row>
    <row r="821" spans="1:14" ht="45" customHeight="1" thickBot="1" x14ac:dyDescent="0.4">
      <c r="A821" s="103"/>
      <c r="B821" s="103"/>
      <c r="C821" s="103"/>
      <c r="D821" s="103"/>
      <c r="E821" s="103"/>
      <c r="F821" s="103"/>
      <c r="G821" s="103"/>
      <c r="H821" s="103"/>
      <c r="I821" s="103"/>
      <c r="J821" s="103"/>
      <c r="K821" s="103"/>
      <c r="L821" s="103"/>
      <c r="M821" s="104"/>
      <c r="N821" s="103"/>
    </row>
    <row r="822" spans="1:14" ht="45" customHeight="1" thickBot="1" x14ac:dyDescent="0.4">
      <c r="A822" s="103"/>
      <c r="B822" s="103"/>
      <c r="C822" s="103"/>
      <c r="D822" s="103"/>
      <c r="E822" s="103"/>
      <c r="F822" s="103"/>
      <c r="G822" s="103"/>
      <c r="H822" s="103"/>
      <c r="I822" s="103"/>
      <c r="J822" s="103"/>
      <c r="K822" s="103"/>
      <c r="L822" s="103"/>
      <c r="M822" s="104"/>
      <c r="N822" s="103"/>
    </row>
    <row r="823" spans="1:14" ht="45" customHeight="1" thickBot="1" x14ac:dyDescent="0.4">
      <c r="A823" s="103"/>
      <c r="B823" s="103"/>
      <c r="C823" s="103"/>
      <c r="D823" s="103"/>
      <c r="E823" s="103"/>
      <c r="F823" s="103"/>
      <c r="G823" s="103"/>
      <c r="H823" s="103"/>
      <c r="I823" s="103"/>
      <c r="J823" s="103"/>
      <c r="K823" s="103"/>
      <c r="L823" s="103"/>
      <c r="M823" s="104"/>
      <c r="N823" s="103"/>
    </row>
    <row r="824" spans="1:14" ht="45" customHeight="1" thickBot="1" x14ac:dyDescent="0.4">
      <c r="A824" s="103"/>
      <c r="B824" s="103"/>
      <c r="C824" s="103"/>
      <c r="D824" s="103"/>
      <c r="E824" s="103"/>
      <c r="F824" s="103"/>
      <c r="G824" s="103"/>
      <c r="H824" s="103"/>
      <c r="I824" s="103"/>
      <c r="J824" s="103"/>
      <c r="K824" s="103"/>
      <c r="L824" s="103"/>
      <c r="M824" s="104"/>
      <c r="N824" s="103"/>
    </row>
    <row r="825" spans="1:14" ht="45" customHeight="1" thickBot="1" x14ac:dyDescent="0.4">
      <c r="A825" s="103"/>
      <c r="B825" s="103"/>
      <c r="C825" s="103"/>
      <c r="D825" s="103"/>
      <c r="E825" s="103"/>
      <c r="F825" s="103"/>
      <c r="G825" s="103"/>
      <c r="H825" s="103"/>
      <c r="I825" s="103"/>
      <c r="J825" s="103"/>
      <c r="K825" s="103"/>
      <c r="L825" s="103"/>
      <c r="M825" s="104"/>
      <c r="N825" s="103"/>
    </row>
    <row r="826" spans="1:14" ht="45" customHeight="1" thickBot="1" x14ac:dyDescent="0.4">
      <c r="A826" s="103"/>
      <c r="B826" s="103"/>
      <c r="C826" s="103"/>
      <c r="D826" s="103"/>
      <c r="E826" s="103"/>
      <c r="F826" s="103"/>
      <c r="G826" s="103"/>
      <c r="H826" s="103"/>
      <c r="I826" s="103"/>
      <c r="J826" s="103"/>
      <c r="K826" s="103"/>
      <c r="L826" s="103"/>
      <c r="M826" s="104"/>
      <c r="N826" s="103"/>
    </row>
    <row r="827" spans="1:14" ht="45" customHeight="1" thickBot="1" x14ac:dyDescent="0.4">
      <c r="A827" s="103"/>
      <c r="B827" s="103"/>
      <c r="C827" s="103"/>
      <c r="D827" s="103"/>
      <c r="E827" s="103"/>
      <c r="F827" s="103"/>
      <c r="G827" s="103"/>
      <c r="H827" s="103"/>
      <c r="I827" s="103"/>
      <c r="J827" s="103"/>
      <c r="K827" s="103"/>
      <c r="L827" s="103"/>
      <c r="M827" s="104"/>
      <c r="N827" s="103"/>
    </row>
    <row r="828" spans="1:14" ht="45" customHeight="1" thickBot="1" x14ac:dyDescent="0.4">
      <c r="A828" s="103"/>
      <c r="B828" s="103"/>
      <c r="C828" s="103"/>
      <c r="D828" s="103"/>
      <c r="E828" s="103"/>
      <c r="F828" s="103"/>
      <c r="G828" s="103"/>
      <c r="H828" s="103"/>
      <c r="I828" s="103"/>
      <c r="J828" s="103"/>
      <c r="K828" s="103"/>
      <c r="L828" s="103"/>
      <c r="M828" s="104"/>
      <c r="N828" s="103"/>
    </row>
    <row r="829" spans="1:14" ht="45" customHeight="1" thickBot="1" x14ac:dyDescent="0.4">
      <c r="A829" s="103"/>
      <c r="B829" s="103"/>
      <c r="C829" s="103"/>
      <c r="D829" s="103"/>
      <c r="E829" s="103"/>
      <c r="F829" s="103"/>
      <c r="G829" s="103"/>
      <c r="H829" s="103"/>
      <c r="I829" s="103"/>
      <c r="J829" s="103"/>
      <c r="K829" s="103"/>
      <c r="L829" s="103"/>
      <c r="M829" s="104"/>
      <c r="N829" s="103"/>
    </row>
    <row r="830" spans="1:14" ht="45" customHeight="1" thickBot="1" x14ac:dyDescent="0.4">
      <c r="A830" s="103"/>
      <c r="B830" s="103"/>
      <c r="C830" s="103"/>
      <c r="D830" s="103"/>
      <c r="E830" s="103"/>
      <c r="F830" s="103"/>
      <c r="G830" s="103"/>
      <c r="H830" s="103"/>
      <c r="I830" s="103"/>
      <c r="J830" s="103"/>
      <c r="K830" s="103"/>
      <c r="L830" s="103"/>
      <c r="M830" s="104"/>
      <c r="N830" s="103"/>
    </row>
    <row r="831" spans="1:14" ht="45" customHeight="1" thickBot="1" x14ac:dyDescent="0.4">
      <c r="A831" s="103"/>
      <c r="B831" s="103"/>
      <c r="C831" s="103"/>
      <c r="D831" s="103"/>
      <c r="E831" s="103"/>
      <c r="F831" s="103"/>
      <c r="G831" s="103"/>
      <c r="H831" s="103"/>
      <c r="I831" s="103"/>
      <c r="J831" s="103"/>
      <c r="K831" s="103"/>
      <c r="L831" s="103"/>
      <c r="M831" s="104"/>
      <c r="N831" s="103"/>
    </row>
    <row r="832" spans="1:14" ht="45" customHeight="1" thickBot="1" x14ac:dyDescent="0.4">
      <c r="A832" s="103"/>
      <c r="B832" s="103"/>
      <c r="C832" s="103"/>
      <c r="D832" s="103"/>
      <c r="E832" s="103"/>
      <c r="F832" s="103"/>
      <c r="G832" s="103"/>
      <c r="H832" s="103"/>
      <c r="I832" s="103"/>
      <c r="J832" s="103"/>
      <c r="K832" s="103"/>
      <c r="L832" s="103"/>
      <c r="M832" s="104"/>
      <c r="N832" s="103"/>
    </row>
    <row r="833" spans="1:14" ht="45" customHeight="1" thickBot="1" x14ac:dyDescent="0.4">
      <c r="A833" s="103"/>
      <c r="B833" s="103"/>
      <c r="C833" s="103"/>
      <c r="D833" s="103"/>
      <c r="E833" s="103"/>
      <c r="F833" s="103"/>
      <c r="G833" s="103"/>
      <c r="H833" s="103"/>
      <c r="I833" s="103"/>
      <c r="J833" s="103"/>
      <c r="K833" s="103"/>
      <c r="L833" s="103"/>
      <c r="M833" s="104"/>
      <c r="N833" s="103"/>
    </row>
    <row r="834" spans="1:14" ht="45" customHeight="1" thickBot="1" x14ac:dyDescent="0.4">
      <c r="A834" s="103"/>
      <c r="B834" s="103"/>
      <c r="C834" s="103"/>
      <c r="D834" s="103"/>
      <c r="E834" s="103"/>
      <c r="F834" s="103"/>
      <c r="G834" s="103"/>
      <c r="H834" s="103"/>
      <c r="I834" s="103"/>
      <c r="J834" s="103"/>
      <c r="K834" s="103"/>
      <c r="L834" s="103"/>
      <c r="M834" s="104"/>
      <c r="N834" s="103"/>
    </row>
    <row r="835" spans="1:14" ht="45" customHeight="1" thickBot="1" x14ac:dyDescent="0.4">
      <c r="A835" s="103"/>
      <c r="B835" s="103"/>
      <c r="C835" s="103"/>
      <c r="D835" s="103"/>
      <c r="E835" s="103"/>
      <c r="F835" s="103"/>
      <c r="G835" s="103"/>
      <c r="H835" s="103"/>
      <c r="I835" s="103"/>
      <c r="J835" s="103"/>
      <c r="K835" s="103"/>
      <c r="L835" s="103"/>
      <c r="M835" s="104"/>
      <c r="N835" s="103"/>
    </row>
    <row r="836" spans="1:14" ht="45" customHeight="1" thickBot="1" x14ac:dyDescent="0.4">
      <c r="A836" s="103"/>
      <c r="B836" s="103"/>
      <c r="C836" s="103"/>
      <c r="D836" s="103"/>
      <c r="E836" s="103"/>
      <c r="F836" s="103"/>
      <c r="G836" s="103"/>
      <c r="H836" s="103"/>
      <c r="I836" s="103"/>
      <c r="J836" s="103"/>
      <c r="K836" s="103"/>
      <c r="L836" s="103"/>
      <c r="M836" s="104"/>
      <c r="N836" s="103"/>
    </row>
    <row r="837" spans="1:14" ht="45" customHeight="1" thickBot="1" x14ac:dyDescent="0.4">
      <c r="A837" s="103"/>
      <c r="B837" s="103"/>
      <c r="C837" s="103"/>
      <c r="D837" s="103"/>
      <c r="E837" s="103"/>
      <c r="F837" s="103"/>
      <c r="G837" s="103"/>
      <c r="H837" s="103"/>
      <c r="I837" s="103"/>
      <c r="J837" s="103"/>
      <c r="K837" s="103"/>
      <c r="L837" s="103"/>
      <c r="M837" s="104"/>
      <c r="N837" s="103"/>
    </row>
    <row r="838" spans="1:14" ht="45" customHeight="1" thickBot="1" x14ac:dyDescent="0.4">
      <c r="A838" s="103"/>
      <c r="B838" s="103"/>
      <c r="C838" s="103"/>
      <c r="D838" s="103"/>
      <c r="E838" s="103"/>
      <c r="F838" s="103"/>
      <c r="G838" s="103"/>
      <c r="H838" s="103"/>
      <c r="I838" s="103"/>
      <c r="J838" s="103"/>
      <c r="K838" s="103"/>
      <c r="L838" s="103"/>
      <c r="M838" s="104"/>
      <c r="N838" s="103"/>
    </row>
    <row r="839" spans="1:14" ht="45" customHeight="1" thickBot="1" x14ac:dyDescent="0.4">
      <c r="A839" s="103"/>
      <c r="B839" s="103"/>
      <c r="C839" s="103"/>
      <c r="D839" s="103"/>
      <c r="E839" s="103"/>
      <c r="F839" s="103"/>
      <c r="G839" s="103"/>
      <c r="H839" s="103"/>
      <c r="I839" s="103"/>
      <c r="J839" s="103"/>
      <c r="K839" s="103"/>
      <c r="L839" s="103"/>
      <c r="M839" s="104"/>
      <c r="N839" s="103"/>
    </row>
    <row r="840" spans="1:14" ht="45" customHeight="1" thickBot="1" x14ac:dyDescent="0.4">
      <c r="A840" s="103"/>
      <c r="B840" s="103"/>
      <c r="C840" s="103"/>
      <c r="D840" s="103"/>
      <c r="E840" s="103"/>
      <c r="F840" s="103"/>
      <c r="G840" s="103"/>
      <c r="H840" s="103"/>
      <c r="I840" s="103"/>
      <c r="J840" s="103"/>
      <c r="K840" s="103"/>
      <c r="L840" s="103"/>
      <c r="M840" s="104"/>
      <c r="N840" s="103"/>
    </row>
    <row r="841" spans="1:14" ht="45" customHeight="1" thickBot="1" x14ac:dyDescent="0.4">
      <c r="A841" s="103"/>
      <c r="B841" s="103"/>
      <c r="C841" s="103"/>
      <c r="D841" s="103"/>
      <c r="E841" s="103"/>
      <c r="F841" s="103"/>
      <c r="G841" s="103"/>
      <c r="H841" s="103"/>
      <c r="I841" s="103"/>
      <c r="J841" s="103"/>
      <c r="K841" s="103"/>
      <c r="L841" s="103"/>
      <c r="M841" s="104"/>
      <c r="N841" s="103"/>
    </row>
    <row r="842" spans="1:14" ht="45" customHeight="1" thickBot="1" x14ac:dyDescent="0.4">
      <c r="A842" s="103"/>
      <c r="B842" s="103"/>
      <c r="C842" s="103"/>
      <c r="D842" s="103"/>
      <c r="E842" s="103"/>
      <c r="F842" s="103"/>
      <c r="G842" s="103"/>
      <c r="H842" s="103"/>
      <c r="I842" s="103"/>
      <c r="J842" s="103"/>
      <c r="K842" s="103"/>
      <c r="L842" s="103"/>
      <c r="M842" s="104"/>
      <c r="N842" s="103"/>
    </row>
    <row r="843" spans="1:14" ht="45" customHeight="1" thickBot="1" x14ac:dyDescent="0.4">
      <c r="A843" s="103"/>
      <c r="B843" s="103"/>
      <c r="C843" s="103"/>
      <c r="D843" s="103"/>
      <c r="E843" s="103"/>
      <c r="F843" s="103"/>
      <c r="G843" s="103"/>
      <c r="H843" s="103"/>
      <c r="I843" s="103"/>
      <c r="J843" s="103"/>
      <c r="K843" s="103"/>
      <c r="L843" s="103"/>
      <c r="M843" s="104"/>
      <c r="N843" s="103"/>
    </row>
    <row r="844" spans="1:14" ht="45" customHeight="1" thickBot="1" x14ac:dyDescent="0.4">
      <c r="A844" s="103"/>
      <c r="B844" s="103"/>
      <c r="C844" s="103"/>
      <c r="D844" s="103"/>
      <c r="E844" s="103"/>
      <c r="F844" s="103"/>
      <c r="G844" s="103"/>
      <c r="H844" s="103"/>
      <c r="I844" s="103"/>
      <c r="J844" s="103"/>
      <c r="K844" s="103"/>
      <c r="L844" s="103"/>
      <c r="M844" s="104"/>
      <c r="N844" s="103"/>
    </row>
    <row r="845" spans="1:14" ht="45" customHeight="1" thickBot="1" x14ac:dyDescent="0.4">
      <c r="A845" s="103"/>
      <c r="B845" s="103"/>
      <c r="C845" s="103"/>
      <c r="D845" s="103"/>
      <c r="E845" s="103"/>
      <c r="F845" s="103"/>
      <c r="G845" s="103"/>
      <c r="H845" s="103"/>
      <c r="I845" s="103"/>
      <c r="J845" s="103"/>
      <c r="K845" s="103"/>
      <c r="L845" s="103"/>
      <c r="M845" s="104"/>
      <c r="N845" s="103"/>
    </row>
    <row r="846" spans="1:14" ht="45" customHeight="1" thickBot="1" x14ac:dyDescent="0.4">
      <c r="A846" s="103"/>
      <c r="B846" s="103"/>
      <c r="C846" s="103"/>
      <c r="D846" s="103"/>
      <c r="E846" s="103"/>
      <c r="F846" s="103"/>
      <c r="G846" s="103"/>
      <c r="H846" s="103"/>
      <c r="I846" s="103"/>
      <c r="J846" s="103"/>
      <c r="K846" s="103"/>
      <c r="L846" s="103"/>
      <c r="M846" s="104"/>
      <c r="N846" s="103"/>
    </row>
    <row r="847" spans="1:14" ht="45" customHeight="1" thickBot="1" x14ac:dyDescent="0.4">
      <c r="A847" s="103"/>
      <c r="B847" s="103"/>
      <c r="C847" s="103"/>
      <c r="D847" s="103"/>
      <c r="E847" s="103"/>
      <c r="F847" s="103"/>
      <c r="G847" s="103"/>
      <c r="H847" s="103"/>
      <c r="I847" s="103"/>
      <c r="J847" s="103"/>
      <c r="K847" s="103"/>
      <c r="L847" s="103"/>
      <c r="M847" s="104"/>
      <c r="N847" s="103"/>
    </row>
    <row r="848" spans="1:14" ht="45" customHeight="1" thickBot="1" x14ac:dyDescent="0.4">
      <c r="A848" s="103"/>
      <c r="B848" s="103"/>
      <c r="C848" s="103"/>
      <c r="D848" s="103"/>
      <c r="E848" s="103"/>
      <c r="F848" s="103"/>
      <c r="G848" s="103"/>
      <c r="H848" s="103"/>
      <c r="I848" s="103"/>
      <c r="J848" s="103"/>
      <c r="K848" s="103"/>
      <c r="L848" s="103"/>
      <c r="M848" s="104"/>
      <c r="N848" s="103"/>
    </row>
    <row r="849" spans="1:14" ht="45" customHeight="1" thickBot="1" x14ac:dyDescent="0.4">
      <c r="A849" s="103"/>
      <c r="B849" s="103"/>
      <c r="C849" s="103"/>
      <c r="D849" s="103"/>
      <c r="E849" s="103"/>
      <c r="F849" s="103"/>
      <c r="G849" s="103"/>
      <c r="H849" s="103"/>
      <c r="I849" s="103"/>
      <c r="J849" s="103"/>
      <c r="K849" s="103"/>
      <c r="L849" s="103"/>
      <c r="M849" s="104"/>
      <c r="N849" s="103"/>
    </row>
    <row r="850" spans="1:14" ht="45" customHeight="1" thickBot="1" x14ac:dyDescent="0.4">
      <c r="A850" s="103"/>
      <c r="B850" s="103"/>
      <c r="C850" s="103"/>
      <c r="D850" s="103"/>
      <c r="E850" s="103"/>
      <c r="F850" s="103"/>
      <c r="G850" s="103"/>
      <c r="H850" s="103"/>
      <c r="I850" s="103"/>
      <c r="J850" s="103"/>
      <c r="K850" s="103"/>
      <c r="L850" s="103"/>
      <c r="M850" s="104"/>
      <c r="N850" s="103"/>
    </row>
    <row r="851" spans="1:14" ht="45" customHeight="1" thickBot="1" x14ac:dyDescent="0.4">
      <c r="A851" s="103"/>
      <c r="B851" s="103"/>
      <c r="C851" s="103"/>
      <c r="D851" s="103"/>
      <c r="E851" s="103"/>
      <c r="F851" s="103"/>
      <c r="G851" s="103"/>
      <c r="H851" s="103"/>
      <c r="I851" s="103"/>
      <c r="J851" s="103"/>
      <c r="K851" s="103"/>
      <c r="L851" s="103"/>
      <c r="M851" s="104"/>
      <c r="N851" s="103"/>
    </row>
    <row r="852" spans="1:14" ht="45" customHeight="1" thickBot="1" x14ac:dyDescent="0.4">
      <c r="A852" s="103"/>
      <c r="B852" s="103"/>
      <c r="C852" s="103"/>
      <c r="D852" s="103"/>
      <c r="E852" s="103"/>
      <c r="F852" s="103"/>
      <c r="G852" s="103"/>
      <c r="H852" s="103"/>
      <c r="I852" s="103"/>
      <c r="J852" s="103"/>
      <c r="K852" s="103"/>
      <c r="L852" s="103"/>
      <c r="M852" s="104"/>
      <c r="N852" s="103"/>
    </row>
    <row r="853" spans="1:14" ht="45" customHeight="1" thickBot="1" x14ac:dyDescent="0.4">
      <c r="A853" s="103"/>
      <c r="B853" s="103"/>
      <c r="C853" s="103"/>
      <c r="D853" s="103"/>
      <c r="E853" s="103"/>
      <c r="F853" s="103"/>
      <c r="G853" s="103"/>
      <c r="H853" s="103"/>
      <c r="I853" s="103"/>
      <c r="J853" s="103"/>
      <c r="K853" s="103"/>
      <c r="L853" s="103"/>
      <c r="M853" s="104"/>
      <c r="N853" s="103"/>
    </row>
    <row r="854" spans="1:14" ht="45" customHeight="1" thickBot="1" x14ac:dyDescent="0.4">
      <c r="A854" s="103"/>
      <c r="B854" s="103"/>
      <c r="C854" s="103"/>
      <c r="D854" s="103"/>
      <c r="E854" s="103"/>
      <c r="F854" s="103"/>
      <c r="G854" s="103"/>
      <c r="H854" s="103"/>
      <c r="I854" s="103"/>
      <c r="J854" s="103"/>
      <c r="K854" s="103"/>
      <c r="L854" s="103"/>
      <c r="M854" s="104"/>
      <c r="N854" s="103"/>
    </row>
    <row r="855" spans="1:14" ht="45" customHeight="1" thickBot="1" x14ac:dyDescent="0.4">
      <c r="A855" s="103"/>
      <c r="B855" s="103"/>
      <c r="C855" s="103"/>
      <c r="D855" s="103"/>
      <c r="E855" s="103"/>
      <c r="F855" s="103"/>
      <c r="G855" s="103"/>
      <c r="H855" s="103"/>
      <c r="I855" s="103"/>
      <c r="J855" s="103"/>
      <c r="K855" s="103"/>
      <c r="L855" s="103"/>
      <c r="M855" s="104"/>
      <c r="N855" s="103"/>
    </row>
    <row r="856" spans="1:14" ht="45" customHeight="1" thickBot="1" x14ac:dyDescent="0.4">
      <c r="A856" s="103"/>
      <c r="B856" s="103"/>
      <c r="C856" s="103"/>
      <c r="D856" s="103"/>
      <c r="E856" s="103"/>
      <c r="F856" s="103"/>
      <c r="G856" s="103"/>
      <c r="H856" s="103"/>
      <c r="I856" s="103"/>
      <c r="J856" s="103"/>
      <c r="K856" s="103"/>
      <c r="L856" s="103"/>
      <c r="M856" s="104"/>
      <c r="N856" s="103"/>
    </row>
    <row r="857" spans="1:14" ht="45" customHeight="1" thickBot="1" x14ac:dyDescent="0.4">
      <c r="A857" s="103"/>
      <c r="B857" s="103"/>
      <c r="C857" s="103"/>
      <c r="D857" s="103"/>
      <c r="E857" s="103"/>
      <c r="F857" s="103"/>
      <c r="G857" s="103"/>
      <c r="H857" s="103"/>
      <c r="I857" s="103"/>
      <c r="J857" s="103"/>
      <c r="K857" s="103"/>
      <c r="L857" s="103"/>
      <c r="M857" s="104"/>
      <c r="N857" s="103"/>
    </row>
    <row r="858" spans="1:14" ht="45" customHeight="1" thickBot="1" x14ac:dyDescent="0.4">
      <c r="A858" s="103"/>
      <c r="B858" s="103"/>
      <c r="C858" s="103"/>
      <c r="D858" s="103"/>
      <c r="E858" s="103"/>
      <c r="F858" s="103"/>
      <c r="G858" s="103"/>
      <c r="H858" s="103"/>
      <c r="I858" s="103"/>
      <c r="J858" s="103"/>
      <c r="K858" s="103"/>
      <c r="L858" s="103"/>
      <c r="M858" s="104"/>
      <c r="N858" s="103"/>
    </row>
    <row r="859" spans="1:14" ht="45" customHeight="1" thickBot="1" x14ac:dyDescent="0.4">
      <c r="A859" s="103"/>
      <c r="B859" s="103"/>
      <c r="C859" s="103"/>
      <c r="D859" s="103"/>
      <c r="E859" s="103"/>
      <c r="F859" s="103"/>
      <c r="G859" s="103"/>
      <c r="H859" s="103"/>
      <c r="I859" s="103"/>
      <c r="J859" s="103"/>
      <c r="K859" s="103"/>
      <c r="L859" s="103"/>
      <c r="M859" s="104"/>
      <c r="N859" s="103"/>
    </row>
    <row r="860" spans="1:14" ht="45" customHeight="1" thickBot="1" x14ac:dyDescent="0.4">
      <c r="A860" s="103"/>
      <c r="B860" s="103"/>
      <c r="C860" s="103"/>
      <c r="D860" s="103"/>
      <c r="E860" s="103"/>
      <c r="F860" s="103"/>
      <c r="G860" s="103"/>
      <c r="H860" s="103"/>
      <c r="I860" s="103"/>
      <c r="J860" s="103"/>
      <c r="K860" s="103"/>
      <c r="L860" s="103"/>
      <c r="M860" s="104"/>
      <c r="N860" s="103"/>
    </row>
    <row r="861" spans="1:14" ht="45" customHeight="1" thickBot="1" x14ac:dyDescent="0.4">
      <c r="A861" s="103"/>
      <c r="B861" s="103"/>
      <c r="C861" s="103"/>
      <c r="D861" s="103"/>
      <c r="E861" s="103"/>
      <c r="F861" s="103"/>
      <c r="G861" s="103"/>
      <c r="H861" s="103"/>
      <c r="I861" s="103"/>
      <c r="J861" s="103"/>
      <c r="K861" s="103"/>
      <c r="L861" s="103"/>
      <c r="M861" s="104"/>
      <c r="N861" s="103"/>
    </row>
    <row r="862" spans="1:14" ht="45" customHeight="1" thickBot="1" x14ac:dyDescent="0.4">
      <c r="A862" s="103"/>
      <c r="B862" s="103"/>
      <c r="C862" s="103"/>
      <c r="D862" s="103"/>
      <c r="E862" s="103"/>
      <c r="F862" s="103"/>
      <c r="G862" s="103"/>
      <c r="H862" s="103"/>
      <c r="I862" s="103"/>
      <c r="J862" s="103"/>
      <c r="K862" s="103"/>
      <c r="L862" s="103"/>
      <c r="M862" s="104"/>
      <c r="N862" s="103"/>
    </row>
    <row r="863" spans="1:14" ht="45" customHeight="1" thickBot="1" x14ac:dyDescent="0.4">
      <c r="A863" s="103"/>
      <c r="B863" s="103"/>
      <c r="C863" s="103"/>
      <c r="D863" s="103"/>
      <c r="E863" s="103"/>
      <c r="F863" s="103"/>
      <c r="G863" s="103"/>
      <c r="H863" s="103"/>
      <c r="I863" s="103"/>
      <c r="J863" s="103"/>
      <c r="K863" s="103"/>
      <c r="L863" s="103"/>
      <c r="M863" s="104"/>
      <c r="N863" s="103"/>
    </row>
    <row r="864" spans="1:14" ht="45" customHeight="1" thickBot="1" x14ac:dyDescent="0.4">
      <c r="A864" s="103"/>
      <c r="B864" s="103"/>
      <c r="C864" s="103"/>
      <c r="D864" s="103"/>
      <c r="E864" s="103"/>
      <c r="F864" s="103"/>
      <c r="G864" s="103"/>
      <c r="H864" s="103"/>
      <c r="I864" s="103"/>
      <c r="J864" s="103"/>
      <c r="K864" s="103"/>
      <c r="L864" s="103"/>
      <c r="M864" s="104"/>
      <c r="N864" s="103"/>
    </row>
    <row r="865" spans="1:14" ht="45" customHeight="1" thickBot="1" x14ac:dyDescent="0.4">
      <c r="A865" s="103"/>
      <c r="B865" s="103"/>
      <c r="C865" s="103"/>
      <c r="D865" s="103"/>
      <c r="E865" s="103"/>
      <c r="F865" s="103"/>
      <c r="G865" s="103"/>
      <c r="H865" s="103"/>
      <c r="I865" s="103"/>
      <c r="J865" s="103"/>
      <c r="K865" s="103"/>
      <c r="L865" s="103"/>
      <c r="M865" s="104"/>
      <c r="N865" s="103"/>
    </row>
    <row r="866" spans="1:14" ht="45" customHeight="1" thickBot="1" x14ac:dyDescent="0.4">
      <c r="A866" s="103"/>
      <c r="B866" s="103"/>
      <c r="C866" s="103"/>
      <c r="D866" s="103"/>
      <c r="E866" s="103"/>
      <c r="F866" s="103"/>
      <c r="G866" s="103"/>
      <c r="H866" s="103"/>
      <c r="I866" s="103"/>
      <c r="J866" s="103"/>
      <c r="K866" s="103"/>
      <c r="L866" s="103"/>
      <c r="M866" s="104"/>
      <c r="N866" s="103"/>
    </row>
    <row r="867" spans="1:14" ht="45" customHeight="1" thickBot="1" x14ac:dyDescent="0.4">
      <c r="A867" s="103"/>
      <c r="B867" s="103"/>
      <c r="C867" s="103"/>
      <c r="D867" s="103"/>
      <c r="E867" s="103"/>
      <c r="F867" s="103"/>
      <c r="G867" s="103"/>
      <c r="H867" s="103"/>
      <c r="I867" s="103"/>
      <c r="J867" s="103"/>
      <c r="K867" s="103"/>
      <c r="L867" s="103"/>
      <c r="M867" s="104"/>
      <c r="N867" s="103"/>
    </row>
    <row r="868" spans="1:14" ht="45" customHeight="1" thickBot="1" x14ac:dyDescent="0.4">
      <c r="A868" s="103"/>
      <c r="B868" s="103"/>
      <c r="C868" s="103"/>
      <c r="D868" s="103"/>
      <c r="E868" s="103"/>
      <c r="F868" s="103"/>
      <c r="G868" s="103"/>
      <c r="H868" s="103"/>
      <c r="I868" s="103"/>
      <c r="J868" s="103"/>
      <c r="K868" s="103"/>
      <c r="L868" s="103"/>
      <c r="M868" s="104"/>
      <c r="N868" s="103"/>
    </row>
    <row r="869" spans="1:14" ht="45" customHeight="1" thickBot="1" x14ac:dyDescent="0.4">
      <c r="A869" s="103"/>
      <c r="B869" s="103"/>
      <c r="C869" s="103"/>
      <c r="D869" s="103"/>
      <c r="E869" s="103"/>
      <c r="F869" s="103"/>
      <c r="G869" s="103"/>
      <c r="H869" s="103"/>
      <c r="I869" s="103"/>
      <c r="J869" s="103"/>
      <c r="K869" s="103"/>
      <c r="L869" s="103"/>
      <c r="M869" s="104"/>
      <c r="N869" s="103"/>
    </row>
    <row r="870" spans="1:14" ht="45" customHeight="1" thickBot="1" x14ac:dyDescent="0.4">
      <c r="A870" s="103"/>
      <c r="B870" s="103"/>
      <c r="C870" s="103"/>
      <c r="D870" s="103"/>
      <c r="E870" s="103"/>
      <c r="F870" s="103"/>
      <c r="G870" s="103"/>
      <c r="H870" s="103"/>
      <c r="I870" s="103"/>
      <c r="J870" s="103"/>
      <c r="K870" s="103"/>
      <c r="L870" s="103"/>
      <c r="M870" s="104"/>
      <c r="N870" s="103"/>
    </row>
    <row r="871" spans="1:14" ht="45" customHeight="1" thickBot="1" x14ac:dyDescent="0.4">
      <c r="A871" s="103"/>
      <c r="B871" s="103"/>
      <c r="C871" s="103"/>
      <c r="D871" s="103"/>
      <c r="E871" s="103"/>
      <c r="F871" s="103"/>
      <c r="G871" s="103"/>
      <c r="H871" s="103"/>
      <c r="I871" s="103"/>
      <c r="J871" s="103"/>
      <c r="K871" s="103"/>
      <c r="L871" s="103"/>
      <c r="M871" s="104"/>
      <c r="N871" s="103"/>
    </row>
    <row r="872" spans="1:14" ht="45" customHeight="1" thickBot="1" x14ac:dyDescent="0.4">
      <c r="A872" s="103"/>
      <c r="B872" s="103"/>
      <c r="C872" s="103"/>
      <c r="D872" s="103"/>
      <c r="E872" s="103"/>
      <c r="F872" s="103"/>
      <c r="G872" s="103"/>
      <c r="H872" s="103"/>
      <c r="I872" s="103"/>
      <c r="J872" s="103"/>
      <c r="K872" s="103"/>
      <c r="L872" s="103"/>
      <c r="M872" s="104"/>
      <c r="N872" s="103"/>
    </row>
    <row r="873" spans="1:14" ht="45" customHeight="1" thickBot="1" x14ac:dyDescent="0.4">
      <c r="A873" s="103"/>
      <c r="B873" s="103"/>
      <c r="C873" s="103"/>
      <c r="D873" s="103"/>
      <c r="E873" s="103"/>
      <c r="F873" s="103"/>
      <c r="G873" s="103"/>
      <c r="H873" s="103"/>
      <c r="I873" s="103"/>
      <c r="J873" s="103"/>
      <c r="K873" s="103"/>
      <c r="L873" s="103"/>
      <c r="M873" s="104"/>
      <c r="N873" s="103"/>
    </row>
    <row r="874" spans="1:14" ht="45" customHeight="1" thickBot="1" x14ac:dyDescent="0.4">
      <c r="A874" s="103"/>
      <c r="B874" s="103"/>
      <c r="C874" s="103"/>
      <c r="D874" s="103"/>
      <c r="E874" s="103"/>
      <c r="F874" s="103"/>
      <c r="G874" s="103"/>
      <c r="H874" s="103"/>
      <c r="I874" s="103"/>
      <c r="J874" s="103"/>
      <c r="K874" s="103"/>
      <c r="L874" s="103"/>
      <c r="M874" s="104"/>
      <c r="N874" s="103"/>
    </row>
    <row r="875" spans="1:14" ht="45" customHeight="1" thickBot="1" x14ac:dyDescent="0.4">
      <c r="A875" s="103"/>
      <c r="B875" s="103"/>
      <c r="C875" s="103"/>
      <c r="D875" s="103"/>
      <c r="E875" s="103"/>
      <c r="F875" s="103"/>
      <c r="G875" s="103"/>
      <c r="H875" s="103"/>
      <c r="I875" s="103"/>
      <c r="J875" s="103"/>
      <c r="K875" s="103"/>
      <c r="L875" s="103"/>
      <c r="M875" s="104"/>
      <c r="N875" s="103"/>
    </row>
    <row r="876" spans="1:14" ht="45" customHeight="1" thickBot="1" x14ac:dyDescent="0.4">
      <c r="A876" s="103"/>
      <c r="B876" s="103"/>
      <c r="C876" s="103"/>
      <c r="D876" s="103"/>
      <c r="E876" s="103"/>
      <c r="F876" s="103"/>
      <c r="G876" s="103"/>
      <c r="H876" s="103"/>
      <c r="I876" s="103"/>
      <c r="J876" s="103"/>
      <c r="K876" s="103"/>
      <c r="L876" s="103"/>
      <c r="M876" s="104"/>
      <c r="N876" s="103"/>
    </row>
    <row r="877" spans="1:14" ht="45" customHeight="1" thickBot="1" x14ac:dyDescent="0.4">
      <c r="A877" s="103"/>
      <c r="B877" s="103"/>
      <c r="C877" s="103"/>
      <c r="D877" s="103"/>
      <c r="E877" s="103"/>
      <c r="F877" s="103"/>
      <c r="G877" s="103"/>
      <c r="H877" s="103"/>
      <c r="I877" s="103"/>
      <c r="J877" s="103"/>
      <c r="K877" s="103"/>
      <c r="L877" s="103"/>
      <c r="M877" s="104"/>
      <c r="N877" s="103"/>
    </row>
    <row r="878" spans="1:14" ht="45" customHeight="1" thickBot="1" x14ac:dyDescent="0.4">
      <c r="A878" s="103"/>
      <c r="B878" s="103"/>
      <c r="C878" s="103"/>
      <c r="D878" s="103"/>
      <c r="E878" s="103"/>
      <c r="F878" s="103"/>
      <c r="G878" s="103"/>
      <c r="H878" s="103"/>
      <c r="I878" s="103"/>
      <c r="J878" s="103"/>
      <c r="K878" s="103"/>
      <c r="L878" s="103"/>
      <c r="M878" s="104"/>
      <c r="N878" s="103"/>
    </row>
    <row r="879" spans="1:14" ht="45" customHeight="1" thickBot="1" x14ac:dyDescent="0.4">
      <c r="A879" s="103"/>
      <c r="B879" s="103"/>
      <c r="C879" s="103"/>
      <c r="D879" s="103"/>
      <c r="E879" s="103"/>
      <c r="F879" s="103"/>
      <c r="G879" s="103"/>
      <c r="H879" s="103"/>
      <c r="I879" s="103"/>
      <c r="J879" s="103"/>
      <c r="K879" s="103"/>
      <c r="L879" s="103"/>
      <c r="M879" s="104"/>
      <c r="N879" s="103"/>
    </row>
    <row r="880" spans="1:14" ht="45" customHeight="1" thickBot="1" x14ac:dyDescent="0.4">
      <c r="A880" s="103"/>
      <c r="B880" s="103"/>
      <c r="C880" s="103"/>
      <c r="D880" s="103"/>
      <c r="E880" s="103"/>
      <c r="F880" s="103"/>
      <c r="G880" s="103"/>
      <c r="H880" s="103"/>
      <c r="I880" s="103"/>
      <c r="J880" s="103"/>
      <c r="K880" s="103"/>
      <c r="L880" s="103"/>
      <c r="M880" s="104"/>
      <c r="N880" s="103"/>
    </row>
    <row r="881" spans="1:14" ht="45" customHeight="1" thickBot="1" x14ac:dyDescent="0.4">
      <c r="A881" s="103"/>
      <c r="B881" s="103"/>
      <c r="C881" s="103"/>
      <c r="D881" s="103"/>
      <c r="E881" s="103"/>
      <c r="F881" s="103"/>
      <c r="G881" s="103"/>
      <c r="H881" s="103"/>
      <c r="I881" s="103"/>
      <c r="J881" s="103"/>
      <c r="K881" s="103"/>
      <c r="L881" s="103"/>
      <c r="M881" s="104"/>
      <c r="N881" s="103"/>
    </row>
    <row r="882" spans="1:14" ht="45" customHeight="1" thickBot="1" x14ac:dyDescent="0.4">
      <c r="A882" s="103"/>
      <c r="B882" s="103"/>
      <c r="C882" s="103"/>
      <c r="D882" s="103"/>
      <c r="E882" s="103"/>
      <c r="F882" s="103"/>
      <c r="G882" s="103"/>
      <c r="H882" s="103"/>
      <c r="I882" s="103"/>
      <c r="J882" s="103"/>
      <c r="K882" s="103"/>
      <c r="L882" s="103"/>
      <c r="M882" s="104"/>
      <c r="N882" s="103"/>
    </row>
    <row r="883" spans="1:14" ht="45" customHeight="1" thickBot="1" x14ac:dyDescent="0.4">
      <c r="A883" s="103"/>
      <c r="B883" s="103"/>
      <c r="C883" s="103"/>
      <c r="D883" s="103"/>
      <c r="E883" s="103"/>
      <c r="F883" s="103"/>
      <c r="G883" s="103"/>
      <c r="H883" s="103"/>
      <c r="I883" s="103"/>
      <c r="J883" s="103"/>
      <c r="K883" s="103"/>
      <c r="L883" s="103"/>
      <c r="M883" s="104"/>
      <c r="N883" s="103"/>
    </row>
    <row r="884" spans="1:14" ht="45" customHeight="1" thickBot="1" x14ac:dyDescent="0.4">
      <c r="A884" s="103"/>
      <c r="B884" s="103"/>
      <c r="C884" s="103"/>
      <c r="D884" s="103"/>
      <c r="E884" s="103"/>
      <c r="F884" s="103"/>
      <c r="G884" s="103"/>
      <c r="H884" s="103"/>
      <c r="I884" s="103"/>
      <c r="J884" s="103"/>
      <c r="K884" s="103"/>
      <c r="L884" s="103"/>
      <c r="M884" s="104"/>
      <c r="N884" s="103"/>
    </row>
    <row r="885" spans="1:14" ht="45" customHeight="1" thickBot="1" x14ac:dyDescent="0.4">
      <c r="A885" s="103"/>
      <c r="B885" s="103"/>
      <c r="C885" s="103"/>
      <c r="D885" s="103"/>
      <c r="E885" s="103"/>
      <c r="F885" s="103"/>
      <c r="G885" s="103"/>
      <c r="H885" s="103"/>
      <c r="I885" s="103"/>
      <c r="J885" s="103"/>
      <c r="K885" s="103"/>
      <c r="L885" s="103"/>
      <c r="M885" s="104"/>
      <c r="N885" s="103"/>
    </row>
    <row r="886" spans="1:14" ht="45" customHeight="1" thickBot="1" x14ac:dyDescent="0.4">
      <c r="A886" s="103"/>
      <c r="B886" s="103"/>
      <c r="C886" s="103"/>
      <c r="D886" s="103"/>
      <c r="E886" s="103"/>
      <c r="F886" s="103"/>
      <c r="G886" s="103"/>
      <c r="H886" s="103"/>
      <c r="I886" s="103"/>
      <c r="J886" s="103"/>
      <c r="K886" s="103"/>
      <c r="L886" s="103"/>
      <c r="M886" s="104"/>
      <c r="N886" s="103"/>
    </row>
    <row r="887" spans="1:14" ht="45" customHeight="1" thickBot="1" x14ac:dyDescent="0.4">
      <c r="A887" s="103"/>
      <c r="B887" s="103"/>
      <c r="C887" s="103"/>
      <c r="D887" s="103"/>
      <c r="E887" s="103"/>
      <c r="F887" s="103"/>
      <c r="G887" s="103"/>
      <c r="H887" s="103"/>
      <c r="I887" s="103"/>
      <c r="J887" s="103"/>
      <c r="K887" s="103"/>
      <c r="L887" s="103"/>
      <c r="M887" s="104"/>
      <c r="N887" s="103"/>
    </row>
    <row r="888" spans="1:14" ht="45" customHeight="1" thickBot="1" x14ac:dyDescent="0.4">
      <c r="A888" s="103"/>
      <c r="B888" s="103"/>
      <c r="C888" s="103"/>
      <c r="D888" s="103"/>
      <c r="E888" s="103"/>
      <c r="F888" s="103"/>
      <c r="G888" s="103"/>
      <c r="H888" s="103"/>
      <c r="I888" s="103"/>
      <c r="J888" s="103"/>
      <c r="K888" s="103"/>
      <c r="L888" s="103"/>
      <c r="M888" s="104"/>
      <c r="N888" s="103"/>
    </row>
    <row r="889" spans="1:14" ht="45" customHeight="1" thickBot="1" x14ac:dyDescent="0.4">
      <c r="A889" s="103"/>
      <c r="B889" s="103"/>
      <c r="C889" s="103"/>
      <c r="D889" s="103"/>
      <c r="E889" s="103"/>
      <c r="F889" s="103"/>
      <c r="G889" s="103"/>
      <c r="H889" s="103"/>
      <c r="I889" s="103"/>
      <c r="J889" s="103"/>
      <c r="K889" s="103"/>
      <c r="L889" s="103"/>
      <c r="M889" s="104"/>
      <c r="N889" s="103"/>
    </row>
    <row r="890" spans="1:14" ht="45" customHeight="1" thickBot="1" x14ac:dyDescent="0.4">
      <c r="A890" s="103"/>
      <c r="B890" s="103"/>
      <c r="C890" s="103"/>
      <c r="D890" s="103"/>
      <c r="E890" s="103"/>
      <c r="F890" s="103"/>
      <c r="G890" s="103"/>
      <c r="H890" s="103"/>
      <c r="I890" s="103"/>
      <c r="J890" s="103"/>
      <c r="K890" s="103"/>
      <c r="L890" s="103"/>
      <c r="M890" s="104"/>
      <c r="N890" s="103"/>
    </row>
    <row r="891" spans="1:14" ht="45" customHeight="1" thickBot="1" x14ac:dyDescent="0.4">
      <c r="A891" s="103"/>
      <c r="B891" s="103"/>
      <c r="C891" s="103"/>
      <c r="D891" s="103"/>
      <c r="E891" s="103"/>
      <c r="F891" s="103"/>
      <c r="G891" s="103"/>
      <c r="H891" s="103"/>
      <c r="I891" s="103"/>
      <c r="J891" s="103"/>
      <c r="K891" s="103"/>
      <c r="L891" s="103"/>
      <c r="M891" s="104"/>
      <c r="N891" s="103"/>
    </row>
    <row r="892" spans="1:14" ht="45" customHeight="1" thickBot="1" x14ac:dyDescent="0.4">
      <c r="A892" s="103"/>
      <c r="B892" s="103"/>
      <c r="C892" s="103"/>
      <c r="D892" s="103"/>
      <c r="E892" s="103"/>
      <c r="F892" s="103"/>
      <c r="G892" s="103"/>
      <c r="H892" s="103"/>
      <c r="I892" s="103"/>
      <c r="J892" s="103"/>
      <c r="K892" s="103"/>
      <c r="L892" s="103"/>
      <c r="M892" s="104"/>
      <c r="N892" s="103"/>
    </row>
    <row r="893" spans="1:14" ht="45" customHeight="1" thickBot="1" x14ac:dyDescent="0.4">
      <c r="A893" s="103"/>
      <c r="B893" s="103"/>
      <c r="C893" s="103"/>
      <c r="D893" s="103"/>
      <c r="E893" s="103"/>
      <c r="F893" s="103"/>
      <c r="G893" s="103"/>
      <c r="H893" s="103"/>
      <c r="I893" s="103"/>
      <c r="J893" s="103"/>
      <c r="K893" s="103"/>
      <c r="L893" s="103"/>
      <c r="M893" s="104"/>
      <c r="N893" s="103"/>
    </row>
    <row r="894" spans="1:14" ht="45" customHeight="1" thickBot="1" x14ac:dyDescent="0.4">
      <c r="A894" s="103"/>
      <c r="B894" s="103"/>
      <c r="C894" s="103"/>
      <c r="D894" s="103"/>
      <c r="E894" s="103"/>
      <c r="F894" s="103"/>
      <c r="G894" s="103"/>
      <c r="H894" s="103"/>
      <c r="I894" s="103"/>
      <c r="J894" s="103"/>
      <c r="K894" s="103"/>
      <c r="L894" s="103"/>
      <c r="M894" s="104"/>
      <c r="N894" s="103"/>
    </row>
    <row r="895" spans="1:14" ht="45" customHeight="1" thickBot="1" x14ac:dyDescent="0.4">
      <c r="A895" s="103"/>
      <c r="B895" s="103"/>
      <c r="C895" s="103"/>
      <c r="D895" s="103"/>
      <c r="E895" s="103"/>
      <c r="F895" s="103"/>
      <c r="G895" s="103"/>
      <c r="H895" s="103"/>
      <c r="I895" s="103"/>
      <c r="J895" s="103"/>
      <c r="K895" s="103"/>
      <c r="L895" s="103"/>
      <c r="M895" s="104"/>
      <c r="N895" s="103"/>
    </row>
    <row r="896" spans="1:14" ht="45" customHeight="1" thickBot="1" x14ac:dyDescent="0.4">
      <c r="A896" s="103"/>
      <c r="B896" s="103"/>
      <c r="C896" s="103"/>
      <c r="D896" s="103"/>
      <c r="E896" s="103"/>
      <c r="F896" s="103"/>
      <c r="G896" s="103"/>
      <c r="H896" s="103"/>
      <c r="I896" s="103"/>
      <c r="J896" s="103"/>
      <c r="K896" s="103"/>
      <c r="L896" s="103"/>
      <c r="M896" s="104"/>
      <c r="N896" s="103"/>
    </row>
    <row r="897" spans="1:14" ht="45" customHeight="1" thickBot="1" x14ac:dyDescent="0.4">
      <c r="A897" s="103"/>
      <c r="B897" s="103"/>
      <c r="C897" s="103"/>
      <c r="D897" s="103"/>
      <c r="E897" s="103"/>
      <c r="F897" s="103"/>
      <c r="G897" s="103"/>
      <c r="H897" s="103"/>
      <c r="I897" s="103"/>
      <c r="J897" s="103"/>
      <c r="K897" s="103"/>
      <c r="L897" s="103"/>
      <c r="M897" s="104"/>
      <c r="N897" s="103"/>
    </row>
    <row r="898" spans="1:14" ht="45" customHeight="1" thickBot="1" x14ac:dyDescent="0.4">
      <c r="A898" s="103"/>
      <c r="B898" s="103"/>
      <c r="C898" s="103"/>
      <c r="D898" s="103"/>
      <c r="E898" s="103"/>
      <c r="F898" s="103"/>
      <c r="G898" s="103"/>
      <c r="H898" s="103"/>
      <c r="I898" s="103"/>
      <c r="J898" s="103"/>
      <c r="K898" s="103"/>
      <c r="L898" s="103"/>
      <c r="M898" s="104"/>
      <c r="N898" s="103"/>
    </row>
    <row r="899" spans="1:14" ht="45" customHeight="1" thickBot="1" x14ac:dyDescent="0.4">
      <c r="A899" s="103"/>
      <c r="B899" s="103"/>
      <c r="C899" s="103"/>
      <c r="D899" s="103"/>
      <c r="E899" s="103"/>
      <c r="F899" s="103"/>
      <c r="G899" s="103"/>
      <c r="H899" s="103"/>
      <c r="I899" s="103"/>
      <c r="J899" s="103"/>
      <c r="K899" s="103"/>
      <c r="L899" s="103"/>
      <c r="M899" s="104"/>
      <c r="N899" s="103"/>
    </row>
    <row r="900" spans="1:14" ht="45" customHeight="1" thickBot="1" x14ac:dyDescent="0.4">
      <c r="A900" s="103"/>
      <c r="B900" s="103"/>
      <c r="C900" s="103"/>
      <c r="D900" s="103"/>
      <c r="E900" s="103"/>
      <c r="F900" s="103"/>
      <c r="G900" s="103"/>
      <c r="H900" s="103"/>
      <c r="I900" s="103"/>
      <c r="J900" s="103"/>
      <c r="K900" s="103"/>
      <c r="L900" s="103"/>
      <c r="M900" s="104"/>
      <c r="N900" s="103"/>
    </row>
    <row r="901" spans="1:14" ht="45" customHeight="1" thickBot="1" x14ac:dyDescent="0.4">
      <c r="A901" s="103"/>
      <c r="B901" s="103"/>
      <c r="C901" s="103"/>
      <c r="D901" s="103"/>
      <c r="E901" s="103"/>
      <c r="F901" s="103"/>
      <c r="G901" s="103"/>
      <c r="H901" s="103"/>
      <c r="I901" s="103"/>
      <c r="J901" s="103"/>
      <c r="K901" s="103"/>
      <c r="L901" s="103"/>
      <c r="M901" s="104"/>
      <c r="N901" s="103"/>
    </row>
    <row r="902" spans="1:14" ht="45" customHeight="1" thickBot="1" x14ac:dyDescent="0.4">
      <c r="A902" s="103"/>
      <c r="B902" s="103"/>
      <c r="C902" s="103"/>
      <c r="D902" s="103"/>
      <c r="E902" s="103"/>
      <c r="F902" s="103"/>
      <c r="G902" s="103"/>
      <c r="H902" s="103"/>
      <c r="I902" s="103"/>
      <c r="J902" s="103"/>
      <c r="K902" s="103"/>
      <c r="L902" s="103"/>
      <c r="M902" s="104"/>
      <c r="N902" s="103"/>
    </row>
    <row r="903" spans="1:14" ht="45" customHeight="1" thickBot="1" x14ac:dyDescent="0.4">
      <c r="A903" s="103"/>
      <c r="B903" s="103"/>
      <c r="C903" s="103"/>
      <c r="D903" s="103"/>
      <c r="E903" s="103"/>
      <c r="F903" s="103"/>
      <c r="G903" s="103"/>
      <c r="H903" s="103"/>
      <c r="I903" s="103"/>
      <c r="J903" s="103"/>
      <c r="K903" s="103"/>
      <c r="L903" s="103"/>
      <c r="M903" s="104"/>
      <c r="N903" s="103"/>
    </row>
    <row r="904" spans="1:14" ht="45" customHeight="1" thickBot="1" x14ac:dyDescent="0.4">
      <c r="A904" s="103"/>
      <c r="B904" s="103"/>
      <c r="C904" s="103"/>
      <c r="D904" s="103"/>
      <c r="E904" s="103"/>
      <c r="F904" s="103"/>
      <c r="G904" s="103"/>
      <c r="H904" s="103"/>
      <c r="I904" s="103"/>
      <c r="J904" s="103"/>
      <c r="K904" s="103"/>
      <c r="L904" s="103"/>
      <c r="M904" s="104"/>
      <c r="N904" s="103"/>
    </row>
    <row r="905" spans="1:14" ht="45" customHeight="1" thickBot="1" x14ac:dyDescent="0.4">
      <c r="A905" s="103"/>
      <c r="B905" s="103"/>
      <c r="C905" s="103"/>
      <c r="D905" s="103"/>
      <c r="E905" s="103"/>
      <c r="F905" s="103"/>
      <c r="G905" s="103"/>
      <c r="H905" s="103"/>
      <c r="I905" s="103"/>
      <c r="J905" s="103"/>
      <c r="K905" s="103"/>
      <c r="L905" s="103"/>
      <c r="M905" s="104"/>
      <c r="N905" s="103"/>
    </row>
    <row r="906" spans="1:14" ht="45" customHeight="1" thickBot="1" x14ac:dyDescent="0.4">
      <c r="A906" s="103"/>
      <c r="B906" s="103"/>
      <c r="C906" s="103"/>
      <c r="D906" s="103"/>
      <c r="E906" s="103"/>
      <c r="F906" s="103"/>
      <c r="G906" s="103"/>
      <c r="H906" s="103"/>
      <c r="I906" s="103"/>
      <c r="J906" s="103"/>
      <c r="K906" s="103"/>
      <c r="L906" s="103"/>
      <c r="M906" s="104"/>
      <c r="N906" s="103"/>
    </row>
    <row r="907" spans="1:14" ht="45" customHeight="1" thickBot="1" x14ac:dyDescent="0.4">
      <c r="A907" s="103"/>
      <c r="B907" s="103"/>
      <c r="C907" s="103"/>
      <c r="D907" s="103"/>
      <c r="E907" s="103"/>
      <c r="F907" s="103"/>
      <c r="G907" s="103"/>
      <c r="H907" s="103"/>
      <c r="I907" s="103"/>
      <c r="J907" s="103"/>
      <c r="K907" s="103"/>
      <c r="L907" s="103"/>
      <c r="M907" s="104"/>
      <c r="N907" s="103"/>
    </row>
    <row r="908" spans="1:14" ht="45" customHeight="1" thickBot="1" x14ac:dyDescent="0.4">
      <c r="A908" s="103"/>
      <c r="B908" s="103"/>
      <c r="C908" s="103"/>
      <c r="D908" s="103"/>
      <c r="E908" s="103"/>
      <c r="F908" s="103"/>
      <c r="G908" s="103"/>
      <c r="H908" s="103"/>
      <c r="I908" s="103"/>
      <c r="J908" s="103"/>
      <c r="K908" s="103"/>
      <c r="L908" s="103"/>
      <c r="M908" s="104"/>
      <c r="N908" s="103"/>
    </row>
    <row r="909" spans="1:14" ht="45" customHeight="1" thickBot="1" x14ac:dyDescent="0.4">
      <c r="A909" s="103"/>
      <c r="B909" s="103"/>
      <c r="C909" s="103"/>
      <c r="D909" s="103"/>
      <c r="E909" s="103"/>
      <c r="F909" s="103"/>
      <c r="G909" s="103"/>
      <c r="H909" s="103"/>
      <c r="I909" s="103"/>
      <c r="J909" s="103"/>
      <c r="K909" s="103"/>
      <c r="L909" s="103"/>
      <c r="M909" s="104"/>
      <c r="N909" s="103"/>
    </row>
    <row r="910" spans="1:14" ht="45" customHeight="1" thickBot="1" x14ac:dyDescent="0.4">
      <c r="A910" s="103"/>
      <c r="B910" s="103"/>
      <c r="C910" s="103"/>
      <c r="D910" s="103"/>
      <c r="E910" s="103"/>
      <c r="F910" s="103"/>
      <c r="G910" s="103"/>
      <c r="H910" s="103"/>
      <c r="I910" s="103"/>
      <c r="J910" s="103"/>
      <c r="K910" s="103"/>
      <c r="L910" s="103"/>
      <c r="M910" s="104"/>
      <c r="N910" s="103"/>
    </row>
    <row r="911" spans="1:14" ht="45" customHeight="1" thickBot="1" x14ac:dyDescent="0.4">
      <c r="A911" s="103"/>
      <c r="B911" s="103"/>
      <c r="C911" s="103"/>
      <c r="D911" s="103"/>
      <c r="E911" s="103"/>
      <c r="F911" s="103"/>
      <c r="G911" s="103"/>
      <c r="H911" s="103"/>
      <c r="I911" s="103"/>
      <c r="J911" s="103"/>
      <c r="K911" s="103"/>
      <c r="L911" s="103"/>
      <c r="M911" s="104"/>
      <c r="N911" s="103"/>
    </row>
    <row r="912" spans="1:14" ht="45" customHeight="1" thickBot="1" x14ac:dyDescent="0.4">
      <c r="A912" s="103"/>
      <c r="B912" s="103"/>
      <c r="C912" s="103"/>
      <c r="D912" s="103"/>
      <c r="E912" s="103"/>
      <c r="F912" s="103"/>
      <c r="G912" s="103"/>
      <c r="H912" s="103"/>
      <c r="I912" s="103"/>
      <c r="J912" s="103"/>
      <c r="K912" s="103"/>
      <c r="L912" s="103"/>
      <c r="M912" s="104"/>
      <c r="N912" s="103"/>
    </row>
    <row r="913" spans="1:14" ht="45" customHeight="1" thickBot="1" x14ac:dyDescent="0.4">
      <c r="A913" s="103"/>
      <c r="B913" s="103"/>
      <c r="C913" s="103"/>
      <c r="D913" s="103"/>
      <c r="E913" s="103"/>
      <c r="F913" s="103"/>
      <c r="G913" s="103"/>
      <c r="H913" s="103"/>
      <c r="I913" s="103"/>
      <c r="J913" s="103"/>
      <c r="K913" s="103"/>
      <c r="L913" s="103"/>
      <c r="M913" s="104"/>
      <c r="N913" s="103"/>
    </row>
    <row r="914" spans="1:14" ht="45" customHeight="1" thickBot="1" x14ac:dyDescent="0.4">
      <c r="A914" s="103"/>
      <c r="B914" s="103"/>
      <c r="C914" s="103"/>
      <c r="D914" s="103"/>
      <c r="E914" s="103"/>
      <c r="F914" s="103"/>
      <c r="G914" s="103"/>
      <c r="H914" s="103"/>
      <c r="I914" s="103"/>
      <c r="J914" s="103"/>
      <c r="K914" s="103"/>
      <c r="L914" s="103"/>
      <c r="M914" s="104"/>
      <c r="N914" s="103"/>
    </row>
    <row r="915" spans="1:14" ht="45" customHeight="1" thickBot="1" x14ac:dyDescent="0.4">
      <c r="A915" s="103"/>
      <c r="B915" s="103"/>
      <c r="C915" s="103"/>
      <c r="D915" s="103"/>
      <c r="E915" s="103"/>
      <c r="F915" s="103"/>
      <c r="G915" s="103"/>
      <c r="H915" s="103"/>
      <c r="I915" s="103"/>
      <c r="J915" s="103"/>
      <c r="K915" s="103"/>
      <c r="L915" s="103"/>
      <c r="M915" s="104"/>
      <c r="N915" s="103"/>
    </row>
    <row r="916" spans="1:14" ht="45" customHeight="1" thickBot="1" x14ac:dyDescent="0.4">
      <c r="A916" s="103"/>
      <c r="B916" s="103"/>
      <c r="C916" s="103"/>
      <c r="D916" s="103"/>
      <c r="E916" s="103"/>
      <c r="F916" s="103"/>
      <c r="G916" s="103"/>
      <c r="H916" s="103"/>
      <c r="I916" s="103"/>
      <c r="J916" s="103"/>
      <c r="K916" s="103"/>
      <c r="L916" s="103"/>
      <c r="M916" s="104"/>
      <c r="N916" s="103"/>
    </row>
    <row r="917" spans="1:14" ht="45" customHeight="1" thickBot="1" x14ac:dyDescent="0.4">
      <c r="A917" s="103"/>
      <c r="B917" s="103"/>
      <c r="C917" s="103"/>
      <c r="D917" s="103"/>
      <c r="E917" s="103"/>
      <c r="F917" s="103"/>
      <c r="G917" s="103"/>
      <c r="H917" s="103"/>
      <c r="I917" s="103"/>
      <c r="J917" s="103"/>
      <c r="K917" s="103"/>
      <c r="L917" s="103"/>
      <c r="M917" s="104"/>
      <c r="N917" s="103"/>
    </row>
    <row r="918" spans="1:14" ht="45" customHeight="1" thickBot="1" x14ac:dyDescent="0.4">
      <c r="A918" s="103"/>
      <c r="B918" s="103"/>
      <c r="C918" s="103"/>
      <c r="D918" s="103"/>
      <c r="E918" s="103"/>
      <c r="F918" s="103"/>
      <c r="G918" s="103"/>
      <c r="H918" s="103"/>
      <c r="I918" s="103"/>
      <c r="J918" s="103"/>
      <c r="K918" s="103"/>
      <c r="L918" s="103"/>
      <c r="M918" s="104"/>
      <c r="N918" s="103"/>
    </row>
    <row r="919" spans="1:14" ht="45" customHeight="1" thickBot="1" x14ac:dyDescent="0.4">
      <c r="A919" s="103"/>
      <c r="B919" s="103"/>
      <c r="C919" s="103"/>
      <c r="D919" s="103"/>
      <c r="E919" s="103"/>
      <c r="F919" s="103"/>
      <c r="G919" s="103"/>
      <c r="H919" s="103"/>
      <c r="I919" s="103"/>
      <c r="J919" s="103"/>
      <c r="K919" s="103"/>
      <c r="L919" s="103"/>
      <c r="M919" s="104"/>
      <c r="N919" s="103"/>
    </row>
    <row r="920" spans="1:14" ht="45" customHeight="1" thickBot="1" x14ac:dyDescent="0.4">
      <c r="A920" s="103"/>
      <c r="B920" s="103"/>
      <c r="C920" s="103"/>
      <c r="D920" s="103"/>
      <c r="E920" s="103"/>
      <c r="F920" s="103"/>
      <c r="G920" s="103"/>
      <c r="H920" s="103"/>
      <c r="I920" s="103"/>
      <c r="J920" s="103"/>
      <c r="K920" s="103"/>
      <c r="L920" s="103"/>
      <c r="M920" s="104"/>
      <c r="N920" s="103"/>
    </row>
    <row r="921" spans="1:14" ht="45" customHeight="1" thickBot="1" x14ac:dyDescent="0.4">
      <c r="A921" s="103"/>
      <c r="B921" s="103"/>
      <c r="C921" s="103"/>
      <c r="D921" s="103"/>
      <c r="E921" s="103"/>
      <c r="F921" s="103"/>
      <c r="G921" s="103"/>
      <c r="H921" s="103"/>
      <c r="I921" s="103"/>
      <c r="J921" s="103"/>
      <c r="K921" s="103"/>
      <c r="L921" s="103"/>
      <c r="M921" s="104"/>
      <c r="N921" s="103"/>
    </row>
    <row r="922" spans="1:14" ht="45" customHeight="1" thickBot="1" x14ac:dyDescent="0.4">
      <c r="A922" s="103"/>
      <c r="B922" s="103"/>
      <c r="C922" s="103"/>
      <c r="D922" s="103"/>
      <c r="E922" s="103"/>
      <c r="F922" s="103"/>
      <c r="G922" s="103"/>
      <c r="H922" s="103"/>
      <c r="I922" s="103"/>
      <c r="J922" s="103"/>
      <c r="K922" s="103"/>
      <c r="L922" s="103"/>
      <c r="M922" s="104"/>
      <c r="N922" s="103"/>
    </row>
    <row r="923" spans="1:14" ht="45" customHeight="1" thickBot="1" x14ac:dyDescent="0.4">
      <c r="A923" s="103"/>
      <c r="B923" s="103"/>
      <c r="C923" s="103"/>
      <c r="D923" s="103"/>
      <c r="E923" s="103"/>
      <c r="F923" s="103"/>
      <c r="G923" s="103"/>
      <c r="H923" s="103"/>
      <c r="I923" s="103"/>
      <c r="J923" s="103"/>
      <c r="K923" s="103"/>
      <c r="L923" s="103"/>
      <c r="M923" s="104"/>
      <c r="N923" s="103"/>
    </row>
    <row r="924" spans="1:14" ht="45" customHeight="1" thickBot="1" x14ac:dyDescent="0.4">
      <c r="A924" s="103"/>
      <c r="B924" s="103"/>
      <c r="C924" s="103"/>
      <c r="D924" s="103"/>
      <c r="E924" s="103"/>
      <c r="F924" s="103"/>
      <c r="G924" s="103"/>
      <c r="H924" s="103"/>
      <c r="I924" s="103"/>
      <c r="J924" s="103"/>
      <c r="K924" s="103"/>
      <c r="L924" s="103"/>
      <c r="M924" s="104"/>
      <c r="N924" s="103"/>
    </row>
    <row r="925" spans="1:14" ht="45" customHeight="1" thickBot="1" x14ac:dyDescent="0.4">
      <c r="A925" s="103"/>
      <c r="B925" s="103"/>
      <c r="C925" s="103"/>
      <c r="D925" s="103"/>
      <c r="E925" s="103"/>
      <c r="F925" s="103"/>
      <c r="G925" s="103"/>
      <c r="H925" s="103"/>
      <c r="I925" s="103"/>
      <c r="J925" s="103"/>
      <c r="K925" s="103"/>
      <c r="L925" s="103"/>
      <c r="M925" s="104"/>
      <c r="N925" s="103"/>
    </row>
    <row r="926" spans="1:14" ht="45" customHeight="1" thickBot="1" x14ac:dyDescent="0.4">
      <c r="A926" s="103"/>
      <c r="B926" s="103"/>
      <c r="C926" s="103"/>
      <c r="D926" s="103"/>
      <c r="E926" s="103"/>
      <c r="F926" s="103"/>
      <c r="G926" s="103"/>
      <c r="H926" s="103"/>
      <c r="I926" s="103"/>
      <c r="J926" s="103"/>
      <c r="K926" s="103"/>
      <c r="L926" s="103"/>
      <c r="M926" s="104"/>
      <c r="N926" s="103"/>
    </row>
    <row r="927" spans="1:14" ht="45" customHeight="1" thickBot="1" x14ac:dyDescent="0.4">
      <c r="A927" s="103"/>
      <c r="B927" s="103"/>
      <c r="C927" s="103"/>
      <c r="D927" s="103"/>
      <c r="E927" s="103"/>
      <c r="F927" s="103"/>
      <c r="G927" s="103"/>
      <c r="H927" s="103"/>
      <c r="I927" s="103"/>
      <c r="J927" s="103"/>
      <c r="K927" s="103"/>
      <c r="L927" s="103"/>
      <c r="M927" s="104"/>
      <c r="N927" s="103"/>
    </row>
    <row r="928" spans="1:14" ht="45" customHeight="1" thickBot="1" x14ac:dyDescent="0.4">
      <c r="A928" s="103"/>
      <c r="B928" s="103"/>
      <c r="C928" s="103"/>
      <c r="D928" s="103"/>
      <c r="E928" s="103"/>
      <c r="F928" s="103"/>
      <c r="G928" s="103"/>
      <c r="H928" s="103"/>
      <c r="I928" s="103"/>
      <c r="J928" s="103"/>
      <c r="K928" s="103"/>
      <c r="L928" s="103"/>
      <c r="M928" s="104"/>
      <c r="N928" s="103"/>
    </row>
    <row r="929" spans="1:14" ht="45" customHeight="1" thickBot="1" x14ac:dyDescent="0.4">
      <c r="A929" s="103"/>
      <c r="B929" s="103"/>
      <c r="C929" s="103"/>
      <c r="D929" s="103"/>
      <c r="E929" s="103"/>
      <c r="F929" s="103"/>
      <c r="G929" s="103"/>
      <c r="H929" s="103"/>
      <c r="I929" s="103"/>
      <c r="J929" s="103"/>
      <c r="K929" s="103"/>
      <c r="L929" s="103"/>
      <c r="M929" s="104"/>
      <c r="N929" s="103"/>
    </row>
    <row r="930" spans="1:14" ht="45" customHeight="1" thickBot="1" x14ac:dyDescent="0.4">
      <c r="A930" s="103"/>
      <c r="B930" s="103"/>
      <c r="C930" s="103"/>
      <c r="D930" s="103"/>
      <c r="E930" s="103"/>
      <c r="F930" s="103"/>
      <c r="G930" s="103"/>
      <c r="H930" s="103"/>
      <c r="I930" s="103"/>
      <c r="J930" s="103"/>
      <c r="K930" s="103"/>
      <c r="L930" s="103"/>
      <c r="M930" s="104"/>
      <c r="N930" s="103"/>
    </row>
    <row r="931" spans="1:14" ht="45" customHeight="1" thickBot="1" x14ac:dyDescent="0.4">
      <c r="A931" s="103"/>
      <c r="B931" s="103"/>
      <c r="C931" s="103"/>
      <c r="D931" s="103"/>
      <c r="E931" s="103"/>
      <c r="F931" s="103"/>
      <c r="G931" s="103"/>
      <c r="H931" s="103"/>
      <c r="I931" s="103"/>
      <c r="J931" s="103"/>
      <c r="K931" s="103"/>
      <c r="L931" s="103"/>
      <c r="M931" s="104"/>
      <c r="N931" s="103"/>
    </row>
    <row r="932" spans="1:14" ht="45" customHeight="1" thickBot="1" x14ac:dyDescent="0.4">
      <c r="A932" s="103"/>
      <c r="B932" s="103"/>
      <c r="C932" s="103"/>
      <c r="D932" s="103"/>
      <c r="E932" s="103"/>
      <c r="F932" s="103"/>
      <c r="G932" s="103"/>
      <c r="H932" s="103"/>
      <c r="I932" s="103"/>
      <c r="J932" s="103"/>
      <c r="K932" s="103"/>
      <c r="L932" s="103"/>
      <c r="M932" s="104"/>
      <c r="N932" s="103"/>
    </row>
    <row r="933" spans="1:14" ht="45" customHeight="1" thickBot="1" x14ac:dyDescent="0.4">
      <c r="A933" s="103"/>
      <c r="B933" s="103"/>
      <c r="C933" s="103"/>
      <c r="D933" s="103"/>
      <c r="E933" s="103"/>
      <c r="F933" s="103"/>
      <c r="G933" s="103"/>
      <c r="H933" s="103"/>
      <c r="I933" s="103"/>
      <c r="J933" s="103"/>
      <c r="K933" s="103"/>
      <c r="L933" s="103"/>
      <c r="M933" s="104"/>
      <c r="N933" s="103"/>
    </row>
    <row r="934" spans="1:14" ht="45" customHeight="1" thickBot="1" x14ac:dyDescent="0.4">
      <c r="A934" s="103"/>
      <c r="B934" s="103"/>
      <c r="C934" s="103"/>
      <c r="D934" s="103"/>
      <c r="E934" s="103"/>
      <c r="F934" s="103"/>
      <c r="G934" s="103"/>
      <c r="H934" s="103"/>
      <c r="I934" s="103"/>
      <c r="J934" s="103"/>
      <c r="K934" s="103"/>
      <c r="L934" s="103"/>
      <c r="M934" s="104"/>
      <c r="N934" s="103"/>
    </row>
    <row r="935" spans="1:14" ht="45" customHeight="1" thickBot="1" x14ac:dyDescent="0.4">
      <c r="A935" s="103"/>
      <c r="B935" s="103"/>
      <c r="C935" s="103"/>
      <c r="D935" s="103"/>
      <c r="E935" s="103"/>
      <c r="F935" s="103"/>
      <c r="G935" s="103"/>
      <c r="H935" s="103"/>
      <c r="I935" s="103"/>
      <c r="J935" s="103"/>
      <c r="K935" s="103"/>
      <c r="L935" s="103"/>
      <c r="M935" s="104"/>
      <c r="N935" s="103"/>
    </row>
    <row r="936" spans="1:14" ht="45" customHeight="1" thickBot="1" x14ac:dyDescent="0.4">
      <c r="A936" s="103"/>
      <c r="B936" s="103"/>
      <c r="C936" s="103"/>
      <c r="D936" s="103"/>
      <c r="E936" s="103"/>
      <c r="F936" s="103"/>
      <c r="G936" s="103"/>
      <c r="H936" s="103"/>
      <c r="I936" s="103"/>
      <c r="J936" s="103"/>
      <c r="K936" s="103"/>
      <c r="L936" s="103"/>
      <c r="M936" s="104"/>
      <c r="N936" s="103"/>
    </row>
    <row r="937" spans="1:14" ht="45" customHeight="1" thickBot="1" x14ac:dyDescent="0.4">
      <c r="A937" s="103"/>
      <c r="B937" s="103"/>
      <c r="C937" s="103"/>
      <c r="D937" s="103"/>
      <c r="E937" s="103"/>
      <c r="F937" s="103"/>
      <c r="G937" s="103"/>
      <c r="H937" s="103"/>
      <c r="I937" s="103"/>
      <c r="J937" s="103"/>
      <c r="K937" s="103"/>
      <c r="L937" s="103"/>
      <c r="M937" s="104"/>
      <c r="N937" s="103"/>
    </row>
    <row r="938" spans="1:14" ht="45" customHeight="1" thickBot="1" x14ac:dyDescent="0.4">
      <c r="A938" s="103"/>
      <c r="B938" s="103"/>
      <c r="C938" s="103"/>
      <c r="D938" s="103"/>
      <c r="E938" s="103"/>
      <c r="F938" s="103"/>
      <c r="G938" s="103"/>
      <c r="H938" s="103"/>
      <c r="I938" s="103"/>
      <c r="J938" s="103"/>
      <c r="K938" s="103"/>
      <c r="L938" s="103"/>
      <c r="M938" s="104"/>
      <c r="N938" s="103"/>
    </row>
    <row r="939" spans="1:14" ht="45" customHeight="1" thickBot="1" x14ac:dyDescent="0.4">
      <c r="A939" s="103"/>
      <c r="B939" s="103"/>
      <c r="C939" s="103"/>
      <c r="D939" s="103"/>
      <c r="E939" s="103"/>
      <c r="F939" s="103"/>
      <c r="G939" s="103"/>
      <c r="H939" s="103"/>
      <c r="I939" s="103"/>
      <c r="J939" s="103"/>
      <c r="K939" s="103"/>
      <c r="L939" s="103"/>
      <c r="M939" s="104"/>
      <c r="N939" s="103"/>
    </row>
    <row r="940" spans="1:14" ht="45" customHeight="1" thickBot="1" x14ac:dyDescent="0.4">
      <c r="A940" s="103"/>
      <c r="B940" s="103"/>
      <c r="C940" s="103"/>
      <c r="D940" s="103"/>
      <c r="E940" s="103"/>
      <c r="F940" s="103"/>
      <c r="G940" s="103"/>
      <c r="H940" s="103"/>
      <c r="I940" s="103"/>
      <c r="J940" s="103"/>
      <c r="K940" s="103"/>
      <c r="L940" s="103"/>
      <c r="M940" s="104"/>
      <c r="N940" s="103"/>
    </row>
    <row r="941" spans="1:14" ht="45" customHeight="1" thickBot="1" x14ac:dyDescent="0.4">
      <c r="A941" s="103"/>
      <c r="B941" s="103"/>
      <c r="C941" s="103"/>
      <c r="D941" s="103"/>
      <c r="E941" s="103"/>
      <c r="F941" s="103"/>
      <c r="G941" s="103"/>
      <c r="H941" s="103"/>
      <c r="I941" s="103"/>
      <c r="J941" s="103"/>
      <c r="K941" s="103"/>
      <c r="L941" s="103"/>
      <c r="M941" s="104"/>
      <c r="N941" s="103"/>
    </row>
    <row r="942" spans="1:14" ht="45" customHeight="1" thickBot="1" x14ac:dyDescent="0.4">
      <c r="A942" s="103"/>
      <c r="B942" s="103"/>
      <c r="C942" s="103"/>
      <c r="D942" s="103"/>
      <c r="E942" s="103"/>
      <c r="F942" s="103"/>
      <c r="G942" s="103"/>
      <c r="H942" s="103"/>
      <c r="I942" s="103"/>
      <c r="J942" s="103"/>
      <c r="K942" s="103"/>
      <c r="L942" s="103"/>
      <c r="M942" s="104"/>
      <c r="N942" s="103"/>
    </row>
    <row r="943" spans="1:14" ht="45" customHeight="1" thickBot="1" x14ac:dyDescent="0.4">
      <c r="A943" s="103"/>
      <c r="B943" s="103"/>
      <c r="C943" s="103"/>
      <c r="D943" s="103"/>
      <c r="E943" s="103"/>
      <c r="F943" s="103"/>
      <c r="G943" s="103"/>
      <c r="H943" s="103"/>
      <c r="I943" s="103"/>
      <c r="J943" s="103"/>
      <c r="K943" s="103"/>
      <c r="L943" s="103"/>
      <c r="M943" s="104"/>
      <c r="N943" s="103"/>
    </row>
    <row r="944" spans="1:14" ht="45" customHeight="1" thickBot="1" x14ac:dyDescent="0.4">
      <c r="A944" s="103"/>
      <c r="B944" s="103"/>
      <c r="C944" s="103"/>
      <c r="D944" s="103"/>
      <c r="E944" s="103"/>
      <c r="F944" s="103"/>
      <c r="G944" s="103"/>
      <c r="H944" s="103"/>
      <c r="I944" s="103"/>
      <c r="J944" s="103"/>
      <c r="K944" s="103"/>
      <c r="L944" s="103"/>
      <c r="M944" s="104"/>
      <c r="N944" s="103"/>
    </row>
    <row r="945" spans="1:14" ht="45" customHeight="1" thickBot="1" x14ac:dyDescent="0.4">
      <c r="A945" s="103"/>
      <c r="B945" s="103"/>
      <c r="C945" s="103"/>
      <c r="D945" s="103"/>
      <c r="E945" s="103"/>
      <c r="F945" s="103"/>
      <c r="G945" s="103"/>
      <c r="H945" s="103"/>
      <c r="I945" s="103"/>
      <c r="J945" s="103"/>
      <c r="K945" s="103"/>
      <c r="L945" s="103"/>
      <c r="M945" s="104"/>
      <c r="N945" s="103"/>
    </row>
    <row r="946" spans="1:14" ht="45" customHeight="1" thickBot="1" x14ac:dyDescent="0.4">
      <c r="A946" s="103"/>
      <c r="B946" s="103"/>
      <c r="C946" s="103"/>
      <c r="D946" s="103"/>
      <c r="E946" s="103"/>
      <c r="F946" s="103"/>
      <c r="G946" s="103"/>
      <c r="H946" s="103"/>
      <c r="I946" s="103"/>
      <c r="J946" s="103"/>
      <c r="K946" s="103"/>
      <c r="L946" s="103"/>
      <c r="M946" s="104"/>
      <c r="N946" s="103"/>
    </row>
    <row r="947" spans="1:14" ht="45" customHeight="1" thickBot="1" x14ac:dyDescent="0.4">
      <c r="A947" s="103"/>
      <c r="B947" s="103"/>
      <c r="C947" s="103"/>
      <c r="D947" s="103"/>
      <c r="E947" s="103"/>
      <c r="F947" s="103"/>
      <c r="G947" s="103"/>
      <c r="H947" s="103"/>
      <c r="I947" s="103"/>
      <c r="J947" s="103"/>
      <c r="K947" s="103"/>
      <c r="L947" s="103"/>
      <c r="M947" s="104"/>
      <c r="N947" s="103"/>
    </row>
    <row r="948" spans="1:14" ht="45" customHeight="1" thickBot="1" x14ac:dyDescent="0.4">
      <c r="A948" s="103"/>
      <c r="B948" s="103"/>
      <c r="C948" s="103"/>
      <c r="D948" s="103"/>
      <c r="E948" s="103"/>
      <c r="F948" s="103"/>
      <c r="G948" s="103"/>
      <c r="H948" s="103"/>
      <c r="I948" s="103"/>
      <c r="J948" s="103"/>
      <c r="K948" s="103"/>
      <c r="L948" s="103"/>
      <c r="M948" s="104"/>
      <c r="N948" s="103"/>
    </row>
    <row r="949" spans="1:14" ht="45" customHeight="1" thickBot="1" x14ac:dyDescent="0.4">
      <c r="A949" s="103"/>
      <c r="B949" s="103"/>
      <c r="C949" s="103"/>
      <c r="D949" s="103"/>
      <c r="E949" s="103"/>
      <c r="F949" s="103"/>
      <c r="G949" s="103"/>
      <c r="H949" s="103"/>
      <c r="I949" s="103"/>
      <c r="J949" s="103"/>
      <c r="K949" s="103"/>
      <c r="L949" s="103"/>
      <c r="M949" s="104"/>
      <c r="N949" s="103"/>
    </row>
    <row r="950" spans="1:14" ht="45" customHeight="1" thickBot="1" x14ac:dyDescent="0.4">
      <c r="A950" s="103"/>
      <c r="B950" s="103"/>
      <c r="C950" s="103"/>
      <c r="D950" s="103"/>
      <c r="E950" s="103"/>
      <c r="F950" s="103"/>
      <c r="G950" s="103"/>
      <c r="H950" s="103"/>
      <c r="I950" s="103"/>
      <c r="J950" s="103"/>
      <c r="K950" s="103"/>
      <c r="L950" s="103"/>
      <c r="M950" s="104"/>
      <c r="N950" s="103"/>
    </row>
    <row r="951" spans="1:14" ht="45" customHeight="1" thickBot="1" x14ac:dyDescent="0.4">
      <c r="A951" s="103"/>
      <c r="B951" s="103"/>
      <c r="C951" s="103"/>
      <c r="D951" s="103"/>
      <c r="E951" s="103"/>
      <c r="F951" s="103"/>
      <c r="G951" s="103"/>
      <c r="H951" s="103"/>
      <c r="I951" s="103"/>
      <c r="J951" s="103"/>
      <c r="K951" s="103"/>
      <c r="L951" s="103"/>
      <c r="M951" s="104"/>
      <c r="N951" s="103"/>
    </row>
    <row r="952" spans="1:14" ht="45" customHeight="1" thickBot="1" x14ac:dyDescent="0.4">
      <c r="A952" s="103"/>
      <c r="B952" s="103"/>
      <c r="C952" s="103"/>
      <c r="D952" s="103"/>
      <c r="E952" s="103"/>
      <c r="F952" s="103"/>
      <c r="G952" s="103"/>
      <c r="H952" s="103"/>
      <c r="I952" s="103"/>
      <c r="J952" s="103"/>
      <c r="K952" s="103"/>
      <c r="L952" s="103"/>
      <c r="M952" s="104"/>
      <c r="N952" s="103"/>
    </row>
    <row r="953" spans="1:14" ht="45" customHeight="1" thickBot="1" x14ac:dyDescent="0.4">
      <c r="A953" s="103"/>
      <c r="B953" s="103"/>
      <c r="C953" s="103"/>
      <c r="D953" s="103"/>
      <c r="E953" s="103"/>
      <c r="F953" s="103"/>
      <c r="G953" s="103"/>
      <c r="H953" s="103"/>
      <c r="I953" s="103"/>
      <c r="J953" s="103"/>
      <c r="K953" s="103"/>
      <c r="L953" s="103"/>
      <c r="M953" s="104"/>
      <c r="N953" s="103"/>
    </row>
    <row r="954" spans="1:14" ht="45" customHeight="1" thickBot="1" x14ac:dyDescent="0.4">
      <c r="A954" s="103"/>
      <c r="B954" s="103"/>
      <c r="C954" s="103"/>
      <c r="D954" s="103"/>
      <c r="E954" s="103"/>
      <c r="F954" s="103"/>
      <c r="G954" s="103"/>
      <c r="H954" s="103"/>
      <c r="I954" s="103"/>
      <c r="J954" s="103"/>
      <c r="K954" s="103"/>
      <c r="L954" s="103"/>
      <c r="M954" s="104"/>
      <c r="N954" s="103"/>
    </row>
    <row r="955" spans="1:14" ht="45" customHeight="1" thickBot="1" x14ac:dyDescent="0.4">
      <c r="A955" s="103"/>
      <c r="B955" s="103"/>
      <c r="C955" s="103"/>
      <c r="D955" s="103"/>
      <c r="E955" s="103"/>
      <c r="F955" s="103"/>
      <c r="G955" s="103"/>
      <c r="H955" s="103"/>
      <c r="I955" s="103"/>
      <c r="J955" s="103"/>
      <c r="K955" s="103"/>
      <c r="L955" s="103"/>
      <c r="M955" s="104"/>
      <c r="N955" s="103"/>
    </row>
    <row r="956" spans="1:14" ht="45" customHeight="1" thickBot="1" x14ac:dyDescent="0.4">
      <c r="A956" s="103"/>
      <c r="B956" s="103"/>
      <c r="C956" s="103"/>
      <c r="D956" s="103"/>
      <c r="E956" s="103"/>
      <c r="F956" s="103"/>
      <c r="G956" s="103"/>
      <c r="H956" s="103"/>
      <c r="I956" s="103"/>
      <c r="J956" s="103"/>
      <c r="K956" s="103"/>
      <c r="L956" s="103"/>
      <c r="M956" s="104"/>
      <c r="N956" s="103"/>
    </row>
    <row r="957" spans="1:14" ht="45" customHeight="1" thickBot="1" x14ac:dyDescent="0.4">
      <c r="A957" s="103"/>
      <c r="B957" s="103"/>
      <c r="C957" s="103"/>
      <c r="D957" s="103"/>
      <c r="E957" s="103"/>
      <c r="F957" s="103"/>
      <c r="G957" s="103"/>
      <c r="H957" s="103"/>
      <c r="I957" s="103"/>
      <c r="J957" s="103"/>
      <c r="K957" s="103"/>
      <c r="L957" s="103"/>
      <c r="M957" s="104"/>
      <c r="N957" s="103"/>
    </row>
    <row r="958" spans="1:14" ht="45" customHeight="1" thickBot="1" x14ac:dyDescent="0.4">
      <c r="A958" s="103"/>
      <c r="B958" s="103"/>
      <c r="C958" s="103"/>
      <c r="D958" s="103"/>
      <c r="E958" s="103"/>
      <c r="F958" s="103"/>
      <c r="G958" s="103"/>
      <c r="H958" s="103"/>
      <c r="I958" s="103"/>
      <c r="J958" s="103"/>
      <c r="K958" s="103"/>
      <c r="L958" s="103"/>
      <c r="M958" s="104"/>
      <c r="N958" s="103"/>
    </row>
    <row r="959" spans="1:14" ht="45" customHeight="1" thickBot="1" x14ac:dyDescent="0.4">
      <c r="A959" s="103"/>
      <c r="B959" s="103"/>
      <c r="C959" s="103"/>
      <c r="D959" s="103"/>
      <c r="E959" s="103"/>
      <c r="F959" s="103"/>
      <c r="G959" s="103"/>
      <c r="H959" s="103"/>
      <c r="I959" s="103"/>
      <c r="J959" s="103"/>
      <c r="K959" s="103"/>
      <c r="L959" s="103"/>
      <c r="M959" s="104"/>
      <c r="N959" s="103"/>
    </row>
    <row r="960" spans="1:14" ht="45" customHeight="1" thickBot="1" x14ac:dyDescent="0.4">
      <c r="A960" s="103"/>
      <c r="B960" s="103"/>
      <c r="C960" s="103"/>
      <c r="D960" s="103"/>
      <c r="E960" s="103"/>
      <c r="F960" s="103"/>
      <c r="G960" s="103"/>
      <c r="H960" s="103"/>
      <c r="I960" s="103"/>
      <c r="J960" s="103"/>
      <c r="K960" s="103"/>
      <c r="L960" s="103"/>
      <c r="M960" s="104"/>
      <c r="N960" s="103"/>
    </row>
    <row r="961" spans="1:14" ht="45" customHeight="1" thickBot="1" x14ac:dyDescent="0.4">
      <c r="A961" s="103"/>
      <c r="B961" s="103"/>
      <c r="C961" s="103"/>
      <c r="D961" s="103"/>
      <c r="E961" s="103"/>
      <c r="F961" s="103"/>
      <c r="G961" s="103"/>
      <c r="H961" s="103"/>
      <c r="I961" s="103"/>
      <c r="J961" s="103"/>
      <c r="K961" s="103"/>
      <c r="L961" s="103"/>
      <c r="M961" s="104"/>
      <c r="N961" s="103"/>
    </row>
    <row r="962" spans="1:14" ht="45" customHeight="1" thickBot="1" x14ac:dyDescent="0.4">
      <c r="A962" s="103"/>
      <c r="B962" s="103"/>
      <c r="C962" s="103"/>
      <c r="D962" s="103"/>
      <c r="E962" s="103"/>
      <c r="F962" s="103"/>
      <c r="G962" s="103"/>
      <c r="H962" s="103"/>
      <c r="I962" s="103"/>
      <c r="J962" s="103"/>
      <c r="K962" s="103"/>
      <c r="L962" s="103"/>
      <c r="M962" s="104"/>
      <c r="N962" s="103"/>
    </row>
    <row r="963" spans="1:14" ht="45" customHeight="1" thickBot="1" x14ac:dyDescent="0.4">
      <c r="A963" s="103"/>
      <c r="B963" s="103"/>
      <c r="C963" s="103"/>
      <c r="D963" s="103"/>
      <c r="E963" s="103"/>
      <c r="F963" s="103"/>
      <c r="G963" s="103"/>
      <c r="H963" s="103"/>
      <c r="I963" s="103"/>
      <c r="J963" s="103"/>
      <c r="K963" s="103"/>
      <c r="L963" s="103"/>
      <c r="M963" s="104"/>
      <c r="N963" s="103"/>
    </row>
    <row r="964" spans="1:14" ht="45" customHeight="1" thickBot="1" x14ac:dyDescent="0.4">
      <c r="A964" s="103"/>
      <c r="B964" s="103"/>
      <c r="C964" s="103"/>
      <c r="D964" s="103"/>
      <c r="E964" s="103"/>
      <c r="F964" s="103"/>
      <c r="G964" s="103"/>
      <c r="H964" s="103"/>
      <c r="I964" s="103"/>
      <c r="J964" s="103"/>
      <c r="K964" s="103"/>
      <c r="L964" s="103"/>
      <c r="M964" s="104"/>
      <c r="N964" s="103"/>
    </row>
    <row r="965" spans="1:14" ht="45" customHeight="1" thickBot="1" x14ac:dyDescent="0.4">
      <c r="A965" s="103"/>
      <c r="B965" s="103"/>
      <c r="C965" s="103"/>
      <c r="D965" s="103"/>
      <c r="E965" s="103"/>
      <c r="F965" s="103"/>
      <c r="G965" s="103"/>
      <c r="H965" s="103"/>
      <c r="I965" s="103"/>
      <c r="J965" s="103"/>
      <c r="K965" s="103"/>
      <c r="L965" s="103"/>
      <c r="M965" s="104"/>
      <c r="N965" s="103"/>
    </row>
    <row r="966" spans="1:14" ht="45" customHeight="1" thickBot="1" x14ac:dyDescent="0.4">
      <c r="A966" s="103"/>
      <c r="B966" s="103"/>
      <c r="C966" s="103"/>
      <c r="D966" s="103"/>
      <c r="E966" s="103"/>
      <c r="F966" s="103"/>
      <c r="G966" s="103"/>
      <c r="H966" s="103"/>
      <c r="I966" s="103"/>
      <c r="J966" s="103"/>
      <c r="K966" s="103"/>
      <c r="L966" s="103"/>
      <c r="M966" s="104"/>
      <c r="N966" s="103"/>
    </row>
    <row r="967" spans="1:14" ht="45" customHeight="1" thickBot="1" x14ac:dyDescent="0.4">
      <c r="A967" s="103"/>
      <c r="B967" s="103"/>
      <c r="C967" s="103"/>
      <c r="D967" s="103"/>
      <c r="E967" s="103"/>
      <c r="F967" s="103"/>
      <c r="G967" s="103"/>
      <c r="H967" s="103"/>
      <c r="I967" s="103"/>
      <c r="J967" s="103"/>
      <c r="K967" s="103"/>
      <c r="L967" s="103"/>
      <c r="M967" s="104"/>
      <c r="N967" s="103"/>
    </row>
    <row r="968" spans="1:14" ht="45" customHeight="1" thickBot="1" x14ac:dyDescent="0.4">
      <c r="A968" s="103"/>
      <c r="B968" s="103"/>
      <c r="C968" s="103"/>
      <c r="D968" s="103"/>
      <c r="E968" s="103"/>
      <c r="F968" s="103"/>
      <c r="G968" s="103"/>
      <c r="H968" s="103"/>
      <c r="I968" s="103"/>
      <c r="J968" s="103"/>
      <c r="K968" s="103"/>
      <c r="L968" s="103"/>
      <c r="M968" s="104"/>
      <c r="N968" s="103"/>
    </row>
    <row r="969" spans="1:14" ht="45" customHeight="1" thickBot="1" x14ac:dyDescent="0.4">
      <c r="A969" s="103"/>
      <c r="B969" s="103"/>
      <c r="C969" s="103"/>
      <c r="D969" s="103"/>
      <c r="E969" s="103"/>
      <c r="F969" s="103"/>
      <c r="G969" s="103"/>
      <c r="H969" s="103"/>
      <c r="I969" s="103"/>
      <c r="J969" s="103"/>
      <c r="K969" s="103"/>
      <c r="L969" s="103"/>
      <c r="M969" s="104"/>
      <c r="N969" s="103"/>
    </row>
    <row r="970" spans="1:14" ht="45" customHeight="1" thickBot="1" x14ac:dyDescent="0.4">
      <c r="A970" s="103"/>
      <c r="B970" s="103"/>
      <c r="C970" s="103"/>
      <c r="D970" s="103"/>
      <c r="E970" s="103"/>
      <c r="F970" s="103"/>
      <c r="G970" s="103"/>
      <c r="H970" s="103"/>
      <c r="I970" s="103"/>
      <c r="J970" s="103"/>
      <c r="K970" s="103"/>
      <c r="L970" s="103"/>
      <c r="M970" s="104"/>
      <c r="N970" s="103"/>
    </row>
    <row r="971" spans="1:14" ht="45" customHeight="1" thickBot="1" x14ac:dyDescent="0.4">
      <c r="A971" s="103"/>
      <c r="B971" s="103"/>
      <c r="C971" s="103"/>
      <c r="D971" s="103"/>
      <c r="E971" s="103"/>
      <c r="F971" s="103"/>
      <c r="G971" s="103"/>
      <c r="H971" s="103"/>
      <c r="I971" s="103"/>
      <c r="J971" s="103"/>
      <c r="K971" s="103"/>
      <c r="L971" s="103"/>
      <c r="M971" s="104"/>
      <c r="N971" s="103"/>
    </row>
    <row r="972" spans="1:14" ht="45" customHeight="1" thickBot="1" x14ac:dyDescent="0.4">
      <c r="A972" s="103"/>
      <c r="B972" s="103"/>
      <c r="C972" s="103"/>
      <c r="D972" s="103"/>
      <c r="E972" s="103"/>
      <c r="F972" s="103"/>
      <c r="G972" s="103"/>
      <c r="H972" s="103"/>
      <c r="I972" s="103"/>
      <c r="J972" s="103"/>
      <c r="K972" s="103"/>
      <c r="L972" s="103"/>
      <c r="M972" s="104"/>
      <c r="N972" s="103"/>
    </row>
    <row r="973" spans="1:14" ht="45" customHeight="1" thickBot="1" x14ac:dyDescent="0.4">
      <c r="A973" s="103"/>
      <c r="B973" s="103"/>
      <c r="C973" s="103"/>
      <c r="D973" s="103"/>
      <c r="E973" s="103"/>
      <c r="F973" s="103"/>
      <c r="G973" s="103"/>
      <c r="H973" s="103"/>
      <c r="I973" s="103"/>
      <c r="J973" s="103"/>
      <c r="K973" s="103"/>
      <c r="L973" s="103"/>
      <c r="M973" s="104"/>
      <c r="N973" s="103"/>
    </row>
    <row r="974" spans="1:14" ht="45" customHeight="1" thickBot="1" x14ac:dyDescent="0.4">
      <c r="A974" s="103"/>
      <c r="B974" s="103"/>
      <c r="C974" s="103"/>
      <c r="D974" s="103"/>
      <c r="E974" s="103"/>
      <c r="F974" s="103"/>
      <c r="G974" s="103"/>
      <c r="H974" s="103"/>
      <c r="I974" s="103"/>
      <c r="J974" s="103"/>
      <c r="K974" s="103"/>
      <c r="L974" s="103"/>
      <c r="M974" s="104"/>
      <c r="N974" s="103"/>
    </row>
    <row r="975" spans="1:14" ht="45" customHeight="1" thickBot="1" x14ac:dyDescent="0.4">
      <c r="A975" s="103"/>
      <c r="B975" s="103"/>
      <c r="C975" s="103"/>
      <c r="D975" s="103"/>
      <c r="E975" s="103"/>
      <c r="F975" s="103"/>
      <c r="G975" s="103"/>
      <c r="H975" s="103"/>
      <c r="I975" s="103"/>
      <c r="J975" s="103"/>
      <c r="K975" s="103"/>
      <c r="L975" s="103"/>
      <c r="M975" s="104"/>
      <c r="N975" s="103"/>
    </row>
    <row r="976" spans="1:14" ht="45" customHeight="1" thickBot="1" x14ac:dyDescent="0.4">
      <c r="A976" s="103"/>
      <c r="B976" s="103"/>
      <c r="C976" s="103"/>
      <c r="D976" s="103"/>
      <c r="E976" s="103"/>
      <c r="F976" s="103"/>
      <c r="G976" s="103"/>
      <c r="H976" s="103"/>
      <c r="I976" s="103"/>
      <c r="J976" s="103"/>
      <c r="K976" s="103"/>
      <c r="L976" s="103"/>
      <c r="M976" s="104"/>
      <c r="N976" s="103"/>
    </row>
    <row r="977" spans="1:14" ht="45" customHeight="1" thickBot="1" x14ac:dyDescent="0.4">
      <c r="A977" s="103"/>
      <c r="B977" s="103"/>
      <c r="C977" s="103"/>
      <c r="D977" s="103"/>
      <c r="E977" s="103"/>
      <c r="F977" s="103"/>
      <c r="G977" s="103"/>
      <c r="H977" s="103"/>
      <c r="I977" s="103"/>
      <c r="J977" s="103"/>
      <c r="K977" s="103"/>
      <c r="L977" s="103"/>
      <c r="M977" s="104"/>
      <c r="N977" s="103"/>
    </row>
    <row r="978" spans="1:14" ht="45" customHeight="1" thickBot="1" x14ac:dyDescent="0.4">
      <c r="A978" s="103"/>
      <c r="B978" s="103"/>
      <c r="C978" s="103"/>
      <c r="D978" s="103"/>
      <c r="E978" s="103"/>
      <c r="F978" s="103"/>
      <c r="G978" s="103"/>
      <c r="H978" s="103"/>
      <c r="I978" s="103"/>
      <c r="J978" s="103"/>
      <c r="K978" s="103"/>
      <c r="L978" s="103"/>
      <c r="M978" s="104"/>
      <c r="N978" s="103"/>
    </row>
    <row r="979" spans="1:14" ht="45" customHeight="1" thickBot="1" x14ac:dyDescent="0.4">
      <c r="A979" s="103"/>
      <c r="B979" s="103"/>
      <c r="C979" s="103"/>
      <c r="D979" s="103"/>
      <c r="E979" s="103"/>
      <c r="F979" s="103"/>
      <c r="G979" s="103"/>
      <c r="H979" s="103"/>
      <c r="I979" s="103"/>
      <c r="J979" s="103"/>
      <c r="K979" s="103"/>
      <c r="L979" s="103"/>
      <c r="M979" s="104"/>
      <c r="N979" s="103"/>
    </row>
    <row r="980" spans="1:14" ht="45" customHeight="1" thickBot="1" x14ac:dyDescent="0.4">
      <c r="A980" s="103"/>
      <c r="B980" s="103"/>
      <c r="C980" s="103"/>
      <c r="D980" s="103"/>
      <c r="E980" s="103"/>
      <c r="F980" s="103"/>
      <c r="G980" s="103"/>
      <c r="H980" s="103"/>
      <c r="I980" s="103"/>
      <c r="J980" s="103"/>
      <c r="K980" s="103"/>
      <c r="L980" s="103"/>
      <c r="M980" s="104"/>
      <c r="N980" s="103"/>
    </row>
    <row r="981" spans="1:14" ht="45" customHeight="1" thickBot="1" x14ac:dyDescent="0.4">
      <c r="A981" s="103"/>
      <c r="B981" s="103"/>
      <c r="C981" s="103"/>
      <c r="D981" s="103"/>
      <c r="E981" s="103"/>
      <c r="F981" s="103"/>
      <c r="G981" s="103"/>
      <c r="H981" s="103"/>
      <c r="I981" s="103"/>
      <c r="J981" s="103"/>
      <c r="K981" s="103"/>
      <c r="L981" s="103"/>
      <c r="M981" s="104"/>
      <c r="N981" s="103"/>
    </row>
    <row r="982" spans="1:14" ht="45" customHeight="1" thickBot="1" x14ac:dyDescent="0.4">
      <c r="A982" s="103"/>
      <c r="B982" s="103"/>
      <c r="C982" s="103"/>
      <c r="D982" s="103"/>
      <c r="E982" s="103"/>
      <c r="F982" s="103"/>
      <c r="G982" s="103"/>
      <c r="H982" s="103"/>
      <c r="I982" s="103"/>
      <c r="J982" s="103"/>
      <c r="K982" s="103"/>
      <c r="L982" s="103"/>
      <c r="M982" s="104"/>
      <c r="N982" s="103"/>
    </row>
    <row r="983" spans="1:14" ht="45" customHeight="1" thickBot="1" x14ac:dyDescent="0.4">
      <c r="A983" s="103"/>
      <c r="B983" s="103"/>
      <c r="C983" s="103"/>
      <c r="D983" s="103"/>
      <c r="E983" s="103"/>
      <c r="F983" s="103"/>
      <c r="G983" s="103"/>
      <c r="H983" s="103"/>
      <c r="I983" s="103"/>
      <c r="J983" s="103"/>
      <c r="K983" s="103"/>
      <c r="L983" s="103"/>
      <c r="M983" s="104"/>
      <c r="N983" s="103"/>
    </row>
    <row r="984" spans="1:14" ht="45" customHeight="1" thickBot="1" x14ac:dyDescent="0.4">
      <c r="A984" s="103"/>
      <c r="B984" s="103"/>
      <c r="C984" s="103"/>
      <c r="D984" s="103"/>
      <c r="E984" s="103"/>
      <c r="F984" s="103"/>
      <c r="G984" s="103"/>
      <c r="H984" s="103"/>
      <c r="I984" s="103"/>
      <c r="J984" s="103"/>
      <c r="K984" s="103"/>
      <c r="L984" s="103"/>
      <c r="M984" s="104"/>
      <c r="N984" s="103"/>
    </row>
    <row r="985" spans="1:14" ht="45" customHeight="1" thickBot="1" x14ac:dyDescent="0.4">
      <c r="A985" s="103"/>
      <c r="B985" s="103"/>
      <c r="C985" s="103"/>
      <c r="D985" s="103"/>
      <c r="E985" s="103"/>
      <c r="F985" s="103"/>
      <c r="G985" s="103"/>
      <c r="H985" s="103"/>
      <c r="I985" s="103"/>
      <c r="J985" s="103"/>
      <c r="K985" s="103"/>
      <c r="L985" s="103"/>
      <c r="M985" s="104"/>
      <c r="N985" s="103"/>
    </row>
    <row r="986" spans="1:14" ht="45" customHeight="1" thickBot="1" x14ac:dyDescent="0.4">
      <c r="A986" s="103"/>
      <c r="B986" s="103"/>
      <c r="C986" s="103"/>
      <c r="D986" s="103"/>
      <c r="E986" s="103"/>
      <c r="F986" s="103"/>
      <c r="G986" s="103"/>
      <c r="H986" s="103"/>
      <c r="I986" s="103"/>
      <c r="J986" s="103"/>
      <c r="K986" s="103"/>
      <c r="L986" s="103"/>
      <c r="M986" s="104"/>
      <c r="N986" s="103"/>
    </row>
    <row r="987" spans="1:14" ht="45" customHeight="1" thickBot="1" x14ac:dyDescent="0.4">
      <c r="A987" s="103"/>
      <c r="B987" s="103"/>
      <c r="C987" s="103"/>
      <c r="D987" s="103"/>
      <c r="E987" s="103"/>
      <c r="F987" s="103"/>
      <c r="G987" s="103"/>
      <c r="H987" s="103"/>
      <c r="I987" s="103"/>
      <c r="J987" s="103"/>
      <c r="K987" s="103"/>
      <c r="L987" s="103"/>
      <c r="M987" s="104"/>
      <c r="N987" s="103"/>
    </row>
    <row r="988" spans="1:14" ht="45" customHeight="1" thickBot="1" x14ac:dyDescent="0.4">
      <c r="A988" s="103"/>
      <c r="B988" s="103"/>
      <c r="C988" s="103"/>
      <c r="D988" s="103"/>
      <c r="E988" s="103"/>
      <c r="F988" s="103"/>
      <c r="G988" s="103"/>
      <c r="H988" s="103"/>
      <c r="I988" s="103"/>
      <c r="J988" s="103"/>
      <c r="K988" s="103"/>
      <c r="L988" s="103"/>
      <c r="M988" s="104"/>
      <c r="N988" s="103"/>
    </row>
    <row r="989" spans="1:14" ht="45" customHeight="1" thickBot="1" x14ac:dyDescent="0.4">
      <c r="A989" s="103"/>
      <c r="B989" s="103"/>
      <c r="C989" s="103"/>
      <c r="D989" s="103"/>
      <c r="E989" s="103"/>
      <c r="F989" s="103"/>
      <c r="G989" s="103"/>
      <c r="H989" s="103"/>
      <c r="I989" s="103"/>
      <c r="J989" s="103"/>
      <c r="K989" s="103"/>
      <c r="L989" s="103"/>
      <c r="M989" s="104"/>
      <c r="N989" s="103"/>
    </row>
    <row r="990" spans="1:14" ht="45" customHeight="1" thickBot="1" x14ac:dyDescent="0.4">
      <c r="A990" s="103"/>
      <c r="B990" s="103"/>
      <c r="C990" s="103"/>
      <c r="D990" s="103"/>
      <c r="E990" s="103"/>
      <c r="F990" s="103"/>
      <c r="G990" s="103"/>
      <c r="H990" s="103"/>
      <c r="I990" s="103"/>
      <c r="J990" s="103"/>
      <c r="K990" s="103"/>
      <c r="L990" s="103"/>
      <c r="M990" s="104"/>
      <c r="N990" s="103"/>
    </row>
    <row r="991" spans="1:14" ht="45" customHeight="1" thickBot="1" x14ac:dyDescent="0.4">
      <c r="A991" s="103"/>
      <c r="B991" s="103"/>
      <c r="C991" s="103"/>
      <c r="D991" s="103"/>
      <c r="E991" s="103"/>
      <c r="F991" s="103"/>
      <c r="G991" s="103"/>
      <c r="H991" s="103"/>
      <c r="I991" s="103"/>
      <c r="J991" s="103"/>
      <c r="K991" s="103"/>
      <c r="L991" s="103"/>
      <c r="M991" s="104"/>
      <c r="N991" s="103"/>
    </row>
    <row r="992" spans="1:14" ht="45" customHeight="1" thickBot="1" x14ac:dyDescent="0.4">
      <c r="A992" s="103"/>
      <c r="B992" s="103"/>
      <c r="C992" s="103"/>
      <c r="D992" s="103"/>
      <c r="E992" s="103"/>
      <c r="F992" s="103"/>
      <c r="G992" s="103"/>
      <c r="H992" s="103"/>
      <c r="I992" s="103"/>
      <c r="J992" s="103"/>
      <c r="K992" s="103"/>
      <c r="L992" s="103"/>
      <c r="M992" s="104"/>
      <c r="N992" s="103"/>
    </row>
    <row r="993" spans="1:14" ht="45" customHeight="1" thickBot="1" x14ac:dyDescent="0.4">
      <c r="A993" s="103"/>
      <c r="B993" s="103"/>
      <c r="C993" s="103"/>
      <c r="D993" s="103"/>
      <c r="E993" s="103"/>
      <c r="F993" s="103"/>
      <c r="G993" s="103"/>
      <c r="H993" s="103"/>
      <c r="I993" s="103"/>
      <c r="J993" s="103"/>
      <c r="K993" s="103"/>
      <c r="L993" s="103"/>
      <c r="M993" s="104"/>
      <c r="N993" s="103"/>
    </row>
    <row r="994" spans="1:14" ht="45" customHeight="1" thickBot="1" x14ac:dyDescent="0.4">
      <c r="A994" s="103"/>
      <c r="B994" s="103"/>
      <c r="C994" s="103"/>
      <c r="D994" s="103"/>
      <c r="E994" s="103"/>
      <c r="F994" s="103"/>
      <c r="G994" s="103"/>
      <c r="H994" s="103"/>
      <c r="I994" s="103"/>
      <c r="J994" s="103"/>
      <c r="K994" s="103"/>
      <c r="L994" s="103"/>
      <c r="M994" s="104"/>
      <c r="N994" s="103"/>
    </row>
    <row r="995" spans="1:14" ht="45" customHeight="1" thickBot="1" x14ac:dyDescent="0.4">
      <c r="A995" s="103"/>
      <c r="B995" s="103"/>
      <c r="C995" s="103"/>
      <c r="D995" s="103"/>
      <c r="E995" s="103"/>
      <c r="F995" s="103"/>
      <c r="G995" s="103"/>
      <c r="H995" s="103"/>
      <c r="I995" s="103"/>
      <c r="J995" s="103"/>
      <c r="K995" s="103"/>
      <c r="L995" s="103"/>
      <c r="M995" s="104"/>
      <c r="N995" s="103"/>
    </row>
    <row r="996" spans="1:14" ht="45" customHeight="1" thickBot="1" x14ac:dyDescent="0.4">
      <c r="A996" s="103"/>
      <c r="B996" s="103"/>
      <c r="C996" s="103"/>
      <c r="D996" s="103"/>
      <c r="E996" s="103"/>
      <c r="F996" s="103"/>
      <c r="G996" s="103"/>
      <c r="H996" s="103"/>
      <c r="I996" s="103"/>
      <c r="J996" s="103"/>
      <c r="K996" s="103"/>
      <c r="L996" s="103"/>
      <c r="M996" s="104"/>
      <c r="N996" s="103"/>
    </row>
    <row r="997" spans="1:14" ht="45" customHeight="1" thickBot="1" x14ac:dyDescent="0.4">
      <c r="A997" s="103"/>
      <c r="B997" s="103"/>
      <c r="C997" s="103"/>
      <c r="D997" s="103"/>
      <c r="E997" s="103"/>
      <c r="F997" s="103"/>
      <c r="G997" s="103"/>
      <c r="H997" s="103"/>
      <c r="I997" s="103"/>
      <c r="J997" s="103"/>
      <c r="K997" s="103"/>
      <c r="L997" s="103"/>
      <c r="M997" s="104"/>
      <c r="N997" s="103"/>
    </row>
    <row r="998" spans="1:14" ht="45" customHeight="1" thickBot="1" x14ac:dyDescent="0.4">
      <c r="A998" s="103"/>
      <c r="B998" s="103"/>
      <c r="C998" s="103"/>
      <c r="D998" s="103"/>
      <c r="E998" s="103"/>
      <c r="F998" s="103"/>
      <c r="G998" s="103"/>
      <c r="H998" s="103"/>
      <c r="I998" s="103"/>
      <c r="J998" s="103"/>
      <c r="K998" s="103"/>
      <c r="L998" s="103"/>
      <c r="M998" s="104"/>
      <c r="N998" s="103"/>
    </row>
    <row r="999" spans="1:14" ht="45" customHeight="1" thickBot="1" x14ac:dyDescent="0.4">
      <c r="A999" s="103"/>
      <c r="B999" s="103"/>
      <c r="C999" s="103"/>
      <c r="D999" s="103"/>
      <c r="E999" s="103"/>
      <c r="F999" s="103"/>
      <c r="G999" s="103"/>
      <c r="H999" s="103"/>
      <c r="I999" s="103"/>
      <c r="J999" s="103"/>
      <c r="K999" s="103"/>
      <c r="L999" s="103"/>
      <c r="M999" s="104"/>
      <c r="N999" s="103"/>
    </row>
    <row r="1000" spans="1:14" ht="45" customHeight="1" thickBot="1" x14ac:dyDescent="0.4">
      <c r="A1000" s="103"/>
      <c r="B1000" s="103"/>
      <c r="C1000" s="103"/>
      <c r="D1000" s="103"/>
      <c r="E1000" s="103"/>
      <c r="F1000" s="103"/>
      <c r="G1000" s="103"/>
      <c r="H1000" s="103"/>
      <c r="I1000" s="103"/>
      <c r="J1000" s="103"/>
      <c r="K1000" s="103"/>
      <c r="L1000" s="103"/>
      <c r="M1000" s="104"/>
      <c r="N1000" s="103"/>
    </row>
    <row r="1001" spans="1:14" ht="45" customHeight="1" thickBot="1" x14ac:dyDescent="0.4">
      <c r="A1001" s="103"/>
      <c r="B1001" s="103"/>
      <c r="C1001" s="103"/>
      <c r="D1001" s="103"/>
      <c r="E1001" s="103"/>
      <c r="F1001" s="103"/>
      <c r="G1001" s="103"/>
      <c r="H1001" s="103"/>
      <c r="I1001" s="103"/>
      <c r="J1001" s="103"/>
      <c r="K1001" s="103"/>
      <c r="L1001" s="103"/>
      <c r="M1001" s="104"/>
      <c r="N1001" s="103"/>
    </row>
    <row r="1002" spans="1:14" ht="45" customHeight="1" thickBot="1" x14ac:dyDescent="0.4">
      <c r="A1002" s="103"/>
      <c r="B1002" s="103"/>
      <c r="C1002" s="103"/>
      <c r="D1002" s="103"/>
      <c r="E1002" s="103"/>
      <c r="F1002" s="103"/>
      <c r="G1002" s="103"/>
      <c r="H1002" s="103"/>
      <c r="I1002" s="103"/>
      <c r="J1002" s="103"/>
      <c r="K1002" s="103"/>
      <c r="L1002" s="103"/>
      <c r="M1002" s="104"/>
      <c r="N1002" s="103"/>
    </row>
    <row r="1003" spans="1:14" ht="45" customHeight="1" thickBot="1" x14ac:dyDescent="0.4">
      <c r="A1003" s="103"/>
      <c r="B1003" s="103"/>
      <c r="C1003" s="103"/>
      <c r="D1003" s="103"/>
      <c r="E1003" s="103"/>
      <c r="F1003" s="103"/>
      <c r="G1003" s="103"/>
      <c r="H1003" s="103"/>
      <c r="I1003" s="103"/>
      <c r="J1003" s="103"/>
      <c r="K1003" s="103"/>
      <c r="L1003" s="103"/>
      <c r="M1003" s="104"/>
      <c r="N1003" s="103"/>
    </row>
    <row r="1004" spans="1:14" ht="45" customHeight="1" thickBot="1" x14ac:dyDescent="0.4">
      <c r="A1004" s="103"/>
      <c r="B1004" s="103"/>
      <c r="C1004" s="103"/>
      <c r="D1004" s="103"/>
      <c r="E1004" s="103"/>
      <c r="F1004" s="103"/>
      <c r="G1004" s="103"/>
      <c r="H1004" s="103"/>
      <c r="I1004" s="103"/>
      <c r="J1004" s="103"/>
      <c r="K1004" s="103"/>
      <c r="L1004" s="103"/>
      <c r="M1004" s="104"/>
      <c r="N1004" s="103"/>
    </row>
    <row r="1005" spans="1:14" ht="45" customHeight="1" thickBot="1" x14ac:dyDescent="0.4">
      <c r="A1005" s="103"/>
      <c r="B1005" s="103"/>
      <c r="C1005" s="103"/>
      <c r="D1005" s="103"/>
      <c r="E1005" s="103"/>
      <c r="F1005" s="103"/>
      <c r="G1005" s="103"/>
      <c r="H1005" s="103"/>
      <c r="I1005" s="103"/>
      <c r="J1005" s="103"/>
      <c r="K1005" s="103"/>
      <c r="L1005" s="103"/>
      <c r="M1005" s="104"/>
      <c r="N1005" s="103"/>
    </row>
    <row r="1006" spans="1:14" ht="45" customHeight="1" thickBot="1" x14ac:dyDescent="0.4">
      <c r="A1006" s="103"/>
      <c r="B1006" s="103"/>
      <c r="C1006" s="103"/>
      <c r="D1006" s="103"/>
      <c r="E1006" s="103"/>
      <c r="F1006" s="103"/>
      <c r="G1006" s="103"/>
      <c r="H1006" s="103"/>
      <c r="I1006" s="103"/>
      <c r="J1006" s="103"/>
      <c r="K1006" s="103"/>
      <c r="L1006" s="103"/>
      <c r="M1006" s="104"/>
      <c r="N1006" s="103"/>
    </row>
    <row r="1007" spans="1:14" ht="45" customHeight="1" thickBot="1" x14ac:dyDescent="0.4">
      <c r="A1007" s="103"/>
      <c r="B1007" s="103"/>
      <c r="C1007" s="103"/>
      <c r="D1007" s="103"/>
      <c r="E1007" s="103"/>
      <c r="F1007" s="103"/>
      <c r="G1007" s="103"/>
      <c r="H1007" s="103"/>
      <c r="I1007" s="103"/>
      <c r="J1007" s="103"/>
      <c r="K1007" s="103"/>
      <c r="L1007" s="103"/>
      <c r="M1007" s="104"/>
      <c r="N1007" s="103"/>
    </row>
    <row r="1008" spans="1:14" ht="45" customHeight="1" thickBot="1" x14ac:dyDescent="0.4">
      <c r="A1008" s="103"/>
      <c r="B1008" s="103"/>
      <c r="C1008" s="103"/>
      <c r="D1008" s="103"/>
      <c r="E1008" s="103"/>
      <c r="F1008" s="103"/>
      <c r="G1008" s="103"/>
      <c r="H1008" s="103"/>
      <c r="I1008" s="103"/>
      <c r="J1008" s="103"/>
      <c r="K1008" s="103"/>
      <c r="L1008" s="103"/>
      <c r="M1008" s="104"/>
      <c r="N1008" s="103"/>
    </row>
    <row r="1009" spans="1:14" ht="45" customHeight="1" thickBot="1" x14ac:dyDescent="0.4">
      <c r="A1009" s="103"/>
      <c r="B1009" s="103"/>
      <c r="C1009" s="103"/>
      <c r="D1009" s="103"/>
      <c r="E1009" s="103"/>
      <c r="F1009" s="103"/>
      <c r="G1009" s="103"/>
      <c r="H1009" s="103"/>
      <c r="I1009" s="103"/>
      <c r="J1009" s="103"/>
      <c r="K1009" s="103"/>
      <c r="L1009" s="103"/>
      <c r="M1009" s="104"/>
      <c r="N1009" s="103"/>
    </row>
    <row r="1010" spans="1:14" ht="45" customHeight="1" thickBot="1" x14ac:dyDescent="0.4">
      <c r="A1010" s="103"/>
      <c r="B1010" s="103"/>
      <c r="C1010" s="103"/>
      <c r="D1010" s="103"/>
      <c r="E1010" s="103"/>
      <c r="F1010" s="103"/>
      <c r="G1010" s="103"/>
      <c r="H1010" s="103"/>
      <c r="I1010" s="103"/>
      <c r="J1010" s="103"/>
      <c r="K1010" s="103"/>
      <c r="L1010" s="103"/>
      <c r="M1010" s="104"/>
      <c r="N1010" s="103"/>
    </row>
    <row r="1011" spans="1:14" ht="45" customHeight="1" thickBot="1" x14ac:dyDescent="0.4">
      <c r="A1011" s="103"/>
      <c r="B1011" s="103"/>
      <c r="C1011" s="103"/>
      <c r="D1011" s="103"/>
      <c r="E1011" s="103"/>
      <c r="F1011" s="103"/>
      <c r="G1011" s="103"/>
      <c r="H1011" s="103"/>
      <c r="I1011" s="103"/>
      <c r="J1011" s="103"/>
      <c r="K1011" s="103"/>
      <c r="L1011" s="103"/>
      <c r="M1011" s="104"/>
      <c r="N1011" s="103"/>
    </row>
    <row r="1012" spans="1:14" ht="45" customHeight="1" thickBot="1" x14ac:dyDescent="0.4">
      <c r="A1012" s="103"/>
      <c r="B1012" s="103"/>
      <c r="C1012" s="103"/>
      <c r="D1012" s="103"/>
      <c r="E1012" s="103"/>
      <c r="F1012" s="103"/>
      <c r="G1012" s="103"/>
      <c r="H1012" s="103"/>
      <c r="I1012" s="103"/>
      <c r="J1012" s="103"/>
      <c r="K1012" s="103"/>
      <c r="L1012" s="103"/>
      <c r="M1012" s="104"/>
      <c r="N1012" s="103"/>
    </row>
    <row r="1013" spans="1:14" ht="45" customHeight="1" thickBot="1" x14ac:dyDescent="0.4">
      <c r="A1013" s="103"/>
      <c r="B1013" s="103"/>
      <c r="C1013" s="103"/>
      <c r="D1013" s="103"/>
      <c r="E1013" s="103"/>
      <c r="F1013" s="103"/>
      <c r="G1013" s="103"/>
      <c r="H1013" s="103"/>
      <c r="I1013" s="103"/>
      <c r="J1013" s="103"/>
      <c r="K1013" s="103"/>
      <c r="L1013" s="103"/>
      <c r="M1013" s="104"/>
      <c r="N1013" s="103"/>
    </row>
    <row r="1014" spans="1:14" ht="45" customHeight="1" thickBot="1" x14ac:dyDescent="0.4">
      <c r="A1014" s="103"/>
      <c r="B1014" s="103"/>
      <c r="C1014" s="103"/>
      <c r="D1014" s="103"/>
      <c r="E1014" s="103"/>
      <c r="F1014" s="103"/>
      <c r="G1014" s="103"/>
      <c r="H1014" s="103"/>
      <c r="I1014" s="103"/>
      <c r="J1014" s="103"/>
      <c r="K1014" s="103"/>
      <c r="L1014" s="103"/>
      <c r="M1014" s="104"/>
      <c r="N1014" s="103"/>
    </row>
    <row r="1015" spans="1:14" ht="45" customHeight="1" thickBot="1" x14ac:dyDescent="0.4">
      <c r="A1015" s="103"/>
      <c r="B1015" s="103"/>
      <c r="C1015" s="103"/>
      <c r="D1015" s="103"/>
      <c r="E1015" s="103"/>
      <c r="F1015" s="103"/>
      <c r="G1015" s="103"/>
      <c r="H1015" s="103"/>
      <c r="I1015" s="103"/>
      <c r="J1015" s="103"/>
      <c r="K1015" s="103"/>
      <c r="L1015" s="103"/>
      <c r="M1015" s="104"/>
      <c r="N1015" s="103"/>
    </row>
    <row r="1016" spans="1:14" ht="45" customHeight="1" thickBot="1" x14ac:dyDescent="0.4">
      <c r="A1016" s="103"/>
      <c r="B1016" s="103"/>
      <c r="C1016" s="103"/>
      <c r="D1016" s="103"/>
      <c r="E1016" s="103"/>
      <c r="F1016" s="103"/>
      <c r="G1016" s="103"/>
      <c r="H1016" s="103"/>
      <c r="I1016" s="103"/>
      <c r="J1016" s="103"/>
      <c r="K1016" s="103"/>
      <c r="L1016" s="103"/>
      <c r="M1016" s="104"/>
      <c r="N1016" s="103"/>
    </row>
    <row r="1017" spans="1:14" ht="45" customHeight="1" thickBot="1" x14ac:dyDescent="0.4">
      <c r="A1017" s="103"/>
      <c r="B1017" s="103"/>
      <c r="C1017" s="103"/>
      <c r="D1017" s="103"/>
      <c r="E1017" s="103"/>
      <c r="F1017" s="103"/>
      <c r="G1017" s="103"/>
      <c r="H1017" s="103"/>
      <c r="I1017" s="103"/>
      <c r="J1017" s="103"/>
      <c r="K1017" s="103"/>
      <c r="L1017" s="103"/>
      <c r="M1017" s="104"/>
      <c r="N1017" s="103"/>
    </row>
    <row r="1018" spans="1:14" ht="45" customHeight="1" thickBot="1" x14ac:dyDescent="0.4">
      <c r="A1018" s="103"/>
      <c r="B1018" s="103"/>
      <c r="C1018" s="103"/>
      <c r="D1018" s="103"/>
      <c r="E1018" s="103"/>
      <c r="F1018" s="103"/>
      <c r="G1018" s="103"/>
      <c r="H1018" s="103"/>
      <c r="I1018" s="103"/>
      <c r="J1018" s="103"/>
      <c r="K1018" s="103"/>
      <c r="L1018" s="103"/>
      <c r="M1018" s="104"/>
      <c r="N1018" s="103"/>
    </row>
    <row r="1019" spans="1:14" ht="45" customHeight="1" thickBot="1" x14ac:dyDescent="0.4">
      <c r="A1019" s="103"/>
      <c r="B1019" s="103"/>
      <c r="C1019" s="103"/>
      <c r="D1019" s="103"/>
      <c r="E1019" s="103"/>
      <c r="F1019" s="103"/>
      <c r="G1019" s="103"/>
      <c r="H1019" s="103"/>
      <c r="I1019" s="103"/>
      <c r="J1019" s="103"/>
      <c r="K1019" s="103"/>
      <c r="L1019" s="103"/>
      <c r="M1019" s="104"/>
      <c r="N1019" s="103"/>
    </row>
    <row r="1020" spans="1:14" ht="45" customHeight="1" thickBot="1" x14ac:dyDescent="0.4">
      <c r="A1020" s="103"/>
      <c r="B1020" s="103"/>
      <c r="C1020" s="103"/>
      <c r="D1020" s="103"/>
      <c r="E1020" s="103"/>
      <c r="F1020" s="103"/>
      <c r="G1020" s="103"/>
      <c r="H1020" s="103"/>
      <c r="I1020" s="103"/>
      <c r="J1020" s="103"/>
      <c r="K1020" s="103"/>
      <c r="L1020" s="103"/>
      <c r="M1020" s="104"/>
      <c r="N1020" s="103"/>
    </row>
    <row r="1021" spans="1:14" ht="45" customHeight="1" thickBot="1" x14ac:dyDescent="0.4">
      <c r="A1021" s="103"/>
      <c r="B1021" s="103"/>
      <c r="C1021" s="103"/>
      <c r="D1021" s="103"/>
      <c r="E1021" s="103"/>
      <c r="F1021" s="103"/>
      <c r="G1021" s="103"/>
      <c r="H1021" s="103"/>
      <c r="I1021" s="103"/>
      <c r="J1021" s="103"/>
      <c r="K1021" s="103"/>
      <c r="L1021" s="103"/>
      <c r="M1021" s="104"/>
      <c r="N1021" s="103"/>
    </row>
    <row r="1022" spans="1:14" ht="45" customHeight="1" thickBot="1" x14ac:dyDescent="0.4">
      <c r="A1022" s="103"/>
      <c r="B1022" s="103"/>
      <c r="C1022" s="103"/>
      <c r="D1022" s="103"/>
      <c r="E1022" s="103"/>
      <c r="F1022" s="103"/>
      <c r="G1022" s="103"/>
      <c r="H1022" s="103"/>
      <c r="I1022" s="103"/>
      <c r="J1022" s="103"/>
      <c r="K1022" s="103"/>
      <c r="L1022" s="103"/>
      <c r="M1022" s="104"/>
      <c r="N1022" s="103"/>
    </row>
    <row r="1023" spans="1:14" ht="45" customHeight="1" thickBot="1" x14ac:dyDescent="0.4">
      <c r="A1023" s="103"/>
      <c r="B1023" s="103"/>
      <c r="C1023" s="103"/>
      <c r="D1023" s="103"/>
      <c r="E1023" s="103"/>
      <c r="F1023" s="103"/>
      <c r="G1023" s="103"/>
      <c r="H1023" s="103"/>
      <c r="I1023" s="103"/>
      <c r="J1023" s="103"/>
      <c r="K1023" s="103"/>
      <c r="L1023" s="103"/>
      <c r="M1023" s="104"/>
      <c r="N1023" s="103"/>
    </row>
    <row r="1024" spans="1:14" ht="45" customHeight="1" thickBot="1" x14ac:dyDescent="0.4">
      <c r="A1024" s="103"/>
      <c r="B1024" s="103"/>
      <c r="C1024" s="103"/>
      <c r="D1024" s="103"/>
      <c r="E1024" s="103"/>
      <c r="F1024" s="103"/>
      <c r="G1024" s="103"/>
      <c r="H1024" s="103"/>
      <c r="I1024" s="103"/>
      <c r="J1024" s="103"/>
      <c r="K1024" s="103"/>
      <c r="L1024" s="103"/>
      <c r="M1024" s="104"/>
      <c r="N1024" s="103"/>
    </row>
    <row r="1025" spans="1:14" ht="45" customHeight="1" thickBot="1" x14ac:dyDescent="0.4">
      <c r="A1025" s="103"/>
      <c r="B1025" s="103"/>
      <c r="C1025" s="103"/>
      <c r="D1025" s="103"/>
      <c r="E1025" s="103"/>
      <c r="F1025" s="103"/>
      <c r="G1025" s="103"/>
      <c r="H1025" s="103"/>
      <c r="I1025" s="103"/>
      <c r="J1025" s="103"/>
      <c r="K1025" s="103"/>
      <c r="L1025" s="103"/>
      <c r="M1025" s="104"/>
      <c r="N1025" s="103"/>
    </row>
    <row r="1026" spans="1:14" ht="45" customHeight="1" thickBot="1" x14ac:dyDescent="0.4">
      <c r="A1026" s="103"/>
      <c r="B1026" s="103"/>
      <c r="C1026" s="103"/>
      <c r="D1026" s="103"/>
      <c r="E1026" s="103"/>
      <c r="F1026" s="103"/>
      <c r="G1026" s="103"/>
      <c r="H1026" s="103"/>
      <c r="I1026" s="103"/>
      <c r="J1026" s="103"/>
      <c r="K1026" s="103"/>
      <c r="L1026" s="103"/>
      <c r="M1026" s="104"/>
      <c r="N1026" s="103"/>
    </row>
    <row r="1027" spans="1:14" ht="45" customHeight="1" thickBot="1" x14ac:dyDescent="0.4">
      <c r="A1027" s="103"/>
      <c r="B1027" s="103"/>
      <c r="C1027" s="103"/>
      <c r="D1027" s="103"/>
      <c r="E1027" s="103"/>
      <c r="F1027" s="103"/>
      <c r="G1027" s="103"/>
      <c r="H1027" s="103"/>
      <c r="I1027" s="103"/>
      <c r="J1027" s="103"/>
      <c r="K1027" s="103"/>
      <c r="L1027" s="103"/>
      <c r="M1027" s="104"/>
      <c r="N1027" s="103"/>
    </row>
    <row r="1028" spans="1:14" ht="45" customHeight="1" thickBot="1" x14ac:dyDescent="0.4">
      <c r="A1028" s="103"/>
      <c r="B1028" s="103"/>
      <c r="C1028" s="103"/>
      <c r="D1028" s="103"/>
      <c r="E1028" s="103"/>
      <c r="F1028" s="103"/>
      <c r="G1028" s="103"/>
      <c r="H1028" s="103"/>
      <c r="I1028" s="103"/>
      <c r="J1028" s="103"/>
      <c r="K1028" s="103"/>
      <c r="L1028" s="103"/>
      <c r="M1028" s="104"/>
      <c r="N1028" s="103"/>
    </row>
    <row r="1029" spans="1:14" ht="45" customHeight="1" thickBot="1" x14ac:dyDescent="0.4">
      <c r="A1029" s="103"/>
      <c r="B1029" s="103"/>
      <c r="C1029" s="103"/>
      <c r="D1029" s="103"/>
      <c r="E1029" s="103"/>
      <c r="F1029" s="103"/>
      <c r="G1029" s="103"/>
      <c r="H1029" s="103"/>
      <c r="I1029" s="103"/>
      <c r="J1029" s="103"/>
      <c r="K1029" s="103"/>
      <c r="L1029" s="103"/>
      <c r="M1029" s="104"/>
      <c r="N1029" s="103"/>
    </row>
    <row r="1030" spans="1:14" ht="45" customHeight="1" thickBot="1" x14ac:dyDescent="0.4">
      <c r="A1030" s="103"/>
      <c r="B1030" s="103"/>
      <c r="C1030" s="103"/>
      <c r="D1030" s="103"/>
      <c r="E1030" s="103"/>
      <c r="F1030" s="103"/>
      <c r="G1030" s="103"/>
      <c r="H1030" s="103"/>
      <c r="I1030" s="103"/>
      <c r="J1030" s="103"/>
      <c r="K1030" s="103"/>
      <c r="L1030" s="103"/>
      <c r="M1030" s="104"/>
      <c r="N1030" s="103"/>
    </row>
    <row r="1031" spans="1:14" ht="45" customHeight="1" thickBot="1" x14ac:dyDescent="0.4">
      <c r="A1031" s="103"/>
      <c r="B1031" s="103"/>
      <c r="C1031" s="103"/>
      <c r="D1031" s="103"/>
      <c r="E1031" s="103"/>
      <c r="F1031" s="103"/>
      <c r="G1031" s="103"/>
      <c r="H1031" s="103"/>
      <c r="I1031" s="103"/>
      <c r="J1031" s="103"/>
      <c r="K1031" s="103"/>
      <c r="L1031" s="103"/>
      <c r="M1031" s="104"/>
      <c r="N1031" s="103"/>
    </row>
    <row r="1032" spans="1:14" ht="45" customHeight="1" thickBot="1" x14ac:dyDescent="0.4">
      <c r="A1032" s="103"/>
      <c r="B1032" s="103"/>
      <c r="C1032" s="103"/>
      <c r="D1032" s="103"/>
      <c r="E1032" s="103"/>
      <c r="F1032" s="103"/>
      <c r="G1032" s="103"/>
      <c r="H1032" s="103"/>
      <c r="I1032" s="103"/>
      <c r="J1032" s="103"/>
      <c r="K1032" s="103"/>
      <c r="L1032" s="103"/>
      <c r="M1032" s="104"/>
      <c r="N1032" s="103"/>
    </row>
    <row r="1033" spans="1:14" ht="45" customHeight="1" thickBot="1" x14ac:dyDescent="0.4">
      <c r="A1033" s="103"/>
      <c r="B1033" s="103"/>
      <c r="C1033" s="103"/>
      <c r="D1033" s="103"/>
      <c r="E1033" s="103"/>
      <c r="F1033" s="103"/>
      <c r="G1033" s="103"/>
      <c r="H1033" s="103"/>
      <c r="I1033" s="103"/>
      <c r="J1033" s="103"/>
      <c r="K1033" s="103"/>
      <c r="L1033" s="103"/>
      <c r="M1033" s="104"/>
      <c r="N1033" s="103"/>
    </row>
    <row r="1034" spans="1:14" ht="45" customHeight="1" thickBot="1" x14ac:dyDescent="0.4">
      <c r="A1034" s="103"/>
      <c r="B1034" s="103"/>
      <c r="C1034" s="103"/>
      <c r="D1034" s="103"/>
      <c r="E1034" s="103"/>
      <c r="F1034" s="103"/>
      <c r="G1034" s="103"/>
      <c r="H1034" s="103"/>
      <c r="I1034" s="103"/>
      <c r="J1034" s="103"/>
      <c r="K1034" s="103"/>
      <c r="L1034" s="103"/>
      <c r="M1034" s="104"/>
      <c r="N1034" s="103"/>
    </row>
    <row r="1035" spans="1:14" ht="45" customHeight="1" thickBot="1" x14ac:dyDescent="0.4">
      <c r="A1035" s="103"/>
      <c r="B1035" s="103"/>
      <c r="C1035" s="103"/>
      <c r="D1035" s="103"/>
      <c r="E1035" s="103"/>
      <c r="F1035" s="103"/>
      <c r="G1035" s="103"/>
      <c r="H1035" s="103"/>
      <c r="I1035" s="103"/>
      <c r="J1035" s="103"/>
      <c r="K1035" s="103"/>
      <c r="L1035" s="103"/>
      <c r="M1035" s="104"/>
      <c r="N1035" s="103"/>
    </row>
    <row r="1036" spans="1:14" ht="45" customHeight="1" thickBot="1" x14ac:dyDescent="0.4">
      <c r="A1036" s="103"/>
      <c r="B1036" s="103"/>
      <c r="C1036" s="103"/>
      <c r="D1036" s="103"/>
      <c r="E1036" s="103"/>
      <c r="F1036" s="103"/>
      <c r="G1036" s="103"/>
      <c r="H1036" s="103"/>
      <c r="I1036" s="103"/>
      <c r="J1036" s="103"/>
      <c r="K1036" s="103"/>
      <c r="L1036" s="103"/>
      <c r="M1036" s="104"/>
      <c r="N1036" s="103"/>
    </row>
    <row r="1037" spans="1:14" ht="45" customHeight="1" thickBot="1" x14ac:dyDescent="0.4">
      <c r="A1037" s="103"/>
      <c r="B1037" s="103"/>
      <c r="C1037" s="103"/>
      <c r="D1037" s="103"/>
      <c r="E1037" s="103"/>
      <c r="F1037" s="103"/>
      <c r="G1037" s="103"/>
      <c r="H1037" s="103"/>
      <c r="I1037" s="103"/>
      <c r="J1037" s="103"/>
      <c r="K1037" s="103"/>
      <c r="L1037" s="103"/>
      <c r="M1037" s="104"/>
      <c r="N1037" s="103"/>
    </row>
    <row r="1038" spans="1:14" ht="45" customHeight="1" thickBot="1" x14ac:dyDescent="0.4">
      <c r="A1038" s="103"/>
      <c r="B1038" s="103"/>
      <c r="C1038" s="103"/>
      <c r="D1038" s="103"/>
      <c r="E1038" s="103"/>
      <c r="F1038" s="103"/>
      <c r="G1038" s="103"/>
      <c r="H1038" s="103"/>
      <c r="I1038" s="103"/>
      <c r="J1038" s="103"/>
      <c r="K1038" s="103"/>
      <c r="L1038" s="103"/>
      <c r="M1038" s="104"/>
      <c r="N1038" s="103"/>
    </row>
    <row r="1039" spans="1:14" ht="45" customHeight="1" thickBot="1" x14ac:dyDescent="0.4">
      <c r="A1039" s="103"/>
      <c r="B1039" s="103"/>
      <c r="C1039" s="103"/>
      <c r="D1039" s="103"/>
      <c r="E1039" s="103"/>
      <c r="F1039" s="103"/>
      <c r="G1039" s="103"/>
      <c r="H1039" s="103"/>
      <c r="I1039" s="103"/>
      <c r="J1039" s="103"/>
      <c r="K1039" s="103"/>
      <c r="L1039" s="103"/>
      <c r="M1039" s="104"/>
      <c r="N1039" s="103"/>
    </row>
    <row r="1040" spans="1:14" ht="45" customHeight="1" thickBot="1" x14ac:dyDescent="0.4">
      <c r="A1040" s="103"/>
      <c r="B1040" s="103"/>
      <c r="C1040" s="103"/>
      <c r="D1040" s="103"/>
      <c r="E1040" s="103"/>
      <c r="F1040" s="103"/>
      <c r="G1040" s="103"/>
      <c r="H1040" s="103"/>
      <c r="I1040" s="103"/>
      <c r="J1040" s="103"/>
      <c r="K1040" s="103"/>
      <c r="L1040" s="103"/>
      <c r="M1040" s="104"/>
      <c r="N1040" s="103"/>
    </row>
    <row r="1041" spans="1:14" ht="45" customHeight="1" thickBot="1" x14ac:dyDescent="0.4">
      <c r="A1041" s="103"/>
      <c r="B1041" s="103"/>
      <c r="C1041" s="103"/>
      <c r="D1041" s="103"/>
      <c r="E1041" s="103"/>
      <c r="F1041" s="103"/>
      <c r="G1041" s="103"/>
      <c r="H1041" s="103"/>
      <c r="I1041" s="103"/>
      <c r="J1041" s="103"/>
      <c r="K1041" s="103"/>
      <c r="L1041" s="103"/>
      <c r="M1041" s="104"/>
      <c r="N1041" s="103"/>
    </row>
    <row r="1042" spans="1:14" ht="45" customHeight="1" thickBot="1" x14ac:dyDescent="0.4">
      <c r="A1042" s="103"/>
      <c r="B1042" s="103"/>
      <c r="C1042" s="103"/>
      <c r="D1042" s="103"/>
      <c r="E1042" s="103"/>
      <c r="F1042" s="103"/>
      <c r="G1042" s="103"/>
      <c r="H1042" s="103"/>
      <c r="I1042" s="103"/>
      <c r="J1042" s="103"/>
      <c r="K1042" s="103"/>
      <c r="L1042" s="103"/>
      <c r="M1042" s="104"/>
      <c r="N1042" s="103"/>
    </row>
    <row r="1043" spans="1:14" ht="45" customHeight="1" thickBot="1" x14ac:dyDescent="0.4">
      <c r="A1043" s="103"/>
      <c r="B1043" s="103"/>
      <c r="C1043" s="103"/>
      <c r="D1043" s="103"/>
      <c r="E1043" s="103"/>
      <c r="F1043" s="103"/>
      <c r="G1043" s="103"/>
      <c r="H1043" s="103"/>
      <c r="I1043" s="103"/>
      <c r="J1043" s="103"/>
      <c r="K1043" s="103"/>
      <c r="L1043" s="103"/>
      <c r="M1043" s="104"/>
      <c r="N1043" s="103"/>
    </row>
    <row r="1044" spans="1:14" ht="45" customHeight="1" thickBot="1" x14ac:dyDescent="0.4">
      <c r="A1044" s="103"/>
      <c r="B1044" s="103"/>
      <c r="C1044" s="103"/>
      <c r="D1044" s="103"/>
      <c r="E1044" s="103"/>
      <c r="F1044" s="103"/>
      <c r="G1044" s="103"/>
      <c r="H1044" s="103"/>
      <c r="I1044" s="103"/>
      <c r="J1044" s="103"/>
      <c r="K1044" s="103"/>
      <c r="L1044" s="103"/>
      <c r="M1044" s="104"/>
      <c r="N1044" s="103"/>
    </row>
    <row r="1045" spans="1:14" ht="45" customHeight="1" thickBot="1" x14ac:dyDescent="0.4">
      <c r="A1045" s="103"/>
      <c r="B1045" s="103"/>
      <c r="C1045" s="103"/>
      <c r="D1045" s="103"/>
      <c r="E1045" s="103"/>
      <c r="F1045" s="103"/>
      <c r="G1045" s="103"/>
      <c r="H1045" s="103"/>
      <c r="I1045" s="103"/>
      <c r="J1045" s="103"/>
      <c r="K1045" s="103"/>
      <c r="L1045" s="103"/>
      <c r="M1045" s="104"/>
      <c r="N1045" s="103"/>
    </row>
    <row r="1046" spans="1:14" ht="45" customHeight="1" thickBot="1" x14ac:dyDescent="0.4">
      <c r="A1046" s="103"/>
      <c r="B1046" s="103"/>
      <c r="C1046" s="103"/>
      <c r="D1046" s="103"/>
      <c r="E1046" s="103"/>
      <c r="F1046" s="103"/>
      <c r="G1046" s="103"/>
      <c r="H1046" s="103"/>
      <c r="I1046" s="103"/>
      <c r="J1046" s="103"/>
      <c r="K1046" s="103"/>
      <c r="L1046" s="103"/>
      <c r="M1046" s="104"/>
      <c r="N1046" s="103"/>
    </row>
    <row r="1047" spans="1:14" ht="45" customHeight="1" thickBot="1" x14ac:dyDescent="0.4">
      <c r="A1047" s="103"/>
      <c r="B1047" s="103"/>
      <c r="C1047" s="103"/>
      <c r="D1047" s="103"/>
      <c r="E1047" s="103"/>
      <c r="F1047" s="103"/>
      <c r="G1047" s="103"/>
      <c r="H1047" s="103"/>
      <c r="I1047" s="103"/>
      <c r="J1047" s="103"/>
      <c r="K1047" s="103"/>
      <c r="L1047" s="103"/>
      <c r="M1047" s="104"/>
      <c r="N1047" s="103"/>
    </row>
    <row r="1048" spans="1:14" ht="45" customHeight="1" thickBot="1" x14ac:dyDescent="0.4">
      <c r="A1048" s="103"/>
      <c r="B1048" s="103"/>
      <c r="C1048" s="103"/>
      <c r="D1048" s="103"/>
      <c r="E1048" s="103"/>
      <c r="F1048" s="103"/>
      <c r="G1048" s="103"/>
      <c r="H1048" s="103"/>
      <c r="I1048" s="103"/>
      <c r="J1048" s="103"/>
      <c r="K1048" s="103"/>
      <c r="L1048" s="103"/>
      <c r="M1048" s="104"/>
      <c r="N1048" s="103"/>
    </row>
    <row r="1049" spans="1:14" ht="45" customHeight="1" thickBot="1" x14ac:dyDescent="0.4">
      <c r="A1049" s="103"/>
      <c r="B1049" s="103"/>
      <c r="C1049" s="103"/>
      <c r="D1049" s="103"/>
      <c r="E1049" s="103"/>
      <c r="F1049" s="103"/>
      <c r="G1049" s="103"/>
      <c r="H1049" s="103"/>
      <c r="I1049" s="103"/>
      <c r="J1049" s="103"/>
      <c r="K1049" s="103"/>
      <c r="L1049" s="103"/>
      <c r="M1049" s="104"/>
      <c r="N1049" s="103"/>
    </row>
    <row r="1050" spans="1:14" ht="45" customHeight="1" thickBot="1" x14ac:dyDescent="0.4">
      <c r="A1050" s="103"/>
      <c r="B1050" s="103"/>
      <c r="C1050" s="103"/>
      <c r="D1050" s="103"/>
      <c r="E1050" s="103"/>
      <c r="F1050" s="103"/>
      <c r="G1050" s="103"/>
      <c r="H1050" s="103"/>
      <c r="I1050" s="103"/>
      <c r="J1050" s="103"/>
      <c r="K1050" s="103"/>
      <c r="L1050" s="103"/>
      <c r="M1050" s="104"/>
      <c r="N1050" s="103"/>
    </row>
    <row r="1051" spans="1:14" ht="45" customHeight="1" thickBot="1" x14ac:dyDescent="0.4">
      <c r="A1051" s="103"/>
      <c r="B1051" s="103"/>
      <c r="C1051" s="103"/>
      <c r="D1051" s="103"/>
      <c r="E1051" s="103"/>
      <c r="F1051" s="103"/>
      <c r="G1051" s="103"/>
      <c r="H1051" s="103"/>
      <c r="I1051" s="103"/>
      <c r="J1051" s="103"/>
      <c r="K1051" s="103"/>
      <c r="L1051" s="103"/>
      <c r="M1051" s="104"/>
      <c r="N1051" s="103"/>
    </row>
    <row r="1052" spans="1:14" ht="45" customHeight="1" thickBot="1" x14ac:dyDescent="0.4">
      <c r="A1052" s="103"/>
      <c r="B1052" s="103"/>
      <c r="C1052" s="103"/>
      <c r="D1052" s="103"/>
      <c r="E1052" s="103"/>
      <c r="F1052" s="103"/>
      <c r="G1052" s="103"/>
      <c r="H1052" s="103"/>
      <c r="I1052" s="103"/>
      <c r="J1052" s="103"/>
      <c r="K1052" s="103"/>
      <c r="L1052" s="103"/>
      <c r="M1052" s="104"/>
      <c r="N1052" s="103"/>
    </row>
    <row r="1053" spans="1:14" ht="45" customHeight="1" thickBot="1" x14ac:dyDescent="0.4">
      <c r="A1053" s="103"/>
      <c r="B1053" s="103"/>
      <c r="C1053" s="103"/>
      <c r="D1053" s="103"/>
      <c r="E1053" s="103"/>
      <c r="F1053" s="103"/>
      <c r="G1053" s="103"/>
      <c r="H1053" s="103"/>
      <c r="I1053" s="103"/>
      <c r="J1053" s="103"/>
      <c r="K1053" s="103"/>
      <c r="L1053" s="103"/>
      <c r="M1053" s="104"/>
      <c r="N1053" s="103"/>
    </row>
    <row r="1054" spans="1:14" ht="45" customHeight="1" thickBot="1" x14ac:dyDescent="0.4">
      <c r="A1054" s="103"/>
      <c r="B1054" s="103"/>
      <c r="C1054" s="103"/>
      <c r="D1054" s="103"/>
      <c r="E1054" s="103"/>
      <c r="F1054" s="103"/>
      <c r="G1054" s="103"/>
      <c r="H1054" s="103"/>
      <c r="I1054" s="103"/>
      <c r="J1054" s="103"/>
      <c r="K1054" s="103"/>
      <c r="L1054" s="103"/>
      <c r="M1054" s="104"/>
      <c r="N1054" s="103"/>
    </row>
    <row r="1055" spans="1:14" ht="45" customHeight="1" thickBot="1" x14ac:dyDescent="0.4">
      <c r="A1055" s="103"/>
      <c r="B1055" s="103"/>
      <c r="C1055" s="103"/>
      <c r="D1055" s="103"/>
      <c r="E1055" s="103"/>
      <c r="F1055" s="103"/>
      <c r="G1055" s="103"/>
      <c r="H1055" s="103"/>
      <c r="I1055" s="103"/>
      <c r="J1055" s="103"/>
      <c r="K1055" s="103"/>
      <c r="L1055" s="103"/>
      <c r="M1055" s="104"/>
      <c r="N1055" s="103"/>
    </row>
    <row r="1056" spans="1:14" ht="45" customHeight="1" thickBot="1" x14ac:dyDescent="0.4">
      <c r="A1056" s="103"/>
      <c r="B1056" s="103"/>
      <c r="C1056" s="103"/>
      <c r="D1056" s="103"/>
      <c r="E1056" s="103"/>
      <c r="F1056" s="103"/>
      <c r="G1056" s="103"/>
      <c r="H1056" s="103"/>
      <c r="I1056" s="103"/>
      <c r="J1056" s="103"/>
      <c r="K1056" s="103"/>
      <c r="L1056" s="103"/>
      <c r="M1056" s="104"/>
      <c r="N1056" s="103"/>
    </row>
    <row r="1057" spans="1:14" ht="45" customHeight="1" thickBot="1" x14ac:dyDescent="0.4">
      <c r="A1057" s="103"/>
      <c r="B1057" s="103"/>
      <c r="C1057" s="103"/>
      <c r="D1057" s="103"/>
      <c r="E1057" s="103"/>
      <c r="F1057" s="103"/>
      <c r="G1057" s="103"/>
      <c r="H1057" s="103"/>
      <c r="I1057" s="103"/>
      <c r="J1057" s="103"/>
      <c r="K1057" s="103"/>
      <c r="L1057" s="103"/>
      <c r="M1057" s="104"/>
      <c r="N1057" s="103"/>
    </row>
    <row r="1058" spans="1:14" ht="45" customHeight="1" thickBot="1" x14ac:dyDescent="0.4">
      <c r="A1058" s="103"/>
      <c r="B1058" s="103"/>
      <c r="C1058" s="103"/>
      <c r="D1058" s="103"/>
      <c r="E1058" s="103"/>
      <c r="F1058" s="103"/>
      <c r="G1058" s="103"/>
      <c r="H1058" s="103"/>
      <c r="I1058" s="103"/>
      <c r="J1058" s="103"/>
      <c r="K1058" s="103"/>
      <c r="L1058" s="103"/>
      <c r="M1058" s="104"/>
      <c r="N1058" s="103"/>
    </row>
    <row r="1059" spans="1:14" ht="45" customHeight="1" thickBot="1" x14ac:dyDescent="0.4">
      <c r="A1059" s="103"/>
      <c r="B1059" s="103"/>
      <c r="C1059" s="103"/>
      <c r="D1059" s="103"/>
      <c r="E1059" s="103"/>
      <c r="F1059" s="103"/>
      <c r="G1059" s="103"/>
      <c r="H1059" s="103"/>
      <c r="I1059" s="103"/>
      <c r="J1059" s="103"/>
      <c r="K1059" s="103"/>
      <c r="L1059" s="103"/>
      <c r="M1059" s="104"/>
      <c r="N1059" s="103"/>
    </row>
    <row r="1060" spans="1:14" ht="45" customHeight="1" thickBot="1" x14ac:dyDescent="0.4">
      <c r="A1060" s="103"/>
      <c r="B1060" s="103"/>
      <c r="C1060" s="103"/>
      <c r="D1060" s="103"/>
      <c r="E1060" s="103"/>
      <c r="F1060" s="103"/>
      <c r="G1060" s="103"/>
      <c r="H1060" s="103"/>
      <c r="I1060" s="103"/>
      <c r="J1060" s="103"/>
      <c r="K1060" s="103"/>
      <c r="L1060" s="103"/>
      <c r="M1060" s="104"/>
      <c r="N1060" s="103"/>
    </row>
    <row r="1061" spans="1:14" ht="45" customHeight="1" thickBot="1" x14ac:dyDescent="0.4">
      <c r="A1061" s="103"/>
      <c r="B1061" s="103"/>
      <c r="C1061" s="103"/>
      <c r="D1061" s="103"/>
      <c r="E1061" s="103"/>
      <c r="F1061" s="103"/>
      <c r="G1061" s="103"/>
      <c r="H1061" s="103"/>
      <c r="I1061" s="103"/>
      <c r="J1061" s="103"/>
      <c r="K1061" s="103"/>
      <c r="L1061" s="103"/>
      <c r="M1061" s="104"/>
      <c r="N1061" s="103"/>
    </row>
    <row r="1062" spans="1:14" ht="45" customHeight="1" thickBot="1" x14ac:dyDescent="0.4">
      <c r="A1062" s="103"/>
      <c r="B1062" s="103"/>
      <c r="C1062" s="103"/>
      <c r="D1062" s="103"/>
      <c r="E1062" s="103"/>
      <c r="F1062" s="103"/>
      <c r="G1062" s="103"/>
      <c r="H1062" s="103"/>
      <c r="I1062" s="103"/>
      <c r="J1062" s="103"/>
      <c r="K1062" s="103"/>
      <c r="L1062" s="103"/>
      <c r="M1062" s="104"/>
      <c r="N1062" s="103"/>
    </row>
    <row r="1063" spans="1:14" ht="45" customHeight="1" thickBot="1" x14ac:dyDescent="0.4">
      <c r="A1063" s="103"/>
      <c r="B1063" s="103"/>
      <c r="C1063" s="103"/>
      <c r="D1063" s="103"/>
      <c r="E1063" s="103"/>
      <c r="F1063" s="103"/>
      <c r="G1063" s="103"/>
      <c r="H1063" s="103"/>
      <c r="I1063" s="103"/>
      <c r="J1063" s="103"/>
      <c r="K1063" s="103"/>
      <c r="L1063" s="103"/>
      <c r="M1063" s="104"/>
      <c r="N1063" s="103"/>
    </row>
    <row r="1064" spans="1:14" ht="45" customHeight="1" thickBot="1" x14ac:dyDescent="0.4">
      <c r="A1064" s="103"/>
      <c r="B1064" s="103"/>
      <c r="C1064" s="103"/>
      <c r="D1064" s="103"/>
      <c r="E1064" s="103"/>
      <c r="F1064" s="103"/>
      <c r="G1064" s="103"/>
      <c r="H1064" s="103"/>
      <c r="I1064" s="103"/>
      <c r="J1064" s="103"/>
      <c r="K1064" s="103"/>
      <c r="L1064" s="103"/>
      <c r="M1064" s="104"/>
      <c r="N1064" s="103"/>
    </row>
    <row r="1065" spans="1:14" ht="45" customHeight="1" thickBot="1" x14ac:dyDescent="0.4">
      <c r="A1065" s="103"/>
      <c r="B1065" s="103"/>
      <c r="C1065" s="103"/>
      <c r="D1065" s="103"/>
      <c r="E1065" s="103"/>
      <c r="F1065" s="103"/>
      <c r="G1065" s="103"/>
      <c r="H1065" s="103"/>
      <c r="I1065" s="103"/>
      <c r="J1065" s="103"/>
      <c r="K1065" s="103"/>
      <c r="L1065" s="103"/>
      <c r="M1065" s="104"/>
      <c r="N1065" s="103"/>
    </row>
    <row r="1066" spans="1:14" ht="45" customHeight="1" thickBot="1" x14ac:dyDescent="0.4">
      <c r="A1066" s="103"/>
      <c r="B1066" s="103"/>
      <c r="C1066" s="103"/>
      <c r="D1066" s="103"/>
      <c r="E1066" s="103"/>
      <c r="F1066" s="103"/>
      <c r="G1066" s="103"/>
      <c r="H1066" s="103"/>
      <c r="I1066" s="103"/>
      <c r="J1066" s="103"/>
      <c r="K1066" s="103"/>
      <c r="L1066" s="103"/>
      <c r="M1066" s="104"/>
      <c r="N1066" s="103"/>
    </row>
    <row r="1067" spans="1:14" ht="45" customHeight="1" thickBot="1" x14ac:dyDescent="0.4">
      <c r="A1067" s="103"/>
      <c r="B1067" s="103"/>
      <c r="C1067" s="103"/>
      <c r="D1067" s="103"/>
      <c r="E1067" s="103"/>
      <c r="F1067" s="103"/>
      <c r="G1067" s="103"/>
      <c r="H1067" s="103"/>
      <c r="I1067" s="103"/>
      <c r="J1067" s="103"/>
      <c r="K1067" s="103"/>
      <c r="L1067" s="103"/>
      <c r="M1067" s="104"/>
      <c r="N1067" s="103"/>
    </row>
    <row r="1068" spans="1:14" ht="45" customHeight="1" thickBot="1" x14ac:dyDescent="0.4">
      <c r="A1068" s="103"/>
      <c r="B1068" s="103"/>
      <c r="C1068" s="103"/>
      <c r="D1068" s="103"/>
      <c r="E1068" s="103"/>
      <c r="F1068" s="103"/>
      <c r="G1068" s="103"/>
      <c r="H1068" s="103"/>
      <c r="I1068" s="103"/>
      <c r="J1068" s="103"/>
      <c r="K1068" s="103"/>
      <c r="L1068" s="103"/>
      <c r="M1068" s="104"/>
      <c r="N1068" s="103"/>
    </row>
    <row r="1069" spans="1:14" ht="45" customHeight="1" thickBot="1" x14ac:dyDescent="0.4">
      <c r="A1069" s="103"/>
      <c r="B1069" s="103"/>
      <c r="C1069" s="103"/>
      <c r="D1069" s="103"/>
      <c r="E1069" s="103"/>
      <c r="F1069" s="103"/>
      <c r="G1069" s="103"/>
      <c r="H1069" s="103"/>
      <c r="I1069" s="103"/>
      <c r="J1069" s="103"/>
      <c r="K1069" s="103"/>
      <c r="L1069" s="103"/>
      <c r="M1069" s="104"/>
      <c r="N1069" s="103"/>
    </row>
    <row r="1070" spans="1:14" ht="45" customHeight="1" thickBot="1" x14ac:dyDescent="0.4">
      <c r="A1070" s="103"/>
      <c r="B1070" s="103"/>
      <c r="C1070" s="103"/>
      <c r="D1070" s="103"/>
      <c r="E1070" s="103"/>
      <c r="F1070" s="103"/>
      <c r="G1070" s="103"/>
      <c r="H1070" s="103"/>
      <c r="I1070" s="103"/>
      <c r="J1070" s="103"/>
      <c r="K1070" s="103"/>
      <c r="L1070" s="103"/>
      <c r="M1070" s="104"/>
      <c r="N1070" s="103"/>
    </row>
    <row r="1071" spans="1:14" ht="45" customHeight="1" thickBot="1" x14ac:dyDescent="0.4">
      <c r="A1071" s="103"/>
      <c r="B1071" s="103"/>
      <c r="C1071" s="103"/>
      <c r="D1071" s="103"/>
      <c r="E1071" s="103"/>
      <c r="F1071" s="103"/>
      <c r="G1071" s="103"/>
      <c r="H1071" s="103"/>
      <c r="I1071" s="103"/>
      <c r="J1071" s="103"/>
      <c r="K1071" s="103"/>
      <c r="L1071" s="103"/>
      <c r="M1071" s="104"/>
      <c r="N1071" s="103"/>
    </row>
    <row r="1072" spans="1:14" ht="45" customHeight="1" thickBot="1" x14ac:dyDescent="0.4">
      <c r="A1072" s="103"/>
      <c r="B1072" s="103"/>
      <c r="C1072" s="103"/>
      <c r="D1072" s="103"/>
      <c r="E1072" s="103"/>
      <c r="F1072" s="103"/>
      <c r="G1072" s="103"/>
      <c r="H1072" s="103"/>
      <c r="I1072" s="103"/>
      <c r="J1072" s="103"/>
      <c r="K1072" s="103"/>
      <c r="L1072" s="103"/>
      <c r="M1072" s="104"/>
      <c r="N1072" s="103"/>
    </row>
    <row r="1073" spans="1:14" ht="45" customHeight="1" thickBot="1" x14ac:dyDescent="0.4">
      <c r="A1073" s="103"/>
      <c r="B1073" s="103"/>
      <c r="C1073" s="103"/>
      <c r="D1073" s="103"/>
      <c r="E1073" s="103"/>
      <c r="F1073" s="103"/>
      <c r="G1073" s="103"/>
      <c r="H1073" s="103"/>
      <c r="I1073" s="103"/>
      <c r="J1073" s="103"/>
      <c r="K1073" s="103"/>
      <c r="L1073" s="103"/>
      <c r="M1073" s="104"/>
      <c r="N1073" s="103"/>
    </row>
    <row r="1074" spans="1:14" ht="45" customHeight="1" thickBot="1" x14ac:dyDescent="0.4">
      <c r="A1074" s="103"/>
      <c r="B1074" s="103"/>
      <c r="C1074" s="103"/>
      <c r="D1074" s="103"/>
      <c r="E1074" s="103"/>
      <c r="F1074" s="103"/>
      <c r="G1074" s="103"/>
      <c r="H1074" s="103"/>
      <c r="I1074" s="103"/>
      <c r="J1074" s="103"/>
      <c r="K1074" s="103"/>
      <c r="L1074" s="103"/>
      <c r="M1074" s="104"/>
      <c r="N1074" s="103"/>
    </row>
    <row r="1075" spans="1:14" ht="45" customHeight="1" thickBot="1" x14ac:dyDescent="0.4">
      <c r="A1075" s="103"/>
      <c r="B1075" s="103"/>
      <c r="C1075" s="103"/>
      <c r="D1075" s="103"/>
      <c r="E1075" s="103"/>
      <c r="F1075" s="103"/>
      <c r="G1075" s="103"/>
      <c r="H1075" s="103"/>
      <c r="I1075" s="103"/>
      <c r="J1075" s="103"/>
      <c r="K1075" s="103"/>
      <c r="L1075" s="103"/>
      <c r="M1075" s="104"/>
      <c r="N1075" s="103"/>
    </row>
    <row r="1076" spans="1:14" ht="45" customHeight="1" thickBot="1" x14ac:dyDescent="0.4">
      <c r="A1076" s="103"/>
      <c r="B1076" s="103"/>
      <c r="C1076" s="103"/>
      <c r="D1076" s="103"/>
      <c r="E1076" s="103"/>
      <c r="F1076" s="103"/>
      <c r="G1076" s="103"/>
      <c r="H1076" s="103"/>
      <c r="I1076" s="103"/>
      <c r="J1076" s="103"/>
      <c r="K1076" s="103"/>
      <c r="L1076" s="103"/>
      <c r="M1076" s="104"/>
      <c r="N1076" s="103"/>
    </row>
    <row r="1077" spans="1:14" ht="45" customHeight="1" thickBot="1" x14ac:dyDescent="0.4">
      <c r="A1077" s="103"/>
      <c r="B1077" s="103"/>
      <c r="C1077" s="103"/>
      <c r="D1077" s="103"/>
      <c r="E1077" s="103"/>
      <c r="F1077" s="103"/>
      <c r="G1077" s="103"/>
      <c r="H1077" s="103"/>
      <c r="I1077" s="103"/>
      <c r="J1077" s="103"/>
      <c r="K1077" s="103"/>
      <c r="L1077" s="103"/>
      <c r="M1077" s="104"/>
      <c r="N1077" s="103"/>
    </row>
    <row r="1078" spans="1:14" ht="45" customHeight="1" thickBot="1" x14ac:dyDescent="0.4">
      <c r="A1078" s="103"/>
      <c r="B1078" s="103"/>
      <c r="C1078" s="103"/>
      <c r="D1078" s="103"/>
      <c r="E1078" s="103"/>
      <c r="F1078" s="103"/>
      <c r="G1078" s="103"/>
      <c r="H1078" s="103"/>
      <c r="I1078" s="103"/>
      <c r="J1078" s="103"/>
      <c r="K1078" s="103"/>
      <c r="L1078" s="103"/>
      <c r="M1078" s="104"/>
      <c r="N1078" s="103"/>
    </row>
    <row r="1079" spans="1:14" ht="45" customHeight="1" thickBot="1" x14ac:dyDescent="0.4">
      <c r="A1079" s="103"/>
      <c r="B1079" s="103"/>
      <c r="C1079" s="103"/>
      <c r="D1079" s="103"/>
      <c r="E1079" s="103"/>
      <c r="F1079" s="103"/>
      <c r="G1079" s="103"/>
      <c r="H1079" s="103"/>
      <c r="I1079" s="103"/>
      <c r="J1079" s="103"/>
      <c r="K1079" s="103"/>
      <c r="L1079" s="103"/>
      <c r="M1079" s="104"/>
      <c r="N1079" s="103"/>
    </row>
    <row r="1080" spans="1:14" ht="45" customHeight="1" thickBot="1" x14ac:dyDescent="0.4">
      <c r="A1080" s="103"/>
      <c r="B1080" s="103"/>
      <c r="C1080" s="103"/>
      <c r="D1080" s="103"/>
      <c r="E1080" s="103"/>
      <c r="F1080" s="103"/>
      <c r="G1080" s="103"/>
      <c r="H1080" s="103"/>
      <c r="I1080" s="103"/>
      <c r="J1080" s="103"/>
      <c r="K1080" s="103"/>
      <c r="L1080" s="103"/>
      <c r="M1080" s="104"/>
      <c r="N1080" s="103"/>
    </row>
    <row r="1081" spans="1:14" ht="45" customHeight="1" thickBot="1" x14ac:dyDescent="0.4">
      <c r="A1081" s="103"/>
      <c r="B1081" s="103"/>
      <c r="C1081" s="103"/>
      <c r="D1081" s="103"/>
      <c r="E1081" s="103"/>
      <c r="F1081" s="103"/>
      <c r="G1081" s="103"/>
      <c r="H1081" s="103"/>
      <c r="I1081" s="103"/>
      <c r="J1081" s="103"/>
      <c r="K1081" s="103"/>
      <c r="L1081" s="103"/>
      <c r="M1081" s="104"/>
      <c r="N1081" s="103"/>
    </row>
    <row r="1082" spans="1:14" ht="45" customHeight="1" thickBot="1" x14ac:dyDescent="0.4">
      <c r="A1082" s="103"/>
      <c r="B1082" s="103"/>
      <c r="C1082" s="103"/>
      <c r="D1082" s="103"/>
      <c r="E1082" s="103"/>
      <c r="F1082" s="103"/>
      <c r="G1082" s="103"/>
      <c r="H1082" s="103"/>
      <c r="I1082" s="103"/>
      <c r="J1082" s="103"/>
      <c r="K1082" s="103"/>
      <c r="L1082" s="103"/>
      <c r="M1082" s="104"/>
      <c r="N1082" s="103"/>
    </row>
    <row r="1083" spans="1:14" ht="45" customHeight="1" thickBot="1" x14ac:dyDescent="0.4">
      <c r="A1083" s="103"/>
      <c r="B1083" s="103"/>
      <c r="C1083" s="103"/>
      <c r="D1083" s="103"/>
      <c r="E1083" s="103"/>
      <c r="F1083" s="103"/>
      <c r="G1083" s="103"/>
      <c r="H1083" s="103"/>
      <c r="I1083" s="103"/>
      <c r="J1083" s="103"/>
      <c r="K1083" s="103"/>
      <c r="L1083" s="103"/>
      <c r="M1083" s="104"/>
      <c r="N1083" s="103"/>
    </row>
    <row r="1084" spans="1:14" ht="45" customHeight="1" thickBot="1" x14ac:dyDescent="0.4">
      <c r="A1084" s="103"/>
      <c r="B1084" s="103"/>
      <c r="C1084" s="103"/>
      <c r="D1084" s="103"/>
      <c r="E1084" s="103"/>
      <c r="F1084" s="103"/>
      <c r="G1084" s="103"/>
      <c r="H1084" s="103"/>
      <c r="I1084" s="103"/>
      <c r="J1084" s="103"/>
      <c r="K1084" s="103"/>
      <c r="L1084" s="103"/>
      <c r="M1084" s="104"/>
      <c r="N1084" s="103"/>
    </row>
    <row r="1085" spans="1:14" ht="45" customHeight="1" thickBot="1" x14ac:dyDescent="0.4">
      <c r="A1085" s="103"/>
      <c r="B1085" s="103"/>
      <c r="C1085" s="103"/>
      <c r="D1085" s="103"/>
      <c r="E1085" s="103"/>
      <c r="F1085" s="103"/>
      <c r="G1085" s="103"/>
      <c r="H1085" s="103"/>
      <c r="I1085" s="103"/>
      <c r="J1085" s="103"/>
      <c r="K1085" s="103"/>
      <c r="L1085" s="103"/>
      <c r="M1085" s="104"/>
      <c r="N1085" s="103"/>
    </row>
    <row r="1086" spans="1:14" ht="45" customHeight="1" thickBot="1" x14ac:dyDescent="0.4">
      <c r="A1086" s="103"/>
      <c r="B1086" s="103"/>
      <c r="C1086" s="103"/>
      <c r="D1086" s="103"/>
      <c r="E1086" s="103"/>
      <c r="F1086" s="103"/>
      <c r="G1086" s="103"/>
      <c r="H1086" s="103"/>
      <c r="I1086" s="103"/>
      <c r="J1086" s="103"/>
      <c r="K1086" s="103"/>
      <c r="L1086" s="103"/>
      <c r="M1086" s="104"/>
      <c r="N1086" s="103"/>
    </row>
    <row r="1087" spans="1:14" ht="45" customHeight="1" thickBot="1" x14ac:dyDescent="0.4">
      <c r="A1087" s="103"/>
      <c r="B1087" s="103"/>
      <c r="C1087" s="103"/>
      <c r="D1087" s="103"/>
      <c r="E1087" s="103"/>
      <c r="F1087" s="103"/>
      <c r="G1087" s="103"/>
      <c r="H1087" s="103"/>
      <c r="I1087" s="103"/>
      <c r="J1087" s="103"/>
      <c r="K1087" s="103"/>
      <c r="L1087" s="103"/>
      <c r="M1087" s="104"/>
      <c r="N1087" s="103"/>
    </row>
    <row r="1088" spans="1:14" ht="45" customHeight="1" thickBot="1" x14ac:dyDescent="0.4">
      <c r="A1088" s="103"/>
      <c r="B1088" s="103"/>
      <c r="C1088" s="103"/>
      <c r="D1088" s="103"/>
      <c r="E1088" s="103"/>
      <c r="F1088" s="103"/>
      <c r="G1088" s="103"/>
      <c r="H1088" s="103"/>
      <c r="I1088" s="103"/>
      <c r="J1088" s="103"/>
      <c r="K1088" s="103"/>
      <c r="L1088" s="103"/>
      <c r="M1088" s="104"/>
      <c r="N1088" s="103"/>
    </row>
    <row r="1089" spans="1:14" ht="45" customHeight="1" thickBot="1" x14ac:dyDescent="0.4">
      <c r="A1089" s="103"/>
      <c r="B1089" s="103"/>
      <c r="C1089" s="103"/>
      <c r="D1089" s="103"/>
      <c r="E1089" s="103"/>
      <c r="F1089" s="103"/>
      <c r="G1089" s="103"/>
      <c r="H1089" s="103"/>
      <c r="I1089" s="103"/>
      <c r="J1089" s="103"/>
      <c r="K1089" s="103"/>
      <c r="L1089" s="103"/>
      <c r="M1089" s="104"/>
      <c r="N1089" s="103"/>
    </row>
    <row r="1090" spans="1:14" ht="45" customHeight="1" thickBot="1" x14ac:dyDescent="0.4">
      <c r="A1090" s="103"/>
      <c r="B1090" s="103"/>
      <c r="C1090" s="103"/>
      <c r="D1090" s="103"/>
      <c r="E1090" s="103"/>
      <c r="F1090" s="103"/>
      <c r="G1090" s="103"/>
      <c r="H1090" s="103"/>
      <c r="I1090" s="103"/>
      <c r="J1090" s="103"/>
      <c r="K1090" s="103"/>
      <c r="L1090" s="103"/>
      <c r="M1090" s="104"/>
      <c r="N1090" s="103"/>
    </row>
    <row r="1091" spans="1:14" ht="45" customHeight="1" thickBot="1" x14ac:dyDescent="0.4">
      <c r="A1091" s="103"/>
      <c r="B1091" s="103"/>
      <c r="C1091" s="103"/>
      <c r="D1091" s="103"/>
      <c r="E1091" s="103"/>
      <c r="F1091" s="103"/>
      <c r="G1091" s="103"/>
      <c r="H1091" s="103"/>
      <c r="I1091" s="103"/>
      <c r="J1091" s="103"/>
      <c r="K1091" s="103"/>
      <c r="L1091" s="103"/>
      <c r="M1091" s="104"/>
      <c r="N1091" s="103"/>
    </row>
    <row r="1092" spans="1:14" ht="45" customHeight="1" thickBot="1" x14ac:dyDescent="0.4">
      <c r="A1092" s="103"/>
      <c r="B1092" s="103"/>
      <c r="C1092" s="103"/>
      <c r="D1092" s="103"/>
      <c r="E1092" s="103"/>
      <c r="F1092" s="103"/>
      <c r="G1092" s="103"/>
      <c r="H1092" s="103"/>
      <c r="I1092" s="103"/>
      <c r="J1092" s="103"/>
      <c r="K1092" s="103"/>
      <c r="L1092" s="103"/>
      <c r="M1092" s="104"/>
      <c r="N1092" s="103"/>
    </row>
    <row r="1093" spans="1:14" ht="45" customHeight="1" thickBot="1" x14ac:dyDescent="0.4">
      <c r="A1093" s="103"/>
      <c r="B1093" s="103"/>
      <c r="C1093" s="103"/>
      <c r="D1093" s="103"/>
      <c r="E1093" s="103"/>
      <c r="F1093" s="103"/>
      <c r="G1093" s="103"/>
      <c r="H1093" s="103"/>
      <c r="I1093" s="103"/>
      <c r="J1093" s="103"/>
      <c r="K1093" s="103"/>
      <c r="L1093" s="103"/>
      <c r="M1093" s="104"/>
      <c r="N1093" s="103"/>
    </row>
    <row r="1094" spans="1:14" ht="45" customHeight="1" thickBot="1" x14ac:dyDescent="0.4">
      <c r="A1094" s="103"/>
      <c r="B1094" s="103"/>
      <c r="C1094" s="103"/>
      <c r="D1094" s="103"/>
      <c r="E1094" s="103"/>
      <c r="F1094" s="103"/>
      <c r="G1094" s="103"/>
      <c r="H1094" s="103"/>
      <c r="I1094" s="103"/>
      <c r="J1094" s="103"/>
      <c r="K1094" s="103"/>
      <c r="L1094" s="103"/>
      <c r="M1094" s="104"/>
      <c r="N1094" s="103"/>
    </row>
    <row r="1095" spans="1:14" ht="45" customHeight="1" thickBot="1" x14ac:dyDescent="0.4">
      <c r="A1095" s="103"/>
      <c r="B1095" s="103"/>
      <c r="C1095" s="103"/>
      <c r="D1095" s="103"/>
      <c r="E1095" s="103"/>
      <c r="F1095" s="103"/>
      <c r="G1095" s="103"/>
      <c r="H1095" s="103"/>
      <c r="I1095" s="103"/>
      <c r="J1095" s="103"/>
      <c r="K1095" s="103"/>
      <c r="L1095" s="103"/>
      <c r="M1095" s="104"/>
      <c r="N1095" s="103"/>
    </row>
    <row r="1096" spans="1:14" ht="45" customHeight="1" thickBot="1" x14ac:dyDescent="0.4">
      <c r="A1096" s="103"/>
      <c r="B1096" s="103"/>
      <c r="C1096" s="103"/>
      <c r="D1096" s="103"/>
      <c r="E1096" s="103"/>
      <c r="F1096" s="103"/>
      <c r="G1096" s="103"/>
      <c r="H1096" s="103"/>
      <c r="I1096" s="103"/>
      <c r="J1096" s="103"/>
      <c r="K1096" s="103"/>
      <c r="L1096" s="103"/>
      <c r="M1096" s="104"/>
      <c r="N1096" s="103"/>
    </row>
    <row r="1097" spans="1:14" ht="45" customHeight="1" thickBot="1" x14ac:dyDescent="0.4">
      <c r="A1097" s="103"/>
      <c r="B1097" s="103"/>
      <c r="C1097" s="103"/>
      <c r="D1097" s="103"/>
      <c r="E1097" s="103"/>
      <c r="F1097" s="103"/>
      <c r="G1097" s="103"/>
      <c r="H1097" s="103"/>
      <c r="I1097" s="103"/>
      <c r="J1097" s="103"/>
      <c r="K1097" s="103"/>
      <c r="L1097" s="103"/>
      <c r="M1097" s="104"/>
      <c r="N1097" s="103"/>
    </row>
    <row r="1098" spans="1:14" ht="45" customHeight="1" thickBot="1" x14ac:dyDescent="0.4">
      <c r="A1098" s="103"/>
      <c r="B1098" s="103"/>
      <c r="C1098" s="103"/>
      <c r="D1098" s="103"/>
      <c r="E1098" s="103"/>
      <c r="F1098" s="103"/>
      <c r="G1098" s="103"/>
      <c r="H1098" s="103"/>
      <c r="I1098" s="103"/>
      <c r="J1098" s="103"/>
      <c r="K1098" s="103"/>
      <c r="L1098" s="103"/>
      <c r="M1098" s="104"/>
      <c r="N1098" s="103"/>
    </row>
    <row r="1099" spans="1:14" ht="45" customHeight="1" thickBot="1" x14ac:dyDescent="0.4">
      <c r="A1099" s="103"/>
      <c r="B1099" s="103"/>
      <c r="C1099" s="103"/>
      <c r="D1099" s="103"/>
      <c r="E1099" s="103"/>
      <c r="F1099" s="103"/>
      <c r="G1099" s="103"/>
      <c r="H1099" s="103"/>
      <c r="I1099" s="103"/>
      <c r="J1099" s="103"/>
      <c r="K1099" s="103"/>
      <c r="L1099" s="103"/>
      <c r="M1099" s="104"/>
      <c r="N1099" s="103"/>
    </row>
    <row r="1100" spans="1:14" ht="45" customHeight="1" thickBot="1" x14ac:dyDescent="0.4">
      <c r="A1100" s="103"/>
      <c r="B1100" s="103"/>
      <c r="C1100" s="103"/>
      <c r="D1100" s="103"/>
      <c r="E1100" s="103"/>
      <c r="F1100" s="103"/>
      <c r="G1100" s="103"/>
      <c r="H1100" s="103"/>
      <c r="I1100" s="103"/>
      <c r="J1100" s="103"/>
      <c r="K1100" s="103"/>
      <c r="L1100" s="103"/>
      <c r="M1100" s="104"/>
      <c r="N1100" s="103"/>
    </row>
    <row r="1101" spans="1:14" ht="45" customHeight="1" thickBot="1" x14ac:dyDescent="0.4">
      <c r="A1101" s="103"/>
      <c r="B1101" s="103"/>
      <c r="C1101" s="103"/>
      <c r="D1101" s="103"/>
      <c r="E1101" s="103"/>
      <c r="F1101" s="103"/>
      <c r="G1101" s="103"/>
      <c r="H1101" s="103"/>
      <c r="I1101" s="103"/>
      <c r="J1101" s="103"/>
      <c r="K1101" s="103"/>
      <c r="L1101" s="103"/>
      <c r="M1101" s="104"/>
      <c r="N1101" s="103"/>
    </row>
    <row r="1102" spans="1:14" ht="45" customHeight="1" thickBot="1" x14ac:dyDescent="0.4">
      <c r="A1102" s="103"/>
      <c r="B1102" s="103"/>
      <c r="C1102" s="103"/>
      <c r="D1102" s="103"/>
      <c r="E1102" s="103"/>
      <c r="F1102" s="103"/>
      <c r="G1102" s="103"/>
      <c r="H1102" s="103"/>
      <c r="I1102" s="103"/>
      <c r="J1102" s="103"/>
      <c r="K1102" s="103"/>
      <c r="L1102" s="103"/>
      <c r="M1102" s="104"/>
      <c r="N1102" s="103"/>
    </row>
    <row r="1103" spans="1:14" ht="45" customHeight="1" thickBot="1" x14ac:dyDescent="0.4">
      <c r="A1103" s="103"/>
      <c r="B1103" s="103"/>
      <c r="C1103" s="103"/>
      <c r="D1103" s="103"/>
      <c r="E1103" s="103"/>
      <c r="F1103" s="103"/>
      <c r="G1103" s="103"/>
      <c r="H1103" s="103"/>
      <c r="I1103" s="103"/>
      <c r="J1103" s="103"/>
      <c r="K1103" s="103"/>
      <c r="L1103" s="103"/>
      <c r="M1103" s="104"/>
      <c r="N1103" s="103"/>
    </row>
    <row r="1104" spans="1:14" ht="45" customHeight="1" thickBot="1" x14ac:dyDescent="0.4">
      <c r="A1104" s="103"/>
      <c r="B1104" s="103"/>
      <c r="C1104" s="103"/>
      <c r="D1104" s="103"/>
      <c r="E1104" s="103"/>
      <c r="F1104" s="103"/>
      <c r="G1104" s="103"/>
      <c r="H1104" s="103"/>
      <c r="I1104" s="103"/>
      <c r="J1104" s="103"/>
      <c r="K1104" s="103"/>
      <c r="L1104" s="103"/>
      <c r="M1104" s="104"/>
      <c r="N1104" s="103"/>
    </row>
    <row r="1105" spans="1:14" ht="45" customHeight="1" thickBot="1" x14ac:dyDescent="0.4">
      <c r="A1105" s="103"/>
      <c r="B1105" s="103"/>
      <c r="C1105" s="103"/>
      <c r="D1105" s="103"/>
      <c r="E1105" s="103"/>
      <c r="F1105" s="103"/>
      <c r="G1105" s="103"/>
      <c r="H1105" s="103"/>
      <c r="I1105" s="103"/>
      <c r="J1105" s="103"/>
      <c r="K1105" s="103"/>
      <c r="L1105" s="103"/>
      <c r="M1105" s="104"/>
      <c r="N1105" s="103"/>
    </row>
    <row r="1106" spans="1:14" ht="45" customHeight="1" thickBot="1" x14ac:dyDescent="0.4">
      <c r="A1106" s="103"/>
      <c r="B1106" s="103"/>
      <c r="C1106" s="103"/>
      <c r="D1106" s="103"/>
      <c r="E1106" s="103"/>
      <c r="F1106" s="103"/>
      <c r="G1106" s="103"/>
      <c r="H1106" s="103"/>
      <c r="I1106" s="103"/>
      <c r="J1106" s="103"/>
      <c r="K1106" s="103"/>
      <c r="L1106" s="103"/>
      <c r="M1106" s="104"/>
      <c r="N1106" s="103"/>
    </row>
    <row r="1107" spans="1:14" ht="45" customHeight="1" thickBot="1" x14ac:dyDescent="0.4">
      <c r="A1107" s="103"/>
      <c r="B1107" s="103"/>
      <c r="C1107" s="103"/>
      <c r="D1107" s="103"/>
      <c r="E1107" s="103"/>
      <c r="F1107" s="103"/>
      <c r="G1107" s="103"/>
      <c r="H1107" s="103"/>
      <c r="I1107" s="103"/>
      <c r="J1107" s="103"/>
      <c r="K1107" s="103"/>
      <c r="L1107" s="103"/>
      <c r="M1107" s="104"/>
      <c r="N1107" s="103"/>
    </row>
    <row r="1108" spans="1:14" ht="45" customHeight="1" thickBot="1" x14ac:dyDescent="0.4">
      <c r="A1108" s="103"/>
      <c r="B1108" s="103"/>
      <c r="C1108" s="103"/>
      <c r="D1108" s="103"/>
      <c r="E1108" s="103"/>
      <c r="F1108" s="103"/>
      <c r="G1108" s="103"/>
      <c r="H1108" s="103"/>
      <c r="I1108" s="103"/>
      <c r="J1108" s="103"/>
      <c r="K1108" s="103"/>
      <c r="L1108" s="103"/>
      <c r="M1108" s="104"/>
      <c r="N1108" s="103"/>
    </row>
    <row r="1109" spans="1:14" ht="45" customHeight="1" thickBot="1" x14ac:dyDescent="0.4">
      <c r="A1109" s="103"/>
      <c r="B1109" s="103"/>
      <c r="C1109" s="103"/>
      <c r="D1109" s="103"/>
      <c r="E1109" s="103"/>
      <c r="F1109" s="103"/>
      <c r="G1109" s="103"/>
      <c r="H1109" s="103"/>
      <c r="I1109" s="103"/>
      <c r="J1109" s="103"/>
      <c r="K1109" s="103"/>
      <c r="L1109" s="103"/>
      <c r="M1109" s="104"/>
      <c r="N1109" s="103"/>
    </row>
    <row r="1110" spans="1:14" ht="45" customHeight="1" thickBot="1" x14ac:dyDescent="0.4">
      <c r="A1110" s="103"/>
      <c r="B1110" s="103"/>
      <c r="C1110" s="103"/>
      <c r="D1110" s="103"/>
      <c r="E1110" s="103"/>
      <c r="F1110" s="103"/>
      <c r="G1110" s="103"/>
      <c r="H1110" s="103"/>
      <c r="I1110" s="103"/>
      <c r="J1110" s="103"/>
      <c r="K1110" s="103"/>
      <c r="L1110" s="103"/>
      <c r="M1110" s="104"/>
      <c r="N1110" s="103"/>
    </row>
    <row r="1111" spans="1:14" ht="45" customHeight="1" thickBot="1" x14ac:dyDescent="0.4">
      <c r="A1111" s="103"/>
      <c r="B1111" s="103"/>
      <c r="C1111" s="103"/>
      <c r="D1111" s="103"/>
      <c r="E1111" s="103"/>
      <c r="F1111" s="103"/>
      <c r="G1111" s="103"/>
      <c r="H1111" s="103"/>
      <c r="I1111" s="103"/>
      <c r="J1111" s="103"/>
      <c r="K1111" s="103"/>
      <c r="L1111" s="103"/>
      <c r="M1111" s="104"/>
      <c r="N1111" s="103"/>
    </row>
    <row r="1112" spans="1:14" ht="45" customHeight="1" thickBot="1" x14ac:dyDescent="0.4">
      <c r="A1112" s="103"/>
      <c r="B1112" s="103"/>
      <c r="C1112" s="103"/>
      <c r="D1112" s="103"/>
      <c r="E1112" s="103"/>
      <c r="F1112" s="103"/>
      <c r="G1112" s="103"/>
      <c r="H1112" s="103"/>
      <c r="I1112" s="103"/>
      <c r="J1112" s="103"/>
      <c r="K1112" s="103"/>
      <c r="L1112" s="103"/>
      <c r="M1112" s="104"/>
      <c r="N1112" s="103"/>
    </row>
    <row r="1113" spans="1:14" ht="45" customHeight="1" thickBot="1" x14ac:dyDescent="0.4">
      <c r="A1113" s="103"/>
      <c r="B1113" s="103"/>
      <c r="C1113" s="103"/>
      <c r="D1113" s="103"/>
      <c r="E1113" s="103"/>
      <c r="F1113" s="103"/>
      <c r="G1113" s="103"/>
      <c r="H1113" s="103"/>
      <c r="I1113" s="103"/>
      <c r="J1113" s="103"/>
      <c r="K1113" s="103"/>
      <c r="L1113" s="103"/>
      <c r="M1113" s="104"/>
      <c r="N1113" s="103"/>
    </row>
    <row r="1114" spans="1:14" ht="45" customHeight="1" thickBot="1" x14ac:dyDescent="0.4">
      <c r="A1114" s="103"/>
      <c r="B1114" s="103"/>
      <c r="C1114" s="103"/>
      <c r="D1114" s="103"/>
      <c r="E1114" s="103"/>
      <c r="F1114" s="103"/>
      <c r="G1114" s="103"/>
      <c r="H1114" s="103"/>
      <c r="I1114" s="103"/>
      <c r="J1114" s="103"/>
      <c r="K1114" s="103"/>
      <c r="L1114" s="103"/>
      <c r="M1114" s="104"/>
      <c r="N1114" s="103"/>
    </row>
    <row r="1115" spans="1:14" ht="45" customHeight="1" thickBot="1" x14ac:dyDescent="0.4">
      <c r="A1115" s="103"/>
      <c r="B1115" s="103"/>
      <c r="C1115" s="103"/>
      <c r="D1115" s="103"/>
      <c r="E1115" s="103"/>
      <c r="F1115" s="103"/>
      <c r="G1115" s="103"/>
      <c r="H1115" s="103"/>
      <c r="I1115" s="103"/>
      <c r="J1115" s="103"/>
      <c r="K1115" s="103"/>
      <c r="L1115" s="103"/>
      <c r="M1115" s="104"/>
      <c r="N1115" s="103"/>
    </row>
    <row r="1116" spans="1:14" ht="45" customHeight="1" thickBot="1" x14ac:dyDescent="0.4">
      <c r="A1116" s="103"/>
      <c r="B1116" s="103"/>
      <c r="C1116" s="103"/>
      <c r="D1116" s="103"/>
      <c r="E1116" s="103"/>
      <c r="F1116" s="103"/>
      <c r="G1116" s="103"/>
      <c r="H1116" s="103"/>
      <c r="I1116" s="103"/>
      <c r="J1116" s="103"/>
      <c r="K1116" s="103"/>
      <c r="L1116" s="103"/>
      <c r="M1116" s="104"/>
      <c r="N1116" s="103"/>
    </row>
    <row r="1117" spans="1:14" ht="45" customHeight="1" thickBot="1" x14ac:dyDescent="0.4">
      <c r="A1117" s="103"/>
      <c r="B1117" s="103"/>
      <c r="C1117" s="103"/>
      <c r="D1117" s="103"/>
      <c r="E1117" s="103"/>
      <c r="F1117" s="103"/>
      <c r="G1117" s="103"/>
      <c r="H1117" s="103"/>
      <c r="I1117" s="103"/>
      <c r="J1117" s="103"/>
      <c r="K1117" s="103"/>
      <c r="L1117" s="103"/>
      <c r="M1117" s="104"/>
      <c r="N1117" s="103"/>
    </row>
    <row r="1118" spans="1:14" ht="45" customHeight="1" thickBot="1" x14ac:dyDescent="0.4">
      <c r="A1118" s="103"/>
      <c r="B1118" s="103"/>
      <c r="C1118" s="103"/>
      <c r="D1118" s="103"/>
      <c r="E1118" s="103"/>
      <c r="F1118" s="103"/>
      <c r="G1118" s="103"/>
      <c r="H1118" s="103"/>
      <c r="I1118" s="103"/>
      <c r="J1118" s="103"/>
      <c r="K1118" s="103"/>
      <c r="L1118" s="103"/>
      <c r="M1118" s="104"/>
      <c r="N1118" s="103"/>
    </row>
    <row r="1119" spans="1:14" ht="45" customHeight="1" thickBot="1" x14ac:dyDescent="0.4">
      <c r="A1119" s="103"/>
      <c r="B1119" s="103"/>
      <c r="C1119" s="103"/>
      <c r="D1119" s="103"/>
      <c r="E1119" s="103"/>
      <c r="F1119" s="103"/>
      <c r="G1119" s="103"/>
      <c r="H1119" s="103"/>
      <c r="I1119" s="103"/>
      <c r="J1119" s="103"/>
      <c r="K1119" s="103"/>
      <c r="L1119" s="103"/>
      <c r="M1119" s="104"/>
      <c r="N1119" s="103"/>
    </row>
    <row r="1120" spans="1:14" ht="45" customHeight="1" thickBot="1" x14ac:dyDescent="0.4">
      <c r="A1120" s="103"/>
      <c r="B1120" s="103"/>
      <c r="C1120" s="103"/>
      <c r="D1120" s="103"/>
      <c r="E1120" s="103"/>
      <c r="F1120" s="103"/>
      <c r="G1120" s="103"/>
      <c r="H1120" s="103"/>
      <c r="I1120" s="103"/>
      <c r="J1120" s="103"/>
      <c r="K1120" s="103"/>
      <c r="L1120" s="103"/>
      <c r="M1120" s="104"/>
      <c r="N1120" s="103"/>
    </row>
    <row r="1121" spans="1:14" ht="45" customHeight="1" thickBot="1" x14ac:dyDescent="0.4">
      <c r="A1121" s="103"/>
      <c r="B1121" s="103"/>
      <c r="C1121" s="103"/>
      <c r="D1121" s="103"/>
      <c r="E1121" s="103"/>
      <c r="F1121" s="103"/>
      <c r="G1121" s="103"/>
      <c r="H1121" s="103"/>
      <c r="I1121" s="103"/>
      <c r="J1121" s="103"/>
      <c r="K1121" s="103"/>
      <c r="L1121" s="103"/>
      <c r="M1121" s="104"/>
      <c r="N1121" s="103"/>
    </row>
    <row r="1122" spans="1:14" ht="45" customHeight="1" thickBot="1" x14ac:dyDescent="0.4">
      <c r="A1122" s="103"/>
      <c r="B1122" s="103"/>
      <c r="C1122" s="103"/>
      <c r="D1122" s="103"/>
      <c r="E1122" s="103"/>
      <c r="F1122" s="103"/>
      <c r="G1122" s="103"/>
      <c r="H1122" s="103"/>
      <c r="I1122" s="103"/>
      <c r="J1122" s="103"/>
      <c r="K1122" s="103"/>
      <c r="L1122" s="103"/>
      <c r="M1122" s="104"/>
      <c r="N1122" s="103"/>
    </row>
    <row r="1123" spans="1:14" ht="45" customHeight="1" thickBot="1" x14ac:dyDescent="0.4">
      <c r="A1123" s="103"/>
      <c r="B1123" s="103"/>
      <c r="C1123" s="103"/>
      <c r="D1123" s="103"/>
      <c r="E1123" s="103"/>
      <c r="F1123" s="103"/>
      <c r="G1123" s="103"/>
      <c r="H1123" s="103"/>
      <c r="I1123" s="103"/>
      <c r="J1123" s="103"/>
      <c r="K1123" s="103"/>
      <c r="L1123" s="103"/>
      <c r="M1123" s="104"/>
      <c r="N1123" s="103"/>
    </row>
    <row r="1124" spans="1:14" ht="45" customHeight="1" thickBot="1" x14ac:dyDescent="0.4">
      <c r="A1124" s="103"/>
      <c r="B1124" s="103"/>
      <c r="C1124" s="103"/>
      <c r="D1124" s="103"/>
      <c r="E1124" s="103"/>
      <c r="F1124" s="103"/>
      <c r="G1124" s="103"/>
      <c r="H1124" s="103"/>
      <c r="I1124" s="103"/>
      <c r="J1124" s="103"/>
      <c r="K1124" s="103"/>
      <c r="L1124" s="103"/>
      <c r="M1124" s="104"/>
      <c r="N1124" s="103"/>
    </row>
    <row r="1125" spans="1:14" ht="45" customHeight="1" thickBot="1" x14ac:dyDescent="0.4">
      <c r="A1125" s="103"/>
      <c r="B1125" s="103"/>
      <c r="C1125" s="103"/>
      <c r="D1125" s="103"/>
      <c r="E1125" s="103"/>
      <c r="F1125" s="103"/>
      <c r="G1125" s="103"/>
      <c r="H1125" s="103"/>
      <c r="I1125" s="103"/>
      <c r="J1125" s="103"/>
      <c r="K1125" s="103"/>
      <c r="L1125" s="103"/>
      <c r="M1125" s="104"/>
      <c r="N1125" s="103"/>
    </row>
    <row r="1126" spans="1:14" ht="45" customHeight="1" thickBot="1" x14ac:dyDescent="0.4">
      <c r="A1126" s="103"/>
      <c r="B1126" s="103"/>
      <c r="C1126" s="103"/>
      <c r="D1126" s="103"/>
      <c r="E1126" s="103"/>
      <c r="F1126" s="103"/>
      <c r="G1126" s="103"/>
      <c r="H1126" s="103"/>
      <c r="I1126" s="103"/>
      <c r="J1126" s="103"/>
      <c r="K1126" s="103"/>
      <c r="L1126" s="103"/>
      <c r="M1126" s="104"/>
      <c r="N1126" s="103"/>
    </row>
    <row r="1127" spans="1:14" ht="45" customHeight="1" thickBot="1" x14ac:dyDescent="0.4">
      <c r="A1127" s="103"/>
      <c r="B1127" s="103"/>
      <c r="C1127" s="103"/>
      <c r="D1127" s="103"/>
      <c r="E1127" s="103"/>
      <c r="F1127" s="103"/>
      <c r="G1127" s="103"/>
      <c r="H1127" s="103"/>
      <c r="I1127" s="103"/>
      <c r="J1127" s="103"/>
      <c r="K1127" s="103"/>
      <c r="L1127" s="103"/>
      <c r="M1127" s="104"/>
      <c r="N1127" s="103"/>
    </row>
    <row r="1128" spans="1:14" ht="45" customHeight="1" thickBot="1" x14ac:dyDescent="0.4">
      <c r="A1128" s="103"/>
      <c r="B1128" s="103"/>
      <c r="C1128" s="103"/>
      <c r="D1128" s="103"/>
      <c r="E1128" s="103"/>
      <c r="F1128" s="103"/>
      <c r="G1128" s="103"/>
      <c r="H1128" s="103"/>
      <c r="I1128" s="103"/>
      <c r="J1128" s="103"/>
      <c r="K1128" s="103"/>
      <c r="L1128" s="103"/>
      <c r="M1128" s="104"/>
      <c r="N1128" s="103"/>
    </row>
    <row r="1129" spans="1:14" ht="45" customHeight="1" thickBot="1" x14ac:dyDescent="0.4">
      <c r="A1129" s="103"/>
      <c r="B1129" s="103"/>
      <c r="C1129" s="103"/>
      <c r="D1129" s="103"/>
      <c r="E1129" s="103"/>
      <c r="F1129" s="103"/>
      <c r="G1129" s="103"/>
      <c r="H1129" s="103"/>
      <c r="I1129" s="103"/>
      <c r="J1129" s="103"/>
      <c r="K1129" s="103"/>
      <c r="L1129" s="103"/>
      <c r="M1129" s="104"/>
      <c r="N1129" s="103"/>
    </row>
    <row r="1130" spans="1:14" ht="45" customHeight="1" thickBot="1" x14ac:dyDescent="0.4">
      <c r="A1130" s="103"/>
      <c r="B1130" s="103"/>
      <c r="C1130" s="103"/>
      <c r="D1130" s="103"/>
      <c r="E1130" s="103"/>
      <c r="F1130" s="103"/>
      <c r="G1130" s="103"/>
      <c r="H1130" s="103"/>
      <c r="I1130" s="103"/>
      <c r="J1130" s="103"/>
      <c r="K1130" s="103"/>
      <c r="L1130" s="103"/>
      <c r="M1130" s="104"/>
      <c r="N1130" s="103"/>
    </row>
    <row r="1131" spans="1:14" ht="45" customHeight="1" thickBot="1" x14ac:dyDescent="0.4">
      <c r="A1131" s="103"/>
      <c r="B1131" s="103"/>
      <c r="C1131" s="103"/>
      <c r="D1131" s="103"/>
      <c r="E1131" s="103"/>
      <c r="F1131" s="103"/>
      <c r="G1131" s="103"/>
      <c r="H1131" s="103"/>
      <c r="I1131" s="103"/>
      <c r="J1131" s="103"/>
      <c r="K1131" s="103"/>
      <c r="L1131" s="103"/>
      <c r="M1131" s="104"/>
      <c r="N1131" s="103"/>
    </row>
    <row r="1132" spans="1:14" ht="45" customHeight="1" thickBot="1" x14ac:dyDescent="0.4">
      <c r="A1132" s="103"/>
      <c r="B1132" s="103"/>
      <c r="C1132" s="103"/>
      <c r="D1132" s="103"/>
      <c r="E1132" s="103"/>
      <c r="F1132" s="103"/>
      <c r="G1132" s="103"/>
      <c r="H1132" s="103"/>
      <c r="I1132" s="103"/>
      <c r="J1132" s="103"/>
      <c r="K1132" s="103"/>
      <c r="L1132" s="103"/>
      <c r="M1132" s="104"/>
      <c r="N1132" s="103"/>
    </row>
    <row r="1133" spans="1:14" ht="45" customHeight="1" thickBot="1" x14ac:dyDescent="0.4">
      <c r="A1133" s="103"/>
      <c r="B1133" s="103"/>
      <c r="C1133" s="103"/>
      <c r="D1133" s="103"/>
      <c r="E1133" s="103"/>
      <c r="F1133" s="103"/>
      <c r="G1133" s="103"/>
      <c r="H1133" s="103"/>
      <c r="I1133" s="103"/>
      <c r="J1133" s="103"/>
      <c r="K1133" s="103"/>
      <c r="L1133" s="103"/>
      <c r="M1133" s="104"/>
      <c r="N1133" s="103"/>
    </row>
    <row r="1134" spans="1:14" ht="45" customHeight="1" thickBot="1" x14ac:dyDescent="0.4">
      <c r="A1134" s="103"/>
      <c r="B1134" s="103"/>
      <c r="C1134" s="103"/>
      <c r="D1134" s="103"/>
      <c r="E1134" s="103"/>
      <c r="F1134" s="103"/>
      <c r="G1134" s="103"/>
      <c r="H1134" s="103"/>
      <c r="I1134" s="103"/>
      <c r="J1134" s="103"/>
      <c r="K1134" s="103"/>
      <c r="L1134" s="103"/>
      <c r="M1134" s="104"/>
      <c r="N1134" s="103"/>
    </row>
    <row r="1135" spans="1:14" ht="45" customHeight="1" thickBot="1" x14ac:dyDescent="0.4">
      <c r="A1135" s="103"/>
      <c r="B1135" s="103"/>
      <c r="C1135" s="103"/>
      <c r="D1135" s="103"/>
      <c r="E1135" s="103"/>
      <c r="F1135" s="103"/>
      <c r="G1135" s="103"/>
      <c r="H1135" s="103"/>
      <c r="I1135" s="103"/>
      <c r="J1135" s="103"/>
      <c r="K1135" s="103"/>
      <c r="L1135" s="103"/>
      <c r="M1135" s="104"/>
      <c r="N1135" s="103"/>
    </row>
    <row r="1136" spans="1:14" ht="45" customHeight="1" thickBot="1" x14ac:dyDescent="0.4">
      <c r="A1136" s="103"/>
      <c r="B1136" s="103"/>
      <c r="C1136" s="103"/>
      <c r="D1136" s="103"/>
      <c r="E1136" s="103"/>
      <c r="F1136" s="103"/>
      <c r="G1136" s="103"/>
      <c r="H1136" s="103"/>
      <c r="I1136" s="103"/>
      <c r="J1136" s="103"/>
      <c r="K1136" s="103"/>
      <c r="L1136" s="103"/>
      <c r="M1136" s="104"/>
      <c r="N1136" s="103"/>
    </row>
    <row r="1137" spans="1:14" ht="45" customHeight="1" thickBot="1" x14ac:dyDescent="0.4">
      <c r="A1137" s="103"/>
      <c r="B1137" s="103"/>
      <c r="C1137" s="103"/>
      <c r="D1137" s="103"/>
      <c r="E1137" s="103"/>
      <c r="F1137" s="103"/>
      <c r="G1137" s="103"/>
      <c r="H1137" s="103"/>
      <c r="I1137" s="103"/>
      <c r="J1137" s="103"/>
      <c r="K1137" s="103"/>
      <c r="L1137" s="103"/>
      <c r="M1137" s="104"/>
      <c r="N1137" s="103"/>
    </row>
    <row r="1138" spans="1:14" ht="45" customHeight="1" thickBot="1" x14ac:dyDescent="0.4">
      <c r="A1138" s="103"/>
      <c r="B1138" s="103"/>
      <c r="C1138" s="103"/>
      <c r="D1138" s="103"/>
      <c r="E1138" s="103"/>
      <c r="F1138" s="103"/>
      <c r="G1138" s="103"/>
      <c r="H1138" s="103"/>
      <c r="I1138" s="103"/>
      <c r="J1138" s="103"/>
      <c r="K1138" s="103"/>
      <c r="L1138" s="103"/>
      <c r="M1138" s="104"/>
      <c r="N1138" s="103"/>
    </row>
    <row r="1139" spans="1:14" ht="45" customHeight="1" thickBot="1" x14ac:dyDescent="0.4">
      <c r="A1139" s="103"/>
      <c r="B1139" s="103"/>
      <c r="C1139" s="103"/>
      <c r="D1139" s="103"/>
      <c r="E1139" s="103"/>
      <c r="F1139" s="103"/>
      <c r="G1139" s="103"/>
      <c r="H1139" s="103"/>
      <c r="I1139" s="103"/>
      <c r="J1139" s="103"/>
      <c r="K1139" s="103"/>
      <c r="L1139" s="103"/>
      <c r="M1139" s="104"/>
      <c r="N1139" s="103"/>
    </row>
    <row r="1140" spans="1:14" ht="45" customHeight="1" thickBot="1" x14ac:dyDescent="0.4">
      <c r="A1140" s="103"/>
      <c r="B1140" s="103"/>
      <c r="C1140" s="103"/>
      <c r="D1140" s="103"/>
      <c r="E1140" s="103"/>
      <c r="F1140" s="103"/>
      <c r="G1140" s="103"/>
      <c r="H1140" s="103"/>
      <c r="I1140" s="103"/>
      <c r="J1140" s="103"/>
      <c r="K1140" s="103"/>
      <c r="L1140" s="103"/>
      <c r="M1140" s="104"/>
      <c r="N1140" s="103"/>
    </row>
    <row r="1141" spans="1:14" ht="45" customHeight="1" thickBot="1" x14ac:dyDescent="0.4">
      <c r="A1141" s="103"/>
      <c r="B1141" s="103"/>
      <c r="C1141" s="103"/>
      <c r="D1141" s="103"/>
      <c r="E1141" s="103"/>
      <c r="F1141" s="103"/>
      <c r="G1141" s="103"/>
      <c r="H1141" s="103"/>
      <c r="I1141" s="103"/>
      <c r="J1141" s="103"/>
      <c r="K1141" s="103"/>
      <c r="L1141" s="103"/>
      <c r="M1141" s="104"/>
      <c r="N1141" s="103"/>
    </row>
    <row r="1142" spans="1:14" ht="45" customHeight="1" thickBot="1" x14ac:dyDescent="0.4">
      <c r="A1142" s="103"/>
      <c r="B1142" s="103"/>
      <c r="C1142" s="103"/>
      <c r="D1142" s="103"/>
      <c r="E1142" s="103"/>
      <c r="F1142" s="103"/>
      <c r="G1142" s="103"/>
      <c r="H1142" s="103"/>
      <c r="I1142" s="103"/>
      <c r="J1142" s="103"/>
      <c r="K1142" s="103"/>
      <c r="L1142" s="103"/>
      <c r="M1142" s="104"/>
      <c r="N1142" s="103"/>
    </row>
    <row r="1143" spans="1:14" ht="45" customHeight="1" thickBot="1" x14ac:dyDescent="0.4">
      <c r="A1143" s="103"/>
      <c r="B1143" s="103"/>
      <c r="C1143" s="103"/>
      <c r="D1143" s="103"/>
      <c r="E1143" s="103"/>
      <c r="F1143" s="103"/>
      <c r="G1143" s="103"/>
      <c r="H1143" s="103"/>
      <c r="I1143" s="103"/>
      <c r="J1143" s="103"/>
      <c r="K1143" s="103"/>
      <c r="L1143" s="103"/>
      <c r="M1143" s="104"/>
      <c r="N1143" s="103"/>
    </row>
    <row r="1144" spans="1:14" ht="45" customHeight="1" thickBot="1" x14ac:dyDescent="0.4">
      <c r="A1144" s="103"/>
      <c r="B1144" s="103"/>
      <c r="C1144" s="103"/>
      <c r="D1144" s="103"/>
      <c r="E1144" s="103"/>
      <c r="F1144" s="103"/>
      <c r="G1144" s="103"/>
      <c r="H1144" s="103"/>
      <c r="I1144" s="103"/>
      <c r="J1144" s="103"/>
      <c r="K1144" s="103"/>
      <c r="L1144" s="103"/>
      <c r="M1144" s="104"/>
      <c r="N1144" s="103"/>
    </row>
    <row r="1145" spans="1:14" ht="45" customHeight="1" thickBot="1" x14ac:dyDescent="0.4">
      <c r="A1145" s="103"/>
      <c r="B1145" s="103"/>
      <c r="C1145" s="103"/>
      <c r="D1145" s="103"/>
      <c r="E1145" s="103"/>
      <c r="F1145" s="103"/>
      <c r="G1145" s="103"/>
      <c r="H1145" s="103"/>
      <c r="I1145" s="103"/>
      <c r="J1145" s="103"/>
      <c r="K1145" s="103"/>
      <c r="L1145" s="103"/>
      <c r="M1145" s="104"/>
      <c r="N1145" s="103"/>
    </row>
    <row r="1146" spans="1:14" ht="45" customHeight="1" thickBot="1" x14ac:dyDescent="0.4">
      <c r="A1146" s="103"/>
      <c r="B1146" s="103"/>
      <c r="C1146" s="103"/>
      <c r="D1146" s="103"/>
      <c r="E1146" s="103"/>
      <c r="F1146" s="103"/>
      <c r="G1146" s="103"/>
      <c r="H1146" s="103"/>
      <c r="I1146" s="103"/>
      <c r="J1146" s="103"/>
      <c r="K1146" s="103"/>
      <c r="L1146" s="103"/>
      <c r="M1146" s="104"/>
      <c r="N1146" s="103"/>
    </row>
    <row r="1147" spans="1:14" ht="45" customHeight="1" thickBot="1" x14ac:dyDescent="0.4">
      <c r="A1147" s="103"/>
      <c r="B1147" s="103"/>
      <c r="C1147" s="103"/>
      <c r="D1147" s="103"/>
      <c r="E1147" s="103"/>
      <c r="F1147" s="103"/>
      <c r="G1147" s="103"/>
      <c r="H1147" s="103"/>
      <c r="I1147" s="103"/>
      <c r="J1147" s="103"/>
      <c r="K1147" s="103"/>
      <c r="L1147" s="103"/>
      <c r="M1147" s="104"/>
      <c r="N1147" s="103"/>
    </row>
    <row r="1148" spans="1:14" ht="45" customHeight="1" thickBot="1" x14ac:dyDescent="0.4">
      <c r="A1148" s="103"/>
      <c r="B1148" s="103"/>
      <c r="C1148" s="103"/>
      <c r="D1148" s="103"/>
      <c r="E1148" s="103"/>
      <c r="F1148" s="103"/>
      <c r="G1148" s="103"/>
      <c r="H1148" s="103"/>
      <c r="I1148" s="103"/>
      <c r="J1148" s="103"/>
      <c r="K1148" s="103"/>
      <c r="L1148" s="103"/>
      <c r="M1148" s="104"/>
      <c r="N1148" s="103"/>
    </row>
    <row r="1149" spans="1:14" ht="45" customHeight="1" thickBot="1" x14ac:dyDescent="0.4">
      <c r="A1149" s="103"/>
      <c r="B1149" s="103"/>
      <c r="C1149" s="103"/>
      <c r="D1149" s="103"/>
      <c r="E1149" s="103"/>
      <c r="F1149" s="103"/>
      <c r="G1149" s="103"/>
      <c r="H1149" s="103"/>
      <c r="I1149" s="103"/>
      <c r="J1149" s="103"/>
      <c r="K1149" s="103"/>
      <c r="L1149" s="103"/>
      <c r="M1149" s="104"/>
      <c r="N1149" s="103"/>
    </row>
    <row r="1150" spans="1:14" ht="45" customHeight="1" thickBot="1" x14ac:dyDescent="0.4">
      <c r="A1150" s="103"/>
      <c r="B1150" s="103"/>
      <c r="C1150" s="103"/>
      <c r="D1150" s="103"/>
      <c r="E1150" s="103"/>
      <c r="F1150" s="103"/>
      <c r="G1150" s="103"/>
      <c r="H1150" s="103"/>
      <c r="I1150" s="103"/>
      <c r="J1150" s="103"/>
      <c r="K1150" s="103"/>
      <c r="L1150" s="103"/>
      <c r="M1150" s="104"/>
      <c r="N1150" s="103"/>
    </row>
    <row r="1151" spans="1:14" ht="45" customHeight="1" thickBot="1" x14ac:dyDescent="0.4">
      <c r="A1151" s="103"/>
      <c r="B1151" s="103"/>
      <c r="C1151" s="103"/>
      <c r="D1151" s="103"/>
      <c r="E1151" s="103"/>
      <c r="F1151" s="103"/>
      <c r="G1151" s="103"/>
      <c r="H1151" s="103"/>
      <c r="I1151" s="103"/>
      <c r="J1151" s="103"/>
      <c r="K1151" s="103"/>
      <c r="L1151" s="103"/>
      <c r="M1151" s="104"/>
      <c r="N1151" s="103"/>
    </row>
    <row r="1152" spans="1:14" ht="45" customHeight="1" thickBot="1" x14ac:dyDescent="0.4">
      <c r="A1152" s="103"/>
      <c r="B1152" s="103"/>
      <c r="C1152" s="103"/>
      <c r="D1152" s="103"/>
      <c r="E1152" s="103"/>
      <c r="F1152" s="103"/>
      <c r="G1152" s="103"/>
      <c r="H1152" s="103"/>
      <c r="I1152" s="103"/>
      <c r="J1152" s="103"/>
      <c r="K1152" s="103"/>
      <c r="L1152" s="103"/>
      <c r="M1152" s="104"/>
      <c r="N1152" s="103"/>
    </row>
    <row r="1153" spans="1:14" ht="45" customHeight="1" thickBot="1" x14ac:dyDescent="0.4">
      <c r="A1153" s="103"/>
      <c r="B1153" s="103"/>
      <c r="C1153" s="103"/>
      <c r="D1153" s="103"/>
      <c r="E1153" s="103"/>
      <c r="F1153" s="103"/>
      <c r="G1153" s="103"/>
      <c r="H1153" s="103"/>
      <c r="I1153" s="103"/>
      <c r="J1153" s="103"/>
      <c r="K1153" s="103"/>
      <c r="L1153" s="103"/>
      <c r="M1153" s="104"/>
      <c r="N1153" s="103"/>
    </row>
    <row r="1154" spans="1:14" ht="45" customHeight="1" thickBot="1" x14ac:dyDescent="0.4">
      <c r="A1154" s="103"/>
      <c r="B1154" s="103"/>
      <c r="C1154" s="103"/>
      <c r="D1154" s="103"/>
      <c r="E1154" s="103"/>
      <c r="F1154" s="103"/>
      <c r="G1154" s="103"/>
      <c r="H1154" s="103"/>
      <c r="I1154" s="103"/>
      <c r="J1154" s="103"/>
      <c r="K1154" s="103"/>
      <c r="L1154" s="103"/>
      <c r="M1154" s="104"/>
      <c r="N1154" s="103"/>
    </row>
    <row r="1155" spans="1:14" ht="45" customHeight="1" thickBot="1" x14ac:dyDescent="0.4">
      <c r="A1155" s="103"/>
      <c r="B1155" s="103"/>
      <c r="C1155" s="103"/>
      <c r="D1155" s="103"/>
      <c r="E1155" s="103"/>
      <c r="F1155" s="103"/>
      <c r="G1155" s="103"/>
      <c r="H1155" s="103"/>
      <c r="I1155" s="103"/>
      <c r="J1155" s="103"/>
      <c r="K1155" s="103"/>
      <c r="L1155" s="103"/>
      <c r="M1155" s="104"/>
      <c r="N1155" s="103"/>
    </row>
    <row r="1156" spans="1:14" ht="45" customHeight="1" thickBot="1" x14ac:dyDescent="0.4">
      <c r="A1156" s="103"/>
      <c r="B1156" s="103"/>
      <c r="C1156" s="103"/>
      <c r="D1156" s="103"/>
      <c r="E1156" s="103"/>
      <c r="F1156" s="103"/>
      <c r="G1156" s="103"/>
      <c r="H1156" s="103"/>
      <c r="I1156" s="103"/>
      <c r="J1156" s="103"/>
      <c r="K1156" s="103"/>
      <c r="L1156" s="103"/>
      <c r="M1156" s="104"/>
      <c r="N1156" s="103"/>
    </row>
    <row r="1157" spans="1:14" ht="45" customHeight="1" thickBot="1" x14ac:dyDescent="0.4">
      <c r="A1157" s="103"/>
      <c r="B1157" s="103"/>
      <c r="C1157" s="103"/>
      <c r="D1157" s="103"/>
      <c r="E1157" s="103"/>
      <c r="F1157" s="103"/>
      <c r="G1157" s="103"/>
      <c r="H1157" s="103"/>
      <c r="I1157" s="103"/>
      <c r="J1157" s="103"/>
      <c r="K1157" s="103"/>
      <c r="L1157" s="103"/>
      <c r="M1157" s="104"/>
      <c r="N1157" s="103"/>
    </row>
    <row r="1158" spans="1:14" ht="45" customHeight="1" thickBot="1" x14ac:dyDescent="0.4">
      <c r="A1158" s="103"/>
      <c r="B1158" s="103"/>
      <c r="C1158" s="103"/>
      <c r="D1158" s="103"/>
      <c r="E1158" s="103"/>
      <c r="F1158" s="103"/>
      <c r="G1158" s="103"/>
      <c r="H1158" s="103"/>
      <c r="I1158" s="103"/>
      <c r="J1158" s="103"/>
      <c r="K1158" s="103"/>
      <c r="L1158" s="103"/>
      <c r="M1158" s="104"/>
      <c r="N1158" s="103"/>
    </row>
    <row r="1159" spans="1:14" ht="45" customHeight="1" thickBot="1" x14ac:dyDescent="0.4">
      <c r="A1159" s="103"/>
      <c r="B1159" s="103"/>
      <c r="C1159" s="103"/>
      <c r="D1159" s="103"/>
      <c r="E1159" s="103"/>
      <c r="F1159" s="103"/>
      <c r="G1159" s="103"/>
      <c r="H1159" s="103"/>
      <c r="I1159" s="103"/>
      <c r="J1159" s="103"/>
      <c r="K1159" s="103"/>
      <c r="L1159" s="103"/>
      <c r="M1159" s="104"/>
      <c r="N1159" s="103"/>
    </row>
    <row r="1160" spans="1:14" ht="45" customHeight="1" thickBot="1" x14ac:dyDescent="0.4">
      <c r="A1160" s="103"/>
      <c r="B1160" s="103"/>
      <c r="C1160" s="103"/>
      <c r="D1160" s="103"/>
      <c r="E1160" s="103"/>
      <c r="F1160" s="103"/>
      <c r="G1160" s="103"/>
      <c r="H1160" s="103"/>
      <c r="I1160" s="103"/>
      <c r="J1160" s="103"/>
      <c r="K1160" s="103"/>
      <c r="L1160" s="103"/>
      <c r="M1160" s="104"/>
      <c r="N1160" s="103"/>
    </row>
    <row r="1161" spans="1:14" ht="45" customHeight="1" thickBot="1" x14ac:dyDescent="0.4">
      <c r="A1161" s="103"/>
      <c r="B1161" s="103"/>
      <c r="C1161" s="103"/>
      <c r="D1161" s="103"/>
      <c r="E1161" s="103"/>
      <c r="F1161" s="103"/>
      <c r="G1161" s="103"/>
      <c r="H1161" s="103"/>
      <c r="I1161" s="103"/>
      <c r="J1161" s="103"/>
      <c r="K1161" s="103"/>
      <c r="L1161" s="103"/>
      <c r="M1161" s="104"/>
      <c r="N1161" s="103"/>
    </row>
    <row r="1162" spans="1:14" ht="45" customHeight="1" thickBot="1" x14ac:dyDescent="0.4">
      <c r="A1162" s="103"/>
      <c r="B1162" s="103"/>
      <c r="C1162" s="103"/>
      <c r="D1162" s="103"/>
      <c r="E1162" s="103"/>
      <c r="F1162" s="103"/>
      <c r="G1162" s="103"/>
      <c r="H1162" s="103"/>
      <c r="I1162" s="103"/>
      <c r="J1162" s="103"/>
      <c r="K1162" s="103"/>
      <c r="L1162" s="103"/>
      <c r="M1162" s="104"/>
      <c r="N1162" s="103"/>
    </row>
    <row r="1163" spans="1:14" ht="45" customHeight="1" thickBot="1" x14ac:dyDescent="0.4">
      <c r="A1163" s="103"/>
      <c r="B1163" s="103"/>
      <c r="C1163" s="103"/>
      <c r="D1163" s="103"/>
      <c r="E1163" s="103"/>
      <c r="F1163" s="103"/>
      <c r="G1163" s="103"/>
      <c r="H1163" s="103"/>
      <c r="I1163" s="103"/>
      <c r="J1163" s="103"/>
      <c r="K1163" s="103"/>
      <c r="L1163" s="103"/>
      <c r="M1163" s="104"/>
      <c r="N1163" s="103"/>
    </row>
    <row r="1164" spans="1:14" ht="45" customHeight="1" thickBot="1" x14ac:dyDescent="0.4">
      <c r="A1164" s="103"/>
      <c r="B1164" s="103"/>
      <c r="C1164" s="103"/>
      <c r="D1164" s="103"/>
      <c r="E1164" s="103"/>
      <c r="F1164" s="103"/>
      <c r="G1164" s="103"/>
      <c r="H1164" s="103"/>
      <c r="I1164" s="103"/>
      <c r="J1164" s="103"/>
      <c r="K1164" s="103"/>
      <c r="L1164" s="103"/>
      <c r="M1164" s="104"/>
      <c r="N1164" s="103"/>
    </row>
    <row r="1165" spans="1:14" ht="45" customHeight="1" thickBot="1" x14ac:dyDescent="0.4">
      <c r="A1165" s="103"/>
      <c r="B1165" s="103"/>
      <c r="C1165" s="103"/>
      <c r="D1165" s="103"/>
      <c r="E1165" s="103"/>
      <c r="F1165" s="103"/>
      <c r="G1165" s="103"/>
      <c r="H1165" s="103"/>
      <c r="I1165" s="103"/>
      <c r="J1165" s="103"/>
      <c r="K1165" s="103"/>
      <c r="L1165" s="103"/>
      <c r="M1165" s="104"/>
      <c r="N1165" s="103"/>
    </row>
    <row r="1166" spans="1:14" ht="45" customHeight="1" thickBot="1" x14ac:dyDescent="0.4">
      <c r="A1166" s="103"/>
      <c r="B1166" s="103"/>
      <c r="C1166" s="103"/>
      <c r="D1166" s="103"/>
      <c r="E1166" s="103"/>
      <c r="F1166" s="103"/>
      <c r="G1166" s="103"/>
      <c r="H1166" s="103"/>
      <c r="I1166" s="103"/>
      <c r="J1166" s="103"/>
      <c r="K1166" s="103"/>
      <c r="L1166" s="103"/>
      <c r="M1166" s="104"/>
      <c r="N1166" s="103"/>
    </row>
    <row r="1167" spans="1:14" ht="45" customHeight="1" thickBot="1" x14ac:dyDescent="0.4">
      <c r="A1167" s="103"/>
      <c r="B1167" s="103"/>
      <c r="C1167" s="103"/>
      <c r="D1167" s="103"/>
      <c r="E1167" s="103"/>
      <c r="F1167" s="103"/>
      <c r="G1167" s="103"/>
      <c r="H1167" s="103"/>
      <c r="I1167" s="103"/>
      <c r="J1167" s="103"/>
      <c r="K1167" s="103"/>
      <c r="L1167" s="103"/>
      <c r="M1167" s="104"/>
      <c r="N1167" s="103"/>
    </row>
    <row r="1168" spans="1:14" ht="45" customHeight="1" thickBot="1" x14ac:dyDescent="0.4">
      <c r="A1168" s="103"/>
      <c r="B1168" s="103"/>
      <c r="C1168" s="103"/>
      <c r="D1168" s="103"/>
      <c r="E1168" s="103"/>
      <c r="F1168" s="103"/>
      <c r="G1168" s="103"/>
      <c r="H1168" s="103"/>
      <c r="I1168" s="103"/>
      <c r="J1168" s="103"/>
      <c r="K1168" s="103"/>
      <c r="L1168" s="103"/>
      <c r="M1168" s="104"/>
      <c r="N1168" s="103"/>
    </row>
    <row r="1169" spans="1:14" ht="45" customHeight="1" thickBot="1" x14ac:dyDescent="0.4">
      <c r="A1169" s="103"/>
      <c r="B1169" s="103"/>
      <c r="C1169" s="103"/>
      <c r="D1169" s="103"/>
      <c r="E1169" s="103"/>
      <c r="F1169" s="103"/>
      <c r="G1169" s="103"/>
      <c r="H1169" s="103"/>
      <c r="I1169" s="103"/>
      <c r="J1169" s="103"/>
      <c r="K1169" s="103"/>
      <c r="L1169" s="103"/>
      <c r="M1169" s="104"/>
      <c r="N1169" s="103"/>
    </row>
    <row r="1170" spans="1:14" ht="45" customHeight="1" thickBot="1" x14ac:dyDescent="0.4">
      <c r="A1170" s="103"/>
      <c r="B1170" s="103"/>
      <c r="C1170" s="103"/>
      <c r="D1170" s="103"/>
      <c r="E1170" s="103"/>
      <c r="F1170" s="103"/>
      <c r="G1170" s="103"/>
      <c r="H1170" s="103"/>
      <c r="I1170" s="103"/>
      <c r="J1170" s="103"/>
      <c r="K1170" s="103"/>
      <c r="L1170" s="103"/>
      <c r="M1170" s="104"/>
      <c r="N1170" s="103"/>
    </row>
    <row r="1171" spans="1:14" ht="45" customHeight="1" thickBot="1" x14ac:dyDescent="0.4">
      <c r="A1171" s="103"/>
      <c r="B1171" s="103"/>
      <c r="C1171" s="103"/>
      <c r="D1171" s="103"/>
      <c r="E1171" s="103"/>
      <c r="F1171" s="103"/>
      <c r="G1171" s="103"/>
      <c r="H1171" s="103"/>
      <c r="I1171" s="103"/>
      <c r="J1171" s="103"/>
      <c r="K1171" s="103"/>
      <c r="L1171" s="103"/>
      <c r="M1171" s="104"/>
      <c r="N1171" s="103"/>
    </row>
    <row r="1172" spans="1:14" ht="45" customHeight="1" thickBot="1" x14ac:dyDescent="0.4">
      <c r="A1172" s="103"/>
      <c r="B1172" s="103"/>
      <c r="C1172" s="103"/>
      <c r="D1172" s="103"/>
      <c r="E1172" s="103"/>
      <c r="F1172" s="103"/>
      <c r="G1172" s="103"/>
      <c r="H1172" s="103"/>
      <c r="I1172" s="103"/>
      <c r="J1172" s="103"/>
      <c r="K1172" s="103"/>
      <c r="L1172" s="103"/>
      <c r="M1172" s="104"/>
      <c r="N1172" s="103"/>
    </row>
    <row r="1173" spans="1:14" ht="45" customHeight="1" thickBot="1" x14ac:dyDescent="0.4">
      <c r="A1173" s="103"/>
      <c r="B1173" s="103"/>
      <c r="C1173" s="103"/>
      <c r="D1173" s="103"/>
      <c r="E1173" s="103"/>
      <c r="F1173" s="103"/>
      <c r="G1173" s="103"/>
      <c r="H1173" s="103"/>
      <c r="I1173" s="103"/>
      <c r="J1173" s="103"/>
      <c r="K1173" s="103"/>
      <c r="L1173" s="103"/>
      <c r="M1173" s="104"/>
      <c r="N1173" s="103"/>
    </row>
    <row r="1174" spans="1:14" ht="45" customHeight="1" thickBot="1" x14ac:dyDescent="0.4">
      <c r="A1174" s="103"/>
      <c r="B1174" s="103"/>
      <c r="C1174" s="103"/>
      <c r="D1174" s="103"/>
      <c r="E1174" s="103"/>
      <c r="F1174" s="103"/>
      <c r="G1174" s="103"/>
      <c r="H1174" s="103"/>
      <c r="I1174" s="103"/>
      <c r="J1174" s="103"/>
      <c r="K1174" s="103"/>
      <c r="L1174" s="103"/>
      <c r="M1174" s="104"/>
      <c r="N1174" s="103"/>
    </row>
    <row r="1175" spans="1:14" ht="45" customHeight="1" thickBot="1" x14ac:dyDescent="0.4">
      <c r="A1175" s="103"/>
      <c r="B1175" s="103"/>
      <c r="C1175" s="103"/>
      <c r="D1175" s="103"/>
      <c r="E1175" s="103"/>
      <c r="F1175" s="103"/>
      <c r="G1175" s="103"/>
      <c r="H1175" s="103"/>
      <c r="I1175" s="103"/>
      <c r="J1175" s="103"/>
      <c r="K1175" s="103"/>
      <c r="L1175" s="103"/>
      <c r="M1175" s="104"/>
      <c r="N1175" s="103"/>
    </row>
    <row r="1176" spans="1:14" ht="45" customHeight="1" thickBot="1" x14ac:dyDescent="0.4">
      <c r="A1176" s="103"/>
      <c r="B1176" s="103"/>
      <c r="C1176" s="103"/>
      <c r="D1176" s="103"/>
      <c r="E1176" s="103"/>
      <c r="F1176" s="103"/>
      <c r="G1176" s="103"/>
      <c r="H1176" s="103"/>
      <c r="I1176" s="103"/>
      <c r="J1176" s="103"/>
      <c r="K1176" s="103"/>
      <c r="L1176" s="103"/>
      <c r="M1176" s="104"/>
      <c r="N1176" s="103"/>
    </row>
    <row r="1177" spans="1:14" ht="45" customHeight="1" thickBot="1" x14ac:dyDescent="0.4">
      <c r="A1177" s="103"/>
      <c r="B1177" s="103"/>
      <c r="C1177" s="103"/>
      <c r="D1177" s="103"/>
      <c r="E1177" s="103"/>
      <c r="F1177" s="103"/>
      <c r="G1177" s="103"/>
      <c r="H1177" s="103"/>
      <c r="I1177" s="103"/>
      <c r="J1177" s="103"/>
      <c r="K1177" s="103"/>
      <c r="L1177" s="103"/>
      <c r="M1177" s="104"/>
      <c r="N1177" s="103"/>
    </row>
    <row r="1178" spans="1:14" ht="45" customHeight="1" thickBot="1" x14ac:dyDescent="0.4">
      <c r="A1178" s="103"/>
      <c r="B1178" s="103"/>
      <c r="C1178" s="103"/>
      <c r="D1178" s="103"/>
      <c r="E1178" s="103"/>
      <c r="F1178" s="103"/>
      <c r="G1178" s="103"/>
      <c r="H1178" s="103"/>
      <c r="I1178" s="103"/>
      <c r="J1178" s="103"/>
      <c r="K1178" s="103"/>
      <c r="L1178" s="103"/>
      <c r="M1178" s="104"/>
      <c r="N1178" s="103"/>
    </row>
    <row r="1179" spans="1:14" ht="45" customHeight="1" thickBot="1" x14ac:dyDescent="0.4">
      <c r="A1179" s="103"/>
      <c r="B1179" s="103"/>
      <c r="C1179" s="103"/>
      <c r="D1179" s="103"/>
      <c r="E1179" s="103"/>
      <c r="F1179" s="103"/>
      <c r="G1179" s="103"/>
      <c r="H1179" s="103"/>
      <c r="I1179" s="103"/>
      <c r="J1179" s="103"/>
      <c r="K1179" s="103"/>
      <c r="L1179" s="103"/>
      <c r="M1179" s="104"/>
      <c r="N1179" s="103"/>
    </row>
    <row r="1180" spans="1:14" ht="45" customHeight="1" thickBot="1" x14ac:dyDescent="0.4">
      <c r="A1180" s="103"/>
      <c r="B1180" s="103"/>
      <c r="C1180" s="103"/>
      <c r="D1180" s="103"/>
      <c r="E1180" s="103"/>
      <c r="F1180" s="103"/>
      <c r="G1180" s="103"/>
      <c r="H1180" s="103"/>
      <c r="I1180" s="103"/>
      <c r="J1180" s="103"/>
      <c r="K1180" s="103"/>
      <c r="L1180" s="103"/>
      <c r="M1180" s="104"/>
      <c r="N1180" s="103"/>
    </row>
    <row r="1181" spans="1:14" ht="45" customHeight="1" thickBot="1" x14ac:dyDescent="0.4">
      <c r="A1181" s="103"/>
      <c r="B1181" s="103"/>
      <c r="C1181" s="103"/>
      <c r="D1181" s="103"/>
      <c r="E1181" s="103"/>
      <c r="F1181" s="103"/>
      <c r="G1181" s="103"/>
      <c r="H1181" s="103"/>
      <c r="I1181" s="103"/>
      <c r="J1181" s="103"/>
      <c r="K1181" s="103"/>
      <c r="L1181" s="103"/>
      <c r="M1181" s="104"/>
      <c r="N1181" s="103"/>
    </row>
    <row r="1182" spans="1:14" ht="45" customHeight="1" thickBot="1" x14ac:dyDescent="0.4">
      <c r="A1182" s="103"/>
      <c r="B1182" s="103"/>
      <c r="C1182" s="103"/>
      <c r="D1182" s="103"/>
      <c r="E1182" s="103"/>
      <c r="F1182" s="103"/>
      <c r="G1182" s="103"/>
      <c r="H1182" s="103"/>
      <c r="I1182" s="103"/>
      <c r="J1182" s="103"/>
      <c r="K1182" s="103"/>
      <c r="L1182" s="103"/>
      <c r="M1182" s="104"/>
      <c r="N1182" s="103"/>
    </row>
    <row r="1183" spans="1:14" ht="45" customHeight="1" thickBot="1" x14ac:dyDescent="0.4">
      <c r="A1183" s="103"/>
      <c r="B1183" s="103"/>
      <c r="C1183" s="103"/>
      <c r="D1183" s="103"/>
      <c r="E1183" s="103"/>
      <c r="F1183" s="103"/>
      <c r="G1183" s="103"/>
      <c r="H1183" s="103"/>
      <c r="I1183" s="103"/>
      <c r="J1183" s="103"/>
      <c r="K1183" s="103"/>
      <c r="L1183" s="103"/>
      <c r="M1183" s="104"/>
      <c r="N1183" s="103"/>
    </row>
    <row r="1184" spans="1:14" ht="45" customHeight="1" thickBot="1" x14ac:dyDescent="0.4">
      <c r="A1184" s="103"/>
      <c r="B1184" s="103"/>
      <c r="C1184" s="103"/>
      <c r="D1184" s="103"/>
      <c r="E1184" s="103"/>
      <c r="F1184" s="103"/>
      <c r="G1184" s="103"/>
      <c r="H1184" s="103"/>
      <c r="I1184" s="103"/>
      <c r="J1184" s="103"/>
      <c r="K1184" s="103"/>
      <c r="L1184" s="103"/>
      <c r="M1184" s="104"/>
      <c r="N1184" s="103"/>
    </row>
    <row r="1185" spans="1:14" ht="45" customHeight="1" thickBot="1" x14ac:dyDescent="0.4">
      <c r="A1185" s="103"/>
      <c r="B1185" s="103"/>
      <c r="C1185" s="103"/>
      <c r="D1185" s="103"/>
      <c r="E1185" s="103"/>
      <c r="F1185" s="103"/>
      <c r="G1185" s="103"/>
      <c r="H1185" s="103"/>
      <c r="I1185" s="103"/>
      <c r="J1185" s="103"/>
      <c r="K1185" s="103"/>
      <c r="L1185" s="103"/>
      <c r="M1185" s="104"/>
      <c r="N1185" s="103"/>
    </row>
    <row r="1186" spans="1:14" ht="45" customHeight="1" thickBot="1" x14ac:dyDescent="0.4">
      <c r="A1186" s="103"/>
      <c r="B1186" s="103"/>
      <c r="C1186" s="103"/>
      <c r="D1186" s="103"/>
      <c r="E1186" s="103"/>
      <c r="F1186" s="103"/>
      <c r="G1186" s="103"/>
      <c r="H1186" s="103"/>
      <c r="I1186" s="103"/>
      <c r="J1186" s="103"/>
      <c r="K1186" s="103"/>
      <c r="L1186" s="103"/>
      <c r="M1186" s="104"/>
      <c r="N1186" s="103"/>
    </row>
    <row r="1187" spans="1:14" ht="45" customHeight="1" thickBot="1" x14ac:dyDescent="0.4">
      <c r="A1187" s="103"/>
      <c r="B1187" s="103"/>
      <c r="C1187" s="103"/>
      <c r="D1187" s="103"/>
      <c r="E1187" s="103"/>
      <c r="F1187" s="103"/>
      <c r="G1187" s="103"/>
      <c r="H1187" s="103"/>
      <c r="I1187" s="103"/>
      <c r="J1187" s="103"/>
      <c r="K1187" s="103"/>
      <c r="L1187" s="103"/>
      <c r="M1187" s="104"/>
      <c r="N1187" s="103"/>
    </row>
    <row r="1188" spans="1:14" ht="45" customHeight="1" thickBot="1" x14ac:dyDescent="0.4">
      <c r="A1188" s="103"/>
      <c r="B1188" s="103"/>
      <c r="C1188" s="103"/>
      <c r="D1188" s="103"/>
      <c r="E1188" s="103"/>
      <c r="F1188" s="103"/>
      <c r="G1188" s="103"/>
      <c r="H1188" s="103"/>
      <c r="I1188" s="103"/>
      <c r="J1188" s="103"/>
      <c r="K1188" s="103"/>
      <c r="L1188" s="103"/>
      <c r="M1188" s="104"/>
      <c r="N1188" s="103"/>
    </row>
    <row r="1189" spans="1:14" ht="45" customHeight="1" thickBot="1" x14ac:dyDescent="0.4">
      <c r="A1189" s="103"/>
      <c r="B1189" s="103"/>
      <c r="C1189" s="103"/>
      <c r="D1189" s="103"/>
      <c r="E1189" s="103"/>
      <c r="F1189" s="103"/>
      <c r="G1189" s="103"/>
      <c r="H1189" s="103"/>
      <c r="I1189" s="103"/>
      <c r="J1189" s="103"/>
      <c r="K1189" s="103"/>
      <c r="L1189" s="103"/>
      <c r="M1189" s="104"/>
      <c r="N1189" s="103"/>
    </row>
    <row r="1190" spans="1:14" ht="45" customHeight="1" thickBot="1" x14ac:dyDescent="0.4">
      <c r="A1190" s="103"/>
      <c r="B1190" s="103"/>
      <c r="C1190" s="103"/>
      <c r="D1190" s="103"/>
      <c r="E1190" s="103"/>
      <c r="F1190" s="103"/>
      <c r="G1190" s="103"/>
      <c r="H1190" s="103"/>
      <c r="I1190" s="103"/>
      <c r="J1190" s="103"/>
      <c r="K1190" s="103"/>
      <c r="L1190" s="103"/>
      <c r="M1190" s="104"/>
      <c r="N1190" s="103"/>
    </row>
    <row r="1191" spans="1:14" ht="45" customHeight="1" thickBot="1" x14ac:dyDescent="0.4">
      <c r="A1191" s="103"/>
      <c r="B1191" s="103"/>
      <c r="C1191" s="103"/>
      <c r="D1191" s="103"/>
      <c r="E1191" s="103"/>
      <c r="F1191" s="103"/>
      <c r="G1191" s="103"/>
      <c r="H1191" s="103"/>
      <c r="I1191" s="103"/>
      <c r="J1191" s="103"/>
      <c r="K1191" s="103"/>
      <c r="L1191" s="103"/>
      <c r="M1191" s="104"/>
      <c r="N1191" s="103"/>
    </row>
    <row r="1192" spans="1:14" ht="45" customHeight="1" thickBot="1" x14ac:dyDescent="0.4">
      <c r="A1192" s="103"/>
      <c r="B1192" s="103"/>
      <c r="C1192" s="103"/>
      <c r="D1192" s="103"/>
      <c r="E1192" s="103"/>
      <c r="F1192" s="103"/>
      <c r="G1192" s="103"/>
      <c r="H1192" s="103"/>
      <c r="I1192" s="103"/>
      <c r="J1192" s="103"/>
      <c r="K1192" s="103"/>
      <c r="L1192" s="103"/>
      <c r="M1192" s="104"/>
      <c r="N1192" s="103"/>
    </row>
    <row r="1193" spans="1:14" ht="45" customHeight="1" thickBot="1" x14ac:dyDescent="0.4">
      <c r="A1193" s="103"/>
      <c r="B1193" s="103"/>
      <c r="C1193" s="103"/>
      <c r="D1193" s="103"/>
      <c r="E1193" s="103"/>
      <c r="F1193" s="103"/>
      <c r="G1193" s="103"/>
      <c r="H1193" s="103"/>
      <c r="I1193" s="103"/>
      <c r="J1193" s="103"/>
      <c r="K1193" s="103"/>
      <c r="L1193" s="103"/>
      <c r="M1193" s="104"/>
      <c r="N1193" s="103"/>
    </row>
    <row r="1194" spans="1:14" ht="45" customHeight="1" thickBot="1" x14ac:dyDescent="0.4">
      <c r="A1194" s="103"/>
      <c r="B1194" s="103"/>
      <c r="C1194" s="103"/>
      <c r="D1194" s="103"/>
      <c r="E1194" s="103"/>
      <c r="F1194" s="103"/>
      <c r="G1194" s="103"/>
      <c r="H1194" s="103"/>
      <c r="I1194" s="103"/>
      <c r="J1194" s="103"/>
      <c r="K1194" s="103"/>
      <c r="L1194" s="103"/>
      <c r="M1194" s="104"/>
      <c r="N1194" s="103"/>
    </row>
    <row r="1195" spans="1:14" ht="45" customHeight="1" thickBot="1" x14ac:dyDescent="0.4">
      <c r="A1195" s="103"/>
      <c r="B1195" s="103"/>
      <c r="C1195" s="103"/>
      <c r="D1195" s="103"/>
      <c r="E1195" s="103"/>
      <c r="F1195" s="103"/>
      <c r="G1195" s="103"/>
      <c r="H1195" s="103"/>
      <c r="I1195" s="103"/>
      <c r="J1195" s="103"/>
      <c r="K1195" s="103"/>
      <c r="L1195" s="103"/>
      <c r="M1195" s="104"/>
      <c r="N1195" s="103"/>
    </row>
    <row r="1196" spans="1:14" ht="45" customHeight="1" thickBot="1" x14ac:dyDescent="0.4">
      <c r="A1196" s="103"/>
      <c r="B1196" s="103"/>
      <c r="C1196" s="103"/>
      <c r="D1196" s="103"/>
      <c r="E1196" s="103"/>
      <c r="F1196" s="103"/>
      <c r="G1196" s="103"/>
      <c r="H1196" s="103"/>
      <c r="I1196" s="103"/>
      <c r="J1196" s="103"/>
      <c r="K1196" s="103"/>
      <c r="L1196" s="103"/>
      <c r="M1196" s="104"/>
      <c r="N1196" s="103"/>
    </row>
    <row r="1197" spans="1:14" ht="45" customHeight="1" thickBot="1" x14ac:dyDescent="0.4">
      <c r="A1197" s="103"/>
      <c r="B1197" s="103"/>
      <c r="C1197" s="103"/>
      <c r="D1197" s="103"/>
      <c r="E1197" s="103"/>
      <c r="F1197" s="103"/>
      <c r="G1197" s="103"/>
      <c r="H1197" s="103"/>
      <c r="I1197" s="103"/>
      <c r="J1197" s="103"/>
      <c r="K1197" s="103"/>
      <c r="L1197" s="103"/>
      <c r="M1197" s="104"/>
      <c r="N1197" s="103"/>
    </row>
    <row r="1198" spans="1:14" ht="45" customHeight="1" thickBot="1" x14ac:dyDescent="0.4">
      <c r="A1198" s="103"/>
      <c r="B1198" s="103"/>
      <c r="C1198" s="103"/>
      <c r="D1198" s="103"/>
      <c r="E1198" s="103"/>
      <c r="F1198" s="103"/>
      <c r="G1198" s="103"/>
      <c r="H1198" s="103"/>
      <c r="I1198" s="103"/>
      <c r="J1198" s="103"/>
      <c r="K1198" s="103"/>
      <c r="L1198" s="103"/>
      <c r="M1198" s="104"/>
      <c r="N1198" s="103"/>
    </row>
    <row r="1199" spans="1:14" ht="45" customHeight="1" thickBot="1" x14ac:dyDescent="0.4">
      <c r="A1199" s="103"/>
      <c r="B1199" s="103"/>
      <c r="C1199" s="103"/>
      <c r="D1199" s="103"/>
      <c r="E1199" s="103"/>
      <c r="F1199" s="103"/>
      <c r="G1199" s="103"/>
      <c r="H1199" s="103"/>
      <c r="I1199" s="103"/>
      <c r="J1199" s="103"/>
      <c r="K1199" s="103"/>
      <c r="L1199" s="103"/>
      <c r="M1199" s="104"/>
      <c r="N1199" s="103"/>
    </row>
    <row r="1200" spans="1:14" ht="45" customHeight="1" thickBot="1" x14ac:dyDescent="0.4">
      <c r="A1200" s="103"/>
      <c r="B1200" s="103"/>
      <c r="C1200" s="103"/>
      <c r="D1200" s="103"/>
      <c r="E1200" s="103"/>
      <c r="F1200" s="103"/>
      <c r="G1200" s="103"/>
      <c r="H1200" s="103"/>
      <c r="I1200" s="103"/>
      <c r="J1200" s="103"/>
      <c r="K1200" s="103"/>
      <c r="L1200" s="103"/>
      <c r="M1200" s="104"/>
      <c r="N1200" s="103"/>
    </row>
    <row r="1201" spans="1:14" ht="45" customHeight="1" thickBot="1" x14ac:dyDescent="0.4">
      <c r="A1201" s="103"/>
      <c r="B1201" s="103"/>
      <c r="C1201" s="103"/>
      <c r="D1201" s="103"/>
      <c r="E1201" s="103"/>
      <c r="F1201" s="103"/>
      <c r="G1201" s="103"/>
      <c r="H1201" s="103"/>
      <c r="I1201" s="103"/>
      <c r="J1201" s="103"/>
      <c r="K1201" s="103"/>
      <c r="L1201" s="103"/>
      <c r="M1201" s="104"/>
      <c r="N1201" s="103"/>
    </row>
    <row r="1202" spans="1:14" ht="45" customHeight="1" thickBot="1" x14ac:dyDescent="0.4">
      <c r="A1202" s="103"/>
      <c r="B1202" s="103"/>
      <c r="C1202" s="103"/>
      <c r="D1202" s="103"/>
      <c r="E1202" s="103"/>
      <c r="F1202" s="103"/>
      <c r="G1202" s="103"/>
      <c r="H1202" s="103"/>
      <c r="I1202" s="103"/>
      <c r="J1202" s="103"/>
      <c r="K1202" s="103"/>
      <c r="L1202" s="103"/>
      <c r="M1202" s="104"/>
      <c r="N1202" s="103"/>
    </row>
    <row r="1203" spans="1:14" ht="45" customHeight="1" thickBot="1" x14ac:dyDescent="0.4">
      <c r="A1203" s="103"/>
      <c r="B1203" s="103"/>
      <c r="C1203" s="103"/>
      <c r="D1203" s="103"/>
      <c r="E1203" s="103"/>
      <c r="F1203" s="103"/>
      <c r="G1203" s="103"/>
      <c r="H1203" s="103"/>
      <c r="I1203" s="103"/>
      <c r="J1203" s="103"/>
      <c r="K1203" s="103"/>
      <c r="L1203" s="103"/>
      <c r="M1203" s="104"/>
      <c r="N1203" s="103"/>
    </row>
    <row r="1204" spans="1:14" ht="45" customHeight="1" thickBot="1" x14ac:dyDescent="0.4">
      <c r="A1204" s="103"/>
      <c r="B1204" s="103"/>
      <c r="C1204" s="103"/>
      <c r="D1204" s="103"/>
      <c r="E1204" s="103"/>
      <c r="F1204" s="103"/>
      <c r="G1204" s="103"/>
      <c r="H1204" s="103"/>
      <c r="I1204" s="103"/>
      <c r="J1204" s="103"/>
      <c r="K1204" s="103"/>
      <c r="L1204" s="103"/>
      <c r="M1204" s="104"/>
      <c r="N1204" s="103"/>
    </row>
    <row r="1205" spans="1:14" ht="45" customHeight="1" thickBot="1" x14ac:dyDescent="0.4">
      <c r="A1205" s="103"/>
      <c r="B1205" s="103"/>
      <c r="C1205" s="103"/>
      <c r="D1205" s="103"/>
      <c r="E1205" s="103"/>
      <c r="F1205" s="103"/>
      <c r="G1205" s="103"/>
      <c r="H1205" s="103"/>
      <c r="I1205" s="103"/>
      <c r="J1205" s="103"/>
      <c r="K1205" s="103"/>
      <c r="L1205" s="103"/>
      <c r="M1205" s="104"/>
      <c r="N1205" s="103"/>
    </row>
    <row r="1206" spans="1:14" ht="45" customHeight="1" thickBot="1" x14ac:dyDescent="0.4">
      <c r="A1206" s="103"/>
      <c r="B1206" s="103"/>
      <c r="C1206" s="103"/>
      <c r="D1206" s="103"/>
      <c r="E1206" s="103"/>
      <c r="F1206" s="103"/>
      <c r="G1206" s="103"/>
      <c r="H1206" s="103"/>
      <c r="I1206" s="103"/>
      <c r="J1206" s="103"/>
      <c r="K1206" s="103"/>
      <c r="L1206" s="103"/>
      <c r="M1206" s="104"/>
      <c r="N1206" s="103"/>
    </row>
    <row r="1207" spans="1:14" ht="45" customHeight="1" thickBot="1" x14ac:dyDescent="0.4">
      <c r="A1207" s="103"/>
      <c r="B1207" s="103"/>
      <c r="C1207" s="103"/>
      <c r="D1207" s="103"/>
      <c r="E1207" s="103"/>
      <c r="F1207" s="103"/>
      <c r="G1207" s="103"/>
      <c r="H1207" s="103"/>
      <c r="I1207" s="103"/>
      <c r="J1207" s="103"/>
      <c r="K1207" s="103"/>
      <c r="L1207" s="103"/>
      <c r="M1207" s="104"/>
      <c r="N1207" s="103"/>
    </row>
    <row r="1208" spans="1:14" ht="45" customHeight="1" thickBot="1" x14ac:dyDescent="0.4">
      <c r="A1208" s="103"/>
      <c r="B1208" s="103"/>
      <c r="C1208" s="103"/>
      <c r="D1208" s="103"/>
      <c r="E1208" s="103"/>
      <c r="F1208" s="103"/>
      <c r="G1208" s="103"/>
      <c r="H1208" s="103"/>
      <c r="I1208" s="103"/>
      <c r="J1208" s="103"/>
      <c r="K1208" s="103"/>
      <c r="L1208" s="103"/>
      <c r="M1208" s="104"/>
      <c r="N1208" s="103"/>
    </row>
    <row r="1209" spans="1:14" ht="45" customHeight="1" thickBot="1" x14ac:dyDescent="0.4">
      <c r="A1209" s="103"/>
      <c r="B1209" s="103"/>
      <c r="C1209" s="103"/>
      <c r="D1209" s="103"/>
      <c r="E1209" s="103"/>
      <c r="F1209" s="103"/>
      <c r="G1209" s="103"/>
      <c r="H1209" s="103"/>
      <c r="I1209" s="103"/>
      <c r="J1209" s="103"/>
      <c r="K1209" s="103"/>
      <c r="L1209" s="103"/>
      <c r="M1209" s="104"/>
      <c r="N1209" s="103"/>
    </row>
    <row r="1210" spans="1:14" ht="45" customHeight="1" thickBot="1" x14ac:dyDescent="0.4">
      <c r="A1210" s="103"/>
      <c r="B1210" s="103"/>
      <c r="C1210" s="103"/>
      <c r="D1210" s="103"/>
      <c r="E1210" s="103"/>
      <c r="F1210" s="103"/>
      <c r="G1210" s="103"/>
      <c r="H1210" s="103"/>
      <c r="I1210" s="103"/>
      <c r="J1210" s="103"/>
      <c r="K1210" s="103"/>
      <c r="L1210" s="103"/>
      <c r="M1210" s="104"/>
      <c r="N1210" s="103"/>
    </row>
    <row r="1211" spans="1:14" ht="45" customHeight="1" thickBot="1" x14ac:dyDescent="0.4">
      <c r="A1211" s="103"/>
      <c r="B1211" s="103"/>
      <c r="C1211" s="103"/>
      <c r="D1211" s="103"/>
      <c r="E1211" s="103"/>
      <c r="F1211" s="103"/>
      <c r="G1211" s="103"/>
      <c r="H1211" s="103"/>
      <c r="I1211" s="103"/>
      <c r="J1211" s="103"/>
      <c r="K1211" s="103"/>
      <c r="L1211" s="103"/>
      <c r="M1211" s="104"/>
      <c r="N1211" s="103"/>
    </row>
    <row r="1212" spans="1:14" ht="45" customHeight="1" thickBot="1" x14ac:dyDescent="0.4">
      <c r="A1212" s="103"/>
      <c r="B1212" s="103"/>
      <c r="C1212" s="103"/>
      <c r="D1212" s="103"/>
      <c r="E1212" s="103"/>
      <c r="F1212" s="103"/>
      <c r="G1212" s="103"/>
      <c r="H1212" s="103"/>
      <c r="I1212" s="103"/>
      <c r="J1212" s="103"/>
      <c r="K1212" s="103"/>
      <c r="L1212" s="103"/>
      <c r="M1212" s="104"/>
      <c r="N1212" s="103"/>
    </row>
    <row r="1213" spans="1:14" ht="45" customHeight="1" thickBot="1" x14ac:dyDescent="0.4">
      <c r="A1213" s="103"/>
      <c r="B1213" s="103"/>
      <c r="C1213" s="103"/>
      <c r="D1213" s="103"/>
      <c r="E1213" s="103"/>
      <c r="F1213" s="103"/>
      <c r="G1213" s="103"/>
      <c r="H1213" s="103"/>
      <c r="I1213" s="103"/>
      <c r="J1213" s="103"/>
      <c r="K1213" s="103"/>
      <c r="L1213" s="103"/>
      <c r="M1213" s="104"/>
      <c r="N1213" s="103"/>
    </row>
    <row r="1214" spans="1:14" ht="45" customHeight="1" thickBot="1" x14ac:dyDescent="0.4">
      <c r="A1214" s="103"/>
      <c r="B1214" s="103"/>
      <c r="C1214" s="103"/>
      <c r="D1214" s="103"/>
      <c r="E1214" s="103"/>
      <c r="F1214" s="103"/>
      <c r="G1214" s="103"/>
      <c r="H1214" s="103"/>
      <c r="I1214" s="103"/>
      <c r="J1214" s="103"/>
      <c r="K1214" s="103"/>
      <c r="L1214" s="103"/>
      <c r="M1214" s="104"/>
      <c r="N1214" s="103"/>
    </row>
    <row r="1215" spans="1:14" ht="45" customHeight="1" thickBot="1" x14ac:dyDescent="0.4">
      <c r="A1215" s="103"/>
      <c r="B1215" s="103"/>
      <c r="C1215" s="103"/>
      <c r="D1215" s="103"/>
      <c r="E1215" s="103"/>
      <c r="F1215" s="103"/>
      <c r="G1215" s="103"/>
      <c r="H1215" s="103"/>
      <c r="I1215" s="103"/>
      <c r="J1215" s="103"/>
      <c r="K1215" s="103"/>
      <c r="L1215" s="103"/>
      <c r="M1215" s="104"/>
      <c r="N1215" s="103"/>
    </row>
    <row r="1216" spans="1:14" ht="45" customHeight="1" thickBot="1" x14ac:dyDescent="0.4">
      <c r="A1216" s="103"/>
      <c r="B1216" s="103"/>
      <c r="C1216" s="103"/>
      <c r="D1216" s="103"/>
      <c r="E1216" s="103"/>
      <c r="F1216" s="103"/>
      <c r="G1216" s="103"/>
      <c r="H1216" s="103"/>
      <c r="I1216" s="103"/>
      <c r="J1216" s="103"/>
      <c r="K1216" s="103"/>
      <c r="L1216" s="103"/>
      <c r="M1216" s="104"/>
      <c r="N1216" s="103"/>
    </row>
    <row r="1217" spans="1:14" ht="45" customHeight="1" thickBot="1" x14ac:dyDescent="0.4">
      <c r="A1217" s="103"/>
      <c r="B1217" s="103"/>
      <c r="C1217" s="103"/>
      <c r="D1217" s="103"/>
      <c r="E1217" s="103"/>
      <c r="F1217" s="103"/>
      <c r="G1217" s="103"/>
      <c r="H1217" s="103"/>
      <c r="I1217" s="103"/>
      <c r="J1217" s="103"/>
      <c r="K1217" s="103"/>
      <c r="L1217" s="103"/>
      <c r="M1217" s="104"/>
      <c r="N1217" s="103"/>
    </row>
    <row r="1218" spans="1:14" ht="45" customHeight="1" thickBot="1" x14ac:dyDescent="0.4">
      <c r="A1218" s="103"/>
      <c r="B1218" s="103"/>
      <c r="C1218" s="103"/>
      <c r="D1218" s="103"/>
      <c r="E1218" s="103"/>
      <c r="F1218" s="103"/>
      <c r="G1218" s="103"/>
      <c r="H1218" s="103"/>
      <c r="I1218" s="103"/>
      <c r="J1218" s="103"/>
      <c r="K1218" s="103"/>
      <c r="L1218" s="103"/>
      <c r="M1218" s="104"/>
      <c r="N1218" s="103"/>
    </row>
    <row r="1219" spans="1:14" ht="45" customHeight="1" thickBot="1" x14ac:dyDescent="0.4">
      <c r="A1219" s="103"/>
      <c r="B1219" s="103"/>
      <c r="C1219" s="103"/>
      <c r="D1219" s="103"/>
      <c r="E1219" s="103"/>
      <c r="F1219" s="103"/>
      <c r="G1219" s="103"/>
      <c r="H1219" s="103"/>
      <c r="I1219" s="103"/>
      <c r="J1219" s="103"/>
      <c r="K1219" s="103"/>
      <c r="L1219" s="103"/>
      <c r="M1219" s="104"/>
      <c r="N1219" s="103"/>
    </row>
    <row r="1220" spans="1:14" ht="45" customHeight="1" thickBot="1" x14ac:dyDescent="0.4">
      <c r="A1220" s="103"/>
      <c r="B1220" s="103"/>
      <c r="C1220" s="103"/>
      <c r="D1220" s="103"/>
      <c r="E1220" s="103"/>
      <c r="F1220" s="103"/>
      <c r="G1220" s="103"/>
      <c r="H1220" s="103"/>
      <c r="I1220" s="103"/>
      <c r="J1220" s="103"/>
      <c r="K1220" s="103"/>
      <c r="L1220" s="103"/>
      <c r="M1220" s="104"/>
      <c r="N1220" s="103"/>
    </row>
    <row r="1221" spans="1:14" ht="45" customHeight="1" thickBot="1" x14ac:dyDescent="0.4">
      <c r="A1221" s="103"/>
      <c r="B1221" s="103"/>
      <c r="C1221" s="103"/>
      <c r="D1221" s="103"/>
      <c r="E1221" s="103"/>
      <c r="F1221" s="103"/>
      <c r="G1221" s="103"/>
      <c r="H1221" s="103"/>
      <c r="I1221" s="103"/>
      <c r="J1221" s="103"/>
      <c r="K1221" s="103"/>
      <c r="L1221" s="103"/>
      <c r="M1221" s="104"/>
      <c r="N1221" s="103"/>
    </row>
    <row r="1222" spans="1:14" ht="45" customHeight="1" thickBot="1" x14ac:dyDescent="0.4">
      <c r="A1222" s="103"/>
      <c r="B1222" s="103"/>
      <c r="C1222" s="103"/>
      <c r="D1222" s="103"/>
      <c r="E1222" s="103"/>
      <c r="F1222" s="103"/>
      <c r="G1222" s="103"/>
      <c r="H1222" s="103"/>
      <c r="I1222" s="103"/>
      <c r="J1222" s="103"/>
      <c r="K1222" s="103"/>
      <c r="L1222" s="103"/>
      <c r="M1222" s="104"/>
      <c r="N1222" s="103"/>
    </row>
    <row r="1223" spans="1:14" ht="45" customHeight="1" thickBot="1" x14ac:dyDescent="0.4">
      <c r="A1223" s="103"/>
      <c r="B1223" s="103"/>
      <c r="C1223" s="103"/>
      <c r="D1223" s="103"/>
      <c r="E1223" s="103"/>
      <c r="F1223" s="103"/>
      <c r="G1223" s="103"/>
      <c r="H1223" s="103"/>
      <c r="I1223" s="103"/>
      <c r="J1223" s="103"/>
      <c r="K1223" s="103"/>
      <c r="L1223" s="103"/>
      <c r="M1223" s="104"/>
      <c r="N1223" s="103"/>
    </row>
    <row r="1224" spans="1:14" ht="45" customHeight="1" thickBot="1" x14ac:dyDescent="0.4">
      <c r="A1224" s="103"/>
      <c r="B1224" s="103"/>
      <c r="C1224" s="103"/>
      <c r="D1224" s="103"/>
      <c r="E1224" s="103"/>
      <c r="F1224" s="103"/>
      <c r="G1224" s="103"/>
      <c r="H1224" s="103"/>
      <c r="I1224" s="103"/>
      <c r="J1224" s="103"/>
      <c r="K1224" s="103"/>
      <c r="L1224" s="103"/>
      <c r="M1224" s="104"/>
      <c r="N1224" s="103"/>
    </row>
    <row r="1225" spans="1:14" ht="45" customHeight="1" thickBot="1" x14ac:dyDescent="0.4">
      <c r="A1225" s="103"/>
      <c r="B1225" s="103"/>
      <c r="C1225" s="103"/>
      <c r="D1225" s="103"/>
      <c r="E1225" s="103"/>
      <c r="F1225" s="103"/>
      <c r="G1225" s="103"/>
      <c r="H1225" s="103"/>
      <c r="I1225" s="103"/>
      <c r="J1225" s="103"/>
      <c r="K1225" s="103"/>
      <c r="L1225" s="103"/>
      <c r="M1225" s="104"/>
      <c r="N1225" s="103"/>
    </row>
    <row r="1226" spans="1:14" ht="45" customHeight="1" thickBot="1" x14ac:dyDescent="0.4">
      <c r="A1226" s="103"/>
      <c r="B1226" s="103"/>
      <c r="C1226" s="103"/>
      <c r="D1226" s="103"/>
      <c r="E1226" s="103"/>
      <c r="F1226" s="103"/>
      <c r="G1226" s="103"/>
      <c r="H1226" s="103"/>
      <c r="I1226" s="103"/>
      <c r="J1226" s="103"/>
      <c r="K1226" s="103"/>
      <c r="L1226" s="103"/>
      <c r="M1226" s="104"/>
      <c r="N1226" s="103"/>
    </row>
    <row r="1227" spans="1:14" ht="45" customHeight="1" thickBot="1" x14ac:dyDescent="0.4">
      <c r="A1227" s="103"/>
      <c r="B1227" s="103"/>
      <c r="C1227" s="103"/>
      <c r="D1227" s="103"/>
      <c r="E1227" s="103"/>
      <c r="F1227" s="103"/>
      <c r="G1227" s="103"/>
      <c r="H1227" s="103"/>
      <c r="I1227" s="103"/>
      <c r="J1227" s="103"/>
      <c r="K1227" s="103"/>
      <c r="L1227" s="103"/>
      <c r="M1227" s="104"/>
      <c r="N1227" s="103"/>
    </row>
    <row r="1228" spans="1:14" ht="45" customHeight="1" thickBot="1" x14ac:dyDescent="0.4">
      <c r="A1228" s="103"/>
      <c r="B1228" s="103"/>
      <c r="C1228" s="103"/>
      <c r="D1228" s="103"/>
      <c r="E1228" s="103"/>
      <c r="F1228" s="103"/>
      <c r="G1228" s="103"/>
      <c r="H1228" s="103"/>
      <c r="I1228" s="103"/>
      <c r="J1228" s="103"/>
      <c r="K1228" s="103"/>
      <c r="L1228" s="103"/>
      <c r="M1228" s="104"/>
      <c r="N1228" s="103"/>
    </row>
    <row r="1229" spans="1:14" ht="45" customHeight="1" thickBot="1" x14ac:dyDescent="0.4">
      <c r="A1229" s="103"/>
      <c r="B1229" s="103"/>
      <c r="C1229" s="103"/>
      <c r="D1229" s="103"/>
      <c r="E1229" s="103"/>
      <c r="F1229" s="103"/>
      <c r="G1229" s="103"/>
      <c r="H1229" s="103"/>
      <c r="I1229" s="103"/>
      <c r="J1229" s="103"/>
      <c r="K1229" s="103"/>
      <c r="L1229" s="103"/>
      <c r="M1229" s="104"/>
      <c r="N1229" s="103"/>
    </row>
    <row r="1230" spans="1:14" ht="45" customHeight="1" thickBot="1" x14ac:dyDescent="0.4">
      <c r="A1230" s="103"/>
      <c r="B1230" s="103"/>
      <c r="C1230" s="103"/>
      <c r="D1230" s="103"/>
      <c r="E1230" s="103"/>
      <c r="F1230" s="103"/>
      <c r="G1230" s="103"/>
      <c r="H1230" s="103"/>
      <c r="I1230" s="103"/>
      <c r="J1230" s="103"/>
      <c r="K1230" s="103"/>
      <c r="L1230" s="103"/>
      <c r="M1230" s="104"/>
      <c r="N1230" s="103"/>
    </row>
    <row r="1231" spans="1:14" ht="45" customHeight="1" thickBot="1" x14ac:dyDescent="0.4">
      <c r="A1231" s="103"/>
      <c r="B1231" s="103"/>
      <c r="C1231" s="103"/>
      <c r="D1231" s="103"/>
      <c r="E1231" s="103"/>
      <c r="F1231" s="103"/>
      <c r="G1231" s="103"/>
      <c r="H1231" s="103"/>
      <c r="I1231" s="103"/>
      <c r="J1231" s="103"/>
      <c r="K1231" s="103"/>
      <c r="L1231" s="103"/>
      <c r="M1231" s="104"/>
      <c r="N1231" s="103"/>
    </row>
    <row r="1232" spans="1:14" ht="45" customHeight="1" thickBot="1" x14ac:dyDescent="0.4">
      <c r="A1232" s="103"/>
      <c r="B1232" s="103"/>
      <c r="C1232" s="103"/>
      <c r="D1232" s="103"/>
      <c r="E1232" s="103"/>
      <c r="F1232" s="103"/>
      <c r="G1232" s="103"/>
      <c r="H1232" s="103"/>
      <c r="I1232" s="103"/>
      <c r="J1232" s="103"/>
      <c r="K1232" s="103"/>
      <c r="L1232" s="103"/>
      <c r="M1232" s="104"/>
      <c r="N1232" s="103"/>
    </row>
    <row r="1233" spans="1:14" ht="45" customHeight="1" thickBot="1" x14ac:dyDescent="0.4">
      <c r="A1233" s="103"/>
      <c r="B1233" s="103"/>
      <c r="C1233" s="103"/>
      <c r="D1233" s="103"/>
      <c r="E1233" s="103"/>
      <c r="F1233" s="103"/>
      <c r="G1233" s="103"/>
      <c r="H1233" s="103"/>
      <c r="I1233" s="103"/>
      <c r="J1233" s="103"/>
      <c r="K1233" s="103"/>
      <c r="L1233" s="103"/>
      <c r="M1233" s="104"/>
      <c r="N1233" s="103"/>
    </row>
    <row r="1234" spans="1:14" ht="45" customHeight="1" thickBot="1" x14ac:dyDescent="0.4">
      <c r="A1234" s="103"/>
      <c r="B1234" s="103"/>
      <c r="C1234" s="103"/>
      <c r="D1234" s="103"/>
      <c r="E1234" s="103"/>
      <c r="F1234" s="103"/>
      <c r="G1234" s="103"/>
      <c r="H1234" s="103"/>
      <c r="I1234" s="103"/>
      <c r="J1234" s="103"/>
      <c r="K1234" s="103"/>
      <c r="L1234" s="103"/>
      <c r="M1234" s="104"/>
      <c r="N1234" s="103"/>
    </row>
    <row r="1235" spans="1:14" ht="45" customHeight="1" thickBot="1" x14ac:dyDescent="0.4">
      <c r="A1235" s="103"/>
      <c r="B1235" s="103"/>
      <c r="C1235" s="103"/>
      <c r="D1235" s="103"/>
      <c r="E1235" s="103"/>
      <c r="F1235" s="103"/>
      <c r="G1235" s="103"/>
      <c r="H1235" s="103"/>
      <c r="I1235" s="103"/>
      <c r="J1235" s="103"/>
      <c r="K1235" s="103"/>
      <c r="L1235" s="103"/>
      <c r="M1235" s="104"/>
      <c r="N1235" s="103"/>
    </row>
    <row r="1236" spans="1:14" ht="45" customHeight="1" thickBot="1" x14ac:dyDescent="0.4">
      <c r="A1236" s="103"/>
      <c r="B1236" s="103"/>
      <c r="C1236" s="103"/>
      <c r="D1236" s="103"/>
      <c r="E1236" s="103"/>
      <c r="F1236" s="103"/>
      <c r="G1236" s="103"/>
      <c r="H1236" s="103"/>
      <c r="I1236" s="103"/>
      <c r="J1236" s="103"/>
      <c r="K1236" s="103"/>
      <c r="L1236" s="103"/>
      <c r="M1236" s="104"/>
      <c r="N1236" s="103"/>
    </row>
    <row r="1237" spans="1:14" ht="45" customHeight="1" thickBot="1" x14ac:dyDescent="0.4">
      <c r="A1237" s="103"/>
      <c r="B1237" s="103"/>
      <c r="C1237" s="103"/>
      <c r="D1237" s="103"/>
      <c r="E1237" s="103"/>
      <c r="F1237" s="103"/>
      <c r="G1237" s="103"/>
      <c r="H1237" s="103"/>
      <c r="I1237" s="103"/>
      <c r="J1237" s="103"/>
      <c r="K1237" s="103"/>
      <c r="L1237" s="103"/>
      <c r="M1237" s="104"/>
      <c r="N1237" s="103"/>
    </row>
    <row r="1238" spans="1:14" ht="45" customHeight="1" thickBot="1" x14ac:dyDescent="0.4">
      <c r="A1238" s="103"/>
      <c r="B1238" s="103"/>
      <c r="C1238" s="103"/>
      <c r="D1238" s="103"/>
      <c r="E1238" s="103"/>
      <c r="F1238" s="103"/>
      <c r="G1238" s="103"/>
      <c r="H1238" s="103"/>
      <c r="I1238" s="103"/>
      <c r="J1238" s="103"/>
      <c r="K1238" s="103"/>
      <c r="L1238" s="103"/>
      <c r="M1238" s="104"/>
      <c r="N1238" s="103"/>
    </row>
    <row r="1239" spans="1:14" ht="45" customHeight="1" thickBot="1" x14ac:dyDescent="0.4">
      <c r="A1239" s="103"/>
      <c r="B1239" s="103"/>
      <c r="C1239" s="103"/>
      <c r="D1239" s="103"/>
      <c r="E1239" s="103"/>
      <c r="F1239" s="103"/>
      <c r="G1239" s="103"/>
      <c r="H1239" s="103"/>
      <c r="I1239" s="103"/>
      <c r="J1239" s="103"/>
      <c r="K1239" s="103"/>
      <c r="L1239" s="103"/>
      <c r="M1239" s="104"/>
      <c r="N1239" s="103"/>
    </row>
    <row r="1240" spans="1:14" ht="45" customHeight="1" thickBot="1" x14ac:dyDescent="0.4">
      <c r="A1240" s="103"/>
      <c r="B1240" s="103"/>
      <c r="C1240" s="103"/>
      <c r="D1240" s="103"/>
      <c r="E1240" s="103"/>
      <c r="F1240" s="103"/>
      <c r="G1240" s="103"/>
      <c r="H1240" s="103"/>
      <c r="I1240" s="103"/>
      <c r="J1240" s="103"/>
      <c r="K1240" s="103"/>
      <c r="L1240" s="103"/>
      <c r="M1240" s="104"/>
      <c r="N1240" s="103"/>
    </row>
    <row r="1241" spans="1:14" ht="45" customHeight="1" thickBot="1" x14ac:dyDescent="0.4">
      <c r="A1241" s="103"/>
      <c r="B1241" s="103"/>
      <c r="C1241" s="103"/>
      <c r="D1241" s="103"/>
      <c r="E1241" s="103"/>
      <c r="F1241" s="103"/>
      <c r="G1241" s="103"/>
      <c r="H1241" s="103"/>
      <c r="I1241" s="103"/>
      <c r="J1241" s="103"/>
      <c r="K1241" s="103"/>
      <c r="L1241" s="103"/>
      <c r="M1241" s="104"/>
      <c r="N1241" s="103"/>
    </row>
    <row r="1242" spans="1:14" ht="45" customHeight="1" thickBot="1" x14ac:dyDescent="0.4">
      <c r="A1242" s="103"/>
      <c r="B1242" s="103"/>
      <c r="C1242" s="103"/>
      <c r="D1242" s="103"/>
      <c r="E1242" s="103"/>
      <c r="F1242" s="103"/>
      <c r="G1242" s="103"/>
      <c r="H1242" s="103"/>
      <c r="I1242" s="103"/>
      <c r="J1242" s="103"/>
      <c r="K1242" s="103"/>
      <c r="L1242" s="103"/>
      <c r="M1242" s="104"/>
      <c r="N1242" s="103"/>
    </row>
    <row r="1243" spans="1:14" ht="45" customHeight="1" thickBot="1" x14ac:dyDescent="0.4">
      <c r="A1243" s="103"/>
      <c r="B1243" s="103"/>
      <c r="C1243" s="103"/>
      <c r="D1243" s="103"/>
      <c r="E1243" s="103"/>
      <c r="F1243" s="103"/>
      <c r="G1243" s="103"/>
      <c r="H1243" s="103"/>
      <c r="I1243" s="103"/>
      <c r="J1243" s="103"/>
      <c r="K1243" s="103"/>
      <c r="L1243" s="103"/>
      <c r="M1243" s="104"/>
      <c r="N1243" s="103"/>
    </row>
    <row r="1244" spans="1:14" ht="45" customHeight="1" thickBot="1" x14ac:dyDescent="0.4">
      <c r="A1244" s="103"/>
      <c r="B1244" s="103"/>
      <c r="C1244" s="103"/>
      <c r="D1244" s="103"/>
      <c r="E1244" s="103"/>
      <c r="F1244" s="103"/>
      <c r="G1244" s="103"/>
      <c r="H1244" s="103"/>
      <c r="I1244" s="103"/>
      <c r="J1244" s="103"/>
      <c r="K1244" s="103"/>
      <c r="L1244" s="103"/>
      <c r="M1244" s="104"/>
      <c r="N1244" s="103"/>
    </row>
    <row r="1245" spans="1:14" ht="45" customHeight="1" thickBot="1" x14ac:dyDescent="0.4">
      <c r="A1245" s="103"/>
      <c r="B1245" s="103"/>
      <c r="C1245" s="103"/>
      <c r="D1245" s="103"/>
      <c r="E1245" s="103"/>
      <c r="F1245" s="103"/>
      <c r="G1245" s="103"/>
      <c r="H1245" s="103"/>
      <c r="I1245" s="103"/>
      <c r="J1245" s="103"/>
      <c r="K1245" s="103"/>
      <c r="L1245" s="103"/>
      <c r="M1245" s="104"/>
      <c r="N1245" s="103"/>
    </row>
    <row r="1246" spans="1:14" ht="45" customHeight="1" thickBot="1" x14ac:dyDescent="0.4">
      <c r="A1246" s="103"/>
      <c r="B1246" s="103"/>
      <c r="C1246" s="103"/>
      <c r="D1246" s="103"/>
      <c r="E1246" s="103"/>
      <c r="F1246" s="103"/>
      <c r="G1246" s="103"/>
      <c r="H1246" s="103"/>
      <c r="I1246" s="103"/>
      <c r="J1246" s="103"/>
      <c r="K1246" s="103"/>
      <c r="L1246" s="103"/>
      <c r="M1246" s="104"/>
      <c r="N1246" s="103"/>
    </row>
    <row r="1247" spans="1:14" ht="45" customHeight="1" thickBot="1" x14ac:dyDescent="0.4">
      <c r="A1247" s="103"/>
      <c r="B1247" s="103"/>
      <c r="C1247" s="103"/>
      <c r="D1247" s="103"/>
      <c r="E1247" s="103"/>
      <c r="F1247" s="103"/>
      <c r="G1247" s="103"/>
      <c r="H1247" s="103"/>
      <c r="I1247" s="103"/>
      <c r="J1247" s="103"/>
      <c r="K1247" s="103"/>
      <c r="L1247" s="103"/>
      <c r="M1247" s="104"/>
      <c r="N1247" s="103"/>
    </row>
    <row r="1248" spans="1:14" ht="45" customHeight="1" thickBot="1" x14ac:dyDescent="0.4">
      <c r="A1248" s="103"/>
      <c r="B1248" s="103"/>
      <c r="C1248" s="103"/>
      <c r="D1248" s="103"/>
      <c r="E1248" s="103"/>
      <c r="F1248" s="103"/>
      <c r="G1248" s="103"/>
      <c r="H1248" s="103"/>
      <c r="I1248" s="103"/>
      <c r="J1248" s="103"/>
      <c r="K1248" s="103"/>
      <c r="L1248" s="103"/>
      <c r="M1248" s="104"/>
      <c r="N1248" s="103"/>
    </row>
    <row r="1249" spans="1:14" ht="45" customHeight="1" thickBot="1" x14ac:dyDescent="0.4">
      <c r="A1249" s="103"/>
      <c r="B1249" s="103"/>
      <c r="C1249" s="103"/>
      <c r="D1249" s="103"/>
      <c r="E1249" s="103"/>
      <c r="F1249" s="103"/>
      <c r="G1249" s="103"/>
      <c r="H1249" s="103"/>
      <c r="I1249" s="103"/>
      <c r="J1249" s="103"/>
      <c r="K1249" s="103"/>
      <c r="L1249" s="103"/>
      <c r="M1249" s="104"/>
      <c r="N1249" s="103"/>
    </row>
    <row r="1250" spans="1:14" ht="45" customHeight="1" thickBot="1" x14ac:dyDescent="0.4">
      <c r="A1250" s="103"/>
      <c r="B1250" s="103"/>
      <c r="C1250" s="103"/>
      <c r="D1250" s="103"/>
      <c r="E1250" s="103"/>
      <c r="F1250" s="103"/>
      <c r="G1250" s="103"/>
      <c r="H1250" s="103"/>
      <c r="I1250" s="103"/>
      <c r="J1250" s="103"/>
      <c r="K1250" s="103"/>
      <c r="L1250" s="103"/>
      <c r="M1250" s="104"/>
      <c r="N1250" s="103"/>
    </row>
    <row r="1251" spans="1:14" ht="45" customHeight="1" thickBot="1" x14ac:dyDescent="0.4">
      <c r="A1251" s="103"/>
      <c r="B1251" s="103"/>
      <c r="C1251" s="103"/>
      <c r="D1251" s="103"/>
      <c r="E1251" s="103"/>
      <c r="F1251" s="103"/>
      <c r="G1251" s="103"/>
      <c r="H1251" s="103"/>
      <c r="I1251" s="103"/>
      <c r="J1251" s="103"/>
      <c r="K1251" s="103"/>
      <c r="L1251" s="103"/>
      <c r="M1251" s="104"/>
      <c r="N1251" s="103"/>
    </row>
    <row r="1252" spans="1:14" ht="45" customHeight="1" thickBot="1" x14ac:dyDescent="0.4">
      <c r="A1252" s="103"/>
      <c r="B1252" s="103"/>
      <c r="C1252" s="103"/>
      <c r="D1252" s="103"/>
      <c r="E1252" s="103"/>
      <c r="F1252" s="103"/>
      <c r="G1252" s="103"/>
      <c r="H1252" s="103"/>
      <c r="I1252" s="103"/>
      <c r="J1252" s="103"/>
      <c r="K1252" s="103"/>
      <c r="L1252" s="103"/>
      <c r="M1252" s="104"/>
      <c r="N1252" s="103"/>
    </row>
    <row r="1253" spans="1:14" ht="45" customHeight="1" thickBot="1" x14ac:dyDescent="0.4">
      <c r="A1253" s="103"/>
      <c r="B1253" s="103"/>
      <c r="C1253" s="103"/>
      <c r="D1253" s="103"/>
      <c r="E1253" s="103"/>
      <c r="F1253" s="103"/>
      <c r="G1253" s="103"/>
      <c r="H1253" s="103"/>
      <c r="I1253" s="103"/>
      <c r="J1253" s="103"/>
      <c r="K1253" s="103"/>
      <c r="L1253" s="103"/>
      <c r="M1253" s="104"/>
      <c r="N1253" s="103"/>
    </row>
    <row r="1254" spans="1:14" ht="45" customHeight="1" thickBot="1" x14ac:dyDescent="0.4">
      <c r="A1254" s="103"/>
      <c r="B1254" s="103"/>
      <c r="C1254" s="103"/>
      <c r="D1254" s="103"/>
      <c r="E1254" s="103"/>
      <c r="F1254" s="103"/>
      <c r="G1254" s="103"/>
      <c r="H1254" s="103"/>
      <c r="I1254" s="103"/>
      <c r="J1254" s="103"/>
      <c r="K1254" s="103"/>
      <c r="L1254" s="103"/>
      <c r="M1254" s="104"/>
      <c r="N1254" s="103"/>
    </row>
    <row r="1255" spans="1:14" ht="45" customHeight="1" thickBot="1" x14ac:dyDescent="0.4">
      <c r="A1255" s="103"/>
      <c r="B1255" s="103"/>
      <c r="C1255" s="103"/>
      <c r="D1255" s="103"/>
      <c r="E1255" s="103"/>
      <c r="F1255" s="103"/>
      <c r="G1255" s="103"/>
      <c r="H1255" s="103"/>
      <c r="I1255" s="103"/>
      <c r="J1255" s="103"/>
      <c r="K1255" s="103"/>
      <c r="L1255" s="103"/>
      <c r="M1255" s="104"/>
      <c r="N1255" s="103"/>
    </row>
    <row r="1256" spans="1:14" ht="45" customHeight="1" thickBot="1" x14ac:dyDescent="0.4">
      <c r="A1256" s="103"/>
      <c r="B1256" s="103"/>
      <c r="C1256" s="103"/>
      <c r="D1256" s="103"/>
      <c r="E1256" s="103"/>
      <c r="F1256" s="103"/>
      <c r="G1256" s="103"/>
      <c r="H1256" s="103"/>
      <c r="I1256" s="103"/>
      <c r="J1256" s="103"/>
      <c r="K1256" s="103"/>
      <c r="L1256" s="103"/>
      <c r="M1256" s="104"/>
      <c r="N1256" s="103"/>
    </row>
    <row r="1257" spans="1:14" ht="45" customHeight="1" thickBot="1" x14ac:dyDescent="0.4">
      <c r="A1257" s="103"/>
      <c r="B1257" s="103"/>
      <c r="C1257" s="103"/>
      <c r="D1257" s="103"/>
      <c r="E1257" s="103"/>
      <c r="F1257" s="103"/>
      <c r="G1257" s="103"/>
      <c r="H1257" s="103"/>
      <c r="I1257" s="103"/>
      <c r="J1257" s="103"/>
      <c r="K1257" s="103"/>
      <c r="L1257" s="103"/>
      <c r="M1257" s="104"/>
      <c r="N1257" s="103"/>
    </row>
    <row r="1258" spans="1:14" ht="45" customHeight="1" thickBot="1" x14ac:dyDescent="0.4">
      <c r="A1258" s="103"/>
      <c r="B1258" s="103"/>
      <c r="C1258" s="103"/>
      <c r="D1258" s="103"/>
      <c r="E1258" s="103"/>
      <c r="F1258" s="103"/>
      <c r="G1258" s="103"/>
      <c r="H1258" s="103"/>
      <c r="I1258" s="103"/>
      <c r="J1258" s="103"/>
      <c r="K1258" s="103"/>
      <c r="L1258" s="103"/>
      <c r="M1258" s="104"/>
      <c r="N1258" s="103"/>
    </row>
    <row r="1259" spans="1:14" ht="45" customHeight="1" thickBot="1" x14ac:dyDescent="0.4">
      <c r="A1259" s="103"/>
      <c r="B1259" s="103"/>
      <c r="C1259" s="103"/>
      <c r="D1259" s="103"/>
      <c r="E1259" s="103"/>
      <c r="F1259" s="103"/>
      <c r="G1259" s="103"/>
      <c r="H1259" s="103"/>
      <c r="I1259" s="103"/>
      <c r="J1259" s="103"/>
      <c r="K1259" s="103"/>
      <c r="L1259" s="103"/>
      <c r="M1259" s="104"/>
      <c r="N1259" s="103"/>
    </row>
    <row r="1260" spans="1:14" ht="45" customHeight="1" thickBot="1" x14ac:dyDescent="0.4">
      <c r="A1260" s="103"/>
      <c r="B1260" s="103"/>
      <c r="C1260" s="103"/>
      <c r="D1260" s="103"/>
      <c r="E1260" s="103"/>
      <c r="F1260" s="103"/>
      <c r="G1260" s="103"/>
      <c r="H1260" s="103"/>
      <c r="I1260" s="103"/>
      <c r="J1260" s="103"/>
      <c r="K1260" s="103"/>
      <c r="L1260" s="103"/>
      <c r="M1260" s="104"/>
      <c r="N1260" s="103"/>
    </row>
    <row r="1261" spans="1:14" ht="45" customHeight="1" thickBot="1" x14ac:dyDescent="0.4">
      <c r="A1261" s="103"/>
      <c r="B1261" s="103"/>
      <c r="C1261" s="103"/>
      <c r="D1261" s="103"/>
      <c r="E1261" s="103"/>
      <c r="F1261" s="103"/>
      <c r="G1261" s="103"/>
      <c r="H1261" s="103"/>
      <c r="I1261" s="103"/>
      <c r="J1261" s="103"/>
      <c r="K1261" s="103"/>
      <c r="L1261" s="103"/>
      <c r="M1261" s="104"/>
      <c r="N1261" s="103"/>
    </row>
    <row r="1262" spans="1:14" ht="45" customHeight="1" thickBot="1" x14ac:dyDescent="0.4">
      <c r="A1262" s="103"/>
      <c r="B1262" s="103"/>
      <c r="C1262" s="103"/>
      <c r="D1262" s="103"/>
      <c r="E1262" s="103"/>
      <c r="F1262" s="103"/>
      <c r="G1262" s="103"/>
      <c r="H1262" s="103"/>
      <c r="I1262" s="103"/>
      <c r="J1262" s="103"/>
      <c r="K1262" s="103"/>
      <c r="L1262" s="103"/>
      <c r="M1262" s="104"/>
      <c r="N1262" s="103"/>
    </row>
    <row r="1263" spans="1:14" ht="45" customHeight="1" thickBot="1" x14ac:dyDescent="0.4">
      <c r="A1263" s="103"/>
      <c r="B1263" s="103"/>
      <c r="C1263" s="103"/>
      <c r="D1263" s="103"/>
      <c r="E1263" s="103"/>
      <c r="F1263" s="103"/>
      <c r="G1263" s="103"/>
      <c r="H1263" s="103"/>
      <c r="I1263" s="103"/>
      <c r="J1263" s="103"/>
      <c r="K1263" s="103"/>
      <c r="L1263" s="103"/>
      <c r="M1263" s="104"/>
      <c r="N1263" s="103"/>
    </row>
    <row r="1264" spans="1:14" ht="45" customHeight="1" thickBot="1" x14ac:dyDescent="0.4">
      <c r="A1264" s="103"/>
      <c r="B1264" s="103"/>
      <c r="C1264" s="103"/>
      <c r="D1264" s="103"/>
      <c r="E1264" s="103"/>
      <c r="F1264" s="103"/>
      <c r="G1264" s="103"/>
      <c r="H1264" s="103"/>
      <c r="I1264" s="103"/>
      <c r="J1264" s="103"/>
      <c r="K1264" s="103"/>
      <c r="L1264" s="103"/>
      <c r="M1264" s="104"/>
      <c r="N1264" s="103"/>
    </row>
    <row r="1265" spans="1:14" ht="45" customHeight="1" thickBot="1" x14ac:dyDescent="0.4">
      <c r="A1265" s="103"/>
      <c r="B1265" s="103"/>
      <c r="C1265" s="103"/>
      <c r="D1265" s="103"/>
      <c r="E1265" s="103"/>
      <c r="F1265" s="103"/>
      <c r="G1265" s="103"/>
      <c r="H1265" s="103"/>
      <c r="I1265" s="103"/>
      <c r="J1265" s="103"/>
      <c r="K1265" s="103"/>
      <c r="L1265" s="103"/>
      <c r="M1265" s="104"/>
      <c r="N1265" s="103"/>
    </row>
    <row r="1266" spans="1:14" ht="45" customHeight="1" thickBot="1" x14ac:dyDescent="0.4">
      <c r="A1266" s="103"/>
      <c r="B1266" s="103"/>
      <c r="C1266" s="103"/>
      <c r="D1266" s="103"/>
      <c r="E1266" s="103"/>
      <c r="F1266" s="103"/>
      <c r="G1266" s="103"/>
      <c r="H1266" s="103"/>
      <c r="I1266" s="103"/>
      <c r="J1266" s="103"/>
      <c r="K1266" s="103"/>
      <c r="L1266" s="103"/>
      <c r="M1266" s="104"/>
      <c r="N1266" s="103"/>
    </row>
    <row r="1267" spans="1:14" ht="45" customHeight="1" thickBot="1" x14ac:dyDescent="0.4">
      <c r="A1267" s="103"/>
      <c r="B1267" s="103"/>
      <c r="C1267" s="103"/>
      <c r="D1267" s="103"/>
      <c r="E1267" s="103"/>
      <c r="F1267" s="103"/>
      <c r="G1267" s="103"/>
      <c r="H1267" s="103"/>
      <c r="I1267" s="103"/>
      <c r="J1267" s="103"/>
      <c r="K1267" s="103"/>
      <c r="L1267" s="103"/>
      <c r="M1267" s="104"/>
      <c r="N1267" s="103"/>
    </row>
    <row r="1268" spans="1:14" ht="45" customHeight="1" thickBot="1" x14ac:dyDescent="0.4">
      <c r="A1268" s="103"/>
      <c r="B1268" s="103"/>
      <c r="C1268" s="103"/>
      <c r="D1268" s="103"/>
      <c r="E1268" s="103"/>
      <c r="F1268" s="103"/>
      <c r="G1268" s="103"/>
      <c r="H1268" s="103"/>
      <c r="I1268" s="103"/>
      <c r="J1268" s="103"/>
      <c r="K1268" s="103"/>
      <c r="L1268" s="103"/>
      <c r="M1268" s="104"/>
      <c r="N1268" s="103"/>
    </row>
    <row r="1269" spans="1:14" ht="45" customHeight="1" thickBot="1" x14ac:dyDescent="0.4">
      <c r="A1269" s="103"/>
      <c r="B1269" s="103"/>
      <c r="C1269" s="103"/>
      <c r="D1269" s="103"/>
      <c r="E1269" s="103"/>
      <c r="F1269" s="103"/>
      <c r="G1269" s="103"/>
      <c r="H1269" s="103"/>
      <c r="I1269" s="103"/>
      <c r="J1269" s="103"/>
      <c r="K1269" s="103"/>
      <c r="L1269" s="103"/>
      <c r="M1269" s="104"/>
      <c r="N1269" s="103"/>
    </row>
    <row r="1270" spans="1:14" ht="45" customHeight="1" thickBot="1" x14ac:dyDescent="0.4">
      <c r="A1270" s="103"/>
      <c r="B1270" s="103"/>
      <c r="C1270" s="103"/>
      <c r="D1270" s="103"/>
      <c r="E1270" s="103"/>
      <c r="F1270" s="103"/>
      <c r="G1270" s="103"/>
      <c r="H1270" s="103"/>
      <c r="I1270" s="103"/>
      <c r="J1270" s="103"/>
      <c r="K1270" s="103"/>
      <c r="L1270" s="103"/>
      <c r="M1270" s="104"/>
      <c r="N1270" s="103"/>
    </row>
    <row r="1271" spans="1:14" ht="45" customHeight="1" thickBot="1" x14ac:dyDescent="0.4">
      <c r="A1271" s="103"/>
      <c r="B1271" s="103"/>
      <c r="C1271" s="103"/>
      <c r="D1271" s="103"/>
      <c r="E1271" s="103"/>
      <c r="F1271" s="103"/>
      <c r="G1271" s="103"/>
      <c r="H1271" s="103"/>
      <c r="I1271" s="103"/>
      <c r="J1271" s="103"/>
      <c r="K1271" s="103"/>
      <c r="L1271" s="103"/>
      <c r="M1271" s="104"/>
      <c r="N1271" s="103"/>
    </row>
    <row r="1272" spans="1:14" ht="45" customHeight="1" thickBot="1" x14ac:dyDescent="0.4">
      <c r="A1272" s="103"/>
      <c r="B1272" s="103"/>
      <c r="C1272" s="103"/>
      <c r="D1272" s="103"/>
      <c r="E1272" s="103"/>
      <c r="F1272" s="103"/>
      <c r="G1272" s="103"/>
      <c r="H1272" s="103"/>
      <c r="I1272" s="103"/>
      <c r="J1272" s="103"/>
      <c r="K1272" s="103"/>
      <c r="L1272" s="103"/>
      <c r="M1272" s="104"/>
      <c r="N1272" s="103"/>
    </row>
    <row r="1273" spans="1:14" ht="45" customHeight="1" thickBot="1" x14ac:dyDescent="0.4">
      <c r="A1273" s="103"/>
      <c r="B1273" s="103"/>
      <c r="C1273" s="103"/>
      <c r="D1273" s="103"/>
      <c r="E1273" s="103"/>
      <c r="F1273" s="103"/>
      <c r="G1273" s="103"/>
      <c r="H1273" s="103"/>
      <c r="I1273" s="103"/>
      <c r="J1273" s="103"/>
      <c r="K1273" s="103"/>
      <c r="L1273" s="103"/>
      <c r="M1273" s="104"/>
      <c r="N1273" s="103"/>
    </row>
    <row r="1274" spans="1:14" ht="45" customHeight="1" thickBot="1" x14ac:dyDescent="0.4">
      <c r="A1274" s="103"/>
      <c r="B1274" s="103"/>
      <c r="C1274" s="103"/>
      <c r="D1274" s="103"/>
      <c r="E1274" s="103"/>
      <c r="F1274" s="103"/>
      <c r="G1274" s="103"/>
      <c r="H1274" s="103"/>
      <c r="I1274" s="103"/>
      <c r="J1274" s="103"/>
      <c r="K1274" s="103"/>
      <c r="L1274" s="103"/>
      <c r="M1274" s="104"/>
      <c r="N1274" s="103"/>
    </row>
    <row r="1275" spans="1:14" ht="45" customHeight="1" thickBot="1" x14ac:dyDescent="0.4">
      <c r="A1275" s="103"/>
      <c r="B1275" s="103"/>
      <c r="C1275" s="103"/>
      <c r="D1275" s="103"/>
      <c r="E1275" s="103"/>
      <c r="F1275" s="103"/>
      <c r="G1275" s="103"/>
      <c r="H1275" s="103"/>
      <c r="I1275" s="103"/>
      <c r="J1275" s="103"/>
      <c r="K1275" s="103"/>
      <c r="L1275" s="103"/>
      <c r="M1275" s="104"/>
      <c r="N1275" s="103"/>
    </row>
    <row r="1276" spans="1:14" ht="45" customHeight="1" thickBot="1" x14ac:dyDescent="0.4">
      <c r="A1276" s="103"/>
      <c r="B1276" s="103"/>
      <c r="C1276" s="103"/>
      <c r="D1276" s="103"/>
      <c r="E1276" s="103"/>
      <c r="F1276" s="103"/>
      <c r="G1276" s="103"/>
      <c r="H1276" s="103"/>
      <c r="I1276" s="103"/>
      <c r="J1276" s="103"/>
      <c r="K1276" s="103"/>
      <c r="L1276" s="103"/>
      <c r="M1276" s="104"/>
      <c r="N1276" s="103"/>
    </row>
    <row r="1277" spans="1:14" ht="45" customHeight="1" thickBot="1" x14ac:dyDescent="0.4">
      <c r="A1277" s="103"/>
      <c r="B1277" s="103"/>
      <c r="C1277" s="103"/>
      <c r="D1277" s="103"/>
      <c r="E1277" s="103"/>
      <c r="F1277" s="103"/>
      <c r="G1277" s="103"/>
      <c r="H1277" s="103"/>
      <c r="I1277" s="103"/>
      <c r="J1277" s="103"/>
      <c r="K1277" s="103"/>
      <c r="L1277" s="103"/>
      <c r="M1277" s="104"/>
      <c r="N1277" s="103"/>
    </row>
    <row r="1278" spans="1:14" ht="45" customHeight="1" thickBot="1" x14ac:dyDescent="0.4">
      <c r="A1278" s="103"/>
      <c r="B1278" s="103"/>
      <c r="C1278" s="103"/>
      <c r="D1278" s="103"/>
      <c r="E1278" s="103"/>
      <c r="F1278" s="103"/>
      <c r="G1278" s="103"/>
      <c r="H1278" s="103"/>
      <c r="I1278" s="103"/>
      <c r="J1278" s="103"/>
      <c r="K1278" s="103"/>
      <c r="L1278" s="103"/>
      <c r="M1278" s="104"/>
      <c r="N1278" s="103"/>
    </row>
    <row r="1279" spans="1:14" ht="45" customHeight="1" thickBot="1" x14ac:dyDescent="0.4">
      <c r="A1279" s="103"/>
      <c r="B1279" s="103"/>
      <c r="C1279" s="103"/>
      <c r="D1279" s="103"/>
      <c r="E1279" s="103"/>
      <c r="F1279" s="103"/>
      <c r="G1279" s="103"/>
      <c r="H1279" s="103"/>
      <c r="I1279" s="103"/>
      <c r="J1279" s="103"/>
      <c r="K1279" s="103"/>
      <c r="L1279" s="103"/>
      <c r="M1279" s="104"/>
      <c r="N1279" s="103"/>
    </row>
    <row r="1280" spans="1:14" ht="45" customHeight="1" thickBot="1" x14ac:dyDescent="0.4">
      <c r="A1280" s="103"/>
      <c r="B1280" s="103"/>
      <c r="C1280" s="103"/>
      <c r="D1280" s="103"/>
      <c r="E1280" s="103"/>
      <c r="F1280" s="103"/>
      <c r="G1280" s="103"/>
      <c r="H1280" s="103"/>
      <c r="I1280" s="103"/>
      <c r="J1280" s="103"/>
      <c r="K1280" s="103"/>
      <c r="L1280" s="103"/>
      <c r="M1280" s="104"/>
      <c r="N1280" s="103"/>
    </row>
    <row r="1281" spans="1:14" ht="45" customHeight="1" thickBot="1" x14ac:dyDescent="0.4">
      <c r="A1281" s="103"/>
      <c r="B1281" s="103"/>
      <c r="C1281" s="103"/>
      <c r="D1281" s="103"/>
      <c r="E1281" s="103"/>
      <c r="F1281" s="103"/>
      <c r="G1281" s="103"/>
      <c r="H1281" s="103"/>
      <c r="I1281" s="103"/>
      <c r="J1281" s="103"/>
      <c r="K1281" s="103"/>
      <c r="L1281" s="103"/>
      <c r="M1281" s="104"/>
      <c r="N1281" s="103"/>
    </row>
    <row r="1282" spans="1:14" ht="45" customHeight="1" thickBot="1" x14ac:dyDescent="0.4">
      <c r="A1282" s="103"/>
      <c r="B1282" s="103"/>
      <c r="C1282" s="103"/>
      <c r="D1282" s="103"/>
      <c r="E1282" s="103"/>
      <c r="F1282" s="103"/>
      <c r="G1282" s="103"/>
      <c r="H1282" s="103"/>
      <c r="I1282" s="103"/>
      <c r="J1282" s="103"/>
      <c r="K1282" s="103"/>
      <c r="L1282" s="103"/>
      <c r="M1282" s="104"/>
      <c r="N1282" s="103"/>
    </row>
    <row r="1283" spans="1:14" ht="45" customHeight="1" thickBot="1" x14ac:dyDescent="0.4">
      <c r="A1283" s="103"/>
      <c r="B1283" s="103"/>
      <c r="C1283" s="103"/>
      <c r="D1283" s="103"/>
      <c r="E1283" s="103"/>
      <c r="F1283" s="103"/>
      <c r="G1283" s="103"/>
      <c r="H1283" s="103"/>
      <c r="I1283" s="103"/>
      <c r="J1283" s="103"/>
      <c r="K1283" s="103"/>
      <c r="L1283" s="103"/>
      <c r="M1283" s="104"/>
      <c r="N1283" s="103"/>
    </row>
    <row r="1284" spans="1:14" ht="45" customHeight="1" thickBot="1" x14ac:dyDescent="0.4">
      <c r="A1284" s="103"/>
      <c r="B1284" s="103"/>
      <c r="C1284" s="103"/>
      <c r="D1284" s="103"/>
      <c r="E1284" s="103"/>
      <c r="F1284" s="103"/>
      <c r="G1284" s="103"/>
      <c r="H1284" s="103"/>
      <c r="I1284" s="103"/>
      <c r="J1284" s="103"/>
      <c r="K1284" s="103"/>
      <c r="L1284" s="103"/>
      <c r="M1284" s="104"/>
      <c r="N1284" s="103"/>
    </row>
    <row r="1285" spans="1:14" ht="45" customHeight="1" thickBot="1" x14ac:dyDescent="0.4">
      <c r="A1285" s="103"/>
      <c r="B1285" s="103"/>
      <c r="C1285" s="103"/>
      <c r="D1285" s="103"/>
      <c r="E1285" s="103"/>
      <c r="F1285" s="103"/>
      <c r="G1285" s="103"/>
      <c r="H1285" s="103"/>
      <c r="I1285" s="103"/>
      <c r="J1285" s="103"/>
      <c r="K1285" s="103"/>
      <c r="L1285" s="103"/>
      <c r="M1285" s="104"/>
      <c r="N1285" s="103"/>
    </row>
    <row r="1286" spans="1:14" ht="45" customHeight="1" thickBot="1" x14ac:dyDescent="0.4">
      <c r="A1286" s="103"/>
      <c r="B1286" s="103"/>
      <c r="C1286" s="103"/>
      <c r="D1286" s="103"/>
      <c r="E1286" s="103"/>
      <c r="F1286" s="103"/>
      <c r="G1286" s="103"/>
      <c r="H1286" s="103"/>
      <c r="I1286" s="103"/>
      <c r="J1286" s="103"/>
      <c r="K1286" s="103"/>
      <c r="L1286" s="103"/>
      <c r="M1286" s="104"/>
      <c r="N1286" s="103"/>
    </row>
    <row r="1287" spans="1:14" ht="45" customHeight="1" thickBot="1" x14ac:dyDescent="0.4">
      <c r="A1287" s="103"/>
      <c r="B1287" s="103"/>
      <c r="C1287" s="103"/>
      <c r="D1287" s="103"/>
      <c r="E1287" s="103"/>
      <c r="F1287" s="103"/>
      <c r="G1287" s="103"/>
      <c r="H1287" s="103"/>
      <c r="I1287" s="103"/>
      <c r="J1287" s="103"/>
      <c r="K1287" s="103"/>
      <c r="L1287" s="103"/>
      <c r="M1287" s="104"/>
      <c r="N1287" s="103"/>
    </row>
    <row r="1288" spans="1:14" ht="45" customHeight="1" thickBot="1" x14ac:dyDescent="0.4">
      <c r="A1288" s="103"/>
      <c r="B1288" s="103"/>
      <c r="C1288" s="103"/>
      <c r="D1288" s="103"/>
      <c r="E1288" s="103"/>
      <c r="F1288" s="103"/>
      <c r="G1288" s="103"/>
      <c r="H1288" s="103"/>
      <c r="I1288" s="103"/>
      <c r="J1288" s="103"/>
      <c r="K1288" s="103"/>
      <c r="L1288" s="103"/>
      <c r="M1288" s="104"/>
      <c r="N1288" s="103"/>
    </row>
    <row r="1289" spans="1:14" ht="45" customHeight="1" thickBot="1" x14ac:dyDescent="0.4">
      <c r="A1289" s="103"/>
      <c r="B1289" s="103"/>
      <c r="C1289" s="103"/>
      <c r="D1289" s="103"/>
      <c r="E1289" s="103"/>
      <c r="F1289" s="103"/>
      <c r="G1289" s="103"/>
      <c r="H1289" s="103"/>
      <c r="I1289" s="103"/>
      <c r="J1289" s="103"/>
      <c r="K1289" s="103"/>
      <c r="L1289" s="103"/>
      <c r="M1289" s="104"/>
      <c r="N1289" s="103"/>
    </row>
    <row r="1290" spans="1:14" ht="45" customHeight="1" thickBot="1" x14ac:dyDescent="0.4">
      <c r="A1290" s="103"/>
      <c r="B1290" s="103"/>
      <c r="C1290" s="103"/>
      <c r="D1290" s="103"/>
      <c r="E1290" s="103"/>
      <c r="F1290" s="103"/>
      <c r="G1290" s="103"/>
      <c r="H1290" s="103"/>
      <c r="I1290" s="103"/>
      <c r="J1290" s="103"/>
      <c r="K1290" s="103"/>
      <c r="L1290" s="103"/>
      <c r="M1290" s="104"/>
      <c r="N1290" s="103"/>
    </row>
    <row r="1291" spans="1:14" ht="45" customHeight="1" thickBot="1" x14ac:dyDescent="0.4">
      <c r="A1291" s="103"/>
      <c r="B1291" s="103"/>
      <c r="C1291" s="103"/>
      <c r="D1291" s="103"/>
      <c r="E1291" s="103"/>
      <c r="F1291" s="103"/>
      <c r="G1291" s="103"/>
      <c r="H1291" s="103"/>
      <c r="I1291" s="103"/>
      <c r="J1291" s="103"/>
      <c r="K1291" s="103"/>
      <c r="L1291" s="103"/>
      <c r="M1291" s="104"/>
      <c r="N1291" s="103"/>
    </row>
    <row r="1292" spans="1:14" ht="45" customHeight="1" thickBot="1" x14ac:dyDescent="0.4">
      <c r="A1292" s="103"/>
      <c r="B1292" s="103"/>
      <c r="C1292" s="103"/>
      <c r="D1292" s="103"/>
      <c r="E1292" s="103"/>
      <c r="F1292" s="103"/>
      <c r="G1292" s="103"/>
      <c r="H1292" s="103"/>
      <c r="I1292" s="103"/>
      <c r="J1292" s="103"/>
      <c r="K1292" s="103"/>
      <c r="L1292" s="103"/>
      <c r="M1292" s="104"/>
      <c r="N1292" s="103"/>
    </row>
    <row r="1293" spans="1:14" ht="45" customHeight="1" thickBot="1" x14ac:dyDescent="0.4">
      <c r="A1293" s="103"/>
      <c r="B1293" s="103"/>
      <c r="C1293" s="103"/>
      <c r="D1293" s="103"/>
      <c r="E1293" s="103"/>
      <c r="F1293" s="103"/>
      <c r="G1293" s="103"/>
      <c r="H1293" s="103"/>
      <c r="I1293" s="103"/>
      <c r="J1293" s="103"/>
      <c r="K1293" s="103"/>
      <c r="L1293" s="103"/>
      <c r="M1293" s="104"/>
      <c r="N1293" s="103"/>
    </row>
    <row r="1294" spans="1:14" ht="45" customHeight="1" thickBot="1" x14ac:dyDescent="0.4">
      <c r="A1294" s="103"/>
      <c r="B1294" s="103"/>
      <c r="C1294" s="103"/>
      <c r="D1294" s="103"/>
      <c r="E1294" s="103"/>
      <c r="F1294" s="103"/>
      <c r="G1294" s="103"/>
      <c r="H1294" s="103"/>
      <c r="I1294" s="103"/>
      <c r="J1294" s="103"/>
      <c r="K1294" s="103"/>
      <c r="L1294" s="103"/>
      <c r="M1294" s="104"/>
      <c r="N1294" s="103"/>
    </row>
    <row r="1295" spans="1:14" ht="45" customHeight="1" thickBot="1" x14ac:dyDescent="0.4">
      <c r="A1295" s="103"/>
      <c r="B1295" s="103"/>
      <c r="C1295" s="103"/>
      <c r="D1295" s="103"/>
      <c r="E1295" s="103"/>
      <c r="F1295" s="103"/>
      <c r="G1295" s="103"/>
      <c r="H1295" s="103"/>
      <c r="I1295" s="103"/>
      <c r="J1295" s="103"/>
      <c r="K1295" s="103"/>
      <c r="L1295" s="103"/>
      <c r="M1295" s="104"/>
      <c r="N1295" s="103"/>
    </row>
    <row r="1296" spans="1:14" ht="45" customHeight="1" thickBot="1" x14ac:dyDescent="0.4">
      <c r="A1296" s="103"/>
      <c r="B1296" s="103"/>
      <c r="C1296" s="103"/>
      <c r="D1296" s="103"/>
      <c r="E1296" s="103"/>
      <c r="F1296" s="103"/>
      <c r="G1296" s="103"/>
      <c r="H1296" s="103"/>
      <c r="I1296" s="103"/>
      <c r="J1296" s="103"/>
      <c r="K1296" s="103"/>
      <c r="L1296" s="103"/>
      <c r="M1296" s="104"/>
      <c r="N1296" s="103"/>
    </row>
    <row r="1297" spans="1:14" ht="45" customHeight="1" thickBot="1" x14ac:dyDescent="0.4">
      <c r="A1297" s="103"/>
      <c r="B1297" s="103"/>
      <c r="C1297" s="103"/>
      <c r="D1297" s="103"/>
      <c r="E1297" s="103"/>
      <c r="F1297" s="103"/>
      <c r="G1297" s="103"/>
      <c r="H1297" s="103"/>
      <c r="I1297" s="103"/>
      <c r="J1297" s="103"/>
      <c r="K1297" s="103"/>
      <c r="L1297" s="103"/>
      <c r="M1297" s="104"/>
      <c r="N1297" s="103"/>
    </row>
    <row r="1298" spans="1:14" ht="45" customHeight="1" thickBot="1" x14ac:dyDescent="0.4">
      <c r="A1298" s="103"/>
      <c r="B1298" s="103"/>
      <c r="C1298" s="103"/>
      <c r="D1298" s="103"/>
      <c r="E1298" s="103"/>
      <c r="F1298" s="103"/>
      <c r="G1298" s="103"/>
      <c r="H1298" s="103"/>
      <c r="I1298" s="103"/>
      <c r="J1298" s="103"/>
      <c r="K1298" s="103"/>
      <c r="L1298" s="103"/>
      <c r="M1298" s="104"/>
      <c r="N1298" s="103"/>
    </row>
    <row r="1299" spans="1:14" ht="45" customHeight="1" thickBot="1" x14ac:dyDescent="0.4">
      <c r="A1299" s="103"/>
      <c r="B1299" s="103"/>
      <c r="C1299" s="103"/>
      <c r="D1299" s="103"/>
      <c r="E1299" s="103"/>
      <c r="F1299" s="103"/>
      <c r="G1299" s="103"/>
      <c r="H1299" s="103"/>
      <c r="I1299" s="103"/>
      <c r="J1299" s="103"/>
      <c r="K1299" s="103"/>
      <c r="L1299" s="103"/>
      <c r="M1299" s="104"/>
      <c r="N1299" s="103"/>
    </row>
    <row r="1300" spans="1:14" ht="45" customHeight="1" thickBot="1" x14ac:dyDescent="0.4">
      <c r="A1300" s="103"/>
      <c r="B1300" s="103"/>
      <c r="C1300" s="103"/>
      <c r="D1300" s="103"/>
      <c r="E1300" s="103"/>
      <c r="F1300" s="103"/>
      <c r="G1300" s="103"/>
      <c r="H1300" s="103"/>
      <c r="I1300" s="103"/>
      <c r="J1300" s="103"/>
      <c r="K1300" s="103"/>
      <c r="L1300" s="103"/>
      <c r="M1300" s="104"/>
      <c r="N1300" s="103"/>
    </row>
    <row r="1301" spans="1:14" ht="45" customHeight="1" thickBot="1" x14ac:dyDescent="0.4">
      <c r="A1301" s="103"/>
      <c r="B1301" s="103"/>
      <c r="C1301" s="103"/>
      <c r="D1301" s="103"/>
      <c r="E1301" s="103"/>
      <c r="F1301" s="103"/>
      <c r="G1301" s="103"/>
      <c r="H1301" s="103"/>
      <c r="I1301" s="103"/>
      <c r="J1301" s="103"/>
      <c r="K1301" s="103"/>
      <c r="L1301" s="103"/>
      <c r="M1301" s="104"/>
      <c r="N1301" s="103"/>
    </row>
    <row r="1302" spans="1:14" ht="45" customHeight="1" thickBot="1" x14ac:dyDescent="0.4">
      <c r="A1302" s="103"/>
      <c r="B1302" s="103"/>
      <c r="C1302" s="103"/>
      <c r="D1302" s="103"/>
      <c r="E1302" s="103"/>
      <c r="F1302" s="103"/>
      <c r="G1302" s="103"/>
      <c r="H1302" s="103"/>
      <c r="I1302" s="103"/>
      <c r="J1302" s="103"/>
      <c r="K1302" s="103"/>
      <c r="L1302" s="103"/>
      <c r="M1302" s="104"/>
      <c r="N1302" s="103"/>
    </row>
    <row r="1303" spans="1:14" ht="45" customHeight="1" thickBot="1" x14ac:dyDescent="0.4">
      <c r="A1303" s="103"/>
      <c r="B1303" s="103"/>
      <c r="C1303" s="103"/>
      <c r="D1303" s="103"/>
      <c r="E1303" s="103"/>
      <c r="F1303" s="103"/>
      <c r="G1303" s="103"/>
      <c r="H1303" s="103"/>
      <c r="I1303" s="103"/>
      <c r="J1303" s="103"/>
      <c r="K1303" s="103"/>
      <c r="L1303" s="103"/>
      <c r="M1303" s="104"/>
      <c r="N1303" s="103"/>
    </row>
    <row r="1304" spans="1:14" ht="45" customHeight="1" thickBot="1" x14ac:dyDescent="0.4">
      <c r="A1304" s="103"/>
      <c r="B1304" s="103"/>
      <c r="C1304" s="103"/>
      <c r="D1304" s="103"/>
      <c r="E1304" s="103"/>
      <c r="F1304" s="103"/>
      <c r="G1304" s="103"/>
      <c r="H1304" s="103"/>
      <c r="I1304" s="103"/>
      <c r="J1304" s="103"/>
      <c r="K1304" s="103"/>
      <c r="L1304" s="103"/>
      <c r="M1304" s="104"/>
      <c r="N1304" s="103"/>
    </row>
    <row r="1305" spans="1:14" ht="45" customHeight="1" thickBot="1" x14ac:dyDescent="0.4">
      <c r="A1305" s="103"/>
      <c r="B1305" s="103"/>
      <c r="C1305" s="103"/>
      <c r="D1305" s="103"/>
      <c r="E1305" s="103"/>
      <c r="F1305" s="103"/>
      <c r="G1305" s="103"/>
      <c r="H1305" s="103"/>
      <c r="I1305" s="103"/>
      <c r="J1305" s="103"/>
      <c r="K1305" s="103"/>
      <c r="L1305" s="103"/>
      <c r="M1305" s="104"/>
      <c r="N1305" s="103"/>
    </row>
    <row r="1306" spans="1:14" ht="45" customHeight="1" thickBot="1" x14ac:dyDescent="0.4">
      <c r="A1306" s="103"/>
      <c r="B1306" s="103"/>
      <c r="C1306" s="103"/>
      <c r="D1306" s="103"/>
      <c r="E1306" s="103"/>
      <c r="F1306" s="103"/>
      <c r="G1306" s="103"/>
      <c r="H1306" s="103"/>
      <c r="I1306" s="103"/>
      <c r="J1306" s="103"/>
      <c r="K1306" s="103"/>
      <c r="L1306" s="103"/>
      <c r="M1306" s="104"/>
      <c r="N1306" s="103"/>
    </row>
    <row r="1307" spans="1:14" ht="45" customHeight="1" thickBot="1" x14ac:dyDescent="0.4">
      <c r="A1307" s="103"/>
      <c r="B1307" s="103"/>
      <c r="C1307" s="103"/>
      <c r="D1307" s="103"/>
      <c r="E1307" s="103"/>
      <c r="F1307" s="103"/>
      <c r="G1307" s="103"/>
      <c r="H1307" s="103"/>
      <c r="I1307" s="103"/>
      <c r="J1307" s="103"/>
      <c r="K1307" s="103"/>
      <c r="L1307" s="103"/>
      <c r="M1307" s="104"/>
      <c r="N1307" s="103"/>
    </row>
    <row r="1308" spans="1:14" ht="45" customHeight="1" thickBot="1" x14ac:dyDescent="0.4">
      <c r="A1308" s="103"/>
      <c r="B1308" s="103"/>
      <c r="C1308" s="103"/>
      <c r="D1308" s="103"/>
      <c r="E1308" s="103"/>
      <c r="F1308" s="103"/>
      <c r="G1308" s="103"/>
      <c r="H1308" s="103"/>
      <c r="I1308" s="103"/>
      <c r="J1308" s="103"/>
      <c r="K1308" s="103"/>
      <c r="L1308" s="103"/>
      <c r="M1308" s="104"/>
      <c r="N1308" s="103"/>
    </row>
    <row r="1309" spans="1:14" ht="45" customHeight="1" thickBot="1" x14ac:dyDescent="0.4">
      <c r="A1309" s="103"/>
      <c r="B1309" s="103"/>
      <c r="C1309" s="103"/>
      <c r="D1309" s="103"/>
      <c r="E1309" s="103"/>
      <c r="F1309" s="103"/>
      <c r="G1309" s="103"/>
      <c r="H1309" s="103"/>
      <c r="I1309" s="103"/>
      <c r="J1309" s="103"/>
      <c r="K1309" s="103"/>
      <c r="L1309" s="103"/>
      <c r="M1309" s="104"/>
      <c r="N1309" s="103"/>
    </row>
    <row r="1310" spans="1:14" ht="45" customHeight="1" thickBot="1" x14ac:dyDescent="0.4">
      <c r="A1310" s="103"/>
      <c r="B1310" s="103"/>
      <c r="C1310" s="103"/>
      <c r="D1310" s="103"/>
      <c r="E1310" s="103"/>
      <c r="F1310" s="103"/>
      <c r="G1310" s="103"/>
      <c r="H1310" s="103"/>
      <c r="I1310" s="103"/>
      <c r="J1310" s="103"/>
      <c r="K1310" s="103"/>
      <c r="L1310" s="103"/>
      <c r="M1310" s="104"/>
      <c r="N1310" s="103"/>
    </row>
    <row r="1311" spans="1:14" ht="45" customHeight="1" thickBot="1" x14ac:dyDescent="0.4">
      <c r="A1311" s="103"/>
      <c r="B1311" s="103"/>
      <c r="C1311" s="103"/>
      <c r="D1311" s="103"/>
      <c r="E1311" s="103"/>
      <c r="F1311" s="103"/>
      <c r="G1311" s="103"/>
      <c r="H1311" s="103"/>
      <c r="I1311" s="103"/>
      <c r="J1311" s="103"/>
      <c r="K1311" s="103"/>
      <c r="L1311" s="103"/>
      <c r="M1311" s="104"/>
      <c r="N1311" s="103"/>
    </row>
    <row r="1312" spans="1:14" ht="45" customHeight="1" thickBot="1" x14ac:dyDescent="0.4">
      <c r="A1312" s="103"/>
      <c r="B1312" s="103"/>
      <c r="C1312" s="103"/>
      <c r="D1312" s="103"/>
      <c r="E1312" s="103"/>
      <c r="F1312" s="103"/>
      <c r="G1312" s="103"/>
      <c r="H1312" s="103"/>
      <c r="I1312" s="103"/>
      <c r="J1312" s="103"/>
      <c r="K1312" s="103"/>
      <c r="L1312" s="103"/>
      <c r="M1312" s="104"/>
      <c r="N1312" s="103"/>
    </row>
    <row r="1313" spans="1:14" ht="45" customHeight="1" thickBot="1" x14ac:dyDescent="0.4">
      <c r="A1313" s="103"/>
      <c r="B1313" s="103"/>
      <c r="C1313" s="103"/>
      <c r="D1313" s="103"/>
      <c r="E1313" s="103"/>
      <c r="F1313" s="103"/>
      <c r="G1313" s="103"/>
      <c r="H1313" s="103"/>
      <c r="I1313" s="103"/>
      <c r="J1313" s="103"/>
      <c r="K1313" s="103"/>
      <c r="L1313" s="103"/>
      <c r="M1313" s="104"/>
      <c r="N1313" s="103"/>
    </row>
    <row r="1314" spans="1:14" ht="45" customHeight="1" thickBot="1" x14ac:dyDescent="0.4">
      <c r="A1314" s="103"/>
      <c r="B1314" s="103"/>
      <c r="C1314" s="103"/>
      <c r="D1314" s="103"/>
      <c r="E1314" s="103"/>
      <c r="F1314" s="103"/>
      <c r="G1314" s="103"/>
      <c r="H1314" s="103"/>
      <c r="I1314" s="103"/>
      <c r="J1314" s="103"/>
      <c r="K1314" s="103"/>
      <c r="L1314" s="103"/>
      <c r="M1314" s="104"/>
      <c r="N1314" s="103"/>
    </row>
    <row r="1315" spans="1:14" ht="45" customHeight="1" thickBot="1" x14ac:dyDescent="0.4">
      <c r="A1315" s="103"/>
      <c r="B1315" s="103"/>
      <c r="C1315" s="103"/>
      <c r="D1315" s="103"/>
      <c r="E1315" s="103"/>
      <c r="F1315" s="103"/>
      <c r="G1315" s="103"/>
      <c r="H1315" s="103"/>
      <c r="I1315" s="103"/>
      <c r="J1315" s="103"/>
      <c r="K1315" s="103"/>
      <c r="L1315" s="103"/>
      <c r="M1315" s="104"/>
      <c r="N1315" s="103"/>
    </row>
    <row r="1316" spans="1:14" ht="45" customHeight="1" thickBot="1" x14ac:dyDescent="0.4">
      <c r="A1316" s="103"/>
      <c r="B1316" s="103"/>
      <c r="C1316" s="103"/>
      <c r="D1316" s="103"/>
      <c r="E1316" s="103"/>
      <c r="F1316" s="103"/>
      <c r="G1316" s="103"/>
      <c r="H1316" s="103"/>
      <c r="I1316" s="103"/>
      <c r="J1316" s="103"/>
      <c r="K1316" s="103"/>
      <c r="L1316" s="103"/>
      <c r="M1316" s="104"/>
      <c r="N1316" s="103"/>
    </row>
    <row r="1317" spans="1:14" ht="45" customHeight="1" thickBot="1" x14ac:dyDescent="0.4">
      <c r="A1317" s="103"/>
      <c r="B1317" s="103"/>
      <c r="C1317" s="103"/>
      <c r="D1317" s="103"/>
      <c r="E1317" s="103"/>
      <c r="F1317" s="103"/>
      <c r="G1317" s="103"/>
      <c r="H1317" s="103"/>
      <c r="I1317" s="103"/>
      <c r="J1317" s="103"/>
      <c r="K1317" s="103"/>
      <c r="L1317" s="103"/>
      <c r="M1317" s="104"/>
      <c r="N1317" s="103"/>
    </row>
    <row r="1318" spans="1:14" ht="45" customHeight="1" thickBot="1" x14ac:dyDescent="0.4">
      <c r="A1318" s="103"/>
      <c r="B1318" s="103"/>
      <c r="C1318" s="103"/>
      <c r="D1318" s="103"/>
      <c r="E1318" s="103"/>
      <c r="F1318" s="103"/>
      <c r="G1318" s="103"/>
      <c r="H1318" s="103"/>
      <c r="I1318" s="103"/>
      <c r="J1318" s="103"/>
      <c r="K1318" s="103"/>
      <c r="L1318" s="103"/>
      <c r="M1318" s="104"/>
      <c r="N1318" s="103"/>
    </row>
    <row r="1319" spans="1:14" ht="45" customHeight="1" thickBot="1" x14ac:dyDescent="0.4">
      <c r="A1319" s="103"/>
      <c r="B1319" s="103"/>
      <c r="C1319" s="103"/>
      <c r="D1319" s="103"/>
      <c r="E1319" s="103"/>
      <c r="F1319" s="103"/>
      <c r="G1319" s="103"/>
      <c r="H1319" s="103"/>
      <c r="I1319" s="103"/>
      <c r="J1319" s="103"/>
      <c r="K1319" s="103"/>
      <c r="L1319" s="103"/>
      <c r="M1319" s="104"/>
      <c r="N1319" s="103"/>
    </row>
    <row r="1320" spans="1:14" ht="45" customHeight="1" thickBot="1" x14ac:dyDescent="0.4">
      <c r="A1320" s="103"/>
      <c r="B1320" s="103"/>
      <c r="C1320" s="103"/>
      <c r="D1320" s="103"/>
      <c r="E1320" s="103"/>
      <c r="F1320" s="103"/>
      <c r="G1320" s="103"/>
      <c r="H1320" s="103"/>
      <c r="I1320" s="103"/>
      <c r="J1320" s="103"/>
      <c r="K1320" s="103"/>
      <c r="L1320" s="103"/>
      <c r="M1320" s="104"/>
      <c r="N1320" s="103"/>
    </row>
    <row r="1321" spans="1:14" ht="45" customHeight="1" thickBot="1" x14ac:dyDescent="0.4">
      <c r="A1321" s="103"/>
      <c r="B1321" s="103"/>
      <c r="C1321" s="103"/>
      <c r="D1321" s="103"/>
      <c r="E1321" s="103"/>
      <c r="F1321" s="103"/>
      <c r="G1321" s="103"/>
      <c r="H1321" s="103"/>
      <c r="I1321" s="103"/>
      <c r="J1321" s="103"/>
      <c r="K1321" s="103"/>
      <c r="L1321" s="103"/>
      <c r="M1321" s="104"/>
      <c r="N1321" s="103"/>
    </row>
    <row r="1322" spans="1:14" ht="45" customHeight="1" thickBot="1" x14ac:dyDescent="0.4">
      <c r="A1322" s="103"/>
      <c r="B1322" s="103"/>
      <c r="C1322" s="103"/>
      <c r="D1322" s="103"/>
      <c r="E1322" s="103"/>
      <c r="F1322" s="103"/>
      <c r="G1322" s="103"/>
      <c r="H1322" s="103"/>
      <c r="I1322" s="103"/>
      <c r="J1322" s="103"/>
      <c r="K1322" s="103"/>
      <c r="L1322" s="103"/>
      <c r="M1322" s="104"/>
      <c r="N1322" s="103"/>
    </row>
    <row r="1323" spans="1:14" ht="45" customHeight="1" thickBot="1" x14ac:dyDescent="0.4">
      <c r="A1323" s="103"/>
      <c r="B1323" s="103"/>
      <c r="C1323" s="103"/>
      <c r="D1323" s="103"/>
      <c r="E1323" s="103"/>
      <c r="F1323" s="103"/>
      <c r="G1323" s="103"/>
      <c r="H1323" s="103"/>
      <c r="I1323" s="103"/>
      <c r="J1323" s="103"/>
      <c r="K1323" s="103"/>
      <c r="L1323" s="103"/>
      <c r="M1323" s="104"/>
      <c r="N1323" s="103"/>
    </row>
    <row r="1324" spans="1:14" ht="45" customHeight="1" thickBot="1" x14ac:dyDescent="0.4">
      <c r="A1324" s="103"/>
      <c r="B1324" s="103"/>
      <c r="C1324" s="103"/>
      <c r="D1324" s="103"/>
      <c r="E1324" s="103"/>
      <c r="F1324" s="103"/>
      <c r="G1324" s="103"/>
      <c r="H1324" s="103"/>
      <c r="I1324" s="103"/>
      <c r="J1324" s="103"/>
      <c r="K1324" s="103"/>
      <c r="L1324" s="103"/>
      <c r="M1324" s="104"/>
      <c r="N1324" s="103"/>
    </row>
    <row r="1325" spans="1:14" ht="45" customHeight="1" thickBot="1" x14ac:dyDescent="0.4">
      <c r="A1325" s="103"/>
      <c r="B1325" s="103"/>
      <c r="C1325" s="103"/>
      <c r="D1325" s="103"/>
      <c r="E1325" s="103"/>
      <c r="F1325" s="103"/>
      <c r="G1325" s="103"/>
      <c r="H1325" s="103"/>
      <c r="I1325" s="103"/>
      <c r="J1325" s="103"/>
      <c r="K1325" s="103"/>
      <c r="L1325" s="103"/>
      <c r="M1325" s="104"/>
      <c r="N1325" s="103"/>
    </row>
    <row r="1326" spans="1:14" ht="45" customHeight="1" thickBot="1" x14ac:dyDescent="0.4">
      <c r="A1326" s="103"/>
      <c r="B1326" s="103"/>
      <c r="C1326" s="103"/>
      <c r="D1326" s="103"/>
      <c r="E1326" s="103"/>
      <c r="F1326" s="103"/>
      <c r="G1326" s="103"/>
      <c r="H1326" s="103"/>
      <c r="I1326" s="103"/>
      <c r="J1326" s="103"/>
      <c r="K1326" s="103"/>
      <c r="L1326" s="103"/>
      <c r="M1326" s="104"/>
      <c r="N1326" s="103"/>
    </row>
    <row r="1327" spans="1:14" ht="45" customHeight="1" thickBot="1" x14ac:dyDescent="0.4">
      <c r="A1327" s="103"/>
      <c r="B1327" s="103"/>
      <c r="C1327" s="103"/>
      <c r="D1327" s="103"/>
      <c r="E1327" s="103"/>
      <c r="F1327" s="103"/>
      <c r="G1327" s="103"/>
      <c r="H1327" s="103"/>
      <c r="I1327" s="103"/>
      <c r="J1327" s="103"/>
      <c r="K1327" s="103"/>
      <c r="L1327" s="103"/>
      <c r="M1327" s="104"/>
      <c r="N1327" s="103"/>
    </row>
    <row r="1328" spans="1:14" ht="45" customHeight="1" thickBot="1" x14ac:dyDescent="0.4">
      <c r="A1328" s="103"/>
      <c r="B1328" s="103"/>
      <c r="C1328" s="103"/>
      <c r="D1328" s="103"/>
      <c r="E1328" s="103"/>
      <c r="F1328" s="103"/>
      <c r="G1328" s="103"/>
      <c r="H1328" s="103"/>
      <c r="I1328" s="103"/>
      <c r="J1328" s="103"/>
      <c r="K1328" s="103"/>
      <c r="L1328" s="103"/>
      <c r="M1328" s="104"/>
      <c r="N1328" s="103"/>
    </row>
    <row r="1329" spans="1:14" ht="45" customHeight="1" thickBot="1" x14ac:dyDescent="0.4">
      <c r="A1329" s="103"/>
      <c r="B1329" s="103"/>
      <c r="C1329" s="103"/>
      <c r="D1329" s="103"/>
      <c r="E1329" s="103"/>
      <c r="F1329" s="103"/>
      <c r="G1329" s="103"/>
      <c r="H1329" s="103"/>
      <c r="I1329" s="103"/>
      <c r="J1329" s="103"/>
      <c r="K1329" s="103"/>
      <c r="L1329" s="103"/>
      <c r="M1329" s="104"/>
      <c r="N1329" s="103"/>
    </row>
    <row r="1330" spans="1:14" ht="45" customHeight="1" thickBot="1" x14ac:dyDescent="0.4">
      <c r="A1330" s="103"/>
      <c r="B1330" s="103"/>
      <c r="C1330" s="103"/>
      <c r="D1330" s="103"/>
      <c r="E1330" s="103"/>
      <c r="F1330" s="103"/>
      <c r="G1330" s="103"/>
      <c r="H1330" s="103"/>
      <c r="I1330" s="103"/>
      <c r="J1330" s="103"/>
      <c r="K1330" s="103"/>
      <c r="L1330" s="103"/>
      <c r="M1330" s="104"/>
      <c r="N1330" s="103"/>
    </row>
    <row r="1331" spans="1:14" ht="45" customHeight="1" thickBot="1" x14ac:dyDescent="0.4">
      <c r="A1331" s="103"/>
      <c r="B1331" s="103"/>
      <c r="C1331" s="103"/>
      <c r="D1331" s="103"/>
      <c r="E1331" s="103"/>
      <c r="F1331" s="103"/>
      <c r="G1331" s="103"/>
      <c r="H1331" s="103"/>
      <c r="I1331" s="103"/>
      <c r="J1331" s="103"/>
      <c r="K1331" s="103"/>
      <c r="L1331" s="103"/>
      <c r="M1331" s="104"/>
      <c r="N1331" s="103"/>
    </row>
    <row r="1332" spans="1:14" ht="45" customHeight="1" thickBot="1" x14ac:dyDescent="0.4">
      <c r="A1332" s="103"/>
      <c r="B1332" s="103"/>
      <c r="C1332" s="103"/>
      <c r="D1332" s="103"/>
      <c r="E1332" s="103"/>
      <c r="F1332" s="103"/>
      <c r="G1332" s="103"/>
      <c r="H1332" s="103"/>
      <c r="I1332" s="103"/>
      <c r="J1332" s="103"/>
      <c r="K1332" s="103"/>
      <c r="L1332" s="103"/>
      <c r="M1332" s="104"/>
      <c r="N1332" s="103"/>
    </row>
    <row r="1333" spans="1:14" ht="45" customHeight="1" thickBot="1" x14ac:dyDescent="0.4">
      <c r="A1333" s="103"/>
      <c r="B1333" s="103"/>
      <c r="C1333" s="103"/>
      <c r="D1333" s="103"/>
      <c r="E1333" s="103"/>
      <c r="F1333" s="103"/>
      <c r="G1333" s="103"/>
      <c r="H1333" s="103"/>
      <c r="I1333" s="103"/>
      <c r="J1333" s="103"/>
      <c r="K1333" s="103"/>
      <c r="L1333" s="103"/>
      <c r="M1333" s="104"/>
      <c r="N1333" s="103"/>
    </row>
    <row r="1334" spans="1:14" ht="45" customHeight="1" thickBot="1" x14ac:dyDescent="0.4">
      <c r="A1334" s="103"/>
      <c r="B1334" s="103"/>
      <c r="C1334" s="103"/>
      <c r="D1334" s="103"/>
      <c r="E1334" s="103"/>
      <c r="F1334" s="103"/>
      <c r="G1334" s="103"/>
      <c r="H1334" s="103"/>
      <c r="I1334" s="103"/>
      <c r="J1334" s="103"/>
      <c r="K1334" s="103"/>
      <c r="L1334" s="103"/>
      <c r="M1334" s="104"/>
      <c r="N1334" s="103"/>
    </row>
    <row r="1335" spans="1:14" ht="45" customHeight="1" thickBot="1" x14ac:dyDescent="0.4">
      <c r="A1335" s="103"/>
      <c r="B1335" s="103"/>
      <c r="C1335" s="103"/>
      <c r="D1335" s="103"/>
      <c r="E1335" s="103"/>
      <c r="F1335" s="103"/>
      <c r="G1335" s="103"/>
      <c r="H1335" s="103"/>
      <c r="I1335" s="103"/>
      <c r="J1335" s="103"/>
      <c r="K1335" s="103"/>
      <c r="L1335" s="103"/>
      <c r="M1335" s="104"/>
      <c r="N1335" s="103"/>
    </row>
    <row r="1336" spans="1:14" ht="45" customHeight="1" thickBot="1" x14ac:dyDescent="0.4">
      <c r="A1336" s="103"/>
      <c r="B1336" s="103"/>
      <c r="C1336" s="103"/>
      <c r="D1336" s="103"/>
      <c r="E1336" s="103"/>
      <c r="F1336" s="103"/>
      <c r="G1336" s="103"/>
      <c r="H1336" s="103"/>
      <c r="I1336" s="103"/>
      <c r="J1336" s="103"/>
      <c r="K1336" s="103"/>
      <c r="L1336" s="103"/>
      <c r="M1336" s="104"/>
      <c r="N1336" s="103"/>
    </row>
    <row r="1337" spans="1:14" ht="45" customHeight="1" thickBot="1" x14ac:dyDescent="0.4">
      <c r="A1337" s="103"/>
      <c r="B1337" s="103"/>
      <c r="C1337" s="103"/>
      <c r="D1337" s="103"/>
      <c r="E1337" s="103"/>
      <c r="F1337" s="103"/>
      <c r="G1337" s="103"/>
      <c r="H1337" s="103"/>
      <c r="I1337" s="103"/>
      <c r="J1337" s="103"/>
      <c r="K1337" s="103"/>
      <c r="L1337" s="103"/>
      <c r="M1337" s="104"/>
      <c r="N1337" s="103"/>
    </row>
    <row r="1338" spans="1:14" ht="45" customHeight="1" thickBot="1" x14ac:dyDescent="0.4">
      <c r="A1338" s="103"/>
      <c r="B1338" s="103"/>
      <c r="C1338" s="103"/>
      <c r="D1338" s="103"/>
      <c r="E1338" s="103"/>
      <c r="F1338" s="103"/>
      <c r="G1338" s="103"/>
      <c r="H1338" s="103"/>
      <c r="I1338" s="103"/>
      <c r="J1338" s="103"/>
      <c r="K1338" s="103"/>
      <c r="L1338" s="103"/>
      <c r="M1338" s="104"/>
      <c r="N1338" s="103"/>
    </row>
    <row r="1339" spans="1:14" ht="45" customHeight="1" thickBot="1" x14ac:dyDescent="0.4">
      <c r="A1339" s="103"/>
      <c r="B1339" s="103"/>
      <c r="C1339" s="103"/>
      <c r="D1339" s="103"/>
      <c r="E1339" s="103"/>
      <c r="F1339" s="103"/>
      <c r="G1339" s="103"/>
      <c r="H1339" s="103"/>
      <c r="I1339" s="103"/>
      <c r="J1339" s="103"/>
      <c r="K1339" s="103"/>
      <c r="L1339" s="103"/>
      <c r="M1339" s="104"/>
      <c r="N1339" s="103"/>
    </row>
    <row r="1340" spans="1:14" ht="45" customHeight="1" thickBot="1" x14ac:dyDescent="0.4">
      <c r="A1340" s="103"/>
      <c r="B1340" s="103"/>
      <c r="C1340" s="103"/>
      <c r="D1340" s="103"/>
      <c r="E1340" s="103"/>
      <c r="F1340" s="103"/>
      <c r="G1340" s="103"/>
      <c r="H1340" s="103"/>
      <c r="I1340" s="103"/>
      <c r="J1340" s="103"/>
      <c r="K1340" s="103"/>
      <c r="L1340" s="103"/>
      <c r="M1340" s="104"/>
      <c r="N1340" s="103"/>
    </row>
    <row r="1341" spans="1:14" ht="45" customHeight="1" thickBot="1" x14ac:dyDescent="0.4">
      <c r="A1341" s="103"/>
      <c r="B1341" s="103"/>
      <c r="C1341" s="103"/>
      <c r="D1341" s="103"/>
      <c r="E1341" s="103"/>
      <c r="F1341" s="103"/>
      <c r="G1341" s="103"/>
      <c r="H1341" s="103"/>
      <c r="I1341" s="103"/>
      <c r="J1341" s="103"/>
      <c r="K1341" s="103"/>
      <c r="L1341" s="103"/>
      <c r="M1341" s="104"/>
      <c r="N1341" s="103"/>
    </row>
    <row r="1342" spans="1:14" ht="45" customHeight="1" thickBot="1" x14ac:dyDescent="0.4">
      <c r="A1342" s="103"/>
      <c r="B1342" s="103"/>
      <c r="C1342" s="103"/>
      <c r="D1342" s="103"/>
      <c r="E1342" s="103"/>
      <c r="F1342" s="103"/>
      <c r="G1342" s="103"/>
      <c r="H1342" s="103"/>
      <c r="I1342" s="103"/>
      <c r="J1342" s="103"/>
      <c r="K1342" s="103"/>
      <c r="L1342" s="103"/>
      <c r="M1342" s="104"/>
      <c r="N1342" s="103"/>
    </row>
    <row r="1343" spans="1:14" ht="45" customHeight="1" thickBot="1" x14ac:dyDescent="0.4">
      <c r="A1343" s="103"/>
      <c r="B1343" s="103"/>
      <c r="C1343" s="103"/>
      <c r="D1343" s="103"/>
      <c r="E1343" s="103"/>
      <c r="F1343" s="103"/>
      <c r="G1343" s="103"/>
      <c r="H1343" s="103"/>
      <c r="I1343" s="103"/>
      <c r="J1343" s="103"/>
      <c r="K1343" s="103"/>
      <c r="L1343" s="103"/>
      <c r="M1343" s="104"/>
      <c r="N1343" s="103"/>
    </row>
    <row r="1344" spans="1:14" ht="45" customHeight="1" thickBot="1" x14ac:dyDescent="0.4">
      <c r="A1344" s="103"/>
      <c r="B1344" s="103"/>
      <c r="C1344" s="103"/>
      <c r="D1344" s="103"/>
      <c r="E1344" s="103"/>
      <c r="F1344" s="103"/>
      <c r="G1344" s="103"/>
      <c r="H1344" s="103"/>
      <c r="I1344" s="103"/>
      <c r="J1344" s="103"/>
      <c r="K1344" s="103"/>
      <c r="L1344" s="103"/>
      <c r="M1344" s="104"/>
      <c r="N1344" s="103"/>
    </row>
    <row r="1345" spans="1:14" ht="45" customHeight="1" thickBot="1" x14ac:dyDescent="0.4">
      <c r="A1345" s="103"/>
      <c r="B1345" s="103"/>
      <c r="C1345" s="103"/>
      <c r="D1345" s="103"/>
      <c r="E1345" s="103"/>
      <c r="F1345" s="103"/>
      <c r="G1345" s="103"/>
      <c r="H1345" s="103"/>
      <c r="I1345" s="103"/>
      <c r="J1345" s="103"/>
      <c r="K1345" s="103"/>
      <c r="L1345" s="103"/>
      <c r="M1345" s="104"/>
      <c r="N1345" s="103"/>
    </row>
    <row r="1346" spans="1:14" ht="45" customHeight="1" thickBot="1" x14ac:dyDescent="0.4">
      <c r="A1346" s="103"/>
      <c r="B1346" s="103"/>
      <c r="C1346" s="103"/>
      <c r="D1346" s="103"/>
      <c r="E1346" s="103"/>
      <c r="F1346" s="103"/>
      <c r="G1346" s="103"/>
      <c r="H1346" s="103"/>
      <c r="I1346" s="103"/>
      <c r="J1346" s="103"/>
      <c r="K1346" s="103"/>
      <c r="L1346" s="103"/>
      <c r="M1346" s="104"/>
      <c r="N1346" s="103"/>
    </row>
    <row r="1347" spans="1:14" ht="45" customHeight="1" thickBot="1" x14ac:dyDescent="0.4">
      <c r="A1347" s="103"/>
      <c r="B1347" s="103"/>
      <c r="C1347" s="103"/>
      <c r="D1347" s="103"/>
      <c r="E1347" s="103"/>
      <c r="F1347" s="103"/>
      <c r="G1347" s="103"/>
      <c r="H1347" s="103"/>
      <c r="I1347" s="103"/>
      <c r="J1347" s="103"/>
      <c r="K1347" s="103"/>
      <c r="L1347" s="103"/>
      <c r="M1347" s="104"/>
      <c r="N1347" s="103"/>
    </row>
    <row r="1348" spans="1:14" ht="45" customHeight="1" thickBot="1" x14ac:dyDescent="0.4">
      <c r="A1348" s="103"/>
      <c r="B1348" s="103"/>
      <c r="C1348" s="103"/>
      <c r="D1348" s="103"/>
      <c r="E1348" s="103"/>
      <c r="F1348" s="103"/>
      <c r="G1348" s="103"/>
      <c r="H1348" s="103"/>
      <c r="I1348" s="103"/>
      <c r="J1348" s="103"/>
      <c r="K1348" s="103"/>
      <c r="L1348" s="103"/>
      <c r="M1348" s="104"/>
      <c r="N1348" s="103"/>
    </row>
    <row r="1349" spans="1:14" ht="45" customHeight="1" thickBot="1" x14ac:dyDescent="0.4">
      <c r="A1349" s="103"/>
      <c r="B1349" s="103"/>
      <c r="C1349" s="103"/>
      <c r="D1349" s="103"/>
      <c r="E1349" s="103"/>
      <c r="F1349" s="103"/>
      <c r="G1349" s="103"/>
      <c r="H1349" s="103"/>
      <c r="I1349" s="103"/>
      <c r="J1349" s="103"/>
      <c r="K1349" s="103"/>
      <c r="L1349" s="103"/>
      <c r="M1349" s="104"/>
      <c r="N1349" s="103"/>
    </row>
    <row r="1350" spans="1:14" ht="45" customHeight="1" thickBot="1" x14ac:dyDescent="0.4">
      <c r="A1350" s="103"/>
      <c r="B1350" s="103"/>
      <c r="C1350" s="103"/>
      <c r="D1350" s="103"/>
      <c r="E1350" s="103"/>
      <c r="F1350" s="103"/>
      <c r="G1350" s="103"/>
      <c r="H1350" s="103"/>
      <c r="I1350" s="103"/>
      <c r="J1350" s="103"/>
      <c r="K1350" s="103"/>
      <c r="L1350" s="103"/>
      <c r="M1350" s="104"/>
      <c r="N1350" s="103"/>
    </row>
    <row r="1351" spans="1:14" ht="45" customHeight="1" thickBot="1" x14ac:dyDescent="0.4">
      <c r="A1351" s="103"/>
      <c r="B1351" s="103"/>
      <c r="C1351" s="103"/>
      <c r="D1351" s="103"/>
      <c r="E1351" s="103"/>
      <c r="F1351" s="103"/>
      <c r="G1351" s="103"/>
      <c r="H1351" s="103"/>
      <c r="I1351" s="103"/>
      <c r="J1351" s="103"/>
      <c r="K1351" s="103"/>
      <c r="L1351" s="103"/>
      <c r="M1351" s="104"/>
      <c r="N1351" s="103"/>
    </row>
    <row r="1352" spans="1:14" ht="45" customHeight="1" thickBot="1" x14ac:dyDescent="0.4">
      <c r="A1352" s="103"/>
      <c r="B1352" s="103"/>
      <c r="C1352" s="103"/>
      <c r="D1352" s="103"/>
      <c r="E1352" s="103"/>
      <c r="F1352" s="103"/>
      <c r="G1352" s="103"/>
      <c r="H1352" s="103"/>
      <c r="I1352" s="103"/>
      <c r="J1352" s="103"/>
      <c r="K1352" s="103"/>
      <c r="L1352" s="103"/>
      <c r="M1352" s="104"/>
      <c r="N1352" s="103"/>
    </row>
    <row r="1353" spans="1:14" ht="45" customHeight="1" thickBot="1" x14ac:dyDescent="0.4">
      <c r="A1353" s="103"/>
      <c r="B1353" s="103"/>
      <c r="C1353" s="103"/>
      <c r="D1353" s="103"/>
      <c r="E1353" s="103"/>
      <c r="F1353" s="103"/>
      <c r="G1353" s="103"/>
      <c r="H1353" s="103"/>
      <c r="I1353" s="103"/>
      <c r="J1353" s="103"/>
      <c r="K1353" s="103"/>
      <c r="L1353" s="103"/>
      <c r="M1353" s="104"/>
      <c r="N1353" s="103"/>
    </row>
    <row r="1354" spans="1:14" ht="45" customHeight="1" thickBot="1" x14ac:dyDescent="0.4">
      <c r="A1354" s="103"/>
      <c r="B1354" s="103"/>
      <c r="C1354" s="103"/>
      <c r="D1354" s="103"/>
      <c r="E1354" s="103"/>
      <c r="F1354" s="103"/>
      <c r="G1354" s="103"/>
      <c r="H1354" s="103"/>
      <c r="I1354" s="103"/>
      <c r="J1354" s="103"/>
      <c r="K1354" s="103"/>
      <c r="L1354" s="103"/>
      <c r="M1354" s="104"/>
      <c r="N1354" s="103"/>
    </row>
    <row r="1355" spans="1:14" ht="45" customHeight="1" thickBot="1" x14ac:dyDescent="0.4">
      <c r="A1355" s="103"/>
      <c r="B1355" s="103"/>
      <c r="C1355" s="103"/>
      <c r="D1355" s="103"/>
      <c r="E1355" s="103"/>
      <c r="F1355" s="103"/>
      <c r="G1355" s="103"/>
      <c r="H1355" s="103"/>
      <c r="I1355" s="103"/>
      <c r="J1355" s="103"/>
      <c r="K1355" s="103"/>
      <c r="L1355" s="103"/>
      <c r="M1355" s="104"/>
      <c r="N1355" s="103"/>
    </row>
    <row r="1356" spans="1:14" ht="45" customHeight="1" thickBot="1" x14ac:dyDescent="0.4">
      <c r="A1356" s="103"/>
      <c r="B1356" s="103"/>
      <c r="C1356" s="103"/>
      <c r="D1356" s="103"/>
      <c r="E1356" s="103"/>
      <c r="F1356" s="103"/>
      <c r="G1356" s="103"/>
      <c r="H1356" s="103"/>
      <c r="I1356" s="103"/>
      <c r="J1356" s="103"/>
      <c r="K1356" s="103"/>
      <c r="L1356" s="103"/>
      <c r="M1356" s="104"/>
      <c r="N1356" s="103"/>
    </row>
    <row r="1357" spans="1:14" ht="45" customHeight="1" thickBot="1" x14ac:dyDescent="0.4">
      <c r="A1357" s="103"/>
      <c r="B1357" s="103"/>
      <c r="C1357" s="103"/>
      <c r="D1357" s="103"/>
      <c r="E1357" s="103"/>
      <c r="F1357" s="103"/>
      <c r="G1357" s="103"/>
      <c r="H1357" s="103"/>
      <c r="I1357" s="103"/>
      <c r="J1357" s="103"/>
      <c r="K1357" s="103"/>
      <c r="L1357" s="103"/>
      <c r="M1357" s="104"/>
      <c r="N1357" s="103"/>
    </row>
    <row r="1358" spans="1:14" ht="45" customHeight="1" thickBot="1" x14ac:dyDescent="0.4">
      <c r="A1358" s="103"/>
      <c r="B1358" s="103"/>
      <c r="C1358" s="103"/>
      <c r="D1358" s="103"/>
      <c r="E1358" s="103"/>
      <c r="F1358" s="103"/>
      <c r="G1358" s="103"/>
      <c r="H1358" s="103"/>
      <c r="I1358" s="103"/>
      <c r="J1358" s="103"/>
      <c r="K1358" s="103"/>
      <c r="L1358" s="103"/>
      <c r="M1358" s="104"/>
      <c r="N1358" s="103"/>
    </row>
    <row r="1359" spans="1:14" ht="45" customHeight="1" thickBot="1" x14ac:dyDescent="0.4">
      <c r="A1359" s="103"/>
      <c r="B1359" s="103"/>
      <c r="C1359" s="103"/>
      <c r="D1359" s="103"/>
      <c r="E1359" s="103"/>
      <c r="F1359" s="103"/>
      <c r="G1359" s="103"/>
      <c r="H1359" s="103"/>
      <c r="I1359" s="103"/>
      <c r="J1359" s="103"/>
      <c r="K1359" s="103"/>
      <c r="L1359" s="103"/>
      <c r="M1359" s="104"/>
      <c r="N1359" s="103"/>
    </row>
    <row r="1360" spans="1:14" ht="45" customHeight="1" thickBot="1" x14ac:dyDescent="0.4">
      <c r="A1360" s="103"/>
      <c r="B1360" s="103"/>
      <c r="C1360" s="103"/>
      <c r="D1360" s="103"/>
      <c r="E1360" s="103"/>
      <c r="F1360" s="103"/>
      <c r="G1360" s="103"/>
      <c r="H1360" s="103"/>
      <c r="I1360" s="103"/>
      <c r="J1360" s="103"/>
      <c r="K1360" s="103"/>
      <c r="L1360" s="103"/>
      <c r="M1360" s="104"/>
      <c r="N1360" s="103"/>
    </row>
    <row r="1361" spans="1:14" ht="45" customHeight="1" thickBot="1" x14ac:dyDescent="0.4">
      <c r="A1361" s="103"/>
      <c r="B1361" s="103"/>
      <c r="C1361" s="103"/>
      <c r="D1361" s="103"/>
      <c r="E1361" s="103"/>
      <c r="F1361" s="103"/>
      <c r="G1361" s="103"/>
      <c r="H1361" s="103"/>
      <c r="I1361" s="103"/>
      <c r="J1361" s="103"/>
      <c r="K1361" s="103"/>
      <c r="L1361" s="103"/>
      <c r="M1361" s="104"/>
      <c r="N1361" s="103"/>
    </row>
    <row r="1362" spans="1:14" ht="45" customHeight="1" thickBot="1" x14ac:dyDescent="0.4">
      <c r="A1362" s="103"/>
      <c r="B1362" s="103"/>
      <c r="C1362" s="103"/>
      <c r="D1362" s="103"/>
      <c r="E1362" s="103"/>
      <c r="F1362" s="103"/>
      <c r="G1362" s="103"/>
      <c r="H1362" s="103"/>
      <c r="I1362" s="103"/>
      <c r="J1362" s="103"/>
      <c r="K1362" s="103"/>
      <c r="L1362" s="103"/>
      <c r="M1362" s="104"/>
      <c r="N1362" s="103"/>
    </row>
    <row r="1363" spans="1:14" ht="45" customHeight="1" thickBot="1" x14ac:dyDescent="0.4">
      <c r="A1363" s="103"/>
      <c r="B1363" s="103"/>
      <c r="C1363" s="103"/>
      <c r="D1363" s="103"/>
      <c r="E1363" s="103"/>
      <c r="F1363" s="103"/>
      <c r="G1363" s="103"/>
      <c r="H1363" s="103"/>
      <c r="I1363" s="103"/>
      <c r="J1363" s="103"/>
      <c r="K1363" s="103"/>
      <c r="L1363" s="103"/>
      <c r="M1363" s="104"/>
      <c r="N1363" s="103"/>
    </row>
    <row r="1364" spans="1:14" ht="45" customHeight="1" thickBot="1" x14ac:dyDescent="0.4">
      <c r="A1364" s="103"/>
      <c r="B1364" s="103"/>
      <c r="C1364" s="103"/>
      <c r="D1364" s="103"/>
      <c r="E1364" s="103"/>
      <c r="F1364" s="103"/>
      <c r="G1364" s="103"/>
      <c r="H1364" s="103"/>
      <c r="I1364" s="103"/>
      <c r="J1364" s="103"/>
      <c r="K1364" s="103"/>
      <c r="L1364" s="103"/>
      <c r="M1364" s="104"/>
      <c r="N1364" s="103"/>
    </row>
    <row r="1365" spans="1:14" ht="45" customHeight="1" thickBot="1" x14ac:dyDescent="0.4">
      <c r="A1365" s="103"/>
      <c r="B1365" s="103"/>
      <c r="C1365" s="103"/>
      <c r="D1365" s="103"/>
      <c r="E1365" s="103"/>
      <c r="F1365" s="103"/>
      <c r="G1365" s="103"/>
      <c r="H1365" s="103"/>
      <c r="I1365" s="103"/>
      <c r="J1365" s="103"/>
      <c r="K1365" s="103"/>
      <c r="L1365" s="103"/>
      <c r="M1365" s="104"/>
      <c r="N1365" s="103"/>
    </row>
    <row r="1366" spans="1:14" ht="45" customHeight="1" thickBot="1" x14ac:dyDescent="0.4">
      <c r="A1366" s="103"/>
      <c r="B1366" s="103"/>
      <c r="C1366" s="103"/>
      <c r="D1366" s="103"/>
      <c r="E1366" s="103"/>
      <c r="F1366" s="103"/>
      <c r="G1366" s="103"/>
      <c r="H1366" s="103"/>
      <c r="I1366" s="103"/>
      <c r="J1366" s="103"/>
      <c r="K1366" s="103"/>
      <c r="L1366" s="103"/>
      <c r="M1366" s="104"/>
      <c r="N1366" s="103"/>
    </row>
    <row r="1367" spans="1:14" ht="45" customHeight="1" thickBot="1" x14ac:dyDescent="0.4">
      <c r="A1367" s="103"/>
      <c r="B1367" s="103"/>
      <c r="C1367" s="103"/>
      <c r="D1367" s="103"/>
      <c r="E1367" s="103"/>
      <c r="F1367" s="103"/>
      <c r="G1367" s="103"/>
      <c r="H1367" s="103"/>
      <c r="I1367" s="103"/>
      <c r="J1367" s="103"/>
      <c r="K1367" s="103"/>
      <c r="L1367" s="103"/>
      <c r="M1367" s="104"/>
      <c r="N1367" s="103"/>
    </row>
    <row r="1368" spans="1:14" ht="45" customHeight="1" thickBot="1" x14ac:dyDescent="0.4">
      <c r="A1368" s="103"/>
      <c r="B1368" s="103"/>
      <c r="C1368" s="103"/>
      <c r="D1368" s="103"/>
      <c r="E1368" s="103"/>
      <c r="F1368" s="103"/>
      <c r="G1368" s="103"/>
      <c r="H1368" s="103"/>
      <c r="I1368" s="103"/>
      <c r="J1368" s="103"/>
      <c r="K1368" s="103"/>
      <c r="L1368" s="103"/>
      <c r="M1368" s="104"/>
      <c r="N1368" s="103"/>
    </row>
    <row r="1369" spans="1:14" ht="45" customHeight="1" thickBot="1" x14ac:dyDescent="0.4">
      <c r="A1369" s="103"/>
      <c r="B1369" s="103"/>
      <c r="C1369" s="103"/>
      <c r="D1369" s="103"/>
      <c r="E1369" s="103"/>
      <c r="F1369" s="103"/>
      <c r="G1369" s="103"/>
      <c r="H1369" s="103"/>
      <c r="I1369" s="103"/>
      <c r="J1369" s="103"/>
      <c r="K1369" s="103"/>
      <c r="L1369" s="103"/>
      <c r="M1369" s="104"/>
      <c r="N1369" s="103"/>
    </row>
    <row r="1370" spans="1:14" ht="45" customHeight="1" thickBot="1" x14ac:dyDescent="0.4">
      <c r="A1370" s="103"/>
      <c r="B1370" s="103"/>
      <c r="C1370" s="103"/>
      <c r="D1370" s="103"/>
      <c r="E1370" s="103"/>
      <c r="F1370" s="103"/>
      <c r="G1370" s="103"/>
      <c r="H1370" s="103"/>
      <c r="I1370" s="103"/>
      <c r="J1370" s="103"/>
      <c r="K1370" s="103"/>
      <c r="L1370" s="103"/>
      <c r="M1370" s="104"/>
      <c r="N1370" s="103"/>
    </row>
    <row r="1371" spans="1:14" ht="45" customHeight="1" thickBot="1" x14ac:dyDescent="0.4">
      <c r="A1371" s="103"/>
      <c r="B1371" s="103"/>
      <c r="C1371" s="103"/>
      <c r="D1371" s="103"/>
      <c r="E1371" s="103"/>
      <c r="F1371" s="103"/>
      <c r="G1371" s="103"/>
      <c r="H1371" s="103"/>
      <c r="I1371" s="103"/>
      <c r="J1371" s="103"/>
      <c r="K1371" s="103"/>
      <c r="L1371" s="103"/>
      <c r="M1371" s="104"/>
      <c r="N1371" s="103"/>
    </row>
    <row r="1372" spans="1:14" ht="45" customHeight="1" thickBot="1" x14ac:dyDescent="0.4">
      <c r="A1372" s="103"/>
      <c r="B1372" s="103"/>
      <c r="C1372" s="103"/>
      <c r="D1372" s="103"/>
      <c r="E1372" s="103"/>
      <c r="F1372" s="103"/>
      <c r="G1372" s="103"/>
      <c r="H1372" s="103"/>
      <c r="I1372" s="103"/>
      <c r="J1372" s="103"/>
      <c r="K1372" s="103"/>
      <c r="L1372" s="103"/>
      <c r="M1372" s="104"/>
      <c r="N1372" s="103"/>
    </row>
    <row r="1373" spans="1:14" ht="45" customHeight="1" thickBot="1" x14ac:dyDescent="0.4">
      <c r="A1373" s="103"/>
      <c r="B1373" s="103"/>
      <c r="C1373" s="103"/>
      <c r="D1373" s="103"/>
      <c r="E1373" s="103"/>
      <c r="F1373" s="103"/>
      <c r="G1373" s="103"/>
      <c r="H1373" s="103"/>
      <c r="I1373" s="103"/>
      <c r="J1373" s="103"/>
      <c r="K1373" s="103"/>
      <c r="L1373" s="103"/>
      <c r="M1373" s="104"/>
      <c r="N1373" s="103"/>
    </row>
    <row r="1374" spans="1:14" ht="45" customHeight="1" thickBot="1" x14ac:dyDescent="0.4">
      <c r="A1374" s="103"/>
      <c r="B1374" s="103"/>
      <c r="C1374" s="103"/>
      <c r="D1374" s="103"/>
      <c r="E1374" s="103"/>
      <c r="F1374" s="103"/>
      <c r="G1374" s="103"/>
      <c r="H1374" s="103"/>
      <c r="I1374" s="103"/>
      <c r="J1374" s="103"/>
      <c r="K1374" s="103"/>
      <c r="L1374" s="103"/>
      <c r="M1374" s="104"/>
      <c r="N1374" s="103"/>
    </row>
    <row r="1375" spans="1:14" ht="45" customHeight="1" thickBot="1" x14ac:dyDescent="0.4">
      <c r="A1375" s="103"/>
      <c r="B1375" s="103"/>
      <c r="C1375" s="103"/>
      <c r="D1375" s="103"/>
      <c r="E1375" s="103"/>
      <c r="F1375" s="103"/>
      <c r="G1375" s="103"/>
      <c r="H1375" s="103"/>
      <c r="I1375" s="103"/>
      <c r="J1375" s="103"/>
      <c r="K1375" s="103"/>
      <c r="L1375" s="103"/>
      <c r="M1375" s="104"/>
      <c r="N1375" s="103"/>
    </row>
    <row r="1376" spans="1:14" ht="45" customHeight="1" thickBot="1" x14ac:dyDescent="0.4">
      <c r="A1376" s="103"/>
      <c r="B1376" s="103"/>
      <c r="C1376" s="103"/>
      <c r="D1376" s="103"/>
      <c r="E1376" s="103"/>
      <c r="F1376" s="103"/>
      <c r="G1376" s="103"/>
      <c r="H1376" s="103"/>
      <c r="I1376" s="103"/>
      <c r="J1376" s="103"/>
      <c r="K1376" s="103"/>
      <c r="L1376" s="103"/>
      <c r="M1376" s="104"/>
      <c r="N1376" s="103"/>
    </row>
    <row r="1377" spans="1:14" ht="45" customHeight="1" thickBot="1" x14ac:dyDescent="0.4">
      <c r="A1377" s="103"/>
      <c r="B1377" s="103"/>
      <c r="C1377" s="103"/>
      <c r="D1377" s="103"/>
      <c r="E1377" s="103"/>
      <c r="F1377" s="103"/>
      <c r="G1377" s="103"/>
      <c r="H1377" s="103"/>
      <c r="I1377" s="103"/>
      <c r="J1377" s="103"/>
      <c r="K1377" s="103"/>
      <c r="L1377" s="103"/>
      <c r="M1377" s="104"/>
      <c r="N1377" s="103"/>
    </row>
    <row r="1378" spans="1:14" ht="45" customHeight="1" thickBot="1" x14ac:dyDescent="0.4">
      <c r="A1378" s="103"/>
      <c r="B1378" s="103"/>
      <c r="C1378" s="103"/>
      <c r="D1378" s="103"/>
      <c r="E1378" s="103"/>
      <c r="F1378" s="103"/>
      <c r="G1378" s="103"/>
      <c r="H1378" s="103"/>
      <c r="I1378" s="103"/>
      <c r="J1378" s="103"/>
      <c r="K1378" s="103"/>
      <c r="L1378" s="103"/>
      <c r="M1378" s="104"/>
      <c r="N1378" s="103"/>
    </row>
    <row r="1379" spans="1:14" ht="45" customHeight="1" thickBot="1" x14ac:dyDescent="0.4">
      <c r="A1379" s="103"/>
      <c r="B1379" s="103"/>
      <c r="C1379" s="103"/>
      <c r="D1379" s="103"/>
      <c r="E1379" s="103"/>
      <c r="F1379" s="103"/>
      <c r="G1379" s="103"/>
      <c r="H1379" s="103"/>
      <c r="I1379" s="103"/>
      <c r="J1379" s="103"/>
      <c r="K1379" s="103"/>
      <c r="L1379" s="103"/>
      <c r="M1379" s="104"/>
      <c r="N1379" s="103"/>
    </row>
    <row r="1380" spans="1:14" ht="45" customHeight="1" thickBot="1" x14ac:dyDescent="0.4">
      <c r="A1380" s="103"/>
      <c r="B1380" s="103"/>
      <c r="C1380" s="103"/>
      <c r="D1380" s="103"/>
      <c r="E1380" s="103"/>
      <c r="F1380" s="103"/>
      <c r="G1380" s="103"/>
      <c r="H1380" s="103"/>
      <c r="I1380" s="103"/>
      <c r="J1380" s="103"/>
      <c r="K1380" s="103"/>
      <c r="L1380" s="103"/>
      <c r="M1380" s="104"/>
      <c r="N1380" s="103"/>
    </row>
    <row r="1381" spans="1:14" ht="45" customHeight="1" thickBot="1" x14ac:dyDescent="0.4">
      <c r="A1381" s="103"/>
      <c r="B1381" s="103"/>
      <c r="C1381" s="103"/>
      <c r="D1381" s="103"/>
      <c r="E1381" s="103"/>
      <c r="F1381" s="103"/>
      <c r="G1381" s="103"/>
      <c r="H1381" s="103"/>
      <c r="I1381" s="103"/>
      <c r="J1381" s="103"/>
      <c r="K1381" s="103"/>
      <c r="L1381" s="103"/>
      <c r="M1381" s="104"/>
      <c r="N1381" s="103"/>
    </row>
    <row r="1382" spans="1:14" ht="45" customHeight="1" thickBot="1" x14ac:dyDescent="0.4">
      <c r="A1382" s="103"/>
      <c r="B1382" s="103"/>
      <c r="C1382" s="103"/>
      <c r="D1382" s="103"/>
      <c r="E1382" s="103"/>
      <c r="F1382" s="103"/>
      <c r="G1382" s="103"/>
      <c r="H1382" s="103"/>
      <c r="I1382" s="103"/>
      <c r="J1382" s="103"/>
      <c r="K1382" s="103"/>
      <c r="L1382" s="103"/>
      <c r="M1382" s="104"/>
      <c r="N1382" s="103"/>
    </row>
    <row r="1383" spans="1:14" ht="45" customHeight="1" thickBot="1" x14ac:dyDescent="0.4">
      <c r="A1383" s="103"/>
      <c r="B1383" s="103"/>
      <c r="C1383" s="103"/>
      <c r="D1383" s="103"/>
      <c r="E1383" s="103"/>
      <c r="F1383" s="103"/>
      <c r="G1383" s="103"/>
      <c r="H1383" s="103"/>
      <c r="I1383" s="103"/>
      <c r="J1383" s="103"/>
      <c r="K1383" s="103"/>
      <c r="L1383" s="103"/>
      <c r="M1383" s="104"/>
      <c r="N1383" s="103"/>
    </row>
    <row r="1384" spans="1:14" ht="45" customHeight="1" thickBot="1" x14ac:dyDescent="0.4">
      <c r="A1384" s="103"/>
      <c r="B1384" s="103"/>
      <c r="C1384" s="103"/>
      <c r="D1384" s="103"/>
      <c r="E1384" s="103"/>
      <c r="F1384" s="103"/>
      <c r="G1384" s="103"/>
      <c r="H1384" s="103"/>
      <c r="I1384" s="103"/>
      <c r="J1384" s="103"/>
      <c r="K1384" s="103"/>
      <c r="L1384" s="103"/>
      <c r="M1384" s="104"/>
      <c r="N1384" s="103"/>
    </row>
    <row r="1385" spans="1:14" ht="45" customHeight="1" thickBot="1" x14ac:dyDescent="0.4">
      <c r="A1385" s="103"/>
      <c r="B1385" s="103"/>
      <c r="C1385" s="103"/>
      <c r="D1385" s="103"/>
      <c r="E1385" s="103"/>
      <c r="F1385" s="103"/>
      <c r="G1385" s="103"/>
      <c r="H1385" s="103"/>
      <c r="I1385" s="103"/>
      <c r="J1385" s="103"/>
      <c r="K1385" s="103"/>
      <c r="L1385" s="103"/>
      <c r="M1385" s="104"/>
      <c r="N1385" s="103"/>
    </row>
    <row r="1386" spans="1:14" ht="45" customHeight="1" thickBot="1" x14ac:dyDescent="0.4">
      <c r="A1386" s="103"/>
      <c r="B1386" s="103"/>
      <c r="C1386" s="103"/>
      <c r="D1386" s="103"/>
      <c r="E1386" s="103"/>
      <c r="F1386" s="103"/>
      <c r="G1386" s="103"/>
      <c r="H1386" s="103"/>
      <c r="I1386" s="103"/>
      <c r="J1386" s="103"/>
      <c r="K1386" s="103"/>
      <c r="L1386" s="103"/>
      <c r="M1386" s="104"/>
      <c r="N1386" s="103"/>
    </row>
    <row r="1387" spans="1:14" ht="45" customHeight="1" thickBot="1" x14ac:dyDescent="0.4">
      <c r="A1387" s="103"/>
      <c r="B1387" s="103"/>
      <c r="C1387" s="103"/>
      <c r="D1387" s="103"/>
      <c r="E1387" s="103"/>
      <c r="F1387" s="103"/>
      <c r="G1387" s="103"/>
      <c r="H1387" s="103"/>
      <c r="I1387" s="103"/>
      <c r="J1387" s="103"/>
      <c r="K1387" s="103"/>
      <c r="L1387" s="103"/>
      <c r="M1387" s="104"/>
      <c r="N1387" s="103"/>
    </row>
    <row r="1388" spans="1:14" ht="45" customHeight="1" thickBot="1" x14ac:dyDescent="0.4">
      <c r="A1388" s="103"/>
      <c r="B1388" s="103"/>
      <c r="C1388" s="103"/>
      <c r="D1388" s="103"/>
      <c r="E1388" s="103"/>
      <c r="F1388" s="103"/>
      <c r="G1388" s="103"/>
      <c r="H1388" s="103"/>
      <c r="I1388" s="103"/>
      <c r="J1388" s="103"/>
      <c r="K1388" s="103"/>
      <c r="L1388" s="103"/>
      <c r="M1388" s="104"/>
      <c r="N1388" s="103"/>
    </row>
    <row r="1389" spans="1:14" ht="45" customHeight="1" thickBot="1" x14ac:dyDescent="0.4">
      <c r="A1389" s="103"/>
      <c r="B1389" s="103"/>
      <c r="C1389" s="103"/>
      <c r="D1389" s="103"/>
      <c r="E1389" s="103"/>
      <c r="F1389" s="103"/>
      <c r="G1389" s="103"/>
      <c r="H1389" s="103"/>
      <c r="I1389" s="103"/>
      <c r="J1389" s="103"/>
      <c r="K1389" s="103"/>
      <c r="L1389" s="103"/>
      <c r="M1389" s="104"/>
      <c r="N1389" s="103"/>
    </row>
    <row r="1390" spans="1:14" ht="45" customHeight="1" thickBot="1" x14ac:dyDescent="0.4">
      <c r="A1390" s="103"/>
      <c r="B1390" s="103"/>
      <c r="C1390" s="103"/>
      <c r="D1390" s="103"/>
      <c r="E1390" s="103"/>
      <c r="F1390" s="103"/>
      <c r="G1390" s="103"/>
      <c r="H1390" s="103"/>
      <c r="I1390" s="103"/>
      <c r="J1390" s="103"/>
      <c r="K1390" s="103"/>
      <c r="L1390" s="103"/>
      <c r="M1390" s="104"/>
      <c r="N1390" s="103"/>
    </row>
    <row r="1391" spans="1:14" ht="45" customHeight="1" thickBot="1" x14ac:dyDescent="0.4">
      <c r="A1391" s="103"/>
      <c r="B1391" s="103"/>
      <c r="C1391" s="103"/>
      <c r="D1391" s="103"/>
      <c r="E1391" s="103"/>
      <c r="F1391" s="103"/>
      <c r="G1391" s="103"/>
      <c r="H1391" s="103"/>
      <c r="I1391" s="103"/>
      <c r="J1391" s="103"/>
      <c r="K1391" s="103"/>
      <c r="L1391" s="103"/>
      <c r="M1391" s="104"/>
      <c r="N1391" s="103"/>
    </row>
    <row r="1392" spans="1:14" ht="45" customHeight="1" thickBot="1" x14ac:dyDescent="0.4">
      <c r="A1392" s="103"/>
      <c r="B1392" s="103"/>
      <c r="C1392" s="103"/>
      <c r="D1392" s="103"/>
      <c r="E1392" s="103"/>
      <c r="F1392" s="103"/>
      <c r="G1392" s="103"/>
      <c r="H1392" s="103"/>
      <c r="I1392" s="103"/>
      <c r="J1392" s="103"/>
      <c r="K1392" s="103"/>
      <c r="L1392" s="103"/>
      <c r="M1392" s="104"/>
      <c r="N1392" s="103"/>
    </row>
    <row r="1393" spans="1:14" ht="45" customHeight="1" thickBot="1" x14ac:dyDescent="0.4">
      <c r="A1393" s="103"/>
      <c r="B1393" s="103"/>
      <c r="C1393" s="103"/>
      <c r="D1393" s="103"/>
      <c r="E1393" s="103"/>
      <c r="F1393" s="103"/>
      <c r="G1393" s="103"/>
      <c r="H1393" s="103"/>
      <c r="I1393" s="103"/>
      <c r="J1393" s="103"/>
      <c r="K1393" s="103"/>
      <c r="L1393" s="103"/>
      <c r="M1393" s="104"/>
      <c r="N1393" s="103"/>
    </row>
    <row r="1394" spans="1:14" ht="45" customHeight="1" thickBot="1" x14ac:dyDescent="0.4">
      <c r="A1394" s="103"/>
      <c r="B1394" s="103"/>
      <c r="C1394" s="103"/>
      <c r="D1394" s="103"/>
      <c r="E1394" s="103"/>
      <c r="F1394" s="103"/>
      <c r="G1394" s="103"/>
      <c r="H1394" s="103"/>
      <c r="I1394" s="103"/>
      <c r="J1394" s="103"/>
      <c r="K1394" s="103"/>
      <c r="L1394" s="103"/>
      <c r="M1394" s="104"/>
      <c r="N1394" s="103"/>
    </row>
    <row r="1395" spans="1:14" ht="45" customHeight="1" thickBot="1" x14ac:dyDescent="0.4">
      <c r="A1395" s="103"/>
      <c r="B1395" s="103"/>
      <c r="C1395" s="103"/>
      <c r="D1395" s="103"/>
      <c r="E1395" s="103"/>
      <c r="F1395" s="103"/>
      <c r="G1395" s="103"/>
      <c r="H1395" s="103"/>
      <c r="I1395" s="103"/>
      <c r="J1395" s="103"/>
      <c r="K1395" s="103"/>
      <c r="L1395" s="103"/>
      <c r="M1395" s="104"/>
      <c r="N1395" s="103"/>
    </row>
    <row r="1396" spans="1:14" ht="45" customHeight="1" thickBot="1" x14ac:dyDescent="0.4">
      <c r="A1396" s="103"/>
      <c r="B1396" s="103"/>
      <c r="C1396" s="103"/>
      <c r="D1396" s="103"/>
      <c r="E1396" s="103"/>
      <c r="F1396" s="103"/>
      <c r="G1396" s="103"/>
      <c r="H1396" s="103"/>
      <c r="I1396" s="103"/>
      <c r="J1396" s="103"/>
      <c r="K1396" s="103"/>
      <c r="L1396" s="103"/>
      <c r="M1396" s="104"/>
      <c r="N1396" s="103"/>
    </row>
    <row r="1397" spans="1:14" ht="45" customHeight="1" thickBot="1" x14ac:dyDescent="0.4">
      <c r="A1397" s="103"/>
      <c r="B1397" s="103"/>
      <c r="C1397" s="103"/>
      <c r="D1397" s="103"/>
      <c r="E1397" s="103"/>
      <c r="F1397" s="103"/>
      <c r="G1397" s="103"/>
      <c r="H1397" s="103"/>
      <c r="I1397" s="103"/>
      <c r="J1397" s="103"/>
      <c r="K1397" s="103"/>
      <c r="L1397" s="103"/>
      <c r="M1397" s="104"/>
      <c r="N1397" s="103"/>
    </row>
    <row r="1398" spans="1:14" ht="45" customHeight="1" thickBot="1" x14ac:dyDescent="0.4">
      <c r="A1398" s="103"/>
      <c r="B1398" s="103"/>
      <c r="C1398" s="103"/>
      <c r="D1398" s="103"/>
      <c r="E1398" s="103"/>
      <c r="F1398" s="103"/>
      <c r="G1398" s="103"/>
      <c r="H1398" s="103"/>
      <c r="I1398" s="103"/>
      <c r="J1398" s="103"/>
      <c r="K1398" s="103"/>
      <c r="L1398" s="103"/>
      <c r="M1398" s="104"/>
      <c r="N1398" s="103"/>
    </row>
    <row r="1399" spans="1:14" ht="45" customHeight="1" thickBot="1" x14ac:dyDescent="0.4">
      <c r="A1399" s="103"/>
      <c r="B1399" s="103"/>
      <c r="C1399" s="103"/>
      <c r="D1399" s="103"/>
      <c r="E1399" s="103"/>
      <c r="F1399" s="103"/>
      <c r="G1399" s="103"/>
      <c r="H1399" s="103"/>
      <c r="I1399" s="103"/>
      <c r="J1399" s="103"/>
      <c r="K1399" s="103"/>
      <c r="L1399" s="103"/>
      <c r="M1399" s="104"/>
      <c r="N1399" s="103"/>
    </row>
    <row r="1400" spans="1:14" ht="45" customHeight="1" thickBot="1" x14ac:dyDescent="0.4">
      <c r="A1400" s="103"/>
      <c r="B1400" s="103"/>
      <c r="C1400" s="103"/>
      <c r="D1400" s="103"/>
      <c r="E1400" s="103"/>
      <c r="F1400" s="103"/>
      <c r="G1400" s="103"/>
      <c r="H1400" s="103"/>
      <c r="I1400" s="103"/>
      <c r="J1400" s="103"/>
      <c r="K1400" s="103"/>
      <c r="L1400" s="103"/>
      <c r="M1400" s="104"/>
      <c r="N1400" s="103"/>
    </row>
    <row r="1401" spans="1:14" ht="45" customHeight="1" thickBot="1" x14ac:dyDescent="0.4">
      <c r="A1401" s="103"/>
      <c r="B1401" s="103"/>
      <c r="C1401" s="103"/>
      <c r="D1401" s="103"/>
      <c r="E1401" s="103"/>
      <c r="F1401" s="103"/>
      <c r="G1401" s="103"/>
      <c r="H1401" s="103"/>
      <c r="I1401" s="103"/>
      <c r="J1401" s="103"/>
      <c r="K1401" s="103"/>
      <c r="L1401" s="103"/>
      <c r="M1401" s="104"/>
      <c r="N1401" s="103"/>
    </row>
    <row r="1402" spans="1:14" ht="45" customHeight="1" thickBot="1" x14ac:dyDescent="0.4">
      <c r="A1402" s="103"/>
      <c r="B1402" s="103"/>
      <c r="C1402" s="103"/>
      <c r="D1402" s="103"/>
      <c r="E1402" s="103"/>
      <c r="F1402" s="103"/>
      <c r="G1402" s="103"/>
      <c r="H1402" s="103"/>
      <c r="I1402" s="103"/>
      <c r="J1402" s="103"/>
      <c r="K1402" s="103"/>
      <c r="L1402" s="103"/>
      <c r="M1402" s="104"/>
      <c r="N1402" s="103"/>
    </row>
    <row r="1403" spans="1:14" ht="45" customHeight="1" thickBot="1" x14ac:dyDescent="0.4">
      <c r="A1403" s="103"/>
      <c r="B1403" s="103"/>
      <c r="C1403" s="103"/>
      <c r="D1403" s="103"/>
      <c r="E1403" s="103"/>
      <c r="F1403" s="103"/>
      <c r="G1403" s="103"/>
      <c r="H1403" s="103"/>
      <c r="I1403" s="103"/>
      <c r="J1403" s="103"/>
      <c r="K1403" s="103"/>
      <c r="L1403" s="103"/>
      <c r="M1403" s="104"/>
      <c r="N1403" s="103"/>
    </row>
    <row r="1404" spans="1:14" ht="45" customHeight="1" thickBot="1" x14ac:dyDescent="0.4">
      <c r="A1404" s="103"/>
      <c r="B1404" s="103"/>
      <c r="C1404" s="103"/>
      <c r="D1404" s="103"/>
      <c r="E1404" s="103"/>
      <c r="F1404" s="103"/>
      <c r="G1404" s="103"/>
      <c r="H1404" s="103"/>
      <c r="I1404" s="103"/>
      <c r="J1404" s="103"/>
      <c r="K1404" s="103"/>
      <c r="L1404" s="103"/>
      <c r="M1404" s="104"/>
      <c r="N1404" s="103"/>
    </row>
    <row r="1405" spans="1:14" ht="45" customHeight="1" thickBot="1" x14ac:dyDescent="0.4">
      <c r="A1405" s="103"/>
      <c r="B1405" s="103"/>
      <c r="C1405" s="103"/>
      <c r="D1405" s="103"/>
      <c r="E1405" s="103"/>
      <c r="F1405" s="103"/>
      <c r="G1405" s="103"/>
      <c r="H1405" s="103"/>
      <c r="I1405" s="103"/>
      <c r="J1405" s="103"/>
      <c r="K1405" s="103"/>
      <c r="L1405" s="103"/>
      <c r="M1405" s="104"/>
      <c r="N1405" s="103"/>
    </row>
    <row r="1406" spans="1:14" ht="45" customHeight="1" thickBot="1" x14ac:dyDescent="0.4">
      <c r="A1406" s="103"/>
      <c r="B1406" s="103"/>
      <c r="C1406" s="103"/>
      <c r="D1406" s="103"/>
      <c r="E1406" s="103"/>
      <c r="F1406" s="103"/>
      <c r="G1406" s="103"/>
      <c r="H1406" s="103"/>
      <c r="I1406" s="103"/>
      <c r="J1406" s="103"/>
      <c r="K1406" s="103"/>
      <c r="L1406" s="103"/>
      <c r="M1406" s="104"/>
      <c r="N1406" s="103"/>
    </row>
    <row r="1407" spans="1:14" ht="45" customHeight="1" thickBot="1" x14ac:dyDescent="0.4">
      <c r="A1407" s="103"/>
      <c r="B1407" s="103"/>
      <c r="C1407" s="103"/>
      <c r="D1407" s="103"/>
      <c r="E1407" s="103"/>
      <c r="F1407" s="103"/>
      <c r="G1407" s="103"/>
      <c r="H1407" s="103"/>
      <c r="I1407" s="103"/>
      <c r="J1407" s="103"/>
      <c r="K1407" s="103"/>
      <c r="L1407" s="103"/>
      <c r="M1407" s="104"/>
      <c r="N1407" s="103"/>
    </row>
    <row r="1408" spans="1:14" ht="45" customHeight="1" thickBot="1" x14ac:dyDescent="0.4">
      <c r="A1408" s="103"/>
      <c r="B1408" s="103"/>
      <c r="C1408" s="103"/>
      <c r="D1408" s="103"/>
      <c r="E1408" s="103"/>
      <c r="F1408" s="103"/>
      <c r="G1408" s="103"/>
      <c r="H1408" s="103"/>
      <c r="I1408" s="103"/>
      <c r="J1408" s="103"/>
      <c r="K1408" s="103"/>
      <c r="L1408" s="103"/>
      <c r="M1408" s="104"/>
      <c r="N1408" s="103"/>
    </row>
    <row r="1409" spans="1:14" ht="45" customHeight="1" thickBot="1" x14ac:dyDescent="0.4">
      <c r="A1409" s="103"/>
      <c r="B1409" s="103"/>
      <c r="C1409" s="103"/>
      <c r="D1409" s="103"/>
      <c r="E1409" s="103"/>
      <c r="F1409" s="103"/>
      <c r="G1409" s="103"/>
      <c r="H1409" s="103"/>
      <c r="I1409" s="103"/>
      <c r="J1409" s="103"/>
      <c r="K1409" s="103"/>
      <c r="L1409" s="103"/>
      <c r="M1409" s="104"/>
      <c r="N1409" s="103"/>
    </row>
    <row r="1410" spans="1:14" ht="45" customHeight="1" thickBot="1" x14ac:dyDescent="0.4">
      <c r="A1410" s="103"/>
      <c r="B1410" s="103"/>
      <c r="C1410" s="103"/>
      <c r="D1410" s="103"/>
      <c r="E1410" s="103"/>
      <c r="F1410" s="103"/>
      <c r="G1410" s="103"/>
      <c r="H1410" s="103"/>
      <c r="I1410" s="103"/>
      <c r="J1410" s="103"/>
      <c r="K1410" s="103"/>
      <c r="L1410" s="103"/>
      <c r="M1410" s="104"/>
      <c r="N1410" s="103"/>
    </row>
    <row r="1411" spans="1:14" ht="45" customHeight="1" thickBot="1" x14ac:dyDescent="0.4">
      <c r="A1411" s="103"/>
      <c r="B1411" s="103"/>
      <c r="C1411" s="103"/>
      <c r="D1411" s="103"/>
      <c r="E1411" s="103"/>
      <c r="F1411" s="103"/>
      <c r="G1411" s="103"/>
      <c r="H1411" s="103"/>
      <c r="I1411" s="103"/>
      <c r="J1411" s="103"/>
      <c r="K1411" s="103"/>
      <c r="L1411" s="103"/>
      <c r="M1411" s="104"/>
      <c r="N1411" s="103"/>
    </row>
    <row r="1412" spans="1:14" ht="45" customHeight="1" thickBot="1" x14ac:dyDescent="0.4">
      <c r="A1412" s="103"/>
      <c r="B1412" s="103"/>
      <c r="C1412" s="103"/>
      <c r="D1412" s="103"/>
      <c r="E1412" s="103"/>
      <c r="F1412" s="103"/>
      <c r="G1412" s="103"/>
      <c r="H1412" s="103"/>
      <c r="I1412" s="103"/>
      <c r="J1412" s="103"/>
      <c r="K1412" s="103"/>
      <c r="L1412" s="103"/>
      <c r="M1412" s="104"/>
      <c r="N1412" s="103"/>
    </row>
    <row r="1413" spans="1:14" ht="45" customHeight="1" thickBot="1" x14ac:dyDescent="0.4">
      <c r="A1413" s="103"/>
      <c r="B1413" s="103"/>
      <c r="C1413" s="103"/>
      <c r="D1413" s="103"/>
      <c r="E1413" s="103"/>
      <c r="F1413" s="103"/>
      <c r="G1413" s="103"/>
      <c r="H1413" s="103"/>
      <c r="I1413" s="103"/>
      <c r="J1413" s="103"/>
      <c r="K1413" s="103"/>
      <c r="L1413" s="103"/>
      <c r="M1413" s="104"/>
      <c r="N1413" s="103"/>
    </row>
    <row r="1414" spans="1:14" ht="45" customHeight="1" thickBot="1" x14ac:dyDescent="0.4">
      <c r="A1414" s="103"/>
      <c r="B1414" s="103"/>
      <c r="C1414" s="103"/>
      <c r="D1414" s="103"/>
      <c r="E1414" s="103"/>
      <c r="F1414" s="103"/>
      <c r="G1414" s="103"/>
      <c r="H1414" s="103"/>
      <c r="I1414" s="103"/>
      <c r="J1414" s="103"/>
      <c r="K1414" s="103"/>
      <c r="L1414" s="103"/>
      <c r="M1414" s="104"/>
      <c r="N1414" s="103"/>
    </row>
    <row r="1415" spans="1:14" ht="45" customHeight="1" thickBot="1" x14ac:dyDescent="0.4">
      <c r="A1415" s="103"/>
      <c r="B1415" s="103"/>
      <c r="C1415" s="103"/>
      <c r="D1415" s="103"/>
      <c r="E1415" s="103"/>
      <c r="F1415" s="103"/>
      <c r="G1415" s="103"/>
      <c r="H1415" s="103"/>
      <c r="I1415" s="103"/>
      <c r="J1415" s="103"/>
      <c r="K1415" s="103"/>
      <c r="L1415" s="103"/>
      <c r="M1415" s="104"/>
      <c r="N1415" s="103"/>
    </row>
    <row r="1416" spans="1:14" ht="45" customHeight="1" thickBot="1" x14ac:dyDescent="0.4">
      <c r="A1416" s="103"/>
      <c r="B1416" s="103"/>
      <c r="C1416" s="103"/>
      <c r="D1416" s="103"/>
      <c r="E1416" s="103"/>
      <c r="F1416" s="103"/>
      <c r="G1416" s="103"/>
      <c r="H1416" s="103"/>
      <c r="I1416" s="103"/>
      <c r="J1416" s="103"/>
      <c r="K1416" s="103"/>
      <c r="L1416" s="103"/>
      <c r="M1416" s="104"/>
      <c r="N1416" s="103"/>
    </row>
    <row r="1417" spans="1:14" ht="45" customHeight="1" thickBot="1" x14ac:dyDescent="0.4">
      <c r="A1417" s="103"/>
      <c r="B1417" s="103"/>
      <c r="C1417" s="103"/>
      <c r="D1417" s="103"/>
      <c r="E1417" s="103"/>
      <c r="F1417" s="103"/>
      <c r="G1417" s="103"/>
      <c r="H1417" s="103"/>
      <c r="I1417" s="103"/>
      <c r="J1417" s="103"/>
      <c r="K1417" s="103"/>
      <c r="L1417" s="103"/>
      <c r="M1417" s="104"/>
      <c r="N1417" s="103"/>
    </row>
    <row r="1418" spans="1:14" ht="45" customHeight="1" thickBot="1" x14ac:dyDescent="0.4">
      <c r="A1418" s="103"/>
      <c r="B1418" s="103"/>
      <c r="C1418" s="103"/>
      <c r="D1418" s="103"/>
      <c r="E1418" s="103"/>
      <c r="F1418" s="103"/>
      <c r="G1418" s="103"/>
      <c r="H1418" s="103"/>
      <c r="I1418" s="103"/>
      <c r="J1418" s="103"/>
      <c r="K1418" s="103"/>
      <c r="L1418" s="103"/>
      <c r="M1418" s="104"/>
      <c r="N1418" s="103"/>
    </row>
    <row r="1419" spans="1:14" ht="45" customHeight="1" thickBot="1" x14ac:dyDescent="0.4">
      <c r="A1419" s="103"/>
      <c r="B1419" s="103"/>
      <c r="C1419" s="103"/>
      <c r="D1419" s="103"/>
      <c r="E1419" s="103"/>
      <c r="F1419" s="103"/>
      <c r="G1419" s="103"/>
      <c r="H1419" s="103"/>
      <c r="I1419" s="103"/>
      <c r="J1419" s="103"/>
      <c r="K1419" s="103"/>
      <c r="L1419" s="103"/>
      <c r="M1419" s="104"/>
      <c r="N1419" s="103"/>
    </row>
    <row r="1420" spans="1:14" ht="45" customHeight="1" thickBot="1" x14ac:dyDescent="0.4">
      <c r="A1420" s="103"/>
      <c r="B1420" s="103"/>
      <c r="C1420" s="103"/>
      <c r="D1420" s="103"/>
      <c r="E1420" s="103"/>
      <c r="F1420" s="103"/>
      <c r="G1420" s="103"/>
      <c r="H1420" s="103"/>
      <c r="I1420" s="103"/>
      <c r="J1420" s="103"/>
      <c r="K1420" s="103"/>
      <c r="L1420" s="103"/>
      <c r="M1420" s="104"/>
      <c r="N1420" s="103"/>
    </row>
    <row r="1421" spans="1:14" ht="45" customHeight="1" thickBot="1" x14ac:dyDescent="0.4">
      <c r="A1421" s="103"/>
      <c r="B1421" s="103"/>
      <c r="C1421" s="103"/>
      <c r="D1421" s="103"/>
      <c r="E1421" s="103"/>
      <c r="F1421" s="103"/>
      <c r="G1421" s="103"/>
      <c r="H1421" s="103"/>
      <c r="I1421" s="103"/>
      <c r="J1421" s="103"/>
      <c r="K1421" s="103"/>
      <c r="L1421" s="103"/>
      <c r="M1421" s="104"/>
      <c r="N1421" s="103"/>
    </row>
    <row r="1422" spans="1:14" ht="45" customHeight="1" thickBot="1" x14ac:dyDescent="0.4">
      <c r="A1422" s="103"/>
      <c r="B1422" s="103"/>
      <c r="C1422" s="103"/>
      <c r="D1422" s="103"/>
      <c r="E1422" s="103"/>
      <c r="F1422" s="103"/>
      <c r="G1422" s="103"/>
      <c r="H1422" s="103"/>
      <c r="I1422" s="103"/>
      <c r="J1422" s="103"/>
      <c r="K1422" s="103"/>
      <c r="L1422" s="103"/>
      <c r="M1422" s="104"/>
      <c r="N1422" s="103"/>
    </row>
    <row r="1423" spans="1:14" ht="45" customHeight="1" thickBot="1" x14ac:dyDescent="0.4">
      <c r="A1423" s="103"/>
      <c r="B1423" s="103"/>
      <c r="C1423" s="103"/>
      <c r="D1423" s="103"/>
      <c r="E1423" s="103"/>
      <c r="F1423" s="103"/>
      <c r="G1423" s="103"/>
      <c r="H1423" s="103"/>
      <c r="I1423" s="103"/>
      <c r="J1423" s="103"/>
      <c r="K1423" s="103"/>
      <c r="L1423" s="103"/>
      <c r="M1423" s="104"/>
      <c r="N1423" s="103"/>
    </row>
    <row r="1424" spans="1:14" ht="45" customHeight="1" thickBot="1" x14ac:dyDescent="0.4">
      <c r="A1424" s="103"/>
      <c r="B1424" s="103"/>
      <c r="C1424" s="103"/>
      <c r="D1424" s="103"/>
      <c r="E1424" s="103"/>
      <c r="F1424" s="103"/>
      <c r="G1424" s="103"/>
      <c r="H1424" s="103"/>
      <c r="I1424" s="103"/>
      <c r="J1424" s="103"/>
      <c r="K1424" s="103"/>
      <c r="L1424" s="103"/>
      <c r="M1424" s="104"/>
      <c r="N1424" s="103"/>
    </row>
    <row r="1425" spans="1:14" ht="45" customHeight="1" thickBot="1" x14ac:dyDescent="0.4">
      <c r="A1425" s="103"/>
      <c r="B1425" s="103"/>
      <c r="C1425" s="103"/>
      <c r="D1425" s="103"/>
      <c r="E1425" s="103"/>
      <c r="F1425" s="103"/>
      <c r="G1425" s="103"/>
      <c r="H1425" s="103"/>
      <c r="I1425" s="103"/>
      <c r="J1425" s="103"/>
      <c r="K1425" s="103"/>
      <c r="L1425" s="103"/>
      <c r="M1425" s="104"/>
      <c r="N1425" s="103"/>
    </row>
    <row r="1426" spans="1:14" ht="45" customHeight="1" thickBot="1" x14ac:dyDescent="0.4">
      <c r="A1426" s="103"/>
      <c r="B1426" s="103"/>
      <c r="C1426" s="103"/>
      <c r="D1426" s="103"/>
      <c r="E1426" s="103"/>
      <c r="F1426" s="103"/>
      <c r="G1426" s="103"/>
      <c r="H1426" s="103"/>
      <c r="I1426" s="103"/>
      <c r="J1426" s="103"/>
      <c r="K1426" s="103"/>
      <c r="L1426" s="103"/>
      <c r="M1426" s="104"/>
      <c r="N1426" s="103"/>
    </row>
    <row r="1427" spans="1:14" ht="45" customHeight="1" thickBot="1" x14ac:dyDescent="0.4">
      <c r="A1427" s="103"/>
      <c r="B1427" s="103"/>
      <c r="C1427" s="103"/>
      <c r="D1427" s="103"/>
      <c r="E1427" s="103"/>
      <c r="F1427" s="103"/>
      <c r="G1427" s="103"/>
      <c r="H1427" s="103"/>
      <c r="I1427" s="103"/>
      <c r="J1427" s="103"/>
      <c r="K1427" s="103"/>
      <c r="L1427" s="103"/>
      <c r="M1427" s="104"/>
      <c r="N1427" s="103"/>
    </row>
    <row r="1428" spans="1:14" ht="45" customHeight="1" thickBot="1" x14ac:dyDescent="0.4">
      <c r="A1428" s="103"/>
      <c r="B1428" s="103"/>
      <c r="C1428" s="103"/>
      <c r="D1428" s="103"/>
      <c r="E1428" s="103"/>
      <c r="F1428" s="103"/>
      <c r="G1428" s="103"/>
      <c r="H1428" s="103"/>
      <c r="I1428" s="103"/>
      <c r="J1428" s="103"/>
      <c r="K1428" s="103"/>
      <c r="L1428" s="103"/>
      <c r="M1428" s="104"/>
      <c r="N1428" s="103"/>
    </row>
    <row r="1429" spans="1:14" ht="45" customHeight="1" thickBot="1" x14ac:dyDescent="0.4">
      <c r="A1429" s="103"/>
      <c r="B1429" s="103"/>
      <c r="C1429" s="103"/>
      <c r="D1429" s="103"/>
      <c r="E1429" s="103"/>
      <c r="F1429" s="103"/>
      <c r="G1429" s="103"/>
      <c r="H1429" s="103"/>
      <c r="I1429" s="103"/>
      <c r="J1429" s="103"/>
      <c r="K1429" s="103"/>
      <c r="L1429" s="103"/>
      <c r="M1429" s="104"/>
      <c r="N1429" s="103"/>
    </row>
    <row r="1430" spans="1:14" ht="45" customHeight="1" thickBot="1" x14ac:dyDescent="0.4">
      <c r="A1430" s="103"/>
      <c r="B1430" s="103"/>
      <c r="C1430" s="103"/>
      <c r="D1430" s="103"/>
      <c r="E1430" s="103"/>
      <c r="F1430" s="103"/>
      <c r="G1430" s="103"/>
      <c r="H1430" s="103"/>
      <c r="I1430" s="103"/>
      <c r="J1430" s="103"/>
      <c r="K1430" s="103"/>
      <c r="L1430" s="103"/>
      <c r="M1430" s="104"/>
      <c r="N1430" s="103"/>
    </row>
    <row r="1431" spans="1:14" ht="45" customHeight="1" thickBot="1" x14ac:dyDescent="0.4">
      <c r="A1431" s="103"/>
      <c r="B1431" s="103"/>
      <c r="C1431" s="103"/>
      <c r="D1431" s="103"/>
      <c r="E1431" s="103"/>
      <c r="F1431" s="103"/>
      <c r="G1431" s="103"/>
      <c r="H1431" s="103"/>
      <c r="I1431" s="103"/>
      <c r="J1431" s="103"/>
      <c r="K1431" s="103"/>
      <c r="L1431" s="103"/>
      <c r="M1431" s="104"/>
      <c r="N1431" s="103"/>
    </row>
    <row r="1432" spans="1:14" ht="45" customHeight="1" thickBot="1" x14ac:dyDescent="0.4">
      <c r="A1432" s="103"/>
      <c r="B1432" s="103"/>
      <c r="C1432" s="103"/>
      <c r="D1432" s="103"/>
      <c r="E1432" s="103"/>
      <c r="F1432" s="103"/>
      <c r="G1432" s="103"/>
      <c r="H1432" s="103"/>
      <c r="I1432" s="103"/>
      <c r="J1432" s="103"/>
      <c r="K1432" s="103"/>
      <c r="L1432" s="103"/>
      <c r="M1432" s="104"/>
      <c r="N1432" s="103"/>
    </row>
    <row r="1433" spans="1:14" ht="45" customHeight="1" thickBot="1" x14ac:dyDescent="0.4">
      <c r="A1433" s="103"/>
      <c r="B1433" s="103"/>
      <c r="C1433" s="103"/>
      <c r="D1433" s="103"/>
      <c r="E1433" s="103"/>
      <c r="F1433" s="103"/>
      <c r="G1433" s="103"/>
      <c r="H1433" s="103"/>
      <c r="I1433" s="103"/>
      <c r="J1433" s="103"/>
      <c r="K1433" s="103"/>
      <c r="L1433" s="103"/>
      <c r="M1433" s="104"/>
      <c r="N1433" s="103"/>
    </row>
    <row r="1434" spans="1:14" ht="45" customHeight="1" thickBot="1" x14ac:dyDescent="0.4">
      <c r="A1434" s="103"/>
      <c r="B1434" s="103"/>
      <c r="C1434" s="103"/>
      <c r="D1434" s="103"/>
      <c r="E1434" s="103"/>
      <c r="F1434" s="103"/>
      <c r="G1434" s="103"/>
      <c r="H1434" s="103"/>
      <c r="I1434" s="103"/>
      <c r="J1434" s="103"/>
      <c r="K1434" s="103"/>
      <c r="L1434" s="103"/>
      <c r="M1434" s="104"/>
      <c r="N1434" s="103"/>
    </row>
    <row r="1435" spans="1:14" ht="45" customHeight="1" thickBot="1" x14ac:dyDescent="0.4">
      <c r="A1435" s="103"/>
      <c r="B1435" s="103"/>
      <c r="C1435" s="103"/>
      <c r="D1435" s="103"/>
      <c r="E1435" s="103"/>
      <c r="F1435" s="103"/>
      <c r="G1435" s="103"/>
      <c r="H1435" s="103"/>
      <c r="I1435" s="103"/>
      <c r="J1435" s="103"/>
      <c r="K1435" s="103"/>
      <c r="L1435" s="103"/>
      <c r="M1435" s="104"/>
      <c r="N1435" s="103"/>
    </row>
    <row r="1436" spans="1:14" ht="45" customHeight="1" thickBot="1" x14ac:dyDescent="0.4">
      <c r="A1436" s="103"/>
      <c r="B1436" s="103"/>
      <c r="C1436" s="103"/>
      <c r="D1436" s="103"/>
      <c r="E1436" s="103"/>
      <c r="F1436" s="103"/>
      <c r="G1436" s="103"/>
      <c r="H1436" s="103"/>
      <c r="I1436" s="103"/>
      <c r="J1436" s="103"/>
      <c r="K1436" s="103"/>
      <c r="L1436" s="103"/>
      <c r="M1436" s="104"/>
      <c r="N1436" s="103"/>
    </row>
    <row r="1437" spans="1:14" ht="45" customHeight="1" thickBot="1" x14ac:dyDescent="0.4">
      <c r="A1437" s="103"/>
      <c r="B1437" s="103"/>
      <c r="C1437" s="103"/>
      <c r="D1437" s="103"/>
      <c r="E1437" s="103"/>
      <c r="F1437" s="103"/>
      <c r="G1437" s="103"/>
      <c r="H1437" s="103"/>
      <c r="I1437" s="103"/>
      <c r="J1437" s="103"/>
      <c r="K1437" s="103"/>
      <c r="L1437" s="103"/>
      <c r="M1437" s="104"/>
      <c r="N1437" s="103"/>
    </row>
    <row r="1438" spans="1:14" ht="45" customHeight="1" thickBot="1" x14ac:dyDescent="0.4">
      <c r="A1438" s="103"/>
      <c r="B1438" s="103"/>
      <c r="C1438" s="103"/>
      <c r="D1438" s="103"/>
      <c r="E1438" s="103"/>
      <c r="F1438" s="103"/>
      <c r="G1438" s="103"/>
      <c r="H1438" s="103"/>
      <c r="I1438" s="103"/>
      <c r="J1438" s="103"/>
      <c r="K1438" s="103"/>
      <c r="L1438" s="103"/>
      <c r="M1438" s="104"/>
      <c r="N1438" s="103"/>
    </row>
    <row r="1439" spans="1:14" ht="45" customHeight="1" thickBot="1" x14ac:dyDescent="0.4">
      <c r="A1439" s="103"/>
      <c r="B1439" s="103"/>
      <c r="C1439" s="103"/>
      <c r="D1439" s="103"/>
      <c r="E1439" s="103"/>
      <c r="F1439" s="103"/>
      <c r="G1439" s="103"/>
      <c r="H1439" s="103"/>
      <c r="I1439" s="103"/>
      <c r="J1439" s="103"/>
      <c r="K1439" s="103"/>
      <c r="L1439" s="103"/>
      <c r="M1439" s="104"/>
      <c r="N1439" s="103"/>
    </row>
    <row r="1440" spans="1:14" ht="45" customHeight="1" thickBot="1" x14ac:dyDescent="0.4">
      <c r="A1440" s="103"/>
      <c r="B1440" s="103"/>
      <c r="C1440" s="103"/>
      <c r="D1440" s="103"/>
      <c r="E1440" s="103"/>
      <c r="F1440" s="103"/>
      <c r="G1440" s="103"/>
      <c r="H1440" s="103"/>
      <c r="I1440" s="103"/>
      <c r="J1440" s="103"/>
      <c r="K1440" s="103"/>
      <c r="L1440" s="103"/>
      <c r="M1440" s="104"/>
      <c r="N1440" s="103"/>
    </row>
    <row r="1441" spans="1:14" ht="45" customHeight="1" thickBot="1" x14ac:dyDescent="0.4">
      <c r="A1441" s="103"/>
      <c r="B1441" s="103"/>
      <c r="C1441" s="103"/>
      <c r="D1441" s="103"/>
      <c r="E1441" s="103"/>
      <c r="F1441" s="103"/>
      <c r="G1441" s="103"/>
      <c r="H1441" s="103"/>
      <c r="I1441" s="103"/>
      <c r="J1441" s="103"/>
      <c r="K1441" s="103"/>
      <c r="L1441" s="103"/>
      <c r="M1441" s="104"/>
      <c r="N1441" s="103"/>
    </row>
    <row r="1442" spans="1:14" ht="45" customHeight="1" thickBot="1" x14ac:dyDescent="0.4">
      <c r="A1442" s="103"/>
      <c r="B1442" s="103"/>
      <c r="C1442" s="103"/>
      <c r="D1442" s="103"/>
      <c r="E1442" s="103"/>
      <c r="F1442" s="103"/>
      <c r="G1442" s="103"/>
      <c r="H1442" s="103"/>
      <c r="I1442" s="103"/>
      <c r="J1442" s="103"/>
      <c r="K1442" s="103"/>
      <c r="L1442" s="103"/>
      <c r="M1442" s="104"/>
      <c r="N1442" s="103"/>
    </row>
    <row r="1443" spans="1:14" ht="45" customHeight="1" thickBot="1" x14ac:dyDescent="0.4">
      <c r="A1443" s="103"/>
      <c r="B1443" s="103"/>
      <c r="C1443" s="103"/>
      <c r="D1443" s="103"/>
      <c r="E1443" s="103"/>
      <c r="F1443" s="103"/>
      <c r="G1443" s="103"/>
      <c r="H1443" s="103"/>
      <c r="I1443" s="103"/>
      <c r="J1443" s="103"/>
      <c r="K1443" s="103"/>
      <c r="L1443" s="103"/>
      <c r="M1443" s="104"/>
      <c r="N1443" s="103"/>
    </row>
    <row r="1444" spans="1:14" ht="45" customHeight="1" thickBot="1" x14ac:dyDescent="0.4">
      <c r="A1444" s="103"/>
      <c r="B1444" s="103"/>
      <c r="C1444" s="103"/>
      <c r="D1444" s="103"/>
      <c r="E1444" s="103"/>
      <c r="F1444" s="103"/>
      <c r="G1444" s="103"/>
      <c r="H1444" s="103"/>
      <c r="I1444" s="103"/>
      <c r="J1444" s="103"/>
      <c r="K1444" s="103"/>
      <c r="L1444" s="103"/>
      <c r="M1444" s="104"/>
      <c r="N1444" s="103"/>
    </row>
    <row r="1445" spans="1:14" ht="45" customHeight="1" thickBot="1" x14ac:dyDescent="0.4">
      <c r="A1445" s="103"/>
      <c r="B1445" s="103"/>
      <c r="C1445" s="103"/>
      <c r="D1445" s="103"/>
      <c r="E1445" s="103"/>
      <c r="F1445" s="103"/>
      <c r="G1445" s="103"/>
      <c r="H1445" s="103"/>
      <c r="I1445" s="103"/>
      <c r="J1445" s="103"/>
      <c r="K1445" s="103"/>
      <c r="L1445" s="103"/>
      <c r="M1445" s="104"/>
      <c r="N1445" s="103"/>
    </row>
    <row r="1446" spans="1:14" ht="45" customHeight="1" thickBot="1" x14ac:dyDescent="0.4">
      <c r="A1446" s="103"/>
      <c r="B1446" s="103"/>
      <c r="C1446" s="103"/>
      <c r="D1446" s="103"/>
      <c r="E1446" s="103"/>
      <c r="F1446" s="103"/>
      <c r="G1446" s="103"/>
      <c r="H1446" s="103"/>
      <c r="I1446" s="103"/>
      <c r="J1446" s="103"/>
      <c r="K1446" s="103"/>
      <c r="L1446" s="103"/>
      <c r="M1446" s="104"/>
      <c r="N1446" s="103"/>
    </row>
    <row r="1447" spans="1:14" ht="45" customHeight="1" thickBot="1" x14ac:dyDescent="0.4">
      <c r="A1447" s="103"/>
      <c r="B1447" s="103"/>
      <c r="C1447" s="103"/>
      <c r="D1447" s="103"/>
      <c r="E1447" s="103"/>
      <c r="F1447" s="103"/>
      <c r="G1447" s="103"/>
      <c r="H1447" s="103"/>
      <c r="I1447" s="103"/>
      <c r="J1447" s="103"/>
      <c r="K1447" s="103"/>
      <c r="L1447" s="103"/>
      <c r="M1447" s="104"/>
      <c r="N1447" s="103"/>
    </row>
    <row r="1448" spans="1:14" ht="45" customHeight="1" thickBot="1" x14ac:dyDescent="0.4">
      <c r="A1448" s="103"/>
      <c r="B1448" s="103"/>
      <c r="C1448" s="103"/>
      <c r="D1448" s="103"/>
      <c r="E1448" s="103"/>
      <c r="F1448" s="103"/>
      <c r="G1448" s="103"/>
      <c r="H1448" s="103"/>
      <c r="I1448" s="103"/>
      <c r="J1448" s="103"/>
      <c r="K1448" s="103"/>
      <c r="L1448" s="103"/>
      <c r="M1448" s="104"/>
      <c r="N1448" s="103"/>
    </row>
    <row r="1449" spans="1:14" ht="45" customHeight="1" thickBot="1" x14ac:dyDescent="0.4">
      <c r="A1449" s="103"/>
      <c r="B1449" s="103"/>
      <c r="C1449" s="103"/>
      <c r="D1449" s="103"/>
      <c r="E1449" s="103"/>
      <c r="F1449" s="103"/>
      <c r="G1449" s="103"/>
      <c r="H1449" s="103"/>
      <c r="I1449" s="103"/>
      <c r="J1449" s="103"/>
      <c r="K1449" s="103"/>
      <c r="L1449" s="103"/>
      <c r="M1449" s="104"/>
      <c r="N1449" s="103"/>
    </row>
    <row r="1450" spans="1:14" ht="45" customHeight="1" thickBot="1" x14ac:dyDescent="0.4">
      <c r="A1450" s="103"/>
      <c r="B1450" s="103"/>
      <c r="C1450" s="103"/>
      <c r="D1450" s="103"/>
      <c r="E1450" s="103"/>
      <c r="F1450" s="103"/>
      <c r="G1450" s="103"/>
      <c r="H1450" s="103"/>
      <c r="I1450" s="103"/>
      <c r="J1450" s="103"/>
      <c r="K1450" s="103"/>
      <c r="L1450" s="103"/>
      <c r="M1450" s="104"/>
      <c r="N1450" s="103"/>
    </row>
    <row r="1451" spans="1:14" ht="45" customHeight="1" thickBot="1" x14ac:dyDescent="0.4">
      <c r="A1451" s="103"/>
      <c r="B1451" s="103"/>
      <c r="C1451" s="103"/>
      <c r="D1451" s="103"/>
      <c r="E1451" s="103"/>
      <c r="F1451" s="103"/>
      <c r="G1451" s="103"/>
      <c r="H1451" s="103"/>
      <c r="I1451" s="103"/>
      <c r="J1451" s="103"/>
      <c r="K1451" s="103"/>
      <c r="L1451" s="103"/>
      <c r="M1451" s="104"/>
      <c r="N1451" s="103"/>
    </row>
    <row r="1452" spans="1:14" ht="45" customHeight="1" thickBot="1" x14ac:dyDescent="0.4">
      <c r="A1452" s="103"/>
      <c r="B1452" s="103"/>
      <c r="C1452" s="103"/>
      <c r="D1452" s="103"/>
      <c r="E1452" s="103"/>
      <c r="F1452" s="103"/>
      <c r="G1452" s="103"/>
      <c r="H1452" s="103"/>
      <c r="I1452" s="103"/>
      <c r="J1452" s="103"/>
      <c r="K1452" s="103"/>
      <c r="L1452" s="103"/>
      <c r="M1452" s="104"/>
      <c r="N1452" s="103"/>
    </row>
    <row r="1453" spans="1:14" ht="45" customHeight="1" thickBot="1" x14ac:dyDescent="0.4">
      <c r="A1453" s="103"/>
      <c r="B1453" s="103"/>
      <c r="C1453" s="103"/>
      <c r="D1453" s="103"/>
      <c r="E1453" s="103"/>
      <c r="F1453" s="103"/>
      <c r="G1453" s="103"/>
      <c r="H1453" s="103"/>
      <c r="I1453" s="103"/>
      <c r="J1453" s="103"/>
      <c r="K1453" s="103"/>
      <c r="L1453" s="103"/>
      <c r="M1453" s="104"/>
      <c r="N1453" s="103"/>
    </row>
    <row r="1454" spans="1:14" ht="45" customHeight="1" thickBot="1" x14ac:dyDescent="0.4">
      <c r="A1454" s="103"/>
      <c r="B1454" s="103"/>
      <c r="C1454" s="103"/>
      <c r="D1454" s="103"/>
      <c r="E1454" s="103"/>
      <c r="F1454" s="103"/>
      <c r="G1454" s="103"/>
      <c r="H1454" s="103"/>
      <c r="I1454" s="103"/>
      <c r="J1454" s="103"/>
      <c r="K1454" s="103"/>
      <c r="L1454" s="103"/>
      <c r="M1454" s="104"/>
      <c r="N1454" s="103"/>
    </row>
    <row r="1455" spans="1:14" ht="45" customHeight="1" thickBot="1" x14ac:dyDescent="0.4">
      <c r="A1455" s="103"/>
      <c r="B1455" s="103"/>
      <c r="C1455" s="103"/>
      <c r="D1455" s="103"/>
      <c r="E1455" s="103"/>
      <c r="F1455" s="103"/>
      <c r="G1455" s="103"/>
      <c r="H1455" s="103"/>
      <c r="I1455" s="103"/>
      <c r="J1455" s="103"/>
      <c r="K1455" s="103"/>
      <c r="L1455" s="103"/>
      <c r="M1455" s="104"/>
      <c r="N1455" s="103"/>
    </row>
    <row r="1456" spans="1:14" ht="45" customHeight="1" thickBot="1" x14ac:dyDescent="0.4">
      <c r="A1456" s="103"/>
      <c r="B1456" s="103"/>
      <c r="C1456" s="103"/>
      <c r="D1456" s="103"/>
      <c r="E1456" s="103"/>
      <c r="F1456" s="103"/>
      <c r="G1456" s="103"/>
      <c r="H1456" s="103"/>
      <c r="I1456" s="103"/>
      <c r="J1456" s="103"/>
      <c r="K1456" s="103"/>
      <c r="L1456" s="103"/>
      <c r="M1456" s="104"/>
      <c r="N1456" s="103"/>
    </row>
    <row r="1457" spans="1:14" ht="45" customHeight="1" thickBot="1" x14ac:dyDescent="0.4">
      <c r="A1457" s="103"/>
      <c r="B1457" s="103"/>
      <c r="C1457" s="103"/>
      <c r="D1457" s="103"/>
      <c r="E1457" s="103"/>
      <c r="F1457" s="103"/>
      <c r="G1457" s="103"/>
      <c r="H1457" s="103"/>
      <c r="I1457" s="103"/>
      <c r="J1457" s="103"/>
      <c r="K1457" s="103"/>
      <c r="L1457" s="103"/>
      <c r="M1457" s="104"/>
      <c r="N1457" s="103"/>
    </row>
    <row r="1458" spans="1:14" ht="45" customHeight="1" thickBot="1" x14ac:dyDescent="0.4">
      <c r="A1458" s="103"/>
      <c r="B1458" s="103"/>
      <c r="C1458" s="103"/>
      <c r="D1458" s="103"/>
      <c r="E1458" s="103"/>
      <c r="F1458" s="103"/>
      <c r="G1458" s="103"/>
      <c r="H1458" s="103"/>
      <c r="I1458" s="103"/>
      <c r="J1458" s="103"/>
      <c r="K1458" s="103"/>
      <c r="L1458" s="103"/>
      <c r="M1458" s="104"/>
      <c r="N1458" s="103"/>
    </row>
    <row r="1459" spans="1:14" ht="45" customHeight="1" thickBot="1" x14ac:dyDescent="0.4">
      <c r="A1459" s="103"/>
      <c r="B1459" s="103"/>
      <c r="C1459" s="103"/>
      <c r="D1459" s="103"/>
      <c r="E1459" s="103"/>
      <c r="F1459" s="103"/>
      <c r="G1459" s="103"/>
      <c r="H1459" s="103"/>
      <c r="I1459" s="103"/>
      <c r="J1459" s="103"/>
      <c r="K1459" s="103"/>
      <c r="L1459" s="103"/>
      <c r="M1459" s="104"/>
      <c r="N1459" s="103"/>
    </row>
    <row r="1460" spans="1:14" ht="45" customHeight="1" thickBot="1" x14ac:dyDescent="0.4">
      <c r="A1460" s="103"/>
      <c r="B1460" s="103"/>
      <c r="C1460" s="103"/>
      <c r="D1460" s="103"/>
      <c r="E1460" s="103"/>
      <c r="F1460" s="103"/>
      <c r="G1460" s="103"/>
      <c r="H1460" s="103"/>
      <c r="I1460" s="103"/>
      <c r="J1460" s="103"/>
      <c r="K1460" s="103"/>
      <c r="L1460" s="103"/>
      <c r="M1460" s="104"/>
      <c r="N1460" s="103"/>
    </row>
    <row r="1461" spans="1:14" ht="45" customHeight="1" thickBot="1" x14ac:dyDescent="0.4">
      <c r="A1461" s="103"/>
      <c r="B1461" s="103"/>
      <c r="C1461" s="103"/>
      <c r="D1461" s="103"/>
      <c r="E1461" s="103"/>
      <c r="F1461" s="103"/>
      <c r="G1461" s="103"/>
      <c r="H1461" s="103"/>
      <c r="I1461" s="103"/>
      <c r="J1461" s="103"/>
      <c r="K1461" s="103"/>
      <c r="L1461" s="103"/>
      <c r="M1461" s="104"/>
      <c r="N1461" s="103"/>
    </row>
    <row r="1462" spans="1:14" ht="45" customHeight="1" thickBot="1" x14ac:dyDescent="0.4">
      <c r="A1462" s="103"/>
      <c r="B1462" s="103"/>
      <c r="C1462" s="103"/>
      <c r="D1462" s="103"/>
      <c r="E1462" s="103"/>
      <c r="F1462" s="103"/>
      <c r="G1462" s="103"/>
      <c r="H1462" s="103"/>
      <c r="I1462" s="103"/>
      <c r="J1462" s="103"/>
      <c r="K1462" s="103"/>
      <c r="L1462" s="103"/>
      <c r="M1462" s="104"/>
      <c r="N1462" s="103"/>
    </row>
    <row r="1463" spans="1:14" ht="45" customHeight="1" thickBot="1" x14ac:dyDescent="0.4">
      <c r="A1463" s="103"/>
      <c r="B1463" s="103"/>
      <c r="C1463" s="103"/>
      <c r="D1463" s="103"/>
      <c r="E1463" s="103"/>
      <c r="F1463" s="103"/>
      <c r="G1463" s="103"/>
      <c r="H1463" s="103"/>
      <c r="I1463" s="103"/>
      <c r="J1463" s="103"/>
      <c r="K1463" s="103"/>
      <c r="L1463" s="103"/>
      <c r="M1463" s="104"/>
      <c r="N1463" s="103"/>
    </row>
    <row r="1464" spans="1:14" ht="45" customHeight="1" thickBot="1" x14ac:dyDescent="0.4">
      <c r="A1464" s="103"/>
      <c r="B1464" s="103"/>
      <c r="C1464" s="103"/>
      <c r="D1464" s="103"/>
      <c r="E1464" s="103"/>
      <c r="F1464" s="103"/>
      <c r="G1464" s="103"/>
      <c r="H1464" s="103"/>
      <c r="I1464" s="103"/>
      <c r="J1464" s="103"/>
      <c r="K1464" s="103"/>
      <c r="L1464" s="103"/>
      <c r="M1464" s="104"/>
      <c r="N1464" s="103"/>
    </row>
    <row r="1465" spans="1:14" ht="45" customHeight="1" thickBot="1" x14ac:dyDescent="0.4">
      <c r="A1465" s="103"/>
      <c r="B1465" s="103"/>
      <c r="C1465" s="103"/>
      <c r="D1465" s="103"/>
      <c r="E1465" s="103"/>
      <c r="F1465" s="103"/>
      <c r="G1465" s="103"/>
      <c r="H1465" s="103"/>
      <c r="I1465" s="103"/>
      <c r="J1465" s="103"/>
      <c r="K1465" s="103"/>
      <c r="L1465" s="103"/>
      <c r="M1465" s="104"/>
      <c r="N1465" s="103"/>
    </row>
    <row r="1466" spans="1:14" ht="45" customHeight="1" thickBot="1" x14ac:dyDescent="0.4">
      <c r="A1466" s="103"/>
      <c r="B1466" s="103"/>
      <c r="C1466" s="103"/>
      <c r="D1466" s="103"/>
      <c r="E1466" s="103"/>
      <c r="F1466" s="103"/>
      <c r="G1466" s="103"/>
      <c r="H1466" s="103"/>
      <c r="I1466" s="103"/>
      <c r="J1466" s="103"/>
      <c r="K1466" s="103"/>
      <c r="L1466" s="103"/>
      <c r="M1466" s="104"/>
      <c r="N1466" s="103"/>
    </row>
    <row r="1467" spans="1:14" ht="45" customHeight="1" thickBot="1" x14ac:dyDescent="0.4">
      <c r="A1467" s="103"/>
      <c r="B1467" s="103"/>
      <c r="C1467" s="103"/>
      <c r="D1467" s="103"/>
      <c r="E1467" s="103"/>
      <c r="F1467" s="103"/>
      <c r="G1467" s="103"/>
      <c r="H1467" s="103"/>
      <c r="I1467" s="103"/>
      <c r="J1467" s="103"/>
      <c r="K1467" s="103"/>
      <c r="L1467" s="103"/>
      <c r="M1467" s="104"/>
      <c r="N1467" s="103"/>
    </row>
    <row r="1468" spans="1:14" ht="45" customHeight="1" thickBot="1" x14ac:dyDescent="0.4">
      <c r="A1468" s="103"/>
      <c r="B1468" s="103"/>
      <c r="C1468" s="103"/>
      <c r="D1468" s="103"/>
      <c r="E1468" s="103"/>
      <c r="F1468" s="103"/>
      <c r="G1468" s="103"/>
      <c r="H1468" s="103"/>
      <c r="I1468" s="103"/>
      <c r="J1468" s="103"/>
      <c r="K1468" s="103"/>
      <c r="L1468" s="103"/>
      <c r="M1468" s="104"/>
      <c r="N1468" s="103"/>
    </row>
    <row r="1469" spans="1:14" ht="45" customHeight="1" thickBot="1" x14ac:dyDescent="0.4">
      <c r="A1469" s="103"/>
      <c r="B1469" s="103"/>
      <c r="C1469" s="103"/>
      <c r="D1469" s="103"/>
      <c r="E1469" s="103"/>
      <c r="F1469" s="103"/>
      <c r="G1469" s="103"/>
      <c r="H1469" s="103"/>
      <c r="I1469" s="103"/>
      <c r="J1469" s="103"/>
      <c r="K1469" s="103"/>
      <c r="L1469" s="103"/>
      <c r="M1469" s="104"/>
      <c r="N1469" s="103"/>
    </row>
    <row r="1470" spans="1:14" ht="45" customHeight="1" thickBot="1" x14ac:dyDescent="0.4">
      <c r="A1470" s="103"/>
      <c r="B1470" s="103"/>
      <c r="C1470" s="103"/>
      <c r="D1470" s="103"/>
      <c r="E1470" s="103"/>
      <c r="F1470" s="103"/>
      <c r="G1470" s="103"/>
      <c r="H1470" s="103"/>
      <c r="I1470" s="103"/>
      <c r="J1470" s="103"/>
      <c r="K1470" s="103"/>
      <c r="L1470" s="103"/>
      <c r="M1470" s="104"/>
      <c r="N1470" s="103"/>
    </row>
    <row r="1471" spans="1:14" ht="45" customHeight="1" thickBot="1" x14ac:dyDescent="0.4">
      <c r="A1471" s="103"/>
      <c r="B1471" s="103"/>
      <c r="C1471" s="103"/>
      <c r="D1471" s="103"/>
      <c r="E1471" s="103"/>
      <c r="F1471" s="103"/>
      <c r="G1471" s="103"/>
      <c r="H1471" s="103"/>
      <c r="I1471" s="103"/>
      <c r="J1471" s="103"/>
      <c r="K1471" s="103"/>
      <c r="L1471" s="103"/>
      <c r="M1471" s="104"/>
      <c r="N1471" s="103"/>
    </row>
    <row r="1472" spans="1:14" ht="45" customHeight="1" thickBot="1" x14ac:dyDescent="0.4">
      <c r="A1472" s="103"/>
      <c r="B1472" s="103"/>
      <c r="C1472" s="103"/>
      <c r="D1472" s="103"/>
      <c r="E1472" s="103"/>
      <c r="F1472" s="103"/>
      <c r="G1472" s="103"/>
      <c r="H1472" s="103"/>
      <c r="I1472" s="103"/>
      <c r="J1472" s="103"/>
      <c r="K1472" s="103"/>
      <c r="L1472" s="103"/>
      <c r="M1472" s="104"/>
      <c r="N1472" s="103"/>
    </row>
    <row r="1473" spans="1:14" ht="45" customHeight="1" thickBot="1" x14ac:dyDescent="0.4">
      <c r="A1473" s="103"/>
      <c r="B1473" s="103"/>
      <c r="C1473" s="103"/>
      <c r="D1473" s="103"/>
      <c r="E1473" s="103"/>
      <c r="F1473" s="103"/>
      <c r="G1473" s="103"/>
      <c r="H1473" s="103"/>
      <c r="I1473" s="103"/>
      <c r="J1473" s="103"/>
      <c r="K1473" s="103"/>
      <c r="L1473" s="103"/>
      <c r="M1473" s="104"/>
      <c r="N1473" s="103"/>
    </row>
    <row r="1474" spans="1:14" ht="45" customHeight="1" thickBot="1" x14ac:dyDescent="0.4">
      <c r="A1474" s="103"/>
      <c r="B1474" s="103"/>
      <c r="C1474" s="103"/>
      <c r="D1474" s="103"/>
      <c r="E1474" s="103"/>
      <c r="F1474" s="103"/>
      <c r="G1474" s="103"/>
      <c r="H1474" s="103"/>
      <c r="I1474" s="103"/>
      <c r="J1474" s="103"/>
      <c r="K1474" s="103"/>
      <c r="L1474" s="103"/>
      <c r="M1474" s="104"/>
      <c r="N1474" s="103"/>
    </row>
    <row r="1475" spans="1:14" ht="45" customHeight="1" thickBot="1" x14ac:dyDescent="0.4">
      <c r="A1475" s="103"/>
      <c r="B1475" s="103"/>
      <c r="C1475" s="103"/>
      <c r="D1475" s="103"/>
      <c r="E1475" s="103"/>
      <c r="F1475" s="103"/>
      <c r="G1475" s="103"/>
      <c r="H1475" s="103"/>
      <c r="I1475" s="103"/>
      <c r="J1475" s="103"/>
      <c r="K1475" s="103"/>
      <c r="L1475" s="103"/>
      <c r="M1475" s="104"/>
      <c r="N1475" s="103"/>
    </row>
    <row r="1476" spans="1:14" ht="45" customHeight="1" thickBot="1" x14ac:dyDescent="0.4">
      <c r="A1476" s="103"/>
      <c r="B1476" s="103"/>
      <c r="C1476" s="103"/>
      <c r="D1476" s="103"/>
      <c r="E1476" s="103"/>
      <c r="F1476" s="103"/>
      <c r="G1476" s="103"/>
      <c r="H1476" s="103"/>
      <c r="I1476" s="103"/>
      <c r="J1476" s="103"/>
      <c r="K1476" s="103"/>
      <c r="L1476" s="103"/>
      <c r="M1476" s="104"/>
      <c r="N1476" s="103"/>
    </row>
    <row r="1477" spans="1:14" ht="45" customHeight="1" thickBot="1" x14ac:dyDescent="0.4">
      <c r="A1477" s="103"/>
      <c r="B1477" s="103"/>
      <c r="C1477" s="103"/>
      <c r="D1477" s="103"/>
      <c r="E1477" s="103"/>
      <c r="F1477" s="103"/>
      <c r="G1477" s="103"/>
      <c r="H1477" s="103"/>
      <c r="I1477" s="103"/>
      <c r="J1477" s="103"/>
      <c r="K1477" s="103"/>
      <c r="L1477" s="103"/>
      <c r="M1477" s="104"/>
      <c r="N1477" s="103"/>
    </row>
    <row r="1478" spans="1:14" ht="45" customHeight="1" thickBot="1" x14ac:dyDescent="0.4">
      <c r="A1478" s="103"/>
      <c r="B1478" s="103"/>
      <c r="C1478" s="103"/>
      <c r="D1478" s="103"/>
      <c r="E1478" s="103"/>
      <c r="F1478" s="103"/>
      <c r="G1478" s="103"/>
      <c r="H1478" s="103"/>
      <c r="I1478" s="103"/>
      <c r="J1478" s="103"/>
      <c r="K1478" s="103"/>
      <c r="L1478" s="103"/>
      <c r="M1478" s="104"/>
      <c r="N1478" s="103"/>
    </row>
    <row r="1479" spans="1:14" ht="45" customHeight="1" thickBot="1" x14ac:dyDescent="0.4">
      <c r="A1479" s="103"/>
      <c r="B1479" s="103"/>
      <c r="C1479" s="103"/>
      <c r="D1479" s="103"/>
      <c r="E1479" s="103"/>
      <c r="F1479" s="103"/>
      <c r="G1479" s="103"/>
      <c r="H1479" s="103"/>
      <c r="I1479" s="103"/>
      <c r="J1479" s="103"/>
      <c r="K1479" s="103"/>
      <c r="L1479" s="103"/>
      <c r="M1479" s="104"/>
      <c r="N1479" s="103"/>
    </row>
    <row r="1480" spans="1:14" ht="45" customHeight="1" thickBot="1" x14ac:dyDescent="0.4">
      <c r="A1480" s="103"/>
      <c r="B1480" s="103"/>
      <c r="C1480" s="103"/>
      <c r="D1480" s="103"/>
      <c r="E1480" s="103"/>
      <c r="F1480" s="103"/>
      <c r="G1480" s="103"/>
      <c r="H1480" s="103"/>
      <c r="I1480" s="103"/>
      <c r="J1480" s="103"/>
      <c r="K1480" s="103"/>
      <c r="L1480" s="103"/>
      <c r="M1480" s="104"/>
      <c r="N1480" s="103"/>
    </row>
    <row r="1481" spans="1:14" ht="45" customHeight="1" thickBot="1" x14ac:dyDescent="0.4">
      <c r="A1481" s="103"/>
      <c r="B1481" s="103"/>
      <c r="C1481" s="103"/>
      <c r="D1481" s="103"/>
      <c r="E1481" s="103"/>
      <c r="F1481" s="103"/>
      <c r="G1481" s="103"/>
      <c r="H1481" s="103"/>
      <c r="I1481" s="103"/>
      <c r="J1481" s="103"/>
      <c r="K1481" s="103"/>
      <c r="L1481" s="103"/>
      <c r="M1481" s="104"/>
      <c r="N1481" s="103"/>
    </row>
    <row r="1482" spans="1:14" ht="45" customHeight="1" thickBot="1" x14ac:dyDescent="0.4">
      <c r="A1482" s="103"/>
      <c r="B1482" s="103"/>
      <c r="C1482" s="103"/>
      <c r="D1482" s="103"/>
      <c r="E1482" s="103"/>
      <c r="F1482" s="103"/>
      <c r="G1482" s="103"/>
      <c r="H1482" s="103"/>
      <c r="I1482" s="103"/>
      <c r="J1482" s="103"/>
      <c r="K1482" s="103"/>
      <c r="L1482" s="103"/>
      <c r="M1482" s="104"/>
      <c r="N1482" s="103"/>
    </row>
    <row r="1483" spans="1:14" ht="45" customHeight="1" thickBot="1" x14ac:dyDescent="0.4">
      <c r="A1483" s="103"/>
      <c r="B1483" s="103"/>
      <c r="C1483" s="103"/>
      <c r="D1483" s="103"/>
      <c r="E1483" s="103"/>
      <c r="F1483" s="103"/>
      <c r="G1483" s="103"/>
      <c r="H1483" s="103"/>
      <c r="I1483" s="103"/>
      <c r="J1483" s="103"/>
      <c r="K1483" s="103"/>
      <c r="L1483" s="103"/>
      <c r="M1483" s="104"/>
      <c r="N1483" s="103"/>
    </row>
    <row r="1484" spans="1:14" ht="45" customHeight="1" thickBot="1" x14ac:dyDescent="0.4">
      <c r="A1484" s="103"/>
      <c r="B1484" s="103"/>
      <c r="C1484" s="103"/>
      <c r="D1484" s="103"/>
      <c r="E1484" s="103"/>
      <c r="F1484" s="103"/>
      <c r="G1484" s="103"/>
      <c r="H1484" s="103"/>
      <c r="I1484" s="103"/>
      <c r="J1484" s="103"/>
      <c r="K1484" s="103"/>
      <c r="L1484" s="103"/>
      <c r="M1484" s="104"/>
      <c r="N1484" s="103"/>
    </row>
    <row r="1485" spans="1:14" ht="45" customHeight="1" thickBot="1" x14ac:dyDescent="0.4">
      <c r="A1485" s="103"/>
      <c r="B1485" s="103"/>
      <c r="C1485" s="103"/>
      <c r="D1485" s="103"/>
      <c r="E1485" s="103"/>
      <c r="F1485" s="103"/>
      <c r="G1485" s="103"/>
      <c r="H1485" s="103"/>
      <c r="I1485" s="103"/>
      <c r="J1485" s="103"/>
      <c r="K1485" s="103"/>
      <c r="L1485" s="103"/>
      <c r="M1485" s="104"/>
      <c r="N1485" s="103"/>
    </row>
    <row r="1486" spans="1:14" ht="45" customHeight="1" thickBot="1" x14ac:dyDescent="0.4">
      <c r="A1486" s="103"/>
      <c r="B1486" s="103"/>
      <c r="C1486" s="103"/>
      <c r="D1486" s="103"/>
      <c r="E1486" s="103"/>
      <c r="F1486" s="103"/>
      <c r="G1486" s="103"/>
      <c r="H1486" s="103"/>
      <c r="I1486" s="103"/>
      <c r="J1486" s="103"/>
      <c r="K1486" s="103"/>
      <c r="L1486" s="103"/>
      <c r="M1486" s="104"/>
      <c r="N1486" s="103"/>
    </row>
    <row r="1487" spans="1:14" ht="45" customHeight="1" thickBot="1" x14ac:dyDescent="0.4">
      <c r="A1487" s="103"/>
      <c r="B1487" s="103"/>
      <c r="C1487" s="103"/>
      <c r="D1487" s="103"/>
      <c r="E1487" s="103"/>
      <c r="F1487" s="103"/>
      <c r="G1487" s="103"/>
      <c r="H1487" s="103"/>
      <c r="I1487" s="103"/>
      <c r="J1487" s="103"/>
      <c r="K1487" s="103"/>
      <c r="L1487" s="103"/>
      <c r="M1487" s="104"/>
      <c r="N1487" s="103"/>
    </row>
    <row r="1488" spans="1:14" ht="45" customHeight="1" thickBot="1" x14ac:dyDescent="0.4">
      <c r="A1488" s="103"/>
      <c r="B1488" s="103"/>
      <c r="C1488" s="103"/>
      <c r="D1488" s="103"/>
      <c r="E1488" s="103"/>
      <c r="F1488" s="103"/>
      <c r="G1488" s="103"/>
      <c r="H1488" s="103"/>
      <c r="I1488" s="103"/>
      <c r="J1488" s="103"/>
      <c r="K1488" s="103"/>
      <c r="L1488" s="103"/>
      <c r="M1488" s="104"/>
      <c r="N1488" s="103"/>
    </row>
    <row r="1489" spans="1:14" ht="45" customHeight="1" thickBot="1" x14ac:dyDescent="0.4">
      <c r="A1489" s="103"/>
      <c r="B1489" s="103"/>
      <c r="C1489" s="103"/>
      <c r="D1489" s="103"/>
      <c r="E1489" s="103"/>
      <c r="F1489" s="103"/>
      <c r="G1489" s="103"/>
      <c r="H1489" s="103"/>
      <c r="I1489" s="103"/>
      <c r="J1489" s="103"/>
      <c r="K1489" s="103"/>
      <c r="L1489" s="103"/>
      <c r="M1489" s="104"/>
      <c r="N1489" s="103"/>
    </row>
    <row r="1490" spans="1:14" ht="45" customHeight="1" thickBot="1" x14ac:dyDescent="0.4">
      <c r="A1490" s="103"/>
      <c r="B1490" s="103"/>
      <c r="C1490" s="103"/>
      <c r="D1490" s="103"/>
      <c r="E1490" s="103"/>
      <c r="F1490" s="103"/>
      <c r="G1490" s="103"/>
      <c r="H1490" s="103"/>
      <c r="I1490" s="103"/>
      <c r="J1490" s="103"/>
      <c r="K1490" s="103"/>
      <c r="L1490" s="103"/>
      <c r="M1490" s="104"/>
      <c r="N1490" s="103"/>
    </row>
    <row r="1491" spans="1:14" ht="45" customHeight="1" thickBot="1" x14ac:dyDescent="0.4">
      <c r="A1491" s="103"/>
      <c r="B1491" s="103"/>
      <c r="C1491" s="103"/>
      <c r="D1491" s="103"/>
      <c r="E1491" s="103"/>
      <c r="F1491" s="103"/>
      <c r="G1491" s="103"/>
      <c r="H1491" s="103"/>
      <c r="I1491" s="103"/>
      <c r="J1491" s="103"/>
      <c r="K1491" s="103"/>
      <c r="L1491" s="103"/>
      <c r="M1491" s="104"/>
      <c r="N1491" s="103"/>
    </row>
    <row r="1492" spans="1:14" ht="45" customHeight="1" thickBot="1" x14ac:dyDescent="0.4">
      <c r="A1492" s="103"/>
      <c r="B1492" s="103"/>
      <c r="C1492" s="103"/>
      <c r="D1492" s="103"/>
      <c r="E1492" s="103"/>
      <c r="F1492" s="103"/>
      <c r="G1492" s="103"/>
      <c r="H1492" s="103"/>
      <c r="I1492" s="103"/>
      <c r="J1492" s="103"/>
      <c r="K1492" s="103"/>
      <c r="L1492" s="103"/>
      <c r="M1492" s="104"/>
      <c r="N1492" s="103"/>
    </row>
    <row r="1493" spans="1:14" ht="45" customHeight="1" thickBot="1" x14ac:dyDescent="0.4">
      <c r="A1493" s="103"/>
      <c r="B1493" s="103"/>
      <c r="C1493" s="103"/>
      <c r="D1493" s="103"/>
      <c r="E1493" s="103"/>
      <c r="F1493" s="103"/>
      <c r="G1493" s="103"/>
      <c r="H1493" s="103"/>
      <c r="I1493" s="103"/>
      <c r="J1493" s="103"/>
      <c r="K1493" s="103"/>
      <c r="L1493" s="103"/>
      <c r="M1493" s="104"/>
      <c r="N1493" s="103"/>
    </row>
    <row r="1494" spans="1:14" ht="45" customHeight="1" thickBot="1" x14ac:dyDescent="0.4">
      <c r="A1494" s="103"/>
      <c r="B1494" s="103"/>
      <c r="C1494" s="103"/>
      <c r="D1494" s="103"/>
      <c r="E1494" s="103"/>
      <c r="F1494" s="103"/>
      <c r="G1494" s="103"/>
      <c r="H1494" s="103"/>
      <c r="I1494" s="103"/>
      <c r="J1494" s="103"/>
      <c r="K1494" s="103"/>
      <c r="L1494" s="103"/>
      <c r="M1494" s="104"/>
      <c r="N1494" s="103"/>
    </row>
    <row r="1495" spans="1:14" ht="45" customHeight="1" thickBot="1" x14ac:dyDescent="0.4">
      <c r="A1495" s="103"/>
      <c r="B1495" s="103"/>
      <c r="C1495" s="103"/>
      <c r="D1495" s="103"/>
      <c r="E1495" s="103"/>
      <c r="F1495" s="103"/>
      <c r="G1495" s="103"/>
      <c r="H1495" s="103"/>
      <c r="I1495" s="103"/>
      <c r="J1495" s="103"/>
      <c r="K1495" s="103"/>
      <c r="L1495" s="103"/>
      <c r="M1495" s="104"/>
      <c r="N1495" s="103"/>
    </row>
    <row r="1496" spans="1:14" ht="45" customHeight="1" thickBot="1" x14ac:dyDescent="0.4">
      <c r="A1496" s="103"/>
      <c r="B1496" s="103"/>
      <c r="C1496" s="103"/>
      <c r="D1496" s="103"/>
      <c r="E1496" s="103"/>
      <c r="F1496" s="103"/>
      <c r="G1496" s="103"/>
      <c r="H1496" s="103"/>
      <c r="I1496" s="103"/>
      <c r="J1496" s="103"/>
      <c r="K1496" s="103"/>
      <c r="L1496" s="103"/>
      <c r="M1496" s="104"/>
      <c r="N1496" s="103"/>
    </row>
    <row r="1497" spans="1:14" ht="45" customHeight="1" thickBot="1" x14ac:dyDescent="0.4">
      <c r="A1497" s="103"/>
      <c r="B1497" s="103"/>
      <c r="C1497" s="103"/>
      <c r="D1497" s="103"/>
      <c r="E1497" s="103"/>
      <c r="F1497" s="103"/>
      <c r="G1497" s="103"/>
      <c r="H1497" s="103"/>
      <c r="I1497" s="103"/>
      <c r="J1497" s="103"/>
      <c r="K1497" s="103"/>
      <c r="L1497" s="103"/>
      <c r="M1497" s="104"/>
      <c r="N1497" s="103"/>
    </row>
    <row r="1498" spans="1:14" ht="45" customHeight="1" thickBot="1" x14ac:dyDescent="0.4">
      <c r="A1498" s="103"/>
      <c r="B1498" s="103"/>
      <c r="C1498" s="103"/>
      <c r="D1498" s="103"/>
      <c r="E1498" s="103"/>
      <c r="F1498" s="103"/>
      <c r="G1498" s="103"/>
      <c r="H1498" s="103"/>
      <c r="I1498" s="103"/>
      <c r="J1498" s="103"/>
      <c r="K1498" s="103"/>
      <c r="L1498" s="103"/>
      <c r="M1498" s="104"/>
      <c r="N1498" s="103"/>
    </row>
    <row r="1499" spans="1:14" ht="45" customHeight="1" thickBot="1" x14ac:dyDescent="0.4">
      <c r="A1499" s="103"/>
      <c r="B1499" s="103"/>
      <c r="C1499" s="103"/>
      <c r="D1499" s="103"/>
      <c r="E1499" s="103"/>
      <c r="F1499" s="103"/>
      <c r="G1499" s="103"/>
      <c r="H1499" s="103"/>
      <c r="I1499" s="103"/>
      <c r="J1499" s="103"/>
      <c r="K1499" s="103"/>
      <c r="L1499" s="103"/>
      <c r="M1499" s="104"/>
      <c r="N1499" s="103"/>
    </row>
    <row r="1500" spans="1:14" ht="45" customHeight="1" thickBot="1" x14ac:dyDescent="0.4">
      <c r="A1500" s="103"/>
      <c r="B1500" s="103"/>
      <c r="C1500" s="103"/>
      <c r="D1500" s="103"/>
      <c r="E1500" s="103"/>
      <c r="F1500" s="103"/>
      <c r="G1500" s="103"/>
      <c r="H1500" s="103"/>
      <c r="I1500" s="103"/>
      <c r="J1500" s="103"/>
      <c r="K1500" s="103"/>
      <c r="L1500" s="103"/>
      <c r="M1500" s="104"/>
      <c r="N1500" s="103"/>
    </row>
    <row r="1501" spans="1:14" ht="45" customHeight="1" thickBot="1" x14ac:dyDescent="0.4">
      <c r="A1501" s="103"/>
      <c r="B1501" s="103"/>
      <c r="C1501" s="103"/>
      <c r="D1501" s="103"/>
      <c r="E1501" s="103"/>
      <c r="F1501" s="103"/>
      <c r="G1501" s="103"/>
      <c r="H1501" s="103"/>
      <c r="I1501" s="103"/>
      <c r="J1501" s="103"/>
      <c r="K1501" s="103"/>
      <c r="L1501" s="103"/>
      <c r="M1501" s="104"/>
      <c r="N1501" s="103"/>
    </row>
    <row r="1502" spans="1:14" ht="45" customHeight="1" thickBot="1" x14ac:dyDescent="0.4">
      <c r="A1502" s="103"/>
      <c r="B1502" s="103"/>
      <c r="C1502" s="103"/>
      <c r="D1502" s="103"/>
      <c r="E1502" s="103"/>
      <c r="F1502" s="103"/>
      <c r="G1502" s="103"/>
      <c r="H1502" s="103"/>
      <c r="I1502" s="103"/>
      <c r="J1502" s="103"/>
      <c r="K1502" s="103"/>
      <c r="L1502" s="103"/>
      <c r="M1502" s="104"/>
      <c r="N1502" s="103"/>
    </row>
    <row r="1503" spans="1:14" ht="45" customHeight="1" thickBot="1" x14ac:dyDescent="0.4">
      <c r="A1503" s="103"/>
      <c r="B1503" s="103"/>
      <c r="C1503" s="103"/>
      <c r="D1503" s="103"/>
      <c r="E1503" s="103"/>
      <c r="F1503" s="103"/>
      <c r="G1503" s="103"/>
      <c r="H1503" s="103"/>
      <c r="I1503" s="103"/>
      <c r="J1503" s="103"/>
      <c r="K1503" s="103"/>
      <c r="L1503" s="103"/>
      <c r="M1503" s="104"/>
      <c r="N1503" s="103"/>
    </row>
    <row r="1504" spans="1:14" ht="45" customHeight="1" thickBot="1" x14ac:dyDescent="0.4">
      <c r="A1504" s="103"/>
      <c r="B1504" s="103"/>
      <c r="C1504" s="103"/>
      <c r="D1504" s="103"/>
      <c r="E1504" s="103"/>
      <c r="F1504" s="103"/>
      <c r="G1504" s="103"/>
      <c r="H1504" s="103"/>
      <c r="I1504" s="103"/>
      <c r="J1504" s="103"/>
      <c r="K1504" s="103"/>
      <c r="L1504" s="103"/>
      <c r="M1504" s="104"/>
      <c r="N1504" s="103"/>
    </row>
    <row r="1505" spans="1:14" ht="45" customHeight="1" thickBot="1" x14ac:dyDescent="0.4">
      <c r="A1505" s="103"/>
      <c r="B1505" s="103"/>
      <c r="C1505" s="103"/>
      <c r="D1505" s="103"/>
      <c r="E1505" s="103"/>
      <c r="F1505" s="103"/>
      <c r="G1505" s="103"/>
      <c r="H1505" s="103"/>
      <c r="I1505" s="103"/>
      <c r="J1505" s="103"/>
      <c r="K1505" s="103"/>
      <c r="L1505" s="103"/>
      <c r="M1505" s="104"/>
      <c r="N1505" s="103"/>
    </row>
    <row r="1506" spans="1:14" ht="45" customHeight="1" thickBot="1" x14ac:dyDescent="0.4">
      <c r="A1506" s="103"/>
      <c r="B1506" s="103"/>
      <c r="C1506" s="103"/>
      <c r="D1506" s="103"/>
      <c r="E1506" s="103"/>
      <c r="F1506" s="103"/>
      <c r="G1506" s="103"/>
      <c r="H1506" s="103"/>
      <c r="I1506" s="103"/>
      <c r="J1506" s="103"/>
      <c r="K1506" s="103"/>
      <c r="L1506" s="103"/>
      <c r="M1506" s="104"/>
      <c r="N1506" s="103"/>
    </row>
    <row r="1507" spans="1:14" ht="45" customHeight="1" thickBot="1" x14ac:dyDescent="0.4">
      <c r="A1507" s="103"/>
      <c r="B1507" s="103"/>
      <c r="C1507" s="103"/>
      <c r="D1507" s="103"/>
      <c r="E1507" s="103"/>
      <c r="F1507" s="103"/>
      <c r="G1507" s="103"/>
      <c r="H1507" s="103"/>
      <c r="I1507" s="103"/>
      <c r="J1507" s="103"/>
      <c r="K1507" s="103"/>
      <c r="L1507" s="103"/>
      <c r="M1507" s="104"/>
      <c r="N1507" s="103"/>
    </row>
    <row r="1508" spans="1:14" ht="45" customHeight="1" thickBot="1" x14ac:dyDescent="0.4">
      <c r="A1508" s="103"/>
      <c r="B1508" s="103"/>
      <c r="C1508" s="103"/>
      <c r="D1508" s="103"/>
      <c r="E1508" s="103"/>
      <c r="F1508" s="103"/>
      <c r="G1508" s="103"/>
      <c r="H1508" s="103"/>
      <c r="I1508" s="103"/>
      <c r="J1508" s="103"/>
      <c r="K1508" s="103"/>
      <c r="L1508" s="103"/>
      <c r="M1508" s="104"/>
      <c r="N1508" s="103"/>
    </row>
    <row r="1509" spans="1:14" ht="45" customHeight="1" thickBot="1" x14ac:dyDescent="0.4">
      <c r="A1509" s="103"/>
      <c r="B1509" s="103"/>
      <c r="C1509" s="103"/>
      <c r="D1509" s="103"/>
      <c r="E1509" s="103"/>
      <c r="F1509" s="103"/>
      <c r="G1509" s="103"/>
      <c r="H1509" s="103"/>
      <c r="I1509" s="103"/>
      <c r="J1509" s="103"/>
      <c r="K1509" s="103"/>
      <c r="L1509" s="103"/>
      <c r="M1509" s="104"/>
      <c r="N1509" s="103"/>
    </row>
    <row r="1510" spans="1:14" ht="45" customHeight="1" thickBot="1" x14ac:dyDescent="0.4">
      <c r="A1510" s="103"/>
      <c r="B1510" s="103"/>
      <c r="C1510" s="103"/>
      <c r="D1510" s="103"/>
      <c r="E1510" s="103"/>
      <c r="F1510" s="103"/>
      <c r="G1510" s="103"/>
      <c r="H1510" s="103"/>
      <c r="I1510" s="103"/>
      <c r="J1510" s="103"/>
      <c r="K1510" s="103"/>
      <c r="L1510" s="103"/>
      <c r="M1510" s="104"/>
      <c r="N1510" s="103"/>
    </row>
    <row r="1511" spans="1:14" ht="45" customHeight="1" thickBot="1" x14ac:dyDescent="0.4">
      <c r="A1511" s="103"/>
      <c r="B1511" s="103"/>
      <c r="C1511" s="103"/>
      <c r="D1511" s="103"/>
      <c r="E1511" s="103"/>
      <c r="F1511" s="103"/>
      <c r="G1511" s="103"/>
      <c r="H1511" s="103"/>
      <c r="I1511" s="103"/>
      <c r="J1511" s="103"/>
      <c r="K1511" s="103"/>
      <c r="L1511" s="103"/>
      <c r="M1511" s="104"/>
      <c r="N1511" s="103"/>
    </row>
    <row r="1512" spans="1:14" ht="45" customHeight="1" thickBot="1" x14ac:dyDescent="0.4">
      <c r="A1512" s="103"/>
      <c r="B1512" s="103"/>
      <c r="C1512" s="103"/>
      <c r="D1512" s="103"/>
      <c r="E1512" s="103"/>
      <c r="F1512" s="103"/>
      <c r="G1512" s="103"/>
      <c r="H1512" s="103"/>
      <c r="I1512" s="103"/>
      <c r="J1512" s="103"/>
      <c r="K1512" s="103"/>
      <c r="L1512" s="103"/>
      <c r="M1512" s="104"/>
      <c r="N1512" s="103"/>
    </row>
    <row r="1513" spans="1:14" ht="45" customHeight="1" thickBot="1" x14ac:dyDescent="0.4">
      <c r="A1513" s="103"/>
      <c r="B1513" s="103"/>
      <c r="C1513" s="103"/>
      <c r="D1513" s="103"/>
      <c r="E1513" s="103"/>
      <c r="F1513" s="103"/>
      <c r="G1513" s="103"/>
      <c r="H1513" s="103"/>
      <c r="I1513" s="103"/>
      <c r="J1513" s="103"/>
      <c r="K1513" s="103"/>
      <c r="L1513" s="103"/>
      <c r="M1513" s="104"/>
      <c r="N1513" s="103"/>
    </row>
    <row r="1514" spans="1:14" ht="45" customHeight="1" thickBot="1" x14ac:dyDescent="0.4">
      <c r="A1514" s="103"/>
      <c r="B1514" s="103"/>
      <c r="C1514" s="103"/>
      <c r="D1514" s="103"/>
      <c r="E1514" s="103"/>
      <c r="F1514" s="103"/>
      <c r="G1514" s="103"/>
      <c r="H1514" s="103"/>
      <c r="I1514" s="103"/>
      <c r="J1514" s="103"/>
      <c r="K1514" s="103"/>
      <c r="L1514" s="103"/>
      <c r="M1514" s="104"/>
      <c r="N1514" s="103"/>
    </row>
    <row r="1515" spans="1:14" ht="45" customHeight="1" thickBot="1" x14ac:dyDescent="0.4">
      <c r="A1515" s="103"/>
      <c r="B1515" s="103"/>
      <c r="C1515" s="103"/>
      <c r="D1515" s="103"/>
      <c r="E1515" s="103"/>
      <c r="F1515" s="103"/>
      <c r="G1515" s="103"/>
      <c r="H1515" s="103"/>
      <c r="I1515" s="103"/>
      <c r="J1515" s="103"/>
      <c r="K1515" s="103"/>
      <c r="L1515" s="103"/>
      <c r="M1515" s="104"/>
      <c r="N1515" s="103"/>
    </row>
    <row r="1516" spans="1:14" ht="45" customHeight="1" thickBot="1" x14ac:dyDescent="0.4">
      <c r="A1516" s="103"/>
      <c r="B1516" s="103"/>
      <c r="C1516" s="103"/>
      <c r="D1516" s="103"/>
      <c r="E1516" s="103"/>
      <c r="F1516" s="103"/>
      <c r="G1516" s="103"/>
      <c r="H1516" s="103"/>
      <c r="I1516" s="103"/>
      <c r="J1516" s="103"/>
      <c r="K1516" s="103"/>
      <c r="L1516" s="103"/>
      <c r="M1516" s="104"/>
      <c r="N1516" s="103"/>
    </row>
    <row r="1517" spans="1:14" ht="45" customHeight="1" thickBot="1" x14ac:dyDescent="0.4">
      <c r="A1517" s="103"/>
      <c r="B1517" s="103"/>
      <c r="C1517" s="103"/>
      <c r="D1517" s="103"/>
      <c r="E1517" s="103"/>
      <c r="F1517" s="103"/>
      <c r="G1517" s="103"/>
      <c r="H1517" s="103"/>
      <c r="I1517" s="103"/>
      <c r="J1517" s="103"/>
      <c r="K1517" s="103"/>
      <c r="L1517" s="103"/>
      <c r="M1517" s="104"/>
      <c r="N1517" s="103"/>
    </row>
    <row r="1518" spans="1:14" ht="45" customHeight="1" thickBot="1" x14ac:dyDescent="0.4">
      <c r="A1518" s="103"/>
      <c r="B1518" s="103"/>
      <c r="C1518" s="103"/>
      <c r="D1518" s="103"/>
      <c r="E1518" s="103"/>
      <c r="F1518" s="103"/>
      <c r="G1518" s="103"/>
      <c r="H1518" s="103"/>
      <c r="I1518" s="103"/>
      <c r="J1518" s="103"/>
      <c r="K1518" s="103"/>
      <c r="L1518" s="103"/>
      <c r="M1518" s="104"/>
      <c r="N1518" s="103"/>
    </row>
    <row r="1519" spans="1:14" ht="45" customHeight="1" thickBot="1" x14ac:dyDescent="0.4">
      <c r="A1519" s="103"/>
      <c r="B1519" s="103"/>
      <c r="C1519" s="103"/>
      <c r="D1519" s="103"/>
      <c r="E1519" s="103"/>
      <c r="F1519" s="103"/>
      <c r="G1519" s="103"/>
      <c r="H1519" s="103"/>
      <c r="I1519" s="103"/>
      <c r="J1519" s="103"/>
      <c r="K1519" s="103"/>
      <c r="L1519" s="103"/>
      <c r="M1519" s="104"/>
      <c r="N1519" s="103"/>
    </row>
    <row r="1520" spans="1:14" ht="45" customHeight="1" thickBot="1" x14ac:dyDescent="0.4">
      <c r="A1520" s="103"/>
      <c r="B1520" s="103"/>
      <c r="C1520" s="103"/>
      <c r="D1520" s="103"/>
      <c r="E1520" s="103"/>
      <c r="F1520" s="103"/>
      <c r="G1520" s="103"/>
      <c r="H1520" s="103"/>
      <c r="I1520" s="103"/>
      <c r="J1520" s="103"/>
      <c r="K1520" s="103"/>
      <c r="L1520" s="103"/>
      <c r="M1520" s="104"/>
      <c r="N1520" s="103"/>
    </row>
    <row r="1521" spans="1:14" ht="45" customHeight="1" thickBot="1" x14ac:dyDescent="0.4">
      <c r="A1521" s="103"/>
      <c r="B1521" s="103"/>
      <c r="C1521" s="103"/>
      <c r="D1521" s="103"/>
      <c r="E1521" s="103"/>
      <c r="F1521" s="103"/>
      <c r="G1521" s="103"/>
      <c r="H1521" s="103"/>
      <c r="I1521" s="103"/>
      <c r="J1521" s="103"/>
      <c r="K1521" s="103"/>
      <c r="L1521" s="103"/>
      <c r="M1521" s="104"/>
      <c r="N1521" s="103"/>
    </row>
    <row r="1522" spans="1:14" ht="45" customHeight="1" thickBot="1" x14ac:dyDescent="0.4">
      <c r="A1522" s="103"/>
      <c r="B1522" s="103"/>
      <c r="C1522" s="103"/>
      <c r="D1522" s="103"/>
      <c r="E1522" s="103"/>
      <c r="F1522" s="103"/>
      <c r="G1522" s="103"/>
      <c r="H1522" s="103"/>
      <c r="I1522" s="103"/>
      <c r="J1522" s="103"/>
      <c r="K1522" s="103"/>
      <c r="L1522" s="103"/>
      <c r="M1522" s="104"/>
      <c r="N1522" s="103"/>
    </row>
    <row r="1523" spans="1:14" ht="45" customHeight="1" thickBot="1" x14ac:dyDescent="0.4">
      <c r="A1523" s="103"/>
      <c r="B1523" s="103"/>
      <c r="C1523" s="103"/>
      <c r="D1523" s="103"/>
      <c r="E1523" s="103"/>
      <c r="F1523" s="103"/>
      <c r="G1523" s="103"/>
      <c r="H1523" s="103"/>
      <c r="I1523" s="103"/>
      <c r="J1523" s="103"/>
      <c r="K1523" s="103"/>
      <c r="L1523" s="103"/>
      <c r="M1523" s="104"/>
      <c r="N1523" s="103"/>
    </row>
    <row r="1524" spans="1:14" ht="45" customHeight="1" thickBot="1" x14ac:dyDescent="0.4">
      <c r="A1524" s="103"/>
      <c r="B1524" s="103"/>
      <c r="C1524" s="103"/>
      <c r="D1524" s="103"/>
      <c r="E1524" s="103"/>
      <c r="F1524" s="103"/>
      <c r="G1524" s="103"/>
      <c r="H1524" s="103"/>
      <c r="I1524" s="103"/>
      <c r="J1524" s="103"/>
      <c r="K1524" s="103"/>
      <c r="L1524" s="103"/>
      <c r="M1524" s="104"/>
      <c r="N1524" s="103"/>
    </row>
    <row r="1525" spans="1:14" ht="45" customHeight="1" thickBot="1" x14ac:dyDescent="0.4">
      <c r="A1525" s="103"/>
      <c r="B1525" s="103"/>
      <c r="C1525" s="103"/>
      <c r="D1525" s="103"/>
      <c r="E1525" s="103"/>
      <c r="F1525" s="103"/>
      <c r="G1525" s="103"/>
      <c r="H1525" s="103"/>
      <c r="I1525" s="103"/>
      <c r="J1525" s="103"/>
      <c r="K1525" s="103"/>
      <c r="L1525" s="103"/>
      <c r="M1525" s="104"/>
      <c r="N1525" s="103"/>
    </row>
    <row r="1526" spans="1:14" ht="45" customHeight="1" thickBot="1" x14ac:dyDescent="0.4">
      <c r="A1526" s="103"/>
      <c r="B1526" s="103"/>
      <c r="C1526" s="103"/>
      <c r="D1526" s="103"/>
      <c r="E1526" s="103"/>
      <c r="F1526" s="103"/>
      <c r="G1526" s="103"/>
      <c r="H1526" s="103"/>
      <c r="I1526" s="103"/>
      <c r="J1526" s="103"/>
      <c r="K1526" s="103"/>
      <c r="L1526" s="103"/>
      <c r="M1526" s="104"/>
      <c r="N1526" s="103"/>
    </row>
    <row r="1527" spans="1:14" ht="45" customHeight="1" thickBot="1" x14ac:dyDescent="0.4">
      <c r="A1527" s="103"/>
      <c r="B1527" s="103"/>
      <c r="C1527" s="103"/>
      <c r="D1527" s="103"/>
      <c r="E1527" s="103"/>
      <c r="F1527" s="103"/>
      <c r="G1527" s="103"/>
      <c r="H1527" s="103"/>
      <c r="I1527" s="103"/>
      <c r="J1527" s="103"/>
      <c r="K1527" s="103"/>
      <c r="L1527" s="103"/>
      <c r="M1527" s="104"/>
      <c r="N1527" s="103"/>
    </row>
    <row r="1528" spans="1:14" ht="45" customHeight="1" thickBot="1" x14ac:dyDescent="0.4">
      <c r="A1528" s="103"/>
      <c r="B1528" s="103"/>
      <c r="C1528" s="103"/>
      <c r="D1528" s="103"/>
      <c r="E1528" s="103"/>
      <c r="F1528" s="103"/>
      <c r="G1528" s="103"/>
      <c r="H1528" s="103"/>
      <c r="I1528" s="103"/>
      <c r="J1528" s="103"/>
      <c r="K1528" s="103"/>
      <c r="L1528" s="103"/>
      <c r="M1528" s="104"/>
      <c r="N1528" s="103"/>
    </row>
    <row r="1529" spans="1:14" ht="45" customHeight="1" thickBot="1" x14ac:dyDescent="0.4">
      <c r="A1529" s="103"/>
      <c r="B1529" s="103"/>
      <c r="C1529" s="103"/>
      <c r="D1529" s="103"/>
      <c r="E1529" s="103"/>
      <c r="F1529" s="103"/>
      <c r="G1529" s="103"/>
      <c r="H1529" s="103"/>
      <c r="I1529" s="103"/>
      <c r="J1529" s="103"/>
      <c r="K1529" s="103"/>
      <c r="L1529" s="103"/>
      <c r="M1529" s="104"/>
      <c r="N1529" s="103"/>
    </row>
    <row r="1530" spans="1:14" ht="45" customHeight="1" thickBot="1" x14ac:dyDescent="0.4">
      <c r="A1530" s="103"/>
      <c r="B1530" s="103"/>
      <c r="C1530" s="103"/>
      <c r="D1530" s="103"/>
      <c r="E1530" s="103"/>
      <c r="F1530" s="103"/>
      <c r="G1530" s="103"/>
      <c r="H1530" s="103"/>
      <c r="I1530" s="103"/>
      <c r="J1530" s="103"/>
      <c r="K1530" s="103"/>
      <c r="L1530" s="103"/>
      <c r="M1530" s="104"/>
      <c r="N1530" s="103"/>
    </row>
    <row r="1531" spans="1:14" ht="45" customHeight="1" thickBot="1" x14ac:dyDescent="0.4">
      <c r="A1531" s="103"/>
      <c r="B1531" s="103"/>
      <c r="C1531" s="103"/>
      <c r="D1531" s="103"/>
      <c r="E1531" s="103"/>
      <c r="F1531" s="103"/>
      <c r="G1531" s="103"/>
      <c r="H1531" s="103"/>
      <c r="I1531" s="103"/>
      <c r="J1531" s="103"/>
      <c r="K1531" s="103"/>
      <c r="L1531" s="103"/>
      <c r="M1531" s="104"/>
      <c r="N1531" s="103"/>
    </row>
    <row r="1532" spans="1:14" ht="45" customHeight="1" thickBot="1" x14ac:dyDescent="0.4">
      <c r="A1532" s="103"/>
      <c r="B1532" s="103"/>
      <c r="C1532" s="103"/>
      <c r="D1532" s="103"/>
      <c r="E1532" s="103"/>
      <c r="F1532" s="103"/>
      <c r="G1532" s="103"/>
      <c r="H1532" s="103"/>
      <c r="I1532" s="103"/>
      <c r="J1532" s="103"/>
      <c r="K1532" s="103"/>
      <c r="L1532" s="103"/>
      <c r="M1532" s="104"/>
      <c r="N1532" s="103"/>
    </row>
    <row r="1533" spans="1:14" ht="45" customHeight="1" thickBot="1" x14ac:dyDescent="0.4">
      <c r="A1533" s="103"/>
      <c r="B1533" s="103"/>
      <c r="C1533" s="103"/>
      <c r="D1533" s="103"/>
      <c r="E1533" s="103"/>
      <c r="F1533" s="103"/>
      <c r="G1533" s="103"/>
      <c r="H1533" s="103"/>
      <c r="I1533" s="103"/>
      <c r="J1533" s="103"/>
      <c r="K1533" s="103"/>
      <c r="L1533" s="103"/>
      <c r="M1533" s="104"/>
      <c r="N1533" s="103"/>
    </row>
    <row r="1534" spans="1:14" ht="45" customHeight="1" thickBot="1" x14ac:dyDescent="0.4">
      <c r="A1534" s="103"/>
      <c r="B1534" s="103"/>
      <c r="C1534" s="103"/>
      <c r="D1534" s="103"/>
      <c r="E1534" s="103"/>
      <c r="F1534" s="103"/>
      <c r="G1534" s="103"/>
      <c r="H1534" s="103"/>
      <c r="I1534" s="103"/>
      <c r="J1534" s="103"/>
      <c r="K1534" s="103"/>
      <c r="L1534" s="103"/>
      <c r="M1534" s="104"/>
      <c r="N1534" s="103"/>
    </row>
    <row r="1535" spans="1:14" ht="45" customHeight="1" thickBot="1" x14ac:dyDescent="0.4">
      <c r="A1535" s="103"/>
      <c r="B1535" s="103"/>
      <c r="C1535" s="103"/>
      <c r="D1535" s="103"/>
      <c r="E1535" s="103"/>
      <c r="F1535" s="103"/>
      <c r="G1535" s="103"/>
      <c r="H1535" s="103"/>
      <c r="I1535" s="103"/>
      <c r="J1535" s="103"/>
      <c r="K1535" s="103"/>
      <c r="L1535" s="103"/>
      <c r="M1535" s="104"/>
      <c r="N1535" s="103"/>
    </row>
    <row r="1536" spans="1:14" ht="45" customHeight="1" thickBot="1" x14ac:dyDescent="0.4">
      <c r="A1536" s="103"/>
      <c r="B1536" s="103"/>
      <c r="C1536" s="103"/>
      <c r="D1536" s="103"/>
      <c r="E1536" s="103"/>
      <c r="F1536" s="103"/>
      <c r="G1536" s="103"/>
      <c r="H1536" s="103"/>
      <c r="I1536" s="103"/>
      <c r="J1536" s="103"/>
      <c r="K1536" s="103"/>
      <c r="L1536" s="103"/>
      <c r="M1536" s="104"/>
      <c r="N1536" s="103"/>
    </row>
    <row r="1537" spans="1:14" ht="45" customHeight="1" thickBot="1" x14ac:dyDescent="0.4">
      <c r="A1537" s="103"/>
      <c r="B1537" s="103"/>
      <c r="C1537" s="103"/>
      <c r="D1537" s="103"/>
      <c r="E1537" s="103"/>
      <c r="F1537" s="103"/>
      <c r="G1537" s="103"/>
      <c r="H1537" s="103"/>
      <c r="I1537" s="103"/>
      <c r="J1537" s="103"/>
      <c r="K1537" s="103"/>
      <c r="L1537" s="103"/>
      <c r="M1537" s="104"/>
      <c r="N1537" s="103"/>
    </row>
    <row r="1538" spans="1:14" ht="45" customHeight="1" thickBot="1" x14ac:dyDescent="0.4">
      <c r="A1538" s="103"/>
      <c r="B1538" s="103"/>
      <c r="C1538" s="103"/>
      <c r="D1538" s="103"/>
      <c r="E1538" s="103"/>
      <c r="F1538" s="103"/>
      <c r="G1538" s="103"/>
      <c r="H1538" s="103"/>
      <c r="I1538" s="103"/>
      <c r="J1538" s="103"/>
      <c r="K1538" s="103"/>
      <c r="L1538" s="103"/>
      <c r="M1538" s="104"/>
      <c r="N1538" s="103"/>
    </row>
    <row r="1539" spans="1:14" ht="45" customHeight="1" thickBot="1" x14ac:dyDescent="0.4">
      <c r="A1539" s="103"/>
      <c r="B1539" s="103"/>
      <c r="C1539" s="103"/>
      <c r="D1539" s="103"/>
      <c r="E1539" s="103"/>
      <c r="F1539" s="103"/>
      <c r="G1539" s="103"/>
      <c r="H1539" s="103"/>
      <c r="I1539" s="103"/>
      <c r="J1539" s="103"/>
      <c r="K1539" s="103"/>
      <c r="L1539" s="103"/>
      <c r="M1539" s="104"/>
      <c r="N1539" s="103"/>
    </row>
    <row r="1540" spans="1:14" ht="45" customHeight="1" thickBot="1" x14ac:dyDescent="0.4">
      <c r="A1540" s="103"/>
      <c r="B1540" s="103"/>
      <c r="C1540" s="103"/>
      <c r="D1540" s="103"/>
      <c r="E1540" s="103"/>
      <c r="F1540" s="103"/>
      <c r="G1540" s="103"/>
      <c r="H1540" s="103"/>
      <c r="I1540" s="103"/>
      <c r="J1540" s="103"/>
      <c r="K1540" s="103"/>
      <c r="L1540" s="103"/>
      <c r="M1540" s="104"/>
      <c r="N1540" s="103"/>
    </row>
    <row r="1541" spans="1:14" ht="45" customHeight="1" thickBot="1" x14ac:dyDescent="0.4">
      <c r="A1541" s="103"/>
      <c r="B1541" s="103"/>
      <c r="C1541" s="103"/>
      <c r="D1541" s="103"/>
      <c r="E1541" s="103"/>
      <c r="F1541" s="103"/>
      <c r="G1541" s="103"/>
      <c r="H1541" s="103"/>
      <c r="I1541" s="103"/>
      <c r="J1541" s="103"/>
      <c r="K1541" s="103"/>
      <c r="L1541" s="103"/>
      <c r="M1541" s="104"/>
      <c r="N1541" s="103"/>
    </row>
    <row r="1542" spans="1:14" ht="45" customHeight="1" thickBot="1" x14ac:dyDescent="0.4">
      <c r="A1542" s="103"/>
      <c r="B1542" s="103"/>
      <c r="C1542" s="103"/>
      <c r="D1542" s="103"/>
      <c r="E1542" s="103"/>
      <c r="F1542" s="103"/>
      <c r="G1542" s="103"/>
      <c r="H1542" s="103"/>
      <c r="I1542" s="103"/>
      <c r="J1542" s="103"/>
      <c r="K1542" s="103"/>
      <c r="L1542" s="103"/>
      <c r="M1542" s="104"/>
      <c r="N1542" s="103"/>
    </row>
    <row r="1543" spans="1:14" ht="45" customHeight="1" thickBot="1" x14ac:dyDescent="0.4">
      <c r="A1543" s="103"/>
      <c r="B1543" s="103"/>
      <c r="C1543" s="103"/>
      <c r="D1543" s="103"/>
      <c r="E1543" s="103"/>
      <c r="F1543" s="103"/>
      <c r="G1543" s="103"/>
      <c r="H1543" s="103"/>
      <c r="I1543" s="103"/>
      <c r="J1543" s="103"/>
      <c r="K1543" s="103"/>
      <c r="L1543" s="103"/>
      <c r="M1543" s="104"/>
      <c r="N1543" s="103"/>
    </row>
    <row r="1544" spans="1:14" ht="45" customHeight="1" thickBot="1" x14ac:dyDescent="0.4">
      <c r="A1544" s="103"/>
      <c r="B1544" s="103"/>
      <c r="C1544" s="103"/>
      <c r="D1544" s="103"/>
      <c r="E1544" s="103"/>
      <c r="F1544" s="103"/>
      <c r="G1544" s="103"/>
      <c r="H1544" s="103"/>
      <c r="I1544" s="103"/>
      <c r="J1544" s="103"/>
      <c r="K1544" s="103"/>
      <c r="L1544" s="103"/>
      <c r="M1544" s="104"/>
      <c r="N1544" s="103"/>
    </row>
    <row r="1545" spans="1:14" ht="45" customHeight="1" thickBot="1" x14ac:dyDescent="0.4">
      <c r="A1545" s="103"/>
      <c r="B1545" s="103"/>
      <c r="C1545" s="103"/>
      <c r="D1545" s="103"/>
      <c r="E1545" s="103"/>
      <c r="F1545" s="103"/>
      <c r="G1545" s="103"/>
      <c r="H1545" s="103"/>
      <c r="I1545" s="103"/>
      <c r="J1545" s="103"/>
      <c r="K1545" s="103"/>
      <c r="L1545" s="103"/>
      <c r="M1545" s="104"/>
      <c r="N1545" s="103"/>
    </row>
    <row r="1546" spans="1:14" ht="45" customHeight="1" thickBot="1" x14ac:dyDescent="0.4">
      <c r="A1546" s="103"/>
      <c r="B1546" s="103"/>
      <c r="C1546" s="103"/>
      <c r="D1546" s="103"/>
      <c r="E1546" s="103"/>
      <c r="F1546" s="103"/>
      <c r="G1546" s="103"/>
      <c r="H1546" s="103"/>
      <c r="I1546" s="103"/>
      <c r="J1546" s="103"/>
      <c r="K1546" s="103"/>
      <c r="L1546" s="103"/>
      <c r="M1546" s="104"/>
      <c r="N1546" s="103"/>
    </row>
    <row r="1547" spans="1:14" ht="45" customHeight="1" thickBot="1" x14ac:dyDescent="0.4">
      <c r="A1547" s="103"/>
      <c r="B1547" s="103"/>
      <c r="C1547" s="103"/>
      <c r="D1547" s="103"/>
      <c r="E1547" s="103"/>
      <c r="F1547" s="103"/>
      <c r="G1547" s="103"/>
      <c r="H1547" s="103"/>
      <c r="I1547" s="103"/>
      <c r="J1547" s="103"/>
      <c r="K1547" s="103"/>
      <c r="L1547" s="103"/>
      <c r="M1547" s="104"/>
      <c r="N1547" s="103"/>
    </row>
    <row r="1548" spans="1:14" ht="45" customHeight="1" thickBot="1" x14ac:dyDescent="0.4">
      <c r="A1548" s="103"/>
      <c r="B1548" s="103"/>
      <c r="C1548" s="103"/>
      <c r="D1548" s="103"/>
      <c r="E1548" s="103"/>
      <c r="F1548" s="103"/>
      <c r="G1548" s="103"/>
      <c r="H1548" s="103"/>
      <c r="I1548" s="103"/>
      <c r="J1548" s="103"/>
      <c r="K1548" s="103"/>
      <c r="L1548" s="103"/>
      <c r="M1548" s="104"/>
      <c r="N1548" s="103"/>
    </row>
    <row r="1549" spans="1:14" ht="45" customHeight="1" thickBot="1" x14ac:dyDescent="0.4">
      <c r="A1549" s="103"/>
      <c r="B1549" s="103"/>
      <c r="C1549" s="103"/>
      <c r="D1549" s="103"/>
      <c r="E1549" s="103"/>
      <c r="F1549" s="103"/>
      <c r="G1549" s="103"/>
      <c r="H1549" s="103"/>
      <c r="I1549" s="103"/>
      <c r="J1549" s="103"/>
      <c r="K1549" s="103"/>
      <c r="L1549" s="103"/>
      <c r="M1549" s="104"/>
      <c r="N1549" s="103"/>
    </row>
    <row r="1550" spans="1:14" ht="45" customHeight="1" thickBot="1" x14ac:dyDescent="0.4">
      <c r="A1550" s="103"/>
      <c r="B1550" s="103"/>
      <c r="C1550" s="103"/>
      <c r="D1550" s="103"/>
      <c r="E1550" s="103"/>
      <c r="F1550" s="103"/>
      <c r="G1550" s="103"/>
      <c r="H1550" s="103"/>
      <c r="I1550" s="103"/>
      <c r="J1550" s="103"/>
      <c r="K1550" s="103"/>
      <c r="L1550" s="103"/>
      <c r="M1550" s="104"/>
      <c r="N1550" s="103"/>
    </row>
    <row r="1551" spans="1:14" ht="45" customHeight="1" thickBot="1" x14ac:dyDescent="0.4">
      <c r="A1551" s="103"/>
      <c r="B1551" s="103"/>
      <c r="C1551" s="103"/>
      <c r="D1551" s="103"/>
      <c r="E1551" s="103"/>
      <c r="F1551" s="103"/>
      <c r="G1551" s="103"/>
      <c r="H1551" s="103"/>
      <c r="I1551" s="103"/>
      <c r="J1551" s="103"/>
      <c r="K1551" s="103"/>
      <c r="L1551" s="103"/>
      <c r="M1551" s="104"/>
      <c r="N1551" s="103"/>
    </row>
    <row r="1552" spans="1:14" ht="45" customHeight="1" thickBot="1" x14ac:dyDescent="0.4">
      <c r="A1552" s="103"/>
      <c r="B1552" s="103"/>
      <c r="C1552" s="103"/>
      <c r="D1552" s="103"/>
      <c r="E1552" s="103"/>
      <c r="F1552" s="103"/>
      <c r="G1552" s="103"/>
      <c r="H1552" s="103"/>
      <c r="I1552" s="103"/>
      <c r="J1552" s="103"/>
      <c r="K1552" s="103"/>
      <c r="L1552" s="103"/>
      <c r="M1552" s="104"/>
      <c r="N1552" s="103"/>
    </row>
    <row r="1553" spans="1:14" ht="45" customHeight="1" thickBot="1" x14ac:dyDescent="0.4">
      <c r="A1553" s="103"/>
      <c r="B1553" s="103"/>
      <c r="C1553" s="103"/>
      <c r="D1553" s="103"/>
      <c r="E1553" s="103"/>
      <c r="F1553" s="103"/>
      <c r="G1553" s="103"/>
      <c r="H1553" s="103"/>
      <c r="I1553" s="103"/>
      <c r="J1553" s="103"/>
      <c r="K1553" s="103"/>
      <c r="L1553" s="103"/>
      <c r="M1553" s="104"/>
      <c r="N1553" s="103"/>
    </row>
    <row r="1554" spans="1:14" ht="45" customHeight="1" thickBot="1" x14ac:dyDescent="0.4">
      <c r="A1554" s="103"/>
      <c r="B1554" s="103"/>
      <c r="C1554" s="103"/>
      <c r="D1554" s="103"/>
      <c r="E1554" s="103"/>
      <c r="F1554" s="103"/>
      <c r="G1554" s="103"/>
      <c r="H1554" s="103"/>
      <c r="I1554" s="103"/>
      <c r="J1554" s="103"/>
      <c r="K1554" s="103"/>
      <c r="L1554" s="103"/>
      <c r="M1554" s="104"/>
      <c r="N1554" s="103"/>
    </row>
    <row r="1555" spans="1:14" ht="45" customHeight="1" thickBot="1" x14ac:dyDescent="0.4">
      <c r="A1555" s="103"/>
      <c r="B1555" s="103"/>
      <c r="C1555" s="103"/>
      <c r="D1555" s="103"/>
      <c r="E1555" s="103"/>
      <c r="F1555" s="103"/>
      <c r="G1555" s="103"/>
      <c r="H1555" s="103"/>
      <c r="I1555" s="103"/>
      <c r="J1555" s="103"/>
      <c r="K1555" s="103"/>
      <c r="L1555" s="103"/>
      <c r="M1555" s="104"/>
      <c r="N1555" s="103"/>
    </row>
    <row r="1556" spans="1:14" ht="45" customHeight="1" thickBot="1" x14ac:dyDescent="0.4">
      <c r="A1556" s="103"/>
      <c r="B1556" s="103"/>
      <c r="C1556" s="103"/>
      <c r="D1556" s="103"/>
      <c r="E1556" s="103"/>
      <c r="F1556" s="103"/>
      <c r="G1556" s="103"/>
      <c r="H1556" s="103"/>
      <c r="I1556" s="103"/>
      <c r="J1556" s="103"/>
      <c r="K1556" s="103"/>
      <c r="L1556" s="103"/>
      <c r="M1556" s="104"/>
      <c r="N1556" s="103"/>
    </row>
    <row r="1557" spans="1:14" ht="45" customHeight="1" thickBot="1" x14ac:dyDescent="0.4">
      <c r="A1557" s="103"/>
      <c r="B1557" s="103"/>
      <c r="C1557" s="103"/>
      <c r="D1557" s="103"/>
      <c r="E1557" s="103"/>
      <c r="F1557" s="103"/>
      <c r="G1557" s="103"/>
      <c r="H1557" s="103"/>
      <c r="I1557" s="103"/>
      <c r="J1557" s="103"/>
      <c r="K1557" s="103"/>
      <c r="L1557" s="103"/>
      <c r="M1557" s="104"/>
      <c r="N1557" s="103"/>
    </row>
    <row r="1558" spans="1:14" ht="45" customHeight="1" thickBot="1" x14ac:dyDescent="0.4">
      <c r="A1558" s="103"/>
      <c r="B1558" s="103"/>
      <c r="C1558" s="103"/>
      <c r="D1558" s="103"/>
      <c r="E1558" s="103"/>
      <c r="F1558" s="103"/>
      <c r="G1558" s="103"/>
      <c r="H1558" s="103"/>
      <c r="I1558" s="103"/>
      <c r="J1558" s="103"/>
      <c r="K1558" s="103"/>
      <c r="L1558" s="103"/>
      <c r="M1558" s="104"/>
      <c r="N1558" s="103"/>
    </row>
    <row r="1559" spans="1:14" ht="45" customHeight="1" thickBot="1" x14ac:dyDescent="0.4">
      <c r="A1559" s="103"/>
      <c r="B1559" s="103"/>
      <c r="C1559" s="103"/>
      <c r="D1559" s="103"/>
      <c r="E1559" s="103"/>
      <c r="F1559" s="103"/>
      <c r="G1559" s="103"/>
      <c r="H1559" s="103"/>
      <c r="I1559" s="103"/>
      <c r="J1559" s="103"/>
      <c r="K1559" s="103"/>
      <c r="L1559" s="103"/>
      <c r="M1559" s="104"/>
      <c r="N1559" s="103"/>
    </row>
    <row r="1560" spans="1:14" ht="45" customHeight="1" thickBot="1" x14ac:dyDescent="0.4">
      <c r="A1560" s="103"/>
      <c r="B1560" s="103"/>
      <c r="C1560" s="103"/>
      <c r="D1560" s="103"/>
      <c r="E1560" s="103"/>
      <c r="F1560" s="103"/>
      <c r="G1560" s="103"/>
      <c r="H1560" s="103"/>
      <c r="I1560" s="103"/>
      <c r="J1560" s="103"/>
      <c r="K1560" s="103"/>
      <c r="L1560" s="103"/>
      <c r="M1560" s="104"/>
      <c r="N1560" s="103"/>
    </row>
    <row r="1561" spans="1:14" ht="45" customHeight="1" thickBot="1" x14ac:dyDescent="0.4">
      <c r="A1561" s="103"/>
      <c r="B1561" s="103"/>
      <c r="C1561" s="103"/>
      <c r="D1561" s="103"/>
      <c r="E1561" s="103"/>
      <c r="F1561" s="103"/>
      <c r="G1561" s="103"/>
      <c r="H1561" s="103"/>
      <c r="I1561" s="103"/>
      <c r="J1561" s="103"/>
      <c r="K1561" s="103"/>
      <c r="L1561" s="103"/>
      <c r="M1561" s="104"/>
      <c r="N1561" s="103"/>
    </row>
    <row r="1562" spans="1:14" ht="45" customHeight="1" thickBot="1" x14ac:dyDescent="0.4">
      <c r="A1562" s="103"/>
      <c r="B1562" s="103"/>
      <c r="C1562" s="103"/>
      <c r="D1562" s="103"/>
      <c r="E1562" s="103"/>
      <c r="F1562" s="103"/>
      <c r="G1562" s="103"/>
      <c r="H1562" s="103"/>
      <c r="I1562" s="103"/>
      <c r="J1562" s="103"/>
      <c r="K1562" s="103"/>
      <c r="L1562" s="103"/>
      <c r="M1562" s="104"/>
      <c r="N1562" s="103"/>
    </row>
    <row r="1563" spans="1:14" ht="45" customHeight="1" thickBot="1" x14ac:dyDescent="0.4">
      <c r="A1563" s="103"/>
      <c r="B1563" s="103"/>
      <c r="C1563" s="103"/>
      <c r="D1563" s="103"/>
      <c r="E1563" s="103"/>
      <c r="F1563" s="103"/>
      <c r="G1563" s="103"/>
      <c r="H1563" s="103"/>
      <c r="I1563" s="103"/>
      <c r="J1563" s="103"/>
      <c r="K1563" s="103"/>
      <c r="L1563" s="103"/>
      <c r="M1563" s="104"/>
      <c r="N1563" s="103"/>
    </row>
    <row r="1564" spans="1:14" ht="45" customHeight="1" thickBot="1" x14ac:dyDescent="0.4">
      <c r="A1564" s="103"/>
      <c r="B1564" s="103"/>
      <c r="C1564" s="103"/>
      <c r="D1564" s="103"/>
      <c r="E1564" s="103"/>
      <c r="F1564" s="103"/>
      <c r="G1564" s="103"/>
      <c r="H1564" s="103"/>
      <c r="I1564" s="103"/>
      <c r="J1564" s="103"/>
      <c r="K1564" s="103"/>
      <c r="L1564" s="103"/>
      <c r="M1564" s="104"/>
      <c r="N1564" s="103"/>
    </row>
    <row r="1565" spans="1:14" ht="45" customHeight="1" thickBot="1" x14ac:dyDescent="0.4">
      <c r="A1565" s="103"/>
      <c r="B1565" s="103"/>
      <c r="C1565" s="103"/>
      <c r="D1565" s="103"/>
      <c r="E1565" s="103"/>
      <c r="F1565" s="103"/>
      <c r="G1565" s="103"/>
      <c r="H1565" s="103"/>
      <c r="I1565" s="103"/>
      <c r="J1565" s="103"/>
      <c r="K1565" s="103"/>
      <c r="L1565" s="103"/>
      <c r="M1565" s="104"/>
      <c r="N1565" s="103"/>
    </row>
    <row r="1566" spans="1:14" ht="45" customHeight="1" thickBot="1" x14ac:dyDescent="0.4">
      <c r="A1566" s="103"/>
      <c r="B1566" s="103"/>
      <c r="C1566" s="103"/>
      <c r="D1566" s="103"/>
      <c r="E1566" s="103"/>
      <c r="F1566" s="103"/>
      <c r="G1566" s="103"/>
      <c r="H1566" s="103"/>
      <c r="I1566" s="103"/>
      <c r="J1566" s="103"/>
      <c r="K1566" s="103"/>
      <c r="L1566" s="103"/>
      <c r="M1566" s="104"/>
      <c r="N1566" s="103"/>
    </row>
    <row r="1567" spans="1:14" ht="45" customHeight="1" thickBot="1" x14ac:dyDescent="0.4">
      <c r="A1567" s="103"/>
      <c r="B1567" s="103"/>
      <c r="C1567" s="103"/>
      <c r="D1567" s="103"/>
      <c r="E1567" s="103"/>
      <c r="F1567" s="103"/>
      <c r="G1567" s="103"/>
      <c r="H1567" s="103"/>
      <c r="I1567" s="103"/>
      <c r="J1567" s="103"/>
      <c r="K1567" s="103"/>
      <c r="L1567" s="103"/>
      <c r="M1567" s="104"/>
      <c r="N1567" s="103"/>
    </row>
    <row r="1568" spans="1:14" ht="45" customHeight="1" thickBot="1" x14ac:dyDescent="0.4">
      <c r="A1568" s="103"/>
      <c r="B1568" s="103"/>
      <c r="C1568" s="103"/>
      <c r="D1568" s="103"/>
      <c r="E1568" s="103"/>
      <c r="F1568" s="103"/>
      <c r="G1568" s="103"/>
      <c r="H1568" s="103"/>
      <c r="I1568" s="103"/>
      <c r="J1568" s="103"/>
      <c r="K1568" s="103"/>
      <c r="L1568" s="103"/>
      <c r="M1568" s="104"/>
      <c r="N1568" s="103"/>
    </row>
    <row r="1569" spans="1:14" ht="45" customHeight="1" thickBot="1" x14ac:dyDescent="0.4">
      <c r="A1569" s="103"/>
      <c r="B1569" s="103"/>
      <c r="C1569" s="103"/>
      <c r="D1569" s="103"/>
      <c r="E1569" s="103"/>
      <c r="F1569" s="103"/>
      <c r="G1569" s="103"/>
      <c r="H1569" s="103"/>
      <c r="I1569" s="103"/>
      <c r="J1569" s="103"/>
      <c r="K1569" s="103"/>
      <c r="L1569" s="103"/>
      <c r="M1569" s="104"/>
      <c r="N1569" s="103"/>
    </row>
    <row r="1570" spans="1:14" ht="45" customHeight="1" thickBot="1" x14ac:dyDescent="0.4">
      <c r="A1570" s="103"/>
      <c r="B1570" s="103"/>
      <c r="C1570" s="103"/>
      <c r="D1570" s="103"/>
      <c r="E1570" s="103"/>
      <c r="F1570" s="103"/>
      <c r="G1570" s="103"/>
      <c r="H1570" s="103"/>
      <c r="I1570" s="103"/>
      <c r="J1570" s="103"/>
      <c r="K1570" s="103"/>
      <c r="L1570" s="103"/>
      <c r="M1570" s="104"/>
      <c r="N1570" s="103"/>
    </row>
    <row r="1571" spans="1:14" ht="45" customHeight="1" thickBot="1" x14ac:dyDescent="0.4">
      <c r="A1571" s="103"/>
      <c r="B1571" s="103"/>
      <c r="C1571" s="103"/>
      <c r="D1571" s="103"/>
      <c r="E1571" s="103"/>
      <c r="F1571" s="103"/>
      <c r="G1571" s="103"/>
      <c r="H1571" s="103"/>
      <c r="I1571" s="103"/>
      <c r="J1571" s="103"/>
      <c r="K1571" s="103"/>
      <c r="L1571" s="103"/>
      <c r="M1571" s="104"/>
      <c r="N1571" s="103"/>
    </row>
    <row r="1572" spans="1:14" ht="45" customHeight="1" thickBot="1" x14ac:dyDescent="0.4">
      <c r="A1572" s="103"/>
      <c r="B1572" s="103"/>
      <c r="C1572" s="103"/>
      <c r="D1572" s="103"/>
      <c r="E1572" s="103"/>
      <c r="F1572" s="103"/>
      <c r="G1572" s="103"/>
      <c r="H1572" s="103"/>
      <c r="I1572" s="103"/>
      <c r="J1572" s="103"/>
      <c r="K1572" s="103"/>
      <c r="L1572" s="103"/>
      <c r="M1572" s="104"/>
      <c r="N1572" s="103"/>
    </row>
    <row r="1573" spans="1:14" ht="45" customHeight="1" thickBot="1" x14ac:dyDescent="0.4">
      <c r="A1573" s="103"/>
      <c r="B1573" s="103"/>
      <c r="C1573" s="103"/>
      <c r="D1573" s="103"/>
      <c r="E1573" s="103"/>
      <c r="F1573" s="103"/>
      <c r="G1573" s="103"/>
      <c r="H1573" s="103"/>
      <c r="I1573" s="103"/>
      <c r="J1573" s="103"/>
      <c r="K1573" s="103"/>
      <c r="L1573" s="103"/>
      <c r="M1573" s="104"/>
      <c r="N1573" s="103"/>
    </row>
    <row r="1574" spans="1:14" ht="45" customHeight="1" thickBot="1" x14ac:dyDescent="0.4">
      <c r="A1574" s="103"/>
      <c r="B1574" s="103"/>
      <c r="C1574" s="103"/>
      <c r="D1574" s="103"/>
      <c r="E1574" s="103"/>
      <c r="F1574" s="103"/>
      <c r="G1574" s="103"/>
      <c r="H1574" s="103"/>
      <c r="I1574" s="103"/>
      <c r="J1574" s="103"/>
      <c r="K1574" s="103"/>
      <c r="L1574" s="103"/>
      <c r="M1574" s="104"/>
      <c r="N1574" s="103"/>
    </row>
    <row r="1575" spans="1:14" ht="45" customHeight="1" thickBot="1" x14ac:dyDescent="0.4">
      <c r="A1575" s="103"/>
      <c r="B1575" s="103"/>
      <c r="C1575" s="103"/>
      <c r="D1575" s="103"/>
      <c r="E1575" s="103"/>
      <c r="F1575" s="103"/>
      <c r="G1575" s="103"/>
      <c r="H1575" s="103"/>
      <c r="I1575" s="103"/>
      <c r="J1575" s="103"/>
      <c r="K1575" s="103"/>
      <c r="L1575" s="103"/>
      <c r="M1575" s="104"/>
      <c r="N1575" s="103"/>
    </row>
    <row r="1576" spans="1:14" ht="45" customHeight="1" thickBot="1" x14ac:dyDescent="0.4">
      <c r="A1576" s="103"/>
      <c r="B1576" s="103"/>
      <c r="C1576" s="103"/>
      <c r="D1576" s="103"/>
      <c r="E1576" s="103"/>
      <c r="F1576" s="103"/>
      <c r="G1576" s="103"/>
      <c r="H1576" s="103"/>
      <c r="I1576" s="103"/>
      <c r="J1576" s="103"/>
      <c r="K1576" s="103"/>
      <c r="L1576" s="103"/>
      <c r="M1576" s="104"/>
      <c r="N1576" s="103"/>
    </row>
    <row r="1577" spans="1:14" ht="45" customHeight="1" thickBot="1" x14ac:dyDescent="0.4">
      <c r="A1577" s="103"/>
      <c r="B1577" s="103"/>
      <c r="C1577" s="103"/>
      <c r="D1577" s="103"/>
      <c r="E1577" s="103"/>
      <c r="F1577" s="103"/>
      <c r="G1577" s="103"/>
      <c r="H1577" s="103"/>
      <c r="I1577" s="103"/>
      <c r="J1577" s="103"/>
      <c r="K1577" s="103"/>
      <c r="L1577" s="103"/>
      <c r="M1577" s="104"/>
      <c r="N1577" s="103"/>
    </row>
    <row r="1578" spans="1:14" ht="45" customHeight="1" thickBot="1" x14ac:dyDescent="0.4">
      <c r="A1578" s="103"/>
      <c r="B1578" s="103"/>
      <c r="C1578" s="103"/>
      <c r="D1578" s="103"/>
      <c r="E1578" s="103"/>
      <c r="F1578" s="103"/>
      <c r="G1578" s="103"/>
      <c r="H1578" s="103"/>
      <c r="I1578" s="103"/>
      <c r="J1578" s="103"/>
      <c r="K1578" s="103"/>
      <c r="L1578" s="103"/>
      <c r="M1578" s="104"/>
      <c r="N1578" s="103"/>
    </row>
    <row r="1579" spans="1:14" ht="45" customHeight="1" thickBot="1" x14ac:dyDescent="0.4">
      <c r="A1579" s="103"/>
      <c r="B1579" s="103"/>
      <c r="C1579" s="103"/>
      <c r="D1579" s="103"/>
      <c r="E1579" s="103"/>
      <c r="F1579" s="103"/>
      <c r="G1579" s="103"/>
      <c r="H1579" s="103"/>
      <c r="I1579" s="103"/>
      <c r="J1579" s="103"/>
      <c r="K1579" s="103"/>
      <c r="L1579" s="103"/>
      <c r="M1579" s="104"/>
      <c r="N1579" s="103"/>
    </row>
    <row r="1580" spans="1:14" ht="45" customHeight="1" thickBot="1" x14ac:dyDescent="0.4">
      <c r="A1580" s="103"/>
      <c r="B1580" s="103"/>
      <c r="C1580" s="103"/>
      <c r="D1580" s="103"/>
      <c r="E1580" s="103"/>
      <c r="F1580" s="103"/>
      <c r="G1580" s="103"/>
      <c r="H1580" s="103"/>
      <c r="I1580" s="103"/>
      <c r="J1580" s="103"/>
      <c r="K1580" s="103"/>
      <c r="L1580" s="103"/>
      <c r="M1580" s="104"/>
      <c r="N1580" s="103"/>
    </row>
    <row r="1581" spans="1:14" ht="45" customHeight="1" thickBot="1" x14ac:dyDescent="0.4">
      <c r="A1581" s="103"/>
      <c r="B1581" s="103"/>
      <c r="C1581" s="103"/>
      <c r="D1581" s="103"/>
      <c r="E1581" s="103"/>
      <c r="F1581" s="103"/>
      <c r="G1581" s="103"/>
      <c r="H1581" s="103"/>
      <c r="I1581" s="103"/>
      <c r="J1581" s="103"/>
      <c r="K1581" s="103"/>
      <c r="L1581" s="103"/>
      <c r="M1581" s="104"/>
      <c r="N1581" s="103"/>
    </row>
    <row r="1582" spans="1:14" ht="45" customHeight="1" thickBot="1" x14ac:dyDescent="0.4">
      <c r="A1582" s="103"/>
      <c r="B1582" s="103"/>
      <c r="C1582" s="103"/>
      <c r="D1582" s="103"/>
      <c r="E1582" s="103"/>
      <c r="F1582" s="103"/>
      <c r="G1582" s="103"/>
      <c r="H1582" s="103"/>
      <c r="I1582" s="103"/>
      <c r="J1582" s="103"/>
      <c r="K1582" s="103"/>
      <c r="L1582" s="103"/>
      <c r="M1582" s="104"/>
      <c r="N1582" s="103"/>
    </row>
    <row r="1583" spans="1:14" ht="45" customHeight="1" thickBot="1" x14ac:dyDescent="0.4">
      <c r="A1583" s="103"/>
      <c r="B1583" s="103"/>
      <c r="C1583" s="103"/>
      <c r="D1583" s="103"/>
      <c r="E1583" s="103"/>
      <c r="F1583" s="103"/>
      <c r="G1583" s="103"/>
      <c r="H1583" s="103"/>
      <c r="I1583" s="103"/>
      <c r="J1583" s="103"/>
      <c r="K1583" s="103"/>
      <c r="L1583" s="103"/>
      <c r="M1583" s="104"/>
      <c r="N1583" s="103"/>
    </row>
    <row r="1584" spans="1:14" ht="45" customHeight="1" thickBot="1" x14ac:dyDescent="0.4">
      <c r="A1584" s="103"/>
      <c r="B1584" s="103"/>
      <c r="C1584" s="103"/>
      <c r="D1584" s="103"/>
      <c r="E1584" s="103"/>
      <c r="F1584" s="103"/>
      <c r="G1584" s="103"/>
      <c r="H1584" s="103"/>
      <c r="I1584" s="103"/>
      <c r="J1584" s="103"/>
      <c r="K1584" s="103"/>
      <c r="L1584" s="103"/>
      <c r="M1584" s="104"/>
      <c r="N1584" s="103"/>
    </row>
    <row r="1585" spans="1:14" ht="45" customHeight="1" thickBot="1" x14ac:dyDescent="0.4">
      <c r="A1585" s="103"/>
      <c r="B1585" s="103"/>
      <c r="C1585" s="103"/>
      <c r="D1585" s="103"/>
      <c r="E1585" s="103"/>
      <c r="F1585" s="103"/>
      <c r="G1585" s="103"/>
      <c r="H1585" s="103"/>
      <c r="I1585" s="103"/>
      <c r="J1585" s="103"/>
      <c r="K1585" s="103"/>
      <c r="L1585" s="103"/>
      <c r="M1585" s="104"/>
      <c r="N1585" s="103"/>
    </row>
    <row r="1586" spans="1:14" ht="45" customHeight="1" thickBot="1" x14ac:dyDescent="0.4">
      <c r="A1586" s="103"/>
      <c r="B1586" s="103"/>
      <c r="C1586" s="103"/>
      <c r="D1586" s="103"/>
      <c r="E1586" s="103"/>
      <c r="F1586" s="103"/>
      <c r="G1586" s="103"/>
      <c r="H1586" s="103"/>
      <c r="I1586" s="103"/>
      <c r="J1586" s="103"/>
      <c r="K1586" s="103"/>
      <c r="L1586" s="103"/>
      <c r="M1586" s="104"/>
      <c r="N1586" s="103"/>
    </row>
    <row r="1587" spans="1:14" ht="45" customHeight="1" thickBot="1" x14ac:dyDescent="0.4">
      <c r="A1587" s="103"/>
      <c r="B1587" s="103"/>
      <c r="C1587" s="103"/>
      <c r="D1587" s="103"/>
      <c r="E1587" s="103"/>
      <c r="F1587" s="103"/>
      <c r="G1587" s="103"/>
      <c r="H1587" s="103"/>
      <c r="I1587" s="103"/>
      <c r="J1587" s="103"/>
      <c r="K1587" s="103"/>
      <c r="L1587" s="103"/>
      <c r="M1587" s="104"/>
      <c r="N1587" s="103"/>
    </row>
    <row r="1588" spans="1:14" ht="45" customHeight="1" thickBot="1" x14ac:dyDescent="0.4">
      <c r="A1588" s="103"/>
      <c r="B1588" s="103"/>
      <c r="C1588" s="103"/>
      <c r="D1588" s="103"/>
      <c r="E1588" s="103"/>
      <c r="F1588" s="103"/>
      <c r="G1588" s="103"/>
      <c r="H1588" s="103"/>
      <c r="I1588" s="103"/>
      <c r="J1588" s="103"/>
      <c r="K1588" s="103"/>
      <c r="L1588" s="103"/>
      <c r="M1588" s="104"/>
      <c r="N1588" s="103"/>
    </row>
    <row r="1589" spans="1:14" ht="45" customHeight="1" thickBot="1" x14ac:dyDescent="0.4">
      <c r="A1589" s="103"/>
      <c r="B1589" s="103"/>
      <c r="C1589" s="103"/>
      <c r="D1589" s="103"/>
      <c r="E1589" s="103"/>
      <c r="F1589" s="103"/>
      <c r="G1589" s="103"/>
      <c r="H1589" s="103"/>
      <c r="I1589" s="103"/>
      <c r="J1589" s="103"/>
      <c r="K1589" s="103"/>
      <c r="L1589" s="103"/>
      <c r="M1589" s="104"/>
      <c r="N1589" s="103"/>
    </row>
    <row r="1590" spans="1:14" ht="45" customHeight="1" thickBot="1" x14ac:dyDescent="0.4">
      <c r="A1590" s="103"/>
      <c r="B1590" s="103"/>
      <c r="C1590" s="103"/>
      <c r="D1590" s="103"/>
      <c r="E1590" s="103"/>
      <c r="F1590" s="103"/>
      <c r="G1590" s="103"/>
      <c r="H1590" s="103"/>
      <c r="I1590" s="103"/>
      <c r="J1590" s="103"/>
      <c r="K1590" s="103"/>
      <c r="L1590" s="103"/>
      <c r="M1590" s="104"/>
      <c r="N1590" s="103"/>
    </row>
    <row r="1591" spans="1:14" ht="45" customHeight="1" thickBot="1" x14ac:dyDescent="0.4">
      <c r="A1591" s="103"/>
      <c r="B1591" s="103"/>
      <c r="C1591" s="103"/>
      <c r="D1591" s="103"/>
      <c r="E1591" s="103"/>
      <c r="F1591" s="103"/>
      <c r="G1591" s="103"/>
      <c r="H1591" s="103"/>
      <c r="I1591" s="103"/>
      <c r="J1591" s="103"/>
      <c r="K1591" s="103"/>
      <c r="L1591" s="103"/>
      <c r="M1591" s="104"/>
      <c r="N1591" s="103"/>
    </row>
    <row r="1592" spans="1:14" ht="45" customHeight="1" thickBot="1" x14ac:dyDescent="0.4">
      <c r="A1592" s="103"/>
      <c r="B1592" s="103"/>
      <c r="C1592" s="103"/>
      <c r="D1592" s="103"/>
      <c r="E1592" s="103"/>
      <c r="F1592" s="103"/>
      <c r="G1592" s="103"/>
      <c r="H1592" s="103"/>
      <c r="I1592" s="103"/>
      <c r="J1592" s="103"/>
      <c r="K1592" s="103"/>
      <c r="L1592" s="103"/>
      <c r="M1592" s="104"/>
      <c r="N1592" s="103"/>
    </row>
    <row r="1593" spans="1:14" ht="45" customHeight="1" thickBot="1" x14ac:dyDescent="0.4">
      <c r="A1593" s="103"/>
      <c r="B1593" s="103"/>
      <c r="C1593" s="103"/>
      <c r="D1593" s="103"/>
      <c r="E1593" s="103"/>
      <c r="F1593" s="103"/>
      <c r="G1593" s="103"/>
      <c r="H1593" s="103"/>
      <c r="I1593" s="103"/>
      <c r="J1593" s="103"/>
      <c r="K1593" s="103"/>
      <c r="L1593" s="103"/>
      <c r="M1593" s="104"/>
      <c r="N1593" s="103"/>
    </row>
    <row r="1594" spans="1:14" ht="45" customHeight="1" thickBot="1" x14ac:dyDescent="0.4">
      <c r="A1594" s="103"/>
      <c r="B1594" s="103"/>
      <c r="C1594" s="103"/>
      <c r="D1594" s="103"/>
      <c r="E1594" s="103"/>
      <c r="F1594" s="103"/>
      <c r="G1594" s="103"/>
      <c r="H1594" s="103"/>
      <c r="I1594" s="103"/>
      <c r="J1594" s="103"/>
      <c r="K1594" s="103"/>
      <c r="L1594" s="103"/>
      <c r="M1594" s="104"/>
      <c r="N1594" s="103"/>
    </row>
    <row r="1595" spans="1:14" ht="45" customHeight="1" thickBot="1" x14ac:dyDescent="0.4">
      <c r="A1595" s="103"/>
      <c r="B1595" s="103"/>
      <c r="C1595" s="103"/>
      <c r="D1595" s="103"/>
      <c r="E1595" s="103"/>
      <c r="F1595" s="103"/>
      <c r="G1595" s="103"/>
      <c r="H1595" s="103"/>
      <c r="I1595" s="103"/>
      <c r="J1595" s="103"/>
      <c r="K1595" s="103"/>
      <c r="L1595" s="103"/>
      <c r="M1595" s="104"/>
      <c r="N1595" s="103"/>
    </row>
    <row r="1596" spans="1:14" ht="45" customHeight="1" thickBot="1" x14ac:dyDescent="0.4">
      <c r="A1596" s="103"/>
      <c r="B1596" s="103"/>
      <c r="C1596" s="103"/>
      <c r="D1596" s="103"/>
      <c r="E1596" s="103"/>
      <c r="F1596" s="103"/>
      <c r="G1596" s="103"/>
      <c r="H1596" s="103"/>
      <c r="I1596" s="103"/>
      <c r="J1596" s="103"/>
      <c r="K1596" s="103"/>
      <c r="L1596" s="103"/>
      <c r="M1596" s="104"/>
      <c r="N1596" s="103"/>
    </row>
    <row r="1597" spans="1:14" ht="45" customHeight="1" thickBot="1" x14ac:dyDescent="0.4">
      <c r="A1597" s="103"/>
      <c r="B1597" s="103"/>
      <c r="C1597" s="103"/>
      <c r="D1597" s="103"/>
      <c r="E1597" s="103"/>
      <c r="F1597" s="103"/>
      <c r="G1597" s="103"/>
      <c r="H1597" s="103"/>
      <c r="I1597" s="103"/>
      <c r="J1597" s="103"/>
      <c r="K1597" s="103"/>
      <c r="L1597" s="103"/>
      <c r="M1597" s="104"/>
      <c r="N1597" s="103"/>
    </row>
    <row r="1598" spans="1:14" ht="45" customHeight="1" thickBot="1" x14ac:dyDescent="0.4">
      <c r="A1598" s="103"/>
      <c r="B1598" s="103"/>
      <c r="C1598" s="103"/>
      <c r="D1598" s="103"/>
      <c r="E1598" s="103"/>
      <c r="F1598" s="103"/>
      <c r="G1598" s="103"/>
      <c r="H1598" s="103"/>
      <c r="I1598" s="103"/>
      <c r="J1598" s="103"/>
      <c r="K1598" s="103"/>
      <c r="L1598" s="103"/>
      <c r="M1598" s="104"/>
      <c r="N1598" s="103"/>
    </row>
    <row r="1599" spans="1:14" ht="45" customHeight="1" thickBot="1" x14ac:dyDescent="0.4">
      <c r="A1599" s="103"/>
      <c r="B1599" s="103"/>
      <c r="C1599" s="103"/>
      <c r="D1599" s="103"/>
      <c r="E1599" s="103"/>
      <c r="F1599" s="103"/>
      <c r="G1599" s="103"/>
      <c r="H1599" s="103"/>
      <c r="I1599" s="103"/>
      <c r="J1599" s="103"/>
      <c r="K1599" s="103"/>
      <c r="L1599" s="103"/>
      <c r="M1599" s="104"/>
      <c r="N1599" s="103"/>
    </row>
    <row r="1600" spans="1:14" ht="45" customHeight="1" thickBot="1" x14ac:dyDescent="0.4">
      <c r="A1600" s="103"/>
      <c r="B1600" s="103"/>
      <c r="C1600" s="103"/>
      <c r="D1600" s="103"/>
      <c r="E1600" s="103"/>
      <c r="F1600" s="103"/>
      <c r="G1600" s="103"/>
      <c r="H1600" s="103"/>
      <c r="I1600" s="103"/>
      <c r="J1600" s="103"/>
      <c r="K1600" s="103"/>
      <c r="L1600" s="103"/>
      <c r="M1600" s="104"/>
      <c r="N1600" s="103"/>
    </row>
    <row r="1601" spans="1:14" ht="45" customHeight="1" thickBot="1" x14ac:dyDescent="0.4">
      <c r="A1601" s="103"/>
      <c r="B1601" s="103"/>
      <c r="C1601" s="103"/>
      <c r="D1601" s="103"/>
      <c r="E1601" s="103"/>
      <c r="F1601" s="103"/>
      <c r="G1601" s="103"/>
      <c r="H1601" s="103"/>
      <c r="I1601" s="103"/>
      <c r="J1601" s="103"/>
      <c r="K1601" s="103"/>
      <c r="L1601" s="103"/>
      <c r="M1601" s="104"/>
      <c r="N1601" s="103"/>
    </row>
    <row r="1602" spans="1:14" ht="45" customHeight="1" thickBot="1" x14ac:dyDescent="0.4">
      <c r="A1602" s="103"/>
      <c r="B1602" s="103"/>
      <c r="C1602" s="103"/>
      <c r="D1602" s="103"/>
      <c r="E1602" s="103"/>
      <c r="F1602" s="103"/>
      <c r="G1602" s="103"/>
      <c r="H1602" s="103"/>
      <c r="I1602" s="103"/>
      <c r="J1602" s="103"/>
      <c r="K1602" s="103"/>
      <c r="L1602" s="103"/>
      <c r="M1602" s="104"/>
      <c r="N1602" s="103"/>
    </row>
    <row r="1603" spans="1:14" ht="45" customHeight="1" thickBot="1" x14ac:dyDescent="0.4">
      <c r="A1603" s="103"/>
      <c r="B1603" s="103"/>
      <c r="C1603" s="103"/>
      <c r="D1603" s="103"/>
      <c r="E1603" s="103"/>
      <c r="F1603" s="103"/>
      <c r="G1603" s="103"/>
      <c r="H1603" s="103"/>
      <c r="I1603" s="103"/>
      <c r="J1603" s="103"/>
      <c r="K1603" s="103"/>
      <c r="L1603" s="103"/>
      <c r="M1603" s="104"/>
      <c r="N1603" s="103"/>
    </row>
    <row r="1604" spans="1:14" ht="45" customHeight="1" thickBot="1" x14ac:dyDescent="0.4">
      <c r="A1604" s="103"/>
      <c r="B1604" s="103"/>
      <c r="C1604" s="103"/>
      <c r="D1604" s="103"/>
      <c r="E1604" s="103"/>
      <c r="F1604" s="103"/>
      <c r="G1604" s="103"/>
      <c r="H1604" s="103"/>
      <c r="I1604" s="103"/>
      <c r="J1604" s="103"/>
      <c r="K1604" s="103"/>
      <c r="L1604" s="103"/>
      <c r="M1604" s="104"/>
      <c r="N1604" s="103"/>
    </row>
    <row r="1605" spans="1:14" ht="45" customHeight="1" thickBot="1" x14ac:dyDescent="0.4">
      <c r="A1605" s="103"/>
      <c r="B1605" s="103"/>
      <c r="C1605" s="103"/>
      <c r="D1605" s="103"/>
      <c r="E1605" s="103"/>
      <c r="F1605" s="103"/>
      <c r="G1605" s="103"/>
      <c r="H1605" s="103"/>
      <c r="I1605" s="103"/>
      <c r="J1605" s="103"/>
      <c r="K1605" s="103"/>
      <c r="L1605" s="103"/>
      <c r="M1605" s="104"/>
      <c r="N1605" s="103"/>
    </row>
    <row r="1606" spans="1:14" ht="45" customHeight="1" thickBot="1" x14ac:dyDescent="0.4">
      <c r="A1606" s="103"/>
      <c r="B1606" s="103"/>
      <c r="C1606" s="103"/>
      <c r="D1606" s="103"/>
      <c r="E1606" s="103"/>
      <c r="F1606" s="103"/>
      <c r="G1606" s="103"/>
      <c r="H1606" s="103"/>
      <c r="I1606" s="103"/>
      <c r="J1606" s="103"/>
      <c r="K1606" s="103"/>
      <c r="L1606" s="103"/>
      <c r="M1606" s="104"/>
      <c r="N1606" s="103"/>
    </row>
    <row r="1607" spans="1:14" ht="45" customHeight="1" thickBot="1" x14ac:dyDescent="0.4">
      <c r="A1607" s="103"/>
      <c r="B1607" s="103"/>
      <c r="C1607" s="103"/>
      <c r="D1607" s="103"/>
      <c r="E1607" s="103"/>
      <c r="F1607" s="103"/>
      <c r="G1607" s="103"/>
      <c r="H1607" s="103"/>
      <c r="I1607" s="103"/>
      <c r="J1607" s="103"/>
      <c r="K1607" s="103"/>
      <c r="L1607" s="103"/>
      <c r="M1607" s="104"/>
      <c r="N1607" s="103"/>
    </row>
    <row r="1608" spans="1:14" ht="45" customHeight="1" thickBot="1" x14ac:dyDescent="0.4">
      <c r="A1608" s="103"/>
      <c r="B1608" s="103"/>
      <c r="C1608" s="103"/>
      <c r="D1608" s="103"/>
      <c r="E1608" s="103"/>
      <c r="F1608" s="103"/>
      <c r="G1608" s="103"/>
      <c r="H1608" s="103"/>
      <c r="I1608" s="103"/>
      <c r="J1608" s="103"/>
      <c r="K1608" s="103"/>
      <c r="L1608" s="103"/>
      <c r="M1608" s="104"/>
      <c r="N1608" s="103"/>
    </row>
    <row r="1609" spans="1:14" ht="45" customHeight="1" thickBot="1" x14ac:dyDescent="0.4">
      <c r="A1609" s="103"/>
      <c r="B1609" s="103"/>
      <c r="C1609" s="103"/>
      <c r="D1609" s="103"/>
      <c r="E1609" s="103"/>
      <c r="F1609" s="103"/>
      <c r="G1609" s="103"/>
      <c r="H1609" s="103"/>
      <c r="I1609" s="103"/>
      <c r="J1609" s="103"/>
      <c r="K1609" s="103"/>
      <c r="L1609" s="103"/>
      <c r="M1609" s="104"/>
      <c r="N1609" s="103"/>
    </row>
    <row r="1610" spans="1:14" ht="45" customHeight="1" thickBot="1" x14ac:dyDescent="0.4">
      <c r="A1610" s="103"/>
      <c r="B1610" s="103"/>
      <c r="C1610" s="103"/>
      <c r="D1610" s="103"/>
      <c r="E1610" s="103"/>
      <c r="F1610" s="103"/>
      <c r="G1610" s="103"/>
      <c r="H1610" s="103"/>
      <c r="I1610" s="103"/>
      <c r="J1610" s="103"/>
      <c r="K1610" s="103"/>
      <c r="L1610" s="103"/>
      <c r="M1610" s="104"/>
      <c r="N1610" s="103"/>
    </row>
    <row r="1611" spans="1:14" ht="45" customHeight="1" thickBot="1" x14ac:dyDescent="0.4">
      <c r="A1611" s="103"/>
      <c r="B1611" s="103"/>
      <c r="C1611" s="103"/>
      <c r="D1611" s="103"/>
      <c r="E1611" s="103"/>
      <c r="F1611" s="103"/>
      <c r="G1611" s="103"/>
      <c r="H1611" s="103"/>
      <c r="I1611" s="103"/>
      <c r="J1611" s="103"/>
      <c r="K1611" s="103"/>
      <c r="L1611" s="103"/>
      <c r="M1611" s="104"/>
      <c r="N1611" s="103"/>
    </row>
    <row r="1612" spans="1:14" ht="45" customHeight="1" thickBot="1" x14ac:dyDescent="0.4">
      <c r="A1612" s="103"/>
      <c r="B1612" s="103"/>
      <c r="C1612" s="103"/>
      <c r="D1612" s="103"/>
      <c r="E1612" s="103"/>
      <c r="F1612" s="103"/>
      <c r="G1612" s="103"/>
      <c r="H1612" s="103"/>
      <c r="I1612" s="103"/>
      <c r="J1612" s="103"/>
      <c r="K1612" s="103"/>
      <c r="L1612" s="103"/>
      <c r="M1612" s="104"/>
      <c r="N1612" s="103"/>
    </row>
    <row r="1613" spans="1:14" ht="45" customHeight="1" thickBot="1" x14ac:dyDescent="0.4">
      <c r="A1613" s="103"/>
      <c r="B1613" s="103"/>
      <c r="C1613" s="103"/>
      <c r="D1613" s="103"/>
      <c r="E1613" s="103"/>
      <c r="F1613" s="103"/>
      <c r="G1613" s="103"/>
      <c r="H1613" s="103"/>
      <c r="I1613" s="103"/>
      <c r="J1613" s="103"/>
      <c r="K1613" s="103"/>
      <c r="L1613" s="103"/>
      <c r="M1613" s="104"/>
      <c r="N1613" s="103"/>
    </row>
    <row r="1614" spans="1:14" ht="45" customHeight="1" thickBot="1" x14ac:dyDescent="0.4">
      <c r="A1614" s="103"/>
      <c r="B1614" s="103"/>
      <c r="C1614" s="103"/>
      <c r="D1614" s="103"/>
      <c r="E1614" s="103"/>
      <c r="F1614" s="103"/>
      <c r="G1614" s="103"/>
      <c r="H1614" s="103"/>
      <c r="I1614" s="103"/>
      <c r="J1614" s="103"/>
      <c r="K1614" s="103"/>
      <c r="L1614" s="103"/>
      <c r="M1614" s="104"/>
      <c r="N1614" s="103"/>
    </row>
    <row r="1615" spans="1:14" ht="45" customHeight="1" thickBot="1" x14ac:dyDescent="0.4">
      <c r="A1615" s="103"/>
      <c r="B1615" s="103"/>
      <c r="C1615" s="103"/>
      <c r="D1615" s="103"/>
      <c r="E1615" s="103"/>
      <c r="F1615" s="103"/>
      <c r="G1615" s="103"/>
      <c r="H1615" s="103"/>
      <c r="I1615" s="103"/>
      <c r="J1615" s="103"/>
      <c r="K1615" s="103"/>
      <c r="L1615" s="103"/>
      <c r="M1615" s="104"/>
      <c r="N1615" s="103"/>
    </row>
    <row r="1616" spans="1:14" ht="45" customHeight="1" thickBot="1" x14ac:dyDescent="0.4">
      <c r="A1616" s="103"/>
      <c r="B1616" s="103"/>
      <c r="C1616" s="103"/>
      <c r="D1616" s="103"/>
      <c r="E1616" s="103"/>
      <c r="F1616" s="103"/>
      <c r="G1616" s="103"/>
      <c r="H1616" s="103"/>
      <c r="I1616" s="103"/>
      <c r="J1616" s="103"/>
      <c r="K1616" s="103"/>
      <c r="L1616" s="103"/>
      <c r="M1616" s="104"/>
      <c r="N1616" s="103"/>
    </row>
    <row r="1617" spans="1:14" ht="45" customHeight="1" thickBot="1" x14ac:dyDescent="0.4">
      <c r="A1617" s="103"/>
      <c r="B1617" s="103"/>
      <c r="C1617" s="103"/>
      <c r="D1617" s="103"/>
      <c r="E1617" s="103"/>
      <c r="F1617" s="103"/>
      <c r="G1617" s="103"/>
      <c r="H1617" s="103"/>
      <c r="I1617" s="103"/>
      <c r="J1617" s="103"/>
      <c r="K1617" s="103"/>
      <c r="L1617" s="103"/>
      <c r="M1617" s="104"/>
      <c r="N1617" s="103"/>
    </row>
    <row r="1618" spans="1:14" ht="45" customHeight="1" thickBot="1" x14ac:dyDescent="0.4">
      <c r="A1618" s="103"/>
      <c r="B1618" s="103"/>
      <c r="C1618" s="103"/>
      <c r="D1618" s="103"/>
      <c r="E1618" s="103"/>
      <c r="F1618" s="103"/>
      <c r="G1618" s="103"/>
      <c r="H1618" s="103"/>
      <c r="I1618" s="103"/>
      <c r="J1618" s="103"/>
      <c r="K1618" s="103"/>
      <c r="L1618" s="103"/>
      <c r="M1618" s="104"/>
      <c r="N1618" s="103"/>
    </row>
    <row r="1619" spans="1:14" ht="45" customHeight="1" thickBot="1" x14ac:dyDescent="0.4">
      <c r="A1619" s="103"/>
      <c r="B1619" s="103"/>
      <c r="C1619" s="103"/>
      <c r="D1619" s="103"/>
      <c r="E1619" s="103"/>
      <c r="F1619" s="103"/>
      <c r="G1619" s="103"/>
      <c r="H1619" s="103"/>
      <c r="I1619" s="103"/>
      <c r="J1619" s="103"/>
      <c r="K1619" s="103"/>
      <c r="L1619" s="103"/>
      <c r="M1619" s="104"/>
      <c r="N1619" s="103"/>
    </row>
    <row r="1620" spans="1:14" ht="45" customHeight="1" thickBot="1" x14ac:dyDescent="0.4">
      <c r="A1620" s="103"/>
      <c r="B1620" s="103"/>
      <c r="C1620" s="103"/>
      <c r="D1620" s="103"/>
      <c r="E1620" s="103"/>
      <c r="F1620" s="103"/>
      <c r="G1620" s="103"/>
      <c r="H1620" s="103"/>
      <c r="I1620" s="103"/>
      <c r="J1620" s="103"/>
      <c r="K1620" s="103"/>
      <c r="L1620" s="103"/>
      <c r="M1620" s="104"/>
      <c r="N1620" s="103"/>
    </row>
    <row r="1621" spans="1:14" ht="45" customHeight="1" thickBot="1" x14ac:dyDescent="0.4">
      <c r="A1621" s="103"/>
      <c r="B1621" s="103"/>
      <c r="C1621" s="103"/>
      <c r="D1621" s="103"/>
      <c r="E1621" s="103"/>
      <c r="F1621" s="103"/>
      <c r="G1621" s="103"/>
      <c r="H1621" s="103"/>
      <c r="I1621" s="103"/>
      <c r="J1621" s="103"/>
      <c r="K1621" s="103"/>
      <c r="L1621" s="103"/>
      <c r="M1621" s="104"/>
      <c r="N1621" s="103"/>
    </row>
    <row r="1622" spans="1:14" ht="45" customHeight="1" thickBot="1" x14ac:dyDescent="0.4">
      <c r="A1622" s="103"/>
      <c r="B1622" s="103"/>
      <c r="C1622" s="103"/>
      <c r="D1622" s="103"/>
      <c r="E1622" s="103"/>
      <c r="F1622" s="103"/>
      <c r="G1622" s="103"/>
      <c r="H1622" s="103"/>
      <c r="I1622" s="103"/>
      <c r="J1622" s="103"/>
      <c r="K1622" s="103"/>
      <c r="L1622" s="103"/>
      <c r="M1622" s="104"/>
      <c r="N1622" s="103"/>
    </row>
    <row r="1623" spans="1:14" ht="45" customHeight="1" thickBot="1" x14ac:dyDescent="0.4">
      <c r="A1623" s="103"/>
      <c r="B1623" s="103"/>
      <c r="C1623" s="103"/>
      <c r="D1623" s="103"/>
      <c r="E1623" s="103"/>
      <c r="F1623" s="103"/>
      <c r="G1623" s="103"/>
      <c r="H1623" s="103"/>
      <c r="I1623" s="103"/>
      <c r="J1623" s="103"/>
      <c r="K1623" s="103"/>
      <c r="L1623" s="103"/>
      <c r="M1623" s="104"/>
      <c r="N1623" s="103"/>
    </row>
    <row r="1624" spans="1:14" ht="45" customHeight="1" thickBot="1" x14ac:dyDescent="0.4">
      <c r="A1624" s="103"/>
      <c r="B1624" s="103"/>
      <c r="C1624" s="103"/>
      <c r="D1624" s="103"/>
      <c r="E1624" s="103"/>
      <c r="F1624" s="103"/>
      <c r="G1624" s="103"/>
      <c r="H1624" s="103"/>
      <c r="I1624" s="103"/>
      <c r="J1624" s="103"/>
      <c r="K1624" s="103"/>
      <c r="L1624" s="103"/>
      <c r="M1624" s="104"/>
      <c r="N1624" s="103"/>
    </row>
    <row r="1625" spans="1:14" ht="45" customHeight="1" thickBot="1" x14ac:dyDescent="0.4">
      <c r="A1625" s="103"/>
      <c r="B1625" s="103"/>
      <c r="C1625" s="103"/>
      <c r="D1625" s="103"/>
      <c r="E1625" s="103"/>
      <c r="F1625" s="103"/>
      <c r="G1625" s="103"/>
      <c r="H1625" s="103"/>
      <c r="I1625" s="103"/>
      <c r="J1625" s="103"/>
      <c r="K1625" s="103"/>
      <c r="L1625" s="103"/>
      <c r="M1625" s="104"/>
      <c r="N1625" s="103"/>
    </row>
    <row r="1626" spans="1:14" ht="45" customHeight="1" thickBot="1" x14ac:dyDescent="0.4">
      <c r="A1626" s="103"/>
      <c r="B1626" s="103"/>
      <c r="C1626" s="103"/>
      <c r="D1626" s="103"/>
      <c r="E1626" s="103"/>
      <c r="F1626" s="103"/>
      <c r="G1626" s="103"/>
      <c r="H1626" s="103"/>
      <c r="I1626" s="103"/>
      <c r="J1626" s="103"/>
      <c r="K1626" s="103"/>
      <c r="L1626" s="103"/>
      <c r="M1626" s="104"/>
      <c r="N1626" s="103"/>
    </row>
    <row r="1627" spans="1:14" ht="45" customHeight="1" thickBot="1" x14ac:dyDescent="0.4">
      <c r="A1627" s="103"/>
      <c r="B1627" s="103"/>
      <c r="C1627" s="103"/>
      <c r="D1627" s="103"/>
      <c r="E1627" s="103"/>
      <c r="F1627" s="103"/>
      <c r="G1627" s="103"/>
      <c r="H1627" s="103"/>
      <c r="I1627" s="103"/>
      <c r="J1627" s="103"/>
      <c r="K1627" s="103"/>
      <c r="L1627" s="103"/>
      <c r="M1627" s="104"/>
      <c r="N1627" s="103"/>
    </row>
    <row r="1628" spans="1:14" ht="45" customHeight="1" thickBot="1" x14ac:dyDescent="0.4">
      <c r="A1628" s="103"/>
      <c r="B1628" s="103"/>
      <c r="C1628" s="103"/>
      <c r="D1628" s="103"/>
      <c r="E1628" s="103"/>
      <c r="F1628" s="103"/>
      <c r="G1628" s="103"/>
      <c r="H1628" s="103"/>
      <c r="I1628" s="103"/>
      <c r="J1628" s="103"/>
      <c r="K1628" s="103"/>
      <c r="L1628" s="103"/>
      <c r="M1628" s="104"/>
      <c r="N1628" s="103"/>
    </row>
    <row r="1629" spans="1:14" ht="45" customHeight="1" thickBot="1" x14ac:dyDescent="0.4">
      <c r="A1629" s="103"/>
      <c r="B1629" s="103"/>
      <c r="C1629" s="103"/>
      <c r="D1629" s="103"/>
      <c r="E1629" s="103"/>
      <c r="F1629" s="103"/>
      <c r="G1629" s="103"/>
      <c r="H1629" s="103"/>
      <c r="I1629" s="103"/>
      <c r="J1629" s="103"/>
      <c r="K1629" s="103"/>
      <c r="L1629" s="103"/>
      <c r="M1629" s="104"/>
      <c r="N1629" s="103"/>
    </row>
    <row r="1630" spans="1:14" ht="45" customHeight="1" thickBot="1" x14ac:dyDescent="0.4">
      <c r="A1630" s="103"/>
      <c r="B1630" s="103"/>
      <c r="C1630" s="103"/>
      <c r="D1630" s="103"/>
      <c r="E1630" s="103"/>
      <c r="F1630" s="103"/>
      <c r="G1630" s="103"/>
      <c r="H1630" s="103"/>
      <c r="I1630" s="103"/>
      <c r="J1630" s="103"/>
      <c r="K1630" s="103"/>
      <c r="L1630" s="103"/>
      <c r="M1630" s="104"/>
      <c r="N1630" s="103"/>
    </row>
    <row r="1631" spans="1:14" ht="45" customHeight="1" thickBot="1" x14ac:dyDescent="0.4">
      <c r="A1631" s="103"/>
      <c r="B1631" s="103"/>
      <c r="C1631" s="103"/>
      <c r="D1631" s="103"/>
      <c r="E1631" s="103"/>
      <c r="F1631" s="103"/>
      <c r="G1631" s="103"/>
      <c r="H1631" s="103"/>
      <c r="I1631" s="103"/>
      <c r="J1631" s="103"/>
      <c r="K1631" s="103"/>
      <c r="L1631" s="103"/>
      <c r="M1631" s="104"/>
      <c r="N1631" s="103"/>
    </row>
    <row r="1632" spans="1:14" ht="45" customHeight="1" thickBot="1" x14ac:dyDescent="0.4">
      <c r="A1632" s="103"/>
      <c r="B1632" s="103"/>
      <c r="C1632" s="103"/>
      <c r="D1632" s="103"/>
      <c r="E1632" s="103"/>
      <c r="F1632" s="103"/>
      <c r="G1632" s="103"/>
      <c r="H1632" s="103"/>
      <c r="I1632" s="103"/>
      <c r="J1632" s="103"/>
      <c r="K1632" s="103"/>
      <c r="L1632" s="103"/>
      <c r="M1632" s="104"/>
      <c r="N1632" s="103"/>
    </row>
    <row r="1633" spans="1:14" ht="45" customHeight="1" thickBot="1" x14ac:dyDescent="0.4">
      <c r="A1633" s="103"/>
      <c r="B1633" s="103"/>
      <c r="C1633" s="103"/>
      <c r="D1633" s="103"/>
      <c r="E1633" s="103"/>
      <c r="F1633" s="103"/>
      <c r="G1633" s="103"/>
      <c r="H1633" s="103"/>
      <c r="I1633" s="103"/>
      <c r="J1633" s="103"/>
      <c r="K1633" s="103"/>
      <c r="L1633" s="103"/>
      <c r="M1633" s="104"/>
      <c r="N1633" s="103"/>
    </row>
    <row r="1634" spans="1:14" ht="45" customHeight="1" thickBot="1" x14ac:dyDescent="0.4">
      <c r="A1634" s="103"/>
      <c r="B1634" s="103"/>
      <c r="C1634" s="103"/>
      <c r="D1634" s="103"/>
      <c r="E1634" s="103"/>
      <c r="F1634" s="103"/>
      <c r="G1634" s="103"/>
      <c r="H1634" s="103"/>
      <c r="I1634" s="103"/>
      <c r="J1634" s="103"/>
      <c r="K1634" s="103"/>
      <c r="L1634" s="103"/>
      <c r="M1634" s="104"/>
      <c r="N1634" s="103"/>
    </row>
    <row r="1635" spans="1:14" ht="45" customHeight="1" thickBot="1" x14ac:dyDescent="0.4">
      <c r="A1635" s="103"/>
      <c r="B1635" s="103"/>
      <c r="C1635" s="103"/>
      <c r="D1635" s="103"/>
      <c r="E1635" s="103"/>
      <c r="F1635" s="103"/>
      <c r="G1635" s="103"/>
      <c r="H1635" s="103"/>
      <c r="I1635" s="103"/>
      <c r="J1635" s="103"/>
      <c r="K1635" s="103"/>
      <c r="L1635" s="103"/>
      <c r="M1635" s="104"/>
      <c r="N1635" s="103"/>
    </row>
    <row r="1636" spans="1:14" ht="45" customHeight="1" thickBot="1" x14ac:dyDescent="0.4">
      <c r="A1636" s="103"/>
      <c r="B1636" s="103"/>
      <c r="C1636" s="103"/>
      <c r="D1636" s="103"/>
      <c r="E1636" s="103"/>
      <c r="F1636" s="103"/>
      <c r="G1636" s="103"/>
      <c r="H1636" s="103"/>
      <c r="I1636" s="103"/>
      <c r="J1636" s="103"/>
      <c r="K1636" s="103"/>
      <c r="L1636" s="103"/>
      <c r="M1636" s="104"/>
      <c r="N1636" s="103"/>
    </row>
    <row r="1637" spans="1:14" ht="45" customHeight="1" thickBot="1" x14ac:dyDescent="0.4">
      <c r="A1637" s="103"/>
      <c r="B1637" s="103"/>
      <c r="C1637" s="103"/>
      <c r="D1637" s="103"/>
      <c r="E1637" s="103"/>
      <c r="F1637" s="103"/>
      <c r="G1637" s="103"/>
      <c r="H1637" s="103"/>
      <c r="I1637" s="103"/>
      <c r="J1637" s="103"/>
      <c r="K1637" s="103"/>
      <c r="L1637" s="103"/>
      <c r="M1637" s="104"/>
      <c r="N1637" s="103"/>
    </row>
    <row r="1638" spans="1:14" ht="45" customHeight="1" thickBot="1" x14ac:dyDescent="0.4">
      <c r="A1638" s="103"/>
      <c r="B1638" s="103"/>
      <c r="C1638" s="103"/>
      <c r="D1638" s="103"/>
      <c r="E1638" s="103"/>
      <c r="F1638" s="103"/>
      <c r="G1638" s="103"/>
      <c r="H1638" s="103"/>
      <c r="I1638" s="103"/>
      <c r="J1638" s="103"/>
      <c r="K1638" s="103"/>
      <c r="L1638" s="103"/>
      <c r="M1638" s="104"/>
      <c r="N1638" s="103"/>
    </row>
    <row r="1639" spans="1:14" ht="45" customHeight="1" thickBot="1" x14ac:dyDescent="0.4">
      <c r="A1639" s="103"/>
      <c r="B1639" s="103"/>
      <c r="C1639" s="103"/>
      <c r="D1639" s="103"/>
      <c r="E1639" s="103"/>
      <c r="F1639" s="103"/>
      <c r="G1639" s="103"/>
      <c r="H1639" s="103"/>
      <c r="I1639" s="103"/>
      <c r="J1639" s="103"/>
      <c r="K1639" s="103"/>
      <c r="L1639" s="103"/>
      <c r="M1639" s="104"/>
      <c r="N1639" s="103"/>
    </row>
    <row r="1640" spans="1:14" ht="45" customHeight="1" thickBot="1" x14ac:dyDescent="0.4">
      <c r="A1640" s="103"/>
      <c r="B1640" s="103"/>
      <c r="C1640" s="103"/>
      <c r="D1640" s="103"/>
      <c r="E1640" s="103"/>
      <c r="F1640" s="103"/>
      <c r="G1640" s="103"/>
      <c r="H1640" s="103"/>
      <c r="I1640" s="103"/>
      <c r="J1640" s="103"/>
      <c r="K1640" s="103"/>
      <c r="L1640" s="103"/>
      <c r="M1640" s="104"/>
      <c r="N1640" s="103"/>
    </row>
    <row r="1641" spans="1:14" ht="45" customHeight="1" thickBot="1" x14ac:dyDescent="0.4">
      <c r="A1641" s="103"/>
      <c r="B1641" s="103"/>
      <c r="C1641" s="103"/>
      <c r="D1641" s="103"/>
      <c r="E1641" s="103"/>
      <c r="F1641" s="103"/>
      <c r="G1641" s="103"/>
      <c r="H1641" s="103"/>
      <c r="I1641" s="103"/>
      <c r="J1641" s="103"/>
      <c r="K1641" s="103"/>
      <c r="L1641" s="103"/>
      <c r="M1641" s="104"/>
      <c r="N1641" s="103"/>
    </row>
    <row r="1642" spans="1:14" ht="45" customHeight="1" thickBot="1" x14ac:dyDescent="0.4">
      <c r="A1642" s="103"/>
      <c r="B1642" s="103"/>
      <c r="C1642" s="103"/>
      <c r="D1642" s="103"/>
      <c r="E1642" s="103"/>
      <c r="F1642" s="103"/>
      <c r="G1642" s="103"/>
      <c r="H1642" s="103"/>
      <c r="I1642" s="103"/>
      <c r="J1642" s="103"/>
      <c r="K1642" s="103"/>
      <c r="L1642" s="103"/>
      <c r="M1642" s="104"/>
      <c r="N1642" s="103"/>
    </row>
    <row r="1643" spans="1:14" ht="45" customHeight="1" thickBot="1" x14ac:dyDescent="0.4">
      <c r="A1643" s="103"/>
      <c r="B1643" s="103"/>
      <c r="C1643" s="103"/>
      <c r="D1643" s="103"/>
      <c r="E1643" s="103"/>
      <c r="F1643" s="103"/>
      <c r="G1643" s="103"/>
      <c r="H1643" s="103"/>
      <c r="I1643" s="103"/>
      <c r="J1643" s="103"/>
      <c r="K1643" s="103"/>
      <c r="L1643" s="103"/>
      <c r="M1643" s="104"/>
      <c r="N1643" s="103"/>
    </row>
    <row r="1644" spans="1:14" ht="45" customHeight="1" thickBot="1" x14ac:dyDescent="0.4">
      <c r="A1644" s="103"/>
      <c r="B1644" s="103"/>
      <c r="C1644" s="103"/>
      <c r="D1644" s="103"/>
      <c r="E1644" s="103"/>
      <c r="F1644" s="103"/>
      <c r="G1644" s="103"/>
      <c r="H1644" s="103"/>
      <c r="I1644" s="103"/>
      <c r="J1644" s="103"/>
      <c r="K1644" s="103"/>
      <c r="L1644" s="103"/>
      <c r="M1644" s="104"/>
      <c r="N1644" s="103"/>
    </row>
    <row r="1645" spans="1:14" ht="45" customHeight="1" thickBot="1" x14ac:dyDescent="0.4">
      <c r="A1645" s="103"/>
      <c r="B1645" s="103"/>
      <c r="C1645" s="103"/>
      <c r="D1645" s="103"/>
      <c r="E1645" s="103"/>
      <c r="F1645" s="103"/>
      <c r="G1645" s="103"/>
      <c r="H1645" s="103"/>
      <c r="I1645" s="103"/>
      <c r="J1645" s="103"/>
      <c r="K1645" s="103"/>
      <c r="L1645" s="103"/>
      <c r="M1645" s="104"/>
      <c r="N1645" s="103"/>
    </row>
    <row r="1646" spans="1:14" ht="45" customHeight="1" thickBot="1" x14ac:dyDescent="0.4">
      <c r="A1646" s="103"/>
      <c r="B1646" s="103"/>
      <c r="C1646" s="103"/>
      <c r="D1646" s="103"/>
      <c r="E1646" s="103"/>
      <c r="F1646" s="103"/>
      <c r="G1646" s="103"/>
      <c r="H1646" s="103"/>
      <c r="I1646" s="103"/>
      <c r="J1646" s="103"/>
      <c r="K1646" s="103"/>
      <c r="L1646" s="103"/>
      <c r="M1646" s="104"/>
      <c r="N1646" s="103"/>
    </row>
    <row r="1647" spans="1:14" ht="45" customHeight="1" thickBot="1" x14ac:dyDescent="0.4">
      <c r="A1647" s="103"/>
      <c r="B1647" s="103"/>
      <c r="C1647" s="103"/>
      <c r="D1647" s="103"/>
      <c r="E1647" s="103"/>
      <c r="F1647" s="103"/>
      <c r="G1647" s="103"/>
      <c r="H1647" s="103"/>
      <c r="I1647" s="103"/>
      <c r="J1647" s="103"/>
      <c r="K1647" s="103"/>
      <c r="L1647" s="103"/>
      <c r="M1647" s="104"/>
      <c r="N1647" s="103"/>
    </row>
    <row r="1648" spans="1:14" ht="45" customHeight="1" thickBot="1" x14ac:dyDescent="0.4">
      <c r="A1648" s="103"/>
      <c r="B1648" s="103"/>
      <c r="C1648" s="103"/>
      <c r="D1648" s="103"/>
      <c r="E1648" s="103"/>
      <c r="F1648" s="103"/>
      <c r="G1648" s="103"/>
      <c r="H1648" s="103"/>
      <c r="I1648" s="103"/>
      <c r="J1648" s="103"/>
      <c r="K1648" s="103"/>
      <c r="L1648" s="103"/>
      <c r="M1648" s="104"/>
      <c r="N1648" s="103"/>
    </row>
    <row r="1649" spans="1:14" ht="45" customHeight="1" thickBot="1" x14ac:dyDescent="0.4">
      <c r="A1649" s="103"/>
      <c r="B1649" s="103"/>
      <c r="C1649" s="103"/>
      <c r="D1649" s="103"/>
      <c r="E1649" s="103"/>
      <c r="F1649" s="103"/>
      <c r="G1649" s="103"/>
      <c r="H1649" s="103"/>
      <c r="I1649" s="103"/>
      <c r="J1649" s="103"/>
      <c r="K1649" s="103"/>
      <c r="L1649" s="103"/>
      <c r="M1649" s="104"/>
      <c r="N1649" s="103"/>
    </row>
    <row r="1650" spans="1:14" ht="45" customHeight="1" thickBot="1" x14ac:dyDescent="0.4">
      <c r="A1650" s="103"/>
      <c r="B1650" s="103"/>
      <c r="C1650" s="103"/>
      <c r="D1650" s="103"/>
      <c r="E1650" s="103"/>
      <c r="F1650" s="103"/>
      <c r="G1650" s="103"/>
      <c r="H1650" s="103"/>
      <c r="I1650" s="103"/>
      <c r="J1650" s="103"/>
      <c r="K1650" s="103"/>
      <c r="L1650" s="103"/>
      <c r="M1650" s="104"/>
      <c r="N1650" s="103"/>
    </row>
    <row r="1651" spans="1:14" ht="45" customHeight="1" thickBot="1" x14ac:dyDescent="0.4">
      <c r="A1651" s="103"/>
      <c r="B1651" s="103"/>
      <c r="C1651" s="103"/>
      <c r="D1651" s="103"/>
      <c r="E1651" s="103"/>
      <c r="F1651" s="103"/>
      <c r="G1651" s="103"/>
      <c r="H1651" s="103"/>
      <c r="I1651" s="103"/>
      <c r="J1651" s="103"/>
      <c r="K1651" s="103"/>
      <c r="L1651" s="103"/>
      <c r="M1651" s="104"/>
      <c r="N1651" s="103"/>
    </row>
    <row r="1652" spans="1:14" ht="45" customHeight="1" thickBot="1" x14ac:dyDescent="0.4">
      <c r="A1652" s="103"/>
      <c r="B1652" s="103"/>
      <c r="C1652" s="103"/>
      <c r="D1652" s="103"/>
      <c r="E1652" s="103"/>
      <c r="F1652" s="103"/>
      <c r="G1652" s="103"/>
      <c r="H1652" s="103"/>
      <c r="I1652" s="103"/>
      <c r="J1652" s="103"/>
      <c r="K1652" s="103"/>
      <c r="L1652" s="103"/>
      <c r="M1652" s="104"/>
      <c r="N1652" s="103"/>
    </row>
    <row r="1653" spans="1:14" ht="45" customHeight="1" thickBot="1" x14ac:dyDescent="0.4">
      <c r="A1653" s="103"/>
      <c r="B1653" s="103"/>
      <c r="C1653" s="103"/>
      <c r="D1653" s="103"/>
      <c r="E1653" s="103"/>
      <c r="F1653" s="103"/>
      <c r="G1653" s="103"/>
      <c r="H1653" s="103"/>
      <c r="I1653" s="103"/>
      <c r="J1653" s="103"/>
      <c r="K1653" s="103"/>
      <c r="L1653" s="103"/>
      <c r="M1653" s="104"/>
      <c r="N1653" s="103"/>
    </row>
    <row r="1654" spans="1:14" ht="45" customHeight="1" thickBot="1" x14ac:dyDescent="0.4">
      <c r="A1654" s="103"/>
      <c r="B1654" s="103"/>
      <c r="C1654" s="103"/>
      <c r="D1654" s="103"/>
      <c r="E1654" s="103"/>
      <c r="F1654" s="103"/>
      <c r="G1654" s="103"/>
      <c r="H1654" s="103"/>
      <c r="I1654" s="103"/>
      <c r="J1654" s="103"/>
      <c r="K1654" s="103"/>
      <c r="L1654" s="103"/>
      <c r="M1654" s="104"/>
      <c r="N1654" s="103"/>
    </row>
    <row r="1655" spans="1:14" ht="45" customHeight="1" thickBot="1" x14ac:dyDescent="0.4">
      <c r="A1655" s="103"/>
      <c r="B1655" s="103"/>
      <c r="C1655" s="103"/>
      <c r="D1655" s="103"/>
      <c r="E1655" s="103"/>
      <c r="F1655" s="103"/>
      <c r="G1655" s="103"/>
      <c r="H1655" s="103"/>
      <c r="I1655" s="103"/>
      <c r="J1655" s="103"/>
      <c r="K1655" s="103"/>
      <c r="L1655" s="103"/>
      <c r="M1655" s="104"/>
      <c r="N1655" s="103"/>
    </row>
    <row r="1656" spans="1:14" ht="45" customHeight="1" thickBot="1" x14ac:dyDescent="0.4">
      <c r="A1656" s="103"/>
      <c r="B1656" s="103"/>
      <c r="C1656" s="103"/>
      <c r="D1656" s="103"/>
      <c r="E1656" s="103"/>
      <c r="F1656" s="103"/>
      <c r="G1656" s="103"/>
      <c r="H1656" s="103"/>
      <c r="I1656" s="103"/>
      <c r="J1656" s="103"/>
      <c r="K1656" s="103"/>
      <c r="L1656" s="103"/>
      <c r="M1656" s="104"/>
      <c r="N1656" s="103"/>
    </row>
    <row r="1657" spans="1:14" ht="45" customHeight="1" thickBot="1" x14ac:dyDescent="0.4">
      <c r="A1657" s="103"/>
      <c r="B1657" s="103"/>
      <c r="C1657" s="103"/>
      <c r="D1657" s="103"/>
      <c r="E1657" s="103"/>
      <c r="F1657" s="103"/>
      <c r="G1657" s="103"/>
      <c r="H1657" s="103"/>
      <c r="I1657" s="103"/>
      <c r="J1657" s="103"/>
      <c r="K1657" s="103"/>
      <c r="L1657" s="103"/>
      <c r="M1657" s="104"/>
      <c r="N1657" s="103"/>
    </row>
    <row r="1658" spans="1:14" ht="45" customHeight="1" thickBot="1" x14ac:dyDescent="0.4">
      <c r="A1658" s="103"/>
      <c r="B1658" s="103"/>
      <c r="C1658" s="103"/>
      <c r="D1658" s="103"/>
      <c r="E1658" s="103"/>
      <c r="F1658" s="103"/>
      <c r="G1658" s="103"/>
      <c r="H1658" s="103"/>
      <c r="I1658" s="103"/>
      <c r="J1658" s="103"/>
      <c r="K1658" s="103"/>
      <c r="L1658" s="103"/>
      <c r="M1658" s="104"/>
      <c r="N1658" s="103"/>
    </row>
    <row r="1659" spans="1:14" ht="45" customHeight="1" thickBot="1" x14ac:dyDescent="0.4">
      <c r="A1659" s="103"/>
      <c r="B1659" s="103"/>
      <c r="C1659" s="103"/>
      <c r="D1659" s="103"/>
      <c r="E1659" s="103"/>
      <c r="F1659" s="103"/>
      <c r="G1659" s="103"/>
      <c r="H1659" s="103"/>
      <c r="I1659" s="103"/>
      <c r="J1659" s="103"/>
      <c r="K1659" s="103"/>
      <c r="L1659" s="103"/>
      <c r="M1659" s="104"/>
      <c r="N1659" s="103"/>
    </row>
    <row r="1660" spans="1:14" ht="45" customHeight="1" thickBot="1" x14ac:dyDescent="0.4">
      <c r="A1660" s="103"/>
      <c r="B1660" s="103"/>
      <c r="C1660" s="103"/>
      <c r="D1660" s="103"/>
      <c r="E1660" s="103"/>
      <c r="F1660" s="103"/>
      <c r="G1660" s="103"/>
      <c r="H1660" s="103"/>
      <c r="I1660" s="103"/>
      <c r="J1660" s="103"/>
      <c r="K1660" s="103"/>
      <c r="L1660" s="103"/>
      <c r="M1660" s="104"/>
      <c r="N1660" s="103"/>
    </row>
    <row r="1661" spans="1:14" ht="45" customHeight="1" thickBot="1" x14ac:dyDescent="0.4">
      <c r="A1661" s="103"/>
      <c r="B1661" s="103"/>
      <c r="C1661" s="103"/>
      <c r="D1661" s="103"/>
      <c r="E1661" s="103"/>
      <c r="F1661" s="103"/>
      <c r="G1661" s="103"/>
      <c r="H1661" s="103"/>
      <c r="I1661" s="103"/>
      <c r="J1661" s="103"/>
      <c r="K1661" s="103"/>
      <c r="L1661" s="103"/>
      <c r="M1661" s="104"/>
      <c r="N1661" s="103"/>
    </row>
    <row r="1662" spans="1:14" ht="45" customHeight="1" thickBot="1" x14ac:dyDescent="0.4">
      <c r="A1662" s="103"/>
      <c r="B1662" s="103"/>
      <c r="C1662" s="103"/>
      <c r="D1662" s="103"/>
      <c r="E1662" s="103"/>
      <c r="F1662" s="103"/>
      <c r="G1662" s="103"/>
      <c r="H1662" s="103"/>
      <c r="I1662" s="103"/>
      <c r="J1662" s="103"/>
      <c r="K1662" s="103"/>
      <c r="L1662" s="103"/>
      <c r="M1662" s="104"/>
      <c r="N1662" s="103"/>
    </row>
    <row r="1663" spans="1:14" ht="45" customHeight="1" thickBot="1" x14ac:dyDescent="0.4">
      <c r="A1663" s="103"/>
      <c r="B1663" s="103"/>
      <c r="C1663" s="103"/>
      <c r="D1663" s="103"/>
      <c r="E1663" s="103"/>
      <c r="F1663" s="103"/>
      <c r="G1663" s="103"/>
      <c r="H1663" s="103"/>
      <c r="I1663" s="103"/>
      <c r="J1663" s="103"/>
      <c r="K1663" s="103"/>
      <c r="L1663" s="103"/>
      <c r="M1663" s="104"/>
      <c r="N1663" s="103"/>
    </row>
    <row r="1664" spans="1:14" ht="45" customHeight="1" thickBot="1" x14ac:dyDescent="0.4">
      <c r="A1664" s="103"/>
      <c r="B1664" s="103"/>
      <c r="C1664" s="103"/>
      <c r="D1664" s="103"/>
      <c r="E1664" s="103"/>
      <c r="F1664" s="103"/>
      <c r="G1664" s="103"/>
      <c r="H1664" s="103"/>
      <c r="I1664" s="103"/>
      <c r="J1664" s="103"/>
      <c r="K1664" s="103"/>
      <c r="L1664" s="103"/>
      <c r="M1664" s="104"/>
      <c r="N1664" s="103"/>
    </row>
    <row r="1665" spans="1:14" ht="45" customHeight="1" thickBot="1" x14ac:dyDescent="0.4">
      <c r="A1665" s="103"/>
      <c r="B1665" s="103"/>
      <c r="C1665" s="103"/>
      <c r="D1665" s="103"/>
      <c r="E1665" s="103"/>
      <c r="F1665" s="103"/>
      <c r="G1665" s="103"/>
      <c r="H1665" s="103"/>
      <c r="I1665" s="103"/>
      <c r="J1665" s="103"/>
      <c r="K1665" s="103"/>
      <c r="L1665" s="103"/>
      <c r="M1665" s="104"/>
      <c r="N1665" s="103"/>
    </row>
    <row r="1666" spans="1:14" ht="45" customHeight="1" thickBot="1" x14ac:dyDescent="0.4">
      <c r="A1666" s="103"/>
      <c r="B1666" s="103"/>
      <c r="C1666" s="103"/>
      <c r="D1666" s="103"/>
      <c r="E1666" s="103"/>
      <c r="F1666" s="103"/>
      <c r="G1666" s="103"/>
      <c r="H1666" s="103"/>
      <c r="I1666" s="103"/>
      <c r="J1666" s="103"/>
      <c r="K1666" s="103"/>
      <c r="L1666" s="103"/>
      <c r="M1666" s="104"/>
      <c r="N1666" s="103"/>
    </row>
    <row r="1667" spans="1:14" ht="45" customHeight="1" thickBot="1" x14ac:dyDescent="0.4">
      <c r="A1667" s="103"/>
      <c r="B1667" s="103"/>
      <c r="C1667" s="103"/>
      <c r="D1667" s="103"/>
      <c r="E1667" s="103"/>
      <c r="F1667" s="103"/>
      <c r="G1667" s="103"/>
      <c r="H1667" s="103"/>
      <c r="I1667" s="103"/>
      <c r="J1667" s="103"/>
      <c r="K1667" s="103"/>
      <c r="L1667" s="103"/>
      <c r="M1667" s="104"/>
      <c r="N1667" s="103"/>
    </row>
    <row r="1668" spans="1:14" ht="45" customHeight="1" thickBot="1" x14ac:dyDescent="0.4">
      <c r="A1668" s="103"/>
      <c r="B1668" s="103"/>
      <c r="C1668" s="103"/>
      <c r="D1668" s="103"/>
      <c r="E1668" s="103"/>
      <c r="F1668" s="103"/>
      <c r="G1668" s="103"/>
      <c r="H1668" s="103"/>
      <c r="I1668" s="103"/>
      <c r="J1668" s="103"/>
      <c r="K1668" s="103"/>
      <c r="L1668" s="103"/>
      <c r="M1668" s="104"/>
      <c r="N1668" s="103"/>
    </row>
    <row r="1669" spans="1:14" ht="45" customHeight="1" thickBot="1" x14ac:dyDescent="0.4">
      <c r="A1669" s="103"/>
      <c r="B1669" s="103"/>
      <c r="C1669" s="103"/>
      <c r="D1669" s="103"/>
      <c r="E1669" s="103"/>
      <c r="F1669" s="103"/>
      <c r="G1669" s="103"/>
      <c r="H1669" s="103"/>
      <c r="I1669" s="103"/>
      <c r="J1669" s="103"/>
      <c r="K1669" s="103"/>
      <c r="L1669" s="103"/>
      <c r="M1669" s="104"/>
      <c r="N1669" s="103"/>
    </row>
    <row r="1670" spans="1:14" ht="45" customHeight="1" thickBot="1" x14ac:dyDescent="0.4">
      <c r="A1670" s="103"/>
      <c r="B1670" s="103"/>
      <c r="C1670" s="103"/>
      <c r="D1670" s="103"/>
      <c r="E1670" s="103"/>
      <c r="F1670" s="103"/>
      <c r="G1670" s="103"/>
      <c r="H1670" s="103"/>
      <c r="I1670" s="103"/>
      <c r="J1670" s="103"/>
      <c r="K1670" s="103"/>
      <c r="L1670" s="103"/>
      <c r="M1670" s="104"/>
      <c r="N1670" s="103"/>
    </row>
    <row r="1671" spans="1:14" ht="45" customHeight="1" thickBot="1" x14ac:dyDescent="0.4">
      <c r="A1671" s="103"/>
      <c r="B1671" s="103"/>
      <c r="C1671" s="103"/>
      <c r="D1671" s="103"/>
      <c r="E1671" s="103"/>
      <c r="F1671" s="103"/>
      <c r="G1671" s="103"/>
      <c r="H1671" s="103"/>
      <c r="I1671" s="103"/>
      <c r="J1671" s="103"/>
      <c r="K1671" s="103"/>
      <c r="L1671" s="103"/>
      <c r="M1671" s="104"/>
      <c r="N1671" s="103"/>
    </row>
    <row r="1672" spans="1:14" ht="45" customHeight="1" thickBot="1" x14ac:dyDescent="0.4">
      <c r="A1672" s="103"/>
      <c r="B1672" s="103"/>
      <c r="C1672" s="103"/>
      <c r="D1672" s="103"/>
      <c r="E1672" s="103"/>
      <c r="F1672" s="103"/>
      <c r="G1672" s="103"/>
      <c r="H1672" s="103"/>
      <c r="I1672" s="103"/>
      <c r="J1672" s="103"/>
      <c r="K1672" s="103"/>
      <c r="L1672" s="103"/>
      <c r="M1672" s="104"/>
      <c r="N1672" s="103"/>
    </row>
    <row r="1673" spans="1:14" ht="45" customHeight="1" thickBot="1" x14ac:dyDescent="0.4">
      <c r="A1673" s="103"/>
      <c r="B1673" s="103"/>
      <c r="C1673" s="103"/>
      <c r="D1673" s="103"/>
      <c r="E1673" s="103"/>
      <c r="F1673" s="103"/>
      <c r="G1673" s="103"/>
      <c r="H1673" s="103"/>
      <c r="I1673" s="103"/>
      <c r="J1673" s="103"/>
      <c r="K1673" s="103"/>
      <c r="L1673" s="103"/>
      <c r="M1673" s="104"/>
      <c r="N1673" s="103"/>
    </row>
    <row r="1674" spans="1:14" ht="45" customHeight="1" thickBot="1" x14ac:dyDescent="0.4">
      <c r="A1674" s="103"/>
      <c r="B1674" s="103"/>
      <c r="C1674" s="103"/>
      <c r="D1674" s="103"/>
      <c r="E1674" s="103"/>
      <c r="F1674" s="103"/>
      <c r="G1674" s="103"/>
      <c r="H1674" s="103"/>
      <c r="I1674" s="103"/>
      <c r="J1674" s="103"/>
      <c r="K1674" s="103"/>
      <c r="L1674" s="103"/>
      <c r="M1674" s="104"/>
      <c r="N1674" s="103"/>
    </row>
    <row r="1675" spans="1:14" ht="45" customHeight="1" thickBot="1" x14ac:dyDescent="0.4">
      <c r="A1675" s="103"/>
      <c r="B1675" s="103"/>
      <c r="C1675" s="103"/>
      <c r="D1675" s="103"/>
      <c r="E1675" s="103"/>
      <c r="F1675" s="103"/>
      <c r="G1675" s="103"/>
      <c r="H1675" s="103"/>
      <c r="I1675" s="103"/>
      <c r="J1675" s="103"/>
      <c r="K1675" s="103"/>
      <c r="L1675" s="103"/>
      <c r="M1675" s="104"/>
      <c r="N1675" s="103"/>
    </row>
    <row r="1676" spans="1:14" ht="45" customHeight="1" thickBot="1" x14ac:dyDescent="0.4">
      <c r="A1676" s="103"/>
      <c r="B1676" s="103"/>
      <c r="C1676" s="103"/>
      <c r="D1676" s="103"/>
      <c r="E1676" s="103"/>
      <c r="F1676" s="103"/>
      <c r="G1676" s="103"/>
      <c r="H1676" s="103"/>
      <c r="I1676" s="103"/>
      <c r="J1676" s="103"/>
      <c r="K1676" s="103"/>
      <c r="L1676" s="103"/>
      <c r="M1676" s="104"/>
      <c r="N1676" s="103"/>
    </row>
    <row r="1677" spans="1:14" ht="45" customHeight="1" thickBot="1" x14ac:dyDescent="0.4">
      <c r="A1677" s="103"/>
      <c r="B1677" s="103"/>
      <c r="C1677" s="103"/>
      <c r="D1677" s="103"/>
      <c r="E1677" s="103"/>
      <c r="F1677" s="103"/>
      <c r="G1677" s="103"/>
      <c r="H1677" s="103"/>
      <c r="I1677" s="103"/>
      <c r="J1677" s="103"/>
      <c r="K1677" s="103"/>
      <c r="L1677" s="103"/>
      <c r="M1677" s="104"/>
      <c r="N1677" s="103"/>
    </row>
    <row r="1678" spans="1:14" ht="45" customHeight="1" thickBot="1" x14ac:dyDescent="0.4">
      <c r="A1678" s="103"/>
      <c r="B1678" s="103"/>
      <c r="C1678" s="103"/>
      <c r="D1678" s="103"/>
      <c r="E1678" s="103"/>
      <c r="F1678" s="103"/>
      <c r="G1678" s="103"/>
      <c r="H1678" s="103"/>
      <c r="I1678" s="103"/>
      <c r="J1678" s="103"/>
      <c r="K1678" s="103"/>
      <c r="L1678" s="103"/>
      <c r="M1678" s="104"/>
      <c r="N1678" s="103"/>
    </row>
    <row r="1679" spans="1:14" ht="45" customHeight="1" thickBot="1" x14ac:dyDescent="0.4">
      <c r="A1679" s="103"/>
      <c r="B1679" s="103"/>
      <c r="C1679" s="103"/>
      <c r="D1679" s="103"/>
      <c r="E1679" s="103"/>
      <c r="F1679" s="103"/>
      <c r="G1679" s="103"/>
      <c r="H1679" s="103"/>
      <c r="I1679" s="103"/>
      <c r="J1679" s="103"/>
      <c r="K1679" s="103"/>
      <c r="L1679" s="103"/>
      <c r="M1679" s="104"/>
      <c r="N1679" s="103"/>
    </row>
    <row r="1680" spans="1:14" ht="45" customHeight="1" thickBot="1" x14ac:dyDescent="0.4">
      <c r="A1680" s="103"/>
      <c r="B1680" s="103"/>
      <c r="C1680" s="103"/>
      <c r="D1680" s="103"/>
      <c r="E1680" s="103"/>
      <c r="F1680" s="103"/>
      <c r="G1680" s="103"/>
      <c r="H1680" s="103"/>
      <c r="I1680" s="103"/>
      <c r="J1680" s="103"/>
      <c r="K1680" s="103"/>
      <c r="L1680" s="103"/>
      <c r="M1680" s="104"/>
      <c r="N1680" s="103"/>
    </row>
    <row r="1681" spans="1:14" ht="45" customHeight="1" thickBot="1" x14ac:dyDescent="0.4">
      <c r="A1681" s="103"/>
      <c r="B1681" s="103"/>
      <c r="C1681" s="103"/>
      <c r="D1681" s="103"/>
      <c r="E1681" s="103"/>
      <c r="F1681" s="103"/>
      <c r="G1681" s="103"/>
      <c r="H1681" s="103"/>
      <c r="I1681" s="103"/>
      <c r="J1681" s="103"/>
      <c r="K1681" s="103"/>
      <c r="L1681" s="103"/>
      <c r="M1681" s="104"/>
      <c r="N1681" s="103"/>
    </row>
    <row r="1682" spans="1:14" ht="45" customHeight="1" thickBot="1" x14ac:dyDescent="0.4">
      <c r="A1682" s="103"/>
      <c r="B1682" s="103"/>
      <c r="C1682" s="103"/>
      <c r="D1682" s="103"/>
      <c r="E1682" s="103"/>
      <c r="F1682" s="103"/>
      <c r="G1682" s="103"/>
      <c r="H1682" s="103"/>
      <c r="I1682" s="103"/>
      <c r="J1682" s="103"/>
      <c r="K1682" s="103"/>
      <c r="L1682" s="103"/>
      <c r="M1682" s="104"/>
      <c r="N1682" s="103"/>
    </row>
    <row r="1683" spans="1:14" ht="45" customHeight="1" thickBot="1" x14ac:dyDescent="0.4">
      <c r="A1683" s="103"/>
      <c r="B1683" s="103"/>
      <c r="C1683" s="103"/>
      <c r="D1683" s="103"/>
      <c r="E1683" s="103"/>
      <c r="F1683" s="103"/>
      <c r="G1683" s="103"/>
      <c r="H1683" s="103"/>
      <c r="I1683" s="103"/>
      <c r="J1683" s="103"/>
      <c r="K1683" s="103"/>
      <c r="L1683" s="103"/>
      <c r="M1683" s="104"/>
      <c r="N1683" s="103"/>
    </row>
    <row r="1684" spans="1:14" ht="45" customHeight="1" thickBot="1" x14ac:dyDescent="0.4">
      <c r="A1684" s="103"/>
      <c r="B1684" s="103"/>
      <c r="C1684" s="103"/>
      <c r="D1684" s="103"/>
      <c r="E1684" s="103"/>
      <c r="F1684" s="103"/>
      <c r="G1684" s="103"/>
      <c r="H1684" s="103"/>
      <c r="I1684" s="103"/>
      <c r="J1684" s="103"/>
      <c r="K1684" s="103"/>
      <c r="L1684" s="103"/>
      <c r="M1684" s="104"/>
      <c r="N1684" s="103"/>
    </row>
    <row r="1685" spans="1:14" ht="45" customHeight="1" thickBot="1" x14ac:dyDescent="0.4">
      <c r="A1685" s="103"/>
      <c r="B1685" s="103"/>
      <c r="C1685" s="103"/>
      <c r="D1685" s="103"/>
      <c r="E1685" s="103"/>
      <c r="F1685" s="103"/>
      <c r="G1685" s="103"/>
      <c r="H1685" s="103"/>
      <c r="I1685" s="103"/>
      <c r="J1685" s="103"/>
      <c r="K1685" s="103"/>
      <c r="L1685" s="103"/>
      <c r="M1685" s="104"/>
      <c r="N1685" s="103"/>
    </row>
    <row r="1686" spans="1:14" ht="45" customHeight="1" thickBot="1" x14ac:dyDescent="0.4">
      <c r="A1686" s="103"/>
      <c r="B1686" s="103"/>
      <c r="C1686" s="103"/>
      <c r="D1686" s="103"/>
      <c r="E1686" s="103"/>
      <c r="F1686" s="103"/>
      <c r="G1686" s="103"/>
      <c r="H1686" s="103"/>
      <c r="I1686" s="103"/>
      <c r="J1686" s="103"/>
      <c r="K1686" s="103"/>
      <c r="L1686" s="103"/>
      <c r="M1686" s="104"/>
      <c r="N1686" s="103"/>
    </row>
    <row r="1687" spans="1:14" ht="45" customHeight="1" thickBot="1" x14ac:dyDescent="0.4">
      <c r="A1687" s="103"/>
      <c r="B1687" s="103"/>
      <c r="C1687" s="103"/>
      <c r="D1687" s="103"/>
      <c r="E1687" s="103"/>
      <c r="F1687" s="103"/>
      <c r="G1687" s="103"/>
      <c r="H1687" s="103"/>
      <c r="I1687" s="103"/>
      <c r="J1687" s="103"/>
      <c r="K1687" s="103"/>
      <c r="L1687" s="103"/>
      <c r="M1687" s="104"/>
      <c r="N1687" s="103"/>
    </row>
    <row r="1688" spans="1:14" ht="45" customHeight="1" thickBot="1" x14ac:dyDescent="0.4">
      <c r="A1688" s="103"/>
      <c r="B1688" s="103"/>
      <c r="C1688" s="103"/>
      <c r="D1688" s="103"/>
      <c r="E1688" s="103"/>
      <c r="F1688" s="103"/>
      <c r="G1688" s="103"/>
      <c r="H1688" s="103"/>
      <c r="I1688" s="103"/>
      <c r="J1688" s="103"/>
      <c r="K1688" s="103"/>
      <c r="L1688" s="103"/>
      <c r="M1688" s="104"/>
      <c r="N1688" s="103"/>
    </row>
    <row r="1689" spans="1:14" ht="45" customHeight="1" thickBot="1" x14ac:dyDescent="0.4">
      <c r="A1689" s="103"/>
      <c r="B1689" s="103"/>
      <c r="C1689" s="103"/>
      <c r="D1689" s="103"/>
      <c r="E1689" s="103"/>
      <c r="F1689" s="103"/>
      <c r="G1689" s="103"/>
      <c r="H1689" s="103"/>
      <c r="I1689" s="103"/>
      <c r="J1689" s="103"/>
      <c r="K1689" s="103"/>
      <c r="L1689" s="103"/>
      <c r="M1689" s="104"/>
      <c r="N1689" s="103"/>
    </row>
    <row r="1690" spans="1:14" ht="45" customHeight="1" thickBot="1" x14ac:dyDescent="0.4">
      <c r="A1690" s="103"/>
      <c r="B1690" s="103"/>
      <c r="C1690" s="103"/>
      <c r="D1690" s="103"/>
      <c r="E1690" s="103"/>
      <c r="F1690" s="103"/>
      <c r="G1690" s="103"/>
      <c r="H1690" s="103"/>
      <c r="I1690" s="103"/>
      <c r="J1690" s="103"/>
      <c r="K1690" s="103"/>
      <c r="L1690" s="103"/>
      <c r="M1690" s="104"/>
      <c r="N1690" s="103"/>
    </row>
    <row r="1691" spans="1:14" ht="45" customHeight="1" thickBot="1" x14ac:dyDescent="0.4">
      <c r="A1691" s="103"/>
      <c r="B1691" s="103"/>
      <c r="C1691" s="103"/>
      <c r="D1691" s="103"/>
      <c r="E1691" s="103"/>
      <c r="F1691" s="103"/>
      <c r="G1691" s="103"/>
      <c r="H1691" s="103"/>
      <c r="I1691" s="103"/>
      <c r="J1691" s="103"/>
      <c r="K1691" s="103"/>
      <c r="L1691" s="103"/>
      <c r="M1691" s="104"/>
      <c r="N1691" s="103"/>
    </row>
    <row r="1692" spans="1:14" ht="45" customHeight="1" thickBot="1" x14ac:dyDescent="0.4">
      <c r="A1692" s="103"/>
      <c r="B1692" s="103"/>
      <c r="C1692" s="103"/>
      <c r="D1692" s="103"/>
      <c r="E1692" s="103"/>
      <c r="F1692" s="103"/>
      <c r="G1692" s="103"/>
      <c r="H1692" s="103"/>
      <c r="I1692" s="103"/>
      <c r="J1692" s="103"/>
      <c r="K1692" s="103"/>
      <c r="L1692" s="103"/>
      <c r="M1692" s="104"/>
      <c r="N1692" s="103"/>
    </row>
    <row r="1693" spans="1:14" ht="45" customHeight="1" thickBot="1" x14ac:dyDescent="0.4">
      <c r="A1693" s="103"/>
      <c r="B1693" s="103"/>
      <c r="C1693" s="103"/>
      <c r="D1693" s="103"/>
      <c r="E1693" s="103"/>
      <c r="F1693" s="103"/>
      <c r="G1693" s="103"/>
      <c r="H1693" s="103"/>
      <c r="I1693" s="103"/>
      <c r="J1693" s="103"/>
      <c r="K1693" s="103"/>
      <c r="L1693" s="103"/>
      <c r="M1693" s="104"/>
      <c r="N1693" s="103"/>
    </row>
    <row r="1694" spans="1:14" ht="45" customHeight="1" thickBot="1" x14ac:dyDescent="0.4">
      <c r="A1694" s="103"/>
      <c r="B1694" s="103"/>
      <c r="C1694" s="103"/>
      <c r="D1694" s="103"/>
      <c r="E1694" s="103"/>
      <c r="F1694" s="103"/>
      <c r="G1694" s="103"/>
      <c r="H1694" s="103"/>
      <c r="I1694" s="103"/>
      <c r="J1694" s="103"/>
      <c r="K1694" s="103"/>
      <c r="L1694" s="103"/>
      <c r="M1694" s="104"/>
      <c r="N1694" s="103"/>
    </row>
    <row r="1695" spans="1:14" ht="45" customHeight="1" thickBot="1" x14ac:dyDescent="0.4">
      <c r="A1695" s="103"/>
      <c r="B1695" s="103"/>
      <c r="C1695" s="103"/>
      <c r="D1695" s="103"/>
      <c r="E1695" s="103"/>
      <c r="F1695" s="103"/>
      <c r="G1695" s="103"/>
      <c r="H1695" s="103"/>
      <c r="I1695" s="103"/>
      <c r="J1695" s="103"/>
      <c r="K1695" s="103"/>
      <c r="L1695" s="103"/>
      <c r="M1695" s="104"/>
      <c r="N1695" s="103"/>
    </row>
    <row r="1696" spans="1:14" ht="45" customHeight="1" thickBot="1" x14ac:dyDescent="0.4">
      <c r="A1696" s="103"/>
      <c r="B1696" s="103"/>
      <c r="C1696" s="103"/>
      <c r="D1696" s="103"/>
      <c r="E1696" s="103"/>
      <c r="F1696" s="103"/>
      <c r="G1696" s="103"/>
      <c r="H1696" s="103"/>
      <c r="I1696" s="103"/>
      <c r="J1696" s="103"/>
      <c r="K1696" s="103"/>
      <c r="L1696" s="103"/>
      <c r="M1696" s="104"/>
      <c r="N1696" s="103"/>
    </row>
    <row r="1697" spans="1:14" ht="45" customHeight="1" thickBot="1" x14ac:dyDescent="0.4">
      <c r="A1697" s="103"/>
      <c r="B1697" s="103"/>
      <c r="C1697" s="103"/>
      <c r="D1697" s="103"/>
      <c r="E1697" s="103"/>
      <c r="F1697" s="103"/>
      <c r="G1697" s="103"/>
      <c r="H1697" s="103"/>
      <c r="I1697" s="103"/>
      <c r="J1697" s="103"/>
      <c r="K1697" s="103"/>
      <c r="L1697" s="103"/>
      <c r="M1697" s="104"/>
      <c r="N1697" s="103"/>
    </row>
    <row r="1698" spans="1:14" ht="45" customHeight="1" thickBot="1" x14ac:dyDescent="0.4">
      <c r="A1698" s="103"/>
      <c r="B1698" s="103"/>
      <c r="C1698" s="103"/>
      <c r="D1698" s="103"/>
      <c r="E1698" s="103"/>
      <c r="F1698" s="103"/>
      <c r="G1698" s="103"/>
      <c r="H1698" s="103"/>
      <c r="I1698" s="103"/>
      <c r="J1698" s="103"/>
      <c r="K1698" s="103"/>
      <c r="L1698" s="103"/>
      <c r="M1698" s="104"/>
      <c r="N1698" s="103"/>
    </row>
    <row r="1699" spans="1:14" ht="45" customHeight="1" thickBot="1" x14ac:dyDescent="0.4">
      <c r="A1699" s="103"/>
      <c r="B1699" s="103"/>
      <c r="C1699" s="103"/>
      <c r="D1699" s="103"/>
      <c r="E1699" s="103"/>
      <c r="F1699" s="103"/>
      <c r="G1699" s="103"/>
      <c r="H1699" s="103"/>
      <c r="I1699" s="103"/>
      <c r="J1699" s="103"/>
      <c r="K1699" s="103"/>
      <c r="L1699" s="103"/>
      <c r="M1699" s="104"/>
      <c r="N1699" s="103"/>
    </row>
    <row r="1700" spans="1:14" ht="45" customHeight="1" thickBot="1" x14ac:dyDescent="0.4">
      <c r="A1700" s="103"/>
      <c r="B1700" s="103"/>
      <c r="C1700" s="103"/>
      <c r="D1700" s="103"/>
      <c r="E1700" s="103"/>
      <c r="F1700" s="103"/>
      <c r="G1700" s="103"/>
      <c r="H1700" s="103"/>
      <c r="I1700" s="103"/>
      <c r="J1700" s="103"/>
      <c r="K1700" s="103"/>
      <c r="L1700" s="103"/>
      <c r="M1700" s="104"/>
      <c r="N1700" s="103"/>
    </row>
    <row r="1701" spans="1:14" ht="45" customHeight="1" thickBot="1" x14ac:dyDescent="0.4">
      <c r="A1701" s="103"/>
      <c r="B1701" s="103"/>
      <c r="C1701" s="103"/>
      <c r="D1701" s="103"/>
      <c r="E1701" s="103"/>
      <c r="F1701" s="103"/>
      <c r="G1701" s="103"/>
      <c r="H1701" s="103"/>
      <c r="I1701" s="103"/>
      <c r="J1701" s="103"/>
      <c r="K1701" s="103"/>
      <c r="L1701" s="103"/>
      <c r="M1701" s="104"/>
      <c r="N1701" s="103"/>
    </row>
    <row r="1702" spans="1:14" ht="45" customHeight="1" thickBot="1" x14ac:dyDescent="0.4">
      <c r="A1702" s="103"/>
      <c r="B1702" s="103"/>
      <c r="C1702" s="103"/>
      <c r="D1702" s="103"/>
      <c r="E1702" s="103"/>
      <c r="F1702" s="103"/>
      <c r="G1702" s="103"/>
      <c r="H1702" s="103"/>
      <c r="I1702" s="103"/>
      <c r="J1702" s="103"/>
      <c r="K1702" s="103"/>
      <c r="L1702" s="103"/>
      <c r="M1702" s="104"/>
      <c r="N1702" s="103"/>
    </row>
    <row r="1703" spans="1:14" ht="45" customHeight="1" thickBot="1" x14ac:dyDescent="0.4">
      <c r="A1703" s="103"/>
      <c r="B1703" s="103"/>
      <c r="C1703" s="103"/>
      <c r="D1703" s="103"/>
      <c r="E1703" s="103"/>
      <c r="F1703" s="103"/>
      <c r="G1703" s="103"/>
      <c r="H1703" s="103"/>
      <c r="I1703" s="103"/>
      <c r="J1703" s="103"/>
      <c r="K1703" s="103"/>
      <c r="L1703" s="103"/>
      <c r="M1703" s="104"/>
      <c r="N1703" s="103"/>
    </row>
    <row r="1704" spans="1:14" ht="45" customHeight="1" thickBot="1" x14ac:dyDescent="0.4">
      <c r="A1704" s="103"/>
      <c r="B1704" s="103"/>
      <c r="C1704" s="103"/>
      <c r="D1704" s="103"/>
      <c r="E1704" s="103"/>
      <c r="F1704" s="103"/>
      <c r="G1704" s="103"/>
      <c r="H1704" s="103"/>
      <c r="I1704" s="103"/>
      <c r="J1704" s="103"/>
      <c r="K1704" s="103"/>
      <c r="L1704" s="103"/>
      <c r="M1704" s="104"/>
      <c r="N1704" s="103"/>
    </row>
    <row r="1705" spans="1:14" ht="45" customHeight="1" thickBot="1" x14ac:dyDescent="0.4">
      <c r="A1705" s="103"/>
      <c r="B1705" s="103"/>
      <c r="C1705" s="103"/>
      <c r="D1705" s="103"/>
      <c r="E1705" s="103"/>
      <c r="F1705" s="103"/>
      <c r="G1705" s="103"/>
      <c r="H1705" s="103"/>
      <c r="I1705" s="103"/>
      <c r="J1705" s="103"/>
      <c r="K1705" s="103"/>
      <c r="L1705" s="103"/>
      <c r="M1705" s="104"/>
      <c r="N1705" s="103"/>
    </row>
    <row r="1706" spans="1:14" ht="45" customHeight="1" thickBot="1" x14ac:dyDescent="0.4">
      <c r="A1706" s="103"/>
      <c r="B1706" s="103"/>
      <c r="C1706" s="103"/>
      <c r="D1706" s="103"/>
      <c r="E1706" s="103"/>
      <c r="F1706" s="103"/>
      <c r="G1706" s="103"/>
      <c r="H1706" s="103"/>
      <c r="I1706" s="103"/>
      <c r="J1706" s="103"/>
      <c r="K1706" s="103"/>
      <c r="L1706" s="103"/>
      <c r="M1706" s="104"/>
      <c r="N1706" s="103"/>
    </row>
    <row r="1707" spans="1:14" ht="45" customHeight="1" thickBot="1" x14ac:dyDescent="0.4">
      <c r="A1707" s="103"/>
      <c r="B1707" s="103"/>
      <c r="C1707" s="103"/>
      <c r="D1707" s="103"/>
      <c r="E1707" s="103"/>
      <c r="F1707" s="103"/>
      <c r="G1707" s="103"/>
      <c r="H1707" s="103"/>
      <c r="I1707" s="103"/>
      <c r="J1707" s="103"/>
      <c r="K1707" s="103"/>
      <c r="L1707" s="103"/>
      <c r="M1707" s="104"/>
      <c r="N1707" s="103"/>
    </row>
    <row r="1708" spans="1:14" ht="45" customHeight="1" thickBot="1" x14ac:dyDescent="0.4">
      <c r="A1708" s="103"/>
      <c r="B1708" s="103"/>
      <c r="C1708" s="103"/>
      <c r="D1708" s="103"/>
      <c r="E1708" s="103"/>
      <c r="F1708" s="103"/>
      <c r="G1708" s="103"/>
      <c r="H1708" s="103"/>
      <c r="I1708" s="103"/>
      <c r="J1708" s="103"/>
      <c r="K1708" s="103"/>
      <c r="L1708" s="103"/>
      <c r="M1708" s="104"/>
      <c r="N1708" s="103"/>
    </row>
    <row r="1709" spans="1:14" ht="45" customHeight="1" thickBot="1" x14ac:dyDescent="0.4">
      <c r="A1709" s="103"/>
      <c r="B1709" s="103"/>
      <c r="C1709" s="103"/>
      <c r="D1709" s="103"/>
      <c r="E1709" s="103"/>
      <c r="F1709" s="103"/>
      <c r="G1709" s="103"/>
      <c r="H1709" s="103"/>
      <c r="I1709" s="103"/>
      <c r="J1709" s="103"/>
      <c r="K1709" s="103"/>
      <c r="L1709" s="103"/>
      <c r="M1709" s="104"/>
      <c r="N1709" s="103"/>
    </row>
    <row r="1710" spans="1:14" ht="45" customHeight="1" thickBot="1" x14ac:dyDescent="0.4">
      <c r="A1710" s="103"/>
      <c r="B1710" s="103"/>
      <c r="C1710" s="103"/>
      <c r="D1710" s="103"/>
      <c r="E1710" s="103"/>
      <c r="F1710" s="103"/>
      <c r="G1710" s="103"/>
      <c r="H1710" s="103"/>
      <c r="I1710" s="103"/>
      <c r="J1710" s="103"/>
      <c r="K1710" s="103"/>
      <c r="L1710" s="103"/>
      <c r="M1710" s="104"/>
      <c r="N1710" s="103"/>
    </row>
    <row r="1711" spans="1:14" ht="45" customHeight="1" thickBot="1" x14ac:dyDescent="0.4">
      <c r="A1711" s="103"/>
      <c r="B1711" s="103"/>
      <c r="C1711" s="103"/>
      <c r="D1711" s="103"/>
      <c r="E1711" s="103"/>
      <c r="F1711" s="103"/>
      <c r="G1711" s="103"/>
      <c r="H1711" s="103"/>
      <c r="I1711" s="103"/>
      <c r="J1711" s="103"/>
      <c r="K1711" s="103"/>
      <c r="L1711" s="103"/>
      <c r="M1711" s="104"/>
      <c r="N1711" s="103"/>
    </row>
    <row r="1712" spans="1:14" ht="45" customHeight="1" thickBot="1" x14ac:dyDescent="0.4">
      <c r="A1712" s="103"/>
      <c r="B1712" s="103"/>
      <c r="C1712" s="103"/>
      <c r="D1712" s="103"/>
      <c r="E1712" s="103"/>
      <c r="F1712" s="103"/>
      <c r="G1712" s="103"/>
      <c r="H1712" s="103"/>
      <c r="I1712" s="103"/>
      <c r="J1712" s="103"/>
      <c r="K1712" s="103"/>
      <c r="L1712" s="103"/>
      <c r="M1712" s="104"/>
      <c r="N1712" s="103"/>
    </row>
    <row r="1713" spans="1:14" ht="45" customHeight="1" thickBot="1" x14ac:dyDescent="0.4">
      <c r="A1713" s="103"/>
      <c r="B1713" s="103"/>
      <c r="C1713" s="103"/>
      <c r="D1713" s="103"/>
      <c r="E1713" s="103"/>
      <c r="F1713" s="103"/>
      <c r="G1713" s="103"/>
      <c r="H1713" s="103"/>
      <c r="I1713" s="103"/>
      <c r="J1713" s="103"/>
      <c r="K1713" s="103"/>
      <c r="L1713" s="103"/>
      <c r="M1713" s="104"/>
      <c r="N1713" s="103"/>
    </row>
    <row r="1714" spans="1:14" ht="45" customHeight="1" thickBot="1" x14ac:dyDescent="0.4">
      <c r="A1714" s="103"/>
      <c r="B1714" s="103"/>
      <c r="C1714" s="103"/>
      <c r="D1714" s="103"/>
      <c r="E1714" s="103"/>
      <c r="F1714" s="103"/>
      <c r="G1714" s="103"/>
      <c r="H1714" s="103"/>
      <c r="I1714" s="103"/>
      <c r="J1714" s="103"/>
      <c r="K1714" s="103"/>
      <c r="L1714" s="103"/>
      <c r="M1714" s="104"/>
      <c r="N1714" s="103"/>
    </row>
    <row r="1715" spans="1:14" ht="45" customHeight="1" thickBot="1" x14ac:dyDescent="0.4">
      <c r="A1715" s="103"/>
      <c r="B1715" s="103"/>
      <c r="C1715" s="103"/>
      <c r="D1715" s="103"/>
      <c r="E1715" s="103"/>
      <c r="F1715" s="103"/>
      <c r="G1715" s="103"/>
      <c r="H1715" s="103"/>
      <c r="I1715" s="103"/>
      <c r="J1715" s="103"/>
      <c r="K1715" s="103"/>
      <c r="L1715" s="103"/>
      <c r="M1715" s="104"/>
      <c r="N1715" s="103"/>
    </row>
    <row r="1716" spans="1:14" ht="45" customHeight="1" thickBot="1" x14ac:dyDescent="0.4">
      <c r="A1716" s="103"/>
      <c r="B1716" s="103"/>
      <c r="C1716" s="103"/>
      <c r="D1716" s="103"/>
      <c r="E1716" s="103"/>
      <c r="F1716" s="103"/>
      <c r="G1716" s="103"/>
      <c r="H1716" s="103"/>
      <c r="I1716" s="103"/>
      <c r="J1716" s="103"/>
      <c r="K1716" s="103"/>
      <c r="L1716" s="103"/>
      <c r="M1716" s="104"/>
      <c r="N1716" s="103"/>
    </row>
    <row r="1717" spans="1:14" ht="45" customHeight="1" thickBot="1" x14ac:dyDescent="0.4">
      <c r="A1717" s="103"/>
      <c r="B1717" s="103"/>
      <c r="C1717" s="103"/>
      <c r="D1717" s="103"/>
      <c r="E1717" s="103"/>
      <c r="F1717" s="103"/>
      <c r="G1717" s="103"/>
      <c r="H1717" s="103"/>
      <c r="I1717" s="103"/>
      <c r="J1717" s="103"/>
      <c r="K1717" s="103"/>
      <c r="L1717" s="103"/>
      <c r="M1717" s="104"/>
      <c r="N1717" s="103"/>
    </row>
    <row r="1718" spans="1:14" ht="45" customHeight="1" thickBot="1" x14ac:dyDescent="0.4">
      <c r="A1718" s="103"/>
      <c r="B1718" s="103"/>
      <c r="C1718" s="103"/>
      <c r="D1718" s="103"/>
      <c r="E1718" s="103"/>
      <c r="F1718" s="103"/>
      <c r="G1718" s="103"/>
      <c r="H1718" s="103"/>
      <c r="I1718" s="103"/>
      <c r="J1718" s="103"/>
      <c r="K1718" s="103"/>
      <c r="L1718" s="103"/>
      <c r="M1718" s="104"/>
      <c r="N1718" s="103"/>
    </row>
    <row r="1719" spans="1:14" ht="45" customHeight="1" thickBot="1" x14ac:dyDescent="0.4">
      <c r="A1719" s="103"/>
      <c r="B1719" s="103"/>
      <c r="C1719" s="103"/>
      <c r="D1719" s="103"/>
      <c r="E1719" s="103"/>
      <c r="F1719" s="103"/>
      <c r="G1719" s="103"/>
      <c r="H1719" s="103"/>
      <c r="I1719" s="103"/>
      <c r="J1719" s="103"/>
      <c r="K1719" s="103"/>
      <c r="L1719" s="103"/>
      <c r="M1719" s="104"/>
      <c r="N1719" s="103"/>
    </row>
    <row r="1720" spans="1:14" ht="45" customHeight="1" thickBot="1" x14ac:dyDescent="0.4">
      <c r="A1720" s="103"/>
      <c r="B1720" s="103"/>
      <c r="C1720" s="103"/>
      <c r="D1720" s="103"/>
      <c r="E1720" s="103"/>
      <c r="F1720" s="103"/>
      <c r="G1720" s="103"/>
      <c r="H1720" s="103"/>
      <c r="I1720" s="103"/>
      <c r="J1720" s="103"/>
      <c r="K1720" s="103"/>
      <c r="L1720" s="103"/>
      <c r="M1720" s="104"/>
      <c r="N1720" s="103"/>
    </row>
    <row r="1721" spans="1:14" ht="45" customHeight="1" thickBot="1" x14ac:dyDescent="0.4">
      <c r="A1721" s="103"/>
      <c r="B1721" s="103"/>
      <c r="C1721" s="103"/>
      <c r="D1721" s="103"/>
      <c r="E1721" s="103"/>
      <c r="F1721" s="103"/>
      <c r="G1721" s="103"/>
      <c r="H1721" s="103"/>
      <c r="I1721" s="103"/>
      <c r="J1721" s="103"/>
      <c r="K1721" s="103"/>
      <c r="L1721" s="103"/>
      <c r="M1721" s="104"/>
      <c r="N1721" s="103"/>
    </row>
    <row r="1722" spans="1:14" ht="45" customHeight="1" thickBot="1" x14ac:dyDescent="0.4">
      <c r="A1722" s="103"/>
      <c r="B1722" s="103"/>
      <c r="C1722" s="103"/>
      <c r="D1722" s="103"/>
      <c r="E1722" s="103"/>
      <c r="F1722" s="103"/>
      <c r="G1722" s="103"/>
      <c r="H1722" s="103"/>
      <c r="I1722" s="103"/>
      <c r="J1722" s="103"/>
      <c r="K1722" s="103"/>
      <c r="L1722" s="103"/>
      <c r="M1722" s="104"/>
      <c r="N1722" s="103"/>
    </row>
    <row r="1723" spans="1:14" ht="45" customHeight="1" thickBot="1" x14ac:dyDescent="0.4">
      <c r="A1723" s="103"/>
      <c r="B1723" s="103"/>
      <c r="C1723" s="103"/>
      <c r="D1723" s="103"/>
      <c r="E1723" s="103"/>
      <c r="F1723" s="103"/>
      <c r="G1723" s="103"/>
      <c r="H1723" s="103"/>
      <c r="I1723" s="103"/>
      <c r="J1723" s="103"/>
      <c r="K1723" s="103"/>
      <c r="L1723" s="103"/>
      <c r="M1723" s="104"/>
      <c r="N1723" s="103"/>
    </row>
    <row r="1724" spans="1:14" ht="45" customHeight="1" thickBot="1" x14ac:dyDescent="0.4">
      <c r="A1724" s="103"/>
      <c r="B1724" s="103"/>
      <c r="C1724" s="103"/>
      <c r="D1724" s="103"/>
      <c r="E1724" s="103"/>
      <c r="F1724" s="103"/>
      <c r="G1724" s="103"/>
      <c r="H1724" s="103"/>
      <c r="I1724" s="103"/>
      <c r="J1724" s="103"/>
      <c r="K1724" s="103"/>
      <c r="L1724" s="103"/>
      <c r="M1724" s="104"/>
      <c r="N1724" s="103"/>
    </row>
    <row r="1725" spans="1:14" ht="45" customHeight="1" thickBot="1" x14ac:dyDescent="0.4">
      <c r="A1725" s="103"/>
      <c r="B1725" s="103"/>
      <c r="C1725" s="103"/>
      <c r="D1725" s="103"/>
      <c r="E1725" s="103"/>
      <c r="F1725" s="103"/>
      <c r="G1725" s="103"/>
      <c r="H1725" s="103"/>
      <c r="I1725" s="103"/>
      <c r="J1725" s="103"/>
      <c r="K1725" s="103"/>
      <c r="L1725" s="103"/>
      <c r="M1725" s="104"/>
      <c r="N1725" s="103"/>
    </row>
    <row r="1726" spans="1:14" ht="45" customHeight="1" thickBot="1" x14ac:dyDescent="0.4">
      <c r="A1726" s="103"/>
      <c r="B1726" s="103"/>
      <c r="C1726" s="103"/>
      <c r="D1726" s="103"/>
      <c r="E1726" s="103"/>
      <c r="F1726" s="103"/>
      <c r="G1726" s="103"/>
      <c r="H1726" s="103"/>
      <c r="I1726" s="103"/>
      <c r="J1726" s="103"/>
      <c r="K1726" s="103"/>
      <c r="L1726" s="103"/>
      <c r="M1726" s="104"/>
      <c r="N1726" s="103"/>
    </row>
    <row r="1727" spans="1:14" ht="45" customHeight="1" thickBot="1" x14ac:dyDescent="0.4">
      <c r="A1727" s="103"/>
      <c r="B1727" s="103"/>
      <c r="C1727" s="103"/>
      <c r="D1727" s="103"/>
      <c r="E1727" s="103"/>
      <c r="F1727" s="103"/>
      <c r="G1727" s="103"/>
      <c r="H1727" s="103"/>
      <c r="I1727" s="103"/>
      <c r="J1727" s="103"/>
      <c r="K1727" s="103"/>
      <c r="L1727" s="103"/>
      <c r="M1727" s="104"/>
      <c r="N1727" s="103"/>
    </row>
    <row r="1728" spans="1:14" ht="45" customHeight="1" thickBot="1" x14ac:dyDescent="0.4">
      <c r="A1728" s="103"/>
      <c r="B1728" s="103"/>
      <c r="C1728" s="103"/>
      <c r="D1728" s="103"/>
      <c r="E1728" s="103"/>
      <c r="F1728" s="103"/>
      <c r="G1728" s="103"/>
      <c r="H1728" s="103"/>
      <c r="I1728" s="103"/>
      <c r="J1728" s="103"/>
      <c r="K1728" s="103"/>
      <c r="L1728" s="103"/>
      <c r="M1728" s="104"/>
      <c r="N1728" s="103"/>
    </row>
    <row r="1729" spans="1:14" ht="45" customHeight="1" thickBot="1" x14ac:dyDescent="0.4">
      <c r="A1729" s="103"/>
      <c r="B1729" s="103"/>
      <c r="C1729" s="103"/>
      <c r="D1729" s="103"/>
      <c r="E1729" s="103"/>
      <c r="F1729" s="103"/>
      <c r="G1729" s="103"/>
      <c r="H1729" s="103"/>
      <c r="I1729" s="103"/>
      <c r="J1729" s="103"/>
      <c r="K1729" s="103"/>
      <c r="L1729" s="103"/>
      <c r="M1729" s="104"/>
      <c r="N1729" s="103"/>
    </row>
    <row r="1730" spans="1:14" ht="45" customHeight="1" thickBot="1" x14ac:dyDescent="0.4">
      <c r="A1730" s="103"/>
      <c r="B1730" s="103"/>
      <c r="C1730" s="103"/>
      <c r="D1730" s="103"/>
      <c r="E1730" s="103"/>
      <c r="F1730" s="103"/>
      <c r="G1730" s="103"/>
      <c r="H1730" s="103"/>
      <c r="I1730" s="103"/>
      <c r="J1730" s="103"/>
      <c r="K1730" s="103"/>
      <c r="L1730" s="103"/>
      <c r="M1730" s="104"/>
      <c r="N1730" s="103"/>
    </row>
    <row r="1731" spans="1:14" ht="45" customHeight="1" thickBot="1" x14ac:dyDescent="0.4">
      <c r="A1731" s="103"/>
      <c r="B1731" s="103"/>
      <c r="C1731" s="103"/>
      <c r="D1731" s="103"/>
      <c r="E1731" s="103"/>
      <c r="F1731" s="103"/>
      <c r="G1731" s="103"/>
      <c r="H1731" s="103"/>
      <c r="I1731" s="103"/>
      <c r="J1731" s="103"/>
      <c r="K1731" s="103"/>
      <c r="L1731" s="103"/>
      <c r="M1731" s="104"/>
      <c r="N1731" s="103"/>
    </row>
    <row r="1732" spans="1:14" ht="45" customHeight="1" thickBot="1" x14ac:dyDescent="0.4">
      <c r="A1732" s="103"/>
      <c r="B1732" s="103"/>
      <c r="C1732" s="103"/>
      <c r="D1732" s="103"/>
      <c r="E1732" s="103"/>
      <c r="F1732" s="103"/>
      <c r="G1732" s="103"/>
      <c r="H1732" s="103"/>
      <c r="I1732" s="103"/>
      <c r="J1732" s="103"/>
      <c r="K1732" s="103"/>
      <c r="L1732" s="103"/>
      <c r="M1732" s="104"/>
      <c r="N1732" s="103"/>
    </row>
    <row r="1733" spans="1:14" ht="45" customHeight="1" thickBot="1" x14ac:dyDescent="0.4">
      <c r="A1733" s="103"/>
      <c r="B1733" s="103"/>
      <c r="C1733" s="103"/>
      <c r="D1733" s="103"/>
      <c r="E1733" s="103"/>
      <c r="F1733" s="103"/>
      <c r="G1733" s="103"/>
      <c r="H1733" s="103"/>
      <c r="I1733" s="103"/>
      <c r="J1733" s="103"/>
      <c r="K1733" s="103"/>
      <c r="L1733" s="103"/>
      <c r="M1733" s="104"/>
      <c r="N1733" s="103"/>
    </row>
    <row r="1734" spans="1:14" ht="45" customHeight="1" thickBot="1" x14ac:dyDescent="0.4">
      <c r="A1734" s="103"/>
      <c r="B1734" s="103"/>
      <c r="C1734" s="103"/>
      <c r="D1734" s="103"/>
      <c r="E1734" s="103"/>
      <c r="F1734" s="103"/>
      <c r="G1734" s="103"/>
      <c r="H1734" s="103"/>
      <c r="I1734" s="103"/>
      <c r="J1734" s="103"/>
      <c r="K1734" s="103"/>
      <c r="L1734" s="103"/>
      <c r="M1734" s="104"/>
      <c r="N1734" s="103"/>
    </row>
    <row r="1735" spans="1:14" ht="45" customHeight="1" thickBot="1" x14ac:dyDescent="0.4">
      <c r="A1735" s="103"/>
      <c r="B1735" s="103"/>
      <c r="C1735" s="103"/>
      <c r="D1735" s="103"/>
      <c r="E1735" s="103"/>
      <c r="F1735" s="103"/>
      <c r="G1735" s="103"/>
      <c r="H1735" s="103"/>
      <c r="I1735" s="103"/>
      <c r="J1735" s="103"/>
      <c r="K1735" s="103"/>
      <c r="L1735" s="103"/>
      <c r="M1735" s="104"/>
      <c r="N1735" s="103"/>
    </row>
    <row r="1736" spans="1:14" ht="45" customHeight="1" thickBot="1" x14ac:dyDescent="0.4">
      <c r="A1736" s="103"/>
      <c r="B1736" s="103"/>
      <c r="C1736" s="103"/>
      <c r="D1736" s="103"/>
      <c r="E1736" s="103"/>
      <c r="F1736" s="103"/>
      <c r="G1736" s="103"/>
      <c r="H1736" s="103"/>
      <c r="I1736" s="103"/>
      <c r="J1736" s="103"/>
      <c r="K1736" s="103"/>
      <c r="L1736" s="103"/>
      <c r="M1736" s="104"/>
      <c r="N1736" s="103"/>
    </row>
    <row r="1737" spans="1:14" ht="45" customHeight="1" thickBot="1" x14ac:dyDescent="0.4">
      <c r="A1737" s="103"/>
      <c r="B1737" s="103"/>
      <c r="C1737" s="103"/>
      <c r="D1737" s="103"/>
      <c r="E1737" s="103"/>
      <c r="F1737" s="103"/>
      <c r="G1737" s="103"/>
      <c r="H1737" s="103"/>
      <c r="I1737" s="103"/>
      <c r="J1737" s="103"/>
      <c r="K1737" s="103"/>
      <c r="L1737" s="103"/>
      <c r="M1737" s="104"/>
      <c r="N1737" s="103"/>
    </row>
    <row r="1738" spans="1:14" ht="45" customHeight="1" thickBot="1" x14ac:dyDescent="0.4">
      <c r="A1738" s="103"/>
      <c r="B1738" s="103"/>
      <c r="C1738" s="103"/>
      <c r="D1738" s="103"/>
      <c r="E1738" s="103"/>
      <c r="F1738" s="103"/>
      <c r="G1738" s="103"/>
      <c r="H1738" s="103"/>
      <c r="I1738" s="103"/>
      <c r="J1738" s="103"/>
      <c r="K1738" s="103"/>
      <c r="L1738" s="103"/>
      <c r="M1738" s="104"/>
      <c r="N1738" s="103"/>
    </row>
    <row r="1739" spans="1:14" ht="45" customHeight="1" thickBot="1" x14ac:dyDescent="0.4">
      <c r="A1739" s="103"/>
      <c r="B1739" s="103"/>
      <c r="C1739" s="103"/>
      <c r="D1739" s="103"/>
      <c r="E1739" s="103"/>
      <c r="F1739" s="103"/>
      <c r="G1739" s="103"/>
      <c r="H1739" s="103"/>
      <c r="I1739" s="103"/>
      <c r="J1739" s="103"/>
      <c r="K1739" s="103"/>
      <c r="L1739" s="103"/>
      <c r="M1739" s="104"/>
      <c r="N1739" s="103"/>
    </row>
    <row r="1740" spans="1:14" ht="45" customHeight="1" thickBot="1" x14ac:dyDescent="0.4">
      <c r="A1740" s="103"/>
      <c r="B1740" s="103"/>
      <c r="C1740" s="103"/>
      <c r="D1740" s="103"/>
      <c r="E1740" s="103"/>
      <c r="F1740" s="103"/>
      <c r="G1740" s="103"/>
      <c r="H1740" s="103"/>
      <c r="I1740" s="103"/>
      <c r="J1740" s="103"/>
      <c r="K1740" s="103"/>
      <c r="L1740" s="103"/>
      <c r="M1740" s="104"/>
      <c r="N1740" s="103"/>
    </row>
    <row r="1741" spans="1:14" ht="45" customHeight="1" thickBot="1" x14ac:dyDescent="0.4">
      <c r="A1741" s="103"/>
      <c r="B1741" s="103"/>
      <c r="C1741" s="103"/>
      <c r="D1741" s="103"/>
      <c r="E1741" s="103"/>
      <c r="F1741" s="103"/>
      <c r="G1741" s="103"/>
      <c r="H1741" s="103"/>
      <c r="I1741" s="103"/>
      <c r="J1741" s="103"/>
      <c r="K1741" s="103"/>
      <c r="L1741" s="103"/>
      <c r="M1741" s="104"/>
      <c r="N1741" s="103"/>
    </row>
    <row r="1742" spans="1:14" ht="45" customHeight="1" thickBot="1" x14ac:dyDescent="0.4">
      <c r="A1742" s="103"/>
      <c r="B1742" s="103"/>
      <c r="C1742" s="103"/>
      <c r="D1742" s="103"/>
      <c r="E1742" s="103"/>
      <c r="F1742" s="103"/>
      <c r="G1742" s="103"/>
      <c r="H1742" s="103"/>
      <c r="I1742" s="103"/>
      <c r="J1742" s="103"/>
      <c r="K1742" s="103"/>
      <c r="L1742" s="103"/>
      <c r="M1742" s="104"/>
      <c r="N1742" s="103"/>
    </row>
    <row r="1743" spans="1:14" ht="45" customHeight="1" thickBot="1" x14ac:dyDescent="0.4">
      <c r="A1743" s="103"/>
      <c r="B1743" s="103"/>
      <c r="C1743" s="103"/>
      <c r="D1743" s="103"/>
      <c r="E1743" s="103"/>
      <c r="F1743" s="103"/>
      <c r="G1743" s="103"/>
      <c r="H1743" s="103"/>
      <c r="I1743" s="103"/>
      <c r="J1743" s="103"/>
      <c r="K1743" s="103"/>
      <c r="L1743" s="103"/>
      <c r="M1743" s="104"/>
      <c r="N1743" s="103"/>
    </row>
    <row r="1744" spans="1:14" ht="45" customHeight="1" thickBot="1" x14ac:dyDescent="0.4">
      <c r="A1744" s="103"/>
      <c r="B1744" s="103"/>
      <c r="C1744" s="103"/>
      <c r="D1744" s="103"/>
      <c r="E1744" s="103"/>
      <c r="F1744" s="103"/>
      <c r="G1744" s="103"/>
      <c r="H1744" s="103"/>
      <c r="I1744" s="103"/>
      <c r="J1744" s="103"/>
      <c r="K1744" s="103"/>
      <c r="L1744" s="103"/>
      <c r="M1744" s="104"/>
      <c r="N1744" s="103"/>
    </row>
    <row r="1745" spans="1:14" ht="45" customHeight="1" thickBot="1" x14ac:dyDescent="0.4">
      <c r="A1745" s="103"/>
      <c r="B1745" s="103"/>
      <c r="C1745" s="103"/>
      <c r="D1745" s="103"/>
      <c r="E1745" s="103"/>
      <c r="F1745" s="103"/>
      <c r="G1745" s="103"/>
      <c r="H1745" s="103"/>
      <c r="I1745" s="103"/>
      <c r="J1745" s="103"/>
      <c r="K1745" s="103"/>
      <c r="L1745" s="103"/>
      <c r="M1745" s="104"/>
      <c r="N1745" s="103"/>
    </row>
    <row r="1746" spans="1:14" ht="45" customHeight="1" thickBot="1" x14ac:dyDescent="0.4">
      <c r="A1746" s="103"/>
      <c r="B1746" s="103"/>
      <c r="C1746" s="103"/>
      <c r="D1746" s="103"/>
      <c r="E1746" s="103"/>
      <c r="F1746" s="103"/>
      <c r="G1746" s="103"/>
      <c r="H1746" s="103"/>
      <c r="I1746" s="103"/>
      <c r="J1746" s="103"/>
      <c r="K1746" s="103"/>
      <c r="L1746" s="103"/>
      <c r="M1746" s="104"/>
      <c r="N1746" s="103"/>
    </row>
    <row r="1747" spans="1:14" ht="45" customHeight="1" thickBot="1" x14ac:dyDescent="0.4">
      <c r="A1747" s="103"/>
      <c r="B1747" s="103"/>
      <c r="C1747" s="103"/>
      <c r="D1747" s="103"/>
      <c r="E1747" s="103"/>
      <c r="F1747" s="103"/>
      <c r="G1747" s="103"/>
      <c r="H1747" s="103"/>
      <c r="I1747" s="103"/>
      <c r="J1747" s="103"/>
      <c r="K1747" s="103"/>
      <c r="L1747" s="103"/>
      <c r="M1747" s="104"/>
      <c r="N1747" s="103"/>
    </row>
    <row r="1748" spans="1:14" ht="45" customHeight="1" thickBot="1" x14ac:dyDescent="0.4">
      <c r="A1748" s="103"/>
      <c r="B1748" s="103"/>
      <c r="C1748" s="103"/>
      <c r="D1748" s="103"/>
      <c r="E1748" s="103"/>
      <c r="F1748" s="103"/>
      <c r="G1748" s="103"/>
      <c r="H1748" s="103"/>
      <c r="I1748" s="103"/>
      <c r="J1748" s="103"/>
      <c r="K1748" s="103"/>
      <c r="L1748" s="103"/>
      <c r="M1748" s="104"/>
      <c r="N1748" s="103"/>
    </row>
    <row r="1749" spans="1:14" ht="45" customHeight="1" thickBot="1" x14ac:dyDescent="0.4">
      <c r="A1749" s="103"/>
      <c r="B1749" s="103"/>
      <c r="C1749" s="103"/>
      <c r="D1749" s="103"/>
      <c r="E1749" s="103"/>
      <c r="F1749" s="103"/>
      <c r="G1749" s="103"/>
      <c r="H1749" s="103"/>
      <c r="I1749" s="103"/>
      <c r="J1749" s="103"/>
      <c r="K1749" s="103"/>
      <c r="L1749" s="103"/>
      <c r="M1749" s="104"/>
      <c r="N1749" s="103"/>
    </row>
    <row r="1750" spans="1:14" ht="45" customHeight="1" thickBot="1" x14ac:dyDescent="0.4">
      <c r="A1750" s="103"/>
      <c r="B1750" s="103"/>
      <c r="C1750" s="103"/>
      <c r="D1750" s="103"/>
      <c r="E1750" s="103"/>
      <c r="F1750" s="103"/>
      <c r="G1750" s="103"/>
      <c r="H1750" s="103"/>
      <c r="I1750" s="103"/>
      <c r="J1750" s="103"/>
      <c r="K1750" s="103"/>
      <c r="L1750" s="103"/>
      <c r="M1750" s="104"/>
      <c r="N1750" s="103"/>
    </row>
    <row r="1751" spans="1:14" ht="45" customHeight="1" thickBot="1" x14ac:dyDescent="0.4">
      <c r="A1751" s="103"/>
      <c r="B1751" s="103"/>
      <c r="C1751" s="103"/>
      <c r="D1751" s="103"/>
      <c r="E1751" s="103"/>
      <c r="F1751" s="103"/>
      <c r="G1751" s="103"/>
      <c r="H1751" s="103"/>
      <c r="I1751" s="103"/>
      <c r="J1751" s="103"/>
      <c r="K1751" s="103"/>
      <c r="L1751" s="103"/>
      <c r="M1751" s="104"/>
      <c r="N1751" s="103"/>
    </row>
    <row r="1752" spans="1:14" ht="45" customHeight="1" thickBot="1" x14ac:dyDescent="0.4">
      <c r="A1752" s="103"/>
      <c r="B1752" s="103"/>
      <c r="C1752" s="103"/>
      <c r="D1752" s="103"/>
      <c r="E1752" s="103"/>
      <c r="F1752" s="103"/>
      <c r="G1752" s="103"/>
      <c r="H1752" s="103"/>
      <c r="I1752" s="103"/>
      <c r="J1752" s="103"/>
      <c r="K1752" s="103"/>
      <c r="L1752" s="103"/>
      <c r="M1752" s="104"/>
      <c r="N1752" s="103"/>
    </row>
    <row r="1753" spans="1:14" ht="45" customHeight="1" thickBot="1" x14ac:dyDescent="0.4">
      <c r="A1753" s="103"/>
      <c r="B1753" s="103"/>
      <c r="C1753" s="103"/>
      <c r="D1753" s="103"/>
      <c r="E1753" s="103"/>
      <c r="F1753" s="103"/>
      <c r="G1753" s="103"/>
      <c r="H1753" s="103"/>
      <c r="I1753" s="103"/>
      <c r="J1753" s="103"/>
      <c r="K1753" s="103"/>
      <c r="L1753" s="103"/>
      <c r="M1753" s="104"/>
      <c r="N1753" s="103"/>
    </row>
    <row r="1754" spans="1:14" ht="45" customHeight="1" thickBot="1" x14ac:dyDescent="0.4">
      <c r="A1754" s="103"/>
      <c r="B1754" s="103"/>
      <c r="C1754" s="103"/>
      <c r="D1754" s="103"/>
      <c r="E1754" s="103"/>
      <c r="F1754" s="103"/>
      <c r="G1754" s="103"/>
      <c r="H1754" s="103"/>
      <c r="I1754" s="103"/>
      <c r="J1754" s="103"/>
      <c r="K1754" s="103"/>
      <c r="L1754" s="103"/>
      <c r="M1754" s="104"/>
      <c r="N1754" s="103"/>
    </row>
    <row r="1755" spans="1:14" ht="45" customHeight="1" thickBot="1" x14ac:dyDescent="0.4">
      <c r="A1755" s="103"/>
      <c r="B1755" s="103"/>
      <c r="C1755" s="103"/>
      <c r="D1755" s="103"/>
      <c r="E1755" s="103"/>
      <c r="F1755" s="103"/>
      <c r="G1755" s="103"/>
      <c r="H1755" s="103"/>
      <c r="I1755" s="103"/>
      <c r="J1755" s="103"/>
      <c r="K1755" s="103"/>
      <c r="L1755" s="103"/>
      <c r="M1755" s="104"/>
      <c r="N1755" s="103"/>
    </row>
    <row r="1756" spans="1:14" ht="45" customHeight="1" thickBot="1" x14ac:dyDescent="0.4">
      <c r="A1756" s="103"/>
      <c r="B1756" s="103"/>
      <c r="C1756" s="103"/>
      <c r="D1756" s="103"/>
      <c r="E1756" s="103"/>
      <c r="F1756" s="103"/>
      <c r="G1756" s="103"/>
      <c r="H1756" s="103"/>
      <c r="I1756" s="103"/>
      <c r="J1756" s="103"/>
      <c r="K1756" s="103"/>
      <c r="L1756" s="103"/>
      <c r="M1756" s="104"/>
      <c r="N1756" s="103"/>
    </row>
    <row r="1757" spans="1:14" ht="45" customHeight="1" thickBot="1" x14ac:dyDescent="0.4">
      <c r="A1757" s="103"/>
      <c r="B1757" s="103"/>
      <c r="C1757" s="103"/>
      <c r="D1757" s="103"/>
      <c r="E1757" s="103"/>
      <c r="F1757" s="103"/>
      <c r="G1757" s="103"/>
      <c r="H1757" s="103"/>
      <c r="I1757" s="103"/>
      <c r="J1757" s="103"/>
      <c r="K1757" s="103"/>
      <c r="L1757" s="103"/>
      <c r="M1757" s="104"/>
      <c r="N1757" s="103"/>
    </row>
    <row r="1758" spans="1:14" ht="45" customHeight="1" thickBot="1" x14ac:dyDescent="0.4">
      <c r="A1758" s="103"/>
      <c r="B1758" s="103"/>
      <c r="C1758" s="103"/>
      <c r="D1758" s="103"/>
      <c r="E1758" s="103"/>
      <c r="F1758" s="103"/>
      <c r="G1758" s="103"/>
      <c r="H1758" s="103"/>
      <c r="I1758" s="103"/>
      <c r="J1758" s="103"/>
      <c r="K1758" s="103"/>
      <c r="L1758" s="103"/>
      <c r="M1758" s="104"/>
      <c r="N1758" s="103"/>
    </row>
    <row r="1759" spans="1:14" ht="45" customHeight="1" thickBot="1" x14ac:dyDescent="0.4">
      <c r="A1759" s="103"/>
      <c r="B1759" s="103"/>
      <c r="C1759" s="103"/>
      <c r="D1759" s="103"/>
      <c r="E1759" s="103"/>
      <c r="F1759" s="103"/>
      <c r="G1759" s="103"/>
      <c r="H1759" s="103"/>
      <c r="I1759" s="103"/>
      <c r="J1759" s="103"/>
      <c r="K1759" s="103"/>
      <c r="L1759" s="103"/>
      <c r="M1759" s="104"/>
      <c r="N1759" s="103"/>
    </row>
    <row r="1760" spans="1:14" ht="45" customHeight="1" thickBot="1" x14ac:dyDescent="0.4">
      <c r="A1760" s="103"/>
      <c r="B1760" s="103"/>
      <c r="C1760" s="103"/>
      <c r="D1760" s="103"/>
      <c r="E1760" s="103"/>
      <c r="F1760" s="103"/>
      <c r="G1760" s="103"/>
      <c r="H1760" s="103"/>
      <c r="I1760" s="103"/>
      <c r="J1760" s="103"/>
      <c r="K1760" s="103"/>
      <c r="L1760" s="103"/>
      <c r="M1760" s="104"/>
      <c r="N1760" s="103"/>
    </row>
    <row r="1761" spans="1:14" ht="45" customHeight="1" thickBot="1" x14ac:dyDescent="0.4">
      <c r="A1761" s="103"/>
      <c r="B1761" s="103"/>
      <c r="C1761" s="103"/>
      <c r="D1761" s="103"/>
      <c r="E1761" s="103"/>
      <c r="F1761" s="103"/>
      <c r="G1761" s="103"/>
      <c r="H1761" s="103"/>
      <c r="I1761" s="103"/>
      <c r="J1761" s="103"/>
      <c r="K1761" s="103"/>
      <c r="L1761" s="103"/>
      <c r="M1761" s="104"/>
      <c r="N1761" s="103"/>
    </row>
    <row r="1762" spans="1:14" ht="45" customHeight="1" thickBot="1" x14ac:dyDescent="0.4">
      <c r="A1762" s="103"/>
      <c r="B1762" s="103"/>
      <c r="C1762" s="103"/>
      <c r="D1762" s="103"/>
      <c r="E1762" s="103"/>
      <c r="F1762" s="103"/>
      <c r="G1762" s="103"/>
      <c r="H1762" s="103"/>
      <c r="I1762" s="103"/>
      <c r="J1762" s="103"/>
      <c r="K1762" s="103"/>
      <c r="L1762" s="103"/>
      <c r="M1762" s="104"/>
      <c r="N1762" s="103"/>
    </row>
    <row r="1763" spans="1:14" ht="45" customHeight="1" thickBot="1" x14ac:dyDescent="0.4">
      <c r="A1763" s="103"/>
      <c r="B1763" s="103"/>
      <c r="C1763" s="103"/>
      <c r="D1763" s="103"/>
      <c r="E1763" s="103"/>
      <c r="F1763" s="103"/>
      <c r="G1763" s="103"/>
      <c r="H1763" s="103"/>
      <c r="I1763" s="103"/>
      <c r="J1763" s="103"/>
      <c r="K1763" s="103"/>
      <c r="L1763" s="103"/>
      <c r="M1763" s="104"/>
      <c r="N1763" s="103"/>
    </row>
    <row r="1764" spans="1:14" ht="45" customHeight="1" thickBot="1" x14ac:dyDescent="0.4">
      <c r="A1764" s="103"/>
      <c r="B1764" s="103"/>
      <c r="C1764" s="103"/>
      <c r="D1764" s="103"/>
      <c r="E1764" s="103"/>
      <c r="F1764" s="103"/>
      <c r="G1764" s="103"/>
      <c r="H1764" s="103"/>
      <c r="I1764" s="103"/>
      <c r="J1764" s="103"/>
      <c r="K1764" s="103"/>
      <c r="L1764" s="103"/>
      <c r="M1764" s="104"/>
      <c r="N1764" s="103"/>
    </row>
    <row r="1765" spans="1:14" ht="45" customHeight="1" thickBot="1" x14ac:dyDescent="0.4">
      <c r="A1765" s="103"/>
      <c r="B1765" s="103"/>
      <c r="C1765" s="103"/>
      <c r="D1765" s="103"/>
      <c r="E1765" s="103"/>
      <c r="F1765" s="103"/>
      <c r="G1765" s="103"/>
      <c r="H1765" s="103"/>
      <c r="I1765" s="103"/>
      <c r="J1765" s="103"/>
      <c r="K1765" s="103"/>
      <c r="L1765" s="103"/>
      <c r="M1765" s="104"/>
      <c r="N1765" s="103"/>
    </row>
    <row r="1766" spans="1:14" ht="45" customHeight="1" thickBot="1" x14ac:dyDescent="0.4">
      <c r="A1766" s="103"/>
      <c r="B1766" s="103"/>
      <c r="C1766" s="103"/>
      <c r="D1766" s="103"/>
      <c r="E1766" s="103"/>
      <c r="F1766" s="103"/>
      <c r="G1766" s="103"/>
      <c r="H1766" s="103"/>
      <c r="I1766" s="103"/>
      <c r="J1766" s="103"/>
      <c r="K1766" s="103"/>
      <c r="L1766" s="103"/>
      <c r="M1766" s="104"/>
      <c r="N1766" s="103"/>
    </row>
    <row r="1767" spans="1:14" ht="45" customHeight="1" thickBot="1" x14ac:dyDescent="0.4">
      <c r="A1767" s="103"/>
      <c r="B1767" s="103"/>
      <c r="C1767" s="103"/>
      <c r="D1767" s="103"/>
      <c r="E1767" s="103"/>
      <c r="F1767" s="103"/>
      <c r="G1767" s="103"/>
      <c r="H1767" s="103"/>
      <c r="I1767" s="103"/>
      <c r="J1767" s="103"/>
      <c r="K1767" s="103"/>
      <c r="L1767" s="103"/>
      <c r="M1767" s="104"/>
      <c r="N1767" s="103"/>
    </row>
    <row r="1768" spans="1:14" ht="45" customHeight="1" thickBot="1" x14ac:dyDescent="0.4">
      <c r="A1768" s="103"/>
      <c r="B1768" s="103"/>
      <c r="C1768" s="103"/>
      <c r="D1768" s="103"/>
      <c r="E1768" s="103"/>
      <c r="F1768" s="103"/>
      <c r="G1768" s="103"/>
      <c r="H1768" s="103"/>
      <c r="I1768" s="103"/>
      <c r="J1768" s="103"/>
      <c r="K1768" s="103"/>
      <c r="L1768" s="103"/>
      <c r="M1768" s="104"/>
      <c r="N1768" s="103"/>
    </row>
    <row r="1769" spans="1:14" ht="45" customHeight="1" thickBot="1" x14ac:dyDescent="0.4">
      <c r="A1769" s="103"/>
      <c r="B1769" s="103"/>
      <c r="C1769" s="103"/>
      <c r="D1769" s="103"/>
      <c r="E1769" s="103"/>
      <c r="F1769" s="103"/>
      <c r="G1769" s="103"/>
      <c r="H1769" s="103"/>
      <c r="I1769" s="103"/>
      <c r="J1769" s="103"/>
      <c r="K1769" s="103"/>
      <c r="L1769" s="103"/>
      <c r="M1769" s="104"/>
      <c r="N1769" s="103"/>
    </row>
    <row r="1770" spans="1:14" ht="45" customHeight="1" thickBot="1" x14ac:dyDescent="0.4">
      <c r="A1770" s="103"/>
      <c r="B1770" s="103"/>
      <c r="C1770" s="103"/>
      <c r="D1770" s="103"/>
      <c r="E1770" s="103"/>
      <c r="F1770" s="103"/>
      <c r="G1770" s="103"/>
      <c r="H1770" s="103"/>
      <c r="I1770" s="103"/>
      <c r="J1770" s="103"/>
      <c r="K1770" s="103"/>
      <c r="L1770" s="103"/>
      <c r="M1770" s="104"/>
      <c r="N1770" s="103"/>
    </row>
    <row r="1771" spans="1:14" ht="45" customHeight="1" thickBot="1" x14ac:dyDescent="0.4">
      <c r="A1771" s="103"/>
      <c r="B1771" s="103"/>
      <c r="C1771" s="103"/>
      <c r="D1771" s="103"/>
      <c r="E1771" s="103"/>
      <c r="F1771" s="103"/>
      <c r="G1771" s="103"/>
      <c r="H1771" s="103"/>
      <c r="I1771" s="103"/>
      <c r="J1771" s="103"/>
      <c r="K1771" s="103"/>
      <c r="L1771" s="103"/>
      <c r="M1771" s="104"/>
      <c r="N1771" s="103"/>
    </row>
    <row r="1772" spans="1:14" ht="45" customHeight="1" thickBot="1" x14ac:dyDescent="0.4">
      <c r="A1772" s="103"/>
      <c r="B1772" s="103"/>
      <c r="C1772" s="103"/>
      <c r="D1772" s="103"/>
      <c r="E1772" s="103"/>
      <c r="F1772" s="103"/>
      <c r="G1772" s="103"/>
      <c r="H1772" s="103"/>
      <c r="I1772" s="103"/>
      <c r="J1772" s="103"/>
      <c r="K1772" s="103"/>
      <c r="L1772" s="103"/>
      <c r="M1772" s="104"/>
      <c r="N1772" s="103"/>
    </row>
    <row r="1773" spans="1:14" ht="45" customHeight="1" thickBot="1" x14ac:dyDescent="0.4">
      <c r="A1773" s="103"/>
      <c r="B1773" s="103"/>
      <c r="C1773" s="103"/>
      <c r="D1773" s="103"/>
      <c r="E1773" s="103"/>
      <c r="F1773" s="103"/>
      <c r="G1773" s="103"/>
      <c r="H1773" s="103"/>
      <c r="I1773" s="103"/>
      <c r="J1773" s="103"/>
      <c r="K1773" s="103"/>
      <c r="L1773" s="103"/>
      <c r="M1773" s="104"/>
      <c r="N1773" s="103"/>
    </row>
    <row r="1774" spans="1:14" ht="45" customHeight="1" thickBot="1" x14ac:dyDescent="0.4">
      <c r="A1774" s="103"/>
      <c r="B1774" s="103"/>
      <c r="C1774" s="103"/>
      <c r="D1774" s="103"/>
      <c r="E1774" s="103"/>
      <c r="F1774" s="103"/>
      <c r="G1774" s="103"/>
      <c r="H1774" s="103"/>
      <c r="I1774" s="103"/>
      <c r="J1774" s="103"/>
      <c r="K1774" s="103"/>
      <c r="L1774" s="103"/>
      <c r="M1774" s="104"/>
      <c r="N1774" s="103"/>
    </row>
    <row r="1775" spans="1:14" ht="45" customHeight="1" thickBot="1" x14ac:dyDescent="0.4">
      <c r="A1775" s="103"/>
      <c r="B1775" s="103"/>
      <c r="C1775" s="103"/>
      <c r="D1775" s="103"/>
      <c r="E1775" s="103"/>
      <c r="F1775" s="103"/>
      <c r="G1775" s="103"/>
      <c r="H1775" s="103"/>
      <c r="I1775" s="103"/>
      <c r="J1775" s="103"/>
      <c r="K1775" s="103"/>
      <c r="L1775" s="103"/>
      <c r="M1775" s="104"/>
      <c r="N1775" s="103"/>
    </row>
    <row r="1776" spans="1:14" ht="45" customHeight="1" thickBot="1" x14ac:dyDescent="0.4">
      <c r="A1776" s="103"/>
      <c r="B1776" s="103"/>
      <c r="C1776" s="103"/>
      <c r="D1776" s="103"/>
      <c r="E1776" s="103"/>
      <c r="F1776" s="103"/>
      <c r="G1776" s="103"/>
      <c r="H1776" s="103"/>
      <c r="I1776" s="103"/>
      <c r="J1776" s="103"/>
      <c r="K1776" s="103"/>
      <c r="L1776" s="103"/>
      <c r="M1776" s="104"/>
      <c r="N1776" s="103"/>
    </row>
    <row r="1777" spans="1:14" ht="45" customHeight="1" thickBot="1" x14ac:dyDescent="0.4">
      <c r="A1777" s="103"/>
      <c r="B1777" s="103"/>
      <c r="C1777" s="103"/>
      <c r="D1777" s="103"/>
      <c r="E1777" s="103"/>
      <c r="F1777" s="103"/>
      <c r="G1777" s="103"/>
      <c r="H1777" s="103"/>
      <c r="I1777" s="103"/>
      <c r="J1777" s="103"/>
      <c r="K1777" s="103"/>
      <c r="L1777" s="103"/>
      <c r="M1777" s="104"/>
      <c r="N1777" s="103"/>
    </row>
    <row r="1778" spans="1:14" ht="45" customHeight="1" thickBot="1" x14ac:dyDescent="0.4">
      <c r="A1778" s="103"/>
      <c r="B1778" s="103"/>
      <c r="C1778" s="103"/>
      <c r="D1778" s="103"/>
      <c r="E1778" s="103"/>
      <c r="F1778" s="103"/>
      <c r="G1778" s="103"/>
      <c r="H1778" s="103"/>
      <c r="I1778" s="103"/>
      <c r="J1778" s="103"/>
      <c r="K1778" s="103"/>
      <c r="L1778" s="103"/>
      <c r="M1778" s="104"/>
      <c r="N1778" s="103"/>
    </row>
    <row r="1779" spans="1:14" ht="45" customHeight="1" thickBot="1" x14ac:dyDescent="0.4">
      <c r="A1779" s="103"/>
      <c r="B1779" s="103"/>
      <c r="C1779" s="103"/>
      <c r="D1779" s="103"/>
      <c r="E1779" s="103"/>
      <c r="F1779" s="103"/>
      <c r="G1779" s="103"/>
      <c r="H1779" s="103"/>
      <c r="I1779" s="103"/>
      <c r="J1779" s="103"/>
      <c r="K1779" s="103"/>
      <c r="L1779" s="103"/>
      <c r="M1779" s="104"/>
      <c r="N1779" s="103"/>
    </row>
    <row r="1780" spans="1:14" ht="45" customHeight="1" thickBot="1" x14ac:dyDescent="0.4">
      <c r="A1780" s="103"/>
      <c r="B1780" s="103"/>
      <c r="C1780" s="103"/>
      <c r="D1780" s="103"/>
      <c r="E1780" s="103"/>
      <c r="F1780" s="103"/>
      <c r="G1780" s="103"/>
      <c r="H1780" s="103"/>
      <c r="I1780" s="103"/>
      <c r="J1780" s="103"/>
      <c r="K1780" s="103"/>
      <c r="L1780" s="103"/>
      <c r="M1780" s="104"/>
      <c r="N1780" s="103"/>
    </row>
    <row r="1781" spans="1:14" ht="45" customHeight="1" thickBot="1" x14ac:dyDescent="0.4">
      <c r="A1781" s="103"/>
      <c r="B1781" s="103"/>
      <c r="C1781" s="103"/>
      <c r="D1781" s="103"/>
      <c r="E1781" s="103"/>
      <c r="F1781" s="103"/>
      <c r="G1781" s="103"/>
      <c r="H1781" s="103"/>
      <c r="I1781" s="103"/>
      <c r="J1781" s="103"/>
      <c r="K1781" s="103"/>
      <c r="L1781" s="103"/>
      <c r="M1781" s="104"/>
      <c r="N1781" s="103"/>
    </row>
    <row r="1782" spans="1:14" ht="45" customHeight="1" thickBot="1" x14ac:dyDescent="0.4">
      <c r="A1782" s="103"/>
      <c r="B1782" s="103"/>
      <c r="C1782" s="103"/>
      <c r="D1782" s="103"/>
      <c r="E1782" s="103"/>
      <c r="F1782" s="103"/>
      <c r="G1782" s="103"/>
      <c r="H1782" s="103"/>
      <c r="I1782" s="103"/>
      <c r="J1782" s="103"/>
      <c r="K1782" s="103"/>
      <c r="L1782" s="103"/>
      <c r="M1782" s="104"/>
      <c r="N1782" s="103"/>
    </row>
    <row r="1783" spans="1:14" ht="45" customHeight="1" thickBot="1" x14ac:dyDescent="0.4">
      <c r="A1783" s="103"/>
      <c r="B1783" s="103"/>
      <c r="C1783" s="103"/>
      <c r="D1783" s="103"/>
      <c r="E1783" s="103"/>
      <c r="F1783" s="103"/>
      <c r="G1783" s="103"/>
      <c r="H1783" s="103"/>
      <c r="I1783" s="103"/>
      <c r="J1783" s="103"/>
      <c r="K1783" s="103"/>
      <c r="L1783" s="103"/>
      <c r="M1783" s="104"/>
      <c r="N1783" s="103"/>
    </row>
    <row r="1784" spans="1:14" ht="45" customHeight="1" thickBot="1" x14ac:dyDescent="0.4">
      <c r="A1784" s="103"/>
      <c r="B1784" s="103"/>
      <c r="C1784" s="103"/>
      <c r="D1784" s="103"/>
      <c r="E1784" s="103"/>
      <c r="F1784" s="103"/>
      <c r="G1784" s="103"/>
      <c r="H1784" s="103"/>
      <c r="I1784" s="103"/>
      <c r="J1784" s="103"/>
      <c r="K1784" s="103"/>
      <c r="L1784" s="103"/>
      <c r="M1784" s="104"/>
      <c r="N1784" s="103"/>
    </row>
    <row r="1785" spans="1:14" ht="45" customHeight="1" thickBot="1" x14ac:dyDescent="0.4">
      <c r="A1785" s="103"/>
      <c r="B1785" s="103"/>
      <c r="C1785" s="103"/>
      <c r="D1785" s="103"/>
      <c r="E1785" s="103"/>
      <c r="F1785" s="103"/>
      <c r="G1785" s="103"/>
      <c r="H1785" s="103"/>
      <c r="I1785" s="103"/>
      <c r="J1785" s="103"/>
      <c r="K1785" s="103"/>
      <c r="L1785" s="103"/>
      <c r="M1785" s="104"/>
      <c r="N1785" s="103"/>
    </row>
    <row r="1786" spans="1:14" ht="45" customHeight="1" thickBot="1" x14ac:dyDescent="0.4">
      <c r="A1786" s="103"/>
      <c r="B1786" s="103"/>
      <c r="C1786" s="103"/>
      <c r="D1786" s="103"/>
      <c r="E1786" s="103"/>
      <c r="F1786" s="103"/>
      <c r="G1786" s="103"/>
      <c r="H1786" s="103"/>
      <c r="I1786" s="103"/>
      <c r="J1786" s="103"/>
      <c r="K1786" s="103"/>
      <c r="L1786" s="103"/>
      <c r="M1786" s="104"/>
      <c r="N1786" s="103"/>
    </row>
    <row r="1787" spans="1:14" ht="45" customHeight="1" thickBot="1" x14ac:dyDescent="0.4">
      <c r="A1787" s="103"/>
      <c r="B1787" s="103"/>
      <c r="C1787" s="103"/>
      <c r="D1787" s="103"/>
      <c r="E1787" s="103"/>
      <c r="F1787" s="103"/>
      <c r="G1787" s="103"/>
      <c r="H1787" s="103"/>
      <c r="I1787" s="103"/>
      <c r="J1787" s="103"/>
      <c r="K1787" s="103"/>
      <c r="L1787" s="103"/>
      <c r="M1787" s="104"/>
      <c r="N1787" s="103"/>
    </row>
    <row r="1788" spans="1:14" ht="45" customHeight="1" thickBot="1" x14ac:dyDescent="0.4">
      <c r="A1788" s="103"/>
      <c r="B1788" s="103"/>
      <c r="C1788" s="103"/>
      <c r="D1788" s="103"/>
      <c r="E1788" s="103"/>
      <c r="F1788" s="103"/>
      <c r="G1788" s="103"/>
      <c r="H1788" s="103"/>
      <c r="I1788" s="103"/>
      <c r="J1788" s="103"/>
      <c r="K1788" s="103"/>
      <c r="L1788" s="103"/>
      <c r="M1788" s="104"/>
      <c r="N1788" s="103"/>
    </row>
    <row r="1789" spans="1:14" ht="45" customHeight="1" thickBot="1" x14ac:dyDescent="0.4">
      <c r="A1789" s="103"/>
      <c r="B1789" s="103"/>
      <c r="C1789" s="103"/>
      <c r="D1789" s="103"/>
      <c r="E1789" s="103"/>
      <c r="F1789" s="103"/>
      <c r="G1789" s="103"/>
      <c r="H1789" s="103"/>
      <c r="I1789" s="103"/>
      <c r="J1789" s="103"/>
      <c r="K1789" s="103"/>
      <c r="L1789" s="103"/>
      <c r="M1789" s="104"/>
      <c r="N1789" s="103"/>
    </row>
    <row r="1790" spans="1:14" ht="45" customHeight="1" thickBot="1" x14ac:dyDescent="0.4">
      <c r="A1790" s="103"/>
      <c r="B1790" s="103"/>
      <c r="C1790" s="103"/>
      <c r="D1790" s="103"/>
      <c r="E1790" s="103"/>
      <c r="F1790" s="103"/>
      <c r="G1790" s="103"/>
      <c r="H1790" s="103"/>
      <c r="I1790" s="103"/>
      <c r="J1790" s="103"/>
      <c r="K1790" s="103"/>
      <c r="L1790" s="103"/>
      <c r="M1790" s="104"/>
      <c r="N1790" s="103"/>
    </row>
    <row r="1791" spans="1:14" ht="45" customHeight="1" thickBot="1" x14ac:dyDescent="0.4">
      <c r="A1791" s="103"/>
      <c r="B1791" s="103"/>
      <c r="C1791" s="103"/>
      <c r="D1791" s="103"/>
      <c r="E1791" s="103"/>
      <c r="F1791" s="103"/>
      <c r="G1791" s="103"/>
      <c r="H1791" s="103"/>
      <c r="I1791" s="103"/>
      <c r="J1791" s="103"/>
      <c r="K1791" s="103"/>
      <c r="L1791" s="103"/>
      <c r="M1791" s="104"/>
      <c r="N1791" s="103"/>
    </row>
    <row r="1792" spans="1:14" ht="45" customHeight="1" thickBot="1" x14ac:dyDescent="0.4">
      <c r="A1792" s="103"/>
      <c r="B1792" s="103"/>
      <c r="C1792" s="103"/>
      <c r="D1792" s="103"/>
      <c r="E1792" s="103"/>
      <c r="F1792" s="103"/>
      <c r="G1792" s="103"/>
      <c r="H1792" s="103"/>
      <c r="I1792" s="103"/>
      <c r="J1792" s="103"/>
      <c r="K1792" s="103"/>
      <c r="L1792" s="103"/>
      <c r="M1792" s="104"/>
      <c r="N1792" s="103"/>
    </row>
    <row r="1793" spans="1:14" ht="45" customHeight="1" thickBot="1" x14ac:dyDescent="0.4">
      <c r="A1793" s="103"/>
      <c r="B1793" s="103"/>
      <c r="C1793" s="103"/>
      <c r="D1793" s="103"/>
      <c r="E1793" s="103"/>
      <c r="F1793" s="103"/>
      <c r="G1793" s="103"/>
      <c r="H1793" s="103"/>
      <c r="I1793" s="103"/>
      <c r="J1793" s="103"/>
      <c r="K1793" s="103"/>
      <c r="L1793" s="103"/>
      <c r="M1793" s="104"/>
      <c r="N1793" s="103"/>
    </row>
    <row r="1794" spans="1:14" ht="45" customHeight="1" thickBot="1" x14ac:dyDescent="0.4">
      <c r="A1794" s="103"/>
      <c r="B1794" s="103"/>
      <c r="C1794" s="103"/>
      <c r="D1794" s="103"/>
      <c r="E1794" s="103"/>
      <c r="F1794" s="103"/>
      <c r="G1794" s="103"/>
      <c r="H1794" s="103"/>
      <c r="I1794" s="103"/>
      <c r="J1794" s="103"/>
      <c r="K1794" s="103"/>
      <c r="L1794" s="103"/>
      <c r="M1794" s="104"/>
      <c r="N1794" s="103"/>
    </row>
    <row r="1795" spans="1:14" ht="45" customHeight="1" thickBot="1" x14ac:dyDescent="0.4">
      <c r="A1795" s="103"/>
      <c r="B1795" s="103"/>
      <c r="C1795" s="103"/>
      <c r="D1795" s="103"/>
      <c r="E1795" s="103"/>
      <c r="F1795" s="103"/>
      <c r="G1795" s="103"/>
      <c r="H1795" s="103"/>
      <c r="I1795" s="103"/>
      <c r="J1795" s="103"/>
      <c r="K1795" s="103"/>
      <c r="L1795" s="103"/>
      <c r="M1795" s="104"/>
      <c r="N1795" s="103"/>
    </row>
    <row r="1796" spans="1:14" ht="45" customHeight="1" thickBot="1" x14ac:dyDescent="0.4">
      <c r="A1796" s="103"/>
      <c r="B1796" s="103"/>
      <c r="C1796" s="103"/>
      <c r="D1796" s="103"/>
      <c r="E1796" s="103"/>
      <c r="F1796" s="103"/>
      <c r="G1796" s="103"/>
      <c r="H1796" s="103"/>
      <c r="I1796" s="103"/>
      <c r="J1796" s="103"/>
      <c r="K1796" s="103"/>
      <c r="L1796" s="103"/>
      <c r="M1796" s="104"/>
      <c r="N1796" s="103"/>
    </row>
    <row r="1797" spans="1:14" ht="45" customHeight="1" thickBot="1" x14ac:dyDescent="0.4">
      <c r="A1797" s="103"/>
      <c r="B1797" s="103"/>
      <c r="C1797" s="103"/>
      <c r="D1797" s="103"/>
      <c r="E1797" s="103"/>
      <c r="F1797" s="103"/>
      <c r="G1797" s="103"/>
      <c r="H1797" s="103"/>
      <c r="I1797" s="103"/>
      <c r="J1797" s="103"/>
      <c r="K1797" s="103"/>
      <c r="L1797" s="103"/>
      <c r="M1797" s="104"/>
      <c r="N1797" s="103"/>
    </row>
    <row r="1798" spans="1:14" ht="45" customHeight="1" thickBot="1" x14ac:dyDescent="0.4">
      <c r="A1798" s="103"/>
      <c r="B1798" s="103"/>
      <c r="C1798" s="103"/>
      <c r="D1798" s="103"/>
      <c r="E1798" s="103"/>
      <c r="F1798" s="103"/>
      <c r="G1798" s="103"/>
      <c r="H1798" s="103"/>
      <c r="I1798" s="103"/>
      <c r="J1798" s="103"/>
      <c r="K1798" s="103"/>
      <c r="L1798" s="103"/>
      <c r="M1798" s="104"/>
      <c r="N1798" s="103"/>
    </row>
    <row r="1799" spans="1:14" ht="45" customHeight="1" thickBot="1" x14ac:dyDescent="0.4">
      <c r="A1799" s="103"/>
      <c r="B1799" s="103"/>
      <c r="C1799" s="103"/>
      <c r="D1799" s="103"/>
      <c r="E1799" s="103"/>
      <c r="F1799" s="103"/>
      <c r="G1799" s="103"/>
      <c r="H1799" s="103"/>
      <c r="I1799" s="103"/>
      <c r="J1799" s="103"/>
      <c r="K1799" s="103"/>
      <c r="L1799" s="103"/>
      <c r="M1799" s="104"/>
      <c r="N1799" s="103"/>
    </row>
    <row r="1800" spans="1:14" ht="45" customHeight="1" thickBot="1" x14ac:dyDescent="0.4">
      <c r="A1800" s="103"/>
      <c r="B1800" s="103"/>
      <c r="C1800" s="103"/>
      <c r="D1800" s="103"/>
      <c r="E1800" s="103"/>
      <c r="F1800" s="103"/>
      <c r="G1800" s="103"/>
      <c r="H1800" s="103"/>
      <c r="I1800" s="103"/>
      <c r="J1800" s="103"/>
      <c r="K1800" s="103"/>
      <c r="L1800" s="103"/>
      <c r="M1800" s="104"/>
      <c r="N1800" s="103"/>
    </row>
    <row r="1801" spans="1:14" ht="45" customHeight="1" thickBot="1" x14ac:dyDescent="0.4">
      <c r="A1801" s="103"/>
      <c r="B1801" s="103"/>
      <c r="C1801" s="103"/>
      <c r="D1801" s="103"/>
      <c r="E1801" s="103"/>
      <c r="F1801" s="103"/>
      <c r="G1801" s="103"/>
      <c r="H1801" s="103"/>
      <c r="I1801" s="103"/>
      <c r="J1801" s="103"/>
      <c r="K1801" s="103"/>
      <c r="L1801" s="103"/>
      <c r="M1801" s="104"/>
      <c r="N1801" s="103"/>
    </row>
    <row r="1802" spans="1:14" ht="45" customHeight="1" thickBot="1" x14ac:dyDescent="0.4">
      <c r="A1802" s="103"/>
      <c r="B1802" s="103"/>
      <c r="C1802" s="103"/>
      <c r="D1802" s="103"/>
      <c r="E1802" s="103"/>
      <c r="F1802" s="103"/>
      <c r="G1802" s="103"/>
      <c r="H1802" s="103"/>
      <c r="I1802" s="103"/>
      <c r="J1802" s="103"/>
      <c r="K1802" s="103"/>
      <c r="L1802" s="103"/>
      <c r="M1802" s="104"/>
      <c r="N1802" s="103"/>
    </row>
    <row r="1803" spans="1:14" ht="45" customHeight="1" thickBot="1" x14ac:dyDescent="0.4">
      <c r="A1803" s="103"/>
      <c r="B1803" s="103"/>
      <c r="C1803" s="103"/>
      <c r="D1803" s="103"/>
      <c r="E1803" s="103"/>
      <c r="F1803" s="103"/>
      <c r="G1803" s="103"/>
      <c r="H1803" s="103"/>
      <c r="I1803" s="103"/>
      <c r="J1803" s="103"/>
      <c r="K1803" s="103"/>
      <c r="L1803" s="103"/>
      <c r="M1803" s="104"/>
      <c r="N1803" s="103"/>
    </row>
    <row r="1804" spans="1:14" ht="45" customHeight="1" thickBot="1" x14ac:dyDescent="0.4">
      <c r="A1804" s="103"/>
      <c r="B1804" s="103"/>
      <c r="C1804" s="103"/>
      <c r="D1804" s="103"/>
      <c r="E1804" s="103"/>
      <c r="F1804" s="103"/>
      <c r="G1804" s="103"/>
      <c r="H1804" s="103"/>
      <c r="I1804" s="103"/>
      <c r="J1804" s="103"/>
      <c r="K1804" s="103"/>
      <c r="L1804" s="103"/>
      <c r="M1804" s="104"/>
      <c r="N1804" s="103"/>
    </row>
    <row r="1805" spans="1:14" ht="45" customHeight="1" thickBot="1" x14ac:dyDescent="0.4">
      <c r="A1805" s="103"/>
      <c r="B1805" s="103"/>
      <c r="C1805" s="103"/>
      <c r="D1805" s="103"/>
      <c r="E1805" s="103"/>
      <c r="F1805" s="103"/>
      <c r="G1805" s="103"/>
      <c r="H1805" s="103"/>
      <c r="I1805" s="103"/>
      <c r="J1805" s="103"/>
      <c r="K1805" s="103"/>
      <c r="L1805" s="103"/>
      <c r="M1805" s="104"/>
      <c r="N1805" s="103"/>
    </row>
    <row r="1806" spans="1:14" ht="45" customHeight="1" thickBot="1" x14ac:dyDescent="0.4">
      <c r="A1806" s="103"/>
      <c r="B1806" s="103"/>
      <c r="C1806" s="103"/>
      <c r="D1806" s="103"/>
      <c r="E1806" s="103"/>
      <c r="F1806" s="103"/>
      <c r="G1806" s="103"/>
      <c r="H1806" s="103"/>
      <c r="I1806" s="103"/>
      <c r="J1806" s="103"/>
      <c r="K1806" s="103"/>
      <c r="L1806" s="103"/>
      <c r="M1806" s="104"/>
      <c r="N1806" s="103"/>
    </row>
    <row r="1807" spans="1:14" ht="45" customHeight="1" thickBot="1" x14ac:dyDescent="0.4">
      <c r="A1807" s="103"/>
      <c r="B1807" s="103"/>
      <c r="C1807" s="103"/>
      <c r="D1807" s="103"/>
      <c r="E1807" s="103"/>
      <c r="F1807" s="103"/>
      <c r="G1807" s="103"/>
      <c r="H1807" s="103"/>
      <c r="I1807" s="103"/>
      <c r="J1807" s="103"/>
      <c r="K1807" s="103"/>
      <c r="L1807" s="103"/>
      <c r="M1807" s="104"/>
      <c r="N1807" s="103"/>
    </row>
    <row r="1808" spans="1:14" ht="45" customHeight="1" thickBot="1" x14ac:dyDescent="0.4">
      <c r="A1808" s="103"/>
      <c r="B1808" s="103"/>
      <c r="C1808" s="103"/>
      <c r="D1808" s="103"/>
      <c r="E1808" s="103"/>
      <c r="F1808" s="103"/>
      <c r="G1808" s="103"/>
      <c r="H1808" s="103"/>
      <c r="I1808" s="103"/>
      <c r="J1808" s="103"/>
      <c r="K1808" s="103"/>
      <c r="L1808" s="103"/>
      <c r="M1808" s="104"/>
      <c r="N1808" s="103"/>
    </row>
    <row r="1809" spans="1:14" ht="45" customHeight="1" thickBot="1" x14ac:dyDescent="0.4">
      <c r="A1809" s="103"/>
      <c r="B1809" s="103"/>
      <c r="C1809" s="103"/>
      <c r="D1809" s="103"/>
      <c r="E1809" s="103"/>
      <c r="F1809" s="103"/>
      <c r="G1809" s="103"/>
      <c r="H1809" s="103"/>
      <c r="I1809" s="103"/>
      <c r="J1809" s="103"/>
      <c r="K1809" s="103"/>
      <c r="L1809" s="103"/>
      <c r="M1809" s="104"/>
      <c r="N1809" s="103"/>
    </row>
    <row r="1810" spans="1:14" ht="45" customHeight="1" thickBot="1" x14ac:dyDescent="0.4">
      <c r="A1810" s="103"/>
      <c r="B1810" s="103"/>
      <c r="C1810" s="103"/>
      <c r="D1810" s="103"/>
      <c r="E1810" s="103"/>
      <c r="F1810" s="103"/>
      <c r="G1810" s="103"/>
      <c r="H1810" s="103"/>
      <c r="I1810" s="103"/>
      <c r="J1810" s="103"/>
      <c r="K1810" s="103"/>
      <c r="L1810" s="103"/>
      <c r="M1810" s="104"/>
      <c r="N1810" s="103"/>
    </row>
    <row r="1811" spans="1:14" ht="45" customHeight="1" thickBot="1" x14ac:dyDescent="0.4">
      <c r="A1811" s="103"/>
      <c r="B1811" s="103"/>
      <c r="C1811" s="103"/>
      <c r="D1811" s="103"/>
      <c r="E1811" s="103"/>
      <c r="F1811" s="103"/>
      <c r="G1811" s="103"/>
      <c r="H1811" s="103"/>
      <c r="I1811" s="103"/>
      <c r="J1811" s="103"/>
      <c r="K1811" s="103"/>
      <c r="L1811" s="103"/>
      <c r="M1811" s="104"/>
      <c r="N1811" s="103"/>
    </row>
    <row r="1812" spans="1:14" ht="45" customHeight="1" thickBot="1" x14ac:dyDescent="0.4">
      <c r="A1812" s="103"/>
      <c r="B1812" s="103"/>
      <c r="C1812" s="103"/>
      <c r="D1812" s="103"/>
      <c r="E1812" s="103"/>
      <c r="F1812" s="103"/>
      <c r="G1812" s="103"/>
      <c r="H1812" s="103"/>
      <c r="I1812" s="103"/>
      <c r="J1812" s="103"/>
      <c r="K1812" s="103"/>
      <c r="L1812" s="103"/>
      <c r="M1812" s="104"/>
      <c r="N1812" s="103"/>
    </row>
    <row r="1813" spans="1:14" ht="45" customHeight="1" thickBot="1" x14ac:dyDescent="0.4">
      <c r="A1813" s="103"/>
      <c r="B1813" s="103"/>
      <c r="C1813" s="103"/>
      <c r="D1813" s="103"/>
      <c r="E1813" s="103"/>
      <c r="F1813" s="103"/>
      <c r="G1813" s="103"/>
      <c r="H1813" s="103"/>
      <c r="I1813" s="103"/>
      <c r="J1813" s="103"/>
      <c r="K1813" s="103"/>
      <c r="L1813" s="103"/>
      <c r="M1813" s="104"/>
      <c r="N1813" s="103"/>
    </row>
    <row r="1814" spans="1:14" ht="45" customHeight="1" thickBot="1" x14ac:dyDescent="0.4">
      <c r="A1814" s="103"/>
      <c r="B1814" s="103"/>
      <c r="C1814" s="103"/>
      <c r="D1814" s="103"/>
      <c r="E1814" s="103"/>
      <c r="F1814" s="103"/>
      <c r="G1814" s="103"/>
      <c r="H1814" s="103"/>
      <c r="I1814" s="103"/>
      <c r="J1814" s="103"/>
      <c r="K1814" s="103"/>
      <c r="L1814" s="103"/>
      <c r="M1814" s="104"/>
      <c r="N1814" s="103"/>
    </row>
    <row r="1815" spans="1:14" ht="45" customHeight="1" thickBot="1" x14ac:dyDescent="0.4">
      <c r="A1815" s="103"/>
      <c r="B1815" s="103"/>
      <c r="C1815" s="103"/>
      <c r="D1815" s="103"/>
      <c r="E1815" s="103"/>
      <c r="F1815" s="103"/>
      <c r="G1815" s="103"/>
      <c r="H1815" s="103"/>
      <c r="I1815" s="103"/>
      <c r="J1815" s="103"/>
      <c r="K1815" s="103"/>
      <c r="L1815" s="103"/>
      <c r="M1815" s="104"/>
      <c r="N1815" s="103"/>
    </row>
    <row r="1816" spans="1:14" ht="45" customHeight="1" thickBot="1" x14ac:dyDescent="0.4">
      <c r="A1816" s="103"/>
      <c r="B1816" s="103"/>
      <c r="C1816" s="103"/>
      <c r="D1816" s="103"/>
      <c r="E1816" s="103"/>
      <c r="F1816" s="103"/>
      <c r="G1816" s="103"/>
      <c r="H1816" s="103"/>
      <c r="I1816" s="103"/>
      <c r="J1816" s="103"/>
      <c r="K1816" s="103"/>
      <c r="L1816" s="103"/>
      <c r="M1816" s="104"/>
      <c r="N1816" s="103"/>
    </row>
    <row r="1817" spans="1:14" ht="45" customHeight="1" thickBot="1" x14ac:dyDescent="0.4">
      <c r="A1817" s="103"/>
      <c r="B1817" s="103"/>
      <c r="C1817" s="103"/>
      <c r="D1817" s="103"/>
      <c r="E1817" s="103"/>
      <c r="F1817" s="103"/>
      <c r="G1817" s="103"/>
      <c r="H1817" s="103"/>
      <c r="I1817" s="103"/>
      <c r="J1817" s="103"/>
      <c r="K1817" s="103"/>
      <c r="L1817" s="103"/>
      <c r="M1817" s="104"/>
      <c r="N1817" s="103"/>
    </row>
    <row r="1818" spans="1:14" ht="45" customHeight="1" thickBot="1" x14ac:dyDescent="0.4">
      <c r="A1818" s="103"/>
      <c r="B1818" s="103"/>
      <c r="C1818" s="103"/>
      <c r="D1818" s="103"/>
      <c r="E1818" s="103"/>
      <c r="F1818" s="103"/>
      <c r="G1818" s="103"/>
      <c r="H1818" s="103"/>
      <c r="I1818" s="103"/>
      <c r="J1818" s="103"/>
      <c r="K1818" s="103"/>
      <c r="L1818" s="103"/>
      <c r="M1818" s="104"/>
      <c r="N1818" s="103"/>
    </row>
    <row r="1819" spans="1:14" ht="45" customHeight="1" thickBot="1" x14ac:dyDescent="0.4">
      <c r="A1819" s="103"/>
      <c r="B1819" s="103"/>
      <c r="C1819" s="103"/>
      <c r="D1819" s="103"/>
      <c r="E1819" s="103"/>
      <c r="F1819" s="103"/>
      <c r="G1819" s="103"/>
      <c r="H1819" s="103"/>
      <c r="I1819" s="103"/>
      <c r="J1819" s="103"/>
      <c r="K1819" s="103"/>
      <c r="L1819" s="103"/>
      <c r="M1819" s="104"/>
      <c r="N1819" s="103"/>
    </row>
    <row r="1820" spans="1:14" ht="45" customHeight="1" thickBot="1" x14ac:dyDescent="0.4">
      <c r="A1820" s="103"/>
      <c r="B1820" s="103"/>
      <c r="C1820" s="103"/>
      <c r="D1820" s="103"/>
      <c r="E1820" s="103"/>
      <c r="F1820" s="103"/>
      <c r="G1820" s="103"/>
      <c r="H1820" s="103"/>
      <c r="I1820" s="103"/>
      <c r="J1820" s="103"/>
      <c r="K1820" s="103"/>
      <c r="L1820" s="103"/>
      <c r="M1820" s="104"/>
      <c r="N1820" s="103"/>
    </row>
    <row r="1821" spans="1:14" ht="45" customHeight="1" thickBot="1" x14ac:dyDescent="0.4">
      <c r="A1821" s="103"/>
      <c r="B1821" s="103"/>
      <c r="C1821" s="103"/>
      <c r="D1821" s="103"/>
      <c r="E1821" s="103"/>
      <c r="F1821" s="103"/>
      <c r="G1821" s="103"/>
      <c r="H1821" s="103"/>
      <c r="I1821" s="103"/>
      <c r="J1821" s="103"/>
      <c r="K1821" s="103"/>
      <c r="L1821" s="103"/>
      <c r="M1821" s="104"/>
      <c r="N1821" s="103"/>
    </row>
    <row r="1822" spans="1:14" ht="45" customHeight="1" thickBot="1" x14ac:dyDescent="0.4">
      <c r="A1822" s="103"/>
      <c r="B1822" s="103"/>
      <c r="C1822" s="103"/>
      <c r="D1822" s="103"/>
      <c r="E1822" s="103"/>
      <c r="F1822" s="103"/>
      <c r="G1822" s="103"/>
      <c r="H1822" s="103"/>
      <c r="I1822" s="103"/>
      <c r="J1822" s="103"/>
      <c r="K1822" s="103"/>
      <c r="L1822" s="103"/>
      <c r="M1822" s="104"/>
      <c r="N1822" s="103"/>
    </row>
    <row r="1823" spans="1:14" ht="45" customHeight="1" thickBot="1" x14ac:dyDescent="0.4">
      <c r="A1823" s="103"/>
      <c r="B1823" s="103"/>
      <c r="C1823" s="103"/>
      <c r="D1823" s="103"/>
      <c r="E1823" s="103"/>
      <c r="F1823" s="103"/>
      <c r="G1823" s="103"/>
      <c r="H1823" s="103"/>
      <c r="I1823" s="103"/>
      <c r="J1823" s="103"/>
      <c r="K1823" s="103"/>
      <c r="L1823" s="103"/>
      <c r="M1823" s="104"/>
      <c r="N1823" s="103"/>
    </row>
    <row r="1824" spans="1:14" ht="45" customHeight="1" thickBot="1" x14ac:dyDescent="0.4">
      <c r="A1824" s="103"/>
      <c r="B1824" s="103"/>
      <c r="C1824" s="103"/>
      <c r="D1824" s="103"/>
      <c r="E1824" s="103"/>
      <c r="F1824" s="103"/>
      <c r="G1824" s="103"/>
      <c r="H1824" s="103"/>
      <c r="I1824" s="103"/>
      <c r="J1824" s="103"/>
      <c r="K1824" s="103"/>
      <c r="L1824" s="103"/>
      <c r="M1824" s="104"/>
      <c r="N1824" s="103"/>
    </row>
    <row r="1825" spans="1:14" ht="45" customHeight="1" thickBot="1" x14ac:dyDescent="0.4">
      <c r="A1825" s="103"/>
      <c r="B1825" s="103"/>
      <c r="C1825" s="103"/>
      <c r="D1825" s="103"/>
      <c r="E1825" s="103"/>
      <c r="F1825" s="103"/>
      <c r="G1825" s="103"/>
      <c r="H1825" s="103"/>
      <c r="I1825" s="103"/>
      <c r="J1825" s="103"/>
      <c r="K1825" s="103"/>
      <c r="L1825" s="103"/>
      <c r="M1825" s="104"/>
      <c r="N1825" s="103"/>
    </row>
    <row r="1826" spans="1:14" ht="45" customHeight="1" thickBot="1" x14ac:dyDescent="0.4">
      <c r="A1826" s="103"/>
      <c r="B1826" s="103"/>
      <c r="C1826" s="103"/>
      <c r="D1826" s="103"/>
      <c r="E1826" s="103"/>
      <c r="F1826" s="103"/>
      <c r="G1826" s="103"/>
      <c r="H1826" s="103"/>
      <c r="I1826" s="103"/>
      <c r="J1826" s="103"/>
      <c r="K1826" s="103"/>
      <c r="L1826" s="103"/>
      <c r="M1826" s="104"/>
      <c r="N1826" s="103"/>
    </row>
    <row r="1827" spans="1:14" ht="45" customHeight="1" thickBot="1" x14ac:dyDescent="0.4">
      <c r="A1827" s="103"/>
      <c r="B1827" s="103"/>
      <c r="C1827" s="103"/>
      <c r="D1827" s="103"/>
      <c r="E1827" s="103"/>
      <c r="F1827" s="103"/>
      <c r="G1827" s="103"/>
      <c r="H1827" s="103"/>
      <c r="I1827" s="103"/>
      <c r="J1827" s="103"/>
      <c r="K1827" s="103"/>
      <c r="L1827" s="103"/>
      <c r="M1827" s="104"/>
      <c r="N1827" s="103"/>
    </row>
    <row r="1828" spans="1:14" ht="45" customHeight="1" thickBot="1" x14ac:dyDescent="0.4">
      <c r="A1828" s="103"/>
      <c r="B1828" s="103"/>
      <c r="C1828" s="103"/>
      <c r="D1828" s="103"/>
      <c r="E1828" s="103"/>
      <c r="F1828" s="103"/>
      <c r="G1828" s="103"/>
      <c r="H1828" s="103"/>
      <c r="I1828" s="103"/>
      <c r="J1828" s="103"/>
      <c r="K1828" s="103"/>
      <c r="L1828" s="103"/>
      <c r="M1828" s="104"/>
      <c r="N1828" s="103"/>
    </row>
    <row r="1829" spans="1:14" ht="45" customHeight="1" thickBot="1" x14ac:dyDescent="0.4">
      <c r="A1829" s="103"/>
      <c r="B1829" s="103"/>
      <c r="C1829" s="103"/>
      <c r="D1829" s="103"/>
      <c r="E1829" s="103"/>
      <c r="F1829" s="103"/>
      <c r="G1829" s="103"/>
      <c r="H1829" s="103"/>
      <c r="I1829" s="103"/>
      <c r="J1829" s="103"/>
      <c r="K1829" s="103"/>
      <c r="L1829" s="103"/>
      <c r="M1829" s="104"/>
      <c r="N1829" s="103"/>
    </row>
    <row r="1830" spans="1:14" ht="45" customHeight="1" thickBot="1" x14ac:dyDescent="0.4">
      <c r="A1830" s="103"/>
      <c r="B1830" s="103"/>
      <c r="C1830" s="103"/>
      <c r="D1830" s="103"/>
      <c r="E1830" s="103"/>
      <c r="F1830" s="103"/>
      <c r="G1830" s="103"/>
      <c r="H1830" s="103"/>
      <c r="I1830" s="103"/>
      <c r="J1830" s="103"/>
      <c r="K1830" s="103"/>
      <c r="L1830" s="103"/>
      <c r="M1830" s="104"/>
      <c r="N1830" s="103"/>
    </row>
    <row r="1831" spans="1:14" ht="45" customHeight="1" thickBot="1" x14ac:dyDescent="0.4">
      <c r="A1831" s="103"/>
      <c r="B1831" s="103"/>
      <c r="C1831" s="103"/>
      <c r="D1831" s="103"/>
      <c r="E1831" s="103"/>
      <c r="F1831" s="103"/>
      <c r="G1831" s="103"/>
      <c r="H1831" s="103"/>
      <c r="I1831" s="103"/>
      <c r="J1831" s="103"/>
      <c r="K1831" s="103"/>
      <c r="L1831" s="103"/>
      <c r="M1831" s="104"/>
      <c r="N1831" s="103"/>
    </row>
    <row r="1832" spans="1:14" ht="45" customHeight="1" thickBot="1" x14ac:dyDescent="0.4">
      <c r="A1832" s="103"/>
      <c r="B1832" s="103"/>
      <c r="C1832" s="103"/>
      <c r="D1832" s="103"/>
      <c r="E1832" s="103"/>
      <c r="F1832" s="103"/>
      <c r="G1832" s="103"/>
      <c r="H1832" s="103"/>
      <c r="I1832" s="103"/>
      <c r="J1832" s="103"/>
      <c r="K1832" s="103"/>
      <c r="L1832" s="103"/>
      <c r="M1832" s="104"/>
      <c r="N1832" s="103"/>
    </row>
    <row r="1833" spans="1:14" ht="45" customHeight="1" thickBot="1" x14ac:dyDescent="0.4">
      <c r="A1833" s="103"/>
      <c r="B1833" s="103"/>
      <c r="C1833" s="103"/>
      <c r="D1833" s="103"/>
      <c r="E1833" s="103"/>
      <c r="F1833" s="103"/>
      <c r="G1833" s="103"/>
      <c r="H1833" s="103"/>
      <c r="I1833" s="103"/>
      <c r="J1833" s="103"/>
      <c r="K1833" s="103"/>
      <c r="L1833" s="103"/>
      <c r="M1833" s="104"/>
      <c r="N1833" s="103"/>
    </row>
    <row r="1834" spans="1:14" ht="45" customHeight="1" thickBot="1" x14ac:dyDescent="0.4">
      <c r="A1834" s="103"/>
      <c r="B1834" s="103"/>
      <c r="C1834" s="103"/>
      <c r="D1834" s="103"/>
      <c r="E1834" s="103"/>
      <c r="F1834" s="103"/>
      <c r="G1834" s="103"/>
      <c r="H1834" s="103"/>
      <c r="I1834" s="103"/>
      <c r="J1834" s="103"/>
      <c r="K1834" s="103"/>
      <c r="L1834" s="103"/>
      <c r="M1834" s="104"/>
      <c r="N1834" s="103"/>
    </row>
    <row r="1835" spans="1:14" ht="45" customHeight="1" thickBot="1" x14ac:dyDescent="0.4">
      <c r="A1835" s="103"/>
      <c r="B1835" s="103"/>
      <c r="C1835" s="103"/>
      <c r="D1835" s="103"/>
      <c r="E1835" s="103"/>
      <c r="F1835" s="103"/>
      <c r="G1835" s="103"/>
      <c r="H1835" s="103"/>
      <c r="I1835" s="103"/>
      <c r="J1835" s="103"/>
      <c r="K1835" s="103"/>
      <c r="L1835" s="103"/>
      <c r="M1835" s="104"/>
      <c r="N1835" s="103"/>
    </row>
    <row r="1836" spans="1:14" ht="45" customHeight="1" thickBot="1" x14ac:dyDescent="0.4">
      <c r="A1836" s="103"/>
      <c r="B1836" s="103"/>
      <c r="C1836" s="103"/>
      <c r="D1836" s="103"/>
      <c r="E1836" s="103"/>
      <c r="F1836" s="103"/>
      <c r="G1836" s="103"/>
      <c r="H1836" s="103"/>
      <c r="I1836" s="103"/>
      <c r="J1836" s="103"/>
      <c r="K1836" s="103"/>
      <c r="L1836" s="103"/>
      <c r="M1836" s="104"/>
      <c r="N1836" s="103"/>
    </row>
    <row r="1837" spans="1:14" ht="45" customHeight="1" thickBot="1" x14ac:dyDescent="0.4">
      <c r="A1837" s="103"/>
      <c r="B1837" s="103"/>
      <c r="C1837" s="103"/>
      <c r="D1837" s="103"/>
      <c r="E1837" s="103"/>
      <c r="F1837" s="103"/>
      <c r="G1837" s="103"/>
      <c r="H1837" s="103"/>
      <c r="I1837" s="103"/>
      <c r="J1837" s="103"/>
      <c r="K1837" s="103"/>
      <c r="L1837" s="103"/>
      <c r="M1837" s="104"/>
      <c r="N1837" s="103"/>
    </row>
    <row r="1838" spans="1:14" ht="45" customHeight="1" thickBot="1" x14ac:dyDescent="0.4">
      <c r="A1838" s="103"/>
      <c r="B1838" s="103"/>
      <c r="C1838" s="103"/>
      <c r="D1838" s="103"/>
      <c r="E1838" s="103"/>
      <c r="F1838" s="103"/>
      <c r="G1838" s="103"/>
      <c r="H1838" s="103"/>
      <c r="I1838" s="103"/>
      <c r="J1838" s="103"/>
      <c r="K1838" s="103"/>
      <c r="L1838" s="103"/>
      <c r="M1838" s="104"/>
      <c r="N1838" s="103"/>
    </row>
    <row r="1839" spans="1:14" ht="45" customHeight="1" thickBot="1" x14ac:dyDescent="0.4">
      <c r="A1839" s="103"/>
      <c r="B1839" s="103"/>
      <c r="C1839" s="103"/>
      <c r="D1839" s="103"/>
      <c r="E1839" s="103"/>
      <c r="F1839" s="103"/>
      <c r="G1839" s="103"/>
      <c r="H1839" s="103"/>
      <c r="I1839" s="103"/>
      <c r="J1839" s="103"/>
      <c r="K1839" s="103"/>
      <c r="L1839" s="103"/>
      <c r="M1839" s="104"/>
      <c r="N1839" s="103"/>
    </row>
    <row r="1840" spans="1:14" ht="45" customHeight="1" thickBot="1" x14ac:dyDescent="0.4">
      <c r="A1840" s="103"/>
      <c r="B1840" s="103"/>
      <c r="C1840" s="103"/>
      <c r="D1840" s="103"/>
      <c r="E1840" s="103"/>
      <c r="F1840" s="103"/>
      <c r="G1840" s="103"/>
      <c r="H1840" s="103"/>
      <c r="I1840" s="103"/>
      <c r="J1840" s="103"/>
      <c r="K1840" s="103"/>
      <c r="L1840" s="103"/>
      <c r="M1840" s="104"/>
      <c r="N1840" s="103"/>
    </row>
    <row r="1841" spans="1:14" ht="45" customHeight="1" thickBot="1" x14ac:dyDescent="0.4">
      <c r="A1841" s="103"/>
      <c r="B1841" s="103"/>
      <c r="C1841" s="103"/>
      <c r="D1841" s="103"/>
      <c r="E1841" s="103"/>
      <c r="F1841" s="103"/>
      <c r="G1841" s="103"/>
      <c r="H1841" s="103"/>
      <c r="I1841" s="103"/>
      <c r="J1841" s="103"/>
      <c r="K1841" s="103"/>
      <c r="L1841" s="103"/>
      <c r="M1841" s="104"/>
      <c r="N1841" s="103"/>
    </row>
    <row r="1842" spans="1:14" ht="45" customHeight="1" thickBot="1" x14ac:dyDescent="0.4">
      <c r="A1842" s="103"/>
      <c r="B1842" s="103"/>
      <c r="C1842" s="103"/>
      <c r="D1842" s="103"/>
      <c r="E1842" s="103"/>
      <c r="F1842" s="103"/>
      <c r="G1842" s="103"/>
      <c r="H1842" s="103"/>
      <c r="I1842" s="103"/>
      <c r="J1842" s="103"/>
      <c r="K1842" s="103"/>
      <c r="L1842" s="103"/>
      <c r="M1842" s="104"/>
      <c r="N1842" s="103"/>
    </row>
    <row r="1843" spans="1:14" ht="45" customHeight="1" thickBot="1" x14ac:dyDescent="0.4">
      <c r="A1843" s="103"/>
      <c r="B1843" s="103"/>
      <c r="C1843" s="103"/>
      <c r="D1843" s="103"/>
      <c r="E1843" s="103"/>
      <c r="F1843" s="103"/>
      <c r="G1843" s="103"/>
      <c r="H1843" s="103"/>
      <c r="I1843" s="103"/>
      <c r="J1843" s="103"/>
      <c r="K1843" s="103"/>
      <c r="L1843" s="103"/>
      <c r="M1843" s="104"/>
      <c r="N1843" s="103"/>
    </row>
    <row r="1844" spans="1:14" ht="45" customHeight="1" thickBot="1" x14ac:dyDescent="0.4">
      <c r="A1844" s="103"/>
      <c r="B1844" s="103"/>
      <c r="C1844" s="103"/>
      <c r="D1844" s="103"/>
      <c r="E1844" s="103"/>
      <c r="F1844" s="103"/>
      <c r="G1844" s="103"/>
      <c r="H1844" s="103"/>
      <c r="I1844" s="103"/>
      <c r="J1844" s="103"/>
      <c r="K1844" s="103"/>
      <c r="L1844" s="103"/>
      <c r="M1844" s="104"/>
      <c r="N1844" s="103"/>
    </row>
    <row r="1845" spans="1:14" ht="45" customHeight="1" thickBot="1" x14ac:dyDescent="0.4">
      <c r="A1845" s="103"/>
      <c r="B1845" s="103"/>
      <c r="C1845" s="103"/>
      <c r="D1845" s="103"/>
      <c r="E1845" s="103"/>
      <c r="F1845" s="103"/>
      <c r="G1845" s="103"/>
      <c r="H1845" s="103"/>
      <c r="I1845" s="103"/>
      <c r="J1845" s="103"/>
      <c r="K1845" s="103"/>
      <c r="L1845" s="103"/>
      <c r="M1845" s="104"/>
      <c r="N1845" s="103"/>
    </row>
    <row r="1846" spans="1:14" ht="45" customHeight="1" thickBot="1" x14ac:dyDescent="0.4">
      <c r="A1846" s="103"/>
      <c r="B1846" s="103"/>
      <c r="C1846" s="103"/>
      <c r="D1846" s="103"/>
      <c r="E1846" s="103"/>
      <c r="F1846" s="103"/>
      <c r="G1846" s="103"/>
      <c r="H1846" s="103"/>
      <c r="I1846" s="103"/>
      <c r="J1846" s="103"/>
      <c r="K1846" s="103"/>
      <c r="L1846" s="103"/>
      <c r="M1846" s="104"/>
      <c r="N1846" s="103"/>
    </row>
    <row r="1847" spans="1:14" ht="45" customHeight="1" thickBot="1" x14ac:dyDescent="0.4">
      <c r="A1847" s="103"/>
      <c r="B1847" s="103"/>
      <c r="C1847" s="103"/>
      <c r="D1847" s="103"/>
      <c r="E1847" s="103"/>
      <c r="F1847" s="103"/>
      <c r="G1847" s="103"/>
      <c r="H1847" s="103"/>
      <c r="I1847" s="103"/>
      <c r="J1847" s="103"/>
      <c r="K1847" s="103"/>
      <c r="L1847" s="103"/>
      <c r="M1847" s="104"/>
      <c r="N1847" s="103"/>
    </row>
    <row r="1848" spans="1:14" ht="45" customHeight="1" thickBot="1" x14ac:dyDescent="0.4">
      <c r="A1848" s="103"/>
      <c r="B1848" s="103"/>
      <c r="C1848" s="103"/>
      <c r="D1848" s="103"/>
      <c r="E1848" s="103"/>
      <c r="F1848" s="103"/>
      <c r="G1848" s="103"/>
      <c r="H1848" s="103"/>
      <c r="I1848" s="103"/>
      <c r="J1848" s="103"/>
      <c r="K1848" s="103"/>
      <c r="L1848" s="103"/>
      <c r="M1848" s="104"/>
      <c r="N1848" s="103"/>
    </row>
    <row r="1849" spans="1:14" ht="45" customHeight="1" thickBot="1" x14ac:dyDescent="0.4">
      <c r="A1849" s="103"/>
      <c r="B1849" s="103"/>
      <c r="C1849" s="103"/>
      <c r="D1849" s="103"/>
      <c r="E1849" s="103"/>
      <c r="F1849" s="103"/>
      <c r="G1849" s="103"/>
      <c r="H1849" s="103"/>
      <c r="I1849" s="103"/>
      <c r="J1849" s="103"/>
      <c r="K1849" s="103"/>
      <c r="L1849" s="103"/>
      <c r="M1849" s="104"/>
      <c r="N1849" s="103"/>
    </row>
    <row r="1850" spans="1:14" ht="45" customHeight="1" thickBot="1" x14ac:dyDescent="0.4">
      <c r="A1850" s="103"/>
      <c r="B1850" s="103"/>
      <c r="C1850" s="103"/>
      <c r="D1850" s="103"/>
      <c r="E1850" s="103"/>
      <c r="F1850" s="103"/>
      <c r="G1850" s="103"/>
      <c r="H1850" s="103"/>
      <c r="I1850" s="103"/>
      <c r="J1850" s="103"/>
      <c r="K1850" s="103"/>
      <c r="L1850" s="103"/>
      <c r="M1850" s="104"/>
      <c r="N1850" s="103"/>
    </row>
    <row r="1851" spans="1:14" ht="45" customHeight="1" thickBot="1" x14ac:dyDescent="0.4">
      <c r="A1851" s="103"/>
      <c r="B1851" s="103"/>
      <c r="C1851" s="103"/>
      <c r="D1851" s="103"/>
      <c r="E1851" s="103"/>
      <c r="F1851" s="103"/>
      <c r="G1851" s="103"/>
      <c r="H1851" s="103"/>
      <c r="I1851" s="103"/>
      <c r="J1851" s="103"/>
      <c r="K1851" s="103"/>
      <c r="L1851" s="103"/>
      <c r="M1851" s="104"/>
      <c r="N1851" s="103"/>
    </row>
    <row r="1852" spans="1:14" ht="45" customHeight="1" thickBot="1" x14ac:dyDescent="0.4">
      <c r="A1852" s="103"/>
      <c r="B1852" s="103"/>
      <c r="C1852" s="103"/>
      <c r="D1852" s="103"/>
      <c r="E1852" s="103"/>
      <c r="F1852" s="103"/>
      <c r="G1852" s="103"/>
      <c r="H1852" s="103"/>
      <c r="I1852" s="103"/>
      <c r="J1852" s="103"/>
      <c r="K1852" s="103"/>
      <c r="L1852" s="103"/>
      <c r="M1852" s="104"/>
      <c r="N1852" s="103"/>
    </row>
    <row r="1853" spans="1:14" ht="45" customHeight="1" thickBot="1" x14ac:dyDescent="0.4">
      <c r="A1853" s="103"/>
      <c r="B1853" s="103"/>
      <c r="C1853" s="103"/>
      <c r="D1853" s="103"/>
      <c r="E1853" s="103"/>
      <c r="F1853" s="103"/>
      <c r="G1853" s="103"/>
      <c r="H1853" s="103"/>
      <c r="I1853" s="103"/>
      <c r="J1853" s="103"/>
      <c r="K1853" s="103"/>
      <c r="L1853" s="103"/>
      <c r="M1853" s="104"/>
      <c r="N1853" s="103"/>
    </row>
    <row r="1854" spans="1:14" ht="45" customHeight="1" thickBot="1" x14ac:dyDescent="0.4">
      <c r="A1854" s="103"/>
      <c r="B1854" s="103"/>
      <c r="C1854" s="103"/>
      <c r="D1854" s="103"/>
      <c r="E1854" s="103"/>
      <c r="F1854" s="103"/>
      <c r="G1854" s="103"/>
      <c r="H1854" s="103"/>
      <c r="I1854" s="103"/>
      <c r="J1854" s="103"/>
      <c r="K1854" s="103"/>
      <c r="L1854" s="103"/>
      <c r="M1854" s="104"/>
      <c r="N1854" s="103"/>
    </row>
    <row r="1855" spans="1:14" ht="45" customHeight="1" thickBot="1" x14ac:dyDescent="0.4">
      <c r="A1855" s="103"/>
      <c r="B1855" s="103"/>
      <c r="C1855" s="103"/>
      <c r="D1855" s="103"/>
      <c r="E1855" s="103"/>
      <c r="F1855" s="103"/>
      <c r="G1855" s="103"/>
      <c r="H1855" s="103"/>
      <c r="I1855" s="103"/>
      <c r="J1855" s="103"/>
      <c r="K1855" s="103"/>
      <c r="L1855" s="103"/>
      <c r="M1855" s="104"/>
      <c r="N1855" s="103"/>
    </row>
    <row r="1856" spans="1:14" ht="45" customHeight="1" thickBot="1" x14ac:dyDescent="0.4">
      <c r="A1856" s="103"/>
      <c r="B1856" s="103"/>
      <c r="C1856" s="103"/>
      <c r="D1856" s="103"/>
      <c r="E1856" s="103"/>
      <c r="F1856" s="103"/>
      <c r="G1856" s="103"/>
      <c r="H1856" s="103"/>
      <c r="I1856" s="103"/>
      <c r="J1856" s="103"/>
      <c r="K1856" s="103"/>
      <c r="L1856" s="103"/>
      <c r="M1856" s="104"/>
      <c r="N1856" s="103"/>
    </row>
    <row r="1857" spans="1:14" ht="45" customHeight="1" thickBot="1" x14ac:dyDescent="0.4">
      <c r="A1857" s="103"/>
      <c r="B1857" s="103"/>
      <c r="C1857" s="103"/>
      <c r="D1857" s="103"/>
      <c r="E1857" s="103"/>
      <c r="F1857" s="103"/>
      <c r="G1857" s="103"/>
      <c r="H1857" s="103"/>
      <c r="I1857" s="103"/>
      <c r="J1857" s="103"/>
      <c r="K1857" s="103"/>
      <c r="L1857" s="103"/>
      <c r="M1857" s="104"/>
      <c r="N1857" s="103"/>
    </row>
    <row r="1858" spans="1:14" ht="45" customHeight="1" thickBot="1" x14ac:dyDescent="0.4">
      <c r="A1858" s="103"/>
      <c r="B1858" s="103"/>
      <c r="C1858" s="103"/>
      <c r="D1858" s="103"/>
      <c r="E1858" s="103"/>
      <c r="F1858" s="103"/>
      <c r="G1858" s="103"/>
      <c r="H1858" s="103"/>
      <c r="I1858" s="103"/>
      <c r="J1858" s="103"/>
      <c r="K1858" s="103"/>
      <c r="L1858" s="103"/>
      <c r="M1858" s="104"/>
      <c r="N1858" s="103"/>
    </row>
    <row r="1859" spans="1:14" ht="45" customHeight="1" thickBot="1" x14ac:dyDescent="0.4">
      <c r="A1859" s="103"/>
      <c r="B1859" s="103"/>
      <c r="C1859" s="103"/>
      <c r="D1859" s="103"/>
      <c r="E1859" s="103"/>
      <c r="F1859" s="103"/>
      <c r="G1859" s="103"/>
      <c r="H1859" s="103"/>
      <c r="I1859" s="103"/>
      <c r="J1859" s="103"/>
      <c r="K1859" s="103"/>
      <c r="L1859" s="103"/>
      <c r="M1859" s="104"/>
      <c r="N1859" s="103"/>
    </row>
    <row r="1860" spans="1:14" ht="45" customHeight="1" thickBot="1" x14ac:dyDescent="0.4">
      <c r="A1860" s="103"/>
      <c r="B1860" s="103"/>
      <c r="C1860" s="103"/>
      <c r="D1860" s="103"/>
      <c r="E1860" s="103"/>
      <c r="F1860" s="103"/>
      <c r="G1860" s="103"/>
      <c r="H1860" s="103"/>
      <c r="I1860" s="103"/>
      <c r="J1860" s="103"/>
      <c r="K1860" s="103"/>
      <c r="L1860" s="103"/>
      <c r="M1860" s="104"/>
      <c r="N1860" s="103"/>
    </row>
    <row r="1861" spans="1:14" ht="45" customHeight="1" thickBot="1" x14ac:dyDescent="0.4">
      <c r="A1861" s="103"/>
      <c r="B1861" s="103"/>
      <c r="C1861" s="103"/>
      <c r="D1861" s="103"/>
      <c r="E1861" s="103"/>
      <c r="F1861" s="103"/>
      <c r="G1861" s="103"/>
      <c r="H1861" s="103"/>
      <c r="I1861" s="103"/>
      <c r="J1861" s="103"/>
      <c r="K1861" s="103"/>
      <c r="L1861" s="103"/>
      <c r="M1861" s="104"/>
      <c r="N1861" s="103"/>
    </row>
    <row r="1862" spans="1:14" ht="45" customHeight="1" thickBot="1" x14ac:dyDescent="0.4">
      <c r="A1862" s="103"/>
      <c r="B1862" s="103"/>
      <c r="C1862" s="103"/>
      <c r="D1862" s="103"/>
      <c r="E1862" s="103"/>
      <c r="F1862" s="103"/>
      <c r="G1862" s="103"/>
      <c r="H1862" s="103"/>
      <c r="I1862" s="103"/>
      <c r="J1862" s="103"/>
      <c r="K1862" s="103"/>
      <c r="L1862" s="103"/>
      <c r="M1862" s="104"/>
      <c r="N1862" s="103"/>
    </row>
    <row r="1863" spans="1:14" ht="45" customHeight="1" thickBot="1" x14ac:dyDescent="0.4">
      <c r="A1863" s="103"/>
      <c r="B1863" s="103"/>
      <c r="C1863" s="103"/>
      <c r="D1863" s="103"/>
      <c r="E1863" s="103"/>
      <c r="F1863" s="103"/>
      <c r="G1863" s="103"/>
      <c r="H1863" s="103"/>
      <c r="I1863" s="103"/>
      <c r="J1863" s="103"/>
      <c r="K1863" s="103"/>
      <c r="L1863" s="103"/>
      <c r="M1863" s="104"/>
      <c r="N1863" s="103"/>
    </row>
    <row r="1864" spans="1:14" ht="45" customHeight="1" thickBot="1" x14ac:dyDescent="0.4">
      <c r="A1864" s="103"/>
      <c r="B1864" s="103"/>
      <c r="C1864" s="103"/>
      <c r="D1864" s="103"/>
      <c r="E1864" s="103"/>
      <c r="F1864" s="103"/>
      <c r="G1864" s="103"/>
      <c r="H1864" s="103"/>
      <c r="I1864" s="103"/>
      <c r="J1864" s="103"/>
      <c r="K1864" s="103"/>
      <c r="L1864" s="103"/>
      <c r="M1864" s="104"/>
      <c r="N1864" s="103"/>
    </row>
    <row r="1865" spans="1:14" ht="45" customHeight="1" thickBot="1" x14ac:dyDescent="0.4">
      <c r="A1865" s="103"/>
      <c r="B1865" s="103"/>
      <c r="C1865" s="103"/>
      <c r="D1865" s="103"/>
      <c r="E1865" s="103"/>
      <c r="F1865" s="103"/>
      <c r="G1865" s="103"/>
      <c r="H1865" s="103"/>
      <c r="I1865" s="103"/>
      <c r="J1865" s="103"/>
      <c r="K1865" s="103"/>
      <c r="L1865" s="103"/>
      <c r="M1865" s="104"/>
      <c r="N1865" s="103"/>
    </row>
    <row r="1866" spans="1:14" ht="45" customHeight="1" thickBot="1" x14ac:dyDescent="0.4">
      <c r="A1866" s="103"/>
      <c r="B1866" s="103"/>
      <c r="C1866" s="103"/>
      <c r="D1866" s="103"/>
      <c r="E1866" s="103"/>
      <c r="F1866" s="103"/>
      <c r="G1866" s="103"/>
      <c r="H1866" s="103"/>
      <c r="I1866" s="103"/>
      <c r="J1866" s="103"/>
      <c r="K1866" s="103"/>
      <c r="L1866" s="103"/>
      <c r="M1866" s="104"/>
      <c r="N1866" s="103"/>
    </row>
    <row r="1867" spans="1:14" ht="45" customHeight="1" thickBot="1" x14ac:dyDescent="0.4">
      <c r="A1867" s="103"/>
      <c r="B1867" s="103"/>
      <c r="C1867" s="103"/>
      <c r="D1867" s="103"/>
      <c r="E1867" s="103"/>
      <c r="F1867" s="103"/>
      <c r="G1867" s="103"/>
      <c r="H1867" s="103"/>
      <c r="I1867" s="103"/>
      <c r="J1867" s="103"/>
      <c r="K1867" s="103"/>
      <c r="L1867" s="103"/>
      <c r="M1867" s="104"/>
      <c r="N1867" s="103"/>
    </row>
    <row r="1868" spans="1:14" ht="45" customHeight="1" thickBot="1" x14ac:dyDescent="0.4">
      <c r="A1868" s="103"/>
      <c r="B1868" s="103"/>
      <c r="C1868" s="103"/>
      <c r="D1868" s="103"/>
      <c r="E1868" s="103"/>
      <c r="F1868" s="103"/>
      <c r="G1868" s="103"/>
      <c r="H1868" s="103"/>
      <c r="I1868" s="103"/>
      <c r="J1868" s="103"/>
      <c r="K1868" s="103"/>
      <c r="L1868" s="103"/>
      <c r="M1868" s="104"/>
      <c r="N1868" s="103"/>
    </row>
    <row r="1869" spans="1:14" ht="45" customHeight="1" thickBot="1" x14ac:dyDescent="0.4">
      <c r="A1869" s="103"/>
      <c r="B1869" s="103"/>
      <c r="C1869" s="103"/>
      <c r="D1869" s="103"/>
      <c r="E1869" s="103"/>
      <c r="F1869" s="103"/>
      <c r="G1869" s="103"/>
      <c r="H1869" s="103"/>
      <c r="I1869" s="103"/>
      <c r="J1869" s="103"/>
      <c r="K1869" s="103"/>
      <c r="L1869" s="103"/>
      <c r="M1869" s="104"/>
      <c r="N1869" s="103"/>
    </row>
    <row r="1870" spans="1:14" ht="45" customHeight="1" thickBot="1" x14ac:dyDescent="0.4">
      <c r="A1870" s="103"/>
      <c r="B1870" s="103"/>
      <c r="C1870" s="103"/>
      <c r="D1870" s="103"/>
      <c r="E1870" s="103"/>
      <c r="F1870" s="103"/>
      <c r="G1870" s="103"/>
      <c r="H1870" s="103"/>
      <c r="I1870" s="103"/>
      <c r="J1870" s="103"/>
      <c r="K1870" s="103"/>
      <c r="L1870" s="103"/>
      <c r="M1870" s="104"/>
      <c r="N1870" s="103"/>
    </row>
    <row r="1871" spans="1:14" ht="45" customHeight="1" thickBot="1" x14ac:dyDescent="0.4">
      <c r="A1871" s="103"/>
      <c r="B1871" s="103"/>
      <c r="C1871" s="103"/>
      <c r="D1871" s="103"/>
      <c r="E1871" s="103"/>
      <c r="F1871" s="103"/>
      <c r="G1871" s="103"/>
      <c r="H1871" s="103"/>
      <c r="I1871" s="103"/>
      <c r="J1871" s="103"/>
      <c r="K1871" s="103"/>
      <c r="L1871" s="103"/>
      <c r="M1871" s="104"/>
      <c r="N1871" s="103"/>
    </row>
    <row r="1872" spans="1:14" ht="45" customHeight="1" thickBot="1" x14ac:dyDescent="0.4">
      <c r="A1872" s="103"/>
      <c r="B1872" s="103"/>
      <c r="C1872" s="103"/>
      <c r="D1872" s="103"/>
      <c r="E1872" s="103"/>
      <c r="F1872" s="103"/>
      <c r="G1872" s="103"/>
      <c r="H1872" s="103"/>
      <c r="I1872" s="103"/>
      <c r="J1872" s="103"/>
      <c r="K1872" s="103"/>
      <c r="L1872" s="103"/>
      <c r="M1872" s="104"/>
      <c r="N1872" s="103"/>
    </row>
    <row r="1873" spans="1:14" ht="45" customHeight="1" thickBot="1" x14ac:dyDescent="0.4">
      <c r="A1873" s="103"/>
      <c r="B1873" s="103"/>
      <c r="C1873" s="103"/>
      <c r="D1873" s="103"/>
      <c r="E1873" s="103"/>
      <c r="F1873" s="103"/>
      <c r="G1873" s="103"/>
      <c r="H1873" s="103"/>
      <c r="I1873" s="103"/>
      <c r="J1873" s="103"/>
      <c r="K1873" s="103"/>
      <c r="L1873" s="103"/>
      <c r="M1873" s="104"/>
      <c r="N1873" s="103"/>
    </row>
    <row r="1874" spans="1:14" ht="45" customHeight="1" thickBot="1" x14ac:dyDescent="0.4">
      <c r="A1874" s="103"/>
      <c r="B1874" s="103"/>
      <c r="C1874" s="103"/>
      <c r="D1874" s="103"/>
      <c r="E1874" s="103"/>
      <c r="F1874" s="103"/>
      <c r="G1874" s="103"/>
      <c r="H1874" s="103"/>
      <c r="I1874" s="103"/>
      <c r="J1874" s="103"/>
      <c r="K1874" s="103"/>
      <c r="L1874" s="103"/>
      <c r="M1874" s="104"/>
      <c r="N1874" s="103"/>
    </row>
    <row r="1875" spans="1:14" ht="45" customHeight="1" thickBot="1" x14ac:dyDescent="0.4">
      <c r="A1875" s="103"/>
      <c r="B1875" s="103"/>
      <c r="C1875" s="103"/>
      <c r="D1875" s="103"/>
      <c r="E1875" s="103"/>
      <c r="F1875" s="103"/>
      <c r="G1875" s="103"/>
      <c r="H1875" s="103"/>
      <c r="I1875" s="103"/>
      <c r="J1875" s="103"/>
      <c r="K1875" s="103"/>
      <c r="L1875" s="103"/>
      <c r="M1875" s="104"/>
      <c r="N1875" s="103"/>
    </row>
    <row r="1876" spans="1:14" ht="45" customHeight="1" thickBot="1" x14ac:dyDescent="0.4">
      <c r="A1876" s="103"/>
      <c r="B1876" s="103"/>
      <c r="C1876" s="103"/>
      <c r="D1876" s="103"/>
      <c r="E1876" s="103"/>
      <c r="F1876" s="103"/>
      <c r="G1876" s="103"/>
      <c r="H1876" s="103"/>
      <c r="I1876" s="103"/>
      <c r="J1876" s="103"/>
      <c r="K1876" s="103"/>
      <c r="L1876" s="103"/>
      <c r="M1876" s="104"/>
      <c r="N1876" s="103"/>
    </row>
    <row r="1877" spans="1:14" ht="45" customHeight="1" thickBot="1" x14ac:dyDescent="0.4">
      <c r="A1877" s="103"/>
      <c r="B1877" s="103"/>
      <c r="C1877" s="103"/>
      <c r="D1877" s="103"/>
      <c r="E1877" s="103"/>
      <c r="F1877" s="103"/>
      <c r="G1877" s="103"/>
      <c r="H1877" s="103"/>
      <c r="I1877" s="103"/>
      <c r="J1877" s="103"/>
      <c r="K1877" s="103"/>
      <c r="L1877" s="103"/>
      <c r="M1877" s="104"/>
      <c r="N1877" s="103"/>
    </row>
    <row r="1878" spans="1:14" ht="45" customHeight="1" thickBot="1" x14ac:dyDescent="0.4">
      <c r="A1878" s="103"/>
      <c r="B1878" s="103"/>
      <c r="C1878" s="103"/>
      <c r="D1878" s="103"/>
      <c r="E1878" s="103"/>
      <c r="F1878" s="103"/>
      <c r="G1878" s="103"/>
      <c r="H1878" s="103"/>
      <c r="I1878" s="103"/>
      <c r="J1878" s="103"/>
      <c r="K1878" s="103"/>
      <c r="L1878" s="103"/>
      <c r="M1878" s="104"/>
      <c r="N1878" s="103"/>
    </row>
    <row r="1879" spans="1:14" ht="45" customHeight="1" thickBot="1" x14ac:dyDescent="0.4">
      <c r="A1879" s="103"/>
      <c r="B1879" s="103"/>
      <c r="C1879" s="103"/>
      <c r="D1879" s="103"/>
      <c r="E1879" s="103"/>
      <c r="F1879" s="103"/>
      <c r="G1879" s="103"/>
      <c r="H1879" s="103"/>
      <c r="I1879" s="103"/>
      <c r="J1879" s="103"/>
      <c r="K1879" s="103"/>
      <c r="L1879" s="103"/>
      <c r="M1879" s="104"/>
      <c r="N1879" s="103"/>
    </row>
    <row r="1880" spans="1:14" ht="45" customHeight="1" thickBot="1" x14ac:dyDescent="0.4">
      <c r="A1880" s="103"/>
      <c r="B1880" s="103"/>
      <c r="C1880" s="103"/>
      <c r="D1880" s="103"/>
      <c r="E1880" s="103"/>
      <c r="F1880" s="103"/>
      <c r="G1880" s="103"/>
      <c r="H1880" s="103"/>
      <c r="I1880" s="103"/>
      <c r="J1880" s="103"/>
      <c r="K1880" s="103"/>
      <c r="L1880" s="103"/>
      <c r="M1880" s="104"/>
      <c r="N1880" s="103"/>
    </row>
    <row r="1881" spans="1:14" ht="45" customHeight="1" thickBot="1" x14ac:dyDescent="0.4">
      <c r="A1881" s="103"/>
      <c r="B1881" s="103"/>
      <c r="C1881" s="103"/>
      <c r="D1881" s="103"/>
      <c r="E1881" s="103"/>
      <c r="F1881" s="103"/>
      <c r="G1881" s="103"/>
      <c r="H1881" s="103"/>
      <c r="I1881" s="103"/>
      <c r="J1881" s="103"/>
      <c r="K1881" s="103"/>
      <c r="L1881" s="103"/>
      <c r="M1881" s="104"/>
      <c r="N1881" s="103"/>
    </row>
    <row r="1882" spans="1:14" ht="45" customHeight="1" thickBot="1" x14ac:dyDescent="0.4">
      <c r="A1882" s="103"/>
      <c r="B1882" s="103"/>
      <c r="C1882" s="103"/>
      <c r="D1882" s="103"/>
      <c r="E1882" s="103"/>
      <c r="F1882" s="103"/>
      <c r="G1882" s="103"/>
      <c r="H1882" s="103"/>
      <c r="I1882" s="103"/>
      <c r="J1882" s="103"/>
      <c r="K1882" s="103"/>
      <c r="L1882" s="103"/>
      <c r="M1882" s="104"/>
      <c r="N1882" s="103"/>
    </row>
    <row r="1883" spans="1:14" ht="45" customHeight="1" thickBot="1" x14ac:dyDescent="0.4">
      <c r="A1883" s="103"/>
      <c r="B1883" s="103"/>
      <c r="C1883" s="103"/>
      <c r="D1883" s="103"/>
      <c r="E1883" s="103"/>
      <c r="F1883" s="103"/>
      <c r="G1883" s="103"/>
      <c r="H1883" s="103"/>
      <c r="I1883" s="103"/>
      <c r="J1883" s="103"/>
      <c r="K1883" s="103"/>
      <c r="L1883" s="103"/>
      <c r="M1883" s="104"/>
      <c r="N1883" s="103"/>
    </row>
    <row r="1884" spans="1:14" ht="45" customHeight="1" thickBot="1" x14ac:dyDescent="0.4">
      <c r="A1884" s="103"/>
      <c r="B1884" s="103"/>
      <c r="C1884" s="103"/>
      <c r="D1884" s="103"/>
      <c r="E1884" s="103"/>
      <c r="F1884" s="103"/>
      <c r="G1884" s="103"/>
      <c r="H1884" s="103"/>
      <c r="I1884" s="103"/>
      <c r="J1884" s="103"/>
      <c r="K1884" s="103"/>
      <c r="L1884" s="103"/>
      <c r="M1884" s="104"/>
      <c r="N1884" s="103"/>
    </row>
    <row r="1885" spans="1:14" ht="45" customHeight="1" thickBot="1" x14ac:dyDescent="0.4">
      <c r="A1885" s="103"/>
      <c r="B1885" s="103"/>
      <c r="C1885" s="103"/>
      <c r="D1885" s="103"/>
      <c r="E1885" s="103"/>
      <c r="F1885" s="103"/>
      <c r="G1885" s="103"/>
      <c r="H1885" s="103"/>
      <c r="I1885" s="103"/>
      <c r="J1885" s="103"/>
      <c r="K1885" s="103"/>
      <c r="L1885" s="103"/>
      <c r="M1885" s="104"/>
      <c r="N1885" s="103"/>
    </row>
    <row r="1886" spans="1:14" ht="45" customHeight="1" thickBot="1" x14ac:dyDescent="0.4">
      <c r="A1886" s="103"/>
      <c r="B1886" s="103"/>
      <c r="C1886" s="103"/>
      <c r="D1886" s="103"/>
      <c r="E1886" s="103"/>
      <c r="F1886" s="103"/>
      <c r="G1886" s="103"/>
      <c r="H1886" s="103"/>
      <c r="I1886" s="103"/>
      <c r="J1886" s="103"/>
      <c r="K1886" s="103"/>
      <c r="L1886" s="103"/>
      <c r="M1886" s="104"/>
      <c r="N1886" s="103"/>
    </row>
    <row r="1887" spans="1:14" ht="45" customHeight="1" thickBot="1" x14ac:dyDescent="0.4">
      <c r="A1887" s="103"/>
      <c r="B1887" s="103"/>
      <c r="C1887" s="103"/>
      <c r="D1887" s="103"/>
      <c r="E1887" s="103"/>
      <c r="F1887" s="103"/>
      <c r="G1887" s="103"/>
      <c r="H1887" s="103"/>
      <c r="I1887" s="103"/>
      <c r="J1887" s="103"/>
      <c r="K1887" s="103"/>
      <c r="L1887" s="103"/>
      <c r="M1887" s="104"/>
      <c r="N1887" s="103"/>
    </row>
    <row r="1888" spans="1:14" ht="45" customHeight="1" thickBot="1" x14ac:dyDescent="0.4">
      <c r="A1888" s="103"/>
      <c r="B1888" s="103"/>
      <c r="C1888" s="103"/>
      <c r="D1888" s="103"/>
      <c r="E1888" s="103"/>
      <c r="F1888" s="103"/>
      <c r="G1888" s="103"/>
      <c r="H1888" s="103"/>
      <c r="I1888" s="103"/>
      <c r="J1888" s="103"/>
      <c r="K1888" s="103"/>
      <c r="L1888" s="103"/>
      <c r="M1888" s="104"/>
      <c r="N1888" s="103"/>
    </row>
    <row r="1889" spans="1:14" ht="45" customHeight="1" thickBot="1" x14ac:dyDescent="0.4">
      <c r="A1889" s="103"/>
      <c r="B1889" s="103"/>
      <c r="C1889" s="103"/>
      <c r="D1889" s="103"/>
      <c r="E1889" s="103"/>
      <c r="F1889" s="103"/>
      <c r="G1889" s="103"/>
      <c r="H1889" s="103"/>
      <c r="I1889" s="103"/>
      <c r="J1889" s="103"/>
      <c r="K1889" s="103"/>
      <c r="L1889" s="103"/>
      <c r="M1889" s="104"/>
      <c r="N1889" s="103"/>
    </row>
    <row r="1890" spans="1:14" ht="45" customHeight="1" thickBot="1" x14ac:dyDescent="0.4">
      <c r="A1890" s="103"/>
      <c r="B1890" s="103"/>
      <c r="C1890" s="103"/>
      <c r="D1890" s="103"/>
      <c r="E1890" s="103"/>
      <c r="F1890" s="103"/>
      <c r="G1890" s="103"/>
      <c r="H1890" s="103"/>
      <c r="I1890" s="103"/>
      <c r="J1890" s="103"/>
      <c r="K1890" s="103"/>
      <c r="L1890" s="103"/>
      <c r="M1890" s="104"/>
      <c r="N1890" s="103"/>
    </row>
    <row r="1891" spans="1:14" ht="45" customHeight="1" thickBot="1" x14ac:dyDescent="0.4">
      <c r="A1891" s="103"/>
      <c r="B1891" s="103"/>
      <c r="C1891" s="103"/>
      <c r="D1891" s="103"/>
      <c r="E1891" s="103"/>
      <c r="F1891" s="103"/>
      <c r="G1891" s="103"/>
      <c r="H1891" s="103"/>
      <c r="I1891" s="103"/>
      <c r="J1891" s="103"/>
      <c r="K1891" s="103"/>
      <c r="L1891" s="103"/>
      <c r="M1891" s="104"/>
      <c r="N1891" s="103"/>
    </row>
    <row r="1892" spans="1:14" ht="45" customHeight="1" thickBot="1" x14ac:dyDescent="0.4">
      <c r="A1892" s="103"/>
      <c r="B1892" s="103"/>
      <c r="C1892" s="103"/>
      <c r="D1892" s="103"/>
      <c r="E1892" s="103"/>
      <c r="F1892" s="103"/>
      <c r="G1892" s="103"/>
      <c r="H1892" s="103"/>
      <c r="I1892" s="103"/>
      <c r="J1892" s="103"/>
      <c r="K1892" s="103"/>
      <c r="L1892" s="103"/>
      <c r="M1892" s="104"/>
      <c r="N1892" s="103"/>
    </row>
    <row r="1893" spans="1:14" ht="45" customHeight="1" thickBot="1" x14ac:dyDescent="0.4">
      <c r="A1893" s="103"/>
      <c r="B1893" s="103"/>
      <c r="C1893" s="103"/>
      <c r="D1893" s="103"/>
      <c r="E1893" s="103"/>
      <c r="F1893" s="103"/>
      <c r="G1893" s="103"/>
      <c r="H1893" s="103"/>
      <c r="I1893" s="103"/>
      <c r="J1893" s="103"/>
      <c r="K1893" s="103"/>
      <c r="L1893" s="103"/>
      <c r="M1893" s="104"/>
      <c r="N1893" s="103"/>
    </row>
    <row r="1894" spans="1:14" ht="45" customHeight="1" thickBot="1" x14ac:dyDescent="0.4">
      <c r="A1894" s="103"/>
      <c r="B1894" s="103"/>
      <c r="C1894" s="103"/>
      <c r="D1894" s="103"/>
      <c r="E1894" s="103"/>
      <c r="F1894" s="103"/>
      <c r="G1894" s="103"/>
      <c r="H1894" s="103"/>
      <c r="I1894" s="103"/>
      <c r="J1894" s="103"/>
      <c r="K1894" s="103"/>
      <c r="L1894" s="103"/>
      <c r="M1894" s="104"/>
      <c r="N1894" s="103"/>
    </row>
    <row r="1895" spans="1:14" ht="45" customHeight="1" thickBot="1" x14ac:dyDescent="0.4">
      <c r="A1895" s="103"/>
      <c r="B1895" s="103"/>
      <c r="C1895" s="103"/>
      <c r="D1895" s="103"/>
      <c r="E1895" s="103"/>
      <c r="F1895" s="103"/>
      <c r="G1895" s="103"/>
      <c r="H1895" s="103"/>
      <c r="I1895" s="103"/>
      <c r="J1895" s="103"/>
      <c r="K1895" s="103"/>
      <c r="L1895" s="103"/>
      <c r="M1895" s="104"/>
      <c r="N1895" s="103"/>
    </row>
    <row r="1896" spans="1:14" ht="45" customHeight="1" thickBot="1" x14ac:dyDescent="0.4">
      <c r="A1896" s="103"/>
      <c r="B1896" s="103"/>
      <c r="C1896" s="103"/>
      <c r="D1896" s="103"/>
      <c r="E1896" s="103"/>
      <c r="F1896" s="103"/>
      <c r="G1896" s="103"/>
      <c r="H1896" s="103"/>
      <c r="I1896" s="103"/>
      <c r="J1896" s="103"/>
      <c r="K1896" s="103"/>
      <c r="L1896" s="103"/>
      <c r="M1896" s="104"/>
      <c r="N1896" s="103"/>
    </row>
    <row r="1897" spans="1:14" ht="45" customHeight="1" thickBot="1" x14ac:dyDescent="0.4">
      <c r="A1897" s="103"/>
      <c r="B1897" s="103"/>
      <c r="C1897" s="103"/>
      <c r="D1897" s="103"/>
      <c r="E1897" s="103"/>
      <c r="F1897" s="103"/>
      <c r="G1897" s="103"/>
      <c r="H1897" s="103"/>
      <c r="I1897" s="103"/>
      <c r="J1897" s="103"/>
      <c r="K1897" s="103"/>
      <c r="L1897" s="103"/>
      <c r="M1897" s="104"/>
      <c r="N1897" s="103"/>
    </row>
    <row r="1898" spans="1:14" ht="45" customHeight="1" thickBot="1" x14ac:dyDescent="0.4">
      <c r="A1898" s="103"/>
      <c r="B1898" s="103"/>
      <c r="C1898" s="103"/>
      <c r="D1898" s="103"/>
      <c r="E1898" s="103"/>
      <c r="F1898" s="103"/>
      <c r="G1898" s="103"/>
      <c r="H1898" s="103"/>
      <c r="I1898" s="103"/>
      <c r="J1898" s="103"/>
      <c r="K1898" s="103"/>
      <c r="L1898" s="103"/>
      <c r="M1898" s="104"/>
      <c r="N1898" s="103"/>
    </row>
    <row r="1899" spans="1:14" ht="45" customHeight="1" thickBot="1" x14ac:dyDescent="0.4">
      <c r="A1899" s="103"/>
      <c r="B1899" s="103"/>
      <c r="C1899" s="103"/>
      <c r="D1899" s="103"/>
      <c r="E1899" s="103"/>
      <c r="F1899" s="103"/>
      <c r="G1899" s="103"/>
      <c r="H1899" s="103"/>
      <c r="I1899" s="103"/>
      <c r="J1899" s="103"/>
      <c r="K1899" s="103"/>
      <c r="L1899" s="103"/>
      <c r="M1899" s="104"/>
      <c r="N1899" s="103"/>
    </row>
    <row r="1900" spans="1:14" ht="45" customHeight="1" thickBot="1" x14ac:dyDescent="0.4">
      <c r="A1900" s="103"/>
      <c r="B1900" s="103"/>
      <c r="C1900" s="103"/>
      <c r="D1900" s="103"/>
      <c r="E1900" s="103"/>
      <c r="F1900" s="103"/>
      <c r="G1900" s="103"/>
      <c r="H1900" s="103"/>
      <c r="I1900" s="103"/>
      <c r="J1900" s="103"/>
      <c r="K1900" s="103"/>
      <c r="L1900" s="103"/>
      <c r="M1900" s="104"/>
      <c r="N1900" s="103"/>
    </row>
    <row r="1901" spans="1:14" ht="45" customHeight="1" thickBot="1" x14ac:dyDescent="0.4">
      <c r="A1901" s="103"/>
      <c r="B1901" s="103"/>
      <c r="C1901" s="103"/>
      <c r="D1901" s="103"/>
      <c r="E1901" s="103"/>
      <c r="F1901" s="103"/>
      <c r="G1901" s="103"/>
      <c r="H1901" s="103"/>
      <c r="I1901" s="103"/>
      <c r="J1901" s="103"/>
      <c r="K1901" s="103"/>
      <c r="L1901" s="103"/>
      <c r="M1901" s="104"/>
      <c r="N1901" s="103"/>
    </row>
    <row r="1902" spans="1:14" ht="45" customHeight="1" thickBot="1" x14ac:dyDescent="0.4">
      <c r="A1902" s="103"/>
      <c r="B1902" s="103"/>
      <c r="C1902" s="103"/>
      <c r="D1902" s="103"/>
      <c r="E1902" s="103"/>
      <c r="F1902" s="103"/>
      <c r="G1902" s="103"/>
      <c r="H1902" s="103"/>
      <c r="I1902" s="103"/>
      <c r="J1902" s="103"/>
      <c r="K1902" s="103"/>
      <c r="L1902" s="103"/>
      <c r="M1902" s="104"/>
      <c r="N1902" s="103"/>
    </row>
    <row r="1903" spans="1:14" ht="45" customHeight="1" thickBot="1" x14ac:dyDescent="0.4">
      <c r="A1903" s="103"/>
      <c r="B1903" s="103"/>
      <c r="C1903" s="103"/>
      <c r="D1903" s="103"/>
      <c r="E1903" s="103"/>
      <c r="F1903" s="103"/>
      <c r="G1903" s="103"/>
      <c r="H1903" s="103"/>
      <c r="I1903" s="103"/>
      <c r="J1903" s="103"/>
      <c r="K1903" s="103"/>
      <c r="L1903" s="103"/>
      <c r="M1903" s="104"/>
      <c r="N1903" s="103"/>
    </row>
    <row r="1904" spans="1:14" ht="45" customHeight="1" thickBot="1" x14ac:dyDescent="0.4">
      <c r="A1904" s="103"/>
      <c r="B1904" s="103"/>
      <c r="C1904" s="103"/>
      <c r="D1904" s="103"/>
      <c r="E1904" s="103"/>
      <c r="F1904" s="103"/>
      <c r="G1904" s="103"/>
      <c r="H1904" s="103"/>
      <c r="I1904" s="103"/>
      <c r="J1904" s="103"/>
      <c r="K1904" s="103"/>
      <c r="L1904" s="103"/>
      <c r="M1904" s="104"/>
      <c r="N1904" s="103"/>
    </row>
    <row r="1905" spans="1:14" ht="45" customHeight="1" thickBot="1" x14ac:dyDescent="0.4">
      <c r="A1905" s="103"/>
      <c r="B1905" s="103"/>
      <c r="C1905" s="103"/>
      <c r="D1905" s="103"/>
      <c r="E1905" s="103"/>
      <c r="F1905" s="103"/>
      <c r="G1905" s="103"/>
      <c r="H1905" s="103"/>
      <c r="I1905" s="103"/>
      <c r="J1905" s="103"/>
      <c r="K1905" s="103"/>
      <c r="L1905" s="103"/>
      <c r="M1905" s="104"/>
      <c r="N1905" s="103"/>
    </row>
    <row r="1906" spans="1:14" ht="45" customHeight="1" thickBot="1" x14ac:dyDescent="0.4">
      <c r="A1906" s="103"/>
      <c r="B1906" s="103"/>
      <c r="C1906" s="103"/>
      <c r="D1906" s="103"/>
      <c r="E1906" s="103"/>
      <c r="F1906" s="103"/>
      <c r="G1906" s="103"/>
      <c r="H1906" s="103"/>
      <c r="I1906" s="103"/>
      <c r="J1906" s="103"/>
      <c r="K1906" s="103"/>
      <c r="L1906" s="103"/>
      <c r="M1906" s="104"/>
      <c r="N1906" s="103"/>
    </row>
    <row r="1907" spans="1:14" ht="45" customHeight="1" thickBot="1" x14ac:dyDescent="0.4">
      <c r="A1907" s="103"/>
      <c r="B1907" s="103"/>
      <c r="C1907" s="103"/>
      <c r="D1907" s="103"/>
      <c r="E1907" s="103"/>
      <c r="F1907" s="103"/>
      <c r="G1907" s="103"/>
      <c r="H1907" s="103"/>
      <c r="I1907" s="103"/>
      <c r="J1907" s="103"/>
      <c r="K1907" s="103"/>
      <c r="L1907" s="103"/>
      <c r="M1907" s="104"/>
      <c r="N1907" s="103"/>
    </row>
    <row r="1908" spans="1:14" ht="45" customHeight="1" thickBot="1" x14ac:dyDescent="0.4">
      <c r="A1908" s="103"/>
      <c r="B1908" s="103"/>
      <c r="C1908" s="103"/>
      <c r="D1908" s="103"/>
      <c r="E1908" s="103"/>
      <c r="F1908" s="103"/>
      <c r="G1908" s="103"/>
      <c r="H1908" s="103"/>
      <c r="I1908" s="103"/>
      <c r="J1908" s="103"/>
      <c r="K1908" s="103"/>
      <c r="L1908" s="103"/>
      <c r="M1908" s="104"/>
      <c r="N1908" s="103"/>
    </row>
    <row r="1909" spans="1:14" ht="45" customHeight="1" thickBot="1" x14ac:dyDescent="0.4">
      <c r="A1909" s="103"/>
      <c r="B1909" s="103"/>
      <c r="C1909" s="103"/>
      <c r="D1909" s="103"/>
      <c r="E1909" s="103"/>
      <c r="F1909" s="103"/>
      <c r="G1909" s="103"/>
      <c r="H1909" s="103"/>
      <c r="I1909" s="103"/>
      <c r="J1909" s="103"/>
      <c r="K1909" s="103"/>
      <c r="L1909" s="103"/>
      <c r="M1909" s="104"/>
      <c r="N1909" s="103"/>
    </row>
    <row r="1910" spans="1:14" ht="45" customHeight="1" thickBot="1" x14ac:dyDescent="0.4">
      <c r="A1910" s="103"/>
      <c r="B1910" s="103"/>
      <c r="C1910" s="103"/>
      <c r="D1910" s="103"/>
      <c r="E1910" s="103"/>
      <c r="F1910" s="103"/>
      <c r="G1910" s="103"/>
      <c r="H1910" s="103"/>
      <c r="I1910" s="103"/>
      <c r="J1910" s="103"/>
      <c r="K1910" s="103"/>
      <c r="L1910" s="103"/>
      <c r="M1910" s="104"/>
      <c r="N1910" s="103"/>
    </row>
    <row r="1911" spans="1:14" ht="45" customHeight="1" thickBot="1" x14ac:dyDescent="0.4">
      <c r="A1911" s="103"/>
      <c r="B1911" s="103"/>
      <c r="C1911" s="103"/>
      <c r="D1911" s="103"/>
      <c r="E1911" s="103"/>
      <c r="F1911" s="103"/>
      <c r="G1911" s="103"/>
      <c r="H1911" s="103"/>
      <c r="I1911" s="103"/>
      <c r="J1911" s="103"/>
      <c r="K1911" s="103"/>
      <c r="L1911" s="103"/>
      <c r="M1911" s="104"/>
      <c r="N1911" s="103"/>
    </row>
    <row r="1912" spans="1:14" ht="45" customHeight="1" thickBot="1" x14ac:dyDescent="0.4">
      <c r="A1912" s="103"/>
      <c r="B1912" s="103"/>
      <c r="C1912" s="103"/>
      <c r="D1912" s="103"/>
      <c r="E1912" s="103"/>
      <c r="F1912" s="103"/>
      <c r="G1912" s="103"/>
      <c r="H1912" s="103"/>
      <c r="I1912" s="103"/>
      <c r="J1912" s="103"/>
      <c r="K1912" s="103"/>
      <c r="L1912" s="103"/>
      <c r="M1912" s="104"/>
      <c r="N1912" s="103"/>
    </row>
    <row r="1913" spans="1:14" ht="45" customHeight="1" thickBot="1" x14ac:dyDescent="0.4">
      <c r="A1913" s="103"/>
      <c r="B1913" s="103"/>
      <c r="C1913" s="103"/>
      <c r="D1913" s="103"/>
      <c r="E1913" s="103"/>
      <c r="F1913" s="103"/>
      <c r="G1913" s="103"/>
      <c r="H1913" s="103"/>
      <c r="I1913" s="103"/>
      <c r="J1913" s="103"/>
      <c r="K1913" s="103"/>
      <c r="L1913" s="103"/>
      <c r="M1913" s="104"/>
      <c r="N1913" s="103"/>
    </row>
    <row r="1914" spans="1:14" ht="45" customHeight="1" thickBot="1" x14ac:dyDescent="0.4">
      <c r="A1914" s="103"/>
      <c r="B1914" s="103"/>
      <c r="C1914" s="103"/>
      <c r="D1914" s="103"/>
      <c r="E1914" s="103"/>
      <c r="F1914" s="103"/>
      <c r="G1914" s="103"/>
      <c r="H1914" s="103"/>
      <c r="I1914" s="103"/>
      <c r="J1914" s="103"/>
      <c r="K1914" s="103"/>
      <c r="L1914" s="103"/>
      <c r="M1914" s="104"/>
      <c r="N1914" s="103"/>
    </row>
    <row r="1915" spans="1:14" ht="45" customHeight="1" thickBot="1" x14ac:dyDescent="0.4">
      <c r="A1915" s="103"/>
      <c r="B1915" s="103"/>
      <c r="C1915" s="103"/>
      <c r="D1915" s="103"/>
      <c r="E1915" s="103"/>
      <c r="F1915" s="103"/>
      <c r="G1915" s="103"/>
      <c r="H1915" s="103"/>
      <c r="I1915" s="103"/>
      <c r="J1915" s="103"/>
      <c r="K1915" s="103"/>
      <c r="L1915" s="103"/>
      <c r="M1915" s="104"/>
      <c r="N1915" s="103"/>
    </row>
    <row r="1916" spans="1:14" ht="45" customHeight="1" thickBot="1" x14ac:dyDescent="0.4">
      <c r="A1916" s="103"/>
      <c r="B1916" s="103"/>
      <c r="C1916" s="103"/>
      <c r="D1916" s="103"/>
      <c r="E1916" s="103"/>
      <c r="F1916" s="103"/>
      <c r="G1916" s="103"/>
      <c r="H1916" s="103"/>
      <c r="I1916" s="103"/>
      <c r="J1916" s="103"/>
      <c r="K1916" s="103"/>
      <c r="L1916" s="103"/>
      <c r="M1916" s="104"/>
      <c r="N1916" s="103"/>
    </row>
    <row r="1917" spans="1:14" ht="45" customHeight="1" thickBot="1" x14ac:dyDescent="0.4">
      <c r="A1917" s="103"/>
      <c r="B1917" s="103"/>
      <c r="C1917" s="103"/>
      <c r="D1917" s="103"/>
      <c r="E1917" s="103"/>
      <c r="F1917" s="103"/>
      <c r="G1917" s="103"/>
      <c r="H1917" s="103"/>
      <c r="I1917" s="103"/>
      <c r="J1917" s="103"/>
      <c r="K1917" s="103"/>
      <c r="L1917" s="103"/>
      <c r="M1917" s="104"/>
      <c r="N1917" s="103"/>
    </row>
    <row r="1918" spans="1:14" ht="45" customHeight="1" thickBot="1" x14ac:dyDescent="0.4">
      <c r="A1918" s="103"/>
      <c r="B1918" s="103"/>
      <c r="C1918" s="103"/>
      <c r="D1918" s="103"/>
      <c r="E1918" s="103"/>
      <c r="F1918" s="103"/>
      <c r="G1918" s="103"/>
      <c r="H1918" s="103"/>
      <c r="I1918" s="103"/>
      <c r="J1918" s="103"/>
      <c r="K1918" s="103"/>
      <c r="L1918" s="103"/>
      <c r="M1918" s="104"/>
      <c r="N1918" s="103"/>
    </row>
    <row r="1919" spans="1:14" ht="45" customHeight="1" thickBot="1" x14ac:dyDescent="0.4">
      <c r="A1919" s="103"/>
      <c r="B1919" s="103"/>
      <c r="C1919" s="103"/>
      <c r="D1919" s="103"/>
      <c r="E1919" s="103"/>
      <c r="F1919" s="103"/>
      <c r="G1919" s="103"/>
      <c r="H1919" s="103"/>
      <c r="I1919" s="103"/>
      <c r="J1919" s="103"/>
      <c r="K1919" s="103"/>
      <c r="L1919" s="103"/>
      <c r="M1919" s="104"/>
      <c r="N1919" s="103"/>
    </row>
    <row r="1920" spans="1:14" ht="45" customHeight="1" thickBot="1" x14ac:dyDescent="0.4">
      <c r="A1920" s="103"/>
      <c r="B1920" s="103"/>
      <c r="C1920" s="103"/>
      <c r="D1920" s="103"/>
      <c r="E1920" s="103"/>
      <c r="F1920" s="103"/>
      <c r="G1920" s="103"/>
      <c r="H1920" s="103"/>
      <c r="I1920" s="103"/>
      <c r="J1920" s="103"/>
      <c r="K1920" s="103"/>
      <c r="L1920" s="103"/>
      <c r="M1920" s="104"/>
      <c r="N1920" s="103"/>
    </row>
    <row r="1921" spans="1:14" ht="45" customHeight="1" thickBot="1" x14ac:dyDescent="0.4">
      <c r="A1921" s="103"/>
      <c r="B1921" s="103"/>
      <c r="C1921" s="103"/>
      <c r="D1921" s="103"/>
      <c r="E1921" s="103"/>
      <c r="F1921" s="103"/>
      <c r="G1921" s="103"/>
      <c r="H1921" s="103"/>
      <c r="I1921" s="103"/>
      <c r="J1921" s="103"/>
      <c r="K1921" s="103"/>
      <c r="L1921" s="103"/>
      <c r="M1921" s="104"/>
      <c r="N1921" s="103"/>
    </row>
    <row r="1922" spans="1:14" ht="45" customHeight="1" thickBot="1" x14ac:dyDescent="0.4">
      <c r="A1922" s="103"/>
      <c r="B1922" s="103"/>
      <c r="C1922" s="103"/>
      <c r="D1922" s="103"/>
      <c r="E1922" s="103"/>
      <c r="F1922" s="103"/>
      <c r="G1922" s="103"/>
      <c r="H1922" s="103"/>
      <c r="I1922" s="103"/>
      <c r="J1922" s="103"/>
      <c r="K1922" s="103"/>
      <c r="L1922" s="103"/>
      <c r="M1922" s="104"/>
      <c r="N1922" s="103"/>
    </row>
    <row r="1923" spans="1:14" ht="45" customHeight="1" thickBot="1" x14ac:dyDescent="0.4">
      <c r="A1923" s="103"/>
      <c r="B1923" s="103"/>
      <c r="C1923" s="103"/>
      <c r="D1923" s="103"/>
      <c r="E1923" s="103"/>
      <c r="F1923" s="103"/>
      <c r="G1923" s="103"/>
      <c r="H1923" s="103"/>
      <c r="I1923" s="103"/>
      <c r="J1923" s="103"/>
      <c r="K1923" s="103"/>
      <c r="L1923" s="103"/>
      <c r="M1923" s="104"/>
      <c r="N1923" s="103"/>
    </row>
    <row r="1924" spans="1:14" ht="45" customHeight="1" thickBot="1" x14ac:dyDescent="0.4">
      <c r="A1924" s="103"/>
      <c r="B1924" s="103"/>
      <c r="C1924" s="103"/>
      <c r="D1924" s="103"/>
      <c r="E1924" s="103"/>
      <c r="F1924" s="103"/>
      <c r="G1924" s="103"/>
      <c r="H1924" s="103"/>
      <c r="I1924" s="103"/>
      <c r="J1924" s="103"/>
      <c r="K1924" s="103"/>
      <c r="L1924" s="103"/>
      <c r="M1924" s="104"/>
      <c r="N1924" s="103"/>
    </row>
    <row r="1925" spans="1:14" ht="45" customHeight="1" thickBot="1" x14ac:dyDescent="0.4">
      <c r="A1925" s="103"/>
      <c r="B1925" s="103"/>
      <c r="C1925" s="103"/>
      <c r="D1925" s="103"/>
      <c r="E1925" s="103"/>
      <c r="F1925" s="103"/>
      <c r="G1925" s="103"/>
      <c r="H1925" s="103"/>
      <c r="I1925" s="103"/>
      <c r="J1925" s="103"/>
      <c r="K1925" s="103"/>
      <c r="L1925" s="103"/>
      <c r="M1925" s="104"/>
      <c r="N1925" s="103"/>
    </row>
    <row r="1926" spans="1:14" ht="45" customHeight="1" thickBot="1" x14ac:dyDescent="0.4">
      <c r="A1926" s="103"/>
      <c r="B1926" s="103"/>
      <c r="C1926" s="103"/>
      <c r="D1926" s="103"/>
      <c r="E1926" s="103"/>
      <c r="F1926" s="103"/>
      <c r="G1926" s="103"/>
      <c r="H1926" s="103"/>
      <c r="I1926" s="103"/>
      <c r="J1926" s="103"/>
      <c r="K1926" s="103"/>
      <c r="L1926" s="103"/>
      <c r="M1926" s="104"/>
      <c r="N1926" s="103"/>
    </row>
    <row r="1927" spans="1:14" ht="45" customHeight="1" thickBot="1" x14ac:dyDescent="0.4">
      <c r="A1927" s="103"/>
      <c r="B1927" s="103"/>
      <c r="C1927" s="103"/>
      <c r="D1927" s="103"/>
      <c r="E1927" s="103"/>
      <c r="F1927" s="103"/>
      <c r="G1927" s="103"/>
      <c r="H1927" s="103"/>
      <c r="I1927" s="103"/>
      <c r="J1927" s="103"/>
      <c r="K1927" s="103"/>
      <c r="L1927" s="103"/>
      <c r="M1927" s="104"/>
      <c r="N1927" s="103"/>
    </row>
    <row r="1928" spans="1:14" ht="45" customHeight="1" thickBot="1" x14ac:dyDescent="0.4">
      <c r="A1928" s="103"/>
      <c r="B1928" s="103"/>
      <c r="C1928" s="103"/>
      <c r="D1928" s="103"/>
      <c r="E1928" s="103"/>
      <c r="F1928" s="103"/>
      <c r="G1928" s="103"/>
      <c r="H1928" s="103"/>
      <c r="I1928" s="103"/>
      <c r="J1928" s="103"/>
      <c r="K1928" s="103"/>
      <c r="L1928" s="103"/>
      <c r="M1928" s="104"/>
      <c r="N1928" s="103"/>
    </row>
    <row r="1929" spans="1:14" ht="45" customHeight="1" thickBot="1" x14ac:dyDescent="0.4">
      <c r="A1929" s="103"/>
      <c r="B1929" s="103"/>
      <c r="C1929" s="103"/>
      <c r="D1929" s="103"/>
      <c r="E1929" s="103"/>
      <c r="F1929" s="103"/>
      <c r="G1929" s="103"/>
      <c r="H1929" s="103"/>
      <c r="I1929" s="103"/>
      <c r="J1929" s="103"/>
      <c r="K1929" s="103"/>
      <c r="L1929" s="103"/>
      <c r="M1929" s="104"/>
      <c r="N1929" s="103"/>
    </row>
    <row r="1930" spans="1:14" ht="45" customHeight="1" thickBot="1" x14ac:dyDescent="0.4">
      <c r="A1930" s="103"/>
      <c r="B1930" s="103"/>
      <c r="C1930" s="103"/>
      <c r="D1930" s="103"/>
      <c r="E1930" s="103"/>
      <c r="F1930" s="103"/>
      <c r="G1930" s="103"/>
      <c r="H1930" s="103"/>
      <c r="I1930" s="103"/>
      <c r="J1930" s="103"/>
      <c r="K1930" s="103"/>
      <c r="L1930" s="103"/>
      <c r="M1930" s="104"/>
      <c r="N1930" s="103"/>
    </row>
    <row r="1931" spans="1:14" ht="45" customHeight="1" thickBot="1" x14ac:dyDescent="0.4">
      <c r="A1931" s="103"/>
      <c r="B1931" s="103"/>
      <c r="C1931" s="103"/>
      <c r="D1931" s="103"/>
      <c r="E1931" s="103"/>
      <c r="F1931" s="103"/>
      <c r="G1931" s="103"/>
      <c r="H1931" s="103"/>
      <c r="I1931" s="103"/>
      <c r="J1931" s="103"/>
      <c r="K1931" s="103"/>
      <c r="L1931" s="103"/>
      <c r="M1931" s="104"/>
      <c r="N1931" s="103"/>
    </row>
    <row r="1932" spans="1:14" ht="45" customHeight="1" thickBot="1" x14ac:dyDescent="0.4">
      <c r="A1932" s="103"/>
      <c r="B1932" s="103"/>
      <c r="C1932" s="103"/>
      <c r="D1932" s="103"/>
      <c r="E1932" s="103"/>
      <c r="F1932" s="103"/>
      <c r="G1932" s="103"/>
      <c r="H1932" s="103"/>
      <c r="I1932" s="103"/>
      <c r="J1932" s="103"/>
      <c r="K1932" s="103"/>
      <c r="L1932" s="103"/>
      <c r="M1932" s="104"/>
      <c r="N1932" s="103"/>
    </row>
    <row r="1933" spans="1:14" ht="45" customHeight="1" thickBot="1" x14ac:dyDescent="0.4">
      <c r="A1933" s="103"/>
      <c r="B1933" s="103"/>
      <c r="C1933" s="103"/>
      <c r="D1933" s="103"/>
      <c r="E1933" s="103"/>
      <c r="F1933" s="103"/>
      <c r="G1933" s="103"/>
      <c r="H1933" s="103"/>
      <c r="I1933" s="103"/>
      <c r="J1933" s="103"/>
      <c r="K1933" s="103"/>
      <c r="L1933" s="103"/>
      <c r="M1933" s="104"/>
      <c r="N1933" s="103"/>
    </row>
    <row r="1934" spans="1:14" ht="45" customHeight="1" thickBot="1" x14ac:dyDescent="0.4">
      <c r="A1934" s="103"/>
      <c r="B1934" s="103"/>
      <c r="C1934" s="103"/>
      <c r="D1934" s="103"/>
      <c r="E1934" s="103"/>
      <c r="F1934" s="103"/>
      <c r="G1934" s="103"/>
      <c r="H1934" s="103"/>
      <c r="I1934" s="103"/>
      <c r="J1934" s="103"/>
      <c r="K1934" s="103"/>
      <c r="L1934" s="103"/>
      <c r="M1934" s="104"/>
      <c r="N1934" s="103"/>
    </row>
    <row r="1935" spans="1:14" ht="45" customHeight="1" thickBot="1" x14ac:dyDescent="0.4">
      <c r="A1935" s="103"/>
      <c r="B1935" s="103"/>
      <c r="C1935" s="103"/>
      <c r="D1935" s="103"/>
      <c r="E1935" s="103"/>
      <c r="F1935" s="103"/>
      <c r="G1935" s="103"/>
      <c r="H1935" s="103"/>
      <c r="I1935" s="103"/>
      <c r="J1935" s="103"/>
      <c r="K1935" s="103"/>
      <c r="L1935" s="103"/>
      <c r="M1935" s="104"/>
      <c r="N1935" s="103"/>
    </row>
    <row r="1936" spans="1:14" ht="45" customHeight="1" thickBot="1" x14ac:dyDescent="0.4">
      <c r="A1936" s="103"/>
      <c r="B1936" s="103"/>
      <c r="C1936" s="103"/>
      <c r="D1936" s="103"/>
      <c r="E1936" s="103"/>
      <c r="F1936" s="103"/>
      <c r="G1936" s="103"/>
      <c r="H1936" s="103"/>
      <c r="I1936" s="103"/>
      <c r="J1936" s="103"/>
      <c r="K1936" s="103"/>
      <c r="L1936" s="103"/>
      <c r="M1936" s="104"/>
      <c r="N1936" s="103"/>
    </row>
    <row r="1937" spans="1:14" ht="45" customHeight="1" thickBot="1" x14ac:dyDescent="0.4">
      <c r="A1937" s="103"/>
      <c r="B1937" s="103"/>
      <c r="C1937" s="103"/>
      <c r="D1937" s="103"/>
      <c r="E1937" s="103"/>
      <c r="F1937" s="103"/>
      <c r="G1937" s="103"/>
      <c r="H1937" s="103"/>
      <c r="I1937" s="103"/>
      <c r="J1937" s="103"/>
      <c r="K1937" s="103"/>
      <c r="L1937" s="103"/>
      <c r="M1937" s="104"/>
      <c r="N1937" s="103"/>
    </row>
    <row r="1938" spans="1:14" ht="45" customHeight="1" thickBot="1" x14ac:dyDescent="0.4">
      <c r="A1938" s="103"/>
      <c r="B1938" s="103"/>
      <c r="C1938" s="103"/>
      <c r="D1938" s="103"/>
      <c r="E1938" s="103"/>
      <c r="F1938" s="103"/>
      <c r="G1938" s="103"/>
      <c r="H1938" s="103"/>
      <c r="I1938" s="103"/>
      <c r="J1938" s="103"/>
      <c r="K1938" s="103"/>
      <c r="L1938" s="103"/>
      <c r="M1938" s="104"/>
      <c r="N1938" s="103"/>
    </row>
    <row r="1939" spans="1:14" ht="45" customHeight="1" thickBot="1" x14ac:dyDescent="0.4">
      <c r="A1939" s="103"/>
      <c r="B1939" s="103"/>
      <c r="C1939" s="103"/>
      <c r="D1939" s="103"/>
      <c r="E1939" s="103"/>
      <c r="F1939" s="103"/>
      <c r="G1939" s="103"/>
      <c r="H1939" s="103"/>
      <c r="I1939" s="103"/>
      <c r="J1939" s="103"/>
      <c r="K1939" s="103"/>
      <c r="L1939" s="103"/>
      <c r="M1939" s="104"/>
      <c r="N1939" s="103"/>
    </row>
    <row r="1940" spans="1:14" ht="45" customHeight="1" thickBot="1" x14ac:dyDescent="0.4">
      <c r="A1940" s="103"/>
      <c r="B1940" s="103"/>
      <c r="C1940" s="103"/>
      <c r="D1940" s="103"/>
      <c r="E1940" s="103"/>
      <c r="F1940" s="103"/>
      <c r="G1940" s="103"/>
      <c r="H1940" s="103"/>
      <c r="I1940" s="103"/>
      <c r="J1940" s="103"/>
      <c r="K1940" s="103"/>
      <c r="L1940" s="103"/>
      <c r="M1940" s="104"/>
      <c r="N1940" s="103"/>
    </row>
    <row r="1941" spans="1:14" ht="45" customHeight="1" thickBot="1" x14ac:dyDescent="0.4">
      <c r="A1941" s="103"/>
      <c r="B1941" s="103"/>
      <c r="C1941" s="103"/>
      <c r="D1941" s="103"/>
      <c r="E1941" s="103"/>
      <c r="F1941" s="103"/>
      <c r="G1941" s="103"/>
      <c r="H1941" s="103"/>
      <c r="I1941" s="103"/>
      <c r="J1941" s="103"/>
      <c r="K1941" s="103"/>
      <c r="L1941" s="103"/>
      <c r="M1941" s="104"/>
      <c r="N1941" s="103"/>
    </row>
    <row r="1942" spans="1:14" ht="45" customHeight="1" thickBot="1" x14ac:dyDescent="0.4">
      <c r="A1942" s="103"/>
      <c r="B1942" s="103"/>
      <c r="C1942" s="103"/>
      <c r="D1942" s="103"/>
      <c r="E1942" s="103"/>
      <c r="F1942" s="103"/>
      <c r="G1942" s="103"/>
      <c r="H1942" s="103"/>
      <c r="I1942" s="103"/>
      <c r="J1942" s="103"/>
      <c r="K1942" s="103"/>
      <c r="L1942" s="103"/>
      <c r="M1942" s="104"/>
      <c r="N1942" s="103"/>
    </row>
    <row r="1943" spans="1:14" ht="45" customHeight="1" thickBot="1" x14ac:dyDescent="0.4">
      <c r="A1943" s="103"/>
      <c r="B1943" s="103"/>
      <c r="C1943" s="103"/>
      <c r="D1943" s="103"/>
      <c r="E1943" s="103"/>
      <c r="F1943" s="103"/>
      <c r="G1943" s="103"/>
      <c r="H1943" s="103"/>
      <c r="I1943" s="103"/>
      <c r="J1943" s="103"/>
      <c r="K1943" s="103"/>
      <c r="L1943" s="103"/>
      <c r="M1943" s="104"/>
      <c r="N1943" s="103"/>
    </row>
    <row r="1944" spans="1:14" ht="45" customHeight="1" thickBot="1" x14ac:dyDescent="0.4">
      <c r="A1944" s="103"/>
      <c r="B1944" s="103"/>
      <c r="C1944" s="103"/>
      <c r="D1944" s="103"/>
      <c r="E1944" s="103"/>
      <c r="F1944" s="103"/>
      <c r="G1944" s="103"/>
      <c r="H1944" s="103"/>
      <c r="I1944" s="103"/>
      <c r="J1944" s="103"/>
      <c r="K1944" s="103"/>
      <c r="L1944" s="103"/>
      <c r="M1944" s="104"/>
      <c r="N1944" s="103"/>
    </row>
    <row r="1945" spans="1:14" ht="45" customHeight="1" thickBot="1" x14ac:dyDescent="0.4">
      <c r="A1945" s="103"/>
      <c r="B1945" s="103"/>
      <c r="C1945" s="103"/>
      <c r="D1945" s="103"/>
      <c r="E1945" s="103"/>
      <c r="F1945" s="103"/>
      <c r="G1945" s="103"/>
      <c r="H1945" s="103"/>
      <c r="I1945" s="103"/>
      <c r="J1945" s="103"/>
      <c r="K1945" s="103"/>
      <c r="L1945" s="103"/>
      <c r="M1945" s="104"/>
      <c r="N1945" s="103"/>
    </row>
    <row r="1946" spans="1:14" ht="45" customHeight="1" thickBot="1" x14ac:dyDescent="0.4">
      <c r="A1946" s="103"/>
      <c r="B1946" s="103"/>
      <c r="C1946" s="103"/>
      <c r="D1946" s="103"/>
      <c r="E1946" s="103"/>
      <c r="F1946" s="103"/>
      <c r="G1946" s="103"/>
      <c r="H1946" s="103"/>
      <c r="I1946" s="103"/>
      <c r="J1946" s="103"/>
      <c r="K1946" s="103"/>
      <c r="L1946" s="103"/>
      <c r="M1946" s="104"/>
      <c r="N1946" s="103"/>
    </row>
    <row r="1947" spans="1:14" ht="45" customHeight="1" thickBot="1" x14ac:dyDescent="0.4">
      <c r="A1947" s="103"/>
      <c r="B1947" s="103"/>
      <c r="C1947" s="103"/>
      <c r="D1947" s="103"/>
      <c r="E1947" s="103"/>
      <c r="F1947" s="103"/>
      <c r="G1947" s="103"/>
      <c r="H1947" s="103"/>
      <c r="I1947" s="103"/>
      <c r="J1947" s="103"/>
      <c r="K1947" s="103"/>
      <c r="L1947" s="103"/>
      <c r="M1947" s="104"/>
      <c r="N1947" s="103"/>
    </row>
    <row r="1948" spans="1:14" ht="45" customHeight="1" thickBot="1" x14ac:dyDescent="0.4">
      <c r="A1948" s="103"/>
      <c r="B1948" s="103"/>
      <c r="C1948" s="103"/>
      <c r="D1948" s="103"/>
      <c r="E1948" s="103"/>
      <c r="F1948" s="103"/>
      <c r="G1948" s="103"/>
      <c r="H1948" s="103"/>
      <c r="I1948" s="103"/>
      <c r="J1948" s="103"/>
      <c r="K1948" s="103"/>
      <c r="L1948" s="103"/>
      <c r="M1948" s="104"/>
      <c r="N1948" s="103"/>
    </row>
    <row r="1949" spans="1:14" ht="45" customHeight="1" thickBot="1" x14ac:dyDescent="0.4">
      <c r="A1949" s="103"/>
      <c r="B1949" s="103"/>
      <c r="C1949" s="103"/>
      <c r="D1949" s="103"/>
      <c r="E1949" s="103"/>
      <c r="F1949" s="103"/>
      <c r="G1949" s="103"/>
      <c r="H1949" s="103"/>
      <c r="I1949" s="103"/>
      <c r="J1949" s="103"/>
      <c r="K1949" s="103"/>
      <c r="L1949" s="103"/>
      <c r="M1949" s="104"/>
      <c r="N1949" s="103"/>
    </row>
    <row r="1950" spans="1:14" ht="45" customHeight="1" thickBot="1" x14ac:dyDescent="0.4">
      <c r="A1950" s="103"/>
      <c r="B1950" s="103"/>
      <c r="C1950" s="103"/>
      <c r="D1950" s="103"/>
      <c r="E1950" s="103"/>
      <c r="F1950" s="103"/>
      <c r="G1950" s="103"/>
      <c r="H1950" s="103"/>
      <c r="I1950" s="103"/>
      <c r="J1950" s="103"/>
      <c r="K1950" s="103"/>
      <c r="L1950" s="103"/>
      <c r="M1950" s="104"/>
      <c r="N1950" s="103"/>
    </row>
    <row r="1951" spans="1:14" ht="45" customHeight="1" thickBot="1" x14ac:dyDescent="0.4">
      <c r="A1951" s="103"/>
      <c r="B1951" s="103"/>
      <c r="C1951" s="103"/>
      <c r="D1951" s="103"/>
      <c r="E1951" s="103"/>
      <c r="F1951" s="103"/>
      <c r="G1951" s="103"/>
      <c r="H1951" s="103"/>
      <c r="I1951" s="103"/>
      <c r="J1951" s="103"/>
      <c r="K1951" s="103"/>
      <c r="L1951" s="103"/>
      <c r="M1951" s="104"/>
      <c r="N1951" s="103"/>
    </row>
    <row r="1952" spans="1:14" ht="45" customHeight="1" thickBot="1" x14ac:dyDescent="0.4">
      <c r="A1952" s="103"/>
      <c r="B1952" s="103"/>
      <c r="C1952" s="103"/>
      <c r="D1952" s="103"/>
      <c r="E1952" s="103"/>
      <c r="F1952" s="103"/>
      <c r="G1952" s="103"/>
      <c r="H1952" s="103"/>
      <c r="I1952" s="103"/>
      <c r="J1952" s="103"/>
      <c r="K1952" s="103"/>
      <c r="L1952" s="103"/>
      <c r="M1952" s="104"/>
      <c r="N1952" s="103"/>
    </row>
    <row r="1953" spans="1:14" ht="45" customHeight="1" thickBot="1" x14ac:dyDescent="0.4">
      <c r="A1953" s="103"/>
      <c r="B1953" s="103"/>
      <c r="C1953" s="103"/>
      <c r="D1953" s="103"/>
      <c r="E1953" s="103"/>
      <c r="F1953" s="103"/>
      <c r="G1953" s="103"/>
      <c r="H1953" s="103"/>
      <c r="I1953" s="103"/>
      <c r="J1953" s="103"/>
      <c r="K1953" s="103"/>
      <c r="L1953" s="103"/>
      <c r="M1953" s="104"/>
      <c r="N1953" s="103"/>
    </row>
    <row r="1954" spans="1:14" ht="45" customHeight="1" thickBot="1" x14ac:dyDescent="0.4">
      <c r="A1954" s="103"/>
      <c r="B1954" s="103"/>
      <c r="C1954" s="103"/>
      <c r="D1954" s="103"/>
      <c r="E1954" s="103"/>
      <c r="F1954" s="103"/>
      <c r="G1954" s="103"/>
      <c r="H1954" s="103"/>
      <c r="I1954" s="103"/>
      <c r="J1954" s="103"/>
      <c r="K1954" s="103"/>
      <c r="L1954" s="103"/>
      <c r="M1954" s="104"/>
      <c r="N1954" s="103"/>
    </row>
    <row r="1955" spans="1:14" ht="45" customHeight="1" thickBot="1" x14ac:dyDescent="0.4">
      <c r="A1955" s="103"/>
      <c r="B1955" s="103"/>
      <c r="C1955" s="103"/>
      <c r="D1955" s="103"/>
      <c r="E1955" s="103"/>
      <c r="F1955" s="103"/>
      <c r="G1955" s="103"/>
      <c r="H1955" s="103"/>
      <c r="I1955" s="103"/>
      <c r="J1955" s="103"/>
      <c r="K1955" s="103"/>
      <c r="L1955" s="103"/>
      <c r="M1955" s="104"/>
      <c r="N1955" s="103"/>
    </row>
    <row r="1956" spans="1:14" ht="45" customHeight="1" thickBot="1" x14ac:dyDescent="0.4">
      <c r="A1956" s="103"/>
      <c r="B1956" s="103"/>
      <c r="C1956" s="103"/>
      <c r="D1956" s="103"/>
      <c r="E1956" s="103"/>
      <c r="F1956" s="103"/>
      <c r="G1956" s="103"/>
      <c r="H1956" s="103"/>
      <c r="I1956" s="103"/>
      <c r="J1956" s="103"/>
      <c r="K1956" s="103"/>
      <c r="L1956" s="103"/>
      <c r="M1956" s="104"/>
      <c r="N1956" s="103"/>
    </row>
    <row r="1957" spans="1:14" ht="45" customHeight="1" thickBot="1" x14ac:dyDescent="0.4">
      <c r="A1957" s="103"/>
      <c r="B1957" s="103"/>
      <c r="C1957" s="103"/>
      <c r="D1957" s="103"/>
      <c r="E1957" s="103"/>
      <c r="F1957" s="103"/>
      <c r="G1957" s="103"/>
      <c r="H1957" s="103"/>
      <c r="I1957" s="103"/>
      <c r="J1957" s="103"/>
      <c r="K1957" s="103"/>
      <c r="L1957" s="103"/>
      <c r="M1957" s="104"/>
      <c r="N1957" s="103"/>
    </row>
    <row r="1958" spans="1:14" ht="45" customHeight="1" thickBot="1" x14ac:dyDescent="0.4">
      <c r="A1958" s="103"/>
      <c r="B1958" s="103"/>
      <c r="C1958" s="103"/>
      <c r="D1958" s="103"/>
      <c r="E1958" s="103"/>
      <c r="F1958" s="103"/>
      <c r="G1958" s="103"/>
      <c r="H1958" s="103"/>
      <c r="I1958" s="103"/>
      <c r="J1958" s="103"/>
      <c r="K1958" s="103"/>
      <c r="L1958" s="103"/>
      <c r="M1958" s="104"/>
      <c r="N1958" s="103"/>
    </row>
    <row r="1959" spans="1:14" ht="45" customHeight="1" thickBot="1" x14ac:dyDescent="0.4">
      <c r="A1959" s="103"/>
      <c r="B1959" s="103"/>
      <c r="C1959" s="103"/>
      <c r="D1959" s="103"/>
      <c r="E1959" s="103"/>
      <c r="F1959" s="103"/>
      <c r="G1959" s="103"/>
      <c r="H1959" s="103"/>
      <c r="I1959" s="103"/>
      <c r="J1959" s="103"/>
      <c r="K1959" s="103"/>
      <c r="L1959" s="103"/>
      <c r="M1959" s="104"/>
      <c r="N1959" s="103"/>
    </row>
    <row r="1960" spans="1:14" ht="45" customHeight="1" thickBot="1" x14ac:dyDescent="0.4">
      <c r="A1960" s="103"/>
      <c r="B1960" s="103"/>
      <c r="C1960" s="103"/>
      <c r="D1960" s="103"/>
      <c r="E1960" s="103"/>
      <c r="F1960" s="103"/>
      <c r="G1960" s="103"/>
      <c r="H1960" s="103"/>
      <c r="I1960" s="103"/>
      <c r="J1960" s="103"/>
      <c r="K1960" s="103"/>
      <c r="L1960" s="103"/>
      <c r="M1960" s="104"/>
      <c r="N1960" s="103"/>
    </row>
    <row r="1961" spans="1:14" ht="45" customHeight="1" thickBot="1" x14ac:dyDescent="0.4">
      <c r="A1961" s="103"/>
      <c r="B1961" s="103"/>
      <c r="C1961" s="103"/>
      <c r="D1961" s="103"/>
      <c r="E1961" s="103"/>
      <c r="F1961" s="103"/>
      <c r="G1961" s="103"/>
      <c r="H1961" s="103"/>
      <c r="I1961" s="103"/>
      <c r="J1961" s="103"/>
      <c r="K1961" s="103"/>
      <c r="L1961" s="103"/>
      <c r="M1961" s="104"/>
      <c r="N1961" s="103"/>
    </row>
    <row r="1962" spans="1:14" ht="45" customHeight="1" thickBot="1" x14ac:dyDescent="0.4">
      <c r="A1962" s="103"/>
      <c r="B1962" s="103"/>
      <c r="C1962" s="103"/>
      <c r="D1962" s="103"/>
      <c r="E1962" s="103"/>
      <c r="F1962" s="103"/>
      <c r="G1962" s="103"/>
      <c r="H1962" s="103"/>
      <c r="I1962" s="103"/>
      <c r="J1962" s="103"/>
      <c r="K1962" s="103"/>
      <c r="L1962" s="103"/>
      <c r="M1962" s="104"/>
      <c r="N1962" s="103"/>
    </row>
    <row r="1963" spans="1:14" ht="45" customHeight="1" thickBot="1" x14ac:dyDescent="0.4">
      <c r="A1963" s="103"/>
      <c r="B1963" s="103"/>
      <c r="C1963" s="103"/>
      <c r="D1963" s="103"/>
      <c r="E1963" s="103"/>
      <c r="F1963" s="103"/>
      <c r="G1963" s="103"/>
      <c r="H1963" s="103"/>
      <c r="I1963" s="103"/>
      <c r="J1963" s="103"/>
      <c r="K1963" s="103"/>
      <c r="L1963" s="103"/>
      <c r="M1963" s="104"/>
      <c r="N1963" s="103"/>
    </row>
    <row r="1964" spans="1:14" ht="45" customHeight="1" thickBot="1" x14ac:dyDescent="0.4">
      <c r="A1964" s="103"/>
      <c r="B1964" s="103"/>
      <c r="C1964" s="103"/>
      <c r="D1964" s="103"/>
      <c r="E1964" s="103"/>
      <c r="F1964" s="103"/>
      <c r="G1964" s="103"/>
      <c r="H1964" s="103"/>
      <c r="I1964" s="103"/>
      <c r="J1964" s="103"/>
      <c r="K1964" s="103"/>
      <c r="L1964" s="103"/>
      <c r="M1964" s="104"/>
      <c r="N1964" s="103"/>
    </row>
    <row r="1965" spans="1:14" ht="45" customHeight="1" thickBot="1" x14ac:dyDescent="0.4">
      <c r="A1965" s="103"/>
      <c r="B1965" s="103"/>
      <c r="C1965" s="103"/>
      <c r="D1965" s="103"/>
      <c r="E1965" s="103"/>
      <c r="F1965" s="103"/>
      <c r="G1965" s="103"/>
      <c r="H1965" s="103"/>
      <c r="I1965" s="103"/>
      <c r="J1965" s="103"/>
      <c r="K1965" s="103"/>
      <c r="L1965" s="103"/>
      <c r="M1965" s="104"/>
      <c r="N1965" s="103"/>
    </row>
    <row r="1966" spans="1:14" ht="45" customHeight="1" thickBot="1" x14ac:dyDescent="0.4">
      <c r="A1966" s="103"/>
      <c r="B1966" s="103"/>
      <c r="C1966" s="103"/>
      <c r="D1966" s="103"/>
      <c r="E1966" s="103"/>
      <c r="F1966" s="103"/>
      <c r="G1966" s="103"/>
      <c r="H1966" s="103"/>
      <c r="I1966" s="103"/>
      <c r="J1966" s="103"/>
      <c r="K1966" s="103"/>
      <c r="L1966" s="103"/>
      <c r="M1966" s="104"/>
      <c r="N1966" s="103"/>
    </row>
    <row r="1967" spans="1:14" ht="45" customHeight="1" thickBot="1" x14ac:dyDescent="0.4">
      <c r="A1967" s="103"/>
      <c r="B1967" s="103"/>
      <c r="C1967" s="103"/>
      <c r="D1967" s="103"/>
      <c r="E1967" s="103"/>
      <c r="F1967" s="103"/>
      <c r="G1967" s="103"/>
      <c r="H1967" s="103"/>
      <c r="I1967" s="103"/>
      <c r="J1967" s="103"/>
      <c r="K1967" s="103"/>
      <c r="L1967" s="103"/>
      <c r="M1967" s="104"/>
      <c r="N1967" s="103"/>
    </row>
    <row r="1968" spans="1:14" ht="45" customHeight="1" thickBot="1" x14ac:dyDescent="0.4">
      <c r="A1968" s="103"/>
      <c r="B1968" s="103"/>
      <c r="C1968" s="103"/>
      <c r="D1968" s="103"/>
      <c r="E1968" s="103"/>
      <c r="F1968" s="103"/>
      <c r="G1968" s="103"/>
      <c r="H1968" s="103"/>
      <c r="I1968" s="103"/>
      <c r="J1968" s="103"/>
      <c r="K1968" s="103"/>
      <c r="L1968" s="103"/>
      <c r="M1968" s="104"/>
      <c r="N1968" s="103"/>
    </row>
    <row r="1969" spans="1:14" ht="45" customHeight="1" thickBot="1" x14ac:dyDescent="0.4">
      <c r="A1969" s="103"/>
      <c r="B1969" s="103"/>
      <c r="C1969" s="103"/>
      <c r="D1969" s="103"/>
      <c r="E1969" s="103"/>
      <c r="F1969" s="103"/>
      <c r="G1969" s="103"/>
      <c r="H1969" s="103"/>
      <c r="I1969" s="103"/>
      <c r="J1969" s="103"/>
      <c r="K1969" s="103"/>
      <c r="L1969" s="103"/>
      <c r="M1969" s="104"/>
      <c r="N1969" s="103"/>
    </row>
    <row r="1970" spans="1:14" ht="45" customHeight="1" thickBot="1" x14ac:dyDescent="0.4">
      <c r="A1970" s="103"/>
      <c r="B1970" s="103"/>
      <c r="C1970" s="103"/>
      <c r="D1970" s="103"/>
      <c r="E1970" s="103"/>
      <c r="F1970" s="103"/>
      <c r="G1970" s="103"/>
      <c r="H1970" s="103"/>
      <c r="I1970" s="103"/>
      <c r="J1970" s="103"/>
      <c r="K1970" s="103"/>
      <c r="L1970" s="103"/>
      <c r="M1970" s="104"/>
      <c r="N1970" s="103"/>
    </row>
    <row r="1971" spans="1:14" ht="45" customHeight="1" thickBot="1" x14ac:dyDescent="0.4">
      <c r="A1971" s="103"/>
      <c r="B1971" s="103"/>
      <c r="C1971" s="103"/>
      <c r="D1971" s="103"/>
      <c r="E1971" s="103"/>
      <c r="F1971" s="103"/>
      <c r="G1971" s="103"/>
      <c r="H1971" s="103"/>
      <c r="I1971" s="103"/>
      <c r="J1971" s="103"/>
      <c r="K1971" s="103"/>
      <c r="L1971" s="103"/>
      <c r="M1971" s="104"/>
      <c r="N1971" s="103"/>
    </row>
    <row r="1972" spans="1:14" ht="45" customHeight="1" thickBot="1" x14ac:dyDescent="0.4">
      <c r="A1972" s="103"/>
      <c r="B1972" s="103"/>
      <c r="C1972" s="103"/>
      <c r="D1972" s="103"/>
      <c r="E1972" s="103"/>
      <c r="F1972" s="103"/>
      <c r="G1972" s="103"/>
      <c r="H1972" s="103"/>
      <c r="I1972" s="103"/>
      <c r="J1972" s="103"/>
      <c r="K1972" s="103"/>
      <c r="L1972" s="103"/>
      <c r="M1972" s="104"/>
      <c r="N1972" s="103"/>
    </row>
    <row r="1973" spans="1:14" ht="45" customHeight="1" thickBot="1" x14ac:dyDescent="0.4">
      <c r="A1973" s="103"/>
      <c r="B1973" s="103"/>
      <c r="C1973" s="103"/>
      <c r="D1973" s="103"/>
      <c r="E1973" s="103"/>
      <c r="F1973" s="103"/>
      <c r="G1973" s="103"/>
      <c r="H1973" s="103"/>
      <c r="I1973" s="103"/>
      <c r="J1973" s="103"/>
      <c r="K1973" s="103"/>
      <c r="L1973" s="103"/>
      <c r="M1973" s="104"/>
      <c r="N1973" s="103"/>
    </row>
    <row r="1974" spans="1:14" ht="45" customHeight="1" thickBot="1" x14ac:dyDescent="0.4">
      <c r="A1974" s="103"/>
      <c r="B1974" s="103"/>
      <c r="C1974" s="103"/>
      <c r="D1974" s="103"/>
      <c r="E1974" s="103"/>
      <c r="F1974" s="103"/>
      <c r="G1974" s="103"/>
      <c r="H1974" s="103"/>
      <c r="I1974" s="103"/>
      <c r="J1974" s="103"/>
      <c r="K1974" s="103"/>
      <c r="L1974" s="103"/>
      <c r="M1974" s="104"/>
      <c r="N1974" s="103"/>
    </row>
    <row r="1975" spans="1:14" ht="45" customHeight="1" thickBot="1" x14ac:dyDescent="0.4">
      <c r="A1975" s="103"/>
      <c r="B1975" s="103"/>
      <c r="C1975" s="103"/>
      <c r="D1975" s="103"/>
      <c r="E1975" s="103"/>
      <c r="F1975" s="103"/>
      <c r="G1975" s="103"/>
      <c r="H1975" s="103"/>
      <c r="I1975" s="103"/>
      <c r="J1975" s="103"/>
      <c r="K1975" s="103"/>
      <c r="L1975" s="103"/>
      <c r="M1975" s="104"/>
      <c r="N1975" s="103"/>
    </row>
    <row r="1976" spans="1:14" ht="45" customHeight="1" thickBot="1" x14ac:dyDescent="0.4">
      <c r="A1976" s="103"/>
      <c r="B1976" s="103"/>
      <c r="C1976" s="103"/>
      <c r="D1976" s="103"/>
      <c r="E1976" s="103"/>
      <c r="F1976" s="103"/>
      <c r="G1976" s="103"/>
      <c r="H1976" s="103"/>
      <c r="I1976" s="103"/>
      <c r="J1976" s="103"/>
      <c r="K1976" s="103"/>
      <c r="L1976" s="103"/>
      <c r="M1976" s="104"/>
      <c r="N1976" s="103"/>
    </row>
    <row r="1977" spans="1:14" ht="45" customHeight="1" thickBot="1" x14ac:dyDescent="0.4">
      <c r="A1977" s="103"/>
      <c r="B1977" s="103"/>
      <c r="C1977" s="103"/>
      <c r="D1977" s="103"/>
      <c r="E1977" s="103"/>
      <c r="F1977" s="103"/>
      <c r="G1977" s="103"/>
      <c r="H1977" s="103"/>
      <c r="I1977" s="103"/>
      <c r="J1977" s="103"/>
      <c r="K1977" s="103"/>
      <c r="L1977" s="103"/>
      <c r="M1977" s="104"/>
      <c r="N1977" s="103"/>
    </row>
    <row r="1978" spans="1:14" ht="45" customHeight="1" thickBot="1" x14ac:dyDescent="0.4">
      <c r="A1978" s="103"/>
      <c r="B1978" s="103"/>
      <c r="C1978" s="103"/>
      <c r="D1978" s="103"/>
      <c r="E1978" s="103"/>
      <c r="F1978" s="103"/>
      <c r="G1978" s="103"/>
      <c r="H1978" s="103"/>
      <c r="I1978" s="103"/>
      <c r="J1978" s="103"/>
      <c r="K1978" s="103"/>
      <c r="L1978" s="103"/>
      <c r="M1978" s="104"/>
      <c r="N1978" s="103"/>
    </row>
    <row r="1979" spans="1:14" ht="45" customHeight="1" thickBot="1" x14ac:dyDescent="0.4">
      <c r="A1979" s="103"/>
      <c r="B1979" s="103"/>
      <c r="C1979" s="103"/>
      <c r="D1979" s="103"/>
      <c r="E1979" s="103"/>
      <c r="F1979" s="103"/>
      <c r="G1979" s="103"/>
      <c r="H1979" s="103"/>
      <c r="I1979" s="103"/>
      <c r="J1979" s="103"/>
      <c r="K1979" s="103"/>
      <c r="L1979" s="103"/>
      <c r="M1979" s="104"/>
      <c r="N1979" s="103"/>
    </row>
    <row r="1980" spans="1:14" ht="45" customHeight="1" thickBot="1" x14ac:dyDescent="0.4">
      <c r="A1980" s="103"/>
      <c r="B1980" s="103"/>
      <c r="C1980" s="103"/>
      <c r="D1980" s="103"/>
      <c r="E1980" s="103"/>
      <c r="F1980" s="103"/>
      <c r="G1980" s="103"/>
      <c r="H1980" s="103"/>
      <c r="I1980" s="103"/>
      <c r="J1980" s="103"/>
      <c r="K1980" s="103"/>
      <c r="L1980" s="103"/>
      <c r="M1980" s="104"/>
      <c r="N1980" s="103"/>
    </row>
    <row r="1981" spans="1:14" ht="45" customHeight="1" thickBot="1" x14ac:dyDescent="0.4">
      <c r="A1981" s="103"/>
      <c r="B1981" s="103"/>
      <c r="C1981" s="103"/>
      <c r="D1981" s="103"/>
      <c r="E1981" s="103"/>
      <c r="F1981" s="103"/>
      <c r="G1981" s="103"/>
      <c r="H1981" s="103"/>
      <c r="I1981" s="103"/>
      <c r="J1981" s="103"/>
      <c r="K1981" s="103"/>
      <c r="L1981" s="103"/>
      <c r="M1981" s="104"/>
      <c r="N1981" s="103"/>
    </row>
    <row r="1982" spans="1:14" ht="45" customHeight="1" thickBot="1" x14ac:dyDescent="0.4">
      <c r="A1982" s="103"/>
      <c r="B1982" s="103"/>
      <c r="C1982" s="103"/>
      <c r="D1982" s="103"/>
      <c r="E1982" s="103"/>
      <c r="F1982" s="103"/>
      <c r="G1982" s="103"/>
      <c r="H1982" s="103"/>
      <c r="I1982" s="103"/>
      <c r="J1982" s="103"/>
      <c r="K1982" s="103"/>
      <c r="L1982" s="103"/>
      <c r="M1982" s="104"/>
      <c r="N1982" s="103"/>
    </row>
    <row r="1983" spans="1:14" ht="45" customHeight="1" thickBot="1" x14ac:dyDescent="0.4">
      <c r="A1983" s="103"/>
      <c r="B1983" s="103"/>
      <c r="C1983" s="103"/>
      <c r="D1983" s="103"/>
      <c r="E1983" s="103"/>
      <c r="F1983" s="103"/>
      <c r="G1983" s="103"/>
      <c r="H1983" s="103"/>
      <c r="I1983" s="103"/>
      <c r="J1983" s="103"/>
      <c r="K1983" s="103"/>
      <c r="L1983" s="103"/>
      <c r="M1983" s="104"/>
      <c r="N1983" s="103"/>
    </row>
    <row r="1984" spans="1:14" ht="45" customHeight="1" thickBot="1" x14ac:dyDescent="0.4">
      <c r="A1984" s="103"/>
      <c r="B1984" s="103"/>
      <c r="C1984" s="103"/>
      <c r="D1984" s="103"/>
      <c r="E1984" s="103"/>
      <c r="F1984" s="103"/>
      <c r="G1984" s="103"/>
      <c r="H1984" s="103"/>
      <c r="I1984" s="103"/>
      <c r="J1984" s="103"/>
      <c r="K1984" s="103"/>
      <c r="L1984" s="103"/>
      <c r="M1984" s="104"/>
      <c r="N1984" s="103"/>
    </row>
    <row r="1985" spans="1:14" ht="45" customHeight="1" thickBot="1" x14ac:dyDescent="0.4">
      <c r="A1985" s="103"/>
      <c r="B1985" s="103"/>
      <c r="C1985" s="103"/>
      <c r="D1985" s="103"/>
      <c r="E1985" s="103"/>
      <c r="F1985" s="103"/>
      <c r="G1985" s="103"/>
      <c r="H1985" s="103"/>
      <c r="I1985" s="103"/>
      <c r="J1985" s="103"/>
      <c r="K1985" s="103"/>
      <c r="L1985" s="103"/>
      <c r="M1985" s="104"/>
      <c r="N1985" s="103"/>
    </row>
    <row r="1986" spans="1:14" ht="45" customHeight="1" thickBot="1" x14ac:dyDescent="0.4">
      <c r="A1986" s="103"/>
      <c r="B1986" s="103"/>
      <c r="C1986" s="103"/>
      <c r="D1986" s="103"/>
      <c r="E1986" s="103"/>
      <c r="F1986" s="103"/>
      <c r="G1986" s="103"/>
      <c r="H1986" s="103"/>
      <c r="I1986" s="103"/>
      <c r="J1986" s="103"/>
      <c r="K1986" s="103"/>
      <c r="L1986" s="103"/>
      <c r="M1986" s="104"/>
      <c r="N1986" s="103"/>
    </row>
    <row r="1987" spans="1:14" ht="45" customHeight="1" thickBot="1" x14ac:dyDescent="0.4">
      <c r="A1987" s="103"/>
      <c r="B1987" s="103"/>
      <c r="C1987" s="103"/>
      <c r="D1987" s="103"/>
      <c r="E1987" s="103"/>
      <c r="F1987" s="103"/>
      <c r="G1987" s="103"/>
      <c r="H1987" s="103"/>
      <c r="I1987" s="103"/>
      <c r="J1987" s="103"/>
      <c r="K1987" s="103"/>
      <c r="L1987" s="103"/>
      <c r="M1987" s="104"/>
      <c r="N1987" s="103"/>
    </row>
    <row r="1988" spans="1:14" ht="45" customHeight="1" thickBot="1" x14ac:dyDescent="0.4">
      <c r="A1988" s="103"/>
      <c r="B1988" s="103"/>
      <c r="C1988" s="103"/>
      <c r="D1988" s="103"/>
      <c r="E1988" s="103"/>
      <c r="F1988" s="103"/>
      <c r="G1988" s="103"/>
      <c r="H1988" s="103"/>
      <c r="I1988" s="103"/>
      <c r="J1988" s="103"/>
      <c r="K1988" s="103"/>
      <c r="L1988" s="103"/>
      <c r="M1988" s="104"/>
      <c r="N1988" s="103"/>
    </row>
    <row r="1989" spans="1:14" ht="45" customHeight="1" thickBot="1" x14ac:dyDescent="0.4">
      <c r="A1989" s="103"/>
      <c r="B1989" s="103"/>
      <c r="C1989" s="103"/>
      <c r="D1989" s="103"/>
      <c r="E1989" s="103"/>
      <c r="F1989" s="103"/>
      <c r="G1989" s="103"/>
      <c r="H1989" s="103"/>
      <c r="I1989" s="103"/>
      <c r="J1989" s="103"/>
      <c r="K1989" s="103"/>
      <c r="L1989" s="103"/>
      <c r="M1989" s="104"/>
      <c r="N1989" s="103"/>
    </row>
    <row r="1990" spans="1:14" ht="45" customHeight="1" thickBot="1" x14ac:dyDescent="0.4">
      <c r="A1990" s="103"/>
      <c r="B1990" s="103"/>
      <c r="C1990" s="103"/>
      <c r="D1990" s="103"/>
      <c r="E1990" s="103"/>
      <c r="F1990" s="103"/>
      <c r="G1990" s="103"/>
      <c r="H1990" s="103"/>
      <c r="I1990" s="103"/>
      <c r="J1990" s="103"/>
      <c r="K1990" s="103"/>
      <c r="L1990" s="103"/>
      <c r="M1990" s="104"/>
      <c r="N1990" s="103"/>
    </row>
    <row r="1991" spans="1:14" ht="45" customHeight="1" thickBot="1" x14ac:dyDescent="0.4">
      <c r="A1991" s="103"/>
      <c r="B1991" s="103"/>
      <c r="C1991" s="103"/>
      <c r="D1991" s="103"/>
      <c r="E1991" s="103"/>
      <c r="F1991" s="103"/>
      <c r="G1991" s="103"/>
      <c r="H1991" s="103"/>
      <c r="I1991" s="103"/>
      <c r="J1991" s="103"/>
      <c r="K1991" s="103"/>
      <c r="L1991" s="103"/>
      <c r="M1991" s="104"/>
      <c r="N1991" s="103"/>
    </row>
    <row r="1992" spans="1:14" ht="45" customHeight="1" thickBot="1" x14ac:dyDescent="0.4">
      <c r="A1992" s="103"/>
      <c r="B1992" s="103"/>
      <c r="C1992" s="103"/>
      <c r="D1992" s="103"/>
      <c r="E1992" s="103"/>
      <c r="F1992" s="103"/>
      <c r="G1992" s="103"/>
      <c r="H1992" s="103"/>
      <c r="I1992" s="103"/>
      <c r="J1992" s="103"/>
      <c r="K1992" s="103"/>
      <c r="L1992" s="103"/>
      <c r="M1992" s="104"/>
      <c r="N1992" s="103"/>
    </row>
    <row r="1993" spans="1:14" ht="45" customHeight="1" thickBot="1" x14ac:dyDescent="0.4">
      <c r="A1993" s="103"/>
      <c r="B1993" s="103"/>
      <c r="C1993" s="103"/>
      <c r="D1993" s="103"/>
      <c r="E1993" s="103"/>
      <c r="F1993" s="103"/>
      <c r="G1993" s="103"/>
      <c r="H1993" s="103"/>
      <c r="I1993" s="103"/>
      <c r="J1993" s="103"/>
      <c r="K1993" s="103"/>
      <c r="L1993" s="103"/>
      <c r="M1993" s="104"/>
      <c r="N1993" s="103"/>
    </row>
    <row r="1994" spans="1:14" ht="45" customHeight="1" thickBot="1" x14ac:dyDescent="0.4">
      <c r="A1994" s="103"/>
      <c r="B1994" s="103"/>
      <c r="C1994" s="103"/>
      <c r="D1994" s="103"/>
      <c r="E1994" s="103"/>
      <c r="F1994" s="103"/>
      <c r="G1994" s="103"/>
      <c r="H1994" s="103"/>
      <c r="I1994" s="103"/>
      <c r="J1994" s="103"/>
      <c r="K1994" s="103"/>
      <c r="L1994" s="103"/>
      <c r="M1994" s="104"/>
      <c r="N1994" s="103"/>
    </row>
    <row r="1995" spans="1:14" ht="45" customHeight="1" thickBot="1" x14ac:dyDescent="0.4">
      <c r="A1995" s="103"/>
      <c r="B1995" s="103"/>
      <c r="C1995" s="103"/>
      <c r="D1995" s="103"/>
      <c r="E1995" s="103"/>
      <c r="F1995" s="103"/>
      <c r="G1995" s="103"/>
      <c r="H1995" s="103"/>
      <c r="I1995" s="103"/>
      <c r="J1995" s="103"/>
      <c r="K1995" s="103"/>
      <c r="L1995" s="103"/>
      <c r="M1995" s="104"/>
      <c r="N1995" s="103"/>
    </row>
    <row r="1996" spans="1:14" ht="45" customHeight="1" thickBot="1" x14ac:dyDescent="0.4">
      <c r="A1996" s="103"/>
      <c r="B1996" s="103"/>
      <c r="C1996" s="103"/>
      <c r="D1996" s="103"/>
      <c r="E1996" s="103"/>
      <c r="F1996" s="103"/>
      <c r="G1996" s="103"/>
      <c r="H1996" s="103"/>
      <c r="I1996" s="103"/>
      <c r="J1996" s="103"/>
      <c r="K1996" s="103"/>
      <c r="L1996" s="103"/>
      <c r="M1996" s="104"/>
      <c r="N1996" s="103"/>
    </row>
    <row r="1997" spans="1:14" ht="45" customHeight="1" thickBot="1" x14ac:dyDescent="0.4">
      <c r="A1997" s="103"/>
      <c r="B1997" s="103"/>
      <c r="C1997" s="103"/>
      <c r="D1997" s="103"/>
      <c r="E1997" s="103"/>
      <c r="F1997" s="103"/>
      <c r="G1997" s="103"/>
      <c r="H1997" s="103"/>
      <c r="I1997" s="103"/>
      <c r="J1997" s="103"/>
      <c r="K1997" s="103"/>
      <c r="L1997" s="103"/>
      <c r="M1997" s="104"/>
      <c r="N1997" s="103"/>
    </row>
    <row r="1998" spans="1:14" ht="45" customHeight="1" thickBot="1" x14ac:dyDescent="0.4">
      <c r="A1998" s="103"/>
      <c r="B1998" s="103"/>
      <c r="C1998" s="103"/>
      <c r="D1998" s="103"/>
      <c r="E1998" s="103"/>
      <c r="F1998" s="103"/>
      <c r="G1998" s="103"/>
      <c r="H1998" s="103"/>
      <c r="I1998" s="103"/>
      <c r="J1998" s="103"/>
      <c r="K1998" s="103"/>
      <c r="L1998" s="103"/>
      <c r="M1998" s="104"/>
      <c r="N1998" s="103"/>
    </row>
    <row r="1999" spans="1:14" ht="45" customHeight="1" thickBot="1" x14ac:dyDescent="0.4">
      <c r="A1999" s="103"/>
      <c r="B1999" s="103"/>
      <c r="C1999" s="103"/>
      <c r="D1999" s="103"/>
      <c r="E1999" s="103"/>
      <c r="F1999" s="103"/>
      <c r="G1999" s="103"/>
      <c r="H1999" s="103"/>
      <c r="I1999" s="103"/>
      <c r="J1999" s="103"/>
      <c r="K1999" s="103"/>
      <c r="L1999" s="103"/>
      <c r="M1999" s="104"/>
      <c r="N1999" s="103"/>
    </row>
    <row r="2000" spans="1:14" ht="45" customHeight="1" thickBot="1" x14ac:dyDescent="0.4">
      <c r="A2000" s="103"/>
      <c r="B2000" s="103"/>
      <c r="C2000" s="103"/>
      <c r="D2000" s="103"/>
      <c r="E2000" s="103"/>
      <c r="F2000" s="103"/>
      <c r="G2000" s="103"/>
      <c r="H2000" s="103"/>
      <c r="I2000" s="103"/>
      <c r="J2000" s="103"/>
      <c r="K2000" s="103"/>
      <c r="L2000" s="103"/>
      <c r="M2000" s="104"/>
      <c r="N2000" s="103"/>
    </row>
    <row r="2001" spans="1:14" ht="45" customHeight="1" thickBot="1" x14ac:dyDescent="0.4">
      <c r="A2001" s="103"/>
      <c r="B2001" s="103"/>
      <c r="C2001" s="103"/>
      <c r="D2001" s="103"/>
      <c r="E2001" s="103"/>
      <c r="F2001" s="103"/>
      <c r="G2001" s="103"/>
      <c r="H2001" s="103"/>
      <c r="I2001" s="103"/>
      <c r="J2001" s="103"/>
      <c r="K2001" s="103"/>
      <c r="L2001" s="103"/>
      <c r="M2001" s="104"/>
      <c r="N2001" s="103"/>
    </row>
    <row r="2002" spans="1:14" ht="45" customHeight="1" thickBot="1" x14ac:dyDescent="0.4">
      <c r="A2002" s="103"/>
      <c r="B2002" s="103"/>
      <c r="C2002" s="103"/>
      <c r="D2002" s="103"/>
      <c r="E2002" s="103"/>
      <c r="F2002" s="103"/>
      <c r="G2002" s="103"/>
      <c r="H2002" s="103"/>
      <c r="I2002" s="103"/>
      <c r="J2002" s="103"/>
      <c r="K2002" s="103"/>
      <c r="L2002" s="103"/>
      <c r="M2002" s="104"/>
      <c r="N2002" s="103"/>
    </row>
    <row r="2003" spans="1:14" ht="45" customHeight="1" thickBot="1" x14ac:dyDescent="0.4">
      <c r="A2003" s="103"/>
      <c r="B2003" s="103"/>
      <c r="C2003" s="103"/>
      <c r="D2003" s="103"/>
      <c r="E2003" s="103"/>
      <c r="F2003" s="103"/>
      <c r="G2003" s="103"/>
      <c r="H2003" s="103"/>
      <c r="I2003" s="103"/>
      <c r="J2003" s="103"/>
      <c r="K2003" s="103"/>
      <c r="L2003" s="103"/>
      <c r="M2003" s="104"/>
      <c r="N2003" s="103"/>
    </row>
    <row r="2004" spans="1:14" ht="45" customHeight="1" thickBot="1" x14ac:dyDescent="0.4">
      <c r="A2004" s="103"/>
      <c r="B2004" s="103"/>
      <c r="C2004" s="103"/>
      <c r="D2004" s="103"/>
      <c r="E2004" s="103"/>
      <c r="F2004" s="103"/>
      <c r="G2004" s="103"/>
      <c r="H2004" s="103"/>
      <c r="I2004" s="103"/>
      <c r="J2004" s="103"/>
      <c r="K2004" s="103"/>
      <c r="L2004" s="103"/>
      <c r="M2004" s="104"/>
      <c r="N2004" s="103"/>
    </row>
    <row r="2005" spans="1:14" ht="45" customHeight="1" thickBot="1" x14ac:dyDescent="0.4">
      <c r="A2005" s="103"/>
      <c r="B2005" s="103"/>
      <c r="C2005" s="103"/>
      <c r="D2005" s="103"/>
      <c r="E2005" s="103"/>
      <c r="F2005" s="103"/>
      <c r="G2005" s="103"/>
      <c r="H2005" s="103"/>
      <c r="I2005" s="103"/>
      <c r="J2005" s="103"/>
      <c r="K2005" s="103"/>
      <c r="L2005" s="103"/>
      <c r="M2005" s="104"/>
      <c r="N2005" s="103"/>
    </row>
    <row r="2006" spans="1:14" ht="45" customHeight="1" thickBot="1" x14ac:dyDescent="0.4">
      <c r="A2006" s="103"/>
      <c r="B2006" s="103"/>
      <c r="C2006" s="103"/>
      <c r="D2006" s="103"/>
      <c r="E2006" s="103"/>
      <c r="F2006" s="103"/>
      <c r="G2006" s="103"/>
      <c r="H2006" s="103"/>
      <c r="I2006" s="103"/>
      <c r="J2006" s="103"/>
      <c r="K2006" s="103"/>
      <c r="L2006" s="103"/>
      <c r="M2006" s="104"/>
      <c r="N2006" s="103"/>
    </row>
    <row r="2007" spans="1:14" ht="45" customHeight="1" thickBot="1" x14ac:dyDescent="0.4">
      <c r="A2007" s="103"/>
      <c r="B2007" s="103"/>
      <c r="C2007" s="103"/>
      <c r="D2007" s="103"/>
      <c r="E2007" s="103"/>
      <c r="F2007" s="103"/>
      <c r="G2007" s="103"/>
      <c r="H2007" s="103"/>
      <c r="I2007" s="103"/>
      <c r="J2007" s="103"/>
      <c r="K2007" s="103"/>
      <c r="L2007" s="103"/>
      <c r="M2007" s="104"/>
      <c r="N2007" s="103"/>
    </row>
    <row r="2008" spans="1:14" ht="45" customHeight="1" thickBot="1" x14ac:dyDescent="0.4">
      <c r="A2008" s="103"/>
      <c r="B2008" s="103"/>
      <c r="C2008" s="103"/>
      <c r="D2008" s="103"/>
      <c r="E2008" s="103"/>
      <c r="F2008" s="103"/>
      <c r="G2008" s="103"/>
      <c r="H2008" s="103"/>
      <c r="I2008" s="103"/>
      <c r="J2008" s="103"/>
      <c r="K2008" s="103"/>
      <c r="L2008" s="103"/>
      <c r="M2008" s="104"/>
      <c r="N2008" s="103"/>
    </row>
    <row r="2009" spans="1:14" ht="45" customHeight="1" thickBot="1" x14ac:dyDescent="0.4">
      <c r="A2009" s="103"/>
      <c r="B2009" s="103"/>
      <c r="C2009" s="103"/>
      <c r="D2009" s="103"/>
      <c r="E2009" s="103"/>
      <c r="F2009" s="103"/>
      <c r="G2009" s="103"/>
      <c r="H2009" s="103"/>
      <c r="I2009" s="103"/>
      <c r="J2009" s="103"/>
      <c r="K2009" s="103"/>
      <c r="L2009" s="103"/>
      <c r="M2009" s="104"/>
      <c r="N2009" s="103"/>
    </row>
    <row r="2010" spans="1:14" ht="45" customHeight="1" thickBot="1" x14ac:dyDescent="0.4">
      <c r="A2010" s="103"/>
      <c r="B2010" s="103"/>
      <c r="C2010" s="103"/>
      <c r="D2010" s="103"/>
      <c r="E2010" s="103"/>
      <c r="F2010" s="103"/>
      <c r="G2010" s="103"/>
      <c r="H2010" s="103"/>
      <c r="I2010" s="103"/>
      <c r="J2010" s="103"/>
      <c r="K2010" s="103"/>
      <c r="L2010" s="103"/>
      <c r="M2010" s="104"/>
      <c r="N2010" s="103"/>
    </row>
    <row r="2011" spans="1:14" ht="45" customHeight="1" thickBot="1" x14ac:dyDescent="0.4">
      <c r="A2011" s="103"/>
      <c r="B2011" s="103"/>
      <c r="C2011" s="103"/>
      <c r="D2011" s="103"/>
      <c r="E2011" s="103"/>
      <c r="F2011" s="103"/>
      <c r="G2011" s="103"/>
      <c r="H2011" s="103"/>
      <c r="I2011" s="103"/>
      <c r="J2011" s="103"/>
      <c r="K2011" s="103"/>
      <c r="L2011" s="103"/>
      <c r="M2011" s="104"/>
      <c r="N2011" s="103"/>
    </row>
    <row r="2012" spans="1:14" ht="45" customHeight="1" thickBot="1" x14ac:dyDescent="0.4">
      <c r="A2012" s="103"/>
      <c r="B2012" s="103"/>
      <c r="C2012" s="103"/>
      <c r="D2012" s="103"/>
      <c r="E2012" s="103"/>
      <c r="F2012" s="103"/>
      <c r="G2012" s="103"/>
      <c r="H2012" s="103"/>
      <c r="I2012" s="103"/>
      <c r="J2012" s="103"/>
      <c r="K2012" s="103"/>
      <c r="L2012" s="103"/>
      <c r="M2012" s="104"/>
      <c r="N2012" s="103"/>
    </row>
    <row r="2013" spans="1:14" ht="45" customHeight="1" thickBot="1" x14ac:dyDescent="0.4">
      <c r="A2013" s="103"/>
      <c r="B2013" s="103"/>
      <c r="C2013" s="103"/>
      <c r="D2013" s="103"/>
      <c r="E2013" s="103"/>
      <c r="F2013" s="103"/>
      <c r="G2013" s="103"/>
      <c r="H2013" s="103"/>
      <c r="I2013" s="103"/>
      <c r="J2013" s="103"/>
      <c r="K2013" s="103"/>
      <c r="L2013" s="103"/>
      <c r="M2013" s="104"/>
      <c r="N2013" s="103"/>
    </row>
    <row r="2014" spans="1:14" ht="45" customHeight="1" thickBot="1" x14ac:dyDescent="0.4">
      <c r="A2014" s="103"/>
      <c r="B2014" s="103"/>
      <c r="C2014" s="103"/>
      <c r="D2014" s="103"/>
      <c r="E2014" s="103"/>
      <c r="F2014" s="103"/>
      <c r="G2014" s="103"/>
      <c r="H2014" s="103"/>
      <c r="I2014" s="103"/>
      <c r="J2014" s="103"/>
      <c r="K2014" s="103"/>
      <c r="L2014" s="103"/>
      <c r="M2014" s="104"/>
      <c r="N2014" s="103"/>
    </row>
    <row r="2015" spans="1:14" ht="45" customHeight="1" thickBot="1" x14ac:dyDescent="0.4">
      <c r="A2015" s="103"/>
      <c r="B2015" s="103"/>
      <c r="C2015" s="103"/>
      <c r="D2015" s="103"/>
      <c r="E2015" s="103"/>
      <c r="F2015" s="103"/>
      <c r="G2015" s="103"/>
      <c r="H2015" s="103"/>
      <c r="I2015" s="103"/>
      <c r="J2015" s="103"/>
      <c r="K2015" s="103"/>
      <c r="L2015" s="103"/>
      <c r="M2015" s="104"/>
      <c r="N2015" s="103"/>
    </row>
    <row r="2016" spans="1:14" ht="45" customHeight="1" thickBot="1" x14ac:dyDescent="0.4">
      <c r="A2016" s="103"/>
      <c r="B2016" s="103"/>
      <c r="C2016" s="103"/>
      <c r="D2016" s="103"/>
      <c r="E2016" s="103"/>
      <c r="F2016" s="103"/>
      <c r="G2016" s="103"/>
      <c r="H2016" s="103"/>
      <c r="I2016" s="103"/>
      <c r="J2016" s="103"/>
      <c r="K2016" s="103"/>
      <c r="L2016" s="103"/>
      <c r="M2016" s="104"/>
      <c r="N2016" s="103"/>
    </row>
    <row r="2017" spans="1:14" ht="45" customHeight="1" thickBot="1" x14ac:dyDescent="0.4">
      <c r="A2017" s="103"/>
      <c r="B2017" s="103"/>
      <c r="C2017" s="103"/>
      <c r="D2017" s="103"/>
      <c r="E2017" s="103"/>
      <c r="F2017" s="103"/>
      <c r="G2017" s="103"/>
      <c r="H2017" s="103"/>
      <c r="I2017" s="103"/>
      <c r="J2017" s="103"/>
      <c r="K2017" s="103"/>
      <c r="L2017" s="103"/>
      <c r="M2017" s="104"/>
      <c r="N2017" s="103"/>
    </row>
    <row r="2018" spans="1:14" ht="45" customHeight="1" thickBot="1" x14ac:dyDescent="0.4">
      <c r="A2018" s="103"/>
      <c r="B2018" s="103"/>
      <c r="C2018" s="103"/>
      <c r="D2018" s="103"/>
      <c r="E2018" s="103"/>
      <c r="F2018" s="103"/>
      <c r="G2018" s="103"/>
      <c r="H2018" s="103"/>
      <c r="I2018" s="103"/>
      <c r="J2018" s="103"/>
      <c r="K2018" s="103"/>
      <c r="L2018" s="103"/>
      <c r="M2018" s="104"/>
      <c r="N2018" s="103"/>
    </row>
    <row r="2019" spans="1:14" ht="45" customHeight="1" thickBot="1" x14ac:dyDescent="0.4">
      <c r="A2019" s="103"/>
      <c r="B2019" s="103"/>
      <c r="C2019" s="103"/>
      <c r="D2019" s="103"/>
      <c r="E2019" s="103"/>
      <c r="F2019" s="103"/>
      <c r="G2019" s="103"/>
      <c r="H2019" s="103"/>
      <c r="I2019" s="103"/>
      <c r="J2019" s="103"/>
      <c r="K2019" s="103"/>
      <c r="L2019" s="103"/>
      <c r="M2019" s="104"/>
      <c r="N2019" s="103"/>
    </row>
    <row r="2020" spans="1:14" ht="45" customHeight="1" thickBot="1" x14ac:dyDescent="0.4">
      <c r="A2020" s="103"/>
      <c r="B2020" s="103"/>
      <c r="C2020" s="103"/>
      <c r="D2020" s="103"/>
      <c r="E2020" s="103"/>
      <c r="F2020" s="103"/>
      <c r="G2020" s="103"/>
      <c r="H2020" s="103"/>
      <c r="I2020" s="103"/>
      <c r="J2020" s="103"/>
      <c r="K2020" s="103"/>
      <c r="L2020" s="103"/>
      <c r="M2020" s="104"/>
      <c r="N2020" s="103"/>
    </row>
    <row r="2021" spans="1:14" ht="45" customHeight="1" thickBot="1" x14ac:dyDescent="0.4">
      <c r="A2021" s="103"/>
      <c r="B2021" s="103"/>
      <c r="C2021" s="103"/>
      <c r="D2021" s="103"/>
      <c r="E2021" s="103"/>
      <c r="F2021" s="103"/>
      <c r="G2021" s="103"/>
      <c r="H2021" s="103"/>
      <c r="I2021" s="103"/>
      <c r="J2021" s="103"/>
      <c r="K2021" s="103"/>
      <c r="L2021" s="103"/>
      <c r="M2021" s="104"/>
      <c r="N2021" s="103"/>
    </row>
    <row r="2022" spans="1:14" ht="45" customHeight="1" thickBot="1" x14ac:dyDescent="0.4">
      <c r="A2022" s="103"/>
      <c r="B2022" s="103"/>
      <c r="C2022" s="103"/>
      <c r="D2022" s="103"/>
      <c r="E2022" s="103"/>
      <c r="F2022" s="103"/>
      <c r="G2022" s="103"/>
      <c r="H2022" s="103"/>
      <c r="I2022" s="103"/>
      <c r="J2022" s="103"/>
      <c r="K2022" s="103"/>
      <c r="L2022" s="103"/>
      <c r="M2022" s="104"/>
      <c r="N2022" s="103"/>
    </row>
    <row r="2023" spans="1:14" ht="45" customHeight="1" thickBot="1" x14ac:dyDescent="0.4">
      <c r="A2023" s="103"/>
      <c r="B2023" s="103"/>
      <c r="C2023" s="103"/>
      <c r="D2023" s="103"/>
      <c r="E2023" s="103"/>
      <c r="F2023" s="103"/>
      <c r="G2023" s="103"/>
      <c r="H2023" s="103"/>
      <c r="I2023" s="103"/>
      <c r="J2023" s="103"/>
      <c r="K2023" s="103"/>
      <c r="L2023" s="103"/>
      <c r="M2023" s="104"/>
      <c r="N2023" s="103"/>
    </row>
    <row r="2024" spans="1:14" ht="45" customHeight="1" thickBot="1" x14ac:dyDescent="0.4">
      <c r="A2024" s="103"/>
      <c r="B2024" s="103"/>
      <c r="C2024" s="103"/>
      <c r="D2024" s="103"/>
      <c r="E2024" s="103"/>
      <c r="F2024" s="103"/>
      <c r="G2024" s="103"/>
      <c r="H2024" s="103"/>
      <c r="I2024" s="103"/>
      <c r="J2024" s="103"/>
      <c r="K2024" s="103"/>
      <c r="L2024" s="103"/>
      <c r="M2024" s="104"/>
      <c r="N2024" s="103"/>
    </row>
    <row r="2025" spans="1:14" ht="45" customHeight="1" thickBot="1" x14ac:dyDescent="0.4">
      <c r="A2025" s="103"/>
      <c r="B2025" s="103"/>
      <c r="C2025" s="103"/>
      <c r="D2025" s="103"/>
      <c r="E2025" s="103"/>
      <c r="F2025" s="103"/>
      <c r="G2025" s="103"/>
      <c r="H2025" s="103"/>
      <c r="I2025" s="103"/>
      <c r="J2025" s="103"/>
      <c r="K2025" s="103"/>
      <c r="L2025" s="103"/>
      <c r="M2025" s="104"/>
      <c r="N2025" s="103"/>
    </row>
    <row r="2026" spans="1:14" ht="45" customHeight="1" thickBot="1" x14ac:dyDescent="0.4">
      <c r="A2026" s="103"/>
      <c r="B2026" s="103"/>
      <c r="C2026" s="103"/>
      <c r="D2026" s="103"/>
      <c r="E2026" s="103"/>
      <c r="F2026" s="103"/>
      <c r="G2026" s="103"/>
      <c r="H2026" s="103"/>
      <c r="I2026" s="103"/>
      <c r="J2026" s="103"/>
      <c r="K2026" s="103"/>
      <c r="L2026" s="103"/>
      <c r="M2026" s="104"/>
      <c r="N2026" s="103"/>
    </row>
    <row r="2027" spans="1:14" ht="45" customHeight="1" thickBot="1" x14ac:dyDescent="0.4">
      <c r="A2027" s="103"/>
      <c r="B2027" s="103"/>
      <c r="C2027" s="103"/>
      <c r="D2027" s="103"/>
      <c r="E2027" s="103"/>
      <c r="F2027" s="103"/>
      <c r="G2027" s="103"/>
      <c r="H2027" s="103"/>
      <c r="I2027" s="103"/>
      <c r="J2027" s="103"/>
      <c r="K2027" s="103"/>
      <c r="L2027" s="103"/>
      <c r="M2027" s="104"/>
      <c r="N2027" s="103"/>
    </row>
    <row r="2028" spans="1:14" ht="45" customHeight="1" thickBot="1" x14ac:dyDescent="0.4">
      <c r="A2028" s="103"/>
      <c r="B2028" s="103"/>
      <c r="C2028" s="103"/>
      <c r="D2028" s="103"/>
      <c r="E2028" s="103"/>
      <c r="F2028" s="103"/>
      <c r="G2028" s="103"/>
      <c r="H2028" s="103"/>
      <c r="I2028" s="103"/>
      <c r="J2028" s="103"/>
      <c r="K2028" s="103"/>
      <c r="L2028" s="103"/>
      <c r="M2028" s="104"/>
      <c r="N2028" s="103"/>
    </row>
    <row r="2029" spans="1:14" ht="45" customHeight="1" thickBot="1" x14ac:dyDescent="0.4">
      <c r="A2029" s="103"/>
      <c r="B2029" s="103"/>
      <c r="C2029" s="103"/>
      <c r="D2029" s="103"/>
      <c r="E2029" s="103"/>
      <c r="F2029" s="103"/>
      <c r="G2029" s="103"/>
      <c r="H2029" s="103"/>
      <c r="I2029" s="103"/>
      <c r="J2029" s="103"/>
      <c r="K2029" s="103"/>
      <c r="L2029" s="103"/>
      <c r="M2029" s="104"/>
      <c r="N2029" s="103"/>
    </row>
    <row r="2030" spans="1:14" ht="45" customHeight="1" thickBot="1" x14ac:dyDescent="0.4">
      <c r="A2030" s="103"/>
      <c r="B2030" s="103"/>
      <c r="C2030" s="103"/>
      <c r="D2030" s="103"/>
      <c r="E2030" s="103"/>
      <c r="F2030" s="103"/>
      <c r="G2030" s="103"/>
      <c r="H2030" s="103"/>
      <c r="I2030" s="103"/>
      <c r="J2030" s="103"/>
      <c r="K2030" s="103"/>
      <c r="L2030" s="103"/>
      <c r="M2030" s="104"/>
      <c r="N2030" s="103"/>
    </row>
    <row r="2031" spans="1:14" ht="45" customHeight="1" thickBot="1" x14ac:dyDescent="0.4">
      <c r="A2031" s="103"/>
      <c r="B2031" s="103"/>
      <c r="C2031" s="103"/>
      <c r="D2031" s="103"/>
      <c r="E2031" s="103"/>
      <c r="F2031" s="103"/>
      <c r="G2031" s="103"/>
      <c r="H2031" s="103"/>
      <c r="I2031" s="103"/>
      <c r="J2031" s="103"/>
      <c r="K2031" s="103"/>
      <c r="L2031" s="103"/>
      <c r="M2031" s="104"/>
      <c r="N2031" s="103"/>
    </row>
    <row r="2032" spans="1:14" ht="45" customHeight="1" thickBot="1" x14ac:dyDescent="0.4">
      <c r="A2032" s="103"/>
      <c r="B2032" s="103"/>
      <c r="C2032" s="103"/>
      <c r="D2032" s="103"/>
      <c r="E2032" s="103"/>
      <c r="F2032" s="103"/>
      <c r="G2032" s="103"/>
      <c r="H2032" s="103"/>
      <c r="I2032" s="103"/>
      <c r="J2032" s="103"/>
      <c r="K2032" s="103"/>
      <c r="L2032" s="103"/>
      <c r="M2032" s="104"/>
      <c r="N2032" s="103"/>
    </row>
    <row r="2033" spans="1:14" ht="45" customHeight="1" thickBot="1" x14ac:dyDescent="0.4">
      <c r="A2033" s="103"/>
      <c r="B2033" s="103"/>
      <c r="C2033" s="103"/>
      <c r="D2033" s="103"/>
      <c r="E2033" s="103"/>
      <c r="F2033" s="103"/>
      <c r="G2033" s="103"/>
      <c r="H2033" s="103"/>
      <c r="I2033" s="103"/>
      <c r="J2033" s="103"/>
      <c r="K2033" s="103"/>
      <c r="L2033" s="103"/>
      <c r="M2033" s="104"/>
      <c r="N2033" s="103"/>
    </row>
    <row r="2034" spans="1:14" ht="45" customHeight="1" thickBot="1" x14ac:dyDescent="0.4">
      <c r="A2034" s="103"/>
      <c r="B2034" s="103"/>
      <c r="C2034" s="103"/>
      <c r="D2034" s="103"/>
      <c r="E2034" s="103"/>
      <c r="F2034" s="103"/>
      <c r="G2034" s="103"/>
      <c r="H2034" s="103"/>
      <c r="I2034" s="103"/>
      <c r="J2034" s="103"/>
      <c r="K2034" s="103"/>
      <c r="L2034" s="103"/>
      <c r="M2034" s="104"/>
      <c r="N2034" s="103"/>
    </row>
    <row r="2035" spans="1:14" ht="45" customHeight="1" thickBot="1" x14ac:dyDescent="0.4">
      <c r="A2035" s="103"/>
      <c r="B2035" s="103"/>
      <c r="C2035" s="103"/>
      <c r="D2035" s="103"/>
      <c r="E2035" s="103"/>
      <c r="F2035" s="103"/>
      <c r="G2035" s="103"/>
      <c r="H2035" s="103"/>
      <c r="I2035" s="103"/>
      <c r="J2035" s="103"/>
      <c r="K2035" s="103"/>
      <c r="L2035" s="103"/>
      <c r="M2035" s="104"/>
      <c r="N2035" s="103"/>
    </row>
    <row r="2036" spans="1:14" ht="45" customHeight="1" thickBot="1" x14ac:dyDescent="0.4">
      <c r="A2036" s="103"/>
      <c r="B2036" s="103"/>
      <c r="C2036" s="103"/>
      <c r="D2036" s="103"/>
      <c r="E2036" s="103"/>
      <c r="F2036" s="103"/>
      <c r="G2036" s="103"/>
      <c r="H2036" s="103"/>
      <c r="I2036" s="103"/>
      <c r="J2036" s="103"/>
      <c r="K2036" s="103"/>
      <c r="L2036" s="103"/>
      <c r="M2036" s="104"/>
      <c r="N2036" s="103"/>
    </row>
    <row r="2037" spans="1:14" ht="45" customHeight="1" thickBot="1" x14ac:dyDescent="0.4">
      <c r="A2037" s="103"/>
      <c r="B2037" s="103"/>
      <c r="C2037" s="103"/>
      <c r="D2037" s="103"/>
      <c r="E2037" s="103"/>
      <c r="F2037" s="103"/>
      <c r="G2037" s="103"/>
      <c r="H2037" s="103"/>
      <c r="I2037" s="103"/>
      <c r="J2037" s="103"/>
      <c r="K2037" s="103"/>
      <c r="L2037" s="103"/>
      <c r="M2037" s="104"/>
      <c r="N2037" s="103"/>
    </row>
    <row r="2038" spans="1:14" ht="45" customHeight="1" thickBot="1" x14ac:dyDescent="0.4">
      <c r="A2038" s="103"/>
      <c r="B2038" s="103"/>
      <c r="C2038" s="103"/>
      <c r="D2038" s="103"/>
      <c r="E2038" s="103"/>
      <c r="F2038" s="103"/>
      <c r="G2038" s="103"/>
      <c r="H2038" s="103"/>
      <c r="I2038" s="103"/>
      <c r="J2038" s="103"/>
      <c r="K2038" s="103"/>
      <c r="L2038" s="103"/>
      <c r="M2038" s="104"/>
      <c r="N2038" s="103"/>
    </row>
    <row r="2039" spans="1:14" ht="45" customHeight="1" thickBot="1" x14ac:dyDescent="0.4">
      <c r="A2039" s="103"/>
      <c r="B2039" s="103"/>
      <c r="C2039" s="103"/>
      <c r="D2039" s="103"/>
      <c r="E2039" s="103"/>
      <c r="F2039" s="103"/>
      <c r="G2039" s="103"/>
      <c r="H2039" s="103"/>
      <c r="I2039" s="103"/>
      <c r="J2039" s="103"/>
      <c r="K2039" s="103"/>
      <c r="L2039" s="103"/>
      <c r="M2039" s="104"/>
      <c r="N2039" s="103"/>
    </row>
    <row r="2040" spans="1:14" ht="45" customHeight="1" thickBot="1" x14ac:dyDescent="0.4">
      <c r="A2040" s="103"/>
      <c r="B2040" s="103"/>
      <c r="C2040" s="103"/>
      <c r="D2040" s="103"/>
      <c r="E2040" s="103"/>
      <c r="F2040" s="103"/>
      <c r="G2040" s="103"/>
      <c r="H2040" s="103"/>
      <c r="I2040" s="103"/>
      <c r="J2040" s="103"/>
      <c r="K2040" s="103"/>
      <c r="L2040" s="103"/>
      <c r="M2040" s="104"/>
      <c r="N2040" s="103"/>
    </row>
    <row r="2041" spans="1:14" ht="45" customHeight="1" thickBot="1" x14ac:dyDescent="0.4">
      <c r="A2041" s="103"/>
      <c r="B2041" s="103"/>
      <c r="C2041" s="103"/>
      <c r="D2041" s="103"/>
      <c r="E2041" s="103"/>
      <c r="F2041" s="103"/>
      <c r="G2041" s="103"/>
      <c r="H2041" s="103"/>
      <c r="I2041" s="103"/>
      <c r="J2041" s="103"/>
      <c r="K2041" s="103"/>
      <c r="L2041" s="103"/>
      <c r="M2041" s="104"/>
      <c r="N2041" s="103"/>
    </row>
    <row r="2042" spans="1:14" ht="45" customHeight="1" thickBot="1" x14ac:dyDescent="0.4">
      <c r="A2042" s="103"/>
      <c r="B2042" s="103"/>
      <c r="C2042" s="103"/>
      <c r="D2042" s="103"/>
      <c r="E2042" s="103"/>
      <c r="F2042" s="103"/>
      <c r="G2042" s="103"/>
      <c r="H2042" s="103"/>
      <c r="I2042" s="103"/>
      <c r="J2042" s="103"/>
      <c r="K2042" s="103"/>
      <c r="L2042" s="103"/>
      <c r="M2042" s="104"/>
      <c r="N2042" s="103"/>
    </row>
    <row r="2043" spans="1:14" ht="45" customHeight="1" thickBot="1" x14ac:dyDescent="0.4">
      <c r="A2043" s="103"/>
      <c r="B2043" s="103"/>
      <c r="C2043" s="103"/>
      <c r="D2043" s="103"/>
      <c r="E2043" s="103"/>
      <c r="F2043" s="103"/>
      <c r="G2043" s="103"/>
      <c r="H2043" s="103"/>
      <c r="I2043" s="103"/>
      <c r="J2043" s="103"/>
      <c r="K2043" s="103"/>
      <c r="L2043" s="103"/>
      <c r="M2043" s="104"/>
      <c r="N2043" s="103"/>
    </row>
    <row r="2044" spans="1:14" ht="45" customHeight="1" thickBot="1" x14ac:dyDescent="0.4">
      <c r="A2044" s="103"/>
      <c r="B2044" s="103"/>
      <c r="C2044" s="103"/>
      <c r="D2044" s="103"/>
      <c r="E2044" s="103"/>
      <c r="F2044" s="103"/>
      <c r="G2044" s="103"/>
      <c r="H2044" s="103"/>
      <c r="I2044" s="103"/>
      <c r="J2044" s="103"/>
      <c r="K2044" s="103"/>
      <c r="L2044" s="103"/>
      <c r="M2044" s="104"/>
      <c r="N2044" s="103"/>
    </row>
    <row r="2045" spans="1:14" ht="45" customHeight="1" thickBot="1" x14ac:dyDescent="0.4">
      <c r="A2045" s="103"/>
      <c r="B2045" s="103"/>
      <c r="C2045" s="103"/>
      <c r="D2045" s="103"/>
      <c r="E2045" s="103"/>
      <c r="F2045" s="103"/>
      <c r="G2045" s="103"/>
      <c r="H2045" s="103"/>
      <c r="I2045" s="103"/>
      <c r="J2045" s="103"/>
      <c r="K2045" s="103"/>
      <c r="L2045" s="103"/>
      <c r="M2045" s="104"/>
      <c r="N2045" s="103"/>
    </row>
    <row r="2046" spans="1:14" ht="45" customHeight="1" thickBot="1" x14ac:dyDescent="0.4">
      <c r="A2046" s="103"/>
      <c r="B2046" s="103"/>
      <c r="C2046" s="103"/>
      <c r="D2046" s="103"/>
      <c r="E2046" s="103"/>
      <c r="F2046" s="103"/>
      <c r="G2046" s="103"/>
      <c r="H2046" s="103"/>
      <c r="I2046" s="103"/>
      <c r="J2046" s="103"/>
      <c r="K2046" s="103"/>
      <c r="L2046" s="103"/>
      <c r="M2046" s="104"/>
      <c r="N2046" s="103"/>
    </row>
    <row r="2047" spans="1:14" ht="45" customHeight="1" thickBot="1" x14ac:dyDescent="0.4">
      <c r="A2047" s="103"/>
      <c r="B2047" s="103"/>
      <c r="C2047" s="103"/>
      <c r="D2047" s="103"/>
      <c r="E2047" s="103"/>
      <c r="F2047" s="103"/>
      <c r="G2047" s="103"/>
      <c r="H2047" s="103"/>
      <c r="I2047" s="103"/>
      <c r="J2047" s="103"/>
      <c r="K2047" s="103"/>
      <c r="L2047" s="103"/>
      <c r="M2047" s="104"/>
      <c r="N2047" s="103"/>
    </row>
    <row r="2048" spans="1:14" ht="45" customHeight="1" thickBot="1" x14ac:dyDescent="0.4">
      <c r="A2048" s="103"/>
      <c r="B2048" s="103"/>
      <c r="C2048" s="103"/>
      <c r="D2048" s="103"/>
      <c r="E2048" s="103"/>
      <c r="F2048" s="103"/>
      <c r="G2048" s="103"/>
      <c r="H2048" s="103"/>
      <c r="I2048" s="103"/>
      <c r="J2048" s="103"/>
      <c r="K2048" s="103"/>
      <c r="L2048" s="103"/>
      <c r="M2048" s="104"/>
      <c r="N2048" s="103"/>
    </row>
    <row r="2049" spans="1:14" ht="45" customHeight="1" thickBot="1" x14ac:dyDescent="0.4">
      <c r="A2049" s="103"/>
      <c r="B2049" s="103"/>
      <c r="C2049" s="103"/>
      <c r="D2049" s="103"/>
      <c r="E2049" s="103"/>
      <c r="F2049" s="103"/>
      <c r="G2049" s="103"/>
      <c r="H2049" s="103"/>
      <c r="I2049" s="103"/>
      <c r="J2049" s="103"/>
      <c r="K2049" s="103"/>
      <c r="L2049" s="103"/>
      <c r="M2049" s="104"/>
      <c r="N2049" s="103"/>
    </row>
    <row r="2050" spans="1:14" ht="45" customHeight="1" thickBot="1" x14ac:dyDescent="0.4">
      <c r="A2050" s="103"/>
      <c r="B2050" s="103"/>
      <c r="C2050" s="103"/>
      <c r="D2050" s="103"/>
      <c r="E2050" s="103"/>
      <c r="F2050" s="103"/>
      <c r="G2050" s="103"/>
      <c r="H2050" s="103"/>
      <c r="I2050" s="103"/>
      <c r="J2050" s="103"/>
      <c r="K2050" s="103"/>
      <c r="L2050" s="103"/>
      <c r="M2050" s="104"/>
      <c r="N2050" s="103"/>
    </row>
    <row r="2051" spans="1:14" ht="45" customHeight="1" thickBot="1" x14ac:dyDescent="0.4">
      <c r="A2051" s="103"/>
      <c r="B2051" s="103"/>
      <c r="C2051" s="103"/>
      <c r="D2051" s="103"/>
      <c r="E2051" s="103"/>
      <c r="F2051" s="103"/>
      <c r="G2051" s="103"/>
      <c r="H2051" s="103"/>
      <c r="I2051" s="103"/>
      <c r="J2051" s="103"/>
      <c r="K2051" s="103"/>
      <c r="L2051" s="103"/>
      <c r="M2051" s="104"/>
      <c r="N2051" s="103"/>
    </row>
    <row r="2052" spans="1:14" ht="45" customHeight="1" thickBot="1" x14ac:dyDescent="0.4">
      <c r="A2052" s="103"/>
      <c r="B2052" s="103"/>
      <c r="C2052" s="103"/>
      <c r="D2052" s="103"/>
      <c r="E2052" s="103"/>
      <c r="F2052" s="103"/>
      <c r="G2052" s="103"/>
      <c r="H2052" s="103"/>
      <c r="I2052" s="103"/>
      <c r="J2052" s="103"/>
      <c r="K2052" s="103"/>
      <c r="L2052" s="103"/>
      <c r="M2052" s="104"/>
      <c r="N2052" s="103"/>
    </row>
    <row r="2053" spans="1:14" ht="45" customHeight="1" thickBot="1" x14ac:dyDescent="0.4">
      <c r="A2053" s="103"/>
      <c r="B2053" s="103"/>
      <c r="C2053" s="103"/>
      <c r="D2053" s="103"/>
      <c r="E2053" s="103"/>
      <c r="F2053" s="103"/>
      <c r="G2053" s="103"/>
      <c r="H2053" s="103"/>
      <c r="I2053" s="103"/>
      <c r="J2053" s="103"/>
      <c r="K2053" s="103"/>
      <c r="L2053" s="103"/>
      <c r="M2053" s="104"/>
      <c r="N2053" s="103"/>
    </row>
    <row r="2054" spans="1:14" ht="45" customHeight="1" thickBot="1" x14ac:dyDescent="0.4">
      <c r="A2054" s="103"/>
      <c r="B2054" s="103"/>
      <c r="C2054" s="103"/>
      <c r="D2054" s="103"/>
      <c r="E2054" s="103"/>
      <c r="F2054" s="103"/>
      <c r="G2054" s="103"/>
      <c r="H2054" s="103"/>
      <c r="I2054" s="103"/>
      <c r="J2054" s="103"/>
      <c r="K2054" s="103"/>
      <c r="L2054" s="103"/>
      <c r="M2054" s="104"/>
      <c r="N2054" s="103"/>
    </row>
    <row r="2055" spans="1:14" ht="45" customHeight="1" thickBot="1" x14ac:dyDescent="0.4">
      <c r="A2055" s="103"/>
      <c r="B2055" s="103"/>
      <c r="C2055" s="103"/>
      <c r="D2055" s="103"/>
      <c r="E2055" s="103"/>
      <c r="F2055" s="103"/>
      <c r="G2055" s="103"/>
      <c r="H2055" s="103"/>
      <c r="I2055" s="103"/>
      <c r="J2055" s="103"/>
      <c r="K2055" s="103"/>
      <c r="L2055" s="103"/>
      <c r="M2055" s="104"/>
      <c r="N2055" s="103"/>
    </row>
    <row r="2056" spans="1:14" ht="45" customHeight="1" thickBot="1" x14ac:dyDescent="0.4">
      <c r="A2056" s="103"/>
      <c r="B2056" s="103"/>
      <c r="C2056" s="103"/>
      <c r="D2056" s="103"/>
      <c r="E2056" s="103"/>
      <c r="F2056" s="103"/>
      <c r="G2056" s="103"/>
      <c r="H2056" s="103"/>
      <c r="I2056" s="103"/>
      <c r="J2056" s="103"/>
      <c r="K2056" s="103"/>
      <c r="L2056" s="103"/>
      <c r="M2056" s="104"/>
      <c r="N2056" s="103"/>
    </row>
    <row r="2057" spans="1:14" ht="45" customHeight="1" thickBot="1" x14ac:dyDescent="0.4">
      <c r="A2057" s="103"/>
      <c r="B2057" s="103"/>
      <c r="C2057" s="103"/>
      <c r="D2057" s="103"/>
      <c r="E2057" s="103"/>
      <c r="F2057" s="103"/>
      <c r="G2057" s="103"/>
      <c r="H2057" s="103"/>
      <c r="I2057" s="103"/>
      <c r="J2057" s="103"/>
      <c r="K2057" s="103"/>
      <c r="L2057" s="103"/>
      <c r="M2057" s="104"/>
      <c r="N2057" s="103"/>
    </row>
    <row r="2058" spans="1:14" ht="45" customHeight="1" thickBot="1" x14ac:dyDescent="0.4">
      <c r="A2058" s="103"/>
      <c r="B2058" s="103"/>
      <c r="C2058" s="103"/>
      <c r="D2058" s="103"/>
      <c r="E2058" s="103"/>
      <c r="F2058" s="103"/>
      <c r="G2058" s="103"/>
      <c r="H2058" s="103"/>
      <c r="I2058" s="103"/>
      <c r="J2058" s="103"/>
      <c r="K2058" s="103"/>
      <c r="L2058" s="103"/>
      <c r="M2058" s="104"/>
      <c r="N2058" s="103"/>
    </row>
    <row r="2059" spans="1:14" ht="45" customHeight="1" thickBot="1" x14ac:dyDescent="0.4">
      <c r="A2059" s="103"/>
      <c r="B2059" s="103"/>
      <c r="C2059" s="103"/>
      <c r="D2059" s="103"/>
      <c r="E2059" s="103"/>
      <c r="F2059" s="103"/>
      <c r="G2059" s="103"/>
      <c r="H2059" s="103"/>
      <c r="I2059" s="103"/>
      <c r="J2059" s="103"/>
      <c r="K2059" s="103"/>
      <c r="L2059" s="103"/>
      <c r="M2059" s="104"/>
      <c r="N2059" s="103"/>
    </row>
    <row r="2060" spans="1:14" ht="45" customHeight="1" thickBot="1" x14ac:dyDescent="0.4">
      <c r="A2060" s="103"/>
      <c r="B2060" s="103"/>
      <c r="C2060" s="103"/>
      <c r="D2060" s="103"/>
      <c r="E2060" s="103"/>
      <c r="F2060" s="103"/>
      <c r="G2060" s="103"/>
      <c r="H2060" s="103"/>
      <c r="I2060" s="103"/>
      <c r="J2060" s="103"/>
      <c r="K2060" s="103"/>
      <c r="L2060" s="103"/>
      <c r="M2060" s="104"/>
      <c r="N2060" s="103"/>
    </row>
    <row r="2061" spans="1:14" ht="45" customHeight="1" thickBot="1" x14ac:dyDescent="0.4">
      <c r="A2061" s="103"/>
      <c r="B2061" s="103"/>
      <c r="C2061" s="103"/>
      <c r="D2061" s="103"/>
      <c r="E2061" s="103"/>
      <c r="F2061" s="103"/>
      <c r="G2061" s="103"/>
      <c r="H2061" s="103"/>
      <c r="I2061" s="103"/>
      <c r="J2061" s="103"/>
      <c r="K2061" s="103"/>
      <c r="L2061" s="103"/>
      <c r="M2061" s="104"/>
      <c r="N2061" s="103"/>
    </row>
    <row r="2062" spans="1:14" ht="45" customHeight="1" thickBot="1" x14ac:dyDescent="0.4">
      <c r="A2062" s="103"/>
      <c r="B2062" s="103"/>
      <c r="C2062" s="103"/>
      <c r="D2062" s="103"/>
      <c r="E2062" s="103"/>
      <c r="F2062" s="103"/>
      <c r="G2062" s="103"/>
      <c r="H2062" s="103"/>
      <c r="I2062" s="103"/>
      <c r="J2062" s="103"/>
      <c r="K2062" s="103"/>
      <c r="L2062" s="103"/>
      <c r="M2062" s="104"/>
      <c r="N2062" s="103"/>
    </row>
    <row r="2063" spans="1:14" ht="45" customHeight="1" thickBot="1" x14ac:dyDescent="0.4">
      <c r="A2063" s="103"/>
      <c r="B2063" s="103"/>
      <c r="C2063" s="103"/>
      <c r="D2063" s="103"/>
      <c r="E2063" s="103"/>
      <c r="F2063" s="103"/>
      <c r="G2063" s="103"/>
      <c r="H2063" s="103"/>
      <c r="I2063" s="103"/>
      <c r="J2063" s="103"/>
      <c r="K2063" s="103"/>
      <c r="L2063" s="103"/>
      <c r="M2063" s="104"/>
      <c r="N2063" s="103"/>
    </row>
    <row r="2064" spans="1:14" ht="45" customHeight="1" thickBot="1" x14ac:dyDescent="0.4">
      <c r="A2064" s="103"/>
      <c r="B2064" s="103"/>
      <c r="C2064" s="103"/>
      <c r="D2064" s="103"/>
      <c r="E2064" s="103"/>
      <c r="F2064" s="103"/>
      <c r="G2064" s="103"/>
      <c r="H2064" s="103"/>
      <c r="I2064" s="103"/>
      <c r="J2064" s="103"/>
      <c r="K2064" s="103"/>
      <c r="L2064" s="103"/>
      <c r="M2064" s="104"/>
      <c r="N2064" s="103"/>
    </row>
    <row r="2065" spans="1:14" ht="45" customHeight="1" thickBot="1" x14ac:dyDescent="0.4">
      <c r="A2065" s="103"/>
      <c r="B2065" s="103"/>
      <c r="C2065" s="103"/>
      <c r="D2065" s="103"/>
      <c r="E2065" s="103"/>
      <c r="F2065" s="103"/>
      <c r="G2065" s="103"/>
      <c r="H2065" s="103"/>
      <c r="I2065" s="103"/>
      <c r="J2065" s="103"/>
      <c r="K2065" s="103"/>
      <c r="L2065" s="103"/>
      <c r="M2065" s="104"/>
      <c r="N2065" s="103"/>
    </row>
    <row r="2066" spans="1:14" ht="45" customHeight="1" thickBot="1" x14ac:dyDescent="0.4">
      <c r="A2066" s="103"/>
      <c r="B2066" s="103"/>
      <c r="C2066" s="103"/>
      <c r="D2066" s="103"/>
      <c r="E2066" s="103"/>
      <c r="F2066" s="103"/>
      <c r="G2066" s="103"/>
      <c r="H2066" s="103"/>
      <c r="I2066" s="103"/>
      <c r="J2066" s="103"/>
      <c r="K2066" s="103"/>
      <c r="L2066" s="103"/>
      <c r="M2066" s="104"/>
      <c r="N2066" s="103"/>
    </row>
    <row r="2067" spans="1:14" ht="45" customHeight="1" thickBot="1" x14ac:dyDescent="0.4">
      <c r="A2067" s="103"/>
      <c r="B2067" s="103"/>
      <c r="C2067" s="103"/>
      <c r="D2067" s="103"/>
      <c r="E2067" s="103"/>
      <c r="F2067" s="103"/>
      <c r="G2067" s="103"/>
      <c r="H2067" s="103"/>
      <c r="I2067" s="103"/>
      <c r="J2067" s="103"/>
      <c r="K2067" s="103"/>
      <c r="L2067" s="103"/>
      <c r="M2067" s="104"/>
      <c r="N2067" s="103"/>
    </row>
    <row r="2068" spans="1:14" ht="45" customHeight="1" thickBot="1" x14ac:dyDescent="0.4">
      <c r="A2068" s="103"/>
      <c r="B2068" s="103"/>
      <c r="C2068" s="103"/>
      <c r="D2068" s="103"/>
      <c r="E2068" s="103"/>
      <c r="F2068" s="103"/>
      <c r="G2068" s="103"/>
      <c r="H2068" s="103"/>
      <c r="I2068" s="103"/>
      <c r="J2068" s="103"/>
      <c r="K2068" s="103"/>
      <c r="L2068" s="103"/>
      <c r="M2068" s="104"/>
      <c r="N2068" s="103"/>
    </row>
    <row r="2069" spans="1:14" ht="45" customHeight="1" thickBot="1" x14ac:dyDescent="0.4">
      <c r="A2069" s="103"/>
      <c r="B2069" s="103"/>
      <c r="C2069" s="103"/>
      <c r="D2069" s="103"/>
      <c r="E2069" s="103"/>
      <c r="F2069" s="103"/>
      <c r="G2069" s="103"/>
      <c r="H2069" s="103"/>
      <c r="I2069" s="103"/>
      <c r="J2069" s="103"/>
      <c r="K2069" s="103"/>
      <c r="L2069" s="103"/>
      <c r="M2069" s="104"/>
      <c r="N2069" s="103"/>
    </row>
    <row r="2070" spans="1:14" ht="45" customHeight="1" thickBot="1" x14ac:dyDescent="0.4">
      <c r="A2070" s="103"/>
      <c r="B2070" s="103"/>
      <c r="C2070" s="103"/>
      <c r="D2070" s="103"/>
      <c r="E2070" s="103"/>
      <c r="F2070" s="103"/>
      <c r="G2070" s="103"/>
      <c r="H2070" s="103"/>
      <c r="I2070" s="103"/>
      <c r="J2070" s="103"/>
      <c r="K2070" s="103"/>
      <c r="L2070" s="103"/>
      <c r="M2070" s="104"/>
      <c r="N2070" s="103"/>
    </row>
    <row r="2071" spans="1:14" ht="45" customHeight="1" thickBot="1" x14ac:dyDescent="0.4">
      <c r="A2071" s="103"/>
      <c r="B2071" s="103"/>
      <c r="C2071" s="103"/>
      <c r="D2071" s="103"/>
      <c r="E2071" s="103"/>
      <c r="F2071" s="103"/>
      <c r="G2071" s="103"/>
      <c r="H2071" s="103"/>
      <c r="I2071" s="103"/>
      <c r="J2071" s="103"/>
      <c r="K2071" s="103"/>
      <c r="L2071" s="103"/>
      <c r="M2071" s="104"/>
      <c r="N2071" s="103"/>
    </row>
    <row r="2072" spans="1:14" ht="45" customHeight="1" thickBot="1" x14ac:dyDescent="0.4">
      <c r="A2072" s="103"/>
      <c r="B2072" s="103"/>
      <c r="C2072" s="103"/>
      <c r="D2072" s="103"/>
      <c r="E2072" s="103"/>
      <c r="F2072" s="103"/>
      <c r="G2072" s="103"/>
      <c r="H2072" s="103"/>
      <c r="I2072" s="103"/>
      <c r="J2072" s="103"/>
      <c r="K2072" s="103"/>
      <c r="L2072" s="103"/>
      <c r="M2072" s="104"/>
      <c r="N2072" s="103"/>
    </row>
    <row r="2073" spans="1:14" ht="45" customHeight="1" thickBot="1" x14ac:dyDescent="0.4">
      <c r="A2073" s="103"/>
      <c r="B2073" s="103"/>
      <c r="C2073" s="103"/>
      <c r="D2073" s="103"/>
      <c r="E2073" s="103"/>
      <c r="F2073" s="103"/>
      <c r="G2073" s="103"/>
      <c r="H2073" s="103"/>
      <c r="I2073" s="103"/>
      <c r="J2073" s="103"/>
      <c r="K2073" s="103"/>
      <c r="L2073" s="103"/>
      <c r="M2073" s="104"/>
      <c r="N2073" s="103"/>
    </row>
    <row r="2074" spans="1:14" ht="45" customHeight="1" thickBot="1" x14ac:dyDescent="0.4">
      <c r="A2074" s="103"/>
      <c r="B2074" s="103"/>
      <c r="C2074" s="103"/>
      <c r="D2074" s="103"/>
      <c r="E2074" s="103"/>
      <c r="F2074" s="103"/>
      <c r="G2074" s="103"/>
      <c r="H2074" s="103"/>
      <c r="I2074" s="103"/>
      <c r="J2074" s="103"/>
      <c r="K2074" s="103"/>
      <c r="L2074" s="103"/>
      <c r="M2074" s="104"/>
      <c r="N2074" s="103"/>
    </row>
    <row r="2075" spans="1:14" ht="45" customHeight="1" thickBot="1" x14ac:dyDescent="0.4">
      <c r="A2075" s="103"/>
      <c r="B2075" s="103"/>
      <c r="C2075" s="103"/>
      <c r="D2075" s="103"/>
      <c r="E2075" s="103"/>
      <c r="F2075" s="103"/>
      <c r="G2075" s="103"/>
      <c r="H2075" s="103"/>
      <c r="I2075" s="103"/>
      <c r="J2075" s="103"/>
      <c r="K2075" s="103"/>
      <c r="L2075" s="103"/>
      <c r="M2075" s="104"/>
      <c r="N2075" s="103"/>
    </row>
    <row r="2076" spans="1:14" ht="45" customHeight="1" thickBot="1" x14ac:dyDescent="0.4">
      <c r="A2076" s="103"/>
      <c r="B2076" s="103"/>
      <c r="C2076" s="103"/>
      <c r="D2076" s="103"/>
      <c r="E2076" s="103"/>
      <c r="F2076" s="103"/>
      <c r="G2076" s="103"/>
      <c r="H2076" s="103"/>
      <c r="I2076" s="103"/>
      <c r="J2076" s="103"/>
      <c r="K2076" s="103"/>
      <c r="L2076" s="103"/>
      <c r="M2076" s="104"/>
      <c r="N2076" s="103"/>
    </row>
    <row r="2077" spans="1:14" ht="45" customHeight="1" thickBot="1" x14ac:dyDescent="0.4">
      <c r="A2077" s="103"/>
      <c r="B2077" s="103"/>
      <c r="C2077" s="103"/>
      <c r="D2077" s="103"/>
      <c r="E2077" s="103"/>
      <c r="F2077" s="103"/>
      <c r="G2077" s="103"/>
      <c r="H2077" s="103"/>
      <c r="I2077" s="103"/>
      <c r="J2077" s="103"/>
      <c r="K2077" s="103"/>
      <c r="L2077" s="103"/>
      <c r="M2077" s="104"/>
      <c r="N2077" s="103"/>
    </row>
    <row r="2078" spans="1:14" ht="45" customHeight="1" thickBot="1" x14ac:dyDescent="0.4">
      <c r="A2078" s="103"/>
      <c r="B2078" s="103"/>
      <c r="C2078" s="103"/>
      <c r="D2078" s="103"/>
      <c r="E2078" s="103"/>
      <c r="F2078" s="103"/>
      <c r="G2078" s="103"/>
      <c r="H2078" s="103"/>
      <c r="I2078" s="103"/>
      <c r="J2078" s="103"/>
      <c r="K2078" s="103"/>
      <c r="L2078" s="103"/>
      <c r="M2078" s="104"/>
      <c r="N2078" s="103"/>
    </row>
    <row r="2079" spans="1:14" ht="45" customHeight="1" thickBot="1" x14ac:dyDescent="0.4">
      <c r="A2079" s="103"/>
      <c r="B2079" s="103"/>
      <c r="C2079" s="103"/>
      <c r="D2079" s="103"/>
      <c r="E2079" s="103"/>
      <c r="F2079" s="103"/>
      <c r="G2079" s="103"/>
      <c r="H2079" s="103"/>
      <c r="I2079" s="103"/>
      <c r="J2079" s="103"/>
      <c r="K2079" s="103"/>
      <c r="L2079" s="103"/>
      <c r="M2079" s="104"/>
      <c r="N2079" s="103"/>
    </row>
    <row r="2080" spans="1:14" ht="45" customHeight="1" thickBot="1" x14ac:dyDescent="0.4">
      <c r="A2080" s="103"/>
      <c r="B2080" s="103"/>
      <c r="C2080" s="103"/>
      <c r="D2080" s="103"/>
      <c r="E2080" s="103"/>
      <c r="F2080" s="103"/>
      <c r="G2080" s="103"/>
      <c r="H2080" s="103"/>
      <c r="I2080" s="103"/>
      <c r="J2080" s="103"/>
      <c r="K2080" s="103"/>
      <c r="L2080" s="103"/>
      <c r="M2080" s="104"/>
      <c r="N2080" s="103"/>
    </row>
    <row r="2081" spans="1:14" ht="45" customHeight="1" thickBot="1" x14ac:dyDescent="0.4">
      <c r="A2081" s="103"/>
      <c r="B2081" s="103"/>
      <c r="C2081" s="103"/>
      <c r="D2081" s="103"/>
      <c r="E2081" s="103"/>
      <c r="F2081" s="103"/>
      <c r="G2081" s="103"/>
      <c r="H2081" s="103"/>
      <c r="I2081" s="103"/>
      <c r="J2081" s="103"/>
      <c r="K2081" s="103"/>
      <c r="L2081" s="103"/>
      <c r="M2081" s="104"/>
      <c r="N2081" s="103"/>
    </row>
    <row r="2082" spans="1:14" ht="45" customHeight="1" thickBot="1" x14ac:dyDescent="0.4">
      <c r="A2082" s="103"/>
      <c r="B2082" s="103"/>
      <c r="C2082" s="103"/>
      <c r="D2082" s="103"/>
      <c r="E2082" s="103"/>
      <c r="F2082" s="103"/>
      <c r="G2082" s="103"/>
      <c r="H2082" s="103"/>
      <c r="I2082" s="103"/>
      <c r="J2082" s="103"/>
      <c r="K2082" s="103"/>
      <c r="L2082" s="103"/>
      <c r="M2082" s="104"/>
      <c r="N2082" s="103"/>
    </row>
    <row r="2083" spans="1:14" ht="45" customHeight="1" thickBot="1" x14ac:dyDescent="0.4">
      <c r="A2083" s="103"/>
      <c r="B2083" s="103"/>
      <c r="C2083" s="103"/>
      <c r="D2083" s="103"/>
      <c r="E2083" s="103"/>
      <c r="F2083" s="103"/>
      <c r="G2083" s="103"/>
      <c r="H2083" s="103"/>
      <c r="I2083" s="103"/>
      <c r="J2083" s="103"/>
      <c r="K2083" s="103"/>
      <c r="L2083" s="103"/>
      <c r="M2083" s="104"/>
      <c r="N2083" s="103"/>
    </row>
    <row r="2084" spans="1:14" ht="45" customHeight="1" thickBot="1" x14ac:dyDescent="0.4">
      <c r="A2084" s="103"/>
      <c r="B2084" s="103"/>
      <c r="C2084" s="103"/>
      <c r="D2084" s="103"/>
      <c r="E2084" s="103"/>
      <c r="F2084" s="103"/>
      <c r="G2084" s="103"/>
      <c r="H2084" s="103"/>
      <c r="I2084" s="103"/>
      <c r="J2084" s="103"/>
      <c r="K2084" s="103"/>
      <c r="L2084" s="103"/>
      <c r="M2084" s="104"/>
      <c r="N2084" s="103"/>
    </row>
    <row r="2085" spans="1:14" ht="45" customHeight="1" thickBot="1" x14ac:dyDescent="0.4">
      <c r="A2085" s="103"/>
      <c r="B2085" s="103"/>
      <c r="C2085" s="103"/>
      <c r="D2085" s="103"/>
      <c r="E2085" s="103"/>
      <c r="F2085" s="103"/>
      <c r="G2085" s="103"/>
      <c r="H2085" s="103"/>
      <c r="I2085" s="103"/>
      <c r="J2085" s="103"/>
      <c r="K2085" s="103"/>
      <c r="L2085" s="103"/>
      <c r="M2085" s="104"/>
      <c r="N2085" s="103"/>
    </row>
    <row r="2086" spans="1:14" ht="45" customHeight="1" thickBot="1" x14ac:dyDescent="0.4">
      <c r="A2086" s="103"/>
      <c r="B2086" s="103"/>
      <c r="C2086" s="103"/>
      <c r="D2086" s="103"/>
      <c r="E2086" s="103"/>
      <c r="F2086" s="103"/>
      <c r="G2086" s="103"/>
      <c r="H2086" s="103"/>
      <c r="I2086" s="103"/>
      <c r="J2086" s="103"/>
      <c r="K2086" s="103"/>
      <c r="L2086" s="103"/>
      <c r="M2086" s="104"/>
      <c r="N2086" s="103"/>
    </row>
    <row r="2087" spans="1:14" ht="45" customHeight="1" thickBot="1" x14ac:dyDescent="0.4">
      <c r="A2087" s="103"/>
      <c r="B2087" s="103"/>
      <c r="C2087" s="103"/>
      <c r="D2087" s="103"/>
      <c r="E2087" s="103"/>
      <c r="F2087" s="103"/>
      <c r="G2087" s="103"/>
      <c r="H2087" s="103"/>
      <c r="I2087" s="103"/>
      <c r="J2087" s="103"/>
      <c r="K2087" s="103"/>
      <c r="L2087" s="103"/>
      <c r="M2087" s="104"/>
      <c r="N2087" s="103"/>
    </row>
    <row r="2088" spans="1:14" ht="45" customHeight="1" thickBot="1" x14ac:dyDescent="0.4">
      <c r="A2088" s="103"/>
      <c r="B2088" s="103"/>
      <c r="C2088" s="103"/>
      <c r="D2088" s="103"/>
      <c r="E2088" s="103"/>
      <c r="F2088" s="103"/>
      <c r="G2088" s="103"/>
      <c r="H2088" s="103"/>
      <c r="I2088" s="103"/>
      <c r="J2088" s="103"/>
      <c r="K2088" s="103"/>
      <c r="L2088" s="103"/>
      <c r="M2088" s="104"/>
      <c r="N2088" s="103"/>
    </row>
    <row r="2089" spans="1:14" ht="45" customHeight="1" thickBot="1" x14ac:dyDescent="0.4">
      <c r="A2089" s="103"/>
      <c r="B2089" s="103"/>
      <c r="C2089" s="103"/>
      <c r="D2089" s="103"/>
      <c r="E2089" s="103"/>
      <c r="F2089" s="103"/>
      <c r="G2089" s="103"/>
      <c r="H2089" s="103"/>
      <c r="I2089" s="103"/>
      <c r="J2089" s="103"/>
      <c r="K2089" s="103"/>
      <c r="L2089" s="103"/>
      <c r="M2089" s="104"/>
      <c r="N2089" s="103"/>
    </row>
    <row r="2090" spans="1:14" ht="45" customHeight="1" thickBot="1" x14ac:dyDescent="0.4">
      <c r="A2090" s="103"/>
      <c r="B2090" s="103"/>
      <c r="C2090" s="103"/>
      <c r="D2090" s="103"/>
      <c r="E2090" s="103"/>
      <c r="F2090" s="103"/>
      <c r="G2090" s="103"/>
      <c r="H2090" s="103"/>
      <c r="I2090" s="103"/>
      <c r="J2090" s="103"/>
      <c r="K2090" s="103"/>
      <c r="L2090" s="103"/>
      <c r="M2090" s="104"/>
      <c r="N2090" s="103"/>
    </row>
    <row r="2091" spans="1:14" ht="45" customHeight="1" thickBot="1" x14ac:dyDescent="0.4">
      <c r="A2091" s="103"/>
      <c r="B2091" s="103"/>
      <c r="C2091" s="103"/>
      <c r="D2091" s="103"/>
      <c r="E2091" s="103"/>
      <c r="F2091" s="103"/>
      <c r="G2091" s="103"/>
      <c r="H2091" s="103"/>
      <c r="I2091" s="103"/>
      <c r="J2091" s="103"/>
      <c r="K2091" s="103"/>
      <c r="L2091" s="103"/>
      <c r="M2091" s="104"/>
      <c r="N2091" s="103"/>
    </row>
    <row r="2092" spans="1:14" ht="45" customHeight="1" thickBot="1" x14ac:dyDescent="0.4">
      <c r="A2092" s="103"/>
      <c r="B2092" s="103"/>
      <c r="C2092" s="103"/>
      <c r="D2092" s="103"/>
      <c r="E2092" s="103"/>
      <c r="F2092" s="103"/>
      <c r="G2092" s="103"/>
      <c r="H2092" s="103"/>
      <c r="I2092" s="103"/>
      <c r="J2092" s="103"/>
      <c r="K2092" s="103"/>
      <c r="L2092" s="103"/>
      <c r="M2092" s="104"/>
      <c r="N2092" s="103"/>
    </row>
    <row r="2093" spans="1:14" ht="45" customHeight="1" thickBot="1" x14ac:dyDescent="0.4">
      <c r="A2093" s="103"/>
      <c r="B2093" s="103"/>
      <c r="C2093" s="103"/>
      <c r="D2093" s="103"/>
      <c r="E2093" s="103"/>
      <c r="F2093" s="103"/>
      <c r="G2093" s="103"/>
      <c r="H2093" s="103"/>
      <c r="I2093" s="103"/>
      <c r="J2093" s="103"/>
      <c r="K2093" s="103"/>
      <c r="L2093" s="103"/>
      <c r="M2093" s="104"/>
      <c r="N2093" s="103"/>
    </row>
    <row r="2094" spans="1:14" ht="45" customHeight="1" thickBot="1" x14ac:dyDescent="0.4">
      <c r="A2094" s="103"/>
      <c r="B2094" s="103"/>
      <c r="C2094" s="103"/>
      <c r="D2094" s="103"/>
      <c r="E2094" s="103"/>
      <c r="F2094" s="103"/>
      <c r="G2094" s="103"/>
      <c r="H2094" s="103"/>
      <c r="I2094" s="103"/>
      <c r="J2094" s="103"/>
      <c r="K2094" s="103"/>
      <c r="L2094" s="103"/>
      <c r="M2094" s="104"/>
      <c r="N2094" s="103"/>
    </row>
    <row r="2095" spans="1:14" ht="45" customHeight="1" thickBot="1" x14ac:dyDescent="0.4">
      <c r="A2095" s="103"/>
      <c r="B2095" s="103"/>
      <c r="C2095" s="103"/>
      <c r="D2095" s="103"/>
      <c r="E2095" s="103"/>
      <c r="F2095" s="103"/>
      <c r="G2095" s="103"/>
      <c r="H2095" s="103"/>
      <c r="I2095" s="103"/>
      <c r="J2095" s="103"/>
      <c r="K2095" s="103"/>
      <c r="L2095" s="103"/>
      <c r="M2095" s="104"/>
      <c r="N2095" s="103"/>
    </row>
    <row r="2096" spans="1:14" ht="45" customHeight="1" thickBot="1" x14ac:dyDescent="0.4">
      <c r="A2096" s="103"/>
      <c r="B2096" s="103"/>
      <c r="C2096" s="103"/>
      <c r="D2096" s="103"/>
      <c r="E2096" s="103"/>
      <c r="F2096" s="103"/>
      <c r="G2096" s="103"/>
      <c r="H2096" s="103"/>
      <c r="I2096" s="103"/>
      <c r="J2096" s="103"/>
      <c r="K2096" s="103"/>
      <c r="L2096" s="103"/>
      <c r="M2096" s="104"/>
      <c r="N2096" s="103"/>
    </row>
    <row r="2097" spans="1:14" ht="45" customHeight="1" thickBot="1" x14ac:dyDescent="0.4">
      <c r="A2097" s="103"/>
      <c r="B2097" s="103"/>
      <c r="C2097" s="103"/>
      <c r="D2097" s="103"/>
      <c r="E2097" s="103"/>
      <c r="F2097" s="103"/>
      <c r="G2097" s="103"/>
      <c r="H2097" s="103"/>
      <c r="I2097" s="103"/>
      <c r="J2097" s="103"/>
      <c r="K2097" s="103"/>
      <c r="L2097" s="103"/>
      <c r="M2097" s="104"/>
      <c r="N2097" s="103"/>
    </row>
    <row r="2098" spans="1:14" ht="45" customHeight="1" thickBot="1" x14ac:dyDescent="0.4">
      <c r="A2098" s="103"/>
      <c r="B2098" s="103"/>
      <c r="C2098" s="103"/>
      <c r="D2098" s="103"/>
      <c r="E2098" s="103"/>
      <c r="F2098" s="103"/>
      <c r="G2098" s="103"/>
      <c r="H2098" s="103"/>
      <c r="I2098" s="103"/>
      <c r="J2098" s="103"/>
      <c r="K2098" s="103"/>
      <c r="L2098" s="103"/>
      <c r="M2098" s="104"/>
      <c r="N2098" s="103"/>
    </row>
    <row r="2099" spans="1:14" ht="45" customHeight="1" thickBot="1" x14ac:dyDescent="0.4">
      <c r="A2099" s="103"/>
      <c r="B2099" s="103"/>
      <c r="C2099" s="103"/>
      <c r="D2099" s="103"/>
      <c r="E2099" s="103"/>
      <c r="F2099" s="103"/>
      <c r="G2099" s="103"/>
      <c r="H2099" s="103"/>
      <c r="I2099" s="103"/>
      <c r="J2099" s="103"/>
      <c r="K2099" s="103"/>
      <c r="L2099" s="103"/>
      <c r="M2099" s="104"/>
      <c r="N2099" s="103"/>
    </row>
    <row r="2100" spans="1:14" ht="45" customHeight="1" thickBot="1" x14ac:dyDescent="0.4">
      <c r="A2100" s="103"/>
      <c r="B2100" s="103"/>
      <c r="C2100" s="103"/>
      <c r="D2100" s="103"/>
      <c r="E2100" s="103"/>
      <c r="F2100" s="103"/>
      <c r="G2100" s="103"/>
      <c r="H2100" s="103"/>
      <c r="I2100" s="103"/>
      <c r="J2100" s="103"/>
      <c r="K2100" s="103"/>
      <c r="L2100" s="103"/>
      <c r="M2100" s="104"/>
      <c r="N2100" s="103"/>
    </row>
    <row r="2101" spans="1:14" ht="45" customHeight="1" thickBot="1" x14ac:dyDescent="0.4">
      <c r="A2101" s="103"/>
      <c r="B2101" s="103"/>
      <c r="C2101" s="103"/>
      <c r="D2101" s="103"/>
      <c r="E2101" s="103"/>
      <c r="F2101" s="103"/>
      <c r="G2101" s="103"/>
      <c r="H2101" s="103"/>
      <c r="I2101" s="103"/>
      <c r="J2101" s="103"/>
      <c r="K2101" s="103"/>
      <c r="L2101" s="103"/>
      <c r="M2101" s="104"/>
      <c r="N2101" s="103"/>
    </row>
    <row r="2102" spans="1:14" ht="45" customHeight="1" thickBot="1" x14ac:dyDescent="0.4">
      <c r="A2102" s="103"/>
      <c r="B2102" s="103"/>
      <c r="C2102" s="103"/>
      <c r="D2102" s="103"/>
      <c r="E2102" s="103"/>
      <c r="F2102" s="103"/>
      <c r="G2102" s="103"/>
      <c r="H2102" s="103"/>
      <c r="I2102" s="103"/>
      <c r="J2102" s="103"/>
      <c r="K2102" s="103"/>
      <c r="L2102" s="103"/>
      <c r="M2102" s="104"/>
      <c r="N2102" s="103"/>
    </row>
    <row r="2103" spans="1:14" ht="45" customHeight="1" thickBot="1" x14ac:dyDescent="0.4">
      <c r="A2103" s="103"/>
      <c r="B2103" s="103"/>
      <c r="C2103" s="103"/>
      <c r="D2103" s="103"/>
      <c r="E2103" s="103"/>
      <c r="F2103" s="103"/>
      <c r="G2103" s="103"/>
      <c r="H2103" s="103"/>
      <c r="I2103" s="103"/>
      <c r="J2103" s="103"/>
      <c r="K2103" s="103"/>
      <c r="L2103" s="103"/>
      <c r="M2103" s="104"/>
      <c r="N2103" s="103"/>
    </row>
    <row r="2104" spans="1:14" ht="45" customHeight="1" thickBot="1" x14ac:dyDescent="0.4">
      <c r="A2104" s="103"/>
      <c r="B2104" s="103"/>
      <c r="C2104" s="103"/>
      <c r="D2104" s="103"/>
      <c r="E2104" s="103"/>
      <c r="F2104" s="103"/>
      <c r="G2104" s="103"/>
      <c r="H2104" s="103"/>
      <c r="I2104" s="103"/>
      <c r="J2104" s="103"/>
      <c r="K2104" s="103"/>
      <c r="L2104" s="103"/>
      <c r="M2104" s="104"/>
      <c r="N2104" s="103"/>
    </row>
    <row r="2105" spans="1:14" ht="45" customHeight="1" thickBot="1" x14ac:dyDescent="0.4">
      <c r="A2105" s="103"/>
      <c r="B2105" s="103"/>
      <c r="C2105" s="103"/>
      <c r="D2105" s="103"/>
      <c r="E2105" s="103"/>
      <c r="F2105" s="103"/>
      <c r="G2105" s="103"/>
      <c r="H2105" s="103"/>
      <c r="I2105" s="103"/>
      <c r="J2105" s="103"/>
      <c r="K2105" s="103"/>
      <c r="L2105" s="103"/>
      <c r="M2105" s="104"/>
      <c r="N2105" s="103"/>
    </row>
    <row r="2106" spans="1:14" ht="45" customHeight="1" thickBot="1" x14ac:dyDescent="0.4">
      <c r="A2106" s="103"/>
      <c r="B2106" s="103"/>
      <c r="C2106" s="103"/>
      <c r="D2106" s="103"/>
      <c r="E2106" s="103"/>
      <c r="F2106" s="103"/>
      <c r="G2106" s="103"/>
      <c r="H2106" s="103"/>
      <c r="I2106" s="103"/>
      <c r="J2106" s="103"/>
      <c r="K2106" s="103"/>
      <c r="L2106" s="103"/>
      <c r="M2106" s="104"/>
      <c r="N2106" s="103"/>
    </row>
    <row r="2107" spans="1:14" ht="45" customHeight="1" thickBot="1" x14ac:dyDescent="0.4">
      <c r="A2107" s="103"/>
      <c r="B2107" s="103"/>
      <c r="C2107" s="103"/>
      <c r="D2107" s="103"/>
      <c r="E2107" s="103"/>
      <c r="F2107" s="103"/>
      <c r="G2107" s="103"/>
      <c r="H2107" s="103"/>
      <c r="I2107" s="103"/>
      <c r="J2107" s="103"/>
      <c r="K2107" s="103"/>
      <c r="L2107" s="103"/>
      <c r="M2107" s="104"/>
      <c r="N2107" s="103"/>
    </row>
    <row r="2108" spans="1:14" ht="45" customHeight="1" thickBot="1" x14ac:dyDescent="0.4">
      <c r="A2108" s="103"/>
      <c r="B2108" s="103"/>
      <c r="C2108" s="103"/>
      <c r="D2108" s="103"/>
      <c r="E2108" s="103"/>
      <c r="F2108" s="103"/>
      <c r="G2108" s="103"/>
      <c r="H2108" s="103"/>
      <c r="I2108" s="103"/>
      <c r="J2108" s="103"/>
      <c r="K2108" s="103"/>
      <c r="L2108" s="103"/>
      <c r="M2108" s="104"/>
      <c r="N2108" s="103"/>
    </row>
    <row r="2109" spans="1:14" ht="45" customHeight="1" thickBot="1" x14ac:dyDescent="0.4">
      <c r="A2109" s="103"/>
      <c r="B2109" s="103"/>
      <c r="C2109" s="103"/>
      <c r="D2109" s="103"/>
      <c r="E2109" s="103"/>
      <c r="F2109" s="103"/>
      <c r="G2109" s="103"/>
      <c r="H2109" s="103"/>
      <c r="I2109" s="103"/>
      <c r="J2109" s="103"/>
      <c r="K2109" s="103"/>
      <c r="L2109" s="103"/>
      <c r="M2109" s="104"/>
      <c r="N2109" s="103"/>
    </row>
    <row r="2110" spans="1:14" ht="45" customHeight="1" thickBot="1" x14ac:dyDescent="0.4">
      <c r="A2110" s="103"/>
      <c r="B2110" s="103"/>
      <c r="C2110" s="103"/>
      <c r="D2110" s="103"/>
      <c r="E2110" s="103"/>
      <c r="F2110" s="103"/>
      <c r="G2110" s="103"/>
      <c r="H2110" s="103"/>
      <c r="I2110" s="103"/>
      <c r="J2110" s="103"/>
      <c r="K2110" s="103"/>
      <c r="L2110" s="103"/>
      <c r="M2110" s="104"/>
      <c r="N2110" s="103"/>
    </row>
    <row r="2111" spans="1:14" ht="45" customHeight="1" thickBot="1" x14ac:dyDescent="0.4">
      <c r="A2111" s="103"/>
      <c r="B2111" s="103"/>
      <c r="C2111" s="103"/>
      <c r="D2111" s="103"/>
      <c r="E2111" s="103"/>
      <c r="F2111" s="103"/>
      <c r="G2111" s="103"/>
      <c r="H2111" s="103"/>
      <c r="I2111" s="103"/>
      <c r="J2111" s="103"/>
      <c r="K2111" s="103"/>
      <c r="L2111" s="103"/>
      <c r="M2111" s="104"/>
      <c r="N2111" s="103"/>
    </row>
    <row r="2112" spans="1:14" ht="45" customHeight="1" thickBot="1" x14ac:dyDescent="0.4">
      <c r="A2112" s="103"/>
      <c r="B2112" s="103"/>
      <c r="C2112" s="103"/>
      <c r="D2112" s="103"/>
      <c r="E2112" s="103"/>
      <c r="F2112" s="103"/>
      <c r="G2112" s="103"/>
      <c r="H2112" s="103"/>
      <c r="I2112" s="103"/>
      <c r="J2112" s="103"/>
      <c r="K2112" s="103"/>
      <c r="L2112" s="103"/>
      <c r="M2112" s="104"/>
      <c r="N2112" s="103"/>
    </row>
    <row r="2113" spans="1:14" ht="45" customHeight="1" thickBot="1" x14ac:dyDescent="0.4">
      <c r="A2113" s="103"/>
      <c r="B2113" s="103"/>
      <c r="C2113" s="103"/>
      <c r="D2113" s="103"/>
      <c r="E2113" s="103"/>
      <c r="F2113" s="103"/>
      <c r="G2113" s="103"/>
      <c r="H2113" s="103"/>
      <c r="I2113" s="103"/>
      <c r="J2113" s="103"/>
      <c r="K2113" s="103"/>
      <c r="L2113" s="103"/>
      <c r="M2113" s="104"/>
      <c r="N2113" s="103"/>
    </row>
    <row r="2114" spans="1:14" ht="45" customHeight="1" thickBot="1" x14ac:dyDescent="0.4">
      <c r="A2114" s="103"/>
      <c r="B2114" s="103"/>
      <c r="C2114" s="103"/>
      <c r="D2114" s="103"/>
      <c r="E2114" s="103"/>
      <c r="F2114" s="103"/>
      <c r="G2114" s="103"/>
      <c r="H2114" s="103"/>
      <c r="I2114" s="103"/>
      <c r="J2114" s="103"/>
      <c r="K2114" s="103"/>
      <c r="L2114" s="103"/>
      <c r="M2114" s="104"/>
      <c r="N2114" s="103"/>
    </row>
    <row r="2115" spans="1:14" ht="45" customHeight="1" thickBot="1" x14ac:dyDescent="0.4">
      <c r="A2115" s="103"/>
      <c r="B2115" s="103"/>
      <c r="C2115" s="103"/>
      <c r="D2115" s="103"/>
      <c r="E2115" s="103"/>
      <c r="F2115" s="103"/>
      <c r="G2115" s="103"/>
      <c r="H2115" s="103"/>
      <c r="I2115" s="103"/>
      <c r="J2115" s="103"/>
      <c r="K2115" s="103"/>
      <c r="L2115" s="103"/>
      <c r="M2115" s="104"/>
      <c r="N2115" s="103"/>
    </row>
    <row r="2116" spans="1:14" ht="45" customHeight="1" thickBot="1" x14ac:dyDescent="0.4">
      <c r="A2116" s="103"/>
      <c r="B2116" s="103"/>
      <c r="C2116" s="103"/>
      <c r="D2116" s="103"/>
      <c r="E2116" s="103"/>
      <c r="F2116" s="103"/>
      <c r="G2116" s="103"/>
      <c r="H2116" s="103"/>
      <c r="I2116" s="103"/>
      <c r="J2116" s="103"/>
      <c r="K2116" s="103"/>
      <c r="L2116" s="103"/>
      <c r="M2116" s="104"/>
      <c r="N2116" s="103"/>
    </row>
    <row r="2117" spans="1:14" ht="45" customHeight="1" thickBot="1" x14ac:dyDescent="0.4">
      <c r="A2117" s="103"/>
      <c r="B2117" s="103"/>
      <c r="C2117" s="103"/>
      <c r="D2117" s="103"/>
      <c r="E2117" s="103"/>
      <c r="F2117" s="103"/>
      <c r="G2117" s="103"/>
      <c r="H2117" s="103"/>
      <c r="I2117" s="103"/>
      <c r="J2117" s="103"/>
      <c r="K2117" s="103"/>
      <c r="L2117" s="103"/>
      <c r="M2117" s="104"/>
      <c r="N2117" s="103"/>
    </row>
    <row r="2118" spans="1:14" ht="45" customHeight="1" thickBot="1" x14ac:dyDescent="0.4">
      <c r="A2118" s="103"/>
      <c r="B2118" s="103"/>
      <c r="C2118" s="103"/>
      <c r="D2118" s="103"/>
      <c r="E2118" s="103"/>
      <c r="F2118" s="103"/>
      <c r="G2118" s="103"/>
      <c r="H2118" s="103"/>
      <c r="I2118" s="103"/>
      <c r="J2118" s="103"/>
      <c r="K2118" s="103"/>
      <c r="L2118" s="103"/>
      <c r="M2118" s="104"/>
      <c r="N2118" s="103"/>
    </row>
    <row r="2119" spans="1:14" ht="45" customHeight="1" thickBot="1" x14ac:dyDescent="0.4">
      <c r="A2119" s="103"/>
      <c r="B2119" s="103"/>
      <c r="C2119" s="103"/>
      <c r="D2119" s="103"/>
      <c r="E2119" s="103"/>
      <c r="F2119" s="103"/>
      <c r="G2119" s="103"/>
      <c r="H2119" s="103"/>
      <c r="I2119" s="103"/>
      <c r="J2119" s="103"/>
      <c r="K2119" s="103"/>
      <c r="L2119" s="103"/>
      <c r="M2119" s="104"/>
      <c r="N2119" s="103"/>
    </row>
    <row r="2120" spans="1:14" ht="45" customHeight="1" thickBot="1" x14ac:dyDescent="0.4">
      <c r="A2120" s="103"/>
      <c r="B2120" s="103"/>
      <c r="C2120" s="103"/>
      <c r="D2120" s="103"/>
      <c r="E2120" s="103"/>
      <c r="F2120" s="103"/>
      <c r="G2120" s="103"/>
      <c r="H2120" s="103"/>
      <c r="I2120" s="103"/>
      <c r="J2120" s="103"/>
      <c r="K2120" s="103"/>
      <c r="L2120" s="103"/>
      <c r="M2120" s="104"/>
      <c r="N2120" s="103"/>
    </row>
    <row r="2121" spans="1:14" ht="45" customHeight="1" thickBot="1" x14ac:dyDescent="0.4">
      <c r="A2121" s="103"/>
      <c r="B2121" s="103"/>
      <c r="C2121" s="103"/>
      <c r="D2121" s="103"/>
      <c r="E2121" s="103"/>
      <c r="F2121" s="103"/>
      <c r="G2121" s="103"/>
      <c r="H2121" s="103"/>
      <c r="I2121" s="103"/>
      <c r="J2121" s="103"/>
      <c r="K2121" s="103"/>
      <c r="L2121" s="103"/>
      <c r="M2121" s="104"/>
      <c r="N2121" s="103"/>
    </row>
    <row r="2122" spans="1:14" ht="45" customHeight="1" thickBot="1" x14ac:dyDescent="0.4">
      <c r="A2122" s="103"/>
      <c r="B2122" s="103"/>
      <c r="C2122" s="103"/>
      <c r="D2122" s="103"/>
      <c r="E2122" s="103"/>
      <c r="F2122" s="103"/>
      <c r="G2122" s="103"/>
      <c r="H2122" s="103"/>
      <c r="I2122" s="103"/>
      <c r="J2122" s="103"/>
      <c r="K2122" s="103"/>
      <c r="L2122" s="103"/>
      <c r="M2122" s="104"/>
      <c r="N2122" s="103"/>
    </row>
    <row r="2123" spans="1:14" ht="45" customHeight="1" thickBot="1" x14ac:dyDescent="0.4">
      <c r="A2123" s="103"/>
      <c r="B2123" s="103"/>
      <c r="C2123" s="103"/>
      <c r="D2123" s="103"/>
      <c r="E2123" s="103"/>
      <c r="F2123" s="103"/>
      <c r="G2123" s="103"/>
      <c r="H2123" s="103"/>
      <c r="I2123" s="103"/>
      <c r="J2123" s="103"/>
      <c r="K2123" s="103"/>
      <c r="L2123" s="103"/>
      <c r="M2123" s="104"/>
      <c r="N2123" s="103"/>
    </row>
    <row r="2124" spans="1:14" ht="45" customHeight="1" thickBot="1" x14ac:dyDescent="0.4">
      <c r="A2124" s="103"/>
      <c r="B2124" s="103"/>
      <c r="C2124" s="103"/>
      <c r="D2124" s="103"/>
      <c r="E2124" s="103"/>
      <c r="F2124" s="103"/>
      <c r="G2124" s="103"/>
      <c r="H2124" s="103"/>
      <c r="I2124" s="103"/>
      <c r="J2124" s="103"/>
      <c r="K2124" s="103"/>
      <c r="L2124" s="103"/>
      <c r="M2124" s="104"/>
      <c r="N2124" s="103"/>
    </row>
    <row r="2125" spans="1:14" ht="45" customHeight="1" thickBot="1" x14ac:dyDescent="0.4">
      <c r="A2125" s="103"/>
      <c r="B2125" s="103"/>
      <c r="C2125" s="103"/>
      <c r="D2125" s="103"/>
      <c r="E2125" s="103"/>
      <c r="F2125" s="103"/>
      <c r="G2125" s="103"/>
      <c r="H2125" s="103"/>
      <c r="I2125" s="103"/>
      <c r="J2125" s="103"/>
      <c r="K2125" s="103"/>
      <c r="L2125" s="103"/>
      <c r="M2125" s="104"/>
      <c r="N2125" s="103"/>
    </row>
    <row r="2126" spans="1:14" ht="45" customHeight="1" thickBot="1" x14ac:dyDescent="0.4">
      <c r="A2126" s="103"/>
      <c r="B2126" s="103"/>
      <c r="C2126" s="103"/>
      <c r="D2126" s="103"/>
      <c r="E2126" s="103"/>
      <c r="F2126" s="103"/>
      <c r="G2126" s="103"/>
      <c r="H2126" s="103"/>
      <c r="I2126" s="103"/>
      <c r="J2126" s="103"/>
      <c r="K2126" s="103"/>
      <c r="L2126" s="103"/>
      <c r="M2126" s="104"/>
      <c r="N2126" s="103"/>
    </row>
    <row r="2127" spans="1:14" ht="45" customHeight="1" thickBot="1" x14ac:dyDescent="0.4">
      <c r="A2127" s="103"/>
      <c r="B2127" s="103"/>
      <c r="C2127" s="103"/>
      <c r="D2127" s="103"/>
      <c r="E2127" s="103"/>
      <c r="F2127" s="103"/>
      <c r="G2127" s="103"/>
      <c r="H2127" s="103"/>
      <c r="I2127" s="103"/>
      <c r="J2127" s="103"/>
      <c r="K2127" s="103"/>
      <c r="L2127" s="103"/>
      <c r="M2127" s="104"/>
      <c r="N2127" s="103"/>
    </row>
    <row r="2128" spans="1:14" ht="45" customHeight="1" thickBot="1" x14ac:dyDescent="0.4">
      <c r="A2128" s="103"/>
      <c r="B2128" s="103"/>
      <c r="C2128" s="103"/>
      <c r="D2128" s="103"/>
      <c r="E2128" s="103"/>
      <c r="F2128" s="103"/>
      <c r="G2128" s="103"/>
      <c r="H2128" s="103"/>
      <c r="I2128" s="103"/>
      <c r="J2128" s="103"/>
      <c r="K2128" s="103"/>
      <c r="L2128" s="103"/>
      <c r="M2128" s="104"/>
      <c r="N2128" s="103"/>
    </row>
    <row r="2129" spans="1:14" ht="45" customHeight="1" thickBot="1" x14ac:dyDescent="0.4">
      <c r="A2129" s="103"/>
      <c r="B2129" s="103"/>
      <c r="C2129" s="103"/>
      <c r="D2129" s="103"/>
      <c r="E2129" s="103"/>
      <c r="F2129" s="103"/>
      <c r="G2129" s="103"/>
      <c r="H2129" s="103"/>
      <c r="I2129" s="103"/>
      <c r="J2129" s="103"/>
      <c r="K2129" s="103"/>
      <c r="L2129" s="103"/>
      <c r="M2129" s="104"/>
      <c r="N2129" s="103"/>
    </row>
    <row r="2130" spans="1:14" ht="45" customHeight="1" thickBot="1" x14ac:dyDescent="0.4">
      <c r="A2130" s="103"/>
      <c r="B2130" s="103"/>
      <c r="C2130" s="103"/>
      <c r="D2130" s="103"/>
      <c r="E2130" s="103"/>
      <c r="F2130" s="103"/>
      <c r="G2130" s="103"/>
      <c r="H2130" s="103"/>
      <c r="I2130" s="103"/>
      <c r="J2130" s="103"/>
      <c r="K2130" s="103"/>
      <c r="L2130" s="103"/>
      <c r="M2130" s="104"/>
      <c r="N2130" s="103"/>
    </row>
    <row r="2131" spans="1:14" ht="45" customHeight="1" thickBot="1" x14ac:dyDescent="0.4">
      <c r="A2131" s="103"/>
      <c r="B2131" s="103"/>
      <c r="C2131" s="103"/>
      <c r="D2131" s="103"/>
      <c r="E2131" s="103"/>
      <c r="F2131" s="103"/>
      <c r="G2131" s="103"/>
      <c r="H2131" s="103"/>
      <c r="I2131" s="103"/>
      <c r="J2131" s="103"/>
      <c r="K2131" s="103"/>
      <c r="L2131" s="103"/>
      <c r="M2131" s="104"/>
      <c r="N2131" s="103"/>
    </row>
    <row r="2132" spans="1:14" ht="45" customHeight="1" thickBot="1" x14ac:dyDescent="0.4">
      <c r="A2132" s="103"/>
      <c r="B2132" s="103"/>
      <c r="C2132" s="103"/>
      <c r="D2132" s="103"/>
      <c r="E2132" s="103"/>
      <c r="F2132" s="103"/>
      <c r="G2132" s="103"/>
      <c r="H2132" s="103"/>
      <c r="I2132" s="103"/>
      <c r="J2132" s="103"/>
      <c r="K2132" s="103"/>
      <c r="L2132" s="103"/>
      <c r="M2132" s="104"/>
      <c r="N2132" s="103"/>
    </row>
    <row r="2133" spans="1:14" ht="45" customHeight="1" thickBot="1" x14ac:dyDescent="0.4">
      <c r="A2133" s="103"/>
      <c r="B2133" s="103"/>
      <c r="C2133" s="103"/>
      <c r="D2133" s="103"/>
      <c r="E2133" s="103"/>
      <c r="F2133" s="103"/>
      <c r="G2133" s="103"/>
      <c r="H2133" s="103"/>
      <c r="I2133" s="103"/>
      <c r="J2133" s="103"/>
      <c r="K2133" s="103"/>
      <c r="L2133" s="103"/>
      <c r="M2133" s="104"/>
      <c r="N2133" s="103"/>
    </row>
    <row r="2134" spans="1:14" ht="45" customHeight="1" thickBot="1" x14ac:dyDescent="0.4">
      <c r="A2134" s="103"/>
      <c r="B2134" s="103"/>
      <c r="C2134" s="103"/>
      <c r="D2134" s="103"/>
      <c r="E2134" s="103"/>
      <c r="F2134" s="103"/>
      <c r="G2134" s="103"/>
      <c r="H2134" s="103"/>
      <c r="I2134" s="103"/>
      <c r="J2134" s="103"/>
      <c r="K2134" s="103"/>
      <c r="L2134" s="103"/>
      <c r="M2134" s="104"/>
      <c r="N2134" s="103"/>
    </row>
    <row r="2135" spans="1:14" ht="45" customHeight="1" thickBot="1" x14ac:dyDescent="0.4">
      <c r="A2135" s="103"/>
      <c r="B2135" s="103"/>
      <c r="C2135" s="103"/>
      <c r="D2135" s="103"/>
      <c r="E2135" s="103"/>
      <c r="F2135" s="103"/>
      <c r="G2135" s="103"/>
      <c r="H2135" s="103"/>
      <c r="I2135" s="103"/>
      <c r="J2135" s="103"/>
      <c r="K2135" s="103"/>
      <c r="L2135" s="103"/>
      <c r="M2135" s="104"/>
      <c r="N2135" s="103"/>
    </row>
    <row r="2136" spans="1:14" ht="45" customHeight="1" thickBot="1" x14ac:dyDescent="0.4">
      <c r="A2136" s="103"/>
      <c r="B2136" s="103"/>
      <c r="C2136" s="103"/>
      <c r="D2136" s="103"/>
      <c r="E2136" s="103"/>
      <c r="F2136" s="103"/>
      <c r="G2136" s="103"/>
      <c r="H2136" s="103"/>
      <c r="I2136" s="103"/>
      <c r="J2136" s="103"/>
      <c r="K2136" s="103"/>
      <c r="L2136" s="103"/>
      <c r="M2136" s="104"/>
      <c r="N2136" s="103"/>
    </row>
    <row r="2137" spans="1:14" ht="45" customHeight="1" thickBot="1" x14ac:dyDescent="0.4">
      <c r="A2137" s="103"/>
      <c r="B2137" s="103"/>
      <c r="C2137" s="103"/>
      <c r="D2137" s="103"/>
      <c r="E2137" s="103"/>
      <c r="F2137" s="103"/>
      <c r="G2137" s="103"/>
      <c r="H2137" s="103"/>
      <c r="I2137" s="103"/>
      <c r="J2137" s="103"/>
      <c r="K2137" s="103"/>
      <c r="L2137" s="103"/>
      <c r="M2137" s="104"/>
      <c r="N2137" s="103"/>
    </row>
    <row r="2138" spans="1:14" ht="45" customHeight="1" thickBot="1" x14ac:dyDescent="0.4">
      <c r="A2138" s="103"/>
      <c r="B2138" s="103"/>
      <c r="C2138" s="103"/>
      <c r="D2138" s="103"/>
      <c r="E2138" s="103"/>
      <c r="F2138" s="103"/>
      <c r="G2138" s="103"/>
      <c r="H2138" s="103"/>
      <c r="I2138" s="103"/>
      <c r="J2138" s="103"/>
      <c r="K2138" s="103"/>
      <c r="L2138" s="103"/>
      <c r="M2138" s="104"/>
      <c r="N2138" s="103"/>
    </row>
    <row r="2139" spans="1:14" ht="45" customHeight="1" thickBot="1" x14ac:dyDescent="0.4">
      <c r="A2139" s="103"/>
      <c r="B2139" s="103"/>
      <c r="C2139" s="103"/>
      <c r="D2139" s="103"/>
      <c r="E2139" s="103"/>
      <c r="F2139" s="103"/>
      <c r="G2139" s="103"/>
      <c r="H2139" s="103"/>
      <c r="I2139" s="103"/>
      <c r="J2139" s="103"/>
      <c r="K2139" s="103"/>
      <c r="L2139" s="103"/>
      <c r="M2139" s="104"/>
      <c r="N2139" s="103"/>
    </row>
    <row r="2140" spans="1:14" ht="45" customHeight="1" thickBot="1" x14ac:dyDescent="0.4">
      <c r="A2140" s="103"/>
      <c r="B2140" s="103"/>
      <c r="C2140" s="103"/>
      <c r="D2140" s="103"/>
      <c r="E2140" s="103"/>
      <c r="F2140" s="103"/>
      <c r="G2140" s="103"/>
      <c r="H2140" s="103"/>
      <c r="I2140" s="103"/>
      <c r="J2140" s="103"/>
      <c r="K2140" s="103"/>
      <c r="L2140" s="103"/>
      <c r="M2140" s="104"/>
      <c r="N2140" s="103"/>
    </row>
    <row r="2141" spans="1:14" ht="45" customHeight="1" thickBot="1" x14ac:dyDescent="0.4">
      <c r="A2141" s="103"/>
      <c r="B2141" s="103"/>
      <c r="C2141" s="103"/>
      <c r="D2141" s="103"/>
      <c r="E2141" s="103"/>
      <c r="F2141" s="103"/>
      <c r="G2141" s="103"/>
      <c r="H2141" s="103"/>
      <c r="I2141" s="103"/>
      <c r="J2141" s="103"/>
      <c r="K2141" s="103"/>
      <c r="L2141" s="103"/>
      <c r="M2141" s="104"/>
      <c r="N2141" s="103"/>
    </row>
    <row r="2142" spans="1:14" ht="45" customHeight="1" thickBot="1" x14ac:dyDescent="0.4">
      <c r="A2142" s="103"/>
      <c r="B2142" s="103"/>
      <c r="C2142" s="103"/>
      <c r="D2142" s="103"/>
      <c r="E2142" s="103"/>
      <c r="F2142" s="103"/>
      <c r="G2142" s="103"/>
      <c r="H2142" s="103"/>
      <c r="I2142" s="103"/>
      <c r="J2142" s="103"/>
      <c r="K2142" s="103"/>
      <c r="L2142" s="103"/>
      <c r="M2142" s="104"/>
      <c r="N2142" s="103"/>
    </row>
    <row r="2143" spans="1:14" ht="45" customHeight="1" thickBot="1" x14ac:dyDescent="0.4">
      <c r="A2143" s="103"/>
      <c r="B2143" s="103"/>
      <c r="C2143" s="103"/>
      <c r="D2143" s="103"/>
      <c r="E2143" s="103"/>
      <c r="F2143" s="103"/>
      <c r="G2143" s="103"/>
      <c r="H2143" s="103"/>
      <c r="I2143" s="103"/>
      <c r="J2143" s="103"/>
      <c r="K2143" s="103"/>
      <c r="L2143" s="103"/>
      <c r="M2143" s="104"/>
      <c r="N2143" s="103"/>
    </row>
    <row r="2144" spans="1:14" ht="45" customHeight="1" thickBot="1" x14ac:dyDescent="0.4">
      <c r="A2144" s="103"/>
      <c r="B2144" s="103"/>
      <c r="C2144" s="103"/>
      <c r="D2144" s="103"/>
      <c r="E2144" s="103"/>
      <c r="F2144" s="103"/>
      <c r="G2144" s="103"/>
      <c r="H2144" s="103"/>
      <c r="I2144" s="103"/>
      <c r="J2144" s="103"/>
      <c r="K2144" s="103"/>
      <c r="L2144" s="103"/>
      <c r="M2144" s="104"/>
      <c r="N2144" s="103"/>
    </row>
    <row r="2145" spans="1:14" ht="45" customHeight="1" thickBot="1" x14ac:dyDescent="0.4">
      <c r="A2145" s="103"/>
      <c r="B2145" s="103"/>
      <c r="C2145" s="103"/>
      <c r="D2145" s="103"/>
      <c r="E2145" s="103"/>
      <c r="F2145" s="103"/>
      <c r="G2145" s="103"/>
      <c r="H2145" s="103"/>
      <c r="I2145" s="103"/>
      <c r="J2145" s="103"/>
      <c r="K2145" s="103"/>
      <c r="L2145" s="103"/>
      <c r="M2145" s="104"/>
      <c r="N2145" s="103"/>
    </row>
    <row r="2146" spans="1:14" ht="45" customHeight="1" thickBot="1" x14ac:dyDescent="0.4">
      <c r="A2146" s="103"/>
      <c r="B2146" s="103"/>
      <c r="C2146" s="103"/>
      <c r="D2146" s="103"/>
      <c r="E2146" s="103"/>
      <c r="F2146" s="103"/>
      <c r="G2146" s="103"/>
      <c r="H2146" s="103"/>
      <c r="I2146" s="103"/>
      <c r="J2146" s="103"/>
      <c r="K2146" s="103"/>
      <c r="L2146" s="103"/>
      <c r="M2146" s="104"/>
      <c r="N2146" s="103"/>
    </row>
    <row r="2147" spans="1:14" ht="45" customHeight="1" thickBot="1" x14ac:dyDescent="0.4">
      <c r="A2147" s="103"/>
      <c r="B2147" s="103"/>
      <c r="C2147" s="103"/>
      <c r="D2147" s="103"/>
      <c r="E2147" s="103"/>
      <c r="F2147" s="103"/>
      <c r="G2147" s="103"/>
      <c r="H2147" s="103"/>
      <c r="I2147" s="103"/>
      <c r="J2147" s="103"/>
      <c r="K2147" s="103"/>
      <c r="L2147" s="103"/>
      <c r="M2147" s="104"/>
      <c r="N2147" s="103"/>
    </row>
    <row r="2148" spans="1:14" ht="45" customHeight="1" thickBot="1" x14ac:dyDescent="0.4">
      <c r="A2148" s="103"/>
      <c r="B2148" s="103"/>
      <c r="C2148" s="103"/>
      <c r="D2148" s="103"/>
      <c r="E2148" s="103"/>
      <c r="F2148" s="103"/>
      <c r="G2148" s="103"/>
      <c r="H2148" s="103"/>
      <c r="I2148" s="103"/>
      <c r="J2148" s="103"/>
      <c r="K2148" s="103"/>
      <c r="L2148" s="103"/>
      <c r="M2148" s="104"/>
      <c r="N2148" s="103"/>
    </row>
    <row r="2149" spans="1:14" ht="45" customHeight="1" thickBot="1" x14ac:dyDescent="0.4">
      <c r="A2149" s="103"/>
      <c r="B2149" s="103"/>
      <c r="C2149" s="103"/>
      <c r="D2149" s="103"/>
      <c r="E2149" s="103"/>
      <c r="F2149" s="103"/>
      <c r="G2149" s="103"/>
      <c r="H2149" s="103"/>
      <c r="I2149" s="103"/>
      <c r="J2149" s="103"/>
      <c r="K2149" s="103"/>
      <c r="L2149" s="103"/>
      <c r="M2149" s="104"/>
      <c r="N2149" s="103"/>
    </row>
    <row r="2150" spans="1:14" ht="45" customHeight="1" thickBot="1" x14ac:dyDescent="0.4">
      <c r="A2150" s="103"/>
      <c r="B2150" s="103"/>
      <c r="C2150" s="103"/>
      <c r="D2150" s="103"/>
      <c r="E2150" s="103"/>
      <c r="F2150" s="103"/>
      <c r="G2150" s="103"/>
      <c r="H2150" s="103"/>
      <c r="I2150" s="103"/>
      <c r="J2150" s="103"/>
      <c r="K2150" s="103"/>
      <c r="L2150" s="103"/>
      <c r="M2150" s="104"/>
      <c r="N2150" s="103"/>
    </row>
    <row r="2151" spans="1:14" ht="45" customHeight="1" thickBot="1" x14ac:dyDescent="0.4">
      <c r="A2151" s="103"/>
      <c r="B2151" s="103"/>
      <c r="C2151" s="103"/>
      <c r="D2151" s="103"/>
      <c r="E2151" s="103"/>
      <c r="F2151" s="103"/>
      <c r="G2151" s="103"/>
      <c r="H2151" s="103"/>
      <c r="I2151" s="103"/>
      <c r="J2151" s="103"/>
      <c r="K2151" s="103"/>
      <c r="L2151" s="103"/>
      <c r="M2151" s="104"/>
      <c r="N2151" s="103"/>
    </row>
    <row r="2152" spans="1:14" ht="45" customHeight="1" thickBot="1" x14ac:dyDescent="0.4">
      <c r="A2152" s="103"/>
      <c r="B2152" s="103"/>
      <c r="C2152" s="103"/>
      <c r="D2152" s="103"/>
      <c r="E2152" s="103"/>
      <c r="F2152" s="103"/>
      <c r="G2152" s="103"/>
      <c r="H2152" s="103"/>
      <c r="I2152" s="103"/>
      <c r="J2152" s="103"/>
      <c r="K2152" s="103"/>
      <c r="L2152" s="103"/>
      <c r="M2152" s="104"/>
      <c r="N2152" s="103"/>
    </row>
    <row r="2153" spans="1:14" ht="45" customHeight="1" thickBot="1" x14ac:dyDescent="0.4">
      <c r="A2153" s="103"/>
      <c r="B2153" s="103"/>
      <c r="C2153" s="103"/>
      <c r="D2153" s="103"/>
      <c r="E2153" s="103"/>
      <c r="F2153" s="103"/>
      <c r="G2153" s="103"/>
      <c r="H2153" s="103"/>
      <c r="I2153" s="103"/>
      <c r="J2153" s="103"/>
      <c r="K2153" s="103"/>
      <c r="L2153" s="103"/>
      <c r="M2153" s="104"/>
      <c r="N2153" s="103"/>
    </row>
    <row r="2154" spans="1:14" ht="45" customHeight="1" thickBot="1" x14ac:dyDescent="0.4">
      <c r="A2154" s="103"/>
      <c r="B2154" s="103"/>
      <c r="C2154" s="103"/>
      <c r="D2154" s="103"/>
      <c r="E2154" s="103"/>
      <c r="F2154" s="103"/>
      <c r="G2154" s="103"/>
      <c r="H2154" s="103"/>
      <c r="I2154" s="103"/>
      <c r="J2154" s="103"/>
      <c r="K2154" s="103"/>
      <c r="L2154" s="103"/>
      <c r="M2154" s="104"/>
      <c r="N2154" s="103"/>
    </row>
    <row r="2155" spans="1:14" ht="45" customHeight="1" thickBot="1" x14ac:dyDescent="0.4">
      <c r="A2155" s="103"/>
      <c r="B2155" s="103"/>
      <c r="C2155" s="103"/>
      <c r="D2155" s="103"/>
      <c r="E2155" s="103"/>
      <c r="F2155" s="103"/>
      <c r="G2155" s="103"/>
      <c r="H2155" s="103"/>
      <c r="I2155" s="103"/>
      <c r="J2155" s="103"/>
      <c r="K2155" s="103"/>
      <c r="L2155" s="103"/>
      <c r="M2155" s="104"/>
      <c r="N2155" s="103"/>
    </row>
    <row r="2156" spans="1:14" ht="45" customHeight="1" thickBot="1" x14ac:dyDescent="0.4">
      <c r="A2156" s="103"/>
      <c r="B2156" s="103"/>
      <c r="C2156" s="103"/>
      <c r="D2156" s="103"/>
      <c r="E2156" s="103"/>
      <c r="F2156" s="103"/>
      <c r="G2156" s="103"/>
      <c r="H2156" s="103"/>
      <c r="I2156" s="103"/>
      <c r="J2156" s="103"/>
      <c r="K2156" s="103"/>
      <c r="L2156" s="103"/>
      <c r="M2156" s="104"/>
      <c r="N2156" s="103"/>
    </row>
    <row r="2157" spans="1:14" ht="45" customHeight="1" thickBot="1" x14ac:dyDescent="0.4">
      <c r="A2157" s="103"/>
      <c r="B2157" s="103"/>
      <c r="C2157" s="103"/>
      <c r="D2157" s="103"/>
      <c r="E2157" s="103"/>
      <c r="F2157" s="103"/>
      <c r="G2157" s="103"/>
      <c r="H2157" s="103"/>
      <c r="I2157" s="103"/>
      <c r="J2157" s="103"/>
      <c r="K2157" s="103"/>
      <c r="L2157" s="103"/>
      <c r="M2157" s="104"/>
      <c r="N2157" s="103"/>
    </row>
    <row r="2158" spans="1:14" ht="45" customHeight="1" thickBot="1" x14ac:dyDescent="0.4">
      <c r="A2158" s="103"/>
      <c r="B2158" s="103"/>
      <c r="C2158" s="103"/>
      <c r="D2158" s="103"/>
      <c r="E2158" s="103"/>
      <c r="F2158" s="103"/>
      <c r="G2158" s="103"/>
      <c r="H2158" s="103"/>
      <c r="I2158" s="103"/>
      <c r="J2158" s="103"/>
      <c r="K2158" s="103"/>
      <c r="L2158" s="103"/>
      <c r="M2158" s="104"/>
      <c r="N2158" s="103"/>
    </row>
    <row r="2159" spans="1:14" ht="45" customHeight="1" thickBot="1" x14ac:dyDescent="0.4">
      <c r="A2159" s="103"/>
      <c r="B2159" s="103"/>
      <c r="C2159" s="103"/>
      <c r="D2159" s="103"/>
      <c r="E2159" s="103"/>
      <c r="F2159" s="103"/>
      <c r="G2159" s="103"/>
      <c r="H2159" s="103"/>
      <c r="I2159" s="103"/>
      <c r="J2159" s="103"/>
      <c r="K2159" s="103"/>
      <c r="L2159" s="103"/>
      <c r="M2159" s="104"/>
      <c r="N2159" s="103"/>
    </row>
    <row r="2160" spans="1:14" ht="45" customHeight="1" thickBot="1" x14ac:dyDescent="0.4">
      <c r="A2160" s="103"/>
      <c r="B2160" s="103"/>
      <c r="C2160" s="103"/>
      <c r="D2160" s="103"/>
      <c r="E2160" s="103"/>
      <c r="F2160" s="103"/>
      <c r="G2160" s="103"/>
      <c r="H2160" s="103"/>
      <c r="I2160" s="103"/>
      <c r="J2160" s="103"/>
      <c r="K2160" s="103"/>
      <c r="L2160" s="103"/>
      <c r="M2160" s="104"/>
      <c r="N2160" s="103"/>
    </row>
    <row r="2161" spans="1:14" ht="45" customHeight="1" thickBot="1" x14ac:dyDescent="0.4">
      <c r="A2161" s="103"/>
      <c r="B2161" s="103"/>
      <c r="C2161" s="103"/>
      <c r="D2161" s="103"/>
      <c r="E2161" s="103"/>
      <c r="F2161" s="103"/>
      <c r="G2161" s="103"/>
      <c r="H2161" s="103"/>
      <c r="I2161" s="103"/>
      <c r="J2161" s="103"/>
      <c r="K2161" s="103"/>
      <c r="L2161" s="103"/>
      <c r="M2161" s="104"/>
      <c r="N2161" s="103"/>
    </row>
    <row r="2162" spans="1:14" ht="45" customHeight="1" thickBot="1" x14ac:dyDescent="0.4">
      <c r="A2162" s="103"/>
      <c r="B2162" s="103"/>
      <c r="C2162" s="103"/>
      <c r="D2162" s="103"/>
      <c r="E2162" s="103"/>
      <c r="F2162" s="103"/>
      <c r="G2162" s="103"/>
      <c r="H2162" s="103"/>
      <c r="I2162" s="103"/>
      <c r="J2162" s="103"/>
      <c r="K2162" s="103"/>
      <c r="L2162" s="103"/>
      <c r="M2162" s="104"/>
      <c r="N2162" s="103"/>
    </row>
    <row r="2163" spans="1:14" ht="45" customHeight="1" thickBot="1" x14ac:dyDescent="0.4">
      <c r="A2163" s="103"/>
      <c r="B2163" s="103"/>
      <c r="C2163" s="103"/>
      <c r="D2163" s="103"/>
      <c r="E2163" s="103"/>
      <c r="F2163" s="103"/>
      <c r="G2163" s="103"/>
      <c r="H2163" s="103"/>
      <c r="I2163" s="103"/>
      <c r="J2163" s="103"/>
      <c r="K2163" s="103"/>
      <c r="L2163" s="103"/>
      <c r="M2163" s="104"/>
      <c r="N2163" s="103"/>
    </row>
    <row r="2164" spans="1:14" ht="45" customHeight="1" thickBot="1" x14ac:dyDescent="0.4">
      <c r="A2164" s="103"/>
      <c r="B2164" s="103"/>
      <c r="C2164" s="103"/>
      <c r="D2164" s="103"/>
      <c r="E2164" s="103"/>
      <c r="F2164" s="103"/>
      <c r="G2164" s="103"/>
      <c r="H2164" s="103"/>
      <c r="I2164" s="103"/>
      <c r="J2164" s="103"/>
      <c r="K2164" s="103"/>
      <c r="L2164" s="103"/>
      <c r="M2164" s="104"/>
      <c r="N2164" s="103"/>
    </row>
    <row r="2165" spans="1:14" ht="45" customHeight="1" thickBot="1" x14ac:dyDescent="0.4">
      <c r="A2165" s="103"/>
      <c r="B2165" s="103"/>
      <c r="C2165" s="103"/>
      <c r="D2165" s="103"/>
      <c r="E2165" s="103"/>
      <c r="F2165" s="103"/>
      <c r="G2165" s="103"/>
      <c r="H2165" s="103"/>
      <c r="I2165" s="103"/>
      <c r="J2165" s="103"/>
      <c r="K2165" s="103"/>
      <c r="L2165" s="103"/>
      <c r="M2165" s="104"/>
      <c r="N2165" s="103"/>
    </row>
    <row r="2166" spans="1:14" ht="45" customHeight="1" thickBot="1" x14ac:dyDescent="0.4">
      <c r="A2166" s="103"/>
      <c r="B2166" s="103"/>
      <c r="C2166" s="103"/>
      <c r="D2166" s="103"/>
      <c r="E2166" s="103"/>
      <c r="F2166" s="103"/>
      <c r="G2166" s="103"/>
      <c r="H2166" s="103"/>
      <c r="I2166" s="103"/>
      <c r="J2166" s="103"/>
      <c r="K2166" s="103"/>
      <c r="L2166" s="103"/>
      <c r="M2166" s="104"/>
      <c r="N2166" s="103"/>
    </row>
    <row r="2167" spans="1:14" ht="45" customHeight="1" thickBot="1" x14ac:dyDescent="0.4">
      <c r="A2167" s="103"/>
      <c r="B2167" s="103"/>
      <c r="C2167" s="103"/>
      <c r="D2167" s="103"/>
      <c r="E2167" s="103"/>
      <c r="F2167" s="103"/>
      <c r="G2167" s="103"/>
      <c r="H2167" s="103"/>
      <c r="I2167" s="103"/>
      <c r="J2167" s="103"/>
      <c r="K2167" s="103"/>
      <c r="L2167" s="103"/>
      <c r="M2167" s="104"/>
      <c r="N2167" s="103"/>
    </row>
    <row r="2168" spans="1:14" ht="45" customHeight="1" thickBot="1" x14ac:dyDescent="0.4">
      <c r="A2168" s="103"/>
      <c r="B2168" s="103"/>
      <c r="C2168" s="103"/>
      <c r="D2168" s="103"/>
      <c r="E2168" s="103"/>
      <c r="F2168" s="103"/>
      <c r="G2168" s="103"/>
      <c r="H2168" s="103"/>
      <c r="I2168" s="103"/>
      <c r="J2168" s="103"/>
      <c r="K2168" s="103"/>
      <c r="L2168" s="103"/>
      <c r="M2168" s="104"/>
      <c r="N2168" s="103"/>
    </row>
    <row r="2169" spans="1:14" ht="45" customHeight="1" thickBot="1" x14ac:dyDescent="0.4">
      <c r="A2169" s="103"/>
      <c r="B2169" s="103"/>
      <c r="C2169" s="103"/>
      <c r="D2169" s="103"/>
      <c r="E2169" s="103"/>
      <c r="F2169" s="103"/>
      <c r="G2169" s="103"/>
      <c r="H2169" s="103"/>
      <c r="I2169" s="103"/>
      <c r="J2169" s="103"/>
      <c r="K2169" s="103"/>
      <c r="L2169" s="103"/>
      <c r="M2169" s="104"/>
      <c r="N2169" s="103"/>
    </row>
    <row r="2170" spans="1:14" ht="45" customHeight="1" thickBot="1" x14ac:dyDescent="0.4">
      <c r="A2170" s="103"/>
      <c r="B2170" s="103"/>
      <c r="C2170" s="103"/>
      <c r="D2170" s="103"/>
      <c r="E2170" s="103"/>
      <c r="F2170" s="103"/>
      <c r="G2170" s="103"/>
      <c r="H2170" s="103"/>
      <c r="I2170" s="103"/>
      <c r="J2170" s="103"/>
      <c r="K2170" s="103"/>
      <c r="L2170" s="103"/>
      <c r="M2170" s="104"/>
      <c r="N2170" s="103"/>
    </row>
    <row r="2171" spans="1:14" ht="45" customHeight="1" thickBot="1" x14ac:dyDescent="0.4">
      <c r="A2171" s="103"/>
      <c r="B2171" s="103"/>
      <c r="C2171" s="103"/>
      <c r="D2171" s="103"/>
      <c r="E2171" s="103"/>
      <c r="F2171" s="103"/>
      <c r="G2171" s="103"/>
      <c r="H2171" s="103"/>
      <c r="I2171" s="103"/>
      <c r="J2171" s="103"/>
      <c r="K2171" s="103"/>
      <c r="L2171" s="103"/>
      <c r="M2171" s="104"/>
      <c r="N2171" s="103"/>
    </row>
    <row r="2172" spans="1:14" ht="45" customHeight="1" thickBot="1" x14ac:dyDescent="0.4">
      <c r="A2172" s="103"/>
      <c r="B2172" s="103"/>
      <c r="C2172" s="103"/>
      <c r="D2172" s="103"/>
      <c r="E2172" s="103"/>
      <c r="F2172" s="103"/>
      <c r="G2172" s="103"/>
      <c r="H2172" s="103"/>
      <c r="I2172" s="103"/>
      <c r="J2172" s="103"/>
      <c r="K2172" s="103"/>
      <c r="L2172" s="103"/>
      <c r="M2172" s="104"/>
      <c r="N2172" s="103"/>
    </row>
    <row r="2173" spans="1:14" ht="45" customHeight="1" thickBot="1" x14ac:dyDescent="0.4">
      <c r="A2173" s="103"/>
      <c r="B2173" s="103"/>
      <c r="C2173" s="103"/>
      <c r="D2173" s="103"/>
      <c r="E2173" s="103"/>
      <c r="F2173" s="103"/>
      <c r="G2173" s="103"/>
      <c r="H2173" s="103"/>
      <c r="I2173" s="103"/>
      <c r="J2173" s="103"/>
      <c r="K2173" s="103"/>
      <c r="L2173" s="103"/>
      <c r="M2173" s="104"/>
      <c r="N2173" s="103"/>
    </row>
    <row r="2174" spans="1:14" ht="45" customHeight="1" thickBot="1" x14ac:dyDescent="0.4">
      <c r="A2174" s="103"/>
      <c r="B2174" s="103"/>
      <c r="C2174" s="103"/>
      <c r="D2174" s="103"/>
      <c r="E2174" s="103"/>
      <c r="F2174" s="103"/>
      <c r="G2174" s="103"/>
      <c r="H2174" s="103"/>
      <c r="I2174" s="103"/>
      <c r="J2174" s="103"/>
      <c r="K2174" s="103"/>
      <c r="L2174" s="103"/>
      <c r="M2174" s="104"/>
      <c r="N2174" s="103"/>
    </row>
    <row r="2175" spans="1:14" ht="45" customHeight="1" thickBot="1" x14ac:dyDescent="0.4">
      <c r="A2175" s="103"/>
      <c r="B2175" s="103"/>
      <c r="C2175" s="103"/>
      <c r="D2175" s="103"/>
      <c r="E2175" s="103"/>
      <c r="F2175" s="103"/>
      <c r="G2175" s="103"/>
      <c r="H2175" s="103"/>
      <c r="I2175" s="103"/>
      <c r="J2175" s="103"/>
      <c r="K2175" s="103"/>
      <c r="L2175" s="103"/>
      <c r="M2175" s="104"/>
      <c r="N2175" s="103"/>
    </row>
    <row r="2176" spans="1:14" ht="45" customHeight="1" thickBot="1" x14ac:dyDescent="0.4">
      <c r="A2176" s="103"/>
      <c r="B2176" s="103"/>
      <c r="C2176" s="103"/>
      <c r="D2176" s="103"/>
      <c r="E2176" s="103"/>
      <c r="F2176" s="103"/>
      <c r="G2176" s="103"/>
      <c r="H2176" s="103"/>
      <c r="I2176" s="103"/>
      <c r="J2176" s="103"/>
      <c r="K2176" s="103"/>
      <c r="L2176" s="103"/>
      <c r="M2176" s="104"/>
      <c r="N2176" s="103"/>
    </row>
    <row r="2177" spans="1:14" ht="45" customHeight="1" thickBot="1" x14ac:dyDescent="0.4">
      <c r="A2177" s="103"/>
      <c r="B2177" s="103"/>
      <c r="C2177" s="103"/>
      <c r="D2177" s="103"/>
      <c r="E2177" s="103"/>
      <c r="F2177" s="103"/>
      <c r="G2177" s="103"/>
      <c r="H2177" s="103"/>
      <c r="I2177" s="103"/>
      <c r="J2177" s="103"/>
      <c r="K2177" s="103"/>
      <c r="L2177" s="103"/>
      <c r="M2177" s="104"/>
      <c r="N2177" s="103"/>
    </row>
    <row r="2178" spans="1:14" ht="45" customHeight="1" thickBot="1" x14ac:dyDescent="0.4">
      <c r="A2178" s="103"/>
      <c r="B2178" s="103"/>
      <c r="C2178" s="103"/>
      <c r="D2178" s="103"/>
      <c r="E2178" s="103"/>
      <c r="F2178" s="103"/>
      <c r="G2178" s="103"/>
      <c r="H2178" s="103"/>
      <c r="I2178" s="103"/>
      <c r="J2178" s="103"/>
      <c r="K2178" s="103"/>
      <c r="L2178" s="103"/>
      <c r="M2178" s="104"/>
      <c r="N2178" s="103"/>
    </row>
    <row r="2179" spans="1:14" ht="45" customHeight="1" thickBot="1" x14ac:dyDescent="0.4">
      <c r="A2179" s="103"/>
      <c r="B2179" s="103"/>
      <c r="C2179" s="103"/>
      <c r="D2179" s="103"/>
      <c r="E2179" s="103"/>
      <c r="F2179" s="103"/>
      <c r="G2179" s="103"/>
      <c r="H2179" s="103"/>
      <c r="I2179" s="103"/>
      <c r="J2179" s="103"/>
      <c r="K2179" s="103"/>
      <c r="L2179" s="103"/>
      <c r="M2179" s="104"/>
      <c r="N2179" s="103"/>
    </row>
    <row r="2180" spans="1:14" ht="45" customHeight="1" thickBot="1" x14ac:dyDescent="0.4">
      <c r="A2180" s="103"/>
      <c r="B2180" s="103"/>
      <c r="C2180" s="103"/>
      <c r="D2180" s="103"/>
      <c r="E2180" s="103"/>
      <c r="F2180" s="103"/>
      <c r="G2180" s="103"/>
      <c r="H2180" s="103"/>
      <c r="I2180" s="103"/>
      <c r="J2180" s="103"/>
      <c r="K2180" s="103"/>
      <c r="L2180" s="103"/>
      <c r="M2180" s="104"/>
      <c r="N2180" s="103"/>
    </row>
    <row r="2181" spans="1:14" ht="45" customHeight="1" thickBot="1" x14ac:dyDescent="0.4">
      <c r="A2181" s="103"/>
      <c r="B2181" s="103"/>
      <c r="C2181" s="103"/>
      <c r="D2181" s="103"/>
      <c r="E2181" s="103"/>
      <c r="F2181" s="103"/>
      <c r="G2181" s="103"/>
      <c r="H2181" s="103"/>
      <c r="I2181" s="103"/>
      <c r="J2181" s="103"/>
      <c r="K2181" s="103"/>
      <c r="L2181" s="103"/>
      <c r="M2181" s="104"/>
      <c r="N2181" s="103"/>
    </row>
    <row r="2182" spans="1:14" ht="45" customHeight="1" thickBot="1" x14ac:dyDescent="0.4">
      <c r="A2182" s="103"/>
      <c r="B2182" s="103"/>
      <c r="C2182" s="103"/>
      <c r="D2182" s="103"/>
      <c r="E2182" s="103"/>
      <c r="F2182" s="103"/>
      <c r="G2182" s="103"/>
      <c r="H2182" s="103"/>
      <c r="I2182" s="103"/>
      <c r="J2182" s="103"/>
      <c r="K2182" s="103"/>
      <c r="L2182" s="103"/>
      <c r="M2182" s="104"/>
      <c r="N2182" s="103"/>
    </row>
    <row r="2183" spans="1:14" ht="45" customHeight="1" thickBot="1" x14ac:dyDescent="0.4">
      <c r="A2183" s="103"/>
      <c r="B2183" s="103"/>
      <c r="C2183" s="103"/>
      <c r="D2183" s="103"/>
      <c r="E2183" s="103"/>
      <c r="F2183" s="103"/>
      <c r="G2183" s="103"/>
      <c r="H2183" s="103"/>
      <c r="I2183" s="103"/>
      <c r="J2183" s="103"/>
      <c r="K2183" s="103"/>
      <c r="L2183" s="103"/>
      <c r="M2183" s="104"/>
      <c r="N2183" s="103"/>
    </row>
    <row r="2184" spans="1:14" ht="45" customHeight="1" thickBot="1" x14ac:dyDescent="0.4">
      <c r="A2184" s="103"/>
      <c r="B2184" s="103"/>
      <c r="C2184" s="103"/>
      <c r="D2184" s="103"/>
      <c r="E2184" s="103"/>
      <c r="F2184" s="103"/>
      <c r="G2184" s="103"/>
      <c r="H2184" s="103"/>
      <c r="I2184" s="103"/>
      <c r="J2184" s="103"/>
      <c r="K2184" s="103"/>
      <c r="L2184" s="103"/>
      <c r="M2184" s="104"/>
      <c r="N2184" s="103"/>
    </row>
    <row r="2185" spans="1:14" ht="45" customHeight="1" thickBot="1" x14ac:dyDescent="0.4">
      <c r="A2185" s="103"/>
      <c r="B2185" s="103"/>
      <c r="C2185" s="103"/>
      <c r="D2185" s="103"/>
      <c r="E2185" s="103"/>
      <c r="F2185" s="103"/>
      <c r="G2185" s="103"/>
      <c r="H2185" s="103"/>
      <c r="I2185" s="103"/>
      <c r="J2185" s="103"/>
      <c r="K2185" s="103"/>
      <c r="L2185" s="103"/>
      <c r="M2185" s="104"/>
      <c r="N2185" s="103"/>
    </row>
    <row r="2186" spans="1:14" ht="45" customHeight="1" thickBot="1" x14ac:dyDescent="0.4">
      <c r="A2186" s="103"/>
      <c r="B2186" s="103"/>
      <c r="C2186" s="103"/>
      <c r="D2186" s="103"/>
      <c r="E2186" s="103"/>
      <c r="F2186" s="103"/>
      <c r="G2186" s="103"/>
      <c r="H2186" s="103"/>
      <c r="I2186" s="103"/>
      <c r="J2186" s="103"/>
      <c r="K2186" s="103"/>
      <c r="L2186" s="103"/>
      <c r="M2186" s="104"/>
      <c r="N2186" s="103"/>
    </row>
    <row r="2187" spans="1:14" ht="45" customHeight="1" thickBot="1" x14ac:dyDescent="0.4">
      <c r="A2187" s="103"/>
      <c r="B2187" s="103"/>
      <c r="C2187" s="103"/>
      <c r="D2187" s="103"/>
      <c r="E2187" s="103"/>
      <c r="F2187" s="103"/>
      <c r="G2187" s="103"/>
      <c r="H2187" s="103"/>
      <c r="I2187" s="103"/>
      <c r="J2187" s="103"/>
      <c r="K2187" s="103"/>
      <c r="L2187" s="103"/>
      <c r="M2187" s="104"/>
      <c r="N2187" s="103"/>
    </row>
    <row r="2188" spans="1:14" ht="45" customHeight="1" thickBot="1" x14ac:dyDescent="0.4">
      <c r="A2188" s="103"/>
      <c r="B2188" s="103"/>
      <c r="C2188" s="103"/>
      <c r="D2188" s="103"/>
      <c r="E2188" s="103"/>
      <c r="F2188" s="103"/>
      <c r="G2188" s="103"/>
      <c r="H2188" s="103"/>
      <c r="I2188" s="103"/>
      <c r="J2188" s="103"/>
      <c r="K2188" s="103"/>
      <c r="L2188" s="103"/>
      <c r="M2188" s="104"/>
      <c r="N2188" s="103"/>
    </row>
    <row r="2189" spans="1:14" ht="45" customHeight="1" thickBot="1" x14ac:dyDescent="0.4">
      <c r="A2189" s="103"/>
      <c r="B2189" s="103"/>
      <c r="C2189" s="103"/>
      <c r="D2189" s="103"/>
      <c r="E2189" s="103"/>
      <c r="F2189" s="103"/>
      <c r="G2189" s="103"/>
      <c r="H2189" s="103"/>
      <c r="I2189" s="103"/>
      <c r="J2189" s="103"/>
      <c r="K2189" s="103"/>
      <c r="L2189" s="103"/>
      <c r="M2189" s="104"/>
      <c r="N2189" s="103"/>
    </row>
    <row r="2190" spans="1:14" ht="45" customHeight="1" thickBot="1" x14ac:dyDescent="0.4">
      <c r="A2190" s="103"/>
      <c r="B2190" s="103"/>
      <c r="C2190" s="103"/>
      <c r="D2190" s="103"/>
      <c r="E2190" s="103"/>
      <c r="F2190" s="103"/>
      <c r="G2190" s="103"/>
      <c r="H2190" s="103"/>
      <c r="I2190" s="103"/>
      <c r="J2190" s="103"/>
      <c r="K2190" s="103"/>
      <c r="L2190" s="103"/>
      <c r="M2190" s="104"/>
      <c r="N2190" s="103"/>
    </row>
    <row r="2191" spans="1:14" ht="45" customHeight="1" thickBot="1" x14ac:dyDescent="0.4">
      <c r="A2191" s="103"/>
      <c r="B2191" s="103"/>
      <c r="C2191" s="103"/>
      <c r="D2191" s="103"/>
      <c r="E2191" s="103"/>
      <c r="F2191" s="103"/>
      <c r="G2191" s="103"/>
      <c r="H2191" s="103"/>
      <c r="I2191" s="103"/>
      <c r="J2191" s="103"/>
      <c r="K2191" s="103"/>
      <c r="L2191" s="103"/>
      <c r="M2191" s="104"/>
      <c r="N2191" s="103"/>
    </row>
    <row r="2192" spans="1:14" ht="45" customHeight="1" thickBot="1" x14ac:dyDescent="0.4">
      <c r="A2192" s="103"/>
      <c r="B2192" s="103"/>
      <c r="C2192" s="103"/>
      <c r="D2192" s="103"/>
      <c r="E2192" s="103"/>
      <c r="F2192" s="103"/>
      <c r="G2192" s="103"/>
      <c r="H2192" s="103"/>
      <c r="I2192" s="103"/>
      <c r="J2192" s="103"/>
      <c r="K2192" s="103"/>
      <c r="L2192" s="103"/>
      <c r="M2192" s="104"/>
      <c r="N2192" s="103"/>
    </row>
    <row r="2193" spans="1:14" ht="45" customHeight="1" thickBot="1" x14ac:dyDescent="0.4">
      <c r="A2193" s="103"/>
      <c r="B2193" s="103"/>
      <c r="C2193" s="103"/>
      <c r="D2193" s="103"/>
      <c r="E2193" s="103"/>
      <c r="F2193" s="103"/>
      <c r="G2193" s="103"/>
      <c r="H2193" s="103"/>
      <c r="I2193" s="103"/>
      <c r="J2193" s="103"/>
      <c r="K2193" s="103"/>
      <c r="L2193" s="103"/>
      <c r="M2193" s="104"/>
      <c r="N2193" s="103"/>
    </row>
    <row r="2194" spans="1:14" ht="45" customHeight="1" thickBot="1" x14ac:dyDescent="0.4">
      <c r="A2194" s="103"/>
      <c r="B2194" s="103"/>
      <c r="C2194" s="103"/>
      <c r="D2194" s="103"/>
      <c r="E2194" s="103"/>
      <c r="F2194" s="103"/>
      <c r="G2194" s="103"/>
      <c r="H2194" s="103"/>
      <c r="I2194" s="103"/>
      <c r="J2194" s="103"/>
      <c r="K2194" s="103"/>
      <c r="L2194" s="103"/>
      <c r="M2194" s="104"/>
      <c r="N2194" s="103"/>
    </row>
    <row r="2195" spans="1:14" ht="45" customHeight="1" thickBot="1" x14ac:dyDescent="0.4">
      <c r="A2195" s="103"/>
      <c r="B2195" s="103"/>
      <c r="C2195" s="103"/>
      <c r="D2195" s="103"/>
      <c r="E2195" s="103"/>
      <c r="F2195" s="103"/>
      <c r="G2195" s="103"/>
      <c r="H2195" s="103"/>
      <c r="I2195" s="103"/>
      <c r="J2195" s="103"/>
      <c r="K2195" s="103"/>
      <c r="L2195" s="103"/>
      <c r="M2195" s="104"/>
      <c r="N2195" s="103"/>
    </row>
    <row r="2196" spans="1:14" ht="45" customHeight="1" thickBot="1" x14ac:dyDescent="0.4">
      <c r="A2196" s="103"/>
      <c r="B2196" s="103"/>
      <c r="C2196" s="103"/>
      <c r="D2196" s="103"/>
      <c r="E2196" s="103"/>
      <c r="F2196" s="103"/>
      <c r="G2196" s="103"/>
      <c r="H2196" s="103"/>
      <c r="I2196" s="103"/>
      <c r="J2196" s="103"/>
      <c r="K2196" s="103"/>
      <c r="L2196" s="103"/>
      <c r="M2196" s="104"/>
      <c r="N2196" s="103"/>
    </row>
    <row r="2197" spans="1:14" ht="45" customHeight="1" thickBot="1" x14ac:dyDescent="0.4">
      <c r="A2197" s="103"/>
      <c r="B2197" s="103"/>
      <c r="C2197" s="103"/>
      <c r="D2197" s="103"/>
      <c r="E2197" s="103"/>
      <c r="F2197" s="103"/>
      <c r="G2197" s="103"/>
      <c r="H2197" s="103"/>
      <c r="I2197" s="103"/>
      <c r="J2197" s="103"/>
      <c r="K2197" s="103"/>
      <c r="L2197" s="103"/>
      <c r="M2197" s="104"/>
      <c r="N2197" s="103"/>
    </row>
    <row r="2198" spans="1:14" ht="45" customHeight="1" thickBot="1" x14ac:dyDescent="0.4">
      <c r="A2198" s="103"/>
      <c r="B2198" s="103"/>
      <c r="C2198" s="103"/>
      <c r="D2198" s="103"/>
      <c r="E2198" s="103"/>
      <c r="F2198" s="103"/>
      <c r="G2198" s="103"/>
      <c r="H2198" s="103"/>
      <c r="I2198" s="103"/>
      <c r="J2198" s="103"/>
      <c r="K2198" s="103"/>
      <c r="L2198" s="103"/>
      <c r="M2198" s="104"/>
      <c r="N2198" s="103"/>
    </row>
    <row r="2199" spans="1:14" ht="45" customHeight="1" thickBot="1" x14ac:dyDescent="0.4">
      <c r="A2199" s="103"/>
      <c r="B2199" s="103"/>
      <c r="C2199" s="103"/>
      <c r="D2199" s="103"/>
      <c r="E2199" s="103"/>
      <c r="F2199" s="103"/>
      <c r="G2199" s="103"/>
      <c r="H2199" s="103"/>
      <c r="I2199" s="103"/>
      <c r="J2199" s="103"/>
      <c r="K2199" s="103"/>
      <c r="L2199" s="103"/>
      <c r="M2199" s="104"/>
      <c r="N2199" s="103"/>
    </row>
    <row r="2200" spans="1:14" ht="45" customHeight="1" thickBot="1" x14ac:dyDescent="0.4">
      <c r="A2200" s="103"/>
      <c r="B2200" s="103"/>
      <c r="C2200" s="103"/>
      <c r="D2200" s="103"/>
      <c r="E2200" s="103"/>
      <c r="F2200" s="103"/>
      <c r="G2200" s="103"/>
      <c r="H2200" s="103"/>
      <c r="I2200" s="103"/>
      <c r="J2200" s="103"/>
      <c r="K2200" s="103"/>
      <c r="L2200" s="103"/>
      <c r="M2200" s="104"/>
      <c r="N2200" s="103"/>
    </row>
    <row r="2201" spans="1:14" ht="45" customHeight="1" thickBot="1" x14ac:dyDescent="0.4">
      <c r="A2201" s="103"/>
      <c r="B2201" s="103"/>
      <c r="C2201" s="103"/>
      <c r="D2201" s="103"/>
      <c r="E2201" s="103"/>
      <c r="F2201" s="103"/>
      <c r="G2201" s="103"/>
      <c r="H2201" s="103"/>
      <c r="I2201" s="103"/>
      <c r="J2201" s="103"/>
      <c r="K2201" s="103"/>
      <c r="L2201" s="103"/>
      <c r="M2201" s="104"/>
      <c r="N2201" s="103"/>
    </row>
    <row r="2202" spans="1:14" ht="45" customHeight="1" thickBot="1" x14ac:dyDescent="0.4">
      <c r="A2202" s="103"/>
      <c r="B2202" s="103"/>
      <c r="C2202" s="103"/>
      <c r="D2202" s="103"/>
      <c r="E2202" s="103"/>
      <c r="F2202" s="103"/>
      <c r="G2202" s="103"/>
      <c r="H2202" s="103"/>
      <c r="I2202" s="103"/>
      <c r="J2202" s="103"/>
      <c r="K2202" s="103"/>
      <c r="L2202" s="103"/>
      <c r="M2202" s="104"/>
      <c r="N2202" s="103"/>
    </row>
    <row r="2203" spans="1:14" ht="45" customHeight="1" thickBot="1" x14ac:dyDescent="0.4">
      <c r="A2203" s="103"/>
      <c r="B2203" s="103"/>
      <c r="C2203" s="103"/>
      <c r="D2203" s="103"/>
      <c r="E2203" s="103"/>
      <c r="F2203" s="103"/>
      <c r="G2203" s="103"/>
      <c r="H2203" s="103"/>
      <c r="I2203" s="103"/>
      <c r="J2203" s="103"/>
      <c r="K2203" s="103"/>
      <c r="L2203" s="103"/>
      <c r="M2203" s="104"/>
      <c r="N2203" s="103"/>
    </row>
    <row r="2204" spans="1:14" ht="45" customHeight="1" thickBot="1" x14ac:dyDescent="0.4">
      <c r="A2204" s="103"/>
      <c r="B2204" s="103"/>
      <c r="C2204" s="103"/>
      <c r="D2204" s="103"/>
      <c r="E2204" s="103"/>
      <c r="F2204" s="103"/>
      <c r="G2204" s="103"/>
      <c r="H2204" s="103"/>
      <c r="I2204" s="103"/>
      <c r="J2204" s="103"/>
      <c r="K2204" s="103"/>
      <c r="L2204" s="103"/>
      <c r="M2204" s="104"/>
      <c r="N2204" s="103"/>
    </row>
    <row r="2205" spans="1:14" ht="45" customHeight="1" thickBot="1" x14ac:dyDescent="0.4">
      <c r="A2205" s="103"/>
      <c r="B2205" s="103"/>
      <c r="C2205" s="103"/>
      <c r="D2205" s="103"/>
      <c r="E2205" s="103"/>
      <c r="F2205" s="103"/>
      <c r="G2205" s="103"/>
      <c r="H2205" s="103"/>
      <c r="I2205" s="103"/>
      <c r="J2205" s="103"/>
      <c r="K2205" s="103"/>
      <c r="L2205" s="103"/>
      <c r="M2205" s="104"/>
      <c r="N2205" s="103"/>
    </row>
    <row r="2206" spans="1:14" ht="45" customHeight="1" thickBot="1" x14ac:dyDescent="0.4">
      <c r="A2206" s="103"/>
      <c r="B2206" s="103"/>
      <c r="C2206" s="103"/>
      <c r="D2206" s="103"/>
      <c r="E2206" s="103"/>
      <c r="F2206" s="103"/>
      <c r="G2206" s="103"/>
      <c r="H2206" s="103"/>
      <c r="I2206" s="103"/>
      <c r="J2206" s="103"/>
      <c r="K2206" s="103"/>
      <c r="L2206" s="103"/>
      <c r="M2206" s="104"/>
      <c r="N2206" s="103"/>
    </row>
    <row r="2207" spans="1:14" ht="45" customHeight="1" thickBot="1" x14ac:dyDescent="0.4">
      <c r="A2207" s="103"/>
      <c r="B2207" s="103"/>
      <c r="C2207" s="103"/>
      <c r="D2207" s="103"/>
      <c r="E2207" s="103"/>
      <c r="F2207" s="103"/>
      <c r="G2207" s="103"/>
      <c r="H2207" s="103"/>
      <c r="I2207" s="103"/>
      <c r="J2207" s="103"/>
      <c r="K2207" s="103"/>
      <c r="L2207" s="103"/>
      <c r="M2207" s="104"/>
      <c r="N2207" s="103"/>
    </row>
    <row r="2208" spans="1:14" ht="45" customHeight="1" thickBot="1" x14ac:dyDescent="0.4">
      <c r="A2208" s="103"/>
      <c r="B2208" s="103"/>
      <c r="C2208" s="103"/>
      <c r="D2208" s="103"/>
      <c r="E2208" s="103"/>
      <c r="F2208" s="103"/>
      <c r="G2208" s="103"/>
      <c r="H2208" s="103"/>
      <c r="I2208" s="103"/>
      <c r="J2208" s="103"/>
      <c r="K2208" s="103"/>
      <c r="L2208" s="103"/>
      <c r="M2208" s="104"/>
      <c r="N2208" s="103"/>
    </row>
    <row r="2209" spans="1:14" ht="45" customHeight="1" thickBot="1" x14ac:dyDescent="0.4">
      <c r="A2209" s="103"/>
      <c r="B2209" s="103"/>
      <c r="C2209" s="103"/>
      <c r="D2209" s="103"/>
      <c r="E2209" s="103"/>
      <c r="F2209" s="103"/>
      <c r="G2209" s="103"/>
      <c r="H2209" s="103"/>
      <c r="I2209" s="103"/>
      <c r="J2209" s="103"/>
      <c r="K2209" s="103"/>
      <c r="L2209" s="103"/>
      <c r="M2209" s="104"/>
      <c r="N2209" s="103"/>
    </row>
    <row r="2210" spans="1:14" ht="45" customHeight="1" thickBot="1" x14ac:dyDescent="0.4">
      <c r="A2210" s="103"/>
      <c r="B2210" s="103"/>
      <c r="C2210" s="103"/>
      <c r="D2210" s="103"/>
      <c r="E2210" s="103"/>
      <c r="F2210" s="103"/>
      <c r="G2210" s="103"/>
      <c r="H2210" s="103"/>
      <c r="I2210" s="103"/>
      <c r="J2210" s="103"/>
      <c r="K2210" s="103"/>
      <c r="L2210" s="103"/>
      <c r="M2210" s="104"/>
      <c r="N2210" s="103"/>
    </row>
    <row r="2211" spans="1:14" ht="45" customHeight="1" thickBot="1" x14ac:dyDescent="0.4">
      <c r="A2211" s="103"/>
      <c r="B2211" s="103"/>
      <c r="C2211" s="103"/>
      <c r="D2211" s="103"/>
      <c r="E2211" s="103"/>
      <c r="F2211" s="103"/>
      <c r="G2211" s="103"/>
      <c r="H2211" s="103"/>
      <c r="I2211" s="103"/>
      <c r="J2211" s="103"/>
      <c r="K2211" s="103"/>
      <c r="L2211" s="103"/>
      <c r="M2211" s="104"/>
      <c r="N2211" s="103"/>
    </row>
    <row r="2212" spans="1:14" ht="45" customHeight="1" thickBot="1" x14ac:dyDescent="0.4">
      <c r="A2212" s="103"/>
      <c r="B2212" s="103"/>
      <c r="C2212" s="103"/>
      <c r="D2212" s="103"/>
      <c r="E2212" s="103"/>
      <c r="F2212" s="103"/>
      <c r="G2212" s="103"/>
      <c r="H2212" s="103"/>
      <c r="I2212" s="103"/>
      <c r="J2212" s="103"/>
      <c r="K2212" s="103"/>
      <c r="L2212" s="103"/>
      <c r="M2212" s="104"/>
      <c r="N2212" s="103"/>
    </row>
    <row r="2213" spans="1:14" ht="45" customHeight="1" thickBot="1" x14ac:dyDescent="0.4">
      <c r="A2213" s="103"/>
      <c r="B2213" s="103"/>
      <c r="C2213" s="103"/>
      <c r="D2213" s="103"/>
      <c r="E2213" s="103"/>
      <c r="F2213" s="103"/>
      <c r="G2213" s="103"/>
      <c r="H2213" s="103"/>
      <c r="I2213" s="103"/>
      <c r="J2213" s="103"/>
      <c r="K2213" s="103"/>
      <c r="L2213" s="103"/>
      <c r="M2213" s="104"/>
      <c r="N2213" s="103"/>
    </row>
    <row r="2214" spans="1:14" ht="45" customHeight="1" thickBot="1" x14ac:dyDescent="0.4">
      <c r="A2214" s="103"/>
      <c r="B2214" s="103"/>
      <c r="C2214" s="103"/>
      <c r="D2214" s="103"/>
      <c r="E2214" s="103"/>
      <c r="F2214" s="103"/>
      <c r="G2214" s="103"/>
      <c r="H2214" s="103"/>
      <c r="I2214" s="103"/>
      <c r="J2214" s="103"/>
      <c r="K2214" s="103"/>
      <c r="L2214" s="103"/>
      <c r="M2214" s="104"/>
      <c r="N2214" s="103"/>
    </row>
    <row r="2215" spans="1:14" ht="45" customHeight="1" thickBot="1" x14ac:dyDescent="0.4">
      <c r="A2215" s="103"/>
      <c r="B2215" s="103"/>
      <c r="C2215" s="103"/>
      <c r="D2215" s="103"/>
      <c r="E2215" s="103"/>
      <c r="F2215" s="103"/>
      <c r="G2215" s="103"/>
      <c r="H2215" s="103"/>
      <c r="I2215" s="103"/>
      <c r="J2215" s="103"/>
      <c r="K2215" s="103"/>
      <c r="L2215" s="103"/>
      <c r="M2215" s="104"/>
      <c r="N2215" s="103"/>
    </row>
    <row r="2216" spans="1:14" ht="45" customHeight="1" thickBot="1" x14ac:dyDescent="0.4">
      <c r="A2216" s="103"/>
      <c r="B2216" s="103"/>
      <c r="C2216" s="103"/>
      <c r="D2216" s="103"/>
      <c r="E2216" s="103"/>
      <c r="F2216" s="103"/>
      <c r="G2216" s="103"/>
      <c r="H2216" s="103"/>
      <c r="I2216" s="103"/>
      <c r="J2216" s="103"/>
      <c r="K2216" s="103"/>
      <c r="L2216" s="103"/>
      <c r="M2216" s="104"/>
      <c r="N2216" s="103"/>
    </row>
    <row r="2217" spans="1:14" ht="45" customHeight="1" thickBot="1" x14ac:dyDescent="0.4">
      <c r="A2217" s="103"/>
      <c r="B2217" s="103"/>
      <c r="C2217" s="103"/>
      <c r="D2217" s="103"/>
      <c r="E2217" s="103"/>
      <c r="F2217" s="103"/>
      <c r="G2217" s="103"/>
      <c r="H2217" s="103"/>
      <c r="I2217" s="103"/>
      <c r="J2217" s="103"/>
      <c r="K2217" s="103"/>
      <c r="L2217" s="103"/>
      <c r="M2217" s="104"/>
      <c r="N2217" s="103"/>
    </row>
    <row r="2218" spans="1:14" ht="45" customHeight="1" thickBot="1" x14ac:dyDescent="0.4">
      <c r="A2218" s="103"/>
      <c r="B2218" s="103"/>
      <c r="C2218" s="103"/>
      <c r="D2218" s="103"/>
      <c r="E2218" s="103"/>
      <c r="F2218" s="103"/>
      <c r="G2218" s="103"/>
      <c r="H2218" s="103"/>
      <c r="I2218" s="103"/>
      <c r="J2218" s="103"/>
      <c r="K2218" s="103"/>
      <c r="L2218" s="103"/>
      <c r="M2218" s="104"/>
      <c r="N2218" s="103"/>
    </row>
    <row r="2219" spans="1:14" ht="45" customHeight="1" thickBot="1" x14ac:dyDescent="0.4">
      <c r="A2219" s="103"/>
      <c r="B2219" s="103"/>
      <c r="C2219" s="103"/>
      <c r="D2219" s="103"/>
      <c r="E2219" s="103"/>
      <c r="F2219" s="103"/>
      <c r="G2219" s="103"/>
      <c r="H2219" s="103"/>
      <c r="I2219" s="103"/>
      <c r="J2219" s="103"/>
      <c r="K2219" s="103"/>
      <c r="L2219" s="103"/>
      <c r="M2219" s="104"/>
      <c r="N2219" s="103"/>
    </row>
    <row r="2220" spans="1:14" ht="45" customHeight="1" thickBot="1" x14ac:dyDescent="0.4">
      <c r="A2220" s="103"/>
      <c r="B2220" s="103"/>
      <c r="C2220" s="103"/>
      <c r="D2220" s="103"/>
      <c r="E2220" s="103"/>
      <c r="F2220" s="103"/>
      <c r="G2220" s="103"/>
      <c r="H2220" s="103"/>
      <c r="I2220" s="103"/>
      <c r="J2220" s="103"/>
      <c r="K2220" s="103"/>
      <c r="L2220" s="103"/>
      <c r="M2220" s="104"/>
      <c r="N2220" s="103"/>
    </row>
    <row r="2221" spans="1:14" ht="45" customHeight="1" thickBot="1" x14ac:dyDescent="0.4">
      <c r="A2221" s="103"/>
      <c r="B2221" s="103"/>
      <c r="C2221" s="103"/>
      <c r="D2221" s="103"/>
      <c r="E2221" s="103"/>
      <c r="F2221" s="103"/>
      <c r="G2221" s="103"/>
      <c r="H2221" s="103"/>
      <c r="I2221" s="103"/>
      <c r="J2221" s="103"/>
      <c r="K2221" s="103"/>
      <c r="L2221" s="103"/>
      <c r="M2221" s="104"/>
      <c r="N2221" s="103"/>
    </row>
    <row r="2222" spans="1:14" ht="45" customHeight="1" thickBot="1" x14ac:dyDescent="0.4">
      <c r="A2222" s="103"/>
      <c r="B2222" s="103"/>
      <c r="C2222" s="103"/>
      <c r="D2222" s="103"/>
      <c r="E2222" s="103"/>
      <c r="F2222" s="103"/>
      <c r="G2222" s="103"/>
      <c r="H2222" s="103"/>
      <c r="I2222" s="103"/>
      <c r="J2222" s="103"/>
      <c r="K2222" s="103"/>
      <c r="L2222" s="103"/>
      <c r="M2222" s="104"/>
      <c r="N2222" s="103"/>
    </row>
    <row r="2223" spans="1:14" ht="45" customHeight="1" thickBot="1" x14ac:dyDescent="0.4">
      <c r="A2223" s="103"/>
      <c r="B2223" s="103"/>
      <c r="C2223" s="103"/>
      <c r="D2223" s="103"/>
      <c r="E2223" s="103"/>
      <c r="F2223" s="103"/>
      <c r="G2223" s="103"/>
      <c r="H2223" s="103"/>
      <c r="I2223" s="103"/>
      <c r="J2223" s="103"/>
      <c r="K2223" s="103"/>
      <c r="L2223" s="103"/>
      <c r="M2223" s="104"/>
      <c r="N2223" s="103"/>
    </row>
    <row r="2224" spans="1:14" ht="45" customHeight="1" thickBot="1" x14ac:dyDescent="0.4">
      <c r="A2224" s="103"/>
      <c r="B2224" s="103"/>
      <c r="C2224" s="103"/>
      <c r="D2224" s="103"/>
      <c r="E2224" s="103"/>
      <c r="F2224" s="103"/>
      <c r="G2224" s="103"/>
      <c r="H2224" s="103"/>
      <c r="I2224" s="103"/>
      <c r="J2224" s="103"/>
      <c r="K2224" s="103"/>
      <c r="L2224" s="103"/>
      <c r="M2224" s="104"/>
      <c r="N2224" s="103"/>
    </row>
    <row r="2225" spans="1:14" ht="45" customHeight="1" thickBot="1" x14ac:dyDescent="0.4">
      <c r="A2225" s="103"/>
      <c r="B2225" s="103"/>
      <c r="C2225" s="103"/>
      <c r="D2225" s="103"/>
      <c r="E2225" s="103"/>
      <c r="F2225" s="103"/>
      <c r="G2225" s="103"/>
      <c r="H2225" s="103"/>
      <c r="I2225" s="103"/>
      <c r="J2225" s="103"/>
      <c r="K2225" s="103"/>
      <c r="L2225" s="103"/>
      <c r="M2225" s="104"/>
      <c r="N2225" s="103"/>
    </row>
    <row r="2226" spans="1:14" ht="45" customHeight="1" thickBot="1" x14ac:dyDescent="0.4">
      <c r="A2226" s="103"/>
      <c r="B2226" s="103"/>
      <c r="C2226" s="103"/>
      <c r="D2226" s="103"/>
      <c r="E2226" s="103"/>
      <c r="F2226" s="103"/>
      <c r="G2226" s="103"/>
      <c r="H2226" s="103"/>
      <c r="I2226" s="103"/>
      <c r="J2226" s="103"/>
      <c r="K2226" s="103"/>
      <c r="L2226" s="103"/>
      <c r="M2226" s="104"/>
      <c r="N2226" s="103"/>
    </row>
    <row r="2227" spans="1:14" ht="45" customHeight="1" thickBot="1" x14ac:dyDescent="0.4">
      <c r="A2227" s="103"/>
      <c r="B2227" s="103"/>
      <c r="C2227" s="103"/>
      <c r="D2227" s="103"/>
      <c r="E2227" s="103"/>
      <c r="F2227" s="103"/>
      <c r="G2227" s="103"/>
      <c r="H2227" s="103"/>
      <c r="I2227" s="103"/>
      <c r="J2227" s="103"/>
      <c r="K2227" s="103"/>
      <c r="L2227" s="103"/>
      <c r="M2227" s="104"/>
      <c r="N2227" s="103"/>
    </row>
    <row r="2228" spans="1:14" ht="45" customHeight="1" thickBot="1" x14ac:dyDescent="0.4">
      <c r="A2228" s="103"/>
      <c r="B2228" s="103"/>
      <c r="C2228" s="103"/>
      <c r="D2228" s="103"/>
      <c r="E2228" s="103"/>
      <c r="F2228" s="103"/>
      <c r="G2228" s="103"/>
      <c r="H2228" s="103"/>
      <c r="I2228" s="103"/>
      <c r="J2228" s="103"/>
      <c r="K2228" s="103"/>
      <c r="L2228" s="103"/>
      <c r="M2228" s="104"/>
      <c r="N2228" s="103"/>
    </row>
    <row r="2229" spans="1:14" ht="45" customHeight="1" thickBot="1" x14ac:dyDescent="0.4">
      <c r="A2229" s="103"/>
      <c r="B2229" s="103"/>
      <c r="C2229" s="103"/>
      <c r="D2229" s="103"/>
      <c r="E2229" s="103"/>
      <c r="F2229" s="103"/>
      <c r="G2229" s="103"/>
      <c r="H2229" s="103"/>
      <c r="I2229" s="103"/>
      <c r="J2229" s="103"/>
      <c r="K2229" s="103"/>
      <c r="L2229" s="103"/>
      <c r="M2229" s="104"/>
      <c r="N2229" s="103"/>
    </row>
    <row r="2230" spans="1:14" ht="45" customHeight="1" thickBot="1" x14ac:dyDescent="0.4">
      <c r="A2230" s="103"/>
      <c r="B2230" s="103"/>
      <c r="C2230" s="103"/>
      <c r="D2230" s="103"/>
      <c r="E2230" s="103"/>
      <c r="F2230" s="103"/>
      <c r="G2230" s="103"/>
      <c r="H2230" s="103"/>
      <c r="I2230" s="103"/>
      <c r="J2230" s="103"/>
      <c r="K2230" s="103"/>
      <c r="L2230" s="103"/>
      <c r="M2230" s="104"/>
      <c r="N2230" s="103"/>
    </row>
    <row r="2231" spans="1:14" ht="45" customHeight="1" thickBot="1" x14ac:dyDescent="0.4">
      <c r="A2231" s="103"/>
      <c r="B2231" s="103"/>
      <c r="C2231" s="103"/>
      <c r="D2231" s="103"/>
      <c r="E2231" s="103"/>
      <c r="F2231" s="103"/>
      <c r="G2231" s="103"/>
      <c r="H2231" s="103"/>
      <c r="I2231" s="103"/>
      <c r="J2231" s="103"/>
      <c r="K2231" s="103"/>
      <c r="L2231" s="103"/>
      <c r="M2231" s="104"/>
      <c r="N2231" s="103"/>
    </row>
    <row r="2232" spans="1:14" ht="45" customHeight="1" thickBot="1" x14ac:dyDescent="0.4">
      <c r="A2232" s="103"/>
      <c r="B2232" s="103"/>
      <c r="C2232" s="103"/>
      <c r="D2232" s="103"/>
      <c r="E2232" s="103"/>
      <c r="F2232" s="103"/>
      <c r="G2232" s="103"/>
      <c r="H2232" s="103"/>
      <c r="I2232" s="103"/>
      <c r="J2232" s="103"/>
      <c r="K2232" s="103"/>
      <c r="L2232" s="103"/>
      <c r="M2232" s="104"/>
      <c r="N2232" s="103"/>
    </row>
    <row r="2233" spans="1:14" ht="45" customHeight="1" thickBot="1" x14ac:dyDescent="0.4">
      <c r="A2233" s="103"/>
      <c r="B2233" s="103"/>
      <c r="C2233" s="103"/>
      <c r="D2233" s="103"/>
      <c r="E2233" s="103"/>
      <c r="F2233" s="103"/>
      <c r="G2233" s="103"/>
      <c r="H2233" s="103"/>
      <c r="I2233" s="103"/>
      <c r="J2233" s="103"/>
      <c r="K2233" s="103"/>
      <c r="L2233" s="103"/>
      <c r="M2233" s="104"/>
      <c r="N2233" s="103"/>
    </row>
    <row r="2234" spans="1:14" ht="45" customHeight="1" thickBot="1" x14ac:dyDescent="0.4">
      <c r="A2234" s="103"/>
      <c r="B2234" s="103"/>
      <c r="C2234" s="103"/>
      <c r="D2234" s="103"/>
      <c r="E2234" s="103"/>
      <c r="F2234" s="103"/>
      <c r="G2234" s="103"/>
      <c r="H2234" s="103"/>
      <c r="I2234" s="103"/>
      <c r="J2234" s="103"/>
      <c r="K2234" s="103"/>
      <c r="L2234" s="103"/>
      <c r="M2234" s="104"/>
      <c r="N2234" s="103"/>
    </row>
    <row r="2235" spans="1:14" ht="45" customHeight="1" thickBot="1" x14ac:dyDescent="0.4">
      <c r="A2235" s="103"/>
      <c r="B2235" s="103"/>
      <c r="C2235" s="103"/>
      <c r="D2235" s="103"/>
      <c r="E2235" s="103"/>
      <c r="F2235" s="103"/>
      <c r="G2235" s="103"/>
      <c r="H2235" s="103"/>
      <c r="I2235" s="103"/>
      <c r="J2235" s="103"/>
      <c r="K2235" s="103"/>
      <c r="L2235" s="103"/>
      <c r="M2235" s="104"/>
      <c r="N2235" s="103"/>
    </row>
    <row r="2236" spans="1:14" ht="45" customHeight="1" thickBot="1" x14ac:dyDescent="0.4">
      <c r="A2236" s="103"/>
      <c r="B2236" s="103"/>
      <c r="C2236" s="103"/>
      <c r="D2236" s="103"/>
      <c r="E2236" s="103"/>
      <c r="F2236" s="103"/>
      <c r="G2236" s="103"/>
      <c r="H2236" s="103"/>
      <c r="I2236" s="103"/>
      <c r="J2236" s="103"/>
      <c r="K2236" s="103"/>
      <c r="L2236" s="103"/>
      <c r="M2236" s="104"/>
      <c r="N2236" s="103"/>
    </row>
    <row r="2237" spans="1:14" ht="45" customHeight="1" thickBot="1" x14ac:dyDescent="0.4">
      <c r="A2237" s="103"/>
      <c r="B2237" s="103"/>
      <c r="C2237" s="103"/>
      <c r="D2237" s="103"/>
      <c r="E2237" s="103"/>
      <c r="F2237" s="103"/>
      <c r="G2237" s="103"/>
      <c r="H2237" s="103"/>
      <c r="I2237" s="103"/>
      <c r="J2237" s="103"/>
      <c r="K2237" s="103"/>
      <c r="L2237" s="103"/>
      <c r="M2237" s="104"/>
      <c r="N2237" s="103"/>
    </row>
    <row r="2238" spans="1:14" ht="45" customHeight="1" thickBot="1" x14ac:dyDescent="0.4">
      <c r="A2238" s="103"/>
      <c r="B2238" s="103"/>
      <c r="C2238" s="103"/>
      <c r="D2238" s="103"/>
      <c r="E2238" s="103"/>
      <c r="F2238" s="103"/>
      <c r="G2238" s="103"/>
      <c r="H2238" s="103"/>
      <c r="I2238" s="103"/>
      <c r="J2238" s="103"/>
      <c r="K2238" s="103"/>
      <c r="L2238" s="103"/>
      <c r="M2238" s="104"/>
      <c r="N2238" s="103"/>
    </row>
    <row r="2239" spans="1:14" ht="45" customHeight="1" thickBot="1" x14ac:dyDescent="0.4">
      <c r="A2239" s="103"/>
      <c r="B2239" s="103"/>
      <c r="C2239" s="103"/>
      <c r="D2239" s="103"/>
      <c r="E2239" s="103"/>
      <c r="F2239" s="103"/>
      <c r="G2239" s="103"/>
      <c r="H2239" s="103"/>
      <c r="I2239" s="103"/>
      <c r="J2239" s="103"/>
      <c r="K2239" s="103"/>
      <c r="L2239" s="103"/>
      <c r="M2239" s="104"/>
      <c r="N2239" s="103"/>
    </row>
    <row r="2240" spans="1:14" ht="45" customHeight="1" thickBot="1" x14ac:dyDescent="0.4">
      <c r="A2240" s="103"/>
      <c r="B2240" s="103"/>
      <c r="C2240" s="103"/>
      <c r="D2240" s="103"/>
      <c r="E2240" s="103"/>
      <c r="F2240" s="103"/>
      <c r="G2240" s="103"/>
      <c r="H2240" s="103"/>
      <c r="I2240" s="103"/>
      <c r="J2240" s="103"/>
      <c r="K2240" s="103"/>
      <c r="L2240" s="103"/>
      <c r="M2240" s="104"/>
      <c r="N2240" s="103"/>
    </row>
    <row r="2241" spans="1:14" ht="45" customHeight="1" thickBot="1" x14ac:dyDescent="0.4">
      <c r="A2241" s="103"/>
      <c r="B2241" s="103"/>
      <c r="C2241" s="103"/>
      <c r="D2241" s="103"/>
      <c r="E2241" s="103"/>
      <c r="F2241" s="103"/>
      <c r="G2241" s="103"/>
      <c r="H2241" s="103"/>
      <c r="I2241" s="103"/>
      <c r="J2241" s="103"/>
      <c r="K2241" s="103"/>
      <c r="L2241" s="103"/>
      <c r="M2241" s="104"/>
      <c r="N2241" s="103"/>
    </row>
    <row r="2242" spans="1:14" ht="45" customHeight="1" thickBot="1" x14ac:dyDescent="0.4">
      <c r="A2242" s="103"/>
      <c r="B2242" s="103"/>
      <c r="C2242" s="103"/>
      <c r="D2242" s="103"/>
      <c r="E2242" s="103"/>
      <c r="F2242" s="103"/>
      <c r="G2242" s="103"/>
      <c r="H2242" s="103"/>
      <c r="I2242" s="103"/>
      <c r="J2242" s="103"/>
      <c r="K2242" s="103"/>
      <c r="L2242" s="103"/>
      <c r="M2242" s="104"/>
      <c r="N2242" s="103"/>
    </row>
    <row r="2243" spans="1:14" ht="45" customHeight="1" thickBot="1" x14ac:dyDescent="0.4">
      <c r="A2243" s="103"/>
      <c r="B2243" s="103"/>
      <c r="C2243" s="103"/>
      <c r="D2243" s="103"/>
      <c r="E2243" s="103"/>
      <c r="F2243" s="103"/>
      <c r="G2243" s="103"/>
      <c r="H2243" s="103"/>
      <c r="I2243" s="103"/>
      <c r="J2243" s="103"/>
      <c r="K2243" s="103"/>
      <c r="L2243" s="103"/>
      <c r="M2243" s="104"/>
      <c r="N2243" s="103"/>
    </row>
    <row r="2244" spans="1:14" ht="45" customHeight="1" thickBot="1" x14ac:dyDescent="0.4">
      <c r="A2244" s="103"/>
      <c r="B2244" s="103"/>
      <c r="C2244" s="103"/>
      <c r="D2244" s="103"/>
      <c r="E2244" s="103"/>
      <c r="F2244" s="103"/>
      <c r="G2244" s="103"/>
      <c r="H2244" s="103"/>
      <c r="I2244" s="103"/>
      <c r="J2244" s="103"/>
      <c r="K2244" s="103"/>
      <c r="L2244" s="103"/>
      <c r="M2244" s="104"/>
      <c r="N2244" s="103"/>
    </row>
    <row r="2245" spans="1:14" ht="45" customHeight="1" thickBot="1" x14ac:dyDescent="0.4">
      <c r="A2245" s="103"/>
      <c r="B2245" s="103"/>
      <c r="C2245" s="103"/>
      <c r="D2245" s="103"/>
      <c r="E2245" s="103"/>
      <c r="F2245" s="103"/>
      <c r="G2245" s="103"/>
      <c r="H2245" s="103"/>
      <c r="I2245" s="103"/>
      <c r="J2245" s="103"/>
      <c r="K2245" s="103"/>
      <c r="L2245" s="103"/>
      <c r="M2245" s="104"/>
      <c r="N2245" s="103"/>
    </row>
    <row r="2246" spans="1:14" ht="45" customHeight="1" thickBot="1" x14ac:dyDescent="0.4">
      <c r="A2246" s="103"/>
      <c r="B2246" s="103"/>
      <c r="C2246" s="103"/>
      <c r="D2246" s="103"/>
      <c r="E2246" s="103"/>
      <c r="F2246" s="103"/>
      <c r="G2246" s="103"/>
      <c r="H2246" s="103"/>
      <c r="I2246" s="103"/>
      <c r="J2246" s="103"/>
      <c r="K2246" s="103"/>
      <c r="L2246" s="103"/>
      <c r="M2246" s="104"/>
      <c r="N2246" s="103"/>
    </row>
    <row r="2247" spans="1:14" ht="45" customHeight="1" thickBot="1" x14ac:dyDescent="0.4">
      <c r="A2247" s="103"/>
      <c r="B2247" s="103"/>
      <c r="C2247" s="103"/>
      <c r="D2247" s="103"/>
      <c r="E2247" s="103"/>
      <c r="F2247" s="103"/>
      <c r="G2247" s="103"/>
      <c r="H2247" s="103"/>
      <c r="I2247" s="103"/>
      <c r="J2247" s="103"/>
      <c r="K2247" s="103"/>
      <c r="L2247" s="103"/>
      <c r="M2247" s="104"/>
      <c r="N2247" s="103"/>
    </row>
    <row r="2248" spans="1:14" ht="45" customHeight="1" thickBot="1" x14ac:dyDescent="0.4">
      <c r="A2248" s="103"/>
      <c r="B2248" s="103"/>
      <c r="C2248" s="103"/>
      <c r="D2248" s="103"/>
      <c r="E2248" s="103"/>
      <c r="F2248" s="103"/>
      <c r="G2248" s="103"/>
      <c r="H2248" s="103"/>
      <c r="I2248" s="103"/>
      <c r="J2248" s="103"/>
      <c r="K2248" s="103"/>
      <c r="L2248" s="103"/>
      <c r="M2248" s="104"/>
      <c r="N2248" s="103"/>
    </row>
    <row r="2249" spans="1:14" ht="45" customHeight="1" thickBot="1" x14ac:dyDescent="0.4">
      <c r="A2249" s="103"/>
      <c r="B2249" s="103"/>
      <c r="C2249" s="103"/>
      <c r="D2249" s="103"/>
      <c r="E2249" s="103"/>
      <c r="F2249" s="103"/>
      <c r="G2249" s="103"/>
      <c r="H2249" s="103"/>
      <c r="I2249" s="103"/>
      <c r="J2249" s="103"/>
      <c r="K2249" s="103"/>
      <c r="L2249" s="103"/>
      <c r="M2249" s="104"/>
      <c r="N2249" s="103"/>
    </row>
    <row r="2250" spans="1:14" ht="45" customHeight="1" thickBot="1" x14ac:dyDescent="0.4">
      <c r="A2250" s="103"/>
      <c r="B2250" s="103"/>
      <c r="C2250" s="103"/>
      <c r="D2250" s="103"/>
      <c r="E2250" s="103"/>
      <c r="F2250" s="103"/>
      <c r="G2250" s="103"/>
      <c r="H2250" s="103"/>
      <c r="I2250" s="103"/>
      <c r="J2250" s="103"/>
      <c r="K2250" s="103"/>
      <c r="L2250" s="103"/>
      <c r="M2250" s="104"/>
      <c r="N2250" s="103"/>
    </row>
    <row r="2251" spans="1:14" ht="45" customHeight="1" thickBot="1" x14ac:dyDescent="0.4">
      <c r="A2251" s="103"/>
      <c r="B2251" s="103"/>
      <c r="C2251" s="103"/>
      <c r="D2251" s="103"/>
      <c r="E2251" s="103"/>
      <c r="F2251" s="103"/>
      <c r="G2251" s="103"/>
      <c r="H2251" s="103"/>
      <c r="I2251" s="103"/>
      <c r="J2251" s="103"/>
      <c r="K2251" s="103"/>
      <c r="L2251" s="103"/>
      <c r="M2251" s="104"/>
      <c r="N2251" s="103"/>
    </row>
    <row r="2252" spans="1:14" ht="45" customHeight="1" thickBot="1" x14ac:dyDescent="0.4">
      <c r="A2252" s="103"/>
      <c r="B2252" s="103"/>
      <c r="C2252" s="103"/>
      <c r="D2252" s="103"/>
      <c r="E2252" s="103"/>
      <c r="F2252" s="103"/>
      <c r="G2252" s="103"/>
      <c r="H2252" s="103"/>
      <c r="I2252" s="103"/>
      <c r="J2252" s="103"/>
      <c r="K2252" s="103"/>
      <c r="L2252" s="103"/>
      <c r="M2252" s="104"/>
      <c r="N2252" s="103"/>
    </row>
    <row r="2253" spans="1:14" ht="45" customHeight="1" thickBot="1" x14ac:dyDescent="0.4">
      <c r="A2253" s="103"/>
      <c r="B2253" s="103"/>
      <c r="C2253" s="103"/>
      <c r="D2253" s="103"/>
      <c r="E2253" s="103"/>
      <c r="F2253" s="103"/>
      <c r="G2253" s="103"/>
      <c r="H2253" s="103"/>
      <c r="I2253" s="103"/>
      <c r="J2253" s="103"/>
      <c r="K2253" s="103"/>
      <c r="L2253" s="103"/>
      <c r="M2253" s="104"/>
      <c r="N2253" s="103"/>
    </row>
    <row r="2254" spans="1:14" ht="45" customHeight="1" thickBot="1" x14ac:dyDescent="0.4">
      <c r="A2254" s="103"/>
      <c r="B2254" s="103"/>
      <c r="C2254" s="103"/>
      <c r="D2254" s="103"/>
      <c r="E2254" s="103"/>
      <c r="F2254" s="103"/>
      <c r="G2254" s="103"/>
      <c r="H2254" s="103"/>
      <c r="I2254" s="103"/>
      <c r="J2254" s="103"/>
      <c r="K2254" s="103"/>
      <c r="L2254" s="103"/>
      <c r="M2254" s="104"/>
      <c r="N2254" s="103"/>
    </row>
    <row r="2255" spans="1:14" ht="45" customHeight="1" thickBot="1" x14ac:dyDescent="0.4">
      <c r="A2255" s="103"/>
      <c r="B2255" s="103"/>
      <c r="C2255" s="103"/>
      <c r="D2255" s="103"/>
      <c r="E2255" s="103"/>
      <c r="F2255" s="103"/>
      <c r="G2255" s="103"/>
      <c r="H2255" s="103"/>
      <c r="I2255" s="103"/>
      <c r="J2255" s="103"/>
      <c r="K2255" s="103"/>
      <c r="L2255" s="103"/>
      <c r="M2255" s="104"/>
      <c r="N2255" s="103"/>
    </row>
    <row r="2256" spans="1:14" ht="45" customHeight="1" thickBot="1" x14ac:dyDescent="0.4">
      <c r="A2256" s="103"/>
      <c r="B2256" s="103"/>
      <c r="C2256" s="103"/>
      <c r="D2256" s="103"/>
      <c r="E2256" s="103"/>
      <c r="F2256" s="103"/>
      <c r="G2256" s="103"/>
      <c r="H2256" s="103"/>
      <c r="I2256" s="103"/>
      <c r="J2256" s="103"/>
      <c r="K2256" s="103"/>
      <c r="L2256" s="103"/>
      <c r="M2256" s="104"/>
      <c r="N2256" s="103"/>
    </row>
    <row r="2257" spans="1:14" ht="45" customHeight="1" thickBot="1" x14ac:dyDescent="0.4">
      <c r="A2257" s="103"/>
      <c r="B2257" s="103"/>
      <c r="C2257" s="103"/>
      <c r="D2257" s="103"/>
      <c r="E2257" s="103"/>
      <c r="F2257" s="103"/>
      <c r="G2257" s="103"/>
      <c r="H2257" s="103"/>
      <c r="I2257" s="103"/>
      <c r="J2257" s="103"/>
      <c r="K2257" s="103"/>
      <c r="L2257" s="103"/>
      <c r="M2257" s="104"/>
      <c r="N2257" s="103"/>
    </row>
    <row r="2258" spans="1:14" ht="45" customHeight="1" thickBot="1" x14ac:dyDescent="0.4">
      <c r="A2258" s="103"/>
      <c r="B2258" s="103"/>
      <c r="C2258" s="103"/>
      <c r="D2258" s="103"/>
      <c r="E2258" s="103"/>
      <c r="F2258" s="103"/>
      <c r="G2258" s="103"/>
      <c r="H2258" s="103"/>
      <c r="I2258" s="103"/>
      <c r="J2258" s="103"/>
      <c r="K2258" s="103"/>
      <c r="L2258" s="103"/>
      <c r="M2258" s="104"/>
      <c r="N2258" s="103"/>
    </row>
    <row r="2259" spans="1:14" ht="45" customHeight="1" thickBot="1" x14ac:dyDescent="0.4">
      <c r="A2259" s="103"/>
      <c r="B2259" s="103"/>
      <c r="C2259" s="103"/>
      <c r="D2259" s="103"/>
      <c r="E2259" s="103"/>
      <c r="F2259" s="103"/>
      <c r="G2259" s="103"/>
      <c r="H2259" s="103"/>
      <c r="I2259" s="103"/>
      <c r="J2259" s="103"/>
      <c r="K2259" s="103"/>
      <c r="L2259" s="103"/>
      <c r="M2259" s="104"/>
      <c r="N2259" s="103"/>
    </row>
    <row r="2260" spans="1:14" ht="45" customHeight="1" thickBot="1" x14ac:dyDescent="0.4">
      <c r="A2260" s="103"/>
      <c r="B2260" s="103"/>
      <c r="C2260" s="103"/>
      <c r="D2260" s="103"/>
      <c r="E2260" s="103"/>
      <c r="F2260" s="103"/>
      <c r="G2260" s="103"/>
      <c r="H2260" s="103"/>
      <c r="I2260" s="103"/>
      <c r="J2260" s="103"/>
      <c r="K2260" s="103"/>
      <c r="L2260" s="103"/>
      <c r="M2260" s="104"/>
      <c r="N2260" s="103"/>
    </row>
    <row r="2261" spans="1:14" ht="45" customHeight="1" thickBot="1" x14ac:dyDescent="0.4">
      <c r="A2261" s="103"/>
      <c r="B2261" s="103"/>
      <c r="C2261" s="103"/>
      <c r="D2261" s="103"/>
      <c r="E2261" s="103"/>
      <c r="F2261" s="103"/>
      <c r="G2261" s="103"/>
      <c r="H2261" s="103"/>
      <c r="I2261" s="103"/>
      <c r="J2261" s="103"/>
      <c r="K2261" s="103"/>
      <c r="L2261" s="103"/>
      <c r="M2261" s="104"/>
      <c r="N2261" s="103"/>
    </row>
    <row r="2262" spans="1:14" ht="45" customHeight="1" thickBot="1" x14ac:dyDescent="0.4">
      <c r="A2262" s="103"/>
      <c r="B2262" s="103"/>
      <c r="C2262" s="103"/>
      <c r="D2262" s="103"/>
      <c r="E2262" s="103"/>
      <c r="F2262" s="103"/>
      <c r="G2262" s="103"/>
      <c r="H2262" s="103"/>
      <c r="I2262" s="103"/>
      <c r="J2262" s="103"/>
      <c r="K2262" s="103"/>
      <c r="L2262" s="103"/>
      <c r="M2262" s="104"/>
      <c r="N2262" s="103"/>
    </row>
    <row r="2263" spans="1:14" ht="45" customHeight="1" thickBot="1" x14ac:dyDescent="0.4">
      <c r="A2263" s="103"/>
      <c r="B2263" s="103"/>
      <c r="C2263" s="103"/>
      <c r="D2263" s="103"/>
      <c r="E2263" s="103"/>
      <c r="F2263" s="103"/>
      <c r="G2263" s="103"/>
      <c r="H2263" s="103"/>
      <c r="I2263" s="103"/>
      <c r="J2263" s="103"/>
      <c r="K2263" s="103"/>
      <c r="L2263" s="103"/>
      <c r="M2263" s="104"/>
      <c r="N2263" s="103"/>
    </row>
    <row r="2264" spans="1:14" ht="45" customHeight="1" thickBot="1" x14ac:dyDescent="0.4">
      <c r="A2264" s="103"/>
      <c r="B2264" s="103"/>
      <c r="C2264" s="103"/>
      <c r="D2264" s="103"/>
      <c r="E2264" s="103"/>
      <c r="F2264" s="103"/>
      <c r="G2264" s="103"/>
      <c r="H2264" s="103"/>
      <c r="I2264" s="103"/>
      <c r="J2264" s="103"/>
      <c r="K2264" s="103"/>
      <c r="L2264" s="103"/>
      <c r="M2264" s="104"/>
      <c r="N2264" s="103"/>
    </row>
    <row r="2265" spans="1:14" ht="45" customHeight="1" thickBot="1" x14ac:dyDescent="0.4">
      <c r="A2265" s="103"/>
      <c r="B2265" s="103"/>
      <c r="C2265" s="103"/>
      <c r="D2265" s="103"/>
      <c r="E2265" s="103"/>
      <c r="F2265" s="103"/>
      <c r="G2265" s="103"/>
      <c r="H2265" s="103"/>
      <c r="I2265" s="103"/>
      <c r="J2265" s="103"/>
      <c r="K2265" s="103"/>
      <c r="L2265" s="103"/>
      <c r="M2265" s="104"/>
      <c r="N2265" s="103"/>
    </row>
    <row r="2266" spans="1:14" ht="45" customHeight="1" thickBot="1" x14ac:dyDescent="0.4">
      <c r="A2266" s="103"/>
      <c r="B2266" s="103"/>
      <c r="C2266" s="103"/>
      <c r="D2266" s="103"/>
      <c r="E2266" s="103"/>
      <c r="F2266" s="103"/>
      <c r="G2266" s="103"/>
      <c r="H2266" s="103"/>
      <c r="I2266" s="103"/>
      <c r="J2266" s="103"/>
      <c r="K2266" s="103"/>
      <c r="L2266" s="103"/>
      <c r="M2266" s="104"/>
      <c r="N2266" s="103"/>
    </row>
    <row r="2267" spans="1:14" ht="45" customHeight="1" thickBot="1" x14ac:dyDescent="0.4">
      <c r="A2267" s="103"/>
      <c r="B2267" s="103"/>
      <c r="C2267" s="103"/>
      <c r="D2267" s="103"/>
      <c r="E2267" s="103"/>
      <c r="F2267" s="103"/>
      <c r="G2267" s="103"/>
      <c r="H2267" s="103"/>
      <c r="I2267" s="103"/>
      <c r="J2267" s="103"/>
      <c r="K2267" s="103"/>
      <c r="L2267" s="103"/>
      <c r="M2267" s="104"/>
      <c r="N2267" s="103"/>
    </row>
    <row r="2268" spans="1:14" ht="45" customHeight="1" thickBot="1" x14ac:dyDescent="0.4">
      <c r="A2268" s="103"/>
      <c r="B2268" s="103"/>
      <c r="C2268" s="103"/>
      <c r="D2268" s="103"/>
      <c r="E2268" s="103"/>
      <c r="F2268" s="103"/>
      <c r="G2268" s="103"/>
      <c r="H2268" s="103"/>
      <c r="I2268" s="103"/>
      <c r="J2268" s="103"/>
      <c r="K2268" s="103"/>
      <c r="L2268" s="103"/>
      <c r="M2268" s="104"/>
      <c r="N2268" s="103"/>
    </row>
    <row r="2269" spans="1:14" ht="45" customHeight="1" thickBot="1" x14ac:dyDescent="0.4">
      <c r="A2269" s="103"/>
      <c r="B2269" s="103"/>
      <c r="C2269" s="103"/>
      <c r="D2269" s="103"/>
      <c r="E2269" s="103"/>
      <c r="F2269" s="103"/>
      <c r="G2269" s="103"/>
      <c r="H2269" s="103"/>
      <c r="I2269" s="103"/>
      <c r="J2269" s="103"/>
      <c r="K2269" s="103"/>
      <c r="L2269" s="103"/>
      <c r="M2269" s="104"/>
      <c r="N2269" s="103"/>
    </row>
    <row r="2270" spans="1:14" ht="45" customHeight="1" thickBot="1" x14ac:dyDescent="0.4">
      <c r="A2270" s="103"/>
      <c r="B2270" s="103"/>
      <c r="C2270" s="103"/>
      <c r="D2270" s="103"/>
      <c r="E2270" s="103"/>
      <c r="F2270" s="103"/>
      <c r="G2270" s="103"/>
      <c r="H2270" s="103"/>
      <c r="I2270" s="103"/>
      <c r="J2270" s="103"/>
      <c r="K2270" s="103"/>
      <c r="L2270" s="103"/>
      <c r="M2270" s="104"/>
      <c r="N2270" s="103"/>
    </row>
    <row r="2271" spans="1:14" ht="45" customHeight="1" thickBot="1" x14ac:dyDescent="0.4">
      <c r="A2271" s="103"/>
      <c r="B2271" s="103"/>
      <c r="C2271" s="103"/>
      <c r="D2271" s="103"/>
      <c r="E2271" s="103"/>
      <c r="F2271" s="103"/>
      <c r="G2271" s="103"/>
      <c r="H2271" s="103"/>
      <c r="I2271" s="103"/>
      <c r="J2271" s="103"/>
      <c r="K2271" s="103"/>
      <c r="L2271" s="103"/>
      <c r="M2271" s="104"/>
      <c r="N2271" s="103"/>
    </row>
    <row r="2272" spans="1:14" ht="45" customHeight="1" thickBot="1" x14ac:dyDescent="0.4">
      <c r="A2272" s="103"/>
      <c r="B2272" s="103"/>
      <c r="C2272" s="103"/>
      <c r="D2272" s="103"/>
      <c r="E2272" s="103"/>
      <c r="F2272" s="103"/>
      <c r="G2272" s="103"/>
      <c r="H2272" s="103"/>
      <c r="I2272" s="103"/>
      <c r="J2272" s="103"/>
      <c r="K2272" s="103"/>
      <c r="L2272" s="103"/>
      <c r="M2272" s="104"/>
      <c r="N2272" s="103"/>
    </row>
    <row r="2273" spans="1:14" ht="45" customHeight="1" thickBot="1" x14ac:dyDescent="0.4">
      <c r="A2273" s="103"/>
      <c r="B2273" s="103"/>
      <c r="C2273" s="103"/>
      <c r="D2273" s="103"/>
      <c r="E2273" s="103"/>
      <c r="F2273" s="103"/>
      <c r="G2273" s="103"/>
      <c r="H2273" s="103"/>
      <c r="I2273" s="103"/>
      <c r="J2273" s="103"/>
      <c r="K2273" s="103"/>
      <c r="L2273" s="103"/>
      <c r="M2273" s="104"/>
      <c r="N2273" s="103"/>
    </row>
    <row r="2274" spans="1:14" ht="45" customHeight="1" thickBot="1" x14ac:dyDescent="0.4">
      <c r="A2274" s="103"/>
      <c r="B2274" s="103"/>
      <c r="C2274" s="103"/>
      <c r="D2274" s="103"/>
      <c r="E2274" s="103"/>
      <c r="F2274" s="103"/>
      <c r="G2274" s="103"/>
      <c r="H2274" s="103"/>
      <c r="I2274" s="103"/>
      <c r="J2274" s="103"/>
      <c r="K2274" s="103"/>
      <c r="L2274" s="103"/>
      <c r="M2274" s="104"/>
      <c r="N2274" s="103"/>
    </row>
    <row r="2275" spans="1:14" ht="45" customHeight="1" thickBot="1" x14ac:dyDescent="0.4">
      <c r="A2275" s="103"/>
      <c r="B2275" s="103"/>
      <c r="C2275" s="103"/>
      <c r="D2275" s="103"/>
      <c r="E2275" s="103"/>
      <c r="F2275" s="103"/>
      <c r="G2275" s="103"/>
      <c r="H2275" s="103"/>
      <c r="I2275" s="103"/>
      <c r="J2275" s="103"/>
      <c r="K2275" s="103"/>
      <c r="L2275" s="103"/>
      <c r="M2275" s="104"/>
      <c r="N2275" s="103"/>
    </row>
    <row r="2276" spans="1:14" ht="45" customHeight="1" thickBot="1" x14ac:dyDescent="0.4">
      <c r="A2276" s="103"/>
      <c r="B2276" s="103"/>
      <c r="C2276" s="103"/>
      <c r="D2276" s="103"/>
      <c r="E2276" s="103"/>
      <c r="F2276" s="103"/>
      <c r="G2276" s="103"/>
      <c r="H2276" s="103"/>
      <c r="I2276" s="103"/>
      <c r="J2276" s="103"/>
      <c r="K2276" s="103"/>
      <c r="L2276" s="103"/>
      <c r="M2276" s="104"/>
      <c r="N2276" s="103"/>
    </row>
    <row r="2277" spans="1:14" ht="45" customHeight="1" thickBot="1" x14ac:dyDescent="0.4">
      <c r="A2277" s="103"/>
      <c r="B2277" s="103"/>
      <c r="C2277" s="103"/>
      <c r="D2277" s="103"/>
      <c r="E2277" s="103"/>
      <c r="F2277" s="103"/>
      <c r="G2277" s="103"/>
      <c r="H2277" s="103"/>
      <c r="I2277" s="103"/>
      <c r="J2277" s="103"/>
      <c r="K2277" s="103"/>
      <c r="L2277" s="103"/>
      <c r="M2277" s="104"/>
      <c r="N2277" s="103"/>
    </row>
    <row r="2278" spans="1:14" ht="45" customHeight="1" thickBot="1" x14ac:dyDescent="0.4">
      <c r="A2278" s="103"/>
      <c r="B2278" s="103"/>
      <c r="C2278" s="103"/>
      <c r="D2278" s="103"/>
      <c r="E2278" s="103"/>
      <c r="F2278" s="103"/>
      <c r="G2278" s="103"/>
      <c r="H2278" s="103"/>
      <c r="I2278" s="103"/>
      <c r="J2278" s="103"/>
      <c r="K2278" s="103"/>
      <c r="L2278" s="103"/>
      <c r="M2278" s="104"/>
      <c r="N2278" s="103"/>
    </row>
    <row r="2279" spans="1:14" ht="45" customHeight="1" thickBot="1" x14ac:dyDescent="0.4">
      <c r="A2279" s="103"/>
      <c r="B2279" s="103"/>
      <c r="C2279" s="103"/>
      <c r="D2279" s="103"/>
      <c r="E2279" s="103"/>
      <c r="F2279" s="103"/>
      <c r="G2279" s="103"/>
      <c r="H2279" s="103"/>
      <c r="I2279" s="103"/>
      <c r="J2279" s="103"/>
      <c r="K2279" s="103"/>
      <c r="L2279" s="103"/>
      <c r="M2279" s="104"/>
      <c r="N2279" s="103"/>
    </row>
    <row r="2280" spans="1:14" ht="45" customHeight="1" thickBot="1" x14ac:dyDescent="0.4">
      <c r="A2280" s="103"/>
      <c r="B2280" s="103"/>
      <c r="C2280" s="103"/>
      <c r="D2280" s="103"/>
      <c r="E2280" s="103"/>
      <c r="F2280" s="103"/>
      <c r="G2280" s="103"/>
      <c r="H2280" s="103"/>
      <c r="I2280" s="103"/>
      <c r="J2280" s="103"/>
      <c r="K2280" s="103"/>
      <c r="L2280" s="103"/>
      <c r="M2280" s="104"/>
      <c r="N2280" s="103"/>
    </row>
    <row r="2281" spans="1:14" ht="45" customHeight="1" thickBot="1" x14ac:dyDescent="0.4">
      <c r="A2281" s="103"/>
      <c r="B2281" s="103"/>
      <c r="C2281" s="103"/>
      <c r="D2281" s="103"/>
      <c r="E2281" s="103"/>
      <c r="F2281" s="103"/>
      <c r="G2281" s="103"/>
      <c r="H2281" s="103"/>
      <c r="I2281" s="103"/>
      <c r="J2281" s="103"/>
      <c r="K2281" s="103"/>
      <c r="L2281" s="103"/>
      <c r="M2281" s="104"/>
      <c r="N2281" s="103"/>
    </row>
    <row r="2282" spans="1:14" ht="45" customHeight="1" thickBot="1" x14ac:dyDescent="0.4">
      <c r="A2282" s="103"/>
      <c r="B2282" s="103"/>
      <c r="C2282" s="103"/>
      <c r="D2282" s="103"/>
      <c r="E2282" s="103"/>
      <c r="F2282" s="103"/>
      <c r="G2282" s="103"/>
      <c r="H2282" s="103"/>
      <c r="I2282" s="103"/>
      <c r="J2282" s="103"/>
      <c r="K2282" s="103"/>
      <c r="L2282" s="103"/>
      <c r="M2282" s="104"/>
      <c r="N2282" s="103"/>
    </row>
    <row r="2283" spans="1:14" ht="45" customHeight="1" thickBot="1" x14ac:dyDescent="0.4">
      <c r="A2283" s="103"/>
      <c r="B2283" s="103"/>
      <c r="C2283" s="103"/>
      <c r="D2283" s="103"/>
      <c r="E2283" s="103"/>
      <c r="F2283" s="103"/>
      <c r="G2283" s="103"/>
      <c r="H2283" s="103"/>
      <c r="I2283" s="103"/>
      <c r="J2283" s="103"/>
      <c r="K2283" s="103"/>
      <c r="L2283" s="103"/>
      <c r="M2283" s="104"/>
      <c r="N2283" s="103"/>
    </row>
    <row r="2284" spans="1:14" ht="45" customHeight="1" thickBot="1" x14ac:dyDescent="0.4">
      <c r="A2284" s="103"/>
      <c r="B2284" s="103"/>
      <c r="C2284" s="103"/>
      <c r="D2284" s="103"/>
      <c r="E2284" s="103"/>
      <c r="F2284" s="103"/>
      <c r="G2284" s="103"/>
      <c r="H2284" s="103"/>
      <c r="I2284" s="103"/>
      <c r="J2284" s="103"/>
      <c r="K2284" s="103"/>
      <c r="L2284" s="103"/>
      <c r="M2284" s="104"/>
      <c r="N2284" s="103"/>
    </row>
    <row r="2285" spans="1:14" ht="45" customHeight="1" thickBot="1" x14ac:dyDescent="0.4">
      <c r="A2285" s="103"/>
      <c r="B2285" s="103"/>
      <c r="C2285" s="103"/>
      <c r="D2285" s="103"/>
      <c r="E2285" s="103"/>
      <c r="F2285" s="103"/>
      <c r="G2285" s="103"/>
      <c r="H2285" s="103"/>
      <c r="I2285" s="103"/>
      <c r="J2285" s="103"/>
      <c r="K2285" s="103"/>
      <c r="L2285" s="103"/>
      <c r="M2285" s="104"/>
      <c r="N2285" s="103"/>
    </row>
    <row r="2286" spans="1:14" ht="45" customHeight="1" thickBot="1" x14ac:dyDescent="0.4">
      <c r="A2286" s="103"/>
      <c r="B2286" s="103"/>
      <c r="C2286" s="103"/>
      <c r="D2286" s="103"/>
      <c r="E2286" s="103"/>
      <c r="F2286" s="103"/>
      <c r="G2286" s="103"/>
      <c r="H2286" s="103"/>
      <c r="I2286" s="103"/>
      <c r="J2286" s="103"/>
      <c r="K2286" s="103"/>
      <c r="L2286" s="103"/>
      <c r="M2286" s="104"/>
      <c r="N2286" s="103"/>
    </row>
    <row r="2287" spans="1:14" ht="45" customHeight="1" thickBot="1" x14ac:dyDescent="0.4">
      <c r="A2287" s="103"/>
      <c r="B2287" s="103"/>
      <c r="C2287" s="103"/>
      <c r="D2287" s="103"/>
      <c r="E2287" s="103"/>
      <c r="F2287" s="103"/>
      <c r="G2287" s="103"/>
      <c r="H2287" s="103"/>
      <c r="I2287" s="103"/>
      <c r="J2287" s="103"/>
      <c r="K2287" s="103"/>
      <c r="L2287" s="103"/>
      <c r="M2287" s="104"/>
      <c r="N2287" s="103"/>
    </row>
    <row r="2288" spans="1:14" ht="45" customHeight="1" thickBot="1" x14ac:dyDescent="0.4">
      <c r="A2288" s="103"/>
      <c r="B2288" s="103"/>
      <c r="C2288" s="103"/>
      <c r="D2288" s="103"/>
      <c r="E2288" s="103"/>
      <c r="F2288" s="103"/>
      <c r="G2288" s="103"/>
      <c r="H2288" s="103"/>
      <c r="I2288" s="103"/>
      <c r="J2288" s="103"/>
      <c r="K2288" s="103"/>
      <c r="L2288" s="103"/>
      <c r="M2288" s="104"/>
      <c r="N2288" s="103"/>
    </row>
    <row r="2289" spans="1:14" ht="45" customHeight="1" thickBot="1" x14ac:dyDescent="0.4">
      <c r="A2289" s="103"/>
      <c r="B2289" s="103"/>
      <c r="C2289" s="103"/>
      <c r="D2289" s="103"/>
      <c r="E2289" s="103"/>
      <c r="F2289" s="103"/>
      <c r="G2289" s="103"/>
      <c r="H2289" s="103"/>
      <c r="I2289" s="103"/>
      <c r="J2289" s="103"/>
      <c r="K2289" s="103"/>
      <c r="L2289" s="103"/>
      <c r="M2289" s="104"/>
      <c r="N2289" s="103"/>
    </row>
    <row r="2290" spans="1:14" ht="45" customHeight="1" thickBot="1" x14ac:dyDescent="0.4">
      <c r="A2290" s="103"/>
      <c r="B2290" s="103"/>
      <c r="C2290" s="103"/>
      <c r="D2290" s="103"/>
      <c r="E2290" s="103"/>
      <c r="F2290" s="103"/>
      <c r="G2290" s="103"/>
      <c r="H2290" s="103"/>
      <c r="I2290" s="103"/>
      <c r="J2290" s="103"/>
      <c r="K2290" s="103"/>
      <c r="L2290" s="103"/>
      <c r="M2290" s="104"/>
      <c r="N2290" s="103"/>
    </row>
    <row r="2291" spans="1:14" ht="45" customHeight="1" thickBot="1" x14ac:dyDescent="0.4">
      <c r="A2291" s="103"/>
      <c r="B2291" s="103"/>
      <c r="C2291" s="103"/>
      <c r="D2291" s="103"/>
      <c r="E2291" s="103"/>
      <c r="F2291" s="103"/>
      <c r="G2291" s="103"/>
      <c r="H2291" s="103"/>
      <c r="I2291" s="103"/>
      <c r="J2291" s="103"/>
      <c r="K2291" s="103"/>
      <c r="L2291" s="103"/>
      <c r="M2291" s="104"/>
      <c r="N2291" s="103"/>
    </row>
    <row r="2292" spans="1:14" ht="45" customHeight="1" thickBot="1" x14ac:dyDescent="0.4">
      <c r="A2292" s="103"/>
      <c r="B2292" s="103"/>
      <c r="C2292" s="103"/>
      <c r="D2292" s="103"/>
      <c r="E2292" s="103"/>
      <c r="F2292" s="103"/>
      <c r="G2292" s="103"/>
      <c r="H2292" s="103"/>
      <c r="I2292" s="103"/>
      <c r="J2292" s="103"/>
      <c r="K2292" s="103"/>
      <c r="L2292" s="103"/>
      <c r="M2292" s="104"/>
      <c r="N2292" s="103"/>
    </row>
    <row r="2293" spans="1:14" ht="45" customHeight="1" thickBot="1" x14ac:dyDescent="0.4">
      <c r="A2293" s="103"/>
      <c r="B2293" s="103"/>
      <c r="C2293" s="103"/>
      <c r="D2293" s="103"/>
      <c r="E2293" s="103"/>
      <c r="F2293" s="103"/>
      <c r="G2293" s="103"/>
      <c r="H2293" s="103"/>
      <c r="I2293" s="103"/>
      <c r="J2293" s="103"/>
      <c r="K2293" s="103"/>
      <c r="L2293" s="103"/>
      <c r="M2293" s="104"/>
      <c r="N2293" s="103"/>
    </row>
    <row r="2294" spans="1:14" ht="45" customHeight="1" thickBot="1" x14ac:dyDescent="0.4">
      <c r="A2294" s="103"/>
      <c r="B2294" s="103"/>
      <c r="C2294" s="103"/>
      <c r="D2294" s="103"/>
      <c r="E2294" s="103"/>
      <c r="F2294" s="103"/>
      <c r="G2294" s="103"/>
      <c r="H2294" s="103"/>
      <c r="I2294" s="103"/>
      <c r="J2294" s="103"/>
      <c r="K2294" s="103"/>
      <c r="L2294" s="103"/>
      <c r="M2294" s="104"/>
      <c r="N2294" s="103"/>
    </row>
    <row r="2295" spans="1:14" ht="45" customHeight="1" thickBot="1" x14ac:dyDescent="0.4">
      <c r="A2295" s="103"/>
      <c r="B2295" s="103"/>
      <c r="C2295" s="103"/>
      <c r="D2295" s="103"/>
      <c r="E2295" s="103"/>
      <c r="F2295" s="103"/>
      <c r="G2295" s="103"/>
      <c r="H2295" s="103"/>
      <c r="I2295" s="103"/>
      <c r="J2295" s="103"/>
      <c r="K2295" s="103"/>
      <c r="L2295" s="103"/>
      <c r="M2295" s="104"/>
      <c r="N2295" s="103"/>
    </row>
    <row r="2296" spans="1:14" ht="45" customHeight="1" thickBot="1" x14ac:dyDescent="0.4">
      <c r="A2296" s="103"/>
      <c r="B2296" s="103"/>
      <c r="C2296" s="103"/>
      <c r="D2296" s="103"/>
      <c r="E2296" s="103"/>
      <c r="F2296" s="103"/>
      <c r="G2296" s="103"/>
      <c r="H2296" s="103"/>
      <c r="I2296" s="103"/>
      <c r="J2296" s="103"/>
      <c r="K2296" s="103"/>
      <c r="L2296" s="103"/>
      <c r="M2296" s="104"/>
      <c r="N2296" s="103"/>
    </row>
    <row r="2297" spans="1:14" ht="45" customHeight="1" thickBot="1" x14ac:dyDescent="0.4">
      <c r="A2297" s="103"/>
      <c r="B2297" s="103"/>
      <c r="C2297" s="103"/>
      <c r="D2297" s="103"/>
      <c r="E2297" s="103"/>
      <c r="F2297" s="103"/>
      <c r="G2297" s="103"/>
      <c r="H2297" s="103"/>
      <c r="I2297" s="103"/>
      <c r="J2297" s="103"/>
      <c r="K2297" s="103"/>
      <c r="L2297" s="103"/>
      <c r="M2297" s="104"/>
      <c r="N2297" s="103"/>
    </row>
    <row r="2298" spans="1:14" ht="45" customHeight="1" thickBot="1" x14ac:dyDescent="0.4">
      <c r="A2298" s="103"/>
      <c r="B2298" s="103"/>
      <c r="C2298" s="103"/>
      <c r="D2298" s="103"/>
      <c r="E2298" s="103"/>
      <c r="F2298" s="103"/>
      <c r="G2298" s="103"/>
      <c r="H2298" s="103"/>
      <c r="I2298" s="103"/>
      <c r="J2298" s="103"/>
      <c r="K2298" s="103"/>
      <c r="L2298" s="103"/>
      <c r="M2298" s="104"/>
      <c r="N2298" s="103"/>
    </row>
    <row r="2299" spans="1:14" ht="45" customHeight="1" thickBot="1" x14ac:dyDescent="0.4">
      <c r="A2299" s="103"/>
      <c r="B2299" s="103"/>
      <c r="C2299" s="103"/>
      <c r="D2299" s="103"/>
      <c r="E2299" s="103"/>
      <c r="F2299" s="103"/>
      <c r="G2299" s="103"/>
      <c r="H2299" s="103"/>
      <c r="I2299" s="103"/>
      <c r="J2299" s="103"/>
      <c r="K2299" s="103"/>
      <c r="L2299" s="103"/>
      <c r="M2299" s="104"/>
      <c r="N2299" s="103"/>
    </row>
    <row r="2300" spans="1:14" ht="45" customHeight="1" thickBot="1" x14ac:dyDescent="0.4">
      <c r="A2300" s="103"/>
      <c r="B2300" s="103"/>
      <c r="C2300" s="103"/>
      <c r="D2300" s="103"/>
      <c r="E2300" s="103"/>
      <c r="F2300" s="103"/>
      <c r="G2300" s="103"/>
      <c r="H2300" s="103"/>
      <c r="I2300" s="103"/>
      <c r="J2300" s="103"/>
      <c r="K2300" s="103"/>
      <c r="L2300" s="103"/>
      <c r="M2300" s="104"/>
      <c r="N2300" s="103"/>
    </row>
    <row r="2301" spans="1:14" ht="45" customHeight="1" thickBot="1" x14ac:dyDescent="0.4">
      <c r="A2301" s="103"/>
      <c r="B2301" s="103"/>
      <c r="C2301" s="103"/>
      <c r="D2301" s="103"/>
      <c r="E2301" s="103"/>
      <c r="F2301" s="103"/>
      <c r="G2301" s="103"/>
      <c r="H2301" s="103"/>
      <c r="I2301" s="103"/>
      <c r="J2301" s="103"/>
      <c r="K2301" s="103"/>
      <c r="L2301" s="103"/>
      <c r="M2301" s="104"/>
      <c r="N2301" s="103"/>
    </row>
    <row r="2302" spans="1:14" ht="45" customHeight="1" thickBot="1" x14ac:dyDescent="0.4">
      <c r="A2302" s="103"/>
      <c r="B2302" s="103"/>
      <c r="C2302" s="103"/>
      <c r="D2302" s="103"/>
      <c r="E2302" s="103"/>
      <c r="F2302" s="103"/>
      <c r="G2302" s="103"/>
      <c r="H2302" s="103"/>
      <c r="I2302" s="103"/>
      <c r="J2302" s="103"/>
      <c r="K2302" s="103"/>
      <c r="L2302" s="103"/>
      <c r="M2302" s="104"/>
      <c r="N2302" s="103"/>
    </row>
    <row r="2303" spans="1:14" ht="45" customHeight="1" thickBot="1" x14ac:dyDescent="0.4">
      <c r="A2303" s="103"/>
      <c r="B2303" s="103"/>
      <c r="C2303" s="103"/>
      <c r="D2303" s="103"/>
      <c r="E2303" s="103"/>
      <c r="F2303" s="103"/>
      <c r="G2303" s="103"/>
      <c r="H2303" s="103"/>
      <c r="I2303" s="103"/>
      <c r="J2303" s="103"/>
      <c r="K2303" s="103"/>
      <c r="L2303" s="103"/>
      <c r="M2303" s="104"/>
      <c r="N2303" s="103"/>
    </row>
    <row r="2304" spans="1:14" ht="45" customHeight="1" thickBot="1" x14ac:dyDescent="0.4">
      <c r="A2304" s="103"/>
      <c r="B2304" s="103"/>
      <c r="C2304" s="103"/>
      <c r="D2304" s="103"/>
      <c r="E2304" s="103"/>
      <c r="F2304" s="103"/>
      <c r="G2304" s="103"/>
      <c r="H2304" s="103"/>
      <c r="I2304" s="103"/>
      <c r="J2304" s="103"/>
      <c r="K2304" s="103"/>
      <c r="L2304" s="103"/>
      <c r="M2304" s="104"/>
      <c r="N2304" s="103"/>
    </row>
    <row r="2305" spans="1:14" ht="45" customHeight="1" thickBot="1" x14ac:dyDescent="0.4">
      <c r="A2305" s="103"/>
      <c r="B2305" s="103"/>
      <c r="C2305" s="103"/>
      <c r="D2305" s="103"/>
      <c r="E2305" s="103"/>
      <c r="F2305" s="103"/>
      <c r="G2305" s="103"/>
      <c r="H2305" s="103"/>
      <c r="I2305" s="103"/>
      <c r="J2305" s="103"/>
      <c r="K2305" s="103"/>
      <c r="L2305" s="103"/>
      <c r="M2305" s="104"/>
      <c r="N2305" s="103"/>
    </row>
    <row r="2306" spans="1:14" ht="45" customHeight="1" thickBot="1" x14ac:dyDescent="0.4">
      <c r="A2306" s="103"/>
      <c r="B2306" s="103"/>
      <c r="C2306" s="103"/>
      <c r="D2306" s="103"/>
      <c r="E2306" s="103"/>
      <c r="F2306" s="103"/>
      <c r="G2306" s="103"/>
      <c r="H2306" s="103"/>
      <c r="I2306" s="103"/>
      <c r="J2306" s="103"/>
      <c r="K2306" s="103"/>
      <c r="L2306" s="103"/>
      <c r="M2306" s="104"/>
      <c r="N2306" s="103"/>
    </row>
    <row r="2307" spans="1:14" ht="45" customHeight="1" thickBot="1" x14ac:dyDescent="0.4">
      <c r="A2307" s="103"/>
      <c r="B2307" s="103"/>
      <c r="C2307" s="103"/>
      <c r="D2307" s="103"/>
      <c r="E2307" s="103"/>
      <c r="F2307" s="103"/>
      <c r="G2307" s="103"/>
      <c r="H2307" s="103"/>
      <c r="I2307" s="103"/>
      <c r="J2307" s="103"/>
      <c r="K2307" s="103"/>
      <c r="L2307" s="103"/>
      <c r="M2307" s="104"/>
      <c r="N2307" s="103"/>
    </row>
    <row r="2308" spans="1:14" ht="45" customHeight="1" thickBot="1" x14ac:dyDescent="0.4">
      <c r="A2308" s="103"/>
      <c r="B2308" s="103"/>
      <c r="C2308" s="103"/>
      <c r="D2308" s="103"/>
      <c r="E2308" s="103"/>
      <c r="F2308" s="103"/>
      <c r="G2308" s="103"/>
      <c r="H2308" s="103"/>
      <c r="I2308" s="103"/>
      <c r="J2308" s="103"/>
      <c r="K2308" s="103"/>
      <c r="L2308" s="103"/>
      <c r="M2308" s="104"/>
      <c r="N2308" s="103"/>
    </row>
    <row r="2309" spans="1:14" ht="45" customHeight="1" thickBot="1" x14ac:dyDescent="0.4">
      <c r="A2309" s="103"/>
      <c r="B2309" s="103"/>
      <c r="C2309" s="103"/>
      <c r="D2309" s="103"/>
      <c r="E2309" s="103"/>
      <c r="F2309" s="103"/>
      <c r="G2309" s="103"/>
      <c r="H2309" s="103"/>
      <c r="I2309" s="103"/>
      <c r="J2309" s="103"/>
      <c r="K2309" s="103"/>
      <c r="L2309" s="103"/>
      <c r="M2309" s="104"/>
      <c r="N2309" s="103"/>
    </row>
    <row r="2310" spans="1:14" ht="45" customHeight="1" thickBot="1" x14ac:dyDescent="0.4">
      <c r="A2310" s="103"/>
      <c r="B2310" s="103"/>
      <c r="C2310" s="103"/>
      <c r="D2310" s="103"/>
      <c r="E2310" s="103"/>
      <c r="F2310" s="103"/>
      <c r="G2310" s="103"/>
      <c r="H2310" s="103"/>
      <c r="I2310" s="103"/>
      <c r="J2310" s="103"/>
      <c r="K2310" s="103"/>
      <c r="L2310" s="103"/>
      <c r="M2310" s="104"/>
      <c r="N2310" s="103"/>
    </row>
    <row r="2311" spans="1:14" ht="45" customHeight="1" thickBot="1" x14ac:dyDescent="0.4">
      <c r="A2311" s="103"/>
      <c r="B2311" s="103"/>
      <c r="C2311" s="103"/>
      <c r="D2311" s="103"/>
      <c r="E2311" s="103"/>
      <c r="F2311" s="103"/>
      <c r="G2311" s="103"/>
      <c r="H2311" s="103"/>
      <c r="I2311" s="103"/>
      <c r="J2311" s="103"/>
      <c r="K2311" s="103"/>
      <c r="L2311" s="103"/>
      <c r="M2311" s="104"/>
      <c r="N2311" s="103"/>
    </row>
    <row r="2312" spans="1:14" ht="45" customHeight="1" thickBot="1" x14ac:dyDescent="0.4">
      <c r="A2312" s="103"/>
      <c r="B2312" s="103"/>
      <c r="C2312" s="103"/>
      <c r="D2312" s="103"/>
      <c r="E2312" s="103"/>
      <c r="F2312" s="103"/>
      <c r="G2312" s="103"/>
      <c r="H2312" s="103"/>
      <c r="I2312" s="103"/>
      <c r="J2312" s="103"/>
      <c r="K2312" s="103"/>
      <c r="L2312" s="103"/>
      <c r="M2312" s="104"/>
      <c r="N2312" s="103"/>
    </row>
    <row r="2313" spans="1:14" ht="45" customHeight="1" thickBot="1" x14ac:dyDescent="0.4">
      <c r="A2313" s="103"/>
      <c r="B2313" s="103"/>
      <c r="C2313" s="103"/>
      <c r="D2313" s="103"/>
      <c r="E2313" s="103"/>
      <c r="F2313" s="103"/>
      <c r="G2313" s="103"/>
      <c r="H2313" s="103"/>
      <c r="I2313" s="103"/>
      <c r="J2313" s="103"/>
      <c r="K2313" s="103"/>
      <c r="L2313" s="103"/>
      <c r="M2313" s="104"/>
      <c r="N2313" s="103"/>
    </row>
    <row r="2314" spans="1:14" ht="45" customHeight="1" thickBot="1" x14ac:dyDescent="0.4">
      <c r="A2314" s="103"/>
      <c r="B2314" s="103"/>
      <c r="C2314" s="103"/>
      <c r="D2314" s="103"/>
      <c r="E2314" s="103"/>
      <c r="F2314" s="103"/>
      <c r="G2314" s="103"/>
      <c r="H2314" s="103"/>
      <c r="I2314" s="103"/>
      <c r="J2314" s="103"/>
      <c r="K2314" s="103"/>
      <c r="L2314" s="103"/>
      <c r="M2314" s="104"/>
      <c r="N2314" s="103"/>
    </row>
    <row r="2315" spans="1:14" ht="45" customHeight="1" thickBot="1" x14ac:dyDescent="0.4">
      <c r="A2315" s="103"/>
      <c r="B2315" s="103"/>
      <c r="C2315" s="103"/>
      <c r="D2315" s="103"/>
      <c r="E2315" s="103"/>
      <c r="F2315" s="103"/>
      <c r="G2315" s="103"/>
      <c r="H2315" s="103"/>
      <c r="I2315" s="103"/>
      <c r="J2315" s="103"/>
      <c r="K2315" s="103"/>
      <c r="L2315" s="103"/>
      <c r="M2315" s="104"/>
      <c r="N2315" s="103"/>
    </row>
    <row r="2316" spans="1:14" ht="45" customHeight="1" thickBot="1" x14ac:dyDescent="0.4">
      <c r="A2316" s="103"/>
      <c r="B2316" s="103"/>
      <c r="C2316" s="103"/>
      <c r="D2316" s="103"/>
      <c r="E2316" s="103"/>
      <c r="F2316" s="103"/>
      <c r="G2316" s="103"/>
      <c r="H2316" s="103"/>
      <c r="I2316" s="103"/>
      <c r="J2316" s="103"/>
      <c r="K2316" s="103"/>
      <c r="L2316" s="103"/>
      <c r="M2316" s="104"/>
      <c r="N2316" s="103"/>
    </row>
    <row r="2317" spans="1:14" ht="45" customHeight="1" thickBot="1" x14ac:dyDescent="0.4">
      <c r="A2317" s="103"/>
      <c r="B2317" s="103"/>
      <c r="C2317" s="103"/>
      <c r="D2317" s="103"/>
      <c r="E2317" s="103"/>
      <c r="F2317" s="103"/>
      <c r="G2317" s="103"/>
      <c r="H2317" s="103"/>
      <c r="I2317" s="103"/>
      <c r="J2317" s="103"/>
      <c r="K2317" s="103"/>
      <c r="L2317" s="103"/>
      <c r="M2317" s="104"/>
      <c r="N2317" s="103"/>
    </row>
    <row r="2318" spans="1:14" ht="45" customHeight="1" thickBot="1" x14ac:dyDescent="0.4">
      <c r="A2318" s="103"/>
      <c r="B2318" s="103"/>
      <c r="C2318" s="103"/>
      <c r="D2318" s="103"/>
      <c r="E2318" s="103"/>
      <c r="F2318" s="103"/>
      <c r="G2318" s="103"/>
      <c r="H2318" s="103"/>
      <c r="I2318" s="103"/>
      <c r="J2318" s="103"/>
      <c r="K2318" s="103"/>
      <c r="L2318" s="103"/>
      <c r="M2318" s="104"/>
      <c r="N2318" s="103"/>
    </row>
    <row r="2319" spans="1:14" ht="45" customHeight="1" thickBot="1" x14ac:dyDescent="0.4">
      <c r="A2319" s="103"/>
      <c r="B2319" s="103"/>
      <c r="C2319" s="103"/>
      <c r="D2319" s="103"/>
      <c r="E2319" s="103"/>
      <c r="F2319" s="103"/>
      <c r="G2319" s="103"/>
      <c r="H2319" s="103"/>
      <c r="I2319" s="103"/>
      <c r="J2319" s="103"/>
      <c r="K2319" s="103"/>
      <c r="L2319" s="103"/>
      <c r="M2319" s="104"/>
      <c r="N2319" s="103"/>
    </row>
    <row r="2320" spans="1:14" ht="45" customHeight="1" thickBot="1" x14ac:dyDescent="0.4">
      <c r="A2320" s="103"/>
      <c r="B2320" s="103"/>
      <c r="C2320" s="103"/>
      <c r="D2320" s="103"/>
      <c r="E2320" s="103"/>
      <c r="F2320" s="103"/>
      <c r="G2320" s="103"/>
      <c r="H2320" s="103"/>
      <c r="I2320" s="103"/>
      <c r="J2320" s="103"/>
      <c r="K2320" s="103"/>
      <c r="L2320" s="103"/>
      <c r="M2320" s="104"/>
      <c r="N2320" s="103"/>
    </row>
    <row r="2321" spans="1:14" ht="45" customHeight="1" thickBot="1" x14ac:dyDescent="0.4">
      <c r="A2321" s="103"/>
      <c r="B2321" s="103"/>
      <c r="C2321" s="103"/>
      <c r="D2321" s="103"/>
      <c r="E2321" s="103"/>
      <c r="F2321" s="103"/>
      <c r="G2321" s="103"/>
      <c r="H2321" s="103"/>
      <c r="I2321" s="103"/>
      <c r="J2321" s="103"/>
      <c r="K2321" s="103"/>
      <c r="L2321" s="103"/>
      <c r="M2321" s="104"/>
      <c r="N2321" s="103"/>
    </row>
    <row r="2322" spans="1:14" ht="45" customHeight="1" thickBot="1" x14ac:dyDescent="0.4">
      <c r="A2322" s="103"/>
      <c r="B2322" s="103"/>
      <c r="C2322" s="103"/>
      <c r="D2322" s="103"/>
      <c r="E2322" s="103"/>
      <c r="F2322" s="103"/>
      <c r="G2322" s="103"/>
      <c r="H2322" s="103"/>
      <c r="I2322" s="103"/>
      <c r="J2322" s="103"/>
      <c r="K2322" s="103"/>
      <c r="L2322" s="103"/>
      <c r="M2322" s="104"/>
      <c r="N2322" s="103"/>
    </row>
    <row r="2323" spans="1:14" ht="45" customHeight="1" thickBot="1" x14ac:dyDescent="0.4">
      <c r="A2323" s="103"/>
      <c r="B2323" s="103"/>
      <c r="C2323" s="103"/>
      <c r="D2323" s="103"/>
      <c r="E2323" s="103"/>
      <c r="F2323" s="103"/>
      <c r="G2323" s="103"/>
      <c r="H2323" s="103"/>
      <c r="I2323" s="103"/>
      <c r="J2323" s="103"/>
      <c r="K2323" s="103"/>
      <c r="L2323" s="103"/>
      <c r="M2323" s="104"/>
      <c r="N2323" s="103"/>
    </row>
    <row r="2324" spans="1:14" ht="45" customHeight="1" thickBot="1" x14ac:dyDescent="0.4">
      <c r="A2324" s="103"/>
      <c r="B2324" s="103"/>
      <c r="C2324" s="103"/>
      <c r="D2324" s="103"/>
      <c r="E2324" s="103"/>
      <c r="F2324" s="103"/>
      <c r="G2324" s="103"/>
      <c r="H2324" s="103"/>
      <c r="I2324" s="103"/>
      <c r="J2324" s="103"/>
      <c r="K2324" s="103"/>
      <c r="L2324" s="103"/>
      <c r="M2324" s="104"/>
      <c r="N2324" s="103"/>
    </row>
    <row r="2325" spans="1:14" ht="45" customHeight="1" thickBot="1" x14ac:dyDescent="0.4">
      <c r="A2325" s="103"/>
      <c r="B2325" s="103"/>
      <c r="C2325" s="103"/>
      <c r="D2325" s="103"/>
      <c r="E2325" s="103"/>
      <c r="F2325" s="103"/>
      <c r="G2325" s="103"/>
      <c r="H2325" s="103"/>
      <c r="I2325" s="103"/>
      <c r="J2325" s="103"/>
      <c r="K2325" s="103"/>
      <c r="L2325" s="103"/>
      <c r="M2325" s="104"/>
      <c r="N2325" s="103"/>
    </row>
    <row r="2326" spans="1:14" ht="45" customHeight="1" thickBot="1" x14ac:dyDescent="0.4">
      <c r="A2326" s="103"/>
      <c r="B2326" s="103"/>
      <c r="C2326" s="103"/>
      <c r="D2326" s="103"/>
      <c r="E2326" s="103"/>
      <c r="F2326" s="103"/>
      <c r="G2326" s="103"/>
      <c r="H2326" s="103"/>
      <c r="I2326" s="103"/>
      <c r="J2326" s="103"/>
      <c r="K2326" s="103"/>
      <c r="L2326" s="103"/>
      <c r="M2326" s="104"/>
      <c r="N2326" s="103"/>
    </row>
    <row r="2327" spans="1:14" ht="45" customHeight="1" thickBot="1" x14ac:dyDescent="0.4">
      <c r="A2327" s="103"/>
      <c r="B2327" s="103"/>
      <c r="C2327" s="103"/>
      <c r="D2327" s="103"/>
      <c r="E2327" s="103"/>
      <c r="F2327" s="103"/>
      <c r="G2327" s="103"/>
      <c r="H2327" s="103"/>
      <c r="I2327" s="103"/>
      <c r="J2327" s="103"/>
      <c r="K2327" s="103"/>
      <c r="L2327" s="103"/>
      <c r="M2327" s="104"/>
      <c r="N2327" s="103"/>
    </row>
    <row r="2328" spans="1:14" ht="45" customHeight="1" thickBot="1" x14ac:dyDescent="0.4">
      <c r="A2328" s="103"/>
      <c r="B2328" s="103"/>
      <c r="C2328" s="103"/>
      <c r="D2328" s="103"/>
      <c r="E2328" s="103"/>
      <c r="F2328" s="103"/>
      <c r="G2328" s="103"/>
      <c r="H2328" s="103"/>
      <c r="I2328" s="103"/>
      <c r="J2328" s="103"/>
      <c r="K2328" s="103"/>
      <c r="L2328" s="103"/>
      <c r="M2328" s="104"/>
      <c r="N2328" s="103"/>
    </row>
    <row r="2329" spans="1:14" ht="45" customHeight="1" thickBot="1" x14ac:dyDescent="0.4">
      <c r="A2329" s="103"/>
      <c r="B2329" s="103"/>
      <c r="C2329" s="103"/>
      <c r="D2329" s="103"/>
      <c r="E2329" s="103"/>
      <c r="F2329" s="103"/>
      <c r="G2329" s="103"/>
      <c r="H2329" s="103"/>
      <c r="I2329" s="103"/>
      <c r="J2329" s="103"/>
      <c r="K2329" s="103"/>
      <c r="L2329" s="103"/>
      <c r="M2329" s="104"/>
      <c r="N2329" s="103"/>
    </row>
    <row r="2330" spans="1:14" ht="45" customHeight="1" thickBot="1" x14ac:dyDescent="0.4">
      <c r="A2330" s="103"/>
      <c r="B2330" s="103"/>
      <c r="C2330" s="103"/>
      <c r="D2330" s="103"/>
      <c r="E2330" s="103"/>
      <c r="F2330" s="103"/>
      <c r="G2330" s="103"/>
      <c r="H2330" s="103"/>
      <c r="I2330" s="103"/>
      <c r="J2330" s="103"/>
      <c r="K2330" s="103"/>
      <c r="L2330" s="103"/>
      <c r="M2330" s="104"/>
      <c r="N2330" s="103"/>
    </row>
    <row r="2331" spans="1:14" ht="45" customHeight="1" thickBot="1" x14ac:dyDescent="0.4">
      <c r="A2331" s="103"/>
      <c r="B2331" s="103"/>
      <c r="C2331" s="103"/>
      <c r="D2331" s="103"/>
      <c r="E2331" s="103"/>
      <c r="F2331" s="103"/>
      <c r="G2331" s="103"/>
      <c r="H2331" s="103"/>
      <c r="I2331" s="103"/>
      <c r="J2331" s="103"/>
      <c r="K2331" s="103"/>
      <c r="L2331" s="103"/>
      <c r="M2331" s="104"/>
      <c r="N2331" s="103"/>
    </row>
    <row r="2332" spans="1:14" ht="45" customHeight="1" thickBot="1" x14ac:dyDescent="0.4">
      <c r="A2332" s="103"/>
      <c r="B2332" s="103"/>
      <c r="C2332" s="103"/>
      <c r="D2332" s="103"/>
      <c r="E2332" s="103"/>
      <c r="F2332" s="103"/>
      <c r="G2332" s="103"/>
      <c r="H2332" s="103"/>
      <c r="I2332" s="103"/>
      <c r="J2332" s="103"/>
      <c r="K2332" s="103"/>
      <c r="L2332" s="103"/>
      <c r="M2332" s="104"/>
      <c r="N2332" s="103"/>
    </row>
    <row r="2333" spans="1:14" ht="45" customHeight="1" thickBot="1" x14ac:dyDescent="0.4">
      <c r="A2333" s="103"/>
      <c r="B2333" s="103"/>
      <c r="C2333" s="103"/>
      <c r="D2333" s="103"/>
      <c r="E2333" s="103"/>
      <c r="F2333" s="103"/>
      <c r="G2333" s="103"/>
      <c r="H2333" s="103"/>
      <c r="I2333" s="103"/>
      <c r="J2333" s="103"/>
      <c r="K2333" s="103"/>
      <c r="L2333" s="103"/>
      <c r="M2333" s="104"/>
      <c r="N2333" s="103"/>
    </row>
    <row r="2334" spans="1:14" ht="45" customHeight="1" thickBot="1" x14ac:dyDescent="0.4">
      <c r="A2334" s="103"/>
      <c r="B2334" s="103"/>
      <c r="C2334" s="103"/>
      <c r="D2334" s="103"/>
      <c r="E2334" s="103"/>
      <c r="F2334" s="103"/>
      <c r="G2334" s="103"/>
      <c r="H2334" s="103"/>
      <c r="I2334" s="103"/>
      <c r="J2334" s="103"/>
      <c r="K2334" s="103"/>
      <c r="L2334" s="103"/>
      <c r="M2334" s="104"/>
      <c r="N2334" s="103"/>
    </row>
    <row r="2335" spans="1:14" ht="45" customHeight="1" thickBot="1" x14ac:dyDescent="0.4">
      <c r="A2335" s="103"/>
      <c r="B2335" s="103"/>
      <c r="C2335" s="103"/>
      <c r="D2335" s="103"/>
      <c r="E2335" s="103"/>
      <c r="F2335" s="103"/>
      <c r="G2335" s="103"/>
      <c r="H2335" s="103"/>
      <c r="I2335" s="103"/>
      <c r="J2335" s="103"/>
      <c r="K2335" s="103"/>
      <c r="L2335" s="103"/>
      <c r="M2335" s="104"/>
      <c r="N2335" s="103"/>
    </row>
    <row r="2336" spans="1:14" ht="45" customHeight="1" thickBot="1" x14ac:dyDescent="0.4">
      <c r="A2336" s="103"/>
      <c r="B2336" s="103"/>
      <c r="C2336" s="103"/>
      <c r="D2336" s="103"/>
      <c r="E2336" s="103"/>
      <c r="F2336" s="103"/>
      <c r="G2336" s="103"/>
      <c r="H2336" s="103"/>
      <c r="I2336" s="103"/>
      <c r="J2336" s="103"/>
      <c r="K2336" s="103"/>
      <c r="L2336" s="103"/>
      <c r="M2336" s="104"/>
      <c r="N2336" s="103"/>
    </row>
    <row r="2337" spans="1:14" ht="45" customHeight="1" thickBot="1" x14ac:dyDescent="0.4">
      <c r="A2337" s="103"/>
      <c r="B2337" s="103"/>
      <c r="C2337" s="103"/>
      <c r="D2337" s="103"/>
      <c r="E2337" s="103"/>
      <c r="F2337" s="103"/>
      <c r="G2337" s="103"/>
      <c r="H2337" s="103"/>
      <c r="I2337" s="103"/>
      <c r="J2337" s="103"/>
      <c r="K2337" s="103"/>
      <c r="L2337" s="103"/>
      <c r="M2337" s="104"/>
      <c r="N2337" s="103"/>
    </row>
    <row r="2338" spans="1:14" ht="45" customHeight="1" thickBot="1" x14ac:dyDescent="0.4">
      <c r="A2338" s="103"/>
      <c r="B2338" s="103"/>
      <c r="C2338" s="103"/>
      <c r="D2338" s="103"/>
      <c r="E2338" s="103"/>
      <c r="F2338" s="103"/>
      <c r="G2338" s="103"/>
      <c r="H2338" s="103"/>
      <c r="I2338" s="103"/>
      <c r="J2338" s="103"/>
      <c r="K2338" s="103"/>
      <c r="L2338" s="103"/>
      <c r="M2338" s="104"/>
      <c r="N2338" s="103"/>
    </row>
    <row r="2339" spans="1:14" ht="45" customHeight="1" thickBot="1" x14ac:dyDescent="0.4">
      <c r="A2339" s="103"/>
      <c r="B2339" s="103"/>
      <c r="C2339" s="103"/>
      <c r="D2339" s="103"/>
      <c r="E2339" s="103"/>
      <c r="F2339" s="103"/>
      <c r="G2339" s="103"/>
      <c r="H2339" s="103"/>
      <c r="I2339" s="103"/>
      <c r="J2339" s="103"/>
      <c r="K2339" s="103"/>
      <c r="L2339" s="103"/>
      <c r="M2339" s="104"/>
      <c r="N2339" s="103"/>
    </row>
    <row r="2340" spans="1:14" ht="45" customHeight="1" thickBot="1" x14ac:dyDescent="0.4">
      <c r="A2340" s="103"/>
      <c r="B2340" s="103"/>
      <c r="C2340" s="103"/>
      <c r="D2340" s="103"/>
      <c r="E2340" s="103"/>
      <c r="F2340" s="103"/>
      <c r="G2340" s="103"/>
      <c r="H2340" s="103"/>
      <c r="I2340" s="103"/>
      <c r="J2340" s="103"/>
      <c r="K2340" s="103"/>
      <c r="L2340" s="103"/>
      <c r="M2340" s="104"/>
      <c r="N2340" s="103"/>
    </row>
    <row r="2341" spans="1:14" ht="45" customHeight="1" thickBot="1" x14ac:dyDescent="0.4">
      <c r="A2341" s="103"/>
      <c r="B2341" s="103"/>
      <c r="C2341" s="103"/>
      <c r="D2341" s="103"/>
      <c r="E2341" s="103"/>
      <c r="F2341" s="103"/>
      <c r="G2341" s="103"/>
      <c r="H2341" s="103"/>
      <c r="I2341" s="103"/>
      <c r="J2341" s="103"/>
      <c r="K2341" s="103"/>
      <c r="L2341" s="103"/>
      <c r="M2341" s="104"/>
      <c r="N2341" s="103"/>
    </row>
    <row r="2342" spans="1:14" ht="45" customHeight="1" thickBot="1" x14ac:dyDescent="0.4">
      <c r="A2342" s="103"/>
      <c r="B2342" s="103"/>
      <c r="C2342" s="103"/>
      <c r="D2342" s="103"/>
      <c r="E2342" s="103"/>
      <c r="F2342" s="103"/>
      <c r="G2342" s="103"/>
      <c r="H2342" s="103"/>
      <c r="I2342" s="103"/>
      <c r="J2342" s="103"/>
      <c r="K2342" s="103"/>
      <c r="L2342" s="103"/>
      <c r="M2342" s="104"/>
      <c r="N2342" s="103"/>
    </row>
    <row r="2343" spans="1:14" ht="45" customHeight="1" thickBot="1" x14ac:dyDescent="0.4">
      <c r="A2343" s="103"/>
      <c r="B2343" s="103"/>
      <c r="C2343" s="103"/>
      <c r="D2343" s="103"/>
      <c r="E2343" s="103"/>
      <c r="F2343" s="103"/>
      <c r="G2343" s="103"/>
      <c r="H2343" s="103"/>
      <c r="I2343" s="103"/>
      <c r="J2343" s="103"/>
      <c r="K2343" s="103"/>
      <c r="L2343" s="103"/>
      <c r="M2343" s="104"/>
      <c r="N2343" s="103"/>
    </row>
    <row r="2344" spans="1:14" ht="45" customHeight="1" thickBot="1" x14ac:dyDescent="0.4">
      <c r="A2344" s="103"/>
      <c r="B2344" s="103"/>
      <c r="C2344" s="103"/>
      <c r="D2344" s="103"/>
      <c r="E2344" s="103"/>
      <c r="F2344" s="103"/>
      <c r="G2344" s="103"/>
      <c r="H2344" s="103"/>
      <c r="I2344" s="103"/>
      <c r="J2344" s="103"/>
      <c r="K2344" s="103"/>
      <c r="L2344" s="103"/>
      <c r="M2344" s="104"/>
      <c r="N2344" s="103"/>
    </row>
    <row r="2345" spans="1:14" ht="45" customHeight="1" thickBot="1" x14ac:dyDescent="0.4">
      <c r="A2345" s="103"/>
      <c r="B2345" s="103"/>
      <c r="C2345" s="103"/>
      <c r="D2345" s="103"/>
      <c r="E2345" s="103"/>
      <c r="F2345" s="103"/>
      <c r="G2345" s="103"/>
      <c r="H2345" s="103"/>
      <c r="I2345" s="103"/>
      <c r="J2345" s="103"/>
      <c r="K2345" s="103"/>
      <c r="L2345" s="103"/>
      <c r="M2345" s="104"/>
      <c r="N2345" s="103"/>
    </row>
    <row r="2346" spans="1:14" ht="45" customHeight="1" thickBot="1" x14ac:dyDescent="0.4">
      <c r="A2346" s="103"/>
      <c r="B2346" s="103"/>
      <c r="C2346" s="103"/>
      <c r="D2346" s="103"/>
      <c r="E2346" s="103"/>
      <c r="F2346" s="103"/>
      <c r="G2346" s="103"/>
      <c r="H2346" s="103"/>
      <c r="I2346" s="103"/>
      <c r="J2346" s="103"/>
      <c r="K2346" s="103"/>
      <c r="L2346" s="103"/>
      <c r="M2346" s="104"/>
      <c r="N2346" s="103"/>
    </row>
    <row r="2347" spans="1:14" ht="45" customHeight="1" thickBot="1" x14ac:dyDescent="0.4">
      <c r="A2347" s="103"/>
      <c r="B2347" s="103"/>
      <c r="C2347" s="103"/>
      <c r="D2347" s="103"/>
      <c r="E2347" s="103"/>
      <c r="F2347" s="103"/>
      <c r="G2347" s="103"/>
      <c r="H2347" s="103"/>
      <c r="I2347" s="103"/>
      <c r="J2347" s="103"/>
      <c r="K2347" s="103"/>
      <c r="L2347" s="103"/>
      <c r="M2347" s="104"/>
      <c r="N2347" s="103"/>
    </row>
    <row r="2348" spans="1:14" ht="45" customHeight="1" thickBot="1" x14ac:dyDescent="0.4">
      <c r="A2348" s="103"/>
      <c r="B2348" s="103"/>
      <c r="C2348" s="103"/>
      <c r="D2348" s="103"/>
      <c r="E2348" s="103"/>
      <c r="F2348" s="103"/>
      <c r="G2348" s="103"/>
      <c r="H2348" s="103"/>
      <c r="I2348" s="103"/>
      <c r="J2348" s="103"/>
      <c r="K2348" s="103"/>
      <c r="L2348" s="103"/>
      <c r="M2348" s="104"/>
      <c r="N2348" s="103"/>
    </row>
    <row r="2349" spans="1:14" ht="45" customHeight="1" thickBot="1" x14ac:dyDescent="0.4">
      <c r="A2349" s="103"/>
      <c r="B2349" s="103"/>
      <c r="C2349" s="103"/>
      <c r="D2349" s="103"/>
      <c r="E2349" s="103"/>
      <c r="F2349" s="103"/>
      <c r="G2349" s="103"/>
      <c r="H2349" s="103"/>
      <c r="I2349" s="103"/>
      <c r="J2349" s="103"/>
      <c r="K2349" s="103"/>
      <c r="L2349" s="103"/>
      <c r="M2349" s="104"/>
      <c r="N2349" s="103"/>
    </row>
    <row r="2350" spans="1:14" ht="45" customHeight="1" thickBot="1" x14ac:dyDescent="0.4">
      <c r="A2350" s="103"/>
      <c r="B2350" s="103"/>
      <c r="C2350" s="103"/>
      <c r="D2350" s="103"/>
      <c r="E2350" s="103"/>
      <c r="F2350" s="103"/>
      <c r="G2350" s="103"/>
      <c r="H2350" s="103"/>
      <c r="I2350" s="103"/>
      <c r="J2350" s="103"/>
      <c r="K2350" s="103"/>
      <c r="L2350" s="103"/>
      <c r="M2350" s="104"/>
      <c r="N2350" s="103"/>
    </row>
    <row r="2351" spans="1:14" ht="45" customHeight="1" thickBot="1" x14ac:dyDescent="0.4">
      <c r="A2351" s="103"/>
      <c r="B2351" s="103"/>
      <c r="C2351" s="103"/>
      <c r="D2351" s="103"/>
      <c r="E2351" s="103"/>
      <c r="F2351" s="103"/>
      <c r="G2351" s="103"/>
      <c r="H2351" s="103"/>
      <c r="I2351" s="103"/>
      <c r="J2351" s="103"/>
      <c r="K2351" s="103"/>
      <c r="L2351" s="103"/>
      <c r="M2351" s="104"/>
      <c r="N2351" s="103"/>
    </row>
    <row r="2352" spans="1:14" ht="45" customHeight="1" thickBot="1" x14ac:dyDescent="0.4">
      <c r="A2352" s="103"/>
      <c r="B2352" s="103"/>
      <c r="C2352" s="103"/>
      <c r="D2352" s="103"/>
      <c r="E2352" s="103"/>
      <c r="F2352" s="103"/>
      <c r="G2352" s="103"/>
      <c r="H2352" s="103"/>
      <c r="I2352" s="103"/>
      <c r="J2352" s="103"/>
      <c r="K2352" s="103"/>
      <c r="L2352" s="103"/>
      <c r="M2352" s="104"/>
      <c r="N2352" s="103"/>
    </row>
    <row r="2353" spans="1:14" ht="45" customHeight="1" thickBot="1" x14ac:dyDescent="0.4">
      <c r="A2353" s="103"/>
      <c r="B2353" s="103"/>
      <c r="C2353" s="103"/>
      <c r="D2353" s="103"/>
      <c r="E2353" s="103"/>
      <c r="F2353" s="103"/>
      <c r="G2353" s="103"/>
      <c r="H2353" s="103"/>
      <c r="I2353" s="103"/>
      <c r="J2353" s="103"/>
      <c r="K2353" s="103"/>
      <c r="L2353" s="103"/>
      <c r="M2353" s="104"/>
      <c r="N2353" s="103"/>
    </row>
    <row r="2354" spans="1:14" ht="45" customHeight="1" thickBot="1" x14ac:dyDescent="0.4">
      <c r="A2354" s="103"/>
      <c r="B2354" s="103"/>
      <c r="C2354" s="103"/>
      <c r="D2354" s="103"/>
      <c r="E2354" s="103"/>
      <c r="F2354" s="103"/>
      <c r="G2354" s="103"/>
      <c r="H2354" s="103"/>
      <c r="I2354" s="103"/>
      <c r="J2354" s="103"/>
      <c r="K2354" s="103"/>
      <c r="L2354" s="103"/>
      <c r="M2354" s="104"/>
      <c r="N2354" s="103"/>
    </row>
    <row r="2355" spans="1:14" ht="45" customHeight="1" thickBot="1" x14ac:dyDescent="0.4">
      <c r="A2355" s="103"/>
      <c r="B2355" s="103"/>
      <c r="C2355" s="103"/>
      <c r="D2355" s="103"/>
      <c r="E2355" s="103"/>
      <c r="F2355" s="103"/>
      <c r="G2355" s="103"/>
      <c r="H2355" s="103"/>
      <c r="I2355" s="103"/>
      <c r="J2355" s="103"/>
      <c r="K2355" s="103"/>
      <c r="L2355" s="103"/>
      <c r="M2355" s="104"/>
      <c r="N2355" s="103"/>
    </row>
    <row r="2356" spans="1:14" ht="45" customHeight="1" thickBot="1" x14ac:dyDescent="0.4">
      <c r="A2356" s="103"/>
      <c r="B2356" s="103"/>
      <c r="C2356" s="103"/>
      <c r="D2356" s="103"/>
      <c r="E2356" s="103"/>
      <c r="F2356" s="103"/>
      <c r="G2356" s="103"/>
      <c r="H2356" s="103"/>
      <c r="I2356" s="103"/>
      <c r="J2356" s="103"/>
      <c r="K2356" s="103"/>
      <c r="L2356" s="103"/>
      <c r="M2356" s="104"/>
      <c r="N2356" s="103"/>
    </row>
    <row r="2357" spans="1:14" ht="45" customHeight="1" thickBot="1" x14ac:dyDescent="0.4">
      <c r="A2357" s="103"/>
      <c r="B2357" s="103"/>
      <c r="C2357" s="103"/>
      <c r="D2357" s="103"/>
      <c r="E2357" s="103"/>
      <c r="F2357" s="103"/>
      <c r="G2357" s="103"/>
      <c r="H2357" s="103"/>
      <c r="I2357" s="103"/>
      <c r="J2357" s="103"/>
      <c r="K2357" s="103"/>
      <c r="L2357" s="103"/>
      <c r="M2357" s="104"/>
      <c r="N2357" s="103"/>
    </row>
    <row r="2358" spans="1:14" ht="45" customHeight="1" thickBot="1" x14ac:dyDescent="0.4">
      <c r="A2358" s="103"/>
      <c r="B2358" s="103"/>
      <c r="C2358" s="103"/>
      <c r="D2358" s="103"/>
      <c r="E2358" s="103"/>
      <c r="F2358" s="103"/>
      <c r="G2358" s="103"/>
      <c r="H2358" s="103"/>
      <c r="I2358" s="103"/>
      <c r="J2358" s="103"/>
      <c r="K2358" s="103"/>
      <c r="L2358" s="103"/>
      <c r="M2358" s="104"/>
      <c r="N2358" s="103"/>
    </row>
    <row r="2359" spans="1:14" ht="45" customHeight="1" thickBot="1" x14ac:dyDescent="0.4">
      <c r="A2359" s="103"/>
      <c r="B2359" s="103"/>
      <c r="C2359" s="103"/>
      <c r="D2359" s="103"/>
      <c r="E2359" s="103"/>
      <c r="F2359" s="103"/>
      <c r="G2359" s="103"/>
      <c r="H2359" s="103"/>
      <c r="I2359" s="103"/>
      <c r="J2359" s="103"/>
      <c r="K2359" s="103"/>
      <c r="L2359" s="103"/>
      <c r="M2359" s="104"/>
      <c r="N2359" s="103"/>
    </row>
    <row r="2360" spans="1:14" ht="45" customHeight="1" thickBot="1" x14ac:dyDescent="0.4">
      <c r="A2360" s="103"/>
      <c r="B2360" s="103"/>
      <c r="C2360" s="103"/>
      <c r="D2360" s="103"/>
      <c r="E2360" s="103"/>
      <c r="F2360" s="103"/>
      <c r="G2360" s="103"/>
      <c r="H2360" s="103"/>
      <c r="I2360" s="103"/>
      <c r="J2360" s="103"/>
      <c r="K2360" s="103"/>
      <c r="L2360" s="103"/>
      <c r="M2360" s="104"/>
      <c r="N2360" s="103"/>
    </row>
    <row r="2361" spans="1:14" ht="45" customHeight="1" thickBot="1" x14ac:dyDescent="0.4">
      <c r="A2361" s="103"/>
      <c r="B2361" s="103"/>
      <c r="C2361" s="103"/>
      <c r="D2361" s="103"/>
      <c r="E2361" s="103"/>
      <c r="F2361" s="103"/>
      <c r="G2361" s="103"/>
      <c r="H2361" s="103"/>
      <c r="I2361" s="103"/>
      <c r="J2361" s="103"/>
      <c r="K2361" s="103"/>
      <c r="L2361" s="103"/>
      <c r="M2361" s="104"/>
      <c r="N2361" s="103"/>
    </row>
    <row r="2362" spans="1:14" ht="45" customHeight="1" thickBot="1" x14ac:dyDescent="0.4">
      <c r="A2362" s="103"/>
      <c r="B2362" s="103"/>
      <c r="C2362" s="103"/>
      <c r="D2362" s="103"/>
      <c r="E2362" s="103"/>
      <c r="F2362" s="103"/>
      <c r="G2362" s="103"/>
      <c r="H2362" s="103"/>
      <c r="I2362" s="103"/>
      <c r="J2362" s="103"/>
      <c r="K2362" s="103"/>
      <c r="L2362" s="103"/>
      <c r="M2362" s="104"/>
      <c r="N2362" s="103"/>
    </row>
    <row r="2363" spans="1:14" ht="45" customHeight="1" thickBot="1" x14ac:dyDescent="0.4">
      <c r="A2363" s="103"/>
      <c r="B2363" s="103"/>
      <c r="C2363" s="103"/>
      <c r="D2363" s="103"/>
      <c r="E2363" s="103"/>
      <c r="F2363" s="103"/>
      <c r="G2363" s="103"/>
      <c r="H2363" s="103"/>
      <c r="I2363" s="103"/>
      <c r="J2363" s="103"/>
      <c r="K2363" s="103"/>
      <c r="L2363" s="103"/>
      <c r="M2363" s="104"/>
      <c r="N2363" s="103"/>
    </row>
    <row r="2364" spans="1:14" ht="45" customHeight="1" thickBot="1" x14ac:dyDescent="0.4">
      <c r="A2364" s="103"/>
      <c r="B2364" s="103"/>
      <c r="C2364" s="103"/>
      <c r="D2364" s="103"/>
      <c r="E2364" s="103"/>
      <c r="F2364" s="103"/>
      <c r="G2364" s="103"/>
      <c r="H2364" s="103"/>
      <c r="I2364" s="103"/>
      <c r="J2364" s="103"/>
      <c r="K2364" s="103"/>
      <c r="L2364" s="103"/>
      <c r="M2364" s="104"/>
      <c r="N2364" s="103"/>
    </row>
    <row r="2365" spans="1:14" ht="45" customHeight="1" thickBot="1" x14ac:dyDescent="0.4">
      <c r="A2365" s="103"/>
      <c r="B2365" s="103"/>
      <c r="C2365" s="103"/>
      <c r="D2365" s="103"/>
      <c r="E2365" s="103"/>
      <c r="F2365" s="103"/>
      <c r="G2365" s="103"/>
      <c r="H2365" s="103"/>
      <c r="I2365" s="103"/>
      <c r="J2365" s="103"/>
      <c r="K2365" s="103"/>
      <c r="L2365" s="103"/>
      <c r="M2365" s="104"/>
      <c r="N2365" s="103"/>
    </row>
    <row r="2366" spans="1:14" ht="45" customHeight="1" thickBot="1" x14ac:dyDescent="0.4">
      <c r="A2366" s="103"/>
      <c r="B2366" s="103"/>
      <c r="C2366" s="103"/>
      <c r="D2366" s="103"/>
      <c r="E2366" s="103"/>
      <c r="F2366" s="103"/>
      <c r="G2366" s="103"/>
      <c r="H2366" s="103"/>
      <c r="I2366" s="103"/>
      <c r="J2366" s="103"/>
      <c r="K2366" s="103"/>
      <c r="L2366" s="103"/>
      <c r="M2366" s="104"/>
      <c r="N2366" s="103"/>
    </row>
    <row r="2367" spans="1:14" ht="45" customHeight="1" thickBot="1" x14ac:dyDescent="0.4">
      <c r="A2367" s="103"/>
      <c r="B2367" s="103"/>
      <c r="C2367" s="103"/>
      <c r="D2367" s="103"/>
      <c r="E2367" s="103"/>
      <c r="F2367" s="103"/>
      <c r="G2367" s="103"/>
      <c r="H2367" s="103"/>
      <c r="I2367" s="103"/>
      <c r="J2367" s="103"/>
      <c r="K2367" s="103"/>
      <c r="L2367" s="103"/>
      <c r="M2367" s="104"/>
      <c r="N2367" s="103"/>
    </row>
    <row r="2368" spans="1:14" ht="45" customHeight="1" thickBot="1" x14ac:dyDescent="0.4">
      <c r="A2368" s="103"/>
      <c r="B2368" s="103"/>
      <c r="C2368" s="103"/>
      <c r="D2368" s="103"/>
      <c r="E2368" s="103"/>
      <c r="F2368" s="103"/>
      <c r="G2368" s="103"/>
      <c r="H2368" s="103"/>
      <c r="I2368" s="103"/>
      <c r="J2368" s="103"/>
      <c r="K2368" s="103"/>
      <c r="L2368" s="103"/>
      <c r="M2368" s="104"/>
      <c r="N2368" s="103"/>
    </row>
    <row r="2369" spans="1:14" ht="45" customHeight="1" thickBot="1" x14ac:dyDescent="0.4">
      <c r="A2369" s="103"/>
      <c r="B2369" s="103"/>
      <c r="C2369" s="103"/>
      <c r="D2369" s="103"/>
      <c r="E2369" s="103"/>
      <c r="F2369" s="103"/>
      <c r="G2369" s="103"/>
      <c r="H2369" s="103"/>
      <c r="I2369" s="103"/>
      <c r="J2369" s="103"/>
      <c r="K2369" s="103"/>
      <c r="L2369" s="103"/>
      <c r="M2369" s="104"/>
      <c r="N2369" s="103"/>
    </row>
    <row r="2370" spans="1:14" ht="45" customHeight="1" thickBot="1" x14ac:dyDescent="0.4">
      <c r="A2370" s="103"/>
      <c r="B2370" s="103"/>
      <c r="C2370" s="103"/>
      <c r="D2370" s="103"/>
      <c r="E2370" s="103"/>
      <c r="F2370" s="103"/>
      <c r="G2370" s="103"/>
      <c r="H2370" s="103"/>
      <c r="I2370" s="103"/>
      <c r="J2370" s="103"/>
      <c r="K2370" s="103"/>
      <c r="L2370" s="103"/>
      <c r="M2370" s="104"/>
      <c r="N2370" s="103"/>
    </row>
    <row r="2371" spans="1:14" ht="45" customHeight="1" thickBot="1" x14ac:dyDescent="0.4">
      <c r="A2371" s="103"/>
      <c r="B2371" s="103"/>
      <c r="C2371" s="103"/>
      <c r="D2371" s="103"/>
      <c r="E2371" s="103"/>
      <c r="F2371" s="103"/>
      <c r="G2371" s="103"/>
      <c r="H2371" s="103"/>
      <c r="I2371" s="103"/>
      <c r="J2371" s="103"/>
      <c r="K2371" s="103"/>
      <c r="L2371" s="103"/>
      <c r="M2371" s="104"/>
      <c r="N2371" s="103"/>
    </row>
    <row r="2372" spans="1:14" ht="45" customHeight="1" thickBot="1" x14ac:dyDescent="0.4">
      <c r="A2372" s="103"/>
      <c r="B2372" s="103"/>
      <c r="C2372" s="103"/>
      <c r="D2372" s="103"/>
      <c r="E2372" s="103"/>
      <c r="F2372" s="103"/>
      <c r="G2372" s="103"/>
      <c r="H2372" s="103"/>
      <c r="I2372" s="103"/>
      <c r="J2372" s="103"/>
      <c r="K2372" s="103"/>
      <c r="L2372" s="103"/>
      <c r="M2372" s="104"/>
      <c r="N2372" s="103"/>
    </row>
    <row r="2373" spans="1:14" ht="45" customHeight="1" thickBot="1" x14ac:dyDescent="0.4">
      <c r="A2373" s="103"/>
      <c r="B2373" s="103"/>
      <c r="C2373" s="103"/>
      <c r="D2373" s="103"/>
      <c r="E2373" s="103"/>
      <c r="F2373" s="103"/>
      <c r="G2373" s="103"/>
      <c r="H2373" s="103"/>
      <c r="I2373" s="103"/>
      <c r="J2373" s="103"/>
      <c r="K2373" s="103"/>
      <c r="L2373" s="103"/>
      <c r="M2373" s="104"/>
      <c r="N2373" s="103"/>
    </row>
    <row r="2374" spans="1:14" ht="45" customHeight="1" thickBot="1" x14ac:dyDescent="0.4">
      <c r="A2374" s="103"/>
      <c r="B2374" s="103"/>
      <c r="C2374" s="103"/>
      <c r="D2374" s="103"/>
      <c r="E2374" s="103"/>
      <c r="F2374" s="103"/>
      <c r="G2374" s="103"/>
      <c r="H2374" s="103"/>
      <c r="I2374" s="103"/>
      <c r="J2374" s="103"/>
      <c r="K2374" s="103"/>
      <c r="L2374" s="103"/>
      <c r="M2374" s="104"/>
      <c r="N2374" s="103"/>
    </row>
    <row r="2375" spans="1:14" ht="45" customHeight="1" thickBot="1" x14ac:dyDescent="0.4">
      <c r="A2375" s="103"/>
      <c r="B2375" s="103"/>
      <c r="C2375" s="103"/>
      <c r="D2375" s="103"/>
      <c r="E2375" s="103"/>
      <c r="F2375" s="103"/>
      <c r="G2375" s="103"/>
      <c r="H2375" s="103"/>
      <c r="I2375" s="103"/>
      <c r="J2375" s="103"/>
      <c r="K2375" s="103"/>
      <c r="L2375" s="103"/>
      <c r="M2375" s="104"/>
      <c r="N2375" s="103"/>
    </row>
    <row r="2376" spans="1:14" ht="45" customHeight="1" thickBot="1" x14ac:dyDescent="0.4">
      <c r="A2376" s="103"/>
      <c r="B2376" s="103"/>
      <c r="C2376" s="103"/>
      <c r="D2376" s="103"/>
      <c r="E2376" s="103"/>
      <c r="F2376" s="103"/>
      <c r="G2376" s="103"/>
      <c r="H2376" s="103"/>
      <c r="I2376" s="103"/>
      <c r="J2376" s="103"/>
      <c r="K2376" s="103"/>
      <c r="L2376" s="103"/>
      <c r="M2376" s="104"/>
      <c r="N2376" s="103"/>
    </row>
    <row r="2377" spans="1:14" ht="45" customHeight="1" thickBot="1" x14ac:dyDescent="0.4">
      <c r="A2377" s="103"/>
      <c r="B2377" s="103"/>
      <c r="C2377" s="103"/>
      <c r="D2377" s="103"/>
      <c r="E2377" s="103"/>
      <c r="F2377" s="103"/>
      <c r="G2377" s="103"/>
      <c r="H2377" s="103"/>
      <c r="I2377" s="103"/>
      <c r="J2377" s="103"/>
      <c r="K2377" s="103"/>
      <c r="L2377" s="103"/>
      <c r="M2377" s="104"/>
      <c r="N2377" s="103"/>
    </row>
    <row r="2378" spans="1:14" ht="45" customHeight="1" thickBot="1" x14ac:dyDescent="0.4">
      <c r="A2378" s="103"/>
      <c r="B2378" s="103"/>
      <c r="C2378" s="103"/>
      <c r="D2378" s="103"/>
      <c r="E2378" s="103"/>
      <c r="F2378" s="103"/>
      <c r="G2378" s="103"/>
      <c r="H2378" s="103"/>
      <c r="I2378" s="103"/>
      <c r="J2378" s="103"/>
      <c r="K2378" s="103"/>
      <c r="L2378" s="103"/>
      <c r="M2378" s="104"/>
      <c r="N2378" s="103"/>
    </row>
    <row r="2379" spans="1:14" ht="45" customHeight="1" thickBot="1" x14ac:dyDescent="0.4">
      <c r="A2379" s="103"/>
      <c r="B2379" s="103"/>
      <c r="C2379" s="103"/>
      <c r="D2379" s="103"/>
      <c r="E2379" s="103"/>
      <c r="F2379" s="103"/>
      <c r="G2379" s="103"/>
      <c r="H2379" s="103"/>
      <c r="I2379" s="103"/>
      <c r="J2379" s="103"/>
      <c r="K2379" s="103"/>
      <c r="L2379" s="103"/>
      <c r="M2379" s="104"/>
      <c r="N2379" s="103"/>
    </row>
    <row r="2380" spans="1:14" ht="45" customHeight="1" thickBot="1" x14ac:dyDescent="0.4">
      <c r="A2380" s="103"/>
      <c r="B2380" s="103"/>
      <c r="C2380" s="103"/>
      <c r="D2380" s="103"/>
      <c r="E2380" s="103"/>
      <c r="F2380" s="103"/>
      <c r="G2380" s="103"/>
      <c r="H2380" s="103"/>
      <c r="I2380" s="103"/>
      <c r="J2380" s="103"/>
      <c r="K2380" s="103"/>
      <c r="L2380" s="103"/>
      <c r="M2380" s="104"/>
      <c r="N2380" s="103"/>
    </row>
    <row r="2381" spans="1:14" ht="45" customHeight="1" thickBot="1" x14ac:dyDescent="0.4">
      <c r="A2381" s="103"/>
      <c r="B2381" s="103"/>
      <c r="C2381" s="103"/>
      <c r="D2381" s="103"/>
      <c r="E2381" s="103"/>
      <c r="F2381" s="103"/>
      <c r="G2381" s="103"/>
      <c r="H2381" s="103"/>
      <c r="I2381" s="103"/>
      <c r="J2381" s="103"/>
      <c r="K2381" s="103"/>
      <c r="L2381" s="103"/>
      <c r="M2381" s="104"/>
      <c r="N2381" s="103"/>
    </row>
    <row r="2382" spans="1:14" ht="45" customHeight="1" thickBot="1" x14ac:dyDescent="0.4">
      <c r="A2382" s="103"/>
      <c r="B2382" s="103"/>
      <c r="C2382" s="103"/>
      <c r="D2382" s="103"/>
      <c r="E2382" s="103"/>
      <c r="F2382" s="103"/>
      <c r="G2382" s="103"/>
      <c r="H2382" s="103"/>
      <c r="I2382" s="103"/>
      <c r="J2382" s="103"/>
      <c r="K2382" s="103"/>
      <c r="L2382" s="103"/>
      <c r="M2382" s="104"/>
      <c r="N2382" s="103"/>
    </row>
    <row r="2383" spans="1:14" ht="45" customHeight="1" thickBot="1" x14ac:dyDescent="0.4">
      <c r="A2383" s="103"/>
      <c r="B2383" s="103"/>
      <c r="C2383" s="103"/>
      <c r="D2383" s="103"/>
      <c r="E2383" s="103"/>
      <c r="F2383" s="103"/>
      <c r="G2383" s="103"/>
      <c r="H2383" s="103"/>
      <c r="I2383" s="103"/>
      <c r="J2383" s="103"/>
      <c r="K2383" s="103"/>
      <c r="L2383" s="103"/>
      <c r="M2383" s="104"/>
      <c r="N2383" s="103"/>
    </row>
    <row r="2384" spans="1:14" ht="45" customHeight="1" thickBot="1" x14ac:dyDescent="0.4">
      <c r="A2384" s="103"/>
      <c r="B2384" s="103"/>
      <c r="C2384" s="103"/>
      <c r="D2384" s="103"/>
      <c r="E2384" s="103"/>
      <c r="F2384" s="103"/>
      <c r="G2384" s="103"/>
      <c r="H2384" s="103"/>
      <c r="I2384" s="103"/>
      <c r="J2384" s="103"/>
      <c r="K2384" s="103"/>
      <c r="L2384" s="103"/>
      <c r="M2384" s="104"/>
      <c r="N2384" s="103"/>
    </row>
    <row r="2385" spans="1:14" ht="45" customHeight="1" thickBot="1" x14ac:dyDescent="0.4">
      <c r="A2385" s="103"/>
      <c r="B2385" s="103"/>
      <c r="C2385" s="103"/>
      <c r="D2385" s="103"/>
      <c r="E2385" s="103"/>
      <c r="F2385" s="103"/>
      <c r="G2385" s="103"/>
      <c r="H2385" s="103"/>
      <c r="I2385" s="103"/>
      <c r="J2385" s="103"/>
      <c r="K2385" s="103"/>
      <c r="L2385" s="103"/>
      <c r="M2385" s="104"/>
      <c r="N2385" s="103"/>
    </row>
    <row r="2386" spans="1:14" ht="45" customHeight="1" thickBot="1" x14ac:dyDescent="0.4">
      <c r="A2386" s="103"/>
      <c r="B2386" s="103"/>
      <c r="C2386" s="103"/>
      <c r="D2386" s="103"/>
      <c r="E2386" s="103"/>
      <c r="F2386" s="103"/>
      <c r="G2386" s="103"/>
      <c r="H2386" s="103"/>
      <c r="I2386" s="103"/>
      <c r="J2386" s="103"/>
      <c r="K2386" s="103"/>
      <c r="L2386" s="103"/>
      <c r="M2386" s="104"/>
      <c r="N2386" s="103"/>
    </row>
    <row r="2387" spans="1:14" ht="45" customHeight="1" thickBot="1" x14ac:dyDescent="0.4">
      <c r="A2387" s="103"/>
      <c r="B2387" s="103"/>
      <c r="C2387" s="103"/>
      <c r="D2387" s="103"/>
      <c r="E2387" s="103"/>
      <c r="F2387" s="103"/>
      <c r="G2387" s="103"/>
      <c r="H2387" s="103"/>
      <c r="I2387" s="103"/>
      <c r="J2387" s="103"/>
      <c r="K2387" s="103"/>
      <c r="L2387" s="103"/>
      <c r="M2387" s="104"/>
      <c r="N2387" s="103"/>
    </row>
    <row r="2388" spans="1:14" ht="45" customHeight="1" thickBot="1" x14ac:dyDescent="0.4">
      <c r="A2388" s="103"/>
      <c r="B2388" s="103"/>
      <c r="C2388" s="103"/>
      <c r="D2388" s="103"/>
      <c r="E2388" s="103"/>
      <c r="F2388" s="103"/>
      <c r="G2388" s="103"/>
      <c r="H2388" s="103"/>
      <c r="I2388" s="103"/>
      <c r="J2388" s="103"/>
      <c r="K2388" s="103"/>
      <c r="L2388" s="103"/>
      <c r="M2388" s="104"/>
      <c r="N2388" s="103"/>
    </row>
    <row r="2389" spans="1:14" ht="45" customHeight="1" thickBot="1" x14ac:dyDescent="0.4">
      <c r="A2389" s="103"/>
      <c r="B2389" s="103"/>
      <c r="C2389" s="103"/>
      <c r="D2389" s="103"/>
      <c r="E2389" s="103"/>
      <c r="F2389" s="103"/>
      <c r="G2389" s="103"/>
      <c r="H2389" s="103"/>
      <c r="I2389" s="103"/>
      <c r="J2389" s="103"/>
      <c r="K2389" s="103"/>
      <c r="L2389" s="103"/>
      <c r="M2389" s="104"/>
      <c r="N2389" s="103"/>
    </row>
    <row r="2390" spans="1:14" ht="45" customHeight="1" thickBot="1" x14ac:dyDescent="0.4">
      <c r="A2390" s="103"/>
      <c r="B2390" s="103"/>
      <c r="C2390" s="103"/>
      <c r="D2390" s="103"/>
      <c r="E2390" s="103"/>
      <c r="F2390" s="103"/>
      <c r="G2390" s="103"/>
      <c r="H2390" s="103"/>
      <c r="I2390" s="103"/>
      <c r="J2390" s="103"/>
      <c r="K2390" s="103"/>
      <c r="L2390" s="103"/>
      <c r="M2390" s="104"/>
      <c r="N2390" s="103"/>
    </row>
    <row r="2391" spans="1:14" ht="45" customHeight="1" thickBot="1" x14ac:dyDescent="0.4">
      <c r="A2391" s="103"/>
      <c r="B2391" s="103"/>
      <c r="C2391" s="103"/>
      <c r="D2391" s="103"/>
      <c r="E2391" s="103"/>
      <c r="F2391" s="103"/>
      <c r="G2391" s="103"/>
      <c r="H2391" s="103"/>
      <c r="I2391" s="103"/>
      <c r="J2391" s="103"/>
      <c r="K2391" s="103"/>
      <c r="L2391" s="103"/>
      <c r="M2391" s="104"/>
      <c r="N2391" s="103"/>
    </row>
    <row r="2392" spans="1:14" ht="45" customHeight="1" thickBot="1" x14ac:dyDescent="0.4">
      <c r="A2392" s="103"/>
      <c r="B2392" s="103"/>
      <c r="C2392" s="103"/>
      <c r="D2392" s="103"/>
      <c r="E2392" s="103"/>
      <c r="F2392" s="103"/>
      <c r="G2392" s="103"/>
      <c r="H2392" s="103"/>
      <c r="I2392" s="103"/>
      <c r="J2392" s="103"/>
      <c r="K2392" s="103"/>
      <c r="L2392" s="103"/>
      <c r="M2392" s="104"/>
      <c r="N2392" s="103"/>
    </row>
    <row r="2393" spans="1:14" ht="45" customHeight="1" thickBot="1" x14ac:dyDescent="0.4">
      <c r="A2393" s="103"/>
      <c r="B2393" s="103"/>
      <c r="C2393" s="103"/>
      <c r="D2393" s="103"/>
      <c r="E2393" s="103"/>
      <c r="F2393" s="103"/>
      <c r="G2393" s="103"/>
      <c r="H2393" s="103"/>
      <c r="I2393" s="103"/>
      <c r="J2393" s="103"/>
      <c r="K2393" s="103"/>
      <c r="L2393" s="103"/>
      <c r="M2393" s="104"/>
      <c r="N2393" s="103"/>
    </row>
    <row r="2394" spans="1:14" ht="45" customHeight="1" thickBot="1" x14ac:dyDescent="0.4">
      <c r="A2394" s="103"/>
      <c r="B2394" s="103"/>
      <c r="C2394" s="103"/>
      <c r="D2394" s="103"/>
      <c r="E2394" s="103"/>
      <c r="F2394" s="103"/>
      <c r="G2394" s="103"/>
      <c r="H2394" s="103"/>
      <c r="I2394" s="103"/>
      <c r="J2394" s="103"/>
      <c r="K2394" s="103"/>
      <c r="L2394" s="103"/>
      <c r="M2394" s="104"/>
      <c r="N2394" s="103"/>
    </row>
    <row r="2395" spans="1:14" ht="45" customHeight="1" thickBot="1" x14ac:dyDescent="0.4">
      <c r="A2395" s="103"/>
      <c r="B2395" s="103"/>
      <c r="C2395" s="103"/>
      <c r="D2395" s="103"/>
      <c r="E2395" s="103"/>
      <c r="F2395" s="103"/>
      <c r="G2395" s="103"/>
      <c r="H2395" s="103"/>
      <c r="I2395" s="103"/>
      <c r="J2395" s="103"/>
      <c r="K2395" s="103"/>
      <c r="L2395" s="103"/>
      <c r="M2395" s="104"/>
      <c r="N2395" s="103"/>
    </row>
    <row r="2396" spans="1:14" ht="45" customHeight="1" thickBot="1" x14ac:dyDescent="0.4">
      <c r="A2396" s="103"/>
      <c r="B2396" s="103"/>
      <c r="C2396" s="103"/>
      <c r="D2396" s="103"/>
      <c r="E2396" s="103"/>
      <c r="F2396" s="103"/>
      <c r="G2396" s="103"/>
      <c r="H2396" s="103"/>
      <c r="I2396" s="103"/>
      <c r="J2396" s="103"/>
      <c r="K2396" s="103"/>
      <c r="L2396" s="103"/>
      <c r="M2396" s="104"/>
      <c r="N2396" s="103"/>
    </row>
    <row r="2397" spans="1:14" ht="45" customHeight="1" thickBot="1" x14ac:dyDescent="0.4">
      <c r="A2397" s="103"/>
      <c r="B2397" s="103"/>
      <c r="C2397" s="103"/>
      <c r="D2397" s="103"/>
      <c r="E2397" s="103"/>
      <c r="F2397" s="103"/>
      <c r="G2397" s="103"/>
      <c r="H2397" s="103"/>
      <c r="I2397" s="103"/>
      <c r="J2397" s="103"/>
      <c r="K2397" s="103"/>
      <c r="L2397" s="103"/>
      <c r="M2397" s="104"/>
      <c r="N2397" s="103"/>
    </row>
    <row r="2398" spans="1:14" ht="45" customHeight="1" thickBot="1" x14ac:dyDescent="0.4">
      <c r="A2398" s="103"/>
      <c r="B2398" s="103"/>
      <c r="C2398" s="103"/>
      <c r="D2398" s="103"/>
      <c r="E2398" s="103"/>
      <c r="F2398" s="103"/>
      <c r="G2398" s="103"/>
      <c r="H2398" s="103"/>
      <c r="I2398" s="103"/>
      <c r="J2398" s="103"/>
      <c r="K2398" s="103"/>
      <c r="L2398" s="103"/>
      <c r="M2398" s="104"/>
      <c r="N2398" s="103"/>
    </row>
    <row r="2399" spans="1:14" ht="45" customHeight="1" thickBot="1" x14ac:dyDescent="0.4">
      <c r="A2399" s="103"/>
      <c r="B2399" s="103"/>
      <c r="C2399" s="103"/>
      <c r="D2399" s="103"/>
      <c r="E2399" s="103"/>
      <c r="F2399" s="103"/>
      <c r="G2399" s="103"/>
      <c r="H2399" s="103"/>
      <c r="I2399" s="103"/>
      <c r="J2399" s="103"/>
      <c r="K2399" s="103"/>
      <c r="L2399" s="103"/>
      <c r="M2399" s="104"/>
      <c r="N2399" s="103"/>
    </row>
    <row r="2400" spans="1:14" ht="45" customHeight="1" thickBot="1" x14ac:dyDescent="0.4">
      <c r="A2400" s="103"/>
      <c r="B2400" s="103"/>
      <c r="C2400" s="103"/>
      <c r="D2400" s="103"/>
      <c r="E2400" s="103"/>
      <c r="F2400" s="103"/>
      <c r="G2400" s="103"/>
      <c r="H2400" s="103"/>
      <c r="I2400" s="103"/>
      <c r="J2400" s="103"/>
      <c r="K2400" s="103"/>
      <c r="L2400" s="103"/>
      <c r="M2400" s="104"/>
      <c r="N2400" s="103"/>
    </row>
    <row r="2401" spans="1:14" ht="45" customHeight="1" thickBot="1" x14ac:dyDescent="0.4">
      <c r="A2401" s="103"/>
      <c r="B2401" s="103"/>
      <c r="C2401" s="103"/>
      <c r="D2401" s="103"/>
      <c r="E2401" s="103"/>
      <c r="F2401" s="103"/>
      <c r="G2401" s="103"/>
      <c r="H2401" s="103"/>
      <c r="I2401" s="103"/>
      <c r="J2401" s="103"/>
      <c r="K2401" s="103"/>
      <c r="L2401" s="103"/>
      <c r="M2401" s="104"/>
      <c r="N2401" s="103"/>
    </row>
    <row r="2402" spans="1:14" ht="45" customHeight="1" thickBot="1" x14ac:dyDescent="0.4">
      <c r="A2402" s="103"/>
      <c r="B2402" s="103"/>
      <c r="C2402" s="103"/>
      <c r="D2402" s="103"/>
      <c r="E2402" s="103"/>
      <c r="F2402" s="103"/>
      <c r="G2402" s="103"/>
      <c r="H2402" s="103"/>
      <c r="I2402" s="103"/>
      <c r="J2402" s="103"/>
      <c r="K2402" s="103"/>
      <c r="L2402" s="103"/>
      <c r="M2402" s="104"/>
      <c r="N2402" s="103"/>
    </row>
    <row r="2403" spans="1:14" ht="45" customHeight="1" thickBot="1" x14ac:dyDescent="0.4">
      <c r="A2403" s="103"/>
      <c r="B2403" s="103"/>
      <c r="C2403" s="103"/>
      <c r="D2403" s="103"/>
      <c r="E2403" s="103"/>
      <c r="F2403" s="103"/>
      <c r="G2403" s="103"/>
      <c r="H2403" s="103"/>
      <c r="I2403" s="103"/>
      <c r="J2403" s="103"/>
      <c r="K2403" s="103"/>
      <c r="L2403" s="103"/>
      <c r="M2403" s="104"/>
      <c r="N2403" s="103"/>
    </row>
    <row r="2404" spans="1:14" ht="45" customHeight="1" thickBot="1" x14ac:dyDescent="0.4">
      <c r="A2404" s="103"/>
      <c r="B2404" s="103"/>
      <c r="C2404" s="103"/>
      <c r="D2404" s="103"/>
      <c r="E2404" s="103"/>
      <c r="F2404" s="103"/>
      <c r="G2404" s="103"/>
      <c r="H2404" s="103"/>
      <c r="I2404" s="103"/>
      <c r="J2404" s="103"/>
      <c r="K2404" s="103"/>
      <c r="L2404" s="103"/>
      <c r="M2404" s="104"/>
      <c r="N2404" s="103"/>
    </row>
    <row r="2405" spans="1:14" ht="45" customHeight="1" thickBot="1" x14ac:dyDescent="0.4">
      <c r="A2405" s="103"/>
      <c r="B2405" s="103"/>
      <c r="C2405" s="103"/>
      <c r="D2405" s="103"/>
      <c r="E2405" s="103"/>
      <c r="F2405" s="103"/>
      <c r="G2405" s="103"/>
      <c r="H2405" s="103"/>
      <c r="I2405" s="103"/>
      <c r="J2405" s="103"/>
      <c r="K2405" s="103"/>
      <c r="L2405" s="103"/>
      <c r="M2405" s="104"/>
      <c r="N2405" s="103"/>
    </row>
    <row r="2406" spans="1:14" ht="45" customHeight="1" thickBot="1" x14ac:dyDescent="0.4">
      <c r="A2406" s="103"/>
      <c r="B2406" s="103"/>
      <c r="C2406" s="103"/>
      <c r="D2406" s="103"/>
      <c r="E2406" s="103"/>
      <c r="F2406" s="103"/>
      <c r="G2406" s="103"/>
      <c r="H2406" s="103"/>
      <c r="I2406" s="103"/>
      <c r="J2406" s="103"/>
      <c r="K2406" s="103"/>
      <c r="L2406" s="103"/>
      <c r="M2406" s="104"/>
      <c r="N2406" s="103"/>
    </row>
    <row r="2407" spans="1:14" ht="45" customHeight="1" thickBot="1" x14ac:dyDescent="0.4">
      <c r="A2407" s="103"/>
      <c r="B2407" s="103"/>
      <c r="C2407" s="103"/>
      <c r="D2407" s="103"/>
      <c r="E2407" s="103"/>
      <c r="F2407" s="103"/>
      <c r="G2407" s="103"/>
      <c r="H2407" s="103"/>
      <c r="I2407" s="103"/>
      <c r="J2407" s="103"/>
      <c r="K2407" s="103"/>
      <c r="L2407" s="103"/>
      <c r="M2407" s="104"/>
      <c r="N2407" s="103"/>
    </row>
    <row r="2408" spans="1:14" ht="45" customHeight="1" thickBot="1" x14ac:dyDescent="0.4">
      <c r="A2408" s="103"/>
      <c r="B2408" s="103"/>
      <c r="C2408" s="103"/>
      <c r="D2408" s="103"/>
      <c r="E2408" s="103"/>
      <c r="F2408" s="103"/>
      <c r="G2408" s="103"/>
      <c r="H2408" s="103"/>
      <c r="I2408" s="103"/>
      <c r="J2408" s="103"/>
      <c r="K2408" s="103"/>
      <c r="L2408" s="103"/>
      <c r="M2408" s="104"/>
      <c r="N2408" s="103"/>
    </row>
    <row r="2409" spans="1:14" ht="45" customHeight="1" thickBot="1" x14ac:dyDescent="0.4">
      <c r="A2409" s="103"/>
      <c r="B2409" s="103"/>
      <c r="C2409" s="103"/>
      <c r="D2409" s="103"/>
      <c r="E2409" s="103"/>
      <c r="F2409" s="103"/>
      <c r="G2409" s="103"/>
      <c r="H2409" s="103"/>
      <c r="I2409" s="103"/>
      <c r="J2409" s="103"/>
      <c r="K2409" s="103"/>
      <c r="L2409" s="103"/>
      <c r="M2409" s="104"/>
      <c r="N2409" s="103"/>
    </row>
    <row r="2410" spans="1:14" ht="45" customHeight="1" thickBot="1" x14ac:dyDescent="0.4">
      <c r="A2410" s="103"/>
      <c r="B2410" s="103"/>
      <c r="C2410" s="103"/>
      <c r="D2410" s="103"/>
      <c r="E2410" s="103"/>
      <c r="F2410" s="103"/>
      <c r="G2410" s="103"/>
      <c r="H2410" s="103"/>
      <c r="I2410" s="103"/>
      <c r="J2410" s="103"/>
      <c r="K2410" s="103"/>
      <c r="L2410" s="103"/>
      <c r="M2410" s="104"/>
      <c r="N2410" s="103"/>
    </row>
    <row r="2411" spans="1:14" ht="45" customHeight="1" thickBot="1" x14ac:dyDescent="0.4">
      <c r="A2411" s="103"/>
      <c r="B2411" s="103"/>
      <c r="C2411" s="103"/>
      <c r="D2411" s="103"/>
      <c r="E2411" s="103"/>
      <c r="F2411" s="103"/>
      <c r="G2411" s="103"/>
      <c r="H2411" s="103"/>
      <c r="I2411" s="103"/>
      <c r="J2411" s="103"/>
      <c r="K2411" s="103"/>
      <c r="L2411" s="103"/>
      <c r="M2411" s="104"/>
      <c r="N2411" s="103"/>
    </row>
    <row r="2412" spans="1:14" ht="45" customHeight="1" thickBot="1" x14ac:dyDescent="0.4">
      <c r="A2412" s="103"/>
      <c r="B2412" s="103"/>
      <c r="C2412" s="103"/>
      <c r="D2412" s="103"/>
      <c r="E2412" s="103"/>
      <c r="F2412" s="103"/>
      <c r="G2412" s="103"/>
      <c r="H2412" s="103"/>
      <c r="I2412" s="103"/>
      <c r="J2412" s="103"/>
      <c r="K2412" s="103"/>
      <c r="L2412" s="103"/>
      <c r="M2412" s="104"/>
      <c r="N2412" s="103"/>
    </row>
    <row r="2413" spans="1:14" ht="45" customHeight="1" thickBot="1" x14ac:dyDescent="0.4">
      <c r="A2413" s="103"/>
      <c r="B2413" s="103"/>
      <c r="C2413" s="103"/>
      <c r="D2413" s="103"/>
      <c r="E2413" s="103"/>
      <c r="F2413" s="103"/>
      <c r="G2413" s="103"/>
      <c r="H2413" s="103"/>
      <c r="I2413" s="103"/>
      <c r="J2413" s="103"/>
      <c r="K2413" s="103"/>
      <c r="L2413" s="103"/>
      <c r="M2413" s="104"/>
      <c r="N2413" s="103"/>
    </row>
    <row r="2414" spans="1:14" ht="45" customHeight="1" thickBot="1" x14ac:dyDescent="0.4">
      <c r="A2414" s="103"/>
      <c r="B2414" s="103"/>
      <c r="C2414" s="103"/>
      <c r="D2414" s="103"/>
      <c r="E2414" s="103"/>
      <c r="F2414" s="103"/>
      <c r="G2414" s="103"/>
      <c r="H2414" s="103"/>
      <c r="I2414" s="103"/>
      <c r="J2414" s="103"/>
      <c r="K2414" s="103"/>
      <c r="L2414" s="103"/>
      <c r="M2414" s="104"/>
      <c r="N2414" s="103"/>
    </row>
    <row r="2415" spans="1:14" ht="45" customHeight="1" thickBot="1" x14ac:dyDescent="0.4">
      <c r="A2415" s="103"/>
      <c r="B2415" s="103"/>
      <c r="C2415" s="103"/>
      <c r="D2415" s="103"/>
      <c r="E2415" s="103"/>
      <c r="F2415" s="103"/>
      <c r="G2415" s="103"/>
      <c r="H2415" s="103"/>
      <c r="I2415" s="103"/>
      <c r="J2415" s="103"/>
      <c r="K2415" s="103"/>
      <c r="L2415" s="103"/>
      <c r="M2415" s="104"/>
      <c r="N2415" s="103"/>
    </row>
    <row r="2416" spans="1:14" ht="45" customHeight="1" thickBot="1" x14ac:dyDescent="0.4">
      <c r="A2416" s="103"/>
      <c r="B2416" s="103"/>
      <c r="C2416" s="103"/>
      <c r="D2416" s="103"/>
      <c r="E2416" s="103"/>
      <c r="F2416" s="103"/>
      <c r="G2416" s="103"/>
      <c r="H2416" s="103"/>
      <c r="I2416" s="103"/>
      <c r="J2416" s="103"/>
      <c r="K2416" s="103"/>
      <c r="L2416" s="103"/>
      <c r="M2416" s="104"/>
      <c r="N2416" s="103"/>
    </row>
    <row r="2417" spans="1:14" ht="45" customHeight="1" thickBot="1" x14ac:dyDescent="0.4">
      <c r="A2417" s="103"/>
      <c r="B2417" s="103"/>
      <c r="C2417" s="103"/>
      <c r="D2417" s="103"/>
      <c r="E2417" s="103"/>
      <c r="F2417" s="103"/>
      <c r="G2417" s="103"/>
      <c r="H2417" s="103"/>
      <c r="I2417" s="103"/>
      <c r="J2417" s="103"/>
      <c r="K2417" s="103"/>
      <c r="L2417" s="103"/>
      <c r="M2417" s="104"/>
      <c r="N2417" s="103"/>
    </row>
    <row r="2418" spans="1:14" ht="45" customHeight="1" thickBot="1" x14ac:dyDescent="0.4">
      <c r="A2418" s="103"/>
      <c r="B2418" s="103"/>
      <c r="C2418" s="103"/>
      <c r="D2418" s="103"/>
      <c r="E2418" s="103"/>
      <c r="F2418" s="103"/>
      <c r="G2418" s="103"/>
      <c r="H2418" s="103"/>
      <c r="I2418" s="103"/>
      <c r="J2418" s="103"/>
      <c r="K2418" s="103"/>
      <c r="L2418" s="103"/>
      <c r="M2418" s="104"/>
      <c r="N2418" s="103"/>
    </row>
    <row r="2419" spans="1:14" ht="45" customHeight="1" thickBot="1" x14ac:dyDescent="0.4">
      <c r="A2419" s="103"/>
      <c r="B2419" s="103"/>
      <c r="C2419" s="103"/>
      <c r="D2419" s="103"/>
      <c r="E2419" s="103"/>
      <c r="F2419" s="103"/>
      <c r="G2419" s="103"/>
      <c r="H2419" s="103"/>
      <c r="I2419" s="103"/>
      <c r="J2419" s="103"/>
      <c r="K2419" s="103"/>
      <c r="L2419" s="103"/>
      <c r="M2419" s="104"/>
      <c r="N2419" s="103"/>
    </row>
    <row r="2420" spans="1:14" ht="45" customHeight="1" thickBot="1" x14ac:dyDescent="0.4">
      <c r="A2420" s="103"/>
      <c r="B2420" s="103"/>
      <c r="C2420" s="103"/>
      <c r="D2420" s="103"/>
      <c r="E2420" s="103"/>
      <c r="F2420" s="103"/>
      <c r="G2420" s="103"/>
      <c r="H2420" s="103"/>
      <c r="I2420" s="103"/>
      <c r="J2420" s="103"/>
      <c r="K2420" s="103"/>
      <c r="L2420" s="103"/>
      <c r="M2420" s="104"/>
      <c r="N2420" s="103"/>
    </row>
    <row r="2421" spans="1:14" ht="45" customHeight="1" thickBot="1" x14ac:dyDescent="0.4">
      <c r="A2421" s="103"/>
      <c r="B2421" s="103"/>
      <c r="C2421" s="103"/>
      <c r="D2421" s="103"/>
      <c r="E2421" s="103"/>
      <c r="F2421" s="103"/>
      <c r="G2421" s="103"/>
      <c r="H2421" s="103"/>
      <c r="I2421" s="103"/>
      <c r="J2421" s="103"/>
      <c r="K2421" s="103"/>
      <c r="L2421" s="103"/>
      <c r="M2421" s="104"/>
      <c r="N2421" s="103"/>
    </row>
    <row r="2422" spans="1:14" ht="45" customHeight="1" thickBot="1" x14ac:dyDescent="0.4">
      <c r="A2422" s="103"/>
      <c r="B2422" s="103"/>
      <c r="C2422" s="103"/>
      <c r="D2422" s="103"/>
      <c r="E2422" s="103"/>
      <c r="F2422" s="103"/>
      <c r="G2422" s="103"/>
      <c r="H2422" s="103"/>
      <c r="I2422" s="103"/>
      <c r="J2422" s="103"/>
      <c r="K2422" s="103"/>
      <c r="L2422" s="103"/>
      <c r="M2422" s="104"/>
      <c r="N2422" s="103"/>
    </row>
    <row r="2423" spans="1:14" ht="45" customHeight="1" thickBot="1" x14ac:dyDescent="0.4">
      <c r="A2423" s="103"/>
      <c r="B2423" s="103"/>
      <c r="C2423" s="103"/>
      <c r="D2423" s="103"/>
      <c r="E2423" s="103"/>
      <c r="F2423" s="103"/>
      <c r="G2423" s="103"/>
      <c r="H2423" s="103"/>
      <c r="I2423" s="103"/>
      <c r="J2423" s="103"/>
      <c r="K2423" s="103"/>
      <c r="L2423" s="103"/>
      <c r="M2423" s="104"/>
      <c r="N2423" s="103"/>
    </row>
    <row r="2424" spans="1:14" ht="45" customHeight="1" thickBot="1" x14ac:dyDescent="0.4">
      <c r="A2424" s="103"/>
      <c r="B2424" s="103"/>
      <c r="C2424" s="103"/>
      <c r="D2424" s="103"/>
      <c r="E2424" s="103"/>
      <c r="F2424" s="103"/>
      <c r="G2424" s="103"/>
      <c r="H2424" s="103"/>
      <c r="I2424" s="103"/>
      <c r="J2424" s="103"/>
      <c r="K2424" s="103"/>
      <c r="L2424" s="103"/>
      <c r="M2424" s="104"/>
      <c r="N2424" s="103"/>
    </row>
    <row r="2425" spans="1:14" ht="45" customHeight="1" thickBot="1" x14ac:dyDescent="0.4">
      <c r="A2425" s="103"/>
      <c r="B2425" s="103"/>
      <c r="C2425" s="103"/>
      <c r="D2425" s="103"/>
      <c r="E2425" s="103"/>
      <c r="F2425" s="103"/>
      <c r="G2425" s="103"/>
      <c r="H2425" s="103"/>
      <c r="I2425" s="103"/>
      <c r="J2425" s="103"/>
      <c r="K2425" s="103"/>
      <c r="L2425" s="103"/>
      <c r="M2425" s="104"/>
      <c r="N2425" s="103"/>
    </row>
    <row r="2426" spans="1:14" ht="45" customHeight="1" thickBot="1" x14ac:dyDescent="0.4">
      <c r="A2426" s="103"/>
      <c r="B2426" s="103"/>
      <c r="C2426" s="103"/>
      <c r="D2426" s="103"/>
      <c r="E2426" s="103"/>
      <c r="F2426" s="103"/>
      <c r="G2426" s="103"/>
      <c r="H2426" s="103"/>
      <c r="I2426" s="103"/>
      <c r="J2426" s="103"/>
      <c r="K2426" s="103"/>
      <c r="L2426" s="103"/>
      <c r="M2426" s="104"/>
      <c r="N2426" s="103"/>
    </row>
    <row r="2427" spans="1:14" ht="45" customHeight="1" thickBot="1" x14ac:dyDescent="0.4">
      <c r="A2427" s="103"/>
      <c r="B2427" s="103"/>
      <c r="C2427" s="103"/>
      <c r="D2427" s="103"/>
      <c r="E2427" s="103"/>
      <c r="F2427" s="103"/>
      <c r="G2427" s="103"/>
      <c r="H2427" s="103"/>
      <c r="I2427" s="103"/>
      <c r="J2427" s="103"/>
      <c r="K2427" s="103"/>
      <c r="L2427" s="103"/>
      <c r="M2427" s="104"/>
      <c r="N2427" s="103"/>
    </row>
    <row r="2428" spans="1:14" ht="45" customHeight="1" thickBot="1" x14ac:dyDescent="0.4">
      <c r="A2428" s="103"/>
      <c r="B2428" s="103"/>
      <c r="C2428" s="103"/>
      <c r="D2428" s="103"/>
      <c r="E2428" s="103"/>
      <c r="F2428" s="103"/>
      <c r="G2428" s="103"/>
      <c r="H2428" s="103"/>
      <c r="I2428" s="103"/>
      <c r="J2428" s="103"/>
      <c r="K2428" s="103"/>
      <c r="L2428" s="103"/>
      <c r="M2428" s="104"/>
      <c r="N2428" s="103"/>
    </row>
    <row r="2429" spans="1:14" ht="45" customHeight="1" thickBot="1" x14ac:dyDescent="0.4">
      <c r="A2429" s="103"/>
      <c r="B2429" s="103"/>
      <c r="C2429" s="103"/>
      <c r="D2429" s="103"/>
      <c r="E2429" s="103"/>
      <c r="F2429" s="103"/>
      <c r="G2429" s="103"/>
      <c r="H2429" s="103"/>
      <c r="I2429" s="103"/>
      <c r="J2429" s="103"/>
      <c r="K2429" s="103"/>
      <c r="L2429" s="103"/>
      <c r="M2429" s="104"/>
      <c r="N2429" s="103"/>
    </row>
    <row r="2430" spans="1:14" ht="45" customHeight="1" thickBot="1" x14ac:dyDescent="0.4">
      <c r="A2430" s="103"/>
      <c r="B2430" s="103"/>
      <c r="C2430" s="103"/>
      <c r="D2430" s="103"/>
      <c r="E2430" s="103"/>
      <c r="F2430" s="103"/>
      <c r="G2430" s="103"/>
      <c r="H2430" s="103"/>
      <c r="I2430" s="103"/>
      <c r="J2430" s="103"/>
      <c r="K2430" s="103"/>
      <c r="L2430" s="103"/>
      <c r="M2430" s="104"/>
      <c r="N2430" s="103"/>
    </row>
    <row r="2431" spans="1:14" ht="45" customHeight="1" thickBot="1" x14ac:dyDescent="0.4">
      <c r="A2431" s="103"/>
      <c r="B2431" s="103"/>
      <c r="C2431" s="103"/>
      <c r="D2431" s="103"/>
      <c r="E2431" s="103"/>
      <c r="F2431" s="103"/>
      <c r="G2431" s="103"/>
      <c r="H2431" s="103"/>
      <c r="I2431" s="103"/>
      <c r="J2431" s="103"/>
      <c r="K2431" s="103"/>
      <c r="L2431" s="103"/>
      <c r="M2431" s="104"/>
      <c r="N2431" s="103"/>
    </row>
    <row r="2432" spans="1:14" ht="45" customHeight="1" thickBot="1" x14ac:dyDescent="0.4">
      <c r="A2432" s="103"/>
      <c r="B2432" s="103"/>
      <c r="C2432" s="103"/>
      <c r="D2432" s="103"/>
      <c r="E2432" s="103"/>
      <c r="F2432" s="103"/>
      <c r="G2432" s="103"/>
      <c r="H2432" s="103"/>
      <c r="I2432" s="103"/>
      <c r="J2432" s="103"/>
      <c r="K2432" s="103"/>
      <c r="L2432" s="103"/>
      <c r="M2432" s="104"/>
      <c r="N2432" s="103"/>
    </row>
    <row r="2433" spans="1:14" ht="45" customHeight="1" thickBot="1" x14ac:dyDescent="0.4">
      <c r="A2433" s="103"/>
      <c r="B2433" s="103"/>
      <c r="C2433" s="103"/>
      <c r="D2433" s="103"/>
      <c r="E2433" s="103"/>
      <c r="F2433" s="103"/>
      <c r="G2433" s="103"/>
      <c r="H2433" s="103"/>
      <c r="I2433" s="103"/>
      <c r="J2433" s="103"/>
      <c r="K2433" s="103"/>
      <c r="L2433" s="103"/>
      <c r="M2433" s="104"/>
      <c r="N2433" s="103"/>
    </row>
    <row r="2434" spans="1:14" ht="45" customHeight="1" thickBot="1" x14ac:dyDescent="0.4">
      <c r="A2434" s="103"/>
      <c r="B2434" s="103"/>
      <c r="C2434" s="103"/>
      <c r="D2434" s="103"/>
      <c r="E2434" s="103"/>
      <c r="F2434" s="103"/>
      <c r="G2434" s="103"/>
      <c r="H2434" s="103"/>
      <c r="I2434" s="103"/>
      <c r="J2434" s="103"/>
      <c r="K2434" s="103"/>
      <c r="L2434" s="103"/>
      <c r="M2434" s="104"/>
      <c r="N2434" s="103"/>
    </row>
    <row r="2435" spans="1:14" ht="45" customHeight="1" thickBot="1" x14ac:dyDescent="0.4">
      <c r="A2435" s="103"/>
      <c r="B2435" s="103"/>
      <c r="C2435" s="103"/>
      <c r="D2435" s="103"/>
      <c r="E2435" s="103"/>
      <c r="F2435" s="103"/>
      <c r="G2435" s="103"/>
      <c r="H2435" s="103"/>
      <c r="I2435" s="103"/>
      <c r="J2435" s="103"/>
      <c r="K2435" s="103"/>
      <c r="L2435" s="103"/>
      <c r="M2435" s="104"/>
      <c r="N2435" s="103"/>
    </row>
    <row r="2436" spans="1:14" ht="45" customHeight="1" thickBot="1" x14ac:dyDescent="0.4">
      <c r="A2436" s="103"/>
      <c r="B2436" s="103"/>
      <c r="C2436" s="103"/>
      <c r="D2436" s="103"/>
      <c r="E2436" s="103"/>
      <c r="F2436" s="103"/>
      <c r="G2436" s="103"/>
      <c r="H2436" s="103"/>
      <c r="I2436" s="103"/>
      <c r="J2436" s="103"/>
      <c r="K2436" s="103"/>
      <c r="L2436" s="103"/>
      <c r="M2436" s="104"/>
      <c r="N2436" s="103"/>
    </row>
    <row r="2437" spans="1:14" ht="45" customHeight="1" thickBot="1" x14ac:dyDescent="0.4">
      <c r="A2437" s="103"/>
      <c r="B2437" s="103"/>
      <c r="C2437" s="103"/>
      <c r="D2437" s="103"/>
      <c r="E2437" s="103"/>
      <c r="F2437" s="103"/>
      <c r="G2437" s="103"/>
      <c r="H2437" s="103"/>
      <c r="I2437" s="103"/>
      <c r="J2437" s="103"/>
      <c r="K2437" s="103"/>
      <c r="L2437" s="103"/>
      <c r="M2437" s="104"/>
      <c r="N2437" s="103"/>
    </row>
    <row r="2438" spans="1:14" ht="45" customHeight="1" thickBot="1" x14ac:dyDescent="0.4">
      <c r="A2438" s="103"/>
      <c r="B2438" s="103"/>
      <c r="C2438" s="103"/>
      <c r="D2438" s="103"/>
      <c r="E2438" s="103"/>
      <c r="F2438" s="103"/>
      <c r="G2438" s="103"/>
      <c r="H2438" s="103"/>
      <c r="I2438" s="103"/>
      <c r="J2438" s="103"/>
      <c r="K2438" s="103"/>
      <c r="L2438" s="103"/>
      <c r="M2438" s="104"/>
      <c r="N2438" s="103"/>
    </row>
    <row r="2439" spans="1:14" ht="45" customHeight="1" thickBot="1" x14ac:dyDescent="0.4">
      <c r="A2439" s="103"/>
      <c r="B2439" s="103"/>
      <c r="C2439" s="103"/>
      <c r="D2439" s="103"/>
      <c r="E2439" s="103"/>
      <c r="F2439" s="103"/>
      <c r="G2439" s="103"/>
      <c r="H2439" s="103"/>
      <c r="I2439" s="103"/>
      <c r="J2439" s="103"/>
      <c r="K2439" s="103"/>
      <c r="L2439" s="103"/>
      <c r="M2439" s="104"/>
      <c r="N2439" s="103"/>
    </row>
    <row r="2440" spans="1:14" ht="45" customHeight="1" thickBot="1" x14ac:dyDescent="0.4">
      <c r="A2440" s="103"/>
      <c r="B2440" s="103"/>
      <c r="C2440" s="103"/>
      <c r="D2440" s="103"/>
      <c r="E2440" s="103"/>
      <c r="F2440" s="103"/>
      <c r="G2440" s="103"/>
      <c r="H2440" s="103"/>
      <c r="I2440" s="103"/>
      <c r="J2440" s="103"/>
      <c r="K2440" s="103"/>
      <c r="L2440" s="103"/>
      <c r="M2440" s="104"/>
      <c r="N2440" s="103"/>
    </row>
    <row r="2441" spans="1:14" ht="45" customHeight="1" thickBot="1" x14ac:dyDescent="0.4">
      <c r="A2441" s="103"/>
      <c r="B2441" s="103"/>
      <c r="C2441" s="103"/>
      <c r="D2441" s="103"/>
      <c r="E2441" s="103"/>
      <c r="F2441" s="103"/>
      <c r="G2441" s="103"/>
      <c r="H2441" s="103"/>
      <c r="I2441" s="103"/>
      <c r="J2441" s="103"/>
      <c r="K2441" s="103"/>
      <c r="L2441" s="103"/>
      <c r="M2441" s="104"/>
      <c r="N2441" s="103"/>
    </row>
    <row r="2442" spans="1:14" ht="45" customHeight="1" thickBot="1" x14ac:dyDescent="0.4">
      <c r="A2442" s="103"/>
      <c r="B2442" s="103"/>
      <c r="C2442" s="103"/>
      <c r="D2442" s="103"/>
      <c r="E2442" s="103"/>
      <c r="F2442" s="103"/>
      <c r="G2442" s="103"/>
      <c r="H2442" s="103"/>
      <c r="I2442" s="103"/>
      <c r="J2442" s="103"/>
      <c r="K2442" s="103"/>
      <c r="L2442" s="103"/>
      <c r="M2442" s="104"/>
      <c r="N2442" s="103"/>
    </row>
    <row r="2443" spans="1:14" ht="45" customHeight="1" thickBot="1" x14ac:dyDescent="0.4">
      <c r="A2443" s="103"/>
      <c r="B2443" s="103"/>
      <c r="C2443" s="103"/>
      <c r="D2443" s="103"/>
      <c r="E2443" s="103"/>
      <c r="F2443" s="103"/>
      <c r="G2443" s="103"/>
      <c r="H2443" s="103"/>
      <c r="I2443" s="103"/>
      <c r="J2443" s="103"/>
      <c r="K2443" s="103"/>
      <c r="L2443" s="103"/>
      <c r="M2443" s="104"/>
      <c r="N2443" s="103"/>
    </row>
    <row r="2444" spans="1:14" ht="45" customHeight="1" thickBot="1" x14ac:dyDescent="0.4">
      <c r="A2444" s="103"/>
      <c r="B2444" s="103"/>
      <c r="C2444" s="103"/>
      <c r="D2444" s="103"/>
      <c r="E2444" s="103"/>
      <c r="F2444" s="103"/>
      <c r="G2444" s="103"/>
      <c r="H2444" s="103"/>
      <c r="I2444" s="103"/>
      <c r="J2444" s="103"/>
      <c r="K2444" s="103"/>
      <c r="L2444" s="103"/>
      <c r="M2444" s="104"/>
      <c r="N2444" s="103"/>
    </row>
    <row r="2445" spans="1:14" ht="45" customHeight="1" thickBot="1" x14ac:dyDescent="0.4">
      <c r="A2445" s="103"/>
      <c r="B2445" s="103"/>
      <c r="C2445" s="103"/>
      <c r="D2445" s="103"/>
      <c r="E2445" s="103"/>
      <c r="F2445" s="103"/>
      <c r="G2445" s="103"/>
      <c r="H2445" s="103"/>
      <c r="I2445" s="103"/>
      <c r="J2445" s="103"/>
      <c r="K2445" s="103"/>
      <c r="L2445" s="103"/>
      <c r="M2445" s="104"/>
      <c r="N2445" s="103"/>
    </row>
    <row r="2446" spans="1:14" ht="45" customHeight="1" thickBot="1" x14ac:dyDescent="0.4">
      <c r="A2446" s="103"/>
      <c r="B2446" s="103"/>
      <c r="C2446" s="103"/>
      <c r="D2446" s="103"/>
      <c r="E2446" s="103"/>
      <c r="F2446" s="103"/>
      <c r="G2446" s="103"/>
      <c r="H2446" s="103"/>
      <c r="I2446" s="103"/>
      <c r="J2446" s="103"/>
      <c r="K2446" s="103"/>
      <c r="L2446" s="103"/>
      <c r="M2446" s="104"/>
      <c r="N2446" s="103"/>
    </row>
    <row r="2447" spans="1:14" ht="45" customHeight="1" thickBot="1" x14ac:dyDescent="0.4">
      <c r="A2447" s="103"/>
      <c r="B2447" s="103"/>
      <c r="C2447" s="103"/>
      <c r="D2447" s="103"/>
      <c r="E2447" s="103"/>
      <c r="F2447" s="103"/>
      <c r="G2447" s="103"/>
      <c r="H2447" s="103"/>
      <c r="I2447" s="103"/>
      <c r="J2447" s="103"/>
      <c r="K2447" s="103"/>
      <c r="L2447" s="103"/>
      <c r="M2447" s="104"/>
      <c r="N2447" s="103"/>
    </row>
    <row r="2448" spans="1:14" ht="45" customHeight="1" thickBot="1" x14ac:dyDescent="0.4">
      <c r="A2448" s="103"/>
      <c r="B2448" s="103"/>
      <c r="C2448" s="103"/>
      <c r="D2448" s="103"/>
      <c r="E2448" s="103"/>
      <c r="F2448" s="103"/>
      <c r="G2448" s="103"/>
      <c r="H2448" s="103"/>
      <c r="I2448" s="103"/>
      <c r="J2448" s="103"/>
      <c r="K2448" s="103"/>
      <c r="L2448" s="103"/>
      <c r="M2448" s="104"/>
      <c r="N2448" s="103"/>
    </row>
    <row r="2449" spans="1:14" ht="45" customHeight="1" thickBot="1" x14ac:dyDescent="0.4">
      <c r="A2449" s="103"/>
      <c r="B2449" s="103"/>
      <c r="C2449" s="103"/>
      <c r="D2449" s="103"/>
      <c r="E2449" s="103"/>
      <c r="F2449" s="103"/>
      <c r="G2449" s="103"/>
      <c r="H2449" s="103"/>
      <c r="I2449" s="103"/>
      <c r="J2449" s="103"/>
      <c r="K2449" s="103"/>
      <c r="L2449" s="103"/>
      <c r="M2449" s="104"/>
      <c r="N2449" s="103"/>
    </row>
    <row r="2450" spans="1:14" ht="45" customHeight="1" thickBot="1" x14ac:dyDescent="0.4">
      <c r="A2450" s="103"/>
      <c r="B2450" s="103"/>
      <c r="C2450" s="103"/>
      <c r="D2450" s="103"/>
      <c r="E2450" s="103"/>
      <c r="F2450" s="103"/>
      <c r="G2450" s="103"/>
      <c r="H2450" s="103"/>
      <c r="I2450" s="103"/>
      <c r="J2450" s="103"/>
      <c r="K2450" s="103"/>
      <c r="L2450" s="103"/>
      <c r="M2450" s="104"/>
      <c r="N2450" s="103"/>
    </row>
    <row r="2451" spans="1:14" ht="45" customHeight="1" thickBot="1" x14ac:dyDescent="0.4">
      <c r="A2451" s="103"/>
      <c r="B2451" s="103"/>
      <c r="C2451" s="103"/>
      <c r="D2451" s="103"/>
      <c r="E2451" s="103"/>
      <c r="F2451" s="103"/>
      <c r="G2451" s="103"/>
      <c r="H2451" s="103"/>
      <c r="I2451" s="103"/>
      <c r="J2451" s="103"/>
      <c r="K2451" s="103"/>
      <c r="L2451" s="103"/>
      <c r="M2451" s="104"/>
      <c r="N2451" s="103"/>
    </row>
    <row r="2452" spans="1:14" ht="45" customHeight="1" thickBot="1" x14ac:dyDescent="0.4">
      <c r="A2452" s="103"/>
      <c r="B2452" s="103"/>
      <c r="C2452" s="103"/>
      <c r="D2452" s="103"/>
      <c r="E2452" s="103"/>
      <c r="F2452" s="103"/>
      <c r="G2452" s="103"/>
      <c r="H2452" s="103"/>
      <c r="I2452" s="103"/>
      <c r="J2452" s="103"/>
      <c r="K2452" s="103"/>
      <c r="L2452" s="103"/>
      <c r="M2452" s="104"/>
      <c r="N2452" s="103"/>
    </row>
    <row r="2453" spans="1:14" ht="45" customHeight="1" thickBot="1" x14ac:dyDescent="0.4">
      <c r="A2453" s="103"/>
      <c r="B2453" s="103"/>
      <c r="C2453" s="103"/>
      <c r="D2453" s="103"/>
      <c r="E2453" s="103"/>
      <c r="F2453" s="103"/>
      <c r="G2453" s="103"/>
      <c r="H2453" s="103"/>
      <c r="I2453" s="103"/>
      <c r="J2453" s="103"/>
      <c r="K2453" s="103"/>
      <c r="L2453" s="103"/>
      <c r="M2453" s="104"/>
      <c r="N2453" s="103"/>
    </row>
    <row r="2454" spans="1:14" ht="45" customHeight="1" thickBot="1" x14ac:dyDescent="0.4">
      <c r="A2454" s="103"/>
      <c r="B2454" s="103"/>
      <c r="C2454" s="103"/>
      <c r="D2454" s="103"/>
      <c r="E2454" s="103"/>
      <c r="F2454" s="103"/>
      <c r="G2454" s="103"/>
      <c r="H2454" s="103"/>
      <c r="I2454" s="103"/>
      <c r="J2454" s="103"/>
      <c r="K2454" s="103"/>
      <c r="L2454" s="103"/>
      <c r="M2454" s="104"/>
      <c r="N2454" s="103"/>
    </row>
    <row r="2455" spans="1:14" ht="45" customHeight="1" thickBot="1" x14ac:dyDescent="0.4">
      <c r="A2455" s="103"/>
      <c r="B2455" s="103"/>
      <c r="C2455" s="103"/>
      <c r="D2455" s="103"/>
      <c r="E2455" s="103"/>
      <c r="F2455" s="103"/>
      <c r="G2455" s="103"/>
      <c r="H2455" s="103"/>
      <c r="I2455" s="103"/>
      <c r="J2455" s="103"/>
      <c r="K2455" s="103"/>
      <c r="L2455" s="103"/>
      <c r="M2455" s="104"/>
      <c r="N2455" s="103"/>
    </row>
    <row r="2456" spans="1:14" ht="45" customHeight="1" thickBot="1" x14ac:dyDescent="0.4">
      <c r="A2456" s="103"/>
      <c r="B2456" s="103"/>
      <c r="C2456" s="103"/>
      <c r="D2456" s="103"/>
      <c r="E2456" s="103"/>
      <c r="F2456" s="103"/>
      <c r="G2456" s="103"/>
      <c r="H2456" s="103"/>
      <c r="I2456" s="103"/>
      <c r="J2456" s="103"/>
      <c r="K2456" s="103"/>
      <c r="L2456" s="103"/>
      <c r="M2456" s="104"/>
      <c r="N2456" s="103"/>
    </row>
    <row r="2457" spans="1:14" ht="45" customHeight="1" thickBot="1" x14ac:dyDescent="0.4">
      <c r="A2457" s="103"/>
      <c r="B2457" s="103"/>
      <c r="C2457" s="103"/>
      <c r="D2457" s="103"/>
      <c r="E2457" s="103"/>
      <c r="F2457" s="103"/>
      <c r="G2457" s="103"/>
      <c r="H2457" s="103"/>
      <c r="I2457" s="103"/>
      <c r="J2457" s="103"/>
      <c r="K2457" s="103"/>
      <c r="L2457" s="103"/>
      <c r="M2457" s="104"/>
      <c r="N2457" s="103"/>
    </row>
    <row r="2458" spans="1:14" ht="45" customHeight="1" thickBot="1" x14ac:dyDescent="0.4">
      <c r="A2458" s="103"/>
      <c r="B2458" s="103"/>
      <c r="C2458" s="103"/>
      <c r="D2458" s="103"/>
      <c r="E2458" s="103"/>
      <c r="F2458" s="103"/>
      <c r="G2458" s="103"/>
      <c r="H2458" s="103"/>
      <c r="I2458" s="103"/>
      <c r="J2458" s="103"/>
      <c r="K2458" s="103"/>
      <c r="L2458" s="103"/>
      <c r="M2458" s="104"/>
      <c r="N2458" s="103"/>
    </row>
    <row r="2459" spans="1:14" ht="45" customHeight="1" thickBot="1" x14ac:dyDescent="0.4">
      <c r="A2459" s="103"/>
      <c r="B2459" s="103"/>
      <c r="C2459" s="103"/>
      <c r="D2459" s="103"/>
      <c r="E2459" s="103"/>
      <c r="F2459" s="103"/>
      <c r="G2459" s="103"/>
      <c r="H2459" s="103"/>
      <c r="I2459" s="103"/>
      <c r="J2459" s="103"/>
      <c r="K2459" s="103"/>
      <c r="L2459" s="103"/>
      <c r="M2459" s="104"/>
      <c r="N2459" s="103"/>
    </row>
    <row r="2460" spans="1:14" ht="45" customHeight="1" thickBot="1" x14ac:dyDescent="0.4">
      <c r="A2460" s="103"/>
      <c r="B2460" s="103"/>
      <c r="C2460" s="103"/>
      <c r="D2460" s="103"/>
      <c r="E2460" s="103"/>
      <c r="F2460" s="103"/>
      <c r="G2460" s="103"/>
      <c r="H2460" s="103"/>
      <c r="I2460" s="103"/>
      <c r="J2460" s="103"/>
      <c r="K2460" s="103"/>
      <c r="L2460" s="103"/>
      <c r="M2460" s="104"/>
      <c r="N2460" s="103"/>
    </row>
    <row r="2461" spans="1:14" ht="45" customHeight="1" thickBot="1" x14ac:dyDescent="0.4">
      <c r="A2461" s="103"/>
      <c r="B2461" s="103"/>
      <c r="C2461" s="103"/>
      <c r="D2461" s="103"/>
      <c r="E2461" s="103"/>
      <c r="F2461" s="103"/>
      <c r="G2461" s="103"/>
      <c r="H2461" s="103"/>
      <c r="I2461" s="103"/>
      <c r="J2461" s="103"/>
      <c r="K2461" s="103"/>
      <c r="L2461" s="103"/>
      <c r="M2461" s="104"/>
      <c r="N2461" s="103"/>
    </row>
    <row r="2462" spans="1:14" ht="45" customHeight="1" thickBot="1" x14ac:dyDescent="0.4">
      <c r="A2462" s="103"/>
      <c r="B2462" s="103"/>
      <c r="C2462" s="103"/>
      <c r="D2462" s="103"/>
      <c r="E2462" s="103"/>
      <c r="F2462" s="103"/>
      <c r="G2462" s="103"/>
      <c r="H2462" s="103"/>
      <c r="I2462" s="103"/>
      <c r="J2462" s="103"/>
      <c r="K2462" s="103"/>
      <c r="L2462" s="103"/>
      <c r="M2462" s="104"/>
      <c r="N2462" s="103"/>
    </row>
    <row r="2463" spans="1:14" ht="45" customHeight="1" thickBot="1" x14ac:dyDescent="0.4">
      <c r="A2463" s="103"/>
      <c r="B2463" s="103"/>
      <c r="C2463" s="103"/>
      <c r="D2463" s="103"/>
      <c r="E2463" s="103"/>
      <c r="F2463" s="103"/>
      <c r="G2463" s="103"/>
      <c r="H2463" s="103"/>
      <c r="I2463" s="103"/>
      <c r="J2463" s="103"/>
      <c r="K2463" s="103"/>
      <c r="L2463" s="103"/>
      <c r="M2463" s="104"/>
      <c r="N2463" s="103"/>
    </row>
    <row r="2464" spans="1:14" ht="45" customHeight="1" thickBot="1" x14ac:dyDescent="0.4">
      <c r="A2464" s="103"/>
      <c r="B2464" s="103"/>
      <c r="C2464" s="103"/>
      <c r="D2464" s="103"/>
      <c r="E2464" s="103"/>
      <c r="F2464" s="103"/>
      <c r="G2464" s="103"/>
      <c r="H2464" s="103"/>
      <c r="I2464" s="103"/>
      <c r="J2464" s="103"/>
      <c r="K2464" s="103"/>
      <c r="L2464" s="103"/>
      <c r="M2464" s="104"/>
      <c r="N2464" s="103"/>
    </row>
    <row r="2465" spans="1:14" ht="45" customHeight="1" thickBot="1" x14ac:dyDescent="0.4">
      <c r="A2465" s="103"/>
      <c r="B2465" s="103"/>
      <c r="C2465" s="103"/>
      <c r="D2465" s="103"/>
      <c r="E2465" s="103"/>
      <c r="F2465" s="103"/>
      <c r="G2465" s="103"/>
      <c r="H2465" s="103"/>
      <c r="I2465" s="103"/>
      <c r="J2465" s="103"/>
      <c r="K2465" s="103"/>
      <c r="L2465" s="103"/>
      <c r="M2465" s="104"/>
      <c r="N2465" s="103"/>
    </row>
    <row r="2466" spans="1:14" ht="45" customHeight="1" thickBot="1" x14ac:dyDescent="0.4">
      <c r="A2466" s="103"/>
      <c r="B2466" s="103"/>
      <c r="C2466" s="103"/>
      <c r="D2466" s="103"/>
      <c r="E2466" s="103"/>
      <c r="F2466" s="103"/>
      <c r="G2466" s="103"/>
      <c r="H2466" s="103"/>
      <c r="I2466" s="103"/>
      <c r="J2466" s="103"/>
      <c r="K2466" s="103"/>
      <c r="L2466" s="103"/>
      <c r="M2466" s="104"/>
      <c r="N2466" s="103"/>
    </row>
    <row r="2467" spans="1:14" ht="45" customHeight="1" thickBot="1" x14ac:dyDescent="0.4">
      <c r="A2467" s="103"/>
      <c r="B2467" s="103"/>
      <c r="C2467" s="103"/>
      <c r="D2467" s="103"/>
      <c r="E2467" s="103"/>
      <c r="F2467" s="103"/>
      <c r="G2467" s="103"/>
      <c r="H2467" s="103"/>
      <c r="I2467" s="103"/>
      <c r="J2467" s="103"/>
      <c r="K2467" s="103"/>
      <c r="L2467" s="103"/>
      <c r="M2467" s="104"/>
      <c r="N2467" s="103"/>
    </row>
    <row r="2468" spans="1:14" ht="45" customHeight="1" thickBot="1" x14ac:dyDescent="0.4">
      <c r="A2468" s="103"/>
      <c r="B2468" s="103"/>
      <c r="C2468" s="103"/>
      <c r="D2468" s="103"/>
      <c r="E2468" s="103"/>
      <c r="F2468" s="103"/>
      <c r="G2468" s="103"/>
      <c r="H2468" s="103"/>
      <c r="I2468" s="103"/>
      <c r="J2468" s="103"/>
      <c r="K2468" s="103"/>
      <c r="L2468" s="103"/>
      <c r="M2468" s="104"/>
      <c r="N2468" s="103"/>
    </row>
    <row r="2469" spans="1:14" ht="45" customHeight="1" thickBot="1" x14ac:dyDescent="0.4">
      <c r="A2469" s="103"/>
      <c r="B2469" s="103"/>
      <c r="C2469" s="103"/>
      <c r="D2469" s="103"/>
      <c r="E2469" s="103"/>
      <c r="F2469" s="103"/>
      <c r="G2469" s="103"/>
      <c r="H2469" s="103"/>
      <c r="I2469" s="103"/>
      <c r="J2469" s="103"/>
      <c r="K2469" s="103"/>
      <c r="L2469" s="103"/>
      <c r="M2469" s="104"/>
      <c r="N2469" s="103"/>
    </row>
    <row r="2470" spans="1:14" ht="45" customHeight="1" thickBot="1" x14ac:dyDescent="0.4">
      <c r="A2470" s="103"/>
      <c r="B2470" s="103"/>
      <c r="C2470" s="103"/>
      <c r="D2470" s="103"/>
      <c r="E2470" s="103"/>
      <c r="F2470" s="103"/>
      <c r="G2470" s="103"/>
      <c r="H2470" s="103"/>
      <c r="I2470" s="103"/>
      <c r="J2470" s="103"/>
      <c r="K2470" s="103"/>
      <c r="L2470" s="103"/>
      <c r="M2470" s="104"/>
      <c r="N2470" s="103"/>
    </row>
    <row r="2471" spans="1:14" ht="45" customHeight="1" thickBot="1" x14ac:dyDescent="0.4">
      <c r="A2471" s="103"/>
      <c r="B2471" s="103"/>
      <c r="C2471" s="103"/>
      <c r="D2471" s="103"/>
      <c r="E2471" s="103"/>
      <c r="F2471" s="103"/>
      <c r="G2471" s="103"/>
      <c r="H2471" s="103"/>
      <c r="I2471" s="103"/>
      <c r="J2471" s="103"/>
      <c r="K2471" s="103"/>
      <c r="L2471" s="103"/>
      <c r="M2471" s="104"/>
      <c r="N2471" s="103"/>
    </row>
    <row r="2472" spans="1:14" ht="45" customHeight="1" thickBot="1" x14ac:dyDescent="0.4">
      <c r="A2472" s="103"/>
      <c r="B2472" s="103"/>
      <c r="C2472" s="103"/>
      <c r="D2472" s="103"/>
      <c r="E2472" s="103"/>
      <c r="F2472" s="103"/>
      <c r="G2472" s="103"/>
      <c r="H2472" s="103"/>
      <c r="I2472" s="103"/>
      <c r="J2472" s="103"/>
      <c r="K2472" s="103"/>
      <c r="L2472" s="103"/>
      <c r="M2472" s="104"/>
      <c r="N2472" s="103"/>
    </row>
    <row r="2473" spans="1:14" ht="45" customHeight="1" thickBot="1" x14ac:dyDescent="0.4">
      <c r="A2473" s="103"/>
      <c r="B2473" s="103"/>
      <c r="C2473" s="103"/>
      <c r="D2473" s="103"/>
      <c r="E2473" s="103"/>
      <c r="F2473" s="103"/>
      <c r="G2473" s="103"/>
      <c r="H2473" s="103"/>
      <c r="I2473" s="103"/>
      <c r="J2473" s="103"/>
      <c r="K2473" s="103"/>
      <c r="L2473" s="103"/>
      <c r="M2473" s="104"/>
      <c r="N2473" s="103"/>
    </row>
    <row r="2474" spans="1:14" ht="45" customHeight="1" thickBot="1" x14ac:dyDescent="0.4">
      <c r="A2474" s="103"/>
      <c r="B2474" s="103"/>
      <c r="C2474" s="103"/>
      <c r="D2474" s="103"/>
      <c r="E2474" s="103"/>
      <c r="F2474" s="103"/>
      <c r="G2474" s="103"/>
      <c r="H2474" s="103"/>
      <c r="I2474" s="103"/>
      <c r="J2474" s="103"/>
      <c r="K2474" s="103"/>
      <c r="L2474" s="103"/>
      <c r="M2474" s="104"/>
      <c r="N2474" s="103"/>
    </row>
    <row r="2475" spans="1:14" ht="45" customHeight="1" thickBot="1" x14ac:dyDescent="0.4">
      <c r="A2475" s="103"/>
      <c r="B2475" s="103"/>
      <c r="C2475" s="103"/>
      <c r="D2475" s="103"/>
      <c r="E2475" s="103"/>
      <c r="F2475" s="103"/>
      <c r="G2475" s="103"/>
      <c r="H2475" s="103"/>
      <c r="I2475" s="103"/>
      <c r="J2475" s="103"/>
      <c r="K2475" s="103"/>
      <c r="L2475" s="103"/>
      <c r="M2475" s="104"/>
      <c r="N2475" s="103"/>
    </row>
    <row r="2476" spans="1:14" ht="45" customHeight="1" thickBot="1" x14ac:dyDescent="0.4">
      <c r="A2476" s="103"/>
      <c r="B2476" s="103"/>
      <c r="C2476" s="103"/>
      <c r="D2476" s="103"/>
      <c r="E2476" s="103"/>
      <c r="F2476" s="103"/>
      <c r="G2476" s="103"/>
      <c r="H2476" s="103"/>
      <c r="I2476" s="103"/>
      <c r="J2476" s="103"/>
      <c r="K2476" s="103"/>
      <c r="L2476" s="103"/>
      <c r="M2476" s="104"/>
      <c r="N2476" s="103"/>
    </row>
    <row r="2477" spans="1:14" ht="45" customHeight="1" thickBot="1" x14ac:dyDescent="0.4">
      <c r="A2477" s="103"/>
      <c r="B2477" s="103"/>
      <c r="C2477" s="103"/>
      <c r="D2477" s="103"/>
      <c r="E2477" s="103"/>
      <c r="F2477" s="103"/>
      <c r="G2477" s="103"/>
      <c r="H2477" s="103"/>
      <c r="I2477" s="103"/>
      <c r="J2477" s="103"/>
      <c r="K2477" s="103"/>
      <c r="L2477" s="103"/>
      <c r="M2477" s="104"/>
      <c r="N2477" s="103"/>
    </row>
    <row r="2478" spans="1:14" ht="45" customHeight="1" thickBot="1" x14ac:dyDescent="0.4">
      <c r="A2478" s="103"/>
      <c r="B2478" s="103"/>
      <c r="C2478" s="103"/>
      <c r="D2478" s="103"/>
      <c r="E2478" s="103"/>
      <c r="F2478" s="103"/>
      <c r="G2478" s="103"/>
      <c r="H2478" s="103"/>
      <c r="I2478" s="103"/>
      <c r="J2478" s="103"/>
      <c r="K2478" s="103"/>
      <c r="L2478" s="103"/>
      <c r="M2478" s="104"/>
      <c r="N2478" s="103"/>
    </row>
    <row r="2479" spans="1:14" ht="45" customHeight="1" thickBot="1" x14ac:dyDescent="0.4">
      <c r="A2479" s="103"/>
      <c r="B2479" s="103"/>
      <c r="C2479" s="103"/>
      <c r="D2479" s="103"/>
      <c r="E2479" s="103"/>
      <c r="F2479" s="103"/>
      <c r="G2479" s="103"/>
      <c r="H2479" s="103"/>
      <c r="I2479" s="103"/>
      <c r="J2479" s="103"/>
      <c r="K2479" s="103"/>
      <c r="L2479" s="103"/>
      <c r="M2479" s="104"/>
      <c r="N2479" s="103"/>
    </row>
    <row r="2480" spans="1:14" ht="45" customHeight="1" thickBot="1" x14ac:dyDescent="0.4">
      <c r="A2480" s="103"/>
      <c r="B2480" s="103"/>
      <c r="C2480" s="103"/>
      <c r="D2480" s="103"/>
      <c r="E2480" s="103"/>
      <c r="F2480" s="103"/>
      <c r="G2480" s="103"/>
      <c r="H2480" s="103"/>
      <c r="I2480" s="103"/>
      <c r="J2480" s="103"/>
      <c r="K2480" s="103"/>
      <c r="L2480" s="103"/>
      <c r="M2480" s="104"/>
      <c r="N2480" s="103"/>
    </row>
    <row r="2481" spans="1:14" ht="45" customHeight="1" thickBot="1" x14ac:dyDescent="0.4">
      <c r="A2481" s="103"/>
      <c r="B2481" s="103"/>
      <c r="C2481" s="103"/>
      <c r="D2481" s="103"/>
      <c r="E2481" s="103"/>
      <c r="F2481" s="103"/>
      <c r="G2481" s="103"/>
      <c r="H2481" s="103"/>
      <c r="I2481" s="103"/>
      <c r="J2481" s="103"/>
      <c r="K2481" s="103"/>
      <c r="L2481" s="103"/>
      <c r="M2481" s="104"/>
      <c r="N2481" s="103"/>
    </row>
    <row r="2482" spans="1:14" ht="45" customHeight="1" thickBot="1" x14ac:dyDescent="0.4">
      <c r="A2482" s="103"/>
      <c r="B2482" s="103"/>
      <c r="C2482" s="103"/>
      <c r="D2482" s="103"/>
      <c r="E2482" s="103"/>
      <c r="F2482" s="103"/>
      <c r="G2482" s="103"/>
      <c r="H2482" s="103"/>
      <c r="I2482" s="103"/>
      <c r="J2482" s="103"/>
      <c r="K2482" s="103"/>
      <c r="L2482" s="103"/>
      <c r="M2482" s="104"/>
      <c r="N2482" s="103"/>
    </row>
    <row r="2483" spans="1:14" ht="45" customHeight="1" thickBot="1" x14ac:dyDescent="0.4">
      <c r="A2483" s="103"/>
      <c r="B2483" s="103"/>
      <c r="C2483" s="103"/>
      <c r="D2483" s="103"/>
      <c r="E2483" s="103"/>
      <c r="F2483" s="103"/>
      <c r="G2483" s="103"/>
      <c r="H2483" s="103"/>
      <c r="I2483" s="103"/>
      <c r="J2483" s="103"/>
      <c r="K2483" s="103"/>
      <c r="L2483" s="103"/>
      <c r="M2483" s="104"/>
      <c r="N2483" s="103"/>
    </row>
    <row r="2484" spans="1:14" ht="45" customHeight="1" thickBot="1" x14ac:dyDescent="0.4">
      <c r="A2484" s="103"/>
      <c r="B2484" s="103"/>
      <c r="C2484" s="103"/>
      <c r="D2484" s="103"/>
      <c r="E2484" s="103"/>
      <c r="F2484" s="103"/>
      <c r="G2484" s="103"/>
      <c r="H2484" s="103"/>
      <c r="I2484" s="103"/>
      <c r="J2484" s="103"/>
      <c r="K2484" s="103"/>
      <c r="L2484" s="103"/>
      <c r="M2484" s="104"/>
      <c r="N2484" s="103"/>
    </row>
    <row r="2485" spans="1:14" ht="45" customHeight="1" thickBot="1" x14ac:dyDescent="0.4">
      <c r="A2485" s="103"/>
      <c r="B2485" s="103"/>
      <c r="C2485" s="103"/>
      <c r="D2485" s="103"/>
      <c r="E2485" s="103"/>
      <c r="F2485" s="103"/>
      <c r="G2485" s="103"/>
      <c r="H2485" s="103"/>
      <c r="I2485" s="103"/>
      <c r="J2485" s="103"/>
      <c r="K2485" s="103"/>
      <c r="L2485" s="103"/>
      <c r="M2485" s="104"/>
      <c r="N2485" s="103"/>
    </row>
    <row r="2486" spans="1:14" ht="45" customHeight="1" thickBot="1" x14ac:dyDescent="0.4">
      <c r="A2486" s="103"/>
      <c r="B2486" s="103"/>
      <c r="C2486" s="103"/>
      <c r="D2486" s="103"/>
      <c r="E2486" s="103"/>
      <c r="F2486" s="103"/>
      <c r="G2486" s="103"/>
      <c r="H2486" s="103"/>
      <c r="I2486" s="103"/>
      <c r="J2486" s="103"/>
      <c r="K2486" s="103"/>
      <c r="L2486" s="103"/>
      <c r="M2486" s="104"/>
      <c r="N2486" s="103"/>
    </row>
    <row r="2487" spans="1:14" ht="45" customHeight="1" thickBot="1" x14ac:dyDescent="0.4">
      <c r="A2487" s="103"/>
      <c r="B2487" s="103"/>
      <c r="C2487" s="103"/>
      <c r="D2487" s="103"/>
      <c r="E2487" s="103"/>
      <c r="F2487" s="103"/>
      <c r="G2487" s="103"/>
      <c r="H2487" s="103"/>
      <c r="I2487" s="103"/>
      <c r="J2487" s="103"/>
      <c r="K2487" s="103"/>
      <c r="L2487" s="103"/>
      <c r="M2487" s="104"/>
      <c r="N2487" s="103"/>
    </row>
    <row r="2488" spans="1:14" ht="45" customHeight="1" thickBot="1" x14ac:dyDescent="0.4">
      <c r="A2488" s="103"/>
      <c r="B2488" s="103"/>
      <c r="C2488" s="103"/>
      <c r="D2488" s="103"/>
      <c r="E2488" s="103"/>
      <c r="F2488" s="103"/>
      <c r="G2488" s="103"/>
      <c r="H2488" s="103"/>
      <c r="I2488" s="103"/>
      <c r="J2488" s="103"/>
      <c r="K2488" s="103"/>
      <c r="L2488" s="103"/>
      <c r="M2488" s="104"/>
      <c r="N2488" s="103"/>
    </row>
    <row r="2489" spans="1:14" ht="45" customHeight="1" thickBot="1" x14ac:dyDescent="0.4">
      <c r="A2489" s="103"/>
      <c r="B2489" s="103"/>
      <c r="C2489" s="103"/>
      <c r="D2489" s="103"/>
      <c r="E2489" s="103"/>
      <c r="F2489" s="103"/>
      <c r="G2489" s="103"/>
      <c r="H2489" s="103"/>
      <c r="I2489" s="103"/>
      <c r="J2489" s="103"/>
      <c r="K2489" s="103"/>
      <c r="L2489" s="103"/>
      <c r="M2489" s="104"/>
      <c r="N2489" s="103"/>
    </row>
    <row r="2490" spans="1:14" ht="45" customHeight="1" thickBot="1" x14ac:dyDescent="0.4">
      <c r="A2490" s="103"/>
      <c r="B2490" s="103"/>
      <c r="C2490" s="103"/>
      <c r="D2490" s="103"/>
      <c r="E2490" s="103"/>
      <c r="F2490" s="103"/>
      <c r="G2490" s="103"/>
      <c r="H2490" s="103"/>
      <c r="I2490" s="103"/>
      <c r="J2490" s="103"/>
      <c r="K2490" s="103"/>
      <c r="L2490" s="103"/>
      <c r="M2490" s="104"/>
      <c r="N2490" s="103"/>
    </row>
    <row r="2491" spans="1:14" ht="45" customHeight="1" thickBot="1" x14ac:dyDescent="0.4">
      <c r="A2491" s="103"/>
      <c r="B2491" s="103"/>
      <c r="C2491" s="103"/>
      <c r="D2491" s="103"/>
      <c r="E2491" s="103"/>
      <c r="F2491" s="103"/>
      <c r="G2491" s="103"/>
      <c r="H2491" s="103"/>
      <c r="I2491" s="103"/>
      <c r="J2491" s="103"/>
      <c r="K2491" s="103"/>
      <c r="L2491" s="103"/>
      <c r="M2491" s="104"/>
      <c r="N2491" s="103"/>
    </row>
    <row r="2492" spans="1:14" ht="45" customHeight="1" thickBot="1" x14ac:dyDescent="0.4">
      <c r="A2492" s="103"/>
      <c r="B2492" s="103"/>
      <c r="C2492" s="103"/>
      <c r="D2492" s="103"/>
      <c r="E2492" s="103"/>
      <c r="F2492" s="103"/>
      <c r="G2492" s="103"/>
      <c r="H2492" s="103"/>
      <c r="I2492" s="103"/>
      <c r="J2492" s="103"/>
      <c r="K2492" s="103"/>
      <c r="L2492" s="103"/>
      <c r="M2492" s="104"/>
      <c r="N2492" s="103"/>
    </row>
    <row r="2493" spans="1:14" ht="45" customHeight="1" thickBot="1" x14ac:dyDescent="0.4">
      <c r="A2493" s="103"/>
      <c r="B2493" s="103"/>
      <c r="C2493" s="103"/>
      <c r="D2493" s="103"/>
      <c r="E2493" s="103"/>
      <c r="F2493" s="103"/>
      <c r="G2493" s="103"/>
      <c r="H2493" s="103"/>
      <c r="I2493" s="103"/>
      <c r="J2493" s="103"/>
      <c r="K2493" s="103"/>
      <c r="L2493" s="103"/>
      <c r="M2493" s="104"/>
      <c r="N2493" s="103"/>
    </row>
    <row r="2494" spans="1:14" ht="45" customHeight="1" thickBot="1" x14ac:dyDescent="0.4">
      <c r="A2494" s="103"/>
      <c r="B2494" s="103"/>
      <c r="C2494" s="103"/>
      <c r="D2494" s="103"/>
      <c r="E2494" s="103"/>
      <c r="F2494" s="103"/>
      <c r="G2494" s="103"/>
      <c r="H2494" s="103"/>
      <c r="I2494" s="103"/>
      <c r="J2494" s="103"/>
      <c r="K2494" s="103"/>
      <c r="L2494" s="103"/>
      <c r="M2494" s="104"/>
      <c r="N2494" s="103"/>
    </row>
    <row r="2495" spans="1:14" ht="45" customHeight="1" thickBot="1" x14ac:dyDescent="0.4">
      <c r="A2495" s="103"/>
      <c r="B2495" s="103"/>
      <c r="C2495" s="103"/>
      <c r="D2495" s="103"/>
      <c r="E2495" s="103"/>
      <c r="F2495" s="103"/>
      <c r="G2495" s="103"/>
      <c r="H2495" s="103"/>
      <c r="I2495" s="103"/>
      <c r="J2495" s="103"/>
      <c r="K2495" s="103"/>
      <c r="L2495" s="103"/>
      <c r="M2495" s="104"/>
      <c r="N2495" s="103"/>
    </row>
    <row r="2496" spans="1:14" ht="45" customHeight="1" thickBot="1" x14ac:dyDescent="0.4">
      <c r="A2496" s="103"/>
      <c r="B2496" s="103"/>
      <c r="C2496" s="103"/>
      <c r="D2496" s="103"/>
      <c r="E2496" s="103"/>
      <c r="F2496" s="103"/>
      <c r="G2496" s="103"/>
      <c r="H2496" s="103"/>
      <c r="I2496" s="103"/>
      <c r="J2496" s="103"/>
      <c r="K2496" s="103"/>
      <c r="L2496" s="103"/>
      <c r="M2496" s="104"/>
      <c r="N2496" s="103"/>
    </row>
    <row r="2497" spans="1:14" ht="45" customHeight="1" thickBot="1" x14ac:dyDescent="0.4">
      <c r="A2497" s="103"/>
      <c r="B2497" s="103"/>
      <c r="C2497" s="103"/>
      <c r="D2497" s="103"/>
      <c r="E2497" s="103"/>
      <c r="F2497" s="103"/>
      <c r="G2497" s="103"/>
      <c r="H2497" s="103"/>
      <c r="I2497" s="103"/>
      <c r="J2497" s="103"/>
      <c r="K2497" s="103"/>
      <c r="L2497" s="103"/>
      <c r="M2497" s="104"/>
      <c r="N2497" s="103"/>
    </row>
    <row r="2498" spans="1:14" ht="45" customHeight="1" thickBot="1" x14ac:dyDescent="0.4">
      <c r="A2498" s="103"/>
      <c r="B2498" s="103"/>
      <c r="C2498" s="103"/>
      <c r="D2498" s="103"/>
      <c r="E2498" s="103"/>
      <c r="F2498" s="103"/>
      <c r="G2498" s="103"/>
      <c r="H2498" s="103"/>
      <c r="I2498" s="103"/>
      <c r="J2498" s="103"/>
      <c r="K2498" s="103"/>
      <c r="L2498" s="103"/>
      <c r="M2498" s="104"/>
      <c r="N2498" s="103"/>
    </row>
    <row r="2499" spans="1:14" ht="45" customHeight="1" thickBot="1" x14ac:dyDescent="0.4">
      <c r="A2499" s="103"/>
      <c r="B2499" s="103"/>
      <c r="C2499" s="103"/>
      <c r="D2499" s="103"/>
      <c r="E2499" s="103"/>
      <c r="F2499" s="103"/>
      <c r="G2499" s="103"/>
      <c r="H2499" s="103"/>
      <c r="I2499" s="103"/>
      <c r="J2499" s="103"/>
      <c r="K2499" s="103"/>
      <c r="L2499" s="103"/>
      <c r="M2499" s="104"/>
      <c r="N2499" s="103"/>
    </row>
    <row r="2500" spans="1:14" ht="45" customHeight="1" thickBot="1" x14ac:dyDescent="0.4">
      <c r="A2500" s="103"/>
      <c r="B2500" s="103"/>
      <c r="C2500" s="103"/>
      <c r="D2500" s="103"/>
      <c r="E2500" s="103"/>
      <c r="F2500" s="103"/>
      <c r="G2500" s="103"/>
      <c r="H2500" s="103"/>
      <c r="I2500" s="103"/>
      <c r="J2500" s="103"/>
      <c r="K2500" s="103"/>
      <c r="L2500" s="103"/>
      <c r="M2500" s="104"/>
      <c r="N2500" s="103"/>
    </row>
    <row r="2501" spans="1:14" ht="45" customHeight="1" thickBot="1" x14ac:dyDescent="0.4">
      <c r="A2501" s="103"/>
      <c r="B2501" s="103"/>
      <c r="C2501" s="103"/>
      <c r="D2501" s="103"/>
      <c r="E2501" s="103"/>
      <c r="F2501" s="103"/>
      <c r="G2501" s="103"/>
      <c r="H2501" s="103"/>
      <c r="I2501" s="103"/>
      <c r="J2501" s="103"/>
      <c r="K2501" s="103"/>
      <c r="L2501" s="103"/>
      <c r="M2501" s="104"/>
      <c r="N2501" s="103"/>
    </row>
    <row r="2502" spans="1:14" ht="45" customHeight="1" thickBot="1" x14ac:dyDescent="0.4">
      <c r="A2502" s="103"/>
      <c r="B2502" s="103"/>
      <c r="C2502" s="103"/>
      <c r="D2502" s="103"/>
      <c r="E2502" s="103"/>
      <c r="F2502" s="103"/>
      <c r="G2502" s="103"/>
      <c r="H2502" s="103"/>
      <c r="I2502" s="103"/>
      <c r="J2502" s="103"/>
      <c r="K2502" s="103"/>
      <c r="L2502" s="103"/>
      <c r="M2502" s="104"/>
      <c r="N2502" s="103"/>
    </row>
    <row r="2503" spans="1:14" ht="45" customHeight="1" thickBot="1" x14ac:dyDescent="0.4">
      <c r="A2503" s="103"/>
      <c r="B2503" s="103"/>
      <c r="C2503" s="103"/>
      <c r="D2503" s="103"/>
      <c r="E2503" s="103"/>
      <c r="F2503" s="103"/>
      <c r="G2503" s="103"/>
      <c r="H2503" s="103"/>
      <c r="I2503" s="103"/>
      <c r="J2503" s="103"/>
      <c r="K2503" s="103"/>
      <c r="L2503" s="103"/>
      <c r="M2503" s="104"/>
      <c r="N2503" s="103"/>
    </row>
    <row r="2504" spans="1:14" ht="45" customHeight="1" thickBot="1" x14ac:dyDescent="0.4">
      <c r="A2504" s="103"/>
      <c r="B2504" s="103"/>
      <c r="C2504" s="103"/>
      <c r="D2504" s="103"/>
      <c r="E2504" s="103"/>
      <c r="F2504" s="103"/>
      <c r="G2504" s="103"/>
      <c r="H2504" s="103"/>
      <c r="I2504" s="103"/>
      <c r="J2504" s="103"/>
      <c r="K2504" s="103"/>
      <c r="L2504" s="103"/>
      <c r="M2504" s="104"/>
      <c r="N2504" s="103"/>
    </row>
    <row r="2505" spans="1:14" ht="45" customHeight="1" thickBot="1" x14ac:dyDescent="0.4">
      <c r="A2505" s="103"/>
      <c r="B2505" s="103"/>
      <c r="C2505" s="103"/>
      <c r="D2505" s="103"/>
      <c r="E2505" s="103"/>
      <c r="F2505" s="103"/>
      <c r="G2505" s="103"/>
      <c r="H2505" s="103"/>
      <c r="I2505" s="103"/>
      <c r="J2505" s="103"/>
      <c r="K2505" s="103"/>
      <c r="L2505" s="103"/>
      <c r="M2505" s="104"/>
      <c r="N2505" s="103"/>
    </row>
    <row r="2506" spans="1:14" ht="45" customHeight="1" thickBot="1" x14ac:dyDescent="0.4">
      <c r="A2506" s="103"/>
      <c r="B2506" s="103"/>
      <c r="C2506" s="103"/>
      <c r="D2506" s="103"/>
      <c r="E2506" s="103"/>
      <c r="F2506" s="103"/>
      <c r="G2506" s="103"/>
      <c r="H2506" s="103"/>
      <c r="I2506" s="103"/>
      <c r="J2506" s="103"/>
      <c r="K2506" s="103"/>
      <c r="L2506" s="103"/>
      <c r="M2506" s="104"/>
      <c r="N2506" s="103"/>
    </row>
    <row r="2507" spans="1:14" ht="45" customHeight="1" thickBot="1" x14ac:dyDescent="0.4">
      <c r="A2507" s="103"/>
      <c r="B2507" s="103"/>
      <c r="C2507" s="103"/>
      <c r="D2507" s="103"/>
      <c r="E2507" s="103"/>
      <c r="F2507" s="103"/>
      <c r="G2507" s="103"/>
      <c r="H2507" s="103"/>
      <c r="I2507" s="103"/>
      <c r="J2507" s="103"/>
      <c r="K2507" s="103"/>
      <c r="L2507" s="103"/>
      <c r="M2507" s="104"/>
      <c r="N2507" s="103"/>
    </row>
    <row r="2508" spans="1:14" ht="45" customHeight="1" thickBot="1" x14ac:dyDescent="0.4">
      <c r="A2508" s="103"/>
      <c r="B2508" s="103"/>
      <c r="C2508" s="103"/>
      <c r="D2508" s="103"/>
      <c r="E2508" s="103"/>
      <c r="F2508" s="103"/>
      <c r="G2508" s="103"/>
      <c r="H2508" s="103"/>
      <c r="I2508" s="103"/>
      <c r="J2508" s="103"/>
      <c r="K2508" s="103"/>
      <c r="L2508" s="103"/>
      <c r="M2508" s="104"/>
      <c r="N2508" s="103"/>
    </row>
    <row r="2509" spans="1:14" ht="45" customHeight="1" thickBot="1" x14ac:dyDescent="0.4">
      <c r="A2509" s="103"/>
      <c r="B2509" s="103"/>
      <c r="C2509" s="103"/>
      <c r="D2509" s="103"/>
      <c r="E2509" s="103"/>
      <c r="F2509" s="103"/>
      <c r="G2509" s="103"/>
      <c r="H2509" s="103"/>
      <c r="I2509" s="103"/>
      <c r="J2509" s="103"/>
      <c r="K2509" s="103"/>
      <c r="L2509" s="103"/>
      <c r="M2509" s="104"/>
      <c r="N2509" s="103"/>
    </row>
    <row r="2510" spans="1:14" ht="45" customHeight="1" thickBot="1" x14ac:dyDescent="0.4">
      <c r="A2510" s="103"/>
      <c r="B2510" s="103"/>
      <c r="C2510" s="103"/>
      <c r="D2510" s="103"/>
      <c r="E2510" s="103"/>
      <c r="F2510" s="103"/>
      <c r="G2510" s="103"/>
      <c r="H2510" s="103"/>
      <c r="I2510" s="103"/>
      <c r="J2510" s="103"/>
      <c r="K2510" s="103"/>
      <c r="L2510" s="103"/>
      <c r="M2510" s="104"/>
      <c r="N2510" s="103"/>
    </row>
    <row r="2511" spans="1:14" ht="45" customHeight="1" thickBot="1" x14ac:dyDescent="0.4">
      <c r="A2511" s="103"/>
      <c r="B2511" s="103"/>
      <c r="C2511" s="103"/>
      <c r="D2511" s="103"/>
      <c r="E2511" s="103"/>
      <c r="F2511" s="103"/>
      <c r="G2511" s="103"/>
      <c r="H2511" s="103"/>
      <c r="I2511" s="103"/>
      <c r="J2511" s="103"/>
      <c r="K2511" s="103"/>
      <c r="L2511" s="103"/>
      <c r="M2511" s="104"/>
      <c r="N2511" s="103"/>
    </row>
    <row r="2512" spans="1:14" ht="45" customHeight="1" thickBot="1" x14ac:dyDescent="0.4">
      <c r="A2512" s="103"/>
      <c r="B2512" s="103"/>
      <c r="C2512" s="103"/>
      <c r="D2512" s="103"/>
      <c r="E2512" s="103"/>
      <c r="F2512" s="103"/>
      <c r="G2512" s="103"/>
      <c r="H2512" s="103"/>
      <c r="I2512" s="103"/>
      <c r="J2512" s="103"/>
      <c r="K2512" s="103"/>
      <c r="L2512" s="103"/>
      <c r="M2512" s="104"/>
      <c r="N2512" s="103"/>
    </row>
    <row r="2513" spans="1:14" ht="45" customHeight="1" thickBot="1" x14ac:dyDescent="0.4">
      <c r="A2513" s="103"/>
      <c r="B2513" s="103"/>
      <c r="C2513" s="103"/>
      <c r="D2513" s="103"/>
      <c r="E2513" s="103"/>
      <c r="F2513" s="103"/>
      <c r="G2513" s="103"/>
      <c r="H2513" s="103"/>
      <c r="I2513" s="103"/>
      <c r="J2513" s="103"/>
      <c r="K2513" s="103"/>
      <c r="L2513" s="103"/>
      <c r="M2513" s="104"/>
      <c r="N2513" s="103"/>
    </row>
    <row r="2514" spans="1:14" ht="45" customHeight="1" thickBot="1" x14ac:dyDescent="0.4">
      <c r="A2514" s="103"/>
      <c r="B2514" s="103"/>
      <c r="C2514" s="103"/>
      <c r="D2514" s="103"/>
      <c r="E2514" s="103"/>
      <c r="F2514" s="103"/>
      <c r="G2514" s="103"/>
      <c r="H2514" s="103"/>
      <c r="I2514" s="103"/>
      <c r="J2514" s="103"/>
      <c r="K2514" s="103"/>
      <c r="L2514" s="103"/>
      <c r="M2514" s="104"/>
      <c r="N2514" s="103"/>
    </row>
    <row r="2515" spans="1:14" ht="45" customHeight="1" thickBot="1" x14ac:dyDescent="0.4">
      <c r="A2515" s="103"/>
      <c r="B2515" s="103"/>
      <c r="C2515" s="103"/>
      <c r="D2515" s="103"/>
      <c r="E2515" s="103"/>
      <c r="F2515" s="103"/>
      <c r="G2515" s="103"/>
      <c r="H2515" s="103"/>
      <c r="I2515" s="103"/>
      <c r="J2515" s="103"/>
      <c r="K2515" s="103"/>
      <c r="L2515" s="103"/>
      <c r="M2515" s="104"/>
      <c r="N2515" s="103"/>
    </row>
    <row r="2516" spans="1:14" ht="45" customHeight="1" thickBot="1" x14ac:dyDescent="0.4">
      <c r="A2516" s="103"/>
      <c r="B2516" s="103"/>
      <c r="C2516" s="103"/>
      <c r="D2516" s="103"/>
      <c r="E2516" s="103"/>
      <c r="F2516" s="103"/>
      <c r="G2516" s="103"/>
      <c r="H2516" s="103"/>
      <c r="I2516" s="103"/>
      <c r="J2516" s="103"/>
      <c r="K2516" s="103"/>
      <c r="L2516" s="103"/>
      <c r="M2516" s="104"/>
      <c r="N2516" s="103"/>
    </row>
    <row r="2517" spans="1:14" ht="45" customHeight="1" thickBot="1" x14ac:dyDescent="0.4">
      <c r="A2517" s="103"/>
      <c r="B2517" s="103"/>
      <c r="C2517" s="103"/>
      <c r="D2517" s="103"/>
      <c r="E2517" s="103"/>
      <c r="F2517" s="103"/>
      <c r="G2517" s="103"/>
      <c r="H2517" s="103"/>
      <c r="I2517" s="103"/>
      <c r="J2517" s="103"/>
      <c r="K2517" s="103"/>
      <c r="L2517" s="103"/>
      <c r="M2517" s="104"/>
      <c r="N2517" s="103"/>
    </row>
    <row r="2518" spans="1:14" ht="45" customHeight="1" thickBot="1" x14ac:dyDescent="0.4">
      <c r="A2518" s="103"/>
      <c r="B2518" s="103"/>
      <c r="C2518" s="103"/>
      <c r="D2518" s="103"/>
      <c r="E2518" s="103"/>
      <c r="F2518" s="103"/>
      <c r="G2518" s="103"/>
      <c r="H2518" s="103"/>
      <c r="I2518" s="103"/>
      <c r="J2518" s="103"/>
      <c r="K2518" s="103"/>
      <c r="L2518" s="103"/>
      <c r="M2518" s="104"/>
      <c r="N2518" s="103"/>
    </row>
    <row r="2519" spans="1:14" ht="45" customHeight="1" thickBot="1" x14ac:dyDescent="0.4">
      <c r="A2519" s="103"/>
      <c r="B2519" s="103"/>
      <c r="C2519" s="103"/>
      <c r="D2519" s="103"/>
      <c r="E2519" s="103"/>
      <c r="F2519" s="103"/>
      <c r="G2519" s="103"/>
      <c r="H2519" s="103"/>
      <c r="I2519" s="103"/>
      <c r="J2519" s="103"/>
      <c r="K2519" s="103"/>
      <c r="L2519" s="103"/>
      <c r="M2519" s="104"/>
      <c r="N2519" s="103"/>
    </row>
    <row r="2520" spans="1:14" ht="45" customHeight="1" thickBot="1" x14ac:dyDescent="0.4">
      <c r="A2520" s="103"/>
      <c r="B2520" s="103"/>
      <c r="C2520" s="103"/>
      <c r="D2520" s="103"/>
      <c r="E2520" s="103"/>
      <c r="F2520" s="103"/>
      <c r="G2520" s="103"/>
      <c r="H2520" s="103"/>
      <c r="I2520" s="103"/>
      <c r="J2520" s="103"/>
      <c r="K2520" s="103"/>
      <c r="L2520" s="103"/>
      <c r="M2520" s="104"/>
      <c r="N2520" s="103"/>
    </row>
    <row r="2521" spans="1:14" ht="45" customHeight="1" thickBot="1" x14ac:dyDescent="0.4">
      <c r="A2521" s="103"/>
      <c r="B2521" s="103"/>
      <c r="C2521" s="103"/>
      <c r="D2521" s="103"/>
      <c r="E2521" s="103"/>
      <c r="F2521" s="103"/>
      <c r="G2521" s="103"/>
      <c r="H2521" s="103"/>
      <c r="I2521" s="103"/>
      <c r="J2521" s="103"/>
      <c r="K2521" s="103"/>
      <c r="L2521" s="103"/>
      <c r="M2521" s="104"/>
      <c r="N2521" s="103"/>
    </row>
    <row r="2522" spans="1:14" ht="45" customHeight="1" thickBot="1" x14ac:dyDescent="0.4">
      <c r="A2522" s="103"/>
      <c r="B2522" s="103"/>
      <c r="C2522" s="103"/>
      <c r="D2522" s="103"/>
      <c r="E2522" s="103"/>
      <c r="F2522" s="103"/>
      <c r="G2522" s="103"/>
      <c r="H2522" s="103"/>
      <c r="I2522" s="103"/>
      <c r="J2522" s="103"/>
      <c r="K2522" s="103"/>
      <c r="L2522" s="103"/>
      <c r="M2522" s="104"/>
      <c r="N2522" s="103"/>
    </row>
    <row r="2523" spans="1:14" ht="45" customHeight="1" thickBot="1" x14ac:dyDescent="0.4">
      <c r="A2523" s="103"/>
      <c r="B2523" s="103"/>
      <c r="C2523" s="103"/>
      <c r="D2523" s="103"/>
      <c r="E2523" s="103"/>
      <c r="F2523" s="103"/>
      <c r="G2523" s="103"/>
      <c r="H2523" s="103"/>
      <c r="I2523" s="103"/>
      <c r="J2523" s="103"/>
      <c r="K2523" s="103"/>
      <c r="L2523" s="103"/>
      <c r="M2523" s="104"/>
      <c r="N2523" s="103"/>
    </row>
    <row r="2524" spans="1:14" ht="45" customHeight="1" thickBot="1" x14ac:dyDescent="0.4">
      <c r="A2524" s="103"/>
      <c r="B2524" s="103"/>
      <c r="C2524" s="103"/>
      <c r="D2524" s="103"/>
      <c r="E2524" s="103"/>
      <c r="F2524" s="103"/>
      <c r="G2524" s="103"/>
      <c r="H2524" s="103"/>
      <c r="I2524" s="103"/>
      <c r="J2524" s="103"/>
      <c r="K2524" s="103"/>
      <c r="L2524" s="103"/>
      <c r="M2524" s="104"/>
      <c r="N2524" s="103"/>
    </row>
    <row r="2525" spans="1:14" ht="45" customHeight="1" thickBot="1" x14ac:dyDescent="0.4">
      <c r="A2525" s="103"/>
      <c r="B2525" s="103"/>
      <c r="C2525" s="103"/>
      <c r="D2525" s="103"/>
      <c r="E2525" s="103"/>
      <c r="F2525" s="103"/>
      <c r="G2525" s="103"/>
      <c r="H2525" s="103"/>
      <c r="I2525" s="103"/>
      <c r="J2525" s="103"/>
      <c r="K2525" s="103"/>
      <c r="L2525" s="103"/>
      <c r="M2525" s="104"/>
      <c r="N2525" s="103"/>
    </row>
    <row r="2526" spans="1:14" ht="45" customHeight="1" thickBot="1" x14ac:dyDescent="0.4">
      <c r="A2526" s="103"/>
      <c r="B2526" s="103"/>
      <c r="C2526" s="103"/>
      <c r="D2526" s="103"/>
      <c r="E2526" s="103"/>
      <c r="F2526" s="103"/>
      <c r="G2526" s="103"/>
      <c r="H2526" s="103"/>
      <c r="I2526" s="103"/>
      <c r="J2526" s="103"/>
      <c r="K2526" s="103"/>
      <c r="L2526" s="103"/>
      <c r="M2526" s="104"/>
      <c r="N2526" s="103"/>
    </row>
    <row r="2527" spans="1:14" ht="45" customHeight="1" thickBot="1" x14ac:dyDescent="0.4">
      <c r="A2527" s="103"/>
      <c r="B2527" s="103"/>
      <c r="C2527" s="103"/>
      <c r="D2527" s="103"/>
      <c r="E2527" s="103"/>
      <c r="F2527" s="103"/>
      <c r="G2527" s="103"/>
      <c r="H2527" s="103"/>
      <c r="I2527" s="103"/>
      <c r="J2527" s="103"/>
      <c r="K2527" s="103"/>
      <c r="L2527" s="103"/>
      <c r="M2527" s="104"/>
      <c r="N2527" s="103"/>
    </row>
    <row r="2528" spans="1:14" ht="45" customHeight="1" thickBot="1" x14ac:dyDescent="0.4">
      <c r="A2528" s="103"/>
      <c r="B2528" s="103"/>
      <c r="C2528" s="103"/>
      <c r="D2528" s="103"/>
      <c r="E2528" s="103"/>
      <c r="F2528" s="103"/>
      <c r="G2528" s="103"/>
      <c r="H2528" s="103"/>
      <c r="I2528" s="103"/>
      <c r="J2528" s="103"/>
      <c r="K2528" s="103"/>
      <c r="L2528" s="103"/>
      <c r="M2528" s="104"/>
      <c r="N2528" s="103"/>
    </row>
    <row r="2529" spans="1:14" ht="45" customHeight="1" thickBot="1" x14ac:dyDescent="0.4">
      <c r="A2529" s="103"/>
      <c r="B2529" s="103"/>
      <c r="C2529" s="103"/>
      <c r="D2529" s="103"/>
      <c r="E2529" s="103"/>
      <c r="F2529" s="103"/>
      <c r="G2529" s="103"/>
      <c r="H2529" s="103"/>
      <c r="I2529" s="103"/>
      <c r="J2529" s="103"/>
      <c r="K2529" s="103"/>
      <c r="L2529" s="103"/>
      <c r="M2529" s="104"/>
      <c r="N2529" s="103"/>
    </row>
    <row r="2530" spans="1:14" ht="45" customHeight="1" thickBot="1" x14ac:dyDescent="0.4">
      <c r="A2530" s="103"/>
      <c r="B2530" s="103"/>
      <c r="C2530" s="103"/>
      <c r="D2530" s="103"/>
      <c r="E2530" s="103"/>
      <c r="F2530" s="103"/>
      <c r="G2530" s="103"/>
      <c r="H2530" s="103"/>
      <c r="I2530" s="103"/>
      <c r="J2530" s="103"/>
      <c r="K2530" s="103"/>
      <c r="L2530" s="103"/>
      <c r="M2530" s="104"/>
      <c r="N2530" s="103"/>
    </row>
    <row r="2531" spans="1:14" ht="45" customHeight="1" thickBot="1" x14ac:dyDescent="0.4">
      <c r="A2531" s="103"/>
      <c r="B2531" s="103"/>
      <c r="C2531" s="103"/>
      <c r="D2531" s="103"/>
      <c r="E2531" s="103"/>
      <c r="F2531" s="103"/>
      <c r="G2531" s="103"/>
      <c r="H2531" s="103"/>
      <c r="I2531" s="103"/>
      <c r="J2531" s="103"/>
      <c r="K2531" s="103"/>
      <c r="L2531" s="103"/>
      <c r="M2531" s="104"/>
      <c r="N2531" s="103"/>
    </row>
    <row r="2532" spans="1:14" ht="45" customHeight="1" thickBot="1" x14ac:dyDescent="0.4">
      <c r="A2532" s="103"/>
      <c r="B2532" s="103"/>
      <c r="C2532" s="103"/>
      <c r="D2532" s="103"/>
      <c r="E2532" s="103"/>
      <c r="F2532" s="103"/>
      <c r="G2532" s="103"/>
      <c r="H2532" s="103"/>
      <c r="I2532" s="103"/>
      <c r="J2532" s="103"/>
      <c r="K2532" s="103"/>
      <c r="L2532" s="103"/>
      <c r="M2532" s="104"/>
      <c r="N2532" s="103"/>
    </row>
    <row r="2533" spans="1:14" ht="45" customHeight="1" thickBot="1" x14ac:dyDescent="0.4">
      <c r="A2533" s="103"/>
      <c r="B2533" s="103"/>
      <c r="C2533" s="103"/>
      <c r="D2533" s="103"/>
      <c r="E2533" s="103"/>
      <c r="F2533" s="103"/>
      <c r="G2533" s="103"/>
      <c r="H2533" s="103"/>
      <c r="I2533" s="103"/>
      <c r="J2533" s="103"/>
      <c r="K2533" s="103"/>
      <c r="L2533" s="103"/>
      <c r="M2533" s="104"/>
      <c r="N2533" s="103"/>
    </row>
    <row r="2534" spans="1:14" ht="45" customHeight="1" thickBot="1" x14ac:dyDescent="0.4">
      <c r="A2534" s="103"/>
      <c r="B2534" s="103"/>
      <c r="C2534" s="103"/>
      <c r="D2534" s="103"/>
      <c r="E2534" s="103"/>
      <c r="F2534" s="103"/>
      <c r="G2534" s="103"/>
      <c r="H2534" s="103"/>
      <c r="I2534" s="103"/>
      <c r="J2534" s="103"/>
      <c r="K2534" s="103"/>
      <c r="L2534" s="103"/>
      <c r="M2534" s="104"/>
      <c r="N2534" s="103"/>
    </row>
    <row r="2535" spans="1:14" ht="45" customHeight="1" thickBot="1" x14ac:dyDescent="0.4">
      <c r="A2535" s="103"/>
      <c r="B2535" s="103"/>
      <c r="C2535" s="103"/>
      <c r="D2535" s="103"/>
      <c r="E2535" s="103"/>
      <c r="F2535" s="103"/>
      <c r="G2535" s="103"/>
      <c r="H2535" s="103"/>
      <c r="I2535" s="103"/>
      <c r="J2535" s="103"/>
      <c r="K2535" s="103"/>
      <c r="L2535" s="103"/>
      <c r="M2535" s="104"/>
      <c r="N2535" s="103"/>
    </row>
    <row r="2536" spans="1:14" ht="45" customHeight="1" thickBot="1" x14ac:dyDescent="0.4">
      <c r="A2536" s="103"/>
      <c r="B2536" s="103"/>
      <c r="C2536" s="103"/>
      <c r="D2536" s="103"/>
      <c r="E2536" s="103"/>
      <c r="F2536" s="103"/>
      <c r="G2536" s="103"/>
      <c r="H2536" s="103"/>
      <c r="I2536" s="103"/>
      <c r="J2536" s="103"/>
      <c r="K2536" s="103"/>
      <c r="L2536" s="103"/>
      <c r="M2536" s="104"/>
      <c r="N2536" s="103"/>
    </row>
    <row r="2537" spans="1:14" ht="45" customHeight="1" thickBot="1" x14ac:dyDescent="0.4">
      <c r="A2537" s="103"/>
      <c r="B2537" s="103"/>
      <c r="C2537" s="103"/>
      <c r="D2537" s="103"/>
      <c r="E2537" s="103"/>
      <c r="F2537" s="103"/>
      <c r="G2537" s="103"/>
      <c r="H2537" s="103"/>
      <c r="I2537" s="103"/>
      <c r="J2537" s="103"/>
      <c r="K2537" s="103"/>
      <c r="L2537" s="103"/>
      <c r="M2537" s="104"/>
      <c r="N2537" s="103"/>
    </row>
    <row r="2538" spans="1:14" ht="45" customHeight="1" thickBot="1" x14ac:dyDescent="0.4">
      <c r="A2538" s="103"/>
      <c r="B2538" s="103"/>
      <c r="C2538" s="103"/>
      <c r="D2538" s="103"/>
      <c r="E2538" s="103"/>
      <c r="F2538" s="103"/>
      <c r="G2538" s="103"/>
      <c r="H2538" s="103"/>
      <c r="I2538" s="103"/>
      <c r="J2538" s="103"/>
      <c r="K2538" s="103"/>
      <c r="L2538" s="103"/>
      <c r="M2538" s="104"/>
      <c r="N2538" s="103"/>
    </row>
    <row r="2539" spans="1:14" ht="45" customHeight="1" thickBot="1" x14ac:dyDescent="0.4">
      <c r="A2539" s="103"/>
      <c r="B2539" s="103"/>
      <c r="C2539" s="103"/>
      <c r="D2539" s="103"/>
      <c r="E2539" s="103"/>
      <c r="F2539" s="103"/>
      <c r="G2539" s="103"/>
      <c r="H2539" s="103"/>
      <c r="I2539" s="103"/>
      <c r="J2539" s="103"/>
      <c r="K2539" s="103"/>
      <c r="L2539" s="103"/>
      <c r="M2539" s="104"/>
      <c r="N2539" s="103"/>
    </row>
    <row r="2540" spans="1:14" ht="45" customHeight="1" thickBot="1" x14ac:dyDescent="0.4">
      <c r="A2540" s="103"/>
      <c r="B2540" s="103"/>
      <c r="C2540" s="103"/>
      <c r="D2540" s="103"/>
      <c r="E2540" s="103"/>
      <c r="F2540" s="103"/>
      <c r="G2540" s="103"/>
      <c r="H2540" s="103"/>
      <c r="I2540" s="103"/>
      <c r="J2540" s="103"/>
      <c r="K2540" s="103"/>
      <c r="L2540" s="103"/>
      <c r="M2540" s="104"/>
      <c r="N2540" s="103"/>
    </row>
    <row r="2541" spans="1:14" ht="45" customHeight="1" thickBot="1" x14ac:dyDescent="0.4">
      <c r="A2541" s="103"/>
      <c r="B2541" s="103"/>
      <c r="C2541" s="103"/>
      <c r="D2541" s="103"/>
      <c r="E2541" s="103"/>
      <c r="F2541" s="103"/>
      <c r="G2541" s="103"/>
      <c r="H2541" s="103"/>
      <c r="I2541" s="103"/>
      <c r="J2541" s="103"/>
      <c r="K2541" s="103"/>
      <c r="L2541" s="103"/>
      <c r="M2541" s="104"/>
      <c r="N2541" s="103"/>
    </row>
    <row r="2542" spans="1:14" ht="45" customHeight="1" thickBot="1" x14ac:dyDescent="0.4">
      <c r="A2542" s="103"/>
      <c r="B2542" s="103"/>
      <c r="C2542" s="103"/>
      <c r="D2542" s="103"/>
      <c r="E2542" s="103"/>
      <c r="F2542" s="103"/>
      <c r="G2542" s="103"/>
      <c r="H2542" s="103"/>
      <c r="I2542" s="103"/>
      <c r="J2542" s="103"/>
      <c r="K2542" s="103"/>
      <c r="L2542" s="103"/>
      <c r="M2542" s="104"/>
      <c r="N2542" s="103"/>
    </row>
    <row r="2543" spans="1:14" ht="45" customHeight="1" thickBot="1" x14ac:dyDescent="0.4">
      <c r="A2543" s="103"/>
      <c r="B2543" s="103"/>
      <c r="C2543" s="103"/>
      <c r="D2543" s="103"/>
      <c r="E2543" s="103"/>
      <c r="F2543" s="103"/>
      <c r="G2543" s="103"/>
      <c r="H2543" s="103"/>
      <c r="I2543" s="103"/>
      <c r="J2543" s="103"/>
      <c r="K2543" s="103"/>
      <c r="L2543" s="103"/>
      <c r="M2543" s="104"/>
      <c r="N2543" s="103"/>
    </row>
    <row r="2544" spans="1:14" ht="45" customHeight="1" thickBot="1" x14ac:dyDescent="0.4">
      <c r="A2544" s="103"/>
      <c r="B2544" s="103"/>
      <c r="C2544" s="103"/>
      <c r="D2544" s="103"/>
      <c r="E2544" s="103"/>
      <c r="F2544" s="103"/>
      <c r="G2544" s="103"/>
      <c r="H2544" s="103"/>
      <c r="I2544" s="103"/>
      <c r="J2544" s="103"/>
      <c r="K2544" s="103"/>
      <c r="L2544" s="103"/>
      <c r="M2544" s="104"/>
      <c r="N2544" s="103"/>
    </row>
    <row r="2545" spans="1:14" ht="45" customHeight="1" thickBot="1" x14ac:dyDescent="0.4">
      <c r="A2545" s="103"/>
      <c r="B2545" s="103"/>
      <c r="C2545" s="103"/>
      <c r="D2545" s="103"/>
      <c r="E2545" s="103"/>
      <c r="F2545" s="103"/>
      <c r="G2545" s="103"/>
      <c r="H2545" s="103"/>
      <c r="I2545" s="103"/>
      <c r="J2545" s="103"/>
      <c r="K2545" s="103"/>
      <c r="L2545" s="103"/>
      <c r="M2545" s="104"/>
      <c r="N2545" s="103"/>
    </row>
    <row r="2546" spans="1:14" ht="45" customHeight="1" thickBot="1" x14ac:dyDescent="0.4">
      <c r="A2546" s="103"/>
      <c r="B2546" s="103"/>
      <c r="C2546" s="103"/>
      <c r="D2546" s="103"/>
      <c r="E2546" s="103"/>
      <c r="F2546" s="103"/>
      <c r="G2546" s="103"/>
      <c r="H2546" s="103"/>
      <c r="I2546" s="103"/>
      <c r="J2546" s="103"/>
      <c r="K2546" s="103"/>
      <c r="L2546" s="103"/>
      <c r="M2546" s="104"/>
      <c r="N2546" s="103"/>
    </row>
    <row r="2547" spans="1:14" ht="45" customHeight="1" thickBot="1" x14ac:dyDescent="0.4">
      <c r="A2547" s="103"/>
      <c r="B2547" s="103"/>
      <c r="C2547" s="103"/>
      <c r="D2547" s="103"/>
      <c r="E2547" s="103"/>
      <c r="F2547" s="103"/>
      <c r="G2547" s="103"/>
      <c r="H2547" s="103"/>
      <c r="I2547" s="103"/>
      <c r="J2547" s="103"/>
      <c r="K2547" s="103"/>
      <c r="L2547" s="103"/>
      <c r="M2547" s="104"/>
      <c r="N2547" s="103"/>
    </row>
    <row r="2548" spans="1:14" ht="45" customHeight="1" thickBot="1" x14ac:dyDescent="0.4">
      <c r="A2548" s="103"/>
      <c r="B2548" s="103"/>
      <c r="C2548" s="103"/>
      <c r="D2548" s="103"/>
      <c r="E2548" s="103"/>
      <c r="F2548" s="103"/>
      <c r="G2548" s="103"/>
      <c r="H2548" s="103"/>
      <c r="I2548" s="103"/>
      <c r="J2548" s="103"/>
      <c r="K2548" s="103"/>
      <c r="L2548" s="103"/>
      <c r="M2548" s="104"/>
      <c r="N2548" s="103"/>
    </row>
    <row r="2549" spans="1:14" ht="45" customHeight="1" thickBot="1" x14ac:dyDescent="0.4">
      <c r="A2549" s="103"/>
      <c r="B2549" s="103"/>
      <c r="C2549" s="103"/>
      <c r="D2549" s="103"/>
      <c r="E2549" s="103"/>
      <c r="F2549" s="103"/>
      <c r="G2549" s="103"/>
      <c r="H2549" s="103"/>
      <c r="I2549" s="103"/>
      <c r="J2549" s="103"/>
      <c r="K2549" s="103"/>
      <c r="L2549" s="103"/>
      <c r="M2549" s="104"/>
      <c r="N2549" s="103"/>
    </row>
    <row r="2550" spans="1:14" ht="45" customHeight="1" thickBot="1" x14ac:dyDescent="0.4">
      <c r="A2550" s="103"/>
      <c r="B2550" s="103"/>
      <c r="C2550" s="103"/>
      <c r="D2550" s="103"/>
      <c r="E2550" s="103"/>
      <c r="F2550" s="103"/>
      <c r="G2550" s="103"/>
      <c r="H2550" s="103"/>
      <c r="I2550" s="103"/>
      <c r="J2550" s="103"/>
      <c r="K2550" s="103"/>
      <c r="L2550" s="103"/>
      <c r="M2550" s="104"/>
      <c r="N2550" s="103"/>
    </row>
    <row r="2551" spans="1:14" ht="45" customHeight="1" thickBot="1" x14ac:dyDescent="0.4">
      <c r="A2551" s="103"/>
      <c r="B2551" s="103"/>
      <c r="C2551" s="103"/>
      <c r="D2551" s="103"/>
      <c r="E2551" s="103"/>
      <c r="F2551" s="103"/>
      <c r="G2551" s="103"/>
      <c r="H2551" s="103"/>
      <c r="I2551" s="103"/>
      <c r="J2551" s="103"/>
      <c r="K2551" s="103"/>
      <c r="L2551" s="103"/>
      <c r="M2551" s="104"/>
      <c r="N2551" s="103"/>
    </row>
    <row r="2552" spans="1:14" ht="45" customHeight="1" thickBot="1" x14ac:dyDescent="0.4">
      <c r="A2552" s="103"/>
      <c r="B2552" s="103"/>
      <c r="C2552" s="103"/>
      <c r="D2552" s="103"/>
      <c r="E2552" s="103"/>
      <c r="F2552" s="103"/>
      <c r="G2552" s="103"/>
      <c r="H2552" s="103"/>
      <c r="I2552" s="103"/>
      <c r="J2552" s="103"/>
      <c r="K2552" s="103"/>
      <c r="L2552" s="103"/>
      <c r="M2552" s="104"/>
      <c r="N2552" s="103"/>
    </row>
    <row r="2553" spans="1:14" ht="45" customHeight="1" thickBot="1" x14ac:dyDescent="0.4">
      <c r="A2553" s="103"/>
      <c r="B2553" s="103"/>
      <c r="C2553" s="103"/>
      <c r="D2553" s="103"/>
      <c r="E2553" s="103"/>
      <c r="F2553" s="103"/>
      <c r="G2553" s="103"/>
      <c r="H2553" s="103"/>
      <c r="I2553" s="103"/>
      <c r="J2553" s="103"/>
      <c r="K2553" s="103"/>
      <c r="L2553" s="103"/>
      <c r="M2553" s="104"/>
      <c r="N2553" s="103"/>
    </row>
    <row r="2554" spans="1:14" ht="45" customHeight="1" thickBot="1" x14ac:dyDescent="0.4">
      <c r="A2554" s="103"/>
      <c r="B2554" s="103"/>
      <c r="C2554" s="103"/>
      <c r="D2554" s="103"/>
      <c r="E2554" s="103"/>
      <c r="F2554" s="103"/>
      <c r="G2554" s="103"/>
      <c r="H2554" s="103"/>
      <c r="I2554" s="103"/>
      <c r="J2554" s="103"/>
      <c r="K2554" s="103"/>
      <c r="L2554" s="103"/>
      <c r="M2554" s="104"/>
      <c r="N2554" s="103"/>
    </row>
    <row r="2555" spans="1:14" ht="45" customHeight="1" thickBot="1" x14ac:dyDescent="0.4">
      <c r="A2555" s="103"/>
      <c r="B2555" s="103"/>
      <c r="C2555" s="103"/>
      <c r="D2555" s="103"/>
      <c r="E2555" s="103"/>
      <c r="F2555" s="103"/>
      <c r="G2555" s="103"/>
      <c r="H2555" s="103"/>
      <c r="I2555" s="103"/>
      <c r="J2555" s="103"/>
      <c r="K2555" s="103"/>
      <c r="L2555" s="103"/>
      <c r="M2555" s="104"/>
      <c r="N2555" s="103"/>
    </row>
    <row r="2556" spans="1:14" ht="45" customHeight="1" thickBot="1" x14ac:dyDescent="0.4">
      <c r="A2556" s="103"/>
      <c r="B2556" s="103"/>
      <c r="C2556" s="103"/>
      <c r="D2556" s="103"/>
      <c r="E2556" s="103"/>
      <c r="F2556" s="103"/>
      <c r="G2556" s="103"/>
      <c r="H2556" s="103"/>
      <c r="I2556" s="103"/>
      <c r="J2556" s="103"/>
      <c r="K2556" s="103"/>
      <c r="L2556" s="103"/>
      <c r="M2556" s="104"/>
      <c r="N2556" s="103"/>
    </row>
    <row r="2557" spans="1:14" ht="45" customHeight="1" thickBot="1" x14ac:dyDescent="0.4">
      <c r="A2557" s="103"/>
      <c r="B2557" s="103"/>
      <c r="C2557" s="103"/>
      <c r="D2557" s="103"/>
      <c r="E2557" s="103"/>
      <c r="F2557" s="103"/>
      <c r="G2557" s="103"/>
      <c r="H2557" s="103"/>
      <c r="I2557" s="103"/>
      <c r="J2557" s="103"/>
      <c r="K2557" s="103"/>
      <c r="L2557" s="103"/>
      <c r="M2557" s="104"/>
      <c r="N2557" s="103"/>
    </row>
    <row r="2558" spans="1:14" ht="45" customHeight="1" thickBot="1" x14ac:dyDescent="0.4">
      <c r="A2558" s="103"/>
      <c r="B2558" s="103"/>
      <c r="C2558" s="103"/>
      <c r="D2558" s="103"/>
      <c r="E2558" s="103"/>
      <c r="F2558" s="103"/>
      <c r="G2558" s="103"/>
      <c r="H2558" s="103"/>
      <c r="I2558" s="103"/>
      <c r="J2558" s="103"/>
      <c r="K2558" s="103"/>
      <c r="L2558" s="103"/>
      <c r="M2558" s="104"/>
      <c r="N2558" s="103"/>
    </row>
    <row r="2559" spans="1:14" ht="45" customHeight="1" thickBot="1" x14ac:dyDescent="0.4">
      <c r="A2559" s="103"/>
      <c r="B2559" s="103"/>
      <c r="C2559" s="103"/>
      <c r="D2559" s="103"/>
      <c r="E2559" s="103"/>
      <c r="F2559" s="103"/>
      <c r="G2559" s="103"/>
      <c r="H2559" s="103"/>
      <c r="I2559" s="103"/>
      <c r="J2559" s="103"/>
      <c r="K2559" s="103"/>
      <c r="L2559" s="103"/>
      <c r="M2559" s="104"/>
      <c r="N2559" s="103"/>
    </row>
    <row r="2560" spans="1:14" ht="45" customHeight="1" thickBot="1" x14ac:dyDescent="0.4">
      <c r="A2560" s="103"/>
      <c r="B2560" s="103"/>
      <c r="C2560" s="103"/>
      <c r="D2560" s="103"/>
      <c r="E2560" s="103"/>
      <c r="F2560" s="103"/>
      <c r="G2560" s="103"/>
      <c r="H2560" s="103"/>
      <c r="I2560" s="103"/>
      <c r="J2560" s="103"/>
      <c r="K2560" s="103"/>
      <c r="L2560" s="103"/>
      <c r="M2560" s="104"/>
      <c r="N2560" s="103"/>
    </row>
    <row r="2561" spans="1:14" ht="45" customHeight="1" thickBot="1" x14ac:dyDescent="0.4">
      <c r="A2561" s="103"/>
      <c r="B2561" s="103"/>
      <c r="C2561" s="103"/>
      <c r="D2561" s="103"/>
      <c r="E2561" s="103"/>
      <c r="F2561" s="103"/>
      <c r="G2561" s="103"/>
      <c r="H2561" s="103"/>
      <c r="I2561" s="103"/>
      <c r="J2561" s="103"/>
      <c r="K2561" s="103"/>
      <c r="L2561" s="103"/>
      <c r="M2561" s="104"/>
      <c r="N2561" s="103"/>
    </row>
    <row r="2562" spans="1:14" ht="45" customHeight="1" thickBot="1" x14ac:dyDescent="0.4">
      <c r="A2562" s="103"/>
      <c r="B2562" s="103"/>
      <c r="C2562" s="103"/>
      <c r="D2562" s="103"/>
      <c r="E2562" s="103"/>
      <c r="F2562" s="103"/>
      <c r="G2562" s="103"/>
      <c r="H2562" s="103"/>
      <c r="I2562" s="103"/>
      <c r="J2562" s="103"/>
      <c r="K2562" s="103"/>
      <c r="L2562" s="103"/>
      <c r="M2562" s="104"/>
      <c r="N2562" s="103"/>
    </row>
    <row r="2563" spans="1:14" ht="45" customHeight="1" thickBot="1" x14ac:dyDescent="0.4">
      <c r="A2563" s="103"/>
      <c r="B2563" s="103"/>
      <c r="C2563" s="103"/>
      <c r="D2563" s="103"/>
      <c r="E2563" s="103"/>
      <c r="F2563" s="103"/>
      <c r="G2563" s="103"/>
      <c r="H2563" s="103"/>
      <c r="I2563" s="103"/>
      <c r="J2563" s="103"/>
      <c r="K2563" s="103"/>
      <c r="L2563" s="103"/>
      <c r="M2563" s="104"/>
      <c r="N2563" s="103"/>
    </row>
    <row r="2564" spans="1:14" ht="45" customHeight="1" thickBot="1" x14ac:dyDescent="0.4">
      <c r="A2564" s="103"/>
      <c r="B2564" s="103"/>
      <c r="C2564" s="103"/>
      <c r="D2564" s="103"/>
      <c r="E2564" s="103"/>
      <c r="F2564" s="103"/>
      <c r="G2564" s="103"/>
      <c r="H2564" s="103"/>
      <c r="I2564" s="103"/>
      <c r="J2564" s="103"/>
      <c r="K2564" s="103"/>
      <c r="L2564" s="103"/>
      <c r="M2564" s="104"/>
      <c r="N2564" s="103"/>
    </row>
    <row r="2565" spans="1:14" ht="45" customHeight="1" thickBot="1" x14ac:dyDescent="0.4">
      <c r="A2565" s="103"/>
      <c r="B2565" s="103"/>
      <c r="C2565" s="103"/>
      <c r="D2565" s="103"/>
      <c r="E2565" s="103"/>
      <c r="F2565" s="103"/>
      <c r="G2565" s="103"/>
      <c r="H2565" s="103"/>
      <c r="I2565" s="103"/>
      <c r="J2565" s="103"/>
      <c r="K2565" s="103"/>
      <c r="L2565" s="103"/>
      <c r="M2565" s="104"/>
      <c r="N2565" s="103"/>
    </row>
    <row r="2566" spans="1:14" ht="45" customHeight="1" thickBot="1" x14ac:dyDescent="0.4">
      <c r="A2566" s="103"/>
      <c r="B2566" s="103"/>
      <c r="C2566" s="103"/>
      <c r="D2566" s="103"/>
      <c r="E2566" s="103"/>
      <c r="F2566" s="103"/>
      <c r="G2566" s="103"/>
      <c r="H2566" s="103"/>
      <c r="I2566" s="103"/>
      <c r="J2566" s="103"/>
      <c r="K2566" s="103"/>
      <c r="L2566" s="103"/>
      <c r="M2566" s="104"/>
      <c r="N2566" s="103"/>
    </row>
    <row r="2567" spans="1:14" ht="45" customHeight="1" thickBot="1" x14ac:dyDescent="0.4">
      <c r="A2567" s="103"/>
      <c r="B2567" s="103"/>
      <c r="C2567" s="103"/>
      <c r="D2567" s="103"/>
      <c r="E2567" s="103"/>
      <c r="F2567" s="103"/>
      <c r="G2567" s="103"/>
      <c r="H2567" s="103"/>
      <c r="I2567" s="103"/>
      <c r="J2567" s="103"/>
      <c r="K2567" s="103"/>
      <c r="L2567" s="103"/>
      <c r="M2567" s="104"/>
      <c r="N2567" s="103"/>
    </row>
    <row r="2568" spans="1:14" ht="45" customHeight="1" thickBot="1" x14ac:dyDescent="0.4">
      <c r="A2568" s="103"/>
      <c r="B2568" s="103"/>
      <c r="C2568" s="103"/>
      <c r="D2568" s="103"/>
      <c r="E2568" s="103"/>
      <c r="F2568" s="103"/>
      <c r="G2568" s="103"/>
      <c r="H2568" s="103"/>
      <c r="I2568" s="103"/>
      <c r="J2568" s="103"/>
      <c r="K2568" s="103"/>
      <c r="L2568" s="103"/>
      <c r="M2568" s="104"/>
      <c r="N2568" s="103"/>
    </row>
    <row r="2569" spans="1:14" ht="45" customHeight="1" thickBot="1" x14ac:dyDescent="0.4">
      <c r="A2569" s="103"/>
      <c r="B2569" s="103"/>
      <c r="C2569" s="103"/>
      <c r="D2569" s="103"/>
      <c r="E2569" s="103"/>
      <c r="F2569" s="103"/>
      <c r="G2569" s="103"/>
      <c r="H2569" s="103"/>
      <c r="I2569" s="103"/>
      <c r="J2569" s="103"/>
      <c r="K2569" s="103"/>
      <c r="L2569" s="103"/>
      <c r="M2569" s="104"/>
      <c r="N2569" s="103"/>
    </row>
    <row r="2570" spans="1:14" ht="45" customHeight="1" thickBot="1" x14ac:dyDescent="0.4">
      <c r="A2570" s="103"/>
      <c r="B2570" s="103"/>
      <c r="C2570" s="103"/>
      <c r="D2570" s="103"/>
      <c r="E2570" s="103"/>
      <c r="F2570" s="103"/>
      <c r="G2570" s="103"/>
      <c r="H2570" s="103"/>
      <c r="I2570" s="103"/>
      <c r="J2570" s="103"/>
      <c r="K2570" s="103"/>
      <c r="L2570" s="103"/>
      <c r="M2570" s="104"/>
      <c r="N2570" s="103"/>
    </row>
    <row r="2571" spans="1:14" ht="45" customHeight="1" thickBot="1" x14ac:dyDescent="0.4">
      <c r="A2571" s="103"/>
      <c r="B2571" s="103"/>
      <c r="C2571" s="103"/>
      <c r="D2571" s="103"/>
      <c r="E2571" s="103"/>
      <c r="F2571" s="103"/>
      <c r="G2571" s="103"/>
      <c r="H2571" s="103"/>
      <c r="I2571" s="103"/>
      <c r="J2571" s="103"/>
      <c r="K2571" s="103"/>
      <c r="L2571" s="103"/>
      <c r="M2571" s="104"/>
      <c r="N2571" s="103"/>
    </row>
    <row r="2572" spans="1:14" ht="45" customHeight="1" thickBot="1" x14ac:dyDescent="0.4">
      <c r="A2572" s="103"/>
      <c r="B2572" s="103"/>
      <c r="C2572" s="103"/>
      <c r="D2572" s="103"/>
      <c r="E2572" s="103"/>
      <c r="F2572" s="103"/>
      <c r="G2572" s="103"/>
      <c r="H2572" s="103"/>
      <c r="I2572" s="103"/>
      <c r="J2572" s="103"/>
      <c r="K2572" s="103"/>
      <c r="L2572" s="103"/>
      <c r="M2572" s="104"/>
      <c r="N2572" s="103"/>
    </row>
    <row r="2573" spans="1:14" ht="45" customHeight="1" thickBot="1" x14ac:dyDescent="0.4">
      <c r="A2573" s="103"/>
      <c r="B2573" s="103"/>
      <c r="C2573" s="103"/>
      <c r="D2573" s="103"/>
      <c r="E2573" s="103"/>
      <c r="F2573" s="103"/>
      <c r="G2573" s="103"/>
      <c r="H2573" s="103"/>
      <c r="I2573" s="103"/>
      <c r="J2573" s="103"/>
      <c r="K2573" s="103"/>
      <c r="L2573" s="103"/>
      <c r="M2573" s="104"/>
      <c r="N2573" s="103"/>
    </row>
    <row r="2574" spans="1:14" ht="45" customHeight="1" thickBot="1" x14ac:dyDescent="0.4">
      <c r="A2574" s="103"/>
      <c r="B2574" s="103"/>
      <c r="C2574" s="103"/>
      <c r="D2574" s="103"/>
      <c r="E2574" s="103"/>
      <c r="F2574" s="103"/>
      <c r="G2574" s="103"/>
      <c r="H2574" s="103"/>
      <c r="I2574" s="103"/>
      <c r="J2574" s="103"/>
      <c r="K2574" s="103"/>
      <c r="L2574" s="103"/>
      <c r="M2574" s="104"/>
      <c r="N2574" s="103"/>
    </row>
    <row r="2575" spans="1:14" ht="45" customHeight="1" thickBot="1" x14ac:dyDescent="0.4">
      <c r="A2575" s="103"/>
      <c r="B2575" s="103"/>
      <c r="C2575" s="103"/>
      <c r="D2575" s="103"/>
      <c r="E2575" s="103"/>
      <c r="F2575" s="103"/>
      <c r="G2575" s="103"/>
      <c r="H2575" s="103"/>
      <c r="I2575" s="103"/>
      <c r="J2575" s="103"/>
      <c r="K2575" s="103"/>
      <c r="L2575" s="103"/>
      <c r="M2575" s="104"/>
      <c r="N2575" s="103"/>
    </row>
    <row r="2576" spans="1:14" ht="45" customHeight="1" thickBot="1" x14ac:dyDescent="0.4">
      <c r="A2576" s="103"/>
      <c r="B2576" s="103"/>
      <c r="C2576" s="103"/>
      <c r="D2576" s="103"/>
      <c r="E2576" s="103"/>
      <c r="F2576" s="103"/>
      <c r="G2576" s="103"/>
      <c r="H2576" s="103"/>
      <c r="I2576" s="103"/>
      <c r="J2576" s="103"/>
      <c r="K2576" s="103"/>
      <c r="L2576" s="103"/>
      <c r="M2576" s="104"/>
      <c r="N2576" s="103"/>
    </row>
    <row r="2577" spans="1:14" ht="45" customHeight="1" thickBot="1" x14ac:dyDescent="0.4">
      <c r="A2577" s="103"/>
      <c r="B2577" s="103"/>
      <c r="C2577" s="103"/>
      <c r="D2577" s="103"/>
      <c r="E2577" s="103"/>
      <c r="F2577" s="103"/>
      <c r="G2577" s="103"/>
      <c r="H2577" s="103"/>
      <c r="I2577" s="103"/>
      <c r="J2577" s="103"/>
      <c r="K2577" s="103"/>
      <c r="L2577" s="103"/>
      <c r="M2577" s="104"/>
      <c r="N2577" s="103"/>
    </row>
    <row r="2578" spans="1:14" ht="45" customHeight="1" thickBot="1" x14ac:dyDescent="0.4">
      <c r="A2578" s="103"/>
      <c r="B2578" s="103"/>
      <c r="C2578" s="103"/>
      <c r="D2578" s="103"/>
      <c r="E2578" s="103"/>
      <c r="F2578" s="103"/>
      <c r="G2578" s="103"/>
      <c r="H2578" s="103"/>
      <c r="I2578" s="103"/>
      <c r="J2578" s="103"/>
      <c r="K2578" s="103"/>
      <c r="L2578" s="103"/>
      <c r="M2578" s="104"/>
      <c r="N2578" s="103"/>
    </row>
    <row r="2579" spans="1:14" ht="45" customHeight="1" thickBot="1" x14ac:dyDescent="0.4">
      <c r="A2579" s="103"/>
      <c r="B2579" s="103"/>
      <c r="C2579" s="103"/>
      <c r="D2579" s="103"/>
      <c r="E2579" s="103"/>
      <c r="F2579" s="103"/>
      <c r="G2579" s="103"/>
      <c r="H2579" s="103"/>
      <c r="I2579" s="103"/>
      <c r="J2579" s="103"/>
      <c r="K2579" s="103"/>
      <c r="L2579" s="103"/>
      <c r="M2579" s="104"/>
      <c r="N2579" s="103"/>
    </row>
    <row r="2580" spans="1:14" ht="45" customHeight="1" thickBot="1" x14ac:dyDescent="0.4">
      <c r="A2580" s="103"/>
      <c r="B2580" s="103"/>
      <c r="C2580" s="103"/>
      <c r="D2580" s="103"/>
      <c r="E2580" s="103"/>
      <c r="F2580" s="103"/>
      <c r="G2580" s="103"/>
      <c r="H2580" s="103"/>
      <c r="I2580" s="103"/>
      <c r="J2580" s="103"/>
      <c r="K2580" s="103"/>
      <c r="L2580" s="103"/>
      <c r="M2580" s="104"/>
      <c r="N2580" s="103"/>
    </row>
    <row r="2581" spans="1:14" ht="45" customHeight="1" thickBot="1" x14ac:dyDescent="0.4">
      <c r="A2581" s="103"/>
      <c r="B2581" s="103"/>
      <c r="C2581" s="103"/>
      <c r="D2581" s="103"/>
      <c r="E2581" s="103"/>
      <c r="F2581" s="103"/>
      <c r="G2581" s="103"/>
      <c r="H2581" s="103"/>
      <c r="I2581" s="103"/>
      <c r="J2581" s="103"/>
      <c r="K2581" s="103"/>
      <c r="L2581" s="103"/>
      <c r="M2581" s="104"/>
      <c r="N2581" s="103"/>
    </row>
    <row r="2582" spans="1:14" ht="45" customHeight="1" thickBot="1" x14ac:dyDescent="0.4">
      <c r="A2582" s="103"/>
      <c r="B2582" s="103"/>
      <c r="C2582" s="103"/>
      <c r="D2582" s="103"/>
      <c r="E2582" s="103"/>
      <c r="F2582" s="103"/>
      <c r="G2582" s="103"/>
      <c r="H2582" s="103"/>
      <c r="I2582" s="103"/>
      <c r="J2582" s="103"/>
      <c r="K2582" s="103"/>
      <c r="L2582" s="103"/>
      <c r="M2582" s="104"/>
      <c r="N2582" s="103"/>
    </row>
    <row r="2583" spans="1:14" ht="45" customHeight="1" thickBot="1" x14ac:dyDescent="0.4">
      <c r="A2583" s="103"/>
      <c r="B2583" s="103"/>
      <c r="C2583" s="103"/>
      <c r="D2583" s="103"/>
      <c r="E2583" s="103"/>
      <c r="F2583" s="103"/>
      <c r="G2583" s="103"/>
      <c r="H2583" s="103"/>
      <c r="I2583" s="103"/>
      <c r="J2583" s="103"/>
      <c r="K2583" s="103"/>
      <c r="L2583" s="103"/>
      <c r="M2583" s="104"/>
      <c r="N2583" s="103"/>
    </row>
    <row r="2584" spans="1:14" ht="45" customHeight="1" thickBot="1" x14ac:dyDescent="0.4">
      <c r="A2584" s="103"/>
      <c r="B2584" s="103"/>
      <c r="C2584" s="103"/>
      <c r="D2584" s="103"/>
      <c r="E2584" s="103"/>
      <c r="F2584" s="103"/>
      <c r="G2584" s="103"/>
      <c r="H2584" s="103"/>
      <c r="I2584" s="103"/>
      <c r="J2584" s="103"/>
      <c r="K2584" s="103"/>
      <c r="L2584" s="103"/>
      <c r="M2584" s="104"/>
      <c r="N2584" s="103"/>
    </row>
    <row r="2585" spans="1:14" ht="45" customHeight="1" thickBot="1" x14ac:dyDescent="0.4">
      <c r="A2585" s="103"/>
      <c r="B2585" s="103"/>
      <c r="C2585" s="103"/>
      <c r="D2585" s="103"/>
      <c r="E2585" s="103"/>
      <c r="F2585" s="103"/>
      <c r="G2585" s="103"/>
      <c r="H2585" s="103"/>
      <c r="I2585" s="103"/>
      <c r="J2585" s="103"/>
      <c r="K2585" s="103"/>
      <c r="L2585" s="103"/>
      <c r="M2585" s="104"/>
      <c r="N2585" s="103"/>
    </row>
    <row r="2586" spans="1:14" ht="45" customHeight="1" thickBot="1" x14ac:dyDescent="0.4">
      <c r="A2586" s="103"/>
      <c r="B2586" s="103"/>
      <c r="C2586" s="103"/>
      <c r="D2586" s="103"/>
      <c r="E2586" s="103"/>
      <c r="F2586" s="103"/>
      <c r="G2586" s="103"/>
      <c r="H2586" s="103"/>
      <c r="I2586" s="103"/>
      <c r="J2586" s="103"/>
      <c r="K2586" s="103"/>
      <c r="L2586" s="103"/>
      <c r="M2586" s="104"/>
      <c r="N2586" s="103"/>
    </row>
    <row r="2587" spans="1:14" ht="45" customHeight="1" thickBot="1" x14ac:dyDescent="0.4">
      <c r="A2587" s="103"/>
      <c r="B2587" s="103"/>
      <c r="C2587" s="103"/>
      <c r="D2587" s="103"/>
      <c r="E2587" s="103"/>
      <c r="F2587" s="103"/>
      <c r="G2587" s="103"/>
      <c r="H2587" s="103"/>
      <c r="I2587" s="103"/>
      <c r="J2587" s="103"/>
      <c r="K2587" s="103"/>
      <c r="L2587" s="103"/>
      <c r="M2587" s="104"/>
      <c r="N2587" s="103"/>
    </row>
    <row r="2588" spans="1:14" ht="45" customHeight="1" thickBot="1" x14ac:dyDescent="0.4">
      <c r="A2588" s="103"/>
      <c r="B2588" s="103"/>
      <c r="C2588" s="103"/>
      <c r="D2588" s="103"/>
      <c r="E2588" s="103"/>
      <c r="F2588" s="103"/>
      <c r="G2588" s="103"/>
      <c r="H2588" s="103"/>
      <c r="I2588" s="103"/>
      <c r="J2588" s="103"/>
      <c r="K2588" s="103"/>
      <c r="L2588" s="103"/>
      <c r="M2588" s="104"/>
      <c r="N2588" s="103"/>
    </row>
    <row r="2589" spans="1:14" ht="45" customHeight="1" thickBot="1" x14ac:dyDescent="0.4">
      <c r="A2589" s="103"/>
      <c r="B2589" s="103"/>
      <c r="C2589" s="103"/>
      <c r="D2589" s="103"/>
      <c r="E2589" s="103"/>
      <c r="F2589" s="103"/>
      <c r="G2589" s="103"/>
      <c r="H2589" s="103"/>
      <c r="I2589" s="103"/>
      <c r="J2589" s="103"/>
      <c r="K2589" s="103"/>
      <c r="L2589" s="103"/>
      <c r="M2589" s="104"/>
      <c r="N2589" s="103"/>
    </row>
    <row r="2590" spans="1:14" ht="45" customHeight="1" thickBot="1" x14ac:dyDescent="0.4">
      <c r="A2590" s="103"/>
      <c r="B2590" s="103"/>
      <c r="C2590" s="103"/>
      <c r="D2590" s="103"/>
      <c r="E2590" s="103"/>
      <c r="F2590" s="103"/>
      <c r="G2590" s="103"/>
      <c r="H2590" s="103"/>
      <c r="I2590" s="103"/>
      <c r="J2590" s="103"/>
      <c r="K2590" s="103"/>
      <c r="L2590" s="103"/>
      <c r="M2590" s="104"/>
      <c r="N2590" s="103"/>
    </row>
    <row r="2591" spans="1:14" ht="45" customHeight="1" thickBot="1" x14ac:dyDescent="0.4">
      <c r="A2591" s="103"/>
      <c r="B2591" s="103"/>
      <c r="C2591" s="103"/>
      <c r="D2591" s="103"/>
      <c r="E2591" s="103"/>
      <c r="F2591" s="103"/>
      <c r="G2591" s="103"/>
      <c r="H2591" s="103"/>
      <c r="I2591" s="103"/>
      <c r="J2591" s="103"/>
      <c r="K2591" s="103"/>
      <c r="L2591" s="103"/>
      <c r="M2591" s="104"/>
      <c r="N2591" s="103"/>
    </row>
    <row r="2592" spans="1:14" ht="45" customHeight="1" thickBot="1" x14ac:dyDescent="0.4">
      <c r="A2592" s="103"/>
      <c r="B2592" s="103"/>
      <c r="C2592" s="103"/>
      <c r="D2592" s="103"/>
      <c r="E2592" s="103"/>
      <c r="F2592" s="103"/>
      <c r="G2592" s="103"/>
      <c r="H2592" s="103"/>
      <c r="I2592" s="103"/>
      <c r="J2592" s="103"/>
      <c r="K2592" s="103"/>
      <c r="L2592" s="103"/>
      <c r="M2592" s="104"/>
      <c r="N2592" s="103"/>
    </row>
    <row r="2593" spans="1:14" ht="45" customHeight="1" thickBot="1" x14ac:dyDescent="0.4">
      <c r="A2593" s="103"/>
      <c r="B2593" s="103"/>
      <c r="C2593" s="103"/>
      <c r="D2593" s="103"/>
      <c r="E2593" s="103"/>
      <c r="F2593" s="103"/>
      <c r="G2593" s="103"/>
      <c r="H2593" s="103"/>
      <c r="I2593" s="103"/>
      <c r="J2593" s="103"/>
      <c r="K2593" s="103"/>
      <c r="L2593" s="103"/>
      <c r="M2593" s="104"/>
      <c r="N2593" s="103"/>
    </row>
    <row r="2594" spans="1:14" ht="45" customHeight="1" thickBot="1" x14ac:dyDescent="0.4">
      <c r="A2594" s="103"/>
      <c r="B2594" s="103"/>
      <c r="C2594" s="103"/>
      <c r="D2594" s="103"/>
      <c r="E2594" s="103"/>
      <c r="F2594" s="103"/>
      <c r="G2594" s="103"/>
      <c r="H2594" s="103"/>
      <c r="I2594" s="103"/>
      <c r="J2594" s="103"/>
      <c r="K2594" s="103"/>
      <c r="L2594" s="103"/>
      <c r="M2594" s="104"/>
      <c r="N2594" s="103"/>
    </row>
    <row r="2595" spans="1:14" ht="45" customHeight="1" thickBot="1" x14ac:dyDescent="0.4">
      <c r="A2595" s="103"/>
      <c r="B2595" s="103"/>
      <c r="C2595" s="103"/>
      <c r="D2595" s="103"/>
      <c r="E2595" s="103"/>
      <c r="F2595" s="103"/>
      <c r="G2595" s="103"/>
      <c r="H2595" s="103"/>
      <c r="I2595" s="103"/>
      <c r="J2595" s="103"/>
      <c r="K2595" s="103"/>
      <c r="L2595" s="103"/>
      <c r="M2595" s="104"/>
      <c r="N2595" s="103"/>
    </row>
    <row r="2596" spans="1:14" ht="45" customHeight="1" thickBot="1" x14ac:dyDescent="0.4">
      <c r="A2596" s="103"/>
      <c r="B2596" s="103"/>
      <c r="C2596" s="103"/>
      <c r="D2596" s="103"/>
      <c r="E2596" s="103"/>
      <c r="F2596" s="103"/>
      <c r="G2596" s="103"/>
      <c r="H2596" s="103"/>
      <c r="I2596" s="103"/>
      <c r="J2596" s="103"/>
      <c r="K2596" s="103"/>
      <c r="L2596" s="103"/>
      <c r="M2596" s="104"/>
      <c r="N2596" s="103"/>
    </row>
    <row r="2597" spans="1:14" ht="45" customHeight="1" thickBot="1" x14ac:dyDescent="0.4">
      <c r="A2597" s="103"/>
      <c r="B2597" s="103"/>
      <c r="C2597" s="103"/>
      <c r="D2597" s="103"/>
      <c r="E2597" s="103"/>
      <c r="F2597" s="103"/>
      <c r="G2597" s="103"/>
      <c r="H2597" s="103"/>
      <c r="I2597" s="103"/>
      <c r="J2597" s="103"/>
      <c r="K2597" s="103"/>
      <c r="L2597" s="103"/>
      <c r="M2597" s="104"/>
      <c r="N2597" s="103"/>
    </row>
    <row r="2598" spans="1:14" ht="45" customHeight="1" thickBot="1" x14ac:dyDescent="0.4">
      <c r="A2598" s="103"/>
      <c r="B2598" s="103"/>
      <c r="C2598" s="103"/>
      <c r="D2598" s="103"/>
      <c r="E2598" s="103"/>
      <c r="F2598" s="103"/>
      <c r="G2598" s="103"/>
      <c r="H2598" s="103"/>
      <c r="I2598" s="103"/>
      <c r="J2598" s="103"/>
      <c r="K2598" s="103"/>
      <c r="L2598" s="103"/>
      <c r="M2598" s="104"/>
      <c r="N2598" s="103"/>
    </row>
    <row r="2599" spans="1:14" ht="45" customHeight="1" thickBot="1" x14ac:dyDescent="0.4">
      <c r="A2599" s="103"/>
      <c r="B2599" s="103"/>
      <c r="C2599" s="103"/>
      <c r="D2599" s="103"/>
      <c r="E2599" s="103"/>
      <c r="F2599" s="103"/>
      <c r="G2599" s="103"/>
      <c r="H2599" s="103"/>
      <c r="I2599" s="103"/>
      <c r="J2599" s="103"/>
      <c r="K2599" s="103"/>
      <c r="L2599" s="103"/>
      <c r="M2599" s="104"/>
      <c r="N2599" s="103"/>
    </row>
    <row r="2600" spans="1:14" ht="45" customHeight="1" thickBot="1" x14ac:dyDescent="0.4">
      <c r="A2600" s="103"/>
      <c r="B2600" s="103"/>
      <c r="C2600" s="103"/>
      <c r="D2600" s="103"/>
      <c r="E2600" s="103"/>
      <c r="F2600" s="103"/>
      <c r="G2600" s="103"/>
      <c r="H2600" s="103"/>
      <c r="I2600" s="103"/>
      <c r="J2600" s="103"/>
      <c r="K2600" s="103"/>
      <c r="L2600" s="103"/>
      <c r="M2600" s="104"/>
      <c r="N2600" s="103"/>
    </row>
    <row r="2601" spans="1:14" ht="45" customHeight="1" thickBot="1" x14ac:dyDescent="0.4">
      <c r="A2601" s="103"/>
      <c r="B2601" s="103"/>
      <c r="C2601" s="103"/>
      <c r="D2601" s="103"/>
      <c r="E2601" s="103"/>
      <c r="F2601" s="103"/>
      <c r="G2601" s="103"/>
      <c r="H2601" s="103"/>
      <c r="I2601" s="103"/>
      <c r="J2601" s="103"/>
      <c r="K2601" s="103"/>
      <c r="L2601" s="103"/>
      <c r="M2601" s="104"/>
      <c r="N2601" s="103"/>
    </row>
    <row r="2602" spans="1:14" ht="45" customHeight="1" thickBot="1" x14ac:dyDescent="0.4">
      <c r="A2602" s="103"/>
      <c r="B2602" s="103"/>
      <c r="C2602" s="103"/>
      <c r="D2602" s="103"/>
      <c r="E2602" s="103"/>
      <c r="F2602" s="103"/>
      <c r="G2602" s="103"/>
      <c r="H2602" s="103"/>
      <c r="I2602" s="103"/>
      <c r="J2602" s="103"/>
      <c r="K2602" s="103"/>
      <c r="L2602" s="103"/>
      <c r="M2602" s="104"/>
      <c r="N2602" s="103"/>
    </row>
    <row r="2603" spans="1:14" ht="45" customHeight="1" thickBot="1" x14ac:dyDescent="0.4">
      <c r="A2603" s="103"/>
      <c r="B2603" s="103"/>
      <c r="C2603" s="103"/>
      <c r="D2603" s="103"/>
      <c r="E2603" s="103"/>
      <c r="F2603" s="103"/>
      <c r="G2603" s="103"/>
      <c r="H2603" s="103"/>
      <c r="I2603" s="103"/>
      <c r="J2603" s="103"/>
      <c r="K2603" s="103"/>
      <c r="L2603" s="103"/>
      <c r="M2603" s="104"/>
      <c r="N2603" s="103"/>
    </row>
    <row r="2604" spans="1:14" ht="45" customHeight="1" thickBot="1" x14ac:dyDescent="0.4">
      <c r="A2604" s="103"/>
      <c r="B2604" s="103"/>
      <c r="C2604" s="103"/>
      <c r="D2604" s="103"/>
      <c r="E2604" s="103"/>
      <c r="F2604" s="103"/>
      <c r="G2604" s="103"/>
      <c r="H2604" s="103"/>
      <c r="I2604" s="103"/>
      <c r="J2604" s="103"/>
      <c r="K2604" s="103"/>
      <c r="L2604" s="103"/>
      <c r="M2604" s="104"/>
      <c r="N2604" s="103"/>
    </row>
    <row r="2605" spans="1:14" ht="45" customHeight="1" thickBot="1" x14ac:dyDescent="0.4">
      <c r="A2605" s="103"/>
      <c r="B2605" s="103"/>
      <c r="C2605" s="103"/>
      <c r="D2605" s="103"/>
      <c r="E2605" s="103"/>
      <c r="F2605" s="103"/>
      <c r="G2605" s="103"/>
      <c r="H2605" s="103"/>
      <c r="I2605" s="103"/>
      <c r="J2605" s="103"/>
      <c r="K2605" s="103"/>
      <c r="L2605" s="103"/>
      <c r="M2605" s="104"/>
      <c r="N2605" s="103"/>
    </row>
    <row r="2606" spans="1:14" ht="45" customHeight="1" thickBot="1" x14ac:dyDescent="0.4">
      <c r="A2606" s="103"/>
      <c r="B2606" s="103"/>
      <c r="C2606" s="103"/>
      <c r="D2606" s="103"/>
      <c r="E2606" s="103"/>
      <c r="F2606" s="103"/>
      <c r="G2606" s="103"/>
      <c r="H2606" s="103"/>
      <c r="I2606" s="103"/>
      <c r="J2606" s="103"/>
      <c r="K2606" s="103"/>
      <c r="L2606" s="103"/>
      <c r="M2606" s="104"/>
      <c r="N2606" s="103"/>
    </row>
    <row r="2607" spans="1:14" ht="45" customHeight="1" thickBot="1" x14ac:dyDescent="0.4">
      <c r="A2607" s="103"/>
      <c r="B2607" s="103"/>
      <c r="C2607" s="103"/>
      <c r="D2607" s="103"/>
      <c r="E2607" s="103"/>
      <c r="F2607" s="103"/>
      <c r="G2607" s="103"/>
      <c r="H2607" s="103"/>
      <c r="I2607" s="103"/>
      <c r="J2607" s="103"/>
      <c r="K2607" s="103"/>
      <c r="L2607" s="103"/>
      <c r="M2607" s="104"/>
      <c r="N2607" s="103"/>
    </row>
    <row r="2608" spans="1:14" ht="45" customHeight="1" thickBot="1" x14ac:dyDescent="0.4">
      <c r="A2608" s="103"/>
      <c r="B2608" s="103"/>
      <c r="C2608" s="103"/>
      <c r="D2608" s="103"/>
      <c r="E2608" s="103"/>
      <c r="F2608" s="103"/>
      <c r="G2608" s="103"/>
      <c r="H2608" s="103"/>
      <c r="I2608" s="103"/>
      <c r="J2608" s="103"/>
      <c r="K2608" s="103"/>
      <c r="L2608" s="103"/>
      <c r="M2608" s="104"/>
      <c r="N2608" s="103"/>
    </row>
    <row r="2609" spans="1:14" ht="45" customHeight="1" thickBot="1" x14ac:dyDescent="0.4">
      <c r="A2609" s="103"/>
      <c r="B2609" s="103"/>
      <c r="C2609" s="103"/>
      <c r="D2609" s="103"/>
      <c r="E2609" s="103"/>
      <c r="F2609" s="103"/>
      <c r="G2609" s="103"/>
      <c r="H2609" s="103"/>
      <c r="I2609" s="103"/>
      <c r="J2609" s="103"/>
      <c r="K2609" s="103"/>
      <c r="L2609" s="103"/>
      <c r="M2609" s="104"/>
      <c r="N2609" s="103"/>
    </row>
    <row r="2610" spans="1:14" ht="45" customHeight="1" thickBot="1" x14ac:dyDescent="0.4">
      <c r="A2610" s="103"/>
      <c r="B2610" s="103"/>
      <c r="C2610" s="103"/>
      <c r="D2610" s="103"/>
      <c r="E2610" s="103"/>
      <c r="F2610" s="103"/>
      <c r="G2610" s="103"/>
      <c r="H2610" s="103"/>
      <c r="I2610" s="103"/>
      <c r="J2610" s="103"/>
      <c r="K2610" s="103"/>
      <c r="L2610" s="103"/>
      <c r="M2610" s="104"/>
      <c r="N2610" s="103"/>
    </row>
    <row r="2611" spans="1:14" ht="45" customHeight="1" thickBot="1" x14ac:dyDescent="0.4">
      <c r="A2611" s="103"/>
      <c r="B2611" s="103"/>
      <c r="C2611" s="103"/>
      <c r="D2611" s="103"/>
      <c r="E2611" s="103"/>
      <c r="F2611" s="103"/>
      <c r="G2611" s="103"/>
      <c r="H2611" s="103"/>
      <c r="I2611" s="103"/>
      <c r="J2611" s="103"/>
      <c r="K2611" s="103"/>
      <c r="L2611" s="103"/>
      <c r="M2611" s="104"/>
      <c r="N2611" s="103"/>
    </row>
    <row r="2612" spans="1:14" ht="45" customHeight="1" thickBot="1" x14ac:dyDescent="0.4">
      <c r="A2612" s="103"/>
      <c r="B2612" s="103"/>
      <c r="C2612" s="103"/>
      <c r="D2612" s="103"/>
      <c r="E2612" s="103"/>
      <c r="F2612" s="103"/>
      <c r="G2612" s="103"/>
      <c r="H2612" s="103"/>
      <c r="I2612" s="103"/>
      <c r="J2612" s="103"/>
      <c r="K2612" s="103"/>
      <c r="L2612" s="103"/>
      <c r="M2612" s="104"/>
      <c r="N2612" s="103"/>
    </row>
    <row r="2613" spans="1:14" ht="45" customHeight="1" thickBot="1" x14ac:dyDescent="0.4">
      <c r="A2613" s="103"/>
      <c r="B2613" s="103"/>
      <c r="C2613" s="103"/>
      <c r="D2613" s="103"/>
      <c r="E2613" s="103"/>
      <c r="F2613" s="103"/>
      <c r="G2613" s="103"/>
      <c r="H2613" s="103"/>
      <c r="I2613" s="103"/>
      <c r="J2613" s="103"/>
      <c r="K2613" s="103"/>
      <c r="L2613" s="103"/>
      <c r="M2613" s="104"/>
      <c r="N2613" s="103"/>
    </row>
    <row r="2614" spans="1:14" ht="45" customHeight="1" thickBot="1" x14ac:dyDescent="0.4">
      <c r="A2614" s="103"/>
      <c r="B2614" s="103"/>
      <c r="C2614" s="103"/>
      <c r="D2614" s="103"/>
      <c r="E2614" s="103"/>
      <c r="F2614" s="103"/>
      <c r="G2614" s="103"/>
      <c r="H2614" s="103"/>
      <c r="I2614" s="103"/>
      <c r="J2614" s="103"/>
      <c r="K2614" s="103"/>
      <c r="L2614" s="103"/>
      <c r="M2614" s="104"/>
      <c r="N2614" s="103"/>
    </row>
    <row r="2615" spans="1:14" ht="45" customHeight="1" thickBot="1" x14ac:dyDescent="0.4">
      <c r="A2615" s="103"/>
      <c r="B2615" s="103"/>
      <c r="C2615" s="103"/>
      <c r="D2615" s="103"/>
      <c r="E2615" s="103"/>
      <c r="F2615" s="103"/>
      <c r="G2615" s="103"/>
      <c r="H2615" s="103"/>
      <c r="I2615" s="103"/>
      <c r="J2615" s="103"/>
      <c r="K2615" s="103"/>
      <c r="L2615" s="103"/>
      <c r="M2615" s="104"/>
      <c r="N2615" s="103"/>
    </row>
    <row r="2616" spans="1:14" ht="45" customHeight="1" thickBot="1" x14ac:dyDescent="0.4">
      <c r="A2616" s="103"/>
      <c r="B2616" s="103"/>
      <c r="C2616" s="103"/>
      <c r="D2616" s="103"/>
      <c r="E2616" s="103"/>
      <c r="F2616" s="103"/>
      <c r="G2616" s="103"/>
      <c r="H2616" s="103"/>
      <c r="I2616" s="103"/>
      <c r="J2616" s="103"/>
      <c r="K2616" s="103"/>
      <c r="L2616" s="103"/>
      <c r="M2616" s="104"/>
      <c r="N2616" s="103"/>
    </row>
    <row r="2617" spans="1:14" ht="45" customHeight="1" thickBot="1" x14ac:dyDescent="0.4">
      <c r="A2617" s="103"/>
      <c r="B2617" s="103"/>
      <c r="C2617" s="103"/>
      <c r="D2617" s="103"/>
      <c r="E2617" s="103"/>
      <c r="F2617" s="103"/>
      <c r="G2617" s="103"/>
      <c r="H2617" s="103"/>
      <c r="I2617" s="103"/>
      <c r="J2617" s="103"/>
      <c r="K2617" s="103"/>
      <c r="L2617" s="103"/>
      <c r="M2617" s="104"/>
      <c r="N2617" s="103"/>
    </row>
    <row r="2618" spans="1:14" ht="45" customHeight="1" thickBot="1" x14ac:dyDescent="0.4">
      <c r="A2618" s="103"/>
      <c r="B2618" s="103"/>
      <c r="C2618" s="103"/>
      <c r="D2618" s="103"/>
      <c r="E2618" s="103"/>
      <c r="F2618" s="103"/>
      <c r="G2618" s="103"/>
      <c r="H2618" s="103"/>
      <c r="I2618" s="103"/>
      <c r="J2618" s="103"/>
      <c r="K2618" s="103"/>
      <c r="L2618" s="103"/>
      <c r="M2618" s="104"/>
      <c r="N2618" s="103"/>
    </row>
    <row r="2619" spans="1:14" ht="45" customHeight="1" thickBot="1" x14ac:dyDescent="0.4">
      <c r="A2619" s="103"/>
      <c r="B2619" s="103"/>
      <c r="C2619" s="103"/>
      <c r="D2619" s="103"/>
      <c r="E2619" s="103"/>
      <c r="F2619" s="103"/>
      <c r="G2619" s="103"/>
      <c r="H2619" s="103"/>
      <c r="I2619" s="103"/>
      <c r="J2619" s="103"/>
      <c r="K2619" s="103"/>
      <c r="L2619" s="103"/>
      <c r="M2619" s="104"/>
      <c r="N2619" s="103"/>
    </row>
    <row r="2620" spans="1:14" ht="45" customHeight="1" thickBot="1" x14ac:dyDescent="0.4">
      <c r="A2620" s="103"/>
      <c r="B2620" s="103"/>
      <c r="C2620" s="103"/>
      <c r="D2620" s="103"/>
      <c r="E2620" s="103"/>
      <c r="F2620" s="103"/>
      <c r="G2620" s="103"/>
      <c r="H2620" s="103"/>
      <c r="I2620" s="103"/>
      <c r="J2620" s="103"/>
      <c r="K2620" s="103"/>
      <c r="L2620" s="103"/>
      <c r="M2620" s="104"/>
      <c r="N2620" s="103"/>
    </row>
    <row r="2621" spans="1:14" ht="45" customHeight="1" thickBot="1" x14ac:dyDescent="0.4">
      <c r="A2621" s="103"/>
      <c r="B2621" s="103"/>
      <c r="C2621" s="103"/>
      <c r="D2621" s="103"/>
      <c r="E2621" s="103"/>
      <c r="F2621" s="103"/>
      <c r="G2621" s="103"/>
      <c r="H2621" s="103"/>
      <c r="I2621" s="103"/>
      <c r="J2621" s="103"/>
      <c r="K2621" s="103"/>
      <c r="L2621" s="103"/>
      <c r="M2621" s="104"/>
      <c r="N2621" s="103"/>
    </row>
    <row r="2622" spans="1:14" ht="45" customHeight="1" thickBot="1" x14ac:dyDescent="0.4">
      <c r="A2622" s="103"/>
      <c r="B2622" s="103"/>
      <c r="C2622" s="103"/>
      <c r="D2622" s="103"/>
      <c r="E2622" s="103"/>
      <c r="F2622" s="103"/>
      <c r="G2622" s="103"/>
      <c r="H2622" s="103"/>
      <c r="I2622" s="103"/>
      <c r="J2622" s="103"/>
      <c r="K2622" s="103"/>
      <c r="L2622" s="103"/>
      <c r="M2622" s="104"/>
      <c r="N2622" s="103"/>
    </row>
    <row r="2623" spans="1:14" ht="45" customHeight="1" thickBot="1" x14ac:dyDescent="0.4">
      <c r="A2623" s="103"/>
      <c r="B2623" s="103"/>
      <c r="C2623" s="103"/>
      <c r="D2623" s="103"/>
      <c r="E2623" s="103"/>
      <c r="F2623" s="103"/>
      <c r="G2623" s="103"/>
      <c r="H2623" s="103"/>
      <c r="I2623" s="103"/>
      <c r="J2623" s="103"/>
      <c r="K2623" s="103"/>
      <c r="L2623" s="103"/>
      <c r="M2623" s="104"/>
      <c r="N2623" s="103"/>
    </row>
    <row r="2624" spans="1:14" ht="45" customHeight="1" thickBot="1" x14ac:dyDescent="0.4">
      <c r="A2624" s="103"/>
      <c r="B2624" s="103"/>
      <c r="C2624" s="103"/>
      <c r="D2624" s="103"/>
      <c r="E2624" s="103"/>
      <c r="F2624" s="103"/>
      <c r="G2624" s="103"/>
      <c r="H2624" s="103"/>
      <c r="I2624" s="103"/>
      <c r="J2624" s="103"/>
      <c r="K2624" s="103"/>
      <c r="L2624" s="103"/>
      <c r="M2624" s="104"/>
      <c r="N2624" s="103"/>
    </row>
    <row r="2625" spans="1:14" ht="45" customHeight="1" thickBot="1" x14ac:dyDescent="0.4">
      <c r="A2625" s="103"/>
      <c r="B2625" s="103"/>
      <c r="C2625" s="103"/>
      <c r="D2625" s="103"/>
      <c r="E2625" s="103"/>
      <c r="F2625" s="103"/>
      <c r="G2625" s="103"/>
      <c r="H2625" s="103"/>
      <c r="I2625" s="103"/>
      <c r="J2625" s="103"/>
      <c r="K2625" s="103"/>
      <c r="L2625" s="103"/>
      <c r="M2625" s="104"/>
      <c r="N2625" s="103"/>
    </row>
    <row r="2626" spans="1:14" ht="45" customHeight="1" thickBot="1" x14ac:dyDescent="0.4">
      <c r="A2626" s="103"/>
      <c r="B2626" s="103"/>
      <c r="C2626" s="103"/>
      <c r="D2626" s="103"/>
      <c r="E2626" s="103"/>
      <c r="F2626" s="103"/>
      <c r="G2626" s="103"/>
      <c r="H2626" s="103"/>
      <c r="I2626" s="103"/>
      <c r="J2626" s="103"/>
      <c r="K2626" s="103"/>
      <c r="L2626" s="103"/>
      <c r="M2626" s="104"/>
      <c r="N2626" s="103"/>
    </row>
    <row r="2627" spans="1:14" ht="45" customHeight="1" thickBot="1" x14ac:dyDescent="0.4">
      <c r="A2627" s="103"/>
      <c r="B2627" s="103"/>
      <c r="C2627" s="103"/>
      <c r="D2627" s="103"/>
      <c r="E2627" s="103"/>
      <c r="F2627" s="103"/>
      <c r="G2627" s="103"/>
      <c r="H2627" s="103"/>
      <c r="I2627" s="103"/>
      <c r="J2627" s="103"/>
      <c r="K2627" s="103"/>
      <c r="L2627" s="103"/>
      <c r="M2627" s="104"/>
      <c r="N2627" s="103"/>
    </row>
    <row r="2628" spans="1:14" ht="45" customHeight="1" thickBot="1" x14ac:dyDescent="0.4">
      <c r="A2628" s="103"/>
      <c r="B2628" s="103"/>
      <c r="C2628" s="103"/>
      <c r="D2628" s="103"/>
      <c r="E2628" s="103"/>
      <c r="F2628" s="103"/>
      <c r="G2628" s="103"/>
      <c r="H2628" s="103"/>
      <c r="I2628" s="103"/>
      <c r="J2628" s="103"/>
      <c r="K2628" s="103"/>
      <c r="L2628" s="103"/>
      <c r="M2628" s="104"/>
      <c r="N2628" s="103"/>
    </row>
    <row r="2629" spans="1:14" ht="45" customHeight="1" thickBot="1" x14ac:dyDescent="0.4">
      <c r="A2629" s="103"/>
      <c r="B2629" s="103"/>
      <c r="C2629" s="103"/>
      <c r="D2629" s="103"/>
      <c r="E2629" s="103"/>
      <c r="F2629" s="103"/>
      <c r="G2629" s="103"/>
      <c r="H2629" s="103"/>
      <c r="I2629" s="103"/>
      <c r="J2629" s="103"/>
      <c r="K2629" s="103"/>
      <c r="L2629" s="103"/>
      <c r="M2629" s="104"/>
      <c r="N2629" s="103"/>
    </row>
    <row r="2630" spans="1:14" ht="45" customHeight="1" thickBot="1" x14ac:dyDescent="0.4">
      <c r="A2630" s="103"/>
      <c r="B2630" s="103"/>
      <c r="C2630" s="103"/>
      <c r="D2630" s="103"/>
      <c r="E2630" s="103"/>
      <c r="F2630" s="103"/>
      <c r="G2630" s="103"/>
      <c r="H2630" s="103"/>
      <c r="I2630" s="103"/>
      <c r="J2630" s="103"/>
      <c r="K2630" s="103"/>
      <c r="L2630" s="103"/>
      <c r="M2630" s="104"/>
      <c r="N2630" s="103"/>
    </row>
    <row r="2631" spans="1:14" ht="45" customHeight="1" thickBot="1" x14ac:dyDescent="0.4">
      <c r="A2631" s="103"/>
      <c r="B2631" s="103"/>
      <c r="C2631" s="103"/>
      <c r="D2631" s="103"/>
      <c r="E2631" s="103"/>
      <c r="F2631" s="103"/>
      <c r="G2631" s="103"/>
      <c r="H2631" s="103"/>
      <c r="I2631" s="103"/>
      <c r="J2631" s="103"/>
      <c r="K2631" s="103"/>
      <c r="L2631" s="103"/>
      <c r="M2631" s="104"/>
      <c r="N2631" s="103"/>
    </row>
    <row r="2632" spans="1:14" ht="45" customHeight="1" thickBot="1" x14ac:dyDescent="0.4">
      <c r="A2632" s="103"/>
      <c r="B2632" s="103"/>
      <c r="C2632" s="103"/>
      <c r="D2632" s="103"/>
      <c r="E2632" s="103"/>
      <c r="F2632" s="103"/>
      <c r="G2632" s="103"/>
      <c r="H2632" s="103"/>
      <c r="I2632" s="103"/>
      <c r="J2632" s="103"/>
      <c r="K2632" s="103"/>
      <c r="L2632" s="103"/>
      <c r="M2632" s="104"/>
      <c r="N2632" s="103"/>
    </row>
    <row r="2633" spans="1:14" ht="45" customHeight="1" thickBot="1" x14ac:dyDescent="0.4">
      <c r="A2633" s="103"/>
      <c r="B2633" s="103"/>
      <c r="C2633" s="103"/>
      <c r="D2633" s="103"/>
      <c r="E2633" s="103"/>
      <c r="F2633" s="103"/>
      <c r="G2633" s="103"/>
      <c r="H2633" s="103"/>
      <c r="I2633" s="103"/>
      <c r="J2633" s="103"/>
      <c r="K2633" s="103"/>
      <c r="L2633" s="103"/>
      <c r="M2633" s="104"/>
      <c r="N2633" s="103"/>
    </row>
    <row r="2634" spans="1:14" ht="45" customHeight="1" thickBot="1" x14ac:dyDescent="0.4">
      <c r="A2634" s="103"/>
      <c r="B2634" s="103"/>
      <c r="C2634" s="103"/>
      <c r="D2634" s="103"/>
      <c r="E2634" s="103"/>
      <c r="F2634" s="103"/>
      <c r="G2634" s="103"/>
      <c r="H2634" s="103"/>
      <c r="I2634" s="103"/>
      <c r="J2634" s="103"/>
      <c r="K2634" s="103"/>
      <c r="L2634" s="103"/>
      <c r="M2634" s="104"/>
      <c r="N2634" s="103"/>
    </row>
    <row r="2635" spans="1:14" ht="45" customHeight="1" thickBot="1" x14ac:dyDescent="0.4">
      <c r="A2635" s="103"/>
      <c r="B2635" s="103"/>
      <c r="C2635" s="103"/>
      <c r="D2635" s="103"/>
      <c r="E2635" s="103"/>
      <c r="F2635" s="103"/>
      <c r="G2635" s="103"/>
      <c r="H2635" s="103"/>
      <c r="I2635" s="103"/>
      <c r="J2635" s="103"/>
      <c r="K2635" s="103"/>
      <c r="L2635" s="103"/>
      <c r="M2635" s="104"/>
      <c r="N2635" s="103"/>
    </row>
    <row r="2636" spans="1:14" ht="45" customHeight="1" thickBot="1" x14ac:dyDescent="0.4">
      <c r="A2636" s="103"/>
      <c r="B2636" s="103"/>
      <c r="C2636" s="103"/>
      <c r="D2636" s="103"/>
      <c r="E2636" s="103"/>
      <c r="F2636" s="103"/>
      <c r="G2636" s="103"/>
      <c r="H2636" s="103"/>
      <c r="I2636" s="103"/>
      <c r="J2636" s="103"/>
      <c r="K2636" s="103"/>
      <c r="L2636" s="103"/>
      <c r="M2636" s="104"/>
      <c r="N2636" s="103"/>
    </row>
    <row r="2637" spans="1:14" ht="45" customHeight="1" thickBot="1" x14ac:dyDescent="0.4">
      <c r="A2637" s="103"/>
      <c r="B2637" s="103"/>
      <c r="C2637" s="103"/>
      <c r="D2637" s="103"/>
      <c r="E2637" s="103"/>
      <c r="F2637" s="103"/>
      <c r="G2637" s="103"/>
      <c r="H2637" s="103"/>
      <c r="I2637" s="103"/>
      <c r="J2637" s="103"/>
      <c r="K2637" s="103"/>
      <c r="L2637" s="103"/>
      <c r="M2637" s="104"/>
      <c r="N2637" s="103"/>
    </row>
    <row r="2638" spans="1:14" ht="45" customHeight="1" thickBot="1" x14ac:dyDescent="0.4">
      <c r="A2638" s="103"/>
      <c r="B2638" s="103"/>
      <c r="C2638" s="103"/>
      <c r="D2638" s="103"/>
      <c r="E2638" s="103"/>
      <c r="F2638" s="103"/>
      <c r="G2638" s="103"/>
      <c r="H2638" s="103"/>
      <c r="I2638" s="103"/>
      <c r="J2638" s="103"/>
      <c r="K2638" s="103"/>
      <c r="L2638" s="103"/>
      <c r="M2638" s="104"/>
      <c r="N2638" s="103"/>
    </row>
    <row r="2639" spans="1:14" ht="45" customHeight="1" thickBot="1" x14ac:dyDescent="0.4">
      <c r="A2639" s="103"/>
      <c r="B2639" s="103"/>
      <c r="C2639" s="103"/>
      <c r="D2639" s="103"/>
      <c r="E2639" s="103"/>
      <c r="F2639" s="103"/>
      <c r="G2639" s="103"/>
      <c r="H2639" s="103"/>
      <c r="I2639" s="103"/>
      <c r="J2639" s="103"/>
      <c r="K2639" s="103"/>
      <c r="L2639" s="103"/>
      <c r="M2639" s="104"/>
      <c r="N2639" s="103"/>
    </row>
    <row r="2640" spans="1:14" ht="45" customHeight="1" thickBot="1" x14ac:dyDescent="0.4">
      <c r="A2640" s="103"/>
      <c r="B2640" s="103"/>
      <c r="C2640" s="103"/>
      <c r="D2640" s="103"/>
      <c r="E2640" s="103"/>
      <c r="F2640" s="103"/>
      <c r="G2640" s="103"/>
      <c r="H2640" s="103"/>
      <c r="I2640" s="103"/>
      <c r="J2640" s="103"/>
      <c r="K2640" s="103"/>
      <c r="L2640" s="103"/>
      <c r="M2640" s="104"/>
      <c r="N2640" s="103"/>
    </row>
    <row r="2641" spans="1:14" ht="45" customHeight="1" thickBot="1" x14ac:dyDescent="0.4">
      <c r="A2641" s="103"/>
      <c r="B2641" s="103"/>
      <c r="C2641" s="103"/>
      <c r="D2641" s="103"/>
      <c r="E2641" s="103"/>
      <c r="F2641" s="103"/>
      <c r="G2641" s="103"/>
      <c r="H2641" s="103"/>
      <c r="I2641" s="103"/>
      <c r="J2641" s="103"/>
      <c r="K2641" s="103"/>
      <c r="L2641" s="103"/>
      <c r="M2641" s="104"/>
      <c r="N2641" s="103"/>
    </row>
    <row r="2642" spans="1:14" ht="45" customHeight="1" thickBot="1" x14ac:dyDescent="0.4">
      <c r="A2642" s="103"/>
      <c r="B2642" s="103"/>
      <c r="C2642" s="103"/>
      <c r="D2642" s="103"/>
      <c r="E2642" s="103"/>
      <c r="F2642" s="103"/>
      <c r="G2642" s="103"/>
      <c r="H2642" s="103"/>
      <c r="I2642" s="103"/>
      <c r="J2642" s="103"/>
      <c r="K2642" s="103"/>
      <c r="L2642" s="103"/>
      <c r="M2642" s="104"/>
      <c r="N2642" s="103"/>
    </row>
    <row r="2643" spans="1:14" ht="45" customHeight="1" thickBot="1" x14ac:dyDescent="0.4">
      <c r="A2643" s="103"/>
      <c r="B2643" s="103"/>
      <c r="C2643" s="103"/>
      <c r="D2643" s="103"/>
      <c r="E2643" s="103"/>
      <c r="F2643" s="103"/>
      <c r="G2643" s="103"/>
      <c r="H2643" s="103"/>
      <c r="I2643" s="103"/>
      <c r="J2643" s="103"/>
      <c r="K2643" s="103"/>
      <c r="L2643" s="103"/>
      <c r="M2643" s="104"/>
      <c r="N2643" s="103"/>
    </row>
    <row r="2644" spans="1:14" ht="45" customHeight="1" thickBot="1" x14ac:dyDescent="0.4">
      <c r="A2644" s="103"/>
      <c r="B2644" s="103"/>
      <c r="C2644" s="103"/>
      <c r="D2644" s="103"/>
      <c r="E2644" s="103"/>
      <c r="F2644" s="103"/>
      <c r="G2644" s="103"/>
      <c r="H2644" s="103"/>
      <c r="I2644" s="103"/>
      <c r="J2644" s="103"/>
      <c r="K2644" s="103"/>
      <c r="L2644" s="103"/>
      <c r="M2644" s="104"/>
      <c r="N2644" s="103"/>
    </row>
    <row r="2645" spans="1:14" ht="45" customHeight="1" thickBot="1" x14ac:dyDescent="0.4">
      <c r="A2645" s="103"/>
      <c r="B2645" s="103"/>
      <c r="C2645" s="103"/>
      <c r="D2645" s="103"/>
      <c r="E2645" s="103"/>
      <c r="F2645" s="103"/>
      <c r="G2645" s="103"/>
      <c r="H2645" s="103"/>
      <c r="I2645" s="103"/>
      <c r="J2645" s="103"/>
      <c r="K2645" s="103"/>
      <c r="L2645" s="103"/>
      <c r="M2645" s="104"/>
      <c r="N2645" s="103"/>
    </row>
    <row r="2646" spans="1:14" ht="45" customHeight="1" thickBot="1" x14ac:dyDescent="0.4">
      <c r="A2646" s="103"/>
      <c r="B2646" s="103"/>
      <c r="C2646" s="103"/>
      <c r="D2646" s="103"/>
      <c r="E2646" s="103"/>
      <c r="F2646" s="103"/>
      <c r="G2646" s="103"/>
      <c r="H2646" s="103"/>
      <c r="I2646" s="103"/>
      <c r="J2646" s="103"/>
      <c r="K2646" s="103"/>
      <c r="L2646" s="103"/>
      <c r="M2646" s="104"/>
      <c r="N2646" s="103"/>
    </row>
    <row r="2647" spans="1:14" ht="45" customHeight="1" thickBot="1" x14ac:dyDescent="0.4">
      <c r="A2647" s="103"/>
      <c r="B2647" s="103"/>
      <c r="C2647" s="103"/>
      <c r="D2647" s="103"/>
      <c r="E2647" s="103"/>
      <c r="F2647" s="103"/>
      <c r="G2647" s="103"/>
      <c r="H2647" s="103"/>
      <c r="I2647" s="103"/>
      <c r="J2647" s="103"/>
      <c r="K2647" s="103"/>
      <c r="L2647" s="103"/>
      <c r="M2647" s="104"/>
      <c r="N2647" s="103"/>
    </row>
    <row r="2648" spans="1:14" ht="45" customHeight="1" thickBot="1" x14ac:dyDescent="0.4">
      <c r="A2648" s="103"/>
      <c r="B2648" s="103"/>
      <c r="C2648" s="103"/>
      <c r="D2648" s="103"/>
      <c r="E2648" s="103"/>
      <c r="F2648" s="103"/>
      <c r="G2648" s="103"/>
      <c r="H2648" s="103"/>
      <c r="I2648" s="103"/>
      <c r="J2648" s="103"/>
      <c r="K2648" s="103"/>
      <c r="L2648" s="103"/>
      <c r="M2648" s="104"/>
      <c r="N2648" s="103"/>
    </row>
    <row r="2649" spans="1:14" ht="45" customHeight="1" thickBot="1" x14ac:dyDescent="0.4">
      <c r="A2649" s="103"/>
      <c r="B2649" s="103"/>
      <c r="C2649" s="103"/>
      <c r="D2649" s="103"/>
      <c r="E2649" s="103"/>
      <c r="F2649" s="103"/>
      <c r="G2649" s="103"/>
      <c r="H2649" s="103"/>
      <c r="I2649" s="103"/>
      <c r="J2649" s="103"/>
      <c r="K2649" s="103"/>
      <c r="L2649" s="103"/>
      <c r="M2649" s="104"/>
      <c r="N2649" s="103"/>
    </row>
    <row r="2650" spans="1:14" ht="45" customHeight="1" thickBot="1" x14ac:dyDescent="0.4">
      <c r="A2650" s="103"/>
      <c r="B2650" s="103"/>
      <c r="C2650" s="103"/>
      <c r="D2650" s="103"/>
      <c r="E2650" s="103"/>
      <c r="F2650" s="103"/>
      <c r="G2650" s="103"/>
      <c r="H2650" s="103"/>
      <c r="I2650" s="103"/>
      <c r="J2650" s="103"/>
      <c r="K2650" s="103"/>
      <c r="L2650" s="103"/>
      <c r="M2650" s="104"/>
      <c r="N2650" s="103"/>
    </row>
    <row r="2651" spans="1:14" ht="45" customHeight="1" thickBot="1" x14ac:dyDescent="0.4">
      <c r="A2651" s="103"/>
      <c r="B2651" s="103"/>
      <c r="C2651" s="103"/>
      <c r="D2651" s="103"/>
      <c r="E2651" s="103"/>
      <c r="F2651" s="103"/>
      <c r="G2651" s="103"/>
      <c r="H2651" s="103"/>
      <c r="I2651" s="103"/>
      <c r="J2651" s="103"/>
      <c r="K2651" s="103"/>
      <c r="L2651" s="103"/>
      <c r="M2651" s="104"/>
      <c r="N2651" s="103"/>
    </row>
    <row r="2652" spans="1:14" ht="45" customHeight="1" thickBot="1" x14ac:dyDescent="0.4">
      <c r="A2652" s="103"/>
      <c r="B2652" s="103"/>
      <c r="C2652" s="103"/>
      <c r="D2652" s="103"/>
      <c r="E2652" s="103"/>
      <c r="F2652" s="103"/>
      <c r="G2652" s="103"/>
      <c r="H2652" s="103"/>
      <c r="I2652" s="103"/>
      <c r="J2652" s="103"/>
      <c r="K2652" s="103"/>
      <c r="L2652" s="103"/>
      <c r="M2652" s="104"/>
      <c r="N2652" s="103"/>
    </row>
    <row r="2653" spans="1:14" ht="45" customHeight="1" thickBot="1" x14ac:dyDescent="0.4">
      <c r="A2653" s="103"/>
      <c r="B2653" s="103"/>
      <c r="C2653" s="103"/>
      <c r="D2653" s="103"/>
      <c r="E2653" s="103"/>
      <c r="F2653" s="103"/>
      <c r="G2653" s="103"/>
      <c r="H2653" s="103"/>
      <c r="I2653" s="103"/>
      <c r="J2653" s="103"/>
      <c r="K2653" s="103"/>
      <c r="L2653" s="103"/>
      <c r="M2653" s="104"/>
      <c r="N2653" s="103"/>
    </row>
    <row r="2654" spans="1:14" ht="45" customHeight="1" thickBot="1" x14ac:dyDescent="0.4">
      <c r="A2654" s="103"/>
      <c r="B2654" s="103"/>
      <c r="C2654" s="103"/>
      <c r="D2654" s="103"/>
      <c r="E2654" s="103"/>
      <c r="F2654" s="103"/>
      <c r="G2654" s="103"/>
      <c r="H2654" s="103"/>
      <c r="I2654" s="103"/>
      <c r="J2654" s="103"/>
      <c r="K2654" s="103"/>
      <c r="L2654" s="103"/>
      <c r="M2654" s="104"/>
      <c r="N2654" s="103"/>
    </row>
    <row r="2655" spans="1:14" ht="45" customHeight="1" thickBot="1" x14ac:dyDescent="0.4">
      <c r="A2655" s="103"/>
      <c r="B2655" s="103"/>
      <c r="C2655" s="103"/>
      <c r="D2655" s="103"/>
      <c r="E2655" s="103"/>
      <c r="F2655" s="103"/>
      <c r="G2655" s="103"/>
      <c r="H2655" s="103"/>
      <c r="I2655" s="103"/>
      <c r="J2655" s="103"/>
      <c r="K2655" s="103"/>
      <c r="L2655" s="103"/>
      <c r="M2655" s="104"/>
      <c r="N2655" s="103"/>
    </row>
    <row r="2656" spans="1:14" ht="45" customHeight="1" thickBot="1" x14ac:dyDescent="0.4">
      <c r="A2656" s="103"/>
      <c r="B2656" s="103"/>
      <c r="C2656" s="103"/>
      <c r="D2656" s="103"/>
      <c r="E2656" s="103"/>
      <c r="F2656" s="103"/>
      <c r="G2656" s="103"/>
      <c r="H2656" s="103"/>
      <c r="I2656" s="103"/>
      <c r="J2656" s="103"/>
      <c r="K2656" s="103"/>
      <c r="L2656" s="103"/>
      <c r="M2656" s="104"/>
      <c r="N2656" s="103"/>
    </row>
    <row r="2657" spans="1:14" ht="45" customHeight="1" thickBot="1" x14ac:dyDescent="0.4">
      <c r="A2657" s="103"/>
      <c r="B2657" s="103"/>
      <c r="C2657" s="103"/>
      <c r="D2657" s="103"/>
      <c r="E2657" s="103"/>
      <c r="F2657" s="103"/>
      <c r="G2657" s="103"/>
      <c r="H2657" s="103"/>
      <c r="I2657" s="103"/>
      <c r="J2657" s="103"/>
      <c r="K2657" s="103"/>
      <c r="L2657" s="103"/>
      <c r="M2657" s="104"/>
      <c r="N2657" s="103"/>
    </row>
    <row r="2658" spans="1:14" ht="45" customHeight="1" thickBot="1" x14ac:dyDescent="0.4">
      <c r="A2658" s="103"/>
      <c r="B2658" s="103"/>
      <c r="C2658" s="103"/>
      <c r="D2658" s="103"/>
      <c r="E2658" s="103"/>
      <c r="F2658" s="103"/>
      <c r="G2658" s="103"/>
      <c r="H2658" s="103"/>
      <c r="I2658" s="103"/>
      <c r="J2658" s="103"/>
      <c r="K2658" s="103"/>
      <c r="L2658" s="103"/>
      <c r="M2658" s="104"/>
      <c r="N2658" s="103"/>
    </row>
    <row r="2659" spans="1:14" ht="45" customHeight="1" thickBot="1" x14ac:dyDescent="0.4">
      <c r="A2659" s="103"/>
      <c r="B2659" s="103"/>
      <c r="C2659" s="103"/>
      <c r="D2659" s="103"/>
      <c r="E2659" s="103"/>
      <c r="F2659" s="103"/>
      <c r="G2659" s="103"/>
      <c r="H2659" s="103"/>
      <c r="I2659" s="103"/>
      <c r="J2659" s="103"/>
      <c r="K2659" s="103"/>
      <c r="L2659" s="103"/>
      <c r="M2659" s="104"/>
      <c r="N2659" s="103"/>
    </row>
    <row r="2660" spans="1:14" ht="45" customHeight="1" thickBot="1" x14ac:dyDescent="0.4">
      <c r="A2660" s="103"/>
      <c r="B2660" s="103"/>
      <c r="C2660" s="103"/>
      <c r="D2660" s="103"/>
      <c r="E2660" s="103"/>
      <c r="F2660" s="103"/>
      <c r="G2660" s="103"/>
      <c r="H2660" s="103"/>
      <c r="I2660" s="103"/>
      <c r="J2660" s="103"/>
      <c r="K2660" s="103"/>
      <c r="L2660" s="103"/>
      <c r="M2660" s="104"/>
      <c r="N2660" s="103"/>
    </row>
    <row r="2661" spans="1:14" ht="45" customHeight="1" thickBot="1" x14ac:dyDescent="0.4">
      <c r="A2661" s="103"/>
      <c r="B2661" s="103"/>
      <c r="C2661" s="103"/>
      <c r="D2661" s="103"/>
      <c r="E2661" s="103"/>
      <c r="F2661" s="103"/>
      <c r="G2661" s="103"/>
      <c r="H2661" s="103"/>
      <c r="I2661" s="103"/>
      <c r="J2661" s="103"/>
      <c r="K2661" s="103"/>
      <c r="L2661" s="103"/>
      <c r="M2661" s="104"/>
      <c r="N2661" s="103"/>
    </row>
    <row r="2662" spans="1:14" ht="45" customHeight="1" thickBot="1" x14ac:dyDescent="0.4">
      <c r="A2662" s="103"/>
      <c r="B2662" s="103"/>
      <c r="C2662" s="103"/>
      <c r="D2662" s="103"/>
      <c r="E2662" s="103"/>
      <c r="F2662" s="103"/>
      <c r="G2662" s="103"/>
      <c r="H2662" s="103"/>
      <c r="I2662" s="103"/>
      <c r="J2662" s="103"/>
      <c r="K2662" s="103"/>
      <c r="L2662" s="103"/>
      <c r="M2662" s="104"/>
      <c r="N2662" s="103"/>
    </row>
    <row r="2663" spans="1:14" ht="45" customHeight="1" thickBot="1" x14ac:dyDescent="0.4">
      <c r="A2663" s="103"/>
      <c r="B2663" s="103"/>
      <c r="C2663" s="103"/>
      <c r="D2663" s="103"/>
      <c r="E2663" s="103"/>
      <c r="F2663" s="103"/>
      <c r="G2663" s="103"/>
      <c r="H2663" s="103"/>
      <c r="I2663" s="103"/>
      <c r="J2663" s="103"/>
      <c r="K2663" s="103"/>
      <c r="L2663" s="103"/>
      <c r="M2663" s="104"/>
      <c r="N2663" s="103"/>
    </row>
    <row r="2664" spans="1:14" ht="45" customHeight="1" thickBot="1" x14ac:dyDescent="0.4">
      <c r="A2664" s="103"/>
      <c r="B2664" s="103"/>
      <c r="C2664" s="103"/>
      <c r="D2664" s="103"/>
      <c r="E2664" s="103"/>
      <c r="F2664" s="103"/>
      <c r="G2664" s="103"/>
      <c r="H2664" s="103"/>
      <c r="I2664" s="103"/>
      <c r="J2664" s="103"/>
      <c r="K2664" s="103"/>
      <c r="L2664" s="103"/>
      <c r="M2664" s="104"/>
      <c r="N2664" s="103"/>
    </row>
    <row r="2665" spans="1:14" ht="45" customHeight="1" thickBot="1" x14ac:dyDescent="0.4">
      <c r="A2665" s="103"/>
      <c r="B2665" s="103"/>
      <c r="C2665" s="103"/>
      <c r="D2665" s="103"/>
      <c r="E2665" s="103"/>
      <c r="F2665" s="103"/>
      <c r="G2665" s="103"/>
      <c r="H2665" s="103"/>
      <c r="I2665" s="103"/>
      <c r="J2665" s="103"/>
      <c r="K2665" s="103"/>
      <c r="L2665" s="103"/>
      <c r="M2665" s="104"/>
      <c r="N2665" s="103"/>
    </row>
    <row r="2666" spans="1:14" ht="45" customHeight="1" thickBot="1" x14ac:dyDescent="0.4">
      <c r="A2666" s="103"/>
      <c r="B2666" s="103"/>
      <c r="C2666" s="103"/>
      <c r="D2666" s="103"/>
      <c r="E2666" s="103"/>
      <c r="F2666" s="103"/>
      <c r="G2666" s="103"/>
      <c r="H2666" s="103"/>
      <c r="I2666" s="103"/>
      <c r="J2666" s="103"/>
      <c r="K2666" s="103"/>
      <c r="L2666" s="103"/>
      <c r="M2666" s="104"/>
      <c r="N2666" s="103"/>
    </row>
    <row r="2667" spans="1:14" ht="45" customHeight="1" thickBot="1" x14ac:dyDescent="0.4">
      <c r="A2667" s="103"/>
      <c r="B2667" s="103"/>
      <c r="C2667" s="103"/>
      <c r="D2667" s="103"/>
      <c r="E2667" s="103"/>
      <c r="F2667" s="103"/>
      <c r="G2667" s="103"/>
      <c r="H2667" s="103"/>
      <c r="I2667" s="103"/>
      <c r="J2667" s="103"/>
      <c r="K2667" s="103"/>
      <c r="L2667" s="103"/>
      <c r="M2667" s="104"/>
      <c r="N2667" s="103"/>
    </row>
    <row r="2668" spans="1:14" ht="45" customHeight="1" thickBot="1" x14ac:dyDescent="0.4">
      <c r="A2668" s="103"/>
      <c r="B2668" s="103"/>
      <c r="C2668" s="103"/>
      <c r="D2668" s="103"/>
      <c r="E2668" s="103"/>
      <c r="F2668" s="103"/>
      <c r="G2668" s="103"/>
      <c r="H2668" s="103"/>
      <c r="I2668" s="103"/>
      <c r="J2668" s="103"/>
      <c r="K2668" s="103"/>
      <c r="L2668" s="103"/>
      <c r="M2668" s="104"/>
      <c r="N2668" s="103"/>
    </row>
    <row r="2669" spans="1:14" ht="45" customHeight="1" thickBot="1" x14ac:dyDescent="0.4">
      <c r="A2669" s="103"/>
      <c r="B2669" s="103"/>
      <c r="C2669" s="103"/>
      <c r="D2669" s="103"/>
      <c r="E2669" s="103"/>
      <c r="F2669" s="103"/>
      <c r="G2669" s="103"/>
      <c r="H2669" s="103"/>
      <c r="I2669" s="103"/>
      <c r="J2669" s="103"/>
      <c r="K2669" s="103"/>
      <c r="L2669" s="103"/>
      <c r="M2669" s="104"/>
      <c r="N2669" s="103"/>
    </row>
    <row r="2670" spans="1:14" ht="45" customHeight="1" thickBot="1" x14ac:dyDescent="0.4">
      <c r="A2670" s="103"/>
      <c r="B2670" s="103"/>
      <c r="C2670" s="103"/>
      <c r="D2670" s="103"/>
      <c r="E2670" s="103"/>
      <c r="F2670" s="103"/>
      <c r="G2670" s="103"/>
      <c r="H2670" s="103"/>
      <c r="I2670" s="103"/>
      <c r="J2670" s="103"/>
      <c r="K2670" s="103"/>
      <c r="L2670" s="103"/>
      <c r="M2670" s="104"/>
      <c r="N2670" s="103"/>
    </row>
    <row r="2671" spans="1:14" ht="45" customHeight="1" thickBot="1" x14ac:dyDescent="0.4">
      <c r="A2671" s="103"/>
      <c r="B2671" s="103"/>
      <c r="C2671" s="103"/>
      <c r="D2671" s="103"/>
      <c r="E2671" s="103"/>
      <c r="F2671" s="103"/>
      <c r="G2671" s="103"/>
      <c r="H2671" s="103"/>
      <c r="I2671" s="103"/>
      <c r="J2671" s="103"/>
      <c r="K2671" s="103"/>
      <c r="L2671" s="103"/>
      <c r="M2671" s="104"/>
      <c r="N2671" s="103"/>
    </row>
    <row r="2672" spans="1:14" ht="45" customHeight="1" thickBot="1" x14ac:dyDescent="0.4">
      <c r="A2672" s="103"/>
      <c r="B2672" s="103"/>
      <c r="C2672" s="103"/>
      <c r="D2672" s="103"/>
      <c r="E2672" s="103"/>
      <c r="F2672" s="103"/>
      <c r="G2672" s="103"/>
      <c r="H2672" s="103"/>
      <c r="I2672" s="103"/>
      <c r="J2672" s="103"/>
      <c r="K2672" s="103"/>
      <c r="L2672" s="103"/>
      <c r="M2672" s="104"/>
      <c r="N2672" s="103"/>
    </row>
    <row r="2673" spans="1:14" ht="45" customHeight="1" thickBot="1" x14ac:dyDescent="0.4">
      <c r="A2673" s="103"/>
      <c r="B2673" s="103"/>
      <c r="C2673" s="103"/>
      <c r="D2673" s="103"/>
      <c r="E2673" s="103"/>
      <c r="F2673" s="103"/>
      <c r="G2673" s="103"/>
      <c r="H2673" s="103"/>
      <c r="I2673" s="103"/>
      <c r="J2673" s="103"/>
      <c r="K2673" s="103"/>
      <c r="L2673" s="103"/>
      <c r="M2673" s="104"/>
      <c r="N2673" s="103"/>
    </row>
    <row r="2674" spans="1:14" ht="45" customHeight="1" thickBot="1" x14ac:dyDescent="0.4">
      <c r="A2674" s="103"/>
      <c r="B2674" s="103"/>
      <c r="C2674" s="103"/>
      <c r="D2674" s="103"/>
      <c r="E2674" s="103"/>
      <c r="F2674" s="103"/>
      <c r="G2674" s="103"/>
      <c r="H2674" s="103"/>
      <c r="I2674" s="103"/>
      <c r="J2674" s="103"/>
      <c r="K2674" s="103"/>
      <c r="L2674" s="103"/>
      <c r="M2674" s="104"/>
      <c r="N2674" s="103"/>
    </row>
    <row r="2675" spans="1:14" ht="45" customHeight="1" thickBot="1" x14ac:dyDescent="0.4">
      <c r="A2675" s="103"/>
      <c r="B2675" s="103"/>
      <c r="C2675" s="103"/>
      <c r="D2675" s="103"/>
      <c r="E2675" s="103"/>
      <c r="F2675" s="103"/>
      <c r="G2675" s="103"/>
      <c r="H2675" s="103"/>
      <c r="I2675" s="103"/>
      <c r="J2675" s="103"/>
      <c r="K2675" s="103"/>
      <c r="L2675" s="103"/>
      <c r="M2675" s="104"/>
      <c r="N2675" s="103"/>
    </row>
    <row r="2676" spans="1:14" ht="45" customHeight="1" thickBot="1" x14ac:dyDescent="0.4">
      <c r="A2676" s="103"/>
      <c r="B2676" s="103"/>
      <c r="C2676" s="103"/>
      <c r="D2676" s="103"/>
      <c r="E2676" s="103"/>
      <c r="F2676" s="103"/>
      <c r="G2676" s="103"/>
      <c r="H2676" s="103"/>
      <c r="I2676" s="103"/>
      <c r="J2676" s="103"/>
      <c r="K2676" s="103"/>
      <c r="L2676" s="103"/>
      <c r="M2676" s="104"/>
      <c r="N2676" s="103"/>
    </row>
    <row r="2677" spans="1:14" ht="45" customHeight="1" thickBot="1" x14ac:dyDescent="0.4">
      <c r="A2677" s="103"/>
      <c r="B2677" s="103"/>
      <c r="C2677" s="103"/>
      <c r="D2677" s="103"/>
      <c r="E2677" s="103"/>
      <c r="F2677" s="103"/>
      <c r="G2677" s="103"/>
      <c r="H2677" s="103"/>
      <c r="I2677" s="103"/>
      <c r="J2677" s="103"/>
      <c r="K2677" s="103"/>
      <c r="L2677" s="103"/>
      <c r="M2677" s="104"/>
      <c r="N2677" s="103"/>
    </row>
    <row r="2678" spans="1:14" ht="45" customHeight="1" thickBot="1" x14ac:dyDescent="0.4">
      <c r="A2678" s="103"/>
      <c r="B2678" s="103"/>
      <c r="C2678" s="103"/>
      <c r="D2678" s="103"/>
      <c r="E2678" s="103"/>
      <c r="F2678" s="103"/>
      <c r="G2678" s="103"/>
      <c r="H2678" s="103"/>
      <c r="I2678" s="103"/>
      <c r="J2678" s="103"/>
      <c r="K2678" s="103"/>
      <c r="L2678" s="103"/>
      <c r="M2678" s="104"/>
      <c r="N2678" s="103"/>
    </row>
    <row r="2679" spans="1:14" ht="45" customHeight="1" thickBot="1" x14ac:dyDescent="0.4">
      <c r="A2679" s="103"/>
      <c r="B2679" s="103"/>
      <c r="C2679" s="103"/>
      <c r="D2679" s="103"/>
      <c r="E2679" s="103"/>
      <c r="F2679" s="103"/>
      <c r="G2679" s="103"/>
      <c r="H2679" s="103"/>
      <c r="I2679" s="103"/>
      <c r="J2679" s="103"/>
      <c r="K2679" s="103"/>
      <c r="L2679" s="103"/>
      <c r="M2679" s="104"/>
      <c r="N2679" s="103"/>
    </row>
    <row r="2680" spans="1:14" ht="45" customHeight="1" thickBot="1" x14ac:dyDescent="0.4">
      <c r="A2680" s="103"/>
      <c r="B2680" s="103"/>
      <c r="C2680" s="103"/>
      <c r="D2680" s="103"/>
      <c r="E2680" s="103"/>
      <c r="F2680" s="103"/>
      <c r="G2680" s="103"/>
      <c r="H2680" s="103"/>
      <c r="I2680" s="103"/>
      <c r="J2680" s="103"/>
      <c r="K2680" s="103"/>
      <c r="L2680" s="103"/>
      <c r="M2680" s="104"/>
      <c r="N2680" s="103"/>
    </row>
    <row r="2681" spans="1:14" ht="45" customHeight="1" thickBot="1" x14ac:dyDescent="0.4">
      <c r="A2681" s="103"/>
      <c r="B2681" s="103"/>
      <c r="C2681" s="103"/>
      <c r="D2681" s="103"/>
      <c r="E2681" s="103"/>
      <c r="F2681" s="103"/>
      <c r="G2681" s="103"/>
      <c r="H2681" s="103"/>
      <c r="I2681" s="103"/>
      <c r="J2681" s="103"/>
      <c r="K2681" s="103"/>
      <c r="L2681" s="103"/>
      <c r="M2681" s="104"/>
      <c r="N2681" s="103"/>
    </row>
    <row r="2682" spans="1:14" ht="45" customHeight="1" thickBot="1" x14ac:dyDescent="0.4">
      <c r="A2682" s="103"/>
      <c r="B2682" s="103"/>
      <c r="C2682" s="103"/>
      <c r="D2682" s="103"/>
      <c r="E2682" s="103"/>
      <c r="F2682" s="103"/>
      <c r="G2682" s="103"/>
      <c r="H2682" s="103"/>
      <c r="I2682" s="103"/>
      <c r="J2682" s="103"/>
      <c r="K2682" s="103"/>
      <c r="L2682" s="103"/>
      <c r="M2682" s="104"/>
      <c r="N2682" s="103"/>
    </row>
    <row r="2683" spans="1:14" ht="45" customHeight="1" thickBot="1" x14ac:dyDescent="0.4">
      <c r="A2683" s="103"/>
      <c r="B2683" s="103"/>
      <c r="C2683" s="103"/>
      <c r="D2683" s="103"/>
      <c r="E2683" s="103"/>
      <c r="F2683" s="103"/>
      <c r="G2683" s="103"/>
      <c r="H2683" s="103"/>
      <c r="I2683" s="103"/>
      <c r="J2683" s="103"/>
      <c r="K2683" s="103"/>
      <c r="L2683" s="103"/>
      <c r="M2683" s="104"/>
      <c r="N2683" s="103"/>
    </row>
    <row r="2684" spans="1:14" ht="45" customHeight="1" thickBot="1" x14ac:dyDescent="0.4">
      <c r="A2684" s="103"/>
      <c r="B2684" s="103"/>
      <c r="C2684" s="103"/>
      <c r="D2684" s="103"/>
      <c r="E2684" s="103"/>
      <c r="F2684" s="103"/>
      <c r="G2684" s="103"/>
      <c r="H2684" s="103"/>
      <c r="I2684" s="103"/>
      <c r="J2684" s="103"/>
      <c r="K2684" s="103"/>
      <c r="L2684" s="103"/>
      <c r="M2684" s="104"/>
      <c r="N2684" s="103"/>
    </row>
    <row r="2685" spans="1:14" ht="45" customHeight="1" thickBot="1" x14ac:dyDescent="0.4">
      <c r="A2685" s="103"/>
      <c r="B2685" s="103"/>
      <c r="C2685" s="103"/>
      <c r="D2685" s="103"/>
      <c r="E2685" s="103"/>
      <c r="F2685" s="103"/>
      <c r="G2685" s="103"/>
      <c r="H2685" s="103"/>
      <c r="I2685" s="103"/>
      <c r="J2685" s="103"/>
      <c r="K2685" s="103"/>
      <c r="L2685" s="103"/>
      <c r="M2685" s="104"/>
      <c r="N2685" s="103"/>
    </row>
    <row r="2686" spans="1:14" ht="45" customHeight="1" thickBot="1" x14ac:dyDescent="0.4">
      <c r="A2686" s="103"/>
      <c r="B2686" s="103"/>
      <c r="C2686" s="103"/>
      <c r="D2686" s="103"/>
      <c r="E2686" s="103"/>
      <c r="F2686" s="103"/>
      <c r="G2686" s="103"/>
      <c r="H2686" s="103"/>
      <c r="I2686" s="103"/>
      <c r="J2686" s="103"/>
      <c r="K2686" s="103"/>
      <c r="L2686" s="103"/>
      <c r="M2686" s="104"/>
      <c r="N2686" s="103"/>
    </row>
    <row r="2687" spans="1:14" ht="45" customHeight="1" thickBot="1" x14ac:dyDescent="0.4">
      <c r="A2687" s="103"/>
      <c r="B2687" s="103"/>
      <c r="C2687" s="103"/>
      <c r="D2687" s="103"/>
      <c r="E2687" s="103"/>
      <c r="F2687" s="103"/>
      <c r="G2687" s="103"/>
      <c r="H2687" s="103"/>
      <c r="I2687" s="103"/>
      <c r="J2687" s="103"/>
      <c r="K2687" s="103"/>
      <c r="L2687" s="103"/>
      <c r="M2687" s="104"/>
      <c r="N2687" s="103"/>
    </row>
    <row r="2688" spans="1:14" ht="45" customHeight="1" thickBot="1" x14ac:dyDescent="0.4">
      <c r="A2688" s="103"/>
      <c r="B2688" s="103"/>
      <c r="C2688" s="103"/>
      <c r="D2688" s="103"/>
      <c r="E2688" s="103"/>
      <c r="F2688" s="103"/>
      <c r="G2688" s="103"/>
      <c r="H2688" s="103"/>
      <c r="I2688" s="103"/>
      <c r="J2688" s="103"/>
      <c r="K2688" s="103"/>
      <c r="L2688" s="103"/>
      <c r="M2688" s="104"/>
      <c r="N2688" s="103"/>
    </row>
    <row r="2689" spans="1:14" ht="45" customHeight="1" thickBot="1" x14ac:dyDescent="0.4">
      <c r="A2689" s="103"/>
      <c r="B2689" s="103"/>
      <c r="C2689" s="103"/>
      <c r="D2689" s="103"/>
      <c r="E2689" s="103"/>
      <c r="F2689" s="103"/>
      <c r="G2689" s="103"/>
      <c r="H2689" s="103"/>
      <c r="I2689" s="103"/>
      <c r="J2689" s="103"/>
      <c r="K2689" s="103"/>
      <c r="L2689" s="103"/>
      <c r="M2689" s="104"/>
      <c r="N2689" s="103"/>
    </row>
    <row r="2690" spans="1:14" ht="45" customHeight="1" thickBot="1" x14ac:dyDescent="0.4">
      <c r="A2690" s="103"/>
      <c r="B2690" s="103"/>
      <c r="C2690" s="103"/>
      <c r="D2690" s="103"/>
      <c r="E2690" s="103"/>
      <c r="F2690" s="103"/>
      <c r="G2690" s="103"/>
      <c r="H2690" s="103"/>
      <c r="I2690" s="103"/>
      <c r="J2690" s="103"/>
      <c r="K2690" s="103"/>
      <c r="L2690" s="103"/>
      <c r="M2690" s="104"/>
      <c r="N2690" s="103"/>
    </row>
    <row r="2691" spans="1:14" ht="45" customHeight="1" thickBot="1" x14ac:dyDescent="0.4">
      <c r="A2691" s="103"/>
      <c r="B2691" s="103"/>
      <c r="C2691" s="103"/>
      <c r="D2691" s="103"/>
      <c r="E2691" s="103"/>
      <c r="F2691" s="103"/>
      <c r="G2691" s="103"/>
      <c r="H2691" s="103"/>
      <c r="I2691" s="103"/>
      <c r="J2691" s="103"/>
      <c r="K2691" s="103"/>
      <c r="L2691" s="103"/>
      <c r="M2691" s="104"/>
      <c r="N2691" s="103"/>
    </row>
    <row r="2692" spans="1:14" ht="45" customHeight="1" thickBot="1" x14ac:dyDescent="0.4">
      <c r="A2692" s="103"/>
      <c r="B2692" s="103"/>
      <c r="C2692" s="103"/>
      <c r="D2692" s="103"/>
      <c r="E2692" s="103"/>
      <c r="F2692" s="103"/>
      <c r="G2692" s="103"/>
      <c r="H2692" s="103"/>
      <c r="I2692" s="103"/>
      <c r="J2692" s="103"/>
      <c r="K2692" s="103"/>
      <c r="L2692" s="103"/>
      <c r="M2692" s="104"/>
      <c r="N2692" s="103"/>
    </row>
    <row r="2693" spans="1:14" ht="45" customHeight="1" thickBot="1" x14ac:dyDescent="0.4">
      <c r="A2693" s="103"/>
      <c r="B2693" s="103"/>
      <c r="C2693" s="103"/>
      <c r="D2693" s="103"/>
      <c r="E2693" s="103"/>
      <c r="F2693" s="103"/>
      <c r="G2693" s="103"/>
      <c r="H2693" s="103"/>
      <c r="I2693" s="103"/>
      <c r="J2693" s="103"/>
      <c r="K2693" s="103"/>
      <c r="L2693" s="103"/>
      <c r="M2693" s="104"/>
      <c r="N2693" s="103"/>
    </row>
    <row r="2694" spans="1:14" ht="45" customHeight="1" thickBot="1" x14ac:dyDescent="0.4">
      <c r="A2694" s="103"/>
      <c r="B2694" s="103"/>
      <c r="C2694" s="103"/>
      <c r="D2694" s="103"/>
      <c r="E2694" s="103"/>
      <c r="F2694" s="103"/>
      <c r="G2694" s="103"/>
      <c r="H2694" s="103"/>
      <c r="I2694" s="103"/>
      <c r="J2694" s="103"/>
      <c r="K2694" s="103"/>
      <c r="L2694" s="103"/>
      <c r="M2694" s="104"/>
      <c r="N2694" s="103"/>
    </row>
    <row r="2695" spans="1:14" ht="45" customHeight="1" thickBot="1" x14ac:dyDescent="0.4">
      <c r="A2695" s="103"/>
      <c r="B2695" s="103"/>
      <c r="C2695" s="103"/>
      <c r="D2695" s="103"/>
      <c r="E2695" s="103"/>
      <c r="F2695" s="103"/>
      <c r="G2695" s="103"/>
      <c r="H2695" s="103"/>
      <c r="I2695" s="103"/>
      <c r="J2695" s="103"/>
      <c r="K2695" s="103"/>
      <c r="L2695" s="103"/>
      <c r="M2695" s="104"/>
      <c r="N2695" s="103"/>
    </row>
    <row r="2696" spans="1:14" ht="45" customHeight="1" thickBot="1" x14ac:dyDescent="0.4">
      <c r="A2696" s="103"/>
      <c r="B2696" s="103"/>
      <c r="C2696" s="103"/>
      <c r="D2696" s="103"/>
      <c r="E2696" s="103"/>
      <c r="F2696" s="103"/>
      <c r="G2696" s="103"/>
      <c r="H2696" s="103"/>
      <c r="I2696" s="103"/>
      <c r="J2696" s="103"/>
      <c r="K2696" s="103"/>
      <c r="L2696" s="103"/>
      <c r="M2696" s="104"/>
      <c r="N2696" s="103"/>
    </row>
    <row r="2697" spans="1:14" ht="45" customHeight="1" thickBot="1" x14ac:dyDescent="0.4">
      <c r="A2697" s="103"/>
      <c r="B2697" s="103"/>
      <c r="C2697" s="103"/>
      <c r="D2697" s="103"/>
      <c r="E2697" s="103"/>
      <c r="F2697" s="103"/>
      <c r="G2697" s="103"/>
      <c r="H2697" s="103"/>
      <c r="I2697" s="103"/>
      <c r="J2697" s="103"/>
      <c r="K2697" s="103"/>
      <c r="L2697" s="103"/>
      <c r="M2697" s="104"/>
      <c r="N2697" s="103"/>
    </row>
    <row r="2698" spans="1:14" ht="45" customHeight="1" thickBot="1" x14ac:dyDescent="0.4">
      <c r="A2698" s="103"/>
      <c r="B2698" s="103"/>
      <c r="C2698" s="103"/>
      <c r="D2698" s="103"/>
      <c r="E2698" s="103"/>
      <c r="F2698" s="103"/>
      <c r="G2698" s="103"/>
      <c r="H2698" s="103"/>
      <c r="I2698" s="103"/>
      <c r="J2698" s="103"/>
      <c r="K2698" s="103"/>
      <c r="L2698" s="103"/>
      <c r="M2698" s="104"/>
      <c r="N2698" s="103"/>
    </row>
    <row r="2699" spans="1:14" ht="45" customHeight="1" thickBot="1" x14ac:dyDescent="0.4">
      <c r="A2699" s="103"/>
      <c r="B2699" s="103"/>
      <c r="C2699" s="103"/>
      <c r="D2699" s="103"/>
      <c r="E2699" s="103"/>
      <c r="F2699" s="103"/>
      <c r="G2699" s="103"/>
      <c r="H2699" s="103"/>
      <c r="I2699" s="103"/>
      <c r="J2699" s="103"/>
      <c r="K2699" s="103"/>
      <c r="L2699" s="103"/>
      <c r="M2699" s="104"/>
      <c r="N2699" s="103"/>
    </row>
    <row r="2700" spans="1:14" ht="45" customHeight="1" thickBot="1" x14ac:dyDescent="0.4">
      <c r="A2700" s="103"/>
      <c r="B2700" s="103"/>
      <c r="C2700" s="103"/>
      <c r="D2700" s="103"/>
      <c r="E2700" s="103"/>
      <c r="F2700" s="103"/>
      <c r="G2700" s="103"/>
      <c r="H2700" s="103"/>
      <c r="I2700" s="103"/>
      <c r="J2700" s="103"/>
      <c r="K2700" s="103"/>
      <c r="L2700" s="103"/>
      <c r="M2700" s="104"/>
      <c r="N2700" s="103"/>
    </row>
    <row r="2701" spans="1:14" ht="45" customHeight="1" thickBot="1" x14ac:dyDescent="0.4">
      <c r="A2701" s="103"/>
      <c r="B2701" s="103"/>
      <c r="C2701" s="103"/>
      <c r="D2701" s="103"/>
      <c r="E2701" s="103"/>
      <c r="F2701" s="103"/>
      <c r="G2701" s="103"/>
      <c r="H2701" s="103"/>
      <c r="I2701" s="103"/>
      <c r="J2701" s="103"/>
      <c r="K2701" s="103"/>
      <c r="L2701" s="103"/>
      <c r="M2701" s="104"/>
      <c r="N2701" s="103"/>
    </row>
    <row r="2702" spans="1:14" ht="45" customHeight="1" thickBot="1" x14ac:dyDescent="0.4">
      <c r="A2702" s="103"/>
      <c r="B2702" s="103"/>
      <c r="C2702" s="103"/>
      <c r="D2702" s="103"/>
      <c r="E2702" s="103"/>
      <c r="F2702" s="103"/>
      <c r="G2702" s="103"/>
      <c r="H2702" s="103"/>
      <c r="I2702" s="103"/>
      <c r="J2702" s="103"/>
      <c r="K2702" s="103"/>
      <c r="L2702" s="103"/>
      <c r="M2702" s="104"/>
      <c r="N2702" s="103"/>
    </row>
    <row r="2703" spans="1:14" ht="45" customHeight="1" thickBot="1" x14ac:dyDescent="0.4">
      <c r="A2703" s="103"/>
      <c r="B2703" s="103"/>
      <c r="C2703" s="103"/>
      <c r="D2703" s="103"/>
      <c r="E2703" s="103"/>
      <c r="F2703" s="103"/>
      <c r="G2703" s="103"/>
      <c r="H2703" s="103"/>
      <c r="I2703" s="103"/>
      <c r="J2703" s="103"/>
      <c r="K2703" s="103"/>
      <c r="L2703" s="103"/>
      <c r="M2703" s="104"/>
      <c r="N2703" s="103"/>
    </row>
    <row r="2704" spans="1:14" ht="45" customHeight="1" thickBot="1" x14ac:dyDescent="0.4">
      <c r="A2704" s="103"/>
      <c r="B2704" s="103"/>
      <c r="C2704" s="103"/>
      <c r="D2704" s="103"/>
      <c r="E2704" s="103"/>
      <c r="F2704" s="103"/>
      <c r="G2704" s="103"/>
      <c r="H2704" s="103"/>
      <c r="I2704" s="103"/>
      <c r="J2704" s="103"/>
      <c r="K2704" s="103"/>
      <c r="L2704" s="103"/>
      <c r="M2704" s="104"/>
      <c r="N2704" s="103"/>
    </row>
    <row r="2705" spans="1:14" ht="45" customHeight="1" thickBot="1" x14ac:dyDescent="0.4">
      <c r="A2705" s="103"/>
      <c r="B2705" s="103"/>
      <c r="C2705" s="103"/>
      <c r="D2705" s="103"/>
      <c r="E2705" s="103"/>
      <c r="F2705" s="103"/>
      <c r="G2705" s="103"/>
      <c r="H2705" s="103"/>
      <c r="I2705" s="103"/>
      <c r="J2705" s="103"/>
      <c r="K2705" s="103"/>
      <c r="L2705" s="103"/>
      <c r="M2705" s="104"/>
      <c r="N2705" s="103"/>
    </row>
    <row r="2706" spans="1:14" ht="45" customHeight="1" thickBot="1" x14ac:dyDescent="0.4">
      <c r="A2706" s="103"/>
      <c r="B2706" s="103"/>
      <c r="C2706" s="103"/>
      <c r="D2706" s="103"/>
      <c r="E2706" s="103"/>
      <c r="F2706" s="103"/>
      <c r="G2706" s="103"/>
      <c r="H2706" s="103"/>
      <c r="I2706" s="103"/>
      <c r="J2706" s="103"/>
      <c r="K2706" s="103"/>
      <c r="L2706" s="103"/>
      <c r="M2706" s="104"/>
      <c r="N2706" s="103"/>
    </row>
    <row r="2707" spans="1:14" ht="45" customHeight="1" thickBot="1" x14ac:dyDescent="0.4">
      <c r="A2707" s="103"/>
      <c r="B2707" s="103"/>
      <c r="C2707" s="103"/>
      <c r="D2707" s="103"/>
      <c r="E2707" s="103"/>
      <c r="F2707" s="103"/>
      <c r="G2707" s="103"/>
      <c r="H2707" s="103"/>
      <c r="I2707" s="103"/>
      <c r="J2707" s="103"/>
      <c r="K2707" s="103"/>
      <c r="L2707" s="103"/>
      <c r="M2707" s="104"/>
      <c r="N2707" s="103"/>
    </row>
    <row r="2708" spans="1:14" ht="45" customHeight="1" thickBot="1" x14ac:dyDescent="0.4">
      <c r="A2708" s="103"/>
      <c r="B2708" s="103"/>
      <c r="C2708" s="103"/>
      <c r="D2708" s="103"/>
      <c r="E2708" s="103"/>
      <c r="F2708" s="103"/>
      <c r="G2708" s="103"/>
      <c r="H2708" s="103"/>
      <c r="I2708" s="103"/>
      <c r="J2708" s="103"/>
      <c r="K2708" s="103"/>
      <c r="L2708" s="103"/>
      <c r="M2708" s="104"/>
      <c r="N2708" s="103"/>
    </row>
    <row r="2709" spans="1:14" ht="45" customHeight="1" thickBot="1" x14ac:dyDescent="0.4">
      <c r="A2709" s="103"/>
      <c r="B2709" s="103"/>
      <c r="C2709" s="103"/>
      <c r="D2709" s="103"/>
      <c r="E2709" s="103"/>
      <c r="F2709" s="103"/>
      <c r="G2709" s="103"/>
      <c r="H2709" s="103"/>
      <c r="I2709" s="103"/>
      <c r="J2709" s="103"/>
      <c r="K2709" s="103"/>
      <c r="L2709" s="103"/>
      <c r="M2709" s="104"/>
      <c r="N2709" s="103"/>
    </row>
    <row r="2710" spans="1:14" ht="45" customHeight="1" thickBot="1" x14ac:dyDescent="0.4">
      <c r="A2710" s="103"/>
      <c r="B2710" s="103"/>
      <c r="C2710" s="103"/>
      <c r="D2710" s="103"/>
      <c r="E2710" s="103"/>
      <c r="F2710" s="103"/>
      <c r="G2710" s="103"/>
      <c r="H2710" s="103"/>
      <c r="I2710" s="103"/>
      <c r="J2710" s="103"/>
      <c r="K2710" s="103"/>
      <c r="L2710" s="103"/>
      <c r="M2710" s="104"/>
      <c r="N2710" s="103"/>
    </row>
    <row r="2711" spans="1:14" ht="45" customHeight="1" thickBot="1" x14ac:dyDescent="0.4">
      <c r="A2711" s="103"/>
      <c r="B2711" s="103"/>
      <c r="C2711" s="103"/>
      <c r="D2711" s="103"/>
      <c r="E2711" s="103"/>
      <c r="F2711" s="103"/>
      <c r="G2711" s="103"/>
      <c r="H2711" s="103"/>
      <c r="I2711" s="103"/>
      <c r="J2711" s="103"/>
      <c r="K2711" s="103"/>
      <c r="L2711" s="103"/>
      <c r="M2711" s="104"/>
      <c r="N2711" s="103"/>
    </row>
    <row r="2712" spans="1:14" ht="45" customHeight="1" thickBot="1" x14ac:dyDescent="0.4">
      <c r="A2712" s="103"/>
      <c r="B2712" s="103"/>
      <c r="C2712" s="103"/>
      <c r="D2712" s="103"/>
      <c r="E2712" s="103"/>
      <c r="F2712" s="103"/>
      <c r="G2712" s="103"/>
      <c r="H2712" s="103"/>
      <c r="I2712" s="103"/>
      <c r="J2712" s="103"/>
      <c r="K2712" s="103"/>
      <c r="L2712" s="103"/>
      <c r="M2712" s="104"/>
      <c r="N2712" s="103"/>
    </row>
    <row r="2713" spans="1:14" ht="45" customHeight="1" thickBot="1" x14ac:dyDescent="0.4">
      <c r="A2713" s="103"/>
      <c r="B2713" s="103"/>
      <c r="C2713" s="103"/>
      <c r="D2713" s="103"/>
      <c r="E2713" s="103"/>
      <c r="F2713" s="103"/>
      <c r="G2713" s="103"/>
      <c r="H2713" s="103"/>
      <c r="I2713" s="103"/>
      <c r="J2713" s="103"/>
      <c r="K2713" s="103"/>
      <c r="L2713" s="103"/>
      <c r="M2713" s="104"/>
      <c r="N2713" s="103"/>
    </row>
    <row r="2714" spans="1:14" ht="45" customHeight="1" thickBot="1" x14ac:dyDescent="0.4">
      <c r="A2714" s="103"/>
      <c r="B2714" s="103"/>
      <c r="C2714" s="103"/>
      <c r="D2714" s="103"/>
      <c r="E2714" s="103"/>
      <c r="F2714" s="103"/>
      <c r="G2714" s="103"/>
      <c r="H2714" s="103"/>
      <c r="I2714" s="103"/>
      <c r="J2714" s="103"/>
      <c r="K2714" s="103"/>
      <c r="L2714" s="103"/>
      <c r="M2714" s="104"/>
      <c r="N2714" s="103"/>
    </row>
    <row r="2715" spans="1:14" ht="45" customHeight="1" thickBot="1" x14ac:dyDescent="0.4">
      <c r="A2715" s="103"/>
      <c r="B2715" s="103"/>
      <c r="C2715" s="103"/>
      <c r="D2715" s="103"/>
      <c r="E2715" s="103"/>
      <c r="F2715" s="103"/>
      <c r="G2715" s="103"/>
      <c r="H2715" s="103"/>
      <c r="I2715" s="103"/>
      <c r="J2715" s="103"/>
      <c r="K2715" s="103"/>
      <c r="L2715" s="103"/>
      <c r="M2715" s="104"/>
      <c r="N2715" s="103"/>
    </row>
    <row r="2716" spans="1:14" ht="45" customHeight="1" thickBot="1" x14ac:dyDescent="0.4">
      <c r="A2716" s="103"/>
      <c r="B2716" s="103"/>
      <c r="C2716" s="103"/>
      <c r="D2716" s="103"/>
      <c r="E2716" s="103"/>
      <c r="F2716" s="103"/>
      <c r="G2716" s="103"/>
      <c r="H2716" s="103"/>
      <c r="I2716" s="103"/>
      <c r="J2716" s="103"/>
      <c r="K2716" s="103"/>
      <c r="L2716" s="103"/>
      <c r="M2716" s="104"/>
      <c r="N2716" s="103"/>
    </row>
    <row r="2717" spans="1:14" ht="45" customHeight="1" thickBot="1" x14ac:dyDescent="0.4">
      <c r="A2717" s="103"/>
      <c r="B2717" s="103"/>
      <c r="C2717" s="103"/>
      <c r="D2717" s="103"/>
      <c r="E2717" s="103"/>
      <c r="F2717" s="103"/>
      <c r="G2717" s="103"/>
      <c r="H2717" s="103"/>
      <c r="I2717" s="103"/>
      <c r="J2717" s="103"/>
      <c r="K2717" s="103"/>
      <c r="L2717" s="103"/>
      <c r="M2717" s="104"/>
      <c r="N2717" s="103"/>
    </row>
    <row r="2718" spans="1:14" ht="45" customHeight="1" thickBot="1" x14ac:dyDescent="0.4">
      <c r="A2718" s="103"/>
      <c r="B2718" s="103"/>
      <c r="C2718" s="103"/>
      <c r="D2718" s="103"/>
      <c r="E2718" s="103"/>
      <c r="F2718" s="103"/>
      <c r="G2718" s="103"/>
      <c r="H2718" s="103"/>
      <c r="I2718" s="103"/>
      <c r="J2718" s="103"/>
      <c r="K2718" s="103"/>
      <c r="L2718" s="103"/>
      <c r="M2718" s="104"/>
      <c r="N2718" s="103"/>
    </row>
    <row r="2719" spans="1:14" ht="45" customHeight="1" thickBot="1" x14ac:dyDescent="0.4">
      <c r="A2719" s="103"/>
      <c r="B2719" s="103"/>
      <c r="C2719" s="103"/>
      <c r="D2719" s="103"/>
      <c r="E2719" s="103"/>
      <c r="F2719" s="103"/>
      <c r="G2719" s="103"/>
      <c r="H2719" s="103"/>
      <c r="I2719" s="103"/>
      <c r="J2719" s="103"/>
      <c r="K2719" s="103"/>
      <c r="L2719" s="103"/>
      <c r="M2719" s="104"/>
      <c r="N2719" s="103"/>
    </row>
    <row r="2720" spans="1:14" ht="45" customHeight="1" thickBot="1" x14ac:dyDescent="0.4">
      <c r="A2720" s="103"/>
      <c r="B2720" s="103"/>
      <c r="C2720" s="103"/>
      <c r="D2720" s="103"/>
      <c r="E2720" s="103"/>
      <c r="F2720" s="103"/>
      <c r="G2720" s="103"/>
      <c r="H2720" s="103"/>
      <c r="I2720" s="103"/>
      <c r="J2720" s="103"/>
      <c r="K2720" s="103"/>
      <c r="L2720" s="103"/>
      <c r="M2720" s="104"/>
      <c r="N2720" s="103"/>
    </row>
    <row r="2721" spans="1:14" ht="45" customHeight="1" thickBot="1" x14ac:dyDescent="0.4">
      <c r="A2721" s="103"/>
      <c r="B2721" s="103"/>
      <c r="C2721" s="103"/>
      <c r="D2721" s="103"/>
      <c r="E2721" s="103"/>
      <c r="F2721" s="103"/>
      <c r="G2721" s="103"/>
      <c r="H2721" s="103"/>
      <c r="I2721" s="103"/>
      <c r="J2721" s="103"/>
      <c r="K2721" s="103"/>
      <c r="L2721" s="103"/>
      <c r="M2721" s="104"/>
      <c r="N2721" s="103"/>
    </row>
    <row r="2722" spans="1:14" ht="45" customHeight="1" thickBot="1" x14ac:dyDescent="0.4">
      <c r="A2722" s="103"/>
      <c r="B2722" s="103"/>
      <c r="C2722" s="103"/>
      <c r="D2722" s="103"/>
      <c r="E2722" s="103"/>
      <c r="F2722" s="103"/>
      <c r="G2722" s="103"/>
      <c r="H2722" s="103"/>
      <c r="I2722" s="103"/>
      <c r="J2722" s="103"/>
      <c r="K2722" s="103"/>
      <c r="L2722" s="103"/>
      <c r="M2722" s="104"/>
      <c r="N2722" s="103"/>
    </row>
    <row r="2723" spans="1:14" ht="45" customHeight="1" thickBot="1" x14ac:dyDescent="0.4">
      <c r="A2723" s="103"/>
      <c r="B2723" s="103"/>
      <c r="C2723" s="103"/>
      <c r="D2723" s="103"/>
      <c r="E2723" s="103"/>
      <c r="F2723" s="103"/>
      <c r="G2723" s="103"/>
      <c r="H2723" s="103"/>
      <c r="I2723" s="103"/>
      <c r="J2723" s="103"/>
      <c r="K2723" s="103"/>
      <c r="L2723" s="103"/>
      <c r="M2723" s="104"/>
      <c r="N2723" s="103"/>
    </row>
    <row r="2724" spans="1:14" ht="45" customHeight="1" thickBot="1" x14ac:dyDescent="0.4">
      <c r="A2724" s="103"/>
      <c r="B2724" s="103"/>
      <c r="C2724" s="103"/>
      <c r="D2724" s="103"/>
      <c r="E2724" s="103"/>
      <c r="F2724" s="103"/>
      <c r="G2724" s="103"/>
      <c r="H2724" s="103"/>
      <c r="I2724" s="103"/>
      <c r="J2724" s="103"/>
      <c r="K2724" s="103"/>
      <c r="L2724" s="103"/>
      <c r="M2724" s="104"/>
      <c r="N2724" s="103"/>
    </row>
    <row r="2725" spans="1:14" ht="45" customHeight="1" thickBot="1" x14ac:dyDescent="0.4">
      <c r="A2725" s="103"/>
      <c r="B2725" s="103"/>
      <c r="C2725" s="103"/>
      <c r="D2725" s="103"/>
      <c r="E2725" s="103"/>
      <c r="F2725" s="103"/>
      <c r="G2725" s="103"/>
      <c r="H2725" s="103"/>
      <c r="I2725" s="103"/>
      <c r="J2725" s="103"/>
      <c r="K2725" s="103"/>
      <c r="L2725" s="103"/>
      <c r="M2725" s="104"/>
      <c r="N2725" s="103"/>
    </row>
    <row r="2726" spans="1:14" ht="45" customHeight="1" thickBot="1" x14ac:dyDescent="0.4">
      <c r="A2726" s="103"/>
      <c r="B2726" s="103"/>
      <c r="C2726" s="103"/>
      <c r="D2726" s="103"/>
      <c r="E2726" s="103"/>
      <c r="F2726" s="103"/>
      <c r="G2726" s="103"/>
      <c r="H2726" s="103"/>
      <c r="I2726" s="103"/>
      <c r="J2726" s="103"/>
      <c r="K2726" s="103"/>
      <c r="L2726" s="103"/>
      <c r="M2726" s="104"/>
      <c r="N2726" s="103"/>
    </row>
    <row r="2727" spans="1:14" ht="45" customHeight="1" thickBot="1" x14ac:dyDescent="0.4">
      <c r="A2727" s="103"/>
      <c r="B2727" s="103"/>
      <c r="C2727" s="103"/>
      <c r="D2727" s="103"/>
      <c r="E2727" s="103"/>
      <c r="F2727" s="103"/>
      <c r="G2727" s="103"/>
      <c r="H2727" s="103"/>
      <c r="I2727" s="103"/>
      <c r="J2727" s="103"/>
      <c r="K2727" s="103"/>
      <c r="L2727" s="103"/>
      <c r="M2727" s="104"/>
      <c r="N2727" s="103"/>
    </row>
    <row r="2728" spans="1:14" ht="45" customHeight="1" thickBot="1" x14ac:dyDescent="0.4">
      <c r="A2728" s="103"/>
      <c r="B2728" s="103"/>
      <c r="C2728" s="103"/>
      <c r="D2728" s="103"/>
      <c r="E2728" s="103"/>
      <c r="F2728" s="103"/>
      <c r="G2728" s="103"/>
      <c r="H2728" s="103"/>
      <c r="I2728" s="103"/>
      <c r="J2728" s="103"/>
      <c r="K2728" s="103"/>
      <c r="L2728" s="103"/>
      <c r="M2728" s="104"/>
      <c r="N2728" s="103"/>
    </row>
    <row r="2729" spans="1:14" ht="45" customHeight="1" thickBot="1" x14ac:dyDescent="0.4">
      <c r="A2729" s="103"/>
      <c r="B2729" s="103"/>
      <c r="C2729" s="103"/>
      <c r="D2729" s="103"/>
      <c r="E2729" s="103"/>
      <c r="F2729" s="103"/>
      <c r="G2729" s="103"/>
      <c r="H2729" s="103"/>
      <c r="I2729" s="103"/>
      <c r="J2729" s="103"/>
      <c r="K2729" s="103"/>
      <c r="L2729" s="103"/>
      <c r="M2729" s="104"/>
      <c r="N2729" s="103"/>
    </row>
    <row r="2730" spans="1:14" ht="45" customHeight="1" thickBot="1" x14ac:dyDescent="0.4">
      <c r="A2730" s="103"/>
      <c r="B2730" s="103"/>
      <c r="C2730" s="103"/>
      <c r="D2730" s="103"/>
      <c r="E2730" s="103"/>
      <c r="F2730" s="103"/>
      <c r="G2730" s="103"/>
      <c r="H2730" s="103"/>
      <c r="I2730" s="103"/>
      <c r="J2730" s="103"/>
      <c r="K2730" s="103"/>
      <c r="L2730" s="103"/>
      <c r="M2730" s="104"/>
      <c r="N2730" s="103"/>
    </row>
    <row r="2731" spans="1:14" ht="45" customHeight="1" thickBot="1" x14ac:dyDescent="0.4">
      <c r="A2731" s="103"/>
      <c r="B2731" s="103"/>
      <c r="C2731" s="103"/>
      <c r="D2731" s="103"/>
      <c r="E2731" s="103"/>
      <c r="F2731" s="103"/>
      <c r="G2731" s="103"/>
      <c r="H2731" s="103"/>
      <c r="I2731" s="103"/>
      <c r="J2731" s="103"/>
      <c r="K2731" s="103"/>
      <c r="L2731" s="103"/>
      <c r="M2731" s="104"/>
      <c r="N2731" s="103"/>
    </row>
    <row r="2732" spans="1:14" ht="45" customHeight="1" thickBot="1" x14ac:dyDescent="0.4">
      <c r="A2732" s="103"/>
      <c r="B2732" s="103"/>
      <c r="C2732" s="103"/>
      <c r="D2732" s="103"/>
      <c r="E2732" s="103"/>
      <c r="F2732" s="103"/>
      <c r="G2732" s="103"/>
      <c r="H2732" s="103"/>
      <c r="I2732" s="103"/>
      <c r="J2732" s="103"/>
      <c r="K2732" s="103"/>
      <c r="L2732" s="103"/>
      <c r="M2732" s="104"/>
      <c r="N2732" s="103"/>
    </row>
    <row r="2733" spans="1:14" ht="45" customHeight="1" thickBot="1" x14ac:dyDescent="0.4">
      <c r="A2733" s="103"/>
      <c r="B2733" s="103"/>
      <c r="C2733" s="103"/>
      <c r="D2733" s="103"/>
      <c r="E2733" s="103"/>
      <c r="F2733" s="103"/>
      <c r="G2733" s="103"/>
      <c r="H2733" s="103"/>
      <c r="I2733" s="103"/>
      <c r="J2733" s="103"/>
      <c r="K2733" s="103"/>
      <c r="L2733" s="103"/>
      <c r="M2733" s="104"/>
      <c r="N2733" s="103"/>
    </row>
    <row r="2734" spans="1:14" ht="45" customHeight="1" thickBot="1" x14ac:dyDescent="0.4">
      <c r="A2734" s="103"/>
      <c r="B2734" s="103"/>
      <c r="C2734" s="103"/>
      <c r="D2734" s="103"/>
      <c r="E2734" s="103"/>
      <c r="F2734" s="103"/>
      <c r="G2734" s="103"/>
      <c r="H2734" s="103"/>
      <c r="I2734" s="103"/>
      <c r="J2734" s="103"/>
      <c r="K2734" s="103"/>
      <c r="L2734" s="103"/>
      <c r="M2734" s="104"/>
      <c r="N2734" s="103"/>
    </row>
    <row r="2735" spans="1:14" ht="45" customHeight="1" thickBot="1" x14ac:dyDescent="0.4">
      <c r="A2735" s="103"/>
      <c r="B2735" s="103"/>
      <c r="C2735" s="103"/>
      <c r="D2735" s="103"/>
      <c r="E2735" s="103"/>
      <c r="F2735" s="103"/>
      <c r="G2735" s="103"/>
      <c r="H2735" s="103"/>
      <c r="I2735" s="103"/>
      <c r="J2735" s="103"/>
      <c r="K2735" s="103"/>
      <c r="L2735" s="103"/>
      <c r="M2735" s="104"/>
      <c r="N2735" s="103"/>
    </row>
    <row r="2736" spans="1:14" ht="45" customHeight="1" thickBot="1" x14ac:dyDescent="0.4">
      <c r="A2736" s="103"/>
      <c r="B2736" s="103"/>
      <c r="C2736" s="103"/>
      <c r="D2736" s="103"/>
      <c r="E2736" s="103"/>
      <c r="F2736" s="103"/>
      <c r="G2736" s="103"/>
      <c r="H2736" s="103"/>
      <c r="I2736" s="103"/>
      <c r="J2736" s="103"/>
      <c r="K2736" s="103"/>
      <c r="L2736" s="103"/>
      <c r="M2736" s="104"/>
      <c r="N2736" s="103"/>
    </row>
    <row r="2737" spans="1:14" ht="45" customHeight="1" thickBot="1" x14ac:dyDescent="0.4">
      <c r="A2737" s="103"/>
      <c r="B2737" s="103"/>
      <c r="C2737" s="103"/>
      <c r="D2737" s="103"/>
      <c r="E2737" s="103"/>
      <c r="F2737" s="103"/>
      <c r="G2737" s="103"/>
      <c r="H2737" s="103"/>
      <c r="I2737" s="103"/>
      <c r="J2737" s="103"/>
      <c r="K2737" s="103"/>
      <c r="L2737" s="103"/>
      <c r="M2737" s="104"/>
      <c r="N2737" s="103"/>
    </row>
    <row r="2738" spans="1:14" ht="45" customHeight="1" thickBot="1" x14ac:dyDescent="0.4">
      <c r="A2738" s="103"/>
      <c r="B2738" s="103"/>
      <c r="C2738" s="103"/>
      <c r="D2738" s="103"/>
      <c r="E2738" s="103"/>
      <c r="F2738" s="103"/>
      <c r="G2738" s="103"/>
      <c r="H2738" s="103"/>
      <c r="I2738" s="103"/>
      <c r="J2738" s="103"/>
      <c r="K2738" s="103"/>
      <c r="L2738" s="103"/>
      <c r="M2738" s="104"/>
      <c r="N2738" s="103"/>
    </row>
    <row r="2739" spans="1:14" ht="45" customHeight="1" thickBot="1" x14ac:dyDescent="0.4">
      <c r="A2739" s="103"/>
      <c r="B2739" s="103"/>
      <c r="C2739" s="103"/>
      <c r="D2739" s="103"/>
      <c r="E2739" s="103"/>
      <c r="F2739" s="103"/>
      <c r="G2739" s="103"/>
      <c r="H2739" s="103"/>
      <c r="I2739" s="103"/>
      <c r="J2739" s="103"/>
      <c r="K2739" s="103"/>
      <c r="L2739" s="103"/>
      <c r="M2739" s="104"/>
      <c r="N2739" s="103"/>
    </row>
    <row r="2740" spans="1:14" ht="45" customHeight="1" thickBot="1" x14ac:dyDescent="0.4">
      <c r="A2740" s="103"/>
      <c r="B2740" s="103"/>
      <c r="C2740" s="103"/>
      <c r="D2740" s="103"/>
      <c r="E2740" s="103"/>
      <c r="F2740" s="103"/>
      <c r="G2740" s="103"/>
      <c r="H2740" s="103"/>
      <c r="I2740" s="103"/>
      <c r="J2740" s="103"/>
      <c r="K2740" s="103"/>
      <c r="L2740" s="103"/>
      <c r="M2740" s="104"/>
      <c r="N2740" s="103"/>
    </row>
    <row r="2741" spans="1:14" ht="45" customHeight="1" thickBot="1" x14ac:dyDescent="0.4">
      <c r="A2741" s="103"/>
      <c r="B2741" s="103"/>
      <c r="C2741" s="103"/>
      <c r="D2741" s="103"/>
      <c r="E2741" s="103"/>
      <c r="F2741" s="103"/>
      <c r="G2741" s="103"/>
      <c r="H2741" s="103"/>
      <c r="I2741" s="103"/>
      <c r="J2741" s="103"/>
      <c r="K2741" s="103"/>
      <c r="L2741" s="103"/>
      <c r="M2741" s="104"/>
      <c r="N2741" s="103"/>
    </row>
    <row r="2742" spans="1:14" ht="45" customHeight="1" thickBot="1" x14ac:dyDescent="0.4">
      <c r="A2742" s="103"/>
      <c r="B2742" s="103"/>
      <c r="C2742" s="103"/>
      <c r="D2742" s="103"/>
      <c r="E2742" s="103"/>
      <c r="F2742" s="103"/>
      <c r="G2742" s="103"/>
      <c r="H2742" s="103"/>
      <c r="I2742" s="103"/>
      <c r="J2742" s="103"/>
      <c r="K2742" s="103"/>
      <c r="L2742" s="103"/>
      <c r="M2742" s="104"/>
      <c r="N2742" s="103"/>
    </row>
    <row r="2743" spans="1:14" ht="45" customHeight="1" thickBot="1" x14ac:dyDescent="0.4">
      <c r="A2743" s="103"/>
      <c r="B2743" s="103"/>
      <c r="C2743" s="103"/>
      <c r="D2743" s="103"/>
      <c r="E2743" s="103"/>
      <c r="F2743" s="103"/>
      <c r="G2743" s="103"/>
      <c r="H2743" s="103"/>
      <c r="I2743" s="103"/>
      <c r="J2743" s="103"/>
      <c r="K2743" s="103"/>
      <c r="L2743" s="103"/>
      <c r="M2743" s="104"/>
      <c r="N2743" s="103"/>
    </row>
    <row r="2744" spans="1:14" ht="45" customHeight="1" thickBot="1" x14ac:dyDescent="0.4">
      <c r="A2744" s="103"/>
      <c r="B2744" s="103"/>
      <c r="C2744" s="103"/>
      <c r="D2744" s="103"/>
      <c r="E2744" s="103"/>
      <c r="F2744" s="103"/>
      <c r="G2744" s="103"/>
      <c r="H2744" s="103"/>
      <c r="I2744" s="103"/>
      <c r="J2744" s="103"/>
      <c r="K2744" s="103"/>
      <c r="L2744" s="103"/>
      <c r="M2744" s="104"/>
      <c r="N2744" s="103"/>
    </row>
    <row r="2745" spans="1:14" ht="45" customHeight="1" thickBot="1" x14ac:dyDescent="0.4">
      <c r="A2745" s="103"/>
      <c r="B2745" s="103"/>
      <c r="C2745" s="103"/>
      <c r="D2745" s="103"/>
      <c r="E2745" s="103"/>
      <c r="F2745" s="103"/>
      <c r="G2745" s="103"/>
      <c r="H2745" s="103"/>
      <c r="I2745" s="103"/>
      <c r="J2745" s="103"/>
      <c r="K2745" s="103"/>
      <c r="L2745" s="103"/>
      <c r="M2745" s="104"/>
      <c r="N2745" s="103"/>
    </row>
    <row r="2746" spans="1:14" ht="45" customHeight="1" thickBot="1" x14ac:dyDescent="0.4">
      <c r="A2746" s="103"/>
      <c r="B2746" s="103"/>
      <c r="C2746" s="103"/>
      <c r="D2746" s="103"/>
      <c r="E2746" s="103"/>
      <c r="F2746" s="103"/>
      <c r="G2746" s="103"/>
      <c r="H2746" s="103"/>
      <c r="I2746" s="103"/>
      <c r="J2746" s="103"/>
      <c r="K2746" s="103"/>
      <c r="L2746" s="103"/>
      <c r="M2746" s="104"/>
      <c r="N2746" s="103"/>
    </row>
    <row r="2747" spans="1:14" ht="45" customHeight="1" thickBot="1" x14ac:dyDescent="0.4">
      <c r="A2747" s="103"/>
      <c r="B2747" s="103"/>
      <c r="C2747" s="103"/>
      <c r="D2747" s="103"/>
      <c r="E2747" s="103"/>
      <c r="F2747" s="103"/>
      <c r="G2747" s="103"/>
      <c r="H2747" s="103"/>
      <c r="I2747" s="103"/>
      <c r="J2747" s="103"/>
      <c r="K2747" s="103"/>
      <c r="L2747" s="103"/>
      <c r="M2747" s="104"/>
      <c r="N2747" s="103"/>
    </row>
    <row r="2748" spans="1:14" ht="45" customHeight="1" thickBot="1" x14ac:dyDescent="0.4">
      <c r="A2748" s="103"/>
      <c r="B2748" s="103"/>
      <c r="C2748" s="103"/>
      <c r="D2748" s="103"/>
      <c r="E2748" s="103"/>
      <c r="F2748" s="103"/>
      <c r="G2748" s="103"/>
      <c r="H2748" s="103"/>
      <c r="I2748" s="103"/>
      <c r="J2748" s="103"/>
      <c r="K2748" s="103"/>
      <c r="L2748" s="103"/>
      <c r="M2748" s="104"/>
      <c r="N2748" s="103"/>
    </row>
    <row r="2749" spans="1:14" ht="45" customHeight="1" thickBot="1" x14ac:dyDescent="0.4">
      <c r="A2749" s="103"/>
      <c r="B2749" s="103"/>
      <c r="C2749" s="103"/>
      <c r="D2749" s="103"/>
      <c r="E2749" s="103"/>
      <c r="F2749" s="103"/>
      <c r="G2749" s="103"/>
      <c r="H2749" s="103"/>
      <c r="I2749" s="103"/>
      <c r="J2749" s="103"/>
      <c r="K2749" s="103"/>
      <c r="L2749" s="103"/>
      <c r="M2749" s="104"/>
      <c r="N2749" s="103"/>
    </row>
    <row r="2750" spans="1:14" ht="45" customHeight="1" thickBot="1" x14ac:dyDescent="0.4">
      <c r="A2750" s="103"/>
      <c r="B2750" s="103"/>
      <c r="C2750" s="103"/>
      <c r="D2750" s="103"/>
      <c r="E2750" s="103"/>
      <c r="F2750" s="103"/>
      <c r="G2750" s="103"/>
      <c r="H2750" s="103"/>
      <c r="I2750" s="103"/>
      <c r="J2750" s="103"/>
      <c r="K2750" s="103"/>
      <c r="L2750" s="103"/>
      <c r="M2750" s="104"/>
      <c r="N2750" s="103"/>
    </row>
    <row r="2751" spans="1:14" ht="45" customHeight="1" thickBot="1" x14ac:dyDescent="0.4">
      <c r="A2751" s="103"/>
      <c r="B2751" s="103"/>
      <c r="C2751" s="103"/>
      <c r="D2751" s="103"/>
      <c r="E2751" s="103"/>
      <c r="F2751" s="103"/>
      <c r="G2751" s="103"/>
      <c r="H2751" s="103"/>
      <c r="I2751" s="103"/>
      <c r="J2751" s="103"/>
      <c r="K2751" s="103"/>
      <c r="L2751" s="103"/>
      <c r="M2751" s="104"/>
      <c r="N2751" s="103"/>
    </row>
    <row r="2752" spans="1:14" ht="45" customHeight="1" thickBot="1" x14ac:dyDescent="0.4">
      <c r="A2752" s="103"/>
      <c r="B2752" s="103"/>
      <c r="C2752" s="103"/>
      <c r="D2752" s="103"/>
      <c r="E2752" s="103"/>
      <c r="F2752" s="103"/>
      <c r="G2752" s="103"/>
      <c r="H2752" s="103"/>
      <c r="I2752" s="103"/>
      <c r="J2752" s="103"/>
      <c r="K2752" s="103"/>
      <c r="L2752" s="103"/>
      <c r="M2752" s="104"/>
      <c r="N2752" s="103"/>
    </row>
    <row r="2753" spans="1:14" ht="45" customHeight="1" thickBot="1" x14ac:dyDescent="0.4">
      <c r="A2753" s="103"/>
      <c r="B2753" s="103"/>
      <c r="C2753" s="103"/>
      <c r="D2753" s="103"/>
      <c r="E2753" s="103"/>
      <c r="F2753" s="103"/>
      <c r="G2753" s="103"/>
      <c r="H2753" s="103"/>
      <c r="I2753" s="103"/>
      <c r="J2753" s="103"/>
      <c r="K2753" s="103"/>
      <c r="L2753" s="103"/>
      <c r="M2753" s="104"/>
      <c r="N2753" s="103"/>
    </row>
    <row r="2754" spans="1:14" ht="45" customHeight="1" thickBot="1" x14ac:dyDescent="0.4">
      <c r="A2754" s="103"/>
      <c r="B2754" s="103"/>
      <c r="C2754" s="103"/>
      <c r="D2754" s="103"/>
      <c r="E2754" s="103"/>
      <c r="F2754" s="103"/>
      <c r="G2754" s="103"/>
      <c r="H2754" s="103"/>
      <c r="I2754" s="103"/>
      <c r="J2754" s="103"/>
      <c r="K2754" s="103"/>
      <c r="L2754" s="103"/>
      <c r="M2754" s="104"/>
      <c r="N2754" s="103"/>
    </row>
    <row r="2755" spans="1:14" ht="45" customHeight="1" thickBot="1" x14ac:dyDescent="0.4">
      <c r="A2755" s="103"/>
      <c r="B2755" s="103"/>
      <c r="C2755" s="103"/>
      <c r="D2755" s="103"/>
      <c r="E2755" s="103"/>
      <c r="F2755" s="103"/>
      <c r="G2755" s="103"/>
      <c r="H2755" s="103"/>
      <c r="I2755" s="103"/>
      <c r="J2755" s="103"/>
      <c r="K2755" s="103"/>
      <c r="L2755" s="103"/>
      <c r="M2755" s="104"/>
      <c r="N2755" s="103"/>
    </row>
    <row r="2756" spans="1:14" ht="45" customHeight="1" thickBot="1" x14ac:dyDescent="0.4">
      <c r="A2756" s="103"/>
      <c r="B2756" s="103"/>
      <c r="C2756" s="103"/>
      <c r="D2756" s="103"/>
      <c r="E2756" s="103"/>
      <c r="F2756" s="103"/>
      <c r="G2756" s="103"/>
      <c r="H2756" s="103"/>
      <c r="I2756" s="103"/>
      <c r="J2756" s="103"/>
      <c r="K2756" s="103"/>
      <c r="L2756" s="103"/>
      <c r="M2756" s="104"/>
      <c r="N2756" s="103"/>
    </row>
    <row r="2757" spans="1:14" ht="45" customHeight="1" thickBot="1" x14ac:dyDescent="0.4">
      <c r="A2757" s="103"/>
      <c r="B2757" s="103"/>
      <c r="C2757" s="103"/>
      <c r="D2757" s="103"/>
      <c r="E2757" s="103"/>
      <c r="F2757" s="103"/>
      <c r="G2757" s="103"/>
      <c r="H2757" s="103"/>
      <c r="I2757" s="103"/>
      <c r="J2757" s="103"/>
      <c r="K2757" s="103"/>
      <c r="L2757" s="103"/>
      <c r="M2757" s="104"/>
      <c r="N2757" s="103"/>
    </row>
    <row r="2758" spans="1:14" ht="45" customHeight="1" thickBot="1" x14ac:dyDescent="0.4">
      <c r="A2758" s="103"/>
      <c r="B2758" s="103"/>
      <c r="C2758" s="103"/>
      <c r="D2758" s="103"/>
      <c r="E2758" s="103"/>
      <c r="F2758" s="103"/>
      <c r="G2758" s="103"/>
      <c r="H2758" s="103"/>
      <c r="I2758" s="103"/>
      <c r="J2758" s="103"/>
      <c r="K2758" s="103"/>
      <c r="L2758" s="103"/>
      <c r="M2758" s="104"/>
      <c r="N2758" s="103"/>
    </row>
    <row r="2759" spans="1:14" ht="45" customHeight="1" thickBot="1" x14ac:dyDescent="0.4">
      <c r="A2759" s="103"/>
      <c r="B2759" s="103"/>
      <c r="C2759" s="103"/>
      <c r="D2759" s="103"/>
      <c r="E2759" s="103"/>
      <c r="F2759" s="103"/>
      <c r="G2759" s="103"/>
      <c r="H2759" s="103"/>
      <c r="I2759" s="103"/>
      <c r="J2759" s="103"/>
      <c r="K2759" s="103"/>
      <c r="L2759" s="103"/>
      <c r="M2759" s="104"/>
      <c r="N2759" s="103"/>
    </row>
    <row r="2760" spans="1:14" ht="45" customHeight="1" thickBot="1" x14ac:dyDescent="0.4">
      <c r="A2760" s="103"/>
      <c r="B2760" s="103"/>
      <c r="C2760" s="103"/>
      <c r="D2760" s="103"/>
      <c r="E2760" s="103"/>
      <c r="F2760" s="103"/>
      <c r="G2760" s="103"/>
      <c r="H2760" s="103"/>
      <c r="I2760" s="103"/>
      <c r="J2760" s="103"/>
      <c r="K2760" s="103"/>
      <c r="L2760" s="103"/>
      <c r="M2760" s="104"/>
      <c r="N2760" s="103"/>
    </row>
    <row r="2761" spans="1:14" ht="45" customHeight="1" thickBot="1" x14ac:dyDescent="0.4">
      <c r="A2761" s="103"/>
      <c r="B2761" s="103"/>
      <c r="C2761" s="103"/>
      <c r="D2761" s="103"/>
      <c r="E2761" s="103"/>
      <c r="F2761" s="103"/>
      <c r="G2761" s="103"/>
      <c r="H2761" s="103"/>
      <c r="I2761" s="103"/>
      <c r="J2761" s="103"/>
      <c r="K2761" s="103"/>
      <c r="L2761" s="103"/>
      <c r="M2761" s="104"/>
      <c r="N2761" s="103"/>
    </row>
    <row r="2762" spans="1:14" ht="45" customHeight="1" thickBot="1" x14ac:dyDescent="0.4">
      <c r="A2762" s="103"/>
      <c r="B2762" s="103"/>
      <c r="C2762" s="103"/>
      <c r="D2762" s="103"/>
      <c r="E2762" s="103"/>
      <c r="F2762" s="103"/>
      <c r="G2762" s="103"/>
      <c r="H2762" s="103"/>
      <c r="I2762" s="103"/>
      <c r="J2762" s="103"/>
      <c r="K2762" s="103"/>
      <c r="L2762" s="103"/>
      <c r="M2762" s="104"/>
      <c r="N2762" s="103"/>
    </row>
    <row r="2763" spans="1:14" ht="45" customHeight="1" thickBot="1" x14ac:dyDescent="0.4">
      <c r="A2763" s="103"/>
      <c r="B2763" s="103"/>
      <c r="C2763" s="103"/>
      <c r="D2763" s="103"/>
      <c r="E2763" s="103"/>
      <c r="F2763" s="103"/>
      <c r="G2763" s="103"/>
      <c r="H2763" s="103"/>
      <c r="I2763" s="103"/>
      <c r="J2763" s="103"/>
      <c r="K2763" s="103"/>
      <c r="L2763" s="103"/>
      <c r="M2763" s="104"/>
      <c r="N2763" s="103"/>
    </row>
    <row r="2764" spans="1:14" ht="45" customHeight="1" thickBot="1" x14ac:dyDescent="0.4">
      <c r="A2764" s="103"/>
      <c r="B2764" s="103"/>
      <c r="C2764" s="103"/>
      <c r="D2764" s="103"/>
      <c r="E2764" s="103"/>
      <c r="F2764" s="103"/>
      <c r="G2764" s="103"/>
      <c r="H2764" s="103"/>
      <c r="I2764" s="103"/>
      <c r="J2764" s="103"/>
      <c r="K2764" s="103"/>
      <c r="L2764" s="103"/>
      <c r="M2764" s="104"/>
      <c r="N2764" s="103"/>
    </row>
    <row r="2765" spans="1:14" ht="45" customHeight="1" thickBot="1" x14ac:dyDescent="0.4">
      <c r="A2765" s="103"/>
      <c r="B2765" s="103"/>
      <c r="C2765" s="103"/>
      <c r="D2765" s="103"/>
      <c r="E2765" s="103"/>
      <c r="F2765" s="103"/>
      <c r="G2765" s="103"/>
      <c r="H2765" s="103"/>
      <c r="I2765" s="103"/>
      <c r="J2765" s="103"/>
      <c r="K2765" s="103"/>
      <c r="L2765" s="103"/>
      <c r="M2765" s="104"/>
      <c r="N2765" s="103"/>
    </row>
    <row r="2766" spans="1:14" ht="45" customHeight="1" thickBot="1" x14ac:dyDescent="0.4">
      <c r="A2766" s="103"/>
      <c r="B2766" s="103"/>
      <c r="C2766" s="103"/>
      <c r="D2766" s="103"/>
      <c r="E2766" s="103"/>
      <c r="F2766" s="103"/>
      <c r="G2766" s="103"/>
      <c r="H2766" s="103"/>
      <c r="I2766" s="103"/>
      <c r="J2766" s="103"/>
      <c r="K2766" s="103"/>
      <c r="L2766" s="103"/>
      <c r="M2766" s="104"/>
      <c r="N2766" s="103"/>
    </row>
    <row r="2767" spans="1:14" ht="45" customHeight="1" thickBot="1" x14ac:dyDescent="0.4">
      <c r="A2767" s="103"/>
      <c r="B2767" s="103"/>
      <c r="C2767" s="103"/>
      <c r="D2767" s="103"/>
      <c r="E2767" s="103"/>
      <c r="F2767" s="103"/>
      <c r="G2767" s="103"/>
      <c r="H2767" s="103"/>
      <c r="I2767" s="103"/>
      <c r="J2767" s="103"/>
      <c r="K2767" s="103"/>
      <c r="L2767" s="103"/>
      <c r="M2767" s="104"/>
      <c r="N2767" s="103"/>
    </row>
    <row r="2768" spans="1:14" ht="45" customHeight="1" thickBot="1" x14ac:dyDescent="0.4">
      <c r="A2768" s="103"/>
      <c r="B2768" s="103"/>
      <c r="C2768" s="103"/>
      <c r="D2768" s="103"/>
      <c r="E2768" s="103"/>
      <c r="F2768" s="103"/>
      <c r="G2768" s="103"/>
      <c r="H2768" s="103"/>
      <c r="I2768" s="103"/>
      <c r="J2768" s="103"/>
      <c r="K2768" s="103"/>
      <c r="L2768" s="103"/>
      <c r="M2768" s="104"/>
      <c r="N2768" s="103"/>
    </row>
    <row r="2769" spans="1:14" ht="45" customHeight="1" thickBot="1" x14ac:dyDescent="0.4">
      <c r="A2769" s="103"/>
      <c r="B2769" s="103"/>
      <c r="C2769" s="103"/>
      <c r="D2769" s="103"/>
      <c r="E2769" s="103"/>
      <c r="F2769" s="103"/>
      <c r="G2769" s="103"/>
      <c r="H2769" s="103"/>
      <c r="I2769" s="103"/>
      <c r="J2769" s="103"/>
      <c r="K2769" s="103"/>
      <c r="L2769" s="103"/>
      <c r="M2769" s="104"/>
      <c r="N2769" s="103"/>
    </row>
    <row r="2770" spans="1:14" ht="45" customHeight="1" thickBot="1" x14ac:dyDescent="0.4">
      <c r="A2770" s="103"/>
      <c r="B2770" s="103"/>
      <c r="C2770" s="103"/>
      <c r="D2770" s="103"/>
      <c r="E2770" s="103"/>
      <c r="F2770" s="103"/>
      <c r="G2770" s="103"/>
      <c r="H2770" s="103"/>
      <c r="I2770" s="103"/>
      <c r="J2770" s="103"/>
      <c r="K2770" s="103"/>
      <c r="L2770" s="103"/>
      <c r="M2770" s="104"/>
      <c r="N2770" s="103"/>
    </row>
    <row r="2771" spans="1:14" ht="45" customHeight="1" thickBot="1" x14ac:dyDescent="0.4">
      <c r="A2771" s="103"/>
      <c r="B2771" s="103"/>
      <c r="C2771" s="103"/>
      <c r="D2771" s="103"/>
      <c r="E2771" s="103"/>
      <c r="F2771" s="103"/>
      <c r="G2771" s="103"/>
      <c r="H2771" s="103"/>
      <c r="I2771" s="103"/>
      <c r="J2771" s="103"/>
      <c r="K2771" s="103"/>
      <c r="L2771" s="103"/>
      <c r="M2771" s="104"/>
      <c r="N2771" s="103"/>
    </row>
    <row r="2772" spans="1:14" ht="45" customHeight="1" thickBot="1" x14ac:dyDescent="0.4">
      <c r="A2772" s="103"/>
      <c r="B2772" s="103"/>
      <c r="C2772" s="103"/>
      <c r="D2772" s="103"/>
      <c r="E2772" s="103"/>
      <c r="F2772" s="103"/>
      <c r="G2772" s="103"/>
      <c r="H2772" s="103"/>
      <c r="I2772" s="103"/>
      <c r="J2772" s="103"/>
      <c r="K2772" s="103"/>
      <c r="L2772" s="103"/>
      <c r="M2772" s="104"/>
      <c r="N2772" s="103"/>
    </row>
    <row r="2773" spans="1:14" ht="45" customHeight="1" thickBot="1" x14ac:dyDescent="0.4">
      <c r="A2773" s="103"/>
      <c r="B2773" s="103"/>
      <c r="C2773" s="103"/>
      <c r="D2773" s="103"/>
      <c r="E2773" s="103"/>
      <c r="F2773" s="103"/>
      <c r="G2773" s="103"/>
      <c r="H2773" s="103"/>
      <c r="I2773" s="103"/>
      <c r="J2773" s="103"/>
      <c r="K2773" s="103"/>
      <c r="L2773" s="103"/>
      <c r="M2773" s="104"/>
      <c r="N2773" s="103"/>
    </row>
    <row r="2774" spans="1:14" ht="45" customHeight="1" thickBot="1" x14ac:dyDescent="0.4">
      <c r="A2774" s="103"/>
      <c r="B2774" s="103"/>
      <c r="C2774" s="103"/>
      <c r="D2774" s="103"/>
      <c r="E2774" s="103"/>
      <c r="F2774" s="103"/>
      <c r="G2774" s="103"/>
      <c r="H2774" s="103"/>
      <c r="I2774" s="103"/>
      <c r="J2774" s="103"/>
      <c r="K2774" s="103"/>
      <c r="L2774" s="103"/>
      <c r="M2774" s="104"/>
      <c r="N2774" s="103"/>
    </row>
    <row r="2775" spans="1:14" ht="45" customHeight="1" thickBot="1" x14ac:dyDescent="0.4">
      <c r="A2775" s="103"/>
      <c r="B2775" s="103"/>
      <c r="C2775" s="103"/>
      <c r="D2775" s="103"/>
      <c r="E2775" s="103"/>
      <c r="F2775" s="103"/>
      <c r="G2775" s="103"/>
      <c r="H2775" s="103"/>
      <c r="I2775" s="103"/>
      <c r="J2775" s="103"/>
      <c r="K2775" s="103"/>
      <c r="L2775" s="103"/>
      <c r="M2775" s="104"/>
      <c r="N2775" s="103"/>
    </row>
    <row r="2776" spans="1:14" ht="45" customHeight="1" thickBot="1" x14ac:dyDescent="0.4">
      <c r="A2776" s="103"/>
      <c r="B2776" s="103"/>
      <c r="C2776" s="103"/>
      <c r="D2776" s="103"/>
      <c r="E2776" s="103"/>
      <c r="F2776" s="103"/>
      <c r="G2776" s="103"/>
      <c r="H2776" s="103"/>
      <c r="I2776" s="103"/>
      <c r="J2776" s="103"/>
      <c r="K2776" s="103"/>
      <c r="L2776" s="103"/>
      <c r="M2776" s="104"/>
      <c r="N2776" s="103"/>
    </row>
    <row r="2777" spans="1:14" ht="45" customHeight="1" thickBot="1" x14ac:dyDescent="0.4">
      <c r="A2777" s="103"/>
      <c r="B2777" s="103"/>
      <c r="C2777" s="103"/>
      <c r="D2777" s="103"/>
      <c r="E2777" s="103"/>
      <c r="F2777" s="103"/>
      <c r="G2777" s="103"/>
      <c r="H2777" s="103"/>
      <c r="I2777" s="103"/>
      <c r="J2777" s="103"/>
      <c r="K2777" s="103"/>
      <c r="L2777" s="103"/>
      <c r="M2777" s="104"/>
      <c r="N2777" s="103"/>
    </row>
    <row r="2778" spans="1:14" ht="45" customHeight="1" thickBot="1" x14ac:dyDescent="0.4">
      <c r="A2778" s="103"/>
      <c r="B2778" s="103"/>
      <c r="C2778" s="103"/>
      <c r="D2778" s="103"/>
      <c r="E2778" s="103"/>
      <c r="F2778" s="103"/>
      <c r="G2778" s="103"/>
      <c r="H2778" s="103"/>
      <c r="I2778" s="103"/>
      <c r="J2778" s="103"/>
      <c r="K2778" s="103"/>
      <c r="L2778" s="103"/>
      <c r="M2778" s="104"/>
      <c r="N2778" s="103"/>
    </row>
    <row r="2779" spans="1:14" ht="45" customHeight="1" thickBot="1" x14ac:dyDescent="0.4">
      <c r="A2779" s="103"/>
      <c r="B2779" s="103"/>
      <c r="C2779" s="103"/>
      <c r="D2779" s="103"/>
      <c r="E2779" s="103"/>
      <c r="F2779" s="103"/>
      <c r="G2779" s="103"/>
      <c r="H2779" s="103"/>
      <c r="I2779" s="103"/>
      <c r="J2779" s="103"/>
      <c r="K2779" s="103"/>
      <c r="L2779" s="103"/>
      <c r="M2779" s="104"/>
      <c r="N2779" s="103"/>
    </row>
    <row r="2780" spans="1:14" ht="45" customHeight="1" thickBot="1" x14ac:dyDescent="0.4">
      <c r="A2780" s="103"/>
      <c r="B2780" s="103"/>
      <c r="C2780" s="103"/>
      <c r="D2780" s="103"/>
      <c r="E2780" s="103"/>
      <c r="F2780" s="103"/>
      <c r="G2780" s="103"/>
      <c r="H2780" s="103"/>
      <c r="I2780" s="103"/>
      <c r="J2780" s="103"/>
      <c r="K2780" s="103"/>
      <c r="L2780" s="103"/>
      <c r="M2780" s="104"/>
      <c r="N2780" s="103"/>
    </row>
    <row r="2781" spans="1:14" ht="45" customHeight="1" thickBot="1" x14ac:dyDescent="0.4">
      <c r="A2781" s="103"/>
      <c r="B2781" s="103"/>
      <c r="C2781" s="103"/>
      <c r="D2781" s="103"/>
      <c r="E2781" s="103"/>
      <c r="F2781" s="103"/>
      <c r="G2781" s="103"/>
      <c r="H2781" s="103"/>
      <c r="I2781" s="103"/>
      <c r="J2781" s="103"/>
      <c r="K2781" s="103"/>
      <c r="L2781" s="103"/>
      <c r="M2781" s="104"/>
      <c r="N2781" s="103"/>
    </row>
    <row r="2782" spans="1:14" ht="45" customHeight="1" thickBot="1" x14ac:dyDescent="0.4">
      <c r="A2782" s="103"/>
      <c r="B2782" s="103"/>
      <c r="C2782" s="103"/>
      <c r="D2782" s="103"/>
      <c r="E2782" s="103"/>
      <c r="F2782" s="103"/>
      <c r="G2782" s="103"/>
      <c r="H2782" s="103"/>
      <c r="I2782" s="103"/>
      <c r="J2782" s="103"/>
      <c r="K2782" s="103"/>
      <c r="L2782" s="103"/>
      <c r="M2782" s="104"/>
      <c r="N2782" s="103"/>
    </row>
    <row r="2783" spans="1:14" ht="45" customHeight="1" thickBot="1" x14ac:dyDescent="0.4">
      <c r="A2783" s="103"/>
      <c r="B2783" s="103"/>
      <c r="C2783" s="103"/>
      <c r="D2783" s="103"/>
      <c r="E2783" s="103"/>
      <c r="F2783" s="103"/>
      <c r="G2783" s="103"/>
      <c r="H2783" s="103"/>
      <c r="I2783" s="103"/>
      <c r="J2783" s="103"/>
      <c r="K2783" s="103"/>
      <c r="L2783" s="103"/>
      <c r="M2783" s="104"/>
      <c r="N2783" s="103"/>
    </row>
    <row r="2784" spans="1:14" ht="45" customHeight="1" thickBot="1" x14ac:dyDescent="0.4">
      <c r="A2784" s="103"/>
      <c r="B2784" s="103"/>
      <c r="C2784" s="103"/>
      <c r="D2784" s="103"/>
      <c r="E2784" s="103"/>
      <c r="F2784" s="103"/>
      <c r="G2784" s="103"/>
      <c r="H2784" s="103"/>
      <c r="I2784" s="103"/>
      <c r="J2784" s="103"/>
      <c r="K2784" s="103"/>
      <c r="L2784" s="103"/>
      <c r="M2784" s="104"/>
      <c r="N2784" s="103"/>
    </row>
    <row r="2785" spans="1:14" ht="45" customHeight="1" thickBot="1" x14ac:dyDescent="0.4">
      <c r="A2785" s="103"/>
      <c r="B2785" s="103"/>
      <c r="C2785" s="103"/>
      <c r="D2785" s="103"/>
      <c r="E2785" s="103"/>
      <c r="F2785" s="103"/>
      <c r="G2785" s="103"/>
      <c r="H2785" s="103"/>
      <c r="I2785" s="103"/>
      <c r="J2785" s="103"/>
      <c r="K2785" s="103"/>
      <c r="L2785" s="103"/>
      <c r="M2785" s="104"/>
      <c r="N2785" s="103"/>
    </row>
    <row r="2786" spans="1:14" ht="45" customHeight="1" thickBot="1" x14ac:dyDescent="0.4">
      <c r="A2786" s="103"/>
      <c r="B2786" s="103"/>
      <c r="C2786" s="103"/>
      <c r="D2786" s="103"/>
      <c r="E2786" s="103"/>
      <c r="F2786" s="103"/>
      <c r="G2786" s="103"/>
      <c r="H2786" s="103"/>
      <c r="I2786" s="103"/>
      <c r="J2786" s="103"/>
      <c r="K2786" s="103"/>
      <c r="L2786" s="103"/>
      <c r="M2786" s="104"/>
      <c r="N2786" s="103"/>
    </row>
    <row r="2787" spans="1:14" ht="45" customHeight="1" thickBot="1" x14ac:dyDescent="0.4">
      <c r="A2787" s="103"/>
      <c r="B2787" s="103"/>
      <c r="C2787" s="103"/>
      <c r="D2787" s="103"/>
      <c r="E2787" s="103"/>
      <c r="F2787" s="103"/>
      <c r="G2787" s="103"/>
      <c r="H2787" s="103"/>
      <c r="I2787" s="103"/>
      <c r="J2787" s="103"/>
      <c r="K2787" s="103"/>
      <c r="L2787" s="103"/>
      <c r="M2787" s="104"/>
      <c r="N2787" s="103"/>
    </row>
    <row r="2788" spans="1:14" ht="45" customHeight="1" thickBot="1" x14ac:dyDescent="0.4">
      <c r="A2788" s="103"/>
      <c r="B2788" s="103"/>
      <c r="C2788" s="103"/>
      <c r="D2788" s="103"/>
      <c r="E2788" s="103"/>
      <c r="F2788" s="103"/>
      <c r="G2788" s="103"/>
      <c r="H2788" s="103"/>
      <c r="I2788" s="103"/>
      <c r="J2788" s="103"/>
      <c r="K2788" s="103"/>
      <c r="L2788" s="103"/>
      <c r="M2788" s="104"/>
      <c r="N2788" s="103"/>
    </row>
    <row r="2789" spans="1:14" ht="45" customHeight="1" thickBot="1" x14ac:dyDescent="0.4">
      <c r="A2789" s="103"/>
      <c r="B2789" s="103"/>
      <c r="C2789" s="103"/>
      <c r="D2789" s="103"/>
      <c r="E2789" s="103"/>
      <c r="F2789" s="103"/>
      <c r="G2789" s="103"/>
      <c r="H2789" s="103"/>
      <c r="I2789" s="103"/>
      <c r="J2789" s="103"/>
      <c r="K2789" s="103"/>
      <c r="L2789" s="103"/>
      <c r="M2789" s="104"/>
      <c r="N2789" s="103"/>
    </row>
    <row r="2790" spans="1:14" ht="45" customHeight="1" thickBot="1" x14ac:dyDescent="0.4">
      <c r="A2790" s="103"/>
      <c r="B2790" s="103"/>
      <c r="C2790" s="103"/>
      <c r="D2790" s="103"/>
      <c r="E2790" s="103"/>
      <c r="F2790" s="103"/>
      <c r="G2790" s="103"/>
      <c r="H2790" s="103"/>
      <c r="I2790" s="103"/>
      <c r="J2790" s="103"/>
      <c r="K2790" s="103"/>
      <c r="L2790" s="103"/>
      <c r="M2790" s="104"/>
      <c r="N2790" s="103"/>
    </row>
    <row r="2791" spans="1:14" ht="45" customHeight="1" thickBot="1" x14ac:dyDescent="0.4">
      <c r="A2791" s="103"/>
      <c r="B2791" s="103"/>
      <c r="C2791" s="103"/>
      <c r="D2791" s="103"/>
      <c r="E2791" s="103"/>
      <c r="F2791" s="103"/>
      <c r="G2791" s="103"/>
      <c r="H2791" s="103"/>
      <c r="I2791" s="103"/>
      <c r="J2791" s="103"/>
      <c r="K2791" s="103"/>
      <c r="L2791" s="103"/>
      <c r="M2791" s="104"/>
      <c r="N2791" s="103"/>
    </row>
    <row r="2792" spans="1:14" ht="45" customHeight="1" thickBot="1" x14ac:dyDescent="0.4">
      <c r="A2792" s="103"/>
      <c r="B2792" s="103"/>
      <c r="C2792" s="103"/>
      <c r="D2792" s="103"/>
      <c r="E2792" s="103"/>
      <c r="F2792" s="103"/>
      <c r="G2792" s="103"/>
      <c r="H2792" s="103"/>
      <c r="I2792" s="103"/>
      <c r="J2792" s="103"/>
      <c r="K2792" s="103"/>
      <c r="L2792" s="103"/>
      <c r="M2792" s="104"/>
      <c r="N2792" s="103"/>
    </row>
    <row r="2793" spans="1:14" ht="45" customHeight="1" thickBot="1" x14ac:dyDescent="0.4">
      <c r="A2793" s="103"/>
      <c r="B2793" s="103"/>
      <c r="C2793" s="103"/>
      <c r="D2793" s="103"/>
      <c r="E2793" s="103"/>
      <c r="F2793" s="103"/>
      <c r="G2793" s="103"/>
      <c r="H2793" s="103"/>
      <c r="I2793" s="103"/>
      <c r="J2793" s="103"/>
      <c r="K2793" s="103"/>
      <c r="L2793" s="103"/>
      <c r="M2793" s="104"/>
      <c r="N2793" s="103"/>
    </row>
    <row r="2794" spans="1:14" ht="45" customHeight="1" thickBot="1" x14ac:dyDescent="0.4">
      <c r="A2794" s="103"/>
      <c r="B2794" s="103"/>
      <c r="C2794" s="103"/>
      <c r="D2794" s="103"/>
      <c r="E2794" s="103"/>
      <c r="F2794" s="103"/>
      <c r="G2794" s="103"/>
      <c r="H2794" s="103"/>
      <c r="I2794" s="103"/>
      <c r="J2794" s="103"/>
      <c r="K2794" s="103"/>
      <c r="L2794" s="103"/>
      <c r="M2794" s="104"/>
      <c r="N2794" s="103"/>
    </row>
    <row r="2795" spans="1:14" ht="45" customHeight="1" thickBot="1" x14ac:dyDescent="0.4">
      <c r="A2795" s="103"/>
      <c r="B2795" s="103"/>
      <c r="C2795" s="103"/>
      <c r="D2795" s="103"/>
      <c r="E2795" s="103"/>
      <c r="F2795" s="103"/>
      <c r="G2795" s="103"/>
      <c r="H2795" s="103"/>
      <c r="I2795" s="103"/>
      <c r="J2795" s="103"/>
      <c r="K2795" s="103"/>
      <c r="L2795" s="103"/>
      <c r="M2795" s="104"/>
      <c r="N2795" s="103"/>
    </row>
    <row r="2796" spans="1:14" ht="45" customHeight="1" thickBot="1" x14ac:dyDescent="0.4">
      <c r="A2796" s="103"/>
      <c r="B2796" s="103"/>
      <c r="C2796" s="103"/>
      <c r="D2796" s="103"/>
      <c r="E2796" s="103"/>
      <c r="F2796" s="103"/>
      <c r="G2796" s="103"/>
      <c r="H2796" s="103"/>
      <c r="I2796" s="103"/>
      <c r="J2796" s="103"/>
      <c r="K2796" s="103"/>
      <c r="L2796" s="103"/>
      <c r="M2796" s="104"/>
      <c r="N2796" s="103"/>
    </row>
    <row r="2797" spans="1:14" ht="45" customHeight="1" thickBot="1" x14ac:dyDescent="0.4">
      <c r="A2797" s="103"/>
      <c r="B2797" s="103"/>
      <c r="C2797" s="103"/>
      <c r="D2797" s="103"/>
      <c r="E2797" s="103"/>
      <c r="F2797" s="103"/>
      <c r="G2797" s="103"/>
      <c r="H2797" s="103"/>
      <c r="I2797" s="103"/>
      <c r="J2797" s="103"/>
      <c r="K2797" s="103"/>
      <c r="L2797" s="103"/>
      <c r="M2797" s="104"/>
      <c r="N2797" s="103"/>
    </row>
    <row r="2798" spans="1:14" ht="45" customHeight="1" thickBot="1" x14ac:dyDescent="0.4">
      <c r="A2798" s="103"/>
      <c r="B2798" s="103"/>
      <c r="C2798" s="103"/>
      <c r="D2798" s="103"/>
      <c r="E2798" s="103"/>
      <c r="F2798" s="103"/>
      <c r="G2798" s="103"/>
      <c r="H2798" s="103"/>
      <c r="I2798" s="103"/>
      <c r="J2798" s="103"/>
      <c r="K2798" s="103"/>
      <c r="L2798" s="103"/>
      <c r="M2798" s="104"/>
      <c r="N2798" s="103"/>
    </row>
    <row r="2799" spans="1:14" ht="45" customHeight="1" thickBot="1" x14ac:dyDescent="0.4">
      <c r="A2799" s="103"/>
      <c r="B2799" s="103"/>
      <c r="C2799" s="103"/>
      <c r="D2799" s="103"/>
      <c r="E2799" s="103"/>
      <c r="F2799" s="103"/>
      <c r="G2799" s="103"/>
      <c r="H2799" s="103"/>
      <c r="I2799" s="103"/>
      <c r="J2799" s="103"/>
      <c r="K2799" s="103"/>
      <c r="L2799" s="103"/>
      <c r="M2799" s="104"/>
      <c r="N2799" s="103"/>
    </row>
    <row r="2800" spans="1:14" ht="45" customHeight="1" thickBot="1" x14ac:dyDescent="0.4">
      <c r="A2800" s="103"/>
      <c r="B2800" s="103"/>
      <c r="C2800" s="103"/>
      <c r="D2800" s="103"/>
      <c r="E2800" s="103"/>
      <c r="F2800" s="103"/>
      <c r="G2800" s="103"/>
      <c r="H2800" s="103"/>
      <c r="I2800" s="103"/>
      <c r="J2800" s="103"/>
      <c r="K2800" s="103"/>
      <c r="L2800" s="103"/>
      <c r="M2800" s="104"/>
      <c r="N2800" s="103"/>
    </row>
    <row r="2801" spans="1:14" ht="45" customHeight="1" thickBot="1" x14ac:dyDescent="0.4">
      <c r="A2801" s="103"/>
      <c r="B2801" s="103"/>
      <c r="C2801" s="103"/>
      <c r="D2801" s="103"/>
      <c r="E2801" s="103"/>
      <c r="F2801" s="103"/>
      <c r="G2801" s="103"/>
      <c r="H2801" s="103"/>
      <c r="I2801" s="103"/>
      <c r="J2801" s="103"/>
      <c r="K2801" s="103"/>
      <c r="L2801" s="103"/>
      <c r="M2801" s="104"/>
      <c r="N2801" s="103"/>
    </row>
    <row r="2802" spans="1:14" ht="45" customHeight="1" thickBot="1" x14ac:dyDescent="0.4">
      <c r="A2802" s="103"/>
      <c r="B2802" s="103"/>
      <c r="C2802" s="103"/>
      <c r="D2802" s="103"/>
      <c r="E2802" s="103"/>
      <c r="F2802" s="103"/>
      <c r="G2802" s="103"/>
      <c r="H2802" s="103"/>
      <c r="I2802" s="103"/>
      <c r="J2802" s="103"/>
      <c r="K2802" s="103"/>
      <c r="L2802" s="103"/>
      <c r="M2802" s="104"/>
      <c r="N2802" s="103"/>
    </row>
    <row r="2803" spans="1:14" ht="45" customHeight="1" thickBot="1" x14ac:dyDescent="0.4">
      <c r="A2803" s="103"/>
      <c r="B2803" s="103"/>
      <c r="C2803" s="103"/>
      <c r="D2803" s="103"/>
      <c r="E2803" s="103"/>
      <c r="F2803" s="103"/>
      <c r="G2803" s="103"/>
      <c r="H2803" s="103"/>
      <c r="I2803" s="103"/>
      <c r="J2803" s="103"/>
      <c r="K2803" s="103"/>
      <c r="L2803" s="103"/>
      <c r="M2803" s="104"/>
      <c r="N2803" s="103"/>
    </row>
    <row r="2804" spans="1:14" ht="45" customHeight="1" thickBot="1" x14ac:dyDescent="0.4">
      <c r="A2804" s="103"/>
      <c r="B2804" s="103"/>
      <c r="C2804" s="103"/>
      <c r="D2804" s="103"/>
      <c r="E2804" s="103"/>
      <c r="F2804" s="103"/>
      <c r="G2804" s="103"/>
      <c r="H2804" s="103"/>
      <c r="I2804" s="103"/>
      <c r="J2804" s="103"/>
      <c r="K2804" s="103"/>
      <c r="L2804" s="103"/>
      <c r="M2804" s="104"/>
      <c r="N2804" s="103"/>
    </row>
    <row r="2805" spans="1:14" ht="45" customHeight="1" thickBot="1" x14ac:dyDescent="0.4">
      <c r="A2805" s="103"/>
      <c r="B2805" s="103"/>
      <c r="C2805" s="103"/>
      <c r="D2805" s="103"/>
      <c r="E2805" s="103"/>
      <c r="F2805" s="103"/>
      <c r="G2805" s="103"/>
      <c r="H2805" s="103"/>
      <c r="I2805" s="103"/>
      <c r="J2805" s="103"/>
      <c r="K2805" s="103"/>
      <c r="L2805" s="103"/>
      <c r="M2805" s="104"/>
      <c r="N2805" s="103"/>
    </row>
    <row r="2806" spans="1:14" ht="45" customHeight="1" thickBot="1" x14ac:dyDescent="0.4">
      <c r="A2806" s="103"/>
      <c r="B2806" s="103"/>
      <c r="C2806" s="103"/>
      <c r="D2806" s="103"/>
      <c r="E2806" s="103"/>
      <c r="F2806" s="103"/>
      <c r="G2806" s="103"/>
      <c r="H2806" s="103"/>
      <c r="I2806" s="103"/>
      <c r="J2806" s="103"/>
      <c r="K2806" s="103"/>
      <c r="L2806" s="103"/>
      <c r="M2806" s="104"/>
      <c r="N2806" s="103"/>
    </row>
    <row r="2807" spans="1:14" ht="45" customHeight="1" thickBot="1" x14ac:dyDescent="0.4">
      <c r="A2807" s="103"/>
      <c r="B2807" s="103"/>
      <c r="C2807" s="103"/>
      <c r="D2807" s="103"/>
      <c r="E2807" s="103"/>
      <c r="F2807" s="103"/>
      <c r="G2807" s="103"/>
      <c r="H2807" s="103"/>
      <c r="I2807" s="103"/>
      <c r="J2807" s="103"/>
      <c r="K2807" s="103"/>
      <c r="L2807" s="103"/>
      <c r="M2807" s="104"/>
      <c r="N2807" s="103"/>
    </row>
    <row r="2808" spans="1:14" ht="45" customHeight="1" thickBot="1" x14ac:dyDescent="0.4">
      <c r="A2808" s="103"/>
      <c r="B2808" s="103"/>
      <c r="C2808" s="103"/>
      <c r="D2808" s="103"/>
      <c r="E2808" s="103"/>
      <c r="F2808" s="103"/>
      <c r="G2808" s="103"/>
      <c r="H2808" s="103"/>
      <c r="I2808" s="103"/>
      <c r="J2808" s="103"/>
      <c r="K2808" s="103"/>
      <c r="L2808" s="103"/>
      <c r="M2808" s="104"/>
      <c r="N2808" s="103"/>
    </row>
    <row r="2809" spans="1:14" ht="45" customHeight="1" thickBot="1" x14ac:dyDescent="0.4">
      <c r="A2809" s="103"/>
      <c r="B2809" s="103"/>
      <c r="C2809" s="103"/>
      <c r="D2809" s="103"/>
      <c r="E2809" s="103"/>
      <c r="F2809" s="103"/>
      <c r="G2809" s="103"/>
      <c r="H2809" s="103"/>
      <c r="I2809" s="103"/>
      <c r="J2809" s="103"/>
      <c r="K2809" s="103"/>
      <c r="L2809" s="103"/>
      <c r="M2809" s="104"/>
      <c r="N2809" s="103"/>
    </row>
    <row r="2810" spans="1:14" ht="45" customHeight="1" thickBot="1" x14ac:dyDescent="0.4">
      <c r="A2810" s="103"/>
      <c r="B2810" s="103"/>
      <c r="C2810" s="103"/>
      <c r="D2810" s="103"/>
      <c r="E2810" s="103"/>
      <c r="F2810" s="103"/>
      <c r="G2810" s="103"/>
      <c r="H2810" s="103"/>
      <c r="I2810" s="103"/>
      <c r="J2810" s="103"/>
      <c r="K2810" s="103"/>
      <c r="L2810" s="103"/>
      <c r="M2810" s="104"/>
      <c r="N2810" s="103"/>
    </row>
    <row r="2811" spans="1:14" ht="45" customHeight="1" thickBot="1" x14ac:dyDescent="0.4">
      <c r="A2811" s="103"/>
      <c r="B2811" s="103"/>
      <c r="C2811" s="103"/>
      <c r="D2811" s="103"/>
      <c r="E2811" s="103"/>
      <c r="F2811" s="103"/>
      <c r="G2811" s="103"/>
      <c r="H2811" s="103"/>
      <c r="I2811" s="103"/>
      <c r="J2811" s="103"/>
      <c r="K2811" s="103"/>
      <c r="L2811" s="103"/>
      <c r="M2811" s="104"/>
      <c r="N2811" s="103"/>
    </row>
    <row r="2812" spans="1:14" ht="45" customHeight="1" thickBot="1" x14ac:dyDescent="0.4">
      <c r="A2812" s="103"/>
      <c r="B2812" s="103"/>
      <c r="C2812" s="103"/>
      <c r="D2812" s="103"/>
      <c r="E2812" s="103"/>
      <c r="F2812" s="103"/>
      <c r="G2812" s="103"/>
      <c r="H2812" s="103"/>
      <c r="I2812" s="103"/>
      <c r="J2812" s="103"/>
      <c r="K2812" s="103"/>
      <c r="L2812" s="103"/>
      <c r="M2812" s="104"/>
      <c r="N2812" s="103"/>
    </row>
    <row r="2813" spans="1:14" ht="45" customHeight="1" thickBot="1" x14ac:dyDescent="0.4">
      <c r="A2813" s="103"/>
      <c r="B2813" s="103"/>
      <c r="C2813" s="103"/>
      <c r="D2813" s="103"/>
      <c r="E2813" s="103"/>
      <c r="F2813" s="103"/>
      <c r="G2813" s="103"/>
      <c r="H2813" s="103"/>
      <c r="I2813" s="103"/>
      <c r="J2813" s="103"/>
      <c r="K2813" s="103"/>
      <c r="L2813" s="103"/>
      <c r="M2813" s="104"/>
      <c r="N2813" s="103"/>
    </row>
    <row r="2814" spans="1:14" ht="45" customHeight="1" thickBot="1" x14ac:dyDescent="0.4">
      <c r="A2814" s="103"/>
      <c r="B2814" s="103"/>
      <c r="C2814" s="103"/>
      <c r="D2814" s="103"/>
      <c r="E2814" s="103"/>
      <c r="F2814" s="103"/>
      <c r="G2814" s="103"/>
      <c r="H2814" s="103"/>
      <c r="I2814" s="103"/>
      <c r="J2814" s="103"/>
      <c r="K2814" s="103"/>
      <c r="L2814" s="103"/>
      <c r="M2814" s="104"/>
      <c r="N2814" s="103"/>
    </row>
    <row r="2815" spans="1:14" ht="45" customHeight="1" thickBot="1" x14ac:dyDescent="0.4">
      <c r="A2815" s="103"/>
      <c r="B2815" s="103"/>
      <c r="C2815" s="103"/>
      <c r="D2815" s="103"/>
      <c r="E2815" s="103"/>
      <c r="F2815" s="103"/>
      <c r="G2815" s="103"/>
      <c r="H2815" s="103"/>
      <c r="I2815" s="103"/>
      <c r="J2815" s="103"/>
      <c r="K2815" s="103"/>
      <c r="L2815" s="103"/>
      <c r="M2815" s="104"/>
      <c r="N2815" s="103"/>
    </row>
    <row r="2816" spans="1:14" ht="45" customHeight="1" thickBot="1" x14ac:dyDescent="0.4">
      <c r="A2816" s="103"/>
      <c r="B2816" s="103"/>
      <c r="C2816" s="103"/>
      <c r="D2816" s="103"/>
      <c r="E2816" s="103"/>
      <c r="F2816" s="103"/>
      <c r="G2816" s="103"/>
      <c r="H2816" s="103"/>
      <c r="I2816" s="103"/>
      <c r="J2816" s="103"/>
      <c r="K2816" s="103"/>
      <c r="L2816" s="103"/>
      <c r="M2816" s="104"/>
      <c r="N2816" s="103"/>
    </row>
    <row r="2817" spans="1:14" ht="45" customHeight="1" thickBot="1" x14ac:dyDescent="0.4">
      <c r="A2817" s="103"/>
      <c r="B2817" s="103"/>
      <c r="C2817" s="103"/>
      <c r="D2817" s="103"/>
      <c r="E2817" s="103"/>
      <c r="F2817" s="103"/>
      <c r="G2817" s="103"/>
      <c r="H2817" s="103"/>
      <c r="I2817" s="103"/>
      <c r="J2817" s="103"/>
      <c r="K2817" s="103"/>
      <c r="L2817" s="103"/>
      <c r="M2817" s="104"/>
      <c r="N2817" s="103"/>
    </row>
    <row r="2818" spans="1:14" ht="45" customHeight="1" thickBot="1" x14ac:dyDescent="0.4">
      <c r="A2818" s="103"/>
      <c r="B2818" s="103"/>
      <c r="C2818" s="103"/>
      <c r="D2818" s="103"/>
      <c r="E2818" s="103"/>
      <c r="F2818" s="103"/>
      <c r="G2818" s="103"/>
      <c r="H2818" s="103"/>
      <c r="I2818" s="103"/>
      <c r="J2818" s="103"/>
      <c r="K2818" s="103"/>
      <c r="L2818" s="103"/>
      <c r="M2818" s="104"/>
      <c r="N2818" s="103"/>
    </row>
    <row r="2819" spans="1:14" ht="45" customHeight="1" thickBot="1" x14ac:dyDescent="0.4">
      <c r="A2819" s="103"/>
      <c r="B2819" s="103"/>
      <c r="C2819" s="103"/>
      <c r="D2819" s="103"/>
      <c r="E2819" s="103"/>
      <c r="F2819" s="103"/>
      <c r="G2819" s="103"/>
      <c r="H2819" s="103"/>
      <c r="I2819" s="103"/>
      <c r="J2819" s="103"/>
      <c r="K2819" s="103"/>
      <c r="L2819" s="103"/>
      <c r="M2819" s="104"/>
      <c r="N2819" s="103"/>
    </row>
    <row r="2820" spans="1:14" ht="45" customHeight="1" thickBot="1" x14ac:dyDescent="0.4">
      <c r="A2820" s="103"/>
      <c r="B2820" s="103"/>
      <c r="C2820" s="103"/>
      <c r="D2820" s="103"/>
      <c r="E2820" s="103"/>
      <c r="F2820" s="103"/>
      <c r="G2820" s="103"/>
      <c r="H2820" s="103"/>
      <c r="I2820" s="103"/>
      <c r="J2820" s="103"/>
      <c r="K2820" s="103"/>
      <c r="L2820" s="103"/>
      <c r="M2820" s="104"/>
      <c r="N2820" s="103"/>
    </row>
    <row r="2821" spans="1:14" ht="45" customHeight="1" thickBot="1" x14ac:dyDescent="0.4">
      <c r="A2821" s="103"/>
      <c r="B2821" s="103"/>
      <c r="C2821" s="103"/>
      <c r="D2821" s="103"/>
      <c r="E2821" s="103"/>
      <c r="F2821" s="103"/>
      <c r="G2821" s="103"/>
      <c r="H2821" s="103"/>
      <c r="I2821" s="103"/>
      <c r="J2821" s="103"/>
      <c r="K2821" s="103"/>
      <c r="L2821" s="103"/>
      <c r="M2821" s="104"/>
      <c r="N2821" s="103"/>
    </row>
    <row r="2822" spans="1:14" ht="45" customHeight="1" thickBot="1" x14ac:dyDescent="0.4">
      <c r="A2822" s="103"/>
      <c r="B2822" s="103"/>
      <c r="C2822" s="103"/>
      <c r="D2822" s="103"/>
      <c r="E2822" s="103"/>
      <c r="F2822" s="103"/>
      <c r="G2822" s="103"/>
      <c r="H2822" s="103"/>
      <c r="I2822" s="103"/>
      <c r="J2822" s="103"/>
      <c r="K2822" s="103"/>
      <c r="L2822" s="103"/>
      <c r="M2822" s="104"/>
      <c r="N2822" s="103"/>
    </row>
    <row r="2823" spans="1:14" ht="45" customHeight="1" thickBot="1" x14ac:dyDescent="0.4">
      <c r="A2823" s="103"/>
      <c r="B2823" s="103"/>
      <c r="C2823" s="103"/>
      <c r="D2823" s="103"/>
      <c r="E2823" s="103"/>
      <c r="F2823" s="103"/>
      <c r="G2823" s="103"/>
      <c r="H2823" s="103"/>
      <c r="I2823" s="103"/>
      <c r="J2823" s="103"/>
      <c r="K2823" s="103"/>
      <c r="L2823" s="103"/>
      <c r="M2823" s="104"/>
      <c r="N2823" s="103"/>
    </row>
    <row r="2824" spans="1:14" ht="45" customHeight="1" thickBot="1" x14ac:dyDescent="0.4">
      <c r="A2824" s="103"/>
      <c r="B2824" s="103"/>
      <c r="C2824" s="103"/>
      <c r="D2824" s="103"/>
      <c r="E2824" s="103"/>
      <c r="F2824" s="103"/>
      <c r="G2824" s="103"/>
      <c r="H2824" s="103"/>
      <c r="I2824" s="103"/>
      <c r="J2824" s="103"/>
      <c r="K2824" s="103"/>
      <c r="L2824" s="103"/>
      <c r="M2824" s="104"/>
      <c r="N2824" s="103"/>
    </row>
    <row r="2825" spans="1:14" ht="45" customHeight="1" thickBot="1" x14ac:dyDescent="0.4">
      <c r="A2825" s="103"/>
      <c r="B2825" s="103"/>
      <c r="C2825" s="103"/>
      <c r="D2825" s="103"/>
      <c r="E2825" s="103"/>
      <c r="F2825" s="103"/>
      <c r="G2825" s="103"/>
      <c r="H2825" s="103"/>
      <c r="I2825" s="103"/>
      <c r="J2825" s="103"/>
      <c r="K2825" s="103"/>
      <c r="L2825" s="103"/>
      <c r="M2825" s="104"/>
      <c r="N2825" s="103"/>
    </row>
    <row r="2826" spans="1:14" ht="45" customHeight="1" thickBot="1" x14ac:dyDescent="0.4">
      <c r="A2826" s="103"/>
      <c r="B2826" s="103"/>
      <c r="C2826" s="103"/>
      <c r="D2826" s="103"/>
      <c r="E2826" s="103"/>
      <c r="F2826" s="103"/>
      <c r="G2826" s="103"/>
      <c r="H2826" s="103"/>
      <c r="I2826" s="103"/>
      <c r="J2826" s="103"/>
      <c r="K2826" s="103"/>
      <c r="L2826" s="103"/>
      <c r="M2826" s="104"/>
      <c r="N2826" s="103"/>
    </row>
    <row r="2827" spans="1:14" ht="45" customHeight="1" thickBot="1" x14ac:dyDescent="0.4">
      <c r="A2827" s="103"/>
      <c r="B2827" s="103"/>
      <c r="C2827" s="103"/>
      <c r="D2827" s="103"/>
      <c r="E2827" s="103"/>
      <c r="F2827" s="103"/>
      <c r="G2827" s="103"/>
      <c r="H2827" s="103"/>
      <c r="I2827" s="103"/>
      <c r="J2827" s="103"/>
      <c r="K2827" s="103"/>
      <c r="L2827" s="103"/>
      <c r="M2827" s="104"/>
      <c r="N2827" s="103"/>
    </row>
    <row r="2828" spans="1:14" ht="45" customHeight="1" thickBot="1" x14ac:dyDescent="0.4">
      <c r="A2828" s="103"/>
      <c r="B2828" s="103"/>
      <c r="C2828" s="103"/>
      <c r="D2828" s="103"/>
      <c r="E2828" s="103"/>
      <c r="F2828" s="103"/>
      <c r="G2828" s="103"/>
      <c r="H2828" s="103"/>
      <c r="I2828" s="103"/>
      <c r="J2828" s="103"/>
      <c r="K2828" s="103"/>
      <c r="L2828" s="103"/>
      <c r="M2828" s="104"/>
      <c r="N2828" s="103"/>
    </row>
    <row r="2829" spans="1:14" ht="45" customHeight="1" thickBot="1" x14ac:dyDescent="0.4">
      <c r="A2829" s="103"/>
      <c r="B2829" s="103"/>
      <c r="C2829" s="103"/>
      <c r="D2829" s="103"/>
      <c r="E2829" s="103"/>
      <c r="F2829" s="103"/>
      <c r="G2829" s="103"/>
      <c r="H2829" s="103"/>
      <c r="I2829" s="103"/>
      <c r="J2829" s="103"/>
      <c r="K2829" s="103"/>
      <c r="L2829" s="103"/>
      <c r="M2829" s="104"/>
      <c r="N2829" s="103"/>
    </row>
    <row r="2830" spans="1:14" ht="45" customHeight="1" thickBot="1" x14ac:dyDescent="0.4">
      <c r="A2830" s="103"/>
      <c r="B2830" s="103"/>
      <c r="C2830" s="103"/>
      <c r="D2830" s="103"/>
      <c r="E2830" s="103"/>
      <c r="F2830" s="103"/>
      <c r="G2830" s="103"/>
      <c r="H2830" s="103"/>
      <c r="I2830" s="103"/>
      <c r="J2830" s="103"/>
      <c r="K2830" s="103"/>
      <c r="L2830" s="103"/>
      <c r="M2830" s="104"/>
      <c r="N2830" s="103"/>
    </row>
    <row r="2831" spans="1:14" ht="45" customHeight="1" thickBot="1" x14ac:dyDescent="0.4">
      <c r="A2831" s="103"/>
      <c r="B2831" s="103"/>
      <c r="C2831" s="103"/>
      <c r="D2831" s="103"/>
      <c r="E2831" s="103"/>
      <c r="F2831" s="103"/>
      <c r="G2831" s="103"/>
      <c r="H2831" s="103"/>
      <c r="I2831" s="103"/>
      <c r="J2831" s="103"/>
      <c r="K2831" s="103"/>
      <c r="L2831" s="103"/>
      <c r="M2831" s="104"/>
      <c r="N2831" s="103"/>
    </row>
    <row r="2832" spans="1:14" ht="45" customHeight="1" thickBot="1" x14ac:dyDescent="0.4">
      <c r="A2832" s="103"/>
      <c r="B2832" s="103"/>
      <c r="C2832" s="103"/>
      <c r="D2832" s="103"/>
      <c r="E2832" s="103"/>
      <c r="F2832" s="103"/>
      <c r="G2832" s="103"/>
      <c r="H2832" s="103"/>
      <c r="I2832" s="103"/>
      <c r="J2832" s="103"/>
      <c r="K2832" s="103"/>
      <c r="L2832" s="103"/>
      <c r="M2832" s="104"/>
      <c r="N2832" s="103"/>
    </row>
    <row r="2833" spans="1:14" ht="45" customHeight="1" thickBot="1" x14ac:dyDescent="0.4">
      <c r="A2833" s="103"/>
      <c r="B2833" s="103"/>
      <c r="C2833" s="103"/>
      <c r="D2833" s="103"/>
      <c r="E2833" s="103"/>
      <c r="F2833" s="103"/>
      <c r="G2833" s="103"/>
      <c r="H2833" s="103"/>
      <c r="I2833" s="103"/>
      <c r="J2833" s="103"/>
      <c r="K2833" s="103"/>
      <c r="L2833" s="103"/>
      <c r="M2833" s="104"/>
      <c r="N2833" s="103"/>
    </row>
    <row r="2834" spans="1:14" ht="45" customHeight="1" thickBot="1" x14ac:dyDescent="0.4">
      <c r="A2834" s="103"/>
      <c r="B2834" s="103"/>
      <c r="C2834" s="103"/>
      <c r="D2834" s="103"/>
      <c r="E2834" s="103"/>
      <c r="F2834" s="103"/>
      <c r="G2834" s="103"/>
      <c r="H2834" s="103"/>
      <c r="I2834" s="103"/>
      <c r="J2834" s="103"/>
      <c r="K2834" s="103"/>
      <c r="L2834" s="103"/>
      <c r="M2834" s="104"/>
      <c r="N2834" s="103"/>
    </row>
    <row r="2835" spans="1:14" ht="45" customHeight="1" thickBot="1" x14ac:dyDescent="0.4">
      <c r="A2835" s="103"/>
      <c r="B2835" s="103"/>
      <c r="C2835" s="103"/>
      <c r="D2835" s="103"/>
      <c r="E2835" s="103"/>
      <c r="F2835" s="103"/>
      <c r="G2835" s="103"/>
      <c r="H2835" s="103"/>
      <c r="I2835" s="103"/>
      <c r="J2835" s="103"/>
      <c r="K2835" s="103"/>
      <c r="L2835" s="103"/>
      <c r="M2835" s="104"/>
      <c r="N2835" s="103"/>
    </row>
    <row r="2836" spans="1:14" ht="45" customHeight="1" thickBot="1" x14ac:dyDescent="0.4">
      <c r="A2836" s="103"/>
      <c r="B2836" s="103"/>
      <c r="C2836" s="103"/>
      <c r="D2836" s="103"/>
      <c r="E2836" s="103"/>
      <c r="F2836" s="103"/>
      <c r="G2836" s="103"/>
      <c r="H2836" s="103"/>
      <c r="I2836" s="103"/>
      <c r="J2836" s="103"/>
      <c r="K2836" s="103"/>
      <c r="L2836" s="103"/>
      <c r="M2836" s="104"/>
      <c r="N2836" s="103"/>
    </row>
    <row r="2837" spans="1:14" ht="45" customHeight="1" thickBot="1" x14ac:dyDescent="0.4">
      <c r="A2837" s="103"/>
      <c r="B2837" s="103"/>
      <c r="C2837" s="103"/>
      <c r="D2837" s="103"/>
      <c r="E2837" s="103"/>
      <c r="F2837" s="103"/>
      <c r="G2837" s="103"/>
      <c r="H2837" s="103"/>
      <c r="I2837" s="103"/>
      <c r="J2837" s="103"/>
      <c r="K2837" s="103"/>
      <c r="L2837" s="103"/>
      <c r="M2837" s="104"/>
      <c r="N2837" s="103"/>
    </row>
    <row r="2838" spans="1:14" ht="45" customHeight="1" thickBot="1" x14ac:dyDescent="0.4">
      <c r="A2838" s="103"/>
      <c r="B2838" s="103"/>
      <c r="C2838" s="103"/>
      <c r="D2838" s="103"/>
      <c r="E2838" s="103"/>
      <c r="F2838" s="103"/>
      <c r="G2838" s="103"/>
      <c r="H2838" s="103"/>
      <c r="I2838" s="103"/>
      <c r="J2838" s="103"/>
      <c r="K2838" s="103"/>
      <c r="L2838" s="103"/>
      <c r="M2838" s="104"/>
      <c r="N2838" s="103"/>
    </row>
    <row r="2839" spans="1:14" ht="45" customHeight="1" thickBot="1" x14ac:dyDescent="0.4">
      <c r="A2839" s="103"/>
      <c r="B2839" s="103"/>
      <c r="C2839" s="103"/>
      <c r="D2839" s="103"/>
      <c r="E2839" s="103"/>
      <c r="F2839" s="103"/>
      <c r="G2839" s="103"/>
      <c r="H2839" s="103"/>
      <c r="I2839" s="103"/>
      <c r="J2839" s="103"/>
      <c r="K2839" s="103"/>
      <c r="L2839" s="103"/>
      <c r="M2839" s="104"/>
      <c r="N2839" s="103"/>
    </row>
    <row r="2840" spans="1:14" ht="45" customHeight="1" thickBot="1" x14ac:dyDescent="0.4">
      <c r="A2840" s="103"/>
      <c r="B2840" s="103"/>
      <c r="C2840" s="103"/>
      <c r="D2840" s="103"/>
      <c r="E2840" s="103"/>
      <c r="F2840" s="103"/>
      <c r="G2840" s="103"/>
      <c r="H2840" s="103"/>
      <c r="I2840" s="103"/>
      <c r="J2840" s="103"/>
      <c r="K2840" s="103"/>
      <c r="L2840" s="103"/>
      <c r="M2840" s="104"/>
      <c r="N2840" s="103"/>
    </row>
    <row r="2841" spans="1:14" ht="45" customHeight="1" thickBot="1" x14ac:dyDescent="0.4">
      <c r="A2841" s="103"/>
      <c r="B2841" s="103"/>
      <c r="C2841" s="103"/>
      <c r="D2841" s="103"/>
      <c r="E2841" s="103"/>
      <c r="F2841" s="103"/>
      <c r="G2841" s="103"/>
      <c r="H2841" s="103"/>
      <c r="I2841" s="103"/>
      <c r="J2841" s="103"/>
      <c r="K2841" s="103"/>
      <c r="L2841" s="103"/>
      <c r="M2841" s="104"/>
      <c r="N2841" s="103"/>
    </row>
    <row r="2842" spans="1:14" ht="45" customHeight="1" thickBot="1" x14ac:dyDescent="0.4">
      <c r="A2842" s="103"/>
      <c r="B2842" s="103"/>
      <c r="C2842" s="103"/>
      <c r="D2842" s="103"/>
      <c r="E2842" s="103"/>
      <c r="F2842" s="103"/>
      <c r="G2842" s="103"/>
      <c r="H2842" s="103"/>
      <c r="I2842" s="103"/>
      <c r="J2842" s="103"/>
      <c r="K2842" s="103"/>
      <c r="L2842" s="103"/>
      <c r="M2842" s="104"/>
      <c r="N2842" s="103"/>
    </row>
    <row r="2843" spans="1:14" ht="45" customHeight="1" thickBot="1" x14ac:dyDescent="0.4">
      <c r="A2843" s="103"/>
      <c r="B2843" s="103"/>
      <c r="C2843" s="103"/>
      <c r="D2843" s="103"/>
      <c r="E2843" s="103"/>
      <c r="F2843" s="103"/>
      <c r="G2843" s="103"/>
      <c r="H2843" s="103"/>
      <c r="I2843" s="103"/>
      <c r="J2843" s="103"/>
      <c r="K2843" s="103"/>
      <c r="L2843" s="103"/>
      <c r="M2843" s="104"/>
      <c r="N2843" s="103"/>
    </row>
    <row r="2844" spans="1:14" ht="45" customHeight="1" thickBot="1" x14ac:dyDescent="0.4">
      <c r="A2844" s="103"/>
      <c r="B2844" s="103"/>
      <c r="C2844" s="103"/>
      <c r="D2844" s="103"/>
      <c r="E2844" s="103"/>
      <c r="F2844" s="103"/>
      <c r="G2844" s="103"/>
      <c r="H2844" s="103"/>
      <c r="I2844" s="103"/>
      <c r="J2844" s="103"/>
      <c r="K2844" s="103"/>
      <c r="L2844" s="103"/>
      <c r="M2844" s="104"/>
      <c r="N2844" s="103"/>
    </row>
    <row r="2845" spans="1:14" ht="45" customHeight="1" thickBot="1" x14ac:dyDescent="0.4">
      <c r="A2845" s="103"/>
      <c r="B2845" s="103"/>
      <c r="C2845" s="103"/>
      <c r="D2845" s="103"/>
      <c r="E2845" s="103"/>
      <c r="F2845" s="103"/>
      <c r="G2845" s="103"/>
      <c r="H2845" s="103"/>
      <c r="I2845" s="103"/>
      <c r="J2845" s="103"/>
      <c r="K2845" s="103"/>
      <c r="L2845" s="103"/>
      <c r="M2845" s="104"/>
      <c r="N2845" s="103"/>
    </row>
    <row r="2846" spans="1:14" ht="45" customHeight="1" thickBot="1" x14ac:dyDescent="0.4">
      <c r="A2846" s="103"/>
      <c r="B2846" s="103"/>
      <c r="C2846" s="103"/>
      <c r="D2846" s="103"/>
      <c r="E2846" s="103"/>
      <c r="F2846" s="103"/>
      <c r="G2846" s="103"/>
      <c r="H2846" s="103"/>
      <c r="I2846" s="103"/>
      <c r="J2846" s="103"/>
      <c r="K2846" s="103"/>
      <c r="L2846" s="103"/>
      <c r="M2846" s="104"/>
      <c r="N2846" s="103"/>
    </row>
    <row r="2847" spans="1:14" ht="45" customHeight="1" thickBot="1" x14ac:dyDescent="0.4">
      <c r="A2847" s="103"/>
      <c r="B2847" s="103"/>
      <c r="C2847" s="103"/>
      <c r="D2847" s="103"/>
      <c r="E2847" s="103"/>
      <c r="F2847" s="103"/>
      <c r="G2847" s="103"/>
      <c r="H2847" s="103"/>
      <c r="I2847" s="103"/>
      <c r="J2847" s="103"/>
      <c r="K2847" s="103"/>
      <c r="L2847" s="103"/>
      <c r="M2847" s="104"/>
      <c r="N2847" s="103"/>
    </row>
    <row r="2848" spans="1:14" ht="45" customHeight="1" thickBot="1" x14ac:dyDescent="0.4">
      <c r="A2848" s="103"/>
      <c r="B2848" s="103"/>
      <c r="C2848" s="103"/>
      <c r="D2848" s="103"/>
      <c r="E2848" s="103"/>
      <c r="F2848" s="103"/>
      <c r="G2848" s="103"/>
      <c r="H2848" s="103"/>
      <c r="I2848" s="103"/>
      <c r="J2848" s="103"/>
      <c r="K2848" s="103"/>
      <c r="L2848" s="103"/>
      <c r="M2848" s="104"/>
      <c r="N2848" s="103"/>
    </row>
    <row r="2849" spans="1:14" ht="45" customHeight="1" thickBot="1" x14ac:dyDescent="0.4">
      <c r="A2849" s="103"/>
      <c r="B2849" s="103"/>
      <c r="C2849" s="103"/>
      <c r="D2849" s="103"/>
      <c r="E2849" s="103"/>
      <c r="F2849" s="103"/>
      <c r="G2849" s="103"/>
      <c r="H2849" s="103"/>
      <c r="I2849" s="103"/>
      <c r="J2849" s="103"/>
      <c r="K2849" s="103"/>
      <c r="L2849" s="103"/>
      <c r="M2849" s="104"/>
      <c r="N2849" s="103"/>
    </row>
    <row r="2850" spans="1:14" ht="45" customHeight="1" thickBot="1" x14ac:dyDescent="0.4">
      <c r="A2850" s="103"/>
      <c r="B2850" s="103"/>
      <c r="C2850" s="103"/>
      <c r="D2850" s="103"/>
      <c r="E2850" s="103"/>
      <c r="F2850" s="103"/>
      <c r="G2850" s="103"/>
      <c r="H2850" s="103"/>
      <c r="I2850" s="103"/>
      <c r="J2850" s="103"/>
      <c r="K2850" s="103"/>
      <c r="L2850" s="103"/>
      <c r="M2850" s="104"/>
      <c r="N2850" s="103"/>
    </row>
    <row r="2851" spans="1:14" ht="45" customHeight="1" thickBot="1" x14ac:dyDescent="0.4">
      <c r="A2851" s="103"/>
      <c r="B2851" s="103"/>
      <c r="C2851" s="103"/>
      <c r="D2851" s="103"/>
      <c r="E2851" s="103"/>
      <c r="F2851" s="103"/>
      <c r="G2851" s="103"/>
      <c r="H2851" s="103"/>
      <c r="I2851" s="103"/>
      <c r="J2851" s="103"/>
      <c r="K2851" s="103"/>
      <c r="L2851" s="103"/>
      <c r="M2851" s="104"/>
      <c r="N2851" s="103"/>
    </row>
    <row r="2852" spans="1:14" ht="45" customHeight="1" thickBot="1" x14ac:dyDescent="0.4">
      <c r="A2852" s="103"/>
      <c r="B2852" s="103"/>
      <c r="C2852" s="103"/>
      <c r="D2852" s="103"/>
      <c r="E2852" s="103"/>
      <c r="F2852" s="103"/>
      <c r="G2852" s="103"/>
      <c r="H2852" s="103"/>
      <c r="I2852" s="103"/>
      <c r="J2852" s="103"/>
      <c r="K2852" s="103"/>
      <c r="L2852" s="103"/>
      <c r="M2852" s="104"/>
      <c r="N2852" s="103"/>
    </row>
    <row r="2853" spans="1:14" ht="45" customHeight="1" thickBot="1" x14ac:dyDescent="0.4">
      <c r="A2853" s="103"/>
      <c r="B2853" s="103"/>
      <c r="C2853" s="103"/>
      <c r="D2853" s="103"/>
      <c r="E2853" s="103"/>
      <c r="F2853" s="103"/>
      <c r="G2853" s="103"/>
      <c r="H2853" s="103"/>
      <c r="I2853" s="103"/>
      <c r="J2853" s="103"/>
      <c r="K2853" s="103"/>
      <c r="L2853" s="103"/>
      <c r="M2853" s="104"/>
      <c r="N2853" s="103"/>
    </row>
    <row r="2854" spans="1:14" ht="45" customHeight="1" thickBot="1" x14ac:dyDescent="0.4">
      <c r="A2854" s="103"/>
      <c r="B2854" s="103"/>
      <c r="C2854" s="103"/>
      <c r="D2854" s="103"/>
      <c r="E2854" s="103"/>
      <c r="F2854" s="103"/>
      <c r="G2854" s="103"/>
      <c r="H2854" s="103"/>
      <c r="I2854" s="103"/>
      <c r="J2854" s="103"/>
      <c r="K2854" s="103"/>
      <c r="L2854" s="103"/>
      <c r="M2854" s="104"/>
      <c r="N2854" s="103"/>
    </row>
    <row r="2855" spans="1:14" ht="45" customHeight="1" thickBot="1" x14ac:dyDescent="0.4">
      <c r="A2855" s="103"/>
      <c r="B2855" s="103"/>
      <c r="C2855" s="103"/>
      <c r="D2855" s="103"/>
      <c r="E2855" s="103"/>
      <c r="F2855" s="103"/>
      <c r="G2855" s="103"/>
      <c r="H2855" s="103"/>
      <c r="I2855" s="103"/>
      <c r="J2855" s="103"/>
      <c r="K2855" s="103"/>
      <c r="L2855" s="103"/>
      <c r="M2855" s="104"/>
      <c r="N2855" s="103"/>
    </row>
    <row r="2856" spans="1:14" ht="45" customHeight="1" thickBot="1" x14ac:dyDescent="0.4">
      <c r="A2856" s="103"/>
      <c r="B2856" s="103"/>
      <c r="C2856" s="103"/>
      <c r="D2856" s="103"/>
      <c r="E2856" s="103"/>
      <c r="F2856" s="103"/>
      <c r="G2856" s="103"/>
      <c r="H2856" s="103"/>
      <c r="I2856" s="103"/>
      <c r="J2856" s="103"/>
      <c r="K2856" s="103"/>
      <c r="L2856" s="103"/>
      <c r="M2856" s="104"/>
      <c r="N2856" s="103"/>
    </row>
    <row r="2857" spans="1:14" ht="45" customHeight="1" thickBot="1" x14ac:dyDescent="0.4">
      <c r="A2857" s="103"/>
      <c r="B2857" s="103"/>
      <c r="C2857" s="103"/>
      <c r="D2857" s="103"/>
      <c r="E2857" s="103"/>
      <c r="F2857" s="103"/>
      <c r="G2857" s="103"/>
      <c r="H2857" s="103"/>
      <c r="I2857" s="103"/>
      <c r="J2857" s="103"/>
      <c r="K2857" s="103"/>
      <c r="L2857" s="103"/>
      <c r="M2857" s="104"/>
      <c r="N2857" s="103"/>
    </row>
    <row r="2858" spans="1:14" ht="45" customHeight="1" thickBot="1" x14ac:dyDescent="0.4">
      <c r="A2858" s="103"/>
      <c r="B2858" s="103"/>
      <c r="C2858" s="103"/>
      <c r="D2858" s="103"/>
      <c r="E2858" s="103"/>
      <c r="F2858" s="103"/>
      <c r="G2858" s="103"/>
      <c r="H2858" s="103"/>
      <c r="I2858" s="103"/>
      <c r="J2858" s="103"/>
      <c r="K2858" s="103"/>
      <c r="L2858" s="103"/>
      <c r="M2858" s="104"/>
      <c r="N2858" s="103"/>
    </row>
    <row r="2859" spans="1:14" ht="45" customHeight="1" thickBot="1" x14ac:dyDescent="0.4">
      <c r="A2859" s="103"/>
      <c r="B2859" s="103"/>
      <c r="C2859" s="103"/>
      <c r="D2859" s="103"/>
      <c r="E2859" s="103"/>
      <c r="F2859" s="103"/>
      <c r="G2859" s="103"/>
      <c r="H2859" s="103"/>
      <c r="I2859" s="103"/>
      <c r="J2859" s="103"/>
      <c r="K2859" s="103"/>
      <c r="L2859" s="103"/>
      <c r="M2859" s="104"/>
      <c r="N2859" s="103"/>
    </row>
    <row r="2860" spans="1:14" ht="45" customHeight="1" thickBot="1" x14ac:dyDescent="0.4">
      <c r="A2860" s="103"/>
      <c r="B2860" s="103"/>
      <c r="C2860" s="103"/>
      <c r="D2860" s="103"/>
      <c r="E2860" s="103"/>
      <c r="F2860" s="103"/>
      <c r="G2860" s="103"/>
      <c r="H2860" s="103"/>
      <c r="I2860" s="103"/>
      <c r="J2860" s="103"/>
      <c r="K2860" s="103"/>
      <c r="L2860" s="103"/>
      <c r="M2860" s="104"/>
      <c r="N2860" s="103"/>
    </row>
    <row r="2861" spans="1:14" ht="45" customHeight="1" thickBot="1" x14ac:dyDescent="0.4">
      <c r="A2861" s="103"/>
      <c r="B2861" s="103"/>
      <c r="C2861" s="103"/>
      <c r="D2861" s="103"/>
      <c r="E2861" s="103"/>
      <c r="F2861" s="103"/>
      <c r="G2861" s="103"/>
      <c r="H2861" s="103"/>
      <c r="I2861" s="103"/>
      <c r="J2861" s="103"/>
      <c r="K2861" s="103"/>
      <c r="L2861" s="103"/>
      <c r="M2861" s="104"/>
      <c r="N2861" s="103"/>
    </row>
    <row r="2862" spans="1:14" ht="45" customHeight="1" thickBot="1" x14ac:dyDescent="0.4">
      <c r="A2862" s="103"/>
      <c r="B2862" s="103"/>
      <c r="C2862" s="103"/>
      <c r="D2862" s="103"/>
      <c r="E2862" s="103"/>
      <c r="F2862" s="103"/>
      <c r="G2862" s="103"/>
      <c r="H2862" s="103"/>
      <c r="I2862" s="103"/>
      <c r="J2862" s="103"/>
      <c r="K2862" s="103"/>
      <c r="L2862" s="103"/>
      <c r="M2862" s="104"/>
      <c r="N2862" s="103"/>
    </row>
    <row r="2863" spans="1:14" ht="45" customHeight="1" thickBot="1" x14ac:dyDescent="0.4">
      <c r="A2863" s="103"/>
      <c r="B2863" s="103"/>
      <c r="C2863" s="103"/>
      <c r="D2863" s="103"/>
      <c r="E2863" s="103"/>
      <c r="F2863" s="103"/>
      <c r="G2863" s="103"/>
      <c r="H2863" s="103"/>
      <c r="I2863" s="103"/>
      <c r="J2863" s="103"/>
      <c r="K2863" s="103"/>
      <c r="L2863" s="103"/>
      <c r="M2863" s="104"/>
      <c r="N2863" s="103"/>
    </row>
    <row r="2864" spans="1:14" ht="45" customHeight="1" thickBot="1" x14ac:dyDescent="0.4">
      <c r="A2864" s="103"/>
      <c r="B2864" s="103"/>
      <c r="C2864" s="103"/>
      <c r="D2864" s="103"/>
      <c r="E2864" s="103"/>
      <c r="F2864" s="103"/>
      <c r="G2864" s="103"/>
      <c r="H2864" s="103"/>
      <c r="I2864" s="103"/>
      <c r="J2864" s="103"/>
      <c r="K2864" s="103"/>
      <c r="L2864" s="103"/>
      <c r="M2864" s="104"/>
      <c r="N2864" s="103"/>
    </row>
    <row r="2865" spans="1:14" ht="45" customHeight="1" thickBot="1" x14ac:dyDescent="0.4">
      <c r="A2865" s="103"/>
      <c r="B2865" s="103"/>
      <c r="C2865" s="103"/>
      <c r="D2865" s="103"/>
      <c r="E2865" s="103"/>
      <c r="F2865" s="103"/>
      <c r="G2865" s="103"/>
      <c r="H2865" s="103"/>
      <c r="I2865" s="103"/>
      <c r="J2865" s="103"/>
      <c r="K2865" s="103"/>
      <c r="L2865" s="103"/>
      <c r="M2865" s="104"/>
      <c r="N2865" s="103"/>
    </row>
    <row r="2866" spans="1:14" ht="45" customHeight="1" thickBot="1" x14ac:dyDescent="0.4">
      <c r="A2866" s="103"/>
      <c r="B2866" s="103"/>
      <c r="C2866" s="103"/>
      <c r="D2866" s="103"/>
      <c r="E2866" s="103"/>
      <c r="F2866" s="103"/>
      <c r="G2866" s="103"/>
      <c r="H2866" s="103"/>
      <c r="I2866" s="103"/>
      <c r="J2866" s="103"/>
      <c r="K2866" s="103"/>
      <c r="L2866" s="103"/>
      <c r="M2866" s="104"/>
      <c r="N2866" s="103"/>
    </row>
    <row r="2867" spans="1:14" ht="45" customHeight="1" thickBot="1" x14ac:dyDescent="0.4">
      <c r="A2867" s="103"/>
      <c r="B2867" s="103"/>
      <c r="C2867" s="103"/>
      <c r="D2867" s="103"/>
      <c r="E2867" s="103"/>
      <c r="F2867" s="103"/>
      <c r="G2867" s="103"/>
      <c r="H2867" s="103"/>
      <c r="I2867" s="103"/>
      <c r="J2867" s="103"/>
      <c r="K2867" s="103"/>
      <c r="L2867" s="103"/>
      <c r="M2867" s="104"/>
      <c r="N2867" s="103"/>
    </row>
    <row r="2868" spans="1:14" ht="45" customHeight="1" thickBot="1" x14ac:dyDescent="0.4">
      <c r="A2868" s="103"/>
      <c r="B2868" s="103"/>
      <c r="C2868" s="103"/>
      <c r="D2868" s="103"/>
      <c r="E2868" s="103"/>
      <c r="F2868" s="103"/>
      <c r="G2868" s="103"/>
      <c r="H2868" s="103"/>
      <c r="I2868" s="103"/>
      <c r="J2868" s="103"/>
      <c r="K2868" s="103"/>
      <c r="L2868" s="103"/>
      <c r="M2868" s="104"/>
      <c r="N2868" s="103"/>
    </row>
    <row r="2869" spans="1:14" ht="45" customHeight="1" thickBot="1" x14ac:dyDescent="0.4">
      <c r="A2869" s="103"/>
      <c r="B2869" s="103"/>
      <c r="C2869" s="103"/>
      <c r="D2869" s="103"/>
      <c r="E2869" s="103"/>
      <c r="F2869" s="103"/>
      <c r="G2869" s="103"/>
      <c r="H2869" s="103"/>
      <c r="I2869" s="103"/>
      <c r="J2869" s="103"/>
      <c r="K2869" s="103"/>
      <c r="L2869" s="103"/>
      <c r="M2869" s="104"/>
      <c r="N2869" s="103"/>
    </row>
    <row r="2870" spans="1:14" ht="45" customHeight="1" thickBot="1" x14ac:dyDescent="0.4">
      <c r="A2870" s="103"/>
      <c r="B2870" s="103"/>
      <c r="C2870" s="103"/>
      <c r="D2870" s="103"/>
      <c r="E2870" s="103"/>
      <c r="F2870" s="103"/>
      <c r="G2870" s="103"/>
      <c r="H2870" s="103"/>
      <c r="I2870" s="103"/>
      <c r="J2870" s="103"/>
      <c r="K2870" s="103"/>
      <c r="L2870" s="103"/>
      <c r="M2870" s="104"/>
      <c r="N2870" s="103"/>
    </row>
    <row r="2871" spans="1:14" ht="45" customHeight="1" thickBot="1" x14ac:dyDescent="0.4">
      <c r="A2871" s="103"/>
      <c r="B2871" s="103"/>
      <c r="C2871" s="103"/>
      <c r="D2871" s="103"/>
      <c r="E2871" s="103"/>
      <c r="F2871" s="103"/>
      <c r="G2871" s="103"/>
      <c r="H2871" s="103"/>
      <c r="I2871" s="103"/>
      <c r="J2871" s="103"/>
      <c r="K2871" s="103"/>
      <c r="L2871" s="103"/>
      <c r="M2871" s="104"/>
      <c r="N2871" s="103"/>
    </row>
    <row r="2872" spans="1:14" ht="45" customHeight="1" thickBot="1" x14ac:dyDescent="0.4">
      <c r="A2872" s="103"/>
      <c r="B2872" s="103"/>
      <c r="C2872" s="103"/>
      <c r="D2872" s="103"/>
      <c r="E2872" s="103"/>
      <c r="F2872" s="103"/>
      <c r="G2872" s="103"/>
      <c r="H2872" s="103"/>
      <c r="I2872" s="103"/>
      <c r="J2872" s="103"/>
      <c r="K2872" s="103"/>
      <c r="L2872" s="103"/>
      <c r="M2872" s="104"/>
      <c r="N2872" s="103"/>
    </row>
    <row r="2873" spans="1:14" ht="45" customHeight="1" thickBot="1" x14ac:dyDescent="0.4">
      <c r="A2873" s="103"/>
      <c r="B2873" s="103"/>
      <c r="C2873" s="103"/>
      <c r="D2873" s="103"/>
      <c r="E2873" s="103"/>
      <c r="F2873" s="103"/>
      <c r="G2873" s="103"/>
      <c r="H2873" s="103"/>
      <c r="I2873" s="103"/>
      <c r="J2873" s="103"/>
      <c r="K2873" s="103"/>
      <c r="L2873" s="103"/>
      <c r="M2873" s="104"/>
      <c r="N2873" s="103"/>
    </row>
    <row r="2874" spans="1:14" ht="45" customHeight="1" thickBot="1" x14ac:dyDescent="0.4">
      <c r="A2874" s="103"/>
      <c r="B2874" s="103"/>
      <c r="C2874" s="103"/>
      <c r="D2874" s="103"/>
      <c r="E2874" s="103"/>
      <c r="F2874" s="103"/>
      <c r="G2874" s="103"/>
      <c r="H2874" s="103"/>
      <c r="I2874" s="103"/>
      <c r="J2874" s="103"/>
      <c r="K2874" s="103"/>
      <c r="L2874" s="103"/>
      <c r="M2874" s="104"/>
      <c r="N2874" s="103"/>
    </row>
    <row r="2875" spans="1:14" ht="45" customHeight="1" thickBot="1" x14ac:dyDescent="0.4">
      <c r="A2875" s="103"/>
      <c r="B2875" s="103"/>
      <c r="C2875" s="103"/>
      <c r="D2875" s="103"/>
      <c r="E2875" s="103"/>
      <c r="F2875" s="103"/>
      <c r="G2875" s="103"/>
      <c r="H2875" s="103"/>
      <c r="I2875" s="103"/>
      <c r="J2875" s="103"/>
      <c r="K2875" s="103"/>
      <c r="L2875" s="103"/>
      <c r="M2875" s="104"/>
      <c r="N2875" s="103"/>
    </row>
    <row r="2876" spans="1:14" ht="45" customHeight="1" thickBot="1" x14ac:dyDescent="0.4">
      <c r="A2876" s="103"/>
      <c r="B2876" s="103"/>
      <c r="C2876" s="103"/>
      <c r="D2876" s="103"/>
      <c r="E2876" s="103"/>
      <c r="F2876" s="103"/>
      <c r="G2876" s="103"/>
      <c r="H2876" s="103"/>
      <c r="I2876" s="103"/>
      <c r="J2876" s="103"/>
      <c r="K2876" s="103"/>
      <c r="L2876" s="103"/>
      <c r="M2876" s="104"/>
      <c r="N2876" s="103"/>
    </row>
    <row r="2877" spans="1:14" ht="45" customHeight="1" thickBot="1" x14ac:dyDescent="0.4">
      <c r="A2877" s="103"/>
      <c r="B2877" s="103"/>
      <c r="C2877" s="103"/>
      <c r="D2877" s="103"/>
      <c r="E2877" s="103"/>
      <c r="F2877" s="103"/>
      <c r="G2877" s="103"/>
      <c r="H2877" s="103"/>
      <c r="I2877" s="103"/>
      <c r="J2877" s="103"/>
      <c r="K2877" s="103"/>
      <c r="L2877" s="103"/>
      <c r="M2877" s="104"/>
      <c r="N2877" s="103"/>
    </row>
    <row r="2878" spans="1:14" ht="45" customHeight="1" thickBot="1" x14ac:dyDescent="0.4">
      <c r="A2878" s="103"/>
      <c r="B2878" s="103"/>
      <c r="C2878" s="103"/>
      <c r="D2878" s="103"/>
      <c r="E2878" s="103"/>
      <c r="F2878" s="103"/>
      <c r="G2878" s="103"/>
      <c r="H2878" s="103"/>
      <c r="I2878" s="103"/>
      <c r="J2878" s="103"/>
      <c r="K2878" s="103"/>
      <c r="L2878" s="103"/>
      <c r="M2878" s="104"/>
      <c r="N2878" s="103"/>
    </row>
    <row r="2879" spans="1:14" ht="45" customHeight="1" thickBot="1" x14ac:dyDescent="0.4">
      <c r="A2879" s="103"/>
      <c r="B2879" s="103"/>
      <c r="C2879" s="103"/>
      <c r="D2879" s="103"/>
      <c r="E2879" s="103"/>
      <c r="F2879" s="103"/>
      <c r="G2879" s="103"/>
      <c r="H2879" s="103"/>
      <c r="I2879" s="103"/>
      <c r="J2879" s="103"/>
      <c r="K2879" s="103"/>
      <c r="L2879" s="103"/>
      <c r="M2879" s="104"/>
      <c r="N2879" s="103"/>
    </row>
    <row r="2880" spans="1:14" ht="45" customHeight="1" thickBot="1" x14ac:dyDescent="0.4">
      <c r="A2880" s="103"/>
      <c r="B2880" s="103"/>
      <c r="C2880" s="103"/>
      <c r="D2880" s="103"/>
      <c r="E2880" s="103"/>
      <c r="F2880" s="103"/>
      <c r="G2880" s="103"/>
      <c r="H2880" s="103"/>
      <c r="I2880" s="103"/>
      <c r="J2880" s="103"/>
      <c r="K2880" s="103"/>
      <c r="L2880" s="103"/>
      <c r="M2880" s="104"/>
      <c r="N2880" s="103"/>
    </row>
    <row r="2881" spans="1:14" ht="45" customHeight="1" thickBot="1" x14ac:dyDescent="0.4">
      <c r="A2881" s="103"/>
      <c r="B2881" s="103"/>
      <c r="C2881" s="103"/>
      <c r="D2881" s="103"/>
      <c r="E2881" s="103"/>
      <c r="F2881" s="103"/>
      <c r="G2881" s="103"/>
      <c r="H2881" s="103"/>
      <c r="I2881" s="103"/>
      <c r="J2881" s="103"/>
      <c r="K2881" s="103"/>
      <c r="L2881" s="103"/>
      <c r="M2881" s="104"/>
      <c r="N2881" s="103"/>
    </row>
    <row r="2882" spans="1:14" ht="45" customHeight="1" thickBot="1" x14ac:dyDescent="0.4">
      <c r="A2882" s="103"/>
      <c r="B2882" s="103"/>
      <c r="C2882" s="103"/>
      <c r="D2882" s="103"/>
      <c r="E2882" s="103"/>
      <c r="F2882" s="103"/>
      <c r="G2882" s="103"/>
      <c r="H2882" s="103"/>
      <c r="I2882" s="103"/>
      <c r="J2882" s="103"/>
      <c r="K2882" s="103"/>
      <c r="L2882" s="103"/>
      <c r="M2882" s="104"/>
      <c r="N2882" s="103"/>
    </row>
    <row r="2883" spans="1:14" ht="45" customHeight="1" thickBot="1" x14ac:dyDescent="0.4">
      <c r="A2883" s="103"/>
      <c r="B2883" s="103"/>
      <c r="C2883" s="103"/>
      <c r="D2883" s="103"/>
      <c r="E2883" s="103"/>
      <c r="F2883" s="103"/>
      <c r="G2883" s="103"/>
      <c r="H2883" s="103"/>
      <c r="I2883" s="103"/>
      <c r="J2883" s="103"/>
      <c r="K2883" s="103"/>
      <c r="L2883" s="103"/>
      <c r="M2883" s="104"/>
      <c r="N2883" s="103"/>
    </row>
    <row r="2884" spans="1:14" ht="45" customHeight="1" thickBot="1" x14ac:dyDescent="0.4">
      <c r="A2884" s="103"/>
      <c r="B2884" s="103"/>
      <c r="C2884" s="103"/>
      <c r="D2884" s="103"/>
      <c r="E2884" s="103"/>
      <c r="F2884" s="103"/>
      <c r="G2884" s="103"/>
      <c r="H2884" s="103"/>
      <c r="I2884" s="103"/>
      <c r="J2884" s="103"/>
      <c r="K2884" s="103"/>
      <c r="L2884" s="103"/>
      <c r="M2884" s="104"/>
      <c r="N2884" s="103"/>
    </row>
    <row r="2885" spans="1:14" ht="45" customHeight="1" thickBot="1" x14ac:dyDescent="0.4">
      <c r="A2885" s="103"/>
      <c r="B2885" s="103"/>
      <c r="C2885" s="103"/>
      <c r="D2885" s="103"/>
      <c r="E2885" s="103"/>
      <c r="F2885" s="103"/>
      <c r="G2885" s="103"/>
      <c r="H2885" s="103"/>
      <c r="I2885" s="103"/>
      <c r="J2885" s="103"/>
      <c r="K2885" s="103"/>
      <c r="L2885" s="103"/>
      <c r="M2885" s="104"/>
      <c r="N2885" s="103"/>
    </row>
    <row r="2886" spans="1:14" ht="45" customHeight="1" thickBot="1" x14ac:dyDescent="0.4">
      <c r="A2886" s="103"/>
      <c r="B2886" s="103"/>
      <c r="C2886" s="103"/>
      <c r="D2886" s="103"/>
      <c r="E2886" s="103"/>
      <c r="F2886" s="103"/>
      <c r="G2886" s="103"/>
      <c r="H2886" s="103"/>
      <c r="I2886" s="103"/>
      <c r="J2886" s="103"/>
      <c r="K2886" s="103"/>
      <c r="L2886" s="103"/>
      <c r="M2886" s="104"/>
      <c r="N2886" s="103"/>
    </row>
    <row r="2887" spans="1:14" ht="45" customHeight="1" thickBot="1" x14ac:dyDescent="0.4">
      <c r="A2887" s="103"/>
      <c r="B2887" s="103"/>
      <c r="C2887" s="103"/>
      <c r="D2887" s="103"/>
      <c r="E2887" s="103"/>
      <c r="F2887" s="103"/>
      <c r="G2887" s="103"/>
      <c r="H2887" s="103"/>
      <c r="I2887" s="103"/>
      <c r="J2887" s="103"/>
      <c r="K2887" s="103"/>
      <c r="L2887" s="103"/>
      <c r="M2887" s="104"/>
      <c r="N2887" s="103"/>
    </row>
    <row r="2888" spans="1:14" ht="45" customHeight="1" thickBot="1" x14ac:dyDescent="0.4">
      <c r="A2888" s="103"/>
      <c r="B2888" s="103"/>
      <c r="C2888" s="103"/>
      <c r="D2888" s="103"/>
      <c r="E2888" s="103"/>
      <c r="F2888" s="103"/>
      <c r="G2888" s="103"/>
      <c r="H2888" s="103"/>
      <c r="I2888" s="103"/>
      <c r="J2888" s="103"/>
      <c r="K2888" s="103"/>
      <c r="L2888" s="103"/>
      <c r="M2888" s="104"/>
      <c r="N2888" s="103"/>
    </row>
    <row r="2889" spans="1:14" ht="45" customHeight="1" thickBot="1" x14ac:dyDescent="0.4">
      <c r="A2889" s="103"/>
      <c r="B2889" s="103"/>
      <c r="C2889" s="103"/>
      <c r="D2889" s="103"/>
      <c r="E2889" s="103"/>
      <c r="F2889" s="103"/>
      <c r="G2889" s="103"/>
      <c r="H2889" s="103"/>
      <c r="I2889" s="103"/>
      <c r="J2889" s="103"/>
      <c r="K2889" s="103"/>
      <c r="L2889" s="103"/>
      <c r="M2889" s="104"/>
      <c r="N2889" s="103"/>
    </row>
    <row r="2890" spans="1:14" ht="45" customHeight="1" thickBot="1" x14ac:dyDescent="0.4">
      <c r="A2890" s="103"/>
      <c r="B2890" s="103"/>
      <c r="C2890" s="103"/>
      <c r="D2890" s="103"/>
      <c r="E2890" s="103"/>
      <c r="F2890" s="103"/>
      <c r="G2890" s="103"/>
      <c r="H2890" s="103"/>
      <c r="I2890" s="103"/>
      <c r="J2890" s="103"/>
      <c r="K2890" s="103"/>
      <c r="L2890" s="103"/>
      <c r="M2890" s="104"/>
      <c r="N2890" s="103"/>
    </row>
    <row r="2891" spans="1:14" ht="45" customHeight="1" thickBot="1" x14ac:dyDescent="0.4">
      <c r="A2891" s="103"/>
      <c r="B2891" s="103"/>
      <c r="C2891" s="103"/>
      <c r="D2891" s="103"/>
      <c r="E2891" s="103"/>
      <c r="F2891" s="103"/>
      <c r="G2891" s="103"/>
      <c r="H2891" s="103"/>
      <c r="I2891" s="103"/>
      <c r="J2891" s="103"/>
      <c r="K2891" s="103"/>
      <c r="L2891" s="103"/>
      <c r="M2891" s="104"/>
      <c r="N2891" s="103"/>
    </row>
    <row r="2892" spans="1:14" ht="45" customHeight="1" thickBot="1" x14ac:dyDescent="0.4">
      <c r="A2892" s="103"/>
      <c r="B2892" s="103"/>
      <c r="C2892" s="103"/>
      <c r="D2892" s="103"/>
      <c r="E2892" s="103"/>
      <c r="F2892" s="103"/>
      <c r="G2892" s="103"/>
      <c r="H2892" s="103"/>
      <c r="I2892" s="103"/>
      <c r="J2892" s="103"/>
      <c r="K2892" s="103"/>
      <c r="L2892" s="103"/>
      <c r="M2892" s="104"/>
      <c r="N2892" s="103"/>
    </row>
    <row r="2893" spans="1:14" ht="45" customHeight="1" thickBot="1" x14ac:dyDescent="0.4">
      <c r="A2893" s="103"/>
      <c r="B2893" s="103"/>
      <c r="C2893" s="103"/>
      <c r="D2893" s="103"/>
      <c r="E2893" s="103"/>
      <c r="F2893" s="103"/>
      <c r="G2893" s="103"/>
      <c r="H2893" s="103"/>
      <c r="I2893" s="103"/>
      <c r="J2893" s="103"/>
      <c r="K2893" s="103"/>
      <c r="L2893" s="103"/>
      <c r="M2893" s="104"/>
      <c r="N2893" s="103"/>
    </row>
    <row r="2894" spans="1:14" ht="45" customHeight="1" thickBot="1" x14ac:dyDescent="0.4">
      <c r="A2894" s="103"/>
      <c r="B2894" s="103"/>
      <c r="C2894" s="103"/>
      <c r="D2894" s="103"/>
      <c r="E2894" s="103"/>
      <c r="F2894" s="103"/>
      <c r="G2894" s="103"/>
      <c r="H2894" s="103"/>
      <c r="I2894" s="103"/>
      <c r="J2894" s="103"/>
      <c r="K2894" s="103"/>
      <c r="L2894" s="103"/>
      <c r="M2894" s="104"/>
      <c r="N2894" s="103"/>
    </row>
    <row r="2895" spans="1:14" ht="45" customHeight="1" thickBot="1" x14ac:dyDescent="0.4">
      <c r="A2895" s="103"/>
      <c r="B2895" s="103"/>
      <c r="C2895" s="103"/>
      <c r="D2895" s="103"/>
      <c r="E2895" s="103"/>
      <c r="F2895" s="103"/>
      <c r="G2895" s="103"/>
      <c r="H2895" s="103"/>
      <c r="I2895" s="103"/>
      <c r="J2895" s="103"/>
      <c r="K2895" s="103"/>
      <c r="L2895" s="103"/>
      <c r="M2895" s="104"/>
      <c r="N2895" s="103"/>
    </row>
    <row r="2896" spans="1:14" ht="45" customHeight="1" thickBot="1" x14ac:dyDescent="0.4">
      <c r="A2896" s="103"/>
      <c r="B2896" s="103"/>
      <c r="C2896" s="103"/>
      <c r="D2896" s="103"/>
      <c r="E2896" s="103"/>
      <c r="F2896" s="103"/>
      <c r="G2896" s="103"/>
      <c r="H2896" s="103"/>
      <c r="I2896" s="103"/>
      <c r="J2896" s="103"/>
      <c r="K2896" s="103"/>
      <c r="L2896" s="103"/>
      <c r="M2896" s="104"/>
      <c r="N2896" s="103"/>
    </row>
    <row r="2897" spans="1:14" ht="45" customHeight="1" thickBot="1" x14ac:dyDescent="0.4">
      <c r="A2897" s="103"/>
      <c r="B2897" s="103"/>
      <c r="C2897" s="103"/>
      <c r="D2897" s="103"/>
      <c r="E2897" s="103"/>
      <c r="F2897" s="103"/>
      <c r="G2897" s="103"/>
      <c r="H2897" s="103"/>
      <c r="I2897" s="103"/>
      <c r="J2897" s="103"/>
      <c r="K2897" s="103"/>
      <c r="L2897" s="103"/>
      <c r="M2897" s="104"/>
      <c r="N2897" s="103"/>
    </row>
    <row r="2898" spans="1:14" ht="45" customHeight="1" thickBot="1" x14ac:dyDescent="0.4">
      <c r="A2898" s="103"/>
      <c r="B2898" s="103"/>
      <c r="C2898" s="103"/>
      <c r="D2898" s="103"/>
      <c r="E2898" s="103"/>
      <c r="F2898" s="103"/>
      <c r="G2898" s="103"/>
      <c r="H2898" s="103"/>
      <c r="I2898" s="103"/>
      <c r="J2898" s="103"/>
      <c r="K2898" s="103"/>
      <c r="L2898" s="103"/>
      <c r="M2898" s="104"/>
      <c r="N2898" s="103"/>
    </row>
    <row r="2899" spans="1:14" ht="45" customHeight="1" thickBot="1" x14ac:dyDescent="0.4">
      <c r="A2899" s="103"/>
      <c r="B2899" s="103"/>
      <c r="C2899" s="103"/>
      <c r="D2899" s="103"/>
      <c r="E2899" s="103"/>
      <c r="F2899" s="103"/>
      <c r="G2899" s="103"/>
      <c r="H2899" s="103"/>
      <c r="I2899" s="103"/>
      <c r="J2899" s="103"/>
      <c r="K2899" s="103"/>
      <c r="L2899" s="103"/>
      <c r="M2899" s="104"/>
      <c r="N2899" s="103"/>
    </row>
    <row r="2900" spans="1:14" ht="45" customHeight="1" thickBot="1" x14ac:dyDescent="0.4">
      <c r="A2900" s="103"/>
      <c r="B2900" s="103"/>
      <c r="C2900" s="103"/>
      <c r="D2900" s="103"/>
      <c r="E2900" s="103"/>
      <c r="F2900" s="103"/>
      <c r="G2900" s="103"/>
      <c r="H2900" s="103"/>
      <c r="I2900" s="103"/>
      <c r="J2900" s="103"/>
      <c r="K2900" s="103"/>
      <c r="L2900" s="103"/>
      <c r="M2900" s="104"/>
      <c r="N2900" s="103"/>
    </row>
    <row r="2901" spans="1:14" ht="45" customHeight="1" thickBot="1" x14ac:dyDescent="0.4">
      <c r="A2901" s="103"/>
      <c r="B2901" s="103"/>
      <c r="C2901" s="103"/>
      <c r="D2901" s="103"/>
      <c r="E2901" s="103"/>
      <c r="F2901" s="103"/>
      <c r="G2901" s="103"/>
      <c r="H2901" s="103"/>
      <c r="I2901" s="103"/>
      <c r="J2901" s="103"/>
      <c r="K2901" s="103"/>
      <c r="L2901" s="103"/>
      <c r="M2901" s="104"/>
      <c r="N2901" s="103"/>
    </row>
    <row r="2902" spans="1:14" ht="45" customHeight="1" thickBot="1" x14ac:dyDescent="0.4">
      <c r="A2902" s="103"/>
      <c r="B2902" s="103"/>
      <c r="C2902" s="103"/>
      <c r="D2902" s="103"/>
      <c r="E2902" s="103"/>
      <c r="F2902" s="103"/>
      <c r="G2902" s="103"/>
      <c r="H2902" s="103"/>
      <c r="I2902" s="103"/>
      <c r="J2902" s="103"/>
      <c r="K2902" s="103"/>
      <c r="L2902" s="103"/>
      <c r="M2902" s="104"/>
      <c r="N2902" s="103"/>
    </row>
    <row r="2903" spans="1:14" ht="45" customHeight="1" thickBot="1" x14ac:dyDescent="0.4">
      <c r="A2903" s="103"/>
      <c r="B2903" s="103"/>
      <c r="C2903" s="103"/>
      <c r="D2903" s="103"/>
      <c r="E2903" s="103"/>
      <c r="F2903" s="103"/>
      <c r="G2903" s="103"/>
      <c r="H2903" s="103"/>
      <c r="I2903" s="103"/>
      <c r="J2903" s="103"/>
      <c r="K2903" s="103"/>
      <c r="L2903" s="103"/>
      <c r="M2903" s="104"/>
      <c r="N2903" s="103"/>
    </row>
    <row r="2904" spans="1:14" ht="45" customHeight="1" thickBot="1" x14ac:dyDescent="0.4">
      <c r="A2904" s="103"/>
      <c r="B2904" s="103"/>
      <c r="C2904" s="103"/>
      <c r="D2904" s="103"/>
      <c r="E2904" s="103"/>
      <c r="F2904" s="103"/>
      <c r="G2904" s="103"/>
      <c r="H2904" s="103"/>
      <c r="I2904" s="103"/>
      <c r="J2904" s="103"/>
      <c r="K2904" s="103"/>
      <c r="L2904" s="103"/>
      <c r="M2904" s="104"/>
      <c r="N2904" s="103"/>
    </row>
    <row r="2905" spans="1:14" ht="45" customHeight="1" thickBot="1" x14ac:dyDescent="0.4">
      <c r="A2905" s="103"/>
      <c r="B2905" s="103"/>
      <c r="C2905" s="103"/>
      <c r="D2905" s="103"/>
      <c r="E2905" s="103"/>
      <c r="F2905" s="103"/>
      <c r="G2905" s="103"/>
      <c r="H2905" s="103"/>
      <c r="I2905" s="103"/>
      <c r="J2905" s="103"/>
      <c r="K2905" s="103"/>
      <c r="L2905" s="103"/>
      <c r="M2905" s="104"/>
      <c r="N2905" s="103"/>
    </row>
    <row r="2906" spans="1:14" ht="45" customHeight="1" thickBot="1" x14ac:dyDescent="0.4">
      <c r="A2906" s="103"/>
      <c r="B2906" s="103"/>
      <c r="C2906" s="103"/>
      <c r="D2906" s="103"/>
      <c r="E2906" s="103"/>
      <c r="F2906" s="103"/>
      <c r="G2906" s="103"/>
      <c r="H2906" s="103"/>
      <c r="I2906" s="103"/>
      <c r="J2906" s="103"/>
      <c r="K2906" s="103"/>
      <c r="L2906" s="103"/>
      <c r="M2906" s="104"/>
      <c r="N2906" s="103"/>
    </row>
    <row r="2907" spans="1:14" ht="45" customHeight="1" thickBot="1" x14ac:dyDescent="0.4">
      <c r="A2907" s="103"/>
      <c r="B2907" s="103"/>
      <c r="C2907" s="103"/>
      <c r="D2907" s="103"/>
      <c r="E2907" s="103"/>
      <c r="F2907" s="103"/>
      <c r="G2907" s="103"/>
      <c r="H2907" s="103"/>
      <c r="I2907" s="103"/>
      <c r="J2907" s="103"/>
      <c r="K2907" s="103"/>
      <c r="L2907" s="103"/>
      <c r="M2907" s="104"/>
      <c r="N2907" s="103"/>
    </row>
    <row r="2908" spans="1:14" ht="45" customHeight="1" thickBot="1" x14ac:dyDescent="0.4">
      <c r="A2908" s="103"/>
      <c r="B2908" s="103"/>
      <c r="C2908" s="103"/>
      <c r="D2908" s="103"/>
      <c r="E2908" s="103"/>
      <c r="F2908" s="103"/>
      <c r="G2908" s="103"/>
      <c r="H2908" s="103"/>
      <c r="I2908" s="103"/>
      <c r="J2908" s="103"/>
      <c r="K2908" s="103"/>
      <c r="L2908" s="103"/>
      <c r="M2908" s="104"/>
      <c r="N2908" s="103"/>
    </row>
    <row r="2909" spans="1:14" ht="45" customHeight="1" thickBot="1" x14ac:dyDescent="0.4">
      <c r="A2909" s="103"/>
      <c r="B2909" s="103"/>
      <c r="C2909" s="103"/>
      <c r="D2909" s="103"/>
      <c r="E2909" s="103"/>
      <c r="F2909" s="103"/>
      <c r="G2909" s="103"/>
      <c r="H2909" s="103"/>
      <c r="I2909" s="103"/>
      <c r="J2909" s="103"/>
      <c r="K2909" s="103"/>
      <c r="L2909" s="103"/>
      <c r="M2909" s="104"/>
      <c r="N2909" s="103"/>
    </row>
    <row r="2910" spans="1:14" ht="45" customHeight="1" thickBot="1" x14ac:dyDescent="0.4">
      <c r="A2910" s="103"/>
      <c r="B2910" s="103"/>
      <c r="C2910" s="103"/>
      <c r="D2910" s="103"/>
      <c r="E2910" s="103"/>
      <c r="F2910" s="103"/>
      <c r="G2910" s="103"/>
      <c r="H2910" s="103"/>
      <c r="I2910" s="103"/>
      <c r="J2910" s="103"/>
      <c r="K2910" s="103"/>
      <c r="L2910" s="103"/>
      <c r="M2910" s="104"/>
      <c r="N2910" s="103"/>
    </row>
    <row r="2911" spans="1:14" ht="45" customHeight="1" thickBot="1" x14ac:dyDescent="0.4">
      <c r="A2911" s="103"/>
      <c r="B2911" s="103"/>
      <c r="C2911" s="103"/>
      <c r="D2911" s="103"/>
      <c r="E2911" s="103"/>
      <c r="F2911" s="103"/>
      <c r="G2911" s="103"/>
      <c r="H2911" s="103"/>
      <c r="I2911" s="103"/>
      <c r="J2911" s="103"/>
      <c r="K2911" s="103"/>
      <c r="L2911" s="103"/>
      <c r="M2911" s="104"/>
      <c r="N2911" s="103"/>
    </row>
    <row r="2912" spans="1:14" ht="45" customHeight="1" thickBot="1" x14ac:dyDescent="0.4">
      <c r="A2912" s="103"/>
      <c r="B2912" s="103"/>
      <c r="C2912" s="103"/>
      <c r="D2912" s="103"/>
      <c r="E2912" s="103"/>
      <c r="F2912" s="103"/>
      <c r="G2912" s="103"/>
      <c r="H2912" s="103"/>
      <c r="I2912" s="103"/>
      <c r="J2912" s="103"/>
      <c r="K2912" s="103"/>
      <c r="L2912" s="103"/>
      <c r="M2912" s="104"/>
      <c r="N2912" s="103"/>
    </row>
    <row r="2913" spans="1:14" ht="45" customHeight="1" thickBot="1" x14ac:dyDescent="0.4">
      <c r="A2913" s="103"/>
      <c r="B2913" s="103"/>
      <c r="C2913" s="103"/>
      <c r="D2913" s="103"/>
      <c r="E2913" s="103"/>
      <c r="F2913" s="103"/>
      <c r="G2913" s="103"/>
      <c r="H2913" s="103"/>
      <c r="I2913" s="103"/>
      <c r="J2913" s="103"/>
      <c r="K2913" s="103"/>
      <c r="L2913" s="103"/>
      <c r="M2913" s="104"/>
      <c r="N2913" s="103"/>
    </row>
    <row r="2914" spans="1:14" ht="45" customHeight="1" thickBot="1" x14ac:dyDescent="0.4">
      <c r="A2914" s="103"/>
      <c r="B2914" s="103"/>
      <c r="C2914" s="103"/>
      <c r="D2914" s="103"/>
      <c r="E2914" s="103"/>
      <c r="F2914" s="103"/>
      <c r="G2914" s="103"/>
      <c r="H2914" s="103"/>
      <c r="I2914" s="103"/>
      <c r="J2914" s="103"/>
      <c r="K2914" s="103"/>
      <c r="L2914" s="103"/>
      <c r="M2914" s="104"/>
      <c r="N2914" s="103"/>
    </row>
    <row r="2915" spans="1:14" ht="45" customHeight="1" thickBot="1" x14ac:dyDescent="0.4">
      <c r="A2915" s="103"/>
      <c r="B2915" s="103"/>
      <c r="C2915" s="103"/>
      <c r="D2915" s="103"/>
      <c r="E2915" s="103"/>
      <c r="F2915" s="103"/>
      <c r="G2915" s="103"/>
      <c r="H2915" s="103"/>
      <c r="I2915" s="103"/>
      <c r="J2915" s="103"/>
      <c r="K2915" s="103"/>
      <c r="L2915" s="103"/>
      <c r="M2915" s="104"/>
      <c r="N2915" s="103"/>
    </row>
    <row r="2916" spans="1:14" ht="45" customHeight="1" thickBot="1" x14ac:dyDescent="0.4">
      <c r="A2916" s="103"/>
      <c r="B2916" s="103"/>
      <c r="C2916" s="103"/>
      <c r="D2916" s="103"/>
      <c r="E2916" s="103"/>
      <c r="F2916" s="103"/>
      <c r="G2916" s="103"/>
      <c r="H2916" s="103"/>
      <c r="I2916" s="103"/>
      <c r="J2916" s="103"/>
      <c r="K2916" s="103"/>
      <c r="L2916" s="103"/>
      <c r="M2916" s="104"/>
      <c r="N2916" s="103"/>
    </row>
    <row r="2917" spans="1:14" ht="45" customHeight="1" thickBot="1" x14ac:dyDescent="0.4">
      <c r="A2917" s="103"/>
      <c r="B2917" s="103"/>
      <c r="C2917" s="103"/>
      <c r="D2917" s="103"/>
      <c r="E2917" s="103"/>
      <c r="F2917" s="103"/>
      <c r="G2917" s="103"/>
      <c r="H2917" s="103"/>
      <c r="I2917" s="103"/>
      <c r="J2917" s="103"/>
      <c r="K2917" s="103"/>
      <c r="L2917" s="103"/>
      <c r="M2917" s="104"/>
      <c r="N2917" s="103"/>
    </row>
    <row r="2918" spans="1:14" ht="45" customHeight="1" thickBot="1" x14ac:dyDescent="0.4">
      <c r="A2918" s="103"/>
      <c r="B2918" s="103"/>
      <c r="C2918" s="103"/>
      <c r="D2918" s="103"/>
      <c r="E2918" s="103"/>
      <c r="F2918" s="103"/>
      <c r="G2918" s="103"/>
      <c r="H2918" s="103"/>
      <c r="I2918" s="103"/>
      <c r="J2918" s="103"/>
      <c r="K2918" s="103"/>
      <c r="L2918" s="103"/>
      <c r="M2918" s="104"/>
      <c r="N2918" s="103"/>
    </row>
    <row r="2919" spans="1:14" ht="45" customHeight="1" thickBot="1" x14ac:dyDescent="0.4">
      <c r="A2919" s="103"/>
      <c r="B2919" s="103"/>
      <c r="C2919" s="103"/>
      <c r="D2919" s="103"/>
      <c r="E2919" s="103"/>
      <c r="F2919" s="103"/>
      <c r="G2919" s="103"/>
      <c r="H2919" s="103"/>
      <c r="I2919" s="103"/>
      <c r="J2919" s="103"/>
      <c r="K2919" s="103"/>
      <c r="L2919" s="103"/>
      <c r="M2919" s="104"/>
      <c r="N2919" s="103"/>
    </row>
    <row r="2920" spans="1:14" ht="45" customHeight="1" thickBot="1" x14ac:dyDescent="0.4">
      <c r="A2920" s="103"/>
      <c r="B2920" s="103"/>
      <c r="C2920" s="103"/>
      <c r="D2920" s="103"/>
      <c r="E2920" s="103"/>
      <c r="F2920" s="103"/>
      <c r="G2920" s="103"/>
      <c r="H2920" s="103"/>
      <c r="I2920" s="103"/>
      <c r="J2920" s="103"/>
      <c r="K2920" s="103"/>
      <c r="L2920" s="103"/>
      <c r="M2920" s="104"/>
      <c r="N2920" s="103"/>
    </row>
    <row r="2921" spans="1:14" ht="45" customHeight="1" thickBot="1" x14ac:dyDescent="0.4">
      <c r="A2921" s="103"/>
      <c r="B2921" s="103"/>
      <c r="C2921" s="103"/>
      <c r="D2921" s="103"/>
      <c r="E2921" s="103"/>
      <c r="F2921" s="103"/>
      <c r="G2921" s="103"/>
      <c r="H2921" s="103"/>
      <c r="I2921" s="103"/>
      <c r="J2921" s="103"/>
      <c r="K2921" s="103"/>
      <c r="L2921" s="103"/>
      <c r="M2921" s="104"/>
      <c r="N2921" s="103"/>
    </row>
    <row r="2922" spans="1:14" ht="45" customHeight="1" thickBot="1" x14ac:dyDescent="0.4">
      <c r="A2922" s="103"/>
      <c r="B2922" s="103"/>
      <c r="C2922" s="103"/>
      <c r="D2922" s="103"/>
      <c r="E2922" s="103"/>
      <c r="F2922" s="103"/>
      <c r="G2922" s="103"/>
      <c r="H2922" s="103"/>
      <c r="I2922" s="103"/>
      <c r="J2922" s="103"/>
      <c r="K2922" s="103"/>
      <c r="L2922" s="103"/>
      <c r="M2922" s="104"/>
      <c r="N2922" s="103"/>
    </row>
    <row r="2923" spans="1:14" ht="45" customHeight="1" thickBot="1" x14ac:dyDescent="0.4">
      <c r="A2923" s="103"/>
      <c r="B2923" s="103"/>
      <c r="C2923" s="103"/>
      <c r="D2923" s="103"/>
      <c r="E2923" s="103"/>
      <c r="F2923" s="103"/>
      <c r="G2923" s="103"/>
      <c r="H2923" s="103"/>
      <c r="I2923" s="103"/>
      <c r="J2923" s="103"/>
      <c r="K2923" s="103"/>
      <c r="L2923" s="103"/>
      <c r="M2923" s="104"/>
      <c r="N2923" s="103"/>
    </row>
    <row r="2924" spans="1:14" ht="45" customHeight="1" thickBot="1" x14ac:dyDescent="0.4">
      <c r="A2924" s="103"/>
      <c r="B2924" s="103"/>
      <c r="C2924" s="103"/>
      <c r="D2924" s="103"/>
      <c r="E2924" s="103"/>
      <c r="F2924" s="103"/>
      <c r="G2924" s="103"/>
      <c r="H2924" s="103"/>
      <c r="I2924" s="103"/>
      <c r="J2924" s="103"/>
      <c r="K2924" s="103"/>
      <c r="L2924" s="103"/>
      <c r="M2924" s="104"/>
      <c r="N2924" s="103"/>
    </row>
    <row r="2925" spans="1:14" ht="45" customHeight="1" thickBot="1" x14ac:dyDescent="0.4">
      <c r="A2925" s="103"/>
      <c r="B2925" s="103"/>
      <c r="C2925" s="103"/>
      <c r="D2925" s="103"/>
      <c r="E2925" s="103"/>
      <c r="F2925" s="103"/>
      <c r="G2925" s="103"/>
      <c r="H2925" s="103"/>
      <c r="I2925" s="103"/>
      <c r="J2925" s="103"/>
      <c r="K2925" s="103"/>
      <c r="L2925" s="103"/>
      <c r="M2925" s="104"/>
      <c r="N2925" s="103"/>
    </row>
    <row r="2926" spans="1:14" ht="45" customHeight="1" thickBot="1" x14ac:dyDescent="0.4">
      <c r="A2926" s="103"/>
      <c r="B2926" s="103"/>
      <c r="C2926" s="103"/>
      <c r="D2926" s="103"/>
      <c r="E2926" s="103"/>
      <c r="F2926" s="103"/>
      <c r="G2926" s="103"/>
      <c r="H2926" s="103"/>
      <c r="I2926" s="103"/>
      <c r="J2926" s="103"/>
      <c r="K2926" s="103"/>
      <c r="L2926" s="103"/>
      <c r="M2926" s="104"/>
      <c r="N2926" s="103"/>
    </row>
    <row r="2927" spans="1:14" ht="45" customHeight="1" thickBot="1" x14ac:dyDescent="0.4">
      <c r="A2927" s="103"/>
      <c r="B2927" s="103"/>
      <c r="C2927" s="103"/>
      <c r="D2927" s="103"/>
      <c r="E2927" s="103"/>
      <c r="F2927" s="103"/>
      <c r="G2927" s="103"/>
      <c r="H2927" s="103"/>
      <c r="I2927" s="103"/>
      <c r="J2927" s="103"/>
      <c r="K2927" s="103"/>
      <c r="L2927" s="103"/>
      <c r="M2927" s="104"/>
      <c r="N2927" s="103"/>
    </row>
    <row r="2928" spans="1:14" ht="45" customHeight="1" thickBot="1" x14ac:dyDescent="0.4">
      <c r="A2928" s="103"/>
      <c r="B2928" s="103"/>
      <c r="C2928" s="103"/>
      <c r="D2928" s="103"/>
      <c r="E2928" s="103"/>
      <c r="F2928" s="103"/>
      <c r="G2928" s="103"/>
      <c r="H2928" s="103"/>
      <c r="I2928" s="103"/>
      <c r="J2928" s="103"/>
      <c r="K2928" s="103"/>
      <c r="L2928" s="103"/>
      <c r="M2928" s="104"/>
      <c r="N2928" s="103"/>
    </row>
    <row r="2929" spans="1:14" ht="45" customHeight="1" thickBot="1" x14ac:dyDescent="0.4">
      <c r="A2929" s="103"/>
      <c r="B2929" s="103"/>
      <c r="C2929" s="103"/>
      <c r="D2929" s="103"/>
      <c r="E2929" s="103"/>
      <c r="F2929" s="103"/>
      <c r="G2929" s="103"/>
      <c r="H2929" s="103"/>
      <c r="I2929" s="103"/>
      <c r="J2929" s="103"/>
      <c r="K2929" s="103"/>
      <c r="L2929" s="103"/>
      <c r="M2929" s="104"/>
      <c r="N2929" s="103"/>
    </row>
    <row r="2930" spans="1:14" ht="45" customHeight="1" thickBot="1" x14ac:dyDescent="0.4">
      <c r="A2930" s="103"/>
      <c r="B2930" s="103"/>
      <c r="C2930" s="103"/>
      <c r="D2930" s="103"/>
      <c r="E2930" s="103"/>
      <c r="F2930" s="103"/>
      <c r="G2930" s="103"/>
      <c r="H2930" s="103"/>
      <c r="I2930" s="103"/>
      <c r="J2930" s="103"/>
      <c r="K2930" s="103"/>
      <c r="L2930" s="103"/>
      <c r="M2930" s="104"/>
      <c r="N2930" s="103"/>
    </row>
    <row r="2931" spans="1:14" ht="45" customHeight="1" thickBot="1" x14ac:dyDescent="0.4">
      <c r="A2931" s="103"/>
      <c r="B2931" s="103"/>
      <c r="C2931" s="103"/>
      <c r="D2931" s="103"/>
      <c r="E2931" s="103"/>
      <c r="F2931" s="103"/>
      <c r="G2931" s="103"/>
      <c r="H2931" s="103"/>
      <c r="I2931" s="103"/>
      <c r="J2931" s="103"/>
      <c r="K2931" s="103"/>
      <c r="L2931" s="103"/>
      <c r="M2931" s="104"/>
      <c r="N2931" s="103"/>
    </row>
    <row r="2932" spans="1:14" ht="45" customHeight="1" thickBot="1" x14ac:dyDescent="0.4">
      <c r="A2932" s="103"/>
      <c r="B2932" s="103"/>
      <c r="C2932" s="103"/>
      <c r="D2932" s="103"/>
      <c r="E2932" s="103"/>
      <c r="F2932" s="103"/>
      <c r="G2932" s="103"/>
      <c r="H2932" s="103"/>
      <c r="I2932" s="103"/>
      <c r="J2932" s="103"/>
      <c r="K2932" s="103"/>
      <c r="L2932" s="103"/>
      <c r="M2932" s="104"/>
      <c r="N2932" s="103"/>
    </row>
    <row r="2933" spans="1:14" ht="45" customHeight="1" thickBot="1" x14ac:dyDescent="0.4">
      <c r="A2933" s="103"/>
      <c r="B2933" s="103"/>
      <c r="C2933" s="103"/>
      <c r="D2933" s="103"/>
      <c r="E2933" s="103"/>
      <c r="F2933" s="103"/>
      <c r="G2933" s="103"/>
      <c r="H2933" s="103"/>
      <c r="I2933" s="103"/>
      <c r="J2933" s="103"/>
      <c r="K2933" s="103"/>
      <c r="L2933" s="103"/>
      <c r="M2933" s="104"/>
      <c r="N2933" s="103"/>
    </row>
    <row r="2934" spans="1:14" ht="45" customHeight="1" thickBot="1" x14ac:dyDescent="0.4">
      <c r="A2934" s="103"/>
      <c r="B2934" s="103"/>
      <c r="C2934" s="103"/>
      <c r="D2934" s="103"/>
      <c r="E2934" s="103"/>
      <c r="F2934" s="103"/>
      <c r="G2934" s="103"/>
      <c r="H2934" s="103"/>
      <c r="I2934" s="103"/>
      <c r="J2934" s="103"/>
      <c r="K2934" s="103"/>
      <c r="L2934" s="103"/>
      <c r="M2934" s="104"/>
      <c r="N2934" s="103"/>
    </row>
    <row r="2935" spans="1:14" ht="45" customHeight="1" thickBot="1" x14ac:dyDescent="0.4">
      <c r="A2935" s="103"/>
      <c r="B2935" s="103"/>
      <c r="C2935" s="103"/>
      <c r="D2935" s="103"/>
      <c r="E2935" s="103"/>
      <c r="F2935" s="103"/>
      <c r="G2935" s="103"/>
      <c r="H2935" s="103"/>
      <c r="I2935" s="103"/>
      <c r="J2935" s="103"/>
      <c r="K2935" s="103"/>
      <c r="L2935" s="103"/>
      <c r="M2935" s="104"/>
      <c r="N2935" s="103"/>
    </row>
    <row r="2936" spans="1:14" ht="45" customHeight="1" thickBot="1" x14ac:dyDescent="0.4">
      <c r="A2936" s="103"/>
      <c r="B2936" s="103"/>
      <c r="C2936" s="103"/>
      <c r="D2936" s="103"/>
      <c r="E2936" s="103"/>
      <c r="F2936" s="103"/>
      <c r="G2936" s="103"/>
      <c r="H2936" s="103"/>
      <c r="I2936" s="103"/>
      <c r="J2936" s="103"/>
      <c r="K2936" s="103"/>
      <c r="L2936" s="103"/>
      <c r="M2936" s="104"/>
      <c r="N2936" s="103"/>
    </row>
    <row r="2937" spans="1:14" ht="45" customHeight="1" thickBot="1" x14ac:dyDescent="0.4">
      <c r="A2937" s="103"/>
      <c r="B2937" s="103"/>
      <c r="C2937" s="103"/>
      <c r="D2937" s="103"/>
      <c r="E2937" s="103"/>
      <c r="F2937" s="103"/>
      <c r="G2937" s="103"/>
      <c r="H2937" s="103"/>
      <c r="I2937" s="103"/>
      <c r="J2937" s="103"/>
      <c r="K2937" s="103"/>
      <c r="L2937" s="103"/>
      <c r="M2937" s="104"/>
      <c r="N2937" s="103"/>
    </row>
    <row r="2938" spans="1:14" ht="45" customHeight="1" thickBot="1" x14ac:dyDescent="0.4">
      <c r="A2938" s="103"/>
      <c r="B2938" s="103"/>
      <c r="C2938" s="103"/>
      <c r="D2938" s="103"/>
      <c r="E2938" s="103"/>
      <c r="F2938" s="103"/>
      <c r="G2938" s="103"/>
      <c r="H2938" s="103"/>
      <c r="I2938" s="103"/>
      <c r="J2938" s="103"/>
      <c r="K2938" s="103"/>
      <c r="L2938" s="103"/>
      <c r="M2938" s="104"/>
      <c r="N2938" s="103"/>
    </row>
    <row r="2939" spans="1:14" ht="45" customHeight="1" thickBot="1" x14ac:dyDescent="0.4">
      <c r="A2939" s="103"/>
      <c r="B2939" s="103"/>
      <c r="C2939" s="103"/>
      <c r="D2939" s="103"/>
      <c r="E2939" s="103"/>
      <c r="F2939" s="103"/>
      <c r="G2939" s="103"/>
      <c r="H2939" s="103"/>
      <c r="I2939" s="103"/>
      <c r="J2939" s="103"/>
      <c r="K2939" s="103"/>
      <c r="L2939" s="103"/>
      <c r="M2939" s="104"/>
      <c r="N2939" s="103"/>
    </row>
    <row r="2940" spans="1:14" ht="45" customHeight="1" thickBot="1" x14ac:dyDescent="0.4">
      <c r="A2940" s="103"/>
      <c r="B2940" s="103"/>
      <c r="C2940" s="103"/>
      <c r="D2940" s="103"/>
      <c r="E2940" s="103"/>
      <c r="F2940" s="103"/>
      <c r="G2940" s="103"/>
      <c r="H2940" s="103"/>
      <c r="I2940" s="103"/>
      <c r="J2940" s="103"/>
      <c r="K2940" s="103"/>
      <c r="L2940" s="103"/>
      <c r="M2940" s="104"/>
      <c r="N2940" s="103"/>
    </row>
    <row r="2941" spans="1:14" ht="45" customHeight="1" thickBot="1" x14ac:dyDescent="0.4">
      <c r="A2941" s="103"/>
      <c r="B2941" s="103"/>
      <c r="C2941" s="103"/>
      <c r="D2941" s="103"/>
      <c r="E2941" s="103"/>
      <c r="F2941" s="103"/>
      <c r="G2941" s="103"/>
      <c r="H2941" s="103"/>
      <c r="I2941" s="103"/>
      <c r="J2941" s="103"/>
      <c r="K2941" s="103"/>
      <c r="L2941" s="103"/>
      <c r="M2941" s="104"/>
      <c r="N2941" s="103"/>
    </row>
    <row r="2942" spans="1:14" ht="45" customHeight="1" thickBot="1" x14ac:dyDescent="0.4">
      <c r="A2942" s="103"/>
      <c r="B2942" s="103"/>
      <c r="C2942" s="103"/>
      <c r="D2942" s="103"/>
      <c r="E2942" s="103"/>
      <c r="F2942" s="103"/>
      <c r="G2942" s="103"/>
      <c r="H2942" s="103"/>
      <c r="I2942" s="103"/>
      <c r="J2942" s="103"/>
      <c r="K2942" s="103"/>
      <c r="L2942" s="103"/>
      <c r="M2942" s="104"/>
      <c r="N2942" s="103"/>
    </row>
    <row r="2943" spans="1:14" ht="45" customHeight="1" thickBot="1" x14ac:dyDescent="0.4">
      <c r="A2943" s="103"/>
      <c r="B2943" s="103"/>
      <c r="C2943" s="103"/>
      <c r="D2943" s="103"/>
      <c r="E2943" s="103"/>
      <c r="F2943" s="103"/>
      <c r="G2943" s="103"/>
      <c r="H2943" s="103"/>
      <c r="I2943" s="103"/>
      <c r="J2943" s="103"/>
      <c r="K2943" s="103"/>
      <c r="L2943" s="103"/>
      <c r="M2943" s="104"/>
      <c r="N2943" s="103"/>
    </row>
    <row r="2944" spans="1:14" ht="45" customHeight="1" thickBot="1" x14ac:dyDescent="0.4">
      <c r="A2944" s="103"/>
      <c r="B2944" s="103"/>
      <c r="C2944" s="103"/>
      <c r="D2944" s="103"/>
      <c r="E2944" s="103"/>
      <c r="F2944" s="103"/>
      <c r="G2944" s="103"/>
      <c r="H2944" s="103"/>
      <c r="I2944" s="103"/>
      <c r="J2944" s="103"/>
      <c r="K2944" s="103"/>
      <c r="L2944" s="103"/>
      <c r="M2944" s="104"/>
      <c r="N2944" s="103"/>
    </row>
    <row r="2945" spans="1:14" ht="45" customHeight="1" thickBot="1" x14ac:dyDescent="0.4">
      <c r="A2945" s="103"/>
      <c r="B2945" s="103"/>
      <c r="C2945" s="103"/>
      <c r="D2945" s="103"/>
      <c r="E2945" s="103"/>
      <c r="F2945" s="103"/>
      <c r="G2945" s="103"/>
      <c r="H2945" s="103"/>
      <c r="I2945" s="103"/>
      <c r="J2945" s="103"/>
      <c r="K2945" s="103"/>
      <c r="L2945" s="103"/>
      <c r="M2945" s="104"/>
      <c r="N2945" s="103"/>
    </row>
    <row r="2946" spans="1:14" ht="45" customHeight="1" thickBot="1" x14ac:dyDescent="0.4">
      <c r="A2946" s="103"/>
      <c r="B2946" s="103"/>
      <c r="C2946" s="103"/>
      <c r="D2946" s="103"/>
      <c r="E2946" s="103"/>
      <c r="F2946" s="103"/>
      <c r="G2946" s="103"/>
      <c r="H2946" s="103"/>
      <c r="I2946" s="103"/>
      <c r="J2946" s="103"/>
      <c r="K2946" s="103"/>
      <c r="L2946" s="103"/>
      <c r="M2946" s="104"/>
      <c r="N2946" s="103"/>
    </row>
    <row r="2947" spans="1:14" ht="45" customHeight="1" thickBot="1" x14ac:dyDescent="0.4">
      <c r="A2947" s="103"/>
      <c r="B2947" s="103"/>
      <c r="C2947" s="103"/>
      <c r="D2947" s="103"/>
      <c r="E2947" s="103"/>
      <c r="F2947" s="103"/>
      <c r="G2947" s="103"/>
      <c r="H2947" s="103"/>
      <c r="I2947" s="103"/>
      <c r="J2947" s="103"/>
      <c r="K2947" s="103"/>
      <c r="L2947" s="103"/>
      <c r="M2947" s="104"/>
      <c r="N2947" s="103"/>
    </row>
    <row r="2948" spans="1:14" ht="45" customHeight="1" thickBot="1" x14ac:dyDescent="0.4">
      <c r="A2948" s="103"/>
      <c r="B2948" s="103"/>
      <c r="C2948" s="103"/>
      <c r="D2948" s="103"/>
      <c r="E2948" s="103"/>
      <c r="F2948" s="103"/>
      <c r="G2948" s="103"/>
      <c r="H2948" s="103"/>
      <c r="I2948" s="103"/>
      <c r="J2948" s="103"/>
      <c r="K2948" s="103"/>
      <c r="L2948" s="103"/>
      <c r="M2948" s="104"/>
      <c r="N2948" s="103"/>
    </row>
    <row r="2949" spans="1:14" ht="45" customHeight="1" thickBot="1" x14ac:dyDescent="0.4">
      <c r="A2949" s="103"/>
      <c r="B2949" s="103"/>
      <c r="C2949" s="103"/>
      <c r="D2949" s="103"/>
      <c r="E2949" s="103"/>
      <c r="F2949" s="103"/>
      <c r="G2949" s="103"/>
      <c r="H2949" s="103"/>
      <c r="I2949" s="103"/>
      <c r="J2949" s="103"/>
      <c r="K2949" s="103"/>
      <c r="L2949" s="103"/>
      <c r="M2949" s="104"/>
      <c r="N2949" s="103"/>
    </row>
    <row r="2950" spans="1:14" ht="45" customHeight="1" thickBot="1" x14ac:dyDescent="0.4">
      <c r="A2950" s="103"/>
      <c r="B2950" s="103"/>
      <c r="C2950" s="103"/>
      <c r="D2950" s="103"/>
      <c r="E2950" s="103"/>
      <c r="F2950" s="103"/>
      <c r="G2950" s="103"/>
      <c r="H2950" s="103"/>
      <c r="I2950" s="103"/>
      <c r="J2950" s="103"/>
      <c r="K2950" s="103"/>
      <c r="L2950" s="103"/>
      <c r="M2950" s="104"/>
      <c r="N2950" s="103"/>
    </row>
    <row r="2951" spans="1:14" ht="45" customHeight="1" thickBot="1" x14ac:dyDescent="0.4">
      <c r="A2951" s="103"/>
      <c r="B2951" s="103"/>
      <c r="C2951" s="103"/>
      <c r="D2951" s="103"/>
      <c r="E2951" s="103"/>
      <c r="F2951" s="103"/>
      <c r="G2951" s="103"/>
      <c r="H2951" s="103"/>
      <c r="I2951" s="103"/>
      <c r="J2951" s="103"/>
      <c r="K2951" s="103"/>
      <c r="L2951" s="103"/>
      <c r="M2951" s="104"/>
      <c r="N2951" s="103"/>
    </row>
    <row r="2952" spans="1:14" ht="45" customHeight="1" thickBot="1" x14ac:dyDescent="0.4">
      <c r="A2952" s="103"/>
      <c r="B2952" s="103"/>
      <c r="C2952" s="103"/>
      <c r="D2952" s="103"/>
      <c r="E2952" s="103"/>
      <c r="F2952" s="103"/>
      <c r="G2952" s="103"/>
      <c r="H2952" s="103"/>
      <c r="I2952" s="103"/>
      <c r="J2952" s="103"/>
      <c r="K2952" s="103"/>
      <c r="L2952" s="103"/>
      <c r="M2952" s="104"/>
      <c r="N2952" s="103"/>
    </row>
    <row r="2953" spans="1:14" ht="45" customHeight="1" thickBot="1" x14ac:dyDescent="0.4">
      <c r="A2953" s="103"/>
      <c r="B2953" s="103"/>
      <c r="C2953" s="103"/>
      <c r="D2953" s="103"/>
      <c r="E2953" s="103"/>
      <c r="F2953" s="103"/>
      <c r="G2953" s="103"/>
      <c r="H2953" s="103"/>
      <c r="I2953" s="103"/>
      <c r="J2953" s="103"/>
      <c r="K2953" s="103"/>
      <c r="L2953" s="103"/>
      <c r="M2953" s="104"/>
      <c r="N2953" s="103"/>
    </row>
    <row r="2954" spans="1:14" ht="45" customHeight="1" thickBot="1" x14ac:dyDescent="0.4">
      <c r="A2954" s="103"/>
      <c r="B2954" s="103"/>
      <c r="C2954" s="103"/>
      <c r="D2954" s="103"/>
      <c r="E2954" s="103"/>
      <c r="F2954" s="103"/>
      <c r="G2954" s="103"/>
      <c r="H2954" s="103"/>
      <c r="I2954" s="103"/>
      <c r="J2954" s="103"/>
      <c r="K2954" s="103"/>
      <c r="L2954" s="103"/>
      <c r="M2954" s="104"/>
      <c r="N2954" s="103"/>
    </row>
    <row r="2955" spans="1:14" ht="45" customHeight="1" thickBot="1" x14ac:dyDescent="0.4">
      <c r="A2955" s="103"/>
      <c r="B2955" s="103"/>
      <c r="C2955" s="103"/>
      <c r="D2955" s="103"/>
      <c r="E2955" s="103"/>
      <c r="F2955" s="103"/>
      <c r="G2955" s="103"/>
      <c r="H2955" s="103"/>
      <c r="I2955" s="103"/>
      <c r="J2955" s="103"/>
      <c r="K2955" s="103"/>
      <c r="L2955" s="103"/>
      <c r="M2955" s="104"/>
      <c r="N2955" s="103"/>
    </row>
    <row r="2956" spans="1:14" ht="45" customHeight="1" thickBot="1" x14ac:dyDescent="0.4">
      <c r="A2956" s="103"/>
      <c r="B2956" s="103"/>
      <c r="C2956" s="103"/>
      <c r="D2956" s="103"/>
      <c r="E2956" s="103"/>
      <c r="F2956" s="103"/>
      <c r="G2956" s="103"/>
      <c r="H2956" s="103"/>
      <c r="I2956" s="103"/>
      <c r="J2956" s="103"/>
      <c r="K2956" s="103"/>
      <c r="L2956" s="103"/>
      <c r="M2956" s="104"/>
      <c r="N2956" s="103"/>
    </row>
    <row r="2957" spans="1:14" ht="45" customHeight="1" thickBot="1" x14ac:dyDescent="0.4">
      <c r="A2957" s="103"/>
      <c r="B2957" s="103"/>
      <c r="C2957" s="103"/>
      <c r="D2957" s="103"/>
      <c r="E2957" s="103"/>
      <c r="F2957" s="103"/>
      <c r="G2957" s="103"/>
      <c r="H2957" s="103"/>
      <c r="I2957" s="103"/>
      <c r="J2957" s="103"/>
      <c r="K2957" s="103"/>
      <c r="L2957" s="103"/>
      <c r="M2957" s="104"/>
      <c r="N2957" s="103"/>
    </row>
    <row r="2958" spans="1:14" ht="45" customHeight="1" thickBot="1" x14ac:dyDescent="0.4">
      <c r="A2958" s="103"/>
      <c r="B2958" s="103"/>
      <c r="C2958" s="103"/>
      <c r="D2958" s="103"/>
      <c r="E2958" s="103"/>
      <c r="F2958" s="103"/>
      <c r="G2958" s="103"/>
      <c r="H2958" s="103"/>
      <c r="I2958" s="103"/>
      <c r="J2958" s="103"/>
      <c r="K2958" s="103"/>
      <c r="L2958" s="103"/>
      <c r="M2958" s="104"/>
      <c r="N2958" s="103"/>
    </row>
    <row r="2959" spans="1:14" ht="45" customHeight="1" thickBot="1" x14ac:dyDescent="0.4">
      <c r="A2959" s="103"/>
      <c r="B2959" s="103"/>
      <c r="C2959" s="103"/>
      <c r="D2959" s="103"/>
      <c r="E2959" s="103"/>
      <c r="F2959" s="103"/>
      <c r="G2959" s="103"/>
      <c r="H2959" s="103"/>
      <c r="I2959" s="103"/>
      <c r="J2959" s="103"/>
      <c r="K2959" s="103"/>
      <c r="L2959" s="103"/>
      <c r="M2959" s="104"/>
      <c r="N2959" s="103"/>
    </row>
    <row r="2960" spans="1:14" ht="45" customHeight="1" thickBot="1" x14ac:dyDescent="0.4">
      <c r="A2960" s="103"/>
      <c r="B2960" s="103"/>
      <c r="C2960" s="103"/>
      <c r="D2960" s="103"/>
      <c r="E2960" s="103"/>
      <c r="F2960" s="103"/>
      <c r="G2960" s="103"/>
      <c r="H2960" s="103"/>
      <c r="I2960" s="103"/>
      <c r="J2960" s="103"/>
      <c r="K2960" s="103"/>
      <c r="L2960" s="103"/>
      <c r="M2960" s="104"/>
      <c r="N2960" s="103"/>
    </row>
    <row r="2961" spans="1:14" ht="45" customHeight="1" thickBot="1" x14ac:dyDescent="0.4">
      <c r="A2961" s="103"/>
      <c r="B2961" s="103"/>
      <c r="C2961" s="103"/>
      <c r="D2961" s="103"/>
      <c r="E2961" s="103"/>
      <c r="F2961" s="103"/>
      <c r="G2961" s="103"/>
      <c r="H2961" s="103"/>
      <c r="I2961" s="103"/>
      <c r="J2961" s="103"/>
      <c r="K2961" s="103"/>
      <c r="L2961" s="103"/>
      <c r="M2961" s="104"/>
      <c r="N2961" s="103"/>
    </row>
    <row r="2962" spans="1:14" ht="45" customHeight="1" thickBot="1" x14ac:dyDescent="0.4">
      <c r="A2962" s="103"/>
      <c r="B2962" s="103"/>
      <c r="C2962" s="103"/>
      <c r="D2962" s="103"/>
      <c r="E2962" s="103"/>
      <c r="F2962" s="103"/>
      <c r="G2962" s="103"/>
      <c r="H2962" s="103"/>
      <c r="I2962" s="103"/>
      <c r="J2962" s="103"/>
      <c r="K2962" s="103"/>
      <c r="L2962" s="103"/>
      <c r="M2962" s="104"/>
      <c r="N2962" s="103"/>
    </row>
    <row r="2963" spans="1:14" ht="45" customHeight="1" thickBot="1" x14ac:dyDescent="0.4">
      <c r="A2963" s="103"/>
      <c r="B2963" s="103"/>
      <c r="C2963" s="103"/>
      <c r="D2963" s="103"/>
      <c r="E2963" s="103"/>
      <c r="F2963" s="103"/>
      <c r="G2963" s="103"/>
      <c r="H2963" s="103"/>
      <c r="I2963" s="103"/>
      <c r="J2963" s="103"/>
      <c r="K2963" s="103"/>
      <c r="L2963" s="103"/>
      <c r="M2963" s="104"/>
      <c r="N2963" s="103"/>
    </row>
    <row r="2964" spans="1:14" ht="45" customHeight="1" thickBot="1" x14ac:dyDescent="0.4">
      <c r="A2964" s="103"/>
      <c r="B2964" s="103"/>
      <c r="C2964" s="103"/>
      <c r="D2964" s="103"/>
      <c r="E2964" s="103"/>
      <c r="F2964" s="103"/>
      <c r="G2964" s="103"/>
      <c r="H2964" s="103"/>
      <c r="I2964" s="103"/>
      <c r="J2964" s="103"/>
      <c r="K2964" s="103"/>
      <c r="L2964" s="103"/>
      <c r="M2964" s="104"/>
      <c r="N2964" s="103"/>
    </row>
    <row r="2965" spans="1:14" ht="45" customHeight="1" thickBot="1" x14ac:dyDescent="0.4">
      <c r="A2965" s="103"/>
      <c r="B2965" s="103"/>
      <c r="C2965" s="103"/>
      <c r="D2965" s="103"/>
      <c r="E2965" s="103"/>
      <c r="F2965" s="103"/>
      <c r="G2965" s="103"/>
      <c r="H2965" s="103"/>
      <c r="I2965" s="103"/>
      <c r="J2965" s="103"/>
      <c r="K2965" s="103"/>
      <c r="L2965" s="103"/>
      <c r="M2965" s="104"/>
      <c r="N2965" s="103"/>
    </row>
    <row r="2966" spans="1:14" ht="45" customHeight="1" thickBot="1" x14ac:dyDescent="0.4">
      <c r="A2966" s="103"/>
      <c r="B2966" s="103"/>
      <c r="C2966" s="103"/>
      <c r="D2966" s="103"/>
      <c r="E2966" s="103"/>
      <c r="F2966" s="103"/>
      <c r="G2966" s="103"/>
      <c r="H2966" s="103"/>
      <c r="I2966" s="103"/>
      <c r="J2966" s="103"/>
      <c r="K2966" s="103"/>
      <c r="L2966" s="103"/>
      <c r="M2966" s="104"/>
      <c r="N2966" s="103"/>
    </row>
    <row r="2967" spans="1:14" ht="45" customHeight="1" thickBot="1" x14ac:dyDescent="0.4">
      <c r="A2967" s="103"/>
      <c r="B2967" s="103"/>
      <c r="C2967" s="103"/>
      <c r="D2967" s="103"/>
      <c r="E2967" s="103"/>
      <c r="F2967" s="103"/>
      <c r="G2967" s="103"/>
      <c r="H2967" s="103"/>
      <c r="I2967" s="103"/>
      <c r="J2967" s="103"/>
      <c r="K2967" s="103"/>
      <c r="L2967" s="103"/>
      <c r="M2967" s="104"/>
      <c r="N2967" s="103"/>
    </row>
    <row r="2968" spans="1:14" ht="45" customHeight="1" thickBot="1" x14ac:dyDescent="0.4">
      <c r="A2968" s="103"/>
      <c r="B2968" s="103"/>
      <c r="C2968" s="103"/>
      <c r="D2968" s="103"/>
      <c r="E2968" s="103"/>
      <c r="F2968" s="103"/>
      <c r="G2968" s="103"/>
      <c r="H2968" s="103"/>
      <c r="I2968" s="103"/>
      <c r="J2968" s="103"/>
      <c r="K2968" s="103"/>
      <c r="L2968" s="103"/>
      <c r="M2968" s="104"/>
      <c r="N2968" s="103"/>
    </row>
    <row r="2969" spans="1:14" ht="45" customHeight="1" thickBot="1" x14ac:dyDescent="0.4">
      <c r="A2969" s="103"/>
      <c r="B2969" s="103"/>
      <c r="C2969" s="103"/>
      <c r="D2969" s="103"/>
      <c r="E2969" s="103"/>
      <c r="F2969" s="103"/>
      <c r="G2969" s="103"/>
      <c r="H2969" s="103"/>
      <c r="I2969" s="103"/>
      <c r="J2969" s="103"/>
      <c r="K2969" s="103"/>
      <c r="L2969" s="103"/>
      <c r="M2969" s="104"/>
      <c r="N2969" s="103"/>
    </row>
    <row r="2970" spans="1:14" ht="45" customHeight="1" thickBot="1" x14ac:dyDescent="0.4">
      <c r="A2970" s="103"/>
      <c r="B2970" s="103"/>
      <c r="C2970" s="103"/>
      <c r="D2970" s="103"/>
      <c r="E2970" s="103"/>
      <c r="F2970" s="103"/>
      <c r="G2970" s="103"/>
      <c r="H2970" s="103"/>
      <c r="I2970" s="103"/>
      <c r="J2970" s="103"/>
      <c r="K2970" s="103"/>
      <c r="L2970" s="103"/>
      <c r="M2970" s="104"/>
      <c r="N2970" s="103"/>
    </row>
    <row r="2971" spans="1:14" ht="45" customHeight="1" thickBot="1" x14ac:dyDescent="0.4">
      <c r="A2971" s="103"/>
      <c r="B2971" s="103"/>
      <c r="C2971" s="103"/>
      <c r="D2971" s="103"/>
      <c r="E2971" s="103"/>
      <c r="F2971" s="103"/>
      <c r="G2971" s="103"/>
      <c r="H2971" s="103"/>
      <c r="I2971" s="103"/>
      <c r="J2971" s="103"/>
      <c r="K2971" s="103"/>
      <c r="L2971" s="103"/>
      <c r="M2971" s="104"/>
      <c r="N2971" s="103"/>
    </row>
    <row r="2972" spans="1:14" ht="45" customHeight="1" thickBot="1" x14ac:dyDescent="0.4">
      <c r="A2972" s="103"/>
      <c r="B2972" s="103"/>
      <c r="C2972" s="103"/>
      <c r="D2972" s="103"/>
      <c r="E2972" s="103"/>
      <c r="F2972" s="103"/>
      <c r="G2972" s="103"/>
      <c r="H2972" s="103"/>
      <c r="I2972" s="103"/>
      <c r="J2972" s="103"/>
      <c r="K2972" s="103"/>
      <c r="L2972" s="103"/>
      <c r="M2972" s="104"/>
      <c r="N2972" s="103"/>
    </row>
    <row r="2973" spans="1:14" ht="45" customHeight="1" thickBot="1" x14ac:dyDescent="0.4">
      <c r="A2973" s="103"/>
      <c r="B2973" s="103"/>
      <c r="C2973" s="103"/>
      <c r="D2973" s="103"/>
      <c r="E2973" s="103"/>
      <c r="F2973" s="103"/>
      <c r="G2973" s="103"/>
      <c r="H2973" s="103"/>
      <c r="I2973" s="103"/>
      <c r="J2973" s="103"/>
      <c r="K2973" s="103"/>
      <c r="L2973" s="103"/>
      <c r="M2973" s="104"/>
      <c r="N2973" s="103"/>
    </row>
    <row r="2974" spans="1:14" ht="45" customHeight="1" thickBot="1" x14ac:dyDescent="0.4">
      <c r="A2974" s="103"/>
      <c r="B2974" s="103"/>
      <c r="C2974" s="103"/>
      <c r="D2974" s="103"/>
      <c r="E2974" s="103"/>
      <c r="F2974" s="103"/>
      <c r="G2974" s="103"/>
      <c r="H2974" s="103"/>
      <c r="I2974" s="103"/>
      <c r="J2974" s="103"/>
      <c r="K2974" s="103"/>
      <c r="L2974" s="103"/>
      <c r="M2974" s="104"/>
      <c r="N2974" s="103"/>
    </row>
    <row r="2975" spans="1:14" ht="45" customHeight="1" thickBot="1" x14ac:dyDescent="0.4">
      <c r="A2975" s="103"/>
      <c r="B2975" s="103"/>
      <c r="C2975" s="103"/>
      <c r="D2975" s="103"/>
      <c r="E2975" s="103"/>
      <c r="F2975" s="103"/>
      <c r="G2975" s="103"/>
      <c r="H2975" s="103"/>
      <c r="I2975" s="103"/>
      <c r="J2975" s="103"/>
      <c r="K2975" s="103"/>
      <c r="L2975" s="103"/>
      <c r="M2975" s="104"/>
      <c r="N2975" s="103"/>
    </row>
    <row r="2976" spans="1:14" ht="45" customHeight="1" thickBot="1" x14ac:dyDescent="0.4">
      <c r="A2976" s="103"/>
      <c r="B2976" s="103"/>
      <c r="C2976" s="103"/>
      <c r="D2976" s="103"/>
      <c r="E2976" s="103"/>
      <c r="F2976" s="103"/>
      <c r="G2976" s="103"/>
      <c r="H2976" s="103"/>
      <c r="I2976" s="103"/>
      <c r="J2976" s="103"/>
      <c r="K2976" s="103"/>
      <c r="L2976" s="103"/>
      <c r="M2976" s="104"/>
      <c r="N2976" s="103"/>
    </row>
    <row r="2977" spans="1:14" ht="45" customHeight="1" thickBot="1" x14ac:dyDescent="0.4">
      <c r="A2977" s="103"/>
      <c r="B2977" s="103"/>
      <c r="C2977" s="103"/>
      <c r="D2977" s="103"/>
      <c r="E2977" s="103"/>
      <c r="F2977" s="103"/>
      <c r="G2977" s="103"/>
      <c r="H2977" s="103"/>
      <c r="I2977" s="103"/>
      <c r="J2977" s="103"/>
      <c r="K2977" s="103"/>
      <c r="L2977" s="103"/>
      <c r="M2977" s="104"/>
      <c r="N2977" s="103"/>
    </row>
    <row r="2978" spans="1:14" ht="45" customHeight="1" thickBot="1" x14ac:dyDescent="0.4">
      <c r="A2978" s="103"/>
      <c r="B2978" s="103"/>
      <c r="C2978" s="103"/>
      <c r="D2978" s="103"/>
      <c r="E2978" s="103"/>
      <c r="F2978" s="103"/>
      <c r="G2978" s="103"/>
      <c r="H2978" s="103"/>
      <c r="I2978" s="103"/>
      <c r="J2978" s="103"/>
      <c r="K2978" s="103"/>
      <c r="L2978" s="103"/>
      <c r="M2978" s="104"/>
      <c r="N2978" s="103"/>
    </row>
    <row r="2979" spans="1:14" ht="45" customHeight="1" thickBot="1" x14ac:dyDescent="0.4">
      <c r="A2979" s="103"/>
      <c r="B2979" s="103"/>
      <c r="C2979" s="103"/>
      <c r="D2979" s="103"/>
      <c r="E2979" s="103"/>
      <c r="F2979" s="103"/>
      <c r="G2979" s="103"/>
      <c r="H2979" s="103"/>
      <c r="I2979" s="103"/>
      <c r="J2979" s="103"/>
      <c r="K2979" s="103"/>
      <c r="L2979" s="103"/>
      <c r="M2979" s="104"/>
      <c r="N2979" s="103"/>
    </row>
    <row r="2980" spans="1:14" ht="45" customHeight="1" thickBot="1" x14ac:dyDescent="0.4">
      <c r="A2980" s="103"/>
      <c r="B2980" s="103"/>
      <c r="C2980" s="103"/>
      <c r="D2980" s="103"/>
      <c r="E2980" s="103"/>
      <c r="F2980" s="103"/>
      <c r="G2980" s="103"/>
      <c r="H2980" s="103"/>
      <c r="I2980" s="103"/>
      <c r="J2980" s="103"/>
      <c r="K2980" s="103"/>
      <c r="L2980" s="103"/>
      <c r="M2980" s="104"/>
      <c r="N2980" s="103"/>
    </row>
    <row r="2981" spans="1:14" ht="45" customHeight="1" thickBot="1" x14ac:dyDescent="0.4">
      <c r="A2981" s="103"/>
      <c r="B2981" s="103"/>
      <c r="C2981" s="103"/>
      <c r="D2981" s="103"/>
      <c r="E2981" s="103"/>
      <c r="F2981" s="103"/>
      <c r="G2981" s="103"/>
      <c r="H2981" s="103"/>
      <c r="I2981" s="103"/>
      <c r="J2981" s="103"/>
      <c r="K2981" s="103"/>
      <c r="L2981" s="103"/>
      <c r="M2981" s="104"/>
      <c r="N2981" s="103"/>
    </row>
    <row r="2982" spans="1:14" ht="45" customHeight="1" thickBot="1" x14ac:dyDescent="0.4">
      <c r="A2982" s="103"/>
      <c r="B2982" s="103"/>
      <c r="C2982" s="103"/>
      <c r="D2982" s="103"/>
      <c r="E2982" s="103"/>
      <c r="F2982" s="103"/>
      <c r="G2982" s="103"/>
      <c r="H2982" s="103"/>
      <c r="I2982" s="103"/>
      <c r="J2982" s="103"/>
      <c r="K2982" s="103"/>
      <c r="L2982" s="103"/>
      <c r="M2982" s="104"/>
      <c r="N2982" s="103"/>
    </row>
    <row r="2983" spans="1:14" ht="45" customHeight="1" thickBot="1" x14ac:dyDescent="0.4">
      <c r="A2983" s="103"/>
      <c r="B2983" s="103"/>
      <c r="C2983" s="103"/>
      <c r="D2983" s="103"/>
      <c r="E2983" s="103"/>
      <c r="F2983" s="103"/>
      <c r="G2983" s="103"/>
      <c r="H2983" s="103"/>
      <c r="I2983" s="103"/>
      <c r="J2983" s="103"/>
      <c r="K2983" s="103"/>
      <c r="L2983" s="103"/>
      <c r="M2983" s="104"/>
      <c r="N2983" s="103"/>
    </row>
    <row r="2984" spans="1:14" ht="45" customHeight="1" thickBot="1" x14ac:dyDescent="0.4">
      <c r="A2984" s="103"/>
      <c r="B2984" s="103"/>
      <c r="C2984" s="103"/>
      <c r="D2984" s="103"/>
      <c r="E2984" s="103"/>
      <c r="F2984" s="103"/>
      <c r="G2984" s="103"/>
      <c r="H2984" s="103"/>
      <c r="I2984" s="103"/>
      <c r="J2984" s="103"/>
      <c r="K2984" s="103"/>
      <c r="L2984" s="103"/>
      <c r="M2984" s="104"/>
      <c r="N2984" s="103"/>
    </row>
    <row r="2985" spans="1:14" ht="45" customHeight="1" thickBot="1" x14ac:dyDescent="0.4">
      <c r="A2985" s="103"/>
      <c r="B2985" s="103"/>
      <c r="C2985" s="103"/>
      <c r="D2985" s="103"/>
      <c r="E2985" s="103"/>
      <c r="F2985" s="103"/>
      <c r="G2985" s="103"/>
      <c r="H2985" s="103"/>
      <c r="I2985" s="103"/>
      <c r="J2985" s="103"/>
      <c r="K2985" s="103"/>
      <c r="L2985" s="103"/>
      <c r="M2985" s="104"/>
      <c r="N2985" s="103"/>
    </row>
    <row r="2986" spans="1:14" ht="45" customHeight="1" thickBot="1" x14ac:dyDescent="0.4">
      <c r="A2986" s="103"/>
      <c r="B2986" s="103"/>
      <c r="C2986" s="103"/>
      <c r="D2986" s="103"/>
      <c r="E2986" s="103"/>
      <c r="F2986" s="103"/>
      <c r="G2986" s="103"/>
      <c r="H2986" s="103"/>
      <c r="I2986" s="103"/>
      <c r="J2986" s="103"/>
      <c r="K2986" s="103"/>
      <c r="L2986" s="103"/>
      <c r="M2986" s="104"/>
      <c r="N2986" s="103"/>
    </row>
    <row r="2987" spans="1:14" ht="45" customHeight="1" thickBot="1" x14ac:dyDescent="0.4">
      <c r="A2987" s="103"/>
      <c r="B2987" s="103"/>
      <c r="C2987" s="103"/>
      <c r="D2987" s="103"/>
      <c r="E2987" s="103"/>
      <c r="F2987" s="103"/>
      <c r="G2987" s="103"/>
      <c r="H2987" s="103"/>
      <c r="I2987" s="103"/>
      <c r="J2987" s="103"/>
      <c r="K2987" s="103"/>
      <c r="L2987" s="103"/>
      <c r="M2987" s="104"/>
      <c r="N2987" s="103"/>
    </row>
    <row r="2988" spans="1:14" ht="45" customHeight="1" thickBot="1" x14ac:dyDescent="0.4">
      <c r="A2988" s="103"/>
      <c r="B2988" s="103"/>
      <c r="C2988" s="103"/>
      <c r="D2988" s="103"/>
      <c r="E2988" s="103"/>
      <c r="F2988" s="103"/>
      <c r="G2988" s="103"/>
      <c r="H2988" s="103"/>
      <c r="I2988" s="103"/>
      <c r="J2988" s="103"/>
      <c r="K2988" s="103"/>
      <c r="L2988" s="103"/>
      <c r="M2988" s="104"/>
      <c r="N2988" s="103"/>
    </row>
    <row r="2989" spans="1:14" ht="45" customHeight="1" thickBot="1" x14ac:dyDescent="0.4">
      <c r="A2989" s="103"/>
      <c r="B2989" s="103"/>
      <c r="C2989" s="103"/>
      <c r="D2989" s="103"/>
      <c r="E2989" s="103"/>
      <c r="F2989" s="103"/>
      <c r="G2989" s="103"/>
      <c r="H2989" s="103"/>
      <c r="I2989" s="103"/>
      <c r="J2989" s="103"/>
      <c r="K2989" s="103"/>
      <c r="L2989" s="103"/>
      <c r="M2989" s="104"/>
      <c r="N2989" s="103"/>
    </row>
    <row r="2990" spans="1:14" ht="45" customHeight="1" thickBot="1" x14ac:dyDescent="0.4">
      <c r="A2990" s="103"/>
      <c r="B2990" s="103"/>
      <c r="C2990" s="103"/>
      <c r="D2990" s="103"/>
      <c r="E2990" s="103"/>
      <c r="F2990" s="103"/>
      <c r="G2990" s="103"/>
      <c r="H2990" s="103"/>
      <c r="I2990" s="103"/>
      <c r="J2990" s="103"/>
      <c r="K2990" s="103"/>
      <c r="L2990" s="103"/>
      <c r="M2990" s="104"/>
      <c r="N2990" s="103"/>
    </row>
    <row r="2991" spans="1:14" ht="45" customHeight="1" thickBot="1" x14ac:dyDescent="0.4">
      <c r="A2991" s="103"/>
      <c r="B2991" s="103"/>
      <c r="C2991" s="103"/>
      <c r="D2991" s="103"/>
      <c r="E2991" s="103"/>
      <c r="F2991" s="103"/>
      <c r="G2991" s="103"/>
      <c r="H2991" s="103"/>
      <c r="I2991" s="103"/>
      <c r="J2991" s="103"/>
      <c r="K2991" s="103"/>
      <c r="L2991" s="103"/>
      <c r="M2991" s="104"/>
      <c r="N2991" s="103"/>
    </row>
    <row r="2992" spans="1:14" ht="45" customHeight="1" thickBot="1" x14ac:dyDescent="0.4">
      <c r="A2992" s="103"/>
      <c r="B2992" s="103"/>
      <c r="C2992" s="103"/>
      <c r="D2992" s="103"/>
      <c r="E2992" s="103"/>
      <c r="F2992" s="103"/>
      <c r="G2992" s="103"/>
      <c r="H2992" s="103"/>
      <c r="I2992" s="103"/>
      <c r="J2992" s="103"/>
      <c r="K2992" s="103"/>
      <c r="L2992" s="103"/>
      <c r="M2992" s="104"/>
      <c r="N2992" s="103"/>
    </row>
    <row r="2993" spans="1:14" ht="45" customHeight="1" thickBot="1" x14ac:dyDescent="0.4">
      <c r="A2993" s="103"/>
      <c r="B2993" s="103"/>
      <c r="C2993" s="103"/>
      <c r="D2993" s="103"/>
      <c r="E2993" s="103"/>
      <c r="F2993" s="103"/>
      <c r="G2993" s="103"/>
      <c r="H2993" s="103"/>
      <c r="I2993" s="103"/>
      <c r="J2993" s="103"/>
      <c r="K2993" s="103"/>
      <c r="L2993" s="103"/>
      <c r="M2993" s="104"/>
      <c r="N2993" s="103"/>
    </row>
    <row r="2994" spans="1:14" ht="45" customHeight="1" thickBot="1" x14ac:dyDescent="0.4">
      <c r="A2994" s="103"/>
      <c r="B2994" s="103"/>
      <c r="C2994" s="103"/>
      <c r="D2994" s="103"/>
      <c r="E2994" s="103"/>
      <c r="F2994" s="103"/>
      <c r="G2994" s="103"/>
      <c r="H2994" s="103"/>
      <c r="I2994" s="103"/>
      <c r="J2994" s="103"/>
      <c r="K2994" s="103"/>
      <c r="L2994" s="103"/>
      <c r="M2994" s="104"/>
      <c r="N2994" s="103"/>
    </row>
    <row r="2995" spans="1:14" ht="45" customHeight="1" thickBot="1" x14ac:dyDescent="0.4">
      <c r="A2995" s="103"/>
      <c r="B2995" s="103"/>
      <c r="C2995" s="103"/>
      <c r="D2995" s="103"/>
      <c r="E2995" s="103"/>
      <c r="F2995" s="103"/>
      <c r="G2995" s="103"/>
      <c r="H2995" s="103"/>
      <c r="I2995" s="103"/>
      <c r="J2995" s="103"/>
      <c r="K2995" s="103"/>
      <c r="L2995" s="103"/>
      <c r="M2995" s="104"/>
      <c r="N2995" s="103"/>
    </row>
    <row r="2996" spans="1:14" ht="45" customHeight="1" thickBot="1" x14ac:dyDescent="0.4">
      <c r="A2996" s="103"/>
      <c r="B2996" s="103"/>
      <c r="C2996" s="103"/>
      <c r="D2996" s="103"/>
      <c r="E2996" s="103"/>
      <c r="F2996" s="103"/>
      <c r="G2996" s="103"/>
      <c r="H2996" s="103"/>
      <c r="I2996" s="103"/>
      <c r="J2996" s="103"/>
      <c r="K2996" s="103"/>
      <c r="L2996" s="103"/>
      <c r="M2996" s="104"/>
      <c r="N2996" s="103"/>
    </row>
    <row r="2997" spans="1:14" ht="45" customHeight="1" thickBot="1" x14ac:dyDescent="0.4">
      <c r="A2997" s="103"/>
      <c r="B2997" s="103"/>
      <c r="C2997" s="103"/>
      <c r="D2997" s="103"/>
      <c r="E2997" s="103"/>
      <c r="F2997" s="103"/>
      <c r="G2997" s="103"/>
      <c r="H2997" s="103"/>
      <c r="I2997" s="103"/>
      <c r="J2997" s="103"/>
      <c r="K2997" s="103"/>
      <c r="L2997" s="103"/>
      <c r="M2997" s="104"/>
      <c r="N2997" s="103"/>
    </row>
    <row r="2998" spans="1:14" ht="45" customHeight="1" thickBot="1" x14ac:dyDescent="0.4">
      <c r="A2998" s="103"/>
      <c r="B2998" s="103"/>
      <c r="C2998" s="103"/>
      <c r="D2998" s="103"/>
      <c r="E2998" s="103"/>
      <c r="F2998" s="103"/>
      <c r="G2998" s="103"/>
      <c r="H2998" s="103"/>
      <c r="I2998" s="103"/>
      <c r="J2998" s="103"/>
      <c r="K2998" s="103"/>
      <c r="L2998" s="103"/>
      <c r="M2998" s="104"/>
      <c r="N2998" s="103"/>
    </row>
    <row r="2999" spans="1:14" ht="45" customHeight="1" thickBot="1" x14ac:dyDescent="0.4">
      <c r="A2999" s="103"/>
      <c r="B2999" s="103"/>
      <c r="C2999" s="103"/>
      <c r="D2999" s="103"/>
      <c r="E2999" s="103"/>
      <c r="F2999" s="103"/>
      <c r="G2999" s="103"/>
      <c r="H2999" s="103"/>
      <c r="I2999" s="103"/>
      <c r="J2999" s="103"/>
      <c r="K2999" s="103"/>
      <c r="L2999" s="103"/>
      <c r="M2999" s="104"/>
      <c r="N2999" s="103"/>
    </row>
    <row r="3000" spans="1:14" ht="45" customHeight="1" thickBot="1" x14ac:dyDescent="0.4">
      <c r="A3000" s="103"/>
      <c r="B3000" s="103"/>
      <c r="C3000" s="103"/>
      <c r="D3000" s="103"/>
      <c r="E3000" s="103"/>
      <c r="F3000" s="103"/>
      <c r="G3000" s="103"/>
      <c r="H3000" s="103"/>
      <c r="I3000" s="103"/>
      <c r="J3000" s="103"/>
      <c r="K3000" s="103"/>
      <c r="L3000" s="103"/>
      <c r="M3000" s="104"/>
      <c r="N3000" s="103"/>
    </row>
    <row r="3001" spans="1:14" ht="45" customHeight="1" thickBot="1" x14ac:dyDescent="0.4">
      <c r="A3001" s="103"/>
      <c r="B3001" s="103"/>
      <c r="C3001" s="103"/>
      <c r="D3001" s="103"/>
      <c r="E3001" s="103"/>
      <c r="F3001" s="103"/>
      <c r="G3001" s="103"/>
      <c r="H3001" s="103"/>
      <c r="I3001" s="103"/>
      <c r="J3001" s="103"/>
      <c r="K3001" s="103"/>
      <c r="L3001" s="103"/>
      <c r="M3001" s="104"/>
      <c r="N3001" s="103"/>
    </row>
    <row r="3002" spans="1:14" ht="45" customHeight="1" thickBot="1" x14ac:dyDescent="0.4">
      <c r="A3002" s="103"/>
      <c r="B3002" s="103"/>
      <c r="C3002" s="103"/>
      <c r="D3002" s="103"/>
      <c r="E3002" s="103"/>
      <c r="F3002" s="103"/>
      <c r="G3002" s="103"/>
      <c r="H3002" s="103"/>
      <c r="I3002" s="103"/>
      <c r="J3002" s="103"/>
      <c r="K3002" s="103"/>
      <c r="L3002" s="103"/>
      <c r="M3002" s="104"/>
      <c r="N3002" s="103"/>
    </row>
    <row r="3003" spans="1:14" ht="45" customHeight="1" thickBot="1" x14ac:dyDescent="0.4">
      <c r="A3003" s="103"/>
      <c r="B3003" s="103"/>
      <c r="C3003" s="103"/>
      <c r="D3003" s="103"/>
      <c r="E3003" s="103"/>
      <c r="F3003" s="103"/>
      <c r="G3003" s="103"/>
      <c r="H3003" s="103"/>
      <c r="I3003" s="103"/>
      <c r="J3003" s="103"/>
      <c r="K3003" s="103"/>
      <c r="L3003" s="103"/>
      <c r="M3003" s="104"/>
      <c r="N3003" s="103"/>
    </row>
    <row r="3004" spans="1:14" ht="45" customHeight="1" thickBot="1" x14ac:dyDescent="0.4">
      <c r="A3004" s="103"/>
      <c r="B3004" s="103"/>
      <c r="C3004" s="103"/>
      <c r="D3004" s="103"/>
      <c r="E3004" s="103"/>
      <c r="F3004" s="103"/>
      <c r="G3004" s="103"/>
      <c r="H3004" s="103"/>
      <c r="I3004" s="103"/>
      <c r="J3004" s="103"/>
      <c r="K3004" s="103"/>
      <c r="L3004" s="103"/>
      <c r="M3004" s="104"/>
      <c r="N3004" s="103"/>
    </row>
    <row r="3005" spans="1:14" ht="45" customHeight="1" thickBot="1" x14ac:dyDescent="0.4">
      <c r="A3005" s="103"/>
      <c r="B3005" s="103"/>
      <c r="C3005" s="103"/>
      <c r="D3005" s="103"/>
      <c r="E3005" s="103"/>
      <c r="F3005" s="103"/>
      <c r="G3005" s="103"/>
      <c r="H3005" s="103"/>
      <c r="I3005" s="103"/>
      <c r="J3005" s="103"/>
      <c r="K3005" s="103"/>
      <c r="L3005" s="103"/>
      <c r="M3005" s="104"/>
      <c r="N3005" s="103"/>
    </row>
    <row r="3006" spans="1:14" ht="45" customHeight="1" thickBot="1" x14ac:dyDescent="0.4">
      <c r="A3006" s="103"/>
      <c r="B3006" s="103"/>
      <c r="C3006" s="103"/>
      <c r="D3006" s="103"/>
      <c r="E3006" s="103"/>
      <c r="F3006" s="103"/>
      <c r="G3006" s="103"/>
      <c r="H3006" s="103"/>
      <c r="I3006" s="103"/>
      <c r="J3006" s="103"/>
      <c r="K3006" s="103"/>
      <c r="L3006" s="103"/>
      <c r="M3006" s="104"/>
      <c r="N3006" s="103"/>
    </row>
    <row r="3007" spans="1:14" ht="45" customHeight="1" thickBot="1" x14ac:dyDescent="0.4">
      <c r="A3007" s="103"/>
      <c r="B3007" s="103"/>
      <c r="C3007" s="103"/>
      <c r="D3007" s="103"/>
      <c r="E3007" s="103"/>
      <c r="F3007" s="103"/>
      <c r="G3007" s="103"/>
      <c r="H3007" s="103"/>
      <c r="I3007" s="103"/>
      <c r="J3007" s="103"/>
      <c r="K3007" s="103"/>
      <c r="L3007" s="103"/>
      <c r="M3007" s="104"/>
      <c r="N3007" s="103"/>
    </row>
    <row r="3008" spans="1:14" ht="45" customHeight="1" thickBot="1" x14ac:dyDescent="0.4">
      <c r="A3008" s="103"/>
      <c r="B3008" s="103"/>
      <c r="C3008" s="103"/>
      <c r="D3008" s="103"/>
      <c r="E3008" s="103"/>
      <c r="F3008" s="103"/>
      <c r="G3008" s="103"/>
      <c r="H3008" s="103"/>
      <c r="I3008" s="103"/>
      <c r="J3008" s="103"/>
      <c r="K3008" s="103"/>
      <c r="L3008" s="103"/>
      <c r="M3008" s="104"/>
      <c r="N3008" s="103"/>
    </row>
    <row r="3009" spans="1:14" ht="45" customHeight="1" thickBot="1" x14ac:dyDescent="0.4">
      <c r="A3009" s="103"/>
      <c r="B3009" s="103"/>
      <c r="C3009" s="103"/>
      <c r="D3009" s="103"/>
      <c r="E3009" s="103"/>
      <c r="F3009" s="103"/>
      <c r="G3009" s="103"/>
      <c r="H3009" s="103"/>
      <c r="I3009" s="103"/>
      <c r="J3009" s="103"/>
      <c r="K3009" s="103"/>
      <c r="L3009" s="103"/>
      <c r="M3009" s="104"/>
      <c r="N3009" s="103"/>
    </row>
    <row r="3010" spans="1:14" ht="45" customHeight="1" thickBot="1" x14ac:dyDescent="0.4">
      <c r="A3010" s="103"/>
      <c r="B3010" s="103"/>
      <c r="C3010" s="103"/>
      <c r="D3010" s="103"/>
      <c r="E3010" s="103"/>
      <c r="F3010" s="103"/>
      <c r="G3010" s="103"/>
      <c r="H3010" s="103"/>
      <c r="I3010" s="103"/>
      <c r="J3010" s="103"/>
      <c r="K3010" s="103"/>
      <c r="L3010" s="103"/>
      <c r="M3010" s="104"/>
      <c r="N3010" s="103"/>
    </row>
    <row r="3011" spans="1:14" ht="45" customHeight="1" thickBot="1" x14ac:dyDescent="0.4">
      <c r="A3011" s="103"/>
      <c r="B3011" s="103"/>
      <c r="C3011" s="103"/>
      <c r="D3011" s="103"/>
      <c r="E3011" s="103"/>
      <c r="F3011" s="103"/>
      <c r="G3011" s="103"/>
      <c r="H3011" s="103"/>
      <c r="I3011" s="103"/>
      <c r="J3011" s="103"/>
      <c r="K3011" s="103"/>
      <c r="L3011" s="103"/>
      <c r="M3011" s="104"/>
      <c r="N3011" s="103"/>
    </row>
    <row r="3012" spans="1:14" ht="45" customHeight="1" thickBot="1" x14ac:dyDescent="0.4">
      <c r="A3012" s="103"/>
      <c r="B3012" s="103"/>
      <c r="C3012" s="103"/>
      <c r="D3012" s="103"/>
      <c r="E3012" s="103"/>
      <c r="F3012" s="103"/>
      <c r="G3012" s="103"/>
      <c r="H3012" s="103"/>
      <c r="I3012" s="103"/>
      <c r="J3012" s="103"/>
      <c r="K3012" s="103"/>
      <c r="L3012" s="103"/>
      <c r="M3012" s="104"/>
      <c r="N3012" s="103"/>
    </row>
    <row r="3013" spans="1:14" ht="45" customHeight="1" thickBot="1" x14ac:dyDescent="0.4">
      <c r="A3013" s="103"/>
      <c r="B3013" s="103"/>
      <c r="C3013" s="103"/>
      <c r="D3013" s="103"/>
      <c r="E3013" s="103"/>
      <c r="F3013" s="103"/>
      <c r="G3013" s="103"/>
      <c r="H3013" s="103"/>
      <c r="I3013" s="103"/>
      <c r="J3013" s="103"/>
      <c r="K3013" s="103"/>
      <c r="L3013" s="103"/>
      <c r="M3013" s="104"/>
      <c r="N3013" s="103"/>
    </row>
    <row r="3014" spans="1:14" ht="45" customHeight="1" thickBot="1" x14ac:dyDescent="0.4">
      <c r="A3014" s="103"/>
      <c r="B3014" s="103"/>
      <c r="C3014" s="103"/>
      <c r="D3014" s="103"/>
      <c r="E3014" s="103"/>
      <c r="F3014" s="103"/>
      <c r="G3014" s="103"/>
      <c r="H3014" s="103"/>
      <c r="I3014" s="103"/>
      <c r="J3014" s="103"/>
      <c r="K3014" s="103"/>
      <c r="L3014" s="103"/>
      <c r="M3014" s="104"/>
      <c r="N3014" s="103"/>
    </row>
    <row r="3015" spans="1:14" ht="45" customHeight="1" thickBot="1" x14ac:dyDescent="0.4">
      <c r="A3015" s="103"/>
      <c r="B3015" s="103"/>
      <c r="C3015" s="103"/>
      <c r="D3015" s="103"/>
      <c r="E3015" s="103"/>
      <c r="F3015" s="103"/>
      <c r="G3015" s="103"/>
      <c r="H3015" s="103"/>
      <c r="I3015" s="103"/>
      <c r="J3015" s="103"/>
      <c r="K3015" s="103"/>
      <c r="L3015" s="103"/>
      <c r="M3015" s="104"/>
      <c r="N3015" s="103"/>
    </row>
    <row r="3016" spans="1:14" ht="45" customHeight="1" thickBot="1" x14ac:dyDescent="0.4">
      <c r="A3016" s="103"/>
      <c r="B3016" s="103"/>
      <c r="C3016" s="103"/>
      <c r="D3016" s="103"/>
      <c r="E3016" s="103"/>
      <c r="F3016" s="103"/>
      <c r="G3016" s="103"/>
      <c r="H3016" s="103"/>
      <c r="I3016" s="103"/>
      <c r="J3016" s="103"/>
      <c r="K3016" s="103"/>
      <c r="L3016" s="103"/>
      <c r="M3016" s="104"/>
      <c r="N3016" s="103"/>
    </row>
    <row r="3017" spans="1:14" ht="45" customHeight="1" thickBot="1" x14ac:dyDescent="0.4">
      <c r="A3017" s="103"/>
      <c r="B3017" s="103"/>
      <c r="C3017" s="103"/>
      <c r="D3017" s="103"/>
      <c r="E3017" s="103"/>
      <c r="F3017" s="103"/>
      <c r="G3017" s="103"/>
      <c r="H3017" s="103"/>
      <c r="I3017" s="103"/>
      <c r="J3017" s="103"/>
      <c r="K3017" s="103"/>
      <c r="L3017" s="103"/>
      <c r="M3017" s="104"/>
      <c r="N3017" s="103"/>
    </row>
    <row r="3018" spans="1:14" ht="45" customHeight="1" thickBot="1" x14ac:dyDescent="0.4">
      <c r="A3018" s="103"/>
      <c r="B3018" s="103"/>
      <c r="C3018" s="103"/>
      <c r="D3018" s="103"/>
      <c r="E3018" s="103"/>
      <c r="F3018" s="103"/>
      <c r="G3018" s="103"/>
      <c r="H3018" s="103"/>
      <c r="I3018" s="103"/>
      <c r="J3018" s="103"/>
      <c r="K3018" s="103"/>
      <c r="L3018" s="103"/>
      <c r="M3018" s="104"/>
      <c r="N3018" s="103"/>
    </row>
    <row r="3019" spans="1:14" ht="45" customHeight="1" thickBot="1" x14ac:dyDescent="0.4">
      <c r="A3019" s="103"/>
      <c r="B3019" s="103"/>
      <c r="C3019" s="103"/>
      <c r="D3019" s="103"/>
      <c r="E3019" s="103"/>
      <c r="F3019" s="103"/>
      <c r="G3019" s="103"/>
      <c r="H3019" s="103"/>
      <c r="I3019" s="103"/>
      <c r="J3019" s="103"/>
      <c r="K3019" s="103"/>
      <c r="L3019" s="103"/>
      <c r="M3019" s="104"/>
      <c r="N3019" s="103"/>
    </row>
    <row r="3020" spans="1:14" ht="45" customHeight="1" thickBot="1" x14ac:dyDescent="0.4">
      <c r="A3020" s="103"/>
      <c r="B3020" s="103"/>
      <c r="C3020" s="103"/>
      <c r="D3020" s="103"/>
      <c r="E3020" s="103"/>
      <c r="F3020" s="103"/>
      <c r="G3020" s="103"/>
      <c r="H3020" s="103"/>
      <c r="I3020" s="103"/>
      <c r="J3020" s="103"/>
      <c r="K3020" s="103"/>
      <c r="L3020" s="103"/>
      <c r="M3020" s="104"/>
      <c r="N3020" s="103"/>
    </row>
    <row r="3021" spans="1:14" ht="45" customHeight="1" thickBot="1" x14ac:dyDescent="0.4">
      <c r="A3021" s="103"/>
      <c r="B3021" s="103"/>
      <c r="C3021" s="103"/>
      <c r="D3021" s="103"/>
      <c r="E3021" s="103"/>
      <c r="F3021" s="103"/>
      <c r="G3021" s="103"/>
      <c r="H3021" s="103"/>
      <c r="I3021" s="103"/>
      <c r="J3021" s="103"/>
      <c r="K3021" s="103"/>
      <c r="L3021" s="103"/>
      <c r="M3021" s="104"/>
      <c r="N3021" s="103"/>
    </row>
    <row r="3022" spans="1:14" ht="45" customHeight="1" thickBot="1" x14ac:dyDescent="0.4">
      <c r="A3022" s="103"/>
      <c r="B3022" s="103"/>
      <c r="C3022" s="103"/>
      <c r="D3022" s="103"/>
      <c r="E3022" s="103"/>
      <c r="F3022" s="103"/>
      <c r="G3022" s="103"/>
      <c r="H3022" s="103"/>
      <c r="I3022" s="103"/>
      <c r="J3022" s="103"/>
      <c r="K3022" s="103"/>
      <c r="L3022" s="103"/>
      <c r="M3022" s="104"/>
      <c r="N3022" s="103"/>
    </row>
    <row r="3023" spans="1:14" ht="45" customHeight="1" thickBot="1" x14ac:dyDescent="0.4">
      <c r="A3023" s="103"/>
      <c r="B3023" s="103"/>
      <c r="C3023" s="103"/>
      <c r="D3023" s="103"/>
      <c r="E3023" s="103"/>
      <c r="F3023" s="103"/>
      <c r="G3023" s="103"/>
      <c r="H3023" s="103"/>
      <c r="I3023" s="103"/>
      <c r="J3023" s="103"/>
      <c r="K3023" s="103"/>
      <c r="L3023" s="103"/>
      <c r="M3023" s="104"/>
      <c r="N3023" s="103"/>
    </row>
    <row r="3024" spans="1:14" ht="45" customHeight="1" thickBot="1" x14ac:dyDescent="0.4">
      <c r="A3024" s="103"/>
      <c r="B3024" s="103"/>
      <c r="C3024" s="103"/>
      <c r="D3024" s="103"/>
      <c r="E3024" s="103"/>
      <c r="F3024" s="103"/>
      <c r="G3024" s="103"/>
      <c r="H3024" s="103"/>
      <c r="I3024" s="103"/>
      <c r="J3024" s="103"/>
      <c r="K3024" s="103"/>
      <c r="L3024" s="103"/>
      <c r="M3024" s="104"/>
      <c r="N3024" s="103"/>
    </row>
    <row r="3025" spans="1:14" ht="45" customHeight="1" thickBot="1" x14ac:dyDescent="0.4">
      <c r="A3025" s="103"/>
      <c r="B3025" s="103"/>
      <c r="C3025" s="103"/>
      <c r="D3025" s="103"/>
      <c r="E3025" s="103"/>
      <c r="F3025" s="103"/>
      <c r="G3025" s="103"/>
      <c r="H3025" s="103"/>
      <c r="I3025" s="103"/>
      <c r="J3025" s="103"/>
      <c r="K3025" s="103"/>
      <c r="L3025" s="103"/>
      <c r="M3025" s="104"/>
      <c r="N3025" s="103"/>
    </row>
    <row r="3026" spans="1:14" ht="45" customHeight="1" thickBot="1" x14ac:dyDescent="0.4">
      <c r="A3026" s="103"/>
      <c r="B3026" s="103"/>
      <c r="C3026" s="103"/>
      <c r="D3026" s="103"/>
      <c r="E3026" s="103"/>
      <c r="F3026" s="103"/>
      <c r="G3026" s="103"/>
      <c r="H3026" s="103"/>
      <c r="I3026" s="103"/>
      <c r="J3026" s="103"/>
      <c r="K3026" s="103"/>
      <c r="L3026" s="103"/>
      <c r="M3026" s="104"/>
      <c r="N3026" s="103"/>
    </row>
    <row r="3027" spans="1:14" ht="45" customHeight="1" thickBot="1" x14ac:dyDescent="0.4">
      <c r="A3027" s="103"/>
      <c r="B3027" s="103"/>
      <c r="C3027" s="103"/>
      <c r="D3027" s="103"/>
      <c r="E3027" s="103"/>
      <c r="F3027" s="103"/>
      <c r="G3027" s="103"/>
      <c r="H3027" s="103"/>
      <c r="I3027" s="103"/>
      <c r="J3027" s="103"/>
      <c r="K3027" s="103"/>
      <c r="L3027" s="103"/>
      <c r="M3027" s="104"/>
      <c r="N3027" s="103"/>
    </row>
    <row r="3028" spans="1:14" ht="45" customHeight="1" thickBot="1" x14ac:dyDescent="0.4">
      <c r="A3028" s="103"/>
      <c r="B3028" s="103"/>
      <c r="C3028" s="103"/>
      <c r="D3028" s="103"/>
      <c r="E3028" s="103"/>
      <c r="F3028" s="103"/>
      <c r="G3028" s="103"/>
      <c r="H3028" s="103"/>
      <c r="I3028" s="103"/>
      <c r="J3028" s="103"/>
      <c r="K3028" s="103"/>
      <c r="L3028" s="103"/>
      <c r="M3028" s="104"/>
      <c r="N3028" s="103"/>
    </row>
    <row r="3029" spans="1:14" ht="45" customHeight="1" thickBot="1" x14ac:dyDescent="0.4">
      <c r="A3029" s="103"/>
      <c r="B3029" s="103"/>
      <c r="C3029" s="103"/>
      <c r="D3029" s="103"/>
      <c r="E3029" s="103"/>
      <c r="F3029" s="103"/>
      <c r="G3029" s="103"/>
      <c r="H3029" s="103"/>
      <c r="I3029" s="103"/>
      <c r="J3029" s="103"/>
      <c r="K3029" s="103"/>
      <c r="L3029" s="103"/>
      <c r="M3029" s="104"/>
      <c r="N3029" s="103"/>
    </row>
    <row r="3030" spans="1:14" ht="45" customHeight="1" thickBot="1" x14ac:dyDescent="0.4">
      <c r="A3030" s="103"/>
      <c r="B3030" s="103"/>
      <c r="C3030" s="103"/>
      <c r="D3030" s="103"/>
      <c r="E3030" s="103"/>
      <c r="F3030" s="103"/>
      <c r="G3030" s="103"/>
      <c r="H3030" s="103"/>
      <c r="I3030" s="103"/>
      <c r="J3030" s="103"/>
      <c r="K3030" s="103"/>
      <c r="L3030" s="103"/>
      <c r="M3030" s="104"/>
      <c r="N3030" s="103"/>
    </row>
    <row r="3031" spans="1:14" ht="45" customHeight="1" thickBot="1" x14ac:dyDescent="0.4">
      <c r="A3031" s="103"/>
      <c r="B3031" s="103"/>
      <c r="C3031" s="103"/>
      <c r="D3031" s="103"/>
      <c r="E3031" s="103"/>
      <c r="F3031" s="103"/>
      <c r="G3031" s="103"/>
      <c r="H3031" s="103"/>
      <c r="I3031" s="103"/>
      <c r="J3031" s="103"/>
      <c r="K3031" s="103"/>
      <c r="L3031" s="103"/>
      <c r="M3031" s="104"/>
      <c r="N3031" s="103"/>
    </row>
    <row r="3032" spans="1:14" ht="45" customHeight="1" thickBot="1" x14ac:dyDescent="0.4">
      <c r="A3032" s="103"/>
      <c r="B3032" s="103"/>
      <c r="C3032" s="103"/>
      <c r="D3032" s="103"/>
      <c r="E3032" s="103"/>
      <c r="F3032" s="103"/>
      <c r="G3032" s="103"/>
      <c r="H3032" s="103"/>
      <c r="I3032" s="103"/>
      <c r="J3032" s="103"/>
      <c r="K3032" s="103"/>
      <c r="L3032" s="103"/>
      <c r="M3032" s="104"/>
      <c r="N3032" s="103"/>
    </row>
    <row r="3033" spans="1:14" ht="45" customHeight="1" thickBot="1" x14ac:dyDescent="0.4">
      <c r="A3033" s="103"/>
      <c r="B3033" s="103"/>
      <c r="C3033" s="103"/>
      <c r="D3033" s="103"/>
      <c r="E3033" s="103"/>
      <c r="F3033" s="103"/>
      <c r="G3033" s="103"/>
      <c r="H3033" s="103"/>
      <c r="I3033" s="103"/>
      <c r="J3033" s="103"/>
      <c r="K3033" s="103"/>
      <c r="L3033" s="103"/>
      <c r="M3033" s="104"/>
      <c r="N3033" s="103"/>
    </row>
    <row r="3034" spans="1:14" ht="45" customHeight="1" thickBot="1" x14ac:dyDescent="0.4">
      <c r="A3034" s="103"/>
      <c r="B3034" s="103"/>
      <c r="C3034" s="103"/>
      <c r="D3034" s="103"/>
      <c r="E3034" s="103"/>
      <c r="F3034" s="103"/>
      <c r="G3034" s="103"/>
      <c r="H3034" s="103"/>
      <c r="I3034" s="103"/>
      <c r="J3034" s="103"/>
      <c r="K3034" s="103"/>
      <c r="L3034" s="103"/>
      <c r="M3034" s="104"/>
      <c r="N3034" s="103"/>
    </row>
    <row r="3035" spans="1:14" ht="45" customHeight="1" thickBot="1" x14ac:dyDescent="0.4">
      <c r="A3035" s="103"/>
      <c r="B3035" s="103"/>
      <c r="C3035" s="103"/>
      <c r="D3035" s="103"/>
      <c r="E3035" s="103"/>
      <c r="F3035" s="103"/>
      <c r="G3035" s="103"/>
      <c r="H3035" s="103"/>
      <c r="I3035" s="103"/>
      <c r="J3035" s="103"/>
      <c r="K3035" s="103"/>
      <c r="L3035" s="103"/>
      <c r="M3035" s="104"/>
      <c r="N3035" s="103"/>
    </row>
    <row r="3036" spans="1:14" ht="45" customHeight="1" thickBot="1" x14ac:dyDescent="0.4">
      <c r="A3036" s="103"/>
      <c r="B3036" s="103"/>
      <c r="C3036" s="103"/>
      <c r="D3036" s="103"/>
      <c r="E3036" s="103"/>
      <c r="F3036" s="103"/>
      <c r="G3036" s="103"/>
      <c r="H3036" s="103"/>
      <c r="I3036" s="103"/>
      <c r="J3036" s="103"/>
      <c r="K3036" s="103"/>
      <c r="L3036" s="103"/>
      <c r="M3036" s="104"/>
      <c r="N3036" s="103"/>
    </row>
    <row r="3037" spans="1:14" ht="45" customHeight="1" thickBot="1" x14ac:dyDescent="0.4">
      <c r="A3037" s="103"/>
      <c r="B3037" s="103"/>
      <c r="C3037" s="103"/>
      <c r="D3037" s="103"/>
      <c r="E3037" s="103"/>
      <c r="F3037" s="103"/>
      <c r="G3037" s="103"/>
      <c r="H3037" s="103"/>
      <c r="I3037" s="103"/>
      <c r="J3037" s="103"/>
      <c r="K3037" s="103"/>
      <c r="L3037" s="103"/>
      <c r="M3037" s="104"/>
      <c r="N3037" s="103"/>
    </row>
    <row r="3038" spans="1:14" ht="45" customHeight="1" thickBot="1" x14ac:dyDescent="0.4">
      <c r="A3038" s="103"/>
      <c r="B3038" s="103"/>
      <c r="C3038" s="103"/>
      <c r="D3038" s="103"/>
      <c r="E3038" s="103"/>
      <c r="F3038" s="103"/>
      <c r="G3038" s="103"/>
      <c r="H3038" s="103"/>
      <c r="I3038" s="103"/>
      <c r="J3038" s="103"/>
      <c r="K3038" s="103"/>
      <c r="L3038" s="103"/>
      <c r="M3038" s="104"/>
      <c r="N3038" s="103"/>
    </row>
    <row r="3039" spans="1:14" ht="45" customHeight="1" thickBot="1" x14ac:dyDescent="0.4">
      <c r="A3039" s="103"/>
      <c r="B3039" s="103"/>
      <c r="C3039" s="103"/>
      <c r="D3039" s="103"/>
      <c r="E3039" s="103"/>
      <c r="F3039" s="103"/>
      <c r="G3039" s="103"/>
      <c r="H3039" s="103"/>
      <c r="I3039" s="103"/>
      <c r="J3039" s="103"/>
      <c r="K3039" s="103"/>
      <c r="L3039" s="103"/>
      <c r="M3039" s="104"/>
      <c r="N3039" s="103"/>
    </row>
    <row r="3040" spans="1:14" ht="45" customHeight="1" thickBot="1" x14ac:dyDescent="0.4">
      <c r="A3040" s="103"/>
      <c r="B3040" s="103"/>
      <c r="C3040" s="103"/>
      <c r="D3040" s="103"/>
      <c r="E3040" s="103"/>
      <c r="F3040" s="103"/>
      <c r="G3040" s="103"/>
      <c r="H3040" s="103"/>
      <c r="I3040" s="103"/>
      <c r="J3040" s="103"/>
      <c r="K3040" s="103"/>
      <c r="L3040" s="103"/>
      <c r="M3040" s="104"/>
      <c r="N3040" s="103"/>
    </row>
    <row r="3041" spans="1:14" ht="45" customHeight="1" thickBot="1" x14ac:dyDescent="0.4">
      <c r="A3041" s="103"/>
      <c r="B3041" s="103"/>
      <c r="C3041" s="103"/>
      <c r="D3041" s="103"/>
      <c r="E3041" s="103"/>
      <c r="F3041" s="103"/>
      <c r="G3041" s="103"/>
      <c r="H3041" s="103"/>
      <c r="I3041" s="103"/>
      <c r="J3041" s="103"/>
      <c r="K3041" s="103"/>
      <c r="L3041" s="103"/>
      <c r="M3041" s="104"/>
      <c r="N3041" s="103"/>
    </row>
    <row r="3042" spans="1:14" ht="45" customHeight="1" thickBot="1" x14ac:dyDescent="0.4">
      <c r="A3042" s="103"/>
      <c r="B3042" s="103"/>
      <c r="C3042" s="103"/>
      <c r="D3042" s="103"/>
      <c r="E3042" s="103"/>
      <c r="F3042" s="103"/>
      <c r="G3042" s="103"/>
      <c r="H3042" s="103"/>
      <c r="I3042" s="103"/>
      <c r="J3042" s="103"/>
      <c r="K3042" s="103"/>
      <c r="L3042" s="103"/>
      <c r="M3042" s="104"/>
      <c r="N3042" s="103"/>
    </row>
    <row r="3043" spans="1:14" ht="45" customHeight="1" thickBot="1" x14ac:dyDescent="0.4">
      <c r="A3043" s="103"/>
      <c r="B3043" s="103"/>
      <c r="C3043" s="103"/>
      <c r="D3043" s="103"/>
      <c r="E3043" s="103"/>
      <c r="F3043" s="103"/>
      <c r="G3043" s="103"/>
      <c r="H3043" s="103"/>
      <c r="I3043" s="103"/>
      <c r="J3043" s="103"/>
      <c r="K3043" s="103"/>
      <c r="L3043" s="103"/>
      <c r="M3043" s="104"/>
      <c r="N3043" s="103"/>
    </row>
    <row r="3044" spans="1:14" ht="45" customHeight="1" thickBot="1" x14ac:dyDescent="0.4">
      <c r="A3044" s="103"/>
      <c r="B3044" s="103"/>
      <c r="C3044" s="103"/>
      <c r="D3044" s="103"/>
      <c r="E3044" s="103"/>
      <c r="F3044" s="103"/>
      <c r="G3044" s="103"/>
      <c r="H3044" s="103"/>
      <c r="I3044" s="103"/>
      <c r="J3044" s="103"/>
      <c r="K3044" s="103"/>
      <c r="L3044" s="103"/>
      <c r="M3044" s="104"/>
      <c r="N3044" s="103"/>
    </row>
    <row r="3045" spans="1:14" ht="45" customHeight="1" thickBot="1" x14ac:dyDescent="0.4">
      <c r="A3045" s="103"/>
      <c r="B3045" s="103"/>
      <c r="C3045" s="103"/>
      <c r="D3045" s="103"/>
      <c r="E3045" s="103"/>
      <c r="F3045" s="103"/>
      <c r="G3045" s="103"/>
      <c r="H3045" s="103"/>
      <c r="I3045" s="103"/>
      <c r="J3045" s="103"/>
      <c r="K3045" s="103"/>
      <c r="L3045" s="103"/>
      <c r="M3045" s="104"/>
      <c r="N3045" s="103"/>
    </row>
    <row r="3046" spans="1:14" ht="45" customHeight="1" thickBot="1" x14ac:dyDescent="0.4">
      <c r="A3046" s="103"/>
      <c r="B3046" s="103"/>
      <c r="C3046" s="103"/>
      <c r="D3046" s="103"/>
      <c r="E3046" s="103"/>
      <c r="F3046" s="103"/>
      <c r="G3046" s="103"/>
      <c r="H3046" s="103"/>
      <c r="I3046" s="103"/>
      <c r="J3046" s="103"/>
      <c r="K3046" s="103"/>
      <c r="L3046" s="103"/>
      <c r="M3046" s="104"/>
      <c r="N3046" s="103"/>
    </row>
    <row r="3047" spans="1:14" ht="45" customHeight="1" thickBot="1" x14ac:dyDescent="0.4">
      <c r="A3047" s="103"/>
      <c r="B3047" s="103"/>
      <c r="C3047" s="103"/>
      <c r="D3047" s="103"/>
      <c r="E3047" s="103"/>
      <c r="F3047" s="103"/>
      <c r="G3047" s="103"/>
      <c r="H3047" s="103"/>
      <c r="I3047" s="103"/>
      <c r="J3047" s="103"/>
      <c r="K3047" s="103"/>
      <c r="L3047" s="103"/>
      <c r="M3047" s="104"/>
      <c r="N3047" s="103"/>
    </row>
    <row r="3048" spans="1:14" ht="45" customHeight="1" thickBot="1" x14ac:dyDescent="0.4">
      <c r="A3048" s="103"/>
      <c r="B3048" s="103"/>
      <c r="C3048" s="103"/>
      <c r="D3048" s="103"/>
      <c r="E3048" s="103"/>
      <c r="F3048" s="103"/>
      <c r="G3048" s="103"/>
      <c r="H3048" s="103"/>
      <c r="I3048" s="103"/>
      <c r="J3048" s="103"/>
      <c r="K3048" s="103"/>
      <c r="L3048" s="103"/>
      <c r="M3048" s="104"/>
      <c r="N3048" s="103"/>
    </row>
    <row r="3049" spans="1:14" ht="45" customHeight="1" thickBot="1" x14ac:dyDescent="0.4">
      <c r="A3049" s="103"/>
      <c r="B3049" s="103"/>
      <c r="C3049" s="103"/>
      <c r="D3049" s="103"/>
      <c r="E3049" s="103"/>
      <c r="F3049" s="103"/>
      <c r="G3049" s="103"/>
      <c r="H3049" s="103"/>
      <c r="I3049" s="103"/>
      <c r="J3049" s="103"/>
      <c r="K3049" s="103"/>
      <c r="L3049" s="103"/>
      <c r="M3049" s="104"/>
      <c r="N3049" s="103"/>
    </row>
    <row r="3050" spans="1:14" ht="45" customHeight="1" thickBot="1" x14ac:dyDescent="0.4">
      <c r="A3050" s="103"/>
      <c r="B3050" s="103"/>
      <c r="C3050" s="103"/>
      <c r="D3050" s="103"/>
      <c r="E3050" s="103"/>
      <c r="F3050" s="103"/>
      <c r="G3050" s="103"/>
      <c r="H3050" s="103"/>
      <c r="I3050" s="103"/>
      <c r="J3050" s="103"/>
      <c r="K3050" s="103"/>
      <c r="L3050" s="103"/>
      <c r="M3050" s="104"/>
      <c r="N3050" s="103"/>
    </row>
    <row r="3051" spans="1:14" ht="45" customHeight="1" thickBot="1" x14ac:dyDescent="0.4">
      <c r="A3051" s="103"/>
      <c r="B3051" s="103"/>
      <c r="C3051" s="103"/>
      <c r="D3051" s="103"/>
      <c r="E3051" s="103"/>
      <c r="F3051" s="103"/>
      <c r="G3051" s="103"/>
      <c r="H3051" s="103"/>
      <c r="I3051" s="103"/>
      <c r="J3051" s="103"/>
      <c r="K3051" s="103"/>
      <c r="L3051" s="103"/>
      <c r="M3051" s="104"/>
      <c r="N3051" s="103"/>
    </row>
    <row r="3052" spans="1:14" ht="45" customHeight="1" thickBot="1" x14ac:dyDescent="0.4">
      <c r="A3052" s="103"/>
      <c r="B3052" s="103"/>
      <c r="C3052" s="103"/>
      <c r="D3052" s="103"/>
      <c r="E3052" s="103"/>
      <c r="F3052" s="103"/>
      <c r="G3052" s="103"/>
      <c r="H3052" s="103"/>
      <c r="I3052" s="103"/>
      <c r="J3052" s="103"/>
      <c r="K3052" s="103"/>
      <c r="L3052" s="103"/>
      <c r="M3052" s="104"/>
      <c r="N3052" s="103"/>
    </row>
    <row r="3053" spans="1:14" ht="45" customHeight="1" thickBot="1" x14ac:dyDescent="0.4">
      <c r="A3053" s="103"/>
      <c r="B3053" s="103"/>
      <c r="C3053" s="103"/>
      <c r="D3053" s="103"/>
      <c r="E3053" s="103"/>
      <c r="F3053" s="103"/>
      <c r="G3053" s="103"/>
      <c r="H3053" s="103"/>
      <c r="I3053" s="103"/>
      <c r="J3053" s="103"/>
      <c r="K3053" s="103"/>
      <c r="L3053" s="103"/>
      <c r="M3053" s="104"/>
      <c r="N3053" s="103"/>
    </row>
    <row r="3054" spans="1:14" ht="45" customHeight="1" thickBot="1" x14ac:dyDescent="0.4">
      <c r="A3054" s="103"/>
      <c r="B3054" s="103"/>
      <c r="C3054" s="103"/>
      <c r="D3054" s="103"/>
      <c r="E3054" s="103"/>
      <c r="F3054" s="103"/>
      <c r="G3054" s="103"/>
      <c r="H3054" s="103"/>
      <c r="I3054" s="103"/>
      <c r="J3054" s="103"/>
      <c r="K3054" s="103"/>
      <c r="L3054" s="103"/>
      <c r="M3054" s="104"/>
      <c r="N3054" s="103"/>
    </row>
    <row r="3055" spans="1:14" ht="45" customHeight="1" thickBot="1" x14ac:dyDescent="0.4">
      <c r="A3055" s="103"/>
      <c r="B3055" s="103"/>
      <c r="C3055" s="103"/>
      <c r="D3055" s="103"/>
      <c r="E3055" s="103"/>
      <c r="F3055" s="103"/>
      <c r="G3055" s="103"/>
      <c r="H3055" s="103"/>
      <c r="I3055" s="103"/>
      <c r="J3055" s="103"/>
      <c r="K3055" s="103"/>
      <c r="L3055" s="103"/>
      <c r="M3055" s="104"/>
      <c r="N3055" s="103"/>
    </row>
    <row r="3056" spans="1:14" ht="45" customHeight="1" thickBot="1" x14ac:dyDescent="0.4">
      <c r="A3056" s="103"/>
      <c r="B3056" s="103"/>
      <c r="C3056" s="103"/>
      <c r="D3056" s="103"/>
      <c r="E3056" s="103"/>
      <c r="F3056" s="103"/>
      <c r="G3056" s="103"/>
      <c r="H3056" s="103"/>
      <c r="I3056" s="103"/>
      <c r="J3056" s="103"/>
      <c r="K3056" s="103"/>
      <c r="L3056" s="103"/>
      <c r="M3056" s="104"/>
      <c r="N3056" s="103"/>
    </row>
    <row r="3057" spans="1:14" ht="45" customHeight="1" thickBot="1" x14ac:dyDescent="0.4">
      <c r="A3057" s="103"/>
      <c r="B3057" s="103"/>
      <c r="C3057" s="103"/>
      <c r="D3057" s="103"/>
      <c r="E3057" s="103"/>
      <c r="F3057" s="103"/>
      <c r="G3057" s="103"/>
      <c r="H3057" s="103"/>
      <c r="I3057" s="103"/>
      <c r="J3057" s="103"/>
      <c r="K3057" s="103"/>
      <c r="L3057" s="103"/>
      <c r="M3057" s="104"/>
      <c r="N3057" s="103"/>
    </row>
    <row r="3058" spans="1:14" ht="45" customHeight="1" thickBot="1" x14ac:dyDescent="0.4">
      <c r="A3058" s="103"/>
      <c r="B3058" s="103"/>
      <c r="C3058" s="103"/>
      <c r="D3058" s="103"/>
      <c r="E3058" s="103"/>
      <c r="F3058" s="103"/>
      <c r="G3058" s="103"/>
      <c r="H3058" s="103"/>
      <c r="I3058" s="103"/>
      <c r="J3058" s="103"/>
      <c r="K3058" s="103"/>
      <c r="L3058" s="103"/>
      <c r="M3058" s="104"/>
      <c r="N3058" s="103"/>
    </row>
    <row r="3059" spans="1:14" ht="45" customHeight="1" thickBot="1" x14ac:dyDescent="0.4">
      <c r="A3059" s="103"/>
      <c r="B3059" s="103"/>
      <c r="C3059" s="103"/>
      <c r="D3059" s="103"/>
      <c r="E3059" s="103"/>
      <c r="F3059" s="103"/>
      <c r="G3059" s="103"/>
      <c r="H3059" s="103"/>
      <c r="I3059" s="103"/>
      <c r="J3059" s="103"/>
      <c r="K3059" s="103"/>
      <c r="L3059" s="103"/>
      <c r="M3059" s="104"/>
      <c r="N3059" s="103"/>
    </row>
    <row r="3060" spans="1:14" ht="45" customHeight="1" thickBot="1" x14ac:dyDescent="0.4">
      <c r="A3060" s="103"/>
      <c r="B3060" s="103"/>
      <c r="C3060" s="103"/>
      <c r="D3060" s="103"/>
      <c r="E3060" s="103"/>
      <c r="F3060" s="103"/>
      <c r="G3060" s="103"/>
      <c r="H3060" s="103"/>
      <c r="I3060" s="103"/>
      <c r="J3060" s="103"/>
      <c r="K3060" s="103"/>
      <c r="L3060" s="103"/>
      <c r="M3060" s="104"/>
      <c r="N3060" s="103"/>
    </row>
    <row r="3061" spans="1:14" ht="45" customHeight="1" thickBot="1" x14ac:dyDescent="0.4">
      <c r="A3061" s="103"/>
      <c r="B3061" s="103"/>
      <c r="C3061" s="103"/>
      <c r="D3061" s="103"/>
      <c r="E3061" s="103"/>
      <c r="F3061" s="103"/>
      <c r="G3061" s="103"/>
      <c r="H3061" s="103"/>
      <c r="I3061" s="103"/>
      <c r="J3061" s="103"/>
      <c r="K3061" s="103"/>
      <c r="L3061" s="103"/>
      <c r="M3061" s="104"/>
      <c r="N3061" s="103"/>
    </row>
    <row r="3062" spans="1:14" ht="45" customHeight="1" thickBot="1" x14ac:dyDescent="0.4">
      <c r="A3062" s="103"/>
      <c r="B3062" s="103"/>
      <c r="C3062" s="103"/>
      <c r="D3062" s="103"/>
      <c r="E3062" s="103"/>
      <c r="F3062" s="103"/>
      <c r="G3062" s="103"/>
      <c r="H3062" s="103"/>
      <c r="I3062" s="103"/>
      <c r="J3062" s="103"/>
      <c r="K3062" s="103"/>
      <c r="L3062" s="103"/>
      <c r="M3062" s="104"/>
      <c r="N3062" s="103"/>
    </row>
    <row r="3063" spans="1:14" ht="45" customHeight="1" thickBot="1" x14ac:dyDescent="0.4">
      <c r="A3063" s="103"/>
      <c r="B3063" s="103"/>
      <c r="C3063" s="103"/>
      <c r="D3063" s="103"/>
      <c r="E3063" s="103"/>
      <c r="F3063" s="103"/>
      <c r="G3063" s="103"/>
      <c r="H3063" s="103"/>
      <c r="I3063" s="103"/>
      <c r="J3063" s="103"/>
      <c r="K3063" s="103"/>
      <c r="L3063" s="103"/>
      <c r="M3063" s="104"/>
      <c r="N3063" s="103"/>
    </row>
    <row r="3064" spans="1:14" ht="45" customHeight="1" thickBot="1" x14ac:dyDescent="0.4">
      <c r="A3064" s="103"/>
      <c r="B3064" s="103"/>
      <c r="C3064" s="103"/>
      <c r="D3064" s="103"/>
      <c r="E3064" s="103"/>
      <c r="F3064" s="103"/>
      <c r="G3064" s="103"/>
      <c r="H3064" s="103"/>
      <c r="I3064" s="103"/>
      <c r="J3064" s="103"/>
      <c r="K3064" s="103"/>
      <c r="L3064" s="103"/>
      <c r="M3064" s="104"/>
      <c r="N3064" s="103"/>
    </row>
    <row r="3065" spans="1:14" ht="45" customHeight="1" thickBot="1" x14ac:dyDescent="0.4">
      <c r="A3065" s="103"/>
      <c r="B3065" s="103"/>
      <c r="C3065" s="103"/>
      <c r="D3065" s="103"/>
      <c r="E3065" s="103"/>
      <c r="F3065" s="103"/>
      <c r="G3065" s="103"/>
      <c r="H3065" s="103"/>
      <c r="I3065" s="103"/>
      <c r="J3065" s="103"/>
      <c r="K3065" s="103"/>
      <c r="L3065" s="103"/>
      <c r="M3065" s="104"/>
      <c r="N3065" s="103"/>
    </row>
    <row r="3066" spans="1:14" ht="45" customHeight="1" thickBot="1" x14ac:dyDescent="0.4">
      <c r="A3066" s="103"/>
      <c r="B3066" s="103"/>
      <c r="C3066" s="103"/>
      <c r="D3066" s="103"/>
      <c r="E3066" s="103"/>
      <c r="F3066" s="103"/>
      <c r="G3066" s="103"/>
      <c r="H3066" s="103"/>
      <c r="I3066" s="103"/>
      <c r="J3066" s="103"/>
      <c r="K3066" s="103"/>
      <c r="L3066" s="103"/>
      <c r="M3066" s="104"/>
      <c r="N3066" s="103"/>
    </row>
    <row r="3067" spans="1:14" ht="45" customHeight="1" thickBot="1" x14ac:dyDescent="0.4">
      <c r="A3067" s="103"/>
      <c r="B3067" s="103"/>
      <c r="C3067" s="103"/>
      <c r="D3067" s="103"/>
      <c r="E3067" s="103"/>
      <c r="F3067" s="103"/>
      <c r="G3067" s="103"/>
      <c r="H3067" s="103"/>
      <c r="I3067" s="103"/>
      <c r="J3067" s="103"/>
      <c r="K3067" s="103"/>
      <c r="L3067" s="103"/>
      <c r="M3067" s="104"/>
      <c r="N3067" s="103"/>
    </row>
    <row r="3068" spans="1:14" ht="45" customHeight="1" thickBot="1" x14ac:dyDescent="0.4">
      <c r="A3068" s="103"/>
      <c r="B3068" s="103"/>
      <c r="C3068" s="103"/>
      <c r="D3068" s="103"/>
      <c r="E3068" s="103"/>
      <c r="F3068" s="103"/>
      <c r="G3068" s="103"/>
      <c r="H3068" s="103"/>
      <c r="I3068" s="103"/>
      <c r="J3068" s="103"/>
      <c r="K3068" s="103"/>
      <c r="L3068" s="103"/>
      <c r="M3068" s="104"/>
      <c r="N3068" s="103"/>
    </row>
    <row r="3069" spans="1:14" ht="45" customHeight="1" thickBot="1" x14ac:dyDescent="0.4">
      <c r="A3069" s="103"/>
      <c r="B3069" s="103"/>
      <c r="C3069" s="103"/>
      <c r="D3069" s="103"/>
      <c r="E3069" s="103"/>
      <c r="F3069" s="103"/>
      <c r="G3069" s="103"/>
      <c r="H3069" s="103"/>
      <c r="I3069" s="103"/>
      <c r="J3069" s="103"/>
      <c r="K3069" s="103"/>
      <c r="L3069" s="103"/>
      <c r="M3069" s="104"/>
      <c r="N3069" s="103"/>
    </row>
    <row r="3070" spans="1:14" ht="45" customHeight="1" thickBot="1" x14ac:dyDescent="0.4">
      <c r="A3070" s="103"/>
      <c r="B3070" s="103"/>
      <c r="C3070" s="103"/>
      <c r="D3070" s="103"/>
      <c r="E3070" s="103"/>
      <c r="F3070" s="103"/>
      <c r="G3070" s="103"/>
      <c r="H3070" s="103"/>
      <c r="I3070" s="103"/>
      <c r="J3070" s="103"/>
      <c r="K3070" s="103"/>
      <c r="L3070" s="103"/>
      <c r="M3070" s="104"/>
      <c r="N3070" s="103"/>
    </row>
    <row r="3071" spans="1:14" ht="45" customHeight="1" thickBot="1" x14ac:dyDescent="0.4">
      <c r="A3071" s="103"/>
      <c r="B3071" s="103"/>
      <c r="C3071" s="103"/>
      <c r="D3071" s="103"/>
      <c r="E3071" s="103"/>
      <c r="F3071" s="103"/>
      <c r="G3071" s="103"/>
      <c r="H3071" s="103"/>
      <c r="I3071" s="103"/>
      <c r="J3071" s="103"/>
      <c r="K3071" s="103"/>
      <c r="L3071" s="103"/>
      <c r="M3071" s="104"/>
      <c r="N3071" s="103"/>
    </row>
    <row r="3072" spans="1:14" ht="45" customHeight="1" thickBot="1" x14ac:dyDescent="0.4">
      <c r="A3072" s="103"/>
      <c r="B3072" s="103"/>
      <c r="C3072" s="103"/>
      <c r="D3072" s="103"/>
      <c r="E3072" s="103"/>
      <c r="F3072" s="103"/>
      <c r="G3072" s="103"/>
      <c r="H3072" s="103"/>
      <c r="I3072" s="103"/>
      <c r="J3072" s="103"/>
      <c r="K3072" s="103"/>
      <c r="L3072" s="103"/>
      <c r="M3072" s="104"/>
      <c r="N3072" s="103"/>
    </row>
    <row r="3073" spans="1:14" ht="45" customHeight="1" thickBot="1" x14ac:dyDescent="0.4">
      <c r="A3073" s="103"/>
      <c r="B3073" s="103"/>
      <c r="C3073" s="103"/>
      <c r="D3073" s="103"/>
      <c r="E3073" s="103"/>
      <c r="F3073" s="103"/>
      <c r="G3073" s="103"/>
      <c r="H3073" s="103"/>
      <c r="I3073" s="103"/>
      <c r="J3073" s="103"/>
      <c r="K3073" s="103"/>
      <c r="L3073" s="103"/>
      <c r="M3073" s="104"/>
      <c r="N3073" s="103"/>
    </row>
    <row r="3074" spans="1:14" ht="45" customHeight="1" thickBot="1" x14ac:dyDescent="0.4">
      <c r="A3074" s="103"/>
      <c r="B3074" s="103"/>
      <c r="C3074" s="103"/>
      <c r="D3074" s="103"/>
      <c r="E3074" s="103"/>
      <c r="F3074" s="103"/>
      <c r="G3074" s="103"/>
      <c r="H3074" s="103"/>
      <c r="I3074" s="103"/>
      <c r="J3074" s="103"/>
      <c r="K3074" s="103"/>
      <c r="L3074" s="103"/>
      <c r="M3074" s="104"/>
      <c r="N3074" s="103"/>
    </row>
    <row r="3075" spans="1:14" ht="45" customHeight="1" thickBot="1" x14ac:dyDescent="0.4">
      <c r="A3075" s="103"/>
      <c r="B3075" s="103"/>
      <c r="C3075" s="103"/>
      <c r="D3075" s="103"/>
      <c r="E3075" s="103"/>
      <c r="F3075" s="103"/>
      <c r="G3075" s="103"/>
      <c r="H3075" s="103"/>
      <c r="I3075" s="103"/>
      <c r="J3075" s="103"/>
      <c r="K3075" s="103"/>
      <c r="L3075" s="103"/>
      <c r="M3075" s="104"/>
      <c r="N3075" s="103"/>
    </row>
    <row r="3076" spans="1:14" ht="45" customHeight="1" thickBot="1" x14ac:dyDescent="0.4">
      <c r="A3076" s="103"/>
      <c r="B3076" s="103"/>
      <c r="C3076" s="103"/>
      <c r="D3076" s="103"/>
      <c r="E3076" s="103"/>
      <c r="F3076" s="103"/>
      <c r="G3076" s="103"/>
      <c r="H3076" s="103"/>
      <c r="I3076" s="103"/>
      <c r="J3076" s="103"/>
      <c r="K3076" s="103"/>
      <c r="L3076" s="103"/>
      <c r="M3076" s="104"/>
      <c r="N3076" s="103"/>
    </row>
    <row r="3077" spans="1:14" ht="45" customHeight="1" thickBot="1" x14ac:dyDescent="0.4">
      <c r="A3077" s="103"/>
      <c r="B3077" s="103"/>
      <c r="C3077" s="103"/>
      <c r="D3077" s="103"/>
      <c r="E3077" s="103"/>
      <c r="F3077" s="103"/>
      <c r="G3077" s="103"/>
      <c r="H3077" s="103"/>
      <c r="I3077" s="103"/>
      <c r="J3077" s="103"/>
      <c r="K3077" s="103"/>
      <c r="L3077" s="103"/>
      <c r="M3077" s="104"/>
      <c r="N3077" s="103"/>
    </row>
    <row r="3078" spans="1:14" ht="45" customHeight="1" thickBot="1" x14ac:dyDescent="0.4">
      <c r="A3078" s="103"/>
      <c r="B3078" s="103"/>
      <c r="C3078" s="103"/>
      <c r="D3078" s="103"/>
      <c r="E3078" s="103"/>
      <c r="F3078" s="103"/>
      <c r="G3078" s="103"/>
      <c r="H3078" s="103"/>
      <c r="I3078" s="103"/>
      <c r="J3078" s="103"/>
      <c r="K3078" s="103"/>
      <c r="L3078" s="103"/>
      <c r="M3078" s="104"/>
      <c r="N3078" s="103"/>
    </row>
    <row r="3079" spans="1:14" ht="45" customHeight="1" thickBot="1" x14ac:dyDescent="0.4">
      <c r="A3079" s="103"/>
      <c r="B3079" s="103"/>
      <c r="C3079" s="103"/>
      <c r="D3079" s="103"/>
      <c r="E3079" s="103"/>
      <c r="F3079" s="103"/>
      <c r="G3079" s="103"/>
      <c r="H3079" s="103"/>
      <c r="I3079" s="103"/>
      <c r="J3079" s="103"/>
      <c r="K3079" s="103"/>
      <c r="L3079" s="103"/>
      <c r="M3079" s="104"/>
      <c r="N3079" s="103"/>
    </row>
    <row r="3080" spans="1:14" ht="45" customHeight="1" thickBot="1" x14ac:dyDescent="0.4">
      <c r="A3080" s="103"/>
      <c r="B3080" s="103"/>
      <c r="C3080" s="103"/>
      <c r="D3080" s="103"/>
      <c r="E3080" s="103"/>
      <c r="F3080" s="103"/>
      <c r="G3080" s="103"/>
      <c r="H3080" s="103"/>
      <c r="I3080" s="103"/>
      <c r="J3080" s="103"/>
      <c r="K3080" s="103"/>
      <c r="L3080" s="103"/>
      <c r="M3080" s="104"/>
      <c r="N3080" s="103"/>
    </row>
    <row r="3081" spans="1:14" ht="45" customHeight="1" thickBot="1" x14ac:dyDescent="0.4">
      <c r="A3081" s="103"/>
      <c r="B3081" s="103"/>
      <c r="C3081" s="103"/>
      <c r="D3081" s="103"/>
      <c r="E3081" s="103"/>
      <c r="F3081" s="103"/>
      <c r="G3081" s="103"/>
      <c r="H3081" s="103"/>
      <c r="I3081" s="103"/>
      <c r="J3081" s="103"/>
      <c r="K3081" s="103"/>
      <c r="L3081" s="103"/>
      <c r="M3081" s="104"/>
      <c r="N3081" s="103"/>
    </row>
    <row r="3082" spans="1:14" ht="45" customHeight="1" thickBot="1" x14ac:dyDescent="0.4">
      <c r="A3082" s="103"/>
      <c r="B3082" s="103"/>
      <c r="C3082" s="103"/>
      <c r="D3082" s="103"/>
      <c r="E3082" s="103"/>
      <c r="F3082" s="103"/>
      <c r="G3082" s="103"/>
      <c r="H3082" s="103"/>
      <c r="I3082" s="103"/>
      <c r="J3082" s="103"/>
      <c r="K3082" s="103"/>
      <c r="L3082" s="103"/>
      <c r="M3082" s="104"/>
      <c r="N3082" s="103"/>
    </row>
    <row r="3083" spans="1:14" ht="45" customHeight="1" thickBot="1" x14ac:dyDescent="0.4">
      <c r="A3083" s="103"/>
      <c r="B3083" s="103"/>
      <c r="C3083" s="103"/>
      <c r="D3083" s="103"/>
      <c r="E3083" s="103"/>
      <c r="F3083" s="103"/>
      <c r="G3083" s="103"/>
      <c r="H3083" s="103"/>
      <c r="I3083" s="103"/>
      <c r="J3083" s="103"/>
      <c r="K3083" s="103"/>
      <c r="L3083" s="103"/>
      <c r="M3083" s="104"/>
      <c r="N3083" s="103"/>
    </row>
    <row r="3084" spans="1:14" ht="45" customHeight="1" thickBot="1" x14ac:dyDescent="0.4">
      <c r="A3084" s="103"/>
      <c r="B3084" s="103"/>
      <c r="C3084" s="103"/>
      <c r="D3084" s="103"/>
      <c r="E3084" s="103"/>
      <c r="F3084" s="103"/>
      <c r="G3084" s="103"/>
      <c r="H3084" s="103"/>
      <c r="I3084" s="103"/>
      <c r="J3084" s="103"/>
      <c r="K3084" s="103"/>
      <c r="L3084" s="103"/>
      <c r="M3084" s="104"/>
      <c r="N3084" s="103"/>
    </row>
    <row r="3085" spans="1:14" ht="45" customHeight="1" thickBot="1" x14ac:dyDescent="0.4">
      <c r="A3085" s="103"/>
      <c r="B3085" s="103"/>
      <c r="C3085" s="103"/>
      <c r="D3085" s="103"/>
      <c r="E3085" s="103"/>
      <c r="F3085" s="103"/>
      <c r="G3085" s="103"/>
      <c r="H3085" s="103"/>
      <c r="I3085" s="103"/>
      <c r="J3085" s="103"/>
      <c r="K3085" s="103"/>
      <c r="L3085" s="103"/>
      <c r="M3085" s="104"/>
      <c r="N3085" s="103"/>
    </row>
    <row r="3086" spans="1:14" ht="45" customHeight="1" thickBot="1" x14ac:dyDescent="0.4">
      <c r="A3086" s="103"/>
      <c r="B3086" s="103"/>
      <c r="C3086" s="103"/>
      <c r="D3086" s="103"/>
      <c r="E3086" s="103"/>
      <c r="F3086" s="103"/>
      <c r="G3086" s="103"/>
      <c r="H3086" s="103"/>
      <c r="I3086" s="103"/>
      <c r="J3086" s="103"/>
      <c r="K3086" s="103"/>
      <c r="L3086" s="103"/>
      <c r="M3086" s="104"/>
      <c r="N3086" s="103"/>
    </row>
    <row r="3087" spans="1:14" ht="45" customHeight="1" thickBot="1" x14ac:dyDescent="0.4">
      <c r="A3087" s="103"/>
      <c r="B3087" s="103"/>
      <c r="C3087" s="103"/>
      <c r="D3087" s="103"/>
      <c r="E3087" s="103"/>
      <c r="F3087" s="103"/>
      <c r="G3087" s="103"/>
      <c r="H3087" s="103"/>
      <c r="I3087" s="103"/>
      <c r="J3087" s="103"/>
      <c r="K3087" s="103"/>
      <c r="L3087" s="103"/>
      <c r="M3087" s="104"/>
      <c r="N3087" s="103"/>
    </row>
    <row r="3088" spans="1:14" ht="45" customHeight="1" thickBot="1" x14ac:dyDescent="0.4">
      <c r="A3088" s="103"/>
      <c r="B3088" s="103"/>
      <c r="C3088" s="103"/>
      <c r="D3088" s="103"/>
      <c r="E3088" s="103"/>
      <c r="F3088" s="103"/>
      <c r="G3088" s="103"/>
      <c r="H3088" s="103"/>
      <c r="I3088" s="103"/>
      <c r="J3088" s="103"/>
      <c r="K3088" s="103"/>
      <c r="L3088" s="103"/>
      <c r="M3088" s="104"/>
      <c r="N3088" s="103"/>
    </row>
    <row r="3089" spans="1:14" ht="45" customHeight="1" thickBot="1" x14ac:dyDescent="0.4">
      <c r="A3089" s="103"/>
      <c r="B3089" s="103"/>
      <c r="C3089" s="103"/>
      <c r="D3089" s="103"/>
      <c r="E3089" s="103"/>
      <c r="F3089" s="103"/>
      <c r="G3089" s="103"/>
      <c r="H3089" s="103"/>
      <c r="I3089" s="103"/>
      <c r="J3089" s="103"/>
      <c r="K3089" s="103"/>
      <c r="L3089" s="103"/>
      <c r="M3089" s="104"/>
      <c r="N3089" s="103"/>
    </row>
    <row r="3090" spans="1:14" ht="45" customHeight="1" thickBot="1" x14ac:dyDescent="0.4">
      <c r="A3090" s="103"/>
      <c r="B3090" s="103"/>
      <c r="C3090" s="103"/>
      <c r="D3090" s="103"/>
      <c r="E3090" s="103"/>
      <c r="F3090" s="103"/>
      <c r="G3090" s="103"/>
      <c r="H3090" s="103"/>
      <c r="I3090" s="103"/>
      <c r="J3090" s="103"/>
      <c r="K3090" s="103"/>
      <c r="L3090" s="103"/>
      <c r="M3090" s="104"/>
      <c r="N3090" s="103"/>
    </row>
    <row r="3091" spans="1:14" ht="45" customHeight="1" thickBot="1" x14ac:dyDescent="0.4">
      <c r="A3091" s="103"/>
      <c r="B3091" s="103"/>
      <c r="C3091" s="103"/>
      <c r="D3091" s="103"/>
      <c r="E3091" s="103"/>
      <c r="F3091" s="103"/>
      <c r="G3091" s="103"/>
      <c r="H3091" s="103"/>
      <c r="I3091" s="103"/>
      <c r="J3091" s="103"/>
      <c r="K3091" s="103"/>
      <c r="L3091" s="103"/>
      <c r="M3091" s="104"/>
      <c r="N3091" s="103"/>
    </row>
    <row r="3092" spans="1:14" ht="45" customHeight="1" thickBot="1" x14ac:dyDescent="0.4">
      <c r="A3092" s="103"/>
      <c r="B3092" s="103"/>
      <c r="C3092" s="103"/>
      <c r="D3092" s="103"/>
      <c r="E3092" s="103"/>
      <c r="F3092" s="103"/>
      <c r="G3092" s="103"/>
      <c r="H3092" s="103"/>
      <c r="I3092" s="103"/>
      <c r="J3092" s="103"/>
      <c r="K3092" s="103"/>
      <c r="L3092" s="103"/>
      <c r="M3092" s="104"/>
      <c r="N3092" s="103"/>
    </row>
    <row r="3093" spans="1:14" ht="45" customHeight="1" thickBot="1" x14ac:dyDescent="0.4">
      <c r="A3093" s="103"/>
      <c r="B3093" s="103"/>
      <c r="C3093" s="103"/>
      <c r="D3093" s="103"/>
      <c r="E3093" s="103"/>
      <c r="F3093" s="103"/>
      <c r="G3093" s="103"/>
      <c r="H3093" s="103"/>
      <c r="I3093" s="103"/>
      <c r="J3093" s="103"/>
      <c r="K3093" s="103"/>
      <c r="L3093" s="103"/>
      <c r="M3093" s="104"/>
      <c r="N3093" s="103"/>
    </row>
    <row r="3094" spans="1:14" ht="45" customHeight="1" thickBot="1" x14ac:dyDescent="0.4">
      <c r="A3094" s="103"/>
      <c r="B3094" s="103"/>
      <c r="C3094" s="103"/>
      <c r="D3094" s="103"/>
      <c r="E3094" s="103"/>
      <c r="F3094" s="103"/>
      <c r="G3094" s="103"/>
      <c r="H3094" s="103"/>
      <c r="I3094" s="103"/>
      <c r="J3094" s="103"/>
      <c r="K3094" s="103"/>
      <c r="L3094" s="103"/>
      <c r="M3094" s="104"/>
      <c r="N3094" s="103"/>
    </row>
    <row r="3095" spans="1:14" ht="45" customHeight="1" thickBot="1" x14ac:dyDescent="0.4">
      <c r="A3095" s="103"/>
      <c r="B3095" s="103"/>
      <c r="C3095" s="103"/>
      <c r="D3095" s="103"/>
      <c r="E3095" s="103"/>
      <c r="F3095" s="103"/>
      <c r="G3095" s="103"/>
      <c r="H3095" s="103"/>
      <c r="I3095" s="103"/>
      <c r="J3095" s="103"/>
      <c r="K3095" s="103"/>
      <c r="L3095" s="103"/>
      <c r="M3095" s="104"/>
      <c r="N3095" s="103"/>
    </row>
    <row r="3096" spans="1:14" ht="45" customHeight="1" thickBot="1" x14ac:dyDescent="0.4">
      <c r="A3096" s="103"/>
      <c r="B3096" s="103"/>
      <c r="C3096" s="103"/>
      <c r="D3096" s="103"/>
      <c r="E3096" s="103"/>
      <c r="F3096" s="103"/>
      <c r="G3096" s="103"/>
      <c r="H3096" s="103"/>
      <c r="I3096" s="103"/>
      <c r="J3096" s="103"/>
      <c r="K3096" s="103"/>
      <c r="L3096" s="103"/>
      <c r="M3096" s="104"/>
      <c r="N3096" s="103"/>
    </row>
    <row r="3097" spans="1:14" ht="45" customHeight="1" thickBot="1" x14ac:dyDescent="0.4">
      <c r="A3097" s="103"/>
      <c r="B3097" s="103"/>
      <c r="C3097" s="103"/>
      <c r="D3097" s="103"/>
      <c r="E3097" s="103"/>
      <c r="F3097" s="103"/>
      <c r="G3097" s="103"/>
      <c r="H3097" s="103"/>
      <c r="I3097" s="103"/>
      <c r="J3097" s="103"/>
      <c r="K3097" s="103"/>
      <c r="L3097" s="103"/>
      <c r="M3097" s="104"/>
      <c r="N3097" s="103"/>
    </row>
    <row r="3098" spans="1:14" ht="45" customHeight="1" thickBot="1" x14ac:dyDescent="0.4">
      <c r="A3098" s="103"/>
      <c r="B3098" s="103"/>
      <c r="C3098" s="103"/>
      <c r="D3098" s="103"/>
      <c r="E3098" s="103"/>
      <c r="F3098" s="103"/>
      <c r="G3098" s="103"/>
      <c r="H3098" s="103"/>
      <c r="I3098" s="103"/>
      <c r="J3098" s="103"/>
      <c r="K3098" s="103"/>
      <c r="L3098" s="103"/>
      <c r="M3098" s="104"/>
      <c r="N3098" s="103"/>
    </row>
    <row r="3099" spans="1:14" ht="45" customHeight="1" thickBot="1" x14ac:dyDescent="0.4">
      <c r="A3099" s="103"/>
      <c r="B3099" s="103"/>
      <c r="C3099" s="103"/>
      <c r="D3099" s="103"/>
      <c r="E3099" s="103"/>
      <c r="F3099" s="103"/>
      <c r="G3099" s="103"/>
      <c r="H3099" s="103"/>
      <c r="I3099" s="103"/>
      <c r="J3099" s="103"/>
      <c r="K3099" s="103"/>
      <c r="L3099" s="103"/>
      <c r="M3099" s="104"/>
      <c r="N3099" s="103"/>
    </row>
    <row r="3100" spans="1:14" ht="45" customHeight="1" thickBot="1" x14ac:dyDescent="0.4">
      <c r="A3100" s="103"/>
      <c r="B3100" s="103"/>
      <c r="C3100" s="103"/>
      <c r="D3100" s="103"/>
      <c r="E3100" s="103"/>
      <c r="F3100" s="103"/>
      <c r="G3100" s="103"/>
      <c r="H3100" s="103"/>
      <c r="I3100" s="103"/>
      <c r="J3100" s="103"/>
      <c r="K3100" s="103"/>
      <c r="L3100" s="103"/>
      <c r="M3100" s="104"/>
      <c r="N3100" s="103"/>
    </row>
    <row r="3101" spans="1:14" ht="45" customHeight="1" thickBot="1" x14ac:dyDescent="0.4">
      <c r="A3101" s="103"/>
      <c r="B3101" s="103"/>
      <c r="C3101" s="103"/>
      <c r="D3101" s="103"/>
      <c r="E3101" s="103"/>
      <c r="F3101" s="103"/>
      <c r="G3101" s="103"/>
      <c r="H3101" s="103"/>
      <c r="I3101" s="103"/>
      <c r="J3101" s="103"/>
      <c r="K3101" s="103"/>
      <c r="L3101" s="103"/>
      <c r="M3101" s="104"/>
      <c r="N3101" s="103"/>
    </row>
    <row r="3102" spans="1:14" ht="45" customHeight="1" thickBot="1" x14ac:dyDescent="0.4">
      <c r="A3102" s="103"/>
      <c r="B3102" s="103"/>
      <c r="C3102" s="103"/>
      <c r="D3102" s="103"/>
      <c r="E3102" s="103"/>
      <c r="F3102" s="103"/>
      <c r="G3102" s="103"/>
      <c r="H3102" s="103"/>
      <c r="I3102" s="103"/>
      <c r="J3102" s="103"/>
      <c r="K3102" s="103"/>
      <c r="L3102" s="103"/>
      <c r="M3102" s="104"/>
      <c r="N3102" s="103"/>
    </row>
    <row r="3103" spans="1:14" ht="45" customHeight="1" thickBot="1" x14ac:dyDescent="0.4">
      <c r="A3103" s="103"/>
      <c r="B3103" s="103"/>
      <c r="C3103" s="103"/>
      <c r="D3103" s="103"/>
      <c r="E3103" s="103"/>
      <c r="F3103" s="103"/>
      <c r="G3103" s="103"/>
      <c r="H3103" s="103"/>
      <c r="I3103" s="103"/>
      <c r="J3103" s="103"/>
      <c r="K3103" s="103"/>
      <c r="L3103" s="103"/>
      <c r="M3103" s="104"/>
      <c r="N3103" s="103"/>
    </row>
    <row r="3104" spans="1:14" ht="45" customHeight="1" thickBot="1" x14ac:dyDescent="0.4">
      <c r="A3104" s="103"/>
      <c r="B3104" s="103"/>
      <c r="C3104" s="103"/>
      <c r="D3104" s="103"/>
      <c r="E3104" s="103"/>
      <c r="F3104" s="103"/>
      <c r="G3104" s="103"/>
      <c r="H3104" s="103"/>
      <c r="I3104" s="103"/>
      <c r="J3104" s="103"/>
      <c r="K3104" s="103"/>
      <c r="L3104" s="103"/>
      <c r="M3104" s="104"/>
      <c r="N3104" s="103"/>
    </row>
    <row r="3105" spans="1:14" ht="45" customHeight="1" thickBot="1" x14ac:dyDescent="0.4">
      <c r="A3105" s="103"/>
      <c r="B3105" s="103"/>
      <c r="C3105" s="103"/>
      <c r="D3105" s="103"/>
      <c r="E3105" s="103"/>
      <c r="F3105" s="103"/>
      <c r="G3105" s="103"/>
      <c r="H3105" s="103"/>
      <c r="I3105" s="103"/>
      <c r="J3105" s="103"/>
      <c r="K3105" s="103"/>
      <c r="L3105" s="103"/>
      <c r="M3105" s="104"/>
      <c r="N3105" s="103"/>
    </row>
    <row r="3106" spans="1:14" ht="45" customHeight="1" thickBot="1" x14ac:dyDescent="0.4">
      <c r="A3106" s="103"/>
      <c r="B3106" s="103"/>
      <c r="C3106" s="103"/>
      <c r="D3106" s="103"/>
      <c r="E3106" s="103"/>
      <c r="F3106" s="103"/>
      <c r="G3106" s="103"/>
      <c r="H3106" s="103"/>
      <c r="I3106" s="103"/>
      <c r="J3106" s="103"/>
      <c r="K3106" s="103"/>
      <c r="L3106" s="103"/>
      <c r="M3106" s="104"/>
      <c r="N3106" s="103"/>
    </row>
    <row r="3107" spans="1:14" ht="45" customHeight="1" thickBot="1" x14ac:dyDescent="0.4">
      <c r="A3107" s="103"/>
      <c r="B3107" s="103"/>
      <c r="C3107" s="103"/>
      <c r="D3107" s="103"/>
      <c r="E3107" s="103"/>
      <c r="F3107" s="103"/>
      <c r="G3107" s="103"/>
      <c r="H3107" s="103"/>
      <c r="I3107" s="103"/>
      <c r="J3107" s="103"/>
      <c r="K3107" s="103"/>
      <c r="L3107" s="103"/>
      <c r="M3107" s="104"/>
      <c r="N3107" s="103"/>
    </row>
    <row r="3108" spans="1:14" ht="45" customHeight="1" thickBot="1" x14ac:dyDescent="0.4">
      <c r="A3108" s="103"/>
      <c r="B3108" s="103"/>
      <c r="C3108" s="103"/>
      <c r="D3108" s="103"/>
      <c r="E3108" s="103"/>
      <c r="F3108" s="103"/>
      <c r="G3108" s="103"/>
      <c r="H3108" s="103"/>
      <c r="I3108" s="103"/>
      <c r="J3108" s="103"/>
      <c r="K3108" s="103"/>
      <c r="L3108" s="103"/>
      <c r="M3108" s="104"/>
      <c r="N3108" s="103"/>
    </row>
    <row r="3109" spans="1:14" ht="45" customHeight="1" thickBot="1" x14ac:dyDescent="0.4">
      <c r="A3109" s="103"/>
      <c r="B3109" s="103"/>
      <c r="C3109" s="103"/>
      <c r="D3109" s="103"/>
      <c r="E3109" s="103"/>
      <c r="F3109" s="103"/>
      <c r="G3109" s="103"/>
      <c r="H3109" s="103"/>
      <c r="I3109" s="103"/>
      <c r="J3109" s="103"/>
      <c r="K3109" s="103"/>
      <c r="L3109" s="103"/>
      <c r="M3109" s="104"/>
      <c r="N3109" s="103"/>
    </row>
    <row r="3110" spans="1:14" ht="45" customHeight="1" thickBot="1" x14ac:dyDescent="0.4">
      <c r="A3110" s="103"/>
      <c r="B3110" s="103"/>
      <c r="C3110" s="103"/>
      <c r="D3110" s="103"/>
      <c r="E3110" s="103"/>
      <c r="F3110" s="103"/>
      <c r="G3110" s="103"/>
      <c r="H3110" s="103"/>
      <c r="I3110" s="103"/>
      <c r="J3110" s="103"/>
      <c r="K3110" s="103"/>
      <c r="L3110" s="103"/>
      <c r="M3110" s="104"/>
      <c r="N3110" s="103"/>
    </row>
    <row r="3111" spans="1:14" ht="45" customHeight="1" thickBot="1" x14ac:dyDescent="0.4">
      <c r="A3111" s="103"/>
      <c r="B3111" s="103"/>
      <c r="C3111" s="103"/>
      <c r="D3111" s="103"/>
      <c r="E3111" s="103"/>
      <c r="F3111" s="103"/>
      <c r="G3111" s="103"/>
      <c r="H3111" s="103"/>
      <c r="I3111" s="103"/>
      <c r="J3111" s="103"/>
      <c r="K3111" s="103"/>
      <c r="L3111" s="103"/>
      <c r="M3111" s="104"/>
      <c r="N3111" s="103"/>
    </row>
    <row r="3112" spans="1:14" ht="45" customHeight="1" thickBot="1" x14ac:dyDescent="0.4">
      <c r="A3112" s="103"/>
      <c r="B3112" s="103"/>
      <c r="C3112" s="103"/>
      <c r="D3112" s="103"/>
      <c r="E3112" s="103"/>
      <c r="F3112" s="103"/>
      <c r="G3112" s="103"/>
      <c r="H3112" s="103"/>
      <c r="I3112" s="103"/>
      <c r="J3112" s="103"/>
      <c r="K3112" s="103"/>
      <c r="L3112" s="103"/>
      <c r="M3112" s="104"/>
      <c r="N3112" s="103"/>
    </row>
    <row r="3113" spans="1:14" ht="45" customHeight="1" thickBot="1" x14ac:dyDescent="0.4">
      <c r="A3113" s="103"/>
      <c r="B3113" s="103"/>
      <c r="C3113" s="103"/>
      <c r="D3113" s="103"/>
      <c r="E3113" s="103"/>
      <c r="F3113" s="103"/>
      <c r="G3113" s="103"/>
      <c r="H3113" s="103"/>
      <c r="I3113" s="103"/>
      <c r="J3113" s="103"/>
      <c r="K3113" s="103"/>
      <c r="L3113" s="103"/>
      <c r="M3113" s="104"/>
      <c r="N3113" s="103"/>
    </row>
    <row r="3114" spans="1:14" ht="45" customHeight="1" thickBot="1" x14ac:dyDescent="0.4">
      <c r="A3114" s="103"/>
      <c r="B3114" s="103"/>
      <c r="C3114" s="103"/>
      <c r="D3114" s="103"/>
      <c r="E3114" s="103"/>
      <c r="F3114" s="103"/>
      <c r="G3114" s="103"/>
      <c r="H3114" s="103"/>
      <c r="I3114" s="103"/>
      <c r="J3114" s="103"/>
      <c r="K3114" s="103"/>
      <c r="L3114" s="103"/>
      <c r="M3114" s="104"/>
      <c r="N3114" s="103"/>
    </row>
    <row r="3115" spans="1:14" ht="45" customHeight="1" thickBot="1" x14ac:dyDescent="0.4">
      <c r="A3115" s="103"/>
      <c r="B3115" s="103"/>
      <c r="C3115" s="103"/>
      <c r="D3115" s="103"/>
      <c r="E3115" s="103"/>
      <c r="F3115" s="103"/>
      <c r="G3115" s="103"/>
      <c r="H3115" s="103"/>
      <c r="I3115" s="103"/>
      <c r="J3115" s="103"/>
      <c r="K3115" s="103"/>
      <c r="L3115" s="103"/>
      <c r="M3115" s="104"/>
      <c r="N3115" s="103"/>
    </row>
    <row r="3116" spans="1:14" ht="45" customHeight="1" thickBot="1" x14ac:dyDescent="0.4">
      <c r="A3116" s="103"/>
      <c r="B3116" s="103"/>
      <c r="C3116" s="103"/>
      <c r="D3116" s="103"/>
      <c r="E3116" s="103"/>
      <c r="F3116" s="103"/>
      <c r="G3116" s="103"/>
      <c r="H3116" s="103"/>
      <c r="I3116" s="103"/>
      <c r="J3116" s="103"/>
      <c r="K3116" s="103"/>
      <c r="L3116" s="103"/>
      <c r="M3116" s="104"/>
      <c r="N3116" s="103"/>
    </row>
    <row r="3117" spans="1:14" ht="45" customHeight="1" thickBot="1" x14ac:dyDescent="0.4">
      <c r="A3117" s="103"/>
      <c r="B3117" s="103"/>
      <c r="C3117" s="103"/>
      <c r="D3117" s="103"/>
      <c r="E3117" s="103"/>
      <c r="F3117" s="103"/>
      <c r="G3117" s="103"/>
      <c r="H3117" s="103"/>
      <c r="I3117" s="103"/>
      <c r="J3117" s="103"/>
      <c r="K3117" s="103"/>
      <c r="L3117" s="103"/>
      <c r="M3117" s="104"/>
      <c r="N3117" s="103"/>
    </row>
    <row r="3118" spans="1:14" ht="45" customHeight="1" thickBot="1" x14ac:dyDescent="0.4">
      <c r="A3118" s="103"/>
      <c r="B3118" s="103"/>
      <c r="C3118" s="103"/>
      <c r="D3118" s="103"/>
      <c r="E3118" s="103"/>
      <c r="F3118" s="103"/>
      <c r="G3118" s="103"/>
      <c r="H3118" s="103"/>
      <c r="I3118" s="103"/>
      <c r="J3118" s="103"/>
      <c r="K3118" s="103"/>
      <c r="L3118" s="103"/>
      <c r="M3118" s="104"/>
      <c r="N3118" s="103"/>
    </row>
    <row r="3119" spans="1:14" ht="45" customHeight="1" thickBot="1" x14ac:dyDescent="0.4">
      <c r="A3119" s="103"/>
      <c r="B3119" s="103"/>
      <c r="C3119" s="103"/>
      <c r="D3119" s="103"/>
      <c r="E3119" s="103"/>
      <c r="F3119" s="103"/>
      <c r="G3119" s="103"/>
      <c r="H3119" s="103"/>
      <c r="I3119" s="103"/>
      <c r="J3119" s="103"/>
      <c r="K3119" s="103"/>
      <c r="L3119" s="103"/>
      <c r="M3119" s="104"/>
      <c r="N3119" s="103"/>
    </row>
    <row r="3120" spans="1:14" ht="45" customHeight="1" thickBot="1" x14ac:dyDescent="0.4">
      <c r="A3120" s="103"/>
      <c r="B3120" s="103"/>
      <c r="C3120" s="103"/>
      <c r="D3120" s="103"/>
      <c r="E3120" s="103"/>
      <c r="F3120" s="103"/>
      <c r="G3120" s="103"/>
      <c r="H3120" s="103"/>
      <c r="I3120" s="103"/>
      <c r="J3120" s="103"/>
      <c r="K3120" s="103"/>
      <c r="L3120" s="103"/>
      <c r="M3120" s="104"/>
      <c r="N3120" s="103"/>
    </row>
    <row r="3121" spans="1:14" ht="45" customHeight="1" thickBot="1" x14ac:dyDescent="0.4">
      <c r="A3121" s="103"/>
      <c r="B3121" s="103"/>
      <c r="C3121" s="103"/>
      <c r="D3121" s="103"/>
      <c r="E3121" s="103"/>
      <c r="F3121" s="103"/>
      <c r="G3121" s="103"/>
      <c r="H3121" s="103"/>
      <c r="I3121" s="103"/>
      <c r="J3121" s="103"/>
      <c r="K3121" s="103"/>
      <c r="L3121" s="103"/>
      <c r="M3121" s="104"/>
      <c r="N3121" s="103"/>
    </row>
    <row r="3122" spans="1:14" ht="45" customHeight="1" thickBot="1" x14ac:dyDescent="0.4">
      <c r="A3122" s="103"/>
      <c r="B3122" s="103"/>
      <c r="C3122" s="103"/>
      <c r="D3122" s="103"/>
      <c r="E3122" s="103"/>
      <c r="F3122" s="103"/>
      <c r="G3122" s="103"/>
      <c r="H3122" s="103"/>
      <c r="I3122" s="103"/>
      <c r="J3122" s="103"/>
      <c r="K3122" s="103"/>
      <c r="L3122" s="103"/>
      <c r="M3122" s="104"/>
      <c r="N3122" s="103"/>
    </row>
    <row r="3123" spans="1:14" ht="45" customHeight="1" thickBot="1" x14ac:dyDescent="0.4">
      <c r="A3123" s="103"/>
      <c r="B3123" s="103"/>
      <c r="C3123" s="103"/>
      <c r="D3123" s="103"/>
      <c r="E3123" s="103"/>
      <c r="F3123" s="103"/>
      <c r="G3123" s="103"/>
      <c r="H3123" s="103"/>
      <c r="I3123" s="103"/>
      <c r="J3123" s="103"/>
      <c r="K3123" s="103"/>
      <c r="L3123" s="103"/>
      <c r="M3123" s="104"/>
      <c r="N3123" s="103"/>
    </row>
    <row r="3124" spans="1:14" ht="45" customHeight="1" thickBot="1" x14ac:dyDescent="0.4">
      <c r="A3124" s="103"/>
      <c r="B3124" s="103"/>
      <c r="C3124" s="103"/>
      <c r="D3124" s="103"/>
      <c r="E3124" s="103"/>
      <c r="F3124" s="103"/>
      <c r="G3124" s="103"/>
      <c r="H3124" s="103"/>
      <c r="I3124" s="103"/>
      <c r="J3124" s="103"/>
      <c r="K3124" s="103"/>
      <c r="L3124" s="103"/>
      <c r="M3124" s="104"/>
      <c r="N3124" s="103"/>
    </row>
    <row r="3125" spans="1:14" ht="45" customHeight="1" thickBot="1" x14ac:dyDescent="0.4">
      <c r="A3125" s="103"/>
      <c r="B3125" s="103"/>
      <c r="C3125" s="103"/>
      <c r="D3125" s="103"/>
      <c r="E3125" s="103"/>
      <c r="F3125" s="103"/>
      <c r="G3125" s="103"/>
      <c r="H3125" s="103"/>
      <c r="I3125" s="103"/>
      <c r="J3125" s="103"/>
      <c r="K3125" s="103"/>
      <c r="L3125" s="103"/>
      <c r="M3125" s="104"/>
      <c r="N3125" s="103"/>
    </row>
    <row r="3126" spans="1:14" ht="45" customHeight="1" thickBot="1" x14ac:dyDescent="0.4">
      <c r="A3126" s="103"/>
      <c r="B3126" s="103"/>
      <c r="C3126" s="103"/>
      <c r="D3126" s="103"/>
      <c r="E3126" s="103"/>
      <c r="F3126" s="103"/>
      <c r="G3126" s="103"/>
      <c r="H3126" s="103"/>
      <c r="I3126" s="103"/>
      <c r="J3126" s="103"/>
      <c r="K3126" s="103"/>
      <c r="L3126" s="103"/>
      <c r="M3126" s="104"/>
      <c r="N3126" s="103"/>
    </row>
    <row r="3127" spans="1:14" ht="45" customHeight="1" thickBot="1" x14ac:dyDescent="0.4">
      <c r="A3127" s="103"/>
      <c r="B3127" s="103"/>
      <c r="C3127" s="103"/>
      <c r="D3127" s="103"/>
      <c r="E3127" s="103"/>
      <c r="F3127" s="103"/>
      <c r="G3127" s="103"/>
      <c r="H3127" s="103"/>
      <c r="I3127" s="103"/>
      <c r="J3127" s="103"/>
      <c r="K3127" s="103"/>
      <c r="L3127" s="103"/>
      <c r="M3127" s="104"/>
      <c r="N3127" s="103"/>
    </row>
    <row r="3128" spans="1:14" ht="45" customHeight="1" thickBot="1" x14ac:dyDescent="0.4">
      <c r="A3128" s="103"/>
      <c r="B3128" s="103"/>
      <c r="C3128" s="103"/>
      <c r="D3128" s="103"/>
      <c r="E3128" s="103"/>
      <c r="F3128" s="103"/>
      <c r="G3128" s="103"/>
      <c r="H3128" s="103"/>
      <c r="I3128" s="103"/>
      <c r="J3128" s="103"/>
      <c r="K3128" s="103"/>
      <c r="L3128" s="103"/>
      <c r="M3128" s="104"/>
      <c r="N3128" s="103"/>
    </row>
    <row r="3129" spans="1:14" ht="45" customHeight="1" thickBot="1" x14ac:dyDescent="0.4">
      <c r="A3129" s="103"/>
      <c r="B3129" s="103"/>
      <c r="C3129" s="103"/>
      <c r="D3129" s="103"/>
      <c r="E3129" s="103"/>
      <c r="F3129" s="103"/>
      <c r="G3129" s="103"/>
      <c r="H3129" s="103"/>
      <c r="I3129" s="103"/>
      <c r="J3129" s="103"/>
      <c r="K3129" s="103"/>
      <c r="L3129" s="103"/>
      <c r="M3129" s="104"/>
      <c r="N3129" s="103"/>
    </row>
    <row r="3130" spans="1:14" ht="45" customHeight="1" thickBot="1" x14ac:dyDescent="0.4">
      <c r="A3130" s="103"/>
      <c r="B3130" s="103"/>
      <c r="C3130" s="103"/>
      <c r="D3130" s="103"/>
      <c r="E3130" s="103"/>
      <c r="F3130" s="103"/>
      <c r="G3130" s="103"/>
      <c r="H3130" s="103"/>
      <c r="I3130" s="103"/>
      <c r="J3130" s="103"/>
      <c r="K3130" s="103"/>
      <c r="L3130" s="103"/>
      <c r="M3130" s="104"/>
      <c r="N3130" s="103"/>
    </row>
    <row r="3131" spans="1:14" ht="45" customHeight="1" thickBot="1" x14ac:dyDescent="0.4">
      <c r="A3131" s="103"/>
      <c r="B3131" s="103"/>
      <c r="C3131" s="103"/>
      <c r="D3131" s="103"/>
      <c r="E3131" s="103"/>
      <c r="F3131" s="103"/>
      <c r="G3131" s="103"/>
      <c r="H3131" s="103"/>
      <c r="I3131" s="103"/>
      <c r="J3131" s="103"/>
      <c r="K3131" s="103"/>
      <c r="L3131" s="103"/>
      <c r="M3131" s="104"/>
      <c r="N3131" s="103"/>
    </row>
    <row r="3132" spans="1:14" ht="45" customHeight="1" thickBot="1" x14ac:dyDescent="0.4">
      <c r="A3132" s="103"/>
      <c r="B3132" s="103"/>
      <c r="C3132" s="103"/>
      <c r="D3132" s="103"/>
      <c r="E3132" s="103"/>
      <c r="F3132" s="103"/>
      <c r="G3132" s="103"/>
      <c r="H3132" s="103"/>
      <c r="I3132" s="103"/>
      <c r="J3132" s="103"/>
      <c r="K3132" s="103"/>
      <c r="L3132" s="103"/>
      <c r="M3132" s="104"/>
      <c r="N3132" s="103"/>
    </row>
    <row r="3133" spans="1:14" ht="45" customHeight="1" thickBot="1" x14ac:dyDescent="0.4">
      <c r="A3133" s="103"/>
      <c r="B3133" s="103"/>
      <c r="C3133" s="103"/>
      <c r="D3133" s="103"/>
      <c r="E3133" s="103"/>
      <c r="F3133" s="103"/>
      <c r="G3133" s="103"/>
      <c r="H3133" s="103"/>
      <c r="I3133" s="103"/>
      <c r="J3133" s="103"/>
      <c r="K3133" s="103"/>
      <c r="L3133" s="103"/>
      <c r="M3133" s="104"/>
      <c r="N3133" s="103"/>
    </row>
    <row r="3134" spans="1:14" ht="45" customHeight="1" thickBot="1" x14ac:dyDescent="0.4">
      <c r="A3134" s="103"/>
      <c r="B3134" s="103"/>
      <c r="C3134" s="103"/>
      <c r="D3134" s="103"/>
      <c r="E3134" s="103"/>
      <c r="F3134" s="103"/>
      <c r="G3134" s="103"/>
      <c r="H3134" s="103"/>
      <c r="I3134" s="103"/>
      <c r="J3134" s="103"/>
      <c r="K3134" s="103"/>
      <c r="L3134" s="103"/>
      <c r="M3134" s="104"/>
      <c r="N3134" s="103"/>
    </row>
    <row r="3135" spans="1:14" ht="45" customHeight="1" thickBot="1" x14ac:dyDescent="0.4">
      <c r="A3135" s="103"/>
      <c r="B3135" s="103"/>
      <c r="C3135" s="103"/>
      <c r="D3135" s="103"/>
      <c r="E3135" s="103"/>
      <c r="F3135" s="103"/>
      <c r="G3135" s="103"/>
      <c r="H3135" s="103"/>
      <c r="I3135" s="103"/>
      <c r="J3135" s="103"/>
      <c r="K3135" s="103"/>
      <c r="L3135" s="103"/>
      <c r="M3135" s="104"/>
      <c r="N3135" s="103"/>
    </row>
    <row r="3136" spans="1:14" ht="45" customHeight="1" thickBot="1" x14ac:dyDescent="0.4">
      <c r="A3136" s="103"/>
      <c r="B3136" s="103"/>
      <c r="C3136" s="103"/>
      <c r="D3136" s="103"/>
      <c r="E3136" s="103"/>
      <c r="F3136" s="103"/>
      <c r="G3136" s="103"/>
      <c r="H3136" s="103"/>
      <c r="I3136" s="103"/>
      <c r="J3136" s="103"/>
      <c r="K3136" s="103"/>
      <c r="L3136" s="103"/>
      <c r="M3136" s="104"/>
      <c r="N3136" s="103"/>
    </row>
    <row r="3137" spans="1:14" ht="45" customHeight="1" thickBot="1" x14ac:dyDescent="0.4">
      <c r="A3137" s="103"/>
      <c r="B3137" s="103"/>
      <c r="C3137" s="103"/>
      <c r="D3137" s="103"/>
      <c r="E3137" s="103"/>
      <c r="F3137" s="103"/>
      <c r="G3137" s="103"/>
      <c r="H3137" s="103"/>
      <c r="I3137" s="103"/>
      <c r="J3137" s="103"/>
      <c r="K3137" s="103"/>
      <c r="L3137" s="103"/>
      <c r="M3137" s="104"/>
      <c r="N3137" s="103"/>
    </row>
    <row r="3138" spans="1:14" ht="45" customHeight="1" thickBot="1" x14ac:dyDescent="0.4">
      <c r="A3138" s="103"/>
      <c r="B3138" s="103"/>
      <c r="C3138" s="103"/>
      <c r="D3138" s="103"/>
      <c r="E3138" s="103"/>
      <c r="F3138" s="103"/>
      <c r="G3138" s="103"/>
      <c r="H3138" s="103"/>
      <c r="I3138" s="103"/>
      <c r="J3138" s="103"/>
      <c r="K3138" s="103"/>
      <c r="L3138" s="103"/>
      <c r="M3138" s="104"/>
      <c r="N3138" s="103"/>
    </row>
    <row r="3139" spans="1:14" ht="45" customHeight="1" thickBot="1" x14ac:dyDescent="0.4">
      <c r="A3139" s="103"/>
      <c r="B3139" s="103"/>
      <c r="C3139" s="103"/>
      <c r="D3139" s="103"/>
      <c r="E3139" s="103"/>
      <c r="F3139" s="103"/>
      <c r="G3139" s="103"/>
      <c r="H3139" s="103"/>
      <c r="I3139" s="103"/>
      <c r="J3139" s="103"/>
      <c r="K3139" s="103"/>
      <c r="L3139" s="103"/>
      <c r="M3139" s="104"/>
      <c r="N3139" s="103"/>
    </row>
    <row r="3140" spans="1:14" ht="45" customHeight="1" thickBot="1" x14ac:dyDescent="0.4">
      <c r="A3140" s="103"/>
      <c r="B3140" s="103"/>
      <c r="C3140" s="103"/>
      <c r="D3140" s="103"/>
      <c r="E3140" s="103"/>
      <c r="F3140" s="103"/>
      <c r="G3140" s="103"/>
      <c r="H3140" s="103"/>
      <c r="I3140" s="103"/>
      <c r="J3140" s="103"/>
      <c r="K3140" s="103"/>
      <c r="L3140" s="103"/>
      <c r="M3140" s="104"/>
      <c r="N3140" s="103"/>
    </row>
    <row r="3141" spans="1:14" ht="45" customHeight="1" thickBot="1" x14ac:dyDescent="0.4">
      <c r="A3141" s="103"/>
      <c r="B3141" s="103"/>
      <c r="C3141" s="103"/>
      <c r="D3141" s="103"/>
      <c r="E3141" s="103"/>
      <c r="F3141" s="103"/>
      <c r="G3141" s="103"/>
      <c r="H3141" s="103"/>
      <c r="I3141" s="103"/>
      <c r="J3141" s="103"/>
      <c r="K3141" s="103"/>
      <c r="L3141" s="103"/>
      <c r="M3141" s="104"/>
      <c r="N3141" s="103"/>
    </row>
    <row r="3142" spans="1:14" ht="45" customHeight="1" thickBot="1" x14ac:dyDescent="0.4">
      <c r="A3142" s="103"/>
      <c r="B3142" s="103"/>
      <c r="C3142" s="103"/>
      <c r="D3142" s="103"/>
      <c r="E3142" s="103"/>
      <c r="F3142" s="103"/>
      <c r="G3142" s="103"/>
      <c r="H3142" s="103"/>
      <c r="I3142" s="103"/>
      <c r="J3142" s="103"/>
      <c r="K3142" s="103"/>
      <c r="L3142" s="103"/>
      <c r="M3142" s="104"/>
      <c r="N3142" s="103"/>
    </row>
    <row r="3143" spans="1:14" ht="45" customHeight="1" thickBot="1" x14ac:dyDescent="0.4">
      <c r="A3143" s="103"/>
      <c r="B3143" s="103"/>
      <c r="C3143" s="103"/>
      <c r="D3143" s="103"/>
      <c r="E3143" s="103"/>
      <c r="F3143" s="103"/>
      <c r="G3143" s="103"/>
      <c r="H3143" s="103"/>
      <c r="I3143" s="103"/>
      <c r="J3143" s="103"/>
      <c r="K3143" s="103"/>
      <c r="L3143" s="103"/>
      <c r="M3143" s="104"/>
      <c r="N3143" s="103"/>
    </row>
    <row r="3144" spans="1:14" ht="45" customHeight="1" thickBot="1" x14ac:dyDescent="0.4">
      <c r="A3144" s="103"/>
      <c r="B3144" s="103"/>
      <c r="C3144" s="103"/>
      <c r="D3144" s="103"/>
      <c r="E3144" s="103"/>
      <c r="F3144" s="103"/>
      <c r="G3144" s="103"/>
      <c r="H3144" s="103"/>
      <c r="I3144" s="103"/>
      <c r="J3144" s="103"/>
      <c r="K3144" s="103"/>
      <c r="L3144" s="103"/>
      <c r="M3144" s="104"/>
      <c r="N3144" s="103"/>
    </row>
    <row r="3145" spans="1:14" ht="45" customHeight="1" thickBot="1" x14ac:dyDescent="0.4">
      <c r="A3145" s="103"/>
      <c r="B3145" s="103"/>
      <c r="C3145" s="103"/>
      <c r="D3145" s="103"/>
      <c r="E3145" s="103"/>
      <c r="F3145" s="103"/>
      <c r="G3145" s="103"/>
      <c r="H3145" s="103"/>
      <c r="I3145" s="103"/>
      <c r="J3145" s="103"/>
      <c r="K3145" s="103"/>
      <c r="L3145" s="103"/>
      <c r="M3145" s="104"/>
      <c r="N3145" s="103"/>
    </row>
    <row r="3146" spans="1:14" ht="45" customHeight="1" thickBot="1" x14ac:dyDescent="0.4">
      <c r="A3146" s="103"/>
      <c r="B3146" s="103"/>
      <c r="C3146" s="103"/>
      <c r="D3146" s="103"/>
      <c r="E3146" s="103"/>
      <c r="F3146" s="103"/>
      <c r="G3146" s="103"/>
      <c r="H3146" s="103"/>
      <c r="I3146" s="103"/>
      <c r="J3146" s="103"/>
      <c r="K3146" s="103"/>
      <c r="L3146" s="103"/>
      <c r="M3146" s="104"/>
      <c r="N3146" s="103"/>
    </row>
    <row r="3147" spans="1:14" ht="45" customHeight="1" thickBot="1" x14ac:dyDescent="0.4">
      <c r="A3147" s="103"/>
      <c r="B3147" s="103"/>
      <c r="C3147" s="103"/>
      <c r="D3147" s="103"/>
      <c r="E3147" s="103"/>
      <c r="F3147" s="103"/>
      <c r="G3147" s="103"/>
      <c r="H3147" s="103"/>
      <c r="I3147" s="103"/>
      <c r="J3147" s="103"/>
      <c r="K3147" s="103"/>
      <c r="L3147" s="103"/>
      <c r="M3147" s="104"/>
      <c r="N3147" s="103"/>
    </row>
    <row r="3148" spans="1:14" ht="45" customHeight="1" thickBot="1" x14ac:dyDescent="0.4">
      <c r="A3148" s="103"/>
      <c r="B3148" s="103"/>
      <c r="C3148" s="103"/>
      <c r="D3148" s="103"/>
      <c r="E3148" s="103"/>
      <c r="F3148" s="103"/>
      <c r="G3148" s="103"/>
      <c r="H3148" s="103"/>
      <c r="I3148" s="103"/>
      <c r="J3148" s="103"/>
      <c r="K3148" s="103"/>
      <c r="L3148" s="103"/>
      <c r="M3148" s="104"/>
      <c r="N3148" s="103"/>
    </row>
    <row r="3149" spans="1:14" ht="45" customHeight="1" thickBot="1" x14ac:dyDescent="0.4">
      <c r="A3149" s="103"/>
      <c r="B3149" s="103"/>
      <c r="C3149" s="103"/>
      <c r="D3149" s="103"/>
      <c r="E3149" s="103"/>
      <c r="F3149" s="103"/>
      <c r="G3149" s="103"/>
      <c r="H3149" s="103"/>
      <c r="I3149" s="103"/>
      <c r="J3149" s="103"/>
      <c r="K3149" s="103"/>
      <c r="L3149" s="103"/>
      <c r="M3149" s="104"/>
      <c r="N3149" s="103"/>
    </row>
    <row r="3150" spans="1:14" ht="45" customHeight="1" thickBot="1" x14ac:dyDescent="0.4">
      <c r="A3150" s="103"/>
      <c r="B3150" s="103"/>
      <c r="C3150" s="103"/>
      <c r="D3150" s="103"/>
      <c r="E3150" s="103"/>
      <c r="F3150" s="103"/>
      <c r="G3150" s="103"/>
      <c r="H3150" s="103"/>
      <c r="I3150" s="103"/>
      <c r="J3150" s="103"/>
      <c r="K3150" s="103"/>
      <c r="L3150" s="103"/>
      <c r="M3150" s="104"/>
      <c r="N3150" s="103"/>
    </row>
    <row r="3151" spans="1:14" ht="45" customHeight="1" thickBot="1" x14ac:dyDescent="0.4">
      <c r="A3151" s="103"/>
      <c r="B3151" s="103"/>
      <c r="C3151" s="103"/>
      <c r="D3151" s="103"/>
      <c r="E3151" s="103"/>
      <c r="F3151" s="103"/>
      <c r="G3151" s="103"/>
      <c r="H3151" s="103"/>
      <c r="I3151" s="103"/>
      <c r="J3151" s="103"/>
      <c r="K3151" s="103"/>
      <c r="L3151" s="103"/>
      <c r="M3151" s="104"/>
      <c r="N3151" s="103"/>
    </row>
    <row r="3152" spans="1:14" ht="45" customHeight="1" thickBot="1" x14ac:dyDescent="0.4">
      <c r="A3152" s="103"/>
      <c r="B3152" s="103"/>
      <c r="C3152" s="103"/>
      <c r="D3152" s="103"/>
      <c r="E3152" s="103"/>
      <c r="F3152" s="103"/>
      <c r="G3152" s="103"/>
      <c r="H3152" s="103"/>
      <c r="I3152" s="103"/>
      <c r="J3152" s="103"/>
      <c r="K3152" s="103"/>
      <c r="L3152" s="103"/>
      <c r="M3152" s="104"/>
      <c r="N3152" s="103"/>
    </row>
    <row r="3153" spans="1:14" ht="45" customHeight="1" thickBot="1" x14ac:dyDescent="0.4">
      <c r="A3153" s="103"/>
      <c r="B3153" s="103"/>
      <c r="C3153" s="103"/>
      <c r="D3153" s="103"/>
      <c r="E3153" s="103"/>
      <c r="F3153" s="103"/>
      <c r="G3153" s="103"/>
      <c r="H3153" s="103"/>
      <c r="I3153" s="103"/>
      <c r="J3153" s="103"/>
      <c r="K3153" s="103"/>
      <c r="L3153" s="103"/>
      <c r="M3153" s="104"/>
      <c r="N3153" s="103"/>
    </row>
    <row r="3154" spans="1:14" ht="45" customHeight="1" thickBot="1" x14ac:dyDescent="0.4">
      <c r="A3154" s="103"/>
      <c r="B3154" s="103"/>
      <c r="C3154" s="103"/>
      <c r="D3154" s="103"/>
      <c r="E3154" s="103"/>
      <c r="F3154" s="103"/>
      <c r="G3154" s="103"/>
      <c r="H3154" s="103"/>
      <c r="I3154" s="103"/>
      <c r="J3154" s="103"/>
      <c r="K3154" s="103"/>
      <c r="L3154" s="103"/>
      <c r="M3154" s="104"/>
      <c r="N3154" s="103"/>
    </row>
    <row r="3155" spans="1:14" ht="45" customHeight="1" thickBot="1" x14ac:dyDescent="0.4">
      <c r="A3155" s="103"/>
      <c r="B3155" s="103"/>
      <c r="C3155" s="103"/>
      <c r="D3155" s="103"/>
      <c r="E3155" s="103"/>
      <c r="F3155" s="103"/>
      <c r="G3155" s="103"/>
      <c r="H3155" s="103"/>
      <c r="I3155" s="103"/>
      <c r="J3155" s="103"/>
      <c r="K3155" s="103"/>
      <c r="L3155" s="103"/>
      <c r="M3155" s="104"/>
      <c r="N3155" s="103"/>
    </row>
    <row r="3156" spans="1:14" ht="45" customHeight="1" thickBot="1" x14ac:dyDescent="0.4">
      <c r="A3156" s="103"/>
      <c r="B3156" s="103"/>
      <c r="C3156" s="103"/>
      <c r="D3156" s="103"/>
      <c r="E3156" s="103"/>
      <c r="F3156" s="103"/>
      <c r="G3156" s="103"/>
      <c r="H3156" s="103"/>
      <c r="I3156" s="103"/>
      <c r="J3156" s="103"/>
      <c r="K3156" s="103"/>
      <c r="L3156" s="103"/>
      <c r="M3156" s="104"/>
      <c r="N3156" s="103"/>
    </row>
    <row r="3157" spans="1:14" ht="45" customHeight="1" thickBot="1" x14ac:dyDescent="0.4">
      <c r="A3157" s="103"/>
      <c r="B3157" s="103"/>
      <c r="C3157" s="103"/>
      <c r="D3157" s="103"/>
      <c r="E3157" s="103"/>
      <c r="F3157" s="103"/>
      <c r="G3157" s="103"/>
      <c r="H3157" s="103"/>
      <c r="I3157" s="103"/>
      <c r="J3157" s="103"/>
      <c r="K3157" s="103"/>
      <c r="L3157" s="103"/>
      <c r="M3157" s="104"/>
      <c r="N3157" s="103"/>
    </row>
    <row r="3158" spans="1:14" ht="45" customHeight="1" thickBot="1" x14ac:dyDescent="0.4">
      <c r="A3158" s="103"/>
      <c r="B3158" s="103"/>
      <c r="C3158" s="103"/>
      <c r="D3158" s="103"/>
      <c r="E3158" s="103"/>
      <c r="F3158" s="103"/>
      <c r="G3158" s="103"/>
      <c r="H3158" s="103"/>
      <c r="I3158" s="103"/>
      <c r="J3158" s="103"/>
      <c r="K3158" s="103"/>
      <c r="L3158" s="103"/>
      <c r="M3158" s="104"/>
      <c r="N3158" s="103"/>
    </row>
    <row r="3159" spans="1:14" ht="45" customHeight="1" thickBot="1" x14ac:dyDescent="0.4">
      <c r="A3159" s="103"/>
      <c r="B3159" s="103"/>
      <c r="C3159" s="103"/>
      <c r="D3159" s="103"/>
      <c r="E3159" s="103"/>
      <c r="F3159" s="103"/>
      <c r="G3159" s="103"/>
      <c r="H3159" s="103"/>
      <c r="I3159" s="103"/>
      <c r="J3159" s="103"/>
      <c r="K3159" s="103"/>
      <c r="L3159" s="103"/>
      <c r="M3159" s="104"/>
      <c r="N3159" s="103"/>
    </row>
    <row r="3160" spans="1:14" ht="45" customHeight="1" thickBot="1" x14ac:dyDescent="0.4">
      <c r="A3160" s="103"/>
      <c r="B3160" s="103"/>
      <c r="C3160" s="103"/>
      <c r="D3160" s="103"/>
      <c r="E3160" s="103"/>
      <c r="F3160" s="103"/>
      <c r="G3160" s="103"/>
      <c r="H3160" s="103"/>
      <c r="I3160" s="103"/>
      <c r="J3160" s="103"/>
      <c r="K3160" s="103"/>
      <c r="L3160" s="103"/>
      <c r="M3160" s="104"/>
      <c r="N3160" s="103"/>
    </row>
    <row r="3161" spans="1:14" ht="45" customHeight="1" thickBot="1" x14ac:dyDescent="0.4">
      <c r="A3161" s="103"/>
      <c r="B3161" s="103"/>
      <c r="C3161" s="103"/>
      <c r="D3161" s="103"/>
      <c r="E3161" s="103"/>
      <c r="F3161" s="103"/>
      <c r="G3161" s="103"/>
      <c r="H3161" s="103"/>
      <c r="I3161" s="103"/>
      <c r="J3161" s="103"/>
      <c r="K3161" s="103"/>
      <c r="L3161" s="103"/>
      <c r="M3161" s="104"/>
      <c r="N3161" s="103"/>
    </row>
    <row r="3162" spans="1:14" ht="45" customHeight="1" thickBot="1" x14ac:dyDescent="0.4">
      <c r="A3162" s="103"/>
      <c r="B3162" s="103"/>
      <c r="C3162" s="103"/>
      <c r="D3162" s="103"/>
      <c r="E3162" s="103"/>
      <c r="F3162" s="103"/>
      <c r="G3162" s="103"/>
      <c r="H3162" s="103"/>
      <c r="I3162" s="103"/>
      <c r="J3162" s="103"/>
      <c r="K3162" s="103"/>
      <c r="L3162" s="103"/>
      <c r="M3162" s="104"/>
      <c r="N3162" s="103"/>
    </row>
    <row r="3163" spans="1:14" ht="45" customHeight="1" thickBot="1" x14ac:dyDescent="0.4">
      <c r="A3163" s="103"/>
      <c r="B3163" s="103"/>
      <c r="C3163" s="103"/>
      <c r="D3163" s="103"/>
      <c r="E3163" s="103"/>
      <c r="F3163" s="103"/>
      <c r="G3163" s="103"/>
      <c r="H3163" s="103"/>
      <c r="I3163" s="103"/>
      <c r="J3163" s="103"/>
      <c r="K3163" s="103"/>
      <c r="L3163" s="103"/>
      <c r="M3163" s="104"/>
      <c r="N3163" s="103"/>
    </row>
    <row r="3164" spans="1:14" ht="45" customHeight="1" thickBot="1" x14ac:dyDescent="0.4">
      <c r="A3164" s="103"/>
      <c r="B3164" s="103"/>
      <c r="C3164" s="103"/>
      <c r="D3164" s="103"/>
      <c r="E3164" s="103"/>
      <c r="F3164" s="103"/>
      <c r="G3164" s="103"/>
      <c r="H3164" s="103"/>
      <c r="I3164" s="103"/>
      <c r="J3164" s="103"/>
      <c r="K3164" s="103"/>
      <c r="L3164" s="103"/>
      <c r="M3164" s="104"/>
      <c r="N3164" s="103"/>
    </row>
    <row r="3165" spans="1:14" ht="45" customHeight="1" thickBot="1" x14ac:dyDescent="0.4">
      <c r="A3165" s="103"/>
      <c r="B3165" s="103"/>
      <c r="C3165" s="103"/>
      <c r="D3165" s="103"/>
      <c r="E3165" s="103"/>
      <c r="F3165" s="103"/>
      <c r="G3165" s="103"/>
      <c r="H3165" s="103"/>
      <c r="I3165" s="103"/>
      <c r="J3165" s="103"/>
      <c r="K3165" s="103"/>
      <c r="L3165" s="103"/>
      <c r="M3165" s="104"/>
      <c r="N3165" s="103"/>
    </row>
    <row r="3166" spans="1:14" ht="45" customHeight="1" thickBot="1" x14ac:dyDescent="0.4">
      <c r="A3166" s="103"/>
      <c r="B3166" s="103"/>
      <c r="C3166" s="103"/>
      <c r="D3166" s="103"/>
      <c r="E3166" s="103"/>
      <c r="F3166" s="103"/>
      <c r="G3166" s="103"/>
      <c r="H3166" s="103"/>
      <c r="I3166" s="103"/>
      <c r="J3166" s="103"/>
      <c r="K3166" s="103"/>
      <c r="L3166" s="103"/>
      <c r="M3166" s="104"/>
      <c r="N3166" s="103"/>
    </row>
    <row r="3167" spans="1:14" ht="45" customHeight="1" thickBot="1" x14ac:dyDescent="0.4">
      <c r="A3167" s="103"/>
      <c r="B3167" s="103"/>
      <c r="C3167" s="103"/>
      <c r="D3167" s="103"/>
      <c r="E3167" s="103"/>
      <c r="F3167" s="103"/>
      <c r="G3167" s="103"/>
      <c r="H3167" s="103"/>
      <c r="I3167" s="103"/>
      <c r="J3167" s="103"/>
      <c r="K3167" s="103"/>
      <c r="L3167" s="103"/>
      <c r="M3167" s="104"/>
      <c r="N3167" s="103"/>
    </row>
    <row r="3168" spans="1:14" ht="45" customHeight="1" thickBot="1" x14ac:dyDescent="0.4">
      <c r="A3168" s="103"/>
      <c r="B3168" s="103"/>
      <c r="C3168" s="103"/>
      <c r="D3168" s="103"/>
      <c r="E3168" s="103"/>
      <c r="F3168" s="103"/>
      <c r="G3168" s="103"/>
      <c r="H3168" s="103"/>
      <c r="I3168" s="103"/>
      <c r="J3168" s="103"/>
      <c r="K3168" s="103"/>
      <c r="L3168" s="103"/>
      <c r="M3168" s="104"/>
      <c r="N3168" s="103"/>
    </row>
    <row r="3169" spans="1:14" ht="45" customHeight="1" thickBot="1" x14ac:dyDescent="0.4">
      <c r="A3169" s="103"/>
      <c r="B3169" s="103"/>
      <c r="C3169" s="103"/>
      <c r="D3169" s="103"/>
      <c r="E3169" s="103"/>
      <c r="F3169" s="103"/>
      <c r="G3169" s="103"/>
      <c r="H3169" s="103"/>
      <c r="I3169" s="103"/>
      <c r="J3169" s="103"/>
      <c r="K3169" s="103"/>
      <c r="L3169" s="103"/>
      <c r="M3169" s="104"/>
      <c r="N3169" s="103"/>
    </row>
    <row r="3170" spans="1:14" ht="45" customHeight="1" thickBot="1" x14ac:dyDescent="0.4">
      <c r="A3170" s="103"/>
      <c r="B3170" s="103"/>
      <c r="C3170" s="103"/>
      <c r="D3170" s="103"/>
      <c r="E3170" s="103"/>
      <c r="F3170" s="103"/>
      <c r="G3170" s="103"/>
      <c r="H3170" s="103"/>
      <c r="I3170" s="103"/>
      <c r="J3170" s="103"/>
      <c r="K3170" s="103"/>
      <c r="L3170" s="103"/>
      <c r="M3170" s="104"/>
      <c r="N3170" s="103"/>
    </row>
    <row r="3171" spans="1:14" ht="45" customHeight="1" thickBot="1" x14ac:dyDescent="0.4">
      <c r="A3171" s="103"/>
      <c r="B3171" s="103"/>
      <c r="C3171" s="103"/>
      <c r="D3171" s="103"/>
      <c r="E3171" s="103"/>
      <c r="F3171" s="103"/>
      <c r="G3171" s="103"/>
      <c r="H3171" s="103"/>
      <c r="I3171" s="103"/>
      <c r="J3171" s="103"/>
      <c r="K3171" s="103"/>
      <c r="L3171" s="103"/>
      <c r="M3171" s="104"/>
      <c r="N3171" s="103"/>
    </row>
    <row r="3172" spans="1:14" ht="45" customHeight="1" thickBot="1" x14ac:dyDescent="0.4">
      <c r="A3172" s="103"/>
      <c r="B3172" s="103"/>
      <c r="C3172" s="103"/>
      <c r="D3172" s="103"/>
      <c r="E3172" s="103"/>
      <c r="F3172" s="103"/>
      <c r="G3172" s="103"/>
      <c r="H3172" s="103"/>
      <c r="I3172" s="103"/>
      <c r="J3172" s="103"/>
      <c r="K3172" s="103"/>
      <c r="L3172" s="103"/>
      <c r="M3172" s="104"/>
      <c r="N3172" s="103"/>
    </row>
    <row r="3173" spans="1:14" ht="45" customHeight="1" thickBot="1" x14ac:dyDescent="0.4">
      <c r="A3173" s="103"/>
      <c r="B3173" s="103"/>
      <c r="C3173" s="103"/>
      <c r="D3173" s="103"/>
      <c r="E3173" s="103"/>
      <c r="F3173" s="103"/>
      <c r="G3173" s="103"/>
      <c r="H3173" s="103"/>
      <c r="I3173" s="103"/>
      <c r="J3173" s="103"/>
      <c r="K3173" s="103"/>
      <c r="L3173" s="103"/>
      <c r="M3173" s="104"/>
      <c r="N3173" s="103"/>
    </row>
    <row r="3174" spans="1:14" ht="45" customHeight="1" thickBot="1" x14ac:dyDescent="0.4">
      <c r="A3174" s="103"/>
      <c r="B3174" s="103"/>
      <c r="C3174" s="103"/>
      <c r="D3174" s="103"/>
      <c r="E3174" s="103"/>
      <c r="F3174" s="103"/>
      <c r="G3174" s="103"/>
      <c r="H3174" s="103"/>
      <c r="I3174" s="103"/>
      <c r="J3174" s="103"/>
      <c r="K3174" s="103"/>
      <c r="L3174" s="103"/>
      <c r="M3174" s="104"/>
      <c r="N3174" s="103"/>
    </row>
    <row r="3175" spans="1:14" ht="45" customHeight="1" thickBot="1" x14ac:dyDescent="0.4">
      <c r="A3175" s="103"/>
      <c r="B3175" s="103"/>
      <c r="C3175" s="103"/>
      <c r="D3175" s="103"/>
      <c r="E3175" s="103"/>
      <c r="F3175" s="103"/>
      <c r="G3175" s="103"/>
      <c r="H3175" s="103"/>
      <c r="I3175" s="103"/>
      <c r="J3175" s="103"/>
      <c r="K3175" s="103"/>
      <c r="L3175" s="103"/>
      <c r="M3175" s="104"/>
      <c r="N3175" s="103"/>
    </row>
    <row r="3176" spans="1:14" ht="45" customHeight="1" thickBot="1" x14ac:dyDescent="0.4">
      <c r="A3176" s="103"/>
      <c r="B3176" s="103"/>
      <c r="C3176" s="103"/>
      <c r="D3176" s="103"/>
      <c r="E3176" s="103"/>
      <c r="F3176" s="103"/>
      <c r="G3176" s="103"/>
      <c r="H3176" s="103"/>
      <c r="I3176" s="103"/>
      <c r="J3176" s="103"/>
      <c r="K3176" s="103"/>
      <c r="L3176" s="103"/>
      <c r="M3176" s="104"/>
      <c r="N3176" s="103"/>
    </row>
    <row r="3177" spans="1:14" ht="45" customHeight="1" thickBot="1" x14ac:dyDescent="0.4">
      <c r="A3177" s="103"/>
      <c r="B3177" s="103"/>
      <c r="C3177" s="103"/>
      <c r="D3177" s="103"/>
      <c r="E3177" s="103"/>
      <c r="F3177" s="103"/>
      <c r="G3177" s="103"/>
      <c r="H3177" s="103"/>
      <c r="I3177" s="103"/>
      <c r="J3177" s="103"/>
      <c r="K3177" s="103"/>
      <c r="L3177" s="103"/>
      <c r="M3177" s="104"/>
      <c r="N3177" s="103"/>
    </row>
    <row r="3178" spans="1:14" ht="45" customHeight="1" thickBot="1" x14ac:dyDescent="0.4">
      <c r="A3178" s="103"/>
      <c r="B3178" s="103"/>
      <c r="C3178" s="103"/>
      <c r="D3178" s="103"/>
      <c r="E3178" s="103"/>
      <c r="F3178" s="103"/>
      <c r="G3178" s="103"/>
      <c r="H3178" s="103"/>
      <c r="I3178" s="103"/>
      <c r="J3178" s="103"/>
      <c r="K3178" s="103"/>
      <c r="L3178" s="103"/>
      <c r="M3178" s="104"/>
      <c r="N3178" s="103"/>
    </row>
    <row r="3179" spans="1:14" ht="45" customHeight="1" thickBot="1" x14ac:dyDescent="0.4">
      <c r="A3179" s="103"/>
      <c r="B3179" s="103"/>
      <c r="C3179" s="103"/>
      <c r="D3179" s="103"/>
      <c r="E3179" s="103"/>
      <c r="F3179" s="103"/>
      <c r="G3179" s="103"/>
      <c r="H3179" s="103"/>
      <c r="I3179" s="103"/>
      <c r="J3179" s="103"/>
      <c r="K3179" s="103"/>
      <c r="L3179" s="103"/>
      <c r="M3179" s="104"/>
      <c r="N3179" s="103"/>
    </row>
    <row r="3180" spans="1:14" ht="45" customHeight="1" thickBot="1" x14ac:dyDescent="0.4">
      <c r="A3180" s="103"/>
      <c r="B3180" s="103"/>
      <c r="C3180" s="103"/>
      <c r="D3180" s="103"/>
      <c r="E3180" s="103"/>
      <c r="F3180" s="103"/>
      <c r="G3180" s="103"/>
      <c r="H3180" s="103"/>
      <c r="I3180" s="103"/>
      <c r="J3180" s="103"/>
      <c r="K3180" s="103"/>
      <c r="L3180" s="103"/>
      <c r="M3180" s="104"/>
      <c r="N3180" s="103"/>
    </row>
    <row r="3181" spans="1:14" ht="45" customHeight="1" thickBot="1" x14ac:dyDescent="0.4">
      <c r="A3181" s="103"/>
      <c r="B3181" s="103"/>
      <c r="C3181" s="103"/>
      <c r="D3181" s="103"/>
      <c r="E3181" s="103"/>
      <c r="F3181" s="103"/>
      <c r="G3181" s="103"/>
      <c r="H3181" s="103"/>
      <c r="I3181" s="103"/>
      <c r="J3181" s="103"/>
      <c r="K3181" s="103"/>
      <c r="L3181" s="103"/>
      <c r="M3181" s="104"/>
      <c r="N3181" s="103"/>
    </row>
    <row r="3182" spans="1:14" ht="45" customHeight="1" thickBot="1" x14ac:dyDescent="0.4">
      <c r="A3182" s="103"/>
      <c r="B3182" s="103"/>
      <c r="C3182" s="103"/>
      <c r="D3182" s="103"/>
      <c r="E3182" s="103"/>
      <c r="F3182" s="103"/>
      <c r="G3182" s="103"/>
      <c r="H3182" s="103"/>
      <c r="I3182" s="103"/>
      <c r="J3182" s="103"/>
      <c r="K3182" s="103"/>
      <c r="L3182" s="103"/>
      <c r="M3182" s="104"/>
      <c r="N3182" s="103"/>
    </row>
    <row r="3183" spans="1:14" ht="45" customHeight="1" thickBot="1" x14ac:dyDescent="0.4">
      <c r="A3183" s="103"/>
      <c r="B3183" s="103"/>
      <c r="C3183" s="103"/>
      <c r="D3183" s="103"/>
      <c r="E3183" s="103"/>
      <c r="F3183" s="103"/>
      <c r="G3183" s="103"/>
      <c r="H3183" s="103"/>
      <c r="I3183" s="103"/>
      <c r="J3183" s="103"/>
      <c r="K3183" s="103"/>
      <c r="L3183" s="103"/>
      <c r="M3183" s="104"/>
      <c r="N3183" s="103"/>
    </row>
    <row r="3184" spans="1:14" ht="45" customHeight="1" thickBot="1" x14ac:dyDescent="0.4">
      <c r="A3184" s="103"/>
      <c r="B3184" s="103"/>
      <c r="C3184" s="103"/>
      <c r="D3184" s="103"/>
      <c r="E3184" s="103"/>
      <c r="F3184" s="103"/>
      <c r="G3184" s="103"/>
      <c r="H3184" s="103"/>
      <c r="I3184" s="103"/>
      <c r="J3184" s="103"/>
      <c r="K3184" s="103"/>
      <c r="L3184" s="103"/>
      <c r="M3184" s="104"/>
      <c r="N3184" s="103"/>
    </row>
    <row r="3185" spans="1:14" ht="45" customHeight="1" thickBot="1" x14ac:dyDescent="0.4">
      <c r="A3185" s="103"/>
      <c r="B3185" s="103"/>
      <c r="C3185" s="103"/>
      <c r="D3185" s="103"/>
      <c r="E3185" s="103"/>
      <c r="F3185" s="103"/>
      <c r="G3185" s="103"/>
      <c r="H3185" s="103"/>
      <c r="I3185" s="103"/>
      <c r="J3185" s="103"/>
      <c r="K3185" s="103"/>
      <c r="L3185" s="103"/>
      <c r="M3185" s="104"/>
      <c r="N3185" s="103"/>
    </row>
    <row r="3186" spans="1:14" ht="45" customHeight="1" thickBot="1" x14ac:dyDescent="0.4">
      <c r="A3186" s="103"/>
      <c r="B3186" s="103"/>
      <c r="C3186" s="103"/>
      <c r="D3186" s="103"/>
      <c r="E3186" s="103"/>
      <c r="F3186" s="103"/>
      <c r="G3186" s="103"/>
      <c r="H3186" s="103"/>
      <c r="I3186" s="103"/>
      <c r="J3186" s="103"/>
      <c r="K3186" s="103"/>
      <c r="L3186" s="103"/>
      <c r="M3186" s="104"/>
      <c r="N3186" s="103"/>
    </row>
    <row r="3187" spans="1:14" ht="45" customHeight="1" thickBot="1" x14ac:dyDescent="0.4">
      <c r="A3187" s="103"/>
      <c r="B3187" s="103"/>
      <c r="C3187" s="103"/>
      <c r="D3187" s="103"/>
      <c r="E3187" s="103"/>
      <c r="F3187" s="103"/>
      <c r="G3187" s="103"/>
      <c r="H3187" s="103"/>
      <c r="I3187" s="103"/>
      <c r="J3187" s="103"/>
      <c r="K3187" s="103"/>
      <c r="L3187" s="103"/>
      <c r="M3187" s="104"/>
      <c r="N3187" s="103"/>
    </row>
    <row r="3188" spans="1:14" ht="45" customHeight="1" thickBot="1" x14ac:dyDescent="0.4">
      <c r="A3188" s="103"/>
      <c r="B3188" s="103"/>
      <c r="C3188" s="103"/>
      <c r="D3188" s="103"/>
      <c r="E3188" s="103"/>
      <c r="F3188" s="103"/>
      <c r="G3188" s="103"/>
      <c r="H3188" s="103"/>
      <c r="I3188" s="103"/>
      <c r="J3188" s="103"/>
      <c r="K3188" s="103"/>
      <c r="L3188" s="103"/>
      <c r="M3188" s="104"/>
      <c r="N3188" s="103"/>
    </row>
    <row r="3189" spans="1:14" ht="45" customHeight="1" thickBot="1" x14ac:dyDescent="0.4">
      <c r="A3189" s="103"/>
      <c r="B3189" s="103"/>
      <c r="C3189" s="103"/>
      <c r="D3189" s="103"/>
      <c r="E3189" s="103"/>
      <c r="F3189" s="103"/>
      <c r="G3189" s="103"/>
      <c r="H3189" s="103"/>
      <c r="I3189" s="103"/>
      <c r="J3189" s="103"/>
      <c r="K3189" s="103"/>
      <c r="L3189" s="103"/>
      <c r="M3189" s="104"/>
      <c r="N3189" s="103"/>
    </row>
    <row r="3190" spans="1:14" ht="45" customHeight="1" thickBot="1" x14ac:dyDescent="0.4">
      <c r="A3190" s="103"/>
      <c r="B3190" s="103"/>
      <c r="C3190" s="103"/>
      <c r="D3190" s="103"/>
      <c r="E3190" s="103"/>
      <c r="F3190" s="103"/>
      <c r="G3190" s="103"/>
      <c r="H3190" s="103"/>
      <c r="I3190" s="103"/>
      <c r="J3190" s="103"/>
      <c r="K3190" s="103"/>
      <c r="L3190" s="103"/>
      <c r="M3190" s="104"/>
      <c r="N3190" s="103"/>
    </row>
    <row r="3191" spans="1:14" ht="45" customHeight="1" thickBot="1" x14ac:dyDescent="0.4">
      <c r="A3191" s="103"/>
      <c r="B3191" s="103"/>
      <c r="C3191" s="103"/>
      <c r="D3191" s="103"/>
      <c r="E3191" s="103"/>
      <c r="F3191" s="103"/>
      <c r="G3191" s="103"/>
      <c r="H3191" s="103"/>
      <c r="I3191" s="103"/>
      <c r="J3191" s="103"/>
      <c r="K3191" s="103"/>
      <c r="L3191" s="103"/>
      <c r="M3191" s="104"/>
      <c r="N3191" s="103"/>
    </row>
    <row r="3192" spans="1:14" ht="45" customHeight="1" thickBot="1" x14ac:dyDescent="0.4">
      <c r="A3192" s="103"/>
      <c r="B3192" s="103"/>
      <c r="C3192" s="103"/>
      <c r="D3192" s="103"/>
      <c r="E3192" s="103"/>
      <c r="F3192" s="103"/>
      <c r="G3192" s="103"/>
      <c r="H3192" s="103"/>
      <c r="I3192" s="103"/>
      <c r="J3192" s="103"/>
      <c r="K3192" s="103"/>
      <c r="L3192" s="103"/>
      <c r="M3192" s="104"/>
      <c r="N3192" s="103"/>
    </row>
    <row r="3193" spans="1:14" ht="45" customHeight="1" thickBot="1" x14ac:dyDescent="0.4">
      <c r="A3193" s="103"/>
      <c r="B3193" s="103"/>
      <c r="C3193" s="103"/>
      <c r="D3193" s="103"/>
      <c r="E3193" s="103"/>
      <c r="F3193" s="103"/>
      <c r="G3193" s="103"/>
      <c r="H3193" s="103"/>
      <c r="I3193" s="103"/>
      <c r="J3193" s="103"/>
      <c r="K3193" s="103"/>
      <c r="L3193" s="103"/>
      <c r="M3193" s="104"/>
      <c r="N3193" s="103"/>
    </row>
    <row r="3194" spans="1:14" ht="45" customHeight="1" thickBot="1" x14ac:dyDescent="0.4">
      <c r="A3194" s="103"/>
      <c r="B3194" s="103"/>
      <c r="C3194" s="103"/>
      <c r="D3194" s="103"/>
      <c r="E3194" s="103"/>
      <c r="F3194" s="103"/>
      <c r="G3194" s="103"/>
      <c r="H3194" s="103"/>
      <c r="I3194" s="103"/>
      <c r="J3194" s="103"/>
      <c r="K3194" s="103"/>
      <c r="L3194" s="103"/>
      <c r="M3194" s="104"/>
      <c r="N3194" s="103"/>
    </row>
    <row r="3195" spans="1:14" ht="45" customHeight="1" thickBot="1" x14ac:dyDescent="0.4">
      <c r="A3195" s="103"/>
      <c r="B3195" s="103"/>
      <c r="C3195" s="103"/>
      <c r="D3195" s="103"/>
      <c r="E3195" s="103"/>
      <c r="F3195" s="103"/>
      <c r="G3195" s="103"/>
      <c r="H3195" s="103"/>
      <c r="I3195" s="103"/>
      <c r="J3195" s="103"/>
      <c r="K3195" s="103"/>
      <c r="L3195" s="103"/>
      <c r="M3195" s="104"/>
      <c r="N3195" s="103"/>
    </row>
    <row r="3196" spans="1:14" ht="45" customHeight="1" thickBot="1" x14ac:dyDescent="0.4">
      <c r="A3196" s="103"/>
      <c r="B3196" s="103"/>
      <c r="C3196" s="103"/>
      <c r="D3196" s="103"/>
      <c r="E3196" s="103"/>
      <c r="F3196" s="103"/>
      <c r="G3196" s="103"/>
      <c r="H3196" s="103"/>
      <c r="I3196" s="103"/>
      <c r="J3196" s="103"/>
      <c r="K3196" s="103"/>
      <c r="L3196" s="103"/>
      <c r="M3196" s="104"/>
      <c r="N3196" s="103"/>
    </row>
    <row r="3197" spans="1:14" ht="45" customHeight="1" thickBot="1" x14ac:dyDescent="0.4">
      <c r="A3197" s="103"/>
      <c r="B3197" s="103"/>
      <c r="C3197" s="103"/>
      <c r="D3197" s="103"/>
      <c r="E3197" s="103"/>
      <c r="F3197" s="103"/>
      <c r="G3197" s="103"/>
      <c r="H3197" s="103"/>
      <c r="I3197" s="103"/>
      <c r="J3197" s="103"/>
      <c r="K3197" s="103"/>
      <c r="L3197" s="103"/>
      <c r="M3197" s="104"/>
      <c r="N3197" s="103"/>
    </row>
    <row r="3198" spans="1:14" ht="45" customHeight="1" thickBot="1" x14ac:dyDescent="0.4">
      <c r="A3198" s="103"/>
      <c r="B3198" s="103"/>
      <c r="C3198" s="103"/>
      <c r="D3198" s="103"/>
      <c r="E3198" s="103"/>
      <c r="F3198" s="103"/>
      <c r="G3198" s="103"/>
      <c r="H3198" s="103"/>
      <c r="I3198" s="103"/>
      <c r="J3198" s="103"/>
      <c r="K3198" s="103"/>
      <c r="L3198" s="103"/>
      <c r="M3198" s="104"/>
      <c r="N3198" s="103"/>
    </row>
    <row r="3199" spans="1:14" ht="45" customHeight="1" thickBot="1" x14ac:dyDescent="0.4">
      <c r="A3199" s="103"/>
      <c r="B3199" s="103"/>
      <c r="C3199" s="103"/>
      <c r="D3199" s="103"/>
      <c r="E3199" s="103"/>
      <c r="F3199" s="103"/>
      <c r="G3199" s="103"/>
      <c r="H3199" s="103"/>
      <c r="I3199" s="103"/>
      <c r="J3199" s="103"/>
      <c r="K3199" s="103"/>
      <c r="L3199" s="103"/>
      <c r="M3199" s="104"/>
      <c r="N3199" s="103"/>
    </row>
    <row r="3200" spans="1:14" ht="45" customHeight="1" thickBot="1" x14ac:dyDescent="0.4">
      <c r="A3200" s="103"/>
      <c r="B3200" s="103"/>
      <c r="C3200" s="103"/>
      <c r="D3200" s="103"/>
      <c r="E3200" s="103"/>
      <c r="F3200" s="103"/>
      <c r="G3200" s="103"/>
      <c r="H3200" s="103"/>
      <c r="I3200" s="103"/>
      <c r="J3200" s="103"/>
      <c r="K3200" s="103"/>
      <c r="L3200" s="103"/>
      <c r="M3200" s="104"/>
      <c r="N3200" s="103"/>
    </row>
    <row r="3201" spans="1:14" ht="45" customHeight="1" thickBot="1" x14ac:dyDescent="0.4">
      <c r="A3201" s="103"/>
      <c r="B3201" s="103"/>
      <c r="C3201" s="103"/>
      <c r="D3201" s="103"/>
      <c r="E3201" s="103"/>
      <c r="F3201" s="103"/>
      <c r="G3201" s="103"/>
      <c r="H3201" s="103"/>
      <c r="I3201" s="103"/>
      <c r="J3201" s="103"/>
      <c r="K3201" s="103"/>
      <c r="L3201" s="103"/>
      <c r="M3201" s="104"/>
      <c r="N3201" s="103"/>
    </row>
    <row r="3202" spans="1:14" ht="45" customHeight="1" thickBot="1" x14ac:dyDescent="0.4">
      <c r="A3202" s="103"/>
      <c r="B3202" s="103"/>
      <c r="C3202" s="103"/>
      <c r="D3202" s="103"/>
      <c r="E3202" s="103"/>
      <c r="F3202" s="103"/>
      <c r="G3202" s="103"/>
      <c r="H3202" s="103"/>
      <c r="I3202" s="103"/>
      <c r="J3202" s="103"/>
      <c r="K3202" s="103"/>
      <c r="L3202" s="103"/>
      <c r="M3202" s="104"/>
      <c r="N3202" s="103"/>
    </row>
    <row r="3203" spans="1:14" ht="45" customHeight="1" thickBot="1" x14ac:dyDescent="0.4">
      <c r="A3203" s="103"/>
      <c r="B3203" s="103"/>
      <c r="C3203" s="103"/>
      <c r="D3203" s="103"/>
      <c r="E3203" s="103"/>
      <c r="F3203" s="103"/>
      <c r="G3203" s="103"/>
      <c r="H3203" s="103"/>
      <c r="I3203" s="103"/>
      <c r="J3203" s="103"/>
      <c r="K3203" s="103"/>
      <c r="L3203" s="103"/>
      <c r="M3203" s="104"/>
      <c r="N3203" s="103"/>
    </row>
    <row r="3204" spans="1:14" ht="45" customHeight="1" thickBot="1" x14ac:dyDescent="0.4">
      <c r="A3204" s="103"/>
      <c r="B3204" s="103"/>
      <c r="C3204" s="103"/>
      <c r="D3204" s="103"/>
      <c r="E3204" s="103"/>
      <c r="F3204" s="103"/>
      <c r="G3204" s="103"/>
      <c r="H3204" s="103"/>
      <c r="I3204" s="103"/>
      <c r="J3204" s="103"/>
      <c r="K3204" s="103"/>
      <c r="L3204" s="103"/>
      <c r="M3204" s="104"/>
      <c r="N3204" s="103"/>
    </row>
    <row r="3205" spans="1:14" ht="45" customHeight="1" thickBot="1" x14ac:dyDescent="0.4">
      <c r="A3205" s="103"/>
      <c r="B3205" s="103"/>
      <c r="C3205" s="103"/>
      <c r="D3205" s="103"/>
      <c r="E3205" s="103"/>
      <c r="F3205" s="103"/>
      <c r="G3205" s="103"/>
      <c r="H3205" s="103"/>
      <c r="I3205" s="103"/>
      <c r="J3205" s="103"/>
      <c r="K3205" s="103"/>
      <c r="L3205" s="103"/>
      <c r="M3205" s="104"/>
      <c r="N3205" s="103"/>
    </row>
    <row r="3206" spans="1:14" ht="45" customHeight="1" thickBot="1" x14ac:dyDescent="0.4">
      <c r="A3206" s="103"/>
      <c r="B3206" s="103"/>
      <c r="C3206" s="103"/>
      <c r="D3206" s="103"/>
      <c r="E3206" s="103"/>
      <c r="F3206" s="103"/>
      <c r="G3206" s="103"/>
      <c r="H3206" s="103"/>
      <c r="I3206" s="103"/>
      <c r="J3206" s="103"/>
      <c r="K3206" s="103"/>
      <c r="L3206" s="103"/>
      <c r="M3206" s="104"/>
      <c r="N3206" s="103"/>
    </row>
    <row r="3207" spans="1:14" ht="45" customHeight="1" thickBot="1" x14ac:dyDescent="0.4">
      <c r="A3207" s="103"/>
      <c r="B3207" s="103"/>
      <c r="C3207" s="103"/>
      <c r="D3207" s="103"/>
      <c r="E3207" s="103"/>
      <c r="F3207" s="103"/>
      <c r="G3207" s="103"/>
      <c r="H3207" s="103"/>
      <c r="I3207" s="103"/>
      <c r="J3207" s="103"/>
      <c r="K3207" s="103"/>
      <c r="L3207" s="103"/>
      <c r="M3207" s="104"/>
      <c r="N3207" s="103"/>
    </row>
    <row r="3208" spans="1:14" ht="45" customHeight="1" thickBot="1" x14ac:dyDescent="0.4">
      <c r="A3208" s="103"/>
      <c r="B3208" s="103"/>
      <c r="C3208" s="103"/>
      <c r="D3208" s="103"/>
      <c r="E3208" s="103"/>
      <c r="F3208" s="103"/>
      <c r="G3208" s="103"/>
      <c r="H3208" s="103"/>
      <c r="I3208" s="103"/>
      <c r="J3208" s="103"/>
      <c r="K3208" s="103"/>
      <c r="L3208" s="103"/>
      <c r="M3208" s="104"/>
      <c r="N3208" s="103"/>
    </row>
    <row r="3209" spans="1:14" ht="45" customHeight="1" thickBot="1" x14ac:dyDescent="0.4">
      <c r="A3209" s="103"/>
      <c r="B3209" s="103"/>
      <c r="C3209" s="103"/>
      <c r="D3209" s="103"/>
      <c r="E3209" s="103"/>
      <c r="F3209" s="103"/>
      <c r="G3209" s="103"/>
      <c r="H3209" s="103"/>
      <c r="I3209" s="103"/>
      <c r="J3209" s="103"/>
      <c r="K3209" s="103"/>
      <c r="L3209" s="103"/>
      <c r="M3209" s="104"/>
      <c r="N3209" s="103"/>
    </row>
    <row r="3210" spans="1:14" ht="45" customHeight="1" thickBot="1" x14ac:dyDescent="0.4">
      <c r="A3210" s="103"/>
      <c r="B3210" s="103"/>
      <c r="C3210" s="103"/>
      <c r="D3210" s="103"/>
      <c r="E3210" s="103"/>
      <c r="F3210" s="103"/>
      <c r="G3210" s="103"/>
      <c r="H3210" s="103"/>
      <c r="I3210" s="103"/>
      <c r="J3210" s="103"/>
      <c r="K3210" s="103"/>
      <c r="L3210" s="103"/>
      <c r="M3210" s="104"/>
      <c r="N3210" s="103"/>
    </row>
    <row r="3211" spans="1:14" ht="45" customHeight="1" thickBot="1" x14ac:dyDescent="0.4">
      <c r="A3211" s="103"/>
      <c r="B3211" s="103"/>
      <c r="C3211" s="103"/>
      <c r="D3211" s="103"/>
      <c r="E3211" s="103"/>
      <c r="F3211" s="103"/>
      <c r="G3211" s="103"/>
      <c r="H3211" s="103"/>
      <c r="I3211" s="103"/>
      <c r="J3211" s="103"/>
      <c r="K3211" s="103"/>
      <c r="L3211" s="103"/>
      <c r="M3211" s="104"/>
      <c r="N3211" s="103"/>
    </row>
    <row r="3212" spans="1:14" ht="45" customHeight="1" thickBot="1" x14ac:dyDescent="0.4">
      <c r="A3212" s="103"/>
      <c r="B3212" s="103"/>
      <c r="C3212" s="103"/>
      <c r="D3212" s="103"/>
      <c r="E3212" s="103"/>
      <c r="F3212" s="103"/>
      <c r="G3212" s="103"/>
      <c r="H3212" s="103"/>
      <c r="I3212" s="103"/>
      <c r="J3212" s="103"/>
      <c r="K3212" s="103"/>
      <c r="L3212" s="103"/>
      <c r="M3212" s="104"/>
      <c r="N3212" s="103"/>
    </row>
    <row r="3213" spans="1:14" ht="45" customHeight="1" thickBot="1" x14ac:dyDescent="0.4">
      <c r="A3213" s="103"/>
      <c r="B3213" s="103"/>
      <c r="C3213" s="103"/>
      <c r="D3213" s="103"/>
      <c r="E3213" s="103"/>
      <c r="F3213" s="103"/>
      <c r="G3213" s="103"/>
      <c r="H3213" s="103"/>
      <c r="I3213" s="103"/>
      <c r="J3213" s="103"/>
      <c r="K3213" s="103"/>
      <c r="L3213" s="103"/>
      <c r="M3213" s="104"/>
      <c r="N3213" s="103"/>
    </row>
    <row r="3214" spans="1:14" ht="45" customHeight="1" thickBot="1" x14ac:dyDescent="0.4">
      <c r="A3214" s="103"/>
      <c r="B3214" s="103"/>
      <c r="C3214" s="103"/>
      <c r="D3214" s="103"/>
      <c r="E3214" s="103"/>
      <c r="F3214" s="103"/>
      <c r="G3214" s="103"/>
      <c r="H3214" s="103"/>
      <c r="I3214" s="103"/>
      <c r="J3214" s="103"/>
      <c r="K3214" s="103"/>
      <c r="L3214" s="103"/>
      <c r="M3214" s="104"/>
      <c r="N3214" s="103"/>
    </row>
    <row r="3215" spans="1:14" ht="45" customHeight="1" thickBot="1" x14ac:dyDescent="0.4">
      <c r="A3215" s="103"/>
      <c r="B3215" s="103"/>
      <c r="C3215" s="103"/>
      <c r="D3215" s="103"/>
      <c r="E3215" s="103"/>
      <c r="F3215" s="103"/>
      <c r="G3215" s="103"/>
      <c r="H3215" s="103"/>
      <c r="I3215" s="103"/>
      <c r="J3215" s="103"/>
      <c r="K3215" s="103"/>
      <c r="L3215" s="103"/>
      <c r="M3215" s="104"/>
      <c r="N3215" s="103"/>
    </row>
    <row r="3216" spans="1:14" ht="45" customHeight="1" thickBot="1" x14ac:dyDescent="0.4">
      <c r="A3216" s="103"/>
      <c r="B3216" s="103"/>
      <c r="C3216" s="103"/>
      <c r="D3216" s="103"/>
      <c r="E3216" s="103"/>
      <c r="F3216" s="103"/>
      <c r="G3216" s="103"/>
      <c r="H3216" s="103"/>
      <c r="I3216" s="103"/>
      <c r="J3216" s="103"/>
      <c r="K3216" s="103"/>
      <c r="L3216" s="103"/>
      <c r="M3216" s="104"/>
      <c r="N3216" s="103"/>
    </row>
    <row r="3217" spans="1:14" ht="45" customHeight="1" thickBot="1" x14ac:dyDescent="0.4">
      <c r="A3217" s="103"/>
      <c r="B3217" s="103"/>
      <c r="C3217" s="103"/>
      <c r="D3217" s="103"/>
      <c r="E3217" s="103"/>
      <c r="F3217" s="103"/>
      <c r="G3217" s="103"/>
      <c r="H3217" s="103"/>
      <c r="I3217" s="103"/>
      <c r="J3217" s="103"/>
      <c r="K3217" s="103"/>
      <c r="L3217" s="103"/>
      <c r="M3217" s="104"/>
      <c r="N3217" s="103"/>
    </row>
    <row r="3218" spans="1:14" ht="45" customHeight="1" thickBot="1" x14ac:dyDescent="0.4">
      <c r="A3218" s="103"/>
      <c r="B3218" s="103"/>
      <c r="C3218" s="103"/>
      <c r="D3218" s="103"/>
      <c r="E3218" s="103"/>
      <c r="F3218" s="103"/>
      <c r="G3218" s="103"/>
      <c r="H3218" s="103"/>
      <c r="I3218" s="103"/>
      <c r="J3218" s="103"/>
      <c r="K3218" s="103"/>
      <c r="L3218" s="103"/>
      <c r="M3218" s="104"/>
      <c r="N3218" s="103"/>
    </row>
    <row r="3219" spans="1:14" ht="45" customHeight="1" thickBot="1" x14ac:dyDescent="0.4">
      <c r="A3219" s="103"/>
      <c r="B3219" s="103"/>
      <c r="C3219" s="103"/>
      <c r="D3219" s="103"/>
      <c r="E3219" s="103"/>
      <c r="F3219" s="103"/>
      <c r="G3219" s="103"/>
      <c r="H3219" s="103"/>
      <c r="I3219" s="103"/>
      <c r="J3219" s="103"/>
      <c r="K3219" s="103"/>
      <c r="L3219" s="103"/>
      <c r="M3219" s="104"/>
      <c r="N3219" s="103"/>
    </row>
    <row r="3220" spans="1:14" ht="45" customHeight="1" thickBot="1" x14ac:dyDescent="0.4">
      <c r="A3220" s="103"/>
      <c r="B3220" s="103"/>
      <c r="C3220" s="103"/>
      <c r="D3220" s="103"/>
      <c r="E3220" s="103"/>
      <c r="F3220" s="103"/>
      <c r="G3220" s="103"/>
      <c r="H3220" s="103"/>
      <c r="I3220" s="103"/>
      <c r="J3220" s="103"/>
      <c r="K3220" s="103"/>
      <c r="L3220" s="103"/>
      <c r="M3220" s="104"/>
      <c r="N3220" s="103"/>
    </row>
    <row r="3221" spans="1:14" ht="45" customHeight="1" thickBot="1" x14ac:dyDescent="0.4">
      <c r="A3221" s="103"/>
      <c r="B3221" s="103"/>
      <c r="C3221" s="103"/>
      <c r="D3221" s="103"/>
      <c r="E3221" s="103"/>
      <c r="F3221" s="103"/>
      <c r="G3221" s="103"/>
      <c r="H3221" s="103"/>
      <c r="I3221" s="103"/>
      <c r="J3221" s="103"/>
      <c r="K3221" s="103"/>
      <c r="L3221" s="103"/>
      <c r="M3221" s="104"/>
      <c r="N3221" s="103"/>
    </row>
    <row r="3222" spans="1:14" ht="45" customHeight="1" thickBot="1" x14ac:dyDescent="0.4">
      <c r="A3222" s="103"/>
      <c r="B3222" s="103"/>
      <c r="C3222" s="103"/>
      <c r="D3222" s="103"/>
      <c r="E3222" s="103"/>
      <c r="F3222" s="103"/>
      <c r="G3222" s="103"/>
      <c r="H3222" s="103"/>
      <c r="I3222" s="103"/>
      <c r="J3222" s="103"/>
      <c r="K3222" s="103"/>
      <c r="L3222" s="103"/>
      <c r="M3222" s="104"/>
      <c r="N3222" s="103"/>
    </row>
    <row r="3223" spans="1:14" ht="45" customHeight="1" thickBot="1" x14ac:dyDescent="0.4">
      <c r="A3223" s="103"/>
      <c r="B3223" s="103"/>
      <c r="C3223" s="103"/>
      <c r="D3223" s="103"/>
      <c r="E3223" s="103"/>
      <c r="F3223" s="103"/>
      <c r="G3223" s="103"/>
      <c r="H3223" s="103"/>
      <c r="I3223" s="103"/>
      <c r="J3223" s="103"/>
      <c r="K3223" s="103"/>
      <c r="L3223" s="103"/>
      <c r="M3223" s="104"/>
      <c r="N3223" s="103"/>
    </row>
    <row r="3224" spans="1:14" ht="45" customHeight="1" thickBot="1" x14ac:dyDescent="0.4">
      <c r="A3224" s="103"/>
      <c r="B3224" s="103"/>
      <c r="C3224" s="103"/>
      <c r="D3224" s="103"/>
      <c r="E3224" s="103"/>
      <c r="F3224" s="103"/>
      <c r="G3224" s="103"/>
      <c r="H3224" s="103"/>
      <c r="I3224" s="103"/>
      <c r="J3224" s="103"/>
      <c r="K3224" s="103"/>
      <c r="L3224" s="103"/>
      <c r="M3224" s="104"/>
      <c r="N3224" s="103"/>
    </row>
    <row r="3225" spans="1:14" ht="45" customHeight="1" thickBot="1" x14ac:dyDescent="0.4">
      <c r="A3225" s="103"/>
      <c r="B3225" s="103"/>
      <c r="C3225" s="103"/>
      <c r="D3225" s="103"/>
      <c r="E3225" s="103"/>
      <c r="F3225" s="103"/>
      <c r="G3225" s="103"/>
      <c r="H3225" s="103"/>
      <c r="I3225" s="103"/>
      <c r="J3225" s="103"/>
      <c r="K3225" s="103"/>
      <c r="L3225" s="103"/>
      <c r="M3225" s="104"/>
      <c r="N3225" s="103"/>
    </row>
    <row r="3226" spans="1:14" ht="45" customHeight="1" thickBot="1" x14ac:dyDescent="0.4">
      <c r="A3226" s="103"/>
      <c r="B3226" s="103"/>
      <c r="C3226" s="103"/>
      <c r="D3226" s="103"/>
      <c r="E3226" s="103"/>
      <c r="F3226" s="103"/>
      <c r="G3226" s="103"/>
      <c r="H3226" s="103"/>
      <c r="I3226" s="103"/>
      <c r="J3226" s="103"/>
      <c r="K3226" s="103"/>
      <c r="L3226" s="103"/>
      <c r="M3226" s="104"/>
      <c r="N3226" s="103"/>
    </row>
    <row r="3227" spans="1:14" ht="45" customHeight="1" thickBot="1" x14ac:dyDescent="0.4">
      <c r="A3227" s="103"/>
      <c r="B3227" s="103"/>
      <c r="C3227" s="103"/>
      <c r="D3227" s="103"/>
      <c r="E3227" s="103"/>
      <c r="F3227" s="103"/>
      <c r="G3227" s="103"/>
      <c r="H3227" s="103"/>
      <c r="I3227" s="103"/>
      <c r="J3227" s="103"/>
      <c r="K3227" s="103"/>
      <c r="L3227" s="103"/>
      <c r="M3227" s="104"/>
      <c r="N3227" s="103"/>
    </row>
    <row r="3228" spans="1:14" ht="45" customHeight="1" thickBot="1" x14ac:dyDescent="0.4">
      <c r="A3228" s="103"/>
      <c r="B3228" s="103"/>
      <c r="C3228" s="103"/>
      <c r="D3228" s="103"/>
      <c r="E3228" s="103"/>
      <c r="F3228" s="103"/>
      <c r="G3228" s="103"/>
      <c r="H3228" s="103"/>
      <c r="I3228" s="103"/>
      <c r="J3228" s="103"/>
      <c r="K3228" s="103"/>
      <c r="L3228" s="103"/>
      <c r="M3228" s="104"/>
      <c r="N3228" s="103"/>
    </row>
    <row r="3229" spans="1:14" ht="45" customHeight="1" thickBot="1" x14ac:dyDescent="0.4">
      <c r="A3229" s="103"/>
      <c r="B3229" s="103"/>
      <c r="C3229" s="103"/>
      <c r="D3229" s="103"/>
      <c r="E3229" s="103"/>
      <c r="F3229" s="103"/>
      <c r="G3229" s="103"/>
      <c r="H3229" s="103"/>
      <c r="I3229" s="103"/>
      <c r="J3229" s="103"/>
      <c r="K3229" s="103"/>
      <c r="L3229" s="103"/>
      <c r="M3229" s="104"/>
      <c r="N3229" s="103"/>
    </row>
    <row r="3230" spans="1:14" ht="45" customHeight="1" thickBot="1" x14ac:dyDescent="0.4">
      <c r="A3230" s="103"/>
      <c r="B3230" s="103"/>
      <c r="C3230" s="103"/>
      <c r="D3230" s="103"/>
      <c r="E3230" s="103"/>
      <c r="F3230" s="103"/>
      <c r="G3230" s="103"/>
      <c r="H3230" s="103"/>
      <c r="I3230" s="103"/>
      <c r="J3230" s="103"/>
      <c r="K3230" s="103"/>
      <c r="L3230" s="103"/>
      <c r="M3230" s="104"/>
      <c r="N3230" s="103"/>
    </row>
    <row r="3231" spans="1:14" ht="45" customHeight="1" thickBot="1" x14ac:dyDescent="0.4">
      <c r="A3231" s="103"/>
      <c r="B3231" s="103"/>
      <c r="C3231" s="103"/>
      <c r="D3231" s="103"/>
      <c r="E3231" s="103"/>
      <c r="F3231" s="103"/>
      <c r="G3231" s="103"/>
      <c r="H3231" s="103"/>
      <c r="I3231" s="103"/>
      <c r="J3231" s="103"/>
      <c r="K3231" s="103"/>
      <c r="L3231" s="103"/>
      <c r="M3231" s="104"/>
      <c r="N3231" s="103"/>
    </row>
    <row r="3232" spans="1:14" ht="45" customHeight="1" thickBot="1" x14ac:dyDescent="0.4">
      <c r="A3232" s="103"/>
      <c r="B3232" s="103"/>
      <c r="C3232" s="103"/>
      <c r="D3232" s="103"/>
      <c r="E3232" s="103"/>
      <c r="F3232" s="103"/>
      <c r="G3232" s="103"/>
      <c r="H3232" s="103"/>
      <c r="I3232" s="103"/>
      <c r="J3232" s="103"/>
      <c r="K3232" s="103"/>
      <c r="L3232" s="103"/>
      <c r="M3232" s="104"/>
      <c r="N3232" s="103"/>
    </row>
    <row r="3233" spans="1:14" ht="45" customHeight="1" thickBot="1" x14ac:dyDescent="0.4">
      <c r="A3233" s="103"/>
      <c r="B3233" s="103"/>
      <c r="C3233" s="103"/>
      <c r="D3233" s="103"/>
      <c r="E3233" s="103"/>
      <c r="F3233" s="103"/>
      <c r="G3233" s="103"/>
      <c r="H3233" s="103"/>
      <c r="I3233" s="103"/>
      <c r="J3233" s="103"/>
      <c r="K3233" s="103"/>
      <c r="L3233" s="103"/>
      <c r="M3233" s="104"/>
      <c r="N3233" s="103"/>
    </row>
    <row r="3234" spans="1:14" ht="45" customHeight="1" thickBot="1" x14ac:dyDescent="0.4">
      <c r="A3234" s="103"/>
      <c r="B3234" s="103"/>
      <c r="C3234" s="103"/>
      <c r="D3234" s="103"/>
      <c r="E3234" s="103"/>
      <c r="F3234" s="103"/>
      <c r="G3234" s="103"/>
      <c r="H3234" s="103"/>
      <c r="I3234" s="103"/>
      <c r="J3234" s="103"/>
      <c r="K3234" s="103"/>
      <c r="L3234" s="103"/>
      <c r="M3234" s="104"/>
      <c r="N3234" s="103"/>
    </row>
    <row r="3235" spans="1:14" ht="45" customHeight="1" thickBot="1" x14ac:dyDescent="0.4">
      <c r="A3235" s="103"/>
      <c r="B3235" s="103"/>
      <c r="C3235" s="103"/>
      <c r="D3235" s="103"/>
      <c r="E3235" s="103"/>
      <c r="F3235" s="103"/>
      <c r="G3235" s="103"/>
      <c r="H3235" s="103"/>
      <c r="I3235" s="103"/>
      <c r="J3235" s="103"/>
      <c r="K3235" s="103"/>
      <c r="L3235" s="103"/>
      <c r="M3235" s="104"/>
      <c r="N3235" s="103"/>
    </row>
    <row r="3236" spans="1:14" ht="45" customHeight="1" thickBot="1" x14ac:dyDescent="0.4">
      <c r="A3236" s="103"/>
      <c r="B3236" s="103"/>
      <c r="C3236" s="103"/>
      <c r="D3236" s="103"/>
      <c r="E3236" s="103"/>
      <c r="F3236" s="103"/>
      <c r="G3236" s="103"/>
      <c r="H3236" s="103"/>
      <c r="I3236" s="103"/>
      <c r="J3236" s="103"/>
      <c r="K3236" s="103"/>
      <c r="L3236" s="103"/>
      <c r="M3236" s="104"/>
      <c r="N3236" s="103"/>
    </row>
    <row r="3237" spans="1:14" ht="45" customHeight="1" thickBot="1" x14ac:dyDescent="0.4">
      <c r="A3237" s="103"/>
      <c r="B3237" s="103"/>
      <c r="C3237" s="103"/>
      <c r="D3237" s="103"/>
      <c r="E3237" s="103"/>
      <c r="F3237" s="103"/>
      <c r="G3237" s="103"/>
      <c r="H3237" s="103"/>
      <c r="I3237" s="103"/>
      <c r="J3237" s="103"/>
      <c r="K3237" s="103"/>
      <c r="L3237" s="103"/>
      <c r="M3237" s="104"/>
      <c r="N3237" s="103"/>
    </row>
    <row r="3238" spans="1:14" ht="45" customHeight="1" thickBot="1" x14ac:dyDescent="0.4">
      <c r="A3238" s="103"/>
      <c r="B3238" s="103"/>
      <c r="C3238" s="103"/>
      <c r="D3238" s="103"/>
      <c r="E3238" s="103"/>
      <c r="F3238" s="103"/>
      <c r="G3238" s="103"/>
      <c r="H3238" s="103"/>
      <c r="I3238" s="103"/>
      <c r="J3238" s="103"/>
      <c r="K3238" s="103"/>
      <c r="L3238" s="103"/>
      <c r="M3238" s="104"/>
      <c r="N3238" s="103"/>
    </row>
    <row r="3239" spans="1:14" ht="45" customHeight="1" thickBot="1" x14ac:dyDescent="0.4">
      <c r="A3239" s="103"/>
      <c r="B3239" s="103"/>
      <c r="C3239" s="103"/>
      <c r="D3239" s="103"/>
      <c r="E3239" s="103"/>
      <c r="F3239" s="103"/>
      <c r="G3239" s="103"/>
      <c r="H3239" s="103"/>
      <c r="I3239" s="103"/>
      <c r="J3239" s="103"/>
      <c r="K3239" s="103"/>
      <c r="L3239" s="103"/>
      <c r="M3239" s="104"/>
      <c r="N3239" s="103"/>
    </row>
    <row r="3240" spans="1:14" ht="45" customHeight="1" thickBot="1" x14ac:dyDescent="0.4">
      <c r="A3240" s="103"/>
      <c r="B3240" s="103"/>
      <c r="C3240" s="103"/>
      <c r="D3240" s="103"/>
      <c r="E3240" s="103"/>
      <c r="F3240" s="103"/>
      <c r="G3240" s="103"/>
      <c r="H3240" s="103"/>
      <c r="I3240" s="103"/>
      <c r="J3240" s="103"/>
      <c r="K3240" s="103"/>
      <c r="L3240" s="103"/>
      <c r="M3240" s="104"/>
      <c r="N3240" s="103"/>
    </row>
    <row r="3241" spans="1:14" ht="45" customHeight="1" thickBot="1" x14ac:dyDescent="0.4">
      <c r="A3241" s="103"/>
      <c r="B3241" s="103"/>
      <c r="C3241" s="103"/>
      <c r="D3241" s="103"/>
      <c r="E3241" s="103"/>
      <c r="F3241" s="103"/>
      <c r="G3241" s="103"/>
      <c r="H3241" s="103"/>
      <c r="I3241" s="103"/>
      <c r="J3241" s="103"/>
      <c r="K3241" s="103"/>
      <c r="L3241" s="103"/>
      <c r="M3241" s="104"/>
      <c r="N3241" s="103"/>
    </row>
    <row r="3242" spans="1:14" ht="45" customHeight="1" thickBot="1" x14ac:dyDescent="0.4">
      <c r="A3242" s="103"/>
      <c r="B3242" s="103"/>
      <c r="C3242" s="103"/>
      <c r="D3242" s="103"/>
      <c r="E3242" s="103"/>
      <c r="F3242" s="103"/>
      <c r="G3242" s="103"/>
      <c r="H3242" s="103"/>
      <c r="I3242" s="103"/>
      <c r="J3242" s="103"/>
      <c r="K3242" s="103"/>
      <c r="L3242" s="103"/>
      <c r="M3242" s="104"/>
      <c r="N3242" s="103"/>
    </row>
    <row r="3243" spans="1:14" ht="45" customHeight="1" thickBot="1" x14ac:dyDescent="0.4">
      <c r="A3243" s="103"/>
      <c r="B3243" s="103"/>
      <c r="C3243" s="103"/>
      <c r="D3243" s="103"/>
      <c r="E3243" s="103"/>
      <c r="F3243" s="103"/>
      <c r="G3243" s="103"/>
      <c r="H3243" s="103"/>
      <c r="I3243" s="103"/>
      <c r="J3243" s="103"/>
      <c r="K3243" s="103"/>
      <c r="L3243" s="103"/>
      <c r="M3243" s="104"/>
      <c r="N3243" s="103"/>
    </row>
    <row r="3244" spans="1:14" ht="45" customHeight="1" thickBot="1" x14ac:dyDescent="0.4">
      <c r="A3244" s="103"/>
      <c r="B3244" s="103"/>
      <c r="C3244" s="103"/>
      <c r="D3244" s="103"/>
      <c r="E3244" s="103"/>
      <c r="F3244" s="103"/>
      <c r="G3244" s="103"/>
      <c r="H3244" s="103"/>
      <c r="I3244" s="103"/>
      <c r="J3244" s="103"/>
      <c r="K3244" s="103"/>
      <c r="L3244" s="103"/>
      <c r="M3244" s="104"/>
      <c r="N3244" s="103"/>
    </row>
    <row r="3245" spans="1:14" ht="45" customHeight="1" thickBot="1" x14ac:dyDescent="0.4">
      <c r="A3245" s="103"/>
      <c r="B3245" s="103"/>
      <c r="C3245" s="103"/>
      <c r="D3245" s="103"/>
      <c r="E3245" s="103"/>
      <c r="F3245" s="103"/>
      <c r="G3245" s="103"/>
      <c r="H3245" s="103"/>
      <c r="I3245" s="103"/>
      <c r="J3245" s="103"/>
      <c r="K3245" s="103"/>
      <c r="L3245" s="103"/>
      <c r="M3245" s="104"/>
      <c r="N3245" s="103"/>
    </row>
    <row r="3246" spans="1:14" ht="45" customHeight="1" thickBot="1" x14ac:dyDescent="0.4">
      <c r="A3246" s="103"/>
      <c r="B3246" s="103"/>
      <c r="C3246" s="103"/>
      <c r="D3246" s="103"/>
      <c r="E3246" s="103"/>
      <c r="F3246" s="103"/>
      <c r="G3246" s="103"/>
      <c r="H3246" s="103"/>
      <c r="I3246" s="103"/>
      <c r="J3246" s="103"/>
      <c r="K3246" s="103"/>
      <c r="L3246" s="103"/>
      <c r="M3246" s="104"/>
      <c r="N3246" s="103"/>
    </row>
    <row r="3247" spans="1:14" ht="45" customHeight="1" thickBot="1" x14ac:dyDescent="0.4">
      <c r="A3247" s="103"/>
      <c r="B3247" s="103"/>
      <c r="C3247" s="103"/>
      <c r="D3247" s="103"/>
      <c r="E3247" s="103"/>
      <c r="F3247" s="103"/>
      <c r="G3247" s="103"/>
      <c r="H3247" s="103"/>
      <c r="I3247" s="103"/>
      <c r="J3247" s="103"/>
      <c r="K3247" s="103"/>
      <c r="L3247" s="103"/>
      <c r="M3247" s="104"/>
      <c r="N3247" s="103"/>
    </row>
    <row r="3248" spans="1:14" ht="45" customHeight="1" thickBot="1" x14ac:dyDescent="0.4">
      <c r="A3248" s="103"/>
      <c r="B3248" s="103"/>
      <c r="C3248" s="103"/>
      <c r="D3248" s="103"/>
      <c r="E3248" s="103"/>
      <c r="F3248" s="103"/>
      <c r="G3248" s="103"/>
      <c r="H3248" s="103"/>
      <c r="I3248" s="103"/>
      <c r="J3248" s="103"/>
      <c r="K3248" s="103"/>
      <c r="L3248" s="103"/>
      <c r="M3248" s="104"/>
      <c r="N3248" s="103"/>
    </row>
    <row r="3249" spans="1:14" ht="45" customHeight="1" thickBot="1" x14ac:dyDescent="0.4">
      <c r="A3249" s="103"/>
      <c r="B3249" s="103"/>
      <c r="C3249" s="103"/>
      <c r="D3249" s="103"/>
      <c r="E3249" s="103"/>
      <c r="F3249" s="103"/>
      <c r="G3249" s="103"/>
      <c r="H3249" s="103"/>
      <c r="I3249" s="103"/>
      <c r="J3249" s="103"/>
      <c r="K3249" s="103"/>
      <c r="L3249" s="103"/>
      <c r="M3249" s="104"/>
      <c r="N3249" s="103"/>
    </row>
    <row r="3250" spans="1:14" ht="45" customHeight="1" thickBot="1" x14ac:dyDescent="0.4">
      <c r="A3250" s="103"/>
      <c r="B3250" s="103"/>
      <c r="C3250" s="103"/>
      <c r="D3250" s="103"/>
      <c r="E3250" s="103"/>
      <c r="F3250" s="103"/>
      <c r="G3250" s="103"/>
      <c r="H3250" s="103"/>
      <c r="I3250" s="103"/>
      <c r="J3250" s="103"/>
      <c r="K3250" s="103"/>
      <c r="L3250" s="103"/>
      <c r="M3250" s="104"/>
      <c r="N3250" s="103"/>
    </row>
    <row r="3251" spans="1:14" ht="45" customHeight="1" thickBot="1" x14ac:dyDescent="0.4">
      <c r="A3251" s="103"/>
      <c r="B3251" s="103"/>
      <c r="C3251" s="103"/>
      <c r="D3251" s="103"/>
      <c r="E3251" s="103"/>
      <c r="F3251" s="103"/>
      <c r="G3251" s="103"/>
      <c r="H3251" s="103"/>
      <c r="I3251" s="103"/>
      <c r="J3251" s="103"/>
      <c r="K3251" s="103"/>
      <c r="L3251" s="103"/>
      <c r="M3251" s="104"/>
      <c r="N3251" s="103"/>
    </row>
    <row r="3252" spans="1:14" ht="45" customHeight="1" thickBot="1" x14ac:dyDescent="0.4">
      <c r="A3252" s="103"/>
      <c r="B3252" s="103"/>
      <c r="C3252" s="103"/>
      <c r="D3252" s="103"/>
      <c r="E3252" s="103"/>
      <c r="F3252" s="103"/>
      <c r="G3252" s="103"/>
      <c r="H3252" s="103"/>
      <c r="I3252" s="103"/>
      <c r="J3252" s="103"/>
      <c r="K3252" s="103"/>
      <c r="L3252" s="103"/>
      <c r="M3252" s="104"/>
      <c r="N3252" s="103"/>
    </row>
    <row r="3253" spans="1:14" ht="45" customHeight="1" thickBot="1" x14ac:dyDescent="0.4">
      <c r="A3253" s="103"/>
      <c r="B3253" s="103"/>
      <c r="C3253" s="103"/>
      <c r="D3253" s="103"/>
      <c r="E3253" s="103"/>
      <c r="F3253" s="103"/>
      <c r="G3253" s="103"/>
      <c r="H3253" s="103"/>
      <c r="I3253" s="103"/>
      <c r="J3253" s="103"/>
      <c r="K3253" s="103"/>
      <c r="L3253" s="103"/>
      <c r="M3253" s="104"/>
      <c r="N3253" s="103"/>
    </row>
    <row r="3254" spans="1:14" ht="45" customHeight="1" thickBot="1" x14ac:dyDescent="0.4">
      <c r="A3254" s="103"/>
      <c r="B3254" s="103"/>
      <c r="C3254" s="103"/>
      <c r="D3254" s="103"/>
      <c r="E3254" s="103"/>
      <c r="F3254" s="103"/>
      <c r="G3254" s="103"/>
      <c r="H3254" s="103"/>
      <c r="I3254" s="103"/>
      <c r="J3254" s="103"/>
      <c r="K3254" s="103"/>
      <c r="L3254" s="103"/>
      <c r="M3254" s="104"/>
      <c r="N3254" s="103"/>
    </row>
    <row r="3255" spans="1:14" ht="45" customHeight="1" thickBot="1" x14ac:dyDescent="0.4">
      <c r="A3255" s="103"/>
      <c r="B3255" s="103"/>
      <c r="C3255" s="103"/>
      <c r="D3255" s="103"/>
      <c r="E3255" s="103"/>
      <c r="F3255" s="103"/>
      <c r="G3255" s="103"/>
      <c r="H3255" s="103"/>
      <c r="I3255" s="103"/>
      <c r="J3255" s="103"/>
      <c r="K3255" s="103"/>
      <c r="L3255" s="103"/>
      <c r="M3255" s="104"/>
      <c r="N3255" s="103"/>
    </row>
    <row r="3256" spans="1:14" ht="45" customHeight="1" thickBot="1" x14ac:dyDescent="0.4">
      <c r="A3256" s="103"/>
      <c r="B3256" s="103"/>
      <c r="C3256" s="103"/>
      <c r="D3256" s="103"/>
      <c r="E3256" s="103"/>
      <c r="F3256" s="103"/>
      <c r="G3256" s="103"/>
      <c r="H3256" s="103"/>
      <c r="I3256" s="103"/>
      <c r="J3256" s="103"/>
      <c r="K3256" s="103"/>
      <c r="L3256" s="103"/>
      <c r="M3256" s="104"/>
      <c r="N3256" s="103"/>
    </row>
    <row r="3257" spans="1:14" ht="45" customHeight="1" thickBot="1" x14ac:dyDescent="0.4">
      <c r="A3257" s="103"/>
      <c r="B3257" s="103"/>
      <c r="C3257" s="103"/>
      <c r="D3257" s="103"/>
      <c r="E3257" s="103"/>
      <c r="F3257" s="103"/>
      <c r="G3257" s="103"/>
      <c r="H3257" s="103"/>
      <c r="I3257" s="103"/>
      <c r="J3257" s="103"/>
      <c r="K3257" s="103"/>
      <c r="L3257" s="103"/>
      <c r="M3257" s="104"/>
      <c r="N3257" s="103"/>
    </row>
    <row r="3258" spans="1:14" ht="45" customHeight="1" thickBot="1" x14ac:dyDescent="0.4">
      <c r="A3258" s="103"/>
      <c r="B3258" s="103"/>
      <c r="C3258" s="103"/>
      <c r="D3258" s="103"/>
      <c r="E3258" s="103"/>
      <c r="F3258" s="103"/>
      <c r="G3258" s="103"/>
      <c r="H3258" s="103"/>
      <c r="I3258" s="103"/>
      <c r="J3258" s="103"/>
      <c r="K3258" s="103"/>
      <c r="L3258" s="103"/>
      <c r="M3258" s="104"/>
      <c r="N3258" s="103"/>
    </row>
    <row r="3259" spans="1:14" ht="45" customHeight="1" thickBot="1" x14ac:dyDescent="0.4">
      <c r="A3259" s="103"/>
      <c r="B3259" s="103"/>
      <c r="C3259" s="103"/>
      <c r="D3259" s="103"/>
      <c r="E3259" s="103"/>
      <c r="F3259" s="103"/>
      <c r="G3259" s="103"/>
      <c r="H3259" s="103"/>
      <c r="I3259" s="103"/>
      <c r="J3259" s="103"/>
      <c r="K3259" s="103"/>
      <c r="L3259" s="103"/>
      <c r="M3259" s="104"/>
      <c r="N3259" s="103"/>
    </row>
    <row r="3260" spans="1:14" ht="45" customHeight="1" thickBot="1" x14ac:dyDescent="0.4">
      <c r="A3260" s="103"/>
      <c r="B3260" s="103"/>
      <c r="C3260" s="103"/>
      <c r="D3260" s="103"/>
      <c r="E3260" s="103"/>
      <c r="F3260" s="103"/>
      <c r="G3260" s="103"/>
      <c r="H3260" s="103"/>
      <c r="I3260" s="103"/>
      <c r="J3260" s="103"/>
      <c r="K3260" s="103"/>
      <c r="L3260" s="103"/>
      <c r="M3260" s="104"/>
      <c r="N3260" s="103"/>
    </row>
    <row r="3261" spans="1:14" ht="45" customHeight="1" thickBot="1" x14ac:dyDescent="0.4">
      <c r="A3261" s="103"/>
      <c r="B3261" s="103"/>
      <c r="C3261" s="103"/>
      <c r="D3261" s="103"/>
      <c r="E3261" s="103"/>
      <c r="F3261" s="103"/>
      <c r="G3261" s="103"/>
      <c r="H3261" s="103"/>
      <c r="I3261" s="103"/>
      <c r="J3261" s="103"/>
      <c r="K3261" s="103"/>
      <c r="L3261" s="103"/>
      <c r="M3261" s="104"/>
      <c r="N3261" s="103"/>
    </row>
    <row r="3262" spans="1:14" ht="45" customHeight="1" thickBot="1" x14ac:dyDescent="0.4">
      <c r="A3262" s="103"/>
      <c r="B3262" s="103"/>
      <c r="C3262" s="103"/>
      <c r="D3262" s="103"/>
      <c r="E3262" s="103"/>
      <c r="F3262" s="103"/>
      <c r="G3262" s="103"/>
      <c r="H3262" s="103"/>
      <c r="I3262" s="103"/>
      <c r="J3262" s="103"/>
      <c r="K3262" s="103"/>
      <c r="L3262" s="103"/>
      <c r="M3262" s="104"/>
      <c r="N3262" s="103"/>
    </row>
    <row r="3263" spans="1:14" ht="45" customHeight="1" thickBot="1" x14ac:dyDescent="0.4">
      <c r="A3263" s="103"/>
      <c r="B3263" s="103"/>
      <c r="C3263" s="103"/>
      <c r="D3263" s="103"/>
      <c r="E3263" s="103"/>
      <c r="F3263" s="103"/>
      <c r="G3263" s="103"/>
      <c r="H3263" s="103"/>
      <c r="I3263" s="103"/>
      <c r="J3263" s="103"/>
      <c r="K3263" s="103"/>
      <c r="L3263" s="103"/>
      <c r="M3263" s="104"/>
      <c r="N3263" s="103"/>
    </row>
    <row r="3264" spans="1:14" ht="45" customHeight="1" thickBot="1" x14ac:dyDescent="0.4">
      <c r="A3264" s="103"/>
      <c r="B3264" s="103"/>
      <c r="C3264" s="103"/>
      <c r="D3264" s="103"/>
      <c r="E3264" s="103"/>
      <c r="F3264" s="103"/>
      <c r="G3264" s="103"/>
      <c r="H3264" s="103"/>
      <c r="I3264" s="103"/>
      <c r="J3264" s="103"/>
      <c r="K3264" s="103"/>
      <c r="L3264" s="103"/>
      <c r="M3264" s="104"/>
      <c r="N3264" s="103"/>
    </row>
    <row r="3265" spans="1:14" ht="45" customHeight="1" thickBot="1" x14ac:dyDescent="0.4">
      <c r="A3265" s="103"/>
      <c r="B3265" s="103"/>
      <c r="C3265" s="103"/>
      <c r="D3265" s="103"/>
      <c r="E3265" s="103"/>
      <c r="F3265" s="103"/>
      <c r="G3265" s="103"/>
      <c r="H3265" s="103"/>
      <c r="I3265" s="103"/>
      <c r="J3265" s="103"/>
      <c r="K3265" s="103"/>
      <c r="L3265" s="103"/>
      <c r="M3265" s="104"/>
      <c r="N3265" s="103"/>
    </row>
    <row r="3266" spans="1:14" ht="45" customHeight="1" thickBot="1" x14ac:dyDescent="0.4">
      <c r="A3266" s="103"/>
      <c r="B3266" s="103"/>
      <c r="C3266" s="103"/>
      <c r="D3266" s="103"/>
      <c r="E3266" s="103"/>
      <c r="F3266" s="103"/>
      <c r="G3266" s="103"/>
      <c r="H3266" s="103"/>
      <c r="I3266" s="103"/>
      <c r="J3266" s="103"/>
      <c r="K3266" s="103"/>
      <c r="L3266" s="103"/>
      <c r="M3266" s="104"/>
      <c r="N3266" s="103"/>
    </row>
    <row r="3267" spans="1:14" ht="45" customHeight="1" thickBot="1" x14ac:dyDescent="0.4">
      <c r="A3267" s="103"/>
      <c r="B3267" s="103"/>
      <c r="C3267" s="103"/>
      <c r="D3267" s="103"/>
      <c r="E3267" s="103"/>
      <c r="F3267" s="103"/>
      <c r="G3267" s="103"/>
      <c r="H3267" s="103"/>
      <c r="I3267" s="103"/>
      <c r="J3267" s="103"/>
      <c r="K3267" s="103"/>
      <c r="L3267" s="103"/>
      <c r="M3267" s="104"/>
      <c r="N3267" s="103"/>
    </row>
    <row r="3268" spans="1:14" ht="45" customHeight="1" thickBot="1" x14ac:dyDescent="0.4">
      <c r="A3268" s="103"/>
      <c r="B3268" s="103"/>
      <c r="C3268" s="103"/>
      <c r="D3268" s="103"/>
      <c r="E3268" s="103"/>
      <c r="F3268" s="103"/>
      <c r="G3268" s="103"/>
      <c r="H3268" s="103"/>
      <c r="I3268" s="103"/>
      <c r="J3268" s="103"/>
      <c r="K3268" s="103"/>
      <c r="L3268" s="103"/>
      <c r="M3268" s="104"/>
      <c r="N3268" s="103"/>
    </row>
    <row r="3269" spans="1:14" ht="45" customHeight="1" thickBot="1" x14ac:dyDescent="0.4">
      <c r="A3269" s="103"/>
      <c r="B3269" s="103"/>
      <c r="C3269" s="103"/>
      <c r="D3269" s="103"/>
      <c r="E3269" s="103"/>
      <c r="F3269" s="103"/>
      <c r="G3269" s="103"/>
      <c r="H3269" s="103"/>
      <c r="I3269" s="103"/>
      <c r="J3269" s="103"/>
      <c r="K3269" s="103"/>
      <c r="L3269" s="103"/>
      <c r="M3269" s="104"/>
      <c r="N3269" s="103"/>
    </row>
    <row r="3270" spans="1:14" ht="45" customHeight="1" thickBot="1" x14ac:dyDescent="0.4">
      <c r="A3270" s="103"/>
      <c r="B3270" s="103"/>
      <c r="C3270" s="103"/>
      <c r="D3270" s="103"/>
      <c r="E3270" s="103"/>
      <c r="F3270" s="103"/>
      <c r="G3270" s="103"/>
      <c r="H3270" s="103"/>
      <c r="I3270" s="103"/>
      <c r="J3270" s="103"/>
      <c r="K3270" s="103"/>
      <c r="L3270" s="103"/>
      <c r="M3270" s="104"/>
      <c r="N3270" s="103"/>
    </row>
    <row r="3271" spans="1:14" ht="45" customHeight="1" thickBot="1" x14ac:dyDescent="0.4">
      <c r="A3271" s="103"/>
      <c r="B3271" s="103"/>
      <c r="C3271" s="103"/>
      <c r="D3271" s="103"/>
      <c r="E3271" s="103"/>
      <c r="F3271" s="103"/>
      <c r="G3271" s="103"/>
      <c r="H3271" s="103"/>
      <c r="I3271" s="103"/>
      <c r="J3271" s="103"/>
      <c r="K3271" s="103"/>
      <c r="L3271" s="103"/>
      <c r="M3271" s="104"/>
      <c r="N3271" s="103"/>
    </row>
    <row r="3272" spans="1:14" ht="45" customHeight="1" thickBot="1" x14ac:dyDescent="0.4">
      <c r="A3272" s="103"/>
      <c r="B3272" s="103"/>
      <c r="C3272" s="103"/>
      <c r="D3272" s="103"/>
      <c r="E3272" s="103"/>
      <c r="F3272" s="103"/>
      <c r="G3272" s="103"/>
      <c r="H3272" s="103"/>
      <c r="I3272" s="103"/>
      <c r="J3272" s="103"/>
      <c r="K3272" s="103"/>
      <c r="L3272" s="103"/>
      <c r="M3272" s="104"/>
      <c r="N3272" s="103"/>
    </row>
    <row r="3273" spans="1:14" ht="45" customHeight="1" thickBot="1" x14ac:dyDescent="0.4">
      <c r="A3273" s="103"/>
      <c r="B3273" s="103"/>
      <c r="C3273" s="103"/>
      <c r="D3273" s="103"/>
      <c r="E3273" s="103"/>
      <c r="F3273" s="103"/>
      <c r="G3273" s="103"/>
      <c r="H3273" s="103"/>
      <c r="I3273" s="103"/>
      <c r="J3273" s="103"/>
      <c r="K3273" s="103"/>
      <c r="L3273" s="103"/>
      <c r="M3273" s="104"/>
      <c r="N3273" s="103"/>
    </row>
    <row r="3274" spans="1:14" ht="45" customHeight="1" thickBot="1" x14ac:dyDescent="0.4">
      <c r="A3274" s="103"/>
      <c r="B3274" s="103"/>
      <c r="C3274" s="103"/>
      <c r="D3274" s="103"/>
      <c r="E3274" s="103"/>
      <c r="F3274" s="103"/>
      <c r="G3274" s="103"/>
      <c r="H3274" s="103"/>
      <c r="I3274" s="103"/>
      <c r="J3274" s="103"/>
      <c r="K3274" s="103"/>
      <c r="L3274" s="103"/>
      <c r="M3274" s="104"/>
      <c r="N3274" s="103"/>
    </row>
    <row r="3275" spans="1:14" ht="45" customHeight="1" thickBot="1" x14ac:dyDescent="0.4">
      <c r="A3275" s="103"/>
      <c r="B3275" s="103"/>
      <c r="C3275" s="103"/>
      <c r="D3275" s="103"/>
      <c r="E3275" s="103"/>
      <c r="F3275" s="103"/>
      <c r="G3275" s="103"/>
      <c r="H3275" s="103"/>
      <c r="I3275" s="103"/>
      <c r="J3275" s="103"/>
      <c r="K3275" s="103"/>
      <c r="L3275" s="103"/>
      <c r="M3275" s="104"/>
      <c r="N3275" s="103"/>
    </row>
    <row r="3276" spans="1:14" ht="45" customHeight="1" thickBot="1" x14ac:dyDescent="0.4">
      <c r="A3276" s="103"/>
      <c r="B3276" s="103"/>
      <c r="C3276" s="103"/>
      <c r="D3276" s="103"/>
      <c r="E3276" s="103"/>
      <c r="F3276" s="103"/>
      <c r="G3276" s="103"/>
      <c r="H3276" s="103"/>
      <c r="I3276" s="103"/>
      <c r="J3276" s="103"/>
      <c r="K3276" s="103"/>
      <c r="L3276" s="103"/>
      <c r="M3276" s="104"/>
      <c r="N3276" s="103"/>
    </row>
    <row r="3277" spans="1:14" ht="45" customHeight="1" thickBot="1" x14ac:dyDescent="0.4">
      <c r="A3277" s="103"/>
      <c r="B3277" s="103"/>
      <c r="C3277" s="103"/>
      <c r="D3277" s="103"/>
      <c r="E3277" s="103"/>
      <c r="F3277" s="103"/>
      <c r="G3277" s="103"/>
      <c r="H3277" s="103"/>
      <c r="I3277" s="103"/>
      <c r="J3277" s="103"/>
      <c r="K3277" s="103"/>
      <c r="L3277" s="103"/>
      <c r="M3277" s="104"/>
      <c r="N3277" s="103"/>
    </row>
    <row r="3278" spans="1:14" ht="45" customHeight="1" thickBot="1" x14ac:dyDescent="0.4">
      <c r="A3278" s="103"/>
      <c r="B3278" s="103"/>
      <c r="C3278" s="103"/>
      <c r="D3278" s="103"/>
      <c r="E3278" s="103"/>
      <c r="F3278" s="103"/>
      <c r="G3278" s="103"/>
      <c r="H3278" s="103"/>
      <c r="I3278" s="103"/>
      <c r="J3278" s="103"/>
      <c r="K3278" s="103"/>
      <c r="L3278" s="103"/>
      <c r="M3278" s="104"/>
      <c r="N3278" s="103"/>
    </row>
    <row r="3279" spans="1:14" ht="45" customHeight="1" thickBot="1" x14ac:dyDescent="0.4">
      <c r="A3279" s="103"/>
      <c r="B3279" s="103"/>
      <c r="C3279" s="103"/>
      <c r="D3279" s="103"/>
      <c r="E3279" s="103"/>
      <c r="F3279" s="103"/>
      <c r="G3279" s="103"/>
      <c r="H3279" s="103"/>
      <c r="I3279" s="103"/>
      <c r="J3279" s="103"/>
      <c r="K3279" s="103"/>
      <c r="L3279" s="103"/>
      <c r="M3279" s="104"/>
      <c r="N3279" s="103"/>
    </row>
    <row r="3280" spans="1:14" ht="45" customHeight="1" thickBot="1" x14ac:dyDescent="0.4">
      <c r="A3280" s="103"/>
      <c r="B3280" s="103"/>
      <c r="C3280" s="103"/>
      <c r="D3280" s="103"/>
      <c r="E3280" s="103"/>
      <c r="F3280" s="103"/>
      <c r="G3280" s="103"/>
      <c r="H3280" s="103"/>
      <c r="I3280" s="103"/>
      <c r="J3280" s="103"/>
      <c r="K3280" s="103"/>
      <c r="L3280" s="103"/>
      <c r="M3280" s="104"/>
      <c r="N3280" s="103"/>
    </row>
    <row r="3281" spans="1:14" ht="45" customHeight="1" thickBot="1" x14ac:dyDescent="0.4">
      <c r="A3281" s="103"/>
      <c r="B3281" s="103"/>
      <c r="C3281" s="103"/>
      <c r="D3281" s="103"/>
      <c r="E3281" s="103"/>
      <c r="F3281" s="103"/>
      <c r="G3281" s="103"/>
      <c r="H3281" s="103"/>
      <c r="I3281" s="103"/>
      <c r="J3281" s="103"/>
      <c r="K3281" s="103"/>
      <c r="L3281" s="103"/>
      <c r="M3281" s="104"/>
      <c r="N3281" s="103"/>
    </row>
    <row r="3282" spans="1:14" ht="45" customHeight="1" thickBot="1" x14ac:dyDescent="0.4">
      <c r="A3282" s="103"/>
      <c r="B3282" s="103"/>
      <c r="C3282" s="103"/>
      <c r="D3282" s="103"/>
      <c r="E3282" s="103"/>
      <c r="F3282" s="103"/>
      <c r="G3282" s="103"/>
      <c r="H3282" s="103"/>
      <c r="I3282" s="103"/>
      <c r="J3282" s="103"/>
      <c r="K3282" s="103"/>
      <c r="L3282" s="103"/>
      <c r="M3282" s="104"/>
      <c r="N3282" s="103"/>
    </row>
    <row r="3283" spans="1:14" ht="45" customHeight="1" thickBot="1" x14ac:dyDescent="0.4">
      <c r="A3283" s="103"/>
      <c r="B3283" s="103"/>
      <c r="C3283" s="103"/>
      <c r="D3283" s="103"/>
      <c r="E3283" s="103"/>
      <c r="F3283" s="103"/>
      <c r="G3283" s="103"/>
      <c r="H3283" s="103"/>
      <c r="I3283" s="103"/>
      <c r="J3283" s="103"/>
      <c r="K3283" s="103"/>
      <c r="L3283" s="103"/>
      <c r="M3283" s="104"/>
      <c r="N3283" s="103"/>
    </row>
    <row r="3284" spans="1:14" ht="45" customHeight="1" thickBot="1" x14ac:dyDescent="0.4">
      <c r="A3284" s="103"/>
      <c r="B3284" s="103"/>
      <c r="C3284" s="103"/>
      <c r="D3284" s="103"/>
      <c r="E3284" s="103"/>
      <c r="F3284" s="103"/>
      <c r="G3284" s="103"/>
      <c r="H3284" s="103"/>
      <c r="I3284" s="103"/>
      <c r="J3284" s="103"/>
      <c r="K3284" s="103"/>
      <c r="L3284" s="103"/>
      <c r="M3284" s="104"/>
      <c r="N3284" s="103"/>
    </row>
    <row r="3285" spans="1:14" ht="45" customHeight="1" thickBot="1" x14ac:dyDescent="0.4">
      <c r="A3285" s="103"/>
      <c r="B3285" s="103"/>
      <c r="C3285" s="103"/>
      <c r="D3285" s="103"/>
      <c r="E3285" s="103"/>
      <c r="F3285" s="103"/>
      <c r="G3285" s="103"/>
      <c r="H3285" s="103"/>
      <c r="I3285" s="103"/>
      <c r="J3285" s="103"/>
      <c r="K3285" s="103"/>
      <c r="L3285" s="103"/>
      <c r="M3285" s="104"/>
      <c r="N3285" s="103"/>
    </row>
    <row r="3286" spans="1:14" ht="45" customHeight="1" thickBot="1" x14ac:dyDescent="0.4">
      <c r="A3286" s="103"/>
      <c r="B3286" s="103"/>
      <c r="C3286" s="103"/>
      <c r="D3286" s="103"/>
      <c r="E3286" s="103"/>
      <c r="F3286" s="103"/>
      <c r="G3286" s="103"/>
      <c r="H3286" s="103"/>
      <c r="I3286" s="103"/>
      <c r="J3286" s="103"/>
      <c r="K3286" s="103"/>
      <c r="L3286" s="103"/>
      <c r="M3286" s="104"/>
      <c r="N3286" s="103"/>
    </row>
    <row r="3287" spans="1:14" ht="45" customHeight="1" thickBot="1" x14ac:dyDescent="0.4">
      <c r="A3287" s="103"/>
      <c r="B3287" s="103"/>
      <c r="C3287" s="103"/>
      <c r="D3287" s="103"/>
      <c r="E3287" s="103"/>
      <c r="F3287" s="103"/>
      <c r="G3287" s="103"/>
      <c r="H3287" s="103"/>
      <c r="I3287" s="103"/>
      <c r="J3287" s="103"/>
      <c r="K3287" s="103"/>
      <c r="L3287" s="103"/>
      <c r="M3287" s="104"/>
      <c r="N3287" s="103"/>
    </row>
    <row r="3288" spans="1:14" ht="45" customHeight="1" thickBot="1" x14ac:dyDescent="0.4">
      <c r="A3288" s="103"/>
      <c r="B3288" s="103"/>
      <c r="C3288" s="103"/>
      <c r="D3288" s="103"/>
      <c r="E3288" s="103"/>
      <c r="F3288" s="103"/>
      <c r="G3288" s="103"/>
      <c r="H3288" s="103"/>
      <c r="I3288" s="103"/>
      <c r="J3288" s="103"/>
      <c r="K3288" s="103"/>
      <c r="L3288" s="103"/>
      <c r="M3288" s="104"/>
      <c r="N3288" s="103"/>
    </row>
    <row r="3289" spans="1:14" ht="45" customHeight="1" thickBot="1" x14ac:dyDescent="0.4">
      <c r="A3289" s="103"/>
      <c r="B3289" s="103"/>
      <c r="C3289" s="103"/>
      <c r="D3289" s="103"/>
      <c r="E3289" s="103"/>
      <c r="F3289" s="103"/>
      <c r="G3289" s="103"/>
      <c r="H3289" s="103"/>
      <c r="I3289" s="103"/>
      <c r="J3289" s="103"/>
      <c r="K3289" s="103"/>
      <c r="L3289" s="103"/>
      <c r="M3289" s="104"/>
      <c r="N3289" s="103"/>
    </row>
    <row r="3290" spans="1:14" ht="45" customHeight="1" thickBot="1" x14ac:dyDescent="0.4">
      <c r="A3290" s="103"/>
      <c r="B3290" s="103"/>
      <c r="C3290" s="103"/>
      <c r="D3290" s="103"/>
      <c r="E3290" s="103"/>
      <c r="F3290" s="103"/>
      <c r="G3290" s="103"/>
      <c r="H3290" s="103"/>
      <c r="I3290" s="103"/>
      <c r="J3290" s="103"/>
      <c r="K3290" s="103"/>
      <c r="L3290" s="103"/>
      <c r="M3290" s="104"/>
      <c r="N3290" s="103"/>
    </row>
    <row r="3291" spans="1:14" ht="45" customHeight="1" thickBot="1" x14ac:dyDescent="0.4">
      <c r="A3291" s="103"/>
      <c r="B3291" s="103"/>
      <c r="C3291" s="103"/>
      <c r="D3291" s="103"/>
      <c r="E3291" s="103"/>
      <c r="F3291" s="103"/>
      <c r="G3291" s="103"/>
      <c r="H3291" s="103"/>
      <c r="I3291" s="103"/>
      <c r="J3291" s="103"/>
      <c r="K3291" s="103"/>
      <c r="L3291" s="103"/>
      <c r="M3291" s="104"/>
      <c r="N3291" s="103"/>
    </row>
    <row r="3292" spans="1:14" ht="45" customHeight="1" thickBot="1" x14ac:dyDescent="0.4">
      <c r="A3292" s="103"/>
      <c r="B3292" s="103"/>
      <c r="C3292" s="103"/>
      <c r="D3292" s="103"/>
      <c r="E3292" s="103"/>
      <c r="F3292" s="103"/>
      <c r="G3292" s="103"/>
      <c r="H3292" s="103"/>
      <c r="I3292" s="103"/>
      <c r="J3292" s="103"/>
      <c r="K3292" s="103"/>
      <c r="L3292" s="103"/>
      <c r="M3292" s="104"/>
      <c r="N3292" s="103"/>
    </row>
    <row r="3293" spans="1:14" ht="45" customHeight="1" thickBot="1" x14ac:dyDescent="0.4">
      <c r="A3293" s="103"/>
      <c r="B3293" s="103"/>
      <c r="C3293" s="103"/>
      <c r="D3293" s="103"/>
      <c r="E3293" s="103"/>
      <c r="F3293" s="103"/>
      <c r="G3293" s="103"/>
      <c r="H3293" s="103"/>
      <c r="I3293" s="103"/>
      <c r="J3293" s="103"/>
      <c r="K3293" s="103"/>
      <c r="L3293" s="103"/>
      <c r="M3293" s="104"/>
      <c r="N3293" s="103"/>
    </row>
    <row r="3294" spans="1:14" ht="45" customHeight="1" thickBot="1" x14ac:dyDescent="0.4">
      <c r="A3294" s="103"/>
      <c r="B3294" s="103"/>
      <c r="C3294" s="103"/>
      <c r="D3294" s="103"/>
      <c r="E3294" s="103"/>
      <c r="F3294" s="103"/>
      <c r="G3294" s="103"/>
      <c r="H3294" s="103"/>
      <c r="I3294" s="103"/>
      <c r="J3294" s="103"/>
      <c r="K3294" s="103"/>
      <c r="L3294" s="103"/>
      <c r="M3294" s="104"/>
      <c r="N3294" s="103"/>
    </row>
    <row r="3295" spans="1:14" ht="45" customHeight="1" thickBot="1" x14ac:dyDescent="0.4">
      <c r="A3295" s="103"/>
      <c r="B3295" s="103"/>
      <c r="C3295" s="103"/>
      <c r="D3295" s="103"/>
      <c r="E3295" s="103"/>
      <c r="F3295" s="103"/>
      <c r="G3295" s="103"/>
      <c r="H3295" s="103"/>
      <c r="I3295" s="103"/>
      <c r="J3295" s="103"/>
      <c r="K3295" s="103"/>
      <c r="L3295" s="103"/>
      <c r="M3295" s="104"/>
      <c r="N3295" s="103"/>
    </row>
    <row r="3296" spans="1:14" ht="45" customHeight="1" thickBot="1" x14ac:dyDescent="0.4">
      <c r="A3296" s="103"/>
      <c r="B3296" s="103"/>
      <c r="C3296" s="103"/>
      <c r="D3296" s="103"/>
      <c r="E3296" s="103"/>
      <c r="F3296" s="103"/>
      <c r="G3296" s="103"/>
      <c r="H3296" s="103"/>
      <c r="I3296" s="103"/>
      <c r="J3296" s="103"/>
      <c r="K3296" s="103"/>
      <c r="L3296" s="103"/>
      <c r="M3296" s="104"/>
      <c r="N3296" s="103"/>
    </row>
    <row r="3297" spans="1:14" ht="45" customHeight="1" thickBot="1" x14ac:dyDescent="0.4">
      <c r="A3297" s="103"/>
      <c r="B3297" s="103"/>
      <c r="C3297" s="103"/>
      <c r="D3297" s="103"/>
      <c r="E3297" s="103"/>
      <c r="F3297" s="103"/>
      <c r="G3297" s="103"/>
      <c r="H3297" s="103"/>
      <c r="I3297" s="103"/>
      <c r="J3297" s="103"/>
      <c r="K3297" s="103"/>
      <c r="L3297" s="103"/>
      <c r="M3297" s="104"/>
      <c r="N3297" s="103"/>
    </row>
    <row r="3298" spans="1:14" ht="45" customHeight="1" thickBot="1" x14ac:dyDescent="0.4">
      <c r="A3298" s="103"/>
      <c r="B3298" s="103"/>
      <c r="C3298" s="103"/>
      <c r="D3298" s="103"/>
      <c r="E3298" s="103"/>
      <c r="F3298" s="103"/>
      <c r="G3298" s="103"/>
      <c r="H3298" s="103"/>
      <c r="I3298" s="103"/>
      <c r="J3298" s="103"/>
      <c r="K3298" s="103"/>
      <c r="L3298" s="103"/>
      <c r="M3298" s="104"/>
      <c r="N3298" s="103"/>
    </row>
    <row r="3299" spans="1:14" ht="45" customHeight="1" thickBot="1" x14ac:dyDescent="0.4">
      <c r="A3299" s="103"/>
      <c r="B3299" s="103"/>
      <c r="C3299" s="103"/>
      <c r="D3299" s="103"/>
      <c r="E3299" s="103"/>
      <c r="F3299" s="103"/>
      <c r="G3299" s="103"/>
      <c r="H3299" s="103"/>
      <c r="I3299" s="103"/>
      <c r="J3299" s="103"/>
      <c r="K3299" s="103"/>
      <c r="L3299" s="103"/>
      <c r="M3299" s="104"/>
      <c r="N3299" s="103"/>
    </row>
    <row r="3300" spans="1:14" ht="45" customHeight="1" thickBot="1" x14ac:dyDescent="0.4">
      <c r="A3300" s="103"/>
      <c r="B3300" s="103"/>
      <c r="C3300" s="103"/>
      <c r="D3300" s="103"/>
      <c r="E3300" s="103"/>
      <c r="F3300" s="103"/>
      <c r="G3300" s="103"/>
      <c r="H3300" s="103"/>
      <c r="I3300" s="103"/>
      <c r="J3300" s="103"/>
      <c r="K3300" s="103"/>
      <c r="L3300" s="103"/>
      <c r="M3300" s="104"/>
      <c r="N3300" s="103"/>
    </row>
    <row r="3301" spans="1:14" ht="45" customHeight="1" thickBot="1" x14ac:dyDescent="0.4">
      <c r="A3301" s="103"/>
      <c r="B3301" s="103"/>
      <c r="C3301" s="103"/>
      <c r="D3301" s="103"/>
      <c r="E3301" s="103"/>
      <c r="F3301" s="103"/>
      <c r="G3301" s="103"/>
      <c r="H3301" s="103"/>
      <c r="I3301" s="103"/>
      <c r="J3301" s="103"/>
      <c r="K3301" s="103"/>
      <c r="L3301" s="103"/>
      <c r="M3301" s="104"/>
      <c r="N3301" s="103"/>
    </row>
    <row r="3302" spans="1:14" ht="45" customHeight="1" thickBot="1" x14ac:dyDescent="0.4">
      <c r="A3302" s="103"/>
      <c r="B3302" s="103"/>
      <c r="C3302" s="103"/>
      <c r="D3302" s="103"/>
      <c r="E3302" s="103"/>
      <c r="F3302" s="103"/>
      <c r="G3302" s="103"/>
      <c r="H3302" s="103"/>
      <c r="I3302" s="103"/>
      <c r="J3302" s="103"/>
      <c r="K3302" s="103"/>
      <c r="L3302" s="103"/>
      <c r="M3302" s="104"/>
      <c r="N3302" s="103"/>
    </row>
    <row r="3303" spans="1:14" ht="45" customHeight="1" thickBot="1" x14ac:dyDescent="0.4">
      <c r="A3303" s="103"/>
      <c r="B3303" s="103"/>
      <c r="C3303" s="103"/>
      <c r="D3303" s="103"/>
      <c r="E3303" s="103"/>
      <c r="F3303" s="103"/>
      <c r="G3303" s="103"/>
      <c r="H3303" s="103"/>
      <c r="I3303" s="103"/>
      <c r="J3303" s="103"/>
      <c r="K3303" s="103"/>
      <c r="L3303" s="103"/>
      <c r="M3303" s="104"/>
      <c r="N3303" s="103"/>
    </row>
    <row r="3304" spans="1:14" ht="45" customHeight="1" thickBot="1" x14ac:dyDescent="0.4">
      <c r="A3304" s="103"/>
      <c r="B3304" s="103"/>
      <c r="C3304" s="103"/>
      <c r="D3304" s="103"/>
      <c r="E3304" s="103"/>
      <c r="F3304" s="103"/>
      <c r="G3304" s="103"/>
      <c r="H3304" s="103"/>
      <c r="I3304" s="103"/>
      <c r="J3304" s="103"/>
      <c r="K3304" s="103"/>
      <c r="L3304" s="103"/>
      <c r="M3304" s="104"/>
      <c r="N3304" s="103"/>
    </row>
    <row r="3305" spans="1:14" ht="45" customHeight="1" thickBot="1" x14ac:dyDescent="0.4">
      <c r="A3305" s="103"/>
      <c r="B3305" s="103"/>
      <c r="C3305" s="103"/>
      <c r="D3305" s="103"/>
      <c r="E3305" s="103"/>
      <c r="F3305" s="103"/>
      <c r="G3305" s="103"/>
      <c r="H3305" s="103"/>
      <c r="I3305" s="103"/>
      <c r="J3305" s="103"/>
      <c r="K3305" s="103"/>
      <c r="L3305" s="103"/>
      <c r="M3305" s="104"/>
      <c r="N3305" s="103"/>
    </row>
    <row r="3306" spans="1:14" ht="45" customHeight="1" thickBot="1" x14ac:dyDescent="0.4">
      <c r="A3306" s="103"/>
      <c r="B3306" s="103"/>
      <c r="C3306" s="103"/>
      <c r="D3306" s="103"/>
      <c r="E3306" s="103"/>
      <c r="F3306" s="103"/>
      <c r="G3306" s="103"/>
      <c r="H3306" s="103"/>
      <c r="I3306" s="103"/>
      <c r="J3306" s="103"/>
      <c r="K3306" s="103"/>
      <c r="L3306" s="103"/>
      <c r="M3306" s="104"/>
      <c r="N3306" s="103"/>
    </row>
    <row r="3307" spans="1:14" ht="45" customHeight="1" thickBot="1" x14ac:dyDescent="0.4">
      <c r="A3307" s="103"/>
      <c r="B3307" s="103"/>
      <c r="C3307" s="103"/>
      <c r="D3307" s="103"/>
      <c r="E3307" s="103"/>
      <c r="F3307" s="103"/>
      <c r="G3307" s="103"/>
      <c r="H3307" s="103"/>
      <c r="I3307" s="103"/>
      <c r="J3307" s="103"/>
      <c r="K3307" s="103"/>
      <c r="L3307" s="103"/>
      <c r="M3307" s="104"/>
      <c r="N3307" s="103"/>
    </row>
    <row r="3308" spans="1:14" ht="45" customHeight="1" thickBot="1" x14ac:dyDescent="0.4">
      <c r="A3308" s="103"/>
      <c r="B3308" s="103"/>
      <c r="C3308" s="103"/>
      <c r="D3308" s="103"/>
      <c r="E3308" s="103"/>
      <c r="F3308" s="103"/>
      <c r="G3308" s="103"/>
      <c r="H3308" s="103"/>
      <c r="I3308" s="103"/>
      <c r="J3308" s="103"/>
      <c r="K3308" s="103"/>
      <c r="L3308" s="103"/>
      <c r="M3308" s="104"/>
      <c r="N3308" s="103"/>
    </row>
    <row r="3309" spans="1:14" ht="45" customHeight="1" thickBot="1" x14ac:dyDescent="0.4">
      <c r="A3309" s="103"/>
      <c r="B3309" s="103"/>
      <c r="C3309" s="103"/>
      <c r="D3309" s="103"/>
      <c r="E3309" s="103"/>
      <c r="F3309" s="103"/>
      <c r="G3309" s="103"/>
      <c r="H3309" s="103"/>
      <c r="I3309" s="103"/>
      <c r="J3309" s="103"/>
      <c r="K3309" s="103"/>
      <c r="L3309" s="103"/>
      <c r="M3309" s="104"/>
      <c r="N3309" s="103"/>
    </row>
    <row r="3310" spans="1:14" ht="45" customHeight="1" thickBot="1" x14ac:dyDescent="0.4">
      <c r="A3310" s="103"/>
      <c r="B3310" s="103"/>
      <c r="C3310" s="103"/>
      <c r="D3310" s="103"/>
      <c r="E3310" s="103"/>
      <c r="F3310" s="103"/>
      <c r="G3310" s="103"/>
      <c r="H3310" s="103"/>
      <c r="I3310" s="103"/>
      <c r="J3310" s="103"/>
      <c r="K3310" s="103"/>
      <c r="L3310" s="103"/>
      <c r="M3310" s="104"/>
      <c r="N3310" s="103"/>
    </row>
    <row r="3311" spans="1:14" ht="45" customHeight="1" thickBot="1" x14ac:dyDescent="0.4">
      <c r="A3311" s="103"/>
      <c r="B3311" s="103"/>
      <c r="C3311" s="103"/>
      <c r="D3311" s="103"/>
      <c r="E3311" s="103"/>
      <c r="F3311" s="103"/>
      <c r="G3311" s="103"/>
      <c r="H3311" s="103"/>
      <c r="I3311" s="103"/>
      <c r="J3311" s="103"/>
      <c r="K3311" s="103"/>
      <c r="L3311" s="103"/>
      <c r="M3311" s="104"/>
      <c r="N3311" s="103"/>
    </row>
    <row r="3312" spans="1:14" ht="45" customHeight="1" thickBot="1" x14ac:dyDescent="0.4">
      <c r="A3312" s="103"/>
      <c r="B3312" s="103"/>
      <c r="C3312" s="103"/>
      <c r="D3312" s="103"/>
      <c r="E3312" s="103"/>
      <c r="F3312" s="103"/>
      <c r="G3312" s="103"/>
      <c r="H3312" s="103"/>
      <c r="I3312" s="103"/>
      <c r="J3312" s="103"/>
      <c r="K3312" s="103"/>
      <c r="L3312" s="103"/>
      <c r="M3312" s="104"/>
      <c r="N3312" s="103"/>
    </row>
    <row r="3313" spans="1:14" ht="45" customHeight="1" thickBot="1" x14ac:dyDescent="0.4">
      <c r="A3313" s="103"/>
      <c r="B3313" s="103"/>
      <c r="C3313" s="103"/>
      <c r="D3313" s="103"/>
      <c r="E3313" s="103"/>
      <c r="F3313" s="103"/>
      <c r="G3313" s="103"/>
      <c r="H3313" s="103"/>
      <c r="I3313" s="103"/>
      <c r="J3313" s="103"/>
      <c r="K3313" s="103"/>
      <c r="L3313" s="103"/>
      <c r="M3313" s="104"/>
      <c r="N3313" s="103"/>
    </row>
    <row r="3314" spans="1:14" ht="45" customHeight="1" thickBot="1" x14ac:dyDescent="0.4">
      <c r="A3314" s="103"/>
      <c r="B3314" s="103"/>
      <c r="C3314" s="103"/>
      <c r="D3314" s="103"/>
      <c r="E3314" s="103"/>
      <c r="F3314" s="103"/>
      <c r="G3314" s="103"/>
      <c r="H3314" s="103"/>
      <c r="I3314" s="103"/>
      <c r="J3314" s="103"/>
      <c r="K3314" s="103"/>
      <c r="L3314" s="103"/>
      <c r="M3314" s="104"/>
      <c r="N3314" s="103"/>
    </row>
    <row r="3315" spans="1:14" ht="45" customHeight="1" thickBot="1" x14ac:dyDescent="0.4">
      <c r="A3315" s="103"/>
      <c r="B3315" s="103"/>
      <c r="C3315" s="103"/>
      <c r="D3315" s="103"/>
      <c r="E3315" s="103"/>
      <c r="F3315" s="103"/>
      <c r="G3315" s="103"/>
      <c r="H3315" s="103"/>
      <c r="I3315" s="103"/>
      <c r="J3315" s="103"/>
      <c r="K3315" s="103"/>
      <c r="L3315" s="103"/>
      <c r="M3315" s="104"/>
      <c r="N3315" s="103"/>
    </row>
    <row r="3316" spans="1:14" ht="45" customHeight="1" thickBot="1" x14ac:dyDescent="0.4">
      <c r="A3316" s="103"/>
      <c r="B3316" s="103"/>
      <c r="C3316" s="103"/>
      <c r="D3316" s="103"/>
      <c r="E3316" s="103"/>
      <c r="F3316" s="103"/>
      <c r="G3316" s="103"/>
      <c r="H3316" s="103"/>
      <c r="I3316" s="103"/>
      <c r="J3316" s="103"/>
      <c r="K3316" s="103"/>
      <c r="L3316" s="103"/>
      <c r="M3316" s="104"/>
      <c r="N3316" s="103"/>
    </row>
    <row r="3317" spans="1:14" ht="45" customHeight="1" thickBot="1" x14ac:dyDescent="0.4">
      <c r="A3317" s="103"/>
      <c r="B3317" s="103"/>
      <c r="C3317" s="103"/>
      <c r="D3317" s="103"/>
      <c r="E3317" s="103"/>
      <c r="F3317" s="103"/>
      <c r="G3317" s="103"/>
      <c r="H3317" s="103"/>
      <c r="I3317" s="103"/>
      <c r="J3317" s="103"/>
      <c r="K3317" s="103"/>
      <c r="L3317" s="103"/>
      <c r="M3317" s="104"/>
      <c r="N3317" s="103"/>
    </row>
    <row r="3318" spans="1:14" ht="45" customHeight="1" thickBot="1" x14ac:dyDescent="0.4">
      <c r="A3318" s="103"/>
      <c r="B3318" s="103"/>
      <c r="C3318" s="103"/>
      <c r="D3318" s="103"/>
      <c r="E3318" s="103"/>
      <c r="F3318" s="103"/>
      <c r="G3318" s="103"/>
      <c r="H3318" s="103"/>
      <c r="I3318" s="103"/>
      <c r="J3318" s="103"/>
      <c r="K3318" s="103"/>
      <c r="L3318" s="103"/>
      <c r="M3318" s="104"/>
      <c r="N3318" s="103"/>
    </row>
    <row r="3319" spans="1:14" ht="45" customHeight="1" thickBot="1" x14ac:dyDescent="0.4">
      <c r="A3319" s="103"/>
      <c r="B3319" s="103"/>
      <c r="C3319" s="103"/>
      <c r="D3319" s="103"/>
      <c r="E3319" s="103"/>
      <c r="F3319" s="103"/>
      <c r="G3319" s="103"/>
      <c r="H3319" s="103"/>
      <c r="I3319" s="103"/>
      <c r="J3319" s="103"/>
      <c r="K3319" s="103"/>
      <c r="L3319" s="103"/>
      <c r="M3319" s="104"/>
      <c r="N3319" s="103"/>
    </row>
    <row r="3320" spans="1:14" ht="45" customHeight="1" thickBot="1" x14ac:dyDescent="0.4">
      <c r="A3320" s="103"/>
      <c r="B3320" s="103"/>
      <c r="C3320" s="103"/>
      <c r="D3320" s="103"/>
      <c r="E3320" s="103"/>
      <c r="F3320" s="103"/>
      <c r="G3320" s="103"/>
      <c r="H3320" s="103"/>
      <c r="I3320" s="103"/>
      <c r="J3320" s="103"/>
      <c r="K3320" s="103"/>
      <c r="L3320" s="103"/>
      <c r="M3320" s="104"/>
      <c r="N3320" s="103"/>
    </row>
    <row r="3321" spans="1:14" ht="45" customHeight="1" thickBot="1" x14ac:dyDescent="0.4">
      <c r="A3321" s="103"/>
      <c r="B3321" s="103"/>
      <c r="C3321" s="103"/>
      <c r="D3321" s="103"/>
      <c r="E3321" s="103"/>
      <c r="F3321" s="103"/>
      <c r="G3321" s="103"/>
      <c r="H3321" s="103"/>
      <c r="I3321" s="103"/>
      <c r="J3321" s="103"/>
      <c r="K3321" s="103"/>
      <c r="L3321" s="103"/>
      <c r="M3321" s="104"/>
      <c r="N3321" s="103"/>
    </row>
    <row r="3322" spans="1:14" ht="45" customHeight="1" thickBot="1" x14ac:dyDescent="0.4">
      <c r="A3322" s="103"/>
      <c r="B3322" s="103"/>
      <c r="C3322" s="103"/>
      <c r="D3322" s="103"/>
      <c r="E3322" s="103"/>
      <c r="F3322" s="103"/>
      <c r="G3322" s="103"/>
      <c r="H3322" s="103"/>
      <c r="I3322" s="103"/>
      <c r="J3322" s="103"/>
      <c r="K3322" s="103"/>
      <c r="L3322" s="103"/>
      <c r="M3322" s="104"/>
      <c r="N3322" s="103"/>
    </row>
    <row r="3323" spans="1:14" ht="45" customHeight="1" thickBot="1" x14ac:dyDescent="0.4">
      <c r="A3323" s="103"/>
      <c r="B3323" s="103"/>
      <c r="C3323" s="103"/>
      <c r="D3323" s="103"/>
      <c r="E3323" s="103"/>
      <c r="F3323" s="103"/>
      <c r="G3323" s="103"/>
      <c r="H3323" s="103"/>
      <c r="I3323" s="103"/>
      <c r="J3323" s="103"/>
      <c r="K3323" s="103"/>
      <c r="L3323" s="103"/>
      <c r="M3323" s="104"/>
      <c r="N3323" s="103"/>
    </row>
    <row r="3324" spans="1:14" ht="45" customHeight="1" thickBot="1" x14ac:dyDescent="0.4">
      <c r="A3324" s="103"/>
      <c r="B3324" s="103"/>
      <c r="C3324" s="103"/>
      <c r="D3324" s="103"/>
      <c r="E3324" s="103"/>
      <c r="F3324" s="103"/>
      <c r="G3324" s="103"/>
      <c r="H3324" s="103"/>
      <c r="I3324" s="103"/>
      <c r="J3324" s="103"/>
      <c r="K3324" s="103"/>
      <c r="L3324" s="103"/>
      <c r="M3324" s="104"/>
      <c r="N3324" s="103"/>
    </row>
    <row r="3325" spans="1:14" ht="45" customHeight="1" thickBot="1" x14ac:dyDescent="0.4">
      <c r="A3325" s="103"/>
      <c r="B3325" s="103"/>
      <c r="C3325" s="103"/>
      <c r="D3325" s="103"/>
      <c r="E3325" s="103"/>
      <c r="F3325" s="103"/>
      <c r="G3325" s="103"/>
      <c r="H3325" s="103"/>
      <c r="I3325" s="103"/>
      <c r="J3325" s="103"/>
      <c r="K3325" s="103"/>
      <c r="L3325" s="103"/>
      <c r="M3325" s="104"/>
      <c r="N3325" s="103"/>
    </row>
    <row r="3326" spans="1:14" ht="45" customHeight="1" thickBot="1" x14ac:dyDescent="0.4">
      <c r="A3326" s="103"/>
      <c r="B3326" s="103"/>
      <c r="C3326" s="103"/>
      <c r="D3326" s="103"/>
      <c r="E3326" s="103"/>
      <c r="F3326" s="103"/>
      <c r="G3326" s="103"/>
      <c r="H3326" s="103"/>
      <c r="I3326" s="103"/>
      <c r="J3326" s="103"/>
      <c r="K3326" s="103"/>
      <c r="L3326" s="103"/>
      <c r="M3326" s="104"/>
      <c r="N3326" s="103"/>
    </row>
    <row r="3327" spans="1:14" ht="45" customHeight="1" thickBot="1" x14ac:dyDescent="0.4">
      <c r="A3327" s="103"/>
      <c r="B3327" s="103"/>
      <c r="C3327" s="103"/>
      <c r="D3327" s="103"/>
      <c r="E3327" s="103"/>
      <c r="F3327" s="103"/>
      <c r="G3327" s="103"/>
      <c r="H3327" s="103"/>
      <c r="I3327" s="103"/>
      <c r="J3327" s="103"/>
      <c r="K3327" s="103"/>
      <c r="L3327" s="103"/>
      <c r="M3327" s="104"/>
      <c r="N3327" s="103"/>
    </row>
    <row r="3328" spans="1:14" ht="45" customHeight="1" thickBot="1" x14ac:dyDescent="0.4">
      <c r="A3328" s="103"/>
      <c r="B3328" s="103"/>
      <c r="C3328" s="103"/>
      <c r="D3328" s="103"/>
      <c r="E3328" s="103"/>
      <c r="F3328" s="103"/>
      <c r="G3328" s="103"/>
      <c r="H3328" s="103"/>
      <c r="I3328" s="103"/>
      <c r="J3328" s="103"/>
      <c r="K3328" s="103"/>
      <c r="L3328" s="103"/>
      <c r="M3328" s="104"/>
      <c r="N3328" s="103"/>
    </row>
    <row r="3329" spans="1:14" ht="45" customHeight="1" thickBot="1" x14ac:dyDescent="0.4">
      <c r="A3329" s="103"/>
      <c r="B3329" s="103"/>
      <c r="C3329" s="103"/>
      <c r="D3329" s="103"/>
      <c r="E3329" s="103"/>
      <c r="F3329" s="103"/>
      <c r="G3329" s="103"/>
      <c r="H3329" s="103"/>
      <c r="I3329" s="103"/>
      <c r="J3329" s="103"/>
      <c r="K3329" s="103"/>
      <c r="L3329" s="103"/>
      <c r="M3329" s="104"/>
      <c r="N3329" s="103"/>
    </row>
    <row r="3330" spans="1:14" ht="45" customHeight="1" thickBot="1" x14ac:dyDescent="0.4">
      <c r="A3330" s="103"/>
      <c r="B3330" s="103"/>
      <c r="C3330" s="103"/>
      <c r="D3330" s="103"/>
      <c r="E3330" s="103"/>
      <c r="F3330" s="103"/>
      <c r="G3330" s="103"/>
      <c r="H3330" s="103"/>
      <c r="I3330" s="103"/>
      <c r="J3330" s="103"/>
      <c r="K3330" s="103"/>
      <c r="L3330" s="103"/>
      <c r="M3330" s="104"/>
      <c r="N3330" s="103"/>
    </row>
    <row r="3331" spans="1:14" ht="45" customHeight="1" thickBot="1" x14ac:dyDescent="0.4">
      <c r="A3331" s="103"/>
      <c r="B3331" s="103"/>
      <c r="C3331" s="103"/>
      <c r="D3331" s="103"/>
      <c r="E3331" s="103"/>
      <c r="F3331" s="103"/>
      <c r="G3331" s="103"/>
      <c r="H3331" s="103"/>
      <c r="I3331" s="103"/>
      <c r="J3331" s="103"/>
      <c r="K3331" s="103"/>
      <c r="L3331" s="103"/>
      <c r="M3331" s="104"/>
      <c r="N3331" s="103"/>
    </row>
    <row r="3332" spans="1:14" ht="45" customHeight="1" thickBot="1" x14ac:dyDescent="0.4">
      <c r="A3332" s="103"/>
      <c r="B3332" s="103"/>
      <c r="C3332" s="103"/>
      <c r="D3332" s="103"/>
      <c r="E3332" s="103"/>
      <c r="F3332" s="103"/>
      <c r="G3332" s="103"/>
      <c r="H3332" s="103"/>
      <c r="I3332" s="103"/>
      <c r="J3332" s="103"/>
      <c r="K3332" s="103"/>
      <c r="L3332" s="103"/>
      <c r="M3332" s="104"/>
      <c r="N3332" s="103"/>
    </row>
    <row r="3333" spans="1:14" ht="45" customHeight="1" thickBot="1" x14ac:dyDescent="0.4">
      <c r="A3333" s="103"/>
      <c r="B3333" s="103"/>
      <c r="C3333" s="103"/>
      <c r="D3333" s="103"/>
      <c r="E3333" s="103"/>
      <c r="F3333" s="103"/>
      <c r="G3333" s="103"/>
      <c r="H3333" s="103"/>
      <c r="I3333" s="103"/>
      <c r="J3333" s="103"/>
      <c r="K3333" s="103"/>
      <c r="L3333" s="103"/>
      <c r="M3333" s="104"/>
      <c r="N3333" s="103"/>
    </row>
    <row r="3334" spans="1:14" ht="45" customHeight="1" thickBot="1" x14ac:dyDescent="0.4">
      <c r="A3334" s="103"/>
      <c r="B3334" s="103"/>
      <c r="C3334" s="103"/>
      <c r="D3334" s="103"/>
      <c r="E3334" s="103"/>
      <c r="F3334" s="103"/>
      <c r="G3334" s="103"/>
      <c r="H3334" s="103"/>
      <c r="I3334" s="103"/>
      <c r="J3334" s="103"/>
      <c r="K3334" s="103"/>
      <c r="L3334" s="103"/>
      <c r="M3334" s="104"/>
      <c r="N3334" s="103"/>
    </row>
    <row r="3335" spans="1:14" ht="45" customHeight="1" thickBot="1" x14ac:dyDescent="0.4">
      <c r="A3335" s="103"/>
      <c r="B3335" s="103"/>
      <c r="C3335" s="103"/>
      <c r="D3335" s="103"/>
      <c r="E3335" s="103"/>
      <c r="F3335" s="103"/>
      <c r="G3335" s="103"/>
      <c r="H3335" s="103"/>
      <c r="I3335" s="103"/>
      <c r="J3335" s="103"/>
      <c r="K3335" s="103"/>
      <c r="L3335" s="103"/>
      <c r="M3335" s="104"/>
      <c r="N3335" s="103"/>
    </row>
    <row r="3336" spans="1:14" ht="45" customHeight="1" thickBot="1" x14ac:dyDescent="0.4">
      <c r="A3336" s="103"/>
      <c r="B3336" s="103"/>
      <c r="C3336" s="103"/>
      <c r="D3336" s="103"/>
      <c r="E3336" s="103"/>
      <c r="F3336" s="103"/>
      <c r="G3336" s="103"/>
      <c r="H3336" s="103"/>
      <c r="I3336" s="103"/>
      <c r="J3336" s="103"/>
      <c r="K3336" s="103"/>
      <c r="L3336" s="103"/>
      <c r="M3336" s="104"/>
      <c r="N3336" s="103"/>
    </row>
    <row r="3337" spans="1:14" ht="45" customHeight="1" thickBot="1" x14ac:dyDescent="0.4">
      <c r="A3337" s="103"/>
      <c r="B3337" s="103"/>
      <c r="C3337" s="103"/>
      <c r="D3337" s="103"/>
      <c r="E3337" s="103"/>
      <c r="F3337" s="103"/>
      <c r="G3337" s="103"/>
      <c r="H3337" s="103"/>
      <c r="I3337" s="103"/>
      <c r="J3337" s="103"/>
      <c r="K3337" s="103"/>
      <c r="L3337" s="103"/>
      <c r="M3337" s="104"/>
      <c r="N3337" s="103"/>
    </row>
    <row r="3338" spans="1:14" ht="45" customHeight="1" thickBot="1" x14ac:dyDescent="0.4">
      <c r="A3338" s="103"/>
      <c r="B3338" s="103"/>
      <c r="C3338" s="103"/>
      <c r="D3338" s="103"/>
      <c r="E3338" s="103"/>
      <c r="F3338" s="103"/>
      <c r="G3338" s="103"/>
      <c r="H3338" s="103"/>
      <c r="I3338" s="103"/>
      <c r="J3338" s="103"/>
      <c r="K3338" s="103"/>
      <c r="L3338" s="103"/>
      <c r="M3338" s="104"/>
      <c r="N3338" s="103"/>
    </row>
    <row r="3339" spans="1:14" ht="45" customHeight="1" thickBot="1" x14ac:dyDescent="0.4">
      <c r="A3339" s="103"/>
      <c r="B3339" s="103"/>
      <c r="C3339" s="103"/>
      <c r="D3339" s="103"/>
      <c r="E3339" s="103"/>
      <c r="F3339" s="103"/>
      <c r="G3339" s="103"/>
      <c r="H3339" s="103"/>
      <c r="I3339" s="103"/>
      <c r="J3339" s="103"/>
      <c r="K3339" s="103"/>
      <c r="L3339" s="103"/>
      <c r="M3339" s="104"/>
      <c r="N3339" s="103"/>
    </row>
    <row r="3340" spans="1:14" ht="45" customHeight="1" thickBot="1" x14ac:dyDescent="0.4">
      <c r="A3340" s="103"/>
      <c r="B3340" s="103"/>
      <c r="C3340" s="103"/>
      <c r="D3340" s="103"/>
      <c r="E3340" s="103"/>
      <c r="F3340" s="103"/>
      <c r="G3340" s="103"/>
      <c r="H3340" s="103"/>
      <c r="I3340" s="103"/>
      <c r="J3340" s="103"/>
      <c r="K3340" s="103"/>
      <c r="L3340" s="103"/>
      <c r="M3340" s="104"/>
      <c r="N3340" s="103"/>
    </row>
    <row r="3341" spans="1:14" ht="45" customHeight="1" thickBot="1" x14ac:dyDescent="0.4">
      <c r="A3341" s="103"/>
      <c r="B3341" s="103"/>
      <c r="C3341" s="103"/>
      <c r="D3341" s="103"/>
      <c r="E3341" s="103"/>
      <c r="F3341" s="103"/>
      <c r="G3341" s="103"/>
      <c r="H3341" s="103"/>
      <c r="I3341" s="103"/>
      <c r="J3341" s="103"/>
      <c r="K3341" s="103"/>
      <c r="L3341" s="103"/>
      <c r="M3341" s="104"/>
      <c r="N3341" s="103"/>
    </row>
    <row r="3342" spans="1:14" ht="45" customHeight="1" thickBot="1" x14ac:dyDescent="0.4">
      <c r="A3342" s="103"/>
      <c r="B3342" s="103"/>
      <c r="C3342" s="103"/>
      <c r="D3342" s="103"/>
      <c r="E3342" s="103"/>
      <c r="F3342" s="103"/>
      <c r="G3342" s="103"/>
      <c r="H3342" s="103"/>
      <c r="I3342" s="103"/>
      <c r="J3342" s="103"/>
      <c r="K3342" s="103"/>
      <c r="L3342" s="103"/>
      <c r="M3342" s="104"/>
      <c r="N3342" s="103"/>
    </row>
    <row r="3343" spans="1:14" ht="45" customHeight="1" thickBot="1" x14ac:dyDescent="0.4">
      <c r="A3343" s="103"/>
      <c r="B3343" s="103"/>
      <c r="C3343" s="103"/>
      <c r="D3343" s="103"/>
      <c r="E3343" s="103"/>
      <c r="F3343" s="103"/>
      <c r="G3343" s="103"/>
      <c r="H3343" s="103"/>
      <c r="I3343" s="103"/>
      <c r="J3343" s="103"/>
      <c r="K3343" s="103"/>
      <c r="L3343" s="103"/>
      <c r="M3343" s="104"/>
      <c r="N3343" s="103"/>
    </row>
    <row r="3344" spans="1:14" ht="45" customHeight="1" thickBot="1" x14ac:dyDescent="0.4">
      <c r="A3344" s="103"/>
      <c r="B3344" s="103"/>
      <c r="C3344" s="103"/>
      <c r="D3344" s="103"/>
      <c r="E3344" s="103"/>
      <c r="F3344" s="103"/>
      <c r="G3344" s="103"/>
      <c r="H3344" s="103"/>
      <c r="I3344" s="103"/>
      <c r="J3344" s="103"/>
      <c r="K3344" s="103"/>
      <c r="L3344" s="103"/>
      <c r="M3344" s="104"/>
      <c r="N3344" s="103"/>
    </row>
    <row r="3345" spans="1:14" ht="45" customHeight="1" thickBot="1" x14ac:dyDescent="0.4">
      <c r="A3345" s="103"/>
      <c r="B3345" s="103"/>
      <c r="C3345" s="103"/>
      <c r="D3345" s="103"/>
      <c r="E3345" s="103"/>
      <c r="F3345" s="103"/>
      <c r="G3345" s="103"/>
      <c r="H3345" s="103"/>
      <c r="I3345" s="103"/>
      <c r="J3345" s="103"/>
      <c r="K3345" s="103"/>
      <c r="L3345" s="103"/>
      <c r="M3345" s="104"/>
      <c r="N3345" s="103"/>
    </row>
    <row r="3346" spans="1:14" ht="45" customHeight="1" thickBot="1" x14ac:dyDescent="0.4">
      <c r="A3346" s="103"/>
      <c r="B3346" s="103"/>
      <c r="C3346" s="103"/>
      <c r="D3346" s="103"/>
      <c r="E3346" s="103"/>
      <c r="F3346" s="103"/>
      <c r="G3346" s="103"/>
      <c r="H3346" s="103"/>
      <c r="I3346" s="103"/>
      <c r="J3346" s="103"/>
      <c r="K3346" s="103"/>
      <c r="L3346" s="103"/>
      <c r="M3346" s="104"/>
      <c r="N3346" s="103"/>
    </row>
    <row r="3347" spans="1:14" ht="45" customHeight="1" thickBot="1" x14ac:dyDescent="0.4">
      <c r="A3347" s="103"/>
      <c r="B3347" s="103"/>
      <c r="C3347" s="103"/>
      <c r="D3347" s="103"/>
      <c r="E3347" s="103"/>
      <c r="F3347" s="103"/>
      <c r="G3347" s="103"/>
      <c r="H3347" s="103"/>
      <c r="I3347" s="103"/>
      <c r="J3347" s="103"/>
      <c r="K3347" s="103"/>
      <c r="L3347" s="103"/>
      <c r="M3347" s="104"/>
      <c r="N3347" s="103"/>
    </row>
    <row r="3348" spans="1:14" ht="45" customHeight="1" thickBot="1" x14ac:dyDescent="0.4">
      <c r="A3348" s="103"/>
      <c r="B3348" s="103"/>
      <c r="C3348" s="103"/>
      <c r="D3348" s="103"/>
      <c r="E3348" s="103"/>
      <c r="F3348" s="103"/>
      <c r="G3348" s="103"/>
      <c r="H3348" s="103"/>
      <c r="I3348" s="103"/>
      <c r="J3348" s="103"/>
      <c r="K3348" s="103"/>
      <c r="L3348" s="103"/>
      <c r="M3348" s="104"/>
      <c r="N3348" s="103"/>
    </row>
    <row r="3349" spans="1:14" ht="45" customHeight="1" thickBot="1" x14ac:dyDescent="0.4">
      <c r="A3349" s="103"/>
      <c r="B3349" s="103"/>
      <c r="C3349" s="103"/>
      <c r="D3349" s="103"/>
      <c r="E3349" s="103"/>
      <c r="F3349" s="103"/>
      <c r="G3349" s="103"/>
      <c r="H3349" s="103"/>
      <c r="I3349" s="103"/>
      <c r="J3349" s="103"/>
      <c r="K3349" s="103"/>
      <c r="L3349" s="103"/>
      <c r="M3349" s="104"/>
      <c r="N3349" s="103"/>
    </row>
    <row r="3350" spans="1:14" ht="45" customHeight="1" thickBot="1" x14ac:dyDescent="0.4">
      <c r="A3350" s="103"/>
      <c r="B3350" s="103"/>
      <c r="C3350" s="103"/>
      <c r="D3350" s="103"/>
      <c r="E3350" s="103"/>
      <c r="F3350" s="103"/>
      <c r="G3350" s="103"/>
      <c r="H3350" s="103"/>
      <c r="I3350" s="103"/>
      <c r="J3350" s="103"/>
      <c r="K3350" s="103"/>
      <c r="L3350" s="103"/>
      <c r="M3350" s="104"/>
      <c r="N3350" s="103"/>
    </row>
    <row r="3351" spans="1:14" ht="45" customHeight="1" thickBot="1" x14ac:dyDescent="0.4">
      <c r="A3351" s="103"/>
      <c r="B3351" s="103"/>
      <c r="C3351" s="103"/>
      <c r="D3351" s="103"/>
      <c r="E3351" s="103"/>
      <c r="F3351" s="103"/>
      <c r="G3351" s="103"/>
      <c r="H3351" s="103"/>
      <c r="I3351" s="103"/>
      <c r="J3351" s="103"/>
      <c r="K3351" s="103"/>
      <c r="L3351" s="103"/>
      <c r="M3351" s="104"/>
      <c r="N3351" s="103"/>
    </row>
    <row r="3352" spans="1:14" ht="45" customHeight="1" thickBot="1" x14ac:dyDescent="0.4">
      <c r="A3352" s="103"/>
      <c r="B3352" s="103"/>
      <c r="C3352" s="103"/>
      <c r="D3352" s="103"/>
      <c r="E3352" s="103"/>
      <c r="F3352" s="103"/>
      <c r="G3352" s="103"/>
      <c r="H3352" s="103"/>
      <c r="I3352" s="103"/>
      <c r="J3352" s="103"/>
      <c r="K3352" s="103"/>
      <c r="L3352" s="103"/>
      <c r="M3352" s="104"/>
      <c r="N3352" s="103"/>
    </row>
    <row r="3353" spans="1:14" ht="45" customHeight="1" thickBot="1" x14ac:dyDescent="0.4">
      <c r="A3353" s="103"/>
      <c r="B3353" s="103"/>
      <c r="C3353" s="103"/>
      <c r="D3353" s="103"/>
      <c r="E3353" s="103"/>
      <c r="F3353" s="103"/>
      <c r="G3353" s="103"/>
      <c r="H3353" s="103"/>
      <c r="I3353" s="103"/>
      <c r="J3353" s="103"/>
      <c r="K3353" s="103"/>
      <c r="L3353" s="103"/>
      <c r="M3353" s="104"/>
      <c r="N3353" s="103"/>
    </row>
    <row r="3354" spans="1:14" ht="45" customHeight="1" thickBot="1" x14ac:dyDescent="0.4">
      <c r="A3354" s="103"/>
      <c r="B3354" s="103"/>
      <c r="C3354" s="103"/>
      <c r="D3354" s="103"/>
      <c r="E3354" s="103"/>
      <c r="F3354" s="103"/>
      <c r="G3354" s="103"/>
      <c r="H3354" s="103"/>
      <c r="I3354" s="103"/>
      <c r="J3354" s="103"/>
      <c r="K3354" s="103"/>
      <c r="L3354" s="103"/>
      <c r="M3354" s="104"/>
      <c r="N3354" s="103"/>
    </row>
    <row r="3355" spans="1:14" ht="45" customHeight="1" thickBot="1" x14ac:dyDescent="0.4">
      <c r="A3355" s="103"/>
      <c r="B3355" s="103"/>
      <c r="C3355" s="103"/>
      <c r="D3355" s="103"/>
      <c r="E3355" s="103"/>
      <c r="F3355" s="103"/>
      <c r="G3355" s="103"/>
      <c r="H3355" s="103"/>
      <c r="I3355" s="103"/>
      <c r="J3355" s="103"/>
      <c r="K3355" s="103"/>
      <c r="L3355" s="103"/>
      <c r="M3355" s="104"/>
      <c r="N3355" s="103"/>
    </row>
    <row r="3356" spans="1:14" ht="45" customHeight="1" thickBot="1" x14ac:dyDescent="0.4">
      <c r="A3356" s="103"/>
      <c r="B3356" s="103"/>
      <c r="C3356" s="103"/>
      <c r="D3356" s="103"/>
      <c r="E3356" s="103"/>
      <c r="F3356" s="103"/>
      <c r="G3356" s="103"/>
      <c r="H3356" s="103"/>
      <c r="I3356" s="103"/>
      <c r="J3356" s="103"/>
      <c r="K3356" s="103"/>
      <c r="L3356" s="103"/>
      <c r="M3356" s="104"/>
      <c r="N3356" s="103"/>
    </row>
    <row r="3357" spans="1:14" ht="45" customHeight="1" thickBot="1" x14ac:dyDescent="0.4">
      <c r="A3357" s="103"/>
      <c r="B3357" s="103"/>
      <c r="C3357" s="103"/>
      <c r="D3357" s="103"/>
      <c r="E3357" s="103"/>
      <c r="F3357" s="103"/>
      <c r="G3357" s="103"/>
      <c r="H3357" s="103"/>
      <c r="I3357" s="103"/>
      <c r="J3357" s="103"/>
      <c r="K3357" s="103"/>
      <c r="L3357" s="103"/>
      <c r="M3357" s="104"/>
      <c r="N3357" s="103"/>
    </row>
    <row r="3358" spans="1:14" ht="45" customHeight="1" thickBot="1" x14ac:dyDescent="0.4">
      <c r="A3358" s="103"/>
      <c r="B3358" s="103"/>
      <c r="C3358" s="103"/>
      <c r="D3358" s="103"/>
      <c r="E3358" s="103"/>
      <c r="F3358" s="103"/>
      <c r="G3358" s="103"/>
      <c r="H3358" s="103"/>
      <c r="I3358" s="103"/>
      <c r="J3358" s="103"/>
      <c r="K3358" s="103"/>
      <c r="L3358" s="103"/>
      <c r="M3358" s="104"/>
      <c r="N3358" s="103"/>
    </row>
    <row r="3359" spans="1:14" ht="45" customHeight="1" thickBot="1" x14ac:dyDescent="0.4">
      <c r="A3359" s="103"/>
      <c r="B3359" s="103"/>
      <c r="C3359" s="103"/>
      <c r="D3359" s="103"/>
      <c r="E3359" s="103"/>
      <c r="F3359" s="103"/>
      <c r="G3359" s="103"/>
      <c r="H3359" s="103"/>
      <c r="I3359" s="103"/>
      <c r="J3359" s="103"/>
      <c r="K3359" s="103"/>
      <c r="L3359" s="103"/>
      <c r="M3359" s="104"/>
      <c r="N3359" s="103"/>
    </row>
    <row r="3360" spans="1:14" ht="45" customHeight="1" thickBot="1" x14ac:dyDescent="0.4">
      <c r="A3360" s="103"/>
      <c r="B3360" s="103"/>
      <c r="C3360" s="103"/>
      <c r="D3360" s="103"/>
      <c r="E3360" s="103"/>
      <c r="F3360" s="103"/>
      <c r="G3360" s="103"/>
      <c r="H3360" s="103"/>
      <c r="I3360" s="103"/>
      <c r="J3360" s="103"/>
      <c r="K3360" s="103"/>
      <c r="L3360" s="103"/>
      <c r="M3360" s="104"/>
      <c r="N3360" s="103"/>
    </row>
    <row r="3361" spans="1:14" ht="45" customHeight="1" thickBot="1" x14ac:dyDescent="0.4">
      <c r="A3361" s="103"/>
      <c r="B3361" s="103"/>
      <c r="C3361" s="103"/>
      <c r="D3361" s="103"/>
      <c r="E3361" s="103"/>
      <c r="F3361" s="103"/>
      <c r="G3361" s="103"/>
      <c r="H3361" s="103"/>
      <c r="I3361" s="103"/>
      <c r="J3361" s="103"/>
      <c r="K3361" s="103"/>
      <c r="L3361" s="103"/>
      <c r="M3361" s="104"/>
      <c r="N3361" s="103"/>
    </row>
    <row r="3362" spans="1:14" ht="45" customHeight="1" thickBot="1" x14ac:dyDescent="0.4">
      <c r="A3362" s="103"/>
      <c r="B3362" s="103"/>
      <c r="C3362" s="103"/>
      <c r="D3362" s="103"/>
      <c r="E3362" s="103"/>
      <c r="F3362" s="103"/>
      <c r="G3362" s="103"/>
      <c r="H3362" s="103"/>
      <c r="I3362" s="103"/>
      <c r="J3362" s="103"/>
      <c r="K3362" s="103"/>
      <c r="L3362" s="103"/>
      <c r="M3362" s="104"/>
      <c r="N3362" s="103"/>
    </row>
    <row r="3363" spans="1:14" ht="45" customHeight="1" thickBot="1" x14ac:dyDescent="0.4">
      <c r="A3363" s="103"/>
      <c r="B3363" s="103"/>
      <c r="C3363" s="103"/>
      <c r="D3363" s="103"/>
      <c r="E3363" s="103"/>
      <c r="F3363" s="103"/>
      <c r="G3363" s="103"/>
      <c r="H3363" s="103"/>
      <c r="I3363" s="103"/>
      <c r="J3363" s="103"/>
      <c r="K3363" s="103"/>
      <c r="L3363" s="103"/>
      <c r="M3363" s="104"/>
      <c r="N3363" s="103"/>
    </row>
    <row r="3364" spans="1:14" ht="45" customHeight="1" thickBot="1" x14ac:dyDescent="0.4">
      <c r="A3364" s="103"/>
      <c r="B3364" s="103"/>
      <c r="C3364" s="103"/>
      <c r="D3364" s="103"/>
      <c r="E3364" s="103"/>
      <c r="F3364" s="103"/>
      <c r="G3364" s="103"/>
      <c r="H3364" s="103"/>
      <c r="I3364" s="103"/>
      <c r="J3364" s="103"/>
      <c r="K3364" s="103"/>
      <c r="L3364" s="103"/>
      <c r="M3364" s="104"/>
      <c r="N3364" s="103"/>
    </row>
    <row r="3365" spans="1:14" ht="45" customHeight="1" thickBot="1" x14ac:dyDescent="0.4">
      <c r="A3365" s="103"/>
      <c r="B3365" s="103"/>
      <c r="C3365" s="103"/>
      <c r="D3365" s="103"/>
      <c r="E3365" s="103"/>
      <c r="F3365" s="103"/>
      <c r="G3365" s="103"/>
      <c r="H3365" s="103"/>
      <c r="I3365" s="103"/>
      <c r="J3365" s="103"/>
      <c r="K3365" s="103"/>
      <c r="L3365" s="103"/>
      <c r="M3365" s="104"/>
      <c r="N3365" s="103"/>
    </row>
    <row r="3366" spans="1:14" ht="45" customHeight="1" thickBot="1" x14ac:dyDescent="0.4">
      <c r="A3366" s="103"/>
      <c r="B3366" s="103"/>
      <c r="C3366" s="103"/>
      <c r="D3366" s="103"/>
      <c r="E3366" s="103"/>
      <c r="F3366" s="103"/>
      <c r="G3366" s="103"/>
      <c r="H3366" s="103"/>
      <c r="I3366" s="103"/>
      <c r="J3366" s="103"/>
      <c r="K3366" s="103"/>
      <c r="L3366" s="103"/>
      <c r="M3366" s="104"/>
      <c r="N3366" s="103"/>
    </row>
    <row r="3367" spans="1:14" ht="45" customHeight="1" thickBot="1" x14ac:dyDescent="0.4">
      <c r="A3367" s="103"/>
      <c r="B3367" s="103"/>
      <c r="C3367" s="103"/>
      <c r="D3367" s="103"/>
      <c r="E3367" s="103"/>
      <c r="F3367" s="103"/>
      <c r="G3367" s="103"/>
      <c r="H3367" s="103"/>
      <c r="I3367" s="103"/>
      <c r="J3367" s="103"/>
      <c r="K3367" s="103"/>
      <c r="L3367" s="103"/>
      <c r="M3367" s="104"/>
      <c r="N3367" s="103"/>
    </row>
    <row r="3368" spans="1:14" ht="45" customHeight="1" thickBot="1" x14ac:dyDescent="0.4">
      <c r="A3368" s="103"/>
      <c r="B3368" s="103"/>
      <c r="C3368" s="103"/>
      <c r="D3368" s="103"/>
      <c r="E3368" s="103"/>
      <c r="F3368" s="103"/>
      <c r="G3368" s="103"/>
      <c r="H3368" s="103"/>
      <c r="I3368" s="103"/>
      <c r="J3368" s="103"/>
      <c r="K3368" s="103"/>
      <c r="L3368" s="103"/>
      <c r="M3368" s="104"/>
      <c r="N3368" s="103"/>
    </row>
    <row r="3369" spans="1:14" ht="45" customHeight="1" thickBot="1" x14ac:dyDescent="0.4">
      <c r="A3369" s="103"/>
      <c r="B3369" s="103"/>
      <c r="C3369" s="103"/>
      <c r="D3369" s="103"/>
      <c r="E3369" s="103"/>
      <c r="F3369" s="103"/>
      <c r="G3369" s="103"/>
      <c r="H3369" s="103"/>
      <c r="I3369" s="103"/>
      <c r="J3369" s="103"/>
      <c r="K3369" s="103"/>
      <c r="L3369" s="103"/>
      <c r="M3369" s="104"/>
      <c r="N3369" s="103"/>
    </row>
    <row r="3370" spans="1:14" ht="45" customHeight="1" thickBot="1" x14ac:dyDescent="0.4">
      <c r="A3370" s="103"/>
      <c r="B3370" s="103"/>
      <c r="C3370" s="103"/>
      <c r="D3370" s="103"/>
      <c r="E3370" s="103"/>
      <c r="F3370" s="103"/>
      <c r="G3370" s="103"/>
      <c r="H3370" s="103"/>
      <c r="I3370" s="103"/>
      <c r="J3370" s="103"/>
      <c r="K3370" s="103"/>
      <c r="L3370" s="103"/>
      <c r="M3370" s="104"/>
      <c r="N3370" s="103"/>
    </row>
    <row r="3371" spans="1:14" ht="45" customHeight="1" thickBot="1" x14ac:dyDescent="0.4">
      <c r="A3371" s="103"/>
      <c r="B3371" s="103"/>
      <c r="C3371" s="103"/>
      <c r="D3371" s="103"/>
      <c r="E3371" s="103"/>
      <c r="F3371" s="103"/>
      <c r="G3371" s="103"/>
      <c r="H3371" s="103"/>
      <c r="I3371" s="103"/>
      <c r="J3371" s="103"/>
      <c r="K3371" s="103"/>
      <c r="L3371" s="103"/>
      <c r="M3371" s="104"/>
      <c r="N3371" s="103"/>
    </row>
    <row r="3372" spans="1:14" ht="45" customHeight="1" thickBot="1" x14ac:dyDescent="0.4">
      <c r="A3372" s="103"/>
      <c r="B3372" s="103"/>
      <c r="C3372" s="103"/>
      <c r="D3372" s="103"/>
      <c r="E3372" s="103"/>
      <c r="F3372" s="103"/>
      <c r="G3372" s="103"/>
      <c r="H3372" s="103"/>
      <c r="I3372" s="103"/>
      <c r="J3372" s="103"/>
      <c r="K3372" s="103"/>
      <c r="L3372" s="103"/>
      <c r="M3372" s="104"/>
      <c r="N3372" s="103"/>
    </row>
    <row r="3373" spans="1:14" ht="45" customHeight="1" thickBot="1" x14ac:dyDescent="0.4">
      <c r="A3373" s="103"/>
      <c r="B3373" s="103"/>
      <c r="C3373" s="103"/>
      <c r="D3373" s="103"/>
      <c r="E3373" s="103"/>
      <c r="F3373" s="103"/>
      <c r="G3373" s="103"/>
      <c r="H3373" s="103"/>
      <c r="I3373" s="103"/>
      <c r="J3373" s="103"/>
      <c r="K3373" s="103"/>
      <c r="L3373" s="103"/>
      <c r="M3373" s="104"/>
      <c r="N3373" s="103"/>
    </row>
    <row r="3374" spans="1:14" ht="45" customHeight="1" thickBot="1" x14ac:dyDescent="0.4">
      <c r="A3374" s="103"/>
      <c r="B3374" s="103"/>
      <c r="C3374" s="103"/>
      <c r="D3374" s="103"/>
      <c r="E3374" s="103"/>
      <c r="F3374" s="103"/>
      <c r="G3374" s="103"/>
      <c r="H3374" s="103"/>
      <c r="I3374" s="103"/>
      <c r="J3374" s="103"/>
      <c r="K3374" s="103"/>
      <c r="L3374" s="103"/>
      <c r="M3374" s="104"/>
      <c r="N3374" s="103"/>
    </row>
    <row r="3375" spans="1:14" ht="45" customHeight="1" thickBot="1" x14ac:dyDescent="0.4">
      <c r="A3375" s="103"/>
      <c r="B3375" s="103"/>
      <c r="C3375" s="103"/>
      <c r="D3375" s="103"/>
      <c r="E3375" s="103"/>
      <c r="F3375" s="103"/>
      <c r="G3375" s="103"/>
      <c r="H3375" s="103"/>
      <c r="I3375" s="103"/>
      <c r="J3375" s="103"/>
      <c r="K3375" s="103"/>
      <c r="L3375" s="103"/>
      <c r="M3375" s="104"/>
      <c r="N3375" s="103"/>
    </row>
    <row r="3376" spans="1:14" ht="45" customHeight="1" thickBot="1" x14ac:dyDescent="0.4">
      <c r="A3376" s="103"/>
      <c r="B3376" s="103"/>
      <c r="C3376" s="103"/>
      <c r="D3376" s="103"/>
      <c r="E3376" s="103"/>
      <c r="F3376" s="103"/>
      <c r="G3376" s="103"/>
      <c r="H3376" s="103"/>
      <c r="I3376" s="103"/>
      <c r="J3376" s="103"/>
      <c r="K3376" s="103"/>
      <c r="L3376" s="103"/>
      <c r="M3376" s="104"/>
      <c r="N3376" s="103"/>
    </row>
    <row r="3377" spans="1:14" ht="45" customHeight="1" thickBot="1" x14ac:dyDescent="0.4">
      <c r="A3377" s="103"/>
      <c r="B3377" s="103"/>
      <c r="C3377" s="103"/>
      <c r="D3377" s="103"/>
      <c r="E3377" s="103"/>
      <c r="F3377" s="103"/>
      <c r="G3377" s="103"/>
      <c r="H3377" s="103"/>
      <c r="I3377" s="103"/>
      <c r="J3377" s="103"/>
      <c r="K3377" s="103"/>
      <c r="L3377" s="103"/>
      <c r="M3377" s="104"/>
      <c r="N3377" s="103"/>
    </row>
    <row r="3378" spans="1:14" ht="45" customHeight="1" thickBot="1" x14ac:dyDescent="0.4">
      <c r="A3378" s="103"/>
      <c r="B3378" s="103"/>
      <c r="C3378" s="103"/>
      <c r="D3378" s="103"/>
      <c r="E3378" s="103"/>
      <c r="F3378" s="103"/>
      <c r="G3378" s="103"/>
      <c r="H3378" s="103"/>
      <c r="I3378" s="103"/>
      <c r="J3378" s="103"/>
      <c r="K3378" s="103"/>
      <c r="L3378" s="103"/>
      <c r="M3378" s="104"/>
      <c r="N3378" s="103"/>
    </row>
    <row r="3379" spans="1:14" ht="45" customHeight="1" thickBot="1" x14ac:dyDescent="0.4">
      <c r="A3379" s="103"/>
      <c r="B3379" s="103"/>
      <c r="C3379" s="103"/>
      <c r="D3379" s="103"/>
      <c r="E3379" s="103"/>
      <c r="F3379" s="103"/>
      <c r="G3379" s="103"/>
      <c r="H3379" s="103"/>
      <c r="I3379" s="103"/>
      <c r="J3379" s="103"/>
      <c r="K3379" s="103"/>
      <c r="L3379" s="103"/>
      <c r="M3379" s="104"/>
      <c r="N3379" s="103"/>
    </row>
    <row r="3380" spans="1:14" ht="45" customHeight="1" thickBot="1" x14ac:dyDescent="0.4">
      <c r="A3380" s="103"/>
      <c r="B3380" s="103"/>
      <c r="C3380" s="103"/>
      <c r="D3380" s="103"/>
      <c r="E3380" s="103"/>
      <c r="F3380" s="103"/>
      <c r="G3380" s="103"/>
      <c r="H3380" s="103"/>
      <c r="I3380" s="103"/>
      <c r="J3380" s="103"/>
      <c r="K3380" s="103"/>
      <c r="L3380" s="103"/>
      <c r="M3380" s="104"/>
      <c r="N3380" s="103"/>
    </row>
    <row r="3381" spans="1:14" ht="45" customHeight="1" thickBot="1" x14ac:dyDescent="0.4">
      <c r="A3381" s="103"/>
      <c r="B3381" s="103"/>
      <c r="C3381" s="103"/>
      <c r="D3381" s="103"/>
      <c r="E3381" s="103"/>
      <c r="F3381" s="103"/>
      <c r="G3381" s="103"/>
      <c r="H3381" s="103"/>
      <c r="I3381" s="103"/>
      <c r="J3381" s="103"/>
      <c r="K3381" s="103"/>
      <c r="L3381" s="103"/>
      <c r="M3381" s="104"/>
      <c r="N3381" s="103"/>
    </row>
    <row r="3382" spans="1:14" ht="45" customHeight="1" thickBot="1" x14ac:dyDescent="0.4">
      <c r="A3382" s="103"/>
      <c r="B3382" s="103"/>
      <c r="C3382" s="103"/>
      <c r="D3382" s="103"/>
      <c r="E3382" s="103"/>
      <c r="F3382" s="103"/>
      <c r="G3382" s="103"/>
      <c r="H3382" s="103"/>
      <c r="I3382" s="103"/>
      <c r="J3382" s="103"/>
      <c r="K3382" s="103"/>
      <c r="L3382" s="103"/>
      <c r="M3382" s="104"/>
      <c r="N3382" s="103"/>
    </row>
    <row r="3383" spans="1:14" ht="45" customHeight="1" thickBot="1" x14ac:dyDescent="0.4">
      <c r="A3383" s="103"/>
      <c r="B3383" s="103"/>
      <c r="C3383" s="103"/>
      <c r="D3383" s="103"/>
      <c r="E3383" s="103"/>
      <c r="F3383" s="103"/>
      <c r="G3383" s="103"/>
      <c r="H3383" s="103"/>
      <c r="I3383" s="103"/>
      <c r="J3383" s="103"/>
      <c r="K3383" s="103"/>
      <c r="L3383" s="103"/>
      <c r="M3383" s="104"/>
      <c r="N3383" s="103"/>
    </row>
    <row r="3384" spans="1:14" ht="45" customHeight="1" thickBot="1" x14ac:dyDescent="0.4">
      <c r="A3384" s="103"/>
      <c r="B3384" s="103"/>
      <c r="C3384" s="103"/>
      <c r="D3384" s="103"/>
      <c r="E3384" s="103"/>
      <c r="F3384" s="103"/>
      <c r="G3384" s="103"/>
      <c r="H3384" s="103"/>
      <c r="I3384" s="103"/>
      <c r="J3384" s="103"/>
      <c r="K3384" s="103"/>
      <c r="L3384" s="103"/>
      <c r="M3384" s="104"/>
      <c r="N3384" s="103"/>
    </row>
    <row r="3385" spans="1:14" ht="45" customHeight="1" thickBot="1" x14ac:dyDescent="0.4">
      <c r="A3385" s="103"/>
      <c r="B3385" s="103"/>
      <c r="C3385" s="103"/>
      <c r="D3385" s="103"/>
      <c r="E3385" s="103"/>
      <c r="F3385" s="103"/>
      <c r="G3385" s="103"/>
      <c r="H3385" s="103"/>
      <c r="I3385" s="103"/>
      <c r="J3385" s="103"/>
      <c r="K3385" s="103"/>
      <c r="L3385" s="103"/>
      <c r="M3385" s="104"/>
      <c r="N3385" s="103"/>
    </row>
    <row r="3386" spans="1:14" ht="45" customHeight="1" thickBot="1" x14ac:dyDescent="0.4">
      <c r="A3386" s="103"/>
      <c r="B3386" s="103"/>
      <c r="C3386" s="103"/>
      <c r="D3386" s="103"/>
      <c r="E3386" s="103"/>
      <c r="F3386" s="103"/>
      <c r="G3386" s="103"/>
      <c r="H3386" s="103"/>
      <c r="I3386" s="103"/>
      <c r="J3386" s="103"/>
      <c r="K3386" s="103"/>
      <c r="L3386" s="103"/>
      <c r="M3386" s="104"/>
      <c r="N3386" s="103"/>
    </row>
    <row r="3387" spans="1:14" ht="45" customHeight="1" thickBot="1" x14ac:dyDescent="0.4">
      <c r="A3387" s="103"/>
      <c r="B3387" s="103"/>
      <c r="C3387" s="103"/>
      <c r="D3387" s="103"/>
      <c r="E3387" s="103"/>
      <c r="F3387" s="103"/>
      <c r="G3387" s="103"/>
      <c r="H3387" s="103"/>
      <c r="I3387" s="103"/>
      <c r="J3387" s="103"/>
      <c r="K3387" s="103"/>
      <c r="L3387" s="103"/>
      <c r="M3387" s="104"/>
      <c r="N3387" s="103"/>
    </row>
    <row r="3388" spans="1:14" ht="45" customHeight="1" thickBot="1" x14ac:dyDescent="0.4">
      <c r="A3388" s="103"/>
      <c r="B3388" s="103"/>
      <c r="C3388" s="103"/>
      <c r="D3388" s="103"/>
      <c r="E3388" s="103"/>
      <c r="F3388" s="103"/>
      <c r="G3388" s="103"/>
      <c r="H3388" s="103"/>
      <c r="I3388" s="103"/>
      <c r="J3388" s="103"/>
      <c r="K3388" s="103"/>
      <c r="L3388" s="103"/>
      <c r="M3388" s="104"/>
      <c r="N3388" s="103"/>
    </row>
    <row r="3389" spans="1:14" ht="45" customHeight="1" thickBot="1" x14ac:dyDescent="0.4">
      <c r="A3389" s="103"/>
      <c r="B3389" s="103"/>
      <c r="C3389" s="103"/>
      <c r="D3389" s="103"/>
      <c r="E3389" s="103"/>
      <c r="F3389" s="103"/>
      <c r="G3389" s="103"/>
      <c r="H3389" s="103"/>
      <c r="I3389" s="103"/>
      <c r="J3389" s="103"/>
      <c r="K3389" s="103"/>
      <c r="L3389" s="103"/>
      <c r="M3389" s="104"/>
      <c r="N3389" s="103"/>
    </row>
    <row r="3390" spans="1:14" ht="45" customHeight="1" thickBot="1" x14ac:dyDescent="0.4">
      <c r="A3390" s="103"/>
      <c r="B3390" s="103"/>
      <c r="C3390" s="103"/>
      <c r="D3390" s="103"/>
      <c r="E3390" s="103"/>
      <c r="F3390" s="103"/>
      <c r="G3390" s="103"/>
      <c r="H3390" s="103"/>
      <c r="I3390" s="103"/>
      <c r="J3390" s="103"/>
      <c r="K3390" s="103"/>
      <c r="L3390" s="103"/>
      <c r="M3390" s="104"/>
      <c r="N3390" s="103"/>
    </row>
    <row r="3391" spans="1:14" ht="45" customHeight="1" thickBot="1" x14ac:dyDescent="0.4">
      <c r="A3391" s="103"/>
      <c r="B3391" s="103"/>
      <c r="C3391" s="103"/>
      <c r="D3391" s="103"/>
      <c r="E3391" s="103"/>
      <c r="F3391" s="103"/>
      <c r="G3391" s="103"/>
      <c r="H3391" s="103"/>
      <c r="I3391" s="103"/>
      <c r="J3391" s="103"/>
      <c r="K3391" s="103"/>
      <c r="L3391" s="103"/>
      <c r="M3391" s="104"/>
      <c r="N3391" s="103"/>
    </row>
    <row r="3392" spans="1:14" ht="45" customHeight="1" thickBot="1" x14ac:dyDescent="0.4">
      <c r="A3392" s="103"/>
      <c r="B3392" s="103"/>
      <c r="C3392" s="103"/>
      <c r="D3392" s="103"/>
      <c r="E3392" s="103"/>
      <c r="F3392" s="103"/>
      <c r="G3392" s="103"/>
      <c r="H3392" s="103"/>
      <c r="I3392" s="103"/>
      <c r="J3392" s="103"/>
      <c r="K3392" s="103"/>
      <c r="L3392" s="103"/>
      <c r="M3392" s="104"/>
      <c r="N3392" s="103"/>
    </row>
    <row r="3393" spans="1:14" ht="45" customHeight="1" thickBot="1" x14ac:dyDescent="0.4">
      <c r="A3393" s="103"/>
      <c r="B3393" s="103"/>
      <c r="C3393" s="103"/>
      <c r="D3393" s="103"/>
      <c r="E3393" s="103"/>
      <c r="F3393" s="103"/>
      <c r="G3393" s="103"/>
      <c r="H3393" s="103"/>
      <c r="I3393" s="103"/>
      <c r="J3393" s="103"/>
      <c r="K3393" s="103"/>
      <c r="L3393" s="103"/>
      <c r="M3393" s="104"/>
      <c r="N3393" s="103"/>
    </row>
    <row r="3394" spans="1:14" ht="45" customHeight="1" thickBot="1" x14ac:dyDescent="0.4">
      <c r="A3394" s="103"/>
      <c r="B3394" s="103"/>
      <c r="C3394" s="103"/>
      <c r="D3394" s="103"/>
      <c r="E3394" s="103"/>
      <c r="F3394" s="103"/>
      <c r="G3394" s="103"/>
      <c r="H3394" s="103"/>
      <c r="I3394" s="103"/>
      <c r="J3394" s="103"/>
      <c r="K3394" s="103"/>
      <c r="L3394" s="103"/>
      <c r="M3394" s="104"/>
      <c r="N3394" s="103"/>
    </row>
    <row r="3395" spans="1:14" ht="45" customHeight="1" thickBot="1" x14ac:dyDescent="0.4">
      <c r="A3395" s="103"/>
      <c r="B3395" s="103"/>
      <c r="C3395" s="103"/>
      <c r="D3395" s="103"/>
      <c r="E3395" s="103"/>
      <c r="F3395" s="103"/>
      <c r="G3395" s="103"/>
      <c r="H3395" s="103"/>
      <c r="I3395" s="103"/>
      <c r="J3395" s="103"/>
      <c r="K3395" s="103"/>
      <c r="L3395" s="103"/>
      <c r="M3395" s="104"/>
      <c r="N3395" s="103"/>
    </row>
    <row r="3396" spans="1:14" ht="45" customHeight="1" thickBot="1" x14ac:dyDescent="0.4">
      <c r="A3396" s="103"/>
      <c r="B3396" s="103"/>
      <c r="C3396" s="103"/>
      <c r="D3396" s="103"/>
      <c r="E3396" s="103"/>
      <c r="F3396" s="103"/>
      <c r="G3396" s="103"/>
      <c r="H3396" s="103"/>
      <c r="I3396" s="103"/>
      <c r="J3396" s="103"/>
      <c r="K3396" s="103"/>
      <c r="L3396" s="103"/>
      <c r="M3396" s="104"/>
      <c r="N3396" s="103"/>
    </row>
    <row r="3397" spans="1:14" ht="45" customHeight="1" thickBot="1" x14ac:dyDescent="0.4">
      <c r="A3397" s="103"/>
      <c r="B3397" s="103"/>
      <c r="C3397" s="103"/>
      <c r="D3397" s="103"/>
      <c r="E3397" s="103"/>
      <c r="F3397" s="103"/>
      <c r="G3397" s="103"/>
      <c r="H3397" s="103"/>
      <c r="I3397" s="103"/>
      <c r="J3397" s="103"/>
      <c r="K3397" s="103"/>
      <c r="L3397" s="103"/>
      <c r="M3397" s="104"/>
      <c r="N3397" s="103"/>
    </row>
    <row r="3398" spans="1:14" ht="45" customHeight="1" thickBot="1" x14ac:dyDescent="0.4">
      <c r="A3398" s="103"/>
      <c r="B3398" s="103"/>
      <c r="C3398" s="103"/>
      <c r="D3398" s="103"/>
      <c r="E3398" s="103"/>
      <c r="F3398" s="103"/>
      <c r="G3398" s="103"/>
      <c r="H3398" s="103"/>
      <c r="I3398" s="103"/>
      <c r="J3398" s="103"/>
      <c r="K3398" s="103"/>
      <c r="L3398" s="103"/>
      <c r="M3398" s="104"/>
      <c r="N3398" s="103"/>
    </row>
    <row r="3399" spans="1:14" ht="45" customHeight="1" thickBot="1" x14ac:dyDescent="0.4">
      <c r="A3399" s="103"/>
      <c r="B3399" s="103"/>
      <c r="C3399" s="103"/>
      <c r="D3399" s="103"/>
      <c r="E3399" s="103"/>
      <c r="F3399" s="103"/>
      <c r="G3399" s="103"/>
      <c r="H3399" s="103"/>
      <c r="I3399" s="103"/>
      <c r="J3399" s="103"/>
      <c r="K3399" s="103"/>
      <c r="L3399" s="103"/>
      <c r="M3399" s="104"/>
      <c r="N3399" s="103"/>
    </row>
    <row r="3400" spans="1:14" ht="45" customHeight="1" thickBot="1" x14ac:dyDescent="0.4">
      <c r="A3400" s="103"/>
      <c r="B3400" s="103"/>
      <c r="C3400" s="103"/>
      <c r="D3400" s="103"/>
      <c r="E3400" s="103"/>
      <c r="F3400" s="103"/>
      <c r="G3400" s="103"/>
      <c r="H3400" s="103"/>
      <c r="I3400" s="103"/>
      <c r="J3400" s="103"/>
      <c r="K3400" s="103"/>
      <c r="L3400" s="103"/>
      <c r="M3400" s="104"/>
      <c r="N3400" s="103"/>
    </row>
    <row r="3401" spans="1:14" ht="45" customHeight="1" thickBot="1" x14ac:dyDescent="0.4">
      <c r="A3401" s="103"/>
      <c r="B3401" s="103"/>
      <c r="C3401" s="103"/>
      <c r="D3401" s="103"/>
      <c r="E3401" s="103"/>
      <c r="F3401" s="103"/>
      <c r="G3401" s="103"/>
      <c r="H3401" s="103"/>
      <c r="I3401" s="103"/>
      <c r="J3401" s="103"/>
      <c r="K3401" s="103"/>
      <c r="L3401" s="103"/>
      <c r="M3401" s="104"/>
      <c r="N3401" s="103"/>
    </row>
    <row r="3402" spans="1:14" ht="45" customHeight="1" thickBot="1" x14ac:dyDescent="0.4">
      <c r="A3402" s="103"/>
      <c r="B3402" s="103"/>
      <c r="C3402" s="103"/>
      <c r="D3402" s="103"/>
      <c r="E3402" s="103"/>
      <c r="F3402" s="103"/>
      <c r="G3402" s="103"/>
      <c r="H3402" s="103"/>
      <c r="I3402" s="103"/>
      <c r="J3402" s="103"/>
      <c r="K3402" s="103"/>
      <c r="L3402" s="103"/>
      <c r="M3402" s="104"/>
      <c r="N3402" s="103"/>
    </row>
    <row r="3403" spans="1:14" ht="45" customHeight="1" thickBot="1" x14ac:dyDescent="0.4">
      <c r="A3403" s="103"/>
      <c r="B3403" s="103"/>
      <c r="C3403" s="103"/>
      <c r="D3403" s="103"/>
      <c r="E3403" s="103"/>
      <c r="F3403" s="103"/>
      <c r="G3403" s="103"/>
      <c r="H3403" s="103"/>
      <c r="I3403" s="103"/>
      <c r="J3403" s="103"/>
      <c r="K3403" s="103"/>
      <c r="L3403" s="103"/>
      <c r="M3403" s="104"/>
      <c r="N3403" s="103"/>
    </row>
    <row r="3404" spans="1:14" ht="45" customHeight="1" thickBot="1" x14ac:dyDescent="0.4">
      <c r="A3404" s="103"/>
      <c r="B3404" s="103"/>
      <c r="C3404" s="103"/>
      <c r="D3404" s="103"/>
      <c r="E3404" s="103"/>
      <c r="F3404" s="103"/>
      <c r="G3404" s="103"/>
      <c r="H3404" s="103"/>
      <c r="I3404" s="103"/>
      <c r="J3404" s="103"/>
      <c r="K3404" s="103"/>
      <c r="L3404" s="103"/>
      <c r="M3404" s="104"/>
      <c r="N3404" s="103"/>
    </row>
    <row r="3405" spans="1:14" ht="45" customHeight="1" thickBot="1" x14ac:dyDescent="0.4">
      <c r="A3405" s="103"/>
      <c r="B3405" s="103"/>
      <c r="C3405" s="103"/>
      <c r="D3405" s="103"/>
      <c r="E3405" s="103"/>
      <c r="F3405" s="103"/>
      <c r="G3405" s="103"/>
      <c r="H3405" s="103"/>
      <c r="I3405" s="103"/>
      <c r="J3405" s="103"/>
      <c r="K3405" s="103"/>
      <c r="L3405" s="103"/>
      <c r="M3405" s="104"/>
      <c r="N3405" s="103"/>
    </row>
    <row r="3406" spans="1:14" ht="45" customHeight="1" thickBot="1" x14ac:dyDescent="0.4">
      <c r="A3406" s="103"/>
      <c r="B3406" s="103"/>
      <c r="C3406" s="103"/>
      <c r="D3406" s="103"/>
      <c r="E3406" s="103"/>
      <c r="F3406" s="103"/>
      <c r="G3406" s="103"/>
      <c r="H3406" s="103"/>
      <c r="I3406" s="103"/>
      <c r="J3406" s="103"/>
      <c r="K3406" s="103"/>
      <c r="L3406" s="103"/>
      <c r="M3406" s="104"/>
      <c r="N3406" s="103"/>
    </row>
    <row r="3407" spans="1:14" ht="45" customHeight="1" thickBot="1" x14ac:dyDescent="0.4">
      <c r="A3407" s="103"/>
      <c r="B3407" s="103"/>
      <c r="C3407" s="103"/>
      <c r="D3407" s="103"/>
      <c r="E3407" s="103"/>
      <c r="F3407" s="103"/>
      <c r="G3407" s="103"/>
      <c r="H3407" s="103"/>
      <c r="I3407" s="103"/>
      <c r="J3407" s="103"/>
      <c r="K3407" s="103"/>
      <c r="L3407" s="103"/>
      <c r="M3407" s="104"/>
      <c r="N3407" s="103"/>
    </row>
    <row r="3408" spans="1:14" ht="45" customHeight="1" thickBot="1" x14ac:dyDescent="0.4">
      <c r="A3408" s="103"/>
      <c r="B3408" s="103"/>
      <c r="C3408" s="103"/>
      <c r="D3408" s="103"/>
      <c r="E3408" s="103"/>
      <c r="F3408" s="103"/>
      <c r="G3408" s="103"/>
      <c r="H3408" s="103"/>
      <c r="I3408" s="103"/>
      <c r="J3408" s="103"/>
      <c r="K3408" s="103"/>
      <c r="L3408" s="103"/>
      <c r="M3408" s="104"/>
      <c r="N3408" s="103"/>
    </row>
    <row r="3409" spans="1:14" ht="45" customHeight="1" thickBot="1" x14ac:dyDescent="0.4">
      <c r="A3409" s="103"/>
      <c r="B3409" s="103"/>
      <c r="C3409" s="103"/>
      <c r="D3409" s="103"/>
      <c r="E3409" s="103"/>
      <c r="F3409" s="103"/>
      <c r="G3409" s="103"/>
      <c r="H3409" s="103"/>
      <c r="I3409" s="103"/>
      <c r="J3409" s="103"/>
      <c r="K3409" s="103"/>
      <c r="L3409" s="103"/>
      <c r="M3409" s="104"/>
      <c r="N3409" s="103"/>
    </row>
    <row r="3410" spans="1:14" ht="45" customHeight="1" thickBot="1" x14ac:dyDescent="0.4">
      <c r="A3410" s="103"/>
      <c r="B3410" s="103"/>
      <c r="C3410" s="103"/>
      <c r="D3410" s="103"/>
      <c r="E3410" s="103"/>
      <c r="F3410" s="103"/>
      <c r="G3410" s="103"/>
      <c r="H3410" s="103"/>
      <c r="I3410" s="103"/>
      <c r="J3410" s="103"/>
      <c r="K3410" s="103"/>
      <c r="L3410" s="103"/>
      <c r="M3410" s="104"/>
      <c r="N3410" s="103"/>
    </row>
    <row r="3411" spans="1:14" ht="45" customHeight="1" thickBot="1" x14ac:dyDescent="0.4">
      <c r="A3411" s="103"/>
      <c r="B3411" s="103"/>
      <c r="C3411" s="103"/>
      <c r="D3411" s="103"/>
      <c r="E3411" s="103"/>
      <c r="F3411" s="103"/>
      <c r="G3411" s="103"/>
      <c r="H3411" s="103"/>
      <c r="I3411" s="103"/>
      <c r="J3411" s="103"/>
      <c r="K3411" s="103"/>
      <c r="L3411" s="103"/>
      <c r="M3411" s="104"/>
      <c r="N3411" s="103"/>
    </row>
    <row r="3412" spans="1:14" ht="45" customHeight="1" thickBot="1" x14ac:dyDescent="0.4">
      <c r="A3412" s="103"/>
      <c r="B3412" s="103"/>
      <c r="C3412" s="103"/>
      <c r="D3412" s="103"/>
      <c r="E3412" s="103"/>
      <c r="F3412" s="103"/>
      <c r="G3412" s="103"/>
      <c r="H3412" s="103"/>
      <c r="I3412" s="103"/>
      <c r="J3412" s="103"/>
      <c r="K3412" s="103"/>
      <c r="L3412" s="103"/>
      <c r="M3412" s="104"/>
      <c r="N3412" s="103"/>
    </row>
    <row r="3413" spans="1:14" ht="45" customHeight="1" thickBot="1" x14ac:dyDescent="0.4">
      <c r="A3413" s="103"/>
      <c r="B3413" s="103"/>
      <c r="C3413" s="103"/>
      <c r="D3413" s="103"/>
      <c r="E3413" s="103"/>
      <c r="F3413" s="103"/>
      <c r="G3413" s="103"/>
      <c r="H3413" s="103"/>
      <c r="I3413" s="103"/>
      <c r="J3413" s="103"/>
      <c r="K3413" s="103"/>
      <c r="L3413" s="103"/>
      <c r="M3413" s="104"/>
      <c r="N3413" s="103"/>
    </row>
    <row r="3414" spans="1:14" ht="45" customHeight="1" thickBot="1" x14ac:dyDescent="0.4">
      <c r="A3414" s="103"/>
      <c r="B3414" s="103"/>
      <c r="C3414" s="103"/>
      <c r="D3414" s="103"/>
      <c r="E3414" s="103"/>
      <c r="F3414" s="103"/>
      <c r="G3414" s="103"/>
      <c r="H3414" s="103"/>
      <c r="I3414" s="103"/>
      <c r="J3414" s="103"/>
      <c r="K3414" s="103"/>
      <c r="L3414" s="103"/>
      <c r="M3414" s="104"/>
      <c r="N3414" s="103"/>
    </row>
    <row r="3415" spans="1:14" ht="45" customHeight="1" thickBot="1" x14ac:dyDescent="0.4">
      <c r="A3415" s="103"/>
      <c r="B3415" s="103"/>
      <c r="C3415" s="103"/>
      <c r="D3415" s="103"/>
      <c r="E3415" s="103"/>
      <c r="F3415" s="103"/>
      <c r="G3415" s="103"/>
      <c r="H3415" s="103"/>
      <c r="I3415" s="103"/>
      <c r="J3415" s="103"/>
      <c r="K3415" s="103"/>
      <c r="L3415" s="103"/>
      <c r="M3415" s="104"/>
      <c r="N3415" s="103"/>
    </row>
    <row r="3416" spans="1:14" ht="45" customHeight="1" thickBot="1" x14ac:dyDescent="0.4">
      <c r="A3416" s="103"/>
      <c r="B3416" s="103"/>
      <c r="C3416" s="103"/>
      <c r="D3416" s="103"/>
      <c r="E3416" s="103"/>
      <c r="F3416" s="103"/>
      <c r="G3416" s="103"/>
      <c r="H3416" s="103"/>
      <c r="I3416" s="103"/>
      <c r="J3416" s="103"/>
      <c r="K3416" s="103"/>
      <c r="L3416" s="103"/>
      <c r="M3416" s="104"/>
      <c r="N3416" s="103"/>
    </row>
    <row r="3417" spans="1:14" ht="45" customHeight="1" thickBot="1" x14ac:dyDescent="0.4">
      <c r="A3417" s="103"/>
      <c r="B3417" s="103"/>
      <c r="C3417" s="103"/>
      <c r="D3417" s="103"/>
      <c r="E3417" s="103"/>
      <c r="F3417" s="103"/>
      <c r="G3417" s="103"/>
      <c r="H3417" s="103"/>
      <c r="I3417" s="103"/>
      <c r="J3417" s="103"/>
      <c r="K3417" s="103"/>
      <c r="L3417" s="103"/>
      <c r="M3417" s="104"/>
      <c r="N3417" s="103"/>
    </row>
    <row r="3418" spans="1:14" ht="45" customHeight="1" thickBot="1" x14ac:dyDescent="0.4">
      <c r="A3418" s="103"/>
      <c r="B3418" s="103"/>
      <c r="C3418" s="103"/>
      <c r="D3418" s="103"/>
      <c r="E3418" s="103"/>
      <c r="F3418" s="103"/>
      <c r="G3418" s="103"/>
      <c r="H3418" s="103"/>
      <c r="I3418" s="103"/>
      <c r="J3418" s="103"/>
      <c r="K3418" s="103"/>
      <c r="L3418" s="103"/>
      <c r="M3418" s="104"/>
      <c r="N3418" s="103"/>
    </row>
    <row r="3419" spans="1:14" ht="45" customHeight="1" thickBot="1" x14ac:dyDescent="0.4">
      <c r="A3419" s="103"/>
      <c r="B3419" s="103"/>
      <c r="C3419" s="103"/>
      <c r="D3419" s="103"/>
      <c r="E3419" s="103"/>
      <c r="F3419" s="103"/>
      <c r="G3419" s="103"/>
      <c r="H3419" s="103"/>
      <c r="I3419" s="103"/>
      <c r="J3419" s="103"/>
      <c r="K3419" s="103"/>
      <c r="L3419" s="103"/>
      <c r="M3419" s="104"/>
      <c r="N3419" s="103"/>
    </row>
    <row r="3420" spans="1:14" ht="45" customHeight="1" thickBot="1" x14ac:dyDescent="0.4">
      <c r="A3420" s="103"/>
      <c r="B3420" s="103"/>
      <c r="C3420" s="103"/>
      <c r="D3420" s="103"/>
      <c r="E3420" s="103"/>
      <c r="F3420" s="103"/>
      <c r="G3420" s="103"/>
      <c r="H3420" s="103"/>
      <c r="I3420" s="103"/>
      <c r="J3420" s="103"/>
      <c r="K3420" s="103"/>
      <c r="L3420" s="103"/>
      <c r="M3420" s="104"/>
      <c r="N3420" s="103"/>
    </row>
    <row r="3421" spans="1:14" ht="45" customHeight="1" thickBot="1" x14ac:dyDescent="0.4">
      <c r="A3421" s="103"/>
      <c r="B3421" s="103"/>
      <c r="C3421" s="103"/>
      <c r="D3421" s="103"/>
      <c r="E3421" s="103"/>
      <c r="F3421" s="103"/>
      <c r="G3421" s="103"/>
      <c r="H3421" s="103"/>
      <c r="I3421" s="103"/>
      <c r="J3421" s="103"/>
      <c r="K3421" s="103"/>
      <c r="L3421" s="103"/>
      <c r="M3421" s="104"/>
      <c r="N3421" s="103"/>
    </row>
    <row r="3422" spans="1:14" ht="45" customHeight="1" thickBot="1" x14ac:dyDescent="0.4">
      <c r="A3422" s="103"/>
      <c r="B3422" s="103"/>
      <c r="C3422" s="103"/>
      <c r="D3422" s="103"/>
      <c r="E3422" s="103"/>
      <c r="F3422" s="103"/>
      <c r="G3422" s="103"/>
      <c r="H3422" s="103"/>
      <c r="I3422" s="103"/>
      <c r="J3422" s="103"/>
      <c r="K3422" s="103"/>
      <c r="L3422" s="103"/>
      <c r="M3422" s="104"/>
      <c r="N3422" s="103"/>
    </row>
    <row r="3423" spans="1:14" ht="45" customHeight="1" thickBot="1" x14ac:dyDescent="0.4">
      <c r="A3423" s="103"/>
      <c r="B3423" s="103"/>
      <c r="C3423" s="103"/>
      <c r="D3423" s="103"/>
      <c r="E3423" s="103"/>
      <c r="F3423" s="103"/>
      <c r="G3423" s="103"/>
      <c r="H3423" s="103"/>
      <c r="I3423" s="103"/>
      <c r="J3423" s="103"/>
      <c r="K3423" s="103"/>
      <c r="L3423" s="103"/>
      <c r="M3423" s="104"/>
      <c r="N3423" s="103"/>
    </row>
    <row r="3424" spans="1:14" ht="45" customHeight="1" thickBot="1" x14ac:dyDescent="0.4">
      <c r="A3424" s="103"/>
      <c r="B3424" s="103"/>
      <c r="C3424" s="103"/>
      <c r="D3424" s="103"/>
      <c r="E3424" s="103"/>
      <c r="F3424" s="103"/>
      <c r="G3424" s="103"/>
      <c r="H3424" s="103"/>
      <c r="I3424" s="103"/>
      <c r="J3424" s="103"/>
      <c r="K3424" s="103"/>
      <c r="L3424" s="103"/>
      <c r="M3424" s="104"/>
      <c r="N3424" s="103"/>
    </row>
    <row r="3425" spans="1:14" ht="45" customHeight="1" thickBot="1" x14ac:dyDescent="0.4">
      <c r="A3425" s="103"/>
      <c r="B3425" s="103"/>
      <c r="C3425" s="103"/>
      <c r="D3425" s="103"/>
      <c r="E3425" s="103"/>
      <c r="F3425" s="103"/>
      <c r="G3425" s="103"/>
      <c r="H3425" s="103"/>
      <c r="I3425" s="103"/>
      <c r="J3425" s="103"/>
      <c r="K3425" s="103"/>
      <c r="L3425" s="103"/>
      <c r="M3425" s="104"/>
      <c r="N3425" s="103"/>
    </row>
    <row r="3426" spans="1:14" ht="45" customHeight="1" thickBot="1" x14ac:dyDescent="0.4">
      <c r="A3426" s="103"/>
      <c r="B3426" s="103"/>
      <c r="C3426" s="103"/>
      <c r="D3426" s="103"/>
      <c r="E3426" s="103"/>
      <c r="F3426" s="103"/>
      <c r="G3426" s="103"/>
      <c r="H3426" s="103"/>
      <c r="I3426" s="103"/>
      <c r="J3426" s="103"/>
      <c r="K3426" s="103"/>
      <c r="L3426" s="103"/>
      <c r="M3426" s="104"/>
      <c r="N3426" s="103"/>
    </row>
    <row r="3427" spans="1:14" ht="45" customHeight="1" thickBot="1" x14ac:dyDescent="0.4">
      <c r="A3427" s="103"/>
      <c r="B3427" s="103"/>
      <c r="C3427" s="103"/>
      <c r="D3427" s="103"/>
      <c r="E3427" s="103"/>
      <c r="F3427" s="103"/>
      <c r="G3427" s="103"/>
      <c r="H3427" s="103"/>
      <c r="I3427" s="103"/>
      <c r="J3427" s="103"/>
      <c r="K3427" s="103"/>
      <c r="L3427" s="103"/>
      <c r="M3427" s="104"/>
      <c r="N3427" s="103"/>
    </row>
    <row r="3428" spans="1:14" ht="45" customHeight="1" thickBot="1" x14ac:dyDescent="0.4">
      <c r="A3428" s="103"/>
      <c r="B3428" s="103"/>
      <c r="C3428" s="103"/>
      <c r="D3428" s="103"/>
      <c r="E3428" s="103"/>
      <c r="F3428" s="103"/>
      <c r="G3428" s="103"/>
      <c r="H3428" s="103"/>
      <c r="I3428" s="103"/>
      <c r="J3428" s="103"/>
      <c r="K3428" s="103"/>
      <c r="L3428" s="103"/>
      <c r="M3428" s="104"/>
      <c r="N3428" s="103"/>
    </row>
    <row r="3429" spans="1:14" ht="45" customHeight="1" thickBot="1" x14ac:dyDescent="0.4">
      <c r="A3429" s="103"/>
      <c r="B3429" s="103"/>
      <c r="C3429" s="103"/>
      <c r="D3429" s="103"/>
      <c r="E3429" s="103"/>
      <c r="F3429" s="103"/>
      <c r="G3429" s="103"/>
      <c r="H3429" s="103"/>
      <c r="I3429" s="103"/>
      <c r="J3429" s="103"/>
      <c r="K3429" s="103"/>
      <c r="L3429" s="103"/>
      <c r="M3429" s="104"/>
      <c r="N3429" s="103"/>
    </row>
    <row r="3430" spans="1:14" ht="45" customHeight="1" thickBot="1" x14ac:dyDescent="0.4">
      <c r="A3430" s="103"/>
      <c r="B3430" s="103"/>
      <c r="C3430" s="103"/>
      <c r="D3430" s="103"/>
      <c r="E3430" s="103"/>
      <c r="F3430" s="103"/>
      <c r="G3430" s="103"/>
      <c r="H3430" s="103"/>
      <c r="I3430" s="103"/>
      <c r="J3430" s="103"/>
      <c r="K3430" s="103"/>
      <c r="L3430" s="103"/>
      <c r="M3430" s="104"/>
      <c r="N3430" s="103"/>
    </row>
    <row r="3431" spans="1:14" ht="45" customHeight="1" thickBot="1" x14ac:dyDescent="0.4">
      <c r="A3431" s="103"/>
      <c r="B3431" s="103"/>
      <c r="C3431" s="103"/>
      <c r="D3431" s="103"/>
      <c r="E3431" s="103"/>
      <c r="F3431" s="103"/>
      <c r="G3431" s="103"/>
      <c r="H3431" s="103"/>
      <c r="I3431" s="103"/>
      <c r="J3431" s="103"/>
      <c r="K3431" s="103"/>
      <c r="L3431" s="103"/>
      <c r="M3431" s="104"/>
      <c r="N3431" s="103"/>
    </row>
    <row r="3432" spans="1:14" ht="45" customHeight="1" thickBot="1" x14ac:dyDescent="0.4">
      <c r="A3432" s="103"/>
      <c r="B3432" s="103"/>
      <c r="C3432" s="103"/>
      <c r="D3432" s="103"/>
      <c r="E3432" s="103"/>
      <c r="F3432" s="103"/>
      <c r="G3432" s="103"/>
      <c r="H3432" s="103"/>
      <c r="I3432" s="103"/>
      <c r="J3432" s="103"/>
      <c r="K3432" s="103"/>
      <c r="L3432" s="103"/>
      <c r="M3432" s="104"/>
      <c r="N3432" s="103"/>
    </row>
    <row r="3433" spans="1:14" ht="45" customHeight="1" thickBot="1" x14ac:dyDescent="0.4">
      <c r="A3433" s="103"/>
      <c r="B3433" s="103"/>
      <c r="C3433" s="103"/>
      <c r="D3433" s="103"/>
      <c r="E3433" s="103"/>
      <c r="F3433" s="103"/>
      <c r="G3433" s="103"/>
      <c r="H3433" s="103"/>
      <c r="I3433" s="103"/>
      <c r="J3433" s="103"/>
      <c r="K3433" s="103"/>
      <c r="L3433" s="103"/>
      <c r="M3433" s="104"/>
      <c r="N3433" s="103"/>
    </row>
    <row r="3434" spans="1:14" ht="45" customHeight="1" thickBot="1" x14ac:dyDescent="0.4">
      <c r="A3434" s="103"/>
      <c r="B3434" s="103"/>
      <c r="C3434" s="103"/>
      <c r="D3434" s="103"/>
      <c r="E3434" s="103"/>
      <c r="F3434" s="103"/>
      <c r="G3434" s="103"/>
      <c r="H3434" s="103"/>
      <c r="I3434" s="103"/>
      <c r="J3434" s="103"/>
      <c r="K3434" s="103"/>
      <c r="L3434" s="103"/>
      <c r="M3434" s="104"/>
      <c r="N3434" s="103"/>
    </row>
    <row r="3435" spans="1:14" ht="45" customHeight="1" thickBot="1" x14ac:dyDescent="0.4">
      <c r="A3435" s="103"/>
      <c r="B3435" s="103"/>
      <c r="C3435" s="103"/>
      <c r="D3435" s="103"/>
      <c r="E3435" s="103"/>
      <c r="F3435" s="103"/>
      <c r="G3435" s="103"/>
      <c r="H3435" s="103"/>
      <c r="I3435" s="103"/>
      <c r="J3435" s="103"/>
      <c r="K3435" s="103"/>
      <c r="L3435" s="103"/>
      <c r="M3435" s="104"/>
      <c r="N3435" s="103"/>
    </row>
    <row r="3436" spans="1:14" ht="45" customHeight="1" thickBot="1" x14ac:dyDescent="0.4">
      <c r="A3436" s="103"/>
      <c r="B3436" s="103"/>
      <c r="C3436" s="103"/>
      <c r="D3436" s="103"/>
      <c r="E3436" s="103"/>
      <c r="F3436" s="103"/>
      <c r="G3436" s="103"/>
      <c r="H3436" s="103"/>
      <c r="I3436" s="103"/>
      <c r="J3436" s="103"/>
      <c r="K3436" s="103"/>
      <c r="L3436" s="103"/>
      <c r="M3436" s="104"/>
      <c r="N3436" s="103"/>
    </row>
    <row r="3437" spans="1:14" ht="45" customHeight="1" thickBot="1" x14ac:dyDescent="0.4">
      <c r="A3437" s="103"/>
      <c r="B3437" s="103"/>
      <c r="C3437" s="103"/>
      <c r="D3437" s="103"/>
      <c r="E3437" s="103"/>
      <c r="F3437" s="103"/>
      <c r="G3437" s="103"/>
      <c r="H3437" s="103"/>
      <c r="I3437" s="103"/>
      <c r="J3437" s="103"/>
      <c r="K3437" s="103"/>
      <c r="L3437" s="103"/>
      <c r="M3437" s="104"/>
      <c r="N3437" s="103"/>
    </row>
    <row r="3438" spans="1:14" ht="45" customHeight="1" thickBot="1" x14ac:dyDescent="0.4">
      <c r="A3438" s="103"/>
      <c r="B3438" s="103"/>
      <c r="C3438" s="103"/>
      <c r="D3438" s="103"/>
      <c r="E3438" s="103"/>
      <c r="F3438" s="103"/>
      <c r="G3438" s="103"/>
      <c r="H3438" s="103"/>
      <c r="I3438" s="103"/>
      <c r="J3438" s="103"/>
      <c r="K3438" s="103"/>
      <c r="L3438" s="103"/>
      <c r="M3438" s="104"/>
      <c r="N3438" s="103"/>
    </row>
    <row r="3439" spans="1:14" ht="45" customHeight="1" thickBot="1" x14ac:dyDescent="0.4">
      <c r="A3439" s="103"/>
      <c r="B3439" s="103"/>
      <c r="C3439" s="103"/>
      <c r="D3439" s="103"/>
      <c r="E3439" s="103"/>
      <c r="F3439" s="103"/>
      <c r="G3439" s="103"/>
      <c r="H3439" s="103"/>
      <c r="I3439" s="103"/>
      <c r="J3439" s="103"/>
      <c r="K3439" s="103"/>
      <c r="L3439" s="103"/>
      <c r="M3439" s="104"/>
      <c r="N3439" s="103"/>
    </row>
    <row r="3440" spans="1:14" ht="45" customHeight="1" thickBot="1" x14ac:dyDescent="0.4">
      <c r="A3440" s="103"/>
      <c r="B3440" s="103"/>
      <c r="C3440" s="103"/>
      <c r="D3440" s="103"/>
      <c r="E3440" s="103"/>
      <c r="F3440" s="103"/>
      <c r="G3440" s="103"/>
      <c r="H3440" s="103"/>
      <c r="I3440" s="103"/>
      <c r="J3440" s="103"/>
      <c r="K3440" s="103"/>
      <c r="L3440" s="103"/>
      <c r="M3440" s="104"/>
      <c r="N3440" s="103"/>
    </row>
    <row r="3441" spans="1:14" ht="45" customHeight="1" thickBot="1" x14ac:dyDescent="0.4">
      <c r="A3441" s="103"/>
      <c r="B3441" s="103"/>
      <c r="C3441" s="103"/>
      <c r="D3441" s="103"/>
      <c r="E3441" s="103"/>
      <c r="F3441" s="103"/>
      <c r="G3441" s="103"/>
      <c r="H3441" s="103"/>
      <c r="I3441" s="103"/>
      <c r="J3441" s="103"/>
      <c r="K3441" s="103"/>
      <c r="L3441" s="103"/>
      <c r="M3441" s="104"/>
      <c r="N3441" s="103"/>
    </row>
    <row r="3442" spans="1:14" ht="45" customHeight="1" thickBot="1" x14ac:dyDescent="0.4">
      <c r="A3442" s="103"/>
      <c r="B3442" s="103"/>
      <c r="C3442" s="103"/>
      <c r="D3442" s="103"/>
      <c r="E3442" s="103"/>
      <c r="F3442" s="103"/>
      <c r="G3442" s="103"/>
      <c r="H3442" s="103"/>
      <c r="I3442" s="103"/>
      <c r="J3442" s="103"/>
      <c r="K3442" s="103"/>
      <c r="L3442" s="103"/>
      <c r="M3442" s="104"/>
      <c r="N3442" s="103"/>
    </row>
    <row r="3443" spans="1:14" ht="45" customHeight="1" thickBot="1" x14ac:dyDescent="0.4">
      <c r="A3443" s="103"/>
      <c r="B3443" s="103"/>
      <c r="C3443" s="103"/>
      <c r="D3443" s="103"/>
      <c r="E3443" s="103"/>
      <c r="F3443" s="103"/>
      <c r="G3443" s="103"/>
      <c r="H3443" s="103"/>
      <c r="I3443" s="103"/>
      <c r="J3443" s="103"/>
      <c r="K3443" s="103"/>
      <c r="L3443" s="103"/>
      <c r="M3443" s="104"/>
      <c r="N3443" s="103"/>
    </row>
    <row r="3444" spans="1:14" ht="45" customHeight="1" thickBot="1" x14ac:dyDescent="0.4">
      <c r="A3444" s="103"/>
      <c r="B3444" s="103"/>
      <c r="C3444" s="103"/>
      <c r="D3444" s="103"/>
      <c r="E3444" s="103"/>
      <c r="F3444" s="103"/>
      <c r="G3444" s="103"/>
      <c r="H3444" s="103"/>
      <c r="I3444" s="103"/>
      <c r="J3444" s="103"/>
      <c r="K3444" s="103"/>
      <c r="L3444" s="103"/>
      <c r="M3444" s="104"/>
      <c r="N3444" s="103"/>
    </row>
    <row r="3445" spans="1:14" ht="45" customHeight="1" thickBot="1" x14ac:dyDescent="0.4">
      <c r="A3445" s="103"/>
      <c r="B3445" s="103"/>
      <c r="C3445" s="103"/>
      <c r="D3445" s="103"/>
      <c r="E3445" s="103"/>
      <c r="F3445" s="103"/>
      <c r="G3445" s="103"/>
      <c r="H3445" s="103"/>
      <c r="I3445" s="103"/>
      <c r="J3445" s="103"/>
      <c r="K3445" s="103"/>
      <c r="L3445" s="103"/>
      <c r="M3445" s="104"/>
      <c r="N3445" s="103"/>
    </row>
    <row r="3446" spans="1:14" ht="45" customHeight="1" thickBot="1" x14ac:dyDescent="0.4">
      <c r="A3446" s="103"/>
      <c r="B3446" s="103"/>
      <c r="C3446" s="103"/>
      <c r="D3446" s="103"/>
      <c r="E3446" s="103"/>
      <c r="F3446" s="103"/>
      <c r="G3446" s="103"/>
      <c r="H3446" s="103"/>
      <c r="I3446" s="103"/>
      <c r="J3446" s="103"/>
      <c r="K3446" s="103"/>
      <c r="L3446" s="103"/>
      <c r="M3446" s="104"/>
      <c r="N3446" s="103"/>
    </row>
    <row r="3447" spans="1:14" ht="45" customHeight="1" thickBot="1" x14ac:dyDescent="0.4">
      <c r="A3447" s="103"/>
      <c r="B3447" s="103"/>
      <c r="C3447" s="103"/>
      <c r="D3447" s="103"/>
      <c r="E3447" s="103"/>
      <c r="F3447" s="103"/>
      <c r="G3447" s="103"/>
      <c r="H3447" s="103"/>
      <c r="I3447" s="103"/>
      <c r="J3447" s="103"/>
      <c r="K3447" s="103"/>
      <c r="L3447" s="103"/>
      <c r="M3447" s="104"/>
      <c r="N3447" s="103"/>
    </row>
    <row r="3448" spans="1:14" ht="45" customHeight="1" thickBot="1" x14ac:dyDescent="0.4">
      <c r="A3448" s="103"/>
      <c r="B3448" s="103"/>
      <c r="C3448" s="103"/>
      <c r="D3448" s="103"/>
      <c r="E3448" s="103"/>
      <c r="F3448" s="103"/>
      <c r="G3448" s="103"/>
      <c r="H3448" s="103"/>
      <c r="I3448" s="103"/>
      <c r="J3448" s="103"/>
      <c r="K3448" s="103"/>
      <c r="L3448" s="103"/>
      <c r="M3448" s="104"/>
      <c r="N3448" s="103"/>
    </row>
    <row r="3449" spans="1:14" ht="45" customHeight="1" thickBot="1" x14ac:dyDescent="0.4">
      <c r="A3449" s="103"/>
      <c r="B3449" s="103"/>
      <c r="C3449" s="103"/>
      <c r="D3449" s="103"/>
      <c r="E3449" s="103"/>
      <c r="F3449" s="103"/>
      <c r="G3449" s="103"/>
      <c r="H3449" s="103"/>
      <c r="I3449" s="103"/>
      <c r="J3449" s="103"/>
      <c r="K3449" s="103"/>
      <c r="L3449" s="103"/>
      <c r="M3449" s="104"/>
      <c r="N3449" s="103"/>
    </row>
    <row r="3450" spans="1:14" ht="45" customHeight="1" thickBot="1" x14ac:dyDescent="0.4">
      <c r="A3450" s="103"/>
      <c r="B3450" s="103"/>
      <c r="C3450" s="103"/>
      <c r="D3450" s="103"/>
      <c r="E3450" s="103"/>
      <c r="F3450" s="103"/>
      <c r="G3450" s="103"/>
      <c r="H3450" s="103"/>
      <c r="I3450" s="103"/>
      <c r="J3450" s="103"/>
      <c r="K3450" s="103"/>
      <c r="L3450" s="103"/>
      <c r="M3450" s="104"/>
      <c r="N3450" s="103"/>
    </row>
    <row r="3451" spans="1:14" ht="45" customHeight="1" thickBot="1" x14ac:dyDescent="0.4">
      <c r="A3451" s="103"/>
      <c r="B3451" s="103"/>
      <c r="C3451" s="103"/>
      <c r="D3451" s="103"/>
      <c r="E3451" s="103"/>
      <c r="F3451" s="103"/>
      <c r="G3451" s="103"/>
      <c r="H3451" s="103"/>
      <c r="I3451" s="103"/>
      <c r="J3451" s="103"/>
      <c r="K3451" s="103"/>
      <c r="L3451" s="103"/>
      <c r="M3451" s="104"/>
      <c r="N3451" s="103"/>
    </row>
    <row r="3452" spans="1:14" ht="45" customHeight="1" thickBot="1" x14ac:dyDescent="0.4">
      <c r="A3452" s="103"/>
      <c r="B3452" s="103"/>
      <c r="C3452" s="103"/>
      <c r="D3452" s="103"/>
      <c r="E3452" s="103"/>
      <c r="F3452" s="103"/>
      <c r="G3452" s="103"/>
      <c r="H3452" s="103"/>
      <c r="I3452" s="103"/>
      <c r="J3452" s="103"/>
      <c r="K3452" s="103"/>
      <c r="L3452" s="103"/>
      <c r="M3452" s="104"/>
      <c r="N3452" s="103"/>
    </row>
    <row r="3453" spans="1:14" ht="45" customHeight="1" thickBot="1" x14ac:dyDescent="0.4">
      <c r="A3453" s="103"/>
      <c r="B3453" s="103"/>
      <c r="C3453" s="103"/>
      <c r="D3453" s="103"/>
      <c r="E3453" s="103"/>
      <c r="F3453" s="103"/>
      <c r="G3453" s="103"/>
      <c r="H3453" s="103"/>
      <c r="I3453" s="103"/>
      <c r="J3453" s="103"/>
      <c r="K3453" s="103"/>
      <c r="L3453" s="103"/>
      <c r="M3453" s="104"/>
      <c r="N3453" s="103"/>
    </row>
    <row r="3454" spans="1:14" ht="45" customHeight="1" thickBot="1" x14ac:dyDescent="0.4">
      <c r="A3454" s="103"/>
      <c r="B3454" s="103"/>
      <c r="C3454" s="103"/>
      <c r="D3454" s="103"/>
      <c r="E3454" s="103"/>
      <c r="F3454" s="103"/>
      <c r="G3454" s="103"/>
      <c r="H3454" s="103"/>
      <c r="I3454" s="103"/>
      <c r="J3454" s="103"/>
      <c r="K3454" s="103"/>
      <c r="L3454" s="103"/>
      <c r="M3454" s="104"/>
      <c r="N3454" s="103"/>
    </row>
    <row r="3455" spans="1:14" ht="45" customHeight="1" thickBot="1" x14ac:dyDescent="0.4">
      <c r="A3455" s="103"/>
      <c r="B3455" s="103"/>
      <c r="C3455" s="103"/>
      <c r="D3455" s="103"/>
      <c r="E3455" s="103"/>
      <c r="F3455" s="103"/>
      <c r="G3455" s="103"/>
      <c r="H3455" s="103"/>
      <c r="I3455" s="103"/>
      <c r="J3455" s="103"/>
      <c r="K3455" s="103"/>
      <c r="L3455" s="103"/>
      <c r="M3455" s="104"/>
      <c r="N3455" s="103"/>
    </row>
    <row r="3456" spans="1:14" ht="45" customHeight="1" thickBot="1" x14ac:dyDescent="0.4">
      <c r="A3456" s="103"/>
      <c r="B3456" s="103"/>
      <c r="C3456" s="103"/>
      <c r="D3456" s="103"/>
      <c r="E3456" s="103"/>
      <c r="F3456" s="103"/>
      <c r="G3456" s="103"/>
      <c r="H3456" s="103"/>
      <c r="I3456" s="103"/>
      <c r="J3456" s="103"/>
      <c r="K3456" s="103"/>
      <c r="L3456" s="103"/>
      <c r="M3456" s="104"/>
      <c r="N3456" s="103"/>
    </row>
    <row r="3457" spans="1:14" ht="45" customHeight="1" thickBot="1" x14ac:dyDescent="0.4">
      <c r="A3457" s="103"/>
      <c r="B3457" s="103"/>
      <c r="C3457" s="103"/>
      <c r="D3457" s="103"/>
      <c r="E3457" s="103"/>
      <c r="F3457" s="103"/>
      <c r="G3457" s="103"/>
      <c r="H3457" s="103"/>
      <c r="I3457" s="103"/>
      <c r="J3457" s="103"/>
      <c r="K3457" s="103"/>
      <c r="L3457" s="103"/>
      <c r="M3457" s="104"/>
      <c r="N3457" s="103"/>
    </row>
    <row r="3458" spans="1:14" ht="45" customHeight="1" thickBot="1" x14ac:dyDescent="0.4">
      <c r="A3458" s="103"/>
      <c r="B3458" s="103"/>
      <c r="C3458" s="103"/>
      <c r="D3458" s="103"/>
      <c r="E3458" s="103"/>
      <c r="F3458" s="103"/>
      <c r="G3458" s="103"/>
      <c r="H3458" s="103"/>
      <c r="I3458" s="103"/>
      <c r="J3458" s="103"/>
      <c r="K3458" s="103"/>
      <c r="L3458" s="103"/>
      <c r="M3458" s="104"/>
      <c r="N3458" s="103"/>
    </row>
    <row r="3459" spans="1:14" ht="45" customHeight="1" thickBot="1" x14ac:dyDescent="0.4">
      <c r="A3459" s="103"/>
      <c r="B3459" s="103"/>
      <c r="C3459" s="103"/>
      <c r="D3459" s="103"/>
      <c r="E3459" s="103"/>
      <c r="F3459" s="103"/>
      <c r="G3459" s="103"/>
      <c r="H3459" s="103"/>
      <c r="I3459" s="103"/>
      <c r="J3459" s="103"/>
      <c r="K3459" s="103"/>
      <c r="L3459" s="103"/>
      <c r="M3459" s="104"/>
      <c r="N3459" s="103"/>
    </row>
    <row r="3460" spans="1:14" ht="45" customHeight="1" thickBot="1" x14ac:dyDescent="0.4">
      <c r="A3460" s="103"/>
      <c r="B3460" s="103"/>
      <c r="C3460" s="103"/>
      <c r="D3460" s="103"/>
      <c r="E3460" s="103"/>
      <c r="F3460" s="103"/>
      <c r="G3460" s="103"/>
      <c r="H3460" s="103"/>
      <c r="I3460" s="103"/>
      <c r="J3460" s="103"/>
      <c r="K3460" s="103"/>
      <c r="L3460" s="103"/>
      <c r="M3460" s="104"/>
      <c r="N3460" s="103"/>
    </row>
    <row r="3461" spans="1:14" ht="45" customHeight="1" thickBot="1" x14ac:dyDescent="0.4">
      <c r="A3461" s="103"/>
      <c r="B3461" s="103"/>
      <c r="C3461" s="103"/>
      <c r="D3461" s="103"/>
      <c r="E3461" s="103"/>
      <c r="F3461" s="103"/>
      <c r="G3461" s="103"/>
      <c r="H3461" s="103"/>
      <c r="I3461" s="103"/>
      <c r="J3461" s="103"/>
      <c r="K3461" s="103"/>
      <c r="L3461" s="103"/>
      <c r="M3461" s="104"/>
      <c r="N3461" s="103"/>
    </row>
    <row r="3462" spans="1:14" ht="45" customHeight="1" thickBot="1" x14ac:dyDescent="0.4">
      <c r="A3462" s="103"/>
      <c r="B3462" s="103"/>
      <c r="C3462" s="103"/>
      <c r="D3462" s="103"/>
      <c r="E3462" s="103"/>
      <c r="F3462" s="103"/>
      <c r="G3462" s="103"/>
      <c r="H3462" s="103"/>
      <c r="I3462" s="103"/>
      <c r="J3462" s="103"/>
      <c r="K3462" s="103"/>
      <c r="L3462" s="103"/>
      <c r="M3462" s="104"/>
      <c r="N3462" s="103"/>
    </row>
    <row r="3463" spans="1:14" ht="45" customHeight="1" thickBot="1" x14ac:dyDescent="0.4">
      <c r="A3463" s="103"/>
      <c r="B3463" s="103"/>
      <c r="C3463" s="103"/>
      <c r="D3463" s="103"/>
      <c r="E3463" s="103"/>
      <c r="F3463" s="103"/>
      <c r="G3463" s="103"/>
      <c r="H3463" s="103"/>
      <c r="I3463" s="103"/>
      <c r="J3463" s="103"/>
      <c r="K3463" s="103"/>
      <c r="L3463" s="103"/>
      <c r="M3463" s="104"/>
      <c r="N3463" s="103"/>
    </row>
    <row r="3464" spans="1:14" ht="45" customHeight="1" thickBot="1" x14ac:dyDescent="0.4">
      <c r="A3464" s="103"/>
      <c r="B3464" s="103"/>
      <c r="C3464" s="103"/>
      <c r="D3464" s="103"/>
      <c r="E3464" s="103"/>
      <c r="F3464" s="103"/>
      <c r="G3464" s="103"/>
      <c r="H3464" s="103"/>
      <c r="I3464" s="103"/>
      <c r="J3464" s="103"/>
      <c r="K3464" s="103"/>
      <c r="L3464" s="103"/>
      <c r="M3464" s="104"/>
      <c r="N3464" s="103"/>
    </row>
    <row r="3465" spans="1:14" ht="45" customHeight="1" thickBot="1" x14ac:dyDescent="0.4">
      <c r="A3465" s="103"/>
      <c r="B3465" s="103"/>
      <c r="C3465" s="103"/>
      <c r="D3465" s="103"/>
      <c r="E3465" s="103"/>
      <c r="F3465" s="103"/>
      <c r="G3465" s="103"/>
      <c r="H3465" s="103"/>
      <c r="I3465" s="103"/>
      <c r="J3465" s="103"/>
      <c r="K3465" s="103"/>
      <c r="L3465" s="103"/>
      <c r="M3465" s="104"/>
      <c r="N3465" s="103"/>
    </row>
    <row r="3466" spans="1:14" ht="45" customHeight="1" thickBot="1" x14ac:dyDescent="0.4">
      <c r="A3466" s="103"/>
      <c r="B3466" s="103"/>
      <c r="C3466" s="103"/>
      <c r="D3466" s="103"/>
      <c r="E3466" s="103"/>
      <c r="F3466" s="103"/>
      <c r="G3466" s="103"/>
      <c r="H3466" s="103"/>
      <c r="I3466" s="103"/>
      <c r="J3466" s="103"/>
      <c r="K3466" s="103"/>
      <c r="L3466" s="103"/>
      <c r="M3466" s="104"/>
      <c r="N3466" s="103"/>
    </row>
    <row r="3467" spans="1:14" ht="45" customHeight="1" thickBot="1" x14ac:dyDescent="0.4">
      <c r="A3467" s="103"/>
      <c r="B3467" s="103"/>
      <c r="C3467" s="103"/>
      <c r="D3467" s="103"/>
      <c r="E3467" s="103"/>
      <c r="F3467" s="103"/>
      <c r="G3467" s="103"/>
      <c r="H3467" s="103"/>
      <c r="I3467" s="103"/>
      <c r="J3467" s="103"/>
      <c r="K3467" s="103"/>
      <c r="L3467" s="103"/>
      <c r="M3467" s="104"/>
      <c r="N3467" s="103"/>
    </row>
    <row r="3468" spans="1:14" ht="45" customHeight="1" thickBot="1" x14ac:dyDescent="0.4">
      <c r="A3468" s="103"/>
      <c r="B3468" s="103"/>
      <c r="C3468" s="103"/>
      <c r="D3468" s="103"/>
      <c r="E3468" s="103"/>
      <c r="F3468" s="103"/>
      <c r="G3468" s="103"/>
      <c r="H3468" s="103"/>
      <c r="I3468" s="103"/>
      <c r="J3468" s="103"/>
      <c r="K3468" s="103"/>
      <c r="L3468" s="103"/>
      <c r="M3468" s="104"/>
      <c r="N3468" s="103"/>
    </row>
    <row r="3469" spans="1:14" ht="45" customHeight="1" thickBot="1" x14ac:dyDescent="0.4">
      <c r="A3469" s="103"/>
      <c r="B3469" s="103"/>
      <c r="C3469" s="103"/>
      <c r="D3469" s="103"/>
      <c r="E3469" s="103"/>
      <c r="F3469" s="103"/>
      <c r="G3469" s="103"/>
      <c r="H3469" s="103"/>
      <c r="I3469" s="103"/>
      <c r="J3469" s="103"/>
      <c r="K3469" s="103"/>
      <c r="L3469" s="103"/>
      <c r="M3469" s="104"/>
      <c r="N3469" s="103"/>
    </row>
    <row r="3470" spans="1:14" ht="45" customHeight="1" thickBot="1" x14ac:dyDescent="0.4">
      <c r="A3470" s="103"/>
      <c r="B3470" s="103"/>
      <c r="C3470" s="103"/>
      <c r="D3470" s="103"/>
      <c r="E3470" s="103"/>
      <c r="F3470" s="103"/>
      <c r="G3470" s="103"/>
      <c r="H3470" s="103"/>
      <c r="I3470" s="103"/>
      <c r="J3470" s="103"/>
      <c r="K3470" s="103"/>
      <c r="L3470" s="103"/>
      <c r="M3470" s="104"/>
      <c r="N3470" s="103"/>
    </row>
    <row r="3471" spans="1:14" ht="45" customHeight="1" thickBot="1" x14ac:dyDescent="0.4">
      <c r="A3471" s="103"/>
      <c r="B3471" s="103"/>
      <c r="C3471" s="103"/>
      <c r="D3471" s="103"/>
      <c r="E3471" s="103"/>
      <c r="F3471" s="103"/>
      <c r="G3471" s="103"/>
      <c r="H3471" s="103"/>
      <c r="I3471" s="103"/>
      <c r="J3471" s="103"/>
      <c r="K3471" s="103"/>
      <c r="L3471" s="103"/>
      <c r="M3471" s="104"/>
      <c r="N3471" s="103"/>
    </row>
    <row r="3472" spans="1:14" ht="45" customHeight="1" thickBot="1" x14ac:dyDescent="0.4">
      <c r="A3472" s="103"/>
      <c r="B3472" s="103"/>
      <c r="C3472" s="103"/>
      <c r="D3472" s="103"/>
      <c r="E3472" s="103"/>
      <c r="F3472" s="103"/>
      <c r="G3472" s="103"/>
      <c r="H3472" s="103"/>
      <c r="I3472" s="103"/>
      <c r="J3472" s="103"/>
      <c r="K3472" s="103"/>
      <c r="L3472" s="103"/>
      <c r="M3472" s="104"/>
      <c r="N3472" s="103"/>
    </row>
    <row r="3473" spans="1:14" ht="45" customHeight="1" thickBot="1" x14ac:dyDescent="0.4">
      <c r="A3473" s="103"/>
      <c r="B3473" s="103"/>
      <c r="C3473" s="103"/>
      <c r="D3473" s="103"/>
      <c r="E3473" s="103"/>
      <c r="F3473" s="103"/>
      <c r="G3473" s="103"/>
      <c r="H3473" s="103"/>
      <c r="I3473" s="103"/>
      <c r="J3473" s="103"/>
      <c r="K3473" s="103"/>
      <c r="L3473" s="103"/>
      <c r="M3473" s="104"/>
      <c r="N3473" s="103"/>
    </row>
    <row r="3474" spans="1:14" ht="45" customHeight="1" thickBot="1" x14ac:dyDescent="0.4">
      <c r="A3474" s="103"/>
      <c r="B3474" s="103"/>
      <c r="C3474" s="103"/>
      <c r="D3474" s="103"/>
      <c r="E3474" s="103"/>
      <c r="F3474" s="103"/>
      <c r="G3474" s="103"/>
      <c r="H3474" s="103"/>
      <c r="I3474" s="103"/>
      <c r="J3474" s="103"/>
      <c r="K3474" s="103"/>
      <c r="L3474" s="103"/>
      <c r="M3474" s="104"/>
      <c r="N3474" s="103"/>
    </row>
    <row r="3475" spans="1:14" ht="45" customHeight="1" thickBot="1" x14ac:dyDescent="0.4">
      <c r="A3475" s="103"/>
      <c r="B3475" s="103"/>
      <c r="C3475" s="103"/>
      <c r="D3475" s="103"/>
      <c r="E3475" s="103"/>
      <c r="F3475" s="103"/>
      <c r="G3475" s="103"/>
      <c r="H3475" s="103"/>
      <c r="I3475" s="103"/>
      <c r="J3475" s="103"/>
      <c r="K3475" s="103"/>
      <c r="L3475" s="103"/>
      <c r="M3475" s="104"/>
      <c r="N3475" s="103"/>
    </row>
    <row r="3476" spans="1:14" ht="45" customHeight="1" thickBot="1" x14ac:dyDescent="0.4">
      <c r="A3476" s="103"/>
      <c r="B3476" s="103"/>
      <c r="C3476" s="103"/>
      <c r="D3476" s="103"/>
      <c r="E3476" s="103"/>
      <c r="F3476" s="103"/>
      <c r="G3476" s="103"/>
      <c r="H3476" s="103"/>
      <c r="I3476" s="103"/>
      <c r="J3476" s="103"/>
      <c r="K3476" s="103"/>
      <c r="L3476" s="103"/>
      <c r="M3476" s="104"/>
      <c r="N3476" s="103"/>
    </row>
    <row r="3477" spans="1:14" ht="45" customHeight="1" thickBot="1" x14ac:dyDescent="0.4">
      <c r="A3477" s="103"/>
      <c r="B3477" s="103"/>
      <c r="C3477" s="103"/>
      <c r="D3477" s="103"/>
      <c r="E3477" s="103"/>
      <c r="F3477" s="103"/>
      <c r="G3477" s="103"/>
      <c r="H3477" s="103"/>
      <c r="I3477" s="103"/>
      <c r="J3477" s="103"/>
      <c r="K3477" s="103"/>
      <c r="L3477" s="103"/>
      <c r="M3477" s="104"/>
      <c r="N3477" s="103"/>
    </row>
    <row r="3478" spans="1:14" ht="45" customHeight="1" thickBot="1" x14ac:dyDescent="0.4">
      <c r="A3478" s="103"/>
      <c r="B3478" s="103"/>
      <c r="C3478" s="103"/>
      <c r="D3478" s="103"/>
      <c r="E3478" s="103"/>
      <c r="F3478" s="103"/>
      <c r="G3478" s="103"/>
      <c r="H3478" s="103"/>
      <c r="I3478" s="103"/>
      <c r="J3478" s="103"/>
      <c r="K3478" s="103"/>
      <c r="L3478" s="103"/>
      <c r="M3478" s="104"/>
      <c r="N3478" s="103"/>
    </row>
    <row r="3479" spans="1:14" ht="45" customHeight="1" thickBot="1" x14ac:dyDescent="0.4">
      <c r="A3479" s="103"/>
      <c r="B3479" s="103"/>
      <c r="C3479" s="103"/>
      <c r="D3479" s="103"/>
      <c r="E3479" s="103"/>
      <c r="F3479" s="103"/>
      <c r="G3479" s="103"/>
      <c r="H3479" s="103"/>
      <c r="I3479" s="103"/>
      <c r="J3479" s="103"/>
      <c r="K3479" s="103"/>
      <c r="L3479" s="103"/>
      <c r="M3479" s="104"/>
      <c r="N3479" s="103"/>
    </row>
    <row r="3480" spans="1:14" ht="45" customHeight="1" thickBot="1" x14ac:dyDescent="0.4">
      <c r="A3480" s="103"/>
      <c r="B3480" s="103"/>
      <c r="C3480" s="103"/>
      <c r="D3480" s="103"/>
      <c r="E3480" s="103"/>
      <c r="F3480" s="103"/>
      <c r="G3480" s="103"/>
      <c r="H3480" s="103"/>
      <c r="I3480" s="103"/>
      <c r="J3480" s="103"/>
      <c r="K3480" s="103"/>
      <c r="L3480" s="103"/>
      <c r="M3480" s="104"/>
      <c r="N3480" s="103"/>
    </row>
    <row r="3481" spans="1:14" ht="45" customHeight="1" thickBot="1" x14ac:dyDescent="0.4">
      <c r="A3481" s="103"/>
      <c r="B3481" s="103"/>
      <c r="C3481" s="103"/>
      <c r="D3481" s="103"/>
      <c r="E3481" s="103"/>
      <c r="F3481" s="103"/>
      <c r="G3481" s="103"/>
      <c r="H3481" s="103"/>
      <c r="I3481" s="103"/>
      <c r="J3481" s="103"/>
      <c r="K3481" s="103"/>
      <c r="L3481" s="103"/>
      <c r="M3481" s="104"/>
      <c r="N3481" s="103"/>
    </row>
    <row r="3482" spans="1:14" ht="45" customHeight="1" thickBot="1" x14ac:dyDescent="0.4">
      <c r="A3482" s="103"/>
      <c r="B3482" s="103"/>
      <c r="C3482" s="103"/>
      <c r="D3482" s="103"/>
      <c r="E3482" s="103"/>
      <c r="F3482" s="103"/>
      <c r="G3482" s="103"/>
      <c r="H3482" s="103"/>
      <c r="I3482" s="103"/>
      <c r="J3482" s="103"/>
      <c r="K3482" s="103"/>
      <c r="L3482" s="103"/>
      <c r="M3482" s="104"/>
      <c r="N3482" s="103"/>
    </row>
    <row r="3483" spans="1:14" ht="45" customHeight="1" thickBot="1" x14ac:dyDescent="0.4">
      <c r="A3483" s="103"/>
      <c r="B3483" s="103"/>
      <c r="C3483" s="103"/>
      <c r="D3483" s="103"/>
      <c r="E3483" s="103"/>
      <c r="F3483" s="103"/>
      <c r="G3483" s="103"/>
      <c r="H3483" s="103"/>
      <c r="I3483" s="103"/>
      <c r="J3483" s="103"/>
      <c r="K3483" s="103"/>
      <c r="L3483" s="103"/>
      <c r="M3483" s="104"/>
      <c r="N3483" s="103"/>
    </row>
    <row r="3484" spans="1:14" ht="45" customHeight="1" thickBot="1" x14ac:dyDescent="0.4">
      <c r="A3484" s="103"/>
      <c r="B3484" s="103"/>
      <c r="C3484" s="103"/>
      <c r="D3484" s="103"/>
      <c r="E3484" s="103"/>
      <c r="F3484" s="103"/>
      <c r="G3484" s="103"/>
      <c r="H3484" s="103"/>
      <c r="I3484" s="103"/>
      <c r="J3484" s="103"/>
      <c r="K3484" s="103"/>
      <c r="L3484" s="103"/>
      <c r="M3484" s="104"/>
      <c r="N3484" s="103"/>
    </row>
    <row r="3485" spans="1:14" ht="45" customHeight="1" thickBot="1" x14ac:dyDescent="0.4">
      <c r="A3485" s="103"/>
      <c r="B3485" s="103"/>
      <c r="C3485" s="103"/>
      <c r="D3485" s="103"/>
      <c r="E3485" s="103"/>
      <c r="F3485" s="103"/>
      <c r="G3485" s="103"/>
      <c r="H3485" s="103"/>
      <c r="I3485" s="103"/>
      <c r="J3485" s="103"/>
      <c r="K3485" s="103"/>
      <c r="L3485" s="103"/>
      <c r="M3485" s="104"/>
      <c r="N3485" s="103"/>
    </row>
    <row r="3486" spans="1:14" ht="45" customHeight="1" thickBot="1" x14ac:dyDescent="0.4">
      <c r="A3486" s="103"/>
      <c r="B3486" s="103"/>
      <c r="C3486" s="103"/>
      <c r="D3486" s="103"/>
      <c r="E3486" s="103"/>
      <c r="F3486" s="103"/>
      <c r="G3486" s="103"/>
      <c r="H3486" s="103"/>
      <c r="I3486" s="103"/>
      <c r="J3486" s="103"/>
      <c r="K3486" s="103"/>
      <c r="L3486" s="103"/>
      <c r="M3486" s="104"/>
      <c r="N3486" s="103"/>
    </row>
    <row r="3487" spans="1:14" ht="45" customHeight="1" thickBot="1" x14ac:dyDescent="0.4">
      <c r="A3487" s="103"/>
      <c r="B3487" s="103"/>
      <c r="C3487" s="103"/>
      <c r="D3487" s="103"/>
      <c r="E3487" s="103"/>
      <c r="F3487" s="103"/>
      <c r="G3487" s="103"/>
      <c r="H3487" s="103"/>
      <c r="I3487" s="103"/>
      <c r="J3487" s="103"/>
      <c r="K3487" s="103"/>
      <c r="L3487" s="103"/>
      <c r="M3487" s="104"/>
      <c r="N3487" s="103"/>
    </row>
    <row r="3488" spans="1:14" ht="45" customHeight="1" thickBot="1" x14ac:dyDescent="0.4">
      <c r="A3488" s="103"/>
      <c r="B3488" s="103"/>
      <c r="C3488" s="103"/>
      <c r="D3488" s="103"/>
      <c r="E3488" s="103"/>
      <c r="F3488" s="103"/>
      <c r="G3488" s="103"/>
      <c r="H3488" s="103"/>
      <c r="I3488" s="103"/>
      <c r="J3488" s="103"/>
      <c r="K3488" s="103"/>
      <c r="L3488" s="103"/>
      <c r="M3488" s="104"/>
      <c r="N3488" s="103"/>
    </row>
    <row r="3489" spans="1:14" ht="45" customHeight="1" thickBot="1" x14ac:dyDescent="0.4">
      <c r="A3489" s="103"/>
      <c r="B3489" s="103"/>
      <c r="C3489" s="103"/>
      <c r="D3489" s="103"/>
      <c r="E3489" s="103"/>
      <c r="F3489" s="103"/>
      <c r="G3489" s="103"/>
      <c r="H3489" s="103"/>
      <c r="I3489" s="103"/>
      <c r="J3489" s="103"/>
      <c r="K3489" s="103"/>
      <c r="L3489" s="103"/>
      <c r="M3489" s="104"/>
      <c r="N3489" s="103"/>
    </row>
    <row r="3490" spans="1:14" ht="45" customHeight="1" thickBot="1" x14ac:dyDescent="0.4">
      <c r="A3490" s="103"/>
      <c r="B3490" s="103"/>
      <c r="C3490" s="103"/>
      <c r="D3490" s="103"/>
      <c r="E3490" s="103"/>
      <c r="F3490" s="103"/>
      <c r="G3490" s="103"/>
      <c r="H3490" s="103"/>
      <c r="I3490" s="103"/>
      <c r="J3490" s="103"/>
      <c r="K3490" s="103"/>
      <c r="L3490" s="103"/>
      <c r="M3490" s="104"/>
      <c r="N3490" s="103"/>
    </row>
    <row r="3491" spans="1:14" ht="45" customHeight="1" thickBot="1" x14ac:dyDescent="0.4">
      <c r="A3491" s="103"/>
      <c r="B3491" s="103"/>
      <c r="C3491" s="103"/>
      <c r="D3491" s="103"/>
      <c r="E3491" s="103"/>
      <c r="F3491" s="103"/>
      <c r="G3491" s="103"/>
      <c r="H3491" s="103"/>
      <c r="I3491" s="103"/>
      <c r="J3491" s="103"/>
      <c r="K3491" s="103"/>
      <c r="L3491" s="103"/>
      <c r="M3491" s="104"/>
      <c r="N3491" s="103"/>
    </row>
    <row r="3492" spans="1:14" ht="45" customHeight="1" thickBot="1" x14ac:dyDescent="0.4">
      <c r="A3492" s="103"/>
      <c r="B3492" s="103"/>
      <c r="C3492" s="103"/>
      <c r="D3492" s="103"/>
      <c r="E3492" s="103"/>
      <c r="F3492" s="103"/>
      <c r="G3492" s="103"/>
      <c r="H3492" s="103"/>
      <c r="I3492" s="103"/>
      <c r="J3492" s="103"/>
      <c r="K3492" s="103"/>
      <c r="L3492" s="103"/>
      <c r="M3492" s="104"/>
      <c r="N3492" s="103"/>
    </row>
    <row r="3493" spans="1:14" ht="45" customHeight="1" thickBot="1" x14ac:dyDescent="0.4">
      <c r="A3493" s="103"/>
      <c r="B3493" s="103"/>
      <c r="C3493" s="103"/>
      <c r="D3493" s="103"/>
      <c r="E3493" s="103"/>
      <c r="F3493" s="103"/>
      <c r="G3493" s="103"/>
      <c r="H3493" s="103"/>
      <c r="I3493" s="103"/>
      <c r="J3493" s="103"/>
      <c r="K3493" s="103"/>
      <c r="L3493" s="103"/>
      <c r="M3493" s="104"/>
      <c r="N3493" s="103"/>
    </row>
    <row r="3494" spans="1:14" ht="45" customHeight="1" thickBot="1" x14ac:dyDescent="0.4">
      <c r="A3494" s="103"/>
      <c r="B3494" s="103"/>
      <c r="C3494" s="103"/>
      <c r="D3494" s="103"/>
      <c r="E3494" s="103"/>
      <c r="F3494" s="103"/>
      <c r="G3494" s="103"/>
      <c r="H3494" s="103"/>
      <c r="I3494" s="103"/>
      <c r="J3494" s="103"/>
      <c r="K3494" s="103"/>
      <c r="L3494" s="103"/>
      <c r="M3494" s="104"/>
      <c r="N3494" s="103"/>
    </row>
    <row r="3495" spans="1:14" ht="45" customHeight="1" thickBot="1" x14ac:dyDescent="0.4">
      <c r="A3495" s="103"/>
      <c r="B3495" s="103"/>
      <c r="C3495" s="103"/>
      <c r="D3495" s="103"/>
      <c r="E3495" s="103"/>
      <c r="F3495" s="103"/>
      <c r="G3495" s="103"/>
      <c r="H3495" s="103"/>
      <c r="I3495" s="103"/>
      <c r="J3495" s="103"/>
      <c r="K3495" s="103"/>
      <c r="L3495" s="103"/>
      <c r="M3495" s="104"/>
      <c r="N3495" s="103"/>
    </row>
    <row r="3496" spans="1:14" ht="45" customHeight="1" thickBot="1" x14ac:dyDescent="0.4">
      <c r="A3496" s="103"/>
      <c r="B3496" s="103"/>
      <c r="C3496" s="103"/>
      <c r="D3496" s="103"/>
      <c r="E3496" s="103"/>
      <c r="F3496" s="103"/>
      <c r="G3496" s="103"/>
      <c r="H3496" s="103"/>
      <c r="I3496" s="103"/>
      <c r="J3496" s="103"/>
      <c r="K3496" s="103"/>
      <c r="L3496" s="103"/>
      <c r="M3496" s="104"/>
      <c r="N3496" s="103"/>
    </row>
    <row r="3497" spans="1:14" ht="45" customHeight="1" thickBot="1" x14ac:dyDescent="0.4">
      <c r="A3497" s="103"/>
      <c r="B3497" s="103"/>
      <c r="C3497" s="103"/>
      <c r="D3497" s="103"/>
      <c r="E3497" s="103"/>
      <c r="F3497" s="103"/>
      <c r="G3497" s="103"/>
      <c r="H3497" s="103"/>
      <c r="I3497" s="103"/>
      <c r="J3497" s="103"/>
      <c r="K3497" s="103"/>
      <c r="L3497" s="103"/>
      <c r="M3497" s="104"/>
      <c r="N3497" s="103"/>
    </row>
    <row r="3498" spans="1:14" ht="45" customHeight="1" thickBot="1" x14ac:dyDescent="0.4">
      <c r="A3498" s="103"/>
      <c r="B3498" s="103"/>
      <c r="C3498" s="103"/>
      <c r="D3498" s="103"/>
      <c r="E3498" s="103"/>
      <c r="F3498" s="103"/>
      <c r="G3498" s="103"/>
      <c r="H3498" s="103"/>
      <c r="I3498" s="103"/>
      <c r="J3498" s="103"/>
      <c r="K3498" s="103"/>
      <c r="L3498" s="103"/>
      <c r="M3498" s="104"/>
      <c r="N3498" s="103"/>
    </row>
    <row r="3499" spans="1:14" ht="45" customHeight="1" thickBot="1" x14ac:dyDescent="0.4">
      <c r="A3499" s="103"/>
      <c r="B3499" s="103"/>
      <c r="C3499" s="103"/>
      <c r="D3499" s="103"/>
      <c r="E3499" s="103"/>
      <c r="F3499" s="103"/>
      <c r="G3499" s="103"/>
      <c r="H3499" s="103"/>
      <c r="I3499" s="103"/>
      <c r="J3499" s="103"/>
      <c r="K3499" s="103"/>
      <c r="L3499" s="103"/>
      <c r="M3499" s="104"/>
      <c r="N3499" s="103"/>
    </row>
    <row r="3500" spans="1:14" ht="45" customHeight="1" thickBot="1" x14ac:dyDescent="0.4">
      <c r="A3500" s="103"/>
      <c r="B3500" s="103"/>
      <c r="C3500" s="103"/>
      <c r="D3500" s="103"/>
      <c r="E3500" s="103"/>
      <c r="F3500" s="103"/>
      <c r="G3500" s="103"/>
      <c r="H3500" s="103"/>
      <c r="I3500" s="103"/>
      <c r="J3500" s="103"/>
      <c r="K3500" s="103"/>
      <c r="L3500" s="103"/>
      <c r="M3500" s="104"/>
      <c r="N3500" s="103"/>
    </row>
    <row r="3501" spans="1:14" ht="45" customHeight="1" thickBot="1" x14ac:dyDescent="0.4">
      <c r="A3501" s="103"/>
      <c r="B3501" s="103"/>
      <c r="C3501" s="103"/>
      <c r="D3501" s="103"/>
      <c r="E3501" s="103"/>
      <c r="F3501" s="103"/>
      <c r="G3501" s="103"/>
      <c r="H3501" s="103"/>
      <c r="I3501" s="103"/>
      <c r="J3501" s="103"/>
      <c r="K3501" s="103"/>
      <c r="L3501" s="103"/>
      <c r="M3501" s="104"/>
      <c r="N3501" s="103"/>
    </row>
    <row r="3502" spans="1:14" ht="45" customHeight="1" thickBot="1" x14ac:dyDescent="0.4">
      <c r="A3502" s="103"/>
      <c r="B3502" s="103"/>
      <c r="C3502" s="103"/>
      <c r="D3502" s="103"/>
      <c r="E3502" s="103"/>
      <c r="F3502" s="103"/>
      <c r="G3502" s="103"/>
      <c r="H3502" s="103"/>
      <c r="I3502" s="103"/>
      <c r="J3502" s="103"/>
      <c r="K3502" s="103"/>
      <c r="L3502" s="103"/>
      <c r="M3502" s="104"/>
      <c r="N3502" s="103"/>
    </row>
    <row r="3503" spans="1:14" ht="45" customHeight="1" thickBot="1" x14ac:dyDescent="0.4">
      <c r="A3503" s="103"/>
      <c r="B3503" s="103"/>
      <c r="C3503" s="103"/>
      <c r="D3503" s="103"/>
      <c r="E3503" s="103"/>
      <c r="F3503" s="103"/>
      <c r="G3503" s="103"/>
      <c r="H3503" s="103"/>
      <c r="I3503" s="103"/>
      <c r="J3503" s="103"/>
      <c r="K3503" s="103"/>
      <c r="L3503" s="103"/>
      <c r="M3503" s="104"/>
      <c r="N3503" s="103"/>
    </row>
    <row r="3504" spans="1:14" ht="45" customHeight="1" thickBot="1" x14ac:dyDescent="0.4">
      <c r="A3504" s="103"/>
      <c r="B3504" s="103"/>
      <c r="C3504" s="103"/>
      <c r="D3504" s="103"/>
      <c r="E3504" s="103"/>
      <c r="F3504" s="103"/>
      <c r="G3504" s="103"/>
      <c r="H3504" s="103"/>
      <c r="I3504" s="103"/>
      <c r="J3504" s="103"/>
      <c r="K3504" s="103"/>
      <c r="L3504" s="103"/>
      <c r="M3504" s="104"/>
      <c r="N3504" s="103"/>
    </row>
    <row r="3505" spans="1:14" ht="45" customHeight="1" thickBot="1" x14ac:dyDescent="0.4">
      <c r="A3505" s="103"/>
      <c r="B3505" s="103"/>
      <c r="C3505" s="103"/>
      <c r="D3505" s="103"/>
      <c r="E3505" s="103"/>
      <c r="F3505" s="103"/>
      <c r="G3505" s="103"/>
      <c r="H3505" s="103"/>
      <c r="I3505" s="103"/>
      <c r="J3505" s="103"/>
      <c r="K3505" s="103"/>
      <c r="L3505" s="103"/>
      <c r="M3505" s="104"/>
      <c r="N3505" s="103"/>
    </row>
    <row r="3506" spans="1:14" ht="45" customHeight="1" thickBot="1" x14ac:dyDescent="0.4">
      <c r="A3506" s="103"/>
      <c r="B3506" s="103"/>
      <c r="C3506" s="103"/>
      <c r="D3506" s="103"/>
      <c r="E3506" s="103"/>
      <c r="F3506" s="103"/>
      <c r="G3506" s="103"/>
      <c r="H3506" s="103"/>
      <c r="I3506" s="103"/>
      <c r="J3506" s="103"/>
      <c r="K3506" s="103"/>
      <c r="L3506" s="103"/>
      <c r="M3506" s="104"/>
      <c r="N3506" s="103"/>
    </row>
    <row r="3507" spans="1:14" ht="45" customHeight="1" thickBot="1" x14ac:dyDescent="0.4">
      <c r="A3507" s="103"/>
      <c r="B3507" s="103"/>
      <c r="C3507" s="103"/>
      <c r="D3507" s="103"/>
      <c r="E3507" s="103"/>
      <c r="F3507" s="103"/>
      <c r="G3507" s="103"/>
      <c r="H3507" s="103"/>
      <c r="I3507" s="103"/>
      <c r="J3507" s="103"/>
      <c r="K3507" s="103"/>
      <c r="L3507" s="103"/>
      <c r="M3507" s="104"/>
      <c r="N3507" s="103"/>
    </row>
    <row r="3508" spans="1:14" ht="45" customHeight="1" thickBot="1" x14ac:dyDescent="0.4">
      <c r="A3508" s="103"/>
      <c r="B3508" s="103"/>
      <c r="C3508" s="103"/>
      <c r="D3508" s="103"/>
      <c r="E3508" s="103"/>
      <c r="F3508" s="103"/>
      <c r="G3508" s="103"/>
      <c r="H3508" s="103"/>
      <c r="I3508" s="103"/>
      <c r="J3508" s="103"/>
      <c r="K3508" s="103"/>
      <c r="L3508" s="103"/>
      <c r="M3508" s="104"/>
      <c r="N3508" s="103"/>
    </row>
    <row r="3509" spans="1:14" ht="45" customHeight="1" thickBot="1" x14ac:dyDescent="0.4">
      <c r="A3509" s="103"/>
      <c r="B3509" s="103"/>
      <c r="C3509" s="103"/>
      <c r="D3509" s="103"/>
      <c r="E3509" s="103"/>
      <c r="F3509" s="103"/>
      <c r="G3509" s="103"/>
      <c r="H3509" s="103"/>
      <c r="I3509" s="103"/>
      <c r="J3509" s="103"/>
      <c r="K3509" s="103"/>
      <c r="L3509" s="103"/>
      <c r="M3509" s="104"/>
      <c r="N3509" s="103"/>
    </row>
    <row r="3510" spans="1:14" ht="45" customHeight="1" thickBot="1" x14ac:dyDescent="0.4">
      <c r="A3510" s="103"/>
      <c r="B3510" s="103"/>
      <c r="C3510" s="103"/>
      <c r="D3510" s="103"/>
      <c r="E3510" s="103"/>
      <c r="F3510" s="103"/>
      <c r="G3510" s="103"/>
      <c r="H3510" s="103"/>
      <c r="I3510" s="103"/>
      <c r="J3510" s="103"/>
      <c r="K3510" s="103"/>
      <c r="L3510" s="103"/>
      <c r="M3510" s="104"/>
      <c r="N3510" s="103"/>
    </row>
    <row r="3511" spans="1:14" ht="45" customHeight="1" thickBot="1" x14ac:dyDescent="0.4">
      <c r="A3511" s="103"/>
      <c r="B3511" s="103"/>
      <c r="C3511" s="103"/>
      <c r="D3511" s="103"/>
      <c r="E3511" s="103"/>
      <c r="F3511" s="103"/>
      <c r="G3511" s="103"/>
      <c r="H3511" s="103"/>
      <c r="I3511" s="103"/>
      <c r="J3511" s="103"/>
      <c r="K3511" s="103"/>
      <c r="L3511" s="103"/>
      <c r="M3511" s="104"/>
      <c r="N3511" s="103"/>
    </row>
    <row r="3512" spans="1:14" ht="45" customHeight="1" thickBot="1" x14ac:dyDescent="0.4">
      <c r="A3512" s="103"/>
      <c r="B3512" s="103"/>
      <c r="C3512" s="103"/>
      <c r="D3512" s="103"/>
      <c r="E3512" s="103"/>
      <c r="F3512" s="103"/>
      <c r="G3512" s="103"/>
      <c r="H3512" s="103"/>
      <c r="I3512" s="103"/>
      <c r="J3512" s="103"/>
      <c r="K3512" s="103"/>
      <c r="L3512" s="103"/>
      <c r="M3512" s="104"/>
      <c r="N3512" s="103"/>
    </row>
    <row r="3513" spans="1:14" ht="45" customHeight="1" thickBot="1" x14ac:dyDescent="0.4">
      <c r="A3513" s="103"/>
      <c r="B3513" s="103"/>
      <c r="C3513" s="103"/>
      <c r="D3513" s="103"/>
      <c r="E3513" s="103"/>
      <c r="F3513" s="103"/>
      <c r="G3513" s="103"/>
      <c r="H3513" s="103"/>
      <c r="I3513" s="103"/>
      <c r="J3513" s="103"/>
      <c r="K3513" s="103"/>
      <c r="L3513" s="103"/>
      <c r="M3513" s="104"/>
      <c r="N3513" s="103"/>
    </row>
    <row r="3514" spans="1:14" ht="45" customHeight="1" thickBot="1" x14ac:dyDescent="0.4">
      <c r="A3514" s="103"/>
      <c r="B3514" s="103"/>
      <c r="C3514" s="103"/>
      <c r="D3514" s="103"/>
      <c r="E3514" s="103"/>
      <c r="F3514" s="103"/>
      <c r="G3514" s="103"/>
      <c r="H3514" s="103"/>
      <c r="I3514" s="103"/>
      <c r="J3514" s="103"/>
      <c r="K3514" s="103"/>
      <c r="L3514" s="103"/>
      <c r="M3514" s="104"/>
      <c r="N3514" s="103"/>
    </row>
    <row r="3515" spans="1:14" ht="45" customHeight="1" thickBot="1" x14ac:dyDescent="0.4">
      <c r="A3515" s="103"/>
      <c r="B3515" s="103"/>
      <c r="C3515" s="103"/>
      <c r="D3515" s="103"/>
      <c r="E3515" s="103"/>
      <c r="F3515" s="103"/>
      <c r="G3515" s="103"/>
      <c r="H3515" s="103"/>
      <c r="I3515" s="103"/>
      <c r="J3515" s="103"/>
      <c r="K3515" s="103"/>
      <c r="L3515" s="103"/>
      <c r="M3515" s="104"/>
      <c r="N3515" s="103"/>
    </row>
    <row r="3516" spans="1:14" ht="45" customHeight="1" thickBot="1" x14ac:dyDescent="0.4">
      <c r="A3516" s="103"/>
      <c r="B3516" s="103"/>
      <c r="C3516" s="103"/>
      <c r="D3516" s="103"/>
      <c r="E3516" s="103"/>
      <c r="F3516" s="103"/>
      <c r="G3516" s="103"/>
      <c r="H3516" s="103"/>
      <c r="I3516" s="103"/>
      <c r="J3516" s="103"/>
      <c r="K3516" s="103"/>
      <c r="L3516" s="103"/>
      <c r="M3516" s="104"/>
      <c r="N3516" s="103"/>
    </row>
    <row r="3517" spans="1:14" ht="45" customHeight="1" thickBot="1" x14ac:dyDescent="0.4">
      <c r="A3517" s="103"/>
      <c r="B3517" s="103"/>
      <c r="C3517" s="103"/>
      <c r="D3517" s="103"/>
      <c r="E3517" s="103"/>
      <c r="F3517" s="103"/>
      <c r="G3517" s="103"/>
      <c r="H3517" s="103"/>
      <c r="I3517" s="103"/>
      <c r="J3517" s="103"/>
      <c r="K3517" s="103"/>
      <c r="L3517" s="103"/>
      <c r="M3517" s="104"/>
      <c r="N3517" s="103"/>
    </row>
    <row r="3518" spans="1:14" ht="45" customHeight="1" thickBot="1" x14ac:dyDescent="0.4">
      <c r="A3518" s="103"/>
      <c r="B3518" s="103"/>
      <c r="C3518" s="103"/>
      <c r="D3518" s="103"/>
      <c r="E3518" s="103"/>
      <c r="F3518" s="103"/>
      <c r="G3518" s="103"/>
      <c r="H3518" s="103"/>
      <c r="I3518" s="103"/>
      <c r="J3518" s="103"/>
      <c r="K3518" s="103"/>
      <c r="L3518" s="103"/>
      <c r="M3518" s="104"/>
      <c r="N3518" s="103"/>
    </row>
    <row r="3519" spans="1:14" ht="45" customHeight="1" thickBot="1" x14ac:dyDescent="0.4">
      <c r="A3519" s="103"/>
      <c r="B3519" s="103"/>
      <c r="C3519" s="103"/>
      <c r="D3519" s="103"/>
      <c r="E3519" s="103"/>
      <c r="F3519" s="103"/>
      <c r="G3519" s="103"/>
      <c r="H3519" s="103"/>
      <c r="I3519" s="103"/>
      <c r="J3519" s="103"/>
      <c r="K3519" s="103"/>
      <c r="L3519" s="103"/>
      <c r="M3519" s="104"/>
      <c r="N3519" s="103"/>
    </row>
    <row r="3520" spans="1:14" ht="45" customHeight="1" thickBot="1" x14ac:dyDescent="0.4">
      <c r="A3520" s="103"/>
      <c r="B3520" s="103"/>
      <c r="C3520" s="103"/>
      <c r="D3520" s="103"/>
      <c r="E3520" s="103"/>
      <c r="F3520" s="103"/>
      <c r="G3520" s="103"/>
      <c r="H3520" s="103"/>
      <c r="I3520" s="103"/>
      <c r="J3520" s="103"/>
      <c r="K3520" s="103"/>
      <c r="L3520" s="103"/>
      <c r="M3520" s="104"/>
      <c r="N3520" s="103"/>
    </row>
    <row r="3521" spans="1:14" ht="45" customHeight="1" thickBot="1" x14ac:dyDescent="0.4">
      <c r="A3521" s="103"/>
      <c r="B3521" s="103"/>
      <c r="C3521" s="103"/>
      <c r="D3521" s="103"/>
      <c r="E3521" s="103"/>
      <c r="F3521" s="103"/>
      <c r="G3521" s="103"/>
      <c r="H3521" s="103"/>
      <c r="I3521" s="103"/>
      <c r="J3521" s="103"/>
      <c r="K3521" s="103"/>
      <c r="L3521" s="103"/>
      <c r="M3521" s="104"/>
      <c r="N3521" s="103"/>
    </row>
    <row r="3522" spans="1:14" ht="45" customHeight="1" thickBot="1" x14ac:dyDescent="0.4">
      <c r="A3522" s="103"/>
      <c r="B3522" s="103"/>
      <c r="C3522" s="103"/>
      <c r="D3522" s="103"/>
      <c r="E3522" s="103"/>
      <c r="F3522" s="103"/>
      <c r="G3522" s="103"/>
      <c r="H3522" s="103"/>
      <c r="I3522" s="103"/>
      <c r="J3522" s="103"/>
      <c r="K3522" s="103"/>
      <c r="L3522" s="103"/>
      <c r="M3522" s="104"/>
      <c r="N3522" s="103"/>
    </row>
    <row r="3523" spans="1:14" ht="45" customHeight="1" thickBot="1" x14ac:dyDescent="0.4">
      <c r="A3523" s="103"/>
      <c r="B3523" s="103"/>
      <c r="C3523" s="103"/>
      <c r="D3523" s="103"/>
      <c r="E3523" s="103"/>
      <c r="F3523" s="103"/>
      <c r="G3523" s="103"/>
      <c r="H3523" s="103"/>
      <c r="I3523" s="103"/>
      <c r="J3523" s="103"/>
      <c r="K3523" s="103"/>
      <c r="L3523" s="103"/>
      <c r="M3523" s="104"/>
      <c r="N3523" s="103"/>
    </row>
    <row r="3524" spans="1:14" ht="45" customHeight="1" thickBot="1" x14ac:dyDescent="0.4">
      <c r="A3524" s="103"/>
      <c r="B3524" s="103"/>
      <c r="C3524" s="103"/>
      <c r="D3524" s="103"/>
      <c r="E3524" s="103"/>
      <c r="F3524" s="103"/>
      <c r="G3524" s="103"/>
      <c r="H3524" s="103"/>
      <c r="I3524" s="103"/>
      <c r="J3524" s="103"/>
      <c r="K3524" s="103"/>
      <c r="L3524" s="103"/>
      <c r="M3524" s="104"/>
      <c r="N3524" s="103"/>
    </row>
    <row r="3525" spans="1:14" ht="45" customHeight="1" thickBot="1" x14ac:dyDescent="0.4">
      <c r="A3525" s="103"/>
      <c r="B3525" s="103"/>
      <c r="C3525" s="103"/>
      <c r="D3525" s="103"/>
      <c r="E3525" s="103"/>
      <c r="F3525" s="103"/>
      <c r="G3525" s="103"/>
      <c r="H3525" s="103"/>
      <c r="I3525" s="103"/>
      <c r="J3525" s="103"/>
      <c r="K3525" s="103"/>
      <c r="L3525" s="103"/>
      <c r="M3525" s="104"/>
      <c r="N3525" s="103"/>
    </row>
    <row r="3526" spans="1:14" ht="45" customHeight="1" thickBot="1" x14ac:dyDescent="0.4">
      <c r="A3526" s="103"/>
      <c r="B3526" s="103"/>
      <c r="C3526" s="103"/>
      <c r="D3526" s="103"/>
      <c r="E3526" s="103"/>
      <c r="F3526" s="103"/>
      <c r="G3526" s="103"/>
      <c r="H3526" s="103"/>
      <c r="I3526" s="103"/>
      <c r="J3526" s="103"/>
      <c r="K3526" s="103"/>
      <c r="L3526" s="103"/>
      <c r="M3526" s="104"/>
      <c r="N3526" s="103"/>
    </row>
    <row r="3527" spans="1:14" ht="45" customHeight="1" thickBot="1" x14ac:dyDescent="0.4">
      <c r="A3527" s="103"/>
      <c r="B3527" s="103"/>
      <c r="C3527" s="103"/>
      <c r="D3527" s="103"/>
      <c r="E3527" s="103"/>
      <c r="F3527" s="103"/>
      <c r="G3527" s="103"/>
      <c r="H3527" s="103"/>
      <c r="I3527" s="103"/>
      <c r="J3527" s="103"/>
      <c r="K3527" s="103"/>
      <c r="L3527" s="103"/>
      <c r="M3527" s="104"/>
      <c r="N3527" s="103"/>
    </row>
    <row r="3528" spans="1:14" ht="45" customHeight="1" thickBot="1" x14ac:dyDescent="0.4">
      <c r="A3528" s="103"/>
      <c r="B3528" s="103"/>
      <c r="C3528" s="103"/>
      <c r="D3528" s="103"/>
      <c r="E3528" s="103"/>
      <c r="F3528" s="103"/>
      <c r="G3528" s="103"/>
      <c r="H3528" s="103"/>
      <c r="I3528" s="103"/>
      <c r="J3528" s="103"/>
      <c r="K3528" s="103"/>
      <c r="L3528" s="103"/>
      <c r="M3528" s="104"/>
      <c r="N3528" s="103"/>
    </row>
    <row r="3529" spans="1:14" ht="45" customHeight="1" thickBot="1" x14ac:dyDescent="0.4">
      <c r="A3529" s="103"/>
      <c r="B3529" s="103"/>
      <c r="C3529" s="103"/>
      <c r="D3529" s="103"/>
      <c r="E3529" s="103"/>
      <c r="F3529" s="103"/>
      <c r="G3529" s="103"/>
      <c r="H3529" s="103"/>
      <c r="I3529" s="103"/>
      <c r="J3529" s="103"/>
      <c r="K3529" s="103"/>
      <c r="L3529" s="103"/>
      <c r="M3529" s="104"/>
      <c r="N3529" s="103"/>
    </row>
    <row r="3530" spans="1:14" ht="45" customHeight="1" thickBot="1" x14ac:dyDescent="0.4">
      <c r="A3530" s="103"/>
      <c r="B3530" s="103"/>
      <c r="C3530" s="103"/>
      <c r="D3530" s="103"/>
      <c r="E3530" s="103"/>
      <c r="F3530" s="103"/>
      <c r="G3530" s="103"/>
      <c r="H3530" s="103"/>
      <c r="I3530" s="103"/>
      <c r="J3530" s="103"/>
      <c r="K3530" s="103"/>
      <c r="L3530" s="103"/>
      <c r="M3530" s="104"/>
      <c r="N3530" s="103"/>
    </row>
    <row r="3531" spans="1:14" ht="45" customHeight="1" thickBot="1" x14ac:dyDescent="0.4">
      <c r="A3531" s="103"/>
      <c r="B3531" s="103"/>
      <c r="C3531" s="103"/>
      <c r="D3531" s="103"/>
      <c r="E3531" s="103"/>
      <c r="F3531" s="103"/>
      <c r="G3531" s="103"/>
      <c r="H3531" s="103"/>
      <c r="I3531" s="103"/>
      <c r="J3531" s="103"/>
      <c r="K3531" s="103"/>
      <c r="L3531" s="103"/>
      <c r="M3531" s="104"/>
      <c r="N3531" s="103"/>
    </row>
    <row r="3532" spans="1:14" ht="45" customHeight="1" thickBot="1" x14ac:dyDescent="0.4">
      <c r="A3532" s="103"/>
      <c r="B3532" s="103"/>
      <c r="C3532" s="103"/>
      <c r="D3532" s="103"/>
      <c r="E3532" s="103"/>
      <c r="F3532" s="103"/>
      <c r="G3532" s="103"/>
      <c r="H3532" s="103"/>
      <c r="I3532" s="103"/>
      <c r="J3532" s="103"/>
      <c r="K3532" s="103"/>
      <c r="L3532" s="103"/>
      <c r="M3532" s="104"/>
      <c r="N3532" s="103"/>
    </row>
    <row r="3533" spans="1:14" ht="45" customHeight="1" thickBot="1" x14ac:dyDescent="0.4">
      <c r="A3533" s="103"/>
      <c r="B3533" s="103"/>
      <c r="C3533" s="103"/>
      <c r="D3533" s="103"/>
      <c r="E3533" s="103"/>
      <c r="F3533" s="103"/>
      <c r="G3533" s="103"/>
      <c r="H3533" s="103"/>
      <c r="I3533" s="103"/>
      <c r="J3533" s="103"/>
      <c r="K3533" s="103"/>
      <c r="L3533" s="103"/>
      <c r="M3533" s="104"/>
      <c r="N3533" s="103"/>
    </row>
    <row r="3534" spans="1:14" ht="45" customHeight="1" thickBot="1" x14ac:dyDescent="0.4">
      <c r="A3534" s="103"/>
      <c r="B3534" s="103"/>
      <c r="C3534" s="103"/>
      <c r="D3534" s="103"/>
      <c r="E3534" s="103"/>
      <c r="F3534" s="103"/>
      <c r="G3534" s="103"/>
      <c r="H3534" s="103"/>
      <c r="I3534" s="103"/>
      <c r="J3534" s="103"/>
      <c r="K3534" s="103"/>
      <c r="L3534" s="103"/>
      <c r="M3534" s="104"/>
      <c r="N3534" s="103"/>
    </row>
    <row r="3535" spans="1:14" ht="45" customHeight="1" thickBot="1" x14ac:dyDescent="0.4">
      <c r="A3535" s="103"/>
      <c r="B3535" s="103"/>
      <c r="C3535" s="103"/>
      <c r="D3535" s="103"/>
      <c r="E3535" s="103"/>
      <c r="F3535" s="103"/>
      <c r="G3535" s="103"/>
      <c r="H3535" s="103"/>
      <c r="I3535" s="103"/>
      <c r="J3535" s="103"/>
      <c r="K3535" s="103"/>
      <c r="L3535" s="103"/>
      <c r="M3535" s="104"/>
      <c r="N3535" s="103"/>
    </row>
    <row r="3536" spans="1:14" ht="45" customHeight="1" thickBot="1" x14ac:dyDescent="0.4">
      <c r="A3536" s="103"/>
      <c r="B3536" s="103"/>
      <c r="C3536" s="103"/>
      <c r="D3536" s="103"/>
      <c r="E3536" s="103"/>
      <c r="F3536" s="103"/>
      <c r="G3536" s="103"/>
      <c r="H3536" s="103"/>
      <c r="I3536" s="103"/>
      <c r="J3536" s="103"/>
      <c r="K3536" s="103"/>
      <c r="L3536" s="103"/>
      <c r="M3536" s="104"/>
      <c r="N3536" s="103"/>
    </row>
    <row r="3537" spans="1:14" ht="45" customHeight="1" thickBot="1" x14ac:dyDescent="0.4">
      <c r="A3537" s="103"/>
      <c r="B3537" s="103"/>
      <c r="C3537" s="103"/>
      <c r="D3537" s="103"/>
      <c r="E3537" s="103"/>
      <c r="F3537" s="103"/>
      <c r="G3537" s="103"/>
      <c r="H3537" s="103"/>
      <c r="I3537" s="103"/>
      <c r="J3537" s="103"/>
      <c r="K3537" s="103"/>
      <c r="L3537" s="103"/>
      <c r="M3537" s="104"/>
      <c r="N3537" s="103"/>
    </row>
    <row r="3538" spans="1:14" ht="45" customHeight="1" thickBot="1" x14ac:dyDescent="0.4">
      <c r="A3538" s="103"/>
      <c r="B3538" s="103"/>
      <c r="C3538" s="103"/>
      <c r="D3538" s="103"/>
      <c r="E3538" s="103"/>
      <c r="F3538" s="103"/>
      <c r="G3538" s="103"/>
      <c r="H3538" s="103"/>
      <c r="I3538" s="103"/>
      <c r="J3538" s="103"/>
      <c r="K3538" s="103"/>
      <c r="L3538" s="103"/>
      <c r="M3538" s="104"/>
      <c r="N3538" s="103"/>
    </row>
    <row r="3539" spans="1:14" ht="45" customHeight="1" thickBot="1" x14ac:dyDescent="0.4">
      <c r="A3539" s="103"/>
      <c r="B3539" s="103"/>
      <c r="C3539" s="103"/>
      <c r="D3539" s="103"/>
      <c r="E3539" s="103"/>
      <c r="F3539" s="103"/>
      <c r="G3539" s="103"/>
      <c r="H3539" s="103"/>
      <c r="I3539" s="103"/>
      <c r="J3539" s="103"/>
      <c r="K3539" s="103"/>
      <c r="L3539" s="103"/>
      <c r="M3539" s="104"/>
      <c r="N3539" s="103"/>
    </row>
    <row r="3540" spans="1:14" ht="45" customHeight="1" thickBot="1" x14ac:dyDescent="0.4">
      <c r="A3540" s="103"/>
      <c r="B3540" s="103"/>
      <c r="C3540" s="103"/>
      <c r="D3540" s="103"/>
      <c r="E3540" s="103"/>
      <c r="F3540" s="103"/>
      <c r="G3540" s="103"/>
      <c r="H3540" s="103"/>
      <c r="I3540" s="103"/>
      <c r="J3540" s="103"/>
      <c r="K3540" s="103"/>
      <c r="L3540" s="103"/>
      <c r="M3540" s="104"/>
      <c r="N3540" s="103"/>
    </row>
    <row r="3541" spans="1:14" ht="45" customHeight="1" thickBot="1" x14ac:dyDescent="0.4">
      <c r="A3541" s="103"/>
      <c r="B3541" s="103"/>
      <c r="C3541" s="103"/>
      <c r="D3541" s="103"/>
      <c r="E3541" s="103"/>
      <c r="F3541" s="103"/>
      <c r="G3541" s="103"/>
      <c r="H3541" s="103"/>
      <c r="I3541" s="103"/>
      <c r="J3541" s="103"/>
      <c r="K3541" s="103"/>
      <c r="L3541" s="103"/>
      <c r="M3541" s="104"/>
      <c r="N3541" s="103"/>
    </row>
    <row r="3542" spans="1:14" ht="45" customHeight="1" thickBot="1" x14ac:dyDescent="0.4">
      <c r="A3542" s="103"/>
      <c r="B3542" s="103"/>
      <c r="C3542" s="103"/>
      <c r="D3542" s="103"/>
      <c r="E3542" s="103"/>
      <c r="F3542" s="103"/>
      <c r="G3542" s="103"/>
      <c r="H3542" s="103"/>
      <c r="I3542" s="103"/>
      <c r="J3542" s="103"/>
      <c r="K3542" s="103"/>
      <c r="L3542" s="103"/>
      <c r="M3542" s="104"/>
      <c r="N3542" s="103"/>
    </row>
    <row r="3543" spans="1:14" ht="45" customHeight="1" thickBot="1" x14ac:dyDescent="0.4">
      <c r="A3543" s="103"/>
      <c r="B3543" s="103"/>
      <c r="C3543" s="103"/>
      <c r="D3543" s="103"/>
      <c r="E3543" s="103"/>
      <c r="F3543" s="103"/>
      <c r="G3543" s="103"/>
      <c r="H3543" s="103"/>
      <c r="I3543" s="103"/>
      <c r="J3543" s="103"/>
      <c r="K3543" s="103"/>
      <c r="L3543" s="103"/>
      <c r="M3543" s="104"/>
      <c r="N3543" s="103"/>
    </row>
    <row r="3544" spans="1:14" ht="45" customHeight="1" thickBot="1" x14ac:dyDescent="0.4">
      <c r="A3544" s="103"/>
      <c r="B3544" s="103"/>
      <c r="C3544" s="103"/>
      <c r="D3544" s="103"/>
      <c r="E3544" s="103"/>
      <c r="F3544" s="103"/>
      <c r="G3544" s="103"/>
      <c r="H3544" s="103"/>
      <c r="I3544" s="103"/>
      <c r="J3544" s="103"/>
      <c r="K3544" s="103"/>
      <c r="L3544" s="103"/>
      <c r="M3544" s="104"/>
      <c r="N3544" s="103"/>
    </row>
    <row r="3545" spans="1:14" ht="45" customHeight="1" thickBot="1" x14ac:dyDescent="0.4">
      <c r="A3545" s="103"/>
      <c r="B3545" s="103"/>
      <c r="C3545" s="103"/>
      <c r="D3545" s="103"/>
      <c r="E3545" s="103"/>
      <c r="F3545" s="103"/>
      <c r="G3545" s="103"/>
      <c r="H3545" s="103"/>
      <c r="I3545" s="103"/>
      <c r="J3545" s="103"/>
      <c r="K3545" s="103"/>
      <c r="L3545" s="103"/>
      <c r="M3545" s="104"/>
      <c r="N3545" s="103"/>
    </row>
    <row r="3546" spans="1:14" ht="45" customHeight="1" thickBot="1" x14ac:dyDescent="0.4">
      <c r="A3546" s="103"/>
      <c r="B3546" s="103"/>
      <c r="C3546" s="103"/>
      <c r="D3546" s="103"/>
      <c r="E3546" s="103"/>
      <c r="F3546" s="103"/>
      <c r="G3546" s="103"/>
      <c r="H3546" s="103"/>
      <c r="I3546" s="103"/>
      <c r="J3546" s="103"/>
      <c r="K3546" s="103"/>
      <c r="L3546" s="103"/>
      <c r="M3546" s="104"/>
      <c r="N3546" s="103"/>
    </row>
    <row r="3547" spans="1:14" ht="45" customHeight="1" thickBot="1" x14ac:dyDescent="0.4">
      <c r="A3547" s="103"/>
      <c r="B3547" s="103"/>
      <c r="C3547" s="103"/>
      <c r="D3547" s="103"/>
      <c r="E3547" s="103"/>
      <c r="F3547" s="103"/>
      <c r="G3547" s="103"/>
      <c r="H3547" s="103"/>
      <c r="I3547" s="103"/>
      <c r="J3547" s="103"/>
      <c r="K3547" s="103"/>
      <c r="L3547" s="103"/>
      <c r="M3547" s="104"/>
      <c r="N3547" s="103"/>
    </row>
    <row r="3548" spans="1:14" ht="45" customHeight="1" thickBot="1" x14ac:dyDescent="0.4">
      <c r="A3548" s="103"/>
      <c r="B3548" s="103"/>
      <c r="C3548" s="103"/>
      <c r="D3548" s="103"/>
      <c r="E3548" s="103"/>
      <c r="F3548" s="103"/>
      <c r="G3548" s="103"/>
      <c r="H3548" s="103"/>
      <c r="I3548" s="103"/>
      <c r="J3548" s="103"/>
      <c r="K3548" s="103"/>
      <c r="L3548" s="103"/>
      <c r="M3548" s="104"/>
      <c r="N3548" s="103"/>
    </row>
    <row r="3549" spans="1:14" ht="45" customHeight="1" thickBot="1" x14ac:dyDescent="0.4">
      <c r="A3549" s="103"/>
      <c r="B3549" s="103"/>
      <c r="C3549" s="103"/>
      <c r="D3549" s="103"/>
      <c r="E3549" s="103"/>
      <c r="F3549" s="103"/>
      <c r="G3549" s="103"/>
      <c r="H3549" s="103"/>
      <c r="I3549" s="103"/>
      <c r="J3549" s="103"/>
      <c r="K3549" s="103"/>
      <c r="L3549" s="103"/>
      <c r="M3549" s="104"/>
      <c r="N3549" s="103"/>
    </row>
    <row r="3550" spans="1:14" ht="45" customHeight="1" thickBot="1" x14ac:dyDescent="0.4">
      <c r="A3550" s="103"/>
      <c r="B3550" s="103"/>
      <c r="C3550" s="103"/>
      <c r="D3550" s="103"/>
      <c r="E3550" s="103"/>
      <c r="F3550" s="103"/>
      <c r="G3550" s="103"/>
      <c r="H3550" s="103"/>
      <c r="I3550" s="103"/>
      <c r="J3550" s="103"/>
      <c r="K3550" s="103"/>
      <c r="L3550" s="103"/>
      <c r="M3550" s="104"/>
      <c r="N3550" s="103"/>
    </row>
    <row r="3551" spans="1:14" ht="45" customHeight="1" thickBot="1" x14ac:dyDescent="0.4">
      <c r="A3551" s="103"/>
      <c r="B3551" s="103"/>
      <c r="C3551" s="103"/>
      <c r="D3551" s="103"/>
      <c r="E3551" s="103"/>
      <c r="F3551" s="103"/>
      <c r="G3551" s="103"/>
      <c r="H3551" s="103"/>
      <c r="I3551" s="103"/>
      <c r="J3551" s="103"/>
      <c r="K3551" s="103"/>
      <c r="L3551" s="103"/>
      <c r="M3551" s="104"/>
      <c r="N3551" s="103"/>
    </row>
    <row r="3552" spans="1:14" ht="45" customHeight="1" thickBot="1" x14ac:dyDescent="0.4">
      <c r="A3552" s="103"/>
      <c r="B3552" s="103"/>
      <c r="C3552" s="103"/>
      <c r="D3552" s="103"/>
      <c r="E3552" s="103"/>
      <c r="F3552" s="103"/>
      <c r="G3552" s="103"/>
      <c r="H3552" s="103"/>
      <c r="I3552" s="103"/>
      <c r="J3552" s="103"/>
      <c r="K3552" s="103"/>
      <c r="L3552" s="103"/>
      <c r="M3552" s="104"/>
      <c r="N3552" s="103"/>
    </row>
    <row r="3553" spans="1:14" ht="45" customHeight="1" thickBot="1" x14ac:dyDescent="0.4">
      <c r="A3553" s="103"/>
      <c r="B3553" s="103"/>
      <c r="C3553" s="103"/>
      <c r="D3553" s="103"/>
      <c r="E3553" s="103"/>
      <c r="F3553" s="103"/>
      <c r="G3553" s="103"/>
      <c r="H3553" s="103"/>
      <c r="I3553" s="103"/>
      <c r="J3553" s="103"/>
      <c r="K3553" s="103"/>
      <c r="L3553" s="103"/>
      <c r="M3553" s="104"/>
      <c r="N3553" s="103"/>
    </row>
    <row r="3554" spans="1:14" ht="45" customHeight="1" thickBot="1" x14ac:dyDescent="0.4">
      <c r="A3554" s="103"/>
      <c r="B3554" s="103"/>
      <c r="C3554" s="103"/>
      <c r="D3554" s="103"/>
      <c r="E3554" s="103"/>
      <c r="F3554" s="103"/>
      <c r="G3554" s="103"/>
      <c r="H3554" s="103"/>
      <c r="I3554" s="103"/>
      <c r="J3554" s="103"/>
      <c r="K3554" s="103"/>
      <c r="L3554" s="103"/>
      <c r="M3554" s="104"/>
      <c r="N3554" s="103"/>
    </row>
    <row r="3555" spans="1:14" ht="45" customHeight="1" thickBot="1" x14ac:dyDescent="0.4">
      <c r="A3555" s="103"/>
      <c r="B3555" s="103"/>
      <c r="C3555" s="103"/>
      <c r="D3555" s="103"/>
      <c r="E3555" s="103"/>
      <c r="F3555" s="103"/>
      <c r="G3555" s="103"/>
      <c r="H3555" s="103"/>
      <c r="I3555" s="103"/>
      <c r="J3555" s="103"/>
      <c r="K3555" s="103"/>
      <c r="L3555" s="103"/>
      <c r="M3555" s="104"/>
      <c r="N3555" s="103"/>
    </row>
    <row r="3556" spans="1:14" ht="45" customHeight="1" thickBot="1" x14ac:dyDescent="0.4">
      <c r="A3556" s="103"/>
      <c r="B3556" s="103"/>
      <c r="C3556" s="103"/>
      <c r="D3556" s="103"/>
      <c r="E3556" s="103"/>
      <c r="F3556" s="103"/>
      <c r="G3556" s="103"/>
      <c r="H3556" s="103"/>
      <c r="I3556" s="103"/>
      <c r="J3556" s="103"/>
      <c r="K3556" s="103"/>
      <c r="L3556" s="103"/>
      <c r="M3556" s="104"/>
      <c r="N3556" s="103"/>
    </row>
    <row r="3557" spans="1:14" ht="45" customHeight="1" thickBot="1" x14ac:dyDescent="0.4">
      <c r="A3557" s="103"/>
      <c r="B3557" s="103"/>
      <c r="C3557" s="103"/>
      <c r="D3557" s="103"/>
      <c r="E3557" s="103"/>
      <c r="F3557" s="103"/>
      <c r="G3557" s="103"/>
      <c r="H3557" s="103"/>
      <c r="I3557" s="103"/>
      <c r="J3557" s="103"/>
      <c r="K3557" s="103"/>
      <c r="L3557" s="103"/>
      <c r="M3557" s="104"/>
      <c r="N3557" s="103"/>
    </row>
    <row r="3558" spans="1:14" ht="45" customHeight="1" thickBot="1" x14ac:dyDescent="0.4">
      <c r="A3558" s="103"/>
      <c r="B3558" s="103"/>
      <c r="C3558" s="103"/>
      <c r="D3558" s="103"/>
      <c r="E3558" s="103"/>
      <c r="F3558" s="103"/>
      <c r="G3558" s="103"/>
      <c r="H3558" s="103"/>
      <c r="I3558" s="103"/>
      <c r="J3558" s="103"/>
      <c r="K3558" s="103"/>
      <c r="L3558" s="103"/>
      <c r="M3558" s="104"/>
      <c r="N3558" s="103"/>
    </row>
    <row r="3559" spans="1:14" ht="45" customHeight="1" thickBot="1" x14ac:dyDescent="0.4">
      <c r="A3559" s="103"/>
      <c r="B3559" s="103"/>
      <c r="C3559" s="103"/>
      <c r="D3559" s="103"/>
      <c r="E3559" s="103"/>
      <c r="F3559" s="103"/>
      <c r="G3559" s="103"/>
      <c r="H3559" s="103"/>
      <c r="I3559" s="103"/>
      <c r="J3559" s="103"/>
      <c r="K3559" s="103"/>
      <c r="L3559" s="103"/>
      <c r="M3559" s="104"/>
      <c r="N3559" s="103"/>
    </row>
    <row r="3560" spans="1:14" ht="45" customHeight="1" thickBot="1" x14ac:dyDescent="0.4">
      <c r="A3560" s="103"/>
      <c r="B3560" s="103"/>
      <c r="C3560" s="103"/>
      <c r="D3560" s="103"/>
      <c r="E3560" s="103"/>
      <c r="F3560" s="103"/>
      <c r="G3560" s="103"/>
      <c r="H3560" s="103"/>
      <c r="I3560" s="103"/>
      <c r="J3560" s="103"/>
      <c r="K3560" s="103"/>
      <c r="L3560" s="103"/>
      <c r="M3560" s="104"/>
      <c r="N3560" s="103"/>
    </row>
    <row r="3561" spans="1:14" ht="45" customHeight="1" thickBot="1" x14ac:dyDescent="0.4">
      <c r="A3561" s="103"/>
      <c r="B3561" s="103"/>
      <c r="C3561" s="103"/>
      <c r="D3561" s="103"/>
      <c r="E3561" s="103"/>
      <c r="F3561" s="103"/>
      <c r="G3561" s="103"/>
      <c r="H3561" s="103"/>
      <c r="I3561" s="103"/>
      <c r="J3561" s="103"/>
      <c r="K3561" s="103"/>
      <c r="L3561" s="103"/>
      <c r="M3561" s="104"/>
      <c r="N3561" s="103"/>
    </row>
    <row r="3562" spans="1:14" ht="45" customHeight="1" thickBot="1" x14ac:dyDescent="0.4">
      <c r="A3562" s="103"/>
      <c r="B3562" s="103"/>
      <c r="C3562" s="103"/>
      <c r="D3562" s="103"/>
      <c r="E3562" s="103"/>
      <c r="F3562" s="103"/>
      <c r="G3562" s="103"/>
      <c r="H3562" s="103"/>
      <c r="I3562" s="103"/>
      <c r="J3562" s="103"/>
      <c r="K3562" s="103"/>
      <c r="L3562" s="103"/>
      <c r="M3562" s="104"/>
      <c r="N3562" s="103"/>
    </row>
    <row r="3563" spans="1:14" ht="45" customHeight="1" thickBot="1" x14ac:dyDescent="0.4">
      <c r="A3563" s="103"/>
      <c r="B3563" s="103"/>
      <c r="C3563" s="103"/>
      <c r="D3563" s="103"/>
      <c r="E3563" s="103"/>
      <c r="F3563" s="103"/>
      <c r="G3563" s="103"/>
      <c r="H3563" s="103"/>
      <c r="I3563" s="103"/>
      <c r="J3563" s="103"/>
      <c r="K3563" s="103"/>
      <c r="L3563" s="103"/>
      <c r="M3563" s="104"/>
      <c r="N3563" s="103"/>
    </row>
    <row r="3564" spans="1:14" ht="45" customHeight="1" thickBot="1" x14ac:dyDescent="0.4">
      <c r="A3564" s="103"/>
      <c r="B3564" s="103"/>
      <c r="C3564" s="103"/>
      <c r="D3564" s="103"/>
      <c r="E3564" s="103"/>
      <c r="F3564" s="103"/>
      <c r="G3564" s="103"/>
      <c r="H3564" s="103"/>
      <c r="I3564" s="103"/>
      <c r="J3564" s="103"/>
      <c r="K3564" s="103"/>
      <c r="L3564" s="103"/>
      <c r="M3564" s="104"/>
      <c r="N3564" s="103"/>
    </row>
    <row r="3565" spans="1:14" ht="45" customHeight="1" thickBot="1" x14ac:dyDescent="0.4">
      <c r="A3565" s="103"/>
      <c r="B3565" s="103"/>
      <c r="C3565" s="103"/>
      <c r="D3565" s="103"/>
      <c r="E3565" s="103"/>
      <c r="F3565" s="103"/>
      <c r="G3565" s="103"/>
      <c r="H3565" s="103"/>
      <c r="I3565" s="103"/>
      <c r="J3565" s="103"/>
      <c r="K3565" s="103"/>
      <c r="L3565" s="103"/>
      <c r="M3565" s="104"/>
      <c r="N3565" s="103"/>
    </row>
    <row r="3566" spans="1:14" ht="45" customHeight="1" thickBot="1" x14ac:dyDescent="0.4">
      <c r="A3566" s="103"/>
      <c r="B3566" s="103"/>
      <c r="C3566" s="103"/>
      <c r="D3566" s="103"/>
      <c r="E3566" s="103"/>
      <c r="F3566" s="103"/>
      <c r="G3566" s="103"/>
      <c r="H3566" s="103"/>
      <c r="I3566" s="103"/>
      <c r="J3566" s="103"/>
      <c r="K3566" s="103"/>
      <c r="L3566" s="103"/>
      <c r="M3566" s="104"/>
      <c r="N3566" s="103"/>
    </row>
    <row r="3567" spans="1:14" ht="45" customHeight="1" thickBot="1" x14ac:dyDescent="0.4">
      <c r="A3567" s="103"/>
      <c r="B3567" s="103"/>
      <c r="C3567" s="103"/>
      <c r="D3567" s="103"/>
      <c r="E3567" s="103"/>
      <c r="F3567" s="103"/>
      <c r="G3567" s="103"/>
      <c r="H3567" s="103"/>
      <c r="I3567" s="103"/>
      <c r="J3567" s="103"/>
      <c r="K3567" s="103"/>
      <c r="L3567" s="103"/>
      <c r="M3567" s="104"/>
      <c r="N3567" s="103"/>
    </row>
    <row r="3568" spans="1:14" ht="45" customHeight="1" thickBot="1" x14ac:dyDescent="0.4">
      <c r="A3568" s="103"/>
      <c r="B3568" s="103"/>
      <c r="C3568" s="103"/>
      <c r="D3568" s="103"/>
      <c r="E3568" s="103"/>
      <c r="F3568" s="103"/>
      <c r="G3568" s="103"/>
      <c r="H3568" s="103"/>
      <c r="I3568" s="103"/>
      <c r="J3568" s="103"/>
      <c r="K3568" s="103"/>
      <c r="L3568" s="103"/>
      <c r="M3568" s="104"/>
      <c r="N3568" s="103"/>
    </row>
    <row r="3569" spans="1:14" ht="45" customHeight="1" thickBot="1" x14ac:dyDescent="0.4">
      <c r="A3569" s="103"/>
      <c r="B3569" s="103"/>
      <c r="C3569" s="103"/>
      <c r="D3569" s="103"/>
      <c r="E3569" s="103"/>
      <c r="F3569" s="103"/>
      <c r="G3569" s="103"/>
      <c r="H3569" s="103"/>
      <c r="I3569" s="103"/>
      <c r="J3569" s="103"/>
      <c r="K3569" s="103"/>
      <c r="L3569" s="103"/>
      <c r="M3569" s="104"/>
      <c r="N3569" s="103"/>
    </row>
    <row r="3570" spans="1:14" ht="45" customHeight="1" thickBot="1" x14ac:dyDescent="0.4">
      <c r="A3570" s="103"/>
      <c r="B3570" s="103"/>
      <c r="C3570" s="103"/>
      <c r="D3570" s="103"/>
      <c r="E3570" s="103"/>
      <c r="F3570" s="103"/>
      <c r="G3570" s="103"/>
      <c r="H3570" s="103"/>
      <c r="I3570" s="103"/>
      <c r="J3570" s="103"/>
      <c r="K3570" s="103"/>
      <c r="L3570" s="103"/>
      <c r="M3570" s="104"/>
      <c r="N3570" s="103"/>
    </row>
    <row r="3571" spans="1:14" ht="45" customHeight="1" thickBot="1" x14ac:dyDescent="0.4">
      <c r="A3571" s="103"/>
      <c r="B3571" s="103"/>
      <c r="C3571" s="103"/>
      <c r="D3571" s="103"/>
      <c r="E3571" s="103"/>
      <c r="F3571" s="103"/>
      <c r="G3571" s="103"/>
      <c r="H3571" s="103"/>
      <c r="I3571" s="103"/>
      <c r="J3571" s="103"/>
      <c r="K3571" s="103"/>
      <c r="L3571" s="103"/>
      <c r="M3571" s="104"/>
      <c r="N3571" s="103"/>
    </row>
    <row r="3572" spans="1:14" ht="45" customHeight="1" thickBot="1" x14ac:dyDescent="0.4">
      <c r="A3572" s="103"/>
      <c r="B3572" s="103"/>
      <c r="C3572" s="103"/>
      <c r="D3572" s="103"/>
      <c r="E3572" s="103"/>
      <c r="F3572" s="103"/>
      <c r="G3572" s="103"/>
      <c r="H3572" s="103"/>
      <c r="I3572" s="103"/>
      <c r="J3572" s="103"/>
      <c r="K3572" s="103"/>
      <c r="L3572" s="103"/>
      <c r="M3572" s="104"/>
      <c r="N3572" s="103"/>
    </row>
    <row r="3573" spans="1:14" ht="45" customHeight="1" thickBot="1" x14ac:dyDescent="0.4">
      <c r="A3573" s="103"/>
      <c r="B3573" s="103"/>
      <c r="C3573" s="103"/>
      <c r="D3573" s="103"/>
      <c r="E3573" s="103"/>
      <c r="F3573" s="103"/>
      <c r="G3573" s="103"/>
      <c r="H3573" s="103"/>
      <c r="I3573" s="103"/>
      <c r="J3573" s="103"/>
      <c r="K3573" s="103"/>
      <c r="L3573" s="103"/>
      <c r="M3573" s="104"/>
      <c r="N3573" s="103"/>
    </row>
    <row r="3574" spans="1:14" ht="45" customHeight="1" thickBot="1" x14ac:dyDescent="0.4">
      <c r="A3574" s="103"/>
      <c r="B3574" s="103"/>
      <c r="C3574" s="103"/>
      <c r="D3574" s="103"/>
      <c r="E3574" s="103"/>
      <c r="F3574" s="103"/>
      <c r="G3574" s="103"/>
      <c r="H3574" s="103"/>
      <c r="I3574" s="103"/>
      <c r="J3574" s="103"/>
      <c r="K3574" s="103"/>
      <c r="L3574" s="103"/>
      <c r="M3574" s="104"/>
      <c r="N3574" s="103"/>
    </row>
    <row r="3575" spans="1:14" ht="45" customHeight="1" thickBot="1" x14ac:dyDescent="0.4">
      <c r="A3575" s="103"/>
      <c r="B3575" s="103"/>
      <c r="C3575" s="103"/>
      <c r="D3575" s="103"/>
      <c r="E3575" s="103"/>
      <c r="F3575" s="103"/>
      <c r="G3575" s="103"/>
      <c r="H3575" s="103"/>
      <c r="I3575" s="103"/>
      <c r="J3575" s="103"/>
      <c r="K3575" s="103"/>
      <c r="L3575" s="103"/>
      <c r="M3575" s="104"/>
      <c r="N3575" s="103"/>
    </row>
    <row r="3576" spans="1:14" ht="45" customHeight="1" thickBot="1" x14ac:dyDescent="0.4">
      <c r="A3576" s="103"/>
      <c r="B3576" s="103"/>
      <c r="C3576" s="103"/>
      <c r="D3576" s="103"/>
      <c r="E3576" s="103"/>
      <c r="F3576" s="103"/>
      <c r="G3576" s="103"/>
      <c r="H3576" s="103"/>
      <c r="I3576" s="103"/>
      <c r="J3576" s="103"/>
      <c r="K3576" s="103"/>
      <c r="L3576" s="103"/>
      <c r="M3576" s="104"/>
      <c r="N3576" s="103"/>
    </row>
    <row r="3577" spans="1:14" ht="45" customHeight="1" thickBot="1" x14ac:dyDescent="0.4">
      <c r="A3577" s="103"/>
      <c r="B3577" s="103"/>
      <c r="C3577" s="103"/>
      <c r="D3577" s="103"/>
      <c r="E3577" s="103"/>
      <c r="F3577" s="103"/>
      <c r="G3577" s="103"/>
      <c r="H3577" s="103"/>
      <c r="I3577" s="103"/>
      <c r="J3577" s="103"/>
      <c r="K3577" s="103"/>
      <c r="L3577" s="103"/>
      <c r="M3577" s="104"/>
      <c r="N3577" s="103"/>
    </row>
    <row r="3578" spans="1:14" ht="45" customHeight="1" thickBot="1" x14ac:dyDescent="0.4">
      <c r="A3578" s="103"/>
      <c r="B3578" s="103"/>
      <c r="C3578" s="103"/>
      <c r="D3578" s="103"/>
      <c r="E3578" s="103"/>
      <c r="F3578" s="103"/>
      <c r="G3578" s="103"/>
      <c r="H3578" s="103"/>
      <c r="I3578" s="103"/>
      <c r="J3578" s="103"/>
      <c r="K3578" s="103"/>
      <c r="L3578" s="103"/>
      <c r="M3578" s="104"/>
      <c r="N3578" s="103"/>
    </row>
    <row r="3579" spans="1:14" ht="45" customHeight="1" thickBot="1" x14ac:dyDescent="0.4">
      <c r="A3579" s="103"/>
      <c r="B3579" s="103"/>
      <c r="C3579" s="103"/>
      <c r="D3579" s="103"/>
      <c r="E3579" s="103"/>
      <c r="F3579" s="103"/>
      <c r="G3579" s="103"/>
      <c r="H3579" s="103"/>
      <c r="I3579" s="103"/>
      <c r="J3579" s="103"/>
      <c r="K3579" s="103"/>
      <c r="L3579" s="103"/>
      <c r="M3579" s="104"/>
      <c r="N3579" s="103"/>
    </row>
    <row r="3580" spans="1:14" ht="45" customHeight="1" thickBot="1" x14ac:dyDescent="0.4">
      <c r="A3580" s="103"/>
      <c r="B3580" s="103"/>
      <c r="C3580" s="103"/>
      <c r="D3580" s="103"/>
      <c r="E3580" s="103"/>
      <c r="F3580" s="103"/>
      <c r="G3580" s="103"/>
      <c r="H3580" s="103"/>
      <c r="I3580" s="103"/>
      <c r="J3580" s="103"/>
      <c r="K3580" s="103"/>
      <c r="L3580" s="103"/>
      <c r="M3580" s="104"/>
      <c r="N3580" s="103"/>
    </row>
    <row r="3581" spans="1:14" ht="45" customHeight="1" thickBot="1" x14ac:dyDescent="0.4">
      <c r="A3581" s="103"/>
      <c r="B3581" s="103"/>
      <c r="C3581" s="103"/>
      <c r="D3581" s="103"/>
      <c r="E3581" s="103"/>
      <c r="F3581" s="103"/>
      <c r="G3581" s="103"/>
      <c r="H3581" s="103"/>
      <c r="I3581" s="103"/>
      <c r="J3581" s="103"/>
      <c r="K3581" s="103"/>
      <c r="L3581" s="103"/>
      <c r="M3581" s="104"/>
      <c r="N3581" s="103"/>
    </row>
    <row r="3582" spans="1:14" ht="45" customHeight="1" thickBot="1" x14ac:dyDescent="0.4">
      <c r="A3582" s="103"/>
      <c r="B3582" s="103"/>
      <c r="C3582" s="103"/>
      <c r="D3582" s="103"/>
      <c r="E3582" s="103"/>
      <c r="F3582" s="103"/>
      <c r="G3582" s="103"/>
      <c r="H3582" s="103"/>
      <c r="I3582" s="103"/>
      <c r="J3582" s="103"/>
      <c r="K3582" s="103"/>
      <c r="L3582" s="103"/>
      <c r="M3582" s="104"/>
      <c r="N3582" s="103"/>
    </row>
    <row r="3583" spans="1:14" ht="45" customHeight="1" thickBot="1" x14ac:dyDescent="0.4">
      <c r="A3583" s="103"/>
      <c r="B3583" s="103"/>
      <c r="C3583" s="103"/>
      <c r="D3583" s="103"/>
      <c r="E3583" s="103"/>
      <c r="F3583" s="103"/>
      <c r="G3583" s="103"/>
      <c r="H3583" s="103"/>
      <c r="I3583" s="103"/>
      <c r="J3583" s="103"/>
      <c r="K3583" s="103"/>
      <c r="L3583" s="103"/>
      <c r="M3583" s="104"/>
      <c r="N3583" s="103"/>
    </row>
    <row r="3584" spans="1:14" ht="45" customHeight="1" thickBot="1" x14ac:dyDescent="0.4">
      <c r="A3584" s="103"/>
      <c r="B3584" s="103"/>
      <c r="C3584" s="103"/>
      <c r="D3584" s="103"/>
      <c r="E3584" s="103"/>
      <c r="F3584" s="103"/>
      <c r="G3584" s="103"/>
      <c r="H3584" s="103"/>
      <c r="I3584" s="103"/>
      <c r="J3584" s="103"/>
      <c r="K3584" s="103"/>
      <c r="L3584" s="103"/>
      <c r="M3584" s="104"/>
      <c r="N3584" s="103"/>
    </row>
    <row r="3585" spans="1:14" ht="45" customHeight="1" thickBot="1" x14ac:dyDescent="0.4">
      <c r="A3585" s="103"/>
      <c r="B3585" s="103"/>
      <c r="C3585" s="103"/>
      <c r="D3585" s="103"/>
      <c r="E3585" s="103"/>
      <c r="F3585" s="103"/>
      <c r="G3585" s="103"/>
      <c r="H3585" s="103"/>
      <c r="I3585" s="103"/>
      <c r="J3585" s="103"/>
      <c r="K3585" s="103"/>
      <c r="L3585" s="103"/>
      <c r="M3585" s="104"/>
      <c r="N3585" s="103"/>
    </row>
    <row r="3586" spans="1:14" ht="45" customHeight="1" thickBot="1" x14ac:dyDescent="0.4">
      <c r="A3586" s="103"/>
      <c r="B3586" s="103"/>
      <c r="C3586" s="103"/>
      <c r="D3586" s="103"/>
      <c r="E3586" s="103"/>
      <c r="F3586" s="103"/>
      <c r="G3586" s="103"/>
      <c r="H3586" s="103"/>
      <c r="I3586" s="103"/>
      <c r="J3586" s="103"/>
      <c r="K3586" s="103"/>
      <c r="L3586" s="103"/>
      <c r="M3586" s="104"/>
      <c r="N3586" s="103"/>
    </row>
    <row r="3587" spans="1:14" ht="45" customHeight="1" thickBot="1" x14ac:dyDescent="0.4">
      <c r="A3587" s="103"/>
      <c r="B3587" s="103"/>
      <c r="C3587" s="103"/>
      <c r="D3587" s="103"/>
      <c r="E3587" s="103"/>
      <c r="F3587" s="103"/>
      <c r="G3587" s="103"/>
      <c r="H3587" s="103"/>
      <c r="I3587" s="103"/>
      <c r="J3587" s="103"/>
      <c r="K3587" s="103"/>
      <c r="L3587" s="103"/>
      <c r="M3587" s="104"/>
      <c r="N3587" s="103"/>
    </row>
    <row r="3588" spans="1:14" ht="45" customHeight="1" thickBot="1" x14ac:dyDescent="0.4">
      <c r="A3588" s="103"/>
      <c r="B3588" s="103"/>
      <c r="C3588" s="103"/>
      <c r="D3588" s="103"/>
      <c r="E3588" s="103"/>
      <c r="F3588" s="103"/>
      <c r="G3588" s="103"/>
      <c r="H3588" s="103"/>
      <c r="I3588" s="103"/>
      <c r="J3588" s="103"/>
      <c r="K3588" s="103"/>
      <c r="L3588" s="103"/>
      <c r="M3588" s="104"/>
      <c r="N3588" s="103"/>
    </row>
    <row r="3589" spans="1:14" ht="45" customHeight="1" thickBot="1" x14ac:dyDescent="0.4">
      <c r="A3589" s="103"/>
      <c r="B3589" s="103"/>
      <c r="C3589" s="103"/>
      <c r="D3589" s="103"/>
      <c r="E3589" s="103"/>
      <c r="F3589" s="103"/>
      <c r="G3589" s="103"/>
      <c r="H3589" s="103"/>
      <c r="I3589" s="103"/>
      <c r="J3589" s="103"/>
      <c r="K3589" s="103"/>
      <c r="L3589" s="103"/>
      <c r="M3589" s="104"/>
      <c r="N3589" s="103"/>
    </row>
    <row r="3590" spans="1:14" ht="45" customHeight="1" thickBot="1" x14ac:dyDescent="0.4">
      <c r="A3590" s="103"/>
      <c r="B3590" s="103"/>
      <c r="C3590" s="103"/>
      <c r="D3590" s="103"/>
      <c r="E3590" s="103"/>
      <c r="F3590" s="103"/>
      <c r="G3590" s="103"/>
      <c r="H3590" s="103"/>
      <c r="I3590" s="103"/>
      <c r="J3590" s="103"/>
      <c r="K3590" s="103"/>
      <c r="L3590" s="103"/>
      <c r="M3590" s="104"/>
      <c r="N3590" s="103"/>
    </row>
    <row r="3591" spans="1:14" ht="45" customHeight="1" thickBot="1" x14ac:dyDescent="0.4">
      <c r="A3591" s="103"/>
      <c r="B3591" s="103"/>
      <c r="C3591" s="103"/>
      <c r="D3591" s="103"/>
      <c r="E3591" s="103"/>
      <c r="F3591" s="103"/>
      <c r="G3591" s="103"/>
      <c r="H3591" s="103"/>
      <c r="I3591" s="103"/>
      <c r="J3591" s="103"/>
      <c r="K3591" s="103"/>
      <c r="L3591" s="103"/>
      <c r="M3591" s="104"/>
      <c r="N3591" s="103"/>
    </row>
    <row r="3592" spans="1:14" ht="45" customHeight="1" thickBot="1" x14ac:dyDescent="0.4">
      <c r="A3592" s="103"/>
      <c r="B3592" s="103"/>
      <c r="C3592" s="103"/>
      <c r="D3592" s="103"/>
      <c r="E3592" s="103"/>
      <c r="F3592" s="103"/>
      <c r="G3592" s="103"/>
      <c r="H3592" s="103"/>
      <c r="I3592" s="103"/>
      <c r="J3592" s="103"/>
      <c r="K3592" s="103"/>
      <c r="L3592" s="103"/>
      <c r="M3592" s="104"/>
      <c r="N3592" s="103"/>
    </row>
    <row r="3593" spans="1:14" ht="45" customHeight="1" thickBot="1" x14ac:dyDescent="0.4">
      <c r="A3593" s="103"/>
      <c r="B3593" s="103"/>
      <c r="C3593" s="103"/>
      <c r="D3593" s="103"/>
      <c r="E3593" s="103"/>
      <c r="F3593" s="103"/>
      <c r="G3593" s="103"/>
      <c r="H3593" s="103"/>
      <c r="I3593" s="103"/>
      <c r="J3593" s="103"/>
      <c r="K3593" s="103"/>
      <c r="L3593" s="103"/>
      <c r="M3593" s="104"/>
      <c r="N3593" s="103"/>
    </row>
    <row r="3594" spans="1:14" ht="45" customHeight="1" thickBot="1" x14ac:dyDescent="0.4">
      <c r="A3594" s="103"/>
      <c r="B3594" s="103"/>
      <c r="C3594" s="103"/>
      <c r="D3594" s="103"/>
      <c r="E3594" s="103"/>
      <c r="F3594" s="103"/>
      <c r="G3594" s="103"/>
      <c r="H3594" s="103"/>
      <c r="I3594" s="103"/>
      <c r="J3594" s="103"/>
      <c r="K3594" s="103"/>
      <c r="L3594" s="103"/>
      <c r="M3594" s="104"/>
      <c r="N3594" s="103"/>
    </row>
    <row r="3595" spans="1:14" ht="45" customHeight="1" thickBot="1" x14ac:dyDescent="0.4">
      <c r="A3595" s="103"/>
      <c r="B3595" s="103"/>
      <c r="C3595" s="103"/>
      <c r="D3595" s="103"/>
      <c r="E3595" s="103"/>
      <c r="F3595" s="103"/>
      <c r="G3595" s="103"/>
      <c r="H3595" s="103"/>
      <c r="I3595" s="103"/>
      <c r="J3595" s="103"/>
      <c r="K3595" s="103"/>
      <c r="L3595" s="103"/>
      <c r="M3595" s="104"/>
      <c r="N3595" s="103"/>
    </row>
    <row r="3596" spans="1:14" ht="45" customHeight="1" thickBot="1" x14ac:dyDescent="0.4">
      <c r="A3596" s="103"/>
      <c r="B3596" s="103"/>
      <c r="C3596" s="103"/>
      <c r="D3596" s="103"/>
      <c r="E3596" s="103"/>
      <c r="F3596" s="103"/>
      <c r="G3596" s="103"/>
      <c r="H3596" s="103"/>
      <c r="I3596" s="103"/>
      <c r="J3596" s="103"/>
      <c r="K3596" s="103"/>
      <c r="L3596" s="103"/>
      <c r="M3596" s="104"/>
      <c r="N3596" s="103"/>
    </row>
    <row r="3597" spans="1:14" ht="45" customHeight="1" thickBot="1" x14ac:dyDescent="0.4">
      <c r="A3597" s="103"/>
      <c r="B3597" s="103"/>
      <c r="C3597" s="103"/>
      <c r="D3597" s="103"/>
      <c r="E3597" s="103"/>
      <c r="F3597" s="103"/>
      <c r="G3597" s="103"/>
      <c r="H3597" s="103"/>
      <c r="I3597" s="103"/>
      <c r="J3597" s="103"/>
      <c r="K3597" s="103"/>
      <c r="L3597" s="103"/>
      <c r="M3597" s="104"/>
      <c r="N3597" s="103"/>
    </row>
    <row r="3598" spans="1:14" ht="45" customHeight="1" thickBot="1" x14ac:dyDescent="0.4">
      <c r="A3598" s="103"/>
      <c r="B3598" s="103"/>
      <c r="C3598" s="103"/>
      <c r="D3598" s="103"/>
      <c r="E3598" s="103"/>
      <c r="F3598" s="103"/>
      <c r="G3598" s="103"/>
      <c r="H3598" s="103"/>
      <c r="I3598" s="103"/>
      <c r="J3598" s="103"/>
      <c r="K3598" s="103"/>
      <c r="L3598" s="103"/>
      <c r="M3598" s="104"/>
      <c r="N3598" s="103"/>
    </row>
    <row r="3599" spans="1:14" ht="45" customHeight="1" thickBot="1" x14ac:dyDescent="0.4">
      <c r="A3599" s="103"/>
      <c r="B3599" s="103"/>
      <c r="C3599" s="103"/>
      <c r="D3599" s="103"/>
      <c r="E3599" s="103"/>
      <c r="F3599" s="103"/>
      <c r="G3599" s="103"/>
      <c r="H3599" s="103"/>
      <c r="I3599" s="103"/>
      <c r="J3599" s="103"/>
      <c r="K3599" s="103"/>
      <c r="L3599" s="103"/>
      <c r="M3599" s="104"/>
      <c r="N3599" s="103"/>
    </row>
    <row r="3600" spans="1:14" ht="45" customHeight="1" thickBot="1" x14ac:dyDescent="0.4">
      <c r="A3600" s="103"/>
      <c r="B3600" s="103"/>
      <c r="C3600" s="103"/>
      <c r="D3600" s="103"/>
      <c r="E3600" s="103"/>
      <c r="F3600" s="103"/>
      <c r="G3600" s="103"/>
      <c r="H3600" s="103"/>
      <c r="I3600" s="103"/>
      <c r="J3600" s="103"/>
      <c r="K3600" s="103"/>
      <c r="L3600" s="103"/>
      <c r="M3600" s="104"/>
      <c r="N3600" s="103"/>
    </row>
    <row r="3601" spans="1:14" ht="45" customHeight="1" thickBot="1" x14ac:dyDescent="0.4">
      <c r="A3601" s="103"/>
      <c r="B3601" s="103"/>
      <c r="C3601" s="103"/>
      <c r="D3601" s="103"/>
      <c r="E3601" s="103"/>
      <c r="F3601" s="103"/>
      <c r="G3601" s="103"/>
      <c r="H3601" s="103"/>
      <c r="I3601" s="103"/>
      <c r="J3601" s="103"/>
      <c r="K3601" s="103"/>
      <c r="L3601" s="103"/>
      <c r="M3601" s="104"/>
      <c r="N3601" s="103"/>
    </row>
    <row r="3602" spans="1:14" ht="45" customHeight="1" thickBot="1" x14ac:dyDescent="0.4">
      <c r="A3602" s="103"/>
      <c r="B3602" s="103"/>
      <c r="C3602" s="103"/>
      <c r="D3602" s="103"/>
      <c r="E3602" s="103"/>
      <c r="F3602" s="103"/>
      <c r="G3602" s="103"/>
      <c r="H3602" s="103"/>
      <c r="I3602" s="103"/>
      <c r="J3602" s="103"/>
      <c r="K3602" s="103"/>
      <c r="L3602" s="103"/>
      <c r="M3602" s="104"/>
      <c r="N3602" s="103"/>
    </row>
    <row r="3603" spans="1:14" ht="45" customHeight="1" thickBot="1" x14ac:dyDescent="0.4">
      <c r="A3603" s="103"/>
      <c r="B3603" s="103"/>
      <c r="C3603" s="103"/>
      <c r="D3603" s="103"/>
      <c r="E3603" s="103"/>
      <c r="F3603" s="103"/>
      <c r="G3603" s="103"/>
      <c r="H3603" s="103"/>
      <c r="I3603" s="103"/>
      <c r="J3603" s="103"/>
      <c r="K3603" s="103"/>
      <c r="L3603" s="103"/>
      <c r="M3603" s="104"/>
      <c r="N3603" s="103"/>
    </row>
    <row r="3604" spans="1:14" ht="45" customHeight="1" thickBot="1" x14ac:dyDescent="0.4">
      <c r="A3604" s="103"/>
      <c r="B3604" s="103"/>
      <c r="C3604" s="103"/>
      <c r="D3604" s="103"/>
      <c r="E3604" s="103"/>
      <c r="F3604" s="103"/>
      <c r="G3604" s="103"/>
      <c r="H3604" s="103"/>
      <c r="I3604" s="103"/>
      <c r="J3604" s="103"/>
      <c r="K3604" s="103"/>
      <c r="L3604" s="103"/>
      <c r="M3604" s="104"/>
      <c r="N3604" s="103"/>
    </row>
    <row r="3605" spans="1:14" ht="45" customHeight="1" thickBot="1" x14ac:dyDescent="0.4">
      <c r="A3605" s="103"/>
      <c r="B3605" s="103"/>
      <c r="C3605" s="103"/>
      <c r="D3605" s="103"/>
      <c r="E3605" s="103"/>
      <c r="F3605" s="103"/>
      <c r="G3605" s="103"/>
      <c r="H3605" s="103"/>
      <c r="I3605" s="103"/>
      <c r="J3605" s="103"/>
      <c r="K3605" s="103"/>
      <c r="L3605" s="103"/>
      <c r="M3605" s="104"/>
      <c r="N3605" s="103"/>
    </row>
    <row r="3606" spans="1:14" ht="45" customHeight="1" thickBot="1" x14ac:dyDescent="0.4">
      <c r="A3606" s="103"/>
      <c r="B3606" s="103"/>
      <c r="C3606" s="103"/>
      <c r="D3606" s="103"/>
      <c r="E3606" s="103"/>
      <c r="F3606" s="103"/>
      <c r="G3606" s="103"/>
      <c r="H3606" s="103"/>
      <c r="I3606" s="103"/>
      <c r="J3606" s="103"/>
      <c r="K3606" s="103"/>
      <c r="L3606" s="103"/>
      <c r="M3606" s="104"/>
      <c r="N3606" s="103"/>
    </row>
    <row r="3607" spans="1:14" ht="45" customHeight="1" thickBot="1" x14ac:dyDescent="0.4">
      <c r="A3607" s="103"/>
      <c r="B3607" s="103"/>
      <c r="C3607" s="103"/>
      <c r="D3607" s="103"/>
      <c r="E3607" s="103"/>
      <c r="F3607" s="103"/>
      <c r="G3607" s="103"/>
      <c r="H3607" s="103"/>
      <c r="I3607" s="103"/>
      <c r="J3607" s="103"/>
      <c r="K3607" s="103"/>
      <c r="L3607" s="103"/>
      <c r="M3607" s="104"/>
      <c r="N3607" s="103"/>
    </row>
    <row r="3608" spans="1:14" ht="45" customHeight="1" thickBot="1" x14ac:dyDescent="0.4">
      <c r="A3608" s="103"/>
      <c r="B3608" s="103"/>
      <c r="C3608" s="103"/>
      <c r="D3608" s="103"/>
      <c r="E3608" s="103"/>
      <c r="F3608" s="103"/>
      <c r="G3608" s="103"/>
      <c r="H3608" s="103"/>
      <c r="I3608" s="103"/>
      <c r="J3608" s="103"/>
      <c r="K3608" s="103"/>
      <c r="L3608" s="103"/>
      <c r="M3608" s="104"/>
      <c r="N3608" s="103"/>
    </row>
    <row r="3609" spans="1:14" ht="45" customHeight="1" thickBot="1" x14ac:dyDescent="0.4">
      <c r="A3609" s="103"/>
      <c r="B3609" s="103"/>
      <c r="C3609" s="103"/>
      <c r="D3609" s="103"/>
      <c r="E3609" s="103"/>
      <c r="F3609" s="103"/>
      <c r="G3609" s="103"/>
      <c r="H3609" s="103"/>
      <c r="I3609" s="103"/>
      <c r="J3609" s="103"/>
      <c r="K3609" s="103"/>
      <c r="L3609" s="103"/>
      <c r="M3609" s="104"/>
      <c r="N3609" s="103"/>
    </row>
    <row r="3610" spans="1:14" ht="45" customHeight="1" thickBot="1" x14ac:dyDescent="0.4">
      <c r="A3610" s="103"/>
      <c r="B3610" s="103"/>
      <c r="C3610" s="103"/>
      <c r="D3610" s="103"/>
      <c r="E3610" s="103"/>
      <c r="F3610" s="103"/>
      <c r="G3610" s="103"/>
      <c r="H3610" s="103"/>
      <c r="I3610" s="103"/>
      <c r="J3610" s="103"/>
      <c r="K3610" s="103"/>
      <c r="L3610" s="103"/>
      <c r="M3610" s="104"/>
      <c r="N3610" s="103"/>
    </row>
    <row r="3611" spans="1:14" ht="45" customHeight="1" thickBot="1" x14ac:dyDescent="0.4">
      <c r="A3611" s="103"/>
      <c r="B3611" s="103"/>
      <c r="C3611" s="103"/>
      <c r="D3611" s="103"/>
      <c r="E3611" s="103"/>
      <c r="F3611" s="103"/>
      <c r="G3611" s="103"/>
      <c r="H3611" s="103"/>
      <c r="I3611" s="103"/>
      <c r="J3611" s="103"/>
      <c r="K3611" s="103"/>
      <c r="L3611" s="103"/>
      <c r="M3611" s="104"/>
      <c r="N3611" s="103"/>
    </row>
    <row r="3612" spans="1:14" ht="45" customHeight="1" thickBot="1" x14ac:dyDescent="0.4">
      <c r="A3612" s="103"/>
      <c r="B3612" s="103"/>
      <c r="C3612" s="103"/>
      <c r="D3612" s="103"/>
      <c r="E3612" s="103"/>
      <c r="F3612" s="103"/>
      <c r="G3612" s="103"/>
      <c r="H3612" s="103"/>
      <c r="I3612" s="103"/>
      <c r="J3612" s="103"/>
      <c r="K3612" s="103"/>
      <c r="L3612" s="103"/>
      <c r="M3612" s="104"/>
      <c r="N3612" s="103"/>
    </row>
    <row r="3613" spans="1:14" ht="45" customHeight="1" thickBot="1" x14ac:dyDescent="0.4">
      <c r="A3613" s="103"/>
      <c r="B3613" s="103"/>
      <c r="C3613" s="103"/>
      <c r="D3613" s="103"/>
      <c r="E3613" s="103"/>
      <c r="F3613" s="103"/>
      <c r="G3613" s="103"/>
      <c r="H3613" s="103"/>
      <c r="I3613" s="103"/>
      <c r="J3613" s="103"/>
      <c r="K3613" s="103"/>
      <c r="L3613" s="103"/>
      <c r="M3613" s="104"/>
      <c r="N3613" s="103"/>
    </row>
    <row r="3614" spans="1:14" ht="45" customHeight="1" thickBot="1" x14ac:dyDescent="0.4">
      <c r="A3614" s="103"/>
      <c r="B3614" s="103"/>
      <c r="C3614" s="103"/>
      <c r="D3614" s="103"/>
      <c r="E3614" s="103"/>
      <c r="F3614" s="103"/>
      <c r="G3614" s="103"/>
      <c r="H3614" s="103"/>
      <c r="I3614" s="103"/>
      <c r="J3614" s="103"/>
      <c r="K3614" s="103"/>
      <c r="L3614" s="103"/>
      <c r="M3614" s="104"/>
      <c r="N3614" s="103"/>
    </row>
    <row r="3615" spans="1:14" ht="45" customHeight="1" thickBot="1" x14ac:dyDescent="0.4">
      <c r="A3615" s="103"/>
      <c r="B3615" s="103"/>
      <c r="C3615" s="103"/>
      <c r="D3615" s="103"/>
      <c r="E3615" s="103"/>
      <c r="F3615" s="103"/>
      <c r="G3615" s="103"/>
      <c r="H3615" s="103"/>
      <c r="I3615" s="103"/>
      <c r="J3615" s="103"/>
      <c r="K3615" s="103"/>
      <c r="L3615" s="103"/>
      <c r="M3615" s="104"/>
      <c r="N3615" s="103"/>
    </row>
    <row r="3616" spans="1:14" ht="45" customHeight="1" thickBot="1" x14ac:dyDescent="0.4">
      <c r="A3616" s="103"/>
      <c r="B3616" s="103"/>
      <c r="C3616" s="103"/>
      <c r="D3616" s="103"/>
      <c r="E3616" s="103"/>
      <c r="F3616" s="103"/>
      <c r="G3616" s="103"/>
      <c r="H3616" s="103"/>
      <c r="I3616" s="103"/>
      <c r="J3616" s="103"/>
      <c r="K3616" s="103"/>
      <c r="L3616" s="103"/>
      <c r="M3616" s="104"/>
      <c r="N3616" s="103"/>
    </row>
    <row r="3617" spans="1:14" ht="45" customHeight="1" thickBot="1" x14ac:dyDescent="0.4">
      <c r="A3617" s="103"/>
      <c r="B3617" s="103"/>
      <c r="C3617" s="103"/>
      <c r="D3617" s="103"/>
      <c r="E3617" s="103"/>
      <c r="F3617" s="103"/>
      <c r="G3617" s="103"/>
      <c r="H3617" s="103"/>
      <c r="I3617" s="103"/>
      <c r="J3617" s="103"/>
      <c r="K3617" s="103"/>
      <c r="L3617" s="103"/>
      <c r="M3617" s="104"/>
      <c r="N3617" s="103"/>
    </row>
    <row r="3618" spans="1:14" ht="45" customHeight="1" thickBot="1" x14ac:dyDescent="0.4">
      <c r="A3618" s="103"/>
      <c r="B3618" s="103"/>
      <c r="C3618" s="103"/>
      <c r="D3618" s="103"/>
      <c r="E3618" s="103"/>
      <c r="F3618" s="103"/>
      <c r="G3618" s="103"/>
      <c r="H3618" s="103"/>
      <c r="I3618" s="103"/>
      <c r="J3618" s="103"/>
      <c r="K3618" s="103"/>
      <c r="L3618" s="103"/>
      <c r="M3618" s="104"/>
      <c r="N3618" s="103"/>
    </row>
    <row r="3619" spans="1:14" ht="45" customHeight="1" thickBot="1" x14ac:dyDescent="0.4">
      <c r="A3619" s="103"/>
      <c r="B3619" s="103"/>
      <c r="C3619" s="103"/>
      <c r="D3619" s="103"/>
      <c r="E3619" s="103"/>
      <c r="F3619" s="103"/>
      <c r="G3619" s="103"/>
      <c r="H3619" s="103"/>
      <c r="I3619" s="103"/>
      <c r="J3619" s="103"/>
      <c r="K3619" s="103"/>
      <c r="L3619" s="103"/>
      <c r="M3619" s="104"/>
      <c r="N3619" s="103"/>
    </row>
    <row r="3620" spans="1:14" ht="45" customHeight="1" thickBot="1" x14ac:dyDescent="0.4">
      <c r="A3620" s="103"/>
      <c r="B3620" s="103"/>
      <c r="C3620" s="103"/>
      <c r="D3620" s="103"/>
      <c r="E3620" s="103"/>
      <c r="F3620" s="103"/>
      <c r="G3620" s="103"/>
      <c r="H3620" s="103"/>
      <c r="I3620" s="103"/>
      <c r="J3620" s="103"/>
      <c r="K3620" s="103"/>
      <c r="L3620" s="103"/>
      <c r="M3620" s="104"/>
      <c r="N3620" s="103"/>
    </row>
    <row r="3621" spans="1:14" ht="45" customHeight="1" thickBot="1" x14ac:dyDescent="0.4">
      <c r="A3621" s="103"/>
      <c r="B3621" s="103"/>
      <c r="C3621" s="103"/>
      <c r="D3621" s="103"/>
      <c r="E3621" s="103"/>
      <c r="F3621" s="103"/>
      <c r="G3621" s="103"/>
      <c r="H3621" s="103"/>
      <c r="I3621" s="103"/>
      <c r="J3621" s="103"/>
      <c r="K3621" s="103"/>
      <c r="L3621" s="103"/>
      <c r="M3621" s="104"/>
      <c r="N3621" s="103"/>
    </row>
    <row r="3622" spans="1:14" ht="45" customHeight="1" thickBot="1" x14ac:dyDescent="0.4">
      <c r="A3622" s="103"/>
      <c r="B3622" s="103"/>
      <c r="C3622" s="103"/>
      <c r="D3622" s="103"/>
      <c r="E3622" s="103"/>
      <c r="F3622" s="103"/>
      <c r="G3622" s="103"/>
      <c r="H3622" s="103"/>
      <c r="I3622" s="103"/>
      <c r="J3622" s="103"/>
      <c r="K3622" s="103"/>
      <c r="L3622" s="103"/>
      <c r="M3622" s="104"/>
      <c r="N3622" s="103"/>
    </row>
    <row r="3623" spans="1:14" ht="45" customHeight="1" thickBot="1" x14ac:dyDescent="0.4">
      <c r="A3623" s="103"/>
      <c r="B3623" s="103"/>
      <c r="C3623" s="103"/>
      <c r="D3623" s="103"/>
      <c r="E3623" s="103"/>
      <c r="F3623" s="103"/>
      <c r="G3623" s="103"/>
      <c r="H3623" s="103"/>
      <c r="I3623" s="103"/>
      <c r="J3623" s="103"/>
      <c r="K3623" s="103"/>
      <c r="L3623" s="103"/>
      <c r="M3623" s="104"/>
      <c r="N3623" s="103"/>
    </row>
    <row r="3624" spans="1:14" ht="45" customHeight="1" thickBot="1" x14ac:dyDescent="0.4">
      <c r="A3624" s="103"/>
      <c r="B3624" s="103"/>
      <c r="C3624" s="103"/>
      <c r="D3624" s="103"/>
      <c r="E3624" s="103"/>
      <c r="F3624" s="103"/>
      <c r="G3624" s="103"/>
      <c r="H3624" s="103"/>
      <c r="I3624" s="103"/>
      <c r="J3624" s="103"/>
      <c r="K3624" s="103"/>
      <c r="L3624" s="103"/>
      <c r="M3624" s="104"/>
      <c r="N3624" s="103"/>
    </row>
    <row r="3625" spans="1:14" ht="45" customHeight="1" thickBot="1" x14ac:dyDescent="0.4">
      <c r="A3625" s="103"/>
      <c r="B3625" s="103"/>
      <c r="C3625" s="103"/>
      <c r="D3625" s="103"/>
      <c r="E3625" s="103"/>
      <c r="F3625" s="103"/>
      <c r="G3625" s="103"/>
      <c r="H3625" s="103"/>
      <c r="I3625" s="103"/>
      <c r="J3625" s="103"/>
      <c r="K3625" s="103"/>
      <c r="L3625" s="103"/>
      <c r="M3625" s="104"/>
      <c r="N3625" s="103"/>
    </row>
    <row r="3626" spans="1:14" ht="45" customHeight="1" thickBot="1" x14ac:dyDescent="0.4">
      <c r="A3626" s="103"/>
      <c r="B3626" s="103"/>
      <c r="C3626" s="103"/>
      <c r="D3626" s="103"/>
      <c r="E3626" s="103"/>
      <c r="F3626" s="103"/>
      <c r="G3626" s="103"/>
      <c r="H3626" s="103"/>
      <c r="I3626" s="103"/>
      <c r="J3626" s="103"/>
      <c r="K3626" s="103"/>
      <c r="L3626" s="103"/>
      <c r="M3626" s="104"/>
      <c r="N3626" s="103"/>
    </row>
    <row r="3627" spans="1:14" ht="45" customHeight="1" thickBot="1" x14ac:dyDescent="0.4">
      <c r="A3627" s="103"/>
      <c r="B3627" s="103"/>
      <c r="C3627" s="103"/>
      <c r="D3627" s="103"/>
      <c r="E3627" s="103"/>
      <c r="F3627" s="103"/>
      <c r="G3627" s="103"/>
      <c r="H3627" s="103"/>
      <c r="I3627" s="103"/>
      <c r="J3627" s="103"/>
      <c r="K3627" s="103"/>
      <c r="L3627" s="103"/>
      <c r="M3627" s="104"/>
      <c r="N3627" s="103"/>
    </row>
    <row r="3628" spans="1:14" ht="45" customHeight="1" thickBot="1" x14ac:dyDescent="0.4">
      <c r="A3628" s="103"/>
      <c r="B3628" s="103"/>
      <c r="C3628" s="103"/>
      <c r="D3628" s="103"/>
      <c r="E3628" s="103"/>
      <c r="F3628" s="103"/>
      <c r="G3628" s="103"/>
      <c r="H3628" s="103"/>
      <c r="I3628" s="103"/>
      <c r="J3628" s="103"/>
      <c r="K3628" s="103"/>
      <c r="L3628" s="103"/>
      <c r="M3628" s="104"/>
      <c r="N3628" s="103"/>
    </row>
    <row r="3629" spans="1:14" ht="45" customHeight="1" thickBot="1" x14ac:dyDescent="0.4">
      <c r="A3629" s="103"/>
      <c r="B3629" s="103"/>
      <c r="C3629" s="103"/>
      <c r="D3629" s="103"/>
      <c r="E3629" s="103"/>
      <c r="F3629" s="103"/>
      <c r="G3629" s="103"/>
      <c r="H3629" s="103"/>
      <c r="I3629" s="103"/>
      <c r="J3629" s="103"/>
      <c r="K3629" s="103"/>
      <c r="L3629" s="103"/>
      <c r="M3629" s="104"/>
      <c r="N3629" s="103"/>
    </row>
    <row r="3630" spans="1:14" ht="45" customHeight="1" thickBot="1" x14ac:dyDescent="0.4">
      <c r="A3630" s="103"/>
      <c r="B3630" s="103"/>
      <c r="C3630" s="103"/>
      <c r="D3630" s="103"/>
      <c r="E3630" s="103"/>
      <c r="F3630" s="103"/>
      <c r="G3630" s="103"/>
      <c r="H3630" s="103"/>
      <c r="I3630" s="103"/>
      <c r="J3630" s="103"/>
      <c r="K3630" s="103"/>
      <c r="L3630" s="103"/>
      <c r="M3630" s="104"/>
      <c r="N3630" s="103"/>
    </row>
    <row r="3631" spans="1:14" ht="45" customHeight="1" thickBot="1" x14ac:dyDescent="0.4">
      <c r="A3631" s="103"/>
      <c r="B3631" s="103"/>
      <c r="C3631" s="103"/>
      <c r="D3631" s="103"/>
      <c r="E3631" s="103"/>
      <c r="F3631" s="103"/>
      <c r="G3631" s="103"/>
      <c r="H3631" s="103"/>
      <c r="I3631" s="103"/>
      <c r="J3631" s="103"/>
      <c r="K3631" s="103"/>
      <c r="L3631" s="103"/>
      <c r="M3631" s="104"/>
      <c r="N3631" s="103"/>
    </row>
    <row r="3632" spans="1:14" ht="45" customHeight="1" thickBot="1" x14ac:dyDescent="0.4">
      <c r="A3632" s="103"/>
      <c r="B3632" s="103"/>
      <c r="C3632" s="103"/>
      <c r="D3632" s="103"/>
      <c r="E3632" s="103"/>
      <c r="F3632" s="103"/>
      <c r="G3632" s="103"/>
      <c r="H3632" s="103"/>
      <c r="I3632" s="103"/>
      <c r="J3632" s="103"/>
      <c r="K3632" s="103"/>
      <c r="L3632" s="103"/>
      <c r="M3632" s="104"/>
      <c r="N3632" s="103"/>
    </row>
    <row r="3633" spans="1:14" ht="45" customHeight="1" thickBot="1" x14ac:dyDescent="0.4">
      <c r="A3633" s="103"/>
      <c r="B3633" s="103"/>
      <c r="C3633" s="103"/>
      <c r="D3633" s="103"/>
      <c r="E3633" s="103"/>
      <c r="F3633" s="103"/>
      <c r="G3633" s="103"/>
      <c r="H3633" s="103"/>
      <c r="I3633" s="103"/>
      <c r="J3633" s="103"/>
      <c r="K3633" s="103"/>
      <c r="L3633" s="103"/>
      <c r="M3633" s="104"/>
      <c r="N3633" s="103"/>
    </row>
    <row r="3634" spans="1:14" ht="45" customHeight="1" thickBot="1" x14ac:dyDescent="0.4">
      <c r="A3634" s="103"/>
      <c r="B3634" s="103"/>
      <c r="C3634" s="103"/>
      <c r="D3634" s="103"/>
      <c r="E3634" s="103"/>
      <c r="F3634" s="103"/>
      <c r="G3634" s="103"/>
      <c r="H3634" s="103"/>
      <c r="I3634" s="103"/>
      <c r="J3634" s="103"/>
      <c r="K3634" s="103"/>
      <c r="L3634" s="103"/>
      <c r="M3634" s="104"/>
      <c r="N3634" s="103"/>
    </row>
    <row r="3635" spans="1:14" ht="45" customHeight="1" thickBot="1" x14ac:dyDescent="0.4">
      <c r="A3635" s="103"/>
      <c r="B3635" s="103"/>
      <c r="C3635" s="103"/>
      <c r="D3635" s="103"/>
      <c r="E3635" s="103"/>
      <c r="F3635" s="103"/>
      <c r="G3635" s="103"/>
      <c r="H3635" s="103"/>
      <c r="I3635" s="103"/>
      <c r="J3635" s="103"/>
      <c r="K3635" s="103"/>
      <c r="L3635" s="103"/>
      <c r="M3635" s="104"/>
      <c r="N3635" s="103"/>
    </row>
    <row r="3636" spans="1:14" ht="45" customHeight="1" thickBot="1" x14ac:dyDescent="0.4">
      <c r="A3636" s="103"/>
      <c r="B3636" s="103"/>
      <c r="C3636" s="103"/>
      <c r="D3636" s="103"/>
      <c r="E3636" s="103"/>
      <c r="F3636" s="103"/>
      <c r="G3636" s="103"/>
      <c r="H3636" s="103"/>
      <c r="I3636" s="103"/>
      <c r="J3636" s="103"/>
      <c r="K3636" s="103"/>
      <c r="L3636" s="103"/>
      <c r="M3636" s="104"/>
      <c r="N3636" s="103"/>
    </row>
    <row r="3637" spans="1:14" ht="45" customHeight="1" thickBot="1" x14ac:dyDescent="0.4">
      <c r="A3637" s="103"/>
      <c r="B3637" s="103"/>
      <c r="C3637" s="103"/>
      <c r="D3637" s="103"/>
      <c r="E3637" s="103"/>
      <c r="F3637" s="103"/>
      <c r="G3637" s="103"/>
      <c r="H3637" s="103"/>
      <c r="I3637" s="103"/>
      <c r="J3637" s="103"/>
      <c r="K3637" s="103"/>
      <c r="L3637" s="103"/>
      <c r="M3637" s="104"/>
      <c r="N3637" s="103"/>
    </row>
    <row r="3638" spans="1:14" ht="45" customHeight="1" thickBot="1" x14ac:dyDescent="0.4">
      <c r="A3638" s="103"/>
      <c r="B3638" s="103"/>
      <c r="C3638" s="103"/>
      <c r="D3638" s="103"/>
      <c r="E3638" s="103"/>
      <c r="F3638" s="103"/>
      <c r="G3638" s="103"/>
      <c r="H3638" s="103"/>
      <c r="I3638" s="103"/>
      <c r="J3638" s="103"/>
      <c r="K3638" s="103"/>
      <c r="L3638" s="103"/>
      <c r="M3638" s="104"/>
      <c r="N3638" s="103"/>
    </row>
    <row r="3639" spans="1:14" ht="45" customHeight="1" thickBot="1" x14ac:dyDescent="0.4">
      <c r="A3639" s="103"/>
      <c r="B3639" s="103"/>
      <c r="C3639" s="103"/>
      <c r="D3639" s="103"/>
      <c r="E3639" s="103"/>
      <c r="F3639" s="103"/>
      <c r="G3639" s="103"/>
      <c r="H3639" s="103"/>
      <c r="I3639" s="103"/>
      <c r="J3639" s="103"/>
      <c r="K3639" s="103"/>
      <c r="L3639" s="103"/>
      <c r="M3639" s="104"/>
      <c r="N3639" s="103"/>
    </row>
    <row r="3640" spans="1:14" ht="45" customHeight="1" thickBot="1" x14ac:dyDescent="0.4">
      <c r="A3640" s="103"/>
      <c r="B3640" s="103"/>
      <c r="C3640" s="103"/>
      <c r="D3640" s="103"/>
      <c r="E3640" s="103"/>
      <c r="F3640" s="103"/>
      <c r="G3640" s="103"/>
      <c r="H3640" s="103"/>
      <c r="I3640" s="103"/>
      <c r="J3640" s="103"/>
      <c r="K3640" s="103"/>
      <c r="L3640" s="103"/>
      <c r="M3640" s="104"/>
      <c r="N3640" s="103"/>
    </row>
    <row r="3641" spans="1:14" ht="45" customHeight="1" thickBot="1" x14ac:dyDescent="0.4">
      <c r="A3641" s="103"/>
      <c r="B3641" s="103"/>
      <c r="C3641" s="103"/>
      <c r="D3641" s="103"/>
      <c r="E3641" s="103"/>
      <c r="F3641" s="103"/>
      <c r="G3641" s="103"/>
      <c r="H3641" s="103"/>
      <c r="I3641" s="103"/>
      <c r="J3641" s="103"/>
      <c r="K3641" s="103"/>
      <c r="L3641" s="103"/>
      <c r="M3641" s="104"/>
      <c r="N3641" s="103"/>
    </row>
    <row r="3642" spans="1:14" ht="45" customHeight="1" thickBot="1" x14ac:dyDescent="0.4">
      <c r="A3642" s="103"/>
      <c r="B3642" s="103"/>
      <c r="C3642" s="103"/>
      <c r="D3642" s="103"/>
      <c r="E3642" s="103"/>
      <c r="F3642" s="103"/>
      <c r="G3642" s="103"/>
      <c r="H3642" s="103"/>
      <c r="I3642" s="103"/>
      <c r="J3642" s="103"/>
      <c r="K3642" s="103"/>
      <c r="L3642" s="103"/>
      <c r="M3642" s="104"/>
      <c r="N3642" s="103"/>
    </row>
    <row r="3643" spans="1:14" ht="45" customHeight="1" thickBot="1" x14ac:dyDescent="0.4">
      <c r="A3643" s="103"/>
      <c r="B3643" s="103"/>
      <c r="C3643" s="103"/>
      <c r="D3643" s="103"/>
      <c r="E3643" s="103"/>
      <c r="F3643" s="103"/>
      <c r="G3643" s="103"/>
      <c r="H3643" s="103"/>
      <c r="I3643" s="103"/>
      <c r="J3643" s="103"/>
      <c r="K3643" s="103"/>
      <c r="L3643" s="103"/>
      <c r="M3643" s="104"/>
      <c r="N3643" s="103"/>
    </row>
    <row r="3644" spans="1:14" ht="45" customHeight="1" thickBot="1" x14ac:dyDescent="0.4">
      <c r="A3644" s="103"/>
      <c r="B3644" s="103"/>
      <c r="C3644" s="103"/>
      <c r="D3644" s="103"/>
      <c r="E3644" s="103"/>
      <c r="F3644" s="103"/>
      <c r="G3644" s="103"/>
      <c r="H3644" s="103"/>
      <c r="I3644" s="103"/>
      <c r="J3644" s="103"/>
      <c r="K3644" s="103"/>
      <c r="L3644" s="103"/>
      <c r="M3644" s="104"/>
      <c r="N3644" s="103"/>
    </row>
    <row r="3645" spans="1:14" ht="45" customHeight="1" thickBot="1" x14ac:dyDescent="0.4">
      <c r="A3645" s="103"/>
      <c r="B3645" s="103"/>
      <c r="C3645" s="103"/>
      <c r="D3645" s="103"/>
      <c r="E3645" s="103"/>
      <c r="F3645" s="103"/>
      <c r="G3645" s="103"/>
      <c r="H3645" s="103"/>
      <c r="I3645" s="103"/>
      <c r="J3645" s="103"/>
      <c r="K3645" s="103"/>
      <c r="L3645" s="103"/>
      <c r="M3645" s="104"/>
      <c r="N3645" s="103"/>
    </row>
    <row r="3646" spans="1:14" ht="45" customHeight="1" thickBot="1" x14ac:dyDescent="0.4">
      <c r="A3646" s="103"/>
      <c r="B3646" s="103"/>
      <c r="C3646" s="103"/>
      <c r="D3646" s="103"/>
      <c r="E3646" s="103"/>
      <c r="F3646" s="103"/>
      <c r="G3646" s="103"/>
      <c r="H3646" s="103"/>
      <c r="I3646" s="103"/>
      <c r="J3646" s="103"/>
      <c r="K3646" s="103"/>
      <c r="L3646" s="103"/>
      <c r="M3646" s="104"/>
      <c r="N3646" s="103"/>
    </row>
    <row r="3647" spans="1:14" ht="45" customHeight="1" thickBot="1" x14ac:dyDescent="0.4">
      <c r="A3647" s="103"/>
      <c r="B3647" s="103"/>
      <c r="C3647" s="103"/>
      <c r="D3647" s="103"/>
      <c r="E3647" s="103"/>
      <c r="F3647" s="103"/>
      <c r="G3647" s="103"/>
      <c r="H3647" s="103"/>
      <c r="I3647" s="103"/>
      <c r="J3647" s="103"/>
      <c r="K3647" s="103"/>
      <c r="L3647" s="103"/>
      <c r="M3647" s="104"/>
      <c r="N3647" s="103"/>
    </row>
    <row r="3648" spans="1:14" ht="45" customHeight="1" thickBot="1" x14ac:dyDescent="0.4">
      <c r="A3648" s="103"/>
      <c r="B3648" s="103"/>
      <c r="C3648" s="103"/>
      <c r="D3648" s="103"/>
      <c r="E3648" s="103"/>
      <c r="F3648" s="103"/>
      <c r="G3648" s="103"/>
      <c r="H3648" s="103"/>
      <c r="I3648" s="103"/>
      <c r="J3648" s="103"/>
      <c r="K3648" s="103"/>
      <c r="L3648" s="103"/>
      <c r="M3648" s="104"/>
      <c r="N3648" s="103"/>
    </row>
    <row r="3649" spans="1:14" ht="45" customHeight="1" thickBot="1" x14ac:dyDescent="0.4">
      <c r="A3649" s="103"/>
      <c r="B3649" s="103"/>
      <c r="C3649" s="103"/>
      <c r="D3649" s="103"/>
      <c r="E3649" s="103"/>
      <c r="F3649" s="103"/>
      <c r="G3649" s="103"/>
      <c r="H3649" s="103"/>
      <c r="I3649" s="103"/>
      <c r="J3649" s="103"/>
      <c r="K3649" s="103"/>
      <c r="L3649" s="103"/>
      <c r="M3649" s="104"/>
      <c r="N3649" s="103"/>
    </row>
    <row r="3650" spans="1:14" ht="45" customHeight="1" thickBot="1" x14ac:dyDescent="0.4">
      <c r="A3650" s="103"/>
      <c r="B3650" s="103"/>
      <c r="C3650" s="103"/>
      <c r="D3650" s="103"/>
      <c r="E3650" s="103"/>
      <c r="F3650" s="103"/>
      <c r="G3650" s="103"/>
      <c r="H3650" s="103"/>
      <c r="I3650" s="103"/>
      <c r="J3650" s="103"/>
      <c r="K3650" s="103"/>
      <c r="L3650" s="103"/>
      <c r="M3650" s="104"/>
      <c r="N3650" s="103"/>
    </row>
    <row r="3651" spans="1:14" ht="45" customHeight="1" thickBot="1" x14ac:dyDescent="0.4">
      <c r="A3651" s="103"/>
      <c r="B3651" s="103"/>
      <c r="C3651" s="103"/>
      <c r="D3651" s="103"/>
      <c r="E3651" s="103"/>
      <c r="F3651" s="103"/>
      <c r="G3651" s="103"/>
      <c r="H3651" s="103"/>
      <c r="I3651" s="103"/>
      <c r="J3651" s="103"/>
      <c r="K3651" s="103"/>
      <c r="L3651" s="103"/>
      <c r="M3651" s="104"/>
      <c r="N3651" s="103"/>
    </row>
    <row r="3652" spans="1:14" ht="45" customHeight="1" thickBot="1" x14ac:dyDescent="0.4">
      <c r="A3652" s="103"/>
      <c r="B3652" s="103"/>
      <c r="C3652" s="103"/>
      <c r="D3652" s="103"/>
      <c r="E3652" s="103"/>
      <c r="F3652" s="103"/>
      <c r="G3652" s="103"/>
      <c r="H3652" s="103"/>
      <c r="I3652" s="103"/>
      <c r="J3652" s="103"/>
      <c r="K3652" s="103"/>
      <c r="L3652" s="103"/>
      <c r="M3652" s="104"/>
      <c r="N3652" s="103"/>
    </row>
    <row r="3653" spans="1:14" ht="45" customHeight="1" thickBot="1" x14ac:dyDescent="0.4">
      <c r="A3653" s="103"/>
      <c r="B3653" s="103"/>
      <c r="C3653" s="103"/>
      <c r="D3653" s="103"/>
      <c r="E3653" s="103"/>
      <c r="F3653" s="103"/>
      <c r="G3653" s="103"/>
      <c r="H3653" s="103"/>
      <c r="I3653" s="103"/>
      <c r="J3653" s="103"/>
      <c r="K3653" s="103"/>
      <c r="L3653" s="103"/>
      <c r="M3653" s="104"/>
      <c r="N3653" s="103"/>
    </row>
    <row r="3654" spans="1:14" ht="45" customHeight="1" thickBot="1" x14ac:dyDescent="0.4">
      <c r="A3654" s="103"/>
      <c r="B3654" s="103"/>
      <c r="C3654" s="103"/>
      <c r="D3654" s="103"/>
      <c r="E3654" s="103"/>
      <c r="F3654" s="103"/>
      <c r="G3654" s="103"/>
      <c r="H3654" s="103"/>
      <c r="I3654" s="103"/>
      <c r="J3654" s="103"/>
      <c r="K3654" s="103"/>
      <c r="L3654" s="103"/>
      <c r="M3654" s="104"/>
      <c r="N3654" s="103"/>
    </row>
    <row r="3655" spans="1:14" ht="45" customHeight="1" thickBot="1" x14ac:dyDescent="0.4">
      <c r="A3655" s="103"/>
      <c r="B3655" s="103"/>
      <c r="C3655" s="103"/>
      <c r="D3655" s="103"/>
      <c r="E3655" s="103"/>
      <c r="F3655" s="103"/>
      <c r="G3655" s="103"/>
      <c r="H3655" s="103"/>
      <c r="I3655" s="103"/>
      <c r="J3655" s="103"/>
      <c r="K3655" s="103"/>
      <c r="L3655" s="103"/>
      <c r="M3655" s="104"/>
      <c r="N3655" s="103"/>
    </row>
    <row r="3656" spans="1:14" ht="45" customHeight="1" thickBot="1" x14ac:dyDescent="0.4">
      <c r="A3656" s="103"/>
      <c r="B3656" s="103"/>
      <c r="C3656" s="103"/>
      <c r="D3656" s="103"/>
      <c r="E3656" s="103"/>
      <c r="F3656" s="103"/>
      <c r="G3656" s="103"/>
      <c r="H3656" s="103"/>
      <c r="I3656" s="103"/>
      <c r="J3656" s="103"/>
      <c r="K3656" s="103"/>
      <c r="L3656" s="103"/>
      <c r="M3656" s="104"/>
      <c r="N3656" s="103"/>
    </row>
    <row r="3657" spans="1:14" ht="45" customHeight="1" thickBot="1" x14ac:dyDescent="0.4">
      <c r="A3657" s="103"/>
      <c r="B3657" s="103"/>
      <c r="C3657" s="103"/>
      <c r="D3657" s="103"/>
      <c r="E3657" s="103"/>
      <c r="F3657" s="103"/>
      <c r="G3657" s="103"/>
      <c r="H3657" s="103"/>
      <c r="I3657" s="103"/>
      <c r="J3657" s="103"/>
      <c r="K3657" s="103"/>
      <c r="L3657" s="103"/>
      <c r="M3657" s="104"/>
      <c r="N3657" s="103"/>
    </row>
    <row r="3658" spans="1:14" ht="45" customHeight="1" thickBot="1" x14ac:dyDescent="0.4">
      <c r="A3658" s="103"/>
      <c r="B3658" s="103"/>
      <c r="C3658" s="103"/>
      <c r="D3658" s="103"/>
      <c r="E3658" s="103"/>
      <c r="F3658" s="103"/>
      <c r="G3658" s="103"/>
      <c r="H3658" s="103"/>
      <c r="I3658" s="103"/>
      <c r="J3658" s="103"/>
      <c r="K3658" s="103"/>
      <c r="L3658" s="103"/>
      <c r="M3658" s="104"/>
      <c r="N3658" s="103"/>
    </row>
    <row r="3659" spans="1:14" ht="45" customHeight="1" thickBot="1" x14ac:dyDescent="0.4">
      <c r="A3659" s="103"/>
      <c r="B3659" s="103"/>
      <c r="C3659" s="103"/>
      <c r="D3659" s="103"/>
      <c r="E3659" s="103"/>
      <c r="F3659" s="103"/>
      <c r="G3659" s="103"/>
      <c r="H3659" s="103"/>
      <c r="I3659" s="103"/>
      <c r="J3659" s="103"/>
      <c r="K3659" s="103"/>
      <c r="L3659" s="103"/>
      <c r="M3659" s="104"/>
      <c r="N3659" s="103"/>
    </row>
    <row r="3660" spans="1:14" ht="45" customHeight="1" thickBot="1" x14ac:dyDescent="0.4">
      <c r="A3660" s="103"/>
      <c r="B3660" s="103"/>
      <c r="C3660" s="103"/>
      <c r="D3660" s="103"/>
      <c r="E3660" s="103"/>
      <c r="F3660" s="103"/>
      <c r="G3660" s="103"/>
      <c r="H3660" s="103"/>
      <c r="I3660" s="103"/>
      <c r="J3660" s="103"/>
      <c r="K3660" s="103"/>
      <c r="L3660" s="103"/>
      <c r="M3660" s="104"/>
      <c r="N3660" s="103"/>
    </row>
    <row r="3661" spans="1:14" ht="45" customHeight="1" thickBot="1" x14ac:dyDescent="0.4">
      <c r="A3661" s="103"/>
      <c r="B3661" s="103"/>
      <c r="C3661" s="103"/>
      <c r="D3661" s="103"/>
      <c r="E3661" s="103"/>
      <c r="F3661" s="103"/>
      <c r="G3661" s="103"/>
      <c r="H3661" s="103"/>
      <c r="I3661" s="103"/>
      <c r="J3661" s="103"/>
      <c r="K3661" s="103"/>
      <c r="L3661" s="103"/>
      <c r="M3661" s="104"/>
      <c r="N3661" s="103"/>
    </row>
    <row r="3662" spans="1:14" ht="45" customHeight="1" thickBot="1" x14ac:dyDescent="0.4">
      <c r="A3662" s="103"/>
      <c r="B3662" s="103"/>
      <c r="C3662" s="103"/>
      <c r="D3662" s="103"/>
      <c r="E3662" s="103"/>
      <c r="F3662" s="103"/>
      <c r="G3662" s="103"/>
      <c r="H3662" s="103"/>
      <c r="I3662" s="103"/>
      <c r="J3662" s="103"/>
      <c r="K3662" s="103"/>
      <c r="L3662" s="103"/>
      <c r="M3662" s="104"/>
      <c r="N3662" s="103"/>
    </row>
    <row r="3663" spans="1:14" ht="45" customHeight="1" thickBot="1" x14ac:dyDescent="0.4">
      <c r="A3663" s="103"/>
      <c r="B3663" s="103"/>
      <c r="C3663" s="103"/>
      <c r="D3663" s="103"/>
      <c r="E3663" s="103"/>
      <c r="F3663" s="103"/>
      <c r="G3663" s="103"/>
      <c r="H3663" s="103"/>
      <c r="I3663" s="103"/>
      <c r="J3663" s="103"/>
      <c r="K3663" s="103"/>
      <c r="L3663" s="103"/>
      <c r="M3663" s="104"/>
      <c r="N3663" s="103"/>
    </row>
    <row r="3664" spans="1:14" ht="45" customHeight="1" thickBot="1" x14ac:dyDescent="0.4">
      <c r="A3664" s="103"/>
      <c r="B3664" s="103"/>
      <c r="C3664" s="103"/>
      <c r="D3664" s="103"/>
      <c r="E3664" s="103"/>
      <c r="F3664" s="103"/>
      <c r="G3664" s="103"/>
      <c r="H3664" s="103"/>
      <c r="I3664" s="103"/>
      <c r="J3664" s="103"/>
      <c r="K3664" s="103"/>
      <c r="L3664" s="103"/>
      <c r="M3664" s="104"/>
      <c r="N3664" s="103"/>
    </row>
    <row r="3665" spans="1:14" ht="45" customHeight="1" thickBot="1" x14ac:dyDescent="0.4">
      <c r="A3665" s="103"/>
      <c r="B3665" s="103"/>
      <c r="C3665" s="103"/>
      <c r="D3665" s="103"/>
      <c r="E3665" s="103"/>
      <c r="F3665" s="103"/>
      <c r="G3665" s="103"/>
      <c r="H3665" s="103"/>
      <c r="I3665" s="103"/>
      <c r="J3665" s="103"/>
      <c r="K3665" s="103"/>
      <c r="L3665" s="103"/>
      <c r="M3665" s="104"/>
      <c r="N3665" s="103"/>
    </row>
    <row r="3666" spans="1:14" ht="45" customHeight="1" thickBot="1" x14ac:dyDescent="0.4">
      <c r="A3666" s="103"/>
      <c r="B3666" s="103"/>
      <c r="C3666" s="103"/>
      <c r="D3666" s="103"/>
      <c r="E3666" s="103"/>
      <c r="F3666" s="103"/>
      <c r="G3666" s="103"/>
      <c r="H3666" s="103"/>
      <c r="I3666" s="103"/>
      <c r="J3666" s="103"/>
      <c r="K3666" s="103"/>
      <c r="L3666" s="103"/>
      <c r="M3666" s="104"/>
      <c r="N3666" s="103"/>
    </row>
    <row r="3667" spans="1:14" ht="45" customHeight="1" thickBot="1" x14ac:dyDescent="0.4">
      <c r="A3667" s="103"/>
      <c r="B3667" s="103"/>
      <c r="C3667" s="103"/>
      <c r="D3667" s="103"/>
      <c r="E3667" s="103"/>
      <c r="F3667" s="103"/>
      <c r="G3667" s="103"/>
      <c r="H3667" s="103"/>
      <c r="I3667" s="103"/>
      <c r="J3667" s="103"/>
      <c r="K3667" s="103"/>
      <c r="L3667" s="103"/>
      <c r="M3667" s="104"/>
      <c r="N3667" s="103"/>
    </row>
    <row r="3668" spans="1:14" ht="45" customHeight="1" thickBot="1" x14ac:dyDescent="0.4">
      <c r="A3668" s="103"/>
      <c r="B3668" s="103"/>
      <c r="C3668" s="103"/>
      <c r="D3668" s="103"/>
      <c r="E3668" s="103"/>
      <c r="F3668" s="103"/>
      <c r="G3668" s="103"/>
      <c r="H3668" s="103"/>
      <c r="I3668" s="103"/>
      <c r="J3668" s="103"/>
      <c r="K3668" s="103"/>
      <c r="L3668" s="103"/>
      <c r="M3668" s="104"/>
      <c r="N3668" s="103"/>
    </row>
    <row r="3669" spans="1:14" ht="45" customHeight="1" thickBot="1" x14ac:dyDescent="0.4">
      <c r="A3669" s="103"/>
      <c r="B3669" s="103"/>
      <c r="C3669" s="103"/>
      <c r="D3669" s="103"/>
      <c r="E3669" s="103"/>
      <c r="F3669" s="103"/>
      <c r="G3669" s="103"/>
      <c r="H3669" s="103"/>
      <c r="I3669" s="103"/>
      <c r="J3669" s="103"/>
      <c r="K3669" s="103"/>
      <c r="L3669" s="103"/>
      <c r="M3669" s="104"/>
      <c r="N3669" s="103"/>
    </row>
    <row r="3670" spans="1:14" ht="45" customHeight="1" thickBot="1" x14ac:dyDescent="0.4">
      <c r="A3670" s="103"/>
      <c r="B3670" s="103"/>
      <c r="C3670" s="103"/>
      <c r="D3670" s="103"/>
      <c r="E3670" s="103"/>
      <c r="F3670" s="103"/>
      <c r="G3670" s="103"/>
      <c r="H3670" s="103"/>
      <c r="I3670" s="103"/>
      <c r="J3670" s="103"/>
      <c r="K3670" s="103"/>
      <c r="L3670" s="103"/>
      <c r="M3670" s="104"/>
      <c r="N3670" s="103"/>
    </row>
    <row r="3671" spans="1:14" ht="45" customHeight="1" thickBot="1" x14ac:dyDescent="0.4">
      <c r="A3671" s="103"/>
      <c r="B3671" s="103"/>
      <c r="C3671" s="103"/>
      <c r="D3671" s="103"/>
      <c r="E3671" s="103"/>
      <c r="F3671" s="103"/>
      <c r="G3671" s="103"/>
      <c r="H3671" s="103"/>
      <c r="I3671" s="103"/>
      <c r="J3671" s="103"/>
      <c r="K3671" s="103"/>
      <c r="L3671" s="103"/>
      <c r="M3671" s="104"/>
      <c r="N3671" s="103"/>
    </row>
    <row r="3672" spans="1:14" ht="45" customHeight="1" thickBot="1" x14ac:dyDescent="0.4">
      <c r="A3672" s="103"/>
      <c r="B3672" s="103"/>
      <c r="C3672" s="103"/>
      <c r="D3672" s="103"/>
      <c r="E3672" s="103"/>
      <c r="F3672" s="103"/>
      <c r="G3672" s="103"/>
      <c r="H3672" s="103"/>
      <c r="I3672" s="103"/>
      <c r="J3672" s="103"/>
      <c r="K3672" s="103"/>
      <c r="L3672" s="103"/>
      <c r="M3672" s="104"/>
      <c r="N3672" s="103"/>
    </row>
    <row r="3673" spans="1:14" ht="45" customHeight="1" thickBot="1" x14ac:dyDescent="0.4">
      <c r="A3673" s="103"/>
      <c r="B3673" s="103"/>
      <c r="C3673" s="103"/>
      <c r="D3673" s="103"/>
      <c r="E3673" s="103"/>
      <c r="F3673" s="103"/>
      <c r="G3673" s="103"/>
      <c r="H3673" s="103"/>
      <c r="I3673" s="103"/>
      <c r="J3673" s="103"/>
      <c r="K3673" s="103"/>
      <c r="L3673" s="103"/>
      <c r="M3673" s="104"/>
      <c r="N3673" s="103"/>
    </row>
    <row r="3674" spans="1:14" ht="45" customHeight="1" thickBot="1" x14ac:dyDescent="0.4">
      <c r="A3674" s="103"/>
      <c r="B3674" s="103"/>
      <c r="C3674" s="103"/>
      <c r="D3674" s="103"/>
      <c r="E3674" s="103"/>
      <c r="F3674" s="103"/>
      <c r="G3674" s="103"/>
      <c r="H3674" s="103"/>
      <c r="I3674" s="103"/>
      <c r="J3674" s="103"/>
      <c r="K3674" s="103"/>
      <c r="L3674" s="103"/>
      <c r="M3674" s="104"/>
      <c r="N3674" s="103"/>
    </row>
    <row r="3675" spans="1:14" ht="45" customHeight="1" thickBot="1" x14ac:dyDescent="0.4">
      <c r="A3675" s="103"/>
      <c r="B3675" s="103"/>
      <c r="C3675" s="103"/>
      <c r="D3675" s="103"/>
      <c r="E3675" s="103"/>
      <c r="F3675" s="103"/>
      <c r="G3675" s="103"/>
      <c r="H3675" s="103"/>
      <c r="I3675" s="103"/>
      <c r="J3675" s="103"/>
      <c r="K3675" s="103"/>
      <c r="L3675" s="103"/>
      <c r="M3675" s="104"/>
      <c r="N3675" s="103"/>
    </row>
    <row r="3676" spans="1:14" ht="45" customHeight="1" thickBot="1" x14ac:dyDescent="0.4">
      <c r="A3676" s="103"/>
      <c r="B3676" s="103"/>
      <c r="C3676" s="103"/>
      <c r="D3676" s="103"/>
      <c r="E3676" s="103"/>
      <c r="F3676" s="103"/>
      <c r="G3676" s="103"/>
      <c r="H3676" s="103"/>
      <c r="I3676" s="103"/>
      <c r="J3676" s="103"/>
      <c r="K3676" s="103"/>
      <c r="L3676" s="103"/>
      <c r="M3676" s="104"/>
      <c r="N3676" s="103"/>
    </row>
    <row r="3677" spans="1:14" ht="45" customHeight="1" thickBot="1" x14ac:dyDescent="0.4">
      <c r="A3677" s="103"/>
      <c r="B3677" s="103"/>
      <c r="C3677" s="103"/>
      <c r="D3677" s="103"/>
      <c r="E3677" s="103"/>
      <c r="F3677" s="103"/>
      <c r="G3677" s="103"/>
      <c r="H3677" s="103"/>
      <c r="I3677" s="103"/>
      <c r="J3677" s="103"/>
      <c r="K3677" s="103"/>
      <c r="L3677" s="103"/>
      <c r="M3677" s="104"/>
      <c r="N3677" s="103"/>
    </row>
    <row r="3678" spans="1:14" ht="45" customHeight="1" thickBot="1" x14ac:dyDescent="0.4">
      <c r="A3678" s="103"/>
      <c r="B3678" s="103"/>
      <c r="C3678" s="103"/>
      <c r="D3678" s="103"/>
      <c r="E3678" s="103"/>
      <c r="F3678" s="103"/>
      <c r="G3678" s="103"/>
      <c r="H3678" s="103"/>
      <c r="I3678" s="103"/>
      <c r="J3678" s="103"/>
      <c r="K3678" s="103"/>
      <c r="L3678" s="103"/>
      <c r="M3678" s="104"/>
      <c r="N3678" s="103"/>
    </row>
    <row r="3679" spans="1:14" ht="45" customHeight="1" thickBot="1" x14ac:dyDescent="0.4">
      <c r="A3679" s="103"/>
      <c r="B3679" s="103"/>
      <c r="C3679" s="103"/>
      <c r="D3679" s="103"/>
      <c r="E3679" s="103"/>
      <c r="F3679" s="103"/>
      <c r="G3679" s="103"/>
      <c r="H3679" s="103"/>
      <c r="I3679" s="103"/>
      <c r="J3679" s="103"/>
      <c r="K3679" s="103"/>
      <c r="L3679" s="103"/>
      <c r="M3679" s="104"/>
      <c r="N3679" s="103"/>
    </row>
    <row r="3680" spans="1:14" ht="45" customHeight="1" thickBot="1" x14ac:dyDescent="0.4">
      <c r="A3680" s="103"/>
      <c r="B3680" s="103"/>
      <c r="C3680" s="103"/>
      <c r="D3680" s="103"/>
      <c r="E3680" s="103"/>
      <c r="F3680" s="103"/>
      <c r="G3680" s="103"/>
      <c r="H3680" s="103"/>
      <c r="I3680" s="103"/>
      <c r="J3680" s="103"/>
      <c r="K3680" s="103"/>
      <c r="L3680" s="103"/>
      <c r="M3680" s="104"/>
      <c r="N3680" s="103"/>
    </row>
    <row r="3681" spans="1:14" ht="45" customHeight="1" thickBot="1" x14ac:dyDescent="0.4">
      <c r="A3681" s="103"/>
      <c r="B3681" s="103"/>
      <c r="C3681" s="103"/>
      <c r="D3681" s="103"/>
      <c r="E3681" s="103"/>
      <c r="F3681" s="103"/>
      <c r="G3681" s="103"/>
      <c r="H3681" s="103"/>
      <c r="I3681" s="103"/>
      <c r="J3681" s="103"/>
      <c r="K3681" s="103"/>
      <c r="L3681" s="103"/>
      <c r="M3681" s="104"/>
      <c r="N3681" s="103"/>
    </row>
    <row r="3682" spans="1:14" ht="45" customHeight="1" thickBot="1" x14ac:dyDescent="0.4">
      <c r="A3682" s="103"/>
      <c r="B3682" s="103"/>
      <c r="C3682" s="103"/>
      <c r="D3682" s="103"/>
      <c r="E3682" s="103"/>
      <c r="F3682" s="103"/>
      <c r="G3682" s="103"/>
      <c r="H3682" s="103"/>
      <c r="I3682" s="103"/>
      <c r="J3682" s="103"/>
      <c r="K3682" s="103"/>
      <c r="L3682" s="103"/>
      <c r="M3682" s="104"/>
      <c r="N3682" s="103"/>
    </row>
    <row r="3683" spans="1:14" ht="45" customHeight="1" thickBot="1" x14ac:dyDescent="0.4">
      <c r="A3683" s="103"/>
      <c r="B3683" s="103"/>
      <c r="C3683" s="103"/>
      <c r="D3683" s="103"/>
      <c r="E3683" s="103"/>
      <c r="F3683" s="103"/>
      <c r="G3683" s="103"/>
      <c r="H3683" s="103"/>
      <c r="I3683" s="103"/>
      <c r="J3683" s="103"/>
      <c r="K3683" s="103"/>
      <c r="L3683" s="103"/>
      <c r="M3683" s="104"/>
      <c r="N3683" s="103"/>
    </row>
    <row r="3684" spans="1:14" ht="45" customHeight="1" thickBot="1" x14ac:dyDescent="0.4">
      <c r="A3684" s="103"/>
      <c r="B3684" s="103"/>
      <c r="C3684" s="103"/>
      <c r="D3684" s="103"/>
      <c r="E3684" s="103"/>
      <c r="F3684" s="103"/>
      <c r="G3684" s="103"/>
      <c r="H3684" s="103"/>
      <c r="I3684" s="103"/>
      <c r="J3684" s="103"/>
      <c r="K3684" s="103"/>
      <c r="L3684" s="103"/>
      <c r="M3684" s="104"/>
      <c r="N3684" s="103"/>
    </row>
    <row r="3685" spans="1:14" ht="45" customHeight="1" thickBot="1" x14ac:dyDescent="0.4">
      <c r="A3685" s="103"/>
      <c r="B3685" s="103"/>
      <c r="C3685" s="103"/>
      <c r="D3685" s="103"/>
      <c r="E3685" s="103"/>
      <c r="F3685" s="103"/>
      <c r="G3685" s="103"/>
      <c r="H3685" s="103"/>
      <c r="I3685" s="103"/>
      <c r="J3685" s="103"/>
      <c r="K3685" s="103"/>
      <c r="L3685" s="103"/>
      <c r="M3685" s="104"/>
      <c r="N3685" s="103"/>
    </row>
    <row r="3686" spans="1:14" ht="45" customHeight="1" thickBot="1" x14ac:dyDescent="0.4">
      <c r="A3686" s="103"/>
      <c r="B3686" s="103"/>
      <c r="C3686" s="103"/>
      <c r="D3686" s="103"/>
      <c r="E3686" s="103"/>
      <c r="F3686" s="103"/>
      <c r="G3686" s="103"/>
      <c r="H3686" s="103"/>
      <c r="I3686" s="103"/>
      <c r="J3686" s="103"/>
      <c r="K3686" s="103"/>
      <c r="L3686" s="103"/>
      <c r="M3686" s="104"/>
      <c r="N3686" s="103"/>
    </row>
    <row r="3687" spans="1:14" ht="45" customHeight="1" thickBot="1" x14ac:dyDescent="0.4">
      <c r="A3687" s="103"/>
      <c r="B3687" s="103"/>
      <c r="C3687" s="103"/>
      <c r="D3687" s="103"/>
      <c r="E3687" s="103"/>
      <c r="F3687" s="103"/>
      <c r="G3687" s="103"/>
      <c r="H3687" s="103"/>
      <c r="I3687" s="103"/>
      <c r="J3687" s="103"/>
      <c r="K3687" s="103"/>
      <c r="L3687" s="103"/>
      <c r="M3687" s="104"/>
      <c r="N3687" s="103"/>
    </row>
    <row r="3688" spans="1:14" ht="45" customHeight="1" thickBot="1" x14ac:dyDescent="0.4">
      <c r="A3688" s="103"/>
      <c r="B3688" s="103"/>
      <c r="C3688" s="103"/>
      <c r="D3688" s="103"/>
      <c r="E3688" s="103"/>
      <c r="F3688" s="103"/>
      <c r="G3688" s="103"/>
      <c r="H3688" s="103"/>
      <c r="I3688" s="103"/>
      <c r="J3688" s="103"/>
      <c r="K3688" s="103"/>
      <c r="L3688" s="103"/>
      <c r="M3688" s="104"/>
      <c r="N3688" s="103"/>
    </row>
    <row r="3689" spans="1:14" ht="45" customHeight="1" thickBot="1" x14ac:dyDescent="0.4">
      <c r="A3689" s="103"/>
      <c r="B3689" s="103"/>
      <c r="C3689" s="103"/>
      <c r="D3689" s="103"/>
      <c r="E3689" s="103"/>
      <c r="F3689" s="103"/>
      <c r="G3689" s="103"/>
      <c r="H3689" s="103"/>
      <c r="I3689" s="103"/>
      <c r="J3689" s="103"/>
      <c r="K3689" s="103"/>
      <c r="L3689" s="103"/>
      <c r="M3689" s="104"/>
      <c r="N3689" s="103"/>
    </row>
    <row r="3690" spans="1:14" ht="45" customHeight="1" thickBot="1" x14ac:dyDescent="0.4">
      <c r="A3690" s="103"/>
      <c r="B3690" s="103"/>
      <c r="C3690" s="103"/>
      <c r="D3690" s="103"/>
      <c r="E3690" s="103"/>
      <c r="F3690" s="103"/>
      <c r="G3690" s="103"/>
      <c r="H3690" s="103"/>
      <c r="I3690" s="103"/>
      <c r="J3690" s="103"/>
      <c r="K3690" s="103"/>
      <c r="L3690" s="103"/>
      <c r="M3690" s="104"/>
      <c r="N3690" s="103"/>
    </row>
    <row r="3691" spans="1:14" ht="45" customHeight="1" thickBot="1" x14ac:dyDescent="0.4">
      <c r="A3691" s="103"/>
      <c r="B3691" s="103"/>
      <c r="C3691" s="103"/>
      <c r="D3691" s="103"/>
      <c r="E3691" s="103"/>
      <c r="F3691" s="103"/>
      <c r="G3691" s="103"/>
      <c r="H3691" s="103"/>
      <c r="I3691" s="103"/>
      <c r="J3691" s="103"/>
      <c r="K3691" s="103"/>
      <c r="L3691" s="103"/>
      <c r="M3691" s="104"/>
      <c r="N3691" s="103"/>
    </row>
    <row r="3692" spans="1:14" ht="45" customHeight="1" thickBot="1" x14ac:dyDescent="0.4">
      <c r="A3692" s="103"/>
      <c r="B3692" s="103"/>
      <c r="C3692" s="103"/>
      <c r="D3692" s="103"/>
      <c r="E3692" s="103"/>
      <c r="F3692" s="103"/>
      <c r="G3692" s="103"/>
      <c r="H3692" s="103"/>
      <c r="I3692" s="103"/>
      <c r="J3692" s="103"/>
      <c r="K3692" s="103"/>
      <c r="L3692" s="103"/>
      <c r="M3692" s="104"/>
      <c r="N3692" s="103"/>
    </row>
    <row r="3693" spans="1:14" ht="45" customHeight="1" thickBot="1" x14ac:dyDescent="0.4">
      <c r="A3693" s="103"/>
      <c r="B3693" s="103"/>
      <c r="C3693" s="103"/>
      <c r="D3693" s="103"/>
      <c r="E3693" s="103"/>
      <c r="F3693" s="103"/>
      <c r="G3693" s="103"/>
      <c r="H3693" s="103"/>
      <c r="I3693" s="103"/>
      <c r="J3693" s="103"/>
      <c r="K3693" s="103"/>
      <c r="L3693" s="103"/>
      <c r="M3693" s="104"/>
      <c r="N3693" s="103"/>
    </row>
    <row r="3694" spans="1:14" ht="45" customHeight="1" thickBot="1" x14ac:dyDescent="0.4">
      <c r="A3694" s="103"/>
      <c r="B3694" s="103"/>
      <c r="C3694" s="103"/>
      <c r="D3694" s="103"/>
      <c r="E3694" s="103"/>
      <c r="F3694" s="103"/>
      <c r="G3694" s="103"/>
      <c r="H3694" s="103"/>
      <c r="I3694" s="103"/>
      <c r="J3694" s="103"/>
      <c r="K3694" s="103"/>
      <c r="L3694" s="103"/>
      <c r="M3694" s="104"/>
      <c r="N3694" s="103"/>
    </row>
    <row r="3695" spans="1:14" ht="45" customHeight="1" thickBot="1" x14ac:dyDescent="0.4">
      <c r="A3695" s="103"/>
      <c r="B3695" s="103"/>
      <c r="C3695" s="103"/>
      <c r="D3695" s="103"/>
      <c r="E3695" s="103"/>
      <c r="F3695" s="103"/>
      <c r="G3695" s="103"/>
      <c r="H3695" s="103"/>
      <c r="I3695" s="103"/>
      <c r="J3695" s="103"/>
      <c r="K3695" s="103"/>
      <c r="L3695" s="103"/>
      <c r="M3695" s="104"/>
      <c r="N3695" s="103"/>
    </row>
    <row r="3696" spans="1:14" ht="45" customHeight="1" thickBot="1" x14ac:dyDescent="0.4">
      <c r="A3696" s="103"/>
      <c r="B3696" s="103"/>
      <c r="C3696" s="103"/>
      <c r="D3696" s="103"/>
      <c r="E3696" s="103"/>
      <c r="F3696" s="103"/>
      <c r="G3696" s="103"/>
      <c r="H3696" s="103"/>
      <c r="I3696" s="103"/>
      <c r="J3696" s="103"/>
      <c r="K3696" s="103"/>
      <c r="L3696" s="103"/>
      <c r="M3696" s="104"/>
      <c r="N3696" s="103"/>
    </row>
    <row r="3697" spans="1:14" ht="45" customHeight="1" thickBot="1" x14ac:dyDescent="0.4">
      <c r="A3697" s="103"/>
      <c r="B3697" s="103"/>
      <c r="C3697" s="103"/>
      <c r="D3697" s="103"/>
      <c r="E3697" s="103"/>
      <c r="F3697" s="103"/>
      <c r="G3697" s="103"/>
      <c r="H3697" s="103"/>
      <c r="I3697" s="103"/>
      <c r="J3697" s="103"/>
      <c r="K3697" s="103"/>
      <c r="L3697" s="103"/>
      <c r="M3697" s="104"/>
      <c r="N3697" s="103"/>
    </row>
    <row r="3698" spans="1:14" ht="45" customHeight="1" thickBot="1" x14ac:dyDescent="0.4">
      <c r="A3698" s="103"/>
      <c r="B3698" s="103"/>
      <c r="C3698" s="103"/>
      <c r="D3698" s="103"/>
      <c r="E3698" s="103"/>
      <c r="F3698" s="103"/>
      <c r="G3698" s="103"/>
      <c r="H3698" s="103"/>
      <c r="I3698" s="103"/>
      <c r="J3698" s="103"/>
      <c r="K3698" s="103"/>
      <c r="L3698" s="103"/>
      <c r="M3698" s="104"/>
      <c r="N3698" s="103"/>
    </row>
    <row r="3699" spans="1:14" ht="45" customHeight="1" thickBot="1" x14ac:dyDescent="0.4">
      <c r="A3699" s="103"/>
      <c r="B3699" s="103"/>
      <c r="C3699" s="103"/>
      <c r="D3699" s="103"/>
      <c r="E3699" s="103"/>
      <c r="F3699" s="103"/>
      <c r="G3699" s="103"/>
      <c r="H3699" s="103"/>
      <c r="I3699" s="103"/>
      <c r="J3699" s="103"/>
      <c r="K3699" s="103"/>
      <c r="L3699" s="103"/>
      <c r="M3699" s="104"/>
      <c r="N3699" s="103"/>
    </row>
    <row r="3700" spans="1:14" ht="45" customHeight="1" thickBot="1" x14ac:dyDescent="0.4">
      <c r="A3700" s="103"/>
      <c r="B3700" s="103"/>
      <c r="C3700" s="103"/>
      <c r="D3700" s="103"/>
      <c r="E3700" s="103"/>
      <c r="F3700" s="103"/>
      <c r="G3700" s="103"/>
      <c r="H3700" s="103"/>
      <c r="I3700" s="103"/>
      <c r="J3700" s="103"/>
      <c r="K3700" s="103"/>
      <c r="L3700" s="103"/>
      <c r="M3700" s="104"/>
      <c r="N3700" s="103"/>
    </row>
    <row r="3701" spans="1:14" ht="45" customHeight="1" thickBot="1" x14ac:dyDescent="0.4">
      <c r="A3701" s="103"/>
      <c r="B3701" s="103"/>
      <c r="C3701" s="103"/>
      <c r="D3701" s="103"/>
      <c r="E3701" s="103"/>
      <c r="F3701" s="103"/>
      <c r="G3701" s="103"/>
      <c r="H3701" s="103"/>
      <c r="I3701" s="103"/>
      <c r="J3701" s="103"/>
      <c r="K3701" s="103"/>
      <c r="L3701" s="103"/>
      <c r="M3701" s="104"/>
      <c r="N3701" s="103"/>
    </row>
    <row r="3702" spans="1:14" ht="45" customHeight="1" thickBot="1" x14ac:dyDescent="0.4">
      <c r="A3702" s="103"/>
      <c r="B3702" s="103"/>
      <c r="C3702" s="103"/>
      <c r="D3702" s="103"/>
      <c r="E3702" s="103"/>
      <c r="F3702" s="103"/>
      <c r="G3702" s="103"/>
      <c r="H3702" s="103"/>
      <c r="I3702" s="103"/>
      <c r="J3702" s="103"/>
      <c r="K3702" s="103"/>
      <c r="L3702" s="103"/>
      <c r="M3702" s="104"/>
      <c r="N3702" s="103"/>
    </row>
    <row r="3703" spans="1:14" ht="45" customHeight="1" thickBot="1" x14ac:dyDescent="0.4">
      <c r="A3703" s="103"/>
      <c r="B3703" s="103"/>
      <c r="C3703" s="103"/>
      <c r="D3703" s="103"/>
      <c r="E3703" s="103"/>
      <c r="F3703" s="103"/>
      <c r="G3703" s="103"/>
      <c r="H3703" s="103"/>
      <c r="I3703" s="103"/>
      <c r="J3703" s="103"/>
      <c r="K3703" s="103"/>
      <c r="L3703" s="103"/>
      <c r="M3703" s="104"/>
      <c r="N3703" s="103"/>
    </row>
    <row r="3704" spans="1:14" ht="45" customHeight="1" thickBot="1" x14ac:dyDescent="0.4">
      <c r="A3704" s="103"/>
      <c r="B3704" s="103"/>
      <c r="C3704" s="103"/>
      <c r="D3704" s="103"/>
      <c r="E3704" s="103"/>
      <c r="F3704" s="103"/>
      <c r="G3704" s="103"/>
      <c r="H3704" s="103"/>
      <c r="I3704" s="103"/>
      <c r="J3704" s="103"/>
      <c r="K3704" s="103"/>
      <c r="L3704" s="103"/>
      <c r="M3704" s="104"/>
      <c r="N3704" s="103"/>
    </row>
    <row r="3705" spans="1:14" ht="45" customHeight="1" thickBot="1" x14ac:dyDescent="0.4">
      <c r="A3705" s="103"/>
      <c r="B3705" s="103"/>
      <c r="C3705" s="103"/>
      <c r="D3705" s="103"/>
      <c r="E3705" s="103"/>
      <c r="F3705" s="103"/>
      <c r="G3705" s="103"/>
      <c r="H3705" s="103"/>
      <c r="I3705" s="103"/>
      <c r="J3705" s="103"/>
      <c r="K3705" s="103"/>
      <c r="L3705" s="103"/>
      <c r="M3705" s="104"/>
      <c r="N3705" s="103"/>
    </row>
    <row r="3706" spans="1:14" ht="45" customHeight="1" thickBot="1" x14ac:dyDescent="0.4">
      <c r="A3706" s="103"/>
      <c r="B3706" s="103"/>
      <c r="C3706" s="103"/>
      <c r="D3706" s="103"/>
      <c r="E3706" s="103"/>
      <c r="F3706" s="103"/>
      <c r="G3706" s="103"/>
      <c r="H3706" s="103"/>
      <c r="I3706" s="103"/>
      <c r="J3706" s="103"/>
      <c r="K3706" s="103"/>
      <c r="L3706" s="103"/>
      <c r="M3706" s="104"/>
      <c r="N3706" s="103"/>
    </row>
    <row r="3707" spans="1:14" ht="45" customHeight="1" thickBot="1" x14ac:dyDescent="0.4">
      <c r="A3707" s="103"/>
      <c r="B3707" s="103"/>
      <c r="C3707" s="103"/>
      <c r="D3707" s="103"/>
      <c r="E3707" s="103"/>
      <c r="F3707" s="103"/>
      <c r="G3707" s="103"/>
      <c r="H3707" s="103"/>
      <c r="I3707" s="103"/>
      <c r="J3707" s="103"/>
      <c r="K3707" s="103"/>
      <c r="L3707" s="103"/>
      <c r="M3707" s="104"/>
      <c r="N3707" s="103"/>
    </row>
    <row r="3708" spans="1:14" ht="45" customHeight="1" thickBot="1" x14ac:dyDescent="0.4">
      <c r="A3708" s="103"/>
      <c r="B3708" s="103"/>
      <c r="C3708" s="103"/>
      <c r="D3708" s="103"/>
      <c r="E3708" s="103"/>
      <c r="F3708" s="103"/>
      <c r="G3708" s="103"/>
      <c r="H3708" s="103"/>
      <c r="I3708" s="103"/>
      <c r="J3708" s="103"/>
      <c r="K3708" s="103"/>
      <c r="L3708" s="103"/>
      <c r="M3708" s="104"/>
      <c r="N3708" s="103"/>
    </row>
    <row r="3709" spans="1:14" ht="45" customHeight="1" thickBot="1" x14ac:dyDescent="0.4">
      <c r="A3709" s="103"/>
      <c r="B3709" s="103"/>
      <c r="C3709" s="103"/>
      <c r="D3709" s="103"/>
      <c r="E3709" s="103"/>
      <c r="F3709" s="103"/>
      <c r="G3709" s="103"/>
      <c r="H3709" s="103"/>
      <c r="I3709" s="103"/>
      <c r="J3709" s="103"/>
      <c r="K3709" s="103"/>
      <c r="L3709" s="103"/>
      <c r="M3709" s="104"/>
      <c r="N3709" s="103"/>
    </row>
    <row r="3710" spans="1:14" ht="45" customHeight="1" thickBot="1" x14ac:dyDescent="0.4">
      <c r="A3710" s="103"/>
      <c r="B3710" s="103"/>
      <c r="C3710" s="103"/>
      <c r="D3710" s="103"/>
      <c r="E3710" s="103"/>
      <c r="F3710" s="103"/>
      <c r="G3710" s="103"/>
      <c r="H3710" s="103"/>
      <c r="I3710" s="103"/>
      <c r="J3710" s="103"/>
      <c r="K3710" s="103"/>
      <c r="L3710" s="103"/>
      <c r="M3710" s="104"/>
      <c r="N3710" s="103"/>
    </row>
    <row r="3711" spans="1:14" ht="45" customHeight="1" thickBot="1" x14ac:dyDescent="0.4">
      <c r="A3711" s="103"/>
      <c r="B3711" s="103"/>
      <c r="C3711" s="103"/>
      <c r="D3711" s="103"/>
      <c r="E3711" s="103"/>
      <c r="F3711" s="103"/>
      <c r="G3711" s="103"/>
      <c r="H3711" s="103"/>
      <c r="I3711" s="103"/>
      <c r="J3711" s="103"/>
      <c r="K3711" s="103"/>
      <c r="L3711" s="103"/>
      <c r="M3711" s="104"/>
      <c r="N3711" s="103"/>
    </row>
    <row r="3712" spans="1:14" ht="45" customHeight="1" thickBot="1" x14ac:dyDescent="0.4">
      <c r="A3712" s="103"/>
      <c r="B3712" s="103"/>
      <c r="C3712" s="103"/>
      <c r="D3712" s="103"/>
      <c r="E3712" s="103"/>
      <c r="F3712" s="103"/>
      <c r="G3712" s="103"/>
      <c r="H3712" s="103"/>
      <c r="I3712" s="103"/>
      <c r="J3712" s="103"/>
      <c r="K3712" s="103"/>
      <c r="L3712" s="103"/>
      <c r="M3712" s="104"/>
      <c r="N3712" s="103"/>
    </row>
    <row r="3713" spans="1:14" ht="45" customHeight="1" thickBot="1" x14ac:dyDescent="0.4">
      <c r="A3713" s="103"/>
      <c r="B3713" s="103"/>
      <c r="C3713" s="103"/>
      <c r="D3713" s="103"/>
      <c r="E3713" s="103"/>
      <c r="F3713" s="103"/>
      <c r="G3713" s="103"/>
      <c r="H3713" s="103"/>
      <c r="I3713" s="103"/>
      <c r="J3713" s="103"/>
      <c r="K3713" s="103"/>
      <c r="L3713" s="103"/>
      <c r="M3713" s="104"/>
      <c r="N3713" s="103"/>
    </row>
    <row r="3714" spans="1:14" ht="45" customHeight="1" thickBot="1" x14ac:dyDescent="0.4">
      <c r="A3714" s="103"/>
      <c r="B3714" s="103"/>
      <c r="C3714" s="103"/>
      <c r="D3714" s="103"/>
      <c r="E3714" s="103"/>
      <c r="F3714" s="103"/>
      <c r="G3714" s="103"/>
      <c r="H3714" s="103"/>
      <c r="I3714" s="103"/>
      <c r="J3714" s="103"/>
      <c r="K3714" s="103"/>
      <c r="L3714" s="103"/>
      <c r="M3714" s="104"/>
      <c r="N3714" s="103"/>
    </row>
    <row r="3715" spans="1:14" ht="45" customHeight="1" thickBot="1" x14ac:dyDescent="0.4">
      <c r="A3715" s="103"/>
      <c r="B3715" s="103"/>
      <c r="C3715" s="103"/>
      <c r="D3715" s="103"/>
      <c r="E3715" s="103"/>
      <c r="F3715" s="103"/>
      <c r="G3715" s="103"/>
      <c r="H3715" s="103"/>
      <c r="I3715" s="103"/>
      <c r="J3715" s="103"/>
      <c r="K3715" s="103"/>
      <c r="L3715" s="103"/>
      <c r="M3715" s="104"/>
      <c r="N3715" s="103"/>
    </row>
    <row r="3716" spans="1:14" ht="45" customHeight="1" thickBot="1" x14ac:dyDescent="0.4">
      <c r="A3716" s="103"/>
      <c r="B3716" s="103"/>
      <c r="C3716" s="103"/>
      <c r="D3716" s="103"/>
      <c r="E3716" s="103"/>
      <c r="F3716" s="103"/>
      <c r="G3716" s="103"/>
      <c r="H3716" s="103"/>
      <c r="I3716" s="103"/>
      <c r="J3716" s="103"/>
      <c r="K3716" s="103"/>
      <c r="L3716" s="103"/>
      <c r="M3716" s="104"/>
      <c r="N3716" s="103"/>
    </row>
    <row r="3717" spans="1:14" ht="45" customHeight="1" thickBot="1" x14ac:dyDescent="0.4">
      <c r="A3717" s="103"/>
      <c r="B3717" s="103"/>
      <c r="C3717" s="103"/>
      <c r="D3717" s="103"/>
      <c r="E3717" s="103"/>
      <c r="F3717" s="103"/>
      <c r="G3717" s="103"/>
      <c r="H3717" s="103"/>
      <c r="I3717" s="103"/>
      <c r="J3717" s="103"/>
      <c r="K3717" s="103"/>
      <c r="L3717" s="103"/>
      <c r="M3717" s="104"/>
      <c r="N3717" s="103"/>
    </row>
    <row r="3718" spans="1:14" ht="45" customHeight="1" thickBot="1" x14ac:dyDescent="0.4">
      <c r="A3718" s="103"/>
      <c r="B3718" s="103"/>
      <c r="C3718" s="103"/>
      <c r="D3718" s="103"/>
      <c r="E3718" s="103"/>
      <c r="F3718" s="103"/>
      <c r="G3718" s="103"/>
      <c r="H3718" s="103"/>
      <c r="I3718" s="103"/>
      <c r="J3718" s="103"/>
      <c r="K3718" s="103"/>
      <c r="L3718" s="103"/>
      <c r="M3718" s="104"/>
      <c r="N3718" s="103"/>
    </row>
    <row r="3719" spans="1:14" ht="45" customHeight="1" thickBot="1" x14ac:dyDescent="0.4">
      <c r="A3719" s="103"/>
      <c r="B3719" s="103"/>
      <c r="C3719" s="103"/>
      <c r="D3719" s="103"/>
      <c r="E3719" s="103"/>
      <c r="F3719" s="103"/>
      <c r="G3719" s="103"/>
      <c r="H3719" s="103"/>
      <c r="I3719" s="103"/>
      <c r="J3719" s="103"/>
      <c r="K3719" s="103"/>
      <c r="L3719" s="103"/>
      <c r="M3719" s="104"/>
      <c r="N3719" s="103"/>
    </row>
    <row r="3720" spans="1:14" ht="45" customHeight="1" thickBot="1" x14ac:dyDescent="0.4">
      <c r="A3720" s="103"/>
      <c r="B3720" s="103"/>
      <c r="C3720" s="103"/>
      <c r="D3720" s="103"/>
      <c r="E3720" s="103"/>
      <c r="F3720" s="103"/>
      <c r="G3720" s="103"/>
      <c r="H3720" s="103"/>
      <c r="I3720" s="103"/>
      <c r="J3720" s="103"/>
      <c r="K3720" s="103"/>
      <c r="L3720" s="103"/>
      <c r="M3720" s="104"/>
      <c r="N3720" s="103"/>
    </row>
    <row r="3721" spans="1:14" ht="45" customHeight="1" thickBot="1" x14ac:dyDescent="0.4">
      <c r="A3721" s="103"/>
      <c r="B3721" s="103"/>
      <c r="C3721" s="103"/>
      <c r="D3721" s="103"/>
      <c r="E3721" s="103"/>
      <c r="F3721" s="103"/>
      <c r="G3721" s="103"/>
      <c r="H3721" s="103"/>
      <c r="I3721" s="103"/>
      <c r="J3721" s="103"/>
      <c r="K3721" s="103"/>
      <c r="L3721" s="103"/>
      <c r="M3721" s="104"/>
      <c r="N3721" s="103"/>
    </row>
    <row r="3722" spans="1:14" ht="45" customHeight="1" thickBot="1" x14ac:dyDescent="0.4">
      <c r="A3722" s="103"/>
      <c r="B3722" s="103"/>
      <c r="C3722" s="103"/>
      <c r="D3722" s="103"/>
      <c r="E3722" s="103"/>
      <c r="F3722" s="103"/>
      <c r="G3722" s="103"/>
      <c r="H3722" s="103"/>
      <c r="I3722" s="103"/>
      <c r="J3722" s="103"/>
      <c r="K3722" s="103"/>
      <c r="L3722" s="103"/>
      <c r="M3722" s="104"/>
      <c r="N3722" s="103"/>
    </row>
    <row r="3723" spans="1:14" ht="45" customHeight="1" thickBot="1" x14ac:dyDescent="0.4">
      <c r="A3723" s="103"/>
      <c r="B3723" s="103"/>
      <c r="C3723" s="103"/>
      <c r="D3723" s="103"/>
      <c r="E3723" s="103"/>
      <c r="F3723" s="103"/>
      <c r="G3723" s="103"/>
      <c r="H3723" s="103"/>
      <c r="I3723" s="103"/>
      <c r="J3723" s="103"/>
      <c r="K3723" s="103"/>
      <c r="L3723" s="103"/>
      <c r="M3723" s="104"/>
      <c r="N3723" s="103"/>
    </row>
    <row r="3724" spans="1:14" ht="45" customHeight="1" thickBot="1" x14ac:dyDescent="0.4">
      <c r="A3724" s="103"/>
      <c r="B3724" s="103"/>
      <c r="C3724" s="103"/>
      <c r="D3724" s="103"/>
      <c r="E3724" s="103"/>
      <c r="F3724" s="103"/>
      <c r="G3724" s="103"/>
      <c r="H3724" s="103"/>
      <c r="I3724" s="103"/>
      <c r="J3724" s="103"/>
      <c r="K3724" s="103"/>
      <c r="L3724" s="103"/>
      <c r="M3724" s="104"/>
      <c r="N3724" s="103"/>
    </row>
    <row r="3725" spans="1:14" ht="45" customHeight="1" thickBot="1" x14ac:dyDescent="0.4">
      <c r="A3725" s="103"/>
      <c r="B3725" s="103"/>
      <c r="C3725" s="103"/>
      <c r="D3725" s="103"/>
      <c r="E3725" s="103"/>
      <c r="F3725" s="103"/>
      <c r="G3725" s="103"/>
      <c r="H3725" s="103"/>
      <c r="I3725" s="103"/>
      <c r="J3725" s="103"/>
      <c r="K3725" s="103"/>
      <c r="L3725" s="103"/>
      <c r="M3725" s="104"/>
      <c r="N3725" s="103"/>
    </row>
    <row r="3726" spans="1:14" ht="45" customHeight="1" thickBot="1" x14ac:dyDescent="0.4">
      <c r="A3726" s="103"/>
      <c r="B3726" s="103"/>
      <c r="C3726" s="103"/>
      <c r="D3726" s="103"/>
      <c r="E3726" s="103"/>
      <c r="F3726" s="103"/>
      <c r="G3726" s="103"/>
      <c r="H3726" s="103"/>
      <c r="I3726" s="103"/>
      <c r="J3726" s="103"/>
      <c r="K3726" s="103"/>
      <c r="L3726" s="103"/>
      <c r="M3726" s="104"/>
      <c r="N3726" s="103"/>
    </row>
    <row r="3727" spans="1:14" ht="45" customHeight="1" thickBot="1" x14ac:dyDescent="0.4">
      <c r="A3727" s="103"/>
      <c r="B3727" s="103"/>
      <c r="C3727" s="103"/>
      <c r="D3727" s="103"/>
      <c r="E3727" s="103"/>
      <c r="F3727" s="103"/>
      <c r="G3727" s="103"/>
      <c r="H3727" s="103"/>
      <c r="I3727" s="103"/>
      <c r="J3727" s="103"/>
      <c r="K3727" s="103"/>
      <c r="L3727" s="103"/>
      <c r="M3727" s="104"/>
      <c r="N3727" s="103"/>
    </row>
    <row r="3728" spans="1:14" ht="45" customHeight="1" thickBot="1" x14ac:dyDescent="0.4">
      <c r="A3728" s="103"/>
      <c r="B3728" s="103"/>
      <c r="C3728" s="103"/>
      <c r="D3728" s="103"/>
      <c r="E3728" s="103"/>
      <c r="F3728" s="103"/>
      <c r="G3728" s="103"/>
      <c r="H3728" s="103"/>
      <c r="I3728" s="103"/>
      <c r="J3728" s="103"/>
      <c r="K3728" s="103"/>
      <c r="L3728" s="103"/>
      <c r="M3728" s="104"/>
      <c r="N3728" s="103"/>
    </row>
    <row r="3729" spans="1:14" ht="45" customHeight="1" thickBot="1" x14ac:dyDescent="0.4">
      <c r="A3729" s="103"/>
      <c r="B3729" s="103"/>
      <c r="C3729" s="103"/>
      <c r="D3729" s="103"/>
      <c r="E3729" s="103"/>
      <c r="F3729" s="103"/>
      <c r="G3729" s="103"/>
      <c r="H3729" s="103"/>
      <c r="I3729" s="103"/>
      <c r="J3729" s="103"/>
      <c r="K3729" s="103"/>
      <c r="L3729" s="103"/>
      <c r="M3729" s="104"/>
      <c r="N3729" s="103"/>
    </row>
    <row r="3730" spans="1:14" ht="45" customHeight="1" thickBot="1" x14ac:dyDescent="0.4">
      <c r="A3730" s="103"/>
      <c r="B3730" s="103"/>
      <c r="C3730" s="103"/>
      <c r="D3730" s="103"/>
      <c r="E3730" s="103"/>
      <c r="F3730" s="103"/>
      <c r="G3730" s="103"/>
      <c r="H3730" s="103"/>
      <c r="I3730" s="103"/>
      <c r="J3730" s="103"/>
      <c r="K3730" s="103"/>
      <c r="L3730" s="103"/>
      <c r="M3730" s="104"/>
      <c r="N3730" s="103"/>
    </row>
    <row r="3731" spans="1:14" ht="45" customHeight="1" thickBot="1" x14ac:dyDescent="0.4">
      <c r="A3731" s="103"/>
      <c r="B3731" s="103"/>
      <c r="C3731" s="103"/>
      <c r="D3731" s="103"/>
      <c r="E3731" s="103"/>
      <c r="F3731" s="103"/>
      <c r="G3731" s="103"/>
      <c r="H3731" s="103"/>
      <c r="I3731" s="103"/>
      <c r="J3731" s="103"/>
      <c r="K3731" s="103"/>
      <c r="L3731" s="103"/>
      <c r="M3731" s="104"/>
      <c r="N3731" s="103"/>
    </row>
    <row r="3732" spans="1:14" ht="45" customHeight="1" thickBot="1" x14ac:dyDescent="0.4">
      <c r="A3732" s="103"/>
      <c r="B3732" s="103"/>
      <c r="C3732" s="103"/>
      <c r="D3732" s="103"/>
      <c r="E3732" s="103"/>
      <c r="F3732" s="103"/>
      <c r="G3732" s="103"/>
      <c r="H3732" s="103"/>
      <c r="I3732" s="103"/>
      <c r="J3732" s="103"/>
      <c r="K3732" s="103"/>
      <c r="L3732" s="103"/>
      <c r="M3732" s="104"/>
      <c r="N3732" s="103"/>
    </row>
    <row r="3733" spans="1:14" ht="45" customHeight="1" thickBot="1" x14ac:dyDescent="0.4">
      <c r="A3733" s="103"/>
      <c r="B3733" s="103"/>
      <c r="C3733" s="103"/>
      <c r="D3733" s="103"/>
      <c r="E3733" s="103"/>
      <c r="F3733" s="103"/>
      <c r="G3733" s="103"/>
      <c r="H3733" s="103"/>
      <c r="I3733" s="103"/>
      <c r="J3733" s="103"/>
      <c r="K3733" s="103"/>
      <c r="L3733" s="103"/>
      <c r="M3733" s="104"/>
      <c r="N3733" s="103"/>
    </row>
    <row r="3734" spans="1:14" ht="45" customHeight="1" thickBot="1" x14ac:dyDescent="0.4">
      <c r="A3734" s="103"/>
      <c r="B3734" s="103"/>
      <c r="C3734" s="103"/>
      <c r="D3734" s="103"/>
      <c r="E3734" s="103"/>
      <c r="F3734" s="103"/>
      <c r="G3734" s="103"/>
      <c r="H3734" s="103"/>
      <c r="I3734" s="103"/>
      <c r="J3734" s="103"/>
      <c r="K3734" s="103"/>
      <c r="L3734" s="103"/>
      <c r="M3734" s="104"/>
      <c r="N3734" s="103"/>
    </row>
    <row r="3735" spans="1:14" ht="45" customHeight="1" thickBot="1" x14ac:dyDescent="0.4">
      <c r="A3735" s="103"/>
      <c r="B3735" s="103"/>
      <c r="C3735" s="103"/>
      <c r="D3735" s="103"/>
      <c r="E3735" s="103"/>
      <c r="F3735" s="103"/>
      <c r="G3735" s="103"/>
      <c r="H3735" s="103"/>
      <c r="I3735" s="103"/>
      <c r="J3735" s="103"/>
      <c r="K3735" s="103"/>
      <c r="L3735" s="103"/>
      <c r="M3735" s="104"/>
      <c r="N3735" s="103"/>
    </row>
    <row r="3736" spans="1:14" ht="45" customHeight="1" thickBot="1" x14ac:dyDescent="0.4">
      <c r="A3736" s="103"/>
      <c r="B3736" s="103"/>
      <c r="C3736" s="103"/>
      <c r="D3736" s="103"/>
      <c r="E3736" s="103"/>
      <c r="F3736" s="103"/>
      <c r="G3736" s="103"/>
      <c r="H3736" s="103"/>
      <c r="I3736" s="103"/>
      <c r="J3736" s="103"/>
      <c r="K3736" s="103"/>
      <c r="L3736" s="103"/>
      <c r="M3736" s="104"/>
      <c r="N3736" s="103"/>
    </row>
    <row r="3737" spans="1:14" ht="45" customHeight="1" thickBot="1" x14ac:dyDescent="0.4">
      <c r="A3737" s="103"/>
      <c r="B3737" s="103"/>
      <c r="C3737" s="103"/>
      <c r="D3737" s="103"/>
      <c r="E3737" s="103"/>
      <c r="F3737" s="103"/>
      <c r="G3737" s="103"/>
      <c r="H3737" s="103"/>
      <c r="I3737" s="103"/>
      <c r="J3737" s="103"/>
      <c r="K3737" s="103"/>
      <c r="L3737" s="103"/>
      <c r="M3737" s="104"/>
      <c r="N3737" s="103"/>
    </row>
    <row r="3738" spans="1:14" ht="45" customHeight="1" thickBot="1" x14ac:dyDescent="0.4">
      <c r="A3738" s="103"/>
      <c r="B3738" s="103"/>
      <c r="C3738" s="103"/>
      <c r="D3738" s="103"/>
      <c r="E3738" s="103"/>
      <c r="F3738" s="103"/>
      <c r="G3738" s="103"/>
      <c r="H3738" s="103"/>
      <c r="I3738" s="103"/>
      <c r="J3738" s="103"/>
      <c r="K3738" s="103"/>
      <c r="L3738" s="103"/>
      <c r="M3738" s="104"/>
      <c r="N3738" s="103"/>
    </row>
    <row r="3739" spans="1:14" ht="45" customHeight="1" thickBot="1" x14ac:dyDescent="0.4">
      <c r="A3739" s="103"/>
      <c r="B3739" s="103"/>
      <c r="C3739" s="103"/>
      <c r="D3739" s="103"/>
      <c r="E3739" s="103"/>
      <c r="F3739" s="103"/>
      <c r="G3739" s="103"/>
      <c r="H3739" s="103"/>
      <c r="I3739" s="103"/>
      <c r="J3739" s="103"/>
      <c r="K3739" s="103"/>
      <c r="L3739" s="103"/>
      <c r="M3739" s="104"/>
      <c r="N3739" s="103"/>
    </row>
    <row r="3740" spans="1:14" ht="45" customHeight="1" thickBot="1" x14ac:dyDescent="0.4">
      <c r="A3740" s="103"/>
      <c r="B3740" s="103"/>
      <c r="C3740" s="103"/>
      <c r="D3740" s="103"/>
      <c r="E3740" s="103"/>
      <c r="F3740" s="103"/>
      <c r="G3740" s="103"/>
      <c r="H3740" s="103"/>
      <c r="I3740" s="103"/>
      <c r="J3740" s="103"/>
      <c r="K3740" s="103"/>
      <c r="L3740" s="103"/>
      <c r="M3740" s="104"/>
      <c r="N3740" s="103"/>
    </row>
    <row r="3741" spans="1:14" ht="45" customHeight="1" thickBot="1" x14ac:dyDescent="0.4">
      <c r="A3741" s="103"/>
      <c r="B3741" s="103"/>
      <c r="C3741" s="103"/>
      <c r="D3741" s="103"/>
      <c r="E3741" s="103"/>
      <c r="F3741" s="103"/>
      <c r="G3741" s="103"/>
      <c r="H3741" s="103"/>
      <c r="I3741" s="103"/>
      <c r="J3741" s="103"/>
      <c r="K3741" s="103"/>
      <c r="L3741" s="103"/>
      <c r="M3741" s="104"/>
      <c r="N3741" s="103"/>
    </row>
    <row r="3742" spans="1:14" ht="45" customHeight="1" thickBot="1" x14ac:dyDescent="0.4">
      <c r="A3742" s="103"/>
      <c r="B3742" s="103"/>
      <c r="C3742" s="103"/>
      <c r="D3742" s="103"/>
      <c r="E3742" s="103"/>
      <c r="F3742" s="103"/>
      <c r="G3742" s="103"/>
      <c r="H3742" s="103"/>
      <c r="I3742" s="103"/>
      <c r="J3742" s="103"/>
      <c r="K3742" s="103"/>
      <c r="L3742" s="103"/>
      <c r="M3742" s="104"/>
      <c r="N3742" s="103"/>
    </row>
    <row r="3743" spans="1:14" ht="45" customHeight="1" thickBot="1" x14ac:dyDescent="0.4">
      <c r="A3743" s="103"/>
      <c r="B3743" s="103"/>
      <c r="C3743" s="103"/>
      <c r="D3743" s="103"/>
      <c r="E3743" s="103"/>
      <c r="F3743" s="103"/>
      <c r="G3743" s="103"/>
      <c r="H3743" s="103"/>
      <c r="I3743" s="103"/>
      <c r="J3743" s="103"/>
      <c r="K3743" s="103"/>
      <c r="L3743" s="103"/>
      <c r="M3743" s="104"/>
      <c r="N3743" s="103"/>
    </row>
    <row r="3744" spans="1:14" ht="45" customHeight="1" thickBot="1" x14ac:dyDescent="0.4">
      <c r="A3744" s="103"/>
      <c r="B3744" s="103"/>
      <c r="C3744" s="103"/>
      <c r="D3744" s="103"/>
      <c r="E3744" s="103"/>
      <c r="F3744" s="103"/>
      <c r="G3744" s="103"/>
      <c r="H3744" s="103"/>
      <c r="I3744" s="103"/>
      <c r="J3744" s="103"/>
      <c r="K3744" s="103"/>
      <c r="L3744" s="103"/>
      <c r="M3744" s="104"/>
      <c r="N3744" s="103"/>
    </row>
    <row r="3745" spans="1:14" ht="45" customHeight="1" thickBot="1" x14ac:dyDescent="0.4">
      <c r="A3745" s="103"/>
      <c r="B3745" s="103"/>
      <c r="C3745" s="103"/>
      <c r="D3745" s="103"/>
      <c r="E3745" s="103"/>
      <c r="F3745" s="103"/>
      <c r="G3745" s="103"/>
      <c r="H3745" s="103"/>
      <c r="I3745" s="103"/>
      <c r="J3745" s="103"/>
      <c r="K3745" s="103"/>
      <c r="L3745" s="103"/>
      <c r="M3745" s="104"/>
      <c r="N3745" s="103"/>
    </row>
    <row r="3746" spans="1:14" ht="45" customHeight="1" thickBot="1" x14ac:dyDescent="0.4">
      <c r="A3746" s="103"/>
      <c r="B3746" s="103"/>
      <c r="C3746" s="103"/>
      <c r="D3746" s="103"/>
      <c r="E3746" s="103"/>
      <c r="F3746" s="103"/>
      <c r="G3746" s="103"/>
      <c r="H3746" s="103"/>
      <c r="I3746" s="103"/>
      <c r="J3746" s="103"/>
      <c r="K3746" s="103"/>
      <c r="L3746" s="103"/>
      <c r="M3746" s="104"/>
      <c r="N3746" s="103"/>
    </row>
    <row r="3747" spans="1:14" ht="45" customHeight="1" thickBot="1" x14ac:dyDescent="0.4">
      <c r="A3747" s="103"/>
      <c r="B3747" s="103"/>
      <c r="C3747" s="103"/>
      <c r="D3747" s="103"/>
      <c r="E3747" s="103"/>
      <c r="F3747" s="103"/>
      <c r="G3747" s="103"/>
      <c r="H3747" s="103"/>
      <c r="I3747" s="103"/>
      <c r="J3747" s="103"/>
      <c r="K3747" s="103"/>
      <c r="L3747" s="103"/>
      <c r="M3747" s="104"/>
      <c r="N3747" s="103"/>
    </row>
    <row r="3748" spans="1:14" ht="45" customHeight="1" thickBot="1" x14ac:dyDescent="0.4">
      <c r="A3748" s="103"/>
      <c r="B3748" s="103"/>
      <c r="C3748" s="103"/>
      <c r="D3748" s="103"/>
      <c r="E3748" s="103"/>
      <c r="F3748" s="103"/>
      <c r="G3748" s="103"/>
      <c r="H3748" s="103"/>
      <c r="I3748" s="103"/>
      <c r="J3748" s="103"/>
      <c r="K3748" s="103"/>
      <c r="L3748" s="103"/>
      <c r="M3748" s="104"/>
      <c r="N3748" s="103"/>
    </row>
    <row r="3749" spans="1:14" ht="45" customHeight="1" thickBot="1" x14ac:dyDescent="0.4">
      <c r="A3749" s="103"/>
      <c r="B3749" s="103"/>
      <c r="C3749" s="103"/>
      <c r="D3749" s="103"/>
      <c r="E3749" s="103"/>
      <c r="F3749" s="103"/>
      <c r="G3749" s="103"/>
      <c r="H3749" s="103"/>
      <c r="I3749" s="103"/>
      <c r="J3749" s="103"/>
      <c r="K3749" s="103"/>
      <c r="L3749" s="103"/>
      <c r="M3749" s="104"/>
      <c r="N3749" s="103"/>
    </row>
    <row r="3750" spans="1:14" ht="45" customHeight="1" thickBot="1" x14ac:dyDescent="0.4">
      <c r="A3750" s="103"/>
      <c r="B3750" s="103"/>
      <c r="C3750" s="103"/>
      <c r="D3750" s="103"/>
      <c r="E3750" s="103"/>
      <c r="F3750" s="103"/>
      <c r="G3750" s="103"/>
      <c r="H3750" s="103"/>
      <c r="I3750" s="103"/>
      <c r="J3750" s="103"/>
      <c r="K3750" s="103"/>
      <c r="L3750" s="103"/>
      <c r="M3750" s="104"/>
      <c r="N3750" s="103"/>
    </row>
    <row r="3751" spans="1:14" ht="45" customHeight="1" thickBot="1" x14ac:dyDescent="0.4">
      <c r="A3751" s="103"/>
      <c r="B3751" s="103"/>
      <c r="C3751" s="103"/>
      <c r="D3751" s="103"/>
      <c r="E3751" s="103"/>
      <c r="F3751" s="103"/>
      <c r="G3751" s="103"/>
      <c r="H3751" s="103"/>
      <c r="I3751" s="103"/>
      <c r="J3751" s="103"/>
      <c r="K3751" s="103"/>
      <c r="L3751" s="103"/>
      <c r="M3751" s="104"/>
      <c r="N3751" s="103"/>
    </row>
    <row r="3752" spans="1:14" ht="45" customHeight="1" thickBot="1" x14ac:dyDescent="0.4">
      <c r="A3752" s="103"/>
      <c r="B3752" s="103"/>
      <c r="C3752" s="103"/>
      <c r="D3752" s="103"/>
      <c r="E3752" s="103"/>
      <c r="F3752" s="103"/>
      <c r="G3752" s="103"/>
      <c r="H3752" s="103"/>
      <c r="I3752" s="103"/>
      <c r="J3752" s="103"/>
      <c r="K3752" s="103"/>
      <c r="L3752" s="103"/>
      <c r="M3752" s="104"/>
      <c r="N3752" s="103"/>
    </row>
    <row r="3753" spans="1:14" ht="45" customHeight="1" thickBot="1" x14ac:dyDescent="0.4">
      <c r="A3753" s="103"/>
      <c r="B3753" s="103"/>
      <c r="C3753" s="103"/>
      <c r="D3753" s="103"/>
      <c r="E3753" s="103"/>
      <c r="F3753" s="103"/>
      <c r="G3753" s="103"/>
      <c r="H3753" s="103"/>
      <c r="I3753" s="103"/>
      <c r="J3753" s="103"/>
      <c r="K3753" s="103"/>
      <c r="L3753" s="103"/>
      <c r="M3753" s="104"/>
      <c r="N3753" s="103"/>
    </row>
    <row r="3754" spans="1:14" ht="45" customHeight="1" thickBot="1" x14ac:dyDescent="0.4">
      <c r="A3754" s="103"/>
      <c r="B3754" s="103"/>
      <c r="C3754" s="103"/>
      <c r="D3754" s="103"/>
      <c r="E3754" s="103"/>
      <c r="F3754" s="103"/>
      <c r="G3754" s="103"/>
      <c r="H3754" s="103"/>
      <c r="I3754" s="103"/>
      <c r="J3754" s="103"/>
      <c r="K3754" s="103"/>
      <c r="L3754" s="103"/>
      <c r="M3754" s="104"/>
      <c r="N3754" s="103"/>
    </row>
    <row r="3755" spans="1:14" ht="45" customHeight="1" thickBot="1" x14ac:dyDescent="0.4">
      <c r="A3755" s="103"/>
      <c r="B3755" s="103"/>
      <c r="C3755" s="103"/>
      <c r="D3755" s="103"/>
      <c r="E3755" s="103"/>
      <c r="F3755" s="103"/>
      <c r="G3755" s="103"/>
      <c r="H3755" s="103"/>
      <c r="I3755" s="103"/>
      <c r="J3755" s="103"/>
      <c r="K3755" s="103"/>
      <c r="L3755" s="103"/>
      <c r="M3755" s="104"/>
      <c r="N3755" s="103"/>
    </row>
    <row r="3756" spans="1:14" ht="45" customHeight="1" thickBot="1" x14ac:dyDescent="0.4">
      <c r="A3756" s="103"/>
      <c r="B3756" s="103"/>
      <c r="C3756" s="103"/>
      <c r="D3756" s="103"/>
      <c r="E3756" s="103"/>
      <c r="F3756" s="103"/>
      <c r="G3756" s="103"/>
      <c r="H3756" s="103"/>
      <c r="I3756" s="103"/>
      <c r="J3756" s="103"/>
      <c r="K3756" s="103"/>
      <c r="L3756" s="103"/>
      <c r="M3756" s="104"/>
      <c r="N3756" s="103"/>
    </row>
    <row r="3757" spans="1:14" ht="45" customHeight="1" thickBot="1" x14ac:dyDescent="0.4">
      <c r="A3757" s="103"/>
      <c r="B3757" s="103"/>
      <c r="C3757" s="103"/>
      <c r="D3757" s="103"/>
      <c r="E3757" s="103"/>
      <c r="F3757" s="103"/>
      <c r="G3757" s="103"/>
      <c r="H3757" s="103"/>
      <c r="I3757" s="103"/>
      <c r="J3757" s="103"/>
      <c r="K3757" s="103"/>
      <c r="L3757" s="103"/>
      <c r="M3757" s="104"/>
      <c r="N3757" s="103"/>
    </row>
    <row r="3758" spans="1:14" ht="45" customHeight="1" thickBot="1" x14ac:dyDescent="0.4">
      <c r="A3758" s="103"/>
      <c r="B3758" s="103"/>
      <c r="C3758" s="103"/>
      <c r="D3758" s="103"/>
      <c r="E3758" s="103"/>
      <c r="F3758" s="103"/>
      <c r="G3758" s="103"/>
      <c r="H3758" s="103"/>
      <c r="I3758" s="103"/>
      <c r="J3758" s="103"/>
      <c r="K3758" s="103"/>
      <c r="L3758" s="103"/>
      <c r="M3758" s="104"/>
      <c r="N3758" s="103"/>
    </row>
    <row r="3759" spans="1:14" ht="45" customHeight="1" thickBot="1" x14ac:dyDescent="0.4">
      <c r="A3759" s="103"/>
      <c r="B3759" s="103"/>
      <c r="C3759" s="103"/>
      <c r="D3759" s="103"/>
      <c r="E3759" s="103"/>
      <c r="F3759" s="103"/>
      <c r="G3759" s="103"/>
      <c r="H3759" s="103"/>
      <c r="I3759" s="103"/>
      <c r="J3759" s="103"/>
      <c r="K3759" s="103"/>
      <c r="L3759" s="103"/>
      <c r="M3759" s="104"/>
      <c r="N3759" s="103"/>
    </row>
    <row r="3760" spans="1:14" ht="45" customHeight="1" thickBot="1" x14ac:dyDescent="0.4">
      <c r="A3760" s="103"/>
      <c r="B3760" s="103"/>
      <c r="C3760" s="103"/>
      <c r="D3760" s="103"/>
      <c r="E3760" s="103"/>
      <c r="F3760" s="103"/>
      <c r="G3760" s="103"/>
      <c r="H3760" s="103"/>
      <c r="I3760" s="103"/>
      <c r="J3760" s="103"/>
      <c r="K3760" s="103"/>
      <c r="L3760" s="103"/>
      <c r="M3760" s="104"/>
      <c r="N3760" s="103"/>
    </row>
    <row r="3761" spans="1:14" ht="45" customHeight="1" thickBot="1" x14ac:dyDescent="0.4">
      <c r="A3761" s="103"/>
      <c r="B3761" s="103"/>
      <c r="C3761" s="103"/>
      <c r="D3761" s="103"/>
      <c r="E3761" s="103"/>
      <c r="F3761" s="103"/>
      <c r="G3761" s="103"/>
      <c r="H3761" s="103"/>
      <c r="I3761" s="103"/>
      <c r="J3761" s="103"/>
      <c r="K3761" s="103"/>
      <c r="L3761" s="103"/>
      <c r="M3761" s="104"/>
      <c r="N3761" s="103"/>
    </row>
    <row r="3762" spans="1:14" ht="45" customHeight="1" thickBot="1" x14ac:dyDescent="0.4">
      <c r="A3762" s="103"/>
      <c r="B3762" s="103"/>
      <c r="C3762" s="103"/>
      <c r="D3762" s="103"/>
      <c r="E3762" s="103"/>
      <c r="F3762" s="103"/>
      <c r="G3762" s="103"/>
      <c r="H3762" s="103"/>
      <c r="I3762" s="103"/>
      <c r="J3762" s="103"/>
      <c r="K3762" s="103"/>
      <c r="L3762" s="103"/>
      <c r="M3762" s="104"/>
      <c r="N3762" s="103"/>
    </row>
    <row r="3763" spans="1:14" ht="45" customHeight="1" thickBot="1" x14ac:dyDescent="0.4">
      <c r="A3763" s="103"/>
      <c r="B3763" s="103"/>
      <c r="C3763" s="103"/>
      <c r="D3763" s="103"/>
      <c r="E3763" s="103"/>
      <c r="F3763" s="103"/>
      <c r="G3763" s="103"/>
      <c r="H3763" s="103"/>
      <c r="I3763" s="103"/>
      <c r="J3763" s="103"/>
      <c r="K3763" s="103"/>
      <c r="L3763" s="103"/>
      <c r="M3763" s="104"/>
      <c r="N3763" s="103"/>
    </row>
    <row r="3764" spans="1:14" ht="45" customHeight="1" thickBot="1" x14ac:dyDescent="0.4">
      <c r="A3764" s="103"/>
      <c r="B3764" s="103"/>
      <c r="C3764" s="103"/>
      <c r="D3764" s="103"/>
      <c r="E3764" s="103"/>
      <c r="F3764" s="103"/>
      <c r="G3764" s="103"/>
      <c r="H3764" s="103"/>
      <c r="I3764" s="103"/>
      <c r="J3764" s="103"/>
      <c r="K3764" s="103"/>
      <c r="L3764" s="103"/>
      <c r="M3764" s="104"/>
      <c r="N3764" s="103"/>
    </row>
    <row r="3765" spans="1:14" ht="45" customHeight="1" thickBot="1" x14ac:dyDescent="0.4">
      <c r="A3765" s="103"/>
      <c r="B3765" s="103"/>
      <c r="C3765" s="103"/>
      <c r="D3765" s="103"/>
      <c r="E3765" s="103"/>
      <c r="F3765" s="103"/>
      <c r="G3765" s="103"/>
      <c r="H3765" s="103"/>
      <c r="I3765" s="103"/>
      <c r="J3765" s="103"/>
      <c r="K3765" s="103"/>
      <c r="L3765" s="103"/>
      <c r="M3765" s="104"/>
      <c r="N3765" s="103"/>
    </row>
    <row r="3766" spans="1:14" ht="45" customHeight="1" thickBot="1" x14ac:dyDescent="0.4">
      <c r="A3766" s="103"/>
      <c r="B3766" s="103"/>
      <c r="C3766" s="103"/>
      <c r="D3766" s="103"/>
      <c r="E3766" s="103"/>
      <c r="F3766" s="103"/>
      <c r="G3766" s="103"/>
      <c r="H3766" s="103"/>
      <c r="I3766" s="103"/>
      <c r="J3766" s="103"/>
      <c r="K3766" s="103"/>
      <c r="L3766" s="103"/>
      <c r="M3766" s="104"/>
      <c r="N3766" s="103"/>
    </row>
    <row r="3767" spans="1:14" ht="45" customHeight="1" thickBot="1" x14ac:dyDescent="0.4">
      <c r="A3767" s="103"/>
      <c r="B3767" s="103"/>
      <c r="C3767" s="103"/>
      <c r="D3767" s="103"/>
      <c r="E3767" s="103"/>
      <c r="F3767" s="103"/>
      <c r="G3767" s="103"/>
      <c r="H3767" s="103"/>
      <c r="I3767" s="103"/>
      <c r="J3767" s="103"/>
      <c r="K3767" s="103"/>
      <c r="L3767" s="103"/>
      <c r="M3767" s="104"/>
      <c r="N3767" s="103"/>
    </row>
    <row r="3768" spans="1:14" ht="45" customHeight="1" thickBot="1" x14ac:dyDescent="0.4">
      <c r="A3768" s="103"/>
      <c r="B3768" s="103"/>
      <c r="C3768" s="103"/>
      <c r="D3768" s="103"/>
      <c r="E3768" s="103"/>
      <c r="F3768" s="103"/>
      <c r="G3768" s="103"/>
      <c r="H3768" s="103"/>
      <c r="I3768" s="103"/>
      <c r="J3768" s="103"/>
      <c r="K3768" s="103"/>
      <c r="L3768" s="103"/>
      <c r="M3768" s="104"/>
      <c r="N3768" s="103"/>
    </row>
    <row r="3769" spans="1:14" ht="45" customHeight="1" thickBot="1" x14ac:dyDescent="0.4">
      <c r="A3769" s="103"/>
      <c r="B3769" s="103"/>
      <c r="C3769" s="103"/>
      <c r="D3769" s="103"/>
      <c r="E3769" s="103"/>
      <c r="F3769" s="103"/>
      <c r="G3769" s="103"/>
      <c r="H3769" s="103"/>
      <c r="I3769" s="103"/>
      <c r="J3769" s="103"/>
      <c r="K3769" s="103"/>
      <c r="L3769" s="103"/>
      <c r="M3769" s="104"/>
      <c r="N3769" s="103"/>
    </row>
    <row r="3770" spans="1:14" ht="45" customHeight="1" thickBot="1" x14ac:dyDescent="0.4">
      <c r="A3770" s="103"/>
      <c r="B3770" s="103"/>
      <c r="C3770" s="103"/>
      <c r="D3770" s="103"/>
      <c r="E3770" s="103"/>
      <c r="F3770" s="103"/>
      <c r="G3770" s="103"/>
      <c r="H3770" s="103"/>
      <c r="I3770" s="103"/>
      <c r="J3770" s="103"/>
      <c r="K3770" s="103"/>
      <c r="L3770" s="103"/>
      <c r="M3770" s="104"/>
      <c r="N3770" s="103"/>
    </row>
    <row r="3771" spans="1:14" ht="45" customHeight="1" thickBot="1" x14ac:dyDescent="0.4">
      <c r="A3771" s="103"/>
      <c r="B3771" s="103"/>
      <c r="C3771" s="103"/>
      <c r="D3771" s="103"/>
      <c r="E3771" s="103"/>
      <c r="F3771" s="103"/>
      <c r="G3771" s="103"/>
      <c r="H3771" s="103"/>
      <c r="I3771" s="103"/>
      <c r="J3771" s="103"/>
      <c r="K3771" s="103"/>
      <c r="L3771" s="103"/>
      <c r="M3771" s="104"/>
      <c r="N3771" s="103"/>
    </row>
    <row r="3772" spans="1:14" ht="45" customHeight="1" thickBot="1" x14ac:dyDescent="0.4">
      <c r="A3772" s="103"/>
      <c r="B3772" s="103"/>
      <c r="C3772" s="103"/>
      <c r="D3772" s="103"/>
      <c r="E3772" s="103"/>
      <c r="F3772" s="103"/>
      <c r="G3772" s="103"/>
      <c r="H3772" s="103"/>
      <c r="I3772" s="103"/>
      <c r="J3772" s="103"/>
      <c r="K3772" s="103"/>
      <c r="L3772" s="103"/>
      <c r="M3772" s="104"/>
      <c r="N3772" s="103"/>
    </row>
    <row r="3773" spans="1:14" ht="45" customHeight="1" thickBot="1" x14ac:dyDescent="0.4">
      <c r="A3773" s="103"/>
      <c r="B3773" s="103"/>
      <c r="C3773" s="103"/>
      <c r="D3773" s="103"/>
      <c r="E3773" s="103"/>
      <c r="F3773" s="103"/>
      <c r="G3773" s="103"/>
      <c r="H3773" s="103"/>
      <c r="I3773" s="103"/>
      <c r="J3773" s="103"/>
      <c r="K3773" s="103"/>
      <c r="L3773" s="103"/>
      <c r="M3773" s="104"/>
      <c r="N3773" s="103"/>
    </row>
    <row r="3774" spans="1:14" ht="45" customHeight="1" thickBot="1" x14ac:dyDescent="0.4">
      <c r="A3774" s="103"/>
      <c r="B3774" s="103"/>
      <c r="C3774" s="103"/>
      <c r="D3774" s="103"/>
      <c r="E3774" s="103"/>
      <c r="F3774" s="103"/>
      <c r="G3774" s="103"/>
      <c r="H3774" s="103"/>
      <c r="I3774" s="103"/>
      <c r="J3774" s="103"/>
      <c r="K3774" s="103"/>
      <c r="L3774" s="103"/>
      <c r="M3774" s="104"/>
      <c r="N3774" s="103"/>
    </row>
    <row r="3775" spans="1:14" ht="45" customHeight="1" thickBot="1" x14ac:dyDescent="0.4">
      <c r="A3775" s="103"/>
      <c r="B3775" s="103"/>
      <c r="C3775" s="103"/>
      <c r="D3775" s="103"/>
      <c r="E3775" s="103"/>
      <c r="F3775" s="103"/>
      <c r="G3775" s="103"/>
      <c r="H3775" s="103"/>
      <c r="I3775" s="103"/>
      <c r="J3775" s="103"/>
      <c r="K3775" s="103"/>
      <c r="L3775" s="103"/>
      <c r="M3775" s="104"/>
      <c r="N3775" s="103"/>
    </row>
    <row r="3776" spans="1:14" ht="45" customHeight="1" thickBot="1" x14ac:dyDescent="0.4">
      <c r="A3776" s="103"/>
      <c r="B3776" s="103"/>
      <c r="C3776" s="103"/>
      <c r="D3776" s="103"/>
      <c r="E3776" s="103"/>
      <c r="F3776" s="103"/>
      <c r="G3776" s="103"/>
      <c r="H3776" s="103"/>
      <c r="I3776" s="103"/>
      <c r="J3776" s="103"/>
      <c r="K3776" s="103"/>
      <c r="L3776" s="103"/>
      <c r="M3776" s="104"/>
      <c r="N3776" s="103"/>
    </row>
    <row r="3777" spans="1:14" ht="45" customHeight="1" thickBot="1" x14ac:dyDescent="0.4">
      <c r="A3777" s="103"/>
      <c r="B3777" s="103"/>
      <c r="C3777" s="103"/>
      <c r="D3777" s="103"/>
      <c r="E3777" s="103"/>
      <c r="F3777" s="103"/>
      <c r="G3777" s="103"/>
      <c r="H3777" s="103"/>
      <c r="I3777" s="103"/>
      <c r="J3777" s="103"/>
      <c r="K3777" s="103"/>
      <c r="L3777" s="103"/>
      <c r="M3777" s="104"/>
      <c r="N3777" s="103"/>
    </row>
    <row r="3778" spans="1:14" ht="45" customHeight="1" thickBot="1" x14ac:dyDescent="0.4">
      <c r="A3778" s="103"/>
      <c r="B3778" s="103"/>
      <c r="C3778" s="103"/>
      <c r="D3778" s="103"/>
      <c r="E3778" s="103"/>
      <c r="F3778" s="103"/>
      <c r="G3778" s="103"/>
      <c r="H3778" s="103"/>
      <c r="I3778" s="103"/>
      <c r="J3778" s="103"/>
      <c r="K3778" s="103"/>
      <c r="L3778" s="103"/>
      <c r="M3778" s="104"/>
      <c r="N3778" s="103"/>
    </row>
    <row r="3779" spans="1:14" ht="45" customHeight="1" thickBot="1" x14ac:dyDescent="0.4">
      <c r="A3779" s="103"/>
      <c r="B3779" s="103"/>
      <c r="C3779" s="103"/>
      <c r="D3779" s="103"/>
      <c r="E3779" s="103"/>
      <c r="F3779" s="103"/>
      <c r="G3779" s="103"/>
      <c r="H3779" s="103"/>
      <c r="I3779" s="103"/>
      <c r="J3779" s="103"/>
      <c r="K3779" s="103"/>
      <c r="L3779" s="103"/>
      <c r="M3779" s="104"/>
      <c r="N3779" s="103"/>
    </row>
    <row r="3780" spans="1:14" ht="45" customHeight="1" thickBot="1" x14ac:dyDescent="0.4">
      <c r="A3780" s="103"/>
      <c r="B3780" s="103"/>
      <c r="C3780" s="103"/>
      <c r="D3780" s="103"/>
      <c r="E3780" s="103"/>
      <c r="F3780" s="103"/>
      <c r="G3780" s="103"/>
      <c r="H3780" s="103"/>
      <c r="I3780" s="103"/>
      <c r="J3780" s="103"/>
      <c r="K3780" s="103"/>
      <c r="L3780" s="103"/>
      <c r="M3780" s="104"/>
      <c r="N3780" s="103"/>
    </row>
    <row r="3781" spans="1:14" ht="45" customHeight="1" thickBot="1" x14ac:dyDescent="0.4">
      <c r="A3781" s="103"/>
      <c r="B3781" s="103"/>
      <c r="C3781" s="103"/>
      <c r="D3781" s="103"/>
      <c r="E3781" s="103"/>
      <c r="F3781" s="103"/>
      <c r="G3781" s="103"/>
      <c r="H3781" s="103"/>
      <c r="I3781" s="103"/>
      <c r="J3781" s="103"/>
      <c r="K3781" s="103"/>
      <c r="L3781" s="103"/>
      <c r="M3781" s="104"/>
      <c r="N3781" s="103"/>
    </row>
    <row r="3782" spans="1:14" ht="45" customHeight="1" thickBot="1" x14ac:dyDescent="0.4">
      <c r="A3782" s="103"/>
      <c r="B3782" s="103"/>
      <c r="C3782" s="103"/>
      <c r="D3782" s="103"/>
      <c r="E3782" s="103"/>
      <c r="F3782" s="103"/>
      <c r="G3782" s="103"/>
      <c r="H3782" s="103"/>
      <c r="I3782" s="103"/>
      <c r="J3782" s="103"/>
      <c r="K3782" s="103"/>
      <c r="L3782" s="103"/>
      <c r="M3782" s="104"/>
      <c r="N3782" s="103"/>
    </row>
    <row r="3783" spans="1:14" ht="45" customHeight="1" thickBot="1" x14ac:dyDescent="0.4">
      <c r="A3783" s="103"/>
      <c r="B3783" s="103"/>
      <c r="C3783" s="103"/>
      <c r="D3783" s="103"/>
      <c r="E3783" s="103"/>
      <c r="F3783" s="103"/>
      <c r="G3783" s="103"/>
      <c r="H3783" s="103"/>
      <c r="I3783" s="103"/>
      <c r="J3783" s="103"/>
      <c r="K3783" s="103"/>
      <c r="L3783" s="103"/>
      <c r="M3783" s="104"/>
      <c r="N3783" s="103"/>
    </row>
    <row r="3784" spans="1:14" ht="45" customHeight="1" thickBot="1" x14ac:dyDescent="0.4">
      <c r="A3784" s="103"/>
      <c r="B3784" s="103"/>
      <c r="C3784" s="103"/>
      <c r="D3784" s="103"/>
      <c r="E3784" s="103"/>
      <c r="F3784" s="103"/>
      <c r="G3784" s="103"/>
      <c r="H3784" s="103"/>
      <c r="I3784" s="103"/>
      <c r="J3784" s="103"/>
      <c r="K3784" s="103"/>
      <c r="L3784" s="103"/>
      <c r="M3784" s="104"/>
      <c r="N3784" s="103"/>
    </row>
    <row r="3785" spans="1:14" ht="45" customHeight="1" thickBot="1" x14ac:dyDescent="0.4">
      <c r="A3785" s="103"/>
      <c r="B3785" s="103"/>
      <c r="C3785" s="103"/>
      <c r="D3785" s="103"/>
      <c r="E3785" s="103"/>
      <c r="F3785" s="103"/>
      <c r="G3785" s="103"/>
      <c r="H3785" s="103"/>
      <c r="I3785" s="103"/>
      <c r="J3785" s="103"/>
      <c r="K3785" s="103"/>
      <c r="L3785" s="103"/>
      <c r="M3785" s="104"/>
      <c r="N3785" s="103"/>
    </row>
    <row r="3786" spans="1:14" ht="45" customHeight="1" thickBot="1" x14ac:dyDescent="0.4">
      <c r="A3786" s="103"/>
      <c r="B3786" s="103"/>
      <c r="C3786" s="103"/>
      <c r="D3786" s="103"/>
      <c r="E3786" s="103"/>
      <c r="F3786" s="103"/>
      <c r="G3786" s="103"/>
      <c r="H3786" s="103"/>
      <c r="I3786" s="103"/>
      <c r="J3786" s="103"/>
      <c r="K3786" s="103"/>
      <c r="L3786" s="103"/>
      <c r="M3786" s="104"/>
      <c r="N3786" s="103"/>
    </row>
    <row r="3787" spans="1:14" ht="45" customHeight="1" thickBot="1" x14ac:dyDescent="0.4">
      <c r="A3787" s="103"/>
      <c r="B3787" s="103"/>
      <c r="C3787" s="103"/>
      <c r="D3787" s="103"/>
      <c r="E3787" s="103"/>
      <c r="F3787" s="103"/>
      <c r="G3787" s="103"/>
      <c r="H3787" s="103"/>
      <c r="I3787" s="103"/>
      <c r="J3787" s="103"/>
      <c r="K3787" s="103"/>
      <c r="L3787" s="103"/>
      <c r="M3787" s="104"/>
      <c r="N3787" s="103"/>
    </row>
    <row r="3788" spans="1:14" ht="45" customHeight="1" thickBot="1" x14ac:dyDescent="0.4">
      <c r="A3788" s="103"/>
      <c r="B3788" s="103"/>
      <c r="C3788" s="103"/>
      <c r="D3788" s="103"/>
      <c r="E3788" s="103"/>
      <c r="F3788" s="103"/>
      <c r="G3788" s="103"/>
      <c r="H3788" s="103"/>
      <c r="I3788" s="103"/>
      <c r="J3788" s="103"/>
      <c r="K3788" s="103"/>
      <c r="L3788" s="103"/>
      <c r="M3788" s="104"/>
      <c r="N3788" s="103"/>
    </row>
    <row r="3789" spans="1:14" ht="45" customHeight="1" thickBot="1" x14ac:dyDescent="0.4">
      <c r="A3789" s="103"/>
      <c r="B3789" s="103"/>
      <c r="C3789" s="103"/>
      <c r="D3789" s="103"/>
      <c r="E3789" s="103"/>
      <c r="F3789" s="103"/>
      <c r="G3789" s="103"/>
      <c r="H3789" s="103"/>
      <c r="I3789" s="103"/>
      <c r="J3789" s="103"/>
      <c r="K3789" s="103"/>
      <c r="L3789" s="103"/>
      <c r="M3789" s="104"/>
      <c r="N3789" s="103"/>
    </row>
    <row r="3790" spans="1:14" ht="45" customHeight="1" thickBot="1" x14ac:dyDescent="0.4">
      <c r="A3790" s="103"/>
      <c r="B3790" s="103"/>
      <c r="C3790" s="103"/>
      <c r="D3790" s="103"/>
      <c r="E3790" s="103"/>
      <c r="F3790" s="103"/>
      <c r="G3790" s="103"/>
      <c r="H3790" s="103"/>
      <c r="I3790" s="103"/>
      <c r="J3790" s="103"/>
      <c r="K3790" s="103"/>
      <c r="L3790" s="103"/>
      <c r="M3790" s="104"/>
      <c r="N3790" s="103"/>
    </row>
    <row r="3791" spans="1:14" ht="45" customHeight="1" thickBot="1" x14ac:dyDescent="0.4">
      <c r="A3791" s="103"/>
      <c r="B3791" s="103"/>
      <c r="C3791" s="103"/>
      <c r="D3791" s="103"/>
      <c r="E3791" s="103"/>
      <c r="F3791" s="103"/>
      <c r="G3791" s="103"/>
      <c r="H3791" s="103"/>
      <c r="I3791" s="103"/>
      <c r="J3791" s="103"/>
      <c r="K3791" s="103"/>
      <c r="L3791" s="103"/>
      <c r="M3791" s="104"/>
      <c r="N3791" s="103"/>
    </row>
    <row r="3792" spans="1:14" ht="45" customHeight="1" thickBot="1" x14ac:dyDescent="0.4">
      <c r="A3792" s="103"/>
      <c r="B3792" s="103"/>
      <c r="C3792" s="103"/>
      <c r="D3792" s="103"/>
      <c r="E3792" s="103"/>
      <c r="F3792" s="103"/>
      <c r="G3792" s="103"/>
      <c r="H3792" s="103"/>
      <c r="I3792" s="103"/>
      <c r="J3792" s="103"/>
      <c r="K3792" s="103"/>
      <c r="L3792" s="103"/>
      <c r="M3792" s="104"/>
      <c r="N3792" s="103"/>
    </row>
    <row r="3793" spans="1:14" ht="45" customHeight="1" thickBot="1" x14ac:dyDescent="0.4">
      <c r="A3793" s="103"/>
      <c r="B3793" s="103"/>
      <c r="C3793" s="103"/>
      <c r="D3793" s="103"/>
      <c r="E3793" s="103"/>
      <c r="F3793" s="103"/>
      <c r="G3793" s="103"/>
      <c r="H3793" s="103"/>
      <c r="I3793" s="103"/>
      <c r="J3793" s="103"/>
      <c r="K3793" s="103"/>
      <c r="L3793" s="103"/>
      <c r="M3793" s="104"/>
      <c r="N3793" s="103"/>
    </row>
    <row r="3794" spans="1:14" ht="45" customHeight="1" thickBot="1" x14ac:dyDescent="0.4">
      <c r="A3794" s="103"/>
      <c r="B3794" s="103"/>
      <c r="C3794" s="103"/>
      <c r="D3794" s="103"/>
      <c r="E3794" s="103"/>
      <c r="F3794" s="103"/>
      <c r="G3794" s="103"/>
      <c r="H3794" s="103"/>
      <c r="I3794" s="103"/>
      <c r="J3794" s="103"/>
      <c r="K3794" s="103"/>
      <c r="L3794" s="103"/>
      <c r="M3794" s="104"/>
      <c r="N3794" s="103"/>
    </row>
    <row r="3795" spans="1:14" ht="45" customHeight="1" thickBot="1" x14ac:dyDescent="0.4">
      <c r="A3795" s="103"/>
      <c r="B3795" s="103"/>
      <c r="C3795" s="103"/>
      <c r="D3795" s="103"/>
      <c r="E3795" s="103"/>
      <c r="F3795" s="103"/>
      <c r="G3795" s="103"/>
      <c r="H3795" s="103"/>
      <c r="I3795" s="103"/>
      <c r="J3795" s="103"/>
      <c r="K3795" s="103"/>
      <c r="L3795" s="103"/>
      <c r="M3795" s="104"/>
      <c r="N3795" s="103"/>
    </row>
    <row r="3796" spans="1:14" ht="45" customHeight="1" thickBot="1" x14ac:dyDescent="0.4">
      <c r="A3796" s="103"/>
      <c r="B3796" s="103"/>
      <c r="C3796" s="103"/>
      <c r="D3796" s="103"/>
      <c r="E3796" s="103"/>
      <c r="F3796" s="103"/>
      <c r="G3796" s="103"/>
      <c r="H3796" s="103"/>
      <c r="I3796" s="103"/>
      <c r="J3796" s="103"/>
      <c r="K3796" s="103"/>
      <c r="L3796" s="103"/>
      <c r="M3796" s="104"/>
      <c r="N3796" s="103"/>
    </row>
    <row r="3797" spans="1:14" ht="45" customHeight="1" thickBot="1" x14ac:dyDescent="0.4">
      <c r="A3797" s="103"/>
      <c r="B3797" s="103"/>
      <c r="C3797" s="103"/>
      <c r="D3797" s="103"/>
      <c r="E3797" s="103"/>
      <c r="F3797" s="103"/>
      <c r="G3797" s="103"/>
      <c r="H3797" s="103"/>
      <c r="I3797" s="103"/>
      <c r="J3797" s="103"/>
      <c r="K3797" s="103"/>
      <c r="L3797" s="103"/>
      <c r="M3797" s="104"/>
      <c r="N3797" s="103"/>
    </row>
    <row r="3798" spans="1:14" ht="45" customHeight="1" thickBot="1" x14ac:dyDescent="0.4">
      <c r="A3798" s="103"/>
      <c r="B3798" s="103"/>
      <c r="C3798" s="103"/>
      <c r="D3798" s="103"/>
      <c r="E3798" s="103"/>
      <c r="F3798" s="103"/>
      <c r="G3798" s="103"/>
      <c r="H3798" s="103"/>
      <c r="I3798" s="103"/>
      <c r="J3798" s="103"/>
      <c r="K3798" s="103"/>
      <c r="L3798" s="103"/>
      <c r="M3798" s="104"/>
      <c r="N3798" s="103"/>
    </row>
    <row r="3799" spans="1:14" ht="45" customHeight="1" thickBot="1" x14ac:dyDescent="0.4">
      <c r="A3799" s="103"/>
      <c r="B3799" s="103"/>
      <c r="C3799" s="103"/>
      <c r="D3799" s="103"/>
      <c r="E3799" s="103"/>
      <c r="F3799" s="103"/>
      <c r="G3799" s="103"/>
      <c r="H3799" s="103"/>
      <c r="I3799" s="103"/>
      <c r="J3799" s="103"/>
      <c r="K3799" s="103"/>
      <c r="L3799" s="103"/>
      <c r="M3799" s="104"/>
      <c r="N3799" s="103"/>
    </row>
    <row r="3800" spans="1:14" ht="45" customHeight="1" thickBot="1" x14ac:dyDescent="0.4">
      <c r="A3800" s="103"/>
      <c r="B3800" s="103"/>
      <c r="C3800" s="103"/>
      <c r="D3800" s="103"/>
      <c r="E3800" s="103"/>
      <c r="F3800" s="103"/>
      <c r="G3800" s="103"/>
      <c r="H3800" s="103"/>
      <c r="I3800" s="103"/>
      <c r="J3800" s="103"/>
      <c r="K3800" s="103"/>
      <c r="L3800" s="103"/>
      <c r="M3800" s="104"/>
      <c r="N3800" s="103"/>
    </row>
    <row r="3801" spans="1:14" ht="45" customHeight="1" thickBot="1" x14ac:dyDescent="0.4">
      <c r="A3801" s="103"/>
      <c r="B3801" s="103"/>
      <c r="C3801" s="103"/>
      <c r="D3801" s="103"/>
      <c r="E3801" s="103"/>
      <c r="F3801" s="103"/>
      <c r="G3801" s="103"/>
      <c r="H3801" s="103"/>
      <c r="I3801" s="103"/>
      <c r="J3801" s="103"/>
      <c r="K3801" s="103"/>
      <c r="L3801" s="103"/>
      <c r="M3801" s="104"/>
      <c r="N3801" s="103"/>
    </row>
    <row r="3802" spans="1:14" ht="45" customHeight="1" thickBot="1" x14ac:dyDescent="0.4">
      <c r="A3802" s="103"/>
      <c r="B3802" s="103"/>
      <c r="C3802" s="103"/>
      <c r="D3802" s="103"/>
      <c r="E3802" s="103"/>
      <c r="F3802" s="103"/>
      <c r="G3802" s="103"/>
      <c r="H3802" s="103"/>
      <c r="I3802" s="103"/>
      <c r="J3802" s="103"/>
      <c r="K3802" s="103"/>
      <c r="L3802" s="103"/>
      <c r="M3802" s="104"/>
      <c r="N3802" s="103"/>
    </row>
    <row r="3803" spans="1:14" ht="45" customHeight="1" thickBot="1" x14ac:dyDescent="0.4">
      <c r="A3803" s="103"/>
      <c r="B3803" s="103"/>
      <c r="C3803" s="103"/>
      <c r="D3803" s="103"/>
      <c r="E3803" s="103"/>
      <c r="F3803" s="103"/>
      <c r="G3803" s="103"/>
      <c r="H3803" s="103"/>
      <c r="I3803" s="103"/>
      <c r="J3803" s="103"/>
      <c r="K3803" s="103"/>
      <c r="L3803" s="103"/>
      <c r="M3803" s="104"/>
      <c r="N3803" s="103"/>
    </row>
    <row r="3804" spans="1:14" ht="45" customHeight="1" thickBot="1" x14ac:dyDescent="0.4">
      <c r="A3804" s="103"/>
      <c r="B3804" s="103"/>
      <c r="C3804" s="103"/>
      <c r="D3804" s="103"/>
      <c r="E3804" s="103"/>
      <c r="F3804" s="103"/>
      <c r="G3804" s="103"/>
      <c r="H3804" s="103"/>
      <c r="I3804" s="103"/>
      <c r="J3804" s="103"/>
      <c r="K3804" s="103"/>
      <c r="L3804" s="103"/>
      <c r="M3804" s="104"/>
      <c r="N3804" s="103"/>
    </row>
    <row r="3805" spans="1:14" ht="45" customHeight="1" thickBot="1" x14ac:dyDescent="0.4">
      <c r="A3805" s="103"/>
      <c r="B3805" s="103"/>
      <c r="C3805" s="103"/>
      <c r="D3805" s="103"/>
      <c r="E3805" s="103"/>
      <c r="F3805" s="103"/>
      <c r="G3805" s="103"/>
      <c r="H3805" s="103"/>
      <c r="I3805" s="103"/>
      <c r="J3805" s="103"/>
      <c r="K3805" s="103"/>
      <c r="L3805" s="103"/>
      <c r="M3805" s="104"/>
      <c r="N3805" s="103"/>
    </row>
    <row r="3806" spans="1:14" ht="45" customHeight="1" thickBot="1" x14ac:dyDescent="0.4">
      <c r="A3806" s="103"/>
      <c r="B3806" s="103"/>
      <c r="C3806" s="103"/>
      <c r="D3806" s="103"/>
      <c r="E3806" s="103"/>
      <c r="F3806" s="103"/>
      <c r="G3806" s="103"/>
      <c r="H3806" s="103"/>
      <c r="I3806" s="103"/>
      <c r="J3806" s="103"/>
      <c r="K3806" s="103"/>
      <c r="L3806" s="103"/>
      <c r="M3806" s="104"/>
      <c r="N3806" s="103"/>
    </row>
    <row r="3807" spans="1:14" ht="45" customHeight="1" thickBot="1" x14ac:dyDescent="0.4">
      <c r="A3807" s="103"/>
      <c r="B3807" s="103"/>
      <c r="C3807" s="103"/>
      <c r="D3807" s="103"/>
      <c r="E3807" s="103"/>
      <c r="F3807" s="103"/>
      <c r="G3807" s="103"/>
      <c r="H3807" s="103"/>
      <c r="I3807" s="103"/>
      <c r="J3807" s="103"/>
      <c r="K3807" s="103"/>
      <c r="L3807" s="103"/>
      <c r="M3807" s="104"/>
      <c r="N3807" s="103"/>
    </row>
    <row r="3808" spans="1:14" ht="45" customHeight="1" thickBot="1" x14ac:dyDescent="0.4">
      <c r="A3808" s="103"/>
      <c r="B3808" s="103"/>
      <c r="C3808" s="103"/>
      <c r="D3808" s="103"/>
      <c r="E3808" s="103"/>
      <c r="F3808" s="103"/>
      <c r="G3808" s="103"/>
      <c r="H3808" s="103"/>
      <c r="I3808" s="103"/>
      <c r="J3808" s="103"/>
      <c r="K3808" s="103"/>
      <c r="L3808" s="103"/>
      <c r="M3808" s="104"/>
      <c r="N3808" s="103"/>
    </row>
    <row r="3809" spans="1:14" ht="45" customHeight="1" thickBot="1" x14ac:dyDescent="0.4">
      <c r="A3809" s="103"/>
      <c r="B3809" s="103"/>
      <c r="C3809" s="103"/>
      <c r="D3809" s="103"/>
      <c r="E3809" s="103"/>
      <c r="F3809" s="103"/>
      <c r="G3809" s="103"/>
      <c r="H3809" s="103"/>
      <c r="I3809" s="103"/>
      <c r="J3809" s="103"/>
      <c r="K3809" s="103"/>
      <c r="L3809" s="103"/>
      <c r="M3809" s="104"/>
      <c r="N3809" s="103"/>
    </row>
    <row r="3810" spans="1:14" ht="45" customHeight="1" thickBot="1" x14ac:dyDescent="0.4">
      <c r="A3810" s="103"/>
      <c r="B3810" s="103"/>
      <c r="C3810" s="103"/>
      <c r="D3810" s="103"/>
      <c r="E3810" s="103"/>
      <c r="F3810" s="103"/>
      <c r="G3810" s="103"/>
      <c r="H3810" s="103"/>
      <c r="I3810" s="103"/>
      <c r="J3810" s="103"/>
      <c r="K3810" s="103"/>
      <c r="L3810" s="103"/>
      <c r="M3810" s="104"/>
      <c r="N3810" s="103"/>
    </row>
    <row r="3811" spans="1:14" ht="45" customHeight="1" thickBot="1" x14ac:dyDescent="0.4">
      <c r="A3811" s="103"/>
      <c r="B3811" s="103"/>
      <c r="C3811" s="103"/>
      <c r="D3811" s="103"/>
      <c r="E3811" s="103"/>
      <c r="F3811" s="103"/>
      <c r="G3811" s="103"/>
      <c r="H3811" s="103"/>
      <c r="I3811" s="103"/>
      <c r="J3811" s="103"/>
      <c r="K3811" s="103"/>
      <c r="L3811" s="103"/>
      <c r="M3811" s="104"/>
      <c r="N3811" s="103"/>
    </row>
    <row r="3812" spans="1:14" ht="45" customHeight="1" thickBot="1" x14ac:dyDescent="0.4">
      <c r="A3812" s="103"/>
      <c r="B3812" s="103"/>
      <c r="C3812" s="103"/>
      <c r="D3812" s="103"/>
      <c r="E3812" s="103"/>
      <c r="F3812" s="103"/>
      <c r="G3812" s="103"/>
      <c r="H3812" s="103"/>
      <c r="I3812" s="103"/>
      <c r="J3812" s="103"/>
      <c r="K3812" s="103"/>
      <c r="L3812" s="103"/>
      <c r="M3812" s="104"/>
      <c r="N3812" s="103"/>
    </row>
    <row r="3813" spans="1:14" ht="45" customHeight="1" thickBot="1" x14ac:dyDescent="0.4">
      <c r="A3813" s="103"/>
      <c r="B3813" s="103"/>
      <c r="C3813" s="103"/>
      <c r="D3813" s="103"/>
      <c r="E3813" s="103"/>
      <c r="F3813" s="103"/>
      <c r="G3813" s="103"/>
      <c r="H3813" s="103"/>
      <c r="I3813" s="103"/>
      <c r="J3813" s="103"/>
      <c r="K3813" s="103"/>
      <c r="L3813" s="103"/>
      <c r="M3813" s="104"/>
      <c r="N3813" s="103"/>
    </row>
    <row r="3814" spans="1:14" ht="45" customHeight="1" thickBot="1" x14ac:dyDescent="0.4">
      <c r="A3814" s="103"/>
      <c r="B3814" s="103"/>
      <c r="C3814" s="103"/>
      <c r="D3814" s="103"/>
      <c r="E3814" s="103"/>
      <c r="F3814" s="103"/>
      <c r="G3814" s="103"/>
      <c r="H3814" s="103"/>
      <c r="I3814" s="103"/>
      <c r="J3814" s="103"/>
      <c r="K3814" s="103"/>
      <c r="L3814" s="103"/>
      <c r="M3814" s="104"/>
      <c r="N3814" s="103"/>
    </row>
    <row r="3815" spans="1:14" ht="45" customHeight="1" thickBot="1" x14ac:dyDescent="0.4">
      <c r="A3815" s="103"/>
      <c r="B3815" s="103"/>
      <c r="C3815" s="103"/>
      <c r="D3815" s="103"/>
      <c r="E3815" s="103"/>
      <c r="F3815" s="103"/>
      <c r="G3815" s="103"/>
      <c r="H3815" s="103"/>
      <c r="I3815" s="103"/>
      <c r="J3815" s="103"/>
      <c r="K3815" s="103"/>
      <c r="L3815" s="103"/>
      <c r="M3815" s="104"/>
      <c r="N3815" s="103"/>
    </row>
    <row r="3816" spans="1:14" ht="45" customHeight="1" thickBot="1" x14ac:dyDescent="0.4">
      <c r="A3816" s="103"/>
      <c r="B3816" s="103"/>
      <c r="C3816" s="103"/>
      <c r="D3816" s="103"/>
      <c r="E3816" s="103"/>
      <c r="F3816" s="103"/>
      <c r="G3816" s="103"/>
      <c r="H3816" s="103"/>
      <c r="I3816" s="103"/>
      <c r="J3816" s="103"/>
      <c r="K3816" s="103"/>
      <c r="L3816" s="103"/>
      <c r="M3816" s="104"/>
      <c r="N3816" s="103"/>
    </row>
    <row r="3817" spans="1:14" ht="45" customHeight="1" thickBot="1" x14ac:dyDescent="0.4">
      <c r="A3817" s="103"/>
      <c r="B3817" s="103"/>
      <c r="C3817" s="103"/>
      <c r="D3817" s="103"/>
      <c r="E3817" s="103"/>
      <c r="F3817" s="103"/>
      <c r="G3817" s="103"/>
      <c r="H3817" s="103"/>
      <c r="I3817" s="103"/>
      <c r="J3817" s="103"/>
      <c r="K3817" s="103"/>
      <c r="L3817" s="103"/>
      <c r="M3817" s="104"/>
      <c r="N3817" s="103"/>
    </row>
    <row r="3818" spans="1:14" ht="45" customHeight="1" thickBot="1" x14ac:dyDescent="0.4">
      <c r="A3818" s="103"/>
      <c r="B3818" s="103"/>
      <c r="C3818" s="103"/>
      <c r="D3818" s="103"/>
      <c r="E3818" s="103"/>
      <c r="F3818" s="103"/>
      <c r="G3818" s="103"/>
      <c r="H3818" s="103"/>
      <c r="I3818" s="103"/>
      <c r="J3818" s="103"/>
      <c r="K3818" s="103"/>
      <c r="L3818" s="103"/>
      <c r="M3818" s="104"/>
      <c r="N3818" s="103"/>
    </row>
    <row r="3819" spans="1:14" ht="45" customHeight="1" thickBot="1" x14ac:dyDescent="0.4">
      <c r="A3819" s="103"/>
      <c r="B3819" s="103"/>
      <c r="C3819" s="103"/>
      <c r="D3819" s="103"/>
      <c r="E3819" s="103"/>
      <c r="F3819" s="103"/>
      <c r="G3819" s="103"/>
      <c r="H3819" s="103"/>
      <c r="I3819" s="103"/>
      <c r="J3819" s="103"/>
      <c r="K3819" s="103"/>
      <c r="L3819" s="103"/>
      <c r="M3819" s="104"/>
      <c r="N3819" s="103"/>
    </row>
    <row r="3820" spans="1:14" ht="45" customHeight="1" thickBot="1" x14ac:dyDescent="0.4">
      <c r="A3820" s="103"/>
      <c r="B3820" s="103"/>
      <c r="C3820" s="103"/>
      <c r="D3820" s="103"/>
      <c r="E3820" s="103"/>
      <c r="F3820" s="103"/>
      <c r="G3820" s="103"/>
      <c r="H3820" s="103"/>
      <c r="I3820" s="103"/>
      <c r="J3820" s="103"/>
      <c r="K3820" s="103"/>
      <c r="L3820" s="103"/>
      <c r="M3820" s="104"/>
      <c r="N3820" s="103"/>
    </row>
    <row r="3821" spans="1:14" ht="45" customHeight="1" thickBot="1" x14ac:dyDescent="0.4">
      <c r="A3821" s="103"/>
      <c r="B3821" s="103"/>
      <c r="C3821" s="103"/>
      <c r="D3821" s="103"/>
      <c r="E3821" s="103"/>
      <c r="F3821" s="103"/>
      <c r="G3821" s="103"/>
      <c r="H3821" s="103"/>
      <c r="I3821" s="103"/>
      <c r="J3821" s="103"/>
      <c r="K3821" s="103"/>
      <c r="L3821" s="103"/>
      <c r="M3821" s="104"/>
      <c r="N3821" s="103"/>
    </row>
    <row r="3822" spans="1:14" ht="45" customHeight="1" thickBot="1" x14ac:dyDescent="0.4">
      <c r="A3822" s="103"/>
      <c r="B3822" s="103"/>
      <c r="C3822" s="103"/>
      <c r="D3822" s="103"/>
      <c r="E3822" s="103"/>
      <c r="F3822" s="103"/>
      <c r="G3822" s="103"/>
      <c r="H3822" s="103"/>
      <c r="I3822" s="103"/>
      <c r="J3822" s="103"/>
      <c r="K3822" s="103"/>
      <c r="L3822" s="103"/>
      <c r="M3822" s="104"/>
      <c r="N3822" s="103"/>
    </row>
    <row r="3823" spans="1:14" ht="45" customHeight="1" thickBot="1" x14ac:dyDescent="0.4">
      <c r="A3823" s="103"/>
      <c r="B3823" s="103"/>
      <c r="C3823" s="103"/>
      <c r="D3823" s="103"/>
      <c r="E3823" s="103"/>
      <c r="F3823" s="103"/>
      <c r="G3823" s="103"/>
      <c r="H3823" s="103"/>
      <c r="I3823" s="103"/>
      <c r="J3823" s="103"/>
      <c r="K3823" s="103"/>
      <c r="L3823" s="103"/>
      <c r="M3823" s="104"/>
      <c r="N3823" s="103"/>
    </row>
    <row r="3824" spans="1:14" ht="45" customHeight="1" thickBot="1" x14ac:dyDescent="0.4">
      <c r="A3824" s="103"/>
      <c r="B3824" s="103"/>
      <c r="C3824" s="103"/>
      <c r="D3824" s="103"/>
      <c r="E3824" s="103"/>
      <c r="F3824" s="103"/>
      <c r="G3824" s="103"/>
      <c r="H3824" s="103"/>
      <c r="I3824" s="103"/>
      <c r="J3824" s="103"/>
      <c r="K3824" s="103"/>
      <c r="L3824" s="103"/>
      <c r="M3824" s="104"/>
      <c r="N3824" s="103"/>
    </row>
    <row r="3825" spans="1:14" ht="45" customHeight="1" thickBot="1" x14ac:dyDescent="0.4">
      <c r="A3825" s="103"/>
      <c r="B3825" s="103"/>
      <c r="C3825" s="103"/>
      <c r="D3825" s="103"/>
      <c r="E3825" s="103"/>
      <c r="F3825" s="103"/>
      <c r="G3825" s="103"/>
      <c r="H3825" s="103"/>
      <c r="I3825" s="103"/>
      <c r="J3825" s="103"/>
      <c r="K3825" s="103"/>
      <c r="L3825" s="103"/>
      <c r="M3825" s="104"/>
      <c r="N3825" s="103"/>
    </row>
    <row r="3826" spans="1:14" ht="45" customHeight="1" thickBot="1" x14ac:dyDescent="0.4">
      <c r="A3826" s="103"/>
      <c r="B3826" s="103"/>
      <c r="C3826" s="103"/>
      <c r="D3826" s="103"/>
      <c r="E3826" s="103"/>
      <c r="F3826" s="103"/>
      <c r="G3826" s="103"/>
      <c r="H3826" s="103"/>
      <c r="I3826" s="103"/>
      <c r="J3826" s="103"/>
      <c r="K3826" s="103"/>
      <c r="L3826" s="103"/>
      <c r="M3826" s="104"/>
      <c r="N3826" s="103"/>
    </row>
    <row r="3827" spans="1:14" ht="45" customHeight="1" thickBot="1" x14ac:dyDescent="0.4">
      <c r="A3827" s="103"/>
      <c r="B3827" s="103"/>
      <c r="C3827" s="103"/>
      <c r="D3827" s="103"/>
      <c r="E3827" s="103"/>
      <c r="F3827" s="103"/>
      <c r="G3827" s="103"/>
      <c r="H3827" s="103"/>
      <c r="I3827" s="103"/>
      <c r="J3827" s="103"/>
      <c r="K3827" s="103"/>
      <c r="L3827" s="103"/>
      <c r="M3827" s="104"/>
      <c r="N3827" s="103"/>
    </row>
    <row r="3828" spans="1:14" ht="45" customHeight="1" thickBot="1" x14ac:dyDescent="0.4">
      <c r="A3828" s="103"/>
      <c r="B3828" s="103"/>
      <c r="C3828" s="103"/>
      <c r="D3828" s="103"/>
      <c r="E3828" s="103"/>
      <c r="F3828" s="103"/>
      <c r="G3828" s="103"/>
      <c r="H3828" s="103"/>
      <c r="I3828" s="103"/>
      <c r="J3828" s="103"/>
      <c r="K3828" s="103"/>
      <c r="L3828" s="103"/>
      <c r="M3828" s="104"/>
      <c r="N3828" s="103"/>
    </row>
    <row r="3829" spans="1:14" ht="45" customHeight="1" thickBot="1" x14ac:dyDescent="0.4">
      <c r="A3829" s="103"/>
      <c r="B3829" s="103"/>
      <c r="C3829" s="103"/>
      <c r="D3829" s="103"/>
      <c r="E3829" s="103"/>
      <c r="F3829" s="103"/>
      <c r="G3829" s="103"/>
      <c r="H3829" s="103"/>
      <c r="I3829" s="103"/>
      <c r="J3829" s="103"/>
      <c r="K3829" s="103"/>
      <c r="L3829" s="103"/>
      <c r="M3829" s="104"/>
      <c r="N3829" s="103"/>
    </row>
    <row r="3830" spans="1:14" ht="45" customHeight="1" thickBot="1" x14ac:dyDescent="0.4">
      <c r="A3830" s="103"/>
      <c r="B3830" s="103"/>
      <c r="C3830" s="103"/>
      <c r="D3830" s="103"/>
      <c r="E3830" s="103"/>
      <c r="F3830" s="103"/>
      <c r="G3830" s="103"/>
      <c r="H3830" s="103"/>
      <c r="I3830" s="103"/>
      <c r="J3830" s="103"/>
      <c r="K3830" s="103"/>
      <c r="L3830" s="103"/>
      <c r="M3830" s="104"/>
      <c r="N3830" s="103"/>
    </row>
    <row r="3831" spans="1:14" ht="45" customHeight="1" thickBot="1" x14ac:dyDescent="0.4">
      <c r="A3831" s="103"/>
      <c r="B3831" s="103"/>
      <c r="C3831" s="103"/>
      <c r="D3831" s="103"/>
      <c r="E3831" s="103"/>
      <c r="F3831" s="103"/>
      <c r="G3831" s="103"/>
      <c r="H3831" s="103"/>
      <c r="I3831" s="103"/>
      <c r="J3831" s="103"/>
      <c r="K3831" s="103"/>
      <c r="L3831" s="103"/>
      <c r="M3831" s="104"/>
      <c r="N3831" s="103"/>
    </row>
    <row r="3832" spans="1:14" ht="45" customHeight="1" thickBot="1" x14ac:dyDescent="0.4">
      <c r="A3832" s="103"/>
      <c r="B3832" s="103"/>
      <c r="C3832" s="103"/>
      <c r="D3832" s="103"/>
      <c r="E3832" s="103"/>
      <c r="F3832" s="103"/>
      <c r="G3832" s="103"/>
      <c r="H3832" s="103"/>
      <c r="I3832" s="103"/>
      <c r="J3832" s="103"/>
      <c r="K3832" s="103"/>
      <c r="L3832" s="103"/>
      <c r="M3832" s="104"/>
      <c r="N3832" s="103"/>
    </row>
    <row r="3833" spans="1:14" ht="45" customHeight="1" thickBot="1" x14ac:dyDescent="0.4">
      <c r="A3833" s="103"/>
      <c r="B3833" s="103"/>
      <c r="C3833" s="103"/>
      <c r="D3833" s="103"/>
      <c r="E3833" s="103"/>
      <c r="F3833" s="103"/>
      <c r="G3833" s="103"/>
      <c r="H3833" s="103"/>
      <c r="I3833" s="103"/>
      <c r="J3833" s="103"/>
      <c r="K3833" s="103"/>
      <c r="L3833" s="103"/>
      <c r="M3833" s="104"/>
      <c r="N3833" s="103"/>
    </row>
    <row r="3834" spans="1:14" ht="45" customHeight="1" thickBot="1" x14ac:dyDescent="0.4">
      <c r="A3834" s="103"/>
      <c r="B3834" s="103"/>
      <c r="C3834" s="103"/>
      <c r="D3834" s="103"/>
      <c r="E3834" s="103"/>
      <c r="F3834" s="103"/>
      <c r="G3834" s="103"/>
      <c r="H3834" s="103"/>
      <c r="I3834" s="103"/>
      <c r="J3834" s="103"/>
      <c r="K3834" s="103"/>
      <c r="L3834" s="103"/>
      <c r="M3834" s="104"/>
      <c r="N3834" s="103"/>
    </row>
    <row r="3835" spans="1:14" ht="45" customHeight="1" thickBot="1" x14ac:dyDescent="0.4">
      <c r="A3835" s="103"/>
      <c r="B3835" s="103"/>
      <c r="C3835" s="103"/>
      <c r="D3835" s="103"/>
      <c r="E3835" s="103"/>
      <c r="F3835" s="103"/>
      <c r="G3835" s="103"/>
      <c r="H3835" s="103"/>
      <c r="I3835" s="103"/>
      <c r="J3835" s="103"/>
      <c r="K3835" s="103"/>
      <c r="L3835" s="103"/>
      <c r="M3835" s="104"/>
      <c r="N3835" s="103"/>
    </row>
    <row r="3836" spans="1:14" ht="45" customHeight="1" thickBot="1" x14ac:dyDescent="0.4">
      <c r="A3836" s="103"/>
      <c r="B3836" s="103"/>
      <c r="C3836" s="103"/>
      <c r="D3836" s="103"/>
      <c r="E3836" s="103"/>
      <c r="F3836" s="103"/>
      <c r="G3836" s="103"/>
      <c r="H3836" s="103"/>
      <c r="I3836" s="103"/>
      <c r="J3836" s="103"/>
      <c r="K3836" s="103"/>
      <c r="L3836" s="103"/>
      <c r="M3836" s="104"/>
      <c r="N3836" s="103"/>
    </row>
    <row r="3837" spans="1:14" ht="45" customHeight="1" thickBot="1" x14ac:dyDescent="0.4">
      <c r="A3837" s="103"/>
      <c r="B3837" s="103"/>
      <c r="C3837" s="103"/>
      <c r="D3837" s="103"/>
      <c r="E3837" s="103"/>
      <c r="F3837" s="103"/>
      <c r="G3837" s="103"/>
      <c r="H3837" s="103"/>
      <c r="I3837" s="103"/>
      <c r="J3837" s="103"/>
      <c r="K3837" s="103"/>
      <c r="L3837" s="103"/>
      <c r="M3837" s="104"/>
      <c r="N3837" s="103"/>
    </row>
    <row r="3838" spans="1:14" ht="45" customHeight="1" thickBot="1" x14ac:dyDescent="0.4">
      <c r="A3838" s="103"/>
      <c r="B3838" s="103"/>
      <c r="C3838" s="103"/>
      <c r="D3838" s="103"/>
      <c r="E3838" s="103"/>
      <c r="F3838" s="103"/>
      <c r="G3838" s="103"/>
      <c r="H3838" s="103"/>
      <c r="I3838" s="103"/>
      <c r="J3838" s="103"/>
      <c r="K3838" s="103"/>
      <c r="L3838" s="103"/>
      <c r="M3838" s="104"/>
      <c r="N3838" s="103"/>
    </row>
    <row r="3839" spans="1:14" ht="45" customHeight="1" thickBot="1" x14ac:dyDescent="0.4">
      <c r="A3839" s="103"/>
      <c r="B3839" s="103"/>
      <c r="C3839" s="103"/>
      <c r="D3839" s="103"/>
      <c r="E3839" s="103"/>
      <c r="F3839" s="103"/>
      <c r="G3839" s="103"/>
      <c r="H3839" s="103"/>
      <c r="I3839" s="103"/>
      <c r="J3839" s="103"/>
      <c r="K3839" s="103"/>
      <c r="L3839" s="103"/>
      <c r="M3839" s="104"/>
      <c r="N3839" s="103"/>
    </row>
    <row r="3840" spans="1:14" ht="45" customHeight="1" thickBot="1" x14ac:dyDescent="0.4">
      <c r="A3840" s="103"/>
      <c r="B3840" s="103"/>
      <c r="C3840" s="103"/>
      <c r="D3840" s="103"/>
      <c r="E3840" s="103"/>
      <c r="F3840" s="103"/>
      <c r="G3840" s="103"/>
      <c r="H3840" s="103"/>
      <c r="I3840" s="103"/>
      <c r="J3840" s="103"/>
      <c r="K3840" s="103"/>
      <c r="L3840" s="103"/>
      <c r="M3840" s="104"/>
      <c r="N3840" s="103"/>
    </row>
    <row r="3841" spans="1:14" ht="45" customHeight="1" thickBot="1" x14ac:dyDescent="0.4">
      <c r="A3841" s="103"/>
      <c r="B3841" s="103"/>
      <c r="C3841" s="103"/>
      <c r="D3841" s="103"/>
      <c r="E3841" s="103"/>
      <c r="F3841" s="103"/>
      <c r="G3841" s="103"/>
      <c r="H3841" s="103"/>
      <c r="I3841" s="103"/>
      <c r="J3841" s="103"/>
      <c r="K3841" s="103"/>
      <c r="L3841" s="103"/>
      <c r="M3841" s="104"/>
      <c r="N3841" s="103"/>
    </row>
    <row r="3842" spans="1:14" ht="45" customHeight="1" thickBot="1" x14ac:dyDescent="0.4">
      <c r="A3842" s="103"/>
      <c r="B3842" s="103"/>
      <c r="C3842" s="103"/>
      <c r="D3842" s="103"/>
      <c r="E3842" s="103"/>
      <c r="F3842" s="103"/>
      <c r="G3842" s="103"/>
      <c r="H3842" s="103"/>
      <c r="I3842" s="103"/>
      <c r="J3842" s="103"/>
      <c r="K3842" s="103"/>
      <c r="L3842" s="103"/>
      <c r="M3842" s="104"/>
      <c r="N3842" s="103"/>
    </row>
    <row r="3843" spans="1:14" ht="45" customHeight="1" thickBot="1" x14ac:dyDescent="0.4">
      <c r="A3843" s="103"/>
      <c r="B3843" s="103"/>
      <c r="C3843" s="103"/>
      <c r="D3843" s="103"/>
      <c r="E3843" s="103"/>
      <c r="F3843" s="103"/>
      <c r="G3843" s="103"/>
      <c r="H3843" s="103"/>
      <c r="I3843" s="103"/>
      <c r="J3843" s="103"/>
      <c r="K3843" s="103"/>
      <c r="L3843" s="103"/>
      <c r="M3843" s="104"/>
      <c r="N3843" s="103"/>
    </row>
    <row r="3844" spans="1:14" ht="45" customHeight="1" thickBot="1" x14ac:dyDescent="0.4">
      <c r="A3844" s="103"/>
      <c r="B3844" s="103"/>
      <c r="C3844" s="103"/>
      <c r="D3844" s="103"/>
      <c r="E3844" s="103"/>
      <c r="F3844" s="103"/>
      <c r="G3844" s="103"/>
      <c r="H3844" s="103"/>
      <c r="I3844" s="103"/>
      <c r="J3844" s="103"/>
      <c r="K3844" s="103"/>
      <c r="L3844" s="103"/>
      <c r="M3844" s="104"/>
      <c r="N3844" s="103"/>
    </row>
    <row r="3845" spans="1:14" ht="45" customHeight="1" thickBot="1" x14ac:dyDescent="0.4">
      <c r="A3845" s="103"/>
      <c r="B3845" s="103"/>
      <c r="C3845" s="103"/>
      <c r="D3845" s="103"/>
      <c r="E3845" s="103"/>
      <c r="F3845" s="103"/>
      <c r="G3845" s="103"/>
      <c r="H3845" s="103"/>
      <c r="I3845" s="103"/>
      <c r="J3845" s="103"/>
      <c r="K3845" s="103"/>
      <c r="L3845" s="103"/>
      <c r="M3845" s="104"/>
      <c r="N3845" s="103"/>
    </row>
    <row r="3846" spans="1:14" ht="45" customHeight="1" thickBot="1" x14ac:dyDescent="0.4">
      <c r="A3846" s="103"/>
      <c r="B3846" s="103"/>
      <c r="C3846" s="103"/>
      <c r="D3846" s="103"/>
      <c r="E3846" s="103"/>
      <c r="F3846" s="103"/>
      <c r="G3846" s="103"/>
      <c r="H3846" s="103"/>
      <c r="I3846" s="103"/>
      <c r="J3846" s="103"/>
      <c r="K3846" s="103"/>
      <c r="L3846" s="103"/>
      <c r="M3846" s="104"/>
      <c r="N3846" s="103"/>
    </row>
    <row r="3847" spans="1:14" ht="45" customHeight="1" thickBot="1" x14ac:dyDescent="0.4">
      <c r="A3847" s="103"/>
      <c r="B3847" s="103"/>
      <c r="C3847" s="103"/>
      <c r="D3847" s="103"/>
      <c r="E3847" s="103"/>
      <c r="F3847" s="103"/>
      <c r="G3847" s="103"/>
      <c r="H3847" s="103"/>
      <c r="I3847" s="103"/>
      <c r="J3847" s="103"/>
      <c r="K3847" s="103"/>
      <c r="L3847" s="103"/>
      <c r="M3847" s="104"/>
      <c r="N3847" s="103"/>
    </row>
    <row r="3848" spans="1:14" ht="45" customHeight="1" thickBot="1" x14ac:dyDescent="0.4">
      <c r="A3848" s="103"/>
      <c r="B3848" s="103"/>
      <c r="C3848" s="103"/>
      <c r="D3848" s="103"/>
      <c r="E3848" s="103"/>
      <c r="F3848" s="103"/>
      <c r="G3848" s="103"/>
      <c r="H3848" s="103"/>
      <c r="I3848" s="103"/>
      <c r="J3848" s="103"/>
      <c r="K3848" s="103"/>
      <c r="L3848" s="103"/>
      <c r="M3848" s="104"/>
      <c r="N3848" s="103"/>
    </row>
    <row r="3849" spans="1:14" ht="45" customHeight="1" thickBot="1" x14ac:dyDescent="0.4">
      <c r="A3849" s="103"/>
      <c r="B3849" s="103"/>
      <c r="C3849" s="103"/>
      <c r="D3849" s="103"/>
      <c r="E3849" s="103"/>
      <c r="F3849" s="103"/>
      <c r="G3849" s="103"/>
      <c r="H3849" s="103"/>
      <c r="I3849" s="103"/>
      <c r="J3849" s="103"/>
      <c r="K3849" s="103"/>
      <c r="L3849" s="103"/>
      <c r="M3849" s="104"/>
      <c r="N3849" s="103"/>
    </row>
    <row r="3850" spans="1:14" ht="45" customHeight="1" thickBot="1" x14ac:dyDescent="0.4">
      <c r="A3850" s="103"/>
      <c r="B3850" s="103"/>
      <c r="C3850" s="103"/>
      <c r="D3850" s="103"/>
      <c r="E3850" s="103"/>
      <c r="F3850" s="103"/>
      <c r="G3850" s="103"/>
      <c r="H3850" s="103"/>
      <c r="I3850" s="103"/>
      <c r="J3850" s="103"/>
      <c r="K3850" s="103"/>
      <c r="L3850" s="103"/>
      <c r="M3850" s="104"/>
      <c r="N3850" s="103"/>
    </row>
    <row r="3851" spans="1:14" ht="45" customHeight="1" thickBot="1" x14ac:dyDescent="0.4">
      <c r="A3851" s="103"/>
      <c r="B3851" s="103"/>
      <c r="C3851" s="103"/>
      <c r="D3851" s="103"/>
      <c r="E3851" s="103"/>
      <c r="F3851" s="103"/>
      <c r="G3851" s="103"/>
      <c r="H3851" s="103"/>
      <c r="I3851" s="103"/>
      <c r="J3851" s="103"/>
      <c r="K3851" s="103"/>
      <c r="L3851" s="103"/>
      <c r="M3851" s="104"/>
      <c r="N3851" s="103"/>
    </row>
    <row r="3852" spans="1:14" ht="45" customHeight="1" thickBot="1" x14ac:dyDescent="0.4">
      <c r="A3852" s="103"/>
      <c r="B3852" s="103"/>
      <c r="C3852" s="103"/>
      <c r="D3852" s="103"/>
      <c r="E3852" s="103"/>
      <c r="F3852" s="103"/>
      <c r="G3852" s="103"/>
      <c r="H3852" s="103"/>
      <c r="I3852" s="103"/>
      <c r="J3852" s="103"/>
      <c r="K3852" s="103"/>
      <c r="L3852" s="103"/>
      <c r="M3852" s="104"/>
      <c r="N3852" s="103"/>
    </row>
    <row r="3853" spans="1:14" ht="45" customHeight="1" thickBot="1" x14ac:dyDescent="0.4">
      <c r="A3853" s="103"/>
      <c r="B3853" s="103"/>
      <c r="C3853" s="103"/>
      <c r="D3853" s="103"/>
      <c r="E3853" s="103"/>
      <c r="F3853" s="103"/>
      <c r="G3853" s="103"/>
      <c r="H3853" s="103"/>
      <c r="I3853" s="103"/>
      <c r="J3853" s="103"/>
      <c r="K3853" s="103"/>
      <c r="L3853" s="103"/>
      <c r="M3853" s="104"/>
      <c r="N3853" s="103"/>
    </row>
    <row r="3854" spans="1:14" ht="45" customHeight="1" thickBot="1" x14ac:dyDescent="0.4">
      <c r="A3854" s="103"/>
      <c r="B3854" s="103"/>
      <c r="C3854" s="103"/>
      <c r="D3854" s="103"/>
      <c r="E3854" s="103"/>
      <c r="F3854" s="103"/>
      <c r="G3854" s="103"/>
      <c r="H3854" s="103"/>
      <c r="I3854" s="103"/>
      <c r="J3854" s="103"/>
      <c r="K3854" s="103"/>
      <c r="L3854" s="103"/>
      <c r="M3854" s="104"/>
      <c r="N3854" s="103"/>
    </row>
    <row r="3855" spans="1:14" ht="45" customHeight="1" thickBot="1" x14ac:dyDescent="0.4">
      <c r="A3855" s="103"/>
      <c r="B3855" s="103"/>
      <c r="C3855" s="103"/>
      <c r="D3855" s="103"/>
      <c r="E3855" s="103"/>
      <c r="F3855" s="103"/>
      <c r="G3855" s="103"/>
      <c r="H3855" s="103"/>
      <c r="I3855" s="103"/>
      <c r="J3855" s="103"/>
      <c r="K3855" s="103"/>
      <c r="L3855" s="103"/>
      <c r="M3855" s="104"/>
      <c r="N3855" s="103"/>
    </row>
    <row r="3856" spans="1:14" ht="45" customHeight="1" thickBot="1" x14ac:dyDescent="0.4">
      <c r="A3856" s="103"/>
      <c r="B3856" s="103"/>
      <c r="C3856" s="103"/>
      <c r="D3856" s="103"/>
      <c r="E3856" s="103"/>
      <c r="F3856" s="103"/>
      <c r="G3856" s="103"/>
      <c r="H3856" s="103"/>
      <c r="I3856" s="103"/>
      <c r="J3856" s="103"/>
      <c r="K3856" s="103"/>
      <c r="L3856" s="103"/>
      <c r="M3856" s="104"/>
      <c r="N3856" s="103"/>
    </row>
    <row r="3857" spans="1:14" ht="45" customHeight="1" thickBot="1" x14ac:dyDescent="0.4">
      <c r="A3857" s="103"/>
      <c r="B3857" s="103"/>
      <c r="C3857" s="103"/>
      <c r="D3857" s="103"/>
      <c r="E3857" s="103"/>
      <c r="F3857" s="103"/>
      <c r="G3857" s="103"/>
      <c r="H3857" s="103"/>
      <c r="I3857" s="103"/>
      <c r="J3857" s="103"/>
      <c r="K3857" s="103"/>
      <c r="L3857" s="103"/>
      <c r="M3857" s="104"/>
      <c r="N3857" s="103"/>
    </row>
    <row r="3858" spans="1:14" ht="45" customHeight="1" thickBot="1" x14ac:dyDescent="0.4">
      <c r="A3858" s="103"/>
      <c r="B3858" s="103"/>
      <c r="C3858" s="103"/>
      <c r="D3858" s="103"/>
      <c r="E3858" s="103"/>
      <c r="F3858" s="103"/>
      <c r="G3858" s="103"/>
      <c r="H3858" s="103"/>
      <c r="I3858" s="103"/>
      <c r="J3858" s="103"/>
      <c r="K3858" s="103"/>
      <c r="L3858" s="103"/>
      <c r="M3858" s="104"/>
      <c r="N3858" s="103"/>
    </row>
    <row r="3859" spans="1:14" ht="45" customHeight="1" thickBot="1" x14ac:dyDescent="0.4">
      <c r="A3859" s="103"/>
      <c r="B3859" s="103"/>
      <c r="C3859" s="103"/>
      <c r="D3859" s="103"/>
      <c r="E3859" s="103"/>
      <c r="F3859" s="103"/>
      <c r="G3859" s="103"/>
      <c r="H3859" s="103"/>
      <c r="I3859" s="103"/>
      <c r="J3859" s="103"/>
      <c r="K3859" s="103"/>
      <c r="L3859" s="103"/>
      <c r="M3859" s="104"/>
      <c r="N3859" s="103"/>
    </row>
    <row r="3860" spans="1:14" ht="45" customHeight="1" thickBot="1" x14ac:dyDescent="0.4">
      <c r="A3860" s="103"/>
      <c r="B3860" s="103"/>
      <c r="C3860" s="103"/>
      <c r="D3860" s="103"/>
      <c r="E3860" s="103"/>
      <c r="F3860" s="103"/>
      <c r="G3860" s="103"/>
      <c r="H3860" s="103"/>
      <c r="I3860" s="103"/>
      <c r="J3860" s="103"/>
      <c r="K3860" s="103"/>
      <c r="L3860" s="103"/>
      <c r="M3860" s="104"/>
      <c r="N3860" s="103"/>
    </row>
    <row r="3861" spans="1:14" ht="45" customHeight="1" thickBot="1" x14ac:dyDescent="0.4">
      <c r="A3861" s="103"/>
      <c r="B3861" s="103"/>
      <c r="C3861" s="103"/>
      <c r="D3861" s="103"/>
      <c r="E3861" s="103"/>
      <c r="F3861" s="103"/>
      <c r="G3861" s="103"/>
      <c r="H3861" s="103"/>
      <c r="I3861" s="103"/>
      <c r="J3861" s="103"/>
      <c r="K3861" s="103"/>
      <c r="L3861" s="103"/>
      <c r="M3861" s="104"/>
      <c r="N3861" s="103"/>
    </row>
    <row r="3862" spans="1:14" ht="45" customHeight="1" thickBot="1" x14ac:dyDescent="0.4">
      <c r="A3862" s="103"/>
      <c r="B3862" s="103"/>
      <c r="C3862" s="103"/>
      <c r="D3862" s="103"/>
      <c r="E3862" s="103"/>
      <c r="F3862" s="103"/>
      <c r="G3862" s="103"/>
      <c r="H3862" s="103"/>
      <c r="I3862" s="103"/>
      <c r="J3862" s="103"/>
      <c r="K3862" s="103"/>
      <c r="L3862" s="103"/>
      <c r="M3862" s="104"/>
      <c r="N3862" s="103"/>
    </row>
    <row r="3863" spans="1:14" ht="45" customHeight="1" thickBot="1" x14ac:dyDescent="0.4">
      <c r="A3863" s="103"/>
      <c r="B3863" s="103"/>
      <c r="C3863" s="103"/>
      <c r="D3863" s="103"/>
      <c r="E3863" s="103"/>
      <c r="F3863" s="103"/>
      <c r="G3863" s="103"/>
      <c r="H3863" s="103"/>
      <c r="I3863" s="103"/>
      <c r="J3863" s="103"/>
      <c r="K3863" s="103"/>
      <c r="L3863" s="103"/>
      <c r="M3863" s="104"/>
      <c r="N3863" s="103"/>
    </row>
    <row r="3864" spans="1:14" ht="45" customHeight="1" thickBot="1" x14ac:dyDescent="0.4">
      <c r="A3864" s="103"/>
      <c r="B3864" s="103"/>
      <c r="C3864" s="103"/>
      <c r="D3864" s="103"/>
      <c r="E3864" s="103"/>
      <c r="F3864" s="103"/>
      <c r="G3864" s="103"/>
      <c r="H3864" s="103"/>
      <c r="I3864" s="103"/>
      <c r="J3864" s="103"/>
      <c r="K3864" s="103"/>
      <c r="L3864" s="103"/>
      <c r="M3864" s="104"/>
      <c r="N3864" s="103"/>
    </row>
    <row r="3865" spans="1:14" ht="45" customHeight="1" thickBot="1" x14ac:dyDescent="0.4">
      <c r="A3865" s="103"/>
      <c r="B3865" s="103"/>
      <c r="C3865" s="103"/>
      <c r="D3865" s="103"/>
      <c r="E3865" s="103"/>
      <c r="F3865" s="103"/>
      <c r="G3865" s="103"/>
      <c r="H3865" s="103"/>
      <c r="I3865" s="103"/>
      <c r="J3865" s="103"/>
      <c r="K3865" s="103"/>
      <c r="L3865" s="103"/>
      <c r="M3865" s="104"/>
      <c r="N3865" s="103"/>
    </row>
    <row r="3866" spans="1:14" ht="45" customHeight="1" thickBot="1" x14ac:dyDescent="0.4">
      <c r="A3866" s="103"/>
      <c r="B3866" s="103"/>
      <c r="C3866" s="103"/>
      <c r="D3866" s="103"/>
      <c r="E3866" s="103"/>
      <c r="F3866" s="103"/>
      <c r="G3866" s="103"/>
      <c r="H3866" s="103"/>
      <c r="I3866" s="103"/>
      <c r="J3866" s="103"/>
      <c r="K3866" s="103"/>
      <c r="L3866" s="103"/>
      <c r="M3866" s="104"/>
      <c r="N3866" s="103"/>
    </row>
    <row r="3867" spans="1:14" ht="45" customHeight="1" thickBot="1" x14ac:dyDescent="0.4">
      <c r="A3867" s="103"/>
      <c r="B3867" s="103"/>
      <c r="C3867" s="103"/>
      <c r="D3867" s="103"/>
      <c r="E3867" s="103"/>
      <c r="F3867" s="103"/>
      <c r="G3867" s="103"/>
      <c r="H3867" s="103"/>
      <c r="I3867" s="103"/>
      <c r="J3867" s="103"/>
      <c r="K3867" s="103"/>
      <c r="L3867" s="103"/>
      <c r="M3867" s="104"/>
      <c r="N3867" s="103"/>
    </row>
    <row r="3868" spans="1:14" ht="45" customHeight="1" thickBot="1" x14ac:dyDescent="0.4">
      <c r="A3868" s="103"/>
      <c r="B3868" s="103"/>
      <c r="C3868" s="103"/>
      <c r="D3868" s="103"/>
      <c r="E3868" s="103"/>
      <c r="F3868" s="103"/>
      <c r="G3868" s="103"/>
      <c r="H3868" s="103"/>
      <c r="I3868" s="103"/>
      <c r="J3868" s="103"/>
      <c r="K3868" s="103"/>
      <c r="L3868" s="103"/>
      <c r="M3868" s="104"/>
      <c r="N3868" s="103"/>
    </row>
    <row r="3869" spans="1:14" ht="45" customHeight="1" thickBot="1" x14ac:dyDescent="0.4">
      <c r="A3869" s="103"/>
      <c r="B3869" s="103"/>
      <c r="C3869" s="103"/>
      <c r="D3869" s="103"/>
      <c r="E3869" s="103"/>
      <c r="F3869" s="103"/>
      <c r="G3869" s="103"/>
      <c r="H3869" s="103"/>
      <c r="I3869" s="103"/>
      <c r="J3869" s="103"/>
      <c r="K3869" s="103"/>
      <c r="L3869" s="103"/>
      <c r="M3869" s="104"/>
      <c r="N3869" s="103"/>
    </row>
    <row r="3870" spans="1:14" ht="45" customHeight="1" thickBot="1" x14ac:dyDescent="0.4">
      <c r="A3870" s="103"/>
      <c r="B3870" s="103"/>
      <c r="C3870" s="103"/>
      <c r="D3870" s="103"/>
      <c r="E3870" s="103"/>
      <c r="F3870" s="103"/>
      <c r="G3870" s="103"/>
      <c r="H3870" s="103"/>
      <c r="I3870" s="103"/>
      <c r="J3870" s="103"/>
      <c r="K3870" s="103"/>
      <c r="L3870" s="103"/>
      <c r="M3870" s="104"/>
      <c r="N3870" s="103"/>
    </row>
    <row r="3871" spans="1:14" ht="45" customHeight="1" thickBot="1" x14ac:dyDescent="0.4">
      <c r="A3871" s="103"/>
      <c r="B3871" s="103"/>
      <c r="C3871" s="103"/>
      <c r="D3871" s="103"/>
      <c r="E3871" s="103"/>
      <c r="F3871" s="103"/>
      <c r="G3871" s="103"/>
      <c r="H3871" s="103"/>
      <c r="I3871" s="103"/>
      <c r="J3871" s="103"/>
      <c r="K3871" s="103"/>
      <c r="L3871" s="103"/>
      <c r="M3871" s="104"/>
      <c r="N3871" s="103"/>
    </row>
    <row r="3872" spans="1:14" ht="45" customHeight="1" thickBot="1" x14ac:dyDescent="0.4">
      <c r="A3872" s="103"/>
      <c r="B3872" s="103"/>
      <c r="C3872" s="103"/>
      <c r="D3872" s="103"/>
      <c r="E3872" s="103"/>
      <c r="F3872" s="103"/>
      <c r="G3872" s="103"/>
      <c r="H3872" s="103"/>
      <c r="I3872" s="103"/>
      <c r="J3872" s="103"/>
      <c r="K3872" s="103"/>
      <c r="L3872" s="103"/>
      <c r="M3872" s="104"/>
      <c r="N3872" s="103"/>
    </row>
    <row r="3873" spans="1:14" ht="45" customHeight="1" thickBot="1" x14ac:dyDescent="0.4">
      <c r="A3873" s="103"/>
      <c r="B3873" s="103"/>
      <c r="C3873" s="103"/>
      <c r="D3873" s="103"/>
      <c r="E3873" s="103"/>
      <c r="F3873" s="103"/>
      <c r="G3873" s="103"/>
      <c r="H3873" s="103"/>
      <c r="I3873" s="103"/>
      <c r="J3873" s="103"/>
      <c r="K3873" s="103"/>
      <c r="L3873" s="103"/>
      <c r="M3873" s="104"/>
      <c r="N3873" s="103"/>
    </row>
    <row r="3874" spans="1:14" ht="45" customHeight="1" thickBot="1" x14ac:dyDescent="0.4">
      <c r="A3874" s="103"/>
      <c r="B3874" s="103"/>
      <c r="C3874" s="103"/>
      <c r="D3874" s="103"/>
      <c r="E3874" s="103"/>
      <c r="F3874" s="103"/>
      <c r="G3874" s="103"/>
      <c r="H3874" s="103"/>
      <c r="I3874" s="103"/>
      <c r="J3874" s="103"/>
      <c r="K3874" s="103"/>
      <c r="L3874" s="103"/>
      <c r="M3874" s="104"/>
      <c r="N3874" s="103"/>
    </row>
    <row r="3875" spans="1:14" ht="45" customHeight="1" thickBot="1" x14ac:dyDescent="0.4">
      <c r="A3875" s="103"/>
      <c r="B3875" s="103"/>
      <c r="C3875" s="103"/>
      <c r="D3875" s="103"/>
      <c r="E3875" s="103"/>
      <c r="F3875" s="103"/>
      <c r="G3875" s="103"/>
      <c r="H3875" s="103"/>
      <c r="I3875" s="103"/>
      <c r="J3875" s="103"/>
      <c r="K3875" s="103"/>
      <c r="L3875" s="103"/>
      <c r="M3875" s="104"/>
      <c r="N3875" s="103"/>
    </row>
    <row r="3876" spans="1:14" ht="45" customHeight="1" thickBot="1" x14ac:dyDescent="0.4">
      <c r="A3876" s="103"/>
      <c r="B3876" s="103"/>
      <c r="C3876" s="103"/>
      <c r="D3876" s="103"/>
      <c r="E3876" s="103"/>
      <c r="F3876" s="103"/>
      <c r="G3876" s="103"/>
      <c r="H3876" s="103"/>
      <c r="I3876" s="103"/>
      <c r="J3876" s="103"/>
      <c r="K3876" s="103"/>
      <c r="L3876" s="103"/>
      <c r="M3876" s="104"/>
      <c r="N3876" s="103"/>
    </row>
    <row r="3877" spans="1:14" ht="45" customHeight="1" thickBot="1" x14ac:dyDescent="0.4">
      <c r="A3877" s="103"/>
      <c r="B3877" s="103"/>
      <c r="C3877" s="103"/>
      <c r="D3877" s="103"/>
      <c r="E3877" s="103"/>
      <c r="F3877" s="103"/>
      <c r="G3877" s="103"/>
      <c r="H3877" s="103"/>
      <c r="I3877" s="103"/>
      <c r="J3877" s="103"/>
      <c r="K3877" s="103"/>
      <c r="L3877" s="103"/>
      <c r="M3877" s="104"/>
      <c r="N3877" s="103"/>
    </row>
    <row r="3878" spans="1:14" ht="45" customHeight="1" thickBot="1" x14ac:dyDescent="0.4">
      <c r="A3878" s="103"/>
      <c r="B3878" s="103"/>
      <c r="C3878" s="103"/>
      <c r="D3878" s="103"/>
      <c r="E3878" s="103"/>
      <c r="F3878" s="103"/>
      <c r="G3878" s="103"/>
      <c r="H3878" s="103"/>
      <c r="I3878" s="103"/>
      <c r="J3878" s="103"/>
      <c r="K3878" s="103"/>
      <c r="L3878" s="103"/>
      <c r="M3878" s="104"/>
      <c r="N3878" s="103"/>
    </row>
    <row r="3879" spans="1:14" ht="45" customHeight="1" thickBot="1" x14ac:dyDescent="0.4">
      <c r="A3879" s="103"/>
      <c r="B3879" s="103"/>
      <c r="C3879" s="103"/>
      <c r="D3879" s="103"/>
      <c r="E3879" s="103"/>
      <c r="F3879" s="103"/>
      <c r="G3879" s="103"/>
      <c r="H3879" s="103"/>
      <c r="I3879" s="103"/>
      <c r="J3879" s="103"/>
      <c r="K3879" s="103"/>
      <c r="L3879" s="103"/>
      <c r="M3879" s="104"/>
      <c r="N3879" s="103"/>
    </row>
    <row r="3880" spans="1:14" ht="45" customHeight="1" thickBot="1" x14ac:dyDescent="0.4">
      <c r="A3880" s="103"/>
      <c r="B3880" s="103"/>
      <c r="C3880" s="103"/>
      <c r="D3880" s="103"/>
      <c r="E3880" s="103"/>
      <c r="F3880" s="103"/>
      <c r="G3880" s="103"/>
      <c r="H3880" s="103"/>
      <c r="I3880" s="103"/>
      <c r="J3880" s="103"/>
      <c r="K3880" s="103"/>
      <c r="L3880" s="103"/>
      <c r="M3880" s="104"/>
      <c r="N3880" s="103"/>
    </row>
    <row r="3881" spans="1:14" ht="45" customHeight="1" thickBot="1" x14ac:dyDescent="0.4">
      <c r="A3881" s="103"/>
      <c r="B3881" s="103"/>
      <c r="C3881" s="103"/>
      <c r="D3881" s="103"/>
      <c r="E3881" s="103"/>
      <c r="F3881" s="103"/>
      <c r="G3881" s="103"/>
      <c r="H3881" s="103"/>
      <c r="I3881" s="103"/>
      <c r="J3881" s="103"/>
      <c r="K3881" s="103"/>
      <c r="L3881" s="103"/>
      <c r="M3881" s="104"/>
      <c r="N3881" s="103"/>
    </row>
    <row r="3882" spans="1:14" ht="45" customHeight="1" thickBot="1" x14ac:dyDescent="0.4">
      <c r="A3882" s="103"/>
      <c r="B3882" s="103"/>
      <c r="C3882" s="103"/>
      <c r="D3882" s="103"/>
      <c r="E3882" s="103"/>
      <c r="F3882" s="103"/>
      <c r="G3882" s="103"/>
      <c r="H3882" s="103"/>
      <c r="I3882" s="103"/>
      <c r="J3882" s="103"/>
      <c r="K3882" s="103"/>
      <c r="L3882" s="103"/>
      <c r="M3882" s="104"/>
      <c r="N3882" s="103"/>
    </row>
    <row r="3883" spans="1:14" ht="45" customHeight="1" thickBot="1" x14ac:dyDescent="0.4">
      <c r="A3883" s="103"/>
      <c r="B3883" s="103"/>
      <c r="C3883" s="103"/>
      <c r="D3883" s="103"/>
      <c r="E3883" s="103"/>
      <c r="F3883" s="103"/>
      <c r="G3883" s="103"/>
      <c r="H3883" s="103"/>
      <c r="I3883" s="103"/>
      <c r="J3883" s="103"/>
      <c r="K3883" s="103"/>
      <c r="L3883" s="103"/>
      <c r="M3883" s="104"/>
      <c r="N3883" s="103"/>
    </row>
    <row r="3884" spans="1:14" ht="45" customHeight="1" thickBot="1" x14ac:dyDescent="0.4">
      <c r="A3884" s="103"/>
      <c r="B3884" s="103"/>
      <c r="C3884" s="103"/>
      <c r="D3884" s="103"/>
      <c r="E3884" s="103"/>
      <c r="F3884" s="103"/>
      <c r="G3884" s="103"/>
      <c r="H3884" s="103"/>
      <c r="I3884" s="103"/>
      <c r="J3884" s="103"/>
      <c r="K3884" s="103"/>
      <c r="L3884" s="103"/>
      <c r="M3884" s="104"/>
      <c r="N3884" s="103"/>
    </row>
    <row r="3885" spans="1:14" ht="45" customHeight="1" thickBot="1" x14ac:dyDescent="0.4">
      <c r="A3885" s="103"/>
      <c r="B3885" s="103"/>
      <c r="C3885" s="103"/>
      <c r="D3885" s="103"/>
      <c r="E3885" s="103"/>
      <c r="F3885" s="103"/>
      <c r="G3885" s="103"/>
      <c r="H3885" s="103"/>
      <c r="I3885" s="103"/>
      <c r="J3885" s="103"/>
      <c r="K3885" s="103"/>
      <c r="L3885" s="103"/>
      <c r="M3885" s="104"/>
      <c r="N3885" s="103"/>
    </row>
    <row r="3886" spans="1:14" ht="45" customHeight="1" thickBot="1" x14ac:dyDescent="0.4">
      <c r="A3886" s="103"/>
      <c r="B3886" s="103"/>
      <c r="C3886" s="103"/>
      <c r="D3886" s="103"/>
      <c r="E3886" s="103"/>
      <c r="F3886" s="103"/>
      <c r="G3886" s="103"/>
      <c r="H3886" s="103"/>
      <c r="I3886" s="103"/>
      <c r="J3886" s="103"/>
      <c r="K3886" s="103"/>
      <c r="L3886" s="103"/>
      <c r="M3886" s="104"/>
      <c r="N3886" s="103"/>
    </row>
    <row r="3887" spans="1:14" ht="45" customHeight="1" thickBot="1" x14ac:dyDescent="0.4">
      <c r="A3887" s="103"/>
      <c r="B3887" s="103"/>
      <c r="C3887" s="103"/>
      <c r="D3887" s="103"/>
      <c r="E3887" s="103"/>
      <c r="F3887" s="103"/>
      <c r="G3887" s="103"/>
      <c r="H3887" s="103"/>
      <c r="I3887" s="103"/>
      <c r="J3887" s="103"/>
      <c r="K3887" s="103"/>
      <c r="L3887" s="103"/>
      <c r="M3887" s="104"/>
      <c r="N3887" s="103"/>
    </row>
    <row r="3888" spans="1:14" ht="45" customHeight="1" thickBot="1" x14ac:dyDescent="0.4">
      <c r="A3888" s="103"/>
      <c r="B3888" s="103"/>
      <c r="C3888" s="103"/>
      <c r="D3888" s="103"/>
      <c r="E3888" s="103"/>
      <c r="F3888" s="103"/>
      <c r="G3888" s="103"/>
      <c r="H3888" s="103"/>
      <c r="I3888" s="103"/>
      <c r="J3888" s="103"/>
      <c r="K3888" s="103"/>
      <c r="L3888" s="103"/>
      <c r="M3888" s="104"/>
      <c r="N3888" s="103"/>
    </row>
    <row r="3889" spans="1:14" ht="45" customHeight="1" thickBot="1" x14ac:dyDescent="0.4">
      <c r="A3889" s="103"/>
      <c r="B3889" s="103"/>
      <c r="C3889" s="103"/>
      <c r="D3889" s="103"/>
      <c r="E3889" s="103"/>
      <c r="F3889" s="103"/>
      <c r="G3889" s="103"/>
      <c r="H3889" s="103"/>
      <c r="I3889" s="103"/>
      <c r="J3889" s="103"/>
      <c r="K3889" s="103"/>
      <c r="L3889" s="103"/>
      <c r="M3889" s="104"/>
      <c r="N3889" s="103"/>
    </row>
    <row r="3890" spans="1:14" ht="45" customHeight="1" thickBot="1" x14ac:dyDescent="0.4">
      <c r="A3890" s="103"/>
      <c r="B3890" s="103"/>
      <c r="C3890" s="103"/>
      <c r="D3890" s="103"/>
      <c r="E3890" s="103"/>
      <c r="F3890" s="103"/>
      <c r="G3890" s="103"/>
      <c r="H3890" s="103"/>
      <c r="I3890" s="103"/>
      <c r="J3890" s="103"/>
      <c r="K3890" s="103"/>
      <c r="L3890" s="103"/>
      <c r="M3890" s="104"/>
      <c r="N3890" s="103"/>
    </row>
    <row r="3891" spans="1:14" ht="45" customHeight="1" thickBot="1" x14ac:dyDescent="0.4">
      <c r="A3891" s="103"/>
      <c r="B3891" s="103"/>
      <c r="C3891" s="103"/>
      <c r="D3891" s="103"/>
      <c r="E3891" s="103"/>
      <c r="F3891" s="103"/>
      <c r="G3891" s="103"/>
      <c r="H3891" s="103"/>
      <c r="I3891" s="103"/>
      <c r="J3891" s="103"/>
      <c r="K3891" s="103"/>
      <c r="L3891" s="103"/>
      <c r="M3891" s="104"/>
      <c r="N3891" s="103"/>
    </row>
    <row r="3892" spans="1:14" ht="45" customHeight="1" thickBot="1" x14ac:dyDescent="0.4">
      <c r="A3892" s="103"/>
      <c r="B3892" s="103"/>
      <c r="C3892" s="103"/>
      <c r="D3892" s="103"/>
      <c r="E3892" s="103"/>
      <c r="F3892" s="103"/>
      <c r="G3892" s="103"/>
      <c r="H3892" s="103"/>
      <c r="I3892" s="103"/>
      <c r="J3892" s="103"/>
      <c r="K3892" s="103"/>
      <c r="L3892" s="103"/>
      <c r="M3892" s="104"/>
      <c r="N3892" s="103"/>
    </row>
    <row r="3893" spans="1:14" ht="45" customHeight="1" thickBot="1" x14ac:dyDescent="0.4">
      <c r="A3893" s="103"/>
      <c r="B3893" s="103"/>
      <c r="C3893" s="103"/>
      <c r="D3893" s="103"/>
      <c r="E3893" s="103"/>
      <c r="F3893" s="103"/>
      <c r="G3893" s="103"/>
      <c r="H3893" s="103"/>
      <c r="I3893" s="103"/>
      <c r="J3893" s="103"/>
      <c r="K3893" s="103"/>
      <c r="L3893" s="103"/>
      <c r="M3893" s="104"/>
      <c r="N3893" s="103"/>
    </row>
    <row r="3894" spans="1:14" ht="45" customHeight="1" thickBot="1" x14ac:dyDescent="0.4">
      <c r="A3894" s="103"/>
      <c r="B3894" s="103"/>
      <c r="C3894" s="103"/>
      <c r="D3894" s="103"/>
      <c r="E3894" s="103"/>
      <c r="F3894" s="103"/>
      <c r="G3894" s="103"/>
      <c r="H3894" s="103"/>
      <c r="I3894" s="103"/>
      <c r="J3894" s="103"/>
      <c r="K3894" s="103"/>
      <c r="L3894" s="103"/>
      <c r="M3894" s="104"/>
      <c r="N3894" s="103"/>
    </row>
    <row r="3895" spans="1:14" ht="45" customHeight="1" thickBot="1" x14ac:dyDescent="0.4">
      <c r="A3895" s="103"/>
      <c r="B3895" s="103"/>
      <c r="C3895" s="103"/>
      <c r="D3895" s="103"/>
      <c r="E3895" s="103"/>
      <c r="F3895" s="103"/>
      <c r="G3895" s="103"/>
      <c r="H3895" s="103"/>
      <c r="I3895" s="103"/>
      <c r="J3895" s="103"/>
      <c r="K3895" s="103"/>
      <c r="L3895" s="103"/>
      <c r="M3895" s="104"/>
      <c r="N3895" s="103"/>
    </row>
    <row r="3896" spans="1:14" ht="45" customHeight="1" thickBot="1" x14ac:dyDescent="0.4">
      <c r="A3896" s="103"/>
      <c r="B3896" s="103"/>
      <c r="C3896" s="103"/>
      <c r="D3896" s="103"/>
      <c r="E3896" s="103"/>
      <c r="F3896" s="103"/>
      <c r="G3896" s="103"/>
      <c r="H3896" s="103"/>
      <c r="I3896" s="103"/>
      <c r="J3896" s="103"/>
      <c r="K3896" s="103"/>
      <c r="L3896" s="103"/>
      <c r="M3896" s="104"/>
      <c r="N3896" s="103"/>
    </row>
    <row r="3897" spans="1:14" ht="45" customHeight="1" thickBot="1" x14ac:dyDescent="0.4">
      <c r="A3897" s="103"/>
      <c r="B3897" s="103"/>
      <c r="C3897" s="103"/>
      <c r="D3897" s="103"/>
      <c r="E3897" s="103"/>
      <c r="F3897" s="103"/>
      <c r="G3897" s="103"/>
      <c r="H3897" s="103"/>
      <c r="I3897" s="103"/>
      <c r="J3897" s="103"/>
      <c r="K3897" s="103"/>
      <c r="L3897" s="103"/>
      <c r="M3897" s="104"/>
      <c r="N3897" s="103"/>
    </row>
    <row r="3898" spans="1:14" ht="45" customHeight="1" thickBot="1" x14ac:dyDescent="0.4">
      <c r="A3898" s="103"/>
      <c r="B3898" s="103"/>
      <c r="C3898" s="103"/>
      <c r="D3898" s="103"/>
      <c r="E3898" s="103"/>
      <c r="F3898" s="103"/>
      <c r="G3898" s="103"/>
      <c r="H3898" s="103"/>
      <c r="I3898" s="103"/>
      <c r="J3898" s="103"/>
      <c r="K3898" s="103"/>
      <c r="L3898" s="103"/>
      <c r="M3898" s="104"/>
      <c r="N3898" s="103"/>
    </row>
    <row r="3899" spans="1:14" ht="45" customHeight="1" thickBot="1" x14ac:dyDescent="0.4">
      <c r="A3899" s="103"/>
      <c r="B3899" s="103"/>
      <c r="C3899" s="103"/>
      <c r="D3899" s="103"/>
      <c r="E3899" s="103"/>
      <c r="F3899" s="103"/>
      <c r="G3899" s="103"/>
      <c r="H3899" s="103"/>
      <c r="I3899" s="103"/>
      <c r="J3899" s="103"/>
      <c r="K3899" s="103"/>
      <c r="L3899" s="103"/>
      <c r="M3899" s="104"/>
      <c r="N3899" s="103"/>
    </row>
    <row r="3900" spans="1:14" ht="45" customHeight="1" thickBot="1" x14ac:dyDescent="0.4">
      <c r="A3900" s="103"/>
      <c r="B3900" s="103"/>
      <c r="C3900" s="103"/>
      <c r="D3900" s="103"/>
      <c r="E3900" s="103"/>
      <c r="F3900" s="103"/>
      <c r="G3900" s="103"/>
      <c r="H3900" s="103"/>
      <c r="I3900" s="103"/>
      <c r="J3900" s="103"/>
      <c r="K3900" s="103"/>
      <c r="L3900" s="103"/>
      <c r="M3900" s="104"/>
      <c r="N3900" s="103"/>
    </row>
    <row r="3901" spans="1:14" ht="45" customHeight="1" thickBot="1" x14ac:dyDescent="0.4">
      <c r="A3901" s="103"/>
      <c r="B3901" s="103"/>
      <c r="C3901" s="103"/>
      <c r="D3901" s="103"/>
      <c r="E3901" s="103"/>
      <c r="F3901" s="103"/>
      <c r="G3901" s="103"/>
      <c r="H3901" s="103"/>
      <c r="I3901" s="103"/>
      <c r="J3901" s="103"/>
      <c r="K3901" s="103"/>
      <c r="L3901" s="103"/>
      <c r="M3901" s="104"/>
      <c r="N3901" s="103"/>
    </row>
    <row r="3902" spans="1:14" ht="45" customHeight="1" thickBot="1" x14ac:dyDescent="0.4">
      <c r="A3902" s="103"/>
      <c r="B3902" s="103"/>
      <c r="C3902" s="103"/>
      <c r="D3902" s="103"/>
      <c r="E3902" s="103"/>
      <c r="F3902" s="103"/>
      <c r="G3902" s="103"/>
      <c r="H3902" s="103"/>
      <c r="I3902" s="103"/>
      <c r="J3902" s="103"/>
      <c r="K3902" s="103"/>
      <c r="L3902" s="103"/>
      <c r="M3902" s="104"/>
      <c r="N3902" s="103"/>
    </row>
    <row r="3903" spans="1:14" ht="45" customHeight="1" thickBot="1" x14ac:dyDescent="0.4">
      <c r="A3903" s="103"/>
      <c r="B3903" s="103"/>
      <c r="C3903" s="103"/>
      <c r="D3903" s="103"/>
      <c r="E3903" s="103"/>
      <c r="F3903" s="103"/>
      <c r="G3903" s="103"/>
      <c r="H3903" s="103"/>
      <c r="I3903" s="103"/>
      <c r="J3903" s="103"/>
      <c r="K3903" s="103"/>
      <c r="L3903" s="103"/>
      <c r="M3903" s="104"/>
      <c r="N3903" s="103"/>
    </row>
    <row r="3904" spans="1:14" ht="45" customHeight="1" thickBot="1" x14ac:dyDescent="0.4">
      <c r="A3904" s="103"/>
      <c r="B3904" s="103"/>
      <c r="C3904" s="103"/>
      <c r="D3904" s="103"/>
      <c r="E3904" s="103"/>
      <c r="F3904" s="103"/>
      <c r="G3904" s="103"/>
      <c r="H3904" s="103"/>
      <c r="I3904" s="103"/>
      <c r="J3904" s="103"/>
      <c r="K3904" s="103"/>
      <c r="L3904" s="103"/>
      <c r="M3904" s="104"/>
      <c r="N3904" s="103"/>
    </row>
    <row r="3905" spans="1:14" ht="45" customHeight="1" thickBot="1" x14ac:dyDescent="0.4">
      <c r="A3905" s="103"/>
      <c r="B3905" s="103"/>
      <c r="C3905" s="103"/>
      <c r="D3905" s="103"/>
      <c r="E3905" s="103"/>
      <c r="F3905" s="103"/>
      <c r="G3905" s="103"/>
      <c r="H3905" s="103"/>
      <c r="I3905" s="103"/>
      <c r="J3905" s="103"/>
      <c r="K3905" s="103"/>
      <c r="L3905" s="103"/>
      <c r="M3905" s="104"/>
      <c r="N3905" s="103"/>
    </row>
    <row r="3906" spans="1:14" ht="45" customHeight="1" thickBot="1" x14ac:dyDescent="0.4">
      <c r="A3906" s="103"/>
      <c r="B3906" s="103"/>
      <c r="C3906" s="103"/>
      <c r="D3906" s="103"/>
      <c r="E3906" s="103"/>
      <c r="F3906" s="103"/>
      <c r="G3906" s="103"/>
      <c r="H3906" s="103"/>
      <c r="I3906" s="103"/>
      <c r="J3906" s="103"/>
      <c r="K3906" s="103"/>
      <c r="L3906" s="103"/>
      <c r="M3906" s="104"/>
      <c r="N3906" s="103"/>
    </row>
    <row r="3907" spans="1:14" ht="45" customHeight="1" thickBot="1" x14ac:dyDescent="0.4">
      <c r="A3907" s="103"/>
      <c r="B3907" s="103"/>
      <c r="C3907" s="103"/>
      <c r="D3907" s="103"/>
      <c r="E3907" s="103"/>
      <c r="F3907" s="103"/>
      <c r="G3907" s="103"/>
      <c r="H3907" s="103"/>
      <c r="I3907" s="103"/>
      <c r="J3907" s="103"/>
      <c r="K3907" s="103"/>
      <c r="L3907" s="103"/>
      <c r="M3907" s="104"/>
      <c r="N3907" s="103"/>
    </row>
    <row r="3908" spans="1:14" ht="45" customHeight="1" thickBot="1" x14ac:dyDescent="0.4">
      <c r="A3908" s="103"/>
      <c r="B3908" s="103"/>
      <c r="C3908" s="103"/>
      <c r="D3908" s="103"/>
      <c r="E3908" s="103"/>
      <c r="F3908" s="103"/>
      <c r="G3908" s="103"/>
      <c r="H3908" s="103"/>
      <c r="I3908" s="103"/>
      <c r="J3908" s="103"/>
      <c r="K3908" s="103"/>
      <c r="L3908" s="103"/>
      <c r="M3908" s="104"/>
      <c r="N3908" s="103"/>
    </row>
    <row r="3909" spans="1:14" ht="45" customHeight="1" thickBot="1" x14ac:dyDescent="0.4">
      <c r="A3909" s="103"/>
      <c r="B3909" s="103"/>
      <c r="C3909" s="103"/>
      <c r="D3909" s="103"/>
      <c r="E3909" s="103"/>
      <c r="F3909" s="103"/>
      <c r="G3909" s="103"/>
      <c r="H3909" s="103"/>
      <c r="I3909" s="103"/>
      <c r="J3909" s="103"/>
      <c r="K3909" s="103"/>
      <c r="L3909" s="103"/>
      <c r="M3909" s="104"/>
      <c r="N3909" s="103"/>
    </row>
    <row r="3910" spans="1:14" ht="45" customHeight="1" thickBot="1" x14ac:dyDescent="0.4">
      <c r="A3910" s="103"/>
      <c r="B3910" s="103"/>
      <c r="C3910" s="103"/>
      <c r="D3910" s="103"/>
      <c r="E3910" s="103"/>
      <c r="F3910" s="103"/>
      <c r="G3910" s="103"/>
      <c r="H3910" s="103"/>
      <c r="I3910" s="103"/>
      <c r="J3910" s="103"/>
      <c r="K3910" s="103"/>
      <c r="L3910" s="103"/>
      <c r="M3910" s="104"/>
      <c r="N3910" s="103"/>
    </row>
    <row r="3911" spans="1:14" ht="45" customHeight="1" thickBot="1" x14ac:dyDescent="0.4">
      <c r="A3911" s="103"/>
      <c r="B3911" s="103"/>
      <c r="C3911" s="103"/>
      <c r="D3911" s="103"/>
      <c r="E3911" s="103"/>
      <c r="F3911" s="103"/>
      <c r="G3911" s="103"/>
      <c r="H3911" s="103"/>
      <c r="I3911" s="103"/>
      <c r="J3911" s="103"/>
      <c r="K3911" s="103"/>
      <c r="L3911" s="103"/>
      <c r="M3911" s="104"/>
      <c r="N3911" s="103"/>
    </row>
    <row r="3912" spans="1:14" ht="45" customHeight="1" thickBot="1" x14ac:dyDescent="0.4">
      <c r="A3912" s="103"/>
      <c r="B3912" s="103"/>
      <c r="C3912" s="103"/>
      <c r="D3912" s="103"/>
      <c r="E3912" s="103"/>
      <c r="F3912" s="103"/>
      <c r="G3912" s="103"/>
      <c r="H3912" s="103"/>
      <c r="I3912" s="103"/>
      <c r="J3912" s="103"/>
      <c r="K3912" s="103"/>
      <c r="L3912" s="103"/>
      <c r="M3912" s="104"/>
      <c r="N3912" s="103"/>
    </row>
    <row r="3913" spans="1:14" ht="45" customHeight="1" thickBot="1" x14ac:dyDescent="0.4">
      <c r="A3913" s="103"/>
      <c r="B3913" s="103"/>
      <c r="C3913" s="103"/>
      <c r="D3913" s="103"/>
      <c r="E3913" s="103"/>
      <c r="F3913" s="103"/>
      <c r="G3913" s="103"/>
      <c r="H3913" s="103"/>
      <c r="I3913" s="103"/>
      <c r="J3913" s="103"/>
      <c r="K3913" s="103"/>
      <c r="L3913" s="103"/>
      <c r="M3913" s="104"/>
      <c r="N3913" s="103"/>
    </row>
    <row r="3914" spans="1:14" ht="45" customHeight="1" thickBot="1" x14ac:dyDescent="0.4">
      <c r="A3914" s="103"/>
      <c r="B3914" s="103"/>
      <c r="C3914" s="103"/>
      <c r="D3914" s="103"/>
      <c r="E3914" s="103"/>
      <c r="F3914" s="103"/>
      <c r="G3914" s="103"/>
      <c r="H3914" s="103"/>
      <c r="I3914" s="103"/>
      <c r="J3914" s="103"/>
      <c r="K3914" s="103"/>
      <c r="L3914" s="103"/>
      <c r="M3914" s="104"/>
      <c r="N3914" s="103"/>
    </row>
    <row r="3915" spans="1:14" ht="45" customHeight="1" thickBot="1" x14ac:dyDescent="0.4">
      <c r="A3915" s="103"/>
      <c r="B3915" s="103"/>
      <c r="C3915" s="103"/>
      <c r="D3915" s="103"/>
      <c r="E3915" s="103"/>
      <c r="F3915" s="103"/>
      <c r="G3915" s="103"/>
      <c r="H3915" s="103"/>
      <c r="I3915" s="103"/>
      <c r="J3915" s="103"/>
      <c r="K3915" s="103"/>
      <c r="L3915" s="103"/>
      <c r="M3915" s="104"/>
      <c r="N3915" s="103"/>
    </row>
    <row r="3916" spans="1:14" ht="45" customHeight="1" thickBot="1" x14ac:dyDescent="0.4">
      <c r="A3916" s="103"/>
      <c r="B3916" s="103"/>
      <c r="C3916" s="103"/>
      <c r="D3916" s="103"/>
      <c r="E3916" s="103"/>
      <c r="F3916" s="103"/>
      <c r="G3916" s="103"/>
      <c r="H3916" s="103"/>
      <c r="I3916" s="103"/>
      <c r="J3916" s="103"/>
      <c r="K3916" s="103"/>
      <c r="L3916" s="103"/>
      <c r="M3916" s="104"/>
      <c r="N3916" s="103"/>
    </row>
    <row r="3917" spans="1:14" ht="45" customHeight="1" thickBot="1" x14ac:dyDescent="0.4">
      <c r="A3917" s="103"/>
      <c r="B3917" s="103"/>
      <c r="C3917" s="103"/>
      <c r="D3917" s="103"/>
      <c r="E3917" s="103"/>
      <c r="F3917" s="103"/>
      <c r="G3917" s="103"/>
      <c r="H3917" s="103"/>
      <c r="I3917" s="103"/>
      <c r="J3917" s="103"/>
      <c r="K3917" s="103"/>
      <c r="L3917" s="103"/>
      <c r="M3917" s="104"/>
      <c r="N3917" s="103"/>
    </row>
    <row r="3918" spans="1:14" ht="45" customHeight="1" thickBot="1" x14ac:dyDescent="0.4">
      <c r="A3918" s="103"/>
      <c r="B3918" s="103"/>
      <c r="C3918" s="103"/>
      <c r="D3918" s="103"/>
      <c r="E3918" s="103"/>
      <c r="F3918" s="103"/>
      <c r="G3918" s="103"/>
      <c r="H3918" s="103"/>
      <c r="I3918" s="103"/>
      <c r="J3918" s="103"/>
      <c r="K3918" s="103"/>
      <c r="L3918" s="103"/>
      <c r="M3918" s="104"/>
      <c r="N3918" s="103"/>
    </row>
    <row r="3919" spans="1:14" ht="45" customHeight="1" thickBot="1" x14ac:dyDescent="0.4">
      <c r="A3919" s="103"/>
      <c r="B3919" s="103"/>
      <c r="C3919" s="103"/>
      <c r="D3919" s="103"/>
      <c r="E3919" s="103"/>
      <c r="F3919" s="103"/>
      <c r="G3919" s="103"/>
      <c r="H3919" s="103"/>
      <c r="I3919" s="103"/>
      <c r="J3919" s="103"/>
      <c r="K3919" s="103"/>
      <c r="L3919" s="103"/>
      <c r="M3919" s="104"/>
      <c r="N3919" s="103"/>
    </row>
    <row r="3920" spans="1:14" ht="45" customHeight="1" thickBot="1" x14ac:dyDescent="0.4">
      <c r="A3920" s="103"/>
      <c r="B3920" s="103"/>
      <c r="C3920" s="103"/>
      <c r="D3920" s="103"/>
      <c r="E3920" s="103"/>
      <c r="F3920" s="103"/>
      <c r="G3920" s="103"/>
      <c r="H3920" s="103"/>
      <c r="I3920" s="103"/>
      <c r="J3920" s="103"/>
      <c r="K3920" s="103"/>
      <c r="L3920" s="103"/>
      <c r="M3920" s="104"/>
      <c r="N3920" s="103"/>
    </row>
    <row r="3921" spans="1:14" ht="45" customHeight="1" thickBot="1" x14ac:dyDescent="0.4">
      <c r="A3921" s="103"/>
      <c r="B3921" s="103"/>
      <c r="C3921" s="103"/>
      <c r="D3921" s="103"/>
      <c r="E3921" s="103"/>
      <c r="F3921" s="103"/>
      <c r="G3921" s="103"/>
      <c r="H3921" s="103"/>
      <c r="I3921" s="103"/>
      <c r="J3921" s="103"/>
      <c r="K3921" s="103"/>
      <c r="L3921" s="103"/>
      <c r="M3921" s="104"/>
      <c r="N3921" s="103"/>
    </row>
    <row r="3922" spans="1:14" ht="45" customHeight="1" thickBot="1" x14ac:dyDescent="0.4">
      <c r="A3922" s="103"/>
      <c r="B3922" s="103"/>
      <c r="C3922" s="103"/>
      <c r="D3922" s="103"/>
      <c r="E3922" s="103"/>
      <c r="F3922" s="103"/>
      <c r="G3922" s="103"/>
      <c r="H3922" s="103"/>
      <c r="I3922" s="103"/>
      <c r="J3922" s="103"/>
      <c r="K3922" s="103"/>
      <c r="L3922" s="103"/>
      <c r="M3922" s="104"/>
      <c r="N3922" s="103"/>
    </row>
    <row r="3923" spans="1:14" ht="45" customHeight="1" thickBot="1" x14ac:dyDescent="0.4">
      <c r="A3923" s="103"/>
      <c r="B3923" s="103"/>
      <c r="C3923" s="103"/>
      <c r="D3923" s="103"/>
      <c r="E3923" s="103"/>
      <c r="F3923" s="103"/>
      <c r="G3923" s="103"/>
      <c r="H3923" s="103"/>
      <c r="I3923" s="103"/>
      <c r="J3923" s="103"/>
      <c r="K3923" s="103"/>
      <c r="L3923" s="103"/>
      <c r="M3923" s="104"/>
      <c r="N3923" s="103"/>
    </row>
    <row r="3924" spans="1:14" ht="45" customHeight="1" thickBot="1" x14ac:dyDescent="0.4">
      <c r="A3924" s="103"/>
      <c r="B3924" s="103"/>
      <c r="C3924" s="103"/>
      <c r="D3924" s="103"/>
      <c r="E3924" s="103"/>
      <c r="F3924" s="103"/>
      <c r="G3924" s="103"/>
      <c r="H3924" s="103"/>
      <c r="I3924" s="103"/>
      <c r="J3924" s="103"/>
      <c r="K3924" s="103"/>
      <c r="L3924" s="103"/>
      <c r="M3924" s="104"/>
      <c r="N3924" s="103"/>
    </row>
    <row r="3925" spans="1:14" ht="45" customHeight="1" thickBot="1" x14ac:dyDescent="0.4">
      <c r="A3925" s="103"/>
      <c r="B3925" s="103"/>
      <c r="C3925" s="103"/>
      <c r="D3925" s="103"/>
      <c r="E3925" s="103"/>
      <c r="F3925" s="103"/>
      <c r="G3925" s="103"/>
      <c r="H3925" s="103"/>
      <c r="I3925" s="103"/>
      <c r="J3925" s="103"/>
      <c r="K3925" s="103"/>
      <c r="L3925" s="103"/>
      <c r="M3925" s="104"/>
      <c r="N3925" s="103"/>
    </row>
    <row r="3926" spans="1:14" ht="45" customHeight="1" thickBot="1" x14ac:dyDescent="0.4">
      <c r="A3926" s="103"/>
      <c r="B3926" s="103"/>
      <c r="C3926" s="103"/>
      <c r="D3926" s="103"/>
      <c r="E3926" s="103"/>
      <c r="F3926" s="103"/>
      <c r="G3926" s="103"/>
      <c r="H3926" s="103"/>
      <c r="I3926" s="103"/>
      <c r="J3926" s="103"/>
      <c r="K3926" s="103"/>
      <c r="L3926" s="103"/>
      <c r="M3926" s="104"/>
      <c r="N3926" s="103"/>
    </row>
    <row r="3927" spans="1:14" ht="45" customHeight="1" thickBot="1" x14ac:dyDescent="0.4">
      <c r="A3927" s="103"/>
      <c r="B3927" s="103"/>
      <c r="C3927" s="103"/>
      <c r="D3927" s="103"/>
      <c r="E3927" s="103"/>
      <c r="F3927" s="103"/>
      <c r="G3927" s="103"/>
      <c r="H3927" s="103"/>
      <c r="I3927" s="103"/>
      <c r="J3927" s="103"/>
      <c r="K3927" s="103"/>
      <c r="L3927" s="103"/>
      <c r="M3927" s="104"/>
      <c r="N3927" s="103"/>
    </row>
    <row r="3928" spans="1:14" ht="45" customHeight="1" thickBot="1" x14ac:dyDescent="0.4">
      <c r="A3928" s="103"/>
      <c r="B3928" s="103"/>
      <c r="C3928" s="103"/>
      <c r="D3928" s="103"/>
      <c r="E3928" s="103"/>
      <c r="F3928" s="103"/>
      <c r="G3928" s="103"/>
      <c r="H3928" s="103"/>
      <c r="I3928" s="103"/>
      <c r="J3928" s="103"/>
      <c r="K3928" s="103"/>
      <c r="L3928" s="103"/>
      <c r="M3928" s="104"/>
      <c r="N3928" s="103"/>
    </row>
    <row r="3929" spans="1:14" ht="45" customHeight="1" thickBot="1" x14ac:dyDescent="0.4">
      <c r="A3929" s="103"/>
      <c r="B3929" s="103"/>
      <c r="C3929" s="103"/>
      <c r="D3929" s="103"/>
      <c r="E3929" s="103"/>
      <c r="F3929" s="103"/>
      <c r="G3929" s="103"/>
      <c r="H3929" s="103"/>
      <c r="I3929" s="103"/>
      <c r="J3929" s="103"/>
      <c r="K3929" s="103"/>
      <c r="L3929" s="103"/>
      <c r="M3929" s="104"/>
      <c r="N3929" s="103"/>
    </row>
    <row r="3930" spans="1:14" ht="45" customHeight="1" thickBot="1" x14ac:dyDescent="0.4">
      <c r="A3930" s="103"/>
      <c r="B3930" s="103"/>
      <c r="C3930" s="103"/>
      <c r="D3930" s="103"/>
      <c r="E3930" s="103"/>
      <c r="F3930" s="103"/>
      <c r="G3930" s="103"/>
      <c r="H3930" s="103"/>
      <c r="I3930" s="103"/>
      <c r="J3930" s="103"/>
      <c r="K3930" s="103"/>
      <c r="L3930" s="103"/>
      <c r="M3930" s="104"/>
      <c r="N3930" s="103"/>
    </row>
    <row r="3931" spans="1:14" ht="45" customHeight="1" thickBot="1" x14ac:dyDescent="0.4">
      <c r="A3931" s="103"/>
      <c r="B3931" s="103"/>
      <c r="C3931" s="103"/>
      <c r="D3931" s="103"/>
      <c r="E3931" s="103"/>
      <c r="F3931" s="103"/>
      <c r="G3931" s="103"/>
      <c r="H3931" s="103"/>
      <c r="I3931" s="103"/>
      <c r="J3931" s="103"/>
      <c r="K3931" s="103"/>
      <c r="L3931" s="103"/>
      <c r="M3931" s="104"/>
      <c r="N3931" s="103"/>
    </row>
    <row r="3932" spans="1:14" ht="45" customHeight="1" thickBot="1" x14ac:dyDescent="0.4">
      <c r="A3932" s="103"/>
      <c r="B3932" s="103"/>
      <c r="C3932" s="103"/>
      <c r="D3932" s="103"/>
      <c r="E3932" s="103"/>
      <c r="F3932" s="103"/>
      <c r="G3932" s="103"/>
      <c r="H3932" s="103"/>
      <c r="I3932" s="103"/>
      <c r="J3932" s="103"/>
      <c r="K3932" s="103"/>
      <c r="L3932" s="103"/>
      <c r="M3932" s="104"/>
      <c r="N3932" s="103"/>
    </row>
    <row r="3933" spans="1:14" ht="45" customHeight="1" thickBot="1" x14ac:dyDescent="0.4">
      <c r="A3933" s="103"/>
      <c r="B3933" s="103"/>
      <c r="C3933" s="103"/>
      <c r="D3933" s="103"/>
      <c r="E3933" s="103"/>
      <c r="F3933" s="103"/>
      <c r="G3933" s="103"/>
      <c r="H3933" s="103"/>
      <c r="I3933" s="103"/>
      <c r="J3933" s="103"/>
      <c r="K3933" s="103"/>
      <c r="L3933" s="103"/>
      <c r="M3933" s="104"/>
      <c r="N3933" s="103"/>
    </row>
    <row r="3934" spans="1:14" ht="45" customHeight="1" thickBot="1" x14ac:dyDescent="0.4">
      <c r="A3934" s="103"/>
      <c r="B3934" s="103"/>
      <c r="C3934" s="103"/>
      <c r="D3934" s="103"/>
      <c r="E3934" s="103"/>
      <c r="F3934" s="103"/>
      <c r="G3934" s="103"/>
      <c r="H3934" s="103"/>
      <c r="I3934" s="103"/>
      <c r="J3934" s="103"/>
      <c r="K3934" s="103"/>
      <c r="L3934" s="103"/>
      <c r="M3934" s="104"/>
      <c r="N3934" s="103"/>
    </row>
    <row r="3935" spans="1:14" ht="45" customHeight="1" thickBot="1" x14ac:dyDescent="0.4">
      <c r="A3935" s="103"/>
      <c r="B3935" s="103"/>
      <c r="C3935" s="103"/>
      <c r="D3935" s="103"/>
      <c r="E3935" s="103"/>
      <c r="F3935" s="103"/>
      <c r="G3935" s="103"/>
      <c r="H3935" s="103"/>
      <c r="I3935" s="103"/>
      <c r="J3935" s="103"/>
      <c r="K3935" s="103"/>
      <c r="L3935" s="103"/>
      <c r="M3935" s="104"/>
      <c r="N3935" s="103"/>
    </row>
    <row r="3936" spans="1:14" ht="45" customHeight="1" thickBot="1" x14ac:dyDescent="0.4">
      <c r="A3936" s="103"/>
      <c r="B3936" s="103"/>
      <c r="C3936" s="103"/>
      <c r="D3936" s="103"/>
      <c r="E3936" s="103"/>
      <c r="F3936" s="103"/>
      <c r="G3936" s="103"/>
      <c r="H3936" s="103"/>
      <c r="I3936" s="103"/>
      <c r="J3936" s="103"/>
      <c r="K3936" s="103"/>
      <c r="L3936" s="103"/>
      <c r="M3936" s="104"/>
      <c r="N3936" s="103"/>
    </row>
    <row r="3937" spans="1:14" ht="45" customHeight="1" thickBot="1" x14ac:dyDescent="0.4">
      <c r="A3937" s="103"/>
      <c r="B3937" s="103"/>
      <c r="C3937" s="103"/>
      <c r="D3937" s="103"/>
      <c r="E3937" s="103"/>
      <c r="F3937" s="103"/>
      <c r="G3937" s="103"/>
      <c r="H3937" s="103"/>
      <c r="I3937" s="103"/>
      <c r="J3937" s="103"/>
      <c r="K3937" s="103"/>
      <c r="L3937" s="103"/>
      <c r="M3937" s="104"/>
      <c r="N3937" s="103"/>
    </row>
    <row r="3938" spans="1:14" ht="45" customHeight="1" thickBot="1" x14ac:dyDescent="0.4">
      <c r="A3938" s="103"/>
      <c r="B3938" s="103"/>
      <c r="C3938" s="103"/>
      <c r="D3938" s="103"/>
      <c r="E3938" s="103"/>
      <c r="F3938" s="103"/>
      <c r="G3938" s="103"/>
      <c r="H3938" s="103"/>
      <c r="I3938" s="103"/>
      <c r="J3938" s="103"/>
      <c r="K3938" s="103"/>
      <c r="L3938" s="103"/>
      <c r="M3938" s="104"/>
      <c r="N3938" s="103"/>
    </row>
    <row r="3939" spans="1:14" ht="45" customHeight="1" thickBot="1" x14ac:dyDescent="0.4">
      <c r="A3939" s="103"/>
      <c r="B3939" s="103"/>
      <c r="C3939" s="103"/>
      <c r="D3939" s="103"/>
      <c r="E3939" s="103"/>
      <c r="F3939" s="103"/>
      <c r="G3939" s="103"/>
      <c r="H3939" s="103"/>
      <c r="I3939" s="103"/>
      <c r="J3939" s="103"/>
      <c r="K3939" s="103"/>
      <c r="L3939" s="103"/>
      <c r="M3939" s="104"/>
      <c r="N3939" s="103"/>
    </row>
    <row r="3940" spans="1:14" ht="45" customHeight="1" thickBot="1" x14ac:dyDescent="0.4">
      <c r="A3940" s="103"/>
      <c r="B3940" s="103"/>
      <c r="C3940" s="103"/>
      <c r="D3940" s="103"/>
      <c r="E3940" s="103"/>
      <c r="F3940" s="103"/>
      <c r="G3940" s="103"/>
      <c r="H3940" s="103"/>
      <c r="I3940" s="103"/>
      <c r="J3940" s="103"/>
      <c r="K3940" s="103"/>
      <c r="L3940" s="103"/>
      <c r="M3940" s="104"/>
      <c r="N3940" s="103"/>
    </row>
    <row r="3941" spans="1:14" ht="45" customHeight="1" thickBot="1" x14ac:dyDescent="0.4">
      <c r="A3941" s="103"/>
      <c r="B3941" s="103"/>
      <c r="C3941" s="103"/>
      <c r="D3941" s="103"/>
      <c r="E3941" s="103"/>
      <c r="F3941" s="103"/>
      <c r="G3941" s="103"/>
      <c r="H3941" s="103"/>
      <c r="I3941" s="103"/>
      <c r="J3941" s="103"/>
      <c r="K3941" s="103"/>
      <c r="L3941" s="103"/>
      <c r="M3941" s="104"/>
      <c r="N3941" s="103"/>
    </row>
    <row r="3942" spans="1:14" ht="45" customHeight="1" thickBot="1" x14ac:dyDescent="0.4">
      <c r="A3942" s="103"/>
      <c r="B3942" s="103"/>
      <c r="C3942" s="103"/>
      <c r="D3942" s="103"/>
      <c r="E3942" s="103"/>
      <c r="F3942" s="103"/>
      <c r="G3942" s="103"/>
      <c r="H3942" s="103"/>
      <c r="I3942" s="103"/>
      <c r="J3942" s="103"/>
      <c r="K3942" s="103"/>
      <c r="L3942" s="103"/>
      <c r="M3942" s="104"/>
      <c r="N3942" s="103"/>
    </row>
    <row r="3943" spans="1:14" ht="45" customHeight="1" thickBot="1" x14ac:dyDescent="0.4">
      <c r="A3943" s="103"/>
      <c r="B3943" s="103"/>
      <c r="C3943" s="103"/>
      <c r="D3943" s="103"/>
      <c r="E3943" s="103"/>
      <c r="F3943" s="103"/>
      <c r="G3943" s="103"/>
      <c r="H3943" s="103"/>
      <c r="I3943" s="103"/>
      <c r="J3943" s="103"/>
      <c r="K3943" s="103"/>
      <c r="L3943" s="103"/>
      <c r="M3943" s="104"/>
      <c r="N3943" s="103"/>
    </row>
    <row r="3944" spans="1:14" ht="45" customHeight="1" thickBot="1" x14ac:dyDescent="0.4">
      <c r="A3944" s="103"/>
      <c r="B3944" s="103"/>
      <c r="C3944" s="103"/>
      <c r="D3944" s="103"/>
      <c r="E3944" s="103"/>
      <c r="F3944" s="103"/>
      <c r="G3944" s="103"/>
      <c r="H3944" s="103"/>
      <c r="I3944" s="103"/>
      <c r="J3944" s="103"/>
      <c r="K3944" s="103"/>
      <c r="L3944" s="103"/>
      <c r="M3944" s="104"/>
      <c r="N3944" s="103"/>
    </row>
    <row r="3945" spans="1:14" ht="45" customHeight="1" thickBot="1" x14ac:dyDescent="0.4">
      <c r="A3945" s="103"/>
      <c r="B3945" s="103"/>
      <c r="C3945" s="103"/>
      <c r="D3945" s="103"/>
      <c r="E3945" s="103"/>
      <c r="F3945" s="103"/>
      <c r="G3945" s="103"/>
      <c r="H3945" s="103"/>
      <c r="I3945" s="103"/>
      <c r="J3945" s="103"/>
      <c r="K3945" s="103"/>
      <c r="L3945" s="103"/>
      <c r="M3945" s="104"/>
      <c r="N3945" s="103"/>
    </row>
    <row r="3946" spans="1:14" ht="45" customHeight="1" thickBot="1" x14ac:dyDescent="0.4">
      <c r="A3946" s="103"/>
      <c r="B3946" s="103"/>
      <c r="C3946" s="103"/>
      <c r="D3946" s="103"/>
      <c r="E3946" s="103"/>
      <c r="F3946" s="103"/>
      <c r="G3946" s="103"/>
      <c r="H3946" s="103"/>
      <c r="I3946" s="103"/>
      <c r="J3946" s="103"/>
      <c r="K3946" s="103"/>
      <c r="L3946" s="103"/>
      <c r="M3946" s="104"/>
      <c r="N3946" s="103"/>
    </row>
    <row r="3947" spans="1:14" ht="45" customHeight="1" thickBot="1" x14ac:dyDescent="0.4">
      <c r="A3947" s="103"/>
      <c r="B3947" s="103"/>
      <c r="C3947" s="103"/>
      <c r="D3947" s="103"/>
      <c r="E3947" s="103"/>
      <c r="F3947" s="103"/>
      <c r="G3947" s="103"/>
      <c r="H3947" s="103"/>
      <c r="I3947" s="103"/>
      <c r="J3947" s="103"/>
      <c r="K3947" s="103"/>
      <c r="L3947" s="103"/>
      <c r="M3947" s="104"/>
      <c r="N3947" s="103"/>
    </row>
    <row r="3948" spans="1:14" ht="45" customHeight="1" thickBot="1" x14ac:dyDescent="0.4">
      <c r="A3948" s="103"/>
      <c r="B3948" s="103"/>
      <c r="C3948" s="103"/>
      <c r="D3948" s="103"/>
      <c r="E3948" s="103"/>
      <c r="F3948" s="103"/>
      <c r="G3948" s="103"/>
      <c r="H3948" s="103"/>
      <c r="I3948" s="103"/>
      <c r="J3948" s="103"/>
      <c r="K3948" s="103"/>
      <c r="L3948" s="103"/>
      <c r="M3948" s="104"/>
      <c r="N3948" s="103"/>
    </row>
    <row r="3949" spans="1:14" ht="45" customHeight="1" thickBot="1" x14ac:dyDescent="0.4">
      <c r="A3949" s="103"/>
      <c r="B3949" s="103"/>
      <c r="C3949" s="103"/>
      <c r="D3949" s="103"/>
      <c r="E3949" s="103"/>
      <c r="F3949" s="103"/>
      <c r="G3949" s="103"/>
      <c r="H3949" s="103"/>
      <c r="I3949" s="103"/>
      <c r="J3949" s="103"/>
      <c r="K3949" s="103"/>
      <c r="L3949" s="103"/>
      <c r="M3949" s="104"/>
      <c r="N3949" s="103"/>
    </row>
    <row r="3950" spans="1:14" ht="45" customHeight="1" thickBot="1" x14ac:dyDescent="0.4">
      <c r="A3950" s="103"/>
      <c r="B3950" s="103"/>
      <c r="C3950" s="103"/>
      <c r="D3950" s="103"/>
      <c r="E3950" s="103"/>
      <c r="F3950" s="103"/>
      <c r="G3950" s="103"/>
      <c r="H3950" s="103"/>
      <c r="I3950" s="103"/>
      <c r="J3950" s="103"/>
      <c r="K3950" s="103"/>
      <c r="L3950" s="103"/>
      <c r="M3950" s="104"/>
      <c r="N3950" s="103"/>
    </row>
    <row r="3951" spans="1:14" ht="45" customHeight="1" thickBot="1" x14ac:dyDescent="0.4">
      <c r="A3951" s="103"/>
      <c r="B3951" s="103"/>
      <c r="C3951" s="103"/>
      <c r="D3951" s="103"/>
      <c r="E3951" s="103"/>
      <c r="F3951" s="103"/>
      <c r="G3951" s="103"/>
      <c r="H3951" s="103"/>
      <c r="I3951" s="103"/>
      <c r="J3951" s="103"/>
      <c r="K3951" s="103"/>
      <c r="L3951" s="103"/>
      <c r="M3951" s="104"/>
      <c r="N3951" s="103"/>
    </row>
    <row r="3952" spans="1:14" ht="45" customHeight="1" thickBot="1" x14ac:dyDescent="0.4">
      <c r="A3952" s="103"/>
      <c r="B3952" s="103"/>
      <c r="C3952" s="103"/>
      <c r="D3952" s="103"/>
      <c r="E3952" s="103"/>
      <c r="F3952" s="103"/>
      <c r="G3952" s="103"/>
      <c r="H3952" s="103"/>
      <c r="I3952" s="103"/>
      <c r="J3952" s="103"/>
      <c r="K3952" s="103"/>
      <c r="L3952" s="103"/>
      <c r="M3952" s="104"/>
      <c r="N3952" s="103"/>
    </row>
    <row r="3953" spans="1:14" ht="45" customHeight="1" thickBot="1" x14ac:dyDescent="0.4">
      <c r="A3953" s="103"/>
      <c r="B3953" s="103"/>
      <c r="C3953" s="103"/>
      <c r="D3953" s="103"/>
      <c r="E3953" s="103"/>
      <c r="F3953" s="103"/>
      <c r="G3953" s="103"/>
      <c r="H3953" s="103"/>
      <c r="I3953" s="103"/>
      <c r="J3953" s="103"/>
      <c r="K3953" s="103"/>
      <c r="L3953" s="103"/>
      <c r="M3953" s="104"/>
      <c r="N3953" s="103"/>
    </row>
    <row r="3954" spans="1:14" ht="45" customHeight="1" thickBot="1" x14ac:dyDescent="0.4">
      <c r="A3954" s="103"/>
      <c r="B3954" s="103"/>
      <c r="C3954" s="103"/>
      <c r="D3954" s="103"/>
      <c r="E3954" s="103"/>
      <c r="F3954" s="103"/>
      <c r="G3954" s="103"/>
      <c r="H3954" s="103"/>
      <c r="I3954" s="103"/>
      <c r="J3954" s="103"/>
      <c r="K3954" s="103"/>
      <c r="L3954" s="103"/>
      <c r="M3954" s="104"/>
      <c r="N3954" s="103"/>
    </row>
    <row r="3955" spans="1:14" ht="45" customHeight="1" thickBot="1" x14ac:dyDescent="0.4">
      <c r="A3955" s="103"/>
      <c r="B3955" s="103"/>
      <c r="C3955" s="103"/>
      <c r="D3955" s="103"/>
      <c r="E3955" s="103"/>
      <c r="F3955" s="103"/>
      <c r="G3955" s="103"/>
      <c r="H3955" s="103"/>
      <c r="I3955" s="103"/>
      <c r="J3955" s="103"/>
      <c r="K3955" s="103"/>
      <c r="L3955" s="103"/>
      <c r="M3955" s="104"/>
      <c r="N3955" s="103"/>
    </row>
    <row r="3956" spans="1:14" ht="45" customHeight="1" thickBot="1" x14ac:dyDescent="0.4">
      <c r="A3956" s="103"/>
      <c r="B3956" s="103"/>
      <c r="C3956" s="103"/>
      <c r="D3956" s="103"/>
      <c r="E3956" s="103"/>
      <c r="F3956" s="103"/>
      <c r="G3956" s="103"/>
      <c r="H3956" s="103"/>
      <c r="I3956" s="103"/>
      <c r="J3956" s="103"/>
      <c r="K3956" s="103"/>
      <c r="L3956" s="103"/>
      <c r="M3956" s="104"/>
      <c r="N3956" s="103"/>
    </row>
    <row r="3957" spans="1:14" ht="45" customHeight="1" thickBot="1" x14ac:dyDescent="0.4">
      <c r="A3957" s="103"/>
      <c r="B3957" s="103"/>
      <c r="C3957" s="103"/>
      <c r="D3957" s="103"/>
      <c r="E3957" s="103"/>
      <c r="F3957" s="103"/>
      <c r="G3957" s="103"/>
      <c r="H3957" s="103"/>
      <c r="I3957" s="103"/>
      <c r="J3957" s="103"/>
      <c r="K3957" s="103"/>
      <c r="L3957" s="103"/>
      <c r="M3957" s="104"/>
      <c r="N3957" s="103"/>
    </row>
    <row r="3958" spans="1:14" ht="45" customHeight="1" thickBot="1" x14ac:dyDescent="0.4">
      <c r="A3958" s="103"/>
      <c r="B3958" s="103"/>
      <c r="C3958" s="103"/>
      <c r="D3958" s="103"/>
      <c r="E3958" s="103"/>
      <c r="F3958" s="103"/>
      <c r="G3958" s="103"/>
      <c r="H3958" s="103"/>
      <c r="I3958" s="103"/>
      <c r="J3958" s="103"/>
      <c r="K3958" s="103"/>
      <c r="L3958" s="103"/>
      <c r="M3958" s="104"/>
      <c r="N3958" s="103"/>
    </row>
    <row r="3959" spans="1:14" ht="45" customHeight="1" thickBot="1" x14ac:dyDescent="0.4">
      <c r="A3959" s="103"/>
      <c r="B3959" s="103"/>
      <c r="C3959" s="103"/>
      <c r="D3959" s="103"/>
      <c r="E3959" s="103"/>
      <c r="F3959" s="103"/>
      <c r="G3959" s="103"/>
      <c r="H3959" s="103"/>
      <c r="I3959" s="103"/>
      <c r="J3959" s="103"/>
      <c r="K3959" s="103"/>
      <c r="L3959" s="103"/>
      <c r="M3959" s="104"/>
      <c r="N3959" s="103"/>
    </row>
    <row r="3960" spans="1:14" ht="45" customHeight="1" thickBot="1" x14ac:dyDescent="0.4">
      <c r="A3960" s="103"/>
      <c r="B3960" s="103"/>
      <c r="C3960" s="103"/>
      <c r="D3960" s="103"/>
      <c r="E3960" s="103"/>
      <c r="F3960" s="103"/>
      <c r="G3960" s="103"/>
      <c r="H3960" s="103"/>
      <c r="I3960" s="103"/>
      <c r="J3960" s="103"/>
      <c r="K3960" s="103"/>
      <c r="L3960" s="103"/>
      <c r="M3960" s="104"/>
      <c r="N3960" s="103"/>
    </row>
    <row r="3961" spans="1:14" ht="45" customHeight="1" thickBot="1" x14ac:dyDescent="0.4">
      <c r="A3961" s="103"/>
      <c r="B3961" s="103"/>
      <c r="C3961" s="103"/>
      <c r="D3961" s="103"/>
      <c r="E3961" s="103"/>
      <c r="F3961" s="103"/>
      <c r="G3961" s="103"/>
      <c r="H3961" s="103"/>
      <c r="I3961" s="103"/>
      <c r="J3961" s="103"/>
      <c r="K3961" s="103"/>
      <c r="L3961" s="103"/>
      <c r="M3961" s="104"/>
      <c r="N3961" s="103"/>
    </row>
    <row r="3962" spans="1:14" ht="45" customHeight="1" thickBot="1" x14ac:dyDescent="0.4">
      <c r="A3962" s="103"/>
      <c r="B3962" s="103"/>
      <c r="C3962" s="103"/>
      <c r="D3962" s="103"/>
      <c r="E3962" s="103"/>
      <c r="F3962" s="103"/>
      <c r="G3962" s="103"/>
      <c r="H3962" s="103"/>
      <c r="I3962" s="103"/>
      <c r="J3962" s="103"/>
      <c r="K3962" s="103"/>
      <c r="L3962" s="103"/>
      <c r="M3962" s="104"/>
      <c r="N3962" s="103"/>
    </row>
    <row r="3963" spans="1:14" ht="45" customHeight="1" thickBot="1" x14ac:dyDescent="0.4">
      <c r="A3963" s="103"/>
      <c r="B3963" s="103"/>
      <c r="C3963" s="103"/>
      <c r="D3963" s="103"/>
      <c r="E3963" s="103"/>
      <c r="F3963" s="103"/>
      <c r="G3963" s="103"/>
      <c r="H3963" s="103"/>
      <c r="I3963" s="103"/>
      <c r="J3963" s="103"/>
      <c r="K3963" s="103"/>
      <c r="L3963" s="103"/>
      <c r="M3963" s="104"/>
      <c r="N3963" s="103"/>
    </row>
    <row r="3964" spans="1:14" ht="45" customHeight="1" thickBot="1" x14ac:dyDescent="0.4">
      <c r="A3964" s="103"/>
      <c r="B3964" s="103"/>
      <c r="C3964" s="103"/>
      <c r="D3964" s="103"/>
      <c r="E3964" s="103"/>
      <c r="F3964" s="103"/>
      <c r="G3964" s="103"/>
      <c r="H3964" s="103"/>
      <c r="I3964" s="103"/>
      <c r="J3964" s="103"/>
      <c r="K3964" s="103"/>
      <c r="L3964" s="103"/>
      <c r="M3964" s="104"/>
      <c r="N3964" s="103"/>
    </row>
    <row r="3965" spans="1:14" ht="45" customHeight="1" thickBot="1" x14ac:dyDescent="0.4">
      <c r="A3965" s="103"/>
      <c r="B3965" s="103"/>
      <c r="C3965" s="103"/>
      <c r="D3965" s="103"/>
      <c r="E3965" s="103"/>
      <c r="F3965" s="103"/>
      <c r="G3965" s="103"/>
      <c r="H3965" s="103"/>
      <c r="I3965" s="103"/>
      <c r="J3965" s="103"/>
      <c r="K3965" s="103"/>
      <c r="L3965" s="103"/>
      <c r="M3965" s="104"/>
      <c r="N3965" s="103"/>
    </row>
    <row r="3966" spans="1:14" ht="45" customHeight="1" thickBot="1" x14ac:dyDescent="0.4">
      <c r="A3966" s="103"/>
      <c r="B3966" s="103"/>
      <c r="C3966" s="103"/>
      <c r="D3966" s="103"/>
      <c r="E3966" s="103"/>
      <c r="F3966" s="103"/>
      <c r="G3966" s="103"/>
      <c r="H3966" s="103"/>
      <c r="I3966" s="103"/>
      <c r="J3966" s="103"/>
      <c r="K3966" s="103"/>
      <c r="L3966" s="103"/>
      <c r="M3966" s="104"/>
      <c r="N3966" s="103"/>
    </row>
    <row r="3967" spans="1:14" ht="45" customHeight="1" thickBot="1" x14ac:dyDescent="0.4">
      <c r="A3967" s="103"/>
      <c r="B3967" s="103"/>
      <c r="C3967" s="103"/>
      <c r="D3967" s="103"/>
      <c r="E3967" s="103"/>
      <c r="F3967" s="103"/>
      <c r="G3967" s="103"/>
      <c r="H3967" s="103"/>
      <c r="I3967" s="103"/>
      <c r="J3967" s="103"/>
      <c r="K3967" s="103"/>
      <c r="L3967" s="103"/>
      <c r="M3967" s="104"/>
      <c r="N3967" s="103"/>
    </row>
    <row r="3968" spans="1:14" ht="45" customHeight="1" thickBot="1" x14ac:dyDescent="0.4">
      <c r="A3968" s="103"/>
      <c r="B3968" s="103"/>
      <c r="C3968" s="103"/>
      <c r="D3968" s="103"/>
      <c r="E3968" s="103"/>
      <c r="F3968" s="103"/>
      <c r="G3968" s="103"/>
      <c r="H3968" s="103"/>
      <c r="I3968" s="103"/>
      <c r="J3968" s="103"/>
      <c r="K3968" s="103"/>
      <c r="L3968" s="103"/>
      <c r="M3968" s="104"/>
      <c r="N3968" s="103"/>
    </row>
    <row r="3969" spans="1:14" ht="45" customHeight="1" thickBot="1" x14ac:dyDescent="0.4">
      <c r="A3969" s="103"/>
      <c r="B3969" s="103"/>
      <c r="C3969" s="103"/>
      <c r="D3969" s="103"/>
      <c r="E3969" s="103"/>
      <c r="F3969" s="103"/>
      <c r="G3969" s="103"/>
      <c r="H3969" s="103"/>
      <c r="I3969" s="103"/>
      <c r="J3969" s="103"/>
      <c r="K3969" s="103"/>
      <c r="L3969" s="103"/>
      <c r="M3969" s="104"/>
      <c r="N3969" s="103"/>
    </row>
    <row r="3970" spans="1:14" ht="45" customHeight="1" thickBot="1" x14ac:dyDescent="0.4">
      <c r="A3970" s="103"/>
      <c r="B3970" s="103"/>
      <c r="C3970" s="103"/>
      <c r="D3970" s="103"/>
      <c r="E3970" s="103"/>
      <c r="F3970" s="103"/>
      <c r="G3970" s="103"/>
      <c r="H3970" s="103"/>
      <c r="I3970" s="103"/>
      <c r="J3970" s="103"/>
      <c r="K3970" s="103"/>
      <c r="L3970" s="103"/>
      <c r="M3970" s="104"/>
      <c r="N3970" s="103"/>
    </row>
    <row r="3971" spans="1:14" ht="45" customHeight="1" thickBot="1" x14ac:dyDescent="0.4">
      <c r="A3971" s="103"/>
      <c r="B3971" s="103"/>
      <c r="C3971" s="103"/>
      <c r="D3971" s="103"/>
      <c r="E3971" s="103"/>
      <c r="F3971" s="103"/>
      <c r="G3971" s="103"/>
      <c r="H3971" s="103"/>
      <c r="I3971" s="103"/>
      <c r="J3971" s="103"/>
      <c r="K3971" s="103"/>
      <c r="L3971" s="103"/>
      <c r="M3971" s="104"/>
      <c r="N3971" s="103"/>
    </row>
    <row r="3972" spans="1:14" ht="45" customHeight="1" thickBot="1" x14ac:dyDescent="0.4">
      <c r="A3972" s="103"/>
      <c r="B3972" s="103"/>
      <c r="C3972" s="103"/>
      <c r="D3972" s="103"/>
      <c r="E3972" s="103"/>
      <c r="F3972" s="103"/>
      <c r="G3972" s="103"/>
      <c r="H3972" s="103"/>
      <c r="I3972" s="103"/>
      <c r="J3972" s="103"/>
      <c r="K3972" s="103"/>
      <c r="L3972" s="103"/>
      <c r="M3972" s="104"/>
      <c r="N3972" s="103"/>
    </row>
    <row r="3973" spans="1:14" ht="45" customHeight="1" thickBot="1" x14ac:dyDescent="0.4">
      <c r="A3973" s="103"/>
      <c r="B3973" s="103"/>
      <c r="C3973" s="103"/>
      <c r="D3973" s="103"/>
      <c r="E3973" s="103"/>
      <c r="F3973" s="103"/>
      <c r="G3973" s="103"/>
      <c r="H3973" s="103"/>
      <c r="I3973" s="103"/>
      <c r="J3973" s="103"/>
      <c r="K3973" s="103"/>
      <c r="L3973" s="103"/>
      <c r="M3973" s="104"/>
      <c r="N3973" s="103"/>
    </row>
    <row r="3974" spans="1:14" ht="45" customHeight="1" thickBot="1" x14ac:dyDescent="0.4">
      <c r="A3974" s="103"/>
      <c r="B3974" s="103"/>
      <c r="C3974" s="103"/>
      <c r="D3974" s="103"/>
      <c r="E3974" s="103"/>
      <c r="F3974" s="103"/>
      <c r="G3974" s="103"/>
      <c r="H3974" s="103"/>
      <c r="I3974" s="103"/>
      <c r="J3974" s="103"/>
      <c r="K3974" s="103"/>
      <c r="L3974" s="103"/>
      <c r="M3974" s="104"/>
      <c r="N3974" s="103"/>
    </row>
    <row r="3975" spans="1:14" ht="45" customHeight="1" thickBot="1" x14ac:dyDescent="0.4">
      <c r="A3975" s="103"/>
      <c r="B3975" s="103"/>
      <c r="C3975" s="103"/>
      <c r="D3975" s="103"/>
      <c r="E3975" s="103"/>
      <c r="F3975" s="103"/>
      <c r="G3975" s="103"/>
      <c r="H3975" s="103"/>
      <c r="I3975" s="103"/>
      <c r="J3975" s="103"/>
      <c r="K3975" s="103"/>
      <c r="L3975" s="103"/>
      <c r="M3975" s="104"/>
      <c r="N3975" s="103"/>
    </row>
    <row r="3976" spans="1:14" ht="45" customHeight="1" thickBot="1" x14ac:dyDescent="0.4">
      <c r="A3976" s="103"/>
      <c r="B3976" s="103"/>
      <c r="C3976" s="103"/>
      <c r="D3976" s="103"/>
      <c r="E3976" s="103"/>
      <c r="F3976" s="103"/>
      <c r="G3976" s="103"/>
      <c r="H3976" s="103"/>
      <c r="I3976" s="103"/>
      <c r="J3976" s="103"/>
      <c r="K3976" s="103"/>
      <c r="L3976" s="103"/>
      <c r="M3976" s="104"/>
      <c r="N3976" s="103"/>
    </row>
    <row r="3977" spans="1:14" ht="45" customHeight="1" thickBot="1" x14ac:dyDescent="0.4">
      <c r="A3977" s="103"/>
      <c r="B3977" s="103"/>
      <c r="C3977" s="103"/>
      <c r="D3977" s="103"/>
      <c r="E3977" s="103"/>
      <c r="F3977" s="103"/>
      <c r="G3977" s="103"/>
      <c r="H3977" s="103"/>
      <c r="I3977" s="103"/>
      <c r="J3977" s="103"/>
      <c r="K3977" s="103"/>
      <c r="L3977" s="103"/>
      <c r="M3977" s="104"/>
      <c r="N3977" s="103"/>
    </row>
    <row r="3978" spans="1:14" ht="45" customHeight="1" thickBot="1" x14ac:dyDescent="0.4">
      <c r="A3978" s="103"/>
      <c r="B3978" s="103"/>
      <c r="C3978" s="103"/>
      <c r="D3978" s="103"/>
      <c r="E3978" s="103"/>
      <c r="F3978" s="103"/>
      <c r="G3978" s="103"/>
      <c r="H3978" s="103"/>
      <c r="I3978" s="103"/>
      <c r="J3978" s="103"/>
      <c r="K3978" s="103"/>
      <c r="L3978" s="103"/>
      <c r="M3978" s="104"/>
      <c r="N3978" s="103"/>
    </row>
    <row r="3979" spans="1:14" ht="45" customHeight="1" thickBot="1" x14ac:dyDescent="0.4">
      <c r="A3979" s="103"/>
      <c r="B3979" s="103"/>
      <c r="C3979" s="103"/>
      <c r="D3979" s="103"/>
      <c r="E3979" s="103"/>
      <c r="F3979" s="103"/>
      <c r="G3979" s="103"/>
      <c r="H3979" s="103"/>
      <c r="I3979" s="103"/>
      <c r="J3979" s="103"/>
      <c r="K3979" s="103"/>
      <c r="L3979" s="103"/>
      <c r="M3979" s="104"/>
      <c r="N3979" s="103"/>
    </row>
    <row r="3980" spans="1:14" ht="45" customHeight="1" thickBot="1" x14ac:dyDescent="0.4">
      <c r="A3980" s="103"/>
      <c r="B3980" s="103"/>
      <c r="C3980" s="103"/>
      <c r="D3980" s="103"/>
      <c r="E3980" s="103"/>
      <c r="F3980" s="103"/>
      <c r="G3980" s="103"/>
      <c r="H3980" s="103"/>
      <c r="I3980" s="103"/>
      <c r="J3980" s="103"/>
      <c r="K3980" s="103"/>
      <c r="L3980" s="103"/>
      <c r="M3980" s="104"/>
      <c r="N3980" s="103"/>
    </row>
    <row r="3981" spans="1:14" ht="45" customHeight="1" thickBot="1" x14ac:dyDescent="0.4">
      <c r="A3981" s="103"/>
      <c r="B3981" s="103"/>
      <c r="C3981" s="103"/>
      <c r="D3981" s="103"/>
      <c r="E3981" s="103"/>
      <c r="F3981" s="103"/>
      <c r="G3981" s="103"/>
      <c r="H3981" s="103"/>
      <c r="I3981" s="103"/>
      <c r="J3981" s="103"/>
      <c r="K3981" s="103"/>
      <c r="L3981" s="103"/>
      <c r="M3981" s="104"/>
      <c r="N3981" s="103"/>
    </row>
    <row r="3982" spans="1:14" ht="45" customHeight="1" thickBot="1" x14ac:dyDescent="0.4">
      <c r="A3982" s="103"/>
      <c r="B3982" s="103"/>
      <c r="C3982" s="103"/>
      <c r="D3982" s="103"/>
      <c r="E3982" s="103"/>
      <c r="F3982" s="103"/>
      <c r="G3982" s="103"/>
      <c r="H3982" s="103"/>
      <c r="I3982" s="103"/>
      <c r="J3982" s="103"/>
      <c r="K3982" s="103"/>
      <c r="L3982" s="103"/>
      <c r="M3982" s="104"/>
      <c r="N3982" s="103"/>
    </row>
    <row r="3983" spans="1:14" ht="45" customHeight="1" thickBot="1" x14ac:dyDescent="0.4">
      <c r="A3983" s="103"/>
      <c r="B3983" s="103"/>
      <c r="C3983" s="103"/>
      <c r="D3983" s="103"/>
      <c r="E3983" s="103"/>
      <c r="F3983" s="103"/>
      <c r="G3983" s="103"/>
      <c r="H3983" s="103"/>
      <c r="I3983" s="103"/>
      <c r="J3983" s="103"/>
      <c r="K3983" s="103"/>
      <c r="L3983" s="103"/>
      <c r="M3983" s="104"/>
      <c r="N3983" s="103"/>
    </row>
    <row r="3984" spans="1:14" ht="45" customHeight="1" thickBot="1" x14ac:dyDescent="0.4">
      <c r="A3984" s="103"/>
      <c r="B3984" s="103"/>
      <c r="C3984" s="103"/>
      <c r="D3984" s="103"/>
      <c r="E3984" s="103"/>
      <c r="F3984" s="103"/>
      <c r="G3984" s="103"/>
      <c r="H3984" s="103"/>
      <c r="I3984" s="103"/>
      <c r="J3984" s="103"/>
      <c r="K3984" s="103"/>
      <c r="L3984" s="103"/>
      <c r="M3984" s="104"/>
      <c r="N3984" s="103"/>
    </row>
    <row r="3985" spans="1:14" ht="45" customHeight="1" thickBot="1" x14ac:dyDescent="0.4">
      <c r="A3985" s="103"/>
      <c r="B3985" s="103"/>
      <c r="C3985" s="103"/>
      <c r="D3985" s="103"/>
      <c r="E3985" s="103"/>
      <c r="F3985" s="103"/>
      <c r="G3985" s="103"/>
      <c r="H3985" s="103"/>
      <c r="I3985" s="103"/>
      <c r="J3985" s="103"/>
      <c r="K3985" s="103"/>
      <c r="L3985" s="103"/>
      <c r="M3985" s="104"/>
      <c r="N3985" s="103"/>
    </row>
    <row r="3986" spans="1:14" ht="45" customHeight="1" thickBot="1" x14ac:dyDescent="0.4">
      <c r="A3986" s="103"/>
      <c r="B3986" s="103"/>
      <c r="C3986" s="103"/>
      <c r="D3986" s="103"/>
      <c r="E3986" s="103"/>
      <c r="F3986" s="103"/>
      <c r="G3986" s="103"/>
      <c r="H3986" s="103"/>
      <c r="I3986" s="103"/>
      <c r="J3986" s="103"/>
      <c r="K3986" s="103"/>
      <c r="L3986" s="103"/>
      <c r="M3986" s="104"/>
      <c r="N3986" s="103"/>
    </row>
    <row r="3987" spans="1:14" ht="45" customHeight="1" thickBot="1" x14ac:dyDescent="0.4">
      <c r="A3987" s="103"/>
      <c r="B3987" s="103"/>
      <c r="C3987" s="103"/>
      <c r="D3987" s="103"/>
      <c r="E3987" s="103"/>
      <c r="F3987" s="103"/>
      <c r="G3987" s="103"/>
      <c r="H3987" s="103"/>
      <c r="I3987" s="103"/>
      <c r="J3987" s="103"/>
      <c r="K3987" s="103"/>
      <c r="L3987" s="103"/>
      <c r="M3987" s="104"/>
      <c r="N3987" s="103"/>
    </row>
    <row r="3988" spans="1:14" ht="45" customHeight="1" thickBot="1" x14ac:dyDescent="0.4">
      <c r="A3988" s="103"/>
      <c r="B3988" s="103"/>
      <c r="C3988" s="103"/>
      <c r="D3988" s="103"/>
      <c r="E3988" s="103"/>
      <c r="F3988" s="103"/>
      <c r="G3988" s="103"/>
      <c r="H3988" s="103"/>
      <c r="I3988" s="103"/>
      <c r="J3988" s="103"/>
      <c r="K3988" s="103"/>
      <c r="L3988" s="103"/>
      <c r="M3988" s="104"/>
      <c r="N3988" s="103"/>
    </row>
    <row r="3989" spans="1:14" ht="45" customHeight="1" thickBot="1" x14ac:dyDescent="0.4">
      <c r="A3989" s="103"/>
      <c r="B3989" s="103"/>
      <c r="C3989" s="103"/>
      <c r="D3989" s="103"/>
      <c r="E3989" s="103"/>
      <c r="F3989" s="103"/>
      <c r="G3989" s="103"/>
      <c r="H3989" s="103"/>
      <c r="I3989" s="103"/>
      <c r="J3989" s="103"/>
      <c r="K3989" s="103"/>
      <c r="L3989" s="103"/>
      <c r="M3989" s="104"/>
      <c r="N3989" s="103"/>
    </row>
    <row r="3990" spans="1:14" ht="45" customHeight="1" thickBot="1" x14ac:dyDescent="0.4">
      <c r="A3990" s="103"/>
      <c r="B3990" s="103"/>
      <c r="C3990" s="103"/>
      <c r="D3990" s="103"/>
      <c r="E3990" s="103"/>
      <c r="F3990" s="103"/>
      <c r="G3990" s="103"/>
      <c r="H3990" s="103"/>
      <c r="I3990" s="103"/>
      <c r="J3990" s="103"/>
      <c r="K3990" s="103"/>
      <c r="L3990" s="103"/>
      <c r="M3990" s="104"/>
      <c r="N3990" s="103"/>
    </row>
    <row r="3991" spans="1:14" ht="45" customHeight="1" thickBot="1" x14ac:dyDescent="0.4">
      <c r="A3991" s="103"/>
      <c r="B3991" s="103"/>
      <c r="C3991" s="103"/>
      <c r="D3991" s="103"/>
      <c r="E3991" s="103"/>
      <c r="F3991" s="103"/>
      <c r="G3991" s="103"/>
      <c r="H3991" s="103"/>
      <c r="I3991" s="103"/>
      <c r="J3991" s="103"/>
      <c r="K3991" s="103"/>
      <c r="L3991" s="103"/>
      <c r="M3991" s="104"/>
      <c r="N3991" s="103"/>
    </row>
    <row r="3992" spans="1:14" ht="45" customHeight="1" thickBot="1" x14ac:dyDescent="0.4">
      <c r="A3992" s="103"/>
      <c r="B3992" s="103"/>
      <c r="C3992" s="103"/>
      <c r="D3992" s="103"/>
      <c r="E3992" s="103"/>
      <c r="F3992" s="103"/>
      <c r="G3992" s="103"/>
      <c r="H3992" s="103"/>
      <c r="I3992" s="103"/>
      <c r="J3992" s="103"/>
      <c r="K3992" s="103"/>
      <c r="L3992" s="103"/>
      <c r="M3992" s="104"/>
      <c r="N3992" s="103"/>
    </row>
    <row r="3993" spans="1:14" ht="45" customHeight="1" thickBot="1" x14ac:dyDescent="0.4">
      <c r="A3993" s="103"/>
      <c r="B3993" s="103"/>
      <c r="C3993" s="103"/>
      <c r="D3993" s="103"/>
      <c r="E3993" s="103"/>
      <c r="F3993" s="103"/>
      <c r="G3993" s="103"/>
      <c r="H3993" s="103"/>
      <c r="I3993" s="103"/>
      <c r="J3993" s="103"/>
      <c r="K3993" s="103"/>
      <c r="L3993" s="103"/>
      <c r="M3993" s="104"/>
      <c r="N3993" s="103"/>
    </row>
    <row r="3994" spans="1:14" ht="45" customHeight="1" thickBot="1" x14ac:dyDescent="0.4">
      <c r="A3994" s="103"/>
      <c r="B3994" s="103"/>
      <c r="C3994" s="103"/>
      <c r="D3994" s="103"/>
      <c r="E3994" s="103"/>
      <c r="F3994" s="103"/>
      <c r="G3994" s="103"/>
      <c r="H3994" s="103"/>
      <c r="I3994" s="103"/>
      <c r="J3994" s="103"/>
      <c r="K3994" s="103"/>
      <c r="L3994" s="103"/>
      <c r="M3994" s="104"/>
      <c r="N3994" s="103"/>
    </row>
    <row r="3995" spans="1:14" ht="45" customHeight="1" thickBot="1" x14ac:dyDescent="0.4">
      <c r="A3995" s="103"/>
      <c r="B3995" s="103"/>
      <c r="C3995" s="103"/>
      <c r="D3995" s="103"/>
      <c r="E3995" s="103"/>
      <c r="F3995" s="103"/>
      <c r="G3995" s="103"/>
      <c r="H3995" s="103"/>
      <c r="I3995" s="103"/>
      <c r="J3995" s="103"/>
      <c r="K3995" s="103"/>
      <c r="L3995" s="103"/>
      <c r="M3995" s="104"/>
      <c r="N3995" s="103"/>
    </row>
    <row r="3996" spans="1:14" ht="45" customHeight="1" thickBot="1" x14ac:dyDescent="0.4">
      <c r="A3996" s="103"/>
      <c r="B3996" s="103"/>
      <c r="C3996" s="103"/>
      <c r="D3996" s="103"/>
      <c r="E3996" s="103"/>
      <c r="F3996" s="103"/>
      <c r="G3996" s="103"/>
      <c r="H3996" s="103"/>
      <c r="I3996" s="103"/>
      <c r="J3996" s="103"/>
      <c r="K3996" s="103"/>
      <c r="L3996" s="103"/>
      <c r="M3996" s="104"/>
      <c r="N3996" s="103"/>
    </row>
    <row r="3997" spans="1:14" ht="45" customHeight="1" thickBot="1" x14ac:dyDescent="0.4">
      <c r="A3997" s="103"/>
      <c r="B3997" s="103"/>
      <c r="C3997" s="103"/>
      <c r="D3997" s="103"/>
      <c r="E3997" s="103"/>
      <c r="F3997" s="103"/>
      <c r="G3997" s="103"/>
      <c r="H3997" s="103"/>
      <c r="I3997" s="103"/>
      <c r="J3997" s="103"/>
      <c r="K3997" s="103"/>
      <c r="L3997" s="103"/>
      <c r="M3997" s="104"/>
      <c r="N3997" s="103"/>
    </row>
    <row r="3998" spans="1:14" ht="45" customHeight="1" thickBot="1" x14ac:dyDescent="0.4">
      <c r="A3998" s="103"/>
      <c r="B3998" s="103"/>
      <c r="C3998" s="103"/>
      <c r="D3998" s="103"/>
      <c r="E3998" s="103"/>
      <c r="F3998" s="103"/>
      <c r="G3998" s="103"/>
      <c r="H3998" s="103"/>
      <c r="I3998" s="103"/>
      <c r="J3998" s="103"/>
      <c r="K3998" s="103"/>
      <c r="L3998" s="103"/>
      <c r="M3998" s="104"/>
      <c r="N3998" s="103"/>
    </row>
    <row r="3999" spans="1:14" ht="45" customHeight="1" thickBot="1" x14ac:dyDescent="0.4">
      <c r="A3999" s="103"/>
      <c r="B3999" s="103"/>
      <c r="C3999" s="103"/>
      <c r="D3999" s="103"/>
      <c r="E3999" s="103"/>
      <c r="F3999" s="103"/>
      <c r="G3999" s="103"/>
      <c r="H3999" s="103"/>
      <c r="I3999" s="103"/>
      <c r="J3999" s="103"/>
      <c r="K3999" s="103"/>
      <c r="L3999" s="103"/>
      <c r="M3999" s="104"/>
      <c r="N3999" s="103"/>
    </row>
    <row r="4000" spans="1:14" ht="45" customHeight="1" thickBot="1" x14ac:dyDescent="0.4">
      <c r="A4000" s="103"/>
      <c r="B4000" s="103"/>
      <c r="C4000" s="103"/>
      <c r="D4000" s="103"/>
      <c r="E4000" s="103"/>
      <c r="F4000" s="103"/>
      <c r="G4000" s="103"/>
      <c r="H4000" s="103"/>
      <c r="I4000" s="103"/>
      <c r="J4000" s="103"/>
      <c r="K4000" s="103"/>
      <c r="L4000" s="103"/>
      <c r="M4000" s="104"/>
      <c r="N4000" s="103"/>
    </row>
    <row r="4001" spans="1:14" ht="45" customHeight="1" thickBot="1" x14ac:dyDescent="0.4">
      <c r="A4001" s="103"/>
      <c r="B4001" s="103"/>
      <c r="C4001" s="103"/>
      <c r="D4001" s="103"/>
      <c r="E4001" s="103"/>
      <c r="F4001" s="103"/>
      <c r="G4001" s="103"/>
      <c r="H4001" s="103"/>
      <c r="I4001" s="103"/>
      <c r="J4001" s="103"/>
      <c r="K4001" s="103"/>
      <c r="L4001" s="103"/>
      <c r="M4001" s="104"/>
      <c r="N4001" s="103"/>
    </row>
    <row r="4002" spans="1:14" ht="45" customHeight="1" thickBot="1" x14ac:dyDescent="0.4">
      <c r="A4002" s="103"/>
      <c r="B4002" s="103"/>
      <c r="C4002" s="103"/>
      <c r="D4002" s="103"/>
      <c r="E4002" s="103"/>
      <c r="F4002" s="103"/>
      <c r="G4002" s="103"/>
      <c r="H4002" s="103"/>
      <c r="I4002" s="103"/>
      <c r="J4002" s="103"/>
      <c r="K4002" s="103"/>
      <c r="L4002" s="103"/>
      <c r="M4002" s="104"/>
      <c r="N4002" s="103"/>
    </row>
    <row r="4003" spans="1:14" ht="45" customHeight="1" thickBot="1" x14ac:dyDescent="0.4">
      <c r="A4003" s="103"/>
      <c r="B4003" s="103"/>
      <c r="C4003" s="103"/>
      <c r="D4003" s="103"/>
      <c r="E4003" s="103"/>
      <c r="F4003" s="103"/>
      <c r="G4003" s="103"/>
      <c r="H4003" s="103"/>
      <c r="I4003" s="103"/>
      <c r="J4003" s="103"/>
      <c r="K4003" s="103"/>
      <c r="L4003" s="103"/>
      <c r="M4003" s="104"/>
      <c r="N4003" s="103"/>
    </row>
    <row r="4004" spans="1:14" ht="45" customHeight="1" thickBot="1" x14ac:dyDescent="0.4">
      <c r="A4004" s="103"/>
      <c r="B4004" s="103"/>
      <c r="C4004" s="103"/>
      <c r="D4004" s="103"/>
      <c r="E4004" s="103"/>
      <c r="F4004" s="103"/>
      <c r="G4004" s="103"/>
      <c r="H4004" s="103"/>
      <c r="I4004" s="103"/>
      <c r="J4004" s="103"/>
      <c r="K4004" s="103"/>
      <c r="L4004" s="103"/>
      <c r="M4004" s="104"/>
      <c r="N4004" s="103"/>
    </row>
    <row r="4005" spans="1:14" ht="45" customHeight="1" thickBot="1" x14ac:dyDescent="0.4">
      <c r="A4005" s="103"/>
      <c r="B4005" s="103"/>
      <c r="C4005" s="103"/>
      <c r="D4005" s="103"/>
      <c r="E4005" s="103"/>
      <c r="F4005" s="103"/>
      <c r="G4005" s="103"/>
      <c r="H4005" s="103"/>
      <c r="I4005" s="103"/>
      <c r="J4005" s="103"/>
      <c r="K4005" s="103"/>
      <c r="L4005" s="103"/>
      <c r="M4005" s="104"/>
      <c r="N4005" s="103"/>
    </row>
    <row r="4006" spans="1:14" ht="45" customHeight="1" thickBot="1" x14ac:dyDescent="0.4">
      <c r="A4006" s="103"/>
      <c r="B4006" s="103"/>
      <c r="C4006" s="103"/>
      <c r="D4006" s="103"/>
      <c r="E4006" s="103"/>
      <c r="F4006" s="103"/>
      <c r="G4006" s="103"/>
      <c r="H4006" s="103"/>
      <c r="I4006" s="103"/>
      <c r="J4006" s="103"/>
      <c r="K4006" s="103"/>
      <c r="L4006" s="103"/>
      <c r="M4006" s="104"/>
      <c r="N4006" s="103"/>
    </row>
    <row r="4007" spans="1:14" ht="45" customHeight="1" thickBot="1" x14ac:dyDescent="0.4">
      <c r="A4007" s="103"/>
      <c r="B4007" s="103"/>
      <c r="C4007" s="103"/>
      <c r="D4007" s="103"/>
      <c r="E4007" s="103"/>
      <c r="F4007" s="103"/>
      <c r="G4007" s="103"/>
      <c r="H4007" s="103"/>
      <c r="I4007" s="103"/>
      <c r="J4007" s="103"/>
      <c r="K4007" s="103"/>
      <c r="L4007" s="103"/>
      <c r="M4007" s="104"/>
      <c r="N4007" s="103"/>
    </row>
    <row r="4008" spans="1:14" ht="45" customHeight="1" thickBot="1" x14ac:dyDescent="0.4">
      <c r="A4008" s="103"/>
      <c r="B4008" s="103"/>
      <c r="C4008" s="103"/>
      <c r="D4008" s="103"/>
      <c r="E4008" s="103"/>
      <c r="F4008" s="103"/>
      <c r="G4008" s="103"/>
      <c r="H4008" s="103"/>
      <c r="I4008" s="103"/>
      <c r="J4008" s="103"/>
      <c r="K4008" s="103"/>
      <c r="L4008" s="103"/>
      <c r="M4008" s="104"/>
      <c r="N4008" s="103"/>
    </row>
    <row r="4009" spans="1:14" ht="45" customHeight="1" thickBot="1" x14ac:dyDescent="0.4">
      <c r="A4009" s="103"/>
      <c r="B4009" s="103"/>
      <c r="C4009" s="103"/>
      <c r="D4009" s="103"/>
      <c r="E4009" s="103"/>
      <c r="F4009" s="103"/>
      <c r="G4009" s="103"/>
      <c r="H4009" s="103"/>
      <c r="I4009" s="103"/>
      <c r="J4009" s="103"/>
      <c r="K4009" s="103"/>
      <c r="L4009" s="103"/>
      <c r="M4009" s="104"/>
      <c r="N4009" s="103"/>
    </row>
    <row r="4010" spans="1:14" ht="45" customHeight="1" thickBot="1" x14ac:dyDescent="0.4">
      <c r="A4010" s="103"/>
      <c r="B4010" s="103"/>
      <c r="C4010" s="103"/>
      <c r="D4010" s="103"/>
      <c r="E4010" s="103"/>
      <c r="F4010" s="103"/>
      <c r="G4010" s="103"/>
      <c r="H4010" s="103"/>
      <c r="I4010" s="103"/>
      <c r="J4010" s="103"/>
      <c r="K4010" s="103"/>
      <c r="L4010" s="103"/>
      <c r="M4010" s="104"/>
      <c r="N4010" s="103"/>
    </row>
    <row r="4011" spans="1:14" ht="45" customHeight="1" thickBot="1" x14ac:dyDescent="0.4">
      <c r="A4011" s="103"/>
      <c r="B4011" s="103"/>
      <c r="C4011" s="103"/>
      <c r="D4011" s="103"/>
      <c r="E4011" s="103"/>
      <c r="F4011" s="103"/>
      <c r="G4011" s="103"/>
      <c r="H4011" s="103"/>
      <c r="I4011" s="103"/>
      <c r="J4011" s="103"/>
      <c r="K4011" s="103"/>
      <c r="L4011" s="103"/>
      <c r="M4011" s="104"/>
      <c r="N4011" s="103"/>
    </row>
    <row r="4012" spans="1:14" ht="45" customHeight="1" thickBot="1" x14ac:dyDescent="0.4">
      <c r="A4012" s="103"/>
      <c r="B4012" s="103"/>
      <c r="C4012" s="103"/>
      <c r="D4012" s="103"/>
      <c r="E4012" s="103"/>
      <c r="F4012" s="103"/>
      <c r="G4012" s="103"/>
      <c r="H4012" s="103"/>
      <c r="I4012" s="103"/>
      <c r="J4012" s="103"/>
      <c r="K4012" s="103"/>
      <c r="L4012" s="103"/>
      <c r="M4012" s="104"/>
      <c r="N4012" s="103"/>
    </row>
    <row r="4013" spans="1:14" ht="45" customHeight="1" thickBot="1" x14ac:dyDescent="0.4">
      <c r="A4013" s="103"/>
      <c r="B4013" s="103"/>
      <c r="C4013" s="103"/>
      <c r="D4013" s="103"/>
      <c r="E4013" s="103"/>
      <c r="F4013" s="103"/>
      <c r="G4013" s="103"/>
      <c r="H4013" s="103"/>
      <c r="I4013" s="103"/>
      <c r="J4013" s="103"/>
      <c r="K4013" s="103"/>
      <c r="L4013" s="103"/>
      <c r="M4013" s="104"/>
      <c r="N4013" s="103"/>
    </row>
    <row r="4014" spans="1:14" ht="45" customHeight="1" thickBot="1" x14ac:dyDescent="0.4">
      <c r="A4014" s="103"/>
      <c r="B4014" s="103"/>
      <c r="C4014" s="103"/>
      <c r="D4014" s="103"/>
      <c r="E4014" s="103"/>
      <c r="F4014" s="103"/>
      <c r="G4014" s="103"/>
      <c r="H4014" s="103"/>
      <c r="I4014" s="103"/>
      <c r="J4014" s="103"/>
      <c r="K4014" s="103"/>
      <c r="L4014" s="103"/>
      <c r="M4014" s="104"/>
      <c r="N4014" s="103"/>
    </row>
    <row r="4015" spans="1:14" ht="45" customHeight="1" thickBot="1" x14ac:dyDescent="0.4">
      <c r="A4015" s="103"/>
      <c r="B4015" s="103"/>
      <c r="C4015" s="103"/>
      <c r="D4015" s="103"/>
      <c r="E4015" s="103"/>
      <c r="F4015" s="103"/>
      <c r="G4015" s="103"/>
      <c r="H4015" s="103"/>
      <c r="I4015" s="103"/>
      <c r="J4015" s="103"/>
      <c r="K4015" s="103"/>
      <c r="L4015" s="103"/>
      <c r="M4015" s="104"/>
      <c r="N4015" s="103"/>
    </row>
    <row r="4016" spans="1:14" ht="45" customHeight="1" thickBot="1" x14ac:dyDescent="0.4">
      <c r="A4016" s="103"/>
      <c r="B4016" s="103"/>
      <c r="C4016" s="103"/>
      <c r="D4016" s="103"/>
      <c r="E4016" s="103"/>
      <c r="F4016" s="103"/>
      <c r="G4016" s="103"/>
      <c r="H4016" s="103"/>
      <c r="I4016" s="103"/>
      <c r="J4016" s="103"/>
      <c r="K4016" s="103"/>
      <c r="L4016" s="103"/>
      <c r="M4016" s="104"/>
      <c r="N4016" s="103"/>
    </row>
    <row r="4017" spans="1:14" ht="45" customHeight="1" thickBot="1" x14ac:dyDescent="0.4">
      <c r="A4017" s="103"/>
      <c r="B4017" s="103"/>
      <c r="C4017" s="103"/>
      <c r="D4017" s="103"/>
      <c r="E4017" s="103"/>
      <c r="F4017" s="103"/>
      <c r="G4017" s="103"/>
      <c r="H4017" s="103"/>
      <c r="I4017" s="103"/>
      <c r="J4017" s="103"/>
      <c r="K4017" s="103"/>
      <c r="L4017" s="103"/>
      <c r="M4017" s="104"/>
      <c r="N4017" s="103"/>
    </row>
    <row r="4018" spans="1:14" ht="45" customHeight="1" thickBot="1" x14ac:dyDescent="0.4">
      <c r="A4018" s="103"/>
      <c r="B4018" s="103"/>
      <c r="C4018" s="103"/>
      <c r="D4018" s="103"/>
      <c r="E4018" s="103"/>
      <c r="F4018" s="103"/>
      <c r="G4018" s="103"/>
      <c r="H4018" s="103"/>
      <c r="I4018" s="103"/>
      <c r="J4018" s="103"/>
      <c r="K4018" s="103"/>
      <c r="L4018" s="103"/>
      <c r="M4018" s="104"/>
      <c r="N4018" s="103"/>
    </row>
    <row r="4019" spans="1:14" ht="45" customHeight="1" thickBot="1" x14ac:dyDescent="0.4">
      <c r="A4019" s="103"/>
      <c r="B4019" s="103"/>
      <c r="C4019" s="103"/>
      <c r="D4019" s="103"/>
      <c r="E4019" s="103"/>
      <c r="F4019" s="103"/>
      <c r="G4019" s="103"/>
      <c r="H4019" s="103"/>
      <c r="I4019" s="103"/>
      <c r="J4019" s="103"/>
      <c r="K4019" s="103"/>
      <c r="L4019" s="103"/>
      <c r="M4019" s="104"/>
      <c r="N4019" s="103"/>
    </row>
    <row r="4020" spans="1:14" ht="45" customHeight="1" thickBot="1" x14ac:dyDescent="0.4">
      <c r="A4020" s="103"/>
      <c r="B4020" s="103"/>
      <c r="C4020" s="103"/>
      <c r="D4020" s="103"/>
      <c r="E4020" s="103"/>
      <c r="F4020" s="103"/>
      <c r="G4020" s="103"/>
      <c r="H4020" s="103"/>
      <c r="I4020" s="103"/>
      <c r="J4020" s="103"/>
      <c r="K4020" s="103"/>
      <c r="L4020" s="103"/>
      <c r="M4020" s="104"/>
      <c r="N4020" s="103"/>
    </row>
    <row r="4021" spans="1:14" ht="45" customHeight="1" thickBot="1" x14ac:dyDescent="0.4">
      <c r="A4021" s="103"/>
      <c r="B4021" s="103"/>
      <c r="C4021" s="103"/>
      <c r="D4021" s="103"/>
      <c r="E4021" s="103"/>
      <c r="F4021" s="103"/>
      <c r="G4021" s="103"/>
      <c r="H4021" s="103"/>
      <c r="I4021" s="103"/>
      <c r="J4021" s="103"/>
      <c r="K4021" s="103"/>
      <c r="L4021" s="103"/>
      <c r="M4021" s="104"/>
      <c r="N4021" s="103"/>
    </row>
    <row r="4022" spans="1:14" ht="45" customHeight="1" thickBot="1" x14ac:dyDescent="0.4">
      <c r="A4022" s="103"/>
      <c r="B4022" s="103"/>
      <c r="C4022" s="103"/>
      <c r="D4022" s="103"/>
      <c r="E4022" s="103"/>
      <c r="F4022" s="103"/>
      <c r="G4022" s="103"/>
      <c r="H4022" s="103"/>
      <c r="I4022" s="103"/>
      <c r="J4022" s="103"/>
      <c r="K4022" s="103"/>
      <c r="L4022" s="103"/>
      <c r="M4022" s="104"/>
      <c r="N4022" s="103"/>
    </row>
    <row r="4023" spans="1:14" ht="45" customHeight="1" thickBot="1" x14ac:dyDescent="0.4">
      <c r="A4023" s="103"/>
      <c r="B4023" s="103"/>
      <c r="C4023" s="103"/>
      <c r="D4023" s="103"/>
      <c r="E4023" s="103"/>
      <c r="F4023" s="103"/>
      <c r="G4023" s="103"/>
      <c r="H4023" s="103"/>
      <c r="I4023" s="103"/>
      <c r="J4023" s="103"/>
      <c r="K4023" s="103"/>
      <c r="L4023" s="103"/>
      <c r="M4023" s="104"/>
      <c r="N4023" s="103"/>
    </row>
    <row r="4024" spans="1:14" ht="45" customHeight="1" thickBot="1" x14ac:dyDescent="0.4">
      <c r="A4024" s="103"/>
      <c r="B4024" s="103"/>
      <c r="C4024" s="103"/>
      <c r="D4024" s="103"/>
      <c r="E4024" s="103"/>
      <c r="F4024" s="103"/>
      <c r="G4024" s="103"/>
      <c r="H4024" s="103"/>
      <c r="I4024" s="103"/>
      <c r="J4024" s="103"/>
      <c r="K4024" s="103"/>
      <c r="L4024" s="103"/>
      <c r="M4024" s="104"/>
      <c r="N4024" s="103"/>
    </row>
    <row r="4025" spans="1:14" ht="45" customHeight="1" thickBot="1" x14ac:dyDescent="0.4">
      <c r="A4025" s="103"/>
      <c r="B4025" s="103"/>
      <c r="C4025" s="103"/>
      <c r="D4025" s="103"/>
      <c r="E4025" s="103"/>
      <c r="F4025" s="103"/>
      <c r="G4025" s="103"/>
      <c r="H4025" s="103"/>
      <c r="I4025" s="103"/>
      <c r="J4025" s="103"/>
      <c r="K4025" s="103"/>
      <c r="L4025" s="103"/>
      <c r="M4025" s="104"/>
      <c r="N4025" s="103"/>
    </row>
    <row r="4026" spans="1:14" ht="45" customHeight="1" thickBot="1" x14ac:dyDescent="0.4">
      <c r="A4026" s="103"/>
      <c r="B4026" s="103"/>
      <c r="C4026" s="103"/>
      <c r="D4026" s="103"/>
      <c r="E4026" s="103"/>
      <c r="F4026" s="103"/>
      <c r="G4026" s="103"/>
      <c r="H4026" s="103"/>
      <c r="I4026" s="103"/>
      <c r="J4026" s="103"/>
      <c r="K4026" s="103"/>
      <c r="L4026" s="103"/>
      <c r="M4026" s="104"/>
      <c r="N4026" s="103"/>
    </row>
    <row r="4027" spans="1:14" ht="45" customHeight="1" thickBot="1" x14ac:dyDescent="0.4">
      <c r="A4027" s="103"/>
      <c r="B4027" s="103"/>
      <c r="C4027" s="103"/>
      <c r="D4027" s="103"/>
      <c r="E4027" s="103"/>
      <c r="F4027" s="103"/>
      <c r="G4027" s="103"/>
      <c r="H4027" s="103"/>
      <c r="I4027" s="103"/>
      <c r="J4027" s="103"/>
      <c r="K4027" s="103"/>
      <c r="L4027" s="103"/>
      <c r="M4027" s="104"/>
      <c r="N4027" s="103"/>
    </row>
    <row r="4028" spans="1:14" ht="45" customHeight="1" thickBot="1" x14ac:dyDescent="0.4">
      <c r="A4028" s="103"/>
      <c r="B4028" s="103"/>
      <c r="C4028" s="103"/>
      <c r="D4028" s="103"/>
      <c r="E4028" s="103"/>
      <c r="F4028" s="103"/>
      <c r="G4028" s="103"/>
      <c r="H4028" s="103"/>
      <c r="I4028" s="103"/>
      <c r="J4028" s="103"/>
      <c r="K4028" s="103"/>
      <c r="L4028" s="103"/>
      <c r="M4028" s="104"/>
      <c r="N4028" s="103"/>
    </row>
    <row r="4029" spans="1:14" ht="45" customHeight="1" thickBot="1" x14ac:dyDescent="0.4">
      <c r="A4029" s="103"/>
      <c r="B4029" s="103"/>
      <c r="C4029" s="103"/>
      <c r="D4029" s="103"/>
      <c r="E4029" s="103"/>
      <c r="F4029" s="103"/>
      <c r="G4029" s="103"/>
      <c r="H4029" s="103"/>
      <c r="I4029" s="103"/>
      <c r="J4029" s="103"/>
      <c r="K4029" s="103"/>
      <c r="L4029" s="103"/>
      <c r="M4029" s="104"/>
      <c r="N4029" s="103"/>
    </row>
    <row r="4030" spans="1:14" ht="45" customHeight="1" thickBot="1" x14ac:dyDescent="0.4">
      <c r="A4030" s="103"/>
      <c r="B4030" s="103"/>
      <c r="C4030" s="103"/>
      <c r="D4030" s="103"/>
      <c r="E4030" s="103"/>
      <c r="F4030" s="103"/>
      <c r="G4030" s="103"/>
      <c r="H4030" s="103"/>
      <c r="I4030" s="103"/>
      <c r="J4030" s="103"/>
      <c r="K4030" s="103"/>
      <c r="L4030" s="103"/>
      <c r="M4030" s="104"/>
      <c r="N4030" s="103"/>
    </row>
    <row r="4031" spans="1:14" ht="45" customHeight="1" thickBot="1" x14ac:dyDescent="0.4">
      <c r="A4031" s="103"/>
      <c r="B4031" s="103"/>
      <c r="C4031" s="103"/>
      <c r="D4031" s="103"/>
      <c r="E4031" s="103"/>
      <c r="F4031" s="103"/>
      <c r="G4031" s="103"/>
      <c r="H4031" s="103"/>
      <c r="I4031" s="103"/>
      <c r="J4031" s="103"/>
      <c r="K4031" s="103"/>
      <c r="L4031" s="103"/>
      <c r="M4031" s="104"/>
      <c r="N4031" s="103"/>
    </row>
    <row r="4032" spans="1:14" ht="45" customHeight="1" thickBot="1" x14ac:dyDescent="0.4">
      <c r="A4032" s="103"/>
      <c r="B4032" s="103"/>
      <c r="C4032" s="103"/>
      <c r="D4032" s="103"/>
      <c r="E4032" s="103"/>
      <c r="F4032" s="103"/>
      <c r="G4032" s="103"/>
      <c r="H4032" s="103"/>
      <c r="I4032" s="103"/>
      <c r="J4032" s="103"/>
      <c r="K4032" s="103"/>
      <c r="L4032" s="103"/>
      <c r="M4032" s="104"/>
      <c r="N4032" s="103"/>
    </row>
    <row r="4033" spans="1:14" ht="45" customHeight="1" thickBot="1" x14ac:dyDescent="0.4">
      <c r="A4033" s="103"/>
      <c r="B4033" s="103"/>
      <c r="C4033" s="103"/>
      <c r="D4033" s="103"/>
      <c r="E4033" s="103"/>
      <c r="F4033" s="103"/>
      <c r="G4033" s="103"/>
      <c r="H4033" s="103"/>
      <c r="I4033" s="103"/>
      <c r="J4033" s="103"/>
      <c r="K4033" s="103"/>
      <c r="L4033" s="103"/>
      <c r="M4033" s="104"/>
      <c r="N4033" s="103"/>
    </row>
    <row r="4034" spans="1:14" ht="45" customHeight="1" thickBot="1" x14ac:dyDescent="0.4">
      <c r="A4034" s="103"/>
      <c r="B4034" s="103"/>
      <c r="C4034" s="103"/>
      <c r="D4034" s="103"/>
      <c r="E4034" s="103"/>
      <c r="F4034" s="103"/>
      <c r="G4034" s="103"/>
      <c r="H4034" s="103"/>
      <c r="I4034" s="103"/>
      <c r="J4034" s="103"/>
      <c r="K4034" s="103"/>
      <c r="L4034" s="103"/>
      <c r="M4034" s="104"/>
      <c r="N4034" s="103"/>
    </row>
    <row r="4035" spans="1:14" ht="45" customHeight="1" thickBot="1" x14ac:dyDescent="0.4">
      <c r="A4035" s="103"/>
      <c r="B4035" s="103"/>
      <c r="C4035" s="103"/>
      <c r="D4035" s="103"/>
      <c r="E4035" s="103"/>
      <c r="F4035" s="103"/>
      <c r="G4035" s="103"/>
      <c r="H4035" s="103"/>
      <c r="I4035" s="103"/>
      <c r="J4035" s="103"/>
      <c r="K4035" s="103"/>
      <c r="L4035" s="103"/>
      <c r="M4035" s="104"/>
      <c r="N4035" s="103"/>
    </row>
    <row r="4036" spans="1:14" ht="45" customHeight="1" thickBot="1" x14ac:dyDescent="0.4">
      <c r="A4036" s="103"/>
      <c r="B4036" s="103"/>
      <c r="C4036" s="103"/>
      <c r="D4036" s="103"/>
      <c r="E4036" s="103"/>
      <c r="F4036" s="103"/>
      <c r="G4036" s="103"/>
      <c r="H4036" s="103"/>
      <c r="I4036" s="103"/>
      <c r="J4036" s="103"/>
      <c r="K4036" s="103"/>
      <c r="L4036" s="103"/>
      <c r="M4036" s="104"/>
      <c r="N4036" s="103"/>
    </row>
    <row r="4037" spans="1:14" ht="45" customHeight="1" thickBot="1" x14ac:dyDescent="0.4">
      <c r="A4037" s="103"/>
      <c r="B4037" s="103"/>
      <c r="C4037" s="103"/>
      <c r="D4037" s="103"/>
      <c r="E4037" s="103"/>
      <c r="F4037" s="103"/>
      <c r="G4037" s="103"/>
      <c r="H4037" s="103"/>
      <c r="I4037" s="103"/>
      <c r="J4037" s="103"/>
      <c r="K4037" s="103"/>
      <c r="L4037" s="103"/>
      <c r="M4037" s="104"/>
      <c r="N4037" s="103"/>
    </row>
    <row r="4038" spans="1:14" ht="45" customHeight="1" thickBot="1" x14ac:dyDescent="0.4">
      <c r="A4038" s="103"/>
      <c r="B4038" s="103"/>
      <c r="C4038" s="103"/>
      <c r="D4038" s="103"/>
      <c r="E4038" s="103"/>
      <c r="F4038" s="103"/>
      <c r="G4038" s="103"/>
      <c r="H4038" s="103"/>
      <c r="I4038" s="103"/>
      <c r="J4038" s="103"/>
      <c r="K4038" s="103"/>
      <c r="L4038" s="103"/>
      <c r="M4038" s="104"/>
      <c r="N4038" s="103"/>
    </row>
    <row r="4039" spans="1:14" ht="45" customHeight="1" thickBot="1" x14ac:dyDescent="0.4">
      <c r="A4039" s="103"/>
      <c r="B4039" s="103"/>
      <c r="C4039" s="103"/>
      <c r="D4039" s="103"/>
      <c r="E4039" s="103"/>
      <c r="F4039" s="103"/>
      <c r="G4039" s="103"/>
      <c r="H4039" s="103"/>
      <c r="I4039" s="103"/>
      <c r="J4039" s="103"/>
      <c r="K4039" s="103"/>
      <c r="L4039" s="103"/>
      <c r="M4039" s="104"/>
      <c r="N4039" s="103"/>
    </row>
    <row r="4040" spans="1:14" ht="45" customHeight="1" thickBot="1" x14ac:dyDescent="0.4">
      <c r="A4040" s="103"/>
      <c r="B4040" s="103"/>
      <c r="C4040" s="103"/>
      <c r="D4040" s="103"/>
      <c r="E4040" s="103"/>
      <c r="F4040" s="103"/>
      <c r="G4040" s="103"/>
      <c r="H4040" s="103"/>
      <c r="I4040" s="103"/>
      <c r="J4040" s="103"/>
      <c r="K4040" s="103"/>
      <c r="L4040" s="103"/>
      <c r="M4040" s="104"/>
      <c r="N4040" s="103"/>
    </row>
    <row r="4041" spans="1:14" ht="45" customHeight="1" thickBot="1" x14ac:dyDescent="0.4">
      <c r="A4041" s="103"/>
      <c r="B4041" s="103"/>
      <c r="C4041" s="103"/>
      <c r="D4041" s="103"/>
      <c r="E4041" s="103"/>
      <c r="F4041" s="103"/>
      <c r="G4041" s="103"/>
      <c r="H4041" s="103"/>
      <c r="I4041" s="103"/>
      <c r="J4041" s="103"/>
      <c r="K4041" s="103"/>
      <c r="L4041" s="103"/>
      <c r="M4041" s="104"/>
      <c r="N4041" s="103"/>
    </row>
    <row r="4042" spans="1:14" ht="45" customHeight="1" thickBot="1" x14ac:dyDescent="0.4">
      <c r="A4042" s="103"/>
      <c r="B4042" s="103"/>
      <c r="C4042" s="103"/>
      <c r="D4042" s="103"/>
      <c r="E4042" s="103"/>
      <c r="F4042" s="103"/>
      <c r="G4042" s="103"/>
      <c r="H4042" s="103"/>
      <c r="I4042" s="103"/>
      <c r="J4042" s="103"/>
      <c r="K4042" s="103"/>
      <c r="L4042" s="103"/>
      <c r="M4042" s="104"/>
      <c r="N4042" s="103"/>
    </row>
    <row r="4043" spans="1:14" ht="45" customHeight="1" thickBot="1" x14ac:dyDescent="0.4">
      <c r="A4043" s="103"/>
      <c r="B4043" s="103"/>
      <c r="C4043" s="103"/>
      <c r="D4043" s="103"/>
      <c r="E4043" s="103"/>
      <c r="F4043" s="103"/>
      <c r="G4043" s="103"/>
      <c r="H4043" s="103"/>
      <c r="I4043" s="103"/>
      <c r="J4043" s="103"/>
      <c r="K4043" s="103"/>
      <c r="L4043" s="103"/>
      <c r="M4043" s="104"/>
      <c r="N4043" s="103"/>
    </row>
    <row r="4044" spans="1:14" ht="45" customHeight="1" thickBot="1" x14ac:dyDescent="0.4">
      <c r="A4044" s="103"/>
      <c r="B4044" s="103"/>
      <c r="C4044" s="103"/>
      <c r="D4044" s="103"/>
      <c r="E4044" s="103"/>
      <c r="F4044" s="103"/>
      <c r="G4044" s="103"/>
      <c r="H4044" s="103"/>
      <c r="I4044" s="103"/>
      <c r="J4044" s="103"/>
      <c r="K4044" s="103"/>
      <c r="L4044" s="103"/>
      <c r="M4044" s="104"/>
      <c r="N4044" s="103"/>
    </row>
    <row r="4045" spans="1:14" ht="45" customHeight="1" thickBot="1" x14ac:dyDescent="0.4">
      <c r="A4045" s="103"/>
      <c r="B4045" s="103"/>
      <c r="C4045" s="103"/>
      <c r="D4045" s="103"/>
      <c r="E4045" s="103"/>
      <c r="F4045" s="103"/>
      <c r="G4045" s="103"/>
      <c r="H4045" s="103"/>
      <c r="I4045" s="103"/>
      <c r="J4045" s="103"/>
      <c r="K4045" s="103"/>
      <c r="L4045" s="103"/>
      <c r="M4045" s="104"/>
      <c r="N4045" s="103"/>
    </row>
    <row r="4046" spans="1:14" ht="45" customHeight="1" thickBot="1" x14ac:dyDescent="0.4">
      <c r="A4046" s="103"/>
      <c r="B4046" s="103"/>
      <c r="C4046" s="103"/>
      <c r="D4046" s="103"/>
      <c r="E4046" s="103"/>
      <c r="F4046" s="103"/>
      <c r="G4046" s="103"/>
      <c r="H4046" s="103"/>
      <c r="I4046" s="103"/>
      <c r="J4046" s="103"/>
      <c r="K4046" s="103"/>
      <c r="L4046" s="103"/>
      <c r="M4046" s="104"/>
      <c r="N4046" s="103"/>
    </row>
    <row r="4047" spans="1:14" ht="45" customHeight="1" thickBot="1" x14ac:dyDescent="0.4">
      <c r="A4047" s="103"/>
      <c r="B4047" s="103"/>
      <c r="C4047" s="103"/>
      <c r="D4047" s="103"/>
      <c r="E4047" s="103"/>
      <c r="F4047" s="103"/>
      <c r="G4047" s="103"/>
      <c r="H4047" s="103"/>
      <c r="I4047" s="103"/>
      <c r="J4047" s="103"/>
      <c r="K4047" s="103"/>
      <c r="L4047" s="103"/>
      <c r="M4047" s="104"/>
      <c r="N4047" s="103"/>
    </row>
    <row r="4048" spans="1:14" ht="45" customHeight="1" thickBot="1" x14ac:dyDescent="0.4">
      <c r="A4048" s="103"/>
      <c r="B4048" s="103"/>
      <c r="C4048" s="103"/>
      <c r="D4048" s="103"/>
      <c r="E4048" s="103"/>
      <c r="F4048" s="103"/>
      <c r="G4048" s="103"/>
      <c r="H4048" s="103"/>
      <c r="I4048" s="103"/>
      <c r="J4048" s="103"/>
      <c r="K4048" s="103"/>
      <c r="L4048" s="103"/>
      <c r="M4048" s="104"/>
      <c r="N4048" s="103"/>
    </row>
    <row r="4049" spans="1:14" ht="45" customHeight="1" thickBot="1" x14ac:dyDescent="0.4">
      <c r="A4049" s="103"/>
      <c r="B4049" s="103"/>
      <c r="C4049" s="103"/>
      <c r="D4049" s="103"/>
      <c r="E4049" s="103"/>
      <c r="F4049" s="103"/>
      <c r="G4049" s="103"/>
      <c r="H4049" s="103"/>
      <c r="I4049" s="103"/>
      <c r="J4049" s="103"/>
      <c r="K4049" s="103"/>
      <c r="L4049" s="103"/>
      <c r="M4049" s="104"/>
      <c r="N4049" s="103"/>
    </row>
    <row r="4050" spans="1:14" ht="45" customHeight="1" thickBot="1" x14ac:dyDescent="0.4">
      <c r="A4050" s="103"/>
      <c r="B4050" s="103"/>
      <c r="C4050" s="103"/>
      <c r="D4050" s="103"/>
      <c r="E4050" s="103"/>
      <c r="F4050" s="103"/>
      <c r="G4050" s="103"/>
      <c r="H4050" s="103"/>
      <c r="I4050" s="103"/>
      <c r="J4050" s="103"/>
      <c r="K4050" s="103"/>
      <c r="L4050" s="103"/>
      <c r="M4050" s="104"/>
      <c r="N4050" s="103"/>
    </row>
    <row r="4051" spans="1:14" ht="45" customHeight="1" thickBot="1" x14ac:dyDescent="0.4">
      <c r="A4051" s="103"/>
      <c r="B4051" s="103"/>
      <c r="C4051" s="103"/>
      <c r="D4051" s="103"/>
      <c r="E4051" s="103"/>
      <c r="F4051" s="103"/>
      <c r="G4051" s="103"/>
      <c r="H4051" s="103"/>
      <c r="I4051" s="103"/>
      <c r="J4051" s="103"/>
      <c r="K4051" s="103"/>
      <c r="L4051" s="103"/>
      <c r="M4051" s="104"/>
      <c r="N4051" s="103"/>
    </row>
    <row r="4052" spans="1:14" ht="45" customHeight="1" thickBot="1" x14ac:dyDescent="0.4">
      <c r="A4052" s="103"/>
      <c r="B4052" s="103"/>
      <c r="C4052" s="103"/>
      <c r="D4052" s="103"/>
      <c r="E4052" s="103"/>
      <c r="F4052" s="103"/>
      <c r="G4052" s="103"/>
      <c r="H4052" s="103"/>
      <c r="I4052" s="103"/>
      <c r="J4052" s="103"/>
      <c r="K4052" s="103"/>
      <c r="L4052" s="103"/>
      <c r="M4052" s="104"/>
      <c r="N4052" s="103"/>
    </row>
    <row r="4053" spans="1:14" ht="45" customHeight="1" thickBot="1" x14ac:dyDescent="0.4">
      <c r="A4053" s="103"/>
      <c r="B4053" s="103"/>
      <c r="C4053" s="103"/>
      <c r="D4053" s="103"/>
      <c r="E4053" s="103"/>
      <c r="F4053" s="103"/>
      <c r="G4053" s="103"/>
      <c r="H4053" s="103"/>
      <c r="I4053" s="103"/>
      <c r="J4053" s="103"/>
      <c r="K4053" s="103"/>
      <c r="L4053" s="103"/>
      <c r="M4053" s="104"/>
      <c r="N4053" s="103"/>
    </row>
    <row r="4054" spans="1:14" ht="45" customHeight="1" thickBot="1" x14ac:dyDescent="0.4">
      <c r="A4054" s="103"/>
      <c r="B4054" s="103"/>
      <c r="C4054" s="103"/>
      <c r="D4054" s="103"/>
      <c r="E4054" s="103"/>
      <c r="F4054" s="103"/>
      <c r="G4054" s="103"/>
      <c r="H4054" s="103"/>
      <c r="I4054" s="103"/>
      <c r="J4054" s="103"/>
      <c r="K4054" s="103"/>
      <c r="L4054" s="103"/>
      <c r="M4054" s="104"/>
      <c r="N4054" s="103"/>
    </row>
    <row r="4055" spans="1:14" ht="45" customHeight="1" thickBot="1" x14ac:dyDescent="0.4">
      <c r="A4055" s="103"/>
      <c r="B4055" s="103"/>
      <c r="C4055" s="103"/>
      <c r="D4055" s="103"/>
      <c r="E4055" s="103"/>
      <c r="F4055" s="103"/>
      <c r="G4055" s="103"/>
      <c r="H4055" s="103"/>
      <c r="I4055" s="103"/>
      <c r="J4055" s="103"/>
      <c r="K4055" s="103"/>
      <c r="L4055" s="103"/>
      <c r="M4055" s="104"/>
      <c r="N4055" s="103"/>
    </row>
    <row r="4056" spans="1:14" ht="45" customHeight="1" thickBot="1" x14ac:dyDescent="0.4">
      <c r="A4056" s="103"/>
      <c r="B4056" s="103"/>
      <c r="C4056" s="103"/>
      <c r="D4056" s="103"/>
      <c r="E4056" s="103"/>
      <c r="F4056" s="103"/>
      <c r="G4056" s="103"/>
      <c r="H4056" s="103"/>
      <c r="I4056" s="103"/>
      <c r="J4056" s="103"/>
      <c r="K4056" s="103"/>
      <c r="L4056" s="103"/>
      <c r="M4056" s="104"/>
      <c r="N4056" s="103"/>
    </row>
    <row r="4057" spans="1:14" ht="45" customHeight="1" thickBot="1" x14ac:dyDescent="0.4">
      <c r="A4057" s="103"/>
      <c r="B4057" s="103"/>
      <c r="C4057" s="103"/>
      <c r="D4057" s="103"/>
      <c r="E4057" s="103"/>
      <c r="F4057" s="103"/>
      <c r="G4057" s="103"/>
      <c r="H4057" s="103"/>
      <c r="I4057" s="103"/>
      <c r="J4057" s="103"/>
      <c r="K4057" s="103"/>
      <c r="L4057" s="103"/>
      <c r="M4057" s="104"/>
      <c r="N4057" s="103"/>
    </row>
    <row r="4058" spans="1:14" ht="45" customHeight="1" thickBot="1" x14ac:dyDescent="0.4">
      <c r="A4058" s="103"/>
      <c r="B4058" s="103"/>
      <c r="C4058" s="103"/>
      <c r="D4058" s="103"/>
      <c r="E4058" s="103"/>
      <c r="F4058" s="103"/>
      <c r="G4058" s="103"/>
      <c r="H4058" s="103"/>
      <c r="I4058" s="103"/>
      <c r="J4058" s="103"/>
      <c r="K4058" s="103"/>
      <c r="L4058" s="103"/>
      <c r="M4058" s="104"/>
      <c r="N4058" s="103"/>
    </row>
    <row r="4059" spans="1:14" ht="45" customHeight="1" thickBot="1" x14ac:dyDescent="0.4">
      <c r="A4059" s="103"/>
      <c r="B4059" s="103"/>
      <c r="C4059" s="103"/>
      <c r="D4059" s="103"/>
      <c r="E4059" s="103"/>
      <c r="F4059" s="103"/>
      <c r="G4059" s="103"/>
      <c r="H4059" s="103"/>
      <c r="I4059" s="103"/>
      <c r="J4059" s="103"/>
      <c r="K4059" s="103"/>
      <c r="L4059" s="103"/>
      <c r="M4059" s="104"/>
      <c r="N4059" s="103"/>
    </row>
    <row r="4060" spans="1:14" ht="45" customHeight="1" thickBot="1" x14ac:dyDescent="0.4">
      <c r="A4060" s="103"/>
      <c r="B4060" s="103"/>
      <c r="C4060" s="103"/>
      <c r="D4060" s="103"/>
      <c r="E4060" s="103"/>
      <c r="F4060" s="103"/>
      <c r="G4060" s="103"/>
      <c r="H4060" s="103"/>
      <c r="I4060" s="103"/>
      <c r="J4060" s="103"/>
      <c r="K4060" s="103"/>
      <c r="L4060" s="103"/>
      <c r="M4060" s="104"/>
      <c r="N4060" s="103"/>
    </row>
    <row r="4061" spans="1:14" ht="45" customHeight="1" thickBot="1" x14ac:dyDescent="0.4">
      <c r="A4061" s="103"/>
      <c r="B4061" s="103"/>
      <c r="C4061" s="103"/>
      <c r="D4061" s="103"/>
      <c r="E4061" s="103"/>
      <c r="F4061" s="103"/>
      <c r="G4061" s="103"/>
      <c r="H4061" s="103"/>
      <c r="I4061" s="103"/>
      <c r="J4061" s="103"/>
      <c r="K4061" s="103"/>
      <c r="L4061" s="103"/>
      <c r="M4061" s="104"/>
      <c r="N4061" s="103"/>
    </row>
    <row r="4062" spans="1:14" ht="45" customHeight="1" thickBot="1" x14ac:dyDescent="0.4">
      <c r="A4062" s="103"/>
      <c r="B4062" s="103"/>
      <c r="C4062" s="103"/>
      <c r="D4062" s="103"/>
      <c r="E4062" s="103"/>
      <c r="F4062" s="103"/>
      <c r="G4062" s="103"/>
      <c r="H4062" s="103"/>
      <c r="I4062" s="103"/>
      <c r="J4062" s="103"/>
      <c r="K4062" s="103"/>
      <c r="L4062" s="103"/>
      <c r="M4062" s="104"/>
      <c r="N4062" s="103"/>
    </row>
    <row r="4063" spans="1:14" ht="45" customHeight="1" thickBot="1" x14ac:dyDescent="0.4">
      <c r="A4063" s="103"/>
      <c r="B4063" s="103"/>
      <c r="C4063" s="103"/>
      <c r="D4063" s="103"/>
      <c r="E4063" s="103"/>
      <c r="F4063" s="103"/>
      <c r="G4063" s="103"/>
      <c r="H4063" s="103"/>
      <c r="I4063" s="103"/>
      <c r="J4063" s="103"/>
      <c r="K4063" s="103"/>
      <c r="L4063" s="103"/>
      <c r="M4063" s="104"/>
      <c r="N4063" s="103"/>
    </row>
    <row r="4064" spans="1:14" ht="45" customHeight="1" thickBot="1" x14ac:dyDescent="0.4">
      <c r="A4064" s="103"/>
      <c r="B4064" s="103"/>
      <c r="C4064" s="103"/>
      <c r="D4064" s="103"/>
      <c r="E4064" s="103"/>
      <c r="F4064" s="103"/>
      <c r="G4064" s="103"/>
      <c r="H4064" s="103"/>
      <c r="I4064" s="103"/>
      <c r="J4064" s="103"/>
      <c r="K4064" s="103"/>
      <c r="L4064" s="103"/>
      <c r="M4064" s="104"/>
      <c r="N4064" s="103"/>
    </row>
    <row r="4065" spans="1:14" ht="45" customHeight="1" thickBot="1" x14ac:dyDescent="0.4">
      <c r="A4065" s="103"/>
      <c r="B4065" s="103"/>
      <c r="C4065" s="103"/>
      <c r="D4065" s="103"/>
      <c r="E4065" s="103"/>
      <c r="F4065" s="103"/>
      <c r="G4065" s="103"/>
      <c r="H4065" s="103"/>
      <c r="I4065" s="103"/>
      <c r="J4065" s="103"/>
      <c r="K4065" s="103"/>
      <c r="L4065" s="103"/>
      <c r="M4065" s="104"/>
      <c r="N4065" s="103"/>
    </row>
    <row r="4066" spans="1:14" ht="45" customHeight="1" thickBot="1" x14ac:dyDescent="0.4">
      <c r="A4066" s="103"/>
      <c r="B4066" s="103"/>
      <c r="C4066" s="103"/>
      <c r="D4066" s="103"/>
      <c r="E4066" s="103"/>
      <c r="F4066" s="103"/>
      <c r="G4066" s="103"/>
      <c r="H4066" s="103"/>
      <c r="I4066" s="103"/>
      <c r="J4066" s="103"/>
      <c r="K4066" s="103"/>
      <c r="L4066" s="103"/>
      <c r="M4066" s="104"/>
      <c r="N4066" s="103"/>
    </row>
    <row r="4067" spans="1:14" ht="45" customHeight="1" thickBot="1" x14ac:dyDescent="0.4">
      <c r="A4067" s="103"/>
      <c r="B4067" s="103"/>
      <c r="C4067" s="103"/>
      <c r="D4067" s="103"/>
      <c r="E4067" s="103"/>
      <c r="F4067" s="103"/>
      <c r="G4067" s="103"/>
      <c r="H4067" s="103"/>
      <c r="I4067" s="103"/>
      <c r="J4067" s="103"/>
      <c r="K4067" s="103"/>
      <c r="L4067" s="103"/>
      <c r="M4067" s="104"/>
      <c r="N4067" s="103"/>
    </row>
    <row r="4068" spans="1:14" ht="45" customHeight="1" thickBot="1" x14ac:dyDescent="0.4">
      <c r="A4068" s="103"/>
      <c r="B4068" s="103"/>
      <c r="C4068" s="103"/>
      <c r="D4068" s="103"/>
      <c r="E4068" s="103"/>
      <c r="F4068" s="103"/>
      <c r="G4068" s="103"/>
      <c r="H4068" s="103"/>
      <c r="I4068" s="103"/>
      <c r="J4068" s="103"/>
      <c r="K4068" s="103"/>
      <c r="L4068" s="103"/>
      <c r="M4068" s="104"/>
      <c r="N4068" s="103"/>
    </row>
    <row r="4069" spans="1:14" ht="45" customHeight="1" thickBot="1" x14ac:dyDescent="0.4">
      <c r="A4069" s="103"/>
      <c r="B4069" s="103"/>
      <c r="C4069" s="103"/>
      <c r="D4069" s="103"/>
      <c r="E4069" s="103"/>
      <c r="F4069" s="103"/>
      <c r="G4069" s="103"/>
      <c r="H4069" s="103"/>
      <c r="I4069" s="103"/>
      <c r="J4069" s="103"/>
      <c r="K4069" s="103"/>
      <c r="L4069" s="103"/>
      <c r="M4069" s="104"/>
      <c r="N4069" s="103"/>
    </row>
    <row r="4070" spans="1:14" ht="45" customHeight="1" thickBot="1" x14ac:dyDescent="0.4">
      <c r="A4070" s="103"/>
      <c r="B4070" s="103"/>
      <c r="C4070" s="103"/>
      <c r="D4070" s="103"/>
      <c r="E4070" s="103"/>
      <c r="F4070" s="103"/>
      <c r="G4070" s="103"/>
      <c r="H4070" s="103"/>
      <c r="I4070" s="103"/>
      <c r="J4070" s="103"/>
      <c r="K4070" s="103"/>
      <c r="L4070" s="103"/>
      <c r="M4070" s="104"/>
      <c r="N4070" s="103"/>
    </row>
    <row r="4071" spans="1:14" ht="45" customHeight="1" thickBot="1" x14ac:dyDescent="0.4">
      <c r="A4071" s="103"/>
      <c r="B4071" s="103"/>
      <c r="C4071" s="103"/>
      <c r="D4071" s="103"/>
      <c r="E4071" s="103"/>
      <c r="F4071" s="103"/>
      <c r="G4071" s="103"/>
      <c r="H4071" s="103"/>
      <c r="I4071" s="103"/>
      <c r="J4071" s="103"/>
      <c r="K4071" s="103"/>
      <c r="L4071" s="103"/>
      <c r="M4071" s="104"/>
      <c r="N4071" s="103"/>
    </row>
    <row r="4072" spans="1:14" ht="45" customHeight="1" thickBot="1" x14ac:dyDescent="0.4">
      <c r="A4072" s="103"/>
      <c r="B4072" s="103"/>
      <c r="C4072" s="103"/>
      <c r="D4072" s="103"/>
      <c r="E4072" s="103"/>
      <c r="F4072" s="103"/>
      <c r="G4072" s="103"/>
      <c r="H4072" s="103"/>
      <c r="I4072" s="103"/>
      <c r="J4072" s="103"/>
      <c r="K4072" s="103"/>
      <c r="L4072" s="103"/>
      <c r="M4072" s="104"/>
      <c r="N4072" s="103"/>
    </row>
    <row r="4073" spans="1:14" ht="45" customHeight="1" thickBot="1" x14ac:dyDescent="0.4">
      <c r="A4073" s="103"/>
      <c r="B4073" s="103"/>
      <c r="C4073" s="103"/>
      <c r="D4073" s="103"/>
      <c r="E4073" s="103"/>
      <c r="F4073" s="103"/>
      <c r="G4073" s="103"/>
      <c r="H4073" s="103"/>
      <c r="I4073" s="103"/>
      <c r="J4073" s="103"/>
      <c r="K4073" s="103"/>
      <c r="L4073" s="103"/>
      <c r="M4073" s="104"/>
      <c r="N4073" s="103"/>
    </row>
    <row r="4074" spans="1:14" ht="45" customHeight="1" thickBot="1" x14ac:dyDescent="0.4">
      <c r="A4074" s="103"/>
      <c r="B4074" s="103"/>
      <c r="C4074" s="103"/>
      <c r="D4074" s="103"/>
      <c r="E4074" s="103"/>
      <c r="F4074" s="103"/>
      <c r="G4074" s="103"/>
      <c r="H4074" s="103"/>
      <c r="I4074" s="103"/>
      <c r="J4074" s="103"/>
      <c r="K4074" s="103"/>
      <c r="L4074" s="103"/>
      <c r="M4074" s="104"/>
      <c r="N4074" s="103"/>
    </row>
    <row r="4075" spans="1:14" ht="45" customHeight="1" thickBot="1" x14ac:dyDescent="0.4">
      <c r="A4075" s="103"/>
      <c r="B4075" s="103"/>
      <c r="C4075" s="103"/>
      <c r="D4075" s="103"/>
      <c r="E4075" s="103"/>
      <c r="F4075" s="103"/>
      <c r="G4075" s="103"/>
      <c r="H4075" s="103"/>
      <c r="I4075" s="103"/>
      <c r="J4075" s="103"/>
      <c r="K4075" s="103"/>
      <c r="L4075" s="103"/>
      <c r="M4075" s="104"/>
      <c r="N4075" s="103"/>
    </row>
    <row r="4076" spans="1:14" ht="45" customHeight="1" thickBot="1" x14ac:dyDescent="0.4">
      <c r="A4076" s="103"/>
      <c r="B4076" s="103"/>
      <c r="C4076" s="103"/>
      <c r="D4076" s="103"/>
      <c r="E4076" s="103"/>
      <c r="F4076" s="103"/>
      <c r="G4076" s="103"/>
      <c r="H4076" s="103"/>
      <c r="I4076" s="103"/>
      <c r="J4076" s="103"/>
      <c r="K4076" s="103"/>
      <c r="L4076" s="103"/>
      <c r="M4076" s="104"/>
      <c r="N4076" s="103"/>
    </row>
    <row r="4077" spans="1:14" ht="45" customHeight="1" thickBot="1" x14ac:dyDescent="0.4">
      <c r="A4077" s="103"/>
      <c r="B4077" s="103"/>
      <c r="C4077" s="103"/>
      <c r="D4077" s="103"/>
      <c r="E4077" s="103"/>
      <c r="F4077" s="103"/>
      <c r="G4077" s="103"/>
      <c r="H4077" s="103"/>
      <c r="I4077" s="103"/>
      <c r="J4077" s="103"/>
      <c r="K4077" s="103"/>
      <c r="L4077" s="103"/>
      <c r="M4077" s="104"/>
      <c r="N4077" s="103"/>
    </row>
    <row r="4078" spans="1:14" ht="45" customHeight="1" thickBot="1" x14ac:dyDescent="0.4">
      <c r="A4078" s="103"/>
      <c r="B4078" s="103"/>
      <c r="C4078" s="103"/>
      <c r="D4078" s="103"/>
      <c r="E4078" s="103"/>
      <c r="F4078" s="103"/>
      <c r="G4078" s="103"/>
      <c r="H4078" s="103"/>
      <c r="I4078" s="103"/>
      <c r="J4078" s="103"/>
      <c r="K4078" s="103"/>
      <c r="L4078" s="103"/>
      <c r="M4078" s="104"/>
      <c r="N4078" s="103"/>
    </row>
    <row r="4079" spans="1:14" ht="45" customHeight="1" thickBot="1" x14ac:dyDescent="0.4">
      <c r="A4079" s="103"/>
      <c r="B4079" s="103"/>
      <c r="C4079" s="103"/>
      <c r="D4079" s="103"/>
      <c r="E4079" s="103"/>
      <c r="F4079" s="103"/>
      <c r="G4079" s="103"/>
      <c r="H4079" s="103"/>
      <c r="I4079" s="103"/>
      <c r="J4079" s="103"/>
      <c r="K4079" s="103"/>
      <c r="L4079" s="103"/>
      <c r="M4079" s="104"/>
      <c r="N4079" s="103"/>
    </row>
    <row r="4080" spans="1:14" ht="45" customHeight="1" thickBot="1" x14ac:dyDescent="0.4">
      <c r="A4080" s="103"/>
      <c r="B4080" s="103"/>
      <c r="C4080" s="103"/>
      <c r="D4080" s="103"/>
      <c r="E4080" s="103"/>
      <c r="F4080" s="103"/>
      <c r="G4080" s="103"/>
      <c r="H4080" s="103"/>
      <c r="I4080" s="103"/>
      <c r="J4080" s="103"/>
      <c r="K4080" s="103"/>
      <c r="L4080" s="103"/>
      <c r="M4080" s="104"/>
      <c r="N4080" s="103"/>
    </row>
    <row r="4081" spans="1:14" ht="45" customHeight="1" thickBot="1" x14ac:dyDescent="0.4">
      <c r="A4081" s="103"/>
      <c r="B4081" s="103"/>
      <c r="C4081" s="103"/>
      <c r="D4081" s="103"/>
      <c r="E4081" s="103"/>
      <c r="F4081" s="103"/>
      <c r="G4081" s="103"/>
      <c r="H4081" s="103"/>
      <c r="I4081" s="103"/>
      <c r="J4081" s="103"/>
      <c r="K4081" s="103"/>
      <c r="L4081" s="103"/>
      <c r="M4081" s="104"/>
      <c r="N4081" s="103"/>
    </row>
    <row r="4082" spans="1:14" ht="45" customHeight="1" thickBot="1" x14ac:dyDescent="0.4">
      <c r="A4082" s="103"/>
      <c r="B4082" s="103"/>
      <c r="C4082" s="103"/>
      <c r="D4082" s="103"/>
      <c r="E4082" s="103"/>
      <c r="F4082" s="103"/>
      <c r="G4082" s="103"/>
      <c r="H4082" s="103"/>
      <c r="I4082" s="103"/>
      <c r="J4082" s="103"/>
      <c r="K4082" s="103"/>
      <c r="L4082" s="103"/>
      <c r="M4082" s="104"/>
      <c r="N4082" s="103"/>
    </row>
    <row r="4083" spans="1:14" ht="45" customHeight="1" thickBot="1" x14ac:dyDescent="0.4">
      <c r="A4083" s="103"/>
      <c r="B4083" s="103"/>
      <c r="C4083" s="103"/>
      <c r="D4083" s="103"/>
      <c r="E4083" s="103"/>
      <c r="F4083" s="103"/>
      <c r="G4083" s="103"/>
      <c r="H4083" s="103"/>
      <c r="I4083" s="103"/>
      <c r="J4083" s="103"/>
      <c r="K4083" s="103"/>
      <c r="L4083" s="103"/>
      <c r="M4083" s="104"/>
      <c r="N4083" s="103"/>
    </row>
    <row r="4084" spans="1:14" ht="45" customHeight="1" thickBot="1" x14ac:dyDescent="0.4">
      <c r="A4084" s="103"/>
      <c r="B4084" s="103"/>
      <c r="C4084" s="103"/>
      <c r="D4084" s="103"/>
      <c r="E4084" s="103"/>
      <c r="F4084" s="103"/>
      <c r="G4084" s="103"/>
      <c r="H4084" s="103"/>
      <c r="I4084" s="103"/>
      <c r="J4084" s="103"/>
      <c r="K4084" s="103"/>
      <c r="L4084" s="103"/>
      <c r="M4084" s="104"/>
      <c r="N4084" s="103"/>
    </row>
    <row r="4085" spans="1:14" ht="45" customHeight="1" thickBot="1" x14ac:dyDescent="0.4">
      <c r="A4085" s="103"/>
      <c r="B4085" s="103"/>
      <c r="C4085" s="103"/>
      <c r="D4085" s="103"/>
      <c r="E4085" s="103"/>
      <c r="F4085" s="103"/>
      <c r="G4085" s="103"/>
      <c r="H4085" s="103"/>
      <c r="I4085" s="103"/>
      <c r="J4085" s="103"/>
      <c r="K4085" s="103"/>
      <c r="L4085" s="103"/>
      <c r="M4085" s="104"/>
      <c r="N4085" s="103"/>
    </row>
    <row r="4086" spans="1:14" ht="45" customHeight="1" thickBot="1" x14ac:dyDescent="0.4">
      <c r="A4086" s="103"/>
      <c r="B4086" s="103"/>
      <c r="C4086" s="103"/>
      <c r="D4086" s="103"/>
      <c r="E4086" s="103"/>
      <c r="F4086" s="103"/>
      <c r="G4086" s="103"/>
      <c r="H4086" s="103"/>
      <c r="I4086" s="103"/>
      <c r="J4086" s="103"/>
      <c r="K4086" s="103"/>
      <c r="L4086" s="103"/>
      <c r="M4086" s="104"/>
      <c r="N4086" s="103"/>
    </row>
    <row r="4087" spans="1:14" ht="45" customHeight="1" thickBot="1" x14ac:dyDescent="0.4">
      <c r="A4087" s="103"/>
      <c r="B4087" s="103"/>
      <c r="C4087" s="103"/>
      <c r="D4087" s="103"/>
      <c r="E4087" s="103"/>
      <c r="F4087" s="103"/>
      <c r="G4087" s="103"/>
      <c r="H4087" s="103"/>
      <c r="I4087" s="103"/>
      <c r="J4087" s="103"/>
      <c r="K4087" s="103"/>
      <c r="L4087" s="103"/>
      <c r="M4087" s="104"/>
      <c r="N4087" s="103"/>
    </row>
    <row r="4088" spans="1:14" ht="45" customHeight="1" thickBot="1" x14ac:dyDescent="0.4">
      <c r="A4088" s="103"/>
      <c r="B4088" s="103"/>
      <c r="C4088" s="103"/>
      <c r="D4088" s="103"/>
      <c r="E4088" s="103"/>
      <c r="F4088" s="103"/>
      <c r="G4088" s="103"/>
      <c r="H4088" s="103"/>
      <c r="I4088" s="103"/>
      <c r="J4088" s="103"/>
      <c r="K4088" s="103"/>
      <c r="L4088" s="103"/>
      <c r="M4088" s="104"/>
      <c r="N4088" s="103"/>
    </row>
    <row r="4089" spans="1:14" ht="45" customHeight="1" thickBot="1" x14ac:dyDescent="0.4">
      <c r="A4089" s="103"/>
      <c r="B4089" s="103"/>
      <c r="C4089" s="103"/>
      <c r="D4089" s="103"/>
      <c r="E4089" s="103"/>
      <c r="F4089" s="103"/>
      <c r="G4089" s="103"/>
      <c r="H4089" s="103"/>
      <c r="I4089" s="103"/>
      <c r="J4089" s="103"/>
      <c r="K4089" s="103"/>
      <c r="L4089" s="103"/>
      <c r="M4089" s="104"/>
      <c r="N4089" s="103"/>
    </row>
    <row r="4090" spans="1:14" ht="45" customHeight="1" thickBot="1" x14ac:dyDescent="0.4">
      <c r="A4090" s="103"/>
      <c r="B4090" s="103"/>
      <c r="C4090" s="103"/>
      <c r="D4090" s="103"/>
      <c r="E4090" s="103"/>
      <c r="F4090" s="103"/>
      <c r="G4090" s="103"/>
      <c r="H4090" s="103"/>
      <c r="I4090" s="103"/>
      <c r="J4090" s="103"/>
      <c r="K4090" s="103"/>
      <c r="L4090" s="103"/>
      <c r="M4090" s="104"/>
      <c r="N4090" s="103"/>
    </row>
    <row r="4091" spans="1:14" ht="45" customHeight="1" thickBot="1" x14ac:dyDescent="0.4">
      <c r="A4091" s="103"/>
      <c r="B4091" s="103"/>
      <c r="C4091" s="103"/>
      <c r="D4091" s="103"/>
      <c r="E4091" s="103"/>
      <c r="F4091" s="103"/>
      <c r="G4091" s="103"/>
      <c r="H4091" s="103"/>
      <c r="I4091" s="103"/>
      <c r="J4091" s="103"/>
      <c r="K4091" s="103"/>
      <c r="L4091" s="103"/>
      <c r="M4091" s="104"/>
      <c r="N4091" s="103"/>
    </row>
    <row r="4092" spans="1:14" ht="45" customHeight="1" thickBot="1" x14ac:dyDescent="0.4">
      <c r="A4092" s="103"/>
      <c r="B4092" s="103"/>
      <c r="C4092" s="103"/>
      <c r="D4092" s="103"/>
      <c r="E4092" s="103"/>
      <c r="F4092" s="103"/>
      <c r="G4092" s="103"/>
      <c r="H4092" s="103"/>
      <c r="I4092" s="103"/>
      <c r="J4092" s="103"/>
      <c r="K4092" s="103"/>
      <c r="L4092" s="103"/>
      <c r="M4092" s="104"/>
      <c r="N4092" s="103"/>
    </row>
    <row r="4093" spans="1:14" ht="45" customHeight="1" thickBot="1" x14ac:dyDescent="0.4">
      <c r="A4093" s="103"/>
      <c r="B4093" s="103"/>
      <c r="C4093" s="103"/>
      <c r="D4093" s="103"/>
      <c r="E4093" s="103"/>
      <c r="F4093" s="103"/>
      <c r="G4093" s="103"/>
      <c r="H4093" s="103"/>
      <c r="I4093" s="103"/>
      <c r="J4093" s="103"/>
      <c r="K4093" s="103"/>
      <c r="L4093" s="103"/>
      <c r="M4093" s="104"/>
      <c r="N4093" s="103"/>
    </row>
    <row r="4094" spans="1:14" ht="45" customHeight="1" thickBot="1" x14ac:dyDescent="0.4">
      <c r="A4094" s="103"/>
      <c r="B4094" s="103"/>
      <c r="C4094" s="103"/>
      <c r="D4094" s="103"/>
      <c r="E4094" s="103"/>
      <c r="F4094" s="103"/>
      <c r="G4094" s="103"/>
      <c r="H4094" s="103"/>
      <c r="I4094" s="103"/>
      <c r="J4094" s="103"/>
      <c r="K4094" s="103"/>
      <c r="L4094" s="103"/>
      <c r="M4094" s="104"/>
      <c r="N4094" s="103"/>
    </row>
    <row r="4095" spans="1:14" ht="45" customHeight="1" thickBot="1" x14ac:dyDescent="0.4">
      <c r="A4095" s="103"/>
      <c r="B4095" s="103"/>
      <c r="C4095" s="103"/>
      <c r="D4095" s="103"/>
      <c r="E4095" s="103"/>
      <c r="F4095" s="103"/>
      <c r="G4095" s="103"/>
      <c r="H4095" s="103"/>
      <c r="I4095" s="103"/>
      <c r="J4095" s="103"/>
      <c r="K4095" s="103"/>
      <c r="L4095" s="103"/>
      <c r="M4095" s="104"/>
      <c r="N4095" s="103"/>
    </row>
    <row r="4096" spans="1:14" ht="45" customHeight="1" thickBot="1" x14ac:dyDescent="0.4">
      <c r="A4096" s="103"/>
      <c r="B4096" s="103"/>
      <c r="C4096" s="103"/>
      <c r="D4096" s="103"/>
      <c r="E4096" s="103"/>
      <c r="F4096" s="103"/>
      <c r="G4096" s="103"/>
      <c r="H4096" s="103"/>
      <c r="I4096" s="103"/>
      <c r="J4096" s="103"/>
      <c r="K4096" s="103"/>
      <c r="L4096" s="103"/>
      <c r="M4096" s="104"/>
      <c r="N4096" s="103"/>
    </row>
    <row r="4097" spans="1:14" ht="45" customHeight="1" thickBot="1" x14ac:dyDescent="0.4">
      <c r="A4097" s="103"/>
      <c r="B4097" s="103"/>
      <c r="C4097" s="103"/>
      <c r="D4097" s="103"/>
      <c r="E4097" s="103"/>
      <c r="F4097" s="103"/>
      <c r="G4097" s="103"/>
      <c r="H4097" s="103"/>
      <c r="I4097" s="103"/>
      <c r="J4097" s="103"/>
      <c r="K4097" s="103"/>
      <c r="L4097" s="103"/>
      <c r="M4097" s="104"/>
      <c r="N4097" s="103"/>
    </row>
    <row r="4098" spans="1:14" ht="45" customHeight="1" thickBot="1" x14ac:dyDescent="0.4">
      <c r="A4098" s="103"/>
      <c r="B4098" s="103"/>
      <c r="C4098" s="103"/>
      <c r="D4098" s="103"/>
      <c r="E4098" s="103"/>
      <c r="F4098" s="103"/>
      <c r="G4098" s="103"/>
      <c r="H4098" s="103"/>
      <c r="I4098" s="103"/>
      <c r="J4098" s="103"/>
      <c r="K4098" s="103"/>
      <c r="L4098" s="103"/>
      <c r="M4098" s="104"/>
      <c r="N4098" s="103"/>
    </row>
    <row r="4099" spans="1:14" ht="45" customHeight="1" thickBot="1" x14ac:dyDescent="0.4">
      <c r="A4099" s="103"/>
      <c r="B4099" s="103"/>
      <c r="C4099" s="103"/>
      <c r="D4099" s="103"/>
      <c r="E4099" s="103"/>
      <c r="F4099" s="103"/>
      <c r="G4099" s="103"/>
      <c r="H4099" s="103"/>
      <c r="I4099" s="103"/>
      <c r="J4099" s="103"/>
      <c r="K4099" s="103"/>
      <c r="L4099" s="103"/>
      <c r="M4099" s="104"/>
      <c r="N4099" s="103"/>
    </row>
    <row r="4100" spans="1:14" ht="45" customHeight="1" thickBot="1" x14ac:dyDescent="0.4">
      <c r="A4100" s="103"/>
      <c r="B4100" s="103"/>
      <c r="C4100" s="103"/>
      <c r="D4100" s="103"/>
      <c r="E4100" s="103"/>
      <c r="F4100" s="103"/>
      <c r="G4100" s="103"/>
      <c r="H4100" s="103"/>
      <c r="I4100" s="103"/>
      <c r="J4100" s="103"/>
      <c r="K4100" s="103"/>
      <c r="L4100" s="103"/>
      <c r="M4100" s="104"/>
      <c r="N4100" s="103"/>
    </row>
    <row r="4101" spans="1:14" ht="45" customHeight="1" thickBot="1" x14ac:dyDescent="0.4">
      <c r="A4101" s="103"/>
      <c r="B4101" s="103"/>
      <c r="C4101" s="103"/>
      <c r="D4101" s="103"/>
      <c r="E4101" s="103"/>
      <c r="F4101" s="103"/>
      <c r="G4101" s="103"/>
      <c r="H4101" s="103"/>
      <c r="I4101" s="103"/>
      <c r="J4101" s="103"/>
      <c r="K4101" s="103"/>
      <c r="L4101" s="103"/>
      <c r="M4101" s="104"/>
      <c r="N4101" s="103"/>
    </row>
    <row r="4102" spans="1:14" ht="45" customHeight="1" thickBot="1" x14ac:dyDescent="0.4">
      <c r="A4102" s="103"/>
      <c r="B4102" s="103"/>
      <c r="C4102" s="103"/>
      <c r="D4102" s="103"/>
      <c r="E4102" s="103"/>
      <c r="F4102" s="103"/>
      <c r="G4102" s="103"/>
      <c r="H4102" s="103"/>
      <c r="I4102" s="103"/>
      <c r="J4102" s="103"/>
      <c r="K4102" s="103"/>
      <c r="L4102" s="103"/>
      <c r="M4102" s="104"/>
      <c r="N4102" s="103"/>
    </row>
    <row r="4103" spans="1:14" ht="45" customHeight="1" thickBot="1" x14ac:dyDescent="0.4">
      <c r="A4103" s="103"/>
      <c r="B4103" s="103"/>
      <c r="C4103" s="103"/>
      <c r="D4103" s="103"/>
      <c r="E4103" s="103"/>
      <c r="F4103" s="103"/>
      <c r="G4103" s="103"/>
      <c r="H4103" s="103"/>
      <c r="I4103" s="103"/>
      <c r="J4103" s="103"/>
      <c r="K4103" s="103"/>
      <c r="L4103" s="103"/>
      <c r="M4103" s="104"/>
      <c r="N4103" s="103"/>
    </row>
    <row r="4104" spans="1:14" ht="45" customHeight="1" thickBot="1" x14ac:dyDescent="0.4">
      <c r="A4104" s="103"/>
      <c r="B4104" s="103"/>
      <c r="C4104" s="103"/>
      <c r="D4104" s="103"/>
      <c r="E4104" s="103"/>
      <c r="F4104" s="103"/>
      <c r="G4104" s="103"/>
      <c r="H4104" s="103"/>
      <c r="I4104" s="103"/>
      <c r="J4104" s="103"/>
      <c r="K4104" s="103"/>
      <c r="L4104" s="103"/>
      <c r="M4104" s="104"/>
      <c r="N4104" s="103"/>
    </row>
    <row r="4105" spans="1:14" ht="45" customHeight="1" thickBot="1" x14ac:dyDescent="0.4">
      <c r="A4105" s="103"/>
      <c r="B4105" s="103"/>
      <c r="C4105" s="103"/>
      <c r="D4105" s="103"/>
      <c r="E4105" s="103"/>
      <c r="F4105" s="103"/>
      <c r="G4105" s="103"/>
      <c r="H4105" s="103"/>
      <c r="I4105" s="103"/>
      <c r="J4105" s="103"/>
      <c r="K4105" s="103"/>
      <c r="L4105" s="103"/>
      <c r="M4105" s="104"/>
      <c r="N4105" s="103"/>
    </row>
    <row r="4106" spans="1:14" ht="45" customHeight="1" thickBot="1" x14ac:dyDescent="0.4">
      <c r="A4106" s="103"/>
      <c r="B4106" s="103"/>
      <c r="C4106" s="103"/>
      <c r="D4106" s="103"/>
      <c r="E4106" s="103"/>
      <c r="F4106" s="103"/>
      <c r="G4106" s="103"/>
      <c r="H4106" s="103"/>
      <c r="I4106" s="103"/>
      <c r="J4106" s="103"/>
      <c r="K4106" s="103"/>
      <c r="L4106" s="103"/>
      <c r="M4106" s="104"/>
      <c r="N4106" s="103"/>
    </row>
    <row r="4107" spans="1:14" ht="45" customHeight="1" thickBot="1" x14ac:dyDescent="0.4">
      <c r="A4107" s="103"/>
      <c r="B4107" s="103"/>
      <c r="C4107" s="103"/>
      <c r="D4107" s="103"/>
      <c r="E4107" s="103"/>
      <c r="F4107" s="103"/>
      <c r="G4107" s="103"/>
      <c r="H4107" s="103"/>
      <c r="I4107" s="103"/>
      <c r="J4107" s="103"/>
      <c r="K4107" s="103"/>
      <c r="L4107" s="103"/>
      <c r="M4107" s="104"/>
      <c r="N4107" s="103"/>
    </row>
    <row r="4108" spans="1:14" ht="45" customHeight="1" thickBot="1" x14ac:dyDescent="0.4">
      <c r="A4108" s="103"/>
      <c r="B4108" s="103"/>
      <c r="C4108" s="103"/>
      <c r="D4108" s="103"/>
      <c r="E4108" s="103"/>
      <c r="F4108" s="103"/>
      <c r="G4108" s="103"/>
      <c r="H4108" s="103"/>
      <c r="I4108" s="103"/>
      <c r="J4108" s="103"/>
      <c r="K4108" s="103"/>
      <c r="L4108" s="103"/>
      <c r="M4108" s="104"/>
      <c r="N4108" s="103"/>
    </row>
    <row r="4109" spans="1:14" ht="45" customHeight="1" thickBot="1" x14ac:dyDescent="0.4">
      <c r="A4109" s="103"/>
      <c r="B4109" s="103"/>
      <c r="C4109" s="103"/>
      <c r="D4109" s="103"/>
      <c r="E4109" s="103"/>
      <c r="F4109" s="103"/>
      <c r="G4109" s="103"/>
      <c r="H4109" s="103"/>
      <c r="I4109" s="103"/>
      <c r="J4109" s="103"/>
      <c r="K4109" s="103"/>
      <c r="L4109" s="103"/>
      <c r="M4109" s="104"/>
      <c r="N4109" s="103"/>
    </row>
    <row r="4110" spans="1:14" ht="45" customHeight="1" thickBot="1" x14ac:dyDescent="0.4">
      <c r="A4110" s="103"/>
      <c r="B4110" s="103"/>
      <c r="C4110" s="103"/>
      <c r="D4110" s="103"/>
      <c r="E4110" s="103"/>
      <c r="F4110" s="103"/>
      <c r="G4110" s="103"/>
      <c r="H4110" s="103"/>
      <c r="I4110" s="103"/>
      <c r="J4110" s="103"/>
      <c r="K4110" s="103"/>
      <c r="L4110" s="103"/>
      <c r="M4110" s="104"/>
      <c r="N4110" s="103"/>
    </row>
    <row r="4111" spans="1:14" ht="45" customHeight="1" thickBot="1" x14ac:dyDescent="0.4">
      <c r="A4111" s="103"/>
      <c r="B4111" s="103"/>
      <c r="C4111" s="103"/>
      <c r="D4111" s="103"/>
      <c r="E4111" s="103"/>
      <c r="F4111" s="103"/>
      <c r="G4111" s="103"/>
      <c r="H4111" s="103"/>
      <c r="I4111" s="103"/>
      <c r="J4111" s="103"/>
      <c r="K4111" s="103"/>
      <c r="L4111" s="103"/>
      <c r="M4111" s="104"/>
      <c r="N4111" s="103"/>
    </row>
    <row r="4112" spans="1:14" ht="45" customHeight="1" thickBot="1" x14ac:dyDescent="0.4">
      <c r="A4112" s="103"/>
      <c r="B4112" s="103"/>
      <c r="C4112" s="103"/>
      <c r="D4112" s="103"/>
      <c r="E4112" s="103"/>
      <c r="F4112" s="103"/>
      <c r="G4112" s="103"/>
      <c r="H4112" s="103"/>
      <c r="I4112" s="103"/>
      <c r="J4112" s="103"/>
      <c r="K4112" s="103"/>
      <c r="L4112" s="103"/>
      <c r="M4112" s="104"/>
      <c r="N4112" s="103"/>
    </row>
    <row r="4113" spans="1:14" ht="45" customHeight="1" thickBot="1" x14ac:dyDescent="0.4">
      <c r="A4113" s="103"/>
      <c r="B4113" s="103"/>
      <c r="C4113" s="103"/>
      <c r="D4113" s="103"/>
      <c r="E4113" s="103"/>
      <c r="F4113" s="103"/>
      <c r="G4113" s="103"/>
      <c r="H4113" s="103"/>
      <c r="I4113" s="103"/>
      <c r="J4113" s="103"/>
      <c r="K4113" s="103"/>
      <c r="L4113" s="103"/>
      <c r="M4113" s="104"/>
      <c r="N4113" s="103"/>
    </row>
    <row r="4114" spans="1:14" ht="45" customHeight="1" thickBot="1" x14ac:dyDescent="0.4">
      <c r="A4114" s="103"/>
      <c r="B4114" s="103"/>
      <c r="C4114" s="103"/>
      <c r="D4114" s="103"/>
      <c r="E4114" s="103"/>
      <c r="F4114" s="103"/>
      <c r="G4114" s="103"/>
      <c r="H4114" s="103"/>
      <c r="I4114" s="103"/>
      <c r="J4114" s="103"/>
      <c r="K4114" s="103"/>
      <c r="L4114" s="103"/>
      <c r="M4114" s="104"/>
      <c r="N4114" s="103"/>
    </row>
    <row r="4115" spans="1:14" ht="45" customHeight="1" thickBot="1" x14ac:dyDescent="0.4">
      <c r="A4115" s="103"/>
      <c r="B4115" s="103"/>
      <c r="C4115" s="103"/>
      <c r="D4115" s="103"/>
      <c r="E4115" s="103"/>
      <c r="F4115" s="103"/>
      <c r="G4115" s="103"/>
      <c r="H4115" s="103"/>
      <c r="I4115" s="103"/>
      <c r="J4115" s="103"/>
      <c r="K4115" s="103"/>
      <c r="L4115" s="103"/>
      <c r="M4115" s="104"/>
      <c r="N4115" s="103"/>
    </row>
    <row r="4116" spans="1:14" ht="45" customHeight="1" thickBot="1" x14ac:dyDescent="0.4">
      <c r="A4116" s="103"/>
      <c r="B4116" s="103"/>
      <c r="C4116" s="103"/>
      <c r="D4116" s="103"/>
      <c r="E4116" s="103"/>
      <c r="F4116" s="103"/>
      <c r="G4116" s="103"/>
      <c r="H4116" s="103"/>
      <c r="I4116" s="103"/>
      <c r="J4116" s="103"/>
      <c r="K4116" s="103"/>
      <c r="L4116" s="103"/>
      <c r="M4116" s="104"/>
      <c r="N4116" s="103"/>
    </row>
    <row r="4117" spans="1:14" ht="45" customHeight="1" thickBot="1" x14ac:dyDescent="0.4">
      <c r="A4117" s="103"/>
      <c r="B4117" s="103"/>
      <c r="C4117" s="103"/>
      <c r="D4117" s="103"/>
      <c r="E4117" s="103"/>
      <c r="F4117" s="103"/>
      <c r="G4117" s="103"/>
      <c r="H4117" s="103"/>
      <c r="I4117" s="103"/>
      <c r="J4117" s="103"/>
      <c r="K4117" s="103"/>
      <c r="L4117" s="103"/>
      <c r="M4117" s="104"/>
      <c r="N4117" s="103"/>
    </row>
    <row r="4118" spans="1:14" ht="45" customHeight="1" thickBot="1" x14ac:dyDescent="0.4">
      <c r="A4118" s="103"/>
      <c r="B4118" s="103"/>
      <c r="C4118" s="103"/>
      <c r="D4118" s="103"/>
      <c r="E4118" s="103"/>
      <c r="F4118" s="103"/>
      <c r="G4118" s="103"/>
      <c r="H4118" s="103"/>
      <c r="I4118" s="103"/>
      <c r="J4118" s="103"/>
      <c r="K4118" s="103"/>
      <c r="L4118" s="103"/>
      <c r="M4118" s="104"/>
      <c r="N4118" s="103"/>
    </row>
    <row r="4119" spans="1:14" ht="45" customHeight="1" thickBot="1" x14ac:dyDescent="0.4">
      <c r="A4119" s="103"/>
      <c r="B4119" s="103"/>
      <c r="C4119" s="103"/>
      <c r="D4119" s="103"/>
      <c r="E4119" s="103"/>
      <c r="F4119" s="103"/>
      <c r="G4119" s="103"/>
      <c r="H4119" s="103"/>
      <c r="I4119" s="103"/>
      <c r="J4119" s="103"/>
      <c r="K4119" s="103"/>
      <c r="L4119" s="103"/>
      <c r="M4119" s="104"/>
      <c r="N4119" s="103"/>
    </row>
    <row r="4120" spans="1:14" ht="45" customHeight="1" thickBot="1" x14ac:dyDescent="0.4">
      <c r="A4120" s="103"/>
      <c r="B4120" s="103"/>
      <c r="C4120" s="103"/>
      <c r="D4120" s="103"/>
      <c r="E4120" s="103"/>
      <c r="F4120" s="103"/>
      <c r="G4120" s="103"/>
      <c r="H4120" s="103"/>
      <c r="I4120" s="103"/>
      <c r="J4120" s="103"/>
      <c r="K4120" s="103"/>
      <c r="L4120" s="103"/>
      <c r="M4120" s="104"/>
      <c r="N4120" s="103"/>
    </row>
    <row r="4121" spans="1:14" ht="45" customHeight="1" thickBot="1" x14ac:dyDescent="0.4">
      <c r="A4121" s="103"/>
      <c r="B4121" s="103"/>
      <c r="C4121" s="103"/>
      <c r="D4121" s="103"/>
      <c r="E4121" s="103"/>
      <c r="F4121" s="103"/>
      <c r="G4121" s="103"/>
      <c r="H4121" s="103"/>
      <c r="I4121" s="103"/>
      <c r="J4121" s="103"/>
      <c r="K4121" s="103"/>
      <c r="L4121" s="103"/>
      <c r="M4121" s="104"/>
      <c r="N4121" s="103"/>
    </row>
    <row r="4122" spans="1:14" ht="45" customHeight="1" thickBot="1" x14ac:dyDescent="0.4">
      <c r="A4122" s="103"/>
      <c r="B4122" s="103"/>
      <c r="C4122" s="103"/>
      <c r="D4122" s="103"/>
      <c r="E4122" s="103"/>
      <c r="F4122" s="103"/>
      <c r="G4122" s="103"/>
      <c r="H4122" s="103"/>
      <c r="I4122" s="103"/>
      <c r="J4122" s="103"/>
      <c r="K4122" s="103"/>
      <c r="L4122" s="103"/>
      <c r="M4122" s="104"/>
      <c r="N4122" s="103"/>
    </row>
    <row r="4123" spans="1:14" ht="45" customHeight="1" thickBot="1" x14ac:dyDescent="0.4">
      <c r="A4123" s="103"/>
      <c r="B4123" s="103"/>
      <c r="C4123" s="103"/>
      <c r="D4123" s="103"/>
      <c r="E4123" s="103"/>
      <c r="F4123" s="103"/>
      <c r="G4123" s="103"/>
      <c r="H4123" s="103"/>
      <c r="I4123" s="103"/>
      <c r="J4123" s="103"/>
      <c r="K4123" s="103"/>
      <c r="L4123" s="103"/>
      <c r="M4123" s="104"/>
      <c r="N4123" s="103"/>
    </row>
    <row r="4124" spans="1:14" ht="45" customHeight="1" thickBot="1" x14ac:dyDescent="0.4">
      <c r="A4124" s="103"/>
      <c r="B4124" s="103"/>
      <c r="C4124" s="103"/>
      <c r="D4124" s="103"/>
      <c r="E4124" s="103"/>
      <c r="F4124" s="103"/>
      <c r="G4124" s="103"/>
      <c r="H4124" s="103"/>
      <c r="I4124" s="103"/>
      <c r="J4124" s="103"/>
      <c r="K4124" s="103"/>
      <c r="L4124" s="103"/>
      <c r="M4124" s="104"/>
      <c r="N4124" s="103"/>
    </row>
    <row r="4125" spans="1:14" ht="45" customHeight="1" thickBot="1" x14ac:dyDescent="0.4">
      <c r="A4125" s="103"/>
      <c r="B4125" s="103"/>
      <c r="C4125" s="103"/>
      <c r="D4125" s="103"/>
      <c r="E4125" s="103"/>
      <c r="F4125" s="103"/>
      <c r="G4125" s="103"/>
      <c r="H4125" s="103"/>
      <c r="I4125" s="103"/>
      <c r="J4125" s="103"/>
      <c r="K4125" s="103"/>
      <c r="L4125" s="103"/>
      <c r="M4125" s="104"/>
      <c r="N4125" s="103"/>
    </row>
    <row r="4126" spans="1:14" ht="45" customHeight="1" thickBot="1" x14ac:dyDescent="0.4">
      <c r="A4126" s="103"/>
      <c r="B4126" s="103"/>
      <c r="C4126" s="103"/>
      <c r="D4126" s="103"/>
      <c r="E4126" s="103"/>
      <c r="F4126" s="103"/>
      <c r="G4126" s="103"/>
      <c r="H4126" s="103"/>
      <c r="I4126" s="103"/>
      <c r="J4126" s="103"/>
      <c r="K4126" s="103"/>
      <c r="L4126" s="103"/>
      <c r="M4126" s="104"/>
      <c r="N4126" s="103"/>
    </row>
    <row r="4127" spans="1:14" ht="45" customHeight="1" thickBot="1" x14ac:dyDescent="0.4">
      <c r="A4127" s="103"/>
      <c r="B4127" s="103"/>
      <c r="C4127" s="103"/>
      <c r="D4127" s="103"/>
      <c r="E4127" s="103"/>
      <c r="F4127" s="103"/>
      <c r="G4127" s="103"/>
      <c r="H4127" s="103"/>
      <c r="I4127" s="103"/>
      <c r="J4127" s="103"/>
      <c r="K4127" s="103"/>
      <c r="L4127" s="103"/>
      <c r="M4127" s="104"/>
      <c r="N4127" s="103"/>
    </row>
    <row r="4128" spans="1:14" ht="45" customHeight="1" thickBot="1" x14ac:dyDescent="0.4">
      <c r="A4128" s="103"/>
      <c r="B4128" s="103"/>
      <c r="C4128" s="103"/>
      <c r="D4128" s="103"/>
      <c r="E4128" s="103"/>
      <c r="F4128" s="103"/>
      <c r="G4128" s="103"/>
      <c r="H4128" s="103"/>
      <c r="I4128" s="103"/>
      <c r="J4128" s="103"/>
      <c r="K4128" s="103"/>
      <c r="L4128" s="103"/>
      <c r="M4128" s="104"/>
      <c r="N4128" s="103"/>
    </row>
    <row r="4129" spans="1:14" ht="45" customHeight="1" thickBot="1" x14ac:dyDescent="0.4">
      <c r="A4129" s="103"/>
      <c r="B4129" s="103"/>
      <c r="C4129" s="103"/>
      <c r="D4129" s="103"/>
      <c r="E4129" s="103"/>
      <c r="F4129" s="103"/>
      <c r="G4129" s="103"/>
      <c r="H4129" s="103"/>
      <c r="I4129" s="103"/>
      <c r="J4129" s="103"/>
      <c r="K4129" s="103"/>
      <c r="L4129" s="103"/>
      <c r="M4129" s="104"/>
      <c r="N4129" s="103"/>
    </row>
    <row r="4130" spans="1:14" ht="45" customHeight="1" thickBot="1" x14ac:dyDescent="0.4">
      <c r="A4130" s="103"/>
      <c r="B4130" s="103"/>
      <c r="C4130" s="103"/>
      <c r="D4130" s="103"/>
      <c r="E4130" s="103"/>
      <c r="F4130" s="103"/>
      <c r="G4130" s="103"/>
      <c r="H4130" s="103"/>
      <c r="I4130" s="103"/>
      <c r="J4130" s="103"/>
      <c r="K4130" s="103"/>
      <c r="L4130" s="103"/>
      <c r="M4130" s="104"/>
      <c r="N4130" s="103"/>
    </row>
    <row r="4131" spans="1:14" ht="45" customHeight="1" thickBot="1" x14ac:dyDescent="0.4">
      <c r="A4131" s="103"/>
      <c r="B4131" s="103"/>
      <c r="C4131" s="103"/>
      <c r="D4131" s="103"/>
      <c r="E4131" s="103"/>
      <c r="F4131" s="103"/>
      <c r="G4131" s="103"/>
      <c r="H4131" s="103"/>
      <c r="I4131" s="103"/>
      <c r="J4131" s="103"/>
      <c r="K4131" s="103"/>
      <c r="L4131" s="103"/>
      <c r="M4131" s="104"/>
      <c r="N4131" s="103"/>
    </row>
    <row r="4132" spans="1:14" ht="45" customHeight="1" thickBot="1" x14ac:dyDescent="0.4">
      <c r="A4132" s="103"/>
      <c r="B4132" s="103"/>
      <c r="C4132" s="103"/>
      <c r="D4132" s="103"/>
      <c r="E4132" s="103"/>
      <c r="F4132" s="103"/>
      <c r="G4132" s="103"/>
      <c r="H4132" s="103"/>
      <c r="I4132" s="103"/>
      <c r="J4132" s="103"/>
      <c r="K4132" s="103"/>
      <c r="L4132" s="103"/>
      <c r="M4132" s="104"/>
      <c r="N4132" s="103"/>
    </row>
    <row r="4133" spans="1:14" ht="45" customHeight="1" thickBot="1" x14ac:dyDescent="0.4">
      <c r="A4133" s="103"/>
      <c r="B4133" s="103"/>
      <c r="C4133" s="103"/>
      <c r="D4133" s="103"/>
      <c r="E4133" s="103"/>
      <c r="F4133" s="103"/>
      <c r="G4133" s="103"/>
      <c r="H4133" s="103"/>
      <c r="I4133" s="103"/>
      <c r="J4133" s="103"/>
      <c r="K4133" s="103"/>
      <c r="L4133" s="103"/>
      <c r="M4133" s="104"/>
      <c r="N4133" s="103"/>
    </row>
    <row r="4134" spans="1:14" ht="45" customHeight="1" thickBot="1" x14ac:dyDescent="0.4">
      <c r="A4134" s="103"/>
      <c r="B4134" s="103"/>
      <c r="C4134" s="103"/>
      <c r="D4134" s="103"/>
      <c r="E4134" s="103"/>
      <c r="F4134" s="103"/>
      <c r="G4134" s="103"/>
      <c r="H4134" s="103"/>
      <c r="I4134" s="103"/>
      <c r="J4134" s="103"/>
      <c r="K4134" s="103"/>
      <c r="L4134" s="103"/>
      <c r="M4134" s="104"/>
      <c r="N4134" s="103"/>
    </row>
    <row r="4135" spans="1:14" ht="45" customHeight="1" thickBot="1" x14ac:dyDescent="0.4">
      <c r="A4135" s="103"/>
      <c r="B4135" s="103"/>
      <c r="C4135" s="103"/>
      <c r="D4135" s="103"/>
      <c r="E4135" s="103"/>
      <c r="F4135" s="103"/>
      <c r="G4135" s="103"/>
      <c r="H4135" s="103"/>
      <c r="I4135" s="103"/>
      <c r="J4135" s="103"/>
      <c r="K4135" s="103"/>
      <c r="L4135" s="103"/>
      <c r="M4135" s="104"/>
      <c r="N4135" s="103"/>
    </row>
    <row r="4136" spans="1:14" ht="45" customHeight="1" thickBot="1" x14ac:dyDescent="0.4">
      <c r="A4136" s="103"/>
      <c r="B4136" s="103"/>
      <c r="C4136" s="103"/>
      <c r="D4136" s="103"/>
      <c r="E4136" s="103"/>
      <c r="F4136" s="103"/>
      <c r="G4136" s="103"/>
      <c r="H4136" s="103"/>
      <c r="I4136" s="103"/>
      <c r="J4136" s="103"/>
      <c r="K4136" s="103"/>
      <c r="L4136" s="103"/>
      <c r="M4136" s="104"/>
      <c r="N4136" s="103"/>
    </row>
    <row r="4137" spans="1:14" ht="45" customHeight="1" thickBot="1" x14ac:dyDescent="0.4">
      <c r="A4137" s="103"/>
      <c r="B4137" s="103"/>
      <c r="C4137" s="103"/>
      <c r="D4137" s="103"/>
      <c r="E4137" s="103"/>
      <c r="F4137" s="103"/>
      <c r="G4137" s="103"/>
      <c r="H4137" s="103"/>
      <c r="I4137" s="103"/>
      <c r="J4137" s="103"/>
      <c r="K4137" s="103"/>
      <c r="L4137" s="103"/>
      <c r="M4137" s="104"/>
      <c r="N4137" s="103"/>
    </row>
    <row r="4138" spans="1:14" ht="45" customHeight="1" thickBot="1" x14ac:dyDescent="0.4">
      <c r="A4138" s="103"/>
      <c r="B4138" s="103"/>
      <c r="C4138" s="103"/>
      <c r="D4138" s="103"/>
      <c r="E4138" s="103"/>
      <c r="F4138" s="103"/>
      <c r="G4138" s="103"/>
      <c r="H4138" s="103"/>
      <c r="I4138" s="103"/>
      <c r="J4138" s="103"/>
      <c r="K4138" s="103"/>
      <c r="L4138" s="103"/>
      <c r="M4138" s="104"/>
      <c r="N4138" s="103"/>
    </row>
    <row r="4139" spans="1:14" ht="45" customHeight="1" thickBot="1" x14ac:dyDescent="0.4">
      <c r="A4139" s="103"/>
      <c r="B4139" s="103"/>
      <c r="C4139" s="103"/>
      <c r="D4139" s="103"/>
      <c r="E4139" s="103"/>
      <c r="F4139" s="103"/>
      <c r="G4139" s="103"/>
      <c r="H4139" s="103"/>
      <c r="I4139" s="103"/>
      <c r="J4139" s="103"/>
      <c r="K4139" s="103"/>
      <c r="L4139" s="103"/>
      <c r="M4139" s="104"/>
      <c r="N4139" s="103"/>
    </row>
    <row r="4140" spans="1:14" ht="45" customHeight="1" thickBot="1" x14ac:dyDescent="0.4">
      <c r="A4140" s="103"/>
      <c r="B4140" s="103"/>
      <c r="C4140" s="103"/>
      <c r="D4140" s="103"/>
      <c r="E4140" s="103"/>
      <c r="F4140" s="103"/>
      <c r="G4140" s="103"/>
      <c r="H4140" s="103"/>
      <c r="I4140" s="103"/>
      <c r="J4140" s="103"/>
      <c r="K4140" s="103"/>
      <c r="L4140" s="103"/>
      <c r="M4140" s="104"/>
      <c r="N4140" s="103"/>
    </row>
    <row r="4141" spans="1:14" ht="45" customHeight="1" thickBot="1" x14ac:dyDescent="0.4">
      <c r="A4141" s="103"/>
      <c r="B4141" s="103"/>
      <c r="C4141" s="103"/>
      <c r="D4141" s="103"/>
      <c r="E4141" s="103"/>
      <c r="F4141" s="103"/>
      <c r="G4141" s="103"/>
      <c r="H4141" s="103"/>
      <c r="I4141" s="103"/>
      <c r="J4141" s="103"/>
      <c r="K4141" s="103"/>
      <c r="L4141" s="103"/>
      <c r="M4141" s="104"/>
      <c r="N4141" s="103"/>
    </row>
    <row r="4142" spans="1:14" ht="45" customHeight="1" thickBot="1" x14ac:dyDescent="0.4">
      <c r="A4142" s="103"/>
      <c r="B4142" s="103"/>
      <c r="C4142" s="103"/>
      <c r="D4142" s="103"/>
      <c r="E4142" s="103"/>
      <c r="F4142" s="103"/>
      <c r="G4142" s="103"/>
      <c r="H4142" s="103"/>
      <c r="I4142" s="103"/>
      <c r="J4142" s="103"/>
      <c r="K4142" s="103"/>
      <c r="L4142" s="103"/>
      <c r="M4142" s="104"/>
      <c r="N4142" s="103"/>
    </row>
    <row r="4143" spans="1:14" ht="45" customHeight="1" thickBot="1" x14ac:dyDescent="0.4">
      <c r="A4143" s="103"/>
      <c r="B4143" s="103"/>
      <c r="C4143" s="103"/>
      <c r="D4143" s="103"/>
      <c r="E4143" s="103"/>
      <c r="F4143" s="103"/>
      <c r="G4143" s="103"/>
      <c r="H4143" s="103"/>
      <c r="I4143" s="103"/>
      <c r="J4143" s="103"/>
      <c r="K4143" s="103"/>
      <c r="L4143" s="103"/>
      <c r="M4143" s="104"/>
      <c r="N4143" s="103"/>
    </row>
    <row r="4144" spans="1:14" ht="45" customHeight="1" thickBot="1" x14ac:dyDescent="0.4">
      <c r="A4144" s="103"/>
      <c r="B4144" s="103"/>
      <c r="C4144" s="103"/>
      <c r="D4144" s="103"/>
      <c r="E4144" s="103"/>
      <c r="F4144" s="103"/>
      <c r="G4144" s="103"/>
      <c r="H4144" s="103"/>
      <c r="I4144" s="103"/>
      <c r="J4144" s="103"/>
      <c r="K4144" s="103"/>
      <c r="L4144" s="103"/>
      <c r="M4144" s="104"/>
      <c r="N4144" s="103"/>
    </row>
    <row r="4145" spans="1:14" ht="45" customHeight="1" thickBot="1" x14ac:dyDescent="0.4">
      <c r="A4145" s="103"/>
      <c r="B4145" s="103"/>
      <c r="C4145" s="103"/>
      <c r="D4145" s="103"/>
      <c r="E4145" s="103"/>
      <c r="F4145" s="103"/>
      <c r="G4145" s="103"/>
      <c r="H4145" s="103"/>
      <c r="I4145" s="103"/>
      <c r="J4145" s="103"/>
      <c r="K4145" s="103"/>
      <c r="L4145" s="103"/>
      <c r="M4145" s="104"/>
      <c r="N4145" s="103"/>
    </row>
    <row r="4146" spans="1:14" ht="45" customHeight="1" thickBot="1" x14ac:dyDescent="0.4">
      <c r="A4146" s="103"/>
      <c r="B4146" s="103"/>
      <c r="C4146" s="103"/>
      <c r="D4146" s="103"/>
      <c r="E4146" s="103"/>
      <c r="F4146" s="103"/>
      <c r="G4146" s="103"/>
      <c r="H4146" s="103"/>
      <c r="I4146" s="103"/>
      <c r="J4146" s="103"/>
      <c r="K4146" s="103"/>
      <c r="L4146" s="103"/>
      <c r="M4146" s="104"/>
      <c r="N4146" s="103"/>
    </row>
    <row r="4147" spans="1:14" ht="45" customHeight="1" thickBot="1" x14ac:dyDescent="0.4">
      <c r="A4147" s="103"/>
      <c r="B4147" s="103"/>
      <c r="C4147" s="103"/>
      <c r="D4147" s="103"/>
      <c r="E4147" s="103"/>
      <c r="F4147" s="103"/>
      <c r="G4147" s="103"/>
      <c r="H4147" s="103"/>
      <c r="I4147" s="103"/>
      <c r="J4147" s="103"/>
      <c r="K4147" s="103"/>
      <c r="L4147" s="103"/>
      <c r="M4147" s="104"/>
      <c r="N4147" s="103"/>
    </row>
    <row r="4148" spans="1:14" ht="45" customHeight="1" thickBot="1" x14ac:dyDescent="0.4">
      <c r="A4148" s="103"/>
      <c r="B4148" s="103"/>
      <c r="C4148" s="103"/>
      <c r="D4148" s="103"/>
      <c r="E4148" s="103"/>
      <c r="F4148" s="103"/>
      <c r="G4148" s="103"/>
      <c r="H4148" s="103"/>
      <c r="I4148" s="103"/>
      <c r="J4148" s="103"/>
      <c r="K4148" s="103"/>
      <c r="L4148" s="103"/>
      <c r="M4148" s="104"/>
      <c r="N4148" s="103"/>
    </row>
    <row r="4149" spans="1:14" ht="45" customHeight="1" thickBot="1" x14ac:dyDescent="0.4">
      <c r="A4149" s="103"/>
      <c r="B4149" s="103"/>
      <c r="C4149" s="103"/>
      <c r="D4149" s="103"/>
      <c r="E4149" s="103"/>
      <c r="F4149" s="103"/>
      <c r="G4149" s="103"/>
      <c r="H4149" s="103"/>
      <c r="I4149" s="103"/>
      <c r="J4149" s="103"/>
      <c r="K4149" s="103"/>
      <c r="L4149" s="103"/>
      <c r="M4149" s="104"/>
      <c r="N4149" s="103"/>
    </row>
    <row r="4150" spans="1:14" ht="45" customHeight="1" thickBot="1" x14ac:dyDescent="0.4">
      <c r="A4150" s="103"/>
      <c r="B4150" s="103"/>
      <c r="C4150" s="103"/>
      <c r="D4150" s="103"/>
      <c r="E4150" s="103"/>
      <c r="F4150" s="103"/>
      <c r="G4150" s="103"/>
      <c r="H4150" s="103"/>
      <c r="I4150" s="103"/>
      <c r="J4150" s="103"/>
      <c r="K4150" s="103"/>
      <c r="L4150" s="103"/>
      <c r="M4150" s="104"/>
      <c r="N4150" s="103"/>
    </row>
    <row r="4151" spans="1:14" ht="45" customHeight="1" thickBot="1" x14ac:dyDescent="0.4">
      <c r="A4151" s="103"/>
      <c r="B4151" s="103"/>
      <c r="C4151" s="103"/>
      <c r="D4151" s="103"/>
      <c r="E4151" s="103"/>
      <c r="F4151" s="103"/>
      <c r="G4151" s="103"/>
      <c r="H4151" s="103"/>
      <c r="I4151" s="103"/>
      <c r="J4151" s="103"/>
      <c r="K4151" s="103"/>
      <c r="L4151" s="103"/>
      <c r="M4151" s="104"/>
      <c r="N4151" s="103"/>
    </row>
    <row r="4152" spans="1:14" ht="45" customHeight="1" thickBot="1" x14ac:dyDescent="0.4">
      <c r="A4152" s="103"/>
      <c r="B4152" s="103"/>
      <c r="C4152" s="103"/>
      <c r="D4152" s="103"/>
      <c r="E4152" s="103"/>
      <c r="F4152" s="103"/>
      <c r="G4152" s="103"/>
      <c r="H4152" s="103"/>
      <c r="I4152" s="103"/>
      <c r="J4152" s="103"/>
      <c r="K4152" s="103"/>
      <c r="L4152" s="103"/>
      <c r="M4152" s="104"/>
      <c r="N4152" s="103"/>
    </row>
    <row r="4153" spans="1:14" ht="45" customHeight="1" thickBot="1" x14ac:dyDescent="0.4">
      <c r="A4153" s="103"/>
      <c r="B4153" s="103"/>
      <c r="C4153" s="103"/>
      <c r="D4153" s="103"/>
      <c r="E4153" s="103"/>
      <c r="F4153" s="103"/>
      <c r="G4153" s="103"/>
      <c r="H4153" s="103"/>
      <c r="I4153" s="103"/>
      <c r="J4153" s="103"/>
      <c r="K4153" s="103"/>
      <c r="L4153" s="103"/>
      <c r="M4153" s="104"/>
      <c r="N4153" s="103"/>
    </row>
    <row r="4154" spans="1:14" ht="45" customHeight="1" thickBot="1" x14ac:dyDescent="0.4">
      <c r="A4154" s="103"/>
      <c r="B4154" s="103"/>
      <c r="C4154" s="103"/>
      <c r="D4154" s="103"/>
      <c r="E4154" s="103"/>
      <c r="F4154" s="103"/>
      <c r="G4154" s="103"/>
      <c r="H4154" s="103"/>
      <c r="I4154" s="103"/>
      <c r="J4154" s="103"/>
      <c r="K4154" s="103"/>
      <c r="L4154" s="103"/>
      <c r="M4154" s="104"/>
      <c r="N4154" s="103"/>
    </row>
    <row r="4155" spans="1:14" ht="45" customHeight="1" thickBot="1" x14ac:dyDescent="0.4">
      <c r="A4155" s="103"/>
      <c r="B4155" s="103"/>
      <c r="C4155" s="103"/>
      <c r="D4155" s="103"/>
      <c r="E4155" s="103"/>
      <c r="F4155" s="103"/>
      <c r="G4155" s="103"/>
      <c r="H4155" s="103"/>
      <c r="I4155" s="103"/>
      <c r="J4155" s="103"/>
      <c r="K4155" s="103"/>
      <c r="L4155" s="103"/>
      <c r="M4155" s="104"/>
      <c r="N4155" s="103"/>
    </row>
    <row r="4156" spans="1:14" ht="45" customHeight="1" thickBot="1" x14ac:dyDescent="0.4">
      <c r="A4156" s="103"/>
      <c r="B4156" s="103"/>
      <c r="C4156" s="103"/>
      <c r="D4156" s="103"/>
      <c r="E4156" s="103"/>
      <c r="F4156" s="103"/>
      <c r="G4156" s="103"/>
      <c r="H4156" s="103"/>
      <c r="I4156" s="103"/>
      <c r="J4156" s="103"/>
      <c r="K4156" s="103"/>
      <c r="L4156" s="103"/>
      <c r="M4156" s="104"/>
      <c r="N4156" s="103"/>
    </row>
    <row r="4157" spans="1:14" ht="45" customHeight="1" thickBot="1" x14ac:dyDescent="0.4">
      <c r="A4157" s="103"/>
      <c r="B4157" s="103"/>
      <c r="C4157" s="103"/>
      <c r="D4157" s="103"/>
      <c r="E4157" s="103"/>
      <c r="F4157" s="103"/>
      <c r="G4157" s="103"/>
      <c r="H4157" s="103"/>
      <c r="I4157" s="103"/>
      <c r="J4157" s="103"/>
      <c r="K4157" s="103"/>
      <c r="L4157" s="103"/>
      <c r="M4157" s="104"/>
      <c r="N4157" s="103"/>
    </row>
    <row r="4158" spans="1:14" ht="45" customHeight="1" thickBot="1" x14ac:dyDescent="0.4">
      <c r="A4158" s="103"/>
      <c r="B4158" s="103"/>
      <c r="C4158" s="103"/>
      <c r="D4158" s="103"/>
      <c r="E4158" s="103"/>
      <c r="F4158" s="103"/>
      <c r="G4158" s="103"/>
      <c r="H4158" s="103"/>
      <c r="I4158" s="103"/>
      <c r="J4158" s="103"/>
      <c r="K4158" s="103"/>
      <c r="L4158" s="103"/>
      <c r="M4158" s="104"/>
      <c r="N4158" s="103"/>
    </row>
    <row r="4159" spans="1:14" ht="45" customHeight="1" thickBot="1" x14ac:dyDescent="0.4">
      <c r="A4159" s="103"/>
      <c r="B4159" s="103"/>
      <c r="C4159" s="103"/>
      <c r="D4159" s="103"/>
      <c r="E4159" s="103"/>
      <c r="F4159" s="103"/>
      <c r="G4159" s="103"/>
      <c r="H4159" s="103"/>
      <c r="I4159" s="103"/>
      <c r="J4159" s="103"/>
      <c r="K4159" s="103"/>
      <c r="L4159" s="103"/>
      <c r="M4159" s="104"/>
      <c r="N4159" s="103"/>
    </row>
    <row r="4160" spans="1:14" ht="45" customHeight="1" thickBot="1" x14ac:dyDescent="0.4">
      <c r="A4160" s="103"/>
      <c r="B4160" s="103"/>
      <c r="C4160" s="103"/>
      <c r="D4160" s="103"/>
      <c r="E4160" s="103"/>
      <c r="F4160" s="103"/>
      <c r="G4160" s="103"/>
      <c r="H4160" s="103"/>
      <c r="I4160" s="103"/>
      <c r="J4160" s="103"/>
      <c r="K4160" s="103"/>
      <c r="L4160" s="103"/>
      <c r="M4160" s="104"/>
      <c r="N4160" s="103"/>
    </row>
    <row r="4161" spans="1:14" ht="45" customHeight="1" thickBot="1" x14ac:dyDescent="0.4">
      <c r="A4161" s="103"/>
      <c r="B4161" s="103"/>
      <c r="C4161" s="103"/>
      <c r="D4161" s="103"/>
      <c r="E4161" s="103"/>
      <c r="F4161" s="103"/>
      <c r="G4161" s="103"/>
      <c r="H4161" s="103"/>
      <c r="I4161" s="103"/>
      <c r="J4161" s="103"/>
      <c r="K4161" s="103"/>
      <c r="L4161" s="103"/>
      <c r="M4161" s="104"/>
      <c r="N4161" s="103"/>
    </row>
    <row r="4162" spans="1:14" ht="45" customHeight="1" thickBot="1" x14ac:dyDescent="0.4">
      <c r="A4162" s="103"/>
      <c r="B4162" s="103"/>
      <c r="C4162" s="103"/>
      <c r="D4162" s="103"/>
      <c r="E4162" s="103"/>
      <c r="F4162" s="103"/>
      <c r="G4162" s="103"/>
      <c r="H4162" s="103"/>
      <c r="I4162" s="103"/>
      <c r="J4162" s="103"/>
      <c r="K4162" s="103"/>
      <c r="L4162" s="103"/>
      <c r="M4162" s="104"/>
      <c r="N4162" s="103"/>
    </row>
    <row r="4163" spans="1:14" ht="45" customHeight="1" thickBot="1" x14ac:dyDescent="0.4">
      <c r="A4163" s="103"/>
      <c r="B4163" s="103"/>
      <c r="C4163" s="103"/>
      <c r="D4163" s="103"/>
      <c r="E4163" s="103"/>
      <c r="F4163" s="103"/>
      <c r="G4163" s="103"/>
      <c r="H4163" s="103"/>
      <c r="I4163" s="103"/>
      <c r="J4163" s="103"/>
      <c r="K4163" s="103"/>
      <c r="L4163" s="103"/>
      <c r="M4163" s="104"/>
      <c r="N4163" s="103"/>
    </row>
    <row r="4164" spans="1:14" ht="45" customHeight="1" thickBot="1" x14ac:dyDescent="0.4">
      <c r="A4164" s="103"/>
      <c r="B4164" s="103"/>
      <c r="C4164" s="103"/>
      <c r="D4164" s="103"/>
      <c r="E4164" s="103"/>
      <c r="F4164" s="103"/>
      <c r="G4164" s="103"/>
      <c r="H4164" s="103"/>
      <c r="I4164" s="103"/>
      <c r="J4164" s="103"/>
      <c r="K4164" s="103"/>
      <c r="L4164" s="103"/>
      <c r="M4164" s="104"/>
      <c r="N4164" s="103"/>
    </row>
    <row r="4165" spans="1:14" ht="45" customHeight="1" thickBot="1" x14ac:dyDescent="0.4">
      <c r="A4165" s="103"/>
      <c r="B4165" s="103"/>
      <c r="C4165" s="103"/>
      <c r="D4165" s="103"/>
      <c r="E4165" s="103"/>
      <c r="F4165" s="103"/>
      <c r="G4165" s="103"/>
      <c r="H4165" s="103"/>
      <c r="I4165" s="103"/>
      <c r="J4165" s="103"/>
      <c r="K4165" s="103"/>
      <c r="L4165" s="103"/>
      <c r="M4165" s="104"/>
      <c r="N4165" s="103"/>
    </row>
    <row r="4166" spans="1:14" ht="45" customHeight="1" thickBot="1" x14ac:dyDescent="0.4">
      <c r="A4166" s="103"/>
      <c r="B4166" s="103"/>
      <c r="C4166" s="103"/>
      <c r="D4166" s="103"/>
      <c r="E4166" s="103"/>
      <c r="F4166" s="103"/>
      <c r="G4166" s="103"/>
      <c r="H4166" s="103"/>
      <c r="I4166" s="103"/>
      <c r="J4166" s="103"/>
      <c r="K4166" s="103"/>
      <c r="L4166" s="103"/>
      <c r="M4166" s="104"/>
      <c r="N4166" s="103"/>
    </row>
    <row r="4167" spans="1:14" ht="45" customHeight="1" thickBot="1" x14ac:dyDescent="0.4">
      <c r="A4167" s="103"/>
      <c r="B4167" s="103"/>
      <c r="C4167" s="103"/>
      <c r="D4167" s="103"/>
      <c r="E4167" s="103"/>
      <c r="F4167" s="103"/>
      <c r="G4167" s="103"/>
      <c r="H4167" s="103"/>
      <c r="I4167" s="103"/>
      <c r="J4167" s="103"/>
      <c r="K4167" s="103"/>
      <c r="L4167" s="103"/>
      <c r="M4167" s="104"/>
      <c r="N4167" s="103"/>
    </row>
    <row r="4168" spans="1:14" ht="45" customHeight="1" thickBot="1" x14ac:dyDescent="0.4">
      <c r="A4168" s="103"/>
      <c r="B4168" s="103"/>
      <c r="C4168" s="103"/>
      <c r="D4168" s="103"/>
      <c r="E4168" s="103"/>
      <c r="F4168" s="103"/>
      <c r="G4168" s="103"/>
      <c r="H4168" s="103"/>
      <c r="I4168" s="103"/>
      <c r="J4168" s="103"/>
      <c r="K4168" s="103"/>
      <c r="L4168" s="103"/>
      <c r="M4168" s="104"/>
      <c r="N4168" s="103"/>
    </row>
    <row r="4169" spans="1:14" ht="45" customHeight="1" thickBot="1" x14ac:dyDescent="0.4">
      <c r="A4169" s="103"/>
      <c r="B4169" s="103"/>
      <c r="C4169" s="103"/>
      <c r="D4169" s="103"/>
      <c r="E4169" s="103"/>
      <c r="F4169" s="103"/>
      <c r="G4169" s="103"/>
      <c r="H4169" s="103"/>
      <c r="I4169" s="103"/>
      <c r="J4169" s="103"/>
      <c r="K4169" s="103"/>
      <c r="L4169" s="103"/>
      <c r="M4169" s="104"/>
      <c r="N4169" s="103"/>
    </row>
    <row r="4170" spans="1:14" ht="45" customHeight="1" thickBot="1" x14ac:dyDescent="0.4">
      <c r="A4170" s="103"/>
      <c r="B4170" s="103"/>
      <c r="C4170" s="103"/>
      <c r="D4170" s="103"/>
      <c r="E4170" s="103"/>
      <c r="F4170" s="103"/>
      <c r="G4170" s="103"/>
      <c r="H4170" s="103"/>
      <c r="I4170" s="103"/>
      <c r="J4170" s="103"/>
      <c r="K4170" s="103"/>
      <c r="L4170" s="103"/>
      <c r="M4170" s="104"/>
      <c r="N4170" s="103"/>
    </row>
    <row r="4171" spans="1:14" ht="45" customHeight="1" thickBot="1" x14ac:dyDescent="0.4">
      <c r="A4171" s="103"/>
      <c r="B4171" s="103"/>
      <c r="C4171" s="103"/>
      <c r="D4171" s="103"/>
      <c r="E4171" s="103"/>
      <c r="F4171" s="103"/>
      <c r="G4171" s="103"/>
      <c r="H4171" s="103"/>
      <c r="I4171" s="103"/>
      <c r="J4171" s="103"/>
      <c r="K4171" s="103"/>
      <c r="L4171" s="103"/>
      <c r="M4171" s="104"/>
      <c r="N4171" s="103"/>
    </row>
    <row r="4172" spans="1:14" ht="45" customHeight="1" thickBot="1" x14ac:dyDescent="0.4">
      <c r="A4172" s="103"/>
      <c r="B4172" s="103"/>
      <c r="C4172" s="103"/>
      <c r="D4172" s="103"/>
      <c r="E4172" s="103"/>
      <c r="F4172" s="103"/>
      <c r="G4172" s="103"/>
      <c r="H4172" s="103"/>
      <c r="I4172" s="103"/>
      <c r="J4172" s="103"/>
      <c r="K4172" s="103"/>
      <c r="L4172" s="103"/>
      <c r="M4172" s="104"/>
      <c r="N4172" s="103"/>
    </row>
    <row r="4173" spans="1:14" ht="45" customHeight="1" thickBot="1" x14ac:dyDescent="0.4">
      <c r="A4173" s="103"/>
      <c r="B4173" s="103"/>
      <c r="C4173" s="103"/>
      <c r="D4173" s="103"/>
      <c r="E4173" s="103"/>
      <c r="F4173" s="103"/>
      <c r="G4173" s="103"/>
      <c r="H4173" s="103"/>
      <c r="I4173" s="103"/>
      <c r="J4173" s="103"/>
      <c r="K4173" s="103"/>
      <c r="L4173" s="103"/>
      <c r="M4173" s="104"/>
      <c r="N4173" s="103"/>
    </row>
    <row r="4174" spans="1:14" ht="45" customHeight="1" thickBot="1" x14ac:dyDescent="0.4">
      <c r="A4174" s="103"/>
      <c r="B4174" s="103"/>
      <c r="C4174" s="103"/>
      <c r="D4174" s="103"/>
      <c r="E4174" s="103"/>
      <c r="F4174" s="103"/>
      <c r="G4174" s="103"/>
      <c r="H4174" s="103"/>
      <c r="I4174" s="103"/>
      <c r="J4174" s="103"/>
      <c r="K4174" s="103"/>
      <c r="L4174" s="103"/>
      <c r="M4174" s="104"/>
      <c r="N4174" s="103"/>
    </row>
    <row r="4175" spans="1:14" ht="45" customHeight="1" thickBot="1" x14ac:dyDescent="0.4">
      <c r="A4175" s="103"/>
      <c r="B4175" s="103"/>
      <c r="C4175" s="103"/>
      <c r="D4175" s="103"/>
      <c r="E4175" s="103"/>
      <c r="F4175" s="103"/>
      <c r="G4175" s="103"/>
      <c r="H4175" s="103"/>
      <c r="I4175" s="103"/>
      <c r="J4175" s="103"/>
      <c r="K4175" s="103"/>
      <c r="L4175" s="103"/>
      <c r="M4175" s="104"/>
      <c r="N4175" s="103"/>
    </row>
    <row r="4176" spans="1:14" ht="45" customHeight="1" thickBot="1" x14ac:dyDescent="0.4">
      <c r="A4176" s="103"/>
      <c r="B4176" s="103"/>
      <c r="C4176" s="103"/>
      <c r="D4176" s="103"/>
      <c r="E4176" s="103"/>
      <c r="F4176" s="103"/>
      <c r="G4176" s="103"/>
      <c r="H4176" s="103"/>
      <c r="I4176" s="103"/>
      <c r="J4176" s="103"/>
      <c r="K4176" s="103"/>
      <c r="L4176" s="103"/>
      <c r="M4176" s="104"/>
      <c r="N4176" s="103"/>
    </row>
    <row r="4177" spans="1:14" ht="45" customHeight="1" thickBot="1" x14ac:dyDescent="0.4">
      <c r="A4177" s="103"/>
      <c r="B4177" s="103"/>
      <c r="C4177" s="103"/>
      <c r="D4177" s="103"/>
      <c r="E4177" s="103"/>
      <c r="F4177" s="103"/>
      <c r="G4177" s="103"/>
      <c r="H4177" s="103"/>
      <c r="I4177" s="103"/>
      <c r="J4177" s="103"/>
      <c r="K4177" s="103"/>
      <c r="L4177" s="103"/>
      <c r="M4177" s="104"/>
      <c r="N4177" s="103"/>
    </row>
    <row r="4178" spans="1:14" ht="45" customHeight="1" thickBot="1" x14ac:dyDescent="0.4">
      <c r="A4178" s="103"/>
      <c r="B4178" s="103"/>
      <c r="C4178" s="103"/>
      <c r="D4178" s="103"/>
      <c r="E4178" s="103"/>
      <c r="F4178" s="103"/>
      <c r="G4178" s="103"/>
      <c r="H4178" s="103"/>
      <c r="I4178" s="103"/>
      <c r="J4178" s="103"/>
      <c r="K4178" s="103"/>
      <c r="L4178" s="103"/>
      <c r="M4178" s="104"/>
      <c r="N4178" s="103"/>
    </row>
    <row r="4179" spans="1:14" ht="45" customHeight="1" thickBot="1" x14ac:dyDescent="0.4">
      <c r="A4179" s="103"/>
      <c r="B4179" s="103"/>
      <c r="C4179" s="103"/>
      <c r="D4179" s="103"/>
      <c r="E4179" s="103"/>
      <c r="F4179" s="103"/>
      <c r="G4179" s="103"/>
      <c r="H4179" s="103"/>
      <c r="I4179" s="103"/>
      <c r="J4179" s="103"/>
      <c r="K4179" s="103"/>
      <c r="L4179" s="103"/>
      <c r="M4179" s="104"/>
      <c r="N4179" s="103"/>
    </row>
    <row r="4180" spans="1:14" ht="45" customHeight="1" thickBot="1" x14ac:dyDescent="0.4">
      <c r="A4180" s="103"/>
      <c r="B4180" s="103"/>
      <c r="C4180" s="103"/>
      <c r="D4180" s="103"/>
      <c r="E4180" s="103"/>
      <c r="F4180" s="103"/>
      <c r="G4180" s="103"/>
      <c r="H4180" s="103"/>
      <c r="I4180" s="103"/>
      <c r="J4180" s="103"/>
      <c r="K4180" s="103"/>
      <c r="L4180" s="103"/>
      <c r="M4180" s="104"/>
      <c r="N4180" s="103"/>
    </row>
    <row r="4181" spans="1:14" ht="45" customHeight="1" thickBot="1" x14ac:dyDescent="0.4">
      <c r="A4181" s="103"/>
      <c r="B4181" s="103"/>
      <c r="C4181" s="103"/>
      <c r="D4181" s="103"/>
      <c r="E4181" s="103"/>
      <c r="F4181" s="103"/>
      <c r="G4181" s="103"/>
      <c r="H4181" s="103"/>
      <c r="I4181" s="103"/>
      <c r="J4181" s="103"/>
      <c r="K4181" s="103"/>
      <c r="L4181" s="103"/>
      <c r="M4181" s="104"/>
      <c r="N4181" s="103"/>
    </row>
    <row r="4182" spans="1:14" ht="45" customHeight="1" thickBot="1" x14ac:dyDescent="0.4">
      <c r="A4182" s="103"/>
      <c r="B4182" s="103"/>
      <c r="C4182" s="103"/>
      <c r="D4182" s="103"/>
      <c r="E4182" s="103"/>
      <c r="F4182" s="103"/>
      <c r="G4182" s="103"/>
      <c r="H4182" s="103"/>
      <c r="I4182" s="103"/>
      <c r="J4182" s="103"/>
      <c r="K4182" s="103"/>
      <c r="L4182" s="103"/>
      <c r="M4182" s="104"/>
      <c r="N4182" s="103"/>
    </row>
    <row r="4183" spans="1:14" ht="45" customHeight="1" thickBot="1" x14ac:dyDescent="0.4">
      <c r="A4183" s="103"/>
      <c r="B4183" s="103"/>
      <c r="C4183" s="103"/>
      <c r="D4183" s="103"/>
      <c r="E4183" s="103"/>
      <c r="F4183" s="103"/>
      <c r="G4183" s="103"/>
      <c r="H4183" s="103"/>
      <c r="I4183" s="103"/>
      <c r="J4183" s="103"/>
      <c r="K4183" s="103"/>
      <c r="L4183" s="103"/>
      <c r="M4183" s="104"/>
      <c r="N4183" s="103"/>
    </row>
    <row r="4184" spans="1:14" ht="45" customHeight="1" thickBot="1" x14ac:dyDescent="0.4">
      <c r="A4184" s="103"/>
      <c r="B4184" s="103"/>
      <c r="C4184" s="103"/>
      <c r="D4184" s="103"/>
      <c r="E4184" s="103"/>
      <c r="F4184" s="103"/>
      <c r="G4184" s="103"/>
      <c r="H4184" s="103"/>
      <c r="I4184" s="103"/>
      <c r="J4184" s="103"/>
      <c r="K4184" s="103"/>
      <c r="L4184" s="103"/>
      <c r="M4184" s="104"/>
      <c r="N4184" s="103"/>
    </row>
    <row r="4185" spans="1:14" ht="45" customHeight="1" thickBot="1" x14ac:dyDescent="0.4">
      <c r="A4185" s="103"/>
      <c r="B4185" s="103"/>
      <c r="C4185" s="103"/>
      <c r="D4185" s="103"/>
      <c r="E4185" s="103"/>
      <c r="F4185" s="103"/>
      <c r="G4185" s="103"/>
      <c r="H4185" s="103"/>
      <c r="I4185" s="103"/>
      <c r="J4185" s="103"/>
      <c r="K4185" s="103"/>
      <c r="L4185" s="103"/>
      <c r="M4185" s="104"/>
      <c r="N4185" s="103"/>
    </row>
    <row r="4186" spans="1:14" ht="45" customHeight="1" thickBot="1" x14ac:dyDescent="0.4">
      <c r="A4186" s="103"/>
      <c r="B4186" s="103"/>
      <c r="C4186" s="103"/>
      <c r="D4186" s="103"/>
      <c r="E4186" s="103"/>
      <c r="F4186" s="103"/>
      <c r="G4186" s="103"/>
      <c r="H4186" s="103"/>
      <c r="I4186" s="103"/>
      <c r="J4186" s="103"/>
      <c r="K4186" s="103"/>
      <c r="L4186" s="103"/>
      <c r="M4186" s="104"/>
      <c r="N4186" s="103"/>
    </row>
    <row r="4187" spans="1:14" ht="45" customHeight="1" thickBot="1" x14ac:dyDescent="0.4">
      <c r="A4187" s="103"/>
      <c r="B4187" s="103"/>
      <c r="C4187" s="103"/>
      <c r="D4187" s="103"/>
      <c r="E4187" s="103"/>
      <c r="F4187" s="103"/>
      <c r="G4187" s="103"/>
      <c r="H4187" s="103"/>
      <c r="I4187" s="103"/>
      <c r="J4187" s="103"/>
      <c r="K4187" s="103"/>
      <c r="L4187" s="103"/>
      <c r="M4187" s="104"/>
      <c r="N4187" s="103"/>
    </row>
    <row r="4188" spans="1:14" ht="45" customHeight="1" thickBot="1" x14ac:dyDescent="0.4">
      <c r="A4188" s="103"/>
      <c r="B4188" s="103"/>
      <c r="C4188" s="103"/>
      <c r="D4188" s="103"/>
      <c r="E4188" s="103"/>
      <c r="F4188" s="103"/>
      <c r="G4188" s="103"/>
      <c r="H4188" s="103"/>
      <c r="I4188" s="103"/>
      <c r="J4188" s="103"/>
      <c r="K4188" s="103"/>
      <c r="L4188" s="103"/>
      <c r="M4188" s="104"/>
      <c r="N4188" s="103"/>
    </row>
    <row r="4189" spans="1:14" ht="45" customHeight="1" thickBot="1" x14ac:dyDescent="0.4">
      <c r="A4189" s="103"/>
      <c r="B4189" s="103"/>
      <c r="C4189" s="103"/>
      <c r="D4189" s="103"/>
      <c r="E4189" s="103"/>
      <c r="F4189" s="103"/>
      <c r="G4189" s="103"/>
      <c r="H4189" s="103"/>
      <c r="I4189" s="103"/>
      <c r="J4189" s="103"/>
      <c r="K4189" s="103"/>
      <c r="L4189" s="103"/>
      <c r="M4189" s="104"/>
      <c r="N4189" s="103"/>
    </row>
    <row r="4190" spans="1:14" ht="45" customHeight="1" thickBot="1" x14ac:dyDescent="0.4">
      <c r="A4190" s="103"/>
      <c r="B4190" s="103"/>
      <c r="C4190" s="103"/>
      <c r="D4190" s="103"/>
      <c r="E4190" s="103"/>
      <c r="F4190" s="103"/>
      <c r="G4190" s="103"/>
      <c r="H4190" s="103"/>
      <c r="I4190" s="103"/>
      <c r="J4190" s="103"/>
      <c r="K4190" s="103"/>
      <c r="L4190" s="103"/>
      <c r="M4190" s="104"/>
      <c r="N4190" s="103"/>
    </row>
    <row r="4191" spans="1:14" ht="45" customHeight="1" thickBot="1" x14ac:dyDescent="0.4">
      <c r="A4191" s="103"/>
      <c r="B4191" s="103"/>
      <c r="C4191" s="103"/>
      <c r="D4191" s="103"/>
      <c r="E4191" s="103"/>
      <c r="F4191" s="103"/>
      <c r="G4191" s="103"/>
      <c r="H4191" s="103"/>
      <c r="I4191" s="103"/>
      <c r="J4191" s="103"/>
      <c r="K4191" s="103"/>
      <c r="L4191" s="103"/>
      <c r="M4191" s="104"/>
      <c r="N4191" s="103"/>
    </row>
    <row r="4192" spans="1:14" ht="45" customHeight="1" thickBot="1" x14ac:dyDescent="0.4">
      <c r="A4192" s="103"/>
      <c r="B4192" s="103"/>
      <c r="C4192" s="103"/>
      <c r="D4192" s="103"/>
      <c r="E4192" s="103"/>
      <c r="F4192" s="103"/>
      <c r="G4192" s="103"/>
      <c r="H4192" s="103"/>
      <c r="I4192" s="103"/>
      <c r="J4192" s="103"/>
      <c r="K4192" s="103"/>
      <c r="L4192" s="103"/>
      <c r="M4192" s="104"/>
      <c r="N4192" s="103"/>
    </row>
    <row r="4193" spans="1:14" ht="45" customHeight="1" thickBot="1" x14ac:dyDescent="0.4">
      <c r="A4193" s="103"/>
      <c r="B4193" s="103"/>
      <c r="C4193" s="103"/>
      <c r="D4193" s="103"/>
      <c r="E4193" s="103"/>
      <c r="F4193" s="103"/>
      <c r="G4193" s="103"/>
      <c r="H4193" s="103"/>
      <c r="I4193" s="103"/>
      <c r="J4193" s="103"/>
      <c r="K4193" s="103"/>
      <c r="L4193" s="103"/>
      <c r="M4193" s="104"/>
      <c r="N4193" s="103"/>
    </row>
    <row r="4194" spans="1:14" ht="45" customHeight="1" thickBot="1" x14ac:dyDescent="0.4">
      <c r="A4194" s="103"/>
      <c r="B4194" s="103"/>
      <c r="C4194" s="103"/>
      <c r="D4194" s="103"/>
      <c r="E4194" s="103"/>
      <c r="F4194" s="103"/>
      <c r="G4194" s="103"/>
      <c r="H4194" s="103"/>
      <c r="I4194" s="103"/>
      <c r="J4194" s="103"/>
      <c r="K4194" s="103"/>
      <c r="L4194" s="103"/>
      <c r="M4194" s="104"/>
      <c r="N4194" s="103"/>
    </row>
    <row r="4195" spans="1:14" ht="45" customHeight="1" thickBot="1" x14ac:dyDescent="0.4">
      <c r="A4195" s="103"/>
      <c r="B4195" s="103"/>
      <c r="C4195" s="103"/>
      <c r="D4195" s="103"/>
      <c r="E4195" s="103"/>
      <c r="F4195" s="103"/>
      <c r="G4195" s="103"/>
      <c r="H4195" s="103"/>
      <c r="I4195" s="103"/>
      <c r="J4195" s="103"/>
      <c r="K4195" s="103"/>
      <c r="L4195" s="103"/>
      <c r="M4195" s="104"/>
      <c r="N4195" s="103"/>
    </row>
    <row r="4196" spans="1:14" ht="45" customHeight="1" thickBot="1" x14ac:dyDescent="0.4">
      <c r="A4196" s="103"/>
      <c r="B4196" s="103"/>
      <c r="C4196" s="103"/>
      <c r="D4196" s="103"/>
      <c r="E4196" s="103"/>
      <c r="F4196" s="103"/>
      <c r="G4196" s="103"/>
      <c r="H4196" s="103"/>
      <c r="I4196" s="103"/>
      <c r="J4196" s="103"/>
      <c r="K4196" s="103"/>
      <c r="L4196" s="103"/>
      <c r="M4196" s="104"/>
      <c r="N4196" s="103"/>
    </row>
    <row r="4197" spans="1:14" ht="45" customHeight="1" thickBot="1" x14ac:dyDescent="0.4">
      <c r="A4197" s="103"/>
      <c r="B4197" s="103"/>
      <c r="C4197" s="103"/>
      <c r="D4197" s="103"/>
      <c r="E4197" s="103"/>
      <c r="F4197" s="103"/>
      <c r="G4197" s="103"/>
      <c r="H4197" s="103"/>
      <c r="I4197" s="103"/>
      <c r="J4197" s="103"/>
      <c r="K4197" s="103"/>
      <c r="L4197" s="103"/>
      <c r="M4197" s="104"/>
      <c r="N4197" s="103"/>
    </row>
    <row r="4198" spans="1:14" ht="45" customHeight="1" thickBot="1" x14ac:dyDescent="0.4">
      <c r="A4198" s="103"/>
      <c r="B4198" s="103"/>
      <c r="C4198" s="103"/>
      <c r="D4198" s="103"/>
      <c r="E4198" s="103"/>
      <c r="F4198" s="103"/>
      <c r="G4198" s="103"/>
      <c r="H4198" s="103"/>
      <c r="I4198" s="103"/>
      <c r="J4198" s="103"/>
      <c r="K4198" s="103"/>
      <c r="L4198" s="103"/>
      <c r="M4198" s="104"/>
      <c r="N4198" s="103"/>
    </row>
    <row r="4199" spans="1:14" ht="45" customHeight="1" thickBot="1" x14ac:dyDescent="0.4">
      <c r="A4199" s="103"/>
      <c r="B4199" s="103"/>
      <c r="C4199" s="103"/>
      <c r="D4199" s="103"/>
      <c r="E4199" s="103"/>
      <c r="F4199" s="103"/>
      <c r="G4199" s="103"/>
      <c r="H4199" s="103"/>
      <c r="I4199" s="103"/>
      <c r="J4199" s="103"/>
      <c r="K4199" s="103"/>
      <c r="L4199" s="103"/>
      <c r="M4199" s="104"/>
      <c r="N4199" s="103"/>
    </row>
    <row r="4200" spans="1:14" ht="45" customHeight="1" thickBot="1" x14ac:dyDescent="0.4">
      <c r="A4200" s="103"/>
      <c r="B4200" s="103"/>
      <c r="C4200" s="103"/>
      <c r="D4200" s="103"/>
      <c r="E4200" s="103"/>
      <c r="F4200" s="103"/>
      <c r="G4200" s="103"/>
      <c r="H4200" s="103"/>
      <c r="I4200" s="103"/>
      <c r="J4200" s="103"/>
      <c r="K4200" s="103"/>
      <c r="L4200" s="103"/>
      <c r="M4200" s="104"/>
      <c r="N4200" s="103"/>
    </row>
    <row r="4201" spans="1:14" ht="45" customHeight="1" thickBot="1" x14ac:dyDescent="0.4">
      <c r="A4201" s="103"/>
      <c r="B4201" s="103"/>
      <c r="C4201" s="103"/>
      <c r="D4201" s="103"/>
      <c r="E4201" s="103"/>
      <c r="F4201" s="103"/>
      <c r="G4201" s="103"/>
      <c r="H4201" s="103"/>
      <c r="I4201" s="103"/>
      <c r="J4201" s="103"/>
      <c r="K4201" s="103"/>
      <c r="L4201" s="103"/>
      <c r="M4201" s="104"/>
      <c r="N4201" s="103"/>
    </row>
    <row r="4202" spans="1:14" ht="45" customHeight="1" thickBot="1" x14ac:dyDescent="0.4">
      <c r="A4202" s="103"/>
      <c r="B4202" s="103"/>
      <c r="C4202" s="103"/>
      <c r="D4202" s="103"/>
      <c r="E4202" s="103"/>
      <c r="F4202" s="103"/>
      <c r="G4202" s="103"/>
      <c r="H4202" s="103"/>
      <c r="I4202" s="103"/>
      <c r="J4202" s="103"/>
      <c r="K4202" s="103"/>
      <c r="L4202" s="103"/>
      <c r="M4202" s="104"/>
      <c r="N4202" s="103"/>
    </row>
    <row r="4203" spans="1:14" ht="45" customHeight="1" thickBot="1" x14ac:dyDescent="0.4">
      <c r="A4203" s="103"/>
      <c r="B4203" s="103"/>
      <c r="C4203" s="103"/>
      <c r="D4203" s="103"/>
      <c r="E4203" s="103"/>
      <c r="F4203" s="103"/>
      <c r="G4203" s="103"/>
      <c r="H4203" s="103"/>
      <c r="I4203" s="103"/>
      <c r="J4203" s="103"/>
      <c r="K4203" s="103"/>
      <c r="L4203" s="103"/>
      <c r="M4203" s="104"/>
      <c r="N4203" s="103"/>
    </row>
    <row r="4204" spans="1:14" ht="45" customHeight="1" thickBot="1" x14ac:dyDescent="0.4">
      <c r="A4204" s="103"/>
      <c r="B4204" s="103"/>
      <c r="C4204" s="103"/>
      <c r="D4204" s="103"/>
      <c r="E4204" s="103"/>
      <c r="F4204" s="103"/>
      <c r="G4204" s="103"/>
      <c r="H4204" s="103"/>
      <c r="I4204" s="103"/>
      <c r="J4204" s="103"/>
      <c r="K4204" s="103"/>
      <c r="L4204" s="103"/>
      <c r="M4204" s="104"/>
      <c r="N4204" s="103"/>
    </row>
    <row r="4205" spans="1:14" ht="45" customHeight="1" thickBot="1" x14ac:dyDescent="0.4">
      <c r="A4205" s="103"/>
      <c r="B4205" s="103"/>
      <c r="C4205" s="103"/>
      <c r="D4205" s="103"/>
      <c r="E4205" s="103"/>
      <c r="F4205" s="103"/>
      <c r="G4205" s="103"/>
      <c r="H4205" s="103"/>
      <c r="I4205" s="103"/>
      <c r="J4205" s="103"/>
      <c r="K4205" s="103"/>
      <c r="L4205" s="103"/>
      <c r="M4205" s="104"/>
      <c r="N4205" s="103"/>
    </row>
    <row r="4206" spans="1:14" ht="45" customHeight="1" thickBot="1" x14ac:dyDescent="0.4">
      <c r="A4206" s="103"/>
      <c r="B4206" s="103"/>
      <c r="C4206" s="103"/>
      <c r="D4206" s="103"/>
      <c r="E4206" s="103"/>
      <c r="F4206" s="103"/>
      <c r="G4206" s="103"/>
      <c r="H4206" s="103"/>
      <c r="I4206" s="103"/>
      <c r="J4206" s="103"/>
      <c r="K4206" s="103"/>
      <c r="L4206" s="103"/>
      <c r="M4206" s="104"/>
      <c r="N4206" s="103"/>
    </row>
    <row r="4207" spans="1:14" ht="45" customHeight="1" thickBot="1" x14ac:dyDescent="0.4">
      <c r="A4207" s="103"/>
      <c r="B4207" s="103"/>
      <c r="C4207" s="103"/>
      <c r="D4207" s="103"/>
      <c r="E4207" s="103"/>
      <c r="F4207" s="103"/>
      <c r="G4207" s="103"/>
      <c r="H4207" s="103"/>
      <c r="I4207" s="103"/>
      <c r="J4207" s="103"/>
      <c r="K4207" s="103"/>
      <c r="L4207" s="103"/>
      <c r="M4207" s="104"/>
      <c r="N4207" s="103"/>
    </row>
    <row r="4208" spans="1:14" ht="45" customHeight="1" thickBot="1" x14ac:dyDescent="0.4">
      <c r="A4208" s="103"/>
      <c r="B4208" s="103"/>
      <c r="C4208" s="103"/>
      <c r="D4208" s="103"/>
      <c r="E4208" s="103"/>
      <c r="F4208" s="103"/>
      <c r="G4208" s="103"/>
      <c r="H4208" s="103"/>
      <c r="I4208" s="103"/>
      <c r="J4208" s="103"/>
      <c r="K4208" s="103"/>
      <c r="L4208" s="103"/>
      <c r="M4208" s="104"/>
      <c r="N4208" s="103"/>
    </row>
    <row r="4209" spans="1:14" ht="45" customHeight="1" thickBot="1" x14ac:dyDescent="0.4">
      <c r="A4209" s="103"/>
      <c r="B4209" s="103"/>
      <c r="C4209" s="103"/>
      <c r="D4209" s="103"/>
      <c r="E4209" s="103"/>
      <c r="F4209" s="103"/>
      <c r="G4209" s="103"/>
      <c r="H4209" s="103"/>
      <c r="I4209" s="103"/>
      <c r="J4209" s="103"/>
      <c r="K4209" s="103"/>
      <c r="L4209" s="103"/>
      <c r="M4209" s="104"/>
      <c r="N4209" s="103"/>
    </row>
    <row r="4210" spans="1:14" ht="45" customHeight="1" thickBot="1" x14ac:dyDescent="0.4">
      <c r="A4210" s="103"/>
      <c r="B4210" s="103"/>
      <c r="C4210" s="103"/>
      <c r="D4210" s="103"/>
      <c r="E4210" s="103"/>
      <c r="F4210" s="103"/>
      <c r="G4210" s="103"/>
      <c r="H4210" s="103"/>
      <c r="I4210" s="103"/>
      <c r="J4210" s="103"/>
      <c r="K4210" s="103"/>
      <c r="L4210" s="103"/>
      <c r="M4210" s="104"/>
      <c r="N4210" s="103"/>
    </row>
    <row r="4211" spans="1:14" ht="45" customHeight="1" thickBot="1" x14ac:dyDescent="0.4">
      <c r="A4211" s="103"/>
      <c r="B4211" s="103"/>
      <c r="C4211" s="103"/>
      <c r="D4211" s="103"/>
      <c r="E4211" s="103"/>
      <c r="F4211" s="103"/>
      <c r="G4211" s="103"/>
      <c r="H4211" s="103"/>
      <c r="I4211" s="103"/>
      <c r="J4211" s="103"/>
      <c r="K4211" s="103"/>
      <c r="L4211" s="103"/>
      <c r="M4211" s="104"/>
      <c r="N4211" s="103"/>
    </row>
    <row r="4212" spans="1:14" ht="45" customHeight="1" thickBot="1" x14ac:dyDescent="0.4">
      <c r="A4212" s="103"/>
      <c r="B4212" s="103"/>
      <c r="C4212" s="103"/>
      <c r="D4212" s="103"/>
      <c r="E4212" s="103"/>
      <c r="F4212" s="103"/>
      <c r="G4212" s="103"/>
      <c r="H4212" s="103"/>
      <c r="I4212" s="103"/>
      <c r="J4212" s="103"/>
      <c r="K4212" s="103"/>
      <c r="L4212" s="103"/>
      <c r="M4212" s="104"/>
      <c r="N4212" s="103"/>
    </row>
    <row r="4213" spans="1:14" ht="45" customHeight="1" thickBot="1" x14ac:dyDescent="0.4">
      <c r="A4213" s="103"/>
      <c r="B4213" s="103"/>
      <c r="C4213" s="103"/>
      <c r="D4213" s="103"/>
      <c r="E4213" s="103"/>
      <c r="F4213" s="103"/>
      <c r="G4213" s="103"/>
      <c r="H4213" s="103"/>
      <c r="I4213" s="103"/>
      <c r="J4213" s="103"/>
      <c r="K4213" s="103"/>
      <c r="L4213" s="103"/>
      <c r="M4213" s="104"/>
      <c r="N4213" s="103"/>
    </row>
    <row r="4214" spans="1:14" ht="45" customHeight="1" thickBot="1" x14ac:dyDescent="0.4">
      <c r="A4214" s="103"/>
      <c r="B4214" s="103"/>
      <c r="C4214" s="103"/>
      <c r="D4214" s="103"/>
      <c r="E4214" s="103"/>
      <c r="F4214" s="103"/>
      <c r="G4214" s="103"/>
      <c r="H4214" s="103"/>
      <c r="I4214" s="103"/>
      <c r="J4214" s="103"/>
      <c r="K4214" s="103"/>
      <c r="L4214" s="103"/>
      <c r="M4214" s="104"/>
      <c r="N4214" s="103"/>
    </row>
    <row r="4215" spans="1:14" ht="45" customHeight="1" thickBot="1" x14ac:dyDescent="0.4">
      <c r="A4215" s="103"/>
      <c r="B4215" s="103"/>
      <c r="C4215" s="103"/>
      <c r="D4215" s="103"/>
      <c r="E4215" s="103"/>
      <c r="F4215" s="103"/>
      <c r="G4215" s="103"/>
      <c r="H4215" s="103"/>
      <c r="I4215" s="103"/>
      <c r="J4215" s="103"/>
      <c r="K4215" s="103"/>
      <c r="L4215" s="103"/>
      <c r="M4215" s="104"/>
      <c r="N4215" s="103"/>
    </row>
    <row r="4216" spans="1:14" ht="45" customHeight="1" thickBot="1" x14ac:dyDescent="0.4">
      <c r="A4216" s="103"/>
      <c r="B4216" s="103"/>
      <c r="C4216" s="103"/>
      <c r="D4216" s="103"/>
      <c r="E4216" s="103"/>
      <c r="F4216" s="103"/>
      <c r="G4216" s="103"/>
      <c r="H4216" s="103"/>
      <c r="I4216" s="103"/>
      <c r="J4216" s="103"/>
      <c r="K4216" s="103"/>
      <c r="L4216" s="103"/>
      <c r="M4216" s="104"/>
      <c r="N4216" s="103"/>
    </row>
    <row r="4217" spans="1:14" ht="45" customHeight="1" thickBot="1" x14ac:dyDescent="0.4">
      <c r="A4217" s="103"/>
      <c r="B4217" s="103"/>
      <c r="C4217" s="103"/>
      <c r="D4217" s="103"/>
      <c r="E4217" s="103"/>
      <c r="F4217" s="103"/>
      <c r="G4217" s="103"/>
      <c r="H4217" s="103"/>
      <c r="I4217" s="103"/>
      <c r="J4217" s="103"/>
      <c r="K4217" s="103"/>
      <c r="L4217" s="103"/>
      <c r="M4217" s="104"/>
      <c r="N4217" s="103"/>
    </row>
    <row r="4218" spans="1:14" ht="45" customHeight="1" thickBot="1" x14ac:dyDescent="0.4">
      <c r="A4218" s="103"/>
      <c r="B4218" s="103"/>
      <c r="C4218" s="103"/>
      <c r="D4218" s="103"/>
      <c r="E4218" s="103"/>
      <c r="F4218" s="103"/>
      <c r="G4218" s="103"/>
      <c r="H4218" s="103"/>
      <c r="I4218" s="103"/>
      <c r="J4218" s="103"/>
      <c r="K4218" s="103"/>
      <c r="L4218" s="103"/>
      <c r="M4218" s="104"/>
      <c r="N4218" s="103"/>
    </row>
    <row r="4219" spans="1:14" ht="45" customHeight="1" thickBot="1" x14ac:dyDescent="0.4">
      <c r="A4219" s="103"/>
      <c r="B4219" s="103"/>
      <c r="C4219" s="103"/>
      <c r="D4219" s="103"/>
      <c r="E4219" s="103"/>
      <c r="F4219" s="103"/>
      <c r="G4219" s="103"/>
      <c r="H4219" s="103"/>
      <c r="I4219" s="103"/>
      <c r="J4219" s="103"/>
      <c r="K4219" s="103"/>
      <c r="L4219" s="103"/>
      <c r="M4219" s="104"/>
      <c r="N4219" s="103"/>
    </row>
    <row r="4220" spans="1:14" ht="45" customHeight="1" thickBot="1" x14ac:dyDescent="0.4">
      <c r="A4220" s="103"/>
      <c r="B4220" s="103"/>
      <c r="C4220" s="103"/>
      <c r="D4220" s="103"/>
      <c r="E4220" s="103"/>
      <c r="F4220" s="103"/>
      <c r="G4220" s="103"/>
      <c r="H4220" s="103"/>
      <c r="I4220" s="103"/>
      <c r="J4220" s="103"/>
      <c r="K4220" s="103"/>
      <c r="L4220" s="103"/>
      <c r="M4220" s="104"/>
      <c r="N4220" s="103"/>
    </row>
    <row r="4221" spans="1:14" ht="45" customHeight="1" thickBot="1" x14ac:dyDescent="0.4">
      <c r="A4221" s="103"/>
      <c r="B4221" s="103"/>
      <c r="C4221" s="103"/>
      <c r="D4221" s="103"/>
      <c r="E4221" s="103"/>
      <c r="F4221" s="103"/>
      <c r="G4221" s="103"/>
      <c r="H4221" s="103"/>
      <c r="I4221" s="103"/>
      <c r="J4221" s="103"/>
      <c r="K4221" s="103"/>
      <c r="L4221" s="103"/>
      <c r="M4221" s="104"/>
      <c r="N4221" s="103"/>
    </row>
    <row r="4222" spans="1:14" ht="45" customHeight="1" thickBot="1" x14ac:dyDescent="0.4">
      <c r="A4222" s="103"/>
      <c r="B4222" s="103"/>
      <c r="C4222" s="103"/>
      <c r="D4222" s="103"/>
      <c r="E4222" s="103"/>
      <c r="F4222" s="103"/>
      <c r="G4222" s="103"/>
      <c r="H4222" s="103"/>
      <c r="I4222" s="103"/>
      <c r="J4222" s="103"/>
      <c r="K4222" s="103"/>
      <c r="L4222" s="103"/>
      <c r="M4222" s="104"/>
      <c r="N4222" s="103"/>
    </row>
    <row r="4223" spans="1:14" ht="45" customHeight="1" thickBot="1" x14ac:dyDescent="0.4">
      <c r="A4223" s="103"/>
      <c r="B4223" s="103"/>
      <c r="C4223" s="103"/>
      <c r="D4223" s="103"/>
      <c r="E4223" s="103"/>
      <c r="F4223" s="103"/>
      <c r="G4223" s="103"/>
      <c r="H4223" s="103"/>
      <c r="I4223" s="103"/>
      <c r="J4223" s="103"/>
      <c r="K4223" s="103"/>
      <c r="L4223" s="103"/>
      <c r="M4223" s="104"/>
      <c r="N4223" s="103"/>
    </row>
    <row r="4224" spans="1:14" ht="45" customHeight="1" thickBot="1" x14ac:dyDescent="0.4">
      <c r="A4224" s="103"/>
      <c r="B4224" s="103"/>
      <c r="C4224" s="103"/>
      <c r="D4224" s="103"/>
      <c r="E4224" s="103"/>
      <c r="F4224" s="103"/>
      <c r="G4224" s="103"/>
      <c r="H4224" s="103"/>
      <c r="I4224" s="103"/>
      <c r="J4224" s="103"/>
      <c r="K4224" s="103"/>
      <c r="L4224" s="103"/>
      <c r="M4224" s="104"/>
      <c r="N4224" s="103"/>
    </row>
    <row r="4225" spans="1:14" ht="45" customHeight="1" thickBot="1" x14ac:dyDescent="0.4">
      <c r="A4225" s="103"/>
      <c r="B4225" s="103"/>
      <c r="C4225" s="103"/>
      <c r="D4225" s="103"/>
      <c r="E4225" s="103"/>
      <c r="F4225" s="103"/>
      <c r="G4225" s="103"/>
      <c r="H4225" s="103"/>
      <c r="I4225" s="103"/>
      <c r="J4225" s="103"/>
      <c r="K4225" s="103"/>
      <c r="L4225" s="103"/>
      <c r="M4225" s="104"/>
      <c r="N4225" s="103"/>
    </row>
    <row r="4226" spans="1:14" ht="45" customHeight="1" thickBot="1" x14ac:dyDescent="0.4">
      <c r="A4226" s="103"/>
      <c r="B4226" s="103"/>
      <c r="C4226" s="103"/>
      <c r="D4226" s="103"/>
      <c r="E4226" s="103"/>
      <c r="F4226" s="103"/>
      <c r="G4226" s="103"/>
      <c r="H4226" s="103"/>
      <c r="I4226" s="103"/>
      <c r="J4226" s="103"/>
      <c r="K4226" s="103"/>
      <c r="L4226" s="103"/>
      <c r="M4226" s="104"/>
      <c r="N4226" s="103"/>
    </row>
    <row r="4227" spans="1:14" ht="45" customHeight="1" thickBot="1" x14ac:dyDescent="0.4">
      <c r="A4227" s="103"/>
      <c r="B4227" s="103"/>
      <c r="C4227" s="103"/>
      <c r="D4227" s="103"/>
      <c r="E4227" s="103"/>
      <c r="F4227" s="103"/>
      <c r="G4227" s="103"/>
      <c r="H4227" s="103"/>
      <c r="I4227" s="103"/>
      <c r="J4227" s="103"/>
      <c r="K4227" s="103"/>
      <c r="L4227" s="103"/>
      <c r="M4227" s="104"/>
      <c r="N4227" s="103"/>
    </row>
    <row r="4228" spans="1:14" ht="45" customHeight="1" thickBot="1" x14ac:dyDescent="0.4">
      <c r="A4228" s="103"/>
      <c r="B4228" s="103"/>
      <c r="C4228" s="103"/>
      <c r="D4228" s="103"/>
      <c r="E4228" s="103"/>
      <c r="F4228" s="103"/>
      <c r="G4228" s="103"/>
      <c r="H4228" s="103"/>
      <c r="I4228" s="103"/>
      <c r="J4228" s="103"/>
      <c r="K4228" s="103"/>
      <c r="L4228" s="103"/>
      <c r="M4228" s="104"/>
      <c r="N4228" s="103"/>
    </row>
    <row r="4229" spans="1:14" ht="45" customHeight="1" thickBot="1" x14ac:dyDescent="0.4">
      <c r="A4229" s="103"/>
      <c r="B4229" s="103"/>
      <c r="C4229" s="103"/>
      <c r="D4229" s="103"/>
      <c r="E4229" s="103"/>
      <c r="F4229" s="103"/>
      <c r="G4229" s="103"/>
      <c r="H4229" s="103"/>
      <c r="I4229" s="103"/>
      <c r="J4229" s="103"/>
      <c r="K4229" s="103"/>
      <c r="L4229" s="103"/>
      <c r="M4229" s="104"/>
      <c r="N4229" s="103"/>
    </row>
    <row r="4230" spans="1:14" ht="45" customHeight="1" thickBot="1" x14ac:dyDescent="0.4">
      <c r="A4230" s="103"/>
      <c r="B4230" s="103"/>
      <c r="C4230" s="103"/>
      <c r="D4230" s="103"/>
      <c r="E4230" s="103"/>
      <c r="F4230" s="103"/>
      <c r="G4230" s="103"/>
      <c r="H4230" s="103"/>
      <c r="I4230" s="103"/>
      <c r="J4230" s="103"/>
      <c r="K4230" s="103"/>
      <c r="L4230" s="103"/>
      <c r="M4230" s="104"/>
      <c r="N4230" s="103"/>
    </row>
    <row r="4231" spans="1:14" ht="45" customHeight="1" thickBot="1" x14ac:dyDescent="0.4">
      <c r="A4231" s="103"/>
      <c r="B4231" s="103"/>
      <c r="C4231" s="103"/>
      <c r="D4231" s="103"/>
      <c r="E4231" s="103"/>
      <c r="F4231" s="103"/>
      <c r="G4231" s="103"/>
      <c r="H4231" s="103"/>
      <c r="I4231" s="103"/>
      <c r="J4231" s="103"/>
      <c r="K4231" s="103"/>
      <c r="L4231" s="103"/>
      <c r="M4231" s="104"/>
      <c r="N4231" s="103"/>
    </row>
    <row r="4232" spans="1:14" ht="45" customHeight="1" thickBot="1" x14ac:dyDescent="0.4">
      <c r="A4232" s="103"/>
      <c r="B4232" s="103"/>
      <c r="C4232" s="103"/>
      <c r="D4232" s="103"/>
      <c r="E4232" s="103"/>
      <c r="F4232" s="103"/>
      <c r="G4232" s="103"/>
      <c r="H4232" s="103"/>
      <c r="I4232" s="103"/>
      <c r="J4232" s="103"/>
      <c r="K4232" s="103"/>
      <c r="L4232" s="103"/>
      <c r="M4232" s="104"/>
      <c r="N4232" s="103"/>
    </row>
    <row r="4233" spans="1:14" ht="45" customHeight="1" thickBot="1" x14ac:dyDescent="0.4">
      <c r="A4233" s="103"/>
      <c r="B4233" s="103"/>
      <c r="C4233" s="103"/>
      <c r="D4233" s="103"/>
      <c r="E4233" s="103"/>
      <c r="F4233" s="103"/>
      <c r="G4233" s="103"/>
      <c r="H4233" s="103"/>
      <c r="I4233" s="103"/>
      <c r="J4233" s="103"/>
      <c r="K4233" s="103"/>
      <c r="L4233" s="103"/>
      <c r="M4233" s="104"/>
      <c r="N4233" s="103"/>
    </row>
    <row r="4234" spans="1:14" ht="45" customHeight="1" thickBot="1" x14ac:dyDescent="0.4">
      <c r="A4234" s="103"/>
      <c r="B4234" s="103"/>
      <c r="C4234" s="103"/>
      <c r="D4234" s="103"/>
      <c r="E4234" s="103"/>
      <c r="F4234" s="103"/>
      <c r="G4234" s="103"/>
      <c r="H4234" s="103"/>
      <c r="I4234" s="103"/>
      <c r="J4234" s="103"/>
      <c r="K4234" s="103"/>
      <c r="L4234" s="103"/>
      <c r="M4234" s="104"/>
      <c r="N4234" s="103"/>
    </row>
    <row r="4235" spans="1:14" ht="45" customHeight="1" thickBot="1" x14ac:dyDescent="0.4">
      <c r="A4235" s="103"/>
      <c r="B4235" s="103"/>
      <c r="C4235" s="103"/>
      <c r="D4235" s="103"/>
      <c r="E4235" s="103"/>
      <c r="F4235" s="103"/>
      <c r="G4235" s="103"/>
      <c r="H4235" s="103"/>
      <c r="I4235" s="103"/>
      <c r="J4235" s="103"/>
      <c r="K4235" s="103"/>
      <c r="L4235" s="103"/>
      <c r="M4235" s="104"/>
      <c r="N4235" s="103"/>
    </row>
    <row r="4236" spans="1:14" ht="45" customHeight="1" thickBot="1" x14ac:dyDescent="0.4">
      <c r="A4236" s="103"/>
      <c r="B4236" s="103"/>
      <c r="C4236" s="103"/>
      <c r="D4236" s="103"/>
      <c r="E4236" s="103"/>
      <c r="F4236" s="103"/>
      <c r="G4236" s="103"/>
      <c r="H4236" s="103"/>
      <c r="I4236" s="103"/>
      <c r="J4236" s="103"/>
      <c r="K4236" s="103"/>
      <c r="L4236" s="103"/>
      <c r="M4236" s="104"/>
      <c r="N4236" s="103"/>
    </row>
    <row r="4237" spans="1:14" ht="45" customHeight="1" thickBot="1" x14ac:dyDescent="0.4">
      <c r="A4237" s="103"/>
      <c r="B4237" s="103"/>
      <c r="C4237" s="103"/>
      <c r="D4237" s="103"/>
      <c r="E4237" s="103"/>
      <c r="F4237" s="103"/>
      <c r="G4237" s="103"/>
      <c r="H4237" s="103"/>
      <c r="I4237" s="103"/>
      <c r="J4237" s="103"/>
      <c r="K4237" s="103"/>
      <c r="L4237" s="103"/>
      <c r="M4237" s="104"/>
      <c r="N4237" s="103"/>
    </row>
    <row r="4238" spans="1:14" ht="45" customHeight="1" thickBot="1" x14ac:dyDescent="0.4">
      <c r="A4238" s="103"/>
      <c r="B4238" s="103"/>
      <c r="C4238" s="103"/>
      <c r="D4238" s="103"/>
      <c r="E4238" s="103"/>
      <c r="F4238" s="103"/>
      <c r="G4238" s="103"/>
      <c r="H4238" s="103"/>
      <c r="I4238" s="103"/>
      <c r="J4238" s="103"/>
      <c r="K4238" s="103"/>
      <c r="L4238" s="103"/>
      <c r="M4238" s="104"/>
      <c r="N4238" s="103"/>
    </row>
    <row r="4239" spans="1:14" ht="45" customHeight="1" thickBot="1" x14ac:dyDescent="0.4">
      <c r="A4239" s="103"/>
      <c r="B4239" s="103"/>
      <c r="C4239" s="103"/>
      <c r="D4239" s="103"/>
      <c r="E4239" s="103"/>
      <c r="F4239" s="103"/>
      <c r="G4239" s="103"/>
      <c r="H4239" s="103"/>
      <c r="I4239" s="103"/>
      <c r="J4239" s="103"/>
      <c r="K4239" s="103"/>
      <c r="L4239" s="103"/>
      <c r="M4239" s="104"/>
      <c r="N4239" s="103"/>
    </row>
    <row r="4240" spans="1:14" ht="45" customHeight="1" thickBot="1" x14ac:dyDescent="0.4">
      <c r="A4240" s="103"/>
      <c r="B4240" s="103"/>
      <c r="C4240" s="103"/>
      <c r="D4240" s="103"/>
      <c r="E4240" s="103"/>
      <c r="F4240" s="103"/>
      <c r="G4240" s="103"/>
      <c r="H4240" s="103"/>
      <c r="I4240" s="103"/>
      <c r="J4240" s="103"/>
      <c r="K4240" s="103"/>
      <c r="L4240" s="103"/>
      <c r="M4240" s="104"/>
      <c r="N4240" s="103"/>
    </row>
    <row r="4241" spans="1:14" ht="45" customHeight="1" thickBot="1" x14ac:dyDescent="0.4">
      <c r="A4241" s="103"/>
      <c r="B4241" s="103"/>
      <c r="C4241" s="103"/>
      <c r="D4241" s="103"/>
      <c r="E4241" s="103"/>
      <c r="F4241" s="103"/>
      <c r="G4241" s="103"/>
      <c r="H4241" s="103"/>
      <c r="I4241" s="103"/>
      <c r="J4241" s="103"/>
      <c r="K4241" s="103"/>
      <c r="L4241" s="103"/>
      <c r="M4241" s="104"/>
      <c r="N4241" s="103"/>
    </row>
    <row r="4242" spans="1:14" ht="45" customHeight="1" thickBot="1" x14ac:dyDescent="0.4">
      <c r="A4242" s="103"/>
      <c r="B4242" s="103"/>
      <c r="C4242" s="103"/>
      <c r="D4242" s="103"/>
      <c r="E4242" s="103"/>
      <c r="F4242" s="103"/>
      <c r="G4242" s="103"/>
      <c r="H4242" s="103"/>
      <c r="I4242" s="103"/>
      <c r="J4242" s="103"/>
      <c r="K4242" s="103"/>
      <c r="L4242" s="103"/>
      <c r="M4242" s="104"/>
      <c r="N4242" s="103"/>
    </row>
    <row r="4243" spans="1:14" ht="45" customHeight="1" thickBot="1" x14ac:dyDescent="0.4">
      <c r="A4243" s="103"/>
      <c r="B4243" s="103"/>
      <c r="C4243" s="103"/>
      <c r="D4243" s="103"/>
      <c r="E4243" s="103"/>
      <c r="F4243" s="103"/>
      <c r="G4243" s="103"/>
      <c r="H4243" s="103"/>
      <c r="I4243" s="103"/>
      <c r="J4243" s="103"/>
      <c r="K4243" s="103"/>
      <c r="L4243" s="103"/>
      <c r="M4243" s="104"/>
      <c r="N4243" s="103"/>
    </row>
    <row r="4244" spans="1:14" ht="45" customHeight="1" thickBot="1" x14ac:dyDescent="0.4">
      <c r="A4244" s="103"/>
      <c r="B4244" s="103"/>
      <c r="C4244" s="103"/>
      <c r="D4244" s="103"/>
      <c r="E4244" s="103"/>
      <c r="F4244" s="103"/>
      <c r="G4244" s="103"/>
      <c r="H4244" s="103"/>
      <c r="I4244" s="103"/>
      <c r="J4244" s="103"/>
      <c r="K4244" s="103"/>
      <c r="L4244" s="103"/>
      <c r="M4244" s="104"/>
      <c r="N4244" s="103"/>
    </row>
    <row r="4245" spans="1:14" ht="45" customHeight="1" thickBot="1" x14ac:dyDescent="0.4">
      <c r="A4245" s="103"/>
      <c r="B4245" s="103"/>
      <c r="C4245" s="103"/>
      <c r="D4245" s="103"/>
      <c r="E4245" s="103"/>
      <c r="F4245" s="103"/>
      <c r="G4245" s="103"/>
      <c r="H4245" s="103"/>
      <c r="I4245" s="103"/>
      <c r="J4245" s="103"/>
      <c r="K4245" s="103"/>
      <c r="L4245" s="103"/>
      <c r="M4245" s="104"/>
      <c r="N4245" s="103"/>
    </row>
    <row r="4246" spans="1:14" ht="45" customHeight="1" thickBot="1" x14ac:dyDescent="0.4">
      <c r="A4246" s="103"/>
      <c r="B4246" s="103"/>
      <c r="C4246" s="103"/>
      <c r="D4246" s="103"/>
      <c r="E4246" s="103"/>
      <c r="F4246" s="103"/>
      <c r="G4246" s="103"/>
      <c r="H4246" s="103"/>
      <c r="I4246" s="103"/>
      <c r="J4246" s="103"/>
      <c r="K4246" s="103"/>
      <c r="L4246" s="103"/>
      <c r="M4246" s="104"/>
      <c r="N4246" s="103"/>
    </row>
    <row r="4247" spans="1:14" ht="45" customHeight="1" thickBot="1" x14ac:dyDescent="0.4">
      <c r="A4247" s="103"/>
      <c r="B4247" s="103"/>
      <c r="C4247" s="103"/>
      <c r="D4247" s="103"/>
      <c r="E4247" s="103"/>
      <c r="F4247" s="103"/>
      <c r="G4247" s="103"/>
      <c r="H4247" s="103"/>
      <c r="I4247" s="103"/>
      <c r="J4247" s="103"/>
      <c r="K4247" s="103"/>
      <c r="L4247" s="103"/>
      <c r="M4247" s="104"/>
      <c r="N4247" s="103"/>
    </row>
    <row r="4248" spans="1:14" ht="45" customHeight="1" thickBot="1" x14ac:dyDescent="0.4">
      <c r="A4248" s="103"/>
      <c r="B4248" s="103"/>
      <c r="C4248" s="103"/>
      <c r="D4248" s="103"/>
      <c r="E4248" s="103"/>
      <c r="F4248" s="103"/>
      <c r="G4248" s="103"/>
      <c r="H4248" s="103"/>
      <c r="I4248" s="103"/>
      <c r="J4248" s="103"/>
      <c r="K4248" s="103"/>
      <c r="L4248" s="103"/>
      <c r="M4248" s="104"/>
      <c r="N4248" s="103"/>
    </row>
    <row r="4249" spans="1:14" ht="45" customHeight="1" thickBot="1" x14ac:dyDescent="0.4">
      <c r="A4249" s="103"/>
      <c r="B4249" s="103"/>
      <c r="C4249" s="103"/>
      <c r="D4249" s="103"/>
      <c r="E4249" s="103"/>
      <c r="F4249" s="103"/>
      <c r="G4249" s="103"/>
      <c r="H4249" s="103"/>
      <c r="I4249" s="103"/>
      <c r="J4249" s="103"/>
      <c r="K4249" s="103"/>
      <c r="L4249" s="103"/>
      <c r="M4249" s="104"/>
      <c r="N4249" s="103"/>
    </row>
    <row r="4250" spans="1:14" ht="45" customHeight="1" thickBot="1" x14ac:dyDescent="0.4">
      <c r="A4250" s="103"/>
      <c r="B4250" s="103"/>
      <c r="C4250" s="103"/>
      <c r="D4250" s="103"/>
      <c r="E4250" s="103"/>
      <c r="F4250" s="103"/>
      <c r="G4250" s="103"/>
      <c r="H4250" s="103"/>
      <c r="I4250" s="103"/>
      <c r="J4250" s="103"/>
      <c r="K4250" s="103"/>
      <c r="L4250" s="103"/>
      <c r="M4250" s="104"/>
      <c r="N4250" s="103"/>
    </row>
    <row r="4251" spans="1:14" ht="45" customHeight="1" thickBot="1" x14ac:dyDescent="0.4">
      <c r="A4251" s="103"/>
      <c r="B4251" s="103"/>
      <c r="C4251" s="103"/>
      <c r="D4251" s="103"/>
      <c r="E4251" s="103"/>
      <c r="F4251" s="103"/>
      <c r="G4251" s="103"/>
      <c r="H4251" s="103"/>
      <c r="I4251" s="103"/>
      <c r="J4251" s="103"/>
      <c r="K4251" s="103"/>
      <c r="L4251" s="103"/>
      <c r="M4251" s="104"/>
      <c r="N4251" s="103"/>
    </row>
    <row r="4252" spans="1:14" ht="45" customHeight="1" thickBot="1" x14ac:dyDescent="0.4">
      <c r="A4252" s="103"/>
      <c r="B4252" s="103"/>
      <c r="C4252" s="103"/>
      <c r="D4252" s="103"/>
      <c r="E4252" s="103"/>
      <c r="F4252" s="103"/>
      <c r="G4252" s="103"/>
      <c r="H4252" s="103"/>
      <c r="I4252" s="103"/>
      <c r="J4252" s="103"/>
      <c r="K4252" s="103"/>
      <c r="L4252" s="103"/>
      <c r="M4252" s="104"/>
      <c r="N4252" s="103"/>
    </row>
    <row r="4253" spans="1:14" ht="45" customHeight="1" thickBot="1" x14ac:dyDescent="0.4">
      <c r="A4253" s="103"/>
      <c r="B4253" s="103"/>
      <c r="C4253" s="103"/>
      <c r="D4253" s="103"/>
      <c r="E4253" s="103"/>
      <c r="F4253" s="103"/>
      <c r="G4253" s="103"/>
      <c r="H4253" s="103"/>
      <c r="I4253" s="103"/>
      <c r="J4253" s="103"/>
      <c r="K4253" s="103"/>
      <c r="L4253" s="103"/>
      <c r="M4253" s="104"/>
      <c r="N4253" s="103"/>
    </row>
    <row r="4254" spans="1:14" ht="45" customHeight="1" thickBot="1" x14ac:dyDescent="0.4">
      <c r="A4254" s="103"/>
      <c r="B4254" s="103"/>
      <c r="C4254" s="103"/>
      <c r="D4254" s="103"/>
      <c r="E4254" s="103"/>
      <c r="F4254" s="103"/>
      <c r="G4254" s="103"/>
      <c r="H4254" s="103"/>
      <c r="I4254" s="103"/>
      <c r="J4254" s="103"/>
      <c r="K4254" s="103"/>
      <c r="L4254" s="103"/>
      <c r="M4254" s="104"/>
      <c r="N4254" s="103"/>
    </row>
    <row r="4255" spans="1:14" ht="45" customHeight="1" thickBot="1" x14ac:dyDescent="0.4">
      <c r="A4255" s="103"/>
      <c r="B4255" s="103"/>
      <c r="C4255" s="103"/>
      <c r="D4255" s="103"/>
      <c r="E4255" s="103"/>
      <c r="F4255" s="103"/>
      <c r="G4255" s="103"/>
      <c r="H4255" s="103"/>
      <c r="I4255" s="103"/>
      <c r="J4255" s="103"/>
      <c r="K4255" s="103"/>
      <c r="L4255" s="103"/>
      <c r="M4255" s="104"/>
      <c r="N4255" s="103"/>
    </row>
    <row r="4256" spans="1:14" ht="45" customHeight="1" thickBot="1" x14ac:dyDescent="0.4">
      <c r="A4256" s="103"/>
      <c r="B4256" s="103"/>
      <c r="C4256" s="103"/>
      <c r="D4256" s="103"/>
      <c r="E4256" s="103"/>
      <c r="F4256" s="103"/>
      <c r="G4256" s="103"/>
      <c r="H4256" s="103"/>
      <c r="I4256" s="103"/>
      <c r="J4256" s="103"/>
      <c r="K4256" s="103"/>
      <c r="L4256" s="103"/>
      <c r="M4256" s="104"/>
      <c r="N4256" s="103"/>
    </row>
    <row r="4257" spans="1:14" ht="45" customHeight="1" thickBot="1" x14ac:dyDescent="0.4">
      <c r="A4257" s="103"/>
      <c r="B4257" s="103"/>
      <c r="C4257" s="103"/>
      <c r="D4257" s="103"/>
      <c r="E4257" s="103"/>
      <c r="F4257" s="103"/>
      <c r="G4257" s="103"/>
      <c r="H4257" s="103"/>
      <c r="I4257" s="103"/>
      <c r="J4257" s="103"/>
      <c r="K4257" s="103"/>
      <c r="L4257" s="103"/>
      <c r="M4257" s="104"/>
      <c r="N4257" s="103"/>
    </row>
    <row r="4258" spans="1:14" ht="45" customHeight="1" thickBot="1" x14ac:dyDescent="0.4">
      <c r="A4258" s="103"/>
      <c r="B4258" s="103"/>
      <c r="C4258" s="103"/>
      <c r="D4258" s="103"/>
      <c r="E4258" s="103"/>
      <c r="F4258" s="103"/>
      <c r="G4258" s="103"/>
      <c r="H4258" s="103"/>
      <c r="I4258" s="103"/>
      <c r="J4258" s="103"/>
      <c r="K4258" s="103"/>
      <c r="L4258" s="103"/>
      <c r="M4258" s="104"/>
      <c r="N4258" s="103"/>
    </row>
    <row r="4259" spans="1:14" ht="45" customHeight="1" thickBot="1" x14ac:dyDescent="0.4">
      <c r="A4259" s="103"/>
      <c r="B4259" s="103"/>
      <c r="C4259" s="103"/>
      <c r="D4259" s="103"/>
      <c r="E4259" s="103"/>
      <c r="F4259" s="103"/>
      <c r="G4259" s="103"/>
      <c r="H4259" s="103"/>
      <c r="I4259" s="103"/>
      <c r="J4259" s="103"/>
      <c r="K4259" s="103"/>
      <c r="L4259" s="103"/>
      <c r="M4259" s="104"/>
      <c r="N4259" s="103"/>
    </row>
    <row r="4260" spans="1:14" ht="45" customHeight="1" thickBot="1" x14ac:dyDescent="0.4">
      <c r="A4260" s="103"/>
      <c r="B4260" s="103"/>
      <c r="C4260" s="103"/>
      <c r="D4260" s="103"/>
      <c r="E4260" s="103"/>
      <c r="F4260" s="103"/>
      <c r="G4260" s="103"/>
      <c r="H4260" s="103"/>
      <c r="I4260" s="103"/>
      <c r="J4260" s="103"/>
      <c r="K4260" s="103"/>
      <c r="L4260" s="103"/>
      <c r="M4260" s="104"/>
      <c r="N4260" s="103"/>
    </row>
    <row r="4261" spans="1:14" ht="45" customHeight="1" thickBot="1" x14ac:dyDescent="0.4">
      <c r="A4261" s="103"/>
      <c r="B4261" s="103"/>
      <c r="C4261" s="103"/>
      <c r="D4261" s="103"/>
      <c r="E4261" s="103"/>
      <c r="F4261" s="103"/>
      <c r="G4261" s="103"/>
      <c r="H4261" s="103"/>
      <c r="I4261" s="103"/>
      <c r="J4261" s="103"/>
      <c r="K4261" s="103"/>
      <c r="L4261" s="103"/>
      <c r="M4261" s="104"/>
      <c r="N4261" s="103"/>
    </row>
    <row r="4262" spans="1:14" ht="45" customHeight="1" thickBot="1" x14ac:dyDescent="0.4">
      <c r="A4262" s="103"/>
      <c r="B4262" s="103"/>
      <c r="C4262" s="103"/>
      <c r="D4262" s="103"/>
      <c r="E4262" s="103"/>
      <c r="F4262" s="103"/>
      <c r="G4262" s="103"/>
      <c r="H4262" s="103"/>
      <c r="I4262" s="103"/>
      <c r="J4262" s="103"/>
      <c r="K4262" s="103"/>
      <c r="L4262" s="103"/>
      <c r="M4262" s="104"/>
      <c r="N4262" s="103"/>
    </row>
    <row r="4263" spans="1:14" ht="45" customHeight="1" thickBot="1" x14ac:dyDescent="0.4">
      <c r="A4263" s="103"/>
      <c r="B4263" s="103"/>
      <c r="C4263" s="103"/>
      <c r="D4263" s="103"/>
      <c r="E4263" s="103"/>
      <c r="F4263" s="103"/>
      <c r="G4263" s="103"/>
      <c r="H4263" s="103"/>
      <c r="I4263" s="103"/>
      <c r="J4263" s="103"/>
      <c r="K4263" s="103"/>
      <c r="L4263" s="103"/>
      <c r="M4263" s="104"/>
      <c r="N4263" s="103"/>
    </row>
    <row r="4264" spans="1:14" ht="45" customHeight="1" thickBot="1" x14ac:dyDescent="0.4">
      <c r="A4264" s="103"/>
      <c r="B4264" s="103"/>
      <c r="C4264" s="103"/>
      <c r="D4264" s="103"/>
      <c r="E4264" s="103"/>
      <c r="F4264" s="103"/>
      <c r="G4264" s="103"/>
      <c r="H4264" s="103"/>
      <c r="I4264" s="103"/>
      <c r="J4264" s="103"/>
      <c r="K4264" s="103"/>
      <c r="L4264" s="103"/>
      <c r="M4264" s="104"/>
      <c r="N4264" s="103"/>
    </row>
    <row r="4265" spans="1:14" ht="45" customHeight="1" thickBot="1" x14ac:dyDescent="0.4">
      <c r="A4265" s="103"/>
      <c r="B4265" s="103"/>
      <c r="C4265" s="103"/>
      <c r="D4265" s="103"/>
      <c r="E4265" s="103"/>
      <c r="F4265" s="103"/>
      <c r="G4265" s="103"/>
      <c r="H4265" s="103"/>
      <c r="I4265" s="103"/>
      <c r="J4265" s="103"/>
      <c r="K4265" s="103"/>
      <c r="L4265" s="103"/>
      <c r="M4265" s="104"/>
      <c r="N4265" s="103"/>
    </row>
    <row r="4266" spans="1:14" ht="45" customHeight="1" thickBot="1" x14ac:dyDescent="0.4">
      <c r="A4266" s="103"/>
      <c r="B4266" s="103"/>
      <c r="C4266" s="103"/>
      <c r="D4266" s="103"/>
      <c r="E4266" s="103"/>
      <c r="F4266" s="103"/>
      <c r="G4266" s="103"/>
      <c r="H4266" s="103"/>
      <c r="I4266" s="103"/>
      <c r="J4266" s="103"/>
      <c r="K4266" s="103"/>
      <c r="L4266" s="103"/>
      <c r="M4266" s="104"/>
      <c r="N4266" s="103"/>
    </row>
    <row r="4267" spans="1:14" ht="45" customHeight="1" thickBot="1" x14ac:dyDescent="0.4">
      <c r="A4267" s="103"/>
      <c r="B4267" s="103"/>
      <c r="C4267" s="103"/>
      <c r="D4267" s="103"/>
      <c r="E4267" s="103"/>
      <c r="F4267" s="103"/>
      <c r="G4267" s="103"/>
      <c r="H4267" s="103"/>
      <c r="I4267" s="103"/>
      <c r="J4267" s="103"/>
      <c r="K4267" s="103"/>
      <c r="L4267" s="103"/>
      <c r="M4267" s="104"/>
      <c r="N4267" s="103"/>
    </row>
    <row r="4268" spans="1:14" ht="45" customHeight="1" thickBot="1" x14ac:dyDescent="0.4">
      <c r="A4268" s="103"/>
      <c r="B4268" s="103"/>
      <c r="C4268" s="103"/>
      <c r="D4268" s="103"/>
      <c r="E4268" s="103"/>
      <c r="F4268" s="103"/>
      <c r="G4268" s="103"/>
      <c r="H4268" s="103"/>
      <c r="I4268" s="103"/>
      <c r="J4268" s="103"/>
      <c r="K4268" s="103"/>
      <c r="L4268" s="103"/>
      <c r="M4268" s="104"/>
      <c r="N4268" s="103"/>
    </row>
    <row r="4269" spans="1:14" ht="45" customHeight="1" thickBot="1" x14ac:dyDescent="0.4">
      <c r="A4269" s="103"/>
      <c r="B4269" s="103"/>
      <c r="C4269" s="103"/>
      <c r="D4269" s="103"/>
      <c r="E4269" s="103"/>
      <c r="F4269" s="103"/>
      <c r="G4269" s="103"/>
      <c r="H4269" s="103"/>
      <c r="I4269" s="103"/>
      <c r="J4269" s="103"/>
      <c r="K4269" s="103"/>
      <c r="L4269" s="103"/>
      <c r="M4269" s="104"/>
      <c r="N4269" s="103"/>
    </row>
    <row r="4270" spans="1:14" ht="45" customHeight="1" thickBot="1" x14ac:dyDescent="0.4">
      <c r="A4270" s="103"/>
      <c r="B4270" s="103"/>
      <c r="C4270" s="103"/>
      <c r="D4270" s="103"/>
      <c r="E4270" s="103"/>
      <c r="F4270" s="103"/>
      <c r="G4270" s="103"/>
      <c r="H4270" s="103"/>
      <c r="I4270" s="103"/>
      <c r="J4270" s="103"/>
      <c r="K4270" s="103"/>
      <c r="L4270" s="103"/>
      <c r="M4270" s="104"/>
      <c r="N4270" s="103"/>
    </row>
    <row r="4271" spans="1:14" ht="45" customHeight="1" thickBot="1" x14ac:dyDescent="0.4">
      <c r="A4271" s="103"/>
      <c r="B4271" s="103"/>
      <c r="C4271" s="103"/>
      <c r="D4271" s="103"/>
      <c r="E4271" s="103"/>
      <c r="F4271" s="103"/>
      <c r="G4271" s="103"/>
      <c r="H4271" s="103"/>
      <c r="I4271" s="103"/>
      <c r="J4271" s="103"/>
      <c r="K4271" s="103"/>
      <c r="L4271" s="103"/>
      <c r="M4271" s="104"/>
      <c r="N4271" s="103"/>
    </row>
    <row r="4272" spans="1:14" ht="45" customHeight="1" thickBot="1" x14ac:dyDescent="0.4">
      <c r="A4272" s="103"/>
      <c r="B4272" s="103"/>
      <c r="C4272" s="103"/>
      <c r="D4272" s="103"/>
      <c r="E4272" s="103"/>
      <c r="F4272" s="103"/>
      <c r="G4272" s="103"/>
      <c r="H4272" s="103"/>
      <c r="I4272" s="103"/>
      <c r="J4272" s="103"/>
      <c r="K4272" s="103"/>
      <c r="L4272" s="103"/>
      <c r="M4272" s="104"/>
      <c r="N4272" s="103"/>
    </row>
    <row r="4273" spans="1:14" ht="45" customHeight="1" thickBot="1" x14ac:dyDescent="0.4">
      <c r="A4273" s="103"/>
      <c r="B4273" s="103"/>
      <c r="C4273" s="103"/>
      <c r="D4273" s="103"/>
      <c r="E4273" s="103"/>
      <c r="F4273" s="103"/>
      <c r="G4273" s="103"/>
      <c r="H4273" s="103"/>
      <c r="I4273" s="103"/>
      <c r="J4273" s="103"/>
      <c r="K4273" s="103"/>
      <c r="L4273" s="103"/>
      <c r="M4273" s="104"/>
      <c r="N4273" s="103"/>
    </row>
    <row r="4274" spans="1:14" ht="45" customHeight="1" thickBot="1" x14ac:dyDescent="0.4">
      <c r="A4274" s="103"/>
      <c r="B4274" s="103"/>
      <c r="C4274" s="103"/>
      <c r="D4274" s="103"/>
      <c r="E4274" s="103"/>
      <c r="F4274" s="103"/>
      <c r="G4274" s="103"/>
      <c r="H4274" s="103"/>
      <c r="I4274" s="103"/>
      <c r="J4274" s="103"/>
      <c r="K4274" s="103"/>
      <c r="L4274" s="103"/>
      <c r="M4274" s="104"/>
      <c r="N4274" s="103"/>
    </row>
    <row r="4275" spans="1:14" ht="45" customHeight="1" thickBot="1" x14ac:dyDescent="0.4">
      <c r="A4275" s="103"/>
      <c r="B4275" s="103"/>
      <c r="C4275" s="103"/>
      <c r="D4275" s="103"/>
      <c r="E4275" s="103"/>
      <c r="F4275" s="103"/>
      <c r="G4275" s="103"/>
      <c r="H4275" s="103"/>
      <c r="I4275" s="103"/>
      <c r="J4275" s="103"/>
      <c r="K4275" s="103"/>
      <c r="L4275" s="103"/>
      <c r="M4275" s="104"/>
      <c r="N4275" s="103"/>
    </row>
    <row r="4276" spans="1:14" ht="45" customHeight="1" thickBot="1" x14ac:dyDescent="0.4">
      <c r="A4276" s="103"/>
      <c r="B4276" s="103"/>
      <c r="C4276" s="103"/>
      <c r="D4276" s="103"/>
      <c r="E4276" s="103"/>
      <c r="F4276" s="103"/>
      <c r="G4276" s="103"/>
      <c r="H4276" s="103"/>
      <c r="I4276" s="103"/>
      <c r="J4276" s="103"/>
      <c r="K4276" s="103"/>
      <c r="L4276" s="103"/>
      <c r="M4276" s="104"/>
      <c r="N4276" s="103"/>
    </row>
    <row r="4277" spans="1:14" ht="45" customHeight="1" thickBot="1" x14ac:dyDescent="0.4">
      <c r="A4277" s="103"/>
      <c r="B4277" s="103"/>
      <c r="C4277" s="103"/>
      <c r="D4277" s="103"/>
      <c r="E4277" s="103"/>
      <c r="F4277" s="103"/>
      <c r="G4277" s="103"/>
      <c r="H4277" s="103"/>
      <c r="I4277" s="103"/>
      <c r="J4277" s="103"/>
      <c r="K4277" s="103"/>
      <c r="L4277" s="103"/>
      <c r="M4277" s="104"/>
      <c r="N4277" s="103"/>
    </row>
    <row r="4278" spans="1:14" ht="45" customHeight="1" thickBot="1" x14ac:dyDescent="0.4">
      <c r="A4278" s="103"/>
      <c r="B4278" s="103"/>
      <c r="C4278" s="103"/>
      <c r="D4278" s="103"/>
      <c r="E4278" s="103"/>
      <c r="F4278" s="103"/>
      <c r="G4278" s="103"/>
      <c r="H4278" s="103"/>
      <c r="I4278" s="103"/>
      <c r="J4278" s="103"/>
      <c r="K4278" s="103"/>
      <c r="L4278" s="103"/>
      <c r="M4278" s="104"/>
      <c r="N4278" s="103"/>
    </row>
    <row r="4279" spans="1:14" ht="45" customHeight="1" thickBot="1" x14ac:dyDescent="0.4">
      <c r="A4279" s="103"/>
      <c r="B4279" s="103"/>
      <c r="C4279" s="103"/>
      <c r="D4279" s="103"/>
      <c r="E4279" s="103"/>
      <c r="F4279" s="103"/>
      <c r="G4279" s="103"/>
      <c r="H4279" s="103"/>
      <c r="I4279" s="103"/>
      <c r="J4279" s="103"/>
      <c r="K4279" s="103"/>
      <c r="L4279" s="103"/>
      <c r="M4279" s="104"/>
      <c r="N4279" s="103"/>
    </row>
    <row r="4280" spans="1:14" ht="45" customHeight="1" thickBot="1" x14ac:dyDescent="0.4">
      <c r="A4280" s="103"/>
      <c r="B4280" s="103"/>
      <c r="C4280" s="103"/>
      <c r="D4280" s="103"/>
      <c r="E4280" s="103"/>
      <c r="F4280" s="103"/>
      <c r="G4280" s="103"/>
      <c r="H4280" s="103"/>
      <c r="I4280" s="103"/>
      <c r="J4280" s="103"/>
      <c r="K4280" s="103"/>
      <c r="L4280" s="103"/>
      <c r="M4280" s="104"/>
      <c r="N4280" s="103"/>
    </row>
    <row r="4281" spans="1:14" ht="45" customHeight="1" thickBot="1" x14ac:dyDescent="0.4">
      <c r="A4281" s="103"/>
      <c r="B4281" s="103"/>
      <c r="C4281" s="103"/>
      <c r="D4281" s="103"/>
      <c r="E4281" s="103"/>
      <c r="F4281" s="103"/>
      <c r="G4281" s="103"/>
      <c r="H4281" s="103"/>
      <c r="I4281" s="103"/>
      <c r="J4281" s="103"/>
      <c r="K4281" s="103"/>
      <c r="L4281" s="103"/>
      <c r="M4281" s="104"/>
      <c r="N4281" s="103"/>
    </row>
    <row r="4282" spans="1:14" ht="45" customHeight="1" thickBot="1" x14ac:dyDescent="0.4">
      <c r="A4282" s="103"/>
      <c r="B4282" s="103"/>
      <c r="C4282" s="103"/>
      <c r="D4282" s="103"/>
      <c r="E4282" s="103"/>
      <c r="F4282" s="103"/>
      <c r="G4282" s="103"/>
      <c r="H4282" s="103"/>
      <c r="I4282" s="103"/>
      <c r="J4282" s="103"/>
      <c r="K4282" s="103"/>
      <c r="L4282" s="103"/>
      <c r="M4282" s="104"/>
      <c r="N4282" s="103"/>
    </row>
    <row r="4283" spans="1:14" ht="45" customHeight="1" thickBot="1" x14ac:dyDescent="0.4">
      <c r="A4283" s="103"/>
      <c r="B4283" s="103"/>
      <c r="C4283" s="103"/>
      <c r="D4283" s="103"/>
      <c r="E4283" s="103"/>
      <c r="F4283" s="103"/>
      <c r="G4283" s="103"/>
      <c r="H4283" s="103"/>
      <c r="I4283" s="103"/>
      <c r="J4283" s="103"/>
      <c r="K4283" s="103"/>
      <c r="L4283" s="103"/>
      <c r="M4283" s="104"/>
      <c r="N4283" s="103"/>
    </row>
    <row r="4284" spans="1:14" ht="45" customHeight="1" thickBot="1" x14ac:dyDescent="0.4">
      <c r="A4284" s="103"/>
      <c r="B4284" s="103"/>
      <c r="C4284" s="103"/>
      <c r="D4284" s="103"/>
      <c r="E4284" s="103"/>
      <c r="F4284" s="103"/>
      <c r="G4284" s="103"/>
      <c r="H4284" s="103"/>
      <c r="I4284" s="103"/>
      <c r="J4284" s="103"/>
      <c r="K4284" s="103"/>
      <c r="L4284" s="103"/>
      <c r="M4284" s="104"/>
      <c r="N4284" s="103"/>
    </row>
    <row r="4285" spans="1:14" ht="45" customHeight="1" thickBot="1" x14ac:dyDescent="0.4">
      <c r="A4285" s="103"/>
      <c r="B4285" s="103"/>
      <c r="C4285" s="103"/>
      <c r="D4285" s="103"/>
      <c r="E4285" s="103"/>
      <c r="F4285" s="103"/>
      <c r="G4285" s="103"/>
      <c r="H4285" s="103"/>
      <c r="I4285" s="103"/>
      <c r="J4285" s="103"/>
      <c r="K4285" s="103"/>
      <c r="L4285" s="103"/>
      <c r="M4285" s="104"/>
      <c r="N4285" s="103"/>
    </row>
    <row r="4286" spans="1:14" ht="45" customHeight="1" thickBot="1" x14ac:dyDescent="0.4">
      <c r="A4286" s="103"/>
      <c r="B4286" s="103"/>
      <c r="C4286" s="103"/>
      <c r="D4286" s="103"/>
      <c r="E4286" s="103"/>
      <c r="F4286" s="103"/>
      <c r="G4286" s="103"/>
      <c r="H4286" s="103"/>
      <c r="I4286" s="103"/>
      <c r="J4286" s="103"/>
      <c r="K4286" s="103"/>
      <c r="L4286" s="103"/>
      <c r="M4286" s="104"/>
      <c r="N4286" s="103"/>
    </row>
    <row r="4287" spans="1:14" ht="45" customHeight="1" thickBot="1" x14ac:dyDescent="0.4">
      <c r="A4287" s="103"/>
      <c r="B4287" s="103"/>
      <c r="C4287" s="103"/>
      <c r="D4287" s="103"/>
      <c r="E4287" s="103"/>
      <c r="F4287" s="103"/>
      <c r="G4287" s="103"/>
      <c r="H4287" s="103"/>
      <c r="I4287" s="103"/>
      <c r="J4287" s="103"/>
      <c r="K4287" s="103"/>
      <c r="L4287" s="103"/>
      <c r="M4287" s="104"/>
      <c r="N4287" s="103"/>
    </row>
    <row r="4288" spans="1:14" ht="45" customHeight="1" thickBot="1" x14ac:dyDescent="0.4">
      <c r="A4288" s="103"/>
      <c r="B4288" s="103"/>
      <c r="C4288" s="103"/>
      <c r="D4288" s="103"/>
      <c r="E4288" s="103"/>
      <c r="F4288" s="103"/>
      <c r="G4288" s="103"/>
      <c r="H4288" s="103"/>
      <c r="I4288" s="103"/>
      <c r="J4288" s="103"/>
      <c r="K4288" s="103"/>
      <c r="L4288" s="103"/>
      <c r="M4288" s="104"/>
      <c r="N4288" s="103"/>
    </row>
    <row r="4289" spans="1:14" ht="45" customHeight="1" thickBot="1" x14ac:dyDescent="0.4">
      <c r="A4289" s="103"/>
      <c r="B4289" s="103"/>
      <c r="C4289" s="103"/>
      <c r="D4289" s="103"/>
      <c r="E4289" s="103"/>
      <c r="F4289" s="103"/>
      <c r="G4289" s="103"/>
      <c r="H4289" s="103"/>
      <c r="I4289" s="103"/>
      <c r="J4289" s="103"/>
      <c r="K4289" s="103"/>
      <c r="L4289" s="103"/>
      <c r="M4289" s="104"/>
      <c r="N4289" s="103"/>
    </row>
    <row r="4290" spans="1:14" ht="45" customHeight="1" thickBot="1" x14ac:dyDescent="0.4">
      <c r="A4290" s="103"/>
      <c r="B4290" s="103"/>
      <c r="C4290" s="103"/>
      <c r="D4290" s="103"/>
      <c r="E4290" s="103"/>
      <c r="F4290" s="103"/>
      <c r="G4290" s="103"/>
      <c r="H4290" s="103"/>
      <c r="I4290" s="103"/>
      <c r="J4290" s="103"/>
      <c r="K4290" s="103"/>
      <c r="L4290" s="103"/>
      <c r="M4290" s="104"/>
      <c r="N4290" s="103"/>
    </row>
    <row r="4291" spans="1:14" ht="45" customHeight="1" thickBot="1" x14ac:dyDescent="0.4">
      <c r="A4291" s="103"/>
      <c r="B4291" s="103"/>
      <c r="C4291" s="103"/>
      <c r="D4291" s="103"/>
      <c r="E4291" s="103"/>
      <c r="F4291" s="103"/>
      <c r="G4291" s="103"/>
      <c r="H4291" s="103"/>
      <c r="I4291" s="103"/>
      <c r="J4291" s="103"/>
      <c r="K4291" s="103"/>
      <c r="L4291" s="103"/>
      <c r="M4291" s="104"/>
      <c r="N4291" s="103"/>
    </row>
    <row r="4292" spans="1:14" ht="45" customHeight="1" thickBot="1" x14ac:dyDescent="0.4">
      <c r="A4292" s="103"/>
      <c r="B4292" s="103"/>
      <c r="C4292" s="103"/>
      <c r="D4292" s="103"/>
      <c r="E4292" s="103"/>
      <c r="F4292" s="103"/>
      <c r="G4292" s="103"/>
      <c r="H4292" s="103"/>
      <c r="I4292" s="103"/>
      <c r="J4292" s="103"/>
      <c r="K4292" s="103"/>
      <c r="L4292" s="103"/>
      <c r="M4292" s="104"/>
      <c r="N4292" s="103"/>
    </row>
    <row r="4293" spans="1:14" ht="45" customHeight="1" thickBot="1" x14ac:dyDescent="0.4">
      <c r="A4293" s="103"/>
      <c r="B4293" s="103"/>
      <c r="C4293" s="103"/>
      <c r="D4293" s="103"/>
      <c r="E4293" s="103"/>
      <c r="F4293" s="103"/>
      <c r="G4293" s="103"/>
      <c r="H4293" s="103"/>
      <c r="I4293" s="103"/>
      <c r="J4293" s="103"/>
      <c r="K4293" s="103"/>
      <c r="L4293" s="103"/>
      <c r="M4293" s="104"/>
      <c r="N4293" s="103"/>
    </row>
    <row r="4294" spans="1:14" ht="45" customHeight="1" thickBot="1" x14ac:dyDescent="0.4">
      <c r="A4294" s="103"/>
      <c r="B4294" s="103"/>
      <c r="C4294" s="103"/>
      <c r="D4294" s="103"/>
      <c r="E4294" s="103"/>
      <c r="F4294" s="103"/>
      <c r="G4294" s="103"/>
      <c r="H4294" s="103"/>
      <c r="I4294" s="103"/>
      <c r="J4294" s="103"/>
      <c r="K4294" s="103"/>
      <c r="L4294" s="103"/>
      <c r="M4294" s="104"/>
      <c r="N4294" s="103"/>
    </row>
    <row r="4295" spans="1:14" ht="45" customHeight="1" thickBot="1" x14ac:dyDescent="0.4">
      <c r="A4295" s="103"/>
      <c r="B4295" s="103"/>
      <c r="C4295" s="103"/>
      <c r="D4295" s="103"/>
      <c r="E4295" s="103"/>
      <c r="F4295" s="103"/>
      <c r="G4295" s="103"/>
      <c r="H4295" s="103"/>
      <c r="I4295" s="103"/>
      <c r="J4295" s="103"/>
      <c r="K4295" s="103"/>
      <c r="L4295" s="103"/>
      <c r="M4295" s="104"/>
      <c r="N4295" s="103"/>
    </row>
    <row r="4296" spans="1:14" ht="45" customHeight="1" thickBot="1" x14ac:dyDescent="0.4">
      <c r="A4296" s="103"/>
      <c r="B4296" s="103"/>
      <c r="C4296" s="103"/>
      <c r="D4296" s="103"/>
      <c r="E4296" s="103"/>
      <c r="F4296" s="103"/>
      <c r="G4296" s="103"/>
      <c r="H4296" s="103"/>
      <c r="I4296" s="103"/>
      <c r="J4296" s="103"/>
      <c r="K4296" s="103"/>
      <c r="L4296" s="103"/>
      <c r="M4296" s="104"/>
      <c r="N4296" s="103"/>
    </row>
    <row r="4297" spans="1:14" ht="45" customHeight="1" thickBot="1" x14ac:dyDescent="0.4">
      <c r="A4297" s="103"/>
      <c r="B4297" s="103"/>
      <c r="C4297" s="103"/>
      <c r="D4297" s="103"/>
      <c r="E4297" s="103"/>
      <c r="F4297" s="103"/>
      <c r="G4297" s="103"/>
      <c r="H4297" s="103"/>
      <c r="I4297" s="103"/>
      <c r="J4297" s="103"/>
      <c r="K4297" s="103"/>
      <c r="L4297" s="103"/>
      <c r="M4297" s="104"/>
      <c r="N4297" s="103"/>
    </row>
    <row r="4298" spans="1:14" ht="45" customHeight="1" thickBot="1" x14ac:dyDescent="0.4">
      <c r="A4298" s="103"/>
      <c r="B4298" s="103"/>
      <c r="C4298" s="103"/>
      <c r="D4298" s="103"/>
      <c r="E4298" s="103"/>
      <c r="F4298" s="103"/>
      <c r="G4298" s="103"/>
      <c r="H4298" s="103"/>
      <c r="I4298" s="103"/>
      <c r="J4298" s="103"/>
      <c r="K4298" s="103"/>
      <c r="L4298" s="103"/>
      <c r="M4298" s="104"/>
      <c r="N4298" s="103"/>
    </row>
    <row r="4299" spans="1:14" ht="45" customHeight="1" thickBot="1" x14ac:dyDescent="0.4">
      <c r="A4299" s="103"/>
      <c r="B4299" s="103"/>
      <c r="C4299" s="103"/>
      <c r="D4299" s="103"/>
      <c r="E4299" s="103"/>
      <c r="F4299" s="103"/>
      <c r="G4299" s="103"/>
      <c r="H4299" s="103"/>
      <c r="I4299" s="103"/>
      <c r="J4299" s="103"/>
      <c r="K4299" s="103"/>
      <c r="L4299" s="103"/>
      <c r="M4299" s="104"/>
      <c r="N4299" s="103"/>
    </row>
    <row r="4300" spans="1:14" ht="45" customHeight="1" thickBot="1" x14ac:dyDescent="0.4">
      <c r="A4300" s="103"/>
      <c r="B4300" s="103"/>
      <c r="C4300" s="103"/>
      <c r="D4300" s="103"/>
      <c r="E4300" s="103"/>
      <c r="F4300" s="103"/>
      <c r="G4300" s="103"/>
      <c r="H4300" s="103"/>
      <c r="I4300" s="103"/>
      <c r="J4300" s="103"/>
      <c r="K4300" s="103"/>
      <c r="L4300" s="103"/>
      <c r="M4300" s="104"/>
      <c r="N4300" s="103"/>
    </row>
    <row r="4301" spans="1:14" ht="45" customHeight="1" thickBot="1" x14ac:dyDescent="0.4">
      <c r="A4301" s="103"/>
      <c r="B4301" s="103"/>
      <c r="C4301" s="103"/>
      <c r="D4301" s="103"/>
      <c r="E4301" s="103"/>
      <c r="F4301" s="103"/>
      <c r="G4301" s="103"/>
      <c r="H4301" s="103"/>
      <c r="I4301" s="103"/>
      <c r="J4301" s="103"/>
      <c r="K4301" s="103"/>
      <c r="L4301" s="103"/>
      <c r="M4301" s="104"/>
      <c r="N4301" s="103"/>
    </row>
    <row r="4302" spans="1:14" ht="45" customHeight="1" thickBot="1" x14ac:dyDescent="0.4">
      <c r="A4302" s="103"/>
      <c r="B4302" s="103"/>
      <c r="C4302" s="103"/>
      <c r="D4302" s="103"/>
      <c r="E4302" s="103"/>
      <c r="F4302" s="103"/>
      <c r="G4302" s="103"/>
      <c r="H4302" s="103"/>
      <c r="I4302" s="103"/>
      <c r="J4302" s="103"/>
      <c r="K4302" s="103"/>
      <c r="L4302" s="103"/>
      <c r="M4302" s="104"/>
      <c r="N4302" s="103"/>
    </row>
    <row r="4303" spans="1:14" ht="45" customHeight="1" thickBot="1" x14ac:dyDescent="0.4">
      <c r="A4303" s="103"/>
      <c r="B4303" s="103"/>
      <c r="C4303" s="103"/>
      <c r="D4303" s="103"/>
      <c r="E4303" s="103"/>
      <c r="F4303" s="103"/>
      <c r="G4303" s="103"/>
      <c r="H4303" s="103"/>
      <c r="I4303" s="103"/>
      <c r="J4303" s="103"/>
      <c r="K4303" s="103"/>
      <c r="L4303" s="103"/>
      <c r="M4303" s="104"/>
      <c r="N4303" s="103"/>
    </row>
    <row r="4304" spans="1:14" ht="45" customHeight="1" thickBot="1" x14ac:dyDescent="0.4">
      <c r="A4304" s="103"/>
      <c r="B4304" s="103"/>
      <c r="C4304" s="103"/>
      <c r="D4304" s="103"/>
      <c r="E4304" s="103"/>
      <c r="F4304" s="103"/>
      <c r="G4304" s="103"/>
      <c r="H4304" s="103"/>
      <c r="I4304" s="103"/>
      <c r="J4304" s="103"/>
      <c r="K4304" s="103"/>
      <c r="L4304" s="103"/>
      <c r="M4304" s="104"/>
      <c r="N4304" s="103"/>
    </row>
    <row r="4305" spans="1:14" ht="45" customHeight="1" thickBot="1" x14ac:dyDescent="0.4">
      <c r="A4305" s="103"/>
      <c r="B4305" s="103"/>
      <c r="C4305" s="103"/>
      <c r="D4305" s="103"/>
      <c r="E4305" s="103"/>
      <c r="F4305" s="103"/>
      <c r="G4305" s="103"/>
      <c r="H4305" s="103"/>
      <c r="I4305" s="103"/>
      <c r="J4305" s="103"/>
      <c r="K4305" s="103"/>
      <c r="L4305" s="103"/>
      <c r="M4305" s="104"/>
      <c r="N4305" s="103"/>
    </row>
    <row r="4306" spans="1:14" ht="45" customHeight="1" thickBot="1" x14ac:dyDescent="0.4">
      <c r="A4306" s="103"/>
      <c r="B4306" s="103"/>
      <c r="C4306" s="103"/>
      <c r="D4306" s="103"/>
      <c r="E4306" s="103"/>
      <c r="F4306" s="103"/>
      <c r="G4306" s="103"/>
      <c r="H4306" s="103"/>
      <c r="I4306" s="103"/>
      <c r="J4306" s="103"/>
      <c r="K4306" s="103"/>
      <c r="L4306" s="103"/>
      <c r="M4306" s="104"/>
      <c r="N4306" s="103"/>
    </row>
    <row r="4307" spans="1:14" ht="45" customHeight="1" thickBot="1" x14ac:dyDescent="0.4">
      <c r="A4307" s="103"/>
      <c r="B4307" s="103"/>
      <c r="C4307" s="103"/>
      <c r="D4307" s="103"/>
      <c r="E4307" s="103"/>
      <c r="F4307" s="103"/>
      <c r="G4307" s="103"/>
      <c r="H4307" s="103"/>
      <c r="I4307" s="103"/>
      <c r="J4307" s="103"/>
      <c r="K4307" s="103"/>
      <c r="L4307" s="103"/>
      <c r="M4307" s="104"/>
      <c r="N4307" s="103"/>
    </row>
    <row r="4308" spans="1:14" ht="45" customHeight="1" thickBot="1" x14ac:dyDescent="0.4">
      <c r="A4308" s="103"/>
      <c r="B4308" s="103"/>
      <c r="C4308" s="103"/>
      <c r="D4308" s="103"/>
      <c r="E4308" s="103"/>
      <c r="F4308" s="103"/>
      <c r="G4308" s="103"/>
      <c r="H4308" s="103"/>
      <c r="I4308" s="103"/>
      <c r="J4308" s="103"/>
      <c r="K4308" s="103"/>
      <c r="L4308" s="103"/>
      <c r="M4308" s="104"/>
      <c r="N4308" s="103"/>
    </row>
    <row r="4309" spans="1:14" ht="45" customHeight="1" thickBot="1" x14ac:dyDescent="0.4">
      <c r="A4309" s="103"/>
      <c r="B4309" s="103"/>
      <c r="C4309" s="103"/>
      <c r="D4309" s="103"/>
      <c r="E4309" s="103"/>
      <c r="F4309" s="103"/>
      <c r="G4309" s="103"/>
      <c r="H4309" s="103"/>
      <c r="I4309" s="103"/>
      <c r="J4309" s="103"/>
      <c r="K4309" s="103"/>
      <c r="L4309" s="103"/>
      <c r="M4309" s="104"/>
      <c r="N4309" s="103"/>
    </row>
    <row r="4310" spans="1:14" ht="45" customHeight="1" thickBot="1" x14ac:dyDescent="0.4">
      <c r="A4310" s="103"/>
      <c r="B4310" s="103"/>
      <c r="C4310" s="103"/>
      <c r="D4310" s="103"/>
      <c r="E4310" s="103"/>
      <c r="F4310" s="103"/>
      <c r="G4310" s="103"/>
      <c r="H4310" s="103"/>
      <c r="I4310" s="103"/>
      <c r="J4310" s="103"/>
      <c r="K4310" s="103"/>
      <c r="L4310" s="103"/>
      <c r="M4310" s="104"/>
      <c r="N4310" s="103"/>
    </row>
    <row r="4311" spans="1:14" ht="45" customHeight="1" thickBot="1" x14ac:dyDescent="0.4">
      <c r="A4311" s="103"/>
      <c r="B4311" s="103"/>
      <c r="C4311" s="103"/>
      <c r="D4311" s="103"/>
      <c r="E4311" s="103"/>
      <c r="F4311" s="103"/>
      <c r="G4311" s="103"/>
      <c r="H4311" s="103"/>
      <c r="I4311" s="103"/>
      <c r="J4311" s="103"/>
      <c r="K4311" s="103"/>
      <c r="L4311" s="103"/>
      <c r="M4311" s="104"/>
      <c r="N4311" s="103"/>
    </row>
    <row r="4312" spans="1:14" ht="45" customHeight="1" thickBot="1" x14ac:dyDescent="0.4">
      <c r="A4312" s="103"/>
      <c r="B4312" s="103"/>
      <c r="C4312" s="103"/>
      <c r="D4312" s="103"/>
      <c r="E4312" s="103"/>
      <c r="F4312" s="103"/>
      <c r="G4312" s="103"/>
      <c r="H4312" s="103"/>
      <c r="I4312" s="103"/>
      <c r="J4312" s="103"/>
      <c r="K4312" s="103"/>
      <c r="L4312" s="103"/>
      <c r="M4312" s="104"/>
      <c r="N4312" s="103"/>
    </row>
    <row r="4313" spans="1:14" ht="45" customHeight="1" thickBot="1" x14ac:dyDescent="0.4">
      <c r="A4313" s="103"/>
      <c r="B4313" s="103"/>
      <c r="C4313" s="103"/>
      <c r="D4313" s="103"/>
      <c r="E4313" s="103"/>
      <c r="F4313" s="103"/>
      <c r="G4313" s="103"/>
      <c r="H4313" s="103"/>
      <c r="I4313" s="103"/>
      <c r="J4313" s="103"/>
      <c r="K4313" s="103"/>
      <c r="L4313" s="103"/>
      <c r="M4313" s="104"/>
      <c r="N4313" s="103"/>
    </row>
    <row r="4314" spans="1:14" ht="45" customHeight="1" thickBot="1" x14ac:dyDescent="0.4">
      <c r="A4314" s="103"/>
      <c r="B4314" s="103"/>
      <c r="C4314" s="103"/>
      <c r="D4314" s="103"/>
      <c r="E4314" s="103"/>
      <c r="F4314" s="103"/>
      <c r="G4314" s="103"/>
      <c r="H4314" s="103"/>
      <c r="I4314" s="103"/>
      <c r="J4314" s="103"/>
      <c r="K4314" s="103"/>
      <c r="L4314" s="103"/>
      <c r="M4314" s="104"/>
      <c r="N4314" s="103"/>
    </row>
    <row r="4315" spans="1:14" ht="45" customHeight="1" thickBot="1" x14ac:dyDescent="0.4">
      <c r="A4315" s="103"/>
      <c r="B4315" s="103"/>
      <c r="C4315" s="103"/>
      <c r="D4315" s="103"/>
      <c r="E4315" s="103"/>
      <c r="F4315" s="103"/>
      <c r="G4315" s="103"/>
      <c r="H4315" s="103"/>
      <c r="I4315" s="103"/>
      <c r="J4315" s="103"/>
      <c r="K4315" s="103"/>
      <c r="L4315" s="103"/>
      <c r="M4315" s="104"/>
      <c r="N4315" s="103"/>
    </row>
    <row r="4316" spans="1:14" ht="45" customHeight="1" thickBot="1" x14ac:dyDescent="0.4">
      <c r="A4316" s="103"/>
      <c r="B4316" s="103"/>
      <c r="C4316" s="103"/>
      <c r="D4316" s="103"/>
      <c r="E4316" s="103"/>
      <c r="F4316" s="103"/>
      <c r="G4316" s="103"/>
      <c r="H4316" s="103"/>
      <c r="I4316" s="103"/>
      <c r="J4316" s="103"/>
      <c r="K4316" s="103"/>
      <c r="L4316" s="103"/>
      <c r="M4316" s="104"/>
      <c r="N4316" s="103"/>
    </row>
    <row r="4317" spans="1:14" ht="45" customHeight="1" thickBot="1" x14ac:dyDescent="0.4">
      <c r="A4317" s="103"/>
      <c r="B4317" s="103"/>
      <c r="C4317" s="103"/>
      <c r="D4317" s="103"/>
      <c r="E4317" s="103"/>
      <c r="F4317" s="103"/>
      <c r="G4317" s="103"/>
      <c r="H4317" s="103"/>
      <c r="I4317" s="103"/>
      <c r="J4317" s="103"/>
      <c r="K4317" s="103"/>
      <c r="L4317" s="103"/>
      <c r="M4317" s="104"/>
      <c r="N4317" s="103"/>
    </row>
    <row r="4318" spans="1:14" ht="45" customHeight="1" thickBot="1" x14ac:dyDescent="0.4">
      <c r="A4318" s="103"/>
      <c r="B4318" s="103"/>
      <c r="C4318" s="103"/>
      <c r="D4318" s="103"/>
      <c r="E4318" s="103"/>
      <c r="F4318" s="103"/>
      <c r="G4318" s="103"/>
      <c r="H4318" s="103"/>
      <c r="I4318" s="103"/>
      <c r="J4318" s="103"/>
      <c r="K4318" s="103"/>
      <c r="L4318" s="103"/>
      <c r="M4318" s="104"/>
      <c r="N4318" s="103"/>
    </row>
    <row r="4319" spans="1:14" ht="45" customHeight="1" thickBot="1" x14ac:dyDescent="0.4">
      <c r="A4319" s="103"/>
      <c r="B4319" s="103"/>
      <c r="C4319" s="103"/>
      <c r="D4319" s="103"/>
      <c r="E4319" s="103"/>
      <c r="F4319" s="103"/>
      <c r="G4319" s="103"/>
      <c r="H4319" s="103"/>
      <c r="I4319" s="103"/>
      <c r="J4319" s="103"/>
      <c r="K4319" s="103"/>
      <c r="L4319" s="103"/>
      <c r="M4319" s="104"/>
      <c r="N4319" s="103"/>
    </row>
    <row r="4320" spans="1:14" ht="45" customHeight="1" thickBot="1" x14ac:dyDescent="0.4">
      <c r="A4320" s="103"/>
      <c r="B4320" s="103"/>
      <c r="C4320" s="103"/>
      <c r="D4320" s="103"/>
      <c r="E4320" s="103"/>
      <c r="F4320" s="103"/>
      <c r="G4320" s="103"/>
      <c r="H4320" s="103"/>
      <c r="I4320" s="103"/>
      <c r="J4320" s="103"/>
      <c r="K4320" s="103"/>
      <c r="L4320" s="103"/>
      <c r="M4320" s="104"/>
      <c r="N4320" s="103"/>
    </row>
    <row r="4321" spans="1:14" ht="45" customHeight="1" thickBot="1" x14ac:dyDescent="0.4">
      <c r="A4321" s="103"/>
      <c r="B4321" s="103"/>
      <c r="C4321" s="103"/>
      <c r="D4321" s="103"/>
      <c r="E4321" s="103"/>
      <c r="F4321" s="103"/>
      <c r="G4321" s="103"/>
      <c r="H4321" s="103"/>
      <c r="I4321" s="103"/>
      <c r="J4321" s="103"/>
      <c r="K4321" s="103"/>
      <c r="L4321" s="103"/>
      <c r="M4321" s="104"/>
      <c r="N4321" s="103"/>
    </row>
    <row r="4322" spans="1:14" ht="45" customHeight="1" thickBot="1" x14ac:dyDescent="0.4">
      <c r="A4322" s="103"/>
      <c r="B4322" s="103"/>
      <c r="C4322" s="103"/>
      <c r="D4322" s="103"/>
      <c r="E4322" s="103"/>
      <c r="F4322" s="103"/>
      <c r="G4322" s="103"/>
      <c r="H4322" s="103"/>
      <c r="I4322" s="103"/>
      <c r="J4322" s="103"/>
      <c r="K4322" s="103"/>
      <c r="L4322" s="103"/>
      <c r="M4322" s="104"/>
      <c r="N4322" s="103"/>
    </row>
    <row r="4323" spans="1:14" ht="45" customHeight="1" thickBot="1" x14ac:dyDescent="0.4">
      <c r="A4323" s="103"/>
      <c r="B4323" s="103"/>
      <c r="C4323" s="103"/>
      <c r="D4323" s="103"/>
      <c r="E4323" s="103"/>
      <c r="F4323" s="103"/>
      <c r="G4323" s="103"/>
      <c r="H4323" s="103"/>
      <c r="I4323" s="103"/>
      <c r="J4323" s="103"/>
      <c r="K4323" s="103"/>
      <c r="L4323" s="103"/>
      <c r="M4323" s="104"/>
      <c r="N4323" s="103"/>
    </row>
    <row r="4324" spans="1:14" ht="45" customHeight="1" thickBot="1" x14ac:dyDescent="0.4">
      <c r="A4324" s="103"/>
      <c r="B4324" s="103"/>
      <c r="C4324" s="103"/>
      <c r="D4324" s="103"/>
      <c r="E4324" s="103"/>
      <c r="F4324" s="103"/>
      <c r="G4324" s="103"/>
      <c r="H4324" s="103"/>
      <c r="I4324" s="103"/>
      <c r="J4324" s="103"/>
      <c r="K4324" s="103"/>
      <c r="L4324" s="103"/>
      <c r="M4324" s="104"/>
      <c r="N4324" s="103"/>
    </row>
    <row r="4325" spans="1:14" ht="45" customHeight="1" thickBot="1" x14ac:dyDescent="0.4">
      <c r="A4325" s="103"/>
      <c r="B4325" s="103"/>
      <c r="C4325" s="103"/>
      <c r="D4325" s="103"/>
      <c r="E4325" s="103"/>
      <c r="F4325" s="103"/>
      <c r="G4325" s="103"/>
      <c r="H4325" s="103"/>
      <c r="I4325" s="103"/>
      <c r="J4325" s="103"/>
      <c r="K4325" s="103"/>
      <c r="L4325" s="103"/>
      <c r="M4325" s="104"/>
      <c r="N4325" s="103"/>
    </row>
    <row r="4326" spans="1:14" ht="45" customHeight="1" thickBot="1" x14ac:dyDescent="0.4">
      <c r="A4326" s="103"/>
      <c r="B4326" s="103"/>
      <c r="C4326" s="103"/>
      <c r="D4326" s="103"/>
      <c r="E4326" s="103"/>
      <c r="F4326" s="103"/>
      <c r="G4326" s="103"/>
      <c r="H4326" s="103"/>
      <c r="I4326" s="103"/>
      <c r="J4326" s="103"/>
      <c r="K4326" s="103"/>
      <c r="L4326" s="103"/>
      <c r="M4326" s="104"/>
      <c r="N4326" s="103"/>
    </row>
    <row r="4327" spans="1:14" ht="45" customHeight="1" thickBot="1" x14ac:dyDescent="0.4">
      <c r="A4327" s="103"/>
      <c r="B4327" s="103"/>
      <c r="C4327" s="103"/>
      <c r="D4327" s="103"/>
      <c r="E4327" s="103"/>
      <c r="F4327" s="103"/>
      <c r="G4327" s="103"/>
      <c r="H4327" s="103"/>
      <c r="I4327" s="103"/>
      <c r="J4327" s="103"/>
      <c r="K4327" s="103"/>
      <c r="L4327" s="103"/>
      <c r="M4327" s="104"/>
      <c r="N4327" s="103"/>
    </row>
    <row r="4328" spans="1:14" ht="45" customHeight="1" thickBot="1" x14ac:dyDescent="0.4">
      <c r="A4328" s="103"/>
      <c r="B4328" s="103"/>
      <c r="C4328" s="103"/>
      <c r="D4328" s="103"/>
      <c r="E4328" s="103"/>
      <c r="F4328" s="103"/>
      <c r="G4328" s="103"/>
      <c r="H4328" s="103"/>
      <c r="I4328" s="103"/>
      <c r="J4328" s="103"/>
      <c r="K4328" s="103"/>
      <c r="L4328" s="103"/>
      <c r="M4328" s="104"/>
      <c r="N4328" s="103"/>
    </row>
    <row r="4329" spans="1:14" ht="45" customHeight="1" thickBot="1" x14ac:dyDescent="0.4">
      <c r="A4329" s="103"/>
      <c r="B4329" s="103"/>
      <c r="C4329" s="103"/>
      <c r="D4329" s="103"/>
      <c r="E4329" s="103"/>
      <c r="F4329" s="103"/>
      <c r="G4329" s="103"/>
      <c r="H4329" s="103"/>
      <c r="I4329" s="103"/>
      <c r="J4329" s="103"/>
      <c r="K4329" s="103"/>
      <c r="L4329" s="103"/>
      <c r="M4329" s="104"/>
      <c r="N4329" s="103"/>
    </row>
    <row r="4330" spans="1:14" ht="45" customHeight="1" thickBot="1" x14ac:dyDescent="0.4">
      <c r="A4330" s="103"/>
      <c r="B4330" s="103"/>
      <c r="C4330" s="103"/>
      <c r="D4330" s="103"/>
      <c r="E4330" s="103"/>
      <c r="F4330" s="103"/>
      <c r="G4330" s="103"/>
      <c r="H4330" s="103"/>
      <c r="I4330" s="103"/>
      <c r="J4330" s="103"/>
      <c r="K4330" s="103"/>
      <c r="L4330" s="103"/>
      <c r="M4330" s="104"/>
      <c r="N4330" s="103"/>
    </row>
    <row r="4331" spans="1:14" ht="45" customHeight="1" thickBot="1" x14ac:dyDescent="0.4">
      <c r="A4331" s="103"/>
      <c r="B4331" s="103"/>
      <c r="C4331" s="103"/>
      <c r="D4331" s="103"/>
      <c r="E4331" s="103"/>
      <c r="F4331" s="103"/>
      <c r="G4331" s="103"/>
      <c r="H4331" s="103"/>
      <c r="I4331" s="103"/>
      <c r="J4331" s="103"/>
      <c r="K4331" s="103"/>
      <c r="L4331" s="103"/>
      <c r="M4331" s="104"/>
      <c r="N4331" s="103"/>
    </row>
    <row r="4332" spans="1:14" ht="45" customHeight="1" thickBot="1" x14ac:dyDescent="0.4">
      <c r="A4332" s="103"/>
      <c r="B4332" s="103"/>
      <c r="C4332" s="103"/>
      <c r="D4332" s="103"/>
      <c r="E4332" s="103"/>
      <c r="F4332" s="103"/>
      <c r="G4332" s="103"/>
      <c r="H4332" s="103"/>
      <c r="I4332" s="103"/>
      <c r="J4332" s="103"/>
      <c r="K4332" s="103"/>
      <c r="L4332" s="103"/>
      <c r="M4332" s="104"/>
      <c r="N4332" s="103"/>
    </row>
    <row r="4333" spans="1:14" ht="45" customHeight="1" thickBot="1" x14ac:dyDescent="0.4">
      <c r="A4333" s="103"/>
      <c r="B4333" s="103"/>
      <c r="C4333" s="103"/>
      <c r="D4333" s="103"/>
      <c r="E4333" s="103"/>
      <c r="F4333" s="103"/>
      <c r="G4333" s="103"/>
      <c r="H4333" s="103"/>
      <c r="I4333" s="103"/>
      <c r="J4333" s="103"/>
      <c r="K4333" s="103"/>
      <c r="L4333" s="103"/>
      <c r="M4333" s="104"/>
      <c r="N4333" s="103"/>
    </row>
    <row r="4334" spans="1:14" ht="45" customHeight="1" thickBot="1" x14ac:dyDescent="0.4">
      <c r="A4334" s="103"/>
      <c r="B4334" s="103"/>
      <c r="C4334" s="103"/>
      <c r="D4334" s="103"/>
      <c r="E4334" s="103"/>
      <c r="F4334" s="103"/>
      <c r="G4334" s="103"/>
      <c r="H4334" s="103"/>
      <c r="I4334" s="103"/>
      <c r="J4334" s="103"/>
      <c r="K4334" s="103"/>
      <c r="L4334" s="103"/>
      <c r="M4334" s="104"/>
      <c r="N4334" s="103"/>
    </row>
    <row r="4335" spans="1:14" ht="45" customHeight="1" thickBot="1" x14ac:dyDescent="0.4">
      <c r="A4335" s="103"/>
      <c r="B4335" s="103"/>
      <c r="C4335" s="103"/>
      <c r="D4335" s="103"/>
      <c r="E4335" s="103"/>
      <c r="F4335" s="103"/>
      <c r="G4335" s="103"/>
      <c r="H4335" s="103"/>
      <c r="I4335" s="103"/>
      <c r="J4335" s="103"/>
      <c r="K4335" s="103"/>
      <c r="L4335" s="103"/>
      <c r="M4335" s="104"/>
      <c r="N4335" s="103"/>
    </row>
    <row r="4336" spans="1:14" ht="45" customHeight="1" thickBot="1" x14ac:dyDescent="0.4">
      <c r="A4336" s="103"/>
      <c r="B4336" s="103"/>
      <c r="C4336" s="103"/>
      <c r="D4336" s="103"/>
      <c r="E4336" s="103"/>
      <c r="F4336" s="103"/>
      <c r="G4336" s="103"/>
      <c r="H4336" s="103"/>
      <c r="I4336" s="103"/>
      <c r="J4336" s="103"/>
      <c r="K4336" s="103"/>
      <c r="L4336" s="103"/>
      <c r="M4336" s="104"/>
      <c r="N4336" s="103"/>
    </row>
    <row r="4337" spans="1:14" ht="45" customHeight="1" thickBot="1" x14ac:dyDescent="0.4">
      <c r="A4337" s="103"/>
      <c r="B4337" s="103"/>
      <c r="C4337" s="103"/>
      <c r="D4337" s="103"/>
      <c r="E4337" s="103"/>
      <c r="F4337" s="103"/>
      <c r="G4337" s="103"/>
      <c r="H4337" s="103"/>
      <c r="I4337" s="103"/>
      <c r="J4337" s="103"/>
      <c r="K4337" s="103"/>
      <c r="L4337" s="103"/>
      <c r="M4337" s="104"/>
      <c r="N4337" s="103"/>
    </row>
    <row r="4338" spans="1:14" ht="45" customHeight="1" thickBot="1" x14ac:dyDescent="0.4">
      <c r="A4338" s="103"/>
      <c r="B4338" s="103"/>
      <c r="C4338" s="103"/>
      <c r="D4338" s="103"/>
      <c r="E4338" s="103"/>
      <c r="F4338" s="103"/>
      <c r="G4338" s="103"/>
      <c r="H4338" s="103"/>
      <c r="I4338" s="103"/>
      <c r="J4338" s="103"/>
      <c r="K4338" s="103"/>
      <c r="L4338" s="103"/>
      <c r="M4338" s="104"/>
      <c r="N4338" s="103"/>
    </row>
    <row r="4339" spans="1:14" ht="45" customHeight="1" thickBot="1" x14ac:dyDescent="0.4">
      <c r="A4339" s="103"/>
      <c r="B4339" s="103"/>
      <c r="C4339" s="103"/>
      <c r="D4339" s="103"/>
      <c r="E4339" s="103"/>
      <c r="F4339" s="103"/>
      <c r="G4339" s="103"/>
      <c r="H4339" s="103"/>
      <c r="I4339" s="103"/>
      <c r="J4339" s="103"/>
      <c r="K4339" s="103"/>
      <c r="L4339" s="103"/>
      <c r="M4339" s="104"/>
      <c r="N4339" s="103"/>
    </row>
    <row r="4340" spans="1:14" ht="45" customHeight="1" thickBot="1" x14ac:dyDescent="0.4">
      <c r="A4340" s="103"/>
      <c r="B4340" s="103"/>
      <c r="C4340" s="103"/>
      <c r="D4340" s="103"/>
      <c r="E4340" s="103"/>
      <c r="F4340" s="103"/>
      <c r="G4340" s="103"/>
      <c r="H4340" s="103"/>
      <c r="I4340" s="103"/>
      <c r="J4340" s="103"/>
      <c r="K4340" s="103"/>
      <c r="L4340" s="103"/>
      <c r="M4340" s="104"/>
      <c r="N4340" s="103"/>
    </row>
    <row r="4341" spans="1:14" ht="45" customHeight="1" thickBot="1" x14ac:dyDescent="0.4">
      <c r="A4341" s="103"/>
      <c r="B4341" s="103"/>
      <c r="C4341" s="103"/>
      <c r="D4341" s="103"/>
      <c r="E4341" s="103"/>
      <c r="F4341" s="103"/>
      <c r="G4341" s="103"/>
      <c r="H4341" s="103"/>
      <c r="I4341" s="103"/>
      <c r="J4341" s="103"/>
      <c r="K4341" s="103"/>
      <c r="L4341" s="103"/>
      <c r="M4341" s="104"/>
      <c r="N4341" s="103"/>
    </row>
    <row r="4342" spans="1:14" ht="45" customHeight="1" thickBot="1" x14ac:dyDescent="0.4">
      <c r="A4342" s="103"/>
      <c r="B4342" s="103"/>
      <c r="C4342" s="103"/>
      <c r="D4342" s="103"/>
      <c r="E4342" s="103"/>
      <c r="F4342" s="103"/>
      <c r="G4342" s="103"/>
      <c r="H4342" s="103"/>
      <c r="I4342" s="103"/>
      <c r="J4342" s="103"/>
      <c r="K4342" s="103"/>
      <c r="L4342" s="103"/>
      <c r="M4342" s="104"/>
      <c r="N4342" s="103"/>
    </row>
    <row r="4343" spans="1:14" ht="45" customHeight="1" thickBot="1" x14ac:dyDescent="0.4">
      <c r="A4343" s="103"/>
      <c r="B4343" s="103"/>
      <c r="C4343" s="103"/>
      <c r="D4343" s="103"/>
      <c r="E4343" s="103"/>
      <c r="F4343" s="103"/>
      <c r="G4343" s="103"/>
      <c r="H4343" s="103"/>
      <c r="I4343" s="103"/>
      <c r="J4343" s="103"/>
      <c r="K4343" s="103"/>
      <c r="L4343" s="103"/>
      <c r="M4343" s="104"/>
      <c r="N4343" s="103"/>
    </row>
    <row r="4344" spans="1:14" ht="45" customHeight="1" thickBot="1" x14ac:dyDescent="0.4">
      <c r="A4344" s="103"/>
      <c r="B4344" s="103"/>
      <c r="C4344" s="103"/>
      <c r="D4344" s="103"/>
      <c r="E4344" s="103"/>
      <c r="F4344" s="103"/>
      <c r="G4344" s="103"/>
      <c r="H4344" s="103"/>
      <c r="I4344" s="103"/>
      <c r="J4344" s="103"/>
      <c r="K4344" s="103"/>
      <c r="L4344" s="103"/>
      <c r="M4344" s="104"/>
      <c r="N4344" s="103"/>
    </row>
    <row r="4345" spans="1:14" ht="45" customHeight="1" thickBot="1" x14ac:dyDescent="0.4">
      <c r="A4345" s="103"/>
      <c r="B4345" s="103"/>
      <c r="C4345" s="103"/>
      <c r="D4345" s="103"/>
      <c r="E4345" s="103"/>
      <c r="F4345" s="103"/>
      <c r="G4345" s="103"/>
      <c r="H4345" s="103"/>
      <c r="I4345" s="103"/>
      <c r="J4345" s="103"/>
      <c r="K4345" s="103"/>
      <c r="L4345" s="103"/>
      <c r="M4345" s="104"/>
      <c r="N4345" s="103"/>
    </row>
    <row r="4346" spans="1:14" ht="45" customHeight="1" thickBot="1" x14ac:dyDescent="0.4">
      <c r="A4346" s="103"/>
      <c r="B4346" s="103"/>
      <c r="C4346" s="103"/>
      <c r="D4346" s="103"/>
      <c r="E4346" s="103"/>
      <c r="F4346" s="103"/>
      <c r="G4346" s="103"/>
      <c r="H4346" s="103"/>
      <c r="I4346" s="103"/>
      <c r="J4346" s="103"/>
      <c r="K4346" s="103"/>
      <c r="L4346" s="103"/>
      <c r="M4346" s="104"/>
      <c r="N4346" s="103"/>
    </row>
    <row r="4347" spans="1:14" ht="45" customHeight="1" thickBot="1" x14ac:dyDescent="0.4">
      <c r="A4347" s="103"/>
      <c r="B4347" s="103"/>
      <c r="C4347" s="103"/>
      <c r="D4347" s="103"/>
      <c r="E4347" s="103"/>
      <c r="F4347" s="103"/>
      <c r="G4347" s="103"/>
      <c r="H4347" s="103"/>
      <c r="I4347" s="103"/>
      <c r="J4347" s="103"/>
      <c r="K4347" s="103"/>
      <c r="L4347" s="103"/>
      <c r="M4347" s="104"/>
      <c r="N4347" s="103"/>
    </row>
    <row r="4348" spans="1:14" ht="45" customHeight="1" thickBot="1" x14ac:dyDescent="0.4">
      <c r="A4348" s="103"/>
      <c r="B4348" s="103"/>
      <c r="C4348" s="103"/>
      <c r="D4348" s="103"/>
      <c r="E4348" s="103"/>
      <c r="F4348" s="103"/>
      <c r="G4348" s="103"/>
      <c r="H4348" s="103"/>
      <c r="I4348" s="103"/>
      <c r="J4348" s="103"/>
      <c r="K4348" s="103"/>
      <c r="L4348" s="103"/>
      <c r="M4348" s="104"/>
      <c r="N4348" s="103"/>
    </row>
    <row r="4349" spans="1:14" ht="45" customHeight="1" thickBot="1" x14ac:dyDescent="0.4">
      <c r="A4349" s="103"/>
      <c r="B4349" s="103"/>
      <c r="C4349" s="103"/>
      <c r="D4349" s="103"/>
      <c r="E4349" s="103"/>
      <c r="F4349" s="103"/>
      <c r="G4349" s="103"/>
      <c r="H4349" s="103"/>
      <c r="I4349" s="103"/>
      <c r="J4349" s="103"/>
      <c r="K4349" s="103"/>
      <c r="L4349" s="103"/>
      <c r="M4349" s="104"/>
      <c r="N4349" s="103"/>
    </row>
    <row r="4350" spans="1:14" ht="45" customHeight="1" thickBot="1" x14ac:dyDescent="0.4">
      <c r="A4350" s="103"/>
      <c r="B4350" s="103"/>
      <c r="C4350" s="103"/>
      <c r="D4350" s="103"/>
      <c r="E4350" s="103"/>
      <c r="F4350" s="103"/>
      <c r="G4350" s="103"/>
      <c r="H4350" s="103"/>
      <c r="I4350" s="103"/>
      <c r="J4350" s="103"/>
      <c r="K4350" s="103"/>
      <c r="L4350" s="103"/>
      <c r="M4350" s="104"/>
      <c r="N4350" s="103"/>
    </row>
    <row r="4351" spans="1:14" ht="45" customHeight="1" thickBot="1" x14ac:dyDescent="0.4">
      <c r="A4351" s="103"/>
      <c r="B4351" s="103"/>
      <c r="C4351" s="103"/>
      <c r="D4351" s="103"/>
      <c r="E4351" s="103"/>
      <c r="F4351" s="103"/>
      <c r="G4351" s="103"/>
      <c r="H4351" s="103"/>
      <c r="I4351" s="103"/>
      <c r="J4351" s="103"/>
      <c r="K4351" s="103"/>
      <c r="L4351" s="103"/>
      <c r="M4351" s="104"/>
      <c r="N4351" s="103"/>
    </row>
    <row r="4352" spans="1:14" ht="45" customHeight="1" thickBot="1" x14ac:dyDescent="0.4">
      <c r="A4352" s="103"/>
      <c r="B4352" s="103"/>
      <c r="C4352" s="103"/>
      <c r="D4352" s="103"/>
      <c r="E4352" s="103"/>
      <c r="F4352" s="103"/>
      <c r="G4352" s="103"/>
      <c r="H4352" s="103"/>
      <c r="I4352" s="103"/>
      <c r="J4352" s="103"/>
      <c r="K4352" s="103"/>
      <c r="L4352" s="103"/>
      <c r="M4352" s="104"/>
      <c r="N4352" s="103"/>
    </row>
    <row r="4353" spans="1:14" ht="45" customHeight="1" thickBot="1" x14ac:dyDescent="0.4">
      <c r="A4353" s="103"/>
      <c r="B4353" s="103"/>
      <c r="C4353" s="103"/>
      <c r="D4353" s="103"/>
      <c r="E4353" s="103"/>
      <c r="F4353" s="103"/>
      <c r="G4353" s="103"/>
      <c r="H4353" s="103"/>
      <c r="I4353" s="103"/>
      <c r="J4353" s="103"/>
      <c r="K4353" s="103"/>
      <c r="L4353" s="103"/>
      <c r="M4353" s="104"/>
      <c r="N4353" s="103"/>
    </row>
    <row r="4354" spans="1:14" ht="45" customHeight="1" thickBot="1" x14ac:dyDescent="0.4">
      <c r="A4354" s="103"/>
      <c r="B4354" s="103"/>
      <c r="C4354" s="103"/>
      <c r="D4354" s="103"/>
      <c r="E4354" s="103"/>
      <c r="F4354" s="103"/>
      <c r="G4354" s="103"/>
      <c r="H4354" s="103"/>
      <c r="I4354" s="103"/>
      <c r="J4354" s="103"/>
      <c r="K4354" s="103"/>
      <c r="L4354" s="103"/>
      <c r="M4354" s="104"/>
      <c r="N4354" s="103"/>
    </row>
    <row r="4355" spans="1:14" ht="45" customHeight="1" thickBot="1" x14ac:dyDescent="0.4">
      <c r="A4355" s="103"/>
      <c r="B4355" s="103"/>
      <c r="C4355" s="103"/>
      <c r="D4355" s="103"/>
      <c r="E4355" s="103"/>
      <c r="F4355" s="103"/>
      <c r="G4355" s="103"/>
      <c r="H4355" s="103"/>
      <c r="I4355" s="103"/>
      <c r="J4355" s="103"/>
      <c r="K4355" s="103"/>
      <c r="L4355" s="103"/>
      <c r="M4355" s="104"/>
      <c r="N4355" s="103"/>
    </row>
    <row r="4356" spans="1:14" ht="45" customHeight="1" thickBot="1" x14ac:dyDescent="0.4">
      <c r="A4356" s="103"/>
      <c r="B4356" s="103"/>
      <c r="C4356" s="103"/>
      <c r="D4356" s="103"/>
      <c r="E4356" s="103"/>
      <c r="F4356" s="103"/>
      <c r="G4356" s="103"/>
      <c r="H4356" s="103"/>
      <c r="I4356" s="103"/>
      <c r="J4356" s="103"/>
      <c r="K4356" s="103"/>
      <c r="L4356" s="103"/>
      <c r="M4356" s="104"/>
      <c r="N4356" s="103"/>
    </row>
    <row r="4357" spans="1:14" ht="45" customHeight="1" thickBot="1" x14ac:dyDescent="0.4">
      <c r="A4357" s="103"/>
      <c r="B4357" s="103"/>
      <c r="C4357" s="103"/>
      <c r="D4357" s="103"/>
      <c r="E4357" s="103"/>
      <c r="F4357" s="103"/>
      <c r="G4357" s="103"/>
      <c r="H4357" s="103"/>
      <c r="I4357" s="103"/>
      <c r="J4357" s="103"/>
      <c r="K4357" s="103"/>
      <c r="L4357" s="103"/>
      <c r="M4357" s="104"/>
      <c r="N4357" s="103"/>
    </row>
    <row r="4358" spans="1:14" ht="45" customHeight="1" thickBot="1" x14ac:dyDescent="0.4">
      <c r="A4358" s="103"/>
      <c r="B4358" s="103"/>
      <c r="C4358" s="103"/>
      <c r="D4358" s="103"/>
      <c r="E4358" s="103"/>
      <c r="F4358" s="103"/>
      <c r="G4358" s="103"/>
      <c r="H4358" s="103"/>
      <c r="I4358" s="103"/>
      <c r="J4358" s="103"/>
      <c r="K4358" s="103"/>
      <c r="L4358" s="103"/>
      <c r="M4358" s="104"/>
      <c r="N4358" s="103"/>
    </row>
    <row r="4359" spans="1:14" ht="45" customHeight="1" thickBot="1" x14ac:dyDescent="0.4">
      <c r="A4359" s="103"/>
      <c r="B4359" s="103"/>
      <c r="C4359" s="103"/>
      <c r="D4359" s="103"/>
      <c r="E4359" s="103"/>
      <c r="F4359" s="103"/>
      <c r="G4359" s="103"/>
      <c r="H4359" s="103"/>
      <c r="I4359" s="103"/>
      <c r="J4359" s="103"/>
      <c r="K4359" s="103"/>
      <c r="L4359" s="103"/>
      <c r="M4359" s="104"/>
      <c r="N4359" s="103"/>
    </row>
    <row r="4360" spans="1:14" ht="45" customHeight="1" thickBot="1" x14ac:dyDescent="0.4">
      <c r="A4360" s="103"/>
      <c r="B4360" s="103"/>
      <c r="C4360" s="103"/>
      <c r="D4360" s="103"/>
      <c r="E4360" s="103"/>
      <c r="F4360" s="103"/>
      <c r="G4360" s="103"/>
      <c r="H4360" s="103"/>
      <c r="I4360" s="103"/>
      <c r="J4360" s="103"/>
      <c r="K4360" s="103"/>
      <c r="L4360" s="103"/>
      <c r="M4360" s="104"/>
      <c r="N4360" s="103"/>
    </row>
    <row r="4361" spans="1:14" ht="45" customHeight="1" thickBot="1" x14ac:dyDescent="0.4">
      <c r="A4361" s="103"/>
      <c r="B4361" s="103"/>
      <c r="C4361" s="103"/>
      <c r="D4361" s="103"/>
      <c r="E4361" s="103"/>
      <c r="F4361" s="103"/>
      <c r="G4361" s="103"/>
      <c r="H4361" s="103"/>
      <c r="I4361" s="103"/>
      <c r="J4361" s="103"/>
      <c r="K4361" s="103"/>
      <c r="L4361" s="103"/>
      <c r="M4361" s="104"/>
      <c r="N4361" s="103"/>
    </row>
    <row r="4362" spans="1:14" ht="45" customHeight="1" thickBot="1" x14ac:dyDescent="0.4">
      <c r="A4362" s="103"/>
      <c r="B4362" s="103"/>
      <c r="C4362" s="103"/>
      <c r="D4362" s="103"/>
      <c r="E4362" s="103"/>
      <c r="F4362" s="103"/>
      <c r="G4362" s="103"/>
      <c r="H4362" s="103"/>
      <c r="I4362" s="103"/>
      <c r="J4362" s="103"/>
      <c r="K4362" s="103"/>
      <c r="L4362" s="103"/>
      <c r="M4362" s="104"/>
      <c r="N4362" s="103"/>
    </row>
    <row r="4363" spans="1:14" ht="45" customHeight="1" thickBot="1" x14ac:dyDescent="0.4">
      <c r="A4363" s="103"/>
      <c r="B4363" s="103"/>
      <c r="C4363" s="103"/>
      <c r="D4363" s="103"/>
      <c r="E4363" s="103"/>
      <c r="F4363" s="103"/>
      <c r="G4363" s="103"/>
      <c r="H4363" s="103"/>
      <c r="I4363" s="103"/>
      <c r="J4363" s="103"/>
      <c r="K4363" s="103"/>
      <c r="L4363" s="103"/>
      <c r="M4363" s="104"/>
      <c r="N4363" s="103"/>
    </row>
    <row r="4364" spans="1:14" ht="45" customHeight="1" thickBot="1" x14ac:dyDescent="0.4">
      <c r="A4364" s="103"/>
      <c r="B4364" s="103"/>
      <c r="C4364" s="103"/>
      <c r="D4364" s="103"/>
      <c r="E4364" s="103"/>
      <c r="F4364" s="103"/>
      <c r="G4364" s="103"/>
      <c r="H4364" s="103"/>
      <c r="I4364" s="103"/>
      <c r="J4364" s="103"/>
      <c r="K4364" s="103"/>
      <c r="L4364" s="103"/>
      <c r="M4364" s="104"/>
      <c r="N4364" s="103"/>
    </row>
    <row r="4365" spans="1:14" ht="45" customHeight="1" thickBot="1" x14ac:dyDescent="0.4">
      <c r="A4365" s="103"/>
      <c r="B4365" s="103"/>
      <c r="C4365" s="103"/>
      <c r="D4365" s="103"/>
      <c r="E4365" s="103"/>
      <c r="F4365" s="103"/>
      <c r="G4365" s="103"/>
      <c r="H4365" s="103"/>
      <c r="I4365" s="103"/>
      <c r="J4365" s="103"/>
      <c r="K4365" s="103"/>
      <c r="L4365" s="103"/>
      <c r="M4365" s="104"/>
      <c r="N4365" s="103"/>
    </row>
    <row r="4366" spans="1:14" ht="45" customHeight="1" thickBot="1" x14ac:dyDescent="0.4">
      <c r="A4366" s="103"/>
      <c r="B4366" s="103"/>
      <c r="C4366" s="103"/>
      <c r="D4366" s="103"/>
      <c r="E4366" s="103"/>
      <c r="F4366" s="103"/>
      <c r="G4366" s="103"/>
      <c r="H4366" s="103"/>
      <c r="I4366" s="103"/>
      <c r="J4366" s="103"/>
      <c r="K4366" s="103"/>
      <c r="L4366" s="103"/>
      <c r="M4366" s="104"/>
      <c r="N4366" s="103"/>
    </row>
    <row r="4367" spans="1:14" ht="45" customHeight="1" thickBot="1" x14ac:dyDescent="0.4">
      <c r="A4367" s="103"/>
      <c r="B4367" s="103"/>
      <c r="C4367" s="103"/>
      <c r="D4367" s="103"/>
      <c r="E4367" s="103"/>
      <c r="F4367" s="103"/>
      <c r="G4367" s="103"/>
      <c r="H4367" s="103"/>
      <c r="I4367" s="103"/>
      <c r="J4367" s="103"/>
      <c r="K4367" s="103"/>
      <c r="L4367" s="103"/>
      <c r="M4367" s="104"/>
      <c r="N4367" s="103"/>
    </row>
    <row r="4368" spans="1:14" ht="45" customHeight="1" thickBot="1" x14ac:dyDescent="0.4">
      <c r="A4368" s="103"/>
      <c r="B4368" s="103"/>
      <c r="C4368" s="103"/>
      <c r="D4368" s="103"/>
      <c r="E4368" s="103"/>
      <c r="F4368" s="103"/>
      <c r="G4368" s="103"/>
      <c r="H4368" s="103"/>
      <c r="I4368" s="103"/>
      <c r="J4368" s="103"/>
      <c r="K4368" s="103"/>
      <c r="L4368" s="103"/>
      <c r="M4368" s="104"/>
      <c r="N4368" s="103"/>
    </row>
    <row r="4369" spans="1:14" ht="45" customHeight="1" thickBot="1" x14ac:dyDescent="0.4">
      <c r="A4369" s="103"/>
      <c r="B4369" s="103"/>
      <c r="C4369" s="103"/>
      <c r="D4369" s="103"/>
      <c r="E4369" s="103"/>
      <c r="F4369" s="103"/>
      <c r="G4369" s="103"/>
      <c r="H4369" s="103"/>
      <c r="I4369" s="103"/>
      <c r="J4369" s="103"/>
      <c r="K4369" s="103"/>
      <c r="L4369" s="103"/>
      <c r="M4369" s="104"/>
      <c r="N4369" s="103"/>
    </row>
    <row r="4370" spans="1:14" ht="45" customHeight="1" thickBot="1" x14ac:dyDescent="0.4">
      <c r="A4370" s="103"/>
      <c r="B4370" s="103"/>
      <c r="C4370" s="103"/>
      <c r="D4370" s="103"/>
      <c r="E4370" s="103"/>
      <c r="F4370" s="103"/>
      <c r="G4370" s="103"/>
      <c r="H4370" s="103"/>
      <c r="I4370" s="103"/>
      <c r="J4370" s="103"/>
      <c r="K4370" s="103"/>
      <c r="L4370" s="103"/>
      <c r="M4370" s="104"/>
      <c r="N4370" s="103"/>
    </row>
    <row r="4371" spans="1:14" ht="45" customHeight="1" thickBot="1" x14ac:dyDescent="0.4">
      <c r="A4371" s="103"/>
      <c r="B4371" s="103"/>
      <c r="C4371" s="103"/>
      <c r="D4371" s="103"/>
      <c r="E4371" s="103"/>
      <c r="F4371" s="103"/>
      <c r="G4371" s="103"/>
      <c r="H4371" s="103"/>
      <c r="I4371" s="103"/>
      <c r="J4371" s="103"/>
      <c r="K4371" s="103"/>
      <c r="L4371" s="103"/>
      <c r="M4371" s="104"/>
      <c r="N4371" s="103"/>
    </row>
    <row r="4372" spans="1:14" ht="45" customHeight="1" thickBot="1" x14ac:dyDescent="0.4">
      <c r="A4372" s="103"/>
      <c r="B4372" s="103"/>
      <c r="C4372" s="103"/>
      <c r="D4372" s="103"/>
      <c r="E4372" s="103"/>
      <c r="F4372" s="103"/>
      <c r="G4372" s="103"/>
      <c r="H4372" s="103"/>
      <c r="I4372" s="103"/>
      <c r="J4372" s="103"/>
      <c r="K4372" s="103"/>
      <c r="L4372" s="103"/>
      <c r="M4372" s="104"/>
      <c r="N4372" s="103"/>
    </row>
    <row r="4373" spans="1:14" ht="45" customHeight="1" thickBot="1" x14ac:dyDescent="0.4">
      <c r="A4373" s="103"/>
      <c r="B4373" s="103"/>
      <c r="C4373" s="103"/>
      <c r="D4373" s="103"/>
      <c r="E4373" s="103"/>
      <c r="F4373" s="103"/>
      <c r="G4373" s="103"/>
      <c r="H4373" s="103"/>
      <c r="I4373" s="103"/>
      <c r="J4373" s="103"/>
      <c r="K4373" s="103"/>
      <c r="L4373" s="103"/>
      <c r="M4373" s="104"/>
      <c r="N4373" s="103"/>
    </row>
    <row r="4374" spans="1:14" ht="45" customHeight="1" thickBot="1" x14ac:dyDescent="0.4">
      <c r="A4374" s="103"/>
      <c r="B4374" s="103"/>
      <c r="C4374" s="103"/>
      <c r="D4374" s="103"/>
      <c r="E4374" s="103"/>
      <c r="F4374" s="103"/>
      <c r="G4374" s="103"/>
      <c r="H4374" s="103"/>
      <c r="I4374" s="103"/>
      <c r="J4374" s="103"/>
      <c r="K4374" s="103"/>
      <c r="L4374" s="103"/>
      <c r="M4374" s="104"/>
      <c r="N4374" s="103"/>
    </row>
    <row r="4375" spans="1:14" ht="45" customHeight="1" thickBot="1" x14ac:dyDescent="0.4">
      <c r="A4375" s="103"/>
      <c r="B4375" s="103"/>
      <c r="C4375" s="103"/>
      <c r="D4375" s="103"/>
      <c r="E4375" s="103"/>
      <c r="F4375" s="103"/>
      <c r="G4375" s="103"/>
      <c r="H4375" s="103"/>
      <c r="I4375" s="103"/>
      <c r="J4375" s="103"/>
      <c r="K4375" s="103"/>
      <c r="L4375" s="103"/>
      <c r="M4375" s="104"/>
      <c r="N4375" s="103"/>
    </row>
    <row r="4376" spans="1:14" ht="45" customHeight="1" thickBot="1" x14ac:dyDescent="0.4">
      <c r="A4376" s="103"/>
      <c r="B4376" s="103"/>
      <c r="C4376" s="103"/>
      <c r="D4376" s="103"/>
      <c r="E4376" s="103"/>
      <c r="F4376" s="103"/>
      <c r="G4376" s="103"/>
      <c r="H4376" s="103"/>
      <c r="I4376" s="103"/>
      <c r="J4376" s="103"/>
      <c r="K4376" s="103"/>
      <c r="L4376" s="103"/>
      <c r="M4376" s="104"/>
      <c r="N4376" s="103"/>
    </row>
    <row r="4377" spans="1:14" ht="45" customHeight="1" thickBot="1" x14ac:dyDescent="0.4">
      <c r="A4377" s="103"/>
      <c r="B4377" s="103"/>
      <c r="C4377" s="103"/>
      <c r="D4377" s="103"/>
      <c r="E4377" s="103"/>
      <c r="F4377" s="103"/>
      <c r="G4377" s="103"/>
      <c r="H4377" s="103"/>
      <c r="I4377" s="103"/>
      <c r="J4377" s="103"/>
      <c r="K4377" s="103"/>
      <c r="L4377" s="103"/>
      <c r="M4377" s="104"/>
      <c r="N4377" s="103"/>
    </row>
    <row r="4378" spans="1:14" ht="45" customHeight="1" thickBot="1" x14ac:dyDescent="0.4">
      <c r="A4378" s="103"/>
      <c r="B4378" s="103"/>
      <c r="C4378" s="103"/>
      <c r="D4378" s="103"/>
      <c r="E4378" s="103"/>
      <c r="F4378" s="103"/>
      <c r="G4378" s="103"/>
      <c r="H4378" s="103"/>
      <c r="I4378" s="103"/>
      <c r="J4378" s="103"/>
      <c r="K4378" s="103"/>
      <c r="L4378" s="103"/>
      <c r="M4378" s="104"/>
      <c r="N4378" s="103"/>
    </row>
    <row r="4379" spans="1:14" ht="45" customHeight="1" thickBot="1" x14ac:dyDescent="0.4">
      <c r="A4379" s="103"/>
      <c r="B4379" s="103"/>
      <c r="C4379" s="103"/>
      <c r="D4379" s="103"/>
      <c r="E4379" s="103"/>
      <c r="F4379" s="103"/>
      <c r="G4379" s="103"/>
      <c r="H4379" s="103"/>
      <c r="I4379" s="103"/>
      <c r="J4379" s="103"/>
      <c r="K4379" s="103"/>
      <c r="L4379" s="103"/>
      <c r="M4379" s="104"/>
      <c r="N4379" s="103"/>
    </row>
    <row r="4380" spans="1:14" ht="45" customHeight="1" thickBot="1" x14ac:dyDescent="0.4">
      <c r="A4380" s="103"/>
      <c r="B4380" s="103"/>
      <c r="C4380" s="103"/>
      <c r="D4380" s="103"/>
      <c r="E4380" s="103"/>
      <c r="F4380" s="103"/>
      <c r="G4380" s="103"/>
      <c r="H4380" s="103"/>
      <c r="I4380" s="103"/>
      <c r="J4380" s="103"/>
      <c r="K4380" s="103"/>
      <c r="L4380" s="103"/>
      <c r="M4380" s="104"/>
      <c r="N4380" s="103"/>
    </row>
    <row r="4381" spans="1:14" ht="45" customHeight="1" thickBot="1" x14ac:dyDescent="0.4">
      <c r="A4381" s="103"/>
      <c r="B4381" s="103"/>
      <c r="C4381" s="103"/>
      <c r="D4381" s="103"/>
      <c r="E4381" s="103"/>
      <c r="F4381" s="103"/>
      <c r="G4381" s="103"/>
      <c r="H4381" s="103"/>
      <c r="I4381" s="103"/>
      <c r="J4381" s="103"/>
      <c r="K4381" s="103"/>
      <c r="L4381" s="103"/>
      <c r="M4381" s="104"/>
      <c r="N4381" s="103"/>
    </row>
    <row r="4382" spans="1:14" ht="45" customHeight="1" thickBot="1" x14ac:dyDescent="0.4">
      <c r="A4382" s="103"/>
      <c r="B4382" s="103"/>
      <c r="C4382" s="103"/>
      <c r="D4382" s="103"/>
      <c r="E4382" s="103"/>
      <c r="F4382" s="103"/>
      <c r="G4382" s="103"/>
      <c r="H4382" s="103"/>
      <c r="I4382" s="103"/>
      <c r="J4382" s="103"/>
      <c r="K4382" s="103"/>
      <c r="L4382" s="103"/>
      <c r="M4382" s="104"/>
      <c r="N4382" s="103"/>
    </row>
    <row r="4383" spans="1:14" ht="45" customHeight="1" thickBot="1" x14ac:dyDescent="0.4">
      <c r="A4383" s="103"/>
      <c r="B4383" s="103"/>
      <c r="C4383" s="103"/>
      <c r="D4383" s="103"/>
      <c r="E4383" s="103"/>
      <c r="F4383" s="103"/>
      <c r="G4383" s="103"/>
      <c r="H4383" s="103"/>
      <c r="I4383" s="103"/>
      <c r="J4383" s="103"/>
      <c r="K4383" s="103"/>
      <c r="L4383" s="103"/>
      <c r="M4383" s="104"/>
      <c r="N4383" s="103"/>
    </row>
    <row r="4384" spans="1:14" ht="45" customHeight="1" thickBot="1" x14ac:dyDescent="0.4">
      <c r="A4384" s="103"/>
      <c r="B4384" s="103"/>
      <c r="C4384" s="103"/>
      <c r="D4384" s="103"/>
      <c r="E4384" s="103"/>
      <c r="F4384" s="103"/>
      <c r="G4384" s="103"/>
      <c r="H4384" s="103"/>
      <c r="I4384" s="103"/>
      <c r="J4384" s="103"/>
      <c r="K4384" s="103"/>
      <c r="L4384" s="103"/>
      <c r="M4384" s="104"/>
      <c r="N4384" s="103"/>
    </row>
    <row r="4385" spans="1:14" ht="45" customHeight="1" thickBot="1" x14ac:dyDescent="0.4">
      <c r="A4385" s="103"/>
      <c r="B4385" s="103"/>
      <c r="C4385" s="103"/>
      <c r="D4385" s="103"/>
      <c r="E4385" s="103"/>
      <c r="F4385" s="103"/>
      <c r="G4385" s="103"/>
      <c r="H4385" s="103"/>
      <c r="I4385" s="103"/>
      <c r="J4385" s="103"/>
      <c r="K4385" s="103"/>
      <c r="L4385" s="103"/>
      <c r="M4385" s="104"/>
      <c r="N4385" s="103"/>
    </row>
    <row r="4386" spans="1:14" ht="45" customHeight="1" thickBot="1" x14ac:dyDescent="0.4">
      <c r="A4386" s="103"/>
      <c r="B4386" s="103"/>
      <c r="C4386" s="103"/>
      <c r="D4386" s="103"/>
      <c r="E4386" s="103"/>
      <c r="F4386" s="103"/>
      <c r="G4386" s="103"/>
      <c r="H4386" s="103"/>
      <c r="I4386" s="103"/>
      <c r="J4386" s="103"/>
      <c r="K4386" s="103"/>
      <c r="L4386" s="103"/>
      <c r="M4386" s="104"/>
      <c r="N4386" s="103"/>
    </row>
    <row r="4387" spans="1:14" ht="45" customHeight="1" thickBot="1" x14ac:dyDescent="0.4">
      <c r="A4387" s="103"/>
      <c r="B4387" s="103"/>
      <c r="C4387" s="103"/>
      <c r="D4387" s="103"/>
      <c r="E4387" s="103"/>
      <c r="F4387" s="103"/>
      <c r="G4387" s="103"/>
      <c r="H4387" s="103"/>
      <c r="I4387" s="103"/>
      <c r="J4387" s="103"/>
      <c r="K4387" s="103"/>
      <c r="L4387" s="103"/>
      <c r="M4387" s="104"/>
      <c r="N4387" s="103"/>
    </row>
    <row r="4388" spans="1:14" ht="45" customHeight="1" thickBot="1" x14ac:dyDescent="0.4">
      <c r="A4388" s="103"/>
      <c r="B4388" s="103"/>
      <c r="C4388" s="103"/>
      <c r="D4388" s="103"/>
      <c r="E4388" s="103"/>
      <c r="F4388" s="103"/>
      <c r="G4388" s="103"/>
      <c r="H4388" s="103"/>
      <c r="I4388" s="103"/>
      <c r="J4388" s="103"/>
      <c r="K4388" s="103"/>
      <c r="L4388" s="103"/>
      <c r="M4388" s="104"/>
      <c r="N4388" s="103"/>
    </row>
    <row r="4389" spans="1:14" ht="45" customHeight="1" thickBot="1" x14ac:dyDescent="0.4">
      <c r="A4389" s="103"/>
      <c r="B4389" s="103"/>
      <c r="C4389" s="103"/>
      <c r="D4389" s="103"/>
      <c r="E4389" s="103"/>
      <c r="F4389" s="103"/>
      <c r="G4389" s="103"/>
      <c r="H4389" s="103"/>
      <c r="I4389" s="103"/>
      <c r="J4389" s="103"/>
      <c r="K4389" s="103"/>
      <c r="L4389" s="103"/>
      <c r="M4389" s="104"/>
      <c r="N4389" s="103"/>
    </row>
    <row r="4390" spans="1:14" ht="45" customHeight="1" thickBot="1" x14ac:dyDescent="0.4">
      <c r="A4390" s="103"/>
      <c r="B4390" s="103"/>
      <c r="C4390" s="103"/>
      <c r="D4390" s="103"/>
      <c r="E4390" s="103"/>
      <c r="F4390" s="103"/>
      <c r="G4390" s="103"/>
      <c r="H4390" s="103"/>
      <c r="I4390" s="103"/>
      <c r="J4390" s="103"/>
      <c r="K4390" s="103"/>
      <c r="L4390" s="103"/>
      <c r="M4390" s="104"/>
      <c r="N4390" s="103"/>
    </row>
    <row r="4391" spans="1:14" ht="45" customHeight="1" thickBot="1" x14ac:dyDescent="0.4">
      <c r="A4391" s="103"/>
      <c r="B4391" s="103"/>
      <c r="C4391" s="103"/>
      <c r="D4391" s="103"/>
      <c r="E4391" s="103"/>
      <c r="F4391" s="103"/>
      <c r="G4391" s="103"/>
      <c r="H4391" s="103"/>
      <c r="I4391" s="103"/>
      <c r="J4391" s="103"/>
      <c r="K4391" s="103"/>
      <c r="L4391" s="103"/>
      <c r="M4391" s="104"/>
      <c r="N4391" s="103"/>
    </row>
    <row r="4392" spans="1:14" ht="45" customHeight="1" thickBot="1" x14ac:dyDescent="0.4">
      <c r="A4392" s="103"/>
      <c r="B4392" s="103"/>
      <c r="C4392" s="103"/>
      <c r="D4392" s="103"/>
      <c r="E4392" s="103"/>
      <c r="F4392" s="103"/>
      <c r="G4392" s="103"/>
      <c r="H4392" s="103"/>
      <c r="I4392" s="103"/>
      <c r="J4392" s="103"/>
      <c r="K4392" s="103"/>
      <c r="L4392" s="103"/>
      <c r="M4392" s="104"/>
      <c r="N4392" s="103"/>
    </row>
    <row r="4393" spans="1:14" ht="45" customHeight="1" thickBot="1" x14ac:dyDescent="0.4">
      <c r="A4393" s="103"/>
      <c r="B4393" s="103"/>
      <c r="C4393" s="103"/>
      <c r="D4393" s="103"/>
      <c r="E4393" s="103"/>
      <c r="F4393" s="103"/>
      <c r="G4393" s="103"/>
      <c r="H4393" s="103"/>
      <c r="I4393" s="103"/>
      <c r="J4393" s="103"/>
      <c r="K4393" s="103"/>
      <c r="L4393" s="103"/>
      <c r="M4393" s="104"/>
      <c r="N4393" s="103"/>
    </row>
    <row r="4394" spans="1:14" ht="45" customHeight="1" thickBot="1" x14ac:dyDescent="0.4">
      <c r="A4394" s="103"/>
      <c r="B4394" s="103"/>
      <c r="C4394" s="103"/>
      <c r="D4394" s="103"/>
      <c r="E4394" s="103"/>
      <c r="F4394" s="103"/>
      <c r="G4394" s="103"/>
      <c r="H4394" s="103"/>
      <c r="I4394" s="103"/>
      <c r="J4394" s="103"/>
      <c r="K4394" s="103"/>
      <c r="L4394" s="103"/>
      <c r="M4394" s="104"/>
      <c r="N4394" s="103"/>
    </row>
    <row r="4395" spans="1:14" ht="45" customHeight="1" thickBot="1" x14ac:dyDescent="0.4">
      <c r="A4395" s="103"/>
      <c r="B4395" s="103"/>
      <c r="C4395" s="103"/>
      <c r="D4395" s="103"/>
      <c r="E4395" s="103"/>
      <c r="F4395" s="103"/>
      <c r="G4395" s="103"/>
      <c r="H4395" s="103"/>
      <c r="I4395" s="103"/>
      <c r="J4395" s="103"/>
      <c r="K4395" s="103"/>
      <c r="L4395" s="103"/>
      <c r="M4395" s="104"/>
      <c r="N4395" s="103"/>
    </row>
    <row r="4396" spans="1:14" ht="45" customHeight="1" thickBot="1" x14ac:dyDescent="0.4">
      <c r="A4396" s="103"/>
      <c r="B4396" s="103"/>
      <c r="C4396" s="103"/>
      <c r="D4396" s="103"/>
      <c r="E4396" s="103"/>
      <c r="F4396" s="103"/>
      <c r="G4396" s="103"/>
      <c r="H4396" s="103"/>
      <c r="I4396" s="103"/>
      <c r="J4396" s="103"/>
      <c r="K4396" s="103"/>
      <c r="L4396" s="103"/>
      <c r="M4396" s="104"/>
      <c r="N4396" s="103"/>
    </row>
    <row r="4397" spans="1:14" ht="45" customHeight="1" thickBot="1" x14ac:dyDescent="0.4">
      <c r="A4397" s="103"/>
      <c r="B4397" s="103"/>
      <c r="C4397" s="103"/>
      <c r="D4397" s="103"/>
      <c r="E4397" s="103"/>
      <c r="F4397" s="103"/>
      <c r="G4397" s="103"/>
      <c r="H4397" s="103"/>
      <c r="I4397" s="103"/>
      <c r="J4397" s="103"/>
      <c r="K4397" s="103"/>
      <c r="L4397" s="103"/>
      <c r="M4397" s="104"/>
      <c r="N4397" s="103"/>
    </row>
    <row r="4398" spans="1:14" ht="45" customHeight="1" thickBot="1" x14ac:dyDescent="0.4">
      <c r="A4398" s="103"/>
      <c r="B4398" s="103"/>
      <c r="C4398" s="103"/>
      <c r="D4398" s="103"/>
      <c r="E4398" s="103"/>
      <c r="F4398" s="103"/>
      <c r="G4398" s="103"/>
      <c r="H4398" s="103"/>
      <c r="I4398" s="103"/>
      <c r="J4398" s="103"/>
      <c r="K4398" s="103"/>
      <c r="L4398" s="103"/>
      <c r="M4398" s="104"/>
      <c r="N4398" s="103"/>
    </row>
    <row r="4399" spans="1:14" ht="45" customHeight="1" thickBot="1" x14ac:dyDescent="0.4">
      <c r="A4399" s="103"/>
      <c r="B4399" s="103"/>
      <c r="C4399" s="103"/>
      <c r="D4399" s="103"/>
      <c r="E4399" s="103"/>
      <c r="F4399" s="103"/>
      <c r="G4399" s="103"/>
      <c r="H4399" s="103"/>
      <c r="I4399" s="103"/>
      <c r="J4399" s="103"/>
      <c r="K4399" s="103"/>
      <c r="L4399" s="103"/>
      <c r="M4399" s="104"/>
      <c r="N4399" s="103"/>
    </row>
    <row r="4400" spans="1:14" ht="45" customHeight="1" thickBot="1" x14ac:dyDescent="0.4">
      <c r="A4400" s="103"/>
      <c r="B4400" s="103"/>
      <c r="C4400" s="103"/>
      <c r="D4400" s="103"/>
      <c r="E4400" s="103"/>
      <c r="F4400" s="103"/>
      <c r="G4400" s="103"/>
      <c r="H4400" s="103"/>
      <c r="I4400" s="103"/>
      <c r="J4400" s="103"/>
      <c r="K4400" s="103"/>
      <c r="L4400" s="103"/>
      <c r="M4400" s="104"/>
      <c r="N4400" s="103"/>
    </row>
    <row r="4401" spans="1:14" ht="45" customHeight="1" thickBot="1" x14ac:dyDescent="0.4">
      <c r="A4401" s="103"/>
      <c r="B4401" s="103"/>
      <c r="C4401" s="103"/>
      <c r="D4401" s="103"/>
      <c r="E4401" s="103"/>
      <c r="F4401" s="103"/>
      <c r="G4401" s="103"/>
      <c r="H4401" s="103"/>
      <c r="I4401" s="103"/>
      <c r="J4401" s="103"/>
      <c r="K4401" s="103"/>
      <c r="L4401" s="103"/>
      <c r="M4401" s="104"/>
      <c r="N4401" s="103"/>
    </row>
    <row r="4402" spans="1:14" ht="45" customHeight="1" thickBot="1" x14ac:dyDescent="0.4">
      <c r="A4402" s="103"/>
      <c r="B4402" s="103"/>
      <c r="C4402" s="103"/>
      <c r="D4402" s="103"/>
      <c r="E4402" s="103"/>
      <c r="F4402" s="103"/>
      <c r="G4402" s="103"/>
      <c r="H4402" s="103"/>
      <c r="I4402" s="103"/>
      <c r="J4402" s="103"/>
      <c r="K4402" s="103"/>
      <c r="L4402" s="103"/>
      <c r="M4402" s="104"/>
      <c r="N4402" s="103"/>
    </row>
    <row r="4403" spans="1:14" ht="45" customHeight="1" thickBot="1" x14ac:dyDescent="0.4">
      <c r="A4403" s="103"/>
      <c r="B4403" s="103"/>
      <c r="C4403" s="103"/>
      <c r="D4403" s="103"/>
      <c r="E4403" s="103"/>
      <c r="F4403" s="103"/>
      <c r="G4403" s="103"/>
      <c r="H4403" s="103"/>
      <c r="I4403" s="103"/>
      <c r="J4403" s="103"/>
      <c r="K4403" s="103"/>
      <c r="L4403" s="103"/>
      <c r="M4403" s="104"/>
      <c r="N4403" s="103"/>
    </row>
    <row r="4404" spans="1:14" ht="45" customHeight="1" thickBot="1" x14ac:dyDescent="0.4">
      <c r="A4404" s="103"/>
      <c r="B4404" s="103"/>
      <c r="C4404" s="103"/>
      <c r="D4404" s="103"/>
      <c r="E4404" s="103"/>
      <c r="F4404" s="103"/>
      <c r="G4404" s="103"/>
      <c r="H4404" s="103"/>
      <c r="I4404" s="103"/>
      <c r="J4404" s="103"/>
      <c r="K4404" s="103"/>
      <c r="L4404" s="103"/>
      <c r="M4404" s="104"/>
      <c r="N4404" s="103"/>
    </row>
    <row r="4405" spans="1:14" ht="45" customHeight="1" thickBot="1" x14ac:dyDescent="0.4">
      <c r="A4405" s="103"/>
      <c r="B4405" s="103"/>
      <c r="C4405" s="103"/>
      <c r="D4405" s="103"/>
      <c r="E4405" s="103"/>
      <c r="F4405" s="103"/>
      <c r="G4405" s="103"/>
      <c r="H4405" s="103"/>
      <c r="I4405" s="103"/>
      <c r="J4405" s="103"/>
      <c r="K4405" s="103"/>
      <c r="L4405" s="103"/>
      <c r="M4405" s="104"/>
      <c r="N4405" s="103"/>
    </row>
    <row r="4406" spans="1:14" ht="45" customHeight="1" thickBot="1" x14ac:dyDescent="0.4">
      <c r="A4406" s="103"/>
      <c r="B4406" s="103"/>
      <c r="C4406" s="103"/>
      <c r="D4406" s="103"/>
      <c r="E4406" s="103"/>
      <c r="F4406" s="103"/>
      <c r="G4406" s="103"/>
      <c r="H4406" s="103"/>
      <c r="I4406" s="103"/>
      <c r="J4406" s="103"/>
      <c r="K4406" s="103"/>
      <c r="L4406" s="103"/>
      <c r="M4406" s="104"/>
      <c r="N4406" s="103"/>
    </row>
    <row r="4407" spans="1:14" ht="45" customHeight="1" thickBot="1" x14ac:dyDescent="0.4">
      <c r="A4407" s="103"/>
      <c r="B4407" s="103"/>
      <c r="C4407" s="103"/>
      <c r="D4407" s="103"/>
      <c r="E4407" s="103"/>
      <c r="F4407" s="103"/>
      <c r="G4407" s="103"/>
      <c r="H4407" s="103"/>
      <c r="I4407" s="103"/>
      <c r="J4407" s="103"/>
      <c r="K4407" s="103"/>
      <c r="L4407" s="103"/>
      <c r="M4407" s="104"/>
      <c r="N4407" s="103"/>
    </row>
    <row r="4408" spans="1:14" ht="45" customHeight="1" thickBot="1" x14ac:dyDescent="0.4">
      <c r="A4408" s="103"/>
      <c r="B4408" s="103"/>
      <c r="C4408" s="103"/>
      <c r="D4408" s="103"/>
      <c r="E4408" s="103"/>
      <c r="F4408" s="103"/>
      <c r="G4408" s="103"/>
      <c r="H4408" s="103"/>
      <c r="I4408" s="103"/>
      <c r="J4408" s="103"/>
      <c r="K4408" s="103"/>
      <c r="L4408" s="103"/>
      <c r="M4408" s="104"/>
      <c r="N4408" s="103"/>
    </row>
    <row r="4409" spans="1:14" ht="45" customHeight="1" thickBot="1" x14ac:dyDescent="0.4">
      <c r="A4409" s="103"/>
      <c r="B4409" s="103"/>
      <c r="C4409" s="103"/>
      <c r="D4409" s="103"/>
      <c r="E4409" s="103"/>
      <c r="F4409" s="103"/>
      <c r="G4409" s="103"/>
      <c r="H4409" s="103"/>
      <c r="I4409" s="103"/>
      <c r="J4409" s="103"/>
      <c r="K4409" s="103"/>
      <c r="L4409" s="103"/>
      <c r="M4409" s="104"/>
      <c r="N4409" s="103"/>
    </row>
    <row r="4410" spans="1:14" ht="45" customHeight="1" thickBot="1" x14ac:dyDescent="0.4">
      <c r="A4410" s="103"/>
      <c r="B4410" s="103"/>
      <c r="C4410" s="103"/>
      <c r="D4410" s="103"/>
      <c r="E4410" s="103"/>
      <c r="F4410" s="103"/>
      <c r="G4410" s="103"/>
      <c r="H4410" s="103"/>
      <c r="I4410" s="103"/>
      <c r="J4410" s="103"/>
      <c r="K4410" s="103"/>
      <c r="L4410" s="103"/>
      <c r="M4410" s="104"/>
      <c r="N4410" s="103"/>
    </row>
    <row r="4411" spans="1:14" ht="45" customHeight="1" thickBot="1" x14ac:dyDescent="0.4">
      <c r="A4411" s="103"/>
      <c r="B4411" s="103"/>
      <c r="C4411" s="103"/>
      <c r="D4411" s="103"/>
      <c r="E4411" s="103"/>
      <c r="F4411" s="103"/>
      <c r="G4411" s="103"/>
      <c r="H4411" s="103"/>
      <c r="I4411" s="103"/>
      <c r="J4411" s="103"/>
      <c r="K4411" s="103"/>
      <c r="L4411" s="103"/>
      <c r="M4411" s="104"/>
      <c r="N4411" s="103"/>
    </row>
    <row r="4412" spans="1:14" ht="45" customHeight="1" thickBot="1" x14ac:dyDescent="0.4">
      <c r="A4412" s="103"/>
      <c r="B4412" s="103"/>
      <c r="C4412" s="103"/>
      <c r="D4412" s="103"/>
      <c r="E4412" s="103"/>
      <c r="F4412" s="103"/>
      <c r="G4412" s="103"/>
      <c r="H4412" s="103"/>
      <c r="I4412" s="103"/>
      <c r="J4412" s="103"/>
      <c r="K4412" s="103"/>
      <c r="L4412" s="103"/>
      <c r="M4412" s="104"/>
      <c r="N4412" s="103"/>
    </row>
    <row r="4413" spans="1:14" ht="45" customHeight="1" thickBot="1" x14ac:dyDescent="0.4">
      <c r="A4413" s="103"/>
      <c r="B4413" s="103"/>
      <c r="C4413" s="103"/>
      <c r="D4413" s="103"/>
      <c r="E4413" s="103"/>
      <c r="F4413" s="103"/>
      <c r="G4413" s="103"/>
      <c r="H4413" s="103"/>
      <c r="I4413" s="103"/>
      <c r="J4413" s="103"/>
      <c r="K4413" s="103"/>
      <c r="L4413" s="103"/>
      <c r="M4413" s="104"/>
      <c r="N4413" s="103"/>
    </row>
    <row r="4414" spans="1:14" ht="45" customHeight="1" thickBot="1" x14ac:dyDescent="0.4">
      <c r="A4414" s="103"/>
      <c r="B4414" s="103"/>
      <c r="C4414" s="103"/>
      <c r="D4414" s="103"/>
      <c r="E4414" s="103"/>
      <c r="F4414" s="103"/>
      <c r="G4414" s="103"/>
      <c r="H4414" s="103"/>
      <c r="I4414" s="103"/>
      <c r="J4414" s="103"/>
      <c r="K4414" s="103"/>
      <c r="L4414" s="103"/>
      <c r="M4414" s="104"/>
      <c r="N4414" s="103"/>
    </row>
    <row r="4415" spans="1:14" ht="45" customHeight="1" thickBot="1" x14ac:dyDescent="0.4">
      <c r="A4415" s="103"/>
      <c r="B4415" s="103"/>
      <c r="C4415" s="103"/>
      <c r="D4415" s="103"/>
      <c r="E4415" s="103"/>
      <c r="F4415" s="103"/>
      <c r="G4415" s="103"/>
      <c r="H4415" s="103"/>
      <c r="I4415" s="103"/>
      <c r="J4415" s="103"/>
      <c r="K4415" s="103"/>
      <c r="L4415" s="103"/>
      <c r="M4415" s="104"/>
      <c r="N4415" s="103"/>
    </row>
    <row r="4416" spans="1:14" ht="45" customHeight="1" thickBot="1" x14ac:dyDescent="0.4">
      <c r="A4416" s="103"/>
      <c r="B4416" s="103"/>
      <c r="C4416" s="103"/>
      <c r="D4416" s="103"/>
      <c r="E4416" s="103"/>
      <c r="F4416" s="103"/>
      <c r="G4416" s="103"/>
      <c r="H4416" s="103"/>
      <c r="I4416" s="103"/>
      <c r="J4416" s="103"/>
      <c r="K4416" s="103"/>
      <c r="L4416" s="103"/>
      <c r="M4416" s="104"/>
      <c r="N4416" s="103"/>
    </row>
    <row r="4417" spans="1:14" ht="45" customHeight="1" thickBot="1" x14ac:dyDescent="0.4">
      <c r="A4417" s="103"/>
      <c r="B4417" s="103"/>
      <c r="C4417" s="103"/>
      <c r="D4417" s="103"/>
      <c r="E4417" s="103"/>
      <c r="F4417" s="103"/>
      <c r="G4417" s="103"/>
      <c r="H4417" s="103"/>
      <c r="I4417" s="103"/>
      <c r="J4417" s="103"/>
      <c r="K4417" s="103"/>
      <c r="L4417" s="103"/>
      <c r="M4417" s="104"/>
      <c r="N4417" s="103"/>
    </row>
    <row r="4418" spans="1:14" ht="45" customHeight="1" thickBot="1" x14ac:dyDescent="0.4">
      <c r="A4418" s="103"/>
      <c r="B4418" s="103"/>
      <c r="C4418" s="103"/>
      <c r="D4418" s="103"/>
      <c r="E4418" s="103"/>
      <c r="F4418" s="103"/>
      <c r="G4418" s="103"/>
      <c r="H4418" s="103"/>
      <c r="I4418" s="103"/>
      <c r="J4418" s="103"/>
      <c r="K4418" s="103"/>
      <c r="L4418" s="103"/>
      <c r="M4418" s="104"/>
      <c r="N4418" s="103"/>
    </row>
    <row r="4419" spans="1:14" ht="45" customHeight="1" thickBot="1" x14ac:dyDescent="0.4">
      <c r="A4419" s="103"/>
      <c r="B4419" s="103"/>
      <c r="C4419" s="103"/>
      <c r="D4419" s="103"/>
      <c r="E4419" s="103"/>
      <c r="F4419" s="103"/>
      <c r="G4419" s="103"/>
      <c r="H4419" s="103"/>
      <c r="I4419" s="103"/>
      <c r="J4419" s="103"/>
      <c r="K4419" s="103"/>
      <c r="L4419" s="103"/>
      <c r="M4419" s="104"/>
      <c r="N4419" s="103"/>
    </row>
    <row r="4420" spans="1:14" ht="45" customHeight="1" thickBot="1" x14ac:dyDescent="0.4">
      <c r="A4420" s="103"/>
      <c r="B4420" s="103"/>
      <c r="C4420" s="103"/>
      <c r="D4420" s="103"/>
      <c r="E4420" s="103"/>
      <c r="F4420" s="103"/>
      <c r="G4420" s="103"/>
      <c r="H4420" s="103"/>
      <c r="I4420" s="103"/>
      <c r="J4420" s="103"/>
      <c r="K4420" s="103"/>
      <c r="L4420" s="103"/>
      <c r="M4420" s="104"/>
      <c r="N4420" s="103"/>
    </row>
    <row r="4421" spans="1:14" ht="45" customHeight="1" thickBot="1" x14ac:dyDescent="0.4">
      <c r="A4421" s="103"/>
      <c r="B4421" s="103"/>
      <c r="C4421" s="103"/>
      <c r="D4421" s="103"/>
      <c r="E4421" s="103"/>
      <c r="F4421" s="103"/>
      <c r="G4421" s="103"/>
      <c r="H4421" s="103"/>
      <c r="I4421" s="103"/>
      <c r="J4421" s="103"/>
      <c r="K4421" s="103"/>
      <c r="L4421" s="103"/>
      <c r="M4421" s="104"/>
      <c r="N4421" s="103"/>
    </row>
    <row r="4422" spans="1:14" ht="45" customHeight="1" thickBot="1" x14ac:dyDescent="0.4">
      <c r="A4422" s="103"/>
      <c r="B4422" s="103"/>
      <c r="C4422" s="103"/>
      <c r="D4422" s="103"/>
      <c r="E4422" s="103"/>
      <c r="F4422" s="103"/>
      <c r="G4422" s="103"/>
      <c r="H4422" s="103"/>
      <c r="I4422" s="103"/>
      <c r="J4422" s="103"/>
      <c r="K4422" s="103"/>
      <c r="L4422" s="103"/>
      <c r="M4422" s="104"/>
      <c r="N4422" s="103"/>
    </row>
    <row r="4423" spans="1:14" ht="45" customHeight="1" thickBot="1" x14ac:dyDescent="0.4">
      <c r="A4423" s="103"/>
      <c r="B4423" s="103"/>
      <c r="C4423" s="103"/>
      <c r="D4423" s="103"/>
      <c r="E4423" s="103"/>
      <c r="F4423" s="103"/>
      <c r="G4423" s="103"/>
      <c r="H4423" s="103"/>
      <c r="I4423" s="103"/>
      <c r="J4423" s="103"/>
      <c r="K4423" s="103"/>
      <c r="L4423" s="103"/>
      <c r="M4423" s="104"/>
      <c r="N4423" s="103"/>
    </row>
    <row r="4424" spans="1:14" ht="45" customHeight="1" thickBot="1" x14ac:dyDescent="0.4">
      <c r="A4424" s="103"/>
      <c r="B4424" s="103"/>
      <c r="C4424" s="103"/>
      <c r="D4424" s="103"/>
      <c r="E4424" s="103"/>
      <c r="F4424" s="103"/>
      <c r="G4424" s="103"/>
      <c r="H4424" s="103"/>
      <c r="I4424" s="103"/>
      <c r="J4424" s="103"/>
      <c r="K4424" s="103"/>
      <c r="L4424" s="103"/>
      <c r="M4424" s="104"/>
      <c r="N4424" s="103"/>
    </row>
    <row r="4425" spans="1:14" ht="45" customHeight="1" thickBot="1" x14ac:dyDescent="0.4">
      <c r="A4425" s="103"/>
      <c r="B4425" s="103"/>
      <c r="C4425" s="103"/>
      <c r="D4425" s="103"/>
      <c r="E4425" s="103"/>
      <c r="F4425" s="103"/>
      <c r="G4425" s="103"/>
      <c r="H4425" s="103"/>
      <c r="I4425" s="103"/>
      <c r="J4425" s="103"/>
      <c r="K4425" s="103"/>
      <c r="L4425" s="103"/>
      <c r="M4425" s="104"/>
      <c r="N4425" s="103"/>
    </row>
    <row r="4426" spans="1:14" ht="45" customHeight="1" thickBot="1" x14ac:dyDescent="0.4">
      <c r="A4426" s="103"/>
      <c r="B4426" s="103"/>
      <c r="C4426" s="103"/>
      <c r="D4426" s="103"/>
      <c r="E4426" s="103"/>
      <c r="F4426" s="103"/>
      <c r="G4426" s="103"/>
      <c r="H4426" s="103"/>
      <c r="I4426" s="103"/>
      <c r="J4426" s="103"/>
      <c r="K4426" s="103"/>
      <c r="L4426" s="103"/>
      <c r="M4426" s="104"/>
      <c r="N4426" s="103"/>
    </row>
    <row r="4427" spans="1:14" ht="45" customHeight="1" thickBot="1" x14ac:dyDescent="0.4">
      <c r="A4427" s="103"/>
      <c r="B4427" s="103"/>
      <c r="C4427" s="103"/>
      <c r="D4427" s="103"/>
      <c r="E4427" s="103"/>
      <c r="F4427" s="103"/>
      <c r="G4427" s="103"/>
      <c r="H4427" s="103"/>
      <c r="I4427" s="103"/>
      <c r="J4427" s="103"/>
      <c r="K4427" s="103"/>
      <c r="L4427" s="103"/>
      <c r="M4427" s="104"/>
      <c r="N4427" s="103"/>
    </row>
    <row r="4428" spans="1:14" ht="45" customHeight="1" thickBot="1" x14ac:dyDescent="0.4">
      <c r="A4428" s="103"/>
      <c r="B4428" s="103"/>
      <c r="C4428" s="103"/>
      <c r="D4428" s="103"/>
      <c r="E4428" s="103"/>
      <c r="F4428" s="103"/>
      <c r="G4428" s="103"/>
      <c r="H4428" s="103"/>
      <c r="I4428" s="103"/>
      <c r="J4428" s="103"/>
      <c r="K4428" s="103"/>
      <c r="L4428" s="103"/>
      <c r="M4428" s="104"/>
      <c r="N4428" s="103"/>
    </row>
    <row r="4429" spans="1:14" ht="45" customHeight="1" thickBot="1" x14ac:dyDescent="0.4">
      <c r="A4429" s="103"/>
      <c r="B4429" s="103"/>
      <c r="C4429" s="103"/>
      <c r="D4429" s="103"/>
      <c r="E4429" s="103"/>
      <c r="F4429" s="103"/>
      <c r="G4429" s="103"/>
      <c r="H4429" s="103"/>
      <c r="I4429" s="103"/>
      <c r="J4429" s="103"/>
      <c r="K4429" s="103"/>
      <c r="L4429" s="103"/>
      <c r="M4429" s="104"/>
      <c r="N4429" s="103"/>
    </row>
    <row r="4430" spans="1:14" ht="45" customHeight="1" thickBot="1" x14ac:dyDescent="0.4">
      <c r="A4430" s="103"/>
      <c r="B4430" s="103"/>
      <c r="C4430" s="103"/>
      <c r="D4430" s="103"/>
      <c r="E4430" s="103"/>
      <c r="F4430" s="103"/>
      <c r="G4430" s="103"/>
      <c r="H4430" s="103"/>
      <c r="I4430" s="103"/>
      <c r="J4430" s="103"/>
      <c r="K4430" s="103"/>
      <c r="L4430" s="103"/>
      <c r="M4430" s="104"/>
      <c r="N4430" s="103"/>
    </row>
    <row r="4431" spans="1:14" ht="45" customHeight="1" thickBot="1" x14ac:dyDescent="0.4">
      <c r="A4431" s="103"/>
      <c r="B4431" s="103"/>
      <c r="C4431" s="103"/>
      <c r="D4431" s="103"/>
      <c r="E4431" s="103"/>
      <c r="F4431" s="103"/>
      <c r="G4431" s="103"/>
      <c r="H4431" s="103"/>
      <c r="I4431" s="103"/>
      <c r="J4431" s="103"/>
      <c r="K4431" s="103"/>
      <c r="L4431" s="103"/>
      <c r="M4431" s="104"/>
      <c r="N4431" s="103"/>
    </row>
    <row r="4432" spans="1:14" ht="45" customHeight="1" thickBot="1" x14ac:dyDescent="0.4">
      <c r="A4432" s="103"/>
      <c r="B4432" s="103"/>
      <c r="C4432" s="103"/>
      <c r="D4432" s="103"/>
      <c r="E4432" s="103"/>
      <c r="F4432" s="103"/>
      <c r="G4432" s="103"/>
      <c r="H4432" s="103"/>
      <c r="I4432" s="103"/>
      <c r="J4432" s="103"/>
      <c r="K4432" s="103"/>
      <c r="L4432" s="103"/>
      <c r="M4432" s="104"/>
      <c r="N4432" s="103"/>
    </row>
    <row r="4433" spans="1:14" ht="45" customHeight="1" thickBot="1" x14ac:dyDescent="0.4">
      <c r="A4433" s="103"/>
      <c r="B4433" s="103"/>
      <c r="C4433" s="103"/>
      <c r="D4433" s="103"/>
      <c r="E4433" s="103"/>
      <c r="F4433" s="103"/>
      <c r="G4433" s="103"/>
      <c r="H4433" s="103"/>
      <c r="I4433" s="103"/>
      <c r="J4433" s="103"/>
      <c r="K4433" s="103"/>
      <c r="L4433" s="103"/>
      <c r="M4433" s="104"/>
      <c r="N4433" s="103"/>
    </row>
    <row r="4434" spans="1:14" ht="45" customHeight="1" thickBot="1" x14ac:dyDescent="0.4">
      <c r="A4434" s="103"/>
      <c r="B4434" s="103"/>
      <c r="C4434" s="103"/>
      <c r="D4434" s="103"/>
      <c r="E4434" s="103"/>
      <c r="F4434" s="103"/>
      <c r="G4434" s="103"/>
      <c r="H4434" s="103"/>
      <c r="I4434" s="103"/>
      <c r="J4434" s="103"/>
      <c r="K4434" s="103"/>
      <c r="L4434" s="103"/>
      <c r="M4434" s="104"/>
      <c r="N4434" s="103"/>
    </row>
    <row r="4435" spans="1:14" ht="45" customHeight="1" thickBot="1" x14ac:dyDescent="0.4">
      <c r="A4435" s="103"/>
      <c r="B4435" s="103"/>
      <c r="C4435" s="103"/>
      <c r="D4435" s="103"/>
      <c r="E4435" s="103"/>
      <c r="F4435" s="103"/>
      <c r="G4435" s="103"/>
      <c r="H4435" s="103"/>
      <c r="I4435" s="103"/>
      <c r="J4435" s="103"/>
      <c r="K4435" s="103"/>
      <c r="L4435" s="103"/>
      <c r="M4435" s="104"/>
      <c r="N4435" s="103"/>
    </row>
    <row r="4436" spans="1:14" ht="45" customHeight="1" thickBot="1" x14ac:dyDescent="0.4">
      <c r="A4436" s="103"/>
      <c r="B4436" s="103"/>
      <c r="C4436" s="103"/>
      <c r="D4436" s="103"/>
      <c r="E4436" s="103"/>
      <c r="F4436" s="103"/>
      <c r="G4436" s="103"/>
      <c r="H4436" s="103"/>
      <c r="I4436" s="103"/>
      <c r="J4436" s="103"/>
      <c r="K4436" s="103"/>
      <c r="L4436" s="103"/>
      <c r="M4436" s="104"/>
      <c r="N4436" s="103"/>
    </row>
    <row r="4437" spans="1:14" ht="45" customHeight="1" thickBot="1" x14ac:dyDescent="0.4">
      <c r="A4437" s="103"/>
      <c r="B4437" s="103"/>
      <c r="C4437" s="103"/>
      <c r="D4437" s="103"/>
      <c r="E4437" s="103"/>
      <c r="F4437" s="103"/>
      <c r="G4437" s="103"/>
      <c r="H4437" s="103"/>
      <c r="I4437" s="103"/>
      <c r="J4437" s="103"/>
      <c r="K4437" s="103"/>
      <c r="L4437" s="103"/>
      <c r="M4437" s="104"/>
      <c r="N4437" s="103"/>
    </row>
    <row r="4438" spans="1:14" ht="45" customHeight="1" thickBot="1" x14ac:dyDescent="0.4">
      <c r="A4438" s="103"/>
      <c r="B4438" s="103"/>
      <c r="C4438" s="103"/>
      <c r="D4438" s="103"/>
      <c r="E4438" s="103"/>
      <c r="F4438" s="103"/>
      <c r="G4438" s="103"/>
      <c r="H4438" s="103"/>
      <c r="I4438" s="103"/>
      <c r="J4438" s="103"/>
      <c r="K4438" s="103"/>
      <c r="L4438" s="103"/>
      <c r="M4438" s="104"/>
      <c r="N4438" s="103"/>
    </row>
    <row r="4439" spans="1:14" ht="45" customHeight="1" thickBot="1" x14ac:dyDescent="0.4">
      <c r="A4439" s="103"/>
      <c r="B4439" s="103"/>
      <c r="C4439" s="103"/>
      <c r="D4439" s="103"/>
      <c r="E4439" s="103"/>
      <c r="F4439" s="103"/>
      <c r="G4439" s="103"/>
      <c r="H4439" s="103"/>
      <c r="I4439" s="103"/>
      <c r="J4439" s="103"/>
      <c r="K4439" s="103"/>
      <c r="L4439" s="103"/>
      <c r="M4439" s="104"/>
      <c r="N4439" s="103"/>
    </row>
    <row r="4440" spans="1:14" ht="45" customHeight="1" thickBot="1" x14ac:dyDescent="0.4">
      <c r="A4440" s="103"/>
      <c r="B4440" s="103"/>
      <c r="C4440" s="103"/>
      <c r="D4440" s="103"/>
      <c r="E4440" s="103"/>
      <c r="F4440" s="103"/>
      <c r="G4440" s="103"/>
      <c r="H4440" s="103"/>
      <c r="I4440" s="103"/>
      <c r="J4440" s="103"/>
      <c r="K4440" s="103"/>
      <c r="L4440" s="103"/>
      <c r="M4440" s="104"/>
      <c r="N4440" s="103"/>
    </row>
    <row r="4441" spans="1:14" ht="45" customHeight="1" thickBot="1" x14ac:dyDescent="0.4">
      <c r="A4441" s="103"/>
      <c r="B4441" s="103"/>
      <c r="C4441" s="103"/>
      <c r="D4441" s="103"/>
      <c r="E4441" s="103"/>
      <c r="F4441" s="103"/>
      <c r="G4441" s="103"/>
      <c r="H4441" s="103"/>
      <c r="I4441" s="103"/>
      <c r="J4441" s="103"/>
      <c r="K4441" s="103"/>
      <c r="L4441" s="103"/>
      <c r="M4441" s="104"/>
      <c r="N4441" s="103"/>
    </row>
    <row r="4442" spans="1:14" ht="45" customHeight="1" thickBot="1" x14ac:dyDescent="0.4">
      <c r="A4442" s="103"/>
      <c r="B4442" s="103"/>
      <c r="C4442" s="103"/>
      <c r="D4442" s="103"/>
      <c r="E4442" s="103"/>
      <c r="F4442" s="103"/>
      <c r="G4442" s="103"/>
      <c r="H4442" s="103"/>
      <c r="I4442" s="103"/>
      <c r="J4442" s="103"/>
      <c r="K4442" s="103"/>
      <c r="L4442" s="103"/>
      <c r="M4442" s="104"/>
      <c r="N4442" s="103"/>
    </row>
    <row r="4443" spans="1:14" ht="45" customHeight="1" thickBot="1" x14ac:dyDescent="0.4">
      <c r="A4443" s="103"/>
      <c r="B4443" s="103"/>
      <c r="C4443" s="103"/>
      <c r="D4443" s="103"/>
      <c r="E4443" s="103"/>
      <c r="F4443" s="103"/>
      <c r="G4443" s="103"/>
      <c r="H4443" s="103"/>
      <c r="I4443" s="103"/>
      <c r="J4443" s="103"/>
      <c r="K4443" s="103"/>
      <c r="L4443" s="103"/>
      <c r="M4443" s="104"/>
      <c r="N4443" s="103"/>
    </row>
    <row r="4444" spans="1:14" ht="45" customHeight="1" thickBot="1" x14ac:dyDescent="0.4">
      <c r="A4444" s="103"/>
      <c r="B4444" s="103"/>
      <c r="C4444" s="103"/>
      <c r="D4444" s="103"/>
      <c r="E4444" s="103"/>
      <c r="F4444" s="103"/>
      <c r="G4444" s="103"/>
      <c r="H4444" s="103"/>
      <c r="I4444" s="103"/>
      <c r="J4444" s="103"/>
      <c r="K4444" s="103"/>
      <c r="L4444" s="103"/>
      <c r="M4444" s="104"/>
      <c r="N4444" s="103"/>
    </row>
    <row r="4445" spans="1:14" ht="45" customHeight="1" thickBot="1" x14ac:dyDescent="0.4">
      <c r="A4445" s="103"/>
      <c r="B4445" s="103"/>
      <c r="C4445" s="103"/>
      <c r="D4445" s="103"/>
      <c r="E4445" s="103"/>
      <c r="F4445" s="103"/>
      <c r="G4445" s="103"/>
      <c r="H4445" s="103"/>
      <c r="I4445" s="103"/>
      <c r="J4445" s="103"/>
      <c r="K4445" s="103"/>
      <c r="L4445" s="103"/>
      <c r="M4445" s="104"/>
      <c r="N4445" s="103"/>
    </row>
    <row r="4446" spans="1:14" ht="45" customHeight="1" thickBot="1" x14ac:dyDescent="0.4">
      <c r="A4446" s="103"/>
      <c r="B4446" s="103"/>
      <c r="C4446" s="103"/>
      <c r="D4446" s="103"/>
      <c r="E4446" s="103"/>
      <c r="F4446" s="103"/>
      <c r="G4446" s="103"/>
      <c r="H4446" s="103"/>
      <c r="I4446" s="103"/>
      <c r="J4446" s="103"/>
      <c r="K4446" s="103"/>
      <c r="L4446" s="103"/>
      <c r="M4446" s="104"/>
      <c r="N4446" s="103"/>
    </row>
    <row r="4447" spans="1:14" ht="45" customHeight="1" thickBot="1" x14ac:dyDescent="0.4">
      <c r="A4447" s="103"/>
      <c r="B4447" s="103"/>
      <c r="C4447" s="103"/>
      <c r="D4447" s="103"/>
      <c r="E4447" s="103"/>
      <c r="F4447" s="103"/>
      <c r="G4447" s="103"/>
      <c r="H4447" s="103"/>
      <c r="I4447" s="103"/>
      <c r="J4447" s="103"/>
      <c r="K4447" s="103"/>
      <c r="L4447" s="103"/>
      <c r="M4447" s="104"/>
      <c r="N4447" s="103"/>
    </row>
    <row r="4448" spans="1:14" ht="45" customHeight="1" thickBot="1" x14ac:dyDescent="0.4">
      <c r="A4448" s="103"/>
      <c r="B4448" s="103"/>
      <c r="C4448" s="103"/>
      <c r="D4448" s="103"/>
      <c r="E4448" s="103"/>
      <c r="F4448" s="103"/>
      <c r="G4448" s="103"/>
      <c r="H4448" s="103"/>
      <c r="I4448" s="103"/>
      <c r="J4448" s="103"/>
      <c r="K4448" s="103"/>
      <c r="L4448" s="103"/>
      <c r="M4448" s="104"/>
      <c r="N4448" s="103"/>
    </row>
    <row r="4449" spans="1:14" ht="45" customHeight="1" thickBot="1" x14ac:dyDescent="0.4">
      <c r="A4449" s="103"/>
      <c r="B4449" s="103"/>
      <c r="C4449" s="103"/>
      <c r="D4449" s="103"/>
      <c r="E4449" s="103"/>
      <c r="F4449" s="103"/>
      <c r="G4449" s="103"/>
      <c r="H4449" s="103"/>
      <c r="I4449" s="103"/>
      <c r="J4449" s="103"/>
      <c r="K4449" s="103"/>
      <c r="L4449" s="103"/>
      <c r="M4449" s="104"/>
      <c r="N4449" s="103"/>
    </row>
    <row r="4450" spans="1:14" ht="45" customHeight="1" thickBot="1" x14ac:dyDescent="0.4">
      <c r="A4450" s="103"/>
      <c r="B4450" s="103"/>
      <c r="C4450" s="103"/>
      <c r="D4450" s="103"/>
      <c r="E4450" s="103"/>
      <c r="F4450" s="103"/>
      <c r="G4450" s="103"/>
      <c r="H4450" s="103"/>
      <c r="I4450" s="103"/>
      <c r="J4450" s="103"/>
      <c r="K4450" s="103"/>
      <c r="L4450" s="103"/>
      <c r="M4450" s="104"/>
      <c r="N4450" s="103"/>
    </row>
    <row r="4451" spans="1:14" ht="45" customHeight="1" thickBot="1" x14ac:dyDescent="0.4">
      <c r="A4451" s="103"/>
      <c r="B4451" s="103"/>
      <c r="C4451" s="103"/>
      <c r="D4451" s="103"/>
      <c r="E4451" s="103"/>
      <c r="F4451" s="103"/>
      <c r="G4451" s="103"/>
      <c r="H4451" s="103"/>
      <c r="I4451" s="103"/>
      <c r="J4451" s="103"/>
      <c r="K4451" s="103"/>
      <c r="L4451" s="103"/>
      <c r="M4451" s="104"/>
      <c r="N4451" s="103"/>
    </row>
    <row r="4452" spans="1:14" ht="45" customHeight="1" thickBot="1" x14ac:dyDescent="0.4">
      <c r="A4452" s="103"/>
      <c r="B4452" s="103"/>
      <c r="C4452" s="103"/>
      <c r="D4452" s="103"/>
      <c r="E4452" s="103"/>
      <c r="F4452" s="103"/>
      <c r="G4452" s="103"/>
      <c r="H4452" s="103"/>
      <c r="I4452" s="103"/>
      <c r="J4452" s="103"/>
      <c r="K4452" s="103"/>
      <c r="L4452" s="103"/>
      <c r="M4452" s="104"/>
      <c r="N4452" s="103"/>
    </row>
    <row r="4453" spans="1:14" ht="45" customHeight="1" thickBot="1" x14ac:dyDescent="0.4">
      <c r="A4453" s="103"/>
      <c r="B4453" s="103"/>
      <c r="C4453" s="103"/>
      <c r="D4453" s="103"/>
      <c r="E4453" s="103"/>
      <c r="F4453" s="103"/>
      <c r="G4453" s="103"/>
      <c r="H4453" s="103"/>
      <c r="I4453" s="103"/>
      <c r="J4453" s="103"/>
      <c r="K4453" s="103"/>
      <c r="L4453" s="103"/>
      <c r="M4453" s="104"/>
      <c r="N4453" s="103"/>
    </row>
    <row r="4454" spans="1:14" ht="45" customHeight="1" thickBot="1" x14ac:dyDescent="0.4">
      <c r="A4454" s="103"/>
      <c r="B4454" s="103"/>
      <c r="C4454" s="103"/>
      <c r="D4454" s="103"/>
      <c r="E4454" s="103"/>
      <c r="F4454" s="103"/>
      <c r="G4454" s="103"/>
      <c r="H4454" s="103"/>
      <c r="I4454" s="103"/>
      <c r="J4454" s="103"/>
      <c r="K4454" s="103"/>
      <c r="L4454" s="103"/>
      <c r="M4454" s="104"/>
      <c r="N4454" s="103"/>
    </row>
    <row r="4455" spans="1:14" ht="45" customHeight="1" thickBot="1" x14ac:dyDescent="0.4">
      <c r="A4455" s="103"/>
      <c r="B4455" s="103"/>
      <c r="C4455" s="103"/>
      <c r="D4455" s="103"/>
      <c r="E4455" s="103"/>
      <c r="F4455" s="103"/>
      <c r="G4455" s="103"/>
      <c r="H4455" s="103"/>
      <c r="I4455" s="103"/>
      <c r="J4455" s="103"/>
      <c r="K4455" s="103"/>
      <c r="L4455" s="103"/>
      <c r="M4455" s="104"/>
      <c r="N4455" s="103"/>
    </row>
    <row r="4456" spans="1:14" ht="45" customHeight="1" thickBot="1" x14ac:dyDescent="0.4">
      <c r="A4456" s="103"/>
      <c r="B4456" s="103"/>
      <c r="C4456" s="103"/>
      <c r="D4456" s="103"/>
      <c r="E4456" s="103"/>
      <c r="F4456" s="103"/>
      <c r="G4456" s="103"/>
      <c r="H4456" s="103"/>
      <c r="I4456" s="103"/>
      <c r="J4456" s="103"/>
      <c r="K4456" s="103"/>
      <c r="L4456" s="103"/>
      <c r="M4456" s="104"/>
      <c r="N4456" s="103"/>
    </row>
    <row r="4457" spans="1:14" ht="45" customHeight="1" thickBot="1" x14ac:dyDescent="0.4">
      <c r="A4457" s="103"/>
      <c r="B4457" s="103"/>
      <c r="C4457" s="103"/>
      <c r="D4457" s="103"/>
      <c r="E4457" s="103"/>
      <c r="F4457" s="103"/>
      <c r="G4457" s="103"/>
      <c r="H4457" s="103"/>
      <c r="I4457" s="103"/>
      <c r="J4457" s="103"/>
      <c r="K4457" s="103"/>
      <c r="L4457" s="103"/>
      <c r="M4457" s="104"/>
      <c r="N4457" s="103"/>
    </row>
    <row r="4458" spans="1:14" ht="45" customHeight="1" thickBot="1" x14ac:dyDescent="0.4">
      <c r="A4458" s="103"/>
      <c r="B4458" s="103"/>
      <c r="C4458" s="103"/>
      <c r="D4458" s="103"/>
      <c r="E4458" s="103"/>
      <c r="F4458" s="103"/>
      <c r="G4458" s="103"/>
      <c r="H4458" s="103"/>
      <c r="I4458" s="103"/>
      <c r="J4458" s="103"/>
      <c r="K4458" s="103"/>
      <c r="L4458" s="103"/>
      <c r="M4458" s="104"/>
      <c r="N4458" s="103"/>
    </row>
    <row r="4459" spans="1:14" ht="45" customHeight="1" thickBot="1" x14ac:dyDescent="0.4">
      <c r="A4459" s="103"/>
      <c r="B4459" s="103"/>
      <c r="C4459" s="103"/>
      <c r="D4459" s="103"/>
      <c r="E4459" s="103"/>
      <c r="F4459" s="103"/>
      <c r="G4459" s="103"/>
      <c r="H4459" s="103"/>
      <c r="I4459" s="103"/>
      <c r="J4459" s="103"/>
      <c r="K4459" s="103"/>
      <c r="L4459" s="103"/>
      <c r="M4459" s="104"/>
      <c r="N4459" s="103"/>
    </row>
    <row r="4460" spans="1:14" ht="45" customHeight="1" thickBot="1" x14ac:dyDescent="0.4">
      <c r="A4460" s="103"/>
      <c r="B4460" s="103"/>
      <c r="C4460" s="103"/>
      <c r="D4460" s="103"/>
      <c r="E4460" s="103"/>
      <c r="F4460" s="103"/>
      <c r="G4460" s="103"/>
      <c r="H4460" s="103"/>
      <c r="I4460" s="103"/>
      <c r="J4460" s="103"/>
      <c r="K4460" s="103"/>
      <c r="L4460" s="103"/>
      <c r="M4460" s="104"/>
      <c r="N4460" s="103"/>
    </row>
    <row r="4461" spans="1:14" ht="45" customHeight="1" thickBot="1" x14ac:dyDescent="0.4">
      <c r="A4461" s="103"/>
      <c r="B4461" s="103"/>
      <c r="C4461" s="103"/>
      <c r="D4461" s="103"/>
      <c r="E4461" s="103"/>
      <c r="F4461" s="103"/>
      <c r="G4461" s="103"/>
      <c r="H4461" s="103"/>
      <c r="I4461" s="103"/>
      <c r="J4461" s="103"/>
      <c r="K4461" s="103"/>
      <c r="L4461" s="103"/>
      <c r="M4461" s="104"/>
      <c r="N4461" s="103"/>
    </row>
    <row r="4462" spans="1:14" ht="45" customHeight="1" thickBot="1" x14ac:dyDescent="0.4">
      <c r="A4462" s="103"/>
      <c r="B4462" s="103"/>
      <c r="C4462" s="103"/>
      <c r="D4462" s="103"/>
      <c r="E4462" s="103"/>
      <c r="F4462" s="103"/>
      <c r="G4462" s="103"/>
      <c r="H4462" s="103"/>
      <c r="I4462" s="103"/>
      <c r="J4462" s="103"/>
      <c r="K4462" s="103"/>
      <c r="L4462" s="103"/>
      <c r="M4462" s="104"/>
      <c r="N4462" s="103"/>
    </row>
    <row r="4463" spans="1:14" ht="45" customHeight="1" thickBot="1" x14ac:dyDescent="0.4">
      <c r="A4463" s="103"/>
      <c r="B4463" s="103"/>
      <c r="C4463" s="103"/>
      <c r="D4463" s="103"/>
      <c r="E4463" s="103"/>
      <c r="F4463" s="103"/>
      <c r="G4463" s="103"/>
      <c r="H4463" s="103"/>
      <c r="I4463" s="103"/>
      <c r="J4463" s="103"/>
      <c r="K4463" s="103"/>
      <c r="L4463" s="103"/>
      <c r="M4463" s="104"/>
      <c r="N4463" s="103"/>
    </row>
    <row r="4464" spans="1:14" ht="45" customHeight="1" thickBot="1" x14ac:dyDescent="0.4">
      <c r="A4464" s="103"/>
      <c r="B4464" s="103"/>
      <c r="C4464" s="103"/>
      <c r="D4464" s="103"/>
      <c r="E4464" s="103"/>
      <c r="F4464" s="103"/>
      <c r="G4464" s="103"/>
      <c r="H4464" s="103"/>
      <c r="I4464" s="103"/>
      <c r="J4464" s="103"/>
      <c r="K4464" s="103"/>
      <c r="L4464" s="103"/>
      <c r="M4464" s="104"/>
      <c r="N4464" s="103"/>
    </row>
    <row r="4465" spans="1:14" ht="45" customHeight="1" thickBot="1" x14ac:dyDescent="0.4">
      <c r="A4465" s="103"/>
      <c r="B4465" s="103"/>
      <c r="C4465" s="103"/>
      <c r="D4465" s="103"/>
      <c r="E4465" s="103"/>
      <c r="F4465" s="103"/>
      <c r="G4465" s="103"/>
      <c r="H4465" s="103"/>
      <c r="I4465" s="103"/>
      <c r="J4465" s="103"/>
      <c r="K4465" s="103"/>
      <c r="L4465" s="103"/>
      <c r="M4465" s="104"/>
      <c r="N4465" s="103"/>
    </row>
    <row r="4466" spans="1:14" ht="45" customHeight="1" thickBot="1" x14ac:dyDescent="0.4">
      <c r="A4466" s="103"/>
      <c r="B4466" s="103"/>
      <c r="C4466" s="103"/>
      <c r="D4466" s="103"/>
      <c r="E4466" s="103"/>
      <c r="F4466" s="103"/>
      <c r="G4466" s="103"/>
      <c r="H4466" s="103"/>
      <c r="I4466" s="103"/>
      <c r="J4466" s="103"/>
      <c r="K4466" s="103"/>
      <c r="L4466" s="103"/>
      <c r="M4466" s="104"/>
      <c r="N4466" s="103"/>
    </row>
    <row r="4467" spans="1:14" ht="45" customHeight="1" thickBot="1" x14ac:dyDescent="0.4">
      <c r="A4467" s="103"/>
      <c r="B4467" s="103"/>
      <c r="C4467" s="103"/>
      <c r="D4467" s="103"/>
      <c r="E4467" s="103"/>
      <c r="F4467" s="103"/>
      <c r="G4467" s="103"/>
      <c r="H4467" s="103"/>
      <c r="I4467" s="103"/>
      <c r="J4467" s="103"/>
      <c r="K4467" s="103"/>
      <c r="L4467" s="103"/>
      <c r="M4467" s="104"/>
      <c r="N4467" s="103"/>
    </row>
    <row r="4468" spans="1:14" ht="45" customHeight="1" thickBot="1" x14ac:dyDescent="0.4">
      <c r="A4468" s="103"/>
      <c r="B4468" s="103"/>
      <c r="C4468" s="103"/>
      <c r="D4468" s="103"/>
      <c r="E4468" s="103"/>
      <c r="F4468" s="103"/>
      <c r="G4468" s="103"/>
      <c r="H4468" s="103"/>
      <c r="I4468" s="103"/>
      <c r="J4468" s="103"/>
      <c r="K4468" s="103"/>
      <c r="L4468" s="103"/>
      <c r="M4468" s="104"/>
      <c r="N4468" s="103"/>
    </row>
    <row r="4469" spans="1:14" ht="45" customHeight="1" thickBot="1" x14ac:dyDescent="0.4">
      <c r="A4469" s="103"/>
      <c r="B4469" s="103"/>
      <c r="C4469" s="103"/>
      <c r="D4469" s="103"/>
      <c r="E4469" s="103"/>
      <c r="F4469" s="103"/>
      <c r="G4469" s="103"/>
      <c r="H4469" s="103"/>
      <c r="I4469" s="103"/>
      <c r="J4469" s="103"/>
      <c r="K4469" s="103"/>
      <c r="L4469" s="103"/>
      <c r="M4469" s="104"/>
      <c r="N4469" s="103"/>
    </row>
    <row r="4470" spans="1:14" ht="45" customHeight="1" thickBot="1" x14ac:dyDescent="0.4">
      <c r="A4470" s="103"/>
      <c r="B4470" s="103"/>
      <c r="C4470" s="103"/>
      <c r="D4470" s="103"/>
      <c r="E4470" s="103"/>
      <c r="F4470" s="103"/>
      <c r="G4470" s="103"/>
      <c r="H4470" s="103"/>
      <c r="I4470" s="103"/>
      <c r="J4470" s="103"/>
      <c r="K4470" s="103"/>
      <c r="L4470" s="103"/>
      <c r="M4470" s="104"/>
      <c r="N4470" s="103"/>
    </row>
    <row r="4471" spans="1:14" ht="45" customHeight="1" thickBot="1" x14ac:dyDescent="0.4">
      <c r="A4471" s="103"/>
      <c r="B4471" s="103"/>
      <c r="C4471" s="103"/>
      <c r="D4471" s="103"/>
      <c r="E4471" s="103"/>
      <c r="F4471" s="103"/>
      <c r="G4471" s="103"/>
      <c r="H4471" s="103"/>
      <c r="I4471" s="103"/>
      <c r="J4471" s="103"/>
      <c r="K4471" s="103"/>
      <c r="L4471" s="103"/>
      <c r="M4471" s="104"/>
      <c r="N4471" s="103"/>
    </row>
    <row r="4472" spans="1:14" ht="45" customHeight="1" thickBot="1" x14ac:dyDescent="0.4">
      <c r="A4472" s="103"/>
      <c r="B4472" s="103"/>
      <c r="C4472" s="103"/>
      <c r="D4472" s="103"/>
      <c r="E4472" s="103"/>
      <c r="F4472" s="103"/>
      <c r="G4472" s="103"/>
      <c r="H4472" s="103"/>
      <c r="I4472" s="103"/>
      <c r="J4472" s="103"/>
      <c r="K4472" s="103"/>
      <c r="L4472" s="103"/>
      <c r="M4472" s="104"/>
      <c r="N4472" s="103"/>
    </row>
    <row r="4473" spans="1:14" ht="45" customHeight="1" thickBot="1" x14ac:dyDescent="0.4">
      <c r="A4473" s="103"/>
      <c r="B4473" s="103"/>
      <c r="C4473" s="103"/>
      <c r="D4473" s="103"/>
      <c r="E4473" s="103"/>
      <c r="F4473" s="103"/>
      <c r="G4473" s="103"/>
      <c r="H4473" s="103"/>
      <c r="I4473" s="103"/>
      <c r="J4473" s="103"/>
      <c r="K4473" s="103"/>
      <c r="L4473" s="103"/>
      <c r="M4473" s="104"/>
      <c r="N4473" s="103"/>
    </row>
    <row r="4474" spans="1:14" ht="45" customHeight="1" thickBot="1" x14ac:dyDescent="0.4">
      <c r="A4474" s="103"/>
      <c r="B4474" s="103"/>
      <c r="C4474" s="103"/>
      <c r="D4474" s="103"/>
      <c r="E4474" s="103"/>
      <c r="F4474" s="103"/>
      <c r="G4474" s="103"/>
      <c r="H4474" s="103"/>
      <c r="I4474" s="103"/>
      <c r="J4474" s="103"/>
      <c r="K4474" s="103"/>
      <c r="L4474" s="103"/>
      <c r="M4474" s="104"/>
      <c r="N4474" s="103"/>
    </row>
    <row r="4475" spans="1:14" ht="45" customHeight="1" thickBot="1" x14ac:dyDescent="0.4">
      <c r="A4475" s="103"/>
      <c r="B4475" s="103"/>
      <c r="C4475" s="103"/>
      <c r="D4475" s="103"/>
      <c r="E4475" s="103"/>
      <c r="F4475" s="103"/>
      <c r="G4475" s="103"/>
      <c r="H4475" s="103"/>
      <c r="I4475" s="103"/>
      <c r="J4475" s="103"/>
      <c r="K4475" s="103"/>
      <c r="L4475" s="103"/>
      <c r="M4475" s="104"/>
      <c r="N4475" s="103"/>
    </row>
    <row r="4476" spans="1:14" ht="45" customHeight="1" thickBot="1" x14ac:dyDescent="0.4">
      <c r="A4476" s="103"/>
      <c r="B4476" s="103"/>
      <c r="C4476" s="103"/>
      <c r="D4476" s="103"/>
      <c r="E4476" s="103"/>
      <c r="F4476" s="103"/>
      <c r="G4476" s="103"/>
      <c r="H4476" s="103"/>
      <c r="I4476" s="103"/>
      <c r="J4476" s="103"/>
      <c r="K4476" s="103"/>
      <c r="L4476" s="103"/>
      <c r="M4476" s="104"/>
      <c r="N4476" s="103"/>
    </row>
    <row r="4477" spans="1:14" ht="45" customHeight="1" thickBot="1" x14ac:dyDescent="0.4">
      <c r="A4477" s="103"/>
      <c r="B4477" s="103"/>
      <c r="C4477" s="103"/>
      <c r="D4477" s="103"/>
      <c r="E4477" s="103"/>
      <c r="F4477" s="103"/>
      <c r="G4477" s="103"/>
      <c r="H4477" s="103"/>
      <c r="I4477" s="103"/>
      <c r="J4477" s="103"/>
      <c r="K4477" s="103"/>
      <c r="L4477" s="103"/>
      <c r="M4477" s="104"/>
      <c r="N4477" s="103"/>
    </row>
    <row r="4478" spans="1:14" ht="45" customHeight="1" thickBot="1" x14ac:dyDescent="0.4">
      <c r="A4478" s="103"/>
      <c r="B4478" s="103"/>
      <c r="C4478" s="103"/>
      <c r="D4478" s="103"/>
      <c r="E4478" s="103"/>
      <c r="F4478" s="103"/>
      <c r="G4478" s="103"/>
      <c r="H4478" s="103"/>
      <c r="I4478" s="103"/>
      <c r="J4478" s="103"/>
      <c r="K4478" s="103"/>
      <c r="L4478" s="103"/>
      <c r="M4478" s="104"/>
      <c r="N4478" s="103"/>
    </row>
    <row r="4479" spans="1:14" ht="45" customHeight="1" thickBot="1" x14ac:dyDescent="0.4">
      <c r="A4479" s="103"/>
      <c r="B4479" s="103"/>
      <c r="C4479" s="103"/>
      <c r="D4479" s="103"/>
      <c r="E4479" s="103"/>
      <c r="F4479" s="103"/>
      <c r="G4479" s="103"/>
      <c r="H4479" s="103"/>
      <c r="I4479" s="103"/>
      <c r="J4479" s="103"/>
      <c r="K4479" s="103"/>
      <c r="L4479" s="103"/>
      <c r="M4479" s="104"/>
      <c r="N4479" s="103"/>
    </row>
    <row r="4480" spans="1:14" ht="45" customHeight="1" thickBot="1" x14ac:dyDescent="0.4">
      <c r="A4480" s="103"/>
      <c r="B4480" s="103"/>
      <c r="C4480" s="103"/>
      <c r="D4480" s="103"/>
      <c r="E4480" s="103"/>
      <c r="F4480" s="103"/>
      <c r="G4480" s="103"/>
      <c r="H4480" s="103"/>
      <c r="I4480" s="103"/>
      <c r="J4480" s="103"/>
      <c r="K4480" s="103"/>
      <c r="L4480" s="103"/>
      <c r="M4480" s="104"/>
      <c r="N4480" s="103"/>
    </row>
    <row r="4481" spans="1:14" ht="45" customHeight="1" thickBot="1" x14ac:dyDescent="0.4">
      <c r="A4481" s="103"/>
      <c r="B4481" s="103"/>
      <c r="C4481" s="103"/>
      <c r="D4481" s="103"/>
      <c r="E4481" s="103"/>
      <c r="F4481" s="103"/>
      <c r="G4481" s="103"/>
      <c r="H4481" s="103"/>
      <c r="I4481" s="103"/>
      <c r="J4481" s="103"/>
      <c r="K4481" s="103"/>
      <c r="L4481" s="103"/>
      <c r="M4481" s="104"/>
      <c r="N4481" s="103"/>
    </row>
    <row r="4482" spans="1:14" ht="45" customHeight="1" thickBot="1" x14ac:dyDescent="0.4">
      <c r="A4482" s="103"/>
      <c r="B4482" s="103"/>
      <c r="C4482" s="103"/>
      <c r="D4482" s="103"/>
      <c r="E4482" s="103"/>
      <c r="F4482" s="103"/>
      <c r="G4482" s="103"/>
      <c r="H4482" s="103"/>
      <c r="I4482" s="103"/>
      <c r="J4482" s="103"/>
      <c r="K4482" s="103"/>
      <c r="L4482" s="103"/>
      <c r="M4482" s="104"/>
      <c r="N4482" s="103"/>
    </row>
    <row r="4483" spans="1:14" ht="45" customHeight="1" thickBot="1" x14ac:dyDescent="0.4">
      <c r="A4483" s="103"/>
      <c r="B4483" s="103"/>
      <c r="C4483" s="103"/>
      <c r="D4483" s="103"/>
      <c r="E4483" s="103"/>
      <c r="F4483" s="103"/>
      <c r="G4483" s="103"/>
      <c r="H4483" s="103"/>
      <c r="I4483" s="103"/>
      <c r="J4483" s="103"/>
      <c r="K4483" s="103"/>
      <c r="L4483" s="103"/>
      <c r="M4483" s="104"/>
      <c r="N4483" s="103"/>
    </row>
    <row r="4484" spans="1:14" ht="45" customHeight="1" thickBot="1" x14ac:dyDescent="0.4">
      <c r="A4484" s="103"/>
      <c r="B4484" s="103"/>
      <c r="C4484" s="103"/>
      <c r="D4484" s="103"/>
      <c r="E4484" s="103"/>
      <c r="F4484" s="103"/>
      <c r="G4484" s="103"/>
      <c r="H4484" s="103"/>
      <c r="I4484" s="103"/>
      <c r="J4484" s="103"/>
      <c r="K4484" s="103"/>
      <c r="L4484" s="103"/>
      <c r="M4484" s="104"/>
      <c r="N4484" s="103"/>
    </row>
    <row r="4485" spans="1:14" ht="45" customHeight="1" thickBot="1" x14ac:dyDescent="0.4">
      <c r="A4485" s="103"/>
      <c r="B4485" s="103"/>
      <c r="C4485" s="103"/>
      <c r="D4485" s="103"/>
      <c r="E4485" s="103"/>
      <c r="F4485" s="103"/>
      <c r="G4485" s="103"/>
      <c r="H4485" s="103"/>
      <c r="I4485" s="103"/>
      <c r="J4485" s="103"/>
      <c r="K4485" s="103"/>
      <c r="L4485" s="103"/>
      <c r="M4485" s="104"/>
      <c r="N4485" s="103"/>
    </row>
    <row r="4486" spans="1:14" ht="45" customHeight="1" thickBot="1" x14ac:dyDescent="0.4">
      <c r="A4486" s="103"/>
      <c r="B4486" s="103"/>
      <c r="C4486" s="103"/>
      <c r="D4486" s="103"/>
      <c r="E4486" s="103"/>
      <c r="F4486" s="103"/>
      <c r="G4486" s="103"/>
      <c r="H4486" s="103"/>
      <c r="I4486" s="103"/>
      <c r="J4486" s="103"/>
      <c r="K4486" s="103"/>
      <c r="L4486" s="103"/>
      <c r="M4486" s="104"/>
      <c r="N4486" s="103"/>
    </row>
    <row r="4487" spans="1:14" ht="45" customHeight="1" thickBot="1" x14ac:dyDescent="0.4">
      <c r="A4487" s="103"/>
      <c r="B4487" s="103"/>
      <c r="C4487" s="103"/>
      <c r="D4487" s="103"/>
      <c r="E4487" s="103"/>
      <c r="F4487" s="103"/>
      <c r="G4487" s="103"/>
      <c r="H4487" s="103"/>
      <c r="I4487" s="103"/>
      <c r="J4487" s="103"/>
      <c r="K4487" s="103"/>
      <c r="L4487" s="103"/>
      <c r="M4487" s="104"/>
      <c r="N4487" s="103"/>
    </row>
    <row r="4488" spans="1:14" ht="45" customHeight="1" thickBot="1" x14ac:dyDescent="0.4">
      <c r="A4488" s="103"/>
      <c r="B4488" s="103"/>
      <c r="C4488" s="103"/>
      <c r="D4488" s="103"/>
      <c r="E4488" s="103"/>
      <c r="F4488" s="103"/>
      <c r="G4488" s="103"/>
      <c r="H4488" s="103"/>
      <c r="I4488" s="103"/>
      <c r="J4488" s="103"/>
      <c r="K4488" s="103"/>
      <c r="L4488" s="103"/>
      <c r="M4488" s="104"/>
      <c r="N4488" s="103"/>
    </row>
    <row r="4489" spans="1:14" ht="45" customHeight="1" thickBot="1" x14ac:dyDescent="0.4">
      <c r="A4489" s="103"/>
      <c r="B4489" s="103"/>
      <c r="C4489" s="103"/>
      <c r="D4489" s="103"/>
      <c r="E4489" s="103"/>
      <c r="F4489" s="103"/>
      <c r="G4489" s="103"/>
      <c r="H4489" s="103"/>
      <c r="I4489" s="103"/>
      <c r="J4489" s="103"/>
      <c r="K4489" s="103"/>
      <c r="L4489" s="103"/>
      <c r="M4489" s="104"/>
      <c r="N4489" s="103"/>
    </row>
    <row r="4490" spans="1:14" ht="45" customHeight="1" thickBot="1" x14ac:dyDescent="0.4">
      <c r="A4490" s="103"/>
      <c r="B4490" s="103"/>
      <c r="C4490" s="103"/>
      <c r="D4490" s="103"/>
      <c r="E4490" s="103"/>
      <c r="F4490" s="103"/>
      <c r="G4490" s="103"/>
      <c r="H4490" s="103"/>
      <c r="I4490" s="103"/>
      <c r="J4490" s="103"/>
      <c r="K4490" s="103"/>
      <c r="L4490" s="103"/>
      <c r="M4490" s="104"/>
      <c r="N4490" s="103"/>
    </row>
    <row r="4491" spans="1:14" ht="45" customHeight="1" thickBot="1" x14ac:dyDescent="0.4">
      <c r="A4491" s="103"/>
      <c r="B4491" s="103"/>
      <c r="C4491" s="103"/>
      <c r="D4491" s="103"/>
      <c r="E4491" s="103"/>
      <c r="F4491" s="103"/>
      <c r="G4491" s="103"/>
      <c r="H4491" s="103"/>
      <c r="I4491" s="103"/>
      <c r="J4491" s="103"/>
      <c r="K4491" s="103"/>
      <c r="L4491" s="103"/>
      <c r="M4491" s="104"/>
      <c r="N4491" s="103"/>
    </row>
    <row r="4492" spans="1:14" ht="45" customHeight="1" thickBot="1" x14ac:dyDescent="0.4">
      <c r="A4492" s="103"/>
      <c r="B4492" s="103"/>
      <c r="C4492" s="103"/>
      <c r="D4492" s="103"/>
      <c r="E4492" s="103"/>
      <c r="F4492" s="103"/>
      <c r="G4492" s="103"/>
      <c r="H4492" s="103"/>
      <c r="I4492" s="103"/>
      <c r="J4492" s="103"/>
      <c r="K4492" s="103"/>
      <c r="L4492" s="103"/>
      <c r="M4492" s="104"/>
      <c r="N4492" s="103"/>
    </row>
    <row r="4493" spans="1:14" ht="45" customHeight="1" thickBot="1" x14ac:dyDescent="0.4">
      <c r="A4493" s="103"/>
      <c r="B4493" s="103"/>
      <c r="C4493" s="103"/>
      <c r="D4493" s="103"/>
      <c r="E4493" s="103"/>
      <c r="F4493" s="103"/>
      <c r="G4493" s="103"/>
      <c r="H4493" s="103"/>
      <c r="I4493" s="103"/>
      <c r="J4493" s="103"/>
      <c r="K4493" s="103"/>
      <c r="L4493" s="103"/>
      <c r="M4493" s="104"/>
      <c r="N4493" s="103"/>
    </row>
    <row r="4494" spans="1:14" ht="45" customHeight="1" thickBot="1" x14ac:dyDescent="0.4">
      <c r="A4494" s="103"/>
      <c r="B4494" s="103"/>
      <c r="C4494" s="103"/>
      <c r="D4494" s="103"/>
      <c r="E4494" s="103"/>
      <c r="F4494" s="103"/>
      <c r="G4494" s="103"/>
      <c r="H4494" s="103"/>
      <c r="I4494" s="103"/>
      <c r="J4494" s="103"/>
      <c r="K4494" s="103"/>
      <c r="L4494" s="103"/>
      <c r="M4494" s="104"/>
      <c r="N4494" s="103"/>
    </row>
    <row r="4495" spans="1:14" ht="45" customHeight="1" thickBot="1" x14ac:dyDescent="0.4">
      <c r="A4495" s="103"/>
      <c r="B4495" s="103"/>
      <c r="C4495" s="103"/>
      <c r="D4495" s="103"/>
      <c r="E4495" s="103"/>
      <c r="F4495" s="103"/>
      <c r="G4495" s="103"/>
      <c r="H4495" s="103"/>
      <c r="I4495" s="103"/>
      <c r="J4495" s="103"/>
      <c r="K4495" s="103"/>
      <c r="L4495" s="103"/>
      <c r="M4495" s="104"/>
      <c r="N4495" s="103"/>
    </row>
    <row r="4496" spans="1:14" ht="45" customHeight="1" thickBot="1" x14ac:dyDescent="0.4">
      <c r="A4496" s="103"/>
      <c r="B4496" s="103"/>
      <c r="C4496" s="103"/>
      <c r="D4496" s="103"/>
      <c r="E4496" s="103"/>
      <c r="F4496" s="103"/>
      <c r="G4496" s="103"/>
      <c r="H4496" s="103"/>
      <c r="I4496" s="103"/>
      <c r="J4496" s="103"/>
      <c r="K4496" s="103"/>
      <c r="L4496" s="103"/>
      <c r="M4496" s="104"/>
      <c r="N4496" s="103"/>
    </row>
    <row r="4497" spans="1:14" ht="45" customHeight="1" thickBot="1" x14ac:dyDescent="0.4">
      <c r="A4497" s="103"/>
      <c r="B4497" s="103"/>
      <c r="C4497" s="103"/>
      <c r="D4497" s="103"/>
      <c r="E4497" s="103"/>
      <c r="F4497" s="103"/>
      <c r="G4497" s="103"/>
      <c r="H4497" s="103"/>
      <c r="I4497" s="103"/>
      <c r="J4497" s="103"/>
      <c r="K4497" s="103"/>
      <c r="L4497" s="103"/>
      <c r="M4497" s="104"/>
      <c r="N4497" s="103"/>
    </row>
    <row r="4498" spans="1:14" ht="45" customHeight="1" thickBot="1" x14ac:dyDescent="0.4">
      <c r="A4498" s="103"/>
      <c r="B4498" s="103"/>
      <c r="C4498" s="103"/>
      <c r="D4498" s="103"/>
      <c r="E4498" s="103"/>
      <c r="F4498" s="103"/>
      <c r="G4498" s="103"/>
      <c r="H4498" s="103"/>
      <c r="I4498" s="103"/>
      <c r="J4498" s="103"/>
      <c r="K4498" s="103"/>
      <c r="L4498" s="103"/>
      <c r="M4498" s="104"/>
      <c r="N4498" s="103"/>
    </row>
    <row r="4499" spans="1:14" ht="45" customHeight="1" thickBot="1" x14ac:dyDescent="0.4">
      <c r="A4499" s="103"/>
      <c r="B4499" s="103"/>
      <c r="C4499" s="103"/>
      <c r="D4499" s="103"/>
      <c r="E4499" s="103"/>
      <c r="F4499" s="103"/>
      <c r="G4499" s="103"/>
      <c r="H4499" s="103"/>
      <c r="I4499" s="103"/>
      <c r="J4499" s="103"/>
      <c r="K4499" s="103"/>
      <c r="L4499" s="103"/>
      <c r="M4499" s="104"/>
      <c r="N4499" s="103"/>
    </row>
    <row r="4500" spans="1:14" ht="45" customHeight="1" thickBot="1" x14ac:dyDescent="0.4">
      <c r="A4500" s="103"/>
      <c r="B4500" s="103"/>
      <c r="C4500" s="103"/>
      <c r="D4500" s="103"/>
      <c r="E4500" s="103"/>
      <c r="F4500" s="103"/>
      <c r="G4500" s="103"/>
      <c r="H4500" s="103"/>
      <c r="I4500" s="103"/>
      <c r="J4500" s="103"/>
      <c r="K4500" s="103"/>
      <c r="L4500" s="103"/>
      <c r="M4500" s="104"/>
      <c r="N4500" s="103"/>
    </row>
    <row r="4501" spans="1:14" ht="45" customHeight="1" thickBot="1" x14ac:dyDescent="0.4">
      <c r="A4501" s="103"/>
      <c r="B4501" s="103"/>
      <c r="C4501" s="103"/>
      <c r="D4501" s="103"/>
      <c r="E4501" s="103"/>
      <c r="F4501" s="103"/>
      <c r="G4501" s="103"/>
      <c r="H4501" s="103"/>
      <c r="I4501" s="103"/>
      <c r="J4501" s="103"/>
      <c r="K4501" s="103"/>
      <c r="L4501" s="103"/>
      <c r="M4501" s="104"/>
      <c r="N4501" s="103"/>
    </row>
    <row r="4502" spans="1:14" ht="45" customHeight="1" thickBot="1" x14ac:dyDescent="0.4">
      <c r="A4502" s="103"/>
      <c r="B4502" s="103"/>
      <c r="C4502" s="103"/>
      <c r="D4502" s="103"/>
      <c r="E4502" s="103"/>
      <c r="F4502" s="103"/>
      <c r="G4502" s="103"/>
      <c r="H4502" s="103"/>
      <c r="I4502" s="103"/>
      <c r="J4502" s="103"/>
      <c r="K4502" s="103"/>
      <c r="L4502" s="103"/>
      <c r="M4502" s="104"/>
      <c r="N4502" s="103"/>
    </row>
    <row r="4503" spans="1:14" ht="45" customHeight="1" thickBot="1" x14ac:dyDescent="0.4">
      <c r="A4503" s="103"/>
      <c r="B4503" s="103"/>
      <c r="C4503" s="103"/>
      <c r="D4503" s="103"/>
      <c r="E4503" s="103"/>
      <c r="F4503" s="103"/>
      <c r="G4503" s="103"/>
      <c r="H4503" s="103"/>
      <c r="I4503" s="103"/>
      <c r="J4503" s="103"/>
      <c r="K4503" s="103"/>
      <c r="L4503" s="103"/>
      <c r="M4503" s="104"/>
      <c r="N4503" s="103"/>
    </row>
    <row r="4504" spans="1:14" ht="45" customHeight="1" thickBot="1" x14ac:dyDescent="0.4">
      <c r="A4504" s="103"/>
      <c r="B4504" s="103"/>
      <c r="C4504" s="103"/>
      <c r="D4504" s="103"/>
      <c r="E4504" s="103"/>
      <c r="F4504" s="103"/>
      <c r="G4504" s="103"/>
      <c r="H4504" s="103"/>
      <c r="I4504" s="103"/>
      <c r="J4504" s="103"/>
      <c r="K4504" s="103"/>
      <c r="L4504" s="103"/>
      <c r="M4504" s="104"/>
      <c r="N4504" s="103"/>
    </row>
    <row r="4505" spans="1:14" ht="45" customHeight="1" thickBot="1" x14ac:dyDescent="0.4">
      <c r="A4505" s="103"/>
      <c r="B4505" s="103"/>
      <c r="C4505" s="103"/>
      <c r="D4505" s="103"/>
      <c r="E4505" s="103"/>
      <c r="F4505" s="103"/>
      <c r="G4505" s="103"/>
      <c r="H4505" s="103"/>
      <c r="I4505" s="103"/>
      <c r="J4505" s="103"/>
      <c r="K4505" s="103"/>
      <c r="L4505" s="103"/>
      <c r="M4505" s="104"/>
      <c r="N4505" s="103"/>
    </row>
    <row r="4506" spans="1:14" ht="45" customHeight="1" thickBot="1" x14ac:dyDescent="0.4">
      <c r="A4506" s="103"/>
      <c r="B4506" s="103"/>
      <c r="C4506" s="103"/>
      <c r="D4506" s="103"/>
      <c r="E4506" s="103"/>
      <c r="F4506" s="103"/>
      <c r="G4506" s="103"/>
      <c r="H4506" s="103"/>
      <c r="I4506" s="103"/>
      <c r="J4506" s="103"/>
      <c r="K4506" s="103"/>
      <c r="L4506" s="103"/>
      <c r="M4506" s="104"/>
      <c r="N4506" s="103"/>
    </row>
    <row r="4507" spans="1:14" ht="45" customHeight="1" thickBot="1" x14ac:dyDescent="0.4">
      <c r="A4507" s="103"/>
      <c r="B4507" s="103"/>
      <c r="C4507" s="103"/>
      <c r="D4507" s="103"/>
      <c r="E4507" s="103"/>
      <c r="F4507" s="103"/>
      <c r="G4507" s="103"/>
      <c r="H4507" s="103"/>
      <c r="I4507" s="103"/>
      <c r="J4507" s="103"/>
      <c r="K4507" s="103"/>
      <c r="L4507" s="103"/>
      <c r="M4507" s="104"/>
      <c r="N4507" s="103"/>
    </row>
    <row r="4508" spans="1:14" ht="45" customHeight="1" thickBot="1" x14ac:dyDescent="0.4">
      <c r="A4508" s="103"/>
      <c r="B4508" s="103"/>
      <c r="C4508" s="103"/>
      <c r="D4508" s="103"/>
      <c r="E4508" s="103"/>
      <c r="F4508" s="103"/>
      <c r="G4508" s="103"/>
      <c r="H4508" s="103"/>
      <c r="I4508" s="103"/>
      <c r="J4508" s="103"/>
      <c r="K4508" s="103"/>
      <c r="L4508" s="103"/>
      <c r="M4508" s="104"/>
      <c r="N4508" s="103"/>
    </row>
    <row r="4509" spans="1:14" ht="45" customHeight="1" thickBot="1" x14ac:dyDescent="0.4">
      <c r="A4509" s="103"/>
      <c r="B4509" s="103"/>
      <c r="C4509" s="103"/>
      <c r="D4509" s="103"/>
      <c r="E4509" s="103"/>
      <c r="F4509" s="103"/>
      <c r="G4509" s="103"/>
      <c r="H4509" s="103"/>
      <c r="I4509" s="103"/>
      <c r="J4509" s="103"/>
      <c r="K4509" s="103"/>
      <c r="L4509" s="103"/>
      <c r="M4509" s="104"/>
      <c r="N4509" s="103"/>
    </row>
    <row r="4510" spans="1:14" ht="45" customHeight="1" thickBot="1" x14ac:dyDescent="0.4">
      <c r="A4510" s="103"/>
      <c r="B4510" s="103"/>
      <c r="C4510" s="103"/>
      <c r="D4510" s="103"/>
      <c r="E4510" s="103"/>
      <c r="F4510" s="103"/>
      <c r="G4510" s="103"/>
      <c r="H4510" s="103"/>
      <c r="I4510" s="103"/>
      <c r="J4510" s="103"/>
      <c r="K4510" s="103"/>
      <c r="L4510" s="103"/>
      <c r="M4510" s="104"/>
      <c r="N4510" s="103"/>
    </row>
    <row r="4511" spans="1:14" ht="45" customHeight="1" thickBot="1" x14ac:dyDescent="0.4">
      <c r="A4511" s="103"/>
      <c r="B4511" s="103"/>
      <c r="C4511" s="103"/>
      <c r="D4511" s="103"/>
      <c r="E4511" s="103"/>
      <c r="F4511" s="103"/>
      <c r="G4511" s="103"/>
      <c r="H4511" s="103"/>
      <c r="I4511" s="103"/>
      <c r="J4511" s="103"/>
      <c r="K4511" s="103"/>
      <c r="L4511" s="103"/>
      <c r="M4511" s="104"/>
      <c r="N4511" s="103"/>
    </row>
    <row r="4512" spans="1:14" ht="45" customHeight="1" thickBot="1" x14ac:dyDescent="0.4">
      <c r="A4512" s="103"/>
      <c r="B4512" s="103"/>
      <c r="C4512" s="103"/>
      <c r="D4512" s="103"/>
      <c r="E4512" s="103"/>
      <c r="F4512" s="103"/>
      <c r="G4512" s="103"/>
      <c r="H4512" s="103"/>
      <c r="I4512" s="103"/>
      <c r="J4512" s="103"/>
      <c r="K4512" s="103"/>
      <c r="L4512" s="103"/>
      <c r="M4512" s="104"/>
      <c r="N4512" s="103"/>
    </row>
    <row r="4513" spans="1:14" ht="45" customHeight="1" thickBot="1" x14ac:dyDescent="0.4">
      <c r="A4513" s="103"/>
      <c r="B4513" s="103"/>
      <c r="C4513" s="103"/>
      <c r="D4513" s="103"/>
      <c r="E4513" s="103"/>
      <c r="F4513" s="103"/>
      <c r="G4513" s="103"/>
      <c r="H4513" s="103"/>
      <c r="I4513" s="103"/>
      <c r="J4513" s="103"/>
      <c r="K4513" s="103"/>
      <c r="L4513" s="103"/>
      <c r="M4513" s="104"/>
      <c r="N4513" s="103"/>
    </row>
    <row r="4514" spans="1:14" ht="45" customHeight="1" thickBot="1" x14ac:dyDescent="0.4">
      <c r="A4514" s="103"/>
      <c r="B4514" s="103"/>
      <c r="C4514" s="103"/>
      <c r="D4514" s="103"/>
      <c r="E4514" s="103"/>
      <c r="F4514" s="103"/>
      <c r="G4514" s="103"/>
      <c r="H4514" s="103"/>
      <c r="I4514" s="103"/>
      <c r="J4514" s="103"/>
      <c r="K4514" s="103"/>
      <c r="L4514" s="103"/>
      <c r="M4514" s="104"/>
      <c r="N4514" s="103"/>
    </row>
    <row r="4515" spans="1:14" ht="45" customHeight="1" thickBot="1" x14ac:dyDescent="0.4">
      <c r="A4515" s="103"/>
      <c r="B4515" s="103"/>
      <c r="C4515" s="103"/>
      <c r="D4515" s="103"/>
      <c r="E4515" s="103"/>
      <c r="F4515" s="103"/>
      <c r="G4515" s="103"/>
      <c r="H4515" s="103"/>
      <c r="I4515" s="103"/>
      <c r="J4515" s="103"/>
      <c r="K4515" s="103"/>
      <c r="L4515" s="103"/>
      <c r="M4515" s="104"/>
      <c r="N4515" s="103"/>
    </row>
    <row r="4516" spans="1:14" ht="45" customHeight="1" thickBot="1" x14ac:dyDescent="0.4">
      <c r="A4516" s="103"/>
      <c r="B4516" s="103"/>
      <c r="C4516" s="103"/>
      <c r="D4516" s="103"/>
      <c r="E4516" s="103"/>
      <c r="F4516" s="103"/>
      <c r="G4516" s="103"/>
      <c r="H4516" s="103"/>
      <c r="I4516" s="103"/>
      <c r="J4516" s="103"/>
      <c r="K4516" s="103"/>
      <c r="L4516" s="103"/>
      <c r="M4516" s="104"/>
      <c r="N4516" s="103"/>
    </row>
    <row r="4517" spans="1:14" ht="45" customHeight="1" thickBot="1" x14ac:dyDescent="0.4">
      <c r="A4517" s="103"/>
      <c r="B4517" s="103"/>
      <c r="C4517" s="103"/>
      <c r="D4517" s="103"/>
      <c r="E4517" s="103"/>
      <c r="F4517" s="103"/>
      <c r="G4517" s="103"/>
      <c r="H4517" s="103"/>
      <c r="I4517" s="103"/>
      <c r="J4517" s="103"/>
      <c r="K4517" s="103"/>
      <c r="L4517" s="103"/>
      <c r="M4517" s="104"/>
      <c r="N4517" s="103"/>
    </row>
    <row r="4518" spans="1:14" ht="45" customHeight="1" thickBot="1" x14ac:dyDescent="0.4">
      <c r="A4518" s="103"/>
      <c r="B4518" s="103"/>
      <c r="C4518" s="103"/>
      <c r="D4518" s="103"/>
      <c r="E4518" s="103"/>
      <c r="F4518" s="103"/>
      <c r="G4518" s="103"/>
      <c r="H4518" s="103"/>
      <c r="I4518" s="103"/>
      <c r="J4518" s="103"/>
      <c r="K4518" s="103"/>
      <c r="L4518" s="103"/>
      <c r="M4518" s="104"/>
      <c r="N4518" s="103"/>
    </row>
    <row r="4519" spans="1:14" ht="45" customHeight="1" thickBot="1" x14ac:dyDescent="0.4">
      <c r="A4519" s="103"/>
      <c r="B4519" s="103"/>
      <c r="C4519" s="103"/>
      <c r="D4519" s="103"/>
      <c r="E4519" s="103"/>
      <c r="F4519" s="103"/>
      <c r="G4519" s="103"/>
      <c r="H4519" s="103"/>
      <c r="I4519" s="103"/>
      <c r="J4519" s="103"/>
      <c r="K4519" s="103"/>
      <c r="L4519" s="103"/>
      <c r="M4519" s="104"/>
      <c r="N4519" s="103"/>
    </row>
    <row r="4520" spans="1:14" ht="45" customHeight="1" thickBot="1" x14ac:dyDescent="0.4">
      <c r="A4520" s="103"/>
      <c r="B4520" s="103"/>
      <c r="C4520" s="103"/>
      <c r="D4520" s="103"/>
      <c r="E4520" s="103"/>
      <c r="F4520" s="103"/>
      <c r="G4520" s="103"/>
      <c r="H4520" s="103"/>
      <c r="I4520" s="103"/>
      <c r="J4520" s="103"/>
      <c r="K4520" s="103"/>
      <c r="L4520" s="103"/>
      <c r="M4520" s="104"/>
      <c r="N4520" s="103"/>
    </row>
    <row r="4521" spans="1:14" ht="45" customHeight="1" thickBot="1" x14ac:dyDescent="0.4">
      <c r="A4521" s="103"/>
      <c r="B4521" s="103"/>
      <c r="C4521" s="103"/>
      <c r="D4521" s="103"/>
      <c r="E4521" s="103"/>
      <c r="F4521" s="103"/>
      <c r="G4521" s="103"/>
      <c r="H4521" s="103"/>
      <c r="I4521" s="103"/>
      <c r="J4521" s="103"/>
      <c r="K4521" s="103"/>
      <c r="L4521" s="103"/>
      <c r="M4521" s="104"/>
      <c r="N4521" s="103"/>
    </row>
    <row r="4522" spans="1:14" ht="45" customHeight="1" thickBot="1" x14ac:dyDescent="0.4">
      <c r="A4522" s="103"/>
      <c r="B4522" s="103"/>
      <c r="C4522" s="103"/>
      <c r="D4522" s="103"/>
      <c r="E4522" s="103"/>
      <c r="F4522" s="103"/>
      <c r="G4522" s="103"/>
      <c r="H4522" s="103"/>
      <c r="I4522" s="103"/>
      <c r="J4522" s="103"/>
      <c r="K4522" s="103"/>
      <c r="L4522" s="103"/>
      <c r="M4522" s="104"/>
      <c r="N4522" s="103"/>
    </row>
    <row r="4523" spans="1:14" ht="45" customHeight="1" thickBot="1" x14ac:dyDescent="0.4">
      <c r="A4523" s="103"/>
      <c r="B4523" s="103"/>
      <c r="C4523" s="103"/>
      <c r="D4523" s="103"/>
      <c r="E4523" s="103"/>
      <c r="F4523" s="103"/>
      <c r="G4523" s="103"/>
      <c r="H4523" s="103"/>
      <c r="I4523" s="103"/>
      <c r="J4523" s="103"/>
      <c r="K4523" s="103"/>
      <c r="L4523" s="103"/>
      <c r="M4523" s="104"/>
      <c r="N4523" s="103"/>
    </row>
    <row r="4524" spans="1:14" ht="45" customHeight="1" thickBot="1" x14ac:dyDescent="0.4">
      <c r="A4524" s="103"/>
      <c r="B4524" s="103"/>
      <c r="C4524" s="103"/>
      <c r="D4524" s="103"/>
      <c r="E4524" s="103"/>
      <c r="F4524" s="103"/>
      <c r="G4524" s="103"/>
      <c r="H4524" s="103"/>
      <c r="I4524" s="103"/>
      <c r="J4524" s="103"/>
      <c r="K4524" s="103"/>
      <c r="L4524" s="103"/>
      <c r="M4524" s="104"/>
      <c r="N4524" s="103"/>
    </row>
    <row r="4525" spans="1:14" ht="45" customHeight="1" thickBot="1" x14ac:dyDescent="0.4">
      <c r="A4525" s="103"/>
      <c r="B4525" s="103"/>
      <c r="C4525" s="103"/>
      <c r="D4525" s="103"/>
      <c r="E4525" s="103"/>
      <c r="F4525" s="103"/>
      <c r="G4525" s="103"/>
      <c r="H4525" s="103"/>
      <c r="I4525" s="103"/>
      <c r="J4525" s="103"/>
      <c r="K4525" s="103"/>
      <c r="L4525" s="103"/>
      <c r="M4525" s="104"/>
      <c r="N4525" s="103"/>
    </row>
    <row r="4526" spans="1:14" ht="45" customHeight="1" thickBot="1" x14ac:dyDescent="0.4">
      <c r="A4526" s="103"/>
      <c r="B4526" s="103"/>
      <c r="C4526" s="103"/>
      <c r="D4526" s="103"/>
      <c r="E4526" s="103"/>
      <c r="F4526" s="103"/>
      <c r="G4526" s="103"/>
      <c r="H4526" s="103"/>
      <c r="I4526" s="103"/>
      <c r="J4526" s="103"/>
      <c r="K4526" s="103"/>
      <c r="L4526" s="103"/>
      <c r="M4526" s="104"/>
      <c r="N4526" s="103"/>
    </row>
    <row r="4527" spans="1:14" ht="45" customHeight="1" thickBot="1" x14ac:dyDescent="0.4">
      <c r="A4527" s="103"/>
      <c r="B4527" s="103"/>
      <c r="C4527" s="103"/>
      <c r="D4527" s="103"/>
      <c r="E4527" s="103"/>
      <c r="F4527" s="103"/>
      <c r="G4527" s="103"/>
      <c r="H4527" s="103"/>
      <c r="I4527" s="103"/>
      <c r="J4527" s="103"/>
      <c r="K4527" s="103"/>
      <c r="L4527" s="103"/>
      <c r="M4527" s="104"/>
      <c r="N4527" s="103"/>
    </row>
    <row r="4528" spans="1:14" ht="45" customHeight="1" thickBot="1" x14ac:dyDescent="0.4">
      <c r="A4528" s="103"/>
      <c r="B4528" s="103"/>
      <c r="C4528" s="103"/>
      <c r="D4528" s="103"/>
      <c r="E4528" s="103"/>
      <c r="F4528" s="103"/>
      <c r="G4528" s="103"/>
      <c r="H4528" s="103"/>
      <c r="I4528" s="103"/>
      <c r="J4528" s="103"/>
      <c r="K4528" s="103"/>
      <c r="L4528" s="103"/>
      <c r="M4528" s="104"/>
      <c r="N4528" s="103"/>
    </row>
    <row r="4529" spans="1:14" ht="45" customHeight="1" thickBot="1" x14ac:dyDescent="0.4">
      <c r="A4529" s="103"/>
      <c r="B4529" s="103"/>
      <c r="C4529" s="103"/>
      <c r="D4529" s="103"/>
      <c r="E4529" s="103"/>
      <c r="F4529" s="103"/>
      <c r="G4529" s="103"/>
      <c r="H4529" s="103"/>
      <c r="I4529" s="103"/>
      <c r="J4529" s="103"/>
      <c r="K4529" s="103"/>
      <c r="L4529" s="103"/>
      <c r="M4529" s="104"/>
      <c r="N4529" s="103"/>
    </row>
    <row r="4530" spans="1:14" ht="45" customHeight="1" thickBot="1" x14ac:dyDescent="0.4">
      <c r="A4530" s="103"/>
      <c r="B4530" s="103"/>
      <c r="C4530" s="103"/>
      <c r="D4530" s="103"/>
      <c r="E4530" s="103"/>
      <c r="F4530" s="103"/>
      <c r="G4530" s="103"/>
      <c r="H4530" s="103"/>
      <c r="I4530" s="103"/>
      <c r="J4530" s="103"/>
      <c r="K4530" s="103"/>
      <c r="L4530" s="103"/>
      <c r="M4530" s="104"/>
      <c r="N4530" s="103"/>
    </row>
    <row r="4531" spans="1:14" ht="45" customHeight="1" thickBot="1" x14ac:dyDescent="0.4">
      <c r="A4531" s="103"/>
      <c r="B4531" s="103"/>
      <c r="C4531" s="103"/>
      <c r="D4531" s="103"/>
      <c r="E4531" s="103"/>
      <c r="F4531" s="103"/>
      <c r="G4531" s="103"/>
      <c r="H4531" s="103"/>
      <c r="I4531" s="103"/>
      <c r="J4531" s="103"/>
      <c r="K4531" s="103"/>
      <c r="L4531" s="103"/>
      <c r="M4531" s="104"/>
      <c r="N4531" s="103"/>
    </row>
    <row r="4532" spans="1:14" ht="45" customHeight="1" thickBot="1" x14ac:dyDescent="0.4">
      <c r="A4532" s="103"/>
      <c r="B4532" s="103"/>
      <c r="C4532" s="103"/>
      <c r="D4532" s="103"/>
      <c r="E4532" s="103"/>
      <c r="F4532" s="103"/>
      <c r="G4532" s="103"/>
      <c r="H4532" s="103"/>
      <c r="I4532" s="103"/>
      <c r="J4532" s="103"/>
      <c r="K4532" s="103"/>
      <c r="L4532" s="103"/>
      <c r="M4532" s="104"/>
      <c r="N4532" s="103"/>
    </row>
    <row r="4533" spans="1:14" ht="45" customHeight="1" thickBot="1" x14ac:dyDescent="0.4">
      <c r="A4533" s="103"/>
      <c r="B4533" s="103"/>
      <c r="C4533" s="103"/>
      <c r="D4533" s="103"/>
      <c r="E4533" s="103"/>
      <c r="F4533" s="103"/>
      <c r="G4533" s="103"/>
      <c r="H4533" s="103"/>
      <c r="I4533" s="103"/>
      <c r="J4533" s="103"/>
      <c r="K4533" s="103"/>
      <c r="L4533" s="103"/>
      <c r="M4533" s="104"/>
      <c r="N4533" s="103"/>
    </row>
    <row r="4534" spans="1:14" ht="45" customHeight="1" thickBot="1" x14ac:dyDescent="0.4">
      <c r="A4534" s="103"/>
      <c r="B4534" s="103"/>
      <c r="C4534" s="103"/>
      <c r="D4534" s="103"/>
      <c r="E4534" s="103"/>
      <c r="F4534" s="103"/>
      <c r="G4534" s="103"/>
      <c r="H4534" s="103"/>
      <c r="I4534" s="103"/>
      <c r="J4534" s="103"/>
      <c r="K4534" s="103"/>
      <c r="L4534" s="103"/>
      <c r="M4534" s="104"/>
      <c r="N4534" s="103"/>
    </row>
    <row r="4535" spans="1:14" ht="45" customHeight="1" thickBot="1" x14ac:dyDescent="0.4">
      <c r="A4535" s="103"/>
      <c r="B4535" s="103"/>
      <c r="C4535" s="103"/>
      <c r="D4535" s="103"/>
      <c r="E4535" s="103"/>
      <c r="F4535" s="103"/>
      <c r="G4535" s="103"/>
      <c r="H4535" s="103"/>
      <c r="I4535" s="103"/>
      <c r="J4535" s="103"/>
      <c r="K4535" s="103"/>
      <c r="L4535" s="103"/>
      <c r="M4535" s="104"/>
      <c r="N4535" s="103"/>
    </row>
    <row r="4536" spans="1:14" ht="45" customHeight="1" thickBot="1" x14ac:dyDescent="0.4">
      <c r="A4536" s="103"/>
      <c r="B4536" s="103"/>
      <c r="C4536" s="103"/>
      <c r="D4536" s="103"/>
      <c r="E4536" s="103"/>
      <c r="F4536" s="103"/>
      <c r="G4536" s="103"/>
      <c r="H4536" s="103"/>
      <c r="I4536" s="103"/>
      <c r="J4536" s="103"/>
      <c r="K4536" s="103"/>
      <c r="L4536" s="103"/>
      <c r="M4536" s="104"/>
      <c r="N4536" s="103"/>
    </row>
    <row r="4537" spans="1:14" ht="45" customHeight="1" thickBot="1" x14ac:dyDescent="0.4">
      <c r="A4537" s="103"/>
      <c r="B4537" s="103"/>
      <c r="C4537" s="103"/>
      <c r="D4537" s="103"/>
      <c r="E4537" s="103"/>
      <c r="F4537" s="103"/>
      <c r="G4537" s="103"/>
      <c r="H4537" s="103"/>
      <c r="I4537" s="103"/>
      <c r="J4537" s="103"/>
      <c r="K4537" s="103"/>
      <c r="L4537" s="103"/>
      <c r="M4537" s="104"/>
      <c r="N4537" s="103"/>
    </row>
    <row r="4538" spans="1:14" ht="45" customHeight="1" thickBot="1" x14ac:dyDescent="0.4">
      <c r="A4538" s="103"/>
      <c r="B4538" s="103"/>
      <c r="C4538" s="103"/>
      <c r="D4538" s="103"/>
      <c r="E4538" s="103"/>
      <c r="F4538" s="103"/>
      <c r="G4538" s="103"/>
      <c r="H4538" s="103"/>
      <c r="I4538" s="103"/>
      <c r="J4538" s="103"/>
      <c r="K4538" s="103"/>
      <c r="L4538" s="103"/>
      <c r="M4538" s="104"/>
      <c r="N4538" s="103"/>
    </row>
    <row r="4539" spans="1:14" ht="45" customHeight="1" thickBot="1" x14ac:dyDescent="0.4">
      <c r="A4539" s="103"/>
      <c r="B4539" s="103"/>
      <c r="C4539" s="103"/>
      <c r="D4539" s="103"/>
      <c r="E4539" s="103"/>
      <c r="F4539" s="103"/>
      <c r="G4539" s="103"/>
      <c r="H4539" s="103"/>
      <c r="I4539" s="103"/>
      <c r="J4539" s="103"/>
      <c r="K4539" s="103"/>
      <c r="L4539" s="103"/>
      <c r="M4539" s="104"/>
      <c r="N4539" s="103"/>
    </row>
    <row r="4540" spans="1:14" ht="45" customHeight="1" thickBot="1" x14ac:dyDescent="0.4">
      <c r="A4540" s="103"/>
      <c r="B4540" s="103"/>
      <c r="C4540" s="103"/>
      <c r="D4540" s="103"/>
      <c r="E4540" s="103"/>
      <c r="F4540" s="103"/>
      <c r="G4540" s="103"/>
      <c r="H4540" s="103"/>
      <c r="I4540" s="103"/>
      <c r="J4540" s="103"/>
      <c r="K4540" s="103"/>
      <c r="L4540" s="103"/>
      <c r="M4540" s="104"/>
      <c r="N4540" s="103"/>
    </row>
    <row r="4541" spans="1:14" ht="45" customHeight="1" thickBot="1" x14ac:dyDescent="0.4">
      <c r="A4541" s="103"/>
      <c r="B4541" s="103"/>
      <c r="C4541" s="103"/>
      <c r="D4541" s="103"/>
      <c r="E4541" s="103"/>
      <c r="F4541" s="103"/>
      <c r="G4541" s="103"/>
      <c r="H4541" s="103"/>
      <c r="I4541" s="103"/>
      <c r="J4541" s="103"/>
      <c r="K4541" s="103"/>
      <c r="L4541" s="103"/>
      <c r="M4541" s="104"/>
      <c r="N4541" s="103"/>
    </row>
    <row r="4542" spans="1:14" ht="45" customHeight="1" thickBot="1" x14ac:dyDescent="0.4">
      <c r="A4542" s="103"/>
      <c r="B4542" s="103"/>
      <c r="C4542" s="103"/>
      <c r="D4542" s="103"/>
      <c r="E4542" s="103"/>
      <c r="F4542" s="103"/>
      <c r="G4542" s="103"/>
      <c r="H4542" s="103"/>
      <c r="I4542" s="103"/>
      <c r="J4542" s="103"/>
      <c r="K4542" s="103"/>
      <c r="L4542" s="103"/>
      <c r="M4542" s="104"/>
      <c r="N4542" s="103"/>
    </row>
    <row r="4543" spans="1:14" ht="45" customHeight="1" thickBot="1" x14ac:dyDescent="0.4">
      <c r="A4543" s="103"/>
      <c r="B4543" s="103"/>
      <c r="C4543" s="103"/>
      <c r="D4543" s="103"/>
      <c r="E4543" s="103"/>
      <c r="F4543" s="103"/>
      <c r="G4543" s="103"/>
      <c r="H4543" s="103"/>
      <c r="I4543" s="103"/>
      <c r="J4543" s="103"/>
      <c r="K4543" s="103"/>
      <c r="L4543" s="103"/>
      <c r="M4543" s="104"/>
      <c r="N4543" s="103"/>
    </row>
    <row r="4544" spans="1:14" ht="45" customHeight="1" thickBot="1" x14ac:dyDescent="0.4">
      <c r="A4544" s="103"/>
      <c r="B4544" s="103"/>
      <c r="C4544" s="103"/>
      <c r="D4544" s="103"/>
      <c r="E4544" s="103"/>
      <c r="F4544" s="103"/>
      <c r="G4544" s="103"/>
      <c r="H4544" s="103"/>
      <c r="I4544" s="103"/>
      <c r="J4544" s="103"/>
      <c r="K4544" s="103"/>
      <c r="L4544" s="103"/>
      <c r="M4544" s="104"/>
      <c r="N4544" s="103"/>
    </row>
    <row r="4545" spans="1:14" ht="45" customHeight="1" thickBot="1" x14ac:dyDescent="0.4">
      <c r="A4545" s="103"/>
      <c r="B4545" s="103"/>
      <c r="C4545" s="103"/>
      <c r="D4545" s="103"/>
      <c r="E4545" s="103"/>
      <c r="F4545" s="103"/>
      <c r="G4545" s="103"/>
      <c r="H4545" s="103"/>
      <c r="I4545" s="103"/>
      <c r="J4545" s="103"/>
      <c r="K4545" s="103"/>
      <c r="L4545" s="103"/>
      <c r="M4545" s="104"/>
      <c r="N4545" s="103"/>
    </row>
    <row r="4546" spans="1:14" ht="45" customHeight="1" thickBot="1" x14ac:dyDescent="0.4">
      <c r="A4546" s="103"/>
      <c r="B4546" s="103"/>
      <c r="C4546" s="103"/>
      <c r="D4546" s="103"/>
      <c r="E4546" s="103"/>
      <c r="F4546" s="103"/>
      <c r="G4546" s="103"/>
      <c r="H4546" s="103"/>
      <c r="I4546" s="103"/>
      <c r="J4546" s="103"/>
      <c r="K4546" s="103"/>
      <c r="L4546" s="103"/>
      <c r="M4546" s="104"/>
      <c r="N4546" s="103"/>
    </row>
    <row r="4547" spans="1:14" ht="45" customHeight="1" thickBot="1" x14ac:dyDescent="0.4">
      <c r="A4547" s="103"/>
      <c r="B4547" s="103"/>
      <c r="C4547" s="103"/>
      <c r="D4547" s="103"/>
      <c r="E4547" s="103"/>
      <c r="F4547" s="103"/>
      <c r="G4547" s="103"/>
      <c r="H4547" s="103"/>
      <c r="I4547" s="103"/>
      <c r="J4547" s="103"/>
      <c r="K4547" s="103"/>
      <c r="L4547" s="103"/>
      <c r="M4547" s="104"/>
      <c r="N4547" s="103"/>
    </row>
    <row r="4548" spans="1:14" ht="45" customHeight="1" thickBot="1" x14ac:dyDescent="0.4">
      <c r="A4548" s="103"/>
      <c r="B4548" s="103"/>
      <c r="C4548" s="103"/>
      <c r="D4548" s="103"/>
      <c r="E4548" s="103"/>
      <c r="F4548" s="103"/>
      <c r="G4548" s="103"/>
      <c r="H4548" s="103"/>
      <c r="I4548" s="103"/>
      <c r="J4548" s="103"/>
      <c r="K4548" s="103"/>
      <c r="L4548" s="103"/>
      <c r="M4548" s="104"/>
      <c r="N4548" s="103"/>
    </row>
    <row r="4549" spans="1:14" ht="45" customHeight="1" thickBot="1" x14ac:dyDescent="0.4">
      <c r="A4549" s="103"/>
      <c r="B4549" s="103"/>
      <c r="C4549" s="103"/>
      <c r="D4549" s="103"/>
      <c r="E4549" s="103"/>
      <c r="F4549" s="103"/>
      <c r="G4549" s="103"/>
      <c r="H4549" s="103"/>
      <c r="I4549" s="103"/>
      <c r="J4549" s="103"/>
      <c r="K4549" s="103"/>
      <c r="L4549" s="103"/>
      <c r="M4549" s="104"/>
      <c r="N4549" s="103"/>
    </row>
    <row r="4550" spans="1:14" ht="45" customHeight="1" thickBot="1" x14ac:dyDescent="0.4">
      <c r="A4550" s="103"/>
      <c r="B4550" s="103"/>
      <c r="C4550" s="103"/>
      <c r="D4550" s="103"/>
      <c r="E4550" s="103"/>
      <c r="F4550" s="103"/>
      <c r="G4550" s="103"/>
      <c r="H4550" s="103"/>
      <c r="I4550" s="103"/>
      <c r="J4550" s="103"/>
      <c r="K4550" s="103"/>
      <c r="L4550" s="103"/>
      <c r="M4550" s="104"/>
      <c r="N4550" s="103"/>
    </row>
    <row r="4551" spans="1:14" ht="45" customHeight="1" thickBot="1" x14ac:dyDescent="0.4">
      <c r="A4551" s="103"/>
      <c r="B4551" s="103"/>
      <c r="C4551" s="103"/>
      <c r="D4551" s="103"/>
      <c r="E4551" s="103"/>
      <c r="F4551" s="103"/>
      <c r="G4551" s="103"/>
      <c r="H4551" s="103"/>
      <c r="I4551" s="103"/>
      <c r="J4551" s="103"/>
      <c r="K4551" s="103"/>
      <c r="L4551" s="103"/>
      <c r="M4551" s="104"/>
      <c r="N4551" s="103"/>
    </row>
    <row r="4552" spans="1:14" ht="45" customHeight="1" thickBot="1" x14ac:dyDescent="0.4">
      <c r="A4552" s="103"/>
      <c r="B4552" s="103"/>
      <c r="C4552" s="103"/>
      <c r="D4552" s="103"/>
      <c r="E4552" s="103"/>
      <c r="F4552" s="103"/>
      <c r="G4552" s="103"/>
      <c r="H4552" s="103"/>
      <c r="I4552" s="103"/>
      <c r="J4552" s="103"/>
      <c r="K4552" s="103"/>
      <c r="L4552" s="103"/>
      <c r="M4552" s="104"/>
      <c r="N4552" s="103"/>
    </row>
    <row r="4553" spans="1:14" ht="45" customHeight="1" thickBot="1" x14ac:dyDescent="0.4">
      <c r="A4553" s="103"/>
      <c r="B4553" s="103"/>
      <c r="C4553" s="103"/>
      <c r="D4553" s="103"/>
      <c r="E4553" s="103"/>
      <c r="F4553" s="103"/>
      <c r="G4553" s="103"/>
      <c r="H4553" s="103"/>
      <c r="I4553" s="103"/>
      <c r="J4553" s="103"/>
      <c r="K4553" s="103"/>
      <c r="L4553" s="103"/>
      <c r="M4553" s="104"/>
      <c r="N4553" s="103"/>
    </row>
    <row r="4554" spans="1:14" ht="45" customHeight="1" thickBot="1" x14ac:dyDescent="0.4">
      <c r="A4554" s="103"/>
      <c r="B4554" s="103"/>
      <c r="C4554" s="103"/>
      <c r="D4554" s="103"/>
      <c r="E4554" s="103"/>
      <c r="F4554" s="103"/>
      <c r="G4554" s="103"/>
      <c r="H4554" s="103"/>
      <c r="I4554" s="103"/>
      <c r="J4554" s="103"/>
      <c r="K4554" s="103"/>
      <c r="L4554" s="103"/>
      <c r="M4554" s="104"/>
      <c r="N4554" s="103"/>
    </row>
    <row r="4555" spans="1:14" ht="45" customHeight="1" thickBot="1" x14ac:dyDescent="0.4">
      <c r="A4555" s="103"/>
      <c r="B4555" s="103"/>
      <c r="C4555" s="103"/>
      <c r="D4555" s="103"/>
      <c r="E4555" s="103"/>
      <c r="F4555" s="103"/>
      <c r="G4555" s="103"/>
      <c r="H4555" s="103"/>
      <c r="I4555" s="103"/>
      <c r="J4555" s="103"/>
      <c r="K4555" s="103"/>
      <c r="L4555" s="103"/>
      <c r="M4555" s="104"/>
      <c r="N4555" s="103"/>
    </row>
    <row r="4556" spans="1:14" ht="45" customHeight="1" thickBot="1" x14ac:dyDescent="0.4">
      <c r="A4556" s="103"/>
      <c r="B4556" s="103"/>
      <c r="C4556" s="103"/>
      <c r="D4556" s="103"/>
      <c r="E4556" s="103"/>
      <c r="F4556" s="103"/>
      <c r="G4556" s="103"/>
      <c r="H4556" s="103"/>
      <c r="I4556" s="103"/>
      <c r="J4556" s="103"/>
      <c r="K4556" s="103"/>
      <c r="L4556" s="103"/>
      <c r="M4556" s="104"/>
      <c r="N4556" s="103"/>
    </row>
    <row r="4557" spans="1:14" ht="45" customHeight="1" thickBot="1" x14ac:dyDescent="0.4">
      <c r="A4557" s="103"/>
      <c r="B4557" s="103"/>
      <c r="C4557" s="103"/>
      <c r="D4557" s="103"/>
      <c r="E4557" s="103"/>
      <c r="F4557" s="103"/>
      <c r="G4557" s="103"/>
      <c r="H4557" s="103"/>
      <c r="I4557" s="103"/>
      <c r="J4557" s="103"/>
      <c r="K4557" s="103"/>
      <c r="L4557" s="103"/>
      <c r="M4557" s="104"/>
      <c r="N4557" s="103"/>
    </row>
    <row r="4558" spans="1:14" ht="45" customHeight="1" thickBot="1" x14ac:dyDescent="0.4">
      <c r="A4558" s="103"/>
      <c r="B4558" s="103"/>
      <c r="C4558" s="103"/>
      <c r="D4558" s="103"/>
      <c r="E4558" s="103"/>
      <c r="F4558" s="103"/>
      <c r="G4558" s="103"/>
      <c r="H4558" s="103"/>
      <c r="I4558" s="103"/>
      <c r="J4558" s="103"/>
      <c r="K4558" s="103"/>
      <c r="L4558" s="103"/>
      <c r="M4558" s="104"/>
      <c r="N4558" s="103"/>
    </row>
    <row r="4559" spans="1:14" ht="45" customHeight="1" thickBot="1" x14ac:dyDescent="0.4">
      <c r="A4559" s="103"/>
      <c r="B4559" s="103"/>
      <c r="C4559" s="103"/>
      <c r="D4559" s="103"/>
      <c r="E4559" s="103"/>
      <c r="F4559" s="103"/>
      <c r="G4559" s="103"/>
      <c r="H4559" s="103"/>
      <c r="I4559" s="103"/>
      <c r="J4559" s="103"/>
      <c r="K4559" s="103"/>
      <c r="L4559" s="103"/>
      <c r="M4559" s="104"/>
      <c r="N4559" s="103"/>
    </row>
    <row r="4560" spans="1:14" ht="45" customHeight="1" thickBot="1" x14ac:dyDescent="0.4">
      <c r="A4560" s="103"/>
      <c r="B4560" s="103"/>
      <c r="C4560" s="103"/>
      <c r="D4560" s="103"/>
      <c r="E4560" s="103"/>
      <c r="F4560" s="103"/>
      <c r="G4560" s="103"/>
      <c r="H4560" s="103"/>
      <c r="I4560" s="103"/>
      <c r="J4560" s="103"/>
      <c r="K4560" s="103"/>
      <c r="L4560" s="103"/>
      <c r="M4560" s="104"/>
      <c r="N4560" s="103"/>
    </row>
    <row r="4561" spans="1:14" ht="45" customHeight="1" thickBot="1" x14ac:dyDescent="0.4">
      <c r="A4561" s="103"/>
      <c r="B4561" s="103"/>
      <c r="C4561" s="103"/>
      <c r="D4561" s="103"/>
      <c r="E4561" s="103"/>
      <c r="F4561" s="103"/>
      <c r="G4561" s="103"/>
      <c r="H4561" s="103"/>
      <c r="I4561" s="103"/>
      <c r="J4561" s="103"/>
      <c r="K4561" s="103"/>
      <c r="L4561" s="103"/>
      <c r="M4561" s="104"/>
      <c r="N4561" s="103"/>
    </row>
    <row r="4562" spans="1:14" ht="45" customHeight="1" thickBot="1" x14ac:dyDescent="0.4">
      <c r="A4562" s="103"/>
      <c r="B4562" s="103"/>
      <c r="C4562" s="103"/>
      <c r="D4562" s="103"/>
      <c r="E4562" s="103"/>
      <c r="F4562" s="103"/>
      <c r="G4562" s="103"/>
      <c r="H4562" s="103"/>
      <c r="I4562" s="103"/>
      <c r="J4562" s="103"/>
      <c r="K4562" s="103"/>
      <c r="L4562" s="103"/>
      <c r="M4562" s="104"/>
      <c r="N4562" s="103"/>
    </row>
    <row r="4563" spans="1:14" ht="45" customHeight="1" thickBot="1" x14ac:dyDescent="0.4">
      <c r="A4563" s="103"/>
      <c r="B4563" s="103"/>
      <c r="C4563" s="103"/>
      <c r="D4563" s="103"/>
      <c r="E4563" s="103"/>
      <c r="F4563" s="103"/>
      <c r="G4563" s="103"/>
      <c r="H4563" s="103"/>
      <c r="I4563" s="103"/>
      <c r="J4563" s="103"/>
      <c r="K4563" s="103"/>
      <c r="L4563" s="103"/>
      <c r="M4563" s="104"/>
      <c r="N4563" s="103"/>
    </row>
    <row r="4564" spans="1:14" ht="45" customHeight="1" thickBot="1" x14ac:dyDescent="0.4">
      <c r="A4564" s="103"/>
      <c r="B4564" s="103"/>
      <c r="C4564" s="103"/>
      <c r="D4564" s="103"/>
      <c r="E4564" s="103"/>
      <c r="F4564" s="103"/>
      <c r="G4564" s="103"/>
      <c r="H4564" s="103"/>
      <c r="I4564" s="103"/>
      <c r="J4564" s="103"/>
      <c r="K4564" s="103"/>
      <c r="L4564" s="103"/>
      <c r="M4564" s="104"/>
      <c r="N4564" s="103"/>
    </row>
    <row r="4565" spans="1:14" ht="45" customHeight="1" thickBot="1" x14ac:dyDescent="0.4">
      <c r="A4565" s="103"/>
      <c r="B4565" s="103"/>
      <c r="C4565" s="103"/>
      <c r="D4565" s="103"/>
      <c r="E4565" s="103"/>
      <c r="F4565" s="103"/>
      <c r="G4565" s="103"/>
      <c r="H4565" s="103"/>
      <c r="I4565" s="103"/>
      <c r="J4565" s="103"/>
      <c r="K4565" s="103"/>
      <c r="L4565" s="103"/>
      <c r="M4565" s="104"/>
      <c r="N4565" s="103"/>
    </row>
    <row r="4566" spans="1:14" ht="45" customHeight="1" thickBot="1" x14ac:dyDescent="0.4">
      <c r="A4566" s="103"/>
      <c r="B4566" s="103"/>
      <c r="C4566" s="103"/>
      <c r="D4566" s="103"/>
      <c r="E4566" s="103"/>
      <c r="F4566" s="103"/>
      <c r="G4566" s="103"/>
      <c r="H4566" s="103"/>
      <c r="I4566" s="103"/>
      <c r="J4566" s="103"/>
      <c r="K4566" s="103"/>
      <c r="L4566" s="103"/>
      <c r="M4566" s="104"/>
      <c r="N4566" s="103"/>
    </row>
    <row r="4567" spans="1:14" ht="45" customHeight="1" thickBot="1" x14ac:dyDescent="0.4">
      <c r="A4567" s="103"/>
      <c r="B4567" s="103"/>
      <c r="C4567" s="103"/>
      <c r="D4567" s="103"/>
      <c r="E4567" s="103"/>
      <c r="F4567" s="103"/>
      <c r="G4567" s="103"/>
      <c r="H4567" s="103"/>
      <c r="I4567" s="103"/>
      <c r="J4567" s="103"/>
      <c r="K4567" s="103"/>
      <c r="L4567" s="103"/>
      <c r="M4567" s="104"/>
      <c r="N4567" s="103"/>
    </row>
    <row r="4568" spans="1:14" ht="45" customHeight="1" thickBot="1" x14ac:dyDescent="0.4">
      <c r="A4568" s="103"/>
      <c r="B4568" s="103"/>
      <c r="C4568" s="103"/>
      <c r="D4568" s="103"/>
      <c r="E4568" s="103"/>
      <c r="F4568" s="103"/>
      <c r="G4568" s="103"/>
      <c r="H4568" s="103"/>
      <c r="I4568" s="103"/>
      <c r="J4568" s="103"/>
      <c r="K4568" s="103"/>
      <c r="L4568" s="103"/>
      <c r="M4568" s="104"/>
      <c r="N4568" s="103"/>
    </row>
    <row r="4569" spans="1:14" ht="45" customHeight="1" thickBot="1" x14ac:dyDescent="0.4">
      <c r="A4569" s="103"/>
      <c r="B4569" s="103"/>
      <c r="C4569" s="103"/>
      <c r="D4569" s="103"/>
      <c r="E4569" s="103"/>
      <c r="F4569" s="103"/>
      <c r="G4569" s="103"/>
      <c r="H4569" s="103"/>
      <c r="I4569" s="103"/>
      <c r="J4569" s="103"/>
      <c r="K4569" s="103"/>
      <c r="L4569" s="103"/>
      <c r="M4569" s="104"/>
      <c r="N4569" s="103"/>
    </row>
    <row r="4570" spans="1:14" ht="45" customHeight="1" thickBot="1" x14ac:dyDescent="0.4">
      <c r="A4570" s="103"/>
      <c r="B4570" s="103"/>
      <c r="C4570" s="103"/>
      <c r="D4570" s="103"/>
      <c r="E4570" s="103"/>
      <c r="F4570" s="103"/>
      <c r="G4570" s="103"/>
      <c r="H4570" s="103"/>
      <c r="I4570" s="103"/>
      <c r="J4570" s="103"/>
      <c r="K4570" s="103"/>
      <c r="L4570" s="103"/>
      <c r="M4570" s="104"/>
      <c r="N4570" s="103"/>
    </row>
    <row r="4571" spans="1:14" ht="45" customHeight="1" thickBot="1" x14ac:dyDescent="0.4">
      <c r="A4571" s="103"/>
      <c r="B4571" s="103"/>
      <c r="C4571" s="103"/>
      <c r="D4571" s="103"/>
      <c r="E4571" s="103"/>
      <c r="F4571" s="103"/>
      <c r="G4571" s="103"/>
      <c r="H4571" s="103"/>
      <c r="I4571" s="103"/>
      <c r="J4571" s="103"/>
      <c r="K4571" s="103"/>
      <c r="L4571" s="103"/>
      <c r="M4571" s="104"/>
      <c r="N4571" s="103"/>
    </row>
    <row r="4572" spans="1:14" ht="45" customHeight="1" thickBot="1" x14ac:dyDescent="0.4">
      <c r="A4572" s="103"/>
      <c r="B4572" s="103"/>
      <c r="C4572" s="103"/>
      <c r="D4572" s="103"/>
      <c r="E4572" s="103"/>
      <c r="F4572" s="103"/>
      <c r="G4572" s="103"/>
      <c r="H4572" s="103"/>
      <c r="I4572" s="103"/>
      <c r="J4572" s="103"/>
      <c r="K4572" s="103"/>
      <c r="L4572" s="103"/>
      <c r="M4572" s="104"/>
      <c r="N4572" s="103"/>
    </row>
    <row r="4573" spans="1:14" ht="45" customHeight="1" thickBot="1" x14ac:dyDescent="0.4">
      <c r="A4573" s="103"/>
      <c r="B4573" s="103"/>
      <c r="C4573" s="103"/>
      <c r="D4573" s="103"/>
      <c r="E4573" s="103"/>
      <c r="F4573" s="103"/>
      <c r="G4573" s="103"/>
      <c r="H4573" s="103"/>
      <c r="I4573" s="103"/>
      <c r="J4573" s="103"/>
      <c r="K4573" s="103"/>
      <c r="L4573" s="103"/>
      <c r="M4573" s="104"/>
      <c r="N4573" s="103"/>
    </row>
    <row r="4574" spans="1:14" ht="45" customHeight="1" thickBot="1" x14ac:dyDescent="0.4">
      <c r="A4574" s="103"/>
      <c r="B4574" s="103"/>
      <c r="C4574" s="103"/>
      <c r="D4574" s="103"/>
      <c r="E4574" s="103"/>
      <c r="F4574" s="103"/>
      <c r="G4574" s="103"/>
      <c r="H4574" s="103"/>
      <c r="I4574" s="103"/>
      <c r="J4574" s="103"/>
      <c r="K4574" s="103"/>
      <c r="L4574" s="103"/>
      <c r="M4574" s="104"/>
      <c r="N4574" s="103"/>
    </row>
    <row r="4575" spans="1:14" ht="45" customHeight="1" thickBot="1" x14ac:dyDescent="0.4">
      <c r="A4575" s="103"/>
      <c r="B4575" s="103"/>
      <c r="C4575" s="103"/>
      <c r="D4575" s="103"/>
      <c r="E4575" s="103"/>
      <c r="F4575" s="103"/>
      <c r="G4575" s="103"/>
      <c r="H4575" s="103"/>
      <c r="I4575" s="103"/>
      <c r="J4575" s="103"/>
      <c r="K4575" s="103"/>
      <c r="L4575" s="103"/>
      <c r="M4575" s="104"/>
      <c r="N4575" s="103"/>
    </row>
    <row r="4576" spans="1:14" ht="45" customHeight="1" thickBot="1" x14ac:dyDescent="0.4">
      <c r="A4576" s="103"/>
      <c r="B4576" s="103"/>
      <c r="C4576" s="103"/>
      <c r="D4576" s="103"/>
      <c r="E4576" s="103"/>
      <c r="F4576" s="103"/>
      <c r="G4576" s="103"/>
      <c r="H4576" s="103"/>
      <c r="I4576" s="103"/>
      <c r="J4576" s="103"/>
      <c r="K4576" s="103"/>
      <c r="L4576" s="103"/>
      <c r="M4576" s="104"/>
      <c r="N4576" s="103"/>
    </row>
    <row r="4577" spans="1:14" ht="45" customHeight="1" thickBot="1" x14ac:dyDescent="0.4">
      <c r="A4577" s="103"/>
      <c r="B4577" s="103"/>
      <c r="C4577" s="103"/>
      <c r="D4577" s="103"/>
      <c r="E4577" s="103"/>
      <c r="F4577" s="103"/>
      <c r="G4577" s="103"/>
      <c r="H4577" s="103"/>
      <c r="I4577" s="103"/>
      <c r="J4577" s="103"/>
      <c r="K4577" s="103"/>
      <c r="L4577" s="103"/>
      <c r="M4577" s="104"/>
      <c r="N4577" s="103"/>
    </row>
    <row r="4578" spans="1:14" ht="45" customHeight="1" thickBot="1" x14ac:dyDescent="0.4">
      <c r="A4578" s="103"/>
      <c r="B4578" s="103"/>
      <c r="C4578" s="103"/>
      <c r="D4578" s="103"/>
      <c r="E4578" s="103"/>
      <c r="F4578" s="103"/>
      <c r="G4578" s="103"/>
      <c r="H4578" s="103"/>
      <c r="I4578" s="103"/>
      <c r="J4578" s="103"/>
      <c r="K4578" s="103"/>
      <c r="L4578" s="103"/>
      <c r="M4578" s="104"/>
      <c r="N4578" s="103"/>
    </row>
    <row r="4579" spans="1:14" ht="45" customHeight="1" thickBot="1" x14ac:dyDescent="0.4">
      <c r="A4579" s="103"/>
      <c r="B4579" s="103"/>
      <c r="C4579" s="103"/>
      <c r="D4579" s="103"/>
      <c r="E4579" s="103"/>
      <c r="F4579" s="103"/>
      <c r="G4579" s="103"/>
      <c r="H4579" s="103"/>
      <c r="I4579" s="103"/>
      <c r="J4579" s="103"/>
      <c r="K4579" s="103"/>
      <c r="L4579" s="103"/>
      <c r="M4579" s="104"/>
      <c r="N4579" s="103"/>
    </row>
    <row r="4580" spans="1:14" ht="45" customHeight="1" thickBot="1" x14ac:dyDescent="0.4">
      <c r="A4580" s="103"/>
      <c r="B4580" s="103"/>
      <c r="C4580" s="103"/>
      <c r="D4580" s="103"/>
      <c r="E4580" s="103"/>
      <c r="F4580" s="103"/>
      <c r="G4580" s="103"/>
      <c r="H4580" s="103"/>
      <c r="I4580" s="103"/>
      <c r="J4580" s="103"/>
      <c r="K4580" s="103"/>
      <c r="L4580" s="103"/>
      <c r="M4580" s="104"/>
      <c r="N4580" s="103"/>
    </row>
    <row r="4581" spans="1:14" ht="45" customHeight="1" thickBot="1" x14ac:dyDescent="0.4">
      <c r="A4581" s="103"/>
      <c r="B4581" s="103"/>
      <c r="C4581" s="103"/>
      <c r="D4581" s="103"/>
      <c r="E4581" s="103"/>
      <c r="F4581" s="103"/>
      <c r="G4581" s="103"/>
      <c r="H4581" s="103"/>
      <c r="I4581" s="103"/>
      <c r="J4581" s="103"/>
      <c r="K4581" s="103"/>
      <c r="L4581" s="103"/>
      <c r="M4581" s="104"/>
      <c r="N4581" s="103"/>
    </row>
    <row r="4582" spans="1:14" ht="45" customHeight="1" thickBot="1" x14ac:dyDescent="0.4">
      <c r="A4582" s="103"/>
      <c r="B4582" s="103"/>
      <c r="C4582" s="103"/>
      <c r="D4582" s="103"/>
      <c r="E4582" s="103"/>
      <c r="F4582" s="103"/>
      <c r="G4582" s="103"/>
      <c r="H4582" s="103"/>
      <c r="I4582" s="103"/>
      <c r="J4582" s="103"/>
      <c r="K4582" s="103"/>
      <c r="L4582" s="103"/>
      <c r="M4582" s="104"/>
      <c r="N4582" s="103"/>
    </row>
    <row r="4583" spans="1:14" ht="45" customHeight="1" thickBot="1" x14ac:dyDescent="0.4">
      <c r="A4583" s="103"/>
      <c r="B4583" s="103"/>
      <c r="C4583" s="103"/>
      <c r="D4583" s="103"/>
      <c r="E4583" s="103"/>
      <c r="F4583" s="103"/>
      <c r="G4583" s="103"/>
      <c r="H4583" s="103"/>
      <c r="I4583" s="103"/>
      <c r="J4583" s="103"/>
      <c r="K4583" s="103"/>
      <c r="L4583" s="103"/>
      <c r="M4583" s="104"/>
      <c r="N4583" s="103"/>
    </row>
    <row r="4584" spans="1:14" ht="45" customHeight="1" thickBot="1" x14ac:dyDescent="0.4">
      <c r="A4584" s="103"/>
      <c r="B4584" s="103"/>
      <c r="C4584" s="103"/>
      <c r="D4584" s="103"/>
      <c r="E4584" s="103"/>
      <c r="F4584" s="103"/>
      <c r="G4584" s="103"/>
      <c r="H4584" s="103"/>
      <c r="I4584" s="103"/>
      <c r="J4584" s="103"/>
      <c r="K4584" s="103"/>
      <c r="L4584" s="103"/>
      <c r="M4584" s="104"/>
      <c r="N4584" s="103"/>
    </row>
    <row r="4585" spans="1:14" ht="45" customHeight="1" thickBot="1" x14ac:dyDescent="0.4">
      <c r="A4585" s="103"/>
      <c r="B4585" s="103"/>
      <c r="C4585" s="103"/>
      <c r="D4585" s="103"/>
      <c r="E4585" s="103"/>
      <c r="F4585" s="103"/>
      <c r="G4585" s="103"/>
      <c r="H4585" s="103"/>
      <c r="I4585" s="103"/>
      <c r="J4585" s="103"/>
      <c r="K4585" s="103"/>
      <c r="L4585" s="103"/>
      <c r="M4585" s="104"/>
      <c r="N4585" s="103"/>
    </row>
    <row r="4586" spans="1:14" ht="45" customHeight="1" thickBot="1" x14ac:dyDescent="0.4">
      <c r="A4586" s="103"/>
      <c r="B4586" s="103"/>
      <c r="C4586" s="103"/>
      <c r="D4586" s="103"/>
      <c r="E4586" s="103"/>
      <c r="F4586" s="103"/>
      <c r="G4586" s="103"/>
      <c r="H4586" s="103"/>
      <c r="I4586" s="103"/>
      <c r="J4586" s="103"/>
      <c r="K4586" s="103"/>
      <c r="L4586" s="103"/>
      <c r="M4586" s="104"/>
      <c r="N4586" s="103"/>
    </row>
    <row r="4587" spans="1:14" ht="45" customHeight="1" thickBot="1" x14ac:dyDescent="0.4">
      <c r="A4587" s="103"/>
      <c r="B4587" s="103"/>
      <c r="C4587" s="103"/>
      <c r="D4587" s="103"/>
      <c r="E4587" s="103"/>
      <c r="F4587" s="103"/>
      <c r="G4587" s="103"/>
      <c r="H4587" s="103"/>
      <c r="I4587" s="103"/>
      <c r="J4587" s="103"/>
      <c r="K4587" s="103"/>
      <c r="L4587" s="103"/>
      <c r="M4587" s="104"/>
      <c r="N4587" s="103"/>
    </row>
    <row r="4588" spans="1:14" ht="45" customHeight="1" thickBot="1" x14ac:dyDescent="0.4">
      <c r="A4588" s="103"/>
      <c r="B4588" s="103"/>
      <c r="C4588" s="103"/>
      <c r="D4588" s="103"/>
      <c r="E4588" s="103"/>
      <c r="F4588" s="103"/>
      <c r="G4588" s="103"/>
      <c r="H4588" s="103"/>
      <c r="I4588" s="103"/>
      <c r="J4588" s="103"/>
      <c r="K4588" s="103"/>
      <c r="L4588" s="103"/>
      <c r="M4588" s="104"/>
      <c r="N4588" s="103"/>
    </row>
    <row r="4589" spans="1:14" ht="45" customHeight="1" thickBot="1" x14ac:dyDescent="0.4">
      <c r="A4589" s="103"/>
      <c r="B4589" s="103"/>
      <c r="C4589" s="103"/>
      <c r="D4589" s="103"/>
      <c r="E4589" s="103"/>
      <c r="F4589" s="103"/>
      <c r="G4589" s="103"/>
      <c r="H4589" s="103"/>
      <c r="I4589" s="103"/>
      <c r="J4589" s="103"/>
      <c r="K4589" s="103"/>
      <c r="L4589" s="103"/>
      <c r="M4589" s="104"/>
      <c r="N4589" s="103"/>
    </row>
    <row r="4590" spans="1:14" ht="45" customHeight="1" thickBot="1" x14ac:dyDescent="0.4">
      <c r="A4590" s="103"/>
      <c r="B4590" s="103"/>
      <c r="C4590" s="103"/>
      <c r="D4590" s="103"/>
      <c r="E4590" s="103"/>
      <c r="F4590" s="103"/>
      <c r="G4590" s="103"/>
      <c r="H4590" s="103"/>
      <c r="I4590" s="103"/>
      <c r="J4590" s="103"/>
      <c r="K4590" s="103"/>
      <c r="L4590" s="103"/>
      <c r="M4590" s="104"/>
      <c r="N4590" s="103"/>
    </row>
    <row r="4591" spans="1:14" ht="45" customHeight="1" thickBot="1" x14ac:dyDescent="0.4">
      <c r="A4591" s="103"/>
      <c r="B4591" s="103"/>
      <c r="C4591" s="103"/>
      <c r="D4591" s="103"/>
      <c r="E4591" s="103"/>
      <c r="F4591" s="103"/>
      <c r="G4591" s="103"/>
      <c r="H4591" s="103"/>
      <c r="I4591" s="103"/>
      <c r="J4591" s="103"/>
      <c r="K4591" s="103"/>
      <c r="L4591" s="103"/>
      <c r="M4591" s="104"/>
      <c r="N4591" s="103"/>
    </row>
    <row r="4592" spans="1:14" ht="45" customHeight="1" thickBot="1" x14ac:dyDescent="0.4">
      <c r="A4592" s="103"/>
      <c r="B4592" s="103"/>
      <c r="C4592" s="103"/>
      <c r="D4592" s="103"/>
      <c r="E4592" s="103"/>
      <c r="F4592" s="103"/>
      <c r="G4592" s="103"/>
      <c r="H4592" s="103"/>
      <c r="I4592" s="103"/>
      <c r="J4592" s="103"/>
      <c r="K4592" s="103"/>
      <c r="L4592" s="103"/>
      <c r="M4592" s="104"/>
      <c r="N4592" s="103"/>
    </row>
    <row r="4593" spans="1:14" ht="45" customHeight="1" thickBot="1" x14ac:dyDescent="0.4">
      <c r="A4593" s="103"/>
      <c r="B4593" s="103"/>
      <c r="C4593" s="103"/>
      <c r="D4593" s="103"/>
      <c r="E4593" s="103"/>
      <c r="F4593" s="103"/>
      <c r="G4593" s="103"/>
      <c r="H4593" s="103"/>
      <c r="I4593" s="103"/>
      <c r="J4593" s="103"/>
      <c r="K4593" s="103"/>
      <c r="L4593" s="103"/>
      <c r="M4593" s="104"/>
      <c r="N4593" s="103"/>
    </row>
    <row r="4594" spans="1:14" ht="45" customHeight="1" thickBot="1" x14ac:dyDescent="0.4">
      <c r="A4594" s="103"/>
      <c r="B4594" s="103"/>
      <c r="C4594" s="103"/>
      <c r="D4594" s="103"/>
      <c r="E4594" s="103"/>
      <c r="F4594" s="103"/>
      <c r="G4594" s="103"/>
      <c r="H4594" s="103"/>
      <c r="I4594" s="103"/>
      <c r="J4594" s="103"/>
      <c r="K4594" s="103"/>
      <c r="L4594" s="103"/>
      <c r="M4594" s="104"/>
      <c r="N4594" s="103"/>
    </row>
    <row r="4595" spans="1:14" ht="45" customHeight="1" thickBot="1" x14ac:dyDescent="0.4">
      <c r="A4595" s="103"/>
      <c r="B4595" s="103"/>
      <c r="C4595" s="103"/>
      <c r="D4595" s="103"/>
      <c r="E4595" s="103"/>
      <c r="F4595" s="103"/>
      <c r="G4595" s="103"/>
      <c r="H4595" s="103"/>
      <c r="I4595" s="103"/>
      <c r="J4595" s="103"/>
      <c r="K4595" s="103"/>
      <c r="L4595" s="103"/>
      <c r="M4595" s="104"/>
      <c r="N4595" s="103"/>
    </row>
    <row r="4596" spans="1:14" ht="45" customHeight="1" thickBot="1" x14ac:dyDescent="0.4">
      <c r="A4596" s="103"/>
      <c r="B4596" s="103"/>
      <c r="C4596" s="103"/>
      <c r="D4596" s="103"/>
      <c r="E4596" s="103"/>
      <c r="F4596" s="103"/>
      <c r="G4596" s="103"/>
      <c r="H4596" s="103"/>
      <c r="I4596" s="103"/>
      <c r="J4596" s="103"/>
      <c r="K4596" s="103"/>
      <c r="L4596" s="103"/>
      <c r="M4596" s="104"/>
      <c r="N4596" s="103"/>
    </row>
    <row r="4597" spans="1:14" ht="45" customHeight="1" thickBot="1" x14ac:dyDescent="0.4">
      <c r="A4597" s="103"/>
      <c r="B4597" s="103"/>
      <c r="C4597" s="103"/>
      <c r="D4597" s="103"/>
      <c r="E4597" s="103"/>
      <c r="F4597" s="103"/>
      <c r="G4597" s="103"/>
      <c r="H4597" s="103"/>
      <c r="I4597" s="103"/>
      <c r="J4597" s="103"/>
      <c r="K4597" s="103"/>
      <c r="L4597" s="103"/>
      <c r="M4597" s="104"/>
      <c r="N4597" s="103"/>
    </row>
    <row r="4598" spans="1:14" ht="45" customHeight="1" thickBot="1" x14ac:dyDescent="0.4">
      <c r="A4598" s="103"/>
      <c r="B4598" s="103"/>
      <c r="C4598" s="103"/>
      <c r="D4598" s="103"/>
      <c r="E4598" s="103"/>
      <c r="F4598" s="103"/>
      <c r="G4598" s="103"/>
      <c r="H4598" s="103"/>
      <c r="I4598" s="103"/>
      <c r="J4598" s="103"/>
      <c r="K4598" s="103"/>
      <c r="L4598" s="103"/>
      <c r="M4598" s="104"/>
      <c r="N4598" s="103"/>
    </row>
    <row r="4599" spans="1:14" ht="45" customHeight="1" thickBot="1" x14ac:dyDescent="0.4">
      <c r="A4599" s="103"/>
      <c r="B4599" s="103"/>
      <c r="C4599" s="103"/>
      <c r="D4599" s="103"/>
      <c r="E4599" s="103"/>
      <c r="F4599" s="103"/>
      <c r="G4599" s="103"/>
      <c r="H4599" s="103"/>
      <c r="I4599" s="103"/>
      <c r="J4599" s="103"/>
      <c r="K4599" s="103"/>
      <c r="L4599" s="103"/>
      <c r="M4599" s="104"/>
      <c r="N4599" s="103"/>
    </row>
    <row r="4600" spans="1:14" ht="45" customHeight="1" thickBot="1" x14ac:dyDescent="0.4">
      <c r="A4600" s="103"/>
      <c r="B4600" s="103"/>
      <c r="C4600" s="103"/>
      <c r="D4600" s="103"/>
      <c r="E4600" s="103"/>
      <c r="F4600" s="103"/>
      <c r="G4600" s="103"/>
      <c r="H4600" s="103"/>
      <c r="I4600" s="103"/>
      <c r="J4600" s="103"/>
      <c r="K4600" s="103"/>
      <c r="L4600" s="103"/>
      <c r="M4600" s="104"/>
      <c r="N4600" s="103"/>
    </row>
    <row r="4601" spans="1:14" ht="45" customHeight="1" thickBot="1" x14ac:dyDescent="0.4">
      <c r="A4601" s="103"/>
      <c r="B4601" s="103"/>
      <c r="C4601" s="103"/>
      <c r="D4601" s="103"/>
      <c r="E4601" s="103"/>
      <c r="F4601" s="103"/>
      <c r="G4601" s="103"/>
      <c r="H4601" s="103"/>
      <c r="I4601" s="103"/>
      <c r="J4601" s="103"/>
      <c r="K4601" s="103"/>
      <c r="L4601" s="103"/>
      <c r="M4601" s="104"/>
      <c r="N4601" s="103"/>
    </row>
    <row r="4602" spans="1:14" ht="45" customHeight="1" thickBot="1" x14ac:dyDescent="0.4">
      <c r="A4602" s="103"/>
      <c r="B4602" s="103"/>
      <c r="C4602" s="103"/>
      <c r="D4602" s="103"/>
      <c r="E4602" s="103"/>
      <c r="F4602" s="103"/>
      <c r="G4602" s="103"/>
      <c r="H4602" s="103"/>
      <c r="I4602" s="103"/>
      <c r="J4602" s="103"/>
      <c r="K4602" s="103"/>
      <c r="L4602" s="103"/>
      <c r="M4602" s="104"/>
      <c r="N4602" s="103"/>
    </row>
    <row r="4603" spans="1:14" ht="45" customHeight="1" thickBot="1" x14ac:dyDescent="0.4">
      <c r="A4603" s="103"/>
      <c r="B4603" s="103"/>
      <c r="C4603" s="103"/>
      <c r="D4603" s="103"/>
      <c r="E4603" s="103"/>
      <c r="F4603" s="103"/>
      <c r="G4603" s="103"/>
      <c r="H4603" s="103"/>
      <c r="I4603" s="103"/>
      <c r="J4603" s="103"/>
      <c r="K4603" s="103"/>
      <c r="L4603" s="103"/>
      <c r="M4603" s="104"/>
      <c r="N4603" s="103"/>
    </row>
    <row r="4604" spans="1:14" ht="45" customHeight="1" thickBot="1" x14ac:dyDescent="0.4">
      <c r="A4604" s="103"/>
      <c r="B4604" s="103"/>
      <c r="C4604" s="103"/>
      <c r="D4604" s="103"/>
      <c r="E4604" s="103"/>
      <c r="F4604" s="103"/>
      <c r="G4604" s="103"/>
      <c r="H4604" s="103"/>
      <c r="I4604" s="103"/>
      <c r="J4604" s="103"/>
      <c r="K4604" s="103"/>
      <c r="L4604" s="103"/>
      <c r="M4604" s="104"/>
      <c r="N4604" s="103"/>
    </row>
    <row r="4605" spans="1:14" ht="45" customHeight="1" thickBot="1" x14ac:dyDescent="0.4">
      <c r="A4605" s="103"/>
      <c r="B4605" s="103"/>
      <c r="C4605" s="103"/>
      <c r="D4605" s="103"/>
      <c r="E4605" s="103"/>
      <c r="F4605" s="103"/>
      <c r="G4605" s="103"/>
      <c r="H4605" s="103"/>
      <c r="I4605" s="103"/>
      <c r="J4605" s="103"/>
      <c r="K4605" s="103"/>
      <c r="L4605" s="103"/>
      <c r="M4605" s="104"/>
      <c r="N4605" s="103"/>
    </row>
    <row r="4606" spans="1:14" ht="45" customHeight="1" thickBot="1" x14ac:dyDescent="0.4">
      <c r="A4606" s="103"/>
      <c r="B4606" s="103"/>
      <c r="C4606" s="103"/>
      <c r="D4606" s="103"/>
      <c r="E4606" s="103"/>
      <c r="F4606" s="103"/>
      <c r="G4606" s="103"/>
      <c r="H4606" s="103"/>
      <c r="I4606" s="103"/>
      <c r="J4606" s="103"/>
      <c r="K4606" s="103"/>
      <c r="L4606" s="103"/>
      <c r="M4606" s="104"/>
      <c r="N4606" s="103"/>
    </row>
    <row r="4607" spans="1:14" ht="45" customHeight="1" thickBot="1" x14ac:dyDescent="0.4">
      <c r="A4607" s="103"/>
      <c r="B4607" s="103"/>
      <c r="C4607" s="103"/>
      <c r="D4607" s="103"/>
      <c r="E4607" s="103"/>
      <c r="F4607" s="103"/>
      <c r="G4607" s="103"/>
      <c r="H4607" s="103"/>
      <c r="I4607" s="103"/>
      <c r="J4607" s="103"/>
      <c r="K4607" s="103"/>
      <c r="L4607" s="103"/>
      <c r="M4607" s="104"/>
      <c r="N4607" s="103"/>
    </row>
    <row r="4608" spans="1:14" ht="45" customHeight="1" thickBot="1" x14ac:dyDescent="0.4">
      <c r="A4608" s="103"/>
      <c r="B4608" s="103"/>
      <c r="C4608" s="103"/>
      <c r="D4608" s="103"/>
      <c r="E4608" s="103"/>
      <c r="F4608" s="103"/>
      <c r="G4608" s="103"/>
      <c r="H4608" s="103"/>
      <c r="I4608" s="103"/>
      <c r="J4608" s="103"/>
      <c r="K4608" s="103"/>
      <c r="L4608" s="103"/>
      <c r="M4608" s="104"/>
      <c r="N4608" s="103"/>
    </row>
    <row r="4609" spans="1:14" ht="45" customHeight="1" thickBot="1" x14ac:dyDescent="0.4">
      <c r="A4609" s="103"/>
      <c r="B4609" s="103"/>
      <c r="C4609" s="103"/>
      <c r="D4609" s="103"/>
      <c r="E4609" s="103"/>
      <c r="F4609" s="103"/>
      <c r="G4609" s="103"/>
      <c r="H4609" s="103"/>
      <c r="I4609" s="103"/>
      <c r="J4609" s="103"/>
      <c r="K4609" s="103"/>
      <c r="L4609" s="103"/>
      <c r="M4609" s="104"/>
      <c r="N4609" s="103"/>
    </row>
    <row r="4610" spans="1:14" ht="45" customHeight="1" thickBot="1" x14ac:dyDescent="0.4">
      <c r="A4610" s="103"/>
      <c r="B4610" s="103"/>
      <c r="C4610" s="103"/>
      <c r="D4610" s="103"/>
      <c r="E4610" s="103"/>
      <c r="F4610" s="103"/>
      <c r="G4610" s="103"/>
      <c r="H4610" s="103"/>
      <c r="I4610" s="103"/>
      <c r="J4610" s="103"/>
      <c r="K4610" s="103"/>
      <c r="L4610" s="103"/>
      <c r="M4610" s="104"/>
      <c r="N4610" s="103"/>
    </row>
    <row r="4611" spans="1:14" ht="45" customHeight="1" thickBot="1" x14ac:dyDescent="0.4">
      <c r="A4611" s="103"/>
      <c r="B4611" s="103"/>
      <c r="C4611" s="103"/>
      <c r="D4611" s="103"/>
      <c r="E4611" s="103"/>
      <c r="F4611" s="103"/>
      <c r="G4611" s="103"/>
      <c r="H4611" s="103"/>
      <c r="I4611" s="103"/>
      <c r="J4611" s="103"/>
      <c r="K4611" s="103"/>
      <c r="L4611" s="103"/>
      <c r="M4611" s="104"/>
      <c r="N4611" s="103"/>
    </row>
    <row r="4612" spans="1:14" ht="45" customHeight="1" thickBot="1" x14ac:dyDescent="0.4">
      <c r="A4612" s="103"/>
      <c r="B4612" s="103"/>
      <c r="C4612" s="103"/>
      <c r="D4612" s="103"/>
      <c r="E4612" s="103"/>
      <c r="F4612" s="103"/>
      <c r="G4612" s="103"/>
      <c r="H4612" s="103"/>
      <c r="I4612" s="103"/>
      <c r="J4612" s="103"/>
      <c r="K4612" s="103"/>
      <c r="L4612" s="103"/>
      <c r="M4612" s="104"/>
      <c r="N4612" s="103"/>
    </row>
    <row r="4613" spans="1:14" ht="45" customHeight="1" thickBot="1" x14ac:dyDescent="0.4">
      <c r="A4613" s="103"/>
      <c r="B4613" s="103"/>
      <c r="C4613" s="103"/>
      <c r="D4613" s="103"/>
      <c r="E4613" s="103"/>
      <c r="F4613" s="103"/>
      <c r="G4613" s="103"/>
      <c r="H4613" s="103"/>
      <c r="I4613" s="103"/>
      <c r="J4613" s="103"/>
      <c r="K4613" s="103"/>
      <c r="L4613" s="103"/>
      <c r="M4613" s="104"/>
      <c r="N4613" s="103"/>
    </row>
    <row r="4614" spans="1:14" ht="45" customHeight="1" thickBot="1" x14ac:dyDescent="0.4">
      <c r="A4614" s="103"/>
      <c r="B4614" s="103"/>
      <c r="C4614" s="103"/>
      <c r="D4614" s="103"/>
      <c r="E4614" s="103"/>
      <c r="F4614" s="103"/>
      <c r="G4614" s="103"/>
      <c r="H4614" s="103"/>
      <c r="I4614" s="103"/>
      <c r="J4614" s="103"/>
      <c r="K4614" s="103"/>
      <c r="L4614" s="103"/>
      <c r="M4614" s="104"/>
      <c r="N4614" s="103"/>
    </row>
    <row r="4615" spans="1:14" ht="45" customHeight="1" thickBot="1" x14ac:dyDescent="0.4">
      <c r="A4615" s="103"/>
      <c r="B4615" s="103"/>
      <c r="C4615" s="103"/>
      <c r="D4615" s="103"/>
      <c r="E4615" s="103"/>
      <c r="F4615" s="103"/>
      <c r="G4615" s="103"/>
      <c r="H4615" s="103"/>
      <c r="I4615" s="103"/>
      <c r="J4615" s="103"/>
      <c r="K4615" s="103"/>
      <c r="L4615" s="103"/>
      <c r="M4615" s="104"/>
      <c r="N4615" s="103"/>
    </row>
    <row r="4616" spans="1:14" ht="45" customHeight="1" thickBot="1" x14ac:dyDescent="0.4">
      <c r="A4616" s="103"/>
      <c r="B4616" s="103"/>
      <c r="C4616" s="103"/>
      <c r="D4616" s="103"/>
      <c r="E4616" s="103"/>
      <c r="F4616" s="103"/>
      <c r="G4616" s="103"/>
      <c r="H4616" s="103"/>
      <c r="I4616" s="103"/>
      <c r="J4616" s="103"/>
      <c r="K4616" s="103"/>
      <c r="L4616" s="103"/>
      <c r="M4616" s="104"/>
      <c r="N4616" s="103"/>
    </row>
    <row r="4617" spans="1:14" ht="45" customHeight="1" thickBot="1" x14ac:dyDescent="0.4">
      <c r="A4617" s="103"/>
      <c r="B4617" s="103"/>
      <c r="C4617" s="103"/>
      <c r="D4617" s="103"/>
      <c r="E4617" s="103"/>
      <c r="F4617" s="103"/>
      <c r="G4617" s="103"/>
      <c r="H4617" s="103"/>
      <c r="I4617" s="103"/>
      <c r="J4617" s="103"/>
      <c r="K4617" s="103"/>
      <c r="L4617" s="103"/>
      <c r="M4617" s="104"/>
      <c r="N4617" s="103"/>
    </row>
    <row r="4618" spans="1:14" ht="45" customHeight="1" thickBot="1" x14ac:dyDescent="0.4">
      <c r="A4618" s="103"/>
      <c r="B4618" s="103"/>
      <c r="C4618" s="103"/>
      <c r="D4618" s="103"/>
      <c r="E4618" s="103"/>
      <c r="F4618" s="103"/>
      <c r="G4618" s="103"/>
      <c r="H4618" s="103"/>
      <c r="I4618" s="103"/>
      <c r="J4618" s="103"/>
      <c r="K4618" s="103"/>
      <c r="L4618" s="103"/>
      <c r="M4618" s="104"/>
      <c r="N4618" s="103"/>
    </row>
    <row r="4619" spans="1:14" ht="45" customHeight="1" thickBot="1" x14ac:dyDescent="0.4">
      <c r="A4619" s="103"/>
      <c r="B4619" s="103"/>
      <c r="C4619" s="103"/>
      <c r="D4619" s="103"/>
      <c r="E4619" s="103"/>
      <c r="F4619" s="103"/>
      <c r="G4619" s="103"/>
      <c r="H4619" s="103"/>
      <c r="I4619" s="103"/>
      <c r="J4619" s="103"/>
      <c r="K4619" s="103"/>
      <c r="L4619" s="103"/>
      <c r="M4619" s="104"/>
      <c r="N4619" s="103"/>
    </row>
    <row r="4620" spans="1:14" ht="45" customHeight="1" thickBot="1" x14ac:dyDescent="0.4">
      <c r="A4620" s="103"/>
      <c r="B4620" s="103"/>
      <c r="C4620" s="103"/>
      <c r="D4620" s="103"/>
      <c r="E4620" s="103"/>
      <c r="F4620" s="103"/>
      <c r="G4620" s="103"/>
      <c r="H4620" s="103"/>
      <c r="I4620" s="103"/>
      <c r="J4620" s="103"/>
      <c r="K4620" s="103"/>
      <c r="L4620" s="103"/>
      <c r="M4620" s="104"/>
      <c r="N4620" s="103"/>
    </row>
    <row r="4621" spans="1:14" ht="45" customHeight="1" thickBot="1" x14ac:dyDescent="0.4">
      <c r="A4621" s="103"/>
      <c r="B4621" s="103"/>
      <c r="C4621" s="103"/>
      <c r="D4621" s="103"/>
      <c r="E4621" s="103"/>
      <c r="F4621" s="103"/>
      <c r="G4621" s="103"/>
      <c r="H4621" s="103"/>
      <c r="I4621" s="103"/>
      <c r="J4621" s="103"/>
      <c r="K4621" s="103"/>
      <c r="L4621" s="103"/>
      <c r="M4621" s="104"/>
      <c r="N4621" s="103"/>
    </row>
    <row r="4622" spans="1:14" ht="45" customHeight="1" thickBot="1" x14ac:dyDescent="0.4">
      <c r="A4622" s="103"/>
      <c r="B4622" s="103"/>
      <c r="C4622" s="103"/>
      <c r="D4622" s="103"/>
      <c r="E4622" s="103"/>
      <c r="F4622" s="103"/>
      <c r="G4622" s="103"/>
      <c r="H4622" s="103"/>
      <c r="I4622" s="103"/>
      <c r="J4622" s="103"/>
      <c r="K4622" s="103"/>
      <c r="L4622" s="103"/>
      <c r="M4622" s="104"/>
      <c r="N4622" s="103"/>
    </row>
    <row r="4623" spans="1:14" ht="45" customHeight="1" thickBot="1" x14ac:dyDescent="0.4">
      <c r="A4623" s="103"/>
      <c r="B4623" s="103"/>
      <c r="C4623" s="103"/>
      <c r="D4623" s="103"/>
      <c r="E4623" s="103"/>
      <c r="F4623" s="103"/>
      <c r="G4623" s="103"/>
      <c r="H4623" s="103"/>
      <c r="I4623" s="103"/>
      <c r="J4623" s="103"/>
      <c r="K4623" s="103"/>
      <c r="L4623" s="103"/>
      <c r="M4623" s="104"/>
      <c r="N4623" s="103"/>
    </row>
    <row r="4624" spans="1:14" ht="45" customHeight="1" thickBot="1" x14ac:dyDescent="0.4">
      <c r="A4624" s="103"/>
      <c r="B4624" s="103"/>
      <c r="C4624" s="103"/>
      <c r="D4624" s="103"/>
      <c r="E4624" s="103"/>
      <c r="F4624" s="103"/>
      <c r="G4624" s="103"/>
      <c r="H4624" s="103"/>
      <c r="I4624" s="103"/>
      <c r="J4624" s="103"/>
      <c r="K4624" s="103"/>
      <c r="L4624" s="103"/>
      <c r="M4624" s="104"/>
      <c r="N4624" s="103"/>
    </row>
    <row r="4625" spans="1:14" ht="45" customHeight="1" thickBot="1" x14ac:dyDescent="0.4">
      <c r="A4625" s="103"/>
      <c r="B4625" s="103"/>
      <c r="C4625" s="103"/>
      <c r="D4625" s="103"/>
      <c r="E4625" s="103"/>
      <c r="F4625" s="103"/>
      <c r="G4625" s="103"/>
      <c r="H4625" s="103"/>
      <c r="I4625" s="103"/>
      <c r="J4625" s="103"/>
      <c r="K4625" s="103"/>
      <c r="L4625" s="103"/>
      <c r="M4625" s="104"/>
      <c r="N4625" s="103"/>
    </row>
    <row r="4626" spans="1:14" ht="45" customHeight="1" thickBot="1" x14ac:dyDescent="0.4">
      <c r="A4626" s="103"/>
      <c r="B4626" s="103"/>
      <c r="C4626" s="103"/>
      <c r="D4626" s="103"/>
      <c r="E4626" s="103"/>
      <c r="F4626" s="103"/>
      <c r="G4626" s="103"/>
      <c r="H4626" s="103"/>
      <c r="I4626" s="103"/>
      <c r="J4626" s="103"/>
      <c r="K4626" s="103"/>
      <c r="L4626" s="103"/>
      <c r="M4626" s="104"/>
      <c r="N4626" s="103"/>
    </row>
    <row r="4627" spans="1:14" ht="45" customHeight="1" thickBot="1" x14ac:dyDescent="0.4">
      <c r="A4627" s="103"/>
      <c r="B4627" s="103"/>
      <c r="C4627" s="103"/>
      <c r="D4627" s="103"/>
      <c r="E4627" s="103"/>
      <c r="F4627" s="103"/>
      <c r="G4627" s="103"/>
      <c r="H4627" s="103"/>
      <c r="I4627" s="103"/>
      <c r="J4627" s="103"/>
      <c r="K4627" s="103"/>
      <c r="L4627" s="103"/>
      <c r="M4627" s="104"/>
      <c r="N4627" s="103"/>
    </row>
    <row r="4628" spans="1:14" ht="45" customHeight="1" thickBot="1" x14ac:dyDescent="0.4">
      <c r="A4628" s="103"/>
      <c r="B4628" s="103"/>
      <c r="C4628" s="103"/>
      <c r="D4628" s="103"/>
      <c r="E4628" s="103"/>
      <c r="F4628" s="103"/>
      <c r="G4628" s="103"/>
      <c r="H4628" s="103"/>
      <c r="I4628" s="103"/>
      <c r="J4628" s="103"/>
      <c r="K4628" s="103"/>
      <c r="L4628" s="103"/>
      <c r="M4628" s="104"/>
      <c r="N4628" s="103"/>
    </row>
    <row r="4629" spans="1:14" ht="45" customHeight="1" thickBot="1" x14ac:dyDescent="0.4">
      <c r="A4629" s="103"/>
      <c r="B4629" s="103"/>
      <c r="C4629" s="103"/>
      <c r="D4629" s="103"/>
      <c r="E4629" s="103"/>
      <c r="F4629" s="103"/>
      <c r="G4629" s="103"/>
      <c r="H4629" s="103"/>
      <c r="I4629" s="103"/>
      <c r="J4629" s="103"/>
      <c r="K4629" s="103"/>
      <c r="L4629" s="103"/>
      <c r="M4629" s="104"/>
      <c r="N4629" s="103"/>
    </row>
    <row r="4630" spans="1:14" ht="45" customHeight="1" thickBot="1" x14ac:dyDescent="0.4">
      <c r="A4630" s="103"/>
      <c r="B4630" s="103"/>
      <c r="C4630" s="103"/>
      <c r="D4630" s="103"/>
      <c r="E4630" s="103"/>
      <c r="F4630" s="103"/>
      <c r="G4630" s="103"/>
      <c r="H4630" s="103"/>
      <c r="I4630" s="103"/>
      <c r="J4630" s="103"/>
      <c r="K4630" s="103"/>
      <c r="L4630" s="103"/>
      <c r="M4630" s="104"/>
      <c r="N4630" s="103"/>
    </row>
    <row r="4631" spans="1:14" ht="45" customHeight="1" thickBot="1" x14ac:dyDescent="0.4">
      <c r="A4631" s="103"/>
      <c r="B4631" s="103"/>
      <c r="C4631" s="103"/>
      <c r="D4631" s="103"/>
      <c r="E4631" s="103"/>
      <c r="F4631" s="103"/>
      <c r="G4631" s="103"/>
      <c r="H4631" s="103"/>
      <c r="I4631" s="103"/>
      <c r="J4631" s="103"/>
      <c r="K4631" s="103"/>
      <c r="L4631" s="103"/>
      <c r="M4631" s="104"/>
      <c r="N4631" s="103"/>
    </row>
    <row r="4632" spans="1:14" ht="45" customHeight="1" thickBot="1" x14ac:dyDescent="0.4">
      <c r="A4632" s="103"/>
      <c r="B4632" s="103"/>
      <c r="C4632" s="103"/>
      <c r="D4632" s="103"/>
      <c r="E4632" s="103"/>
      <c r="F4632" s="103"/>
      <c r="G4632" s="103"/>
      <c r="H4632" s="103"/>
      <c r="I4632" s="103"/>
      <c r="J4632" s="103"/>
      <c r="K4632" s="103"/>
      <c r="L4632" s="103"/>
      <c r="M4632" s="104"/>
      <c r="N4632" s="103"/>
    </row>
    <row r="4633" spans="1:14" ht="45" customHeight="1" thickBot="1" x14ac:dyDescent="0.4">
      <c r="A4633" s="103"/>
      <c r="B4633" s="103"/>
      <c r="C4633" s="103"/>
      <c r="D4633" s="103"/>
      <c r="E4633" s="103"/>
      <c r="F4633" s="103"/>
      <c r="G4633" s="103"/>
      <c r="H4633" s="103"/>
      <c r="I4633" s="103"/>
      <c r="J4633" s="103"/>
      <c r="K4633" s="103"/>
      <c r="L4633" s="103"/>
      <c r="M4633" s="104"/>
      <c r="N4633" s="103"/>
    </row>
    <row r="4634" spans="1:14" ht="45" customHeight="1" thickBot="1" x14ac:dyDescent="0.4">
      <c r="A4634" s="103"/>
      <c r="B4634" s="103"/>
      <c r="C4634" s="103"/>
      <c r="D4634" s="103"/>
      <c r="E4634" s="103"/>
      <c r="F4634" s="103"/>
      <c r="G4634" s="103"/>
      <c r="H4634" s="103"/>
      <c r="I4634" s="103"/>
      <c r="J4634" s="103"/>
      <c r="K4634" s="103"/>
      <c r="L4634" s="103"/>
      <c r="M4634" s="104"/>
      <c r="N4634" s="103"/>
    </row>
    <row r="4635" spans="1:14" ht="45" customHeight="1" thickBot="1" x14ac:dyDescent="0.4">
      <c r="A4635" s="103"/>
      <c r="B4635" s="103"/>
      <c r="C4635" s="103"/>
      <c r="D4635" s="103"/>
      <c r="E4635" s="103"/>
      <c r="F4635" s="103"/>
      <c r="G4635" s="103"/>
      <c r="H4635" s="103"/>
      <c r="I4635" s="103"/>
      <c r="J4635" s="103"/>
      <c r="K4635" s="103"/>
      <c r="L4635" s="103"/>
      <c r="M4635" s="104"/>
      <c r="N4635" s="103"/>
    </row>
    <row r="4636" spans="1:14" ht="45" customHeight="1" thickBot="1" x14ac:dyDescent="0.4">
      <c r="A4636" s="103"/>
      <c r="B4636" s="103"/>
      <c r="C4636" s="103"/>
      <c r="D4636" s="103"/>
      <c r="E4636" s="103"/>
      <c r="F4636" s="103"/>
      <c r="G4636" s="103"/>
      <c r="H4636" s="103"/>
      <c r="I4636" s="103"/>
      <c r="J4636" s="103"/>
      <c r="K4636" s="103"/>
      <c r="L4636" s="103"/>
      <c r="M4636" s="104"/>
      <c r="N4636" s="103"/>
    </row>
    <row r="4637" spans="1:14" ht="45" customHeight="1" thickBot="1" x14ac:dyDescent="0.4">
      <c r="A4637" s="103"/>
      <c r="B4637" s="103"/>
      <c r="C4637" s="103"/>
      <c r="D4637" s="103"/>
      <c r="E4637" s="103"/>
      <c r="F4637" s="103"/>
      <c r="G4637" s="103"/>
      <c r="H4637" s="103"/>
      <c r="I4637" s="103"/>
      <c r="J4637" s="103"/>
      <c r="K4637" s="103"/>
      <c r="L4637" s="103"/>
      <c r="M4637" s="104"/>
      <c r="N4637" s="103"/>
    </row>
    <row r="4638" spans="1:14" ht="45" customHeight="1" thickBot="1" x14ac:dyDescent="0.4">
      <c r="A4638" s="103"/>
      <c r="B4638" s="103"/>
      <c r="C4638" s="103"/>
      <c r="D4638" s="103"/>
      <c r="E4638" s="103"/>
      <c r="F4638" s="103"/>
      <c r="G4638" s="103"/>
      <c r="H4638" s="103"/>
      <c r="I4638" s="103"/>
      <c r="J4638" s="103"/>
      <c r="K4638" s="103"/>
      <c r="L4638" s="103"/>
      <c r="M4638" s="104"/>
      <c r="N4638" s="103"/>
    </row>
    <row r="4639" spans="1:14" ht="45" customHeight="1" thickBot="1" x14ac:dyDescent="0.4">
      <c r="A4639" s="103"/>
      <c r="B4639" s="103"/>
      <c r="C4639" s="103"/>
      <c r="D4639" s="103"/>
      <c r="E4639" s="103"/>
      <c r="F4639" s="103"/>
      <c r="G4639" s="103"/>
      <c r="H4639" s="103"/>
      <c r="I4639" s="103"/>
      <c r="J4639" s="103"/>
      <c r="K4639" s="103"/>
      <c r="L4639" s="103"/>
      <c r="M4639" s="104"/>
      <c r="N4639" s="103"/>
    </row>
    <row r="4640" spans="1:14" ht="45" customHeight="1" thickBot="1" x14ac:dyDescent="0.4">
      <c r="A4640" s="103"/>
      <c r="B4640" s="103"/>
      <c r="C4640" s="103"/>
      <c r="D4640" s="103"/>
      <c r="E4640" s="103"/>
      <c r="F4640" s="103"/>
      <c r="G4640" s="103"/>
      <c r="H4640" s="103"/>
      <c r="I4640" s="103"/>
      <c r="J4640" s="103"/>
      <c r="K4640" s="103"/>
      <c r="L4640" s="103"/>
      <c r="M4640" s="104"/>
      <c r="N4640" s="103"/>
    </row>
    <row r="4641" spans="1:14" ht="45" customHeight="1" thickBot="1" x14ac:dyDescent="0.4">
      <c r="A4641" s="103"/>
      <c r="B4641" s="103"/>
      <c r="C4641" s="103"/>
      <c r="D4641" s="103"/>
      <c r="E4641" s="103"/>
      <c r="F4641" s="103"/>
      <c r="G4641" s="103"/>
      <c r="H4641" s="103"/>
      <c r="I4641" s="103"/>
      <c r="J4641" s="103"/>
      <c r="K4641" s="103"/>
      <c r="L4641" s="103"/>
      <c r="M4641" s="104"/>
      <c r="N4641" s="103"/>
    </row>
    <row r="4642" spans="1:14" ht="45" customHeight="1" thickBot="1" x14ac:dyDescent="0.4">
      <c r="A4642" s="103"/>
      <c r="B4642" s="103"/>
      <c r="C4642" s="103"/>
      <c r="D4642" s="103"/>
      <c r="E4642" s="103"/>
      <c r="F4642" s="103"/>
      <c r="G4642" s="103"/>
      <c r="H4642" s="103"/>
      <c r="I4642" s="103"/>
      <c r="J4642" s="103"/>
      <c r="K4642" s="103"/>
      <c r="L4642" s="103"/>
      <c r="M4642" s="104"/>
      <c r="N4642" s="103"/>
    </row>
    <row r="4643" spans="1:14" ht="45" customHeight="1" thickBot="1" x14ac:dyDescent="0.4">
      <c r="A4643" s="103"/>
      <c r="B4643" s="103"/>
      <c r="C4643" s="103"/>
      <c r="D4643" s="103"/>
      <c r="E4643" s="103"/>
      <c r="F4643" s="103"/>
      <c r="G4643" s="103"/>
      <c r="H4643" s="103"/>
      <c r="I4643" s="103"/>
      <c r="J4643" s="103"/>
      <c r="K4643" s="103"/>
      <c r="L4643" s="103"/>
      <c r="M4643" s="104"/>
      <c r="N4643" s="103"/>
    </row>
    <row r="4644" spans="1:14" ht="45" customHeight="1" thickBot="1" x14ac:dyDescent="0.4">
      <c r="A4644" s="103"/>
      <c r="B4644" s="103"/>
      <c r="C4644" s="103"/>
      <c r="D4644" s="103"/>
      <c r="E4644" s="103"/>
      <c r="F4644" s="103"/>
      <c r="G4644" s="103"/>
      <c r="H4644" s="103"/>
      <c r="I4644" s="103"/>
      <c r="J4644" s="103"/>
      <c r="K4644" s="103"/>
      <c r="L4644" s="103"/>
      <c r="M4644" s="104"/>
      <c r="N4644" s="103"/>
    </row>
    <row r="4645" spans="1:14" ht="45" customHeight="1" thickBot="1" x14ac:dyDescent="0.4">
      <c r="A4645" s="103"/>
      <c r="B4645" s="103"/>
      <c r="C4645" s="103"/>
      <c r="D4645" s="103"/>
      <c r="E4645" s="103"/>
      <c r="F4645" s="103"/>
      <c r="G4645" s="103"/>
      <c r="H4645" s="103"/>
      <c r="I4645" s="103"/>
      <c r="J4645" s="103"/>
      <c r="K4645" s="103"/>
      <c r="L4645" s="103"/>
      <c r="M4645" s="104"/>
      <c r="N4645" s="103"/>
    </row>
    <row r="4646" spans="1:14" ht="45" customHeight="1" thickBot="1" x14ac:dyDescent="0.4">
      <c r="A4646" s="103"/>
      <c r="B4646" s="103"/>
      <c r="C4646" s="103"/>
      <c r="D4646" s="103"/>
      <c r="E4646" s="103"/>
      <c r="F4646" s="103"/>
      <c r="G4646" s="103"/>
      <c r="H4646" s="103"/>
      <c r="I4646" s="103"/>
      <c r="J4646" s="103"/>
      <c r="K4646" s="103"/>
      <c r="L4646" s="103"/>
      <c r="M4646" s="104"/>
      <c r="N4646" s="103"/>
    </row>
    <row r="4647" spans="1:14" ht="45" customHeight="1" thickBot="1" x14ac:dyDescent="0.4">
      <c r="A4647" s="103"/>
      <c r="B4647" s="103"/>
      <c r="C4647" s="103"/>
      <c r="D4647" s="103"/>
      <c r="E4647" s="103"/>
      <c r="F4647" s="103"/>
      <c r="G4647" s="103"/>
      <c r="H4647" s="103"/>
      <c r="I4647" s="103"/>
      <c r="J4647" s="103"/>
      <c r="K4647" s="103"/>
      <c r="L4647" s="103"/>
      <c r="M4647" s="104"/>
      <c r="N4647" s="103"/>
    </row>
    <row r="4648" spans="1:14" ht="45" customHeight="1" thickBot="1" x14ac:dyDescent="0.4">
      <c r="A4648" s="103"/>
      <c r="B4648" s="103"/>
      <c r="C4648" s="103"/>
      <c r="D4648" s="103"/>
      <c r="E4648" s="103"/>
      <c r="F4648" s="103"/>
      <c r="G4648" s="103"/>
      <c r="H4648" s="103"/>
      <c r="I4648" s="103"/>
      <c r="J4648" s="103"/>
      <c r="K4648" s="103"/>
      <c r="L4648" s="103"/>
      <c r="M4648" s="104"/>
      <c r="N4648" s="103"/>
    </row>
    <row r="4649" spans="1:14" ht="45" customHeight="1" thickBot="1" x14ac:dyDescent="0.4">
      <c r="A4649" s="103"/>
      <c r="B4649" s="103"/>
      <c r="C4649" s="103"/>
      <c r="D4649" s="103"/>
      <c r="E4649" s="103"/>
      <c r="F4649" s="103"/>
      <c r="G4649" s="103"/>
      <c r="H4649" s="103"/>
      <c r="I4649" s="103"/>
      <c r="J4649" s="103"/>
      <c r="K4649" s="103"/>
      <c r="L4649" s="103"/>
      <c r="M4649" s="104"/>
      <c r="N4649" s="103"/>
    </row>
    <row r="4650" spans="1:14" ht="45" customHeight="1" thickBot="1" x14ac:dyDescent="0.4">
      <c r="A4650" s="103"/>
      <c r="B4650" s="103"/>
      <c r="C4650" s="103"/>
      <c r="D4650" s="103"/>
      <c r="E4650" s="103"/>
      <c r="F4650" s="103"/>
      <c r="G4650" s="103"/>
      <c r="H4650" s="103"/>
      <c r="I4650" s="103"/>
      <c r="J4650" s="103"/>
      <c r="K4650" s="103"/>
      <c r="L4650" s="103"/>
      <c r="M4650" s="104"/>
      <c r="N4650" s="103"/>
    </row>
    <row r="4651" spans="1:14" ht="45" customHeight="1" thickBot="1" x14ac:dyDescent="0.4">
      <c r="A4651" s="103"/>
      <c r="B4651" s="103"/>
      <c r="C4651" s="103"/>
      <c r="D4651" s="103"/>
      <c r="E4651" s="103"/>
      <c r="F4651" s="103"/>
      <c r="G4651" s="103"/>
      <c r="H4651" s="103"/>
      <c r="I4651" s="103"/>
      <c r="J4651" s="103"/>
      <c r="K4651" s="103"/>
      <c r="L4651" s="103"/>
      <c r="M4651" s="104"/>
      <c r="N4651" s="103"/>
    </row>
    <row r="4652" spans="1:14" ht="45" customHeight="1" thickBot="1" x14ac:dyDescent="0.4">
      <c r="A4652" s="103"/>
      <c r="B4652" s="103"/>
      <c r="C4652" s="103"/>
      <c r="D4652" s="103"/>
      <c r="E4652" s="103"/>
      <c r="F4652" s="103"/>
      <c r="G4652" s="103"/>
      <c r="H4652" s="103"/>
      <c r="I4652" s="103"/>
      <c r="J4652" s="103"/>
      <c r="K4652" s="103"/>
      <c r="L4652" s="103"/>
      <c r="M4652" s="104"/>
      <c r="N4652" s="103"/>
    </row>
    <row r="4653" spans="1:14" ht="45" customHeight="1" thickBot="1" x14ac:dyDescent="0.4">
      <c r="A4653" s="103"/>
      <c r="B4653" s="103"/>
      <c r="C4653" s="103"/>
      <c r="D4653" s="103"/>
      <c r="E4653" s="103"/>
      <c r="F4653" s="103"/>
      <c r="G4653" s="103"/>
      <c r="H4653" s="103"/>
      <c r="I4653" s="103"/>
      <c r="J4653" s="103"/>
      <c r="K4653" s="103"/>
      <c r="L4653" s="103"/>
      <c r="M4653" s="104"/>
      <c r="N4653" s="103"/>
    </row>
    <row r="4654" spans="1:14" ht="45" customHeight="1" thickBot="1" x14ac:dyDescent="0.4">
      <c r="A4654" s="103"/>
      <c r="B4654" s="103"/>
      <c r="C4654" s="103"/>
      <c r="D4654" s="103"/>
      <c r="E4654" s="103"/>
      <c r="F4654" s="103"/>
      <c r="G4654" s="103"/>
      <c r="H4654" s="103"/>
      <c r="I4654" s="103"/>
      <c r="J4654" s="103"/>
      <c r="K4654" s="103"/>
      <c r="L4654" s="103"/>
      <c r="M4654" s="104"/>
      <c r="N4654" s="103"/>
    </row>
    <row r="4655" spans="1:14" ht="45" customHeight="1" thickBot="1" x14ac:dyDescent="0.4">
      <c r="A4655" s="103"/>
      <c r="B4655" s="103"/>
      <c r="C4655" s="103"/>
      <c r="D4655" s="103"/>
      <c r="E4655" s="103"/>
      <c r="F4655" s="103"/>
      <c r="G4655" s="103"/>
      <c r="H4655" s="103"/>
      <c r="I4655" s="103"/>
      <c r="J4655" s="103"/>
      <c r="K4655" s="103"/>
      <c r="L4655" s="103"/>
      <c r="M4655" s="104"/>
      <c r="N4655" s="103"/>
    </row>
    <row r="4656" spans="1:14" ht="45" customHeight="1" thickBot="1" x14ac:dyDescent="0.4">
      <c r="A4656" s="103"/>
      <c r="B4656" s="103"/>
      <c r="C4656" s="103"/>
      <c r="D4656" s="103"/>
      <c r="E4656" s="103"/>
      <c r="F4656" s="103"/>
      <c r="G4656" s="103"/>
      <c r="H4656" s="103"/>
      <c r="I4656" s="103"/>
      <c r="J4656" s="103"/>
      <c r="K4656" s="103"/>
      <c r="L4656" s="103"/>
      <c r="M4656" s="104"/>
      <c r="N4656" s="103"/>
    </row>
    <row r="4657" spans="1:14" ht="45" customHeight="1" thickBot="1" x14ac:dyDescent="0.4">
      <c r="A4657" s="103"/>
      <c r="B4657" s="103"/>
      <c r="C4657" s="103"/>
      <c r="D4657" s="103"/>
      <c r="E4657" s="103"/>
      <c r="F4657" s="103"/>
      <c r="G4657" s="103"/>
      <c r="H4657" s="103"/>
      <c r="I4657" s="103"/>
      <c r="J4657" s="103"/>
      <c r="K4657" s="103"/>
      <c r="L4657" s="103"/>
      <c r="M4657" s="104"/>
      <c r="N4657" s="103"/>
    </row>
    <row r="4658" spans="1:14" ht="45" customHeight="1" thickBot="1" x14ac:dyDescent="0.4">
      <c r="A4658" s="103"/>
      <c r="B4658" s="103"/>
      <c r="C4658" s="103"/>
      <c r="D4658" s="103"/>
      <c r="E4658" s="103"/>
      <c r="F4658" s="103"/>
      <c r="G4658" s="103"/>
      <c r="H4658" s="103"/>
      <c r="I4658" s="103"/>
      <c r="J4658" s="103"/>
      <c r="K4658" s="103"/>
      <c r="L4658" s="103"/>
      <c r="M4658" s="104"/>
      <c r="N4658" s="103"/>
    </row>
    <row r="4659" spans="1:14" ht="45" customHeight="1" thickBot="1" x14ac:dyDescent="0.4">
      <c r="A4659" s="103"/>
      <c r="B4659" s="103"/>
      <c r="C4659" s="103"/>
      <c r="D4659" s="103"/>
      <c r="E4659" s="103"/>
      <c r="F4659" s="103"/>
      <c r="G4659" s="103"/>
      <c r="H4659" s="103"/>
      <c r="I4659" s="103"/>
      <c r="J4659" s="103"/>
      <c r="K4659" s="103"/>
      <c r="L4659" s="103"/>
      <c r="M4659" s="104"/>
      <c r="N4659" s="103"/>
    </row>
    <row r="4660" spans="1:14" ht="45" customHeight="1" thickBot="1" x14ac:dyDescent="0.4">
      <c r="A4660" s="103"/>
      <c r="B4660" s="103"/>
      <c r="C4660" s="103"/>
      <c r="D4660" s="103"/>
      <c r="E4660" s="103"/>
      <c r="F4660" s="103"/>
      <c r="G4660" s="103"/>
      <c r="H4660" s="103"/>
      <c r="I4660" s="103"/>
      <c r="J4660" s="103"/>
      <c r="K4660" s="103"/>
      <c r="L4660" s="103"/>
      <c r="M4660" s="104"/>
      <c r="N4660" s="103"/>
    </row>
    <row r="4661" spans="1:14" ht="45" customHeight="1" thickBot="1" x14ac:dyDescent="0.4">
      <c r="A4661" s="103"/>
      <c r="B4661" s="103"/>
      <c r="C4661" s="103"/>
      <c r="D4661" s="103"/>
      <c r="E4661" s="103"/>
      <c r="F4661" s="103"/>
      <c r="G4661" s="103"/>
      <c r="H4661" s="103"/>
      <c r="I4661" s="103"/>
      <c r="J4661" s="103"/>
      <c r="K4661" s="103"/>
      <c r="L4661" s="103"/>
      <c r="M4661" s="104"/>
      <c r="N4661" s="103"/>
    </row>
    <row r="4662" spans="1:14" ht="45" customHeight="1" thickBot="1" x14ac:dyDescent="0.4">
      <c r="A4662" s="103"/>
      <c r="B4662" s="103"/>
      <c r="C4662" s="103"/>
      <c r="D4662" s="103"/>
      <c r="E4662" s="103"/>
      <c r="F4662" s="103"/>
      <c r="G4662" s="103"/>
      <c r="H4662" s="103"/>
      <c r="I4662" s="103"/>
      <c r="J4662" s="103"/>
      <c r="K4662" s="103"/>
      <c r="L4662" s="103"/>
      <c r="M4662" s="104"/>
      <c r="N4662" s="103"/>
    </row>
    <row r="4663" spans="1:14" ht="45" customHeight="1" thickBot="1" x14ac:dyDescent="0.4">
      <c r="A4663" s="103"/>
      <c r="B4663" s="103"/>
      <c r="C4663" s="103"/>
      <c r="D4663" s="103"/>
      <c r="E4663" s="103"/>
      <c r="F4663" s="103"/>
      <c r="G4663" s="103"/>
      <c r="H4663" s="103"/>
      <c r="I4663" s="103"/>
      <c r="J4663" s="103"/>
      <c r="K4663" s="103"/>
      <c r="L4663" s="103"/>
      <c r="M4663" s="104"/>
      <c r="N4663" s="103"/>
    </row>
    <row r="4664" spans="1:14" ht="45" customHeight="1" thickBot="1" x14ac:dyDescent="0.4">
      <c r="A4664" s="103"/>
      <c r="B4664" s="103"/>
      <c r="C4664" s="103"/>
      <c r="D4664" s="103"/>
      <c r="E4664" s="103"/>
      <c r="F4664" s="103"/>
      <c r="G4664" s="103"/>
      <c r="H4664" s="103"/>
      <c r="I4664" s="103"/>
      <c r="J4664" s="103"/>
      <c r="K4664" s="103"/>
      <c r="L4664" s="103"/>
      <c r="M4664" s="104"/>
      <c r="N4664" s="103"/>
    </row>
    <row r="4665" spans="1:14" ht="45" customHeight="1" thickBot="1" x14ac:dyDescent="0.4">
      <c r="A4665" s="103"/>
      <c r="B4665" s="103"/>
      <c r="C4665" s="103"/>
      <c r="D4665" s="103"/>
      <c r="E4665" s="103"/>
      <c r="F4665" s="103"/>
      <c r="G4665" s="103"/>
      <c r="H4665" s="103"/>
      <c r="I4665" s="103"/>
      <c r="J4665" s="103"/>
      <c r="K4665" s="103"/>
      <c r="L4665" s="103"/>
      <c r="M4665" s="104"/>
      <c r="N4665" s="103"/>
    </row>
    <row r="4666" spans="1:14" ht="45" customHeight="1" thickBot="1" x14ac:dyDescent="0.4">
      <c r="A4666" s="103"/>
      <c r="B4666" s="103"/>
      <c r="C4666" s="103"/>
      <c r="D4666" s="103"/>
      <c r="E4666" s="103"/>
      <c r="F4666" s="103"/>
      <c r="G4666" s="103"/>
      <c r="H4666" s="103"/>
      <c r="I4666" s="103"/>
      <c r="J4666" s="103"/>
      <c r="K4666" s="103"/>
      <c r="L4666" s="103"/>
      <c r="M4666" s="104"/>
      <c r="N4666" s="103"/>
    </row>
    <row r="4667" spans="1:14" ht="45" customHeight="1" thickBot="1" x14ac:dyDescent="0.4">
      <c r="A4667" s="103"/>
      <c r="B4667" s="103"/>
      <c r="C4667" s="103"/>
      <c r="D4667" s="103"/>
      <c r="E4667" s="103"/>
      <c r="F4667" s="103"/>
      <c r="G4667" s="103"/>
      <c r="H4667" s="103"/>
      <c r="I4667" s="103"/>
      <c r="J4667" s="103"/>
      <c r="K4667" s="103"/>
      <c r="L4667" s="103"/>
      <c r="M4667" s="104"/>
      <c r="N4667" s="103"/>
    </row>
    <row r="4668" spans="1:14" ht="45" customHeight="1" thickBot="1" x14ac:dyDescent="0.4">
      <c r="A4668" s="103"/>
      <c r="B4668" s="103"/>
      <c r="C4668" s="103"/>
      <c r="D4668" s="103"/>
      <c r="E4668" s="103"/>
      <c r="F4668" s="103"/>
      <c r="G4668" s="103"/>
      <c r="H4668" s="103"/>
      <c r="I4668" s="103"/>
      <c r="J4668" s="103"/>
      <c r="K4668" s="103"/>
      <c r="L4668" s="103"/>
      <c r="M4668" s="104"/>
      <c r="N4668" s="103"/>
    </row>
    <row r="4669" spans="1:14" ht="45" customHeight="1" thickBot="1" x14ac:dyDescent="0.4">
      <c r="A4669" s="103"/>
      <c r="B4669" s="103"/>
      <c r="C4669" s="103"/>
      <c r="D4669" s="103"/>
      <c r="E4669" s="103"/>
      <c r="F4669" s="103"/>
      <c r="G4669" s="103"/>
      <c r="H4669" s="103"/>
      <c r="I4669" s="103"/>
      <c r="J4669" s="103"/>
      <c r="K4669" s="103"/>
      <c r="L4669" s="103"/>
      <c r="M4669" s="104"/>
      <c r="N4669" s="103"/>
    </row>
    <row r="4670" spans="1:14" ht="45" customHeight="1" thickBot="1" x14ac:dyDescent="0.4">
      <c r="A4670" s="103"/>
      <c r="B4670" s="103"/>
      <c r="C4670" s="103"/>
      <c r="D4670" s="103"/>
      <c r="E4670" s="103"/>
      <c r="F4670" s="103"/>
      <c r="G4670" s="103"/>
      <c r="H4670" s="103"/>
      <c r="I4670" s="103"/>
      <c r="J4670" s="103"/>
      <c r="K4670" s="103"/>
      <c r="L4670" s="103"/>
      <c r="M4670" s="104"/>
      <c r="N4670" s="103"/>
    </row>
    <row r="4671" spans="1:14" ht="45" customHeight="1" thickBot="1" x14ac:dyDescent="0.4">
      <c r="A4671" s="103"/>
      <c r="B4671" s="103"/>
      <c r="C4671" s="103"/>
      <c r="D4671" s="103"/>
      <c r="E4671" s="103"/>
      <c r="F4671" s="103"/>
      <c r="G4671" s="103"/>
      <c r="H4671" s="103"/>
      <c r="I4671" s="103"/>
      <c r="J4671" s="103"/>
      <c r="K4671" s="103"/>
      <c r="L4671" s="103"/>
      <c r="M4671" s="104"/>
      <c r="N4671" s="103"/>
    </row>
    <row r="4672" spans="1:14" ht="45" customHeight="1" thickBot="1" x14ac:dyDescent="0.4">
      <c r="A4672" s="103"/>
      <c r="B4672" s="103"/>
      <c r="C4672" s="103"/>
      <c r="D4672" s="103"/>
      <c r="E4672" s="103"/>
      <c r="F4672" s="103"/>
      <c r="G4672" s="103"/>
      <c r="H4672" s="103"/>
      <c r="I4672" s="103"/>
      <c r="J4672" s="103"/>
      <c r="K4672" s="103"/>
      <c r="L4672" s="103"/>
      <c r="M4672" s="104"/>
      <c r="N4672" s="103"/>
    </row>
    <row r="4673" spans="1:14" ht="45" customHeight="1" thickBot="1" x14ac:dyDescent="0.4">
      <c r="A4673" s="103"/>
      <c r="B4673" s="103"/>
      <c r="C4673" s="103"/>
      <c r="D4673" s="103"/>
      <c r="E4673" s="103"/>
      <c r="F4673" s="103"/>
      <c r="G4673" s="103"/>
      <c r="H4673" s="103"/>
      <c r="I4673" s="103"/>
      <c r="J4673" s="103"/>
      <c r="K4673" s="103"/>
      <c r="L4673" s="103"/>
      <c r="M4673" s="104"/>
      <c r="N4673" s="103"/>
    </row>
    <row r="4674" spans="1:14" ht="45" customHeight="1" thickBot="1" x14ac:dyDescent="0.4">
      <c r="A4674" s="103"/>
      <c r="B4674" s="103"/>
      <c r="C4674" s="103"/>
      <c r="D4674" s="103"/>
      <c r="E4674" s="103"/>
      <c r="F4674" s="103"/>
      <c r="G4674" s="103"/>
      <c r="H4674" s="103"/>
      <c r="I4674" s="103"/>
      <c r="J4674" s="103"/>
      <c r="K4674" s="103"/>
      <c r="L4674" s="103"/>
      <c r="M4674" s="104"/>
      <c r="N4674" s="103"/>
    </row>
    <row r="4675" spans="1:14" ht="45" customHeight="1" thickBot="1" x14ac:dyDescent="0.4">
      <c r="A4675" s="103"/>
      <c r="B4675" s="103"/>
      <c r="C4675" s="103"/>
      <c r="D4675" s="103"/>
      <c r="E4675" s="103"/>
      <c r="F4675" s="103"/>
      <c r="G4675" s="103"/>
      <c r="H4675" s="103"/>
      <c r="I4675" s="103"/>
      <c r="J4675" s="103"/>
      <c r="K4675" s="103"/>
      <c r="L4675" s="103"/>
      <c r="M4675" s="104"/>
      <c r="N4675" s="103"/>
    </row>
    <row r="4676" spans="1:14" ht="45" customHeight="1" thickBot="1" x14ac:dyDescent="0.4">
      <c r="A4676" s="103"/>
      <c r="B4676" s="103"/>
      <c r="C4676" s="103"/>
      <c r="D4676" s="103"/>
      <c r="E4676" s="103"/>
      <c r="F4676" s="103"/>
      <c r="G4676" s="103"/>
      <c r="H4676" s="103"/>
      <c r="I4676" s="103"/>
      <c r="J4676" s="103"/>
      <c r="K4676" s="103"/>
      <c r="L4676" s="103"/>
      <c r="M4676" s="104"/>
      <c r="N4676" s="103"/>
    </row>
    <row r="4677" spans="1:14" ht="45" customHeight="1" thickBot="1" x14ac:dyDescent="0.4">
      <c r="A4677" s="103"/>
      <c r="B4677" s="103"/>
      <c r="C4677" s="103"/>
      <c r="D4677" s="103"/>
      <c r="E4677" s="103"/>
      <c r="F4677" s="103"/>
      <c r="G4677" s="103"/>
      <c r="H4677" s="103"/>
      <c r="I4677" s="103"/>
      <c r="J4677" s="103"/>
      <c r="K4677" s="103"/>
      <c r="L4677" s="103"/>
      <c r="M4677" s="104"/>
      <c r="N4677" s="103"/>
    </row>
    <row r="4678" spans="1:14" ht="45" customHeight="1" thickBot="1" x14ac:dyDescent="0.4">
      <c r="A4678" s="103"/>
      <c r="B4678" s="103"/>
      <c r="C4678" s="103"/>
      <c r="D4678" s="103"/>
      <c r="E4678" s="103"/>
      <c r="F4678" s="103"/>
      <c r="G4678" s="103"/>
      <c r="H4678" s="103"/>
      <c r="I4678" s="103"/>
      <c r="J4678" s="103"/>
      <c r="K4678" s="103"/>
      <c r="L4678" s="103"/>
      <c r="M4678" s="104"/>
      <c r="N4678" s="103"/>
    </row>
    <row r="4679" spans="1:14" ht="45" customHeight="1" thickBot="1" x14ac:dyDescent="0.4">
      <c r="A4679" s="103"/>
      <c r="B4679" s="103"/>
      <c r="C4679" s="103"/>
      <c r="D4679" s="103"/>
      <c r="E4679" s="103"/>
      <c r="F4679" s="103"/>
      <c r="G4679" s="103"/>
      <c r="H4679" s="103"/>
      <c r="I4679" s="103"/>
      <c r="J4679" s="103"/>
      <c r="K4679" s="103"/>
      <c r="L4679" s="103"/>
      <c r="M4679" s="104"/>
      <c r="N4679" s="103"/>
    </row>
    <row r="4680" spans="1:14" ht="45" customHeight="1" thickBot="1" x14ac:dyDescent="0.4">
      <c r="A4680" s="103"/>
      <c r="B4680" s="103"/>
      <c r="C4680" s="103"/>
      <c r="D4680" s="103"/>
      <c r="E4680" s="103"/>
      <c r="F4680" s="103"/>
      <c r="G4680" s="103"/>
      <c r="H4680" s="103"/>
      <c r="I4680" s="103"/>
      <c r="J4680" s="103"/>
      <c r="K4680" s="103"/>
      <c r="L4680" s="103"/>
      <c r="M4680" s="104"/>
      <c r="N4680" s="103"/>
    </row>
    <row r="4681" spans="1:14" ht="45" customHeight="1" thickBot="1" x14ac:dyDescent="0.4">
      <c r="A4681" s="103"/>
      <c r="B4681" s="103"/>
      <c r="C4681" s="103"/>
      <c r="D4681" s="103"/>
      <c r="E4681" s="103"/>
      <c r="F4681" s="103"/>
      <c r="G4681" s="103"/>
      <c r="H4681" s="103"/>
      <c r="I4681" s="103"/>
      <c r="J4681" s="103"/>
      <c r="K4681" s="103"/>
      <c r="L4681" s="103"/>
      <c r="M4681" s="104"/>
      <c r="N4681" s="103"/>
    </row>
    <row r="4682" spans="1:14" ht="45" customHeight="1" thickBot="1" x14ac:dyDescent="0.4">
      <c r="A4682" s="103"/>
      <c r="B4682" s="103"/>
      <c r="C4682" s="103"/>
      <c r="D4682" s="103"/>
      <c r="E4682" s="103"/>
      <c r="F4682" s="103"/>
      <c r="G4682" s="103"/>
      <c r="H4682" s="103"/>
      <c r="I4682" s="103"/>
      <c r="J4682" s="103"/>
      <c r="K4682" s="103"/>
      <c r="L4682" s="103"/>
      <c r="M4682" s="104"/>
      <c r="N4682" s="103"/>
    </row>
    <row r="4683" spans="1:14" ht="45" customHeight="1" thickBot="1" x14ac:dyDescent="0.4">
      <c r="A4683" s="103"/>
      <c r="B4683" s="103"/>
      <c r="C4683" s="103"/>
      <c r="D4683" s="103"/>
      <c r="E4683" s="103"/>
      <c r="F4683" s="103"/>
      <c r="G4683" s="103"/>
      <c r="H4683" s="103"/>
      <c r="I4683" s="103"/>
      <c r="J4683" s="103"/>
      <c r="K4683" s="103"/>
      <c r="L4683" s="103"/>
      <c r="M4683" s="104"/>
      <c r="N4683" s="103"/>
    </row>
    <row r="4684" spans="1:14" ht="45" customHeight="1" thickBot="1" x14ac:dyDescent="0.4">
      <c r="A4684" s="103"/>
      <c r="B4684" s="103"/>
      <c r="C4684" s="103"/>
      <c r="D4684" s="103"/>
      <c r="E4684" s="103"/>
      <c r="F4684" s="103"/>
      <c r="G4684" s="103"/>
      <c r="H4684" s="103"/>
      <c r="I4684" s="103"/>
      <c r="J4684" s="103"/>
      <c r="K4684" s="103"/>
      <c r="L4684" s="103"/>
      <c r="M4684" s="104"/>
      <c r="N4684" s="103"/>
    </row>
    <row r="4685" spans="1:14" ht="45" customHeight="1" thickBot="1" x14ac:dyDescent="0.4">
      <c r="A4685" s="103"/>
      <c r="B4685" s="103"/>
      <c r="C4685" s="103"/>
      <c r="D4685" s="103"/>
      <c r="E4685" s="103"/>
      <c r="F4685" s="103"/>
      <c r="G4685" s="103"/>
      <c r="H4685" s="103"/>
      <c r="I4685" s="103"/>
      <c r="J4685" s="103"/>
      <c r="K4685" s="103"/>
      <c r="L4685" s="103"/>
      <c r="M4685" s="104"/>
      <c r="N4685" s="103"/>
    </row>
    <row r="4686" spans="1:14" ht="45" customHeight="1" thickBot="1" x14ac:dyDescent="0.4">
      <c r="A4686" s="103"/>
      <c r="B4686" s="103"/>
      <c r="C4686" s="103"/>
      <c r="D4686" s="103"/>
      <c r="E4686" s="103"/>
      <c r="F4686" s="103"/>
      <c r="G4686" s="103"/>
      <c r="H4686" s="103"/>
      <c r="I4686" s="103"/>
      <c r="J4686" s="103"/>
      <c r="K4686" s="103"/>
      <c r="L4686" s="103"/>
      <c r="M4686" s="104"/>
      <c r="N4686" s="103"/>
    </row>
    <row r="4687" spans="1:14" ht="45" customHeight="1" thickBot="1" x14ac:dyDescent="0.4">
      <c r="A4687" s="103"/>
      <c r="B4687" s="103"/>
      <c r="C4687" s="103"/>
      <c r="D4687" s="103"/>
      <c r="E4687" s="103"/>
      <c r="F4687" s="103"/>
      <c r="G4687" s="103"/>
      <c r="H4687" s="103"/>
      <c r="I4687" s="103"/>
      <c r="J4687" s="103"/>
      <c r="K4687" s="103"/>
      <c r="L4687" s="103"/>
      <c r="M4687" s="104"/>
      <c r="N4687" s="103"/>
    </row>
    <row r="4688" spans="1:14" ht="45" customHeight="1" thickBot="1" x14ac:dyDescent="0.4">
      <c r="A4688" s="103"/>
      <c r="B4688" s="103"/>
      <c r="C4688" s="103"/>
      <c r="D4688" s="103"/>
      <c r="E4688" s="103"/>
      <c r="F4688" s="103"/>
      <c r="G4688" s="103"/>
      <c r="H4688" s="103"/>
      <c r="I4688" s="103"/>
      <c r="J4688" s="103"/>
      <c r="K4688" s="103"/>
      <c r="L4688" s="103"/>
      <c r="M4688" s="104"/>
      <c r="N4688" s="103"/>
    </row>
    <row r="4689" spans="1:14" ht="45" customHeight="1" thickBot="1" x14ac:dyDescent="0.4">
      <c r="A4689" s="103"/>
      <c r="B4689" s="103"/>
      <c r="C4689" s="103"/>
      <c r="D4689" s="103"/>
      <c r="E4689" s="103"/>
      <c r="F4689" s="103"/>
      <c r="G4689" s="103"/>
      <c r="H4689" s="103"/>
      <c r="I4689" s="103"/>
      <c r="J4689" s="103"/>
      <c r="K4689" s="103"/>
      <c r="L4689" s="103"/>
      <c r="M4689" s="104"/>
      <c r="N4689" s="103"/>
    </row>
    <row r="4690" spans="1:14" ht="45" customHeight="1" thickBot="1" x14ac:dyDescent="0.4">
      <c r="A4690" s="103"/>
      <c r="B4690" s="103"/>
      <c r="C4690" s="103"/>
      <c r="D4690" s="103"/>
      <c r="E4690" s="103"/>
      <c r="F4690" s="103"/>
      <c r="G4690" s="103"/>
      <c r="H4690" s="103"/>
      <c r="I4690" s="103"/>
      <c r="J4690" s="103"/>
      <c r="K4690" s="103"/>
      <c r="L4690" s="103"/>
      <c r="M4690" s="104"/>
      <c r="N4690" s="103"/>
    </row>
    <row r="4691" spans="1:14" ht="45" customHeight="1" thickBot="1" x14ac:dyDescent="0.4">
      <c r="A4691" s="103"/>
      <c r="B4691" s="103"/>
      <c r="C4691" s="103"/>
      <c r="D4691" s="103"/>
      <c r="E4691" s="103"/>
      <c r="F4691" s="103"/>
      <c r="G4691" s="103"/>
      <c r="H4691" s="103"/>
      <c r="I4691" s="103"/>
      <c r="J4691" s="103"/>
      <c r="K4691" s="103"/>
      <c r="L4691" s="103"/>
      <c r="M4691" s="104"/>
      <c r="N4691" s="103"/>
    </row>
    <row r="4692" spans="1:14" ht="45" customHeight="1" thickBot="1" x14ac:dyDescent="0.4">
      <c r="A4692" s="103"/>
      <c r="B4692" s="103"/>
      <c r="C4692" s="103"/>
      <c r="D4692" s="103"/>
      <c r="E4692" s="103"/>
      <c r="F4692" s="103"/>
      <c r="G4692" s="103"/>
      <c r="H4692" s="103"/>
      <c r="I4692" s="103"/>
      <c r="J4692" s="103"/>
      <c r="K4692" s="103"/>
      <c r="L4692" s="103"/>
      <c r="M4692" s="104"/>
      <c r="N4692" s="103"/>
    </row>
    <row r="4693" spans="1:14" ht="45" customHeight="1" thickBot="1" x14ac:dyDescent="0.4">
      <c r="A4693" s="103"/>
      <c r="B4693" s="103"/>
      <c r="C4693" s="103"/>
      <c r="D4693" s="103"/>
      <c r="E4693" s="103"/>
      <c r="F4693" s="103"/>
      <c r="G4693" s="103"/>
      <c r="H4693" s="103"/>
      <c r="I4693" s="103"/>
      <c r="J4693" s="103"/>
      <c r="K4693" s="103"/>
      <c r="L4693" s="103"/>
      <c r="M4693" s="104"/>
      <c r="N4693" s="103"/>
    </row>
    <row r="4694" spans="1:14" ht="45" customHeight="1" thickBot="1" x14ac:dyDescent="0.4">
      <c r="A4694" s="103"/>
      <c r="B4694" s="103"/>
      <c r="C4694" s="103"/>
      <c r="D4694" s="103"/>
      <c r="E4694" s="103"/>
      <c r="F4694" s="103"/>
      <c r="G4694" s="103"/>
      <c r="H4694" s="103"/>
      <c r="I4694" s="103"/>
      <c r="J4694" s="103"/>
      <c r="K4694" s="103"/>
      <c r="L4694" s="103"/>
      <c r="M4694" s="104"/>
      <c r="N4694" s="103"/>
    </row>
    <row r="4695" spans="1:14" ht="45" customHeight="1" thickBot="1" x14ac:dyDescent="0.4">
      <c r="A4695" s="103"/>
      <c r="B4695" s="103"/>
      <c r="C4695" s="103"/>
      <c r="D4695" s="103"/>
      <c r="E4695" s="103"/>
      <c r="F4695" s="103"/>
      <c r="G4695" s="103"/>
      <c r="H4695" s="103"/>
      <c r="I4695" s="103"/>
      <c r="J4695" s="103"/>
      <c r="K4695" s="103"/>
      <c r="L4695" s="103"/>
      <c r="M4695" s="104"/>
      <c r="N4695" s="103"/>
    </row>
    <row r="4696" spans="1:14" ht="45" customHeight="1" thickBot="1" x14ac:dyDescent="0.4">
      <c r="A4696" s="103"/>
      <c r="B4696" s="103"/>
      <c r="C4696" s="103"/>
      <c r="D4696" s="103"/>
      <c r="E4696" s="103"/>
      <c r="F4696" s="103"/>
      <c r="G4696" s="103"/>
      <c r="H4696" s="103"/>
      <c r="I4696" s="103"/>
      <c r="J4696" s="103"/>
      <c r="K4696" s="103"/>
      <c r="L4696" s="103"/>
      <c r="M4696" s="104"/>
      <c r="N4696" s="103"/>
    </row>
    <row r="4697" spans="1:14" ht="45" customHeight="1" thickBot="1" x14ac:dyDescent="0.4">
      <c r="A4697" s="103"/>
      <c r="B4697" s="103"/>
      <c r="C4697" s="103"/>
      <c r="D4697" s="103"/>
      <c r="E4697" s="103"/>
      <c r="F4697" s="103"/>
      <c r="G4697" s="103"/>
      <c r="H4697" s="103"/>
      <c r="I4697" s="103"/>
      <c r="J4697" s="103"/>
      <c r="K4697" s="103"/>
      <c r="L4697" s="103"/>
      <c r="M4697" s="104"/>
      <c r="N4697" s="103"/>
    </row>
    <row r="4698" spans="1:14" ht="45" customHeight="1" thickBot="1" x14ac:dyDescent="0.4">
      <c r="A4698" s="103"/>
      <c r="B4698" s="103"/>
      <c r="C4698" s="103"/>
      <c r="D4698" s="103"/>
      <c r="E4698" s="103"/>
      <c r="F4698" s="103"/>
      <c r="G4698" s="103"/>
      <c r="H4698" s="103"/>
      <c r="I4698" s="103"/>
      <c r="J4698" s="103"/>
      <c r="K4698" s="103"/>
      <c r="L4698" s="103"/>
      <c r="M4698" s="104"/>
      <c r="N4698" s="103"/>
    </row>
    <row r="4699" spans="1:14" ht="45" customHeight="1" thickBot="1" x14ac:dyDescent="0.4">
      <c r="A4699" s="103"/>
      <c r="B4699" s="103"/>
      <c r="C4699" s="103"/>
      <c r="D4699" s="103"/>
      <c r="E4699" s="103"/>
      <c r="F4699" s="103"/>
      <c r="G4699" s="103"/>
      <c r="H4699" s="103"/>
      <c r="I4699" s="103"/>
      <c r="J4699" s="103"/>
      <c r="K4699" s="103"/>
      <c r="L4699" s="103"/>
      <c r="M4699" s="104"/>
      <c r="N4699" s="103"/>
    </row>
    <row r="4700" spans="1:14" ht="45" customHeight="1" thickBot="1" x14ac:dyDescent="0.4">
      <c r="A4700" s="103"/>
      <c r="B4700" s="103"/>
      <c r="C4700" s="103"/>
      <c r="D4700" s="103"/>
      <c r="E4700" s="103"/>
      <c r="F4700" s="103"/>
      <c r="G4700" s="103"/>
      <c r="H4700" s="103"/>
      <c r="I4700" s="103"/>
      <c r="J4700" s="103"/>
      <c r="K4700" s="103"/>
      <c r="L4700" s="103"/>
      <c r="M4700" s="104"/>
      <c r="N4700" s="103"/>
    </row>
    <row r="4701" spans="1:14" ht="45" customHeight="1" thickBot="1" x14ac:dyDescent="0.4">
      <c r="A4701" s="103"/>
      <c r="B4701" s="103"/>
      <c r="C4701" s="103"/>
      <c r="D4701" s="103"/>
      <c r="E4701" s="103"/>
      <c r="F4701" s="103"/>
      <c r="G4701" s="103"/>
      <c r="H4701" s="103"/>
      <c r="I4701" s="103"/>
      <c r="J4701" s="103"/>
      <c r="K4701" s="103"/>
      <c r="L4701" s="103"/>
      <c r="M4701" s="104"/>
      <c r="N4701" s="103"/>
    </row>
    <row r="4702" spans="1:14" ht="45" customHeight="1" thickBot="1" x14ac:dyDescent="0.4">
      <c r="A4702" s="103"/>
      <c r="B4702" s="103"/>
      <c r="C4702" s="103"/>
      <c r="D4702" s="103"/>
      <c r="E4702" s="103"/>
      <c r="F4702" s="103"/>
      <c r="G4702" s="103"/>
      <c r="H4702" s="103"/>
      <c r="I4702" s="103"/>
      <c r="J4702" s="103"/>
      <c r="K4702" s="103"/>
      <c r="L4702" s="103"/>
      <c r="M4702" s="104"/>
      <c r="N4702" s="103"/>
    </row>
    <row r="4703" spans="1:14" ht="45" customHeight="1" thickBot="1" x14ac:dyDescent="0.4">
      <c r="A4703" s="103"/>
      <c r="B4703" s="103"/>
      <c r="C4703" s="103"/>
      <c r="D4703" s="103"/>
      <c r="E4703" s="103"/>
      <c r="F4703" s="103"/>
      <c r="G4703" s="103"/>
      <c r="H4703" s="103"/>
      <c r="I4703" s="103"/>
      <c r="J4703" s="103"/>
      <c r="K4703" s="103"/>
      <c r="L4703" s="103"/>
      <c r="M4703" s="104"/>
      <c r="N4703" s="103"/>
    </row>
    <row r="4704" spans="1:14" ht="45" customHeight="1" thickBot="1" x14ac:dyDescent="0.4">
      <c r="A4704" s="103"/>
      <c r="B4704" s="103"/>
      <c r="C4704" s="103"/>
      <c r="D4704" s="103"/>
      <c r="E4704" s="103"/>
      <c r="F4704" s="103"/>
      <c r="G4704" s="103"/>
      <c r="H4704" s="103"/>
      <c r="I4704" s="103"/>
      <c r="J4704" s="103"/>
      <c r="K4704" s="103"/>
      <c r="L4704" s="103"/>
      <c r="M4704" s="104"/>
      <c r="N4704" s="103"/>
    </row>
    <row r="4705" spans="1:14" ht="45" customHeight="1" thickBot="1" x14ac:dyDescent="0.4">
      <c r="A4705" s="103"/>
      <c r="B4705" s="103"/>
      <c r="C4705" s="103"/>
      <c r="D4705" s="103"/>
      <c r="E4705" s="103"/>
      <c r="F4705" s="103"/>
      <c r="G4705" s="103"/>
      <c r="H4705" s="103"/>
      <c r="I4705" s="103"/>
      <c r="J4705" s="103"/>
      <c r="K4705" s="103"/>
      <c r="L4705" s="103"/>
      <c r="M4705" s="104"/>
      <c r="N4705" s="103"/>
    </row>
    <row r="4706" spans="1:14" ht="45" customHeight="1" thickBot="1" x14ac:dyDescent="0.4">
      <c r="A4706" s="103"/>
      <c r="B4706" s="103"/>
      <c r="C4706" s="103"/>
      <c r="D4706" s="103"/>
      <c r="E4706" s="103"/>
      <c r="F4706" s="103"/>
      <c r="G4706" s="103"/>
      <c r="H4706" s="103"/>
      <c r="I4706" s="103"/>
      <c r="J4706" s="103"/>
      <c r="K4706" s="103"/>
      <c r="L4706" s="103"/>
      <c r="M4706" s="104"/>
      <c r="N4706" s="103"/>
    </row>
    <row r="4707" spans="1:14" ht="45" customHeight="1" thickBot="1" x14ac:dyDescent="0.4">
      <c r="A4707" s="103"/>
      <c r="B4707" s="103"/>
      <c r="C4707" s="103"/>
      <c r="D4707" s="103"/>
      <c r="E4707" s="103"/>
      <c r="F4707" s="103"/>
      <c r="G4707" s="103"/>
      <c r="H4707" s="103"/>
      <c r="I4707" s="103"/>
      <c r="J4707" s="103"/>
      <c r="K4707" s="103"/>
      <c r="L4707" s="103"/>
      <c r="M4707" s="104"/>
      <c r="N4707" s="103"/>
    </row>
    <row r="4708" spans="1:14" ht="45" customHeight="1" thickBot="1" x14ac:dyDescent="0.4">
      <c r="A4708" s="103"/>
      <c r="B4708" s="103"/>
      <c r="C4708" s="103"/>
      <c r="D4708" s="103"/>
      <c r="E4708" s="103"/>
      <c r="F4708" s="103"/>
      <c r="G4708" s="103"/>
      <c r="H4708" s="103"/>
      <c r="I4708" s="103"/>
      <c r="J4708" s="103"/>
      <c r="K4708" s="103"/>
      <c r="L4708" s="103"/>
      <c r="M4708" s="104"/>
      <c r="N4708" s="103"/>
    </row>
    <row r="4709" spans="1:14" ht="45" customHeight="1" thickBot="1" x14ac:dyDescent="0.4">
      <c r="A4709" s="103"/>
      <c r="B4709" s="103"/>
      <c r="C4709" s="103"/>
      <c r="D4709" s="103"/>
      <c r="E4709" s="103"/>
      <c r="F4709" s="103"/>
      <c r="G4709" s="103"/>
      <c r="H4709" s="103"/>
      <c r="I4709" s="103"/>
      <c r="J4709" s="103"/>
      <c r="K4709" s="103"/>
      <c r="L4709" s="103"/>
      <c r="M4709" s="104"/>
      <c r="N4709" s="103"/>
    </row>
    <row r="4710" spans="1:14" ht="45" customHeight="1" thickBot="1" x14ac:dyDescent="0.4">
      <c r="A4710" s="103"/>
      <c r="B4710" s="103"/>
      <c r="C4710" s="103"/>
      <c r="D4710" s="103"/>
      <c r="E4710" s="103"/>
      <c r="F4710" s="103"/>
      <c r="G4710" s="103"/>
      <c r="H4710" s="103"/>
      <c r="I4710" s="103"/>
      <c r="J4710" s="103"/>
      <c r="K4710" s="103"/>
      <c r="L4710" s="103"/>
      <c r="M4710" s="104"/>
      <c r="N4710" s="103"/>
    </row>
    <row r="4711" spans="1:14" ht="45" customHeight="1" thickBot="1" x14ac:dyDescent="0.4">
      <c r="A4711" s="103"/>
      <c r="B4711" s="103"/>
      <c r="C4711" s="103"/>
      <c r="D4711" s="103"/>
      <c r="E4711" s="103"/>
      <c r="F4711" s="103"/>
      <c r="G4711" s="103"/>
      <c r="H4711" s="103"/>
      <c r="I4711" s="103"/>
      <c r="J4711" s="103"/>
      <c r="K4711" s="103"/>
      <c r="L4711" s="103"/>
      <c r="M4711" s="104"/>
      <c r="N4711" s="103"/>
    </row>
    <row r="4712" spans="1:14" ht="45" customHeight="1" thickBot="1" x14ac:dyDescent="0.4">
      <c r="A4712" s="103"/>
      <c r="B4712" s="103"/>
      <c r="C4712" s="103"/>
      <c r="D4712" s="103"/>
      <c r="E4712" s="103"/>
      <c r="F4712" s="103"/>
      <c r="G4712" s="103"/>
      <c r="H4712" s="103"/>
      <c r="I4712" s="103"/>
      <c r="J4712" s="103"/>
      <c r="K4712" s="103"/>
      <c r="L4712" s="103"/>
      <c r="M4712" s="104"/>
      <c r="N4712" s="103"/>
    </row>
    <row r="4713" spans="1:14" ht="45" customHeight="1" thickBot="1" x14ac:dyDescent="0.4">
      <c r="A4713" s="103"/>
      <c r="B4713" s="103"/>
      <c r="C4713" s="103"/>
      <c r="D4713" s="103"/>
      <c r="E4713" s="103"/>
      <c r="F4713" s="103"/>
      <c r="G4713" s="103"/>
      <c r="H4713" s="103"/>
      <c r="I4713" s="103"/>
      <c r="J4713" s="103"/>
      <c r="K4713" s="103"/>
      <c r="L4713" s="103"/>
      <c r="M4713" s="104"/>
      <c r="N4713" s="103"/>
    </row>
    <row r="4714" spans="1:14" ht="45" customHeight="1" thickBot="1" x14ac:dyDescent="0.4">
      <c r="A4714" s="103"/>
      <c r="B4714" s="103"/>
      <c r="C4714" s="103"/>
      <c r="D4714" s="103"/>
      <c r="E4714" s="103"/>
      <c r="F4714" s="103"/>
      <c r="G4714" s="103"/>
      <c r="H4714" s="103"/>
      <c r="I4714" s="103"/>
      <c r="J4714" s="103"/>
      <c r="K4714" s="103"/>
      <c r="L4714" s="103"/>
      <c r="M4714" s="104"/>
      <c r="N4714" s="103"/>
    </row>
    <row r="4715" spans="1:14" ht="45" customHeight="1" thickBot="1" x14ac:dyDescent="0.4">
      <c r="A4715" s="103"/>
      <c r="B4715" s="103"/>
      <c r="C4715" s="103"/>
      <c r="D4715" s="103"/>
      <c r="E4715" s="103"/>
      <c r="F4715" s="103"/>
      <c r="G4715" s="103"/>
      <c r="H4715" s="103"/>
      <c r="I4715" s="103"/>
      <c r="J4715" s="103"/>
      <c r="K4715" s="103"/>
      <c r="L4715" s="103"/>
      <c r="M4715" s="104"/>
      <c r="N4715" s="103"/>
    </row>
    <row r="4716" spans="1:14" ht="45" customHeight="1" thickBot="1" x14ac:dyDescent="0.4">
      <c r="A4716" s="103"/>
      <c r="B4716" s="103"/>
      <c r="C4716" s="103"/>
      <c r="D4716" s="103"/>
      <c r="E4716" s="103"/>
      <c r="F4716" s="103"/>
      <c r="G4716" s="103"/>
      <c r="H4716" s="103"/>
      <c r="I4716" s="103"/>
      <c r="J4716" s="103"/>
      <c r="K4716" s="103"/>
      <c r="L4716" s="103"/>
      <c r="M4716" s="104"/>
      <c r="N4716" s="103"/>
    </row>
    <row r="4717" spans="1:14" ht="45" customHeight="1" thickBot="1" x14ac:dyDescent="0.4">
      <c r="A4717" s="103"/>
      <c r="B4717" s="103"/>
      <c r="C4717" s="103"/>
      <c r="D4717" s="103"/>
      <c r="E4717" s="103"/>
      <c r="F4717" s="103"/>
      <c r="G4717" s="103"/>
      <c r="H4717" s="103"/>
      <c r="I4717" s="103"/>
      <c r="J4717" s="103"/>
      <c r="K4717" s="103"/>
      <c r="L4717" s="103"/>
      <c r="M4717" s="104"/>
      <c r="N4717" s="103"/>
    </row>
    <row r="4718" spans="1:14" ht="45" customHeight="1" thickBot="1" x14ac:dyDescent="0.4">
      <c r="A4718" s="103"/>
      <c r="B4718" s="103"/>
      <c r="C4718" s="103"/>
      <c r="D4718" s="103"/>
      <c r="E4718" s="103"/>
      <c r="F4718" s="103"/>
      <c r="G4718" s="103"/>
      <c r="H4718" s="103"/>
      <c r="I4718" s="103"/>
      <c r="J4718" s="103"/>
      <c r="K4718" s="103"/>
      <c r="L4718" s="103"/>
      <c r="M4718" s="104"/>
      <c r="N4718" s="103"/>
    </row>
    <row r="4719" spans="1:14" ht="45" customHeight="1" thickBot="1" x14ac:dyDescent="0.4">
      <c r="A4719" s="103"/>
      <c r="B4719" s="103"/>
      <c r="C4719" s="103"/>
      <c r="D4719" s="103"/>
      <c r="E4719" s="103"/>
      <c r="F4719" s="103"/>
      <c r="G4719" s="103"/>
      <c r="H4719" s="103"/>
      <c r="I4719" s="103"/>
      <c r="J4719" s="103"/>
      <c r="K4719" s="103"/>
      <c r="L4719" s="103"/>
      <c r="M4719" s="104"/>
      <c r="N4719" s="103"/>
    </row>
    <row r="4720" spans="1:14" ht="45" customHeight="1" thickBot="1" x14ac:dyDescent="0.4">
      <c r="A4720" s="103"/>
      <c r="B4720" s="103"/>
      <c r="C4720" s="103"/>
      <c r="D4720" s="103"/>
      <c r="E4720" s="103"/>
      <c r="F4720" s="103"/>
      <c r="G4720" s="103"/>
      <c r="H4720" s="103"/>
      <c r="I4720" s="103"/>
      <c r="J4720" s="103"/>
      <c r="K4720" s="103"/>
      <c r="L4720" s="103"/>
      <c r="M4720" s="104"/>
      <c r="N4720" s="103"/>
    </row>
    <row r="4721" spans="1:14" ht="45" customHeight="1" thickBot="1" x14ac:dyDescent="0.4">
      <c r="A4721" s="103"/>
      <c r="B4721" s="103"/>
      <c r="C4721" s="103"/>
      <c r="D4721" s="103"/>
      <c r="E4721" s="103"/>
      <c r="F4721" s="103"/>
      <c r="G4721" s="103"/>
      <c r="H4721" s="103"/>
      <c r="I4721" s="103"/>
      <c r="J4721" s="103"/>
      <c r="K4721" s="103"/>
      <c r="L4721" s="103"/>
      <c r="M4721" s="104"/>
      <c r="N4721" s="103"/>
    </row>
    <row r="4722" spans="1:14" ht="45" customHeight="1" thickBot="1" x14ac:dyDescent="0.4">
      <c r="A4722" s="103"/>
      <c r="B4722" s="103"/>
      <c r="C4722" s="103"/>
      <c r="D4722" s="103"/>
      <c r="E4722" s="103"/>
      <c r="F4722" s="103"/>
      <c r="G4722" s="103"/>
      <c r="H4722" s="103"/>
      <c r="I4722" s="103"/>
      <c r="J4722" s="103"/>
      <c r="K4722" s="103"/>
      <c r="L4722" s="103"/>
      <c r="M4722" s="104"/>
      <c r="N4722" s="103"/>
    </row>
    <row r="4723" spans="1:14" ht="45" customHeight="1" thickBot="1" x14ac:dyDescent="0.4">
      <c r="A4723" s="103"/>
      <c r="B4723" s="103"/>
      <c r="C4723" s="103"/>
      <c r="D4723" s="103"/>
      <c r="E4723" s="103"/>
      <c r="F4723" s="103"/>
      <c r="G4723" s="103"/>
      <c r="H4723" s="103"/>
      <c r="I4723" s="103"/>
      <c r="J4723" s="103"/>
      <c r="K4723" s="103"/>
      <c r="L4723" s="103"/>
      <c r="M4723" s="104"/>
      <c r="N4723" s="103"/>
    </row>
    <row r="4724" spans="1:14" ht="45" customHeight="1" thickBot="1" x14ac:dyDescent="0.4">
      <c r="A4724" s="103"/>
      <c r="B4724" s="103"/>
      <c r="C4724" s="103"/>
      <c r="D4724" s="103"/>
      <c r="E4724" s="103"/>
      <c r="F4724" s="103"/>
      <c r="G4724" s="103"/>
      <c r="H4724" s="103"/>
      <c r="I4724" s="103"/>
      <c r="J4724" s="103"/>
      <c r="K4724" s="103"/>
      <c r="L4724" s="103"/>
      <c r="M4724" s="104"/>
      <c r="N4724" s="103"/>
    </row>
    <row r="4725" spans="1:14" ht="45" customHeight="1" thickBot="1" x14ac:dyDescent="0.4">
      <c r="A4725" s="103"/>
      <c r="B4725" s="103"/>
      <c r="C4725" s="103"/>
      <c r="D4725" s="103"/>
      <c r="E4725" s="103"/>
      <c r="F4725" s="103"/>
      <c r="G4725" s="103"/>
      <c r="H4725" s="103"/>
      <c r="I4725" s="103"/>
      <c r="J4725" s="103"/>
      <c r="K4725" s="103"/>
      <c r="L4725" s="103"/>
      <c r="M4725" s="104"/>
      <c r="N4725" s="103"/>
    </row>
    <row r="4726" spans="1:14" ht="45" customHeight="1" thickBot="1" x14ac:dyDescent="0.4">
      <c r="A4726" s="103"/>
      <c r="B4726" s="103"/>
      <c r="C4726" s="103"/>
      <c r="D4726" s="103"/>
      <c r="E4726" s="103"/>
      <c r="F4726" s="103"/>
      <c r="G4726" s="103"/>
      <c r="H4726" s="103"/>
      <c r="I4726" s="103"/>
      <c r="J4726" s="103"/>
      <c r="K4726" s="103"/>
      <c r="L4726" s="103"/>
      <c r="M4726" s="104"/>
      <c r="N4726" s="103"/>
    </row>
    <row r="4727" spans="1:14" ht="45" customHeight="1" thickBot="1" x14ac:dyDescent="0.4">
      <c r="A4727" s="103"/>
      <c r="B4727" s="103"/>
      <c r="C4727" s="103"/>
      <c r="D4727" s="103"/>
      <c r="E4727" s="103"/>
      <c r="F4727" s="103"/>
      <c r="G4727" s="103"/>
      <c r="H4727" s="103"/>
      <c r="I4727" s="103"/>
      <c r="J4727" s="103"/>
      <c r="K4727" s="103"/>
      <c r="L4727" s="103"/>
      <c r="M4727" s="104"/>
      <c r="N4727" s="103"/>
    </row>
    <row r="4728" spans="1:14" ht="45" customHeight="1" thickBot="1" x14ac:dyDescent="0.4">
      <c r="A4728" s="103"/>
      <c r="B4728" s="103"/>
      <c r="C4728" s="103"/>
      <c r="D4728" s="103"/>
      <c r="E4728" s="103"/>
      <c r="F4728" s="103"/>
      <c r="G4728" s="103"/>
      <c r="H4728" s="103"/>
      <c r="I4728" s="103"/>
      <c r="J4728" s="103"/>
      <c r="K4728" s="103"/>
      <c r="L4728" s="103"/>
      <c r="M4728" s="104"/>
      <c r="N4728" s="103"/>
    </row>
    <row r="4729" spans="1:14" ht="45" customHeight="1" thickBot="1" x14ac:dyDescent="0.4">
      <c r="A4729" s="103"/>
      <c r="B4729" s="103"/>
      <c r="C4729" s="103"/>
      <c r="D4729" s="103"/>
      <c r="E4729" s="103"/>
      <c r="F4729" s="103"/>
      <c r="G4729" s="103"/>
      <c r="H4729" s="103"/>
      <c r="I4729" s="103"/>
      <c r="J4729" s="103"/>
      <c r="K4729" s="103"/>
      <c r="L4729" s="103"/>
      <c r="M4729" s="104"/>
      <c r="N4729" s="103"/>
    </row>
    <row r="4730" spans="1:14" ht="45" customHeight="1" thickBot="1" x14ac:dyDescent="0.4">
      <c r="A4730" s="103"/>
      <c r="B4730" s="103"/>
      <c r="C4730" s="103"/>
      <c r="D4730" s="103"/>
      <c r="E4730" s="103"/>
      <c r="F4730" s="103"/>
      <c r="G4730" s="103"/>
      <c r="H4730" s="103"/>
      <c r="I4730" s="103"/>
      <c r="J4730" s="103"/>
      <c r="K4730" s="103"/>
      <c r="L4730" s="103"/>
      <c r="M4730" s="104"/>
      <c r="N4730" s="103"/>
    </row>
    <row r="4731" spans="1:14" ht="45" customHeight="1" thickBot="1" x14ac:dyDescent="0.4">
      <c r="A4731" s="103"/>
      <c r="B4731" s="103"/>
      <c r="C4731" s="103"/>
      <c r="D4731" s="103"/>
      <c r="E4731" s="103"/>
      <c r="F4731" s="103"/>
      <c r="G4731" s="103"/>
      <c r="H4731" s="103"/>
      <c r="I4731" s="103"/>
      <c r="J4731" s="103"/>
      <c r="K4731" s="103"/>
      <c r="L4731" s="103"/>
      <c r="M4731" s="104"/>
      <c r="N4731" s="103"/>
    </row>
    <row r="4732" spans="1:14" ht="45" customHeight="1" thickBot="1" x14ac:dyDescent="0.4">
      <c r="A4732" s="103"/>
      <c r="B4732" s="103"/>
      <c r="C4732" s="103"/>
      <c r="D4732" s="103"/>
      <c r="E4732" s="103"/>
      <c r="F4732" s="103"/>
      <c r="G4732" s="103"/>
      <c r="H4732" s="103"/>
      <c r="I4732" s="103"/>
      <c r="J4732" s="103"/>
      <c r="K4732" s="103"/>
      <c r="L4732" s="103"/>
      <c r="M4732" s="104"/>
      <c r="N4732" s="103"/>
    </row>
    <row r="4733" spans="1:14" ht="45" customHeight="1" thickBot="1" x14ac:dyDescent="0.4">
      <c r="A4733" s="103"/>
      <c r="B4733" s="103"/>
      <c r="C4733" s="103"/>
      <c r="D4733" s="103"/>
      <c r="E4733" s="103"/>
      <c r="F4733" s="103"/>
      <c r="G4733" s="103"/>
      <c r="H4733" s="103"/>
      <c r="I4733" s="103"/>
      <c r="J4733" s="103"/>
      <c r="K4733" s="103"/>
      <c r="L4733" s="103"/>
      <c r="M4733" s="104"/>
      <c r="N4733" s="103"/>
    </row>
    <row r="4734" spans="1:14" ht="45" customHeight="1" thickBot="1" x14ac:dyDescent="0.4">
      <c r="A4734" s="103"/>
      <c r="B4734" s="103"/>
      <c r="C4734" s="103"/>
      <c r="D4734" s="103"/>
      <c r="E4734" s="103"/>
      <c r="F4734" s="103"/>
      <c r="G4734" s="103"/>
      <c r="H4734" s="103"/>
      <c r="I4734" s="103"/>
      <c r="J4734" s="103"/>
      <c r="K4734" s="103"/>
      <c r="L4734" s="103"/>
      <c r="M4734" s="104"/>
      <c r="N4734" s="103"/>
    </row>
    <row r="4735" spans="1:14" ht="45" customHeight="1" thickBot="1" x14ac:dyDescent="0.4">
      <c r="A4735" s="103"/>
      <c r="B4735" s="103"/>
      <c r="C4735" s="103"/>
      <c r="D4735" s="103"/>
      <c r="E4735" s="103"/>
      <c r="F4735" s="103"/>
      <c r="G4735" s="103"/>
      <c r="H4735" s="103"/>
      <c r="I4735" s="103"/>
      <c r="J4735" s="103"/>
      <c r="K4735" s="103"/>
      <c r="L4735" s="103"/>
      <c r="M4735" s="104"/>
      <c r="N4735" s="103"/>
    </row>
    <row r="4736" spans="1:14" ht="45" customHeight="1" thickBot="1" x14ac:dyDescent="0.4">
      <c r="A4736" s="103"/>
      <c r="B4736" s="103"/>
      <c r="C4736" s="103"/>
      <c r="D4736" s="103"/>
      <c r="E4736" s="103"/>
      <c r="F4736" s="103"/>
      <c r="G4736" s="103"/>
      <c r="H4736" s="103"/>
      <c r="I4736" s="103"/>
      <c r="J4736" s="103"/>
      <c r="K4736" s="103"/>
      <c r="L4736" s="103"/>
      <c r="M4736" s="104"/>
      <c r="N4736" s="103"/>
    </row>
    <row r="4737" spans="1:14" ht="45" customHeight="1" thickBot="1" x14ac:dyDescent="0.4">
      <c r="A4737" s="103"/>
      <c r="B4737" s="103"/>
      <c r="C4737" s="103"/>
      <c r="D4737" s="103"/>
      <c r="E4737" s="103"/>
      <c r="F4737" s="103"/>
      <c r="G4737" s="103"/>
      <c r="H4737" s="103"/>
      <c r="I4737" s="103"/>
      <c r="J4737" s="103"/>
      <c r="K4737" s="103"/>
      <c r="L4737" s="103"/>
      <c r="M4737" s="104"/>
      <c r="N4737" s="103"/>
    </row>
    <row r="4738" spans="1:14" ht="45" customHeight="1" thickBot="1" x14ac:dyDescent="0.4">
      <c r="A4738" s="103"/>
      <c r="B4738" s="103"/>
      <c r="C4738" s="103"/>
      <c r="D4738" s="103"/>
      <c r="E4738" s="103"/>
      <c r="F4738" s="103"/>
      <c r="G4738" s="103"/>
      <c r="H4738" s="103"/>
      <c r="I4738" s="103"/>
      <c r="J4738" s="103"/>
      <c r="K4738" s="103"/>
      <c r="L4738" s="103"/>
      <c r="M4738" s="104"/>
      <c r="N4738" s="103"/>
    </row>
    <row r="4739" spans="1:14" ht="45" customHeight="1" thickBot="1" x14ac:dyDescent="0.4">
      <c r="A4739" s="103"/>
      <c r="B4739" s="103"/>
      <c r="C4739" s="103"/>
      <c r="D4739" s="103"/>
      <c r="E4739" s="103"/>
      <c r="F4739" s="103"/>
      <c r="G4739" s="103"/>
      <c r="H4739" s="103"/>
      <c r="I4739" s="103"/>
      <c r="J4739" s="103"/>
      <c r="K4739" s="103"/>
      <c r="L4739" s="103"/>
      <c r="M4739" s="104"/>
      <c r="N4739" s="103"/>
    </row>
    <row r="4740" spans="1:14" ht="45" customHeight="1" thickBot="1" x14ac:dyDescent="0.4">
      <c r="A4740" s="103"/>
      <c r="B4740" s="103"/>
      <c r="C4740" s="103"/>
      <c r="D4740" s="103"/>
      <c r="E4740" s="103"/>
      <c r="F4740" s="103"/>
      <c r="G4740" s="103"/>
      <c r="H4740" s="103"/>
      <c r="I4740" s="103"/>
      <c r="J4740" s="103"/>
      <c r="K4740" s="103"/>
      <c r="L4740" s="103"/>
      <c r="M4740" s="104"/>
      <c r="N4740" s="103"/>
    </row>
    <row r="4741" spans="1:14" ht="45" customHeight="1" thickBot="1" x14ac:dyDescent="0.4">
      <c r="A4741" s="103"/>
      <c r="B4741" s="103"/>
      <c r="C4741" s="103"/>
      <c r="D4741" s="103"/>
      <c r="E4741" s="103"/>
      <c r="F4741" s="103"/>
      <c r="G4741" s="103"/>
      <c r="H4741" s="103"/>
      <c r="I4741" s="103"/>
      <c r="J4741" s="103"/>
      <c r="K4741" s="103"/>
      <c r="L4741" s="103"/>
      <c r="M4741" s="104"/>
      <c r="N4741" s="103"/>
    </row>
    <row r="4742" spans="1:14" ht="45" customHeight="1" thickBot="1" x14ac:dyDescent="0.4">
      <c r="A4742" s="103"/>
      <c r="B4742" s="103"/>
      <c r="C4742" s="103"/>
      <c r="D4742" s="103"/>
      <c r="E4742" s="103"/>
      <c r="F4742" s="103"/>
      <c r="G4742" s="103"/>
      <c r="H4742" s="103"/>
      <c r="I4742" s="103"/>
      <c r="J4742" s="103"/>
      <c r="K4742" s="103"/>
      <c r="L4742" s="103"/>
      <c r="M4742" s="104"/>
      <c r="N4742" s="103"/>
    </row>
    <row r="4743" spans="1:14" ht="45" customHeight="1" thickBot="1" x14ac:dyDescent="0.4">
      <c r="A4743" s="103"/>
      <c r="B4743" s="103"/>
      <c r="C4743" s="103"/>
      <c r="D4743" s="103"/>
      <c r="E4743" s="103"/>
      <c r="F4743" s="103"/>
      <c r="G4743" s="103"/>
      <c r="H4743" s="103"/>
      <c r="I4743" s="103"/>
      <c r="J4743" s="103"/>
      <c r="K4743" s="103"/>
      <c r="L4743" s="103"/>
      <c r="M4743" s="104"/>
      <c r="N4743" s="103"/>
    </row>
    <row r="4744" spans="1:14" ht="45" customHeight="1" thickBot="1" x14ac:dyDescent="0.4">
      <c r="A4744" s="103"/>
      <c r="B4744" s="103"/>
      <c r="C4744" s="103"/>
      <c r="D4744" s="103"/>
      <c r="E4744" s="103"/>
      <c r="F4744" s="103"/>
      <c r="G4744" s="103"/>
      <c r="H4744" s="103"/>
      <c r="I4744" s="103"/>
      <c r="J4744" s="103"/>
      <c r="K4744" s="103"/>
      <c r="L4744" s="103"/>
      <c r="M4744" s="104"/>
      <c r="N4744" s="103"/>
    </row>
    <row r="4745" spans="1:14" ht="45" customHeight="1" thickBot="1" x14ac:dyDescent="0.4">
      <c r="A4745" s="103"/>
      <c r="B4745" s="103"/>
      <c r="C4745" s="103"/>
      <c r="D4745" s="103"/>
      <c r="E4745" s="103"/>
      <c r="F4745" s="103"/>
      <c r="G4745" s="103"/>
      <c r="H4745" s="103"/>
      <c r="I4745" s="103"/>
      <c r="J4745" s="103"/>
      <c r="K4745" s="103"/>
      <c r="L4745" s="103"/>
      <c r="M4745" s="104"/>
      <c r="N4745" s="103"/>
    </row>
    <row r="4746" spans="1:14" ht="45" customHeight="1" thickBot="1" x14ac:dyDescent="0.4">
      <c r="A4746" s="103"/>
      <c r="B4746" s="103"/>
      <c r="C4746" s="103"/>
      <c r="D4746" s="103"/>
      <c r="E4746" s="103"/>
      <c r="F4746" s="103"/>
      <c r="G4746" s="103"/>
      <c r="H4746" s="103"/>
      <c r="I4746" s="103"/>
      <c r="J4746" s="103"/>
      <c r="K4746" s="103"/>
      <c r="L4746" s="103"/>
      <c r="M4746" s="104"/>
      <c r="N4746" s="103"/>
    </row>
    <row r="4747" spans="1:14" ht="45" customHeight="1" thickBot="1" x14ac:dyDescent="0.4">
      <c r="A4747" s="103"/>
      <c r="B4747" s="103"/>
      <c r="C4747" s="103"/>
      <c r="D4747" s="103"/>
      <c r="E4747" s="103"/>
      <c r="F4747" s="103"/>
      <c r="G4747" s="103"/>
      <c r="H4747" s="103"/>
      <c r="I4747" s="103"/>
      <c r="J4747" s="103"/>
      <c r="K4747" s="103"/>
      <c r="L4747" s="103"/>
      <c r="M4747" s="104"/>
      <c r="N4747" s="103"/>
    </row>
    <row r="4748" spans="1:14" ht="45" customHeight="1" thickBot="1" x14ac:dyDescent="0.4">
      <c r="A4748" s="103"/>
      <c r="B4748" s="103"/>
      <c r="C4748" s="103"/>
      <c r="D4748" s="103"/>
      <c r="E4748" s="103"/>
      <c r="F4748" s="103"/>
      <c r="G4748" s="103"/>
      <c r="H4748" s="103"/>
      <c r="I4748" s="103"/>
      <c r="J4748" s="103"/>
      <c r="K4748" s="103"/>
      <c r="L4748" s="103"/>
      <c r="M4748" s="104"/>
      <c r="N4748" s="103"/>
    </row>
    <row r="4749" spans="1:14" ht="45" customHeight="1" thickBot="1" x14ac:dyDescent="0.4">
      <c r="A4749" s="103"/>
      <c r="B4749" s="103"/>
      <c r="C4749" s="103"/>
      <c r="D4749" s="103"/>
      <c r="E4749" s="103"/>
      <c r="F4749" s="103"/>
      <c r="G4749" s="103"/>
      <c r="H4749" s="103"/>
      <c r="I4749" s="103"/>
      <c r="J4749" s="103"/>
      <c r="K4749" s="103"/>
      <c r="L4749" s="103"/>
      <c r="M4749" s="104"/>
      <c r="N4749" s="103"/>
    </row>
    <row r="4750" spans="1:14" ht="45" customHeight="1" thickBot="1" x14ac:dyDescent="0.4">
      <c r="A4750" s="103"/>
      <c r="B4750" s="103"/>
      <c r="C4750" s="103"/>
      <c r="D4750" s="103"/>
      <c r="E4750" s="103"/>
      <c r="F4750" s="103"/>
      <c r="G4750" s="103"/>
      <c r="H4750" s="103"/>
      <c r="I4750" s="103"/>
      <c r="J4750" s="103"/>
      <c r="K4750" s="103"/>
      <c r="L4750" s="103"/>
      <c r="M4750" s="104"/>
      <c r="N4750" s="103"/>
    </row>
    <row r="4751" spans="1:14" ht="45" customHeight="1" thickBot="1" x14ac:dyDescent="0.4">
      <c r="A4751" s="103"/>
      <c r="B4751" s="103"/>
      <c r="C4751" s="103"/>
      <c r="D4751" s="103"/>
      <c r="E4751" s="103"/>
      <c r="F4751" s="103"/>
      <c r="G4751" s="103"/>
      <c r="H4751" s="103"/>
      <c r="I4751" s="103"/>
      <c r="J4751" s="103"/>
      <c r="K4751" s="103"/>
      <c r="L4751" s="103"/>
      <c r="M4751" s="104"/>
      <c r="N4751" s="103"/>
    </row>
    <row r="4752" spans="1:14" ht="45" customHeight="1" thickBot="1" x14ac:dyDescent="0.4">
      <c r="A4752" s="103"/>
      <c r="B4752" s="103"/>
      <c r="C4752" s="103"/>
      <c r="D4752" s="103"/>
      <c r="E4752" s="103"/>
      <c r="F4752" s="103"/>
      <c r="G4752" s="103"/>
      <c r="H4752" s="103"/>
      <c r="I4752" s="103"/>
      <c r="J4752" s="103"/>
      <c r="K4752" s="103"/>
      <c r="L4752" s="103"/>
      <c r="M4752" s="104"/>
      <c r="N4752" s="103"/>
    </row>
    <row r="4753" spans="1:14" ht="45" customHeight="1" thickBot="1" x14ac:dyDescent="0.4">
      <c r="A4753" s="103"/>
      <c r="B4753" s="103"/>
      <c r="C4753" s="103"/>
      <c r="D4753" s="103"/>
      <c r="E4753" s="103"/>
      <c r="F4753" s="103"/>
      <c r="G4753" s="103"/>
      <c r="H4753" s="103"/>
      <c r="I4753" s="103"/>
      <c r="J4753" s="103"/>
      <c r="K4753" s="103"/>
      <c r="L4753" s="103"/>
      <c r="M4753" s="104"/>
      <c r="N4753" s="103"/>
    </row>
    <row r="4754" spans="1:14" ht="45" customHeight="1" thickBot="1" x14ac:dyDescent="0.4">
      <c r="A4754" s="103"/>
      <c r="B4754" s="103"/>
      <c r="C4754" s="103"/>
      <c r="D4754" s="103"/>
      <c r="E4754" s="103"/>
      <c r="F4754" s="103"/>
      <c r="G4754" s="103"/>
      <c r="H4754" s="103"/>
      <c r="I4754" s="103"/>
      <c r="J4754" s="103"/>
      <c r="K4754" s="103"/>
      <c r="L4754" s="103"/>
      <c r="M4754" s="104"/>
      <c r="N4754" s="103"/>
    </row>
    <row r="4755" spans="1:14" ht="45" customHeight="1" thickBot="1" x14ac:dyDescent="0.4">
      <c r="A4755" s="103"/>
      <c r="B4755" s="103"/>
      <c r="C4755" s="103"/>
      <c r="D4755" s="103"/>
      <c r="E4755" s="103"/>
      <c r="F4755" s="103"/>
      <c r="G4755" s="103"/>
      <c r="H4755" s="103"/>
      <c r="I4755" s="103"/>
      <c r="J4755" s="103"/>
      <c r="K4755" s="103"/>
      <c r="L4755" s="103"/>
      <c r="M4755" s="104"/>
      <c r="N4755" s="103"/>
    </row>
    <row r="4756" spans="1:14" ht="45" customHeight="1" thickBot="1" x14ac:dyDescent="0.4">
      <c r="A4756" s="103"/>
      <c r="B4756" s="103"/>
      <c r="C4756" s="103"/>
      <c r="D4756" s="103"/>
      <c r="E4756" s="103"/>
      <c r="F4756" s="103"/>
      <c r="G4756" s="103"/>
      <c r="H4756" s="103"/>
      <c r="I4756" s="103"/>
      <c r="J4756" s="103"/>
      <c r="K4756" s="103"/>
      <c r="L4756" s="103"/>
      <c r="M4756" s="104"/>
      <c r="N4756" s="103"/>
    </row>
    <row r="4757" spans="1:14" ht="45" customHeight="1" thickBot="1" x14ac:dyDescent="0.4">
      <c r="A4757" s="103"/>
      <c r="B4757" s="103"/>
      <c r="C4757" s="103"/>
      <c r="D4757" s="103"/>
      <c r="E4757" s="103"/>
      <c r="F4757" s="103"/>
      <c r="G4757" s="103"/>
      <c r="H4757" s="103"/>
      <c r="I4757" s="103"/>
      <c r="J4757" s="103"/>
      <c r="K4757" s="103"/>
      <c r="L4757" s="103"/>
      <c r="M4757" s="104"/>
      <c r="N4757" s="103"/>
    </row>
    <row r="4758" spans="1:14" ht="45" customHeight="1" thickBot="1" x14ac:dyDescent="0.4">
      <c r="A4758" s="103"/>
      <c r="B4758" s="103"/>
      <c r="C4758" s="103"/>
      <c r="D4758" s="103"/>
      <c r="E4758" s="103"/>
      <c r="F4758" s="103"/>
      <c r="G4758" s="103"/>
      <c r="H4758" s="103"/>
      <c r="I4758" s="103"/>
      <c r="J4758" s="103"/>
      <c r="K4758" s="103"/>
      <c r="L4758" s="103"/>
      <c r="M4758" s="104"/>
      <c r="N4758" s="103"/>
    </row>
    <row r="4759" spans="1:14" ht="45" customHeight="1" thickBot="1" x14ac:dyDescent="0.4">
      <c r="A4759" s="103"/>
      <c r="B4759" s="103"/>
      <c r="C4759" s="103"/>
      <c r="D4759" s="103"/>
      <c r="E4759" s="103"/>
      <c r="F4759" s="103"/>
      <c r="G4759" s="103"/>
      <c r="H4759" s="103"/>
      <c r="I4759" s="103"/>
      <c r="J4759" s="103"/>
      <c r="K4759" s="103"/>
      <c r="L4759" s="103"/>
      <c r="M4759" s="104"/>
      <c r="N4759" s="103"/>
    </row>
    <row r="4760" spans="1:14" ht="45" customHeight="1" thickBot="1" x14ac:dyDescent="0.4">
      <c r="A4760" s="103"/>
      <c r="B4760" s="103"/>
      <c r="C4760" s="103"/>
      <c r="D4760" s="103"/>
      <c r="E4760" s="103"/>
      <c r="F4760" s="103"/>
      <c r="G4760" s="103"/>
      <c r="H4760" s="103"/>
      <c r="I4760" s="103"/>
      <c r="J4760" s="103"/>
      <c r="K4760" s="103"/>
      <c r="L4760" s="103"/>
      <c r="M4760" s="104"/>
      <c r="N4760" s="103"/>
    </row>
    <row r="4761" spans="1:14" ht="45" customHeight="1" thickBot="1" x14ac:dyDescent="0.4">
      <c r="A4761" s="103"/>
      <c r="B4761" s="103"/>
      <c r="C4761" s="103"/>
      <c r="D4761" s="103"/>
      <c r="E4761" s="103"/>
      <c r="F4761" s="103"/>
      <c r="G4761" s="103"/>
      <c r="H4761" s="103"/>
      <c r="I4761" s="103"/>
      <c r="J4761" s="103"/>
      <c r="K4761" s="103"/>
      <c r="L4761" s="103"/>
      <c r="M4761" s="104"/>
      <c r="N4761" s="103"/>
    </row>
    <row r="4762" spans="1:14" ht="45" customHeight="1" thickBot="1" x14ac:dyDescent="0.4">
      <c r="A4762" s="103"/>
      <c r="B4762" s="103"/>
      <c r="C4762" s="103"/>
      <c r="D4762" s="103"/>
      <c r="E4762" s="103"/>
      <c r="F4762" s="103"/>
      <c r="G4762" s="103"/>
      <c r="H4762" s="103"/>
      <c r="I4762" s="103"/>
      <c r="J4762" s="103"/>
      <c r="K4762" s="103"/>
      <c r="L4762" s="103"/>
      <c r="M4762" s="104"/>
      <c r="N4762" s="103"/>
    </row>
    <row r="4763" spans="1:14" ht="45" customHeight="1" thickBot="1" x14ac:dyDescent="0.4">
      <c r="A4763" s="103"/>
      <c r="B4763" s="103"/>
      <c r="C4763" s="103"/>
      <c r="D4763" s="103"/>
      <c r="E4763" s="103"/>
      <c r="F4763" s="103"/>
      <c r="G4763" s="103"/>
      <c r="H4763" s="103"/>
      <c r="I4763" s="103"/>
      <c r="J4763" s="103"/>
      <c r="K4763" s="103"/>
      <c r="L4763" s="103"/>
      <c r="M4763" s="104"/>
      <c r="N4763" s="103"/>
    </row>
    <row r="4764" spans="1:14" ht="45" customHeight="1" thickBot="1" x14ac:dyDescent="0.4">
      <c r="A4764" s="103"/>
      <c r="B4764" s="103"/>
      <c r="C4764" s="103"/>
      <c r="D4764" s="103"/>
      <c r="E4764" s="103"/>
      <c r="F4764" s="103"/>
      <c r="G4764" s="103"/>
      <c r="H4764" s="103"/>
      <c r="I4764" s="103"/>
      <c r="J4764" s="103"/>
      <c r="K4764" s="103"/>
      <c r="L4764" s="103"/>
      <c r="M4764" s="104"/>
      <c r="N4764" s="103"/>
    </row>
    <row r="4765" spans="1:14" ht="45" customHeight="1" thickBot="1" x14ac:dyDescent="0.4">
      <c r="A4765" s="103"/>
      <c r="B4765" s="103"/>
      <c r="C4765" s="103"/>
      <c r="D4765" s="103"/>
      <c r="E4765" s="103"/>
      <c r="F4765" s="103"/>
      <c r="G4765" s="103"/>
      <c r="H4765" s="103"/>
      <c r="I4765" s="103"/>
      <c r="J4765" s="103"/>
      <c r="K4765" s="103"/>
      <c r="L4765" s="103"/>
      <c r="M4765" s="104"/>
      <c r="N4765" s="103"/>
    </row>
    <row r="4766" spans="1:14" ht="45" customHeight="1" thickBot="1" x14ac:dyDescent="0.4">
      <c r="A4766" s="103"/>
      <c r="B4766" s="103"/>
      <c r="C4766" s="103"/>
      <c r="D4766" s="103"/>
      <c r="E4766" s="103"/>
      <c r="F4766" s="103"/>
      <c r="G4766" s="103"/>
      <c r="H4766" s="103"/>
      <c r="I4766" s="103"/>
      <c r="J4766" s="103"/>
      <c r="K4766" s="103"/>
      <c r="L4766" s="103"/>
      <c r="M4766" s="104"/>
      <c r="N4766" s="103"/>
    </row>
    <row r="4767" spans="1:14" ht="45" customHeight="1" thickBot="1" x14ac:dyDescent="0.4">
      <c r="A4767" s="103"/>
      <c r="B4767" s="103"/>
      <c r="C4767" s="103"/>
      <c r="D4767" s="103"/>
      <c r="E4767" s="103"/>
      <c r="F4767" s="103"/>
      <c r="G4767" s="103"/>
      <c r="H4767" s="103"/>
      <c r="I4767" s="103"/>
      <c r="J4767" s="103"/>
      <c r="K4767" s="103"/>
      <c r="L4767" s="103"/>
      <c r="M4767" s="104"/>
      <c r="N4767" s="103"/>
    </row>
    <row r="4768" spans="1:14" ht="45" customHeight="1" thickBot="1" x14ac:dyDescent="0.4">
      <c r="A4768" s="103"/>
      <c r="B4768" s="103"/>
      <c r="C4768" s="103"/>
      <c r="D4768" s="103"/>
      <c r="E4768" s="103"/>
      <c r="F4768" s="103"/>
      <c r="G4768" s="103"/>
      <c r="H4768" s="103"/>
      <c r="I4768" s="103"/>
      <c r="J4768" s="103"/>
      <c r="K4768" s="103"/>
      <c r="L4768" s="103"/>
      <c r="M4768" s="104"/>
      <c r="N4768" s="103"/>
    </row>
    <row r="4769" spans="1:14" ht="45" customHeight="1" thickBot="1" x14ac:dyDescent="0.4">
      <c r="A4769" s="103"/>
      <c r="B4769" s="103"/>
      <c r="C4769" s="103"/>
      <c r="D4769" s="103"/>
      <c r="E4769" s="103"/>
      <c r="F4769" s="103"/>
      <c r="G4769" s="103"/>
      <c r="H4769" s="103"/>
      <c r="I4769" s="103"/>
      <c r="J4769" s="103"/>
      <c r="K4769" s="103"/>
      <c r="L4769" s="103"/>
      <c r="M4769" s="104"/>
      <c r="N4769" s="103"/>
    </row>
    <row r="4770" spans="1:14" ht="45" customHeight="1" thickBot="1" x14ac:dyDescent="0.4">
      <c r="A4770" s="103"/>
      <c r="B4770" s="103"/>
      <c r="C4770" s="103"/>
      <c r="D4770" s="103"/>
      <c r="E4770" s="103"/>
      <c r="F4770" s="103"/>
      <c r="G4770" s="103"/>
      <c r="H4770" s="103"/>
      <c r="I4770" s="103"/>
      <c r="J4770" s="103"/>
      <c r="K4770" s="103"/>
      <c r="L4770" s="103"/>
      <c r="M4770" s="104"/>
      <c r="N4770" s="103"/>
    </row>
    <row r="4771" spans="1:14" ht="45" customHeight="1" thickBot="1" x14ac:dyDescent="0.4">
      <c r="A4771" s="103"/>
      <c r="B4771" s="103"/>
      <c r="C4771" s="103"/>
      <c r="D4771" s="103"/>
      <c r="E4771" s="103"/>
      <c r="F4771" s="103"/>
      <c r="G4771" s="103"/>
      <c r="H4771" s="103"/>
      <c r="I4771" s="103"/>
      <c r="J4771" s="103"/>
      <c r="K4771" s="103"/>
      <c r="L4771" s="103"/>
      <c r="M4771" s="104"/>
      <c r="N4771" s="103"/>
    </row>
    <row r="4772" spans="1:14" ht="45" customHeight="1" thickBot="1" x14ac:dyDescent="0.4">
      <c r="A4772" s="103"/>
      <c r="B4772" s="103"/>
      <c r="C4772" s="103"/>
      <c r="D4772" s="103"/>
      <c r="E4772" s="103"/>
      <c r="F4772" s="103"/>
      <c r="G4772" s="103"/>
      <c r="H4772" s="103"/>
      <c r="I4772" s="103"/>
      <c r="J4772" s="103"/>
      <c r="K4772" s="103"/>
      <c r="L4772" s="103"/>
      <c r="M4772" s="104"/>
      <c r="N4772" s="103"/>
    </row>
    <row r="4773" spans="1:14" ht="45" customHeight="1" thickBot="1" x14ac:dyDescent="0.4">
      <c r="A4773" s="103"/>
      <c r="B4773" s="103"/>
      <c r="C4773" s="103"/>
      <c r="D4773" s="103"/>
      <c r="E4773" s="103"/>
      <c r="F4773" s="103"/>
      <c r="G4773" s="103"/>
      <c r="H4773" s="103"/>
      <c r="I4773" s="103"/>
      <c r="J4773" s="103"/>
      <c r="K4773" s="103"/>
      <c r="L4773" s="103"/>
      <c r="M4773" s="104"/>
      <c r="N4773" s="103"/>
    </row>
    <row r="4774" spans="1:14" ht="45" customHeight="1" thickBot="1" x14ac:dyDescent="0.4">
      <c r="A4774" s="103"/>
      <c r="B4774" s="103"/>
      <c r="C4774" s="103"/>
      <c r="D4774" s="103"/>
      <c r="E4774" s="103"/>
      <c r="F4774" s="103"/>
      <c r="G4774" s="103"/>
      <c r="H4774" s="103"/>
      <c r="I4774" s="103"/>
      <c r="J4774" s="103"/>
      <c r="K4774" s="103"/>
      <c r="L4774" s="103"/>
      <c r="M4774" s="104"/>
      <c r="N4774" s="103"/>
    </row>
    <row r="4775" spans="1:14" ht="45" customHeight="1" thickBot="1" x14ac:dyDescent="0.4">
      <c r="A4775" s="103"/>
      <c r="B4775" s="103"/>
      <c r="C4775" s="103"/>
      <c r="D4775" s="103"/>
      <c r="E4775" s="103"/>
      <c r="F4775" s="103"/>
      <c r="G4775" s="103"/>
      <c r="H4775" s="103"/>
      <c r="I4775" s="103"/>
      <c r="J4775" s="103"/>
      <c r="K4775" s="103"/>
      <c r="L4775" s="103"/>
      <c r="M4775" s="104"/>
      <c r="N4775" s="103"/>
    </row>
    <row r="4776" spans="1:14" ht="45" customHeight="1" thickBot="1" x14ac:dyDescent="0.4">
      <c r="A4776" s="103"/>
      <c r="B4776" s="103"/>
      <c r="C4776" s="103"/>
      <c r="D4776" s="103"/>
      <c r="E4776" s="103"/>
      <c r="F4776" s="103"/>
      <c r="G4776" s="103"/>
      <c r="H4776" s="103"/>
      <c r="I4776" s="103"/>
      <c r="J4776" s="103"/>
      <c r="K4776" s="103"/>
      <c r="L4776" s="103"/>
      <c r="M4776" s="104"/>
      <c r="N4776" s="103"/>
    </row>
    <row r="4777" spans="1:14" ht="45" customHeight="1" thickBot="1" x14ac:dyDescent="0.4">
      <c r="A4777" s="103"/>
      <c r="B4777" s="103"/>
      <c r="C4777" s="103"/>
      <c r="D4777" s="103"/>
      <c r="E4777" s="103"/>
      <c r="F4777" s="103"/>
      <c r="G4777" s="103"/>
      <c r="H4777" s="103"/>
      <c r="I4777" s="103"/>
      <c r="J4777" s="103"/>
      <c r="K4777" s="103"/>
      <c r="L4777" s="103"/>
      <c r="M4777" s="104"/>
      <c r="N4777" s="103"/>
    </row>
    <row r="4778" spans="1:14" ht="45" customHeight="1" thickBot="1" x14ac:dyDescent="0.4">
      <c r="A4778" s="103"/>
      <c r="B4778" s="103"/>
      <c r="C4778" s="103"/>
      <c r="D4778" s="103"/>
      <c r="E4778" s="103"/>
      <c r="F4778" s="103"/>
      <c r="G4778" s="103"/>
      <c r="H4778" s="103"/>
      <c r="I4778" s="103"/>
      <c r="J4778" s="103"/>
      <c r="K4778" s="103"/>
      <c r="L4778" s="103"/>
      <c r="M4778" s="104"/>
      <c r="N4778" s="103"/>
    </row>
    <row r="4779" spans="1:14" ht="45" customHeight="1" thickBot="1" x14ac:dyDescent="0.4">
      <c r="A4779" s="103"/>
      <c r="B4779" s="103"/>
      <c r="C4779" s="103"/>
      <c r="D4779" s="103"/>
      <c r="E4779" s="103"/>
      <c r="F4779" s="103"/>
      <c r="G4779" s="103"/>
      <c r="H4779" s="103"/>
      <c r="I4779" s="103"/>
      <c r="J4779" s="103"/>
      <c r="K4779" s="103"/>
      <c r="L4779" s="103"/>
      <c r="M4779" s="104"/>
      <c r="N4779" s="103"/>
    </row>
    <row r="4780" spans="1:14" ht="45" customHeight="1" thickBot="1" x14ac:dyDescent="0.4">
      <c r="A4780" s="103"/>
      <c r="B4780" s="103"/>
      <c r="C4780" s="103"/>
      <c r="D4780" s="103"/>
      <c r="E4780" s="103"/>
      <c r="F4780" s="103"/>
      <c r="G4780" s="103"/>
      <c r="H4780" s="103"/>
      <c r="I4780" s="103"/>
      <c r="J4780" s="103"/>
      <c r="K4780" s="103"/>
      <c r="L4780" s="103"/>
      <c r="M4780" s="104"/>
      <c r="N4780" s="103"/>
    </row>
    <row r="4781" spans="1:14" ht="45" customHeight="1" thickBot="1" x14ac:dyDescent="0.4">
      <c r="A4781" s="103"/>
      <c r="B4781" s="103"/>
      <c r="C4781" s="103"/>
      <c r="D4781" s="103"/>
      <c r="E4781" s="103"/>
      <c r="F4781" s="103"/>
      <c r="G4781" s="103"/>
      <c r="H4781" s="103"/>
      <c r="I4781" s="103"/>
      <c r="J4781" s="103"/>
      <c r="K4781" s="103"/>
      <c r="L4781" s="103"/>
      <c r="M4781" s="104"/>
      <c r="N4781" s="103"/>
    </row>
    <row r="4782" spans="1:14" ht="45" customHeight="1" thickBot="1" x14ac:dyDescent="0.4">
      <c r="A4782" s="103"/>
      <c r="B4782" s="103"/>
      <c r="C4782" s="103"/>
      <c r="D4782" s="103"/>
      <c r="E4782" s="103"/>
      <c r="F4782" s="103"/>
      <c r="G4782" s="103"/>
      <c r="H4782" s="103"/>
      <c r="I4782" s="103"/>
      <c r="J4782" s="103"/>
      <c r="K4782" s="103"/>
      <c r="L4782" s="103"/>
      <c r="M4782" s="104"/>
      <c r="N4782" s="103"/>
    </row>
    <row r="4783" spans="1:14" ht="45" customHeight="1" thickBot="1" x14ac:dyDescent="0.4">
      <c r="A4783" s="103"/>
      <c r="B4783" s="103"/>
      <c r="C4783" s="103"/>
      <c r="D4783" s="103"/>
      <c r="E4783" s="103"/>
      <c r="F4783" s="103"/>
      <c r="G4783" s="103"/>
      <c r="H4783" s="103"/>
      <c r="I4783" s="103"/>
      <c r="J4783" s="103"/>
      <c r="K4783" s="103"/>
      <c r="L4783" s="103"/>
      <c r="M4783" s="104"/>
      <c r="N4783" s="103"/>
    </row>
    <row r="4784" spans="1:14" ht="45" customHeight="1" thickBot="1" x14ac:dyDescent="0.4">
      <c r="A4784" s="103"/>
      <c r="B4784" s="103"/>
      <c r="C4784" s="103"/>
      <c r="D4784" s="103"/>
      <c r="E4784" s="103"/>
      <c r="F4784" s="103"/>
      <c r="G4784" s="103"/>
      <c r="H4784" s="103"/>
      <c r="I4784" s="103"/>
      <c r="J4784" s="103"/>
      <c r="K4784" s="103"/>
      <c r="L4784" s="103"/>
      <c r="M4784" s="104"/>
      <c r="N4784" s="103"/>
    </row>
    <row r="4785" spans="1:14" ht="45" customHeight="1" thickBot="1" x14ac:dyDescent="0.4">
      <c r="A4785" s="103"/>
      <c r="B4785" s="103"/>
      <c r="C4785" s="103"/>
      <c r="D4785" s="103"/>
      <c r="E4785" s="103"/>
      <c r="F4785" s="103"/>
      <c r="G4785" s="103"/>
      <c r="H4785" s="103"/>
      <c r="I4785" s="103"/>
      <c r="J4785" s="103"/>
      <c r="K4785" s="103"/>
      <c r="L4785" s="103"/>
      <c r="M4785" s="104"/>
      <c r="N4785" s="103"/>
    </row>
    <row r="4786" spans="1:14" ht="45" customHeight="1" thickBot="1" x14ac:dyDescent="0.4">
      <c r="A4786" s="103"/>
      <c r="B4786" s="103"/>
      <c r="C4786" s="103"/>
      <c r="D4786" s="103"/>
      <c r="E4786" s="103"/>
      <c r="F4786" s="103"/>
      <c r="G4786" s="103"/>
      <c r="H4786" s="103"/>
      <c r="I4786" s="103"/>
      <c r="J4786" s="103"/>
      <c r="K4786" s="103"/>
      <c r="L4786" s="103"/>
      <c r="M4786" s="104"/>
      <c r="N4786" s="103"/>
    </row>
    <row r="4787" spans="1:14" ht="45" customHeight="1" thickBot="1" x14ac:dyDescent="0.4">
      <c r="A4787" s="103"/>
      <c r="B4787" s="103"/>
      <c r="C4787" s="103"/>
      <c r="D4787" s="103"/>
      <c r="E4787" s="103"/>
      <c r="F4787" s="103"/>
      <c r="G4787" s="103"/>
      <c r="H4787" s="103"/>
      <c r="I4787" s="103"/>
      <c r="J4787" s="103"/>
      <c r="K4787" s="103"/>
      <c r="L4787" s="103"/>
      <c r="M4787" s="104"/>
      <c r="N4787" s="103"/>
    </row>
    <row r="4788" spans="1:14" ht="45" customHeight="1" thickBot="1" x14ac:dyDescent="0.4">
      <c r="A4788" s="103"/>
      <c r="B4788" s="103"/>
      <c r="C4788" s="103"/>
      <c r="D4788" s="103"/>
      <c r="E4788" s="103"/>
      <c r="F4788" s="103"/>
      <c r="G4788" s="103"/>
      <c r="H4788" s="103"/>
      <c r="I4788" s="103"/>
      <c r="J4788" s="103"/>
      <c r="K4788" s="103"/>
      <c r="L4788" s="103"/>
      <c r="M4788" s="104"/>
      <c r="N4788" s="103"/>
    </row>
    <row r="4789" spans="1:14" ht="45" customHeight="1" thickBot="1" x14ac:dyDescent="0.4">
      <c r="A4789" s="103"/>
      <c r="B4789" s="103"/>
      <c r="C4789" s="103"/>
      <c r="D4789" s="103"/>
      <c r="E4789" s="103"/>
      <c r="F4789" s="103"/>
      <c r="G4789" s="103"/>
      <c r="H4789" s="103"/>
      <c r="I4789" s="103"/>
      <c r="J4789" s="103"/>
      <c r="K4789" s="103"/>
      <c r="L4789" s="103"/>
      <c r="M4789" s="104"/>
      <c r="N4789" s="103"/>
    </row>
    <row r="4790" spans="1:14" ht="45" customHeight="1" thickBot="1" x14ac:dyDescent="0.4">
      <c r="A4790" s="103"/>
      <c r="B4790" s="103"/>
      <c r="C4790" s="103"/>
      <c r="D4790" s="103"/>
      <c r="E4790" s="103"/>
      <c r="F4790" s="103"/>
      <c r="G4790" s="103"/>
      <c r="H4790" s="103"/>
      <c r="I4790" s="103"/>
      <c r="J4790" s="103"/>
      <c r="K4790" s="103"/>
      <c r="L4790" s="103"/>
      <c r="M4790" s="104"/>
      <c r="N4790" s="103"/>
    </row>
    <row r="4791" spans="1:14" ht="45" customHeight="1" thickBot="1" x14ac:dyDescent="0.4">
      <c r="A4791" s="103"/>
      <c r="B4791" s="103"/>
      <c r="C4791" s="103"/>
      <c r="D4791" s="103"/>
      <c r="E4791" s="103"/>
      <c r="F4791" s="103"/>
      <c r="G4791" s="103"/>
      <c r="H4791" s="103"/>
      <c r="I4791" s="103"/>
      <c r="J4791" s="103"/>
      <c r="K4791" s="103"/>
      <c r="L4791" s="103"/>
      <c r="M4791" s="104"/>
      <c r="N4791" s="103"/>
    </row>
    <row r="4792" spans="1:14" ht="45" customHeight="1" thickBot="1" x14ac:dyDescent="0.4">
      <c r="A4792" s="103"/>
      <c r="B4792" s="103"/>
      <c r="C4792" s="103"/>
      <c r="D4792" s="103"/>
      <c r="E4792" s="103"/>
      <c r="F4792" s="103"/>
      <c r="G4792" s="103"/>
      <c r="H4792" s="103"/>
      <c r="I4792" s="103"/>
      <c r="J4792" s="103"/>
      <c r="K4792" s="103"/>
      <c r="L4792" s="103"/>
      <c r="M4792" s="104"/>
      <c r="N4792" s="103"/>
    </row>
    <row r="4793" spans="1:14" ht="45" customHeight="1" thickBot="1" x14ac:dyDescent="0.4">
      <c r="A4793" s="103"/>
      <c r="B4793" s="103"/>
      <c r="C4793" s="103"/>
      <c r="D4793" s="103"/>
      <c r="E4793" s="103"/>
      <c r="F4793" s="103"/>
      <c r="G4793" s="103"/>
      <c r="H4793" s="103"/>
      <c r="I4793" s="103"/>
      <c r="J4793" s="103"/>
      <c r="K4793" s="103"/>
      <c r="L4793" s="103"/>
      <c r="M4793" s="104"/>
      <c r="N4793" s="103"/>
    </row>
    <row r="4794" spans="1:14" ht="45" customHeight="1" thickBot="1" x14ac:dyDescent="0.4">
      <c r="A4794" s="103"/>
      <c r="B4794" s="103"/>
      <c r="C4794" s="103"/>
      <c r="D4794" s="103"/>
      <c r="E4794" s="103"/>
      <c r="F4794" s="103"/>
      <c r="G4794" s="103"/>
      <c r="H4794" s="103"/>
      <c r="I4794" s="103"/>
      <c r="J4794" s="103"/>
      <c r="K4794" s="103"/>
      <c r="L4794" s="103"/>
      <c r="M4794" s="104"/>
      <c r="N4794" s="103"/>
    </row>
    <row r="4795" spans="1:14" ht="45" customHeight="1" thickBot="1" x14ac:dyDescent="0.4">
      <c r="A4795" s="103"/>
      <c r="B4795" s="103"/>
      <c r="C4795" s="103"/>
      <c r="D4795" s="103"/>
      <c r="E4795" s="103"/>
      <c r="F4795" s="103"/>
      <c r="G4795" s="103"/>
      <c r="H4795" s="103"/>
      <c r="I4795" s="103"/>
      <c r="J4795" s="103"/>
      <c r="K4795" s="103"/>
      <c r="L4795" s="103"/>
      <c r="M4795" s="104"/>
      <c r="N4795" s="103"/>
    </row>
    <row r="4796" spans="1:14" ht="45" customHeight="1" thickBot="1" x14ac:dyDescent="0.4">
      <c r="A4796" s="103"/>
      <c r="B4796" s="103"/>
      <c r="C4796" s="103"/>
      <c r="D4796" s="103"/>
      <c r="E4796" s="103"/>
      <c r="F4796" s="103"/>
      <c r="G4796" s="103"/>
      <c r="H4796" s="103"/>
      <c r="I4796" s="103"/>
      <c r="J4796" s="103"/>
      <c r="K4796" s="103"/>
      <c r="L4796" s="103"/>
      <c r="M4796" s="104"/>
      <c r="N4796" s="103"/>
    </row>
    <row r="4797" spans="1:14" ht="45" customHeight="1" thickBot="1" x14ac:dyDescent="0.4">
      <c r="A4797" s="103"/>
      <c r="B4797" s="103"/>
      <c r="C4797" s="103"/>
      <c r="D4797" s="103"/>
      <c r="E4797" s="103"/>
      <c r="F4797" s="103"/>
      <c r="G4797" s="103"/>
      <c r="H4797" s="103"/>
      <c r="I4797" s="103"/>
      <c r="J4797" s="103"/>
      <c r="K4797" s="103"/>
      <c r="L4797" s="103"/>
      <c r="M4797" s="104"/>
      <c r="N4797" s="103"/>
    </row>
    <row r="4798" spans="1:14" ht="45" customHeight="1" thickBot="1" x14ac:dyDescent="0.4">
      <c r="A4798" s="103"/>
      <c r="B4798" s="103"/>
      <c r="C4798" s="103"/>
      <c r="D4798" s="103"/>
      <c r="E4798" s="103"/>
      <c r="F4798" s="103"/>
      <c r="G4798" s="103"/>
      <c r="H4798" s="103"/>
      <c r="I4798" s="103"/>
      <c r="J4798" s="103"/>
      <c r="K4798" s="103"/>
      <c r="L4798" s="103"/>
      <c r="M4798" s="104"/>
      <c r="N4798" s="103"/>
    </row>
    <row r="4799" spans="1:14" ht="45" customHeight="1" thickBot="1" x14ac:dyDescent="0.4">
      <c r="A4799" s="103"/>
      <c r="B4799" s="103"/>
      <c r="C4799" s="103"/>
      <c r="D4799" s="103"/>
      <c r="E4799" s="103"/>
      <c r="F4799" s="103"/>
      <c r="G4799" s="103"/>
      <c r="H4799" s="103"/>
      <c r="I4799" s="103"/>
      <c r="J4799" s="103"/>
      <c r="K4799" s="103"/>
      <c r="L4799" s="103"/>
      <c r="M4799" s="104"/>
      <c r="N4799" s="103"/>
    </row>
    <row r="4800" spans="1:14" ht="45" customHeight="1" thickBot="1" x14ac:dyDescent="0.4">
      <c r="A4800" s="103"/>
      <c r="B4800" s="103"/>
      <c r="C4800" s="103"/>
      <c r="D4800" s="103"/>
      <c r="E4800" s="103"/>
      <c r="F4800" s="103"/>
      <c r="G4800" s="103"/>
      <c r="H4800" s="103"/>
      <c r="I4800" s="103"/>
      <c r="J4800" s="103"/>
      <c r="K4800" s="103"/>
      <c r="L4800" s="103"/>
      <c r="M4800" s="104"/>
      <c r="N4800" s="103"/>
    </row>
    <row r="4801" spans="1:14" ht="45" customHeight="1" thickBot="1" x14ac:dyDescent="0.4">
      <c r="A4801" s="103"/>
      <c r="B4801" s="103"/>
      <c r="C4801" s="103"/>
      <c r="D4801" s="103"/>
      <c r="E4801" s="103"/>
      <c r="F4801" s="103"/>
      <c r="G4801" s="103"/>
      <c r="H4801" s="103"/>
      <c r="I4801" s="103"/>
      <c r="J4801" s="103"/>
      <c r="K4801" s="103"/>
      <c r="L4801" s="103"/>
      <c r="M4801" s="104"/>
      <c r="N4801" s="103"/>
    </row>
    <row r="4802" spans="1:14" ht="45" customHeight="1" thickBot="1" x14ac:dyDescent="0.4">
      <c r="A4802" s="103"/>
      <c r="B4802" s="103"/>
      <c r="C4802" s="103"/>
      <c r="D4802" s="103"/>
      <c r="E4802" s="103"/>
      <c r="F4802" s="103"/>
      <c r="G4802" s="103"/>
      <c r="H4802" s="103"/>
      <c r="I4802" s="103"/>
      <c r="J4802" s="103"/>
      <c r="K4802" s="103"/>
      <c r="L4802" s="103"/>
      <c r="M4802" s="104"/>
      <c r="N4802" s="103"/>
    </row>
    <row r="4803" spans="1:14" ht="45" customHeight="1" thickBot="1" x14ac:dyDescent="0.4">
      <c r="A4803" s="103"/>
      <c r="B4803" s="103"/>
      <c r="C4803" s="103"/>
      <c r="D4803" s="103"/>
      <c r="E4803" s="103"/>
      <c r="F4803" s="103"/>
      <c r="G4803" s="103"/>
      <c r="H4803" s="103"/>
      <c r="I4803" s="103"/>
      <c r="J4803" s="103"/>
      <c r="K4803" s="103"/>
      <c r="L4803" s="103"/>
      <c r="M4803" s="104"/>
      <c r="N4803" s="103"/>
    </row>
    <row r="4804" spans="1:14" ht="45" customHeight="1" thickBot="1" x14ac:dyDescent="0.4">
      <c r="A4804" s="103"/>
      <c r="B4804" s="103"/>
      <c r="C4804" s="103"/>
      <c r="D4804" s="103"/>
      <c r="E4804" s="103"/>
      <c r="F4804" s="103"/>
      <c r="G4804" s="103"/>
      <c r="H4804" s="103"/>
      <c r="I4804" s="103"/>
      <c r="J4804" s="103"/>
      <c r="K4804" s="103"/>
      <c r="L4804" s="103"/>
      <c r="M4804" s="104"/>
      <c r="N4804" s="103"/>
    </row>
    <row r="4805" spans="1:14" ht="45" customHeight="1" thickBot="1" x14ac:dyDescent="0.4">
      <c r="A4805" s="103"/>
      <c r="B4805" s="103"/>
      <c r="C4805" s="103"/>
      <c r="D4805" s="103"/>
      <c r="E4805" s="103"/>
      <c r="F4805" s="103"/>
      <c r="G4805" s="103"/>
      <c r="H4805" s="103"/>
      <c r="I4805" s="103"/>
      <c r="J4805" s="103"/>
      <c r="K4805" s="103"/>
      <c r="L4805" s="103"/>
      <c r="M4805" s="104"/>
      <c r="N4805" s="103"/>
    </row>
    <row r="4806" spans="1:14" ht="45" customHeight="1" thickBot="1" x14ac:dyDescent="0.4">
      <c r="A4806" s="103"/>
      <c r="B4806" s="103"/>
      <c r="C4806" s="103"/>
      <c r="D4806" s="103"/>
      <c r="E4806" s="103"/>
      <c r="F4806" s="103"/>
      <c r="G4806" s="103"/>
      <c r="H4806" s="103"/>
      <c r="I4806" s="103"/>
      <c r="J4806" s="103"/>
      <c r="K4806" s="103"/>
      <c r="L4806" s="103"/>
      <c r="M4806" s="104"/>
      <c r="N4806" s="103"/>
    </row>
    <row r="4807" spans="1:14" ht="45" customHeight="1" thickBot="1" x14ac:dyDescent="0.4">
      <c r="A4807" s="103"/>
      <c r="B4807" s="103"/>
      <c r="C4807" s="103"/>
      <c r="D4807" s="103"/>
      <c r="E4807" s="103"/>
      <c r="F4807" s="103"/>
      <c r="G4807" s="103"/>
      <c r="H4807" s="103"/>
      <c r="I4807" s="103"/>
      <c r="J4807" s="103"/>
      <c r="K4807" s="103"/>
      <c r="L4807" s="103"/>
      <c r="M4807" s="104"/>
      <c r="N4807" s="103"/>
    </row>
    <row r="4808" spans="1:14" ht="45" customHeight="1" thickBot="1" x14ac:dyDescent="0.4">
      <c r="A4808" s="103"/>
      <c r="B4808" s="103"/>
      <c r="C4808" s="103"/>
      <c r="D4808" s="103"/>
      <c r="E4808" s="103"/>
      <c r="F4808" s="103"/>
      <c r="G4808" s="103"/>
      <c r="H4808" s="103"/>
      <c r="I4808" s="103"/>
      <c r="J4808" s="103"/>
      <c r="K4808" s="103"/>
      <c r="L4808" s="103"/>
      <c r="M4808" s="104"/>
      <c r="N4808" s="103"/>
    </row>
    <row r="4809" spans="1:14" ht="45" customHeight="1" thickBot="1" x14ac:dyDescent="0.4">
      <c r="A4809" s="103"/>
      <c r="B4809" s="103"/>
      <c r="C4809" s="103"/>
      <c r="D4809" s="103"/>
      <c r="E4809" s="103"/>
      <c r="F4809" s="103"/>
      <c r="G4809" s="103"/>
      <c r="H4809" s="103"/>
      <c r="I4809" s="103"/>
      <c r="J4809" s="103"/>
      <c r="K4809" s="103"/>
      <c r="L4809" s="103"/>
      <c r="M4809" s="104"/>
      <c r="N4809" s="103"/>
    </row>
    <row r="4810" spans="1:14" ht="45" customHeight="1" thickBot="1" x14ac:dyDescent="0.4">
      <c r="A4810" s="103"/>
      <c r="B4810" s="103"/>
      <c r="C4810" s="103"/>
      <c r="D4810" s="103"/>
      <c r="E4810" s="103"/>
      <c r="F4810" s="103"/>
      <c r="G4810" s="103"/>
      <c r="H4810" s="103"/>
      <c r="I4810" s="103"/>
      <c r="J4810" s="103"/>
      <c r="K4810" s="103"/>
      <c r="L4810" s="103"/>
      <c r="M4810" s="104"/>
      <c r="N4810" s="103"/>
    </row>
    <row r="4811" spans="1:14" ht="45" customHeight="1" thickBot="1" x14ac:dyDescent="0.4">
      <c r="A4811" s="103"/>
      <c r="B4811" s="103"/>
      <c r="C4811" s="103"/>
      <c r="D4811" s="103"/>
      <c r="E4811" s="103"/>
      <c r="F4811" s="103"/>
      <c r="G4811" s="103"/>
      <c r="H4811" s="103"/>
      <c r="I4811" s="103"/>
      <c r="J4811" s="103"/>
      <c r="K4811" s="103"/>
      <c r="L4811" s="103"/>
      <c r="M4811" s="104"/>
      <c r="N4811" s="103"/>
    </row>
    <row r="4812" spans="1:14" ht="45" customHeight="1" thickBot="1" x14ac:dyDescent="0.4">
      <c r="A4812" s="103"/>
      <c r="B4812" s="103"/>
      <c r="C4812" s="103"/>
      <c r="D4812" s="103"/>
      <c r="E4812" s="103"/>
      <c r="F4812" s="103"/>
      <c r="G4812" s="103"/>
      <c r="H4812" s="103"/>
      <c r="I4812" s="103"/>
      <c r="J4812" s="103"/>
      <c r="K4812" s="103"/>
      <c r="L4812" s="103"/>
      <c r="M4812" s="104"/>
      <c r="N4812" s="103"/>
    </row>
    <row r="4813" spans="1:14" ht="45" customHeight="1" thickBot="1" x14ac:dyDescent="0.4">
      <c r="A4813" s="103"/>
      <c r="B4813" s="103"/>
      <c r="C4813" s="103"/>
      <c r="D4813" s="103"/>
      <c r="E4813" s="103"/>
      <c r="F4813" s="103"/>
      <c r="G4813" s="103"/>
      <c r="H4813" s="103"/>
      <c r="I4813" s="103"/>
      <c r="J4813" s="103"/>
      <c r="K4813" s="103"/>
      <c r="L4813" s="103"/>
      <c r="M4813" s="104"/>
      <c r="N4813" s="103"/>
    </row>
    <row r="4814" spans="1:14" ht="45" customHeight="1" thickBot="1" x14ac:dyDescent="0.4">
      <c r="A4814" s="103"/>
      <c r="B4814" s="103"/>
      <c r="C4814" s="103"/>
      <c r="D4814" s="103"/>
      <c r="E4814" s="103"/>
      <c r="F4814" s="103"/>
      <c r="G4814" s="103"/>
      <c r="H4814" s="103"/>
      <c r="I4814" s="103"/>
      <c r="J4814" s="103"/>
      <c r="K4814" s="103"/>
      <c r="L4814" s="103"/>
      <c r="M4814" s="104"/>
      <c r="N4814" s="103"/>
    </row>
    <row r="4815" spans="1:14" ht="45" customHeight="1" thickBot="1" x14ac:dyDescent="0.4">
      <c r="A4815" s="103"/>
      <c r="B4815" s="103"/>
      <c r="C4815" s="103"/>
      <c r="D4815" s="103"/>
      <c r="E4815" s="103"/>
      <c r="F4815" s="103"/>
      <c r="G4815" s="103"/>
      <c r="H4815" s="103"/>
      <c r="I4815" s="103"/>
      <c r="J4815" s="103"/>
      <c r="K4815" s="103"/>
      <c r="L4815" s="103"/>
      <c r="M4815" s="104"/>
      <c r="N4815" s="103"/>
    </row>
    <row r="4816" spans="1:14" ht="45" customHeight="1" thickBot="1" x14ac:dyDescent="0.4">
      <c r="A4816" s="103"/>
      <c r="B4816" s="103"/>
      <c r="C4816" s="103"/>
      <c r="D4816" s="103"/>
      <c r="E4816" s="103"/>
      <c r="F4816" s="103"/>
      <c r="G4816" s="103"/>
      <c r="H4816" s="103"/>
      <c r="I4816" s="103"/>
      <c r="J4816" s="103"/>
      <c r="K4816" s="103"/>
      <c r="L4816" s="103"/>
      <c r="M4816" s="104"/>
      <c r="N4816" s="103"/>
    </row>
    <row r="4817" spans="1:14" ht="45" customHeight="1" thickBot="1" x14ac:dyDescent="0.4">
      <c r="A4817" s="103"/>
      <c r="B4817" s="103"/>
      <c r="C4817" s="103"/>
      <c r="D4817" s="103"/>
      <c r="E4817" s="103"/>
      <c r="F4817" s="103"/>
      <c r="G4817" s="103"/>
      <c r="H4817" s="103"/>
      <c r="I4817" s="103"/>
      <c r="J4817" s="103"/>
      <c r="K4817" s="103"/>
      <c r="L4817" s="103"/>
      <c r="M4817" s="104"/>
      <c r="N4817" s="103"/>
    </row>
    <row r="4818" spans="1:14" ht="45" customHeight="1" thickBot="1" x14ac:dyDescent="0.4">
      <c r="A4818" s="103"/>
      <c r="B4818" s="103"/>
      <c r="C4818" s="103"/>
      <c r="D4818" s="103"/>
      <c r="E4818" s="103"/>
      <c r="F4818" s="103"/>
      <c r="G4818" s="103"/>
      <c r="H4818" s="103"/>
      <c r="I4818" s="103"/>
      <c r="J4818" s="103"/>
      <c r="K4818" s="103"/>
      <c r="L4818" s="103"/>
      <c r="M4818" s="104"/>
      <c r="N4818" s="103"/>
    </row>
    <row r="4819" spans="1:14" ht="45" customHeight="1" thickBot="1" x14ac:dyDescent="0.4">
      <c r="A4819" s="103"/>
      <c r="B4819" s="103"/>
      <c r="C4819" s="103"/>
      <c r="D4819" s="103"/>
      <c r="E4819" s="103"/>
      <c r="F4819" s="103"/>
      <c r="G4819" s="103"/>
      <c r="H4819" s="103"/>
      <c r="I4819" s="103"/>
      <c r="J4819" s="103"/>
      <c r="K4819" s="103"/>
      <c r="L4819" s="103"/>
      <c r="M4819" s="104"/>
      <c r="N4819" s="103"/>
    </row>
    <row r="4820" spans="1:14" ht="45" customHeight="1" thickBot="1" x14ac:dyDescent="0.4">
      <c r="A4820" s="103"/>
      <c r="B4820" s="103"/>
      <c r="C4820" s="103"/>
      <c r="D4820" s="103"/>
      <c r="E4820" s="103"/>
      <c r="F4820" s="103"/>
      <c r="G4820" s="103"/>
      <c r="H4820" s="103"/>
      <c r="I4820" s="103"/>
      <c r="J4820" s="103"/>
      <c r="K4820" s="103"/>
      <c r="L4820" s="103"/>
      <c r="M4820" s="104"/>
      <c r="N4820" s="103"/>
    </row>
    <row r="4821" spans="1:14" ht="45" customHeight="1" thickBot="1" x14ac:dyDescent="0.4">
      <c r="A4821" s="103"/>
      <c r="B4821" s="103"/>
      <c r="C4821" s="103"/>
      <c r="D4821" s="103"/>
      <c r="E4821" s="103"/>
      <c r="F4821" s="103"/>
      <c r="G4821" s="103"/>
      <c r="H4821" s="103"/>
      <c r="I4821" s="103"/>
      <c r="J4821" s="103"/>
      <c r="K4821" s="103"/>
      <c r="L4821" s="103"/>
      <c r="M4821" s="104"/>
      <c r="N4821" s="103"/>
    </row>
    <row r="4822" spans="1:14" ht="45" customHeight="1" thickBot="1" x14ac:dyDescent="0.4">
      <c r="A4822" s="103"/>
      <c r="B4822" s="103"/>
      <c r="C4822" s="103"/>
      <c r="D4822" s="103"/>
      <c r="E4822" s="103"/>
      <c r="F4822" s="103"/>
      <c r="G4822" s="103"/>
      <c r="H4822" s="103"/>
      <c r="I4822" s="103"/>
      <c r="J4822" s="103"/>
      <c r="K4822" s="103"/>
      <c r="L4822" s="103"/>
      <c r="M4822" s="104"/>
      <c r="N4822" s="103"/>
    </row>
    <row r="4823" spans="1:14" ht="45" customHeight="1" thickBot="1" x14ac:dyDescent="0.4">
      <c r="A4823" s="103"/>
      <c r="B4823" s="103"/>
      <c r="C4823" s="103"/>
      <c r="D4823" s="103"/>
      <c r="E4823" s="103"/>
      <c r="F4823" s="103"/>
      <c r="G4823" s="103"/>
      <c r="H4823" s="103"/>
      <c r="I4823" s="103"/>
      <c r="J4823" s="103"/>
      <c r="K4823" s="103"/>
      <c r="L4823" s="103"/>
      <c r="M4823" s="104"/>
      <c r="N4823" s="103"/>
    </row>
    <row r="4824" spans="1:14" ht="45" customHeight="1" thickBot="1" x14ac:dyDescent="0.4">
      <c r="A4824" s="103"/>
      <c r="B4824" s="103"/>
      <c r="C4824" s="103"/>
      <c r="D4824" s="103"/>
      <c r="E4824" s="103"/>
      <c r="F4824" s="103"/>
      <c r="G4824" s="103"/>
      <c r="H4824" s="103"/>
      <c r="I4824" s="103"/>
      <c r="J4824" s="103"/>
      <c r="K4824" s="103"/>
      <c r="L4824" s="103"/>
      <c r="M4824" s="104"/>
      <c r="N4824" s="103"/>
    </row>
    <row r="4825" spans="1:14" ht="45" customHeight="1" thickBot="1" x14ac:dyDescent="0.4">
      <c r="A4825" s="103"/>
      <c r="B4825" s="103"/>
      <c r="C4825" s="103"/>
      <c r="D4825" s="103"/>
      <c r="E4825" s="103"/>
      <c r="F4825" s="103"/>
      <c r="G4825" s="103"/>
      <c r="H4825" s="103"/>
      <c r="I4825" s="103"/>
      <c r="J4825" s="103"/>
      <c r="K4825" s="103"/>
      <c r="L4825" s="103"/>
      <c r="M4825" s="104"/>
      <c r="N4825" s="103"/>
    </row>
    <row r="4826" spans="1:14" ht="45" customHeight="1" thickBot="1" x14ac:dyDescent="0.4">
      <c r="A4826" s="103"/>
      <c r="B4826" s="103"/>
      <c r="C4826" s="103"/>
      <c r="D4826" s="103"/>
      <c r="E4826" s="103"/>
      <c r="F4826" s="103"/>
      <c r="G4826" s="103"/>
      <c r="H4826" s="103"/>
      <c r="I4826" s="103"/>
      <c r="J4826" s="103"/>
      <c r="K4826" s="103"/>
      <c r="L4826" s="103"/>
      <c r="M4826" s="104"/>
      <c r="N4826" s="103"/>
    </row>
    <row r="4827" spans="1:14" ht="45" customHeight="1" thickBot="1" x14ac:dyDescent="0.4">
      <c r="A4827" s="103"/>
      <c r="B4827" s="103"/>
      <c r="C4827" s="103"/>
      <c r="D4827" s="103"/>
      <c r="E4827" s="103"/>
      <c r="F4827" s="103"/>
      <c r="G4827" s="103"/>
      <c r="H4827" s="103"/>
      <c r="I4827" s="103"/>
      <c r="J4827" s="103"/>
      <c r="K4827" s="103"/>
      <c r="L4827" s="103"/>
      <c r="M4827" s="104"/>
      <c r="N4827" s="103"/>
    </row>
    <row r="4828" spans="1:14" ht="45" customHeight="1" thickBot="1" x14ac:dyDescent="0.4">
      <c r="A4828" s="103"/>
      <c r="B4828" s="103"/>
      <c r="C4828" s="103"/>
      <c r="D4828" s="103"/>
      <c r="E4828" s="103"/>
      <c r="F4828" s="103"/>
      <c r="G4828" s="103"/>
      <c r="H4828" s="103"/>
      <c r="I4828" s="103"/>
      <c r="J4828" s="103"/>
      <c r="K4828" s="103"/>
      <c r="L4828" s="103"/>
      <c r="M4828" s="104"/>
      <c r="N4828" s="103"/>
    </row>
    <row r="4829" spans="1:14" ht="45" customHeight="1" thickBot="1" x14ac:dyDescent="0.4">
      <c r="A4829" s="103"/>
      <c r="B4829" s="103"/>
      <c r="C4829" s="103"/>
      <c r="D4829" s="103"/>
      <c r="E4829" s="103"/>
      <c r="F4829" s="103"/>
      <c r="G4829" s="103"/>
      <c r="H4829" s="103"/>
      <c r="I4829" s="103"/>
      <c r="J4829" s="103"/>
      <c r="K4829" s="103"/>
      <c r="L4829" s="103"/>
      <c r="M4829" s="104"/>
      <c r="N4829" s="103"/>
    </row>
    <row r="4830" spans="1:14" ht="45" customHeight="1" thickBot="1" x14ac:dyDescent="0.4">
      <c r="A4830" s="103"/>
      <c r="B4830" s="103"/>
      <c r="C4830" s="103"/>
      <c r="D4830" s="103"/>
      <c r="E4830" s="103"/>
      <c r="F4830" s="103"/>
      <c r="G4830" s="103"/>
      <c r="H4830" s="103"/>
      <c r="I4830" s="103"/>
      <c r="J4830" s="103"/>
      <c r="K4830" s="103"/>
      <c r="L4830" s="103"/>
      <c r="M4830" s="104"/>
      <c r="N4830" s="103"/>
    </row>
    <row r="4831" spans="1:14" ht="45" customHeight="1" thickBot="1" x14ac:dyDescent="0.4">
      <c r="A4831" s="103"/>
      <c r="B4831" s="103"/>
      <c r="C4831" s="103"/>
      <c r="D4831" s="103"/>
      <c r="E4831" s="103"/>
      <c r="F4831" s="103"/>
      <c r="G4831" s="103"/>
      <c r="H4831" s="103"/>
      <c r="I4831" s="103"/>
      <c r="J4831" s="103"/>
      <c r="K4831" s="103"/>
      <c r="L4831" s="103"/>
      <c r="M4831" s="104"/>
      <c r="N4831" s="103"/>
    </row>
    <row r="4832" spans="1:14" ht="45" customHeight="1" thickBot="1" x14ac:dyDescent="0.4">
      <c r="A4832" s="103"/>
      <c r="B4832" s="103"/>
      <c r="C4832" s="103"/>
      <c r="D4832" s="103"/>
      <c r="E4832" s="103"/>
      <c r="F4832" s="103"/>
      <c r="G4832" s="103"/>
      <c r="H4832" s="103"/>
      <c r="I4832" s="103"/>
      <c r="J4832" s="103"/>
      <c r="K4832" s="103"/>
      <c r="L4832" s="103"/>
      <c r="M4832" s="104"/>
      <c r="N4832" s="103"/>
    </row>
    <row r="4833" spans="1:14" ht="45" customHeight="1" thickBot="1" x14ac:dyDescent="0.4">
      <c r="A4833" s="103"/>
      <c r="B4833" s="103"/>
      <c r="C4833" s="103"/>
      <c r="D4833" s="103"/>
      <c r="E4833" s="103"/>
      <c r="F4833" s="103"/>
      <c r="G4833" s="103"/>
      <c r="H4833" s="103"/>
      <c r="I4833" s="103"/>
      <c r="J4833" s="103"/>
      <c r="K4833" s="103"/>
      <c r="L4833" s="103"/>
      <c r="M4833" s="104"/>
      <c r="N4833" s="103"/>
    </row>
    <row r="4834" spans="1:14" ht="45" customHeight="1" thickBot="1" x14ac:dyDescent="0.4">
      <c r="A4834" s="103"/>
      <c r="B4834" s="103"/>
      <c r="C4834" s="103"/>
      <c r="D4834" s="103"/>
      <c r="E4834" s="103"/>
      <c r="F4834" s="103"/>
      <c r="G4834" s="103"/>
      <c r="H4834" s="103"/>
      <c r="I4834" s="103"/>
      <c r="J4834" s="103"/>
      <c r="K4834" s="103"/>
      <c r="L4834" s="103"/>
      <c r="M4834" s="104"/>
      <c r="N4834" s="103"/>
    </row>
    <row r="4835" spans="1:14" ht="45" customHeight="1" thickBot="1" x14ac:dyDescent="0.4">
      <c r="A4835" s="103"/>
      <c r="B4835" s="103"/>
      <c r="C4835" s="103"/>
      <c r="D4835" s="103"/>
      <c r="E4835" s="103"/>
      <c r="F4835" s="103"/>
      <c r="G4835" s="103"/>
      <c r="H4835" s="103"/>
      <c r="I4835" s="103"/>
      <c r="J4835" s="103"/>
      <c r="K4835" s="103"/>
      <c r="L4835" s="103"/>
      <c r="M4835" s="104"/>
      <c r="N4835" s="103"/>
    </row>
    <row r="4836" spans="1:14" ht="45" customHeight="1" thickBot="1" x14ac:dyDescent="0.4">
      <c r="A4836" s="103"/>
      <c r="B4836" s="103"/>
      <c r="C4836" s="103"/>
      <c r="D4836" s="103"/>
      <c r="E4836" s="103"/>
      <c r="F4836" s="103"/>
      <c r="G4836" s="103"/>
      <c r="H4836" s="103"/>
      <c r="I4836" s="103"/>
      <c r="J4836" s="103"/>
      <c r="K4836" s="103"/>
      <c r="L4836" s="103"/>
      <c r="M4836" s="104"/>
      <c r="N4836" s="103"/>
    </row>
    <row r="4837" spans="1:14" ht="45" customHeight="1" thickBot="1" x14ac:dyDescent="0.4">
      <c r="A4837" s="103"/>
      <c r="B4837" s="103"/>
      <c r="C4837" s="103"/>
      <c r="D4837" s="103"/>
      <c r="E4837" s="103"/>
      <c r="F4837" s="103"/>
      <c r="G4837" s="103"/>
      <c r="H4837" s="103"/>
      <c r="I4837" s="103"/>
      <c r="J4837" s="103"/>
      <c r="K4837" s="103"/>
      <c r="L4837" s="103"/>
      <c r="M4837" s="104"/>
      <c r="N4837" s="103"/>
    </row>
    <row r="4838" spans="1:14" ht="45" customHeight="1" thickBot="1" x14ac:dyDescent="0.4">
      <c r="A4838" s="103"/>
      <c r="B4838" s="103"/>
      <c r="C4838" s="103"/>
      <c r="D4838" s="103"/>
      <c r="E4838" s="103"/>
      <c r="F4838" s="103"/>
      <c r="G4838" s="103"/>
      <c r="H4838" s="103"/>
      <c r="I4838" s="103"/>
      <c r="J4838" s="103"/>
      <c r="K4838" s="103"/>
      <c r="L4838" s="103"/>
      <c r="M4838" s="104"/>
      <c r="N4838" s="103"/>
    </row>
    <row r="4839" spans="1:14" ht="45" customHeight="1" thickBot="1" x14ac:dyDescent="0.4">
      <c r="A4839" s="103"/>
      <c r="B4839" s="103"/>
      <c r="C4839" s="103"/>
      <c r="D4839" s="103"/>
      <c r="E4839" s="103"/>
      <c r="F4839" s="103"/>
      <c r="G4839" s="103"/>
      <c r="H4839" s="103"/>
      <c r="I4839" s="103"/>
      <c r="J4839" s="103"/>
      <c r="K4839" s="103"/>
      <c r="L4839" s="103"/>
      <c r="M4839" s="104"/>
      <c r="N4839" s="103"/>
    </row>
    <row r="4840" spans="1:14" ht="45" customHeight="1" thickBot="1" x14ac:dyDescent="0.4">
      <c r="A4840" s="103"/>
      <c r="B4840" s="103"/>
      <c r="C4840" s="103"/>
      <c r="D4840" s="103"/>
      <c r="E4840" s="103"/>
      <c r="F4840" s="103"/>
      <c r="G4840" s="103"/>
      <c r="H4840" s="103"/>
      <c r="I4840" s="103"/>
      <c r="J4840" s="103"/>
      <c r="K4840" s="103"/>
      <c r="L4840" s="103"/>
      <c r="M4840" s="104"/>
      <c r="N4840" s="103"/>
    </row>
    <row r="4841" spans="1:14" ht="45" customHeight="1" thickBot="1" x14ac:dyDescent="0.4">
      <c r="A4841" s="103"/>
      <c r="B4841" s="103"/>
      <c r="C4841" s="103"/>
      <c r="D4841" s="103"/>
      <c r="E4841" s="103"/>
      <c r="F4841" s="103"/>
      <c r="G4841" s="103"/>
      <c r="H4841" s="103"/>
      <c r="I4841" s="103"/>
      <c r="J4841" s="103"/>
      <c r="K4841" s="103"/>
      <c r="L4841" s="103"/>
      <c r="M4841" s="104"/>
      <c r="N4841" s="103"/>
    </row>
    <row r="4842" spans="1:14" ht="45" customHeight="1" thickBot="1" x14ac:dyDescent="0.4">
      <c r="A4842" s="103"/>
      <c r="B4842" s="103"/>
      <c r="C4842" s="103"/>
      <c r="D4842" s="103"/>
      <c r="E4842" s="103"/>
      <c r="F4842" s="103"/>
      <c r="G4842" s="103"/>
      <c r="H4842" s="103"/>
      <c r="I4842" s="103"/>
      <c r="J4842" s="103"/>
      <c r="K4842" s="103"/>
      <c r="L4842" s="103"/>
      <c r="M4842" s="104"/>
      <c r="N4842" s="103"/>
    </row>
    <row r="4843" spans="1:14" ht="45" customHeight="1" thickBot="1" x14ac:dyDescent="0.4">
      <c r="A4843" s="103"/>
      <c r="B4843" s="103"/>
      <c r="C4843" s="103"/>
      <c r="D4843" s="103"/>
      <c r="E4843" s="103"/>
      <c r="F4843" s="103"/>
      <c r="G4843" s="103"/>
      <c r="H4843" s="103"/>
      <c r="I4843" s="103"/>
      <c r="J4843" s="103"/>
      <c r="K4843" s="103"/>
      <c r="L4843" s="103"/>
      <c r="M4843" s="104"/>
      <c r="N4843" s="103"/>
    </row>
    <row r="4844" spans="1:14" ht="45" customHeight="1" thickBot="1" x14ac:dyDescent="0.4">
      <c r="A4844" s="103"/>
      <c r="B4844" s="103"/>
      <c r="C4844" s="103"/>
      <c r="D4844" s="103"/>
      <c r="E4844" s="103"/>
      <c r="F4844" s="103"/>
      <c r="G4844" s="103"/>
      <c r="H4844" s="103"/>
      <c r="I4844" s="103"/>
      <c r="J4844" s="103"/>
      <c r="K4844" s="103"/>
      <c r="L4844" s="103"/>
      <c r="M4844" s="104"/>
      <c r="N4844" s="103"/>
    </row>
    <row r="4845" spans="1:14" ht="45" customHeight="1" thickBot="1" x14ac:dyDescent="0.4">
      <c r="A4845" s="103"/>
      <c r="B4845" s="103"/>
      <c r="C4845" s="103"/>
      <c r="D4845" s="103"/>
      <c r="E4845" s="103"/>
      <c r="F4845" s="103"/>
      <c r="G4845" s="103"/>
      <c r="H4845" s="103"/>
      <c r="I4845" s="103"/>
      <c r="J4845" s="103"/>
      <c r="K4845" s="103"/>
      <c r="L4845" s="103"/>
      <c r="M4845" s="104"/>
      <c r="N4845" s="103"/>
    </row>
    <row r="4846" spans="1:14" ht="45" customHeight="1" thickBot="1" x14ac:dyDescent="0.4">
      <c r="A4846" s="103"/>
      <c r="B4846" s="103"/>
      <c r="C4846" s="103"/>
      <c r="D4846" s="103"/>
      <c r="E4846" s="103"/>
      <c r="F4846" s="103"/>
      <c r="G4846" s="103"/>
      <c r="H4846" s="103"/>
      <c r="I4846" s="103"/>
      <c r="J4846" s="103"/>
      <c r="K4846" s="103"/>
      <c r="L4846" s="103"/>
      <c r="M4846" s="104"/>
      <c r="N4846" s="103"/>
    </row>
    <row r="4847" spans="1:14" ht="45" customHeight="1" thickBot="1" x14ac:dyDescent="0.4">
      <c r="A4847" s="103"/>
      <c r="B4847" s="103"/>
      <c r="C4847" s="103"/>
      <c r="D4847" s="103"/>
      <c r="E4847" s="103"/>
      <c r="F4847" s="103"/>
      <c r="G4847" s="103"/>
      <c r="H4847" s="103"/>
      <c r="I4847" s="103"/>
      <c r="J4847" s="103"/>
      <c r="K4847" s="103"/>
      <c r="L4847" s="103"/>
      <c r="M4847" s="104"/>
      <c r="N4847" s="103"/>
    </row>
    <row r="4848" spans="1:14" ht="45" customHeight="1" thickBot="1" x14ac:dyDescent="0.4">
      <c r="A4848" s="103"/>
      <c r="B4848" s="103"/>
      <c r="C4848" s="103"/>
      <c r="D4848" s="103"/>
      <c r="E4848" s="103"/>
      <c r="F4848" s="103"/>
      <c r="G4848" s="103"/>
      <c r="H4848" s="103"/>
      <c r="I4848" s="103"/>
      <c r="J4848" s="103"/>
      <c r="K4848" s="103"/>
      <c r="L4848" s="103"/>
      <c r="M4848" s="104"/>
      <c r="N4848" s="103"/>
    </row>
    <row r="4849" spans="1:14" ht="45" customHeight="1" thickBot="1" x14ac:dyDescent="0.4">
      <c r="A4849" s="103"/>
      <c r="B4849" s="103"/>
      <c r="C4849" s="103"/>
      <c r="D4849" s="103"/>
      <c r="E4849" s="103"/>
      <c r="F4849" s="103"/>
      <c r="G4849" s="103"/>
      <c r="H4849" s="103"/>
      <c r="I4849" s="103"/>
      <c r="J4849" s="103"/>
      <c r="K4849" s="103"/>
      <c r="L4849" s="103"/>
      <c r="M4849" s="104"/>
      <c r="N4849" s="103"/>
    </row>
    <row r="4850" spans="1:14" ht="45" customHeight="1" thickBot="1" x14ac:dyDescent="0.4">
      <c r="A4850" s="103"/>
      <c r="B4850" s="103"/>
      <c r="C4850" s="103"/>
      <c r="D4850" s="103"/>
      <c r="E4850" s="103"/>
      <c r="F4850" s="103"/>
      <c r="G4850" s="103"/>
      <c r="H4850" s="103"/>
      <c r="I4850" s="103"/>
      <c r="J4850" s="103"/>
      <c r="K4850" s="103"/>
      <c r="L4850" s="103"/>
      <c r="M4850" s="104"/>
      <c r="N4850" s="103"/>
    </row>
    <row r="4851" spans="1:14" ht="45" customHeight="1" thickBot="1" x14ac:dyDescent="0.4">
      <c r="A4851" s="103"/>
      <c r="B4851" s="103"/>
      <c r="C4851" s="103"/>
      <c r="D4851" s="103"/>
      <c r="E4851" s="103"/>
      <c r="F4851" s="103"/>
      <c r="G4851" s="103"/>
      <c r="H4851" s="103"/>
      <c r="I4851" s="103"/>
      <c r="J4851" s="103"/>
      <c r="K4851" s="103"/>
      <c r="L4851" s="103"/>
      <c r="M4851" s="104"/>
      <c r="N4851" s="103"/>
    </row>
    <row r="4852" spans="1:14" ht="45" customHeight="1" thickBot="1" x14ac:dyDescent="0.4">
      <c r="A4852" s="103"/>
      <c r="B4852" s="103"/>
      <c r="C4852" s="103"/>
      <c r="D4852" s="103"/>
      <c r="E4852" s="103"/>
      <c r="F4852" s="103"/>
      <c r="G4852" s="103"/>
      <c r="H4852" s="103"/>
      <c r="I4852" s="103"/>
      <c r="J4852" s="103"/>
      <c r="K4852" s="103"/>
      <c r="L4852" s="103"/>
      <c r="M4852" s="104"/>
      <c r="N4852" s="103"/>
    </row>
    <row r="4853" spans="1:14" ht="45" customHeight="1" thickBot="1" x14ac:dyDescent="0.4">
      <c r="A4853" s="103"/>
      <c r="B4853" s="103"/>
      <c r="C4853" s="103"/>
      <c r="D4853" s="103"/>
      <c r="E4853" s="103"/>
      <c r="F4853" s="103"/>
      <c r="G4853" s="103"/>
      <c r="H4853" s="103"/>
      <c r="I4853" s="103"/>
      <c r="J4853" s="103"/>
      <c r="K4853" s="103"/>
      <c r="L4853" s="103"/>
      <c r="M4853" s="104"/>
      <c r="N4853" s="103"/>
    </row>
    <row r="4854" spans="1:14" ht="45" customHeight="1" thickBot="1" x14ac:dyDescent="0.4">
      <c r="A4854" s="103"/>
      <c r="B4854" s="103"/>
      <c r="C4854" s="103"/>
      <c r="D4854" s="103"/>
      <c r="E4854" s="103"/>
      <c r="F4854" s="103"/>
      <c r="G4854" s="103"/>
      <c r="H4854" s="103"/>
      <c r="I4854" s="103"/>
      <c r="J4854" s="103"/>
      <c r="K4854" s="103"/>
      <c r="L4854" s="103"/>
      <c r="M4854" s="104"/>
      <c r="N4854" s="103"/>
    </row>
    <row r="4855" spans="1:14" ht="45" customHeight="1" thickBot="1" x14ac:dyDescent="0.4">
      <c r="A4855" s="103"/>
      <c r="B4855" s="103"/>
      <c r="C4855" s="103"/>
      <c r="D4855" s="103"/>
      <c r="E4855" s="103"/>
      <c r="F4855" s="103"/>
      <c r="G4855" s="103"/>
      <c r="H4855" s="103"/>
      <c r="I4855" s="103"/>
      <c r="J4855" s="103"/>
      <c r="K4855" s="103"/>
      <c r="L4855" s="103"/>
      <c r="M4855" s="104"/>
      <c r="N4855" s="103"/>
    </row>
    <row r="4856" spans="1:14" ht="45" customHeight="1" thickBot="1" x14ac:dyDescent="0.4">
      <c r="A4856" s="103"/>
      <c r="B4856" s="103"/>
      <c r="C4856" s="103"/>
      <c r="D4856" s="103"/>
      <c r="E4856" s="103"/>
      <c r="F4856" s="103"/>
      <c r="G4856" s="103"/>
      <c r="H4856" s="103"/>
      <c r="I4856" s="103"/>
      <c r="J4856" s="103"/>
      <c r="K4856" s="103"/>
      <c r="L4856" s="103"/>
      <c r="M4856" s="104"/>
      <c r="N4856" s="103"/>
    </row>
    <row r="4857" spans="1:14" ht="45" customHeight="1" thickBot="1" x14ac:dyDescent="0.4">
      <c r="A4857" s="103"/>
      <c r="B4857" s="103"/>
      <c r="C4857" s="103"/>
      <c r="D4857" s="103"/>
      <c r="E4857" s="103"/>
      <c r="F4857" s="103"/>
      <c r="G4857" s="103"/>
      <c r="H4857" s="103"/>
      <c r="I4857" s="103"/>
      <c r="J4857" s="103"/>
      <c r="K4857" s="103"/>
      <c r="L4857" s="103"/>
      <c r="M4857" s="104"/>
      <c r="N4857" s="103"/>
    </row>
    <row r="4858" spans="1:14" ht="45" customHeight="1" thickBot="1" x14ac:dyDescent="0.4">
      <c r="A4858" s="103"/>
      <c r="B4858" s="103"/>
      <c r="C4858" s="103"/>
      <c r="D4858" s="103"/>
      <c r="E4858" s="103"/>
      <c r="F4858" s="103"/>
      <c r="G4858" s="103"/>
      <c r="H4858" s="103"/>
      <c r="I4858" s="103"/>
      <c r="J4858" s="103"/>
      <c r="K4858" s="103"/>
      <c r="L4858" s="103"/>
      <c r="M4858" s="104"/>
      <c r="N4858" s="103"/>
    </row>
    <row r="4859" spans="1:14" ht="45" customHeight="1" thickBot="1" x14ac:dyDescent="0.4">
      <c r="A4859" s="103"/>
      <c r="B4859" s="103"/>
      <c r="C4859" s="103"/>
      <c r="D4859" s="103"/>
      <c r="E4859" s="103"/>
      <c r="F4859" s="103"/>
      <c r="G4859" s="103"/>
      <c r="H4859" s="103"/>
      <c r="I4859" s="103"/>
      <c r="J4859" s="103"/>
      <c r="K4859" s="103"/>
      <c r="L4859" s="103"/>
      <c r="M4859" s="104"/>
      <c r="N4859" s="103"/>
    </row>
    <row r="4860" spans="1:14" ht="45" customHeight="1" thickBot="1" x14ac:dyDescent="0.4">
      <c r="A4860" s="103"/>
      <c r="B4860" s="103"/>
      <c r="C4860" s="103"/>
      <c r="D4860" s="103"/>
      <c r="E4860" s="103"/>
      <c r="F4860" s="103"/>
      <c r="G4860" s="103"/>
      <c r="H4860" s="103"/>
      <c r="I4860" s="103"/>
      <c r="J4860" s="103"/>
      <c r="K4860" s="103"/>
      <c r="L4860" s="103"/>
      <c r="M4860" s="104"/>
      <c r="N4860" s="103"/>
    </row>
    <row r="4861" spans="1:14" ht="45" customHeight="1" thickBot="1" x14ac:dyDescent="0.4">
      <c r="A4861" s="103"/>
      <c r="B4861" s="103"/>
      <c r="C4861" s="103"/>
      <c r="D4861" s="103"/>
      <c r="E4861" s="103"/>
      <c r="F4861" s="103"/>
      <c r="G4861" s="103"/>
      <c r="H4861" s="103"/>
      <c r="I4861" s="103"/>
      <c r="J4861" s="103"/>
      <c r="K4861" s="103"/>
      <c r="L4861" s="103"/>
      <c r="M4861" s="104"/>
      <c r="N4861" s="103"/>
    </row>
    <row r="4862" spans="1:14" ht="45" customHeight="1" thickBot="1" x14ac:dyDescent="0.4">
      <c r="A4862" s="103"/>
      <c r="B4862" s="103"/>
      <c r="C4862" s="103"/>
      <c r="D4862" s="103"/>
      <c r="E4862" s="103"/>
      <c r="F4862" s="103"/>
      <c r="G4862" s="103"/>
      <c r="H4862" s="103"/>
      <c r="I4862" s="103"/>
      <c r="J4862" s="103"/>
      <c r="K4862" s="103"/>
      <c r="L4862" s="103"/>
      <c r="M4862" s="104"/>
      <c r="N4862" s="103"/>
    </row>
    <row r="4863" spans="1:14" ht="45" customHeight="1" thickBot="1" x14ac:dyDescent="0.4">
      <c r="A4863" s="103"/>
      <c r="B4863" s="103"/>
      <c r="C4863" s="103"/>
      <c r="D4863" s="103"/>
      <c r="E4863" s="103"/>
      <c r="F4863" s="103"/>
      <c r="G4863" s="103"/>
      <c r="H4863" s="103"/>
      <c r="I4863" s="103"/>
      <c r="J4863" s="103"/>
      <c r="K4863" s="103"/>
      <c r="L4863" s="103"/>
      <c r="M4863" s="104"/>
      <c r="N4863" s="103"/>
    </row>
    <row r="4864" spans="1:14" ht="45" customHeight="1" thickBot="1" x14ac:dyDescent="0.4">
      <c r="A4864" s="103"/>
      <c r="B4864" s="103"/>
      <c r="C4864" s="103"/>
      <c r="D4864" s="103"/>
      <c r="E4864" s="103"/>
      <c r="F4864" s="103"/>
      <c r="G4864" s="103"/>
      <c r="H4864" s="103"/>
      <c r="I4864" s="103"/>
      <c r="J4864" s="103"/>
      <c r="K4864" s="103"/>
      <c r="L4864" s="103"/>
      <c r="M4864" s="104"/>
      <c r="N4864" s="103"/>
    </row>
    <row r="4865" spans="1:14" ht="45" customHeight="1" thickBot="1" x14ac:dyDescent="0.4">
      <c r="A4865" s="103"/>
      <c r="B4865" s="103"/>
      <c r="C4865" s="103"/>
      <c r="D4865" s="103"/>
      <c r="E4865" s="103"/>
      <c r="F4865" s="103"/>
      <c r="G4865" s="103"/>
      <c r="H4865" s="103"/>
      <c r="I4865" s="103"/>
      <c r="J4865" s="103"/>
      <c r="K4865" s="103"/>
      <c r="L4865" s="103"/>
      <c r="M4865" s="104"/>
      <c r="N4865" s="103"/>
    </row>
    <row r="4866" spans="1:14" ht="45" customHeight="1" thickBot="1" x14ac:dyDescent="0.4">
      <c r="A4866" s="103"/>
      <c r="B4866" s="103"/>
      <c r="C4866" s="103"/>
      <c r="D4866" s="103"/>
      <c r="E4866" s="103"/>
      <c r="F4866" s="103"/>
      <c r="G4866" s="103"/>
      <c r="H4866" s="103"/>
      <c r="I4866" s="103"/>
      <c r="J4866" s="103"/>
      <c r="K4866" s="103"/>
      <c r="L4866" s="103"/>
      <c r="M4866" s="104"/>
      <c r="N4866" s="103"/>
    </row>
    <row r="4867" spans="1:14" ht="45" customHeight="1" thickBot="1" x14ac:dyDescent="0.4">
      <c r="A4867" s="103"/>
      <c r="B4867" s="103"/>
      <c r="C4867" s="103"/>
      <c r="D4867" s="103"/>
      <c r="E4867" s="103"/>
      <c r="F4867" s="103"/>
      <c r="G4867" s="103"/>
      <c r="H4867" s="103"/>
      <c r="I4867" s="103"/>
      <c r="J4867" s="103"/>
      <c r="K4867" s="103"/>
      <c r="L4867" s="103"/>
      <c r="M4867" s="104"/>
      <c r="N4867" s="103"/>
    </row>
    <row r="4868" spans="1:14" ht="45" customHeight="1" thickBot="1" x14ac:dyDescent="0.4">
      <c r="A4868" s="103"/>
      <c r="B4868" s="103"/>
      <c r="C4868" s="103"/>
      <c r="D4868" s="103"/>
      <c r="E4868" s="103"/>
      <c r="F4868" s="103"/>
      <c r="G4868" s="103"/>
      <c r="H4868" s="103"/>
      <c r="I4868" s="103"/>
      <c r="J4868" s="103"/>
      <c r="K4868" s="103"/>
      <c r="L4868" s="103"/>
      <c r="M4868" s="104"/>
      <c r="N4868" s="103"/>
    </row>
    <row r="4869" spans="1:14" ht="45" customHeight="1" thickBot="1" x14ac:dyDescent="0.4">
      <c r="A4869" s="103"/>
      <c r="B4869" s="103"/>
      <c r="C4869" s="103"/>
      <c r="D4869" s="103"/>
      <c r="E4869" s="103"/>
      <c r="F4869" s="103"/>
      <c r="G4869" s="103"/>
      <c r="H4869" s="103"/>
      <c r="I4869" s="103"/>
      <c r="J4869" s="103"/>
      <c r="K4869" s="103"/>
      <c r="L4869" s="103"/>
      <c r="M4869" s="104"/>
      <c r="N4869" s="103"/>
    </row>
    <row r="4870" spans="1:14" ht="45" customHeight="1" thickBot="1" x14ac:dyDescent="0.4">
      <c r="A4870" s="103"/>
      <c r="B4870" s="103"/>
      <c r="C4870" s="103"/>
      <c r="D4870" s="103"/>
      <c r="E4870" s="103"/>
      <c r="F4870" s="103"/>
      <c r="G4870" s="103"/>
      <c r="H4870" s="103"/>
      <c r="I4870" s="103"/>
      <c r="J4870" s="103"/>
      <c r="K4870" s="103"/>
      <c r="L4870" s="103"/>
      <c r="M4870" s="104"/>
      <c r="N4870" s="103"/>
    </row>
    <row r="4871" spans="1:14" ht="45" customHeight="1" thickBot="1" x14ac:dyDescent="0.4">
      <c r="A4871" s="103"/>
      <c r="B4871" s="103"/>
      <c r="C4871" s="103"/>
      <c r="D4871" s="103"/>
      <c r="E4871" s="103"/>
      <c r="F4871" s="103"/>
      <c r="G4871" s="103"/>
      <c r="H4871" s="103"/>
      <c r="I4871" s="103"/>
      <c r="J4871" s="103"/>
      <c r="K4871" s="103"/>
      <c r="L4871" s="103"/>
      <c r="M4871" s="104"/>
      <c r="N4871" s="103"/>
    </row>
    <row r="4872" spans="1:14" ht="45" customHeight="1" thickBot="1" x14ac:dyDescent="0.4">
      <c r="A4872" s="103"/>
      <c r="B4872" s="103"/>
      <c r="C4872" s="103"/>
      <c r="D4872" s="103"/>
      <c r="E4872" s="103"/>
      <c r="F4872" s="103"/>
      <c r="G4872" s="103"/>
      <c r="H4872" s="103"/>
      <c r="I4872" s="103"/>
      <c r="J4872" s="103"/>
      <c r="K4872" s="103"/>
      <c r="L4872" s="103"/>
      <c r="M4872" s="104"/>
      <c r="N4872" s="103"/>
    </row>
    <row r="4873" spans="1:14" ht="45" customHeight="1" thickBot="1" x14ac:dyDescent="0.4">
      <c r="A4873" s="103"/>
      <c r="B4873" s="103"/>
      <c r="C4873" s="103"/>
      <c r="D4873" s="103"/>
      <c r="E4873" s="103"/>
      <c r="F4873" s="103"/>
      <c r="G4873" s="103"/>
      <c r="H4873" s="103"/>
      <c r="I4873" s="103"/>
      <c r="J4873" s="103"/>
      <c r="K4873" s="103"/>
      <c r="L4873" s="103"/>
      <c r="M4873" s="104"/>
      <c r="N4873" s="103"/>
    </row>
    <row r="4874" spans="1:14" ht="45" customHeight="1" thickBot="1" x14ac:dyDescent="0.4">
      <c r="A4874" s="103"/>
      <c r="B4874" s="103"/>
      <c r="C4874" s="103"/>
      <c r="D4874" s="103"/>
      <c r="E4874" s="103"/>
      <c r="F4874" s="103"/>
      <c r="G4874" s="103"/>
      <c r="H4874" s="103"/>
      <c r="I4874" s="103"/>
      <c r="J4874" s="103"/>
      <c r="K4874" s="103"/>
      <c r="L4874" s="103"/>
      <c r="M4874" s="104"/>
      <c r="N4874" s="103"/>
    </row>
    <row r="4875" spans="1:14" ht="45" customHeight="1" thickBot="1" x14ac:dyDescent="0.4">
      <c r="A4875" s="103"/>
      <c r="B4875" s="103"/>
      <c r="C4875" s="103"/>
      <c r="D4875" s="103"/>
      <c r="E4875" s="103"/>
      <c r="F4875" s="103"/>
      <c r="G4875" s="103"/>
      <c r="H4875" s="103"/>
      <c r="I4875" s="103"/>
      <c r="J4875" s="103"/>
      <c r="K4875" s="103"/>
      <c r="L4875" s="103"/>
      <c r="M4875" s="104"/>
      <c r="N4875" s="103"/>
    </row>
    <row r="4876" spans="1:14" ht="45" customHeight="1" thickBot="1" x14ac:dyDescent="0.4">
      <c r="A4876" s="103"/>
      <c r="B4876" s="103"/>
      <c r="C4876" s="103"/>
      <c r="D4876" s="103"/>
      <c r="E4876" s="103"/>
      <c r="F4876" s="103"/>
      <c r="G4876" s="103"/>
      <c r="H4876" s="103"/>
      <c r="I4876" s="103"/>
      <c r="J4876" s="103"/>
      <c r="K4876" s="103"/>
      <c r="L4876" s="103"/>
      <c r="M4876" s="104"/>
      <c r="N4876" s="103"/>
    </row>
    <row r="4877" spans="1:14" ht="45" customHeight="1" thickBot="1" x14ac:dyDescent="0.4">
      <c r="A4877" s="103"/>
      <c r="B4877" s="103"/>
      <c r="C4877" s="103"/>
      <c r="D4877" s="103"/>
      <c r="E4877" s="103"/>
      <c r="F4877" s="103"/>
      <c r="G4877" s="103"/>
      <c r="H4877" s="103"/>
      <c r="I4877" s="103"/>
      <c r="J4877" s="103"/>
      <c r="K4877" s="103"/>
      <c r="L4877" s="103"/>
      <c r="M4877" s="104"/>
      <c r="N4877" s="103"/>
    </row>
    <row r="4878" spans="1:14" ht="45" customHeight="1" thickBot="1" x14ac:dyDescent="0.4">
      <c r="A4878" s="103"/>
      <c r="B4878" s="103"/>
      <c r="C4878" s="103"/>
      <c r="D4878" s="103"/>
      <c r="E4878" s="103"/>
      <c r="F4878" s="103"/>
      <c r="G4878" s="103"/>
      <c r="H4878" s="103"/>
      <c r="I4878" s="103"/>
      <c r="J4878" s="103"/>
      <c r="K4878" s="103"/>
      <c r="L4878" s="103"/>
      <c r="M4878" s="104"/>
      <c r="N4878" s="103"/>
    </row>
    <row r="4879" spans="1:14" ht="45" customHeight="1" thickBot="1" x14ac:dyDescent="0.4">
      <c r="A4879" s="103"/>
      <c r="B4879" s="103"/>
      <c r="C4879" s="103"/>
      <c r="D4879" s="103"/>
      <c r="E4879" s="103"/>
      <c r="F4879" s="103"/>
      <c r="G4879" s="103"/>
      <c r="H4879" s="103"/>
      <c r="I4879" s="103"/>
      <c r="J4879" s="103"/>
      <c r="K4879" s="103"/>
      <c r="L4879" s="103"/>
      <c r="M4879" s="104"/>
      <c r="N4879" s="103"/>
    </row>
    <row r="4880" spans="1:14" ht="45" customHeight="1" thickBot="1" x14ac:dyDescent="0.4">
      <c r="A4880" s="103"/>
      <c r="B4880" s="103"/>
      <c r="C4880" s="103"/>
      <c r="D4880" s="103"/>
      <c r="E4880" s="103"/>
      <c r="F4880" s="103"/>
      <c r="G4880" s="103"/>
      <c r="H4880" s="103"/>
      <c r="I4880" s="103"/>
      <c r="J4880" s="103"/>
      <c r="K4880" s="103"/>
      <c r="L4880" s="103"/>
      <c r="M4880" s="104"/>
      <c r="N4880" s="103"/>
    </row>
    <row r="4881" spans="1:14" ht="45" customHeight="1" thickBot="1" x14ac:dyDescent="0.4">
      <c r="A4881" s="103"/>
      <c r="B4881" s="103"/>
      <c r="C4881" s="103"/>
      <c r="D4881" s="103"/>
      <c r="E4881" s="103"/>
      <c r="F4881" s="103"/>
      <c r="G4881" s="103"/>
      <c r="H4881" s="103"/>
      <c r="I4881" s="103"/>
      <c r="J4881" s="103"/>
      <c r="K4881" s="103"/>
      <c r="L4881" s="103"/>
      <c r="M4881" s="104"/>
      <c r="N4881" s="103"/>
    </row>
    <row r="4882" spans="1:14" ht="45" customHeight="1" thickBot="1" x14ac:dyDescent="0.4">
      <c r="A4882" s="103"/>
      <c r="B4882" s="103"/>
      <c r="C4882" s="103"/>
      <c r="D4882" s="103"/>
      <c r="E4882" s="103"/>
      <c r="F4882" s="103"/>
      <c r="G4882" s="103"/>
      <c r="H4882" s="103"/>
      <c r="I4882" s="103"/>
      <c r="J4882" s="103"/>
      <c r="K4882" s="103"/>
      <c r="L4882" s="103"/>
      <c r="M4882" s="104"/>
      <c r="N4882" s="103"/>
    </row>
    <row r="4883" spans="1:14" ht="45" customHeight="1" thickBot="1" x14ac:dyDescent="0.4">
      <c r="A4883" s="103"/>
      <c r="B4883" s="103"/>
      <c r="C4883" s="103"/>
      <c r="D4883" s="103"/>
      <c r="E4883" s="103"/>
      <c r="F4883" s="103"/>
      <c r="G4883" s="103"/>
      <c r="H4883" s="103"/>
      <c r="I4883" s="103"/>
      <c r="J4883" s="103"/>
      <c r="K4883" s="103"/>
      <c r="L4883" s="103"/>
      <c r="M4883" s="104"/>
      <c r="N4883" s="103"/>
    </row>
    <row r="4884" spans="1:14" ht="45" customHeight="1" thickBot="1" x14ac:dyDescent="0.4">
      <c r="A4884" s="103"/>
      <c r="B4884" s="103"/>
      <c r="C4884" s="103"/>
      <c r="D4884" s="103"/>
      <c r="E4884" s="103"/>
      <c r="F4884" s="103"/>
      <c r="G4884" s="103"/>
      <c r="H4884" s="103"/>
      <c r="I4884" s="103"/>
      <c r="J4884" s="103"/>
      <c r="K4884" s="103"/>
      <c r="L4884" s="103"/>
      <c r="M4884" s="104"/>
      <c r="N4884" s="103"/>
    </row>
    <row r="4885" spans="1:14" ht="45" customHeight="1" thickBot="1" x14ac:dyDescent="0.4">
      <c r="A4885" s="103"/>
      <c r="B4885" s="103"/>
      <c r="C4885" s="103"/>
      <c r="D4885" s="103"/>
      <c r="E4885" s="103"/>
      <c r="F4885" s="103"/>
      <c r="G4885" s="103"/>
      <c r="H4885" s="103"/>
      <c r="I4885" s="103"/>
      <c r="J4885" s="103"/>
      <c r="K4885" s="103"/>
      <c r="L4885" s="103"/>
      <c r="M4885" s="104"/>
      <c r="N4885" s="103"/>
    </row>
    <row r="4886" spans="1:14" ht="45" customHeight="1" thickBot="1" x14ac:dyDescent="0.4">
      <c r="A4886" s="103"/>
      <c r="B4886" s="103"/>
      <c r="C4886" s="103"/>
      <c r="D4886" s="103"/>
      <c r="E4886" s="103"/>
      <c r="F4886" s="103"/>
      <c r="G4886" s="103"/>
      <c r="H4886" s="103"/>
      <c r="I4886" s="103"/>
      <c r="J4886" s="103"/>
      <c r="K4886" s="103"/>
      <c r="L4886" s="103"/>
      <c r="M4886" s="104"/>
      <c r="N4886" s="103"/>
    </row>
    <row r="4887" spans="1:14" ht="45" customHeight="1" thickBot="1" x14ac:dyDescent="0.4">
      <c r="A4887" s="103"/>
      <c r="B4887" s="103"/>
      <c r="C4887" s="103"/>
      <c r="D4887" s="103"/>
      <c r="E4887" s="103"/>
      <c r="F4887" s="103"/>
      <c r="G4887" s="103"/>
      <c r="H4887" s="103"/>
      <c r="I4887" s="103"/>
      <c r="J4887" s="103"/>
      <c r="K4887" s="103"/>
      <c r="L4887" s="103"/>
      <c r="M4887" s="104"/>
      <c r="N4887" s="103"/>
    </row>
    <row r="4888" spans="1:14" ht="45" customHeight="1" thickBot="1" x14ac:dyDescent="0.4">
      <c r="A4888" s="103"/>
      <c r="B4888" s="103"/>
      <c r="C4888" s="103"/>
      <c r="D4888" s="103"/>
      <c r="E4888" s="103"/>
      <c r="F4888" s="103"/>
      <c r="G4888" s="103"/>
      <c r="H4888" s="103"/>
      <c r="I4888" s="103"/>
      <c r="J4888" s="103"/>
      <c r="K4888" s="103"/>
      <c r="L4888" s="103"/>
      <c r="M4888" s="104"/>
      <c r="N4888" s="103"/>
    </row>
    <row r="4889" spans="1:14" ht="45" customHeight="1" thickBot="1" x14ac:dyDescent="0.4">
      <c r="A4889" s="103"/>
      <c r="B4889" s="103"/>
      <c r="C4889" s="103"/>
      <c r="D4889" s="103"/>
      <c r="E4889" s="103"/>
      <c r="F4889" s="103"/>
      <c r="G4889" s="103"/>
      <c r="H4889" s="103"/>
      <c r="I4889" s="103"/>
      <c r="J4889" s="103"/>
      <c r="K4889" s="103"/>
      <c r="L4889" s="103"/>
      <c r="M4889" s="104"/>
      <c r="N4889" s="103"/>
    </row>
    <row r="4890" spans="1:14" ht="45" customHeight="1" thickBot="1" x14ac:dyDescent="0.4">
      <c r="A4890" s="103"/>
      <c r="B4890" s="103"/>
      <c r="C4890" s="103"/>
      <c r="D4890" s="103"/>
      <c r="E4890" s="103"/>
      <c r="F4890" s="103"/>
      <c r="G4890" s="103"/>
      <c r="H4890" s="103"/>
      <c r="I4890" s="103"/>
      <c r="J4890" s="103"/>
      <c r="K4890" s="103"/>
      <c r="L4890" s="103"/>
      <c r="M4890" s="104"/>
      <c r="N4890" s="103"/>
    </row>
    <row r="4891" spans="1:14" ht="45" customHeight="1" thickBot="1" x14ac:dyDescent="0.4">
      <c r="A4891" s="103"/>
      <c r="B4891" s="103"/>
      <c r="C4891" s="103"/>
      <c r="D4891" s="103"/>
      <c r="E4891" s="103"/>
      <c r="F4891" s="103"/>
      <c r="G4891" s="103"/>
      <c r="H4891" s="103"/>
      <c r="I4891" s="103"/>
      <c r="J4891" s="103"/>
      <c r="K4891" s="103"/>
      <c r="L4891" s="103"/>
      <c r="M4891" s="104"/>
      <c r="N4891" s="103"/>
    </row>
    <row r="4892" spans="1:14" ht="45" customHeight="1" thickBot="1" x14ac:dyDescent="0.4">
      <c r="A4892" s="103"/>
      <c r="B4892" s="103"/>
      <c r="C4892" s="103"/>
      <c r="D4892" s="103"/>
      <c r="E4892" s="103"/>
      <c r="F4892" s="103"/>
      <c r="G4892" s="103"/>
      <c r="H4892" s="103"/>
      <c r="I4892" s="103"/>
      <c r="J4892" s="103"/>
      <c r="K4892" s="103"/>
      <c r="L4892" s="103"/>
      <c r="M4892" s="104"/>
      <c r="N4892" s="103"/>
    </row>
    <row r="4893" spans="1:14" ht="45" customHeight="1" thickBot="1" x14ac:dyDescent="0.4">
      <c r="A4893" s="103"/>
      <c r="B4893" s="103"/>
      <c r="C4893" s="103"/>
      <c r="D4893" s="103"/>
      <c r="E4893" s="103"/>
      <c r="F4893" s="103"/>
      <c r="G4893" s="103"/>
      <c r="H4893" s="103"/>
      <c r="I4893" s="103"/>
      <c r="J4893" s="103"/>
      <c r="K4893" s="103"/>
      <c r="L4893" s="103"/>
      <c r="M4893" s="104"/>
      <c r="N4893" s="103"/>
    </row>
    <row r="4894" spans="1:14" ht="45" customHeight="1" thickBot="1" x14ac:dyDescent="0.4">
      <c r="A4894" s="103"/>
      <c r="B4894" s="103"/>
      <c r="C4894" s="103"/>
      <c r="D4894" s="103"/>
      <c r="E4894" s="103"/>
      <c r="F4894" s="103"/>
      <c r="G4894" s="103"/>
      <c r="H4894" s="103"/>
      <c r="I4894" s="103"/>
      <c r="J4894" s="103"/>
      <c r="K4894" s="103"/>
      <c r="L4894" s="103"/>
      <c r="M4894" s="104"/>
      <c r="N4894" s="103"/>
    </row>
    <row r="4895" spans="1:14" ht="45" customHeight="1" thickBot="1" x14ac:dyDescent="0.4">
      <c r="A4895" s="103"/>
      <c r="B4895" s="103"/>
      <c r="C4895" s="103"/>
      <c r="D4895" s="103"/>
      <c r="E4895" s="103"/>
      <c r="F4895" s="103"/>
      <c r="G4895" s="103"/>
      <c r="H4895" s="103"/>
      <c r="I4895" s="103"/>
      <c r="J4895" s="103"/>
      <c r="K4895" s="103"/>
      <c r="L4895" s="103"/>
      <c r="M4895" s="104"/>
      <c r="N4895" s="103"/>
    </row>
    <row r="4896" spans="1:14" ht="45" customHeight="1" thickBot="1" x14ac:dyDescent="0.4">
      <c r="A4896" s="103"/>
      <c r="B4896" s="103"/>
      <c r="C4896" s="103"/>
      <c r="D4896" s="103"/>
      <c r="E4896" s="103"/>
      <c r="F4896" s="103"/>
      <c r="G4896" s="103"/>
      <c r="H4896" s="103"/>
      <c r="I4896" s="103"/>
      <c r="J4896" s="103"/>
      <c r="K4896" s="103"/>
      <c r="L4896" s="103"/>
      <c r="M4896" s="104"/>
      <c r="N4896" s="103"/>
    </row>
    <row r="4897" spans="1:14" ht="45" customHeight="1" thickBot="1" x14ac:dyDescent="0.4">
      <c r="A4897" s="103"/>
      <c r="B4897" s="103"/>
      <c r="C4897" s="103"/>
      <c r="D4897" s="103"/>
      <c r="E4897" s="103"/>
      <c r="F4897" s="103"/>
      <c r="G4897" s="103"/>
      <c r="H4897" s="103"/>
      <c r="I4897" s="103"/>
      <c r="J4897" s="103"/>
      <c r="K4897" s="103"/>
      <c r="L4897" s="103"/>
      <c r="M4897" s="104"/>
      <c r="N4897" s="103"/>
    </row>
    <row r="4898" spans="1:14" ht="45" customHeight="1" thickBot="1" x14ac:dyDescent="0.4">
      <c r="A4898" s="103"/>
      <c r="B4898" s="103"/>
      <c r="C4898" s="103"/>
      <c r="D4898" s="103"/>
      <c r="E4898" s="103"/>
      <c r="F4898" s="103"/>
      <c r="G4898" s="103"/>
      <c r="H4898" s="103"/>
      <c r="I4898" s="103"/>
      <c r="J4898" s="103"/>
      <c r="K4898" s="103"/>
      <c r="L4898" s="103"/>
      <c r="M4898" s="104"/>
      <c r="N4898" s="103"/>
    </row>
    <row r="4899" spans="1:14" ht="45" customHeight="1" thickBot="1" x14ac:dyDescent="0.4">
      <c r="A4899" s="103"/>
      <c r="B4899" s="103"/>
      <c r="C4899" s="103"/>
      <c r="D4899" s="103"/>
      <c r="E4899" s="103"/>
      <c r="F4899" s="103"/>
      <c r="G4899" s="103"/>
      <c r="H4899" s="103"/>
      <c r="I4899" s="103"/>
      <c r="J4899" s="103"/>
      <c r="K4899" s="103"/>
      <c r="L4899" s="103"/>
      <c r="M4899" s="104"/>
      <c r="N4899" s="103"/>
    </row>
    <row r="4900" spans="1:14" ht="45" customHeight="1" thickBot="1" x14ac:dyDescent="0.4">
      <c r="A4900" s="103"/>
      <c r="B4900" s="103"/>
      <c r="C4900" s="103"/>
      <c r="D4900" s="103"/>
      <c r="E4900" s="103"/>
      <c r="F4900" s="103"/>
      <c r="G4900" s="103"/>
      <c r="H4900" s="103"/>
      <c r="I4900" s="103"/>
      <c r="J4900" s="103"/>
      <c r="K4900" s="103"/>
      <c r="L4900" s="103"/>
      <c r="M4900" s="104"/>
      <c r="N4900" s="103"/>
    </row>
    <row r="4901" spans="1:14" ht="45" customHeight="1" thickBot="1" x14ac:dyDescent="0.4">
      <c r="A4901" s="103"/>
      <c r="B4901" s="103"/>
      <c r="C4901" s="103"/>
      <c r="D4901" s="103"/>
      <c r="E4901" s="103"/>
      <c r="F4901" s="103"/>
      <c r="G4901" s="103"/>
      <c r="H4901" s="103"/>
      <c r="I4901" s="103"/>
      <c r="J4901" s="103"/>
      <c r="K4901" s="103"/>
      <c r="L4901" s="103"/>
      <c r="M4901" s="104"/>
      <c r="N4901" s="103"/>
    </row>
    <row r="4902" spans="1:14" ht="45" customHeight="1" thickBot="1" x14ac:dyDescent="0.4">
      <c r="A4902" s="103"/>
      <c r="B4902" s="103"/>
      <c r="C4902" s="103"/>
      <c r="D4902" s="103"/>
      <c r="E4902" s="103"/>
      <c r="F4902" s="103"/>
      <c r="G4902" s="103"/>
      <c r="H4902" s="103"/>
      <c r="I4902" s="103"/>
      <c r="J4902" s="103"/>
      <c r="K4902" s="103"/>
      <c r="L4902" s="103"/>
      <c r="M4902" s="104"/>
      <c r="N4902" s="103"/>
    </row>
    <row r="4903" spans="1:14" ht="45" customHeight="1" thickBot="1" x14ac:dyDescent="0.4">
      <c r="A4903" s="103"/>
      <c r="B4903" s="103"/>
      <c r="C4903" s="103"/>
      <c r="D4903" s="103"/>
      <c r="E4903" s="103"/>
      <c r="F4903" s="103"/>
      <c r="G4903" s="103"/>
      <c r="H4903" s="103"/>
      <c r="I4903" s="103"/>
      <c r="J4903" s="103"/>
      <c r="K4903" s="103"/>
      <c r="L4903" s="103"/>
      <c r="M4903" s="104"/>
      <c r="N4903" s="103"/>
    </row>
    <row r="4904" spans="1:14" ht="45" customHeight="1" thickBot="1" x14ac:dyDescent="0.4">
      <c r="A4904" s="103"/>
      <c r="B4904" s="103"/>
      <c r="C4904" s="103"/>
      <c r="D4904" s="103"/>
      <c r="E4904" s="103"/>
      <c r="F4904" s="103"/>
      <c r="G4904" s="103"/>
      <c r="H4904" s="103"/>
      <c r="I4904" s="103"/>
      <c r="J4904" s="103"/>
      <c r="K4904" s="103"/>
      <c r="L4904" s="103"/>
      <c r="M4904" s="104"/>
      <c r="N4904" s="103"/>
    </row>
    <row r="4905" spans="1:14" ht="45" customHeight="1" thickBot="1" x14ac:dyDescent="0.4">
      <c r="A4905" s="103"/>
      <c r="B4905" s="103"/>
      <c r="C4905" s="103"/>
      <c r="D4905" s="103"/>
      <c r="E4905" s="103"/>
      <c r="F4905" s="103"/>
      <c r="G4905" s="103"/>
      <c r="H4905" s="103"/>
      <c r="I4905" s="103"/>
      <c r="J4905" s="103"/>
      <c r="K4905" s="103"/>
      <c r="L4905" s="103"/>
      <c r="M4905" s="104"/>
      <c r="N4905" s="103"/>
    </row>
    <row r="4906" spans="1:14" ht="45" customHeight="1" thickBot="1" x14ac:dyDescent="0.4">
      <c r="A4906" s="103"/>
      <c r="B4906" s="103"/>
      <c r="C4906" s="103"/>
      <c r="D4906" s="103"/>
      <c r="E4906" s="103"/>
      <c r="F4906" s="103"/>
      <c r="G4906" s="103"/>
      <c r="H4906" s="103"/>
      <c r="I4906" s="103"/>
      <c r="J4906" s="103"/>
      <c r="K4906" s="103"/>
      <c r="L4906" s="103"/>
      <c r="M4906" s="104"/>
      <c r="N4906" s="103"/>
    </row>
    <row r="4907" spans="1:14" ht="45" customHeight="1" thickBot="1" x14ac:dyDescent="0.4">
      <c r="A4907" s="103"/>
      <c r="B4907" s="103"/>
      <c r="C4907" s="103"/>
      <c r="D4907" s="103"/>
      <c r="E4907" s="103"/>
      <c r="F4907" s="103"/>
      <c r="G4907" s="103"/>
      <c r="H4907" s="103"/>
      <c r="I4907" s="103"/>
      <c r="J4907" s="103"/>
      <c r="K4907" s="103"/>
      <c r="L4907" s="103"/>
      <c r="M4907" s="104"/>
      <c r="N4907" s="103"/>
    </row>
    <row r="4908" spans="1:14" ht="45" customHeight="1" thickBot="1" x14ac:dyDescent="0.4">
      <c r="A4908" s="103"/>
      <c r="B4908" s="103"/>
      <c r="C4908" s="103"/>
      <c r="D4908" s="103"/>
      <c r="E4908" s="103"/>
      <c r="F4908" s="103"/>
      <c r="G4908" s="103"/>
      <c r="H4908" s="103"/>
      <c r="I4908" s="103"/>
      <c r="J4908" s="103"/>
      <c r="K4908" s="103"/>
      <c r="L4908" s="103"/>
      <c r="M4908" s="104"/>
      <c r="N4908" s="103"/>
    </row>
    <row r="4909" spans="1:14" ht="45" customHeight="1" thickBot="1" x14ac:dyDescent="0.4">
      <c r="A4909" s="103"/>
      <c r="B4909" s="103"/>
      <c r="C4909" s="103"/>
      <c r="D4909" s="103"/>
      <c r="E4909" s="103"/>
      <c r="F4909" s="103"/>
      <c r="G4909" s="103"/>
      <c r="H4909" s="103"/>
      <c r="I4909" s="103"/>
      <c r="J4909" s="103"/>
      <c r="K4909" s="103"/>
      <c r="L4909" s="103"/>
      <c r="M4909" s="104"/>
      <c r="N4909" s="103"/>
    </row>
    <row r="4910" spans="1:14" ht="45" customHeight="1" thickBot="1" x14ac:dyDescent="0.4">
      <c r="A4910" s="103"/>
      <c r="B4910" s="103"/>
      <c r="C4910" s="103"/>
      <c r="D4910" s="103"/>
      <c r="E4910" s="103"/>
      <c r="F4910" s="103"/>
      <c r="G4910" s="103"/>
      <c r="H4910" s="103"/>
      <c r="I4910" s="103"/>
      <c r="J4910" s="103"/>
      <c r="K4910" s="103"/>
      <c r="L4910" s="103"/>
      <c r="M4910" s="104"/>
      <c r="N4910" s="103"/>
    </row>
    <row r="4911" spans="1:14" ht="45" customHeight="1" thickBot="1" x14ac:dyDescent="0.4">
      <c r="A4911" s="103"/>
      <c r="B4911" s="103"/>
      <c r="C4911" s="103"/>
      <c r="D4911" s="103"/>
      <c r="E4911" s="103"/>
      <c r="F4911" s="103"/>
      <c r="G4911" s="103"/>
      <c r="H4911" s="103"/>
      <c r="I4911" s="103"/>
      <c r="J4911" s="103"/>
      <c r="K4911" s="103"/>
      <c r="L4911" s="103"/>
      <c r="M4911" s="104"/>
      <c r="N4911" s="103"/>
    </row>
    <row r="4912" spans="1:14" ht="45" customHeight="1" thickBot="1" x14ac:dyDescent="0.4">
      <c r="A4912" s="103"/>
      <c r="B4912" s="103"/>
      <c r="C4912" s="103"/>
      <c r="D4912" s="103"/>
      <c r="E4912" s="103"/>
      <c r="F4912" s="103"/>
      <c r="G4912" s="103"/>
      <c r="H4912" s="103"/>
      <c r="I4912" s="103"/>
      <c r="J4912" s="103"/>
      <c r="K4912" s="103"/>
      <c r="L4912" s="103"/>
      <c r="M4912" s="104"/>
      <c r="N4912" s="103"/>
    </row>
    <row r="4913" spans="1:14" ht="45" customHeight="1" thickBot="1" x14ac:dyDescent="0.4">
      <c r="A4913" s="103"/>
      <c r="B4913" s="103"/>
      <c r="C4913" s="103"/>
      <c r="D4913" s="103"/>
      <c r="E4913" s="103"/>
      <c r="F4913" s="103"/>
      <c r="G4913" s="103"/>
      <c r="H4913" s="103"/>
      <c r="I4913" s="103"/>
      <c r="J4913" s="103"/>
      <c r="K4913" s="103"/>
      <c r="L4913" s="103"/>
      <c r="M4913" s="104"/>
      <c r="N4913" s="103"/>
    </row>
    <row r="4914" spans="1:14" ht="45" customHeight="1" thickBot="1" x14ac:dyDescent="0.4">
      <c r="A4914" s="103"/>
      <c r="B4914" s="103"/>
      <c r="C4914" s="103"/>
      <c r="D4914" s="103"/>
      <c r="E4914" s="103"/>
      <c r="F4914" s="103"/>
      <c r="G4914" s="103"/>
      <c r="H4914" s="103"/>
      <c r="I4914" s="103"/>
      <c r="J4914" s="103"/>
      <c r="K4914" s="103"/>
      <c r="L4914" s="103"/>
      <c r="M4914" s="104"/>
      <c r="N4914" s="103"/>
    </row>
    <row r="4915" spans="1:14" ht="45" customHeight="1" thickBot="1" x14ac:dyDescent="0.4">
      <c r="A4915" s="103"/>
      <c r="B4915" s="103"/>
      <c r="C4915" s="103"/>
      <c r="D4915" s="103"/>
      <c r="E4915" s="103"/>
      <c r="F4915" s="103"/>
      <c r="G4915" s="103"/>
      <c r="H4915" s="103"/>
      <c r="I4915" s="103"/>
      <c r="J4915" s="103"/>
      <c r="K4915" s="103"/>
      <c r="L4915" s="103"/>
      <c r="M4915" s="104"/>
      <c r="N4915" s="103"/>
    </row>
    <row r="4916" spans="1:14" ht="45" customHeight="1" thickBot="1" x14ac:dyDescent="0.4">
      <c r="A4916" s="103"/>
      <c r="B4916" s="103"/>
      <c r="C4916" s="103"/>
      <c r="D4916" s="103"/>
      <c r="E4916" s="103"/>
      <c r="F4916" s="103"/>
      <c r="G4916" s="103"/>
      <c r="H4916" s="103"/>
      <c r="I4916" s="103"/>
      <c r="J4916" s="103"/>
      <c r="K4916" s="103"/>
      <c r="L4916" s="103"/>
      <c r="M4916" s="104"/>
      <c r="N4916" s="103"/>
    </row>
    <row r="4917" spans="1:14" ht="45" customHeight="1" thickBot="1" x14ac:dyDescent="0.4">
      <c r="A4917" s="103"/>
      <c r="B4917" s="103"/>
      <c r="C4917" s="103"/>
      <c r="D4917" s="103"/>
      <c r="E4917" s="103"/>
      <c r="F4917" s="103"/>
      <c r="G4917" s="103"/>
      <c r="H4917" s="103"/>
      <c r="I4917" s="103"/>
      <c r="J4917" s="103"/>
      <c r="K4917" s="103"/>
      <c r="L4917" s="103"/>
      <c r="M4917" s="104"/>
      <c r="N4917" s="103"/>
    </row>
    <row r="4918" spans="1:14" ht="45" customHeight="1" thickBot="1" x14ac:dyDescent="0.4">
      <c r="A4918" s="103"/>
      <c r="B4918" s="103"/>
      <c r="C4918" s="103"/>
      <c r="D4918" s="103"/>
      <c r="E4918" s="103"/>
      <c r="F4918" s="103"/>
      <c r="G4918" s="103"/>
      <c r="H4918" s="103"/>
      <c r="I4918" s="103"/>
      <c r="J4918" s="103"/>
      <c r="K4918" s="103"/>
      <c r="L4918" s="103"/>
      <c r="M4918" s="104"/>
      <c r="N4918" s="103"/>
    </row>
    <row r="4919" spans="1:14" ht="45" customHeight="1" thickBot="1" x14ac:dyDescent="0.4">
      <c r="A4919" s="103"/>
      <c r="B4919" s="103"/>
      <c r="C4919" s="103"/>
      <c r="D4919" s="103"/>
      <c r="E4919" s="103"/>
      <c r="F4919" s="103"/>
      <c r="G4919" s="103"/>
      <c r="H4919" s="103"/>
      <c r="I4919" s="103"/>
      <c r="J4919" s="103"/>
      <c r="K4919" s="103"/>
      <c r="L4919" s="103"/>
      <c r="M4919" s="104"/>
      <c r="N4919" s="103"/>
    </row>
    <row r="4920" spans="1:14" ht="45" customHeight="1" thickBot="1" x14ac:dyDescent="0.4">
      <c r="A4920" s="103"/>
      <c r="B4920" s="103"/>
      <c r="C4920" s="103"/>
      <c r="D4920" s="103"/>
      <c r="E4920" s="103"/>
      <c r="F4920" s="103"/>
      <c r="G4920" s="103"/>
      <c r="H4920" s="103"/>
      <c r="I4920" s="103"/>
      <c r="J4920" s="103"/>
      <c r="K4920" s="103"/>
      <c r="L4920" s="103"/>
      <c r="M4920" s="104"/>
      <c r="N4920" s="103"/>
    </row>
    <row r="4921" spans="1:14" ht="45" customHeight="1" thickBot="1" x14ac:dyDescent="0.4">
      <c r="A4921" s="103"/>
      <c r="B4921" s="103"/>
      <c r="C4921" s="103"/>
      <c r="D4921" s="103"/>
      <c r="E4921" s="103"/>
      <c r="F4921" s="103"/>
      <c r="G4921" s="103"/>
      <c r="H4921" s="103"/>
      <c r="I4921" s="103"/>
      <c r="J4921" s="103"/>
      <c r="K4921" s="103"/>
      <c r="L4921" s="103"/>
      <c r="M4921" s="104"/>
      <c r="N4921" s="103"/>
    </row>
    <row r="4922" spans="1:14" ht="45" customHeight="1" thickBot="1" x14ac:dyDescent="0.4">
      <c r="A4922" s="103"/>
      <c r="B4922" s="103"/>
      <c r="C4922" s="103"/>
      <c r="D4922" s="103"/>
      <c r="E4922" s="103"/>
      <c r="F4922" s="103"/>
      <c r="G4922" s="103"/>
      <c r="H4922" s="103"/>
      <c r="I4922" s="103"/>
      <c r="J4922" s="103"/>
      <c r="K4922" s="103"/>
      <c r="L4922" s="103"/>
      <c r="M4922" s="104"/>
      <c r="N4922" s="103"/>
    </row>
    <row r="4923" spans="1:14" ht="45" customHeight="1" thickBot="1" x14ac:dyDescent="0.4">
      <c r="A4923" s="103"/>
      <c r="B4923" s="103"/>
      <c r="C4923" s="103"/>
      <c r="D4923" s="103"/>
      <c r="E4923" s="103"/>
      <c r="F4923" s="103"/>
      <c r="G4923" s="103"/>
      <c r="H4923" s="103"/>
      <c r="I4923" s="103"/>
      <c r="J4923" s="103"/>
      <c r="K4923" s="103"/>
      <c r="L4923" s="103"/>
      <c r="M4923" s="104"/>
      <c r="N4923" s="103"/>
    </row>
    <row r="4924" spans="1:14" ht="45" customHeight="1" thickBot="1" x14ac:dyDescent="0.4">
      <c r="A4924" s="103"/>
      <c r="B4924" s="103"/>
      <c r="C4924" s="103"/>
      <c r="D4924" s="103"/>
      <c r="E4924" s="103"/>
      <c r="F4924" s="103"/>
      <c r="G4924" s="103"/>
      <c r="H4924" s="103"/>
      <c r="I4924" s="103"/>
      <c r="J4924" s="103"/>
      <c r="K4924" s="103"/>
      <c r="L4924" s="103"/>
      <c r="M4924" s="104"/>
      <c r="N4924" s="103"/>
    </row>
    <row r="4925" spans="1:14" ht="45" customHeight="1" thickBot="1" x14ac:dyDescent="0.4">
      <c r="A4925" s="103"/>
      <c r="B4925" s="103"/>
      <c r="C4925" s="103"/>
      <c r="D4925" s="103"/>
      <c r="E4925" s="103"/>
      <c r="F4925" s="103"/>
      <c r="G4925" s="103"/>
      <c r="H4925" s="103"/>
      <c r="I4925" s="103"/>
      <c r="J4925" s="103"/>
      <c r="K4925" s="103"/>
      <c r="L4925" s="103"/>
      <c r="M4925" s="104"/>
      <c r="N4925" s="103"/>
    </row>
    <row r="4926" spans="1:14" ht="45" customHeight="1" thickBot="1" x14ac:dyDescent="0.4">
      <c r="A4926" s="103"/>
      <c r="B4926" s="103"/>
      <c r="C4926" s="103"/>
      <c r="D4926" s="103"/>
      <c r="E4926" s="103"/>
      <c r="F4926" s="103"/>
      <c r="G4926" s="103"/>
      <c r="H4926" s="103"/>
      <c r="I4926" s="103"/>
      <c r="J4926" s="103"/>
      <c r="K4926" s="103"/>
      <c r="L4926" s="103"/>
      <c r="M4926" s="104"/>
      <c r="N4926" s="103"/>
    </row>
    <row r="4927" spans="1:14" ht="45" customHeight="1" thickBot="1" x14ac:dyDescent="0.4">
      <c r="A4927" s="103"/>
      <c r="B4927" s="103"/>
      <c r="C4927" s="103"/>
      <c r="D4927" s="103"/>
      <c r="E4927" s="103"/>
      <c r="F4927" s="103"/>
      <c r="G4927" s="103"/>
      <c r="H4927" s="103"/>
      <c r="I4927" s="103"/>
      <c r="J4927" s="103"/>
      <c r="K4927" s="103"/>
      <c r="L4927" s="103"/>
      <c r="M4927" s="104"/>
      <c r="N4927" s="103"/>
    </row>
    <row r="4928" spans="1:14" ht="45" customHeight="1" thickBot="1" x14ac:dyDescent="0.4">
      <c r="A4928" s="103"/>
      <c r="B4928" s="103"/>
      <c r="C4928" s="103"/>
      <c r="D4928" s="103"/>
      <c r="E4928" s="103"/>
      <c r="F4928" s="103"/>
      <c r="G4928" s="103"/>
      <c r="H4928" s="103"/>
      <c r="I4928" s="103"/>
      <c r="J4928" s="103"/>
      <c r="K4928" s="103"/>
      <c r="L4928" s="103"/>
      <c r="M4928" s="104"/>
      <c r="N4928" s="103"/>
    </row>
    <row r="4929" spans="1:14" ht="45" customHeight="1" thickBot="1" x14ac:dyDescent="0.4">
      <c r="A4929" s="103"/>
      <c r="B4929" s="103"/>
      <c r="C4929" s="103"/>
      <c r="D4929" s="103"/>
      <c r="E4929" s="103"/>
      <c r="F4929" s="103"/>
      <c r="G4929" s="103"/>
      <c r="H4929" s="103"/>
      <c r="I4929" s="103"/>
      <c r="J4929" s="103"/>
      <c r="K4929" s="103"/>
      <c r="L4929" s="103"/>
      <c r="M4929" s="104"/>
      <c r="N4929" s="103"/>
    </row>
    <row r="4930" spans="1:14" ht="45" customHeight="1" thickBot="1" x14ac:dyDescent="0.4">
      <c r="A4930" s="103"/>
      <c r="B4930" s="103"/>
      <c r="C4930" s="103"/>
      <c r="D4930" s="103"/>
      <c r="E4930" s="103"/>
      <c r="F4930" s="103"/>
      <c r="G4930" s="103"/>
      <c r="H4930" s="103"/>
      <c r="I4930" s="103"/>
      <c r="J4930" s="103"/>
      <c r="K4930" s="103"/>
      <c r="L4930" s="103"/>
      <c r="M4930" s="104"/>
      <c r="N4930" s="103"/>
    </row>
    <row r="4931" spans="1:14" ht="45" customHeight="1" thickBot="1" x14ac:dyDescent="0.4">
      <c r="A4931" s="103"/>
      <c r="B4931" s="103"/>
      <c r="C4931" s="103"/>
      <c r="D4931" s="103"/>
      <c r="E4931" s="103"/>
      <c r="F4931" s="103"/>
      <c r="G4931" s="103"/>
      <c r="H4931" s="103"/>
      <c r="I4931" s="103"/>
      <c r="J4931" s="103"/>
      <c r="K4931" s="103"/>
      <c r="L4931" s="103"/>
      <c r="M4931" s="104"/>
      <c r="N4931" s="103"/>
    </row>
    <row r="4932" spans="1:14" ht="45" customHeight="1" thickBot="1" x14ac:dyDescent="0.4">
      <c r="A4932" s="103"/>
      <c r="B4932" s="103"/>
      <c r="C4932" s="103"/>
      <c r="D4932" s="103"/>
      <c r="E4932" s="103"/>
      <c r="F4932" s="103"/>
      <c r="G4932" s="103"/>
      <c r="H4932" s="103"/>
      <c r="I4932" s="103"/>
      <c r="J4932" s="103"/>
      <c r="K4932" s="103"/>
      <c r="L4932" s="103"/>
      <c r="M4932" s="104"/>
      <c r="N4932" s="103"/>
    </row>
    <row r="4933" spans="1:14" ht="45" customHeight="1" thickBot="1" x14ac:dyDescent="0.4">
      <c r="A4933" s="103"/>
      <c r="B4933" s="103"/>
      <c r="C4933" s="103"/>
      <c r="D4933" s="103"/>
      <c r="E4933" s="103"/>
      <c r="F4933" s="103"/>
      <c r="G4933" s="103"/>
      <c r="H4933" s="103"/>
      <c r="I4933" s="103"/>
      <c r="J4933" s="103"/>
      <c r="K4933" s="103"/>
      <c r="L4933" s="103"/>
      <c r="M4933" s="104"/>
      <c r="N4933" s="103"/>
    </row>
    <row r="4934" spans="1:14" ht="45" customHeight="1" thickBot="1" x14ac:dyDescent="0.4">
      <c r="A4934" s="103"/>
      <c r="B4934" s="103"/>
      <c r="C4934" s="103"/>
      <c r="D4934" s="103"/>
      <c r="E4934" s="103"/>
      <c r="F4934" s="103"/>
      <c r="G4934" s="103"/>
      <c r="H4934" s="103"/>
      <c r="I4934" s="103"/>
      <c r="J4934" s="103"/>
      <c r="K4934" s="103"/>
      <c r="L4934" s="103"/>
      <c r="M4934" s="104"/>
      <c r="N4934" s="103"/>
    </row>
    <row r="4935" spans="1:14" ht="45" customHeight="1" thickBot="1" x14ac:dyDescent="0.4">
      <c r="A4935" s="103"/>
      <c r="B4935" s="103"/>
      <c r="C4935" s="103"/>
      <c r="D4935" s="103"/>
      <c r="E4935" s="103"/>
      <c r="F4935" s="103"/>
      <c r="G4935" s="103"/>
      <c r="H4935" s="103"/>
      <c r="I4935" s="103"/>
      <c r="J4935" s="103"/>
      <c r="K4935" s="103"/>
      <c r="L4935" s="103"/>
      <c r="M4935" s="104"/>
      <c r="N4935" s="103"/>
    </row>
    <row r="4936" spans="1:14" ht="45" customHeight="1" thickBot="1" x14ac:dyDescent="0.4">
      <c r="A4936" s="103"/>
      <c r="B4936" s="103"/>
      <c r="C4936" s="103"/>
      <c r="D4936" s="103"/>
      <c r="E4936" s="103"/>
      <c r="F4936" s="103"/>
      <c r="G4936" s="103"/>
      <c r="H4936" s="103"/>
      <c r="I4936" s="103"/>
      <c r="J4936" s="103"/>
      <c r="K4936" s="103"/>
      <c r="L4936" s="103"/>
      <c r="M4936" s="104"/>
      <c r="N4936" s="103"/>
    </row>
    <row r="4937" spans="1:14" ht="45" customHeight="1" thickBot="1" x14ac:dyDescent="0.4">
      <c r="A4937" s="103"/>
      <c r="B4937" s="103"/>
      <c r="C4937" s="103"/>
      <c r="D4937" s="103"/>
      <c r="E4937" s="103"/>
      <c r="F4937" s="103"/>
      <c r="G4937" s="103"/>
      <c r="H4937" s="103"/>
      <c r="I4937" s="103"/>
      <c r="J4937" s="103"/>
      <c r="K4937" s="103"/>
      <c r="L4937" s="103"/>
      <c r="M4937" s="104"/>
      <c r="N4937" s="103"/>
    </row>
    <row r="4938" spans="1:14" ht="45" customHeight="1" thickBot="1" x14ac:dyDescent="0.4">
      <c r="A4938" s="103"/>
      <c r="B4938" s="103"/>
      <c r="C4938" s="103"/>
      <c r="D4938" s="103"/>
      <c r="E4938" s="103"/>
      <c r="F4938" s="103"/>
      <c r="G4938" s="103"/>
      <c r="H4938" s="103"/>
      <c r="I4938" s="103"/>
      <c r="J4938" s="103"/>
      <c r="K4938" s="103"/>
      <c r="L4938" s="103"/>
      <c r="M4938" s="104"/>
      <c r="N4938" s="103"/>
    </row>
    <row r="4939" spans="1:14" ht="45" customHeight="1" thickBot="1" x14ac:dyDescent="0.4">
      <c r="A4939" s="103"/>
      <c r="B4939" s="103"/>
      <c r="C4939" s="103"/>
      <c r="D4939" s="103"/>
      <c r="E4939" s="103"/>
      <c r="F4939" s="103"/>
      <c r="G4939" s="103"/>
      <c r="H4939" s="103"/>
      <c r="I4939" s="103"/>
      <c r="J4939" s="103"/>
      <c r="K4939" s="103"/>
      <c r="L4939" s="103"/>
      <c r="M4939" s="104"/>
      <c r="N4939" s="103"/>
    </row>
    <row r="4940" spans="1:14" ht="45" customHeight="1" thickBot="1" x14ac:dyDescent="0.4">
      <c r="A4940" s="103"/>
      <c r="B4940" s="103"/>
      <c r="C4940" s="103"/>
      <c r="D4940" s="103"/>
      <c r="E4940" s="103"/>
      <c r="F4940" s="103"/>
      <c r="G4940" s="103"/>
      <c r="H4940" s="103"/>
      <c r="I4940" s="103"/>
      <c r="J4940" s="103"/>
      <c r="K4940" s="103"/>
      <c r="L4940" s="103"/>
      <c r="M4940" s="104"/>
      <c r="N4940" s="103"/>
    </row>
    <row r="4941" spans="1:14" ht="45" customHeight="1" thickBot="1" x14ac:dyDescent="0.4">
      <c r="A4941" s="103"/>
      <c r="B4941" s="103"/>
      <c r="C4941" s="103"/>
      <c r="D4941" s="103"/>
      <c r="E4941" s="103"/>
      <c r="F4941" s="103"/>
      <c r="G4941" s="103"/>
      <c r="H4941" s="103"/>
      <c r="I4941" s="103"/>
      <c r="J4941" s="103"/>
      <c r="K4941" s="103"/>
      <c r="L4941" s="103"/>
      <c r="M4941" s="104"/>
      <c r="N4941" s="103"/>
    </row>
    <row r="4942" spans="1:14" ht="45" customHeight="1" thickBot="1" x14ac:dyDescent="0.4">
      <c r="A4942" s="103"/>
      <c r="B4942" s="103"/>
      <c r="C4942" s="103"/>
      <c r="D4942" s="103"/>
      <c r="E4942" s="103"/>
      <c r="F4942" s="103"/>
      <c r="G4942" s="103"/>
      <c r="H4942" s="103"/>
      <c r="I4942" s="103"/>
      <c r="J4942" s="103"/>
      <c r="K4942" s="103"/>
      <c r="L4942" s="103"/>
      <c r="M4942" s="104"/>
      <c r="N4942" s="103"/>
    </row>
    <row r="4943" spans="1:14" ht="45" customHeight="1" thickBot="1" x14ac:dyDescent="0.4">
      <c r="A4943" s="103"/>
      <c r="B4943" s="103"/>
      <c r="C4943" s="103"/>
      <c r="D4943" s="103"/>
      <c r="E4943" s="103"/>
      <c r="F4943" s="103"/>
      <c r="G4943" s="103"/>
      <c r="H4943" s="103"/>
      <c r="I4943" s="103"/>
      <c r="J4943" s="103"/>
      <c r="K4943" s="103"/>
      <c r="L4943" s="103"/>
      <c r="M4943" s="104"/>
      <c r="N4943" s="103"/>
    </row>
    <row r="4944" spans="1:14" ht="45" customHeight="1" thickBot="1" x14ac:dyDescent="0.4">
      <c r="A4944" s="103"/>
      <c r="B4944" s="103"/>
      <c r="C4944" s="103"/>
      <c r="D4944" s="103"/>
      <c r="E4944" s="103"/>
      <c r="F4944" s="103"/>
      <c r="G4944" s="103"/>
      <c r="H4944" s="103"/>
      <c r="I4944" s="103"/>
      <c r="J4944" s="103"/>
      <c r="K4944" s="103"/>
      <c r="L4944" s="103"/>
      <c r="M4944" s="104"/>
      <c r="N4944" s="103"/>
    </row>
    <row r="4945" spans="1:14" ht="45" customHeight="1" thickBot="1" x14ac:dyDescent="0.4">
      <c r="A4945" s="103"/>
      <c r="B4945" s="103"/>
      <c r="C4945" s="103"/>
      <c r="D4945" s="103"/>
      <c r="E4945" s="103"/>
      <c r="F4945" s="103"/>
      <c r="G4945" s="103"/>
      <c r="H4945" s="103"/>
      <c r="I4945" s="103"/>
      <c r="J4945" s="103"/>
      <c r="K4945" s="103"/>
      <c r="L4945" s="103"/>
      <c r="M4945" s="104"/>
      <c r="N4945" s="103"/>
    </row>
    <row r="4946" spans="1:14" ht="45" customHeight="1" thickBot="1" x14ac:dyDescent="0.4">
      <c r="A4946" s="103"/>
      <c r="B4946" s="103"/>
      <c r="C4946" s="103"/>
      <c r="D4946" s="103"/>
      <c r="E4946" s="103"/>
      <c r="F4946" s="103"/>
      <c r="G4946" s="103"/>
      <c r="H4946" s="103"/>
      <c r="I4946" s="103"/>
      <c r="J4946" s="103"/>
      <c r="K4946" s="103"/>
      <c r="L4946" s="103"/>
      <c r="M4946" s="104"/>
      <c r="N4946" s="103"/>
    </row>
    <row r="4947" spans="1:14" ht="45" customHeight="1" thickBot="1" x14ac:dyDescent="0.4">
      <c r="A4947" s="103"/>
      <c r="B4947" s="103"/>
      <c r="C4947" s="103"/>
      <c r="D4947" s="103"/>
      <c r="E4947" s="103"/>
      <c r="F4947" s="103"/>
      <c r="G4947" s="103"/>
      <c r="H4947" s="103"/>
      <c r="I4947" s="103"/>
      <c r="J4947" s="103"/>
      <c r="K4947" s="103"/>
      <c r="L4947" s="103"/>
      <c r="M4947" s="104"/>
      <c r="N4947" s="103"/>
    </row>
    <row r="4948" spans="1:14" ht="45" customHeight="1" thickBot="1" x14ac:dyDescent="0.4">
      <c r="A4948" s="103"/>
      <c r="B4948" s="103"/>
      <c r="C4948" s="103"/>
      <c r="D4948" s="103"/>
      <c r="E4948" s="103"/>
      <c r="F4948" s="103"/>
      <c r="G4948" s="103"/>
      <c r="H4948" s="103"/>
      <c r="I4948" s="103"/>
      <c r="J4948" s="103"/>
      <c r="K4948" s="103"/>
      <c r="L4948" s="103"/>
      <c r="M4948" s="104"/>
      <c r="N4948" s="103"/>
    </row>
    <row r="4949" spans="1:14" ht="45" customHeight="1" thickBot="1" x14ac:dyDescent="0.4">
      <c r="A4949" s="103"/>
      <c r="B4949" s="103"/>
      <c r="C4949" s="103"/>
      <c r="D4949" s="103"/>
      <c r="E4949" s="103"/>
      <c r="F4949" s="103"/>
      <c r="G4949" s="103"/>
      <c r="H4949" s="103"/>
      <c r="I4949" s="103"/>
      <c r="J4949" s="103"/>
      <c r="K4949" s="103"/>
      <c r="L4949" s="103"/>
      <c r="M4949" s="104"/>
      <c r="N4949" s="103"/>
    </row>
    <row r="4950" spans="1:14" ht="45" customHeight="1" thickBot="1" x14ac:dyDescent="0.4">
      <c r="A4950" s="103"/>
      <c r="B4950" s="103"/>
      <c r="C4950" s="103"/>
      <c r="D4950" s="103"/>
      <c r="E4950" s="103"/>
      <c r="F4950" s="103"/>
      <c r="G4950" s="103"/>
      <c r="H4950" s="103"/>
      <c r="I4950" s="103"/>
      <c r="J4950" s="103"/>
      <c r="K4950" s="103"/>
      <c r="L4950" s="103"/>
      <c r="M4950" s="104"/>
      <c r="N4950" s="103"/>
    </row>
    <row r="4951" spans="1:14" ht="45" customHeight="1" thickBot="1" x14ac:dyDescent="0.4">
      <c r="A4951" s="103"/>
      <c r="B4951" s="103"/>
      <c r="C4951" s="103"/>
      <c r="D4951" s="103"/>
      <c r="E4951" s="103"/>
      <c r="F4951" s="103"/>
      <c r="G4951" s="103"/>
      <c r="H4951" s="103"/>
      <c r="I4951" s="103"/>
      <c r="J4951" s="103"/>
      <c r="K4951" s="103"/>
      <c r="L4951" s="103"/>
      <c r="M4951" s="104"/>
      <c r="N4951" s="103"/>
    </row>
    <row r="4952" spans="1:14" ht="45" customHeight="1" thickBot="1" x14ac:dyDescent="0.4">
      <c r="A4952" s="103"/>
      <c r="B4952" s="103"/>
      <c r="C4952" s="103"/>
      <c r="D4952" s="103"/>
      <c r="E4952" s="103"/>
      <c r="F4952" s="103"/>
      <c r="G4952" s="103"/>
      <c r="H4952" s="103"/>
      <c r="I4952" s="103"/>
      <c r="J4952" s="103"/>
      <c r="K4952" s="103"/>
      <c r="L4952" s="103"/>
      <c r="M4952" s="104"/>
      <c r="N4952" s="103"/>
    </row>
    <row r="4953" spans="1:14" ht="45" customHeight="1" thickBot="1" x14ac:dyDescent="0.4">
      <c r="A4953" s="103"/>
      <c r="B4953" s="103"/>
      <c r="C4953" s="103"/>
      <c r="D4953" s="103"/>
      <c r="E4953" s="103"/>
      <c r="F4953" s="103"/>
      <c r="G4953" s="103"/>
      <c r="H4953" s="103"/>
      <c r="I4953" s="103"/>
      <c r="J4953" s="103"/>
      <c r="K4953" s="103"/>
      <c r="L4953" s="103"/>
      <c r="M4953" s="104"/>
      <c r="N4953" s="103"/>
    </row>
    <row r="4954" spans="1:14" ht="45" customHeight="1" thickBot="1" x14ac:dyDescent="0.4">
      <c r="A4954" s="103"/>
      <c r="B4954" s="103"/>
      <c r="C4954" s="103"/>
      <c r="D4954" s="103"/>
      <c r="E4954" s="103"/>
      <c r="F4954" s="103"/>
      <c r="G4954" s="103"/>
      <c r="H4954" s="103"/>
      <c r="I4954" s="103"/>
      <c r="J4954" s="103"/>
      <c r="K4954" s="103"/>
      <c r="L4954" s="103"/>
      <c r="M4954" s="104"/>
      <c r="N4954" s="103"/>
    </row>
    <row r="4955" spans="1:14" ht="45" customHeight="1" thickBot="1" x14ac:dyDescent="0.4">
      <c r="A4955" s="103"/>
      <c r="B4955" s="103"/>
      <c r="C4955" s="103"/>
      <c r="D4955" s="103"/>
      <c r="E4955" s="103"/>
      <c r="F4955" s="103"/>
      <c r="G4955" s="103"/>
      <c r="H4955" s="103"/>
      <c r="I4955" s="103"/>
      <c r="J4955" s="103"/>
      <c r="K4955" s="103"/>
      <c r="L4955" s="103"/>
      <c r="M4955" s="104"/>
      <c r="N4955" s="103"/>
    </row>
    <row r="4956" spans="1:14" ht="45" customHeight="1" thickBot="1" x14ac:dyDescent="0.4">
      <c r="A4956" s="103"/>
      <c r="B4956" s="103"/>
      <c r="C4956" s="103"/>
      <c r="D4956" s="103"/>
      <c r="E4956" s="103"/>
      <c r="F4956" s="103"/>
      <c r="G4956" s="103"/>
      <c r="H4956" s="103"/>
      <c r="I4956" s="103"/>
      <c r="J4956" s="103"/>
      <c r="K4956" s="103"/>
      <c r="L4956" s="103"/>
      <c r="M4956" s="104"/>
      <c r="N4956" s="103"/>
    </row>
    <row r="4957" spans="1:14" ht="45" customHeight="1" thickBot="1" x14ac:dyDescent="0.4">
      <c r="A4957" s="103"/>
      <c r="B4957" s="103"/>
      <c r="C4957" s="103"/>
      <c r="D4957" s="103"/>
      <c r="E4957" s="103"/>
      <c r="F4957" s="103"/>
      <c r="G4957" s="103"/>
      <c r="H4957" s="103"/>
      <c r="I4957" s="103"/>
      <c r="J4957" s="103"/>
      <c r="K4957" s="103"/>
      <c r="L4957" s="103"/>
      <c r="M4957" s="104"/>
      <c r="N4957" s="103"/>
    </row>
    <row r="4958" spans="1:14" ht="45" customHeight="1" thickBot="1" x14ac:dyDescent="0.4">
      <c r="A4958" s="103"/>
      <c r="B4958" s="103"/>
      <c r="C4958" s="103"/>
      <c r="D4958" s="103"/>
      <c r="E4958" s="103"/>
      <c r="F4958" s="103"/>
      <c r="G4958" s="103"/>
      <c r="H4958" s="103"/>
      <c r="I4958" s="103"/>
      <c r="J4958" s="103"/>
      <c r="K4958" s="103"/>
      <c r="L4958" s="103"/>
      <c r="M4958" s="104"/>
      <c r="N4958" s="103"/>
    </row>
    <row r="4959" spans="1:14" ht="45" customHeight="1" thickBot="1" x14ac:dyDescent="0.4">
      <c r="A4959" s="103"/>
      <c r="B4959" s="103"/>
      <c r="C4959" s="103"/>
      <c r="D4959" s="103"/>
      <c r="E4959" s="103"/>
      <c r="F4959" s="103"/>
      <c r="G4959" s="103"/>
      <c r="H4959" s="103"/>
      <c r="I4959" s="103"/>
      <c r="J4959" s="103"/>
      <c r="K4959" s="103"/>
      <c r="L4959" s="103"/>
      <c r="M4959" s="104"/>
      <c r="N4959" s="103"/>
    </row>
    <row r="4960" spans="1:14" ht="45" customHeight="1" thickBot="1" x14ac:dyDescent="0.4">
      <c r="A4960" s="103"/>
      <c r="B4960" s="103"/>
      <c r="C4960" s="103"/>
      <c r="D4960" s="103"/>
      <c r="E4960" s="103"/>
      <c r="F4960" s="103"/>
      <c r="G4960" s="103"/>
      <c r="H4960" s="103"/>
      <c r="I4960" s="103"/>
      <c r="J4960" s="103"/>
      <c r="K4960" s="103"/>
      <c r="L4960" s="103"/>
      <c r="M4960" s="104"/>
      <c r="N4960" s="103"/>
    </row>
    <row r="4961" spans="1:14" ht="45" customHeight="1" thickBot="1" x14ac:dyDescent="0.4">
      <c r="A4961" s="103"/>
      <c r="B4961" s="103"/>
      <c r="C4961" s="103"/>
      <c r="D4961" s="103"/>
      <c r="E4961" s="103"/>
      <c r="F4961" s="103"/>
      <c r="G4961" s="103"/>
      <c r="H4961" s="103"/>
      <c r="I4961" s="103"/>
      <c r="J4961" s="103"/>
      <c r="K4961" s="103"/>
      <c r="L4961" s="103"/>
      <c r="M4961" s="104"/>
      <c r="N4961" s="103"/>
    </row>
    <row r="4962" spans="1:14" ht="45" customHeight="1" thickBot="1" x14ac:dyDescent="0.4">
      <c r="A4962" s="103"/>
      <c r="B4962" s="103"/>
      <c r="C4962" s="103"/>
      <c r="D4962" s="103"/>
      <c r="E4962" s="103"/>
      <c r="F4962" s="103"/>
      <c r="G4962" s="103"/>
      <c r="H4962" s="103"/>
      <c r="I4962" s="103"/>
      <c r="J4962" s="103"/>
      <c r="K4962" s="103"/>
      <c r="L4962" s="103"/>
      <c r="M4962" s="104"/>
      <c r="N4962" s="103"/>
    </row>
    <row r="4963" spans="1:14" ht="45" customHeight="1" thickBot="1" x14ac:dyDescent="0.4">
      <c r="A4963" s="103"/>
      <c r="B4963" s="103"/>
      <c r="C4963" s="103"/>
      <c r="D4963" s="103"/>
      <c r="E4963" s="103"/>
      <c r="F4963" s="103"/>
      <c r="G4963" s="103"/>
      <c r="H4963" s="103"/>
      <c r="I4963" s="103"/>
      <c r="J4963" s="103"/>
      <c r="K4963" s="103"/>
      <c r="L4963" s="103"/>
      <c r="M4963" s="104"/>
      <c r="N4963" s="103"/>
    </row>
    <row r="4964" spans="1:14" ht="45" customHeight="1" thickBot="1" x14ac:dyDescent="0.4">
      <c r="A4964" s="103"/>
      <c r="B4964" s="103"/>
      <c r="C4964" s="103"/>
      <c r="D4964" s="103"/>
      <c r="E4964" s="103"/>
      <c r="F4964" s="103"/>
      <c r="G4964" s="103"/>
      <c r="H4964" s="103"/>
      <c r="I4964" s="103"/>
      <c r="J4964" s="103"/>
      <c r="K4964" s="103"/>
      <c r="L4964" s="103"/>
      <c r="M4964" s="104"/>
      <c r="N4964" s="103"/>
    </row>
    <row r="4965" spans="1:14" ht="45" customHeight="1" thickBot="1" x14ac:dyDescent="0.4">
      <c r="A4965" s="103"/>
      <c r="B4965" s="103"/>
      <c r="C4965" s="103"/>
      <c r="D4965" s="103"/>
      <c r="E4965" s="103"/>
      <c r="F4965" s="103"/>
      <c r="G4965" s="103"/>
      <c r="H4965" s="103"/>
      <c r="I4965" s="103"/>
      <c r="J4965" s="103"/>
      <c r="K4965" s="103"/>
      <c r="L4965" s="103"/>
      <c r="M4965" s="104"/>
      <c r="N4965" s="103"/>
    </row>
    <row r="4966" spans="1:14" ht="45" customHeight="1" thickBot="1" x14ac:dyDescent="0.4">
      <c r="A4966" s="103"/>
      <c r="B4966" s="103"/>
      <c r="C4966" s="103"/>
      <c r="D4966" s="103"/>
      <c r="E4966" s="103"/>
      <c r="F4966" s="103"/>
      <c r="G4966" s="103"/>
      <c r="H4966" s="103"/>
      <c r="I4966" s="103"/>
      <c r="J4966" s="103"/>
      <c r="K4966" s="103"/>
      <c r="L4966" s="103"/>
      <c r="M4966" s="104"/>
      <c r="N4966" s="103"/>
    </row>
    <row r="4967" spans="1:14" ht="45" customHeight="1" thickBot="1" x14ac:dyDescent="0.4">
      <c r="A4967" s="103"/>
      <c r="B4967" s="103"/>
      <c r="C4967" s="103"/>
      <c r="D4967" s="103"/>
      <c r="E4967" s="103"/>
      <c r="F4967" s="103"/>
      <c r="G4967" s="103"/>
      <c r="H4967" s="103"/>
      <c r="I4967" s="103"/>
      <c r="J4967" s="103"/>
      <c r="K4967" s="103"/>
      <c r="L4967" s="103"/>
      <c r="M4967" s="104"/>
      <c r="N4967" s="103"/>
    </row>
    <row r="4968" spans="1:14" ht="45" customHeight="1" thickBot="1" x14ac:dyDescent="0.4">
      <c r="A4968" s="103"/>
      <c r="B4968" s="103"/>
      <c r="C4968" s="103"/>
      <c r="D4968" s="103"/>
      <c r="E4968" s="103"/>
      <c r="F4968" s="103"/>
      <c r="G4968" s="103"/>
      <c r="H4968" s="103"/>
      <c r="I4968" s="103"/>
      <c r="J4968" s="103"/>
      <c r="K4968" s="103"/>
      <c r="L4968" s="103"/>
      <c r="M4968" s="104"/>
      <c r="N4968" s="103"/>
    </row>
    <row r="4969" spans="1:14" ht="45" customHeight="1" thickBot="1" x14ac:dyDescent="0.4">
      <c r="A4969" s="103"/>
      <c r="B4969" s="103"/>
      <c r="C4969" s="103"/>
      <c r="D4969" s="103"/>
      <c r="E4969" s="103"/>
      <c r="F4969" s="103"/>
      <c r="G4969" s="103"/>
      <c r="H4969" s="103"/>
      <c r="I4969" s="103"/>
      <c r="J4969" s="103"/>
      <c r="K4969" s="103"/>
      <c r="L4969" s="103"/>
      <c r="M4969" s="104"/>
      <c r="N4969" s="103"/>
    </row>
    <row r="4970" spans="1:14" ht="45" customHeight="1" thickBot="1" x14ac:dyDescent="0.4">
      <c r="A4970" s="103"/>
      <c r="B4970" s="103"/>
      <c r="C4970" s="103"/>
      <c r="D4970" s="103"/>
      <c r="E4970" s="103"/>
      <c r="F4970" s="103"/>
      <c r="G4970" s="103"/>
      <c r="H4970" s="103"/>
      <c r="I4970" s="103"/>
      <c r="J4970" s="103"/>
      <c r="K4970" s="103"/>
      <c r="L4970" s="103"/>
      <c r="M4970" s="104"/>
      <c r="N4970" s="103"/>
    </row>
    <row r="4971" spans="1:14" ht="45" customHeight="1" thickBot="1" x14ac:dyDescent="0.4">
      <c r="A4971" s="103"/>
      <c r="B4971" s="103"/>
      <c r="C4971" s="103"/>
      <c r="D4971" s="103"/>
      <c r="E4971" s="103"/>
      <c r="F4971" s="103"/>
      <c r="G4971" s="103"/>
      <c r="H4971" s="103"/>
      <c r="I4971" s="103"/>
      <c r="J4971" s="103"/>
      <c r="K4971" s="103"/>
      <c r="L4971" s="103"/>
      <c r="M4971" s="104"/>
      <c r="N4971" s="103"/>
    </row>
    <row r="4972" spans="1:14" ht="45" customHeight="1" thickBot="1" x14ac:dyDescent="0.4">
      <c r="A4972" s="103"/>
      <c r="B4972" s="103"/>
      <c r="C4972" s="103"/>
      <c r="D4972" s="103"/>
      <c r="E4972" s="103"/>
      <c r="F4972" s="103"/>
      <c r="G4972" s="103"/>
      <c r="H4972" s="103"/>
      <c r="I4972" s="103"/>
      <c r="J4972" s="103"/>
      <c r="K4972" s="103"/>
      <c r="L4972" s="103"/>
      <c r="M4972" s="104"/>
      <c r="N4972" s="103"/>
    </row>
    <row r="4973" spans="1:14" ht="45" customHeight="1" thickBot="1" x14ac:dyDescent="0.4">
      <c r="A4973" s="103"/>
      <c r="B4973" s="103"/>
      <c r="C4973" s="103"/>
      <c r="D4973" s="103"/>
      <c r="E4973" s="103"/>
      <c r="F4973" s="103"/>
      <c r="G4973" s="103"/>
      <c r="H4973" s="103"/>
      <c r="I4973" s="103"/>
      <c r="J4973" s="103"/>
      <c r="K4973" s="103"/>
      <c r="L4973" s="103"/>
      <c r="M4973" s="104"/>
      <c r="N4973" s="103"/>
    </row>
    <row r="4974" spans="1:14" ht="45" customHeight="1" thickBot="1" x14ac:dyDescent="0.4">
      <c r="A4974" s="103"/>
      <c r="B4974" s="103"/>
      <c r="C4974" s="103"/>
      <c r="D4974" s="103"/>
      <c r="E4974" s="103"/>
      <c r="F4974" s="103"/>
      <c r="G4974" s="103"/>
      <c r="H4974" s="103"/>
      <c r="I4974" s="103"/>
      <c r="J4974" s="103"/>
      <c r="K4974" s="103"/>
      <c r="L4974" s="103"/>
      <c r="M4974" s="104"/>
      <c r="N4974" s="103"/>
    </row>
    <row r="4975" spans="1:14" ht="45" customHeight="1" thickBot="1" x14ac:dyDescent="0.4">
      <c r="A4975" s="103"/>
      <c r="B4975" s="103"/>
      <c r="C4975" s="103"/>
      <c r="D4975" s="103"/>
      <c r="E4975" s="103"/>
      <c r="F4975" s="103"/>
      <c r="G4975" s="103"/>
      <c r="H4975" s="103"/>
      <c r="I4975" s="103"/>
      <c r="J4975" s="103"/>
      <c r="K4975" s="103"/>
      <c r="L4975" s="103"/>
      <c r="M4975" s="104"/>
      <c r="N4975" s="103"/>
    </row>
    <row r="4976" spans="1:14" ht="45" customHeight="1" thickBot="1" x14ac:dyDescent="0.4">
      <c r="A4976" s="103"/>
      <c r="B4976" s="103"/>
      <c r="C4976" s="103"/>
      <c r="D4976" s="103"/>
      <c r="E4976" s="103"/>
      <c r="F4976" s="103"/>
      <c r="G4976" s="103"/>
      <c r="H4976" s="103"/>
      <c r="I4976" s="103"/>
      <c r="J4976" s="103"/>
      <c r="K4976" s="103"/>
      <c r="L4976" s="103"/>
      <c r="M4976" s="104"/>
      <c r="N4976" s="103"/>
    </row>
    <row r="4977" spans="1:14" ht="45" customHeight="1" thickBot="1" x14ac:dyDescent="0.4">
      <c r="A4977" s="103"/>
      <c r="B4977" s="103"/>
      <c r="C4977" s="103"/>
      <c r="D4977" s="103"/>
      <c r="E4977" s="103"/>
      <c r="F4977" s="103"/>
      <c r="G4977" s="103"/>
      <c r="H4977" s="103"/>
      <c r="I4977" s="103"/>
      <c r="J4977" s="103"/>
      <c r="K4977" s="103"/>
      <c r="L4977" s="103"/>
      <c r="M4977" s="104"/>
      <c r="N4977" s="103"/>
    </row>
    <row r="4978" spans="1:14" ht="45" customHeight="1" thickBot="1" x14ac:dyDescent="0.4">
      <c r="A4978" s="103"/>
      <c r="B4978" s="103"/>
      <c r="C4978" s="103"/>
      <c r="D4978" s="103"/>
      <c r="E4978" s="103"/>
      <c r="F4978" s="103"/>
      <c r="G4978" s="103"/>
      <c r="H4978" s="103"/>
      <c r="I4978" s="103"/>
      <c r="J4978" s="103"/>
      <c r="K4978" s="103"/>
      <c r="L4978" s="103"/>
      <c r="M4978" s="104"/>
      <c r="N4978" s="103"/>
    </row>
    <row r="4979" spans="1:14" ht="45" customHeight="1" thickBot="1" x14ac:dyDescent="0.4">
      <c r="A4979" s="103"/>
      <c r="B4979" s="103"/>
      <c r="C4979" s="103"/>
      <c r="D4979" s="103"/>
      <c r="E4979" s="103"/>
      <c r="F4979" s="103"/>
      <c r="G4979" s="103"/>
      <c r="H4979" s="103"/>
      <c r="I4979" s="103"/>
      <c r="J4979" s="103"/>
      <c r="K4979" s="103"/>
      <c r="L4979" s="103"/>
      <c r="M4979" s="104"/>
      <c r="N4979" s="103"/>
    </row>
    <row r="4980" spans="1:14" ht="45" customHeight="1" thickBot="1" x14ac:dyDescent="0.4">
      <c r="A4980" s="103"/>
      <c r="B4980" s="103"/>
      <c r="C4980" s="103"/>
      <c r="D4980" s="103"/>
      <c r="E4980" s="103"/>
      <c r="F4980" s="103"/>
      <c r="G4980" s="103"/>
      <c r="H4980" s="103"/>
      <c r="I4980" s="103"/>
      <c r="J4980" s="103"/>
      <c r="K4980" s="103"/>
      <c r="L4980" s="103"/>
      <c r="M4980" s="104"/>
      <c r="N4980" s="103"/>
    </row>
    <row r="4981" spans="1:14" ht="45" customHeight="1" thickBot="1" x14ac:dyDescent="0.4">
      <c r="A4981" s="103"/>
      <c r="B4981" s="103"/>
      <c r="C4981" s="103"/>
      <c r="D4981" s="103"/>
      <c r="E4981" s="103"/>
      <c r="F4981" s="103"/>
      <c r="G4981" s="103"/>
      <c r="H4981" s="103"/>
      <c r="I4981" s="103"/>
      <c r="J4981" s="103"/>
      <c r="K4981" s="103"/>
      <c r="L4981" s="103"/>
      <c r="M4981" s="104"/>
      <c r="N4981" s="103"/>
    </row>
    <row r="4982" spans="1:14" ht="45" customHeight="1" thickBot="1" x14ac:dyDescent="0.4">
      <c r="A4982" s="103"/>
      <c r="B4982" s="103"/>
      <c r="C4982" s="103"/>
      <c r="D4982" s="103"/>
      <c r="E4982" s="103"/>
      <c r="F4982" s="103"/>
      <c r="G4982" s="103"/>
      <c r="H4982" s="103"/>
      <c r="I4982" s="103"/>
      <c r="J4982" s="103"/>
      <c r="K4982" s="103"/>
      <c r="L4982" s="103"/>
      <c r="M4982" s="104"/>
      <c r="N4982" s="103"/>
    </row>
    <row r="4983" spans="1:14" ht="45" customHeight="1" thickBot="1" x14ac:dyDescent="0.4">
      <c r="A4983" s="103"/>
      <c r="B4983" s="103"/>
      <c r="C4983" s="103"/>
      <c r="D4983" s="103"/>
      <c r="E4983" s="103"/>
      <c r="F4983" s="103"/>
      <c r="G4983" s="103"/>
      <c r="H4983" s="103"/>
      <c r="I4983" s="103"/>
      <c r="J4983" s="103"/>
      <c r="K4983" s="103"/>
      <c r="L4983" s="103"/>
      <c r="M4983" s="104"/>
      <c r="N4983" s="103"/>
    </row>
    <row r="4984" spans="1:14" ht="45" customHeight="1" thickBot="1" x14ac:dyDescent="0.4">
      <c r="A4984" s="103"/>
      <c r="B4984" s="103"/>
      <c r="C4984" s="103"/>
      <c r="D4984" s="103"/>
      <c r="E4984" s="103"/>
      <c r="F4984" s="103"/>
      <c r="G4984" s="103"/>
      <c r="H4984" s="103"/>
      <c r="I4984" s="103"/>
      <c r="J4984" s="103"/>
      <c r="K4984" s="103"/>
      <c r="L4984" s="103"/>
      <c r="M4984" s="104"/>
      <c r="N4984" s="103"/>
    </row>
    <row r="4985" spans="1:14" ht="45" customHeight="1" thickBot="1" x14ac:dyDescent="0.4">
      <c r="A4985" s="103"/>
      <c r="B4985" s="103"/>
      <c r="C4985" s="103"/>
      <c r="D4985" s="103"/>
      <c r="E4985" s="103"/>
      <c r="F4985" s="103"/>
      <c r="G4985" s="103"/>
      <c r="H4985" s="103"/>
      <c r="I4985" s="103"/>
      <c r="J4985" s="103"/>
      <c r="K4985" s="103"/>
      <c r="L4985" s="103"/>
      <c r="M4985" s="104"/>
      <c r="N4985" s="103"/>
    </row>
    <row r="4986" spans="1:14" ht="45" customHeight="1" thickBot="1" x14ac:dyDescent="0.4">
      <c r="A4986" s="103"/>
      <c r="B4986" s="103"/>
      <c r="C4986" s="103"/>
      <c r="D4986" s="103"/>
      <c r="E4986" s="103"/>
      <c r="F4986" s="103"/>
      <c r="G4986" s="103"/>
      <c r="H4986" s="103"/>
      <c r="I4986" s="103"/>
      <c r="J4986" s="103"/>
      <c r="K4986" s="103"/>
      <c r="L4986" s="103"/>
      <c r="M4986" s="104"/>
      <c r="N4986" s="103"/>
    </row>
    <row r="4987" spans="1:14" ht="45" customHeight="1" thickBot="1" x14ac:dyDescent="0.4">
      <c r="A4987" s="103"/>
      <c r="B4987" s="103"/>
      <c r="C4987" s="103"/>
      <c r="D4987" s="103"/>
      <c r="E4987" s="103"/>
      <c r="F4987" s="103"/>
      <c r="G4987" s="103"/>
      <c r="H4987" s="103"/>
      <c r="I4987" s="103"/>
      <c r="J4987" s="103"/>
      <c r="K4987" s="103"/>
      <c r="L4987" s="103"/>
      <c r="M4987" s="104"/>
      <c r="N4987" s="103"/>
    </row>
    <row r="4988" spans="1:14" ht="45" customHeight="1" thickBot="1" x14ac:dyDescent="0.4">
      <c r="A4988" s="103"/>
      <c r="B4988" s="103"/>
      <c r="C4988" s="103"/>
      <c r="D4988" s="103"/>
      <c r="E4988" s="103"/>
      <c r="F4988" s="103"/>
      <c r="G4988" s="103"/>
      <c r="H4988" s="103"/>
      <c r="I4988" s="103"/>
      <c r="J4988" s="103"/>
      <c r="K4988" s="103"/>
      <c r="L4988" s="103"/>
      <c r="M4988" s="104"/>
      <c r="N4988" s="103"/>
    </row>
    <row r="4989" spans="1:14" ht="45" customHeight="1" thickBot="1" x14ac:dyDescent="0.4">
      <c r="A4989" s="103"/>
      <c r="B4989" s="103"/>
      <c r="C4989" s="103"/>
      <c r="D4989" s="103"/>
      <c r="E4989" s="103"/>
      <c r="F4989" s="103"/>
      <c r="G4989" s="103"/>
      <c r="H4989" s="103"/>
      <c r="I4989" s="103"/>
      <c r="J4989" s="103"/>
      <c r="K4989" s="103"/>
      <c r="L4989" s="103"/>
      <c r="M4989" s="104"/>
      <c r="N4989" s="103"/>
    </row>
    <row r="4990" spans="1:14" ht="45" customHeight="1" thickBot="1" x14ac:dyDescent="0.4">
      <c r="A4990" s="103"/>
      <c r="B4990" s="103"/>
      <c r="C4990" s="103"/>
      <c r="D4990" s="103"/>
      <c r="E4990" s="103"/>
      <c r="F4990" s="103"/>
      <c r="G4990" s="103"/>
      <c r="H4990" s="103"/>
      <c r="I4990" s="103"/>
      <c r="J4990" s="103"/>
      <c r="K4990" s="103"/>
      <c r="L4990" s="103"/>
      <c r="M4990" s="104"/>
      <c r="N4990" s="103"/>
    </row>
    <row r="4991" spans="1:14" ht="45" customHeight="1" thickBot="1" x14ac:dyDescent="0.4">
      <c r="A4991" s="103"/>
      <c r="B4991" s="103"/>
      <c r="C4991" s="103"/>
      <c r="D4991" s="103"/>
      <c r="E4991" s="103"/>
      <c r="F4991" s="103"/>
      <c r="G4991" s="103"/>
      <c r="H4991" s="103"/>
      <c r="I4991" s="103"/>
      <c r="J4991" s="103"/>
      <c r="K4991" s="103"/>
      <c r="L4991" s="103"/>
      <c r="M4991" s="104"/>
      <c r="N4991" s="103"/>
    </row>
    <row r="4992" spans="1:14" ht="45" customHeight="1" thickBot="1" x14ac:dyDescent="0.4">
      <c r="A4992" s="103"/>
      <c r="B4992" s="103"/>
      <c r="C4992" s="103"/>
      <c r="D4992" s="103"/>
      <c r="E4992" s="103"/>
      <c r="F4992" s="103"/>
      <c r="G4992" s="103"/>
      <c r="H4992" s="103"/>
      <c r="I4992" s="103"/>
      <c r="J4992" s="103"/>
      <c r="K4992" s="103"/>
      <c r="L4992" s="103"/>
      <c r="M4992" s="104"/>
      <c r="N4992" s="103"/>
    </row>
    <row r="4993" spans="1:14" ht="45" customHeight="1" thickBot="1" x14ac:dyDescent="0.4">
      <c r="A4993" s="103"/>
      <c r="B4993" s="103"/>
      <c r="C4993" s="103"/>
      <c r="D4993" s="103"/>
      <c r="E4993" s="103"/>
      <c r="F4993" s="103"/>
      <c r="G4993" s="103"/>
      <c r="H4993" s="103"/>
      <c r="I4993" s="103"/>
      <c r="J4993" s="103"/>
      <c r="K4993" s="103"/>
      <c r="L4993" s="103"/>
      <c r="M4993" s="104"/>
      <c r="N4993" s="103"/>
    </row>
    <row r="4994" spans="1:14" ht="45" customHeight="1" thickBot="1" x14ac:dyDescent="0.4">
      <c r="A4994" s="103"/>
      <c r="B4994" s="103"/>
      <c r="C4994" s="103"/>
      <c r="D4994" s="103"/>
      <c r="E4994" s="103"/>
      <c r="F4994" s="103"/>
      <c r="G4994" s="103"/>
      <c r="H4994" s="103"/>
      <c r="I4994" s="103"/>
      <c r="J4994" s="103"/>
      <c r="K4994" s="103"/>
      <c r="L4994" s="103"/>
      <c r="M4994" s="104"/>
      <c r="N4994" s="103"/>
    </row>
    <row r="4995" spans="1:14" ht="45" customHeight="1" thickBot="1" x14ac:dyDescent="0.4">
      <c r="A4995" s="103"/>
      <c r="B4995" s="103"/>
      <c r="C4995" s="103"/>
      <c r="D4995" s="103"/>
      <c r="E4995" s="103"/>
      <c r="F4995" s="103"/>
      <c r="G4995" s="103"/>
      <c r="H4995" s="103"/>
      <c r="I4995" s="103"/>
      <c r="J4995" s="103"/>
      <c r="K4995" s="103"/>
      <c r="L4995" s="103"/>
      <c r="M4995" s="104"/>
      <c r="N4995" s="103"/>
    </row>
    <row r="4996" spans="1:14" ht="45" customHeight="1" thickBot="1" x14ac:dyDescent="0.4">
      <c r="A4996" s="103"/>
      <c r="B4996" s="103"/>
      <c r="C4996" s="103"/>
      <c r="D4996" s="103"/>
      <c r="E4996" s="103"/>
      <c r="F4996" s="103"/>
      <c r="G4996" s="103"/>
      <c r="H4996" s="103"/>
      <c r="I4996" s="103"/>
      <c r="J4996" s="103"/>
      <c r="K4996" s="103"/>
      <c r="L4996" s="103"/>
      <c r="M4996" s="104"/>
      <c r="N4996" s="103"/>
    </row>
    <row r="4997" spans="1:14" ht="45" customHeight="1" thickBot="1" x14ac:dyDescent="0.4">
      <c r="A4997" s="103"/>
      <c r="B4997" s="103"/>
      <c r="C4997" s="103"/>
      <c r="D4997" s="103"/>
      <c r="E4997" s="103"/>
      <c r="F4997" s="103"/>
      <c r="G4997" s="103"/>
      <c r="H4997" s="103"/>
      <c r="I4997" s="103"/>
      <c r="J4997" s="103"/>
      <c r="K4997" s="103"/>
      <c r="L4997" s="103"/>
      <c r="M4997" s="104"/>
      <c r="N4997" s="103"/>
    </row>
    <row r="4998" spans="1:14" ht="45" customHeight="1" thickBot="1" x14ac:dyDescent="0.4">
      <c r="A4998" s="103"/>
      <c r="B4998" s="103"/>
      <c r="C4998" s="103"/>
      <c r="D4998" s="103"/>
      <c r="E4998" s="103"/>
      <c r="F4998" s="103"/>
      <c r="G4998" s="103"/>
      <c r="H4998" s="103"/>
      <c r="I4998" s="103"/>
      <c r="J4998" s="103"/>
      <c r="K4998" s="103"/>
      <c r="L4998" s="103"/>
      <c r="M4998" s="104"/>
      <c r="N4998" s="103"/>
    </row>
    <row r="4999" spans="1:14" ht="45" customHeight="1" thickBot="1" x14ac:dyDescent="0.4">
      <c r="A4999" s="103"/>
      <c r="B4999" s="103"/>
      <c r="C4999" s="103"/>
      <c r="D4999" s="103"/>
      <c r="E4999" s="103"/>
      <c r="F4999" s="103"/>
      <c r="G4999" s="103"/>
      <c r="H4999" s="103"/>
      <c r="I4999" s="103"/>
      <c r="J4999" s="103"/>
      <c r="K4999" s="103"/>
      <c r="L4999" s="103"/>
      <c r="M4999" s="104"/>
      <c r="N4999" s="103"/>
    </row>
    <row r="5000" spans="1:14" ht="45" customHeight="1" thickBot="1" x14ac:dyDescent="0.4">
      <c r="A5000" s="103"/>
      <c r="B5000" s="103"/>
      <c r="C5000" s="103"/>
      <c r="D5000" s="103"/>
      <c r="E5000" s="103"/>
      <c r="F5000" s="103"/>
      <c r="G5000" s="103"/>
      <c r="H5000" s="103"/>
      <c r="I5000" s="103"/>
      <c r="J5000" s="103"/>
      <c r="K5000" s="103"/>
      <c r="L5000" s="103"/>
      <c r="M5000" s="104"/>
      <c r="N5000" s="103"/>
    </row>
    <row r="5001" spans="1:14" ht="45" customHeight="1" thickBot="1" x14ac:dyDescent="0.4">
      <c r="A5001" s="103"/>
      <c r="B5001" s="103"/>
      <c r="C5001" s="103"/>
      <c r="D5001" s="103"/>
      <c r="E5001" s="103"/>
      <c r="F5001" s="103"/>
      <c r="G5001" s="103"/>
      <c r="H5001" s="103"/>
      <c r="I5001" s="103"/>
      <c r="J5001" s="103"/>
      <c r="K5001" s="103"/>
      <c r="L5001" s="103"/>
      <c r="M5001" s="104"/>
      <c r="N5001" s="103"/>
    </row>
    <row r="5002" spans="1:14" ht="45" customHeight="1" thickBot="1" x14ac:dyDescent="0.4">
      <c r="A5002" s="103"/>
      <c r="B5002" s="103"/>
      <c r="C5002" s="103"/>
      <c r="D5002" s="103"/>
      <c r="E5002" s="103"/>
      <c r="F5002" s="103"/>
      <c r="G5002" s="103"/>
      <c r="H5002" s="103"/>
      <c r="I5002" s="103"/>
      <c r="J5002" s="103"/>
      <c r="K5002" s="103"/>
      <c r="L5002" s="103"/>
      <c r="M5002" s="104"/>
      <c r="N5002" s="103"/>
    </row>
    <row r="5003" spans="1:14" ht="45" customHeight="1" thickBot="1" x14ac:dyDescent="0.4">
      <c r="A5003" s="103"/>
      <c r="B5003" s="103"/>
      <c r="C5003" s="103"/>
      <c r="D5003" s="103"/>
      <c r="E5003" s="103"/>
      <c r="F5003" s="103"/>
      <c r="G5003" s="103"/>
      <c r="H5003" s="103"/>
      <c r="I5003" s="103"/>
      <c r="J5003" s="103"/>
      <c r="K5003" s="103"/>
      <c r="L5003" s="103"/>
      <c r="M5003" s="104"/>
      <c r="N5003" s="103"/>
    </row>
    <row r="5004" spans="1:14" ht="45" customHeight="1" thickBot="1" x14ac:dyDescent="0.4">
      <c r="A5004" s="103"/>
      <c r="B5004" s="103"/>
      <c r="C5004" s="103"/>
      <c r="D5004" s="103"/>
      <c r="E5004" s="103"/>
      <c r="F5004" s="103"/>
      <c r="G5004" s="103"/>
      <c r="H5004" s="103"/>
      <c r="I5004" s="103"/>
      <c r="J5004" s="103"/>
      <c r="K5004" s="103"/>
      <c r="L5004" s="103"/>
      <c r="M5004" s="104"/>
      <c r="N5004" s="103"/>
    </row>
    <row r="5005" spans="1:14" ht="45" customHeight="1" thickBot="1" x14ac:dyDescent="0.4">
      <c r="A5005" s="103"/>
      <c r="B5005" s="103"/>
      <c r="C5005" s="103"/>
      <c r="D5005" s="103"/>
      <c r="E5005" s="103"/>
      <c r="F5005" s="103"/>
      <c r="G5005" s="103"/>
      <c r="H5005" s="103"/>
      <c r="I5005" s="103"/>
      <c r="J5005" s="103"/>
      <c r="K5005" s="103"/>
      <c r="L5005" s="103"/>
      <c r="M5005" s="104"/>
      <c r="N5005" s="103"/>
    </row>
    <row r="5006" spans="1:14" ht="45" customHeight="1" thickBot="1" x14ac:dyDescent="0.4">
      <c r="A5006" s="103"/>
      <c r="B5006" s="103"/>
      <c r="C5006" s="103"/>
      <c r="D5006" s="103"/>
      <c r="E5006" s="103"/>
      <c r="F5006" s="103"/>
      <c r="G5006" s="103"/>
      <c r="H5006" s="103"/>
      <c r="I5006" s="103"/>
      <c r="J5006" s="103"/>
      <c r="K5006" s="103"/>
      <c r="L5006" s="103"/>
      <c r="M5006" s="104"/>
      <c r="N5006" s="103"/>
    </row>
    <row r="5007" spans="1:14" ht="45" customHeight="1" thickBot="1" x14ac:dyDescent="0.4">
      <c r="A5007" s="103"/>
      <c r="B5007" s="103"/>
      <c r="C5007" s="103"/>
      <c r="D5007" s="103"/>
      <c r="E5007" s="103"/>
      <c r="F5007" s="103"/>
      <c r="G5007" s="103"/>
      <c r="H5007" s="103"/>
      <c r="I5007" s="103"/>
      <c r="J5007" s="103"/>
      <c r="K5007" s="103"/>
      <c r="L5007" s="103"/>
      <c r="M5007" s="104"/>
      <c r="N5007" s="103"/>
    </row>
    <row r="5008" spans="1:14" ht="45" customHeight="1" thickBot="1" x14ac:dyDescent="0.4">
      <c r="A5008" s="103"/>
      <c r="B5008" s="103"/>
      <c r="C5008" s="103"/>
      <c r="D5008" s="103"/>
      <c r="E5008" s="103"/>
      <c r="F5008" s="103"/>
      <c r="G5008" s="103"/>
      <c r="H5008" s="103"/>
      <c r="I5008" s="103"/>
      <c r="J5008" s="103"/>
      <c r="K5008" s="103"/>
      <c r="L5008" s="103"/>
      <c r="M5008" s="104"/>
      <c r="N5008" s="103"/>
    </row>
    <row r="5009" spans="1:14" ht="45" customHeight="1" thickBot="1" x14ac:dyDescent="0.4">
      <c r="A5009" s="103"/>
      <c r="B5009" s="103"/>
      <c r="C5009" s="103"/>
      <c r="D5009" s="103"/>
      <c r="E5009" s="103"/>
      <c r="F5009" s="103"/>
      <c r="G5009" s="103"/>
      <c r="H5009" s="103"/>
      <c r="I5009" s="103"/>
      <c r="J5009" s="103"/>
      <c r="K5009" s="103"/>
      <c r="L5009" s="103"/>
      <c r="M5009" s="104"/>
      <c r="N5009" s="103"/>
    </row>
    <row r="5010" spans="1:14" ht="45" customHeight="1" thickBot="1" x14ac:dyDescent="0.4">
      <c r="A5010" s="103"/>
      <c r="B5010" s="103"/>
      <c r="C5010" s="103"/>
      <c r="D5010" s="103"/>
      <c r="E5010" s="103"/>
      <c r="F5010" s="103"/>
      <c r="G5010" s="103"/>
      <c r="H5010" s="103"/>
      <c r="I5010" s="103"/>
      <c r="J5010" s="103"/>
      <c r="K5010" s="103"/>
      <c r="L5010" s="103"/>
      <c r="M5010" s="104"/>
      <c r="N5010" s="103"/>
    </row>
    <row r="5011" spans="1:14" ht="45" customHeight="1" thickBot="1" x14ac:dyDescent="0.4">
      <c r="A5011" s="103"/>
      <c r="B5011" s="103"/>
      <c r="C5011" s="103"/>
      <c r="D5011" s="103"/>
      <c r="E5011" s="103"/>
      <c r="F5011" s="103"/>
      <c r="G5011" s="103"/>
      <c r="H5011" s="103"/>
      <c r="I5011" s="103"/>
      <c r="J5011" s="103"/>
      <c r="K5011" s="103"/>
      <c r="L5011" s="103"/>
      <c r="M5011" s="104"/>
      <c r="N5011" s="103"/>
    </row>
    <row r="5012" spans="1:14" ht="45" customHeight="1" thickBot="1" x14ac:dyDescent="0.4">
      <c r="A5012" s="103"/>
      <c r="B5012" s="103"/>
      <c r="C5012" s="103"/>
      <c r="D5012" s="103"/>
      <c r="E5012" s="103"/>
      <c r="F5012" s="103"/>
      <c r="G5012" s="103"/>
      <c r="H5012" s="103"/>
      <c r="I5012" s="103"/>
      <c r="J5012" s="103"/>
      <c r="K5012" s="103"/>
      <c r="L5012" s="103"/>
      <c r="M5012" s="104"/>
      <c r="N5012" s="103"/>
    </row>
    <row r="5013" spans="1:14" ht="45" customHeight="1" thickBot="1" x14ac:dyDescent="0.4">
      <c r="A5013" s="103"/>
      <c r="B5013" s="103"/>
      <c r="C5013" s="103"/>
      <c r="D5013" s="103"/>
      <c r="E5013" s="103"/>
      <c r="F5013" s="103"/>
      <c r="G5013" s="103"/>
      <c r="H5013" s="103"/>
      <c r="I5013" s="103"/>
      <c r="J5013" s="103"/>
      <c r="K5013" s="103"/>
      <c r="L5013" s="103"/>
      <c r="M5013" s="104"/>
      <c r="N5013" s="103"/>
    </row>
    <row r="5014" spans="1:14" ht="45" customHeight="1" thickBot="1" x14ac:dyDescent="0.4">
      <c r="A5014" s="103"/>
      <c r="B5014" s="103"/>
      <c r="C5014" s="103"/>
      <c r="D5014" s="103"/>
      <c r="E5014" s="103"/>
      <c r="F5014" s="103"/>
      <c r="G5014" s="103"/>
      <c r="H5014" s="103"/>
      <c r="I5014" s="103"/>
      <c r="J5014" s="103"/>
      <c r="K5014" s="103"/>
      <c r="L5014" s="103"/>
      <c r="M5014" s="104"/>
      <c r="N5014" s="103"/>
    </row>
    <row r="5015" spans="1:14" ht="45" customHeight="1" thickBot="1" x14ac:dyDescent="0.4">
      <c r="A5015" s="103"/>
      <c r="B5015" s="103"/>
      <c r="C5015" s="103"/>
      <c r="D5015" s="103"/>
      <c r="E5015" s="103"/>
      <c r="F5015" s="103"/>
      <c r="G5015" s="103"/>
      <c r="H5015" s="103"/>
      <c r="I5015" s="103"/>
      <c r="J5015" s="103"/>
      <c r="K5015" s="103"/>
      <c r="L5015" s="103"/>
      <c r="M5015" s="104"/>
      <c r="N5015" s="103"/>
    </row>
    <row r="5016" spans="1:14" ht="45" customHeight="1" thickBot="1" x14ac:dyDescent="0.4">
      <c r="A5016" s="103"/>
      <c r="B5016" s="103"/>
      <c r="C5016" s="103"/>
      <c r="D5016" s="103"/>
      <c r="E5016" s="103"/>
      <c r="F5016" s="103"/>
      <c r="G5016" s="103"/>
      <c r="H5016" s="103"/>
      <c r="I5016" s="103"/>
      <c r="J5016" s="103"/>
      <c r="K5016" s="103"/>
      <c r="L5016" s="103"/>
      <c r="M5016" s="104"/>
      <c r="N5016" s="103"/>
    </row>
    <row r="5017" spans="1:14" ht="45" customHeight="1" thickBot="1" x14ac:dyDescent="0.4">
      <c r="A5017" s="103"/>
      <c r="B5017" s="103"/>
      <c r="C5017" s="103"/>
      <c r="D5017" s="103"/>
      <c r="E5017" s="103"/>
      <c r="F5017" s="103"/>
      <c r="G5017" s="103"/>
      <c r="H5017" s="103"/>
      <c r="I5017" s="103"/>
      <c r="J5017" s="103"/>
      <c r="K5017" s="103"/>
      <c r="L5017" s="103"/>
      <c r="M5017" s="104"/>
      <c r="N5017" s="103"/>
    </row>
    <row r="5018" spans="1:14" ht="45" customHeight="1" thickBot="1" x14ac:dyDescent="0.4">
      <c r="A5018" s="103"/>
      <c r="B5018" s="103"/>
      <c r="C5018" s="103"/>
      <c r="D5018" s="103"/>
      <c r="E5018" s="103"/>
      <c r="F5018" s="103"/>
      <c r="G5018" s="103"/>
      <c r="H5018" s="103"/>
      <c r="I5018" s="103"/>
      <c r="J5018" s="103"/>
      <c r="K5018" s="103"/>
      <c r="L5018" s="103"/>
      <c r="M5018" s="104"/>
      <c r="N5018" s="103"/>
    </row>
    <row r="5019" spans="1:14" ht="45" customHeight="1" thickBot="1" x14ac:dyDescent="0.4">
      <c r="A5019" s="103"/>
      <c r="B5019" s="103"/>
      <c r="C5019" s="103"/>
      <c r="D5019" s="103"/>
      <c r="E5019" s="103"/>
      <c r="F5019" s="103"/>
      <c r="G5019" s="103"/>
      <c r="H5019" s="103"/>
      <c r="I5019" s="103"/>
      <c r="J5019" s="103"/>
      <c r="K5019" s="103"/>
      <c r="L5019" s="103"/>
      <c r="M5019" s="104"/>
      <c r="N5019" s="103"/>
    </row>
    <row r="5020" spans="1:14" ht="45" customHeight="1" thickBot="1" x14ac:dyDescent="0.4">
      <c r="A5020" s="103"/>
      <c r="B5020" s="103"/>
      <c r="C5020" s="103"/>
      <c r="D5020" s="103"/>
      <c r="E5020" s="103"/>
      <c r="F5020" s="103"/>
      <c r="G5020" s="103"/>
      <c r="H5020" s="103"/>
      <c r="I5020" s="103"/>
      <c r="J5020" s="103"/>
      <c r="K5020" s="103"/>
      <c r="L5020" s="103"/>
      <c r="M5020" s="104"/>
      <c r="N5020" s="103"/>
    </row>
    <row r="5021" spans="1:14" ht="45" customHeight="1" thickBot="1" x14ac:dyDescent="0.4">
      <c r="A5021" s="103"/>
      <c r="B5021" s="103"/>
      <c r="C5021" s="103"/>
      <c r="D5021" s="103"/>
      <c r="E5021" s="103"/>
      <c r="F5021" s="103"/>
      <c r="G5021" s="103"/>
      <c r="H5021" s="103"/>
      <c r="I5021" s="103"/>
      <c r="J5021" s="103"/>
      <c r="K5021" s="103"/>
      <c r="L5021" s="103"/>
      <c r="M5021" s="104"/>
      <c r="N5021" s="103"/>
    </row>
    <row r="5022" spans="1:14" ht="45" customHeight="1" thickBot="1" x14ac:dyDescent="0.4">
      <c r="A5022" s="103"/>
      <c r="B5022" s="103"/>
      <c r="C5022" s="103"/>
      <c r="D5022" s="103"/>
      <c r="E5022" s="103"/>
      <c r="F5022" s="103"/>
      <c r="G5022" s="103"/>
      <c r="H5022" s="103"/>
      <c r="I5022" s="103"/>
      <c r="J5022" s="103"/>
      <c r="K5022" s="103"/>
      <c r="L5022" s="103"/>
      <c r="M5022" s="104"/>
      <c r="N5022" s="103"/>
    </row>
    <row r="5023" spans="1:14" ht="45" customHeight="1" thickBot="1" x14ac:dyDescent="0.4">
      <c r="A5023" s="103"/>
      <c r="B5023" s="103"/>
      <c r="C5023" s="103"/>
      <c r="D5023" s="103"/>
      <c r="E5023" s="103"/>
      <c r="F5023" s="103"/>
      <c r="G5023" s="103"/>
      <c r="H5023" s="103"/>
      <c r="I5023" s="103"/>
      <c r="J5023" s="103"/>
      <c r="K5023" s="103"/>
      <c r="L5023" s="103"/>
      <c r="M5023" s="104"/>
      <c r="N5023" s="103"/>
    </row>
    <row r="5024" spans="1:14" ht="45" customHeight="1" thickBot="1" x14ac:dyDescent="0.4">
      <c r="A5024" s="103"/>
      <c r="B5024" s="103"/>
      <c r="C5024" s="103"/>
      <c r="D5024" s="103"/>
      <c r="E5024" s="103"/>
      <c r="F5024" s="103"/>
      <c r="G5024" s="103"/>
      <c r="H5024" s="103"/>
      <c r="I5024" s="103"/>
      <c r="J5024" s="103"/>
      <c r="K5024" s="103"/>
      <c r="L5024" s="103"/>
      <c r="M5024" s="104"/>
      <c r="N5024" s="103"/>
    </row>
    <row r="5025" spans="1:14" ht="45" customHeight="1" thickBot="1" x14ac:dyDescent="0.4">
      <c r="A5025" s="103"/>
      <c r="B5025" s="103"/>
      <c r="C5025" s="103"/>
      <c r="D5025" s="103"/>
      <c r="E5025" s="103"/>
      <c r="F5025" s="103"/>
      <c r="G5025" s="103"/>
      <c r="H5025" s="103"/>
      <c r="I5025" s="103"/>
      <c r="J5025" s="103"/>
      <c r="K5025" s="103"/>
      <c r="L5025" s="103"/>
      <c r="M5025" s="104"/>
      <c r="N5025" s="103"/>
    </row>
    <row r="5026" spans="1:14" ht="45" customHeight="1" thickBot="1" x14ac:dyDescent="0.4">
      <c r="A5026" s="103"/>
      <c r="B5026" s="103"/>
      <c r="C5026" s="103"/>
      <c r="D5026" s="103"/>
      <c r="E5026" s="103"/>
      <c r="F5026" s="103"/>
      <c r="G5026" s="103"/>
      <c r="H5026" s="103"/>
      <c r="I5026" s="103"/>
      <c r="J5026" s="103"/>
      <c r="K5026" s="103"/>
      <c r="L5026" s="103"/>
      <c r="M5026" s="104"/>
      <c r="N5026" s="103"/>
    </row>
    <row r="5027" spans="1:14" ht="45" customHeight="1" thickBot="1" x14ac:dyDescent="0.4">
      <c r="A5027" s="103"/>
      <c r="B5027" s="103"/>
      <c r="C5027" s="103"/>
      <c r="D5027" s="103"/>
      <c r="E5027" s="103"/>
      <c r="F5027" s="103"/>
      <c r="G5027" s="103"/>
      <c r="H5027" s="103"/>
      <c r="I5027" s="103"/>
      <c r="J5027" s="103"/>
      <c r="K5027" s="103"/>
      <c r="L5027" s="103"/>
      <c r="M5027" s="104"/>
      <c r="N5027" s="103"/>
    </row>
    <row r="5028" spans="1:14" ht="45" customHeight="1" thickBot="1" x14ac:dyDescent="0.4">
      <c r="A5028" s="103"/>
      <c r="B5028" s="103"/>
      <c r="C5028" s="103"/>
      <c r="D5028" s="103"/>
      <c r="E5028" s="103"/>
      <c r="F5028" s="103"/>
      <c r="G5028" s="103"/>
      <c r="H5028" s="103"/>
      <c r="I5028" s="103"/>
      <c r="J5028" s="103"/>
      <c r="K5028" s="103"/>
      <c r="L5028" s="103"/>
      <c r="M5028" s="104"/>
      <c r="N5028" s="103"/>
    </row>
    <row r="5029" spans="1:14" ht="45" customHeight="1" thickBot="1" x14ac:dyDescent="0.4">
      <c r="A5029" s="103"/>
      <c r="B5029" s="103"/>
      <c r="C5029" s="103"/>
      <c r="D5029" s="103"/>
      <c r="E5029" s="103"/>
      <c r="F5029" s="103"/>
      <c r="G5029" s="103"/>
      <c r="H5029" s="103"/>
      <c r="I5029" s="103"/>
      <c r="J5029" s="103"/>
      <c r="K5029" s="103"/>
      <c r="L5029" s="103"/>
      <c r="M5029" s="104"/>
      <c r="N5029" s="103"/>
    </row>
    <row r="5030" spans="1:14" ht="45" customHeight="1" thickBot="1" x14ac:dyDescent="0.4">
      <c r="A5030" s="103"/>
      <c r="B5030" s="103"/>
      <c r="C5030" s="103"/>
      <c r="D5030" s="103"/>
      <c r="E5030" s="103"/>
      <c r="F5030" s="103"/>
      <c r="G5030" s="103"/>
      <c r="H5030" s="103"/>
      <c r="I5030" s="103"/>
      <c r="J5030" s="103"/>
      <c r="K5030" s="103"/>
      <c r="L5030" s="103"/>
      <c r="M5030" s="104"/>
      <c r="N5030" s="103"/>
    </row>
    <row r="5031" spans="1:14" ht="45" customHeight="1" thickBot="1" x14ac:dyDescent="0.4">
      <c r="A5031" s="103"/>
      <c r="B5031" s="103"/>
      <c r="C5031" s="103"/>
      <c r="D5031" s="103"/>
      <c r="E5031" s="103"/>
      <c r="F5031" s="103"/>
      <c r="G5031" s="103"/>
      <c r="H5031" s="103"/>
      <c r="I5031" s="103"/>
      <c r="J5031" s="103"/>
      <c r="K5031" s="103"/>
      <c r="L5031" s="103"/>
      <c r="M5031" s="104"/>
      <c r="N5031" s="103"/>
    </row>
    <row r="5032" spans="1:14" ht="45" customHeight="1" thickBot="1" x14ac:dyDescent="0.4">
      <c r="A5032" s="103"/>
      <c r="B5032" s="103"/>
      <c r="C5032" s="103"/>
      <c r="D5032" s="103"/>
      <c r="E5032" s="103"/>
      <c r="F5032" s="103"/>
      <c r="G5032" s="103"/>
      <c r="H5032" s="103"/>
      <c r="I5032" s="103"/>
      <c r="J5032" s="103"/>
      <c r="K5032" s="103"/>
      <c r="L5032" s="103"/>
      <c r="M5032" s="104"/>
      <c r="N5032" s="103"/>
    </row>
    <row r="5033" spans="1:14" ht="45" customHeight="1" thickBot="1" x14ac:dyDescent="0.4">
      <c r="A5033" s="103"/>
      <c r="B5033" s="103"/>
      <c r="C5033" s="103"/>
      <c r="D5033" s="103"/>
      <c r="E5033" s="103"/>
      <c r="F5033" s="103"/>
      <c r="G5033" s="103"/>
      <c r="H5033" s="103"/>
      <c r="I5033" s="103"/>
      <c r="J5033" s="103"/>
      <c r="K5033" s="103"/>
      <c r="L5033" s="103"/>
      <c r="M5033" s="104"/>
      <c r="N5033" s="103"/>
    </row>
    <row r="5034" spans="1:14" ht="45" customHeight="1" thickBot="1" x14ac:dyDescent="0.4">
      <c r="A5034" s="103"/>
      <c r="B5034" s="103"/>
      <c r="C5034" s="103"/>
      <c r="D5034" s="103"/>
      <c r="E5034" s="103"/>
      <c r="F5034" s="103"/>
      <c r="G5034" s="103"/>
      <c r="H5034" s="103"/>
      <c r="I5034" s="103"/>
      <c r="J5034" s="103"/>
      <c r="K5034" s="103"/>
      <c r="L5034" s="103"/>
      <c r="M5034" s="104"/>
      <c r="N5034" s="103"/>
    </row>
    <row r="5035" spans="1:14" ht="45" customHeight="1" thickBot="1" x14ac:dyDescent="0.4">
      <c r="A5035" s="103"/>
      <c r="B5035" s="103"/>
      <c r="C5035" s="103"/>
      <c r="D5035" s="103"/>
      <c r="E5035" s="103"/>
      <c r="F5035" s="103"/>
      <c r="G5035" s="103"/>
      <c r="H5035" s="103"/>
      <c r="I5035" s="103"/>
      <c r="J5035" s="103"/>
      <c r="K5035" s="103"/>
      <c r="L5035" s="103"/>
      <c r="M5035" s="104"/>
      <c r="N5035" s="103"/>
    </row>
    <row r="5036" spans="1:14" ht="45" customHeight="1" thickBot="1" x14ac:dyDescent="0.4">
      <c r="A5036" s="103"/>
      <c r="B5036" s="103"/>
      <c r="C5036" s="103"/>
      <c r="D5036" s="103"/>
      <c r="E5036" s="103"/>
      <c r="F5036" s="103"/>
      <c r="G5036" s="103"/>
      <c r="H5036" s="103"/>
      <c r="I5036" s="103"/>
      <c r="J5036" s="103"/>
      <c r="K5036" s="103"/>
      <c r="L5036" s="103"/>
      <c r="M5036" s="104"/>
      <c r="N5036" s="103"/>
    </row>
    <row r="5037" spans="1:14" ht="45" customHeight="1" thickBot="1" x14ac:dyDescent="0.4">
      <c r="A5037" s="103"/>
      <c r="B5037" s="103"/>
      <c r="C5037" s="103"/>
      <c r="D5037" s="103"/>
      <c r="E5037" s="103"/>
      <c r="F5037" s="103"/>
      <c r="G5037" s="103"/>
      <c r="H5037" s="103"/>
      <c r="I5037" s="103"/>
      <c r="J5037" s="103"/>
      <c r="K5037" s="103"/>
      <c r="L5037" s="103"/>
      <c r="M5037" s="104"/>
      <c r="N5037" s="103"/>
    </row>
    <row r="5038" spans="1:14" ht="45" customHeight="1" thickBot="1" x14ac:dyDescent="0.4">
      <c r="A5038" s="103"/>
      <c r="B5038" s="103"/>
      <c r="C5038" s="103"/>
      <c r="D5038" s="103"/>
      <c r="E5038" s="103"/>
      <c r="F5038" s="103"/>
      <c r="G5038" s="103"/>
      <c r="H5038" s="103"/>
      <c r="I5038" s="103"/>
      <c r="J5038" s="103"/>
      <c r="K5038" s="103"/>
      <c r="L5038" s="103"/>
      <c r="M5038" s="104"/>
      <c r="N5038" s="103"/>
    </row>
    <row r="5039" spans="1:14" ht="45" customHeight="1" thickBot="1" x14ac:dyDescent="0.4">
      <c r="A5039" s="103"/>
      <c r="B5039" s="103"/>
      <c r="C5039" s="103"/>
      <c r="D5039" s="103"/>
      <c r="E5039" s="103"/>
      <c r="F5039" s="103"/>
      <c r="G5039" s="103"/>
      <c r="H5039" s="103"/>
      <c r="I5039" s="103"/>
      <c r="J5039" s="103"/>
      <c r="K5039" s="103"/>
      <c r="L5039" s="103"/>
      <c r="M5039" s="104"/>
      <c r="N5039" s="103"/>
    </row>
    <row r="5040" spans="1:14" ht="45" customHeight="1" thickBot="1" x14ac:dyDescent="0.4">
      <c r="A5040" s="103"/>
      <c r="B5040" s="103"/>
      <c r="C5040" s="103"/>
      <c r="D5040" s="103"/>
      <c r="E5040" s="103"/>
      <c r="F5040" s="103"/>
      <c r="G5040" s="103"/>
      <c r="H5040" s="103"/>
      <c r="I5040" s="103"/>
      <c r="J5040" s="103"/>
      <c r="K5040" s="103"/>
      <c r="L5040" s="103"/>
      <c r="M5040" s="104"/>
      <c r="N5040" s="103"/>
    </row>
    <row r="5041" spans="1:14" ht="45" customHeight="1" thickBot="1" x14ac:dyDescent="0.4">
      <c r="A5041" s="103"/>
      <c r="B5041" s="103"/>
      <c r="C5041" s="103"/>
      <c r="D5041" s="103"/>
      <c r="E5041" s="103"/>
      <c r="F5041" s="103"/>
      <c r="G5041" s="103"/>
      <c r="H5041" s="103"/>
      <c r="I5041" s="103"/>
      <c r="J5041" s="103"/>
      <c r="K5041" s="103"/>
      <c r="L5041" s="103"/>
      <c r="M5041" s="104"/>
      <c r="N5041" s="103"/>
    </row>
    <row r="5042" spans="1:14" ht="45" customHeight="1" thickBot="1" x14ac:dyDescent="0.4">
      <c r="A5042" s="103"/>
      <c r="B5042" s="103"/>
      <c r="C5042" s="103"/>
      <c r="D5042" s="103"/>
      <c r="E5042" s="103"/>
      <c r="F5042" s="103"/>
      <c r="G5042" s="103"/>
      <c r="H5042" s="103"/>
      <c r="I5042" s="103"/>
      <c r="J5042" s="103"/>
      <c r="K5042" s="103"/>
      <c r="L5042" s="103"/>
      <c r="M5042" s="104"/>
      <c r="N5042" s="103"/>
    </row>
    <row r="5043" spans="1:14" ht="45" customHeight="1" thickBot="1" x14ac:dyDescent="0.4">
      <c r="A5043" s="103"/>
      <c r="B5043" s="103"/>
      <c r="C5043" s="103"/>
      <c r="D5043" s="103"/>
      <c r="E5043" s="103"/>
      <c r="F5043" s="103"/>
      <c r="G5043" s="103"/>
      <c r="H5043" s="103"/>
      <c r="I5043" s="103"/>
      <c r="J5043" s="103"/>
      <c r="K5043" s="103"/>
      <c r="L5043" s="103"/>
      <c r="M5043" s="104"/>
      <c r="N5043" s="103"/>
    </row>
    <row r="5044" spans="1:14" ht="45" customHeight="1" thickBot="1" x14ac:dyDescent="0.4">
      <c r="A5044" s="103"/>
      <c r="B5044" s="103"/>
      <c r="C5044" s="103"/>
      <c r="D5044" s="103"/>
      <c r="E5044" s="103"/>
      <c r="F5044" s="103"/>
      <c r="G5044" s="103"/>
      <c r="H5044" s="103"/>
      <c r="I5044" s="103"/>
      <c r="J5044" s="103"/>
      <c r="K5044" s="103"/>
      <c r="L5044" s="103"/>
      <c r="M5044" s="104"/>
      <c r="N5044" s="103"/>
    </row>
    <row r="5045" spans="1:14" ht="45" customHeight="1" thickBot="1" x14ac:dyDescent="0.4">
      <c r="A5045" s="103"/>
      <c r="B5045" s="103"/>
      <c r="C5045" s="103"/>
      <c r="D5045" s="103"/>
      <c r="E5045" s="103"/>
      <c r="F5045" s="103"/>
      <c r="G5045" s="103"/>
      <c r="H5045" s="103"/>
      <c r="I5045" s="103"/>
      <c r="J5045" s="103"/>
      <c r="K5045" s="103"/>
      <c r="L5045" s="103"/>
      <c r="M5045" s="104"/>
      <c r="N5045" s="103"/>
    </row>
    <row r="5046" spans="1:14" ht="45" customHeight="1" thickBot="1" x14ac:dyDescent="0.4">
      <c r="A5046" s="103"/>
      <c r="B5046" s="103"/>
      <c r="C5046" s="103"/>
      <c r="D5046" s="103"/>
      <c r="E5046" s="103"/>
      <c r="F5046" s="103"/>
      <c r="G5046" s="103"/>
      <c r="H5046" s="103"/>
      <c r="I5046" s="103"/>
      <c r="J5046" s="103"/>
      <c r="K5046" s="103"/>
      <c r="L5046" s="103"/>
      <c r="M5046" s="104"/>
      <c r="N5046" s="103"/>
    </row>
    <row r="5047" spans="1:14" ht="45" customHeight="1" thickBot="1" x14ac:dyDescent="0.4">
      <c r="A5047" s="103"/>
      <c r="B5047" s="103"/>
      <c r="C5047" s="103"/>
      <c r="D5047" s="103"/>
      <c r="E5047" s="103"/>
      <c r="F5047" s="103"/>
      <c r="G5047" s="103"/>
      <c r="H5047" s="103"/>
      <c r="I5047" s="103"/>
      <c r="J5047" s="103"/>
      <c r="K5047" s="103"/>
      <c r="L5047" s="103"/>
      <c r="M5047" s="104"/>
      <c r="N5047" s="103"/>
    </row>
    <row r="5048" spans="1:14" ht="45" customHeight="1" thickBot="1" x14ac:dyDescent="0.4">
      <c r="A5048" s="103"/>
      <c r="B5048" s="103"/>
      <c r="C5048" s="103"/>
      <c r="D5048" s="103"/>
      <c r="E5048" s="103"/>
      <c r="F5048" s="103"/>
      <c r="G5048" s="103"/>
      <c r="H5048" s="103"/>
      <c r="I5048" s="103"/>
      <c r="J5048" s="103"/>
      <c r="K5048" s="103"/>
      <c r="L5048" s="103"/>
      <c r="M5048" s="104"/>
      <c r="N5048" s="103"/>
    </row>
    <row r="5049" spans="1:14" ht="45" customHeight="1" thickBot="1" x14ac:dyDescent="0.4">
      <c r="A5049" s="103"/>
      <c r="B5049" s="103"/>
      <c r="C5049" s="103"/>
      <c r="D5049" s="103"/>
      <c r="E5049" s="103"/>
      <c r="F5049" s="103"/>
      <c r="G5049" s="103"/>
      <c r="H5049" s="103"/>
      <c r="I5049" s="103"/>
      <c r="J5049" s="103"/>
      <c r="K5049" s="103"/>
      <c r="L5049" s="103"/>
      <c r="M5049" s="104"/>
      <c r="N5049" s="103"/>
    </row>
    <row r="5050" spans="1:14" ht="45" customHeight="1" thickBot="1" x14ac:dyDescent="0.4">
      <c r="A5050" s="103"/>
      <c r="B5050" s="103"/>
      <c r="C5050" s="103"/>
      <c r="D5050" s="103"/>
      <c r="E5050" s="103"/>
      <c r="F5050" s="103"/>
      <c r="G5050" s="103"/>
      <c r="H5050" s="103"/>
      <c r="I5050" s="103"/>
      <c r="J5050" s="103"/>
      <c r="K5050" s="103"/>
      <c r="L5050" s="103"/>
      <c r="M5050" s="104"/>
      <c r="N5050" s="103"/>
    </row>
    <row r="5051" spans="1:14" ht="45" customHeight="1" thickBot="1" x14ac:dyDescent="0.4">
      <c r="A5051" s="103"/>
      <c r="B5051" s="103"/>
      <c r="C5051" s="103"/>
      <c r="D5051" s="103"/>
      <c r="E5051" s="103"/>
      <c r="F5051" s="103"/>
      <c r="G5051" s="103"/>
      <c r="H5051" s="103"/>
      <c r="I5051" s="103"/>
      <c r="J5051" s="103"/>
      <c r="K5051" s="103"/>
      <c r="L5051" s="103"/>
      <c r="M5051" s="104"/>
      <c r="N5051" s="103"/>
    </row>
    <row r="5052" spans="1:14" ht="45" customHeight="1" thickBot="1" x14ac:dyDescent="0.4">
      <c r="A5052" s="103"/>
      <c r="B5052" s="103"/>
      <c r="C5052" s="103"/>
      <c r="D5052" s="103"/>
      <c r="E5052" s="103"/>
      <c r="F5052" s="103"/>
      <c r="G5052" s="103"/>
      <c r="H5052" s="103"/>
      <c r="I5052" s="103"/>
      <c r="J5052" s="103"/>
      <c r="K5052" s="103"/>
      <c r="L5052" s="103"/>
      <c r="M5052" s="104"/>
      <c r="N5052" s="103"/>
    </row>
    <row r="5053" spans="1:14" ht="45" customHeight="1" thickBot="1" x14ac:dyDescent="0.4">
      <c r="A5053" s="103"/>
      <c r="B5053" s="103"/>
      <c r="C5053" s="103"/>
      <c r="D5053" s="103"/>
      <c r="E5053" s="103"/>
      <c r="F5053" s="103"/>
      <c r="G5053" s="103"/>
      <c r="H5053" s="103"/>
      <c r="I5053" s="103"/>
      <c r="J5053" s="103"/>
      <c r="K5053" s="103"/>
      <c r="L5053" s="103"/>
      <c r="M5053" s="104"/>
      <c r="N5053" s="103"/>
    </row>
    <row r="5054" spans="1:14" ht="45" customHeight="1" thickBot="1" x14ac:dyDescent="0.4">
      <c r="A5054" s="103"/>
      <c r="B5054" s="103"/>
      <c r="C5054" s="103"/>
      <c r="D5054" s="103"/>
      <c r="E5054" s="103"/>
      <c r="F5054" s="103"/>
      <c r="G5054" s="103"/>
      <c r="H5054" s="103"/>
      <c r="I5054" s="103"/>
      <c r="J5054" s="103"/>
      <c r="K5054" s="103"/>
      <c r="L5054" s="103"/>
      <c r="M5054" s="104"/>
      <c r="N5054" s="103"/>
    </row>
    <row r="5055" spans="1:14" ht="45" customHeight="1" thickBot="1" x14ac:dyDescent="0.4">
      <c r="A5055" s="103"/>
      <c r="B5055" s="103"/>
      <c r="C5055" s="103"/>
      <c r="D5055" s="103"/>
      <c r="E5055" s="103"/>
      <c r="F5055" s="103"/>
      <c r="G5055" s="103"/>
      <c r="H5055" s="103"/>
      <c r="I5055" s="103"/>
      <c r="J5055" s="103"/>
      <c r="K5055" s="103"/>
      <c r="L5055" s="103"/>
      <c r="M5055" s="104"/>
      <c r="N5055" s="103"/>
    </row>
    <row r="5056" spans="1:14" ht="45" customHeight="1" thickBot="1" x14ac:dyDescent="0.4">
      <c r="A5056" s="103"/>
      <c r="B5056" s="103"/>
      <c r="C5056" s="103"/>
      <c r="D5056" s="103"/>
      <c r="E5056" s="103"/>
      <c r="F5056" s="103"/>
      <c r="G5056" s="103"/>
      <c r="H5056" s="103"/>
      <c r="I5056" s="103"/>
      <c r="J5056" s="103"/>
      <c r="K5056" s="103"/>
      <c r="L5056" s="103"/>
      <c r="M5056" s="104"/>
      <c r="N5056" s="103"/>
    </row>
    <row r="5057" spans="1:14" ht="45" customHeight="1" thickBot="1" x14ac:dyDescent="0.4">
      <c r="A5057" s="103"/>
      <c r="B5057" s="103"/>
      <c r="C5057" s="103"/>
      <c r="D5057" s="103"/>
      <c r="E5057" s="103"/>
      <c r="F5057" s="103"/>
      <c r="G5057" s="103"/>
      <c r="H5057" s="103"/>
      <c r="I5057" s="103"/>
      <c r="J5057" s="103"/>
      <c r="K5057" s="103"/>
      <c r="L5057" s="103"/>
      <c r="M5057" s="104"/>
      <c r="N5057" s="103"/>
    </row>
    <row r="5058" spans="1:14" ht="45" customHeight="1" thickBot="1" x14ac:dyDescent="0.4">
      <c r="A5058" s="103"/>
      <c r="B5058" s="103"/>
      <c r="C5058" s="103"/>
      <c r="D5058" s="103"/>
      <c r="E5058" s="103"/>
      <c r="F5058" s="103"/>
      <c r="G5058" s="103"/>
      <c r="H5058" s="103"/>
      <c r="I5058" s="103"/>
      <c r="J5058" s="103"/>
      <c r="K5058" s="103"/>
      <c r="L5058" s="103"/>
      <c r="M5058" s="104"/>
      <c r="N5058" s="103"/>
    </row>
    <row r="5059" spans="1:14" ht="45" customHeight="1" thickBot="1" x14ac:dyDescent="0.4">
      <c r="A5059" s="103"/>
      <c r="B5059" s="103"/>
      <c r="C5059" s="103"/>
      <c r="D5059" s="103"/>
      <c r="E5059" s="103"/>
      <c r="F5059" s="103"/>
      <c r="G5059" s="103"/>
      <c r="H5059" s="103"/>
      <c r="I5059" s="103"/>
      <c r="J5059" s="103"/>
      <c r="K5059" s="103"/>
      <c r="L5059" s="103"/>
      <c r="M5059" s="104"/>
      <c r="N5059" s="103"/>
    </row>
    <row r="5060" spans="1:14" ht="45" customHeight="1" thickBot="1" x14ac:dyDescent="0.4">
      <c r="A5060" s="103"/>
      <c r="B5060" s="103"/>
      <c r="C5060" s="103"/>
      <c r="D5060" s="103"/>
      <c r="E5060" s="103"/>
      <c r="F5060" s="103"/>
      <c r="G5060" s="103"/>
      <c r="H5060" s="103"/>
      <c r="I5060" s="103"/>
      <c r="J5060" s="103"/>
      <c r="K5060" s="103"/>
      <c r="L5060" s="103"/>
      <c r="M5060" s="104"/>
      <c r="N5060" s="103"/>
    </row>
    <row r="5061" spans="1:14" ht="45" customHeight="1" thickBot="1" x14ac:dyDescent="0.4">
      <c r="A5061" s="103"/>
      <c r="B5061" s="103"/>
      <c r="C5061" s="103"/>
      <c r="D5061" s="103"/>
      <c r="E5061" s="103"/>
      <c r="F5061" s="103"/>
      <c r="G5061" s="103"/>
      <c r="H5061" s="103"/>
      <c r="I5061" s="103"/>
      <c r="J5061" s="103"/>
      <c r="K5061" s="103"/>
      <c r="L5061" s="103"/>
      <c r="M5061" s="104"/>
      <c r="N5061" s="103"/>
    </row>
    <row r="5062" spans="1:14" ht="45" customHeight="1" thickBot="1" x14ac:dyDescent="0.4">
      <c r="A5062" s="103"/>
      <c r="B5062" s="103"/>
      <c r="C5062" s="103"/>
      <c r="D5062" s="103"/>
      <c r="E5062" s="103"/>
      <c r="F5062" s="103"/>
      <c r="G5062" s="103"/>
      <c r="H5062" s="103"/>
      <c r="I5062" s="103"/>
      <c r="J5062" s="103"/>
      <c r="K5062" s="103"/>
      <c r="L5062" s="103"/>
      <c r="M5062" s="104"/>
      <c r="N5062" s="103"/>
    </row>
    <row r="5063" spans="1:14" ht="45" customHeight="1" thickBot="1" x14ac:dyDescent="0.4">
      <c r="A5063" s="103"/>
      <c r="B5063" s="103"/>
      <c r="C5063" s="103"/>
      <c r="D5063" s="103"/>
      <c r="E5063" s="103"/>
      <c r="F5063" s="103"/>
      <c r="G5063" s="103"/>
      <c r="H5063" s="103"/>
      <c r="I5063" s="103"/>
      <c r="J5063" s="103"/>
      <c r="K5063" s="103"/>
      <c r="L5063" s="103"/>
      <c r="M5063" s="104"/>
      <c r="N5063" s="103"/>
    </row>
    <row r="5064" spans="1:14" ht="45" customHeight="1" thickBot="1" x14ac:dyDescent="0.4">
      <c r="A5064" s="103"/>
      <c r="B5064" s="103"/>
      <c r="C5064" s="103"/>
      <c r="D5064" s="103"/>
      <c r="E5064" s="103"/>
      <c r="F5064" s="103"/>
      <c r="G5064" s="103"/>
      <c r="H5064" s="103"/>
      <c r="I5064" s="103"/>
      <c r="J5064" s="103"/>
      <c r="K5064" s="103"/>
      <c r="L5064" s="103"/>
      <c r="M5064" s="104"/>
      <c r="N5064" s="103"/>
    </row>
    <row r="5065" spans="1:14" ht="45" customHeight="1" thickBot="1" x14ac:dyDescent="0.4">
      <c r="A5065" s="103"/>
      <c r="B5065" s="103"/>
      <c r="C5065" s="103"/>
      <c r="D5065" s="103"/>
      <c r="E5065" s="103"/>
      <c r="F5065" s="103"/>
      <c r="G5065" s="103"/>
      <c r="H5065" s="103"/>
      <c r="I5065" s="103"/>
      <c r="J5065" s="103"/>
      <c r="K5065" s="103"/>
      <c r="L5065" s="103"/>
      <c r="M5065" s="104"/>
      <c r="N5065" s="103"/>
    </row>
    <row r="5066" spans="1:14" ht="45" customHeight="1" thickBot="1" x14ac:dyDescent="0.4">
      <c r="A5066" s="103"/>
      <c r="B5066" s="103"/>
      <c r="C5066" s="103"/>
      <c r="D5066" s="103"/>
      <c r="E5066" s="103"/>
      <c r="F5066" s="103"/>
      <c r="G5066" s="103"/>
      <c r="H5066" s="103"/>
      <c r="I5066" s="103"/>
      <c r="J5066" s="103"/>
      <c r="K5066" s="103"/>
      <c r="L5066" s="103"/>
      <c r="M5066" s="104"/>
      <c r="N5066" s="103"/>
    </row>
    <row r="5067" spans="1:14" ht="45" customHeight="1" thickBot="1" x14ac:dyDescent="0.4">
      <c r="A5067" s="103"/>
      <c r="B5067" s="103"/>
      <c r="C5067" s="103"/>
      <c r="D5067" s="103"/>
      <c r="E5067" s="103"/>
      <c r="F5067" s="103"/>
      <c r="G5067" s="103"/>
      <c r="H5067" s="103"/>
      <c r="I5067" s="103"/>
      <c r="J5067" s="103"/>
      <c r="K5067" s="103"/>
      <c r="L5067" s="103"/>
      <c r="M5067" s="104"/>
      <c r="N5067" s="103"/>
    </row>
    <row r="5068" spans="1:14" ht="45" customHeight="1" thickBot="1" x14ac:dyDescent="0.4">
      <c r="A5068" s="103"/>
      <c r="B5068" s="103"/>
      <c r="C5068" s="103"/>
      <c r="D5068" s="103"/>
      <c r="E5068" s="103"/>
      <c r="F5068" s="103"/>
      <c r="G5068" s="103"/>
      <c r="H5068" s="103"/>
      <c r="I5068" s="103"/>
      <c r="J5068" s="103"/>
      <c r="K5068" s="103"/>
      <c r="L5068" s="103"/>
      <c r="M5068" s="104"/>
      <c r="N5068" s="103"/>
    </row>
    <row r="5069" spans="1:14" ht="45" customHeight="1" thickBot="1" x14ac:dyDescent="0.4">
      <c r="A5069" s="103"/>
      <c r="B5069" s="103"/>
      <c r="C5069" s="103"/>
      <c r="D5069" s="103"/>
      <c r="E5069" s="103"/>
      <c r="F5069" s="103"/>
      <c r="G5069" s="103"/>
      <c r="H5069" s="103"/>
      <c r="I5069" s="103"/>
      <c r="J5069" s="103"/>
      <c r="K5069" s="103"/>
      <c r="L5069" s="103"/>
      <c r="M5069" s="104"/>
      <c r="N5069" s="103"/>
    </row>
    <row r="5070" spans="1:14" ht="45" customHeight="1" thickBot="1" x14ac:dyDescent="0.4">
      <c r="A5070" s="103"/>
      <c r="B5070" s="103"/>
      <c r="C5070" s="103"/>
      <c r="D5070" s="103"/>
      <c r="E5070" s="103"/>
      <c r="F5070" s="103"/>
      <c r="G5070" s="103"/>
      <c r="H5070" s="103"/>
      <c r="I5070" s="103"/>
      <c r="J5070" s="103"/>
      <c r="K5070" s="103"/>
      <c r="L5070" s="103"/>
      <c r="M5070" s="104"/>
      <c r="N5070" s="103"/>
    </row>
    <row r="5071" spans="1:14" ht="45" customHeight="1" thickBot="1" x14ac:dyDescent="0.4">
      <c r="A5071" s="103"/>
      <c r="B5071" s="103"/>
      <c r="C5071" s="103"/>
      <c r="D5071" s="103"/>
      <c r="E5071" s="103"/>
      <c r="F5071" s="103"/>
      <c r="G5071" s="103"/>
      <c r="H5071" s="103"/>
      <c r="I5071" s="103"/>
      <c r="J5071" s="103"/>
      <c r="K5071" s="103"/>
      <c r="L5071" s="103"/>
      <c r="M5071" s="104"/>
      <c r="N5071" s="103"/>
    </row>
    <row r="5072" spans="1:14" ht="45" customHeight="1" thickBot="1" x14ac:dyDescent="0.4">
      <c r="A5072" s="103"/>
      <c r="B5072" s="103"/>
      <c r="C5072" s="103"/>
      <c r="D5072" s="103"/>
      <c r="E5072" s="103"/>
      <c r="F5072" s="103"/>
      <c r="G5072" s="103"/>
      <c r="H5072" s="103"/>
      <c r="I5072" s="103"/>
      <c r="J5072" s="103"/>
      <c r="K5072" s="103"/>
      <c r="L5072" s="103"/>
      <c r="M5072" s="104"/>
      <c r="N5072" s="103"/>
    </row>
    <row r="5073" spans="1:14" ht="45" customHeight="1" thickBot="1" x14ac:dyDescent="0.4">
      <c r="A5073" s="103"/>
      <c r="B5073" s="103"/>
      <c r="C5073" s="103"/>
      <c r="D5073" s="103"/>
      <c r="E5073" s="103"/>
      <c r="F5073" s="103"/>
      <c r="G5073" s="103"/>
      <c r="H5073" s="103"/>
      <c r="I5073" s="103"/>
      <c r="J5073" s="103"/>
      <c r="K5073" s="103"/>
      <c r="L5073" s="103"/>
      <c r="M5073" s="104"/>
      <c r="N5073" s="103"/>
    </row>
    <row r="5074" spans="1:14" ht="45" customHeight="1" thickBot="1" x14ac:dyDescent="0.4">
      <c r="A5074" s="103"/>
      <c r="B5074" s="103"/>
      <c r="C5074" s="103"/>
      <c r="D5074" s="103"/>
      <c r="E5074" s="103"/>
      <c r="F5074" s="103"/>
      <c r="G5074" s="103"/>
      <c r="H5074" s="103"/>
      <c r="I5074" s="103"/>
      <c r="J5074" s="103"/>
      <c r="K5074" s="103"/>
      <c r="L5074" s="103"/>
      <c r="M5074" s="104"/>
      <c r="N5074" s="103"/>
    </row>
    <row r="5075" spans="1:14" ht="45" customHeight="1" thickBot="1" x14ac:dyDescent="0.4">
      <c r="A5075" s="103"/>
      <c r="B5075" s="103"/>
      <c r="C5075" s="103"/>
      <c r="D5075" s="103"/>
      <c r="E5075" s="103"/>
      <c r="F5075" s="103"/>
      <c r="G5075" s="103"/>
      <c r="H5075" s="103"/>
      <c r="I5075" s="103"/>
      <c r="J5075" s="103"/>
      <c r="K5075" s="103"/>
      <c r="L5075" s="103"/>
      <c r="M5075" s="104"/>
      <c r="N5075" s="103"/>
    </row>
    <row r="5076" spans="1:14" ht="45" customHeight="1" thickBot="1" x14ac:dyDescent="0.4">
      <c r="A5076" s="103"/>
      <c r="B5076" s="103"/>
      <c r="C5076" s="103"/>
      <c r="D5076" s="103"/>
      <c r="E5076" s="103"/>
      <c r="F5076" s="103"/>
      <c r="G5076" s="103"/>
      <c r="H5076" s="103"/>
      <c r="I5076" s="103"/>
      <c r="J5076" s="103"/>
      <c r="K5076" s="103"/>
      <c r="L5076" s="103"/>
      <c r="M5076" s="104"/>
      <c r="N5076" s="103"/>
    </row>
    <row r="5077" spans="1:14" ht="45" customHeight="1" thickBot="1" x14ac:dyDescent="0.4">
      <c r="A5077" s="103"/>
      <c r="B5077" s="103"/>
      <c r="C5077" s="103"/>
      <c r="D5077" s="103"/>
      <c r="E5077" s="103"/>
      <c r="F5077" s="103"/>
      <c r="G5077" s="103"/>
      <c r="H5077" s="103"/>
      <c r="I5077" s="103"/>
      <c r="J5077" s="103"/>
      <c r="K5077" s="103"/>
      <c r="L5077" s="103"/>
      <c r="M5077" s="104"/>
      <c r="N5077" s="103"/>
    </row>
    <row r="5078" spans="1:14" ht="45" customHeight="1" thickBot="1" x14ac:dyDescent="0.4">
      <c r="A5078" s="103"/>
      <c r="B5078" s="103"/>
      <c r="C5078" s="103"/>
      <c r="D5078" s="103"/>
      <c r="E5078" s="103"/>
      <c r="F5078" s="103"/>
      <c r="G5078" s="103"/>
      <c r="H5078" s="103"/>
      <c r="I5078" s="103"/>
      <c r="J5078" s="103"/>
      <c r="K5078" s="103"/>
      <c r="L5078" s="103"/>
      <c r="M5078" s="104"/>
      <c r="N5078" s="103"/>
    </row>
    <row r="5079" spans="1:14" ht="45" customHeight="1" thickBot="1" x14ac:dyDescent="0.4">
      <c r="A5079" s="103"/>
      <c r="B5079" s="103"/>
      <c r="C5079" s="103"/>
      <c r="D5079" s="103"/>
      <c r="E5079" s="103"/>
      <c r="F5079" s="103"/>
      <c r="G5079" s="103"/>
      <c r="H5079" s="103"/>
      <c r="I5079" s="103"/>
      <c r="J5079" s="103"/>
      <c r="K5079" s="103"/>
      <c r="L5079" s="103"/>
      <c r="M5079" s="104"/>
      <c r="N5079" s="103"/>
    </row>
    <row r="5080" spans="1:14" ht="45" customHeight="1" thickBot="1" x14ac:dyDescent="0.4">
      <c r="A5080" s="103"/>
      <c r="B5080" s="103"/>
      <c r="C5080" s="103"/>
      <c r="D5080" s="103"/>
      <c r="E5080" s="103"/>
      <c r="F5080" s="103"/>
      <c r="G5080" s="103"/>
      <c r="H5080" s="103"/>
      <c r="I5080" s="103"/>
      <c r="J5080" s="103"/>
      <c r="K5080" s="103"/>
      <c r="L5080" s="103"/>
      <c r="M5080" s="104"/>
      <c r="N5080" s="103"/>
    </row>
    <row r="5081" spans="1:14" ht="45" customHeight="1" thickBot="1" x14ac:dyDescent="0.4">
      <c r="A5081" s="103"/>
      <c r="B5081" s="103"/>
      <c r="C5081" s="103"/>
      <c r="D5081" s="103"/>
      <c r="E5081" s="103"/>
      <c r="F5081" s="103"/>
      <c r="G5081" s="103"/>
      <c r="H5081" s="103"/>
      <c r="I5081" s="103"/>
      <c r="J5081" s="103"/>
      <c r="K5081" s="103"/>
      <c r="L5081" s="103"/>
      <c r="M5081" s="104"/>
      <c r="N5081" s="103"/>
    </row>
    <row r="5082" spans="1:14" ht="45" customHeight="1" thickBot="1" x14ac:dyDescent="0.4">
      <c r="A5082" s="103"/>
      <c r="B5082" s="103"/>
      <c r="C5082" s="103"/>
      <c r="D5082" s="103"/>
      <c r="E5082" s="103"/>
      <c r="F5082" s="103"/>
      <c r="G5082" s="103"/>
      <c r="H5082" s="103"/>
      <c r="I5082" s="103"/>
      <c r="J5082" s="103"/>
      <c r="K5082" s="103"/>
      <c r="L5082" s="103"/>
      <c r="M5082" s="104"/>
      <c r="N5082" s="103"/>
    </row>
    <row r="5083" spans="1:14" ht="45" customHeight="1" thickBot="1" x14ac:dyDescent="0.4">
      <c r="A5083" s="103"/>
      <c r="B5083" s="103"/>
      <c r="C5083" s="103"/>
      <c r="D5083" s="103"/>
      <c r="E5083" s="103"/>
      <c r="F5083" s="103"/>
      <c r="G5083" s="103"/>
      <c r="H5083" s="103"/>
      <c r="I5083" s="103"/>
      <c r="J5083" s="103"/>
      <c r="K5083" s="103"/>
      <c r="L5083" s="103"/>
      <c r="M5083" s="104"/>
      <c r="N5083" s="103"/>
    </row>
    <row r="5084" spans="1:14" ht="45" customHeight="1" thickBot="1" x14ac:dyDescent="0.4">
      <c r="A5084" s="103"/>
      <c r="B5084" s="103"/>
      <c r="C5084" s="103"/>
      <c r="D5084" s="103"/>
      <c r="E5084" s="103"/>
      <c r="F5084" s="103"/>
      <c r="G5084" s="103"/>
      <c r="H5084" s="103"/>
      <c r="I5084" s="103"/>
      <c r="J5084" s="103"/>
      <c r="K5084" s="103"/>
      <c r="L5084" s="103"/>
      <c r="M5084" s="104"/>
      <c r="N5084" s="103"/>
    </row>
    <row r="5085" spans="1:14" ht="45" customHeight="1" thickBot="1" x14ac:dyDescent="0.4">
      <c r="A5085" s="103"/>
      <c r="B5085" s="103"/>
      <c r="C5085" s="103"/>
      <c r="D5085" s="103"/>
      <c r="E5085" s="103"/>
      <c r="F5085" s="103"/>
      <c r="G5085" s="103"/>
      <c r="H5085" s="103"/>
      <c r="I5085" s="103"/>
      <c r="J5085" s="103"/>
      <c r="K5085" s="103"/>
      <c r="L5085" s="103"/>
      <c r="M5085" s="104"/>
      <c r="N5085" s="103"/>
    </row>
    <row r="5086" spans="1:14" ht="45" customHeight="1" thickBot="1" x14ac:dyDescent="0.4">
      <c r="A5086" s="103"/>
      <c r="B5086" s="103"/>
      <c r="C5086" s="103"/>
      <c r="D5086" s="103"/>
      <c r="E5086" s="103"/>
      <c r="F5086" s="103"/>
      <c r="G5086" s="103"/>
      <c r="H5086" s="103"/>
      <c r="I5086" s="103"/>
      <c r="J5086" s="103"/>
      <c r="K5086" s="103"/>
      <c r="L5086" s="103"/>
      <c r="M5086" s="104"/>
      <c r="N5086" s="103"/>
    </row>
    <row r="5087" spans="1:14" ht="45" customHeight="1" thickBot="1" x14ac:dyDescent="0.4">
      <c r="A5087" s="103"/>
      <c r="B5087" s="103"/>
      <c r="C5087" s="103"/>
      <c r="D5087" s="103"/>
      <c r="E5087" s="103"/>
      <c r="F5087" s="103"/>
      <c r="G5087" s="103"/>
      <c r="H5087" s="103"/>
      <c r="I5087" s="103"/>
      <c r="J5087" s="103"/>
      <c r="K5087" s="103"/>
      <c r="L5087" s="103"/>
      <c r="M5087" s="104"/>
      <c r="N5087" s="103"/>
    </row>
    <row r="5088" spans="1:14" ht="45" customHeight="1" thickBot="1" x14ac:dyDescent="0.4">
      <c r="A5088" s="103"/>
      <c r="B5088" s="103"/>
      <c r="C5088" s="103"/>
      <c r="D5088" s="103"/>
      <c r="E5088" s="103"/>
      <c r="F5088" s="103"/>
      <c r="G5088" s="103"/>
      <c r="H5088" s="103"/>
      <c r="I5088" s="103"/>
      <c r="J5088" s="103"/>
      <c r="K5088" s="103"/>
      <c r="L5088" s="103"/>
      <c r="M5088" s="104"/>
      <c r="N5088" s="103"/>
    </row>
    <row r="5089" spans="1:14" ht="45" customHeight="1" thickBot="1" x14ac:dyDescent="0.4">
      <c r="A5089" s="103"/>
      <c r="B5089" s="103"/>
      <c r="C5089" s="103"/>
      <c r="D5089" s="103"/>
      <c r="E5089" s="103"/>
      <c r="F5089" s="103"/>
      <c r="G5089" s="103"/>
      <c r="H5089" s="103"/>
      <c r="I5089" s="103"/>
      <c r="J5089" s="103"/>
      <c r="K5089" s="103"/>
      <c r="L5089" s="103"/>
      <c r="M5089" s="104"/>
      <c r="N5089" s="103"/>
    </row>
    <row r="5090" spans="1:14" ht="45" customHeight="1" thickBot="1" x14ac:dyDescent="0.4">
      <c r="A5090" s="103"/>
      <c r="B5090" s="103"/>
      <c r="C5090" s="103"/>
      <c r="D5090" s="103"/>
      <c r="E5090" s="103"/>
      <c r="F5090" s="103"/>
      <c r="G5090" s="103"/>
      <c r="H5090" s="103"/>
      <c r="I5090" s="103"/>
      <c r="J5090" s="103"/>
      <c r="K5090" s="103"/>
      <c r="L5090" s="103"/>
      <c r="M5090" s="104"/>
      <c r="N5090" s="103"/>
    </row>
    <row r="5091" spans="1:14" ht="45" customHeight="1" thickBot="1" x14ac:dyDescent="0.4">
      <c r="A5091" s="103"/>
      <c r="B5091" s="103"/>
      <c r="C5091" s="103"/>
      <c r="D5091" s="103"/>
      <c r="E5091" s="103"/>
      <c r="F5091" s="103"/>
      <c r="G5091" s="103"/>
      <c r="H5091" s="103"/>
      <c r="I5091" s="103"/>
      <c r="J5091" s="103"/>
      <c r="K5091" s="103"/>
      <c r="L5091" s="103"/>
      <c r="M5091" s="104"/>
      <c r="N5091" s="103"/>
    </row>
    <row r="5092" spans="1:14" ht="45" customHeight="1" thickBot="1" x14ac:dyDescent="0.4">
      <c r="A5092" s="103"/>
      <c r="B5092" s="103"/>
      <c r="C5092" s="103"/>
      <c r="D5092" s="103"/>
      <c r="E5092" s="103"/>
      <c r="F5092" s="103"/>
      <c r="G5092" s="103"/>
      <c r="H5092" s="103"/>
      <c r="I5092" s="103"/>
      <c r="J5092" s="103"/>
      <c r="K5092" s="103"/>
      <c r="L5092" s="103"/>
      <c r="M5092" s="104"/>
      <c r="N5092" s="103"/>
    </row>
    <row r="5093" spans="1:14" ht="45" customHeight="1" thickBot="1" x14ac:dyDescent="0.4">
      <c r="A5093" s="103"/>
      <c r="B5093" s="103"/>
      <c r="C5093" s="103"/>
      <c r="D5093" s="103"/>
      <c r="E5093" s="103"/>
      <c r="F5093" s="103"/>
      <c r="G5093" s="103"/>
      <c r="H5093" s="103"/>
      <c r="I5093" s="103"/>
      <c r="J5093" s="103"/>
      <c r="K5093" s="103"/>
      <c r="L5093" s="103"/>
      <c r="M5093" s="104"/>
      <c r="N5093" s="103"/>
    </row>
    <row r="5094" spans="1:14" ht="45" customHeight="1" thickBot="1" x14ac:dyDescent="0.4">
      <c r="A5094" s="103"/>
      <c r="B5094" s="103"/>
      <c r="C5094" s="103"/>
      <c r="D5094" s="103"/>
      <c r="E5094" s="103"/>
      <c r="F5094" s="103"/>
      <c r="G5094" s="103"/>
      <c r="H5094" s="103"/>
      <c r="I5094" s="103"/>
      <c r="J5094" s="103"/>
      <c r="K5094" s="103"/>
      <c r="L5094" s="103"/>
      <c r="M5094" s="104"/>
      <c r="N5094" s="103"/>
    </row>
    <row r="5095" spans="1:14" ht="45" customHeight="1" thickBot="1" x14ac:dyDescent="0.4">
      <c r="A5095" s="103"/>
      <c r="B5095" s="103"/>
      <c r="C5095" s="103"/>
      <c r="D5095" s="103"/>
      <c r="E5095" s="103"/>
      <c r="F5095" s="103"/>
      <c r="G5095" s="103"/>
      <c r="H5095" s="103"/>
      <c r="I5095" s="103"/>
      <c r="J5095" s="103"/>
      <c r="K5095" s="103"/>
      <c r="L5095" s="103"/>
      <c r="M5095" s="104"/>
      <c r="N5095" s="103"/>
    </row>
    <row r="5096" spans="1:14" ht="45" customHeight="1" thickBot="1" x14ac:dyDescent="0.4">
      <c r="A5096" s="103"/>
      <c r="B5096" s="103"/>
      <c r="C5096" s="103"/>
      <c r="D5096" s="103"/>
      <c r="E5096" s="103"/>
      <c r="F5096" s="103"/>
      <c r="G5096" s="103"/>
      <c r="H5096" s="103"/>
      <c r="I5096" s="103"/>
      <c r="J5096" s="103"/>
      <c r="K5096" s="103"/>
      <c r="L5096" s="103"/>
      <c r="M5096" s="104"/>
      <c r="N5096" s="103"/>
    </row>
    <row r="5097" spans="1:14" ht="45" customHeight="1" thickBot="1" x14ac:dyDescent="0.4">
      <c r="A5097" s="103"/>
      <c r="B5097" s="103"/>
      <c r="C5097" s="103"/>
      <c r="D5097" s="103"/>
      <c r="E5097" s="103"/>
      <c r="F5097" s="103"/>
      <c r="G5097" s="103"/>
      <c r="H5097" s="103"/>
      <c r="I5097" s="103"/>
      <c r="J5097" s="103"/>
      <c r="K5097" s="103"/>
      <c r="L5097" s="103"/>
      <c r="M5097" s="104"/>
      <c r="N5097" s="103"/>
    </row>
    <row r="5098" spans="1:14" ht="45" customHeight="1" thickBot="1" x14ac:dyDescent="0.4">
      <c r="A5098" s="103"/>
      <c r="B5098" s="103"/>
      <c r="C5098" s="103"/>
      <c r="D5098" s="103"/>
      <c r="E5098" s="103"/>
      <c r="F5098" s="103"/>
      <c r="G5098" s="103"/>
      <c r="H5098" s="103"/>
      <c r="I5098" s="103"/>
      <c r="J5098" s="103"/>
      <c r="K5098" s="103"/>
      <c r="L5098" s="103"/>
      <c r="M5098" s="104"/>
      <c r="N5098" s="103"/>
    </row>
    <row r="5099" spans="1:14" ht="45" customHeight="1" thickBot="1" x14ac:dyDescent="0.4">
      <c r="A5099" s="103"/>
      <c r="B5099" s="103"/>
      <c r="C5099" s="103"/>
      <c r="D5099" s="103"/>
      <c r="E5099" s="103"/>
      <c r="F5099" s="103"/>
      <c r="G5099" s="103"/>
      <c r="H5099" s="103"/>
      <c r="I5099" s="103"/>
      <c r="J5099" s="103"/>
      <c r="K5099" s="103"/>
      <c r="L5099" s="103"/>
      <c r="M5099" s="104"/>
      <c r="N5099" s="103"/>
    </row>
    <row r="5100" spans="1:14" ht="45" customHeight="1" thickBot="1" x14ac:dyDescent="0.4">
      <c r="A5100" s="103"/>
      <c r="B5100" s="103"/>
      <c r="C5100" s="103"/>
      <c r="D5100" s="103"/>
      <c r="E5100" s="103"/>
      <c r="F5100" s="103"/>
      <c r="G5100" s="103"/>
      <c r="H5100" s="103"/>
      <c r="I5100" s="103"/>
      <c r="J5100" s="103"/>
      <c r="K5100" s="103"/>
      <c r="L5100" s="103"/>
      <c r="M5100" s="104"/>
      <c r="N5100" s="103"/>
    </row>
    <row r="5101" spans="1:14" ht="45" customHeight="1" thickBot="1" x14ac:dyDescent="0.4">
      <c r="A5101" s="103"/>
      <c r="B5101" s="103"/>
      <c r="C5101" s="103"/>
      <c r="D5101" s="103"/>
      <c r="E5101" s="103"/>
      <c r="F5101" s="103"/>
      <c r="G5101" s="103"/>
      <c r="H5101" s="103"/>
      <c r="I5101" s="103"/>
      <c r="J5101" s="103"/>
      <c r="K5101" s="103"/>
      <c r="L5101" s="103"/>
      <c r="M5101" s="104"/>
      <c r="N5101" s="103"/>
    </row>
    <row r="5102" spans="1:14" ht="45" customHeight="1" thickBot="1" x14ac:dyDescent="0.4">
      <c r="A5102" s="103"/>
      <c r="B5102" s="103"/>
      <c r="C5102" s="103"/>
      <c r="D5102" s="103"/>
      <c r="E5102" s="103"/>
      <c r="F5102" s="103"/>
      <c r="G5102" s="103"/>
      <c r="H5102" s="103"/>
      <c r="I5102" s="103"/>
      <c r="J5102" s="103"/>
      <c r="K5102" s="103"/>
      <c r="L5102" s="103"/>
      <c r="M5102" s="104"/>
      <c r="N5102" s="103"/>
    </row>
    <row r="5103" spans="1:14" ht="45" customHeight="1" thickBot="1" x14ac:dyDescent="0.4">
      <c r="A5103" s="103"/>
      <c r="B5103" s="103"/>
      <c r="C5103" s="103"/>
      <c r="D5103" s="103"/>
      <c r="E5103" s="103"/>
      <c r="F5103" s="103"/>
      <c r="G5103" s="103"/>
      <c r="H5103" s="103"/>
      <c r="I5103" s="103"/>
      <c r="J5103" s="103"/>
      <c r="K5103" s="103"/>
      <c r="L5103" s="103"/>
      <c r="M5103" s="104"/>
      <c r="N5103" s="103"/>
    </row>
    <row r="5104" spans="1:14" ht="45" customHeight="1" thickBot="1" x14ac:dyDescent="0.4">
      <c r="A5104" s="103"/>
      <c r="B5104" s="103"/>
      <c r="C5104" s="103"/>
      <c r="D5104" s="103"/>
      <c r="E5104" s="103"/>
      <c r="F5104" s="103"/>
      <c r="G5104" s="103"/>
      <c r="H5104" s="103"/>
      <c r="I5104" s="103"/>
      <c r="J5104" s="103"/>
      <c r="K5104" s="103"/>
      <c r="L5104" s="103"/>
      <c r="M5104" s="104"/>
      <c r="N5104" s="103"/>
    </row>
    <row r="5105" spans="1:14" ht="45" customHeight="1" thickBot="1" x14ac:dyDescent="0.4">
      <c r="A5105" s="103"/>
      <c r="B5105" s="103"/>
      <c r="C5105" s="103"/>
      <c r="D5105" s="103"/>
      <c r="E5105" s="103"/>
      <c r="F5105" s="103"/>
      <c r="G5105" s="103"/>
      <c r="H5105" s="103"/>
      <c r="I5105" s="103"/>
      <c r="J5105" s="103"/>
      <c r="K5105" s="103"/>
      <c r="L5105" s="103"/>
      <c r="M5105" s="104"/>
      <c r="N5105" s="103"/>
    </row>
    <row r="5106" spans="1:14" ht="45" customHeight="1" thickBot="1" x14ac:dyDescent="0.4">
      <c r="A5106" s="103"/>
      <c r="B5106" s="103"/>
      <c r="C5106" s="103"/>
      <c r="D5106" s="103"/>
      <c r="E5106" s="103"/>
      <c r="F5106" s="103"/>
      <c r="G5106" s="103"/>
      <c r="H5106" s="103"/>
      <c r="I5106" s="103"/>
      <c r="J5106" s="103"/>
      <c r="K5106" s="103"/>
      <c r="L5106" s="103"/>
      <c r="M5106" s="104"/>
      <c r="N5106" s="103"/>
    </row>
    <row r="5107" spans="1:14" ht="45" customHeight="1" thickBot="1" x14ac:dyDescent="0.4">
      <c r="A5107" s="103"/>
      <c r="B5107" s="103"/>
      <c r="C5107" s="103"/>
      <c r="D5107" s="103"/>
      <c r="E5107" s="103"/>
      <c r="F5107" s="103"/>
      <c r="G5107" s="103"/>
      <c r="H5107" s="103"/>
      <c r="I5107" s="103"/>
      <c r="J5107" s="103"/>
      <c r="K5107" s="103"/>
      <c r="L5107" s="103"/>
      <c r="M5107" s="104"/>
      <c r="N5107" s="103"/>
    </row>
    <row r="5108" spans="1:14" ht="45" customHeight="1" thickBot="1" x14ac:dyDescent="0.4">
      <c r="A5108" s="103"/>
      <c r="B5108" s="103"/>
      <c r="C5108" s="103"/>
      <c r="D5108" s="103"/>
      <c r="E5108" s="103"/>
      <c r="F5108" s="103"/>
      <c r="G5108" s="103"/>
      <c r="H5108" s="103"/>
      <c r="I5108" s="103"/>
      <c r="J5108" s="103"/>
      <c r="K5108" s="103"/>
      <c r="L5108" s="103"/>
      <c r="M5108" s="104"/>
      <c r="N5108" s="103"/>
    </row>
    <row r="5109" spans="1:14" ht="45" customHeight="1" thickBot="1" x14ac:dyDescent="0.4">
      <c r="A5109" s="103"/>
      <c r="B5109" s="103"/>
      <c r="C5109" s="103"/>
      <c r="D5109" s="103"/>
      <c r="E5109" s="103"/>
      <c r="F5109" s="103"/>
      <c r="G5109" s="103"/>
      <c r="H5109" s="103"/>
      <c r="I5109" s="103"/>
      <c r="J5109" s="103"/>
      <c r="K5109" s="103"/>
      <c r="L5109" s="103"/>
      <c r="M5109" s="104"/>
      <c r="N5109" s="103"/>
    </row>
    <row r="5110" spans="1:14" ht="45" customHeight="1" thickBot="1" x14ac:dyDescent="0.4">
      <c r="A5110" s="103"/>
      <c r="B5110" s="103"/>
      <c r="C5110" s="103"/>
      <c r="D5110" s="103"/>
      <c r="E5110" s="103"/>
      <c r="F5110" s="103"/>
      <c r="G5110" s="103"/>
      <c r="H5110" s="103"/>
      <c r="I5110" s="103"/>
      <c r="J5110" s="103"/>
      <c r="K5110" s="103"/>
      <c r="L5110" s="103"/>
      <c r="M5110" s="104"/>
      <c r="N5110" s="103"/>
    </row>
    <row r="5111" spans="1:14" ht="45" customHeight="1" thickBot="1" x14ac:dyDescent="0.4">
      <c r="A5111" s="103"/>
      <c r="B5111" s="103"/>
      <c r="C5111" s="103"/>
      <c r="D5111" s="103"/>
      <c r="E5111" s="103"/>
      <c r="F5111" s="103"/>
      <c r="G5111" s="103"/>
      <c r="H5111" s="103"/>
      <c r="I5111" s="103"/>
      <c r="J5111" s="103"/>
      <c r="K5111" s="103"/>
      <c r="L5111" s="103"/>
      <c r="M5111" s="104"/>
      <c r="N5111" s="103"/>
    </row>
    <row r="5112" spans="1:14" ht="45" customHeight="1" thickBot="1" x14ac:dyDescent="0.4">
      <c r="A5112" s="103"/>
      <c r="B5112" s="103"/>
      <c r="C5112" s="103"/>
      <c r="D5112" s="103"/>
      <c r="E5112" s="103"/>
      <c r="F5112" s="103"/>
      <c r="G5112" s="103"/>
      <c r="H5112" s="103"/>
      <c r="I5112" s="103"/>
      <c r="J5112" s="103"/>
      <c r="K5112" s="103"/>
      <c r="L5112" s="103"/>
      <c r="M5112" s="104"/>
      <c r="N5112" s="103"/>
    </row>
    <row r="5113" spans="1:14" ht="45" customHeight="1" thickBot="1" x14ac:dyDescent="0.4">
      <c r="A5113" s="103"/>
      <c r="B5113" s="103"/>
      <c r="C5113" s="103"/>
      <c r="D5113" s="103"/>
      <c r="E5113" s="103"/>
      <c r="F5113" s="103"/>
      <c r="G5113" s="103"/>
      <c r="H5113" s="103"/>
      <c r="I5113" s="103"/>
      <c r="J5113" s="103"/>
      <c r="K5113" s="103"/>
      <c r="L5113" s="103"/>
      <c r="M5113" s="104"/>
      <c r="N5113" s="103"/>
    </row>
    <row r="5114" spans="1:14" ht="45" customHeight="1" thickBot="1" x14ac:dyDescent="0.4">
      <c r="A5114" s="103"/>
      <c r="B5114" s="103"/>
      <c r="C5114" s="103"/>
      <c r="D5114" s="103"/>
      <c r="E5114" s="103"/>
      <c r="F5114" s="103"/>
      <c r="G5114" s="103"/>
      <c r="H5114" s="103"/>
      <c r="I5114" s="103"/>
      <c r="J5114" s="103"/>
      <c r="K5114" s="103"/>
      <c r="L5114" s="103"/>
      <c r="M5114" s="104"/>
      <c r="N5114" s="103"/>
    </row>
    <row r="5115" spans="1:14" ht="45" customHeight="1" thickBot="1" x14ac:dyDescent="0.4">
      <c r="A5115" s="103"/>
      <c r="B5115" s="103"/>
      <c r="C5115" s="103"/>
      <c r="D5115" s="103"/>
      <c r="E5115" s="103"/>
      <c r="F5115" s="103"/>
      <c r="G5115" s="103"/>
      <c r="H5115" s="103"/>
      <c r="I5115" s="103"/>
      <c r="J5115" s="103"/>
      <c r="K5115" s="103"/>
      <c r="L5115" s="103"/>
      <c r="M5115" s="104"/>
      <c r="N5115" s="103"/>
    </row>
    <row r="5116" spans="1:14" ht="45" customHeight="1" thickBot="1" x14ac:dyDescent="0.4">
      <c r="A5116" s="103"/>
      <c r="B5116" s="103"/>
      <c r="C5116" s="103"/>
      <c r="D5116" s="103"/>
      <c r="E5116" s="103"/>
      <c r="F5116" s="103"/>
      <c r="G5116" s="103"/>
      <c r="H5116" s="103"/>
      <c r="I5116" s="103"/>
      <c r="J5116" s="103"/>
      <c r="K5116" s="103"/>
      <c r="L5116" s="103"/>
      <c r="M5116" s="104"/>
      <c r="N5116" s="103"/>
    </row>
    <row r="5117" spans="1:14" ht="45" customHeight="1" thickBot="1" x14ac:dyDescent="0.4">
      <c r="A5117" s="103"/>
      <c r="B5117" s="103"/>
      <c r="C5117" s="103"/>
      <c r="D5117" s="103"/>
      <c r="E5117" s="103"/>
      <c r="F5117" s="103"/>
      <c r="G5117" s="103"/>
      <c r="H5117" s="103"/>
      <c r="I5117" s="103"/>
      <c r="J5117" s="103"/>
      <c r="K5117" s="103"/>
      <c r="L5117" s="103"/>
      <c r="M5117" s="104"/>
      <c r="N5117" s="103"/>
    </row>
    <row r="5118" spans="1:14" ht="45" customHeight="1" thickBot="1" x14ac:dyDescent="0.4">
      <c r="A5118" s="103"/>
      <c r="B5118" s="103"/>
      <c r="C5118" s="103"/>
      <c r="D5118" s="103"/>
      <c r="E5118" s="103"/>
      <c r="F5118" s="103"/>
      <c r="G5118" s="103"/>
      <c r="H5118" s="103"/>
      <c r="I5118" s="103"/>
      <c r="J5118" s="103"/>
      <c r="K5118" s="103"/>
      <c r="L5118" s="103"/>
      <c r="M5118" s="104"/>
      <c r="N5118" s="103"/>
    </row>
    <row r="5119" spans="1:14" ht="45" customHeight="1" thickBot="1" x14ac:dyDescent="0.4">
      <c r="A5119" s="103"/>
      <c r="B5119" s="103"/>
      <c r="C5119" s="103"/>
      <c r="D5119" s="103"/>
      <c r="E5119" s="103"/>
      <c r="F5119" s="103"/>
      <c r="G5119" s="103"/>
      <c r="H5119" s="103"/>
      <c r="I5119" s="103"/>
      <c r="J5119" s="103"/>
      <c r="K5119" s="103"/>
      <c r="L5119" s="103"/>
      <c r="M5119" s="104"/>
      <c r="N5119" s="103"/>
    </row>
    <row r="5120" spans="1:14" ht="45" customHeight="1" thickBot="1" x14ac:dyDescent="0.4">
      <c r="A5120" s="103"/>
      <c r="B5120" s="103"/>
      <c r="C5120" s="103"/>
      <c r="D5120" s="103"/>
      <c r="E5120" s="103"/>
      <c r="F5120" s="103"/>
      <c r="G5120" s="103"/>
      <c r="H5120" s="103"/>
      <c r="I5120" s="103"/>
      <c r="J5120" s="103"/>
      <c r="K5120" s="103"/>
      <c r="L5120" s="103"/>
      <c r="M5120" s="104"/>
      <c r="N5120" s="103"/>
    </row>
    <row r="5121" spans="1:14" ht="45" customHeight="1" thickBot="1" x14ac:dyDescent="0.4">
      <c r="A5121" s="103"/>
      <c r="B5121" s="103"/>
      <c r="C5121" s="103"/>
      <c r="D5121" s="103"/>
      <c r="E5121" s="103"/>
      <c r="F5121" s="103"/>
      <c r="G5121" s="103"/>
      <c r="H5121" s="103"/>
      <c r="I5121" s="103"/>
      <c r="J5121" s="103"/>
      <c r="K5121" s="103"/>
      <c r="L5121" s="103"/>
      <c r="M5121" s="104"/>
      <c r="N5121" s="103"/>
    </row>
    <row r="5122" spans="1:14" ht="45" customHeight="1" thickBot="1" x14ac:dyDescent="0.4">
      <c r="A5122" s="103"/>
      <c r="B5122" s="103"/>
      <c r="C5122" s="103"/>
      <c r="D5122" s="103"/>
      <c r="E5122" s="103"/>
      <c r="F5122" s="103"/>
      <c r="G5122" s="103"/>
      <c r="H5122" s="103"/>
      <c r="I5122" s="103"/>
      <c r="J5122" s="103"/>
      <c r="K5122" s="103"/>
      <c r="L5122" s="103"/>
      <c r="M5122" s="104"/>
      <c r="N5122" s="103"/>
    </row>
    <row r="5123" spans="1:14" ht="45" customHeight="1" thickBot="1" x14ac:dyDescent="0.4">
      <c r="A5123" s="103"/>
      <c r="B5123" s="103"/>
      <c r="C5123" s="103"/>
      <c r="D5123" s="103"/>
      <c r="E5123" s="103"/>
      <c r="F5123" s="103"/>
      <c r="G5123" s="103"/>
      <c r="H5123" s="103"/>
      <c r="I5123" s="103"/>
      <c r="J5123" s="103"/>
      <c r="K5123" s="103"/>
      <c r="L5123" s="103"/>
      <c r="M5123" s="104"/>
      <c r="N5123" s="103"/>
    </row>
    <row r="5124" spans="1:14" ht="45" customHeight="1" thickBot="1" x14ac:dyDescent="0.4">
      <c r="A5124" s="103"/>
      <c r="B5124" s="103"/>
      <c r="C5124" s="103"/>
      <c r="D5124" s="103"/>
      <c r="E5124" s="103"/>
      <c r="F5124" s="103"/>
      <c r="G5124" s="103"/>
      <c r="H5124" s="103"/>
      <c r="I5124" s="103"/>
      <c r="J5124" s="103"/>
      <c r="K5124" s="103"/>
      <c r="L5124" s="103"/>
      <c r="M5124" s="104"/>
      <c r="N5124" s="103"/>
    </row>
    <row r="5125" spans="1:14" ht="45" customHeight="1" thickBot="1" x14ac:dyDescent="0.4">
      <c r="A5125" s="103"/>
      <c r="B5125" s="103"/>
      <c r="C5125" s="103"/>
      <c r="D5125" s="103"/>
      <c r="E5125" s="103"/>
      <c r="F5125" s="103"/>
      <c r="G5125" s="103"/>
      <c r="H5125" s="103"/>
      <c r="I5125" s="103"/>
      <c r="J5125" s="103"/>
      <c r="K5125" s="103"/>
      <c r="L5125" s="103"/>
      <c r="M5125" s="104"/>
      <c r="N5125" s="103"/>
    </row>
    <row r="5126" spans="1:14" ht="45" customHeight="1" thickBot="1" x14ac:dyDescent="0.4">
      <c r="A5126" s="103"/>
      <c r="B5126" s="103"/>
      <c r="C5126" s="103"/>
      <c r="D5126" s="103"/>
      <c r="E5126" s="103"/>
      <c r="F5126" s="103"/>
      <c r="G5126" s="103"/>
      <c r="H5126" s="103"/>
      <c r="I5126" s="103"/>
      <c r="J5126" s="103"/>
      <c r="K5126" s="103"/>
      <c r="L5126" s="103"/>
      <c r="M5126" s="104"/>
      <c r="N5126" s="103"/>
    </row>
    <row r="5127" spans="1:14" ht="45" customHeight="1" thickBot="1" x14ac:dyDescent="0.4">
      <c r="A5127" s="103"/>
      <c r="B5127" s="103"/>
      <c r="C5127" s="103"/>
      <c r="D5127" s="103"/>
      <c r="E5127" s="103"/>
      <c r="F5127" s="103"/>
      <c r="G5127" s="103"/>
      <c r="H5127" s="103"/>
      <c r="I5127" s="103"/>
      <c r="J5127" s="103"/>
      <c r="K5127" s="103"/>
      <c r="L5127" s="103"/>
      <c r="M5127" s="104"/>
      <c r="N5127" s="103"/>
    </row>
    <row r="5128" spans="1:14" ht="45" customHeight="1" thickBot="1" x14ac:dyDescent="0.4">
      <c r="A5128" s="103"/>
      <c r="B5128" s="103"/>
      <c r="C5128" s="103"/>
      <c r="D5128" s="103"/>
      <c r="E5128" s="103"/>
      <c r="F5128" s="103"/>
      <c r="G5128" s="103"/>
      <c r="H5128" s="103"/>
      <c r="I5128" s="103"/>
      <c r="J5128" s="103"/>
      <c r="K5128" s="103"/>
      <c r="L5128" s="103"/>
      <c r="M5128" s="104"/>
      <c r="N5128" s="103"/>
    </row>
    <row r="5129" spans="1:14" ht="45" customHeight="1" thickBot="1" x14ac:dyDescent="0.4">
      <c r="A5129" s="103"/>
      <c r="B5129" s="103"/>
      <c r="C5129" s="103"/>
      <c r="D5129" s="103"/>
      <c r="E5129" s="103"/>
      <c r="F5129" s="103"/>
      <c r="G5129" s="103"/>
      <c r="H5129" s="103"/>
      <c r="I5129" s="103"/>
      <c r="J5129" s="103"/>
      <c r="K5129" s="103"/>
      <c r="L5129" s="103"/>
      <c r="M5129" s="104"/>
      <c r="N5129" s="103"/>
    </row>
    <row r="5130" spans="1:14" ht="45" customHeight="1" thickBot="1" x14ac:dyDescent="0.4">
      <c r="A5130" s="103"/>
      <c r="B5130" s="103"/>
      <c r="C5130" s="103"/>
      <c r="D5130" s="103"/>
      <c r="E5130" s="103"/>
      <c r="F5130" s="103"/>
      <c r="G5130" s="103"/>
      <c r="H5130" s="103"/>
      <c r="I5130" s="103"/>
      <c r="J5130" s="103"/>
      <c r="K5130" s="103"/>
      <c r="L5130" s="103"/>
      <c r="M5130" s="104"/>
      <c r="N5130" s="103"/>
    </row>
    <row r="5131" spans="1:14" ht="45" customHeight="1" thickBot="1" x14ac:dyDescent="0.4">
      <c r="A5131" s="103"/>
      <c r="B5131" s="103"/>
      <c r="C5131" s="103"/>
      <c r="D5131" s="103"/>
      <c r="E5131" s="103"/>
      <c r="F5131" s="103"/>
      <c r="G5131" s="103"/>
      <c r="H5131" s="103"/>
      <c r="I5131" s="103"/>
      <c r="J5131" s="103"/>
      <c r="K5131" s="103"/>
      <c r="L5131" s="103"/>
      <c r="M5131" s="104"/>
      <c r="N5131" s="103"/>
    </row>
    <row r="5132" spans="1:14" ht="45" customHeight="1" thickBot="1" x14ac:dyDescent="0.4">
      <c r="A5132" s="103"/>
      <c r="B5132" s="103"/>
      <c r="C5132" s="103"/>
      <c r="D5132" s="103"/>
      <c r="E5132" s="103"/>
      <c r="F5132" s="103"/>
      <c r="G5132" s="103"/>
      <c r="H5132" s="103"/>
      <c r="I5132" s="103"/>
      <c r="J5132" s="103"/>
      <c r="K5132" s="103"/>
      <c r="L5132" s="103"/>
      <c r="M5132" s="104"/>
      <c r="N5132" s="103"/>
    </row>
    <row r="5133" spans="1:14" ht="45" customHeight="1" thickBot="1" x14ac:dyDescent="0.4">
      <c r="A5133" s="103"/>
      <c r="B5133" s="103"/>
      <c r="C5133" s="103"/>
      <c r="D5133" s="103"/>
      <c r="E5133" s="103"/>
      <c r="F5133" s="103"/>
      <c r="G5133" s="103"/>
      <c r="H5133" s="103"/>
      <c r="I5133" s="103"/>
      <c r="J5133" s="103"/>
      <c r="K5133" s="103"/>
      <c r="L5133" s="103"/>
      <c r="M5133" s="104"/>
      <c r="N5133" s="103"/>
    </row>
    <row r="5134" spans="1:14" ht="45" customHeight="1" thickBot="1" x14ac:dyDescent="0.4">
      <c r="A5134" s="103"/>
      <c r="B5134" s="103"/>
      <c r="C5134" s="103"/>
      <c r="D5134" s="103"/>
      <c r="E5134" s="103"/>
      <c r="F5134" s="103"/>
      <c r="G5134" s="103"/>
      <c r="H5134" s="103"/>
      <c r="I5134" s="103"/>
      <c r="J5134" s="103"/>
      <c r="K5134" s="103"/>
      <c r="L5134" s="103"/>
      <c r="M5134" s="104"/>
      <c r="N5134" s="103"/>
    </row>
    <row r="5135" spans="1:14" ht="45" customHeight="1" thickBot="1" x14ac:dyDescent="0.4">
      <c r="A5135" s="103"/>
      <c r="B5135" s="103"/>
      <c r="C5135" s="103"/>
      <c r="D5135" s="103"/>
      <c r="E5135" s="103"/>
      <c r="F5135" s="103"/>
      <c r="G5135" s="103"/>
      <c r="H5135" s="103"/>
      <c r="I5135" s="103"/>
      <c r="J5135" s="103"/>
      <c r="K5135" s="103"/>
      <c r="L5135" s="103"/>
      <c r="M5135" s="104"/>
      <c r="N5135" s="103"/>
    </row>
    <row r="5136" spans="1:14" ht="45" customHeight="1" thickBot="1" x14ac:dyDescent="0.4">
      <c r="A5136" s="103"/>
      <c r="B5136" s="103"/>
      <c r="C5136" s="103"/>
      <c r="D5136" s="103"/>
      <c r="E5136" s="103"/>
      <c r="F5136" s="103"/>
      <c r="G5136" s="103"/>
      <c r="H5136" s="103"/>
      <c r="I5136" s="103"/>
      <c r="J5136" s="103"/>
      <c r="K5136" s="103"/>
      <c r="L5136" s="103"/>
      <c r="M5136" s="104"/>
      <c r="N5136" s="103"/>
    </row>
    <row r="5137" spans="1:14" ht="45" customHeight="1" thickBot="1" x14ac:dyDescent="0.4">
      <c r="A5137" s="103"/>
      <c r="B5137" s="103"/>
      <c r="C5137" s="103"/>
      <c r="D5137" s="103"/>
      <c r="E5137" s="103"/>
      <c r="F5137" s="103"/>
      <c r="G5137" s="103"/>
      <c r="H5137" s="103"/>
      <c r="I5137" s="103"/>
      <c r="J5137" s="103"/>
      <c r="K5137" s="103"/>
      <c r="L5137" s="103"/>
      <c r="M5137" s="104"/>
      <c r="N5137" s="103"/>
    </row>
    <row r="5138" spans="1:14" ht="45" customHeight="1" thickBot="1" x14ac:dyDescent="0.4">
      <c r="A5138" s="103"/>
      <c r="B5138" s="103"/>
      <c r="C5138" s="103"/>
      <c r="D5138" s="103"/>
      <c r="E5138" s="103"/>
      <c r="F5138" s="103"/>
      <c r="G5138" s="103"/>
      <c r="H5138" s="103"/>
      <c r="I5138" s="103"/>
      <c r="J5138" s="103"/>
      <c r="K5138" s="103"/>
      <c r="L5138" s="103"/>
      <c r="M5138" s="104"/>
      <c r="N5138" s="103"/>
    </row>
    <row r="5139" spans="1:14" ht="45" customHeight="1" thickBot="1" x14ac:dyDescent="0.4">
      <c r="A5139" s="103"/>
      <c r="B5139" s="103"/>
      <c r="C5139" s="103"/>
      <c r="D5139" s="103"/>
      <c r="E5139" s="103"/>
      <c r="F5139" s="103"/>
      <c r="G5139" s="103"/>
      <c r="H5139" s="103"/>
      <c r="I5139" s="103"/>
      <c r="J5139" s="103"/>
      <c r="K5139" s="103"/>
      <c r="L5139" s="103"/>
      <c r="M5139" s="104"/>
      <c r="N5139" s="103"/>
    </row>
    <row r="5140" spans="1:14" ht="45" customHeight="1" thickBot="1" x14ac:dyDescent="0.4">
      <c r="A5140" s="103"/>
      <c r="B5140" s="103"/>
      <c r="C5140" s="103"/>
      <c r="D5140" s="103"/>
      <c r="E5140" s="103"/>
      <c r="F5140" s="103"/>
      <c r="G5140" s="103"/>
      <c r="H5140" s="103"/>
      <c r="I5140" s="103"/>
      <c r="J5140" s="103"/>
      <c r="K5140" s="103"/>
      <c r="L5140" s="103"/>
      <c r="M5140" s="104"/>
      <c r="N5140" s="103"/>
    </row>
    <row r="5141" spans="1:14" ht="45" customHeight="1" thickBot="1" x14ac:dyDescent="0.4">
      <c r="A5141" s="103"/>
      <c r="B5141" s="103"/>
      <c r="C5141" s="103"/>
      <c r="D5141" s="103"/>
      <c r="E5141" s="103"/>
      <c r="F5141" s="103"/>
      <c r="G5141" s="103"/>
      <c r="H5141" s="103"/>
      <c r="I5141" s="103"/>
      <c r="J5141" s="103"/>
      <c r="K5141" s="103"/>
      <c r="L5141" s="103"/>
      <c r="M5141" s="104"/>
      <c r="N5141" s="103"/>
    </row>
    <row r="5142" spans="1:14" ht="45" customHeight="1" thickBot="1" x14ac:dyDescent="0.4">
      <c r="A5142" s="103"/>
      <c r="B5142" s="103"/>
      <c r="C5142" s="103"/>
      <c r="D5142" s="103"/>
      <c r="E5142" s="103"/>
      <c r="F5142" s="103"/>
      <c r="G5142" s="103"/>
      <c r="H5142" s="103"/>
      <c r="I5142" s="103"/>
      <c r="J5142" s="103"/>
      <c r="K5142" s="103"/>
      <c r="L5142" s="103"/>
      <c r="M5142" s="104"/>
      <c r="N5142" s="103"/>
    </row>
    <row r="5143" spans="1:14" ht="45" customHeight="1" thickBot="1" x14ac:dyDescent="0.4">
      <c r="A5143" s="103"/>
      <c r="B5143" s="103"/>
      <c r="C5143" s="103"/>
      <c r="D5143" s="103"/>
      <c r="E5143" s="103"/>
      <c r="F5143" s="103"/>
      <c r="G5143" s="103"/>
      <c r="H5143" s="103"/>
      <c r="I5143" s="103"/>
      <c r="J5143" s="103"/>
      <c r="K5143" s="103"/>
      <c r="L5143" s="103"/>
      <c r="M5143" s="104"/>
      <c r="N5143" s="103"/>
    </row>
    <row r="5144" spans="1:14" ht="45" customHeight="1" thickBot="1" x14ac:dyDescent="0.4">
      <c r="A5144" s="103"/>
      <c r="B5144" s="103"/>
      <c r="C5144" s="103"/>
      <c r="D5144" s="103"/>
      <c r="E5144" s="103"/>
      <c r="F5144" s="103"/>
      <c r="G5144" s="103"/>
      <c r="H5144" s="103"/>
      <c r="I5144" s="103"/>
      <c r="J5144" s="103"/>
      <c r="K5144" s="103"/>
      <c r="L5144" s="103"/>
      <c r="M5144" s="104"/>
      <c r="N5144" s="103"/>
    </row>
    <row r="5145" spans="1:14" ht="45" customHeight="1" thickBot="1" x14ac:dyDescent="0.4">
      <c r="A5145" s="103"/>
      <c r="B5145" s="103"/>
      <c r="C5145" s="103"/>
      <c r="D5145" s="103"/>
      <c r="E5145" s="103"/>
      <c r="F5145" s="103"/>
      <c r="G5145" s="103"/>
      <c r="H5145" s="103"/>
      <c r="I5145" s="103"/>
      <c r="J5145" s="103"/>
      <c r="K5145" s="103"/>
      <c r="L5145" s="103"/>
      <c r="M5145" s="104"/>
      <c r="N5145" s="103"/>
    </row>
    <row r="5146" spans="1:14" ht="45" customHeight="1" thickBot="1" x14ac:dyDescent="0.4">
      <c r="A5146" s="103"/>
      <c r="B5146" s="103"/>
      <c r="C5146" s="103"/>
      <c r="D5146" s="103"/>
      <c r="E5146" s="103"/>
      <c r="F5146" s="103"/>
      <c r="G5146" s="103"/>
      <c r="H5146" s="103"/>
      <c r="I5146" s="103"/>
      <c r="J5146" s="103"/>
      <c r="K5146" s="103"/>
      <c r="L5146" s="103"/>
      <c r="M5146" s="104"/>
      <c r="N5146" s="103"/>
    </row>
    <row r="5147" spans="1:14" ht="45" customHeight="1" thickBot="1" x14ac:dyDescent="0.4">
      <c r="A5147" s="103"/>
      <c r="B5147" s="103"/>
      <c r="C5147" s="103"/>
      <c r="D5147" s="103"/>
      <c r="E5147" s="103"/>
      <c r="F5147" s="103"/>
      <c r="G5147" s="103"/>
      <c r="H5147" s="103"/>
      <c r="I5147" s="103"/>
      <c r="J5147" s="103"/>
      <c r="K5147" s="103"/>
      <c r="L5147" s="103"/>
      <c r="M5147" s="104"/>
      <c r="N5147" s="103"/>
    </row>
    <row r="5148" spans="1:14" ht="45" customHeight="1" thickBot="1" x14ac:dyDescent="0.4">
      <c r="A5148" s="103"/>
      <c r="B5148" s="103"/>
      <c r="C5148" s="103"/>
      <c r="D5148" s="103"/>
      <c r="E5148" s="103"/>
      <c r="F5148" s="103"/>
      <c r="G5148" s="103"/>
      <c r="H5148" s="103"/>
      <c r="I5148" s="103"/>
      <c r="J5148" s="103"/>
      <c r="K5148" s="103"/>
      <c r="L5148" s="103"/>
      <c r="M5148" s="104"/>
      <c r="N5148" s="103"/>
    </row>
    <row r="5149" spans="1:14" ht="45" customHeight="1" thickBot="1" x14ac:dyDescent="0.4">
      <c r="A5149" s="103"/>
      <c r="B5149" s="103"/>
      <c r="C5149" s="103"/>
      <c r="D5149" s="103"/>
      <c r="E5149" s="103"/>
      <c r="F5149" s="103"/>
      <c r="G5149" s="103"/>
      <c r="H5149" s="103"/>
      <c r="I5149" s="103"/>
      <c r="J5149" s="103"/>
      <c r="K5149" s="103"/>
      <c r="L5149" s="103"/>
      <c r="M5149" s="104"/>
      <c r="N5149" s="103"/>
    </row>
    <row r="5150" spans="1:14" ht="45" customHeight="1" thickBot="1" x14ac:dyDescent="0.4">
      <c r="A5150" s="103"/>
      <c r="B5150" s="103"/>
      <c r="C5150" s="103"/>
      <c r="D5150" s="103"/>
      <c r="E5150" s="103"/>
      <c r="F5150" s="103"/>
      <c r="G5150" s="103"/>
      <c r="H5150" s="103"/>
      <c r="I5150" s="103"/>
      <c r="J5150" s="103"/>
      <c r="K5150" s="103"/>
      <c r="L5150" s="103"/>
      <c r="M5150" s="104"/>
      <c r="N5150" s="103"/>
    </row>
    <row r="5151" spans="1:14" ht="45" customHeight="1" thickBot="1" x14ac:dyDescent="0.4">
      <c r="A5151" s="103"/>
      <c r="B5151" s="103"/>
      <c r="C5151" s="103"/>
      <c r="D5151" s="103"/>
      <c r="E5151" s="103"/>
      <c r="F5151" s="103"/>
      <c r="G5151" s="103"/>
      <c r="H5151" s="103"/>
      <c r="I5151" s="103"/>
      <c r="J5151" s="103"/>
      <c r="K5151" s="103"/>
      <c r="L5151" s="103"/>
      <c r="M5151" s="104"/>
      <c r="N5151" s="103"/>
    </row>
    <row r="5152" spans="1:14" ht="45" customHeight="1" thickBot="1" x14ac:dyDescent="0.4">
      <c r="A5152" s="103"/>
      <c r="B5152" s="103"/>
      <c r="C5152" s="103"/>
      <c r="D5152" s="103"/>
      <c r="E5152" s="103"/>
      <c r="F5152" s="103"/>
      <c r="G5152" s="103"/>
      <c r="H5152" s="103"/>
      <c r="I5152" s="103"/>
      <c r="J5152" s="103"/>
      <c r="K5152" s="103"/>
      <c r="L5152" s="103"/>
      <c r="M5152" s="104"/>
      <c r="N5152" s="103"/>
    </row>
    <row r="5153" spans="1:14" ht="45" customHeight="1" thickBot="1" x14ac:dyDescent="0.4">
      <c r="A5153" s="103"/>
      <c r="B5153" s="103"/>
      <c r="C5153" s="103"/>
      <c r="D5153" s="103"/>
      <c r="E5153" s="103"/>
      <c r="F5153" s="103"/>
      <c r="G5153" s="103"/>
      <c r="H5153" s="103"/>
      <c r="I5153" s="103"/>
      <c r="J5153" s="103"/>
      <c r="K5153" s="103"/>
      <c r="L5153" s="103"/>
      <c r="M5153" s="104"/>
      <c r="N5153" s="103"/>
    </row>
    <row r="5154" spans="1:14" ht="45" customHeight="1" thickBot="1" x14ac:dyDescent="0.4">
      <c r="A5154" s="103"/>
      <c r="B5154" s="103"/>
      <c r="C5154" s="103"/>
      <c r="D5154" s="103"/>
      <c r="E5154" s="103"/>
      <c r="F5154" s="103"/>
      <c r="G5154" s="103"/>
      <c r="H5154" s="103"/>
      <c r="I5154" s="103"/>
      <c r="J5154" s="103"/>
      <c r="K5154" s="103"/>
      <c r="L5154" s="103"/>
      <c r="M5154" s="104"/>
      <c r="N5154" s="103"/>
    </row>
    <row r="5155" spans="1:14" ht="45" customHeight="1" thickBot="1" x14ac:dyDescent="0.4">
      <c r="A5155" s="103"/>
      <c r="B5155" s="103"/>
      <c r="C5155" s="103"/>
      <c r="D5155" s="103"/>
      <c r="E5155" s="103"/>
      <c r="F5155" s="103"/>
      <c r="G5155" s="103"/>
      <c r="H5155" s="103"/>
      <c r="I5155" s="103"/>
      <c r="J5155" s="103"/>
      <c r="K5155" s="103"/>
      <c r="L5155" s="103"/>
      <c r="M5155" s="104"/>
      <c r="N5155" s="103"/>
    </row>
    <row r="5156" spans="1:14" ht="45" customHeight="1" thickBot="1" x14ac:dyDescent="0.4">
      <c r="A5156" s="103"/>
      <c r="B5156" s="103"/>
      <c r="C5156" s="103"/>
      <c r="D5156" s="103"/>
      <c r="E5156" s="103"/>
      <c r="F5156" s="103"/>
      <c r="G5156" s="103"/>
      <c r="H5156" s="103"/>
      <c r="I5156" s="103"/>
      <c r="J5156" s="103"/>
      <c r="K5156" s="103"/>
      <c r="L5156" s="103"/>
      <c r="M5156" s="104"/>
      <c r="N5156" s="103"/>
    </row>
    <row r="5157" spans="1:14" ht="45" customHeight="1" thickBot="1" x14ac:dyDescent="0.4">
      <c r="A5157" s="103"/>
      <c r="B5157" s="103"/>
      <c r="C5157" s="103"/>
      <c r="D5157" s="103"/>
      <c r="E5157" s="103"/>
      <c r="F5157" s="103"/>
      <c r="G5157" s="103"/>
      <c r="H5157" s="103"/>
      <c r="I5157" s="103"/>
      <c r="J5157" s="103"/>
      <c r="K5157" s="103"/>
      <c r="L5157" s="103"/>
      <c r="M5157" s="104"/>
      <c r="N5157" s="103"/>
    </row>
    <row r="5158" spans="1:14" ht="45" customHeight="1" thickBot="1" x14ac:dyDescent="0.4">
      <c r="A5158" s="103"/>
      <c r="B5158" s="103"/>
      <c r="C5158" s="103"/>
      <c r="D5158" s="103"/>
      <c r="E5158" s="103"/>
      <c r="F5158" s="103"/>
      <c r="G5158" s="103"/>
      <c r="H5158" s="103"/>
      <c r="I5158" s="103"/>
      <c r="J5158" s="103"/>
      <c r="K5158" s="103"/>
      <c r="L5158" s="103"/>
      <c r="M5158" s="104"/>
      <c r="N5158" s="103"/>
    </row>
    <row r="5159" spans="1:14" ht="45" customHeight="1" thickBot="1" x14ac:dyDescent="0.4">
      <c r="A5159" s="103"/>
      <c r="B5159" s="103"/>
      <c r="C5159" s="103"/>
      <c r="D5159" s="103"/>
      <c r="E5159" s="103"/>
      <c r="F5159" s="103"/>
      <c r="G5159" s="103"/>
      <c r="H5159" s="103"/>
      <c r="I5159" s="103"/>
      <c r="J5159" s="103"/>
      <c r="K5159" s="103"/>
      <c r="L5159" s="103"/>
      <c r="M5159" s="104"/>
      <c r="N5159" s="103"/>
    </row>
    <row r="5160" spans="1:14" ht="45" customHeight="1" thickBot="1" x14ac:dyDescent="0.4">
      <c r="A5160" s="103"/>
      <c r="B5160" s="103"/>
      <c r="C5160" s="103"/>
      <c r="D5160" s="103"/>
      <c r="E5160" s="103"/>
      <c r="F5160" s="103"/>
      <c r="G5160" s="103"/>
      <c r="H5160" s="103"/>
      <c r="I5160" s="103"/>
      <c r="J5160" s="103"/>
      <c r="K5160" s="103"/>
      <c r="L5160" s="103"/>
      <c r="M5160" s="104"/>
      <c r="N5160" s="103"/>
    </row>
    <row r="5161" spans="1:14" ht="45" customHeight="1" thickBot="1" x14ac:dyDescent="0.4">
      <c r="A5161" s="103"/>
      <c r="B5161" s="103"/>
      <c r="C5161" s="103"/>
      <c r="D5161" s="103"/>
      <c r="E5161" s="103"/>
      <c r="F5161" s="103"/>
      <c r="G5161" s="103"/>
      <c r="H5161" s="103"/>
      <c r="I5161" s="103"/>
      <c r="J5161" s="103"/>
      <c r="K5161" s="103"/>
      <c r="L5161" s="103"/>
      <c r="M5161" s="104"/>
      <c r="N5161" s="103"/>
    </row>
    <row r="5162" spans="1:14" ht="45" customHeight="1" thickBot="1" x14ac:dyDescent="0.4">
      <c r="A5162" s="103"/>
      <c r="B5162" s="103"/>
      <c r="C5162" s="103"/>
      <c r="D5162" s="103"/>
      <c r="E5162" s="103"/>
      <c r="F5162" s="103"/>
      <c r="G5162" s="103"/>
      <c r="H5162" s="103"/>
      <c r="I5162" s="103"/>
      <c r="J5162" s="103"/>
      <c r="K5162" s="103"/>
      <c r="L5162" s="103"/>
      <c r="M5162" s="104"/>
      <c r="N5162" s="103"/>
    </row>
    <row r="5163" spans="1:14" ht="45" customHeight="1" thickBot="1" x14ac:dyDescent="0.4">
      <c r="A5163" s="103"/>
      <c r="B5163" s="103"/>
      <c r="C5163" s="103"/>
      <c r="D5163" s="103"/>
      <c r="E5163" s="103"/>
      <c r="F5163" s="103"/>
      <c r="G5163" s="103"/>
      <c r="H5163" s="103"/>
      <c r="I5163" s="103"/>
      <c r="J5163" s="103"/>
      <c r="K5163" s="103"/>
      <c r="L5163" s="103"/>
      <c r="M5163" s="104"/>
      <c r="N5163" s="103"/>
    </row>
    <row r="5164" spans="1:14" ht="45" customHeight="1" thickBot="1" x14ac:dyDescent="0.4">
      <c r="A5164" s="103"/>
      <c r="B5164" s="103"/>
      <c r="C5164" s="103"/>
      <c r="D5164" s="103"/>
      <c r="E5164" s="103"/>
      <c r="F5164" s="103"/>
      <c r="G5164" s="103"/>
      <c r="H5164" s="103"/>
      <c r="I5164" s="103"/>
      <c r="J5164" s="103"/>
      <c r="K5164" s="103"/>
      <c r="L5164" s="103"/>
      <c r="M5164" s="104"/>
      <c r="N5164" s="103"/>
    </row>
    <row r="5165" spans="1:14" ht="45" customHeight="1" thickBot="1" x14ac:dyDescent="0.4">
      <c r="A5165" s="103"/>
      <c r="B5165" s="103"/>
      <c r="C5165" s="103"/>
      <c r="D5165" s="103"/>
      <c r="E5165" s="103"/>
      <c r="F5165" s="103"/>
      <c r="G5165" s="103"/>
      <c r="H5165" s="103"/>
      <c r="I5165" s="103"/>
      <c r="J5165" s="103"/>
      <c r="K5165" s="103"/>
      <c r="L5165" s="103"/>
      <c r="M5165" s="104"/>
      <c r="N5165" s="103"/>
    </row>
    <row r="5166" spans="1:14" ht="45" customHeight="1" thickBot="1" x14ac:dyDescent="0.4">
      <c r="A5166" s="103"/>
      <c r="B5166" s="103"/>
      <c r="C5166" s="103"/>
      <c r="D5166" s="103"/>
      <c r="E5166" s="103"/>
      <c r="F5166" s="103"/>
      <c r="G5166" s="103"/>
      <c r="H5166" s="103"/>
      <c r="I5166" s="103"/>
      <c r="J5166" s="103"/>
      <c r="K5166" s="103"/>
      <c r="L5166" s="103"/>
      <c r="M5166" s="104"/>
      <c r="N5166" s="103"/>
    </row>
    <row r="5167" spans="1:14" ht="45" customHeight="1" thickBot="1" x14ac:dyDescent="0.4">
      <c r="A5167" s="103"/>
      <c r="B5167" s="103"/>
      <c r="C5167" s="103"/>
      <c r="D5167" s="103"/>
      <c r="E5167" s="103"/>
      <c r="F5167" s="103"/>
      <c r="G5167" s="103"/>
      <c r="H5167" s="103"/>
      <c r="I5167" s="103"/>
      <c r="J5167" s="103"/>
      <c r="K5167" s="103"/>
      <c r="L5167" s="103"/>
      <c r="M5167" s="104"/>
      <c r="N5167" s="103"/>
    </row>
    <row r="5168" spans="1:14" ht="45" customHeight="1" thickBot="1" x14ac:dyDescent="0.4">
      <c r="A5168" s="103"/>
      <c r="B5168" s="103"/>
      <c r="C5168" s="103"/>
      <c r="D5168" s="103"/>
      <c r="E5168" s="103"/>
      <c r="F5168" s="103"/>
      <c r="G5168" s="103"/>
      <c r="H5168" s="103"/>
      <c r="I5168" s="103"/>
      <c r="J5168" s="103"/>
      <c r="K5168" s="103"/>
      <c r="L5168" s="103"/>
      <c r="M5168" s="104"/>
      <c r="N5168" s="103"/>
    </row>
    <row r="5169" spans="1:14" ht="45" customHeight="1" thickBot="1" x14ac:dyDescent="0.4">
      <c r="A5169" s="103"/>
      <c r="B5169" s="103"/>
      <c r="C5169" s="103"/>
      <c r="D5169" s="103"/>
      <c r="E5169" s="103"/>
      <c r="F5169" s="103"/>
      <c r="G5169" s="103"/>
      <c r="H5169" s="103"/>
      <c r="I5169" s="103"/>
      <c r="J5169" s="103"/>
      <c r="K5169" s="103"/>
      <c r="L5169" s="103"/>
      <c r="M5169" s="104"/>
      <c r="N5169" s="103"/>
    </row>
    <row r="5170" spans="1:14" ht="45" customHeight="1" thickBot="1" x14ac:dyDescent="0.4">
      <c r="A5170" s="103"/>
      <c r="B5170" s="103"/>
      <c r="C5170" s="103"/>
      <c r="D5170" s="103"/>
      <c r="E5170" s="103"/>
      <c r="F5170" s="103"/>
      <c r="G5170" s="103"/>
      <c r="H5170" s="103"/>
      <c r="I5170" s="103"/>
      <c r="J5170" s="103"/>
      <c r="K5170" s="103"/>
      <c r="L5170" s="103"/>
      <c r="M5170" s="104"/>
      <c r="N5170" s="103"/>
    </row>
    <row r="5171" spans="1:14" ht="45" customHeight="1" thickBot="1" x14ac:dyDescent="0.4">
      <c r="A5171" s="103"/>
      <c r="B5171" s="103"/>
      <c r="C5171" s="103"/>
      <c r="D5171" s="103"/>
      <c r="E5171" s="103"/>
      <c r="F5171" s="103"/>
      <c r="G5171" s="103"/>
      <c r="H5171" s="103"/>
      <c r="I5171" s="103"/>
      <c r="J5171" s="103"/>
      <c r="K5171" s="103"/>
      <c r="L5171" s="103"/>
      <c r="M5171" s="104"/>
      <c r="N5171" s="103"/>
    </row>
    <row r="5172" spans="1:14" ht="45" customHeight="1" thickBot="1" x14ac:dyDescent="0.4">
      <c r="A5172" s="103"/>
      <c r="B5172" s="103"/>
      <c r="C5172" s="103"/>
      <c r="D5172" s="103"/>
      <c r="E5172" s="103"/>
      <c r="F5172" s="103"/>
      <c r="G5172" s="103"/>
      <c r="H5172" s="103"/>
      <c r="I5172" s="103"/>
      <c r="J5172" s="103"/>
      <c r="K5172" s="103"/>
      <c r="L5172" s="103"/>
      <c r="M5172" s="104"/>
      <c r="N5172" s="103"/>
    </row>
    <row r="5173" spans="1:14" ht="45" customHeight="1" thickBot="1" x14ac:dyDescent="0.4">
      <c r="A5173" s="103"/>
      <c r="B5173" s="103"/>
      <c r="C5173" s="103"/>
      <c r="D5173" s="103"/>
      <c r="E5173" s="103"/>
      <c r="F5173" s="103"/>
      <c r="G5173" s="103"/>
      <c r="H5173" s="103"/>
      <c r="I5173" s="103"/>
      <c r="J5173" s="103"/>
      <c r="K5173" s="103"/>
      <c r="L5173" s="103"/>
      <c r="M5173" s="104"/>
      <c r="N5173" s="103"/>
    </row>
    <row r="5174" spans="1:14" ht="45" customHeight="1" thickBot="1" x14ac:dyDescent="0.4">
      <c r="A5174" s="103"/>
      <c r="B5174" s="103"/>
      <c r="C5174" s="103"/>
      <c r="D5174" s="103"/>
      <c r="E5174" s="103"/>
      <c r="F5174" s="103"/>
      <c r="G5174" s="103"/>
      <c r="H5174" s="103"/>
      <c r="I5174" s="103"/>
      <c r="J5174" s="103"/>
      <c r="K5174" s="103"/>
      <c r="L5174" s="103"/>
      <c r="M5174" s="104"/>
      <c r="N5174" s="103"/>
    </row>
    <row r="5175" spans="1:14" ht="45" customHeight="1" thickBot="1" x14ac:dyDescent="0.4">
      <c r="A5175" s="103"/>
      <c r="B5175" s="103"/>
      <c r="C5175" s="103"/>
      <c r="D5175" s="103"/>
      <c r="E5175" s="103"/>
      <c r="F5175" s="103"/>
      <c r="G5175" s="103"/>
      <c r="H5175" s="103"/>
      <c r="I5175" s="103"/>
      <c r="J5175" s="103"/>
      <c r="K5175" s="103"/>
      <c r="L5175" s="103"/>
      <c r="M5175" s="104"/>
      <c r="N5175" s="103"/>
    </row>
    <row r="5176" spans="1:14" ht="45" customHeight="1" thickBot="1" x14ac:dyDescent="0.4">
      <c r="A5176" s="103"/>
      <c r="B5176" s="103"/>
      <c r="C5176" s="103"/>
      <c r="D5176" s="103"/>
      <c r="E5176" s="103"/>
      <c r="F5176" s="103"/>
      <c r="G5176" s="103"/>
      <c r="H5176" s="103"/>
      <c r="I5176" s="103"/>
      <c r="J5176" s="103"/>
      <c r="K5176" s="103"/>
      <c r="L5176" s="103"/>
      <c r="M5176" s="104"/>
      <c r="N5176" s="103"/>
    </row>
    <row r="5177" spans="1:14" ht="45" customHeight="1" thickBot="1" x14ac:dyDescent="0.4">
      <c r="A5177" s="103"/>
      <c r="B5177" s="103"/>
      <c r="C5177" s="103"/>
      <c r="D5177" s="103"/>
      <c r="E5177" s="103"/>
      <c r="F5177" s="103"/>
      <c r="G5177" s="103"/>
      <c r="H5177" s="103"/>
      <c r="I5177" s="103"/>
      <c r="J5177" s="103"/>
      <c r="K5177" s="103"/>
      <c r="L5177" s="103"/>
      <c r="M5177" s="104"/>
      <c r="N5177" s="103"/>
    </row>
    <row r="5178" spans="1:14" ht="45" customHeight="1" thickBot="1" x14ac:dyDescent="0.4">
      <c r="A5178" s="103"/>
      <c r="B5178" s="103"/>
      <c r="C5178" s="103"/>
      <c r="D5178" s="103"/>
      <c r="E5178" s="103"/>
      <c r="F5178" s="103"/>
      <c r="G5178" s="103"/>
      <c r="H5178" s="103"/>
      <c r="I5178" s="103"/>
      <c r="J5178" s="103"/>
      <c r="K5178" s="103"/>
      <c r="L5178" s="103"/>
      <c r="M5178" s="104"/>
      <c r="N5178" s="103"/>
    </row>
    <row r="5179" spans="1:14" ht="45" customHeight="1" thickBot="1" x14ac:dyDescent="0.4">
      <c r="A5179" s="103"/>
      <c r="B5179" s="103"/>
      <c r="C5179" s="103"/>
      <c r="D5179" s="103"/>
      <c r="E5179" s="103"/>
      <c r="F5179" s="103"/>
      <c r="G5179" s="103"/>
      <c r="H5179" s="103"/>
      <c r="I5179" s="103"/>
      <c r="J5179" s="103"/>
      <c r="K5179" s="103"/>
      <c r="L5179" s="103"/>
      <c r="M5179" s="104"/>
      <c r="N5179" s="103"/>
    </row>
    <row r="5180" spans="1:14" ht="45" customHeight="1" thickBot="1" x14ac:dyDescent="0.4">
      <c r="A5180" s="103"/>
      <c r="B5180" s="103"/>
      <c r="C5180" s="103"/>
      <c r="D5180" s="103"/>
      <c r="E5180" s="103"/>
      <c r="F5180" s="103"/>
      <c r="G5180" s="103"/>
      <c r="H5180" s="103"/>
      <c r="I5180" s="103"/>
      <c r="J5180" s="103"/>
      <c r="K5180" s="103"/>
      <c r="L5180" s="103"/>
      <c r="M5180" s="104"/>
      <c r="N5180" s="103"/>
    </row>
    <row r="5181" spans="1:14" ht="45" customHeight="1" thickBot="1" x14ac:dyDescent="0.4">
      <c r="A5181" s="103"/>
      <c r="B5181" s="103"/>
      <c r="C5181" s="103"/>
      <c r="D5181" s="103"/>
      <c r="E5181" s="103"/>
      <c r="F5181" s="103"/>
      <c r="G5181" s="103"/>
      <c r="H5181" s="103"/>
      <c r="I5181" s="103"/>
      <c r="J5181" s="103"/>
      <c r="K5181" s="103"/>
      <c r="L5181" s="103"/>
      <c r="M5181" s="104"/>
      <c r="N5181" s="103"/>
    </row>
    <row r="5182" spans="1:14" ht="45" customHeight="1" thickBot="1" x14ac:dyDescent="0.4">
      <c r="A5182" s="103"/>
      <c r="B5182" s="103"/>
      <c r="C5182" s="103"/>
      <c r="D5182" s="103"/>
      <c r="E5182" s="103"/>
      <c r="F5182" s="103"/>
      <c r="G5182" s="103"/>
      <c r="H5182" s="103"/>
      <c r="I5182" s="103"/>
      <c r="J5182" s="103"/>
      <c r="K5182" s="103"/>
      <c r="L5182" s="103"/>
      <c r="M5182" s="104"/>
      <c r="N5182" s="103"/>
    </row>
    <row r="5183" spans="1:14" ht="45" customHeight="1" thickBot="1" x14ac:dyDescent="0.4">
      <c r="A5183" s="103"/>
      <c r="B5183" s="103"/>
      <c r="C5183" s="103"/>
      <c r="D5183" s="103"/>
      <c r="E5183" s="103"/>
      <c r="F5183" s="103"/>
      <c r="G5183" s="103"/>
      <c r="H5183" s="103"/>
      <c r="I5183" s="103"/>
      <c r="J5183" s="103"/>
      <c r="K5183" s="103"/>
      <c r="L5183" s="103"/>
      <c r="M5183" s="104"/>
      <c r="N5183" s="103"/>
    </row>
    <row r="5184" spans="1:14" ht="45" customHeight="1" thickBot="1" x14ac:dyDescent="0.4">
      <c r="A5184" s="103"/>
      <c r="B5184" s="103"/>
      <c r="C5184" s="103"/>
      <c r="D5184" s="103"/>
      <c r="E5184" s="103"/>
      <c r="F5184" s="103"/>
      <c r="G5184" s="103"/>
      <c r="H5184" s="103"/>
      <c r="I5184" s="103"/>
      <c r="J5184" s="103"/>
      <c r="K5184" s="103"/>
      <c r="L5184" s="103"/>
      <c r="M5184" s="104"/>
      <c r="N5184" s="103"/>
    </row>
    <row r="5185" spans="1:14" ht="45" customHeight="1" thickBot="1" x14ac:dyDescent="0.4">
      <c r="A5185" s="103"/>
      <c r="B5185" s="103"/>
      <c r="C5185" s="103"/>
      <c r="D5185" s="103"/>
      <c r="E5185" s="103"/>
      <c r="F5185" s="103"/>
      <c r="G5185" s="103"/>
      <c r="H5185" s="103"/>
      <c r="I5185" s="103"/>
      <c r="J5185" s="103"/>
      <c r="K5185" s="103"/>
      <c r="L5185" s="103"/>
      <c r="M5185" s="104"/>
      <c r="N5185" s="103"/>
    </row>
    <row r="5186" spans="1:14" ht="45" customHeight="1" thickBot="1" x14ac:dyDescent="0.4">
      <c r="A5186" s="103"/>
      <c r="B5186" s="103"/>
      <c r="C5186" s="103"/>
      <c r="D5186" s="103"/>
      <c r="E5186" s="103"/>
      <c r="F5186" s="103"/>
      <c r="G5186" s="103"/>
      <c r="H5186" s="103"/>
      <c r="I5186" s="103"/>
      <c r="J5186" s="103"/>
      <c r="K5186" s="103"/>
      <c r="L5186" s="103"/>
      <c r="M5186" s="104"/>
      <c r="N5186" s="103"/>
    </row>
    <row r="5187" spans="1:14" ht="45" customHeight="1" thickBot="1" x14ac:dyDescent="0.4">
      <c r="A5187" s="103"/>
      <c r="B5187" s="103"/>
      <c r="C5187" s="103"/>
      <c r="D5187" s="103"/>
      <c r="E5187" s="103"/>
      <c r="F5187" s="103"/>
      <c r="G5187" s="103"/>
      <c r="H5187" s="103"/>
      <c r="I5187" s="103"/>
      <c r="J5187" s="103"/>
      <c r="K5187" s="103"/>
      <c r="L5187" s="103"/>
      <c r="M5187" s="104"/>
      <c r="N5187" s="103"/>
    </row>
    <row r="5188" spans="1:14" ht="45" customHeight="1" thickBot="1" x14ac:dyDescent="0.4">
      <c r="A5188" s="103"/>
      <c r="B5188" s="103"/>
      <c r="C5188" s="103"/>
      <c r="D5188" s="103"/>
      <c r="E5188" s="103"/>
      <c r="F5188" s="103"/>
      <c r="G5188" s="103"/>
      <c r="H5188" s="103"/>
      <c r="I5188" s="103"/>
      <c r="J5188" s="103"/>
      <c r="K5188" s="103"/>
      <c r="L5188" s="103"/>
      <c r="M5188" s="104"/>
      <c r="N5188" s="103"/>
    </row>
    <row r="5189" spans="1:14" ht="45" customHeight="1" thickBot="1" x14ac:dyDescent="0.4">
      <c r="A5189" s="103"/>
      <c r="B5189" s="103"/>
      <c r="C5189" s="103"/>
      <c r="D5189" s="103"/>
      <c r="E5189" s="103"/>
      <c r="F5189" s="103"/>
      <c r="G5189" s="103"/>
      <c r="H5189" s="103"/>
      <c r="I5189" s="103"/>
      <c r="J5189" s="103"/>
      <c r="K5189" s="103"/>
      <c r="L5189" s="103"/>
      <c r="M5189" s="104"/>
      <c r="N5189" s="103"/>
    </row>
    <row r="5190" spans="1:14" ht="45" customHeight="1" thickBot="1" x14ac:dyDescent="0.4">
      <c r="A5190" s="103"/>
      <c r="B5190" s="103"/>
      <c r="C5190" s="103"/>
      <c r="D5190" s="103"/>
      <c r="E5190" s="103"/>
      <c r="F5190" s="103"/>
      <c r="G5190" s="103"/>
      <c r="H5190" s="103"/>
      <c r="I5190" s="103"/>
      <c r="J5190" s="103"/>
      <c r="K5190" s="103"/>
      <c r="L5190" s="103"/>
      <c r="M5190" s="104"/>
      <c r="N5190" s="103"/>
    </row>
    <row r="5191" spans="1:14" ht="45" customHeight="1" thickBot="1" x14ac:dyDescent="0.4">
      <c r="A5191" s="103"/>
      <c r="B5191" s="103"/>
      <c r="C5191" s="103"/>
      <c r="D5191" s="103"/>
      <c r="E5191" s="103"/>
      <c r="F5191" s="103"/>
      <c r="G5191" s="103"/>
      <c r="H5191" s="103"/>
      <c r="I5191" s="103"/>
      <c r="J5191" s="103"/>
      <c r="K5191" s="103"/>
      <c r="L5191" s="103"/>
      <c r="M5191" s="104"/>
      <c r="N5191" s="103"/>
    </row>
    <row r="5192" spans="1:14" ht="45" customHeight="1" thickBot="1" x14ac:dyDescent="0.4">
      <c r="A5192" s="103"/>
      <c r="B5192" s="103"/>
      <c r="C5192" s="103"/>
      <c r="D5192" s="103"/>
      <c r="E5192" s="103"/>
      <c r="F5192" s="103"/>
      <c r="G5192" s="103"/>
      <c r="H5192" s="103"/>
      <c r="I5192" s="103"/>
      <c r="J5192" s="103"/>
      <c r="K5192" s="103"/>
      <c r="L5192" s="103"/>
      <c r="M5192" s="104"/>
      <c r="N5192" s="103"/>
    </row>
    <row r="5193" spans="1:14" ht="45" customHeight="1" thickBot="1" x14ac:dyDescent="0.4">
      <c r="A5193" s="103"/>
      <c r="B5193" s="103"/>
      <c r="C5193" s="103"/>
      <c r="D5193" s="103"/>
      <c r="E5193" s="103"/>
      <c r="F5193" s="103"/>
      <c r="G5193" s="103"/>
      <c r="H5193" s="103"/>
      <c r="I5193" s="103"/>
      <c r="J5193" s="103"/>
      <c r="K5193" s="103"/>
      <c r="L5193" s="103"/>
      <c r="M5193" s="104"/>
      <c r="N5193" s="103"/>
    </row>
    <row r="5194" spans="1:14" ht="45" customHeight="1" thickBot="1" x14ac:dyDescent="0.4">
      <c r="A5194" s="103"/>
      <c r="B5194" s="103"/>
      <c r="C5194" s="103"/>
      <c r="D5194" s="103"/>
      <c r="E5194" s="103"/>
      <c r="F5194" s="103"/>
      <c r="G5194" s="103"/>
      <c r="H5194" s="103"/>
      <c r="I5194" s="103"/>
      <c r="J5194" s="103"/>
      <c r="K5194" s="103"/>
      <c r="L5194" s="103"/>
      <c r="M5194" s="104"/>
      <c r="N5194" s="103"/>
    </row>
    <row r="5195" spans="1:14" ht="45" customHeight="1" thickBot="1" x14ac:dyDescent="0.4">
      <c r="A5195" s="103"/>
      <c r="B5195" s="103"/>
      <c r="C5195" s="103"/>
      <c r="D5195" s="103"/>
      <c r="E5195" s="103"/>
      <c r="F5195" s="103"/>
      <c r="G5195" s="103"/>
      <c r="H5195" s="103"/>
      <c r="I5195" s="103"/>
      <c r="J5195" s="103"/>
      <c r="K5195" s="103"/>
      <c r="L5195" s="103"/>
      <c r="M5195" s="104"/>
      <c r="N5195" s="103"/>
    </row>
    <row r="5196" spans="1:14" ht="45" customHeight="1" thickBot="1" x14ac:dyDescent="0.4">
      <c r="A5196" s="103"/>
      <c r="B5196" s="103"/>
      <c r="C5196" s="103"/>
      <c r="D5196" s="103"/>
      <c r="E5196" s="103"/>
      <c r="F5196" s="103"/>
      <c r="G5196" s="103"/>
      <c r="H5196" s="103"/>
      <c r="I5196" s="103"/>
      <c r="J5196" s="103"/>
      <c r="K5196" s="103"/>
      <c r="L5196" s="103"/>
      <c r="M5196" s="104"/>
      <c r="N5196" s="103"/>
    </row>
    <row r="5197" spans="1:14" ht="45" customHeight="1" thickBot="1" x14ac:dyDescent="0.4">
      <c r="A5197" s="103"/>
      <c r="B5197" s="103"/>
      <c r="C5197" s="103"/>
      <c r="D5197" s="103"/>
      <c r="E5197" s="103"/>
      <c r="F5197" s="103"/>
      <c r="G5197" s="103"/>
      <c r="H5197" s="103"/>
      <c r="I5197" s="103"/>
      <c r="J5197" s="103"/>
      <c r="K5197" s="103"/>
      <c r="L5197" s="103"/>
      <c r="M5197" s="104"/>
      <c r="N5197" s="103"/>
    </row>
    <row r="5198" spans="1:14" ht="45" customHeight="1" thickBot="1" x14ac:dyDescent="0.4">
      <c r="A5198" s="103"/>
      <c r="B5198" s="103"/>
      <c r="C5198" s="103"/>
      <c r="D5198" s="103"/>
      <c r="E5198" s="103"/>
      <c r="F5198" s="103"/>
      <c r="G5198" s="103"/>
      <c r="H5198" s="103"/>
      <c r="I5198" s="103"/>
      <c r="J5198" s="103"/>
      <c r="K5198" s="103"/>
      <c r="L5198" s="103"/>
      <c r="M5198" s="104"/>
      <c r="N5198" s="103"/>
    </row>
    <row r="5199" spans="1:14" ht="45" customHeight="1" thickBot="1" x14ac:dyDescent="0.4">
      <c r="A5199" s="103"/>
      <c r="B5199" s="103"/>
      <c r="C5199" s="103"/>
      <c r="D5199" s="103"/>
      <c r="E5199" s="103"/>
      <c r="F5199" s="103"/>
      <c r="G5199" s="103"/>
      <c r="H5199" s="103"/>
      <c r="I5199" s="103"/>
      <c r="J5199" s="103"/>
      <c r="K5199" s="103"/>
      <c r="L5199" s="103"/>
      <c r="M5199" s="104"/>
      <c r="N5199" s="103"/>
    </row>
    <row r="5200" spans="1:14" ht="45" customHeight="1" thickBot="1" x14ac:dyDescent="0.4">
      <c r="A5200" s="103"/>
      <c r="B5200" s="103"/>
      <c r="C5200" s="103"/>
      <c r="D5200" s="103"/>
      <c r="E5200" s="103"/>
      <c r="F5200" s="103"/>
      <c r="G5200" s="103"/>
      <c r="H5200" s="103"/>
      <c r="I5200" s="103"/>
      <c r="J5200" s="103"/>
      <c r="K5200" s="103"/>
      <c r="L5200" s="103"/>
      <c r="M5200" s="104"/>
      <c r="N5200" s="103"/>
    </row>
    <row r="5201" spans="1:14" ht="45" customHeight="1" thickBot="1" x14ac:dyDescent="0.4">
      <c r="A5201" s="103"/>
      <c r="B5201" s="103"/>
      <c r="C5201" s="103"/>
      <c r="D5201" s="103"/>
      <c r="E5201" s="103"/>
      <c r="F5201" s="103"/>
      <c r="G5201" s="103"/>
      <c r="H5201" s="103"/>
      <c r="I5201" s="103"/>
      <c r="J5201" s="103"/>
      <c r="K5201" s="103"/>
      <c r="L5201" s="103"/>
      <c r="M5201" s="104"/>
      <c r="N5201" s="103"/>
    </row>
    <row r="5202" spans="1:14" ht="45" customHeight="1" thickBot="1" x14ac:dyDescent="0.4">
      <c r="A5202" s="103"/>
      <c r="B5202" s="103"/>
      <c r="C5202" s="103"/>
      <c r="D5202" s="103"/>
      <c r="E5202" s="103"/>
      <c r="F5202" s="103"/>
      <c r="G5202" s="103"/>
      <c r="H5202" s="103"/>
      <c r="I5202" s="103"/>
      <c r="J5202" s="103"/>
      <c r="K5202" s="103"/>
      <c r="L5202" s="103"/>
      <c r="M5202" s="104"/>
      <c r="N5202" s="103"/>
    </row>
    <row r="5203" spans="1:14" ht="45" customHeight="1" thickBot="1" x14ac:dyDescent="0.4">
      <c r="A5203" s="103"/>
      <c r="B5203" s="103"/>
      <c r="C5203" s="103"/>
      <c r="D5203" s="103"/>
      <c r="E5203" s="103"/>
      <c r="F5203" s="103"/>
      <c r="G5203" s="103"/>
      <c r="H5203" s="103"/>
      <c r="I5203" s="103"/>
      <c r="J5203" s="103"/>
      <c r="K5203" s="103"/>
      <c r="L5203" s="103"/>
      <c r="M5203" s="104"/>
      <c r="N5203" s="103"/>
    </row>
    <row r="5204" spans="1:14" ht="45" customHeight="1" thickBot="1" x14ac:dyDescent="0.4">
      <c r="A5204" s="103"/>
      <c r="B5204" s="103"/>
      <c r="C5204" s="103"/>
      <c r="D5204" s="103"/>
      <c r="E5204" s="103"/>
      <c r="F5204" s="103"/>
      <c r="G5204" s="103"/>
      <c r="H5204" s="103"/>
      <c r="I5204" s="103"/>
      <c r="J5204" s="103"/>
      <c r="K5204" s="103"/>
      <c r="L5204" s="103"/>
      <c r="M5204" s="104"/>
      <c r="N5204" s="103"/>
    </row>
    <row r="5205" spans="1:14" ht="45" customHeight="1" thickBot="1" x14ac:dyDescent="0.4">
      <c r="A5205" s="103"/>
      <c r="B5205" s="103"/>
      <c r="C5205" s="103"/>
      <c r="D5205" s="103"/>
      <c r="E5205" s="103"/>
      <c r="F5205" s="103"/>
      <c r="G5205" s="103"/>
      <c r="H5205" s="103"/>
      <c r="I5205" s="103"/>
      <c r="J5205" s="103"/>
      <c r="K5205" s="103"/>
      <c r="L5205" s="103"/>
      <c r="M5205" s="104"/>
      <c r="N5205" s="103"/>
    </row>
    <row r="5206" spans="1:14" ht="45" customHeight="1" thickBot="1" x14ac:dyDescent="0.4">
      <c r="A5206" s="103"/>
      <c r="B5206" s="103"/>
      <c r="C5206" s="103"/>
      <c r="D5206" s="103"/>
      <c r="E5206" s="103"/>
      <c r="F5206" s="103"/>
      <c r="G5206" s="103"/>
      <c r="H5206" s="103"/>
      <c r="I5206" s="103"/>
      <c r="J5206" s="103"/>
      <c r="K5206" s="103"/>
      <c r="L5206" s="103"/>
      <c r="M5206" s="104"/>
      <c r="N5206" s="103"/>
    </row>
    <row r="5207" spans="1:14" ht="45" customHeight="1" thickBot="1" x14ac:dyDescent="0.4">
      <c r="A5207" s="103"/>
      <c r="B5207" s="103"/>
      <c r="C5207" s="103"/>
      <c r="D5207" s="103"/>
      <c r="E5207" s="103"/>
      <c r="F5207" s="103"/>
      <c r="G5207" s="103"/>
      <c r="H5207" s="103"/>
      <c r="I5207" s="103"/>
      <c r="J5207" s="103"/>
      <c r="K5207" s="103"/>
      <c r="L5207" s="103"/>
      <c r="M5207" s="104"/>
      <c r="N5207" s="103"/>
    </row>
    <row r="5208" spans="1:14" ht="45" customHeight="1" thickBot="1" x14ac:dyDescent="0.4">
      <c r="A5208" s="103"/>
      <c r="B5208" s="103"/>
      <c r="C5208" s="103"/>
      <c r="D5208" s="103"/>
      <c r="E5208" s="103"/>
      <c r="F5208" s="103"/>
      <c r="G5208" s="103"/>
      <c r="H5208" s="103"/>
      <c r="I5208" s="103"/>
      <c r="J5208" s="103"/>
      <c r="K5208" s="103"/>
      <c r="L5208" s="103"/>
      <c r="M5208" s="104"/>
      <c r="N5208" s="103"/>
    </row>
    <row r="5209" spans="1:14" ht="45" customHeight="1" thickBot="1" x14ac:dyDescent="0.4">
      <c r="A5209" s="103"/>
      <c r="B5209" s="103"/>
      <c r="C5209" s="103"/>
      <c r="D5209" s="103"/>
      <c r="E5209" s="103"/>
      <c r="F5209" s="103"/>
      <c r="G5209" s="103"/>
      <c r="H5209" s="103"/>
      <c r="I5209" s="103"/>
      <c r="J5209" s="103"/>
      <c r="K5209" s="103"/>
      <c r="L5209" s="103"/>
      <c r="M5209" s="104"/>
      <c r="N5209" s="103"/>
    </row>
    <row r="5210" spans="1:14" ht="45" customHeight="1" thickBot="1" x14ac:dyDescent="0.4">
      <c r="A5210" s="103"/>
      <c r="B5210" s="103"/>
      <c r="C5210" s="103"/>
      <c r="D5210" s="103"/>
      <c r="E5210" s="103"/>
      <c r="F5210" s="103"/>
      <c r="G5210" s="103"/>
      <c r="H5210" s="103"/>
      <c r="I5210" s="103"/>
      <c r="J5210" s="103"/>
      <c r="K5210" s="103"/>
      <c r="L5210" s="103"/>
      <c r="M5210" s="104"/>
      <c r="N5210" s="103"/>
    </row>
    <row r="5211" spans="1:14" ht="45" customHeight="1" thickBot="1" x14ac:dyDescent="0.4">
      <c r="A5211" s="103"/>
      <c r="B5211" s="103"/>
      <c r="C5211" s="103"/>
      <c r="D5211" s="103"/>
      <c r="E5211" s="103"/>
      <c r="F5211" s="103"/>
      <c r="G5211" s="103"/>
      <c r="H5211" s="103"/>
      <c r="I5211" s="103"/>
      <c r="J5211" s="103"/>
      <c r="K5211" s="103"/>
      <c r="L5211" s="103"/>
      <c r="M5211" s="104"/>
      <c r="N5211" s="103"/>
    </row>
    <row r="5212" spans="1:14" ht="45" customHeight="1" thickBot="1" x14ac:dyDescent="0.4">
      <c r="A5212" s="103"/>
      <c r="B5212" s="103"/>
      <c r="C5212" s="103"/>
      <c r="D5212" s="103"/>
      <c r="E5212" s="103"/>
      <c r="F5212" s="103"/>
      <c r="G5212" s="103"/>
      <c r="H5212" s="103"/>
      <c r="I5212" s="103"/>
      <c r="J5212" s="103"/>
      <c r="K5212" s="103"/>
      <c r="L5212" s="103"/>
      <c r="M5212" s="104"/>
      <c r="N5212" s="103"/>
    </row>
    <row r="5213" spans="1:14" ht="45" customHeight="1" thickBot="1" x14ac:dyDescent="0.4">
      <c r="A5213" s="103"/>
      <c r="B5213" s="103"/>
      <c r="C5213" s="103"/>
      <c r="D5213" s="103"/>
      <c r="E5213" s="103"/>
      <c r="F5213" s="103"/>
      <c r="G5213" s="103"/>
      <c r="H5213" s="103"/>
      <c r="I5213" s="103"/>
      <c r="J5213" s="103"/>
      <c r="K5213" s="103"/>
      <c r="L5213" s="103"/>
      <c r="M5213" s="104"/>
      <c r="N5213" s="103"/>
    </row>
    <row r="5214" spans="1:14" ht="45" customHeight="1" thickBot="1" x14ac:dyDescent="0.4">
      <c r="A5214" s="103"/>
      <c r="B5214" s="103"/>
      <c r="C5214" s="103"/>
      <c r="D5214" s="103"/>
      <c r="E5214" s="103"/>
      <c r="F5214" s="103"/>
      <c r="G5214" s="103"/>
      <c r="H5214" s="103"/>
      <c r="I5214" s="103"/>
      <c r="J5214" s="103"/>
      <c r="K5214" s="103"/>
      <c r="L5214" s="103"/>
      <c r="M5214" s="104"/>
      <c r="N5214" s="103"/>
    </row>
    <row r="5215" spans="1:14" ht="45" customHeight="1" thickBot="1" x14ac:dyDescent="0.4">
      <c r="A5215" s="103"/>
      <c r="B5215" s="103"/>
      <c r="C5215" s="103"/>
      <c r="D5215" s="103"/>
      <c r="E5215" s="103"/>
      <c r="F5215" s="103"/>
      <c r="G5215" s="103"/>
      <c r="H5215" s="103"/>
      <c r="I5215" s="103"/>
      <c r="J5215" s="103"/>
      <c r="K5215" s="103"/>
      <c r="L5215" s="103"/>
      <c r="M5215" s="104"/>
      <c r="N5215" s="103"/>
    </row>
    <row r="5216" spans="1:14" ht="45" customHeight="1" thickBot="1" x14ac:dyDescent="0.4">
      <c r="A5216" s="103"/>
      <c r="B5216" s="103"/>
      <c r="C5216" s="103"/>
      <c r="D5216" s="103"/>
      <c r="E5216" s="103"/>
      <c r="F5216" s="103"/>
      <c r="G5216" s="103"/>
      <c r="H5216" s="103"/>
      <c r="I5216" s="103"/>
      <c r="J5216" s="103"/>
      <c r="K5216" s="103"/>
      <c r="L5216" s="103"/>
      <c r="M5216" s="104"/>
      <c r="N5216" s="103"/>
    </row>
    <row r="5217" spans="1:14" ht="45" customHeight="1" thickBot="1" x14ac:dyDescent="0.4">
      <c r="A5217" s="103"/>
      <c r="B5217" s="103"/>
      <c r="C5217" s="103"/>
      <c r="D5217" s="103"/>
      <c r="E5217" s="103"/>
      <c r="F5217" s="103"/>
      <c r="G5217" s="103"/>
      <c r="H5217" s="103"/>
      <c r="I5217" s="103"/>
      <c r="J5217" s="103"/>
      <c r="K5217" s="103"/>
      <c r="L5217" s="103"/>
      <c r="M5217" s="104"/>
      <c r="N5217" s="103"/>
    </row>
    <row r="5218" spans="1:14" ht="45" customHeight="1" thickBot="1" x14ac:dyDescent="0.4">
      <c r="A5218" s="103"/>
      <c r="B5218" s="103"/>
      <c r="C5218" s="103"/>
      <c r="D5218" s="103"/>
      <c r="E5218" s="103"/>
      <c r="F5218" s="103"/>
      <c r="G5218" s="103"/>
      <c r="H5218" s="103"/>
      <c r="I5218" s="103"/>
      <c r="J5218" s="103"/>
      <c r="K5218" s="103"/>
      <c r="L5218" s="103"/>
      <c r="M5218" s="104"/>
      <c r="N5218" s="103"/>
    </row>
    <row r="5219" spans="1:14" ht="45" customHeight="1" thickBot="1" x14ac:dyDescent="0.4">
      <c r="A5219" s="103"/>
      <c r="B5219" s="103"/>
      <c r="C5219" s="103"/>
      <c r="D5219" s="103"/>
      <c r="E5219" s="103"/>
      <c r="F5219" s="103"/>
      <c r="G5219" s="103"/>
      <c r="H5219" s="103"/>
      <c r="I5219" s="103"/>
      <c r="J5219" s="103"/>
      <c r="K5219" s="103"/>
      <c r="L5219" s="103"/>
      <c r="M5219" s="104"/>
      <c r="N5219" s="103"/>
    </row>
    <row r="5220" spans="1:14" ht="45" customHeight="1" thickBot="1" x14ac:dyDescent="0.4">
      <c r="A5220" s="103"/>
      <c r="B5220" s="103"/>
      <c r="C5220" s="103"/>
      <c r="D5220" s="103"/>
      <c r="E5220" s="103"/>
      <c r="F5220" s="103"/>
      <c r="G5220" s="103"/>
      <c r="H5220" s="103"/>
      <c r="I5220" s="103"/>
      <c r="J5220" s="103"/>
      <c r="K5220" s="103"/>
      <c r="L5220" s="103"/>
      <c r="M5220" s="104"/>
      <c r="N5220" s="103"/>
    </row>
    <row r="5221" spans="1:14" ht="45" customHeight="1" thickBot="1" x14ac:dyDescent="0.4">
      <c r="A5221" s="103"/>
      <c r="B5221" s="103"/>
      <c r="C5221" s="103"/>
      <c r="D5221" s="103"/>
      <c r="E5221" s="103"/>
      <c r="F5221" s="103"/>
      <c r="G5221" s="103"/>
      <c r="H5221" s="103"/>
      <c r="I5221" s="103"/>
      <c r="J5221" s="103"/>
      <c r="K5221" s="103"/>
      <c r="L5221" s="103"/>
      <c r="M5221" s="104"/>
      <c r="N5221" s="103"/>
    </row>
    <row r="5222" spans="1:14" ht="45" customHeight="1" thickBot="1" x14ac:dyDescent="0.4">
      <c r="A5222" s="103"/>
      <c r="B5222" s="103"/>
      <c r="C5222" s="103"/>
      <c r="D5222" s="103"/>
      <c r="E5222" s="103"/>
      <c r="F5222" s="103"/>
      <c r="G5222" s="103"/>
      <c r="H5222" s="103"/>
      <c r="I5222" s="103"/>
      <c r="J5222" s="103"/>
      <c r="K5222" s="103"/>
      <c r="L5222" s="103"/>
      <c r="M5222" s="104"/>
      <c r="N5222" s="103"/>
    </row>
    <row r="5223" spans="1:14" ht="45" customHeight="1" thickBot="1" x14ac:dyDescent="0.4">
      <c r="A5223" s="103"/>
      <c r="B5223" s="103"/>
      <c r="C5223" s="103"/>
      <c r="D5223" s="103"/>
      <c r="E5223" s="103"/>
      <c r="F5223" s="103"/>
      <c r="G5223" s="103"/>
      <c r="H5223" s="103"/>
      <c r="I5223" s="103"/>
      <c r="J5223" s="103"/>
      <c r="K5223" s="103"/>
      <c r="L5223" s="103"/>
      <c r="M5223" s="104"/>
      <c r="N5223" s="103"/>
    </row>
    <row r="5224" spans="1:14" ht="45" customHeight="1" thickBot="1" x14ac:dyDescent="0.4">
      <c r="A5224" s="103"/>
      <c r="B5224" s="103"/>
      <c r="C5224" s="103"/>
      <c r="D5224" s="103"/>
      <c r="E5224" s="103"/>
      <c r="F5224" s="103"/>
      <c r="G5224" s="103"/>
      <c r="H5224" s="103"/>
      <c r="I5224" s="103"/>
      <c r="J5224" s="103"/>
      <c r="K5224" s="103"/>
      <c r="L5224" s="103"/>
      <c r="M5224" s="104"/>
      <c r="N5224" s="103"/>
    </row>
    <row r="5225" spans="1:14" ht="45" customHeight="1" thickBot="1" x14ac:dyDescent="0.4">
      <c r="A5225" s="103"/>
      <c r="B5225" s="103"/>
      <c r="C5225" s="103"/>
      <c r="D5225" s="103"/>
      <c r="E5225" s="103"/>
      <c r="F5225" s="103"/>
      <c r="G5225" s="103"/>
      <c r="H5225" s="103"/>
      <c r="I5225" s="103"/>
      <c r="J5225" s="103"/>
      <c r="K5225" s="103"/>
      <c r="L5225" s="103"/>
      <c r="M5225" s="104"/>
      <c r="N5225" s="103"/>
    </row>
    <row r="5226" spans="1:14" ht="45" customHeight="1" thickBot="1" x14ac:dyDescent="0.4">
      <c r="A5226" s="103"/>
      <c r="B5226" s="103"/>
      <c r="C5226" s="103"/>
      <c r="D5226" s="103"/>
      <c r="E5226" s="103"/>
      <c r="F5226" s="103"/>
      <c r="G5226" s="103"/>
      <c r="H5226" s="103"/>
      <c r="I5226" s="103"/>
      <c r="J5226" s="103"/>
      <c r="K5226" s="103"/>
      <c r="L5226" s="103"/>
      <c r="M5226" s="104"/>
      <c r="N5226" s="103"/>
    </row>
    <row r="5227" spans="1:14" ht="45" customHeight="1" thickBot="1" x14ac:dyDescent="0.4">
      <c r="A5227" s="103"/>
      <c r="B5227" s="103"/>
      <c r="C5227" s="103"/>
      <c r="D5227" s="103"/>
      <c r="E5227" s="103"/>
      <c r="F5227" s="103"/>
      <c r="G5227" s="103"/>
      <c r="H5227" s="103"/>
      <c r="I5227" s="103"/>
      <c r="J5227" s="103"/>
      <c r="K5227" s="103"/>
      <c r="L5227" s="103"/>
      <c r="M5227" s="104"/>
      <c r="N5227" s="103"/>
    </row>
    <row r="5228" spans="1:14" ht="45" customHeight="1" thickBot="1" x14ac:dyDescent="0.4">
      <c r="A5228" s="103"/>
      <c r="B5228" s="103"/>
      <c r="C5228" s="103"/>
      <c r="D5228" s="103"/>
      <c r="E5228" s="103"/>
      <c r="F5228" s="103"/>
      <c r="G5228" s="103"/>
      <c r="H5228" s="103"/>
      <c r="I5228" s="103"/>
      <c r="J5228" s="103"/>
      <c r="K5228" s="103"/>
      <c r="L5228" s="103"/>
      <c r="M5228" s="104"/>
      <c r="N5228" s="103"/>
    </row>
    <row r="5229" spans="1:14" ht="45" customHeight="1" thickBot="1" x14ac:dyDescent="0.4">
      <c r="A5229" s="103"/>
      <c r="B5229" s="103"/>
      <c r="C5229" s="103"/>
      <c r="D5229" s="103"/>
      <c r="E5229" s="103"/>
      <c r="F5229" s="103"/>
      <c r="G5229" s="103"/>
      <c r="H5229" s="103"/>
      <c r="I5229" s="103"/>
      <c r="J5229" s="103"/>
      <c r="K5229" s="103"/>
      <c r="L5229" s="103"/>
      <c r="M5229" s="104"/>
      <c r="N5229" s="103"/>
    </row>
    <row r="5230" spans="1:14" ht="45" customHeight="1" thickBot="1" x14ac:dyDescent="0.4">
      <c r="A5230" s="103"/>
      <c r="B5230" s="103"/>
      <c r="C5230" s="103"/>
      <c r="D5230" s="103"/>
      <c r="E5230" s="103"/>
      <c r="F5230" s="103"/>
      <c r="G5230" s="103"/>
      <c r="H5230" s="103"/>
      <c r="I5230" s="103"/>
      <c r="J5230" s="103"/>
      <c r="K5230" s="103"/>
      <c r="L5230" s="103"/>
      <c r="M5230" s="104"/>
      <c r="N5230" s="103"/>
    </row>
    <row r="5231" spans="1:14" ht="45" customHeight="1" thickBot="1" x14ac:dyDescent="0.4">
      <c r="A5231" s="103"/>
      <c r="B5231" s="103"/>
      <c r="C5231" s="103"/>
      <c r="D5231" s="103"/>
      <c r="E5231" s="103"/>
      <c r="F5231" s="103"/>
      <c r="G5231" s="103"/>
      <c r="H5231" s="103"/>
      <c r="I5231" s="103"/>
      <c r="J5231" s="103"/>
      <c r="K5231" s="103"/>
      <c r="L5231" s="103"/>
      <c r="M5231" s="104"/>
      <c r="N5231" s="103"/>
    </row>
    <row r="5232" spans="1:14" ht="45" customHeight="1" thickBot="1" x14ac:dyDescent="0.4">
      <c r="A5232" s="103"/>
      <c r="B5232" s="103"/>
      <c r="C5232" s="103"/>
      <c r="D5232" s="103"/>
      <c r="E5232" s="103"/>
      <c r="F5232" s="103"/>
      <c r="G5232" s="103"/>
      <c r="H5232" s="103"/>
      <c r="I5232" s="103"/>
      <c r="J5232" s="103"/>
      <c r="K5232" s="103"/>
      <c r="L5232" s="103"/>
      <c r="M5232" s="104"/>
      <c r="N5232" s="103"/>
    </row>
    <row r="5233" spans="1:14" ht="45" customHeight="1" thickBot="1" x14ac:dyDescent="0.4">
      <c r="A5233" s="103"/>
      <c r="B5233" s="103"/>
      <c r="C5233" s="103"/>
      <c r="D5233" s="103"/>
      <c r="E5233" s="103"/>
      <c r="F5233" s="103"/>
      <c r="G5233" s="103"/>
      <c r="H5233" s="103"/>
      <c r="I5233" s="103"/>
      <c r="J5233" s="103"/>
      <c r="K5233" s="103"/>
      <c r="L5233" s="103"/>
      <c r="M5233" s="104"/>
      <c r="N5233" s="103"/>
    </row>
    <row r="5234" spans="1:14" ht="45" customHeight="1" thickBot="1" x14ac:dyDescent="0.4">
      <c r="A5234" s="103"/>
      <c r="B5234" s="103"/>
      <c r="C5234" s="103"/>
      <c r="D5234" s="103"/>
      <c r="E5234" s="103"/>
      <c r="F5234" s="103"/>
      <c r="G5234" s="103"/>
      <c r="H5234" s="103"/>
      <c r="I5234" s="103"/>
      <c r="J5234" s="103"/>
      <c r="K5234" s="103"/>
      <c r="L5234" s="103"/>
      <c r="M5234" s="104"/>
      <c r="N5234" s="103"/>
    </row>
    <row r="5235" spans="1:14" ht="45" customHeight="1" thickBot="1" x14ac:dyDescent="0.4">
      <c r="A5235" s="103"/>
      <c r="B5235" s="103"/>
      <c r="C5235" s="103"/>
      <c r="D5235" s="103"/>
      <c r="E5235" s="103"/>
      <c r="F5235" s="103"/>
      <c r="G5235" s="103"/>
      <c r="H5235" s="103"/>
      <c r="I5235" s="103"/>
      <c r="J5235" s="103"/>
      <c r="K5235" s="103"/>
      <c r="L5235" s="103"/>
      <c r="M5235" s="104"/>
      <c r="N5235" s="103"/>
    </row>
    <row r="5236" spans="1:14" ht="45" customHeight="1" thickBot="1" x14ac:dyDescent="0.4">
      <c r="A5236" s="103"/>
      <c r="B5236" s="103"/>
      <c r="C5236" s="103"/>
      <c r="D5236" s="103"/>
      <c r="E5236" s="103"/>
      <c r="F5236" s="103"/>
      <c r="G5236" s="103"/>
      <c r="H5236" s="103"/>
      <c r="I5236" s="103"/>
      <c r="J5236" s="103"/>
      <c r="K5236" s="103"/>
      <c r="L5236" s="103"/>
      <c r="M5236" s="104"/>
      <c r="N5236" s="103"/>
    </row>
    <row r="5237" spans="1:14" ht="45" customHeight="1" thickBot="1" x14ac:dyDescent="0.4">
      <c r="A5237" s="103"/>
      <c r="B5237" s="103"/>
      <c r="C5237" s="103"/>
      <c r="D5237" s="103"/>
      <c r="E5237" s="103"/>
      <c r="F5237" s="103"/>
      <c r="G5237" s="103"/>
      <c r="H5237" s="103"/>
      <c r="I5237" s="103"/>
      <c r="J5237" s="103"/>
      <c r="K5237" s="103"/>
      <c r="L5237" s="103"/>
      <c r="M5237" s="104"/>
      <c r="N5237" s="103"/>
    </row>
    <row r="5238" spans="1:14" ht="45" customHeight="1" thickBot="1" x14ac:dyDescent="0.4">
      <c r="A5238" s="103"/>
      <c r="B5238" s="103"/>
      <c r="C5238" s="103"/>
      <c r="D5238" s="103"/>
      <c r="E5238" s="103"/>
      <c r="F5238" s="103"/>
      <c r="G5238" s="103"/>
      <c r="H5238" s="103"/>
      <c r="I5238" s="103"/>
      <c r="J5238" s="103"/>
      <c r="K5238" s="103"/>
      <c r="L5238" s="103"/>
      <c r="M5238" s="104"/>
      <c r="N5238" s="103"/>
    </row>
    <row r="5239" spans="1:14" ht="45" customHeight="1" thickBot="1" x14ac:dyDescent="0.4">
      <c r="A5239" s="103"/>
      <c r="B5239" s="103"/>
      <c r="C5239" s="103"/>
      <c r="D5239" s="103"/>
      <c r="E5239" s="103"/>
      <c r="F5239" s="103"/>
      <c r="G5239" s="103"/>
      <c r="H5239" s="103"/>
      <c r="I5239" s="103"/>
      <c r="J5239" s="103"/>
      <c r="K5239" s="103"/>
      <c r="L5239" s="103"/>
      <c r="M5239" s="104"/>
      <c r="N5239" s="103"/>
    </row>
    <row r="5240" spans="1:14" ht="45" customHeight="1" thickBot="1" x14ac:dyDescent="0.4">
      <c r="A5240" s="103"/>
      <c r="B5240" s="103"/>
      <c r="C5240" s="103"/>
      <c r="D5240" s="103"/>
      <c r="E5240" s="103"/>
      <c r="F5240" s="103"/>
      <c r="G5240" s="103"/>
      <c r="H5240" s="103"/>
      <c r="I5240" s="103"/>
      <c r="J5240" s="103"/>
      <c r="K5240" s="103"/>
      <c r="L5240" s="103"/>
      <c r="M5240" s="104"/>
      <c r="N5240" s="103"/>
    </row>
    <row r="5241" spans="1:14" ht="45" customHeight="1" thickBot="1" x14ac:dyDescent="0.4">
      <c r="A5241" s="103"/>
      <c r="B5241" s="103"/>
      <c r="C5241" s="103"/>
      <c r="D5241" s="103"/>
      <c r="E5241" s="103"/>
      <c r="F5241" s="103"/>
      <c r="G5241" s="103"/>
      <c r="H5241" s="103"/>
      <c r="I5241" s="103"/>
      <c r="J5241" s="103"/>
      <c r="K5241" s="103"/>
      <c r="L5241" s="103"/>
      <c r="M5241" s="104"/>
      <c r="N5241" s="103"/>
    </row>
    <row r="5242" spans="1:14" ht="45" customHeight="1" thickBot="1" x14ac:dyDescent="0.4">
      <c r="A5242" s="103"/>
      <c r="B5242" s="103"/>
      <c r="C5242" s="103"/>
      <c r="D5242" s="103"/>
      <c r="E5242" s="103"/>
      <c r="F5242" s="103"/>
      <c r="G5242" s="103"/>
      <c r="H5242" s="103"/>
      <c r="I5242" s="103"/>
      <c r="J5242" s="103"/>
      <c r="K5242" s="103"/>
      <c r="L5242" s="103"/>
      <c r="M5242" s="104"/>
      <c r="N5242" s="103"/>
    </row>
    <row r="5243" spans="1:14" ht="45" customHeight="1" thickBot="1" x14ac:dyDescent="0.4">
      <c r="A5243" s="103"/>
      <c r="B5243" s="103"/>
      <c r="C5243" s="103"/>
      <c r="D5243" s="103"/>
      <c r="E5243" s="103"/>
      <c r="F5243" s="103"/>
      <c r="G5243" s="103"/>
      <c r="H5243" s="103"/>
      <c r="I5243" s="103"/>
      <c r="J5243" s="103"/>
      <c r="K5243" s="103"/>
      <c r="L5243" s="103"/>
      <c r="M5243" s="104"/>
      <c r="N5243" s="103"/>
    </row>
    <row r="5244" spans="1:14" ht="45" customHeight="1" thickBot="1" x14ac:dyDescent="0.4">
      <c r="A5244" s="103"/>
      <c r="B5244" s="103"/>
      <c r="C5244" s="103"/>
      <c r="D5244" s="103"/>
      <c r="E5244" s="103"/>
      <c r="F5244" s="103"/>
      <c r="G5244" s="103"/>
      <c r="H5244" s="103"/>
      <c r="I5244" s="103"/>
      <c r="J5244" s="103"/>
      <c r="K5244" s="103"/>
      <c r="L5244" s="103"/>
      <c r="M5244" s="104"/>
      <c r="N5244" s="103"/>
    </row>
    <row r="5245" spans="1:14" ht="45" customHeight="1" thickBot="1" x14ac:dyDescent="0.4">
      <c r="A5245" s="103"/>
      <c r="B5245" s="103"/>
      <c r="C5245" s="103"/>
      <c r="D5245" s="103"/>
      <c r="E5245" s="103"/>
      <c r="F5245" s="103"/>
      <c r="G5245" s="103"/>
      <c r="H5245" s="103"/>
      <c r="I5245" s="103"/>
      <c r="J5245" s="103"/>
      <c r="K5245" s="103"/>
      <c r="L5245" s="103"/>
      <c r="M5245" s="104"/>
      <c r="N5245" s="103"/>
    </row>
    <row r="5246" spans="1:14" ht="45" customHeight="1" thickBot="1" x14ac:dyDescent="0.4">
      <c r="A5246" s="103"/>
      <c r="B5246" s="103"/>
      <c r="C5246" s="103"/>
      <c r="D5246" s="103"/>
      <c r="E5246" s="103"/>
      <c r="F5246" s="103"/>
      <c r="G5246" s="103"/>
      <c r="H5246" s="103"/>
      <c r="I5246" s="103"/>
      <c r="J5246" s="103"/>
      <c r="K5246" s="103"/>
      <c r="L5246" s="103"/>
      <c r="M5246" s="104"/>
      <c r="N5246" s="103"/>
    </row>
    <row r="5247" spans="1:14" ht="45" customHeight="1" thickBot="1" x14ac:dyDescent="0.4">
      <c r="A5247" s="103"/>
      <c r="B5247" s="103"/>
      <c r="C5247" s="103"/>
      <c r="D5247" s="103"/>
      <c r="E5247" s="103"/>
      <c r="F5247" s="103"/>
      <c r="G5247" s="103"/>
      <c r="H5247" s="103"/>
      <c r="I5247" s="103"/>
      <c r="J5247" s="103"/>
      <c r="K5247" s="103"/>
      <c r="L5247" s="103"/>
      <c r="M5247" s="104"/>
      <c r="N5247" s="103"/>
    </row>
    <row r="5248" spans="1:14" ht="45" customHeight="1" thickBot="1" x14ac:dyDescent="0.4">
      <c r="A5248" s="103"/>
      <c r="B5248" s="103"/>
      <c r="C5248" s="103"/>
      <c r="D5248" s="103"/>
      <c r="E5248" s="103"/>
      <c r="F5248" s="103"/>
      <c r="G5248" s="103"/>
      <c r="H5248" s="103"/>
      <c r="I5248" s="103"/>
      <c r="J5248" s="103"/>
      <c r="K5248" s="103"/>
      <c r="L5248" s="103"/>
      <c r="M5248" s="104"/>
      <c r="N5248" s="103"/>
    </row>
    <row r="5249" spans="1:14" ht="45" customHeight="1" thickBot="1" x14ac:dyDescent="0.4">
      <c r="A5249" s="103"/>
      <c r="B5249" s="103"/>
      <c r="C5249" s="103"/>
      <c r="D5249" s="103"/>
      <c r="E5249" s="103"/>
      <c r="F5249" s="103"/>
      <c r="G5249" s="103"/>
      <c r="H5249" s="103"/>
      <c r="I5249" s="103"/>
      <c r="J5249" s="103"/>
      <c r="K5249" s="103"/>
      <c r="L5249" s="103"/>
      <c r="M5249" s="104"/>
      <c r="N5249" s="103"/>
    </row>
    <row r="5250" spans="1:14" ht="45" customHeight="1" thickBot="1" x14ac:dyDescent="0.4">
      <c r="A5250" s="103"/>
      <c r="B5250" s="103"/>
      <c r="C5250" s="103"/>
      <c r="D5250" s="103"/>
      <c r="E5250" s="103"/>
      <c r="F5250" s="103"/>
      <c r="G5250" s="103"/>
      <c r="H5250" s="103"/>
      <c r="I5250" s="103"/>
      <c r="J5250" s="103"/>
      <c r="K5250" s="103"/>
      <c r="L5250" s="103"/>
      <c r="M5250" s="104"/>
      <c r="N5250" s="103"/>
    </row>
    <row r="5251" spans="1:14" ht="45" customHeight="1" thickBot="1" x14ac:dyDescent="0.4">
      <c r="A5251" s="103"/>
      <c r="B5251" s="103"/>
      <c r="C5251" s="103"/>
      <c r="D5251" s="103"/>
      <c r="E5251" s="103"/>
      <c r="F5251" s="103"/>
      <c r="G5251" s="103"/>
      <c r="H5251" s="103"/>
      <c r="I5251" s="103"/>
      <c r="J5251" s="103"/>
      <c r="K5251" s="103"/>
      <c r="L5251" s="103"/>
      <c r="M5251" s="104"/>
      <c r="N5251" s="103"/>
    </row>
    <row r="5252" spans="1:14" ht="45" customHeight="1" thickBot="1" x14ac:dyDescent="0.4">
      <c r="A5252" s="103"/>
      <c r="B5252" s="103"/>
      <c r="C5252" s="103"/>
      <c r="D5252" s="103"/>
      <c r="E5252" s="103"/>
      <c r="F5252" s="103"/>
      <c r="G5252" s="103"/>
      <c r="H5252" s="103"/>
      <c r="I5252" s="103"/>
      <c r="J5252" s="103"/>
      <c r="K5252" s="103"/>
      <c r="L5252" s="103"/>
      <c r="M5252" s="104"/>
      <c r="N5252" s="103"/>
    </row>
    <row r="5253" spans="1:14" ht="45" customHeight="1" thickBot="1" x14ac:dyDescent="0.4">
      <c r="A5253" s="103"/>
      <c r="B5253" s="103"/>
      <c r="C5253" s="103"/>
      <c r="D5253" s="103"/>
      <c r="E5253" s="103"/>
      <c r="F5253" s="103"/>
      <c r="G5253" s="103"/>
      <c r="H5253" s="103"/>
      <c r="I5253" s="103"/>
      <c r="J5253" s="103"/>
      <c r="K5253" s="103"/>
      <c r="L5253" s="103"/>
      <c r="M5253" s="104"/>
      <c r="N5253" s="103"/>
    </row>
    <row r="5254" spans="1:14" ht="45" customHeight="1" thickBot="1" x14ac:dyDescent="0.4">
      <c r="A5254" s="103"/>
      <c r="B5254" s="103"/>
      <c r="C5254" s="103"/>
      <c r="D5254" s="103"/>
      <c r="E5254" s="103"/>
      <c r="F5254" s="103"/>
      <c r="G5254" s="103"/>
      <c r="H5254" s="103"/>
      <c r="I5254" s="103"/>
      <c r="J5254" s="103"/>
      <c r="K5254" s="103"/>
      <c r="L5254" s="103"/>
      <c r="M5254" s="104"/>
      <c r="N5254" s="103"/>
    </row>
    <row r="5255" spans="1:14" ht="45" customHeight="1" thickBot="1" x14ac:dyDescent="0.4">
      <c r="A5255" s="103"/>
      <c r="B5255" s="103"/>
      <c r="C5255" s="103"/>
      <c r="D5255" s="103"/>
      <c r="E5255" s="103"/>
      <c r="F5255" s="103"/>
      <c r="G5255" s="103"/>
      <c r="H5255" s="103"/>
      <c r="I5255" s="103"/>
      <c r="J5255" s="103"/>
      <c r="K5255" s="103"/>
      <c r="L5255" s="103"/>
      <c r="M5255" s="104"/>
      <c r="N5255" s="103"/>
    </row>
    <row r="5256" spans="1:14" ht="45" customHeight="1" thickBot="1" x14ac:dyDescent="0.4">
      <c r="A5256" s="103"/>
      <c r="B5256" s="103"/>
      <c r="C5256" s="103"/>
      <c r="D5256" s="103"/>
      <c r="E5256" s="103"/>
      <c r="F5256" s="103"/>
      <c r="G5256" s="103"/>
      <c r="H5256" s="103"/>
      <c r="I5256" s="103"/>
      <c r="J5256" s="103"/>
      <c r="K5256" s="103"/>
      <c r="L5256" s="103"/>
      <c r="M5256" s="104"/>
      <c r="N5256" s="103"/>
    </row>
    <row r="5257" spans="1:14" ht="45" customHeight="1" thickBot="1" x14ac:dyDescent="0.4">
      <c r="A5257" s="103"/>
      <c r="B5257" s="103"/>
      <c r="C5257" s="103"/>
      <c r="D5257" s="103"/>
      <c r="E5257" s="103"/>
      <c r="F5257" s="103"/>
      <c r="G5257" s="103"/>
      <c r="H5257" s="103"/>
      <c r="I5257" s="103"/>
      <c r="J5257" s="103"/>
      <c r="K5257" s="103"/>
      <c r="L5257" s="103"/>
      <c r="M5257" s="104"/>
      <c r="N5257" s="103"/>
    </row>
    <row r="5258" spans="1:14" ht="45" customHeight="1" thickBot="1" x14ac:dyDescent="0.4">
      <c r="A5258" s="103"/>
      <c r="B5258" s="103"/>
      <c r="C5258" s="103"/>
      <c r="D5258" s="103"/>
      <c r="E5258" s="103"/>
      <c r="F5258" s="103"/>
      <c r="G5258" s="103"/>
      <c r="H5258" s="103"/>
      <c r="I5258" s="103"/>
      <c r="J5258" s="103"/>
      <c r="K5258" s="103"/>
      <c r="L5258" s="103"/>
      <c r="M5258" s="104"/>
      <c r="N5258" s="103"/>
    </row>
    <row r="5259" spans="1:14" ht="45" customHeight="1" thickBot="1" x14ac:dyDescent="0.4">
      <c r="A5259" s="103"/>
      <c r="B5259" s="103"/>
      <c r="C5259" s="103"/>
      <c r="D5259" s="103"/>
      <c r="E5259" s="103"/>
      <c r="F5259" s="103"/>
      <c r="G5259" s="103"/>
      <c r="H5259" s="103"/>
      <c r="I5259" s="103"/>
      <c r="J5259" s="103"/>
      <c r="K5259" s="103"/>
      <c r="L5259" s="103"/>
      <c r="M5259" s="104"/>
      <c r="N5259" s="103"/>
    </row>
    <row r="5260" spans="1:14" ht="45" customHeight="1" thickBot="1" x14ac:dyDescent="0.4">
      <c r="A5260" s="103"/>
      <c r="B5260" s="103"/>
      <c r="C5260" s="103"/>
      <c r="D5260" s="103"/>
      <c r="E5260" s="103"/>
      <c r="F5260" s="103"/>
      <c r="G5260" s="103"/>
      <c r="H5260" s="103"/>
      <c r="I5260" s="103"/>
      <c r="J5260" s="103"/>
      <c r="K5260" s="103"/>
      <c r="L5260" s="103"/>
      <c r="M5260" s="104"/>
      <c r="N5260" s="103"/>
    </row>
    <row r="5261" spans="1:14" ht="45" customHeight="1" thickBot="1" x14ac:dyDescent="0.4">
      <c r="A5261" s="103"/>
      <c r="B5261" s="103"/>
      <c r="C5261" s="103"/>
      <c r="D5261" s="103"/>
      <c r="E5261" s="103"/>
      <c r="F5261" s="103"/>
      <c r="G5261" s="103"/>
      <c r="H5261" s="103"/>
      <c r="I5261" s="103"/>
      <c r="J5261" s="103"/>
      <c r="K5261" s="103"/>
      <c r="L5261" s="103"/>
      <c r="M5261" s="104"/>
      <c r="N5261" s="103"/>
    </row>
    <row r="5262" spans="1:14" ht="45" customHeight="1" thickBot="1" x14ac:dyDescent="0.4">
      <c r="A5262" s="103"/>
      <c r="B5262" s="103"/>
      <c r="C5262" s="103"/>
      <c r="D5262" s="103"/>
      <c r="E5262" s="103"/>
      <c r="F5262" s="103"/>
      <c r="G5262" s="103"/>
      <c r="H5262" s="103"/>
      <c r="I5262" s="103"/>
      <c r="J5262" s="103"/>
      <c r="K5262" s="103"/>
      <c r="L5262" s="103"/>
      <c r="M5262" s="104"/>
      <c r="N5262" s="103"/>
    </row>
    <row r="5263" spans="1:14" ht="45" customHeight="1" thickBot="1" x14ac:dyDescent="0.4">
      <c r="A5263" s="103"/>
      <c r="B5263" s="103"/>
      <c r="C5263" s="103"/>
      <c r="D5263" s="103"/>
      <c r="E5263" s="103"/>
      <c r="F5263" s="103"/>
      <c r="G5263" s="103"/>
      <c r="H5263" s="103"/>
      <c r="I5263" s="103"/>
      <c r="J5263" s="103"/>
      <c r="K5263" s="103"/>
      <c r="L5263" s="103"/>
      <c r="M5263" s="104"/>
      <c r="N5263" s="103"/>
    </row>
    <row r="5264" spans="1:14" ht="45" customHeight="1" thickBot="1" x14ac:dyDescent="0.4">
      <c r="A5264" s="103"/>
      <c r="B5264" s="103"/>
      <c r="C5264" s="103"/>
      <c r="D5264" s="103"/>
      <c r="E5264" s="103"/>
      <c r="F5264" s="103"/>
      <c r="G5264" s="103"/>
      <c r="H5264" s="103"/>
      <c r="I5264" s="103"/>
      <c r="J5264" s="103"/>
      <c r="K5264" s="103"/>
      <c r="L5264" s="103"/>
      <c r="M5264" s="104"/>
      <c r="N5264" s="103"/>
    </row>
    <row r="5265" spans="1:14" ht="45" customHeight="1" thickBot="1" x14ac:dyDescent="0.4">
      <c r="A5265" s="103"/>
      <c r="B5265" s="103"/>
      <c r="C5265" s="103"/>
      <c r="D5265" s="103"/>
      <c r="E5265" s="103"/>
      <c r="F5265" s="103"/>
      <c r="G5265" s="103"/>
      <c r="H5265" s="103"/>
      <c r="I5265" s="103"/>
      <c r="J5265" s="103"/>
      <c r="K5265" s="103"/>
      <c r="L5265" s="103"/>
      <c r="M5265" s="104"/>
      <c r="N5265" s="103"/>
    </row>
    <row r="5266" spans="1:14" ht="45" customHeight="1" thickBot="1" x14ac:dyDescent="0.4">
      <c r="A5266" s="103"/>
      <c r="B5266" s="103"/>
      <c r="C5266" s="103"/>
      <c r="D5266" s="103"/>
      <c r="E5266" s="103"/>
      <c r="F5266" s="103"/>
      <c r="G5266" s="103"/>
      <c r="H5266" s="103"/>
      <c r="I5266" s="103"/>
      <c r="J5266" s="103"/>
      <c r="K5266" s="103"/>
      <c r="L5266" s="103"/>
      <c r="M5266" s="104"/>
      <c r="N5266" s="103"/>
    </row>
    <row r="5267" spans="1:14" ht="45" customHeight="1" thickBot="1" x14ac:dyDescent="0.4">
      <c r="A5267" s="103"/>
      <c r="B5267" s="103"/>
      <c r="C5267" s="103"/>
      <c r="D5267" s="103"/>
      <c r="E5267" s="103"/>
      <c r="F5267" s="103"/>
      <c r="G5267" s="103"/>
      <c r="H5267" s="103"/>
      <c r="I5267" s="103"/>
      <c r="J5267" s="103"/>
      <c r="K5267" s="103"/>
      <c r="L5267" s="103"/>
      <c r="M5267" s="104"/>
      <c r="N5267" s="103"/>
    </row>
    <row r="5268" spans="1:14" ht="45" customHeight="1" thickBot="1" x14ac:dyDescent="0.4">
      <c r="A5268" s="103"/>
      <c r="B5268" s="103"/>
      <c r="C5268" s="103"/>
      <c r="D5268" s="103"/>
      <c r="E5268" s="103"/>
      <c r="F5268" s="103"/>
      <c r="G5268" s="103"/>
      <c r="H5268" s="103"/>
      <c r="I5268" s="103"/>
      <c r="J5268" s="103"/>
      <c r="K5268" s="103"/>
      <c r="L5268" s="103"/>
      <c r="M5268" s="104"/>
      <c r="N5268" s="103"/>
    </row>
    <row r="5269" spans="1:14" ht="45" customHeight="1" thickBot="1" x14ac:dyDescent="0.4">
      <c r="A5269" s="103"/>
      <c r="B5269" s="103"/>
      <c r="C5269" s="103"/>
      <c r="D5269" s="103"/>
      <c r="E5269" s="103"/>
      <c r="F5269" s="103"/>
      <c r="G5269" s="103"/>
      <c r="H5269" s="103"/>
      <c r="I5269" s="103"/>
      <c r="J5269" s="103"/>
      <c r="K5269" s="103"/>
      <c r="L5269" s="103"/>
      <c r="M5269" s="104"/>
      <c r="N5269" s="103"/>
    </row>
    <row r="5270" spans="1:14" ht="45" customHeight="1" thickBot="1" x14ac:dyDescent="0.4">
      <c r="A5270" s="103"/>
      <c r="B5270" s="103"/>
      <c r="C5270" s="103"/>
      <c r="D5270" s="103"/>
      <c r="E5270" s="103"/>
      <c r="F5270" s="103"/>
      <c r="G5270" s="103"/>
      <c r="H5270" s="103"/>
      <c r="I5270" s="103"/>
      <c r="J5270" s="103"/>
      <c r="K5270" s="103"/>
      <c r="L5270" s="103"/>
      <c r="M5270" s="104"/>
      <c r="N5270" s="103"/>
    </row>
    <row r="5271" spans="1:14" ht="45" customHeight="1" thickBot="1" x14ac:dyDescent="0.4">
      <c r="A5271" s="103"/>
      <c r="B5271" s="103"/>
      <c r="C5271" s="103"/>
      <c r="D5271" s="103"/>
      <c r="E5271" s="103"/>
      <c r="F5271" s="103"/>
      <c r="G5271" s="103"/>
      <c r="H5271" s="103"/>
      <c r="I5271" s="103"/>
      <c r="J5271" s="103"/>
      <c r="K5271" s="103"/>
      <c r="L5271" s="103"/>
      <c r="M5271" s="104"/>
      <c r="N5271" s="103"/>
    </row>
    <row r="5272" spans="1:14" ht="45" customHeight="1" thickBot="1" x14ac:dyDescent="0.4">
      <c r="A5272" s="103"/>
      <c r="B5272" s="103"/>
      <c r="C5272" s="103"/>
      <c r="D5272" s="103"/>
      <c r="E5272" s="103"/>
      <c r="F5272" s="103"/>
      <c r="G5272" s="103"/>
      <c r="H5272" s="103"/>
      <c r="I5272" s="103"/>
      <c r="J5272" s="103"/>
      <c r="K5272" s="103"/>
      <c r="L5272" s="103"/>
      <c r="M5272" s="104"/>
      <c r="N5272" s="103"/>
    </row>
    <row r="5273" spans="1:14" ht="45" customHeight="1" thickBot="1" x14ac:dyDescent="0.4">
      <c r="A5273" s="103"/>
      <c r="B5273" s="103"/>
      <c r="C5273" s="103"/>
      <c r="D5273" s="103"/>
      <c r="E5273" s="103"/>
      <c r="F5273" s="103"/>
      <c r="G5273" s="103"/>
      <c r="H5273" s="103"/>
      <c r="I5273" s="103"/>
      <c r="J5273" s="103"/>
      <c r="K5273" s="103"/>
      <c r="L5273" s="103"/>
      <c r="M5273" s="104"/>
      <c r="N5273" s="103"/>
    </row>
    <row r="5274" spans="1:14" ht="45" customHeight="1" thickBot="1" x14ac:dyDescent="0.4">
      <c r="A5274" s="103"/>
      <c r="B5274" s="103"/>
      <c r="C5274" s="103"/>
      <c r="D5274" s="103"/>
      <c r="E5274" s="103"/>
      <c r="F5274" s="103"/>
      <c r="G5274" s="103"/>
      <c r="H5274" s="103"/>
      <c r="I5274" s="103"/>
      <c r="J5274" s="103"/>
      <c r="K5274" s="103"/>
      <c r="L5274" s="103"/>
      <c r="M5274" s="104"/>
      <c r="N5274" s="103"/>
    </row>
    <row r="5275" spans="1:14" ht="45" customHeight="1" thickBot="1" x14ac:dyDescent="0.4">
      <c r="A5275" s="103"/>
      <c r="B5275" s="103"/>
      <c r="C5275" s="103"/>
      <c r="D5275" s="103"/>
      <c r="E5275" s="103"/>
      <c r="F5275" s="103"/>
      <c r="G5275" s="103"/>
      <c r="H5275" s="103"/>
      <c r="I5275" s="103"/>
      <c r="J5275" s="103"/>
      <c r="K5275" s="103"/>
      <c r="L5275" s="103"/>
      <c r="M5275" s="104"/>
      <c r="N5275" s="103"/>
    </row>
    <row r="5276" spans="1:14" ht="45" customHeight="1" thickBot="1" x14ac:dyDescent="0.4">
      <c r="A5276" s="103"/>
      <c r="B5276" s="103"/>
      <c r="C5276" s="103"/>
      <c r="D5276" s="103"/>
      <c r="E5276" s="103"/>
      <c r="F5276" s="103"/>
      <c r="G5276" s="103"/>
      <c r="H5276" s="103"/>
      <c r="I5276" s="103"/>
      <c r="J5276" s="103"/>
      <c r="K5276" s="103"/>
      <c r="L5276" s="103"/>
      <c r="M5276" s="104"/>
      <c r="N5276" s="103"/>
    </row>
    <row r="5277" spans="1:14" ht="45" customHeight="1" thickBot="1" x14ac:dyDescent="0.4">
      <c r="A5277" s="103"/>
      <c r="B5277" s="103"/>
      <c r="C5277" s="103"/>
      <c r="D5277" s="103"/>
      <c r="E5277" s="103"/>
      <c r="F5277" s="103"/>
      <c r="G5277" s="103"/>
      <c r="H5277" s="103"/>
      <c r="I5277" s="103"/>
      <c r="J5277" s="103"/>
      <c r="K5277" s="103"/>
      <c r="L5277" s="103"/>
      <c r="M5277" s="104"/>
      <c r="N5277" s="103"/>
    </row>
    <row r="5278" spans="1:14" ht="45" customHeight="1" thickBot="1" x14ac:dyDescent="0.4">
      <c r="A5278" s="103"/>
      <c r="B5278" s="103"/>
      <c r="C5278" s="103"/>
      <c r="D5278" s="103"/>
      <c r="E5278" s="103"/>
      <c r="F5278" s="103"/>
      <c r="G5278" s="103"/>
      <c r="H5278" s="103"/>
      <c r="I5278" s="103"/>
      <c r="J5278" s="103"/>
      <c r="K5278" s="103"/>
      <c r="L5278" s="103"/>
      <c r="M5278" s="104"/>
      <c r="N5278" s="103"/>
    </row>
    <row r="5279" spans="1:14" ht="45" customHeight="1" thickBot="1" x14ac:dyDescent="0.4">
      <c r="A5279" s="103"/>
      <c r="B5279" s="103"/>
      <c r="C5279" s="103"/>
      <c r="D5279" s="103"/>
      <c r="E5279" s="103"/>
      <c r="F5279" s="103"/>
      <c r="G5279" s="103"/>
      <c r="H5279" s="103"/>
      <c r="I5279" s="103"/>
      <c r="J5279" s="103"/>
      <c r="K5279" s="103"/>
      <c r="L5279" s="103"/>
      <c r="M5279" s="104"/>
      <c r="N5279" s="103"/>
    </row>
    <row r="5280" spans="1:14" ht="45" customHeight="1" thickBot="1" x14ac:dyDescent="0.4">
      <c r="A5280" s="103"/>
      <c r="B5280" s="103"/>
      <c r="C5280" s="103"/>
      <c r="D5280" s="103"/>
      <c r="E5280" s="103"/>
      <c r="F5280" s="103"/>
      <c r="G5280" s="103"/>
      <c r="H5280" s="103"/>
      <c r="I5280" s="103"/>
      <c r="J5280" s="103"/>
      <c r="K5280" s="103"/>
      <c r="L5280" s="103"/>
      <c r="M5280" s="104"/>
      <c r="N5280" s="103"/>
    </row>
    <row r="5281" spans="1:14" ht="45" customHeight="1" thickBot="1" x14ac:dyDescent="0.4">
      <c r="A5281" s="103"/>
      <c r="B5281" s="103"/>
      <c r="C5281" s="103"/>
      <c r="D5281" s="103"/>
      <c r="E5281" s="103"/>
      <c r="F5281" s="103"/>
      <c r="G5281" s="103"/>
      <c r="H5281" s="103"/>
      <c r="I5281" s="103"/>
      <c r="J5281" s="103"/>
      <c r="K5281" s="103"/>
      <c r="L5281" s="103"/>
      <c r="M5281" s="104"/>
      <c r="N5281" s="103"/>
    </row>
    <row r="5282" spans="1:14" ht="45" customHeight="1" thickBot="1" x14ac:dyDescent="0.4">
      <c r="A5282" s="103"/>
      <c r="B5282" s="103"/>
      <c r="C5282" s="103"/>
      <c r="D5282" s="103"/>
      <c r="E5282" s="103"/>
      <c r="F5282" s="103"/>
      <c r="G5282" s="103"/>
      <c r="H5282" s="103"/>
      <c r="I5282" s="103"/>
      <c r="J5282" s="103"/>
      <c r="K5282" s="103"/>
      <c r="L5282" s="103"/>
      <c r="M5282" s="104"/>
      <c r="N5282" s="103"/>
    </row>
    <row r="5283" spans="1:14" ht="45" customHeight="1" thickBot="1" x14ac:dyDescent="0.4">
      <c r="A5283" s="103"/>
      <c r="B5283" s="103"/>
      <c r="C5283" s="103"/>
      <c r="D5283" s="103"/>
      <c r="E5283" s="103"/>
      <c r="F5283" s="103"/>
      <c r="G5283" s="103"/>
      <c r="H5283" s="103"/>
      <c r="I5283" s="103"/>
      <c r="J5283" s="103"/>
      <c r="K5283" s="103"/>
      <c r="L5283" s="103"/>
      <c r="M5283" s="104"/>
      <c r="N5283" s="103"/>
    </row>
    <row r="5284" spans="1:14" ht="45" customHeight="1" thickBot="1" x14ac:dyDescent="0.4">
      <c r="A5284" s="103"/>
      <c r="B5284" s="103"/>
      <c r="C5284" s="103"/>
      <c r="D5284" s="103"/>
      <c r="E5284" s="103"/>
      <c r="F5284" s="103"/>
      <c r="G5284" s="103"/>
      <c r="H5284" s="103"/>
      <c r="I5284" s="103"/>
      <c r="J5284" s="103"/>
      <c r="K5284" s="103"/>
      <c r="L5284" s="103"/>
      <c r="M5284" s="104"/>
      <c r="N5284" s="103"/>
    </row>
    <row r="5285" spans="1:14" ht="45" customHeight="1" thickBot="1" x14ac:dyDescent="0.4">
      <c r="A5285" s="103"/>
      <c r="B5285" s="103"/>
      <c r="C5285" s="103"/>
      <c r="D5285" s="103"/>
      <c r="E5285" s="103"/>
      <c r="F5285" s="103"/>
      <c r="G5285" s="103"/>
      <c r="H5285" s="103"/>
      <c r="I5285" s="103"/>
      <c r="J5285" s="103"/>
      <c r="K5285" s="103"/>
      <c r="L5285" s="103"/>
      <c r="M5285" s="104"/>
      <c r="N5285" s="103"/>
    </row>
    <row r="5286" spans="1:14" ht="45" customHeight="1" thickBot="1" x14ac:dyDescent="0.4">
      <c r="A5286" s="103"/>
      <c r="B5286" s="103"/>
      <c r="C5286" s="103"/>
      <c r="D5286" s="103"/>
      <c r="E5286" s="103"/>
      <c r="F5286" s="103"/>
      <c r="G5286" s="103"/>
      <c r="H5286" s="103"/>
      <c r="I5286" s="103"/>
      <c r="J5286" s="103"/>
      <c r="K5286" s="103"/>
      <c r="L5286" s="103"/>
      <c r="M5286" s="104"/>
      <c r="N5286" s="103"/>
    </row>
    <row r="5287" spans="1:14" ht="45" customHeight="1" thickBot="1" x14ac:dyDescent="0.4">
      <c r="A5287" s="103"/>
      <c r="B5287" s="103"/>
      <c r="C5287" s="103"/>
      <c r="D5287" s="103"/>
      <c r="E5287" s="103"/>
      <c r="F5287" s="103"/>
      <c r="G5287" s="103"/>
      <c r="H5287" s="103"/>
      <c r="I5287" s="103"/>
      <c r="J5287" s="103"/>
      <c r="K5287" s="103"/>
      <c r="L5287" s="103"/>
      <c r="M5287" s="104"/>
      <c r="N5287" s="103"/>
    </row>
    <row r="5288" spans="1:14" ht="45" customHeight="1" thickBot="1" x14ac:dyDescent="0.4">
      <c r="A5288" s="103"/>
      <c r="B5288" s="103"/>
      <c r="C5288" s="103"/>
      <c r="D5288" s="103"/>
      <c r="E5288" s="103"/>
      <c r="F5288" s="103"/>
      <c r="G5288" s="103"/>
      <c r="H5288" s="103"/>
      <c r="I5288" s="103"/>
      <c r="J5288" s="103"/>
      <c r="K5288" s="103"/>
      <c r="L5288" s="103"/>
      <c r="M5288" s="104"/>
      <c r="N5288" s="103"/>
    </row>
    <row r="5289" spans="1:14" ht="45" customHeight="1" thickBot="1" x14ac:dyDescent="0.4">
      <c r="A5289" s="103"/>
      <c r="B5289" s="103"/>
      <c r="C5289" s="103"/>
      <c r="D5289" s="103"/>
      <c r="E5289" s="103"/>
      <c r="F5289" s="103"/>
      <c r="G5289" s="103"/>
      <c r="H5289" s="103"/>
      <c r="I5289" s="103"/>
      <c r="J5289" s="103"/>
      <c r="K5289" s="103"/>
      <c r="L5289" s="103"/>
      <c r="M5289" s="104"/>
      <c r="N5289" s="103"/>
    </row>
    <row r="5290" spans="1:14" ht="45" customHeight="1" thickBot="1" x14ac:dyDescent="0.4">
      <c r="A5290" s="103"/>
      <c r="B5290" s="103"/>
      <c r="C5290" s="103"/>
      <c r="D5290" s="103"/>
      <c r="E5290" s="103"/>
      <c r="F5290" s="103"/>
      <c r="G5290" s="103"/>
      <c r="H5290" s="103"/>
      <c r="I5290" s="103"/>
      <c r="J5290" s="103"/>
      <c r="K5290" s="103"/>
      <c r="L5290" s="103"/>
      <c r="M5290" s="104"/>
      <c r="N5290" s="103"/>
    </row>
    <row r="5291" spans="1:14" ht="45" customHeight="1" thickBot="1" x14ac:dyDescent="0.4">
      <c r="A5291" s="103"/>
      <c r="B5291" s="103"/>
      <c r="C5291" s="103"/>
      <c r="D5291" s="103"/>
      <c r="E5291" s="103"/>
      <c r="F5291" s="103"/>
      <c r="G5291" s="103"/>
      <c r="H5291" s="103"/>
      <c r="I5291" s="103"/>
      <c r="J5291" s="103"/>
      <c r="K5291" s="103"/>
      <c r="L5291" s="103"/>
      <c r="M5291" s="104"/>
      <c r="N5291" s="103"/>
    </row>
    <row r="5292" spans="1:14" ht="45" customHeight="1" thickBot="1" x14ac:dyDescent="0.4">
      <c r="A5292" s="103"/>
      <c r="B5292" s="103"/>
      <c r="C5292" s="103"/>
      <c r="D5292" s="103"/>
      <c r="E5292" s="103"/>
      <c r="F5292" s="103"/>
      <c r="G5292" s="103"/>
      <c r="H5292" s="103"/>
      <c r="I5292" s="103"/>
      <c r="J5292" s="103"/>
      <c r="K5292" s="103"/>
      <c r="L5292" s="103"/>
      <c r="M5292" s="104"/>
      <c r="N5292" s="103"/>
    </row>
    <row r="5293" spans="1:14" ht="45" customHeight="1" thickBot="1" x14ac:dyDescent="0.4">
      <c r="A5293" s="103"/>
      <c r="B5293" s="103"/>
      <c r="C5293" s="103"/>
      <c r="D5293" s="103"/>
      <c r="E5293" s="103"/>
      <c r="F5293" s="103"/>
      <c r="G5293" s="103"/>
      <c r="H5293" s="103"/>
      <c r="I5293" s="103"/>
      <c r="J5293" s="103"/>
      <c r="K5293" s="103"/>
      <c r="L5293" s="103"/>
      <c r="M5293" s="104"/>
      <c r="N5293" s="103"/>
    </row>
    <row r="5294" spans="1:14" ht="45" customHeight="1" thickBot="1" x14ac:dyDescent="0.4">
      <c r="A5294" s="103"/>
      <c r="B5294" s="103"/>
      <c r="C5294" s="103"/>
      <c r="D5294" s="103"/>
      <c r="E5294" s="103"/>
      <c r="F5294" s="103"/>
      <c r="G5294" s="103"/>
      <c r="H5294" s="103"/>
      <c r="I5294" s="103"/>
      <c r="J5294" s="103"/>
      <c r="K5294" s="103"/>
      <c r="L5294" s="103"/>
      <c r="M5294" s="104"/>
      <c r="N5294" s="103"/>
    </row>
    <row r="5295" spans="1:14" ht="45" customHeight="1" thickBot="1" x14ac:dyDescent="0.4">
      <c r="A5295" s="103"/>
      <c r="B5295" s="103"/>
      <c r="C5295" s="103"/>
      <c r="D5295" s="103"/>
      <c r="E5295" s="103"/>
      <c r="F5295" s="103"/>
      <c r="G5295" s="103"/>
      <c r="H5295" s="103"/>
      <c r="I5295" s="103"/>
      <c r="J5295" s="103"/>
      <c r="K5295" s="103"/>
      <c r="L5295" s="103"/>
      <c r="M5295" s="104"/>
      <c r="N5295" s="103"/>
    </row>
    <row r="5296" spans="1:14" ht="45" customHeight="1" thickBot="1" x14ac:dyDescent="0.4">
      <c r="A5296" s="103"/>
      <c r="B5296" s="103"/>
      <c r="C5296" s="103"/>
      <c r="D5296" s="103"/>
      <c r="E5296" s="103"/>
      <c r="F5296" s="103"/>
      <c r="G5296" s="103"/>
      <c r="H5296" s="103"/>
      <c r="I5296" s="103"/>
      <c r="J5296" s="103"/>
      <c r="K5296" s="103"/>
      <c r="L5296" s="103"/>
      <c r="M5296" s="104"/>
      <c r="N5296" s="103"/>
    </row>
    <row r="5297" spans="1:14" ht="45" customHeight="1" thickBot="1" x14ac:dyDescent="0.4">
      <c r="A5297" s="103"/>
      <c r="B5297" s="103"/>
      <c r="C5297" s="103"/>
      <c r="D5297" s="103"/>
      <c r="E5297" s="103"/>
      <c r="F5297" s="103"/>
      <c r="G5297" s="103"/>
      <c r="H5297" s="103"/>
      <c r="I5297" s="103"/>
      <c r="J5297" s="103"/>
      <c r="K5297" s="103"/>
      <c r="L5297" s="103"/>
      <c r="M5297" s="104"/>
      <c r="N5297" s="103"/>
    </row>
    <row r="5298" spans="1:14" ht="45" customHeight="1" thickBot="1" x14ac:dyDescent="0.4">
      <c r="A5298" s="103"/>
      <c r="B5298" s="103"/>
      <c r="C5298" s="103"/>
      <c r="D5298" s="103"/>
      <c r="E5298" s="103"/>
      <c r="F5298" s="103"/>
      <c r="G5298" s="103"/>
      <c r="H5298" s="103"/>
      <c r="I5298" s="103"/>
      <c r="J5298" s="103"/>
      <c r="K5298" s="103"/>
      <c r="L5298" s="103"/>
      <c r="M5298" s="104"/>
      <c r="N5298" s="103"/>
    </row>
    <row r="5299" spans="1:14" ht="45" customHeight="1" thickBot="1" x14ac:dyDescent="0.4">
      <c r="A5299" s="103"/>
      <c r="B5299" s="103"/>
      <c r="C5299" s="103"/>
      <c r="D5299" s="103"/>
      <c r="E5299" s="103"/>
      <c r="F5299" s="103"/>
      <c r="G5299" s="103"/>
      <c r="H5299" s="103"/>
      <c r="I5299" s="103"/>
      <c r="J5299" s="103"/>
      <c r="K5299" s="103"/>
      <c r="L5299" s="103"/>
      <c r="M5299" s="104"/>
      <c r="N5299" s="103"/>
    </row>
    <row r="5300" spans="1:14" ht="45" customHeight="1" thickBot="1" x14ac:dyDescent="0.4">
      <c r="A5300" s="103"/>
      <c r="B5300" s="103"/>
      <c r="C5300" s="103"/>
      <c r="D5300" s="103"/>
      <c r="E5300" s="103"/>
      <c r="F5300" s="103"/>
      <c r="G5300" s="103"/>
      <c r="H5300" s="103"/>
      <c r="I5300" s="103"/>
      <c r="J5300" s="103"/>
      <c r="K5300" s="103"/>
      <c r="L5300" s="103"/>
      <c r="M5300" s="104"/>
      <c r="N5300" s="103"/>
    </row>
    <row r="5301" spans="1:14" ht="45" customHeight="1" thickBot="1" x14ac:dyDescent="0.4">
      <c r="A5301" s="103"/>
      <c r="B5301" s="103"/>
      <c r="C5301" s="103"/>
      <c r="D5301" s="103"/>
      <c r="E5301" s="103"/>
      <c r="F5301" s="103"/>
      <c r="G5301" s="103"/>
      <c r="H5301" s="103"/>
      <c r="I5301" s="103"/>
      <c r="J5301" s="103"/>
      <c r="K5301" s="103"/>
      <c r="L5301" s="103"/>
      <c r="M5301" s="104"/>
      <c r="N5301" s="103"/>
    </row>
    <row r="5302" spans="1:14" ht="45" customHeight="1" thickBot="1" x14ac:dyDescent="0.4">
      <c r="A5302" s="103"/>
      <c r="B5302" s="103"/>
      <c r="C5302" s="103"/>
      <c r="D5302" s="103"/>
      <c r="E5302" s="103"/>
      <c r="F5302" s="103"/>
      <c r="G5302" s="103"/>
      <c r="H5302" s="103"/>
      <c r="I5302" s="103"/>
      <c r="J5302" s="103"/>
      <c r="K5302" s="103"/>
      <c r="L5302" s="103"/>
      <c r="M5302" s="104"/>
      <c r="N5302" s="103"/>
    </row>
    <row r="5303" spans="1:14" ht="45" customHeight="1" thickBot="1" x14ac:dyDescent="0.4">
      <c r="A5303" s="103"/>
      <c r="B5303" s="103"/>
      <c r="C5303" s="103"/>
      <c r="D5303" s="103"/>
      <c r="E5303" s="103"/>
      <c r="F5303" s="103"/>
      <c r="G5303" s="103"/>
      <c r="H5303" s="103"/>
      <c r="I5303" s="103"/>
      <c r="J5303" s="103"/>
      <c r="K5303" s="103"/>
      <c r="L5303" s="103"/>
      <c r="M5303" s="104"/>
      <c r="N5303" s="103"/>
    </row>
    <row r="5304" spans="1:14" ht="45" customHeight="1" thickBot="1" x14ac:dyDescent="0.4">
      <c r="A5304" s="103"/>
      <c r="B5304" s="103"/>
      <c r="C5304" s="103"/>
      <c r="D5304" s="103"/>
      <c r="E5304" s="103"/>
      <c r="F5304" s="103"/>
      <c r="G5304" s="103"/>
      <c r="H5304" s="103"/>
      <c r="I5304" s="103"/>
      <c r="J5304" s="103"/>
      <c r="K5304" s="103"/>
      <c r="L5304" s="103"/>
      <c r="M5304" s="104"/>
      <c r="N5304" s="103"/>
    </row>
    <row r="5305" spans="1:14" ht="45" customHeight="1" thickBot="1" x14ac:dyDescent="0.4">
      <c r="A5305" s="103"/>
      <c r="B5305" s="103"/>
      <c r="C5305" s="103"/>
      <c r="D5305" s="103"/>
      <c r="E5305" s="103"/>
      <c r="F5305" s="103"/>
      <c r="G5305" s="103"/>
      <c r="H5305" s="103"/>
      <c r="I5305" s="103"/>
      <c r="J5305" s="103"/>
      <c r="K5305" s="103"/>
      <c r="L5305" s="103"/>
      <c r="M5305" s="104"/>
      <c r="N5305" s="103"/>
    </row>
    <row r="5306" spans="1:14" ht="45" customHeight="1" thickBot="1" x14ac:dyDescent="0.4">
      <c r="A5306" s="103"/>
      <c r="B5306" s="103"/>
      <c r="C5306" s="103"/>
      <c r="D5306" s="103"/>
      <c r="E5306" s="103"/>
      <c r="F5306" s="103"/>
      <c r="G5306" s="103"/>
      <c r="H5306" s="103"/>
      <c r="I5306" s="103"/>
      <c r="J5306" s="103"/>
      <c r="K5306" s="103"/>
      <c r="L5306" s="103"/>
      <c r="M5306" s="104"/>
      <c r="N5306" s="103"/>
    </row>
    <row r="5307" spans="1:14" ht="45" customHeight="1" thickBot="1" x14ac:dyDescent="0.4">
      <c r="A5307" s="103"/>
      <c r="B5307" s="103"/>
      <c r="C5307" s="103"/>
      <c r="D5307" s="103"/>
      <c r="E5307" s="103"/>
      <c r="F5307" s="103"/>
      <c r="G5307" s="103"/>
      <c r="H5307" s="103"/>
      <c r="I5307" s="103"/>
      <c r="J5307" s="103"/>
      <c r="K5307" s="103"/>
      <c r="L5307" s="103"/>
      <c r="M5307" s="104"/>
      <c r="N5307" s="103"/>
    </row>
    <row r="5308" spans="1:14" ht="45" customHeight="1" thickBot="1" x14ac:dyDescent="0.4">
      <c r="A5308" s="103"/>
      <c r="B5308" s="103"/>
      <c r="C5308" s="103"/>
      <c r="D5308" s="103"/>
      <c r="E5308" s="103"/>
      <c r="F5308" s="103"/>
      <c r="G5308" s="103"/>
      <c r="H5308" s="103"/>
      <c r="I5308" s="103"/>
      <c r="J5308" s="103"/>
      <c r="K5308" s="103"/>
      <c r="L5308" s="103"/>
      <c r="M5308" s="104"/>
      <c r="N5308" s="103"/>
    </row>
    <row r="5309" spans="1:14" ht="45" customHeight="1" thickBot="1" x14ac:dyDescent="0.4">
      <c r="A5309" s="103"/>
      <c r="B5309" s="103"/>
      <c r="C5309" s="103"/>
      <c r="D5309" s="103"/>
      <c r="E5309" s="103"/>
      <c r="F5309" s="103"/>
      <c r="G5309" s="103"/>
      <c r="H5309" s="103"/>
      <c r="I5309" s="103"/>
      <c r="J5309" s="103"/>
      <c r="K5309" s="103"/>
      <c r="L5309" s="103"/>
      <c r="M5309" s="104"/>
      <c r="N5309" s="103"/>
    </row>
    <row r="5310" spans="1:14" ht="45" customHeight="1" thickBot="1" x14ac:dyDescent="0.4">
      <c r="A5310" s="103"/>
      <c r="B5310" s="103"/>
      <c r="C5310" s="103"/>
      <c r="D5310" s="103"/>
      <c r="E5310" s="103"/>
      <c r="F5310" s="103"/>
      <c r="G5310" s="103"/>
      <c r="H5310" s="103"/>
      <c r="I5310" s="103"/>
      <c r="J5310" s="103"/>
      <c r="K5310" s="103"/>
      <c r="L5310" s="103"/>
      <c r="M5310" s="104"/>
      <c r="N5310" s="103"/>
    </row>
    <row r="5311" spans="1:14" ht="45" customHeight="1" thickBot="1" x14ac:dyDescent="0.4">
      <c r="A5311" s="103"/>
      <c r="B5311" s="103"/>
      <c r="C5311" s="103"/>
      <c r="D5311" s="103"/>
      <c r="E5311" s="103"/>
      <c r="F5311" s="103"/>
      <c r="G5311" s="103"/>
      <c r="H5311" s="103"/>
      <c r="I5311" s="103"/>
      <c r="J5311" s="103"/>
      <c r="K5311" s="103"/>
      <c r="L5311" s="103"/>
      <c r="M5311" s="104"/>
      <c r="N5311" s="103"/>
    </row>
    <row r="5312" spans="1:14" ht="45" customHeight="1" thickBot="1" x14ac:dyDescent="0.4">
      <c r="A5312" s="103"/>
      <c r="B5312" s="103"/>
      <c r="C5312" s="103"/>
      <c r="D5312" s="103"/>
      <c r="E5312" s="103"/>
      <c r="F5312" s="103"/>
      <c r="G5312" s="103"/>
      <c r="H5312" s="103"/>
      <c r="I5312" s="103"/>
      <c r="J5312" s="103"/>
      <c r="K5312" s="103"/>
      <c r="L5312" s="103"/>
      <c r="M5312" s="104"/>
      <c r="N5312" s="103"/>
    </row>
    <row r="5313" spans="1:14" ht="45" customHeight="1" thickBot="1" x14ac:dyDescent="0.4">
      <c r="A5313" s="103"/>
      <c r="B5313" s="103"/>
      <c r="C5313" s="103"/>
      <c r="D5313" s="103"/>
      <c r="E5313" s="103"/>
      <c r="F5313" s="103"/>
      <c r="G5313" s="103"/>
      <c r="H5313" s="103"/>
      <c r="I5313" s="103"/>
      <c r="J5313" s="103"/>
      <c r="K5313" s="103"/>
      <c r="L5313" s="103"/>
      <c r="M5313" s="104"/>
      <c r="N5313" s="103"/>
    </row>
    <row r="5314" spans="1:14" ht="45" customHeight="1" thickBot="1" x14ac:dyDescent="0.4">
      <c r="A5314" s="103"/>
      <c r="B5314" s="103"/>
      <c r="C5314" s="103"/>
      <c r="D5314" s="103"/>
      <c r="E5314" s="103"/>
      <c r="F5314" s="103"/>
      <c r="G5314" s="103"/>
      <c r="H5314" s="103"/>
      <c r="I5314" s="103"/>
      <c r="J5314" s="103"/>
      <c r="K5314" s="103"/>
      <c r="L5314" s="103"/>
      <c r="M5314" s="104"/>
      <c r="N5314" s="103"/>
    </row>
    <row r="5315" spans="1:14" ht="45" customHeight="1" thickBot="1" x14ac:dyDescent="0.4">
      <c r="A5315" s="103"/>
      <c r="B5315" s="103"/>
      <c r="C5315" s="103"/>
      <c r="D5315" s="103"/>
      <c r="E5315" s="103"/>
      <c r="F5315" s="103"/>
      <c r="G5315" s="103"/>
      <c r="H5315" s="103"/>
      <c r="I5315" s="103"/>
      <c r="J5315" s="103"/>
      <c r="K5315" s="103"/>
      <c r="L5315" s="103"/>
      <c r="M5315" s="104"/>
      <c r="N5315" s="103"/>
    </row>
    <row r="5316" spans="1:14" ht="45" customHeight="1" thickBot="1" x14ac:dyDescent="0.4">
      <c r="A5316" s="103"/>
      <c r="B5316" s="103"/>
      <c r="C5316" s="103"/>
      <c r="D5316" s="103"/>
      <c r="E5316" s="103"/>
      <c r="F5316" s="103"/>
      <c r="G5316" s="103"/>
      <c r="H5316" s="103"/>
      <c r="I5316" s="103"/>
      <c r="J5316" s="103"/>
      <c r="K5316" s="103"/>
      <c r="L5316" s="103"/>
      <c r="M5316" s="104"/>
      <c r="N5316" s="103"/>
    </row>
    <row r="5317" spans="1:14" ht="45" customHeight="1" thickBot="1" x14ac:dyDescent="0.4">
      <c r="A5317" s="103"/>
      <c r="B5317" s="103"/>
      <c r="C5317" s="103"/>
      <c r="D5317" s="103"/>
      <c r="E5317" s="103"/>
      <c r="F5317" s="103"/>
      <c r="G5317" s="103"/>
      <c r="H5317" s="103"/>
      <c r="I5317" s="103"/>
      <c r="J5317" s="103"/>
      <c r="K5317" s="103"/>
      <c r="L5317" s="103"/>
      <c r="M5317" s="104"/>
      <c r="N5317" s="103"/>
    </row>
    <row r="5318" spans="1:14" ht="45" customHeight="1" thickBot="1" x14ac:dyDescent="0.4">
      <c r="A5318" s="103"/>
      <c r="B5318" s="103"/>
      <c r="C5318" s="103"/>
      <c r="D5318" s="103"/>
      <c r="E5318" s="103"/>
      <c r="F5318" s="103"/>
      <c r="G5318" s="103"/>
      <c r="H5318" s="103"/>
      <c r="I5318" s="103"/>
      <c r="J5318" s="103"/>
      <c r="K5318" s="103"/>
      <c r="L5318" s="103"/>
      <c r="M5318" s="104"/>
      <c r="N5318" s="103"/>
    </row>
    <row r="5319" spans="1:14" ht="45" customHeight="1" thickBot="1" x14ac:dyDescent="0.4">
      <c r="A5319" s="103"/>
      <c r="B5319" s="103"/>
      <c r="C5319" s="103"/>
      <c r="D5319" s="103"/>
      <c r="E5319" s="103"/>
      <c r="F5319" s="103"/>
      <c r="G5319" s="103"/>
      <c r="H5319" s="103"/>
      <c r="I5319" s="103"/>
      <c r="J5319" s="103"/>
      <c r="K5319" s="103"/>
      <c r="L5319" s="103"/>
      <c r="M5319" s="104"/>
      <c r="N5319" s="103"/>
    </row>
    <row r="5320" spans="1:14" ht="45" customHeight="1" thickBot="1" x14ac:dyDescent="0.4">
      <c r="A5320" s="103"/>
      <c r="B5320" s="103"/>
      <c r="C5320" s="103"/>
      <c r="D5320" s="103"/>
      <c r="E5320" s="103"/>
      <c r="F5320" s="103"/>
      <c r="G5320" s="103"/>
      <c r="H5320" s="103"/>
      <c r="I5320" s="103"/>
      <c r="J5320" s="103"/>
      <c r="K5320" s="103"/>
      <c r="L5320" s="103"/>
      <c r="M5320" s="104"/>
      <c r="N5320" s="103"/>
    </row>
    <row r="5321" spans="1:14" ht="45" customHeight="1" thickBot="1" x14ac:dyDescent="0.4">
      <c r="A5321" s="103"/>
      <c r="B5321" s="103"/>
      <c r="C5321" s="103"/>
      <c r="D5321" s="103"/>
      <c r="E5321" s="103"/>
      <c r="F5321" s="103"/>
      <c r="G5321" s="103"/>
      <c r="H5321" s="103"/>
      <c r="I5321" s="103"/>
      <c r="J5321" s="103"/>
      <c r="K5321" s="103"/>
      <c r="L5321" s="103"/>
      <c r="M5321" s="104"/>
      <c r="N5321" s="103"/>
    </row>
    <row r="5322" spans="1:14" ht="45" customHeight="1" thickBot="1" x14ac:dyDescent="0.4">
      <c r="A5322" s="103"/>
      <c r="B5322" s="103"/>
      <c r="C5322" s="103"/>
      <c r="D5322" s="103"/>
      <c r="E5322" s="103"/>
      <c r="F5322" s="103"/>
      <c r="G5322" s="103"/>
      <c r="H5322" s="103"/>
      <c r="I5322" s="103"/>
      <c r="J5322" s="103"/>
      <c r="K5322" s="103"/>
      <c r="L5322" s="103"/>
      <c r="M5322" s="104"/>
      <c r="N5322" s="103"/>
    </row>
    <row r="5323" spans="1:14" ht="45" customHeight="1" thickBot="1" x14ac:dyDescent="0.4">
      <c r="A5323" s="103"/>
      <c r="B5323" s="103"/>
      <c r="C5323" s="103"/>
      <c r="D5323" s="103"/>
      <c r="E5323" s="103"/>
      <c r="F5323" s="103"/>
      <c r="G5323" s="103"/>
      <c r="H5323" s="103"/>
      <c r="I5323" s="103"/>
      <c r="J5323" s="103"/>
      <c r="K5323" s="103"/>
      <c r="L5323" s="103"/>
      <c r="M5323" s="104"/>
      <c r="N5323" s="103"/>
    </row>
    <row r="5324" spans="1:14" ht="45" customHeight="1" thickBot="1" x14ac:dyDescent="0.4">
      <c r="A5324" s="103"/>
      <c r="B5324" s="103"/>
      <c r="C5324" s="103"/>
      <c r="D5324" s="103"/>
      <c r="E5324" s="103"/>
      <c r="F5324" s="103"/>
      <c r="G5324" s="103"/>
      <c r="H5324" s="103"/>
      <c r="I5324" s="103"/>
      <c r="J5324" s="103"/>
      <c r="K5324" s="103"/>
      <c r="L5324" s="103"/>
      <c r="M5324" s="104"/>
      <c r="N5324" s="103"/>
    </row>
    <row r="5325" spans="1:14" ht="45" customHeight="1" thickBot="1" x14ac:dyDescent="0.4">
      <c r="A5325" s="103"/>
      <c r="B5325" s="103"/>
      <c r="C5325" s="103"/>
      <c r="D5325" s="103"/>
      <c r="E5325" s="103"/>
      <c r="F5325" s="103"/>
      <c r="G5325" s="103"/>
      <c r="H5325" s="103"/>
      <c r="I5325" s="103"/>
      <c r="J5325" s="103"/>
      <c r="K5325" s="103"/>
      <c r="L5325" s="103"/>
      <c r="M5325" s="104"/>
      <c r="N5325" s="103"/>
    </row>
    <row r="5326" spans="1:14" ht="45" customHeight="1" thickBot="1" x14ac:dyDescent="0.4">
      <c r="A5326" s="103"/>
      <c r="B5326" s="103"/>
      <c r="C5326" s="103"/>
      <c r="D5326" s="103"/>
      <c r="E5326" s="103"/>
      <c r="F5326" s="103"/>
      <c r="G5326" s="103"/>
      <c r="H5326" s="103"/>
      <c r="I5326" s="103"/>
      <c r="J5326" s="103"/>
      <c r="K5326" s="103"/>
      <c r="L5326" s="103"/>
      <c r="M5326" s="104"/>
      <c r="N5326" s="103"/>
    </row>
    <row r="5327" spans="1:14" ht="45" customHeight="1" thickBot="1" x14ac:dyDescent="0.4">
      <c r="A5327" s="103"/>
      <c r="B5327" s="103"/>
      <c r="C5327" s="103"/>
      <c r="D5327" s="103"/>
      <c r="E5327" s="103"/>
      <c r="F5327" s="103"/>
      <c r="G5327" s="103"/>
      <c r="H5327" s="103"/>
      <c r="I5327" s="103"/>
      <c r="J5327" s="103"/>
      <c r="K5327" s="103"/>
      <c r="L5327" s="103"/>
      <c r="M5327" s="104"/>
      <c r="N5327" s="103"/>
    </row>
    <row r="5328" spans="1:14" ht="45" customHeight="1" thickBot="1" x14ac:dyDescent="0.4">
      <c r="A5328" s="103"/>
      <c r="B5328" s="103"/>
      <c r="C5328" s="103"/>
      <c r="D5328" s="103"/>
      <c r="E5328" s="103"/>
      <c r="F5328" s="103"/>
      <c r="G5328" s="103"/>
      <c r="H5328" s="103"/>
      <c r="I5328" s="103"/>
      <c r="J5328" s="103"/>
      <c r="K5328" s="103"/>
      <c r="L5328" s="103"/>
      <c r="M5328" s="104"/>
      <c r="N5328" s="103"/>
    </row>
    <row r="5329" spans="1:14" ht="45" customHeight="1" thickBot="1" x14ac:dyDescent="0.4">
      <c r="A5329" s="103"/>
      <c r="B5329" s="103"/>
      <c r="C5329" s="103"/>
      <c r="D5329" s="103"/>
      <c r="E5329" s="103"/>
      <c r="F5329" s="103"/>
      <c r="G5329" s="103"/>
      <c r="H5329" s="103"/>
      <c r="I5329" s="103"/>
      <c r="J5329" s="103"/>
      <c r="K5329" s="103"/>
      <c r="L5329" s="103"/>
      <c r="M5329" s="104"/>
      <c r="N5329" s="103"/>
    </row>
    <row r="5330" spans="1:14" ht="45" customHeight="1" thickBot="1" x14ac:dyDescent="0.4">
      <c r="A5330" s="103"/>
      <c r="B5330" s="103"/>
      <c r="C5330" s="103"/>
      <c r="D5330" s="103"/>
      <c r="E5330" s="103"/>
      <c r="F5330" s="103"/>
      <c r="G5330" s="103"/>
      <c r="H5330" s="103"/>
      <c r="I5330" s="103"/>
      <c r="J5330" s="103"/>
      <c r="K5330" s="103"/>
      <c r="L5330" s="103"/>
      <c r="M5330" s="104"/>
      <c r="N5330" s="103"/>
    </row>
    <row r="5331" spans="1:14" ht="45" customHeight="1" thickBot="1" x14ac:dyDescent="0.4">
      <c r="A5331" s="103"/>
      <c r="B5331" s="103"/>
      <c r="C5331" s="103"/>
      <c r="D5331" s="103"/>
      <c r="E5331" s="103"/>
      <c r="F5331" s="103"/>
      <c r="G5331" s="103"/>
      <c r="H5331" s="103"/>
      <c r="I5331" s="103"/>
      <c r="J5331" s="103"/>
      <c r="K5331" s="103"/>
      <c r="L5331" s="103"/>
      <c r="M5331" s="104"/>
      <c r="N5331" s="103"/>
    </row>
    <row r="5332" spans="1:14" ht="45" customHeight="1" thickBot="1" x14ac:dyDescent="0.4">
      <c r="A5332" s="103"/>
      <c r="B5332" s="103"/>
      <c r="C5332" s="103"/>
      <c r="D5332" s="103"/>
      <c r="E5332" s="103"/>
      <c r="F5332" s="103"/>
      <c r="G5332" s="103"/>
      <c r="H5332" s="103"/>
      <c r="I5332" s="103"/>
      <c r="J5332" s="103"/>
      <c r="K5332" s="103"/>
      <c r="L5332" s="103"/>
      <c r="M5332" s="104"/>
      <c r="N5332" s="103"/>
    </row>
    <row r="5333" spans="1:14" ht="45" customHeight="1" thickBot="1" x14ac:dyDescent="0.4">
      <c r="A5333" s="103"/>
      <c r="B5333" s="103"/>
      <c r="C5333" s="103"/>
      <c r="D5333" s="103"/>
      <c r="E5333" s="103"/>
      <c r="F5333" s="103"/>
      <c r="G5333" s="103"/>
      <c r="H5333" s="103"/>
      <c r="I5333" s="103"/>
      <c r="J5333" s="103"/>
      <c r="K5333" s="103"/>
      <c r="L5333" s="103"/>
      <c r="M5333" s="104"/>
      <c r="N5333" s="103"/>
    </row>
    <row r="5334" spans="1:14" ht="45" customHeight="1" thickBot="1" x14ac:dyDescent="0.4">
      <c r="A5334" s="103"/>
      <c r="B5334" s="103"/>
      <c r="C5334" s="103"/>
      <c r="D5334" s="103"/>
      <c r="E5334" s="103"/>
      <c r="F5334" s="103"/>
      <c r="G5334" s="103"/>
      <c r="H5334" s="103"/>
      <c r="I5334" s="103"/>
      <c r="J5334" s="103"/>
      <c r="K5334" s="103"/>
      <c r="L5334" s="103"/>
      <c r="M5334" s="104"/>
      <c r="N5334" s="103"/>
    </row>
    <row r="5335" spans="1:14" ht="45" customHeight="1" thickBot="1" x14ac:dyDescent="0.4">
      <c r="A5335" s="103"/>
      <c r="B5335" s="103"/>
      <c r="C5335" s="103"/>
      <c r="D5335" s="103"/>
      <c r="E5335" s="103"/>
      <c r="F5335" s="103"/>
      <c r="G5335" s="103"/>
      <c r="H5335" s="103"/>
      <c r="I5335" s="103"/>
      <c r="J5335" s="103"/>
      <c r="K5335" s="103"/>
      <c r="L5335" s="103"/>
      <c r="M5335" s="104"/>
      <c r="N5335" s="103"/>
    </row>
    <row r="5336" spans="1:14" ht="45" customHeight="1" thickBot="1" x14ac:dyDescent="0.4">
      <c r="A5336" s="103"/>
      <c r="B5336" s="103"/>
      <c r="C5336" s="103"/>
      <c r="D5336" s="103"/>
      <c r="E5336" s="103"/>
      <c r="F5336" s="103"/>
      <c r="G5336" s="103"/>
      <c r="H5336" s="103"/>
      <c r="I5336" s="103"/>
      <c r="J5336" s="103"/>
      <c r="K5336" s="103"/>
      <c r="L5336" s="103"/>
      <c r="M5336" s="104"/>
      <c r="N5336" s="103"/>
    </row>
    <row r="5337" spans="1:14" ht="45" customHeight="1" thickBot="1" x14ac:dyDescent="0.4">
      <c r="A5337" s="103"/>
      <c r="B5337" s="103"/>
      <c r="C5337" s="103"/>
      <c r="D5337" s="103"/>
      <c r="E5337" s="103"/>
      <c r="F5337" s="103"/>
      <c r="G5337" s="103"/>
      <c r="H5337" s="103"/>
      <c r="I5337" s="103"/>
      <c r="J5337" s="103"/>
      <c r="K5337" s="103"/>
      <c r="L5337" s="103"/>
      <c r="M5337" s="104"/>
      <c r="N5337" s="103"/>
    </row>
    <row r="5338" spans="1:14" ht="45" customHeight="1" thickBot="1" x14ac:dyDescent="0.4">
      <c r="A5338" s="103"/>
      <c r="B5338" s="103"/>
      <c r="C5338" s="103"/>
      <c r="D5338" s="103"/>
      <c r="E5338" s="103"/>
      <c r="F5338" s="103"/>
      <c r="G5338" s="103"/>
      <c r="H5338" s="103"/>
      <c r="I5338" s="103"/>
      <c r="J5338" s="103"/>
      <c r="K5338" s="103"/>
      <c r="L5338" s="103"/>
      <c r="M5338" s="104"/>
      <c r="N5338" s="103"/>
    </row>
    <row r="5339" spans="1:14" ht="45" customHeight="1" thickBot="1" x14ac:dyDescent="0.4">
      <c r="A5339" s="103"/>
      <c r="B5339" s="103"/>
      <c r="C5339" s="103"/>
      <c r="D5339" s="103"/>
      <c r="E5339" s="103"/>
      <c r="F5339" s="103"/>
      <c r="G5339" s="103"/>
      <c r="H5339" s="103"/>
      <c r="I5339" s="103"/>
      <c r="J5339" s="103"/>
      <c r="K5339" s="103"/>
      <c r="L5339" s="103"/>
      <c r="M5339" s="104"/>
      <c r="N5339" s="103"/>
    </row>
    <row r="5340" spans="1:14" ht="45" customHeight="1" thickBot="1" x14ac:dyDescent="0.4">
      <c r="A5340" s="103"/>
      <c r="B5340" s="103"/>
      <c r="C5340" s="103"/>
      <c r="D5340" s="103"/>
      <c r="E5340" s="103"/>
      <c r="F5340" s="103"/>
      <c r="G5340" s="103"/>
      <c r="H5340" s="103"/>
      <c r="I5340" s="103"/>
      <c r="J5340" s="103"/>
      <c r="K5340" s="103"/>
      <c r="L5340" s="103"/>
      <c r="M5340" s="104"/>
      <c r="N5340" s="103"/>
    </row>
    <row r="5341" spans="1:14" ht="45" customHeight="1" thickBot="1" x14ac:dyDescent="0.4">
      <c r="A5341" s="103"/>
      <c r="B5341" s="103"/>
      <c r="C5341" s="103"/>
      <c r="D5341" s="103"/>
      <c r="E5341" s="103"/>
      <c r="F5341" s="103"/>
      <c r="G5341" s="103"/>
      <c r="H5341" s="103"/>
      <c r="I5341" s="103"/>
      <c r="J5341" s="103"/>
      <c r="K5341" s="103"/>
      <c r="L5341" s="103"/>
      <c r="M5341" s="104"/>
      <c r="N5341" s="103"/>
    </row>
    <row r="5342" spans="1:14" ht="45" customHeight="1" thickBot="1" x14ac:dyDescent="0.4">
      <c r="A5342" s="103"/>
      <c r="B5342" s="103"/>
      <c r="C5342" s="103"/>
      <c r="D5342" s="103"/>
      <c r="E5342" s="103"/>
      <c r="F5342" s="103"/>
      <c r="G5342" s="103"/>
      <c r="H5342" s="103"/>
      <c r="I5342" s="103"/>
      <c r="J5342" s="103"/>
      <c r="K5342" s="103"/>
      <c r="L5342" s="103"/>
      <c r="M5342" s="104"/>
      <c r="N5342" s="103"/>
    </row>
    <row r="5343" spans="1:14" ht="45" customHeight="1" thickBot="1" x14ac:dyDescent="0.4">
      <c r="A5343" s="103"/>
      <c r="B5343" s="103"/>
      <c r="C5343" s="103"/>
      <c r="D5343" s="103"/>
      <c r="E5343" s="103"/>
      <c r="F5343" s="103"/>
      <c r="G5343" s="103"/>
      <c r="H5343" s="103"/>
      <c r="I5343" s="103"/>
      <c r="J5343" s="103"/>
      <c r="K5343" s="103"/>
      <c r="L5343" s="103"/>
      <c r="M5343" s="104"/>
      <c r="N5343" s="103"/>
    </row>
    <row r="5344" spans="1:14" ht="45" customHeight="1" thickBot="1" x14ac:dyDescent="0.4">
      <c r="A5344" s="103"/>
      <c r="B5344" s="103"/>
      <c r="C5344" s="103"/>
      <c r="D5344" s="103"/>
      <c r="E5344" s="103"/>
      <c r="F5344" s="103"/>
      <c r="G5344" s="103"/>
      <c r="H5344" s="103"/>
      <c r="I5344" s="103"/>
      <c r="J5344" s="103"/>
      <c r="K5344" s="103"/>
      <c r="L5344" s="103"/>
      <c r="M5344" s="104"/>
      <c r="N5344" s="103"/>
    </row>
    <row r="5345" spans="1:14" ht="45" customHeight="1" thickBot="1" x14ac:dyDescent="0.4">
      <c r="A5345" s="103"/>
      <c r="B5345" s="103"/>
      <c r="C5345" s="103"/>
      <c r="D5345" s="103"/>
      <c r="E5345" s="103"/>
      <c r="F5345" s="103"/>
      <c r="G5345" s="103"/>
      <c r="H5345" s="103"/>
      <c r="I5345" s="103"/>
      <c r="J5345" s="103"/>
      <c r="K5345" s="103"/>
      <c r="L5345" s="103"/>
      <c r="M5345" s="104"/>
      <c r="N5345" s="103"/>
    </row>
    <row r="5346" spans="1:14" ht="45" customHeight="1" thickBot="1" x14ac:dyDescent="0.4">
      <c r="A5346" s="103"/>
      <c r="B5346" s="103"/>
      <c r="C5346" s="103"/>
      <c r="D5346" s="103"/>
      <c r="E5346" s="103"/>
      <c r="F5346" s="103"/>
      <c r="G5346" s="103"/>
      <c r="H5346" s="103"/>
      <c r="I5346" s="103"/>
      <c r="J5346" s="103"/>
      <c r="K5346" s="103"/>
      <c r="L5346" s="103"/>
      <c r="M5346" s="104"/>
      <c r="N5346" s="103"/>
    </row>
    <row r="5347" spans="1:14" ht="45" customHeight="1" thickBot="1" x14ac:dyDescent="0.4">
      <c r="A5347" s="103"/>
      <c r="B5347" s="103"/>
      <c r="C5347" s="103"/>
      <c r="D5347" s="103"/>
      <c r="E5347" s="103"/>
      <c r="F5347" s="103"/>
      <c r="G5347" s="103"/>
      <c r="H5347" s="103"/>
      <c r="I5347" s="103"/>
      <c r="J5347" s="103"/>
      <c r="K5347" s="103"/>
      <c r="L5347" s="103"/>
      <c r="M5347" s="104"/>
      <c r="N5347" s="103"/>
    </row>
    <row r="5348" spans="1:14" ht="45" customHeight="1" thickBot="1" x14ac:dyDescent="0.4">
      <c r="A5348" s="103"/>
      <c r="B5348" s="103"/>
      <c r="C5348" s="103"/>
      <c r="D5348" s="103"/>
      <c r="E5348" s="103"/>
      <c r="F5348" s="103"/>
      <c r="G5348" s="103"/>
      <c r="H5348" s="103"/>
      <c r="I5348" s="103"/>
      <c r="J5348" s="103"/>
      <c r="K5348" s="103"/>
      <c r="L5348" s="103"/>
      <c r="M5348" s="104"/>
      <c r="N5348" s="103"/>
    </row>
    <row r="5349" spans="1:14" ht="45" customHeight="1" thickBot="1" x14ac:dyDescent="0.4">
      <c r="A5349" s="103"/>
      <c r="B5349" s="103"/>
      <c r="C5349" s="103"/>
      <c r="D5349" s="103"/>
      <c r="E5349" s="103"/>
      <c r="F5349" s="103"/>
      <c r="G5349" s="103"/>
      <c r="H5349" s="103"/>
      <c r="I5349" s="103"/>
      <c r="J5349" s="103"/>
      <c r="K5349" s="103"/>
      <c r="L5349" s="103"/>
      <c r="M5349" s="104"/>
      <c r="N5349" s="103"/>
    </row>
    <row r="5350" spans="1:14" ht="45" customHeight="1" thickBot="1" x14ac:dyDescent="0.4">
      <c r="A5350" s="103"/>
      <c r="B5350" s="103"/>
      <c r="C5350" s="103"/>
      <c r="D5350" s="103"/>
      <c r="E5350" s="103"/>
      <c r="F5350" s="103"/>
      <c r="G5350" s="103"/>
      <c r="H5350" s="103"/>
      <c r="I5350" s="103"/>
      <c r="J5350" s="103"/>
      <c r="K5350" s="103"/>
      <c r="L5350" s="103"/>
      <c r="M5350" s="104"/>
      <c r="N5350" s="103"/>
    </row>
    <row r="5351" spans="1:14" ht="45" customHeight="1" thickBot="1" x14ac:dyDescent="0.4">
      <c r="A5351" s="103"/>
      <c r="B5351" s="103"/>
      <c r="C5351" s="103"/>
      <c r="D5351" s="103"/>
      <c r="E5351" s="103"/>
      <c r="F5351" s="103"/>
      <c r="G5351" s="103"/>
      <c r="H5351" s="103"/>
      <c r="I5351" s="103"/>
      <c r="J5351" s="103"/>
      <c r="K5351" s="103"/>
      <c r="L5351" s="103"/>
      <c r="M5351" s="104"/>
      <c r="N5351" s="103"/>
    </row>
    <row r="5352" spans="1:14" ht="45" customHeight="1" thickBot="1" x14ac:dyDescent="0.4">
      <c r="A5352" s="103"/>
      <c r="B5352" s="103"/>
      <c r="C5352" s="103"/>
      <c r="D5352" s="103"/>
      <c r="E5352" s="103"/>
      <c r="F5352" s="103"/>
      <c r="G5352" s="103"/>
      <c r="H5352" s="103"/>
      <c r="I5352" s="103"/>
      <c r="J5352" s="103"/>
      <c r="K5352" s="103"/>
      <c r="L5352" s="103"/>
      <c r="M5352" s="104"/>
      <c r="N5352" s="103"/>
    </row>
    <row r="5353" spans="1:14" ht="45" customHeight="1" thickBot="1" x14ac:dyDescent="0.4">
      <c r="A5353" s="103"/>
      <c r="B5353" s="103"/>
      <c r="C5353" s="103"/>
      <c r="D5353" s="103"/>
      <c r="E5353" s="103"/>
      <c r="F5353" s="103"/>
      <c r="G5353" s="103"/>
      <c r="H5353" s="103"/>
      <c r="I5353" s="103"/>
      <c r="J5353" s="103"/>
      <c r="K5353" s="103"/>
      <c r="L5353" s="103"/>
      <c r="M5353" s="104"/>
      <c r="N5353" s="103"/>
    </row>
    <row r="5354" spans="1:14" ht="45" customHeight="1" thickBot="1" x14ac:dyDescent="0.4">
      <c r="A5354" s="103"/>
      <c r="B5354" s="103"/>
      <c r="C5354" s="103"/>
      <c r="D5354" s="103"/>
      <c r="E5354" s="103"/>
      <c r="F5354" s="103"/>
      <c r="G5354" s="103"/>
      <c r="H5354" s="103"/>
      <c r="I5354" s="103"/>
      <c r="J5354" s="103"/>
      <c r="K5354" s="103"/>
      <c r="L5354" s="103"/>
      <c r="M5354" s="104"/>
      <c r="N5354" s="103"/>
    </row>
    <row r="5355" spans="1:14" ht="45" customHeight="1" thickBot="1" x14ac:dyDescent="0.4">
      <c r="A5355" s="103"/>
      <c r="B5355" s="103"/>
      <c r="C5355" s="103"/>
      <c r="D5355" s="103"/>
      <c r="E5355" s="103"/>
      <c r="F5355" s="103"/>
      <c r="G5355" s="103"/>
      <c r="H5355" s="103"/>
      <c r="I5355" s="103"/>
      <c r="J5355" s="103"/>
      <c r="K5355" s="103"/>
      <c r="L5355" s="103"/>
      <c r="M5355" s="104"/>
      <c r="N5355" s="103"/>
    </row>
    <row r="5356" spans="1:14" ht="45" customHeight="1" thickBot="1" x14ac:dyDescent="0.4">
      <c r="A5356" s="103"/>
      <c r="B5356" s="103"/>
      <c r="C5356" s="103"/>
      <c r="D5356" s="103"/>
      <c r="E5356" s="103"/>
      <c r="F5356" s="103"/>
      <c r="G5356" s="103"/>
      <c r="H5356" s="103"/>
      <c r="I5356" s="103"/>
      <c r="J5356" s="103"/>
      <c r="K5356" s="103"/>
      <c r="L5356" s="103"/>
      <c r="M5356" s="104"/>
      <c r="N5356" s="103"/>
    </row>
    <row r="5357" spans="1:14" ht="45" customHeight="1" thickBot="1" x14ac:dyDescent="0.4">
      <c r="A5357" s="103"/>
      <c r="B5357" s="103"/>
      <c r="C5357" s="103"/>
      <c r="D5357" s="103"/>
      <c r="E5357" s="103"/>
      <c r="F5357" s="103"/>
      <c r="G5357" s="103"/>
      <c r="H5357" s="103"/>
      <c r="I5357" s="103"/>
      <c r="J5357" s="103"/>
      <c r="K5357" s="103"/>
      <c r="L5357" s="103"/>
      <c r="M5357" s="104"/>
      <c r="N5357" s="103"/>
    </row>
    <row r="5358" spans="1:14" ht="45" customHeight="1" thickBot="1" x14ac:dyDescent="0.4">
      <c r="A5358" s="103"/>
      <c r="B5358" s="103"/>
      <c r="C5358" s="103"/>
      <c r="D5358" s="103"/>
      <c r="E5358" s="103"/>
      <c r="F5358" s="103"/>
      <c r="G5358" s="103"/>
      <c r="H5358" s="103"/>
      <c r="I5358" s="103"/>
      <c r="J5358" s="103"/>
      <c r="K5358" s="103"/>
      <c r="L5358" s="103"/>
      <c r="M5358" s="104"/>
      <c r="N5358" s="103"/>
    </row>
    <row r="5359" spans="1:14" ht="45" customHeight="1" thickBot="1" x14ac:dyDescent="0.4">
      <c r="A5359" s="103"/>
      <c r="B5359" s="103"/>
      <c r="C5359" s="103"/>
      <c r="D5359" s="103"/>
      <c r="E5359" s="103"/>
      <c r="F5359" s="103"/>
      <c r="G5359" s="103"/>
      <c r="H5359" s="103"/>
      <c r="I5359" s="103"/>
      <c r="J5359" s="103"/>
      <c r="K5359" s="103"/>
      <c r="L5359" s="103"/>
      <c r="M5359" s="104"/>
      <c r="N5359" s="103"/>
    </row>
    <row r="5360" spans="1:14" ht="45" customHeight="1" thickBot="1" x14ac:dyDescent="0.4">
      <c r="A5360" s="103"/>
      <c r="B5360" s="103"/>
      <c r="C5360" s="103"/>
      <c r="D5360" s="103"/>
      <c r="E5360" s="103"/>
      <c r="F5360" s="103"/>
      <c r="G5360" s="103"/>
      <c r="H5360" s="103"/>
      <c r="I5360" s="103"/>
      <c r="J5360" s="103"/>
      <c r="K5360" s="103"/>
      <c r="L5360" s="103"/>
      <c r="M5360" s="104"/>
      <c r="N5360" s="103"/>
    </row>
    <row r="5361" spans="1:14" ht="45" customHeight="1" thickBot="1" x14ac:dyDescent="0.4">
      <c r="A5361" s="103"/>
      <c r="B5361" s="103"/>
      <c r="C5361" s="103"/>
      <c r="D5361" s="103"/>
      <c r="E5361" s="103"/>
      <c r="F5361" s="103"/>
      <c r="G5361" s="103"/>
      <c r="H5361" s="103"/>
      <c r="I5361" s="103"/>
      <c r="J5361" s="103"/>
      <c r="K5361" s="103"/>
      <c r="L5361" s="103"/>
      <c r="M5361" s="104"/>
      <c r="N5361" s="103"/>
    </row>
    <row r="5362" spans="1:14" ht="45" customHeight="1" thickBot="1" x14ac:dyDescent="0.4">
      <c r="A5362" s="103"/>
      <c r="B5362" s="103"/>
      <c r="C5362" s="103"/>
      <c r="D5362" s="103"/>
      <c r="E5362" s="103"/>
      <c r="F5362" s="103"/>
      <c r="G5362" s="103"/>
      <c r="H5362" s="103"/>
      <c r="I5362" s="103"/>
      <c r="J5362" s="103"/>
      <c r="K5362" s="103"/>
      <c r="L5362" s="103"/>
      <c r="M5362" s="104"/>
      <c r="N5362" s="103"/>
    </row>
    <row r="5363" spans="1:14" ht="45" customHeight="1" thickBot="1" x14ac:dyDescent="0.4">
      <c r="A5363" s="103"/>
      <c r="B5363" s="103"/>
      <c r="C5363" s="103"/>
      <c r="D5363" s="103"/>
      <c r="E5363" s="103"/>
      <c r="F5363" s="103"/>
      <c r="G5363" s="103"/>
      <c r="H5363" s="103"/>
      <c r="I5363" s="103"/>
      <c r="J5363" s="103"/>
      <c r="K5363" s="103"/>
      <c r="L5363" s="103"/>
      <c r="M5363" s="104"/>
      <c r="N5363" s="103"/>
    </row>
    <row r="5364" spans="1:14" ht="45" customHeight="1" thickBot="1" x14ac:dyDescent="0.4">
      <c r="A5364" s="103"/>
      <c r="B5364" s="103"/>
      <c r="C5364" s="103"/>
      <c r="D5364" s="103"/>
      <c r="E5364" s="103"/>
      <c r="F5364" s="103"/>
      <c r="G5364" s="103"/>
      <c r="H5364" s="103"/>
      <c r="I5364" s="103"/>
      <c r="J5364" s="103"/>
      <c r="K5364" s="103"/>
      <c r="L5364" s="103"/>
      <c r="M5364" s="104"/>
      <c r="N5364" s="103"/>
    </row>
    <row r="5365" spans="1:14" ht="45" customHeight="1" thickBot="1" x14ac:dyDescent="0.4">
      <c r="A5365" s="103"/>
      <c r="B5365" s="103"/>
      <c r="C5365" s="103"/>
      <c r="D5365" s="103"/>
      <c r="E5365" s="103"/>
      <c r="F5365" s="103"/>
      <c r="G5365" s="103"/>
      <c r="H5365" s="103"/>
      <c r="I5365" s="103"/>
      <c r="J5365" s="103"/>
      <c r="K5365" s="103"/>
      <c r="L5365" s="103"/>
      <c r="M5365" s="104"/>
      <c r="N5365" s="103"/>
    </row>
    <row r="5366" spans="1:14" ht="45" customHeight="1" thickBot="1" x14ac:dyDescent="0.4">
      <c r="A5366" s="103"/>
      <c r="B5366" s="103"/>
      <c r="C5366" s="103"/>
      <c r="D5366" s="103"/>
      <c r="E5366" s="103"/>
      <c r="F5366" s="103"/>
      <c r="G5366" s="103"/>
      <c r="H5366" s="103"/>
      <c r="I5366" s="103"/>
      <c r="J5366" s="103"/>
      <c r="K5366" s="103"/>
      <c r="L5366" s="103"/>
      <c r="M5366" s="104"/>
      <c r="N5366" s="103"/>
    </row>
    <row r="5367" spans="1:14" ht="45" customHeight="1" thickBot="1" x14ac:dyDescent="0.4">
      <c r="A5367" s="103"/>
      <c r="B5367" s="103"/>
      <c r="C5367" s="103"/>
      <c r="D5367" s="103"/>
      <c r="E5367" s="103"/>
      <c r="F5367" s="103"/>
      <c r="G5367" s="103"/>
      <c r="H5367" s="103"/>
      <c r="I5367" s="103"/>
      <c r="J5367" s="103"/>
      <c r="K5367" s="103"/>
      <c r="L5367" s="103"/>
      <c r="M5367" s="104"/>
      <c r="N5367" s="103"/>
    </row>
    <row r="5368" spans="1:14" ht="45" customHeight="1" thickBot="1" x14ac:dyDescent="0.4">
      <c r="A5368" s="103"/>
      <c r="B5368" s="103"/>
      <c r="C5368" s="103"/>
      <c r="D5368" s="103"/>
      <c r="E5368" s="103"/>
      <c r="F5368" s="103"/>
      <c r="G5368" s="103"/>
      <c r="H5368" s="103"/>
      <c r="I5368" s="103"/>
      <c r="J5368" s="103"/>
      <c r="K5368" s="103"/>
      <c r="L5368" s="103"/>
      <c r="M5368" s="104"/>
      <c r="N5368" s="103"/>
    </row>
    <row r="5369" spans="1:14" ht="45" customHeight="1" thickBot="1" x14ac:dyDescent="0.4">
      <c r="A5369" s="103"/>
      <c r="B5369" s="103"/>
      <c r="C5369" s="103"/>
      <c r="D5369" s="103"/>
      <c r="E5369" s="103"/>
      <c r="F5369" s="103"/>
      <c r="G5369" s="103"/>
      <c r="H5369" s="103"/>
      <c r="I5369" s="103"/>
      <c r="J5369" s="103"/>
      <c r="K5369" s="103"/>
      <c r="L5369" s="103"/>
      <c r="M5369" s="104"/>
      <c r="N5369" s="103"/>
    </row>
    <row r="5370" spans="1:14" ht="45" customHeight="1" thickBot="1" x14ac:dyDescent="0.4">
      <c r="A5370" s="103"/>
      <c r="B5370" s="103"/>
      <c r="C5370" s="103"/>
      <c r="D5370" s="103"/>
      <c r="E5370" s="103"/>
      <c r="F5370" s="103"/>
      <c r="G5370" s="103"/>
      <c r="H5370" s="103"/>
      <c r="I5370" s="103"/>
      <c r="J5370" s="103"/>
      <c r="K5370" s="103"/>
      <c r="L5370" s="103"/>
      <c r="M5370" s="104"/>
      <c r="N5370" s="103"/>
    </row>
    <row r="5371" spans="1:14" ht="45" customHeight="1" thickBot="1" x14ac:dyDescent="0.4">
      <c r="A5371" s="103"/>
      <c r="B5371" s="103"/>
      <c r="C5371" s="103"/>
      <c r="D5371" s="103"/>
      <c r="E5371" s="103"/>
      <c r="F5371" s="103"/>
      <c r="G5371" s="103"/>
      <c r="H5371" s="103"/>
      <c r="I5371" s="103"/>
      <c r="J5371" s="103"/>
      <c r="K5371" s="103"/>
      <c r="L5371" s="103"/>
      <c r="M5371" s="104"/>
      <c r="N5371" s="103"/>
    </row>
    <row r="5372" spans="1:14" ht="45" customHeight="1" thickBot="1" x14ac:dyDescent="0.4">
      <c r="A5372" s="103"/>
      <c r="B5372" s="103"/>
      <c r="C5372" s="103"/>
      <c r="D5372" s="103"/>
      <c r="E5372" s="103"/>
      <c r="F5372" s="103"/>
      <c r="G5372" s="103"/>
      <c r="H5372" s="103"/>
      <c r="I5372" s="103"/>
      <c r="J5372" s="103"/>
      <c r="K5372" s="103"/>
      <c r="L5372" s="103"/>
      <c r="M5372" s="104"/>
      <c r="N5372" s="103"/>
    </row>
    <row r="5373" spans="1:14" ht="45" customHeight="1" thickBot="1" x14ac:dyDescent="0.4">
      <c r="A5373" s="103"/>
      <c r="B5373" s="103"/>
      <c r="C5373" s="103"/>
      <c r="D5373" s="103"/>
      <c r="E5373" s="103"/>
      <c r="F5373" s="103"/>
      <c r="G5373" s="103"/>
      <c r="H5373" s="103"/>
      <c r="I5373" s="103"/>
      <c r="J5373" s="103"/>
      <c r="K5373" s="103"/>
      <c r="L5373" s="103"/>
      <c r="M5373" s="104"/>
      <c r="N5373" s="103"/>
    </row>
    <row r="5374" spans="1:14" ht="45" customHeight="1" thickBot="1" x14ac:dyDescent="0.4">
      <c r="A5374" s="103"/>
      <c r="B5374" s="103"/>
      <c r="C5374" s="103"/>
      <c r="D5374" s="103"/>
      <c r="E5374" s="103"/>
      <c r="F5374" s="103"/>
      <c r="G5374" s="103"/>
      <c r="H5374" s="103"/>
      <c r="I5374" s="103"/>
      <c r="J5374" s="103"/>
      <c r="K5374" s="103"/>
      <c r="L5374" s="103"/>
      <c r="M5374" s="104"/>
      <c r="N5374" s="103"/>
    </row>
    <row r="5375" spans="1:14" ht="45" customHeight="1" thickBot="1" x14ac:dyDescent="0.4">
      <c r="A5375" s="103"/>
      <c r="B5375" s="103"/>
      <c r="C5375" s="103"/>
      <c r="D5375" s="103"/>
      <c r="E5375" s="103"/>
      <c r="F5375" s="103"/>
      <c r="G5375" s="103"/>
      <c r="H5375" s="103"/>
      <c r="I5375" s="103"/>
      <c r="J5375" s="103"/>
      <c r="K5375" s="103"/>
      <c r="L5375" s="103"/>
      <c r="M5375" s="104"/>
      <c r="N5375" s="103"/>
    </row>
    <row r="5376" spans="1:14" ht="45" customHeight="1" thickBot="1" x14ac:dyDescent="0.4">
      <c r="A5376" s="103"/>
      <c r="B5376" s="103"/>
      <c r="C5376" s="103"/>
      <c r="D5376" s="103"/>
      <c r="E5376" s="103"/>
      <c r="F5376" s="103"/>
      <c r="G5376" s="103"/>
      <c r="H5376" s="103"/>
      <c r="I5376" s="103"/>
      <c r="J5376" s="103"/>
      <c r="K5376" s="103"/>
      <c r="L5376" s="103"/>
      <c r="M5376" s="104"/>
      <c r="N5376" s="103"/>
    </row>
    <row r="5377" spans="1:14" ht="45" customHeight="1" thickBot="1" x14ac:dyDescent="0.4">
      <c r="A5377" s="103"/>
      <c r="B5377" s="103"/>
      <c r="C5377" s="103"/>
      <c r="D5377" s="103"/>
      <c r="E5377" s="103"/>
      <c r="F5377" s="103"/>
      <c r="G5377" s="103"/>
      <c r="H5377" s="103"/>
      <c r="I5377" s="103"/>
      <c r="J5377" s="103"/>
      <c r="K5377" s="103"/>
      <c r="L5377" s="103"/>
      <c r="M5377" s="104"/>
      <c r="N5377" s="103"/>
    </row>
    <row r="5378" spans="1:14" ht="45" customHeight="1" thickBot="1" x14ac:dyDescent="0.4">
      <c r="A5378" s="103"/>
      <c r="B5378" s="103"/>
      <c r="C5378" s="103"/>
      <c r="D5378" s="103"/>
      <c r="E5378" s="103"/>
      <c r="F5378" s="103"/>
      <c r="G5378" s="103"/>
      <c r="H5378" s="103"/>
      <c r="I5378" s="103"/>
      <c r="J5378" s="103"/>
      <c r="K5378" s="103"/>
      <c r="L5378" s="103"/>
      <c r="M5378" s="104"/>
      <c r="N5378" s="103"/>
    </row>
    <row r="5379" spans="1:14" ht="45" customHeight="1" thickBot="1" x14ac:dyDescent="0.4">
      <c r="A5379" s="103"/>
      <c r="B5379" s="103"/>
      <c r="C5379" s="103"/>
      <c r="D5379" s="103"/>
      <c r="E5379" s="103"/>
      <c r="F5379" s="103"/>
      <c r="G5379" s="103"/>
      <c r="H5379" s="103"/>
      <c r="I5379" s="103"/>
      <c r="J5379" s="103"/>
      <c r="K5379" s="103"/>
      <c r="L5379" s="103"/>
      <c r="M5379" s="104"/>
      <c r="N5379" s="103"/>
    </row>
    <row r="5380" spans="1:14" ht="45" customHeight="1" thickBot="1" x14ac:dyDescent="0.4">
      <c r="A5380" s="103"/>
      <c r="B5380" s="103"/>
      <c r="C5380" s="103"/>
      <c r="D5380" s="103"/>
      <c r="E5380" s="103"/>
      <c r="F5380" s="103"/>
      <c r="G5380" s="103"/>
      <c r="H5380" s="103"/>
      <c r="I5380" s="103"/>
      <c r="J5380" s="103"/>
      <c r="K5380" s="103"/>
      <c r="L5380" s="103"/>
      <c r="M5380" s="104"/>
      <c r="N5380" s="103"/>
    </row>
    <row r="5381" spans="1:14" ht="45" customHeight="1" thickBot="1" x14ac:dyDescent="0.4">
      <c r="A5381" s="103"/>
      <c r="B5381" s="103"/>
      <c r="C5381" s="103"/>
      <c r="D5381" s="103"/>
      <c r="E5381" s="103"/>
      <c r="F5381" s="103"/>
      <c r="G5381" s="103"/>
      <c r="H5381" s="103"/>
      <c r="I5381" s="103"/>
      <c r="J5381" s="103"/>
      <c r="K5381" s="103"/>
      <c r="L5381" s="103"/>
      <c r="M5381" s="104"/>
      <c r="N5381" s="103"/>
    </row>
    <row r="5382" spans="1:14" ht="45" customHeight="1" thickBot="1" x14ac:dyDescent="0.4">
      <c r="A5382" s="103"/>
      <c r="B5382" s="103"/>
      <c r="C5382" s="103"/>
      <c r="D5382" s="103"/>
      <c r="E5382" s="103"/>
      <c r="F5382" s="103"/>
      <c r="G5382" s="103"/>
      <c r="H5382" s="103"/>
      <c r="I5382" s="103"/>
      <c r="J5382" s="103"/>
      <c r="K5382" s="103"/>
      <c r="L5382" s="103"/>
      <c r="M5382" s="104"/>
      <c r="N5382" s="103"/>
    </row>
    <row r="5383" spans="1:14" ht="45" customHeight="1" thickBot="1" x14ac:dyDescent="0.4">
      <c r="A5383" s="103"/>
      <c r="B5383" s="103"/>
      <c r="C5383" s="103"/>
      <c r="D5383" s="103"/>
      <c r="E5383" s="103"/>
      <c r="F5383" s="103"/>
      <c r="G5383" s="103"/>
      <c r="H5383" s="103"/>
      <c r="I5383" s="103"/>
      <c r="J5383" s="103"/>
      <c r="K5383" s="103"/>
      <c r="L5383" s="103"/>
      <c r="M5383" s="104"/>
      <c r="N5383" s="103"/>
    </row>
    <row r="5384" spans="1:14" ht="45" customHeight="1" thickBot="1" x14ac:dyDescent="0.4">
      <c r="A5384" s="103"/>
      <c r="B5384" s="103"/>
      <c r="C5384" s="103"/>
      <c r="D5384" s="103"/>
      <c r="E5384" s="103"/>
      <c r="F5384" s="103"/>
      <c r="G5384" s="103"/>
      <c r="H5384" s="103"/>
      <c r="I5384" s="103"/>
      <c r="J5384" s="103"/>
      <c r="K5384" s="103"/>
      <c r="L5384" s="103"/>
      <c r="M5384" s="104"/>
      <c r="N5384" s="103"/>
    </row>
    <row r="5385" spans="1:14" ht="45" customHeight="1" thickBot="1" x14ac:dyDescent="0.4">
      <c r="A5385" s="103"/>
      <c r="B5385" s="103"/>
      <c r="C5385" s="103"/>
      <c r="D5385" s="103"/>
      <c r="E5385" s="103"/>
      <c r="F5385" s="103"/>
      <c r="G5385" s="103"/>
      <c r="H5385" s="103"/>
      <c r="I5385" s="103"/>
      <c r="J5385" s="103"/>
      <c r="K5385" s="103"/>
      <c r="L5385" s="103"/>
      <c r="M5385" s="104"/>
      <c r="N5385" s="103"/>
    </row>
    <row r="5386" spans="1:14" ht="45" customHeight="1" thickBot="1" x14ac:dyDescent="0.4">
      <c r="A5386" s="103"/>
      <c r="B5386" s="103"/>
      <c r="C5386" s="103"/>
      <c r="D5386" s="103"/>
      <c r="E5386" s="103"/>
      <c r="F5386" s="103"/>
      <c r="G5386" s="103"/>
      <c r="H5386" s="103"/>
      <c r="I5386" s="103"/>
      <c r="J5386" s="103"/>
      <c r="K5386" s="103"/>
      <c r="L5386" s="103"/>
      <c r="M5386" s="104"/>
      <c r="N5386" s="103"/>
    </row>
    <row r="5387" spans="1:14" ht="45" customHeight="1" thickBot="1" x14ac:dyDescent="0.4">
      <c r="A5387" s="103"/>
      <c r="B5387" s="103"/>
      <c r="C5387" s="103"/>
      <c r="D5387" s="103"/>
      <c r="E5387" s="103"/>
      <c r="F5387" s="103"/>
      <c r="G5387" s="103"/>
      <c r="H5387" s="103"/>
      <c r="I5387" s="103"/>
      <c r="J5387" s="103"/>
      <c r="K5387" s="103"/>
      <c r="L5387" s="103"/>
      <c r="M5387" s="104"/>
      <c r="N5387" s="103"/>
    </row>
    <row r="5388" spans="1:14" ht="45" customHeight="1" thickBot="1" x14ac:dyDescent="0.4">
      <c r="A5388" s="103"/>
      <c r="B5388" s="103"/>
      <c r="C5388" s="103"/>
      <c r="D5388" s="103"/>
      <c r="E5388" s="103"/>
      <c r="F5388" s="103"/>
      <c r="G5388" s="103"/>
      <c r="H5388" s="103"/>
      <c r="I5388" s="103"/>
      <c r="J5388" s="103"/>
      <c r="K5388" s="103"/>
      <c r="L5388" s="103"/>
      <c r="M5388" s="104"/>
      <c r="N5388" s="103"/>
    </row>
    <row r="5389" spans="1:14" ht="45" customHeight="1" thickBot="1" x14ac:dyDescent="0.4">
      <c r="A5389" s="103"/>
      <c r="B5389" s="103"/>
      <c r="C5389" s="103"/>
      <c r="D5389" s="103"/>
      <c r="E5389" s="103"/>
      <c r="F5389" s="103"/>
      <c r="G5389" s="103"/>
      <c r="H5389" s="103"/>
      <c r="I5389" s="103"/>
      <c r="J5389" s="103"/>
      <c r="K5389" s="103"/>
      <c r="L5389" s="103"/>
      <c r="M5389" s="104"/>
      <c r="N5389" s="103"/>
    </row>
    <row r="5390" spans="1:14" ht="45" customHeight="1" thickBot="1" x14ac:dyDescent="0.4">
      <c r="A5390" s="103"/>
      <c r="B5390" s="103"/>
      <c r="C5390" s="103"/>
      <c r="D5390" s="103"/>
      <c r="E5390" s="103"/>
      <c r="F5390" s="103"/>
      <c r="G5390" s="103"/>
      <c r="H5390" s="103"/>
      <c r="I5390" s="103"/>
      <c r="J5390" s="103"/>
      <c r="K5390" s="103"/>
      <c r="L5390" s="103"/>
      <c r="M5390" s="104"/>
      <c r="N5390" s="103"/>
    </row>
    <row r="5391" spans="1:14" ht="45" customHeight="1" thickBot="1" x14ac:dyDescent="0.4">
      <c r="A5391" s="103"/>
      <c r="B5391" s="103"/>
      <c r="C5391" s="103"/>
      <c r="D5391" s="103"/>
      <c r="E5391" s="103"/>
      <c r="F5391" s="103"/>
      <c r="G5391" s="103"/>
      <c r="H5391" s="103"/>
      <c r="I5391" s="103"/>
      <c r="J5391" s="103"/>
      <c r="K5391" s="103"/>
      <c r="L5391" s="103"/>
      <c r="M5391" s="104"/>
      <c r="N5391" s="103"/>
    </row>
    <row r="5392" spans="1:14" ht="45" customHeight="1" thickBot="1" x14ac:dyDescent="0.4">
      <c r="A5392" s="103"/>
      <c r="B5392" s="103"/>
      <c r="C5392" s="103"/>
      <c r="D5392" s="103"/>
      <c r="E5392" s="103"/>
      <c r="F5392" s="103"/>
      <c r="G5392" s="103"/>
      <c r="H5392" s="103"/>
      <c r="I5392" s="103"/>
      <c r="J5392" s="103"/>
      <c r="K5392" s="103"/>
      <c r="L5392" s="103"/>
      <c r="M5392" s="104"/>
      <c r="N5392" s="103"/>
    </row>
    <row r="5393" spans="1:14" ht="45" customHeight="1" thickBot="1" x14ac:dyDescent="0.4">
      <c r="A5393" s="103"/>
      <c r="B5393" s="103"/>
      <c r="C5393" s="103"/>
      <c r="D5393" s="103"/>
      <c r="E5393" s="103"/>
      <c r="F5393" s="103"/>
      <c r="G5393" s="103"/>
      <c r="H5393" s="103"/>
      <c r="I5393" s="103"/>
      <c r="J5393" s="103"/>
      <c r="K5393" s="103"/>
      <c r="L5393" s="103"/>
      <c r="M5393" s="104"/>
      <c r="N5393" s="103"/>
    </row>
    <row r="5394" spans="1:14" ht="45" customHeight="1" thickBot="1" x14ac:dyDescent="0.4">
      <c r="A5394" s="103"/>
      <c r="B5394" s="103"/>
      <c r="C5394" s="103"/>
      <c r="D5394" s="103"/>
      <c r="E5394" s="103"/>
      <c r="F5394" s="103"/>
      <c r="G5394" s="103"/>
      <c r="H5394" s="103"/>
      <c r="I5394" s="103"/>
      <c r="J5394" s="103"/>
      <c r="K5394" s="103"/>
      <c r="L5394" s="103"/>
      <c r="M5394" s="104"/>
      <c r="N5394" s="103"/>
    </row>
    <row r="5395" spans="1:14" ht="45" customHeight="1" thickBot="1" x14ac:dyDescent="0.4">
      <c r="A5395" s="103"/>
      <c r="B5395" s="103"/>
      <c r="C5395" s="103"/>
      <c r="D5395" s="103"/>
      <c r="E5395" s="103"/>
      <c r="F5395" s="103"/>
      <c r="G5395" s="103"/>
      <c r="H5395" s="103"/>
      <c r="I5395" s="103"/>
      <c r="J5395" s="103"/>
      <c r="K5395" s="103"/>
      <c r="L5395" s="103"/>
      <c r="M5395" s="104"/>
      <c r="N5395" s="103"/>
    </row>
    <row r="5396" spans="1:14" ht="45" customHeight="1" thickBot="1" x14ac:dyDescent="0.4">
      <c r="A5396" s="103"/>
      <c r="B5396" s="103"/>
      <c r="C5396" s="103"/>
      <c r="D5396" s="103"/>
      <c r="E5396" s="103"/>
      <c r="F5396" s="103"/>
      <c r="G5396" s="103"/>
      <c r="H5396" s="103"/>
      <c r="I5396" s="103"/>
      <c r="J5396" s="103"/>
      <c r="K5396" s="103"/>
      <c r="L5396" s="103"/>
      <c r="M5396" s="104"/>
      <c r="N5396" s="103"/>
    </row>
    <row r="5397" spans="1:14" ht="45" customHeight="1" thickBot="1" x14ac:dyDescent="0.4">
      <c r="A5397" s="103"/>
      <c r="B5397" s="103"/>
      <c r="C5397" s="103"/>
      <c r="D5397" s="103"/>
      <c r="E5397" s="103"/>
      <c r="F5397" s="103"/>
      <c r="G5397" s="103"/>
      <c r="H5397" s="103"/>
      <c r="I5397" s="103"/>
      <c r="J5397" s="103"/>
      <c r="K5397" s="103"/>
      <c r="L5397" s="103"/>
      <c r="M5397" s="104"/>
      <c r="N5397" s="103"/>
    </row>
    <row r="5398" spans="1:14" ht="45" customHeight="1" thickBot="1" x14ac:dyDescent="0.4">
      <c r="A5398" s="103"/>
      <c r="B5398" s="103"/>
      <c r="C5398" s="103"/>
      <c r="D5398" s="103"/>
      <c r="E5398" s="103"/>
      <c r="F5398" s="103"/>
      <c r="G5398" s="103"/>
      <c r="H5398" s="103"/>
      <c r="I5398" s="103"/>
      <c r="J5398" s="103"/>
      <c r="K5398" s="103"/>
      <c r="L5398" s="103"/>
      <c r="M5398" s="104"/>
      <c r="N5398" s="103"/>
    </row>
    <row r="5399" spans="1:14" ht="45" customHeight="1" thickBot="1" x14ac:dyDescent="0.4">
      <c r="A5399" s="103"/>
      <c r="B5399" s="103"/>
      <c r="C5399" s="103"/>
      <c r="D5399" s="103"/>
      <c r="E5399" s="103"/>
      <c r="F5399" s="103"/>
      <c r="G5399" s="103"/>
      <c r="H5399" s="103"/>
      <c r="I5399" s="103"/>
      <c r="J5399" s="103"/>
      <c r="K5399" s="103"/>
      <c r="L5399" s="103"/>
      <c r="M5399" s="104"/>
      <c r="N5399" s="103"/>
    </row>
    <row r="5400" spans="1:14" ht="45" customHeight="1" thickBot="1" x14ac:dyDescent="0.4">
      <c r="A5400" s="103"/>
      <c r="B5400" s="103"/>
      <c r="C5400" s="103"/>
      <c r="D5400" s="103"/>
      <c r="E5400" s="103"/>
      <c r="F5400" s="103"/>
      <c r="G5400" s="103"/>
      <c r="H5400" s="103"/>
      <c r="I5400" s="103"/>
      <c r="J5400" s="103"/>
      <c r="K5400" s="103"/>
      <c r="L5400" s="103"/>
      <c r="M5400" s="104"/>
      <c r="N5400" s="103"/>
    </row>
    <row r="5401" spans="1:14" ht="45" customHeight="1" thickBot="1" x14ac:dyDescent="0.4">
      <c r="A5401" s="103"/>
      <c r="B5401" s="103"/>
      <c r="C5401" s="103"/>
      <c r="D5401" s="103"/>
      <c r="E5401" s="103"/>
      <c r="F5401" s="103"/>
      <c r="G5401" s="103"/>
      <c r="H5401" s="103"/>
      <c r="I5401" s="103"/>
      <c r="J5401" s="103"/>
      <c r="K5401" s="103"/>
      <c r="L5401" s="103"/>
      <c r="M5401" s="104"/>
      <c r="N5401" s="103"/>
    </row>
    <row r="5402" spans="1:14" ht="45" customHeight="1" thickBot="1" x14ac:dyDescent="0.4">
      <c r="A5402" s="103"/>
      <c r="B5402" s="103"/>
      <c r="C5402" s="103"/>
      <c r="D5402" s="103"/>
      <c r="E5402" s="103"/>
      <c r="F5402" s="103"/>
      <c r="G5402" s="103"/>
      <c r="H5402" s="103"/>
      <c r="I5402" s="103"/>
      <c r="J5402" s="103"/>
      <c r="K5402" s="103"/>
      <c r="L5402" s="103"/>
      <c r="M5402" s="104"/>
      <c r="N5402" s="103"/>
    </row>
    <row r="5403" spans="1:14" ht="45" customHeight="1" thickBot="1" x14ac:dyDescent="0.4">
      <c r="A5403" s="103"/>
      <c r="B5403" s="103"/>
      <c r="C5403" s="103"/>
      <c r="D5403" s="103"/>
      <c r="E5403" s="103"/>
      <c r="F5403" s="103"/>
      <c r="G5403" s="103"/>
      <c r="H5403" s="103"/>
      <c r="I5403" s="103"/>
      <c r="J5403" s="103"/>
      <c r="K5403" s="103"/>
      <c r="L5403" s="103"/>
      <c r="M5403" s="104"/>
      <c r="N5403" s="103"/>
    </row>
    <row r="5404" spans="1:14" ht="45" customHeight="1" thickBot="1" x14ac:dyDescent="0.4">
      <c r="A5404" s="103"/>
      <c r="B5404" s="103"/>
      <c r="C5404" s="103"/>
      <c r="D5404" s="103"/>
      <c r="E5404" s="103"/>
      <c r="F5404" s="103"/>
      <c r="G5404" s="103"/>
      <c r="H5404" s="103"/>
      <c r="I5404" s="103"/>
      <c r="J5404" s="103"/>
      <c r="K5404" s="103"/>
      <c r="L5404" s="103"/>
      <c r="M5404" s="104"/>
      <c r="N5404" s="103"/>
    </row>
    <row r="5405" spans="1:14" ht="45" customHeight="1" thickBot="1" x14ac:dyDescent="0.4">
      <c r="A5405" s="103"/>
      <c r="B5405" s="103"/>
      <c r="C5405" s="103"/>
      <c r="D5405" s="103"/>
      <c r="E5405" s="103"/>
      <c r="F5405" s="103"/>
      <c r="G5405" s="103"/>
      <c r="H5405" s="103"/>
      <c r="I5405" s="103"/>
      <c r="J5405" s="103"/>
      <c r="K5405" s="103"/>
      <c r="L5405" s="103"/>
      <c r="M5405" s="104"/>
      <c r="N5405" s="103"/>
    </row>
    <row r="5406" spans="1:14" ht="45" customHeight="1" thickBot="1" x14ac:dyDescent="0.4">
      <c r="A5406" s="103"/>
      <c r="B5406" s="103"/>
      <c r="C5406" s="103"/>
      <c r="D5406" s="103"/>
      <c r="E5406" s="103"/>
      <c r="F5406" s="103"/>
      <c r="G5406" s="103"/>
      <c r="H5406" s="103"/>
      <c r="I5406" s="103"/>
      <c r="J5406" s="103"/>
      <c r="K5406" s="103"/>
      <c r="L5406" s="103"/>
      <c r="M5406" s="104"/>
      <c r="N5406" s="103"/>
    </row>
    <row r="5407" spans="1:14" ht="45" customHeight="1" thickBot="1" x14ac:dyDescent="0.4">
      <c r="A5407" s="103"/>
      <c r="B5407" s="103"/>
      <c r="C5407" s="103"/>
      <c r="D5407" s="103"/>
      <c r="E5407" s="103"/>
      <c r="F5407" s="103"/>
      <c r="G5407" s="103"/>
      <c r="H5407" s="103"/>
      <c r="I5407" s="103"/>
      <c r="J5407" s="103"/>
      <c r="K5407" s="103"/>
      <c r="L5407" s="103"/>
      <c r="M5407" s="104"/>
      <c r="N5407" s="103"/>
    </row>
    <row r="5408" spans="1:14" ht="45" customHeight="1" thickBot="1" x14ac:dyDescent="0.4">
      <c r="A5408" s="103"/>
      <c r="B5408" s="103"/>
      <c r="C5408" s="103"/>
      <c r="D5408" s="103"/>
      <c r="E5408" s="103"/>
      <c r="F5408" s="103"/>
      <c r="G5408" s="103"/>
      <c r="H5408" s="103"/>
      <c r="I5408" s="103"/>
      <c r="J5408" s="103"/>
      <c r="K5408" s="103"/>
      <c r="L5408" s="103"/>
      <c r="M5408" s="104"/>
      <c r="N5408" s="103"/>
    </row>
    <row r="5409" spans="1:14" ht="45" customHeight="1" thickBot="1" x14ac:dyDescent="0.4">
      <c r="A5409" s="103"/>
      <c r="B5409" s="103"/>
      <c r="C5409" s="103"/>
      <c r="D5409" s="103"/>
      <c r="E5409" s="103"/>
      <c r="F5409" s="103"/>
      <c r="G5409" s="103"/>
      <c r="H5409" s="103"/>
      <c r="I5409" s="103"/>
      <c r="J5409" s="103"/>
      <c r="K5409" s="103"/>
      <c r="L5409" s="103"/>
      <c r="M5409" s="104"/>
      <c r="N5409" s="103"/>
    </row>
    <row r="5410" spans="1:14" ht="45" customHeight="1" thickBot="1" x14ac:dyDescent="0.4">
      <c r="A5410" s="103"/>
      <c r="B5410" s="103"/>
      <c r="C5410" s="103"/>
      <c r="D5410" s="103"/>
      <c r="E5410" s="103"/>
      <c r="F5410" s="103"/>
      <c r="G5410" s="103"/>
      <c r="H5410" s="103"/>
      <c r="I5410" s="103"/>
      <c r="J5410" s="103"/>
      <c r="K5410" s="103"/>
      <c r="L5410" s="103"/>
      <c r="M5410" s="104"/>
      <c r="N5410" s="103"/>
    </row>
    <row r="5411" spans="1:14" ht="45" customHeight="1" thickBot="1" x14ac:dyDescent="0.4">
      <c r="A5411" s="103"/>
      <c r="B5411" s="103"/>
      <c r="C5411" s="103"/>
      <c r="D5411" s="103"/>
      <c r="E5411" s="103"/>
      <c r="F5411" s="103"/>
      <c r="G5411" s="103"/>
      <c r="H5411" s="103"/>
      <c r="I5411" s="103"/>
      <c r="J5411" s="103"/>
      <c r="K5411" s="103"/>
      <c r="L5411" s="103"/>
      <c r="M5411" s="104"/>
      <c r="N5411" s="103"/>
    </row>
    <row r="5412" spans="1:14" ht="45" customHeight="1" thickBot="1" x14ac:dyDescent="0.4">
      <c r="A5412" s="103"/>
      <c r="B5412" s="103"/>
      <c r="C5412" s="103"/>
      <c r="D5412" s="103"/>
      <c r="E5412" s="103"/>
      <c r="F5412" s="103"/>
      <c r="G5412" s="103"/>
      <c r="H5412" s="103"/>
      <c r="I5412" s="103"/>
      <c r="J5412" s="103"/>
      <c r="K5412" s="103"/>
      <c r="L5412" s="103"/>
      <c r="M5412" s="104"/>
      <c r="N5412" s="103"/>
    </row>
    <row r="5413" spans="1:14" ht="45" customHeight="1" thickBot="1" x14ac:dyDescent="0.4">
      <c r="A5413" s="103"/>
      <c r="B5413" s="103"/>
      <c r="C5413" s="103"/>
      <c r="D5413" s="103"/>
      <c r="E5413" s="103"/>
      <c r="F5413" s="103"/>
      <c r="G5413" s="103"/>
      <c r="H5413" s="103"/>
      <c r="I5413" s="103"/>
      <c r="J5413" s="103"/>
      <c r="K5413" s="103"/>
      <c r="L5413" s="103"/>
      <c r="M5413" s="104"/>
      <c r="N5413" s="103"/>
    </row>
    <row r="5414" spans="1:14" ht="45" customHeight="1" thickBot="1" x14ac:dyDescent="0.4">
      <c r="A5414" s="103"/>
      <c r="B5414" s="103"/>
      <c r="C5414" s="103"/>
      <c r="D5414" s="103"/>
      <c r="E5414" s="103"/>
      <c r="F5414" s="103"/>
      <c r="G5414" s="103"/>
      <c r="H5414" s="103"/>
      <c r="I5414" s="103"/>
      <c r="J5414" s="103"/>
      <c r="K5414" s="103"/>
      <c r="L5414" s="103"/>
      <c r="M5414" s="104"/>
      <c r="N5414" s="103"/>
    </row>
    <row r="5415" spans="1:14" ht="45" customHeight="1" thickBot="1" x14ac:dyDescent="0.4">
      <c r="A5415" s="103"/>
      <c r="B5415" s="103"/>
      <c r="C5415" s="103"/>
      <c r="D5415" s="103"/>
      <c r="E5415" s="103"/>
      <c r="F5415" s="103"/>
      <c r="G5415" s="103"/>
      <c r="H5415" s="103"/>
      <c r="I5415" s="103"/>
      <c r="J5415" s="103"/>
      <c r="K5415" s="103"/>
      <c r="L5415" s="103"/>
      <c r="M5415" s="104"/>
      <c r="N5415" s="103"/>
    </row>
    <row r="5416" spans="1:14" ht="45" customHeight="1" thickBot="1" x14ac:dyDescent="0.4">
      <c r="A5416" s="103"/>
      <c r="B5416" s="103"/>
      <c r="C5416" s="103"/>
      <c r="D5416" s="103"/>
      <c r="E5416" s="103"/>
      <c r="F5416" s="103"/>
      <c r="G5416" s="103"/>
      <c r="H5416" s="103"/>
      <c r="I5416" s="103"/>
      <c r="J5416" s="103"/>
      <c r="K5416" s="103"/>
      <c r="L5416" s="103"/>
      <c r="M5416" s="104"/>
      <c r="N5416" s="103"/>
    </row>
    <row r="5417" spans="1:14" ht="45" customHeight="1" thickBot="1" x14ac:dyDescent="0.4">
      <c r="A5417" s="103"/>
      <c r="B5417" s="103"/>
      <c r="C5417" s="103"/>
      <c r="D5417" s="103"/>
      <c r="E5417" s="103"/>
      <c r="F5417" s="103"/>
      <c r="G5417" s="103"/>
      <c r="H5417" s="103"/>
      <c r="I5417" s="103"/>
      <c r="J5417" s="103"/>
      <c r="K5417" s="103"/>
      <c r="L5417" s="103"/>
      <c r="M5417" s="104"/>
      <c r="N5417" s="103"/>
    </row>
    <row r="5418" spans="1:14" ht="45" customHeight="1" thickBot="1" x14ac:dyDescent="0.4">
      <c r="A5418" s="103"/>
      <c r="B5418" s="103"/>
      <c r="C5418" s="103"/>
      <c r="D5418" s="103"/>
      <c r="E5418" s="103"/>
      <c r="F5418" s="103"/>
      <c r="G5418" s="103"/>
      <c r="H5418" s="103"/>
      <c r="I5418" s="103"/>
      <c r="J5418" s="103"/>
      <c r="K5418" s="103"/>
      <c r="L5418" s="103"/>
      <c r="M5418" s="104"/>
      <c r="N5418" s="103"/>
    </row>
    <row r="5419" spans="1:14" ht="45" customHeight="1" thickBot="1" x14ac:dyDescent="0.4">
      <c r="A5419" s="103"/>
      <c r="B5419" s="103"/>
      <c r="C5419" s="103"/>
      <c r="D5419" s="103"/>
      <c r="E5419" s="103"/>
      <c r="F5419" s="103"/>
      <c r="G5419" s="103"/>
      <c r="H5419" s="103"/>
      <c r="I5419" s="103"/>
      <c r="J5419" s="103"/>
      <c r="K5419" s="103"/>
      <c r="L5419" s="103"/>
      <c r="M5419" s="104"/>
      <c r="N5419" s="103"/>
    </row>
    <row r="5420" spans="1:14" ht="45" customHeight="1" thickBot="1" x14ac:dyDescent="0.4">
      <c r="A5420" s="103"/>
      <c r="B5420" s="103"/>
      <c r="C5420" s="103"/>
      <c r="D5420" s="103"/>
      <c r="E5420" s="103"/>
      <c r="F5420" s="103"/>
      <c r="G5420" s="103"/>
      <c r="H5420" s="103"/>
      <c r="I5420" s="103"/>
      <c r="J5420" s="103"/>
      <c r="K5420" s="103"/>
      <c r="L5420" s="103"/>
      <c r="M5420" s="104"/>
      <c r="N5420" s="103"/>
    </row>
    <row r="5421" spans="1:14" ht="45" customHeight="1" thickBot="1" x14ac:dyDescent="0.4">
      <c r="A5421" s="103"/>
      <c r="B5421" s="103"/>
      <c r="C5421" s="103"/>
      <c r="D5421" s="103"/>
      <c r="E5421" s="103"/>
      <c r="F5421" s="103"/>
      <c r="G5421" s="103"/>
      <c r="H5421" s="103"/>
      <c r="I5421" s="103"/>
      <c r="J5421" s="103"/>
      <c r="K5421" s="103"/>
      <c r="L5421" s="103"/>
      <c r="M5421" s="104"/>
      <c r="N5421" s="103"/>
    </row>
    <row r="5422" spans="1:14" ht="45" customHeight="1" thickBot="1" x14ac:dyDescent="0.4">
      <c r="A5422" s="103"/>
      <c r="B5422" s="103"/>
      <c r="C5422" s="103"/>
      <c r="D5422" s="103"/>
      <c r="E5422" s="103"/>
      <c r="F5422" s="103"/>
      <c r="G5422" s="103"/>
      <c r="H5422" s="103"/>
      <c r="I5422" s="103"/>
      <c r="J5422" s="103"/>
      <c r="K5422" s="103"/>
      <c r="L5422" s="103"/>
      <c r="M5422" s="104"/>
      <c r="N5422" s="103"/>
    </row>
    <row r="5423" spans="1:14" ht="45" customHeight="1" thickBot="1" x14ac:dyDescent="0.4">
      <c r="A5423" s="103"/>
      <c r="B5423" s="103"/>
      <c r="C5423" s="103"/>
      <c r="D5423" s="103"/>
      <c r="E5423" s="103"/>
      <c r="F5423" s="103"/>
      <c r="G5423" s="103"/>
      <c r="H5423" s="103"/>
      <c r="I5423" s="103"/>
      <c r="J5423" s="103"/>
      <c r="K5423" s="103"/>
      <c r="L5423" s="103"/>
      <c r="M5423" s="104"/>
      <c r="N5423" s="103"/>
    </row>
    <row r="5424" spans="1:14" ht="45" customHeight="1" thickBot="1" x14ac:dyDescent="0.4">
      <c r="A5424" s="103"/>
      <c r="B5424" s="103"/>
      <c r="C5424" s="103"/>
      <c r="D5424" s="103"/>
      <c r="E5424" s="103"/>
      <c r="F5424" s="103"/>
      <c r="G5424" s="103"/>
      <c r="H5424" s="103"/>
      <c r="I5424" s="103"/>
      <c r="J5424" s="103"/>
      <c r="K5424" s="103"/>
      <c r="L5424" s="103"/>
      <c r="M5424" s="104"/>
      <c r="N5424" s="103"/>
    </row>
    <row r="5425" spans="1:14" ht="45" customHeight="1" thickBot="1" x14ac:dyDescent="0.4">
      <c r="A5425" s="103"/>
      <c r="B5425" s="103"/>
      <c r="C5425" s="103"/>
      <c r="D5425" s="103"/>
      <c r="E5425" s="103"/>
      <c r="F5425" s="103"/>
      <c r="G5425" s="103"/>
      <c r="H5425" s="103"/>
      <c r="I5425" s="103"/>
      <c r="J5425" s="103"/>
      <c r="K5425" s="103"/>
      <c r="L5425" s="103"/>
      <c r="M5425" s="104"/>
      <c r="N5425" s="103"/>
    </row>
    <row r="5426" spans="1:14" ht="45" customHeight="1" thickBot="1" x14ac:dyDescent="0.4">
      <c r="A5426" s="103"/>
      <c r="B5426" s="103"/>
      <c r="C5426" s="103"/>
      <c r="D5426" s="103"/>
      <c r="E5426" s="103"/>
      <c r="F5426" s="103"/>
      <c r="G5426" s="103"/>
      <c r="H5426" s="103"/>
      <c r="I5426" s="103"/>
      <c r="J5426" s="103"/>
      <c r="K5426" s="103"/>
      <c r="L5426" s="103"/>
      <c r="M5426" s="104"/>
      <c r="N5426" s="103"/>
    </row>
    <row r="5427" spans="1:14" ht="45" customHeight="1" thickBot="1" x14ac:dyDescent="0.4">
      <c r="A5427" s="103"/>
      <c r="B5427" s="103"/>
      <c r="C5427" s="103"/>
      <c r="D5427" s="103"/>
      <c r="E5427" s="103"/>
      <c r="F5427" s="103"/>
      <c r="G5427" s="103"/>
      <c r="H5427" s="103"/>
      <c r="I5427" s="103"/>
      <c r="J5427" s="103"/>
      <c r="K5427" s="103"/>
      <c r="L5427" s="103"/>
      <c r="M5427" s="104"/>
      <c r="N5427" s="103"/>
    </row>
    <row r="5428" spans="1:14" ht="45" customHeight="1" thickBot="1" x14ac:dyDescent="0.4">
      <c r="A5428" s="103"/>
      <c r="B5428" s="103"/>
      <c r="C5428" s="103"/>
      <c r="D5428" s="103"/>
      <c r="E5428" s="103"/>
      <c r="F5428" s="103"/>
      <c r="G5428" s="103"/>
      <c r="H5428" s="103"/>
      <c r="I5428" s="103"/>
      <c r="J5428" s="103"/>
      <c r="K5428" s="103"/>
      <c r="L5428" s="103"/>
      <c r="M5428" s="104"/>
      <c r="N5428" s="103"/>
    </row>
    <row r="5429" spans="1:14" ht="45" customHeight="1" thickBot="1" x14ac:dyDescent="0.4">
      <c r="A5429" s="103"/>
      <c r="B5429" s="103"/>
      <c r="C5429" s="103"/>
      <c r="D5429" s="103"/>
      <c r="E5429" s="103"/>
      <c r="F5429" s="103"/>
      <c r="G5429" s="103"/>
      <c r="H5429" s="103"/>
      <c r="I5429" s="103"/>
      <c r="J5429" s="103"/>
      <c r="K5429" s="103"/>
      <c r="L5429" s="103"/>
      <c r="M5429" s="104"/>
      <c r="N5429" s="103"/>
    </row>
    <row r="5430" spans="1:14" ht="45" customHeight="1" thickBot="1" x14ac:dyDescent="0.4">
      <c r="A5430" s="103"/>
      <c r="B5430" s="103"/>
      <c r="C5430" s="103"/>
      <c r="D5430" s="103"/>
      <c r="E5430" s="103"/>
      <c r="F5430" s="103"/>
      <c r="G5430" s="103"/>
      <c r="H5430" s="103"/>
      <c r="I5430" s="103"/>
      <c r="J5430" s="103"/>
      <c r="K5430" s="103"/>
      <c r="L5430" s="103"/>
      <c r="M5430" s="104"/>
      <c r="N5430" s="103"/>
    </row>
    <row r="5431" spans="1:14" ht="45" customHeight="1" thickBot="1" x14ac:dyDescent="0.4">
      <c r="A5431" s="103"/>
      <c r="B5431" s="103"/>
      <c r="C5431" s="103"/>
      <c r="D5431" s="103"/>
      <c r="E5431" s="103"/>
      <c r="F5431" s="103"/>
      <c r="G5431" s="103"/>
      <c r="H5431" s="103"/>
      <c r="I5431" s="103"/>
      <c r="J5431" s="103"/>
      <c r="K5431" s="103"/>
      <c r="L5431" s="103"/>
      <c r="M5431" s="104"/>
      <c r="N5431" s="103"/>
    </row>
    <row r="5432" spans="1:14" ht="45" customHeight="1" thickBot="1" x14ac:dyDescent="0.4">
      <c r="A5432" s="103"/>
      <c r="B5432" s="103"/>
      <c r="C5432" s="103"/>
      <c r="D5432" s="103"/>
      <c r="E5432" s="103"/>
      <c r="F5432" s="103"/>
      <c r="G5432" s="103"/>
      <c r="H5432" s="103"/>
      <c r="I5432" s="103"/>
      <c r="J5432" s="103"/>
      <c r="K5432" s="103"/>
      <c r="L5432" s="103"/>
      <c r="M5432" s="104"/>
      <c r="N5432" s="103"/>
    </row>
    <row r="5433" spans="1:14" ht="45" customHeight="1" thickBot="1" x14ac:dyDescent="0.4">
      <c r="A5433" s="103"/>
      <c r="B5433" s="103"/>
      <c r="C5433" s="103"/>
      <c r="D5433" s="103"/>
      <c r="E5433" s="103"/>
      <c r="F5433" s="103"/>
      <c r="G5433" s="103"/>
      <c r="H5433" s="103"/>
      <c r="I5433" s="103"/>
      <c r="J5433" s="103"/>
      <c r="K5433" s="103"/>
      <c r="L5433" s="103"/>
      <c r="M5433" s="104"/>
      <c r="N5433" s="103"/>
    </row>
    <row r="5434" spans="1:14" ht="45" customHeight="1" thickBot="1" x14ac:dyDescent="0.4">
      <c r="A5434" s="103"/>
      <c r="B5434" s="103"/>
      <c r="C5434" s="103"/>
      <c r="D5434" s="103"/>
      <c r="E5434" s="103"/>
      <c r="F5434" s="103"/>
      <c r="G5434" s="103"/>
      <c r="H5434" s="103"/>
      <c r="I5434" s="103"/>
      <c r="J5434" s="103"/>
      <c r="K5434" s="103"/>
      <c r="L5434" s="103"/>
      <c r="M5434" s="104"/>
      <c r="N5434" s="103"/>
    </row>
    <row r="5435" spans="1:14" ht="45" customHeight="1" thickBot="1" x14ac:dyDescent="0.4">
      <c r="A5435" s="103"/>
      <c r="B5435" s="103"/>
      <c r="C5435" s="103"/>
      <c r="D5435" s="103"/>
      <c r="E5435" s="103"/>
      <c r="F5435" s="103"/>
      <c r="G5435" s="103"/>
      <c r="H5435" s="103"/>
      <c r="I5435" s="103"/>
      <c r="J5435" s="103"/>
      <c r="K5435" s="103"/>
      <c r="L5435" s="103"/>
      <c r="M5435" s="104"/>
      <c r="N5435" s="103"/>
    </row>
    <row r="5436" spans="1:14" ht="45" customHeight="1" thickBot="1" x14ac:dyDescent="0.4">
      <c r="A5436" s="103"/>
      <c r="B5436" s="103"/>
      <c r="C5436" s="103"/>
      <c r="D5436" s="103"/>
      <c r="E5436" s="103"/>
      <c r="F5436" s="103"/>
      <c r="G5436" s="103"/>
      <c r="H5436" s="103"/>
      <c r="I5436" s="103"/>
      <c r="J5436" s="103"/>
      <c r="K5436" s="103"/>
      <c r="L5436" s="103"/>
      <c r="M5436" s="104"/>
      <c r="N5436" s="103"/>
    </row>
    <row r="5437" spans="1:14" ht="45" customHeight="1" thickBot="1" x14ac:dyDescent="0.4">
      <c r="A5437" s="103"/>
      <c r="B5437" s="103"/>
      <c r="C5437" s="103"/>
      <c r="D5437" s="103"/>
      <c r="E5437" s="103"/>
      <c r="F5437" s="103"/>
      <c r="G5437" s="103"/>
      <c r="H5437" s="103"/>
      <c r="I5437" s="103"/>
      <c r="J5437" s="103"/>
      <c r="K5437" s="103"/>
      <c r="L5437" s="103"/>
      <c r="M5437" s="104"/>
      <c r="N5437" s="103"/>
    </row>
    <row r="5438" spans="1:14" ht="45" customHeight="1" thickBot="1" x14ac:dyDescent="0.4">
      <c r="A5438" s="103"/>
      <c r="B5438" s="103"/>
      <c r="C5438" s="103"/>
      <c r="D5438" s="103"/>
      <c r="E5438" s="103"/>
      <c r="F5438" s="103"/>
      <c r="G5438" s="103"/>
      <c r="H5438" s="103"/>
      <c r="I5438" s="103"/>
      <c r="J5438" s="103"/>
      <c r="K5438" s="103"/>
      <c r="L5438" s="103"/>
      <c r="M5438" s="104"/>
      <c r="N5438" s="103"/>
    </row>
    <row r="5439" spans="1:14" ht="45" customHeight="1" thickBot="1" x14ac:dyDescent="0.4">
      <c r="A5439" s="103"/>
      <c r="B5439" s="103"/>
      <c r="C5439" s="103"/>
      <c r="D5439" s="103"/>
      <c r="E5439" s="103"/>
      <c r="F5439" s="103"/>
      <c r="G5439" s="103"/>
      <c r="H5439" s="103"/>
      <c r="I5439" s="103"/>
      <c r="J5439" s="103"/>
      <c r="K5439" s="103"/>
      <c r="L5439" s="103"/>
      <c r="M5439" s="104"/>
      <c r="N5439" s="103"/>
    </row>
    <row r="5440" spans="1:14" ht="45" customHeight="1" thickBot="1" x14ac:dyDescent="0.4">
      <c r="A5440" s="103"/>
      <c r="B5440" s="103"/>
      <c r="C5440" s="103"/>
      <c r="D5440" s="103"/>
      <c r="E5440" s="103"/>
      <c r="F5440" s="103"/>
      <c r="G5440" s="103"/>
      <c r="H5440" s="103"/>
      <c r="I5440" s="103"/>
      <c r="J5440" s="103"/>
      <c r="K5440" s="103"/>
      <c r="L5440" s="103"/>
      <c r="M5440" s="104"/>
      <c r="N5440" s="103"/>
    </row>
    <row r="5441" spans="1:14" ht="45" customHeight="1" thickBot="1" x14ac:dyDescent="0.4">
      <c r="A5441" s="103"/>
      <c r="B5441" s="103"/>
      <c r="C5441" s="103"/>
      <c r="D5441" s="103"/>
      <c r="E5441" s="103"/>
      <c r="F5441" s="103"/>
      <c r="G5441" s="103"/>
      <c r="H5441" s="103"/>
      <c r="I5441" s="103"/>
      <c r="J5441" s="103"/>
      <c r="K5441" s="103"/>
      <c r="L5441" s="103"/>
      <c r="M5441" s="104"/>
      <c r="N5441" s="103"/>
    </row>
    <row r="5442" spans="1:14" ht="45" customHeight="1" thickBot="1" x14ac:dyDescent="0.4">
      <c r="A5442" s="103"/>
      <c r="B5442" s="103"/>
      <c r="C5442" s="103"/>
      <c r="D5442" s="103"/>
      <c r="E5442" s="103"/>
      <c r="F5442" s="103"/>
      <c r="G5442" s="103"/>
      <c r="H5442" s="103"/>
      <c r="I5442" s="103"/>
      <c r="J5442" s="103"/>
      <c r="K5442" s="103"/>
      <c r="L5442" s="103"/>
      <c r="M5442" s="104"/>
      <c r="N5442" s="103"/>
    </row>
    <row r="5443" spans="1:14" ht="45" customHeight="1" thickBot="1" x14ac:dyDescent="0.4">
      <c r="A5443" s="103"/>
      <c r="B5443" s="103"/>
      <c r="C5443" s="103"/>
      <c r="D5443" s="103"/>
      <c r="E5443" s="103"/>
      <c r="F5443" s="103"/>
      <c r="G5443" s="103"/>
      <c r="H5443" s="103"/>
      <c r="I5443" s="103"/>
      <c r="J5443" s="103"/>
      <c r="K5443" s="103"/>
      <c r="L5443" s="103"/>
      <c r="M5443" s="104"/>
      <c r="N5443" s="103"/>
    </row>
    <row r="5444" spans="1:14" ht="45" customHeight="1" thickBot="1" x14ac:dyDescent="0.4">
      <c r="A5444" s="103"/>
      <c r="B5444" s="103"/>
      <c r="C5444" s="103"/>
      <c r="D5444" s="103"/>
      <c r="E5444" s="103"/>
      <c r="F5444" s="103"/>
      <c r="G5444" s="103"/>
      <c r="H5444" s="103"/>
      <c r="I5444" s="103"/>
      <c r="J5444" s="103"/>
      <c r="K5444" s="103"/>
      <c r="L5444" s="103"/>
      <c r="M5444" s="104"/>
      <c r="N5444" s="103"/>
    </row>
    <row r="5445" spans="1:14" ht="45" customHeight="1" thickBot="1" x14ac:dyDescent="0.4">
      <c r="A5445" s="103"/>
      <c r="B5445" s="103"/>
      <c r="C5445" s="103"/>
      <c r="D5445" s="103"/>
      <c r="E5445" s="103"/>
      <c r="F5445" s="103"/>
      <c r="G5445" s="103"/>
      <c r="H5445" s="103"/>
      <c r="I5445" s="103"/>
      <c r="J5445" s="103"/>
      <c r="K5445" s="103"/>
      <c r="L5445" s="103"/>
      <c r="M5445" s="104"/>
      <c r="N5445" s="103"/>
    </row>
    <row r="5446" spans="1:14" ht="45" customHeight="1" thickBot="1" x14ac:dyDescent="0.4">
      <c r="A5446" s="103"/>
      <c r="B5446" s="103"/>
      <c r="C5446" s="103"/>
      <c r="D5446" s="103"/>
      <c r="E5446" s="103"/>
      <c r="F5446" s="103"/>
      <c r="G5446" s="103"/>
      <c r="H5446" s="103"/>
      <c r="I5446" s="103"/>
      <c r="J5446" s="103"/>
      <c r="K5446" s="103"/>
      <c r="L5446" s="103"/>
      <c r="M5446" s="104"/>
      <c r="N5446" s="103"/>
    </row>
    <row r="5447" spans="1:14" ht="45" customHeight="1" thickBot="1" x14ac:dyDescent="0.4">
      <c r="A5447" s="103"/>
      <c r="B5447" s="103"/>
      <c r="C5447" s="103"/>
      <c r="D5447" s="103"/>
      <c r="E5447" s="103"/>
      <c r="F5447" s="103"/>
      <c r="G5447" s="103"/>
      <c r="H5447" s="103"/>
      <c r="I5447" s="103"/>
      <c r="J5447" s="103"/>
      <c r="K5447" s="103"/>
      <c r="L5447" s="103"/>
      <c r="M5447" s="104"/>
      <c r="N5447" s="103"/>
    </row>
    <row r="5448" spans="1:14" ht="45" customHeight="1" thickBot="1" x14ac:dyDescent="0.4">
      <c r="A5448" s="103"/>
      <c r="B5448" s="103"/>
      <c r="C5448" s="103"/>
      <c r="D5448" s="103"/>
      <c r="E5448" s="103"/>
      <c r="F5448" s="103"/>
      <c r="G5448" s="103"/>
      <c r="H5448" s="103"/>
      <c r="I5448" s="103"/>
      <c r="J5448" s="103"/>
      <c r="K5448" s="103"/>
      <c r="L5448" s="103"/>
      <c r="M5448" s="104"/>
      <c r="N5448" s="103"/>
    </row>
    <row r="5449" spans="1:14" ht="45" customHeight="1" thickBot="1" x14ac:dyDescent="0.4">
      <c r="A5449" s="103"/>
      <c r="B5449" s="103"/>
      <c r="C5449" s="103"/>
      <c r="D5449" s="103"/>
      <c r="E5449" s="103"/>
      <c r="F5449" s="103"/>
      <c r="G5449" s="103"/>
      <c r="H5449" s="103"/>
      <c r="I5449" s="103"/>
      <c r="J5449" s="103"/>
      <c r="K5449" s="103"/>
      <c r="L5449" s="103"/>
      <c r="M5449" s="104"/>
      <c r="N5449" s="103"/>
    </row>
    <row r="5450" spans="1:14" ht="45" customHeight="1" thickBot="1" x14ac:dyDescent="0.4">
      <c r="A5450" s="103"/>
      <c r="B5450" s="103"/>
      <c r="C5450" s="103"/>
      <c r="D5450" s="103"/>
      <c r="E5450" s="103"/>
      <c r="F5450" s="103"/>
      <c r="G5450" s="103"/>
      <c r="H5450" s="103"/>
      <c r="I5450" s="103"/>
      <c r="J5450" s="103"/>
      <c r="K5450" s="103"/>
      <c r="L5450" s="103"/>
      <c r="M5450" s="104"/>
      <c r="N5450" s="103"/>
    </row>
    <row r="5451" spans="1:14" ht="45" customHeight="1" thickBot="1" x14ac:dyDescent="0.4">
      <c r="A5451" s="103"/>
      <c r="B5451" s="103"/>
      <c r="C5451" s="103"/>
      <c r="D5451" s="103"/>
      <c r="E5451" s="103"/>
      <c r="F5451" s="103"/>
      <c r="G5451" s="103"/>
      <c r="H5451" s="103"/>
      <c r="I5451" s="103"/>
      <c r="J5451" s="103"/>
      <c r="K5451" s="103"/>
      <c r="L5451" s="103"/>
      <c r="M5451" s="104"/>
      <c r="N5451" s="103"/>
    </row>
    <row r="5452" spans="1:14" ht="45" customHeight="1" thickBot="1" x14ac:dyDescent="0.4">
      <c r="A5452" s="103"/>
      <c r="B5452" s="103"/>
      <c r="C5452" s="103"/>
      <c r="D5452" s="103"/>
      <c r="E5452" s="103"/>
      <c r="F5452" s="103"/>
      <c r="G5452" s="103"/>
      <c r="H5452" s="103"/>
      <c r="I5452" s="103"/>
      <c r="J5452" s="103"/>
      <c r="K5452" s="103"/>
      <c r="L5452" s="103"/>
      <c r="M5452" s="104"/>
      <c r="N5452" s="103"/>
    </row>
    <row r="5453" spans="1:14" ht="45" customHeight="1" thickBot="1" x14ac:dyDescent="0.4">
      <c r="A5453" s="103"/>
      <c r="B5453" s="103"/>
      <c r="C5453" s="103"/>
      <c r="D5453" s="103"/>
      <c r="E5453" s="103"/>
      <c r="F5453" s="103"/>
      <c r="G5453" s="103"/>
      <c r="H5453" s="103"/>
      <c r="I5453" s="103"/>
      <c r="J5453" s="103"/>
      <c r="K5453" s="103"/>
      <c r="L5453" s="103"/>
      <c r="M5453" s="104"/>
      <c r="N5453" s="103"/>
    </row>
    <row r="5454" spans="1:14" ht="45" customHeight="1" thickBot="1" x14ac:dyDescent="0.4">
      <c r="A5454" s="103"/>
      <c r="B5454" s="103"/>
      <c r="C5454" s="103"/>
      <c r="D5454" s="103"/>
      <c r="E5454" s="103"/>
      <c r="F5454" s="103"/>
      <c r="G5454" s="103"/>
      <c r="H5454" s="103"/>
      <c r="I5454" s="103"/>
      <c r="J5454" s="103"/>
      <c r="K5454" s="103"/>
      <c r="L5454" s="103"/>
      <c r="M5454" s="104"/>
      <c r="N5454" s="103"/>
    </row>
    <row r="5455" spans="1:14" ht="45" customHeight="1" thickBot="1" x14ac:dyDescent="0.4">
      <c r="A5455" s="103"/>
      <c r="B5455" s="103"/>
      <c r="C5455" s="103"/>
      <c r="D5455" s="103"/>
      <c r="E5455" s="103"/>
      <c r="F5455" s="103"/>
      <c r="G5455" s="103"/>
      <c r="H5455" s="103"/>
      <c r="I5455" s="103"/>
      <c r="J5455" s="103"/>
      <c r="K5455" s="103"/>
      <c r="L5455" s="103"/>
      <c r="M5455" s="104"/>
      <c r="N5455" s="103"/>
    </row>
    <row r="5456" spans="1:14" ht="45" customHeight="1" thickBot="1" x14ac:dyDescent="0.4">
      <c r="A5456" s="103"/>
      <c r="B5456" s="103"/>
      <c r="C5456" s="103"/>
      <c r="D5456" s="103"/>
      <c r="E5456" s="103"/>
      <c r="F5456" s="103"/>
      <c r="G5456" s="103"/>
      <c r="H5456" s="103"/>
      <c r="I5456" s="103"/>
      <c r="J5456" s="103"/>
      <c r="K5456" s="103"/>
      <c r="L5456" s="103"/>
      <c r="M5456" s="104"/>
      <c r="N5456" s="103"/>
    </row>
    <row r="5457" spans="1:14" ht="45" customHeight="1" thickBot="1" x14ac:dyDescent="0.4">
      <c r="A5457" s="103"/>
      <c r="B5457" s="103"/>
      <c r="C5457" s="103"/>
      <c r="D5457" s="103"/>
      <c r="E5457" s="103"/>
      <c r="F5457" s="103"/>
      <c r="G5457" s="103"/>
      <c r="H5457" s="103"/>
      <c r="I5457" s="103"/>
      <c r="J5457" s="103"/>
      <c r="K5457" s="103"/>
      <c r="L5457" s="103"/>
      <c r="M5457" s="104"/>
      <c r="N5457" s="103"/>
    </row>
    <row r="5458" spans="1:14" ht="45" customHeight="1" thickBot="1" x14ac:dyDescent="0.4">
      <c r="A5458" s="103"/>
      <c r="B5458" s="103"/>
      <c r="C5458" s="103"/>
      <c r="D5458" s="103"/>
      <c r="E5458" s="103"/>
      <c r="F5458" s="103"/>
      <c r="G5458" s="103"/>
      <c r="H5458" s="103"/>
      <c r="I5458" s="103"/>
      <c r="J5458" s="103"/>
      <c r="K5458" s="103"/>
      <c r="L5458" s="103"/>
      <c r="M5458" s="104"/>
      <c r="N5458" s="103"/>
    </row>
    <row r="5459" spans="1:14" ht="45" customHeight="1" thickBot="1" x14ac:dyDescent="0.4">
      <c r="A5459" s="103"/>
      <c r="B5459" s="103"/>
      <c r="C5459" s="103"/>
      <c r="D5459" s="103"/>
      <c r="E5459" s="103"/>
      <c r="F5459" s="103"/>
      <c r="G5459" s="103"/>
      <c r="H5459" s="103"/>
      <c r="I5459" s="103"/>
      <c r="J5459" s="103"/>
      <c r="K5459" s="103"/>
      <c r="L5459" s="103"/>
      <c r="M5459" s="104"/>
      <c r="N5459" s="103"/>
    </row>
    <row r="5460" spans="1:14" ht="45" customHeight="1" thickBot="1" x14ac:dyDescent="0.4">
      <c r="A5460" s="103"/>
      <c r="B5460" s="103"/>
      <c r="C5460" s="103"/>
      <c r="D5460" s="103"/>
      <c r="E5460" s="103"/>
      <c r="F5460" s="103"/>
      <c r="G5460" s="103"/>
      <c r="H5460" s="103"/>
      <c r="I5460" s="103"/>
      <c r="J5460" s="103"/>
      <c r="K5460" s="103"/>
      <c r="L5460" s="103"/>
      <c r="M5460" s="104"/>
      <c r="N5460" s="103"/>
    </row>
    <row r="5461" spans="1:14" ht="45" customHeight="1" thickBot="1" x14ac:dyDescent="0.4">
      <c r="A5461" s="103"/>
      <c r="B5461" s="103"/>
      <c r="C5461" s="103"/>
      <c r="D5461" s="103"/>
      <c r="E5461" s="103"/>
      <c r="F5461" s="103"/>
      <c r="G5461" s="103"/>
      <c r="H5461" s="103"/>
      <c r="I5461" s="103"/>
      <c r="J5461" s="103"/>
      <c r="K5461" s="103"/>
      <c r="L5461" s="103"/>
      <c r="M5461" s="104"/>
      <c r="N5461" s="103"/>
    </row>
    <row r="5462" spans="1:14" ht="45" customHeight="1" thickBot="1" x14ac:dyDescent="0.4">
      <c r="A5462" s="103"/>
      <c r="B5462" s="103"/>
      <c r="C5462" s="103"/>
      <c r="D5462" s="103"/>
      <c r="E5462" s="103"/>
      <c r="F5462" s="103"/>
      <c r="G5462" s="103"/>
      <c r="H5462" s="103"/>
      <c r="I5462" s="103"/>
      <c r="J5462" s="103"/>
      <c r="K5462" s="103"/>
      <c r="L5462" s="103"/>
      <c r="M5462" s="104"/>
      <c r="N5462" s="103"/>
    </row>
    <row r="5463" spans="1:14" ht="45" customHeight="1" thickBot="1" x14ac:dyDescent="0.4">
      <c r="A5463" s="103"/>
      <c r="B5463" s="103"/>
      <c r="C5463" s="103"/>
      <c r="D5463" s="103"/>
      <c r="E5463" s="103"/>
      <c r="F5463" s="103"/>
      <c r="G5463" s="103"/>
      <c r="H5463" s="103"/>
      <c r="I5463" s="103"/>
      <c r="J5463" s="103"/>
      <c r="K5463" s="103"/>
      <c r="L5463" s="103"/>
      <c r="M5463" s="104"/>
      <c r="N5463" s="103"/>
    </row>
    <row r="5464" spans="1:14" ht="45" customHeight="1" thickBot="1" x14ac:dyDescent="0.4">
      <c r="A5464" s="103"/>
      <c r="B5464" s="103"/>
      <c r="C5464" s="103"/>
      <c r="D5464" s="103"/>
      <c r="E5464" s="103"/>
      <c r="F5464" s="103"/>
      <c r="G5464" s="103"/>
      <c r="H5464" s="103"/>
      <c r="I5464" s="103"/>
      <c r="J5464" s="103"/>
      <c r="K5464" s="103"/>
      <c r="L5464" s="103"/>
      <c r="M5464" s="104"/>
      <c r="N5464" s="103"/>
    </row>
    <row r="5465" spans="1:14" ht="45" customHeight="1" thickBot="1" x14ac:dyDescent="0.4">
      <c r="A5465" s="103"/>
      <c r="B5465" s="103"/>
      <c r="C5465" s="103"/>
      <c r="D5465" s="103"/>
      <c r="E5465" s="103"/>
      <c r="F5465" s="103"/>
      <c r="G5465" s="103"/>
      <c r="H5465" s="103"/>
      <c r="I5465" s="103"/>
      <c r="J5465" s="103"/>
      <c r="K5465" s="103"/>
      <c r="L5465" s="103"/>
      <c r="M5465" s="104"/>
      <c r="N5465" s="103"/>
    </row>
    <row r="5466" spans="1:14" ht="45" customHeight="1" thickBot="1" x14ac:dyDescent="0.4">
      <c r="A5466" s="103"/>
      <c r="B5466" s="103"/>
      <c r="C5466" s="103"/>
      <c r="D5466" s="103"/>
      <c r="E5466" s="103"/>
      <c r="F5466" s="103"/>
      <c r="G5466" s="103"/>
      <c r="H5466" s="103"/>
      <c r="I5466" s="103"/>
      <c r="J5466" s="103"/>
      <c r="K5466" s="103"/>
      <c r="L5466" s="103"/>
      <c r="M5466" s="104"/>
      <c r="N5466" s="103"/>
    </row>
    <row r="5467" spans="1:14" ht="45" customHeight="1" thickBot="1" x14ac:dyDescent="0.4">
      <c r="A5467" s="103"/>
      <c r="B5467" s="103"/>
      <c r="C5467" s="103"/>
      <c r="D5467" s="103"/>
      <c r="E5467" s="103"/>
      <c r="F5467" s="103"/>
      <c r="G5467" s="103"/>
      <c r="H5467" s="103"/>
      <c r="I5467" s="103"/>
      <c r="J5467" s="103"/>
      <c r="K5467" s="103"/>
      <c r="L5467" s="103"/>
      <c r="M5467" s="104"/>
      <c r="N5467" s="103"/>
    </row>
    <row r="5468" spans="1:14" ht="45" customHeight="1" thickBot="1" x14ac:dyDescent="0.4">
      <c r="A5468" s="103"/>
      <c r="B5468" s="103"/>
      <c r="C5468" s="103"/>
      <c r="D5468" s="103"/>
      <c r="E5468" s="103"/>
      <c r="F5468" s="103"/>
      <c r="G5468" s="103"/>
      <c r="H5468" s="103"/>
      <c r="I5468" s="103"/>
      <c r="J5468" s="103"/>
      <c r="K5468" s="103"/>
      <c r="L5468" s="103"/>
      <c r="M5468" s="104"/>
      <c r="N5468" s="103"/>
    </row>
    <row r="5469" spans="1:14" ht="45" customHeight="1" thickBot="1" x14ac:dyDescent="0.4">
      <c r="A5469" s="103"/>
      <c r="B5469" s="103"/>
      <c r="C5469" s="103"/>
      <c r="D5469" s="103"/>
      <c r="E5469" s="103"/>
      <c r="F5469" s="103"/>
      <c r="G5469" s="103"/>
      <c r="H5469" s="103"/>
      <c r="I5469" s="103"/>
      <c r="J5469" s="103"/>
      <c r="K5469" s="103"/>
      <c r="L5469" s="103"/>
      <c r="M5469" s="104"/>
      <c r="N5469" s="103"/>
    </row>
    <row r="5470" spans="1:14" ht="45" customHeight="1" thickBot="1" x14ac:dyDescent="0.4">
      <c r="A5470" s="103"/>
      <c r="B5470" s="103"/>
      <c r="C5470" s="103"/>
      <c r="D5470" s="103"/>
      <c r="E5470" s="103"/>
      <c r="F5470" s="103"/>
      <c r="G5470" s="103"/>
      <c r="H5470" s="103"/>
      <c r="I5470" s="103"/>
      <c r="J5470" s="103"/>
      <c r="K5470" s="103"/>
      <c r="L5470" s="103"/>
      <c r="M5470" s="104"/>
      <c r="N5470" s="103"/>
    </row>
    <row r="5471" spans="1:14" ht="45" customHeight="1" thickBot="1" x14ac:dyDescent="0.4">
      <c r="A5471" s="103"/>
      <c r="B5471" s="103"/>
      <c r="C5471" s="103"/>
      <c r="D5471" s="103"/>
      <c r="E5471" s="103"/>
      <c r="F5471" s="103"/>
      <c r="G5471" s="103"/>
      <c r="H5471" s="103"/>
      <c r="I5471" s="103"/>
      <c r="J5471" s="103"/>
      <c r="K5471" s="103"/>
      <c r="L5471" s="103"/>
      <c r="M5471" s="104"/>
      <c r="N5471" s="103"/>
    </row>
    <row r="5472" spans="1:14" ht="45" customHeight="1" thickBot="1" x14ac:dyDescent="0.4">
      <c r="A5472" s="103"/>
      <c r="B5472" s="103"/>
      <c r="C5472" s="103"/>
      <c r="D5472" s="103"/>
      <c r="E5472" s="103"/>
      <c r="F5472" s="103"/>
      <c r="G5472" s="103"/>
      <c r="H5472" s="103"/>
      <c r="I5472" s="103"/>
      <c r="J5472" s="103"/>
      <c r="K5472" s="103"/>
      <c r="L5472" s="103"/>
      <c r="M5472" s="104"/>
      <c r="N5472" s="103"/>
    </row>
    <row r="5473" spans="1:14" ht="45" customHeight="1" thickBot="1" x14ac:dyDescent="0.4">
      <c r="A5473" s="103"/>
      <c r="B5473" s="103"/>
      <c r="C5473" s="103"/>
      <c r="D5473" s="103"/>
      <c r="E5473" s="103"/>
      <c r="F5473" s="103"/>
      <c r="G5473" s="103"/>
      <c r="H5473" s="103"/>
      <c r="I5473" s="103"/>
      <c r="J5473" s="103"/>
      <c r="K5473" s="103"/>
      <c r="L5473" s="103"/>
      <c r="M5473" s="104"/>
      <c r="N5473" s="103"/>
    </row>
    <row r="5474" spans="1:14" ht="45" customHeight="1" thickBot="1" x14ac:dyDescent="0.4">
      <c r="A5474" s="103"/>
      <c r="B5474" s="103"/>
      <c r="C5474" s="103"/>
      <c r="D5474" s="103"/>
      <c r="E5474" s="103"/>
      <c r="F5474" s="103"/>
      <c r="G5474" s="103"/>
      <c r="H5474" s="103"/>
      <c r="I5474" s="103"/>
      <c r="J5474" s="103"/>
      <c r="K5474" s="103"/>
      <c r="L5474" s="103"/>
      <c r="M5474" s="104"/>
      <c r="N5474" s="103"/>
    </row>
    <row r="5475" spans="1:14" ht="45" customHeight="1" thickBot="1" x14ac:dyDescent="0.4">
      <c r="A5475" s="103"/>
      <c r="B5475" s="103"/>
      <c r="C5475" s="103"/>
      <c r="D5475" s="103"/>
      <c r="E5475" s="103"/>
      <c r="F5475" s="103"/>
      <c r="G5475" s="103"/>
      <c r="H5475" s="103"/>
      <c r="I5475" s="103"/>
      <c r="J5475" s="103"/>
      <c r="K5475" s="103"/>
      <c r="L5475" s="103"/>
      <c r="M5475" s="104"/>
      <c r="N5475" s="103"/>
    </row>
    <row r="5476" spans="1:14" ht="45" customHeight="1" thickBot="1" x14ac:dyDescent="0.4">
      <c r="A5476" s="103"/>
      <c r="B5476" s="103"/>
      <c r="C5476" s="103"/>
      <c r="D5476" s="103"/>
      <c r="E5476" s="103"/>
      <c r="F5476" s="103"/>
      <c r="G5476" s="103"/>
      <c r="H5476" s="103"/>
      <c r="I5476" s="103"/>
      <c r="J5476" s="103"/>
      <c r="K5476" s="103"/>
      <c r="L5476" s="103"/>
      <c r="M5476" s="104"/>
      <c r="N5476" s="103"/>
    </row>
    <row r="5477" spans="1:14" ht="45" customHeight="1" thickBot="1" x14ac:dyDescent="0.4">
      <c r="A5477" s="103"/>
      <c r="B5477" s="103"/>
      <c r="C5477" s="103"/>
      <c r="D5477" s="103"/>
      <c r="E5477" s="103"/>
      <c r="F5477" s="103"/>
      <c r="G5477" s="103"/>
      <c r="H5477" s="103"/>
      <c r="I5477" s="103"/>
      <c r="J5477" s="103"/>
      <c r="K5477" s="103"/>
      <c r="L5477" s="103"/>
      <c r="M5477" s="104"/>
      <c r="N5477" s="103"/>
    </row>
    <row r="5478" spans="1:14" ht="45" customHeight="1" thickBot="1" x14ac:dyDescent="0.4">
      <c r="A5478" s="103"/>
      <c r="B5478" s="103"/>
      <c r="C5478" s="103"/>
      <c r="D5478" s="103"/>
      <c r="E5478" s="103"/>
      <c r="F5478" s="103"/>
      <c r="G5478" s="103"/>
      <c r="H5478" s="103"/>
      <c r="I5478" s="103"/>
      <c r="J5478" s="103"/>
      <c r="K5478" s="103"/>
      <c r="L5478" s="103"/>
      <c r="M5478" s="104"/>
      <c r="N5478" s="103"/>
    </row>
    <row r="5479" spans="1:14" ht="45" customHeight="1" thickBot="1" x14ac:dyDescent="0.4">
      <c r="A5479" s="103"/>
      <c r="B5479" s="103"/>
      <c r="C5479" s="103"/>
      <c r="D5479" s="103"/>
      <c r="E5479" s="103"/>
      <c r="F5479" s="103"/>
      <c r="G5479" s="103"/>
      <c r="H5479" s="103"/>
      <c r="I5479" s="103"/>
      <c r="J5479" s="103"/>
      <c r="K5479" s="103"/>
      <c r="L5479" s="103"/>
      <c r="M5479" s="104"/>
      <c r="N5479" s="103"/>
    </row>
    <row r="5480" spans="1:14" ht="45" customHeight="1" thickBot="1" x14ac:dyDescent="0.4">
      <c r="A5480" s="103"/>
      <c r="B5480" s="103"/>
      <c r="C5480" s="103"/>
      <c r="D5480" s="103"/>
      <c r="E5480" s="103"/>
      <c r="F5480" s="103"/>
      <c r="G5480" s="103"/>
      <c r="H5480" s="103"/>
      <c r="I5480" s="103"/>
      <c r="J5480" s="103"/>
      <c r="K5480" s="103"/>
      <c r="L5480" s="103"/>
      <c r="M5480" s="104"/>
      <c r="N5480" s="103"/>
    </row>
    <row r="5481" spans="1:14" ht="45" customHeight="1" thickBot="1" x14ac:dyDescent="0.4">
      <c r="A5481" s="103"/>
      <c r="B5481" s="103"/>
      <c r="C5481" s="103"/>
      <c r="D5481" s="103"/>
      <c r="E5481" s="103"/>
      <c r="F5481" s="103"/>
      <c r="G5481" s="103"/>
      <c r="H5481" s="103"/>
      <c r="I5481" s="103"/>
      <c r="J5481" s="103"/>
      <c r="K5481" s="103"/>
      <c r="L5481" s="103"/>
      <c r="M5481" s="104"/>
      <c r="N5481" s="103"/>
    </row>
    <row r="5482" spans="1:14" ht="45" customHeight="1" thickBot="1" x14ac:dyDescent="0.4">
      <c r="A5482" s="103"/>
      <c r="B5482" s="103"/>
      <c r="C5482" s="103"/>
      <c r="D5482" s="103"/>
      <c r="E5482" s="103"/>
      <c r="F5482" s="103"/>
      <c r="G5482" s="103"/>
      <c r="H5482" s="103"/>
      <c r="I5482" s="103"/>
      <c r="J5482" s="103"/>
      <c r="K5482" s="103"/>
      <c r="L5482" s="103"/>
      <c r="M5482" s="104"/>
      <c r="N5482" s="103"/>
    </row>
    <row r="5483" spans="1:14" ht="45" customHeight="1" thickBot="1" x14ac:dyDescent="0.4">
      <c r="A5483" s="103"/>
      <c r="B5483" s="103"/>
      <c r="C5483" s="103"/>
      <c r="D5483" s="103"/>
      <c r="E5483" s="103"/>
      <c r="F5483" s="103"/>
      <c r="G5483" s="103"/>
      <c r="H5483" s="103"/>
      <c r="I5483" s="103"/>
      <c r="J5483" s="103"/>
      <c r="K5483" s="103"/>
      <c r="L5483" s="103"/>
      <c r="M5483" s="104"/>
      <c r="N5483" s="103"/>
    </row>
    <row r="5484" spans="1:14" ht="45" customHeight="1" thickBot="1" x14ac:dyDescent="0.4">
      <c r="A5484" s="103"/>
      <c r="B5484" s="103"/>
      <c r="C5484" s="103"/>
      <c r="D5484" s="103"/>
      <c r="E5484" s="103"/>
      <c r="F5484" s="103"/>
      <c r="G5484" s="103"/>
      <c r="H5484" s="103"/>
      <c r="I5484" s="103"/>
      <c r="J5484" s="103"/>
      <c r="K5484" s="103"/>
      <c r="L5484" s="103"/>
      <c r="M5484" s="104"/>
      <c r="N5484" s="103"/>
    </row>
    <row r="5485" spans="1:14" ht="45" customHeight="1" thickBot="1" x14ac:dyDescent="0.4">
      <c r="A5485" s="103"/>
      <c r="B5485" s="103"/>
      <c r="C5485" s="103"/>
      <c r="D5485" s="103"/>
      <c r="E5485" s="103"/>
      <c r="F5485" s="103"/>
      <c r="G5485" s="103"/>
      <c r="H5485" s="103"/>
      <c r="I5485" s="103"/>
      <c r="J5485" s="103"/>
      <c r="K5485" s="103"/>
      <c r="L5485" s="103"/>
      <c r="M5485" s="104"/>
      <c r="N5485" s="103"/>
    </row>
    <row r="5486" spans="1:14" ht="45" customHeight="1" thickBot="1" x14ac:dyDescent="0.4">
      <c r="A5486" s="103"/>
      <c r="B5486" s="103"/>
      <c r="C5486" s="103"/>
      <c r="D5486" s="103"/>
      <c r="E5486" s="103"/>
      <c r="F5486" s="103"/>
      <c r="G5486" s="103"/>
      <c r="H5486" s="103"/>
      <c r="I5486" s="103"/>
      <c r="J5486" s="103"/>
      <c r="K5486" s="103"/>
      <c r="L5486" s="103"/>
      <c r="M5486" s="104"/>
      <c r="N5486" s="103"/>
    </row>
    <row r="5487" spans="1:14" ht="45" customHeight="1" thickBot="1" x14ac:dyDescent="0.4">
      <c r="A5487" s="103"/>
      <c r="B5487" s="103"/>
      <c r="C5487" s="103"/>
      <c r="D5487" s="103"/>
      <c r="E5487" s="103"/>
      <c r="F5487" s="103"/>
      <c r="G5487" s="103"/>
      <c r="H5487" s="103"/>
      <c r="I5487" s="103"/>
      <c r="J5487" s="103"/>
      <c r="K5487" s="103"/>
      <c r="L5487" s="103"/>
      <c r="M5487" s="104"/>
      <c r="N5487" s="103"/>
    </row>
    <row r="5488" spans="1:14" ht="45" customHeight="1" thickBot="1" x14ac:dyDescent="0.4">
      <c r="A5488" s="103"/>
      <c r="B5488" s="103"/>
      <c r="C5488" s="103"/>
      <c r="D5488" s="103"/>
      <c r="E5488" s="103"/>
      <c r="F5488" s="103"/>
      <c r="G5488" s="103"/>
      <c r="H5488" s="103"/>
      <c r="I5488" s="103"/>
      <c r="J5488" s="103"/>
      <c r="K5488" s="103"/>
      <c r="L5488" s="103"/>
      <c r="M5488" s="104"/>
      <c r="N5488" s="103"/>
    </row>
    <row r="5489" spans="1:14" ht="45" customHeight="1" thickBot="1" x14ac:dyDescent="0.4">
      <c r="A5489" s="103"/>
      <c r="B5489" s="103"/>
      <c r="C5489" s="103"/>
      <c r="D5489" s="103"/>
      <c r="E5489" s="103"/>
      <c r="F5489" s="103"/>
      <c r="G5489" s="103"/>
      <c r="H5489" s="103"/>
      <c r="I5489" s="103"/>
      <c r="J5489" s="103"/>
      <c r="K5489" s="103"/>
      <c r="L5489" s="103"/>
      <c r="M5489" s="104"/>
      <c r="N5489" s="103"/>
    </row>
    <row r="5490" spans="1:14" ht="45" customHeight="1" thickBot="1" x14ac:dyDescent="0.4">
      <c r="A5490" s="103"/>
      <c r="B5490" s="103"/>
      <c r="C5490" s="103"/>
      <c r="D5490" s="103"/>
      <c r="E5490" s="103"/>
      <c r="F5490" s="103"/>
      <c r="G5490" s="103"/>
      <c r="H5490" s="103"/>
      <c r="I5490" s="103"/>
      <c r="J5490" s="103"/>
      <c r="K5490" s="103"/>
      <c r="L5490" s="103"/>
      <c r="M5490" s="104"/>
      <c r="N5490" s="103"/>
    </row>
    <row r="5491" spans="1:14" ht="45" customHeight="1" thickBot="1" x14ac:dyDescent="0.4">
      <c r="A5491" s="103"/>
      <c r="B5491" s="103"/>
      <c r="C5491" s="103"/>
      <c r="D5491" s="103"/>
      <c r="E5491" s="103"/>
      <c r="F5491" s="103"/>
      <c r="G5491" s="103"/>
      <c r="H5491" s="103"/>
      <c r="I5491" s="103"/>
      <c r="J5491" s="103"/>
      <c r="K5491" s="103"/>
      <c r="L5491" s="103"/>
      <c r="M5491" s="104"/>
      <c r="N5491" s="103"/>
    </row>
    <row r="5492" spans="1:14" ht="45" customHeight="1" thickBot="1" x14ac:dyDescent="0.4">
      <c r="A5492" s="103"/>
      <c r="B5492" s="103"/>
      <c r="C5492" s="103"/>
      <c r="D5492" s="103"/>
      <c r="E5492" s="103"/>
      <c r="F5492" s="103"/>
      <c r="G5492" s="103"/>
      <c r="H5492" s="103"/>
      <c r="I5492" s="103"/>
      <c r="J5492" s="103"/>
      <c r="K5492" s="103"/>
      <c r="L5492" s="103"/>
      <c r="M5492" s="104"/>
      <c r="N5492" s="103"/>
    </row>
    <row r="5493" spans="1:14" ht="45" customHeight="1" thickBot="1" x14ac:dyDescent="0.4">
      <c r="A5493" s="103"/>
      <c r="B5493" s="103"/>
      <c r="C5493" s="103"/>
      <c r="D5493" s="103"/>
      <c r="E5493" s="103"/>
      <c r="F5493" s="103"/>
      <c r="G5493" s="103"/>
      <c r="H5493" s="103"/>
      <c r="I5493" s="103"/>
      <c r="J5493" s="103"/>
      <c r="K5493" s="103"/>
      <c r="L5493" s="103"/>
      <c r="M5493" s="104"/>
      <c r="N5493" s="103"/>
    </row>
    <row r="5494" spans="1:14" ht="45" customHeight="1" thickBot="1" x14ac:dyDescent="0.4">
      <c r="A5494" s="103"/>
      <c r="B5494" s="103"/>
      <c r="C5494" s="103"/>
      <c r="D5494" s="103"/>
      <c r="E5494" s="103"/>
      <c r="F5494" s="103"/>
      <c r="G5494" s="103"/>
      <c r="H5494" s="103"/>
      <c r="I5494" s="103"/>
      <c r="J5494" s="103"/>
      <c r="K5494" s="103"/>
      <c r="L5494" s="103"/>
      <c r="M5494" s="104"/>
      <c r="N5494" s="103"/>
    </row>
    <row r="5495" spans="1:14" ht="45" customHeight="1" thickBot="1" x14ac:dyDescent="0.4">
      <c r="A5495" s="103"/>
      <c r="B5495" s="103"/>
      <c r="C5495" s="103"/>
      <c r="D5495" s="103"/>
      <c r="E5495" s="103"/>
      <c r="F5495" s="103"/>
      <c r="G5495" s="103"/>
      <c r="H5495" s="103"/>
      <c r="I5495" s="103"/>
      <c r="J5495" s="103"/>
      <c r="K5495" s="103"/>
      <c r="L5495" s="103"/>
      <c r="M5495" s="104"/>
      <c r="N5495" s="103"/>
    </row>
    <row r="5496" spans="1:14" ht="45" customHeight="1" thickBot="1" x14ac:dyDescent="0.4">
      <c r="A5496" s="103"/>
      <c r="B5496" s="103"/>
      <c r="C5496" s="103"/>
      <c r="D5496" s="103"/>
      <c r="E5496" s="103"/>
      <c r="F5496" s="103"/>
      <c r="G5496" s="103"/>
      <c r="H5496" s="103"/>
      <c r="I5496" s="103"/>
      <c r="J5496" s="103"/>
      <c r="K5496" s="103"/>
      <c r="L5496" s="103"/>
      <c r="M5496" s="104"/>
      <c r="N5496" s="103"/>
    </row>
    <row r="5497" spans="1:14" ht="45" customHeight="1" thickBot="1" x14ac:dyDescent="0.4">
      <c r="A5497" s="103"/>
      <c r="B5497" s="103"/>
      <c r="C5497" s="103"/>
      <c r="D5497" s="103"/>
      <c r="E5497" s="103"/>
      <c r="F5497" s="103"/>
      <c r="G5497" s="103"/>
      <c r="H5497" s="103"/>
      <c r="I5497" s="103"/>
      <c r="J5497" s="103"/>
      <c r="K5497" s="103"/>
      <c r="L5497" s="103"/>
      <c r="M5497" s="104"/>
      <c r="N5497" s="103"/>
    </row>
    <row r="5498" spans="1:14" ht="45" customHeight="1" thickBot="1" x14ac:dyDescent="0.4">
      <c r="A5498" s="103"/>
      <c r="B5498" s="103"/>
      <c r="C5498" s="103"/>
      <c r="D5498" s="103"/>
      <c r="E5498" s="103"/>
      <c r="F5498" s="103"/>
      <c r="G5498" s="103"/>
      <c r="H5498" s="103"/>
      <c r="I5498" s="103"/>
      <c r="J5498" s="103"/>
      <c r="K5498" s="103"/>
      <c r="L5498" s="103"/>
      <c r="M5498" s="104"/>
      <c r="N5498" s="103"/>
    </row>
    <row r="5499" spans="1:14" ht="45" customHeight="1" thickBot="1" x14ac:dyDescent="0.4">
      <c r="A5499" s="103"/>
      <c r="B5499" s="103"/>
      <c r="C5499" s="103"/>
      <c r="D5499" s="103"/>
      <c r="E5499" s="103"/>
      <c r="F5499" s="103"/>
      <c r="G5499" s="103"/>
      <c r="H5499" s="103"/>
      <c r="I5499" s="103"/>
      <c r="J5499" s="103"/>
      <c r="K5499" s="103"/>
      <c r="L5499" s="103"/>
      <c r="M5499" s="104"/>
      <c r="N5499" s="103"/>
    </row>
    <row r="5500" spans="1:14" ht="45" customHeight="1" thickBot="1" x14ac:dyDescent="0.4">
      <c r="A5500" s="103"/>
      <c r="B5500" s="103"/>
      <c r="C5500" s="103"/>
      <c r="D5500" s="103"/>
      <c r="E5500" s="103"/>
      <c r="F5500" s="103"/>
      <c r="G5500" s="103"/>
      <c r="H5500" s="103"/>
      <c r="I5500" s="103"/>
      <c r="J5500" s="103"/>
      <c r="K5500" s="103"/>
      <c r="L5500" s="103"/>
      <c r="M5500" s="104"/>
      <c r="N5500" s="103"/>
    </row>
    <row r="5501" spans="1:14" ht="45" customHeight="1" thickBot="1" x14ac:dyDescent="0.4">
      <c r="A5501" s="103"/>
      <c r="B5501" s="103"/>
      <c r="C5501" s="103"/>
      <c r="D5501" s="103"/>
      <c r="E5501" s="103"/>
      <c r="F5501" s="103"/>
      <c r="G5501" s="103"/>
      <c r="H5501" s="103"/>
      <c r="I5501" s="103"/>
      <c r="J5501" s="103"/>
      <c r="K5501" s="103"/>
      <c r="L5501" s="103"/>
      <c r="M5501" s="104"/>
      <c r="N5501" s="103"/>
    </row>
    <row r="5502" spans="1:14" ht="45" customHeight="1" thickBot="1" x14ac:dyDescent="0.4">
      <c r="A5502" s="103"/>
      <c r="B5502" s="103"/>
      <c r="C5502" s="103"/>
      <c r="D5502" s="103"/>
      <c r="E5502" s="103"/>
      <c r="F5502" s="103"/>
      <c r="G5502" s="103"/>
      <c r="H5502" s="103"/>
      <c r="I5502" s="103"/>
      <c r="J5502" s="103"/>
      <c r="K5502" s="103"/>
      <c r="L5502" s="103"/>
      <c r="M5502" s="104"/>
      <c r="N5502" s="103"/>
    </row>
    <row r="5503" spans="1:14" ht="45" customHeight="1" thickBot="1" x14ac:dyDescent="0.4">
      <c r="A5503" s="103"/>
      <c r="B5503" s="103"/>
      <c r="C5503" s="103"/>
      <c r="D5503" s="103"/>
      <c r="E5503" s="103"/>
      <c r="F5503" s="103"/>
      <c r="G5503" s="103"/>
      <c r="H5503" s="103"/>
      <c r="I5503" s="103"/>
      <c r="J5503" s="103"/>
      <c r="K5503" s="103"/>
      <c r="L5503" s="103"/>
      <c r="M5503" s="104"/>
      <c r="N5503" s="103"/>
    </row>
    <row r="5504" spans="1:14" ht="45" customHeight="1" thickBot="1" x14ac:dyDescent="0.4">
      <c r="A5504" s="103"/>
      <c r="B5504" s="103"/>
      <c r="C5504" s="103"/>
      <c r="D5504" s="103"/>
      <c r="E5504" s="103"/>
      <c r="F5504" s="103"/>
      <c r="G5504" s="103"/>
      <c r="H5504" s="103"/>
      <c r="I5504" s="103"/>
      <c r="J5504" s="103"/>
      <c r="K5504" s="103"/>
      <c r="L5504" s="103"/>
      <c r="M5504" s="104"/>
      <c r="N5504" s="103"/>
    </row>
    <row r="5505" spans="1:14" ht="45" customHeight="1" thickBot="1" x14ac:dyDescent="0.4">
      <c r="A5505" s="103"/>
      <c r="B5505" s="103"/>
      <c r="C5505" s="103"/>
      <c r="D5505" s="103"/>
      <c r="E5505" s="103"/>
      <c r="F5505" s="103"/>
      <c r="G5505" s="103"/>
      <c r="H5505" s="103"/>
      <c r="I5505" s="103"/>
      <c r="J5505" s="103"/>
      <c r="K5505" s="103"/>
      <c r="L5505" s="103"/>
      <c r="M5505" s="104"/>
      <c r="N5505" s="103"/>
    </row>
    <row r="5506" spans="1:14" ht="45" customHeight="1" thickBot="1" x14ac:dyDescent="0.4">
      <c r="A5506" s="103"/>
      <c r="B5506" s="103"/>
      <c r="C5506" s="103"/>
      <c r="D5506" s="103"/>
      <c r="E5506" s="103"/>
      <c r="F5506" s="103"/>
      <c r="G5506" s="103"/>
      <c r="H5506" s="103"/>
      <c r="I5506" s="103"/>
      <c r="J5506" s="103"/>
      <c r="K5506" s="103"/>
      <c r="L5506" s="103"/>
      <c r="M5506" s="104"/>
      <c r="N5506" s="103"/>
    </row>
    <row r="5507" spans="1:14" ht="45" customHeight="1" thickBot="1" x14ac:dyDescent="0.4">
      <c r="A5507" s="103"/>
      <c r="B5507" s="103"/>
      <c r="C5507" s="103"/>
      <c r="D5507" s="103"/>
      <c r="E5507" s="103"/>
      <c r="F5507" s="103"/>
      <c r="G5507" s="103"/>
      <c r="H5507" s="103"/>
      <c r="I5507" s="103"/>
      <c r="J5507" s="103"/>
      <c r="K5507" s="103"/>
      <c r="L5507" s="103"/>
      <c r="M5507" s="104"/>
      <c r="N5507" s="103"/>
    </row>
    <row r="5508" spans="1:14" ht="45" customHeight="1" thickBot="1" x14ac:dyDescent="0.4">
      <c r="A5508" s="103"/>
      <c r="B5508" s="103"/>
      <c r="C5508" s="103"/>
      <c r="D5508" s="103"/>
      <c r="E5508" s="103"/>
      <c r="F5508" s="103"/>
      <c r="G5508" s="103"/>
      <c r="H5508" s="103"/>
      <c r="I5508" s="103"/>
      <c r="J5508" s="103"/>
      <c r="K5508" s="103"/>
      <c r="L5508" s="103"/>
      <c r="M5508" s="104"/>
      <c r="N5508" s="103"/>
    </row>
    <row r="5509" spans="1:14" ht="45" customHeight="1" thickBot="1" x14ac:dyDescent="0.4">
      <c r="A5509" s="103"/>
      <c r="B5509" s="103"/>
      <c r="C5509" s="103"/>
      <c r="D5509" s="103"/>
      <c r="E5509" s="103"/>
      <c r="F5509" s="103"/>
      <c r="G5509" s="103"/>
      <c r="H5509" s="103"/>
      <c r="I5509" s="103"/>
      <c r="J5509" s="103"/>
      <c r="K5509" s="103"/>
      <c r="L5509" s="103"/>
      <c r="M5509" s="104"/>
      <c r="N5509" s="103"/>
    </row>
    <row r="5510" spans="1:14" ht="45" customHeight="1" thickBot="1" x14ac:dyDescent="0.4">
      <c r="A5510" s="103"/>
      <c r="B5510" s="103"/>
      <c r="C5510" s="103"/>
      <c r="D5510" s="103"/>
      <c r="E5510" s="103"/>
      <c r="F5510" s="103"/>
      <c r="G5510" s="103"/>
      <c r="H5510" s="103"/>
      <c r="I5510" s="103"/>
      <c r="J5510" s="103"/>
      <c r="K5510" s="103"/>
      <c r="L5510" s="103"/>
      <c r="M5510" s="104"/>
      <c r="N5510" s="103"/>
    </row>
    <row r="5511" spans="1:14" ht="45" customHeight="1" thickBot="1" x14ac:dyDescent="0.4">
      <c r="A5511" s="103"/>
      <c r="B5511" s="103"/>
      <c r="C5511" s="103"/>
      <c r="D5511" s="103"/>
      <c r="E5511" s="103"/>
      <c r="F5511" s="103"/>
      <c r="G5511" s="103"/>
      <c r="H5511" s="103"/>
      <c r="I5511" s="103"/>
      <c r="J5511" s="103"/>
      <c r="K5511" s="103"/>
      <c r="L5511" s="103"/>
      <c r="M5511" s="104"/>
      <c r="N5511" s="103"/>
    </row>
    <row r="5512" spans="1:14" ht="45" customHeight="1" thickBot="1" x14ac:dyDescent="0.4">
      <c r="A5512" s="103"/>
      <c r="B5512" s="103"/>
      <c r="C5512" s="103"/>
      <c r="D5512" s="103"/>
      <c r="E5512" s="103"/>
      <c r="F5512" s="103"/>
      <c r="G5512" s="103"/>
      <c r="H5512" s="103"/>
      <c r="I5512" s="103"/>
      <c r="J5512" s="103"/>
      <c r="K5512" s="103"/>
      <c r="L5512" s="103"/>
      <c r="M5512" s="104"/>
      <c r="N5512" s="103"/>
    </row>
    <row r="5513" spans="1:14" ht="45" customHeight="1" thickBot="1" x14ac:dyDescent="0.4">
      <c r="A5513" s="103"/>
      <c r="B5513" s="103"/>
      <c r="C5513" s="103"/>
      <c r="D5513" s="103"/>
      <c r="E5513" s="103"/>
      <c r="F5513" s="103"/>
      <c r="G5513" s="103"/>
      <c r="H5513" s="103"/>
      <c r="I5513" s="103"/>
      <c r="J5513" s="103"/>
      <c r="K5513" s="103"/>
      <c r="L5513" s="103"/>
      <c r="M5513" s="104"/>
      <c r="N5513" s="103"/>
    </row>
    <row r="5514" spans="1:14" ht="45" customHeight="1" thickBot="1" x14ac:dyDescent="0.4">
      <c r="A5514" s="103"/>
      <c r="B5514" s="103"/>
      <c r="C5514" s="103"/>
      <c r="D5514" s="103"/>
      <c r="E5514" s="103"/>
      <c r="F5514" s="103"/>
      <c r="G5514" s="103"/>
      <c r="H5514" s="103"/>
      <c r="I5514" s="103"/>
      <c r="J5514" s="103"/>
      <c r="K5514" s="103"/>
      <c r="L5514" s="103"/>
      <c r="M5514" s="104"/>
      <c r="N5514" s="103"/>
    </row>
    <row r="5515" spans="1:14" ht="45" customHeight="1" thickBot="1" x14ac:dyDescent="0.4">
      <c r="A5515" s="103"/>
      <c r="B5515" s="103"/>
      <c r="C5515" s="103"/>
      <c r="D5515" s="103"/>
      <c r="E5515" s="103"/>
      <c r="F5515" s="103"/>
      <c r="G5515" s="103"/>
      <c r="H5515" s="103"/>
      <c r="I5515" s="103"/>
      <c r="J5515" s="103"/>
      <c r="K5515" s="103"/>
      <c r="L5515" s="103"/>
      <c r="M5515" s="104"/>
      <c r="N5515" s="103"/>
    </row>
    <row r="5516" spans="1:14" ht="45" customHeight="1" thickBot="1" x14ac:dyDescent="0.4">
      <c r="A5516" s="103"/>
      <c r="B5516" s="103"/>
      <c r="C5516" s="103"/>
      <c r="D5516" s="103"/>
      <c r="E5516" s="103"/>
      <c r="F5516" s="103"/>
      <c r="G5516" s="103"/>
      <c r="H5516" s="103"/>
      <c r="I5516" s="103"/>
      <c r="J5516" s="103"/>
      <c r="K5516" s="103"/>
      <c r="L5516" s="103"/>
      <c r="M5516" s="104"/>
      <c r="N5516" s="103"/>
    </row>
    <row r="5517" spans="1:14" ht="45" customHeight="1" thickBot="1" x14ac:dyDescent="0.4">
      <c r="A5517" s="103"/>
      <c r="B5517" s="103"/>
      <c r="C5517" s="103"/>
      <c r="D5517" s="103"/>
      <c r="E5517" s="103"/>
      <c r="F5517" s="103"/>
      <c r="G5517" s="103"/>
      <c r="H5517" s="103"/>
      <c r="I5517" s="103"/>
      <c r="J5517" s="103"/>
      <c r="K5517" s="103"/>
      <c r="L5517" s="103"/>
      <c r="M5517" s="104"/>
      <c r="N5517" s="103"/>
    </row>
    <row r="5518" spans="1:14" ht="45" customHeight="1" thickBot="1" x14ac:dyDescent="0.4">
      <c r="A5518" s="103"/>
      <c r="B5518" s="103"/>
      <c r="C5518" s="103"/>
      <c r="D5518" s="103"/>
      <c r="E5518" s="103"/>
      <c r="F5518" s="103"/>
      <c r="G5518" s="103"/>
      <c r="H5518" s="103"/>
      <c r="I5518" s="103"/>
      <c r="J5518" s="103"/>
      <c r="K5518" s="103"/>
      <c r="L5518" s="103"/>
      <c r="M5518" s="104"/>
      <c r="N5518" s="103"/>
    </row>
    <row r="5519" spans="1:14" ht="45" customHeight="1" thickBot="1" x14ac:dyDescent="0.4">
      <c r="A5519" s="103"/>
      <c r="B5519" s="103"/>
      <c r="C5519" s="103"/>
      <c r="D5519" s="103"/>
      <c r="E5519" s="103"/>
      <c r="F5519" s="103"/>
      <c r="G5519" s="103"/>
      <c r="H5519" s="103"/>
      <c r="I5519" s="103"/>
      <c r="J5519" s="103"/>
      <c r="K5519" s="103"/>
      <c r="L5519" s="103"/>
      <c r="M5519" s="104"/>
      <c r="N5519" s="103"/>
    </row>
    <row r="5520" spans="1:14" ht="45" customHeight="1" thickBot="1" x14ac:dyDescent="0.4">
      <c r="A5520" s="103"/>
      <c r="B5520" s="103"/>
      <c r="C5520" s="103"/>
      <c r="D5520" s="103"/>
      <c r="E5520" s="103"/>
      <c r="F5520" s="103"/>
      <c r="G5520" s="103"/>
      <c r="H5520" s="103"/>
      <c r="I5520" s="103"/>
      <c r="J5520" s="103"/>
      <c r="K5520" s="103"/>
      <c r="L5520" s="103"/>
      <c r="M5520" s="104"/>
      <c r="N5520" s="103"/>
    </row>
    <row r="5521" spans="1:14" ht="45" customHeight="1" thickBot="1" x14ac:dyDescent="0.4">
      <c r="A5521" s="103"/>
      <c r="B5521" s="103"/>
      <c r="C5521" s="103"/>
      <c r="D5521" s="103"/>
      <c r="E5521" s="103"/>
      <c r="F5521" s="103"/>
      <c r="G5521" s="103"/>
      <c r="H5521" s="103"/>
      <c r="I5521" s="103"/>
      <c r="J5521" s="103"/>
      <c r="K5521" s="103"/>
      <c r="L5521" s="103"/>
      <c r="M5521" s="104"/>
      <c r="N5521" s="103"/>
    </row>
    <row r="5522" spans="1:14" ht="45" customHeight="1" thickBot="1" x14ac:dyDescent="0.4">
      <c r="A5522" s="103"/>
      <c r="B5522" s="103"/>
      <c r="C5522" s="103"/>
      <c r="D5522" s="103"/>
      <c r="E5522" s="103"/>
      <c r="F5522" s="103"/>
      <c r="G5522" s="103"/>
      <c r="H5522" s="103"/>
      <c r="I5522" s="103"/>
      <c r="J5522" s="103"/>
      <c r="K5522" s="103"/>
      <c r="L5522" s="103"/>
      <c r="M5522" s="104"/>
      <c r="N5522" s="103"/>
    </row>
    <row r="5523" spans="1:14" ht="45" customHeight="1" thickBot="1" x14ac:dyDescent="0.4">
      <c r="A5523" s="103"/>
      <c r="B5523" s="103"/>
      <c r="C5523" s="103"/>
      <c r="D5523" s="103"/>
      <c r="E5523" s="103"/>
      <c r="F5523" s="103"/>
      <c r="G5523" s="103"/>
      <c r="H5523" s="103"/>
      <c r="I5523" s="103"/>
      <c r="J5523" s="103"/>
      <c r="K5523" s="103"/>
      <c r="L5523" s="103"/>
      <c r="M5523" s="104"/>
      <c r="N5523" s="103"/>
    </row>
    <row r="5524" spans="1:14" ht="45" customHeight="1" thickBot="1" x14ac:dyDescent="0.4">
      <c r="A5524" s="103"/>
      <c r="B5524" s="103"/>
      <c r="C5524" s="103"/>
      <c r="D5524" s="103"/>
      <c r="E5524" s="103"/>
      <c r="F5524" s="103"/>
      <c r="G5524" s="103"/>
      <c r="H5524" s="103"/>
      <c r="I5524" s="103"/>
      <c r="J5524" s="103"/>
      <c r="K5524" s="103"/>
      <c r="L5524" s="103"/>
      <c r="M5524" s="104"/>
      <c r="N5524" s="103"/>
    </row>
    <row r="5525" spans="1:14" ht="45" customHeight="1" thickBot="1" x14ac:dyDescent="0.4">
      <c r="A5525" s="103"/>
      <c r="B5525" s="103"/>
      <c r="C5525" s="103"/>
      <c r="D5525" s="103"/>
      <c r="E5525" s="103"/>
      <c r="F5525" s="103"/>
      <c r="G5525" s="103"/>
      <c r="H5525" s="103"/>
      <c r="I5525" s="103"/>
      <c r="J5525" s="103"/>
      <c r="K5525" s="103"/>
      <c r="L5525" s="103"/>
      <c r="M5525" s="104"/>
      <c r="N5525" s="103"/>
    </row>
    <row r="5526" spans="1:14" ht="45" customHeight="1" thickBot="1" x14ac:dyDescent="0.4">
      <c r="A5526" s="103"/>
      <c r="B5526" s="103"/>
      <c r="C5526" s="103"/>
      <c r="D5526" s="103"/>
      <c r="E5526" s="103"/>
      <c r="F5526" s="103"/>
      <c r="G5526" s="103"/>
      <c r="H5526" s="103"/>
      <c r="I5526" s="103"/>
      <c r="J5526" s="103"/>
      <c r="K5526" s="103"/>
      <c r="L5526" s="103"/>
      <c r="M5526" s="104"/>
      <c r="N5526" s="103"/>
    </row>
    <row r="5527" spans="1:14" ht="45" customHeight="1" thickBot="1" x14ac:dyDescent="0.4">
      <c r="A5527" s="103"/>
      <c r="B5527" s="103"/>
      <c r="C5527" s="103"/>
      <c r="D5527" s="103"/>
      <c r="E5527" s="103"/>
      <c r="F5527" s="103"/>
      <c r="G5527" s="103"/>
      <c r="H5527" s="103"/>
      <c r="I5527" s="103"/>
      <c r="J5527" s="103"/>
      <c r="K5527" s="103"/>
      <c r="L5527" s="103"/>
      <c r="M5527" s="104"/>
      <c r="N5527" s="103"/>
    </row>
    <row r="5528" spans="1:14" ht="45" customHeight="1" thickBot="1" x14ac:dyDescent="0.4">
      <c r="A5528" s="103"/>
      <c r="B5528" s="103"/>
      <c r="C5528" s="103"/>
      <c r="D5528" s="103"/>
      <c r="E5528" s="103"/>
      <c r="F5528" s="103"/>
      <c r="G5528" s="103"/>
      <c r="H5528" s="103"/>
      <c r="I5528" s="103"/>
      <c r="J5528" s="103"/>
      <c r="K5528" s="103"/>
      <c r="L5528" s="103"/>
      <c r="M5528" s="104"/>
      <c r="N5528" s="103"/>
    </row>
    <row r="5529" spans="1:14" ht="45" customHeight="1" thickBot="1" x14ac:dyDescent="0.4">
      <c r="A5529" s="103"/>
      <c r="B5529" s="103"/>
      <c r="C5529" s="103"/>
      <c r="D5529" s="103"/>
      <c r="E5529" s="103"/>
      <c r="F5529" s="103"/>
      <c r="G5529" s="103"/>
      <c r="H5529" s="103"/>
      <c r="I5529" s="103"/>
      <c r="J5529" s="103"/>
      <c r="K5529" s="103"/>
      <c r="L5529" s="103"/>
      <c r="M5529" s="104"/>
      <c r="N5529" s="103"/>
    </row>
    <row r="5530" spans="1:14" ht="45" customHeight="1" thickBot="1" x14ac:dyDescent="0.4">
      <c r="A5530" s="103"/>
      <c r="B5530" s="103"/>
      <c r="C5530" s="103"/>
      <c r="D5530" s="103"/>
      <c r="E5530" s="103"/>
      <c r="F5530" s="103"/>
      <c r="G5530" s="103"/>
      <c r="H5530" s="103"/>
      <c r="I5530" s="103"/>
      <c r="J5530" s="103"/>
      <c r="K5530" s="103"/>
      <c r="L5530" s="103"/>
      <c r="M5530" s="104"/>
      <c r="N5530" s="103"/>
    </row>
    <row r="5531" spans="1:14" ht="45" customHeight="1" thickBot="1" x14ac:dyDescent="0.4">
      <c r="A5531" s="103"/>
      <c r="B5531" s="103"/>
      <c r="C5531" s="103"/>
      <c r="D5531" s="103"/>
      <c r="E5531" s="103"/>
      <c r="F5531" s="103"/>
      <c r="G5531" s="103"/>
      <c r="H5531" s="103"/>
      <c r="I5531" s="103"/>
      <c r="J5531" s="103"/>
      <c r="K5531" s="103"/>
      <c r="L5531" s="103"/>
      <c r="M5531" s="104"/>
      <c r="N5531" s="103"/>
    </row>
    <row r="5532" spans="1:14" ht="45" customHeight="1" thickBot="1" x14ac:dyDescent="0.4">
      <c r="A5532" s="103"/>
      <c r="B5532" s="103"/>
      <c r="C5532" s="103"/>
      <c r="D5532" s="103"/>
      <c r="E5532" s="103"/>
      <c r="F5532" s="103"/>
      <c r="G5532" s="103"/>
      <c r="H5532" s="103"/>
      <c r="I5532" s="103"/>
      <c r="J5532" s="103"/>
      <c r="K5532" s="103"/>
      <c r="L5532" s="103"/>
      <c r="M5532" s="104"/>
      <c r="N5532" s="103"/>
    </row>
    <row r="5533" spans="1:14" ht="45" customHeight="1" thickBot="1" x14ac:dyDescent="0.4">
      <c r="A5533" s="103"/>
      <c r="B5533" s="103"/>
      <c r="C5533" s="103"/>
      <c r="D5533" s="103"/>
      <c r="E5533" s="103"/>
      <c r="F5533" s="103"/>
      <c r="G5533" s="103"/>
      <c r="H5533" s="103"/>
      <c r="I5533" s="103"/>
      <c r="J5533" s="103"/>
      <c r="K5533" s="103"/>
      <c r="L5533" s="103"/>
      <c r="M5533" s="104"/>
      <c r="N5533" s="103"/>
    </row>
    <row r="5534" spans="1:14" ht="45" customHeight="1" thickBot="1" x14ac:dyDescent="0.4">
      <c r="A5534" s="103"/>
      <c r="B5534" s="103"/>
      <c r="C5534" s="103"/>
      <c r="D5534" s="103"/>
      <c r="E5534" s="103"/>
      <c r="F5534" s="103"/>
      <c r="G5534" s="103"/>
      <c r="H5534" s="103"/>
      <c r="I5534" s="103"/>
      <c r="J5534" s="103"/>
      <c r="K5534" s="103"/>
      <c r="L5534" s="103"/>
      <c r="M5534" s="104"/>
      <c r="N5534" s="103"/>
    </row>
    <row r="5535" spans="1:14" ht="45" customHeight="1" thickBot="1" x14ac:dyDescent="0.4">
      <c r="A5535" s="103"/>
      <c r="B5535" s="103"/>
      <c r="C5535" s="103"/>
      <c r="D5535" s="103"/>
      <c r="E5535" s="103"/>
      <c r="F5535" s="103"/>
      <c r="G5535" s="103"/>
      <c r="H5535" s="103"/>
      <c r="I5535" s="103"/>
      <c r="J5535" s="103"/>
      <c r="K5535" s="103"/>
      <c r="L5535" s="103"/>
      <c r="M5535" s="104"/>
      <c r="N5535" s="103"/>
    </row>
    <row r="5536" spans="1:14" ht="45" customHeight="1" thickBot="1" x14ac:dyDescent="0.4">
      <c r="A5536" s="103"/>
      <c r="B5536" s="103"/>
      <c r="C5536" s="103"/>
      <c r="D5536" s="103"/>
      <c r="E5536" s="103"/>
      <c r="F5536" s="103"/>
      <c r="G5536" s="103"/>
      <c r="H5536" s="103"/>
      <c r="I5536" s="103"/>
      <c r="J5536" s="103"/>
      <c r="K5536" s="103"/>
      <c r="L5536" s="103"/>
      <c r="M5536" s="104"/>
      <c r="N5536" s="103"/>
    </row>
    <row r="5537" spans="1:14" ht="45" customHeight="1" thickBot="1" x14ac:dyDescent="0.4">
      <c r="A5537" s="103"/>
      <c r="B5537" s="103"/>
      <c r="C5537" s="103"/>
      <c r="D5537" s="103"/>
      <c r="E5537" s="103"/>
      <c r="F5537" s="103"/>
      <c r="G5537" s="103"/>
      <c r="H5537" s="103"/>
      <c r="I5537" s="103"/>
      <c r="J5537" s="103"/>
      <c r="K5537" s="103"/>
      <c r="L5537" s="103"/>
      <c r="M5537" s="104"/>
      <c r="N5537" s="103"/>
    </row>
    <row r="5538" spans="1:14" ht="45" customHeight="1" thickBot="1" x14ac:dyDescent="0.4">
      <c r="A5538" s="103"/>
      <c r="B5538" s="103"/>
      <c r="C5538" s="103"/>
      <c r="D5538" s="103"/>
      <c r="E5538" s="103"/>
      <c r="F5538" s="103"/>
      <c r="G5538" s="103"/>
      <c r="H5538" s="103"/>
      <c r="I5538" s="103"/>
      <c r="J5538" s="103"/>
      <c r="K5538" s="103"/>
      <c r="L5538" s="103"/>
      <c r="M5538" s="104"/>
      <c r="N5538" s="103"/>
    </row>
    <row r="5539" spans="1:14" ht="45" customHeight="1" thickBot="1" x14ac:dyDescent="0.4">
      <c r="A5539" s="103"/>
      <c r="B5539" s="103"/>
      <c r="C5539" s="103"/>
      <c r="D5539" s="103"/>
      <c r="E5539" s="103"/>
      <c r="F5539" s="103"/>
      <c r="G5539" s="103"/>
      <c r="H5539" s="103"/>
      <c r="I5539" s="103"/>
      <c r="J5539" s="103"/>
      <c r="K5539" s="103"/>
      <c r="L5539" s="103"/>
      <c r="M5539" s="104"/>
      <c r="N5539" s="103"/>
    </row>
    <row r="5540" spans="1:14" ht="45" customHeight="1" thickBot="1" x14ac:dyDescent="0.4">
      <c r="A5540" s="103"/>
      <c r="B5540" s="103"/>
      <c r="C5540" s="103"/>
      <c r="D5540" s="103"/>
      <c r="E5540" s="103"/>
      <c r="F5540" s="103"/>
      <c r="G5540" s="103"/>
      <c r="H5540" s="103"/>
      <c r="I5540" s="103"/>
      <c r="J5540" s="103"/>
      <c r="K5540" s="103"/>
      <c r="L5540" s="103"/>
      <c r="M5540" s="104"/>
      <c r="N5540" s="103"/>
    </row>
    <row r="5541" spans="1:14" ht="45" customHeight="1" thickBot="1" x14ac:dyDescent="0.4">
      <c r="A5541" s="103"/>
      <c r="B5541" s="103"/>
      <c r="C5541" s="103"/>
      <c r="D5541" s="103"/>
      <c r="E5541" s="103"/>
      <c r="F5541" s="103"/>
      <c r="G5541" s="103"/>
      <c r="H5541" s="103"/>
      <c r="I5541" s="103"/>
      <c r="J5541" s="103"/>
      <c r="K5541" s="103"/>
      <c r="L5541" s="103"/>
      <c r="M5541" s="104"/>
      <c r="N5541" s="103"/>
    </row>
    <row r="5542" spans="1:14" ht="45" customHeight="1" thickBot="1" x14ac:dyDescent="0.4">
      <c r="A5542" s="103"/>
      <c r="B5542" s="103"/>
      <c r="C5542" s="103"/>
      <c r="D5542" s="103"/>
      <c r="E5542" s="103"/>
      <c r="F5542" s="103"/>
      <c r="G5542" s="103"/>
      <c r="H5542" s="103"/>
      <c r="I5542" s="103"/>
      <c r="J5542" s="103"/>
      <c r="K5542" s="103"/>
      <c r="L5542" s="103"/>
      <c r="M5542" s="104"/>
      <c r="N5542" s="103"/>
    </row>
    <row r="5543" spans="1:14" ht="45" customHeight="1" thickBot="1" x14ac:dyDescent="0.4">
      <c r="A5543" s="103"/>
      <c r="B5543" s="103"/>
      <c r="C5543" s="103"/>
      <c r="D5543" s="103"/>
      <c r="E5543" s="103"/>
      <c r="F5543" s="103"/>
      <c r="G5543" s="103"/>
      <c r="H5543" s="103"/>
      <c r="I5543" s="103"/>
      <c r="J5543" s="103"/>
      <c r="K5543" s="103"/>
      <c r="L5543" s="103"/>
      <c r="M5543" s="104"/>
      <c r="N5543" s="103"/>
    </row>
    <row r="5544" spans="1:14" ht="45" customHeight="1" thickBot="1" x14ac:dyDescent="0.4">
      <c r="A5544" s="103"/>
      <c r="B5544" s="103"/>
      <c r="C5544" s="103"/>
      <c r="D5544" s="103"/>
      <c r="E5544" s="103"/>
      <c r="F5544" s="103"/>
      <c r="G5544" s="103"/>
      <c r="H5544" s="103"/>
      <c r="I5544" s="103"/>
      <c r="J5544" s="103"/>
      <c r="K5544" s="103"/>
      <c r="L5544" s="103"/>
      <c r="M5544" s="104"/>
      <c r="N5544" s="103"/>
    </row>
    <row r="5545" spans="1:14" ht="45" customHeight="1" thickBot="1" x14ac:dyDescent="0.4">
      <c r="A5545" s="103"/>
      <c r="B5545" s="103"/>
      <c r="C5545" s="103"/>
      <c r="D5545" s="103"/>
      <c r="E5545" s="103"/>
      <c r="F5545" s="103"/>
      <c r="G5545" s="103"/>
      <c r="H5545" s="103"/>
      <c r="I5545" s="103"/>
      <c r="J5545" s="103"/>
      <c r="K5545" s="103"/>
      <c r="L5545" s="103"/>
      <c r="M5545" s="104"/>
      <c r="N5545" s="103"/>
    </row>
    <row r="5546" spans="1:14" ht="45" customHeight="1" thickBot="1" x14ac:dyDescent="0.4">
      <c r="A5546" s="103"/>
      <c r="B5546" s="103"/>
      <c r="C5546" s="103"/>
      <c r="D5546" s="103"/>
      <c r="E5546" s="103"/>
      <c r="F5546" s="103"/>
      <c r="G5546" s="103"/>
      <c r="H5546" s="103"/>
      <c r="I5546" s="103"/>
      <c r="J5546" s="103"/>
      <c r="K5546" s="103"/>
      <c r="L5546" s="103"/>
      <c r="M5546" s="104"/>
      <c r="N5546" s="103"/>
    </row>
    <row r="5547" spans="1:14" ht="45" customHeight="1" thickBot="1" x14ac:dyDescent="0.4">
      <c r="A5547" s="103"/>
      <c r="B5547" s="103"/>
      <c r="C5547" s="103"/>
      <c r="D5547" s="103"/>
      <c r="E5547" s="103"/>
      <c r="F5547" s="103"/>
      <c r="G5547" s="103"/>
      <c r="H5547" s="103"/>
      <c r="I5547" s="103"/>
      <c r="J5547" s="103"/>
      <c r="K5547" s="103"/>
      <c r="L5547" s="103"/>
      <c r="M5547" s="104"/>
      <c r="N5547" s="103"/>
    </row>
    <row r="5548" spans="1:14" ht="45" customHeight="1" thickBot="1" x14ac:dyDescent="0.4">
      <c r="A5548" s="103"/>
      <c r="B5548" s="103"/>
      <c r="C5548" s="103"/>
      <c r="D5548" s="103"/>
      <c r="E5548" s="103"/>
      <c r="F5548" s="103"/>
      <c r="G5548" s="103"/>
      <c r="H5548" s="103"/>
      <c r="I5548" s="103"/>
      <c r="J5548" s="103"/>
      <c r="K5548" s="103"/>
      <c r="L5548" s="103"/>
      <c r="M5548" s="104"/>
      <c r="N5548" s="103"/>
    </row>
    <row r="5549" spans="1:14" ht="45" customHeight="1" thickBot="1" x14ac:dyDescent="0.4">
      <c r="A5549" s="103"/>
      <c r="B5549" s="103"/>
      <c r="C5549" s="103"/>
      <c r="D5549" s="103"/>
      <c r="E5549" s="103"/>
      <c r="F5549" s="103"/>
      <c r="G5549" s="103"/>
      <c r="H5549" s="103"/>
      <c r="I5549" s="103"/>
      <c r="J5549" s="103"/>
      <c r="K5549" s="103"/>
      <c r="L5549" s="103"/>
      <c r="M5549" s="104"/>
      <c r="N5549" s="103"/>
    </row>
    <row r="5550" spans="1:14" ht="45" customHeight="1" thickBot="1" x14ac:dyDescent="0.4">
      <c r="A5550" s="103"/>
      <c r="B5550" s="103"/>
      <c r="C5550" s="103"/>
      <c r="D5550" s="103"/>
      <c r="E5550" s="103"/>
      <c r="F5550" s="103"/>
      <c r="G5550" s="103"/>
      <c r="H5550" s="103"/>
      <c r="I5550" s="103"/>
      <c r="J5550" s="103"/>
      <c r="K5550" s="103"/>
      <c r="L5550" s="103"/>
      <c r="M5550" s="104"/>
      <c r="N5550" s="103"/>
    </row>
    <row r="5551" spans="1:14" ht="45" customHeight="1" thickBot="1" x14ac:dyDescent="0.4">
      <c r="A5551" s="103"/>
      <c r="B5551" s="103"/>
      <c r="C5551" s="103"/>
      <c r="D5551" s="103"/>
      <c r="E5551" s="103"/>
      <c r="F5551" s="103"/>
      <c r="G5551" s="103"/>
      <c r="H5551" s="103"/>
      <c r="I5551" s="103"/>
      <c r="J5551" s="103"/>
      <c r="K5551" s="103"/>
      <c r="L5551" s="103"/>
      <c r="M5551" s="104"/>
      <c r="N5551" s="103"/>
    </row>
    <row r="5552" spans="1:14" ht="45" customHeight="1" thickBot="1" x14ac:dyDescent="0.4">
      <c r="A5552" s="103"/>
      <c r="B5552" s="103"/>
      <c r="C5552" s="103"/>
      <c r="D5552" s="103"/>
      <c r="E5552" s="103"/>
      <c r="F5552" s="103"/>
      <c r="G5552" s="103"/>
      <c r="H5552" s="103"/>
      <c r="I5552" s="103"/>
      <c r="J5552" s="103"/>
      <c r="K5552" s="103"/>
      <c r="L5552" s="103"/>
      <c r="M5552" s="104"/>
      <c r="N5552" s="103"/>
    </row>
    <row r="5553" spans="1:14" ht="45" customHeight="1" thickBot="1" x14ac:dyDescent="0.4">
      <c r="A5553" s="103"/>
      <c r="B5553" s="103"/>
      <c r="C5553" s="103"/>
      <c r="D5553" s="103"/>
      <c r="E5553" s="103"/>
      <c r="F5553" s="103"/>
      <c r="G5553" s="103"/>
      <c r="H5553" s="103"/>
      <c r="I5553" s="103"/>
      <c r="J5553" s="103"/>
      <c r="K5553" s="103"/>
      <c r="L5553" s="103"/>
      <c r="M5553" s="104"/>
      <c r="N5553" s="103"/>
    </row>
    <row r="5554" spans="1:14" ht="45" customHeight="1" thickBot="1" x14ac:dyDescent="0.4">
      <c r="A5554" s="103"/>
      <c r="B5554" s="103"/>
      <c r="C5554" s="103"/>
      <c r="D5554" s="103"/>
      <c r="E5554" s="103"/>
      <c r="F5554" s="103"/>
      <c r="G5554" s="103"/>
      <c r="H5554" s="103"/>
      <c r="I5554" s="103"/>
      <c r="J5554" s="103"/>
      <c r="K5554" s="103"/>
      <c r="L5554" s="103"/>
      <c r="M5554" s="104"/>
      <c r="N5554" s="103"/>
    </row>
    <row r="5555" spans="1:14" ht="45" customHeight="1" thickBot="1" x14ac:dyDescent="0.4">
      <c r="A5555" s="103"/>
      <c r="B5555" s="103"/>
      <c r="C5555" s="103"/>
      <c r="D5555" s="103"/>
      <c r="E5555" s="103"/>
      <c r="F5555" s="103"/>
      <c r="G5555" s="103"/>
      <c r="H5555" s="103"/>
      <c r="I5555" s="103"/>
      <c r="J5555" s="103"/>
      <c r="K5555" s="103"/>
      <c r="L5555" s="103"/>
      <c r="M5555" s="104"/>
      <c r="N5555" s="103"/>
    </row>
    <row r="5556" spans="1:14" ht="45" customHeight="1" thickBot="1" x14ac:dyDescent="0.4">
      <c r="A5556" s="103"/>
      <c r="B5556" s="103"/>
      <c r="C5556" s="103"/>
      <c r="D5556" s="103"/>
      <c r="E5556" s="103"/>
      <c r="F5556" s="103"/>
      <c r="G5556" s="103"/>
      <c r="H5556" s="103"/>
      <c r="I5556" s="103"/>
      <c r="J5556" s="103"/>
      <c r="K5556" s="103"/>
      <c r="L5556" s="103"/>
      <c r="M5556" s="104"/>
      <c r="N5556" s="103"/>
    </row>
    <row r="5557" spans="1:14" ht="45" customHeight="1" thickBot="1" x14ac:dyDescent="0.4">
      <c r="A5557" s="103"/>
      <c r="B5557" s="103"/>
      <c r="C5557" s="103"/>
      <c r="D5557" s="103"/>
      <c r="E5557" s="103"/>
      <c r="F5557" s="103"/>
      <c r="G5557" s="103"/>
      <c r="H5557" s="103"/>
      <c r="I5557" s="103"/>
      <c r="J5557" s="103"/>
      <c r="K5557" s="103"/>
      <c r="L5557" s="103"/>
      <c r="M5557" s="104"/>
      <c r="N5557" s="103"/>
    </row>
    <row r="5558" spans="1:14" ht="45" customHeight="1" thickBot="1" x14ac:dyDescent="0.4">
      <c r="A5558" s="103"/>
      <c r="B5558" s="103"/>
      <c r="C5558" s="103"/>
      <c r="D5558" s="103"/>
      <c r="E5558" s="103"/>
      <c r="F5558" s="103"/>
      <c r="G5558" s="103"/>
      <c r="H5558" s="103"/>
      <c r="I5558" s="103"/>
      <c r="J5558" s="103"/>
      <c r="K5558" s="103"/>
      <c r="L5558" s="103"/>
      <c r="M5558" s="104"/>
      <c r="N5558" s="103"/>
    </row>
    <row r="5559" spans="1:14" ht="45" customHeight="1" thickBot="1" x14ac:dyDescent="0.4">
      <c r="A5559" s="103"/>
      <c r="B5559" s="103"/>
      <c r="C5559" s="103"/>
      <c r="D5559" s="103"/>
      <c r="E5559" s="103"/>
      <c r="F5559" s="103"/>
      <c r="G5559" s="103"/>
      <c r="H5559" s="103"/>
      <c r="I5559" s="103"/>
      <c r="J5559" s="103"/>
      <c r="K5559" s="103"/>
      <c r="L5559" s="103"/>
      <c r="M5559" s="104"/>
      <c r="N5559" s="103"/>
    </row>
    <row r="5560" spans="1:14" ht="45" customHeight="1" thickBot="1" x14ac:dyDescent="0.4">
      <c r="A5560" s="103"/>
      <c r="B5560" s="103"/>
      <c r="C5560" s="103"/>
      <c r="D5560" s="103"/>
      <c r="E5560" s="103"/>
      <c r="F5560" s="103"/>
      <c r="G5560" s="103"/>
      <c r="H5560" s="103"/>
      <c r="I5560" s="103"/>
      <c r="J5560" s="103"/>
      <c r="K5560" s="103"/>
      <c r="L5560" s="103"/>
      <c r="M5560" s="104"/>
      <c r="N5560" s="103"/>
    </row>
    <row r="5561" spans="1:14" ht="45" customHeight="1" thickBot="1" x14ac:dyDescent="0.4">
      <c r="A5561" s="103"/>
      <c r="B5561" s="103"/>
      <c r="C5561" s="103"/>
      <c r="D5561" s="103"/>
      <c r="E5561" s="103"/>
      <c r="F5561" s="103"/>
      <c r="G5561" s="103"/>
      <c r="H5561" s="103"/>
      <c r="I5561" s="103"/>
      <c r="J5561" s="103"/>
      <c r="K5561" s="103"/>
      <c r="L5561" s="103"/>
      <c r="M5561" s="104"/>
      <c r="N5561" s="103"/>
    </row>
    <row r="5562" spans="1:14" ht="45" customHeight="1" thickBot="1" x14ac:dyDescent="0.4">
      <c r="A5562" s="103"/>
      <c r="B5562" s="103"/>
      <c r="C5562" s="103"/>
      <c r="D5562" s="103"/>
      <c r="E5562" s="103"/>
      <c r="F5562" s="103"/>
      <c r="G5562" s="103"/>
      <c r="H5562" s="103"/>
      <c r="I5562" s="103"/>
      <c r="J5562" s="103"/>
      <c r="K5562" s="103"/>
      <c r="L5562" s="103"/>
      <c r="M5562" s="104"/>
      <c r="N5562" s="103"/>
    </row>
    <row r="5563" spans="1:14" ht="45" customHeight="1" thickBot="1" x14ac:dyDescent="0.4">
      <c r="A5563" s="103"/>
      <c r="B5563" s="103"/>
      <c r="C5563" s="103"/>
      <c r="D5563" s="103"/>
      <c r="E5563" s="103"/>
      <c r="F5563" s="103"/>
      <c r="G5563" s="103"/>
      <c r="H5563" s="103"/>
      <c r="I5563" s="103"/>
      <c r="J5563" s="103"/>
      <c r="K5563" s="103"/>
      <c r="L5563" s="103"/>
      <c r="M5563" s="104"/>
      <c r="N5563" s="103"/>
    </row>
    <row r="5564" spans="1:14" ht="45" customHeight="1" thickBot="1" x14ac:dyDescent="0.4">
      <c r="A5564" s="103"/>
      <c r="B5564" s="103"/>
      <c r="C5564" s="103"/>
      <c r="D5564" s="103"/>
      <c r="E5564" s="103"/>
      <c r="F5564" s="103"/>
      <c r="G5564" s="103"/>
      <c r="H5564" s="103"/>
      <c r="I5564" s="103"/>
      <c r="J5564" s="103"/>
      <c r="K5564" s="103"/>
      <c r="L5564" s="103"/>
      <c r="M5564" s="104"/>
      <c r="N5564" s="103"/>
    </row>
    <row r="5565" spans="1:14" ht="45" customHeight="1" thickBot="1" x14ac:dyDescent="0.4">
      <c r="A5565" s="103"/>
      <c r="B5565" s="103"/>
      <c r="C5565" s="103"/>
      <c r="D5565" s="103"/>
      <c r="E5565" s="103"/>
      <c r="F5565" s="103"/>
      <c r="G5565" s="103"/>
      <c r="H5565" s="103"/>
      <c r="I5565" s="103"/>
      <c r="J5565" s="103"/>
      <c r="K5565" s="103"/>
      <c r="L5565" s="103"/>
      <c r="M5565" s="104"/>
      <c r="N5565" s="103"/>
    </row>
    <row r="5566" spans="1:14" ht="45" customHeight="1" thickBot="1" x14ac:dyDescent="0.4">
      <c r="A5566" s="103"/>
      <c r="B5566" s="103"/>
      <c r="C5566" s="103"/>
      <c r="D5566" s="103"/>
      <c r="E5566" s="103"/>
      <c r="F5566" s="103"/>
      <c r="G5566" s="103"/>
      <c r="H5566" s="103"/>
      <c r="I5566" s="103"/>
      <c r="J5566" s="103"/>
      <c r="K5566" s="103"/>
      <c r="L5566" s="103"/>
      <c r="M5566" s="104"/>
      <c r="N5566" s="103"/>
    </row>
    <row r="5567" spans="1:14" ht="45" customHeight="1" thickBot="1" x14ac:dyDescent="0.4">
      <c r="A5567" s="103"/>
      <c r="B5567" s="103"/>
      <c r="C5567" s="103"/>
      <c r="D5567" s="103"/>
      <c r="E5567" s="103"/>
      <c r="F5567" s="103"/>
      <c r="G5567" s="103"/>
      <c r="H5567" s="103"/>
      <c r="I5567" s="103"/>
      <c r="J5567" s="103"/>
      <c r="K5567" s="103"/>
      <c r="L5567" s="103"/>
      <c r="M5567" s="104"/>
      <c r="N5567" s="103"/>
    </row>
    <row r="5568" spans="1:14" ht="45" customHeight="1" thickBot="1" x14ac:dyDescent="0.4">
      <c r="A5568" s="103"/>
      <c r="B5568" s="103"/>
      <c r="C5568" s="103"/>
      <c r="D5568" s="103"/>
      <c r="E5568" s="103"/>
      <c r="F5568" s="103"/>
      <c r="G5568" s="103"/>
      <c r="H5568" s="103"/>
      <c r="I5568" s="103"/>
      <c r="J5568" s="103"/>
      <c r="K5568" s="103"/>
      <c r="L5568" s="103"/>
      <c r="M5568" s="104"/>
      <c r="N5568" s="103"/>
    </row>
    <row r="5569" spans="1:14" ht="45" customHeight="1" thickBot="1" x14ac:dyDescent="0.4">
      <c r="A5569" s="103"/>
      <c r="B5569" s="103"/>
      <c r="C5569" s="103"/>
      <c r="D5569" s="103"/>
      <c r="E5569" s="103"/>
      <c r="F5569" s="103"/>
      <c r="G5569" s="103"/>
      <c r="H5569" s="103"/>
      <c r="I5569" s="103"/>
      <c r="J5569" s="103"/>
      <c r="K5569" s="103"/>
      <c r="L5569" s="103"/>
      <c r="M5569" s="104"/>
      <c r="N5569" s="103"/>
    </row>
    <row r="5570" spans="1:14" ht="45" customHeight="1" thickBot="1" x14ac:dyDescent="0.4">
      <c r="A5570" s="103"/>
      <c r="B5570" s="103"/>
      <c r="C5570" s="103"/>
      <c r="D5570" s="103"/>
      <c r="E5570" s="103"/>
      <c r="F5570" s="103"/>
      <c r="G5570" s="103"/>
      <c r="H5570" s="103"/>
      <c r="I5570" s="103"/>
      <c r="J5570" s="103"/>
      <c r="K5570" s="103"/>
      <c r="L5570" s="103"/>
      <c r="M5570" s="104"/>
      <c r="N5570" s="103"/>
    </row>
    <row r="5571" spans="1:14" ht="45" customHeight="1" thickBot="1" x14ac:dyDescent="0.4">
      <c r="A5571" s="103"/>
      <c r="B5571" s="103"/>
      <c r="C5571" s="103"/>
      <c r="D5571" s="103"/>
      <c r="E5571" s="103"/>
      <c r="F5571" s="103"/>
      <c r="G5571" s="103"/>
      <c r="H5571" s="103"/>
      <c r="I5571" s="103"/>
      <c r="J5571" s="103"/>
      <c r="K5571" s="103"/>
      <c r="L5571" s="103"/>
      <c r="M5571" s="104"/>
      <c r="N5571" s="103"/>
    </row>
    <row r="5572" spans="1:14" ht="45" customHeight="1" thickBot="1" x14ac:dyDescent="0.4">
      <c r="A5572" s="103"/>
      <c r="B5572" s="103"/>
      <c r="C5572" s="103"/>
      <c r="D5572" s="103"/>
      <c r="E5572" s="103"/>
      <c r="F5572" s="103"/>
      <c r="G5572" s="103"/>
      <c r="H5572" s="103"/>
      <c r="I5572" s="103"/>
      <c r="J5572" s="103"/>
      <c r="K5572" s="103"/>
      <c r="L5572" s="103"/>
      <c r="M5572" s="104"/>
      <c r="N5572" s="103"/>
    </row>
    <row r="5573" spans="1:14" ht="45" customHeight="1" thickBot="1" x14ac:dyDescent="0.4">
      <c r="A5573" s="103"/>
      <c r="B5573" s="103"/>
      <c r="C5573" s="103"/>
      <c r="D5573" s="103"/>
      <c r="E5573" s="103"/>
      <c r="F5573" s="103"/>
      <c r="G5573" s="103"/>
      <c r="H5573" s="103"/>
      <c r="I5573" s="103"/>
      <c r="J5573" s="103"/>
      <c r="K5573" s="103"/>
      <c r="L5573" s="103"/>
      <c r="M5573" s="104"/>
      <c r="N5573" s="103"/>
    </row>
    <row r="5574" spans="1:14" ht="45" customHeight="1" thickBot="1" x14ac:dyDescent="0.4">
      <c r="A5574" s="103"/>
      <c r="B5574" s="103"/>
      <c r="C5574" s="103"/>
      <c r="D5574" s="103"/>
      <c r="E5574" s="103"/>
      <c r="F5574" s="103"/>
      <c r="G5574" s="103"/>
      <c r="H5574" s="103"/>
      <c r="I5574" s="103"/>
      <c r="J5574" s="103"/>
      <c r="K5574" s="103"/>
      <c r="L5574" s="103"/>
      <c r="M5574" s="104"/>
      <c r="N5574" s="103"/>
    </row>
    <row r="5575" spans="1:14" ht="45" customHeight="1" thickBot="1" x14ac:dyDescent="0.4">
      <c r="A5575" s="103"/>
      <c r="B5575" s="103"/>
      <c r="C5575" s="103"/>
      <c r="D5575" s="103"/>
      <c r="E5575" s="103"/>
      <c r="F5575" s="103"/>
      <c r="G5575" s="103"/>
      <c r="H5575" s="103"/>
      <c r="I5575" s="103"/>
      <c r="J5575" s="103"/>
      <c r="K5575" s="103"/>
      <c r="L5575" s="103"/>
      <c r="M5575" s="104"/>
      <c r="N5575" s="103"/>
    </row>
    <row r="5576" spans="1:14" ht="45" customHeight="1" thickBot="1" x14ac:dyDescent="0.4">
      <c r="A5576" s="103"/>
      <c r="B5576" s="103"/>
      <c r="C5576" s="103"/>
      <c r="D5576" s="103"/>
      <c r="E5576" s="103"/>
      <c r="F5576" s="103"/>
      <c r="G5576" s="103"/>
      <c r="H5576" s="103"/>
      <c r="I5576" s="103"/>
      <c r="J5576" s="103"/>
      <c r="K5576" s="103"/>
      <c r="L5576" s="103"/>
      <c r="M5576" s="104"/>
      <c r="N5576" s="103"/>
    </row>
    <row r="5577" spans="1:14" ht="45" customHeight="1" thickBot="1" x14ac:dyDescent="0.4">
      <c r="A5577" s="103"/>
      <c r="B5577" s="103"/>
      <c r="C5577" s="103"/>
      <c r="D5577" s="103"/>
      <c r="E5577" s="103"/>
      <c r="F5577" s="103"/>
      <c r="G5577" s="103"/>
      <c r="H5577" s="103"/>
      <c r="I5577" s="103"/>
      <c r="J5577" s="103"/>
      <c r="K5577" s="103"/>
      <c r="L5577" s="103"/>
      <c r="M5577" s="104"/>
      <c r="N5577" s="103"/>
    </row>
    <row r="5578" spans="1:14" ht="45" customHeight="1" thickBot="1" x14ac:dyDescent="0.4">
      <c r="A5578" s="103"/>
      <c r="B5578" s="103"/>
      <c r="C5578" s="103"/>
      <c r="D5578" s="103"/>
      <c r="E5578" s="103"/>
      <c r="F5578" s="103"/>
      <c r="G5578" s="103"/>
      <c r="H5578" s="103"/>
      <c r="I5578" s="103"/>
      <c r="J5578" s="103"/>
      <c r="K5578" s="103"/>
      <c r="L5578" s="103"/>
      <c r="M5578" s="104"/>
      <c r="N5578" s="103"/>
    </row>
    <row r="5579" spans="1:14" ht="45" customHeight="1" thickBot="1" x14ac:dyDescent="0.4">
      <c r="A5579" s="103"/>
      <c r="B5579" s="103"/>
      <c r="C5579" s="103"/>
      <c r="D5579" s="103"/>
      <c r="E5579" s="103"/>
      <c r="F5579" s="103"/>
      <c r="G5579" s="103"/>
      <c r="H5579" s="103"/>
      <c r="I5579" s="103"/>
      <c r="J5579" s="103"/>
      <c r="K5579" s="103"/>
      <c r="L5579" s="103"/>
      <c r="M5579" s="104"/>
      <c r="N5579" s="103"/>
    </row>
    <row r="5580" spans="1:14" ht="45" customHeight="1" thickBot="1" x14ac:dyDescent="0.4">
      <c r="A5580" s="103"/>
      <c r="B5580" s="103"/>
      <c r="C5580" s="103"/>
      <c r="D5580" s="103"/>
      <c r="E5580" s="103"/>
      <c r="F5580" s="103"/>
      <c r="G5580" s="103"/>
      <c r="H5580" s="103"/>
      <c r="I5580" s="103"/>
      <c r="J5580" s="103"/>
      <c r="K5580" s="103"/>
      <c r="L5580" s="103"/>
      <c r="M5580" s="104"/>
      <c r="N5580" s="103"/>
    </row>
    <row r="5581" spans="1:14" ht="45" customHeight="1" thickBot="1" x14ac:dyDescent="0.4">
      <c r="A5581" s="103"/>
      <c r="B5581" s="103"/>
      <c r="C5581" s="103"/>
      <c r="D5581" s="103"/>
      <c r="E5581" s="103"/>
      <c r="F5581" s="103"/>
      <c r="G5581" s="103"/>
      <c r="H5581" s="103"/>
      <c r="I5581" s="103"/>
      <c r="J5581" s="103"/>
      <c r="K5581" s="103"/>
      <c r="L5581" s="103"/>
      <c r="M5581" s="104"/>
      <c r="N5581" s="103"/>
    </row>
    <row r="5582" spans="1:14" ht="45" customHeight="1" thickBot="1" x14ac:dyDescent="0.4">
      <c r="A5582" s="103"/>
      <c r="B5582" s="103"/>
      <c r="C5582" s="103"/>
      <c r="D5582" s="103"/>
      <c r="E5582" s="103"/>
      <c r="F5582" s="103"/>
      <c r="G5582" s="103"/>
      <c r="H5582" s="103"/>
      <c r="I5582" s="103"/>
      <c r="J5582" s="103"/>
      <c r="K5582" s="103"/>
      <c r="L5582" s="103"/>
      <c r="M5582" s="104"/>
      <c r="N5582" s="103"/>
    </row>
    <row r="5583" spans="1:14" ht="45" customHeight="1" thickBot="1" x14ac:dyDescent="0.4">
      <c r="A5583" s="103"/>
      <c r="B5583" s="103"/>
      <c r="C5583" s="103"/>
      <c r="D5583" s="103"/>
      <c r="E5583" s="103"/>
      <c r="F5583" s="103"/>
      <c r="G5583" s="103"/>
      <c r="H5583" s="103"/>
      <c r="I5583" s="103"/>
      <c r="J5583" s="103"/>
      <c r="K5583" s="103"/>
      <c r="L5583" s="103"/>
      <c r="M5583" s="104"/>
      <c r="N5583" s="103"/>
    </row>
    <row r="5584" spans="1:14" ht="45" customHeight="1" thickBot="1" x14ac:dyDescent="0.4">
      <c r="A5584" s="103"/>
      <c r="B5584" s="103"/>
      <c r="C5584" s="103"/>
      <c r="D5584" s="103"/>
      <c r="E5584" s="103"/>
      <c r="F5584" s="103"/>
      <c r="G5584" s="103"/>
      <c r="H5584" s="103"/>
      <c r="I5584" s="103"/>
      <c r="J5584" s="103"/>
      <c r="K5584" s="103"/>
      <c r="L5584" s="103"/>
      <c r="M5584" s="104"/>
      <c r="N5584" s="103"/>
    </row>
    <row r="5585" spans="1:14" ht="45" customHeight="1" thickBot="1" x14ac:dyDescent="0.4">
      <c r="A5585" s="103"/>
      <c r="B5585" s="103"/>
      <c r="C5585" s="103"/>
      <c r="D5585" s="103"/>
      <c r="E5585" s="103"/>
      <c r="F5585" s="103"/>
      <c r="G5585" s="103"/>
      <c r="H5585" s="103"/>
      <c r="I5585" s="103"/>
      <c r="J5585" s="103"/>
      <c r="K5585" s="103"/>
      <c r="L5585" s="103"/>
      <c r="M5585" s="104"/>
      <c r="N5585" s="103"/>
    </row>
    <row r="5586" spans="1:14" ht="45" customHeight="1" thickBot="1" x14ac:dyDescent="0.4">
      <c r="A5586" s="103"/>
      <c r="B5586" s="103"/>
      <c r="C5586" s="103"/>
      <c r="D5586" s="103"/>
      <c r="E5586" s="103"/>
      <c r="F5586" s="103"/>
      <c r="G5586" s="103"/>
      <c r="H5586" s="103"/>
      <c r="I5586" s="103"/>
      <c r="J5586" s="103"/>
      <c r="K5586" s="103"/>
      <c r="L5586" s="103"/>
      <c r="M5586" s="104"/>
      <c r="N5586" s="103"/>
    </row>
    <row r="5587" spans="1:14" ht="45" customHeight="1" thickBot="1" x14ac:dyDescent="0.4">
      <c r="A5587" s="103"/>
      <c r="B5587" s="103"/>
      <c r="C5587" s="103"/>
      <c r="D5587" s="103"/>
      <c r="E5587" s="103"/>
      <c r="F5587" s="103"/>
      <c r="G5587" s="103"/>
      <c r="H5587" s="103"/>
      <c r="I5587" s="103"/>
      <c r="J5587" s="103"/>
      <c r="K5587" s="103"/>
      <c r="L5587" s="103"/>
      <c r="M5587" s="104"/>
      <c r="N5587" s="103"/>
    </row>
    <row r="5588" spans="1:14" ht="45" customHeight="1" thickBot="1" x14ac:dyDescent="0.4">
      <c r="A5588" s="103"/>
      <c r="B5588" s="103"/>
      <c r="C5588" s="103"/>
      <c r="D5588" s="103"/>
      <c r="E5588" s="103"/>
      <c r="F5588" s="103"/>
      <c r="G5588" s="103"/>
      <c r="H5588" s="103"/>
      <c r="I5588" s="103"/>
      <c r="J5588" s="103"/>
      <c r="K5588" s="103"/>
      <c r="L5588" s="103"/>
      <c r="M5588" s="104"/>
      <c r="N5588" s="103"/>
    </row>
    <row r="5589" spans="1:14" ht="45" customHeight="1" thickBot="1" x14ac:dyDescent="0.4">
      <c r="A5589" s="103"/>
      <c r="B5589" s="103"/>
      <c r="C5589" s="103"/>
      <c r="D5589" s="103"/>
      <c r="E5589" s="103"/>
      <c r="F5589" s="103"/>
      <c r="G5589" s="103"/>
      <c r="H5589" s="103"/>
      <c r="I5589" s="103"/>
      <c r="J5589" s="103"/>
      <c r="K5589" s="103"/>
      <c r="L5589" s="103"/>
      <c r="M5589" s="104"/>
      <c r="N5589" s="103"/>
    </row>
    <row r="5590" spans="1:14" ht="45" customHeight="1" thickBot="1" x14ac:dyDescent="0.4">
      <c r="A5590" s="103"/>
      <c r="B5590" s="103"/>
      <c r="C5590" s="103"/>
      <c r="D5590" s="103"/>
      <c r="E5590" s="103"/>
      <c r="F5590" s="103"/>
      <c r="G5590" s="103"/>
      <c r="H5590" s="103"/>
      <c r="I5590" s="103"/>
      <c r="J5590" s="103"/>
      <c r="K5590" s="103"/>
      <c r="L5590" s="103"/>
      <c r="M5590" s="104"/>
      <c r="N5590" s="103"/>
    </row>
    <row r="5591" spans="1:14" ht="45" customHeight="1" thickBot="1" x14ac:dyDescent="0.4">
      <c r="A5591" s="103"/>
      <c r="B5591" s="103"/>
      <c r="C5591" s="103"/>
      <c r="D5591" s="103"/>
      <c r="E5591" s="103"/>
      <c r="F5591" s="103"/>
      <c r="G5591" s="103"/>
      <c r="H5591" s="103"/>
      <c r="I5591" s="103"/>
      <c r="J5591" s="103"/>
      <c r="K5591" s="103"/>
      <c r="L5591" s="103"/>
      <c r="M5591" s="104"/>
      <c r="N5591" s="103"/>
    </row>
    <row r="5592" spans="1:14" ht="45" customHeight="1" thickBot="1" x14ac:dyDescent="0.4">
      <c r="A5592" s="103"/>
      <c r="B5592" s="103"/>
      <c r="C5592" s="103"/>
      <c r="D5592" s="103"/>
      <c r="E5592" s="103"/>
      <c r="F5592" s="103"/>
      <c r="G5592" s="103"/>
      <c r="H5592" s="103"/>
      <c r="I5592" s="103"/>
      <c r="J5592" s="103"/>
      <c r="K5592" s="103"/>
      <c r="L5592" s="103"/>
      <c r="M5592" s="104"/>
      <c r="N5592" s="103"/>
    </row>
    <row r="5593" spans="1:14" ht="45" customHeight="1" thickBot="1" x14ac:dyDescent="0.4">
      <c r="A5593" s="103"/>
      <c r="B5593" s="103"/>
      <c r="C5593" s="103"/>
      <c r="D5593" s="103"/>
      <c r="E5593" s="103"/>
      <c r="F5593" s="103"/>
      <c r="G5593" s="103"/>
      <c r="H5593" s="103"/>
      <c r="I5593" s="103"/>
      <c r="J5593" s="103"/>
      <c r="K5593" s="103"/>
      <c r="L5593" s="103"/>
      <c r="M5593" s="104"/>
      <c r="N5593" s="103"/>
    </row>
    <row r="5594" spans="1:14" ht="45" customHeight="1" thickBot="1" x14ac:dyDescent="0.4">
      <c r="A5594" s="103"/>
      <c r="B5594" s="103"/>
      <c r="C5594" s="103"/>
      <c r="D5594" s="103"/>
      <c r="E5594" s="103"/>
      <c r="F5594" s="103"/>
      <c r="G5594" s="103"/>
      <c r="H5594" s="103"/>
      <c r="I5594" s="103"/>
      <c r="J5594" s="103"/>
      <c r="K5594" s="103"/>
      <c r="L5594" s="103"/>
      <c r="M5594" s="104"/>
      <c r="N5594" s="103"/>
    </row>
    <row r="5595" spans="1:14" ht="45" customHeight="1" thickBot="1" x14ac:dyDescent="0.4">
      <c r="A5595" s="103"/>
      <c r="B5595" s="103"/>
      <c r="C5595" s="103"/>
      <c r="D5595" s="103"/>
      <c r="E5595" s="103"/>
      <c r="F5595" s="103"/>
      <c r="G5595" s="103"/>
      <c r="H5595" s="103"/>
      <c r="I5595" s="103"/>
      <c r="J5595" s="103"/>
      <c r="K5595" s="103"/>
      <c r="L5595" s="103"/>
      <c r="M5595" s="104"/>
      <c r="N5595" s="103"/>
    </row>
    <row r="5596" spans="1:14" ht="45" customHeight="1" thickBot="1" x14ac:dyDescent="0.4">
      <c r="A5596" s="103"/>
      <c r="B5596" s="103"/>
      <c r="C5596" s="103"/>
      <c r="D5596" s="103"/>
      <c r="E5596" s="103"/>
      <c r="F5596" s="103"/>
      <c r="G5596" s="103"/>
      <c r="H5596" s="103"/>
      <c r="I5596" s="103"/>
      <c r="J5596" s="103"/>
      <c r="K5596" s="103"/>
      <c r="L5596" s="103"/>
      <c r="M5596" s="104"/>
      <c r="N5596" s="103"/>
    </row>
    <row r="5597" spans="1:14" ht="45" customHeight="1" thickBot="1" x14ac:dyDescent="0.4">
      <c r="A5597" s="103"/>
      <c r="B5597" s="103"/>
      <c r="C5597" s="103"/>
      <c r="D5597" s="103"/>
      <c r="E5597" s="103"/>
      <c r="F5597" s="103"/>
      <c r="G5597" s="103"/>
      <c r="H5597" s="103"/>
      <c r="I5597" s="103"/>
      <c r="J5597" s="103"/>
      <c r="K5597" s="103"/>
      <c r="L5597" s="103"/>
      <c r="M5597" s="104"/>
      <c r="N5597" s="103"/>
    </row>
    <row r="5598" spans="1:14" ht="45" customHeight="1" thickBot="1" x14ac:dyDescent="0.4">
      <c r="A5598" s="103"/>
      <c r="B5598" s="103"/>
      <c r="C5598" s="103"/>
      <c r="D5598" s="103"/>
      <c r="E5598" s="103"/>
      <c r="F5598" s="103"/>
      <c r="G5598" s="103"/>
      <c r="H5598" s="103"/>
      <c r="I5598" s="103"/>
      <c r="J5598" s="103"/>
      <c r="K5598" s="103"/>
      <c r="L5598" s="103"/>
      <c r="M5598" s="104"/>
      <c r="N5598" s="103"/>
    </row>
    <row r="5599" spans="1:14" ht="45" customHeight="1" thickBot="1" x14ac:dyDescent="0.4">
      <c r="A5599" s="103"/>
      <c r="B5599" s="103"/>
      <c r="C5599" s="103"/>
      <c r="D5599" s="103"/>
      <c r="E5599" s="103"/>
      <c r="F5599" s="103"/>
      <c r="G5599" s="103"/>
      <c r="H5599" s="103"/>
      <c r="I5599" s="103"/>
      <c r="J5599" s="103"/>
      <c r="K5599" s="103"/>
      <c r="L5599" s="103"/>
      <c r="M5599" s="104"/>
      <c r="N5599" s="103"/>
    </row>
    <row r="5600" spans="1:14" ht="45" customHeight="1" thickBot="1" x14ac:dyDescent="0.4">
      <c r="A5600" s="103"/>
      <c r="B5600" s="103"/>
      <c r="C5600" s="103"/>
      <c r="D5600" s="103"/>
      <c r="E5600" s="103"/>
      <c r="F5600" s="103"/>
      <c r="G5600" s="103"/>
      <c r="H5600" s="103"/>
      <c r="I5600" s="103"/>
      <c r="J5600" s="103"/>
      <c r="K5600" s="103"/>
      <c r="L5600" s="103"/>
      <c r="M5600" s="104"/>
      <c r="N5600" s="103"/>
    </row>
    <row r="5601" spans="1:14" ht="45" customHeight="1" thickBot="1" x14ac:dyDescent="0.4">
      <c r="A5601" s="103"/>
      <c r="B5601" s="103"/>
      <c r="C5601" s="103"/>
      <c r="D5601" s="103"/>
      <c r="E5601" s="103"/>
      <c r="F5601" s="103"/>
      <c r="G5601" s="103"/>
      <c r="H5601" s="103"/>
      <c r="I5601" s="103"/>
      <c r="J5601" s="103"/>
      <c r="K5601" s="103"/>
      <c r="L5601" s="103"/>
      <c r="M5601" s="104"/>
      <c r="N5601" s="103"/>
    </row>
    <row r="5602" spans="1:14" ht="45" customHeight="1" thickBot="1" x14ac:dyDescent="0.4">
      <c r="A5602" s="103"/>
      <c r="B5602" s="103"/>
      <c r="C5602" s="103"/>
      <c r="D5602" s="103"/>
      <c r="E5602" s="103"/>
      <c r="F5602" s="103"/>
      <c r="G5602" s="103"/>
      <c r="H5602" s="103"/>
      <c r="I5602" s="103"/>
      <c r="J5602" s="103"/>
      <c r="K5602" s="103"/>
      <c r="L5602" s="103"/>
      <c r="M5602" s="104"/>
      <c r="N5602" s="103"/>
    </row>
    <row r="5603" spans="1:14" ht="45" customHeight="1" thickBot="1" x14ac:dyDescent="0.4">
      <c r="A5603" s="103"/>
      <c r="B5603" s="103"/>
      <c r="C5603" s="103"/>
      <c r="D5603" s="103"/>
      <c r="E5603" s="103"/>
      <c r="F5603" s="103"/>
      <c r="G5603" s="103"/>
      <c r="H5603" s="103"/>
      <c r="I5603" s="103"/>
      <c r="J5603" s="103"/>
      <c r="K5603" s="103"/>
      <c r="L5603" s="103"/>
      <c r="M5603" s="104"/>
      <c r="N5603" s="103"/>
    </row>
    <row r="5604" spans="1:14" ht="45" customHeight="1" thickBot="1" x14ac:dyDescent="0.4">
      <c r="A5604" s="103"/>
      <c r="B5604" s="103"/>
      <c r="C5604" s="103"/>
      <c r="D5604" s="103"/>
      <c r="E5604" s="103"/>
      <c r="F5604" s="103"/>
      <c r="G5604" s="103"/>
      <c r="H5604" s="103"/>
      <c r="I5604" s="103"/>
      <c r="J5604" s="103"/>
      <c r="K5604" s="103"/>
      <c r="L5604" s="103"/>
      <c r="M5604" s="104"/>
      <c r="N5604" s="103"/>
    </row>
    <row r="5605" spans="1:14" ht="45" customHeight="1" thickBot="1" x14ac:dyDescent="0.4">
      <c r="A5605" s="103"/>
      <c r="B5605" s="103"/>
      <c r="C5605" s="103"/>
      <c r="D5605" s="103"/>
      <c r="E5605" s="103"/>
      <c r="F5605" s="103"/>
      <c r="G5605" s="103"/>
      <c r="H5605" s="103"/>
      <c r="I5605" s="103"/>
      <c r="J5605" s="103"/>
      <c r="K5605" s="103"/>
      <c r="L5605" s="103"/>
      <c r="M5605" s="104"/>
      <c r="N5605" s="103"/>
    </row>
    <row r="5606" spans="1:14" ht="45" customHeight="1" thickBot="1" x14ac:dyDescent="0.4">
      <c r="A5606" s="103"/>
      <c r="B5606" s="103"/>
      <c r="C5606" s="103"/>
      <c r="D5606" s="103"/>
      <c r="E5606" s="103"/>
      <c r="F5606" s="103"/>
      <c r="G5606" s="103"/>
      <c r="H5606" s="103"/>
      <c r="I5606" s="103"/>
      <c r="J5606" s="103"/>
      <c r="K5606" s="103"/>
      <c r="L5606" s="103"/>
      <c r="M5606" s="104"/>
      <c r="N5606" s="103"/>
    </row>
    <row r="5607" spans="1:14" ht="45" customHeight="1" thickBot="1" x14ac:dyDescent="0.4">
      <c r="A5607" s="103"/>
      <c r="B5607" s="103"/>
      <c r="C5607" s="103"/>
      <c r="D5607" s="103"/>
      <c r="E5607" s="103"/>
      <c r="F5607" s="103"/>
      <c r="G5607" s="103"/>
      <c r="H5607" s="103"/>
      <c r="I5607" s="103"/>
      <c r="J5607" s="103"/>
      <c r="K5607" s="103"/>
      <c r="L5607" s="103"/>
      <c r="M5607" s="104"/>
      <c r="N5607" s="103"/>
    </row>
    <row r="5608" spans="1:14" ht="45" customHeight="1" thickBot="1" x14ac:dyDescent="0.4">
      <c r="A5608" s="103"/>
      <c r="B5608" s="103"/>
      <c r="C5608" s="103"/>
      <c r="D5608" s="103"/>
      <c r="E5608" s="103"/>
      <c r="F5608" s="103"/>
      <c r="G5608" s="103"/>
      <c r="H5608" s="103"/>
      <c r="I5608" s="103"/>
      <c r="J5608" s="103"/>
      <c r="K5608" s="103"/>
      <c r="L5608" s="103"/>
      <c r="M5608" s="104"/>
      <c r="N5608" s="103"/>
    </row>
    <row r="5609" spans="1:14" ht="45" customHeight="1" thickBot="1" x14ac:dyDescent="0.4">
      <c r="A5609" s="103"/>
      <c r="B5609" s="103"/>
      <c r="C5609" s="103"/>
      <c r="D5609" s="103"/>
      <c r="E5609" s="103"/>
      <c r="F5609" s="103"/>
      <c r="G5609" s="103"/>
      <c r="H5609" s="103"/>
      <c r="I5609" s="103"/>
      <c r="J5609" s="103"/>
      <c r="K5609" s="103"/>
      <c r="L5609" s="103"/>
      <c r="M5609" s="104"/>
      <c r="N5609" s="103"/>
    </row>
    <row r="5610" spans="1:14" ht="45" customHeight="1" thickBot="1" x14ac:dyDescent="0.4">
      <c r="A5610" s="103"/>
      <c r="B5610" s="103"/>
      <c r="C5610" s="103"/>
      <c r="D5610" s="103"/>
      <c r="E5610" s="103"/>
      <c r="F5610" s="103"/>
      <c r="G5610" s="103"/>
      <c r="H5610" s="103"/>
      <c r="I5610" s="103"/>
      <c r="J5610" s="103"/>
      <c r="K5610" s="103"/>
      <c r="L5610" s="103"/>
      <c r="M5610" s="104"/>
      <c r="N5610" s="103"/>
    </row>
    <row r="5611" spans="1:14" ht="45" customHeight="1" thickBot="1" x14ac:dyDescent="0.4">
      <c r="A5611" s="103"/>
      <c r="B5611" s="103"/>
      <c r="C5611" s="103"/>
      <c r="D5611" s="103"/>
      <c r="E5611" s="103"/>
      <c r="F5611" s="103"/>
      <c r="G5611" s="103"/>
      <c r="H5611" s="103"/>
      <c r="I5611" s="103"/>
      <c r="J5611" s="103"/>
      <c r="K5611" s="103"/>
      <c r="L5611" s="103"/>
      <c r="M5611" s="104"/>
      <c r="N5611" s="103"/>
    </row>
    <row r="5612" spans="1:14" ht="45" customHeight="1" thickBot="1" x14ac:dyDescent="0.4">
      <c r="A5612" s="103"/>
      <c r="B5612" s="103"/>
      <c r="C5612" s="103"/>
      <c r="D5612" s="103"/>
      <c r="E5612" s="103"/>
      <c r="F5612" s="103"/>
      <c r="G5612" s="103"/>
      <c r="H5612" s="103"/>
      <c r="I5612" s="103"/>
      <c r="J5612" s="103"/>
      <c r="K5612" s="103"/>
      <c r="L5612" s="103"/>
      <c r="M5612" s="104"/>
      <c r="N5612" s="103"/>
    </row>
    <row r="5613" spans="1:14" ht="45" customHeight="1" thickBot="1" x14ac:dyDescent="0.4">
      <c r="A5613" s="103"/>
      <c r="B5613" s="103"/>
      <c r="C5613" s="103"/>
      <c r="D5613" s="103"/>
      <c r="E5613" s="103"/>
      <c r="F5613" s="103"/>
      <c r="G5613" s="103"/>
      <c r="H5613" s="103"/>
      <c r="I5613" s="103"/>
      <c r="J5613" s="103"/>
      <c r="K5613" s="103"/>
      <c r="L5613" s="103"/>
      <c r="M5613" s="104"/>
      <c r="N5613" s="103"/>
    </row>
    <row r="5614" spans="1:14" ht="45" customHeight="1" thickBot="1" x14ac:dyDescent="0.4">
      <c r="A5614" s="103"/>
      <c r="B5614" s="103"/>
      <c r="C5614" s="103"/>
      <c r="D5614" s="103"/>
      <c r="E5614" s="103"/>
      <c r="F5614" s="103"/>
      <c r="G5614" s="103"/>
      <c r="H5614" s="103"/>
      <c r="I5614" s="103"/>
      <c r="J5614" s="103"/>
      <c r="K5614" s="103"/>
      <c r="L5614" s="103"/>
      <c r="M5614" s="104"/>
      <c r="N5614" s="103"/>
    </row>
    <row r="5615" spans="1:14" ht="45" customHeight="1" thickBot="1" x14ac:dyDescent="0.4">
      <c r="A5615" s="103"/>
      <c r="B5615" s="103"/>
      <c r="C5615" s="103"/>
      <c r="D5615" s="103"/>
      <c r="E5615" s="103"/>
      <c r="F5615" s="103"/>
      <c r="G5615" s="103"/>
      <c r="H5615" s="103"/>
      <c r="I5615" s="103"/>
      <c r="J5615" s="103"/>
      <c r="K5615" s="103"/>
      <c r="L5615" s="103"/>
      <c r="M5615" s="104"/>
      <c r="N5615" s="103"/>
    </row>
    <row r="5616" spans="1:14" ht="45" customHeight="1" thickBot="1" x14ac:dyDescent="0.4">
      <c r="A5616" s="103"/>
      <c r="B5616" s="103"/>
      <c r="C5616" s="103"/>
      <c r="D5616" s="103"/>
      <c r="E5616" s="103"/>
      <c r="F5616" s="103"/>
      <c r="G5616" s="103"/>
      <c r="H5616" s="103"/>
      <c r="I5616" s="103"/>
      <c r="J5616" s="103"/>
      <c r="K5616" s="103"/>
      <c r="L5616" s="103"/>
      <c r="M5616" s="104"/>
      <c r="N5616" s="103"/>
    </row>
    <row r="5617" spans="1:14" ht="45" customHeight="1" thickBot="1" x14ac:dyDescent="0.4">
      <c r="A5617" s="103"/>
      <c r="B5617" s="103"/>
      <c r="C5617" s="103"/>
      <c r="D5617" s="103"/>
      <c r="E5617" s="103"/>
      <c r="F5617" s="103"/>
      <c r="G5617" s="103"/>
      <c r="H5617" s="103"/>
      <c r="I5617" s="103"/>
      <c r="J5617" s="103"/>
      <c r="K5617" s="103"/>
      <c r="L5617" s="103"/>
      <c r="M5617" s="104"/>
      <c r="N5617" s="103"/>
    </row>
    <row r="5618" spans="1:14" ht="45" customHeight="1" thickBot="1" x14ac:dyDescent="0.4">
      <c r="A5618" s="103"/>
      <c r="B5618" s="103"/>
      <c r="C5618" s="103"/>
      <c r="D5618" s="103"/>
      <c r="E5618" s="103"/>
      <c r="F5618" s="103"/>
      <c r="G5618" s="103"/>
      <c r="H5618" s="103"/>
      <c r="I5618" s="103"/>
      <c r="J5618" s="103"/>
      <c r="K5618" s="103"/>
      <c r="L5618" s="103"/>
      <c r="M5618" s="104"/>
      <c r="N5618" s="103"/>
    </row>
    <row r="5619" spans="1:14" ht="45" customHeight="1" thickBot="1" x14ac:dyDescent="0.4">
      <c r="A5619" s="103"/>
      <c r="B5619" s="103"/>
      <c r="C5619" s="103"/>
      <c r="D5619" s="103"/>
      <c r="E5619" s="103"/>
      <c r="F5619" s="103"/>
      <c r="G5619" s="103"/>
      <c r="H5619" s="103"/>
      <c r="I5619" s="103"/>
      <c r="J5619" s="103"/>
      <c r="K5619" s="103"/>
      <c r="L5619" s="103"/>
      <c r="M5619" s="104"/>
      <c r="N5619" s="103"/>
    </row>
    <row r="5620" spans="1:14" ht="45" customHeight="1" thickBot="1" x14ac:dyDescent="0.4">
      <c r="A5620" s="103"/>
      <c r="B5620" s="103"/>
      <c r="C5620" s="103"/>
      <c r="D5620" s="103"/>
      <c r="E5620" s="103"/>
      <c r="F5620" s="103"/>
      <c r="G5620" s="103"/>
      <c r="H5620" s="103"/>
      <c r="I5620" s="103"/>
      <c r="J5620" s="103"/>
      <c r="K5620" s="103"/>
      <c r="L5620" s="103"/>
      <c r="M5620" s="104"/>
      <c r="N5620" s="103"/>
    </row>
    <row r="5621" spans="1:14" ht="45" customHeight="1" thickBot="1" x14ac:dyDescent="0.4">
      <c r="A5621" s="103"/>
      <c r="B5621" s="103"/>
      <c r="C5621" s="103"/>
      <c r="D5621" s="103"/>
      <c r="E5621" s="103"/>
      <c r="F5621" s="103"/>
      <c r="G5621" s="103"/>
      <c r="H5621" s="103"/>
      <c r="I5621" s="103"/>
      <c r="J5621" s="103"/>
      <c r="K5621" s="103"/>
      <c r="L5621" s="103"/>
      <c r="M5621" s="104"/>
      <c r="N5621" s="103"/>
    </row>
    <row r="5622" spans="1:14" ht="45" customHeight="1" thickBot="1" x14ac:dyDescent="0.4">
      <c r="A5622" s="103"/>
      <c r="B5622" s="103"/>
      <c r="C5622" s="103"/>
      <c r="D5622" s="103"/>
      <c r="E5622" s="103"/>
      <c r="F5622" s="103"/>
      <c r="G5622" s="103"/>
      <c r="H5622" s="103"/>
      <c r="I5622" s="103"/>
      <c r="J5622" s="103"/>
      <c r="K5622" s="103"/>
      <c r="L5622" s="103"/>
      <c r="M5622" s="104"/>
      <c r="N5622" s="103"/>
    </row>
    <row r="5623" spans="1:14" ht="45" customHeight="1" thickBot="1" x14ac:dyDescent="0.4">
      <c r="A5623" s="103"/>
      <c r="B5623" s="103"/>
      <c r="C5623" s="103"/>
      <c r="D5623" s="103"/>
      <c r="E5623" s="103"/>
      <c r="F5623" s="103"/>
      <c r="G5623" s="103"/>
      <c r="H5623" s="103"/>
      <c r="I5623" s="103"/>
      <c r="J5623" s="103"/>
      <c r="K5623" s="103"/>
      <c r="L5623" s="103"/>
      <c r="M5623" s="104"/>
      <c r="N5623" s="103"/>
    </row>
    <row r="5624" spans="1:14" ht="45" customHeight="1" thickBot="1" x14ac:dyDescent="0.4">
      <c r="A5624" s="103"/>
      <c r="B5624" s="103"/>
      <c r="C5624" s="103"/>
      <c r="D5624" s="103"/>
      <c r="E5624" s="103"/>
      <c r="F5624" s="103"/>
      <c r="G5624" s="103"/>
      <c r="H5624" s="103"/>
      <c r="I5624" s="103"/>
      <c r="J5624" s="103"/>
      <c r="K5624" s="103"/>
      <c r="L5624" s="103"/>
      <c r="M5624" s="104"/>
      <c r="N5624" s="103"/>
    </row>
    <row r="5625" spans="1:14" ht="45" customHeight="1" thickBot="1" x14ac:dyDescent="0.4">
      <c r="A5625" s="103"/>
      <c r="B5625" s="103"/>
      <c r="C5625" s="103"/>
      <c r="D5625" s="103"/>
      <c r="E5625" s="103"/>
      <c r="F5625" s="103"/>
      <c r="G5625" s="103"/>
      <c r="H5625" s="103"/>
      <c r="I5625" s="103"/>
      <c r="J5625" s="103"/>
      <c r="K5625" s="103"/>
      <c r="L5625" s="103"/>
      <c r="M5625" s="104"/>
      <c r="N5625" s="103"/>
    </row>
    <row r="5626" spans="1:14" ht="45" customHeight="1" thickBot="1" x14ac:dyDescent="0.4">
      <c r="A5626" s="103"/>
      <c r="B5626" s="103"/>
      <c r="C5626" s="103"/>
      <c r="D5626" s="103"/>
      <c r="E5626" s="103"/>
      <c r="F5626" s="103"/>
      <c r="G5626" s="103"/>
      <c r="H5626" s="103"/>
      <c r="I5626" s="103"/>
      <c r="J5626" s="103"/>
      <c r="K5626" s="103"/>
      <c r="L5626" s="103"/>
      <c r="M5626" s="104"/>
      <c r="N5626" s="103"/>
    </row>
    <row r="5627" spans="1:14" ht="45" customHeight="1" thickBot="1" x14ac:dyDescent="0.4">
      <c r="A5627" s="103"/>
      <c r="B5627" s="103"/>
      <c r="C5627" s="103"/>
      <c r="D5627" s="103"/>
      <c r="E5627" s="103"/>
      <c r="F5627" s="103"/>
      <c r="G5627" s="103"/>
      <c r="H5627" s="103"/>
      <c r="I5627" s="103"/>
      <c r="J5627" s="103"/>
      <c r="K5627" s="103"/>
      <c r="L5627" s="103"/>
      <c r="M5627" s="104"/>
      <c r="N5627" s="103"/>
    </row>
    <row r="5628" spans="1:14" ht="45" customHeight="1" thickBot="1" x14ac:dyDescent="0.4">
      <c r="A5628" s="103"/>
      <c r="B5628" s="103"/>
      <c r="C5628" s="103"/>
      <c r="D5628" s="103"/>
      <c r="E5628" s="103"/>
      <c r="F5628" s="103"/>
      <c r="G5628" s="103"/>
      <c r="H5628" s="103"/>
      <c r="I5628" s="103"/>
      <c r="J5628" s="103"/>
      <c r="K5628" s="103"/>
      <c r="L5628" s="103"/>
      <c r="M5628" s="104"/>
      <c r="N5628" s="103"/>
    </row>
    <row r="5629" spans="1:14" ht="45" customHeight="1" thickBot="1" x14ac:dyDescent="0.4">
      <c r="A5629" s="103"/>
      <c r="B5629" s="103"/>
      <c r="C5629" s="103"/>
      <c r="D5629" s="103"/>
      <c r="E5629" s="103"/>
      <c r="F5629" s="103"/>
      <c r="G5629" s="103"/>
      <c r="H5629" s="103"/>
      <c r="I5629" s="103"/>
      <c r="J5629" s="103"/>
      <c r="K5629" s="103"/>
      <c r="L5629" s="103"/>
      <c r="M5629" s="104"/>
      <c r="N5629" s="103"/>
    </row>
    <row r="5630" spans="1:14" ht="45" customHeight="1" thickBot="1" x14ac:dyDescent="0.4">
      <c r="A5630" s="103"/>
      <c r="B5630" s="103"/>
      <c r="C5630" s="103"/>
      <c r="D5630" s="103"/>
      <c r="E5630" s="103"/>
      <c r="F5630" s="103"/>
      <c r="G5630" s="103"/>
      <c r="H5630" s="103"/>
      <c r="I5630" s="103"/>
      <c r="J5630" s="103"/>
      <c r="K5630" s="103"/>
      <c r="L5630" s="103"/>
      <c r="M5630" s="104"/>
      <c r="N5630" s="103"/>
    </row>
    <row r="5631" spans="1:14" ht="45" customHeight="1" thickBot="1" x14ac:dyDescent="0.4">
      <c r="A5631" s="103"/>
      <c r="B5631" s="103"/>
      <c r="C5631" s="103"/>
      <c r="D5631" s="103"/>
      <c r="E5631" s="103"/>
      <c r="F5631" s="103"/>
      <c r="G5631" s="103"/>
      <c r="H5631" s="103"/>
      <c r="I5631" s="103"/>
      <c r="J5631" s="103"/>
      <c r="K5631" s="103"/>
      <c r="L5631" s="103"/>
      <c r="M5631" s="104"/>
      <c r="N5631" s="103"/>
    </row>
    <row r="5632" spans="1:14" ht="45" customHeight="1" thickBot="1" x14ac:dyDescent="0.4">
      <c r="A5632" s="103"/>
      <c r="B5632" s="103"/>
      <c r="C5632" s="103"/>
      <c r="D5632" s="103"/>
      <c r="E5632" s="103"/>
      <c r="F5632" s="103"/>
      <c r="G5632" s="103"/>
      <c r="H5632" s="103"/>
      <c r="I5632" s="103"/>
      <c r="J5632" s="103"/>
      <c r="K5632" s="103"/>
      <c r="L5632" s="103"/>
      <c r="M5632" s="104"/>
      <c r="N5632" s="103"/>
    </row>
    <row r="5633" spans="1:14" ht="45" customHeight="1" thickBot="1" x14ac:dyDescent="0.4">
      <c r="A5633" s="103"/>
      <c r="B5633" s="103"/>
      <c r="C5633" s="103"/>
      <c r="D5633" s="103"/>
      <c r="E5633" s="103"/>
      <c r="F5633" s="103"/>
      <c r="G5633" s="103"/>
      <c r="H5633" s="103"/>
      <c r="I5633" s="103"/>
      <c r="J5633" s="103"/>
      <c r="K5633" s="103"/>
      <c r="L5633" s="103"/>
      <c r="M5633" s="104"/>
      <c r="N5633" s="103"/>
    </row>
    <row r="5634" spans="1:14" ht="45" customHeight="1" thickBot="1" x14ac:dyDescent="0.4">
      <c r="A5634" s="103"/>
      <c r="B5634" s="103"/>
      <c r="C5634" s="103"/>
      <c r="D5634" s="103"/>
      <c r="E5634" s="103"/>
      <c r="F5634" s="103"/>
      <c r="G5634" s="103"/>
      <c r="H5634" s="103"/>
      <c r="I5634" s="103"/>
      <c r="J5634" s="103"/>
      <c r="K5634" s="103"/>
      <c r="L5634" s="103"/>
      <c r="M5634" s="104"/>
      <c r="N5634" s="103"/>
    </row>
    <row r="5635" spans="1:14" ht="45" customHeight="1" thickBot="1" x14ac:dyDescent="0.4">
      <c r="A5635" s="103"/>
      <c r="B5635" s="103"/>
      <c r="C5635" s="103"/>
      <c r="D5635" s="103"/>
      <c r="E5635" s="103"/>
      <c r="F5635" s="103"/>
      <c r="G5635" s="103"/>
      <c r="H5635" s="103"/>
      <c r="I5635" s="103"/>
      <c r="J5635" s="103"/>
      <c r="K5635" s="103"/>
      <c r="L5635" s="103"/>
      <c r="M5635" s="104"/>
      <c r="N5635" s="103"/>
    </row>
    <row r="5636" spans="1:14" ht="45" customHeight="1" thickBot="1" x14ac:dyDescent="0.4">
      <c r="A5636" s="103"/>
      <c r="B5636" s="103"/>
      <c r="C5636" s="103"/>
      <c r="D5636" s="103"/>
      <c r="E5636" s="103"/>
      <c r="F5636" s="103"/>
      <c r="G5636" s="103"/>
      <c r="H5636" s="103"/>
      <c r="I5636" s="103"/>
      <c r="J5636" s="103"/>
      <c r="K5636" s="103"/>
      <c r="L5636" s="103"/>
      <c r="M5636" s="104"/>
      <c r="N5636" s="103"/>
    </row>
    <row r="5637" spans="1:14" ht="45" customHeight="1" thickBot="1" x14ac:dyDescent="0.4">
      <c r="A5637" s="103"/>
      <c r="B5637" s="103"/>
      <c r="C5637" s="103"/>
      <c r="D5637" s="103"/>
      <c r="E5637" s="103"/>
      <c r="F5637" s="103"/>
      <c r="G5637" s="103"/>
      <c r="H5637" s="103"/>
      <c r="I5637" s="103"/>
      <c r="J5637" s="103"/>
      <c r="K5637" s="103"/>
      <c r="L5637" s="103"/>
      <c r="M5637" s="104"/>
      <c r="N5637" s="103"/>
    </row>
    <row r="5638" spans="1:14" ht="45" customHeight="1" thickBot="1" x14ac:dyDescent="0.4">
      <c r="A5638" s="103"/>
      <c r="B5638" s="103"/>
      <c r="C5638" s="103"/>
      <c r="D5638" s="103"/>
      <c r="E5638" s="103"/>
      <c r="F5638" s="103"/>
      <c r="G5638" s="103"/>
      <c r="H5638" s="103"/>
      <c r="I5638" s="103"/>
      <c r="J5638" s="103"/>
      <c r="K5638" s="103"/>
      <c r="L5638" s="103"/>
      <c r="M5638" s="104"/>
      <c r="N5638" s="103"/>
    </row>
    <row r="5639" spans="1:14" ht="45" customHeight="1" thickBot="1" x14ac:dyDescent="0.4">
      <c r="A5639" s="103"/>
      <c r="B5639" s="103"/>
      <c r="C5639" s="103"/>
      <c r="D5639" s="103"/>
      <c r="E5639" s="103"/>
      <c r="F5639" s="103"/>
      <c r="G5639" s="103"/>
      <c r="H5639" s="103"/>
      <c r="I5639" s="103"/>
      <c r="J5639" s="103"/>
      <c r="K5639" s="103"/>
      <c r="L5639" s="103"/>
      <c r="M5639" s="104"/>
      <c r="N5639" s="103"/>
    </row>
    <row r="5640" spans="1:14" ht="45" customHeight="1" thickBot="1" x14ac:dyDescent="0.4">
      <c r="A5640" s="103"/>
      <c r="B5640" s="103"/>
      <c r="C5640" s="103"/>
      <c r="D5640" s="103"/>
      <c r="E5640" s="103"/>
      <c r="F5640" s="103"/>
      <c r="G5640" s="103"/>
      <c r="H5640" s="103"/>
      <c r="I5640" s="103"/>
      <c r="J5640" s="103"/>
      <c r="K5640" s="103"/>
      <c r="L5640" s="103"/>
      <c r="M5640" s="104"/>
      <c r="N5640" s="103"/>
    </row>
    <row r="5641" spans="1:14" ht="45" customHeight="1" thickBot="1" x14ac:dyDescent="0.4">
      <c r="A5641" s="103"/>
      <c r="B5641" s="103"/>
      <c r="C5641" s="103"/>
      <c r="D5641" s="103"/>
      <c r="E5641" s="103"/>
      <c r="F5641" s="103"/>
      <c r="G5641" s="103"/>
      <c r="H5641" s="103"/>
      <c r="I5641" s="103"/>
      <c r="J5641" s="103"/>
      <c r="K5641" s="103"/>
      <c r="L5641" s="103"/>
      <c r="M5641" s="104"/>
      <c r="N5641" s="103"/>
    </row>
    <row r="5642" spans="1:14" ht="45" customHeight="1" thickBot="1" x14ac:dyDescent="0.4">
      <c r="A5642" s="103"/>
      <c r="B5642" s="103"/>
      <c r="C5642" s="103"/>
      <c r="D5642" s="103"/>
      <c r="E5642" s="103"/>
      <c r="F5642" s="103"/>
      <c r="G5642" s="103"/>
      <c r="H5642" s="103"/>
      <c r="I5642" s="103"/>
      <c r="J5642" s="103"/>
      <c r="K5642" s="103"/>
      <c r="L5642" s="103"/>
      <c r="M5642" s="104"/>
      <c r="N5642" s="103"/>
    </row>
    <row r="5643" spans="1:14" ht="45" customHeight="1" thickBot="1" x14ac:dyDescent="0.4">
      <c r="A5643" s="103"/>
      <c r="B5643" s="103"/>
      <c r="C5643" s="103"/>
      <c r="D5643" s="103"/>
      <c r="E5643" s="103"/>
      <c r="F5643" s="103"/>
      <c r="G5643" s="103"/>
      <c r="H5643" s="103"/>
      <c r="I5643" s="103"/>
      <c r="J5643" s="103"/>
      <c r="K5643" s="103"/>
      <c r="L5643" s="103"/>
      <c r="M5643" s="104"/>
      <c r="N5643" s="103"/>
    </row>
    <row r="5644" spans="1:14" ht="45" customHeight="1" thickBot="1" x14ac:dyDescent="0.4">
      <c r="A5644" s="103"/>
      <c r="B5644" s="103"/>
      <c r="C5644" s="103"/>
      <c r="D5644" s="103"/>
      <c r="E5644" s="103"/>
      <c r="F5644" s="103"/>
      <c r="G5644" s="103"/>
      <c r="H5644" s="103"/>
      <c r="I5644" s="103"/>
      <c r="J5644" s="103"/>
      <c r="K5644" s="103"/>
      <c r="L5644" s="103"/>
      <c r="M5644" s="104"/>
      <c r="N5644" s="103"/>
    </row>
    <row r="5645" spans="1:14" ht="45" customHeight="1" thickBot="1" x14ac:dyDescent="0.4">
      <c r="A5645" s="103"/>
      <c r="B5645" s="103"/>
      <c r="C5645" s="103"/>
      <c r="D5645" s="103"/>
      <c r="E5645" s="103"/>
      <c r="F5645" s="103"/>
      <c r="G5645" s="103"/>
      <c r="H5645" s="103"/>
      <c r="I5645" s="103"/>
      <c r="J5645" s="103"/>
      <c r="K5645" s="103"/>
      <c r="L5645" s="103"/>
      <c r="M5645" s="104"/>
      <c r="N5645" s="103"/>
    </row>
    <row r="5646" spans="1:14" ht="45" customHeight="1" thickBot="1" x14ac:dyDescent="0.4">
      <c r="A5646" s="103"/>
      <c r="B5646" s="103"/>
      <c r="C5646" s="103"/>
      <c r="D5646" s="103"/>
      <c r="E5646" s="103"/>
      <c r="F5646" s="103"/>
      <c r="G5646" s="103"/>
      <c r="H5646" s="103"/>
      <c r="I5646" s="103"/>
      <c r="J5646" s="103"/>
      <c r="K5646" s="103"/>
      <c r="L5646" s="103"/>
      <c r="M5646" s="104"/>
      <c r="N5646" s="103"/>
    </row>
    <row r="5647" spans="1:14" ht="45" customHeight="1" thickBot="1" x14ac:dyDescent="0.4">
      <c r="A5647" s="103"/>
      <c r="B5647" s="103"/>
      <c r="C5647" s="103"/>
      <c r="D5647" s="103"/>
      <c r="E5647" s="103"/>
      <c r="F5647" s="103"/>
      <c r="G5647" s="103"/>
      <c r="H5647" s="103"/>
      <c r="I5647" s="103"/>
      <c r="J5647" s="103"/>
      <c r="K5647" s="103"/>
      <c r="L5647" s="103"/>
      <c r="M5647" s="104"/>
      <c r="N5647" s="103"/>
    </row>
    <row r="5648" spans="1:14" ht="45" customHeight="1" thickBot="1" x14ac:dyDescent="0.4">
      <c r="A5648" s="103"/>
      <c r="B5648" s="103"/>
      <c r="C5648" s="103"/>
      <c r="D5648" s="103"/>
      <c r="E5648" s="103"/>
      <c r="F5648" s="103"/>
      <c r="G5648" s="103"/>
      <c r="H5648" s="103"/>
      <c r="I5648" s="103"/>
      <c r="J5648" s="103"/>
      <c r="K5648" s="103"/>
      <c r="L5648" s="103"/>
      <c r="M5648" s="104"/>
      <c r="N5648" s="103"/>
    </row>
    <row r="5649" spans="1:14" ht="45" customHeight="1" thickBot="1" x14ac:dyDescent="0.4">
      <c r="A5649" s="103"/>
      <c r="B5649" s="103"/>
      <c r="C5649" s="103"/>
      <c r="D5649" s="103"/>
      <c r="E5649" s="103"/>
      <c r="F5649" s="103"/>
      <c r="G5649" s="103"/>
      <c r="H5649" s="103"/>
      <c r="I5649" s="103"/>
      <c r="J5649" s="103"/>
      <c r="K5649" s="103"/>
      <c r="L5649" s="103"/>
      <c r="M5649" s="104"/>
      <c r="N5649" s="103"/>
    </row>
    <row r="5650" spans="1:14" ht="45" customHeight="1" thickBot="1" x14ac:dyDescent="0.4">
      <c r="A5650" s="103"/>
      <c r="B5650" s="103"/>
      <c r="C5650" s="103"/>
      <c r="D5650" s="103"/>
      <c r="E5650" s="103"/>
      <c r="F5650" s="103"/>
      <c r="G5650" s="103"/>
      <c r="H5650" s="103"/>
      <c r="I5650" s="103"/>
      <c r="J5650" s="103"/>
      <c r="K5650" s="103"/>
      <c r="L5650" s="103"/>
      <c r="M5650" s="104"/>
      <c r="N5650" s="103"/>
    </row>
    <row r="5651" spans="1:14" ht="45" customHeight="1" thickBot="1" x14ac:dyDescent="0.4">
      <c r="A5651" s="103"/>
      <c r="B5651" s="103"/>
      <c r="C5651" s="103"/>
      <c r="D5651" s="103"/>
      <c r="E5651" s="103"/>
      <c r="F5651" s="103"/>
      <c r="G5651" s="103"/>
      <c r="H5651" s="103"/>
      <c r="I5651" s="103"/>
      <c r="J5651" s="103"/>
      <c r="K5651" s="103"/>
      <c r="L5651" s="103"/>
      <c r="M5651" s="104"/>
      <c r="N5651" s="103"/>
    </row>
    <row r="5652" spans="1:14" ht="45" customHeight="1" thickBot="1" x14ac:dyDescent="0.4">
      <c r="A5652" s="103"/>
      <c r="B5652" s="103"/>
      <c r="C5652" s="103"/>
      <c r="D5652" s="103"/>
      <c r="E5652" s="103"/>
      <c r="F5652" s="103"/>
      <c r="G5652" s="103"/>
      <c r="H5652" s="103"/>
      <c r="I5652" s="103"/>
      <c r="J5652" s="103"/>
      <c r="K5652" s="103"/>
      <c r="L5652" s="103"/>
      <c r="M5652" s="104"/>
      <c r="N5652" s="103"/>
    </row>
    <row r="5653" spans="1:14" ht="45" customHeight="1" thickBot="1" x14ac:dyDescent="0.4">
      <c r="A5653" s="103"/>
      <c r="B5653" s="103"/>
      <c r="C5653" s="103"/>
      <c r="D5653" s="103"/>
      <c r="E5653" s="103"/>
      <c r="F5653" s="103"/>
      <c r="G5653" s="103"/>
      <c r="H5653" s="103"/>
      <c r="I5653" s="103"/>
      <c r="J5653" s="103"/>
      <c r="K5653" s="103"/>
      <c r="L5653" s="103"/>
      <c r="M5653" s="104"/>
      <c r="N5653" s="103"/>
    </row>
    <row r="5654" spans="1:14" ht="45" customHeight="1" thickBot="1" x14ac:dyDescent="0.4">
      <c r="A5654" s="103"/>
      <c r="B5654" s="103"/>
      <c r="C5654" s="103"/>
      <c r="D5654" s="103"/>
      <c r="E5654" s="103"/>
      <c r="F5654" s="103"/>
      <c r="G5654" s="103"/>
      <c r="H5654" s="103"/>
      <c r="I5654" s="103"/>
      <c r="J5654" s="103"/>
      <c r="K5654" s="103"/>
      <c r="L5654" s="103"/>
      <c r="M5654" s="104"/>
      <c r="N5654" s="103"/>
    </row>
    <row r="5655" spans="1:14" ht="45" customHeight="1" thickBot="1" x14ac:dyDescent="0.4">
      <c r="A5655" s="103"/>
      <c r="B5655" s="103"/>
      <c r="C5655" s="103"/>
      <c r="D5655" s="103"/>
      <c r="E5655" s="103"/>
      <c r="F5655" s="103"/>
      <c r="G5655" s="103"/>
      <c r="H5655" s="103"/>
      <c r="I5655" s="103"/>
      <c r="J5655" s="103"/>
      <c r="K5655" s="103"/>
      <c r="L5655" s="103"/>
      <c r="M5655" s="104"/>
      <c r="N5655" s="103"/>
    </row>
    <row r="5656" spans="1:14" ht="45" customHeight="1" thickBot="1" x14ac:dyDescent="0.4">
      <c r="A5656" s="103"/>
      <c r="B5656" s="103"/>
      <c r="C5656" s="103"/>
      <c r="D5656" s="103"/>
      <c r="E5656" s="103"/>
      <c r="F5656" s="103"/>
      <c r="G5656" s="103"/>
      <c r="H5656" s="103"/>
      <c r="I5656" s="103"/>
      <c r="J5656" s="103"/>
      <c r="K5656" s="103"/>
      <c r="L5656" s="103"/>
      <c r="M5656" s="104"/>
      <c r="N5656" s="103"/>
    </row>
    <row r="5657" spans="1:14" ht="45" customHeight="1" thickBot="1" x14ac:dyDescent="0.4">
      <c r="A5657" s="103"/>
      <c r="B5657" s="103"/>
      <c r="C5657" s="103"/>
      <c r="D5657" s="103"/>
      <c r="E5657" s="103"/>
      <c r="F5657" s="103"/>
      <c r="G5657" s="103"/>
      <c r="H5657" s="103"/>
      <c r="I5657" s="103"/>
      <c r="J5657" s="103"/>
      <c r="K5657" s="103"/>
      <c r="L5657" s="103"/>
      <c r="M5657" s="104"/>
      <c r="N5657" s="103"/>
    </row>
    <row r="5658" spans="1:14" ht="45" customHeight="1" thickBot="1" x14ac:dyDescent="0.4">
      <c r="A5658" s="103"/>
      <c r="B5658" s="103"/>
      <c r="C5658" s="103"/>
      <c r="D5658" s="103"/>
      <c r="E5658" s="103"/>
      <c r="F5658" s="103"/>
      <c r="G5658" s="103"/>
      <c r="H5658" s="103"/>
      <c r="I5658" s="103"/>
      <c r="J5658" s="103"/>
      <c r="K5658" s="103"/>
      <c r="L5658" s="103"/>
      <c r="M5658" s="104"/>
      <c r="N5658" s="103"/>
    </row>
    <row r="5659" spans="1:14" ht="45" customHeight="1" thickBot="1" x14ac:dyDescent="0.4">
      <c r="A5659" s="103"/>
      <c r="B5659" s="103"/>
      <c r="C5659" s="103"/>
      <c r="D5659" s="103"/>
      <c r="E5659" s="103"/>
      <c r="F5659" s="103"/>
      <c r="G5659" s="103"/>
      <c r="H5659" s="103"/>
      <c r="I5659" s="103"/>
      <c r="J5659" s="103"/>
      <c r="K5659" s="103"/>
      <c r="L5659" s="103"/>
      <c r="M5659" s="104"/>
      <c r="N5659" s="103"/>
    </row>
    <row r="5660" spans="1:14" ht="45" customHeight="1" thickBot="1" x14ac:dyDescent="0.4">
      <c r="A5660" s="103"/>
      <c r="B5660" s="103"/>
      <c r="C5660" s="103"/>
      <c r="D5660" s="103"/>
      <c r="E5660" s="103"/>
      <c r="F5660" s="103"/>
      <c r="G5660" s="103"/>
      <c r="H5660" s="103"/>
      <c r="I5660" s="103"/>
      <c r="J5660" s="103"/>
      <c r="K5660" s="103"/>
      <c r="L5660" s="103"/>
      <c r="M5660" s="104"/>
      <c r="N5660" s="103"/>
    </row>
    <row r="5661" spans="1:14" ht="45" customHeight="1" thickBot="1" x14ac:dyDescent="0.4">
      <c r="A5661" s="103"/>
      <c r="B5661" s="103"/>
      <c r="C5661" s="103"/>
      <c r="D5661" s="103"/>
      <c r="E5661" s="103"/>
      <c r="F5661" s="103"/>
      <c r="G5661" s="103"/>
      <c r="H5661" s="103"/>
      <c r="I5661" s="103"/>
      <c r="J5661" s="103"/>
      <c r="K5661" s="103"/>
      <c r="L5661" s="103"/>
      <c r="M5661" s="104"/>
      <c r="N5661" s="103"/>
    </row>
    <row r="5662" spans="1:14" ht="45" customHeight="1" thickBot="1" x14ac:dyDescent="0.4">
      <c r="A5662" s="103"/>
      <c r="B5662" s="103"/>
      <c r="C5662" s="103"/>
      <c r="D5662" s="103"/>
      <c r="E5662" s="103"/>
      <c r="F5662" s="103"/>
      <c r="G5662" s="103"/>
      <c r="H5662" s="103"/>
      <c r="I5662" s="103"/>
      <c r="J5662" s="103"/>
      <c r="K5662" s="103"/>
      <c r="L5662" s="103"/>
      <c r="M5662" s="104"/>
      <c r="N5662" s="103"/>
    </row>
    <row r="5663" spans="1:14" ht="45" customHeight="1" thickBot="1" x14ac:dyDescent="0.4">
      <c r="A5663" s="103"/>
      <c r="B5663" s="103"/>
      <c r="C5663" s="103"/>
      <c r="D5663" s="103"/>
      <c r="E5663" s="103"/>
      <c r="F5663" s="103"/>
      <c r="G5663" s="103"/>
      <c r="H5663" s="103"/>
      <c r="I5663" s="103"/>
      <c r="J5663" s="103"/>
      <c r="K5663" s="103"/>
      <c r="L5663" s="103"/>
      <c r="M5663" s="104"/>
      <c r="N5663" s="103"/>
    </row>
    <row r="5664" spans="1:14" ht="45" customHeight="1" thickBot="1" x14ac:dyDescent="0.4">
      <c r="A5664" s="103"/>
      <c r="B5664" s="103"/>
      <c r="C5664" s="103"/>
      <c r="D5664" s="103"/>
      <c r="E5664" s="103"/>
      <c r="F5664" s="103"/>
      <c r="G5664" s="103"/>
      <c r="H5664" s="103"/>
      <c r="I5664" s="103"/>
      <c r="J5664" s="103"/>
      <c r="K5664" s="103"/>
      <c r="L5664" s="103"/>
      <c r="M5664" s="104"/>
      <c r="N5664" s="103"/>
    </row>
    <row r="5665" spans="1:14" ht="45" customHeight="1" thickBot="1" x14ac:dyDescent="0.4">
      <c r="A5665" s="103"/>
      <c r="B5665" s="103"/>
      <c r="C5665" s="103"/>
      <c r="D5665" s="103"/>
      <c r="E5665" s="103"/>
      <c r="F5665" s="103"/>
      <c r="G5665" s="103"/>
      <c r="H5665" s="103"/>
      <c r="I5665" s="103"/>
      <c r="J5665" s="103"/>
      <c r="K5665" s="103"/>
      <c r="L5665" s="103"/>
      <c r="M5665" s="104"/>
      <c r="N5665" s="103"/>
    </row>
    <row r="5666" spans="1:14" ht="45" customHeight="1" thickBot="1" x14ac:dyDescent="0.4">
      <c r="A5666" s="103"/>
      <c r="B5666" s="103"/>
      <c r="C5666" s="103"/>
      <c r="D5666" s="103"/>
      <c r="E5666" s="103"/>
      <c r="F5666" s="103"/>
      <c r="G5666" s="103"/>
      <c r="H5666" s="103"/>
      <c r="I5666" s="103"/>
      <c r="J5666" s="103"/>
      <c r="K5666" s="103"/>
      <c r="L5666" s="103"/>
      <c r="M5666" s="104"/>
      <c r="N5666" s="103"/>
    </row>
    <row r="5667" spans="1:14" ht="45" customHeight="1" thickBot="1" x14ac:dyDescent="0.4">
      <c r="A5667" s="103"/>
      <c r="B5667" s="103"/>
      <c r="C5667" s="103"/>
      <c r="D5667" s="103"/>
      <c r="E5667" s="103"/>
      <c r="F5667" s="103"/>
      <c r="G5667" s="103"/>
      <c r="H5667" s="103"/>
      <c r="I5667" s="103"/>
      <c r="J5667" s="103"/>
      <c r="K5667" s="103"/>
      <c r="L5667" s="103"/>
      <c r="M5667" s="104"/>
      <c r="N5667" s="103"/>
    </row>
    <row r="5668" spans="1:14" ht="45" customHeight="1" thickBot="1" x14ac:dyDescent="0.4">
      <c r="A5668" s="103"/>
      <c r="B5668" s="103"/>
      <c r="C5668" s="103"/>
      <c r="D5668" s="103"/>
      <c r="E5668" s="103"/>
      <c r="F5668" s="103"/>
      <c r="G5668" s="103"/>
      <c r="H5668" s="103"/>
      <c r="I5668" s="103"/>
      <c r="J5668" s="103"/>
      <c r="K5668" s="103"/>
      <c r="L5668" s="103"/>
      <c r="M5668" s="104"/>
      <c r="N5668" s="103"/>
    </row>
    <row r="5669" spans="1:14" ht="45" customHeight="1" thickBot="1" x14ac:dyDescent="0.4">
      <c r="A5669" s="103"/>
      <c r="B5669" s="103"/>
      <c r="C5669" s="103"/>
      <c r="D5669" s="103"/>
      <c r="E5669" s="103"/>
      <c r="F5669" s="103"/>
      <c r="G5669" s="103"/>
      <c r="H5669" s="103"/>
      <c r="I5669" s="103"/>
      <c r="J5669" s="103"/>
      <c r="K5669" s="103"/>
      <c r="L5669" s="103"/>
      <c r="M5669" s="104"/>
      <c r="N5669" s="103"/>
    </row>
    <row r="5670" spans="1:14" ht="45" customHeight="1" thickBot="1" x14ac:dyDescent="0.4">
      <c r="A5670" s="103"/>
      <c r="B5670" s="103"/>
      <c r="C5670" s="103"/>
      <c r="D5670" s="103"/>
      <c r="E5670" s="103"/>
      <c r="F5670" s="103"/>
      <c r="G5670" s="103"/>
      <c r="H5670" s="103"/>
      <c r="I5670" s="103"/>
      <c r="J5670" s="103"/>
      <c r="K5670" s="103"/>
      <c r="L5670" s="103"/>
      <c r="M5670" s="104"/>
      <c r="N5670" s="103"/>
    </row>
    <row r="5671" spans="1:14" ht="45" customHeight="1" thickBot="1" x14ac:dyDescent="0.4">
      <c r="A5671" s="103"/>
      <c r="B5671" s="103"/>
      <c r="C5671" s="103"/>
      <c r="D5671" s="103"/>
      <c r="E5671" s="103"/>
      <c r="F5671" s="103"/>
      <c r="G5671" s="103"/>
      <c r="H5671" s="103"/>
      <c r="I5671" s="103"/>
      <c r="J5671" s="103"/>
      <c r="K5671" s="103"/>
      <c r="L5671" s="103"/>
      <c r="M5671" s="104"/>
      <c r="N5671" s="103"/>
    </row>
    <row r="5672" spans="1:14" ht="45" customHeight="1" thickBot="1" x14ac:dyDescent="0.4">
      <c r="A5672" s="103"/>
      <c r="B5672" s="103"/>
      <c r="C5672" s="103"/>
      <c r="D5672" s="103"/>
      <c r="E5672" s="103"/>
      <c r="F5672" s="103"/>
      <c r="G5672" s="103"/>
      <c r="H5672" s="103"/>
      <c r="I5672" s="103"/>
      <c r="J5672" s="103"/>
      <c r="K5672" s="103"/>
      <c r="L5672" s="103"/>
      <c r="M5672" s="104"/>
      <c r="N5672" s="103"/>
    </row>
    <row r="5673" spans="1:14" ht="45" customHeight="1" thickBot="1" x14ac:dyDescent="0.4">
      <c r="A5673" s="103"/>
      <c r="B5673" s="103"/>
      <c r="C5673" s="103"/>
      <c r="D5673" s="103"/>
      <c r="E5673" s="103"/>
      <c r="F5673" s="103"/>
      <c r="G5673" s="103"/>
      <c r="H5673" s="103"/>
      <c r="I5673" s="103"/>
      <c r="J5673" s="103"/>
      <c r="K5673" s="103"/>
      <c r="L5673" s="103"/>
      <c r="M5673" s="104"/>
      <c r="N5673" s="103"/>
    </row>
    <row r="5674" spans="1:14" ht="45" customHeight="1" thickBot="1" x14ac:dyDescent="0.4">
      <c r="A5674" s="103"/>
      <c r="B5674" s="103"/>
      <c r="C5674" s="103"/>
      <c r="D5674" s="103"/>
      <c r="E5674" s="103"/>
      <c r="F5674" s="103"/>
      <c r="G5674" s="103"/>
      <c r="H5674" s="103"/>
      <c r="I5674" s="103"/>
      <c r="J5674" s="103"/>
      <c r="K5674" s="103"/>
      <c r="L5674" s="103"/>
      <c r="M5674" s="104"/>
      <c r="N5674" s="103"/>
    </row>
    <row r="5675" spans="1:14" ht="45" customHeight="1" thickBot="1" x14ac:dyDescent="0.4">
      <c r="A5675" s="103"/>
      <c r="B5675" s="103"/>
      <c r="C5675" s="103"/>
      <c r="D5675" s="103"/>
      <c r="E5675" s="103"/>
      <c r="F5675" s="103"/>
      <c r="G5675" s="103"/>
      <c r="H5675" s="103"/>
      <c r="I5675" s="103"/>
      <c r="J5675" s="103"/>
      <c r="K5675" s="103"/>
      <c r="L5675" s="103"/>
      <c r="M5675" s="104"/>
      <c r="N5675" s="103"/>
    </row>
    <row r="5676" spans="1:14" ht="45" customHeight="1" thickBot="1" x14ac:dyDescent="0.4">
      <c r="A5676" s="103"/>
      <c r="B5676" s="103"/>
      <c r="C5676" s="103"/>
      <c r="D5676" s="103"/>
      <c r="E5676" s="103"/>
      <c r="F5676" s="103"/>
      <c r="G5676" s="103"/>
      <c r="H5676" s="103"/>
      <c r="I5676" s="103"/>
      <c r="J5676" s="103"/>
      <c r="K5676" s="103"/>
      <c r="L5676" s="103"/>
      <c r="M5676" s="104"/>
      <c r="N5676" s="103"/>
    </row>
    <row r="5677" spans="1:14" ht="45" customHeight="1" thickBot="1" x14ac:dyDescent="0.4">
      <c r="A5677" s="103"/>
      <c r="B5677" s="103"/>
      <c r="C5677" s="103"/>
      <c r="D5677" s="103"/>
      <c r="E5677" s="103"/>
      <c r="F5677" s="103"/>
      <c r="G5677" s="103"/>
      <c r="H5677" s="103"/>
      <c r="I5677" s="103"/>
      <c r="J5677" s="103"/>
      <c r="K5677" s="103"/>
      <c r="L5677" s="103"/>
      <c r="M5677" s="104"/>
      <c r="N5677" s="103"/>
    </row>
    <row r="5678" spans="1:14" ht="45" customHeight="1" thickBot="1" x14ac:dyDescent="0.4">
      <c r="A5678" s="103"/>
      <c r="B5678" s="103"/>
      <c r="C5678" s="103"/>
      <c r="D5678" s="103"/>
      <c r="E5678" s="103"/>
      <c r="F5678" s="103"/>
      <c r="G5678" s="103"/>
      <c r="H5678" s="103"/>
      <c r="I5678" s="103"/>
      <c r="J5678" s="103"/>
      <c r="K5678" s="103"/>
      <c r="L5678" s="103"/>
      <c r="M5678" s="104"/>
      <c r="N5678" s="103"/>
    </row>
    <row r="5679" spans="1:14" ht="45" customHeight="1" thickBot="1" x14ac:dyDescent="0.4">
      <c r="A5679" s="103"/>
      <c r="B5679" s="103"/>
      <c r="C5679" s="103"/>
      <c r="D5679" s="103"/>
      <c r="E5679" s="103"/>
      <c r="F5679" s="103"/>
      <c r="G5679" s="103"/>
      <c r="H5679" s="103"/>
      <c r="I5679" s="103"/>
      <c r="J5679" s="103"/>
      <c r="K5679" s="103"/>
      <c r="L5679" s="103"/>
      <c r="M5679" s="104"/>
      <c r="N5679" s="103"/>
    </row>
    <row r="5680" spans="1:14" ht="45" customHeight="1" thickBot="1" x14ac:dyDescent="0.4">
      <c r="A5680" s="103"/>
      <c r="B5680" s="103"/>
      <c r="C5680" s="103"/>
      <c r="D5680" s="103"/>
      <c r="E5680" s="103"/>
      <c r="F5680" s="103"/>
      <c r="G5680" s="103"/>
      <c r="H5680" s="103"/>
      <c r="I5680" s="103"/>
      <c r="J5680" s="103"/>
      <c r="K5680" s="103"/>
      <c r="L5680" s="103"/>
      <c r="M5680" s="104"/>
      <c r="N5680" s="103"/>
    </row>
    <row r="5681" spans="1:14" ht="45" customHeight="1" thickBot="1" x14ac:dyDescent="0.4">
      <c r="A5681" s="103"/>
      <c r="B5681" s="103"/>
      <c r="C5681" s="103"/>
      <c r="D5681" s="103"/>
      <c r="E5681" s="103"/>
      <c r="F5681" s="103"/>
      <c r="G5681" s="103"/>
      <c r="H5681" s="103"/>
      <c r="I5681" s="103"/>
      <c r="J5681" s="103"/>
      <c r="K5681" s="103"/>
      <c r="L5681" s="103"/>
      <c r="M5681" s="104"/>
      <c r="N5681" s="103"/>
    </row>
    <row r="5682" spans="1:14" ht="45" customHeight="1" thickBot="1" x14ac:dyDescent="0.4">
      <c r="A5682" s="103"/>
      <c r="B5682" s="103"/>
      <c r="C5682" s="103"/>
      <c r="D5682" s="103"/>
      <c r="E5682" s="103"/>
      <c r="F5682" s="103"/>
      <c r="G5682" s="103"/>
      <c r="H5682" s="103"/>
      <c r="I5682" s="103"/>
      <c r="J5682" s="103"/>
      <c r="K5682" s="103"/>
      <c r="L5682" s="103"/>
      <c r="M5682" s="104"/>
      <c r="N5682" s="103"/>
    </row>
    <row r="5683" spans="1:14" ht="45" customHeight="1" thickBot="1" x14ac:dyDescent="0.4">
      <c r="A5683" s="103"/>
      <c r="B5683" s="103"/>
      <c r="C5683" s="103"/>
      <c r="D5683" s="103"/>
      <c r="E5683" s="103"/>
      <c r="F5683" s="103"/>
      <c r="G5683" s="103"/>
      <c r="H5683" s="103"/>
      <c r="I5683" s="103"/>
      <c r="J5683" s="103"/>
      <c r="K5683" s="103"/>
      <c r="L5683" s="103"/>
      <c r="M5683" s="104"/>
      <c r="N5683" s="103"/>
    </row>
    <row r="5684" spans="1:14" ht="45" customHeight="1" thickBot="1" x14ac:dyDescent="0.4">
      <c r="A5684" s="103"/>
      <c r="B5684" s="103"/>
      <c r="C5684" s="103"/>
      <c r="D5684" s="103"/>
      <c r="E5684" s="103"/>
      <c r="F5684" s="103"/>
      <c r="G5684" s="103"/>
      <c r="H5684" s="103"/>
      <c r="I5684" s="103"/>
      <c r="J5684" s="103"/>
      <c r="K5684" s="103"/>
      <c r="L5684" s="103"/>
      <c r="M5684" s="104"/>
      <c r="N5684" s="103"/>
    </row>
    <row r="5685" spans="1:14" ht="45" customHeight="1" thickBot="1" x14ac:dyDescent="0.4">
      <c r="A5685" s="103"/>
      <c r="B5685" s="103"/>
      <c r="C5685" s="103"/>
      <c r="D5685" s="103"/>
      <c r="E5685" s="103"/>
      <c r="F5685" s="103"/>
      <c r="G5685" s="103"/>
      <c r="H5685" s="103"/>
      <c r="I5685" s="103"/>
      <c r="J5685" s="103"/>
      <c r="K5685" s="103"/>
      <c r="L5685" s="103"/>
      <c r="M5685" s="104"/>
      <c r="N5685" s="103"/>
    </row>
    <row r="5686" spans="1:14" ht="45" customHeight="1" thickBot="1" x14ac:dyDescent="0.4">
      <c r="A5686" s="103"/>
      <c r="B5686" s="103"/>
      <c r="C5686" s="103"/>
      <c r="D5686" s="103"/>
      <c r="E5686" s="103"/>
      <c r="F5686" s="103"/>
      <c r="G5686" s="103"/>
      <c r="H5686" s="103"/>
      <c r="I5686" s="103"/>
      <c r="J5686" s="103"/>
      <c r="K5686" s="103"/>
      <c r="L5686" s="103"/>
      <c r="M5686" s="104"/>
      <c r="N5686" s="103"/>
    </row>
    <row r="5687" spans="1:14" ht="45" customHeight="1" thickBot="1" x14ac:dyDescent="0.4">
      <c r="A5687" s="103"/>
      <c r="B5687" s="103"/>
      <c r="C5687" s="103"/>
      <c r="D5687" s="103"/>
      <c r="E5687" s="103"/>
      <c r="F5687" s="103"/>
      <c r="G5687" s="103"/>
      <c r="H5687" s="103"/>
      <c r="I5687" s="103"/>
      <c r="J5687" s="103"/>
      <c r="K5687" s="103"/>
      <c r="L5687" s="103"/>
      <c r="M5687" s="104"/>
      <c r="N5687" s="103"/>
    </row>
    <row r="5688" spans="1:14" ht="45" customHeight="1" thickBot="1" x14ac:dyDescent="0.4">
      <c r="A5688" s="103"/>
      <c r="B5688" s="103"/>
      <c r="C5688" s="103"/>
      <c r="D5688" s="103"/>
      <c r="E5688" s="103"/>
      <c r="F5688" s="103"/>
      <c r="G5688" s="103"/>
      <c r="H5688" s="103"/>
      <c r="I5688" s="103"/>
      <c r="J5688" s="103"/>
      <c r="K5688" s="103"/>
      <c r="L5688" s="103"/>
      <c r="M5688" s="104"/>
      <c r="N5688" s="103"/>
    </row>
    <row r="5689" spans="1:14" ht="45" customHeight="1" thickBot="1" x14ac:dyDescent="0.4">
      <c r="A5689" s="103"/>
      <c r="B5689" s="103"/>
      <c r="C5689" s="103"/>
      <c r="D5689" s="103"/>
      <c r="E5689" s="103"/>
      <c r="F5689" s="103"/>
      <c r="G5689" s="103"/>
      <c r="H5689" s="103"/>
      <c r="I5689" s="103"/>
      <c r="J5689" s="103"/>
      <c r="K5689" s="103"/>
      <c r="L5689" s="103"/>
      <c r="M5689" s="104"/>
      <c r="N5689" s="103"/>
    </row>
    <row r="5690" spans="1:14" ht="45" customHeight="1" thickBot="1" x14ac:dyDescent="0.4">
      <c r="A5690" s="103"/>
      <c r="B5690" s="103"/>
      <c r="C5690" s="103"/>
      <c r="D5690" s="103"/>
      <c r="E5690" s="103"/>
      <c r="F5690" s="103"/>
      <c r="G5690" s="103"/>
      <c r="H5690" s="103"/>
      <c r="I5690" s="103"/>
      <c r="J5690" s="103"/>
      <c r="K5690" s="103"/>
      <c r="L5690" s="103"/>
      <c r="M5690" s="104"/>
      <c r="N5690" s="103"/>
    </row>
    <row r="5691" spans="1:14" ht="45" customHeight="1" thickBot="1" x14ac:dyDescent="0.4">
      <c r="A5691" s="103"/>
      <c r="B5691" s="103"/>
      <c r="C5691" s="103"/>
      <c r="D5691" s="103"/>
      <c r="E5691" s="103"/>
      <c r="F5691" s="103"/>
      <c r="G5691" s="103"/>
      <c r="H5691" s="103"/>
      <c r="I5691" s="103"/>
      <c r="J5691" s="103"/>
      <c r="K5691" s="103"/>
      <c r="L5691" s="103"/>
      <c r="M5691" s="104"/>
      <c r="N5691" s="103"/>
    </row>
    <row r="5692" spans="1:14" ht="45" customHeight="1" thickBot="1" x14ac:dyDescent="0.4">
      <c r="A5692" s="103"/>
      <c r="B5692" s="103"/>
      <c r="C5692" s="103"/>
      <c r="D5692" s="103"/>
      <c r="E5692" s="103"/>
      <c r="F5692" s="103"/>
      <c r="G5692" s="103"/>
      <c r="H5692" s="103"/>
      <c r="I5692" s="103"/>
      <c r="J5692" s="103"/>
      <c r="K5692" s="103"/>
      <c r="L5692" s="103"/>
      <c r="M5692" s="104"/>
      <c r="N5692" s="103"/>
    </row>
    <row r="5693" spans="1:14" ht="45" customHeight="1" thickBot="1" x14ac:dyDescent="0.4">
      <c r="A5693" s="103"/>
      <c r="B5693" s="103"/>
      <c r="C5693" s="103"/>
      <c r="D5693" s="103"/>
      <c r="E5693" s="103"/>
      <c r="F5693" s="103"/>
      <c r="G5693" s="103"/>
      <c r="H5693" s="103"/>
      <c r="I5693" s="103"/>
      <c r="J5693" s="103"/>
      <c r="K5693" s="103"/>
      <c r="L5693" s="103"/>
      <c r="M5693" s="104"/>
      <c r="N5693" s="103"/>
    </row>
    <row r="5694" spans="1:14" ht="45" customHeight="1" thickBot="1" x14ac:dyDescent="0.4">
      <c r="A5694" s="103"/>
      <c r="B5694" s="103"/>
      <c r="C5694" s="103"/>
      <c r="D5694" s="103"/>
      <c r="E5694" s="103"/>
      <c r="F5694" s="103"/>
      <c r="G5694" s="103"/>
      <c r="H5694" s="103"/>
      <c r="I5694" s="103"/>
      <c r="J5694" s="103"/>
      <c r="K5694" s="103"/>
      <c r="L5694" s="103"/>
      <c r="M5694" s="104"/>
      <c r="N5694" s="103"/>
    </row>
    <row r="5695" spans="1:14" ht="45" customHeight="1" thickBot="1" x14ac:dyDescent="0.4">
      <c r="A5695" s="103"/>
      <c r="B5695" s="103"/>
      <c r="C5695" s="103"/>
      <c r="D5695" s="103"/>
      <c r="E5695" s="103"/>
      <c r="F5695" s="103"/>
      <c r="G5695" s="103"/>
      <c r="H5695" s="103"/>
      <c r="I5695" s="103"/>
      <c r="J5695" s="103"/>
      <c r="K5695" s="103"/>
      <c r="L5695" s="103"/>
      <c r="M5695" s="104"/>
      <c r="N5695" s="103"/>
    </row>
    <row r="5696" spans="1:14" ht="45" customHeight="1" thickBot="1" x14ac:dyDescent="0.4">
      <c r="A5696" s="103"/>
      <c r="B5696" s="103"/>
      <c r="C5696" s="103"/>
      <c r="D5696" s="103"/>
      <c r="E5696" s="103"/>
      <c r="F5696" s="103"/>
      <c r="G5696" s="103"/>
      <c r="H5696" s="103"/>
      <c r="I5696" s="103"/>
      <c r="J5696" s="103"/>
      <c r="K5696" s="103"/>
      <c r="L5696" s="103"/>
      <c r="M5696" s="104"/>
      <c r="N5696" s="103"/>
    </row>
    <row r="5697" spans="1:14" ht="45" customHeight="1" thickBot="1" x14ac:dyDescent="0.4">
      <c r="A5697" s="103"/>
      <c r="B5697" s="103"/>
      <c r="C5697" s="103"/>
      <c r="D5697" s="103"/>
      <c r="E5697" s="103"/>
      <c r="F5697" s="103"/>
      <c r="G5697" s="103"/>
      <c r="H5697" s="103"/>
      <c r="I5697" s="103"/>
      <c r="J5697" s="103"/>
      <c r="K5697" s="103"/>
      <c r="L5697" s="103"/>
      <c r="M5697" s="104"/>
      <c r="N5697" s="103"/>
    </row>
    <row r="5698" spans="1:14" ht="45" customHeight="1" thickBot="1" x14ac:dyDescent="0.4">
      <c r="A5698" s="103"/>
      <c r="B5698" s="103"/>
      <c r="C5698" s="103"/>
      <c r="D5698" s="103"/>
      <c r="E5698" s="103"/>
      <c r="F5698" s="103"/>
      <c r="G5698" s="103"/>
      <c r="H5698" s="103"/>
      <c r="I5698" s="103"/>
      <c r="J5698" s="103"/>
      <c r="K5698" s="103"/>
      <c r="L5698" s="103"/>
      <c r="M5698" s="104"/>
      <c r="N5698" s="103"/>
    </row>
    <row r="5699" spans="1:14" ht="45" customHeight="1" thickBot="1" x14ac:dyDescent="0.4">
      <c r="A5699" s="103"/>
      <c r="B5699" s="103"/>
      <c r="C5699" s="103"/>
      <c r="D5699" s="103"/>
      <c r="E5699" s="103"/>
      <c r="F5699" s="103"/>
      <c r="G5699" s="103"/>
      <c r="H5699" s="103"/>
      <c r="I5699" s="103"/>
      <c r="J5699" s="103"/>
      <c r="K5699" s="103"/>
      <c r="L5699" s="103"/>
      <c r="M5699" s="104"/>
      <c r="N5699" s="103"/>
    </row>
    <row r="5700" spans="1:14" ht="45" customHeight="1" thickBot="1" x14ac:dyDescent="0.4">
      <c r="A5700" s="103"/>
      <c r="B5700" s="103"/>
      <c r="C5700" s="103"/>
      <c r="D5700" s="103"/>
      <c r="E5700" s="103"/>
      <c r="F5700" s="103"/>
      <c r="G5700" s="103"/>
      <c r="H5700" s="103"/>
      <c r="I5700" s="103"/>
      <c r="J5700" s="103"/>
      <c r="K5700" s="103"/>
      <c r="L5700" s="103"/>
      <c r="M5700" s="104"/>
      <c r="N5700" s="103"/>
    </row>
    <row r="5701" spans="1:14" ht="45" customHeight="1" thickBot="1" x14ac:dyDescent="0.4">
      <c r="A5701" s="103"/>
      <c r="B5701" s="103"/>
      <c r="C5701" s="103"/>
      <c r="D5701" s="103"/>
      <c r="E5701" s="103"/>
      <c r="F5701" s="103"/>
      <c r="G5701" s="103"/>
      <c r="H5701" s="103"/>
      <c r="I5701" s="103"/>
      <c r="J5701" s="103"/>
      <c r="K5701" s="103"/>
      <c r="L5701" s="103"/>
      <c r="M5701" s="104"/>
      <c r="N5701" s="103"/>
    </row>
    <row r="5702" spans="1:14" ht="45" customHeight="1" thickBot="1" x14ac:dyDescent="0.4">
      <c r="A5702" s="103"/>
      <c r="B5702" s="103"/>
      <c r="C5702" s="103"/>
      <c r="D5702" s="103"/>
      <c r="E5702" s="103"/>
      <c r="F5702" s="103"/>
      <c r="G5702" s="103"/>
      <c r="H5702" s="103"/>
      <c r="I5702" s="103"/>
      <c r="J5702" s="103"/>
      <c r="K5702" s="103"/>
      <c r="L5702" s="103"/>
      <c r="M5702" s="104"/>
      <c r="N5702" s="103"/>
    </row>
    <row r="5703" spans="1:14" ht="45" customHeight="1" thickBot="1" x14ac:dyDescent="0.4">
      <c r="A5703" s="103"/>
      <c r="B5703" s="103"/>
      <c r="C5703" s="103"/>
      <c r="D5703" s="103"/>
      <c r="E5703" s="103"/>
      <c r="F5703" s="103"/>
      <c r="G5703" s="103"/>
      <c r="H5703" s="103"/>
      <c r="I5703" s="103"/>
      <c r="J5703" s="103"/>
      <c r="K5703" s="103"/>
      <c r="L5703" s="103"/>
      <c r="M5703" s="104"/>
      <c r="N5703" s="103"/>
    </row>
    <row r="5704" spans="1:14" ht="45" customHeight="1" thickBot="1" x14ac:dyDescent="0.4">
      <c r="A5704" s="103"/>
      <c r="B5704" s="103"/>
      <c r="C5704" s="103"/>
      <c r="D5704" s="103"/>
      <c r="E5704" s="103"/>
      <c r="F5704" s="103"/>
      <c r="G5704" s="103"/>
      <c r="H5704" s="103"/>
      <c r="I5704" s="103"/>
      <c r="J5704" s="103"/>
      <c r="K5704" s="103"/>
      <c r="L5704" s="103"/>
      <c r="M5704" s="104"/>
      <c r="N5704" s="103"/>
    </row>
    <row r="5705" spans="1:14" ht="45" customHeight="1" thickBot="1" x14ac:dyDescent="0.4">
      <c r="A5705" s="103"/>
      <c r="B5705" s="103"/>
      <c r="C5705" s="103"/>
      <c r="D5705" s="103"/>
      <c r="E5705" s="103"/>
      <c r="F5705" s="103"/>
      <c r="G5705" s="103"/>
      <c r="H5705" s="103"/>
      <c r="I5705" s="103"/>
      <c r="J5705" s="103"/>
      <c r="K5705" s="103"/>
      <c r="L5705" s="103"/>
      <c r="M5705" s="104"/>
      <c r="N5705" s="103"/>
    </row>
    <row r="5706" spans="1:14" ht="45" customHeight="1" thickBot="1" x14ac:dyDescent="0.4">
      <c r="A5706" s="103"/>
      <c r="B5706" s="103"/>
      <c r="C5706" s="103"/>
      <c r="D5706" s="103"/>
      <c r="E5706" s="103"/>
      <c r="F5706" s="103"/>
      <c r="G5706" s="103"/>
      <c r="H5706" s="103"/>
      <c r="I5706" s="103"/>
      <c r="J5706" s="103"/>
      <c r="K5706" s="103"/>
      <c r="L5706" s="103"/>
      <c r="M5706" s="104"/>
      <c r="N5706" s="103"/>
    </row>
    <row r="5707" spans="1:14" ht="45" customHeight="1" thickBot="1" x14ac:dyDescent="0.4">
      <c r="A5707" s="103"/>
      <c r="B5707" s="103"/>
      <c r="C5707" s="103"/>
      <c r="D5707" s="103"/>
      <c r="E5707" s="103"/>
      <c r="F5707" s="103"/>
      <c r="G5707" s="103"/>
      <c r="H5707" s="103"/>
      <c r="I5707" s="103"/>
      <c r="J5707" s="103"/>
      <c r="K5707" s="103"/>
      <c r="L5707" s="103"/>
      <c r="M5707" s="104"/>
      <c r="N5707" s="103"/>
    </row>
    <row r="5708" spans="1:14" ht="45" customHeight="1" thickBot="1" x14ac:dyDescent="0.4">
      <c r="A5708" s="103"/>
      <c r="B5708" s="103"/>
      <c r="C5708" s="103"/>
      <c r="D5708" s="103"/>
      <c r="E5708" s="103"/>
      <c r="F5708" s="103"/>
      <c r="G5708" s="103"/>
      <c r="H5708" s="103"/>
      <c r="I5708" s="103"/>
      <c r="J5708" s="103"/>
      <c r="K5708" s="103"/>
      <c r="L5708" s="103"/>
      <c r="M5708" s="104"/>
      <c r="N5708" s="103"/>
    </row>
    <row r="5709" spans="1:14" ht="45" customHeight="1" thickBot="1" x14ac:dyDescent="0.4">
      <c r="A5709" s="103"/>
      <c r="B5709" s="103"/>
      <c r="C5709" s="103"/>
      <c r="D5709" s="103"/>
      <c r="E5709" s="103"/>
      <c r="F5709" s="103"/>
      <c r="G5709" s="103"/>
      <c r="H5709" s="103"/>
      <c r="I5709" s="103"/>
      <c r="J5709" s="103"/>
      <c r="K5709" s="103"/>
      <c r="L5709" s="103"/>
      <c r="M5709" s="104"/>
      <c r="N5709" s="103"/>
    </row>
    <row r="5710" spans="1:14" ht="45" customHeight="1" thickBot="1" x14ac:dyDescent="0.4">
      <c r="A5710" s="103"/>
      <c r="B5710" s="103"/>
      <c r="C5710" s="103"/>
      <c r="D5710" s="103"/>
      <c r="E5710" s="103"/>
      <c r="F5710" s="103"/>
      <c r="G5710" s="103"/>
      <c r="H5710" s="103"/>
      <c r="I5710" s="103"/>
      <c r="J5710" s="103"/>
      <c r="K5710" s="103"/>
      <c r="L5710" s="103"/>
      <c r="M5710" s="104"/>
      <c r="N5710" s="103"/>
    </row>
    <row r="5711" spans="1:14" ht="45" customHeight="1" thickBot="1" x14ac:dyDescent="0.4">
      <c r="A5711" s="103"/>
      <c r="B5711" s="103"/>
      <c r="C5711" s="103"/>
      <c r="D5711" s="103"/>
      <c r="E5711" s="103"/>
      <c r="F5711" s="103"/>
      <c r="G5711" s="103"/>
      <c r="H5711" s="103"/>
      <c r="I5711" s="103"/>
      <c r="J5711" s="103"/>
      <c r="K5711" s="103"/>
      <c r="L5711" s="103"/>
      <c r="M5711" s="104"/>
      <c r="N5711" s="103"/>
    </row>
    <row r="5712" spans="1:14" ht="45" customHeight="1" thickBot="1" x14ac:dyDescent="0.4">
      <c r="A5712" s="103"/>
      <c r="B5712" s="103"/>
      <c r="C5712" s="103"/>
      <c r="D5712" s="103"/>
      <c r="E5712" s="103"/>
      <c r="F5712" s="103"/>
      <c r="G5712" s="103"/>
      <c r="H5712" s="103"/>
      <c r="I5712" s="103"/>
      <c r="J5712" s="103"/>
      <c r="K5712" s="103"/>
      <c r="L5712" s="103"/>
      <c r="M5712" s="104"/>
      <c r="N5712" s="103"/>
    </row>
    <row r="5713" spans="1:14" ht="45" customHeight="1" thickBot="1" x14ac:dyDescent="0.4">
      <c r="A5713" s="103"/>
      <c r="B5713" s="103"/>
      <c r="C5713" s="103"/>
      <c r="D5713" s="103"/>
      <c r="E5713" s="103"/>
      <c r="F5713" s="103"/>
      <c r="G5713" s="103"/>
      <c r="H5713" s="103"/>
      <c r="I5713" s="103"/>
      <c r="J5713" s="103"/>
      <c r="K5713" s="103"/>
      <c r="L5713" s="103"/>
      <c r="M5713" s="104"/>
      <c r="N5713" s="103"/>
    </row>
    <row r="5714" spans="1:14" ht="45" customHeight="1" thickBot="1" x14ac:dyDescent="0.4">
      <c r="A5714" s="103"/>
      <c r="B5714" s="103"/>
      <c r="C5714" s="103"/>
      <c r="D5714" s="103"/>
      <c r="E5714" s="103"/>
      <c r="F5714" s="103"/>
      <c r="G5714" s="103"/>
      <c r="H5714" s="103"/>
      <c r="I5714" s="103"/>
      <c r="J5714" s="103"/>
      <c r="K5714" s="103"/>
      <c r="L5714" s="103"/>
      <c r="M5714" s="104"/>
      <c r="N5714" s="103"/>
    </row>
    <row r="5715" spans="1:14" ht="45" customHeight="1" thickBot="1" x14ac:dyDescent="0.4">
      <c r="A5715" s="103"/>
      <c r="B5715" s="103"/>
      <c r="C5715" s="103"/>
      <c r="D5715" s="103"/>
      <c r="E5715" s="103"/>
      <c r="F5715" s="103"/>
      <c r="G5715" s="103"/>
      <c r="H5715" s="103"/>
      <c r="I5715" s="103"/>
      <c r="J5715" s="103"/>
      <c r="K5715" s="103"/>
      <c r="L5715" s="103"/>
      <c r="M5715" s="104"/>
      <c r="N5715" s="103"/>
    </row>
    <row r="5716" spans="1:14" ht="45" customHeight="1" thickBot="1" x14ac:dyDescent="0.4">
      <c r="A5716" s="103"/>
      <c r="B5716" s="103"/>
      <c r="C5716" s="103"/>
      <c r="D5716" s="103"/>
      <c r="E5716" s="103"/>
      <c r="F5716" s="103"/>
      <c r="G5716" s="103"/>
      <c r="H5716" s="103"/>
      <c r="I5716" s="103"/>
      <c r="J5716" s="103"/>
      <c r="K5716" s="103"/>
      <c r="L5716" s="103"/>
      <c r="M5716" s="104"/>
      <c r="N5716" s="103"/>
    </row>
    <row r="5717" spans="1:14" ht="45" customHeight="1" thickBot="1" x14ac:dyDescent="0.4">
      <c r="A5717" s="103"/>
      <c r="B5717" s="103"/>
      <c r="C5717" s="103"/>
      <c r="D5717" s="103"/>
      <c r="E5717" s="103"/>
      <c r="F5717" s="103"/>
      <c r="G5717" s="103"/>
      <c r="H5717" s="103"/>
      <c r="I5717" s="103"/>
      <c r="J5717" s="103"/>
      <c r="K5717" s="103"/>
      <c r="L5717" s="103"/>
      <c r="M5717" s="104"/>
      <c r="N5717" s="103"/>
    </row>
    <row r="5718" spans="1:14" ht="45" customHeight="1" thickBot="1" x14ac:dyDescent="0.4">
      <c r="A5718" s="103"/>
      <c r="B5718" s="103"/>
      <c r="C5718" s="103"/>
      <c r="D5718" s="103"/>
      <c r="E5718" s="103"/>
      <c r="F5718" s="103"/>
      <c r="G5718" s="103"/>
      <c r="H5718" s="103"/>
      <c r="I5718" s="103"/>
      <c r="J5718" s="103"/>
      <c r="K5718" s="103"/>
      <c r="L5718" s="103"/>
      <c r="M5718" s="104"/>
      <c r="N5718" s="103"/>
    </row>
    <row r="5719" spans="1:14" ht="45" customHeight="1" thickBot="1" x14ac:dyDescent="0.4">
      <c r="A5719" s="103"/>
      <c r="B5719" s="103"/>
      <c r="C5719" s="103"/>
      <c r="D5719" s="103"/>
      <c r="E5719" s="103"/>
      <c r="F5719" s="103"/>
      <c r="G5719" s="103"/>
      <c r="H5719" s="103"/>
      <c r="I5719" s="103"/>
      <c r="J5719" s="103"/>
      <c r="K5719" s="103"/>
      <c r="L5719" s="103"/>
      <c r="M5719" s="104"/>
      <c r="N5719" s="103"/>
    </row>
    <row r="5720" spans="1:14" ht="45" customHeight="1" thickBot="1" x14ac:dyDescent="0.4">
      <c r="A5720" s="103"/>
      <c r="B5720" s="103"/>
      <c r="C5720" s="103"/>
      <c r="D5720" s="103"/>
      <c r="E5720" s="103"/>
      <c r="F5720" s="103"/>
      <c r="G5720" s="103"/>
      <c r="H5720" s="103"/>
      <c r="I5720" s="103"/>
      <c r="J5720" s="103"/>
      <c r="K5720" s="103"/>
      <c r="L5720" s="103"/>
      <c r="M5720" s="104"/>
      <c r="N5720" s="103"/>
    </row>
    <row r="5721" spans="1:14" ht="45" customHeight="1" thickBot="1" x14ac:dyDescent="0.4">
      <c r="A5721" s="103"/>
      <c r="B5721" s="103"/>
      <c r="C5721" s="103"/>
      <c r="D5721" s="103"/>
      <c r="E5721" s="103"/>
      <c r="F5721" s="103"/>
      <c r="G5721" s="103"/>
      <c r="H5721" s="103"/>
      <c r="I5721" s="103"/>
      <c r="J5721" s="103"/>
      <c r="K5721" s="103"/>
      <c r="L5721" s="103"/>
      <c r="M5721" s="104"/>
      <c r="N5721" s="103"/>
    </row>
    <row r="5722" spans="1:14" ht="45" customHeight="1" thickBot="1" x14ac:dyDescent="0.4">
      <c r="A5722" s="103"/>
      <c r="B5722" s="103"/>
      <c r="C5722" s="103"/>
      <c r="D5722" s="103"/>
      <c r="E5722" s="103"/>
      <c r="F5722" s="103"/>
      <c r="G5722" s="103"/>
      <c r="H5722" s="103"/>
      <c r="I5722" s="103"/>
      <c r="J5722" s="103"/>
      <c r="K5722" s="103"/>
      <c r="L5722" s="103"/>
      <c r="M5722" s="104"/>
      <c r="N5722" s="103"/>
    </row>
    <row r="5723" spans="1:14" ht="45" customHeight="1" thickBot="1" x14ac:dyDescent="0.4">
      <c r="A5723" s="103"/>
      <c r="B5723" s="103"/>
      <c r="C5723" s="103"/>
      <c r="D5723" s="103"/>
      <c r="E5723" s="103"/>
      <c r="F5723" s="103"/>
      <c r="G5723" s="103"/>
      <c r="H5723" s="103"/>
      <c r="I5723" s="103"/>
      <c r="J5723" s="103"/>
      <c r="K5723" s="103"/>
      <c r="L5723" s="103"/>
      <c r="M5723" s="104"/>
      <c r="N5723" s="103"/>
    </row>
    <row r="5724" spans="1:14" ht="45" customHeight="1" thickBot="1" x14ac:dyDescent="0.4">
      <c r="A5724" s="103"/>
      <c r="B5724" s="103"/>
      <c r="C5724" s="103"/>
      <c r="D5724" s="103"/>
      <c r="E5724" s="103"/>
      <c r="F5724" s="103"/>
      <c r="G5724" s="103"/>
      <c r="H5724" s="103"/>
      <c r="I5724" s="103"/>
      <c r="J5724" s="103"/>
      <c r="K5724" s="103"/>
      <c r="L5724" s="103"/>
      <c r="M5724" s="104"/>
      <c r="N5724" s="103"/>
    </row>
    <row r="5725" spans="1:14" ht="45" customHeight="1" thickBot="1" x14ac:dyDescent="0.4">
      <c r="A5725" s="103"/>
      <c r="B5725" s="103"/>
      <c r="C5725" s="103"/>
      <c r="D5725" s="103"/>
      <c r="E5725" s="103"/>
      <c r="F5725" s="103"/>
      <c r="G5725" s="103"/>
      <c r="H5725" s="103"/>
      <c r="I5725" s="103"/>
      <c r="J5725" s="103"/>
      <c r="K5725" s="103"/>
      <c r="L5725" s="103"/>
      <c r="M5725" s="104"/>
      <c r="N5725" s="103"/>
    </row>
    <row r="5726" spans="1:14" ht="45" customHeight="1" thickBot="1" x14ac:dyDescent="0.4">
      <c r="A5726" s="103"/>
      <c r="B5726" s="103"/>
      <c r="C5726" s="103"/>
      <c r="D5726" s="103"/>
      <c r="E5726" s="103"/>
      <c r="F5726" s="103"/>
      <c r="G5726" s="103"/>
      <c r="H5726" s="103"/>
      <c r="I5726" s="103"/>
      <c r="J5726" s="103"/>
      <c r="K5726" s="103"/>
      <c r="L5726" s="103"/>
      <c r="M5726" s="104"/>
      <c r="N5726" s="103"/>
    </row>
    <row r="5727" spans="1:14" ht="45" customHeight="1" thickBot="1" x14ac:dyDescent="0.4">
      <c r="A5727" s="103"/>
      <c r="B5727" s="103"/>
      <c r="C5727" s="103"/>
      <c r="D5727" s="103"/>
      <c r="E5727" s="103"/>
      <c r="F5727" s="103"/>
      <c r="G5727" s="103"/>
      <c r="H5727" s="103"/>
      <c r="I5727" s="103"/>
      <c r="J5727" s="103"/>
      <c r="K5727" s="103"/>
      <c r="L5727" s="103"/>
      <c r="M5727" s="104"/>
      <c r="N5727" s="103"/>
    </row>
    <row r="5728" spans="1:14" ht="45" customHeight="1" thickBot="1" x14ac:dyDescent="0.4">
      <c r="A5728" s="103"/>
      <c r="B5728" s="103"/>
      <c r="C5728" s="103"/>
      <c r="D5728" s="103"/>
      <c r="E5728" s="103"/>
      <c r="F5728" s="103"/>
      <c r="G5728" s="103"/>
      <c r="H5728" s="103"/>
      <c r="I5728" s="103"/>
      <c r="J5728" s="103"/>
      <c r="K5728" s="103"/>
      <c r="L5728" s="103"/>
      <c r="M5728" s="104"/>
      <c r="N5728" s="103"/>
    </row>
    <row r="5729" spans="1:14" ht="45" customHeight="1" thickBot="1" x14ac:dyDescent="0.4">
      <c r="A5729" s="103"/>
      <c r="B5729" s="103"/>
      <c r="C5729" s="103"/>
      <c r="D5729" s="103"/>
      <c r="E5729" s="103"/>
      <c r="F5729" s="103"/>
      <c r="G5729" s="103"/>
      <c r="H5729" s="103"/>
      <c r="I5729" s="103"/>
      <c r="J5729" s="103"/>
      <c r="K5729" s="103"/>
      <c r="L5729" s="103"/>
      <c r="M5729" s="104"/>
      <c r="N5729" s="103"/>
    </row>
    <row r="5730" spans="1:14" ht="45" customHeight="1" thickBot="1" x14ac:dyDescent="0.4">
      <c r="A5730" s="103"/>
      <c r="B5730" s="103"/>
      <c r="C5730" s="103"/>
      <c r="D5730" s="103"/>
      <c r="E5730" s="103"/>
      <c r="F5730" s="103"/>
      <c r="G5730" s="103"/>
      <c r="H5730" s="103"/>
      <c r="I5730" s="103"/>
      <c r="J5730" s="103"/>
      <c r="K5730" s="103"/>
      <c r="L5730" s="103"/>
      <c r="M5730" s="104"/>
      <c r="N5730" s="103"/>
    </row>
    <row r="5731" spans="1:14" ht="45" customHeight="1" thickBot="1" x14ac:dyDescent="0.4">
      <c r="A5731" s="103"/>
      <c r="B5731" s="103"/>
      <c r="C5731" s="103"/>
      <c r="D5731" s="103"/>
      <c r="E5731" s="103"/>
      <c r="F5731" s="103"/>
      <c r="G5731" s="103"/>
      <c r="H5731" s="103"/>
      <c r="I5731" s="103"/>
      <c r="J5731" s="103"/>
      <c r="K5731" s="103"/>
      <c r="L5731" s="103"/>
      <c r="M5731" s="104"/>
      <c r="N5731" s="103"/>
    </row>
    <row r="5732" spans="1:14" ht="45" customHeight="1" thickBot="1" x14ac:dyDescent="0.4">
      <c r="A5732" s="103"/>
      <c r="B5732" s="103"/>
      <c r="C5732" s="103"/>
      <c r="D5732" s="103"/>
      <c r="E5732" s="103"/>
      <c r="F5732" s="103"/>
      <c r="G5732" s="103"/>
      <c r="H5732" s="103"/>
      <c r="I5732" s="103"/>
      <c r="J5732" s="103"/>
      <c r="K5732" s="103"/>
      <c r="L5732" s="103"/>
      <c r="M5732" s="104"/>
      <c r="N5732" s="103"/>
    </row>
    <row r="5733" spans="1:14" ht="45" customHeight="1" thickBot="1" x14ac:dyDescent="0.4">
      <c r="A5733" s="103"/>
      <c r="B5733" s="103"/>
      <c r="C5733" s="103"/>
      <c r="D5733" s="103"/>
      <c r="E5733" s="103"/>
      <c r="F5733" s="103"/>
      <c r="G5733" s="103"/>
      <c r="H5733" s="103"/>
      <c r="I5733" s="103"/>
      <c r="J5733" s="103"/>
      <c r="K5733" s="103"/>
      <c r="L5733" s="103"/>
      <c r="M5733" s="104"/>
      <c r="N5733" s="103"/>
    </row>
    <row r="5734" spans="1:14" ht="45" customHeight="1" thickBot="1" x14ac:dyDescent="0.4">
      <c r="A5734" s="103"/>
      <c r="B5734" s="103"/>
      <c r="C5734" s="103"/>
      <c r="D5734" s="103"/>
      <c r="E5734" s="103"/>
      <c r="F5734" s="103"/>
      <c r="G5734" s="103"/>
      <c r="H5734" s="103"/>
      <c r="I5734" s="103"/>
      <c r="J5734" s="103"/>
      <c r="K5734" s="103"/>
      <c r="L5734" s="103"/>
      <c r="M5734" s="104"/>
      <c r="N5734" s="103"/>
    </row>
    <row r="5735" spans="1:14" ht="45" customHeight="1" thickBot="1" x14ac:dyDescent="0.4">
      <c r="A5735" s="103"/>
      <c r="B5735" s="103"/>
      <c r="C5735" s="103"/>
      <c r="D5735" s="103"/>
      <c r="E5735" s="103"/>
      <c r="F5735" s="103"/>
      <c r="G5735" s="103"/>
      <c r="H5735" s="103"/>
      <c r="I5735" s="103"/>
      <c r="J5735" s="103"/>
      <c r="K5735" s="103"/>
      <c r="L5735" s="103"/>
      <c r="M5735" s="104"/>
      <c r="N5735" s="103"/>
    </row>
    <row r="5736" spans="1:14" ht="45" customHeight="1" thickBot="1" x14ac:dyDescent="0.4">
      <c r="A5736" s="103"/>
      <c r="B5736" s="103"/>
      <c r="C5736" s="103"/>
      <c r="D5736" s="103"/>
      <c r="E5736" s="103"/>
      <c r="F5736" s="103"/>
      <c r="G5736" s="103"/>
      <c r="H5736" s="103"/>
      <c r="I5736" s="103"/>
      <c r="J5736" s="103"/>
      <c r="K5736" s="103"/>
      <c r="L5736" s="103"/>
      <c r="M5736" s="104"/>
      <c r="N5736" s="103"/>
    </row>
    <row r="5737" spans="1:14" ht="45" customHeight="1" thickBot="1" x14ac:dyDescent="0.4">
      <c r="A5737" s="103"/>
      <c r="B5737" s="103"/>
      <c r="C5737" s="103"/>
      <c r="D5737" s="103"/>
      <c r="E5737" s="103"/>
      <c r="F5737" s="103"/>
      <c r="G5737" s="103"/>
      <c r="H5737" s="103"/>
      <c r="I5737" s="103"/>
      <c r="J5737" s="103"/>
      <c r="K5737" s="103"/>
      <c r="L5737" s="103"/>
      <c r="M5737" s="104"/>
      <c r="N5737" s="103"/>
    </row>
    <row r="5738" spans="1:14" ht="45" customHeight="1" thickBot="1" x14ac:dyDescent="0.4">
      <c r="A5738" s="103"/>
      <c r="B5738" s="103"/>
      <c r="C5738" s="103"/>
      <c r="D5738" s="103"/>
      <c r="E5738" s="103"/>
      <c r="F5738" s="103"/>
      <c r="G5738" s="103"/>
      <c r="H5738" s="103"/>
      <c r="I5738" s="103"/>
      <c r="J5738" s="103"/>
      <c r="K5738" s="103"/>
      <c r="L5738" s="103"/>
      <c r="M5738" s="104"/>
      <c r="N5738" s="103"/>
    </row>
    <row r="5739" spans="1:14" ht="45" customHeight="1" thickBot="1" x14ac:dyDescent="0.4">
      <c r="A5739" s="103"/>
      <c r="B5739" s="103"/>
      <c r="C5739" s="103"/>
      <c r="D5739" s="103"/>
      <c r="E5739" s="103"/>
      <c r="F5739" s="103"/>
      <c r="G5739" s="103"/>
      <c r="H5739" s="103"/>
      <c r="I5739" s="103"/>
      <c r="J5739" s="103"/>
      <c r="K5739" s="103"/>
      <c r="L5739" s="103"/>
      <c r="M5739" s="104"/>
      <c r="N5739" s="103"/>
    </row>
    <row r="5740" spans="1:14" ht="45" customHeight="1" thickBot="1" x14ac:dyDescent="0.4">
      <c r="A5740" s="103"/>
      <c r="B5740" s="103"/>
      <c r="C5740" s="103"/>
      <c r="D5740" s="103"/>
      <c r="E5740" s="103"/>
      <c r="F5740" s="103"/>
      <c r="G5740" s="103"/>
      <c r="H5740" s="103"/>
      <c r="I5740" s="103"/>
      <c r="J5740" s="103"/>
      <c r="K5740" s="103"/>
      <c r="L5740" s="103"/>
      <c r="M5740" s="104"/>
      <c r="N5740" s="103"/>
    </row>
    <row r="5741" spans="1:14" ht="45" customHeight="1" thickBot="1" x14ac:dyDescent="0.4">
      <c r="A5741" s="103"/>
      <c r="B5741" s="103"/>
      <c r="C5741" s="103"/>
      <c r="D5741" s="103"/>
      <c r="E5741" s="103"/>
      <c r="F5741" s="103"/>
      <c r="G5741" s="103"/>
      <c r="H5741" s="103"/>
      <c r="I5741" s="103"/>
      <c r="J5741" s="103"/>
      <c r="K5741" s="103"/>
      <c r="L5741" s="103"/>
      <c r="M5741" s="104"/>
      <c r="N5741" s="103"/>
    </row>
    <row r="5742" spans="1:14" ht="45" customHeight="1" thickBot="1" x14ac:dyDescent="0.4">
      <c r="A5742" s="103"/>
      <c r="B5742" s="103"/>
      <c r="C5742" s="103"/>
      <c r="D5742" s="103"/>
      <c r="E5742" s="103"/>
      <c r="F5742" s="103"/>
      <c r="G5742" s="103"/>
      <c r="H5742" s="103"/>
      <c r="I5742" s="103"/>
      <c r="J5742" s="103"/>
      <c r="K5742" s="103"/>
      <c r="L5742" s="103"/>
      <c r="M5742" s="104"/>
      <c r="N5742" s="103"/>
    </row>
    <row r="5743" spans="1:14" ht="45" customHeight="1" thickBot="1" x14ac:dyDescent="0.4">
      <c r="A5743" s="103"/>
      <c r="B5743" s="103"/>
      <c r="C5743" s="103"/>
      <c r="D5743" s="103"/>
      <c r="E5743" s="103"/>
      <c r="F5743" s="103"/>
      <c r="G5743" s="103"/>
      <c r="H5743" s="103"/>
      <c r="I5743" s="103"/>
      <c r="J5743" s="103"/>
      <c r="K5743" s="103"/>
      <c r="L5743" s="103"/>
      <c r="M5743" s="104"/>
      <c r="N5743" s="103"/>
    </row>
    <row r="5744" spans="1:14" ht="45" customHeight="1" thickBot="1" x14ac:dyDescent="0.4">
      <c r="A5744" s="103"/>
      <c r="B5744" s="103"/>
      <c r="C5744" s="103"/>
      <c r="D5744" s="103"/>
      <c r="E5744" s="103"/>
      <c r="F5744" s="103"/>
      <c r="G5744" s="103"/>
      <c r="H5744" s="103"/>
      <c r="I5744" s="103"/>
      <c r="J5744" s="103"/>
      <c r="K5744" s="103"/>
      <c r="L5744" s="103"/>
      <c r="M5744" s="104"/>
      <c r="N5744" s="103"/>
    </row>
    <row r="5745" spans="1:14" ht="45" customHeight="1" thickBot="1" x14ac:dyDescent="0.4">
      <c r="A5745" s="103"/>
      <c r="B5745" s="103"/>
      <c r="C5745" s="103"/>
      <c r="D5745" s="103"/>
      <c r="E5745" s="103"/>
      <c r="F5745" s="103"/>
      <c r="G5745" s="103"/>
      <c r="H5745" s="103"/>
      <c r="I5745" s="103"/>
      <c r="J5745" s="103"/>
      <c r="K5745" s="103"/>
      <c r="L5745" s="103"/>
      <c r="M5745" s="104"/>
      <c r="N5745" s="103"/>
    </row>
    <row r="5746" spans="1:14" ht="45" customHeight="1" thickBot="1" x14ac:dyDescent="0.4">
      <c r="A5746" s="103"/>
      <c r="B5746" s="103"/>
      <c r="C5746" s="103"/>
      <c r="D5746" s="103"/>
      <c r="E5746" s="103"/>
      <c r="F5746" s="103"/>
      <c r="G5746" s="103"/>
      <c r="H5746" s="103"/>
      <c r="I5746" s="103"/>
      <c r="J5746" s="103"/>
      <c r="K5746" s="103"/>
      <c r="L5746" s="103"/>
      <c r="M5746" s="104"/>
      <c r="N5746" s="103"/>
    </row>
    <row r="5747" spans="1:14" ht="45" customHeight="1" thickBot="1" x14ac:dyDescent="0.4">
      <c r="A5747" s="103"/>
      <c r="B5747" s="103"/>
      <c r="C5747" s="103"/>
      <c r="D5747" s="103"/>
      <c r="E5747" s="103"/>
      <c r="F5747" s="103"/>
      <c r="G5747" s="103"/>
      <c r="H5747" s="103"/>
      <c r="I5747" s="103"/>
      <c r="J5747" s="103"/>
      <c r="K5747" s="103"/>
      <c r="L5747" s="103"/>
      <c r="M5747" s="104"/>
      <c r="N5747" s="103"/>
    </row>
    <row r="5748" spans="1:14" ht="45" customHeight="1" thickBot="1" x14ac:dyDescent="0.4">
      <c r="A5748" s="103"/>
      <c r="B5748" s="103"/>
      <c r="C5748" s="103"/>
      <c r="D5748" s="103"/>
      <c r="E5748" s="103"/>
      <c r="F5748" s="103"/>
      <c r="G5748" s="103"/>
      <c r="H5748" s="103"/>
      <c r="I5748" s="103"/>
      <c r="J5748" s="103"/>
      <c r="K5748" s="103"/>
      <c r="L5748" s="103"/>
      <c r="M5748" s="104"/>
      <c r="N5748" s="103"/>
    </row>
    <row r="5749" spans="1:14" ht="45" customHeight="1" thickBot="1" x14ac:dyDescent="0.4">
      <c r="A5749" s="103"/>
      <c r="B5749" s="103"/>
      <c r="C5749" s="103"/>
      <c r="D5749" s="103"/>
      <c r="E5749" s="103"/>
      <c r="F5749" s="103"/>
      <c r="G5749" s="103"/>
      <c r="H5749" s="103"/>
      <c r="I5749" s="103"/>
      <c r="J5749" s="103"/>
      <c r="K5749" s="103"/>
      <c r="L5749" s="103"/>
      <c r="M5749" s="104"/>
      <c r="N5749" s="103"/>
    </row>
    <row r="5750" spans="1:14" ht="45" customHeight="1" thickBot="1" x14ac:dyDescent="0.4">
      <c r="A5750" s="103"/>
      <c r="B5750" s="103"/>
      <c r="C5750" s="103"/>
      <c r="D5750" s="103"/>
      <c r="E5750" s="103"/>
      <c r="F5750" s="103"/>
      <c r="G5750" s="103"/>
      <c r="H5750" s="103"/>
      <c r="I5750" s="103"/>
      <c r="J5750" s="103"/>
      <c r="K5750" s="103"/>
      <c r="L5750" s="103"/>
      <c r="M5750" s="104"/>
      <c r="N5750" s="103"/>
    </row>
    <row r="5751" spans="1:14" ht="45" customHeight="1" thickBot="1" x14ac:dyDescent="0.4">
      <c r="A5751" s="103"/>
      <c r="B5751" s="103"/>
      <c r="C5751" s="103"/>
      <c r="D5751" s="103"/>
      <c r="E5751" s="103"/>
      <c r="F5751" s="103"/>
      <c r="G5751" s="103"/>
      <c r="H5751" s="103"/>
      <c r="I5751" s="103"/>
      <c r="J5751" s="103"/>
      <c r="K5751" s="103"/>
      <c r="L5751" s="103"/>
      <c r="M5751" s="104"/>
      <c r="N5751" s="103"/>
    </row>
    <row r="5752" spans="1:14" ht="45" customHeight="1" thickBot="1" x14ac:dyDescent="0.4">
      <c r="A5752" s="103"/>
      <c r="B5752" s="103"/>
      <c r="C5752" s="103"/>
      <c r="D5752" s="103"/>
      <c r="E5752" s="103"/>
      <c r="F5752" s="103"/>
      <c r="G5752" s="103"/>
      <c r="H5752" s="103"/>
      <c r="I5752" s="103"/>
      <c r="J5752" s="103"/>
      <c r="K5752" s="103"/>
      <c r="L5752" s="103"/>
      <c r="M5752" s="104"/>
      <c r="N5752" s="103"/>
    </row>
    <row r="5753" spans="1:14" ht="45" customHeight="1" thickBot="1" x14ac:dyDescent="0.4">
      <c r="A5753" s="103"/>
      <c r="B5753" s="103"/>
      <c r="C5753" s="103"/>
      <c r="D5753" s="103"/>
      <c r="E5753" s="103"/>
      <c r="F5753" s="103"/>
      <c r="G5753" s="103"/>
      <c r="H5753" s="103"/>
      <c r="I5753" s="103"/>
      <c r="J5753" s="103"/>
      <c r="K5753" s="103"/>
      <c r="L5753" s="103"/>
      <c r="M5753" s="104"/>
      <c r="N5753" s="103"/>
    </row>
    <row r="5754" spans="1:14" ht="45" customHeight="1" thickBot="1" x14ac:dyDescent="0.4">
      <c r="A5754" s="103"/>
      <c r="B5754" s="103"/>
      <c r="C5754" s="103"/>
      <c r="D5754" s="103"/>
      <c r="E5754" s="103"/>
      <c r="F5754" s="103"/>
      <c r="G5754" s="103"/>
      <c r="H5754" s="103"/>
      <c r="I5754" s="103"/>
      <c r="J5754" s="103"/>
      <c r="K5754" s="103"/>
      <c r="L5754" s="103"/>
      <c r="M5754" s="104"/>
      <c r="N5754" s="103"/>
    </row>
    <row r="5755" spans="1:14" ht="45" customHeight="1" thickBot="1" x14ac:dyDescent="0.4">
      <c r="A5755" s="103"/>
      <c r="B5755" s="103"/>
      <c r="C5755" s="103"/>
      <c r="D5755" s="103"/>
      <c r="E5755" s="103"/>
      <c r="F5755" s="103"/>
      <c r="G5755" s="103"/>
      <c r="H5755" s="103"/>
      <c r="I5755" s="103"/>
      <c r="J5755" s="103"/>
      <c r="K5755" s="103"/>
      <c r="L5755" s="103"/>
      <c r="M5755" s="104"/>
      <c r="N5755" s="103"/>
    </row>
    <row r="5756" spans="1:14" ht="45" customHeight="1" thickBot="1" x14ac:dyDescent="0.4">
      <c r="A5756" s="103"/>
      <c r="B5756" s="103"/>
      <c r="C5756" s="103"/>
      <c r="D5756" s="103"/>
      <c r="E5756" s="103"/>
      <c r="F5756" s="103"/>
      <c r="G5756" s="103"/>
      <c r="H5756" s="103"/>
      <c r="I5756" s="103"/>
      <c r="J5756" s="103"/>
      <c r="K5756" s="103"/>
      <c r="L5756" s="103"/>
      <c r="M5756" s="104"/>
      <c r="N5756" s="103"/>
    </row>
    <row r="5757" spans="1:14" ht="45" customHeight="1" thickBot="1" x14ac:dyDescent="0.4">
      <c r="A5757" s="103"/>
      <c r="B5757" s="103"/>
      <c r="C5757" s="103"/>
      <c r="D5757" s="103"/>
      <c r="E5757" s="103"/>
      <c r="F5757" s="103"/>
      <c r="G5757" s="103"/>
      <c r="H5757" s="103"/>
      <c r="I5757" s="103"/>
      <c r="J5757" s="103"/>
      <c r="K5757" s="103"/>
      <c r="L5757" s="103"/>
      <c r="M5757" s="104"/>
      <c r="N5757" s="103"/>
    </row>
    <row r="5758" spans="1:14" ht="45" customHeight="1" thickBot="1" x14ac:dyDescent="0.4">
      <c r="A5758" s="103"/>
      <c r="B5758" s="103"/>
      <c r="C5758" s="103"/>
      <c r="D5758" s="103"/>
      <c r="E5758" s="103"/>
      <c r="F5758" s="103"/>
      <c r="G5758" s="103"/>
      <c r="H5758" s="103"/>
      <c r="I5758" s="103"/>
      <c r="J5758" s="103"/>
      <c r="K5758" s="103"/>
      <c r="L5758" s="103"/>
      <c r="M5758" s="104"/>
      <c r="N5758" s="103"/>
    </row>
    <row r="5759" spans="1:14" ht="45" customHeight="1" thickBot="1" x14ac:dyDescent="0.4">
      <c r="A5759" s="103"/>
      <c r="B5759" s="103"/>
      <c r="C5759" s="103"/>
      <c r="D5759" s="103"/>
      <c r="E5759" s="103"/>
      <c r="F5759" s="103"/>
      <c r="G5759" s="103"/>
      <c r="H5759" s="103"/>
      <c r="I5759" s="103"/>
      <c r="J5759" s="103"/>
      <c r="K5759" s="103"/>
      <c r="L5759" s="103"/>
      <c r="M5759" s="104"/>
      <c r="N5759" s="103"/>
    </row>
    <row r="5760" spans="1:14" ht="45" customHeight="1" thickBot="1" x14ac:dyDescent="0.4">
      <c r="A5760" s="103"/>
      <c r="B5760" s="103"/>
      <c r="C5760" s="103"/>
      <c r="D5760" s="103"/>
      <c r="E5760" s="103"/>
      <c r="F5760" s="103"/>
      <c r="G5760" s="103"/>
      <c r="H5760" s="103"/>
      <c r="I5760" s="103"/>
      <c r="J5760" s="103"/>
      <c r="K5760" s="103"/>
      <c r="L5760" s="103"/>
      <c r="M5760" s="104"/>
      <c r="N5760" s="103"/>
    </row>
    <row r="5761" spans="1:14" ht="45" customHeight="1" thickBot="1" x14ac:dyDescent="0.4">
      <c r="A5761" s="103"/>
      <c r="B5761" s="103"/>
      <c r="C5761" s="103"/>
      <c r="D5761" s="103"/>
      <c r="E5761" s="103"/>
      <c r="F5761" s="103"/>
      <c r="G5761" s="103"/>
      <c r="H5761" s="103"/>
      <c r="I5761" s="103"/>
      <c r="J5761" s="103"/>
      <c r="K5761" s="103"/>
      <c r="L5761" s="103"/>
      <c r="M5761" s="104"/>
      <c r="N5761" s="103"/>
    </row>
    <row r="5762" spans="1:14" ht="45" customHeight="1" thickBot="1" x14ac:dyDescent="0.4">
      <c r="A5762" s="103"/>
      <c r="B5762" s="103"/>
      <c r="C5762" s="103"/>
      <c r="D5762" s="103"/>
      <c r="E5762" s="103"/>
      <c r="F5762" s="103"/>
      <c r="G5762" s="103"/>
      <c r="H5762" s="103"/>
      <c r="I5762" s="103"/>
      <c r="J5762" s="103"/>
      <c r="K5762" s="103"/>
      <c r="L5762" s="103"/>
      <c r="M5762" s="104"/>
      <c r="N5762" s="103"/>
    </row>
    <row r="5763" spans="1:14" ht="45" customHeight="1" thickBot="1" x14ac:dyDescent="0.4">
      <c r="A5763" s="103"/>
      <c r="B5763" s="103"/>
      <c r="C5763" s="103"/>
      <c r="D5763" s="103"/>
      <c r="E5763" s="103"/>
      <c r="F5763" s="103"/>
      <c r="G5763" s="103"/>
      <c r="H5763" s="103"/>
      <c r="I5763" s="103"/>
      <c r="J5763" s="103"/>
      <c r="K5763" s="103"/>
      <c r="L5763" s="103"/>
      <c r="M5763" s="104"/>
      <c r="N5763" s="103"/>
    </row>
    <row r="5764" spans="1:14" ht="45" customHeight="1" thickBot="1" x14ac:dyDescent="0.4">
      <c r="A5764" s="103"/>
      <c r="B5764" s="103"/>
      <c r="C5764" s="103"/>
      <c r="D5764" s="103"/>
      <c r="E5764" s="103"/>
      <c r="F5764" s="103"/>
      <c r="G5764" s="103"/>
      <c r="H5764" s="103"/>
      <c r="I5764" s="103"/>
      <c r="J5764" s="103"/>
      <c r="K5764" s="103"/>
      <c r="L5764" s="103"/>
      <c r="M5764" s="104"/>
      <c r="N5764" s="103"/>
    </row>
    <row r="5765" spans="1:14" ht="45" customHeight="1" thickBot="1" x14ac:dyDescent="0.4">
      <c r="A5765" s="103"/>
      <c r="B5765" s="103"/>
      <c r="C5765" s="103"/>
      <c r="D5765" s="103"/>
      <c r="E5765" s="103"/>
      <c r="F5765" s="103"/>
      <c r="G5765" s="103"/>
      <c r="H5765" s="103"/>
      <c r="I5765" s="103"/>
      <c r="J5765" s="103"/>
      <c r="K5765" s="103"/>
      <c r="L5765" s="103"/>
      <c r="M5765" s="104"/>
      <c r="N5765" s="103"/>
    </row>
    <row r="5766" spans="1:14" ht="45" customHeight="1" thickBot="1" x14ac:dyDescent="0.4">
      <c r="A5766" s="103"/>
      <c r="B5766" s="103"/>
      <c r="C5766" s="103"/>
      <c r="D5766" s="103"/>
      <c r="E5766" s="103"/>
      <c r="F5766" s="103"/>
      <c r="G5766" s="103"/>
      <c r="H5766" s="103"/>
      <c r="I5766" s="103"/>
      <c r="J5766" s="103"/>
      <c r="K5766" s="103"/>
      <c r="L5766" s="103"/>
      <c r="M5766" s="104"/>
      <c r="N5766" s="103"/>
    </row>
    <row r="5767" spans="1:14" ht="45" customHeight="1" thickBot="1" x14ac:dyDescent="0.4">
      <c r="A5767" s="103"/>
      <c r="B5767" s="103"/>
      <c r="C5767" s="103"/>
      <c r="D5767" s="103"/>
      <c r="E5767" s="103"/>
      <c r="F5767" s="103"/>
      <c r="G5767" s="103"/>
      <c r="H5767" s="103"/>
      <c r="I5767" s="103"/>
      <c r="J5767" s="103"/>
      <c r="K5767" s="103"/>
      <c r="L5767" s="103"/>
      <c r="M5767" s="104"/>
      <c r="N5767" s="103"/>
    </row>
    <row r="5768" spans="1:14" ht="45" customHeight="1" thickBot="1" x14ac:dyDescent="0.4">
      <c r="A5768" s="103"/>
      <c r="B5768" s="103"/>
      <c r="C5768" s="103"/>
      <c r="D5768" s="103"/>
      <c r="E5768" s="103"/>
      <c r="F5768" s="103"/>
      <c r="G5768" s="103"/>
      <c r="H5768" s="103"/>
      <c r="I5768" s="103"/>
      <c r="J5768" s="103"/>
      <c r="K5768" s="103"/>
      <c r="L5768" s="103"/>
      <c r="M5768" s="104"/>
      <c r="N5768" s="103"/>
    </row>
    <row r="5769" spans="1:14" ht="45" customHeight="1" thickBot="1" x14ac:dyDescent="0.4">
      <c r="A5769" s="103"/>
      <c r="B5769" s="103"/>
      <c r="C5769" s="103"/>
      <c r="D5769" s="103"/>
      <c r="E5769" s="103"/>
      <c r="F5769" s="103"/>
      <c r="G5769" s="103"/>
      <c r="H5769" s="103"/>
      <c r="I5769" s="103"/>
      <c r="J5769" s="103"/>
      <c r="K5769" s="103"/>
      <c r="L5769" s="103"/>
      <c r="M5769" s="104"/>
      <c r="N5769" s="103"/>
    </row>
    <row r="5770" spans="1:14" ht="45" customHeight="1" thickBot="1" x14ac:dyDescent="0.4">
      <c r="A5770" s="103"/>
      <c r="B5770" s="103"/>
      <c r="C5770" s="103"/>
      <c r="D5770" s="103"/>
      <c r="E5770" s="103"/>
      <c r="F5770" s="103"/>
      <c r="G5770" s="103"/>
      <c r="H5770" s="103"/>
      <c r="I5770" s="103"/>
      <c r="J5770" s="103"/>
      <c r="K5770" s="103"/>
      <c r="L5770" s="103"/>
      <c r="M5770" s="104"/>
      <c r="N5770" s="103"/>
    </row>
    <row r="5771" spans="1:14" ht="45" customHeight="1" thickBot="1" x14ac:dyDescent="0.4">
      <c r="A5771" s="103"/>
      <c r="B5771" s="103"/>
      <c r="C5771" s="103"/>
      <c r="D5771" s="103"/>
      <c r="E5771" s="103"/>
      <c r="F5771" s="103"/>
      <c r="G5771" s="103"/>
      <c r="H5771" s="103"/>
      <c r="I5771" s="103"/>
      <c r="J5771" s="103"/>
      <c r="K5771" s="103"/>
      <c r="L5771" s="103"/>
      <c r="M5771" s="104"/>
      <c r="N5771" s="103"/>
    </row>
    <row r="5772" spans="1:14" ht="45" customHeight="1" thickBot="1" x14ac:dyDescent="0.4">
      <c r="A5772" s="103"/>
      <c r="B5772" s="103"/>
      <c r="C5772" s="103"/>
      <c r="D5772" s="103"/>
      <c r="E5772" s="103"/>
      <c r="F5772" s="103"/>
      <c r="G5772" s="103"/>
      <c r="H5772" s="103"/>
      <c r="I5772" s="103"/>
      <c r="J5772" s="103"/>
      <c r="K5772" s="103"/>
      <c r="L5772" s="103"/>
      <c r="M5772" s="104"/>
      <c r="N5772" s="103"/>
    </row>
    <row r="5773" spans="1:14" ht="45" customHeight="1" thickBot="1" x14ac:dyDescent="0.4">
      <c r="A5773" s="103"/>
      <c r="B5773" s="103"/>
      <c r="C5773" s="103"/>
      <c r="D5773" s="103"/>
      <c r="E5773" s="103"/>
      <c r="F5773" s="103"/>
      <c r="G5773" s="103"/>
      <c r="H5773" s="103"/>
      <c r="I5773" s="103"/>
      <c r="J5773" s="103"/>
      <c r="K5773" s="103"/>
      <c r="L5773" s="103"/>
      <c r="M5773" s="104"/>
      <c r="N5773" s="103"/>
    </row>
    <row r="5774" spans="1:14" ht="45" customHeight="1" thickBot="1" x14ac:dyDescent="0.4">
      <c r="A5774" s="103"/>
      <c r="B5774" s="103"/>
      <c r="C5774" s="103"/>
      <c r="D5774" s="103"/>
      <c r="E5774" s="103"/>
      <c r="F5774" s="103"/>
      <c r="G5774" s="103"/>
      <c r="H5774" s="103"/>
      <c r="I5774" s="103"/>
      <c r="J5774" s="103"/>
      <c r="K5774" s="103"/>
      <c r="L5774" s="103"/>
      <c r="M5774" s="104"/>
      <c r="N5774" s="103"/>
    </row>
    <row r="5775" spans="1:14" ht="45" customHeight="1" thickBot="1" x14ac:dyDescent="0.4">
      <c r="A5775" s="103"/>
      <c r="B5775" s="103"/>
      <c r="C5775" s="103"/>
      <c r="D5775" s="103"/>
      <c r="E5775" s="103"/>
      <c r="F5775" s="103"/>
      <c r="G5775" s="103"/>
      <c r="H5775" s="103"/>
      <c r="I5775" s="103"/>
      <c r="J5775" s="103"/>
      <c r="K5775" s="103"/>
      <c r="L5775" s="103"/>
      <c r="M5775" s="104"/>
      <c r="N5775" s="103"/>
    </row>
    <row r="5776" spans="1:14" ht="45" customHeight="1" thickBot="1" x14ac:dyDescent="0.4">
      <c r="A5776" s="103"/>
      <c r="B5776" s="103"/>
      <c r="C5776" s="103"/>
      <c r="D5776" s="103"/>
      <c r="E5776" s="103"/>
      <c r="F5776" s="103"/>
      <c r="G5776" s="103"/>
      <c r="H5776" s="103"/>
      <c r="I5776" s="103"/>
      <c r="J5776" s="103"/>
      <c r="K5776" s="103"/>
      <c r="L5776" s="103"/>
      <c r="M5776" s="104"/>
      <c r="N5776" s="103"/>
    </row>
    <row r="5777" spans="1:14" ht="45" customHeight="1" thickBot="1" x14ac:dyDescent="0.4">
      <c r="A5777" s="103"/>
      <c r="B5777" s="103"/>
      <c r="C5777" s="103"/>
      <c r="D5777" s="103"/>
      <c r="E5777" s="103"/>
      <c r="F5777" s="103"/>
      <c r="G5777" s="103"/>
      <c r="H5777" s="103"/>
      <c r="I5777" s="103"/>
      <c r="J5777" s="103"/>
      <c r="K5777" s="103"/>
      <c r="L5777" s="103"/>
      <c r="M5777" s="104"/>
      <c r="N5777" s="103"/>
    </row>
    <row r="5778" spans="1:14" ht="45" customHeight="1" thickBot="1" x14ac:dyDescent="0.4">
      <c r="A5778" s="103"/>
      <c r="B5778" s="103"/>
      <c r="C5778" s="103"/>
      <c r="D5778" s="103"/>
      <c r="E5778" s="103"/>
      <c r="F5778" s="103"/>
      <c r="G5778" s="103"/>
      <c r="H5778" s="103"/>
      <c r="I5778" s="103"/>
      <c r="J5778" s="103"/>
      <c r="K5778" s="103"/>
      <c r="L5778" s="103"/>
      <c r="M5778" s="104"/>
      <c r="N5778" s="103"/>
    </row>
    <row r="5779" spans="1:14" ht="45" customHeight="1" thickBot="1" x14ac:dyDescent="0.4">
      <c r="A5779" s="103"/>
      <c r="B5779" s="103"/>
      <c r="C5779" s="103"/>
      <c r="D5779" s="103"/>
      <c r="E5779" s="103"/>
      <c r="F5779" s="103"/>
      <c r="G5779" s="103"/>
      <c r="H5779" s="103"/>
      <c r="I5779" s="103"/>
      <c r="J5779" s="103"/>
      <c r="K5779" s="103"/>
      <c r="L5779" s="103"/>
      <c r="M5779" s="104"/>
      <c r="N5779" s="103"/>
    </row>
    <row r="5780" spans="1:14" ht="45" customHeight="1" thickBot="1" x14ac:dyDescent="0.4">
      <c r="A5780" s="103"/>
      <c r="B5780" s="103"/>
      <c r="C5780" s="103"/>
      <c r="D5780" s="103"/>
      <c r="E5780" s="103"/>
      <c r="F5780" s="103"/>
      <c r="G5780" s="103"/>
      <c r="H5780" s="103"/>
      <c r="I5780" s="103"/>
      <c r="J5780" s="103"/>
      <c r="K5780" s="103"/>
      <c r="L5780" s="103"/>
      <c r="M5780" s="104"/>
      <c r="N5780" s="103"/>
    </row>
    <row r="5781" spans="1:14" ht="45" customHeight="1" thickBot="1" x14ac:dyDescent="0.4">
      <c r="A5781" s="103"/>
      <c r="B5781" s="103"/>
      <c r="C5781" s="103"/>
      <c r="D5781" s="103"/>
      <c r="E5781" s="103"/>
      <c r="F5781" s="103"/>
      <c r="G5781" s="103"/>
      <c r="H5781" s="103"/>
      <c r="I5781" s="103"/>
      <c r="J5781" s="103"/>
      <c r="K5781" s="103"/>
      <c r="L5781" s="103"/>
      <c r="M5781" s="104"/>
      <c r="N5781" s="103"/>
    </row>
    <row r="5782" spans="1:14" ht="45" customHeight="1" thickBot="1" x14ac:dyDescent="0.4">
      <c r="A5782" s="103"/>
      <c r="B5782" s="103"/>
      <c r="C5782" s="103"/>
      <c r="D5782" s="103"/>
      <c r="E5782" s="103"/>
      <c r="F5782" s="103"/>
      <c r="G5782" s="103"/>
      <c r="H5782" s="103"/>
      <c r="I5782" s="103"/>
      <c r="J5782" s="103"/>
      <c r="K5782" s="103"/>
      <c r="L5782" s="103"/>
      <c r="M5782" s="104"/>
      <c r="N5782" s="103"/>
    </row>
    <row r="5783" spans="1:14" ht="45" customHeight="1" thickBot="1" x14ac:dyDescent="0.4">
      <c r="A5783" s="103"/>
      <c r="B5783" s="103"/>
      <c r="C5783" s="103"/>
      <c r="D5783" s="103"/>
      <c r="E5783" s="103"/>
      <c r="F5783" s="103"/>
      <c r="G5783" s="103"/>
      <c r="H5783" s="103"/>
      <c r="I5783" s="103"/>
      <c r="J5783" s="103"/>
      <c r="K5783" s="103"/>
      <c r="L5783" s="103"/>
      <c r="M5783" s="104"/>
      <c r="N5783" s="103"/>
    </row>
    <row r="5784" spans="1:14" ht="45" customHeight="1" thickBot="1" x14ac:dyDescent="0.4">
      <c r="A5784" s="103"/>
      <c r="B5784" s="103"/>
      <c r="C5784" s="103"/>
      <c r="D5784" s="103"/>
      <c r="E5784" s="103"/>
      <c r="F5784" s="103"/>
      <c r="G5784" s="103"/>
      <c r="H5784" s="103"/>
      <c r="I5784" s="103"/>
      <c r="J5784" s="103"/>
      <c r="K5784" s="103"/>
      <c r="L5784" s="103"/>
      <c r="M5784" s="104"/>
      <c r="N5784" s="103"/>
    </row>
    <row r="5785" spans="1:14" ht="45" customHeight="1" thickBot="1" x14ac:dyDescent="0.4">
      <c r="A5785" s="103"/>
      <c r="B5785" s="103"/>
      <c r="C5785" s="103"/>
      <c r="D5785" s="103"/>
      <c r="E5785" s="103"/>
      <c r="F5785" s="103"/>
      <c r="G5785" s="103"/>
      <c r="H5785" s="103"/>
      <c r="I5785" s="103"/>
      <c r="J5785" s="103"/>
      <c r="K5785" s="103"/>
      <c r="L5785" s="103"/>
      <c r="M5785" s="104"/>
      <c r="N5785" s="103"/>
    </row>
    <row r="5786" spans="1:14" ht="45" customHeight="1" thickBot="1" x14ac:dyDescent="0.4">
      <c r="A5786" s="103"/>
      <c r="B5786" s="103"/>
      <c r="C5786" s="103"/>
      <c r="D5786" s="103"/>
      <c r="E5786" s="103"/>
      <c r="F5786" s="103"/>
      <c r="G5786" s="103"/>
      <c r="H5786" s="103"/>
      <c r="I5786" s="103"/>
      <c r="J5786" s="103"/>
      <c r="K5786" s="103"/>
      <c r="L5786" s="103"/>
      <c r="M5786" s="104"/>
      <c r="N5786" s="103"/>
    </row>
    <row r="5787" spans="1:14" ht="45" customHeight="1" thickBot="1" x14ac:dyDescent="0.4">
      <c r="A5787" s="103"/>
      <c r="B5787" s="103"/>
      <c r="C5787" s="103"/>
      <c r="D5787" s="103"/>
      <c r="E5787" s="103"/>
      <c r="F5787" s="103"/>
      <c r="G5787" s="103"/>
      <c r="H5787" s="103"/>
      <c r="I5787" s="103"/>
      <c r="J5787" s="103"/>
      <c r="K5787" s="103"/>
      <c r="L5787" s="103"/>
      <c r="M5787" s="104"/>
      <c r="N5787" s="103"/>
    </row>
    <row r="5788" spans="1:14" ht="45" customHeight="1" thickBot="1" x14ac:dyDescent="0.4">
      <c r="A5788" s="103"/>
      <c r="B5788" s="103"/>
      <c r="C5788" s="103"/>
      <c r="D5788" s="103"/>
      <c r="E5788" s="103"/>
      <c r="F5788" s="103"/>
      <c r="G5788" s="103"/>
      <c r="H5788" s="103"/>
      <c r="I5788" s="103"/>
      <c r="J5788" s="103"/>
      <c r="K5788" s="103"/>
      <c r="L5788" s="103"/>
      <c r="M5788" s="104"/>
      <c r="N5788" s="103"/>
    </row>
    <row r="5789" spans="1:14" ht="45" customHeight="1" thickBot="1" x14ac:dyDescent="0.4">
      <c r="A5789" s="103"/>
      <c r="B5789" s="103"/>
      <c r="C5789" s="103"/>
      <c r="D5789" s="103"/>
      <c r="E5789" s="103"/>
      <c r="F5789" s="103"/>
      <c r="G5789" s="103"/>
      <c r="H5789" s="103"/>
      <c r="I5789" s="103"/>
      <c r="J5789" s="103"/>
      <c r="K5789" s="103"/>
      <c r="L5789" s="103"/>
      <c r="M5789" s="104"/>
      <c r="N5789" s="103"/>
    </row>
    <row r="5790" spans="1:14" ht="45" customHeight="1" thickBot="1" x14ac:dyDescent="0.4">
      <c r="A5790" s="103"/>
      <c r="B5790" s="103"/>
      <c r="C5790" s="103"/>
      <c r="D5790" s="103"/>
      <c r="E5790" s="103"/>
      <c r="F5790" s="103"/>
      <c r="G5790" s="103"/>
      <c r="H5790" s="103"/>
      <c r="I5790" s="103"/>
      <c r="J5790" s="103"/>
      <c r="K5790" s="103"/>
      <c r="L5790" s="103"/>
      <c r="M5790" s="104"/>
      <c r="N5790" s="103"/>
    </row>
    <row r="5791" spans="1:14" ht="45" customHeight="1" thickBot="1" x14ac:dyDescent="0.4">
      <c r="A5791" s="103"/>
      <c r="B5791" s="103"/>
      <c r="C5791" s="103"/>
      <c r="D5791" s="103"/>
      <c r="E5791" s="103"/>
      <c r="F5791" s="103"/>
      <c r="G5791" s="103"/>
      <c r="H5791" s="103"/>
      <c r="I5791" s="103"/>
      <c r="J5791" s="103"/>
      <c r="K5791" s="103"/>
      <c r="L5791" s="103"/>
      <c r="M5791" s="104"/>
      <c r="N5791" s="103"/>
    </row>
    <row r="5792" spans="1:14" ht="45" customHeight="1" thickBot="1" x14ac:dyDescent="0.4">
      <c r="A5792" s="103"/>
      <c r="B5792" s="103"/>
      <c r="C5792" s="103"/>
      <c r="D5792" s="103"/>
      <c r="E5792" s="103"/>
      <c r="F5792" s="103"/>
      <c r="G5792" s="103"/>
      <c r="H5792" s="103"/>
      <c r="I5792" s="103"/>
      <c r="J5792" s="103"/>
      <c r="K5792" s="103"/>
      <c r="L5792" s="103"/>
      <c r="M5792" s="104"/>
      <c r="N5792" s="103"/>
    </row>
    <row r="5793" spans="1:14" ht="45" customHeight="1" thickBot="1" x14ac:dyDescent="0.4">
      <c r="A5793" s="103"/>
      <c r="B5793" s="103"/>
      <c r="C5793" s="103"/>
      <c r="D5793" s="103"/>
      <c r="E5793" s="103"/>
      <c r="F5793" s="103"/>
      <c r="G5793" s="103"/>
      <c r="H5793" s="103"/>
      <c r="I5793" s="103"/>
      <c r="J5793" s="103"/>
      <c r="K5793" s="103"/>
      <c r="L5793" s="103"/>
      <c r="M5793" s="104"/>
      <c r="N5793" s="103"/>
    </row>
    <row r="5794" spans="1:14" ht="45" customHeight="1" thickBot="1" x14ac:dyDescent="0.4">
      <c r="A5794" s="103"/>
      <c r="B5794" s="103"/>
      <c r="C5794" s="103"/>
      <c r="D5794" s="103"/>
      <c r="E5794" s="103"/>
      <c r="F5794" s="103"/>
      <c r="G5794" s="103"/>
      <c r="H5794" s="103"/>
      <c r="I5794" s="103"/>
      <c r="J5794" s="103"/>
      <c r="K5794" s="103"/>
      <c r="L5794" s="103"/>
      <c r="M5794" s="104"/>
      <c r="N5794" s="103"/>
    </row>
    <row r="5795" spans="1:14" ht="45" customHeight="1" thickBot="1" x14ac:dyDescent="0.4">
      <c r="A5795" s="103"/>
      <c r="B5795" s="103"/>
      <c r="C5795" s="103"/>
      <c r="D5795" s="103"/>
      <c r="E5795" s="103"/>
      <c r="F5795" s="103"/>
      <c r="G5795" s="103"/>
      <c r="H5795" s="103"/>
      <c r="I5795" s="103"/>
      <c r="J5795" s="103"/>
      <c r="K5795" s="103"/>
      <c r="L5795" s="103"/>
      <c r="M5795" s="104"/>
      <c r="N5795" s="103"/>
    </row>
    <row r="5796" spans="1:14" ht="45" customHeight="1" thickBot="1" x14ac:dyDescent="0.4">
      <c r="A5796" s="103"/>
      <c r="B5796" s="103"/>
      <c r="C5796" s="103"/>
      <c r="D5796" s="103"/>
      <c r="E5796" s="103"/>
      <c r="F5796" s="103"/>
      <c r="G5796" s="103"/>
      <c r="H5796" s="103"/>
      <c r="I5796" s="103"/>
      <c r="J5796" s="103"/>
      <c r="K5796" s="103"/>
      <c r="L5796" s="103"/>
      <c r="M5796" s="104"/>
      <c r="N5796" s="103"/>
    </row>
    <row r="5797" spans="1:14" ht="45" customHeight="1" thickBot="1" x14ac:dyDescent="0.4">
      <c r="A5797" s="103"/>
      <c r="B5797" s="103"/>
      <c r="C5797" s="103"/>
      <c r="D5797" s="103"/>
      <c r="E5797" s="103"/>
      <c r="F5797" s="103"/>
      <c r="G5797" s="103"/>
      <c r="H5797" s="103"/>
      <c r="I5797" s="103"/>
      <c r="J5797" s="103"/>
      <c r="K5797" s="103"/>
      <c r="L5797" s="103"/>
      <c r="M5797" s="104"/>
      <c r="N5797" s="103"/>
    </row>
    <row r="5798" spans="1:14" ht="45" customHeight="1" thickBot="1" x14ac:dyDescent="0.4">
      <c r="A5798" s="103"/>
      <c r="B5798" s="103"/>
      <c r="C5798" s="103"/>
      <c r="D5798" s="103"/>
      <c r="E5798" s="103"/>
      <c r="F5798" s="103"/>
      <c r="G5798" s="103"/>
      <c r="H5798" s="103"/>
      <c r="I5798" s="103"/>
      <c r="J5798" s="103"/>
      <c r="K5798" s="103"/>
      <c r="L5798" s="103"/>
      <c r="M5798" s="104"/>
      <c r="N5798" s="103"/>
    </row>
    <row r="5799" spans="1:14" ht="45" customHeight="1" thickBot="1" x14ac:dyDescent="0.4">
      <c r="A5799" s="103"/>
      <c r="B5799" s="103"/>
      <c r="C5799" s="103"/>
      <c r="D5799" s="103"/>
      <c r="E5799" s="103"/>
      <c r="F5799" s="103"/>
      <c r="G5799" s="103"/>
      <c r="H5799" s="103"/>
      <c r="I5799" s="103"/>
      <c r="J5799" s="103"/>
      <c r="K5799" s="103"/>
      <c r="L5799" s="103"/>
      <c r="M5799" s="104"/>
      <c r="N5799" s="103"/>
    </row>
    <row r="5800" spans="1:14" ht="45" customHeight="1" thickBot="1" x14ac:dyDescent="0.4">
      <c r="A5800" s="103"/>
      <c r="B5800" s="103"/>
      <c r="C5800" s="103"/>
      <c r="D5800" s="103"/>
      <c r="E5800" s="103"/>
      <c r="F5800" s="103"/>
      <c r="G5800" s="103"/>
      <c r="H5800" s="103"/>
      <c r="I5800" s="103"/>
      <c r="J5800" s="103"/>
      <c r="K5800" s="103"/>
      <c r="L5800" s="103"/>
      <c r="M5800" s="104"/>
      <c r="N5800" s="103"/>
    </row>
  </sheetData>
  <sheetProtection selectLockedCells="1"/>
  <mergeCells count="1">
    <mergeCell ref="A1:N1"/>
  </mergeCells>
  <pageMargins left="0" right="0" top="0" bottom="0" header="0" footer="0"/>
  <pageSetup paperSize="9" scale="2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738D5458C9E724D8DA094C369DC8A1E" ma:contentTypeVersion="15" ma:contentTypeDescription="Create a new document." ma:contentTypeScope="" ma:versionID="c9eace572dcbe44e32bc11842c31cc0e">
  <xsd:schema xmlns:xsd="http://www.w3.org/2001/XMLSchema" xmlns:xs="http://www.w3.org/2001/XMLSchema" xmlns:p="http://schemas.microsoft.com/office/2006/metadata/properties" xmlns:ns2="45dd2012-57df-4b70-a9be-f0385dfd9c0a" xmlns:ns3="91cc970b-1aa3-419f-8370-04011a24844a" targetNamespace="http://schemas.microsoft.com/office/2006/metadata/properties" ma:root="true" ma:fieldsID="b331871f5e362da6b2102c39a71d013e" ns2:_="" ns3:_="">
    <xsd:import namespace="45dd2012-57df-4b70-a9be-f0385dfd9c0a"/>
    <xsd:import namespace="91cc970b-1aa3-419f-8370-04011a24844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2:MediaServiceBillingMetadata" minOccurs="0"/>
                <xsd:element ref="ns2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5dd2012-57df-4b70-a9be-f0385dfd9c0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1" nillable="true" ma:displayName="MediaServiceBillingMetadata" ma:hidden="true" ma:internalName="MediaServiceBillingMetadata" ma:readOnly="true">
      <xsd:simpleType>
        <xsd:restriction base="dms:Note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c970b-1aa3-419f-8370-04011a248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E400C8A2-1A6D-4F49-95C0-93185245046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5dd2012-57df-4b70-a9be-f0385dfd9c0a"/>
    <ds:schemaRef ds:uri="91cc970b-1aa3-419f-8370-04011a248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F65560F-6F36-4AF0-B741-D27C45665C7E}">
  <ds:schemaRefs>
    <ds:schemaRef ds:uri="http://schemas.microsoft.com/office/infopath/2007/PartnerControls"/>
    <ds:schemaRef ds:uri="http://purl.org/dc/terms/"/>
    <ds:schemaRef ds:uri="http://purl.org/dc/dcmitype/"/>
    <ds:schemaRef ds:uri="http://schemas.microsoft.com/office/2006/documentManagement/types"/>
    <ds:schemaRef ds:uri="45dd2012-57df-4b70-a9be-f0385dfd9c0a"/>
    <ds:schemaRef ds:uri="http://www.w3.org/XML/1998/namespace"/>
    <ds:schemaRef ds:uri="http://purl.org/dc/elements/1.1/"/>
    <ds:schemaRef ds:uri="http://schemas.openxmlformats.org/package/2006/metadata/core-properties"/>
    <ds:schemaRef ds:uri="91cc970b-1aa3-419f-8370-04011a24844a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EBC33841-7C56-41A2-BAFF-E326C201811F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4DDB8E53-4014-4909-9405-02602C30574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</vt:i4>
      </vt:variant>
    </vt:vector>
  </HeadingPairs>
  <TitlesOfParts>
    <vt:vector size="16" baseType="lpstr">
      <vt:lpstr>HƯƠNG DẪN</vt:lpstr>
      <vt:lpstr>COI 7-18</vt:lpstr>
      <vt:lpstr>STOCK FAB</vt:lpstr>
      <vt:lpstr>Input Data</vt:lpstr>
      <vt:lpstr>Output_Expected</vt:lpstr>
      <vt:lpstr>References</vt:lpstr>
      <vt:lpstr>DATA</vt:lpstr>
      <vt:lpstr>XUẤT</vt:lpstr>
      <vt:lpstr>#ALL</vt:lpstr>
      <vt:lpstr>NHẬP LV FM </vt:lpstr>
      <vt:lpstr>XUẤT LV FM</vt:lpstr>
      <vt:lpstr>NHẬP LV GK</vt:lpstr>
      <vt:lpstr>XUẤT LV GK</vt:lpstr>
      <vt:lpstr>pCODE</vt:lpstr>
      <vt:lpstr>pCOLOR</vt:lpstr>
      <vt:lpstr>pJO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Nguyet, Le Thi /TGV/Integrated Production</dc:creator>
  <cp:keywords/>
  <dc:description/>
  <cp:lastModifiedBy>Anne Linh, Tran Thi Hue /Management Trainee</cp:lastModifiedBy>
  <cp:revision/>
  <cp:lastPrinted>2026-07-20T05:27:50Z</cp:lastPrinted>
  <dcterms:created xsi:type="dcterms:W3CDTF">2025-06-21T08:26:02Z</dcterms:created>
  <dcterms:modified xsi:type="dcterms:W3CDTF">2026-07-29T03:14:09Z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0x010100F738D5458C9E724D8DA094C369DC8A1E</vt:lpwstr>
  </property>
  <property fmtid="{D5CDD505-2E9C-101B-9397-08002B2CF9AE}" pid="3" name="MediaServiceImageTags">
    <vt:lpwstr/>
  </property>
</Properties>
</file>